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ropbox\MyProjects\kinmodre\data_packages\lcaKKNC26\"/>
    </mc:Choice>
  </mc:AlternateContent>
  <xr:revisionPtr revIDLastSave="0" documentId="13_ncr:1_{F9039752-4878-4E4C-986B-AABF788134CF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Information" sheetId="1" r:id="rId1"/>
    <sheet name="Peptides" sheetId="2" r:id="rId2"/>
    <sheet name="EC Numbers" sheetId="4" r:id="rId3"/>
    <sheet name="Metabolites" sheetId="5" r:id="rId4"/>
    <sheet name="Enzymes" sheetId="11" r:id="rId5"/>
    <sheet name="Reactions" sheetId="8" r:id="rId6"/>
    <sheet name="Sheet10" sheetId="9" state="hidden" r:id="rId7"/>
    <sheet name="Sheet9" sheetId="10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uJJayaoAooE+c0sLm9ehIdFdd9OUAfVQyBV4l+p1qmo="/>
    </ext>
  </extLst>
</workbook>
</file>

<file path=xl/calcChain.xml><?xml version="1.0" encoding="utf-8"?>
<calcChain xmlns="http://schemas.openxmlformats.org/spreadsheetml/2006/main">
  <c r="J38" i="8" l="1"/>
  <c r="C818" i="5"/>
  <c r="C817" i="5"/>
  <c r="C814" i="5"/>
  <c r="C810" i="5"/>
  <c r="C803" i="5"/>
  <c r="C778" i="5"/>
  <c r="C771" i="5"/>
  <c r="C729" i="5"/>
  <c r="C681" i="5"/>
  <c r="C680" i="5"/>
  <c r="C679" i="5"/>
  <c r="C666" i="5"/>
  <c r="C664" i="5"/>
  <c r="C663" i="5"/>
  <c r="C653" i="5"/>
  <c r="C651" i="5"/>
  <c r="C650" i="5"/>
  <c r="C648" i="5"/>
  <c r="C639" i="5"/>
  <c r="C636" i="5"/>
  <c r="C624" i="5"/>
  <c r="C623" i="5"/>
  <c r="C622" i="5"/>
  <c r="C621" i="5"/>
  <c r="C576" i="5"/>
  <c r="C570" i="5"/>
  <c r="C567" i="5"/>
  <c r="C566" i="5"/>
  <c r="C565" i="5"/>
  <c r="C545" i="5"/>
  <c r="C526" i="5"/>
  <c r="C483" i="5"/>
  <c r="C482" i="5"/>
  <c r="C465" i="5"/>
  <c r="C455" i="5"/>
  <c r="C448" i="5"/>
  <c r="C447" i="5"/>
  <c r="C444" i="5"/>
  <c r="C436" i="5"/>
  <c r="C403" i="5"/>
  <c r="C401" i="5"/>
  <c r="C392" i="5"/>
  <c r="C377" i="5"/>
  <c r="C374" i="5"/>
  <c r="C370" i="5"/>
  <c r="C341" i="5"/>
  <c r="C340" i="5"/>
  <c r="C339" i="5"/>
  <c r="C338" i="5"/>
  <c r="C333" i="5"/>
  <c r="C320" i="5"/>
  <c r="C319" i="5"/>
  <c r="C312" i="5"/>
  <c r="C311" i="5"/>
  <c r="C306" i="5"/>
  <c r="C301" i="5"/>
  <c r="C300" i="5"/>
  <c r="C295" i="5"/>
  <c r="C288" i="5"/>
  <c r="C285" i="5"/>
  <c r="C280" i="5"/>
  <c r="C279" i="5"/>
  <c r="C278" i="5"/>
  <c r="C271" i="5"/>
  <c r="C267" i="5"/>
  <c r="C261" i="5"/>
  <c r="C253" i="5"/>
  <c r="C249" i="5"/>
  <c r="C243" i="5"/>
  <c r="C238" i="5"/>
  <c r="C232" i="5"/>
  <c r="C222" i="5"/>
  <c r="C206" i="5"/>
  <c r="C205" i="5"/>
  <c r="C204" i="5"/>
  <c r="C203" i="5"/>
  <c r="C202" i="5"/>
  <c r="C199" i="5"/>
  <c r="C193" i="5"/>
  <c r="C179" i="5"/>
  <c r="C178" i="5"/>
  <c r="C175" i="5"/>
  <c r="C168" i="5"/>
  <c r="C167" i="5"/>
  <c r="C155" i="5"/>
  <c r="C154" i="5"/>
  <c r="C153" i="5"/>
  <c r="C140" i="5"/>
  <c r="C136" i="5"/>
  <c r="C126" i="5"/>
  <c r="C125" i="5"/>
  <c r="C124" i="5"/>
  <c r="C117" i="5"/>
  <c r="C109" i="5"/>
  <c r="C105" i="5"/>
  <c r="C98" i="5"/>
  <c r="C58" i="5"/>
  <c r="C50" i="5"/>
  <c r="F357" i="11"/>
  <c r="E357" i="11"/>
  <c r="D357" i="11"/>
  <c r="F356" i="11"/>
  <c r="E356" i="11"/>
  <c r="D356" i="11"/>
  <c r="C356" i="11"/>
  <c r="F355" i="11"/>
  <c r="E355" i="11"/>
  <c r="D355" i="11"/>
  <c r="F354" i="11"/>
  <c r="E354" i="11"/>
  <c r="D354" i="11"/>
  <c r="C354" i="11" s="1"/>
  <c r="F353" i="11"/>
  <c r="E353" i="11"/>
  <c r="D353" i="11"/>
  <c r="F352" i="11"/>
  <c r="E352" i="11"/>
  <c r="D352" i="11"/>
  <c r="F351" i="11"/>
  <c r="E351" i="11"/>
  <c r="D351" i="11"/>
  <c r="J351" i="11" s="1"/>
  <c r="I350" i="11"/>
  <c r="H350" i="11"/>
  <c r="G350" i="11"/>
  <c r="F350" i="11"/>
  <c r="E350" i="11"/>
  <c r="D350" i="11"/>
  <c r="J350" i="11" s="1"/>
  <c r="C350" i="11"/>
  <c r="F349" i="11"/>
  <c r="E349" i="11"/>
  <c r="D349" i="11"/>
  <c r="C349" i="11" s="1"/>
  <c r="H348" i="11"/>
  <c r="F348" i="11"/>
  <c r="E348" i="11"/>
  <c r="D348" i="11"/>
  <c r="J348" i="11" s="1"/>
  <c r="C348" i="11"/>
  <c r="F347" i="11"/>
  <c r="E347" i="11"/>
  <c r="D347" i="11"/>
  <c r="C347" i="11"/>
  <c r="F346" i="11"/>
  <c r="E346" i="11"/>
  <c r="D346" i="11"/>
  <c r="J346" i="11" s="1"/>
  <c r="H345" i="11"/>
  <c r="G345" i="11"/>
  <c r="F345" i="11"/>
  <c r="E345" i="11"/>
  <c r="D345" i="11"/>
  <c r="J345" i="11" s="1"/>
  <c r="C345" i="11"/>
  <c r="I345" i="11" s="1"/>
  <c r="F344" i="11"/>
  <c r="E344" i="11"/>
  <c r="D344" i="11"/>
  <c r="J344" i="11" s="1"/>
  <c r="C344" i="11"/>
  <c r="H343" i="11"/>
  <c r="F343" i="11"/>
  <c r="E343" i="11"/>
  <c r="D343" i="11"/>
  <c r="J343" i="11" s="1"/>
  <c r="I342" i="11"/>
  <c r="F342" i="11"/>
  <c r="E342" i="11"/>
  <c r="D342" i="11"/>
  <c r="C342" i="11"/>
  <c r="F341" i="11"/>
  <c r="E341" i="11"/>
  <c r="D341" i="11"/>
  <c r="F340" i="11"/>
  <c r="E340" i="11"/>
  <c r="D340" i="11"/>
  <c r="F339" i="11"/>
  <c r="E339" i="11"/>
  <c r="D339" i="11"/>
  <c r="J339" i="11" s="1"/>
  <c r="C339" i="11"/>
  <c r="I338" i="11"/>
  <c r="H338" i="11"/>
  <c r="G338" i="11"/>
  <c r="F338" i="11"/>
  <c r="E338" i="11"/>
  <c r="D338" i="11"/>
  <c r="J338" i="11" s="1"/>
  <c r="C338" i="11"/>
  <c r="H337" i="11"/>
  <c r="F337" i="11"/>
  <c r="E337" i="11"/>
  <c r="D337" i="11"/>
  <c r="J337" i="11" s="1"/>
  <c r="C337" i="11"/>
  <c r="I336" i="11"/>
  <c r="H336" i="11"/>
  <c r="F336" i="11"/>
  <c r="E336" i="11"/>
  <c r="D336" i="11"/>
  <c r="J336" i="11" s="1"/>
  <c r="C336" i="11"/>
  <c r="F335" i="11"/>
  <c r="E335" i="11"/>
  <c r="D335" i="11"/>
  <c r="C335" i="11"/>
  <c r="F334" i="11"/>
  <c r="E334" i="11"/>
  <c r="D334" i="11"/>
  <c r="J334" i="11" s="1"/>
  <c r="I333" i="11"/>
  <c r="H333" i="11"/>
  <c r="G333" i="11"/>
  <c r="F333" i="11"/>
  <c r="E333" i="11"/>
  <c r="D333" i="11"/>
  <c r="J333" i="11" s="1"/>
  <c r="C333" i="11"/>
  <c r="F332" i="11"/>
  <c r="E332" i="11"/>
  <c r="D332" i="11"/>
  <c r="J332" i="11" s="1"/>
  <c r="C332" i="11"/>
  <c r="H331" i="11"/>
  <c r="F331" i="11"/>
  <c r="E331" i="11"/>
  <c r="D331" i="11"/>
  <c r="J331" i="11" s="1"/>
  <c r="F330" i="11"/>
  <c r="E330" i="11"/>
  <c r="D330" i="11"/>
  <c r="F329" i="11"/>
  <c r="E329" i="11"/>
  <c r="D329" i="11"/>
  <c r="F328" i="11"/>
  <c r="E328" i="11"/>
  <c r="D328" i="11"/>
  <c r="H327" i="11"/>
  <c r="F327" i="11"/>
  <c r="E327" i="11"/>
  <c r="D327" i="11"/>
  <c r="J327" i="11" s="1"/>
  <c r="C327" i="11"/>
  <c r="I326" i="11"/>
  <c r="H326" i="11"/>
  <c r="G326" i="11"/>
  <c r="F326" i="11"/>
  <c r="E326" i="11"/>
  <c r="D326" i="11"/>
  <c r="J326" i="11" s="1"/>
  <c r="C326" i="11"/>
  <c r="F325" i="11"/>
  <c r="E325" i="11"/>
  <c r="D325" i="11"/>
  <c r="H324" i="11"/>
  <c r="F324" i="11"/>
  <c r="E324" i="11"/>
  <c r="D324" i="11"/>
  <c r="J324" i="11" s="1"/>
  <c r="C324" i="11"/>
  <c r="F323" i="11"/>
  <c r="E323" i="11"/>
  <c r="D323" i="11"/>
  <c r="C323" i="11"/>
  <c r="F322" i="11"/>
  <c r="E322" i="11"/>
  <c r="D322" i="11"/>
  <c r="J322" i="11" s="1"/>
  <c r="I321" i="11"/>
  <c r="H321" i="11"/>
  <c r="G321" i="11"/>
  <c r="F321" i="11"/>
  <c r="E321" i="11"/>
  <c r="D321" i="11"/>
  <c r="J321" i="11" s="1"/>
  <c r="C321" i="11"/>
  <c r="G320" i="11"/>
  <c r="F320" i="11"/>
  <c r="E320" i="11"/>
  <c r="D320" i="11"/>
  <c r="J320" i="11" s="1"/>
  <c r="C320" i="11"/>
  <c r="H319" i="11"/>
  <c r="F319" i="11"/>
  <c r="E319" i="11"/>
  <c r="D319" i="11"/>
  <c r="J319" i="11" s="1"/>
  <c r="F318" i="11"/>
  <c r="E318" i="11"/>
  <c r="D318" i="11"/>
  <c r="C318" i="11"/>
  <c r="F317" i="11"/>
  <c r="E317" i="11"/>
  <c r="D317" i="11"/>
  <c r="F316" i="11"/>
  <c r="E316" i="11"/>
  <c r="D316" i="11"/>
  <c r="H315" i="11"/>
  <c r="F315" i="11"/>
  <c r="E315" i="11"/>
  <c r="D315" i="11"/>
  <c r="J315" i="11" s="1"/>
  <c r="C315" i="11"/>
  <c r="I314" i="11"/>
  <c r="H314" i="11"/>
  <c r="G314" i="11"/>
  <c r="F314" i="11"/>
  <c r="E314" i="11"/>
  <c r="D314" i="11"/>
  <c r="J314" i="11" s="1"/>
  <c r="C314" i="11"/>
  <c r="F313" i="11"/>
  <c r="E313" i="11"/>
  <c r="D313" i="11"/>
  <c r="H312" i="11"/>
  <c r="F312" i="11"/>
  <c r="E312" i="11"/>
  <c r="D312" i="11"/>
  <c r="J312" i="11" s="1"/>
  <c r="C312" i="11"/>
  <c r="F311" i="11"/>
  <c r="E311" i="11"/>
  <c r="D311" i="11"/>
  <c r="C311" i="11" s="1"/>
  <c r="F310" i="11"/>
  <c r="E310" i="11"/>
  <c r="D310" i="11"/>
  <c r="J310" i="11" s="1"/>
  <c r="I309" i="11"/>
  <c r="H309" i="11"/>
  <c r="G309" i="11"/>
  <c r="F309" i="11"/>
  <c r="E309" i="11"/>
  <c r="D309" i="11"/>
  <c r="J309" i="11" s="1"/>
  <c r="C309" i="11"/>
  <c r="G308" i="11"/>
  <c r="F308" i="11"/>
  <c r="E308" i="11"/>
  <c r="D308" i="11"/>
  <c r="J308" i="11" s="1"/>
  <c r="C308" i="11"/>
  <c r="H307" i="11"/>
  <c r="F307" i="11"/>
  <c r="E307" i="11"/>
  <c r="D307" i="11"/>
  <c r="J307" i="11" s="1"/>
  <c r="F306" i="11"/>
  <c r="E306" i="11"/>
  <c r="D306" i="11"/>
  <c r="F305" i="11"/>
  <c r="E305" i="11"/>
  <c r="D305" i="11"/>
  <c r="F304" i="11"/>
  <c r="E304" i="11"/>
  <c r="D304" i="11"/>
  <c r="H303" i="11"/>
  <c r="F303" i="11"/>
  <c r="E303" i="11"/>
  <c r="D303" i="11"/>
  <c r="J303" i="11" s="1"/>
  <c r="C303" i="11"/>
  <c r="I302" i="11"/>
  <c r="H302" i="11"/>
  <c r="G302" i="11"/>
  <c r="F302" i="11"/>
  <c r="E302" i="11"/>
  <c r="D302" i="11"/>
  <c r="J302" i="11" s="1"/>
  <c r="C302" i="11"/>
  <c r="H301" i="11"/>
  <c r="F301" i="11"/>
  <c r="E301" i="11"/>
  <c r="D301" i="11"/>
  <c r="J301" i="11" s="1"/>
  <c r="H300" i="11"/>
  <c r="F300" i="11"/>
  <c r="E300" i="11"/>
  <c r="D300" i="11"/>
  <c r="J300" i="11" s="1"/>
  <c r="C300" i="11"/>
  <c r="F299" i="11"/>
  <c r="E299" i="11"/>
  <c r="D299" i="11"/>
  <c r="C299" i="11"/>
  <c r="F298" i="11"/>
  <c r="E298" i="11"/>
  <c r="D298" i="11"/>
  <c r="J298" i="11" s="1"/>
  <c r="I297" i="11"/>
  <c r="H297" i="11"/>
  <c r="G297" i="11"/>
  <c r="F297" i="11"/>
  <c r="E297" i="11"/>
  <c r="D297" i="11"/>
  <c r="J297" i="11" s="1"/>
  <c r="C297" i="11"/>
  <c r="H296" i="11"/>
  <c r="F296" i="11"/>
  <c r="E296" i="11"/>
  <c r="D296" i="11"/>
  <c r="J296" i="11" s="1"/>
  <c r="C296" i="11"/>
  <c r="F295" i="11"/>
  <c r="E295" i="11"/>
  <c r="D295" i="11"/>
  <c r="I294" i="11"/>
  <c r="H294" i="11"/>
  <c r="G294" i="11"/>
  <c r="F294" i="11"/>
  <c r="E294" i="11"/>
  <c r="D294" i="11"/>
  <c r="J294" i="11" s="1"/>
  <c r="C294" i="11"/>
  <c r="N294" i="11" s="1"/>
  <c r="F293" i="11"/>
  <c r="E293" i="11"/>
  <c r="D293" i="11"/>
  <c r="G292" i="11"/>
  <c r="F292" i="11"/>
  <c r="E292" i="11"/>
  <c r="D292" i="11"/>
  <c r="J292" i="11" s="1"/>
  <c r="C292" i="11"/>
  <c r="F291" i="11"/>
  <c r="E291" i="11"/>
  <c r="D291" i="11"/>
  <c r="J290" i="11"/>
  <c r="I290" i="11"/>
  <c r="H290" i="11"/>
  <c r="G290" i="11"/>
  <c r="F290" i="11"/>
  <c r="E290" i="11"/>
  <c r="D290" i="11"/>
  <c r="C290" i="11" s="1"/>
  <c r="N289" i="11"/>
  <c r="M289" i="11"/>
  <c r="J289" i="11"/>
  <c r="I289" i="11"/>
  <c r="H289" i="11"/>
  <c r="G289" i="11"/>
  <c r="F289" i="11"/>
  <c r="E289" i="11"/>
  <c r="D289" i="11"/>
  <c r="C289" i="11"/>
  <c r="F288" i="11"/>
  <c r="E288" i="11"/>
  <c r="D288" i="11"/>
  <c r="H287" i="11"/>
  <c r="F287" i="11"/>
  <c r="E287" i="11"/>
  <c r="D287" i="11"/>
  <c r="J287" i="11" s="1"/>
  <c r="C287" i="11"/>
  <c r="N286" i="11"/>
  <c r="M286" i="11"/>
  <c r="H286" i="11"/>
  <c r="F286" i="11"/>
  <c r="E286" i="11"/>
  <c r="D286" i="11"/>
  <c r="J286" i="11" s="1"/>
  <c r="C286" i="11"/>
  <c r="N285" i="11"/>
  <c r="M285" i="11"/>
  <c r="J285" i="11"/>
  <c r="I285" i="11"/>
  <c r="F285" i="11"/>
  <c r="E285" i="11"/>
  <c r="D285" i="11"/>
  <c r="H285" i="11" s="1"/>
  <c r="C285" i="11"/>
  <c r="J284" i="11"/>
  <c r="I284" i="11"/>
  <c r="H284" i="11"/>
  <c r="G284" i="11"/>
  <c r="F284" i="11"/>
  <c r="E284" i="11"/>
  <c r="D284" i="11"/>
  <c r="C284" i="11" s="1"/>
  <c r="N283" i="11"/>
  <c r="M283" i="11"/>
  <c r="J283" i="11"/>
  <c r="I283" i="11"/>
  <c r="H283" i="11"/>
  <c r="G283" i="11"/>
  <c r="F283" i="11"/>
  <c r="E283" i="11"/>
  <c r="D283" i="11"/>
  <c r="C283" i="11"/>
  <c r="J282" i="11"/>
  <c r="I282" i="11"/>
  <c r="G282" i="11"/>
  <c r="F282" i="11"/>
  <c r="E282" i="11"/>
  <c r="D282" i="11"/>
  <c r="H282" i="11" s="1"/>
  <c r="C282" i="11"/>
  <c r="J281" i="11"/>
  <c r="H281" i="11"/>
  <c r="F281" i="11"/>
  <c r="E281" i="11"/>
  <c r="D281" i="11"/>
  <c r="C281" i="11"/>
  <c r="H280" i="11"/>
  <c r="F280" i="11"/>
  <c r="E280" i="11"/>
  <c r="D280" i="11"/>
  <c r="J280" i="11" s="1"/>
  <c r="C280" i="11"/>
  <c r="F279" i="11"/>
  <c r="E279" i="11"/>
  <c r="D279" i="11"/>
  <c r="F278" i="11"/>
  <c r="E278" i="11"/>
  <c r="D278" i="11"/>
  <c r="N277" i="11"/>
  <c r="M277" i="11"/>
  <c r="J277" i="11"/>
  <c r="I277" i="11"/>
  <c r="H277" i="11"/>
  <c r="G277" i="11"/>
  <c r="F277" i="11"/>
  <c r="E277" i="11"/>
  <c r="D277" i="11"/>
  <c r="C277" i="11"/>
  <c r="F276" i="11"/>
  <c r="E276" i="11"/>
  <c r="D276" i="11"/>
  <c r="F275" i="11"/>
  <c r="E275" i="11"/>
  <c r="D275" i="11"/>
  <c r="F274" i="11"/>
  <c r="E274" i="11"/>
  <c r="D274" i="11"/>
  <c r="J274" i="11" s="1"/>
  <c r="C274" i="11"/>
  <c r="N273" i="11"/>
  <c r="M273" i="11"/>
  <c r="J273" i="11"/>
  <c r="I273" i="11"/>
  <c r="F273" i="11"/>
  <c r="E273" i="11"/>
  <c r="D273" i="11"/>
  <c r="H273" i="11" s="1"/>
  <c r="C273" i="11"/>
  <c r="J272" i="11"/>
  <c r="F272" i="11"/>
  <c r="E272" i="11"/>
  <c r="D272" i="11"/>
  <c r="K271" i="11"/>
  <c r="F271" i="11"/>
  <c r="E271" i="11"/>
  <c r="D271" i="11"/>
  <c r="C271" i="11" s="1"/>
  <c r="J270" i="11"/>
  <c r="F270" i="11"/>
  <c r="E270" i="11"/>
  <c r="D270" i="11"/>
  <c r="H270" i="11" s="1"/>
  <c r="C270" i="11"/>
  <c r="N269" i="11"/>
  <c r="L269" i="11"/>
  <c r="F269" i="11"/>
  <c r="E269" i="11"/>
  <c r="D269" i="11"/>
  <c r="C269" i="11"/>
  <c r="F268" i="11"/>
  <c r="E268" i="11"/>
  <c r="D268" i="11"/>
  <c r="N267" i="11"/>
  <c r="M267" i="11"/>
  <c r="L267" i="11"/>
  <c r="K267" i="11"/>
  <c r="J267" i="11"/>
  <c r="I267" i="11"/>
  <c r="F267" i="11"/>
  <c r="E267" i="11"/>
  <c r="D267" i="11"/>
  <c r="H267" i="11" s="1"/>
  <c r="C267" i="11"/>
  <c r="G267" i="11" s="1"/>
  <c r="J266" i="11"/>
  <c r="F266" i="11"/>
  <c r="E266" i="11"/>
  <c r="D266" i="11"/>
  <c r="I265" i="11"/>
  <c r="F265" i="11"/>
  <c r="E265" i="11"/>
  <c r="D265" i="11"/>
  <c r="H265" i="11" s="1"/>
  <c r="C265" i="11"/>
  <c r="F264" i="11"/>
  <c r="E264" i="11"/>
  <c r="D264" i="11"/>
  <c r="F263" i="11"/>
  <c r="E263" i="11"/>
  <c r="D263" i="11"/>
  <c r="L262" i="11"/>
  <c r="K262" i="11"/>
  <c r="F262" i="11"/>
  <c r="E262" i="11"/>
  <c r="D262" i="11"/>
  <c r="H262" i="11" s="1"/>
  <c r="C262" i="11"/>
  <c r="N261" i="11"/>
  <c r="M261" i="11"/>
  <c r="L261" i="11"/>
  <c r="K261" i="11"/>
  <c r="J261" i="11"/>
  <c r="I261" i="11"/>
  <c r="F261" i="11"/>
  <c r="E261" i="11"/>
  <c r="D261" i="11"/>
  <c r="H261" i="11" s="1"/>
  <c r="C261" i="11"/>
  <c r="G261" i="11" s="1"/>
  <c r="F260" i="11"/>
  <c r="E260" i="11"/>
  <c r="D260" i="11"/>
  <c r="J259" i="11"/>
  <c r="F259" i="11"/>
  <c r="E259" i="11"/>
  <c r="D259" i="11"/>
  <c r="H259" i="11" s="1"/>
  <c r="M258" i="11"/>
  <c r="J258" i="11"/>
  <c r="F258" i="11"/>
  <c r="E258" i="11"/>
  <c r="D258" i="11"/>
  <c r="H258" i="11" s="1"/>
  <c r="C258" i="11"/>
  <c r="F257" i="11"/>
  <c r="E257" i="11"/>
  <c r="D257" i="11"/>
  <c r="J256" i="11"/>
  <c r="F256" i="11"/>
  <c r="E256" i="11"/>
  <c r="D256" i="11"/>
  <c r="H256" i="11" s="1"/>
  <c r="C256" i="11"/>
  <c r="N255" i="11"/>
  <c r="L255" i="11"/>
  <c r="J255" i="11"/>
  <c r="I255" i="11"/>
  <c r="G255" i="11"/>
  <c r="F255" i="11"/>
  <c r="E255" i="11"/>
  <c r="D255" i="11"/>
  <c r="H255" i="11" s="1"/>
  <c r="C255" i="11"/>
  <c r="M255" i="11" s="1"/>
  <c r="N254" i="11"/>
  <c r="M254" i="11"/>
  <c r="L254" i="11"/>
  <c r="K254" i="11"/>
  <c r="J254" i="11"/>
  <c r="I254" i="11"/>
  <c r="G254" i="11"/>
  <c r="F254" i="11"/>
  <c r="E254" i="11"/>
  <c r="D254" i="11"/>
  <c r="H254" i="11" s="1"/>
  <c r="C254" i="11"/>
  <c r="J253" i="11"/>
  <c r="F253" i="11"/>
  <c r="E253" i="11"/>
  <c r="D253" i="11"/>
  <c r="J252" i="11"/>
  <c r="I252" i="11"/>
  <c r="F252" i="11"/>
  <c r="E252" i="11"/>
  <c r="D252" i="11"/>
  <c r="H252" i="11" s="1"/>
  <c r="C252" i="11"/>
  <c r="N252" i="11" s="1"/>
  <c r="L251" i="11"/>
  <c r="K251" i="11"/>
  <c r="F251" i="11"/>
  <c r="E251" i="11"/>
  <c r="D251" i="11"/>
  <c r="H251" i="11" s="1"/>
  <c r="C251" i="11"/>
  <c r="J250" i="11"/>
  <c r="I250" i="11"/>
  <c r="G250" i="11"/>
  <c r="F250" i="11"/>
  <c r="E250" i="11"/>
  <c r="D250" i="11"/>
  <c r="H250" i="11" s="1"/>
  <c r="C250" i="11"/>
  <c r="J249" i="11"/>
  <c r="F249" i="11"/>
  <c r="E249" i="11"/>
  <c r="D249" i="11"/>
  <c r="L248" i="11"/>
  <c r="I248" i="11"/>
  <c r="F248" i="11"/>
  <c r="E248" i="11"/>
  <c r="D248" i="11"/>
  <c r="C248" i="11"/>
  <c r="K248" i="11" s="1"/>
  <c r="N247" i="11"/>
  <c r="M247" i="11"/>
  <c r="F247" i="11"/>
  <c r="E247" i="11"/>
  <c r="D247" i="11"/>
  <c r="C247" i="11"/>
  <c r="J246" i="11"/>
  <c r="F246" i="11"/>
  <c r="E246" i="11"/>
  <c r="D246" i="11"/>
  <c r="H246" i="11" s="1"/>
  <c r="C246" i="11"/>
  <c r="J245" i="11"/>
  <c r="F245" i="11"/>
  <c r="E245" i="11"/>
  <c r="D245" i="11"/>
  <c r="H245" i="11" s="1"/>
  <c r="J244" i="11"/>
  <c r="F244" i="11"/>
  <c r="E244" i="11"/>
  <c r="D244" i="11"/>
  <c r="J243" i="11"/>
  <c r="I243" i="11"/>
  <c r="F243" i="11"/>
  <c r="E243" i="11"/>
  <c r="D243" i="11"/>
  <c r="H243" i="11" s="1"/>
  <c r="C243" i="11"/>
  <c r="L243" i="11" s="1"/>
  <c r="N242" i="11"/>
  <c r="M242" i="11"/>
  <c r="L242" i="11"/>
  <c r="K242" i="11"/>
  <c r="J242" i="11"/>
  <c r="I242" i="11"/>
  <c r="G242" i="11"/>
  <c r="F242" i="11"/>
  <c r="E242" i="11"/>
  <c r="D242" i="11"/>
  <c r="H242" i="11" s="1"/>
  <c r="C242" i="11"/>
  <c r="J241" i="11"/>
  <c r="F241" i="11"/>
  <c r="E241" i="11"/>
  <c r="D241" i="11"/>
  <c r="K240" i="11"/>
  <c r="J240" i="11"/>
  <c r="F240" i="11"/>
  <c r="E240" i="11"/>
  <c r="D240" i="11"/>
  <c r="H240" i="11" s="1"/>
  <c r="C240" i="11"/>
  <c r="L240" i="11" s="1"/>
  <c r="J239" i="11"/>
  <c r="F239" i="11"/>
  <c r="E239" i="11"/>
  <c r="D239" i="11"/>
  <c r="H239" i="11" s="1"/>
  <c r="C239" i="11"/>
  <c r="F238" i="11"/>
  <c r="E238" i="11"/>
  <c r="D238" i="11"/>
  <c r="J237" i="11"/>
  <c r="I237" i="11"/>
  <c r="F237" i="11"/>
  <c r="E237" i="11"/>
  <c r="D237" i="11"/>
  <c r="H237" i="11" s="1"/>
  <c r="C237" i="11"/>
  <c r="N236" i="11"/>
  <c r="M236" i="11"/>
  <c r="F236" i="11"/>
  <c r="E236" i="11"/>
  <c r="D236" i="11"/>
  <c r="C236" i="11"/>
  <c r="K235" i="11"/>
  <c r="F235" i="11"/>
  <c r="E235" i="11"/>
  <c r="D235" i="11"/>
  <c r="C235" i="11"/>
  <c r="F234" i="11"/>
  <c r="E234" i="11"/>
  <c r="D234" i="11"/>
  <c r="F233" i="11"/>
  <c r="E233" i="11"/>
  <c r="D233" i="11"/>
  <c r="C233" i="11" s="1"/>
  <c r="J232" i="11"/>
  <c r="F232" i="11"/>
  <c r="E232" i="11"/>
  <c r="D232" i="11"/>
  <c r="H232" i="11" s="1"/>
  <c r="C232" i="11"/>
  <c r="N231" i="11"/>
  <c r="M231" i="11"/>
  <c r="I231" i="11"/>
  <c r="G231" i="11"/>
  <c r="F231" i="11"/>
  <c r="E231" i="11"/>
  <c r="D231" i="11"/>
  <c r="H231" i="11" s="1"/>
  <c r="C231" i="11"/>
  <c r="L231" i="11" s="1"/>
  <c r="N230" i="11"/>
  <c r="M230" i="11"/>
  <c r="L230" i="11"/>
  <c r="J230" i="11"/>
  <c r="G230" i="11"/>
  <c r="F230" i="11"/>
  <c r="E230" i="11"/>
  <c r="D230" i="11"/>
  <c r="H230" i="11" s="1"/>
  <c r="C230" i="11"/>
  <c r="K230" i="11" s="1"/>
  <c r="F229" i="11"/>
  <c r="E229" i="11"/>
  <c r="D229" i="11"/>
  <c r="N228" i="11"/>
  <c r="F228" i="11"/>
  <c r="E228" i="11"/>
  <c r="D228" i="11"/>
  <c r="C228" i="11" s="1"/>
  <c r="L227" i="11"/>
  <c r="K227" i="11"/>
  <c r="J227" i="11"/>
  <c r="I227" i="11"/>
  <c r="G227" i="11"/>
  <c r="F227" i="11"/>
  <c r="E227" i="11"/>
  <c r="D227" i="11"/>
  <c r="H227" i="11" s="1"/>
  <c r="C227" i="11"/>
  <c r="N227" i="11" s="1"/>
  <c r="J226" i="11"/>
  <c r="F226" i="11"/>
  <c r="E226" i="11"/>
  <c r="D226" i="11"/>
  <c r="J225" i="11"/>
  <c r="F225" i="11"/>
  <c r="E225" i="11"/>
  <c r="D225" i="11"/>
  <c r="H225" i="11" s="1"/>
  <c r="N224" i="11"/>
  <c r="I224" i="11"/>
  <c r="G224" i="11"/>
  <c r="F224" i="11"/>
  <c r="E224" i="11"/>
  <c r="D224" i="11"/>
  <c r="H224" i="11" s="1"/>
  <c r="C224" i="11"/>
  <c r="K224" i="11" s="1"/>
  <c r="F223" i="11"/>
  <c r="E223" i="11"/>
  <c r="D223" i="11"/>
  <c r="C223" i="11"/>
  <c r="F222" i="11"/>
  <c r="E222" i="11"/>
  <c r="D222" i="11"/>
  <c r="H222" i="11" s="1"/>
  <c r="C222" i="11"/>
  <c r="J221" i="11"/>
  <c r="I221" i="11"/>
  <c r="G221" i="11"/>
  <c r="F221" i="11"/>
  <c r="E221" i="11"/>
  <c r="D221" i="11"/>
  <c r="H221" i="11" s="1"/>
  <c r="C221" i="11"/>
  <c r="M221" i="11" s="1"/>
  <c r="N220" i="11"/>
  <c r="L220" i="11"/>
  <c r="K220" i="11"/>
  <c r="J220" i="11"/>
  <c r="I220" i="11"/>
  <c r="G220" i="11"/>
  <c r="F220" i="11"/>
  <c r="E220" i="11"/>
  <c r="D220" i="11"/>
  <c r="H220" i="11" s="1"/>
  <c r="C220" i="11"/>
  <c r="M220" i="11" s="1"/>
  <c r="J219" i="11"/>
  <c r="F219" i="11"/>
  <c r="E219" i="11"/>
  <c r="D219" i="11"/>
  <c r="H219" i="11" s="1"/>
  <c r="F218" i="11"/>
  <c r="E218" i="11"/>
  <c r="D218" i="11"/>
  <c r="L217" i="11"/>
  <c r="K217" i="11"/>
  <c r="I217" i="11"/>
  <c r="G217" i="11"/>
  <c r="F217" i="11"/>
  <c r="E217" i="11"/>
  <c r="D217" i="11"/>
  <c r="C217" i="11"/>
  <c r="J216" i="11"/>
  <c r="F216" i="11"/>
  <c r="E216" i="11"/>
  <c r="D216" i="11"/>
  <c r="H216" i="11" s="1"/>
  <c r="J215" i="11"/>
  <c r="F215" i="11"/>
  <c r="E215" i="11"/>
  <c r="D215" i="11"/>
  <c r="H215" i="11" s="1"/>
  <c r="C215" i="11"/>
  <c r="F214" i="11"/>
  <c r="E214" i="11"/>
  <c r="D214" i="11"/>
  <c r="L213" i="11"/>
  <c r="G213" i="11"/>
  <c r="F213" i="11"/>
  <c r="E213" i="11"/>
  <c r="D213" i="11"/>
  <c r="C213" i="11"/>
  <c r="M212" i="11"/>
  <c r="F212" i="11"/>
  <c r="E212" i="11"/>
  <c r="D212" i="11"/>
  <c r="H212" i="11" s="1"/>
  <c r="C212" i="11"/>
  <c r="J211" i="11"/>
  <c r="F211" i="11"/>
  <c r="E211" i="11"/>
  <c r="D211" i="11"/>
  <c r="F210" i="11"/>
  <c r="E210" i="11"/>
  <c r="D210" i="11"/>
  <c r="H210" i="11" s="1"/>
  <c r="C210" i="11"/>
  <c r="M209" i="11"/>
  <c r="J209" i="11"/>
  <c r="I209" i="11"/>
  <c r="G209" i="11"/>
  <c r="F209" i="11"/>
  <c r="E209" i="11"/>
  <c r="D209" i="11"/>
  <c r="H209" i="11" s="1"/>
  <c r="C209" i="11"/>
  <c r="N209" i="11" s="1"/>
  <c r="N208" i="11"/>
  <c r="L208" i="11"/>
  <c r="K208" i="11"/>
  <c r="J208" i="11"/>
  <c r="I208" i="11"/>
  <c r="G208" i="11"/>
  <c r="F208" i="11"/>
  <c r="E208" i="11"/>
  <c r="D208" i="11"/>
  <c r="H208" i="11" s="1"/>
  <c r="C208" i="11"/>
  <c r="M208" i="11" s="1"/>
  <c r="J207" i="11"/>
  <c r="F207" i="11"/>
  <c r="E207" i="11"/>
  <c r="D207" i="11"/>
  <c r="H207" i="11" s="1"/>
  <c r="F206" i="11"/>
  <c r="E206" i="11"/>
  <c r="D206" i="11"/>
  <c r="I205" i="11"/>
  <c r="G205" i="11"/>
  <c r="F205" i="11"/>
  <c r="E205" i="11"/>
  <c r="D205" i="11"/>
  <c r="C205" i="11"/>
  <c r="N205" i="11" s="1"/>
  <c r="J204" i="11"/>
  <c r="F204" i="11"/>
  <c r="E204" i="11"/>
  <c r="D204" i="11"/>
  <c r="H204" i="11" s="1"/>
  <c r="C204" i="11"/>
  <c r="F203" i="11"/>
  <c r="E203" i="11"/>
  <c r="D203" i="11"/>
  <c r="J202" i="11"/>
  <c r="F202" i="11"/>
  <c r="E202" i="11"/>
  <c r="D202" i="11"/>
  <c r="H202" i="11" s="1"/>
  <c r="N201" i="11"/>
  <c r="M201" i="11"/>
  <c r="F201" i="11"/>
  <c r="E201" i="11"/>
  <c r="D201" i="11"/>
  <c r="C201" i="11"/>
  <c r="K201" i="11" s="1"/>
  <c r="K200" i="11"/>
  <c r="G200" i="11"/>
  <c r="F200" i="11"/>
  <c r="E200" i="11"/>
  <c r="D200" i="11"/>
  <c r="H200" i="11" s="1"/>
  <c r="C200" i="11"/>
  <c r="I200" i="11" s="1"/>
  <c r="F199" i="11"/>
  <c r="E199" i="11"/>
  <c r="D199" i="11"/>
  <c r="K198" i="11"/>
  <c r="F198" i="11"/>
  <c r="E198" i="11"/>
  <c r="D198" i="11"/>
  <c r="H198" i="11" s="1"/>
  <c r="C198" i="11"/>
  <c r="J197" i="11"/>
  <c r="F197" i="11"/>
  <c r="E197" i="11"/>
  <c r="D197" i="11"/>
  <c r="H197" i="11" s="1"/>
  <c r="N196" i="11"/>
  <c r="M196" i="11"/>
  <c r="J196" i="11"/>
  <c r="I196" i="11"/>
  <c r="G196" i="11"/>
  <c r="F196" i="11"/>
  <c r="E196" i="11"/>
  <c r="D196" i="11"/>
  <c r="H196" i="11" s="1"/>
  <c r="C196" i="11"/>
  <c r="L196" i="11" s="1"/>
  <c r="F195" i="11"/>
  <c r="E195" i="11"/>
  <c r="D195" i="11"/>
  <c r="F194" i="11"/>
  <c r="E194" i="11"/>
  <c r="D194" i="11"/>
  <c r="J193" i="11"/>
  <c r="F193" i="11"/>
  <c r="E193" i="11"/>
  <c r="D193" i="11"/>
  <c r="H193" i="11" s="1"/>
  <c r="C193" i="11"/>
  <c r="J192" i="11"/>
  <c r="F192" i="11"/>
  <c r="E192" i="11"/>
  <c r="D192" i="11"/>
  <c r="H192" i="11" s="1"/>
  <c r="M191" i="11"/>
  <c r="F191" i="11"/>
  <c r="E191" i="11"/>
  <c r="D191" i="11"/>
  <c r="C191" i="11"/>
  <c r="J190" i="11"/>
  <c r="F190" i="11"/>
  <c r="E190" i="11"/>
  <c r="D190" i="11"/>
  <c r="H190" i="11" s="1"/>
  <c r="M189" i="11"/>
  <c r="F189" i="11"/>
  <c r="E189" i="11"/>
  <c r="D189" i="11"/>
  <c r="C189" i="11" s="1"/>
  <c r="F188" i="11"/>
  <c r="E188" i="11"/>
  <c r="D188" i="11"/>
  <c r="J187" i="11"/>
  <c r="F187" i="11"/>
  <c r="E187" i="11"/>
  <c r="D187" i="11"/>
  <c r="H187" i="11" s="1"/>
  <c r="C187" i="11"/>
  <c r="N186" i="11"/>
  <c r="M186" i="11"/>
  <c r="L186" i="11"/>
  <c r="K186" i="11"/>
  <c r="J186" i="11"/>
  <c r="I186" i="11"/>
  <c r="G186" i="11"/>
  <c r="F186" i="11"/>
  <c r="E186" i="11"/>
  <c r="D186" i="11"/>
  <c r="H186" i="11" s="1"/>
  <c r="C186" i="11"/>
  <c r="J185" i="11"/>
  <c r="F185" i="11"/>
  <c r="E185" i="11"/>
  <c r="D185" i="11"/>
  <c r="H185" i="11" s="1"/>
  <c r="M184" i="11"/>
  <c r="L184" i="11"/>
  <c r="K184" i="11"/>
  <c r="J184" i="11"/>
  <c r="I184" i="11"/>
  <c r="G184" i="11"/>
  <c r="F184" i="11"/>
  <c r="E184" i="11"/>
  <c r="D184" i="11"/>
  <c r="H184" i="11" s="1"/>
  <c r="C184" i="11"/>
  <c r="N184" i="11" s="1"/>
  <c r="F183" i="11"/>
  <c r="E183" i="11"/>
  <c r="D183" i="11"/>
  <c r="J182" i="11"/>
  <c r="F182" i="11"/>
  <c r="E182" i="11"/>
  <c r="D182" i="11"/>
  <c r="H182" i="11" s="1"/>
  <c r="F181" i="11"/>
  <c r="E181" i="11"/>
  <c r="D181" i="11"/>
  <c r="H181" i="11" s="1"/>
  <c r="F180" i="11"/>
  <c r="E180" i="11"/>
  <c r="D180" i="11"/>
  <c r="J179" i="11"/>
  <c r="I179" i="11"/>
  <c r="G179" i="11"/>
  <c r="F179" i="11"/>
  <c r="E179" i="11"/>
  <c r="D179" i="11"/>
  <c r="H179" i="11" s="1"/>
  <c r="C179" i="11"/>
  <c r="N178" i="11"/>
  <c r="M178" i="11"/>
  <c r="L178" i="11"/>
  <c r="J178" i="11"/>
  <c r="I178" i="11"/>
  <c r="H178" i="11"/>
  <c r="G178" i="11"/>
  <c r="F178" i="11"/>
  <c r="E178" i="11"/>
  <c r="D178" i="11"/>
  <c r="C178" i="11"/>
  <c r="K178" i="11" s="1"/>
  <c r="M177" i="11"/>
  <c r="J177" i="11"/>
  <c r="H177" i="11"/>
  <c r="F177" i="11"/>
  <c r="E177" i="11"/>
  <c r="D177" i="11"/>
  <c r="C177" i="11" s="1"/>
  <c r="F176" i="11"/>
  <c r="E176" i="11"/>
  <c r="D176" i="11"/>
  <c r="J175" i="11"/>
  <c r="F175" i="11"/>
  <c r="E175" i="11"/>
  <c r="D175" i="11"/>
  <c r="H175" i="11" s="1"/>
  <c r="C175" i="11"/>
  <c r="J174" i="11"/>
  <c r="I174" i="11"/>
  <c r="F174" i="11"/>
  <c r="E174" i="11"/>
  <c r="D174" i="11"/>
  <c r="H174" i="11" s="1"/>
  <c r="C174" i="11"/>
  <c r="H173" i="11"/>
  <c r="F173" i="11"/>
  <c r="E173" i="11"/>
  <c r="D173" i="11"/>
  <c r="J173" i="11" s="1"/>
  <c r="N172" i="11"/>
  <c r="M172" i="11"/>
  <c r="H172" i="11"/>
  <c r="G172" i="11"/>
  <c r="F172" i="11"/>
  <c r="E172" i="11"/>
  <c r="D172" i="11"/>
  <c r="J172" i="11" s="1"/>
  <c r="C172" i="11"/>
  <c r="K172" i="11" s="1"/>
  <c r="F171" i="11"/>
  <c r="E171" i="11"/>
  <c r="D171" i="11"/>
  <c r="J171" i="11" s="1"/>
  <c r="N170" i="11"/>
  <c r="M170" i="11"/>
  <c r="L170" i="11"/>
  <c r="J170" i="11"/>
  <c r="F170" i="11"/>
  <c r="E170" i="11"/>
  <c r="D170" i="11"/>
  <c r="H170" i="11" s="1"/>
  <c r="C170" i="11"/>
  <c r="K170" i="11" s="1"/>
  <c r="F169" i="11"/>
  <c r="E169" i="11"/>
  <c r="D169" i="11"/>
  <c r="F168" i="11"/>
  <c r="E168" i="11"/>
  <c r="D168" i="11"/>
  <c r="J167" i="11"/>
  <c r="H167" i="11"/>
  <c r="G167" i="11"/>
  <c r="F167" i="11"/>
  <c r="E167" i="11"/>
  <c r="D167" i="11"/>
  <c r="C167" i="11"/>
  <c r="N166" i="11"/>
  <c r="M166" i="11"/>
  <c r="L166" i="11"/>
  <c r="J166" i="11"/>
  <c r="I166" i="11"/>
  <c r="H166" i="11"/>
  <c r="G166" i="11"/>
  <c r="F166" i="11"/>
  <c r="E166" i="11"/>
  <c r="D166" i="11"/>
  <c r="C166" i="11"/>
  <c r="K166" i="11" s="1"/>
  <c r="J165" i="11"/>
  <c r="H165" i="11"/>
  <c r="F165" i="11"/>
  <c r="E165" i="11"/>
  <c r="D165" i="11"/>
  <c r="C165" i="11" s="1"/>
  <c r="F164" i="11"/>
  <c r="E164" i="11"/>
  <c r="D164" i="11"/>
  <c r="F163" i="11"/>
  <c r="E163" i="11"/>
  <c r="D163" i="11"/>
  <c r="J162" i="11"/>
  <c r="F162" i="11"/>
  <c r="E162" i="11"/>
  <c r="D162" i="11"/>
  <c r="H162" i="11" s="1"/>
  <c r="C162" i="11"/>
  <c r="H161" i="11"/>
  <c r="F161" i="11"/>
  <c r="E161" i="11"/>
  <c r="D161" i="11"/>
  <c r="J161" i="11" s="1"/>
  <c r="N160" i="11"/>
  <c r="M160" i="11"/>
  <c r="H160" i="11"/>
  <c r="G160" i="11"/>
  <c r="F160" i="11"/>
  <c r="E160" i="11"/>
  <c r="D160" i="11"/>
  <c r="J160" i="11" s="1"/>
  <c r="C160" i="11"/>
  <c r="K160" i="11" s="1"/>
  <c r="F159" i="11"/>
  <c r="E159" i="11"/>
  <c r="D159" i="11"/>
  <c r="J159" i="11" s="1"/>
  <c r="N158" i="11"/>
  <c r="M158" i="11"/>
  <c r="L158" i="11"/>
  <c r="J158" i="11"/>
  <c r="F158" i="11"/>
  <c r="E158" i="11"/>
  <c r="D158" i="11"/>
  <c r="H158" i="11" s="1"/>
  <c r="C158" i="11"/>
  <c r="K158" i="11" s="1"/>
  <c r="J157" i="11"/>
  <c r="F157" i="11"/>
  <c r="E157" i="11"/>
  <c r="D157" i="11"/>
  <c r="I156" i="11"/>
  <c r="H156" i="11"/>
  <c r="F156" i="11"/>
  <c r="E156" i="11"/>
  <c r="D156" i="11"/>
  <c r="J156" i="11" s="1"/>
  <c r="C156" i="11"/>
  <c r="J155" i="11"/>
  <c r="H155" i="11"/>
  <c r="F155" i="11"/>
  <c r="E155" i="11"/>
  <c r="D155" i="11"/>
  <c r="C155" i="11"/>
  <c r="N154" i="11"/>
  <c r="M154" i="11"/>
  <c r="L154" i="11"/>
  <c r="J154" i="11"/>
  <c r="I154" i="11"/>
  <c r="H154" i="11"/>
  <c r="G154" i="11"/>
  <c r="F154" i="11"/>
  <c r="E154" i="11"/>
  <c r="D154" i="11"/>
  <c r="C154" i="11"/>
  <c r="K154" i="11" s="1"/>
  <c r="N153" i="11"/>
  <c r="M153" i="11"/>
  <c r="J153" i="11"/>
  <c r="H153" i="11"/>
  <c r="F153" i="11"/>
  <c r="E153" i="11"/>
  <c r="D153" i="11"/>
  <c r="C153" i="11" s="1"/>
  <c r="F152" i="11"/>
  <c r="E152" i="11"/>
  <c r="D152" i="11"/>
  <c r="L151" i="11"/>
  <c r="J151" i="11"/>
  <c r="F151" i="11"/>
  <c r="E151" i="11"/>
  <c r="D151" i="11"/>
  <c r="H151" i="11" s="1"/>
  <c r="C151" i="11"/>
  <c r="J150" i="11"/>
  <c r="I150" i="11"/>
  <c r="F150" i="11"/>
  <c r="E150" i="11"/>
  <c r="D150" i="11"/>
  <c r="H150" i="11" s="1"/>
  <c r="C150" i="11"/>
  <c r="H149" i="11"/>
  <c r="F149" i="11"/>
  <c r="E149" i="11"/>
  <c r="D149" i="11"/>
  <c r="J149" i="11" s="1"/>
  <c r="N148" i="11"/>
  <c r="M148" i="11"/>
  <c r="H148" i="11"/>
  <c r="G148" i="11"/>
  <c r="F148" i="11"/>
  <c r="E148" i="11"/>
  <c r="D148" i="11"/>
  <c r="J148" i="11" s="1"/>
  <c r="C148" i="11"/>
  <c r="K148" i="11" s="1"/>
  <c r="F147" i="11"/>
  <c r="E147" i="11"/>
  <c r="D147" i="11"/>
  <c r="J147" i="11" s="1"/>
  <c r="N146" i="11"/>
  <c r="M146" i="11"/>
  <c r="L146" i="11"/>
  <c r="J146" i="11"/>
  <c r="F146" i="11"/>
  <c r="E146" i="11"/>
  <c r="D146" i="11"/>
  <c r="H146" i="11" s="1"/>
  <c r="C146" i="11"/>
  <c r="K146" i="11" s="1"/>
  <c r="F145" i="11"/>
  <c r="E145" i="11"/>
  <c r="D145" i="11"/>
  <c r="F144" i="11"/>
  <c r="E144" i="11"/>
  <c r="D144" i="11"/>
  <c r="C144" i="11" s="1"/>
  <c r="J143" i="11"/>
  <c r="H143" i="11"/>
  <c r="F143" i="11"/>
  <c r="E143" i="11"/>
  <c r="D143" i="11"/>
  <c r="C143" i="11"/>
  <c r="N142" i="11"/>
  <c r="M142" i="11"/>
  <c r="L142" i="11"/>
  <c r="J142" i="11"/>
  <c r="I142" i="11"/>
  <c r="H142" i="11"/>
  <c r="G142" i="11"/>
  <c r="F142" i="11"/>
  <c r="E142" i="11"/>
  <c r="D142" i="11"/>
  <c r="C142" i="11"/>
  <c r="K142" i="11" s="1"/>
  <c r="N141" i="11"/>
  <c r="M141" i="11"/>
  <c r="J141" i="11"/>
  <c r="H141" i="11"/>
  <c r="F141" i="11"/>
  <c r="E141" i="11"/>
  <c r="D141" i="11"/>
  <c r="C141" i="11" s="1"/>
  <c r="F140" i="11"/>
  <c r="E140" i="11"/>
  <c r="D140" i="11"/>
  <c r="F139" i="11"/>
  <c r="E139" i="11"/>
  <c r="D139" i="11"/>
  <c r="C139" i="11"/>
  <c r="J138" i="11"/>
  <c r="F138" i="11"/>
  <c r="E138" i="11"/>
  <c r="D138" i="11"/>
  <c r="H138" i="11" s="1"/>
  <c r="C138" i="11"/>
  <c r="H137" i="11"/>
  <c r="F137" i="11"/>
  <c r="E137" i="11"/>
  <c r="D137" i="11"/>
  <c r="J137" i="11" s="1"/>
  <c r="H136" i="11"/>
  <c r="F136" i="11"/>
  <c r="E136" i="11"/>
  <c r="D136" i="11"/>
  <c r="J136" i="11" s="1"/>
  <c r="C136" i="11"/>
  <c r="F135" i="11"/>
  <c r="E135" i="11"/>
  <c r="D135" i="11"/>
  <c r="J135" i="11" s="1"/>
  <c r="N134" i="11"/>
  <c r="M134" i="11"/>
  <c r="L134" i="11"/>
  <c r="J134" i="11"/>
  <c r="F134" i="11"/>
  <c r="E134" i="11"/>
  <c r="D134" i="11"/>
  <c r="H134" i="11" s="1"/>
  <c r="C134" i="11"/>
  <c r="K134" i="11" s="1"/>
  <c r="J133" i="11"/>
  <c r="F133" i="11"/>
  <c r="E133" i="11"/>
  <c r="D133" i="11"/>
  <c r="F132" i="11"/>
  <c r="E132" i="11"/>
  <c r="D132" i="11"/>
  <c r="J131" i="11"/>
  <c r="H131" i="11"/>
  <c r="F131" i="11"/>
  <c r="E131" i="11"/>
  <c r="D131" i="11"/>
  <c r="C131" i="11"/>
  <c r="N130" i="11"/>
  <c r="M130" i="11"/>
  <c r="L130" i="11"/>
  <c r="J130" i="11"/>
  <c r="I130" i="11"/>
  <c r="H130" i="11"/>
  <c r="G130" i="11"/>
  <c r="F130" i="11"/>
  <c r="E130" i="11"/>
  <c r="D130" i="11"/>
  <c r="C130" i="11"/>
  <c r="K130" i="11" s="1"/>
  <c r="J129" i="11"/>
  <c r="H129" i="11"/>
  <c r="F129" i="11"/>
  <c r="E129" i="11"/>
  <c r="D129" i="11"/>
  <c r="C129" i="11" s="1"/>
  <c r="F128" i="11"/>
  <c r="E128" i="11"/>
  <c r="D128" i="11"/>
  <c r="F127" i="11"/>
  <c r="E127" i="11"/>
  <c r="D127" i="11"/>
  <c r="C127" i="11"/>
  <c r="J126" i="11"/>
  <c r="F126" i="11"/>
  <c r="E126" i="11"/>
  <c r="D126" i="11"/>
  <c r="H126" i="11" s="1"/>
  <c r="C126" i="11"/>
  <c r="F125" i="11"/>
  <c r="E125" i="11"/>
  <c r="D125" i="11"/>
  <c r="H124" i="11"/>
  <c r="F124" i="11"/>
  <c r="E124" i="11"/>
  <c r="D124" i="11"/>
  <c r="J124" i="11" s="1"/>
  <c r="C124" i="11"/>
  <c r="F123" i="11"/>
  <c r="E123" i="11"/>
  <c r="D123" i="11"/>
  <c r="J123" i="11" s="1"/>
  <c r="N122" i="11"/>
  <c r="M122" i="11"/>
  <c r="L122" i="11"/>
  <c r="J122" i="11"/>
  <c r="F122" i="11"/>
  <c r="E122" i="11"/>
  <c r="D122" i="11"/>
  <c r="H122" i="11" s="1"/>
  <c r="C122" i="11"/>
  <c r="K122" i="11" s="1"/>
  <c r="J121" i="11"/>
  <c r="F121" i="11"/>
  <c r="E121" i="11"/>
  <c r="D121" i="11"/>
  <c r="F120" i="11"/>
  <c r="E120" i="11"/>
  <c r="D120" i="11"/>
  <c r="C120" i="11"/>
  <c r="J119" i="11"/>
  <c r="H119" i="11"/>
  <c r="F119" i="11"/>
  <c r="E119" i="11"/>
  <c r="D119" i="11"/>
  <c r="C119" i="11"/>
  <c r="N118" i="11"/>
  <c r="M118" i="11"/>
  <c r="L118" i="11"/>
  <c r="J118" i="11"/>
  <c r="I118" i="11"/>
  <c r="H118" i="11"/>
  <c r="G118" i="11"/>
  <c r="F118" i="11"/>
  <c r="E118" i="11"/>
  <c r="D118" i="11"/>
  <c r="C118" i="11"/>
  <c r="K118" i="11" s="1"/>
  <c r="J117" i="11"/>
  <c r="H117" i="11"/>
  <c r="F117" i="11"/>
  <c r="E117" i="11"/>
  <c r="D117" i="11"/>
  <c r="C117" i="11" s="1"/>
  <c r="F116" i="11"/>
  <c r="E116" i="11"/>
  <c r="D116" i="11"/>
  <c r="F115" i="11"/>
  <c r="E115" i="11"/>
  <c r="D115" i="11"/>
  <c r="C115" i="11"/>
  <c r="F114" i="11"/>
  <c r="E114" i="11"/>
  <c r="D114" i="11"/>
  <c r="F113" i="11"/>
  <c r="E113" i="11"/>
  <c r="D113" i="11"/>
  <c r="H112" i="11"/>
  <c r="G112" i="11"/>
  <c r="F112" i="11"/>
  <c r="E112" i="11"/>
  <c r="D112" i="11"/>
  <c r="J112" i="11" s="1"/>
  <c r="C112" i="11"/>
  <c r="F111" i="11"/>
  <c r="E111" i="11"/>
  <c r="D111" i="11"/>
  <c r="J110" i="11"/>
  <c r="F110" i="11"/>
  <c r="E110" i="11"/>
  <c r="D110" i="11"/>
  <c r="H110" i="11" s="1"/>
  <c r="C110" i="11"/>
  <c r="F109" i="11"/>
  <c r="E109" i="11"/>
  <c r="D109" i="11"/>
  <c r="J108" i="11"/>
  <c r="I108" i="11"/>
  <c r="H108" i="11"/>
  <c r="F108" i="11"/>
  <c r="E108" i="11"/>
  <c r="D108" i="11"/>
  <c r="C108" i="11" s="1"/>
  <c r="M107" i="11"/>
  <c r="J107" i="11"/>
  <c r="I107" i="11"/>
  <c r="H107" i="11"/>
  <c r="G107" i="11"/>
  <c r="F107" i="11"/>
  <c r="E107" i="11"/>
  <c r="D107" i="11"/>
  <c r="C107" i="11"/>
  <c r="N106" i="11"/>
  <c r="M106" i="11"/>
  <c r="L106" i="11"/>
  <c r="J106" i="11"/>
  <c r="I106" i="11"/>
  <c r="H106" i="11"/>
  <c r="G106" i="11"/>
  <c r="F106" i="11"/>
  <c r="E106" i="11"/>
  <c r="D106" i="11"/>
  <c r="C106" i="11"/>
  <c r="K106" i="11" s="1"/>
  <c r="J105" i="11"/>
  <c r="H105" i="11"/>
  <c r="G105" i="11"/>
  <c r="F105" i="11"/>
  <c r="E105" i="11"/>
  <c r="D105" i="11"/>
  <c r="C105" i="11" s="1"/>
  <c r="F104" i="11"/>
  <c r="E104" i="11"/>
  <c r="D104" i="11"/>
  <c r="J103" i="11"/>
  <c r="F103" i="11"/>
  <c r="E103" i="11"/>
  <c r="D103" i="11"/>
  <c r="H103" i="11" s="1"/>
  <c r="C103" i="11"/>
  <c r="J102" i="11"/>
  <c r="I102" i="11"/>
  <c r="F102" i="11"/>
  <c r="E102" i="11"/>
  <c r="D102" i="11"/>
  <c r="H102" i="11" s="1"/>
  <c r="C102" i="11"/>
  <c r="F101" i="11"/>
  <c r="E101" i="11"/>
  <c r="D101" i="11"/>
  <c r="C101" i="11"/>
  <c r="F100" i="11"/>
  <c r="E100" i="11"/>
  <c r="D100" i="11"/>
  <c r="J100" i="11" s="1"/>
  <c r="M99" i="11"/>
  <c r="L99" i="11"/>
  <c r="G99" i="11"/>
  <c r="F99" i="11"/>
  <c r="E99" i="11"/>
  <c r="D99" i="11"/>
  <c r="C99" i="11" s="1"/>
  <c r="N98" i="11"/>
  <c r="J98" i="11"/>
  <c r="F98" i="11"/>
  <c r="E98" i="11"/>
  <c r="D98" i="11"/>
  <c r="H98" i="11" s="1"/>
  <c r="C98" i="11"/>
  <c r="F97" i="11"/>
  <c r="E97" i="11"/>
  <c r="D97" i="11"/>
  <c r="J96" i="11"/>
  <c r="F96" i="11"/>
  <c r="E96" i="11"/>
  <c r="D96" i="11"/>
  <c r="M95" i="11"/>
  <c r="L95" i="11"/>
  <c r="J95" i="11"/>
  <c r="I95" i="11"/>
  <c r="H95" i="11"/>
  <c r="G95" i="11"/>
  <c r="F95" i="11"/>
  <c r="E95" i="11"/>
  <c r="D95" i="11"/>
  <c r="C95" i="11"/>
  <c r="N94" i="11"/>
  <c r="M94" i="11"/>
  <c r="L94" i="11"/>
  <c r="J94" i="11"/>
  <c r="I94" i="11"/>
  <c r="H94" i="11"/>
  <c r="G94" i="11"/>
  <c r="F94" i="11"/>
  <c r="E94" i="11"/>
  <c r="D94" i="11"/>
  <c r="C94" i="11"/>
  <c r="K94" i="11" s="1"/>
  <c r="J93" i="11"/>
  <c r="H93" i="11"/>
  <c r="F93" i="11"/>
  <c r="E93" i="11"/>
  <c r="D93" i="11"/>
  <c r="C93" i="11" s="1"/>
  <c r="F92" i="11"/>
  <c r="E92" i="11"/>
  <c r="D92" i="11"/>
  <c r="J91" i="11"/>
  <c r="H91" i="11"/>
  <c r="G91" i="11"/>
  <c r="F91" i="11"/>
  <c r="E91" i="11"/>
  <c r="D91" i="11"/>
  <c r="C91" i="11" s="1"/>
  <c r="F90" i="11"/>
  <c r="E90" i="11"/>
  <c r="D90" i="11"/>
  <c r="H90" i="11" s="1"/>
  <c r="F89" i="11"/>
  <c r="E89" i="11"/>
  <c r="D89" i="11"/>
  <c r="H88" i="11"/>
  <c r="F88" i="11"/>
  <c r="E88" i="11"/>
  <c r="D88" i="11"/>
  <c r="J88" i="11" s="1"/>
  <c r="L87" i="11"/>
  <c r="F87" i="11"/>
  <c r="E87" i="11"/>
  <c r="D87" i="11"/>
  <c r="C87" i="11"/>
  <c r="F86" i="11"/>
  <c r="E86" i="11"/>
  <c r="D86" i="11"/>
  <c r="N85" i="11"/>
  <c r="M85" i="11"/>
  <c r="L85" i="11"/>
  <c r="J85" i="11"/>
  <c r="I85" i="11"/>
  <c r="F85" i="11"/>
  <c r="E85" i="11"/>
  <c r="D85" i="11"/>
  <c r="H85" i="11" s="1"/>
  <c r="C85" i="11"/>
  <c r="F84" i="11"/>
  <c r="E84" i="11"/>
  <c r="D84" i="11"/>
  <c r="J83" i="11"/>
  <c r="H83" i="11"/>
  <c r="F83" i="11"/>
  <c r="E83" i="11"/>
  <c r="D83" i="11"/>
  <c r="C83" i="11"/>
  <c r="N82" i="11"/>
  <c r="M82" i="11"/>
  <c r="L82" i="11"/>
  <c r="J82" i="11"/>
  <c r="I82" i="11"/>
  <c r="H82" i="11"/>
  <c r="G82" i="11"/>
  <c r="F82" i="11"/>
  <c r="E82" i="11"/>
  <c r="D82" i="11"/>
  <c r="C82" i="11"/>
  <c r="K82" i="11" s="1"/>
  <c r="N81" i="11"/>
  <c r="J81" i="11"/>
  <c r="H81" i="11"/>
  <c r="F81" i="11"/>
  <c r="E81" i="11"/>
  <c r="D81" i="11"/>
  <c r="C81" i="11" s="1"/>
  <c r="K81" i="11" s="1"/>
  <c r="M80" i="11"/>
  <c r="L80" i="11"/>
  <c r="J80" i="11"/>
  <c r="F80" i="11"/>
  <c r="E80" i="11"/>
  <c r="D80" i="11"/>
  <c r="C80" i="11" s="1"/>
  <c r="L79" i="11"/>
  <c r="J79" i="11"/>
  <c r="I79" i="11"/>
  <c r="H79" i="11"/>
  <c r="G79" i="11"/>
  <c r="F79" i="11"/>
  <c r="E79" i="11"/>
  <c r="D79" i="11"/>
  <c r="C79" i="11"/>
  <c r="F78" i="11"/>
  <c r="E78" i="11"/>
  <c r="D78" i="11"/>
  <c r="C78" i="11"/>
  <c r="N77" i="11"/>
  <c r="F77" i="11"/>
  <c r="E77" i="11"/>
  <c r="D77" i="11"/>
  <c r="J77" i="11" s="1"/>
  <c r="C77" i="11"/>
  <c r="N76" i="11"/>
  <c r="M76" i="11"/>
  <c r="H76" i="11"/>
  <c r="G76" i="11"/>
  <c r="F76" i="11"/>
  <c r="E76" i="11"/>
  <c r="D76" i="11"/>
  <c r="J76" i="11" s="1"/>
  <c r="C76" i="11"/>
  <c r="M75" i="11"/>
  <c r="F75" i="11"/>
  <c r="E75" i="11"/>
  <c r="D75" i="11"/>
  <c r="C75" i="11"/>
  <c r="N74" i="11"/>
  <c r="F74" i="11"/>
  <c r="E74" i="11"/>
  <c r="D74" i="11"/>
  <c r="H74" i="11" s="1"/>
  <c r="C74" i="11"/>
  <c r="J73" i="11"/>
  <c r="F73" i="11"/>
  <c r="E73" i="11"/>
  <c r="D73" i="11"/>
  <c r="H73" i="11" s="1"/>
  <c r="N72" i="11"/>
  <c r="J72" i="11"/>
  <c r="H72" i="11"/>
  <c r="F72" i="11"/>
  <c r="E72" i="11"/>
  <c r="D72" i="11"/>
  <c r="C72" i="11" s="1"/>
  <c r="L71" i="11"/>
  <c r="J71" i="11"/>
  <c r="I71" i="11"/>
  <c r="H71" i="11"/>
  <c r="G71" i="11"/>
  <c r="F71" i="11"/>
  <c r="E71" i="11"/>
  <c r="D71" i="11"/>
  <c r="C71" i="11"/>
  <c r="K71" i="11" s="1"/>
  <c r="N70" i="11"/>
  <c r="M70" i="11"/>
  <c r="L70" i="11"/>
  <c r="J70" i="11"/>
  <c r="I70" i="11"/>
  <c r="H70" i="11"/>
  <c r="G70" i="11"/>
  <c r="F70" i="11"/>
  <c r="E70" i="11"/>
  <c r="D70" i="11"/>
  <c r="C70" i="11"/>
  <c r="K70" i="11" s="1"/>
  <c r="J69" i="11"/>
  <c r="H69" i="11"/>
  <c r="F69" i="11"/>
  <c r="E69" i="11"/>
  <c r="D69" i="11"/>
  <c r="C69" i="11" s="1"/>
  <c r="M68" i="11"/>
  <c r="L68" i="11"/>
  <c r="F68" i="11"/>
  <c r="E68" i="11"/>
  <c r="D68" i="11"/>
  <c r="C68" i="11" s="1"/>
  <c r="J67" i="11"/>
  <c r="H67" i="11"/>
  <c r="F67" i="11"/>
  <c r="E67" i="11"/>
  <c r="D67" i="11"/>
  <c r="C67" i="11" s="1"/>
  <c r="J66" i="11"/>
  <c r="F66" i="11"/>
  <c r="E66" i="11"/>
  <c r="D66" i="11"/>
  <c r="H66" i="11" s="1"/>
  <c r="C66" i="11"/>
  <c r="F65" i="11"/>
  <c r="E65" i="11"/>
  <c r="D65" i="11"/>
  <c r="J65" i="11" s="1"/>
  <c r="M64" i="11"/>
  <c r="I64" i="11"/>
  <c r="H64" i="11"/>
  <c r="F64" i="11"/>
  <c r="E64" i="11"/>
  <c r="D64" i="11"/>
  <c r="J64" i="11" s="1"/>
  <c r="C64" i="11"/>
  <c r="H63" i="11"/>
  <c r="F63" i="11"/>
  <c r="E63" i="11"/>
  <c r="D63" i="11"/>
  <c r="J63" i="11" s="1"/>
  <c r="F62" i="11"/>
  <c r="E62" i="11"/>
  <c r="D62" i="11"/>
  <c r="F61" i="11"/>
  <c r="E61" i="11"/>
  <c r="D61" i="11"/>
  <c r="J61" i="11" s="1"/>
  <c r="M60" i="11"/>
  <c r="H60" i="11"/>
  <c r="F60" i="11"/>
  <c r="E60" i="11"/>
  <c r="D60" i="11"/>
  <c r="J60" i="11" s="1"/>
  <c r="C60" i="11"/>
  <c r="H59" i="11"/>
  <c r="F59" i="11"/>
  <c r="E59" i="11"/>
  <c r="D59" i="11"/>
  <c r="J59" i="11" s="1"/>
  <c r="I58" i="11"/>
  <c r="F58" i="11"/>
  <c r="E58" i="11"/>
  <c r="D58" i="11"/>
  <c r="C58" i="11"/>
  <c r="F57" i="11"/>
  <c r="E57" i="11"/>
  <c r="D57" i="11"/>
  <c r="J57" i="11" s="1"/>
  <c r="H56" i="11"/>
  <c r="F56" i="11"/>
  <c r="E56" i="11"/>
  <c r="D56" i="11"/>
  <c r="J56" i="11" s="1"/>
  <c r="C56" i="11"/>
  <c r="H55" i="11"/>
  <c r="F55" i="11"/>
  <c r="E55" i="11"/>
  <c r="D55" i="11"/>
  <c r="J55" i="11" s="1"/>
  <c r="F54" i="11"/>
  <c r="E54" i="11"/>
  <c r="D54" i="11"/>
  <c r="F53" i="11"/>
  <c r="E53" i="11"/>
  <c r="D53" i="11"/>
  <c r="J53" i="11" s="1"/>
  <c r="I52" i="11"/>
  <c r="H52" i="11"/>
  <c r="F52" i="11"/>
  <c r="E52" i="11"/>
  <c r="D52" i="11"/>
  <c r="J52" i="11" s="1"/>
  <c r="C52" i="11"/>
  <c r="M52" i="11" s="1"/>
  <c r="H51" i="11"/>
  <c r="F51" i="11"/>
  <c r="E51" i="11"/>
  <c r="D51" i="11"/>
  <c r="J51" i="11" s="1"/>
  <c r="I50" i="11"/>
  <c r="F50" i="11"/>
  <c r="E50" i="11"/>
  <c r="D50" i="11"/>
  <c r="C50" i="11"/>
  <c r="F49" i="11"/>
  <c r="E49" i="11"/>
  <c r="D49" i="11"/>
  <c r="J49" i="11" s="1"/>
  <c r="M48" i="11"/>
  <c r="I48" i="11"/>
  <c r="H48" i="11"/>
  <c r="F48" i="11"/>
  <c r="E48" i="11"/>
  <c r="D48" i="11"/>
  <c r="J48" i="11" s="1"/>
  <c r="C48" i="11"/>
  <c r="H47" i="11"/>
  <c r="F47" i="11"/>
  <c r="E47" i="11"/>
  <c r="D47" i="11"/>
  <c r="J47" i="11" s="1"/>
  <c r="F46" i="11"/>
  <c r="E46" i="11"/>
  <c r="D46" i="11"/>
  <c r="F45" i="11"/>
  <c r="E45" i="11"/>
  <c r="D45" i="11"/>
  <c r="J45" i="11" s="1"/>
  <c r="M44" i="11"/>
  <c r="H44" i="11"/>
  <c r="F44" i="11"/>
  <c r="E44" i="11"/>
  <c r="D44" i="11"/>
  <c r="J44" i="11" s="1"/>
  <c r="C44" i="11"/>
  <c r="H43" i="11"/>
  <c r="F43" i="11"/>
  <c r="E43" i="11"/>
  <c r="D43" i="11"/>
  <c r="J43" i="11" s="1"/>
  <c r="I42" i="11"/>
  <c r="F42" i="11"/>
  <c r="E42" i="11"/>
  <c r="D42" i="11"/>
  <c r="C42" i="11"/>
  <c r="F41" i="11"/>
  <c r="E41" i="11"/>
  <c r="D41" i="11"/>
  <c r="J41" i="11" s="1"/>
  <c r="H40" i="11"/>
  <c r="F40" i="11"/>
  <c r="E40" i="11"/>
  <c r="D40" i="11"/>
  <c r="J40" i="11" s="1"/>
  <c r="C40" i="11"/>
  <c r="H39" i="11"/>
  <c r="F39" i="11"/>
  <c r="E39" i="11"/>
  <c r="D39" i="11"/>
  <c r="J39" i="11" s="1"/>
  <c r="F38" i="11"/>
  <c r="E38" i="11"/>
  <c r="D38" i="11"/>
  <c r="F37" i="11"/>
  <c r="E37" i="11"/>
  <c r="D37" i="11"/>
  <c r="J37" i="11" s="1"/>
  <c r="I36" i="11"/>
  <c r="H36" i="11"/>
  <c r="F36" i="11"/>
  <c r="E36" i="11"/>
  <c r="D36" i="11"/>
  <c r="J36" i="11" s="1"/>
  <c r="C36" i="11"/>
  <c r="M36" i="11" s="1"/>
  <c r="H35" i="11"/>
  <c r="F35" i="11"/>
  <c r="E35" i="11"/>
  <c r="D35" i="11"/>
  <c r="J35" i="11" s="1"/>
  <c r="I34" i="11"/>
  <c r="F34" i="11"/>
  <c r="E34" i="11"/>
  <c r="D34" i="11"/>
  <c r="C34" i="11"/>
  <c r="F33" i="11"/>
  <c r="E33" i="11"/>
  <c r="D33" i="11"/>
  <c r="J33" i="11" s="1"/>
  <c r="M32" i="11"/>
  <c r="I32" i="11"/>
  <c r="H32" i="11"/>
  <c r="F32" i="11"/>
  <c r="E32" i="11"/>
  <c r="D32" i="11"/>
  <c r="J32" i="11" s="1"/>
  <c r="C32" i="11"/>
  <c r="H31" i="11"/>
  <c r="F31" i="11"/>
  <c r="E31" i="11"/>
  <c r="D31" i="11"/>
  <c r="J31" i="11" s="1"/>
  <c r="F30" i="11"/>
  <c r="E30" i="11"/>
  <c r="D30" i="11"/>
  <c r="F29" i="11"/>
  <c r="E29" i="11"/>
  <c r="D29" i="11"/>
  <c r="J29" i="11" s="1"/>
  <c r="M28" i="11"/>
  <c r="H28" i="11"/>
  <c r="F28" i="11"/>
  <c r="E28" i="11"/>
  <c r="D28" i="11"/>
  <c r="J28" i="11" s="1"/>
  <c r="C28" i="11"/>
  <c r="H27" i="11"/>
  <c r="F27" i="11"/>
  <c r="E27" i="11"/>
  <c r="D27" i="11"/>
  <c r="J27" i="11" s="1"/>
  <c r="I26" i="11"/>
  <c r="F26" i="11"/>
  <c r="E26" i="11"/>
  <c r="D26" i="11"/>
  <c r="C26" i="11"/>
  <c r="F25" i="11"/>
  <c r="E25" i="11"/>
  <c r="D25" i="11"/>
  <c r="J25" i="11" s="1"/>
  <c r="H24" i="11"/>
  <c r="F24" i="11"/>
  <c r="E24" i="11"/>
  <c r="D24" i="11"/>
  <c r="J24" i="11" s="1"/>
  <c r="C24" i="11"/>
  <c r="H23" i="11"/>
  <c r="F23" i="11"/>
  <c r="E23" i="11"/>
  <c r="D23" i="11"/>
  <c r="J23" i="11" s="1"/>
  <c r="F22" i="11"/>
  <c r="E22" i="11"/>
  <c r="D22" i="11"/>
  <c r="F21" i="11"/>
  <c r="E21" i="11"/>
  <c r="D21" i="11"/>
  <c r="J21" i="11" s="1"/>
  <c r="I20" i="11"/>
  <c r="H20" i="11"/>
  <c r="F20" i="11"/>
  <c r="E20" i="11"/>
  <c r="D20" i="11"/>
  <c r="J20" i="11" s="1"/>
  <c r="C20" i="11"/>
  <c r="M20" i="11" s="1"/>
  <c r="H19" i="11"/>
  <c r="F19" i="11"/>
  <c r="E19" i="11"/>
  <c r="D19" i="11"/>
  <c r="J19" i="11" s="1"/>
  <c r="I18" i="11"/>
  <c r="F18" i="11"/>
  <c r="E18" i="11"/>
  <c r="D18" i="11"/>
  <c r="C18" i="11"/>
  <c r="F17" i="11"/>
  <c r="E17" i="11"/>
  <c r="D17" i="11"/>
  <c r="J17" i="11" s="1"/>
  <c r="M16" i="11"/>
  <c r="I16" i="11"/>
  <c r="H16" i="11"/>
  <c r="F16" i="11"/>
  <c r="E16" i="11"/>
  <c r="D16" i="11"/>
  <c r="J16" i="11" s="1"/>
  <c r="C16" i="11"/>
  <c r="H15" i="11"/>
  <c r="F15" i="11"/>
  <c r="E15" i="11"/>
  <c r="D15" i="11"/>
  <c r="J15" i="11" s="1"/>
  <c r="F14" i="11"/>
  <c r="E14" i="11"/>
  <c r="D14" i="11"/>
  <c r="F13" i="11"/>
  <c r="E13" i="11"/>
  <c r="D13" i="11"/>
  <c r="J13" i="11" s="1"/>
  <c r="M12" i="11"/>
  <c r="H12" i="11"/>
  <c r="F12" i="11"/>
  <c r="E12" i="11"/>
  <c r="D12" i="11"/>
  <c r="J12" i="11" s="1"/>
  <c r="C12" i="11"/>
  <c r="H11" i="11"/>
  <c r="F11" i="11"/>
  <c r="E11" i="11"/>
  <c r="D11" i="11"/>
  <c r="J11" i="11" s="1"/>
  <c r="I10" i="11"/>
  <c r="F10" i="11"/>
  <c r="E10" i="11"/>
  <c r="D10" i="11"/>
  <c r="C10" i="11"/>
  <c r="N9" i="11"/>
  <c r="G9" i="11"/>
  <c r="F9" i="11"/>
  <c r="E9" i="11"/>
  <c r="D9" i="11"/>
  <c r="J9" i="11" s="1"/>
  <c r="C9" i="11"/>
  <c r="K9" i="11" s="1"/>
  <c r="N8" i="11"/>
  <c r="M8" i="11"/>
  <c r="L8" i="11"/>
  <c r="F8" i="11"/>
  <c r="E8" i="11"/>
  <c r="D8" i="11"/>
  <c r="J8" i="11" s="1"/>
  <c r="C8" i="11"/>
  <c r="K8" i="11" s="1"/>
  <c r="H7" i="11"/>
  <c r="F7" i="11"/>
  <c r="E7" i="11"/>
  <c r="D7" i="11"/>
  <c r="J7" i="11" s="1"/>
  <c r="C7" i="11"/>
  <c r="N6" i="11"/>
  <c r="M6" i="11"/>
  <c r="L6" i="11"/>
  <c r="I6" i="11"/>
  <c r="H6" i="11"/>
  <c r="G6" i="11"/>
  <c r="F6" i="11"/>
  <c r="E6" i="11"/>
  <c r="D6" i="11"/>
  <c r="J6" i="11" s="1"/>
  <c r="C6" i="11"/>
  <c r="K6" i="11" s="1"/>
  <c r="F5" i="11"/>
  <c r="E5" i="11"/>
  <c r="D5" i="11"/>
  <c r="F4" i="11"/>
  <c r="E4" i="11"/>
  <c r="D4" i="11"/>
  <c r="C4" i="11" s="1"/>
  <c r="N3" i="11"/>
  <c r="G3" i="11"/>
  <c r="F3" i="11"/>
  <c r="E3" i="11"/>
  <c r="D3" i="11"/>
  <c r="J3" i="11" s="1"/>
  <c r="C3" i="11"/>
  <c r="K3" i="11" s="1"/>
  <c r="N2" i="11"/>
  <c r="M2" i="11"/>
  <c r="L2" i="11"/>
  <c r="F2" i="11"/>
  <c r="E2" i="11"/>
  <c r="D2" i="11"/>
  <c r="J2" i="11" s="1"/>
  <c r="C2" i="11"/>
  <c r="K2" i="11" s="1"/>
  <c r="D676" i="10"/>
  <c r="C676" i="10"/>
  <c r="D675" i="10"/>
  <c r="C675" i="10"/>
  <c r="D674" i="10"/>
  <c r="C674" i="10"/>
  <c r="D673" i="10"/>
  <c r="C673" i="10"/>
  <c r="D672" i="10"/>
  <c r="C672" i="10"/>
  <c r="D671" i="10"/>
  <c r="C671" i="10"/>
  <c r="D670" i="10"/>
  <c r="C670" i="10"/>
  <c r="D669" i="10"/>
  <c r="C669" i="10"/>
  <c r="D668" i="10"/>
  <c r="C668" i="10"/>
  <c r="D667" i="10"/>
  <c r="C667" i="10"/>
  <c r="D666" i="10"/>
  <c r="C666" i="10"/>
  <c r="D665" i="10"/>
  <c r="C665" i="10"/>
  <c r="D664" i="10"/>
  <c r="C664" i="10"/>
  <c r="E663" i="10"/>
  <c r="D663" i="10"/>
  <c r="C663" i="10"/>
  <c r="D662" i="10"/>
  <c r="C662" i="10"/>
  <c r="D661" i="10"/>
  <c r="C661" i="10"/>
  <c r="D660" i="10"/>
  <c r="C660" i="10"/>
  <c r="D659" i="10"/>
  <c r="C659" i="10"/>
  <c r="D658" i="10"/>
  <c r="C658" i="10"/>
  <c r="D657" i="10"/>
  <c r="C657" i="10"/>
  <c r="D656" i="10"/>
  <c r="C656" i="10"/>
  <c r="D655" i="10"/>
  <c r="C655" i="10"/>
  <c r="D654" i="10"/>
  <c r="C654" i="10"/>
  <c r="D653" i="10"/>
  <c r="C653" i="10"/>
  <c r="C652" i="10"/>
  <c r="D651" i="10"/>
  <c r="C651" i="10"/>
  <c r="D650" i="10"/>
  <c r="C650" i="10"/>
  <c r="D649" i="10"/>
  <c r="C649" i="10"/>
  <c r="D648" i="10"/>
  <c r="C648" i="10"/>
  <c r="D647" i="10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D640" i="10"/>
  <c r="C640" i="10"/>
  <c r="D639" i="10"/>
  <c r="C639" i="10"/>
  <c r="D638" i="10"/>
  <c r="C638" i="10"/>
  <c r="D637" i="10"/>
  <c r="C637" i="10"/>
  <c r="D636" i="10"/>
  <c r="C636" i="10"/>
  <c r="D635" i="10"/>
  <c r="C635" i="10"/>
  <c r="E634" i="10"/>
  <c r="D634" i="10"/>
  <c r="C634" i="10"/>
  <c r="D633" i="10"/>
  <c r="C633" i="10"/>
  <c r="D632" i="10"/>
  <c r="C632" i="10"/>
  <c r="D631" i="10"/>
  <c r="C631" i="10"/>
  <c r="D630" i="10"/>
  <c r="C630" i="10"/>
  <c r="F629" i="10"/>
  <c r="E629" i="10"/>
  <c r="D629" i="10"/>
  <c r="C629" i="10"/>
  <c r="E628" i="10"/>
  <c r="D628" i="10"/>
  <c r="C628" i="10"/>
  <c r="D627" i="10"/>
  <c r="C627" i="10"/>
  <c r="D626" i="10"/>
  <c r="C626" i="10"/>
  <c r="D625" i="10"/>
  <c r="C625" i="10"/>
  <c r="D624" i="10"/>
  <c r="C624" i="10"/>
  <c r="D623" i="10"/>
  <c r="C623" i="10"/>
  <c r="E622" i="10"/>
  <c r="D622" i="10"/>
  <c r="C622" i="10"/>
  <c r="C621" i="10"/>
  <c r="D620" i="10"/>
  <c r="C620" i="10"/>
  <c r="D619" i="10"/>
  <c r="C619" i="10"/>
  <c r="D618" i="10"/>
  <c r="C618" i="10"/>
  <c r="F617" i="10"/>
  <c r="E617" i="10"/>
  <c r="D617" i="10"/>
  <c r="C617" i="10"/>
  <c r="E616" i="10"/>
  <c r="D616" i="10"/>
  <c r="C616" i="10"/>
  <c r="E615" i="10"/>
  <c r="D615" i="10"/>
  <c r="C615" i="10"/>
  <c r="D614" i="10"/>
  <c r="C614" i="10"/>
  <c r="D613" i="10"/>
  <c r="C613" i="10"/>
  <c r="D612" i="10"/>
  <c r="C612" i="10"/>
  <c r="D611" i="10"/>
  <c r="C611" i="10"/>
  <c r="D610" i="10"/>
  <c r="C610" i="10"/>
  <c r="D609" i="10"/>
  <c r="C609" i="10"/>
  <c r="D608" i="10"/>
  <c r="C608" i="10"/>
  <c r="D607" i="10"/>
  <c r="C607" i="10"/>
  <c r="D606" i="10"/>
  <c r="C606" i="10"/>
  <c r="D605" i="10"/>
  <c r="C605" i="10"/>
  <c r="E604" i="10"/>
  <c r="D604" i="10"/>
  <c r="C604" i="10"/>
  <c r="F603" i="10"/>
  <c r="E603" i="10"/>
  <c r="D603" i="10"/>
  <c r="C603" i="10"/>
  <c r="C602" i="10"/>
  <c r="D601" i="10"/>
  <c r="C601" i="10"/>
  <c r="E600" i="10"/>
  <c r="D600" i="10"/>
  <c r="C600" i="10"/>
  <c r="D599" i="10"/>
  <c r="C599" i="10"/>
  <c r="D598" i="10"/>
  <c r="C598" i="10"/>
  <c r="D597" i="10"/>
  <c r="C597" i="10"/>
  <c r="E596" i="10"/>
  <c r="D596" i="10"/>
  <c r="C596" i="10"/>
  <c r="C595" i="10"/>
  <c r="D594" i="10"/>
  <c r="C594" i="10"/>
  <c r="D593" i="10"/>
  <c r="C593" i="10"/>
  <c r="C592" i="10"/>
  <c r="D591" i="10"/>
  <c r="C591" i="10"/>
  <c r="C590" i="10"/>
  <c r="D589" i="10"/>
  <c r="C589" i="10"/>
  <c r="D588" i="10"/>
  <c r="C588" i="10"/>
  <c r="E587" i="10"/>
  <c r="D587" i="10"/>
  <c r="C587" i="10"/>
  <c r="D586" i="10"/>
  <c r="C586" i="10"/>
  <c r="D585" i="10"/>
  <c r="C585" i="10"/>
  <c r="E584" i="10"/>
  <c r="D584" i="10"/>
  <c r="C584" i="10"/>
  <c r="E583" i="10"/>
  <c r="D583" i="10"/>
  <c r="C583" i="10"/>
  <c r="D582" i="10"/>
  <c r="C582" i="10"/>
  <c r="D581" i="10"/>
  <c r="C581" i="10"/>
  <c r="D580" i="10"/>
  <c r="C580" i="10"/>
  <c r="D579" i="10"/>
  <c r="C579" i="10"/>
  <c r="D578" i="10"/>
  <c r="C578" i="10"/>
  <c r="C577" i="10"/>
  <c r="D576" i="10"/>
  <c r="C576" i="10"/>
  <c r="D575" i="10"/>
  <c r="C575" i="10"/>
  <c r="D574" i="10"/>
  <c r="C574" i="10"/>
  <c r="F573" i="10"/>
  <c r="E573" i="10"/>
  <c r="D573" i="10"/>
  <c r="C573" i="10"/>
  <c r="E572" i="10"/>
  <c r="D572" i="10"/>
  <c r="C572" i="10"/>
  <c r="D571" i="10"/>
  <c r="C571" i="10"/>
  <c r="D570" i="10"/>
  <c r="C570" i="10"/>
  <c r="D569" i="10"/>
  <c r="C569" i="10"/>
  <c r="C568" i="10"/>
  <c r="C567" i="10"/>
  <c r="D566" i="10"/>
  <c r="C566" i="10"/>
  <c r="C565" i="10"/>
  <c r="D564" i="10"/>
  <c r="C564" i="10"/>
  <c r="E563" i="10"/>
  <c r="D563" i="10"/>
  <c r="C563" i="10"/>
  <c r="D562" i="10"/>
  <c r="C562" i="10"/>
  <c r="D561" i="10"/>
  <c r="C561" i="10"/>
  <c r="E560" i="10"/>
  <c r="D560" i="10"/>
  <c r="C560" i="10"/>
  <c r="E559" i="10"/>
  <c r="D559" i="10"/>
  <c r="C559" i="10"/>
  <c r="D558" i="10"/>
  <c r="C558" i="10"/>
  <c r="D557" i="10"/>
  <c r="C557" i="10"/>
  <c r="E556" i="10"/>
  <c r="D556" i="10"/>
  <c r="C556" i="10"/>
  <c r="E555" i="10"/>
  <c r="D555" i="10"/>
  <c r="C555" i="10"/>
  <c r="E554" i="10"/>
  <c r="D554" i="10"/>
  <c r="C554" i="10"/>
  <c r="D553" i="10"/>
  <c r="C553" i="10"/>
  <c r="E552" i="10"/>
  <c r="D552" i="10"/>
  <c r="C552" i="10"/>
  <c r="E551" i="10"/>
  <c r="D551" i="10"/>
  <c r="C551" i="10"/>
  <c r="E550" i="10"/>
  <c r="D550" i="10"/>
  <c r="C550" i="10"/>
  <c r="E549" i="10"/>
  <c r="D549" i="10"/>
  <c r="C549" i="10"/>
  <c r="D548" i="10"/>
  <c r="C548" i="10"/>
  <c r="E547" i="10"/>
  <c r="D547" i="10"/>
  <c r="C547" i="10"/>
  <c r="E546" i="10"/>
  <c r="D546" i="10"/>
  <c r="C546" i="10"/>
  <c r="D545" i="10"/>
  <c r="C545" i="10"/>
  <c r="E544" i="10"/>
  <c r="D544" i="10"/>
  <c r="C544" i="10"/>
  <c r="E543" i="10"/>
  <c r="D543" i="10"/>
  <c r="C543" i="10"/>
  <c r="E542" i="10"/>
  <c r="D542" i="10"/>
  <c r="C542" i="10"/>
  <c r="D541" i="10"/>
  <c r="C541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D533" i="10"/>
  <c r="C533" i="10"/>
  <c r="D532" i="10"/>
  <c r="C532" i="10"/>
  <c r="D531" i="10"/>
  <c r="C531" i="10"/>
  <c r="E530" i="10"/>
  <c r="D530" i="10"/>
  <c r="C530" i="10"/>
  <c r="D529" i="10"/>
  <c r="C529" i="10"/>
  <c r="F528" i="10"/>
  <c r="E528" i="10"/>
  <c r="D528" i="10"/>
  <c r="C528" i="10"/>
  <c r="F527" i="10"/>
  <c r="E527" i="10"/>
  <c r="D527" i="10"/>
  <c r="C527" i="10"/>
  <c r="D526" i="10"/>
  <c r="C526" i="10"/>
  <c r="E525" i="10"/>
  <c r="D525" i="10"/>
  <c r="C525" i="10"/>
  <c r="E524" i="10"/>
  <c r="D524" i="10"/>
  <c r="C524" i="10"/>
  <c r="D523" i="10"/>
  <c r="C523" i="10"/>
  <c r="C522" i="10"/>
  <c r="D521" i="10"/>
  <c r="C521" i="10"/>
  <c r="D520" i="10"/>
  <c r="C520" i="10"/>
  <c r="D519" i="10"/>
  <c r="C519" i="10"/>
  <c r="E518" i="10"/>
  <c r="D518" i="10"/>
  <c r="C518" i="10"/>
  <c r="E517" i="10"/>
  <c r="D517" i="10"/>
  <c r="C517" i="10"/>
  <c r="D516" i="10"/>
  <c r="C516" i="10"/>
  <c r="D515" i="10"/>
  <c r="C515" i="10"/>
  <c r="D514" i="10"/>
  <c r="C514" i="10"/>
  <c r="D513" i="10"/>
  <c r="C513" i="10"/>
  <c r="E512" i="10"/>
  <c r="D512" i="10"/>
  <c r="C512" i="10"/>
  <c r="D511" i="10"/>
  <c r="C511" i="10"/>
  <c r="D510" i="10"/>
  <c r="C510" i="10"/>
  <c r="D509" i="10"/>
  <c r="C509" i="10"/>
  <c r="E508" i="10"/>
  <c r="D508" i="10"/>
  <c r="C508" i="10"/>
  <c r="E507" i="10"/>
  <c r="D507" i="10"/>
  <c r="C507" i="10"/>
  <c r="D506" i="10"/>
  <c r="C506" i="10"/>
  <c r="E505" i="10"/>
  <c r="D505" i="10"/>
  <c r="C505" i="10"/>
  <c r="D504" i="10"/>
  <c r="C504" i="10"/>
  <c r="D503" i="10"/>
  <c r="C503" i="10"/>
  <c r="D502" i="10"/>
  <c r="C502" i="10"/>
  <c r="E501" i="10"/>
  <c r="D501" i="10"/>
  <c r="C501" i="10"/>
  <c r="D500" i="10"/>
  <c r="C500" i="10"/>
  <c r="D499" i="10"/>
  <c r="C499" i="10"/>
  <c r="D498" i="10"/>
  <c r="C498" i="10"/>
  <c r="D497" i="10"/>
  <c r="C497" i="10"/>
  <c r="D496" i="10"/>
  <c r="C496" i="10"/>
  <c r="D495" i="10"/>
  <c r="C495" i="10"/>
  <c r="D494" i="10"/>
  <c r="C494" i="10"/>
  <c r="C493" i="10"/>
  <c r="D492" i="10"/>
  <c r="C492" i="10"/>
  <c r="D491" i="10"/>
  <c r="C491" i="10"/>
  <c r="D490" i="10"/>
  <c r="C490" i="10"/>
  <c r="D489" i="10"/>
  <c r="C489" i="10"/>
  <c r="D488" i="10"/>
  <c r="C488" i="10"/>
  <c r="D487" i="10"/>
  <c r="C487" i="10"/>
  <c r="D486" i="10"/>
  <c r="C486" i="10"/>
  <c r="E485" i="10"/>
  <c r="D485" i="10"/>
  <c r="C485" i="10"/>
  <c r="E484" i="10"/>
  <c r="D484" i="10"/>
  <c r="C484" i="10"/>
  <c r="E483" i="10"/>
  <c r="D483" i="10"/>
  <c r="C483" i="10"/>
  <c r="D482" i="10"/>
  <c r="C482" i="10"/>
  <c r="D481" i="10"/>
  <c r="C481" i="10"/>
  <c r="D480" i="10"/>
  <c r="C480" i="10"/>
  <c r="C479" i="10"/>
  <c r="D478" i="10"/>
  <c r="C478" i="10"/>
  <c r="D477" i="10"/>
  <c r="C477" i="10"/>
  <c r="D476" i="10"/>
  <c r="C476" i="10"/>
  <c r="D475" i="10"/>
  <c r="C475" i="10"/>
  <c r="D474" i="10"/>
  <c r="C474" i="10"/>
  <c r="D473" i="10"/>
  <c r="C473" i="10"/>
  <c r="D472" i="10"/>
  <c r="C472" i="10"/>
  <c r="E471" i="10"/>
  <c r="D471" i="10"/>
  <c r="C471" i="10"/>
  <c r="E470" i="10"/>
  <c r="D470" i="10"/>
  <c r="C470" i="10"/>
  <c r="D469" i="10"/>
  <c r="C469" i="10"/>
  <c r="D468" i="10"/>
  <c r="C468" i="10"/>
  <c r="D467" i="10"/>
  <c r="C467" i="10"/>
  <c r="D466" i="10"/>
  <c r="C466" i="10"/>
  <c r="E465" i="10"/>
  <c r="D465" i="10"/>
  <c r="C465" i="10"/>
  <c r="C464" i="10"/>
  <c r="E463" i="10"/>
  <c r="D463" i="10"/>
  <c r="C463" i="10"/>
  <c r="E462" i="10"/>
  <c r="D462" i="10"/>
  <c r="C462" i="10"/>
  <c r="E461" i="10"/>
  <c r="D461" i="10"/>
  <c r="C461" i="10"/>
  <c r="E460" i="10"/>
  <c r="D460" i="10"/>
  <c r="C460" i="10"/>
  <c r="C459" i="10"/>
  <c r="D458" i="10"/>
  <c r="C458" i="10"/>
  <c r="D457" i="10"/>
  <c r="C457" i="10"/>
  <c r="C456" i="10"/>
  <c r="D455" i="10"/>
  <c r="C455" i="10"/>
  <c r="E454" i="10"/>
  <c r="D454" i="10"/>
  <c r="C454" i="10"/>
  <c r="D453" i="10"/>
  <c r="C453" i="10"/>
  <c r="D452" i="10"/>
  <c r="C452" i="10"/>
  <c r="D451" i="10"/>
  <c r="C451" i="10"/>
  <c r="D450" i="10"/>
  <c r="C450" i="10"/>
  <c r="D449" i="10"/>
  <c r="C449" i="10"/>
  <c r="C448" i="10"/>
  <c r="D447" i="10"/>
  <c r="C447" i="10"/>
  <c r="D446" i="10"/>
  <c r="C446" i="10"/>
  <c r="E445" i="10"/>
  <c r="D445" i="10"/>
  <c r="C445" i="10"/>
  <c r="C444" i="10"/>
  <c r="D443" i="10"/>
  <c r="C443" i="10"/>
  <c r="D442" i="10"/>
  <c r="C442" i="10"/>
  <c r="D441" i="10"/>
  <c r="C441" i="10"/>
  <c r="D440" i="10"/>
  <c r="C440" i="10"/>
  <c r="D439" i="10"/>
  <c r="C439" i="10"/>
  <c r="E438" i="10"/>
  <c r="D438" i="10"/>
  <c r="C438" i="10"/>
  <c r="D437" i="10"/>
  <c r="C437" i="10"/>
  <c r="E436" i="10"/>
  <c r="D436" i="10"/>
  <c r="C436" i="10"/>
  <c r="E435" i="10"/>
  <c r="D435" i="10"/>
  <c r="C435" i="10"/>
  <c r="D434" i="10"/>
  <c r="C434" i="10"/>
  <c r="D433" i="10"/>
  <c r="C433" i="10"/>
  <c r="E432" i="10"/>
  <c r="D432" i="10"/>
  <c r="C432" i="10"/>
  <c r="E431" i="10"/>
  <c r="D431" i="10"/>
  <c r="C431" i="10"/>
  <c r="E430" i="10"/>
  <c r="D430" i="10"/>
  <c r="C430" i="10"/>
  <c r="D429" i="10"/>
  <c r="C429" i="10"/>
  <c r="E428" i="10"/>
  <c r="D428" i="10"/>
  <c r="C428" i="10"/>
  <c r="D427" i="10"/>
  <c r="C427" i="10"/>
  <c r="E426" i="10"/>
  <c r="D426" i="10"/>
  <c r="C426" i="10"/>
  <c r="D425" i="10"/>
  <c r="C425" i="10"/>
  <c r="C424" i="10"/>
  <c r="D423" i="10"/>
  <c r="C423" i="10"/>
  <c r="G422" i="10"/>
  <c r="F422" i="10"/>
  <c r="E422" i="10"/>
  <c r="D422" i="10"/>
  <c r="C422" i="10"/>
  <c r="D421" i="10"/>
  <c r="C421" i="10"/>
  <c r="E420" i="10"/>
  <c r="D420" i="10"/>
  <c r="C420" i="10"/>
  <c r="C419" i="10"/>
  <c r="E418" i="10"/>
  <c r="D418" i="10"/>
  <c r="C418" i="10"/>
  <c r="D417" i="10"/>
  <c r="C417" i="10"/>
  <c r="E416" i="10"/>
  <c r="D416" i="10"/>
  <c r="C416" i="10"/>
  <c r="E415" i="10"/>
  <c r="D415" i="10"/>
  <c r="C415" i="10"/>
  <c r="C414" i="10"/>
  <c r="D413" i="10"/>
  <c r="C413" i="10"/>
  <c r="D412" i="10"/>
  <c r="C412" i="10"/>
  <c r="C411" i="10"/>
  <c r="D410" i="10"/>
  <c r="C410" i="10"/>
  <c r="D409" i="10"/>
  <c r="C409" i="10"/>
  <c r="D408" i="10"/>
  <c r="C408" i="10"/>
  <c r="E407" i="10"/>
  <c r="D407" i="10"/>
  <c r="C407" i="10"/>
  <c r="E406" i="10"/>
  <c r="D406" i="10"/>
  <c r="C406" i="10"/>
  <c r="D405" i="10"/>
  <c r="C405" i="10"/>
  <c r="D404" i="10"/>
  <c r="C404" i="10"/>
  <c r="F403" i="10"/>
  <c r="E403" i="10"/>
  <c r="D403" i="10"/>
  <c r="C403" i="10"/>
  <c r="D402" i="10"/>
  <c r="C402" i="10"/>
  <c r="C401" i="10"/>
  <c r="D400" i="10"/>
  <c r="C400" i="10"/>
  <c r="C399" i="10"/>
  <c r="D398" i="10"/>
  <c r="C398" i="10"/>
  <c r="F397" i="10"/>
  <c r="E397" i="10"/>
  <c r="D397" i="10"/>
  <c r="C397" i="10"/>
  <c r="C396" i="10"/>
  <c r="E395" i="10"/>
  <c r="D395" i="10"/>
  <c r="C395" i="10"/>
  <c r="E394" i="10"/>
  <c r="D394" i="10"/>
  <c r="C394" i="10"/>
  <c r="D393" i="10"/>
  <c r="C393" i="10"/>
  <c r="C392" i="10"/>
  <c r="D391" i="10"/>
  <c r="C391" i="10"/>
  <c r="E390" i="10"/>
  <c r="D390" i="10"/>
  <c r="C390" i="10"/>
  <c r="D389" i="10"/>
  <c r="C389" i="10"/>
  <c r="D388" i="10"/>
  <c r="C388" i="10"/>
  <c r="D387" i="10"/>
  <c r="C387" i="10"/>
  <c r="D386" i="10"/>
  <c r="C386" i="10"/>
  <c r="D385" i="10"/>
  <c r="C385" i="10"/>
  <c r="E384" i="10"/>
  <c r="D384" i="10"/>
  <c r="C384" i="10"/>
  <c r="D383" i="10"/>
  <c r="C383" i="10"/>
  <c r="D382" i="10"/>
  <c r="C382" i="10"/>
  <c r="C381" i="10"/>
  <c r="C380" i="10"/>
  <c r="C379" i="10"/>
  <c r="C378" i="10"/>
  <c r="C377" i="10"/>
  <c r="C376" i="10"/>
  <c r="C375" i="10"/>
  <c r="D374" i="10"/>
  <c r="C374" i="10"/>
  <c r="D373" i="10"/>
  <c r="C373" i="10"/>
  <c r="E372" i="10"/>
  <c r="D372" i="10"/>
  <c r="C372" i="10"/>
  <c r="E371" i="10"/>
  <c r="D371" i="10"/>
  <c r="C371" i="10"/>
  <c r="E370" i="10"/>
  <c r="D370" i="10"/>
  <c r="C370" i="10"/>
  <c r="C369" i="10"/>
  <c r="D368" i="10"/>
  <c r="C368" i="10"/>
  <c r="D367" i="10"/>
  <c r="C367" i="10"/>
  <c r="C366" i="10"/>
  <c r="D365" i="10"/>
  <c r="C365" i="10"/>
  <c r="D364" i="10"/>
  <c r="C364" i="10"/>
  <c r="E363" i="10"/>
  <c r="D363" i="10"/>
  <c r="C363" i="10"/>
  <c r="D362" i="10"/>
  <c r="C362" i="10"/>
  <c r="E361" i="10"/>
  <c r="D361" i="10"/>
  <c r="C361" i="10"/>
  <c r="D360" i="10"/>
  <c r="C360" i="10"/>
  <c r="E359" i="10"/>
  <c r="D359" i="10"/>
  <c r="C359" i="10"/>
  <c r="D358" i="10"/>
  <c r="C358" i="10"/>
  <c r="D357" i="10"/>
  <c r="C357" i="10"/>
  <c r="E356" i="10"/>
  <c r="D356" i="10"/>
  <c r="C356" i="10"/>
  <c r="D355" i="10"/>
  <c r="C355" i="10"/>
  <c r="D354" i="10"/>
  <c r="C354" i="10"/>
  <c r="E353" i="10"/>
  <c r="D353" i="10"/>
  <c r="C353" i="10"/>
  <c r="D352" i="10"/>
  <c r="C352" i="10"/>
  <c r="D351" i="10"/>
  <c r="C351" i="10"/>
  <c r="E350" i="10"/>
  <c r="D350" i="10"/>
  <c r="C350" i="10"/>
  <c r="E349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E339" i="10"/>
  <c r="D339" i="10"/>
  <c r="C339" i="10"/>
  <c r="E338" i="10"/>
  <c r="D338" i="10"/>
  <c r="C338" i="10"/>
  <c r="E337" i="10"/>
  <c r="D337" i="10"/>
  <c r="C337" i="10"/>
  <c r="E336" i="10"/>
  <c r="D336" i="10"/>
  <c r="C336" i="10"/>
  <c r="E335" i="10"/>
  <c r="D335" i="10"/>
  <c r="C335" i="10"/>
  <c r="E334" i="10"/>
  <c r="D334" i="10"/>
  <c r="C334" i="10"/>
  <c r="E333" i="10"/>
  <c r="D333" i="10"/>
  <c r="C333" i="10"/>
  <c r="D332" i="10"/>
  <c r="C332" i="10"/>
  <c r="D331" i="10"/>
  <c r="C331" i="10"/>
  <c r="E330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E321" i="10"/>
  <c r="D321" i="10"/>
  <c r="C321" i="10"/>
  <c r="D320" i="10"/>
  <c r="C320" i="10"/>
  <c r="D319" i="10"/>
  <c r="C319" i="10"/>
  <c r="D318" i="10"/>
  <c r="C318" i="10"/>
  <c r="F317" i="10"/>
  <c r="E317" i="10"/>
  <c r="D317" i="10"/>
  <c r="C317" i="10"/>
  <c r="F316" i="10"/>
  <c r="E316" i="10"/>
  <c r="D316" i="10"/>
  <c r="C316" i="10"/>
  <c r="E315" i="10"/>
  <c r="D315" i="10"/>
  <c r="C315" i="10"/>
  <c r="D314" i="10"/>
  <c r="C314" i="10"/>
  <c r="E313" i="10"/>
  <c r="D313" i="10"/>
  <c r="C313" i="10"/>
  <c r="C312" i="10"/>
  <c r="D311" i="10"/>
  <c r="C311" i="10"/>
  <c r="D310" i="10"/>
  <c r="C310" i="10"/>
  <c r="D309" i="10"/>
  <c r="C309" i="10"/>
  <c r="D308" i="10"/>
  <c r="C308" i="10"/>
  <c r="D307" i="10"/>
  <c r="C307" i="10"/>
  <c r="C306" i="10"/>
  <c r="C305" i="10"/>
  <c r="E304" i="10"/>
  <c r="D304" i="10"/>
  <c r="C304" i="10"/>
  <c r="D303" i="10"/>
  <c r="C303" i="10"/>
  <c r="E302" i="10"/>
  <c r="D302" i="10"/>
  <c r="C302" i="10"/>
  <c r="E301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E292" i="10"/>
  <c r="D292" i="10"/>
  <c r="C292" i="10"/>
  <c r="D291" i="10"/>
  <c r="C291" i="10"/>
  <c r="D290" i="10"/>
  <c r="C290" i="10"/>
  <c r="C289" i="10"/>
  <c r="D288" i="10"/>
  <c r="C288" i="10"/>
  <c r="D287" i="10"/>
  <c r="C287" i="10"/>
  <c r="D286" i="10"/>
  <c r="C286" i="10"/>
  <c r="C285" i="10"/>
  <c r="C284" i="10"/>
  <c r="E283" i="10"/>
  <c r="D283" i="10"/>
  <c r="C283" i="10"/>
  <c r="E282" i="10"/>
  <c r="D282" i="10"/>
  <c r="C282" i="10"/>
  <c r="D281" i="10"/>
  <c r="C281" i="10"/>
  <c r="E280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C273" i="10"/>
  <c r="E272" i="10"/>
  <c r="D272" i="10"/>
  <c r="C272" i="10"/>
  <c r="E271" i="10"/>
  <c r="D271" i="10"/>
  <c r="C271" i="10"/>
  <c r="D270" i="10"/>
  <c r="C270" i="10"/>
  <c r="D269" i="10"/>
  <c r="C269" i="10"/>
  <c r="D268" i="10"/>
  <c r="C268" i="10"/>
  <c r="D267" i="10"/>
  <c r="C267" i="10"/>
  <c r="E266" i="10"/>
  <c r="D266" i="10"/>
  <c r="C266" i="10"/>
  <c r="D265" i="10"/>
  <c r="C265" i="10"/>
  <c r="D264" i="10"/>
  <c r="C264" i="10"/>
  <c r="D263" i="10"/>
  <c r="C263" i="10"/>
  <c r="E262" i="10"/>
  <c r="D262" i="10"/>
  <c r="C262" i="10"/>
  <c r="E261" i="10"/>
  <c r="D261" i="10"/>
  <c r="C261" i="10"/>
  <c r="C260" i="10"/>
  <c r="D259" i="10"/>
  <c r="C259" i="10"/>
  <c r="C258" i="10"/>
  <c r="D257" i="10"/>
  <c r="C257" i="10"/>
  <c r="C256" i="10"/>
  <c r="C255" i="10"/>
  <c r="E254" i="10"/>
  <c r="D254" i="10"/>
  <c r="C254" i="10"/>
  <c r="E253" i="10"/>
  <c r="D253" i="10"/>
  <c r="C253" i="10"/>
  <c r="D252" i="10"/>
  <c r="C252" i="10"/>
  <c r="D251" i="10"/>
  <c r="C251" i="10"/>
  <c r="D250" i="10"/>
  <c r="C250" i="10"/>
  <c r="D249" i="10"/>
  <c r="C249" i="10"/>
  <c r="E248" i="10"/>
  <c r="D248" i="10"/>
  <c r="C248" i="10"/>
  <c r="E247" i="10"/>
  <c r="D247" i="10"/>
  <c r="C247" i="10"/>
  <c r="E246" i="10"/>
  <c r="D246" i="10"/>
  <c r="C246" i="10"/>
  <c r="E245" i="10"/>
  <c r="D245" i="10"/>
  <c r="C245" i="10"/>
  <c r="E244" i="10"/>
  <c r="D244" i="10"/>
  <c r="C244" i="10"/>
  <c r="D243" i="10"/>
  <c r="C243" i="10"/>
  <c r="D242" i="10"/>
  <c r="C242" i="10"/>
  <c r="E241" i="10"/>
  <c r="D241" i="10"/>
  <c r="C241" i="10"/>
  <c r="D240" i="10"/>
  <c r="C240" i="10"/>
  <c r="D239" i="10"/>
  <c r="C239" i="10"/>
  <c r="E238" i="10"/>
  <c r="D238" i="10"/>
  <c r="C238" i="10"/>
  <c r="D237" i="10"/>
  <c r="C237" i="10"/>
  <c r="E236" i="10"/>
  <c r="D236" i="10"/>
  <c r="C236" i="10"/>
  <c r="E235" i="10"/>
  <c r="D235" i="10"/>
  <c r="C235" i="10"/>
  <c r="E234" i="10"/>
  <c r="D234" i="10"/>
  <c r="C234" i="10"/>
  <c r="C233" i="10"/>
  <c r="D232" i="10"/>
  <c r="C232" i="10"/>
  <c r="D231" i="10"/>
  <c r="C231" i="10"/>
  <c r="D230" i="10"/>
  <c r="C230" i="10"/>
  <c r="E229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E211" i="10"/>
  <c r="D211" i="10"/>
  <c r="C211" i="10"/>
  <c r="E210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E204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C196" i="10"/>
  <c r="D195" i="10"/>
  <c r="C195" i="10"/>
  <c r="D194" i="10"/>
  <c r="C194" i="10"/>
  <c r="D193" i="10"/>
  <c r="C193" i="10"/>
  <c r="E192" i="10"/>
  <c r="D192" i="10"/>
  <c r="C192" i="10"/>
  <c r="D191" i="10"/>
  <c r="C191" i="10"/>
  <c r="D190" i="10"/>
  <c r="C190" i="10"/>
  <c r="C189" i="10"/>
  <c r="C188" i="10"/>
  <c r="D187" i="10"/>
  <c r="C187" i="10"/>
  <c r="D186" i="10"/>
  <c r="C186" i="10"/>
  <c r="D185" i="10"/>
  <c r="C185" i="10"/>
  <c r="D184" i="10"/>
  <c r="C184" i="10"/>
  <c r="C183" i="10"/>
  <c r="F182" i="10"/>
  <c r="E182" i="10"/>
  <c r="D182" i="10"/>
  <c r="C182" i="10"/>
  <c r="C181" i="10"/>
  <c r="D180" i="10"/>
  <c r="C180" i="10"/>
  <c r="D179" i="10"/>
  <c r="C179" i="10"/>
  <c r="E178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E171" i="10"/>
  <c r="D171" i="10"/>
  <c r="C171" i="10"/>
  <c r="D170" i="10"/>
  <c r="C170" i="10"/>
  <c r="D169" i="10"/>
  <c r="C169" i="10"/>
  <c r="D168" i="10"/>
  <c r="C168" i="10"/>
  <c r="D167" i="10"/>
  <c r="C167" i="10"/>
  <c r="E166" i="10"/>
  <c r="D166" i="10"/>
  <c r="C166" i="10"/>
  <c r="F165" i="10"/>
  <c r="E165" i="10"/>
  <c r="D165" i="10"/>
  <c r="C165" i="10"/>
  <c r="D164" i="10"/>
  <c r="C164" i="10"/>
  <c r="D163" i="10"/>
  <c r="C163" i="10"/>
  <c r="D162" i="10"/>
  <c r="C162" i="10"/>
  <c r="D161" i="10"/>
  <c r="C161" i="10"/>
  <c r="C160" i="10"/>
  <c r="D159" i="10"/>
  <c r="C159" i="10"/>
  <c r="C158" i="10"/>
  <c r="D157" i="10"/>
  <c r="C157" i="10"/>
  <c r="D156" i="10"/>
  <c r="C156" i="10"/>
  <c r="E155" i="10"/>
  <c r="D155" i="10"/>
  <c r="C155" i="10"/>
  <c r="E154" i="10"/>
  <c r="D154" i="10"/>
  <c r="C154" i="10"/>
  <c r="F153" i="10"/>
  <c r="E153" i="10"/>
  <c r="D153" i="10"/>
  <c r="C153" i="10"/>
  <c r="F152" i="10"/>
  <c r="E152" i="10"/>
  <c r="D152" i="10"/>
  <c r="C152" i="10"/>
  <c r="F151" i="10"/>
  <c r="E151" i="10"/>
  <c r="D151" i="10"/>
  <c r="C151" i="10"/>
  <c r="D150" i="10"/>
  <c r="C150" i="10"/>
  <c r="D149" i="10"/>
  <c r="C149" i="10"/>
  <c r="E148" i="10"/>
  <c r="D148" i="10"/>
  <c r="C148" i="10"/>
  <c r="E147" i="10"/>
  <c r="D147" i="10"/>
  <c r="C147" i="10"/>
  <c r="E146" i="10"/>
  <c r="D146" i="10"/>
  <c r="C146" i="10"/>
  <c r="D145" i="10"/>
  <c r="C145" i="10"/>
  <c r="E144" i="10"/>
  <c r="D144" i="10"/>
  <c r="C144" i="10"/>
  <c r="E143" i="10"/>
  <c r="D143" i="10"/>
  <c r="C143" i="10"/>
  <c r="D142" i="10"/>
  <c r="C142" i="10"/>
  <c r="D141" i="10"/>
  <c r="C141" i="10"/>
  <c r="D140" i="10"/>
  <c r="C140" i="10"/>
  <c r="E139" i="10"/>
  <c r="D139" i="10"/>
  <c r="C139" i="10"/>
  <c r="E138" i="10"/>
  <c r="D138" i="10"/>
  <c r="C138" i="10"/>
  <c r="E137" i="10"/>
  <c r="D137" i="10"/>
  <c r="C137" i="10"/>
  <c r="E136" i="10"/>
  <c r="D136" i="10"/>
  <c r="C136" i="10"/>
  <c r="E135" i="10"/>
  <c r="D135" i="10"/>
  <c r="C135" i="10"/>
  <c r="D134" i="10"/>
  <c r="C134" i="10"/>
  <c r="F133" i="10"/>
  <c r="E133" i="10"/>
  <c r="D133" i="10"/>
  <c r="C133" i="10"/>
  <c r="D132" i="10"/>
  <c r="C132" i="10"/>
  <c r="E131" i="10"/>
  <c r="D131" i="10"/>
  <c r="C131" i="10"/>
  <c r="E130" i="10"/>
  <c r="D130" i="10"/>
  <c r="C130" i="10"/>
  <c r="E129" i="10"/>
  <c r="D129" i="10"/>
  <c r="C129" i="10"/>
  <c r="D128" i="10"/>
  <c r="C128" i="10"/>
  <c r="D127" i="10"/>
  <c r="C127" i="10"/>
  <c r="D126" i="10"/>
  <c r="C126" i="10"/>
  <c r="D125" i="10"/>
  <c r="C125" i="10"/>
  <c r="E124" i="10"/>
  <c r="D124" i="10"/>
  <c r="C124" i="10"/>
  <c r="D123" i="10"/>
  <c r="C123" i="10"/>
  <c r="F122" i="10"/>
  <c r="E122" i="10"/>
  <c r="D122" i="10"/>
  <c r="C122" i="10"/>
  <c r="D121" i="10"/>
  <c r="C121" i="10"/>
  <c r="D120" i="10"/>
  <c r="C120" i="10"/>
  <c r="D119" i="10"/>
  <c r="C119" i="10"/>
  <c r="D118" i="10"/>
  <c r="C118" i="10"/>
  <c r="E117" i="10"/>
  <c r="D117" i="10"/>
  <c r="C117" i="10"/>
  <c r="D116" i="10"/>
  <c r="C116" i="10"/>
  <c r="D115" i="10"/>
  <c r="C115" i="10"/>
  <c r="D114" i="10"/>
  <c r="C114" i="10"/>
  <c r="D113" i="10"/>
  <c r="C113" i="10"/>
  <c r="E112" i="10"/>
  <c r="D112" i="10"/>
  <c r="C112" i="10"/>
  <c r="D111" i="10"/>
  <c r="C111" i="10"/>
  <c r="D110" i="10"/>
  <c r="C110" i="10"/>
  <c r="D109" i="10"/>
  <c r="C109" i="10"/>
  <c r="E108" i="10"/>
  <c r="D108" i="10"/>
  <c r="C108" i="10"/>
  <c r="F107" i="10"/>
  <c r="E107" i="10"/>
  <c r="D107" i="10"/>
  <c r="C107" i="10"/>
  <c r="E106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E98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E89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E76" i="10"/>
  <c r="D76" i="10"/>
  <c r="C76" i="10"/>
  <c r="E75" i="10"/>
  <c r="D75" i="10"/>
  <c r="C75" i="10"/>
  <c r="D74" i="10"/>
  <c r="C74" i="10"/>
  <c r="E73" i="10"/>
  <c r="D73" i="10"/>
  <c r="C73" i="10"/>
  <c r="E72" i="10"/>
  <c r="D72" i="10"/>
  <c r="C72" i="10"/>
  <c r="D71" i="10"/>
  <c r="C71" i="10"/>
  <c r="E70" i="10"/>
  <c r="D70" i="10"/>
  <c r="C70" i="10"/>
  <c r="E69" i="10"/>
  <c r="D69" i="10"/>
  <c r="C69" i="10"/>
  <c r="E68" i="10"/>
  <c r="D68" i="10"/>
  <c r="C68" i="10"/>
  <c r="E67" i="10"/>
  <c r="D67" i="10"/>
  <c r="C67" i="10"/>
  <c r="E66" i="10"/>
  <c r="D66" i="10"/>
  <c r="C66" i="10"/>
  <c r="E65" i="10"/>
  <c r="D65" i="10"/>
  <c r="C65" i="10"/>
  <c r="E64" i="10"/>
  <c r="D64" i="10"/>
  <c r="C64" i="10"/>
  <c r="E63" i="10"/>
  <c r="D63" i="10"/>
  <c r="C63" i="10"/>
  <c r="E62" i="10"/>
  <c r="D62" i="10"/>
  <c r="C62" i="10"/>
  <c r="E61" i="10"/>
  <c r="D61" i="10"/>
  <c r="C61" i="10"/>
  <c r="D60" i="10"/>
  <c r="C60" i="10"/>
  <c r="E59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E51" i="10"/>
  <c r="D51" i="10"/>
  <c r="C51" i="10"/>
  <c r="D50" i="10"/>
  <c r="C50" i="10"/>
  <c r="E49" i="10"/>
  <c r="D49" i="10"/>
  <c r="C49" i="10"/>
  <c r="E48" i="10"/>
  <c r="D48" i="10"/>
  <c r="C48" i="10"/>
  <c r="E47" i="10"/>
  <c r="D47" i="10"/>
  <c r="C47" i="10"/>
  <c r="F46" i="10"/>
  <c r="E46" i="10"/>
  <c r="D46" i="10"/>
  <c r="C46" i="10"/>
  <c r="E45" i="10"/>
  <c r="D45" i="10"/>
  <c r="C45" i="10"/>
  <c r="E44" i="10"/>
  <c r="D44" i="10"/>
  <c r="C44" i="10"/>
  <c r="E43" i="10"/>
  <c r="D43" i="10"/>
  <c r="C43" i="10"/>
  <c r="E42" i="10"/>
  <c r="D42" i="10"/>
  <c r="C42" i="10"/>
  <c r="E41" i="10"/>
  <c r="D41" i="10"/>
  <c r="C41" i="10"/>
  <c r="D40" i="10"/>
  <c r="C40" i="10"/>
  <c r="D39" i="10"/>
  <c r="C39" i="10"/>
  <c r="F38" i="10"/>
  <c r="E38" i="10"/>
  <c r="D38" i="10"/>
  <c r="C38" i="10"/>
  <c r="E37" i="10"/>
  <c r="D37" i="10"/>
  <c r="C37" i="10"/>
  <c r="D36" i="10"/>
  <c r="C36" i="10"/>
  <c r="E35" i="10"/>
  <c r="D35" i="10"/>
  <c r="C35" i="10"/>
  <c r="D34" i="10"/>
  <c r="C34" i="10"/>
  <c r="D33" i="10"/>
  <c r="C33" i="10"/>
  <c r="E32" i="10"/>
  <c r="D32" i="10"/>
  <c r="C32" i="10"/>
  <c r="E31" i="10"/>
  <c r="D31" i="10"/>
  <c r="C31" i="10"/>
  <c r="E30" i="10"/>
  <c r="D30" i="10"/>
  <c r="C30" i="10"/>
  <c r="D29" i="10"/>
  <c r="C29" i="10"/>
  <c r="E28" i="10"/>
  <c r="D28" i="10"/>
  <c r="C28" i="10"/>
  <c r="D27" i="10"/>
  <c r="C27" i="10"/>
  <c r="D26" i="10"/>
  <c r="C26" i="10"/>
  <c r="E25" i="10"/>
  <c r="D25" i="10"/>
  <c r="C25" i="10"/>
  <c r="D24" i="10"/>
  <c r="C24" i="10"/>
  <c r="E23" i="10"/>
  <c r="D23" i="10"/>
  <c r="C23" i="10"/>
  <c r="E22" i="10"/>
  <c r="D22" i="10"/>
  <c r="C22" i="10"/>
  <c r="E21" i="10"/>
  <c r="D21" i="10"/>
  <c r="C21" i="10"/>
  <c r="D20" i="10"/>
  <c r="C20" i="10"/>
  <c r="C19" i="10"/>
  <c r="D18" i="10"/>
  <c r="C18" i="10"/>
  <c r="D17" i="10"/>
  <c r="C17" i="10"/>
  <c r="D16" i="10"/>
  <c r="C16" i="10"/>
  <c r="D15" i="10"/>
  <c r="C15" i="10"/>
  <c r="E14" i="10"/>
  <c r="D14" i="10"/>
  <c r="C14" i="10"/>
  <c r="D13" i="10"/>
  <c r="C13" i="10"/>
  <c r="D12" i="10"/>
  <c r="C12" i="10"/>
  <c r="D11" i="10"/>
  <c r="C11" i="10"/>
  <c r="D10" i="10"/>
  <c r="C10" i="10"/>
  <c r="F9" i="10"/>
  <c r="E9" i="10"/>
  <c r="D9" i="10"/>
  <c r="C9" i="10"/>
  <c r="D8" i="10"/>
  <c r="C8" i="10"/>
  <c r="D7" i="10"/>
  <c r="C7" i="10"/>
  <c r="E6" i="10"/>
  <c r="D6" i="10"/>
  <c r="C6" i="10"/>
  <c r="E5" i="10"/>
  <c r="D5" i="10"/>
  <c r="C5" i="10"/>
  <c r="F4" i="10"/>
  <c r="E4" i="10"/>
  <c r="D4" i="10"/>
  <c r="C4" i="10"/>
  <c r="E3" i="10"/>
  <c r="D3" i="10"/>
  <c r="C3" i="10"/>
  <c r="E2" i="10"/>
  <c r="D2" i="10"/>
  <c r="C2" i="10"/>
  <c r="D1" i="10"/>
  <c r="C1" i="10"/>
  <c r="C676" i="9"/>
  <c r="D675" i="9"/>
  <c r="C675" i="9"/>
  <c r="D674" i="9"/>
  <c r="C674" i="9"/>
  <c r="D673" i="9"/>
  <c r="C673" i="9"/>
  <c r="D672" i="9"/>
  <c r="C672" i="9"/>
  <c r="D671" i="9"/>
  <c r="C671" i="9"/>
  <c r="E670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C640" i="9"/>
  <c r="E639" i="9"/>
  <c r="D639" i="9"/>
  <c r="C639" i="9"/>
  <c r="D638" i="9"/>
  <c r="C638" i="9"/>
  <c r="D637" i="9"/>
  <c r="C637" i="9"/>
  <c r="C636" i="9"/>
  <c r="E635" i="9"/>
  <c r="D635" i="9"/>
  <c r="C635" i="9"/>
  <c r="D634" i="9"/>
  <c r="C634" i="9"/>
  <c r="C633" i="9"/>
  <c r="E632" i="9"/>
  <c r="D632" i="9"/>
  <c r="C632" i="9"/>
  <c r="D631" i="9"/>
  <c r="C631" i="9"/>
  <c r="D630" i="9"/>
  <c r="C630" i="9"/>
  <c r="E629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C621" i="9"/>
  <c r="D620" i="9"/>
  <c r="C620" i="9"/>
  <c r="D619" i="9"/>
  <c r="C619" i="9"/>
  <c r="D618" i="9"/>
  <c r="C618" i="9"/>
  <c r="F617" i="9"/>
  <c r="E617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E609" i="9"/>
  <c r="D609" i="9"/>
  <c r="C609" i="9"/>
  <c r="D608" i="9"/>
  <c r="C608" i="9"/>
  <c r="E607" i="9"/>
  <c r="D607" i="9"/>
  <c r="C607" i="9"/>
  <c r="D606" i="9"/>
  <c r="C606" i="9"/>
  <c r="D605" i="9"/>
  <c r="C605" i="9"/>
  <c r="D604" i="9"/>
  <c r="C604" i="9"/>
  <c r="E603" i="9"/>
  <c r="D603" i="9"/>
  <c r="C603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C595" i="9"/>
  <c r="D594" i="9"/>
  <c r="C594" i="9"/>
  <c r="D593" i="9"/>
  <c r="C593" i="9"/>
  <c r="C592" i="9"/>
  <c r="E591" i="9"/>
  <c r="D591" i="9"/>
  <c r="C591" i="9"/>
  <c r="C590" i="9"/>
  <c r="C589" i="9"/>
  <c r="D588" i="9"/>
  <c r="C588" i="9"/>
  <c r="E587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C569" i="9"/>
  <c r="C568" i="9"/>
  <c r="C567" i="9"/>
  <c r="D566" i="9"/>
  <c r="C566" i="9"/>
  <c r="D565" i="9"/>
  <c r="C565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C553" i="9"/>
  <c r="D552" i="9"/>
  <c r="C552" i="9"/>
  <c r="D551" i="9"/>
  <c r="C551" i="9"/>
  <c r="D550" i="9"/>
  <c r="C550" i="9"/>
  <c r="D549" i="9"/>
  <c r="C549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C533" i="9"/>
  <c r="D532" i="9"/>
  <c r="C532" i="9"/>
  <c r="D531" i="9"/>
  <c r="C531" i="9"/>
  <c r="D530" i="9"/>
  <c r="C530" i="9"/>
  <c r="D529" i="9"/>
  <c r="C529" i="9"/>
  <c r="E528" i="9"/>
  <c r="D528" i="9"/>
  <c r="C528" i="9"/>
  <c r="E527" i="9"/>
  <c r="D527" i="9"/>
  <c r="C527" i="9"/>
  <c r="C526" i="9"/>
  <c r="D525" i="9"/>
  <c r="C525" i="9"/>
  <c r="D524" i="9"/>
  <c r="C524" i="9"/>
  <c r="D523" i="9"/>
  <c r="C523" i="9"/>
  <c r="C522" i="9"/>
  <c r="D521" i="9"/>
  <c r="C521" i="9"/>
  <c r="D520" i="9"/>
  <c r="C520" i="9"/>
  <c r="C519" i="9"/>
  <c r="D518" i="9"/>
  <c r="C518" i="9"/>
  <c r="D517" i="9"/>
  <c r="C517" i="9"/>
  <c r="D516" i="9"/>
  <c r="C516" i="9"/>
  <c r="C515" i="9"/>
  <c r="D514" i="9"/>
  <c r="C514" i="9"/>
  <c r="D513" i="9"/>
  <c r="C513" i="9"/>
  <c r="D512" i="9"/>
  <c r="C512" i="9"/>
  <c r="C511" i="9"/>
  <c r="D510" i="9"/>
  <c r="C510" i="9"/>
  <c r="C509" i="9"/>
  <c r="E508" i="9"/>
  <c r="D508" i="9"/>
  <c r="C508" i="9"/>
  <c r="D507" i="9"/>
  <c r="C507" i="9"/>
  <c r="C506" i="9"/>
  <c r="D505" i="9"/>
  <c r="C505" i="9"/>
  <c r="C504" i="9"/>
  <c r="D503" i="9"/>
  <c r="C503" i="9"/>
  <c r="C502" i="9"/>
  <c r="D501" i="9"/>
  <c r="C501" i="9"/>
  <c r="C500" i="9"/>
  <c r="D499" i="9"/>
  <c r="C499" i="9"/>
  <c r="D498" i="9"/>
  <c r="C498" i="9"/>
  <c r="D497" i="9"/>
  <c r="C497" i="9"/>
  <c r="D496" i="9"/>
  <c r="C496" i="9"/>
  <c r="C495" i="9"/>
  <c r="D494" i="9"/>
  <c r="C494" i="9"/>
  <c r="D493" i="9"/>
  <c r="C493" i="9"/>
  <c r="D492" i="9"/>
  <c r="C492" i="9"/>
  <c r="D491" i="9"/>
  <c r="C491" i="9"/>
  <c r="D490" i="9"/>
  <c r="C490" i="9"/>
  <c r="E489" i="9"/>
  <c r="D489" i="9"/>
  <c r="C489" i="9"/>
  <c r="E488" i="9"/>
  <c r="D488" i="9"/>
  <c r="C488" i="9"/>
  <c r="E487" i="9"/>
  <c r="D487" i="9"/>
  <c r="C487" i="9"/>
  <c r="E486" i="9"/>
  <c r="D486" i="9"/>
  <c r="C486" i="9"/>
  <c r="E485" i="9"/>
  <c r="D485" i="9"/>
  <c r="C485" i="9"/>
  <c r="E484" i="9"/>
  <c r="D484" i="9"/>
  <c r="C484" i="9"/>
  <c r="D483" i="9"/>
  <c r="C483" i="9"/>
  <c r="D482" i="9"/>
  <c r="C482" i="9"/>
  <c r="D481" i="9"/>
  <c r="C481" i="9"/>
  <c r="E480" i="9"/>
  <c r="D480" i="9"/>
  <c r="C480" i="9"/>
  <c r="C479" i="9"/>
  <c r="C478" i="9"/>
  <c r="D477" i="9"/>
  <c r="C477" i="9"/>
  <c r="C476" i="9"/>
  <c r="C475" i="9"/>
  <c r="C474" i="9"/>
  <c r="C473" i="9"/>
  <c r="C472" i="9"/>
  <c r="D471" i="9"/>
  <c r="C471" i="9"/>
  <c r="E470" i="9"/>
  <c r="D470" i="9"/>
  <c r="C470" i="9"/>
  <c r="D469" i="9"/>
  <c r="C469" i="9"/>
  <c r="E468" i="9"/>
  <c r="D468" i="9"/>
  <c r="C468" i="9"/>
  <c r="E467" i="9"/>
  <c r="D467" i="9"/>
  <c r="C467" i="9"/>
  <c r="D466" i="9"/>
  <c r="C466" i="9"/>
  <c r="D465" i="9"/>
  <c r="C465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C448" i="9"/>
  <c r="D447" i="9"/>
  <c r="C447" i="9"/>
  <c r="D446" i="9"/>
  <c r="C446" i="9"/>
  <c r="D445" i="9"/>
  <c r="C445" i="9"/>
  <c r="C444" i="9"/>
  <c r="D443" i="9"/>
  <c r="C443" i="9"/>
  <c r="E442" i="9"/>
  <c r="D442" i="9"/>
  <c r="C442" i="9"/>
  <c r="E441" i="9"/>
  <c r="D441" i="9"/>
  <c r="C441" i="9"/>
  <c r="D440" i="9"/>
  <c r="C440" i="9"/>
  <c r="D439" i="9"/>
  <c r="C439" i="9"/>
  <c r="E438" i="9"/>
  <c r="D438" i="9"/>
  <c r="C438" i="9"/>
  <c r="D437" i="9"/>
  <c r="C437" i="9"/>
  <c r="E436" i="9"/>
  <c r="D436" i="9"/>
  <c r="C436" i="9"/>
  <c r="E435" i="9"/>
  <c r="D435" i="9"/>
  <c r="C435" i="9"/>
  <c r="D434" i="9"/>
  <c r="C434" i="9"/>
  <c r="D433" i="9"/>
  <c r="C433" i="9"/>
  <c r="D432" i="9"/>
  <c r="C432" i="9"/>
  <c r="E431" i="9"/>
  <c r="D431" i="9"/>
  <c r="C431" i="9"/>
  <c r="E430" i="9"/>
  <c r="D430" i="9"/>
  <c r="C430" i="9"/>
  <c r="E429" i="9"/>
  <c r="D429" i="9"/>
  <c r="C429" i="9"/>
  <c r="C428" i="9"/>
  <c r="D427" i="9"/>
  <c r="C427" i="9"/>
  <c r="D426" i="9"/>
  <c r="C426" i="9"/>
  <c r="C425" i="9"/>
  <c r="D424" i="9"/>
  <c r="C424" i="9"/>
  <c r="D423" i="9"/>
  <c r="C423" i="9"/>
  <c r="F422" i="9"/>
  <c r="E422" i="9"/>
  <c r="D422" i="9"/>
  <c r="C422" i="9"/>
  <c r="D421" i="9"/>
  <c r="C421" i="9"/>
  <c r="D420" i="9"/>
  <c r="C420" i="9"/>
  <c r="C419" i="9"/>
  <c r="E418" i="9"/>
  <c r="D418" i="9"/>
  <c r="C418" i="9"/>
  <c r="D417" i="9"/>
  <c r="C417" i="9"/>
  <c r="D416" i="9"/>
  <c r="C416" i="9"/>
  <c r="D415" i="9"/>
  <c r="C415" i="9"/>
  <c r="C414" i="9"/>
  <c r="C413" i="9"/>
  <c r="D412" i="9"/>
  <c r="C412" i="9"/>
  <c r="C411" i="9"/>
  <c r="D410" i="9"/>
  <c r="C410" i="9"/>
  <c r="D409" i="9"/>
  <c r="C409" i="9"/>
  <c r="C408" i="9"/>
  <c r="D407" i="9"/>
  <c r="C407" i="9"/>
  <c r="D406" i="9"/>
  <c r="C406" i="9"/>
  <c r="D405" i="9"/>
  <c r="C405" i="9"/>
  <c r="D404" i="9"/>
  <c r="C404" i="9"/>
  <c r="F403" i="9"/>
  <c r="E403" i="9"/>
  <c r="D403" i="9"/>
  <c r="C403" i="9"/>
  <c r="D402" i="9"/>
  <c r="C402" i="9"/>
  <c r="C401" i="9"/>
  <c r="D400" i="9"/>
  <c r="C400" i="9"/>
  <c r="D399" i="9"/>
  <c r="C399" i="9"/>
  <c r="D398" i="9"/>
  <c r="C398" i="9"/>
  <c r="E397" i="9"/>
  <c r="D397" i="9"/>
  <c r="C397" i="9"/>
  <c r="C396" i="9"/>
  <c r="D395" i="9"/>
  <c r="C395" i="9"/>
  <c r="E394" i="9"/>
  <c r="D394" i="9"/>
  <c r="C394" i="9"/>
  <c r="D393" i="9"/>
  <c r="C393" i="9"/>
  <c r="C392" i="9"/>
  <c r="D391" i="9"/>
  <c r="C391" i="9"/>
  <c r="D390" i="9"/>
  <c r="C390" i="9"/>
  <c r="D389" i="9"/>
  <c r="C389" i="9"/>
  <c r="E388" i="9"/>
  <c r="D388" i="9"/>
  <c r="C388" i="9"/>
  <c r="C387" i="9"/>
  <c r="C386" i="9"/>
  <c r="E385" i="9"/>
  <c r="D385" i="9"/>
  <c r="C385" i="9"/>
  <c r="D384" i="9"/>
  <c r="C384" i="9"/>
  <c r="D383" i="9"/>
  <c r="C383" i="9"/>
  <c r="C382" i="9"/>
  <c r="C381" i="9"/>
  <c r="C380" i="9"/>
  <c r="C379" i="9"/>
  <c r="C378" i="9"/>
  <c r="C377" i="9"/>
  <c r="C376" i="9"/>
  <c r="C375" i="9"/>
  <c r="D374" i="9"/>
  <c r="C374" i="9"/>
  <c r="D373" i="9"/>
  <c r="C373" i="9"/>
  <c r="E372" i="9"/>
  <c r="D372" i="9"/>
  <c r="C372" i="9"/>
  <c r="D371" i="9"/>
  <c r="C371" i="9"/>
  <c r="D370" i="9"/>
  <c r="C370" i="9"/>
  <c r="C369" i="9"/>
  <c r="C368" i="9"/>
  <c r="D367" i="9"/>
  <c r="C367" i="9"/>
  <c r="C366" i="9"/>
  <c r="C365" i="9"/>
  <c r="D364" i="9"/>
  <c r="C364" i="9"/>
  <c r="D363" i="9"/>
  <c r="C363" i="9"/>
  <c r="D362" i="9"/>
  <c r="C362" i="9"/>
  <c r="E361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E348" i="9"/>
  <c r="D348" i="9"/>
  <c r="C348" i="9"/>
  <c r="D347" i="9"/>
  <c r="C347" i="9"/>
  <c r="E346" i="9"/>
  <c r="D346" i="9"/>
  <c r="C346" i="9"/>
  <c r="D345" i="9"/>
  <c r="C345" i="9"/>
  <c r="D344" i="9"/>
  <c r="C344" i="9"/>
  <c r="D343" i="9"/>
  <c r="C343" i="9"/>
  <c r="C342" i="9"/>
  <c r="D341" i="9"/>
  <c r="C341" i="9"/>
  <c r="D340" i="9"/>
  <c r="C340" i="9"/>
  <c r="E339" i="9"/>
  <c r="D339" i="9"/>
  <c r="C339" i="9"/>
  <c r="D338" i="9"/>
  <c r="C338" i="9"/>
  <c r="D337" i="9"/>
  <c r="C337" i="9"/>
  <c r="E336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E324" i="9"/>
  <c r="D324" i="9"/>
  <c r="C324" i="9"/>
  <c r="D323" i="9"/>
  <c r="C323" i="9"/>
  <c r="D322" i="9"/>
  <c r="C322" i="9"/>
  <c r="D321" i="9"/>
  <c r="C321" i="9"/>
  <c r="D320" i="9"/>
  <c r="C320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E309" i="9"/>
  <c r="D309" i="9"/>
  <c r="C309" i="9"/>
  <c r="D308" i="9"/>
  <c r="C308" i="9"/>
  <c r="D307" i="9"/>
  <c r="C307" i="9"/>
  <c r="C306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E288" i="9"/>
  <c r="D288" i="9"/>
  <c r="C288" i="9"/>
  <c r="D287" i="9"/>
  <c r="C287" i="9"/>
  <c r="D286" i="9"/>
  <c r="C286" i="9"/>
  <c r="D285" i="9"/>
  <c r="C285" i="9"/>
  <c r="C284" i="9"/>
  <c r="F283" i="9"/>
  <c r="E283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C275" i="9"/>
  <c r="C274" i="9"/>
  <c r="C273" i="9"/>
  <c r="D272" i="9"/>
  <c r="C272" i="9"/>
  <c r="D271" i="9"/>
  <c r="C271" i="9"/>
  <c r="D270" i="9"/>
  <c r="C270" i="9"/>
  <c r="D269" i="9"/>
  <c r="C269" i="9"/>
  <c r="E268" i="9"/>
  <c r="D268" i="9"/>
  <c r="C268" i="9"/>
  <c r="D267" i="9"/>
  <c r="C267" i="9"/>
  <c r="D266" i="9"/>
  <c r="C266" i="9"/>
  <c r="E265" i="9"/>
  <c r="D265" i="9"/>
  <c r="C265" i="9"/>
  <c r="D264" i="9"/>
  <c r="C264" i="9"/>
  <c r="D263" i="9"/>
  <c r="C263" i="9"/>
  <c r="E262" i="9"/>
  <c r="D262" i="9"/>
  <c r="C262" i="9"/>
  <c r="E261" i="9"/>
  <c r="D261" i="9"/>
  <c r="C261" i="9"/>
  <c r="D260" i="9"/>
  <c r="C260" i="9"/>
  <c r="D259" i="9"/>
  <c r="C259" i="9"/>
  <c r="C258" i="9"/>
  <c r="D257" i="9"/>
  <c r="C257" i="9"/>
  <c r="C256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E248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E239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C233" i="9"/>
  <c r="D232" i="9"/>
  <c r="C232" i="9"/>
  <c r="D231" i="9"/>
  <c r="C231" i="9"/>
  <c r="D230" i="9"/>
  <c r="C230" i="9"/>
  <c r="E229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E213" i="9"/>
  <c r="D213" i="9"/>
  <c r="C213" i="9"/>
  <c r="D212" i="9"/>
  <c r="C212" i="9"/>
  <c r="D211" i="9"/>
  <c r="C211" i="9"/>
  <c r="D210" i="9"/>
  <c r="C210" i="9"/>
  <c r="D209" i="9"/>
  <c r="C209" i="9"/>
  <c r="C208" i="9"/>
  <c r="C207" i="9"/>
  <c r="D206" i="9"/>
  <c r="C206" i="9"/>
  <c r="D205" i="9"/>
  <c r="C205" i="9"/>
  <c r="E204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C196" i="9"/>
  <c r="C195" i="9"/>
  <c r="D194" i="9"/>
  <c r="C194" i="9"/>
  <c r="D193" i="9"/>
  <c r="C193" i="9"/>
  <c r="E192" i="9"/>
  <c r="D192" i="9"/>
  <c r="C192" i="9"/>
  <c r="D191" i="9"/>
  <c r="C191" i="9"/>
  <c r="D190" i="9"/>
  <c r="C190" i="9"/>
  <c r="C189" i="9"/>
  <c r="C188" i="9"/>
  <c r="D187" i="9"/>
  <c r="C187" i="9"/>
  <c r="D186" i="9"/>
  <c r="C186" i="9"/>
  <c r="C185" i="9"/>
  <c r="D184" i="9"/>
  <c r="C184" i="9"/>
  <c r="C183" i="9"/>
  <c r="E182" i="9"/>
  <c r="D182" i="9"/>
  <c r="C182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E171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E165" i="9"/>
  <c r="D165" i="9"/>
  <c r="C165" i="9"/>
  <c r="D164" i="9"/>
  <c r="C164" i="9"/>
  <c r="D163" i="9"/>
  <c r="C163" i="9"/>
  <c r="D162" i="9"/>
  <c r="C162" i="9"/>
  <c r="D161" i="9"/>
  <c r="C161" i="9"/>
  <c r="C160" i="9"/>
  <c r="D159" i="9"/>
  <c r="C159" i="9"/>
  <c r="D158" i="9"/>
  <c r="C158" i="9"/>
  <c r="D157" i="9"/>
  <c r="C157" i="9"/>
  <c r="D156" i="9"/>
  <c r="C156" i="9"/>
  <c r="E155" i="9"/>
  <c r="D155" i="9"/>
  <c r="C155" i="9"/>
  <c r="E154" i="9"/>
  <c r="D154" i="9"/>
  <c r="C154" i="9"/>
  <c r="E153" i="9"/>
  <c r="D153" i="9"/>
  <c r="C153" i="9"/>
  <c r="E152" i="9"/>
  <c r="D152" i="9"/>
  <c r="C152" i="9"/>
  <c r="E151" i="9"/>
  <c r="D151" i="9"/>
  <c r="C151" i="9"/>
  <c r="D150" i="9"/>
  <c r="C150" i="9"/>
  <c r="D149" i="9"/>
  <c r="C149" i="9"/>
  <c r="E148" i="9"/>
  <c r="D148" i="9"/>
  <c r="C148" i="9"/>
  <c r="E147" i="9"/>
  <c r="D147" i="9"/>
  <c r="C147" i="9"/>
  <c r="E146" i="9"/>
  <c r="D146" i="9"/>
  <c r="C146" i="9"/>
  <c r="D145" i="9"/>
  <c r="C145" i="9"/>
  <c r="E144" i="9"/>
  <c r="D144" i="9"/>
  <c r="C144" i="9"/>
  <c r="E143" i="9"/>
  <c r="D143" i="9"/>
  <c r="C143" i="9"/>
  <c r="D142" i="9"/>
  <c r="C142" i="9"/>
  <c r="D141" i="9"/>
  <c r="C141" i="9"/>
  <c r="D140" i="9"/>
  <c r="C140" i="9"/>
  <c r="E139" i="9"/>
  <c r="D139" i="9"/>
  <c r="C139" i="9"/>
  <c r="E138" i="9"/>
  <c r="D138" i="9"/>
  <c r="C138" i="9"/>
  <c r="E137" i="9"/>
  <c r="D137" i="9"/>
  <c r="C137" i="9"/>
  <c r="E136" i="9"/>
  <c r="D136" i="9"/>
  <c r="C136" i="9"/>
  <c r="D135" i="9"/>
  <c r="C135" i="9"/>
  <c r="D134" i="9"/>
  <c r="C134" i="9"/>
  <c r="F133" i="9"/>
  <c r="E133" i="9"/>
  <c r="D133" i="9"/>
  <c r="C133" i="9"/>
  <c r="D132" i="9"/>
  <c r="C132" i="9"/>
  <c r="E131" i="9"/>
  <c r="D131" i="9"/>
  <c r="C131" i="9"/>
  <c r="E130" i="9"/>
  <c r="D130" i="9"/>
  <c r="C130" i="9"/>
  <c r="E129" i="9"/>
  <c r="D129" i="9"/>
  <c r="C129" i="9"/>
  <c r="D128" i="9"/>
  <c r="C128" i="9"/>
  <c r="D127" i="9"/>
  <c r="C127" i="9"/>
  <c r="D126" i="9"/>
  <c r="C126" i="9"/>
  <c r="D125" i="9"/>
  <c r="C125" i="9"/>
  <c r="E124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E117" i="9"/>
  <c r="D117" i="9"/>
  <c r="C117" i="9"/>
  <c r="D116" i="9"/>
  <c r="C116" i="9"/>
  <c r="D115" i="9"/>
  <c r="C115" i="9"/>
  <c r="D114" i="9"/>
  <c r="C114" i="9"/>
  <c r="D113" i="9"/>
  <c r="C113" i="9"/>
  <c r="E112" i="9"/>
  <c r="D112" i="9"/>
  <c r="C112" i="9"/>
  <c r="D111" i="9"/>
  <c r="C111" i="9"/>
  <c r="D110" i="9"/>
  <c r="C110" i="9"/>
  <c r="D109" i="9"/>
  <c r="C109" i="9"/>
  <c r="E108" i="9"/>
  <c r="D108" i="9"/>
  <c r="C108" i="9"/>
  <c r="F107" i="9"/>
  <c r="E107" i="9"/>
  <c r="D107" i="9"/>
  <c r="C107" i="9"/>
  <c r="E106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E98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E89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E76" i="9"/>
  <c r="D76" i="9"/>
  <c r="C76" i="9"/>
  <c r="E75" i="9"/>
  <c r="D75" i="9"/>
  <c r="C75" i="9"/>
  <c r="D74" i="9"/>
  <c r="C74" i="9"/>
  <c r="E73" i="9"/>
  <c r="D73" i="9"/>
  <c r="C73" i="9"/>
  <c r="E72" i="9"/>
  <c r="D72" i="9"/>
  <c r="C72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E62" i="9"/>
  <c r="D62" i="9"/>
  <c r="C62" i="9"/>
  <c r="E61" i="9"/>
  <c r="D61" i="9"/>
  <c r="C61" i="9"/>
  <c r="D60" i="9"/>
  <c r="C60" i="9"/>
  <c r="E59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E51" i="9"/>
  <c r="D51" i="9"/>
  <c r="C51" i="9"/>
  <c r="D50" i="9"/>
  <c r="C50" i="9"/>
  <c r="E49" i="9"/>
  <c r="D49" i="9"/>
  <c r="C49" i="9"/>
  <c r="E48" i="9"/>
  <c r="D48" i="9"/>
  <c r="C48" i="9"/>
  <c r="E47" i="9"/>
  <c r="D47" i="9"/>
  <c r="C47" i="9"/>
  <c r="F46" i="9"/>
  <c r="E46" i="9"/>
  <c r="D46" i="9"/>
  <c r="C46" i="9"/>
  <c r="E45" i="9"/>
  <c r="D45" i="9"/>
  <c r="C45" i="9"/>
  <c r="E44" i="9"/>
  <c r="D44" i="9"/>
  <c r="C44" i="9"/>
  <c r="E43" i="9"/>
  <c r="D43" i="9"/>
  <c r="C43" i="9"/>
  <c r="E42" i="9"/>
  <c r="D42" i="9"/>
  <c r="C42" i="9"/>
  <c r="E41" i="9"/>
  <c r="D41" i="9"/>
  <c r="C41" i="9"/>
  <c r="D40" i="9"/>
  <c r="C40" i="9"/>
  <c r="D39" i="9"/>
  <c r="C39" i="9"/>
  <c r="F38" i="9"/>
  <c r="E38" i="9"/>
  <c r="D38" i="9"/>
  <c r="C38" i="9"/>
  <c r="E37" i="9"/>
  <c r="D37" i="9"/>
  <c r="C37" i="9"/>
  <c r="D36" i="9"/>
  <c r="C36" i="9"/>
  <c r="E35" i="9"/>
  <c r="D35" i="9"/>
  <c r="C35" i="9"/>
  <c r="D34" i="9"/>
  <c r="C34" i="9"/>
  <c r="D33" i="9"/>
  <c r="C33" i="9"/>
  <c r="E32" i="9"/>
  <c r="D32" i="9"/>
  <c r="C32" i="9"/>
  <c r="E31" i="9"/>
  <c r="D31" i="9"/>
  <c r="C31" i="9"/>
  <c r="D30" i="9"/>
  <c r="C30" i="9"/>
  <c r="D29" i="9"/>
  <c r="C29" i="9"/>
  <c r="E28" i="9"/>
  <c r="D28" i="9"/>
  <c r="C28" i="9"/>
  <c r="D27" i="9"/>
  <c r="C27" i="9"/>
  <c r="D26" i="9"/>
  <c r="C26" i="9"/>
  <c r="E25" i="9"/>
  <c r="D25" i="9"/>
  <c r="C25" i="9"/>
  <c r="D24" i="9"/>
  <c r="C24" i="9"/>
  <c r="E23" i="9"/>
  <c r="D23" i="9"/>
  <c r="C23" i="9"/>
  <c r="E22" i="9"/>
  <c r="D22" i="9"/>
  <c r="C22" i="9"/>
  <c r="E21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C8" i="9"/>
  <c r="D7" i="9"/>
  <c r="C7" i="9"/>
  <c r="E6" i="9"/>
  <c r="D6" i="9"/>
  <c r="C6" i="9"/>
  <c r="E5" i="9"/>
  <c r="D5" i="9"/>
  <c r="C5" i="9"/>
  <c r="F4" i="9"/>
  <c r="E4" i="9"/>
  <c r="D4" i="9"/>
  <c r="C4" i="9"/>
  <c r="E3" i="9"/>
  <c r="D3" i="9"/>
  <c r="C3" i="9"/>
  <c r="E2" i="9"/>
  <c r="D2" i="9"/>
  <c r="C2" i="9"/>
  <c r="C1" i="9"/>
  <c r="L801" i="8"/>
  <c r="J678" i="8"/>
  <c r="K678" i="8" s="1"/>
  <c r="E678" i="8"/>
  <c r="J677" i="8"/>
  <c r="K677" i="8" s="1"/>
  <c r="E677" i="8"/>
  <c r="E676" i="8"/>
  <c r="J676" i="8" s="1"/>
  <c r="K676" i="8" s="1"/>
  <c r="K675" i="8"/>
  <c r="J675" i="8"/>
  <c r="E675" i="8"/>
  <c r="E674" i="8"/>
  <c r="J674" i="8" s="1"/>
  <c r="K674" i="8" s="1"/>
  <c r="J673" i="8"/>
  <c r="K673" i="8" s="1"/>
  <c r="E673" i="8"/>
  <c r="E672" i="8"/>
  <c r="J672" i="8" s="1"/>
  <c r="K672" i="8" s="1"/>
  <c r="J671" i="8"/>
  <c r="K671" i="8" s="1"/>
  <c r="E671" i="8"/>
  <c r="E670" i="8"/>
  <c r="J670" i="8" s="1"/>
  <c r="K670" i="8" s="1"/>
  <c r="K669" i="8"/>
  <c r="J669" i="8"/>
  <c r="E669" i="8"/>
  <c r="K668" i="8"/>
  <c r="E668" i="8"/>
  <c r="J668" i="8" s="1"/>
  <c r="E667" i="8"/>
  <c r="J667" i="8" s="1"/>
  <c r="K667" i="8" s="1"/>
  <c r="K666" i="8"/>
  <c r="J666" i="8"/>
  <c r="E666" i="8"/>
  <c r="J665" i="8"/>
  <c r="K665" i="8" s="1"/>
  <c r="E665" i="8"/>
  <c r="E664" i="8"/>
  <c r="J664" i="8" s="1"/>
  <c r="K664" i="8" s="1"/>
  <c r="E663" i="8"/>
  <c r="J663" i="8" s="1"/>
  <c r="K663" i="8" s="1"/>
  <c r="K662" i="8"/>
  <c r="J662" i="8"/>
  <c r="E662" i="8"/>
  <c r="J661" i="8"/>
  <c r="K661" i="8" s="1"/>
  <c r="E661" i="8"/>
  <c r="K660" i="8"/>
  <c r="E660" i="8"/>
  <c r="J660" i="8" s="1"/>
  <c r="K659" i="8"/>
  <c r="E659" i="8"/>
  <c r="J659" i="8" s="1"/>
  <c r="E658" i="8"/>
  <c r="J658" i="8" s="1"/>
  <c r="K658" i="8" s="1"/>
  <c r="K657" i="8"/>
  <c r="J657" i="8"/>
  <c r="E657" i="8"/>
  <c r="K656" i="8"/>
  <c r="E656" i="8"/>
  <c r="J656" i="8" s="1"/>
  <c r="J655" i="8"/>
  <c r="K655" i="8" s="1"/>
  <c r="E655" i="8"/>
  <c r="E654" i="8"/>
  <c r="J654" i="8" s="1"/>
  <c r="K654" i="8" s="1"/>
  <c r="K653" i="8"/>
  <c r="J653" i="8"/>
  <c r="E653" i="8"/>
  <c r="E652" i="8"/>
  <c r="J652" i="8" s="1"/>
  <c r="K652" i="8" s="1"/>
  <c r="K651" i="8"/>
  <c r="J651" i="8"/>
  <c r="E651" i="8"/>
  <c r="E650" i="8"/>
  <c r="J650" i="8" s="1"/>
  <c r="K650" i="8" s="1"/>
  <c r="J649" i="8"/>
  <c r="K649" i="8" s="1"/>
  <c r="E649" i="8"/>
  <c r="E648" i="8"/>
  <c r="J648" i="8" s="1"/>
  <c r="K648" i="8" s="1"/>
  <c r="E647" i="8"/>
  <c r="J647" i="8" s="1"/>
  <c r="K647" i="8" s="1"/>
  <c r="E646" i="8"/>
  <c r="J646" i="8" s="1"/>
  <c r="K646" i="8" s="1"/>
  <c r="J645" i="8"/>
  <c r="K645" i="8" s="1"/>
  <c r="E645" i="8"/>
  <c r="K644" i="8"/>
  <c r="E644" i="8"/>
  <c r="J644" i="8" s="1"/>
  <c r="J643" i="8"/>
  <c r="K643" i="8" s="1"/>
  <c r="E643" i="8"/>
  <c r="K642" i="8"/>
  <c r="J642" i="8"/>
  <c r="E642" i="8"/>
  <c r="J641" i="8"/>
  <c r="K641" i="8" s="1"/>
  <c r="E641" i="8"/>
  <c r="K640" i="8"/>
  <c r="E640" i="8"/>
  <c r="J640" i="8" s="1"/>
  <c r="E639" i="8"/>
  <c r="J639" i="8" s="1"/>
  <c r="K639" i="8" s="1"/>
  <c r="E638" i="8"/>
  <c r="J638" i="8" s="1"/>
  <c r="K638" i="8" s="1"/>
  <c r="J637" i="8"/>
  <c r="K637" i="8" s="1"/>
  <c r="E637" i="8"/>
  <c r="K636" i="8"/>
  <c r="E636" i="8"/>
  <c r="J636" i="8" s="1"/>
  <c r="E635" i="8"/>
  <c r="J635" i="8" s="1"/>
  <c r="K635" i="8" s="1"/>
  <c r="J634" i="8"/>
  <c r="K634" i="8" s="1"/>
  <c r="E634" i="8"/>
  <c r="K633" i="8"/>
  <c r="J633" i="8"/>
  <c r="E633" i="8"/>
  <c r="E632" i="8"/>
  <c r="J632" i="8" s="1"/>
  <c r="K632" i="8" s="1"/>
  <c r="K631" i="8"/>
  <c r="J631" i="8"/>
  <c r="E631" i="8"/>
  <c r="E630" i="8"/>
  <c r="J630" i="8" s="1"/>
  <c r="K630" i="8" s="1"/>
  <c r="J629" i="8"/>
  <c r="K629" i="8" s="1"/>
  <c r="E629" i="8"/>
  <c r="E628" i="8"/>
  <c r="J628" i="8" s="1"/>
  <c r="K628" i="8" s="1"/>
  <c r="K627" i="8"/>
  <c r="J627" i="8"/>
  <c r="E627" i="8"/>
  <c r="E626" i="8"/>
  <c r="J626" i="8" s="1"/>
  <c r="K626" i="8" s="1"/>
  <c r="K625" i="8"/>
  <c r="J625" i="8"/>
  <c r="E625" i="8"/>
  <c r="E624" i="8"/>
  <c r="J624" i="8" s="1"/>
  <c r="K624" i="8" s="1"/>
  <c r="E623" i="8"/>
  <c r="J623" i="8" s="1"/>
  <c r="K623" i="8" s="1"/>
  <c r="E622" i="8"/>
  <c r="J622" i="8" s="1"/>
  <c r="K622" i="8" s="1"/>
  <c r="K621" i="8"/>
  <c r="J621" i="8"/>
  <c r="E621" i="8"/>
  <c r="K620" i="8"/>
  <c r="E620" i="8"/>
  <c r="J620" i="8" s="1"/>
  <c r="E619" i="8"/>
  <c r="J619" i="8" s="1"/>
  <c r="K619" i="8" s="1"/>
  <c r="K618" i="8"/>
  <c r="J618" i="8"/>
  <c r="E618" i="8"/>
  <c r="J617" i="8"/>
  <c r="K617" i="8" s="1"/>
  <c r="E617" i="8"/>
  <c r="K616" i="8"/>
  <c r="E616" i="8"/>
  <c r="J616" i="8" s="1"/>
  <c r="E615" i="8"/>
  <c r="J615" i="8" s="1"/>
  <c r="K615" i="8" s="1"/>
  <c r="J614" i="8"/>
  <c r="K614" i="8" s="1"/>
  <c r="E614" i="8"/>
  <c r="J613" i="8"/>
  <c r="K613" i="8" s="1"/>
  <c r="E613" i="8"/>
  <c r="E612" i="8"/>
  <c r="J612" i="8" s="1"/>
  <c r="K612" i="8" s="1"/>
  <c r="K611" i="8"/>
  <c r="E611" i="8"/>
  <c r="J611" i="8" s="1"/>
  <c r="J610" i="8"/>
  <c r="K610" i="8" s="1"/>
  <c r="E610" i="8"/>
  <c r="K609" i="8"/>
  <c r="J609" i="8"/>
  <c r="E609" i="8"/>
  <c r="E608" i="8"/>
  <c r="J608" i="8" s="1"/>
  <c r="K608" i="8" s="1"/>
  <c r="K607" i="8"/>
  <c r="J607" i="8"/>
  <c r="E607" i="8"/>
  <c r="E606" i="8"/>
  <c r="J606" i="8" s="1"/>
  <c r="K606" i="8" s="1"/>
  <c r="K605" i="8"/>
  <c r="J605" i="8"/>
  <c r="E605" i="8"/>
  <c r="E604" i="8"/>
  <c r="J604" i="8" s="1"/>
  <c r="K604" i="8" s="1"/>
  <c r="J603" i="8"/>
  <c r="K603" i="8" s="1"/>
  <c r="E603" i="8"/>
  <c r="E602" i="8"/>
  <c r="J602" i="8" s="1"/>
  <c r="K602" i="8" s="1"/>
  <c r="K601" i="8"/>
  <c r="J601" i="8"/>
  <c r="E601" i="8"/>
  <c r="E600" i="8"/>
  <c r="J600" i="8" s="1"/>
  <c r="K600" i="8" s="1"/>
  <c r="K599" i="8"/>
  <c r="J599" i="8"/>
  <c r="E599" i="8"/>
  <c r="K598" i="8"/>
  <c r="E598" i="8"/>
  <c r="J598" i="8" s="1"/>
  <c r="J597" i="8"/>
  <c r="K597" i="8" s="1"/>
  <c r="E597" i="8"/>
  <c r="K596" i="8"/>
  <c r="E596" i="8"/>
  <c r="J596" i="8" s="1"/>
  <c r="E595" i="8"/>
  <c r="J595" i="8" s="1"/>
  <c r="K595" i="8" s="1"/>
  <c r="J594" i="8"/>
  <c r="K594" i="8" s="1"/>
  <c r="E594" i="8"/>
  <c r="J593" i="8"/>
  <c r="K593" i="8" s="1"/>
  <c r="E593" i="8"/>
  <c r="E592" i="8"/>
  <c r="J592" i="8" s="1"/>
  <c r="K592" i="8" s="1"/>
  <c r="E591" i="8"/>
  <c r="J591" i="8" s="1"/>
  <c r="K591" i="8" s="1"/>
  <c r="K590" i="8"/>
  <c r="J590" i="8"/>
  <c r="E590" i="8"/>
  <c r="J589" i="8"/>
  <c r="K589" i="8" s="1"/>
  <c r="E589" i="8"/>
  <c r="K588" i="8"/>
  <c r="E588" i="8"/>
  <c r="J588" i="8" s="1"/>
  <c r="K587" i="8"/>
  <c r="E587" i="8"/>
  <c r="J587" i="8" s="1"/>
  <c r="J586" i="8"/>
  <c r="K586" i="8" s="1"/>
  <c r="E586" i="8"/>
  <c r="K585" i="8"/>
  <c r="J585" i="8"/>
  <c r="E585" i="8"/>
  <c r="E584" i="8"/>
  <c r="J584" i="8" s="1"/>
  <c r="K584" i="8" s="1"/>
  <c r="J583" i="8"/>
  <c r="K583" i="8" s="1"/>
  <c r="E583" i="8"/>
  <c r="J582" i="8"/>
  <c r="K582" i="8" s="1"/>
  <c r="E582" i="8"/>
  <c r="J581" i="8"/>
  <c r="K581" i="8" s="1"/>
  <c r="E581" i="8"/>
  <c r="E580" i="8"/>
  <c r="J580" i="8" s="1"/>
  <c r="K580" i="8" s="1"/>
  <c r="E579" i="8"/>
  <c r="J579" i="8" s="1"/>
  <c r="K579" i="8" s="1"/>
  <c r="E578" i="8"/>
  <c r="J578" i="8" s="1"/>
  <c r="K578" i="8" s="1"/>
  <c r="K577" i="8"/>
  <c r="J577" i="8"/>
  <c r="E577" i="8"/>
  <c r="E576" i="8"/>
  <c r="J576" i="8" s="1"/>
  <c r="K576" i="8" s="1"/>
  <c r="E575" i="8"/>
  <c r="J575" i="8" s="1"/>
  <c r="K575" i="8" s="1"/>
  <c r="E574" i="8"/>
  <c r="J574" i="8" s="1"/>
  <c r="K574" i="8" s="1"/>
  <c r="K573" i="8"/>
  <c r="J573" i="8"/>
  <c r="E573" i="8"/>
  <c r="K572" i="8"/>
  <c r="E572" i="8"/>
  <c r="J572" i="8" s="1"/>
  <c r="E571" i="8"/>
  <c r="J571" i="8" s="1"/>
  <c r="K571" i="8" s="1"/>
  <c r="K570" i="8"/>
  <c r="J570" i="8"/>
  <c r="E570" i="8"/>
  <c r="J569" i="8"/>
  <c r="K569" i="8" s="1"/>
  <c r="E569" i="8"/>
  <c r="K568" i="8"/>
  <c r="E568" i="8"/>
  <c r="J568" i="8" s="1"/>
  <c r="E567" i="8"/>
  <c r="J567" i="8" s="1"/>
  <c r="K567" i="8" s="1"/>
  <c r="J566" i="8"/>
  <c r="K566" i="8" s="1"/>
  <c r="E566" i="8"/>
  <c r="J565" i="8"/>
  <c r="K565" i="8" s="1"/>
  <c r="E565" i="8"/>
  <c r="K564" i="8"/>
  <c r="E564" i="8"/>
  <c r="J564" i="8" s="1"/>
  <c r="K563" i="8"/>
  <c r="E563" i="8"/>
  <c r="J563" i="8" s="1"/>
  <c r="J562" i="8"/>
  <c r="K562" i="8" s="1"/>
  <c r="E562" i="8"/>
  <c r="K561" i="8"/>
  <c r="J561" i="8"/>
  <c r="E561" i="8"/>
  <c r="K560" i="8"/>
  <c r="E560" i="8"/>
  <c r="J560" i="8" s="1"/>
  <c r="K559" i="8"/>
  <c r="J559" i="8"/>
  <c r="E559" i="8"/>
  <c r="E558" i="8"/>
  <c r="J558" i="8" s="1"/>
  <c r="K558" i="8" s="1"/>
  <c r="J557" i="8"/>
  <c r="K557" i="8" s="1"/>
  <c r="E557" i="8"/>
  <c r="E556" i="8"/>
  <c r="J556" i="8" s="1"/>
  <c r="K556" i="8" s="1"/>
  <c r="E555" i="8"/>
  <c r="J555" i="8" s="1"/>
  <c r="K555" i="8" s="1"/>
  <c r="E554" i="8"/>
  <c r="J554" i="8" s="1"/>
  <c r="K554" i="8" s="1"/>
  <c r="K553" i="8"/>
  <c r="J553" i="8"/>
  <c r="E553" i="8"/>
  <c r="E552" i="8"/>
  <c r="J552" i="8" s="1"/>
  <c r="K552" i="8" s="1"/>
  <c r="J551" i="8"/>
  <c r="K551" i="8" s="1"/>
  <c r="E551" i="8"/>
  <c r="E550" i="8"/>
  <c r="J550" i="8" s="1"/>
  <c r="K550" i="8" s="1"/>
  <c r="J549" i="8"/>
  <c r="K549" i="8" s="1"/>
  <c r="E549" i="8"/>
  <c r="K548" i="8"/>
  <c r="E548" i="8"/>
  <c r="J548" i="8" s="1"/>
  <c r="J547" i="8"/>
  <c r="K547" i="8" s="1"/>
  <c r="E547" i="8"/>
  <c r="K546" i="8"/>
  <c r="J546" i="8"/>
  <c r="E546" i="8"/>
  <c r="J545" i="8"/>
  <c r="K545" i="8" s="1"/>
  <c r="E545" i="8"/>
  <c r="K544" i="8"/>
  <c r="E544" i="8"/>
  <c r="J544" i="8" s="1"/>
  <c r="E543" i="8"/>
  <c r="J543" i="8" s="1"/>
  <c r="K543" i="8" s="1"/>
  <c r="K542" i="8"/>
  <c r="J542" i="8"/>
  <c r="E542" i="8"/>
  <c r="J541" i="8"/>
  <c r="K541" i="8" s="1"/>
  <c r="E541" i="8"/>
  <c r="E540" i="8"/>
  <c r="J540" i="8" s="1"/>
  <c r="K540" i="8" s="1"/>
  <c r="K539" i="8"/>
  <c r="E539" i="8"/>
  <c r="J539" i="8" s="1"/>
  <c r="J538" i="8"/>
  <c r="K538" i="8" s="1"/>
  <c r="E538" i="8"/>
  <c r="K537" i="8"/>
  <c r="J537" i="8"/>
  <c r="E537" i="8"/>
  <c r="E536" i="8"/>
  <c r="J536" i="8" s="1"/>
  <c r="K536" i="8" s="1"/>
  <c r="K535" i="8"/>
  <c r="J535" i="8"/>
  <c r="E535" i="8"/>
  <c r="J534" i="8"/>
  <c r="K534" i="8" s="1"/>
  <c r="E534" i="8"/>
  <c r="J533" i="8"/>
  <c r="K533" i="8" s="1"/>
  <c r="E533" i="8"/>
  <c r="E532" i="8"/>
  <c r="J532" i="8" s="1"/>
  <c r="K532" i="8" s="1"/>
  <c r="K531" i="8"/>
  <c r="J531" i="8"/>
  <c r="E531" i="8"/>
  <c r="E530" i="8"/>
  <c r="J530" i="8" s="1"/>
  <c r="K530" i="8" s="1"/>
  <c r="J529" i="8"/>
  <c r="K529" i="8" s="1"/>
  <c r="E529" i="8"/>
  <c r="E528" i="8"/>
  <c r="J528" i="8" s="1"/>
  <c r="K528" i="8" s="1"/>
  <c r="E527" i="8"/>
  <c r="J527" i="8" s="1"/>
  <c r="K527" i="8" s="1"/>
  <c r="K526" i="8"/>
  <c r="E526" i="8"/>
  <c r="J526" i="8" s="1"/>
  <c r="K525" i="8"/>
  <c r="J525" i="8"/>
  <c r="E525" i="8"/>
  <c r="K524" i="8"/>
  <c r="E524" i="8"/>
  <c r="J524" i="8" s="1"/>
  <c r="E523" i="8"/>
  <c r="J523" i="8" s="1"/>
  <c r="K523" i="8" s="1"/>
  <c r="K522" i="8"/>
  <c r="J522" i="8"/>
  <c r="E522" i="8"/>
  <c r="J521" i="8"/>
  <c r="K521" i="8" s="1"/>
  <c r="E521" i="8"/>
  <c r="K520" i="8"/>
  <c r="E520" i="8"/>
  <c r="J520" i="8" s="1"/>
  <c r="E519" i="8"/>
  <c r="J519" i="8" s="1"/>
  <c r="K519" i="8" s="1"/>
  <c r="J518" i="8"/>
  <c r="K518" i="8" s="1"/>
  <c r="E518" i="8"/>
  <c r="J517" i="8"/>
  <c r="K517" i="8" s="1"/>
  <c r="E517" i="8"/>
  <c r="E516" i="8"/>
  <c r="J516" i="8" s="1"/>
  <c r="K516" i="8" s="1"/>
  <c r="K515" i="8"/>
  <c r="J515" i="8"/>
  <c r="E515" i="8"/>
  <c r="J514" i="8"/>
  <c r="K514" i="8" s="1"/>
  <c r="E514" i="8"/>
  <c r="K513" i="8"/>
  <c r="J513" i="8"/>
  <c r="E513" i="8"/>
  <c r="K512" i="8"/>
  <c r="E512" i="8"/>
  <c r="J512" i="8" s="1"/>
  <c r="J511" i="8"/>
  <c r="K511" i="8" s="1"/>
  <c r="E511" i="8"/>
  <c r="E510" i="8"/>
  <c r="J510" i="8" s="1"/>
  <c r="K510" i="8" s="1"/>
  <c r="K509" i="8"/>
  <c r="J509" i="8"/>
  <c r="E509" i="8"/>
  <c r="E508" i="8"/>
  <c r="J508" i="8" s="1"/>
  <c r="K508" i="8" s="1"/>
  <c r="K507" i="8"/>
  <c r="E507" i="8"/>
  <c r="J507" i="8" s="1"/>
  <c r="E506" i="8"/>
  <c r="J506" i="8" s="1"/>
  <c r="K506" i="8" s="1"/>
  <c r="J505" i="8"/>
  <c r="K505" i="8" s="1"/>
  <c r="E505" i="8"/>
  <c r="E504" i="8"/>
  <c r="J504" i="8" s="1"/>
  <c r="K504" i="8" s="1"/>
  <c r="K503" i="8"/>
  <c r="J503" i="8"/>
  <c r="E503" i="8"/>
  <c r="K502" i="8"/>
  <c r="J502" i="8"/>
  <c r="E502" i="8"/>
  <c r="J501" i="8"/>
  <c r="K501" i="8" s="1"/>
  <c r="E501" i="8"/>
  <c r="K500" i="8"/>
  <c r="E500" i="8"/>
  <c r="J500" i="8" s="1"/>
  <c r="J499" i="8"/>
  <c r="K499" i="8" s="1"/>
  <c r="E499" i="8"/>
  <c r="K498" i="8"/>
  <c r="J498" i="8"/>
  <c r="E498" i="8"/>
  <c r="J497" i="8"/>
  <c r="K497" i="8" s="1"/>
  <c r="E497" i="8"/>
  <c r="E496" i="8"/>
  <c r="J496" i="8" s="1"/>
  <c r="K496" i="8" s="1"/>
  <c r="E495" i="8"/>
  <c r="J495" i="8" s="1"/>
  <c r="K495" i="8" s="1"/>
  <c r="E494" i="8"/>
  <c r="J494" i="8" s="1"/>
  <c r="K494" i="8" s="1"/>
  <c r="K493" i="8"/>
  <c r="J493" i="8"/>
  <c r="E493" i="8"/>
  <c r="K492" i="8"/>
  <c r="E492" i="8"/>
  <c r="J492" i="8" s="1"/>
  <c r="K491" i="8"/>
  <c r="E491" i="8"/>
  <c r="J491" i="8" s="1"/>
  <c r="K490" i="8"/>
  <c r="J490" i="8"/>
  <c r="E490" i="8"/>
  <c r="K489" i="8"/>
  <c r="J489" i="8"/>
  <c r="E489" i="8"/>
  <c r="E488" i="8"/>
  <c r="J488" i="8" s="1"/>
  <c r="K488" i="8" s="1"/>
  <c r="K487" i="8"/>
  <c r="J487" i="8"/>
  <c r="E487" i="8"/>
  <c r="J486" i="8"/>
  <c r="K486" i="8" s="1"/>
  <c r="E486" i="8"/>
  <c r="K485" i="8"/>
  <c r="J485" i="8"/>
  <c r="E485" i="8"/>
  <c r="E484" i="8"/>
  <c r="J484" i="8" s="1"/>
  <c r="K484" i="8" s="1"/>
  <c r="E483" i="8"/>
  <c r="J483" i="8" s="1"/>
  <c r="K483" i="8" s="1"/>
  <c r="E482" i="8"/>
  <c r="J482" i="8" s="1"/>
  <c r="K482" i="8" s="1"/>
  <c r="K481" i="8"/>
  <c r="J481" i="8"/>
  <c r="E481" i="8"/>
  <c r="K480" i="8"/>
  <c r="E480" i="8"/>
  <c r="J480" i="8" s="1"/>
  <c r="J479" i="8"/>
  <c r="K479" i="8" s="1"/>
  <c r="E479" i="8"/>
  <c r="K478" i="8"/>
  <c r="E478" i="8"/>
  <c r="J478" i="8" s="1"/>
  <c r="J477" i="8"/>
  <c r="K477" i="8" s="1"/>
  <c r="E477" i="8"/>
  <c r="K476" i="8"/>
  <c r="E476" i="8"/>
  <c r="J476" i="8" s="1"/>
  <c r="E475" i="8"/>
  <c r="J475" i="8" s="1"/>
  <c r="K475" i="8" s="1"/>
  <c r="J474" i="8"/>
  <c r="K474" i="8" s="1"/>
  <c r="E474" i="8"/>
  <c r="J473" i="8"/>
  <c r="K473" i="8" s="1"/>
  <c r="E473" i="8"/>
  <c r="K472" i="8"/>
  <c r="E472" i="8"/>
  <c r="J472" i="8" s="1"/>
  <c r="E471" i="8"/>
  <c r="J471" i="8" s="1"/>
  <c r="K471" i="8" s="1"/>
  <c r="K470" i="8"/>
  <c r="J470" i="8"/>
  <c r="E470" i="8"/>
  <c r="J469" i="8"/>
  <c r="K469" i="8" s="1"/>
  <c r="E469" i="8"/>
  <c r="K468" i="8"/>
  <c r="E468" i="8"/>
  <c r="J468" i="8" s="1"/>
  <c r="K467" i="8"/>
  <c r="J467" i="8"/>
  <c r="E467" i="8"/>
  <c r="E466" i="8"/>
  <c r="J466" i="8" s="1"/>
  <c r="K466" i="8" s="1"/>
  <c r="K465" i="8"/>
  <c r="J465" i="8"/>
  <c r="E465" i="8"/>
  <c r="K464" i="8"/>
  <c r="E464" i="8"/>
  <c r="J464" i="8" s="1"/>
  <c r="K463" i="8"/>
  <c r="J463" i="8"/>
  <c r="E463" i="8"/>
  <c r="E462" i="8"/>
  <c r="J462" i="8" s="1"/>
  <c r="K462" i="8" s="1"/>
  <c r="K461" i="8"/>
  <c r="J461" i="8"/>
  <c r="E461" i="8"/>
  <c r="E460" i="8"/>
  <c r="J460" i="8" s="1"/>
  <c r="K460" i="8" s="1"/>
  <c r="E459" i="8"/>
  <c r="J459" i="8" s="1"/>
  <c r="K459" i="8" s="1"/>
  <c r="E458" i="8"/>
  <c r="J458" i="8" s="1"/>
  <c r="K458" i="8" s="1"/>
  <c r="K457" i="8"/>
  <c r="J457" i="8"/>
  <c r="E457" i="8"/>
  <c r="E456" i="8"/>
  <c r="J456" i="8" s="1"/>
  <c r="K456" i="8" s="1"/>
  <c r="K455" i="8"/>
  <c r="J455" i="8"/>
  <c r="E455" i="8"/>
  <c r="K454" i="8"/>
  <c r="J454" i="8"/>
  <c r="E454" i="8"/>
  <c r="J453" i="8"/>
  <c r="K453" i="8" s="1"/>
  <c r="E453" i="8"/>
  <c r="K452" i="8"/>
  <c r="E452" i="8"/>
  <c r="J452" i="8" s="1"/>
  <c r="E451" i="8"/>
  <c r="J451" i="8" s="1"/>
  <c r="K451" i="8" s="1"/>
  <c r="J450" i="8"/>
  <c r="K450" i="8" s="1"/>
  <c r="E450" i="8"/>
  <c r="J449" i="8"/>
  <c r="K449" i="8" s="1"/>
  <c r="E449" i="8"/>
  <c r="E448" i="8"/>
  <c r="J448" i="8" s="1"/>
  <c r="K448" i="8" s="1"/>
  <c r="E447" i="8"/>
  <c r="J447" i="8" s="1"/>
  <c r="K447" i="8" s="1"/>
  <c r="K446" i="8"/>
  <c r="J446" i="8"/>
  <c r="E446" i="8"/>
  <c r="K445" i="8"/>
  <c r="J445" i="8"/>
  <c r="E445" i="8"/>
  <c r="K444" i="8"/>
  <c r="E444" i="8"/>
  <c r="J444" i="8" s="1"/>
  <c r="K443" i="8"/>
  <c r="E443" i="8"/>
  <c r="J443" i="8" s="1"/>
  <c r="E442" i="8"/>
  <c r="J442" i="8" s="1"/>
  <c r="K442" i="8" s="1"/>
  <c r="K441" i="8"/>
  <c r="J441" i="8"/>
  <c r="E441" i="8"/>
  <c r="E440" i="8"/>
  <c r="J440" i="8" s="1"/>
  <c r="K440" i="8" s="1"/>
  <c r="J439" i="8"/>
  <c r="K439" i="8" s="1"/>
  <c r="E439" i="8"/>
  <c r="J438" i="8"/>
  <c r="K438" i="8" s="1"/>
  <c r="E438" i="8"/>
  <c r="K437" i="8"/>
  <c r="J437" i="8"/>
  <c r="E437" i="8"/>
  <c r="E436" i="8"/>
  <c r="J436" i="8" s="1"/>
  <c r="K436" i="8" s="1"/>
  <c r="E435" i="8"/>
  <c r="J435" i="8" s="1"/>
  <c r="K435" i="8" s="1"/>
  <c r="E434" i="8"/>
  <c r="J434" i="8" s="1"/>
  <c r="K434" i="8" s="1"/>
  <c r="K433" i="8"/>
  <c r="J433" i="8"/>
  <c r="E433" i="8"/>
  <c r="K432" i="8"/>
  <c r="E432" i="8"/>
  <c r="J432" i="8" s="1"/>
  <c r="E431" i="8"/>
  <c r="J431" i="8" s="1"/>
  <c r="K431" i="8" s="1"/>
  <c r="K430" i="8"/>
  <c r="E430" i="8"/>
  <c r="J430" i="8" s="1"/>
  <c r="E429" i="8"/>
  <c r="J429" i="8" s="1"/>
  <c r="K429" i="8" s="1"/>
  <c r="K428" i="8"/>
  <c r="E428" i="8"/>
  <c r="J428" i="8" s="1"/>
  <c r="E427" i="8"/>
  <c r="J427" i="8" s="1"/>
  <c r="K427" i="8" s="1"/>
  <c r="J426" i="8"/>
  <c r="K426" i="8" s="1"/>
  <c r="E426" i="8"/>
  <c r="J425" i="8"/>
  <c r="K425" i="8" s="1"/>
  <c r="E425" i="8"/>
  <c r="E424" i="8"/>
  <c r="J424" i="8" s="1"/>
  <c r="K424" i="8" s="1"/>
  <c r="E423" i="8"/>
  <c r="J423" i="8" s="1"/>
  <c r="K423" i="8" s="1"/>
  <c r="K422" i="8"/>
  <c r="J422" i="8"/>
  <c r="E422" i="8"/>
  <c r="E421" i="8"/>
  <c r="J421" i="8" s="1"/>
  <c r="K421" i="8" s="1"/>
  <c r="E420" i="8"/>
  <c r="J420" i="8" s="1"/>
  <c r="K420" i="8" s="1"/>
  <c r="K419" i="8"/>
  <c r="J419" i="8"/>
  <c r="E419" i="8"/>
  <c r="E418" i="8"/>
  <c r="J418" i="8" s="1"/>
  <c r="K418" i="8" s="1"/>
  <c r="E417" i="8"/>
  <c r="J417" i="8" s="1"/>
  <c r="K417" i="8" s="1"/>
  <c r="K416" i="8"/>
  <c r="E416" i="8"/>
  <c r="J416" i="8" s="1"/>
  <c r="K415" i="8"/>
  <c r="J415" i="8"/>
  <c r="E415" i="8"/>
  <c r="E414" i="8"/>
  <c r="J414" i="8" s="1"/>
  <c r="K414" i="8" s="1"/>
  <c r="K413" i="8"/>
  <c r="J413" i="8"/>
  <c r="E413" i="8"/>
  <c r="E412" i="8"/>
  <c r="J412" i="8" s="1"/>
  <c r="K412" i="8" s="1"/>
  <c r="E411" i="8"/>
  <c r="J411" i="8" s="1"/>
  <c r="K411" i="8" s="1"/>
  <c r="E410" i="8"/>
  <c r="J410" i="8" s="1"/>
  <c r="K410" i="8" s="1"/>
  <c r="E409" i="8"/>
  <c r="J409" i="8" s="1"/>
  <c r="K409" i="8" s="1"/>
  <c r="E408" i="8"/>
  <c r="J408" i="8" s="1"/>
  <c r="K408" i="8" s="1"/>
  <c r="K407" i="8"/>
  <c r="J407" i="8"/>
  <c r="E407" i="8"/>
  <c r="K406" i="8"/>
  <c r="J406" i="8"/>
  <c r="E406" i="8"/>
  <c r="J405" i="8"/>
  <c r="K405" i="8" s="1"/>
  <c r="E405" i="8"/>
  <c r="K404" i="8"/>
  <c r="E404" i="8"/>
  <c r="J404" i="8" s="1"/>
  <c r="E403" i="8"/>
  <c r="J403" i="8" s="1"/>
  <c r="K403" i="8" s="1"/>
  <c r="K402" i="8"/>
  <c r="J402" i="8"/>
  <c r="E402" i="8"/>
  <c r="E401" i="8"/>
  <c r="J401" i="8" s="1"/>
  <c r="K401" i="8" s="1"/>
  <c r="K400" i="8"/>
  <c r="E400" i="8"/>
  <c r="J400" i="8" s="1"/>
  <c r="E399" i="8"/>
  <c r="J399" i="8" s="1"/>
  <c r="K399" i="8" s="1"/>
  <c r="K398" i="8"/>
  <c r="J398" i="8"/>
  <c r="E398" i="8"/>
  <c r="E397" i="8"/>
  <c r="J397" i="8" s="1"/>
  <c r="K397" i="8" s="1"/>
  <c r="E396" i="8"/>
  <c r="J396" i="8" s="1"/>
  <c r="K396" i="8" s="1"/>
  <c r="K395" i="8"/>
  <c r="E395" i="8"/>
  <c r="J395" i="8" s="1"/>
  <c r="K394" i="8"/>
  <c r="J394" i="8"/>
  <c r="E394" i="8"/>
  <c r="K393" i="8"/>
  <c r="J393" i="8"/>
  <c r="E393" i="8"/>
  <c r="E392" i="8"/>
  <c r="J392" i="8" s="1"/>
  <c r="K392" i="8" s="1"/>
  <c r="J391" i="8"/>
  <c r="K391" i="8" s="1"/>
  <c r="E391" i="8"/>
  <c r="J390" i="8"/>
  <c r="K390" i="8" s="1"/>
  <c r="E390" i="8"/>
  <c r="J389" i="8"/>
  <c r="K389" i="8" s="1"/>
  <c r="E389" i="8"/>
  <c r="E388" i="8"/>
  <c r="J388" i="8" s="1"/>
  <c r="K388" i="8" s="1"/>
  <c r="K387" i="8"/>
  <c r="J387" i="8"/>
  <c r="E387" i="8"/>
  <c r="E386" i="8"/>
  <c r="J386" i="8" s="1"/>
  <c r="K386" i="8" s="1"/>
  <c r="J385" i="8"/>
  <c r="K385" i="8" s="1"/>
  <c r="E385" i="8"/>
  <c r="K384" i="8"/>
  <c r="E384" i="8"/>
  <c r="J384" i="8" s="1"/>
  <c r="J383" i="8"/>
  <c r="K383" i="8" s="1"/>
  <c r="E383" i="8"/>
  <c r="K382" i="8"/>
  <c r="E382" i="8"/>
  <c r="J382" i="8" s="1"/>
  <c r="E381" i="8"/>
  <c r="J381" i="8" s="1"/>
  <c r="K381" i="8" s="1"/>
  <c r="K380" i="8"/>
  <c r="E380" i="8"/>
  <c r="J380" i="8" s="1"/>
  <c r="E379" i="8"/>
  <c r="J379" i="8" s="1"/>
  <c r="K379" i="8" s="1"/>
  <c r="J378" i="8"/>
  <c r="K378" i="8" s="1"/>
  <c r="E378" i="8"/>
  <c r="J377" i="8"/>
  <c r="K377" i="8" s="1"/>
  <c r="E377" i="8"/>
  <c r="K376" i="8"/>
  <c r="E376" i="8"/>
  <c r="J376" i="8" s="1"/>
  <c r="E375" i="8"/>
  <c r="J375" i="8" s="1"/>
  <c r="K375" i="8" s="1"/>
  <c r="J374" i="8"/>
  <c r="K374" i="8" s="1"/>
  <c r="E374" i="8"/>
  <c r="E373" i="8"/>
  <c r="J373" i="8" s="1"/>
  <c r="K373" i="8" s="1"/>
  <c r="E372" i="8"/>
  <c r="J372" i="8" s="1"/>
  <c r="K372" i="8" s="1"/>
  <c r="K371" i="8"/>
  <c r="J371" i="8"/>
  <c r="E371" i="8"/>
  <c r="J370" i="8"/>
  <c r="K370" i="8" s="1"/>
  <c r="E370" i="8"/>
  <c r="E369" i="8"/>
  <c r="J369" i="8" s="1"/>
  <c r="K369" i="8" s="1"/>
  <c r="E368" i="8"/>
  <c r="J368" i="8" s="1"/>
  <c r="K368" i="8" s="1"/>
  <c r="K367" i="8"/>
  <c r="J367" i="8"/>
  <c r="E367" i="8"/>
  <c r="E366" i="8"/>
  <c r="J366" i="8" s="1"/>
  <c r="K366" i="8" s="1"/>
  <c r="K365" i="8"/>
  <c r="J365" i="8"/>
  <c r="E365" i="8"/>
  <c r="E364" i="8"/>
  <c r="J364" i="8" s="1"/>
  <c r="K364" i="8" s="1"/>
  <c r="J363" i="8"/>
  <c r="K363" i="8" s="1"/>
  <c r="E363" i="8"/>
  <c r="E362" i="8"/>
  <c r="J362" i="8" s="1"/>
  <c r="K362" i="8" s="1"/>
  <c r="E361" i="8"/>
  <c r="J361" i="8" s="1"/>
  <c r="K361" i="8" s="1"/>
  <c r="E360" i="8"/>
  <c r="J360" i="8" s="1"/>
  <c r="K360" i="8" s="1"/>
  <c r="J359" i="8"/>
  <c r="K359" i="8" s="1"/>
  <c r="E359" i="8"/>
  <c r="K358" i="8"/>
  <c r="J358" i="8"/>
  <c r="E358" i="8"/>
  <c r="E357" i="8"/>
  <c r="J357" i="8" s="1"/>
  <c r="K357" i="8" s="1"/>
  <c r="K356" i="8"/>
  <c r="E356" i="8"/>
  <c r="J356" i="8" s="1"/>
  <c r="E355" i="8"/>
  <c r="J355" i="8" s="1"/>
  <c r="K355" i="8" s="1"/>
  <c r="J354" i="8"/>
  <c r="K354" i="8" s="1"/>
  <c r="E354" i="8"/>
  <c r="E353" i="8"/>
  <c r="J353" i="8" s="1"/>
  <c r="K353" i="8" s="1"/>
  <c r="E352" i="8"/>
  <c r="J352" i="8" s="1"/>
  <c r="K352" i="8" s="1"/>
  <c r="E351" i="8"/>
  <c r="J351" i="8" s="1"/>
  <c r="K351" i="8" s="1"/>
  <c r="K350" i="8"/>
  <c r="J350" i="8"/>
  <c r="E350" i="8"/>
  <c r="E349" i="8"/>
  <c r="J349" i="8" s="1"/>
  <c r="K349" i="8" s="1"/>
  <c r="E348" i="8"/>
  <c r="J348" i="8" s="1"/>
  <c r="K348" i="8" s="1"/>
  <c r="K347" i="8"/>
  <c r="E347" i="8"/>
  <c r="J347" i="8" s="1"/>
  <c r="E346" i="8"/>
  <c r="J346" i="8" s="1"/>
  <c r="K346" i="8" s="1"/>
  <c r="K345" i="8"/>
  <c r="J345" i="8"/>
  <c r="E345" i="8"/>
  <c r="E344" i="8"/>
  <c r="J344" i="8" s="1"/>
  <c r="K344" i="8" s="1"/>
  <c r="K343" i="8"/>
  <c r="J343" i="8"/>
  <c r="E343" i="8"/>
  <c r="J342" i="8"/>
  <c r="K342" i="8" s="1"/>
  <c r="E342" i="8"/>
  <c r="K341" i="8"/>
  <c r="J341" i="8"/>
  <c r="E341" i="8"/>
  <c r="E340" i="8"/>
  <c r="J340" i="8" s="1"/>
  <c r="K340" i="8" s="1"/>
  <c r="K339" i="8"/>
  <c r="J339" i="8"/>
  <c r="E339" i="8"/>
  <c r="E338" i="8"/>
  <c r="J338" i="8" s="1"/>
  <c r="K338" i="8" s="1"/>
  <c r="E337" i="8"/>
  <c r="J337" i="8" s="1"/>
  <c r="K337" i="8" s="1"/>
  <c r="K336" i="8"/>
  <c r="E336" i="8"/>
  <c r="J336" i="8" s="1"/>
  <c r="E335" i="8"/>
  <c r="J335" i="8" s="1"/>
  <c r="K335" i="8" s="1"/>
  <c r="E334" i="8"/>
  <c r="J334" i="8" s="1"/>
  <c r="K334" i="8" s="1"/>
  <c r="E333" i="8"/>
  <c r="J333" i="8" s="1"/>
  <c r="K333" i="8" s="1"/>
  <c r="K332" i="8"/>
  <c r="E332" i="8"/>
  <c r="J332" i="8" s="1"/>
  <c r="E331" i="8"/>
  <c r="J331" i="8" s="1"/>
  <c r="K331" i="8" s="1"/>
  <c r="K330" i="8"/>
  <c r="J330" i="8"/>
  <c r="E330" i="8"/>
  <c r="J329" i="8"/>
  <c r="K329" i="8" s="1"/>
  <c r="E329" i="8"/>
  <c r="K328" i="8"/>
  <c r="E328" i="8"/>
  <c r="J328" i="8" s="1"/>
  <c r="E327" i="8"/>
  <c r="J327" i="8" s="1"/>
  <c r="K327" i="8" s="1"/>
  <c r="K326" i="8"/>
  <c r="J326" i="8"/>
  <c r="E326" i="8"/>
  <c r="E325" i="8"/>
  <c r="J325" i="8" s="1"/>
  <c r="K325" i="8" s="1"/>
  <c r="K324" i="8"/>
  <c r="E324" i="8"/>
  <c r="J324" i="8" s="1"/>
  <c r="K323" i="8"/>
  <c r="J323" i="8"/>
  <c r="E323" i="8"/>
  <c r="J322" i="8"/>
  <c r="K322" i="8" s="1"/>
  <c r="E322" i="8"/>
  <c r="E321" i="8"/>
  <c r="J321" i="8" s="1"/>
  <c r="K321" i="8" s="1"/>
  <c r="K320" i="8"/>
  <c r="E320" i="8"/>
  <c r="J320" i="8" s="1"/>
  <c r="K319" i="8"/>
  <c r="J319" i="8"/>
  <c r="E319" i="8"/>
  <c r="E318" i="8"/>
  <c r="J318" i="8" s="1"/>
  <c r="K318" i="8" s="1"/>
  <c r="J317" i="8"/>
  <c r="K317" i="8" s="1"/>
  <c r="E317" i="8"/>
  <c r="E316" i="8"/>
  <c r="J316" i="8" s="1"/>
  <c r="K316" i="8" s="1"/>
  <c r="J315" i="8"/>
  <c r="K315" i="8" s="1"/>
  <c r="E315" i="8"/>
  <c r="E314" i="8"/>
  <c r="J314" i="8" s="1"/>
  <c r="K314" i="8" s="1"/>
  <c r="K313" i="8"/>
  <c r="J313" i="8"/>
  <c r="E313" i="8"/>
  <c r="E312" i="8"/>
  <c r="J312" i="8" s="1"/>
  <c r="K312" i="8" s="1"/>
  <c r="E311" i="8"/>
  <c r="J311" i="8" s="1"/>
  <c r="K311" i="8" s="1"/>
  <c r="K310" i="8"/>
  <c r="J310" i="8"/>
  <c r="E310" i="8"/>
  <c r="E309" i="8"/>
  <c r="J309" i="8" s="1"/>
  <c r="K309" i="8" s="1"/>
  <c r="K308" i="8"/>
  <c r="E308" i="8"/>
  <c r="J308" i="8" s="1"/>
  <c r="J307" i="8"/>
  <c r="K307" i="8" s="1"/>
  <c r="E307" i="8"/>
  <c r="J306" i="8"/>
  <c r="K306" i="8" s="1"/>
  <c r="E306" i="8"/>
  <c r="E305" i="8"/>
  <c r="J305" i="8" s="1"/>
  <c r="K305" i="8" s="1"/>
  <c r="E304" i="8"/>
  <c r="J304" i="8" s="1"/>
  <c r="K304" i="8" s="1"/>
  <c r="E303" i="8"/>
  <c r="J303" i="8" s="1"/>
  <c r="K303" i="8" s="1"/>
  <c r="J302" i="8"/>
  <c r="K302" i="8" s="1"/>
  <c r="E302" i="8"/>
  <c r="E301" i="8"/>
  <c r="J301" i="8" s="1"/>
  <c r="K301" i="8" s="1"/>
  <c r="E300" i="8"/>
  <c r="J300" i="8" s="1"/>
  <c r="K300" i="8" s="1"/>
  <c r="K299" i="8"/>
  <c r="E299" i="8"/>
  <c r="J299" i="8" s="1"/>
  <c r="E298" i="8"/>
  <c r="J298" i="8" s="1"/>
  <c r="K298" i="8" s="1"/>
  <c r="K297" i="8"/>
  <c r="J297" i="8"/>
  <c r="E297" i="8"/>
  <c r="E296" i="8"/>
  <c r="J296" i="8" s="1"/>
  <c r="K296" i="8" s="1"/>
  <c r="K295" i="8"/>
  <c r="J295" i="8"/>
  <c r="E295" i="8"/>
  <c r="E294" i="8"/>
  <c r="J294" i="8" s="1"/>
  <c r="K294" i="8" s="1"/>
  <c r="K293" i="8"/>
  <c r="J293" i="8"/>
  <c r="E293" i="8"/>
  <c r="E292" i="8"/>
  <c r="J292" i="8" s="1"/>
  <c r="K292" i="8" s="1"/>
  <c r="J291" i="8"/>
  <c r="K291" i="8" s="1"/>
  <c r="E291" i="8"/>
  <c r="E290" i="8"/>
  <c r="J290" i="8" s="1"/>
  <c r="K290" i="8" s="1"/>
  <c r="J289" i="8"/>
  <c r="K289" i="8" s="1"/>
  <c r="E289" i="8"/>
  <c r="K288" i="8"/>
  <c r="E288" i="8"/>
  <c r="J288" i="8" s="1"/>
  <c r="E287" i="8"/>
  <c r="J287" i="8" s="1"/>
  <c r="K287" i="8" s="1"/>
  <c r="E286" i="8"/>
  <c r="J286" i="8" s="1"/>
  <c r="K286" i="8" s="1"/>
  <c r="K285" i="8"/>
  <c r="J285" i="8"/>
  <c r="E285" i="8"/>
  <c r="K284" i="8"/>
  <c r="E284" i="8"/>
  <c r="J284" i="8" s="1"/>
  <c r="E283" i="8"/>
  <c r="J283" i="8" s="1"/>
  <c r="K283" i="8" s="1"/>
  <c r="K282" i="8"/>
  <c r="J282" i="8"/>
  <c r="E282" i="8"/>
  <c r="J281" i="8"/>
  <c r="K281" i="8" s="1"/>
  <c r="E281" i="8"/>
  <c r="E280" i="8"/>
  <c r="J280" i="8" s="1"/>
  <c r="K280" i="8" s="1"/>
  <c r="E279" i="8"/>
  <c r="J279" i="8" s="1"/>
  <c r="K279" i="8" s="1"/>
  <c r="E278" i="8"/>
  <c r="J278" i="8" s="1"/>
  <c r="K278" i="8" s="1"/>
  <c r="E277" i="8"/>
  <c r="J277" i="8" s="1"/>
  <c r="K277" i="8" s="1"/>
  <c r="K276" i="8"/>
  <c r="E276" i="8"/>
  <c r="J276" i="8" s="1"/>
  <c r="K275" i="8"/>
  <c r="J275" i="8"/>
  <c r="E275" i="8"/>
  <c r="J274" i="8"/>
  <c r="K274" i="8" s="1"/>
  <c r="E274" i="8"/>
  <c r="K273" i="8"/>
  <c r="E273" i="8"/>
  <c r="J273" i="8" s="1"/>
  <c r="E272" i="8"/>
  <c r="J272" i="8" s="1"/>
  <c r="K272" i="8" s="1"/>
  <c r="J271" i="8"/>
  <c r="K271" i="8" s="1"/>
  <c r="E271" i="8"/>
  <c r="E270" i="8"/>
  <c r="J270" i="8" s="1"/>
  <c r="K270" i="8" s="1"/>
  <c r="K269" i="8"/>
  <c r="J269" i="8"/>
  <c r="E269" i="8"/>
  <c r="E268" i="8"/>
  <c r="J268" i="8" s="1"/>
  <c r="K268" i="8" s="1"/>
  <c r="K267" i="8"/>
  <c r="J267" i="8"/>
  <c r="E267" i="8"/>
  <c r="E266" i="8"/>
  <c r="J266" i="8" s="1"/>
  <c r="K266" i="8" s="1"/>
  <c r="J265" i="8"/>
  <c r="K265" i="8" s="1"/>
  <c r="E265" i="8"/>
  <c r="E264" i="8"/>
  <c r="J264" i="8" s="1"/>
  <c r="K264" i="8" s="1"/>
  <c r="E263" i="8"/>
  <c r="J263" i="8" s="1"/>
  <c r="K263" i="8" s="1"/>
  <c r="K262" i="8"/>
  <c r="J262" i="8"/>
  <c r="E262" i="8"/>
  <c r="E261" i="8"/>
  <c r="J261" i="8" s="1"/>
  <c r="K261" i="8" s="1"/>
  <c r="K260" i="8"/>
  <c r="E260" i="8"/>
  <c r="J260" i="8" s="1"/>
  <c r="J259" i="8"/>
  <c r="K259" i="8" s="1"/>
  <c r="E259" i="8"/>
  <c r="J258" i="8"/>
  <c r="K258" i="8" s="1"/>
  <c r="E258" i="8"/>
  <c r="E257" i="8"/>
  <c r="J257" i="8" s="1"/>
  <c r="K257" i="8" s="1"/>
  <c r="K256" i="8"/>
  <c r="E256" i="8"/>
  <c r="J256" i="8" s="1"/>
  <c r="E255" i="8"/>
  <c r="J255" i="8" s="1"/>
  <c r="K255" i="8" s="1"/>
  <c r="E254" i="8"/>
  <c r="J254" i="8" s="1"/>
  <c r="K254" i="8" s="1"/>
  <c r="E253" i="8"/>
  <c r="J253" i="8" s="1"/>
  <c r="K253" i="8" s="1"/>
  <c r="E252" i="8"/>
  <c r="J252" i="8" s="1"/>
  <c r="K252" i="8" s="1"/>
  <c r="E251" i="8"/>
  <c r="J251" i="8" s="1"/>
  <c r="K251" i="8" s="1"/>
  <c r="K250" i="8"/>
  <c r="J250" i="8"/>
  <c r="E250" i="8"/>
  <c r="K249" i="8"/>
  <c r="J249" i="8"/>
  <c r="E249" i="8"/>
  <c r="E248" i="8"/>
  <c r="J248" i="8" s="1"/>
  <c r="K248" i="8" s="1"/>
  <c r="K247" i="8"/>
  <c r="J247" i="8"/>
  <c r="E247" i="8"/>
  <c r="E246" i="8"/>
  <c r="J246" i="8" s="1"/>
  <c r="K246" i="8" s="1"/>
  <c r="K245" i="8"/>
  <c r="J245" i="8"/>
  <c r="E245" i="8"/>
  <c r="E244" i="8"/>
  <c r="J244" i="8" s="1"/>
  <c r="K244" i="8" s="1"/>
  <c r="J243" i="8"/>
  <c r="K243" i="8" s="1"/>
  <c r="E243" i="8"/>
  <c r="J242" i="8"/>
  <c r="K242" i="8" s="1"/>
  <c r="E242" i="8"/>
  <c r="E241" i="8"/>
  <c r="J241" i="8" s="1"/>
  <c r="K241" i="8" s="1"/>
  <c r="E240" i="8"/>
  <c r="J240" i="8" s="1"/>
  <c r="K240" i="8" s="1"/>
  <c r="K239" i="8"/>
  <c r="J239" i="8"/>
  <c r="E239" i="8"/>
  <c r="E238" i="8"/>
  <c r="J238" i="8" s="1"/>
  <c r="K238" i="8" s="1"/>
  <c r="K237" i="8"/>
  <c r="J237" i="8"/>
  <c r="E237" i="8"/>
  <c r="E236" i="8"/>
  <c r="J236" i="8" s="1"/>
  <c r="K236" i="8" s="1"/>
  <c r="K235" i="8"/>
  <c r="J235" i="8"/>
  <c r="E235" i="8"/>
  <c r="J234" i="8"/>
  <c r="K234" i="8" s="1"/>
  <c r="E234" i="8"/>
  <c r="E233" i="8"/>
  <c r="J233" i="8" s="1"/>
  <c r="K233" i="8" s="1"/>
  <c r="E232" i="8"/>
  <c r="J232" i="8" s="1"/>
  <c r="K232" i="8" s="1"/>
  <c r="E231" i="8"/>
  <c r="E230" i="8"/>
  <c r="J230" i="8" s="1"/>
  <c r="K230" i="8" s="1"/>
  <c r="E229" i="8"/>
  <c r="J229" i="8" s="1"/>
  <c r="K229" i="8" s="1"/>
  <c r="K228" i="8"/>
  <c r="J228" i="8"/>
  <c r="E228" i="8"/>
  <c r="J227" i="8"/>
  <c r="K227" i="8" s="1"/>
  <c r="E227" i="8"/>
  <c r="K226" i="8"/>
  <c r="E226" i="8"/>
  <c r="J226" i="8" s="1"/>
  <c r="E225" i="8"/>
  <c r="J225" i="8" s="1"/>
  <c r="K225" i="8" s="1"/>
  <c r="K224" i="8"/>
  <c r="J224" i="8"/>
  <c r="E224" i="8"/>
  <c r="J223" i="8"/>
  <c r="K223" i="8" s="1"/>
  <c r="E223" i="8"/>
  <c r="K222" i="8"/>
  <c r="E222" i="8"/>
  <c r="J222" i="8" s="1"/>
  <c r="K221" i="8"/>
  <c r="J221" i="8"/>
  <c r="E221" i="8"/>
  <c r="J220" i="8"/>
  <c r="K220" i="8" s="1"/>
  <c r="E220" i="8"/>
  <c r="J219" i="8"/>
  <c r="K219" i="8" s="1"/>
  <c r="E219" i="8"/>
  <c r="K218" i="8"/>
  <c r="E218" i="8"/>
  <c r="J218" i="8" s="1"/>
  <c r="K217" i="8"/>
  <c r="J217" i="8"/>
  <c r="E217" i="8"/>
  <c r="K216" i="8"/>
  <c r="J216" i="8"/>
  <c r="E216" i="8"/>
  <c r="E215" i="8"/>
  <c r="J215" i="8" s="1"/>
  <c r="K215" i="8" s="1"/>
  <c r="K214" i="8"/>
  <c r="E214" i="8"/>
  <c r="J214" i="8" s="1"/>
  <c r="E213" i="8"/>
  <c r="J213" i="8" s="1"/>
  <c r="K213" i="8" s="1"/>
  <c r="J212" i="8"/>
  <c r="K212" i="8" s="1"/>
  <c r="E212" i="8"/>
  <c r="E211" i="8"/>
  <c r="J211" i="8" s="1"/>
  <c r="K211" i="8" s="1"/>
  <c r="E210" i="8"/>
  <c r="J210" i="8" s="1"/>
  <c r="K210" i="8" s="1"/>
  <c r="K209" i="8"/>
  <c r="J209" i="8"/>
  <c r="E209" i="8"/>
  <c r="J208" i="8"/>
  <c r="K208" i="8" s="1"/>
  <c r="E208" i="8"/>
  <c r="J207" i="8"/>
  <c r="K207" i="8" s="1"/>
  <c r="E207" i="8"/>
  <c r="E206" i="8"/>
  <c r="J206" i="8" s="1"/>
  <c r="K206" i="8" s="1"/>
  <c r="E205" i="8"/>
  <c r="J205" i="8" s="1"/>
  <c r="K205" i="8" s="1"/>
  <c r="K204" i="8"/>
  <c r="J204" i="8"/>
  <c r="E204" i="8"/>
  <c r="E203" i="8"/>
  <c r="J203" i="8" s="1"/>
  <c r="K203" i="8" s="1"/>
  <c r="K202" i="8"/>
  <c r="E202" i="8"/>
  <c r="J202" i="8" s="1"/>
  <c r="E201" i="8"/>
  <c r="J201" i="8" s="1"/>
  <c r="K201" i="8" s="1"/>
  <c r="K200" i="8"/>
  <c r="J200" i="8"/>
  <c r="E200" i="8"/>
  <c r="J199" i="8"/>
  <c r="K199" i="8" s="1"/>
  <c r="E199" i="8"/>
  <c r="E198" i="8"/>
  <c r="J198" i="8" s="1"/>
  <c r="K198" i="8" s="1"/>
  <c r="K197" i="8"/>
  <c r="J197" i="8"/>
  <c r="E197" i="8"/>
  <c r="J196" i="8"/>
  <c r="K196" i="8" s="1"/>
  <c r="E196" i="8"/>
  <c r="J195" i="8"/>
  <c r="K195" i="8" s="1"/>
  <c r="E195" i="8"/>
  <c r="K194" i="8"/>
  <c r="E194" i="8"/>
  <c r="J194" i="8" s="1"/>
  <c r="E193" i="8"/>
  <c r="J193" i="8" s="1"/>
  <c r="K193" i="8" s="1"/>
  <c r="K192" i="8"/>
  <c r="J192" i="8"/>
  <c r="E192" i="8"/>
  <c r="J191" i="8"/>
  <c r="K191" i="8" s="1"/>
  <c r="E191" i="8"/>
  <c r="K190" i="8"/>
  <c r="E190" i="8"/>
  <c r="J190" i="8" s="1"/>
  <c r="E189" i="8"/>
  <c r="J189" i="8" s="1"/>
  <c r="K189" i="8" s="1"/>
  <c r="J188" i="8"/>
  <c r="K188" i="8" s="1"/>
  <c r="E188" i="8"/>
  <c r="E187" i="8"/>
  <c r="J187" i="8" s="1"/>
  <c r="K187" i="8" s="1"/>
  <c r="K186" i="8"/>
  <c r="E186" i="8"/>
  <c r="J186" i="8" s="1"/>
  <c r="K185" i="8"/>
  <c r="J185" i="8"/>
  <c r="E185" i="8"/>
  <c r="J184" i="8"/>
  <c r="K184" i="8" s="1"/>
  <c r="E184" i="8"/>
  <c r="E183" i="8"/>
  <c r="J183" i="8" s="1"/>
  <c r="K183" i="8" s="1"/>
  <c r="K182" i="8"/>
  <c r="E182" i="8"/>
  <c r="J182" i="8" s="1"/>
  <c r="K181" i="8"/>
  <c r="J181" i="8"/>
  <c r="E181" i="8"/>
  <c r="J180" i="8"/>
  <c r="K180" i="8" s="1"/>
  <c r="E180" i="8"/>
  <c r="K179" i="8"/>
  <c r="J179" i="8"/>
  <c r="E179" i="8"/>
  <c r="E178" i="8"/>
  <c r="J178" i="8" s="1"/>
  <c r="K178" i="8" s="1"/>
  <c r="J177" i="8"/>
  <c r="K177" i="8" s="1"/>
  <c r="E177" i="8"/>
  <c r="K176" i="8"/>
  <c r="J176" i="8"/>
  <c r="E176" i="8"/>
  <c r="K175" i="8"/>
  <c r="J175" i="8"/>
  <c r="E175" i="8"/>
  <c r="E174" i="8"/>
  <c r="J174" i="8" s="1"/>
  <c r="K174" i="8" s="1"/>
  <c r="E173" i="8"/>
  <c r="J173" i="8" s="1"/>
  <c r="K173" i="8" s="1"/>
  <c r="K172" i="8"/>
  <c r="J172" i="8"/>
  <c r="E172" i="8"/>
  <c r="J171" i="8"/>
  <c r="K171" i="8" s="1"/>
  <c r="E171" i="8"/>
  <c r="K170" i="8"/>
  <c r="E170" i="8"/>
  <c r="J170" i="8" s="1"/>
  <c r="E169" i="8"/>
  <c r="J169" i="8" s="1"/>
  <c r="K169" i="8" s="1"/>
  <c r="K168" i="8"/>
  <c r="J168" i="8"/>
  <c r="E168" i="8"/>
  <c r="J167" i="8"/>
  <c r="K167" i="8" s="1"/>
  <c r="E167" i="8"/>
  <c r="K166" i="8"/>
  <c r="E166" i="8"/>
  <c r="J166" i="8" s="1"/>
  <c r="E165" i="8"/>
  <c r="J165" i="8" s="1"/>
  <c r="K165" i="8" s="1"/>
  <c r="K164" i="8"/>
  <c r="J164" i="8"/>
  <c r="E164" i="8"/>
  <c r="E163" i="8"/>
  <c r="J163" i="8" s="1"/>
  <c r="K163" i="8" s="1"/>
  <c r="K162" i="8"/>
  <c r="E162" i="8"/>
  <c r="J162" i="8" s="1"/>
  <c r="K161" i="8"/>
  <c r="E161" i="8"/>
  <c r="J161" i="8" s="1"/>
  <c r="K160" i="8"/>
  <c r="J160" i="8"/>
  <c r="E160" i="8"/>
  <c r="K159" i="8"/>
  <c r="J159" i="8"/>
  <c r="E159" i="8"/>
  <c r="E158" i="8"/>
  <c r="J158" i="8" s="1"/>
  <c r="K158" i="8" s="1"/>
  <c r="J157" i="8"/>
  <c r="K157" i="8" s="1"/>
  <c r="E157" i="8"/>
  <c r="J156" i="8"/>
  <c r="K156" i="8" s="1"/>
  <c r="E156" i="8"/>
  <c r="K155" i="8"/>
  <c r="J155" i="8"/>
  <c r="E155" i="8"/>
  <c r="E154" i="8"/>
  <c r="J154" i="8" s="1"/>
  <c r="K154" i="8" s="1"/>
  <c r="E153" i="8"/>
  <c r="J153" i="8" s="1"/>
  <c r="K153" i="8" s="1"/>
  <c r="E152" i="8"/>
  <c r="J152" i="8" s="1"/>
  <c r="K152" i="8" s="1"/>
  <c r="J151" i="8"/>
  <c r="K151" i="8" s="1"/>
  <c r="E151" i="8"/>
  <c r="K150" i="8"/>
  <c r="E150" i="8"/>
  <c r="J150" i="8" s="1"/>
  <c r="E149" i="8"/>
  <c r="J149" i="8" s="1"/>
  <c r="K149" i="8" s="1"/>
  <c r="K148" i="8"/>
  <c r="E148" i="8"/>
  <c r="J148" i="8" s="1"/>
  <c r="J147" i="8"/>
  <c r="K147" i="8" s="1"/>
  <c r="E147" i="8"/>
  <c r="K146" i="8"/>
  <c r="E146" i="8"/>
  <c r="J146" i="8" s="1"/>
  <c r="E145" i="8"/>
  <c r="J145" i="8" s="1"/>
  <c r="K145" i="8" s="1"/>
  <c r="K144" i="8"/>
  <c r="J144" i="8"/>
  <c r="E144" i="8"/>
  <c r="K143" i="8"/>
  <c r="J143" i="8"/>
  <c r="E143" i="8"/>
  <c r="K142" i="8"/>
  <c r="E142" i="8"/>
  <c r="J142" i="8" s="1"/>
  <c r="E141" i="8"/>
  <c r="J141" i="8" s="1"/>
  <c r="K141" i="8" s="1"/>
  <c r="E140" i="8"/>
  <c r="J140" i="8" s="1"/>
  <c r="K140" i="8" s="1"/>
  <c r="J139" i="8"/>
  <c r="K139" i="8" s="1"/>
  <c r="E139" i="8"/>
  <c r="E138" i="8"/>
  <c r="J138" i="8" s="1"/>
  <c r="K138" i="8" s="1"/>
  <c r="K137" i="8"/>
  <c r="J137" i="8"/>
  <c r="E137" i="8"/>
  <c r="J136" i="8"/>
  <c r="K136" i="8" s="1"/>
  <c r="E136" i="8"/>
  <c r="E135" i="8"/>
  <c r="J135" i="8" s="1"/>
  <c r="K135" i="8" s="1"/>
  <c r="K134" i="8"/>
  <c r="E134" i="8"/>
  <c r="J134" i="8" s="1"/>
  <c r="K133" i="8"/>
  <c r="J133" i="8"/>
  <c r="E133" i="8"/>
  <c r="E132" i="8"/>
  <c r="J132" i="8" s="1"/>
  <c r="K132" i="8" s="1"/>
  <c r="J131" i="8"/>
  <c r="K131" i="8" s="1"/>
  <c r="E131" i="8"/>
  <c r="E130" i="8"/>
  <c r="J130" i="8" s="1"/>
  <c r="K130" i="8" s="1"/>
  <c r="K129" i="8"/>
  <c r="J129" i="8"/>
  <c r="E129" i="8"/>
  <c r="E128" i="8"/>
  <c r="J128" i="8" s="1"/>
  <c r="K128" i="8" s="1"/>
  <c r="J127" i="8"/>
  <c r="K127" i="8" s="1"/>
  <c r="E127" i="8"/>
  <c r="E126" i="8"/>
  <c r="J126" i="8" s="1"/>
  <c r="K126" i="8" s="1"/>
  <c r="K125" i="8"/>
  <c r="J125" i="8"/>
  <c r="E125" i="8"/>
  <c r="K124" i="8"/>
  <c r="J124" i="8"/>
  <c r="E124" i="8"/>
  <c r="J123" i="8"/>
  <c r="K123" i="8" s="1"/>
  <c r="E123" i="8"/>
  <c r="K122" i="8"/>
  <c r="E122" i="8"/>
  <c r="J122" i="8" s="1"/>
  <c r="J121" i="8"/>
  <c r="K121" i="8" s="1"/>
  <c r="E121" i="8"/>
  <c r="K120" i="8"/>
  <c r="J120" i="8"/>
  <c r="E120" i="8"/>
  <c r="J119" i="8"/>
  <c r="K119" i="8" s="1"/>
  <c r="E119" i="8"/>
  <c r="E118" i="8"/>
  <c r="J118" i="8" s="1"/>
  <c r="K118" i="8" s="1"/>
  <c r="E117" i="8"/>
  <c r="J117" i="8" s="1"/>
  <c r="K117" i="8" s="1"/>
  <c r="J116" i="8"/>
  <c r="K116" i="8" s="1"/>
  <c r="E116" i="8"/>
  <c r="E115" i="8"/>
  <c r="J115" i="8" s="1"/>
  <c r="K115" i="8" s="1"/>
  <c r="E114" i="8"/>
  <c r="J114" i="8" s="1"/>
  <c r="K114" i="8" s="1"/>
  <c r="K113" i="8"/>
  <c r="E113" i="8"/>
  <c r="J113" i="8" s="1"/>
  <c r="K112" i="8"/>
  <c r="J112" i="8"/>
  <c r="E112" i="8"/>
  <c r="K111" i="8"/>
  <c r="J111" i="8"/>
  <c r="E111" i="8"/>
  <c r="K110" i="8"/>
  <c r="E110" i="8"/>
  <c r="J110" i="8" s="1"/>
  <c r="J109" i="8"/>
  <c r="K109" i="8" s="1"/>
  <c r="E109" i="8"/>
  <c r="J108" i="8"/>
  <c r="K108" i="8" s="1"/>
  <c r="E108" i="8"/>
  <c r="K107" i="8"/>
  <c r="J107" i="8"/>
  <c r="E107" i="8"/>
  <c r="E106" i="8"/>
  <c r="J106" i="8" s="1"/>
  <c r="K106" i="8" s="1"/>
  <c r="E105" i="8"/>
  <c r="J105" i="8" s="1"/>
  <c r="K105" i="8" s="1"/>
  <c r="J104" i="8"/>
  <c r="K104" i="8" s="1"/>
  <c r="E104" i="8"/>
  <c r="J103" i="8"/>
  <c r="K103" i="8" s="1"/>
  <c r="E103" i="8"/>
  <c r="K102" i="8"/>
  <c r="E102" i="8"/>
  <c r="J102" i="8" s="1"/>
  <c r="J101" i="8"/>
  <c r="K101" i="8" s="1"/>
  <c r="E101" i="8"/>
  <c r="E100" i="8"/>
  <c r="J100" i="8" s="1"/>
  <c r="K100" i="8" s="1"/>
  <c r="K99" i="8"/>
  <c r="J99" i="8"/>
  <c r="E99" i="8"/>
  <c r="K98" i="8"/>
  <c r="E98" i="8"/>
  <c r="J98" i="8" s="1"/>
  <c r="E97" i="8"/>
  <c r="J97" i="8" s="1"/>
  <c r="K97" i="8" s="1"/>
  <c r="J96" i="8"/>
  <c r="K96" i="8" s="1"/>
  <c r="E96" i="8"/>
  <c r="E95" i="8"/>
  <c r="J95" i="8" s="1"/>
  <c r="K95" i="8" s="1"/>
  <c r="K94" i="8"/>
  <c r="E94" i="8"/>
  <c r="J94" i="8" s="1"/>
  <c r="E93" i="8"/>
  <c r="J93" i="8" s="1"/>
  <c r="K93" i="8" s="1"/>
  <c r="E92" i="8"/>
  <c r="J92" i="8" s="1"/>
  <c r="K92" i="8" s="1"/>
  <c r="E91" i="8"/>
  <c r="J91" i="8" s="1"/>
  <c r="K91" i="8" s="1"/>
  <c r="K90" i="8"/>
  <c r="E90" i="8"/>
  <c r="J90" i="8" s="1"/>
  <c r="K89" i="8"/>
  <c r="J89" i="8"/>
  <c r="E89" i="8"/>
  <c r="J88" i="8"/>
  <c r="K88" i="8" s="1"/>
  <c r="E88" i="8"/>
  <c r="E87" i="8"/>
  <c r="J87" i="8" s="1"/>
  <c r="K87" i="8" s="1"/>
  <c r="E86" i="8"/>
  <c r="J86" i="8" s="1"/>
  <c r="K86" i="8" s="1"/>
  <c r="K85" i="8"/>
  <c r="J85" i="8"/>
  <c r="E85" i="8"/>
  <c r="J84" i="8"/>
  <c r="K84" i="8" s="1"/>
  <c r="E84" i="8"/>
  <c r="J83" i="8"/>
  <c r="K83" i="8" s="1"/>
  <c r="E83" i="8"/>
  <c r="K82" i="8"/>
  <c r="E82" i="8"/>
  <c r="J82" i="8" s="1"/>
  <c r="J81" i="8"/>
  <c r="K81" i="8" s="1"/>
  <c r="E81" i="8"/>
  <c r="E80" i="8"/>
  <c r="J80" i="8" s="1"/>
  <c r="K80" i="8" s="1"/>
  <c r="J79" i="8"/>
  <c r="K79" i="8" s="1"/>
  <c r="E79" i="8"/>
  <c r="E78" i="8"/>
  <c r="J78" i="8" s="1"/>
  <c r="K78" i="8" s="1"/>
  <c r="E77" i="8"/>
  <c r="J77" i="8" s="1"/>
  <c r="K77" i="8" s="1"/>
  <c r="K76" i="8"/>
  <c r="J76" i="8"/>
  <c r="E76" i="8"/>
  <c r="E75" i="8"/>
  <c r="J75" i="8" s="1"/>
  <c r="K75" i="8" s="1"/>
  <c r="K74" i="8"/>
  <c r="E74" i="8"/>
  <c r="J74" i="8" s="1"/>
  <c r="E73" i="8"/>
  <c r="J73" i="8" s="1"/>
  <c r="K73" i="8" s="1"/>
  <c r="K72" i="8"/>
  <c r="J72" i="8"/>
  <c r="E72" i="8"/>
  <c r="J71" i="8"/>
  <c r="K71" i="8" s="1"/>
  <c r="E71" i="8"/>
  <c r="E70" i="8"/>
  <c r="J70" i="8" s="1"/>
  <c r="K70" i="8" s="1"/>
  <c r="J69" i="8"/>
  <c r="K69" i="8" s="1"/>
  <c r="E69" i="8"/>
  <c r="J68" i="8"/>
  <c r="K68" i="8" s="1"/>
  <c r="E68" i="8"/>
  <c r="E67" i="8"/>
  <c r="J67" i="8" s="1"/>
  <c r="K67" i="8" s="1"/>
  <c r="K66" i="8"/>
  <c r="E66" i="8"/>
  <c r="J66" i="8" s="1"/>
  <c r="K65" i="8"/>
  <c r="E65" i="8"/>
  <c r="J65" i="8" s="1"/>
  <c r="E64" i="8"/>
  <c r="J64" i="8" s="1"/>
  <c r="K64" i="8" s="1"/>
  <c r="K63" i="8"/>
  <c r="J63" i="8"/>
  <c r="E63" i="8"/>
  <c r="E62" i="8"/>
  <c r="J62" i="8" s="1"/>
  <c r="K62" i="8" s="1"/>
  <c r="K61" i="8"/>
  <c r="J61" i="8"/>
  <c r="E61" i="8"/>
  <c r="E60" i="8"/>
  <c r="J60" i="8" s="1"/>
  <c r="K60" i="8" s="1"/>
  <c r="J59" i="8"/>
  <c r="K59" i="8" s="1"/>
  <c r="E59" i="8"/>
  <c r="E58" i="8"/>
  <c r="J58" i="8" s="1"/>
  <c r="K58" i="8" s="1"/>
  <c r="K57" i="8"/>
  <c r="J57" i="8"/>
  <c r="E57" i="8"/>
  <c r="E56" i="8"/>
  <c r="J56" i="8" s="1"/>
  <c r="K56" i="8" s="1"/>
  <c r="J55" i="8"/>
  <c r="K55" i="8" s="1"/>
  <c r="E55" i="8"/>
  <c r="K54" i="8"/>
  <c r="E54" i="8"/>
  <c r="J54" i="8" s="1"/>
  <c r="E53" i="8"/>
  <c r="J53" i="8" s="1"/>
  <c r="K53" i="8" s="1"/>
  <c r="K52" i="8"/>
  <c r="E52" i="8"/>
  <c r="J52" i="8" s="1"/>
  <c r="J51" i="8"/>
  <c r="K51" i="8" s="1"/>
  <c r="E51" i="8"/>
  <c r="K50" i="8"/>
  <c r="E50" i="8"/>
  <c r="J50" i="8" s="1"/>
  <c r="J49" i="8"/>
  <c r="K49" i="8" s="1"/>
  <c r="E49" i="8"/>
  <c r="J48" i="8"/>
  <c r="K48" i="8" s="1"/>
  <c r="E48" i="8"/>
  <c r="J47" i="8"/>
  <c r="K47" i="8" s="1"/>
  <c r="E47" i="8"/>
  <c r="K46" i="8"/>
  <c r="E46" i="8"/>
  <c r="J46" i="8" s="1"/>
  <c r="E45" i="8"/>
  <c r="J45" i="8" s="1"/>
  <c r="K45" i="8" s="1"/>
  <c r="J44" i="8"/>
  <c r="K44" i="8" s="1"/>
  <c r="E44" i="8"/>
  <c r="E43" i="8"/>
  <c r="J43" i="8" s="1"/>
  <c r="K43" i="8" s="1"/>
  <c r="K42" i="8"/>
  <c r="E42" i="8"/>
  <c r="J42" i="8" s="1"/>
  <c r="K41" i="8"/>
  <c r="J41" i="8"/>
  <c r="E41" i="8"/>
  <c r="E40" i="8"/>
  <c r="J40" i="8" s="1"/>
  <c r="K40" i="8" s="1"/>
  <c r="K39" i="8"/>
  <c r="E39" i="8"/>
  <c r="J39" i="8" s="1"/>
  <c r="E38" i="8"/>
  <c r="K38" i="8" s="1"/>
  <c r="K37" i="8"/>
  <c r="J37" i="8"/>
  <c r="E37" i="8"/>
  <c r="E36" i="8"/>
  <c r="J36" i="8" s="1"/>
  <c r="K36" i="8" s="1"/>
  <c r="K35" i="8"/>
  <c r="J35" i="8"/>
  <c r="E35" i="8"/>
  <c r="E34" i="8"/>
  <c r="J34" i="8" s="1"/>
  <c r="K34" i="8" s="1"/>
  <c r="J33" i="8"/>
  <c r="K33" i="8" s="1"/>
  <c r="E33" i="8"/>
  <c r="E32" i="8"/>
  <c r="J32" i="8" s="1"/>
  <c r="K32" i="8" s="1"/>
  <c r="K31" i="8"/>
  <c r="E31" i="8"/>
  <c r="J31" i="8" s="1"/>
  <c r="E30" i="8"/>
  <c r="J30" i="8" s="1"/>
  <c r="K30" i="8" s="1"/>
  <c r="E29" i="8"/>
  <c r="J29" i="8" s="1"/>
  <c r="K29" i="8" s="1"/>
  <c r="K28" i="8"/>
  <c r="J28" i="8"/>
  <c r="E28" i="8"/>
  <c r="J27" i="8"/>
  <c r="K27" i="8" s="1"/>
  <c r="E27" i="8"/>
  <c r="K26" i="8"/>
  <c r="E26" i="8"/>
  <c r="J26" i="8" s="1"/>
  <c r="E25" i="8"/>
  <c r="J25" i="8" s="1"/>
  <c r="K25" i="8" s="1"/>
  <c r="K24" i="8"/>
  <c r="J24" i="8"/>
  <c r="E24" i="8"/>
  <c r="E23" i="8"/>
  <c r="J23" i="8" s="1"/>
  <c r="K23" i="8" s="1"/>
  <c r="E22" i="8"/>
  <c r="J22" i="8" s="1"/>
  <c r="K22" i="8" s="1"/>
  <c r="E21" i="8"/>
  <c r="J21" i="8" s="1"/>
  <c r="K21" i="8" s="1"/>
  <c r="K20" i="8"/>
  <c r="J20" i="8"/>
  <c r="E20" i="8"/>
  <c r="E19" i="8"/>
  <c r="J19" i="8" s="1"/>
  <c r="K19" i="8" s="1"/>
  <c r="K18" i="8"/>
  <c r="E18" i="8"/>
  <c r="J18" i="8" s="1"/>
  <c r="K17" i="8"/>
  <c r="E17" i="8"/>
  <c r="J17" i="8" s="1"/>
  <c r="J16" i="8"/>
  <c r="K16" i="8" s="1"/>
  <c r="E16" i="8"/>
  <c r="K15" i="8"/>
  <c r="J15" i="8"/>
  <c r="E15" i="8"/>
  <c r="E14" i="8"/>
  <c r="J14" i="8" s="1"/>
  <c r="K14" i="8" s="1"/>
  <c r="K13" i="8"/>
  <c r="J13" i="8"/>
  <c r="E13" i="8"/>
  <c r="K12" i="8"/>
  <c r="E12" i="8"/>
  <c r="J12" i="8" s="1"/>
  <c r="K11" i="8"/>
  <c r="J11" i="8"/>
  <c r="E11" i="8"/>
  <c r="E10" i="8"/>
  <c r="J10" i="8" s="1"/>
  <c r="K10" i="8" s="1"/>
  <c r="E9" i="8"/>
  <c r="J9" i="8" s="1"/>
  <c r="K9" i="8" s="1"/>
  <c r="E8" i="8"/>
  <c r="J8" i="8" s="1"/>
  <c r="K8" i="8" s="1"/>
  <c r="J7" i="8"/>
  <c r="K7" i="8" s="1"/>
  <c r="E7" i="8"/>
  <c r="K6" i="8"/>
  <c r="E6" i="8"/>
  <c r="J6" i="8" s="1"/>
  <c r="E5" i="8"/>
  <c r="J5" i="8" s="1"/>
  <c r="K5" i="8" s="1"/>
  <c r="E4" i="8"/>
  <c r="J4" i="8" s="1"/>
  <c r="K4" i="8" s="1"/>
  <c r="J3" i="8"/>
  <c r="K3" i="8" s="1"/>
  <c r="E3" i="8"/>
  <c r="K2" i="8"/>
  <c r="E2" i="8"/>
  <c r="J2" i="8" s="1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D817" i="5"/>
  <c r="D816" i="5"/>
  <c r="C816" i="5"/>
  <c r="D815" i="5"/>
  <c r="C815" i="5"/>
  <c r="D814" i="5"/>
  <c r="D813" i="5"/>
  <c r="C813" i="5"/>
  <c r="D812" i="5"/>
  <c r="C812" i="5"/>
  <c r="D811" i="5"/>
  <c r="C811" i="5"/>
  <c r="D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D680" i="5"/>
  <c r="D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D665" i="5"/>
  <c r="C665" i="5"/>
  <c r="D664" i="5"/>
  <c r="D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D652" i="5"/>
  <c r="C652" i="5"/>
  <c r="D651" i="5"/>
  <c r="D650" i="5"/>
  <c r="D649" i="5"/>
  <c r="C649" i="5"/>
  <c r="D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D638" i="5"/>
  <c r="C638" i="5"/>
  <c r="D637" i="5"/>
  <c r="C637" i="5"/>
  <c r="D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D623" i="5"/>
  <c r="D622" i="5"/>
  <c r="D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D575" i="5"/>
  <c r="C575" i="5"/>
  <c r="D574" i="5"/>
  <c r="C574" i="5"/>
  <c r="D573" i="5"/>
  <c r="C573" i="5"/>
  <c r="D572" i="5"/>
  <c r="C572" i="5"/>
  <c r="D571" i="5"/>
  <c r="C571" i="5"/>
  <c r="D570" i="5"/>
  <c r="D569" i="5"/>
  <c r="C569" i="5"/>
  <c r="D568" i="5"/>
  <c r="C568" i="5"/>
  <c r="D567" i="5"/>
  <c r="D566" i="5"/>
  <c r="D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D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D447" i="5"/>
  <c r="D446" i="5"/>
  <c r="C446" i="5"/>
  <c r="D445" i="5"/>
  <c r="C445" i="5"/>
  <c r="D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D402" i="5"/>
  <c r="C402" i="5"/>
  <c r="D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D376" i="5"/>
  <c r="C376" i="5"/>
  <c r="D375" i="5"/>
  <c r="C375" i="5"/>
  <c r="D374" i="5"/>
  <c r="D373" i="5"/>
  <c r="C373" i="5"/>
  <c r="D372" i="5"/>
  <c r="C372" i="5"/>
  <c r="D371" i="5"/>
  <c r="C371" i="5"/>
  <c r="D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D340" i="5"/>
  <c r="D339" i="5"/>
  <c r="D338" i="5"/>
  <c r="D337" i="5"/>
  <c r="C337" i="5"/>
  <c r="D336" i="5"/>
  <c r="C336" i="5"/>
  <c r="D335" i="5"/>
  <c r="C335" i="5"/>
  <c r="D334" i="5"/>
  <c r="C334" i="5"/>
  <c r="D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D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D311" i="5"/>
  <c r="D310" i="5"/>
  <c r="C310" i="5"/>
  <c r="D309" i="5"/>
  <c r="C309" i="5"/>
  <c r="D308" i="5"/>
  <c r="C308" i="5"/>
  <c r="D307" i="5"/>
  <c r="C307" i="5"/>
  <c r="D306" i="5"/>
  <c r="D305" i="5"/>
  <c r="C305" i="5"/>
  <c r="D304" i="5"/>
  <c r="C304" i="5"/>
  <c r="D303" i="5"/>
  <c r="C303" i="5"/>
  <c r="D302" i="5"/>
  <c r="C302" i="5"/>
  <c r="D301" i="5"/>
  <c r="D300" i="5"/>
  <c r="D299" i="5"/>
  <c r="C299" i="5"/>
  <c r="D298" i="5"/>
  <c r="C298" i="5"/>
  <c r="D297" i="5"/>
  <c r="C297" i="5"/>
  <c r="D296" i="5"/>
  <c r="C296" i="5"/>
  <c r="D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D287" i="5"/>
  <c r="C287" i="5"/>
  <c r="D286" i="5"/>
  <c r="C286" i="5"/>
  <c r="D285" i="5"/>
  <c r="D284" i="5"/>
  <c r="C284" i="5"/>
  <c r="D283" i="5"/>
  <c r="C283" i="5"/>
  <c r="D282" i="5"/>
  <c r="C282" i="5"/>
  <c r="D281" i="5"/>
  <c r="C281" i="5"/>
  <c r="D280" i="5"/>
  <c r="D279" i="5"/>
  <c r="D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D270" i="5"/>
  <c r="C270" i="5"/>
  <c r="D269" i="5"/>
  <c r="C269" i="5"/>
  <c r="D268" i="5"/>
  <c r="C268" i="5"/>
  <c r="D267" i="5"/>
  <c r="D266" i="5"/>
  <c r="C266" i="5"/>
  <c r="D265" i="5"/>
  <c r="C265" i="5"/>
  <c r="D264" i="5"/>
  <c r="C264" i="5"/>
  <c r="D263" i="5"/>
  <c r="C263" i="5"/>
  <c r="D262" i="5"/>
  <c r="C262" i="5"/>
  <c r="D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D252" i="5"/>
  <c r="C252" i="5"/>
  <c r="D251" i="5"/>
  <c r="C251" i="5"/>
  <c r="D250" i="5"/>
  <c r="C250" i="5"/>
  <c r="D249" i="5"/>
  <c r="D248" i="5"/>
  <c r="C248" i="5"/>
  <c r="D247" i="5"/>
  <c r="C247" i="5"/>
  <c r="D246" i="5"/>
  <c r="C246" i="5"/>
  <c r="D245" i="5"/>
  <c r="C245" i="5"/>
  <c r="D244" i="5"/>
  <c r="C244" i="5"/>
  <c r="D243" i="5"/>
  <c r="D242" i="5"/>
  <c r="C242" i="5"/>
  <c r="D241" i="5"/>
  <c r="C241" i="5"/>
  <c r="D240" i="5"/>
  <c r="C240" i="5"/>
  <c r="D239" i="5"/>
  <c r="C239" i="5"/>
  <c r="D238" i="5"/>
  <c r="D237" i="5"/>
  <c r="C237" i="5"/>
  <c r="D236" i="5"/>
  <c r="C236" i="5"/>
  <c r="D235" i="5"/>
  <c r="C235" i="5"/>
  <c r="D234" i="5"/>
  <c r="C234" i="5"/>
  <c r="D233" i="5"/>
  <c r="C233" i="5"/>
  <c r="D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D205" i="5"/>
  <c r="D204" i="5"/>
  <c r="D203" i="5"/>
  <c r="D202" i="5"/>
  <c r="D201" i="5"/>
  <c r="C201" i="5"/>
  <c r="D200" i="5"/>
  <c r="C200" i="5"/>
  <c r="D199" i="5"/>
  <c r="D198" i="5"/>
  <c r="C198" i="5"/>
  <c r="D197" i="5"/>
  <c r="C197" i="5"/>
  <c r="D196" i="5"/>
  <c r="C196" i="5"/>
  <c r="D195" i="5"/>
  <c r="C195" i="5"/>
  <c r="D194" i="5"/>
  <c r="C194" i="5"/>
  <c r="D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D178" i="5"/>
  <c r="D177" i="5"/>
  <c r="C177" i="5"/>
  <c r="D176" i="5"/>
  <c r="C176" i="5"/>
  <c r="D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D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D154" i="5"/>
  <c r="D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D139" i="5"/>
  <c r="C139" i="5"/>
  <c r="D138" i="5"/>
  <c r="C138" i="5"/>
  <c r="D137" i="5"/>
  <c r="C137" i="5"/>
  <c r="D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D125" i="5"/>
  <c r="D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D108" i="5"/>
  <c r="C108" i="5"/>
  <c r="D107" i="5"/>
  <c r="C107" i="5"/>
  <c r="D106" i="5"/>
  <c r="C106" i="5"/>
  <c r="D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D39" i="5"/>
  <c r="C39" i="5"/>
  <c r="D38" i="5"/>
  <c r="C38" i="5"/>
  <c r="D37" i="5"/>
  <c r="C37" i="5"/>
  <c r="D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E1004" i="4"/>
  <c r="E1003" i="4"/>
  <c r="E1002" i="4"/>
  <c r="E1001" i="4"/>
  <c r="E1000" i="4"/>
  <c r="E999" i="4"/>
  <c r="E998" i="4"/>
  <c r="E997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E894" i="4"/>
  <c r="E893" i="4"/>
  <c r="E892" i="4"/>
  <c r="E891" i="4"/>
  <c r="E890" i="4"/>
  <c r="F889" i="4"/>
  <c r="E889" i="4"/>
  <c r="F888" i="4"/>
  <c r="E888" i="4"/>
  <c r="F887" i="4"/>
  <c r="E887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E739" i="4"/>
  <c r="E738" i="4"/>
  <c r="E737" i="4"/>
  <c r="E736" i="4"/>
  <c r="E735" i="4"/>
  <c r="E734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E695" i="4"/>
  <c r="E694" i="4"/>
  <c r="E693" i="4"/>
  <c r="E692" i="4"/>
  <c r="E691" i="4"/>
  <c r="E690" i="4"/>
  <c r="E689" i="4"/>
  <c r="E688" i="4"/>
  <c r="E687" i="4"/>
  <c r="E686" i="4"/>
  <c r="F685" i="4"/>
  <c r="E685" i="4"/>
  <c r="E684" i="4"/>
  <c r="E683" i="4"/>
  <c r="F682" i="4"/>
  <c r="E682" i="4"/>
  <c r="F681" i="4"/>
  <c r="E681" i="4"/>
  <c r="F680" i="4"/>
  <c r="E680" i="4"/>
  <c r="E679" i="4"/>
  <c r="E678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F571" i="4"/>
  <c r="E571" i="4"/>
  <c r="E570" i="4"/>
  <c r="E569" i="4"/>
  <c r="E568" i="4"/>
  <c r="E567" i="4"/>
  <c r="E566" i="4"/>
  <c r="E565" i="4"/>
  <c r="E564" i="4"/>
  <c r="E563" i="4"/>
  <c r="E562" i="4"/>
  <c r="F561" i="4"/>
  <c r="E561" i="4"/>
  <c r="E560" i="4"/>
  <c r="E559" i="4"/>
  <c r="E558" i="4"/>
  <c r="E557" i="4"/>
  <c r="E556" i="4"/>
  <c r="F555" i="4"/>
  <c r="E555" i="4"/>
  <c r="F554" i="4"/>
  <c r="E554" i="4"/>
  <c r="F553" i="4"/>
  <c r="E553" i="4"/>
  <c r="F552" i="4"/>
  <c r="E552" i="4"/>
  <c r="F551" i="4"/>
  <c r="E551" i="4"/>
  <c r="F550" i="4"/>
  <c r="E550" i="4"/>
  <c r="F549" i="4"/>
  <c r="E549" i="4"/>
  <c r="F548" i="4"/>
  <c r="E548" i="4"/>
  <c r="F547" i="4"/>
  <c r="E547" i="4"/>
  <c r="F546" i="4"/>
  <c r="E546" i="4"/>
  <c r="F545" i="4"/>
  <c r="E545" i="4"/>
  <c r="F544" i="4"/>
  <c r="E544" i="4"/>
  <c r="F543" i="4"/>
  <c r="E543" i="4"/>
  <c r="F542" i="4"/>
  <c r="E542" i="4"/>
  <c r="F541" i="4"/>
  <c r="E541" i="4"/>
  <c r="F540" i="4"/>
  <c r="E540" i="4"/>
  <c r="F539" i="4"/>
  <c r="E539" i="4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E394" i="4"/>
  <c r="E393" i="4"/>
  <c r="E392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K144" i="11" l="1"/>
  <c r="G144" i="11"/>
  <c r="N144" i="11"/>
  <c r="M144" i="11"/>
  <c r="L144" i="11"/>
  <c r="I144" i="11"/>
  <c r="J62" i="11"/>
  <c r="H62" i="11"/>
  <c r="C62" i="11"/>
  <c r="K139" i="11"/>
  <c r="N139" i="11"/>
  <c r="M139" i="11"/>
  <c r="I139" i="11"/>
  <c r="G139" i="11"/>
  <c r="L139" i="11"/>
  <c r="K4" i="11"/>
  <c r="N4" i="11"/>
  <c r="M4" i="11"/>
  <c r="L4" i="11"/>
  <c r="G4" i="11"/>
  <c r="I4" i="11"/>
  <c r="J46" i="11"/>
  <c r="H46" i="11"/>
  <c r="C46" i="11"/>
  <c r="H139" i="11"/>
  <c r="J139" i="11"/>
  <c r="K110" i="11"/>
  <c r="I110" i="11"/>
  <c r="G110" i="11"/>
  <c r="M110" i="11"/>
  <c r="L110" i="11"/>
  <c r="N110" i="11"/>
  <c r="K162" i="11"/>
  <c r="N162" i="11"/>
  <c r="M162" i="11"/>
  <c r="L162" i="11"/>
  <c r="G162" i="11"/>
  <c r="I162" i="11"/>
  <c r="J30" i="11"/>
  <c r="H30" i="11"/>
  <c r="C30" i="11"/>
  <c r="N204" i="11"/>
  <c r="M204" i="11"/>
  <c r="I204" i="11"/>
  <c r="G204" i="11"/>
  <c r="L204" i="11"/>
  <c r="K204" i="11"/>
  <c r="J14" i="11"/>
  <c r="H14" i="11"/>
  <c r="C14" i="11"/>
  <c r="K66" i="11"/>
  <c r="N66" i="11"/>
  <c r="M66" i="11"/>
  <c r="L66" i="11"/>
  <c r="I66" i="11"/>
  <c r="G66" i="11"/>
  <c r="K93" i="11"/>
  <c r="L93" i="11"/>
  <c r="N93" i="11"/>
  <c r="I93" i="11"/>
  <c r="G93" i="11"/>
  <c r="K120" i="11"/>
  <c r="G120" i="11"/>
  <c r="N120" i="11"/>
  <c r="M120" i="11"/>
  <c r="I120" i="11"/>
  <c r="L120" i="11"/>
  <c r="K7" i="11"/>
  <c r="G7" i="11"/>
  <c r="N7" i="11"/>
  <c r="M7" i="11"/>
  <c r="K69" i="11"/>
  <c r="N69" i="11"/>
  <c r="M69" i="11"/>
  <c r="L69" i="11"/>
  <c r="G69" i="11"/>
  <c r="I69" i="11"/>
  <c r="J132" i="11"/>
  <c r="H132" i="11"/>
  <c r="C132" i="11"/>
  <c r="K101" i="11"/>
  <c r="M101" i="11"/>
  <c r="L101" i="11"/>
  <c r="G101" i="11"/>
  <c r="N101" i="11"/>
  <c r="I101" i="11"/>
  <c r="K67" i="11"/>
  <c r="N67" i="11"/>
  <c r="M67" i="11"/>
  <c r="L67" i="11"/>
  <c r="I67" i="11"/>
  <c r="G67" i="11"/>
  <c r="J101" i="11"/>
  <c r="H101" i="11"/>
  <c r="K129" i="11"/>
  <c r="L129" i="11"/>
  <c r="I129" i="11"/>
  <c r="G129" i="11"/>
  <c r="N129" i="11"/>
  <c r="M129" i="11"/>
  <c r="H206" i="11"/>
  <c r="C206" i="11"/>
  <c r="J206" i="11"/>
  <c r="M93" i="11"/>
  <c r="I7" i="11"/>
  <c r="L12" i="11"/>
  <c r="K12" i="11"/>
  <c r="G12" i="11"/>
  <c r="N12" i="11"/>
  <c r="I12" i="11"/>
  <c r="J22" i="11"/>
  <c r="H22" i="11"/>
  <c r="C22" i="11"/>
  <c r="L28" i="11"/>
  <c r="K28" i="11"/>
  <c r="G28" i="11"/>
  <c r="N28" i="11"/>
  <c r="I28" i="11"/>
  <c r="J38" i="11"/>
  <c r="H38" i="11"/>
  <c r="C38" i="11"/>
  <c r="L44" i="11"/>
  <c r="K44" i="11"/>
  <c r="G44" i="11"/>
  <c r="N44" i="11"/>
  <c r="I44" i="11"/>
  <c r="J54" i="11"/>
  <c r="H54" i="11"/>
  <c r="C54" i="11"/>
  <c r="L60" i="11"/>
  <c r="K60" i="11"/>
  <c r="G60" i="11"/>
  <c r="N60" i="11"/>
  <c r="I60" i="11"/>
  <c r="K75" i="11"/>
  <c r="I75" i="11"/>
  <c r="N75" i="11"/>
  <c r="L75" i="11"/>
  <c r="G75" i="11"/>
  <c r="L7" i="11"/>
  <c r="K115" i="11"/>
  <c r="N115" i="11"/>
  <c r="M115" i="11"/>
  <c r="I115" i="11"/>
  <c r="G115" i="11"/>
  <c r="L115" i="11"/>
  <c r="J4" i="11"/>
  <c r="H4" i="11"/>
  <c r="L20" i="11"/>
  <c r="K20" i="11"/>
  <c r="G20" i="11"/>
  <c r="N20" i="11"/>
  <c r="L36" i="11"/>
  <c r="K36" i="11"/>
  <c r="G36" i="11"/>
  <c r="N36" i="11"/>
  <c r="L52" i="11"/>
  <c r="K52" i="11"/>
  <c r="G52" i="11"/>
  <c r="N52" i="11"/>
  <c r="J89" i="11"/>
  <c r="H89" i="11"/>
  <c r="C89" i="11"/>
  <c r="K127" i="11"/>
  <c r="N127" i="11"/>
  <c r="M127" i="11"/>
  <c r="I127" i="11"/>
  <c r="G127" i="11"/>
  <c r="L127" i="11"/>
  <c r="K78" i="11"/>
  <c r="N78" i="11"/>
  <c r="M78" i="11"/>
  <c r="L78" i="11"/>
  <c r="G78" i="11"/>
  <c r="J113" i="11"/>
  <c r="C113" i="11"/>
  <c r="H113" i="11"/>
  <c r="J120" i="11"/>
  <c r="H120" i="11"/>
  <c r="H127" i="11"/>
  <c r="J127" i="11"/>
  <c r="H169" i="11"/>
  <c r="C169" i="11"/>
  <c r="J169" i="11"/>
  <c r="N239" i="11"/>
  <c r="M239" i="11"/>
  <c r="L239" i="11"/>
  <c r="K239" i="11"/>
  <c r="I239" i="11"/>
  <c r="G239" i="11"/>
  <c r="H264" i="11"/>
  <c r="J264" i="11"/>
  <c r="C264" i="11"/>
  <c r="L10" i="11"/>
  <c r="K10" i="11"/>
  <c r="N10" i="11"/>
  <c r="M10" i="11"/>
  <c r="G10" i="11"/>
  <c r="L26" i="11"/>
  <c r="K26" i="11"/>
  <c r="N26" i="11"/>
  <c r="M26" i="11"/>
  <c r="G26" i="11"/>
  <c r="L42" i="11"/>
  <c r="K42" i="11"/>
  <c r="N42" i="11"/>
  <c r="M42" i="11"/>
  <c r="G42" i="11"/>
  <c r="L58" i="11"/>
  <c r="K58" i="11"/>
  <c r="N58" i="11"/>
  <c r="M58" i="11"/>
  <c r="G58" i="11"/>
  <c r="K72" i="11"/>
  <c r="G72" i="11"/>
  <c r="M72" i="11"/>
  <c r="L72" i="11"/>
  <c r="I72" i="11"/>
  <c r="J78" i="11"/>
  <c r="H78" i="11"/>
  <c r="K83" i="11"/>
  <c r="N83" i="11"/>
  <c r="M83" i="11"/>
  <c r="L83" i="11"/>
  <c r="I83" i="11"/>
  <c r="G83" i="11"/>
  <c r="K87" i="11"/>
  <c r="I87" i="11"/>
  <c r="N87" i="11"/>
  <c r="M87" i="11"/>
  <c r="G87" i="11"/>
  <c r="K99" i="11"/>
  <c r="I99" i="11"/>
  <c r="N99" i="11"/>
  <c r="K117" i="11"/>
  <c r="L117" i="11"/>
  <c r="I117" i="11"/>
  <c r="G117" i="11"/>
  <c r="N117" i="11"/>
  <c r="M117" i="11"/>
  <c r="J144" i="11"/>
  <c r="H144" i="11"/>
  <c r="H199" i="11"/>
  <c r="C199" i="11"/>
  <c r="J199" i="11"/>
  <c r="H257" i="11"/>
  <c r="J257" i="11"/>
  <c r="C257" i="11"/>
  <c r="J10" i="11"/>
  <c r="H10" i="11"/>
  <c r="L24" i="11"/>
  <c r="K24" i="11"/>
  <c r="G24" i="11"/>
  <c r="N24" i="11"/>
  <c r="J26" i="11"/>
  <c r="H26" i="11"/>
  <c r="L40" i="11"/>
  <c r="K40" i="11"/>
  <c r="G40" i="11"/>
  <c r="N40" i="11"/>
  <c r="J42" i="11"/>
  <c r="H42" i="11"/>
  <c r="L56" i="11"/>
  <c r="K56" i="11"/>
  <c r="G56" i="11"/>
  <c r="N56" i="11"/>
  <c r="J58" i="11"/>
  <c r="H58" i="11"/>
  <c r="K102" i="11"/>
  <c r="N102" i="11"/>
  <c r="M102" i="11"/>
  <c r="L102" i="11"/>
  <c r="G102" i="11"/>
  <c r="G228" i="11"/>
  <c r="M228" i="11"/>
  <c r="L228" i="11"/>
  <c r="K228" i="11"/>
  <c r="I228" i="11"/>
  <c r="J5" i="11"/>
  <c r="C5" i="11"/>
  <c r="H5" i="11"/>
  <c r="C90" i="11"/>
  <c r="H114" i="11"/>
  <c r="J114" i="11"/>
  <c r="C114" i="11"/>
  <c r="J125" i="11"/>
  <c r="C125" i="11"/>
  <c r="H125" i="11"/>
  <c r="M232" i="11"/>
  <c r="L232" i="11"/>
  <c r="K232" i="11"/>
  <c r="G232" i="11"/>
  <c r="I232" i="11"/>
  <c r="N232" i="11"/>
  <c r="I78" i="11"/>
  <c r="H163" i="11"/>
  <c r="J163" i="11"/>
  <c r="C163" i="11"/>
  <c r="L18" i="11"/>
  <c r="K18" i="11"/>
  <c r="N18" i="11"/>
  <c r="M18" i="11"/>
  <c r="G18" i="11"/>
  <c r="I24" i="11"/>
  <c r="L34" i="11"/>
  <c r="K34" i="11"/>
  <c r="N34" i="11"/>
  <c r="M34" i="11"/>
  <c r="G34" i="11"/>
  <c r="I40" i="11"/>
  <c r="L50" i="11"/>
  <c r="K50" i="11"/>
  <c r="N50" i="11"/>
  <c r="M50" i="11"/>
  <c r="G50" i="11"/>
  <c r="I56" i="11"/>
  <c r="J75" i="11"/>
  <c r="H75" i="11"/>
  <c r="C84" i="11"/>
  <c r="J84" i="11"/>
  <c r="H84" i="11"/>
  <c r="J90" i="11"/>
  <c r="K98" i="11"/>
  <c r="I98" i="11"/>
  <c r="G98" i="11"/>
  <c r="M98" i="11"/>
  <c r="L98" i="11"/>
  <c r="H115" i="11"/>
  <c r="J115" i="11"/>
  <c r="K155" i="11"/>
  <c r="N155" i="11"/>
  <c r="M155" i="11"/>
  <c r="L155" i="11"/>
  <c r="I155" i="11"/>
  <c r="G155" i="11"/>
  <c r="C164" i="11"/>
  <c r="J164" i="11"/>
  <c r="H164" i="11"/>
  <c r="K177" i="11"/>
  <c r="L177" i="11"/>
  <c r="I177" i="11"/>
  <c r="G177" i="11"/>
  <c r="N177" i="11"/>
  <c r="N193" i="11"/>
  <c r="M193" i="11"/>
  <c r="L193" i="11"/>
  <c r="K193" i="11"/>
  <c r="I193" i="11"/>
  <c r="G193" i="11"/>
  <c r="H214" i="11"/>
  <c r="J214" i="11"/>
  <c r="C214" i="11"/>
  <c r="L16" i="11"/>
  <c r="K16" i="11"/>
  <c r="G16" i="11"/>
  <c r="N16" i="11"/>
  <c r="J18" i="11"/>
  <c r="H18" i="11"/>
  <c r="M24" i="11"/>
  <c r="L32" i="11"/>
  <c r="K32" i="11"/>
  <c r="G32" i="11"/>
  <c r="N32" i="11"/>
  <c r="J34" i="11"/>
  <c r="H34" i="11"/>
  <c r="M40" i="11"/>
  <c r="L48" i="11"/>
  <c r="K48" i="11"/>
  <c r="G48" i="11"/>
  <c r="N48" i="11"/>
  <c r="J50" i="11"/>
  <c r="H50" i="11"/>
  <c r="M56" i="11"/>
  <c r="L64" i="11"/>
  <c r="K64" i="11"/>
  <c r="G64" i="11"/>
  <c r="N64" i="11"/>
  <c r="H86" i="11"/>
  <c r="J86" i="11"/>
  <c r="C86" i="11"/>
  <c r="K91" i="11"/>
  <c r="N91" i="11"/>
  <c r="M91" i="11"/>
  <c r="I91" i="11"/>
  <c r="L91" i="11"/>
  <c r="K103" i="11"/>
  <c r="N103" i="11"/>
  <c r="M103" i="11"/>
  <c r="I103" i="11"/>
  <c r="G103" i="11"/>
  <c r="L103" i="11"/>
  <c r="I212" i="11"/>
  <c r="G212" i="11"/>
  <c r="K212" i="11"/>
  <c r="N212" i="11"/>
  <c r="L212" i="11"/>
  <c r="G233" i="11"/>
  <c r="N233" i="11"/>
  <c r="M233" i="11"/>
  <c r="L233" i="11"/>
  <c r="I233" i="11"/>
  <c r="K233" i="11"/>
  <c r="H96" i="11"/>
  <c r="C96" i="11"/>
  <c r="K108" i="11"/>
  <c r="G108" i="11"/>
  <c r="M108" i="11"/>
  <c r="N108" i="11"/>
  <c r="L108" i="11"/>
  <c r="J168" i="11"/>
  <c r="H168" i="11"/>
  <c r="C168" i="11"/>
  <c r="L191" i="11"/>
  <c r="N191" i="11"/>
  <c r="I191" i="11"/>
  <c r="G191" i="11"/>
  <c r="K191" i="11"/>
  <c r="J87" i="11"/>
  <c r="H87" i="11"/>
  <c r="K112" i="11"/>
  <c r="L112" i="11"/>
  <c r="I112" i="11"/>
  <c r="K150" i="11"/>
  <c r="N150" i="11"/>
  <c r="M150" i="11"/>
  <c r="L150" i="11"/>
  <c r="G150" i="11"/>
  <c r="C152" i="11"/>
  <c r="J152" i="11"/>
  <c r="H152" i="11"/>
  <c r="H157" i="11"/>
  <c r="C157" i="11"/>
  <c r="K175" i="11"/>
  <c r="N175" i="11"/>
  <c r="M175" i="11"/>
  <c r="I175" i="11"/>
  <c r="G175" i="11"/>
  <c r="H180" i="11"/>
  <c r="C180" i="11"/>
  <c r="L189" i="11"/>
  <c r="K189" i="11"/>
  <c r="I189" i="11"/>
  <c r="H191" i="11"/>
  <c r="J191" i="11"/>
  <c r="H288" i="11"/>
  <c r="J288" i="11"/>
  <c r="C288" i="11"/>
  <c r="C13" i="11"/>
  <c r="C17" i="11"/>
  <c r="C21" i="11"/>
  <c r="C25" i="11"/>
  <c r="C29" i="11"/>
  <c r="C33" i="11"/>
  <c r="C37" i="11"/>
  <c r="C41" i="11"/>
  <c r="C45" i="11"/>
  <c r="C49" i="11"/>
  <c r="C53" i="11"/>
  <c r="C57" i="11"/>
  <c r="C61" i="11"/>
  <c r="C65" i="11"/>
  <c r="C92" i="11"/>
  <c r="J92" i="11"/>
  <c r="H97" i="11"/>
  <c r="C97" i="11"/>
  <c r="C100" i="11"/>
  <c r="K105" i="11"/>
  <c r="L105" i="11"/>
  <c r="I105" i="11"/>
  <c r="K124" i="11"/>
  <c r="L124" i="11"/>
  <c r="I124" i="11"/>
  <c r="K136" i="11"/>
  <c r="L136" i="11"/>
  <c r="I136" i="11"/>
  <c r="G187" i="11"/>
  <c r="N187" i="11"/>
  <c r="M187" i="11"/>
  <c r="L187" i="11"/>
  <c r="K187" i="11"/>
  <c r="K68" i="11"/>
  <c r="N68" i="11"/>
  <c r="K74" i="11"/>
  <c r="I74" i="11"/>
  <c r="G74" i="11"/>
  <c r="K77" i="11"/>
  <c r="M77" i="11"/>
  <c r="L77" i="11"/>
  <c r="H109" i="11"/>
  <c r="C109" i="11"/>
  <c r="K143" i="11"/>
  <c r="N143" i="11"/>
  <c r="M143" i="11"/>
  <c r="L143" i="11"/>
  <c r="I143" i="11"/>
  <c r="K165" i="11"/>
  <c r="L165" i="11"/>
  <c r="I165" i="11"/>
  <c r="G165" i="11"/>
  <c r="G210" i="11"/>
  <c r="N210" i="11"/>
  <c r="M210" i="11"/>
  <c r="L210" i="11"/>
  <c r="I210" i="11"/>
  <c r="M215" i="11"/>
  <c r="L215" i="11"/>
  <c r="K215" i="11"/>
  <c r="G215" i="11"/>
  <c r="I215" i="11"/>
  <c r="K223" i="11"/>
  <c r="I223" i="11"/>
  <c r="G223" i="11"/>
  <c r="N223" i="11"/>
  <c r="M223" i="11"/>
  <c r="L223" i="11"/>
  <c r="K80" i="11"/>
  <c r="N80" i="11"/>
  <c r="G81" i="11"/>
  <c r="C116" i="11"/>
  <c r="J116" i="11"/>
  <c r="H116" i="11"/>
  <c r="K119" i="11"/>
  <c r="N119" i="11"/>
  <c r="M119" i="11"/>
  <c r="L119" i="11"/>
  <c r="I119" i="11"/>
  <c r="K126" i="11"/>
  <c r="N126" i="11"/>
  <c r="M126" i="11"/>
  <c r="L126" i="11"/>
  <c r="G126" i="11"/>
  <c r="C128" i="11"/>
  <c r="J128" i="11"/>
  <c r="H128" i="11"/>
  <c r="K131" i="11"/>
  <c r="N131" i="11"/>
  <c r="M131" i="11"/>
  <c r="L131" i="11"/>
  <c r="I131" i="11"/>
  <c r="K138" i="11"/>
  <c r="N138" i="11"/>
  <c r="M138" i="11"/>
  <c r="L138" i="11"/>
  <c r="G138" i="11"/>
  <c r="C140" i="11"/>
  <c r="J140" i="11"/>
  <c r="H140" i="11"/>
  <c r="H145" i="11"/>
  <c r="C145" i="11"/>
  <c r="J180" i="11"/>
  <c r="G189" i="11"/>
  <c r="N311" i="11"/>
  <c r="M311" i="11"/>
  <c r="L311" i="11"/>
  <c r="K311" i="11"/>
  <c r="I311" i="11"/>
  <c r="G311" i="11"/>
  <c r="H3" i="11"/>
  <c r="H9" i="11"/>
  <c r="G68" i="11"/>
  <c r="M71" i="11"/>
  <c r="C73" i="11"/>
  <c r="I81" i="11"/>
  <c r="H92" i="11"/>
  <c r="K95" i="11"/>
  <c r="N95" i="11"/>
  <c r="J97" i="11"/>
  <c r="J111" i="11"/>
  <c r="H111" i="11"/>
  <c r="C111" i="11"/>
  <c r="H121" i="11"/>
  <c r="C121" i="11"/>
  <c r="G124" i="11"/>
  <c r="H133" i="11"/>
  <c r="C133" i="11"/>
  <c r="G136" i="11"/>
  <c r="K153" i="11"/>
  <c r="L153" i="11"/>
  <c r="I153" i="11"/>
  <c r="G153" i="11"/>
  <c r="L175" i="11"/>
  <c r="L179" i="11"/>
  <c r="N179" i="11"/>
  <c r="M179" i="11"/>
  <c r="K179" i="11"/>
  <c r="H183" i="11"/>
  <c r="C183" i="11"/>
  <c r="J183" i="11"/>
  <c r="I187" i="11"/>
  <c r="N189" i="11"/>
  <c r="H194" i="11"/>
  <c r="C194" i="11"/>
  <c r="G2" i="11"/>
  <c r="I3" i="11"/>
  <c r="G8" i="11"/>
  <c r="I9" i="11"/>
  <c r="H13" i="11"/>
  <c r="H17" i="11"/>
  <c r="H21" i="11"/>
  <c r="H25" i="11"/>
  <c r="H29" i="11"/>
  <c r="H33" i="11"/>
  <c r="H37" i="11"/>
  <c r="H41" i="11"/>
  <c r="H45" i="11"/>
  <c r="H49" i="11"/>
  <c r="H53" i="11"/>
  <c r="H57" i="11"/>
  <c r="H61" i="11"/>
  <c r="H65" i="11"/>
  <c r="H68" i="11"/>
  <c r="N71" i="11"/>
  <c r="J74" i="11"/>
  <c r="K76" i="11"/>
  <c r="L76" i="11"/>
  <c r="I76" i="11"/>
  <c r="G77" i="11"/>
  <c r="K79" i="11"/>
  <c r="N79" i="11"/>
  <c r="M79" i="11"/>
  <c r="G80" i="11"/>
  <c r="K85" i="11"/>
  <c r="G85" i="11"/>
  <c r="J99" i="11"/>
  <c r="H99" i="11"/>
  <c r="H100" i="11"/>
  <c r="C104" i="11"/>
  <c r="J104" i="11"/>
  <c r="H104" i="11"/>
  <c r="J109" i="11"/>
  <c r="M112" i="11"/>
  <c r="G143" i="11"/>
  <c r="K151" i="11"/>
  <c r="N151" i="11"/>
  <c r="M151" i="11"/>
  <c r="I151" i="11"/>
  <c r="G151" i="11"/>
  <c r="K156" i="11"/>
  <c r="G156" i="11"/>
  <c r="N156" i="11"/>
  <c r="M156" i="11"/>
  <c r="L156" i="11"/>
  <c r="K174" i="11"/>
  <c r="N174" i="11"/>
  <c r="M174" i="11"/>
  <c r="L174" i="11"/>
  <c r="G174" i="11"/>
  <c r="C176" i="11"/>
  <c r="J176" i="11"/>
  <c r="H176" i="11"/>
  <c r="G198" i="11"/>
  <c r="N198" i="11"/>
  <c r="M198" i="11"/>
  <c r="L198" i="11"/>
  <c r="I198" i="11"/>
  <c r="K210" i="11"/>
  <c r="G256" i="11"/>
  <c r="M256" i="11"/>
  <c r="L256" i="11"/>
  <c r="K256" i="11"/>
  <c r="N256" i="11"/>
  <c r="I256" i="11"/>
  <c r="H2" i="11"/>
  <c r="L3" i="11"/>
  <c r="H8" i="11"/>
  <c r="L9" i="11"/>
  <c r="C11" i="11"/>
  <c r="C15" i="11"/>
  <c r="C19" i="11"/>
  <c r="C23" i="11"/>
  <c r="C27" i="11"/>
  <c r="C31" i="11"/>
  <c r="C35" i="11"/>
  <c r="C39" i="11"/>
  <c r="C43" i="11"/>
  <c r="C47" i="11"/>
  <c r="C51" i="11"/>
  <c r="C55" i="11"/>
  <c r="C59" i="11"/>
  <c r="C63" i="11"/>
  <c r="I68" i="11"/>
  <c r="L74" i="11"/>
  <c r="H77" i="11"/>
  <c r="H80" i="11"/>
  <c r="L81" i="11"/>
  <c r="C88" i="11"/>
  <c r="M105" i="11"/>
  <c r="N112" i="11"/>
  <c r="G119" i="11"/>
  <c r="M124" i="11"/>
  <c r="I126" i="11"/>
  <c r="G131" i="11"/>
  <c r="M136" i="11"/>
  <c r="I138" i="11"/>
  <c r="J145" i="11"/>
  <c r="M165" i="11"/>
  <c r="H188" i="11"/>
  <c r="J188" i="11"/>
  <c r="C188" i="11"/>
  <c r="N215" i="11"/>
  <c r="J275" i="11"/>
  <c r="H275" i="11"/>
  <c r="C275" i="11"/>
  <c r="I2" i="11"/>
  <c r="M3" i="11"/>
  <c r="I8" i="11"/>
  <c r="M9" i="11"/>
  <c r="J68" i="11"/>
  <c r="M74" i="11"/>
  <c r="I77" i="11"/>
  <c r="I80" i="11"/>
  <c r="M81" i="11"/>
  <c r="N105" i="11"/>
  <c r="K107" i="11"/>
  <c r="N107" i="11"/>
  <c r="L107" i="11"/>
  <c r="N124" i="11"/>
  <c r="N136" i="11"/>
  <c r="K141" i="11"/>
  <c r="L141" i="11"/>
  <c r="I141" i="11"/>
  <c r="G141" i="11"/>
  <c r="N165" i="11"/>
  <c r="K167" i="11"/>
  <c r="N167" i="11"/>
  <c r="M167" i="11"/>
  <c r="L167" i="11"/>
  <c r="I167" i="11"/>
  <c r="J194" i="11"/>
  <c r="H203" i="11"/>
  <c r="C203" i="11"/>
  <c r="J203" i="11"/>
  <c r="H228" i="11"/>
  <c r="J228" i="11"/>
  <c r="C137" i="11"/>
  <c r="C149" i="11"/>
  <c r="C161" i="11"/>
  <c r="C173" i="11"/>
  <c r="C182" i="11"/>
  <c r="C190" i="11"/>
  <c r="C197" i="11"/>
  <c r="L200" i="11"/>
  <c r="C202" i="11"/>
  <c r="C216" i="11"/>
  <c r="C225" i="11"/>
  <c r="I235" i="11"/>
  <c r="N235" i="11"/>
  <c r="M235" i="11"/>
  <c r="L235" i="11"/>
  <c r="K243" i="11"/>
  <c r="G270" i="11"/>
  <c r="M270" i="11"/>
  <c r="L270" i="11"/>
  <c r="K270" i="11"/>
  <c r="N270" i="11"/>
  <c r="J340" i="11"/>
  <c r="C340" i="11"/>
  <c r="H340" i="11"/>
  <c r="M200" i="11"/>
  <c r="K213" i="11"/>
  <c r="I213" i="11"/>
  <c r="K221" i="11"/>
  <c r="H233" i="11"/>
  <c r="J233" i="11"/>
  <c r="M250" i="11"/>
  <c r="L250" i="11"/>
  <c r="N250" i="11"/>
  <c r="K250" i="11"/>
  <c r="H268" i="11"/>
  <c r="C268" i="11"/>
  <c r="J330" i="11"/>
  <c r="H330" i="11"/>
  <c r="C330" i="11"/>
  <c r="C123" i="11"/>
  <c r="C135" i="11"/>
  <c r="C147" i="11"/>
  <c r="C159" i="11"/>
  <c r="C171" i="11"/>
  <c r="C181" i="11"/>
  <c r="N200" i="11"/>
  <c r="H205" i="11"/>
  <c r="J205" i="11"/>
  <c r="H213" i="11"/>
  <c r="J213" i="11"/>
  <c r="H244" i="11"/>
  <c r="C244" i="11"/>
  <c r="I246" i="11"/>
  <c r="G246" i="11"/>
  <c r="N246" i="11"/>
  <c r="M246" i="11"/>
  <c r="L246" i="11"/>
  <c r="G265" i="11"/>
  <c r="N265" i="11"/>
  <c r="M265" i="11"/>
  <c r="N349" i="11"/>
  <c r="M349" i="11"/>
  <c r="L349" i="11"/>
  <c r="K349" i="11"/>
  <c r="I349" i="11"/>
  <c r="G349" i="11"/>
  <c r="H189" i="11"/>
  <c r="J189" i="11"/>
  <c r="H195" i="11"/>
  <c r="C195" i="11"/>
  <c r="H218" i="11"/>
  <c r="C218" i="11"/>
  <c r="I222" i="11"/>
  <c r="G222" i="11"/>
  <c r="N222" i="11"/>
  <c r="M222" i="11"/>
  <c r="J311" i="11"/>
  <c r="H311" i="11"/>
  <c r="J198" i="11"/>
  <c r="H201" i="11"/>
  <c r="J201" i="11"/>
  <c r="J210" i="11"/>
  <c r="G235" i="11"/>
  <c r="J268" i="11"/>
  <c r="I270" i="11"/>
  <c r="J306" i="11"/>
  <c r="H306" i="11"/>
  <c r="C306" i="11"/>
  <c r="J325" i="11"/>
  <c r="H325" i="11"/>
  <c r="C325" i="11"/>
  <c r="N221" i="11"/>
  <c r="L221" i="11"/>
  <c r="K236" i="11"/>
  <c r="L236" i="11"/>
  <c r="I236" i="11"/>
  <c r="G236" i="11"/>
  <c r="H238" i="11"/>
  <c r="C238" i="11"/>
  <c r="N240" i="11"/>
  <c r="I240" i="11"/>
  <c r="G240" i="11"/>
  <c r="M240" i="11"/>
  <c r="N243" i="11"/>
  <c r="M243" i="11"/>
  <c r="G243" i="11"/>
  <c r="H263" i="11"/>
  <c r="J263" i="11"/>
  <c r="C263" i="11"/>
  <c r="G269" i="11"/>
  <c r="K269" i="11"/>
  <c r="I269" i="11"/>
  <c r="M269" i="11"/>
  <c r="G271" i="11"/>
  <c r="N271" i="11"/>
  <c r="M271" i="11"/>
  <c r="L271" i="11"/>
  <c r="L287" i="11"/>
  <c r="K287" i="11"/>
  <c r="N287" i="11"/>
  <c r="M287" i="11"/>
  <c r="I287" i="11"/>
  <c r="G287" i="11"/>
  <c r="J353" i="11"/>
  <c r="H353" i="11"/>
  <c r="C353" i="11"/>
  <c r="G122" i="11"/>
  <c r="H123" i="11"/>
  <c r="G134" i="11"/>
  <c r="H135" i="11"/>
  <c r="G146" i="11"/>
  <c r="H147" i="11"/>
  <c r="I148" i="11"/>
  <c r="G158" i="11"/>
  <c r="H159" i="11"/>
  <c r="I160" i="11"/>
  <c r="G170" i="11"/>
  <c r="H171" i="11"/>
  <c r="I172" i="11"/>
  <c r="G201" i="11"/>
  <c r="K205" i="11"/>
  <c r="M213" i="11"/>
  <c r="N217" i="11"/>
  <c r="M217" i="11"/>
  <c r="J222" i="11"/>
  <c r="H226" i="11"/>
  <c r="C226" i="11"/>
  <c r="H234" i="11"/>
  <c r="C234" i="11"/>
  <c r="J234" i="11"/>
  <c r="K246" i="11"/>
  <c r="K265" i="11"/>
  <c r="N342" i="11"/>
  <c r="M342" i="11"/>
  <c r="L342" i="11"/>
  <c r="K342" i="11"/>
  <c r="G342" i="11"/>
  <c r="J181" i="11"/>
  <c r="C185" i="11"/>
  <c r="C192" i="11"/>
  <c r="J195" i="11"/>
  <c r="K196" i="11"/>
  <c r="I201" i="11"/>
  <c r="L205" i="11"/>
  <c r="K209" i="11"/>
  <c r="N213" i="11"/>
  <c r="H217" i="11"/>
  <c r="J217" i="11"/>
  <c r="J218" i="11"/>
  <c r="K222" i="11"/>
  <c r="I247" i="11"/>
  <c r="L247" i="11"/>
  <c r="K247" i="11"/>
  <c r="G247" i="11"/>
  <c r="H249" i="11"/>
  <c r="C249" i="11"/>
  <c r="N251" i="11"/>
  <c r="M251" i="11"/>
  <c r="I251" i="11"/>
  <c r="G251" i="11"/>
  <c r="H253" i="11"/>
  <c r="C253" i="11"/>
  <c r="L265" i="11"/>
  <c r="C276" i="11"/>
  <c r="J276" i="11"/>
  <c r="H276" i="11"/>
  <c r="N332" i="11"/>
  <c r="M332" i="11"/>
  <c r="L332" i="11"/>
  <c r="K332" i="11"/>
  <c r="I332" i="11"/>
  <c r="G332" i="11"/>
  <c r="N337" i="11"/>
  <c r="M337" i="11"/>
  <c r="L337" i="11"/>
  <c r="K337" i="11"/>
  <c r="I337" i="11"/>
  <c r="G337" i="11"/>
  <c r="I122" i="11"/>
  <c r="I134" i="11"/>
  <c r="I146" i="11"/>
  <c r="L148" i="11"/>
  <c r="I158" i="11"/>
  <c r="L160" i="11"/>
  <c r="I170" i="11"/>
  <c r="L172" i="11"/>
  <c r="L201" i="11"/>
  <c r="M205" i="11"/>
  <c r="L209" i="11"/>
  <c r="H211" i="11"/>
  <c r="C211" i="11"/>
  <c r="L222" i="11"/>
  <c r="J238" i="11"/>
  <c r="H260" i="11"/>
  <c r="J260" i="11"/>
  <c r="C260" i="11"/>
  <c r="I271" i="11"/>
  <c r="N299" i="11"/>
  <c r="M299" i="11"/>
  <c r="L299" i="11"/>
  <c r="K299" i="11"/>
  <c r="I299" i="11"/>
  <c r="G299" i="11"/>
  <c r="L237" i="11"/>
  <c r="K237" i="11"/>
  <c r="G258" i="11"/>
  <c r="L258" i="11"/>
  <c r="K258" i="11"/>
  <c r="G262" i="11"/>
  <c r="I262" i="11"/>
  <c r="H269" i="11"/>
  <c r="J269" i="11"/>
  <c r="L274" i="11"/>
  <c r="K274" i="11"/>
  <c r="I274" i="11"/>
  <c r="G274" i="11"/>
  <c r="N274" i="11"/>
  <c r="M274" i="11"/>
  <c r="J299" i="11"/>
  <c r="H299" i="11"/>
  <c r="N318" i="11"/>
  <c r="M318" i="11"/>
  <c r="L318" i="11"/>
  <c r="K318" i="11"/>
  <c r="G318" i="11"/>
  <c r="I318" i="11"/>
  <c r="N323" i="11"/>
  <c r="M323" i="11"/>
  <c r="L323" i="11"/>
  <c r="K323" i="11"/>
  <c r="I323" i="11"/>
  <c r="G323" i="11"/>
  <c r="N336" i="11"/>
  <c r="M336" i="11"/>
  <c r="L336" i="11"/>
  <c r="K336" i="11"/>
  <c r="G336" i="11"/>
  <c r="J355" i="11"/>
  <c r="H355" i="11"/>
  <c r="C355" i="11"/>
  <c r="H241" i="11"/>
  <c r="C241" i="11"/>
  <c r="H248" i="11"/>
  <c r="J248" i="11"/>
  <c r="J318" i="11"/>
  <c r="H318" i="11"/>
  <c r="J328" i="11"/>
  <c r="C328" i="11"/>
  <c r="H328" i="11"/>
  <c r="K255" i="11"/>
  <c r="H271" i="11"/>
  <c r="J271" i="11"/>
  <c r="L280" i="11"/>
  <c r="K280" i="11"/>
  <c r="I280" i="11"/>
  <c r="G280" i="11"/>
  <c r="J313" i="11"/>
  <c r="C313" i="11"/>
  <c r="H313" i="11"/>
  <c r="J349" i="11"/>
  <c r="H349" i="11"/>
  <c r="C278" i="11"/>
  <c r="H278" i="11"/>
  <c r="J305" i="11"/>
  <c r="H305" i="11"/>
  <c r="C305" i="11"/>
  <c r="N344" i="11"/>
  <c r="M344" i="11"/>
  <c r="L344" i="11"/>
  <c r="K344" i="11"/>
  <c r="I344" i="11"/>
  <c r="G344" i="11"/>
  <c r="H223" i="11"/>
  <c r="J223" i="11"/>
  <c r="M227" i="11"/>
  <c r="H229" i="11"/>
  <c r="C229" i="11"/>
  <c r="H236" i="11"/>
  <c r="J236" i="11"/>
  <c r="G237" i="11"/>
  <c r="H247" i="11"/>
  <c r="J247" i="11"/>
  <c r="G248" i="11"/>
  <c r="G252" i="11"/>
  <c r="I258" i="11"/>
  <c r="J262" i="11"/>
  <c r="J265" i="11"/>
  <c r="J293" i="11"/>
  <c r="H293" i="11"/>
  <c r="C293" i="11"/>
  <c r="N347" i="11"/>
  <c r="M347" i="11"/>
  <c r="L347" i="11"/>
  <c r="K347" i="11"/>
  <c r="I347" i="11"/>
  <c r="G347" i="11"/>
  <c r="J224" i="11"/>
  <c r="I230" i="11"/>
  <c r="J231" i="11"/>
  <c r="H235" i="11"/>
  <c r="J235" i="11"/>
  <c r="M237" i="11"/>
  <c r="M248" i="11"/>
  <c r="K252" i="11"/>
  <c r="N258" i="11"/>
  <c r="M262" i="11"/>
  <c r="H266" i="11"/>
  <c r="C266" i="11"/>
  <c r="M280" i="11"/>
  <c r="J291" i="11"/>
  <c r="H291" i="11"/>
  <c r="C291" i="11"/>
  <c r="J342" i="11"/>
  <c r="H342" i="11"/>
  <c r="C207" i="11"/>
  <c r="C219" i="11"/>
  <c r="L224" i="11"/>
  <c r="K231" i="11"/>
  <c r="N237" i="11"/>
  <c r="C245" i="11"/>
  <c r="N248" i="11"/>
  <c r="L252" i="11"/>
  <c r="C259" i="11"/>
  <c r="N262" i="11"/>
  <c r="H272" i="11"/>
  <c r="C272" i="11"/>
  <c r="J278" i="11"/>
  <c r="N280" i="11"/>
  <c r="L284" i="11"/>
  <c r="K284" i="11"/>
  <c r="N284" i="11"/>
  <c r="M284" i="11"/>
  <c r="J200" i="11"/>
  <c r="J212" i="11"/>
  <c r="M224" i="11"/>
  <c r="J229" i="11"/>
  <c r="J251" i="11"/>
  <c r="M252" i="11"/>
  <c r="H279" i="11"/>
  <c r="C279" i="11"/>
  <c r="J279" i="11"/>
  <c r="L281" i="11"/>
  <c r="K281" i="11"/>
  <c r="N281" i="11"/>
  <c r="M281" i="11"/>
  <c r="I281" i="11"/>
  <c r="G281" i="11"/>
  <c r="N312" i="11"/>
  <c r="M312" i="11"/>
  <c r="L312" i="11"/>
  <c r="K312" i="11"/>
  <c r="G312" i="11"/>
  <c r="I312" i="11"/>
  <c r="J317" i="11"/>
  <c r="H317" i="11"/>
  <c r="C317" i="11"/>
  <c r="N354" i="11"/>
  <c r="M354" i="11"/>
  <c r="L354" i="11"/>
  <c r="K354" i="11"/>
  <c r="I354" i="11"/>
  <c r="G354" i="11"/>
  <c r="J304" i="11"/>
  <c r="C304" i="11"/>
  <c r="H304" i="11"/>
  <c r="J323" i="11"/>
  <c r="H323" i="11"/>
  <c r="N335" i="11"/>
  <c r="M335" i="11"/>
  <c r="L335" i="11"/>
  <c r="K335" i="11"/>
  <c r="I335" i="11"/>
  <c r="G335" i="11"/>
  <c r="J347" i="11"/>
  <c r="H347" i="11"/>
  <c r="J352" i="11"/>
  <c r="C352" i="11"/>
  <c r="H352" i="11"/>
  <c r="J295" i="11"/>
  <c r="H295" i="11"/>
  <c r="C295" i="11"/>
  <c r="N300" i="11"/>
  <c r="M300" i="11"/>
  <c r="L300" i="11"/>
  <c r="K300" i="11"/>
  <c r="G300" i="11"/>
  <c r="J316" i="11"/>
  <c r="C316" i="11"/>
  <c r="H316" i="11"/>
  <c r="J335" i="11"/>
  <c r="H335" i="11"/>
  <c r="N356" i="11"/>
  <c r="M356" i="11"/>
  <c r="L356" i="11"/>
  <c r="K356" i="11"/>
  <c r="I356" i="11"/>
  <c r="G356" i="11"/>
  <c r="N324" i="11"/>
  <c r="M324" i="11"/>
  <c r="L324" i="11"/>
  <c r="K324" i="11"/>
  <c r="G324" i="11"/>
  <c r="N348" i="11"/>
  <c r="M348" i="11"/>
  <c r="L348" i="11"/>
  <c r="K348" i="11"/>
  <c r="G348" i="11"/>
  <c r="J356" i="11"/>
  <c r="H356" i="11"/>
  <c r="L273" i="11"/>
  <c r="K273" i="11"/>
  <c r="G273" i="11"/>
  <c r="H274" i="11"/>
  <c r="L282" i="11"/>
  <c r="K282" i="11"/>
  <c r="N282" i="11"/>
  <c r="M282" i="11"/>
  <c r="L285" i="11"/>
  <c r="K285" i="11"/>
  <c r="G285" i="11"/>
  <c r="N296" i="11"/>
  <c r="L296" i="11"/>
  <c r="K296" i="11"/>
  <c r="M296" i="11"/>
  <c r="I296" i="11"/>
  <c r="G296" i="11"/>
  <c r="I300" i="11"/>
  <c r="J329" i="11"/>
  <c r="H329" i="11"/>
  <c r="C329" i="11"/>
  <c r="J341" i="11"/>
  <c r="H341" i="11"/>
  <c r="C341" i="11"/>
  <c r="J357" i="11"/>
  <c r="H357" i="11"/>
  <c r="C357" i="11"/>
  <c r="L290" i="11"/>
  <c r="K290" i="11"/>
  <c r="N290" i="11"/>
  <c r="M290" i="11"/>
  <c r="C301" i="11"/>
  <c r="N308" i="11"/>
  <c r="M308" i="11"/>
  <c r="L308" i="11"/>
  <c r="K308" i="11"/>
  <c r="I308" i="11"/>
  <c r="L292" i="11"/>
  <c r="K292" i="11"/>
  <c r="N292" i="11"/>
  <c r="M292" i="11"/>
  <c r="I292" i="11"/>
  <c r="N320" i="11"/>
  <c r="M320" i="11"/>
  <c r="L320" i="11"/>
  <c r="K320" i="11"/>
  <c r="I320" i="11"/>
  <c r="I324" i="11"/>
  <c r="I348" i="11"/>
  <c r="J354" i="11"/>
  <c r="H354" i="11"/>
  <c r="L286" i="11"/>
  <c r="K286" i="11"/>
  <c r="M294" i="11"/>
  <c r="N303" i="11"/>
  <c r="M303" i="11"/>
  <c r="L303" i="11"/>
  <c r="K303" i="11"/>
  <c r="N315" i="11"/>
  <c r="M315" i="11"/>
  <c r="L315" i="11"/>
  <c r="K315" i="11"/>
  <c r="N327" i="11"/>
  <c r="M327" i="11"/>
  <c r="L327" i="11"/>
  <c r="K327" i="11"/>
  <c r="N339" i="11"/>
  <c r="M339" i="11"/>
  <c r="L339" i="11"/>
  <c r="K339" i="11"/>
  <c r="C351" i="11"/>
  <c r="C298" i="11"/>
  <c r="C310" i="11"/>
  <c r="C322" i="11"/>
  <c r="C334" i="11"/>
  <c r="C346" i="11"/>
  <c r="G286" i="11"/>
  <c r="H292" i="11"/>
  <c r="G303" i="11"/>
  <c r="C307" i="11"/>
  <c r="H308" i="11"/>
  <c r="G315" i="11"/>
  <c r="C319" i="11"/>
  <c r="H320" i="11"/>
  <c r="G327" i="11"/>
  <c r="C331" i="11"/>
  <c r="H332" i="11"/>
  <c r="G339" i="11"/>
  <c r="C343" i="11"/>
  <c r="H344" i="11"/>
  <c r="L294" i="11"/>
  <c r="K294" i="11"/>
  <c r="N302" i="11"/>
  <c r="M302" i="11"/>
  <c r="L302" i="11"/>
  <c r="K302" i="11"/>
  <c r="N314" i="11"/>
  <c r="M314" i="11"/>
  <c r="L314" i="11"/>
  <c r="K314" i="11"/>
  <c r="N326" i="11"/>
  <c r="M326" i="11"/>
  <c r="L326" i="11"/>
  <c r="K326" i="11"/>
  <c r="N338" i="11"/>
  <c r="M338" i="11"/>
  <c r="L338" i="11"/>
  <c r="K338" i="11"/>
  <c r="H339" i="11"/>
  <c r="N350" i="11"/>
  <c r="M350" i="11"/>
  <c r="L350" i="11"/>
  <c r="K350" i="11"/>
  <c r="H351" i="11"/>
  <c r="L277" i="11"/>
  <c r="K277" i="11"/>
  <c r="L283" i="11"/>
  <c r="K283" i="11"/>
  <c r="I286" i="11"/>
  <c r="L289" i="11"/>
  <c r="K289" i="11"/>
  <c r="N297" i="11"/>
  <c r="M297" i="11"/>
  <c r="L297" i="11"/>
  <c r="K297" i="11"/>
  <c r="H298" i="11"/>
  <c r="I303" i="11"/>
  <c r="N309" i="11"/>
  <c r="M309" i="11"/>
  <c r="L309" i="11"/>
  <c r="K309" i="11"/>
  <c r="H310" i="11"/>
  <c r="I315" i="11"/>
  <c r="N321" i="11"/>
  <c r="M321" i="11"/>
  <c r="L321" i="11"/>
  <c r="K321" i="11"/>
  <c r="H322" i="11"/>
  <c r="I327" i="11"/>
  <c r="N333" i="11"/>
  <c r="M333" i="11"/>
  <c r="L333" i="11"/>
  <c r="K333" i="11"/>
  <c r="H334" i="11"/>
  <c r="I339" i="11"/>
  <c r="N345" i="11"/>
  <c r="M345" i="11"/>
  <c r="L345" i="11"/>
  <c r="K345" i="11"/>
  <c r="H346" i="11"/>
  <c r="N319" i="11" l="1"/>
  <c r="M319" i="11"/>
  <c r="L319" i="11"/>
  <c r="K319" i="11"/>
  <c r="I319" i="11"/>
  <c r="G319" i="11"/>
  <c r="L291" i="11"/>
  <c r="K291" i="11"/>
  <c r="G291" i="11"/>
  <c r="N291" i="11"/>
  <c r="M291" i="11"/>
  <c r="I291" i="11"/>
  <c r="L249" i="11"/>
  <c r="K249" i="11"/>
  <c r="M249" i="11"/>
  <c r="I249" i="11"/>
  <c r="G249" i="11"/>
  <c r="N249" i="11"/>
  <c r="L37" i="11"/>
  <c r="K37" i="11"/>
  <c r="M37" i="11"/>
  <c r="I37" i="11"/>
  <c r="G37" i="11"/>
  <c r="N37" i="11"/>
  <c r="G259" i="11"/>
  <c r="N259" i="11"/>
  <c r="M259" i="11"/>
  <c r="K259" i="11"/>
  <c r="I259" i="11"/>
  <c r="L259" i="11"/>
  <c r="K159" i="11"/>
  <c r="I159" i="11"/>
  <c r="N159" i="11"/>
  <c r="M159" i="11"/>
  <c r="L159" i="11"/>
  <c r="G159" i="11"/>
  <c r="K145" i="11"/>
  <c r="G145" i="11"/>
  <c r="N145" i="11"/>
  <c r="M145" i="11"/>
  <c r="L145" i="11"/>
  <c r="I145" i="11"/>
  <c r="L278" i="11"/>
  <c r="K278" i="11"/>
  <c r="N278" i="11"/>
  <c r="M278" i="11"/>
  <c r="I278" i="11"/>
  <c r="G278" i="11"/>
  <c r="K147" i="11"/>
  <c r="I147" i="11"/>
  <c r="N147" i="11"/>
  <c r="L147" i="11"/>
  <c r="G147" i="11"/>
  <c r="M147" i="11"/>
  <c r="L15" i="11"/>
  <c r="K15" i="11"/>
  <c r="N15" i="11"/>
  <c r="M15" i="11"/>
  <c r="I15" i="11"/>
  <c r="G15" i="11"/>
  <c r="K121" i="11"/>
  <c r="G121" i="11"/>
  <c r="N121" i="11"/>
  <c r="L121" i="11"/>
  <c r="I121" i="11"/>
  <c r="M121" i="11"/>
  <c r="L29" i="11"/>
  <c r="K29" i="11"/>
  <c r="M29" i="11"/>
  <c r="I29" i="11"/>
  <c r="G29" i="11"/>
  <c r="N29" i="11"/>
  <c r="K152" i="11"/>
  <c r="N152" i="11"/>
  <c r="I152" i="11"/>
  <c r="G152" i="11"/>
  <c r="L152" i="11"/>
  <c r="M152" i="11"/>
  <c r="K96" i="11"/>
  <c r="G96" i="11"/>
  <c r="I96" i="11"/>
  <c r="N96" i="11"/>
  <c r="M96" i="11"/>
  <c r="L96" i="11"/>
  <c r="K86" i="11"/>
  <c r="I86" i="11"/>
  <c r="G86" i="11"/>
  <c r="L86" i="11"/>
  <c r="N86" i="11"/>
  <c r="M86" i="11"/>
  <c r="G257" i="11"/>
  <c r="I257" i="11"/>
  <c r="L257" i="11"/>
  <c r="K257" i="11"/>
  <c r="N257" i="11"/>
  <c r="M257" i="11"/>
  <c r="K113" i="11"/>
  <c r="M113" i="11"/>
  <c r="L113" i="11"/>
  <c r="G113" i="11"/>
  <c r="N113" i="11"/>
  <c r="I113" i="11"/>
  <c r="K132" i="11"/>
  <c r="G132" i="11"/>
  <c r="N132" i="11"/>
  <c r="M132" i="11"/>
  <c r="I132" i="11"/>
  <c r="L132" i="11"/>
  <c r="K109" i="11"/>
  <c r="G109" i="11"/>
  <c r="N109" i="11"/>
  <c r="M109" i="11"/>
  <c r="L109" i="11"/>
  <c r="I109" i="11"/>
  <c r="K114" i="11"/>
  <c r="N114" i="11"/>
  <c r="M114" i="11"/>
  <c r="L114" i="11"/>
  <c r="G114" i="11"/>
  <c r="I114" i="11"/>
  <c r="K190" i="11"/>
  <c r="N190" i="11"/>
  <c r="M190" i="11"/>
  <c r="L190" i="11"/>
  <c r="G190" i="11"/>
  <c r="I190" i="11"/>
  <c r="L63" i="11"/>
  <c r="K63" i="11"/>
  <c r="N63" i="11"/>
  <c r="M63" i="11"/>
  <c r="I63" i="11"/>
  <c r="G63" i="11"/>
  <c r="N307" i="11"/>
  <c r="M307" i="11"/>
  <c r="L307" i="11"/>
  <c r="K307" i="11"/>
  <c r="I307" i="11"/>
  <c r="G307" i="11"/>
  <c r="N301" i="11"/>
  <c r="M301" i="11"/>
  <c r="L301" i="11"/>
  <c r="K301" i="11"/>
  <c r="I301" i="11"/>
  <c r="G301" i="11"/>
  <c r="N295" i="11"/>
  <c r="L295" i="11"/>
  <c r="K295" i="11"/>
  <c r="G295" i="11"/>
  <c r="M295" i="11"/>
  <c r="I295" i="11"/>
  <c r="I234" i="11"/>
  <c r="G234" i="11"/>
  <c r="M234" i="11"/>
  <c r="K234" i="11"/>
  <c r="N234" i="11"/>
  <c r="L234" i="11"/>
  <c r="K135" i="11"/>
  <c r="I135" i="11"/>
  <c r="N135" i="11"/>
  <c r="M135" i="11"/>
  <c r="L135" i="11"/>
  <c r="G135" i="11"/>
  <c r="M182" i="11"/>
  <c r="L182" i="11"/>
  <c r="K182" i="11"/>
  <c r="G182" i="11"/>
  <c r="I182" i="11"/>
  <c r="N182" i="11"/>
  <c r="L275" i="11"/>
  <c r="K275" i="11"/>
  <c r="N275" i="11"/>
  <c r="M275" i="11"/>
  <c r="I275" i="11"/>
  <c r="G275" i="11"/>
  <c r="L59" i="11"/>
  <c r="K59" i="11"/>
  <c r="N59" i="11"/>
  <c r="M59" i="11"/>
  <c r="I59" i="11"/>
  <c r="G59" i="11"/>
  <c r="L11" i="11"/>
  <c r="K11" i="11"/>
  <c r="N11" i="11"/>
  <c r="M11" i="11"/>
  <c r="I11" i="11"/>
  <c r="G11" i="11"/>
  <c r="L25" i="11"/>
  <c r="K25" i="11"/>
  <c r="M25" i="11"/>
  <c r="I25" i="11"/>
  <c r="G25" i="11"/>
  <c r="N25" i="11"/>
  <c r="M180" i="11"/>
  <c r="I180" i="11"/>
  <c r="G180" i="11"/>
  <c r="N180" i="11"/>
  <c r="L180" i="11"/>
  <c r="K180" i="11"/>
  <c r="K84" i="11"/>
  <c r="G84" i="11"/>
  <c r="N84" i="11"/>
  <c r="L84" i="11"/>
  <c r="I84" i="11"/>
  <c r="M84" i="11"/>
  <c r="K89" i="11"/>
  <c r="M89" i="11"/>
  <c r="L89" i="11"/>
  <c r="G89" i="11"/>
  <c r="I89" i="11"/>
  <c r="N89" i="11"/>
  <c r="L276" i="11"/>
  <c r="K276" i="11"/>
  <c r="M276" i="11"/>
  <c r="G276" i="11"/>
  <c r="N276" i="11"/>
  <c r="I276" i="11"/>
  <c r="N306" i="11"/>
  <c r="M306" i="11"/>
  <c r="L306" i="11"/>
  <c r="K306" i="11"/>
  <c r="G306" i="11"/>
  <c r="I306" i="11"/>
  <c r="N244" i="11"/>
  <c r="K244" i="11"/>
  <c r="I244" i="11"/>
  <c r="G244" i="11"/>
  <c r="M244" i="11"/>
  <c r="L244" i="11"/>
  <c r="K123" i="11"/>
  <c r="I123" i="11"/>
  <c r="N123" i="11"/>
  <c r="M123" i="11"/>
  <c r="L123" i="11"/>
  <c r="G123" i="11"/>
  <c r="K173" i="11"/>
  <c r="M173" i="11"/>
  <c r="L173" i="11"/>
  <c r="G173" i="11"/>
  <c r="N173" i="11"/>
  <c r="I173" i="11"/>
  <c r="L55" i="11"/>
  <c r="K55" i="11"/>
  <c r="N55" i="11"/>
  <c r="M55" i="11"/>
  <c r="I55" i="11"/>
  <c r="G55" i="11"/>
  <c r="K111" i="11"/>
  <c r="I111" i="11"/>
  <c r="G111" i="11"/>
  <c r="M111" i="11"/>
  <c r="L111" i="11"/>
  <c r="N111" i="11"/>
  <c r="K92" i="11"/>
  <c r="N92" i="11"/>
  <c r="M92" i="11"/>
  <c r="L92" i="11"/>
  <c r="I92" i="11"/>
  <c r="G92" i="11"/>
  <c r="L21" i="11"/>
  <c r="K21" i="11"/>
  <c r="M21" i="11"/>
  <c r="I21" i="11"/>
  <c r="G21" i="11"/>
  <c r="N21" i="11"/>
  <c r="K90" i="11"/>
  <c r="N90" i="11"/>
  <c r="M90" i="11"/>
  <c r="L90" i="11"/>
  <c r="I90" i="11"/>
  <c r="G90" i="11"/>
  <c r="N206" i="11"/>
  <c r="K206" i="11"/>
  <c r="L206" i="11"/>
  <c r="I206" i="11"/>
  <c r="G206" i="11"/>
  <c r="M206" i="11"/>
  <c r="N325" i="11"/>
  <c r="M325" i="11"/>
  <c r="L325" i="11"/>
  <c r="K325" i="11"/>
  <c r="I325" i="11"/>
  <c r="G325" i="11"/>
  <c r="L33" i="11"/>
  <c r="K33" i="11"/>
  <c r="M33" i="11"/>
  <c r="I33" i="11"/>
  <c r="G33" i="11"/>
  <c r="N33" i="11"/>
  <c r="M192" i="11"/>
  <c r="L192" i="11"/>
  <c r="K192" i="11"/>
  <c r="I192" i="11"/>
  <c r="G192" i="11"/>
  <c r="N192" i="11"/>
  <c r="L185" i="11"/>
  <c r="K185" i="11"/>
  <c r="I185" i="11"/>
  <c r="G185" i="11"/>
  <c r="N185" i="11"/>
  <c r="M185" i="11"/>
  <c r="M226" i="11"/>
  <c r="K226" i="11"/>
  <c r="I226" i="11"/>
  <c r="G226" i="11"/>
  <c r="N226" i="11"/>
  <c r="L226" i="11"/>
  <c r="M238" i="11"/>
  <c r="L238" i="11"/>
  <c r="K238" i="11"/>
  <c r="I238" i="11"/>
  <c r="G238" i="11"/>
  <c r="N238" i="11"/>
  <c r="N330" i="11"/>
  <c r="M330" i="11"/>
  <c r="L330" i="11"/>
  <c r="K330" i="11"/>
  <c r="G330" i="11"/>
  <c r="I330" i="11"/>
  <c r="K161" i="11"/>
  <c r="M161" i="11"/>
  <c r="L161" i="11"/>
  <c r="G161" i="11"/>
  <c r="N161" i="11"/>
  <c r="I161" i="11"/>
  <c r="L51" i="11"/>
  <c r="K51" i="11"/>
  <c r="N51" i="11"/>
  <c r="M51" i="11"/>
  <c r="I51" i="11"/>
  <c r="G51" i="11"/>
  <c r="K140" i="11"/>
  <c r="N140" i="11"/>
  <c r="I140" i="11"/>
  <c r="G140" i="11"/>
  <c r="M140" i="11"/>
  <c r="L140" i="11"/>
  <c r="K65" i="11"/>
  <c r="M65" i="11"/>
  <c r="L65" i="11"/>
  <c r="N65" i="11"/>
  <c r="I65" i="11"/>
  <c r="G65" i="11"/>
  <c r="L17" i="11"/>
  <c r="K17" i="11"/>
  <c r="M17" i="11"/>
  <c r="I17" i="11"/>
  <c r="G17" i="11"/>
  <c r="N17" i="11"/>
  <c r="L22" i="11"/>
  <c r="K22" i="11"/>
  <c r="N22" i="11"/>
  <c r="M22" i="11"/>
  <c r="G22" i="11"/>
  <c r="I22" i="11"/>
  <c r="L30" i="11"/>
  <c r="K30" i="11"/>
  <c r="N30" i="11"/>
  <c r="M30" i="11"/>
  <c r="G30" i="11"/>
  <c r="I30" i="11"/>
  <c r="K149" i="11"/>
  <c r="M149" i="11"/>
  <c r="L149" i="11"/>
  <c r="G149" i="11"/>
  <c r="N149" i="11"/>
  <c r="I149" i="11"/>
  <c r="L47" i="11"/>
  <c r="K47" i="11"/>
  <c r="N47" i="11"/>
  <c r="M47" i="11"/>
  <c r="I47" i="11"/>
  <c r="G47" i="11"/>
  <c r="I194" i="11"/>
  <c r="G194" i="11"/>
  <c r="N194" i="11"/>
  <c r="M194" i="11"/>
  <c r="L194" i="11"/>
  <c r="K194" i="11"/>
  <c r="K128" i="11"/>
  <c r="N128" i="11"/>
  <c r="I128" i="11"/>
  <c r="M128" i="11"/>
  <c r="L128" i="11"/>
  <c r="G128" i="11"/>
  <c r="L61" i="11"/>
  <c r="K61" i="11"/>
  <c r="M61" i="11"/>
  <c r="I61" i="11"/>
  <c r="G61" i="11"/>
  <c r="N61" i="11"/>
  <c r="L13" i="11"/>
  <c r="K13" i="11"/>
  <c r="M13" i="11"/>
  <c r="I13" i="11"/>
  <c r="G13" i="11"/>
  <c r="N13" i="11"/>
  <c r="K168" i="11"/>
  <c r="G168" i="11"/>
  <c r="N168" i="11"/>
  <c r="M168" i="11"/>
  <c r="L168" i="11"/>
  <c r="I168" i="11"/>
  <c r="L214" i="11"/>
  <c r="K214" i="11"/>
  <c r="N214" i="11"/>
  <c r="M214" i="11"/>
  <c r="I214" i="11"/>
  <c r="G214" i="11"/>
  <c r="K5" i="11"/>
  <c r="N5" i="11"/>
  <c r="L5" i="11"/>
  <c r="I5" i="11"/>
  <c r="G5" i="11"/>
  <c r="M5" i="11"/>
  <c r="I199" i="11"/>
  <c r="G199" i="11"/>
  <c r="M199" i="11"/>
  <c r="L199" i="11"/>
  <c r="K199" i="11"/>
  <c r="N199" i="11"/>
  <c r="K171" i="11"/>
  <c r="I171" i="11"/>
  <c r="N171" i="11"/>
  <c r="M171" i="11"/>
  <c r="L171" i="11"/>
  <c r="G171" i="11"/>
  <c r="I211" i="11"/>
  <c r="G211" i="11"/>
  <c r="N211" i="11"/>
  <c r="M211" i="11"/>
  <c r="L211" i="11"/>
  <c r="K211" i="11"/>
  <c r="L19" i="11"/>
  <c r="K19" i="11"/>
  <c r="N19" i="11"/>
  <c r="M19" i="11"/>
  <c r="I19" i="11"/>
  <c r="G19" i="11"/>
  <c r="L62" i="11"/>
  <c r="K62" i="11"/>
  <c r="N62" i="11"/>
  <c r="M62" i="11"/>
  <c r="G62" i="11"/>
  <c r="I62" i="11"/>
  <c r="N329" i="11"/>
  <c r="M329" i="11"/>
  <c r="L329" i="11"/>
  <c r="K329" i="11"/>
  <c r="G329" i="11"/>
  <c r="I329" i="11"/>
  <c r="N317" i="11"/>
  <c r="M317" i="11"/>
  <c r="L317" i="11"/>
  <c r="K317" i="11"/>
  <c r="G317" i="11"/>
  <c r="I317" i="11"/>
  <c r="G266" i="11"/>
  <c r="M266" i="11"/>
  <c r="L266" i="11"/>
  <c r="K266" i="11"/>
  <c r="N266" i="11"/>
  <c r="I266" i="11"/>
  <c r="N328" i="11"/>
  <c r="M328" i="11"/>
  <c r="L328" i="11"/>
  <c r="K328" i="11"/>
  <c r="I328" i="11"/>
  <c r="G328" i="11"/>
  <c r="N343" i="11"/>
  <c r="M343" i="11"/>
  <c r="L343" i="11"/>
  <c r="K343" i="11"/>
  <c r="I343" i="11"/>
  <c r="G343" i="11"/>
  <c r="N313" i="11"/>
  <c r="M313" i="11"/>
  <c r="L313" i="11"/>
  <c r="K313" i="11"/>
  <c r="I313" i="11"/>
  <c r="G313" i="11"/>
  <c r="N253" i="11"/>
  <c r="K253" i="11"/>
  <c r="I253" i="11"/>
  <c r="G253" i="11"/>
  <c r="M253" i="11"/>
  <c r="L253" i="11"/>
  <c r="N346" i="11"/>
  <c r="M346" i="11"/>
  <c r="L346" i="11"/>
  <c r="K346" i="11"/>
  <c r="I346" i="11"/>
  <c r="G346" i="11"/>
  <c r="N352" i="11"/>
  <c r="M352" i="11"/>
  <c r="L352" i="11"/>
  <c r="K352" i="11"/>
  <c r="I352" i="11"/>
  <c r="G352" i="11"/>
  <c r="G263" i="11"/>
  <c r="K263" i="11"/>
  <c r="I263" i="11"/>
  <c r="M263" i="11"/>
  <c r="L263" i="11"/>
  <c r="N263" i="11"/>
  <c r="K137" i="11"/>
  <c r="M137" i="11"/>
  <c r="L137" i="11"/>
  <c r="G137" i="11"/>
  <c r="N137" i="11"/>
  <c r="I137" i="11"/>
  <c r="I188" i="11"/>
  <c r="G188" i="11"/>
  <c r="N188" i="11"/>
  <c r="M188" i="11"/>
  <c r="L188" i="11"/>
  <c r="K188" i="11"/>
  <c r="L43" i="11"/>
  <c r="K43" i="11"/>
  <c r="N43" i="11"/>
  <c r="M43" i="11"/>
  <c r="I43" i="11"/>
  <c r="G43" i="11"/>
  <c r="K104" i="11"/>
  <c r="N104" i="11"/>
  <c r="M104" i="11"/>
  <c r="G104" i="11"/>
  <c r="I104" i="11"/>
  <c r="L104" i="11"/>
  <c r="K116" i="11"/>
  <c r="N116" i="11"/>
  <c r="I116" i="11"/>
  <c r="M116" i="11"/>
  <c r="L116" i="11"/>
  <c r="G116" i="11"/>
  <c r="L57" i="11"/>
  <c r="K57" i="11"/>
  <c r="M57" i="11"/>
  <c r="I57" i="11"/>
  <c r="G57" i="11"/>
  <c r="N57" i="11"/>
  <c r="L288" i="11"/>
  <c r="K288" i="11"/>
  <c r="N288" i="11"/>
  <c r="M288" i="11"/>
  <c r="G288" i="11"/>
  <c r="I288" i="11"/>
  <c r="K169" i="11"/>
  <c r="G169" i="11"/>
  <c r="N169" i="11"/>
  <c r="M169" i="11"/>
  <c r="L169" i="11"/>
  <c r="I169" i="11"/>
  <c r="N357" i="11"/>
  <c r="M357" i="11"/>
  <c r="L357" i="11"/>
  <c r="K357" i="11"/>
  <c r="I357" i="11"/>
  <c r="G357" i="11"/>
  <c r="N316" i="11"/>
  <c r="M316" i="11"/>
  <c r="L316" i="11"/>
  <c r="K316" i="11"/>
  <c r="I316" i="11"/>
  <c r="G316" i="11"/>
  <c r="N304" i="11"/>
  <c r="M304" i="11"/>
  <c r="L304" i="11"/>
  <c r="K304" i="11"/>
  <c r="I304" i="11"/>
  <c r="G304" i="11"/>
  <c r="L279" i="11"/>
  <c r="K279" i="11"/>
  <c r="G279" i="11"/>
  <c r="N279" i="11"/>
  <c r="M279" i="11"/>
  <c r="I279" i="11"/>
  <c r="L219" i="11"/>
  <c r="N219" i="11"/>
  <c r="M219" i="11"/>
  <c r="I219" i="11"/>
  <c r="G219" i="11"/>
  <c r="K219" i="11"/>
  <c r="G260" i="11"/>
  <c r="I260" i="11"/>
  <c r="N260" i="11"/>
  <c r="M260" i="11"/>
  <c r="L260" i="11"/>
  <c r="K260" i="11"/>
  <c r="N218" i="11"/>
  <c r="K218" i="11"/>
  <c r="L218" i="11"/>
  <c r="I218" i="11"/>
  <c r="G218" i="11"/>
  <c r="M218" i="11"/>
  <c r="G268" i="11"/>
  <c r="I268" i="11"/>
  <c r="M268" i="11"/>
  <c r="L268" i="11"/>
  <c r="K268" i="11"/>
  <c r="N268" i="11"/>
  <c r="K88" i="11"/>
  <c r="L88" i="11"/>
  <c r="I88" i="11"/>
  <c r="N88" i="11"/>
  <c r="M88" i="11"/>
  <c r="G88" i="11"/>
  <c r="L39" i="11"/>
  <c r="K39" i="11"/>
  <c r="N39" i="11"/>
  <c r="M39" i="11"/>
  <c r="I39" i="11"/>
  <c r="G39" i="11"/>
  <c r="L53" i="11"/>
  <c r="K53" i="11"/>
  <c r="M53" i="11"/>
  <c r="I53" i="11"/>
  <c r="G53" i="11"/>
  <c r="N53" i="11"/>
  <c r="L14" i="11"/>
  <c r="K14" i="11"/>
  <c r="N14" i="11"/>
  <c r="M14" i="11"/>
  <c r="G14" i="11"/>
  <c r="I14" i="11"/>
  <c r="N355" i="11"/>
  <c r="M355" i="11"/>
  <c r="L355" i="11"/>
  <c r="K355" i="11"/>
  <c r="I355" i="11"/>
  <c r="G355" i="11"/>
  <c r="L23" i="11"/>
  <c r="K23" i="11"/>
  <c r="N23" i="11"/>
  <c r="M23" i="11"/>
  <c r="I23" i="11"/>
  <c r="G23" i="11"/>
  <c r="K100" i="11"/>
  <c r="L100" i="11"/>
  <c r="I100" i="11"/>
  <c r="N100" i="11"/>
  <c r="M100" i="11"/>
  <c r="G100" i="11"/>
  <c r="M197" i="11"/>
  <c r="L197" i="11"/>
  <c r="K197" i="11"/>
  <c r="G197" i="11"/>
  <c r="N197" i="11"/>
  <c r="I197" i="11"/>
  <c r="L54" i="11"/>
  <c r="K54" i="11"/>
  <c r="N54" i="11"/>
  <c r="M54" i="11"/>
  <c r="G54" i="11"/>
  <c r="I54" i="11"/>
  <c r="N353" i="11"/>
  <c r="M353" i="11"/>
  <c r="L353" i="11"/>
  <c r="K353" i="11"/>
  <c r="I353" i="11"/>
  <c r="G353" i="11"/>
  <c r="N334" i="11"/>
  <c r="M334" i="11"/>
  <c r="L334" i="11"/>
  <c r="K334" i="11"/>
  <c r="I334" i="11"/>
  <c r="G334" i="11"/>
  <c r="N331" i="11"/>
  <c r="M331" i="11"/>
  <c r="L331" i="11"/>
  <c r="K331" i="11"/>
  <c r="I331" i="11"/>
  <c r="G331" i="11"/>
  <c r="N322" i="11"/>
  <c r="M322" i="11"/>
  <c r="L322" i="11"/>
  <c r="K322" i="11"/>
  <c r="I322" i="11"/>
  <c r="G322" i="11"/>
  <c r="L207" i="11"/>
  <c r="G207" i="11"/>
  <c r="N207" i="11"/>
  <c r="M207" i="11"/>
  <c r="K207" i="11"/>
  <c r="I207" i="11"/>
  <c r="N340" i="11"/>
  <c r="M340" i="11"/>
  <c r="L340" i="11"/>
  <c r="K340" i="11"/>
  <c r="I340" i="11"/>
  <c r="G340" i="11"/>
  <c r="L225" i="11"/>
  <c r="N225" i="11"/>
  <c r="M225" i="11"/>
  <c r="I225" i="11"/>
  <c r="K225" i="11"/>
  <c r="G225" i="11"/>
  <c r="L35" i="11"/>
  <c r="K35" i="11"/>
  <c r="N35" i="11"/>
  <c r="M35" i="11"/>
  <c r="I35" i="11"/>
  <c r="G35" i="11"/>
  <c r="L49" i="11"/>
  <c r="K49" i="11"/>
  <c r="M49" i="11"/>
  <c r="I49" i="11"/>
  <c r="G49" i="11"/>
  <c r="N49" i="11"/>
  <c r="G264" i="11"/>
  <c r="M264" i="11"/>
  <c r="L264" i="11"/>
  <c r="K264" i="11"/>
  <c r="I264" i="11"/>
  <c r="N264" i="11"/>
  <c r="L38" i="11"/>
  <c r="K38" i="11"/>
  <c r="N38" i="11"/>
  <c r="M38" i="11"/>
  <c r="G38" i="11"/>
  <c r="I38" i="11"/>
  <c r="K97" i="11"/>
  <c r="G97" i="11"/>
  <c r="N97" i="11"/>
  <c r="M97" i="11"/>
  <c r="L97" i="11"/>
  <c r="I97" i="11"/>
  <c r="G245" i="11"/>
  <c r="M245" i="11"/>
  <c r="K245" i="11"/>
  <c r="I245" i="11"/>
  <c r="N245" i="11"/>
  <c r="L245" i="11"/>
  <c r="N310" i="11"/>
  <c r="M310" i="11"/>
  <c r="L310" i="11"/>
  <c r="K310" i="11"/>
  <c r="I310" i="11"/>
  <c r="G310" i="11"/>
  <c r="G272" i="11"/>
  <c r="L272" i="11"/>
  <c r="M272" i="11"/>
  <c r="K272" i="11"/>
  <c r="N272" i="11"/>
  <c r="I272" i="11"/>
  <c r="L293" i="11"/>
  <c r="K293" i="11"/>
  <c r="N293" i="11"/>
  <c r="I293" i="11"/>
  <c r="G293" i="11"/>
  <c r="M293" i="11"/>
  <c r="N305" i="11"/>
  <c r="M305" i="11"/>
  <c r="L305" i="11"/>
  <c r="K305" i="11"/>
  <c r="G305" i="11"/>
  <c r="I305" i="11"/>
  <c r="M241" i="11"/>
  <c r="L241" i="11"/>
  <c r="K241" i="11"/>
  <c r="G241" i="11"/>
  <c r="N241" i="11"/>
  <c r="I241" i="11"/>
  <c r="K195" i="11"/>
  <c r="I195" i="11"/>
  <c r="G195" i="11"/>
  <c r="N195" i="11"/>
  <c r="M195" i="11"/>
  <c r="L195" i="11"/>
  <c r="N216" i="11"/>
  <c r="M216" i="11"/>
  <c r="L216" i="11"/>
  <c r="I216" i="11"/>
  <c r="K216" i="11"/>
  <c r="G216" i="11"/>
  <c r="L31" i="11"/>
  <c r="K31" i="11"/>
  <c r="N31" i="11"/>
  <c r="M31" i="11"/>
  <c r="I31" i="11"/>
  <c r="G31" i="11"/>
  <c r="K176" i="11"/>
  <c r="N176" i="11"/>
  <c r="I176" i="11"/>
  <c r="G176" i="11"/>
  <c r="M176" i="11"/>
  <c r="L176" i="11"/>
  <c r="L45" i="11"/>
  <c r="K45" i="11"/>
  <c r="M45" i="11"/>
  <c r="I45" i="11"/>
  <c r="G45" i="11"/>
  <c r="N45" i="11"/>
  <c r="K157" i="11"/>
  <c r="G157" i="11"/>
  <c r="N157" i="11"/>
  <c r="M157" i="11"/>
  <c r="L157" i="11"/>
  <c r="I157" i="11"/>
  <c r="K164" i="11"/>
  <c r="N164" i="11"/>
  <c r="I164" i="11"/>
  <c r="G164" i="11"/>
  <c r="M164" i="11"/>
  <c r="L164" i="11"/>
  <c r="L46" i="11"/>
  <c r="K46" i="11"/>
  <c r="N46" i="11"/>
  <c r="M46" i="11"/>
  <c r="G46" i="11"/>
  <c r="I46" i="11"/>
  <c r="N351" i="11"/>
  <c r="M351" i="11"/>
  <c r="L351" i="11"/>
  <c r="K351" i="11"/>
  <c r="I351" i="11"/>
  <c r="G351" i="11"/>
  <c r="K73" i="11"/>
  <c r="G73" i="11"/>
  <c r="N73" i="11"/>
  <c r="M73" i="11"/>
  <c r="L73" i="11"/>
  <c r="I73" i="11"/>
  <c r="K163" i="11"/>
  <c r="N163" i="11"/>
  <c r="M163" i="11"/>
  <c r="I163" i="11"/>
  <c r="G163" i="11"/>
  <c r="L163" i="11"/>
  <c r="N298" i="11"/>
  <c r="M298" i="11"/>
  <c r="L298" i="11"/>
  <c r="K298" i="11"/>
  <c r="I298" i="11"/>
  <c r="G298" i="11"/>
  <c r="N341" i="11"/>
  <c r="M341" i="11"/>
  <c r="L341" i="11"/>
  <c r="K341" i="11"/>
  <c r="G341" i="11"/>
  <c r="I341" i="11"/>
  <c r="I229" i="11"/>
  <c r="G229" i="11"/>
  <c r="N229" i="11"/>
  <c r="K229" i="11"/>
  <c r="L229" i="11"/>
  <c r="M229" i="11"/>
  <c r="N181" i="11"/>
  <c r="K181" i="11"/>
  <c r="I181" i="11"/>
  <c r="G181" i="11"/>
  <c r="M181" i="11"/>
  <c r="L181" i="11"/>
  <c r="L202" i="11"/>
  <c r="K202" i="11"/>
  <c r="N202" i="11"/>
  <c r="M202" i="11"/>
  <c r="G202" i="11"/>
  <c r="I202" i="11"/>
  <c r="M203" i="11"/>
  <c r="L203" i="11"/>
  <c r="G203" i="11"/>
  <c r="N203" i="11"/>
  <c r="K203" i="11"/>
  <c r="I203" i="11"/>
  <c r="L27" i="11"/>
  <c r="K27" i="11"/>
  <c r="N27" i="11"/>
  <c r="M27" i="11"/>
  <c r="I27" i="11"/>
  <c r="G27" i="11"/>
  <c r="N183" i="11"/>
  <c r="M183" i="11"/>
  <c r="I183" i="11"/>
  <c r="G183" i="11"/>
  <c r="K183" i="11"/>
  <c r="L183" i="11"/>
  <c r="K133" i="11"/>
  <c r="G133" i="11"/>
  <c r="N133" i="11"/>
  <c r="L133" i="11"/>
  <c r="I133" i="11"/>
  <c r="M133" i="11"/>
  <c r="L41" i="11"/>
  <c r="K41" i="11"/>
  <c r="M41" i="11"/>
  <c r="I41" i="11"/>
  <c r="G41" i="11"/>
  <c r="N41" i="11"/>
  <c r="K125" i="11"/>
  <c r="M125" i="11"/>
  <c r="L125" i="11"/>
  <c r="G125" i="11"/>
  <c r="N125" i="11"/>
  <c r="I125" i="11"/>
</calcChain>
</file>

<file path=xl/sharedStrings.xml><?xml version="1.0" encoding="utf-8"?>
<sst xmlns="http://schemas.openxmlformats.org/spreadsheetml/2006/main" count="38070" uniqueCount="17438">
  <si>
    <t>URL</t>
  </si>
  <si>
    <t>https://www.ncbi.nlm.nih.gov/datasets/genome/GCF_002901165.3/</t>
  </si>
  <si>
    <t>NCBI RefSeq assembly</t>
  </si>
  <si>
    <t>GCF_002901165.3</t>
  </si>
  <si>
    <t>BioSample ID</t>
  </si>
  <si>
    <r>
      <rPr>
        <u/>
        <sz val="10"/>
        <color rgb="FF1155CC"/>
        <rFont val="Arial"/>
        <family val="2"/>
      </rPr>
      <t>SAMN07445234</t>
    </r>
  </si>
  <si>
    <t>Sample name</t>
  </si>
  <si>
    <t>Assembly number</t>
  </si>
  <si>
    <t>ASM290116v3</t>
  </si>
  <si>
    <t>Chromosome ref seq</t>
  </si>
  <si>
    <r>
      <rPr>
        <u/>
        <sz val="10"/>
        <color rgb="FF1155CC"/>
        <rFont val="Arial"/>
        <family val="2"/>
        <scheme val="minor"/>
      </rPr>
      <t>NZ_CP167253.</t>
    </r>
    <r>
      <rPr>
        <sz val="10"/>
        <rFont val="Arial"/>
        <family val="2"/>
        <scheme val="minor"/>
      </rPr>
      <t>1</t>
    </r>
  </si>
  <si>
    <t>Ref Seq</t>
  </si>
  <si>
    <t>GenBank</t>
  </si>
  <si>
    <t>Genome Size</t>
  </si>
  <si>
    <t>3.1 Mb</t>
  </si>
  <si>
    <t>Total ungapped length</t>
  </si>
  <si>
    <t>Number of chromosomes</t>
  </si>
  <si>
    <t>Number of scaffolds</t>
  </si>
  <si>
    <t>Scaffold N50</t>
  </si>
  <si>
    <t>3 Mb</t>
  </si>
  <si>
    <t>Scaffold L50</t>
  </si>
  <si>
    <t>Number of contigs</t>
  </si>
  <si>
    <t>Contig N50</t>
  </si>
  <si>
    <t>Contig L50</t>
  </si>
  <si>
    <t>GC percent</t>
  </si>
  <si>
    <t>Assembly level</t>
  </si>
  <si>
    <t>Complete Genome</t>
  </si>
  <si>
    <t>Genes</t>
  </si>
  <si>
    <t>Protein-coding</t>
  </si>
  <si>
    <t>Chromosome</t>
  </si>
  <si>
    <r>
      <rPr>
        <u/>
        <sz val="10"/>
        <color rgb="FF1155CC"/>
        <rFont val="Arial"/>
        <family val="2"/>
      </rPr>
      <t>CP167253.1</t>
    </r>
  </si>
  <si>
    <r>
      <rPr>
        <u/>
        <sz val="10"/>
        <color rgb="FF1155CC"/>
        <rFont val="Arial"/>
        <family val="2"/>
      </rPr>
      <t>NZ_CP167253.1</t>
    </r>
  </si>
  <si>
    <t>CheckM analysis</t>
  </si>
  <si>
    <t>Completeness</t>
  </si>
  <si>
    <t>Contamination</t>
  </si>
  <si>
    <t>Accession</t>
  </si>
  <si>
    <t>Begin</t>
  </si>
  <si>
    <t>End</t>
  </si>
  <si>
    <t>Orientation</t>
  </si>
  <si>
    <t>Name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</si>
  <si>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</si>
  <si>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</si>
  <si>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</si>
  <si>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</si>
  <si>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</si>
  <si>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</si>
  <si>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</si>
  <si>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</si>
  <si>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</si>
  <si>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NZ_CP167253.1</t>
  </si>
  <si>
    <t>plus</t>
  </si>
  <si>
    <t>GNAT family N-acetyltransferase</t>
  </si>
  <si>
    <t>protein-coding</t>
  </si>
  <si>
    <t>WP_003569672.1</t>
  </si>
  <si>
    <t>CIL07_RS00010</t>
  </si>
  <si>
    <t>minus</t>
  </si>
  <si>
    <t>hypothetical protein</t>
  </si>
  <si>
    <t>WP_003604749.1</t>
  </si>
  <si>
    <t>CIL07_RS00015</t>
  </si>
  <si>
    <t>Cof-type HAD-IIB family hydrolase</t>
  </si>
  <si>
    <t>WP_022671521.1</t>
  </si>
  <si>
    <t>CIL07_RS00020</t>
  </si>
  <si>
    <t>uracil-DNA glycosylase</t>
  </si>
  <si>
    <t>WP_003564334.1</t>
  </si>
  <si>
    <t>CIL07_RS00025</t>
  </si>
  <si>
    <t>phosphate acetyltransferase</t>
  </si>
  <si>
    <t>pta</t>
  </si>
  <si>
    <t>WP_003574311.1</t>
  </si>
  <si>
    <t>CIL07_RS00030</t>
  </si>
  <si>
    <t>tRNA (adenosine(37)-N6)-threonylcarbamoyltransferase complex ATPase subunit type 1 TsaE</t>
  </si>
  <si>
    <t>tsaE</t>
  </si>
  <si>
    <t>WP_003569677.1</t>
  </si>
  <si>
    <t>CIL07_RS00035</t>
  </si>
  <si>
    <t>ABC transporter ATP-binding protein</t>
  </si>
  <si>
    <t>WP_003604759.1</t>
  </si>
  <si>
    <t>CIL07_RS00040</t>
  </si>
  <si>
    <t>ABC transporter permease</t>
  </si>
  <si>
    <t>WP_003604761.1</t>
  </si>
  <si>
    <t>CIL07_RS00045</t>
  </si>
  <si>
    <t>3'-5' exonuclease</t>
  </si>
  <si>
    <t>WP_003604763.1</t>
  </si>
  <si>
    <t>CIL07_RS00050</t>
  </si>
  <si>
    <t>exodeoxyribonuclease III</t>
  </si>
  <si>
    <t>WP_003604765.1</t>
  </si>
  <si>
    <t>CIL07_RS00055</t>
  </si>
  <si>
    <t>UDP-N-acetylmuramate dehydrogenase</t>
  </si>
  <si>
    <t>murB</t>
  </si>
  <si>
    <t>WP_280944446.1</t>
  </si>
  <si>
    <t>CIL07_RS00060</t>
  </si>
  <si>
    <t>sodium:proton antiporter</t>
  </si>
  <si>
    <t>WP_003604768.1</t>
  </si>
  <si>
    <t>CIL07_RS00065</t>
  </si>
  <si>
    <t>helix-turn-helix domain-containing protein</t>
  </si>
  <si>
    <t>WP_003564356.1</t>
  </si>
  <si>
    <t>CIL07_RS00070</t>
  </si>
  <si>
    <t>WP_003564358.1</t>
  </si>
  <si>
    <t>CIL07_RS00075</t>
  </si>
  <si>
    <t>WP_003564360.1</t>
  </si>
  <si>
    <t>CIL07_RS00080</t>
  </si>
  <si>
    <t>WP_003564363.1</t>
  </si>
  <si>
    <t>CIL07_RS00085</t>
  </si>
  <si>
    <t>PotD/PotF family extracellular solute-binding protein</t>
  </si>
  <si>
    <t>WP_003569694.1</t>
  </si>
  <si>
    <t>CIL07_RS00090</t>
  </si>
  <si>
    <t>WP_003564368.1</t>
  </si>
  <si>
    <t>CIL07_RS00095</t>
  </si>
  <si>
    <t>WP_003604771.1</t>
  </si>
  <si>
    <t>CIL07_RS00100</t>
  </si>
  <si>
    <t>cation-transporting P-type ATPase</t>
  </si>
  <si>
    <t>WP_100908458.1</t>
  </si>
  <si>
    <t>CIL07_RS00105</t>
  </si>
  <si>
    <t>TetR/AcrR family transcriptional regulator</t>
  </si>
  <si>
    <t>WP_003574317.1</t>
  </si>
  <si>
    <t>CIL07_RS00110</t>
  </si>
  <si>
    <t>WP_003604776.1</t>
  </si>
  <si>
    <t>CIL07_RS00115</t>
  </si>
  <si>
    <t>WP_103213701.1</t>
  </si>
  <si>
    <t>CIL07_RS00120</t>
  </si>
  <si>
    <t>diadenylate cyclase CdaA</t>
  </si>
  <si>
    <t>cdaA</t>
  </si>
  <si>
    <t>WP_003564381.1</t>
  </si>
  <si>
    <t>CIL07_RS00125</t>
  </si>
  <si>
    <t>YbbR-like domain-containing protein</t>
  </si>
  <si>
    <t>WP_016369746.1</t>
  </si>
  <si>
    <t>CIL07_RS00130</t>
  </si>
  <si>
    <t>phosphoglucosamine mutase</t>
  </si>
  <si>
    <t>glmM</t>
  </si>
  <si>
    <t>WP_003564385.1</t>
  </si>
  <si>
    <t>CIL07_RS00135</t>
  </si>
  <si>
    <t>glutamine--fructose-6-phosphate transaminase (isomerizing)</t>
  </si>
  <si>
    <t>glmS</t>
  </si>
  <si>
    <t>WP_003604780.1</t>
  </si>
  <si>
    <t>CIL07_RS00140</t>
  </si>
  <si>
    <t>WP_003658460.1</t>
  </si>
  <si>
    <t>CIL07_RS00145</t>
  </si>
  <si>
    <t>M3 family oligoendopeptidase</t>
  </si>
  <si>
    <t>WP_100908459.1</t>
  </si>
  <si>
    <t>CIL07_RS00150</t>
  </si>
  <si>
    <t>VanZ family protein</t>
  </si>
  <si>
    <t>WP_003564394.1</t>
  </si>
  <si>
    <t>CIL07_RS00155</t>
  </si>
  <si>
    <t>YebC/PmpR family DNA-binding transcriptional regulator</t>
  </si>
  <si>
    <t>WP_003564397.1</t>
  </si>
  <si>
    <t>CIL07_RS00160</t>
  </si>
  <si>
    <t>ATPase, T2SS/T4P/T4SS family</t>
  </si>
  <si>
    <t>WP_103213702.1</t>
  </si>
  <si>
    <t>CIL07_RS00165</t>
  </si>
  <si>
    <t>type II secretion system F family protein</t>
  </si>
  <si>
    <t>WP_003604782.1</t>
  </si>
  <si>
    <t>CIL07_RS00170</t>
  </si>
  <si>
    <t>type II secretion system protein</t>
  </si>
  <si>
    <t>WP_103213703.1</t>
  </si>
  <si>
    <t>CIL07_RS00175</t>
  </si>
  <si>
    <t>WP_003564404.1</t>
  </si>
  <si>
    <t>CIL07_RS00180</t>
  </si>
  <si>
    <t>WP_003594020.1</t>
  </si>
  <si>
    <t>CIL07_RS00185</t>
  </si>
  <si>
    <t>WP_103213704.1</t>
  </si>
  <si>
    <t>CIL07_RS00190</t>
  </si>
  <si>
    <t>WP_003604784.1</t>
  </si>
  <si>
    <t>CIL07_RS00195</t>
  </si>
  <si>
    <t>class I SAM-dependent methyltransferase</t>
  </si>
  <si>
    <t>WP_003564412.1</t>
  </si>
  <si>
    <t>CIL07_RS00200</t>
  </si>
  <si>
    <t>WP_003604785.1</t>
  </si>
  <si>
    <t>CIL07_RS00205</t>
  </si>
  <si>
    <t>amino acid permease</t>
  </si>
  <si>
    <t>WP_003564416.1</t>
  </si>
  <si>
    <t>CIL07_RS00210</t>
  </si>
  <si>
    <t>1-acyl-sn-glycerol-3-phosphate acyltransferase</t>
  </si>
  <si>
    <t>WP_003564418.1</t>
  </si>
  <si>
    <t>CIL07_RS00215</t>
  </si>
  <si>
    <t>glycosyltransferase family 8 protein</t>
  </si>
  <si>
    <t>WP_003564420.1</t>
  </si>
  <si>
    <t>CIL07_RS00220</t>
  </si>
  <si>
    <t>WP_003604790.1</t>
  </si>
  <si>
    <t>CIL07_RS00225</t>
  </si>
  <si>
    <t>lysophospholipid acyltransferase family protein</t>
  </si>
  <si>
    <t>WP_003564424.1</t>
  </si>
  <si>
    <t>CIL07_RS00230</t>
  </si>
  <si>
    <t>alpha-galactosidase</t>
  </si>
  <si>
    <t>WP_103213705.1</t>
  </si>
  <si>
    <t>CIL07_RS00235</t>
  </si>
  <si>
    <t>WP_003564429.1</t>
  </si>
  <si>
    <t>CIL07_RS00240</t>
  </si>
  <si>
    <t>WP_003569727.1</t>
  </si>
  <si>
    <t>CIL07_RS00245</t>
  </si>
  <si>
    <t>transfer-messenger RNA</t>
  </si>
  <si>
    <t>ssrA</t>
  </si>
  <si>
    <t>other</t>
  </si>
  <si>
    <t>CIL07_RS00250</t>
  </si>
  <si>
    <t>SdpI family protein</t>
  </si>
  <si>
    <t>WP_003564434.1</t>
  </si>
  <si>
    <t>CIL07_RS00255</t>
  </si>
  <si>
    <t>response regulator transcription factor</t>
  </si>
  <si>
    <t>WP_003564436.1</t>
  </si>
  <si>
    <t>CIL07_RS00260</t>
  </si>
  <si>
    <t>cell wall metabolism sensor histidine kinase WalK</t>
  </si>
  <si>
    <t>WP_103213706.1</t>
  </si>
  <si>
    <t>CIL07_RS00265</t>
  </si>
  <si>
    <t>WP_003604818.1</t>
  </si>
  <si>
    <t>CIL07_RS00270</t>
  </si>
  <si>
    <t>WP_003578542.1</t>
  </si>
  <si>
    <t>CIL07_RS00275</t>
  </si>
  <si>
    <t>ACT domain-containing protein</t>
  </si>
  <si>
    <t>WP_003578545.1</t>
  </si>
  <si>
    <t>CIL07_RS00280</t>
  </si>
  <si>
    <t>WP_003564448.1</t>
  </si>
  <si>
    <t>CIL07_RS00285</t>
  </si>
  <si>
    <t>WP_003574405.1</t>
  </si>
  <si>
    <t>CIL07_RS00290</t>
  </si>
  <si>
    <t>Y-family DNA polymerase</t>
  </si>
  <si>
    <t>WP_003564452.1</t>
  </si>
  <si>
    <t>CIL07_RS00295</t>
  </si>
  <si>
    <t>WP_003564455.1</t>
  </si>
  <si>
    <t>CIL07_RS00300</t>
  </si>
  <si>
    <t>zinc-ribbon domain-containing protein</t>
  </si>
  <si>
    <t>WP_003598265.1</t>
  </si>
  <si>
    <t>CIL07_RS00305</t>
  </si>
  <si>
    <t>SGNH/GDSL hydrolase family protein</t>
  </si>
  <si>
    <t>WP_003604822.1</t>
  </si>
  <si>
    <t>CIL07_RS00310</t>
  </si>
  <si>
    <t>DUF898 family protein</t>
  </si>
  <si>
    <t>WP_003564461.1</t>
  </si>
  <si>
    <t>CIL07_RS00315</t>
  </si>
  <si>
    <t>DNA helicase PcrA</t>
  </si>
  <si>
    <t>pcrA</t>
  </si>
  <si>
    <t>WP_003604825.1</t>
  </si>
  <si>
    <t>CIL07_RS00320</t>
  </si>
  <si>
    <t>NAD-dependent DNA ligase LigA</t>
  </si>
  <si>
    <t>ligA</t>
  </si>
  <si>
    <t>WP_003604827.1</t>
  </si>
  <si>
    <t>CIL07_RS00325</t>
  </si>
  <si>
    <t>CamS family sex pheromone protein</t>
  </si>
  <si>
    <t>WP_003604828.1</t>
  </si>
  <si>
    <t>CIL07_RS00330</t>
  </si>
  <si>
    <t>Asp-tRNA(Asn)/Glu-tRNA(Gln) amidotransferase subunit GatC</t>
  </si>
  <si>
    <t>gatC</t>
  </si>
  <si>
    <t>WP_003564470.1</t>
  </si>
  <si>
    <t>CIL07_RS00335</t>
  </si>
  <si>
    <t>Asp-tRNA(Asn)/Glu-tRNA(Gln) amidotransferase subunit GatA</t>
  </si>
  <si>
    <t>gatA</t>
  </si>
  <si>
    <t>WP_003569751.1</t>
  </si>
  <si>
    <t>CIL07_RS00340</t>
  </si>
  <si>
    <t>Asp-tRNA(Asn)/Glu-tRNA(Gln) amidotransferase subunit GatB</t>
  </si>
  <si>
    <t>gatB</t>
  </si>
  <si>
    <t>WP_003578560.1</t>
  </si>
  <si>
    <t>CIL07_RS00345</t>
  </si>
  <si>
    <t>diacylglycerol kinase</t>
  </si>
  <si>
    <t>WP_003564476.1</t>
  </si>
  <si>
    <t>CIL07_RS00350</t>
  </si>
  <si>
    <t>23S rRNA (uracil(1939)-C(5))-methyltransferase RlmD</t>
  </si>
  <si>
    <t>rlmD</t>
  </si>
  <si>
    <t>WP_022671526.1</t>
  </si>
  <si>
    <t>CIL07_RS00355</t>
  </si>
  <si>
    <t>MFS transporter</t>
  </si>
  <si>
    <t>WP_016377111.1</t>
  </si>
  <si>
    <t>CIL07_RS00360</t>
  </si>
  <si>
    <t>WP_022671528.1</t>
  </si>
  <si>
    <t>CIL07_RS00365</t>
  </si>
  <si>
    <t>PPK2 family polyphosphate kinase</t>
  </si>
  <si>
    <t>WP_003604831.1</t>
  </si>
  <si>
    <t>CIL07_RS00370</t>
  </si>
  <si>
    <t>M13 family metallopeptidase</t>
  </si>
  <si>
    <t>WP_100908461.1</t>
  </si>
  <si>
    <t>CIL07_RS00375</t>
  </si>
  <si>
    <t>WP_103213707.1</t>
  </si>
  <si>
    <t>CIL07_RS00380</t>
  </si>
  <si>
    <t>WP_003604834.1</t>
  </si>
  <si>
    <t>CIL07_RS00385</t>
  </si>
  <si>
    <t>DegV family protein</t>
  </si>
  <si>
    <t>WP_003569778.1</t>
  </si>
  <si>
    <t>CIL07_RS00390</t>
  </si>
  <si>
    <t>SPFH domain-containing protein</t>
  </si>
  <si>
    <t>WP_003564495.1</t>
  </si>
  <si>
    <t>CIL07_RS00395</t>
  </si>
  <si>
    <t>WP_003564497.1</t>
  </si>
  <si>
    <t>CIL07_RS00400</t>
  </si>
  <si>
    <t>GH25 family lysozyme</t>
  </si>
  <si>
    <t>WP_003604835.1</t>
  </si>
  <si>
    <t>CIL07_RS00405</t>
  </si>
  <si>
    <t>YxeA family protein</t>
  </si>
  <si>
    <t>WP_003564501.1</t>
  </si>
  <si>
    <t>CIL07_RS00410</t>
  </si>
  <si>
    <t>WP_080596944.1</t>
  </si>
  <si>
    <t>CIL07_RS00415</t>
  </si>
  <si>
    <t>DUF4828 domain-containing protein</t>
  </si>
  <si>
    <t>WP_003564504.1</t>
  </si>
  <si>
    <t>CIL07_RS00420</t>
  </si>
  <si>
    <t>Gfo/Idh/MocA family protein</t>
  </si>
  <si>
    <t>WP_103213708.1</t>
  </si>
  <si>
    <t>CIL07_RS00425</t>
  </si>
  <si>
    <t>DEAD/DEAH box helicase</t>
  </si>
  <si>
    <t>WP_003569785.1</t>
  </si>
  <si>
    <t>CIL07_RS00430</t>
  </si>
  <si>
    <t>PTS lactose/cellobiose transporter subunit IIA</t>
  </si>
  <si>
    <t>WP_003569787.1</t>
  </si>
  <si>
    <t>CIL07_RS00435</t>
  </si>
  <si>
    <t>DUF3284 domain-containing protein</t>
  </si>
  <si>
    <t>WP_003564512.1</t>
  </si>
  <si>
    <t>CIL07_RS00440</t>
  </si>
  <si>
    <t>tRNA-Arg</t>
  </si>
  <si>
    <t>tRNA</t>
  </si>
  <si>
    <t>CIL07_RS00445</t>
  </si>
  <si>
    <t>WP_100908462.1</t>
  </si>
  <si>
    <t>CIL07_RS00450</t>
  </si>
  <si>
    <t>DNA helicase RecQ</t>
  </si>
  <si>
    <t>recQ</t>
  </si>
  <si>
    <t>WP_103213709.1</t>
  </si>
  <si>
    <t>CIL07_RS00455</t>
  </si>
  <si>
    <t>aminopeptidase</t>
  </si>
  <si>
    <t>WP_103213710.1</t>
  </si>
  <si>
    <t>CIL07_RS00460</t>
  </si>
  <si>
    <t>WP_103213711.1</t>
  </si>
  <si>
    <t>CIL07_RS00465</t>
  </si>
  <si>
    <t>DUF2252 domain-containing protein</t>
  </si>
  <si>
    <t>WP_103213712.1</t>
  </si>
  <si>
    <t>CIL07_RS00470</t>
  </si>
  <si>
    <t>YihY/virulence factor BrkB family protein</t>
  </si>
  <si>
    <t>WP_003569796.1</t>
  </si>
  <si>
    <t>CIL07_RS00475</t>
  </si>
  <si>
    <t>flavodoxin</t>
  </si>
  <si>
    <t>WP_100908463.1</t>
  </si>
  <si>
    <t>CIL07_RS00480</t>
  </si>
  <si>
    <t>type I methionyl aminopeptidase</t>
  </si>
  <si>
    <t>map</t>
  </si>
  <si>
    <t>WP_003564528.1</t>
  </si>
  <si>
    <t>CIL07_RS00485</t>
  </si>
  <si>
    <t>glycosyltransferase family 2 protein</t>
  </si>
  <si>
    <t>WP_103213713.1</t>
  </si>
  <si>
    <t>CIL07_RS00490</t>
  </si>
  <si>
    <t>DUF2922 domain-containing protein</t>
  </si>
  <si>
    <t>WP_003564532.1</t>
  </si>
  <si>
    <t>CIL07_RS00495</t>
  </si>
  <si>
    <t>WP_003564534.1</t>
  </si>
  <si>
    <t>CIL07_RS00500</t>
  </si>
  <si>
    <t>phosphomevalonate kinase</t>
  </si>
  <si>
    <t>WP_003569800.1</t>
  </si>
  <si>
    <t>CIL07_RS00505</t>
  </si>
  <si>
    <t>UTP--glucose-1-phosphate uridylyltransferase GalU</t>
  </si>
  <si>
    <t>galU</t>
  </si>
  <si>
    <t>WP_003564538.1</t>
  </si>
  <si>
    <t>CIL07_RS00510</t>
  </si>
  <si>
    <t>WP_004559802.1</t>
  </si>
  <si>
    <t>CIL07_RS00515</t>
  </si>
  <si>
    <t>uncharacterized gene</t>
  </si>
  <si>
    <t>pseudogene</t>
  </si>
  <si>
    <t>CIL07_RS00520</t>
  </si>
  <si>
    <t>IS3 family transposase</t>
  </si>
  <si>
    <t>WP_372487196.1</t>
  </si>
  <si>
    <t>CIL07_RS00525</t>
  </si>
  <si>
    <t>transposase</t>
  </si>
  <si>
    <t>WP_150204046.1</t>
  </si>
  <si>
    <t>CIL07_RS00530</t>
  </si>
  <si>
    <t>YfhO family protein</t>
  </si>
  <si>
    <t>WP_003604900.1</t>
  </si>
  <si>
    <t>CIL07_RS00535</t>
  </si>
  <si>
    <t>WP_003604901.1</t>
  </si>
  <si>
    <t>CIL07_RS00540</t>
  </si>
  <si>
    <t>WP_003604902.1</t>
  </si>
  <si>
    <t>CIL07_RS00545</t>
  </si>
  <si>
    <t>YkyA family protein</t>
  </si>
  <si>
    <t>WP_003604903.1</t>
  </si>
  <si>
    <t>CIL07_RS00550</t>
  </si>
  <si>
    <t>aromatic acid exporter family protein</t>
  </si>
  <si>
    <t>WP_003566523.1</t>
  </si>
  <si>
    <t>CIL07_RS00555</t>
  </si>
  <si>
    <t>type II toxin-antitoxin system PemI/MazE family antitoxin</t>
  </si>
  <si>
    <t>mazE</t>
  </si>
  <si>
    <t>WP_003574500.1</t>
  </si>
  <si>
    <t>CIL07_RS00560</t>
  </si>
  <si>
    <t>cold-shock protein</t>
  </si>
  <si>
    <t>WP_003566521.1</t>
  </si>
  <si>
    <t>CIL07_RS00565</t>
  </si>
  <si>
    <t>WP_003566519.1</t>
  </si>
  <si>
    <t>CIL07_RS00570</t>
  </si>
  <si>
    <t>glycoside hydrolase family 73 protein</t>
  </si>
  <si>
    <t>WP_003661214.1</t>
  </si>
  <si>
    <t>CIL07_RS00575</t>
  </si>
  <si>
    <t>xanthine phosphoribosyltransferase</t>
  </si>
  <si>
    <t>WP_003566514.1</t>
  </si>
  <si>
    <t>CIL07_RS00580</t>
  </si>
  <si>
    <t>nucleobase:cation symporter-2 family protein</t>
  </si>
  <si>
    <t>WP_003566511.1</t>
  </si>
  <si>
    <t>CIL07_RS00585</t>
  </si>
  <si>
    <t>ATP-grasp domain-containing protein</t>
  </si>
  <si>
    <t>WP_103213715.1</t>
  </si>
  <si>
    <t>CIL07_RS00590</t>
  </si>
  <si>
    <t>adenylosuccinate lyase</t>
  </si>
  <si>
    <t>purB</t>
  </si>
  <si>
    <t>WP_003566506.1</t>
  </si>
  <si>
    <t>CIL07_RS00595</t>
  </si>
  <si>
    <t>branched-chain amino acid ABC transporter ATP-binding protein</t>
  </si>
  <si>
    <t>WP_003566504.1</t>
  </si>
  <si>
    <t>CIL07_RS00600</t>
  </si>
  <si>
    <t>WP_003566502.1</t>
  </si>
  <si>
    <t>CIL07_RS00605</t>
  </si>
  <si>
    <t>LTA synthase family protein</t>
  </si>
  <si>
    <t>WP_003578622.1</t>
  </si>
  <si>
    <t>CIL07_RS00610</t>
  </si>
  <si>
    <t>WP_003604904.1</t>
  </si>
  <si>
    <t>CIL07_RS00615</t>
  </si>
  <si>
    <t>GRP family sugar transporter</t>
  </si>
  <si>
    <t>WP_003604906.1</t>
  </si>
  <si>
    <t>CIL07_RS00620</t>
  </si>
  <si>
    <t>glucose-6-phosphate isomerase</t>
  </si>
  <si>
    <t>WP_003566494.1</t>
  </si>
  <si>
    <t>CIL07_RS00625</t>
  </si>
  <si>
    <t>DUF1828 domain-containing protein</t>
  </si>
  <si>
    <t>WP_003604908.1</t>
  </si>
  <si>
    <t>CIL07_RS00630</t>
  </si>
  <si>
    <t>putative quinol monooxygenase</t>
  </si>
  <si>
    <t>WP_003604910.1</t>
  </si>
  <si>
    <t>CIL07_RS00635</t>
  </si>
  <si>
    <t>WP_003604912.1</t>
  </si>
  <si>
    <t>CIL07_RS00640</t>
  </si>
  <si>
    <t>DNA/RNA non-specific endonuclease</t>
  </si>
  <si>
    <t>WP_003564895.1</t>
  </si>
  <si>
    <t>CIL07_RS00645</t>
  </si>
  <si>
    <t>WP_003604913.1</t>
  </si>
  <si>
    <t>CIL07_RS00650</t>
  </si>
  <si>
    <t>glycosyltransferase</t>
  </si>
  <si>
    <t>WP_103213716.1</t>
  </si>
  <si>
    <t>CIL07_RS00655</t>
  </si>
  <si>
    <t>WP_003574638.1</t>
  </si>
  <si>
    <t>CIL07_RS00660</t>
  </si>
  <si>
    <t>nucleoside deaminase</t>
  </si>
  <si>
    <t>WP_003569926.1</t>
  </si>
  <si>
    <t>CIL07_RS00665</t>
  </si>
  <si>
    <t>tRNA-Glu</t>
  </si>
  <si>
    <t>CIL07_RS00670</t>
  </si>
  <si>
    <t>WP_176783325.1</t>
  </si>
  <si>
    <t>CIL07_RS00675</t>
  </si>
  <si>
    <t>TspO/MBR family protein</t>
  </si>
  <si>
    <t>WP_022668304.1</t>
  </si>
  <si>
    <t>CIL07_RS00680</t>
  </si>
  <si>
    <t>WP_003564909.1</t>
  </si>
  <si>
    <t>CIL07_RS00685</t>
  </si>
  <si>
    <t>WP_103213717.1</t>
  </si>
  <si>
    <t>CIL07_RS00690</t>
  </si>
  <si>
    <t>TMEM175 family protein</t>
  </si>
  <si>
    <t>WP_003569935.1</t>
  </si>
  <si>
    <t>CIL07_RS00695</t>
  </si>
  <si>
    <t>C69 family dipeptidase</t>
  </si>
  <si>
    <t>WP_003564915.1</t>
  </si>
  <si>
    <t>CIL07_RS00700</t>
  </si>
  <si>
    <t>tRNA-Gln</t>
  </si>
  <si>
    <t>CIL07_RS00705</t>
  </si>
  <si>
    <t>FRG domain-containing protein</t>
  </si>
  <si>
    <t>WP_103213718.1</t>
  </si>
  <si>
    <t>CIL07_RS00710</t>
  </si>
  <si>
    <t>WP_103213719.1</t>
  </si>
  <si>
    <t>CIL07_RS00715</t>
  </si>
  <si>
    <t>WP_103213720.1</t>
  </si>
  <si>
    <t>CIL07_RS00720</t>
  </si>
  <si>
    <t>WP_103213721.1</t>
  </si>
  <si>
    <t>CIL07_RS00725</t>
  </si>
  <si>
    <t>WP_103213722.1</t>
  </si>
  <si>
    <t>CIL07_RS00730</t>
  </si>
  <si>
    <t>virulence-associated E family protein</t>
  </si>
  <si>
    <t>WP_103213723.1</t>
  </si>
  <si>
    <t>CIL07_RS00735</t>
  </si>
  <si>
    <t>bifunctional DNA primase/polymerase</t>
  </si>
  <si>
    <t>WP_103213724.1</t>
  </si>
  <si>
    <t>CIL07_RS00740</t>
  </si>
  <si>
    <t>WP_103213725.1</t>
  </si>
  <si>
    <t>CIL07_RS00745</t>
  </si>
  <si>
    <t>WP_103213726.1</t>
  </si>
  <si>
    <t>CIL07_RS00750</t>
  </si>
  <si>
    <t>WP_020751545.1</t>
  </si>
  <si>
    <t>CIL07_RS00755</t>
  </si>
  <si>
    <t>WP_176783326.1</t>
  </si>
  <si>
    <t>CIL07_RS00760</t>
  </si>
  <si>
    <t>WP_003578735.1</t>
  </si>
  <si>
    <t>CIL07_RS00765</t>
  </si>
  <si>
    <t>Rha family transcriptional regulator</t>
  </si>
  <si>
    <t>WP_240162639.1</t>
  </si>
  <si>
    <t>CIL07_RS00770</t>
  </si>
  <si>
    <t>helix-turn-helix transcriptional regulator</t>
  </si>
  <si>
    <t>WP_016388789.1</t>
  </si>
  <si>
    <t>CIL07_RS00775</t>
  </si>
  <si>
    <t>WP_103213727.1</t>
  </si>
  <si>
    <t>CIL07_RS00780</t>
  </si>
  <si>
    <t>site-specific integrase</t>
  </si>
  <si>
    <t>WP_103213728.1</t>
  </si>
  <si>
    <t>CIL07_RS00785</t>
  </si>
  <si>
    <t>WP_103213729.1</t>
  </si>
  <si>
    <t>CIL07_RS00790</t>
  </si>
  <si>
    <t>WP_003564917.1</t>
  </si>
  <si>
    <t>CIL07_RS00795</t>
  </si>
  <si>
    <t>WP_003569937.1</t>
  </si>
  <si>
    <t>CIL07_RS00800</t>
  </si>
  <si>
    <t>CIL07_RS00805</t>
  </si>
  <si>
    <t>TetR family transcriptional regulator</t>
  </si>
  <si>
    <t>WP_003590429.1</t>
  </si>
  <si>
    <t>CIL07_RS00810</t>
  </si>
  <si>
    <t>WP_003569941.1</t>
  </si>
  <si>
    <t>CIL07_RS00815</t>
  </si>
  <si>
    <t>WP_003564926.1</t>
  </si>
  <si>
    <t>CIL07_RS00820</t>
  </si>
  <si>
    <t>flavodoxin family protein</t>
  </si>
  <si>
    <t>WP_003594240.1</t>
  </si>
  <si>
    <t>CIL07_RS00825</t>
  </si>
  <si>
    <t>WP_003604924.1</t>
  </si>
  <si>
    <t>CIL07_RS00830</t>
  </si>
  <si>
    <t>serine hydrolase domain-containing protein</t>
  </si>
  <si>
    <t>WP_372487197.1</t>
  </si>
  <si>
    <t>CIL07_RS00835</t>
  </si>
  <si>
    <t>Mur ligase family protein</t>
  </si>
  <si>
    <t>WP_003578754.1</t>
  </si>
  <si>
    <t>CIL07_RS00840</t>
  </si>
  <si>
    <t>thymidine kinase</t>
  </si>
  <si>
    <t>WP_003564944.1</t>
  </si>
  <si>
    <t>CIL07_RS00845</t>
  </si>
  <si>
    <t>peptide chain release factor 1</t>
  </si>
  <si>
    <t>prfA</t>
  </si>
  <si>
    <t>WP_003564946.1</t>
  </si>
  <si>
    <t>CIL07_RS00850</t>
  </si>
  <si>
    <t>peptide chain release factor N(5)-glutamine methyltransferase</t>
  </si>
  <si>
    <t>prmC</t>
  </si>
  <si>
    <t>WP_003578757.1</t>
  </si>
  <si>
    <t>CIL07_RS00855</t>
  </si>
  <si>
    <t>L-threonylcarbamoyladenylate synthase</t>
  </si>
  <si>
    <t>WP_003564954.1</t>
  </si>
  <si>
    <t>CIL07_RS00860</t>
  </si>
  <si>
    <t>serine hydroxymethyltransferase</t>
  </si>
  <si>
    <t>glyA</t>
  </si>
  <si>
    <t>WP_003604925.1</t>
  </si>
  <si>
    <t>CIL07_RS00865</t>
  </si>
  <si>
    <t>uracil phosphoribosyltransferase</t>
  </si>
  <si>
    <t>upp</t>
  </si>
  <si>
    <t>WP_003564957.1</t>
  </si>
  <si>
    <t>CIL07_RS00870</t>
  </si>
  <si>
    <t>F0F1 ATP synthase subunit A</t>
  </si>
  <si>
    <t>atpB</t>
  </si>
  <si>
    <t>WP_003564958.1</t>
  </si>
  <si>
    <t>CIL07_RS00875</t>
  </si>
  <si>
    <t>F0F1 ATP synthase subunit C</t>
  </si>
  <si>
    <t>atpE</t>
  </si>
  <si>
    <t>WP_003564959.1</t>
  </si>
  <si>
    <t>CIL07_RS00880</t>
  </si>
  <si>
    <t>F0F1 ATP synthase subunit B</t>
  </si>
  <si>
    <t>atpF</t>
  </si>
  <si>
    <t>WP_003564960.1</t>
  </si>
  <si>
    <t>CIL07_RS00885</t>
  </si>
  <si>
    <t>ATP synthase F1 subunit delta</t>
  </si>
  <si>
    <t>atpH</t>
  </si>
  <si>
    <t>WP_003574676.1</t>
  </si>
  <si>
    <t>CIL07_RS00890</t>
  </si>
  <si>
    <t>F0F1 ATP synthase subunit alpha</t>
  </si>
  <si>
    <t>atpA</t>
  </si>
  <si>
    <t>WP_003564962.1</t>
  </si>
  <si>
    <t>CIL07_RS00895</t>
  </si>
  <si>
    <t>F0F1 ATP synthase subunit gamma</t>
  </si>
  <si>
    <t>WP_003604926.1</t>
  </si>
  <si>
    <t>CIL07_RS00900</t>
  </si>
  <si>
    <t>F0F1 ATP synthase subunit beta</t>
  </si>
  <si>
    <t>atpD</t>
  </si>
  <si>
    <t>WP_003604927.1</t>
  </si>
  <si>
    <t>CIL07_RS00905</t>
  </si>
  <si>
    <t>F0F1 ATP synthase subunit epsilon</t>
  </si>
  <si>
    <t>WP_003564973.1</t>
  </si>
  <si>
    <t>CIL07_RS00910</t>
  </si>
  <si>
    <t>DUF1146 family protein</t>
  </si>
  <si>
    <t>WP_003564975.1</t>
  </si>
  <si>
    <t>CIL07_RS00915</t>
  </si>
  <si>
    <t>rod shape-determining protein</t>
  </si>
  <si>
    <t>WP_003564976.1</t>
  </si>
  <si>
    <t>CIL07_RS00920</t>
  </si>
  <si>
    <t>DNA-directed RNA polymerase subunit beta</t>
  </si>
  <si>
    <t>WP_003564979.1</t>
  </si>
  <si>
    <t>CIL07_RS00925</t>
  </si>
  <si>
    <t>membrane protein insertion efficiency factor YidD</t>
  </si>
  <si>
    <t>yidD</t>
  </si>
  <si>
    <t>WP_003564982.1</t>
  </si>
  <si>
    <t>CIL07_RS00930</t>
  </si>
  <si>
    <t>DUF2969 domain-containing protein</t>
  </si>
  <si>
    <t>WP_003564985.1</t>
  </si>
  <si>
    <t>CIL07_RS00935</t>
  </si>
  <si>
    <t>FtsW/RodA/SpoVE family cell cycle protein</t>
  </si>
  <si>
    <t>WP_003564988.1</t>
  </si>
  <si>
    <t>CIL07_RS00940</t>
  </si>
  <si>
    <t>glycine cleavage system protein H</t>
  </si>
  <si>
    <t>WP_003569969.1</t>
  </si>
  <si>
    <t>CIL07_RS00945</t>
  </si>
  <si>
    <t>ArgE/DapE family deacylase</t>
  </si>
  <si>
    <t>WP_176783327.1</t>
  </si>
  <si>
    <t>CIL07_RS00950</t>
  </si>
  <si>
    <t>MetQ/NlpA family ABC transporter substrate-binding protein</t>
  </si>
  <si>
    <t>WP_003578776.1</t>
  </si>
  <si>
    <t>CIL07_RS00955</t>
  </si>
  <si>
    <t>WP_003569974.1</t>
  </si>
  <si>
    <t>CIL07_RS00960</t>
  </si>
  <si>
    <t>methionine ABC transporter ATP-binding protein</t>
  </si>
  <si>
    <t>WP_003564998.1</t>
  </si>
  <si>
    <t>CIL07_RS00965</t>
  </si>
  <si>
    <t>methionine ABC transporter permease</t>
  </si>
  <si>
    <t>WP_003565000.1</t>
  </si>
  <si>
    <t>CIL07_RS00970</t>
  </si>
  <si>
    <t>Fe-S cluster assembly ATPase SufC</t>
  </si>
  <si>
    <t>sufC</t>
  </si>
  <si>
    <t>WP_003565002.1</t>
  </si>
  <si>
    <t>CIL07_RS00975</t>
  </si>
  <si>
    <t>SufD family Fe-S cluster assembly protein</t>
  </si>
  <si>
    <t>WP_003590465.1</t>
  </si>
  <si>
    <t>CIL07_RS00980</t>
  </si>
  <si>
    <t>aminotransferase class V-fold PLP-dependent enzyme</t>
  </si>
  <si>
    <t>WP_003565006.1</t>
  </si>
  <si>
    <t>CIL07_RS00985</t>
  </si>
  <si>
    <t>Fe-S cluster assembly sulfur transfer protein SufU</t>
  </si>
  <si>
    <t>sufU</t>
  </si>
  <si>
    <t>WP_103213731.1</t>
  </si>
  <si>
    <t>CIL07_RS00990</t>
  </si>
  <si>
    <t>Fe-S cluster assembly protein SufB</t>
  </si>
  <si>
    <t>sufB</t>
  </si>
  <si>
    <t>WP_003565010.1</t>
  </si>
  <si>
    <t>CIL07_RS00995</t>
  </si>
  <si>
    <t>WP_003565012.1</t>
  </si>
  <si>
    <t>CIL07_RS01000</t>
  </si>
  <si>
    <t>DUF1694 domain-containing protein</t>
  </si>
  <si>
    <t>WP_004469497.1</t>
  </si>
  <si>
    <t>CIL07_RS01005</t>
  </si>
  <si>
    <t>DUF2785 domain-containing protein</t>
  </si>
  <si>
    <t>WP_003604942.1</t>
  </si>
  <si>
    <t>CIL07_RS01010</t>
  </si>
  <si>
    <t>HAD family phosphatase</t>
  </si>
  <si>
    <t>WP_003565017.1</t>
  </si>
  <si>
    <t>CIL07_RS01015</t>
  </si>
  <si>
    <t>WP_003565019.1</t>
  </si>
  <si>
    <t>CIL07_RS01020</t>
  </si>
  <si>
    <t>universal stress protein</t>
  </si>
  <si>
    <t>WP_003565021.1</t>
  </si>
  <si>
    <t>CIL07_RS01025</t>
  </si>
  <si>
    <t>WP_003604945.1</t>
  </si>
  <si>
    <t>CIL07_RS01030</t>
  </si>
  <si>
    <t>WP_080985429.1</t>
  </si>
  <si>
    <t>CIL07_RS01035</t>
  </si>
  <si>
    <t>replication-associated recombination protein A</t>
  </si>
  <si>
    <t>WP_003603446.1</t>
  </si>
  <si>
    <t>CIL07_RS01040</t>
  </si>
  <si>
    <t>WP_003604947.1</t>
  </si>
  <si>
    <t>CIL07_RS01045</t>
  </si>
  <si>
    <t>YueI family protein</t>
  </si>
  <si>
    <t>WP_003565031.1</t>
  </si>
  <si>
    <t>CIL07_RS01050</t>
  </si>
  <si>
    <t>DUF1054 family protein</t>
  </si>
  <si>
    <t>WP_003565033.1</t>
  </si>
  <si>
    <t>CIL07_RS01055</t>
  </si>
  <si>
    <t>L-serine ammonia-lyase, iron-sulfur-dependent subunit beta</t>
  </si>
  <si>
    <t>sdaAB</t>
  </si>
  <si>
    <t>WP_003565035.1</t>
  </si>
  <si>
    <t>CIL07_RS01060</t>
  </si>
  <si>
    <t>L-serine ammonia-lyase, iron-sulfur-dependent, subunit alpha</t>
  </si>
  <si>
    <t>sdaAA</t>
  </si>
  <si>
    <t>WP_003569998.1</t>
  </si>
  <si>
    <t>CIL07_RS01065</t>
  </si>
  <si>
    <t>histidine phosphatase family protein</t>
  </si>
  <si>
    <t>WP_003604950.1</t>
  </si>
  <si>
    <t>CIL07_RS01070</t>
  </si>
  <si>
    <t>peptide-methionine (S)-S-oxide reductase MsrA</t>
  </si>
  <si>
    <t>msrA</t>
  </si>
  <si>
    <t>WP_016384063.1</t>
  </si>
  <si>
    <t>CIL07_RS01075</t>
  </si>
  <si>
    <t>SDR family NAD(P)-dependent oxidoreductase</t>
  </si>
  <si>
    <t>WP_003604952.1</t>
  </si>
  <si>
    <t>CIL07_RS01080</t>
  </si>
  <si>
    <t>nicotinamide riboside transporter PnuC</t>
  </si>
  <si>
    <t>pnuC</t>
  </si>
  <si>
    <t>WP_003565044.1</t>
  </si>
  <si>
    <t>CIL07_RS01085</t>
  </si>
  <si>
    <t>deoxynucleoside kinase</t>
  </si>
  <si>
    <t>WP_003565046.1</t>
  </si>
  <si>
    <t>CIL07_RS01090</t>
  </si>
  <si>
    <t>CIL07_RS01095</t>
  </si>
  <si>
    <t>IS30 family transposase</t>
  </si>
  <si>
    <t>WP_003574021.1</t>
  </si>
  <si>
    <t>CIL07_RS01100</t>
  </si>
  <si>
    <t>CIL07_RS01105</t>
  </si>
  <si>
    <t>peptide ABC transporter substrate-binding protein</t>
  </si>
  <si>
    <t>WP_022668348.1</t>
  </si>
  <si>
    <t>CIL07_RS01110</t>
  </si>
  <si>
    <t>HAMP domain-containing sensor histidine kinase</t>
  </si>
  <si>
    <t>WP_103213733.1</t>
  </si>
  <si>
    <t>CIL07_RS01115</t>
  </si>
  <si>
    <t>WP_003604961.1</t>
  </si>
  <si>
    <t>CIL07_RS01120</t>
  </si>
  <si>
    <t>WP_003604963.1</t>
  </si>
  <si>
    <t>CIL07_RS01125</t>
  </si>
  <si>
    <t>WP_003570017.1</t>
  </si>
  <si>
    <t>CIL07_RS01130</t>
  </si>
  <si>
    <t>LysR family transcriptional regulator</t>
  </si>
  <si>
    <t>WP_003604965.1</t>
  </si>
  <si>
    <t>CIL07_RS01135</t>
  </si>
  <si>
    <t>cupin domain-containing protein</t>
  </si>
  <si>
    <t>WP_003574734.1</t>
  </si>
  <si>
    <t>CIL07_RS01140</t>
  </si>
  <si>
    <t>carboxymuconolactone decarboxylase family protein</t>
  </si>
  <si>
    <t>WP_003604966.1</t>
  </si>
  <si>
    <t>CIL07_RS01145</t>
  </si>
  <si>
    <t>NAD(P)H-binding protein</t>
  </si>
  <si>
    <t>WP_103213734.1</t>
  </si>
  <si>
    <t>CIL07_RS01150</t>
  </si>
  <si>
    <t>WP_003570026.1</t>
  </si>
  <si>
    <t>CIL07_RS01155</t>
  </si>
  <si>
    <t>glutathione S-transferase family protein</t>
  </si>
  <si>
    <t>WP_003604968.1</t>
  </si>
  <si>
    <t>CIL07_RS01160</t>
  </si>
  <si>
    <t>SAP domain-containing protein</t>
  </si>
  <si>
    <t>WP_003604969.1</t>
  </si>
  <si>
    <t>CIL07_RS01165</t>
  </si>
  <si>
    <t>WP_103213735.1</t>
  </si>
  <si>
    <t>CIL07_RS01170</t>
  </si>
  <si>
    <t>WP_003574744.1</t>
  </si>
  <si>
    <t>CIL07_RS01175</t>
  </si>
  <si>
    <t>sensor histidine kinase</t>
  </si>
  <si>
    <t>WP_103213736.1</t>
  </si>
  <si>
    <t>CIL07_RS01180</t>
  </si>
  <si>
    <t>IS5 family transposase</t>
  </si>
  <si>
    <t>WP_372487198.1</t>
  </si>
  <si>
    <t>CIL07_RS01185</t>
  </si>
  <si>
    <t>response regulator</t>
  </si>
  <si>
    <t>WP_372487199.1</t>
  </si>
  <si>
    <t>CIL07_RS01190</t>
  </si>
  <si>
    <t>extracellular solute-binding protein</t>
  </si>
  <si>
    <t>WP_003574751.1</t>
  </si>
  <si>
    <t>CIL07_RS01195</t>
  </si>
  <si>
    <t>WP_003604973.1</t>
  </si>
  <si>
    <t>CIL07_RS01200</t>
  </si>
  <si>
    <t>iron ABC transporter permease</t>
  </si>
  <si>
    <t>WP_003574754.1</t>
  </si>
  <si>
    <t>CIL07_RS01205</t>
  </si>
  <si>
    <t>WP_003604977.1</t>
  </si>
  <si>
    <t>CIL07_RS01210</t>
  </si>
  <si>
    <t>WP_003574758.1</t>
  </si>
  <si>
    <t>CIL07_RS01215</t>
  </si>
  <si>
    <t>WP_031264761.1</t>
  </si>
  <si>
    <t>CIL07_RS01220</t>
  </si>
  <si>
    <t>WP_003574762.1</t>
  </si>
  <si>
    <t>CIL07_RS01225</t>
  </si>
  <si>
    <t>WP_103213738.1</t>
  </si>
  <si>
    <t>CIL07_RS01230</t>
  </si>
  <si>
    <t>WP_003604983.1</t>
  </si>
  <si>
    <t>CIL07_RS01235</t>
  </si>
  <si>
    <t>MerR family transcriptional regulator</t>
  </si>
  <si>
    <t>WP_003604985.1</t>
  </si>
  <si>
    <t>CIL07_RS01240</t>
  </si>
  <si>
    <t>YrdB family protein</t>
  </si>
  <si>
    <t>WP_003604987.1</t>
  </si>
  <si>
    <t>CIL07_RS01245</t>
  </si>
  <si>
    <t>Tex family protein</t>
  </si>
  <si>
    <t>WP_003604989.1</t>
  </si>
  <si>
    <t>CIL07_RS01250</t>
  </si>
  <si>
    <t>WP_022671568.1</t>
  </si>
  <si>
    <t>CIL07_RS01255</t>
  </si>
  <si>
    <t>WP_372487201.1</t>
  </si>
  <si>
    <t>CIL07_RS01260</t>
  </si>
  <si>
    <t>WP_372487202.1</t>
  </si>
  <si>
    <t>CIL07_RS01265</t>
  </si>
  <si>
    <t>WP_372487203.1</t>
  </si>
  <si>
    <t>CIL07_RS01270</t>
  </si>
  <si>
    <t>WP_012491054.1</t>
  </si>
  <si>
    <t>CIL07_RS01275</t>
  </si>
  <si>
    <t>WP_003577175.1</t>
  </si>
  <si>
    <t>CIL07_RS01280</t>
  </si>
  <si>
    <t>CIL07_RS01285</t>
  </si>
  <si>
    <t>WP_029327644.1</t>
  </si>
  <si>
    <t>CIL07_RS01290</t>
  </si>
  <si>
    <t>WP_003586983.1</t>
  </si>
  <si>
    <t>CIL07_RS01295</t>
  </si>
  <si>
    <t>transposase domain-containing protein</t>
  </si>
  <si>
    <t>WP_308706304.1</t>
  </si>
  <si>
    <t>CIL07_RS01300</t>
  </si>
  <si>
    <t>CIL07_RS01305</t>
  </si>
  <si>
    <t>WP_003574801.1</t>
  </si>
  <si>
    <t>CIL07_RS01310</t>
  </si>
  <si>
    <t>IS66 family insertion sequence element accessory protein TnpB</t>
  </si>
  <si>
    <t>tnpB</t>
  </si>
  <si>
    <t>WP_372487233.1</t>
  </si>
  <si>
    <t>CIL07_RS01315</t>
  </si>
  <si>
    <t>IS5-like element ISLca2 family transposase</t>
  </si>
  <si>
    <t>WP_003600251.1</t>
  </si>
  <si>
    <t>CIL07_RS01320</t>
  </si>
  <si>
    <t>WP_372487204.1</t>
  </si>
  <si>
    <t>CIL07_RS01325</t>
  </si>
  <si>
    <t>CIL07_RS01330</t>
  </si>
  <si>
    <t>CIL07_RS01335</t>
  </si>
  <si>
    <t>WP_372487205.1</t>
  </si>
  <si>
    <t>CIL07_RS01340</t>
  </si>
  <si>
    <t>WP_016387832.1</t>
  </si>
  <si>
    <t>CIL07_RS01345</t>
  </si>
  <si>
    <t>WP_003574827.1</t>
  </si>
  <si>
    <t>CIL07_RS01350</t>
  </si>
  <si>
    <t>30S ribosomal protein S4</t>
  </si>
  <si>
    <t>rpsD</t>
  </si>
  <si>
    <t>WP_003565106.1</t>
  </si>
  <si>
    <t>CIL07_RS01355</t>
  </si>
  <si>
    <t>GAF domain-containing protein</t>
  </si>
  <si>
    <t>WP_003574830.1</t>
  </si>
  <si>
    <t>CIL07_RS01360</t>
  </si>
  <si>
    <t>septation ring formation regulator EzrA</t>
  </si>
  <si>
    <t>ezrA</t>
  </si>
  <si>
    <t>WP_003605005.1</t>
  </si>
  <si>
    <t>CIL07_RS01365</t>
  </si>
  <si>
    <t>ISL3 family transposase</t>
  </si>
  <si>
    <t>WP_022669512.1</t>
  </si>
  <si>
    <t>CIL07_RS01370</t>
  </si>
  <si>
    <t>cysteine desulfurase family protein</t>
  </si>
  <si>
    <t>WP_003574834.1</t>
  </si>
  <si>
    <t>CIL07_RS01375</t>
  </si>
  <si>
    <t>tRNA uracil 4-sulfurtransferase ThiI</t>
  </si>
  <si>
    <t>thiI</t>
  </si>
  <si>
    <t>WP_103213740.1</t>
  </si>
  <si>
    <t>CIL07_RS01380</t>
  </si>
  <si>
    <t>redox-sensing transcriptional repressor Rex</t>
  </si>
  <si>
    <t>WP_003570094.1</t>
  </si>
  <si>
    <t>CIL07_RS01385</t>
  </si>
  <si>
    <t>valine--tRNA ligase</t>
  </si>
  <si>
    <t>WP_103213741.1</t>
  </si>
  <si>
    <t>CIL07_RS01390</t>
  </si>
  <si>
    <t>folylpolyglutamate synthase/dihydrofolate synthase family protein</t>
  </si>
  <si>
    <t>WP_003574843.1</t>
  </si>
  <si>
    <t>CIL07_RS01395</t>
  </si>
  <si>
    <t>WP_003565122.1</t>
  </si>
  <si>
    <t>CIL07_RS01400</t>
  </si>
  <si>
    <t>DNA repair protein RadC</t>
  </si>
  <si>
    <t>radC</t>
  </si>
  <si>
    <t>WP_103213742.1</t>
  </si>
  <si>
    <t>CIL07_RS01405</t>
  </si>
  <si>
    <t>WP_003565127.1</t>
  </si>
  <si>
    <t>CIL07_RS01410</t>
  </si>
  <si>
    <t>rod shape-determining protein MreC</t>
  </si>
  <si>
    <t>mreC</t>
  </si>
  <si>
    <t>WP_003565129.1</t>
  </si>
  <si>
    <t>CIL07_RS01415</t>
  </si>
  <si>
    <t>rod shape-determining protein MreD</t>
  </si>
  <si>
    <t>mreD</t>
  </si>
  <si>
    <t>WP_003574845.1</t>
  </si>
  <si>
    <t>CIL07_RS01420</t>
  </si>
  <si>
    <t>septum site-determining protein MinC</t>
  </si>
  <si>
    <t>WP_003565132.1</t>
  </si>
  <si>
    <t>CIL07_RS01425</t>
  </si>
  <si>
    <t>septum site-determining protein MinD</t>
  </si>
  <si>
    <t>minD</t>
  </si>
  <si>
    <t>WP_003565134.1</t>
  </si>
  <si>
    <t>CIL07_RS01430</t>
  </si>
  <si>
    <t>amino acid ABC transporter permease</t>
  </si>
  <si>
    <t>WP_003565136.1</t>
  </si>
  <si>
    <t>CIL07_RS01435</t>
  </si>
  <si>
    <t>amino acid ABC transporter ATP-binding protein</t>
  </si>
  <si>
    <t>WP_003565139.1</t>
  </si>
  <si>
    <t>CIL07_RS01440</t>
  </si>
  <si>
    <t>amino acid ABC transporter substrate-binding protein</t>
  </si>
  <si>
    <t>WP_003565141.1</t>
  </si>
  <si>
    <t>CIL07_RS01445</t>
  </si>
  <si>
    <t>cardiolipin synthase</t>
  </si>
  <si>
    <t>cls</t>
  </si>
  <si>
    <t>WP_103213743.1</t>
  </si>
  <si>
    <t>CIL07_RS01450</t>
  </si>
  <si>
    <t>DUF4044 domain-containing protein</t>
  </si>
  <si>
    <t>WP_003565145.1</t>
  </si>
  <si>
    <t>CIL07_RS01455</t>
  </si>
  <si>
    <t>WP_003565147.1</t>
  </si>
  <si>
    <t>CIL07_RS01460</t>
  </si>
  <si>
    <t>division/cell wall cluster transcriptional repressor MraZ</t>
  </si>
  <si>
    <t>mraZ</t>
  </si>
  <si>
    <t>WP_003565149.1</t>
  </si>
  <si>
    <t>CIL07_RS01465</t>
  </si>
  <si>
    <t>16S rRNA (cytosine(1402)-N(4))-methyltransferase RsmH</t>
  </si>
  <si>
    <t>rsmH</t>
  </si>
  <si>
    <t>WP_003570115.1</t>
  </si>
  <si>
    <t>CIL07_RS01470</t>
  </si>
  <si>
    <t>cell division protein FtsL</t>
  </si>
  <si>
    <t>ftsL</t>
  </si>
  <si>
    <t>WP_003565154.1</t>
  </si>
  <si>
    <t>CIL07_RS01475</t>
  </si>
  <si>
    <t>penicillin-binding transpeptidase domain-containing protein</t>
  </si>
  <si>
    <t>WP_049176844.1</t>
  </si>
  <si>
    <t>CIL07_RS01480</t>
  </si>
  <si>
    <t>phospho-N-acetylmuramoyl-pentapeptide-transferase</t>
  </si>
  <si>
    <t>mraY</t>
  </si>
  <si>
    <t>WP_003565157.1</t>
  </si>
  <si>
    <t>CIL07_RS01485</t>
  </si>
  <si>
    <t>UDP-N-acetylmuramoyl-L-alanine--D-glutamate ligase</t>
  </si>
  <si>
    <t>murD</t>
  </si>
  <si>
    <t>WP_003565159.1</t>
  </si>
  <si>
    <t>CIL07_RS01490</t>
  </si>
  <si>
    <t>undecaprenyldiphospho-muramoylpentapeptide beta-N-acetylglucosaminyltransferase</t>
  </si>
  <si>
    <t>murG</t>
  </si>
  <si>
    <t>WP_003570121.1</t>
  </si>
  <si>
    <t>CIL07_RS01495</t>
  </si>
  <si>
    <t>cell division protein FtsQ/DivIB</t>
  </si>
  <si>
    <t>WP_003565163.1</t>
  </si>
  <si>
    <t>CIL07_RS01500</t>
  </si>
  <si>
    <t>cell division protein FtsA</t>
  </si>
  <si>
    <t>ftsA</t>
  </si>
  <si>
    <t>WP_003565166.1</t>
  </si>
  <si>
    <t>CIL07_RS01505</t>
  </si>
  <si>
    <t>cell division protein FtsZ</t>
  </si>
  <si>
    <t>ftsZ</t>
  </si>
  <si>
    <t>WP_003605044.1</t>
  </si>
  <si>
    <t>CIL07_RS01510</t>
  </si>
  <si>
    <t>cell division protein SepF</t>
  </si>
  <si>
    <t>WP_003565171.1</t>
  </si>
  <si>
    <t>CIL07_RS01515</t>
  </si>
  <si>
    <t>YggT family protein</t>
  </si>
  <si>
    <t>WP_003565173.1</t>
  </si>
  <si>
    <t>CIL07_RS01520</t>
  </si>
  <si>
    <t>RNA-binding protein</t>
  </si>
  <si>
    <t>WP_003570132.1</t>
  </si>
  <si>
    <t>CIL07_RS01525</t>
  </si>
  <si>
    <t>DivIVA domain-containing protein</t>
  </si>
  <si>
    <t>WP_003570134.1</t>
  </si>
  <si>
    <t>CIL07_RS01530</t>
  </si>
  <si>
    <t>isoleucine--tRNA ligase</t>
  </si>
  <si>
    <t>ileS</t>
  </si>
  <si>
    <t>WP_003605046.1</t>
  </si>
  <si>
    <t>CIL07_RS01535</t>
  </si>
  <si>
    <t>cold shock domain-containing protein</t>
  </si>
  <si>
    <t>WP_003570139.1</t>
  </si>
  <si>
    <t>CIL07_RS01540</t>
  </si>
  <si>
    <t>phosphate ABC transporter substrate-binding protein PstS family protein</t>
  </si>
  <si>
    <t>WP_003565182.1</t>
  </si>
  <si>
    <t>CIL07_RS01545</t>
  </si>
  <si>
    <t>WP_003605047.1</t>
  </si>
  <si>
    <t>CIL07_RS01550</t>
  </si>
  <si>
    <t>toxic anion resistance protein</t>
  </si>
  <si>
    <t>WP_003565187.1</t>
  </si>
  <si>
    <t>CIL07_RS01555</t>
  </si>
  <si>
    <t>5-bromo-4-chloroindolyl phosphate hydrolysis family protein</t>
  </si>
  <si>
    <t>WP_003605048.1</t>
  </si>
  <si>
    <t>CIL07_RS01560</t>
  </si>
  <si>
    <t>NUDIX hydrolase</t>
  </si>
  <si>
    <t>WP_022669738.1</t>
  </si>
  <si>
    <t>CIL07_RS01565</t>
  </si>
  <si>
    <t>membrane protein</t>
  </si>
  <si>
    <t>WP_003565192.1</t>
  </si>
  <si>
    <t>CIL07_RS01570</t>
  </si>
  <si>
    <t>5'-methylthioadenosine/adenosylhomocysteine nucleosidase</t>
  </si>
  <si>
    <t>WP_003565193.1</t>
  </si>
  <si>
    <t>CIL07_RS01575</t>
  </si>
  <si>
    <t>WP_003605052.1</t>
  </si>
  <si>
    <t>CIL07_RS01580</t>
  </si>
  <si>
    <t>DUF1831 domain-containing protein</t>
  </si>
  <si>
    <t>WP_003570154.1</t>
  </si>
  <si>
    <t>CIL07_RS01585</t>
  </si>
  <si>
    <t>excinuclease ABC subunit UvrA</t>
  </si>
  <si>
    <t>WP_022669748.1</t>
  </si>
  <si>
    <t>CIL07_RS01590</t>
  </si>
  <si>
    <t>tRNA 2-thiouridine(34) synthase MnmA</t>
  </si>
  <si>
    <t>mnmA</t>
  </si>
  <si>
    <t>WP_003565200.1</t>
  </si>
  <si>
    <t>CIL07_RS01595</t>
  </si>
  <si>
    <t>WP_003565202.1</t>
  </si>
  <si>
    <t>CIL07_RS01600</t>
  </si>
  <si>
    <t>tetratricopeptide repeat protein</t>
  </si>
  <si>
    <t>WP_103213744.1</t>
  </si>
  <si>
    <t>CIL07_RS01605</t>
  </si>
  <si>
    <t>ATP-dependent RecD-like DNA helicase</t>
  </si>
  <si>
    <t>WP_103213745.1</t>
  </si>
  <si>
    <t>CIL07_RS01610</t>
  </si>
  <si>
    <t>enhanced intracellular survival protein Eis</t>
  </si>
  <si>
    <t>eis</t>
  </si>
  <si>
    <t>WP_103213746.1</t>
  </si>
  <si>
    <t>CIL07_RS01615</t>
  </si>
  <si>
    <t>diacylglycerol kinase family protein</t>
  </si>
  <si>
    <t>WP_003605059.1</t>
  </si>
  <si>
    <t>CIL07_RS01620</t>
  </si>
  <si>
    <t>ribonuclease J1</t>
  </si>
  <si>
    <t>rnjA</t>
  </si>
  <si>
    <t>WP_003605061.1</t>
  </si>
  <si>
    <t>CIL07_RS01625</t>
  </si>
  <si>
    <t>DNA-dependent RNA polymerase subunit epsilon</t>
  </si>
  <si>
    <t>WP_003565214.1</t>
  </si>
  <si>
    <t>CIL07_RS01630</t>
  </si>
  <si>
    <t>WP_003565216.1</t>
  </si>
  <si>
    <t>CIL07_RS01635</t>
  </si>
  <si>
    <t>WP_003565218.1</t>
  </si>
  <si>
    <t>CIL07_RS01640</t>
  </si>
  <si>
    <t>peptide deformylase</t>
  </si>
  <si>
    <t>def</t>
  </si>
  <si>
    <t>WP_003565220.1</t>
  </si>
  <si>
    <t>CIL07_RS01645</t>
  </si>
  <si>
    <t>haloacid dehalogenase</t>
  </si>
  <si>
    <t>WP_003605064.1</t>
  </si>
  <si>
    <t>CIL07_RS01650</t>
  </si>
  <si>
    <t>pyruvate dehydrogenase (acetyl-transferring) E1 component subunit alpha</t>
  </si>
  <si>
    <t>pdhA</t>
  </si>
  <si>
    <t>WP_003565223.1</t>
  </si>
  <si>
    <t>CIL07_RS01655</t>
  </si>
  <si>
    <t>alpha-ketoacid dehydrogenase subunit beta</t>
  </si>
  <si>
    <t>WP_003565225.1</t>
  </si>
  <si>
    <t>CIL07_RS01660</t>
  </si>
  <si>
    <t>dihydrolipoyllysine-residue acetyltransferase</t>
  </si>
  <si>
    <t>WP_003661000.1</t>
  </si>
  <si>
    <t>CIL07_RS01665</t>
  </si>
  <si>
    <t>dihydrolipoyl dehydrogenase</t>
  </si>
  <si>
    <t>lpdA</t>
  </si>
  <si>
    <t>WP_012491553.1</t>
  </si>
  <si>
    <t>CIL07_RS01670</t>
  </si>
  <si>
    <t>lactate dehydrogenase</t>
  </si>
  <si>
    <t>WP_003565232.1</t>
  </si>
  <si>
    <t>CIL07_RS01675</t>
  </si>
  <si>
    <t>UPF0223 family protein</t>
  </si>
  <si>
    <t>WP_003565234.1</t>
  </si>
  <si>
    <t>CIL07_RS01680</t>
  </si>
  <si>
    <t>inositol monophosphatase family protein</t>
  </si>
  <si>
    <t>WP_003565236.1</t>
  </si>
  <si>
    <t>CIL07_RS01685</t>
  </si>
  <si>
    <t>translational GTPase TypA</t>
  </si>
  <si>
    <t>typA</t>
  </si>
  <si>
    <t>WP_003570179.1</t>
  </si>
  <si>
    <t>CIL07_RS01690</t>
  </si>
  <si>
    <t>WP_011674463.1</t>
  </si>
  <si>
    <t>CIL07_RS01695</t>
  </si>
  <si>
    <t>pyruvate carboxylase</t>
  </si>
  <si>
    <t>WP_012491554.1</t>
  </si>
  <si>
    <t>CIL07_RS01700</t>
  </si>
  <si>
    <t>YlbG family protein</t>
  </si>
  <si>
    <t>WP_003605069.1</t>
  </si>
  <si>
    <t>CIL07_RS01705</t>
  </si>
  <si>
    <t>16S rRNA (guanine(966)-N(2))-methyltransferase RsmD</t>
  </si>
  <si>
    <t>rsmD</t>
  </si>
  <si>
    <t>WP_003565250.1</t>
  </si>
  <si>
    <t>CIL07_RS01710</t>
  </si>
  <si>
    <t>pantetheine-phosphate adenylyltransferase</t>
  </si>
  <si>
    <t>coaD</t>
  </si>
  <si>
    <t>WP_003605072.1</t>
  </si>
  <si>
    <t>CIL07_RS01715</t>
  </si>
  <si>
    <t>SepM family pheromone-processing serine protease</t>
  </si>
  <si>
    <t>WP_012491556.1</t>
  </si>
  <si>
    <t>CIL07_RS01720</t>
  </si>
  <si>
    <t>CIL07_RS01725</t>
  </si>
  <si>
    <t>ComEC/Rec2 family competence protein</t>
  </si>
  <si>
    <t>WP_103213748.1</t>
  </si>
  <si>
    <t>CIL07_RS01730</t>
  </si>
  <si>
    <t>DNA polymerase III subunit delta</t>
  </si>
  <si>
    <t>holA</t>
  </si>
  <si>
    <t>WP_103213749.1</t>
  </si>
  <si>
    <t>CIL07_RS01735</t>
  </si>
  <si>
    <t>30S ribosomal protein S20</t>
  </si>
  <si>
    <t>rpsT</t>
  </si>
  <si>
    <t>WP_003565265.1</t>
  </si>
  <si>
    <t>CIL07_RS01740</t>
  </si>
  <si>
    <t>30S ribosomal protein S15</t>
  </si>
  <si>
    <t>rpsO</t>
  </si>
  <si>
    <t>WP_003565267.1</t>
  </si>
  <si>
    <t>CIL07_RS01745</t>
  </si>
  <si>
    <t>WP_012491559.1</t>
  </si>
  <si>
    <t>CIL07_RS01750</t>
  </si>
  <si>
    <t>ribonuclease J</t>
  </si>
  <si>
    <t>WP_003565271.1</t>
  </si>
  <si>
    <t>CIL07_RS01755</t>
  </si>
  <si>
    <t>WP_003579029.1</t>
  </si>
  <si>
    <t>CIL07_RS01760</t>
  </si>
  <si>
    <t>elongation factor Tu</t>
  </si>
  <si>
    <t>tuf</t>
  </si>
  <si>
    <t>WP_003565275.1</t>
  </si>
  <si>
    <t>CIL07_RS01765</t>
  </si>
  <si>
    <t>WP_103213750.1</t>
  </si>
  <si>
    <t>CIL07_RS01770</t>
  </si>
  <si>
    <t>trigger factor</t>
  </si>
  <si>
    <t>tig</t>
  </si>
  <si>
    <t>WP_003579034.1</t>
  </si>
  <si>
    <t>CIL07_RS01775</t>
  </si>
  <si>
    <t>ATP-dependent Clp protease ATP-binding subunit ClpX</t>
  </si>
  <si>
    <t>clpX</t>
  </si>
  <si>
    <t>WP_003565281.1</t>
  </si>
  <si>
    <t>CIL07_RS01780</t>
  </si>
  <si>
    <t>ribosome biogenesis GTP-binding protein YihA/YsxC</t>
  </si>
  <si>
    <t>yihA</t>
  </si>
  <si>
    <t>WP_003565283.1</t>
  </si>
  <si>
    <t>CIL07_RS01785</t>
  </si>
  <si>
    <t>nucleoside triphosphate pyrophosphohydrolase family protein</t>
  </si>
  <si>
    <t>WP_003565285.1</t>
  </si>
  <si>
    <t>CIL07_RS01790</t>
  </si>
  <si>
    <t>SPJ_0845 family protein</t>
  </si>
  <si>
    <t>WP_003565287.1</t>
  </si>
  <si>
    <t>CIL07_RS01795</t>
  </si>
  <si>
    <t>ABC transporter substrate-binding protein/permease</t>
  </si>
  <si>
    <t>WP_003565289.1</t>
  </si>
  <si>
    <t>CIL07_RS01800</t>
  </si>
  <si>
    <t>WP_012491561.1</t>
  </si>
  <si>
    <t>CIL07_RS01805</t>
  </si>
  <si>
    <t>excinuclease ABC subunit UvrC</t>
  </si>
  <si>
    <t>uvrC</t>
  </si>
  <si>
    <t>WP_012491562.1</t>
  </si>
  <si>
    <t>CIL07_RS01810</t>
  </si>
  <si>
    <t>fructose-specific PTS transporter subunit EIIC</t>
  </si>
  <si>
    <t>WP_003579050.1</t>
  </si>
  <si>
    <t>CIL07_RS01815</t>
  </si>
  <si>
    <t>1-phosphofructokinase</t>
  </si>
  <si>
    <t>pfkB</t>
  </si>
  <si>
    <t>WP_003565298.1</t>
  </si>
  <si>
    <t>CIL07_RS01820</t>
  </si>
  <si>
    <t>DeoR/GlpR family DNA-binding transcription regulator</t>
  </si>
  <si>
    <t>WP_003565300.1</t>
  </si>
  <si>
    <t>CIL07_RS01825</t>
  </si>
  <si>
    <t>GTPase ObgE</t>
  </si>
  <si>
    <t>obgE</t>
  </si>
  <si>
    <t>WP_003565302.1</t>
  </si>
  <si>
    <t>CIL07_RS01830</t>
  </si>
  <si>
    <t>acyltransferase family protein</t>
  </si>
  <si>
    <t>WP_003570229.1</t>
  </si>
  <si>
    <t>CIL07_RS01835</t>
  </si>
  <si>
    <t>ribonuclease Z</t>
  </si>
  <si>
    <t>rnz</t>
  </si>
  <si>
    <t>WP_003574983.1</t>
  </si>
  <si>
    <t>CIL07_RS01840</t>
  </si>
  <si>
    <t>SDR family oxidoreductase</t>
  </si>
  <si>
    <t>WP_003565308.1</t>
  </si>
  <si>
    <t>CIL07_RS01845</t>
  </si>
  <si>
    <t>lipopolysaccharide assembly LapA domain-containing protein</t>
  </si>
  <si>
    <t>WP_003565311.1</t>
  </si>
  <si>
    <t>CIL07_RS01850</t>
  </si>
  <si>
    <t>ATP-dependent chaperone ClpB</t>
  </si>
  <si>
    <t>clpB</t>
  </si>
  <si>
    <t>WP_103213751.1</t>
  </si>
  <si>
    <t>CIL07_RS01855</t>
  </si>
  <si>
    <t>50S ribosomal protein L32</t>
  </si>
  <si>
    <t>rpmF</t>
  </si>
  <si>
    <t>WP_003565316.1</t>
  </si>
  <si>
    <t>CIL07_RS01860</t>
  </si>
  <si>
    <t>DUF1836 domain-containing protein</t>
  </si>
  <si>
    <t>WP_003565318.1</t>
  </si>
  <si>
    <t>CIL07_RS01865</t>
  </si>
  <si>
    <t>bifunctional UDP-sugar hydrolase/5'-nucleotidase</t>
  </si>
  <si>
    <t>WP_003602188.1</t>
  </si>
  <si>
    <t>CIL07_RS01870</t>
  </si>
  <si>
    <t>WP_032792468.1</t>
  </si>
  <si>
    <t>CIL07_RS01875</t>
  </si>
  <si>
    <t>YjzD family protein</t>
  </si>
  <si>
    <t>WP_012491569.1</t>
  </si>
  <si>
    <t>CIL07_RS01880</t>
  </si>
  <si>
    <t>DNA polymerase III subunit alpha</t>
  </si>
  <si>
    <t>dnaE</t>
  </si>
  <si>
    <t>WP_012491570.1</t>
  </si>
  <si>
    <t>CIL07_RS01885</t>
  </si>
  <si>
    <t>6-phosphofructokinase</t>
  </si>
  <si>
    <t>pfkA</t>
  </si>
  <si>
    <t>WP_003565329.1</t>
  </si>
  <si>
    <t>CIL07_RS01890</t>
  </si>
  <si>
    <t>pyruvate kinase</t>
  </si>
  <si>
    <t>pyk</t>
  </si>
  <si>
    <t>WP_003565331.1</t>
  </si>
  <si>
    <t>CIL07_RS01895</t>
  </si>
  <si>
    <t>DUF441 domain-containing protein</t>
  </si>
  <si>
    <t>WP_003565333.1</t>
  </si>
  <si>
    <t>CIL07_RS01900</t>
  </si>
  <si>
    <t>S1 RNA-binding domain-containing protein</t>
  </si>
  <si>
    <t>WP_003565335.1</t>
  </si>
  <si>
    <t>CIL07_RS01905</t>
  </si>
  <si>
    <t>site-specific tyrosine recombinase XerD</t>
  </si>
  <si>
    <t>xerD</t>
  </si>
  <si>
    <t>WP_003565337.1</t>
  </si>
  <si>
    <t>CIL07_RS01910</t>
  </si>
  <si>
    <t>WP_003565339.1</t>
  </si>
  <si>
    <t>CIL07_RS01915</t>
  </si>
  <si>
    <t>ScpA family protein</t>
  </si>
  <si>
    <t>WP_014566524.1</t>
  </si>
  <si>
    <t>CIL07_RS01920</t>
  </si>
  <si>
    <t>SMC-Scp complex subunit ScpB</t>
  </si>
  <si>
    <t>scpB</t>
  </si>
  <si>
    <t>WP_003565342.1</t>
  </si>
  <si>
    <t>CIL07_RS01925</t>
  </si>
  <si>
    <t>pseudouridine synthase</t>
  </si>
  <si>
    <t>WP_003575011.1</t>
  </si>
  <si>
    <t>CIL07_RS01930</t>
  </si>
  <si>
    <t>ECF transporter S component</t>
  </si>
  <si>
    <t>WP_003565346.1</t>
  </si>
  <si>
    <t>CIL07_RS01935</t>
  </si>
  <si>
    <t>ferredoxin</t>
  </si>
  <si>
    <t>WP_016364124.1</t>
  </si>
  <si>
    <t>CIL07_RS01940</t>
  </si>
  <si>
    <t>WP_103213753.1</t>
  </si>
  <si>
    <t>CIL07_RS01945</t>
  </si>
  <si>
    <t>ATP-dependent DNA helicase RecQ</t>
  </si>
  <si>
    <t>WP_103213754.1</t>
  </si>
  <si>
    <t>CIL07_RS01950</t>
  </si>
  <si>
    <t>SAG1386/EF1546 family surface-associated protein</t>
  </si>
  <si>
    <t>WP_003565353.1</t>
  </si>
  <si>
    <t>CIL07_RS01955</t>
  </si>
  <si>
    <t>(d)CMP kinase</t>
  </si>
  <si>
    <t>cmk</t>
  </si>
  <si>
    <t>WP_003565355.1</t>
  </si>
  <si>
    <t>CIL07_RS01960</t>
  </si>
  <si>
    <t>30S ribosomal protein S1</t>
  </si>
  <si>
    <t>rpsA</t>
  </si>
  <si>
    <t>WP_003565358.1</t>
  </si>
  <si>
    <t>CIL07_RS01965</t>
  </si>
  <si>
    <t>ribosome biogenesis GTPase Der</t>
  </si>
  <si>
    <t>der</t>
  </si>
  <si>
    <t>WP_003570284.1</t>
  </si>
  <si>
    <t>CIL07_RS01970</t>
  </si>
  <si>
    <t>HU family DNA-binding protein</t>
  </si>
  <si>
    <t>WP_003658248.1</t>
  </si>
  <si>
    <t>CIL07_RS01975</t>
  </si>
  <si>
    <t>lipopolysaccharide assembly protein LapB</t>
  </si>
  <si>
    <t>WP_016364238.1</t>
  </si>
  <si>
    <t>CIL07_RS01980</t>
  </si>
  <si>
    <t>YitT family protein</t>
  </si>
  <si>
    <t>WP_003570286.1</t>
  </si>
  <si>
    <t>CIL07_RS01985</t>
  </si>
  <si>
    <t>CCA tRNA nucleotidyltransferase</t>
  </si>
  <si>
    <t>WP_103213755.1</t>
  </si>
  <si>
    <t>CIL07_RS01990</t>
  </si>
  <si>
    <t>WP_003565371.1</t>
  </si>
  <si>
    <t>CIL07_RS01995</t>
  </si>
  <si>
    <t>ABC-F family ATP-binding cassette domain-containing protein</t>
  </si>
  <si>
    <t>WP_012491578.1</t>
  </si>
  <si>
    <t>CIL07_RS02000</t>
  </si>
  <si>
    <t>thymidylate synthase</t>
  </si>
  <si>
    <t>WP_003598632.1</t>
  </si>
  <si>
    <t>CIL07_RS02005</t>
  </si>
  <si>
    <t>dihydrofolate reductase</t>
  </si>
  <si>
    <t>WP_103213756.1</t>
  </si>
  <si>
    <t>CIL07_RS02010</t>
  </si>
  <si>
    <t>hemolysin III family protein</t>
  </si>
  <si>
    <t>WP_003575035.1</t>
  </si>
  <si>
    <t>CIL07_RS02015</t>
  </si>
  <si>
    <t>WP_003565381.1</t>
  </si>
  <si>
    <t>CIL07_RS02020</t>
  </si>
  <si>
    <t>WP_012491580.1</t>
  </si>
  <si>
    <t>CIL07_RS02025</t>
  </si>
  <si>
    <t>YpmS family protein</t>
  </si>
  <si>
    <t>WP_003570299.1</t>
  </si>
  <si>
    <t>CIL07_RS02030</t>
  </si>
  <si>
    <t>WP_016364262.1</t>
  </si>
  <si>
    <t>CIL07_RS02035</t>
  </si>
  <si>
    <t>YozE family protein</t>
  </si>
  <si>
    <t>WP_003565389.1</t>
  </si>
  <si>
    <t>CIL07_RS02040</t>
  </si>
  <si>
    <t>S41 family peptidase</t>
  </si>
  <si>
    <t>WP_014566785.1</t>
  </si>
  <si>
    <t>CIL07_RS02045</t>
  </si>
  <si>
    <t>DUF6176 family protein</t>
  </si>
  <si>
    <t>WP_012491583.1</t>
  </si>
  <si>
    <t>CIL07_RS02050</t>
  </si>
  <si>
    <t>WP_016363942.1</t>
  </si>
  <si>
    <t>CIL07_RS02055</t>
  </si>
  <si>
    <t>type I glyceraldehyde-3-phosphate dehydrogenase</t>
  </si>
  <si>
    <t>gap</t>
  </si>
  <si>
    <t>WP_016363941.1</t>
  </si>
  <si>
    <t>CIL07_RS02060</t>
  </si>
  <si>
    <t>WP_012491586.1</t>
  </si>
  <si>
    <t>CIL07_RS02065</t>
  </si>
  <si>
    <t>WP_012491587.1</t>
  </si>
  <si>
    <t>CIL07_RS02070</t>
  </si>
  <si>
    <t>ribosome biogenesis GTPase YlqF</t>
  </si>
  <si>
    <t>ylqF</t>
  </si>
  <si>
    <t>WP_003602225.1</t>
  </si>
  <si>
    <t>CIL07_RS02075</t>
  </si>
  <si>
    <t>ribonuclease HII</t>
  </si>
  <si>
    <t>WP_012491588.1</t>
  </si>
  <si>
    <t>CIL07_RS02080</t>
  </si>
  <si>
    <t>DNA-processing protein DprA</t>
  </si>
  <si>
    <t>dprA</t>
  </si>
  <si>
    <t>WP_012491589.1</t>
  </si>
  <si>
    <t>CIL07_RS02085</t>
  </si>
  <si>
    <t>type I DNA topoisomerase</t>
  </si>
  <si>
    <t>topA</t>
  </si>
  <si>
    <t>WP_003565415.1</t>
  </si>
  <si>
    <t>CIL07_RS02090</t>
  </si>
  <si>
    <t>methylenetetrahydrofolate--tRNA-(uracil(54)-C(5))-methyltransferase (FADH(2)-oxidizing) TrmFO</t>
  </si>
  <si>
    <t>trmFO</t>
  </si>
  <si>
    <t>WP_103213757.1</t>
  </si>
  <si>
    <t>CIL07_RS02095</t>
  </si>
  <si>
    <t>tyrosine recombinase XerC</t>
  </si>
  <si>
    <t>xerC</t>
  </si>
  <si>
    <t>WP_003570336.1</t>
  </si>
  <si>
    <t>CIL07_RS02100</t>
  </si>
  <si>
    <t>ATP-dependent protease subunit HslV</t>
  </si>
  <si>
    <t>hslV</t>
  </si>
  <si>
    <t>WP_003565422.1</t>
  </si>
  <si>
    <t>CIL07_RS02105</t>
  </si>
  <si>
    <t>ATP-dependent protease ATPase subunit HslU</t>
  </si>
  <si>
    <t>hslU</t>
  </si>
  <si>
    <t>WP_003579113.1</t>
  </si>
  <si>
    <t>CIL07_RS02110</t>
  </si>
  <si>
    <t>aldose 1-epimerase family protein</t>
  </si>
  <si>
    <t>WP_012491593.1</t>
  </si>
  <si>
    <t>CIL07_RS02115</t>
  </si>
  <si>
    <t>glycerol-3-phosphate 1-O-acyltransferase PlsY</t>
  </si>
  <si>
    <t>plsY</t>
  </si>
  <si>
    <t>WP_003565428.1</t>
  </si>
  <si>
    <t>CIL07_RS02120</t>
  </si>
  <si>
    <t>DNA topoisomerase IV subunit B</t>
  </si>
  <si>
    <t>parE</t>
  </si>
  <si>
    <t>WP_012491594.1</t>
  </si>
  <si>
    <t>CIL07_RS02125</t>
  </si>
  <si>
    <t>DNA topoisomerase IV subunit A</t>
  </si>
  <si>
    <t>parC</t>
  </si>
  <si>
    <t>WP_103213759.1</t>
  </si>
  <si>
    <t>CIL07_RS02130</t>
  </si>
  <si>
    <t>formate C-acetyltransferase</t>
  </si>
  <si>
    <t>pflB</t>
  </si>
  <si>
    <t>WP_003565434.1</t>
  </si>
  <si>
    <t>CIL07_RS02135</t>
  </si>
  <si>
    <t>pyruvate formate-lyase-activating protein</t>
  </si>
  <si>
    <t>pflA</t>
  </si>
  <si>
    <t>WP_012491595.1</t>
  </si>
  <si>
    <t>CIL07_RS02140</t>
  </si>
  <si>
    <t>WP_003565438.1</t>
  </si>
  <si>
    <t>CIL07_RS02145</t>
  </si>
  <si>
    <t>manganese-dependent inorganic pyrophosphatase</t>
  </si>
  <si>
    <t>WP_003590705.1</t>
  </si>
  <si>
    <t>CIL07_RS02150</t>
  </si>
  <si>
    <t>tyrosine recombinase XerS</t>
  </si>
  <si>
    <t>xerS</t>
  </si>
  <si>
    <t>WP_003579131.1</t>
  </si>
  <si>
    <t>CIL07_RS02155</t>
  </si>
  <si>
    <t>WP_103213760.1</t>
  </si>
  <si>
    <t>CIL07_RS02160</t>
  </si>
  <si>
    <t>FtsX-like permease family protein</t>
  </si>
  <si>
    <t>WP_003598669.1</t>
  </si>
  <si>
    <t>CIL07_RS02165</t>
  </si>
  <si>
    <t>WP_003584392.1</t>
  </si>
  <si>
    <t>CIL07_RS02170</t>
  </si>
  <si>
    <t>WP_103213761.1</t>
  </si>
  <si>
    <t>CIL07_RS02175</t>
  </si>
  <si>
    <t>WP_103213762.1</t>
  </si>
  <si>
    <t>CIL07_RS02180</t>
  </si>
  <si>
    <t>WP_003565453.1</t>
  </si>
  <si>
    <t>CIL07_RS02185</t>
  </si>
  <si>
    <t>WP_003605137.1</t>
  </si>
  <si>
    <t>CIL07_RS02190</t>
  </si>
  <si>
    <t>WP_003575067.1</t>
  </si>
  <si>
    <t>CIL07_RS02195</t>
  </si>
  <si>
    <t>nitroreductase family protein</t>
  </si>
  <si>
    <t>WP_003565458.1</t>
  </si>
  <si>
    <t>CIL07_RS02200</t>
  </si>
  <si>
    <t>histidinol-phosphate transaminase</t>
  </si>
  <si>
    <t>hisC</t>
  </si>
  <si>
    <t>WP_003605140.1</t>
  </si>
  <si>
    <t>CIL07_RS02205</t>
  </si>
  <si>
    <t>phosphoribosyl-ATP diphosphatase</t>
  </si>
  <si>
    <t>hisE</t>
  </si>
  <si>
    <t>WP_003565462.1</t>
  </si>
  <si>
    <t>CIL07_RS02210</t>
  </si>
  <si>
    <t>phosphoribosyl-AMP cyclohydrolase</t>
  </si>
  <si>
    <t>hisI</t>
  </si>
  <si>
    <t>WP_003565465.1</t>
  </si>
  <si>
    <t>CIL07_RS02215</t>
  </si>
  <si>
    <t>imidazole glycerol phosphate synthase subunit HisF</t>
  </si>
  <si>
    <t>hisF</t>
  </si>
  <si>
    <t>WP_003565468.1</t>
  </si>
  <si>
    <t>CIL07_RS02220</t>
  </si>
  <si>
    <t>1-(5-phosphoribosyl)-5-[(5-phosphoribosylamino)methylideneamino]imidazole-4-carboxamide isomerase</t>
  </si>
  <si>
    <t>hisA</t>
  </si>
  <si>
    <t>WP_003575077.1</t>
  </si>
  <si>
    <t>CIL07_RS02225</t>
  </si>
  <si>
    <t>imidazole glycerol phosphate synthase subunit HisH</t>
  </si>
  <si>
    <t>hisH</t>
  </si>
  <si>
    <t>WP_003565472.1</t>
  </si>
  <si>
    <t>CIL07_RS02230</t>
  </si>
  <si>
    <t>imidazoleglycerol-phosphate dehydratase HisB</t>
  </si>
  <si>
    <t>hisB</t>
  </si>
  <si>
    <t>WP_003565474.1</t>
  </si>
  <si>
    <t>CIL07_RS02235</t>
  </si>
  <si>
    <t>histidinol dehydrogenase</t>
  </si>
  <si>
    <t>hisD</t>
  </si>
  <si>
    <t>WP_103213763.1</t>
  </si>
  <si>
    <t>CIL07_RS02240</t>
  </si>
  <si>
    <t>ATP phosphoribosyltransferase</t>
  </si>
  <si>
    <t>hisG</t>
  </si>
  <si>
    <t>WP_003575083.1</t>
  </si>
  <si>
    <t>CIL07_RS02245</t>
  </si>
  <si>
    <t>ATP phosphoribosyltransferase regulatory subunit</t>
  </si>
  <si>
    <t>WP_003598708.1</t>
  </si>
  <si>
    <t>CIL07_RS02250</t>
  </si>
  <si>
    <t>WP_003605144.1</t>
  </si>
  <si>
    <t>CIL07_RS02255</t>
  </si>
  <si>
    <t>WP_003565484.1</t>
  </si>
  <si>
    <t>CIL07_RS02260</t>
  </si>
  <si>
    <t>WP_103213764.1</t>
  </si>
  <si>
    <t>CIL07_RS02265</t>
  </si>
  <si>
    <t>NFACT RNA binding domain-containing protein</t>
  </si>
  <si>
    <t>WP_003605145.1</t>
  </si>
  <si>
    <t>CIL07_RS02270</t>
  </si>
  <si>
    <t>MazG-like family protein</t>
  </si>
  <si>
    <t>WP_003575091.1</t>
  </si>
  <si>
    <t>CIL07_RS02275</t>
  </si>
  <si>
    <t>PTS sugar transporter subunit IIC</t>
  </si>
  <si>
    <t>WP_003594488.1</t>
  </si>
  <si>
    <t>CIL07_RS02280</t>
  </si>
  <si>
    <t>2-dehydropantoate 2-reductase</t>
  </si>
  <si>
    <t>WP_103213765.1</t>
  </si>
  <si>
    <t>CIL07_RS02285</t>
  </si>
  <si>
    <t>CIL07_RS02290</t>
  </si>
  <si>
    <t>CIL07_RS02295</t>
  </si>
  <si>
    <t>WP_003605150.1</t>
  </si>
  <si>
    <t>CIL07_RS02300</t>
  </si>
  <si>
    <t>thiamine pyrophosphate-dependent dehydrogenase E1 component subunit alpha</t>
  </si>
  <si>
    <t>WP_003565500.1</t>
  </si>
  <si>
    <t>CIL07_RS02305</t>
  </si>
  <si>
    <t>WP_003605152.1</t>
  </si>
  <si>
    <t>CIL07_RS02310</t>
  </si>
  <si>
    <t>butyrate kinase</t>
  </si>
  <si>
    <t>buk</t>
  </si>
  <si>
    <t>WP_003565506.1</t>
  </si>
  <si>
    <t>CIL07_RS02315</t>
  </si>
  <si>
    <t>phosphate acyltransferase</t>
  </si>
  <si>
    <t>WP_003565508.1</t>
  </si>
  <si>
    <t>CIL07_RS02320</t>
  </si>
  <si>
    <t>orotate phosphoribosyltransferase</t>
  </si>
  <si>
    <t>pyrE</t>
  </si>
  <si>
    <t>WP_003575111.1</t>
  </si>
  <si>
    <t>CIL07_RS02325</t>
  </si>
  <si>
    <t>orotidine-5'-phosphate decarboxylase</t>
  </si>
  <si>
    <t>pyrF</t>
  </si>
  <si>
    <t>WP_003575113.1</t>
  </si>
  <si>
    <t>CIL07_RS02330</t>
  </si>
  <si>
    <t>dihydroorotate dehydrogenase</t>
  </si>
  <si>
    <t>WP_103213766.1</t>
  </si>
  <si>
    <t>CIL07_RS02335</t>
  </si>
  <si>
    <t>carbamoyl-phosphate synthase large subunit</t>
  </si>
  <si>
    <t>carB</t>
  </si>
  <si>
    <t>WP_003565516.1</t>
  </si>
  <si>
    <t>CIL07_RS02340</t>
  </si>
  <si>
    <t>carbamoyl phosphate synthase small subunit</t>
  </si>
  <si>
    <t>WP_003605158.1</t>
  </si>
  <si>
    <t>CIL07_RS02345</t>
  </si>
  <si>
    <t>dihydroorotase</t>
  </si>
  <si>
    <t>WP_076653529.1</t>
  </si>
  <si>
    <t>CIL07_RS02350</t>
  </si>
  <si>
    <t>aspartate carbamoyltransferase catalytic subunit</t>
  </si>
  <si>
    <t>WP_003575122.1</t>
  </si>
  <si>
    <t>CIL07_RS02355</t>
  </si>
  <si>
    <t>uracil-xanthine permease family protein</t>
  </si>
  <si>
    <t>WP_003565525.1</t>
  </si>
  <si>
    <t>CIL07_RS02360</t>
  </si>
  <si>
    <t>bifunctional pyr operon transcriptional regulator/uracil phosphoribosyltransferase PyrR</t>
  </si>
  <si>
    <t>pyrR</t>
  </si>
  <si>
    <t>WP_003565527.1</t>
  </si>
  <si>
    <t>CIL07_RS02365</t>
  </si>
  <si>
    <t>RluA family pseudouridine synthase</t>
  </si>
  <si>
    <t>WP_003575124.1</t>
  </si>
  <si>
    <t>CIL07_RS02370</t>
  </si>
  <si>
    <t>signal peptidase II</t>
  </si>
  <si>
    <t>lspA</t>
  </si>
  <si>
    <t>WP_003565533.1</t>
  </si>
  <si>
    <t>CIL07_RS02375</t>
  </si>
  <si>
    <t>formate--tetrahydrofolate ligase</t>
  </si>
  <si>
    <t>WP_003584453.1</t>
  </si>
  <si>
    <t>CIL07_RS02380</t>
  </si>
  <si>
    <t>EbsA family protein</t>
  </si>
  <si>
    <t>WP_003575131.1</t>
  </si>
  <si>
    <t>CIL07_RS02385</t>
  </si>
  <si>
    <t>ribonuclease HI family protein</t>
  </si>
  <si>
    <t>WP_003575133.1</t>
  </si>
  <si>
    <t>CIL07_RS02390</t>
  </si>
  <si>
    <t>WP_003565541.1</t>
  </si>
  <si>
    <t>CIL07_RS02395</t>
  </si>
  <si>
    <t>WP_103213767.1</t>
  </si>
  <si>
    <t>CIL07_RS02400</t>
  </si>
  <si>
    <t>WP_103213768.1</t>
  </si>
  <si>
    <t>CIL07_RS02405</t>
  </si>
  <si>
    <t>WP_003565545.1</t>
  </si>
  <si>
    <t>CIL07_RS02410</t>
  </si>
  <si>
    <t>WP_003584459.1</t>
  </si>
  <si>
    <t>CIL07_RS02415</t>
  </si>
  <si>
    <t>glutaredoxin-like protein NrdH</t>
  </si>
  <si>
    <t>nrdH</t>
  </si>
  <si>
    <t>WP_003565549.1</t>
  </si>
  <si>
    <t>CIL07_RS02420</t>
  </si>
  <si>
    <t>class 1b ribonucleoside-diphosphate reductase subunit alpha</t>
  </si>
  <si>
    <t>nrdE</t>
  </si>
  <si>
    <t>WP_003579197.1</t>
  </si>
  <si>
    <t>CIL07_RS02425</t>
  </si>
  <si>
    <t>class 1b ribonucleoside-diphosphate reductase subunit beta</t>
  </si>
  <si>
    <t>nrdF</t>
  </si>
  <si>
    <t>WP_003565553.1</t>
  </si>
  <si>
    <t>CIL07_RS02430</t>
  </si>
  <si>
    <t>WP_103213769.1</t>
  </si>
  <si>
    <t>CIL07_RS02435</t>
  </si>
  <si>
    <t>WP_003605163.1</t>
  </si>
  <si>
    <t>CIL07_RS02440</t>
  </si>
  <si>
    <t>lipoate--protein ligase</t>
  </si>
  <si>
    <t>WP_003565559.1</t>
  </si>
  <si>
    <t>CIL07_RS02445</t>
  </si>
  <si>
    <t>WP_003565593.1</t>
  </si>
  <si>
    <t>CIL07_RS02450</t>
  </si>
  <si>
    <t>phosphoglycerate dehydrogenase</t>
  </si>
  <si>
    <t>WP_176783329.1</t>
  </si>
  <si>
    <t>CIL07_RS02455</t>
  </si>
  <si>
    <t>class I SAM-dependent RNA methyltransferase</t>
  </si>
  <si>
    <t>WP_003605165.1</t>
  </si>
  <si>
    <t>CIL07_RS02460</t>
  </si>
  <si>
    <t>RNase P RNA component class B</t>
  </si>
  <si>
    <t>rnpB</t>
  </si>
  <si>
    <t>RNase_P_RNA</t>
  </si>
  <si>
    <t>CIL07_RS02465</t>
  </si>
  <si>
    <t>cell division regulator GpsB</t>
  </si>
  <si>
    <t>gpsB</t>
  </si>
  <si>
    <t>WP_003565600.1</t>
  </si>
  <si>
    <t>CIL07_RS02470</t>
  </si>
  <si>
    <t>DUF1273 domain-containing protein</t>
  </si>
  <si>
    <t>WP_003565602.1</t>
  </si>
  <si>
    <t>CIL07_RS02475</t>
  </si>
  <si>
    <t>Holliday junction resolvase RecU</t>
  </si>
  <si>
    <t>recU</t>
  </si>
  <si>
    <t>WP_003565605.1</t>
  </si>
  <si>
    <t>CIL07_RS02480</t>
  </si>
  <si>
    <t>PBP1A family penicillin-binding protein</t>
  </si>
  <si>
    <t>WP_103213771.1</t>
  </si>
  <si>
    <t>CIL07_RS02485</t>
  </si>
  <si>
    <t>deaminase</t>
  </si>
  <si>
    <t>WP_003565609.1</t>
  </si>
  <si>
    <t>CIL07_RS02490</t>
  </si>
  <si>
    <t>endonuclease III</t>
  </si>
  <si>
    <t>nth</t>
  </si>
  <si>
    <t>WP_013245757.1</t>
  </si>
  <si>
    <t>CIL07_RS02495</t>
  </si>
  <si>
    <t>DnaD domain protein</t>
  </si>
  <si>
    <t>WP_003565613.1</t>
  </si>
  <si>
    <t>CIL07_RS02500</t>
  </si>
  <si>
    <t>asparagine--tRNA ligase</t>
  </si>
  <si>
    <t>asnS</t>
  </si>
  <si>
    <t>WP_003575160.1</t>
  </si>
  <si>
    <t>CIL07_RS02505</t>
  </si>
  <si>
    <t>pyridoxal phosphate-dependent aminotransferase</t>
  </si>
  <si>
    <t>WP_003565617.1</t>
  </si>
  <si>
    <t>CIL07_RS02510</t>
  </si>
  <si>
    <t>DUF5590 domain-containing protein</t>
  </si>
  <si>
    <t>WP_003565619.1</t>
  </si>
  <si>
    <t>CIL07_RS02515</t>
  </si>
  <si>
    <t>helicase C-terminal domain-containing protein</t>
  </si>
  <si>
    <t>WP_096772688.1</t>
  </si>
  <si>
    <t>CIL07_RS02520</t>
  </si>
  <si>
    <t>helicase-exonuclease AddAB subunit AddA</t>
  </si>
  <si>
    <t>addA</t>
  </si>
  <si>
    <t>WP_049181489.1</t>
  </si>
  <si>
    <t>CIL07_RS02525</t>
  </si>
  <si>
    <t>PD-(D/E)XK nuclease family protein</t>
  </si>
  <si>
    <t>WP_003605177.1</t>
  </si>
  <si>
    <t>CIL07_RS02530</t>
  </si>
  <si>
    <t>mevalonate kinase</t>
  </si>
  <si>
    <t>mvk</t>
  </si>
  <si>
    <t>WP_003605179.1</t>
  </si>
  <si>
    <t>CIL07_RS02535</t>
  </si>
  <si>
    <t>diphosphomevalonate decarboxylase</t>
  </si>
  <si>
    <t>mvaD</t>
  </si>
  <si>
    <t>WP_003605181.1</t>
  </si>
  <si>
    <t>CIL07_RS02540</t>
  </si>
  <si>
    <t>type 2 isopentenyl-diphosphate Delta-isomerase</t>
  </si>
  <si>
    <t>fni</t>
  </si>
  <si>
    <t>WP_003590874.1</t>
  </si>
  <si>
    <t>CIL07_RS02545</t>
  </si>
  <si>
    <t>RsmF rRNA methyltransferase first C-terminal domain-containing protein</t>
  </si>
  <si>
    <t>WP_016384235.1</t>
  </si>
  <si>
    <t>CIL07_RS02550</t>
  </si>
  <si>
    <t>WP_003565637.1</t>
  </si>
  <si>
    <t>CIL07_RS02555</t>
  </si>
  <si>
    <t>WP_003605184.1</t>
  </si>
  <si>
    <t>CIL07_RS02560</t>
  </si>
  <si>
    <t>metal-sulfur cluster assembly factor</t>
  </si>
  <si>
    <t>WP_003565641.1</t>
  </si>
  <si>
    <t>CIL07_RS02565</t>
  </si>
  <si>
    <t>2-hydroxymuconate tautomerase</t>
  </si>
  <si>
    <t>WP_003565643.1</t>
  </si>
  <si>
    <t>CIL07_RS02570</t>
  </si>
  <si>
    <t>Nif3-like dinuclear metal center hexameric protein</t>
  </si>
  <si>
    <t>WP_003584479.1</t>
  </si>
  <si>
    <t>CIL07_RS02575</t>
  </si>
  <si>
    <t>tRNA (adenine(22)-N(1))-methyltransferase TrmK</t>
  </si>
  <si>
    <t>WP_003565647.1</t>
  </si>
  <si>
    <t>CIL07_RS02580</t>
  </si>
  <si>
    <t>RNA polymerase sigma factor RpoD</t>
  </si>
  <si>
    <t>rpoD</t>
  </si>
  <si>
    <t>WP_003565648.1</t>
  </si>
  <si>
    <t>CIL07_RS02585</t>
  </si>
  <si>
    <t>DNA primase</t>
  </si>
  <si>
    <t>dnaG</t>
  </si>
  <si>
    <t>WP_003605186.1</t>
  </si>
  <si>
    <t>CIL07_RS02590</t>
  </si>
  <si>
    <t>CIL07_RS02595</t>
  </si>
  <si>
    <t>glycine--tRNA ligase subunit beta</t>
  </si>
  <si>
    <t>glyS</t>
  </si>
  <si>
    <t>WP_003605187.1</t>
  </si>
  <si>
    <t>CIL07_RS02600</t>
  </si>
  <si>
    <t>glycine--tRNA ligase subunit alpha</t>
  </si>
  <si>
    <t>glyQ</t>
  </si>
  <si>
    <t>WP_003579243.1</t>
  </si>
  <si>
    <t>CIL07_RS02605</t>
  </si>
  <si>
    <t>WP_003565657.1</t>
  </si>
  <si>
    <t>CIL07_RS02610</t>
  </si>
  <si>
    <t>WP_003605189.1</t>
  </si>
  <si>
    <t>CIL07_RS02615</t>
  </si>
  <si>
    <t>DNA repair protein RecO</t>
  </si>
  <si>
    <t>recO</t>
  </si>
  <si>
    <t>WP_019902006.1</t>
  </si>
  <si>
    <t>CIL07_RS02620</t>
  </si>
  <si>
    <t>GTPase Era</t>
  </si>
  <si>
    <t>era</t>
  </si>
  <si>
    <t>WP_003565663.1</t>
  </si>
  <si>
    <t>CIL07_RS02625</t>
  </si>
  <si>
    <t>cytidine deaminase</t>
  </si>
  <si>
    <t>WP_003570376.1</t>
  </si>
  <si>
    <t>CIL07_RS02630</t>
  </si>
  <si>
    <t>WP_003565665.1</t>
  </si>
  <si>
    <t>CIL07_RS02635</t>
  </si>
  <si>
    <t>rRNA maturation RNase YbeY</t>
  </si>
  <si>
    <t>ybeY</t>
  </si>
  <si>
    <t>WP_096772692.1</t>
  </si>
  <si>
    <t>CIL07_RS02640</t>
  </si>
  <si>
    <t>PhoH family protein</t>
  </si>
  <si>
    <t>WP_003565669.1</t>
  </si>
  <si>
    <t>CIL07_RS02645</t>
  </si>
  <si>
    <t>GatB/YqeY domain-containing protein</t>
  </si>
  <si>
    <t>WP_176783330.1</t>
  </si>
  <si>
    <t>CIL07_RS02650</t>
  </si>
  <si>
    <t>30S ribosomal protein S21</t>
  </si>
  <si>
    <t>rpsU</t>
  </si>
  <si>
    <t>WP_003565673.1</t>
  </si>
  <si>
    <t>CIL07_RS02655</t>
  </si>
  <si>
    <t>pyruvate, water dikinase regulatory protein</t>
  </si>
  <si>
    <t>WP_003565675.1</t>
  </si>
  <si>
    <t>CIL07_RS02660</t>
  </si>
  <si>
    <t>deoxyribonuclease IV</t>
  </si>
  <si>
    <t>WP_003605196.1</t>
  </si>
  <si>
    <t>CIL07_RS02665</t>
  </si>
  <si>
    <t>WP_003565679.1</t>
  </si>
  <si>
    <t>CIL07_RS02670</t>
  </si>
  <si>
    <t>peptide-methionine (R)-S-oxide reductase MsrB</t>
  </si>
  <si>
    <t>msrB</t>
  </si>
  <si>
    <t>WP_003575200.1</t>
  </si>
  <si>
    <t>CIL07_RS02675</t>
  </si>
  <si>
    <t>aspartate--tRNA ligase</t>
  </si>
  <si>
    <t>aspS</t>
  </si>
  <si>
    <t>WP_003565683.1</t>
  </si>
  <si>
    <t>CIL07_RS02680</t>
  </si>
  <si>
    <t>histidine--tRNA ligase</t>
  </si>
  <si>
    <t>hisS</t>
  </si>
  <si>
    <t>WP_003594587.1</t>
  </si>
  <si>
    <t>CIL07_RS02685</t>
  </si>
  <si>
    <t>inorganic diphosphatase</t>
  </si>
  <si>
    <t>WP_003579256.1</t>
  </si>
  <si>
    <t>CIL07_RS02690</t>
  </si>
  <si>
    <t>zinc-binding dehydrogenase</t>
  </si>
  <si>
    <t>WP_003594590.1</t>
  </si>
  <si>
    <t>CIL07_RS02695</t>
  </si>
  <si>
    <t>WP_003594593.1</t>
  </si>
  <si>
    <t>CIL07_RS02700</t>
  </si>
  <si>
    <t>WP_176783331.1</t>
  </si>
  <si>
    <t>CIL07_RS02705</t>
  </si>
  <si>
    <t>WP_103213773.1</t>
  </si>
  <si>
    <t>CIL07_RS02710</t>
  </si>
  <si>
    <t>WP_003605204.1</t>
  </si>
  <si>
    <t>CIL07_RS02715</t>
  </si>
  <si>
    <t>HIT family protein</t>
  </si>
  <si>
    <t>WP_003605205.1</t>
  </si>
  <si>
    <t>CIL07_RS02720</t>
  </si>
  <si>
    <t>N-acetylmuramoyl-L-alanine amidase</t>
  </si>
  <si>
    <t>WP_003605206.1</t>
  </si>
  <si>
    <t>CIL07_RS02725</t>
  </si>
  <si>
    <t>HAD family hydrolase</t>
  </si>
  <si>
    <t>WP_103213774.1</t>
  </si>
  <si>
    <t>CIL07_RS02730</t>
  </si>
  <si>
    <t>D-aminoacyl-tRNA deacylase</t>
  </si>
  <si>
    <t>dtd</t>
  </si>
  <si>
    <t>WP_003565699.1</t>
  </si>
  <si>
    <t>CIL07_RS02735</t>
  </si>
  <si>
    <t>bifunctional (p)ppGpp synthetase/guanosine-3',5'-bis(diphosphate) 3'-pyrophosphohydrolase</t>
  </si>
  <si>
    <t>WP_003565701.1</t>
  </si>
  <si>
    <t>CIL07_RS02740</t>
  </si>
  <si>
    <t>WP_003565703.1</t>
  </si>
  <si>
    <t>CIL07_RS02745</t>
  </si>
  <si>
    <t>16S rRNA (uracil(1498)-N(3))-methyltransferase</t>
  </si>
  <si>
    <t>WP_003605208.1</t>
  </si>
  <si>
    <t>CIL07_RS02750</t>
  </si>
  <si>
    <t>50S ribosomal protein L11 methyltransferase</t>
  </si>
  <si>
    <t>prmA</t>
  </si>
  <si>
    <t>WP_003605209.1</t>
  </si>
  <si>
    <t>CIL07_RS02755</t>
  </si>
  <si>
    <t>DUF3013 family protein</t>
  </si>
  <si>
    <t>WP_003565709.1</t>
  </si>
  <si>
    <t>CIL07_RS02760</t>
  </si>
  <si>
    <t>DNA-3-methyladenine glycosylase</t>
  </si>
  <si>
    <t>WP_003587967.1</t>
  </si>
  <si>
    <t>CIL07_RS02765</t>
  </si>
  <si>
    <t>WP_003575242.1</t>
  </si>
  <si>
    <t>CIL07_RS02770</t>
  </si>
  <si>
    <t>DUF1093 domain-containing protein</t>
  </si>
  <si>
    <t>WP_103213775.1</t>
  </si>
  <si>
    <t>CIL07_RS02775</t>
  </si>
  <si>
    <t>WP_372487206.1</t>
  </si>
  <si>
    <t>CIL07_RS02780</t>
  </si>
  <si>
    <t>WP_372487207.1</t>
  </si>
  <si>
    <t>CIL07_RS02785</t>
  </si>
  <si>
    <t>WP_003605211.1</t>
  </si>
  <si>
    <t>CIL07_RS02790</t>
  </si>
  <si>
    <t>WP_003565719.1</t>
  </si>
  <si>
    <t>CIL07_RS02795</t>
  </si>
  <si>
    <t>WP_003605214.1</t>
  </si>
  <si>
    <t>CIL07_RS02800</t>
  </si>
  <si>
    <t>tRNA-Ser</t>
  </si>
  <si>
    <t>CIL07_RS02805</t>
  </si>
  <si>
    <t>NAD(P)H-dependent oxidoreductase</t>
  </si>
  <si>
    <t>WP_003605223.1</t>
  </si>
  <si>
    <t>CIL07_RS02810</t>
  </si>
  <si>
    <t>WP_003605225.1</t>
  </si>
  <si>
    <t>CIL07_RS02815</t>
  </si>
  <si>
    <t>N-formylglutamate amidohydrolase</t>
  </si>
  <si>
    <t>WP_003605227.1</t>
  </si>
  <si>
    <t>CIL07_RS02820</t>
  </si>
  <si>
    <t>DUF960 domain-containing protein</t>
  </si>
  <si>
    <t>WP_003565728.1</t>
  </si>
  <si>
    <t>CIL07_RS02825</t>
  </si>
  <si>
    <t>Cys-tRNA(Pro) deacylase</t>
  </si>
  <si>
    <t>ybaK</t>
  </si>
  <si>
    <t>WP_003575271.1</t>
  </si>
  <si>
    <t>CIL07_RS02830</t>
  </si>
  <si>
    <t>adenine phosphoribosyltransferase</t>
  </si>
  <si>
    <t>WP_003565731.1</t>
  </si>
  <si>
    <t>CIL07_RS02835</t>
  </si>
  <si>
    <t>single-stranded-DNA-specific exonuclease RecJ</t>
  </si>
  <si>
    <t>recJ</t>
  </si>
  <si>
    <t>WP_003605230.1</t>
  </si>
  <si>
    <t>CIL07_RS02840</t>
  </si>
  <si>
    <t>WP_003565736.1</t>
  </si>
  <si>
    <t>CIL07_RS02845</t>
  </si>
  <si>
    <t>ASCH domain-containing protein</t>
  </si>
  <si>
    <t>WP_003605231.1</t>
  </si>
  <si>
    <t>CIL07_RS02850</t>
  </si>
  <si>
    <t>WP_003565739.1</t>
  </si>
  <si>
    <t>CIL07_RS02855</t>
  </si>
  <si>
    <t>translation elongation factor 4</t>
  </si>
  <si>
    <t>lepA</t>
  </si>
  <si>
    <t>WP_060417017.1</t>
  </si>
  <si>
    <t>CIL07_RS02860</t>
  </si>
  <si>
    <t>molecular chaperone DnaJ</t>
  </si>
  <si>
    <t>dnaJ</t>
  </si>
  <si>
    <t>WP_003565745.1</t>
  </si>
  <si>
    <t>CIL07_RS02865</t>
  </si>
  <si>
    <t>molecular chaperone DnaK</t>
  </si>
  <si>
    <t>dnaK</t>
  </si>
  <si>
    <t>WP_003565747.1</t>
  </si>
  <si>
    <t>CIL07_RS02870</t>
  </si>
  <si>
    <t>nucleotide exchange factor GrpE</t>
  </si>
  <si>
    <t>grpE</t>
  </si>
  <si>
    <t>WP_003565749.1</t>
  </si>
  <si>
    <t>CIL07_RS02875</t>
  </si>
  <si>
    <t>heat-inducible transcriptional repressor HrcA</t>
  </si>
  <si>
    <t>hrcA</t>
  </si>
  <si>
    <t>WP_003565751.1</t>
  </si>
  <si>
    <t>CIL07_RS02880</t>
  </si>
  <si>
    <t>radical SAM family heme chaperone HemW</t>
  </si>
  <si>
    <t>hemW</t>
  </si>
  <si>
    <t>WP_003605235.1</t>
  </si>
  <si>
    <t>CIL07_RS02885</t>
  </si>
  <si>
    <t>riboflavin biosynthesis protein RibF</t>
  </si>
  <si>
    <t>ribF</t>
  </si>
  <si>
    <t>WP_103213777.1</t>
  </si>
  <si>
    <t>CIL07_RS02890</t>
  </si>
  <si>
    <t>tRNA pseudouridine(55) synthase TruB</t>
  </si>
  <si>
    <t>truB</t>
  </si>
  <si>
    <t>WP_103213778.1</t>
  </si>
  <si>
    <t>CIL07_RS02895</t>
  </si>
  <si>
    <t>DUF475 domain-containing protein</t>
  </si>
  <si>
    <t>WP_003605241.1</t>
  </si>
  <si>
    <t>CIL07_RS02900</t>
  </si>
  <si>
    <t>30S ribosome-binding factor RbfA</t>
  </si>
  <si>
    <t>rbfA</t>
  </si>
  <si>
    <t>WP_003565780.1</t>
  </si>
  <si>
    <t>CIL07_RS02905</t>
  </si>
  <si>
    <t>translation initiation factor IF-2</t>
  </si>
  <si>
    <t>infB</t>
  </si>
  <si>
    <t>WP_103213779.1</t>
  </si>
  <si>
    <t>CIL07_RS02910</t>
  </si>
  <si>
    <t>YlxQ-related RNA-binding protein</t>
  </si>
  <si>
    <t>WP_003565784.1</t>
  </si>
  <si>
    <t>CIL07_RS02915</t>
  </si>
  <si>
    <t>RNase P modulator RnpM</t>
  </si>
  <si>
    <t>rnpM</t>
  </si>
  <si>
    <t>WP_003605247.1</t>
  </si>
  <si>
    <t>CIL07_RS02920</t>
  </si>
  <si>
    <t>transcription termination factor NusA</t>
  </si>
  <si>
    <t>nusA</t>
  </si>
  <si>
    <t>WP_103213780.1</t>
  </si>
  <si>
    <t>CIL07_RS02925</t>
  </si>
  <si>
    <t>ribosome maturation factor RimP</t>
  </si>
  <si>
    <t>rimP</t>
  </si>
  <si>
    <t>WP_003565790.1</t>
  </si>
  <si>
    <t>CIL07_RS02930</t>
  </si>
  <si>
    <t>PolC-type DNA polymerase III</t>
  </si>
  <si>
    <t>WP_019881285.1</t>
  </si>
  <si>
    <t>CIL07_RS02935</t>
  </si>
  <si>
    <t>proline--tRNA ligase</t>
  </si>
  <si>
    <t>WP_103213781.1</t>
  </si>
  <si>
    <t>CIL07_RS02940</t>
  </si>
  <si>
    <t>RIP metalloprotease RseP</t>
  </si>
  <si>
    <t>rseP</t>
  </si>
  <si>
    <t>WP_003565798.1</t>
  </si>
  <si>
    <t>CIL07_RS02945</t>
  </si>
  <si>
    <t>phosphatidate cytidylyltransferase</t>
  </si>
  <si>
    <t>WP_003565800.1</t>
  </si>
  <si>
    <t>CIL07_RS02950</t>
  </si>
  <si>
    <t>isoprenyl transferase</t>
  </si>
  <si>
    <t>WP_103213782.1</t>
  </si>
  <si>
    <t>CIL07_RS02955</t>
  </si>
  <si>
    <t>ribosome recycling factor</t>
  </si>
  <si>
    <t>frr</t>
  </si>
  <si>
    <t>WP_003565804.1</t>
  </si>
  <si>
    <t>CIL07_RS02960</t>
  </si>
  <si>
    <t>UMP kinase</t>
  </si>
  <si>
    <t>pyrH</t>
  </si>
  <si>
    <t>WP_003565806.1</t>
  </si>
  <si>
    <t>CIL07_RS02965</t>
  </si>
  <si>
    <t>translation elongation factor Ts</t>
  </si>
  <si>
    <t>tsf</t>
  </si>
  <si>
    <t>WP_003565808.1</t>
  </si>
  <si>
    <t>CIL07_RS02970</t>
  </si>
  <si>
    <t>30S ribosomal protein S2</t>
  </si>
  <si>
    <t>rpsB</t>
  </si>
  <si>
    <t>WP_003565810.1</t>
  </si>
  <si>
    <t>CIL07_RS02975</t>
  </si>
  <si>
    <t>GIY-YIG nuclease family protein</t>
  </si>
  <si>
    <t>WP_003565812.1</t>
  </si>
  <si>
    <t>CIL07_RS02980</t>
  </si>
  <si>
    <t>tRNA1(Val) (adenine(37)-N6)-methyltransferase</t>
  </si>
  <si>
    <t>WP_016379275.1</t>
  </si>
  <si>
    <t>CIL07_RS02985</t>
  </si>
  <si>
    <t>WP_003575293.1</t>
  </si>
  <si>
    <t>CIL07_RS02990</t>
  </si>
  <si>
    <t>WP_003570435.1</t>
  </si>
  <si>
    <t>CIL07_RS02995</t>
  </si>
  <si>
    <t>DUF1003 domain-containing protein</t>
  </si>
  <si>
    <t>WP_103213783.1</t>
  </si>
  <si>
    <t>CIL07_RS03000</t>
  </si>
  <si>
    <t>WP_003605262.1</t>
  </si>
  <si>
    <t>CIL07_RS03005</t>
  </si>
  <si>
    <t>WP_003575296.1</t>
  </si>
  <si>
    <t>CIL07_RS03010</t>
  </si>
  <si>
    <t>YneF family protein</t>
  </si>
  <si>
    <t>WP_003564771.1</t>
  </si>
  <si>
    <t>CIL07_RS03015</t>
  </si>
  <si>
    <t>DUF896 domain-containing protein</t>
  </si>
  <si>
    <t>WP_003658561.1</t>
  </si>
  <si>
    <t>CIL07_RS03020</t>
  </si>
  <si>
    <t>WP_003564766.1</t>
  </si>
  <si>
    <t>CIL07_RS03025</t>
  </si>
  <si>
    <t>50S ribosomal protein L19</t>
  </si>
  <si>
    <t>rplS</t>
  </si>
  <si>
    <t>WP_096772582.1</t>
  </si>
  <si>
    <t>CIL07_RS03030</t>
  </si>
  <si>
    <t>tRNA (guanosine(37)-N1)-methyltransferase TrmD</t>
  </si>
  <si>
    <t>trmD</t>
  </si>
  <si>
    <t>WP_003564762.1</t>
  </si>
  <si>
    <t>CIL07_RS03035</t>
  </si>
  <si>
    <t>ribosome maturation factor RimM</t>
  </si>
  <si>
    <t>rimM</t>
  </si>
  <si>
    <t>WP_003564760.1</t>
  </si>
  <si>
    <t>CIL07_RS03040</t>
  </si>
  <si>
    <t>KH domain-containing protein</t>
  </si>
  <si>
    <t>WP_003570439.1</t>
  </si>
  <si>
    <t>CIL07_RS03045</t>
  </si>
  <si>
    <t>30S ribosomal protein S16</t>
  </si>
  <si>
    <t>rpsP</t>
  </si>
  <si>
    <t>WP_003564756.1</t>
  </si>
  <si>
    <t>CIL07_RS03050</t>
  </si>
  <si>
    <t>signal recognition particle protein</t>
  </si>
  <si>
    <t>ffh</t>
  </si>
  <si>
    <t>WP_003564751.1</t>
  </si>
  <si>
    <t>CIL07_RS03055</t>
  </si>
  <si>
    <t>putative DNA-binding protein</t>
  </si>
  <si>
    <t>WP_003564749.1</t>
  </si>
  <si>
    <t>CIL07_RS03060</t>
  </si>
  <si>
    <t>WP_003564747.1</t>
  </si>
  <si>
    <t>CIL07_RS03065</t>
  </si>
  <si>
    <t>signal recognition particle-docking protein FtsY</t>
  </si>
  <si>
    <t>ftsY</t>
  </si>
  <si>
    <t>WP_003590985.1</t>
  </si>
  <si>
    <t>CIL07_RS03070</t>
  </si>
  <si>
    <t>chromosome segregation protein SMC</t>
  </si>
  <si>
    <t>smc</t>
  </si>
  <si>
    <t>WP_003605265.1</t>
  </si>
  <si>
    <t>CIL07_RS03075</t>
  </si>
  <si>
    <t>ribonuclease III</t>
  </si>
  <si>
    <t>rnc</t>
  </si>
  <si>
    <t>WP_003575305.1</t>
  </si>
  <si>
    <t>CIL07_RS03080</t>
  </si>
  <si>
    <t>oligopeptide ABC transporter substrate-binding protein</t>
  </si>
  <si>
    <t>WP_103213787.1</t>
  </si>
  <si>
    <t>CIL07_RS03085</t>
  </si>
  <si>
    <t>WP_003564735.1</t>
  </si>
  <si>
    <t>CIL07_RS03090</t>
  </si>
  <si>
    <t>oligopeptide ABC transporter permease</t>
  </si>
  <si>
    <t>opp4B</t>
  </si>
  <si>
    <t>WP_003564732.1</t>
  </si>
  <si>
    <t>CIL07_RS03095</t>
  </si>
  <si>
    <t>WP_003564730.1</t>
  </si>
  <si>
    <t>CIL07_RS03100</t>
  </si>
  <si>
    <t>WP_003564728.1</t>
  </si>
  <si>
    <t>CIL07_RS03105</t>
  </si>
  <si>
    <t>acyl carrier protein</t>
  </si>
  <si>
    <t>acpP</t>
  </si>
  <si>
    <t>WP_003564726.1</t>
  </si>
  <si>
    <t>CIL07_RS03110</t>
  </si>
  <si>
    <t>phosphate acyltransferase PlsX</t>
  </si>
  <si>
    <t>plsX</t>
  </si>
  <si>
    <t>WP_003584588.1</t>
  </si>
  <si>
    <t>CIL07_RS03115</t>
  </si>
  <si>
    <t>ATP-dependent DNA helicase RecG</t>
  </si>
  <si>
    <t>recG</t>
  </si>
  <si>
    <t>WP_003605268.1</t>
  </si>
  <si>
    <t>CIL07_RS03120</t>
  </si>
  <si>
    <t>DAK2 domain-containing protein</t>
  </si>
  <si>
    <t>WP_096772580.1</t>
  </si>
  <si>
    <t>CIL07_RS03125</t>
  </si>
  <si>
    <t>Asp23/Gls24 family envelope stress response protein</t>
  </si>
  <si>
    <t>WP_003564719.1</t>
  </si>
  <si>
    <t>CIL07_RS03130</t>
  </si>
  <si>
    <t>50S ribosomal protein L28</t>
  </si>
  <si>
    <t>rpmB</t>
  </si>
  <si>
    <t>WP_003564715.1</t>
  </si>
  <si>
    <t>CIL07_RS03135</t>
  </si>
  <si>
    <t>thiamine diphosphokinase</t>
  </si>
  <si>
    <t>WP_003605271.1</t>
  </si>
  <si>
    <t>CIL07_RS03140</t>
  </si>
  <si>
    <t>ribulose-phosphate 3-epimerase</t>
  </si>
  <si>
    <t>rpe</t>
  </si>
  <si>
    <t>WP_003564711.1</t>
  </si>
  <si>
    <t>CIL07_RS03145</t>
  </si>
  <si>
    <t>ribosome small subunit-dependent GTPase A</t>
  </si>
  <si>
    <t>rsgA</t>
  </si>
  <si>
    <t>WP_003605274.1</t>
  </si>
  <si>
    <t>CIL07_RS03150</t>
  </si>
  <si>
    <t>Stk1 family PASTA domain-containing Ser/Thr kinase</t>
  </si>
  <si>
    <t>pknB</t>
  </si>
  <si>
    <t>WP_003579470.1</t>
  </si>
  <si>
    <t>CIL07_RS03155</t>
  </si>
  <si>
    <t>Stp1/IreP family PP2C-type Ser/Thr phosphatase</t>
  </si>
  <si>
    <t>WP_003564704.1</t>
  </si>
  <si>
    <t>CIL07_RS03160</t>
  </si>
  <si>
    <t>16S rRNA (cytosine(967)-C(5))-methyltransferase RsmB</t>
  </si>
  <si>
    <t>rsmB</t>
  </si>
  <si>
    <t>WP_003605279.1</t>
  </si>
  <si>
    <t>CIL07_RS03165</t>
  </si>
  <si>
    <t>methionyl-tRNA formyltransferase</t>
  </si>
  <si>
    <t>fmt</t>
  </si>
  <si>
    <t>WP_003605281.1</t>
  </si>
  <si>
    <t>CIL07_RS03170</t>
  </si>
  <si>
    <t>primosomal protein N'</t>
  </si>
  <si>
    <t>priA</t>
  </si>
  <si>
    <t>WP_096772579.1</t>
  </si>
  <si>
    <t>CIL07_RS03175</t>
  </si>
  <si>
    <t>bifunctional phosphopantothenoylcysteine decarboxylase/phosphopantothenate--cysteine ligase CoaBC</t>
  </si>
  <si>
    <t>coaBC</t>
  </si>
  <si>
    <t>WP_003594703.1</t>
  </si>
  <si>
    <t>CIL07_RS03180</t>
  </si>
  <si>
    <t>DNA-directed RNA polymerase subunit omega</t>
  </si>
  <si>
    <t>rpoZ</t>
  </si>
  <si>
    <t>WP_003564692.1</t>
  </si>
  <si>
    <t>CIL07_RS03185</t>
  </si>
  <si>
    <t>guanylate kinase</t>
  </si>
  <si>
    <t>gmk</t>
  </si>
  <si>
    <t>WP_003564691.1</t>
  </si>
  <si>
    <t>CIL07_RS03190</t>
  </si>
  <si>
    <t>patatin-like phospholipase family protein</t>
  </si>
  <si>
    <t>WP_003564689.1</t>
  </si>
  <si>
    <t>CIL07_RS03195</t>
  </si>
  <si>
    <t>WP_003575333.1</t>
  </si>
  <si>
    <t>CIL07_RS03200</t>
  </si>
  <si>
    <t>DNA repair protein RecN</t>
  </si>
  <si>
    <t>recN</t>
  </si>
  <si>
    <t>WP_003564683.1</t>
  </si>
  <si>
    <t>CIL07_RS03205</t>
  </si>
  <si>
    <t>arginine repressor</t>
  </si>
  <si>
    <t>WP_003570467.1</t>
  </si>
  <si>
    <t>CIL07_RS03210</t>
  </si>
  <si>
    <t>TlyA family rRNA (cytidine-2'-O)-methyltransferase</t>
  </si>
  <si>
    <t>WP_003564679.1</t>
  </si>
  <si>
    <t>CIL07_RS03215</t>
  </si>
  <si>
    <t>polyprenyl synthetase family protein</t>
  </si>
  <si>
    <t>WP_003575339.1</t>
  </si>
  <si>
    <t>CIL07_RS03220</t>
  </si>
  <si>
    <t>exodeoxyribonuclease VII small subunit</t>
  </si>
  <si>
    <t>WP_003564675.1</t>
  </si>
  <si>
    <t>CIL07_RS03225</t>
  </si>
  <si>
    <t>exodeoxyribonuclease VII large subunit</t>
  </si>
  <si>
    <t>xseA</t>
  </si>
  <si>
    <t>WP_003605296.1</t>
  </si>
  <si>
    <t>CIL07_RS03230</t>
  </si>
  <si>
    <t>bifunctional methylenetetrahydrofolate dehydrogenase/methenyltetrahydrofolate cyclohydrolase FolD</t>
  </si>
  <si>
    <t>folD</t>
  </si>
  <si>
    <t>WP_003564670.1</t>
  </si>
  <si>
    <t>CIL07_RS03235</t>
  </si>
  <si>
    <t>transcription antitermination factor NusB</t>
  </si>
  <si>
    <t>nusB</t>
  </si>
  <si>
    <t>WP_003579493.1</t>
  </si>
  <si>
    <t>CIL07_RS03240</t>
  </si>
  <si>
    <t>WP_003564665.1</t>
  </si>
  <si>
    <t>CIL07_RS03245</t>
  </si>
  <si>
    <t>elongation factor P</t>
  </si>
  <si>
    <t>efp</t>
  </si>
  <si>
    <t>WP_003564662.1</t>
  </si>
  <si>
    <t>CIL07_RS03250</t>
  </si>
  <si>
    <t>Xaa-Pro peptidase family protein</t>
  </si>
  <si>
    <t>WP_003575347.1</t>
  </si>
  <si>
    <t>CIL07_RS03255</t>
  </si>
  <si>
    <t>50S ribosomal protein L27</t>
  </si>
  <si>
    <t>rpmA</t>
  </si>
  <si>
    <t>WP_003564659.1</t>
  </si>
  <si>
    <t>CIL07_RS03260</t>
  </si>
  <si>
    <t>ribosomal-processing cysteine protease Prp</t>
  </si>
  <si>
    <t>WP_003564644.1</t>
  </si>
  <si>
    <t>CIL07_RS03265</t>
  </si>
  <si>
    <t>50S ribosomal protein L21</t>
  </si>
  <si>
    <t>rplU</t>
  </si>
  <si>
    <t>WP_003564642.1</t>
  </si>
  <si>
    <t>CIL07_RS03270</t>
  </si>
  <si>
    <t>WP_003564640.1</t>
  </si>
  <si>
    <t>CIL07_RS03275</t>
  </si>
  <si>
    <t>WP_372487209.1</t>
  </si>
  <si>
    <t>CIL07_RS03280</t>
  </si>
  <si>
    <t>WP_003564638.1</t>
  </si>
  <si>
    <t>CIL07_RS03285</t>
  </si>
  <si>
    <t>CIL07_RS03290</t>
  </si>
  <si>
    <t>CIL07_RS03295</t>
  </si>
  <si>
    <t>Xaa-Pro dipeptidyl-peptidase</t>
  </si>
  <si>
    <t>WP_103213788.1</t>
  </si>
  <si>
    <t>CIL07_RS03300</t>
  </si>
  <si>
    <t>type I glutamate--ammonia ligase</t>
  </si>
  <si>
    <t>glnA</t>
  </si>
  <si>
    <t>WP_003564632.1</t>
  </si>
  <si>
    <t>CIL07_RS03305</t>
  </si>
  <si>
    <t>WP_003564630.1</t>
  </si>
  <si>
    <t>CIL07_RS03310</t>
  </si>
  <si>
    <t>ornithine decarboxylase</t>
  </si>
  <si>
    <t>WP_103213789.1</t>
  </si>
  <si>
    <t>CIL07_RS03315</t>
  </si>
  <si>
    <t>aminotransferase class I/II-fold pyridoxal phosphate-dependent enzyme</t>
  </si>
  <si>
    <t>WP_003605306.1</t>
  </si>
  <si>
    <t>CIL07_RS03320</t>
  </si>
  <si>
    <t>tRNA (adenosine(37)-N6)-dimethylallyltransferase MiaA</t>
  </si>
  <si>
    <t>miaA</t>
  </si>
  <si>
    <t>WP_003605308.1</t>
  </si>
  <si>
    <t>CIL07_RS03325</t>
  </si>
  <si>
    <t>DUF3042 family protein</t>
  </si>
  <si>
    <t>WP_003564621.1</t>
  </si>
  <si>
    <t>CIL07_RS03330</t>
  </si>
  <si>
    <t>rhodanese-like domain-containing protein</t>
  </si>
  <si>
    <t>WP_003579508.1</t>
  </si>
  <si>
    <t>CIL07_RS03335</t>
  </si>
  <si>
    <t>ROK family glucokinase</t>
  </si>
  <si>
    <t>WP_003564617.1</t>
  </si>
  <si>
    <t>CIL07_RS03340</t>
  </si>
  <si>
    <t>YqgQ family protein</t>
  </si>
  <si>
    <t>WP_003579510.1</t>
  </si>
  <si>
    <t>CIL07_RS03345</t>
  </si>
  <si>
    <t>rhomboid family intramembrane serine protease</t>
  </si>
  <si>
    <t>WP_003575371.1</t>
  </si>
  <si>
    <t>CIL07_RS03350</t>
  </si>
  <si>
    <t>penicillin-binding protein 2</t>
  </si>
  <si>
    <t>WP_003564611.1</t>
  </si>
  <si>
    <t>CIL07_RS03355</t>
  </si>
  <si>
    <t>WP_096772577.1</t>
  </si>
  <si>
    <t>CIL07_RS03360</t>
  </si>
  <si>
    <t>HesB/YadR/YfhF family protein</t>
  </si>
  <si>
    <t>WP_003564606.1</t>
  </si>
  <si>
    <t>CIL07_RS03365</t>
  </si>
  <si>
    <t>WP_003564604.1</t>
  </si>
  <si>
    <t>CIL07_RS03370</t>
  </si>
  <si>
    <t>WP_022671572.1</t>
  </si>
  <si>
    <t>CIL07_RS03375</t>
  </si>
  <si>
    <t>cell wall-active antibiotics response protein LiaF</t>
  </si>
  <si>
    <t>liaF</t>
  </si>
  <si>
    <t>WP_103213790.1</t>
  </si>
  <si>
    <t>CIL07_RS03380</t>
  </si>
  <si>
    <t>transcription elongation factor GreA</t>
  </si>
  <si>
    <t>greA</t>
  </si>
  <si>
    <t>WP_003564597.1</t>
  </si>
  <si>
    <t>CIL07_RS03385</t>
  </si>
  <si>
    <t>uridine kinase</t>
  </si>
  <si>
    <t>udk</t>
  </si>
  <si>
    <t>WP_003575382.1</t>
  </si>
  <si>
    <t>CIL07_RS03390</t>
  </si>
  <si>
    <t>endolytic transglycosylase MltG</t>
  </si>
  <si>
    <t>mltG</t>
  </si>
  <si>
    <t>WP_003564593.1</t>
  </si>
  <si>
    <t>CIL07_RS03395</t>
  </si>
  <si>
    <t>phenylalanine--tRNA ligase subunit beta</t>
  </si>
  <si>
    <t>pheT</t>
  </si>
  <si>
    <t>WP_003605316.1</t>
  </si>
  <si>
    <t>CIL07_RS03400</t>
  </si>
  <si>
    <t>phenylalanine--tRNA ligase subunit alpha</t>
  </si>
  <si>
    <t>pheS</t>
  </si>
  <si>
    <t>WP_003564587.1</t>
  </si>
  <si>
    <t>CIL07_RS03405</t>
  </si>
  <si>
    <t>WP_003564585.1</t>
  </si>
  <si>
    <t>CIL07_RS03410</t>
  </si>
  <si>
    <t>HD domain-containing protein</t>
  </si>
  <si>
    <t>WP_003564583.1</t>
  </si>
  <si>
    <t>CIL07_RS03415</t>
  </si>
  <si>
    <t>RNA methyltransferase</t>
  </si>
  <si>
    <t>WP_003564581.1</t>
  </si>
  <si>
    <t>CIL07_RS03420</t>
  </si>
  <si>
    <t>acylphosphatase</t>
  </si>
  <si>
    <t>WP_003564577.1</t>
  </si>
  <si>
    <t>CIL07_RS03425</t>
  </si>
  <si>
    <t>membrane protein insertase YidC</t>
  </si>
  <si>
    <t>yidC</t>
  </si>
  <si>
    <t>WP_003588061.1</t>
  </si>
  <si>
    <t>CIL07_RS03430</t>
  </si>
  <si>
    <t>HAMP domain-containing histidine kinase</t>
  </si>
  <si>
    <t>WP_176783332.1</t>
  </si>
  <si>
    <t>CIL07_RS03435</t>
  </si>
  <si>
    <t>WP_003565833.1</t>
  </si>
  <si>
    <t>CIL07_RS03440</t>
  </si>
  <si>
    <t>NADP-dependent phosphogluconate dehydrogenase</t>
  </si>
  <si>
    <t>gndA</t>
  </si>
  <si>
    <t>WP_003575396.1</t>
  </si>
  <si>
    <t>CIL07_RS03445</t>
  </si>
  <si>
    <t>DUF3781 domain-containing protein</t>
  </si>
  <si>
    <t>WP_003565836.1</t>
  </si>
  <si>
    <t>CIL07_RS03450</t>
  </si>
  <si>
    <t>DUF177 domain-containing protein</t>
  </si>
  <si>
    <t>WP_003575399.1</t>
  </si>
  <si>
    <t>CIL07_RS03455</t>
  </si>
  <si>
    <t>nucleotidyltransferase</t>
  </si>
  <si>
    <t>WP_003605319.1</t>
  </si>
  <si>
    <t>CIL07_RS03460</t>
  </si>
  <si>
    <t>WP_003575403.1</t>
  </si>
  <si>
    <t>CIL07_RS03465</t>
  </si>
  <si>
    <t>ribosome silencing factor</t>
  </si>
  <si>
    <t>rsfS</t>
  </si>
  <si>
    <t>WP_003565844.1</t>
  </si>
  <si>
    <t>CIL07_RS03470</t>
  </si>
  <si>
    <t>bis(5'-nucleosyl)-tetraphosphatase (symmetrical) YqeK</t>
  </si>
  <si>
    <t>yqeK</t>
  </si>
  <si>
    <t>WP_003565845.1</t>
  </si>
  <si>
    <t>CIL07_RS03475</t>
  </si>
  <si>
    <t>nicotinate-nucleotide adenylyltransferase</t>
  </si>
  <si>
    <t>WP_003565847.1</t>
  </si>
  <si>
    <t>CIL07_RS03480</t>
  </si>
  <si>
    <t>ribosome assembly RNA-binding protein YhbY</t>
  </si>
  <si>
    <t>yhbY</t>
  </si>
  <si>
    <t>WP_003565850.1</t>
  </si>
  <si>
    <t>CIL07_RS03485</t>
  </si>
  <si>
    <t>ribosome biogenesis GTPase YqeH</t>
  </si>
  <si>
    <t>yqeH</t>
  </si>
  <si>
    <t>WP_003605323.1</t>
  </si>
  <si>
    <t>CIL07_RS03490</t>
  </si>
  <si>
    <t>YqeG family HAD IIIA-type phosphatase</t>
  </si>
  <si>
    <t>WP_003565854.1</t>
  </si>
  <si>
    <t>CIL07_RS03495</t>
  </si>
  <si>
    <t>VOC family protein</t>
  </si>
  <si>
    <t>WP_003598986.1</t>
  </si>
  <si>
    <t>CIL07_RS03500</t>
  </si>
  <si>
    <t>ring-cleaving dioxygenase</t>
  </si>
  <si>
    <t>WP_003565858.1</t>
  </si>
  <si>
    <t>CIL07_RS03505</t>
  </si>
  <si>
    <t>alpha/beta hydrolase</t>
  </si>
  <si>
    <t>WP_003565860.1</t>
  </si>
  <si>
    <t>CIL07_RS03510</t>
  </si>
  <si>
    <t>NADP-dependent oxidoreductase</t>
  </si>
  <si>
    <t>WP_103213791.1</t>
  </si>
  <si>
    <t>CIL07_RS03515</t>
  </si>
  <si>
    <t>TIGR00730 family Rossman fold protein</t>
  </si>
  <si>
    <t>WP_003598990.1</t>
  </si>
  <si>
    <t>CIL07_RS03520</t>
  </si>
  <si>
    <t>50S ribosomal protein L20</t>
  </si>
  <si>
    <t>rplT</t>
  </si>
  <si>
    <t>WP_003565866.1</t>
  </si>
  <si>
    <t>CIL07_RS03525</t>
  </si>
  <si>
    <t>50S ribosomal protein L35</t>
  </si>
  <si>
    <t>rpmI</t>
  </si>
  <si>
    <t>WP_003565872.1</t>
  </si>
  <si>
    <t>CIL07_RS03530</t>
  </si>
  <si>
    <t>translation initiation factor IF-3</t>
  </si>
  <si>
    <t>infC</t>
  </si>
  <si>
    <t>WP_014952023.1</t>
  </si>
  <si>
    <t>CIL07_RS03535</t>
  </si>
  <si>
    <t>enhanced serine sensitivity protein SseB C-terminal domain-containing protein</t>
  </si>
  <si>
    <t>WP_003605330.1</t>
  </si>
  <si>
    <t>CIL07_RS03540</t>
  </si>
  <si>
    <t>WP_003588070.1</t>
  </si>
  <si>
    <t>CIL07_RS03545</t>
  </si>
  <si>
    <t>CIL07_RS03550</t>
  </si>
  <si>
    <t>threonine--tRNA ligase</t>
  </si>
  <si>
    <t>thrS</t>
  </si>
  <si>
    <t>WP_003584690.1</t>
  </si>
  <si>
    <t>CIL07_RS03555</t>
  </si>
  <si>
    <t>WP_014566559.1</t>
  </si>
  <si>
    <t>CIL07_RS03560</t>
  </si>
  <si>
    <t>primosomal protein DnaI</t>
  </si>
  <si>
    <t>dnaI</t>
  </si>
  <si>
    <t>WP_003570519.1</t>
  </si>
  <si>
    <t>CIL07_RS03565</t>
  </si>
  <si>
    <t>replication initiation and membrane attachment family protein</t>
  </si>
  <si>
    <t>WP_003579580.1</t>
  </si>
  <si>
    <t>CIL07_RS03570</t>
  </si>
  <si>
    <t>transcriptional regulator NrdR</t>
  </si>
  <si>
    <t>nrdR</t>
  </si>
  <si>
    <t>WP_003565887.1</t>
  </si>
  <si>
    <t>CIL07_RS03575</t>
  </si>
  <si>
    <t>dephospho-CoA kinase</t>
  </si>
  <si>
    <t>coaE</t>
  </si>
  <si>
    <t>WP_003565889.1</t>
  </si>
  <si>
    <t>CIL07_RS03580</t>
  </si>
  <si>
    <t>DNA-formamidopyrimidine glycosylase</t>
  </si>
  <si>
    <t>mutM</t>
  </si>
  <si>
    <t>WP_103213792.1</t>
  </si>
  <si>
    <t>CIL07_RS03585</t>
  </si>
  <si>
    <t>DNA polymerase I</t>
  </si>
  <si>
    <t>polA</t>
  </si>
  <si>
    <t>WP_003605332.1</t>
  </si>
  <si>
    <t>CIL07_RS03590</t>
  </si>
  <si>
    <t>Bax inhibitor-1/YccA family protein</t>
  </si>
  <si>
    <t>WP_003599006.1</t>
  </si>
  <si>
    <t>CIL07_RS03595</t>
  </si>
  <si>
    <t>UDP-N-acetylmuramate--L-alanine ligase</t>
  </si>
  <si>
    <t>murC</t>
  </si>
  <si>
    <t>WP_003579592.1</t>
  </si>
  <si>
    <t>CIL07_RS03600</t>
  </si>
  <si>
    <t>DNA translocase FtsK</t>
  </si>
  <si>
    <t>WP_096772574.1</t>
  </si>
  <si>
    <t>CIL07_RS03605</t>
  </si>
  <si>
    <t>YtpR family tRNA-binding protein</t>
  </si>
  <si>
    <t>ytpR</t>
  </si>
  <si>
    <t>WP_003565901.1</t>
  </si>
  <si>
    <t>CIL07_RS03610</t>
  </si>
  <si>
    <t>thioredoxin family protein</t>
  </si>
  <si>
    <t>WP_003565903.1</t>
  </si>
  <si>
    <t>CIL07_RS03615</t>
  </si>
  <si>
    <t>WP_003575433.1</t>
  </si>
  <si>
    <t>CIL07_RS03620</t>
  </si>
  <si>
    <t>tRNA (guanosine(46)-N7)-methyltransferase TrmB</t>
  </si>
  <si>
    <t>trmB</t>
  </si>
  <si>
    <t>WP_003565908.1</t>
  </si>
  <si>
    <t>CIL07_RS03625</t>
  </si>
  <si>
    <t>phosphotransferase family protein</t>
  </si>
  <si>
    <t>WP_003605335.1</t>
  </si>
  <si>
    <t>CIL07_RS03630</t>
  </si>
  <si>
    <t>WP_003605337.1</t>
  </si>
  <si>
    <t>CIL07_RS03635</t>
  </si>
  <si>
    <t>WP_003565914.1</t>
  </si>
  <si>
    <t>CIL07_RS03640</t>
  </si>
  <si>
    <t>WP_003575448.1</t>
  </si>
  <si>
    <t>CIL07_RS03645</t>
  </si>
  <si>
    <t>YtxH domain-containing protein</t>
  </si>
  <si>
    <t>WP_003605339.1</t>
  </si>
  <si>
    <t>CIL07_RS03650</t>
  </si>
  <si>
    <t>peptidylprolyl isomerase</t>
  </si>
  <si>
    <t>WP_003565921.1</t>
  </si>
  <si>
    <t>CIL07_RS03655</t>
  </si>
  <si>
    <t>3'-5' exoribonuclease YhaM family protein</t>
  </si>
  <si>
    <t>WP_003606851.1</t>
  </si>
  <si>
    <t>CIL07_RS03660</t>
  </si>
  <si>
    <t>YlbF family regulator</t>
  </si>
  <si>
    <t>WP_003565926.1</t>
  </si>
  <si>
    <t>CIL07_RS03665</t>
  </si>
  <si>
    <t>WP_003565928.1</t>
  </si>
  <si>
    <t>CIL07_RS03670</t>
  </si>
  <si>
    <t>WP_003570539.1</t>
  </si>
  <si>
    <t>CIL07_RS03675</t>
  </si>
  <si>
    <t>WP_003565933.1</t>
  </si>
  <si>
    <t>CIL07_RS03680</t>
  </si>
  <si>
    <t>arginine--tRNA ligase</t>
  </si>
  <si>
    <t>argS</t>
  </si>
  <si>
    <t>WP_003565935.1</t>
  </si>
  <si>
    <t>CIL07_RS03685</t>
  </si>
  <si>
    <t>tRNA-Gly</t>
  </si>
  <si>
    <t>CIL07_RS03690</t>
  </si>
  <si>
    <t>WP_003565937.1</t>
  </si>
  <si>
    <t>CIL07_RS03695</t>
  </si>
  <si>
    <t>WP_003565939.1</t>
  </si>
  <si>
    <t>CIL07_RS03700</t>
  </si>
  <si>
    <t>dihydroorotate oxidase</t>
  </si>
  <si>
    <t>WP_003579616.1</t>
  </si>
  <si>
    <t>CIL07_RS03705</t>
  </si>
  <si>
    <t>glycerophosphoryl diester phosphodiesterase membrane domain-containing protein</t>
  </si>
  <si>
    <t>WP_003605350.1</t>
  </si>
  <si>
    <t>CIL07_RS03710</t>
  </si>
  <si>
    <t>adaptor protein MecA</t>
  </si>
  <si>
    <t>WP_003579619.1</t>
  </si>
  <si>
    <t>CIL07_RS03715</t>
  </si>
  <si>
    <t>WP_016381540.1</t>
  </si>
  <si>
    <t>CIL07_RS03720</t>
  </si>
  <si>
    <t>transcriptional regulator SpxA</t>
  </si>
  <si>
    <t>spxA</t>
  </si>
  <si>
    <t>WP_003565949.1</t>
  </si>
  <si>
    <t>CIL07_RS03725</t>
  </si>
  <si>
    <t>MBL fold metallo-hydrolase</t>
  </si>
  <si>
    <t>WP_003575467.1</t>
  </si>
  <si>
    <t>CIL07_RS03730</t>
  </si>
  <si>
    <t>monooxygenase</t>
  </si>
  <si>
    <t>WP_003575469.1</t>
  </si>
  <si>
    <t>CIL07_RS03735</t>
  </si>
  <si>
    <t>WP_003579680.1</t>
  </si>
  <si>
    <t>CIL07_RS03740</t>
  </si>
  <si>
    <t>WP_003565956.1</t>
  </si>
  <si>
    <t>CIL07_RS03745</t>
  </si>
  <si>
    <t>WP_003605351.1</t>
  </si>
  <si>
    <t>CIL07_RS03750</t>
  </si>
  <si>
    <t>WP_003565960.1</t>
  </si>
  <si>
    <t>CIL07_RS03755</t>
  </si>
  <si>
    <t>anaerobic ribonucleoside-triphosphate reductase activating protein</t>
  </si>
  <si>
    <t>nrdG</t>
  </si>
  <si>
    <t>WP_003576044.1</t>
  </si>
  <si>
    <t>CIL07_RS03760</t>
  </si>
  <si>
    <t>heavy metal translocating P-type ATPase</t>
  </si>
  <si>
    <t>WP_003605352.1</t>
  </si>
  <si>
    <t>CIL07_RS03765</t>
  </si>
  <si>
    <t>CopY/TcrY family copper transport repressor</t>
  </si>
  <si>
    <t>WP_003565966.1</t>
  </si>
  <si>
    <t>CIL07_RS03770</t>
  </si>
  <si>
    <t>phosphoribosylamine--glycine ligase</t>
  </si>
  <si>
    <t>purD</t>
  </si>
  <si>
    <t>WP_003605353.1</t>
  </si>
  <si>
    <t>CIL07_RS03775</t>
  </si>
  <si>
    <t>bifunctional phosphoribosylaminoimidazolecarboxamide formyltransferase/IMP cyclohydrolase</t>
  </si>
  <si>
    <t>purH</t>
  </si>
  <si>
    <t>WP_003605355.1</t>
  </si>
  <si>
    <t>CIL07_RS03780</t>
  </si>
  <si>
    <t>phosphoribosylglycinamide formyltransferase</t>
  </si>
  <si>
    <t>purN</t>
  </si>
  <si>
    <t>WP_003605357.1</t>
  </si>
  <si>
    <t>CIL07_RS03785</t>
  </si>
  <si>
    <t>phosphoribosylformylglycinamidine cyclo-ligase</t>
  </si>
  <si>
    <t>purM</t>
  </si>
  <si>
    <t>WP_003605360.1</t>
  </si>
  <si>
    <t>CIL07_RS03790</t>
  </si>
  <si>
    <t>amidophosphoribosyltransferase</t>
  </si>
  <si>
    <t>purF</t>
  </si>
  <si>
    <t>WP_003602651.1</t>
  </si>
  <si>
    <t>CIL07_RS03795</t>
  </si>
  <si>
    <t>phosphoribosylformylglycinamidine synthase subunit PurL</t>
  </si>
  <si>
    <t>purL</t>
  </si>
  <si>
    <t>WP_003605364.1</t>
  </si>
  <si>
    <t>CIL07_RS03800</t>
  </si>
  <si>
    <t>phosphoribosylformylglycinamidine synthase subunit PurQ</t>
  </si>
  <si>
    <t>purQ</t>
  </si>
  <si>
    <t>WP_003599047.1</t>
  </si>
  <si>
    <t>CIL07_RS03805</t>
  </si>
  <si>
    <t>phosphoribosylformylglycinamidine synthase subunit PurS</t>
  </si>
  <si>
    <t>purS</t>
  </si>
  <si>
    <t>WP_003565984.1</t>
  </si>
  <si>
    <t>CIL07_RS03810</t>
  </si>
  <si>
    <t>phosphoribosylaminoimidazolesuccinocarboxamide synthase</t>
  </si>
  <si>
    <t>purC</t>
  </si>
  <si>
    <t>WP_003579705.1</t>
  </si>
  <si>
    <t>CIL07_RS03815</t>
  </si>
  <si>
    <t>5-(carboxyamino)imidazole ribonucleotide synthase</t>
  </si>
  <si>
    <t>purK</t>
  </si>
  <si>
    <t>WP_003576022.1</t>
  </si>
  <si>
    <t>CIL07_RS03820</t>
  </si>
  <si>
    <t>5-(carboxyamino)imidazole ribonucleotide mutase</t>
  </si>
  <si>
    <t>purE</t>
  </si>
  <si>
    <t>WP_003565990.1</t>
  </si>
  <si>
    <t>CIL07_RS03825</t>
  </si>
  <si>
    <t>energy-coupled thiamine transporter ThiT</t>
  </si>
  <si>
    <t>thiT</t>
  </si>
  <si>
    <t>WP_003576020.1</t>
  </si>
  <si>
    <t>CIL07_RS03830</t>
  </si>
  <si>
    <t>sugar porter family MFS transporter</t>
  </si>
  <si>
    <t>WP_003565997.1</t>
  </si>
  <si>
    <t>CIL07_RS03835</t>
  </si>
  <si>
    <t>phosphoenolpyruvate--protein phosphotransferase</t>
  </si>
  <si>
    <t>ptsP</t>
  </si>
  <si>
    <t>WP_003565999.1</t>
  </si>
  <si>
    <t>CIL07_RS03840</t>
  </si>
  <si>
    <t>phosphocarrier protein HPr</t>
  </si>
  <si>
    <t>WP_003566007.1</t>
  </si>
  <si>
    <t>CIL07_RS03845</t>
  </si>
  <si>
    <t>WP_003584866.1</t>
  </si>
  <si>
    <t>CIL07_RS03850</t>
  </si>
  <si>
    <t>ATP-dependent Clp protease ATP-binding subunit</t>
  </si>
  <si>
    <t>WP_003566010.1</t>
  </si>
  <si>
    <t>CIL07_RS03855</t>
  </si>
  <si>
    <t>DUF1827 family protein</t>
  </si>
  <si>
    <t>WP_003570563.1</t>
  </si>
  <si>
    <t>CIL07_RS03860</t>
  </si>
  <si>
    <t>peptide chain release factor 3</t>
  </si>
  <si>
    <t>WP_103214008.1</t>
  </si>
  <si>
    <t>CIL07_RS03865</t>
  </si>
  <si>
    <t>hemolysin family protein</t>
  </si>
  <si>
    <t>WP_003584867.1</t>
  </si>
  <si>
    <t>CIL07_RS03870</t>
  </si>
  <si>
    <t>AI-2E family transporter</t>
  </si>
  <si>
    <t>WP_003579732.1</t>
  </si>
  <si>
    <t>CIL07_RS03875</t>
  </si>
  <si>
    <t>WP_003566021.1</t>
  </si>
  <si>
    <t>CIL07_RS03880</t>
  </si>
  <si>
    <t>WP_003566023.1</t>
  </si>
  <si>
    <t>CIL07_RS03885</t>
  </si>
  <si>
    <t>DUF402 domain-containing protein</t>
  </si>
  <si>
    <t>WP_003566025.1</t>
  </si>
  <si>
    <t>CIL07_RS03890</t>
  </si>
  <si>
    <t>recombination regulator RecX</t>
  </si>
  <si>
    <t>recX</t>
  </si>
  <si>
    <t>WP_003584869.1</t>
  </si>
  <si>
    <t>CIL07_RS03895</t>
  </si>
  <si>
    <t>WP_003566029.1</t>
  </si>
  <si>
    <t>CIL07_RS03900</t>
  </si>
  <si>
    <t>WP_003584870.1</t>
  </si>
  <si>
    <t>CIL07_RS03905</t>
  </si>
  <si>
    <t>WP_003579736.1</t>
  </si>
  <si>
    <t>CIL07_RS03910</t>
  </si>
  <si>
    <t>nucleoside 2-deoxyribosyltransferase</t>
  </si>
  <si>
    <t>WP_003566035.1</t>
  </si>
  <si>
    <t>CIL07_RS03915</t>
  </si>
  <si>
    <t>GntR family transcriptional regulator</t>
  </si>
  <si>
    <t>WP_176783333.1</t>
  </si>
  <si>
    <t>CIL07_RS03920</t>
  </si>
  <si>
    <t>6-phospho-beta-glucosidase</t>
  </si>
  <si>
    <t>WP_003566039.1</t>
  </si>
  <si>
    <t>CIL07_RS03925</t>
  </si>
  <si>
    <t>PTS cellobiose transporter subunit IIC</t>
  </si>
  <si>
    <t>celB</t>
  </si>
  <si>
    <t>WP_003566041.1</t>
  </si>
  <si>
    <t>CIL07_RS03930</t>
  </si>
  <si>
    <t>WP_003566043.1</t>
  </si>
  <si>
    <t>CIL07_RS03935</t>
  </si>
  <si>
    <t>WP_003566045.1</t>
  </si>
  <si>
    <t>CIL07_RS03940</t>
  </si>
  <si>
    <t>PTS sugar transporter subunit IIB</t>
  </si>
  <si>
    <t>WP_003566047.1</t>
  </si>
  <si>
    <t>CIL07_RS03945</t>
  </si>
  <si>
    <t>pyruvate oxidase</t>
  </si>
  <si>
    <t>spxB</t>
  </si>
  <si>
    <t>WP_103214009.1</t>
  </si>
  <si>
    <t>CIL07_RS03950</t>
  </si>
  <si>
    <t>hydroxymethylglutaryl-CoA synthase</t>
  </si>
  <si>
    <t>WP_003575996.1</t>
  </si>
  <si>
    <t>CIL07_RS03955</t>
  </si>
  <si>
    <t>hydroxymethylglutaryl-CoA reductase, degradative</t>
  </si>
  <si>
    <t>WP_003605372.1</t>
  </si>
  <si>
    <t>CIL07_RS03960</t>
  </si>
  <si>
    <t>acetyl-CoA C-acyltransferase</t>
  </si>
  <si>
    <t>WP_003605374.1</t>
  </si>
  <si>
    <t>CIL07_RS03965</t>
  </si>
  <si>
    <t>WP_003566056.1</t>
  </si>
  <si>
    <t>CIL07_RS03970</t>
  </si>
  <si>
    <t>TIM barrel protein</t>
  </si>
  <si>
    <t>WP_019876638.1</t>
  </si>
  <si>
    <t>CIL07_RS03975</t>
  </si>
  <si>
    <t>restriction endonuclease</t>
  </si>
  <si>
    <t>WP_003605381.1</t>
  </si>
  <si>
    <t>CIL07_RS03980</t>
  </si>
  <si>
    <t>aldose 1-epimerase</t>
  </si>
  <si>
    <t>WP_003605383.1</t>
  </si>
  <si>
    <t>CIL07_RS03985</t>
  </si>
  <si>
    <t>M20 family metallopeptidase</t>
  </si>
  <si>
    <t>WP_003605385.1</t>
  </si>
  <si>
    <t>CIL07_RS03990</t>
  </si>
  <si>
    <t>WP_003566067.1</t>
  </si>
  <si>
    <t>CIL07_RS03995</t>
  </si>
  <si>
    <t>tRNA-Leu</t>
  </si>
  <si>
    <t>CIL07_RS04000</t>
  </si>
  <si>
    <t>WP_003575978.1</t>
  </si>
  <si>
    <t>CIL07_RS04005</t>
  </si>
  <si>
    <t>SprT family protein</t>
  </si>
  <si>
    <t>WP_003566070.1</t>
  </si>
  <si>
    <t>CIL07_RS04010</t>
  </si>
  <si>
    <t>WP_003566072.1</t>
  </si>
  <si>
    <t>CIL07_RS04015</t>
  </si>
  <si>
    <t>WP_003575502.1</t>
  </si>
  <si>
    <t>CIL07_RS04020</t>
  </si>
  <si>
    <t>tryptophan ABC transporter substrate-binding protein</t>
  </si>
  <si>
    <t>trpX</t>
  </si>
  <si>
    <t>WP_003605390.1</t>
  </si>
  <si>
    <t>CIL07_RS04025</t>
  </si>
  <si>
    <t>WP_003579768.1</t>
  </si>
  <si>
    <t>CIL07_RS04030</t>
  </si>
  <si>
    <t>cation-translocating P-type ATPase</t>
  </si>
  <si>
    <t>WP_003605392.1</t>
  </si>
  <si>
    <t>CIL07_RS04035</t>
  </si>
  <si>
    <t>CIL07_RS04040</t>
  </si>
  <si>
    <t>ammonia-dependent NAD(+) synthetase</t>
  </si>
  <si>
    <t>nadE</t>
  </si>
  <si>
    <t>WP_003660553.1</t>
  </si>
  <si>
    <t>CIL07_RS04045</t>
  </si>
  <si>
    <t>serine hydrolase</t>
  </si>
  <si>
    <t>WP_003605398.1</t>
  </si>
  <si>
    <t>CIL07_RS04050</t>
  </si>
  <si>
    <t>nicotinate phosphoribosyltransferase</t>
  </si>
  <si>
    <t>WP_003605399.1</t>
  </si>
  <si>
    <t>CIL07_RS04055</t>
  </si>
  <si>
    <t>WP_003566099.1</t>
  </si>
  <si>
    <t>CIL07_RS04060</t>
  </si>
  <si>
    <t>N-acetylglucosamine-6-phosphate deacetylase</t>
  </si>
  <si>
    <t>nagA</t>
  </si>
  <si>
    <t>WP_096772566.1</t>
  </si>
  <si>
    <t>CIL07_RS04065</t>
  </si>
  <si>
    <t>pyrroline-5-carboxylate reductase</t>
  </si>
  <si>
    <t>proC</t>
  </si>
  <si>
    <t>WP_003605401.1</t>
  </si>
  <si>
    <t>CIL07_RS04070</t>
  </si>
  <si>
    <t>S9 family peptidase</t>
  </si>
  <si>
    <t>WP_096772564.1</t>
  </si>
  <si>
    <t>CIL07_RS04075</t>
  </si>
  <si>
    <t>tRNA-Tyr</t>
  </si>
  <si>
    <t>CIL07_RS04080</t>
  </si>
  <si>
    <t>metallophosphoesterase</t>
  </si>
  <si>
    <t>WP_003599110.1</t>
  </si>
  <si>
    <t>CIL07_RS04085</t>
  </si>
  <si>
    <t>peptide MFS transporter</t>
  </si>
  <si>
    <t>WP_003605402.1</t>
  </si>
  <si>
    <t>CIL07_RS04090</t>
  </si>
  <si>
    <t>ATP-binding cassette domain-containing protein</t>
  </si>
  <si>
    <t>WP_016365773.1</t>
  </si>
  <si>
    <t>CIL07_RS04095</t>
  </si>
  <si>
    <t>WP_096772562.1</t>
  </si>
  <si>
    <t>CIL07_RS04100</t>
  </si>
  <si>
    <t>WP_003566828.1</t>
  </si>
  <si>
    <t>CIL07_RS04105</t>
  </si>
  <si>
    <t>WP_275087348.1</t>
  </si>
  <si>
    <t>CIL07_RS04110</t>
  </si>
  <si>
    <t>CIL07_RS04115</t>
  </si>
  <si>
    <t>WP_240162649.1</t>
  </si>
  <si>
    <t>CIL07_RS04120</t>
  </si>
  <si>
    <t>alpha-L-fucosidase</t>
  </si>
  <si>
    <t>WP_003605411.1</t>
  </si>
  <si>
    <t>CIL07_RS04125</t>
  </si>
  <si>
    <t>WP_003566825.1</t>
  </si>
  <si>
    <t>CIL07_RS04130</t>
  </si>
  <si>
    <t>phosphoenolpyruvate carboxykinase (ATP)</t>
  </si>
  <si>
    <t>WP_103213796.1</t>
  </si>
  <si>
    <t>CIL07_RS04135</t>
  </si>
  <si>
    <t>FeoB-associated Cys-rich membrane protein</t>
  </si>
  <si>
    <t>WP_003566823.1</t>
  </si>
  <si>
    <t>CIL07_RS04140</t>
  </si>
  <si>
    <t>ferrous iron transport protein B</t>
  </si>
  <si>
    <t>feoB</t>
  </si>
  <si>
    <t>WP_016388561.1</t>
  </si>
  <si>
    <t>CIL07_RS04145</t>
  </si>
  <si>
    <t>FeoA family protein</t>
  </si>
  <si>
    <t>WP_103213797.1</t>
  </si>
  <si>
    <t>CIL07_RS04150</t>
  </si>
  <si>
    <t>acyltransferase</t>
  </si>
  <si>
    <t>WP_003594984.1</t>
  </si>
  <si>
    <t>CIL07_RS04155</t>
  </si>
  <si>
    <t>tRNA-Thr</t>
  </si>
  <si>
    <t>CIL07_RS04160</t>
  </si>
  <si>
    <t>CIL07_RS04165</t>
  </si>
  <si>
    <t>NAD(P)-dependent oxidoreductase</t>
  </si>
  <si>
    <t>WP_003566819.1</t>
  </si>
  <si>
    <t>CIL07_RS04170</t>
  </si>
  <si>
    <t>MucBP domain-containing protein</t>
  </si>
  <si>
    <t>WP_003605423.1</t>
  </si>
  <si>
    <t>CIL07_RS04175</t>
  </si>
  <si>
    <t>WP_003605424.1</t>
  </si>
  <si>
    <t>CIL07_RS04180</t>
  </si>
  <si>
    <t>tRNA-Asn</t>
  </si>
  <si>
    <t>CIL07_RS04185</t>
  </si>
  <si>
    <t>5S ribosomal RNA</t>
  </si>
  <si>
    <t>rrf</t>
  </si>
  <si>
    <t>rRNA</t>
  </si>
  <si>
    <t>CIL07_RS04190</t>
  </si>
  <si>
    <t>23S ribosomal RNA</t>
  </si>
  <si>
    <t>CIL07_RS04195</t>
  </si>
  <si>
    <t>tRNA-Ala</t>
  </si>
  <si>
    <t>CIL07_RS04200</t>
  </si>
  <si>
    <t>tRNA-Ile</t>
  </si>
  <si>
    <t>CIL07_RS04205</t>
  </si>
  <si>
    <t>16S ribosomal RNA</t>
  </si>
  <si>
    <t>CIL07_RS04210</t>
  </si>
  <si>
    <t>serine--tRNA ligase</t>
  </si>
  <si>
    <t>serS</t>
  </si>
  <si>
    <t>WP_003605429.1</t>
  </si>
  <si>
    <t>CIL07_RS04215</t>
  </si>
  <si>
    <t>WP_003599137.1</t>
  </si>
  <si>
    <t>CIL07_RS04220</t>
  </si>
  <si>
    <t>WP_003605430.1</t>
  </si>
  <si>
    <t>CIL07_RS04225</t>
  </si>
  <si>
    <t>WP_003573317.1</t>
  </si>
  <si>
    <t>CIL07_RS04230</t>
  </si>
  <si>
    <t>acetolactate decarboxylase</t>
  </si>
  <si>
    <t>budA</t>
  </si>
  <si>
    <t>WP_003566135.1</t>
  </si>
  <si>
    <t>CIL07_RS04235</t>
  </si>
  <si>
    <t>acetolactate synthase AlsS</t>
  </si>
  <si>
    <t>alsS</t>
  </si>
  <si>
    <t>WP_003570709.1</t>
  </si>
  <si>
    <t>CIL07_RS04240</t>
  </si>
  <si>
    <t>WP_003599142.1</t>
  </si>
  <si>
    <t>CIL07_RS04245</t>
  </si>
  <si>
    <t>WP_003566141.1</t>
  </si>
  <si>
    <t>CIL07_RS04250</t>
  </si>
  <si>
    <t>DUF916 domain-containing protein</t>
  </si>
  <si>
    <t>WP_003605436.1</t>
  </si>
  <si>
    <t>CIL07_RS04255</t>
  </si>
  <si>
    <t>WP_003566145.1</t>
  </si>
  <si>
    <t>CIL07_RS04260</t>
  </si>
  <si>
    <t>50S ribosomal protein L33</t>
  </si>
  <si>
    <t>rpmG</t>
  </si>
  <si>
    <t>WP_003566154.1</t>
  </si>
  <si>
    <t>CIL07_RS04265</t>
  </si>
  <si>
    <t>superoxide dismutase</t>
  </si>
  <si>
    <t>WP_003605438.1</t>
  </si>
  <si>
    <t>CIL07_RS04270</t>
  </si>
  <si>
    <t>WP_003605440.1</t>
  </si>
  <si>
    <t>CIL07_RS04275</t>
  </si>
  <si>
    <t>WP_003566159.1</t>
  </si>
  <si>
    <t>CIL07_RS04280</t>
  </si>
  <si>
    <t>WP_003566161.1</t>
  </si>
  <si>
    <t>CIL07_RS04285</t>
  </si>
  <si>
    <t>WP_003605443.1</t>
  </si>
  <si>
    <t>CIL07_RS04290</t>
  </si>
  <si>
    <t>triphosphoribosyl-dephospho-CoA synthase CitG</t>
  </si>
  <si>
    <t>citG</t>
  </si>
  <si>
    <t>WP_003605444.1</t>
  </si>
  <si>
    <t>CIL07_RS04295</t>
  </si>
  <si>
    <t>WP_003566168.1</t>
  </si>
  <si>
    <t>CIL07_RS04300</t>
  </si>
  <si>
    <t>oxaloacetate decarboxylase subunit alpha</t>
  </si>
  <si>
    <t>WP_003605445.1</t>
  </si>
  <si>
    <t>CIL07_RS04305</t>
  </si>
  <si>
    <t>citrate lyase holo-[acyl-carrier protein] synthase</t>
  </si>
  <si>
    <t>citX</t>
  </si>
  <si>
    <t>WP_100908528.1</t>
  </si>
  <si>
    <t>CIL07_RS04310</t>
  </si>
  <si>
    <t>citrate lyase subunit alpha</t>
  </si>
  <si>
    <t>citF</t>
  </si>
  <si>
    <t>WP_003591165.1</t>
  </si>
  <si>
    <t>CIL07_RS04315</t>
  </si>
  <si>
    <t>aldolase/citrate lyase family protein</t>
  </si>
  <si>
    <t>WP_003566178.1</t>
  </si>
  <si>
    <t>CIL07_RS04320</t>
  </si>
  <si>
    <t>citrate lyase acyl carrier protein</t>
  </si>
  <si>
    <t>citD</t>
  </si>
  <si>
    <t>WP_003566181.1</t>
  </si>
  <si>
    <t>CIL07_RS04325</t>
  </si>
  <si>
    <t>[citrate (pro-3S)-lyase] ligase</t>
  </si>
  <si>
    <t>citC</t>
  </si>
  <si>
    <t>WP_003605447.1</t>
  </si>
  <si>
    <t>CIL07_RS04330</t>
  </si>
  <si>
    <t>OadG-related small transporter subunit</t>
  </si>
  <si>
    <t>WP_003566186.1</t>
  </si>
  <si>
    <t>CIL07_RS04335</t>
  </si>
  <si>
    <t>sodium ion-translocating decarboxylase subunit beta</t>
  </si>
  <si>
    <t>WP_003566189.1</t>
  </si>
  <si>
    <t>CIL07_RS04340</t>
  </si>
  <si>
    <t>acetyl-CoA carboxylase biotin carboxyl carrier protein subunit</t>
  </si>
  <si>
    <t>WP_003605449.1</t>
  </si>
  <si>
    <t>CIL07_RS04345</t>
  </si>
  <si>
    <t>WP_003573264.1</t>
  </si>
  <si>
    <t>CIL07_RS04350</t>
  </si>
  <si>
    <t>CitMHS family transporter</t>
  </si>
  <si>
    <t>WP_003579853.1</t>
  </si>
  <si>
    <t>CIL07_RS04355</t>
  </si>
  <si>
    <t>WP_003566197.1</t>
  </si>
  <si>
    <t>CIL07_RS04360</t>
  </si>
  <si>
    <t>RNA 2'-phosphotransferase</t>
  </si>
  <si>
    <t>WP_019880166.1</t>
  </si>
  <si>
    <t>CIL07_RS04365</t>
  </si>
  <si>
    <t>WP_003605452.1</t>
  </si>
  <si>
    <t>CIL07_RS04370</t>
  </si>
  <si>
    <t>NADPH-dependent F420 reductase</t>
  </si>
  <si>
    <t>WP_103213798.1</t>
  </si>
  <si>
    <t>CIL07_RS04375</t>
  </si>
  <si>
    <t>PadR family transcriptional regulator</t>
  </si>
  <si>
    <t>WP_003566205.1</t>
  </si>
  <si>
    <t>CIL07_RS04380</t>
  </si>
  <si>
    <t>WP_003566207.1</t>
  </si>
  <si>
    <t>CIL07_RS04385</t>
  </si>
  <si>
    <t>NADPH-dependent oxidoreductase</t>
  </si>
  <si>
    <t>WP_003573252.1</t>
  </si>
  <si>
    <t>CIL07_RS04390</t>
  </si>
  <si>
    <t>WP_003605455.1</t>
  </si>
  <si>
    <t>CIL07_RS04395</t>
  </si>
  <si>
    <t>WP_103213799.1</t>
  </si>
  <si>
    <t>CIL07_RS04400</t>
  </si>
  <si>
    <t>WP_003566214.1</t>
  </si>
  <si>
    <t>CIL07_RS04405</t>
  </si>
  <si>
    <t>WP_103213800.1</t>
  </si>
  <si>
    <t>CIL07_RS04410</t>
  </si>
  <si>
    <t>sulfite exporter TauE/SafE family protein</t>
  </si>
  <si>
    <t>WP_003566220.1</t>
  </si>
  <si>
    <t>CIL07_RS04415</t>
  </si>
  <si>
    <t>WP_003605463.1</t>
  </si>
  <si>
    <t>CIL07_RS04420</t>
  </si>
  <si>
    <t>WP_003573233.1</t>
  </si>
  <si>
    <t>CIL07_RS04425</t>
  </si>
  <si>
    <t>WP_003566227.1</t>
  </si>
  <si>
    <t>CIL07_RS04430</t>
  </si>
  <si>
    <t>WP_003579922.1</t>
  </si>
  <si>
    <t>CIL07_RS04435</t>
  </si>
  <si>
    <t>WP_003605465.1</t>
  </si>
  <si>
    <t>CIL07_RS04440</t>
  </si>
  <si>
    <t>WP_103213801.1</t>
  </si>
  <si>
    <t>CIL07_RS04445</t>
  </si>
  <si>
    <t>WP_003579934.1</t>
  </si>
  <si>
    <t>CIL07_RS04450</t>
  </si>
  <si>
    <t>WP_096772715.1</t>
  </si>
  <si>
    <t>CIL07_RS04455</t>
  </si>
  <si>
    <t>WP_225367341.1</t>
  </si>
  <si>
    <t>CIL07_RS04460</t>
  </si>
  <si>
    <t>WP_003595063.1</t>
  </si>
  <si>
    <t>CIL07_RS04465</t>
  </si>
  <si>
    <t>WP_019884610.1</t>
  </si>
  <si>
    <t>CIL07_RS04470</t>
  </si>
  <si>
    <t>WP_003591198.1</t>
  </si>
  <si>
    <t>CIL07_RS04475</t>
  </si>
  <si>
    <t>CIL07_RS04480</t>
  </si>
  <si>
    <t>CIL07_RS04485</t>
  </si>
  <si>
    <t>CIL07_RS04490</t>
  </si>
  <si>
    <t>WP_003605479.1</t>
  </si>
  <si>
    <t>CIL07_RS04495</t>
  </si>
  <si>
    <t>type 1 glutamine amidotransferase domain-containing protein</t>
  </si>
  <si>
    <t>WP_103213803.1</t>
  </si>
  <si>
    <t>CIL07_RS04500</t>
  </si>
  <si>
    <t>WP_003605482.1</t>
  </si>
  <si>
    <t>CIL07_RS04505</t>
  </si>
  <si>
    <t>WP_003605483.1</t>
  </si>
  <si>
    <t>CIL07_RS04510</t>
  </si>
  <si>
    <t>WP_372487213.1</t>
  </si>
  <si>
    <t>CIL07_RS04515</t>
  </si>
  <si>
    <t>WP_096772716.1</t>
  </si>
  <si>
    <t>CIL07_RS04520</t>
  </si>
  <si>
    <t>iron-sulfur cluster biosynthesis family protein</t>
  </si>
  <si>
    <t>WP_003566258.1</t>
  </si>
  <si>
    <t>CIL07_RS04525</t>
  </si>
  <si>
    <t>WP_019884688.1</t>
  </si>
  <si>
    <t>CIL07_RS04530</t>
  </si>
  <si>
    <t>LysM peptidoglycan-binding domain-containing protein</t>
  </si>
  <si>
    <t>WP_372487214.1</t>
  </si>
  <si>
    <t>CIL07_RS04535</t>
  </si>
  <si>
    <t>matrixin family metalloprotease</t>
  </si>
  <si>
    <t>WP_003605487.1</t>
  </si>
  <si>
    <t>CIL07_RS04540</t>
  </si>
  <si>
    <t>WP_022668584.1</t>
  </si>
  <si>
    <t>CIL07_RS04545</t>
  </si>
  <si>
    <t>WP_019882126.1</t>
  </si>
  <si>
    <t>CIL07_RS04550</t>
  </si>
  <si>
    <t>CAP domain-containing protein</t>
  </si>
  <si>
    <t>WP_003605497.1</t>
  </si>
  <si>
    <t>CIL07_RS04555</t>
  </si>
  <si>
    <t>WP_003579976.1</t>
  </si>
  <si>
    <t>CIL07_RS04560</t>
  </si>
  <si>
    <t>DUF4767 domain-containing protein</t>
  </si>
  <si>
    <t>WP_003605498.1</t>
  </si>
  <si>
    <t>CIL07_RS04565</t>
  </si>
  <si>
    <t>CIL07_RS04570</t>
  </si>
  <si>
    <t>WP_225364973.1</t>
  </si>
  <si>
    <t>CIL07_RS04575</t>
  </si>
  <si>
    <t>glutamine-hydrolyzing GMP synthase</t>
  </si>
  <si>
    <t>guaA</t>
  </si>
  <si>
    <t>WP_003566292.1</t>
  </si>
  <si>
    <t>CIL07_RS04580</t>
  </si>
  <si>
    <t>type I pantothenate kinase</t>
  </si>
  <si>
    <t>coaA</t>
  </si>
  <si>
    <t>WP_003566294.1</t>
  </si>
  <si>
    <t>CIL07_RS04585</t>
  </si>
  <si>
    <t>WP_003580005.1</t>
  </si>
  <si>
    <t>CIL07_RS04590</t>
  </si>
  <si>
    <t>WP_003575717.1</t>
  </si>
  <si>
    <t>CIL07_RS04595</t>
  </si>
  <si>
    <t>WP_003570749.1</t>
  </si>
  <si>
    <t>CIL07_RS04600</t>
  </si>
  <si>
    <t>acyl-CoA thioesterase</t>
  </si>
  <si>
    <t>WP_003566302.1</t>
  </si>
  <si>
    <t>CIL07_RS04605</t>
  </si>
  <si>
    <t>RNA polymerase recycling motor HelD</t>
  </si>
  <si>
    <t>helD</t>
  </si>
  <si>
    <t>WP_003566303.1</t>
  </si>
  <si>
    <t>CIL07_RS04610</t>
  </si>
  <si>
    <t>CIL07_RS04615</t>
  </si>
  <si>
    <t>monovalent cation:proton antiporter family protein</t>
  </si>
  <si>
    <t>WP_003605537.1</t>
  </si>
  <si>
    <t>CIL07_RS04620</t>
  </si>
  <si>
    <t>proline-specific peptidase family protein</t>
  </si>
  <si>
    <t>WP_003566310.1</t>
  </si>
  <si>
    <t>CIL07_RS04625</t>
  </si>
  <si>
    <t>phage tail protein</t>
  </si>
  <si>
    <t>WP_372487215.1</t>
  </si>
  <si>
    <t>CIL07_RS04630</t>
  </si>
  <si>
    <t>Nramp family divalent metal transporter</t>
  </si>
  <si>
    <t>WP_003607459.1</t>
  </si>
  <si>
    <t>CIL07_RS04635</t>
  </si>
  <si>
    <t>ferrochelatase</t>
  </si>
  <si>
    <t>hemH</t>
  </si>
  <si>
    <t>WP_003605545.1</t>
  </si>
  <si>
    <t>CIL07_RS04640</t>
  </si>
  <si>
    <t>WP_003566320.1</t>
  </si>
  <si>
    <t>CIL07_RS04645</t>
  </si>
  <si>
    <t>WP_003585113.1</t>
  </si>
  <si>
    <t>CIL07_RS04650</t>
  </si>
  <si>
    <t>WP_103213805.1</t>
  </si>
  <si>
    <t>CIL07_RS04655</t>
  </si>
  <si>
    <t>APC family permease</t>
  </si>
  <si>
    <t>WP_003605549.1</t>
  </si>
  <si>
    <t>CIL07_RS04660</t>
  </si>
  <si>
    <t>WP_003605552.1</t>
  </si>
  <si>
    <t>CIL07_RS04665</t>
  </si>
  <si>
    <t>GTPase HflX</t>
  </si>
  <si>
    <t>hflX</t>
  </si>
  <si>
    <t>WP_103213806.1</t>
  </si>
  <si>
    <t>CIL07_RS04670</t>
  </si>
  <si>
    <t>polysaccharide deacetylase family protein</t>
  </si>
  <si>
    <t>WP_003605555.1</t>
  </si>
  <si>
    <t>CIL07_RS04675</t>
  </si>
  <si>
    <t>WP_003585120.1</t>
  </si>
  <si>
    <t>CIL07_RS04680</t>
  </si>
  <si>
    <t>C39 family peptidase</t>
  </si>
  <si>
    <t>WP_372487216.1</t>
  </si>
  <si>
    <t>CIL07_RS04685</t>
  </si>
  <si>
    <t>CIL07_RS04690</t>
  </si>
  <si>
    <t>WP_372487217.1</t>
  </si>
  <si>
    <t>CIL07_RS04695</t>
  </si>
  <si>
    <t>WP_103213569.1</t>
  </si>
  <si>
    <t>CIL07_RS04700</t>
  </si>
  <si>
    <t>O-antigen ligase</t>
  </si>
  <si>
    <t>WP_003606277.1</t>
  </si>
  <si>
    <t>CIL07_RS04705</t>
  </si>
  <si>
    <t>WP_237739009.1</t>
  </si>
  <si>
    <t>CIL07_RS04710</t>
  </si>
  <si>
    <t>lipopolysaccharide biosynthesis protein</t>
  </si>
  <si>
    <t>WP_016379500.1</t>
  </si>
  <si>
    <t>CIL07_RS04715</t>
  </si>
  <si>
    <t>WP_003606279.1</t>
  </si>
  <si>
    <t>CIL07_RS04720</t>
  </si>
  <si>
    <t>NAD-dependent epimerase/dehydratase family protein</t>
  </si>
  <si>
    <t>WP_003606280.1</t>
  </si>
  <si>
    <t>CIL07_RS04725</t>
  </si>
  <si>
    <t>2-C-methyl-D-erythritol 4-phosphate cytidylyltransferase</t>
  </si>
  <si>
    <t>WP_003585138.1</t>
  </si>
  <si>
    <t>CIL07_RS04730</t>
  </si>
  <si>
    <t>phosphorylcholine transferase LicD</t>
  </si>
  <si>
    <t>WP_003585140.1</t>
  </si>
  <si>
    <t>CIL07_RS04735</t>
  </si>
  <si>
    <t>WP_003606281.1</t>
  </si>
  <si>
    <t>CIL07_RS04740</t>
  </si>
  <si>
    <t>sugar transferase</t>
  </si>
  <si>
    <t>WP_103213568.1</t>
  </si>
  <si>
    <t>CIL07_RS04745</t>
  </si>
  <si>
    <t>WP_240031950.1</t>
  </si>
  <si>
    <t>CIL07_RS04750</t>
  </si>
  <si>
    <t>L,D-transpeptidase</t>
  </si>
  <si>
    <t>WP_372487218.1</t>
  </si>
  <si>
    <t>CIL07_RS04755</t>
  </si>
  <si>
    <t>CIL07_RS04760</t>
  </si>
  <si>
    <t>WP_003582147.1</t>
  </si>
  <si>
    <t>CIL07_RS04765</t>
  </si>
  <si>
    <t>CIL07_RS04770</t>
  </si>
  <si>
    <t>CIL07_RS04775</t>
  </si>
  <si>
    <t>WP_372487219.1</t>
  </si>
  <si>
    <t>CIL07_RS04780</t>
  </si>
  <si>
    <t>WP_240031952.1</t>
  </si>
  <si>
    <t>CIL07_RS04785</t>
  </si>
  <si>
    <t>WP_003605561.1</t>
  </si>
  <si>
    <t>CIL07_RS04790</t>
  </si>
  <si>
    <t>WP_152442204.1</t>
  </si>
  <si>
    <t>CIL07_RS04795</t>
  </si>
  <si>
    <t>glycosyltransferase family 39 protein</t>
  </si>
  <si>
    <t>WP_372487220.1</t>
  </si>
  <si>
    <t>CIL07_RS04800</t>
  </si>
  <si>
    <t>WP_372487234.1</t>
  </si>
  <si>
    <t>CIL07_RS04805</t>
  </si>
  <si>
    <t>WP_123157222.1</t>
  </si>
  <si>
    <t>CIL07_RS04810</t>
  </si>
  <si>
    <t>WP_103213998.1</t>
  </si>
  <si>
    <t>CIL07_RS04815</t>
  </si>
  <si>
    <t>WP_176783334.1</t>
  </si>
  <si>
    <t>CIL07_RS04820</t>
  </si>
  <si>
    <t>WP_003575766.1</t>
  </si>
  <si>
    <t>CIL07_RS04825</t>
  </si>
  <si>
    <t>WP_003566566.1</t>
  </si>
  <si>
    <t>CIL07_RS04830</t>
  </si>
  <si>
    <t>glutamate ABC transporter substrate-binding protein</t>
  </si>
  <si>
    <t>WP_003566568.1</t>
  </si>
  <si>
    <t>CIL07_RS04835</t>
  </si>
  <si>
    <t>WP_003591309.1</t>
  </si>
  <si>
    <t>CIL07_RS04840</t>
  </si>
  <si>
    <t>CIL07_RS04845</t>
  </si>
  <si>
    <t>DUF6681 family protein</t>
  </si>
  <si>
    <t>WP_103213808.1</t>
  </si>
  <si>
    <t>CIL07_RS04850</t>
  </si>
  <si>
    <t>WP_003566574.1</t>
  </si>
  <si>
    <t>CIL07_RS04855</t>
  </si>
  <si>
    <t>Fur family transcriptional regulator</t>
  </si>
  <si>
    <t>WP_003566577.1</t>
  </si>
  <si>
    <t>CIL07_RS04860</t>
  </si>
  <si>
    <t>putative metal homeostasis protein</t>
  </si>
  <si>
    <t>WP_003566579.1</t>
  </si>
  <si>
    <t>CIL07_RS04865</t>
  </si>
  <si>
    <t>WP_003585182.1</t>
  </si>
  <si>
    <t>CIL07_RS04870</t>
  </si>
  <si>
    <t>WP_103213809.1</t>
  </si>
  <si>
    <t>CIL07_RS04875</t>
  </si>
  <si>
    <t>C40 family peptidase</t>
  </si>
  <si>
    <t>WP_103213810.1</t>
  </si>
  <si>
    <t>CIL07_RS04880</t>
  </si>
  <si>
    <t>CIL07_RS04885</t>
  </si>
  <si>
    <t>tyrosine--tRNA ligase</t>
  </si>
  <si>
    <t>tyrS</t>
  </si>
  <si>
    <t>WP_103213811.1</t>
  </si>
  <si>
    <t>CIL07_RS04890</t>
  </si>
  <si>
    <t>cation diffusion facilitator family transporter</t>
  </si>
  <si>
    <t>WP_003566598.1</t>
  </si>
  <si>
    <t>CIL07_RS04895</t>
  </si>
  <si>
    <t>WP_003566600.1</t>
  </si>
  <si>
    <t>CIL07_RS04900</t>
  </si>
  <si>
    <t>FAD:protein FMN transferase</t>
  </si>
  <si>
    <t>WP_103213812.1</t>
  </si>
  <si>
    <t>CIL07_RS04905</t>
  </si>
  <si>
    <t>glycoside hydrolase family 13 protein</t>
  </si>
  <si>
    <t>WP_123157182.1</t>
  </si>
  <si>
    <t>CIL07_RS04910</t>
  </si>
  <si>
    <t>glycogen/starch/alpha-glucan phosphorylase</t>
  </si>
  <si>
    <t>WP_011674726.1</t>
  </si>
  <si>
    <t>CIL07_RS04915</t>
  </si>
  <si>
    <t>glycogen synthase GlgA</t>
  </si>
  <si>
    <t>glgA</t>
  </si>
  <si>
    <t>WP_003566617.1</t>
  </si>
  <si>
    <t>CIL07_RS04920</t>
  </si>
  <si>
    <t>glucose-1-phosphate adenylyltransferase subunit GlgD</t>
  </si>
  <si>
    <t>glgD</t>
  </si>
  <si>
    <t>WP_003566619.1</t>
  </si>
  <si>
    <t>CIL07_RS04925</t>
  </si>
  <si>
    <t>glucose-1-phosphate adenylyltransferase</t>
  </si>
  <si>
    <t>WP_103213814.1</t>
  </si>
  <si>
    <t>CIL07_RS04930</t>
  </si>
  <si>
    <t>1,4-alpha-glucan branching protein GlgB</t>
  </si>
  <si>
    <t>glgB</t>
  </si>
  <si>
    <t>WP_103213815.1</t>
  </si>
  <si>
    <t>CIL07_RS04935</t>
  </si>
  <si>
    <t>branched-chain amino acid aminotransferase</t>
  </si>
  <si>
    <t>WP_003566632.1</t>
  </si>
  <si>
    <t>CIL07_RS04940</t>
  </si>
  <si>
    <t>sortase domain-bontaining protein</t>
  </si>
  <si>
    <t>WP_003588299.1</t>
  </si>
  <si>
    <t>CIL07_RS04945</t>
  </si>
  <si>
    <t>WP_003580111.1</t>
  </si>
  <si>
    <t>CIL07_RS04950</t>
  </si>
  <si>
    <t>WP_032674949.1</t>
  </si>
  <si>
    <t>CIL07_RS04955</t>
  </si>
  <si>
    <t>fructose-bisphosphatase class III</t>
  </si>
  <si>
    <t>WP_016373062.1</t>
  </si>
  <si>
    <t>CIL07_RS04960</t>
  </si>
  <si>
    <t>Spx/MgsR family RNA polymerase-binding regulatory protein</t>
  </si>
  <si>
    <t>WP_003570841.1</t>
  </si>
  <si>
    <t>CIL07_RS04965</t>
  </si>
  <si>
    <t>AAA family ATPase</t>
  </si>
  <si>
    <t>WP_016381887.1</t>
  </si>
  <si>
    <t>CIL07_RS04970</t>
  </si>
  <si>
    <t>tyrosine-protein phosphatase</t>
  </si>
  <si>
    <t>WP_003570845.1</t>
  </si>
  <si>
    <t>CIL07_RS04975</t>
  </si>
  <si>
    <t>LCP family protein</t>
  </si>
  <si>
    <t>WP_103213816.1</t>
  </si>
  <si>
    <t>CIL07_RS04980</t>
  </si>
  <si>
    <t>ATP-binding protein</t>
  </si>
  <si>
    <t>WP_103213817.1</t>
  </si>
  <si>
    <t>CIL07_RS04985</t>
  </si>
  <si>
    <t>WP_103213818.1</t>
  </si>
  <si>
    <t>CIL07_RS04990</t>
  </si>
  <si>
    <t>UDP-galactopyranose mutase</t>
  </si>
  <si>
    <t>glf</t>
  </si>
  <si>
    <t>WP_103213820.1</t>
  </si>
  <si>
    <t>CIL07_RS04995</t>
  </si>
  <si>
    <t>WP_103213821.1</t>
  </si>
  <si>
    <t>CIL07_RS05000</t>
  </si>
  <si>
    <t>DUF4422 domain-containing protein</t>
  </si>
  <si>
    <t>WP_103213822.1</t>
  </si>
  <si>
    <t>CIL07_RS05005</t>
  </si>
  <si>
    <t>WP_103213823.1</t>
  </si>
  <si>
    <t>CIL07_RS05010</t>
  </si>
  <si>
    <t>polysaccharide pyruvyl transferase family protein</t>
  </si>
  <si>
    <t>WP_240162644.1</t>
  </si>
  <si>
    <t>CIL07_RS05015</t>
  </si>
  <si>
    <t>WP_103213825.1</t>
  </si>
  <si>
    <t>CIL07_RS05020</t>
  </si>
  <si>
    <t>WP_103213826.1</t>
  </si>
  <si>
    <t>CIL07_RS05025</t>
  </si>
  <si>
    <t>WP_103213827.1</t>
  </si>
  <si>
    <t>CIL07_RS05030</t>
  </si>
  <si>
    <t>polysaccharide polymerase</t>
  </si>
  <si>
    <t>WP_103213828.1</t>
  </si>
  <si>
    <t>CIL07_RS05035</t>
  </si>
  <si>
    <t>WP_176783335.1</t>
  </si>
  <si>
    <t>CIL07_RS05040</t>
  </si>
  <si>
    <t>CpsD/CapB family tyrosine-protein kinase</t>
  </si>
  <si>
    <t>WP_103213830.1</t>
  </si>
  <si>
    <t>CIL07_RS05045</t>
  </si>
  <si>
    <t>YveK family protein</t>
  </si>
  <si>
    <t>WP_103213831.1</t>
  </si>
  <si>
    <t>CIL07_RS05050</t>
  </si>
  <si>
    <t>WP_103213832.1</t>
  </si>
  <si>
    <t>CIL07_RS05055</t>
  </si>
  <si>
    <t>WP_372487222.1</t>
  </si>
  <si>
    <t>CIL07_RS05060</t>
  </si>
  <si>
    <t>QueT transporter family protein</t>
  </si>
  <si>
    <t>WP_003580148.1</t>
  </si>
  <si>
    <t>CIL07_RS05065</t>
  </si>
  <si>
    <t>3-oxoacyl-ACP reductase</t>
  </si>
  <si>
    <t>WP_103213833.1</t>
  </si>
  <si>
    <t>CIL07_RS05070</t>
  </si>
  <si>
    <t>DUF2829 domain-containing protein</t>
  </si>
  <si>
    <t>WP_003566696.1</t>
  </si>
  <si>
    <t>CIL07_RS05075</t>
  </si>
  <si>
    <t>WP_003566698.1</t>
  </si>
  <si>
    <t>CIL07_RS05080</t>
  </si>
  <si>
    <t>WP_003570958.1</t>
  </si>
  <si>
    <t>CIL07_RS05085</t>
  </si>
  <si>
    <t>WP_003570960.1</t>
  </si>
  <si>
    <t>CIL07_RS05090</t>
  </si>
  <si>
    <t>WP_003566704.1</t>
  </si>
  <si>
    <t>CIL07_RS05095</t>
  </si>
  <si>
    <t>WP_003566706.1</t>
  </si>
  <si>
    <t>CIL07_RS05100</t>
  </si>
  <si>
    <t>opp3b</t>
  </si>
  <si>
    <t>WP_003566708.1</t>
  </si>
  <si>
    <t>CIL07_RS05105</t>
  </si>
  <si>
    <t>WP_016386815.1</t>
  </si>
  <si>
    <t>CIL07_RS05110</t>
  </si>
  <si>
    <t>CIL07_RS05115</t>
  </si>
  <si>
    <t>WP_010620872.1</t>
  </si>
  <si>
    <t>CIL07_RS05120</t>
  </si>
  <si>
    <t>WP_002816285.1</t>
  </si>
  <si>
    <t>CIL07_RS05125</t>
  </si>
  <si>
    <t>CIL07_RS05130</t>
  </si>
  <si>
    <t>CIL07_RS05135</t>
  </si>
  <si>
    <t>WP_103213835.1</t>
  </si>
  <si>
    <t>CIL07_RS05140</t>
  </si>
  <si>
    <t>lactate utilization protein C</t>
  </si>
  <si>
    <t>WP_016385285.1</t>
  </si>
  <si>
    <t>CIL07_RS05145</t>
  </si>
  <si>
    <t>LutB/LldF family L-lactate oxidation iron-sulfur protein</t>
  </si>
  <si>
    <t>WP_003591378.1</t>
  </si>
  <si>
    <t>CIL07_RS05150</t>
  </si>
  <si>
    <t>(Fe-S)-binding protein</t>
  </si>
  <si>
    <t>WP_003570970.1</t>
  </si>
  <si>
    <t>CIL07_RS05155</t>
  </si>
  <si>
    <t>WP_003566723.1</t>
  </si>
  <si>
    <t>CIL07_RS05160</t>
  </si>
  <si>
    <t>WP_003591381.1</t>
  </si>
  <si>
    <t>CIL07_RS05165</t>
  </si>
  <si>
    <t>CIL07_RS05170</t>
  </si>
  <si>
    <t>WP_003570974.1</t>
  </si>
  <si>
    <t>CIL07_RS05175</t>
  </si>
  <si>
    <t>WP_003566730.1</t>
  </si>
  <si>
    <t>CIL07_RS05180</t>
  </si>
  <si>
    <t>WP_016379325.1</t>
  </si>
  <si>
    <t>CIL07_RS05185</t>
  </si>
  <si>
    <t>WP_103213836.1</t>
  </si>
  <si>
    <t>CIL07_RS05190</t>
  </si>
  <si>
    <t>peroxide stress protein YaaA</t>
  </si>
  <si>
    <t>yaaA</t>
  </si>
  <si>
    <t>WP_103213837.1</t>
  </si>
  <si>
    <t>CIL07_RS05195</t>
  </si>
  <si>
    <t>DUF2087 domain-containing protein</t>
  </si>
  <si>
    <t>WP_103213838.1</t>
  </si>
  <si>
    <t>CIL07_RS05200</t>
  </si>
  <si>
    <t>CIL07_RS05205</t>
  </si>
  <si>
    <t>WP_103213839.1</t>
  </si>
  <si>
    <t>CIL07_RS05210</t>
  </si>
  <si>
    <t>WP_103213840.1</t>
  </si>
  <si>
    <t>CIL07_RS05215</t>
  </si>
  <si>
    <t>WxL domain-containing protein</t>
  </si>
  <si>
    <t>WP_003566744.1</t>
  </si>
  <si>
    <t>CIL07_RS05220</t>
  </si>
  <si>
    <t>PfkB family carbohydrate kinase</t>
  </si>
  <si>
    <t>WP_103213841.1</t>
  </si>
  <si>
    <t>CIL07_RS05225</t>
  </si>
  <si>
    <t>CIL07_RS05230</t>
  </si>
  <si>
    <t>WP_103213842.1</t>
  </si>
  <si>
    <t>CIL07_RS05235</t>
  </si>
  <si>
    <t>DUF262 domain-containing protein</t>
  </si>
  <si>
    <t>WP_103213843.1</t>
  </si>
  <si>
    <t>CIL07_RS05240</t>
  </si>
  <si>
    <t>restriction endonuclease subunit S</t>
  </si>
  <si>
    <t>WP_372487223.1</t>
  </si>
  <si>
    <t>CIL07_RS05245</t>
  </si>
  <si>
    <t>WP_103213844.1</t>
  </si>
  <si>
    <t>CIL07_RS05250</t>
  </si>
  <si>
    <t>WP_372487224.1</t>
  </si>
  <si>
    <t>CIL07_RS05255</t>
  </si>
  <si>
    <t>type I restriction-modification system subunit M</t>
  </si>
  <si>
    <t>WP_103213845.1</t>
  </si>
  <si>
    <t>CIL07_RS05260</t>
  </si>
  <si>
    <t>type I restriction endonuclease subunit R</t>
  </si>
  <si>
    <t>WP_103213846.1</t>
  </si>
  <si>
    <t>CIL07_RS05265</t>
  </si>
  <si>
    <t>WP_103213848.1</t>
  </si>
  <si>
    <t>CIL07_RS05270</t>
  </si>
  <si>
    <t>AbrB/MazE/SpoVT family DNA-binding domain-containing protein</t>
  </si>
  <si>
    <t>WP_003571014.1</t>
  </si>
  <si>
    <t>CIL07_RS05275</t>
  </si>
  <si>
    <t>PTS beta-glucoside transporter subunit IIBCA</t>
  </si>
  <si>
    <t>WP_003606947.1</t>
  </si>
  <si>
    <t>CIL07_RS05280</t>
  </si>
  <si>
    <t>alpha-glucosidase</t>
  </si>
  <si>
    <t>WP_103213849.1</t>
  </si>
  <si>
    <t>CIL07_RS05285</t>
  </si>
  <si>
    <t>LacI family DNA-binding transcriptional regulator</t>
  </si>
  <si>
    <t>WP_103213850.1</t>
  </si>
  <si>
    <t>CIL07_RS05290</t>
  </si>
  <si>
    <t>sucrose-6-phosphate hydrolase</t>
  </si>
  <si>
    <t>WP_103213851.1</t>
  </si>
  <si>
    <t>CIL07_RS05295</t>
  </si>
  <si>
    <t>CIL07_RS05300</t>
  </si>
  <si>
    <t>cyclopropane-fatty-acyl-phospholipid synthase family protein</t>
  </si>
  <si>
    <t>WP_003580332.1</t>
  </si>
  <si>
    <t>CIL07_RS05305</t>
  </si>
  <si>
    <t>carboxyltransferase subunit alpha</t>
  </si>
  <si>
    <t>accA</t>
  </si>
  <si>
    <t>WP_003566764.1</t>
  </si>
  <si>
    <t>CIL07_RS05310</t>
  </si>
  <si>
    <t>acetyl-CoA carboxylase, carboxyltransferase subunit beta</t>
  </si>
  <si>
    <t>accD</t>
  </si>
  <si>
    <t>WP_103213853.1</t>
  </si>
  <si>
    <t>CIL07_RS05315</t>
  </si>
  <si>
    <t>acetyl/propionyl/methylcrotonyl-CoA carboxylase subunit alpha</t>
  </si>
  <si>
    <t>WP_003566767.1</t>
  </si>
  <si>
    <t>CIL07_RS05320</t>
  </si>
  <si>
    <t>3-hydroxyacyl-ACP dehydratase FabZ</t>
  </si>
  <si>
    <t>fabZ</t>
  </si>
  <si>
    <t>WP_003571030.1</t>
  </si>
  <si>
    <t>CIL07_RS05325</t>
  </si>
  <si>
    <t>acetyl-CoA carboxylase biotin carboxyl carrier protein</t>
  </si>
  <si>
    <t>accB</t>
  </si>
  <si>
    <t>WP_003566769.1</t>
  </si>
  <si>
    <t>CIL07_RS05330</t>
  </si>
  <si>
    <t>beta-ketoacyl-ACP synthase II</t>
  </si>
  <si>
    <t>fabF</t>
  </si>
  <si>
    <t>WP_176783337.1</t>
  </si>
  <si>
    <t>CIL07_RS05335</t>
  </si>
  <si>
    <t>beta-ketoacyl-ACP reductase</t>
  </si>
  <si>
    <t>WP_103213855.1</t>
  </si>
  <si>
    <t>CIL07_RS05340</t>
  </si>
  <si>
    <t>ACP S-malonyltransferase</t>
  </si>
  <si>
    <t>WP_016377077.1</t>
  </si>
  <si>
    <t>CIL07_RS05345</t>
  </si>
  <si>
    <t>nitronate monooxygenase</t>
  </si>
  <si>
    <t>WP_003566773.1</t>
  </si>
  <si>
    <t>CIL07_RS05350</t>
  </si>
  <si>
    <t>WP_003566774.1</t>
  </si>
  <si>
    <t>CIL07_RS05355</t>
  </si>
  <si>
    <t>beta-ketoacyl-ACP synthase III</t>
  </si>
  <si>
    <t>WP_003580349.1</t>
  </si>
  <si>
    <t>CIL07_RS05360</t>
  </si>
  <si>
    <t>MarR family winged helix-turn-helix transcriptional regulator</t>
  </si>
  <si>
    <t>WP_003566777.1</t>
  </si>
  <si>
    <t>CIL07_RS05365</t>
  </si>
  <si>
    <t>3-hydroxyacyl-ACP dehydratase FabZ family protein</t>
  </si>
  <si>
    <t>WP_103213857.1</t>
  </si>
  <si>
    <t>CIL07_RS05370</t>
  </si>
  <si>
    <t>alpha/beta fold hydrolase</t>
  </si>
  <si>
    <t>WP_042753735.1</t>
  </si>
  <si>
    <t>CIL07_RS05375</t>
  </si>
  <si>
    <t>iron-containing alcohol dehydrogenase</t>
  </si>
  <si>
    <t>WP_003575944.1</t>
  </si>
  <si>
    <t>CIL07_RS05380</t>
  </si>
  <si>
    <t>WP_003566781.1</t>
  </si>
  <si>
    <t>CIL07_RS05385</t>
  </si>
  <si>
    <t>DUF2316 family protein</t>
  </si>
  <si>
    <t>WP_003566782.1</t>
  </si>
  <si>
    <t>CIL07_RS05390</t>
  </si>
  <si>
    <t>WP_003603033.1</t>
  </si>
  <si>
    <t>CIL07_RS05395</t>
  </si>
  <si>
    <t>WP_003659416.1</t>
  </si>
  <si>
    <t>CIL07_RS05400</t>
  </si>
  <si>
    <t>alpha/beta hydrolase family protein</t>
  </si>
  <si>
    <t>WP_103213858.1</t>
  </si>
  <si>
    <t>CIL07_RS05405</t>
  </si>
  <si>
    <t>zinc ribbon domain-containing protein</t>
  </si>
  <si>
    <t>WP_103213859.1</t>
  </si>
  <si>
    <t>CIL07_RS05410</t>
  </si>
  <si>
    <t>WP_103213860.1</t>
  </si>
  <si>
    <t>CIL07_RS05415</t>
  </si>
  <si>
    <t>WP_103213861.1</t>
  </si>
  <si>
    <t>CIL07_RS05420</t>
  </si>
  <si>
    <t>WP_003566790.1</t>
  </si>
  <si>
    <t>CIL07_RS05425</t>
  </si>
  <si>
    <t>2,3-diphosphoglycerate-dependent phosphoglycerate mutase</t>
  </si>
  <si>
    <t>WP_003566791.1</t>
  </si>
  <si>
    <t>CIL07_RS05430</t>
  </si>
  <si>
    <t>WP_003566793.1</t>
  </si>
  <si>
    <t>CIL07_RS05435</t>
  </si>
  <si>
    <t>WP_103213862.1</t>
  </si>
  <si>
    <t>CIL07_RS05440</t>
  </si>
  <si>
    <t>WP_103213863.1</t>
  </si>
  <si>
    <t>CIL07_RS05445</t>
  </si>
  <si>
    <t>WP_003571106.1</t>
  </si>
  <si>
    <t>CIL07_RS05450</t>
  </si>
  <si>
    <t>class A sortase</t>
  </si>
  <si>
    <t>WP_103213864.1</t>
  </si>
  <si>
    <t>CIL07_RS05455</t>
  </si>
  <si>
    <t>GtrA family protein</t>
  </si>
  <si>
    <t>WP_003566836.1</t>
  </si>
  <si>
    <t>CIL07_RS05460</t>
  </si>
  <si>
    <t>WP_103213865.1</t>
  </si>
  <si>
    <t>CIL07_RS05465</t>
  </si>
  <si>
    <t>WP_103213866.1</t>
  </si>
  <si>
    <t>CIL07_RS05470</t>
  </si>
  <si>
    <t>glycine betaine ABC transporter substrate-binding protein</t>
  </si>
  <si>
    <t>WP_003566843.1</t>
  </si>
  <si>
    <t>CIL07_RS05475</t>
  </si>
  <si>
    <t>proline/glycine betaine ABC transporter permease</t>
  </si>
  <si>
    <t>WP_103213867.1</t>
  </si>
  <si>
    <t>CIL07_RS05480</t>
  </si>
  <si>
    <t>glycine betaine/L-proline ABC transporter ATP-binding protein</t>
  </si>
  <si>
    <t>WP_003571116.1</t>
  </si>
  <si>
    <t>CIL07_RS05485</t>
  </si>
  <si>
    <t>DNA/RNA nuclease SfsA</t>
  </si>
  <si>
    <t>sfsA</t>
  </si>
  <si>
    <t>WP_003571118.1</t>
  </si>
  <si>
    <t>CIL07_RS05490</t>
  </si>
  <si>
    <t>WP_003566853.1</t>
  </si>
  <si>
    <t>CIL07_RS05495</t>
  </si>
  <si>
    <t>carboxylate--amine ligase</t>
  </si>
  <si>
    <t>WP_103213876.1</t>
  </si>
  <si>
    <t>CIL07_RS05500</t>
  </si>
  <si>
    <t>homoserine kinase</t>
  </si>
  <si>
    <t>thrB</t>
  </si>
  <si>
    <t>WP_103213868.1</t>
  </si>
  <si>
    <t>CIL07_RS05505</t>
  </si>
  <si>
    <t>threonine synthase</t>
  </si>
  <si>
    <t>thrC</t>
  </si>
  <si>
    <t>WP_103213869.1</t>
  </si>
  <si>
    <t>CIL07_RS05510</t>
  </si>
  <si>
    <t>homoserine dehydrogenase</t>
  </si>
  <si>
    <t>WP_016372123.1</t>
  </si>
  <si>
    <t>CIL07_RS05515</t>
  </si>
  <si>
    <t>aspartate kinase</t>
  </si>
  <si>
    <t>WP_003591472.1</t>
  </si>
  <si>
    <t>CIL07_RS05520</t>
  </si>
  <si>
    <t>flotillin family protein</t>
  </si>
  <si>
    <t>WP_003571133.1</t>
  </si>
  <si>
    <t>CIL07_RS05525</t>
  </si>
  <si>
    <t>WP_003591475.1</t>
  </si>
  <si>
    <t>CIL07_RS05530</t>
  </si>
  <si>
    <t>PTS transporter subunit IIC</t>
  </si>
  <si>
    <t>WP_003576070.1</t>
  </si>
  <si>
    <t>CIL07_RS05535</t>
  </si>
  <si>
    <t>D-2-hydroxyacid dehydrogenase</t>
  </si>
  <si>
    <t>WP_103213870.1</t>
  </si>
  <si>
    <t>CIL07_RS05540</t>
  </si>
  <si>
    <t>WP_103213871.1</t>
  </si>
  <si>
    <t>CIL07_RS05545</t>
  </si>
  <si>
    <t>WP_003566876.1</t>
  </si>
  <si>
    <t>CIL07_RS05550</t>
  </si>
  <si>
    <t>TIGR00266 family protein</t>
  </si>
  <si>
    <t>WP_003566878.1</t>
  </si>
  <si>
    <t>CIL07_RS05555</t>
  </si>
  <si>
    <t>WP_003580439.1</t>
  </si>
  <si>
    <t>CIL07_RS05560</t>
  </si>
  <si>
    <t>asparagine synthase (glutamine-hydrolyzing)</t>
  </si>
  <si>
    <t>asnB</t>
  </si>
  <si>
    <t>WP_003566883.1</t>
  </si>
  <si>
    <t>CIL07_RS05565</t>
  </si>
  <si>
    <t>WP_103213872.1</t>
  </si>
  <si>
    <t>CIL07_RS05570</t>
  </si>
  <si>
    <t>1,4-dihydroxy-2-naphthoate polyprenyltransferase</t>
  </si>
  <si>
    <t>WP_103213873.1</t>
  </si>
  <si>
    <t>CIL07_RS05575</t>
  </si>
  <si>
    <t>WP_003571154.1</t>
  </si>
  <si>
    <t>CIL07_RS05580</t>
  </si>
  <si>
    <t>acetate kinase</t>
  </si>
  <si>
    <t>WP_003566891.1</t>
  </si>
  <si>
    <t>CIL07_RS05585</t>
  </si>
  <si>
    <t>WP_003566893.1</t>
  </si>
  <si>
    <t>CIL07_RS05590</t>
  </si>
  <si>
    <t>WP_103213874.1</t>
  </si>
  <si>
    <t>CIL07_RS05595</t>
  </si>
  <si>
    <t>WP_003566897.1</t>
  </si>
  <si>
    <t>CIL07_RS05600</t>
  </si>
  <si>
    <t>WP_003576081.1</t>
  </si>
  <si>
    <t>CIL07_RS05605</t>
  </si>
  <si>
    <t>ABC-2 transporter permease</t>
  </si>
  <si>
    <t>WP_016372681.1</t>
  </si>
  <si>
    <t>CIL07_RS05610</t>
  </si>
  <si>
    <t>CIL07_RS05615</t>
  </si>
  <si>
    <t>CIL07_RS05620</t>
  </si>
  <si>
    <t>CIL07_RS05625</t>
  </si>
  <si>
    <t>alanine dehydrogenase</t>
  </si>
  <si>
    <t>WP_103213877.1</t>
  </si>
  <si>
    <t>CIL07_RS05630</t>
  </si>
  <si>
    <t>bifunctional threonine ammonia-lyase/L-serine ammonia-lyase TdcB</t>
  </si>
  <si>
    <t>tdcB</t>
  </si>
  <si>
    <t>WP_103213878.1</t>
  </si>
  <si>
    <t>CIL07_RS05635</t>
  </si>
  <si>
    <t>OPT/YSL family transporter</t>
  </si>
  <si>
    <t>WP_103213879.1</t>
  </si>
  <si>
    <t>CIL07_RS05640</t>
  </si>
  <si>
    <t>WP_003566913.1</t>
  </si>
  <si>
    <t>CIL07_RS05645</t>
  </si>
  <si>
    <t>WP_103213880.1</t>
  </si>
  <si>
    <t>CIL07_RS05650</t>
  </si>
  <si>
    <t>NAD(P)/FAD-dependent oxidoreductase</t>
  </si>
  <si>
    <t>WP_103213881.1</t>
  </si>
  <si>
    <t>CIL07_RS05655</t>
  </si>
  <si>
    <t>DHA2 family efflux MFS transporter permease subunit</t>
  </si>
  <si>
    <t>WP_103213883.1</t>
  </si>
  <si>
    <t>CIL07_RS05660</t>
  </si>
  <si>
    <t>WP_003566920.1</t>
  </si>
  <si>
    <t>CIL07_RS05665</t>
  </si>
  <si>
    <t>glycoside hydrolase family 1 protein</t>
  </si>
  <si>
    <t>WP_103213885.1</t>
  </si>
  <si>
    <t>CIL07_RS05670</t>
  </si>
  <si>
    <t>beta-glucoside-specific PTS transporter subunit IIABC</t>
  </si>
  <si>
    <t>WP_103213886.1</t>
  </si>
  <si>
    <t>CIL07_RS05675</t>
  </si>
  <si>
    <t>PRD domain-containing protein</t>
  </si>
  <si>
    <t>WP_016384680.1</t>
  </si>
  <si>
    <t>CIL07_RS05680</t>
  </si>
  <si>
    <t>amino acid ABC transporter ATP-binding/permease protein</t>
  </si>
  <si>
    <t>WP_103213887.1</t>
  </si>
  <si>
    <t>CIL07_RS05685</t>
  </si>
  <si>
    <t>ABC transporter ATP-binding protein/permease</t>
  </si>
  <si>
    <t>WP_003571196.1</t>
  </si>
  <si>
    <t>CIL07_RS05690</t>
  </si>
  <si>
    <t>NusG domain II-containing protein</t>
  </si>
  <si>
    <t>WP_103213888.1</t>
  </si>
  <si>
    <t>CIL07_RS05695</t>
  </si>
  <si>
    <t>WP_003566934.1</t>
  </si>
  <si>
    <t>CIL07_RS05700</t>
  </si>
  <si>
    <t>WP_103213889.1</t>
  </si>
  <si>
    <t>CIL07_RS05705</t>
  </si>
  <si>
    <t>WP_003566938.1</t>
  </si>
  <si>
    <t>CIL07_RS05710</t>
  </si>
  <si>
    <t>WP_016387097.1</t>
  </si>
  <si>
    <t>CIL07_RS05715</t>
  </si>
  <si>
    <t>DUF4870 domain-containing protein</t>
  </si>
  <si>
    <t>WP_003566944.1</t>
  </si>
  <si>
    <t>CIL07_RS05720</t>
  </si>
  <si>
    <t>thiol reductant ABC exporter subunit CydC</t>
  </si>
  <si>
    <t>cydC</t>
  </si>
  <si>
    <t>WP_049144696.1</t>
  </si>
  <si>
    <t>CIL07_RS05725</t>
  </si>
  <si>
    <t>thiol reductant ABC exporter subunit CydD</t>
  </si>
  <si>
    <t>cydD</t>
  </si>
  <si>
    <t>WP_003571227.1</t>
  </si>
  <si>
    <t>CIL07_RS05730</t>
  </si>
  <si>
    <t>cytochrome d ubiquinol oxidase subunit II</t>
  </si>
  <si>
    <t>cydB</t>
  </si>
  <si>
    <t>WP_103213890.1</t>
  </si>
  <si>
    <t>CIL07_RS05735</t>
  </si>
  <si>
    <t>cytochrome ubiquinol oxidase subunit I</t>
  </si>
  <si>
    <t>WP_003580503.1</t>
  </si>
  <si>
    <t>CIL07_RS05740</t>
  </si>
  <si>
    <t>pyrimidine-nucleoside phosphorylase</t>
  </si>
  <si>
    <t>WP_103213891.1</t>
  </si>
  <si>
    <t>CIL07_RS05745</t>
  </si>
  <si>
    <t>adenosine deaminase</t>
  </si>
  <si>
    <t>add</t>
  </si>
  <si>
    <t>WP_123157235.1</t>
  </si>
  <si>
    <t>CIL07_RS05750</t>
  </si>
  <si>
    <t>WP_003566960.1</t>
  </si>
  <si>
    <t>CIL07_RS05755</t>
  </si>
  <si>
    <t>WP_003566962.1</t>
  </si>
  <si>
    <t>CIL07_RS05760</t>
  </si>
  <si>
    <t>WP_003571239.1</t>
  </si>
  <si>
    <t>CIL07_RS05765</t>
  </si>
  <si>
    <t>DMT family transporter</t>
  </si>
  <si>
    <t>WP_103213893.1</t>
  </si>
  <si>
    <t>CIL07_RS05770</t>
  </si>
  <si>
    <t>DNA-3-methyladenine glycosylase I</t>
  </si>
  <si>
    <t>WP_003588566.1</t>
  </si>
  <si>
    <t>CIL07_RS05775</t>
  </si>
  <si>
    <t>WP_003566971.1</t>
  </si>
  <si>
    <t>CIL07_RS05780</t>
  </si>
  <si>
    <t>WP_003566973.1</t>
  </si>
  <si>
    <t>CIL07_RS05785</t>
  </si>
  <si>
    <t>WP_003571245.1</t>
  </si>
  <si>
    <t>CIL07_RS05790</t>
  </si>
  <si>
    <t>tRNA epoxyqueuosine(34) reductase QueG</t>
  </si>
  <si>
    <t>queG</t>
  </si>
  <si>
    <t>WP_103213894.1</t>
  </si>
  <si>
    <t>CIL07_RS05795</t>
  </si>
  <si>
    <t>WP_103213895.1</t>
  </si>
  <si>
    <t>CIL07_RS05800</t>
  </si>
  <si>
    <t>biotin transporter BioY</t>
  </si>
  <si>
    <t>WP_103213896.1</t>
  </si>
  <si>
    <t>CIL07_RS05805</t>
  </si>
  <si>
    <t>WP_003566985.1</t>
  </si>
  <si>
    <t>CIL07_RS05810</t>
  </si>
  <si>
    <t>WP_003661893.1</t>
  </si>
  <si>
    <t>CIL07_RS05815</t>
  </si>
  <si>
    <t>WP_103213897.1</t>
  </si>
  <si>
    <t>CIL07_RS05820</t>
  </si>
  <si>
    <t>WP_103213898.1</t>
  </si>
  <si>
    <t>CIL07_RS05825</t>
  </si>
  <si>
    <t>WP_103213899.1</t>
  </si>
  <si>
    <t>CIL07_RS05830</t>
  </si>
  <si>
    <t>CIL07_RS05835</t>
  </si>
  <si>
    <t>bifunctional 2-polyprenyl-6-hydroxyphenol methylase/3-demethylubiquinol 3-O-methyltransferase UbiG</t>
  </si>
  <si>
    <t>WP_103213900.1</t>
  </si>
  <si>
    <t>CIL07_RS05840</t>
  </si>
  <si>
    <t>hydrolase</t>
  </si>
  <si>
    <t>WP_103213901.1</t>
  </si>
  <si>
    <t>CIL07_RS05845</t>
  </si>
  <si>
    <t>type 1 glutamine amidotransferase</t>
  </si>
  <si>
    <t>WP_103213902.1</t>
  </si>
  <si>
    <t>CIL07_RS05850</t>
  </si>
  <si>
    <t>TIGR02452 family protein</t>
  </si>
  <si>
    <t>WP_103213903.1</t>
  </si>
  <si>
    <t>CIL07_RS05855</t>
  </si>
  <si>
    <t>WP_003567003.1</t>
  </si>
  <si>
    <t>CIL07_RS05860</t>
  </si>
  <si>
    <t>MDR family MFS transporter</t>
  </si>
  <si>
    <t>WP_103213904.1</t>
  </si>
  <si>
    <t>CIL07_RS05865</t>
  </si>
  <si>
    <t>DUF4811 domain-containing protein</t>
  </si>
  <si>
    <t>WP_003571266.1</t>
  </si>
  <si>
    <t>CIL07_RS05870</t>
  </si>
  <si>
    <t>WP_032779235.1</t>
  </si>
  <si>
    <t>CIL07_RS05875</t>
  </si>
  <si>
    <t>nucleoside triphosphate pyrophosphatase</t>
  </si>
  <si>
    <t>WP_003571268.1</t>
  </si>
  <si>
    <t>CIL07_RS05880</t>
  </si>
  <si>
    <t>DNA mismatch repair endonuclease MutL</t>
  </si>
  <si>
    <t>mutL</t>
  </si>
  <si>
    <t>WP_103213905.1</t>
  </si>
  <si>
    <t>CIL07_RS05885</t>
  </si>
  <si>
    <t>DNA mismatch repair protein MutS</t>
  </si>
  <si>
    <t>mutS</t>
  </si>
  <si>
    <t>WP_103213906.1</t>
  </si>
  <si>
    <t>CIL07_RS05890</t>
  </si>
  <si>
    <t>WP_003584851.1</t>
  </si>
  <si>
    <t>CIL07_RS05895</t>
  </si>
  <si>
    <t>WP_003567020.1</t>
  </si>
  <si>
    <t>CIL07_RS05900</t>
  </si>
  <si>
    <t>chaperonin GroEL</t>
  </si>
  <si>
    <t>groL</t>
  </si>
  <si>
    <t>WP_003567042.1</t>
  </si>
  <si>
    <t>CIL07_RS05905</t>
  </si>
  <si>
    <t>co-chaperone GroES</t>
  </si>
  <si>
    <t>groES</t>
  </si>
  <si>
    <t>WP_003567052.1</t>
  </si>
  <si>
    <t>CIL07_RS05910</t>
  </si>
  <si>
    <t>CPBP family intramembrane glutamic endopeptidase</t>
  </si>
  <si>
    <t>WP_103213907.1</t>
  </si>
  <si>
    <t>CIL07_RS05915</t>
  </si>
  <si>
    <t>WP_003576133.1</t>
  </si>
  <si>
    <t>CIL07_RS05920</t>
  </si>
  <si>
    <t>WP_103213908.1</t>
  </si>
  <si>
    <t>CIL07_RS05925</t>
  </si>
  <si>
    <t>WP_003603162.1</t>
  </si>
  <si>
    <t>CIL07_RS05930</t>
  </si>
  <si>
    <t>WP_003567064.1</t>
  </si>
  <si>
    <t>CIL07_RS05935</t>
  </si>
  <si>
    <t>WP_372487225.1</t>
  </si>
  <si>
    <t>CIL07_RS05940</t>
  </si>
  <si>
    <t>WP_003567066.1</t>
  </si>
  <si>
    <t>CIL07_RS05945</t>
  </si>
  <si>
    <t>WP_003580616.1</t>
  </si>
  <si>
    <t>CIL07_RS05950</t>
  </si>
  <si>
    <t>WP_103213911.1</t>
  </si>
  <si>
    <t>CIL07_RS05955</t>
  </si>
  <si>
    <t>tRNA (adenosine(37)-N6)-threonylcarbamoyltransferase complex transferase subunit TsaD</t>
  </si>
  <si>
    <t>tsaD</t>
  </si>
  <si>
    <t>WP_003567073.1</t>
  </si>
  <si>
    <t>CIL07_RS05960</t>
  </si>
  <si>
    <t>ribosomal protein S18-alanine N-acetyltransferase</t>
  </si>
  <si>
    <t>rimI</t>
  </si>
  <si>
    <t>WP_003567075.1</t>
  </si>
  <si>
    <t>CIL07_RS05965</t>
  </si>
  <si>
    <t>tRNA (adenosine(37)-N6)-threonylcarbamoyltransferase complex dimerization subunit type 1 TsaB</t>
  </si>
  <si>
    <t>tsaB</t>
  </si>
  <si>
    <t>WP_003567077.1</t>
  </si>
  <si>
    <t>CIL07_RS05970</t>
  </si>
  <si>
    <t>WP_103213912.1</t>
  </si>
  <si>
    <t>CIL07_RS05975</t>
  </si>
  <si>
    <t>folate family ECF transporter S component</t>
  </si>
  <si>
    <t>WP_103213913.1</t>
  </si>
  <si>
    <t>CIL07_RS05980</t>
  </si>
  <si>
    <t>asparaginase</t>
  </si>
  <si>
    <t>WP_003567083.1</t>
  </si>
  <si>
    <t>CIL07_RS05985</t>
  </si>
  <si>
    <t>acyl-[acyl-carrier-protein] thioesterase</t>
  </si>
  <si>
    <t>WP_103213914.1</t>
  </si>
  <si>
    <t>CIL07_RS05990</t>
  </si>
  <si>
    <t>16S rRNA (cytidine(1402)-2'-O)-methyltransferase</t>
  </si>
  <si>
    <t>rsmI</t>
  </si>
  <si>
    <t>WP_003588618.1</t>
  </si>
  <si>
    <t>CIL07_RS05995</t>
  </si>
  <si>
    <t>DNA replication initiation control protein YabA</t>
  </si>
  <si>
    <t>WP_003567092.1</t>
  </si>
  <si>
    <t>CIL07_RS06000</t>
  </si>
  <si>
    <t>DNA polymerase III subunit delta'</t>
  </si>
  <si>
    <t>holB</t>
  </si>
  <si>
    <t>WP_103213915.1</t>
  </si>
  <si>
    <t>CIL07_RS06005</t>
  </si>
  <si>
    <t>cyclic-di-AMP receptor</t>
  </si>
  <si>
    <t>WP_003567098.1</t>
  </si>
  <si>
    <t>CIL07_RS06010</t>
  </si>
  <si>
    <t>dTMP kinase</t>
  </si>
  <si>
    <t>tmk</t>
  </si>
  <si>
    <t>WP_003580656.1</t>
  </si>
  <si>
    <t>CIL07_RS06015</t>
  </si>
  <si>
    <t>YaaL family protein</t>
  </si>
  <si>
    <t>WP_003567100.1</t>
  </si>
  <si>
    <t>CIL07_RS06020</t>
  </si>
  <si>
    <t>recombination mediator RecR</t>
  </si>
  <si>
    <t>recR</t>
  </si>
  <si>
    <t>WP_103213916.1</t>
  </si>
  <si>
    <t>CIL07_RS06025</t>
  </si>
  <si>
    <t>YbaB/EbfC family nucleoid-associated protein</t>
  </si>
  <si>
    <t>WP_003567105.1</t>
  </si>
  <si>
    <t>CIL07_RS06030</t>
  </si>
  <si>
    <t>DNA polymerase III subunit gamma/tau</t>
  </si>
  <si>
    <t>dnaX</t>
  </si>
  <si>
    <t>WP_012491889.1</t>
  </si>
  <si>
    <t>CIL07_RS06035</t>
  </si>
  <si>
    <t>signal recognition particle sRNA small type</t>
  </si>
  <si>
    <t>ffs</t>
  </si>
  <si>
    <t>CIL07_RS06040</t>
  </si>
  <si>
    <t>tRNA adenosine(34) deaminase TadA</t>
  </si>
  <si>
    <t>tadA</t>
  </si>
  <si>
    <t>WP_103213917.1</t>
  </si>
  <si>
    <t>CIL07_RS06045</t>
  </si>
  <si>
    <t>WP_003567111.1</t>
  </si>
  <si>
    <t>CIL07_RS06050</t>
  </si>
  <si>
    <t>WP_103213918.1</t>
  </si>
  <si>
    <t>CIL07_RS06055</t>
  </si>
  <si>
    <t>bifunctional lysylphosphatidylglycerol flippase/synthetase MprF</t>
  </si>
  <si>
    <t>mprF</t>
  </si>
  <si>
    <t>WP_103213919.1</t>
  </si>
  <si>
    <t>CIL07_RS06060</t>
  </si>
  <si>
    <t>WP_003571317.1</t>
  </si>
  <si>
    <t>CIL07_RS06065</t>
  </si>
  <si>
    <t>WP_003567118.1</t>
  </si>
  <si>
    <t>CIL07_RS06070</t>
  </si>
  <si>
    <t>PII-type proteinase</t>
  </si>
  <si>
    <t>prtP</t>
  </si>
  <si>
    <t>WP_103213920.1</t>
  </si>
  <si>
    <t>CIL07_RS06075</t>
  </si>
  <si>
    <t>peptidylprolyl isomerase PrsA</t>
  </si>
  <si>
    <t>WP_103213921.1</t>
  </si>
  <si>
    <t>CIL07_RS06080</t>
  </si>
  <si>
    <t>50S ribosomal protein L7/L12</t>
  </si>
  <si>
    <t>rplL</t>
  </si>
  <si>
    <t>WP_003567138.1</t>
  </si>
  <si>
    <t>CIL07_RS06085</t>
  </si>
  <si>
    <t>50S ribosomal protein L10</t>
  </si>
  <si>
    <t>rplJ</t>
  </si>
  <si>
    <t>WP_003567140.1</t>
  </si>
  <si>
    <t>CIL07_RS06090</t>
  </si>
  <si>
    <t>WP_103213922.1</t>
  </si>
  <si>
    <t>CIL07_RS06095</t>
  </si>
  <si>
    <t>WP_176783338.1</t>
  </si>
  <si>
    <t>CIL07_RS06100</t>
  </si>
  <si>
    <t>DUF3278 domain-containing protein</t>
  </si>
  <si>
    <t>WP_103213923.1</t>
  </si>
  <si>
    <t>CIL07_RS06105</t>
  </si>
  <si>
    <t>WP_103213924.1</t>
  </si>
  <si>
    <t>CIL07_RS06110</t>
  </si>
  <si>
    <t>NAD-dependent succinate-semialdehyde dehydrogenase</t>
  </si>
  <si>
    <t>WP_003591597.1</t>
  </si>
  <si>
    <t>CIL07_RS06115</t>
  </si>
  <si>
    <t>50S ribosomal protein L1</t>
  </si>
  <si>
    <t>rplA</t>
  </si>
  <si>
    <t>WP_003567153.1</t>
  </si>
  <si>
    <t>CIL07_RS06120</t>
  </si>
  <si>
    <t>50S ribosomal protein L11</t>
  </si>
  <si>
    <t>rplK</t>
  </si>
  <si>
    <t>WP_003567155.1</t>
  </si>
  <si>
    <t>CIL07_RS06125</t>
  </si>
  <si>
    <t>magnesium-translocating P-type ATPase</t>
  </si>
  <si>
    <t>mgtA</t>
  </si>
  <si>
    <t>WP_103213925.1</t>
  </si>
  <si>
    <t>CIL07_RS06130</t>
  </si>
  <si>
    <t>amidase</t>
  </si>
  <si>
    <t>WP_103213926.1</t>
  </si>
  <si>
    <t>CIL07_RS06135</t>
  </si>
  <si>
    <t>iron chaperone</t>
  </si>
  <si>
    <t>WP_103213927.1</t>
  </si>
  <si>
    <t>CIL07_RS06140</t>
  </si>
  <si>
    <t>cob(I)yrinic acid a,c-diamide adenosyltransferase</t>
  </si>
  <si>
    <t>WP_103213928.1</t>
  </si>
  <si>
    <t>CIL07_RS06145</t>
  </si>
  <si>
    <t>WP_003571346.1</t>
  </si>
  <si>
    <t>CIL07_RS06150</t>
  </si>
  <si>
    <t>DUF4430 domain-containing protein</t>
  </si>
  <si>
    <t>WP_103213929.1</t>
  </si>
  <si>
    <t>CIL07_RS06155</t>
  </si>
  <si>
    <t>ribonucleoside-triphosphate reductase, adenosylcobalamin-dependent</t>
  </si>
  <si>
    <t>nrdJ</t>
  </si>
  <si>
    <t>WP_103213930.1</t>
  </si>
  <si>
    <t>CIL07_RS06160</t>
  </si>
  <si>
    <t>WP_103213931.1</t>
  </si>
  <si>
    <t>CIL07_RS06165</t>
  </si>
  <si>
    <t>WP_103213932.1</t>
  </si>
  <si>
    <t>CIL07_RS06170</t>
  </si>
  <si>
    <t>transcription termination/antitermination protein NusG</t>
  </si>
  <si>
    <t>nusG</t>
  </si>
  <si>
    <t>WP_003567176.1</t>
  </si>
  <si>
    <t>CIL07_RS06175</t>
  </si>
  <si>
    <t>preprotein translocase subunit SecE</t>
  </si>
  <si>
    <t>secE</t>
  </si>
  <si>
    <t>WP_003567177.1</t>
  </si>
  <si>
    <t>CIL07_RS06180</t>
  </si>
  <si>
    <t>WP_003571356.1</t>
  </si>
  <si>
    <t>CIL07_RS06185</t>
  </si>
  <si>
    <t>UbiA family prenyltransferase</t>
  </si>
  <si>
    <t>WP_003580741.1</t>
  </si>
  <si>
    <t>CIL07_RS06190</t>
  </si>
  <si>
    <t>WP_103213933.1</t>
  </si>
  <si>
    <t>CIL07_RS06195</t>
  </si>
  <si>
    <t>WP_003580746.1</t>
  </si>
  <si>
    <t>CIL07_RS06200</t>
  </si>
  <si>
    <t>extracellular electron transfer flavoprotein PplA</t>
  </si>
  <si>
    <t>pplA</t>
  </si>
  <si>
    <t>WP_016385687.1</t>
  </si>
  <si>
    <t>CIL07_RS06205</t>
  </si>
  <si>
    <t>WP_103213934.1</t>
  </si>
  <si>
    <t>CIL07_RS06210</t>
  </si>
  <si>
    <t>WP_004469742.1</t>
  </si>
  <si>
    <t>CIL07_RS06215</t>
  </si>
  <si>
    <t>Gx transporter family protein</t>
  </si>
  <si>
    <t>WP_003567195.1</t>
  </si>
  <si>
    <t>CIL07_RS06220</t>
  </si>
  <si>
    <t>WP_176783339.1</t>
  </si>
  <si>
    <t>CIL07_RS06225</t>
  </si>
  <si>
    <t>WP_011674853.1</t>
  </si>
  <si>
    <t>CIL07_RS06230</t>
  </si>
  <si>
    <t>WP_103213935.1</t>
  </si>
  <si>
    <t>CIL07_RS06235</t>
  </si>
  <si>
    <t>LLM class flavin-dependent oxidoreductase</t>
  </si>
  <si>
    <t>WP_003605017.1</t>
  </si>
  <si>
    <t>CIL07_RS06240</t>
  </si>
  <si>
    <t>WP_057709095.1</t>
  </si>
  <si>
    <t>CIL07_RS06245</t>
  </si>
  <si>
    <t>NYN domain-containing protein</t>
  </si>
  <si>
    <t>WP_003576196.1</t>
  </si>
  <si>
    <t>CIL07_RS06250</t>
  </si>
  <si>
    <t>23S rRNA (guanosine(2251)-2'-O)-methyltransferase RlmB</t>
  </si>
  <si>
    <t>rlmB</t>
  </si>
  <si>
    <t>WP_003567217.1</t>
  </si>
  <si>
    <t>CIL07_RS06255</t>
  </si>
  <si>
    <t>Mini-ribonuclease 3</t>
  </si>
  <si>
    <t>WP_003567219.1</t>
  </si>
  <si>
    <t>CIL07_RS06260</t>
  </si>
  <si>
    <t>cysteine--tRNA ligase</t>
  </si>
  <si>
    <t>cysS</t>
  </si>
  <si>
    <t>WP_016365346.1</t>
  </si>
  <si>
    <t>CIL07_RS06265</t>
  </si>
  <si>
    <t>FAD-binding oxidoreductase</t>
  </si>
  <si>
    <t>WP_101512212.1</t>
  </si>
  <si>
    <t>CIL07_RS06270</t>
  </si>
  <si>
    <t>WP_103213936.1</t>
  </si>
  <si>
    <t>CIL07_RS06275</t>
  </si>
  <si>
    <t>WP_003567227.1</t>
  </si>
  <si>
    <t>CIL07_RS06280</t>
  </si>
  <si>
    <t>CIL07_RS06285</t>
  </si>
  <si>
    <t>glutamate--tRNA ligase</t>
  </si>
  <si>
    <t>gltX</t>
  </si>
  <si>
    <t>WP_003576207.1</t>
  </si>
  <si>
    <t>CIL07_RS06290</t>
  </si>
  <si>
    <t>WP_103213939.1</t>
  </si>
  <si>
    <t>CIL07_RS06295</t>
  </si>
  <si>
    <t>ribose-5-phosphate isomerase A</t>
  </si>
  <si>
    <t>WP_103213940.1</t>
  </si>
  <si>
    <t>CIL07_RS06300</t>
  </si>
  <si>
    <t>MurR/RpiR family transcriptional regulator</t>
  </si>
  <si>
    <t>WP_003576213.1</t>
  </si>
  <si>
    <t>CIL07_RS06305</t>
  </si>
  <si>
    <t>YhfC family intramembrane metalloprotease</t>
  </si>
  <si>
    <t>WP_003603238.1</t>
  </si>
  <si>
    <t>CIL07_RS06310</t>
  </si>
  <si>
    <t>DUF5808 domain-containing protein</t>
  </si>
  <si>
    <t>WP_103213941.1</t>
  </si>
  <si>
    <t>CIL07_RS06315</t>
  </si>
  <si>
    <t>WP_003567242.1</t>
  </si>
  <si>
    <t>CIL07_RS06320</t>
  </si>
  <si>
    <t>WP_103213942.1</t>
  </si>
  <si>
    <t>CIL07_RS06325</t>
  </si>
  <si>
    <t>CIL07_RS06330</t>
  </si>
  <si>
    <t>PIN/TRAM domain-containing protein</t>
  </si>
  <si>
    <t>WP_103213943.1</t>
  </si>
  <si>
    <t>CIL07_RS06335</t>
  </si>
  <si>
    <t>DNA repair protein RadA</t>
  </si>
  <si>
    <t>radA</t>
  </si>
  <si>
    <t>WP_003580798.1</t>
  </si>
  <si>
    <t>CIL07_RS06340</t>
  </si>
  <si>
    <t>dUTP diphosphatase</t>
  </si>
  <si>
    <t>WP_103213944.1</t>
  </si>
  <si>
    <t>CIL07_RS06345</t>
  </si>
  <si>
    <t>WP_003567258.1</t>
  </si>
  <si>
    <t>CIL07_RS06350</t>
  </si>
  <si>
    <t>DUF805 domain-containing protein</t>
  </si>
  <si>
    <t>WP_003567260.1</t>
  </si>
  <si>
    <t>CIL07_RS06355</t>
  </si>
  <si>
    <t>CIL07_RS06360</t>
  </si>
  <si>
    <t>aminopeptidase C</t>
  </si>
  <si>
    <t>WP_103213945.1</t>
  </si>
  <si>
    <t>CIL07_RS06365</t>
  </si>
  <si>
    <t>WP_016388385.1</t>
  </si>
  <si>
    <t>CIL07_RS06370</t>
  </si>
  <si>
    <t>WP_103213946.1</t>
  </si>
  <si>
    <t>CIL07_RS06375</t>
  </si>
  <si>
    <t>WP_003576229.1</t>
  </si>
  <si>
    <t>CIL07_RS06380</t>
  </si>
  <si>
    <t>CIL07_RS06385</t>
  </si>
  <si>
    <t>KUP/HAK/KT family potassium transporter</t>
  </si>
  <si>
    <t>WP_003567271.1</t>
  </si>
  <si>
    <t>CIL07_RS06390</t>
  </si>
  <si>
    <t>pyruvate, phosphate dikinase</t>
  </si>
  <si>
    <t>ppdK</t>
  </si>
  <si>
    <t>WP_103213947.1</t>
  </si>
  <si>
    <t>CIL07_RS06395</t>
  </si>
  <si>
    <t>CBS domain-containing protein</t>
  </si>
  <si>
    <t>WP_100908629.1</t>
  </si>
  <si>
    <t>CIL07_RS06400</t>
  </si>
  <si>
    <t>WP_003605932.1</t>
  </si>
  <si>
    <t>CIL07_RS06405</t>
  </si>
  <si>
    <t>low temperature requirement protein A</t>
  </si>
  <si>
    <t>WP_103213948.1</t>
  </si>
  <si>
    <t>CIL07_RS06410</t>
  </si>
  <si>
    <t>chromosome partitioning protein ParB</t>
  </si>
  <si>
    <t>WP_003567280.1</t>
  </si>
  <si>
    <t>CIL07_RS06415</t>
  </si>
  <si>
    <t>lactate oxidase</t>
  </si>
  <si>
    <t>WP_022671394.1</t>
  </si>
  <si>
    <t>CIL07_RS06420</t>
  </si>
  <si>
    <t>CsbD family protein</t>
  </si>
  <si>
    <t>WP_003567284.1</t>
  </si>
  <si>
    <t>CIL07_RS06425</t>
  </si>
  <si>
    <t>WP_003567286.1</t>
  </si>
  <si>
    <t>CIL07_RS06430</t>
  </si>
  <si>
    <t>WP_003567288.1</t>
  </si>
  <si>
    <t>CIL07_RS06435</t>
  </si>
  <si>
    <t>WP_003567290.1</t>
  </si>
  <si>
    <t>CIL07_RS06440</t>
  </si>
  <si>
    <t>WP_003567292.1</t>
  </si>
  <si>
    <t>CIL07_RS06445</t>
  </si>
  <si>
    <t>glutamate-5-semialdehyde dehydrogenase</t>
  </si>
  <si>
    <t>WP_003576247.1</t>
  </si>
  <si>
    <t>CIL07_RS06450</t>
  </si>
  <si>
    <t>glutamate 5-kinase</t>
  </si>
  <si>
    <t>proB</t>
  </si>
  <si>
    <t>WP_003588744.1</t>
  </si>
  <si>
    <t>CIL07_RS06455</t>
  </si>
  <si>
    <t>WP_003567298.1</t>
  </si>
  <si>
    <t>CIL07_RS06460</t>
  </si>
  <si>
    <t>WP_003571396.1</t>
  </si>
  <si>
    <t>CIL07_RS06465</t>
  </si>
  <si>
    <t>WP_003567302.1</t>
  </si>
  <si>
    <t>CIL07_RS06470</t>
  </si>
  <si>
    <t>class C sortase</t>
  </si>
  <si>
    <t>WP_100908632.1</t>
  </si>
  <si>
    <t>CIL07_RS06475</t>
  </si>
  <si>
    <t>SpaH/EbpB family LPXTG-anchored major pilin</t>
  </si>
  <si>
    <t>WP_003605942.1</t>
  </si>
  <si>
    <t>CIL07_RS06480</t>
  </si>
  <si>
    <t>pilin N-terminal domain-containing protein</t>
  </si>
  <si>
    <t>WP_003605943.1</t>
  </si>
  <si>
    <t>CIL07_RS06485</t>
  </si>
  <si>
    <t>SpaA isopeptide-forming pilin-related protein</t>
  </si>
  <si>
    <t>WP_100908633.1</t>
  </si>
  <si>
    <t>CIL07_RS06490</t>
  </si>
  <si>
    <t>WP_063557695.1</t>
  </si>
  <si>
    <t>CIL07_RS06495</t>
  </si>
  <si>
    <t>CIL07_RS06500</t>
  </si>
  <si>
    <t>Mbeg1-like protein</t>
  </si>
  <si>
    <t>WP_003605954.1</t>
  </si>
  <si>
    <t>CIL07_RS06505</t>
  </si>
  <si>
    <t>WP_003576277.1</t>
  </si>
  <si>
    <t>CIL07_RS06510</t>
  </si>
  <si>
    <t>WP_003567322.1</t>
  </si>
  <si>
    <t>CIL07_RS06515</t>
  </si>
  <si>
    <t>WP_003605955.1</t>
  </si>
  <si>
    <t>CIL07_RS06520</t>
  </si>
  <si>
    <t>WP_003567326.1</t>
  </si>
  <si>
    <t>CIL07_RS06525</t>
  </si>
  <si>
    <t>bacteriocin immunity protein</t>
  </si>
  <si>
    <t>WP_103213949.1</t>
  </si>
  <si>
    <t>CIL07_RS06530</t>
  </si>
  <si>
    <t>WP_003567331.1</t>
  </si>
  <si>
    <t>CIL07_RS06535</t>
  </si>
  <si>
    <t>WP_003605958.1</t>
  </si>
  <si>
    <t>CIL07_RS06540</t>
  </si>
  <si>
    <t>threonine/serine exporter ThrE family protein</t>
  </si>
  <si>
    <t>WP_003567335.1</t>
  </si>
  <si>
    <t>CIL07_RS06545</t>
  </si>
  <si>
    <t>WP_003580849.1</t>
  </si>
  <si>
    <t>CIL07_RS06550</t>
  </si>
  <si>
    <t>WP_003567340.1</t>
  </si>
  <si>
    <t>CIL07_RS06555</t>
  </si>
  <si>
    <t>CIL07_RS06560</t>
  </si>
  <si>
    <t>CIL07_RS06565</t>
  </si>
  <si>
    <t>CIL07_RS06570</t>
  </si>
  <si>
    <t>CIL07_RS06575</t>
  </si>
  <si>
    <t>peptide cleavage/export ABC transporter</t>
  </si>
  <si>
    <t>WP_100908635.1</t>
  </si>
  <si>
    <t>CIL07_RS06580</t>
  </si>
  <si>
    <t>bacteriocin-like peptide, LSEI_2386 family</t>
  </si>
  <si>
    <t>WP_003571414.1</t>
  </si>
  <si>
    <t>CIL07_RS06585</t>
  </si>
  <si>
    <t>GHKL domain-containing protein</t>
  </si>
  <si>
    <t>WP_045603255.1</t>
  </si>
  <si>
    <t>CIL07_RS06590</t>
  </si>
  <si>
    <t>LytTR family DNA-binding domain-containing protein</t>
  </si>
  <si>
    <t>WP_003567351.1</t>
  </si>
  <si>
    <t>CIL07_RS06595</t>
  </si>
  <si>
    <t>CIL07_RS06600</t>
  </si>
  <si>
    <t>CIL07_RS06605</t>
  </si>
  <si>
    <t>CIL07_RS06610</t>
  </si>
  <si>
    <t>WP_003587111.1</t>
  </si>
  <si>
    <t>CIL07_RS06615</t>
  </si>
  <si>
    <t>WP_003587109.1</t>
  </si>
  <si>
    <t>CIL07_RS06620</t>
  </si>
  <si>
    <t>WP_032676118.1</t>
  </si>
  <si>
    <t>CIL07_RS06625</t>
  </si>
  <si>
    <t>WP_279280242.1</t>
  </si>
  <si>
    <t>CIL07_RS06630</t>
  </si>
  <si>
    <t>CIL07_RS06635</t>
  </si>
  <si>
    <t>CIL07_RS06640</t>
  </si>
  <si>
    <t>WP_103213785.1</t>
  </si>
  <si>
    <t>CIL07_RS06645</t>
  </si>
  <si>
    <t>WP_128538893.1</t>
  </si>
  <si>
    <t>CIL07_RS06650</t>
  </si>
  <si>
    <t>WP_003586931.1</t>
  </si>
  <si>
    <t>CIL07_RS06655</t>
  </si>
  <si>
    <t>ArpU family phage packaging/lysis transcriptional regulator</t>
  </si>
  <si>
    <t>WP_010493154.1</t>
  </si>
  <si>
    <t>CIL07_RS06660</t>
  </si>
  <si>
    <t>WP_003586929.1</t>
  </si>
  <si>
    <t>CIL07_RS06665</t>
  </si>
  <si>
    <t>WP_010493149.1</t>
  </si>
  <si>
    <t>CIL07_RS06670</t>
  </si>
  <si>
    <t>WP_003572217.1</t>
  </si>
  <si>
    <t>CIL07_RS06675</t>
  </si>
  <si>
    <t>WP_003564822.1</t>
  </si>
  <si>
    <t>CIL07_RS06680</t>
  </si>
  <si>
    <t>WP_003574016.1</t>
  </si>
  <si>
    <t>CIL07_RS06685</t>
  </si>
  <si>
    <t>WP_003574014.1</t>
  </si>
  <si>
    <t>CIL07_RS06690</t>
  </si>
  <si>
    <t>WP_003586926.1</t>
  </si>
  <si>
    <t>CIL07_RS06695</t>
  </si>
  <si>
    <t>WP_003661649.1</t>
  </si>
  <si>
    <t>CIL07_RS06700</t>
  </si>
  <si>
    <t>WP_103213786.1</t>
  </si>
  <si>
    <t>CIL07_RS06705</t>
  </si>
  <si>
    <t>WP_003572201.1</t>
  </si>
  <si>
    <t>CIL07_RS06710</t>
  </si>
  <si>
    <t>DUF771 domain-containing protein</t>
  </si>
  <si>
    <t>WP_003586919.1</t>
  </si>
  <si>
    <t>CIL07_RS06715</t>
  </si>
  <si>
    <t>DUF1883 domain-containing protein</t>
  </si>
  <si>
    <t>WP_003606636.1</t>
  </si>
  <si>
    <t>CIL07_RS06720</t>
  </si>
  <si>
    <t>WP_003572193.1</t>
  </si>
  <si>
    <t>CIL07_RS06725</t>
  </si>
  <si>
    <t>ORF6N domain-containing protein</t>
  </si>
  <si>
    <t>WP_010493122.1</t>
  </si>
  <si>
    <t>CIL07_RS06730</t>
  </si>
  <si>
    <t>TIGR02391 family protein</t>
  </si>
  <si>
    <t>WP_003586916.1</t>
  </si>
  <si>
    <t>CIL07_RS06735</t>
  </si>
  <si>
    <t>WP_003572187.1</t>
  </si>
  <si>
    <t>CIL07_RS06740</t>
  </si>
  <si>
    <t>WP_003574003.1</t>
  </si>
  <si>
    <t>CIL07_RS06745</t>
  </si>
  <si>
    <t>WP_003572184.1</t>
  </si>
  <si>
    <t>CIL07_RS06750</t>
  </si>
  <si>
    <t>ImmA/IrrE family metallo-endopeptidase</t>
  </si>
  <si>
    <t>WP_003572182.1</t>
  </si>
  <si>
    <t>CIL07_RS06755</t>
  </si>
  <si>
    <t>WP_003586913.1</t>
  </si>
  <si>
    <t>CIL07_RS06760</t>
  </si>
  <si>
    <t>WP_016365098.1</t>
  </si>
  <si>
    <t>CIL07_RS06765</t>
  </si>
  <si>
    <t>WP_003586911.1</t>
  </si>
  <si>
    <t>CIL07_RS06770</t>
  </si>
  <si>
    <t>CIL07_RS06775</t>
  </si>
  <si>
    <t>WP_003606553.1</t>
  </si>
  <si>
    <t>CIL07_RS06780</t>
  </si>
  <si>
    <t>WP_003569067.1</t>
  </si>
  <si>
    <t>CIL07_RS06785</t>
  </si>
  <si>
    <t>CIL07_RS06790</t>
  </si>
  <si>
    <t>WP_003604444.1</t>
  </si>
  <si>
    <t>CIL07_RS06795</t>
  </si>
  <si>
    <t>cysteine synthase A</t>
  </si>
  <si>
    <t>cysK</t>
  </si>
  <si>
    <t>WP_022671487.1</t>
  </si>
  <si>
    <t>CIL07_RS06800</t>
  </si>
  <si>
    <t>homoserine O-succinyltransferase</t>
  </si>
  <si>
    <t>WP_003573694.1</t>
  </si>
  <si>
    <t>CIL07_RS06805</t>
  </si>
  <si>
    <t>shikimate dehydrogenase</t>
  </si>
  <si>
    <t>WP_003604442.1</t>
  </si>
  <si>
    <t>CIL07_RS06810</t>
  </si>
  <si>
    <t>WP_103213658.1</t>
  </si>
  <si>
    <t>CIL07_RS06815</t>
  </si>
  <si>
    <t>aroE</t>
  </si>
  <si>
    <t>WP_003604440.1</t>
  </si>
  <si>
    <t>CIL07_RS06820</t>
  </si>
  <si>
    <t>WP_003604439.1</t>
  </si>
  <si>
    <t>CIL07_RS06825</t>
  </si>
  <si>
    <t>sugar phosphate isomerase/epimerase</t>
  </si>
  <si>
    <t>WP_003577882.1</t>
  </si>
  <si>
    <t>CIL07_RS06830</t>
  </si>
  <si>
    <t>WP_003573683.1</t>
  </si>
  <si>
    <t>CIL07_RS06835</t>
  </si>
  <si>
    <t>DUF1440 domain-containing protein</t>
  </si>
  <si>
    <t>WP_003563498.1</t>
  </si>
  <si>
    <t>CIL07_RS06840</t>
  </si>
  <si>
    <t>WP_003577866.1</t>
  </si>
  <si>
    <t>CIL07_RS06845</t>
  </si>
  <si>
    <t>M1 family metallopeptidase</t>
  </si>
  <si>
    <t>WP_022671486.1</t>
  </si>
  <si>
    <t>CIL07_RS06850</t>
  </si>
  <si>
    <t>Fn3-like domain-containing protein</t>
  </si>
  <si>
    <t>WP_045600496.1</t>
  </si>
  <si>
    <t>CIL07_RS06855</t>
  </si>
  <si>
    <t>S8 family serine peptidase</t>
  </si>
  <si>
    <t>WP_100908407.1</t>
  </si>
  <si>
    <t>CIL07_RS06860</t>
  </si>
  <si>
    <t>WP_003604434.1</t>
  </si>
  <si>
    <t>CIL07_RS06865</t>
  </si>
  <si>
    <t>WP_045600486.1</t>
  </si>
  <si>
    <t>CIL07_RS06870</t>
  </si>
  <si>
    <t>WP_003604430.1</t>
  </si>
  <si>
    <t>CIL07_RS06875</t>
  </si>
  <si>
    <t>CIL07_RS06880</t>
  </si>
  <si>
    <t>WP_003604425.1</t>
  </si>
  <si>
    <t>CIL07_RS06885</t>
  </si>
  <si>
    <t>WP_022671483.1</t>
  </si>
  <si>
    <t>CIL07_RS06890</t>
  </si>
  <si>
    <t>WP_003573657.1</t>
  </si>
  <si>
    <t>CIL07_RS06895</t>
  </si>
  <si>
    <t>WP_372487228.1</t>
  </si>
  <si>
    <t>CIL07_RS06900</t>
  </si>
  <si>
    <t>WP_003569046.1</t>
  </si>
  <si>
    <t>CIL07_RS06905</t>
  </si>
  <si>
    <t>WP_372487229.1</t>
  </si>
  <si>
    <t>CIL07_RS06910</t>
  </si>
  <si>
    <t>WP_372487230.1</t>
  </si>
  <si>
    <t>CIL07_RS06915</t>
  </si>
  <si>
    <t>CIL07_RS06920</t>
  </si>
  <si>
    <t>CIL07_RS06925</t>
  </si>
  <si>
    <t>transcription antiterminator</t>
  </si>
  <si>
    <t>WP_049176937.1</t>
  </si>
  <si>
    <t>CIL07_RS06930</t>
  </si>
  <si>
    <t>WP_003563473.1</t>
  </si>
  <si>
    <t>CIL07_RS06935</t>
  </si>
  <si>
    <t>WP_003583340.1</t>
  </si>
  <si>
    <t>CIL07_RS06940</t>
  </si>
  <si>
    <t>WP_003573646.1</t>
  </si>
  <si>
    <t>CIL07_RS06945</t>
  </si>
  <si>
    <t>WP_045600264.1</t>
  </si>
  <si>
    <t>CIL07_RS06950</t>
  </si>
  <si>
    <t>WP_003583336.1</t>
  </si>
  <si>
    <t>CIL07_RS06955</t>
  </si>
  <si>
    <t>WP_003583334.1</t>
  </si>
  <si>
    <t>CIL07_RS06960</t>
  </si>
  <si>
    <t>zinc-binding alcohol dehydrogenase family protein</t>
  </si>
  <si>
    <t>WP_003583332.1</t>
  </si>
  <si>
    <t>CIL07_RS06965</t>
  </si>
  <si>
    <t>aldo/keto reductase</t>
  </si>
  <si>
    <t>WP_003604413.1</t>
  </si>
  <si>
    <t>CIL07_RS06970</t>
  </si>
  <si>
    <t>WP_003604412.1</t>
  </si>
  <si>
    <t>CIL07_RS06975</t>
  </si>
  <si>
    <t>WP_003589893.1</t>
  </si>
  <si>
    <t>CIL07_RS06980</t>
  </si>
  <si>
    <t>amidohydrolase family protein</t>
  </si>
  <si>
    <t>WP_049176942.1</t>
  </si>
  <si>
    <t>CIL07_RS06985</t>
  </si>
  <si>
    <t>glutamine synthetase family protein</t>
  </si>
  <si>
    <t>WP_003604401.1</t>
  </si>
  <si>
    <t>CIL07_RS06990</t>
  </si>
  <si>
    <t>gamma-glutamyl-gamma-aminobutyrate hydrolase family protein</t>
  </si>
  <si>
    <t>WP_003604400.1</t>
  </si>
  <si>
    <t>CIL07_RS06995</t>
  </si>
  <si>
    <t>WP_003563450.1</t>
  </si>
  <si>
    <t>CIL07_RS07000</t>
  </si>
  <si>
    <t>mandelate racemase/muconate lactonizing enzyme family protein</t>
  </si>
  <si>
    <t>WP_003569022.1</t>
  </si>
  <si>
    <t>CIL07_RS07005</t>
  </si>
  <si>
    <t>WP_003573627.1</t>
  </si>
  <si>
    <t>CIL07_RS07010</t>
  </si>
  <si>
    <t>WP_049176945.1</t>
  </si>
  <si>
    <t>CIL07_RS07015</t>
  </si>
  <si>
    <t>CIL07_RS07020</t>
  </si>
  <si>
    <t>class II fructose-1,6-bisphosphate aldolase</t>
  </si>
  <si>
    <t>fba</t>
  </si>
  <si>
    <t>WP_003563442.1</t>
  </si>
  <si>
    <t>CIL07_RS07025</t>
  </si>
  <si>
    <t>WP_049176947.1</t>
  </si>
  <si>
    <t>CIL07_RS07030</t>
  </si>
  <si>
    <t>WP_003604397.1</t>
  </si>
  <si>
    <t>CIL07_RS07035</t>
  </si>
  <si>
    <t>WP_003604395.1</t>
  </si>
  <si>
    <t>CIL07_RS07040</t>
  </si>
  <si>
    <t>WP_003583313.1</t>
  </si>
  <si>
    <t>CIL07_RS07045</t>
  </si>
  <si>
    <t>WP_045600254.1</t>
  </si>
  <si>
    <t>CIL07_RS07050</t>
  </si>
  <si>
    <t>XRE family transcriptional regulator</t>
  </si>
  <si>
    <t>WP_103213655.1</t>
  </si>
  <si>
    <t>CIL07_RS07055</t>
  </si>
  <si>
    <t>WP_003563426.1</t>
  </si>
  <si>
    <t>CIL07_RS07060</t>
  </si>
  <si>
    <t>OsmC family protein</t>
  </si>
  <si>
    <t>WP_003563424.1</t>
  </si>
  <si>
    <t>CIL07_RS07065</t>
  </si>
  <si>
    <t>dihydroxyacetone kinase subunit DhaK</t>
  </si>
  <si>
    <t>dhaK</t>
  </si>
  <si>
    <t>WP_003563420.1</t>
  </si>
  <si>
    <t>CIL07_RS07070</t>
  </si>
  <si>
    <t>dihydroxyacetone kinase subunit DhaL</t>
  </si>
  <si>
    <t>dhaL</t>
  </si>
  <si>
    <t>WP_003593036.1</t>
  </si>
  <si>
    <t>CIL07_RS07075</t>
  </si>
  <si>
    <t>dihydroxyacetone kinase phosphoryl donor subunit DhaM</t>
  </si>
  <si>
    <t>dhaM</t>
  </si>
  <si>
    <t>WP_003563416.1</t>
  </si>
  <si>
    <t>CIL07_RS07080</t>
  </si>
  <si>
    <t>TetR/AcrR family transcriptional regulator C-terminal domain-containing protein</t>
  </si>
  <si>
    <t>WP_003577796.1</t>
  </si>
  <si>
    <t>CIL07_RS07085</t>
  </si>
  <si>
    <t>WP_003604388.1</t>
  </si>
  <si>
    <t>CIL07_RS07090</t>
  </si>
  <si>
    <t>oleate hydratase</t>
  </si>
  <si>
    <t>WP_103213654.1</t>
  </si>
  <si>
    <t>CIL07_RS07095</t>
  </si>
  <si>
    <t>WP_003563408.1</t>
  </si>
  <si>
    <t>CIL07_RS07100</t>
  </si>
  <si>
    <t>linear amide C-N hydrolase</t>
  </si>
  <si>
    <t>WP_003583296.1</t>
  </si>
  <si>
    <t>CIL07_RS07105</t>
  </si>
  <si>
    <t>WP_003604383.1</t>
  </si>
  <si>
    <t>CIL07_RS07110</t>
  </si>
  <si>
    <t>WP_103213653.1</t>
  </si>
  <si>
    <t>CIL07_RS07115</t>
  </si>
  <si>
    <t>amidohydrolase</t>
  </si>
  <si>
    <t>WP_003604381.1</t>
  </si>
  <si>
    <t>CIL07_RS07120</t>
  </si>
  <si>
    <t>WP_003604380.1</t>
  </si>
  <si>
    <t>CIL07_RS07125</t>
  </si>
  <si>
    <t>WP_003604379.1</t>
  </si>
  <si>
    <t>CIL07_RS07130</t>
  </si>
  <si>
    <t>YhgE/Pip domain-containing protein</t>
  </si>
  <si>
    <t>WP_016387919.1</t>
  </si>
  <si>
    <t>CIL07_RS07135</t>
  </si>
  <si>
    <t>putative holin-like toxin</t>
  </si>
  <si>
    <t>WP_011674107.1</t>
  </si>
  <si>
    <t>CIL07_RS07140</t>
  </si>
  <si>
    <t>WP_003604377.1</t>
  </si>
  <si>
    <t>CIL07_RS07145</t>
  </si>
  <si>
    <t>WP_103213652.1</t>
  </si>
  <si>
    <t>CIL07_RS07150</t>
  </si>
  <si>
    <t>WP_080596929.1</t>
  </si>
  <si>
    <t>CIL07_RS07155</t>
  </si>
  <si>
    <t>PTS sugar transporter subunit IIA</t>
  </si>
  <si>
    <t>WP_003573589.1</t>
  </si>
  <si>
    <t>CIL07_RS07160</t>
  </si>
  <si>
    <t>TIM-barrel domain-containing protein</t>
  </si>
  <si>
    <t>WP_049176606.1</t>
  </si>
  <si>
    <t>CIL07_RS07165</t>
  </si>
  <si>
    <t>PTS system mannose/fructose/sorbose family transporter subunit IID</t>
  </si>
  <si>
    <t>WP_003568992.1</t>
  </si>
  <si>
    <t>CIL07_RS07170</t>
  </si>
  <si>
    <t>WP_003563386.1</t>
  </si>
  <si>
    <t>CIL07_RS07175</t>
  </si>
  <si>
    <t>WP_003563385.1</t>
  </si>
  <si>
    <t>CIL07_RS07180</t>
  </si>
  <si>
    <t>WP_003563383.1</t>
  </si>
  <si>
    <t>CIL07_RS07185</t>
  </si>
  <si>
    <t>type II toxin-antitoxin system YafQ family toxin</t>
  </si>
  <si>
    <t>WP_003563382.1</t>
  </si>
  <si>
    <t>CIL07_RS07190</t>
  </si>
  <si>
    <t>WP_031264694.1</t>
  </si>
  <si>
    <t>CIL07_RS07195</t>
  </si>
  <si>
    <t>FAD-dependent oxidoreductase</t>
  </si>
  <si>
    <t>WP_003604367.1</t>
  </si>
  <si>
    <t>CIL07_RS07200</t>
  </si>
  <si>
    <t>WP_003563376.1</t>
  </si>
  <si>
    <t>CIL07_RS07205</t>
  </si>
  <si>
    <t>WP_003583262.1</t>
  </si>
  <si>
    <t>CIL07_RS07210</t>
  </si>
  <si>
    <t>WP_003604363.1</t>
  </si>
  <si>
    <t>CIL07_RS07215</t>
  </si>
  <si>
    <t>WP_049176607.1</t>
  </si>
  <si>
    <t>CIL07_RS07220</t>
  </si>
  <si>
    <t>YvrJ family protein</t>
  </si>
  <si>
    <t>WP_003563363.1</t>
  </si>
  <si>
    <t>CIL07_RS07225</t>
  </si>
  <si>
    <t>WP_045600218.1</t>
  </si>
  <si>
    <t>CIL07_RS07230</t>
  </si>
  <si>
    <t>WP_003604357.1</t>
  </si>
  <si>
    <t>CIL07_RS07235</t>
  </si>
  <si>
    <t>WP_003604355.1</t>
  </si>
  <si>
    <t>CIL07_RS07240</t>
  </si>
  <si>
    <t>WP_003563355.1</t>
  </si>
  <si>
    <t>CIL07_RS07245</t>
  </si>
  <si>
    <t>transporter substrate-binding domain-containing protein</t>
  </si>
  <si>
    <t>WP_003604354.1</t>
  </si>
  <si>
    <t>CIL07_RS07250</t>
  </si>
  <si>
    <t>WP_003604351.1</t>
  </si>
  <si>
    <t>CIL07_RS07255</t>
  </si>
  <si>
    <t>NAD/NADP octopine/nopaline dehydrogenase family protein</t>
  </si>
  <si>
    <t>WP_003604349.1</t>
  </si>
  <si>
    <t>CIL07_RS07260</t>
  </si>
  <si>
    <t>mannitol-1-phosphate 5-dehydrogenase</t>
  </si>
  <si>
    <t>WP_003604347.1</t>
  </si>
  <si>
    <t>CIL07_RS07265</t>
  </si>
  <si>
    <t>PTS mannitol transporter subunit IICBA</t>
  </si>
  <si>
    <t>WP_022671474.1</t>
  </si>
  <si>
    <t>CIL07_RS07270</t>
  </si>
  <si>
    <t>6-phospho-3-hexuloisomerase</t>
  </si>
  <si>
    <t>hxlB</t>
  </si>
  <si>
    <t>WP_003583219.1</t>
  </si>
  <si>
    <t>CIL07_RS07275</t>
  </si>
  <si>
    <t>3-hexulose-6-phosphate synthase</t>
  </si>
  <si>
    <t>hxlA</t>
  </si>
  <si>
    <t>WP_003563340.1</t>
  </si>
  <si>
    <t>CIL07_RS07280</t>
  </si>
  <si>
    <t>WP_003604345.1</t>
  </si>
  <si>
    <t>CIL07_RS07285</t>
  </si>
  <si>
    <t>WP_003604344.1</t>
  </si>
  <si>
    <t>CIL07_RS07290</t>
  </si>
  <si>
    <t>bacterial Ig-like domain-containing protein</t>
  </si>
  <si>
    <t>WP_372487170.1</t>
  </si>
  <si>
    <t>CIL07_RS07295</t>
  </si>
  <si>
    <t>WP_003604341.1</t>
  </si>
  <si>
    <t>CIL07_RS07300</t>
  </si>
  <si>
    <t>WP_003563328.1</t>
  </si>
  <si>
    <t>CIL07_RS07305</t>
  </si>
  <si>
    <t>WP_003563326.1</t>
  </si>
  <si>
    <t>CIL07_RS07310</t>
  </si>
  <si>
    <t>WP_003563323.1</t>
  </si>
  <si>
    <t>CIL07_RS07315</t>
  </si>
  <si>
    <t>fructose/mannose phosphotransferase system IIA component</t>
  </si>
  <si>
    <t>WP_003573527.1</t>
  </si>
  <si>
    <t>CIL07_RS07320</t>
  </si>
  <si>
    <t>WP_003586843.1</t>
  </si>
  <si>
    <t>CIL07_RS07325</t>
  </si>
  <si>
    <t>AraC family transcriptional regulator</t>
  </si>
  <si>
    <t>WP_045624444.1</t>
  </si>
  <si>
    <t>CIL07_RS07330</t>
  </si>
  <si>
    <t>WP_003604338.1</t>
  </si>
  <si>
    <t>CIL07_RS07335</t>
  </si>
  <si>
    <t>WP_003583541.1</t>
  </si>
  <si>
    <t>CIL07_RS07340</t>
  </si>
  <si>
    <t>beta-galactosidase subunit alpha</t>
  </si>
  <si>
    <t>ebgA</t>
  </si>
  <si>
    <t>WP_003604333.1</t>
  </si>
  <si>
    <t>CIL07_RS07345</t>
  </si>
  <si>
    <t>WP_003604331.1</t>
  </si>
  <si>
    <t>CIL07_RS07350</t>
  </si>
  <si>
    <t>M20/M25/M40 family metallo-hydrolase</t>
  </si>
  <si>
    <t>WP_003583535.1</t>
  </si>
  <si>
    <t>CIL07_RS07355</t>
  </si>
  <si>
    <t>WP_103213649.1</t>
  </si>
  <si>
    <t>CIL07_RS07360</t>
  </si>
  <si>
    <t>o-succinylbenzoate synthase</t>
  </si>
  <si>
    <t>menC</t>
  </si>
  <si>
    <t>WP_022669305.1</t>
  </si>
  <si>
    <t>CIL07_RS07365</t>
  </si>
  <si>
    <t>energy-coupling factor transporter transmembrane protein EcfT</t>
  </si>
  <si>
    <t>WP_003604323.1</t>
  </si>
  <si>
    <t>CIL07_RS07370</t>
  </si>
  <si>
    <t>WP_045599918.1</t>
  </si>
  <si>
    <t>CIL07_RS07375</t>
  </si>
  <si>
    <t>ECF-type riboflavin transporter substrate-binding protein</t>
  </si>
  <si>
    <t>WP_003563290.1</t>
  </si>
  <si>
    <t>CIL07_RS07380</t>
  </si>
  <si>
    <t>CIL07_RS07385</t>
  </si>
  <si>
    <t>WP_045599905.1</t>
  </si>
  <si>
    <t>CIL07_RS07390</t>
  </si>
  <si>
    <t>WP_045599902.1</t>
  </si>
  <si>
    <t>CIL07_RS07395</t>
  </si>
  <si>
    <t>SLC13 family permease</t>
  </si>
  <si>
    <t>WP_045599899.1</t>
  </si>
  <si>
    <t>CIL07_RS07400</t>
  </si>
  <si>
    <t>class II fructose-bisphosphate aldolase</t>
  </si>
  <si>
    <t>WP_012490967.1</t>
  </si>
  <si>
    <t>CIL07_RS07405</t>
  </si>
  <si>
    <t>mannose/fructose/sorbose PTS transporter subunit IID</t>
  </si>
  <si>
    <t>WP_016384102.1</t>
  </si>
  <si>
    <t>CIL07_RS07410</t>
  </si>
  <si>
    <t>PTS mannose/fructose/sorbose transporter subunit IIC</t>
  </si>
  <si>
    <t>WP_003586825.1</t>
  </si>
  <si>
    <t>CIL07_RS07415</t>
  </si>
  <si>
    <t>mannose/fructose/sorbose PTS transporter subunit IIB</t>
  </si>
  <si>
    <t>WP_003586823.1</t>
  </si>
  <si>
    <t>CIL07_RS07420</t>
  </si>
  <si>
    <t>WP_012490965.1</t>
  </si>
  <si>
    <t>CIL07_RS07425</t>
  </si>
  <si>
    <t>WP_003586818.1</t>
  </si>
  <si>
    <t>CIL07_RS07430</t>
  </si>
  <si>
    <t>sugar-binding transcriptional regulator</t>
  </si>
  <si>
    <t>WP_016365355.1</t>
  </si>
  <si>
    <t>CIL07_RS07435</t>
  </si>
  <si>
    <t>alcohol dehydrogenase catalytic domain-containing protein</t>
  </si>
  <si>
    <t>WP_012490963.1</t>
  </si>
  <si>
    <t>CIL07_RS07440</t>
  </si>
  <si>
    <t>WP_003586812.1</t>
  </si>
  <si>
    <t>CIL07_RS07445</t>
  </si>
  <si>
    <t>WP_003586809.1</t>
  </si>
  <si>
    <t>CIL07_RS07450</t>
  </si>
  <si>
    <t>WP_003586807.1</t>
  </si>
  <si>
    <t>CIL07_RS07455</t>
  </si>
  <si>
    <t>WP_003586805.1</t>
  </si>
  <si>
    <t>CIL07_RS07460</t>
  </si>
  <si>
    <t>WP_003586804.1</t>
  </si>
  <si>
    <t>CIL07_RS07465</t>
  </si>
  <si>
    <t>WP_014951599.1</t>
  </si>
  <si>
    <t>CIL07_RS07470</t>
  </si>
  <si>
    <t>CIL07_RS07475</t>
  </si>
  <si>
    <t>CIL07_RS07480</t>
  </si>
  <si>
    <t>CIL07_RS07485</t>
  </si>
  <si>
    <t>CIL07_RS07490</t>
  </si>
  <si>
    <t>RNA polymerase factor sigma-54</t>
  </si>
  <si>
    <t>rpoN</t>
  </si>
  <si>
    <t>WP_045599945.1</t>
  </si>
  <si>
    <t>CIL07_RS07495</t>
  </si>
  <si>
    <t>sigma 54-interacting transcriptional regulator</t>
  </si>
  <si>
    <t>WP_012490941.1</t>
  </si>
  <si>
    <t>CIL07_RS07500</t>
  </si>
  <si>
    <t>WP_003586723.1</t>
  </si>
  <si>
    <t>CIL07_RS07505</t>
  </si>
  <si>
    <t>WP_003586720.1</t>
  </si>
  <si>
    <t>CIL07_RS07510</t>
  </si>
  <si>
    <t>WP_103213571.1</t>
  </si>
  <si>
    <t>CIL07_RS07515</t>
  </si>
  <si>
    <t>WP_003586715.1</t>
  </si>
  <si>
    <t>CIL07_RS07520</t>
  </si>
  <si>
    <t>WP_003604309.1</t>
  </si>
  <si>
    <t>CIL07_RS07525</t>
  </si>
  <si>
    <t>winged helix-turn-helix domain-containing protein</t>
  </si>
  <si>
    <t>WP_003604307.1</t>
  </si>
  <si>
    <t>CIL07_RS07530</t>
  </si>
  <si>
    <t>WP_019917722.1</t>
  </si>
  <si>
    <t>CIL07_RS07535</t>
  </si>
  <si>
    <t>C4-dicarboxylate transporter DcuC</t>
  </si>
  <si>
    <t>dcuC</t>
  </si>
  <si>
    <t>WP_012490936.1</t>
  </si>
  <si>
    <t>CIL07_RS07540</t>
  </si>
  <si>
    <t>nucleoside hydrolase</t>
  </si>
  <si>
    <t>WP_003604304.1</t>
  </si>
  <si>
    <t>CIL07_RS07545</t>
  </si>
  <si>
    <t>radical SAM/SPASM domain-containing protein</t>
  </si>
  <si>
    <t>WP_100908392.1</t>
  </si>
  <si>
    <t>CIL07_RS07550</t>
  </si>
  <si>
    <t>WP_003586708.1</t>
  </si>
  <si>
    <t>CIL07_RS07555</t>
  </si>
  <si>
    <t>formylglycine-generating enzyme family protein</t>
  </si>
  <si>
    <t>WP_049176579.1</t>
  </si>
  <si>
    <t>CIL07_RS07560</t>
  </si>
  <si>
    <t>arylsulfatase</t>
  </si>
  <si>
    <t>WP_003604299.1</t>
  </si>
  <si>
    <t>CIL07_RS07565</t>
  </si>
  <si>
    <t>WP_103213572.1</t>
  </si>
  <si>
    <t>CIL07_RS07570</t>
  </si>
  <si>
    <t>WP_003586701.1</t>
  </si>
  <si>
    <t>CIL07_RS07575</t>
  </si>
  <si>
    <t>WP_003586699.1</t>
  </si>
  <si>
    <t>CIL07_RS07580</t>
  </si>
  <si>
    <t>WP_003586697.1</t>
  </si>
  <si>
    <t>CIL07_RS07585</t>
  </si>
  <si>
    <t>WP_049176580.1</t>
  </si>
  <si>
    <t>CIL07_RS07590</t>
  </si>
  <si>
    <t>CIL07_RS07595</t>
  </si>
  <si>
    <t>zeta toxin family protein</t>
  </si>
  <si>
    <t>WP_003604288.1</t>
  </si>
  <si>
    <t>CIL07_RS07600</t>
  </si>
  <si>
    <t>WP_003563251.1</t>
  </si>
  <si>
    <t>CIL07_RS07605</t>
  </si>
  <si>
    <t>WP_003604285.1</t>
  </si>
  <si>
    <t>CIL07_RS07610</t>
  </si>
  <si>
    <t>WP_003604283.1</t>
  </si>
  <si>
    <t>CIL07_RS07615</t>
  </si>
  <si>
    <t>WP_003573439.1</t>
  </si>
  <si>
    <t>CIL07_RS07620</t>
  </si>
  <si>
    <t>WP_003604281.1</t>
  </si>
  <si>
    <t>CIL07_RS07625</t>
  </si>
  <si>
    <t>flavocytochrome c</t>
  </si>
  <si>
    <t>WP_003604280.1</t>
  </si>
  <si>
    <t>CIL07_RS07630</t>
  </si>
  <si>
    <t>WP_003604279.1</t>
  </si>
  <si>
    <t>CIL07_RS07635</t>
  </si>
  <si>
    <t>WP_022667344.1</t>
  </si>
  <si>
    <t>CIL07_RS07640</t>
  </si>
  <si>
    <t>WP_022667336.1</t>
  </si>
  <si>
    <t>CIL07_RS07645</t>
  </si>
  <si>
    <t>WP_045601082.1</t>
  </si>
  <si>
    <t>CIL07_RS07650</t>
  </si>
  <si>
    <t>WP_003577580.1</t>
  </si>
  <si>
    <t>CIL07_RS07655</t>
  </si>
  <si>
    <t>WP_022667326.1</t>
  </si>
  <si>
    <t>CIL07_RS07660</t>
  </si>
  <si>
    <t>WP_176783344.1</t>
  </si>
  <si>
    <t>CIL07_RS07665</t>
  </si>
  <si>
    <t>WP_003604274.1</t>
  </si>
  <si>
    <t>CIL07_RS07670</t>
  </si>
  <si>
    <t>CIL07_RS07675</t>
  </si>
  <si>
    <t>WP_372487172.1</t>
  </si>
  <si>
    <t>CIL07_RS07680</t>
  </si>
  <si>
    <t>WP_003604270.1</t>
  </si>
  <si>
    <t>CIL07_RS07685</t>
  </si>
  <si>
    <t>WP_003604269.1</t>
  </si>
  <si>
    <t>CIL07_RS07690</t>
  </si>
  <si>
    <t>WP_003604267.1</t>
  </si>
  <si>
    <t>CIL07_RS07695</t>
  </si>
  <si>
    <t>WP_049176583.1</t>
  </si>
  <si>
    <t>CIL07_RS07700</t>
  </si>
  <si>
    <t>WP_003604263.1</t>
  </si>
  <si>
    <t>CIL07_RS07705</t>
  </si>
  <si>
    <t>type II toxin-antitoxin system Phd/YefM family antitoxin</t>
  </si>
  <si>
    <t>WP_003592951.1</t>
  </si>
  <si>
    <t>CIL07_RS07710</t>
  </si>
  <si>
    <t>ribokinase</t>
  </si>
  <si>
    <t>rbsK</t>
  </si>
  <si>
    <t>WP_003604260.1</t>
  </si>
  <si>
    <t>CIL07_RS07715</t>
  </si>
  <si>
    <t>D-ribose ABC transporter substrate-binding protein</t>
  </si>
  <si>
    <t>WP_003563210.1</t>
  </si>
  <si>
    <t>CIL07_RS07720</t>
  </si>
  <si>
    <t>ribose ABC transporter permease</t>
  </si>
  <si>
    <t>rbsC</t>
  </si>
  <si>
    <t>WP_003573417.1</t>
  </si>
  <si>
    <t>CIL07_RS07725</t>
  </si>
  <si>
    <t>sugar ABC transporter ATP-binding protein</t>
  </si>
  <si>
    <t>WP_003563207.1</t>
  </si>
  <si>
    <t>CIL07_RS07730</t>
  </si>
  <si>
    <t>D-ribose pyranase</t>
  </si>
  <si>
    <t>rbsD</t>
  </si>
  <si>
    <t>WP_003577558.1</t>
  </si>
  <si>
    <t>CIL07_RS07735</t>
  </si>
  <si>
    <t>ribose utilization transcriptional repressor RbsR</t>
  </si>
  <si>
    <t>rbsR</t>
  </si>
  <si>
    <t>WP_003568895.1</t>
  </si>
  <si>
    <t>CIL07_RS07740</t>
  </si>
  <si>
    <t>WP_003563198.1</t>
  </si>
  <si>
    <t>CIL07_RS07745</t>
  </si>
  <si>
    <t>WP_103213646.1</t>
  </si>
  <si>
    <t>CIL07_RS07750</t>
  </si>
  <si>
    <t>bifunctional hydroxymethylpyrimidine kinase/phosphomethylpyrimidine kinase</t>
  </si>
  <si>
    <t>thiD</t>
  </si>
  <si>
    <t>WP_372487173.1</t>
  </si>
  <si>
    <t>CIL07_RS07755</t>
  </si>
  <si>
    <t>thiamine phosphate synthase</t>
  </si>
  <si>
    <t>thiE</t>
  </si>
  <si>
    <t>WP_003583125.1</t>
  </si>
  <si>
    <t>CIL07_RS07760</t>
  </si>
  <si>
    <t>hydroxyethylthiazole kinase</t>
  </si>
  <si>
    <t>WP_045601092.1</t>
  </si>
  <si>
    <t>CIL07_RS07765</t>
  </si>
  <si>
    <t>energy coupling factor transporter S component ThiW</t>
  </si>
  <si>
    <t>thiW</t>
  </si>
  <si>
    <t>WP_003604249.1</t>
  </si>
  <si>
    <t>CIL07_RS07770</t>
  </si>
  <si>
    <t>thiaminase II</t>
  </si>
  <si>
    <t>tenA</t>
  </si>
  <si>
    <t>WP_003604248.1</t>
  </si>
  <si>
    <t>CIL07_RS07775</t>
  </si>
  <si>
    <t>energy-coupling factor transporter transmembrane component T</t>
  </si>
  <si>
    <t>WP_022667265.1</t>
  </si>
  <si>
    <t>CIL07_RS07780</t>
  </si>
  <si>
    <t>WP_103213645.1</t>
  </si>
  <si>
    <t>CIL07_RS07785</t>
  </si>
  <si>
    <t>WP_003604245.1</t>
  </si>
  <si>
    <t>CIL07_RS07790</t>
  </si>
  <si>
    <t>WP_022667258.1</t>
  </si>
  <si>
    <t>CIL07_RS07795</t>
  </si>
  <si>
    <t>WP_003604243.1</t>
  </si>
  <si>
    <t>CIL07_RS07800</t>
  </si>
  <si>
    <t>WP_003563175.1</t>
  </si>
  <si>
    <t>CIL07_RS07805</t>
  </si>
  <si>
    <t>peptidase T</t>
  </si>
  <si>
    <t>pepT</t>
  </si>
  <si>
    <t>WP_003573388.1</t>
  </si>
  <si>
    <t>CIL07_RS07810</t>
  </si>
  <si>
    <t>CIL07_RS07815</t>
  </si>
  <si>
    <t>CIL07_RS07820</t>
  </si>
  <si>
    <t>CIL07_RS07825</t>
  </si>
  <si>
    <t>WP_003604231.1</t>
  </si>
  <si>
    <t>CIL07_RS07830</t>
  </si>
  <si>
    <t>WP_003604229.1</t>
  </si>
  <si>
    <t>CIL07_RS07835</t>
  </si>
  <si>
    <t>WP_003577520.1</t>
  </si>
  <si>
    <t>CIL07_RS07840</t>
  </si>
  <si>
    <t>WP_103213643.1</t>
  </si>
  <si>
    <t>CIL07_RS07845</t>
  </si>
  <si>
    <t>M24 family metallopeptidase</t>
  </si>
  <si>
    <t>WP_003604227.1</t>
  </si>
  <si>
    <t>CIL07_RS07850</t>
  </si>
  <si>
    <t>MalY/PatB family protein</t>
  </si>
  <si>
    <t>WP_003604225.1</t>
  </si>
  <si>
    <t>CIL07_RS07855</t>
  </si>
  <si>
    <t>DUF2325 domain-containing protein</t>
  </si>
  <si>
    <t>WP_103213642.1</t>
  </si>
  <si>
    <t>CIL07_RS07860</t>
  </si>
  <si>
    <t>WP_003563142.1</t>
  </si>
  <si>
    <t>CIL07_RS07865</t>
  </si>
  <si>
    <t>WP_003563140.1</t>
  </si>
  <si>
    <t>CIL07_RS07870</t>
  </si>
  <si>
    <t>WP_003573365.1</t>
  </si>
  <si>
    <t>CIL07_RS07875</t>
  </si>
  <si>
    <t>WP_003563136.1</t>
  </si>
  <si>
    <t>CIL07_RS07880</t>
  </si>
  <si>
    <t>beta-galactosidase family protein</t>
  </si>
  <si>
    <t>WP_003592898.1</t>
  </si>
  <si>
    <t>CIL07_RS07885</t>
  </si>
  <si>
    <t>WP_103213641.1</t>
  </si>
  <si>
    <t>CIL07_RS07890</t>
  </si>
  <si>
    <t>SIS domain-containing protein</t>
  </si>
  <si>
    <t>WP_003563130.1</t>
  </si>
  <si>
    <t>CIL07_RS07895</t>
  </si>
  <si>
    <t>WP_012490884.1</t>
  </si>
  <si>
    <t>CIL07_RS07900</t>
  </si>
  <si>
    <t>mannose-6-phosphate isomerase, class I</t>
  </si>
  <si>
    <t>manA</t>
  </si>
  <si>
    <t>WP_003592893.1</t>
  </si>
  <si>
    <t>CIL07_RS07905</t>
  </si>
  <si>
    <t>family 20 glycosylhydrolase</t>
  </si>
  <si>
    <t>WP_103213640.1</t>
  </si>
  <si>
    <t>CIL07_RS07910</t>
  </si>
  <si>
    <t>WP_003604221.1</t>
  </si>
  <si>
    <t>CIL07_RS07915</t>
  </si>
  <si>
    <t>ABC transporter substrate-binding protein</t>
  </si>
  <si>
    <t>WP_022667223.1</t>
  </si>
  <si>
    <t>CIL07_RS07920</t>
  </si>
  <si>
    <t>WP_045601128.1</t>
  </si>
  <si>
    <t>CIL07_RS07925</t>
  </si>
  <si>
    <t>WP_003604214.1</t>
  </si>
  <si>
    <t>CIL07_RS07930</t>
  </si>
  <si>
    <t>sce7725 family protein</t>
  </si>
  <si>
    <t>WP_003604212.1</t>
  </si>
  <si>
    <t>CIL07_RS07935</t>
  </si>
  <si>
    <t>WP_103213639.1</t>
  </si>
  <si>
    <t>CIL07_RS07940</t>
  </si>
  <si>
    <t>WP_003568849.1</t>
  </si>
  <si>
    <t>CIL07_RS07945</t>
  </si>
  <si>
    <t>WP_003563110.1</t>
  </si>
  <si>
    <t>CIL07_RS07950</t>
  </si>
  <si>
    <t>WP_003577430.1</t>
  </si>
  <si>
    <t>CIL07_RS07955</t>
  </si>
  <si>
    <t>cell wall hydrolase P75</t>
  </si>
  <si>
    <t>msp1</t>
  </si>
  <si>
    <t>WP_003604203.1</t>
  </si>
  <si>
    <t>CIL07_RS07960</t>
  </si>
  <si>
    <t>purine-nucleoside phosphorylase</t>
  </si>
  <si>
    <t>deoD</t>
  </si>
  <si>
    <t>WP_003586589.1</t>
  </si>
  <si>
    <t>CIL07_RS07965</t>
  </si>
  <si>
    <t>phosphopentomutase</t>
  </si>
  <si>
    <t>WP_003577427.1</t>
  </si>
  <si>
    <t>CIL07_RS07970</t>
  </si>
  <si>
    <t>deoxyribose-phosphate aldolase</t>
  </si>
  <si>
    <t>deoC</t>
  </si>
  <si>
    <t>WP_003563099.1</t>
  </si>
  <si>
    <t>CIL07_RS07975</t>
  </si>
  <si>
    <t>WP_003563095.1</t>
  </si>
  <si>
    <t>CIL07_RS07980</t>
  </si>
  <si>
    <t>WP_003577425.1</t>
  </si>
  <si>
    <t>CIL07_RS07985</t>
  </si>
  <si>
    <t>WP_003563091.1</t>
  </si>
  <si>
    <t>CIL07_RS07990</t>
  </si>
  <si>
    <t>WP_003563089.1</t>
  </si>
  <si>
    <t>CIL07_RS07995</t>
  </si>
  <si>
    <t>WP_103213638.1</t>
  </si>
  <si>
    <t>CIL07_RS08000</t>
  </si>
  <si>
    <t>branched-chain amino acid ABC transporter permease</t>
  </si>
  <si>
    <t>WP_003563086.1</t>
  </si>
  <si>
    <t>CIL07_RS08005</t>
  </si>
  <si>
    <t>WP_003563083.1</t>
  </si>
  <si>
    <t>CIL07_RS08010</t>
  </si>
  <si>
    <t>WP_003577424.1</t>
  </si>
  <si>
    <t>CIL07_RS08015</t>
  </si>
  <si>
    <t>WP_003661460.1</t>
  </si>
  <si>
    <t>CIL07_RS08020</t>
  </si>
  <si>
    <t>threonine/serine exporter family protein</t>
  </si>
  <si>
    <t>WP_003563079.1</t>
  </si>
  <si>
    <t>CIL07_RS08025</t>
  </si>
  <si>
    <t>WP_003563076.1</t>
  </si>
  <si>
    <t>CIL07_RS08030</t>
  </si>
  <si>
    <t>co-chaperone YbbN</t>
  </si>
  <si>
    <t>WP_003568841.1</t>
  </si>
  <si>
    <t>CIL07_RS08035</t>
  </si>
  <si>
    <t>CIL07_RS08040</t>
  </si>
  <si>
    <t>CIL07_RS08045</t>
  </si>
  <si>
    <t>CIL07_RS08050</t>
  </si>
  <si>
    <t>WP_003604170.1</t>
  </si>
  <si>
    <t>CIL07_RS08055</t>
  </si>
  <si>
    <t>WP_103213637.1</t>
  </si>
  <si>
    <t>CIL07_RS08060</t>
  </si>
  <si>
    <t>ADP-ribosylglycohydrolase family protein</t>
  </si>
  <si>
    <t>WP_103213636.1</t>
  </si>
  <si>
    <t>CIL07_RS08065</t>
  </si>
  <si>
    <t>signal peptidase I</t>
  </si>
  <si>
    <t>lepB</t>
  </si>
  <si>
    <t>WP_003563036.1</t>
  </si>
  <si>
    <t>CIL07_RS08070</t>
  </si>
  <si>
    <t>WP_003568838.1</t>
  </si>
  <si>
    <t>CIL07_RS08075</t>
  </si>
  <si>
    <t>DUF975 family protein</t>
  </si>
  <si>
    <t>WP_003563030.1</t>
  </si>
  <si>
    <t>CIL07_RS08080</t>
  </si>
  <si>
    <t>WP_003563028.1</t>
  </si>
  <si>
    <t>CIL07_RS08085</t>
  </si>
  <si>
    <t>WP_003577420.1</t>
  </si>
  <si>
    <t>CIL07_RS08090</t>
  </si>
  <si>
    <t>WP_003563024.1</t>
  </si>
  <si>
    <t>CIL07_RS08095</t>
  </si>
  <si>
    <t>branched-chain amino acid transport system II carrier protein</t>
  </si>
  <si>
    <t>brnQ</t>
  </si>
  <si>
    <t>WP_100908383.1</t>
  </si>
  <si>
    <t>CIL07_RS08100</t>
  </si>
  <si>
    <t>WP_003600986.1</t>
  </si>
  <si>
    <t>CIL07_RS08105</t>
  </si>
  <si>
    <t>oligoendopeptidase F</t>
  </si>
  <si>
    <t>pepF</t>
  </si>
  <si>
    <t>WP_003577415.1</t>
  </si>
  <si>
    <t>CIL07_RS08110</t>
  </si>
  <si>
    <t>WP_004562160.1</t>
  </si>
  <si>
    <t>CIL07_RS08115</t>
  </si>
  <si>
    <t>WP_004559759.1</t>
  </si>
  <si>
    <t>CIL07_RS08120</t>
  </si>
  <si>
    <t>metal ABC transporter permease</t>
  </si>
  <si>
    <t>WP_004559758.1</t>
  </si>
  <si>
    <t>CIL07_RS08125</t>
  </si>
  <si>
    <t>metal ABC transporter ATP-binding protein</t>
  </si>
  <si>
    <t>WP_103213635.1</t>
  </si>
  <si>
    <t>CIL07_RS08130</t>
  </si>
  <si>
    <t>WP_003563007.1</t>
  </si>
  <si>
    <t>CIL07_RS08135</t>
  </si>
  <si>
    <t>gluconate:H+ symporter</t>
  </si>
  <si>
    <t>WP_003568836.1</t>
  </si>
  <si>
    <t>CIL07_RS08140</t>
  </si>
  <si>
    <t>gluconokinase</t>
  </si>
  <si>
    <t>gntK</t>
  </si>
  <si>
    <t>WP_103213634.1</t>
  </si>
  <si>
    <t>CIL07_RS08145</t>
  </si>
  <si>
    <t>phosphogluconate dehydrogenase (NAD(+)-dependent, decarboxylating)</t>
  </si>
  <si>
    <t>gnd</t>
  </si>
  <si>
    <t>WP_004559755.1</t>
  </si>
  <si>
    <t>CIL07_RS08150</t>
  </si>
  <si>
    <t>WP_003584749.1</t>
  </si>
  <si>
    <t>CIL07_RS08155</t>
  </si>
  <si>
    <t>tautomerase family protein</t>
  </si>
  <si>
    <t>WP_003562995.1</t>
  </si>
  <si>
    <t>CIL07_RS08160</t>
  </si>
  <si>
    <t>ketose-bisphosphate aldolase</t>
  </si>
  <si>
    <t>WP_003659199.1</t>
  </si>
  <si>
    <t>CIL07_RS08165</t>
  </si>
  <si>
    <t>myo-inosose-2 dehydratase</t>
  </si>
  <si>
    <t>iolE</t>
  </si>
  <si>
    <t>WP_004559753.1</t>
  </si>
  <si>
    <t>CIL07_RS08170</t>
  </si>
  <si>
    <t>inositol 2-dehydrogenase</t>
  </si>
  <si>
    <t>iolG</t>
  </si>
  <si>
    <t>WP_103213633.1</t>
  </si>
  <si>
    <t>CIL07_RS08175</t>
  </si>
  <si>
    <t>CIL07_RS08180</t>
  </si>
  <si>
    <t>CIL07_RS08185</t>
  </si>
  <si>
    <t>CIL07_RS08190</t>
  </si>
  <si>
    <t>3D-(3,5/4)-trihydroxycyclohexane-1,2-dione acylhydrolase (decyclizing)</t>
  </si>
  <si>
    <t>iolD</t>
  </si>
  <si>
    <t>WP_103213632.1</t>
  </si>
  <si>
    <t>CIL07_RS08195</t>
  </si>
  <si>
    <t>5-dehydro-2-deoxygluconokinase</t>
  </si>
  <si>
    <t>iolC</t>
  </si>
  <si>
    <t>WP_004559749.1</t>
  </si>
  <si>
    <t>CIL07_RS08200</t>
  </si>
  <si>
    <t>5-deoxy-glucuronate isomerase</t>
  </si>
  <si>
    <t>iolB</t>
  </si>
  <si>
    <t>WP_004559748.1</t>
  </si>
  <si>
    <t>CIL07_RS08205</t>
  </si>
  <si>
    <t>CoA-acylating methylmalonate-semialdehyde dehydrogenase</t>
  </si>
  <si>
    <t>WP_004559747.1</t>
  </si>
  <si>
    <t>CIL07_RS08210</t>
  </si>
  <si>
    <t>WP_103213631.1</t>
  </si>
  <si>
    <t>CIL07_RS08215</t>
  </si>
  <si>
    <t>WP_003577404.1</t>
  </si>
  <si>
    <t>CIL07_RS08220</t>
  </si>
  <si>
    <t>WP_045602212.1</t>
  </si>
  <si>
    <t>CIL07_RS08225</t>
  </si>
  <si>
    <t>aspartate/glutamate racemase family protein</t>
  </si>
  <si>
    <t>WP_103213630.1</t>
  </si>
  <si>
    <t>CIL07_RS08230</t>
  </si>
  <si>
    <t>UDP-N-acetylmuramoyl-L-alanyl-D-glutamate--2,6-diaminopimelate ligase</t>
  </si>
  <si>
    <t>WP_004559744.1</t>
  </si>
  <si>
    <t>CIL07_RS08235</t>
  </si>
  <si>
    <t>WP_003562963.1</t>
  </si>
  <si>
    <t>CIL07_RS08240</t>
  </si>
  <si>
    <t>D-alanyl-D-alanine carboxypeptidase family protein</t>
  </si>
  <si>
    <t>WP_004559743.1</t>
  </si>
  <si>
    <t>CIL07_RS08245</t>
  </si>
  <si>
    <t>WP_003562959.1</t>
  </si>
  <si>
    <t>CIL07_RS08250</t>
  </si>
  <si>
    <t>WP_003562957.1</t>
  </si>
  <si>
    <t>CIL07_RS08255</t>
  </si>
  <si>
    <t>WP_003573122.1</t>
  </si>
  <si>
    <t>CIL07_RS08260</t>
  </si>
  <si>
    <t>IMP dehydrogenase</t>
  </si>
  <si>
    <t>guaB</t>
  </si>
  <si>
    <t>WP_003562953.1</t>
  </si>
  <si>
    <t>CIL07_RS08265</t>
  </si>
  <si>
    <t>DUF1129 domain-containing protein</t>
  </si>
  <si>
    <t>WP_004559742.1</t>
  </si>
  <si>
    <t>CIL07_RS08270</t>
  </si>
  <si>
    <t>redox-regulated ATPase YchF</t>
  </si>
  <si>
    <t>ychF</t>
  </si>
  <si>
    <t>WP_003562949.1</t>
  </si>
  <si>
    <t>CIL07_RS08275</t>
  </si>
  <si>
    <t>DUF951 domain-containing protein</t>
  </si>
  <si>
    <t>WP_003562948.1</t>
  </si>
  <si>
    <t>CIL07_RS08280</t>
  </si>
  <si>
    <t>ParB/RepB/Spo0J family partition protein</t>
  </si>
  <si>
    <t>WP_103213629.1</t>
  </si>
  <si>
    <t>CIL07_RS08285</t>
  </si>
  <si>
    <t>ParA family protein</t>
  </si>
  <si>
    <t>WP_003562943.1</t>
  </si>
  <si>
    <t>CIL07_RS08290</t>
  </si>
  <si>
    <t>nucleoid occlusion protein</t>
  </si>
  <si>
    <t>noc</t>
  </si>
  <si>
    <t>WP_003562941.1</t>
  </si>
  <si>
    <t>CIL07_RS08295</t>
  </si>
  <si>
    <t>16S rRNA (guanine(527)-N(7))-methyltransferase RsmG</t>
  </si>
  <si>
    <t>rsmG</t>
  </si>
  <si>
    <t>WP_103213628.1</t>
  </si>
  <si>
    <t>CIL07_RS08300</t>
  </si>
  <si>
    <t>WP_003562937.1</t>
  </si>
  <si>
    <t>CIL07_RS08305</t>
  </si>
  <si>
    <t>WP_003562934.1</t>
  </si>
  <si>
    <t>CIL07_RS08310</t>
  </si>
  <si>
    <t>WP_003562932.1</t>
  </si>
  <si>
    <t>CIL07_RS08315</t>
  </si>
  <si>
    <t>pyroglutamyl-peptidase I</t>
  </si>
  <si>
    <t>pcp</t>
  </si>
  <si>
    <t>WP_003573111.1</t>
  </si>
  <si>
    <t>CIL07_RS08320</t>
  </si>
  <si>
    <t>DUF979 domain-containing protein</t>
  </si>
  <si>
    <t>WP_103213627.1</t>
  </si>
  <si>
    <t>CIL07_RS08325</t>
  </si>
  <si>
    <t>DUF969 domain-containing protein</t>
  </si>
  <si>
    <t>WP_003577392.1</t>
  </si>
  <si>
    <t>CIL07_RS08330</t>
  </si>
  <si>
    <t>WP_003562920.1</t>
  </si>
  <si>
    <t>CIL07_RS08335</t>
  </si>
  <si>
    <t>WP_003562918.1</t>
  </si>
  <si>
    <t>CIL07_RS08340</t>
  </si>
  <si>
    <t>WP_003562916.1</t>
  </si>
  <si>
    <t>CIL07_RS08345</t>
  </si>
  <si>
    <t>alkaline shock response membrane anchor protein AmaP</t>
  </si>
  <si>
    <t>amaP</t>
  </si>
  <si>
    <t>WP_003562913.1</t>
  </si>
  <si>
    <t>CIL07_RS08350</t>
  </si>
  <si>
    <t>GlsB/YeaQ/YmgE family stress response membrane protein</t>
  </si>
  <si>
    <t>WP_003562911.1</t>
  </si>
  <si>
    <t>CIL07_RS08355</t>
  </si>
  <si>
    <t>pyridoxamine 5'-phosphate oxidase family protein</t>
  </si>
  <si>
    <t>WP_003562908.1</t>
  </si>
  <si>
    <t>CIL07_RS08360</t>
  </si>
  <si>
    <t>2-hydroxyacid dehydrogenase family protein</t>
  </si>
  <si>
    <t>WP_003562906.1</t>
  </si>
  <si>
    <t>CIL07_RS08365</t>
  </si>
  <si>
    <t>WP_003562904.1</t>
  </si>
  <si>
    <t>CIL07_RS08370</t>
  </si>
  <si>
    <t>WP_003562902.1</t>
  </si>
  <si>
    <t>CIL07_RS08375</t>
  </si>
  <si>
    <t>flavodoxin domain-containing protein</t>
  </si>
  <si>
    <t>WP_003577391.1</t>
  </si>
  <si>
    <t>CIL07_RS08380</t>
  </si>
  <si>
    <t>WP_004559739.1</t>
  </si>
  <si>
    <t>CIL07_RS08385</t>
  </si>
  <si>
    <t>WP_003562896.1</t>
  </si>
  <si>
    <t>CIL07_RS08390</t>
  </si>
  <si>
    <t>LBP_cg2779 family protein</t>
  </si>
  <si>
    <t>WP_003562894.1</t>
  </si>
  <si>
    <t>CIL07_RS08395</t>
  </si>
  <si>
    <t>CIL07_RS08400</t>
  </si>
  <si>
    <t>DUF1634 domain-containing protein</t>
  </si>
  <si>
    <t>WP_003562878.1</t>
  </si>
  <si>
    <t>CIL07_RS08405</t>
  </si>
  <si>
    <t>WP_022671597.1</t>
  </si>
  <si>
    <t>CIL07_RS08410</t>
  </si>
  <si>
    <t>YgcG family protein</t>
  </si>
  <si>
    <t>WP_103213626.1</t>
  </si>
  <si>
    <t>CIL07_RS08415</t>
  </si>
  <si>
    <t>LVIS_2131 family protein</t>
  </si>
  <si>
    <t>WP_003562871.1</t>
  </si>
  <si>
    <t>CIL07_RS08420</t>
  </si>
  <si>
    <t>WP_022671595.1</t>
  </si>
  <si>
    <t>CIL07_RS08425</t>
  </si>
  <si>
    <t>FAD/NAD(P)-binding protein</t>
  </si>
  <si>
    <t>WP_103213625.1</t>
  </si>
  <si>
    <t>CIL07_RS08430</t>
  </si>
  <si>
    <t>WP_003562863.1</t>
  </si>
  <si>
    <t>CIL07_RS08435</t>
  </si>
  <si>
    <t>WP_004559719.1</t>
  </si>
  <si>
    <t>CIL07_RS08440</t>
  </si>
  <si>
    <t>WP_004559715.1</t>
  </si>
  <si>
    <t>CIL07_RS08445</t>
  </si>
  <si>
    <t>NUDIX domain-containing protein</t>
  </si>
  <si>
    <t>WP_004559712.1</t>
  </si>
  <si>
    <t>CIL07_RS08450</t>
  </si>
  <si>
    <t>CIL07_RS08455</t>
  </si>
  <si>
    <t>WP_022671594.1</t>
  </si>
  <si>
    <t>CIL07_RS08460</t>
  </si>
  <si>
    <t>WP_003562852.1</t>
  </si>
  <si>
    <t>CIL07_RS08465</t>
  </si>
  <si>
    <t>phosphoketolase</t>
  </si>
  <si>
    <t>WP_003562849.1</t>
  </si>
  <si>
    <t>CIL07_RS08470</t>
  </si>
  <si>
    <t>WP_003562847.1</t>
  </si>
  <si>
    <t>CIL07_RS08475</t>
  </si>
  <si>
    <t>WP_003597150.1</t>
  </si>
  <si>
    <t>CIL07_RS08480</t>
  </si>
  <si>
    <t>WP_003562844.1</t>
  </si>
  <si>
    <t>CIL07_RS08485</t>
  </si>
  <si>
    <t>WP_049176545.1</t>
  </si>
  <si>
    <t>CIL07_RS08490</t>
  </si>
  <si>
    <t>WP_004559706.1</t>
  </si>
  <si>
    <t>CIL07_RS08495</t>
  </si>
  <si>
    <t>WP_225367323.1</t>
  </si>
  <si>
    <t>CIL07_RS08500</t>
  </si>
  <si>
    <t>CIL07_RS08505</t>
  </si>
  <si>
    <t>WP_372487175.1</t>
  </si>
  <si>
    <t>CIL07_RS08510</t>
  </si>
  <si>
    <t>endonuclease III domain-containing protein</t>
  </si>
  <si>
    <t>WP_016388149.1</t>
  </si>
  <si>
    <t>CIL07_RS08515</t>
  </si>
  <si>
    <t>metallophosphoesterase family protein</t>
  </si>
  <si>
    <t>WP_103213623.1</t>
  </si>
  <si>
    <t>CIL07_RS08520</t>
  </si>
  <si>
    <t>WP_003583008.1</t>
  </si>
  <si>
    <t>CIL07_RS08525</t>
  </si>
  <si>
    <t>WP_004559702.1</t>
  </si>
  <si>
    <t>CIL07_RS08530</t>
  </si>
  <si>
    <t>WP_003573065.1</t>
  </si>
  <si>
    <t>CIL07_RS08535</t>
  </si>
  <si>
    <t>WP_004559701.1</t>
  </si>
  <si>
    <t>CIL07_RS08540</t>
  </si>
  <si>
    <t>WP_004559700.1</t>
  </si>
  <si>
    <t>CIL07_RS08545</t>
  </si>
  <si>
    <t>WP_003562813.1</t>
  </si>
  <si>
    <t>CIL07_RS08550</t>
  </si>
  <si>
    <t>DUF916 and DUF3324 domain-containing protein</t>
  </si>
  <si>
    <t>WP_003597129.1</t>
  </si>
  <si>
    <t>CIL07_RS08555</t>
  </si>
  <si>
    <t>WP_016375713.1</t>
  </si>
  <si>
    <t>CIL07_RS08560</t>
  </si>
  <si>
    <t>WP_103213622.1</t>
  </si>
  <si>
    <t>CIL07_RS08565</t>
  </si>
  <si>
    <t>WP_004559699.1</t>
  </si>
  <si>
    <t>CIL07_RS08570</t>
  </si>
  <si>
    <t>WP_003582995.1</t>
  </si>
  <si>
    <t>CIL07_RS08575</t>
  </si>
  <si>
    <t>WP_004559698.1</t>
  </si>
  <si>
    <t>CIL07_RS08580</t>
  </si>
  <si>
    <t>WP_003562796.1</t>
  </si>
  <si>
    <t>CIL07_RS08585</t>
  </si>
  <si>
    <t>WP_003582989.1</t>
  </si>
  <si>
    <t>CIL07_RS08590</t>
  </si>
  <si>
    <t>DsrE family protein</t>
  </si>
  <si>
    <t>WP_003573038.1</t>
  </si>
  <si>
    <t>CIL07_RS08595</t>
  </si>
  <si>
    <t>NCS2 family permease</t>
  </si>
  <si>
    <t>WP_103213621.1</t>
  </si>
  <si>
    <t>CIL07_RS08600</t>
  </si>
  <si>
    <t>YisL family protein</t>
  </si>
  <si>
    <t>WP_003577358.1</t>
  </si>
  <si>
    <t>CIL07_RS08605</t>
  </si>
  <si>
    <t>DUF1304 domain-containing protein</t>
  </si>
  <si>
    <t>WP_003582978.1</t>
  </si>
  <si>
    <t>CIL07_RS08610</t>
  </si>
  <si>
    <t>WP_003562770.1</t>
  </si>
  <si>
    <t>CIL07_RS08615</t>
  </si>
  <si>
    <t>WP_003592709.1</t>
  </si>
  <si>
    <t>CIL07_RS08620</t>
  </si>
  <si>
    <t>WP_003577355.1</t>
  </si>
  <si>
    <t>CIL07_RS08625</t>
  </si>
  <si>
    <t>D-2-hydroxyisocaproate dehydrogenase</t>
  </si>
  <si>
    <t>WP_003577354.1</t>
  </si>
  <si>
    <t>CIL07_RS08630</t>
  </si>
  <si>
    <t>methylated-DNA--[protein]-cysteine S-methyltransferase</t>
  </si>
  <si>
    <t>WP_004559697.1</t>
  </si>
  <si>
    <t>CIL07_RS08635</t>
  </si>
  <si>
    <t>D-alanine--D-alanine ligase</t>
  </si>
  <si>
    <t>WP_003562759.1</t>
  </si>
  <si>
    <t>CIL07_RS08640</t>
  </si>
  <si>
    <t>WP_003562754.1</t>
  </si>
  <si>
    <t>CIL07_RS08645</t>
  </si>
  <si>
    <t>S66 peptidase family protein</t>
  </si>
  <si>
    <t>WP_016374687.1</t>
  </si>
  <si>
    <t>CIL07_RS08650</t>
  </si>
  <si>
    <t>phosphatase PAP2 family protein</t>
  </si>
  <si>
    <t>WP_003604147.1</t>
  </si>
  <si>
    <t>CIL07_RS08655</t>
  </si>
  <si>
    <t>DUF2089 family protein</t>
  </si>
  <si>
    <t>WP_016368976.1</t>
  </si>
  <si>
    <t>CIL07_RS08660</t>
  </si>
  <si>
    <t>WP_003604143.1</t>
  </si>
  <si>
    <t>CIL07_RS08665</t>
  </si>
  <si>
    <t>CIL07_RS08670</t>
  </si>
  <si>
    <t>WP_003604141.1</t>
  </si>
  <si>
    <t>CIL07_RS08675</t>
  </si>
  <si>
    <t>CIL07_RS08680</t>
  </si>
  <si>
    <t>CIL07_RS08685</t>
  </si>
  <si>
    <t>CIL07_RS08690</t>
  </si>
  <si>
    <t>WP_003604139.1</t>
  </si>
  <si>
    <t>CIL07_RS08695</t>
  </si>
  <si>
    <t>WP_003604138.1</t>
  </si>
  <si>
    <t>CIL07_RS08700</t>
  </si>
  <si>
    <t>anaerobic ribonucleoside-triphosphate reductase</t>
  </si>
  <si>
    <t>nrdD</t>
  </si>
  <si>
    <t>WP_049176421.1</t>
  </si>
  <si>
    <t>CIL07_RS08705</t>
  </si>
  <si>
    <t>WP_003604137.1</t>
  </si>
  <si>
    <t>CIL07_RS08710</t>
  </si>
  <si>
    <t>WP_003577335.1</t>
  </si>
  <si>
    <t>CIL07_RS08715</t>
  </si>
  <si>
    <t>PLDc N-terminal domain-containing protein</t>
  </si>
  <si>
    <t>WP_003562727.1</t>
  </si>
  <si>
    <t>CIL07_RS08720</t>
  </si>
  <si>
    <t>WP_003604135.1</t>
  </si>
  <si>
    <t>CIL07_RS08725</t>
  </si>
  <si>
    <t>WP_016374194.1</t>
  </si>
  <si>
    <t>CIL07_RS08730</t>
  </si>
  <si>
    <t>plasma-membrane proton-efflux P-type ATPase</t>
  </si>
  <si>
    <t>WP_103213618.1</t>
  </si>
  <si>
    <t>CIL07_RS08735</t>
  </si>
  <si>
    <t>metalloregulator ArsR/SmtB family transcription factor</t>
  </si>
  <si>
    <t>WP_003562714.1</t>
  </si>
  <si>
    <t>CIL07_RS08740</t>
  </si>
  <si>
    <t>WP_022671588.1</t>
  </si>
  <si>
    <t>CIL07_RS08745</t>
  </si>
  <si>
    <t>adenylosuccinate synthase</t>
  </si>
  <si>
    <t>WP_003562710.1</t>
  </si>
  <si>
    <t>CIL07_RS08750</t>
  </si>
  <si>
    <t>WP_003562707.1</t>
  </si>
  <si>
    <t>CIL07_RS08755</t>
  </si>
  <si>
    <t>WP_049176893.1</t>
  </si>
  <si>
    <t>CIL07_RS08760</t>
  </si>
  <si>
    <t>WP_003604129.1</t>
  </si>
  <si>
    <t>CIL07_RS08765</t>
  </si>
  <si>
    <t>WP_003604127.1</t>
  </si>
  <si>
    <t>CIL07_RS08770</t>
  </si>
  <si>
    <t>WP_003562698.1</t>
  </si>
  <si>
    <t>CIL07_RS08775</t>
  </si>
  <si>
    <t>N-acetylmuramic acid 6-phosphate etherase</t>
  </si>
  <si>
    <t>murQ</t>
  </si>
  <si>
    <t>WP_003577323.1</t>
  </si>
  <si>
    <t>CIL07_RS08780</t>
  </si>
  <si>
    <t>glucose PTS transporter subunit IIA</t>
  </si>
  <si>
    <t>WP_103213617.1</t>
  </si>
  <si>
    <t>CIL07_RS08785</t>
  </si>
  <si>
    <t>CIL07_RS08790</t>
  </si>
  <si>
    <t>WP_003577321.1</t>
  </si>
  <si>
    <t>CIL07_RS08795</t>
  </si>
  <si>
    <t>replicative DNA helicase</t>
  </si>
  <si>
    <t>dnaB</t>
  </si>
  <si>
    <t>WP_003562690.1</t>
  </si>
  <si>
    <t>CIL07_RS08800</t>
  </si>
  <si>
    <t>WP_176783319.1</t>
  </si>
  <si>
    <t>CIL07_RS08805</t>
  </si>
  <si>
    <t>WP_240031963.1</t>
  </si>
  <si>
    <t>CIL07_RS08810</t>
  </si>
  <si>
    <t>LPXTG cell wall anchor domain-containing protein</t>
  </si>
  <si>
    <t>WP_372487177.1</t>
  </si>
  <si>
    <t>CIL07_RS08815</t>
  </si>
  <si>
    <t>CIL07_RS08820</t>
  </si>
  <si>
    <t>WP_372487178.1</t>
  </si>
  <si>
    <t>CIL07_RS08825</t>
  </si>
  <si>
    <t>WP_003604106.1</t>
  </si>
  <si>
    <t>CIL07_RS08830</t>
  </si>
  <si>
    <t>WP_240031964.1</t>
  </si>
  <si>
    <t>CIL07_RS08835</t>
  </si>
  <si>
    <t>WP_372487179.1</t>
  </si>
  <si>
    <t>CIL07_RS08840</t>
  </si>
  <si>
    <t>WP_240033355.1</t>
  </si>
  <si>
    <t>CIL07_RS08845</t>
  </si>
  <si>
    <t>accessory Sec system glycosyltransferase Asp1</t>
  </si>
  <si>
    <t>asp1</t>
  </si>
  <si>
    <t>WP_237755421.1</t>
  </si>
  <si>
    <t>CIL07_RS08850</t>
  </si>
  <si>
    <t>WP_003604098.1</t>
  </si>
  <si>
    <t>CIL07_RS08855</t>
  </si>
  <si>
    <t>WP_240031962.1</t>
  </si>
  <si>
    <t>CIL07_RS08860</t>
  </si>
  <si>
    <t>CIL07_RS08865</t>
  </si>
  <si>
    <t>WP_240162635.1</t>
  </si>
  <si>
    <t>CIL07_RS08870</t>
  </si>
  <si>
    <t>50S ribosomal protein L9</t>
  </si>
  <si>
    <t>rplI</t>
  </si>
  <si>
    <t>WP_003562688.1</t>
  </si>
  <si>
    <t>CIL07_RS08875</t>
  </si>
  <si>
    <t>DHH family phosphoesterase</t>
  </si>
  <si>
    <t>WP_003572989.1</t>
  </si>
  <si>
    <t>CIL07_RS08880</t>
  </si>
  <si>
    <t>WP_003604093.1</t>
  </si>
  <si>
    <t>CIL07_RS08885</t>
  </si>
  <si>
    <t>phospholipase A2 family protein</t>
  </si>
  <si>
    <t>WP_003604091.1</t>
  </si>
  <si>
    <t>CIL07_RS08890</t>
  </si>
  <si>
    <t>WP_003604089.1</t>
  </si>
  <si>
    <t>CIL07_RS08895</t>
  </si>
  <si>
    <t>WP_003572982.1</t>
  </si>
  <si>
    <t>CIL07_RS08900</t>
  </si>
  <si>
    <t>WP_103213616.1</t>
  </si>
  <si>
    <t>CIL07_RS08905</t>
  </si>
  <si>
    <t>aspartate-semialdehyde dehydrogenase</t>
  </si>
  <si>
    <t>WP_003604085.1</t>
  </si>
  <si>
    <t>CIL07_RS08910</t>
  </si>
  <si>
    <t>diaminopimelate epimerase</t>
  </si>
  <si>
    <t>dapF</t>
  </si>
  <si>
    <t>WP_103213615.1</t>
  </si>
  <si>
    <t>CIL07_RS08915</t>
  </si>
  <si>
    <t>WP_003604082.1</t>
  </si>
  <si>
    <t>CIL07_RS08920</t>
  </si>
  <si>
    <t>diaminopimelate decarboxylase</t>
  </si>
  <si>
    <t>lysA</t>
  </si>
  <si>
    <t>WP_003604081.1</t>
  </si>
  <si>
    <t>CIL07_RS08925</t>
  </si>
  <si>
    <t>2,3,4,5-tetrahydropyridine-2,6-dicarboxylate N-acetyltransferase</t>
  </si>
  <si>
    <t>dapD</t>
  </si>
  <si>
    <t>WP_003572973.1</t>
  </si>
  <si>
    <t>CIL07_RS08930</t>
  </si>
  <si>
    <t>N-acetyldiaminopimelate deacetylase</t>
  </si>
  <si>
    <t>WP_003604079.1</t>
  </si>
  <si>
    <t>CIL07_RS08935</t>
  </si>
  <si>
    <t>4-hydroxy-tetrahydrodipicolinate synthase</t>
  </si>
  <si>
    <t>dapA</t>
  </si>
  <si>
    <t>WP_003604077.1</t>
  </si>
  <si>
    <t>CIL07_RS08940</t>
  </si>
  <si>
    <t>4-hydroxy-tetrahydrodipicolinate reductase</t>
  </si>
  <si>
    <t>dapB</t>
  </si>
  <si>
    <t>WP_103213614.1</t>
  </si>
  <si>
    <t>CIL07_RS08945</t>
  </si>
  <si>
    <t>WP_003604076.1</t>
  </si>
  <si>
    <t>CIL07_RS08950</t>
  </si>
  <si>
    <t>WP_045601165.1</t>
  </si>
  <si>
    <t>CIL07_RS08955</t>
  </si>
  <si>
    <t>WP_003577294.1</t>
  </si>
  <si>
    <t>CIL07_RS08960</t>
  </si>
  <si>
    <t>WP_103213613.1</t>
  </si>
  <si>
    <t>CIL07_RS08965</t>
  </si>
  <si>
    <t>WP_032769990.1</t>
  </si>
  <si>
    <t>CIL07_RS08970</t>
  </si>
  <si>
    <t>WP_003562643.1</t>
  </si>
  <si>
    <t>CIL07_RS08975</t>
  </si>
  <si>
    <t>CIL07_RS08980</t>
  </si>
  <si>
    <t>anthranilate phosphoribosyltransferase</t>
  </si>
  <si>
    <t>trpD</t>
  </si>
  <si>
    <t>WP_003604072.1</t>
  </si>
  <si>
    <t>CIL07_RS08985</t>
  </si>
  <si>
    <t>indole-3-glycerol phosphate synthase TrpC</t>
  </si>
  <si>
    <t>trpC</t>
  </si>
  <si>
    <t>WP_003562639.1</t>
  </si>
  <si>
    <t>CIL07_RS08990</t>
  </si>
  <si>
    <t>phosphoribosylanthranilate isomerase</t>
  </si>
  <si>
    <t>WP_003562637.1</t>
  </si>
  <si>
    <t>CIL07_RS08995</t>
  </si>
  <si>
    <t>tryptophan synthase subunit beta</t>
  </si>
  <si>
    <t>trpB</t>
  </si>
  <si>
    <t>WP_003604071.1</t>
  </si>
  <si>
    <t>CIL07_RS09000</t>
  </si>
  <si>
    <t>tryptophan synthase subunit alpha</t>
  </si>
  <si>
    <t>trpA</t>
  </si>
  <si>
    <t>WP_003562633.1</t>
  </si>
  <si>
    <t>CIL07_RS09005</t>
  </si>
  <si>
    <t>Crp/Fnr family transcriptional regulator</t>
  </si>
  <si>
    <t>WP_003572941.1</t>
  </si>
  <si>
    <t>CIL07_RS09010</t>
  </si>
  <si>
    <t>DNA-binding ferritin-like protein</t>
  </si>
  <si>
    <t>WP_003604070.1</t>
  </si>
  <si>
    <t>CIL07_RS09015</t>
  </si>
  <si>
    <t>heavy-metal-associated domain-containing protein</t>
  </si>
  <si>
    <t>WP_003604069.1</t>
  </si>
  <si>
    <t>CIL07_RS09020</t>
  </si>
  <si>
    <t>WP_003604067.1</t>
  </si>
  <si>
    <t>CIL07_RS09025</t>
  </si>
  <si>
    <t>WP_003604054.1</t>
  </si>
  <si>
    <t>CIL07_RS09030</t>
  </si>
  <si>
    <t>WP_022671232.1</t>
  </si>
  <si>
    <t>CIL07_RS09035</t>
  </si>
  <si>
    <t>WP_103213612.1</t>
  </si>
  <si>
    <t>CIL07_RS09040</t>
  </si>
  <si>
    <t>betaine/proline/choline family ABC transporter ATP-binding protein</t>
  </si>
  <si>
    <t>WP_003562598.1</t>
  </si>
  <si>
    <t>CIL07_RS09045</t>
  </si>
  <si>
    <t>WP_003568628.1</t>
  </si>
  <si>
    <t>CIL07_RS09050</t>
  </si>
  <si>
    <t>osmoprotectant ABC transporter substrate-binding protein</t>
  </si>
  <si>
    <t>WP_003562594.1</t>
  </si>
  <si>
    <t>CIL07_RS09055</t>
  </si>
  <si>
    <t>WP_003562592.1</t>
  </si>
  <si>
    <t>CIL07_RS09060</t>
  </si>
  <si>
    <t>WP_003572931.1</t>
  </si>
  <si>
    <t>CIL07_RS09065</t>
  </si>
  <si>
    <t>WP_003572929.1</t>
  </si>
  <si>
    <t>CIL07_RS09070</t>
  </si>
  <si>
    <t>MMPL family transporter</t>
  </si>
  <si>
    <t>WP_003604050.1</t>
  </si>
  <si>
    <t>CIL07_RS09075</t>
  </si>
  <si>
    <t>CIL07_RS09080</t>
  </si>
  <si>
    <t>WP_022671222.1</t>
  </si>
  <si>
    <t>CIL07_RS09085</t>
  </si>
  <si>
    <t>WP_103213611.1</t>
  </si>
  <si>
    <t>CIL07_RS09090</t>
  </si>
  <si>
    <t>Rgg/GadR/MutR family transcriptional regulator</t>
  </si>
  <si>
    <t>WP_003604047.1</t>
  </si>
  <si>
    <t>CIL07_RS09095</t>
  </si>
  <si>
    <t>WP_003604046.1</t>
  </si>
  <si>
    <t>CIL07_RS09100</t>
  </si>
  <si>
    <t>WP_003604045.1</t>
  </si>
  <si>
    <t>CIL07_RS09105</t>
  </si>
  <si>
    <t>WP_003604044.1</t>
  </si>
  <si>
    <t>CIL07_RS09110</t>
  </si>
  <si>
    <t>bifunctional 4-hydroxy-2-oxoglutarate aldolase/2-dehydro-3-deoxy-phosphogluconate aldolase</t>
  </si>
  <si>
    <t>WP_003562571.1</t>
  </si>
  <si>
    <t>CIL07_RS09115</t>
  </si>
  <si>
    <t>CIL07_RS09120</t>
  </si>
  <si>
    <t>WP_003604043.1</t>
  </si>
  <si>
    <t>CIL07_RS09125</t>
  </si>
  <si>
    <t>WP_003604042.1</t>
  </si>
  <si>
    <t>CIL07_RS09130</t>
  </si>
  <si>
    <t>WP_003659037.1</t>
  </si>
  <si>
    <t>CIL07_RS09135</t>
  </si>
  <si>
    <t>AzlD domain-containing protein</t>
  </si>
  <si>
    <t>WP_003592450.1</t>
  </si>
  <si>
    <t>CIL07_RS09140</t>
  </si>
  <si>
    <t>AzlC family ABC transporter permease</t>
  </si>
  <si>
    <t>WP_003604041.1</t>
  </si>
  <si>
    <t>CIL07_RS09145</t>
  </si>
  <si>
    <t>glycoside hydrolase domain-containing protein</t>
  </si>
  <si>
    <t>WP_003604040.1</t>
  </si>
  <si>
    <t>CIL07_RS09150</t>
  </si>
  <si>
    <t>WP_103213610.1</t>
  </si>
  <si>
    <t>CIL07_RS09155</t>
  </si>
  <si>
    <t>WP_003604037.1</t>
  </si>
  <si>
    <t>CIL07_RS09160</t>
  </si>
  <si>
    <t>WP_003604036.1</t>
  </si>
  <si>
    <t>CIL07_RS09165</t>
  </si>
  <si>
    <t>WP_003604033.1</t>
  </si>
  <si>
    <t>CIL07_RS09170</t>
  </si>
  <si>
    <t>WP_003604031.1</t>
  </si>
  <si>
    <t>CIL07_RS09175</t>
  </si>
  <si>
    <t>WP_003584098.1</t>
  </si>
  <si>
    <t>CIL07_RS09180</t>
  </si>
  <si>
    <t>WP_003562540.1</t>
  </si>
  <si>
    <t>CIL07_RS09185</t>
  </si>
  <si>
    <t>WP_003562527.1</t>
  </si>
  <si>
    <t>CIL07_RS09190</t>
  </si>
  <si>
    <t>WP_049176626.1</t>
  </si>
  <si>
    <t>CIL07_RS09195</t>
  </si>
  <si>
    <t>WP_016367437.1</t>
  </si>
  <si>
    <t>CIL07_RS09200</t>
  </si>
  <si>
    <t>WP_003604025.1</t>
  </si>
  <si>
    <t>CIL07_RS09205</t>
  </si>
  <si>
    <t>WP_103213609.1</t>
  </si>
  <si>
    <t>CIL07_RS09210</t>
  </si>
  <si>
    <t>magnesium transporter CorA family protein</t>
  </si>
  <si>
    <t>WP_003604023.1</t>
  </si>
  <si>
    <t>CIL07_RS09215</t>
  </si>
  <si>
    <t>WP_003600709.1</t>
  </si>
  <si>
    <t>CIL07_RS09220</t>
  </si>
  <si>
    <t>WP_003577235.1</t>
  </si>
  <si>
    <t>CIL07_RS09225</t>
  </si>
  <si>
    <t>WP_003604022.1</t>
  </si>
  <si>
    <t>CIL07_RS09230</t>
  </si>
  <si>
    <t>WP_003659016.1</t>
  </si>
  <si>
    <t>CIL07_RS09235</t>
  </si>
  <si>
    <t>WP_003604021.1</t>
  </si>
  <si>
    <t>CIL07_RS09240</t>
  </si>
  <si>
    <t>WP_103213608.1</t>
  </si>
  <si>
    <t>CIL07_RS09245</t>
  </si>
  <si>
    <t>WP_022671185.1</t>
  </si>
  <si>
    <t>CIL07_RS09250</t>
  </si>
  <si>
    <t>WP_003604018.1</t>
  </si>
  <si>
    <t>CIL07_RS09255</t>
  </si>
  <si>
    <t>WP_003568488.1</t>
  </si>
  <si>
    <t>CIL07_RS09260</t>
  </si>
  <si>
    <t>WP_103213607.1</t>
  </si>
  <si>
    <t>CIL07_RS09265</t>
  </si>
  <si>
    <t>cell wall hydrolase P40</t>
  </si>
  <si>
    <t>WP_003572828.1</t>
  </si>
  <si>
    <t>CIL07_RS09270</t>
  </si>
  <si>
    <t>WP_003659010.1</t>
  </si>
  <si>
    <t>CIL07_RS09275</t>
  </si>
  <si>
    <t>WP_003568482.1</t>
  </si>
  <si>
    <t>CIL07_RS09280</t>
  </si>
  <si>
    <t>WP_003604001.1</t>
  </si>
  <si>
    <t>CIL07_RS09285</t>
  </si>
  <si>
    <t>WP_049176623.1</t>
  </si>
  <si>
    <t>CIL07_RS09290</t>
  </si>
  <si>
    <t>WP_003584064.1</t>
  </si>
  <si>
    <t>CIL07_RS09295</t>
  </si>
  <si>
    <t>WP_003581645.1</t>
  </si>
  <si>
    <t>CIL07_RS09300</t>
  </si>
  <si>
    <t>WP_003568474.1</t>
  </si>
  <si>
    <t>CIL07_RS09305</t>
  </si>
  <si>
    <t>WP_003568540.1</t>
  </si>
  <si>
    <t>CIL07_RS09310</t>
  </si>
  <si>
    <t>WP_003568469.1</t>
  </si>
  <si>
    <t>CIL07_RS09315</t>
  </si>
  <si>
    <t>30S ribosomal protein S18</t>
  </si>
  <si>
    <t>rpsR</t>
  </si>
  <si>
    <t>WP_003568467.1</t>
  </si>
  <si>
    <t>CIL07_RS09320</t>
  </si>
  <si>
    <t>single-stranded DNA-binding protein</t>
  </si>
  <si>
    <t>ssb</t>
  </si>
  <si>
    <t>WP_003568462.1</t>
  </si>
  <si>
    <t>CIL07_RS09325</t>
  </si>
  <si>
    <t>30S ribosomal protein S6</t>
  </si>
  <si>
    <t>rpsF</t>
  </si>
  <si>
    <t>WP_003568460.1</t>
  </si>
  <si>
    <t>CIL07_RS09330</t>
  </si>
  <si>
    <t>WP_003568458.1</t>
  </si>
  <si>
    <t>CIL07_RS09335</t>
  </si>
  <si>
    <t>WP_003568456.1</t>
  </si>
  <si>
    <t>CIL07_RS09340</t>
  </si>
  <si>
    <t>DNA gyrase subunit A</t>
  </si>
  <si>
    <t>gyrA</t>
  </si>
  <si>
    <t>WP_003603997.1</t>
  </si>
  <si>
    <t>CIL07_RS09345</t>
  </si>
  <si>
    <t>DNA topoisomerase (ATP-hydrolyzing) subunit B</t>
  </si>
  <si>
    <t>gyrB</t>
  </si>
  <si>
    <t>WP_003568453.1</t>
  </si>
  <si>
    <t>CIL07_RS09350</t>
  </si>
  <si>
    <t>DNA replication/repair protein RecF</t>
  </si>
  <si>
    <t>recF</t>
  </si>
  <si>
    <t>WP_003603996.1</t>
  </si>
  <si>
    <t>CIL07_RS09355</t>
  </si>
  <si>
    <t>S4 domain-containing protein YaaA</t>
  </si>
  <si>
    <t>WP_003568449.1</t>
  </si>
  <si>
    <t>CIL07_RS09360</t>
  </si>
  <si>
    <t>DNA polymerase III subunit beta</t>
  </si>
  <si>
    <t>dnaN</t>
  </si>
  <si>
    <t>WP_049176622.1</t>
  </si>
  <si>
    <t>CIL07_RS09365</t>
  </si>
  <si>
    <t>chromosomal replication initiator protein DnaA</t>
  </si>
  <si>
    <t>dnaA</t>
  </si>
  <si>
    <t>WP_003568444.1</t>
  </si>
  <si>
    <t>CIL07_RS09370</t>
  </si>
  <si>
    <t>50S ribosomal protein L34</t>
  </si>
  <si>
    <t>rpmH</t>
  </si>
  <si>
    <t>WP_003568442.1</t>
  </si>
  <si>
    <t>CIL07_RS09375</t>
  </si>
  <si>
    <t>ribonuclease P protein component</t>
  </si>
  <si>
    <t>rnpA</t>
  </si>
  <si>
    <t>WP_012492235.1</t>
  </si>
  <si>
    <t>CIL07_RS09380</t>
  </si>
  <si>
    <t>WP_003568431.1</t>
  </si>
  <si>
    <t>CIL07_RS09385</t>
  </si>
  <si>
    <t>RNA-binding cell elongation regulator Jag/EloR</t>
  </si>
  <si>
    <t>jag</t>
  </si>
  <si>
    <t>WP_003568429.1</t>
  </si>
  <si>
    <t>CIL07_RS09390</t>
  </si>
  <si>
    <t>tRNA uridine-5-carboxymethylaminomethyl(34) synthesis GTPase MnmE</t>
  </si>
  <si>
    <t>mnmE</t>
  </si>
  <si>
    <t>WP_103213996.1</t>
  </si>
  <si>
    <t>CIL07_RS09395</t>
  </si>
  <si>
    <t>tRNA uridine-5-carboxymethylaminomethyl(34) synthesis enzyme MnmG</t>
  </si>
  <si>
    <t>mnmG</t>
  </si>
  <si>
    <t>WP_003586359.1</t>
  </si>
  <si>
    <t>CIL07_RS09400</t>
  </si>
  <si>
    <t>WP_049176621.1</t>
  </si>
  <si>
    <t>CIL07_RS09405</t>
  </si>
  <si>
    <t>WP_004559881.1</t>
  </si>
  <si>
    <t>CIL07_RS09410</t>
  </si>
  <si>
    <t>WP_004559880.1</t>
  </si>
  <si>
    <t>CIL07_RS09415</t>
  </si>
  <si>
    <t>WP_004559879.1</t>
  </si>
  <si>
    <t>CIL07_RS09420</t>
  </si>
  <si>
    <t>iron-containing alcohol dehydrogenase family protein</t>
  </si>
  <si>
    <t>WP_003662328.1</t>
  </si>
  <si>
    <t>CIL07_RS09425</t>
  </si>
  <si>
    <t>WP_003586121.1</t>
  </si>
  <si>
    <t>CIL07_RS09430</t>
  </si>
  <si>
    <t>WP_004559877.1</t>
  </si>
  <si>
    <t>CIL07_RS09435</t>
  </si>
  <si>
    <t>WP_103213995.1</t>
  </si>
  <si>
    <t>CIL07_RS09440</t>
  </si>
  <si>
    <t>MBG domain-containing protein</t>
  </si>
  <si>
    <t>WP_183411724.1</t>
  </si>
  <si>
    <t>CIL07_RS09445</t>
  </si>
  <si>
    <t>WP_004559874.1</t>
  </si>
  <si>
    <t>CIL07_RS09450</t>
  </si>
  <si>
    <t>WP_003577163.1</t>
  </si>
  <si>
    <t>CIL07_RS09455</t>
  </si>
  <si>
    <t>efflux RND transporter periplasmic adaptor subunit</t>
  </si>
  <si>
    <t>WP_004559873.1</t>
  </si>
  <si>
    <t>CIL07_RS09460</t>
  </si>
  <si>
    <t>WP_003577160.1</t>
  </si>
  <si>
    <t>CIL07_RS09465</t>
  </si>
  <si>
    <t>WP_003568398.1</t>
  </si>
  <si>
    <t>CIL07_RS09470</t>
  </si>
  <si>
    <t>WP_003568396.1</t>
  </si>
  <si>
    <t>CIL07_RS09475</t>
  </si>
  <si>
    <t>glucosamine-6-phosphate deaminase</t>
  </si>
  <si>
    <t>nagB</t>
  </si>
  <si>
    <t>WP_003571992.1</t>
  </si>
  <si>
    <t>CIL07_RS09480</t>
  </si>
  <si>
    <t>WP_003568392.1</t>
  </si>
  <si>
    <t>CIL07_RS09485</t>
  </si>
  <si>
    <t>BglG family transcription antiterminator</t>
  </si>
  <si>
    <t>WP_103214006.1</t>
  </si>
  <si>
    <t>CIL07_RS09490</t>
  </si>
  <si>
    <t>WP_003658978.1</t>
  </si>
  <si>
    <t>CIL07_RS09495</t>
  </si>
  <si>
    <t>WP_003568386.1</t>
  </si>
  <si>
    <t>CIL07_RS09500</t>
  </si>
  <si>
    <t>WP_003581611.1</t>
  </si>
  <si>
    <t>CIL07_RS09505</t>
  </si>
  <si>
    <t>WP_003568382.1</t>
  </si>
  <si>
    <t>CIL07_RS09510</t>
  </si>
  <si>
    <t>ribose-phosphate pyrophosphokinase</t>
  </si>
  <si>
    <t>WP_003568380.1</t>
  </si>
  <si>
    <t>CIL07_RS09515</t>
  </si>
  <si>
    <t>tRNA-Lys</t>
  </si>
  <si>
    <t>CIL07_RS09520</t>
  </si>
  <si>
    <t>haloacid dehalogenase-like hydrolase</t>
  </si>
  <si>
    <t>WP_049176568.1</t>
  </si>
  <si>
    <t>CIL07_RS09525</t>
  </si>
  <si>
    <t>WP_004559869.1</t>
  </si>
  <si>
    <t>CIL07_RS09530</t>
  </si>
  <si>
    <t>WP_004559868.1</t>
  </si>
  <si>
    <t>CIL07_RS09535</t>
  </si>
  <si>
    <t>WP_004559867.1</t>
  </si>
  <si>
    <t>CIL07_RS09540</t>
  </si>
  <si>
    <t>WP_080940801.1</t>
  </si>
  <si>
    <t>CIL07_RS09545</t>
  </si>
  <si>
    <t>ClbS/DfsB family four-helix bundle protein</t>
  </si>
  <si>
    <t>WP_004559864.1</t>
  </si>
  <si>
    <t>CIL07_RS09550</t>
  </si>
  <si>
    <t>WP_003571944.1</t>
  </si>
  <si>
    <t>CIL07_RS09555</t>
  </si>
  <si>
    <t>WP_003597692.1</t>
  </si>
  <si>
    <t>CIL07_RS09560</t>
  </si>
  <si>
    <t>WP_103214005.1</t>
  </si>
  <si>
    <t>CIL07_RS09565</t>
  </si>
  <si>
    <t>2-hydroxycarboxylate transporter family protein</t>
  </si>
  <si>
    <t>WP_003568305.1</t>
  </si>
  <si>
    <t>CIL07_RS09570</t>
  </si>
  <si>
    <t>NADP-dependent malic enzyme</t>
  </si>
  <si>
    <t>WP_022670609.1</t>
  </si>
  <si>
    <t>CIL07_RS09575</t>
  </si>
  <si>
    <t>YjdF family protein</t>
  </si>
  <si>
    <t>WP_004559854.1</t>
  </si>
  <si>
    <t>CIL07_RS09580</t>
  </si>
  <si>
    <t>YdeI family protein</t>
  </si>
  <si>
    <t>WP_004559852.1</t>
  </si>
  <si>
    <t>CIL07_RS09585</t>
  </si>
  <si>
    <t>aspartate ammonia-lyase</t>
  </si>
  <si>
    <t>WP_103214004.1</t>
  </si>
  <si>
    <t>CIL07_RS09590</t>
  </si>
  <si>
    <t>WP_022670620.1</t>
  </si>
  <si>
    <t>CIL07_RS09595</t>
  </si>
  <si>
    <t>sugar O-acetyltransferase</t>
  </si>
  <si>
    <t>WP_003568292.1</t>
  </si>
  <si>
    <t>CIL07_RS09600</t>
  </si>
  <si>
    <t>glycosyltransferase family 4 protein</t>
  </si>
  <si>
    <t>WP_103214003.1</t>
  </si>
  <si>
    <t>CIL07_RS09605</t>
  </si>
  <si>
    <t>CIL07_RS09610</t>
  </si>
  <si>
    <t>DUF58 domain-containing protein</t>
  </si>
  <si>
    <t>WP_003581577.1</t>
  </si>
  <si>
    <t>CIL07_RS09615</t>
  </si>
  <si>
    <t>MoxR family ATPase</t>
  </si>
  <si>
    <t>WP_103214002.1</t>
  </si>
  <si>
    <t>CIL07_RS09620</t>
  </si>
  <si>
    <t>stage II sporulation protein M</t>
  </si>
  <si>
    <t>WP_004559844.1</t>
  </si>
  <si>
    <t>CIL07_RS09625</t>
  </si>
  <si>
    <t>WP_003577080.1</t>
  </si>
  <si>
    <t>CIL07_RS09630</t>
  </si>
  <si>
    <t>WP_003571929.1</t>
  </si>
  <si>
    <t>CIL07_RS09635</t>
  </si>
  <si>
    <t>amino acid ABC transporter substrate-binding protein/permease</t>
  </si>
  <si>
    <t>WP_223602832.1</t>
  </si>
  <si>
    <t>CIL07_RS09640</t>
  </si>
  <si>
    <t>WP_003568275.1</t>
  </si>
  <si>
    <t>CIL07_RS09645</t>
  </si>
  <si>
    <t>fructosamine kinase family protein</t>
  </si>
  <si>
    <t>WP_004559843.1</t>
  </si>
  <si>
    <t>CIL07_RS09650</t>
  </si>
  <si>
    <t>WP_004559842.1</t>
  </si>
  <si>
    <t>CIL07_RS09655</t>
  </si>
  <si>
    <t>PH domain-containing protein</t>
  </si>
  <si>
    <t>WP_049176571.1</t>
  </si>
  <si>
    <t>CIL07_RS09660</t>
  </si>
  <si>
    <t>WP_003568267.1</t>
  </si>
  <si>
    <t>CIL07_RS09665</t>
  </si>
  <si>
    <t>WP_003568265.1</t>
  </si>
  <si>
    <t>CIL07_RS09670</t>
  </si>
  <si>
    <t>WP_003568263.1</t>
  </si>
  <si>
    <t>CIL07_RS09675</t>
  </si>
  <si>
    <t>WP_004559839.1</t>
  </si>
  <si>
    <t>CIL07_RS09680</t>
  </si>
  <si>
    <t>WP_004559838.1</t>
  </si>
  <si>
    <t>CIL07_RS09685</t>
  </si>
  <si>
    <t>WP_003568256.1</t>
  </si>
  <si>
    <t>CIL07_RS09690</t>
  </si>
  <si>
    <t>CIL07_RS09695</t>
  </si>
  <si>
    <t>WP_003568254.1</t>
  </si>
  <si>
    <t>CIL07_RS09700</t>
  </si>
  <si>
    <t>ABC transporter permease subunit</t>
  </si>
  <si>
    <t>WP_003568253.1</t>
  </si>
  <si>
    <t>CIL07_RS09705</t>
  </si>
  <si>
    <t>WP_103214001.1</t>
  </si>
  <si>
    <t>CIL07_RS09710</t>
  </si>
  <si>
    <t>WP_004559837.1</t>
  </si>
  <si>
    <t>CIL07_RS09715</t>
  </si>
  <si>
    <t>CIL07_RS09720</t>
  </si>
  <si>
    <t>CIL07_RS09725</t>
  </si>
  <si>
    <t>CIL07_RS09730</t>
  </si>
  <si>
    <t>WP_004559835.1</t>
  </si>
  <si>
    <t>CIL07_RS09735</t>
  </si>
  <si>
    <t>mannose/fructose/sorbose PTS transporter subunit IIA</t>
  </si>
  <si>
    <t>WP_103213994.1</t>
  </si>
  <si>
    <t>CIL07_RS09740</t>
  </si>
  <si>
    <t>WP_003568238.1</t>
  </si>
  <si>
    <t>CIL07_RS09745</t>
  </si>
  <si>
    <t>WP_003581553.1</t>
  </si>
  <si>
    <t>CIL07_RS09750</t>
  </si>
  <si>
    <t>DUF956 family protein</t>
  </si>
  <si>
    <t>WP_003568234.1</t>
  </si>
  <si>
    <t>CIL07_RS09755</t>
  </si>
  <si>
    <t>WP_022670646.1</t>
  </si>
  <si>
    <t>CIL07_RS09760</t>
  </si>
  <si>
    <t>WP_103213993.1</t>
  </si>
  <si>
    <t>CIL07_RS09765</t>
  </si>
  <si>
    <t>WP_003577039.1</t>
  </si>
  <si>
    <t>CIL07_RS09770</t>
  </si>
  <si>
    <t>WP_003577037.1</t>
  </si>
  <si>
    <t>CIL07_RS09775</t>
  </si>
  <si>
    <t>kinase</t>
  </si>
  <si>
    <t>WP_003606225.1</t>
  </si>
  <si>
    <t>CIL07_RS09780</t>
  </si>
  <si>
    <t>WP_003568221.1</t>
  </si>
  <si>
    <t>CIL07_RS09785</t>
  </si>
  <si>
    <t>WP_003568219.1</t>
  </si>
  <si>
    <t>CIL07_RS09790</t>
  </si>
  <si>
    <t>WP_003577029.1</t>
  </si>
  <si>
    <t>CIL07_RS09795</t>
  </si>
  <si>
    <t>WP_003606224.1</t>
  </si>
  <si>
    <t>CIL07_RS09800</t>
  </si>
  <si>
    <t>WP_003568214.1</t>
  </si>
  <si>
    <t>CIL07_RS09805</t>
  </si>
  <si>
    <t>WP_003568213.1</t>
  </si>
  <si>
    <t>CIL07_RS09810</t>
  </si>
  <si>
    <t>WP_003568211.1</t>
  </si>
  <si>
    <t>CIL07_RS09815</t>
  </si>
  <si>
    <t>DUF871 domain-containing protein</t>
  </si>
  <si>
    <t>WP_103213992.1</t>
  </si>
  <si>
    <t>CIL07_RS09820</t>
  </si>
  <si>
    <t>argininosuccinate lyase</t>
  </si>
  <si>
    <t>argH</t>
  </si>
  <si>
    <t>WP_003606222.1</t>
  </si>
  <si>
    <t>CIL07_RS09825</t>
  </si>
  <si>
    <t>argininosuccinate synthase</t>
  </si>
  <si>
    <t>WP_003568202.1</t>
  </si>
  <si>
    <t>CIL07_RS09830</t>
  </si>
  <si>
    <t>WP_003568200.1</t>
  </si>
  <si>
    <t>CIL07_RS09835</t>
  </si>
  <si>
    <t>WP_003606220.1</t>
  </si>
  <si>
    <t>CIL07_RS09840</t>
  </si>
  <si>
    <t>response regulator YycF</t>
  </si>
  <si>
    <t>yycF</t>
  </si>
  <si>
    <t>WP_003658889.1</t>
  </si>
  <si>
    <t>CIL07_RS09845</t>
  </si>
  <si>
    <t>walK</t>
  </si>
  <si>
    <t>WP_003568194.1</t>
  </si>
  <si>
    <t>CIL07_RS09850</t>
  </si>
  <si>
    <t>YycH family regulatory protein</t>
  </si>
  <si>
    <t>WP_003581523.1</t>
  </si>
  <si>
    <t>CIL07_RS09855</t>
  </si>
  <si>
    <t>two-component system regulatory protein YycI</t>
  </si>
  <si>
    <t>WP_003568189.1</t>
  </si>
  <si>
    <t>CIL07_RS09860</t>
  </si>
  <si>
    <t>WP_003568187.1</t>
  </si>
  <si>
    <t>CIL07_RS09865</t>
  </si>
  <si>
    <t>S1C family serine protease</t>
  </si>
  <si>
    <t>WP_003571864.1</t>
  </si>
  <si>
    <t>CIL07_RS09870</t>
  </si>
  <si>
    <t>WP_003568183.1</t>
  </si>
  <si>
    <t>CIL07_RS09875</t>
  </si>
  <si>
    <t>Hsp20/alpha crystallin family protein</t>
  </si>
  <si>
    <t>WP_003606215.1</t>
  </si>
  <si>
    <t>CIL07_RS09880</t>
  </si>
  <si>
    <t>ISLre2 family transposase</t>
  </si>
  <si>
    <t>WP_049176765.1</t>
  </si>
  <si>
    <t>CIL07_RS09885</t>
  </si>
  <si>
    <t>WP_003581516.1</t>
  </si>
  <si>
    <t>CIL07_RS09890</t>
  </si>
  <si>
    <t>WP_003606211.1</t>
  </si>
  <si>
    <t>CIL07_RS09895</t>
  </si>
  <si>
    <t>WP_003576993.1</t>
  </si>
  <si>
    <t>CIL07_RS09900</t>
  </si>
  <si>
    <t>WP_003606208.1</t>
  </si>
  <si>
    <t>CIL07_RS09905</t>
  </si>
  <si>
    <t>WP_003606206.1</t>
  </si>
  <si>
    <t>CIL07_RS09910</t>
  </si>
  <si>
    <t>WP_003606205.1</t>
  </si>
  <si>
    <t>CIL07_RS09915</t>
  </si>
  <si>
    <t>23S rRNA (pseudouridine(1915)-N(3))-methyltransferase RlmH</t>
  </si>
  <si>
    <t>rlmH</t>
  </si>
  <si>
    <t>WP_003568165.1</t>
  </si>
  <si>
    <t>CIL07_RS09920</t>
  </si>
  <si>
    <t>WP_019886130.1</t>
  </si>
  <si>
    <t>CIL07_RS09925</t>
  </si>
  <si>
    <t>WP_049176619.1</t>
  </si>
  <si>
    <t>CIL07_RS09930</t>
  </si>
  <si>
    <t>WP_003576979.1</t>
  </si>
  <si>
    <t>CIL07_RS09935</t>
  </si>
  <si>
    <t>WP_003576978.1</t>
  </si>
  <si>
    <t>CIL07_RS09940</t>
  </si>
  <si>
    <t>CIL07_RS09945</t>
  </si>
  <si>
    <t>CIL07_RS09950</t>
  </si>
  <si>
    <t>CIL07_RS09955</t>
  </si>
  <si>
    <t>CIL07_RS09960</t>
  </si>
  <si>
    <t>WP_176783317.1</t>
  </si>
  <si>
    <t>CIL07_RS09965</t>
  </si>
  <si>
    <t>WP_022670720.1</t>
  </si>
  <si>
    <t>CIL07_RS09970</t>
  </si>
  <si>
    <t>WP_080671924.1</t>
  </si>
  <si>
    <t>CIL07_RS09975</t>
  </si>
  <si>
    <t>IS6 family transposase</t>
  </si>
  <si>
    <t>WP_012492161.1</t>
  </si>
  <si>
    <t>CIL07_RS09980</t>
  </si>
  <si>
    <t>CIL07_RS09985</t>
  </si>
  <si>
    <t>WP_016363901.1</t>
  </si>
  <si>
    <t>CIL07_RS09990</t>
  </si>
  <si>
    <t>CIL07_RS09995</t>
  </si>
  <si>
    <t>WP_011675029.1</t>
  </si>
  <si>
    <t>CIL07_RS10000</t>
  </si>
  <si>
    <t>WP_003576872.1</t>
  </si>
  <si>
    <t>CIL07_RS10005</t>
  </si>
  <si>
    <t>WP_103213991.1</t>
  </si>
  <si>
    <t>CIL07_RS10010</t>
  </si>
  <si>
    <t>WP_022670745.1</t>
  </si>
  <si>
    <t>CIL07_RS10015</t>
  </si>
  <si>
    <t>HAD-IIIA family hydrolase</t>
  </si>
  <si>
    <t>WP_022670750.1</t>
  </si>
  <si>
    <t>CIL07_RS10020</t>
  </si>
  <si>
    <t>WP_016369945.1</t>
  </si>
  <si>
    <t>CIL07_RS10025</t>
  </si>
  <si>
    <t>WP_045602468.1</t>
  </si>
  <si>
    <t>CIL07_RS10030</t>
  </si>
  <si>
    <t>WP_003568143.1</t>
  </si>
  <si>
    <t>CIL07_RS10035</t>
  </si>
  <si>
    <t>multidrug efflux SMR transporter</t>
  </si>
  <si>
    <t>WP_003568140.1</t>
  </si>
  <si>
    <t>CIL07_RS10040</t>
  </si>
  <si>
    <t>CIL07_RS10045</t>
  </si>
  <si>
    <t>bifunctional oligoribonuclease/PAP phosphatase NrnA</t>
  </si>
  <si>
    <t>WP_003606197.1</t>
  </si>
  <si>
    <t>CIL07_RS10050</t>
  </si>
  <si>
    <t>endonuclease/exonuclease/phosphatase family protein</t>
  </si>
  <si>
    <t>WP_022670765.1</t>
  </si>
  <si>
    <t>CIL07_RS10055</t>
  </si>
  <si>
    <t>WP_003568133.1</t>
  </si>
  <si>
    <t>CIL07_RS10060</t>
  </si>
  <si>
    <t>WP_003568131.1</t>
  </si>
  <si>
    <t>CIL07_RS10065</t>
  </si>
  <si>
    <t>WP_022670771.1</t>
  </si>
  <si>
    <t>CIL07_RS10070</t>
  </si>
  <si>
    <t>WP_003585938.1</t>
  </si>
  <si>
    <t>CIL07_RS10075</t>
  </si>
  <si>
    <t>WP_103213990.1</t>
  </si>
  <si>
    <t>CIL07_RS10080</t>
  </si>
  <si>
    <t>WP_003662453.1</t>
  </si>
  <si>
    <t>CIL07_RS10085</t>
  </si>
  <si>
    <t>dipeptide epimerase</t>
  </si>
  <si>
    <t>WP_022670778.1</t>
  </si>
  <si>
    <t>CIL07_RS10090</t>
  </si>
  <si>
    <t>WP_016380750.1</t>
  </si>
  <si>
    <t>CIL07_RS10095</t>
  </si>
  <si>
    <t>WP_003599197.1</t>
  </si>
  <si>
    <t>CIL07_RS10100</t>
  </si>
  <si>
    <t>cysteine hydrolase family protein</t>
  </si>
  <si>
    <t>WP_022670789.1</t>
  </si>
  <si>
    <t>CIL07_RS10105</t>
  </si>
  <si>
    <t>WP_103213989.1</t>
  </si>
  <si>
    <t>CIL07_RS10110</t>
  </si>
  <si>
    <t>WP_003581443.1</t>
  </si>
  <si>
    <t>CIL07_RS10115</t>
  </si>
  <si>
    <t>carbohydrate ABC transporter permease</t>
  </si>
  <si>
    <t>WP_022670800.1</t>
  </si>
  <si>
    <t>CIL07_RS10120</t>
  </si>
  <si>
    <t>WP_003568106.1</t>
  </si>
  <si>
    <t>CIL07_RS10125</t>
  </si>
  <si>
    <t>WP_003568103.1</t>
  </si>
  <si>
    <t>CIL07_RS10130</t>
  </si>
  <si>
    <t>arsenate reductase (thioredoxin)</t>
  </si>
  <si>
    <t>arsC</t>
  </si>
  <si>
    <t>WP_003576828.1</t>
  </si>
  <si>
    <t>CIL07_RS10135</t>
  </si>
  <si>
    <t>glycerophosphodiester phosphodiesterase family protein</t>
  </si>
  <si>
    <t>WP_003581437.1</t>
  </si>
  <si>
    <t>CIL07_RS10140</t>
  </si>
  <si>
    <t>WP_045602492.1</t>
  </si>
  <si>
    <t>CIL07_RS10145</t>
  </si>
  <si>
    <t>DUF3923 family protein</t>
  </si>
  <si>
    <t>WP_022670815.1</t>
  </si>
  <si>
    <t>CIL07_RS10150</t>
  </si>
  <si>
    <t>WP_022670820.1</t>
  </si>
  <si>
    <t>CIL07_RS10155</t>
  </si>
  <si>
    <t>WP_022670824.1</t>
  </si>
  <si>
    <t>CIL07_RS10160</t>
  </si>
  <si>
    <t>isochorismatase family protein</t>
  </si>
  <si>
    <t>WP_022670827.1</t>
  </si>
  <si>
    <t>CIL07_RS10165</t>
  </si>
  <si>
    <t>WP_003585909.1</t>
  </si>
  <si>
    <t>CIL07_RS10170</t>
  </si>
  <si>
    <t>WP_049176777.1</t>
  </si>
  <si>
    <t>CIL07_RS10175</t>
  </si>
  <si>
    <t>WP_003585905.1</t>
  </si>
  <si>
    <t>CIL07_RS10180</t>
  </si>
  <si>
    <t>WP_031264535.1</t>
  </si>
  <si>
    <t>CIL07_RS10185</t>
  </si>
  <si>
    <t>class II aldolase</t>
  </si>
  <si>
    <t>WP_022670843.1</t>
  </si>
  <si>
    <t>CIL07_RS10190</t>
  </si>
  <si>
    <t>WP_022670847.1</t>
  </si>
  <si>
    <t>CIL07_RS10195</t>
  </si>
  <si>
    <t>WP_045602501.1</t>
  </si>
  <si>
    <t>CIL07_RS10200</t>
  </si>
  <si>
    <t>WP_022670855.1</t>
  </si>
  <si>
    <t>CIL07_RS10205</t>
  </si>
  <si>
    <t>WP_003576783.1</t>
  </si>
  <si>
    <t>CIL07_RS10210</t>
  </si>
  <si>
    <t>WP_016380897.1</t>
  </si>
  <si>
    <t>CIL07_RS10215</t>
  </si>
  <si>
    <t>WP_016380896.1</t>
  </si>
  <si>
    <t>CIL07_RS10220</t>
  </si>
  <si>
    <t>xylulokinase</t>
  </si>
  <si>
    <t>WP_022670860.1</t>
  </si>
  <si>
    <t>CIL07_RS10225</t>
  </si>
  <si>
    <t>CIL07_RS10230</t>
  </si>
  <si>
    <t>WP_225367345.1</t>
  </si>
  <si>
    <t>CIL07_RS10235</t>
  </si>
  <si>
    <t>WP_022670876.1</t>
  </si>
  <si>
    <t>CIL07_RS10240</t>
  </si>
  <si>
    <t>WP_003589250.1</t>
  </si>
  <si>
    <t>CIL07_RS10245</t>
  </si>
  <si>
    <t>aspartate 4-decarboxylase</t>
  </si>
  <si>
    <t>aspD</t>
  </si>
  <si>
    <t>WP_022670879.1</t>
  </si>
  <si>
    <t>CIL07_RS10250</t>
  </si>
  <si>
    <t>GntR family transcriptional regulator, LSA1692 subfamily</t>
  </si>
  <si>
    <t>WP_022670880.1</t>
  </si>
  <si>
    <t>CIL07_RS10255</t>
  </si>
  <si>
    <t>WP_049176775.1</t>
  </si>
  <si>
    <t>CIL07_RS10260</t>
  </si>
  <si>
    <t>N(4)-(beta-N-acetylglucosaminyl)-L-asparaginase</t>
  </si>
  <si>
    <t>WP_045602517.1</t>
  </si>
  <si>
    <t>CIL07_RS10265</t>
  </si>
  <si>
    <t>ROK family protein</t>
  </si>
  <si>
    <t>WP_045602519.1</t>
  </si>
  <si>
    <t>CIL07_RS10270</t>
  </si>
  <si>
    <t>WP_022670883.1</t>
  </si>
  <si>
    <t>CIL07_RS10275</t>
  </si>
  <si>
    <t>WP_016381516.1</t>
  </si>
  <si>
    <t>CIL07_RS10280</t>
  </si>
  <si>
    <t>WP_103213988.1</t>
  </si>
  <si>
    <t>CIL07_RS10285</t>
  </si>
  <si>
    <t>WP_003585869.1</t>
  </si>
  <si>
    <t>CIL07_RS10290</t>
  </si>
  <si>
    <t>WP_003576751.1</t>
  </si>
  <si>
    <t>CIL07_RS10295</t>
  </si>
  <si>
    <t>WP_003576749.1</t>
  </si>
  <si>
    <t>CIL07_RS10300</t>
  </si>
  <si>
    <t>WP_003576746.1</t>
  </si>
  <si>
    <t>CIL07_RS10305</t>
  </si>
  <si>
    <t>WP_003576744.1</t>
  </si>
  <si>
    <t>CIL07_RS10310</t>
  </si>
  <si>
    <t>phospho-2-dehydro-3-deoxyheptonate aldolase</t>
  </si>
  <si>
    <t>WP_103213987.1</t>
  </si>
  <si>
    <t>CIL07_RS10315</t>
  </si>
  <si>
    <t>WP_003576741.1</t>
  </si>
  <si>
    <t>CIL07_RS10320</t>
  </si>
  <si>
    <t>ribose-5-phosphate isomerase RpiA</t>
  </si>
  <si>
    <t>rpiA</t>
  </si>
  <si>
    <t>WP_022670885.1</t>
  </si>
  <si>
    <t>CIL07_RS10325</t>
  </si>
  <si>
    <t>L-ascorbate 6-phosphate lactonase</t>
  </si>
  <si>
    <t>ulaG</t>
  </si>
  <si>
    <t>WP_022670886.1</t>
  </si>
  <si>
    <t>CIL07_RS10330</t>
  </si>
  <si>
    <t>WP_003568036.1</t>
  </si>
  <si>
    <t>CIL07_RS10335</t>
  </si>
  <si>
    <t>PTS ascorbate transporter subunit IIC</t>
  </si>
  <si>
    <t>WP_003568034.1</t>
  </si>
  <si>
    <t>CIL07_RS10340</t>
  </si>
  <si>
    <t>WP_103213985.1</t>
  </si>
  <si>
    <t>CIL07_RS10345</t>
  </si>
  <si>
    <t>3-keto-L-gulonate-6-phosphate decarboxylase UlaD</t>
  </si>
  <si>
    <t>WP_003568031.1</t>
  </si>
  <si>
    <t>CIL07_RS10350</t>
  </si>
  <si>
    <t>WP_003568030.1</t>
  </si>
  <si>
    <t>CIL07_RS10355</t>
  </si>
  <si>
    <t>L-ribulose-5-phosphate 3-epimerase</t>
  </si>
  <si>
    <t>WP_016381785.1</t>
  </si>
  <si>
    <t>CIL07_RS10360</t>
  </si>
  <si>
    <t>WP_003568028.1</t>
  </si>
  <si>
    <t>CIL07_RS10365</t>
  </si>
  <si>
    <t>L-ribulose-5-phosphate 4-epimerase</t>
  </si>
  <si>
    <t>WP_049176773.1</t>
  </si>
  <si>
    <t>CIL07_RS10370</t>
  </si>
  <si>
    <t>WP_003568026.1</t>
  </si>
  <si>
    <t>CIL07_RS10375</t>
  </si>
  <si>
    <t>HTH domain-containing protein</t>
  </si>
  <si>
    <t>WP_003568025.1</t>
  </si>
  <si>
    <t>CIL07_RS10380</t>
  </si>
  <si>
    <t>transcriptional regulator GutM</t>
  </si>
  <si>
    <t>WP_012492106.1</t>
  </si>
  <si>
    <t>CIL07_RS10385</t>
  </si>
  <si>
    <t>PTS glucitol/sorbitol transporter subunit IIC</t>
  </si>
  <si>
    <t>WP_003568023.1</t>
  </si>
  <si>
    <t>CIL07_RS10390</t>
  </si>
  <si>
    <t>PTS glucitol/sorbitol transporter subunit IIB</t>
  </si>
  <si>
    <t>WP_022670896.1</t>
  </si>
  <si>
    <t>CIL07_RS10395</t>
  </si>
  <si>
    <t>PTS glucitol/sorbitol transporter subunit IIA</t>
  </si>
  <si>
    <t>WP_003568021.1</t>
  </si>
  <si>
    <t>CIL07_RS10400</t>
  </si>
  <si>
    <t>transaldolase family protein</t>
  </si>
  <si>
    <t>WP_003568020.1</t>
  </si>
  <si>
    <t>CIL07_RS10405</t>
  </si>
  <si>
    <t>WP_045602534.1</t>
  </si>
  <si>
    <t>CIL07_RS10410</t>
  </si>
  <si>
    <t>WP_003576725.1</t>
  </si>
  <si>
    <t>CIL07_RS10415</t>
  </si>
  <si>
    <t>SFCGS family glycine-rich protein</t>
  </si>
  <si>
    <t>WP_003576723.1</t>
  </si>
  <si>
    <t>CIL07_RS10420</t>
  </si>
  <si>
    <t>DUF4312 family protein</t>
  </si>
  <si>
    <t>WP_003568016.1</t>
  </si>
  <si>
    <t>CIL07_RS10425</t>
  </si>
  <si>
    <t>DUF4311 domain-containing protein</t>
  </si>
  <si>
    <t>WP_003576721.1</t>
  </si>
  <si>
    <t>CIL07_RS10430</t>
  </si>
  <si>
    <t>DUF4310 family protein</t>
  </si>
  <si>
    <t>WP_003568014.1</t>
  </si>
  <si>
    <t>CIL07_RS10435</t>
  </si>
  <si>
    <t>amidohydrolase/deacetylase family metallohydrolase</t>
  </si>
  <si>
    <t>WP_003606165.1</t>
  </si>
  <si>
    <t>CIL07_RS10440</t>
  </si>
  <si>
    <t>DgaE family pyridoxal phosphate-dependent ammonia lyase</t>
  </si>
  <si>
    <t>WP_103213984.1</t>
  </si>
  <si>
    <t>CIL07_RS10445</t>
  </si>
  <si>
    <t>KDGP aldolase family protein</t>
  </si>
  <si>
    <t>WP_003568011.1</t>
  </si>
  <si>
    <t>CIL07_RS10450</t>
  </si>
  <si>
    <t>WP_103213983.1</t>
  </si>
  <si>
    <t>CIL07_RS10455</t>
  </si>
  <si>
    <t>ketohydroxyglutarate aldolase</t>
  </si>
  <si>
    <t>WP_022670913.1</t>
  </si>
  <si>
    <t>CIL07_RS10460</t>
  </si>
  <si>
    <t>WP_022670917.1</t>
  </si>
  <si>
    <t>CIL07_RS10465</t>
  </si>
  <si>
    <t>WP_003568007.1</t>
  </si>
  <si>
    <t>CIL07_RS10470</t>
  </si>
  <si>
    <t>WP_003568006.1</t>
  </si>
  <si>
    <t>CIL07_RS10475</t>
  </si>
  <si>
    <t>WP_003568005.1</t>
  </si>
  <si>
    <t>CIL07_RS10480</t>
  </si>
  <si>
    <t>WP_022670920.1</t>
  </si>
  <si>
    <t>CIL07_RS10485</t>
  </si>
  <si>
    <t>sigma-54-dependent transcriptional regulator</t>
  </si>
  <si>
    <t>WP_022670924.1</t>
  </si>
  <si>
    <t>CIL07_RS10490</t>
  </si>
  <si>
    <t>2-keto-3-deoxygluconate permease</t>
  </si>
  <si>
    <t>WP_103213982.1</t>
  </si>
  <si>
    <t>CIL07_RS10495</t>
  </si>
  <si>
    <t>four-carbon acid sugar kinase family protein</t>
  </si>
  <si>
    <t>WP_003568001.1</t>
  </si>
  <si>
    <t>CIL07_RS10500</t>
  </si>
  <si>
    <t>4-hydroxythreonine-4-phosphate dehydrogenase PdxA</t>
  </si>
  <si>
    <t>pdxA</t>
  </si>
  <si>
    <t>WP_103213981.1</t>
  </si>
  <si>
    <t>CIL07_RS10505</t>
  </si>
  <si>
    <t>CIL07_RS10510</t>
  </si>
  <si>
    <t>ElyC/SanA/YdcF family protein</t>
  </si>
  <si>
    <t>WP_123157267.1</t>
  </si>
  <si>
    <t>CIL07_RS10515</t>
  </si>
  <si>
    <t>WP_045602537.1</t>
  </si>
  <si>
    <t>CIL07_RS10520</t>
  </si>
  <si>
    <t>WP_003567997.1</t>
  </si>
  <si>
    <t>CIL07_RS10525</t>
  </si>
  <si>
    <t>WP_003567996.1</t>
  </si>
  <si>
    <t>CIL07_RS10530</t>
  </si>
  <si>
    <t>PTS galactitol transporter subunit IIC</t>
  </si>
  <si>
    <t>WP_011674984.1</t>
  </si>
  <si>
    <t>CIL07_RS10535</t>
  </si>
  <si>
    <t>WP_003567994.1</t>
  </si>
  <si>
    <t>CIL07_RS10540</t>
  </si>
  <si>
    <t>WP_013246123.1</t>
  </si>
  <si>
    <t>CIL07_RS10545</t>
  </si>
  <si>
    <t>triose-phosphate isomerase</t>
  </si>
  <si>
    <t>WP_003579880.1</t>
  </si>
  <si>
    <t>CIL07_RS10550</t>
  </si>
  <si>
    <t>YjbQ family protein</t>
  </si>
  <si>
    <t>WP_003576695.1</t>
  </si>
  <si>
    <t>CIL07_RS10555</t>
  </si>
  <si>
    <t>WP_016371026.1</t>
  </si>
  <si>
    <t>CIL07_RS10560</t>
  </si>
  <si>
    <t>PTS glucose transporter subunit IIA</t>
  </si>
  <si>
    <t>WP_003567981.1</t>
  </si>
  <si>
    <t>CIL07_RS10565</t>
  </si>
  <si>
    <t>WP_022670954.1</t>
  </si>
  <si>
    <t>CIL07_RS10570</t>
  </si>
  <si>
    <t>CIL07_RS10575</t>
  </si>
  <si>
    <t>CIL07_RS10580</t>
  </si>
  <si>
    <t>CIL07_RS10585</t>
  </si>
  <si>
    <t>CIL07_RS10590</t>
  </si>
  <si>
    <t>WP_013246120.1</t>
  </si>
  <si>
    <t>CIL07_RS10595</t>
  </si>
  <si>
    <t>WP_003576685.1</t>
  </si>
  <si>
    <t>CIL07_RS10600</t>
  </si>
  <si>
    <t>WP_022670965.1</t>
  </si>
  <si>
    <t>CIL07_RS10605</t>
  </si>
  <si>
    <t>WP_240031955.1</t>
  </si>
  <si>
    <t>CIL07_RS10610</t>
  </si>
  <si>
    <t>CIL07_RS10615</t>
  </si>
  <si>
    <t>CIL07_RS10620</t>
  </si>
  <si>
    <t>WP_003606154.1</t>
  </si>
  <si>
    <t>CIL07_RS10625</t>
  </si>
  <si>
    <t>polysaccharide lyase family 8 super-sandwich domain-containing protein</t>
  </si>
  <si>
    <t>WP_103213977.1</t>
  </si>
  <si>
    <t>CIL07_RS10630</t>
  </si>
  <si>
    <t>PTS transporter subunit EIIC</t>
  </si>
  <si>
    <t>WP_003606152.1</t>
  </si>
  <si>
    <t>CIL07_RS10635</t>
  </si>
  <si>
    <t>6-phospho-alpha-glucosidase</t>
  </si>
  <si>
    <t>WP_003606151.1</t>
  </si>
  <si>
    <t>CIL07_RS10640</t>
  </si>
  <si>
    <t>WP_156657007.1</t>
  </si>
  <si>
    <t>CIL07_RS10645</t>
  </si>
  <si>
    <t>type I toxin-antitoxin system Fst family toxin</t>
  </si>
  <si>
    <t>WP_003606150.1</t>
  </si>
  <si>
    <t>CIL07_RS10650</t>
  </si>
  <si>
    <t>WP_003606148.1</t>
  </si>
  <si>
    <t>CIL07_RS10655</t>
  </si>
  <si>
    <t>WP_003576656.1</t>
  </si>
  <si>
    <t>CIL07_RS10660</t>
  </si>
  <si>
    <t>WP_003606146.1</t>
  </si>
  <si>
    <t>CIL07_RS10665</t>
  </si>
  <si>
    <t>sensor histidine kinase KdpD</t>
  </si>
  <si>
    <t>WP_003606144.1</t>
  </si>
  <si>
    <t>CIL07_RS10670</t>
  </si>
  <si>
    <t>VTT domain-containing protein</t>
  </si>
  <si>
    <t>WP_003606142.1</t>
  </si>
  <si>
    <t>CIL07_RS10675</t>
  </si>
  <si>
    <t>WP_003606139.1</t>
  </si>
  <si>
    <t>CIL07_RS10680</t>
  </si>
  <si>
    <t>WP_003606138.1</t>
  </si>
  <si>
    <t>CIL07_RS10685</t>
  </si>
  <si>
    <t>WP_003606137.1</t>
  </si>
  <si>
    <t>CIL07_RS10690</t>
  </si>
  <si>
    <t>WP_003567951.1</t>
  </si>
  <si>
    <t>CIL07_RS10695</t>
  </si>
  <si>
    <t>DNA alkylation repair protein</t>
  </si>
  <si>
    <t>WP_049176591.1</t>
  </si>
  <si>
    <t>CIL07_RS10700</t>
  </si>
  <si>
    <t>WP_003606134.1</t>
  </si>
  <si>
    <t>CIL07_RS10705</t>
  </si>
  <si>
    <t>WP_103213976.1</t>
  </si>
  <si>
    <t>CIL07_RS10710</t>
  </si>
  <si>
    <t>WP_022670985.1</t>
  </si>
  <si>
    <t>CIL07_RS10715</t>
  </si>
  <si>
    <t>WP_003567908.1</t>
  </si>
  <si>
    <t>CIL07_RS10720</t>
  </si>
  <si>
    <t>WP_003606129.1</t>
  </si>
  <si>
    <t>CIL07_RS10725</t>
  </si>
  <si>
    <t>PTS galactitol transporter subunit IIB</t>
  </si>
  <si>
    <t>WP_003567903.1</t>
  </si>
  <si>
    <t>CIL07_RS10730</t>
  </si>
  <si>
    <t>WP_003567901.1</t>
  </si>
  <si>
    <t>CIL07_RS10735</t>
  </si>
  <si>
    <t>WP_016374482.1</t>
  </si>
  <si>
    <t>CIL07_RS10740</t>
  </si>
  <si>
    <t>class II aldolase/adducin family protein</t>
  </si>
  <si>
    <t>WP_003567897.1</t>
  </si>
  <si>
    <t>CIL07_RS10745</t>
  </si>
  <si>
    <t>WP_080596995.1</t>
  </si>
  <si>
    <t>CIL07_RS10750</t>
  </si>
  <si>
    <t>WP_003567895.1</t>
  </si>
  <si>
    <t>CIL07_RS10755</t>
  </si>
  <si>
    <t>CIL07_RS10760</t>
  </si>
  <si>
    <t>glycerol kinase GlpK</t>
  </si>
  <si>
    <t>glpK</t>
  </si>
  <si>
    <t>WP_049176817.1</t>
  </si>
  <si>
    <t>CIL07_RS10765</t>
  </si>
  <si>
    <t>WP_003567854.1</t>
  </si>
  <si>
    <t>CIL07_RS10770</t>
  </si>
  <si>
    <t>WP_003567852.1</t>
  </si>
  <si>
    <t>CIL07_RS10775</t>
  </si>
  <si>
    <t>WP_103213975.1</t>
  </si>
  <si>
    <t>CIL07_RS10780</t>
  </si>
  <si>
    <t>WP_080596994.1</t>
  </si>
  <si>
    <t>CIL07_RS10785</t>
  </si>
  <si>
    <t>WP_003567848.1</t>
  </si>
  <si>
    <t>CIL07_RS10790</t>
  </si>
  <si>
    <t>DUF554 domain-containing protein</t>
  </si>
  <si>
    <t>WP_003567846.1</t>
  </si>
  <si>
    <t>CIL07_RS10795</t>
  </si>
  <si>
    <t>recombinase RecA</t>
  </si>
  <si>
    <t>recA</t>
  </si>
  <si>
    <t>WP_003606105.1</t>
  </si>
  <si>
    <t>CIL07_RS10800</t>
  </si>
  <si>
    <t>PLP-dependent aminotransferase family protein</t>
  </si>
  <si>
    <t>WP_003567842.1</t>
  </si>
  <si>
    <t>CIL07_RS10805</t>
  </si>
  <si>
    <t>WP_003567840.1</t>
  </si>
  <si>
    <t>CIL07_RS10810</t>
  </si>
  <si>
    <t>ribonuclease H</t>
  </si>
  <si>
    <t>WP_003567838.1</t>
  </si>
  <si>
    <t>CIL07_RS10815</t>
  </si>
  <si>
    <t>WP_003567836.1</t>
  </si>
  <si>
    <t>CIL07_RS10820</t>
  </si>
  <si>
    <t>WP_003567833.1</t>
  </si>
  <si>
    <t>CIL07_RS10825</t>
  </si>
  <si>
    <t>YoaK family protein</t>
  </si>
  <si>
    <t>WP_003567831.1</t>
  </si>
  <si>
    <t>CIL07_RS10830</t>
  </si>
  <si>
    <t>WP_016365405.1</t>
  </si>
  <si>
    <t>CIL07_RS10835</t>
  </si>
  <si>
    <t>WP_003567829.1</t>
  </si>
  <si>
    <t>CIL07_RS10840</t>
  </si>
  <si>
    <t>WP_003567827.1</t>
  </si>
  <si>
    <t>CIL07_RS10845</t>
  </si>
  <si>
    <t>WP_003567825.1</t>
  </si>
  <si>
    <t>CIL07_RS10850</t>
  </si>
  <si>
    <t>WP_049176815.1</t>
  </si>
  <si>
    <t>CIL07_RS10855</t>
  </si>
  <si>
    <t>WP_100908653.1</t>
  </si>
  <si>
    <t>CIL07_RS10860</t>
  </si>
  <si>
    <t>MarR family transcriptional regulator</t>
  </si>
  <si>
    <t>WP_003567813.1</t>
  </si>
  <si>
    <t>CIL07_RS10865</t>
  </si>
  <si>
    <t>WP_003606100.1</t>
  </si>
  <si>
    <t>CIL07_RS10870</t>
  </si>
  <si>
    <t>CIL07_RS10875</t>
  </si>
  <si>
    <t>WP_003576567.1</t>
  </si>
  <si>
    <t>CIL07_RS10880</t>
  </si>
  <si>
    <t>TDT family transporter</t>
  </si>
  <si>
    <t>WP_103213974.1</t>
  </si>
  <si>
    <t>CIL07_RS10885</t>
  </si>
  <si>
    <t>WP_103213973.1</t>
  </si>
  <si>
    <t>CIL07_RS10890</t>
  </si>
  <si>
    <t>WP_103213972.1</t>
  </si>
  <si>
    <t>CIL07_RS10895</t>
  </si>
  <si>
    <t>ABC transporter permease/substrate-binding protein</t>
  </si>
  <si>
    <t>WP_003567802.1</t>
  </si>
  <si>
    <t>CIL07_RS10900</t>
  </si>
  <si>
    <t>WP_003567800.1</t>
  </si>
  <si>
    <t>CIL07_RS10905</t>
  </si>
  <si>
    <t>WP_003606093.1</t>
  </si>
  <si>
    <t>CIL07_RS10910</t>
  </si>
  <si>
    <t>WP_003567796.1</t>
  </si>
  <si>
    <t>CIL07_RS10915</t>
  </si>
  <si>
    <t>tryptophan--tRNA ligase</t>
  </si>
  <si>
    <t>trpS</t>
  </si>
  <si>
    <t>WP_003606091.1</t>
  </si>
  <si>
    <t>CIL07_RS10920</t>
  </si>
  <si>
    <t>LemA family protein</t>
  </si>
  <si>
    <t>WP_003567793.1</t>
  </si>
  <si>
    <t>CIL07_RS10925</t>
  </si>
  <si>
    <t>WP_372487183.1</t>
  </si>
  <si>
    <t>CIL07_RS10930</t>
  </si>
  <si>
    <t>MATE family efflux transporter</t>
  </si>
  <si>
    <t>WP_103214000.1</t>
  </si>
  <si>
    <t>CIL07_RS10935</t>
  </si>
  <si>
    <t>WP_003571512.1</t>
  </si>
  <si>
    <t>CIL07_RS10940</t>
  </si>
  <si>
    <t>WP_003606086.1</t>
  </si>
  <si>
    <t>CIL07_RS10945</t>
  </si>
  <si>
    <t>aldo/keto reductase family oxidoreductase</t>
  </si>
  <si>
    <t>WP_003567783.1</t>
  </si>
  <si>
    <t>CIL07_RS10950</t>
  </si>
  <si>
    <t>exopolyphosphatase</t>
  </si>
  <si>
    <t>WP_003606084.1</t>
  </si>
  <si>
    <t>CIL07_RS10955</t>
  </si>
  <si>
    <t>RNA degradosome polyphosphate kinase</t>
  </si>
  <si>
    <t>WP_003585697.1</t>
  </si>
  <si>
    <t>CIL07_RS10960</t>
  </si>
  <si>
    <t>ppx</t>
  </si>
  <si>
    <t>WP_003606081.1</t>
  </si>
  <si>
    <t>CIL07_RS10965</t>
  </si>
  <si>
    <t>DUF1002 domain-containing protein</t>
  </si>
  <si>
    <t>WP_003567776.1</t>
  </si>
  <si>
    <t>CIL07_RS10970</t>
  </si>
  <si>
    <t>WP_003581148.1</t>
  </si>
  <si>
    <t>CIL07_RS10975</t>
  </si>
  <si>
    <t>YbhB/YbcL family Raf kinase inhibitor-like protein</t>
  </si>
  <si>
    <t>WP_003567772.1</t>
  </si>
  <si>
    <t>CIL07_RS10980</t>
  </si>
  <si>
    <t>WP_003585694.1</t>
  </si>
  <si>
    <t>CIL07_RS10985</t>
  </si>
  <si>
    <t>WP_003567770.1</t>
  </si>
  <si>
    <t>CIL07_RS10990</t>
  </si>
  <si>
    <t>NAD-dependent protein deacylase</t>
  </si>
  <si>
    <t>WP_003606076.1</t>
  </si>
  <si>
    <t>CIL07_RS10995</t>
  </si>
  <si>
    <t>WP_003606075.1</t>
  </si>
  <si>
    <t>CIL07_RS11000</t>
  </si>
  <si>
    <t>WP_003606074.1</t>
  </si>
  <si>
    <t>CIL07_RS11005</t>
  </si>
  <si>
    <t>8-oxo-dGTP diphosphatase</t>
  </si>
  <si>
    <t>WP_003571499.1</t>
  </si>
  <si>
    <t>CIL07_RS11010</t>
  </si>
  <si>
    <t>DUF72 domain-containing protein</t>
  </si>
  <si>
    <t>WP_103213971.1</t>
  </si>
  <si>
    <t>CIL07_RS11015</t>
  </si>
  <si>
    <t>proline iminopeptidase</t>
  </si>
  <si>
    <t>pepI</t>
  </si>
  <si>
    <t>WP_003567758.1</t>
  </si>
  <si>
    <t>CIL07_RS11020</t>
  </si>
  <si>
    <t>methionine--tRNA ligase</t>
  </si>
  <si>
    <t>metG</t>
  </si>
  <si>
    <t>WP_003606073.1</t>
  </si>
  <si>
    <t>CIL07_RS11025</t>
  </si>
  <si>
    <t>CIL07_RS11030</t>
  </si>
  <si>
    <t>WP_003606071.1</t>
  </si>
  <si>
    <t>CIL07_RS11035</t>
  </si>
  <si>
    <t>WP_003606069.1</t>
  </si>
  <si>
    <t>CIL07_RS11040</t>
  </si>
  <si>
    <t>WP_003606067.1</t>
  </si>
  <si>
    <t>CIL07_RS11045</t>
  </si>
  <si>
    <t>WP_003576514.1</t>
  </si>
  <si>
    <t>CIL07_RS11050</t>
  </si>
  <si>
    <t>tagatose 1,6-diphosphate aldolase</t>
  </si>
  <si>
    <t>WP_003567744.1</t>
  </si>
  <si>
    <t>CIL07_RS11055</t>
  </si>
  <si>
    <t>WP_003606062.1</t>
  </si>
  <si>
    <t>CIL07_RS11060</t>
  </si>
  <si>
    <t>TatD family hydrolase</t>
  </si>
  <si>
    <t>WP_003567740.1</t>
  </si>
  <si>
    <t>CIL07_RS11065</t>
  </si>
  <si>
    <t>ribonuclease M5</t>
  </si>
  <si>
    <t>rnmV</t>
  </si>
  <si>
    <t>WP_003567738.1</t>
  </si>
  <si>
    <t>CIL07_RS11070</t>
  </si>
  <si>
    <t>16S rRNA (adenine(1518)-N(6)/adenine(1519)-N(6))-dimethyltransferase RsmA</t>
  </si>
  <si>
    <t>rsmA</t>
  </si>
  <si>
    <t>WP_003567736.1</t>
  </si>
  <si>
    <t>CIL07_RS11075</t>
  </si>
  <si>
    <t>Veg family protein</t>
  </si>
  <si>
    <t>WP_003567734.1</t>
  </si>
  <si>
    <t>CIL07_RS11080</t>
  </si>
  <si>
    <t>4-(cytidine 5'-diphospho)-2-C-methyl-D-erythritol kinase</t>
  </si>
  <si>
    <t>ispE</t>
  </si>
  <si>
    <t>WP_003588997.1</t>
  </si>
  <si>
    <t>CIL07_RS11085</t>
  </si>
  <si>
    <t>WP_003567730.1</t>
  </si>
  <si>
    <t>CIL07_RS11090</t>
  </si>
  <si>
    <t>iron export ABC transporter permease subunit FetB</t>
  </si>
  <si>
    <t>fetB</t>
  </si>
  <si>
    <t>WP_003567728.1</t>
  </si>
  <si>
    <t>CIL07_RS11095</t>
  </si>
  <si>
    <t>WP_003567726.1</t>
  </si>
  <si>
    <t>CIL07_RS11100</t>
  </si>
  <si>
    <t>pur operon repressor</t>
  </si>
  <si>
    <t>purR</t>
  </si>
  <si>
    <t>WP_003567724.1</t>
  </si>
  <si>
    <t>CIL07_RS11105</t>
  </si>
  <si>
    <t>WP_003606056.1</t>
  </si>
  <si>
    <t>CIL07_RS11110</t>
  </si>
  <si>
    <t>bifunctional UDP-N-acetylglucosamine diphosphorylase/glucosamine-1-phosphate N-acetyltransferase GlmU</t>
  </si>
  <si>
    <t>glmU</t>
  </si>
  <si>
    <t>WP_003581112.1</t>
  </si>
  <si>
    <t>CIL07_RS11115</t>
  </si>
  <si>
    <t>ribose-phosphate diphosphokinase</t>
  </si>
  <si>
    <t>WP_003567718.1</t>
  </si>
  <si>
    <t>CIL07_RS11120</t>
  </si>
  <si>
    <t>WP_003599958.1</t>
  </si>
  <si>
    <t>CIL07_RS11125</t>
  </si>
  <si>
    <t>CIL07_RS11130</t>
  </si>
  <si>
    <t>large-conductance mechanosensitive channel protein MscL</t>
  </si>
  <si>
    <t>mscL</t>
  </si>
  <si>
    <t>WP_003571482.1</t>
  </si>
  <si>
    <t>CIL07_RS11135</t>
  </si>
  <si>
    <t>YdcF family protein</t>
  </si>
  <si>
    <t>WP_103213970.1</t>
  </si>
  <si>
    <t>CIL07_RS11140</t>
  </si>
  <si>
    <t>WP_003567704.1</t>
  </si>
  <si>
    <t>CIL07_RS11145</t>
  </si>
  <si>
    <t>WP_103213969.1</t>
  </si>
  <si>
    <t>CIL07_RS11150</t>
  </si>
  <si>
    <t>lipoate--protein ligase family protein</t>
  </si>
  <si>
    <t>WP_103213968.1</t>
  </si>
  <si>
    <t>CIL07_RS11155</t>
  </si>
  <si>
    <t>DUF1934 domain-containing protein</t>
  </si>
  <si>
    <t>WP_003606052.1</t>
  </si>
  <si>
    <t>CIL07_RS11160</t>
  </si>
  <si>
    <t>DNA-directed RNA polymerase subunit delta</t>
  </si>
  <si>
    <t>rpoE</t>
  </si>
  <si>
    <t>WP_003658743.1</t>
  </si>
  <si>
    <t>CIL07_RS11165</t>
  </si>
  <si>
    <t>WP_003567693.1</t>
  </si>
  <si>
    <t>CIL07_RS11170</t>
  </si>
  <si>
    <t>CTP synthase</t>
  </si>
  <si>
    <t>WP_003567691.1</t>
  </si>
  <si>
    <t>CIL07_RS11175</t>
  </si>
  <si>
    <t>UDP-N-acetylglucosamine 1-carboxyvinyltransferase</t>
  </si>
  <si>
    <t>WP_103213967.1</t>
  </si>
  <si>
    <t>CIL07_RS11180</t>
  </si>
  <si>
    <t>type B 50S ribosomal protein L31</t>
  </si>
  <si>
    <t>WP_003567687.1</t>
  </si>
  <si>
    <t>CIL07_RS11185</t>
  </si>
  <si>
    <t>WP_003567685.1</t>
  </si>
  <si>
    <t>CIL07_RS11190</t>
  </si>
  <si>
    <t>WP_003567683.1</t>
  </si>
  <si>
    <t>CIL07_RS11195</t>
  </si>
  <si>
    <t>WP_003571475.1</t>
  </si>
  <si>
    <t>CIL07_RS11200</t>
  </si>
  <si>
    <t>WP_003567679.1</t>
  </si>
  <si>
    <t>CIL07_RS11205</t>
  </si>
  <si>
    <t>UDP-N-acetylmuramoyl-tripeptide--D-alanyl-D-alanine ligase</t>
  </si>
  <si>
    <t>murF</t>
  </si>
  <si>
    <t>WP_003606050.1</t>
  </si>
  <si>
    <t>CIL07_RS11210</t>
  </si>
  <si>
    <t>WP_003591975.1</t>
  </si>
  <si>
    <t>CIL07_RS11215</t>
  </si>
  <si>
    <t>WP_003567670.1</t>
  </si>
  <si>
    <t>CIL07_RS11220</t>
  </si>
  <si>
    <t>holo-ACP synthase</t>
  </si>
  <si>
    <t>acpS</t>
  </si>
  <si>
    <t>WP_003567669.1</t>
  </si>
  <si>
    <t>CIL07_RS11225</t>
  </si>
  <si>
    <t>alanine racemase</t>
  </si>
  <si>
    <t>alr</t>
  </si>
  <si>
    <t>WP_103213966.1</t>
  </si>
  <si>
    <t>CIL07_RS11230</t>
  </si>
  <si>
    <t>programmed cell death antitoxin</t>
  </si>
  <si>
    <t>WP_003606045.1</t>
  </si>
  <si>
    <t>CIL07_RS11235</t>
  </si>
  <si>
    <t>type II toxin-antitoxin system PemK/MazF family toxin</t>
  </si>
  <si>
    <t>WP_003567661.1</t>
  </si>
  <si>
    <t>CIL07_RS11240</t>
  </si>
  <si>
    <t>WP_003567657.1</t>
  </si>
  <si>
    <t>CIL07_RS11245</t>
  </si>
  <si>
    <t>glutamate synthase large subunit</t>
  </si>
  <si>
    <t>gltB</t>
  </si>
  <si>
    <t>WP_049176789.1</t>
  </si>
  <si>
    <t>CIL07_RS11250</t>
  </si>
  <si>
    <t>glutamate synthase subunit beta</t>
  </si>
  <si>
    <t>WP_045603523.1</t>
  </si>
  <si>
    <t>CIL07_RS11255</t>
  </si>
  <si>
    <t>WP_003606039.1</t>
  </si>
  <si>
    <t>CIL07_RS11260</t>
  </si>
  <si>
    <t>cyclic di-AMP binding protein CbpA</t>
  </si>
  <si>
    <t>cbpA</t>
  </si>
  <si>
    <t>WP_003567650.1</t>
  </si>
  <si>
    <t>CIL07_RS11265</t>
  </si>
  <si>
    <t>CIL07_RS11270</t>
  </si>
  <si>
    <t>L,D-transpeptidase family protein</t>
  </si>
  <si>
    <t>WP_003571470.1</t>
  </si>
  <si>
    <t>CIL07_RS11275</t>
  </si>
  <si>
    <t>L-lactate dehydrogenase</t>
  </si>
  <si>
    <t>WP_003662706.1</t>
  </si>
  <si>
    <t>CIL07_RS11280</t>
  </si>
  <si>
    <t>aminoacyl-tRNA hydrolase</t>
  </si>
  <si>
    <t>pth</t>
  </si>
  <si>
    <t>WP_003567642.1</t>
  </si>
  <si>
    <t>CIL07_RS11285</t>
  </si>
  <si>
    <t>transcription-repair coupling factor</t>
  </si>
  <si>
    <t>mfd</t>
  </si>
  <si>
    <t>WP_003581070.1</t>
  </si>
  <si>
    <t>CIL07_RS11290</t>
  </si>
  <si>
    <t>polysaccharide biosynthesis protein</t>
  </si>
  <si>
    <t>WP_103213965.1</t>
  </si>
  <si>
    <t>CIL07_RS11295</t>
  </si>
  <si>
    <t>RNA-binding S4 domain-containing protein</t>
  </si>
  <si>
    <t>WP_003567635.1</t>
  </si>
  <si>
    <t>CIL07_RS11300</t>
  </si>
  <si>
    <t>septum formation initiator family protein</t>
  </si>
  <si>
    <t>WP_003567632.1</t>
  </si>
  <si>
    <t>CIL07_RS11305</t>
  </si>
  <si>
    <t>S1 domain-containing RNA-binding protein</t>
  </si>
  <si>
    <t>WP_003567630.1</t>
  </si>
  <si>
    <t>CIL07_RS11310</t>
  </si>
  <si>
    <t>tRNA lysidine(34) synthetase TilS</t>
  </si>
  <si>
    <t>tilS</t>
  </si>
  <si>
    <t>WP_003606035.1</t>
  </si>
  <si>
    <t>CIL07_RS11315</t>
  </si>
  <si>
    <t>hypoxanthine phosphoribosyltransferase</t>
  </si>
  <si>
    <t>hpt</t>
  </si>
  <si>
    <t>WP_003567626.1</t>
  </si>
  <si>
    <t>CIL07_RS11320</t>
  </si>
  <si>
    <t>ATP-dependent zinc metalloprotease FtsH</t>
  </si>
  <si>
    <t>ftsH</t>
  </si>
  <si>
    <t>WP_003567624.1</t>
  </si>
  <si>
    <t>CIL07_RS11325</t>
  </si>
  <si>
    <t>WP_103213964.1</t>
  </si>
  <si>
    <t>CIL07_RS11330</t>
  </si>
  <si>
    <t>WP_003591951.1</t>
  </si>
  <si>
    <t>CIL07_RS11335</t>
  </si>
  <si>
    <t>WxL protein peptidoglycan domain-containing protein</t>
  </si>
  <si>
    <t>WP_003606030.1</t>
  </si>
  <si>
    <t>CIL07_RS11340</t>
  </si>
  <si>
    <t>WP_003581053.1</t>
  </si>
  <si>
    <t>CIL07_RS11345</t>
  </si>
  <si>
    <t>Hsp33 family molecular chaperone HslO</t>
  </si>
  <si>
    <t>hslO</t>
  </si>
  <si>
    <t>WP_003576457.1</t>
  </si>
  <si>
    <t>CIL07_RS11350</t>
  </si>
  <si>
    <t>tRNA dihydrouridine synthase DusB</t>
  </si>
  <si>
    <t>dusB</t>
  </si>
  <si>
    <t>WP_003576455.1</t>
  </si>
  <si>
    <t>CIL07_RS11355</t>
  </si>
  <si>
    <t>lysine--tRNA ligase</t>
  </si>
  <si>
    <t>lysS</t>
  </si>
  <si>
    <t>WP_003658719.1</t>
  </si>
  <si>
    <t>CIL07_RS11360</t>
  </si>
  <si>
    <t>CIL07_RS11365</t>
  </si>
  <si>
    <t>CIL07_RS11370</t>
  </si>
  <si>
    <t>CIL07_RS11375</t>
  </si>
  <si>
    <t>CIL07_RS11380</t>
  </si>
  <si>
    <t>CIL07_RS11385</t>
  </si>
  <si>
    <t>tRNA-Val</t>
  </si>
  <si>
    <t>CIL07_RS11390</t>
  </si>
  <si>
    <t>CIL07_RS11395</t>
  </si>
  <si>
    <t>CIL07_RS11400</t>
  </si>
  <si>
    <t>CIL07_RS11405</t>
  </si>
  <si>
    <t>CIL07_RS11410</t>
  </si>
  <si>
    <t>CIL07_RS11415</t>
  </si>
  <si>
    <t>CIL07_RS11420</t>
  </si>
  <si>
    <t>tRNA-Pro</t>
  </si>
  <si>
    <t>CIL07_RS11425</t>
  </si>
  <si>
    <t>CtsR family transcriptional regulator</t>
  </si>
  <si>
    <t>WP_003567591.1</t>
  </si>
  <si>
    <t>CIL07_RS11430</t>
  </si>
  <si>
    <t>WP_004559828.1</t>
  </si>
  <si>
    <t>CIL07_RS11435</t>
  </si>
  <si>
    <t>WP_003567588.1</t>
  </si>
  <si>
    <t>CIL07_RS11440</t>
  </si>
  <si>
    <t>DNA-directed RNA polymerase subunit beta'</t>
  </si>
  <si>
    <t>rpoC</t>
  </si>
  <si>
    <t>WP_003567586.1</t>
  </si>
  <si>
    <t>CIL07_RS11445</t>
  </si>
  <si>
    <t>family A24A prepilin peptidase</t>
  </si>
  <si>
    <t>WP_003576428.1</t>
  </si>
  <si>
    <t>CIL07_RS11450</t>
  </si>
  <si>
    <t>prealbumin-like fold domain-containing protein</t>
  </si>
  <si>
    <t>WP_372487184.1</t>
  </si>
  <si>
    <t>CIL07_RS11455</t>
  </si>
  <si>
    <t>collagen binding domain-containing protein</t>
  </si>
  <si>
    <t>WP_372487235.1</t>
  </si>
  <si>
    <t>CIL07_RS11460</t>
  </si>
  <si>
    <t>30S ribosomal protein S12</t>
  </si>
  <si>
    <t>rpsL</t>
  </si>
  <si>
    <t>WP_003567580.1</t>
  </si>
  <si>
    <t>CIL07_RS11465</t>
  </si>
  <si>
    <t>30S ribosomal protein S7</t>
  </si>
  <si>
    <t>rpsG</t>
  </si>
  <si>
    <t>WP_003567577.1</t>
  </si>
  <si>
    <t>CIL07_RS11470</t>
  </si>
  <si>
    <t>elongation factor G</t>
  </si>
  <si>
    <t>fusA</t>
  </si>
  <si>
    <t>WP_003585667.1</t>
  </si>
  <si>
    <t>CIL07_RS11475</t>
  </si>
  <si>
    <t>YafY family protein</t>
  </si>
  <si>
    <t>WP_003603383.1</t>
  </si>
  <si>
    <t>CIL07_RS11480</t>
  </si>
  <si>
    <t>alkyl hydroperoxide reductase subunit C</t>
  </si>
  <si>
    <t>ahpC</t>
  </si>
  <si>
    <t>WP_003567571.1</t>
  </si>
  <si>
    <t>CIL07_RS11485</t>
  </si>
  <si>
    <t>phosphate-starvation-inducible protein PsiE</t>
  </si>
  <si>
    <t>psiE</t>
  </si>
  <si>
    <t>WP_003567569.1</t>
  </si>
  <si>
    <t>CIL07_RS11490</t>
  </si>
  <si>
    <t>30S ribosomal protein S10</t>
  </si>
  <si>
    <t>rpsJ</t>
  </si>
  <si>
    <t>WP_003567567.1</t>
  </si>
  <si>
    <t>CIL07_RS11495</t>
  </si>
  <si>
    <t>50S ribosomal protein L3</t>
  </si>
  <si>
    <t>rplC</t>
  </si>
  <si>
    <t>WP_049176899.1</t>
  </si>
  <si>
    <t>CIL07_RS11500</t>
  </si>
  <si>
    <t>50S ribosomal protein L4</t>
  </si>
  <si>
    <t>rplD</t>
  </si>
  <si>
    <t>WP_003567564.1</t>
  </si>
  <si>
    <t>CIL07_RS11505</t>
  </si>
  <si>
    <t>50S ribosomal protein L23</t>
  </si>
  <si>
    <t>rplW</t>
  </si>
  <si>
    <t>WP_003567562.1</t>
  </si>
  <si>
    <t>CIL07_RS11510</t>
  </si>
  <si>
    <t>50S ribosomal protein L2</t>
  </si>
  <si>
    <t>rplB</t>
  </si>
  <si>
    <t>WP_003576419.1</t>
  </si>
  <si>
    <t>CIL07_RS11515</t>
  </si>
  <si>
    <t>30S ribosomal protein S19</t>
  </si>
  <si>
    <t>rpsS</t>
  </si>
  <si>
    <t>WP_003567557.1</t>
  </si>
  <si>
    <t>CIL07_RS11520</t>
  </si>
  <si>
    <t>50S ribosomal protein L22</t>
  </si>
  <si>
    <t>rplV</t>
  </si>
  <si>
    <t>WP_003567555.1</t>
  </si>
  <si>
    <t>CIL07_RS11525</t>
  </si>
  <si>
    <t>30S ribosomal protein S3</t>
  </si>
  <si>
    <t>rpsC</t>
  </si>
  <si>
    <t>WP_003571453.1</t>
  </si>
  <si>
    <t>CIL07_RS11530</t>
  </si>
  <si>
    <t>50S ribosomal protein L16</t>
  </si>
  <si>
    <t>rplP</t>
  </si>
  <si>
    <t>WP_003567551.1</t>
  </si>
  <si>
    <t>CIL07_RS11535</t>
  </si>
  <si>
    <t>50S ribosomal protein L29</t>
  </si>
  <si>
    <t>rpmC</t>
  </si>
  <si>
    <t>WP_003567550.1</t>
  </si>
  <si>
    <t>CIL07_RS11540</t>
  </si>
  <si>
    <t>30S ribosomal protein S17</t>
  </si>
  <si>
    <t>rpsQ</t>
  </si>
  <si>
    <t>WP_003567548.1</t>
  </si>
  <si>
    <t>CIL07_RS11545</t>
  </si>
  <si>
    <t>50S ribosomal protein L14</t>
  </si>
  <si>
    <t>rplN</t>
  </si>
  <si>
    <t>WP_003567546.1</t>
  </si>
  <si>
    <t>CIL07_RS11550</t>
  </si>
  <si>
    <t>50S ribosomal protein L24</t>
  </si>
  <si>
    <t>rplX</t>
  </si>
  <si>
    <t>WP_003567544.1</t>
  </si>
  <si>
    <t>CIL07_RS11555</t>
  </si>
  <si>
    <t>50S ribosomal protein L5</t>
  </si>
  <si>
    <t>rplE</t>
  </si>
  <si>
    <t>WP_003567542.1</t>
  </si>
  <si>
    <t>CIL07_RS11560</t>
  </si>
  <si>
    <t>type Z 30S ribosomal protein S14</t>
  </si>
  <si>
    <t>WP_003567540.1</t>
  </si>
  <si>
    <t>CIL07_RS11565</t>
  </si>
  <si>
    <t>30S ribosomal protein S8</t>
  </si>
  <si>
    <t>rpsH</t>
  </si>
  <si>
    <t>WP_003567538.1</t>
  </si>
  <si>
    <t>CIL07_RS11570</t>
  </si>
  <si>
    <t>50S ribosomal protein L6</t>
  </si>
  <si>
    <t>rplF</t>
  </si>
  <si>
    <t>WP_103213962.1</t>
  </si>
  <si>
    <t>CIL07_RS11575</t>
  </si>
  <si>
    <t>50S ribosomal protein L18</t>
  </si>
  <si>
    <t>rplR</t>
  </si>
  <si>
    <t>WP_003567533.1</t>
  </si>
  <si>
    <t>CIL07_RS11580</t>
  </si>
  <si>
    <t>30S ribosomal protein S5</t>
  </si>
  <si>
    <t>rpsE</t>
  </si>
  <si>
    <t>WP_003567531.1</t>
  </si>
  <si>
    <t>CIL07_RS11585</t>
  </si>
  <si>
    <t>50S ribosomal protein L30</t>
  </si>
  <si>
    <t>rpmD</t>
  </si>
  <si>
    <t>WP_003567529.1</t>
  </si>
  <si>
    <t>CIL07_RS11590</t>
  </si>
  <si>
    <t>50S ribosomal protein L15</t>
  </si>
  <si>
    <t>rplO</t>
  </si>
  <si>
    <t>WP_003567527.1</t>
  </si>
  <si>
    <t>CIL07_RS11595</t>
  </si>
  <si>
    <t>preprotein translocase subunit SecY</t>
  </si>
  <si>
    <t>secY</t>
  </si>
  <si>
    <t>WP_003603373.1</t>
  </si>
  <si>
    <t>CIL07_RS11600</t>
  </si>
  <si>
    <t>adenylate kinase</t>
  </si>
  <si>
    <t>WP_003567523.1</t>
  </si>
  <si>
    <t>CIL07_RS11605</t>
  </si>
  <si>
    <t>translation initiation factor IF-1</t>
  </si>
  <si>
    <t>infA</t>
  </si>
  <si>
    <t>WP_003567521.1</t>
  </si>
  <si>
    <t>CIL07_RS11610</t>
  </si>
  <si>
    <t>50S ribosomal protein L36</t>
  </si>
  <si>
    <t>rpmJ</t>
  </si>
  <si>
    <t>WP_003567518.1</t>
  </si>
  <si>
    <t>CIL07_RS11615</t>
  </si>
  <si>
    <t>30S ribosomal protein S13</t>
  </si>
  <si>
    <t>rpsM</t>
  </si>
  <si>
    <t>WP_003567516.1</t>
  </si>
  <si>
    <t>CIL07_RS11620</t>
  </si>
  <si>
    <t>30S ribosomal protein S11</t>
  </si>
  <si>
    <t>rpsK</t>
  </si>
  <si>
    <t>WP_003567514.1</t>
  </si>
  <si>
    <t>CIL07_RS11625</t>
  </si>
  <si>
    <t>DNA-directed RNA polymerase subunit alpha</t>
  </si>
  <si>
    <t>WP_003567511.1</t>
  </si>
  <si>
    <t>CIL07_RS11630</t>
  </si>
  <si>
    <t>50S ribosomal protein L17</t>
  </si>
  <si>
    <t>rplQ</t>
  </si>
  <si>
    <t>WP_003567509.1</t>
  </si>
  <si>
    <t>CIL07_RS11635</t>
  </si>
  <si>
    <t>WP_049176901.1</t>
  </si>
  <si>
    <t>CIL07_RS11640</t>
  </si>
  <si>
    <t>energy-coupling factor ABC transporter ATP-binding protein</t>
  </si>
  <si>
    <t>WP_003580999.1</t>
  </si>
  <si>
    <t>CIL07_RS11645</t>
  </si>
  <si>
    <t>WP_003567503.1</t>
  </si>
  <si>
    <t>CIL07_RS11650</t>
  </si>
  <si>
    <t>WP_003567501.1</t>
  </si>
  <si>
    <t>CIL07_RS11655</t>
  </si>
  <si>
    <t>tRNA pseudouridine(38-40) synthase TruA</t>
  </si>
  <si>
    <t>truA</t>
  </si>
  <si>
    <t>WP_003567500.1</t>
  </si>
  <si>
    <t>CIL07_RS11660</t>
  </si>
  <si>
    <t>WP_004559826.1</t>
  </si>
  <si>
    <t>CIL07_RS11665</t>
  </si>
  <si>
    <t>WP_003567496.1</t>
  </si>
  <si>
    <t>CIL07_RS11670</t>
  </si>
  <si>
    <t>WP_049176906.1</t>
  </si>
  <si>
    <t>CIL07_RS11675</t>
  </si>
  <si>
    <t>WP_103213961.1</t>
  </si>
  <si>
    <t>CIL07_RS11680</t>
  </si>
  <si>
    <t>WP_004559824.1</t>
  </si>
  <si>
    <t>CIL07_RS11685</t>
  </si>
  <si>
    <t>50S ribosomal protein L13</t>
  </si>
  <si>
    <t>rplM</t>
  </si>
  <si>
    <t>WP_003567485.1</t>
  </si>
  <si>
    <t>CIL07_RS11690</t>
  </si>
  <si>
    <t>30S ribosomal protein S9</t>
  </si>
  <si>
    <t>rpsI</t>
  </si>
  <si>
    <t>WP_003567483.1</t>
  </si>
  <si>
    <t>CIL07_RS11695</t>
  </si>
  <si>
    <t>WP_003580980.1</t>
  </si>
  <si>
    <t>CIL07_RS11700</t>
  </si>
  <si>
    <t>WP_176783340.1</t>
  </si>
  <si>
    <t>CIL07_RS11705</t>
  </si>
  <si>
    <t>WP_240031861.1</t>
  </si>
  <si>
    <t>CIL07_RS11710</t>
  </si>
  <si>
    <t>WP_003606017.1</t>
  </si>
  <si>
    <t>CIL07_RS11715</t>
  </si>
  <si>
    <t>ABC-2 family transporter protein</t>
  </si>
  <si>
    <t>WP_003606015.1</t>
  </si>
  <si>
    <t>CIL07_RS11720</t>
  </si>
  <si>
    <t>WP_103213959.1</t>
  </si>
  <si>
    <t>CIL07_RS11725</t>
  </si>
  <si>
    <t>WP_003606010.1</t>
  </si>
  <si>
    <t>CIL07_RS11730</t>
  </si>
  <si>
    <t>WP_003567460.1</t>
  </si>
  <si>
    <t>CIL07_RS11735</t>
  </si>
  <si>
    <t>WP_003580956.1</t>
  </si>
  <si>
    <t>CIL07_RS11740</t>
  </si>
  <si>
    <t>AMP-binding protein</t>
  </si>
  <si>
    <t>WP_045603186.1</t>
  </si>
  <si>
    <t>CIL07_RS11745</t>
  </si>
  <si>
    <t>aliphatic sulfonate ABC transporter substrate-binding protein</t>
  </si>
  <si>
    <t>WP_003606006.1</t>
  </si>
  <si>
    <t>CIL07_RS11750</t>
  </si>
  <si>
    <t>phosphonate ABC transporter, permease protein PhnE</t>
  </si>
  <si>
    <t>phnE</t>
  </si>
  <si>
    <t>WP_003606005.1</t>
  </si>
  <si>
    <t>CIL07_RS11755</t>
  </si>
  <si>
    <t>WP_003567451.1</t>
  </si>
  <si>
    <t>CIL07_RS11760</t>
  </si>
  <si>
    <t>phosphonate ABC transporter ATP-binding protein</t>
  </si>
  <si>
    <t>phnC</t>
  </si>
  <si>
    <t>WP_003567449.1</t>
  </si>
  <si>
    <t>CIL07_RS11765</t>
  </si>
  <si>
    <t>phosphate/phosphite/phosphonate ABC transporter substrate-binding protein</t>
  </si>
  <si>
    <t>WP_003567447.1</t>
  </si>
  <si>
    <t>CIL07_RS11770</t>
  </si>
  <si>
    <t>enolase</t>
  </si>
  <si>
    <t>WP_003606004.1</t>
  </si>
  <si>
    <t>CIL07_RS11775</t>
  </si>
  <si>
    <t>CrcB family protein</t>
  </si>
  <si>
    <t>WP_003606003.1</t>
  </si>
  <si>
    <t>CIL07_RS11780</t>
  </si>
  <si>
    <t>WP_003606002.1</t>
  </si>
  <si>
    <t>CIL07_RS11785</t>
  </si>
  <si>
    <t>WP_003576369.1</t>
  </si>
  <si>
    <t>CIL07_RS11790</t>
  </si>
  <si>
    <t>WP_022671509.1</t>
  </si>
  <si>
    <t>CIL07_RS11795</t>
  </si>
  <si>
    <t>WP_103213958.1</t>
  </si>
  <si>
    <t>CIL07_RS11800</t>
  </si>
  <si>
    <t>WP_045603193.1</t>
  </si>
  <si>
    <t>CIL07_RS11805</t>
  </si>
  <si>
    <t>SEC10/PgrA surface exclusion domain-containing protein</t>
  </si>
  <si>
    <t>WP_003606000.1</t>
  </si>
  <si>
    <t>CIL07_RS11810</t>
  </si>
  <si>
    <t>WP_103213957.1</t>
  </si>
  <si>
    <t>CIL07_RS11815</t>
  </si>
  <si>
    <t>WP_003605991.1</t>
  </si>
  <si>
    <t>CIL07_RS11820</t>
  </si>
  <si>
    <t>WP_049176764.1</t>
  </si>
  <si>
    <t>CIL07_RS11825</t>
  </si>
  <si>
    <t>WP_003567431.1</t>
  </si>
  <si>
    <t>CIL07_RS11830</t>
  </si>
  <si>
    <t>metal ABC transporter solute-binding protein</t>
  </si>
  <si>
    <t>WP_003605989.1</t>
  </si>
  <si>
    <t>CIL07_RS11835</t>
  </si>
  <si>
    <t>WP_103213955.1</t>
  </si>
  <si>
    <t>CIL07_RS11840</t>
  </si>
  <si>
    <t>WP_003576340.1</t>
  </si>
  <si>
    <t>CIL07_RS11845</t>
  </si>
  <si>
    <t>CIL07_RS11850</t>
  </si>
  <si>
    <t>WP_003567422.1</t>
  </si>
  <si>
    <t>CIL07_RS11855</t>
  </si>
  <si>
    <t>WP_003576335.1</t>
  </si>
  <si>
    <t>CIL07_RS11860</t>
  </si>
  <si>
    <t>WP_003567418.1</t>
  </si>
  <si>
    <t>CIL07_RS11865</t>
  </si>
  <si>
    <t>30S ribosomal protein S14</t>
  </si>
  <si>
    <t>rpsN</t>
  </si>
  <si>
    <t>WP_003567416.1</t>
  </si>
  <si>
    <t>CIL07_RS11870</t>
  </si>
  <si>
    <t>aldehyde dehydrogenase</t>
  </si>
  <si>
    <t>aldA</t>
  </si>
  <si>
    <t>WP_003605981.1</t>
  </si>
  <si>
    <t>CIL07_RS11875</t>
  </si>
  <si>
    <t>WP_003567413.1</t>
  </si>
  <si>
    <t>CIL07_RS11880</t>
  </si>
  <si>
    <t>WP_003567411.1</t>
  </si>
  <si>
    <t>CIL07_RS11885</t>
  </si>
  <si>
    <t>metal ABC transporter solute-binding protein, Zn/Mn family</t>
  </si>
  <si>
    <t>WP_003567408.1</t>
  </si>
  <si>
    <t>CIL07_RS11890</t>
  </si>
  <si>
    <t>WP_003567405.1</t>
  </si>
  <si>
    <t>CIL07_RS11895</t>
  </si>
  <si>
    <t>cation transporter</t>
  </si>
  <si>
    <t>WP_103213953.1</t>
  </si>
  <si>
    <t>CIL07_RS11900</t>
  </si>
  <si>
    <t>WP_003567401.1</t>
  </si>
  <si>
    <t>CIL07_RS11905</t>
  </si>
  <si>
    <t>multicopper oxidase family protein</t>
  </si>
  <si>
    <t>WP_003585581.1</t>
  </si>
  <si>
    <t>CIL07_RS11910</t>
  </si>
  <si>
    <t>CIL07_RS11915</t>
  </si>
  <si>
    <t>WP_003567394.1</t>
  </si>
  <si>
    <t>CIL07_RS11920</t>
  </si>
  <si>
    <t>HAD-IC family P-type ATPase</t>
  </si>
  <si>
    <t>WP_103213952.1</t>
  </si>
  <si>
    <t>CIL07_RS11925</t>
  </si>
  <si>
    <t>WP_003567390.1</t>
  </si>
  <si>
    <t>CIL07_RS11930</t>
  </si>
  <si>
    <t>WP_003567386.1</t>
  </si>
  <si>
    <t>CIL07_RS11935</t>
  </si>
  <si>
    <t>class II fumarate hydratase</t>
  </si>
  <si>
    <t>WP_003576316.1</t>
  </si>
  <si>
    <t>CIL07_RS11940</t>
  </si>
  <si>
    <t>NADH-dependent flavin oxidoreductase</t>
  </si>
  <si>
    <t>WP_103213951.1</t>
  </si>
  <si>
    <t>CIL07_RS11945</t>
  </si>
  <si>
    <t>WP_003580891.1</t>
  </si>
  <si>
    <t>CIL07_RS11950</t>
  </si>
  <si>
    <t>WP_003567378.1</t>
  </si>
  <si>
    <t>CIL07_RS11955</t>
  </si>
  <si>
    <t>Blp family class II bacteriocin</t>
  </si>
  <si>
    <t>WP_003567376.1</t>
  </si>
  <si>
    <t>CIL07_RS11960</t>
  </si>
  <si>
    <t>WP_003567374.1</t>
  </si>
  <si>
    <t>CIL07_RS11965</t>
  </si>
  <si>
    <t>WP_003659595.1</t>
  </si>
  <si>
    <t>CIL07_RS11970</t>
  </si>
  <si>
    <t>WP_003588841.1</t>
  </si>
  <si>
    <t>CIL07_RS11975</t>
  </si>
  <si>
    <t>WP_103213950.1</t>
  </si>
  <si>
    <t>CIL07_RS11980</t>
  </si>
  <si>
    <t>WP_100908637.1</t>
  </si>
  <si>
    <t>CIL07_RS11985</t>
  </si>
  <si>
    <t>WP_199876961.1</t>
  </si>
  <si>
    <t>CIL07_RS11990</t>
  </si>
  <si>
    <t>WP_003576304.1</t>
  </si>
  <si>
    <t>CIL07_RS11995</t>
  </si>
  <si>
    <t>WP_003576302.1</t>
  </si>
  <si>
    <t>CIL07_RS12000</t>
  </si>
  <si>
    <t>CIL07_RS12005</t>
  </si>
  <si>
    <t>WP_049181816.1</t>
  </si>
  <si>
    <t>CIL07_RS12010</t>
  </si>
  <si>
    <t>CIL07_RS12015</t>
  </si>
  <si>
    <t>CIL07_RS12020</t>
  </si>
  <si>
    <t>DNA starvation/stationary phase protection protein</t>
  </si>
  <si>
    <t>WP_003587210.1</t>
  </si>
  <si>
    <t>CIL07_RS12025</t>
  </si>
  <si>
    <t>WP_003587212.1</t>
  </si>
  <si>
    <t>CIL07_RS12030</t>
  </si>
  <si>
    <t>WP_010620835.1</t>
  </si>
  <si>
    <t>CIL07_RS12035</t>
  </si>
  <si>
    <t>WP_003587215.1</t>
  </si>
  <si>
    <t>CIL07_RS12040</t>
  </si>
  <si>
    <t>CIL07_RS12045</t>
  </si>
  <si>
    <t>CIL07_RS12050</t>
  </si>
  <si>
    <t>WP_049175116.1</t>
  </si>
  <si>
    <t>CIL07_RS12055</t>
  </si>
  <si>
    <t>ferritin-like domain-containing protein</t>
  </si>
  <si>
    <t>WP_003582473.1</t>
  </si>
  <si>
    <t>CIL07_RS12060</t>
  </si>
  <si>
    <t>WP_003582479.1</t>
  </si>
  <si>
    <t>CIL07_RS12065</t>
  </si>
  <si>
    <t>WP_016377436.1</t>
  </si>
  <si>
    <t>CIL07_RS12070</t>
  </si>
  <si>
    <t>CIL07_RS12075</t>
  </si>
  <si>
    <t>WP_372487185.1</t>
  </si>
  <si>
    <t>CIL07_RS12080</t>
  </si>
  <si>
    <t>CIL07_RS12085</t>
  </si>
  <si>
    <t>WP_003607154.1</t>
  </si>
  <si>
    <t>CIL07_RS12090</t>
  </si>
  <si>
    <t>copper-translocating P-type ATPase</t>
  </si>
  <si>
    <t>WP_372487186.1</t>
  </si>
  <si>
    <t>CIL07_RS12095</t>
  </si>
  <si>
    <t>CIL07_RS12100</t>
  </si>
  <si>
    <t>CIL07_RS12105</t>
  </si>
  <si>
    <t>WP_003589061.1</t>
  </si>
  <si>
    <t>CIL07_RS12110</t>
  </si>
  <si>
    <t>WP_003606758.1</t>
  </si>
  <si>
    <t>CIL07_RS12115</t>
  </si>
  <si>
    <t>WP_003606756.1</t>
  </si>
  <si>
    <t>CIL07_RS12120</t>
  </si>
  <si>
    <t>WP_003589055.1</t>
  </si>
  <si>
    <t>CIL07_RS12125</t>
  </si>
  <si>
    <t>WP_003606755.1</t>
  </si>
  <si>
    <t>CIL07_RS12130</t>
  </si>
  <si>
    <t>WP_049169626.1</t>
  </si>
  <si>
    <t>CIL07_RS12135</t>
  </si>
  <si>
    <t>WP_003586786.1</t>
  </si>
  <si>
    <t>CIL07_RS12140</t>
  </si>
  <si>
    <t>CIL07_RS12145</t>
  </si>
  <si>
    <t>CIL07_RS12150</t>
  </si>
  <si>
    <t>WP_003607130.1</t>
  </si>
  <si>
    <t>CIL07_RS12155</t>
  </si>
  <si>
    <t>WP_003586769.1</t>
  </si>
  <si>
    <t>CIL07_RS12160</t>
  </si>
  <si>
    <t>class Ib ribonucleoside-diphosphate reductase assembly flavoprotein NrdI</t>
  </si>
  <si>
    <t>WP_003586772.1</t>
  </si>
  <si>
    <t>CIL07_RS12165</t>
  </si>
  <si>
    <t>type II toxin-antitoxin system RelB/DinJ family antitoxin</t>
  </si>
  <si>
    <t>WP_016363783.1</t>
  </si>
  <si>
    <t>CIL07_RS12170</t>
  </si>
  <si>
    <t>WP_003573774.1</t>
  </si>
  <si>
    <t>CIL07_RS12175</t>
  </si>
  <si>
    <t>DUF1722 domain-containing protein</t>
  </si>
  <si>
    <t>WP_003586778.1</t>
  </si>
  <si>
    <t>CIL07_RS12180</t>
  </si>
  <si>
    <t>WP_103213574.1</t>
  </si>
  <si>
    <t>CIL07_RS12185</t>
  </si>
  <si>
    <t>WP_003586782.1</t>
  </si>
  <si>
    <t>CIL07_RS12190</t>
  </si>
  <si>
    <t>WP_002816607.1</t>
  </si>
  <si>
    <t>CIL07_RS12195</t>
  </si>
  <si>
    <t>CRISPR-associated helicase/endonuclease Cas3</t>
  </si>
  <si>
    <t>WP_103213573.1</t>
  </si>
  <si>
    <t>CIL07_RS12200</t>
  </si>
  <si>
    <t>type I-E CRISPR-associated protein Cse1/CasA</t>
  </si>
  <si>
    <t>WP_003586647.1</t>
  </si>
  <si>
    <t>CIL07_RS12205</t>
  </si>
  <si>
    <t>type I-E CRISPR-associated protein Cse2/CasB</t>
  </si>
  <si>
    <t>casB</t>
  </si>
  <si>
    <t>WP_003586648.1</t>
  </si>
  <si>
    <t>CIL07_RS12210</t>
  </si>
  <si>
    <t>type I-E CRISPR-associated protein Cas7/Cse4/CasC</t>
  </si>
  <si>
    <t>cas7e</t>
  </si>
  <si>
    <t>WP_003586650.1</t>
  </si>
  <si>
    <t>CIL07_RS12215</t>
  </si>
  <si>
    <t>type I-E CRISPR-associated protein Cas5/CasD</t>
  </si>
  <si>
    <t>cas5e</t>
  </si>
  <si>
    <t>WP_003586652.1</t>
  </si>
  <si>
    <t>CIL07_RS12220</t>
  </si>
  <si>
    <t>type I-E CRISPR-associated protein Cas6/Cse3/CasE</t>
  </si>
  <si>
    <t>cas6e</t>
  </si>
  <si>
    <t>WP_003586654.1</t>
  </si>
  <si>
    <t>CIL07_RS12225</t>
  </si>
  <si>
    <t>type I-E CRISPR-associated endonuclease Cas1e</t>
  </si>
  <si>
    <t>cas1e</t>
  </si>
  <si>
    <t>WP_003586656.1</t>
  </si>
  <si>
    <t>CIL07_RS12230</t>
  </si>
  <si>
    <t>type I-E CRISPR-associated endoribonuclease Cas2e</t>
  </si>
  <si>
    <t>cas2e</t>
  </si>
  <si>
    <t>WP_049176597.1</t>
  </si>
  <si>
    <t>CIL07_RS12235</t>
  </si>
  <si>
    <t>CIL07_RS12240</t>
  </si>
  <si>
    <t>glycoside-pentoside-hexuronide (GPH):cation symporter</t>
  </si>
  <si>
    <t>WP_003587117.1</t>
  </si>
  <si>
    <t>CIL07_RS12245</t>
  </si>
  <si>
    <t>WP_003567312.1</t>
  </si>
  <si>
    <t>CIL07_RS12250</t>
  </si>
  <si>
    <t>CIL07_RS12255</t>
  </si>
  <si>
    <t>WP_372487187.1</t>
  </si>
  <si>
    <t>CIL07_RS12260</t>
  </si>
  <si>
    <t>UPF0236 family transposase-like protein</t>
  </si>
  <si>
    <t>WP_003587174.1</t>
  </si>
  <si>
    <t>CIL07_RS12265</t>
  </si>
  <si>
    <t>CIL07_RS12270</t>
  </si>
  <si>
    <t>WP_016371971.1</t>
  </si>
  <si>
    <t>CIL07_RS12275</t>
  </si>
  <si>
    <t>WP_367115320.1</t>
  </si>
  <si>
    <t>CIL07_RS12280</t>
  </si>
  <si>
    <t>CIL07_RS12285</t>
  </si>
  <si>
    <t>WP_003587178.1</t>
  </si>
  <si>
    <t>CIL07_RS12290</t>
  </si>
  <si>
    <t>WP_225367329.1</t>
  </si>
  <si>
    <t>CIL07_RS12295</t>
  </si>
  <si>
    <t>WP_350345942.1</t>
  </si>
  <si>
    <t>CIL07_RS12300</t>
  </si>
  <si>
    <t>CIL07_RS12305</t>
  </si>
  <si>
    <t>WP_003588794.1</t>
  </si>
  <si>
    <t>CIL07_RS12310</t>
  </si>
  <si>
    <t>WP_003589537.1</t>
  </si>
  <si>
    <t>CIL07_RS12315</t>
  </si>
  <si>
    <t>CIL07_RS12320</t>
  </si>
  <si>
    <t>CIL07_RS12325</t>
  </si>
  <si>
    <t>CIL07_RS12330</t>
  </si>
  <si>
    <t>WP_099973802.1</t>
  </si>
  <si>
    <t>CIL07_RS12335</t>
  </si>
  <si>
    <t>CIL07_RS12340</t>
  </si>
  <si>
    <t>PLP-dependent aspartate aminotransferase family protein</t>
  </si>
  <si>
    <t>WP_003604463.1</t>
  </si>
  <si>
    <t>CIL07_RS12345</t>
  </si>
  <si>
    <t>WP_003604464.1</t>
  </si>
  <si>
    <t>CIL07_RS12350</t>
  </si>
  <si>
    <t>WP_103213583.1</t>
  </si>
  <si>
    <t>CIL07_RS12355</t>
  </si>
  <si>
    <t>FliK family flagellar hook-length control protein</t>
  </si>
  <si>
    <t>WP_100908417.1</t>
  </si>
  <si>
    <t>CIL07_RS12360</t>
  </si>
  <si>
    <t>WP_003604468.1</t>
  </si>
  <si>
    <t>CIL07_RS12365</t>
  </si>
  <si>
    <t>WP_013245467.1</t>
  </si>
  <si>
    <t>CIL07_RS12370</t>
  </si>
  <si>
    <t>CIL07_RS12375</t>
  </si>
  <si>
    <t>CIL07_RS12380</t>
  </si>
  <si>
    <t>CIL07_RS12385</t>
  </si>
  <si>
    <t>WP_103213585.1</t>
  </si>
  <si>
    <t>CIL07_RS12390</t>
  </si>
  <si>
    <t>WP_103213586.1</t>
  </si>
  <si>
    <t>CIL07_RS12395</t>
  </si>
  <si>
    <t>CIL07_RS12400</t>
  </si>
  <si>
    <t>WP_003583596.1</t>
  </si>
  <si>
    <t>CIL07_RS12405</t>
  </si>
  <si>
    <t>WP_003573824.1</t>
  </si>
  <si>
    <t>CIL07_RS12410</t>
  </si>
  <si>
    <t>WP_103213587.1</t>
  </si>
  <si>
    <t>CIL07_RS12415</t>
  </si>
  <si>
    <t>WP_372487188.1</t>
  </si>
  <si>
    <t>CIL07_RS12420</t>
  </si>
  <si>
    <t>WP_003563571.1</t>
  </si>
  <si>
    <t>CIL07_RS12425</t>
  </si>
  <si>
    <t>WP_003604484.1</t>
  </si>
  <si>
    <t>CIL07_RS12430</t>
  </si>
  <si>
    <t>WP_003563574.1</t>
  </si>
  <si>
    <t>CIL07_RS12435</t>
  </si>
  <si>
    <t>WP_003563576.1</t>
  </si>
  <si>
    <t>CIL07_RS12440</t>
  </si>
  <si>
    <t>WP_003583604.1</t>
  </si>
  <si>
    <t>CIL07_RS12445</t>
  </si>
  <si>
    <t>methylenetetrahydrofolate reductase [NAD(P)H]</t>
  </si>
  <si>
    <t>metF</t>
  </si>
  <si>
    <t>WP_016382796.1</t>
  </si>
  <si>
    <t>CIL07_RS12450</t>
  </si>
  <si>
    <t>5-methyltetrahydropteroyltriglutamate--homocysteine S-methyltransferase</t>
  </si>
  <si>
    <t>metE</t>
  </si>
  <si>
    <t>WP_013245476.1</t>
  </si>
  <si>
    <t>CIL07_RS12455</t>
  </si>
  <si>
    <t>WP_003573839.1</t>
  </si>
  <si>
    <t>CIL07_RS12460</t>
  </si>
  <si>
    <t>WP_003604486.1</t>
  </si>
  <si>
    <t>CIL07_RS12465</t>
  </si>
  <si>
    <t>OFA family MFS transporter</t>
  </si>
  <si>
    <t>WP_003573843.1</t>
  </si>
  <si>
    <t>CIL07_RS12470</t>
  </si>
  <si>
    <t>trehalose operon repressor</t>
  </si>
  <si>
    <t>treR</t>
  </si>
  <si>
    <t>WP_003563589.1</t>
  </si>
  <si>
    <t>CIL07_RS12475</t>
  </si>
  <si>
    <t>alpha,alpha-phosphotrehalase</t>
  </si>
  <si>
    <t>treC</t>
  </si>
  <si>
    <t>WP_049176428.1</t>
  </si>
  <si>
    <t>CIL07_RS12480</t>
  </si>
  <si>
    <t>PTS glucose transporter subunit IIABC</t>
  </si>
  <si>
    <t>WP_045601961.1</t>
  </si>
  <si>
    <t>CIL07_RS12485</t>
  </si>
  <si>
    <t>serine/threonine transporter SstT</t>
  </si>
  <si>
    <t>sstT</t>
  </si>
  <si>
    <t>WP_003563595.1</t>
  </si>
  <si>
    <t>CIL07_RS12490</t>
  </si>
  <si>
    <t>WP_103213588.1</t>
  </si>
  <si>
    <t>CIL07_RS12495</t>
  </si>
  <si>
    <t>WP_003563599.1</t>
  </si>
  <si>
    <t>CIL07_RS12500</t>
  </si>
  <si>
    <t>NADP-specific glutamate dehydrogenase</t>
  </si>
  <si>
    <t>gdhA</t>
  </si>
  <si>
    <t>WP_003604491.1</t>
  </si>
  <si>
    <t>CIL07_RS12505</t>
  </si>
  <si>
    <t>WP_003563620.1</t>
  </si>
  <si>
    <t>CIL07_RS12510</t>
  </si>
  <si>
    <t>WP_003604494.1</t>
  </si>
  <si>
    <t>CIL07_RS12515</t>
  </si>
  <si>
    <t>WP_003563625.1</t>
  </si>
  <si>
    <t>CIL07_RS12520</t>
  </si>
  <si>
    <t>ribosomal protection-like ABC-F family protein</t>
  </si>
  <si>
    <t>abc-f</t>
  </si>
  <si>
    <t>WP_103213589.1</t>
  </si>
  <si>
    <t>CIL07_RS12525</t>
  </si>
  <si>
    <t>WP_003604498.1</t>
  </si>
  <si>
    <t>CIL07_RS12530</t>
  </si>
  <si>
    <t>WP_049176426.1</t>
  </si>
  <si>
    <t>CIL07_RS12535</t>
  </si>
  <si>
    <t>WP_003573866.1</t>
  </si>
  <si>
    <t>CIL07_RS12540</t>
  </si>
  <si>
    <t>DUF3800 domain-containing protein</t>
  </si>
  <si>
    <t>WP_103213590.1</t>
  </si>
  <si>
    <t>CIL07_RS12545</t>
  </si>
  <si>
    <t>WP_103213591.1</t>
  </si>
  <si>
    <t>CIL07_RS12550</t>
  </si>
  <si>
    <t>DUF3021 domain-containing protein</t>
  </si>
  <si>
    <t>WP_003577939.1</t>
  </si>
  <si>
    <t>CIL07_RS12555</t>
  </si>
  <si>
    <t>WP_003563640.1</t>
  </si>
  <si>
    <t>CIL07_RS12560</t>
  </si>
  <si>
    <t>WP_103213592.1</t>
  </si>
  <si>
    <t>CIL07_RS12565</t>
  </si>
  <si>
    <t>WP_103213593.1</t>
  </si>
  <si>
    <t>CIL07_RS12570</t>
  </si>
  <si>
    <t>WP_003604506.1</t>
  </si>
  <si>
    <t>CIL07_RS12575</t>
  </si>
  <si>
    <t>carbonic anhydrase family protein</t>
  </si>
  <si>
    <t>WP_049176425.1</t>
  </si>
  <si>
    <t>CIL07_RS12580</t>
  </si>
  <si>
    <t>heavy metal-binding domain-containing protein</t>
  </si>
  <si>
    <t>WP_003563651.1</t>
  </si>
  <si>
    <t>CIL07_RS12585</t>
  </si>
  <si>
    <t>WP_003604508.1</t>
  </si>
  <si>
    <t>CIL07_RS12590</t>
  </si>
  <si>
    <t>ammonium transporter</t>
  </si>
  <si>
    <t>WP_003563654.1</t>
  </si>
  <si>
    <t>CIL07_RS12595</t>
  </si>
  <si>
    <t>Dyp-type peroxidase</t>
  </si>
  <si>
    <t>WP_003563657.1</t>
  </si>
  <si>
    <t>CIL07_RS12600</t>
  </si>
  <si>
    <t>MgtC/SapB family protein</t>
  </si>
  <si>
    <t>WP_003587342.1</t>
  </si>
  <si>
    <t>CIL07_RS12605</t>
  </si>
  <si>
    <t>WP_049176424.1</t>
  </si>
  <si>
    <t>CIL07_RS12610</t>
  </si>
  <si>
    <t>WP_003563665.1</t>
  </si>
  <si>
    <t>CIL07_RS12615</t>
  </si>
  <si>
    <t>WP_003569129.1</t>
  </si>
  <si>
    <t>CIL07_RS12620</t>
  </si>
  <si>
    <t>WP_003563686.1</t>
  </si>
  <si>
    <t>CIL07_RS12625</t>
  </si>
  <si>
    <t>WP_003563688.1</t>
  </si>
  <si>
    <t>CIL07_RS12630</t>
  </si>
  <si>
    <t>WP_003577948.1</t>
  </si>
  <si>
    <t>CIL07_RS12635</t>
  </si>
  <si>
    <t>MutS-related protein</t>
  </si>
  <si>
    <t>WP_003583655.1</t>
  </si>
  <si>
    <t>CIL07_RS12640</t>
  </si>
  <si>
    <t>uracil-DNA glycosylase family protein</t>
  </si>
  <si>
    <t>WP_003593485.1</t>
  </si>
  <si>
    <t>CIL07_RS12645</t>
  </si>
  <si>
    <t>MIP/aquaporin family protein</t>
  </si>
  <si>
    <t>WP_003577949.1</t>
  </si>
  <si>
    <t>CIL07_RS12650</t>
  </si>
  <si>
    <t>type 1 glycerol-3-phosphate oxidase</t>
  </si>
  <si>
    <t>glpO</t>
  </si>
  <si>
    <t>WP_003604509.1</t>
  </si>
  <si>
    <t>CIL07_RS12655</t>
  </si>
  <si>
    <t>WP_003604510.1</t>
  </si>
  <si>
    <t>CIL07_RS12660</t>
  </si>
  <si>
    <t>WP_003604512.1</t>
  </si>
  <si>
    <t>CIL07_RS12665</t>
  </si>
  <si>
    <t>galactokinase</t>
  </si>
  <si>
    <t>WP_103213594.1</t>
  </si>
  <si>
    <t>CIL07_RS12670</t>
  </si>
  <si>
    <t>UDP-glucose 4-epimerase GalE</t>
  </si>
  <si>
    <t>galE</t>
  </si>
  <si>
    <t>WP_003563715.1</t>
  </si>
  <si>
    <t>CIL07_RS12675</t>
  </si>
  <si>
    <t>UDP-glucose--hexose-1-phosphate uridylyltransferase</t>
  </si>
  <si>
    <t>WP_045601745.1</t>
  </si>
  <si>
    <t>CIL07_RS12680</t>
  </si>
  <si>
    <t>WP_049176713.1</t>
  </si>
  <si>
    <t>CIL07_RS12685</t>
  </si>
  <si>
    <t>aldose epimerase family protein</t>
  </si>
  <si>
    <t>WP_003604519.1</t>
  </si>
  <si>
    <t>CIL07_RS12690</t>
  </si>
  <si>
    <t>CIL07_RS12695</t>
  </si>
  <si>
    <t>CIL07_RS12700</t>
  </si>
  <si>
    <t>CIL07_RS12705</t>
  </si>
  <si>
    <t>CIL07_RS12710</t>
  </si>
  <si>
    <t>PTS fructose transporter subunit IIB</t>
  </si>
  <si>
    <t>WP_003563727.1</t>
  </si>
  <si>
    <t>CIL07_RS12715</t>
  </si>
  <si>
    <t>WP_003573951.1</t>
  </si>
  <si>
    <t>CIL07_RS12720</t>
  </si>
  <si>
    <t>WP_003563731.1</t>
  </si>
  <si>
    <t>CIL07_RS12725</t>
  </si>
  <si>
    <t>DUF4867 family protein</t>
  </si>
  <si>
    <t>WP_003604523.1</t>
  </si>
  <si>
    <t>CIL07_RS12730</t>
  </si>
  <si>
    <t>tagatose-6-phosphate kinase</t>
  </si>
  <si>
    <t>lacC</t>
  </si>
  <si>
    <t>WP_003604526.1</t>
  </si>
  <si>
    <t>CIL07_RS12735</t>
  </si>
  <si>
    <t>tagatose-bisphosphate aldolase</t>
  </si>
  <si>
    <t>WP_003577964.1</t>
  </si>
  <si>
    <t>CIL07_RS12740</t>
  </si>
  <si>
    <t>galactose-6-phosphate isomerase subunit LacB</t>
  </si>
  <si>
    <t>lacB</t>
  </si>
  <si>
    <t>WP_003569173.1</t>
  </si>
  <si>
    <t>CIL07_RS12745</t>
  </si>
  <si>
    <t>galactose-6-phosphate isomerase subunit LacA</t>
  </si>
  <si>
    <t>lacA</t>
  </si>
  <si>
    <t>WP_103213595.1</t>
  </si>
  <si>
    <t>CIL07_RS12750</t>
  </si>
  <si>
    <t>WP_003563743.1</t>
  </si>
  <si>
    <t>CIL07_RS12755</t>
  </si>
  <si>
    <t>WP_003563745.1</t>
  </si>
  <si>
    <t>CIL07_RS12760</t>
  </si>
  <si>
    <t>exonuclease SbcCD subunit D</t>
  </si>
  <si>
    <t>WP_003604528.1</t>
  </si>
  <si>
    <t>CIL07_RS12765</t>
  </si>
  <si>
    <t>WP_003604531.1</t>
  </si>
  <si>
    <t>CIL07_RS12770</t>
  </si>
  <si>
    <t>WP_003563758.1</t>
  </si>
  <si>
    <t>CIL07_RS12775</t>
  </si>
  <si>
    <t>WP_003573966.1</t>
  </si>
  <si>
    <t>CIL07_RS12780</t>
  </si>
  <si>
    <t>CIL07_RS12785</t>
  </si>
  <si>
    <t>A/G-specific adenine glycosylase</t>
  </si>
  <si>
    <t>mutY</t>
  </si>
  <si>
    <t>WP_003569186.1</t>
  </si>
  <si>
    <t>CIL07_RS12790</t>
  </si>
  <si>
    <t>WP_003604534.1</t>
  </si>
  <si>
    <t>CIL07_RS12795</t>
  </si>
  <si>
    <t>WP_003604535.1</t>
  </si>
  <si>
    <t>CIL07_RS12800</t>
  </si>
  <si>
    <t>WP_003563777.1</t>
  </si>
  <si>
    <t>CIL07_RS12805</t>
  </si>
  <si>
    <t>HdeD family acid-resistance protein</t>
  </si>
  <si>
    <t>WP_003573971.1</t>
  </si>
  <si>
    <t>CIL07_RS12810</t>
  </si>
  <si>
    <t>WP_022671422.1</t>
  </si>
  <si>
    <t>CIL07_RS12815</t>
  </si>
  <si>
    <t>WP_003604537.1</t>
  </si>
  <si>
    <t>CIL07_RS12820</t>
  </si>
  <si>
    <t>WP_003604538.1</t>
  </si>
  <si>
    <t>CIL07_RS12825</t>
  </si>
  <si>
    <t>SbcC family exonuclease</t>
  </si>
  <si>
    <t>WP_103213596.1</t>
  </si>
  <si>
    <t>CIL07_RS12830</t>
  </si>
  <si>
    <t>WP_003563795.1</t>
  </si>
  <si>
    <t>CIL07_RS12835</t>
  </si>
  <si>
    <t>beta-glucosidase</t>
  </si>
  <si>
    <t>WP_049176714.1</t>
  </si>
  <si>
    <t>CIL07_RS12840</t>
  </si>
  <si>
    <t>WP_003604541.1</t>
  </si>
  <si>
    <t>CIL07_RS12845</t>
  </si>
  <si>
    <t>WP_003604542.1</t>
  </si>
  <si>
    <t>CIL07_RS12850</t>
  </si>
  <si>
    <t>WP_003604543.1</t>
  </si>
  <si>
    <t>CIL07_RS12855</t>
  </si>
  <si>
    <t>WP_003563800.1</t>
  </si>
  <si>
    <t>CIL07_RS12860</t>
  </si>
  <si>
    <t>acryloyl-CoA reductase</t>
  </si>
  <si>
    <t>WP_103213597.1</t>
  </si>
  <si>
    <t>CIL07_RS12865</t>
  </si>
  <si>
    <t>WP_003604545.1</t>
  </si>
  <si>
    <t>CIL07_RS12870</t>
  </si>
  <si>
    <t>WP_003563806.1</t>
  </si>
  <si>
    <t>CIL07_RS12875</t>
  </si>
  <si>
    <t>WP_049176715.1</t>
  </si>
  <si>
    <t>CIL07_RS12880</t>
  </si>
  <si>
    <t>WP_003563810.1</t>
  </si>
  <si>
    <t>CIL07_RS12885</t>
  </si>
  <si>
    <t>WP_003604551.1</t>
  </si>
  <si>
    <t>CIL07_RS12890</t>
  </si>
  <si>
    <t>WP_003604553.1</t>
  </si>
  <si>
    <t>CIL07_RS12895</t>
  </si>
  <si>
    <t>WP_003563820.1</t>
  </si>
  <si>
    <t>CIL07_RS12900</t>
  </si>
  <si>
    <t>CdaR family transcriptional regulator</t>
  </si>
  <si>
    <t>WP_049176716.1</t>
  </si>
  <si>
    <t>CIL07_RS12905</t>
  </si>
  <si>
    <t>WP_003563824.1</t>
  </si>
  <si>
    <t>CIL07_RS12910</t>
  </si>
  <si>
    <t>acetoacetate decarboxylase family protein</t>
  </si>
  <si>
    <t>WP_003583729.1</t>
  </si>
  <si>
    <t>CIL07_RS12915</t>
  </si>
  <si>
    <t>WP_003604561.1</t>
  </si>
  <si>
    <t>CIL07_RS12920</t>
  </si>
  <si>
    <t>alpha-hydroxy-acid oxidizing protein</t>
  </si>
  <si>
    <t>WP_003563842.1</t>
  </si>
  <si>
    <t>CIL07_RS12925</t>
  </si>
  <si>
    <t>CIL07_RS12930</t>
  </si>
  <si>
    <t>CIL07_RS12935</t>
  </si>
  <si>
    <t>permease prefix domain 1-containing protein</t>
  </si>
  <si>
    <t>WP_003604563.1</t>
  </si>
  <si>
    <t>CIL07_RS12940</t>
  </si>
  <si>
    <t>WP_003604564.1</t>
  </si>
  <si>
    <t>CIL07_RS12945</t>
  </si>
  <si>
    <t>SemiSWEET family transporter</t>
  </si>
  <si>
    <t>WP_003563849.1</t>
  </si>
  <si>
    <t>CIL07_RS12950</t>
  </si>
  <si>
    <t>WP_003563851.1</t>
  </si>
  <si>
    <t>CIL07_RS12955</t>
  </si>
  <si>
    <t>WP_003569237.1</t>
  </si>
  <si>
    <t>CIL07_RS12960</t>
  </si>
  <si>
    <t>WP_003563857.1</t>
  </si>
  <si>
    <t>CIL07_RS12965</t>
  </si>
  <si>
    <t>WP_003563860.1</t>
  </si>
  <si>
    <t>CIL07_RS12970</t>
  </si>
  <si>
    <t>WP_003563871.1</t>
  </si>
  <si>
    <t>CIL07_RS12975</t>
  </si>
  <si>
    <t>WP_003563872.1</t>
  </si>
  <si>
    <t>CIL07_RS12980</t>
  </si>
  <si>
    <t>transcriptional repressor LexA</t>
  </si>
  <si>
    <t>lexA</t>
  </si>
  <si>
    <t>WP_003563873.1</t>
  </si>
  <si>
    <t>CIL07_RS12985</t>
  </si>
  <si>
    <t>WP_003569245.1</t>
  </si>
  <si>
    <t>CIL07_RS12990</t>
  </si>
  <si>
    <t>AEC family transporter</t>
  </si>
  <si>
    <t>WP_003578002.1</t>
  </si>
  <si>
    <t>CIL07_RS12995</t>
  </si>
  <si>
    <t>flavin reductase family protein</t>
  </si>
  <si>
    <t>WP_003604565.1</t>
  </si>
  <si>
    <t>CIL07_RS13000</t>
  </si>
  <si>
    <t>WP_003604568.1</t>
  </si>
  <si>
    <t>CIL07_RS13005</t>
  </si>
  <si>
    <t>5-formyltetrahydrofolate cyclo-ligase</t>
  </si>
  <si>
    <t>WP_003604570.1</t>
  </si>
  <si>
    <t>CIL07_RS13010</t>
  </si>
  <si>
    <t>DUF488 domain-containing protein</t>
  </si>
  <si>
    <t>WP_003604572.1</t>
  </si>
  <si>
    <t>CIL07_RS13015</t>
  </si>
  <si>
    <t>WP_003569257.1</t>
  </si>
  <si>
    <t>CIL07_RS13020</t>
  </si>
  <si>
    <t>LysR substrate-binding domain-containing protein</t>
  </si>
  <si>
    <t>WP_003597917.1</t>
  </si>
  <si>
    <t>CIL07_RS13025</t>
  </si>
  <si>
    <t>malolactic enzyme</t>
  </si>
  <si>
    <t>WP_003563889.1</t>
  </si>
  <si>
    <t>CIL07_RS13030</t>
  </si>
  <si>
    <t>WP_003563892.1</t>
  </si>
  <si>
    <t>CIL07_RS13035</t>
  </si>
  <si>
    <t>thiol peroxidase</t>
  </si>
  <si>
    <t>tpx</t>
  </si>
  <si>
    <t>WP_003563894.1</t>
  </si>
  <si>
    <t>CIL07_RS13040</t>
  </si>
  <si>
    <t>WP_003569268.1</t>
  </si>
  <si>
    <t>CIL07_RS13045</t>
  </si>
  <si>
    <t>CIL07_RS13050</t>
  </si>
  <si>
    <t>WP_003578017.1</t>
  </si>
  <si>
    <t>CIL07_RS13055</t>
  </si>
  <si>
    <t>WP_003563904.1</t>
  </si>
  <si>
    <t>CIL07_RS13060</t>
  </si>
  <si>
    <t>WP_003563906.1</t>
  </si>
  <si>
    <t>CIL07_RS13065</t>
  </si>
  <si>
    <t>nucleoside-diphosphate kinase</t>
  </si>
  <si>
    <t>ndk</t>
  </si>
  <si>
    <t>WP_003563911.1</t>
  </si>
  <si>
    <t>CIL07_RS13070</t>
  </si>
  <si>
    <t>WP_103213598.1</t>
  </si>
  <si>
    <t>CIL07_RS13075</t>
  </si>
  <si>
    <t>proline iminopeptidase-family hydrolase</t>
  </si>
  <si>
    <t>WP_003574094.1</t>
  </si>
  <si>
    <t>CIL07_RS13080</t>
  </si>
  <si>
    <t>WP_003563917.1</t>
  </si>
  <si>
    <t>CIL07_RS13085</t>
  </si>
  <si>
    <t>acetyltransferase</t>
  </si>
  <si>
    <t>WP_003583765.1</t>
  </si>
  <si>
    <t>CIL07_RS13090</t>
  </si>
  <si>
    <t>cation:proton antiporter</t>
  </si>
  <si>
    <t>WP_003604587.1</t>
  </si>
  <si>
    <t>CIL07_RS13095</t>
  </si>
  <si>
    <t>WP_003563923.1</t>
  </si>
  <si>
    <t>CIL07_RS13100</t>
  </si>
  <si>
    <t>WP_003563925.1</t>
  </si>
  <si>
    <t>CIL07_RS13105</t>
  </si>
  <si>
    <t>WP_003604590.1</t>
  </si>
  <si>
    <t>CIL07_RS13110</t>
  </si>
  <si>
    <t>nrdI</t>
  </si>
  <si>
    <t>WP_003604592.1</t>
  </si>
  <si>
    <t>CIL07_RS13115</t>
  </si>
  <si>
    <t>WP_003590195.1</t>
  </si>
  <si>
    <t>CIL07_RS13120</t>
  </si>
  <si>
    <t>WP_176783322.1</t>
  </si>
  <si>
    <t>CIL07_RS13125</t>
  </si>
  <si>
    <t>WP_003569294.1</t>
  </si>
  <si>
    <t>CIL07_RS13130</t>
  </si>
  <si>
    <t>DUF421 domain-containing protein</t>
  </si>
  <si>
    <t>WP_103213600.1</t>
  </si>
  <si>
    <t>CIL07_RS13135</t>
  </si>
  <si>
    <t>DUF3290 family protein</t>
  </si>
  <si>
    <t>WP_003563939.1</t>
  </si>
  <si>
    <t>CIL07_RS13140</t>
  </si>
  <si>
    <t>WP_022671419.1</t>
  </si>
  <si>
    <t>CIL07_RS13145</t>
  </si>
  <si>
    <t>CIL07_RS13150</t>
  </si>
  <si>
    <t>S-ribosylhomocysteine lyase</t>
  </si>
  <si>
    <t>WP_003563944.1</t>
  </si>
  <si>
    <t>CIL07_RS13155</t>
  </si>
  <si>
    <t>TVP38/TMEM64 family protein</t>
  </si>
  <si>
    <t>WP_003563965.1</t>
  </si>
  <si>
    <t>CIL07_RS13160</t>
  </si>
  <si>
    <t>Holliday junction branch migration protein RuvA</t>
  </si>
  <si>
    <t>ruvA</t>
  </si>
  <si>
    <t>WP_003563967.1</t>
  </si>
  <si>
    <t>CIL07_RS13165</t>
  </si>
  <si>
    <t>Holliday junction branch migration DNA helicase RuvB</t>
  </si>
  <si>
    <t>ruvB</t>
  </si>
  <si>
    <t>WP_003563969.1</t>
  </si>
  <si>
    <t>CIL07_RS13170</t>
  </si>
  <si>
    <t>tRNA preQ1(34) S-adenosylmethionine ribosyltransferase-isomerase QueA</t>
  </si>
  <si>
    <t>queA</t>
  </si>
  <si>
    <t>WP_003563971.1</t>
  </si>
  <si>
    <t>CIL07_RS13175</t>
  </si>
  <si>
    <t>tRNA guanosine(34) transglycosylase Tgt</t>
  </si>
  <si>
    <t>tgt</t>
  </si>
  <si>
    <t>WP_003569308.1</t>
  </si>
  <si>
    <t>CIL07_RS13180</t>
  </si>
  <si>
    <t>preprotein translocase subunit YajC</t>
  </si>
  <si>
    <t>yajC</t>
  </si>
  <si>
    <t>WP_003569309.1</t>
  </si>
  <si>
    <t>CIL07_RS13185</t>
  </si>
  <si>
    <t>bifunctional acetaldehyde-CoA/alcohol dehydrogenase</t>
  </si>
  <si>
    <t>adhE</t>
  </si>
  <si>
    <t>WP_003604601.1</t>
  </si>
  <si>
    <t>CIL07_RS13190</t>
  </si>
  <si>
    <t>metal-dependent transcriptional regulator</t>
  </si>
  <si>
    <t>WP_003563980.1</t>
  </si>
  <si>
    <t>CIL07_RS13195</t>
  </si>
  <si>
    <t>glucose-6-phosphate dehydrogenase</t>
  </si>
  <si>
    <t>zwf</t>
  </si>
  <si>
    <t>WP_003569313.1</t>
  </si>
  <si>
    <t>CIL07_RS13200</t>
  </si>
  <si>
    <t>DNA polymerase IV</t>
  </si>
  <si>
    <t>dinB</t>
  </si>
  <si>
    <t>WP_003604602.1</t>
  </si>
  <si>
    <t>CIL07_RS13205</t>
  </si>
  <si>
    <t>DRTGG domain-containing protein</t>
  </si>
  <si>
    <t>WP_003563989.1</t>
  </si>
  <si>
    <t>CIL07_RS13210</t>
  </si>
  <si>
    <t>WP_103213601.1</t>
  </si>
  <si>
    <t>CIL07_RS13215</t>
  </si>
  <si>
    <t>WP_003563993.1</t>
  </si>
  <si>
    <t>CIL07_RS13220</t>
  </si>
  <si>
    <t>WP_003604603.1</t>
  </si>
  <si>
    <t>CIL07_RS13225</t>
  </si>
  <si>
    <t>alanine--tRNA ligase</t>
  </si>
  <si>
    <t>alaS</t>
  </si>
  <si>
    <t>WP_003604605.1</t>
  </si>
  <si>
    <t>CIL07_RS13230</t>
  </si>
  <si>
    <t>WP_045601859.1</t>
  </si>
  <si>
    <t>CIL07_RS13235</t>
  </si>
  <si>
    <t>IreB family regulatory phosphoprotein</t>
  </si>
  <si>
    <t>WP_003564007.1</t>
  </si>
  <si>
    <t>CIL07_RS13240</t>
  </si>
  <si>
    <t>Holliday junction resolvase RuvX</t>
  </si>
  <si>
    <t>ruvX</t>
  </si>
  <si>
    <t>WP_003564009.1</t>
  </si>
  <si>
    <t>CIL07_RS13245</t>
  </si>
  <si>
    <t>DUF1292 domain-containing protein</t>
  </si>
  <si>
    <t>WP_003564011.1</t>
  </si>
  <si>
    <t>CIL07_RS13250</t>
  </si>
  <si>
    <t>cell division protein ZapA</t>
  </si>
  <si>
    <t>WP_003569330.1</t>
  </si>
  <si>
    <t>CIL07_RS13255</t>
  </si>
  <si>
    <t>CvpA family protein</t>
  </si>
  <si>
    <t>WP_003564014.1</t>
  </si>
  <si>
    <t>CIL07_RS13260</t>
  </si>
  <si>
    <t>endonuclease MutS2</t>
  </si>
  <si>
    <t>WP_003604611.1</t>
  </si>
  <si>
    <t>CIL07_RS13265</t>
  </si>
  <si>
    <t>thioredoxin</t>
  </si>
  <si>
    <t>trxA</t>
  </si>
  <si>
    <t>WP_003564019.1</t>
  </si>
  <si>
    <t>CIL07_RS13270</t>
  </si>
  <si>
    <t>teichoic acid D-Ala incorporation-associated protein DltX</t>
  </si>
  <si>
    <t>WP_003564021.1</t>
  </si>
  <si>
    <t>CIL07_RS13275</t>
  </si>
  <si>
    <t>D-alanine--poly(phosphoribitol) ligase subunit DltA</t>
  </si>
  <si>
    <t>dltA</t>
  </si>
  <si>
    <t>WP_003604613.1</t>
  </si>
  <si>
    <t>CIL07_RS13280</t>
  </si>
  <si>
    <t>D-alanyl-lipoteichoic acid biosynthesis protein DltB</t>
  </si>
  <si>
    <t>dltB</t>
  </si>
  <si>
    <t>WP_003564026.1</t>
  </si>
  <si>
    <t>CIL07_RS13285</t>
  </si>
  <si>
    <t>D-alanine--poly(phosphoribitol) ligase subunit 2</t>
  </si>
  <si>
    <t>dltC</t>
  </si>
  <si>
    <t>WP_003604616.1</t>
  </si>
  <si>
    <t>CIL07_RS13290</t>
  </si>
  <si>
    <t>D-alanyl-lipoteichoic acid biosynthesis protein DltD</t>
  </si>
  <si>
    <t>dltD</t>
  </si>
  <si>
    <t>WP_003564029.1</t>
  </si>
  <si>
    <t>CIL07_RS13295</t>
  </si>
  <si>
    <t>DUF2507 domain-containing protein</t>
  </si>
  <si>
    <t>WP_003564031.1</t>
  </si>
  <si>
    <t>CIL07_RS13300</t>
  </si>
  <si>
    <t>glutamate racemase</t>
  </si>
  <si>
    <t>racE</t>
  </si>
  <si>
    <t>WP_003597984.1</t>
  </si>
  <si>
    <t>CIL07_RS13305</t>
  </si>
  <si>
    <t>YfcE family phosphodiesterase</t>
  </si>
  <si>
    <t>WP_100908435.1</t>
  </si>
  <si>
    <t>CIL07_RS13310</t>
  </si>
  <si>
    <t>WP_003564035.1</t>
  </si>
  <si>
    <t>CIL07_RS13315</t>
  </si>
  <si>
    <t>cyclic-di-AMP-binding protein CbpB</t>
  </si>
  <si>
    <t>cbpB</t>
  </si>
  <si>
    <t>WP_003564036.1</t>
  </si>
  <si>
    <t>CIL07_RS13320</t>
  </si>
  <si>
    <t>DUF368 domain-containing protein</t>
  </si>
  <si>
    <t>WP_003604619.1</t>
  </si>
  <si>
    <t>CIL07_RS13325</t>
  </si>
  <si>
    <t>mechanosensitive ion channel family protein</t>
  </si>
  <si>
    <t>WP_011674287.1</t>
  </si>
  <si>
    <t>CIL07_RS13330</t>
  </si>
  <si>
    <t>DUF948 domain-containing protein</t>
  </si>
  <si>
    <t>WP_003569354.1</t>
  </si>
  <si>
    <t>CIL07_RS13335</t>
  </si>
  <si>
    <t>WP_003564042.1</t>
  </si>
  <si>
    <t>CIL07_RS13340</t>
  </si>
  <si>
    <t>transcription repressor NadR</t>
  </si>
  <si>
    <t>WP_003604620.1</t>
  </si>
  <si>
    <t>CIL07_RS13345</t>
  </si>
  <si>
    <t>WP_003604621.1</t>
  </si>
  <si>
    <t>CIL07_RS13350</t>
  </si>
  <si>
    <t>catabolite control protein A</t>
  </si>
  <si>
    <t>ccpA</t>
  </si>
  <si>
    <t>WP_003564050.1</t>
  </si>
  <si>
    <t>CIL07_RS13355</t>
  </si>
  <si>
    <t>transglycosylase domain-containing protein</t>
  </si>
  <si>
    <t>WP_003564052.1</t>
  </si>
  <si>
    <t>CIL07_RS13360</t>
  </si>
  <si>
    <t>YjjG family noncanonical pyrimidine nucleotidase</t>
  </si>
  <si>
    <t>WP_003566798.1</t>
  </si>
  <si>
    <t>CIL07_RS13365</t>
  </si>
  <si>
    <t>biotin--[acetyl-CoA-carboxylase] ligase</t>
  </si>
  <si>
    <t>WP_003566799.1</t>
  </si>
  <si>
    <t>CIL07_RS13370</t>
  </si>
  <si>
    <t>dipeptidase PepV</t>
  </si>
  <si>
    <t>pepV</t>
  </si>
  <si>
    <t>WP_003569363.1</t>
  </si>
  <si>
    <t>CIL07_RS13375</t>
  </si>
  <si>
    <t>glycerophosphodiester phosphodiesterase</t>
  </si>
  <si>
    <t>WP_003566801.1</t>
  </si>
  <si>
    <t>CIL07_RS13380</t>
  </si>
  <si>
    <t>WP_003566802.1</t>
  </si>
  <si>
    <t>CIL07_RS13385</t>
  </si>
  <si>
    <t>YibE/F family protein</t>
  </si>
  <si>
    <t>WP_103213604.1</t>
  </si>
  <si>
    <t>CIL07_RS13390</t>
  </si>
  <si>
    <t>WP_003569367.1</t>
  </si>
  <si>
    <t>CIL07_RS13395</t>
  </si>
  <si>
    <t>WP_003604624.1</t>
  </si>
  <si>
    <t>CIL07_RS13400</t>
  </si>
  <si>
    <t>WP_003604625.1</t>
  </si>
  <si>
    <t>CIL07_RS13405</t>
  </si>
  <si>
    <t>YutD family protein</t>
  </si>
  <si>
    <t>WP_003566806.1</t>
  </si>
  <si>
    <t>CIL07_RS13410</t>
  </si>
  <si>
    <t>TIGR01457 family HAD-type hydrolase</t>
  </si>
  <si>
    <t>WP_103213605.1</t>
  </si>
  <si>
    <t>CIL07_RS13415</t>
  </si>
  <si>
    <t>TIGR01906 family membrane protein</t>
  </si>
  <si>
    <t>WP_003566809.1</t>
  </si>
  <si>
    <t>CIL07_RS13420</t>
  </si>
  <si>
    <t>WP_003566811.1</t>
  </si>
  <si>
    <t>CIL07_RS13425</t>
  </si>
  <si>
    <t>phosphatidylglycerophosphatase A</t>
  </si>
  <si>
    <t>WP_003566812.1</t>
  </si>
  <si>
    <t>CIL07_RS13430</t>
  </si>
  <si>
    <t>WP_003566813.1</t>
  </si>
  <si>
    <t>CIL07_RS13435</t>
  </si>
  <si>
    <t>WP_003566814.1</t>
  </si>
  <si>
    <t>CIL07_RS13440</t>
  </si>
  <si>
    <t>CvfD/Ygs/GSP13 family RNA-binding post-transcriptional regulator</t>
  </si>
  <si>
    <t>WP_003566816.1</t>
  </si>
  <si>
    <t>CIL07_RS13445</t>
  </si>
  <si>
    <t>CIL07_RS13450</t>
  </si>
  <si>
    <t>CIL07_RS13455</t>
  </si>
  <si>
    <t>CIL07_RS13460</t>
  </si>
  <si>
    <t>CIL07_RS13465</t>
  </si>
  <si>
    <t>CIL07_RS13470</t>
  </si>
  <si>
    <t>CIL07_RS13475</t>
  </si>
  <si>
    <t>CIL07_RS13480</t>
  </si>
  <si>
    <t>CIL07_RS13485</t>
  </si>
  <si>
    <t>CIL07_RS13490</t>
  </si>
  <si>
    <t>tRNA-Met</t>
  </si>
  <si>
    <t>CIL07_RS13495</t>
  </si>
  <si>
    <t>CIL07_RS13500</t>
  </si>
  <si>
    <t>CIL07_RS13505</t>
  </si>
  <si>
    <t>tRNA-Asp</t>
  </si>
  <si>
    <t>CIL07_RS13510</t>
  </si>
  <si>
    <t>tRNA-Phe</t>
  </si>
  <si>
    <t>CIL07_RS13515</t>
  </si>
  <si>
    <t>CIL07_RS13520</t>
  </si>
  <si>
    <t>CIL07_RS13525</t>
  </si>
  <si>
    <t>CIL07_RS13530</t>
  </si>
  <si>
    <t>CIL07_RS13535</t>
  </si>
  <si>
    <t>CIL07_RS13540</t>
  </si>
  <si>
    <t>CIL07_RS13545</t>
  </si>
  <si>
    <t>CIL07_RS13550</t>
  </si>
  <si>
    <t>CIL07_RS13555</t>
  </si>
  <si>
    <t>CIL07_RS13560</t>
  </si>
  <si>
    <t>tRNA-Trp</t>
  </si>
  <si>
    <t>CIL07_RS13565</t>
  </si>
  <si>
    <t>tRNA-His</t>
  </si>
  <si>
    <t>CIL07_RS13570</t>
  </si>
  <si>
    <t>CIL07_RS13575</t>
  </si>
  <si>
    <t>tRNA-Cys</t>
  </si>
  <si>
    <t>CIL07_RS13580</t>
  </si>
  <si>
    <t>CIL07_RS13585</t>
  </si>
  <si>
    <t>sigma-70 family RNA polymerase sigma factor</t>
  </si>
  <si>
    <t>WP_003564071.1</t>
  </si>
  <si>
    <t>CIL07_RS13590</t>
  </si>
  <si>
    <t>WP_016372287.1</t>
  </si>
  <si>
    <t>CIL07_RS13595</t>
  </si>
  <si>
    <t>WP_003564075.1</t>
  </si>
  <si>
    <t>CIL07_RS13600</t>
  </si>
  <si>
    <t>WP_003564079.1</t>
  </si>
  <si>
    <t>CIL07_RS13605</t>
  </si>
  <si>
    <t>lysylphosphatidylglycerol synthase transmembrane domain-containing protein</t>
  </si>
  <si>
    <t>WP_003564081.1</t>
  </si>
  <si>
    <t>CIL07_RS13610</t>
  </si>
  <si>
    <t>WP_003564083.1</t>
  </si>
  <si>
    <t>CIL07_RS13615</t>
  </si>
  <si>
    <t>WP_103213606.1</t>
  </si>
  <si>
    <t>CIL07_RS13620</t>
  </si>
  <si>
    <t>YkuJ family protein</t>
  </si>
  <si>
    <t>WP_003564087.1</t>
  </si>
  <si>
    <t>CIL07_RS13625</t>
  </si>
  <si>
    <t>WP_003569404.1</t>
  </si>
  <si>
    <t>CIL07_RS13630</t>
  </si>
  <si>
    <t>WP_100908438.1</t>
  </si>
  <si>
    <t>CIL07_RS13635</t>
  </si>
  <si>
    <t>CIL07_RS13640</t>
  </si>
  <si>
    <t>CIL07_RS13645</t>
  </si>
  <si>
    <t>CIL07_RS13650</t>
  </si>
  <si>
    <t>CIL07_RS13655</t>
  </si>
  <si>
    <t>CIL07_RS13660</t>
  </si>
  <si>
    <t>CIL07_RS13665</t>
  </si>
  <si>
    <t>WP_003604646.1</t>
  </si>
  <si>
    <t>CIL07_RS13670</t>
  </si>
  <si>
    <t>methionine adenosyltransferase</t>
  </si>
  <si>
    <t>metK</t>
  </si>
  <si>
    <t>WP_003604647.1</t>
  </si>
  <si>
    <t>CIL07_RS13675</t>
  </si>
  <si>
    <t>WP_003564114.1</t>
  </si>
  <si>
    <t>CIL07_RS13680</t>
  </si>
  <si>
    <t>WP_003564124.1</t>
  </si>
  <si>
    <t>CIL07_RS13685</t>
  </si>
  <si>
    <t>WP_045603499.1</t>
  </si>
  <si>
    <t>CIL07_RS13690</t>
  </si>
  <si>
    <t>WP_003604657.1</t>
  </si>
  <si>
    <t>CIL07_RS13695</t>
  </si>
  <si>
    <t>WP_003604659.1</t>
  </si>
  <si>
    <t>CIL07_RS13700</t>
  </si>
  <si>
    <t>leucine--tRNA ligase</t>
  </si>
  <si>
    <t>leuS</t>
  </si>
  <si>
    <t>WP_016377889.1</t>
  </si>
  <si>
    <t>CIL07_RS13705</t>
  </si>
  <si>
    <t>WP_003564130.1</t>
  </si>
  <si>
    <t>CIL07_RS13710</t>
  </si>
  <si>
    <t>WP_012491225.1</t>
  </si>
  <si>
    <t>CIL07_RS13715</t>
  </si>
  <si>
    <t>WP_003569458.1</t>
  </si>
  <si>
    <t>CIL07_RS13720</t>
  </si>
  <si>
    <t>NAD(P)H-hydrate dehydratase</t>
  </si>
  <si>
    <t>WP_003604665.1</t>
  </si>
  <si>
    <t>CIL07_RS13725</t>
  </si>
  <si>
    <t>WP_003583909.1</t>
  </si>
  <si>
    <t>CIL07_RS13730</t>
  </si>
  <si>
    <t>CIL07_RS13735</t>
  </si>
  <si>
    <t>WP_103213659.1</t>
  </si>
  <si>
    <t>CIL07_RS13740</t>
  </si>
  <si>
    <t>WP_103213660.1</t>
  </si>
  <si>
    <t>CIL07_RS13745</t>
  </si>
  <si>
    <t>WP_103213661.1</t>
  </si>
  <si>
    <t>CIL07_RS13750</t>
  </si>
  <si>
    <t>CIL07_RS13755</t>
  </si>
  <si>
    <t>ion channel</t>
  </si>
  <si>
    <t>WP_103213662.1</t>
  </si>
  <si>
    <t>CIL07_RS13760</t>
  </si>
  <si>
    <t>WP_071798119.1</t>
  </si>
  <si>
    <t>CIL07_RS13765</t>
  </si>
  <si>
    <t>WP_103213663.1</t>
  </si>
  <si>
    <t>CIL07_RS13770</t>
  </si>
  <si>
    <t>WP_003578190.1</t>
  </si>
  <si>
    <t>CIL07_RS13775</t>
  </si>
  <si>
    <t>WP_103213664.1</t>
  </si>
  <si>
    <t>CIL07_RS13780</t>
  </si>
  <si>
    <t>WP_103213665.1</t>
  </si>
  <si>
    <t>CIL07_RS13785</t>
  </si>
  <si>
    <t>WP_003657835.1</t>
  </si>
  <si>
    <t>CIL07_RS13790</t>
  </si>
  <si>
    <t>WP_103213666.1</t>
  </si>
  <si>
    <t>CIL07_RS13795</t>
  </si>
  <si>
    <t>YqaJ viral recombinase family protein</t>
  </si>
  <si>
    <t>WP_103213667.1</t>
  </si>
  <si>
    <t>CIL07_RS13800</t>
  </si>
  <si>
    <t>WP_016364601.1</t>
  </si>
  <si>
    <t>CIL07_RS13805</t>
  </si>
  <si>
    <t>recombinase RecT</t>
  </si>
  <si>
    <t>WP_103213668.1</t>
  </si>
  <si>
    <t>CIL07_RS13810</t>
  </si>
  <si>
    <t>WP_103213669.1</t>
  </si>
  <si>
    <t>CIL07_RS13815</t>
  </si>
  <si>
    <t>DnaD domain-containing protein</t>
  </si>
  <si>
    <t>WP_103213670.1</t>
  </si>
  <si>
    <t>CIL07_RS13820</t>
  </si>
  <si>
    <t>WP_103213671.1</t>
  </si>
  <si>
    <t>CIL07_RS13825</t>
  </si>
  <si>
    <t>WP_012491240.1</t>
  </si>
  <si>
    <t>CIL07_RS13830</t>
  </si>
  <si>
    <t>WP_014566466.1</t>
  </si>
  <si>
    <t>CIL07_RS13835</t>
  </si>
  <si>
    <t>HNH endonuclease signature motif containing protein</t>
  </si>
  <si>
    <t>WP_103213673.1</t>
  </si>
  <si>
    <t>CIL07_RS13840</t>
  </si>
  <si>
    <t>RusA family crossover junction endodeoxyribonuclease</t>
  </si>
  <si>
    <t>WP_025376211.1</t>
  </si>
  <si>
    <t>CIL07_RS13845</t>
  </si>
  <si>
    <t>WP_003593188.1</t>
  </si>
  <si>
    <t>CIL07_RS13850</t>
  </si>
  <si>
    <t>WP_016364251.1</t>
  </si>
  <si>
    <t>CIL07_RS13855</t>
  </si>
  <si>
    <t>sigma factor-like helix-turn-helix DNA-binding protein</t>
  </si>
  <si>
    <t>WP_225357668.1</t>
  </si>
  <si>
    <t>CIL07_RS13860</t>
  </si>
  <si>
    <t>WP_146034962.1</t>
  </si>
  <si>
    <t>CIL07_RS13865</t>
  </si>
  <si>
    <t>HNH endonuclease</t>
  </si>
  <si>
    <t>WP_103213675.1</t>
  </si>
  <si>
    <t>CIL07_RS13870</t>
  </si>
  <si>
    <t>WP_103213683.1</t>
  </si>
  <si>
    <t>CIL07_RS13875</t>
  </si>
  <si>
    <t>terminase large subunit</t>
  </si>
  <si>
    <t>WP_103213676.1</t>
  </si>
  <si>
    <t>CIL07_RS13880</t>
  </si>
  <si>
    <t>phage portal protein</t>
  </si>
  <si>
    <t>WP_081528629.1</t>
  </si>
  <si>
    <t>CIL07_RS13885</t>
  </si>
  <si>
    <t>head maturation protease, ClpP-related</t>
  </si>
  <si>
    <t>WP_103213677.1</t>
  </si>
  <si>
    <t>CIL07_RS13890</t>
  </si>
  <si>
    <t>phage major capsid protein</t>
  </si>
  <si>
    <t>WP_103213678.1</t>
  </si>
  <si>
    <t>CIL07_RS13895</t>
  </si>
  <si>
    <t>WP_016382022.1</t>
  </si>
  <si>
    <t>CIL07_RS13900</t>
  </si>
  <si>
    <t>head-tail connector protein</t>
  </si>
  <si>
    <t>WP_003582271.1</t>
  </si>
  <si>
    <t>CIL07_RS13905</t>
  </si>
  <si>
    <t>phage head closure protein</t>
  </si>
  <si>
    <t>WP_012491255.1</t>
  </si>
  <si>
    <t>CIL07_RS13910</t>
  </si>
  <si>
    <t>WP_103213679.1</t>
  </si>
  <si>
    <t>CIL07_RS13915</t>
  </si>
  <si>
    <t>HK97-gp10 family putative phage morphogenesis protein</t>
  </si>
  <si>
    <t>WP_103213680.1</t>
  </si>
  <si>
    <t>CIL07_RS13920</t>
  </si>
  <si>
    <t>WP_081528626.1</t>
  </si>
  <si>
    <t>CIL07_RS13925</t>
  </si>
  <si>
    <t>WP_003595114.1</t>
  </si>
  <si>
    <t>CIL07_RS13930</t>
  </si>
  <si>
    <t>CIL07_RS13935</t>
  </si>
  <si>
    <t>WP_103213682.1</t>
  </si>
  <si>
    <t>CIL07_RS13940</t>
  </si>
  <si>
    <t>phage tail spike protein</t>
  </si>
  <si>
    <t>WP_372487192.1</t>
  </si>
  <si>
    <t>CIL07_RS13945</t>
  </si>
  <si>
    <t>DUF1617 family protein</t>
  </si>
  <si>
    <t>WP_019876457.1</t>
  </si>
  <si>
    <t>CIL07_RS13950</t>
  </si>
  <si>
    <t>WP_103213684.1</t>
  </si>
  <si>
    <t>CIL07_RS13955</t>
  </si>
  <si>
    <t>WP_103213685.1</t>
  </si>
  <si>
    <t>CIL07_RS13960</t>
  </si>
  <si>
    <t>phage holin</t>
  </si>
  <si>
    <t>WP_103213686.1</t>
  </si>
  <si>
    <t>CIL07_RS13965</t>
  </si>
  <si>
    <t>WP_103213687.1</t>
  </si>
  <si>
    <t>CIL07_RS13970</t>
  </si>
  <si>
    <t>WP_003604666.1</t>
  </si>
  <si>
    <t>CIL07_RS13975</t>
  </si>
  <si>
    <t>WP_100908442.1</t>
  </si>
  <si>
    <t>CIL07_RS13980</t>
  </si>
  <si>
    <t>glutathione peroxidase</t>
  </si>
  <si>
    <t>WP_003564137.1</t>
  </si>
  <si>
    <t>CIL07_RS13985</t>
  </si>
  <si>
    <t>WP_003604667.1</t>
  </si>
  <si>
    <t>CIL07_RS13990</t>
  </si>
  <si>
    <t>WP_003604668.1</t>
  </si>
  <si>
    <t>CIL07_RS13995</t>
  </si>
  <si>
    <t>WP_003564140.1</t>
  </si>
  <si>
    <t>CIL07_RS14000</t>
  </si>
  <si>
    <t>PFL family protein</t>
  </si>
  <si>
    <t>WP_003574245.1</t>
  </si>
  <si>
    <t>CIL07_RS14005</t>
  </si>
  <si>
    <t>competence protein CoiA</t>
  </si>
  <si>
    <t>WP_003569473.1</t>
  </si>
  <si>
    <t>CIL07_RS14010</t>
  </si>
  <si>
    <t>DsbA family protein</t>
  </si>
  <si>
    <t>WP_003564143.1</t>
  </si>
  <si>
    <t>CIL07_RS14015</t>
  </si>
  <si>
    <t>CYTH domain-containing protein</t>
  </si>
  <si>
    <t>WP_103213690.1</t>
  </si>
  <si>
    <t>CIL07_RS14020</t>
  </si>
  <si>
    <t>GTP pyrophosphokinase family protein</t>
  </si>
  <si>
    <t>WP_003564145.1</t>
  </si>
  <si>
    <t>CIL07_RS14025</t>
  </si>
  <si>
    <t>NAD kinase</t>
  </si>
  <si>
    <t>WP_003564146.1</t>
  </si>
  <si>
    <t>CIL07_RS14030</t>
  </si>
  <si>
    <t>WP_003564147.1</t>
  </si>
  <si>
    <t>CIL07_RS14035</t>
  </si>
  <si>
    <t>WP_012491276.1</t>
  </si>
  <si>
    <t>CIL07_RS14040</t>
  </si>
  <si>
    <t>copper homeostasis protein CutC</t>
  </si>
  <si>
    <t>WP_003569480.1</t>
  </si>
  <si>
    <t>CIL07_RS14045</t>
  </si>
  <si>
    <t>undecaprenyl-diphosphate phosphatase</t>
  </si>
  <si>
    <t>WP_003564150.1</t>
  </si>
  <si>
    <t>CIL07_RS14050</t>
  </si>
  <si>
    <t>lactonase family protein</t>
  </si>
  <si>
    <t>WP_003604691.1</t>
  </si>
  <si>
    <t>CIL07_RS14055</t>
  </si>
  <si>
    <t>WP_003564152.1</t>
  </si>
  <si>
    <t>CIL07_RS14060</t>
  </si>
  <si>
    <t>WP_003564153.1</t>
  </si>
  <si>
    <t>CIL07_RS14065</t>
  </si>
  <si>
    <t>GMP reductase</t>
  </si>
  <si>
    <t>WP_176783345.1</t>
  </si>
  <si>
    <t>CIL07_RS14070</t>
  </si>
  <si>
    <t>WP_003564155.1</t>
  </si>
  <si>
    <t>CIL07_RS14075</t>
  </si>
  <si>
    <t>methyltransferase domain-containing protein</t>
  </si>
  <si>
    <t>WP_003604695.1</t>
  </si>
  <si>
    <t>CIL07_RS14080</t>
  </si>
  <si>
    <t>tRNA (uridine(34)/cytosine(34)/5-carboxymethylaminomethyluridine(34)-2'-O)-methyltransferase TrmL</t>
  </si>
  <si>
    <t>trmL</t>
  </si>
  <si>
    <t>WP_003564157.1</t>
  </si>
  <si>
    <t>CIL07_RS14085</t>
  </si>
  <si>
    <t>DUF1149 family protein</t>
  </si>
  <si>
    <t>WP_003564159.1</t>
  </si>
  <si>
    <t>CIL07_RS14090</t>
  </si>
  <si>
    <t>WP_003604697.1</t>
  </si>
  <si>
    <t>CIL07_RS14095</t>
  </si>
  <si>
    <t>EF-P 5-aminopentanol modification-associated protein YfmF</t>
  </si>
  <si>
    <t>yfmF</t>
  </si>
  <si>
    <t>WP_003604699.1</t>
  </si>
  <si>
    <t>CIL07_RS14100</t>
  </si>
  <si>
    <t>EF-P 5-aminopentanol modification-associated protein YfmH</t>
  </si>
  <si>
    <t>yfmH</t>
  </si>
  <si>
    <t>WP_003604700.1</t>
  </si>
  <si>
    <t>CIL07_RS14105</t>
  </si>
  <si>
    <t>elongation factor P 5-aminopentanone reductase</t>
  </si>
  <si>
    <t>ymfI</t>
  </si>
  <si>
    <t>WP_003569514.1</t>
  </si>
  <si>
    <t>CIL07_RS14110</t>
  </si>
  <si>
    <t>WP_003569516.1</t>
  </si>
  <si>
    <t>CIL07_RS14115</t>
  </si>
  <si>
    <t>CDP-diacylglycerol--glycerol-3-phosphate 3-phosphatidyltransferase</t>
  </si>
  <si>
    <t>pgsA</t>
  </si>
  <si>
    <t>WP_003569518.1</t>
  </si>
  <si>
    <t>CIL07_RS14120</t>
  </si>
  <si>
    <t>competence/damage-inducible protein A</t>
  </si>
  <si>
    <t>WP_003601723.1</t>
  </si>
  <si>
    <t>CIL07_RS14125</t>
  </si>
  <si>
    <t>WP_003604701.1</t>
  </si>
  <si>
    <t>CIL07_RS14130</t>
  </si>
  <si>
    <t>ribonuclease Y</t>
  </si>
  <si>
    <t>rny</t>
  </si>
  <si>
    <t>WP_003657913.1</t>
  </si>
  <si>
    <t>CIL07_RS14135</t>
  </si>
  <si>
    <t>YigZ family protein</t>
  </si>
  <si>
    <t>WP_003604702.1</t>
  </si>
  <si>
    <t>CIL07_RS14140</t>
  </si>
  <si>
    <t>helicase-related protein</t>
  </si>
  <si>
    <t>WP_100908446.1</t>
  </si>
  <si>
    <t>CIL07_RS14145</t>
  </si>
  <si>
    <t>CIL07_RS14150</t>
  </si>
  <si>
    <t>ribosome hibernation-promoting factor, HPF/YfiA family</t>
  </si>
  <si>
    <t>hpf</t>
  </si>
  <si>
    <t>WP_003569531.1</t>
  </si>
  <si>
    <t>CIL07_RS14155</t>
  </si>
  <si>
    <t>preprotein translocase subunit SecA</t>
  </si>
  <si>
    <t>secA</t>
  </si>
  <si>
    <t>WP_003578257.1</t>
  </si>
  <si>
    <t>CIL07_RS14160</t>
  </si>
  <si>
    <t>peptide chain release factor 2</t>
  </si>
  <si>
    <t>prfB</t>
  </si>
  <si>
    <t>WP_096772597.1</t>
  </si>
  <si>
    <t>CIL07_RS14165</t>
  </si>
  <si>
    <t>cell division ATP-binding protein FtsE</t>
  </si>
  <si>
    <t>ftsE</t>
  </si>
  <si>
    <t>WP_003564191.1</t>
  </si>
  <si>
    <t>CIL07_RS14170</t>
  </si>
  <si>
    <t>permease-like cell division protein FtsX</t>
  </si>
  <si>
    <t>ftsX</t>
  </si>
  <si>
    <t>WP_003564193.1</t>
  </si>
  <si>
    <t>CIL07_RS14175</t>
  </si>
  <si>
    <t>PDZ domain-containing protein</t>
  </si>
  <si>
    <t>WP_003604706.1</t>
  </si>
  <si>
    <t>CIL07_RS14180</t>
  </si>
  <si>
    <t>WP_003564199.1</t>
  </si>
  <si>
    <t>CIL07_RS14185</t>
  </si>
  <si>
    <t>two-component system histidine kinase PnpS</t>
  </si>
  <si>
    <t>pnpS</t>
  </si>
  <si>
    <t>WP_003564201.1</t>
  </si>
  <si>
    <t>CIL07_RS14190</t>
  </si>
  <si>
    <t>WP_003569539.1</t>
  </si>
  <si>
    <t>CIL07_RS14195</t>
  </si>
  <si>
    <t>phosphate ABC transporter permease subunit PstC</t>
  </si>
  <si>
    <t>pstC</t>
  </si>
  <si>
    <t>WP_003604708.1</t>
  </si>
  <si>
    <t>CIL07_RS14200</t>
  </si>
  <si>
    <t>phosphate ABC transporter permease PstA</t>
  </si>
  <si>
    <t>pstA</t>
  </si>
  <si>
    <t>WP_003564208.1</t>
  </si>
  <si>
    <t>CIL07_RS14205</t>
  </si>
  <si>
    <t>phosphate ABC transporter ATP-binding protein PstB</t>
  </si>
  <si>
    <t>pstB</t>
  </si>
  <si>
    <t>WP_003569543.1</t>
  </si>
  <si>
    <t>CIL07_RS14210</t>
  </si>
  <si>
    <t>WP_003578265.1</t>
  </si>
  <si>
    <t>CIL07_RS14215</t>
  </si>
  <si>
    <t>phosphate signaling complex protein PhoU</t>
  </si>
  <si>
    <t>phoU</t>
  </si>
  <si>
    <t>WP_003569545.1</t>
  </si>
  <si>
    <t>CIL07_RS14220</t>
  </si>
  <si>
    <t>daptomycin-sensing surface protein LiaX</t>
  </si>
  <si>
    <t>liaX</t>
  </si>
  <si>
    <t>WP_003564216.1</t>
  </si>
  <si>
    <t>CIL07_RS14225</t>
  </si>
  <si>
    <t>WP_003564219.1</t>
  </si>
  <si>
    <t>CIL07_RS14230</t>
  </si>
  <si>
    <t>phage holin family protein</t>
  </si>
  <si>
    <t>WP_003564220.1</t>
  </si>
  <si>
    <t>CIL07_RS14235</t>
  </si>
  <si>
    <t>HPr(Ser) kinase/phosphatase</t>
  </si>
  <si>
    <t>hprK</t>
  </si>
  <si>
    <t>WP_003564222.1</t>
  </si>
  <si>
    <t>CIL07_RS14240</t>
  </si>
  <si>
    <t>prolipoprotein diacylglyceryl transferase</t>
  </si>
  <si>
    <t>lgt</t>
  </si>
  <si>
    <t>WP_003578277.1</t>
  </si>
  <si>
    <t>CIL07_RS14245</t>
  </si>
  <si>
    <t>NAD(P)H-dependent glycerol-3-phosphate dehydrogenase</t>
  </si>
  <si>
    <t>WP_003583985.1</t>
  </si>
  <si>
    <t>CIL07_RS14250</t>
  </si>
  <si>
    <t>thioredoxin-disulfide reductase</t>
  </si>
  <si>
    <t>trxB</t>
  </si>
  <si>
    <t>WP_103213691.1</t>
  </si>
  <si>
    <t>CIL07_RS14255</t>
  </si>
  <si>
    <t>WP_080596941.1</t>
  </si>
  <si>
    <t>CIL07_RS14260</t>
  </si>
  <si>
    <t>phospho-sugar mutase</t>
  </si>
  <si>
    <t>WP_003604714.1</t>
  </si>
  <si>
    <t>CIL07_RS14265</t>
  </si>
  <si>
    <t>WP_003569557.1</t>
  </si>
  <si>
    <t>CIL07_RS14270</t>
  </si>
  <si>
    <t>WP_003604716.1</t>
  </si>
  <si>
    <t>CIL07_RS14275</t>
  </si>
  <si>
    <t>WP_003593893.1</t>
  </si>
  <si>
    <t>CIL07_RS14280</t>
  </si>
  <si>
    <t>WP_123155616.1</t>
  </si>
  <si>
    <t>CIL07_RS14285</t>
  </si>
  <si>
    <t>YfbR-like 5'-deoxynucleotidase</t>
  </si>
  <si>
    <t>WP_003564240.1</t>
  </si>
  <si>
    <t>CIL07_RS14290</t>
  </si>
  <si>
    <t>excinuclease ABC subunit UvrB</t>
  </si>
  <si>
    <t>uvrB</t>
  </si>
  <si>
    <t>WP_003578292.1</t>
  </si>
  <si>
    <t>CIL07_RS14295</t>
  </si>
  <si>
    <t>uvrA</t>
  </si>
  <si>
    <t>WP_003564244.1</t>
  </si>
  <si>
    <t>CIL07_RS14300</t>
  </si>
  <si>
    <t>WP_003564246.1</t>
  </si>
  <si>
    <t>CIL07_RS14305</t>
  </si>
  <si>
    <t>RNase adapter RapZ</t>
  </si>
  <si>
    <t>rapZ</t>
  </si>
  <si>
    <t>WP_003564248.1</t>
  </si>
  <si>
    <t>CIL07_RS14310</t>
  </si>
  <si>
    <t>uridine diphosphate-N-acetylglucosamine-binding protein YvcK</t>
  </si>
  <si>
    <t>yvcK</t>
  </si>
  <si>
    <t>WP_003564250.1</t>
  </si>
  <si>
    <t>CIL07_RS14315</t>
  </si>
  <si>
    <t>DNA-binding protein WhiA</t>
  </si>
  <si>
    <t>whiA</t>
  </si>
  <si>
    <t>WP_103213693.1</t>
  </si>
  <si>
    <t>CIL07_RS14320</t>
  </si>
  <si>
    <t>WP_003564253.1</t>
  </si>
  <si>
    <t>CIL07_RS14325</t>
  </si>
  <si>
    <t>ATP-dependent Clp endopeptidase proteolytic subunit ClpP</t>
  </si>
  <si>
    <t>clpP</t>
  </si>
  <si>
    <t>WP_003564255.1</t>
  </si>
  <si>
    <t>CIL07_RS14330</t>
  </si>
  <si>
    <t>CIL07_RS14335</t>
  </si>
  <si>
    <t>Ltp family lipoprotein</t>
  </si>
  <si>
    <t>WP_003604721.1</t>
  </si>
  <si>
    <t>CIL07_RS14340</t>
  </si>
  <si>
    <t>WP_103213694.1</t>
  </si>
  <si>
    <t>CIL07_RS14345</t>
  </si>
  <si>
    <t>WP_003564265.1</t>
  </si>
  <si>
    <t>CIL07_RS14350</t>
  </si>
  <si>
    <t>phosphoglycerate kinase</t>
  </si>
  <si>
    <t>pgk</t>
  </si>
  <si>
    <t>WP_003564267.1</t>
  </si>
  <si>
    <t>CIL07_RS14355</t>
  </si>
  <si>
    <t>tpiA</t>
  </si>
  <si>
    <t>WP_003564269.1</t>
  </si>
  <si>
    <t>CIL07_RS14360</t>
  </si>
  <si>
    <t>phosphopyruvate hydratase</t>
  </si>
  <si>
    <t>eno</t>
  </si>
  <si>
    <t>WP_003564271.1</t>
  </si>
  <si>
    <t>CIL07_RS14365</t>
  </si>
  <si>
    <t>WP_103213714.1</t>
  </si>
  <si>
    <t>CIL07_RS14370</t>
  </si>
  <si>
    <t>WP_003604723.1</t>
  </si>
  <si>
    <t>CIL07_RS14375</t>
  </si>
  <si>
    <t>ClC family H(+)/Cl(-) exchange transporter</t>
  </si>
  <si>
    <t>WP_003604725.1</t>
  </si>
  <si>
    <t>CIL07_RS14380</t>
  </si>
  <si>
    <t>preprotein translocase subunit SecG</t>
  </si>
  <si>
    <t>secG</t>
  </si>
  <si>
    <t>WP_003564279.1</t>
  </si>
  <si>
    <t>CIL07_RS14385</t>
  </si>
  <si>
    <t>carboxylesterase</t>
  </si>
  <si>
    <t>WP_003569577.1</t>
  </si>
  <si>
    <t>CIL07_RS14390</t>
  </si>
  <si>
    <t>ribonuclease R</t>
  </si>
  <si>
    <t>rnr</t>
  </si>
  <si>
    <t>WP_003564282.1</t>
  </si>
  <si>
    <t>CIL07_RS14395</t>
  </si>
  <si>
    <t>SsrA-binding protein SmpB</t>
  </si>
  <si>
    <t>smpB</t>
  </si>
  <si>
    <t>WP_003564285.1</t>
  </si>
  <si>
    <t>CIL07_RS14400</t>
  </si>
  <si>
    <t>WP_103213695.1</t>
  </si>
  <si>
    <t>CIL07_RS14405</t>
  </si>
  <si>
    <t>WP_100908452.1</t>
  </si>
  <si>
    <t>CIL07_RS14410</t>
  </si>
  <si>
    <t>WP_100908453.1</t>
  </si>
  <si>
    <t>CIL07_RS14415</t>
  </si>
  <si>
    <t>glycoside hydrolase family 65 protein</t>
  </si>
  <si>
    <t>WP_103213696.1</t>
  </si>
  <si>
    <t>CIL07_RS14420</t>
  </si>
  <si>
    <t>beta-phosphoglucomutase</t>
  </si>
  <si>
    <t>pgmB</t>
  </si>
  <si>
    <t>WP_003604739.1</t>
  </si>
  <si>
    <t>CIL07_RS14425</t>
  </si>
  <si>
    <t>WP_372487193.1</t>
  </si>
  <si>
    <t>CIL07_RS14430</t>
  </si>
  <si>
    <t>WP_103213697.1</t>
  </si>
  <si>
    <t>CIL07_RS14435</t>
  </si>
  <si>
    <t>WP_003604742.1</t>
  </si>
  <si>
    <t>CIL07_RS14440</t>
  </si>
  <si>
    <t>WP_049145116.1</t>
  </si>
  <si>
    <t>CIL07_RS14445</t>
  </si>
  <si>
    <t>sugar ABC transporter permease</t>
  </si>
  <si>
    <t>WP_100908455.1</t>
  </si>
  <si>
    <t>CIL07_RS14450</t>
  </si>
  <si>
    <t>WP_003604745.1</t>
  </si>
  <si>
    <t>CIL07_RS14455</t>
  </si>
  <si>
    <t>WP_003584032.1</t>
  </si>
  <si>
    <t>CIL07_RS14460</t>
  </si>
  <si>
    <t>WP_003604746.1</t>
  </si>
  <si>
    <t>CIL07_RS14465</t>
  </si>
  <si>
    <t>WP_103213698.1</t>
  </si>
  <si>
    <t>CIL07_RS14470</t>
  </si>
  <si>
    <t>WP_103213699.1</t>
  </si>
  <si>
    <t>CIL07_RS14475</t>
  </si>
  <si>
    <t>WP_003564323.1</t>
  </si>
  <si>
    <t>CIL07_RS14480</t>
  </si>
  <si>
    <t>CIL07_RS00005</t>
  </si>
  <si>
    <t>NZ_CP167254.1</t>
  </si>
  <si>
    <t>pLPP</t>
  </si>
  <si>
    <t>PLP-dependent cysteine synthase family protein</t>
  </si>
  <si>
    <t>WP_004559989.1</t>
  </si>
  <si>
    <t>CIL07_RS14490</t>
  </si>
  <si>
    <t>CIL07_RS14495</t>
  </si>
  <si>
    <t>WP_372487240.1</t>
  </si>
  <si>
    <t>CIL07_RS14500</t>
  </si>
  <si>
    <t>WP_372487241.1</t>
  </si>
  <si>
    <t>CIL07_RS14505</t>
  </si>
  <si>
    <t>CIL07_RS14510</t>
  </si>
  <si>
    <t>CIL07_RS14515</t>
  </si>
  <si>
    <t>WP_004559988.1</t>
  </si>
  <si>
    <t>CIL07_RS14520</t>
  </si>
  <si>
    <t>CIL07_RS14525</t>
  </si>
  <si>
    <t>WP_123837386.1</t>
  </si>
  <si>
    <t>CIL07_RS14530</t>
  </si>
  <si>
    <t>WP_003607120.1</t>
  </si>
  <si>
    <t>CIL07_RS14535</t>
  </si>
  <si>
    <t>WP_003607119.1</t>
  </si>
  <si>
    <t>CIL07_RS14540</t>
  </si>
  <si>
    <t>transcriptional regulator</t>
  </si>
  <si>
    <t>WP_003606721.1</t>
  </si>
  <si>
    <t>CIL07_RS14545</t>
  </si>
  <si>
    <t>Ig-like domain-containing protein</t>
  </si>
  <si>
    <t>WP_032676121.1</t>
  </si>
  <si>
    <t>CIL07_RS14550</t>
  </si>
  <si>
    <t>WP_049179790.1</t>
  </si>
  <si>
    <t>CIL07_RS14555</t>
  </si>
  <si>
    <t>WP_049179788.1</t>
  </si>
  <si>
    <t>CIL07_RS14560</t>
  </si>
  <si>
    <t>WP_049179786.1</t>
  </si>
  <si>
    <t>CIL07_RS14565</t>
  </si>
  <si>
    <t>WP_049179784.1</t>
  </si>
  <si>
    <t>CIL07_RS14570</t>
  </si>
  <si>
    <t>CIL07_RS14575</t>
  </si>
  <si>
    <t>CIL07_RS14580</t>
  </si>
  <si>
    <t>WP_003563273.1</t>
  </si>
  <si>
    <t>CIL07_RS14585</t>
  </si>
  <si>
    <t>TIGR02328 family protein</t>
  </si>
  <si>
    <t>WP_003563277.1</t>
  </si>
  <si>
    <t>CIL07_RS14590</t>
  </si>
  <si>
    <t>BRCT domain-containing protein</t>
  </si>
  <si>
    <t>WP_016363781.1</t>
  </si>
  <si>
    <t>CIL07_RS14595</t>
  </si>
  <si>
    <t>recombinase family protein</t>
  </si>
  <si>
    <t>WP_003606486.1</t>
  </si>
  <si>
    <t>CIL07_RS14600</t>
  </si>
  <si>
    <t>WP_099973778.1</t>
  </si>
  <si>
    <t>CIL07_RS14605</t>
  </si>
  <si>
    <t>CIL07_RS14610</t>
  </si>
  <si>
    <t>glycoside hydrolase family 3 N-terminal domain-containing protein</t>
  </si>
  <si>
    <t>WP_103214015.1</t>
  </si>
  <si>
    <t>CIL07_RS14615</t>
  </si>
  <si>
    <t>CIL07_RS14620</t>
  </si>
  <si>
    <t>CIL07_RS14625</t>
  </si>
  <si>
    <t>DUF5388 domain-containing protein</t>
  </si>
  <si>
    <t>WP_004559981.1</t>
  </si>
  <si>
    <t>CIL07_RS14630</t>
  </si>
  <si>
    <t>WP_003660085.1</t>
  </si>
  <si>
    <t>CIL07_RS14635</t>
  </si>
  <si>
    <t>replication initiator protein A</t>
  </si>
  <si>
    <t>WP_103214010.1</t>
  </si>
  <si>
    <t>CIL07_RS14640</t>
  </si>
  <si>
    <t>CIL07_RS14645</t>
  </si>
  <si>
    <t>WP_004559984.1</t>
  </si>
  <si>
    <t>CIL07_RS14650</t>
  </si>
  <si>
    <t>CIL07_RS14655</t>
  </si>
  <si>
    <t>WP_016365110.1</t>
  </si>
  <si>
    <t>CIL07_RS14660</t>
  </si>
  <si>
    <t>WP_003607074.1</t>
  </si>
  <si>
    <t>CIL07_RS14665</t>
  </si>
  <si>
    <t>WP_016382190.1</t>
  </si>
  <si>
    <t>CIL07_RS14670</t>
  </si>
  <si>
    <t>WP_016382191.1</t>
  </si>
  <si>
    <t>CIL07_RS14675</t>
  </si>
  <si>
    <t>WP_049180015.1</t>
  </si>
  <si>
    <t>CIL07_RS14680</t>
  </si>
  <si>
    <t>mobP2</t>
  </si>
  <si>
    <t>CIL07_RS14685</t>
  </si>
  <si>
    <t>CIL07_RS14690</t>
  </si>
  <si>
    <t>mobL</t>
  </si>
  <si>
    <t>CIL07_RS14695</t>
  </si>
  <si>
    <t>WP_016370737.1</t>
  </si>
  <si>
    <t>CIL07_RS14700</t>
  </si>
  <si>
    <t>ArdC-like ssDNA-binding domain-containing protein</t>
  </si>
  <si>
    <t>WP_049173609.1</t>
  </si>
  <si>
    <t>CIL07_RS14705</t>
  </si>
  <si>
    <t>IS110 family transposase</t>
  </si>
  <si>
    <t>WP_016365109.1</t>
  </si>
  <si>
    <t>CIL07_RS14710</t>
  </si>
  <si>
    <t>WP_021353390.1</t>
  </si>
  <si>
    <t>CIL07_RS14715</t>
  </si>
  <si>
    <t>WP_003592338.1</t>
  </si>
  <si>
    <t>CIL07_RS14720</t>
  </si>
  <si>
    <t>WP_003592341.1</t>
  </si>
  <si>
    <t>CIL07_RS14725</t>
  </si>
  <si>
    <t>WP_099973776.1</t>
  </si>
  <si>
    <t>CIL07_RS14730</t>
  </si>
  <si>
    <t>CIL07_RS14735</t>
  </si>
  <si>
    <t>transcription antiterminator LacT</t>
  </si>
  <si>
    <t>lacT</t>
  </si>
  <si>
    <t>WP_003589800.1</t>
  </si>
  <si>
    <t>CIL07_RS14740</t>
  </si>
  <si>
    <t>lactose-specific PTS transporter subunit EIIC</t>
  </si>
  <si>
    <t>WP_049179988.1</t>
  </si>
  <si>
    <t>CIL07_RS14745</t>
  </si>
  <si>
    <t>6-phospho-beta-galactosidase</t>
  </si>
  <si>
    <t>lacG</t>
  </si>
  <si>
    <t>WP_003589794.1</t>
  </si>
  <si>
    <t>CIL07_RS14750</t>
  </si>
  <si>
    <t>WP_003589792.1</t>
  </si>
  <si>
    <t>CIL07_RS14755</t>
  </si>
  <si>
    <t>CIL07_RS14760</t>
  </si>
  <si>
    <t>WP_347075497.1</t>
  </si>
  <si>
    <t>CIL07_RS14765</t>
  </si>
  <si>
    <t>serine O-acetyltransferase EpsC</t>
  </si>
  <si>
    <t>epsC</t>
  </si>
  <si>
    <t>WP_003590051.1</t>
  </si>
  <si>
    <t>CIL07_RS14770</t>
  </si>
  <si>
    <t>WP_372487239.1</t>
  </si>
  <si>
    <t>CIL07_RS14485</t>
  </si>
  <si>
    <t>EC Number</t>
  </si>
  <si>
    <t>New EC Number</t>
  </si>
  <si>
    <t>KEGG Enzyme URL</t>
  </si>
  <si>
    <t>KEGG Reaction URL</t>
  </si>
  <si>
    <t>Reactants</t>
  </si>
  <si>
    <t>Products</t>
  </si>
  <si>
    <t>https://www.genome.jp/entry/</t>
  </si>
  <si>
    <t>1.1.1.1</t>
  </si>
  <si>
    <t>https://www.genome.jp/entry/1.1.1.1</t>
  </si>
  <si>
    <t>https://www.genome.jp/entry/R00623</t>
  </si>
  <si>
    <t>https://www.genome.jp/entry/R00754</t>
  </si>
  <si>
    <t>https://www.genome.jp/entry/R02124</t>
  </si>
  <si>
    <t>https://www.genome.jp/entry/R02878</t>
  </si>
  <si>
    <t>https://www.genome.jp/entry/R04805</t>
  </si>
  <si>
    <t>https://www.genome.jp/entry/R04880</t>
  </si>
  <si>
    <t>https://www.genome.jp/entry/R05233</t>
  </si>
  <si>
    <t>https://www.genome.jp/entry/R05234</t>
  </si>
  <si>
    <t>https://www.genome.jp/entry/R06917</t>
  </si>
  <si>
    <t>https://www.genome.jp/entry/R06927</t>
  </si>
  <si>
    <t>https://www.genome.jp/entry/R08281</t>
  </si>
  <si>
    <t>https://www.genome.jp/entry/R08306</t>
  </si>
  <si>
    <t>https://www.genome.jp/entry/R08557</t>
  </si>
  <si>
    <t>https://www.genome.jp/entry/R08558</t>
  </si>
  <si>
    <t>https://www.genome.jp/entry/R10783</t>
  </si>
  <si>
    <t>https://www.genome.jp/entry/R00624</t>
  </si>
  <si>
    <t>https://www.genome.jp/entry/R08310</t>
  </si>
  <si>
    <t>https://www.genome.jp/entry/R02246</t>
  </si>
  <si>
    <t>https://www.genome.jp/entry/R07105</t>
  </si>
  <si>
    <t>1.1.1.100</t>
  </si>
  <si>
    <t>https://www.genome.jp/entry/1.1.1.100</t>
  </si>
  <si>
    <t>https://www.genome.jp/entry/R02767</t>
  </si>
  <si>
    <t>https://www.genome.jp/entry/R04533</t>
  </si>
  <si>
    <t>https://www.genome.jp/entry/R04534</t>
  </si>
  <si>
    <t>https://www.genome.jp/entry/R04536</t>
  </si>
  <si>
    <t>https://www.genome.jp/entry/R04543</t>
  </si>
  <si>
    <t>https://www.genome.jp/entry/R04566</t>
  </si>
  <si>
    <t>https://www.genome.jp/entry/R04953</t>
  </si>
  <si>
    <t>https://www.genome.jp/entry/R04964</t>
  </si>
  <si>
    <t>https://www.genome.jp/entry/R07763</t>
  </si>
  <si>
    <t>C16219 | C00005 | C00080</t>
  </si>
  <si>
    <t>https://www.genome.jp/entry/R10116</t>
  </si>
  <si>
    <t>https://www.genome.jp/entry/R10120</t>
  </si>
  <si>
    <t>1.1.1.169</t>
  </si>
  <si>
    <t>https://www.genome.jp/entry/1.1.1.169</t>
  </si>
  <si>
    <t>https://www.genome.jp/entry/R02472</t>
  </si>
  <si>
    <t>1.1.1.17</t>
  </si>
  <si>
    <t>https://www.genome.jp/entry/1.1.1.17</t>
  </si>
  <si>
    <t>https://www.genome.jp/entry/R00758</t>
  </si>
  <si>
    <t>https://www.genome.jp/entry/R02703</t>
  </si>
  <si>
    <t>https://www.genome.jp/entry/1.1.1.18</t>
  </si>
  <si>
    <t>https://www.genome.jp/entry/R01183</t>
  </si>
  <si>
    <t>https://www.genome.jp/entry/1.1.1.205</t>
  </si>
  <si>
    <t>https://www.genome.jp/entry/R01130</t>
  </si>
  <si>
    <t>https://www.genome.jp/entry/R08240</t>
  </si>
  <si>
    <t>1.1.1.23</t>
  </si>
  <si>
    <t>https://www.genome.jp/entry/1.1.1.23</t>
  </si>
  <si>
    <t>https://www.genome.jp/entry/R01158</t>
  </si>
  <si>
    <t>https://www.genome.jp/entry/R01163</t>
  </si>
  <si>
    <t>https://www.genome.jp/entry/R03012</t>
  </si>
  <si>
    <t>1.1.1.25</t>
  </si>
  <si>
    <t>https://www.genome.jp/entry/1.1.1.25</t>
  </si>
  <si>
    <t>https://www.genome.jp/entry/R02413</t>
  </si>
  <si>
    <t>https://www.genome.jp/entry/R12885</t>
  </si>
  <si>
    <t>https://www.genome.jp/entry/1.1.1.262</t>
  </si>
  <si>
    <t>https://www.genome.jp/entry/R05681</t>
  </si>
  <si>
    <t>https://www.genome.jp/entry/R05837</t>
  </si>
  <si>
    <t>https://www.genome.jp/entry/R07406</t>
  </si>
  <si>
    <t>1.1.1.27</t>
  </si>
  <si>
    <t>https://www.genome.jp/entry/1.1.1.27</t>
  </si>
  <si>
    <t>https://www.genome.jp/entry/R00703</t>
  </si>
  <si>
    <t>https://www.genome.jp/entry/R01000</t>
  </si>
  <si>
    <t>https://www.genome.jp/entry/R03104</t>
  </si>
  <si>
    <t>1.1.1.3</t>
  </si>
  <si>
    <t>https://www.genome.jp/entry/1.1.1.3</t>
  </si>
  <si>
    <t>https://www.genome.jp/entry/R01773</t>
  </si>
  <si>
    <t>https://www.genome.jp/entry/R01775</t>
  </si>
  <si>
    <t>1.1.1.343</t>
  </si>
  <si>
    <t>https://www.genome.jp/entry/1.1.1.343</t>
  </si>
  <si>
    <t>https://www.genome.jp/entry/R10221</t>
  </si>
  <si>
    <t>C00199 | C00011 | C00004 | C00080</t>
  </si>
  <si>
    <t>1.1.1.44</t>
  </si>
  <si>
    <t>https://www.genome.jp/entry/1.1.1.44</t>
  </si>
  <si>
    <t>https://www.genome.jp/entry/R01528</t>
  </si>
  <si>
    <t>1.1.1.49</t>
  </si>
  <si>
    <t>https://www.genome.jp/entry/1.1.1.49</t>
  </si>
  <si>
    <t>https://www.genome.jp/entry/R00835</t>
  </si>
  <si>
    <t>C00092 | C00006</t>
  </si>
  <si>
    <t>https://www.genome.jp/entry/R02736</t>
  </si>
  <si>
    <t>1.1.1.88</t>
  </si>
  <si>
    <t>https://www.genome.jp/entry/1.1.1.88</t>
  </si>
  <si>
    <t>https://www.genome.jp/entry/R02081</t>
  </si>
  <si>
    <t>1.1.1.94</t>
  </si>
  <si>
    <t>https://www.genome.jp/entry/1.1.1.94</t>
  </si>
  <si>
    <t>https://www.genome.jp/entry/R00842</t>
  </si>
  <si>
    <t>https://www.genome.jp/entry/R00844</t>
  </si>
  <si>
    <t>https://www.genome.jp/entry/1.11.1.26</t>
  </si>
  <si>
    <t>https://www.genome.jp/entry/R12579</t>
  </si>
  <si>
    <t>C00004 | C15498 | C00080</t>
  </si>
  <si>
    <t>C00003 | C00001 | C01335</t>
  </si>
  <si>
    <t>https://www.genome.jp/entry/1.15.1.1</t>
  </si>
  <si>
    <t>https://www.genome.jp/entry/R00275</t>
  </si>
  <si>
    <t>https://www.genome.jp/entry/1.17.1.8</t>
  </si>
  <si>
    <t>https://www.genome.jp/entry/R04198</t>
  </si>
  <si>
    <t>https://www.genome.jp/entry/R04199</t>
  </si>
  <si>
    <t>https://www.genome.jp/entry/1.17.4.1</t>
  </si>
  <si>
    <t>https://www.genome.jp/entry/R04294</t>
  </si>
  <si>
    <t>https://www.genome.jp/entry/R02017</t>
  </si>
  <si>
    <t>https://www.genome.jp/entry/R02018</t>
  </si>
  <si>
    <t>https://www.genome.jp/entry/R02019</t>
  </si>
  <si>
    <t>https://www.genome.jp/entry/R02024</t>
  </si>
  <si>
    <t>https://www.genome.jp/entry/R08363</t>
  </si>
  <si>
    <t>https://www.genome.jp/entry/R08364</t>
  </si>
  <si>
    <t>https://www.genome.jp/entry/R11893</t>
  </si>
  <si>
    <t>1.17.4.1</t>
  </si>
  <si>
    <t>https://www.genome.jp/entry/1.17.4.2</t>
  </si>
  <si>
    <t>https://www.genome.jp/entry/R04315</t>
  </si>
  <si>
    <t>https://www.genome.jp/entry/R02014</t>
  </si>
  <si>
    <t>https://www.genome.jp/entry/R02020</t>
  </si>
  <si>
    <t>https://www.genome.jp/entry/R02022</t>
  </si>
  <si>
    <t>https://www.genome.jp/entry/R02023</t>
  </si>
  <si>
    <t>https://www.genome.jp/entry/1.17.99.6</t>
  </si>
  <si>
    <t>https://www.genome.jp/entry/R12500</t>
  </si>
  <si>
    <t>1.2.1.10</t>
  </si>
  <si>
    <t>https://www.genome.jp/entry/1.2.1.10</t>
  </si>
  <si>
    <t>https://www.genome.jp/entry/R00228</t>
  </si>
  <si>
    <t>C00084 | C00010 | C00003</t>
  </si>
  <si>
    <t>https://www.genome.jp/entry/R01172</t>
  </si>
  <si>
    <t>https://www.genome.jp/entry/1.2.1.11</t>
  </si>
  <si>
    <t>https://www.genome.jp/entry/R02291</t>
  </si>
  <si>
    <t>https://www.genome.jp/entry/1.2.1.41</t>
  </si>
  <si>
    <t>https://www.genome.jp/entry/R03313</t>
  </si>
  <si>
    <t>https://www.genome.jp/entry/1.2.3.3</t>
  </si>
  <si>
    <t>https://www.genome.jp/entry/R00207</t>
  </si>
  <si>
    <t>https://www.genome.jp/entry/1.20.4.4</t>
  </si>
  <si>
    <t>https://www.genome.jp/entry/R10927</t>
  </si>
  <si>
    <t>https://www.genome.jp/entry/1.3.1.14</t>
  </si>
  <si>
    <t>https://www.genome.jp/entry/R01869</t>
  </si>
  <si>
    <t>https://www.genome.jp/entry/1.3.1.95</t>
  </si>
  <si>
    <t>https://www.genome.jp/entry/R10161</t>
  </si>
  <si>
    <t>https://www.genome.jp/entry/1.3.1.98</t>
  </si>
  <si>
    <t>https://www.genome.jp/entry/R03192</t>
  </si>
  <si>
    <t>https://www.genome.jp/entry/R03191</t>
  </si>
  <si>
    <t>https://www.genome.jp/entry/1.3.98.1</t>
  </si>
  <si>
    <t>https://www.genome.jp/entry/R01867</t>
  </si>
  <si>
    <t>https://www.genome.jp/entry/1.4.1.13</t>
  </si>
  <si>
    <t>https://www.genome.jp/entry/R00114</t>
  </si>
  <si>
    <t>https://www.genome.jp/entry/R00248</t>
  </si>
  <si>
    <t>https://www.genome.jp/entry/R00256</t>
  </si>
  <si>
    <t>https://www.genome.jp/entry/1.4.1.4</t>
  </si>
  <si>
    <t>https://www.genome.jp/entry/R00145</t>
  </si>
  <si>
    <t>https://www.genome.jp/entry/R00146</t>
  </si>
  <si>
    <t>1.4.3.5</t>
  </si>
  <si>
    <t>https://www.genome.jp/entry/1.4.3.5</t>
  </si>
  <si>
    <t>https://www.genome.jp/entry/R00277</t>
  </si>
  <si>
    <t>https://www.genome.jp/entry/R00278</t>
  </si>
  <si>
    <t>https://www.genome.jp/entry/R01710</t>
  </si>
  <si>
    <t>C00534 | C00001 | C00007</t>
  </si>
  <si>
    <t>https://www.genome.jp/entry/R01711</t>
  </si>
  <si>
    <t>https://www.genome.jp/entry/1.5.1.2</t>
  </si>
  <si>
    <t>https://www.genome.jp/entry/R01248</t>
  </si>
  <si>
    <t>https://www.genome.jp/entry/R01251</t>
  </si>
  <si>
    <t>https://www.genome.jp/entry/R03291</t>
  </si>
  <si>
    <t>https://www.genome.jp/entry/R03293</t>
  </si>
  <si>
    <t>https://www.genome.jp/entry/1.5.1.20</t>
  </si>
  <si>
    <t>https://www.genome.jp/entry/R01224</t>
  </si>
  <si>
    <t xml:space="preserve">C00440 | C00006 </t>
  </si>
  <si>
    <t>https://www.genome.jp/entry/R07168</t>
  </si>
  <si>
    <t>https://www.genome.jp/entry/1.5.1.3</t>
  </si>
  <si>
    <t>https://www.genome.jp/entry/R00939</t>
  </si>
  <si>
    <t>https://www.genome.jp/entry/R00936</t>
  </si>
  <si>
    <t>https://www.genome.jp/entry/R00937</t>
  </si>
  <si>
    <t>https://www.genome.jp/entry/R00940</t>
  </si>
  <si>
    <t>https://www.genome.jp/entry/R02235</t>
  </si>
  <si>
    <t>https://www.genome.jp/entry/R02236</t>
  </si>
  <si>
    <t>https://www.genome.jp/entry/R11765</t>
  </si>
  <si>
    <t>https://www.genome.jp/entry/1.5.1.5</t>
  </si>
  <si>
    <t>https://www.genome.jp/entry/R01220</t>
  </si>
  <si>
    <t>https://www.genome.jp/entry/1.7.1.7</t>
  </si>
  <si>
    <t>https://www.genome.jp/entry/R01134</t>
  </si>
  <si>
    <t>1.8.1.4</t>
  </si>
  <si>
    <t>https://www.genome.jp/entry/1.8.1.4</t>
  </si>
  <si>
    <t>https://www.genome.jp/entry/R08550</t>
  </si>
  <si>
    <t>https://www.genome.jp/entry/R03815</t>
  </si>
  <si>
    <t>https://www.genome.jp/entry/R07618</t>
  </si>
  <si>
    <t>https://www.genome.jp/entry/R01698</t>
  </si>
  <si>
    <t>https://www.genome.jp/entry/1.8.1.9</t>
  </si>
  <si>
    <t>https://www.genome.jp/entry/R02016</t>
  </si>
  <si>
    <t>https://www.genome.jp/entry/1.8.4.11</t>
  </si>
  <si>
    <t>https://www.genome.jp/entry/R04120</t>
  </si>
  <si>
    <t>https://www.genome.jp/entry/R07606</t>
  </si>
  <si>
    <t>https://www.genome.jp/entry/1.8.4.12</t>
  </si>
  <si>
    <t>https://www.genome.jp/entry/R07607</t>
  </si>
  <si>
    <t>https://www.genome.jp/entry/1.97.1.4</t>
  </si>
  <si>
    <t>https://www.genome.jp/entry/R04710</t>
  </si>
  <si>
    <t>https://www.genome.jp/entry/2.1.1.14</t>
  </si>
  <si>
    <t>https://www.genome.jp/entry/R04405</t>
  </si>
  <si>
    <t>https://www.genome.jp/entry/R09365</t>
  </si>
  <si>
    <t>https://www.genome.jp/entry/2.1.1.170</t>
  </si>
  <si>
    <t>C00019</t>
  </si>
  <si>
    <t>C00021</t>
  </si>
  <si>
    <t>https://www.genome.jp/entry/2.1.1.171</t>
  </si>
  <si>
    <t>https://www.genome.jp/entry/R07234</t>
  </si>
  <si>
    <t>https://www.genome.jp/entry/2.1.1.172</t>
  </si>
  <si>
    <t>2.1.1.174</t>
  </si>
  <si>
    <t>https://www.genome.jp/entry/2.1.1.174</t>
  </si>
  <si>
    <t>https://www.genome.jp/entry/2.1.1.176</t>
  </si>
  <si>
    <t>https://www.genome.jp/entry/2.1.1.177</t>
  </si>
  <si>
    <t>https://www.genome.jp/entry/2.1.1.182</t>
  </si>
  <si>
    <t>https://www.genome.jp/entry/R10716</t>
  </si>
  <si>
    <t>https://www.genome.jp/entry/2.1.1.190</t>
  </si>
  <si>
    <t>https://www.genome.jp/entry/2.1.1.198</t>
  </si>
  <si>
    <t>https://www.genome.jp/entry/2.1.1.199</t>
  </si>
  <si>
    <t>https://www.genome.jp/entry/2.1.1.207</t>
  </si>
  <si>
    <t>https://www.genome.jp/entry/2.1.1.222</t>
  </si>
  <si>
    <t>https://www.genome.jp/entry/R08769</t>
  </si>
  <si>
    <t>https://www.genome.jp/entry/R04988</t>
  </si>
  <si>
    <t>https://www.genome.jp/entry/2.1.1.223</t>
  </si>
  <si>
    <t>https://www.genome.jp/entry/2.1.1.228</t>
  </si>
  <si>
    <t>https://www.genome.jp/entry/R00597</t>
  </si>
  <si>
    <t>https://www.genome.jp/entry/2.1.1.297</t>
  </si>
  <si>
    <t>https://www.genome.jp/entry/R10806</t>
  </si>
  <si>
    <t>2.1.1.33</t>
  </si>
  <si>
    <t>https://www.genome.jp/entry/2.1.1.33</t>
  </si>
  <si>
    <t>https://www.genome.jp/entry/R00600</t>
  </si>
  <si>
    <t>https://www.genome.jp/entry/2.1.1.45</t>
  </si>
  <si>
    <t>https://www.genome.jp/entry/R02101</t>
  </si>
  <si>
    <t>https://www.genome.jp/entry/2.1.1.63</t>
  </si>
  <si>
    <t>https://www.genome.jp/entry/R04314</t>
  </si>
  <si>
    <t>2.1.1.64</t>
  </si>
  <si>
    <t>https://www.genome.jp/entry/2.1.1.64</t>
  </si>
  <si>
    <t>https://www.genome.jp/entry/R12657</t>
  </si>
  <si>
    <t>https://www.genome.jp/entry/R08781</t>
  </si>
  <si>
    <t>https://www.genome.jp/entry/2.1.1.72</t>
  </si>
  <si>
    <t>https://www.genome.jp/entry/R02961</t>
  </si>
  <si>
    <t>https://www.genome.jp/entry/2.1.2.1</t>
  </si>
  <si>
    <t>https://www.genome.jp/entry/R00945</t>
  </si>
  <si>
    <t>https://www.genome.jp/entry/R09099</t>
  </si>
  <si>
    <t>https://www.genome.jp/entry/2.1.2.2</t>
  </si>
  <si>
    <t>https://www.genome.jp/entry/R04325</t>
  </si>
  <si>
    <t>https://www.genome.jp/entry/R04326</t>
  </si>
  <si>
    <t>https://www.genome.jp/entry/2.1.2.3</t>
  </si>
  <si>
    <t>https://www.genome.jp/entry/R04560</t>
  </si>
  <si>
    <t>https://www.genome.jp/entry/2.1.2.9</t>
  </si>
  <si>
    <t>https://www.genome.jp/entry/R03940</t>
  </si>
  <si>
    <t>https://www.genome.jp/entry/2.1.3.2</t>
  </si>
  <si>
    <t>https://www.genome.jp/entry/R01397</t>
  </si>
  <si>
    <t>2.2.1.2</t>
  </si>
  <si>
    <t>https://www.genome.jp/entry/2.2.1.2</t>
  </si>
  <si>
    <t>https://www.genome.jp/entry/R08575</t>
  </si>
  <si>
    <t>https://www.genome.jp/entry/2.2.1.6</t>
  </si>
  <si>
    <t>https://www.genome.jp/entry/R00006</t>
  </si>
  <si>
    <t>https://www.genome.jp/entry/R00226</t>
  </si>
  <si>
    <t>https://www.genome.jp/entry/R00014</t>
  </si>
  <si>
    <t>https://www.genome.jp/entry/R03050</t>
  </si>
  <si>
    <t>https://www.genome.jp/entry/R04672</t>
  </si>
  <si>
    <t>https://www.genome.jp/entry/R04673</t>
  </si>
  <si>
    <t>https://www.genome.jp/entry/R08648</t>
  </si>
  <si>
    <t>https://www.genome.jp/entry/2.3.1.15</t>
  </si>
  <si>
    <t>https://www.genome.jp/entry/R00851</t>
  </si>
  <si>
    <t>https://www.genome.jp/entry/R02617</t>
  </si>
  <si>
    <t>https://www.genome.jp/entry/R09380</t>
  </si>
  <si>
    <t>https://www.genome.jp/entry/2.3.1.157</t>
  </si>
  <si>
    <t>https://www.genome.jp/entry/R05332</t>
  </si>
  <si>
    <t>https://www.genome.jp/entry/2.3.1.16</t>
  </si>
  <si>
    <t>https://www.genome.jp/entry/R00391</t>
  </si>
  <si>
    <t>https://www.genome.jp/entry/R00238</t>
  </si>
  <si>
    <t>https://www.genome.jp/entry/R00829</t>
  </si>
  <si>
    <t>https://www.genome.jp/entry/R00927</t>
  </si>
  <si>
    <t>https://www.genome.jp/entry/R01177</t>
  </si>
  <si>
    <t>https://www.genome.jp/entry/R03778</t>
  </si>
  <si>
    <t>https://www.genome.jp/entry/R03858</t>
  </si>
  <si>
    <t>https://www.genome.jp/entry/R03991</t>
  </si>
  <si>
    <t>https://www.genome.jp/entry/R04742</t>
  </si>
  <si>
    <t>https://www.genome.jp/entry/R04747</t>
  </si>
  <si>
    <t>https://www.genome.jp/entry/R05506</t>
  </si>
  <si>
    <t>https://www.genome.jp/entry/R05586</t>
  </si>
  <si>
    <t>https://www.genome.jp/entry/R07891</t>
  </si>
  <si>
    <t>https://www.genome.jp/entry/R07895</t>
  </si>
  <si>
    <t>https://www.genome.jp/entry/R07899</t>
  </si>
  <si>
    <t>https://www.genome.jp/entry/R07937</t>
  </si>
  <si>
    <t>https://www.genome.jp/entry/R07953</t>
  </si>
  <si>
    <t>https://www.genome.jp/entry/R08091</t>
  </si>
  <si>
    <t>https://www.genome.jp/entry/R08095</t>
  </si>
  <si>
    <t>https://www.genome.jp/entry/R13471</t>
  </si>
  <si>
    <t>https://www.genome.jp/entry/R13479</t>
  </si>
  <si>
    <t>https://www.genome.jp/entry/R13483</t>
  </si>
  <si>
    <t>https://www.genome.jp/entry/R13467</t>
  </si>
  <si>
    <t>https://www.genome.jp/entry/2.3.1.179</t>
  </si>
  <si>
    <t>https://www.genome.jp/entry/R02768</t>
  </si>
  <si>
    <t>https://www.genome.jp/entry/R04355</t>
  </si>
  <si>
    <t>https://www.genome.jp/entry/R04726</t>
  </si>
  <si>
    <t>C05223 | C01209</t>
  </si>
  <si>
    <t>https://www.genome.jp/entry/R04952</t>
  </si>
  <si>
    <t>https://www.genome.jp/entry/R04957</t>
  </si>
  <si>
    <t>https://www.genome.jp/entry/R04960</t>
  </si>
  <si>
    <t>https://www.genome.jp/entry/R04963</t>
  </si>
  <si>
    <t>https://www.genome.jp/entry/R04968</t>
  </si>
  <si>
    <t>https://www.genome.jp/entry/R07762</t>
  </si>
  <si>
    <t>https://www.genome.jp/entry/R10115</t>
  </si>
  <si>
    <t>https://www.genome.jp/entry/R10119</t>
  </si>
  <si>
    <t>https://www.genome.jp/entry/2.3.1.180</t>
  </si>
  <si>
    <t>https://www.genome.jp/entry/R10707</t>
  </si>
  <si>
    <t>https://www.genome.jp/entry/2.3.1.234</t>
  </si>
  <si>
    <t>https://www.genome.jp/entry/R10648</t>
  </si>
  <si>
    <t>https://www.genome.jp/entry/2.3.1.266</t>
  </si>
  <si>
    <t>https://www.genome.jp/entry/R04316</t>
  </si>
  <si>
    <t>2.3.1.274</t>
  </si>
  <si>
    <t>https://www.genome.jp/entry/2.3.1.274</t>
  </si>
  <si>
    <t>https://www.genome.jp/entry/R12240</t>
  </si>
  <si>
    <t>https://www.genome.jp/entry/2.3.1.286</t>
  </si>
  <si>
    <t>https://www.genome.jp/entry/R10634</t>
  </si>
  <si>
    <t>https://www.genome.jp/entry/R10633</t>
  </si>
  <si>
    <t>https://www.genome.jp/entry/2.3.1.39</t>
  </si>
  <si>
    <t>https://www.genome.jp/entry/R01626</t>
  </si>
  <si>
    <t>https://www.genome.jp/entry/2.3.1.54</t>
  </si>
  <si>
    <t>https://www.genome.jp/entry/R00212</t>
  </si>
  <si>
    <t>https://www.genome.jp/entry/R06987</t>
  </si>
  <si>
    <t>https://www.genome.jp/entry/2.3.1.8</t>
  </si>
  <si>
    <t>https://www.genome.jp/entry/R00230</t>
  </si>
  <si>
    <t>https://www.genome.jp/entry/R00921</t>
  </si>
  <si>
    <t>https://www.genome.jp/entry/2.3.1.89</t>
  </si>
  <si>
    <t>https://www.genome.jp/entry/R04364</t>
  </si>
  <si>
    <t>https://www.genome.jp/entry/2.3.3.10</t>
  </si>
  <si>
    <t>https://www.genome.jp/entry/R01978</t>
  </si>
  <si>
    <t>https://www.genome.jp/entry/2.4.1.1</t>
  </si>
  <si>
    <t>https://www.genome.jp/entry/R01821</t>
  </si>
  <si>
    <t>https://www.genome.jp/entry/R06050</t>
  </si>
  <si>
    <t>https://www.genome.jp/entry/R02111</t>
  </si>
  <si>
    <t>https://www.genome.jp/entry/R06185</t>
  </si>
  <si>
    <t>https://www.genome.jp/entry/2.4.1.21</t>
  </si>
  <si>
    <t>https://www.genome.jp/entry/R02421</t>
  </si>
  <si>
    <t>C00498 | C00718</t>
  </si>
  <si>
    <t>https://www.genome.jp/entry/R06049</t>
  </si>
  <si>
    <t>G10495(n) | G11109</t>
  </si>
  <si>
    <t>2.4.1.227</t>
  </si>
  <si>
    <t>https://www.genome.jp/entry/2.4.1.227</t>
  </si>
  <si>
    <t>https://www.genome.jp/entry/R05662</t>
  </si>
  <si>
    <t>C04851 | C00043</t>
  </si>
  <si>
    <t>https://www.genome.jp/entry/R06173</t>
  </si>
  <si>
    <t>G10552 | G10610</t>
  </si>
  <si>
    <t>https://www.genome.jp/entry/R05032</t>
  </si>
  <si>
    <t>C05897 | C00043</t>
  </si>
  <si>
    <t>https://www.genome.jp/entry/R06172</t>
  </si>
  <si>
    <t>G10551 | G10610</t>
  </si>
  <si>
    <t>https://www.genome.jp/entry/R06174</t>
  </si>
  <si>
    <t>G10556 | G10610</t>
  </si>
  <si>
    <t>G10555 | G10619</t>
  </si>
  <si>
    <t>2.4.2.14</t>
  </si>
  <si>
    <t>https://www.genome.jp/entry/2.4.2.14</t>
  </si>
  <si>
    <t>https://www.genome.jp/entry/R01072</t>
  </si>
  <si>
    <t>C00064 | C00119 | C00001</t>
  </si>
  <si>
    <t>https://www.genome.jp/entry/2.4.2.17</t>
  </si>
  <si>
    <t>https://www.genome.jp/entry/R01071</t>
  </si>
  <si>
    <t>C00002 | C00119</t>
  </si>
  <si>
    <t>https://www.genome.jp/entry/2.4.2.18</t>
  </si>
  <si>
    <t>https://www.genome.jp/entry/R01073</t>
  </si>
  <si>
    <t>2.4.2.2</t>
  </si>
  <si>
    <t>https://www.genome.jp/entry/2.4.2.2</t>
  </si>
  <si>
    <t>https://www.genome.jp/entry/R01570</t>
  </si>
  <si>
    <t>https://www.genome.jp/entry/R01876</t>
  </si>
  <si>
    <t>C00299 | C00009</t>
  </si>
  <si>
    <t>C00106 | C00620</t>
  </si>
  <si>
    <t>https://www.genome.jp/entry/R02296</t>
  </si>
  <si>
    <t>C00475 | C00009</t>
  </si>
  <si>
    <t>C00380 | C00620</t>
  </si>
  <si>
    <t>https://www.genome.jp/entry/R02484</t>
  </si>
  <si>
    <t>C00526 | C00009</t>
  </si>
  <si>
    <t>C00106 | C00672</t>
  </si>
  <si>
    <t>https://www.genome.jp/entry/R02298</t>
  </si>
  <si>
    <t>C03169 | C00009</t>
  </si>
  <si>
    <t>C00396 | C00620 | C00080</t>
  </si>
  <si>
    <t>2.4.2.22</t>
  </si>
  <si>
    <t>https://www.genome.jp/entry/2.4.2.22</t>
  </si>
  <si>
    <t>https://www.genome.jp/entry/R02142</t>
  </si>
  <si>
    <t>https://www.genome.jp/entry/R01229</t>
  </si>
  <si>
    <t>C00144 | C00013</t>
  </si>
  <si>
    <t>C00242 | C00119</t>
  </si>
  <si>
    <t>2.4.2.29</t>
  </si>
  <si>
    <t>https://www.genome.jp/entry/2.4.2.29</t>
  </si>
  <si>
    <t>https://www.genome.jp/entry/R10209</t>
  </si>
  <si>
    <t>2.4.2.52</t>
  </si>
  <si>
    <t>https://www.genome.jp/entry/2.4.2.52</t>
  </si>
  <si>
    <t>https://www.genome.jp/entry/R09675</t>
  </si>
  <si>
    <t>2.4.2.7</t>
  </si>
  <si>
    <t>https://www.genome.jp/entry/2.4.2.7</t>
  </si>
  <si>
    <t>https://www.genome.jp/entry/R00190</t>
  </si>
  <si>
    <t>C00147 | C00119</t>
  </si>
  <si>
    <t>https://www.genome.jp/entry/R04378</t>
  </si>
  <si>
    <t>C04677 | C00013</t>
  </si>
  <si>
    <t>C04051 | C00119</t>
  </si>
  <si>
    <t>https://www.genome.jp/entry/2.4.2.8</t>
  </si>
  <si>
    <t>C00020 | C00013</t>
  </si>
  <si>
    <t>2.4.2.9</t>
  </si>
  <si>
    <t>https://www.genome.jp/entry/2.4.2.9</t>
  </si>
  <si>
    <t>https://www.genome.jp/entry/R00966</t>
  </si>
  <si>
    <t>2.4.99.17</t>
  </si>
  <si>
    <t>https://www.genome.jp/entry/2.4.99.17</t>
  </si>
  <si>
    <t>https://www.genome.jp/entry/R10220</t>
  </si>
  <si>
    <t>2.5.1.145</t>
  </si>
  <si>
    <t>https://www.genome.jp/entry/2.5.1.145</t>
  </si>
  <si>
    <t>2.5.1.17</t>
  </si>
  <si>
    <t>https://www.genome.jp/entry/2.5.1.17</t>
  </si>
  <si>
    <t>https://www.genome.jp/entry/R12183</t>
  </si>
  <si>
    <t>2 C00002 | 2 C00541 | C03024</t>
  </si>
  <si>
    <t>2 C00536 | 2 C00194 | C03161</t>
  </si>
  <si>
    <t>https://www.genome.jp/entry/R12184</t>
  </si>
  <si>
    <t>2 C00002 | 2 C06504 | C03024</t>
  </si>
  <si>
    <t>2 C00536 | 2 C06506 | C03161</t>
  </si>
  <si>
    <t>https://www.genome.jp/entry/R01492</t>
  </si>
  <si>
    <t>C00002 | C00853</t>
  </si>
  <si>
    <t>C00536 | C00194</t>
  </si>
  <si>
    <t>https://www.genome.jp/entry/R05220</t>
  </si>
  <si>
    <t>C06505 | C00002</t>
  </si>
  <si>
    <t>C06506 | C00536</t>
  </si>
  <si>
    <t>https://www.genome.jp/entry/R07268</t>
  </si>
  <si>
    <t>C00002 | C05774</t>
  </si>
  <si>
    <t>2.5.1.3</t>
  </si>
  <si>
    <t>https://www.genome.jp/entry/2.5.1.3</t>
  </si>
  <si>
    <t>https://www.genome.jp/entry/R03223</t>
  </si>
  <si>
    <t>https://www.genome.jp/entry/R10712</t>
  </si>
  <si>
    <t>C04752 | C20247</t>
  </si>
  <si>
    <t>C01081 | C00013 | C00011</t>
  </si>
  <si>
    <t>https://www.genome.jp/entry/R11312</t>
  </si>
  <si>
    <t>C04752 | C20246</t>
  </si>
  <si>
    <t>2.5.1.47</t>
  </si>
  <si>
    <t>https://www.genome.jp/entry/2.5.1.47</t>
  </si>
  <si>
    <t>https://www.genome.jp/entry/R00897</t>
  </si>
  <si>
    <t>C00979 | C00283</t>
  </si>
  <si>
    <t>https://www.genome.jp/entry/R03601</t>
  </si>
  <si>
    <t>C00979 | C01528</t>
  </si>
  <si>
    <t>C05688 | C00033</t>
  </si>
  <si>
    <t>https://www.genome.jp/entry/R04859</t>
  </si>
  <si>
    <t>C00979 | C00320 | C00342 | C00080</t>
  </si>
  <si>
    <t>https://www.genome.jp/entry/R07274</t>
  </si>
  <si>
    <t>C00097 | C00009</t>
  </si>
  <si>
    <t>2.5.1.6</t>
  </si>
  <si>
    <t>https://www.genome.jp/entry/2.5.1.6</t>
  </si>
  <si>
    <t>https://www.genome.jp/entry/R00177</t>
  </si>
  <si>
    <t>C00009 | C00013 | C00019</t>
  </si>
  <si>
    <t>https://www.genome.jp/entry/R04771</t>
  </si>
  <si>
    <t>C00002 | C05335 | C00001</t>
  </si>
  <si>
    <t>2.5.1.7</t>
  </si>
  <si>
    <t>https://www.genome.jp/entry/2.5.1.7</t>
  </si>
  <si>
    <t>https://www.genome.jp/entry/R00660</t>
  </si>
  <si>
    <t>https://www.genome.jp/entry/2.5.1.74</t>
  </si>
  <si>
    <t>https://www.genome.jp/entry/R10757</t>
  </si>
  <si>
    <t>https://www.genome.jp/entry/2.5.1.75</t>
  </si>
  <si>
    <t>https://www.genome.jp/entry/R01122</t>
  </si>
  <si>
    <t>C00013 | C04432</t>
  </si>
  <si>
    <t>2.6.1.16</t>
  </si>
  <si>
    <t>https://www.genome.jp/entry/2.6.1.16</t>
  </si>
  <si>
    <t>https://www.genome.jp/entry/R00768</t>
  </si>
  <si>
    <t>C00025 | C00352</t>
  </si>
  <si>
    <t>2.6.1.42</t>
  </si>
  <si>
    <t>https://www.genome.jp/entry/2.6.1.42</t>
  </si>
  <si>
    <t>https://www.genome.jp/entry/R01090</t>
  </si>
  <si>
    <t>C00123 | C00026</t>
  </si>
  <si>
    <t>C00233 | C00025</t>
  </si>
  <si>
    <t>https://www.genome.jp/entry/R01214</t>
  </si>
  <si>
    <t>C00183 | C00026</t>
  </si>
  <si>
    <t>C00141 | C00025</t>
  </si>
  <si>
    <t>https://www.genome.jp/entry/R02199</t>
  </si>
  <si>
    <t>C00407 | C00026</t>
  </si>
  <si>
    <t>C00671 | C00025</t>
  </si>
  <si>
    <t>https://www.genome.jp/entry/R10991</t>
  </si>
  <si>
    <t>C02356 | C00026</t>
  </si>
  <si>
    <t>C00109 | C00025</t>
  </si>
  <si>
    <t>https://www.genome.jp/entry/2.6.1.9</t>
  </si>
  <si>
    <t>https://www.genome.jp/entry/R03243</t>
  </si>
  <si>
    <t>https://www.genome.jp/entry/R00694</t>
  </si>
  <si>
    <t>C00079 | C00026</t>
  </si>
  <si>
    <t>https://www.genome.jp/entry/R00734</t>
  </si>
  <si>
    <t>C00082 | C00026</t>
  </si>
  <si>
    <t>C01179 | C00025</t>
  </si>
  <si>
    <t>2.7.1.107</t>
  </si>
  <si>
    <t>https://www.genome.jp/entry/2.7.1.107</t>
  </si>
  <si>
    <t>https://www.genome.jp/entry/R02240</t>
  </si>
  <si>
    <t>C00008 | C00416</t>
  </si>
  <si>
    <t>https://www.genome.jp/entry/2.7.1.11</t>
  </si>
  <si>
    <t>https://www.genome.jp/entry/R04779</t>
  </si>
  <si>
    <t>C00008 | C05378</t>
  </si>
  <si>
    <t>https://www.genome.jp/entry/R00756</t>
  </si>
  <si>
    <t>C00008 | C00354</t>
  </si>
  <si>
    <t>https://www.genome.jp/entry/R00767</t>
  </si>
  <si>
    <t>C00063 | C00085</t>
  </si>
  <si>
    <t>C00112 | C00354</t>
  </si>
  <si>
    <t>https://www.genome.jp/entry/R00769</t>
  </si>
  <si>
    <t>C00075 | C00085</t>
  </si>
  <si>
    <t>C00015 | C00354</t>
  </si>
  <si>
    <t>https://www.genome.jp/entry/R00770</t>
  </si>
  <si>
    <t>C00081 | C00085</t>
  </si>
  <si>
    <t>https://www.genome.jp/entry/R01843</t>
  </si>
  <si>
    <t>https://www.genome.jp/entry/R03236</t>
  </si>
  <si>
    <t>C03785 | C00008</t>
  </si>
  <si>
    <t>https://www.genome.jp/entry/R03237</t>
  </si>
  <si>
    <t>C00112 | C03785</t>
  </si>
  <si>
    <t>https://www.genome.jp/entry/R03238</t>
  </si>
  <si>
    <t>C00075 | C01097</t>
  </si>
  <si>
    <t>C00015 | C03785</t>
  </si>
  <si>
    <t>C00104 | C03785</t>
  </si>
  <si>
    <t>https://www.genome.jp/entry/2.7.1.12</t>
  </si>
  <si>
    <t>https://www.genome.jp/entry/R01737</t>
  </si>
  <si>
    <t>C00008 | C00345</t>
  </si>
  <si>
    <t>https://www.genome.jp/entry/2.7.1.121</t>
  </si>
  <si>
    <t>https://www.genome.jp/entry/R01012</t>
  </si>
  <si>
    <t>https://www.genome.jp/entry/2.7.1.144</t>
  </si>
  <si>
    <t>https://www.genome.jp/entry/2.7.1.148</t>
  </si>
  <si>
    <t>https://www.genome.jp/entry/R05634</t>
  </si>
  <si>
    <t>C11436 | C00008</t>
  </si>
  <si>
    <t>2.7.1.15</t>
  </si>
  <si>
    <t>https://www.genome.jp/entry/2.7.1.15</t>
  </si>
  <si>
    <t>https://www.genome.jp/entry/R01051</t>
  </si>
  <si>
    <t>https://www.genome.jp/entry/R02750</t>
  </si>
  <si>
    <t>https://www.genome.jp/entry/2.7.1.17</t>
  </si>
  <si>
    <t>https://www.genome.jp/entry/R01639</t>
  </si>
  <si>
    <t>2.7.1.197</t>
  </si>
  <si>
    <t>https://www.genome.jp/entry/2.7.1.197</t>
  </si>
  <si>
    <t>https://www.genome.jp/entry/R02704</t>
  </si>
  <si>
    <t>C00002 | C00864</t>
  </si>
  <si>
    <t>2.7.4.7</t>
  </si>
  <si>
    <t>2.7.6.2</t>
  </si>
  <si>
    <t>2.7.7.2</t>
  </si>
  <si>
    <t>2.7.7.23</t>
  </si>
  <si>
    <t>2.7.7.85</t>
  </si>
  <si>
    <t>2.8.3.10</t>
  </si>
  <si>
    <t>3.1.26.3</t>
  </si>
  <si>
    <t>3.5.4.10</t>
  </si>
  <si>
    <t>3.5.4.9</t>
  </si>
  <si>
    <t>3.6.1.11</t>
  </si>
  <si>
    <t>4.2.1.59</t>
  </si>
  <si>
    <t>C00041</t>
  </si>
  <si>
    <t>5.3.2.6</t>
  </si>
  <si>
    <t>6.1.1.19</t>
  </si>
  <si>
    <t>ammonia-dependent NAD(|) synthetase</t>
  </si>
  <si>
    <t>gluconate:H| symporter</t>
  </si>
  <si>
    <t>phosphogluconate dehydrogenase (NAD(|)-dependent, decarboxylating)</t>
  </si>
  <si>
    <t>ClC family H(|)/Cl(-) exchange transporter</t>
  </si>
  <si>
    <r>
      <rPr>
        <u/>
        <sz val="11"/>
        <color rgb="FF1155CC"/>
        <rFont val="Arial"/>
        <family val="2"/>
      </rPr>
      <t>C0022</t>
    </r>
    <r>
      <rPr>
        <sz val="11"/>
        <rFont val="Arial"/>
        <family val="2"/>
      </rPr>
      <t xml:space="preserve">6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</si>
  <si>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C00071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</si>
  <si>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C0046</t>
    </r>
    <r>
      <rPr>
        <sz val="11"/>
        <rFont val="Arial"/>
        <family val="2"/>
      </rPr>
      <t xml:space="preserve">9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</si>
  <si>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C00084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</si>
  <si>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C0047</t>
    </r>
    <r>
      <rPr>
        <sz val="11"/>
        <rFont val="Arial"/>
        <family val="2"/>
      </rPr>
      <t xml:space="preserve">3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</si>
  <si>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</si>
  <si>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C0075</t>
    </r>
    <r>
      <rPr>
        <sz val="11"/>
        <rFont val="Arial"/>
        <family val="2"/>
      </rPr>
      <t xml:space="preserve">6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</si>
  <si>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C01545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</si>
  <si>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C05444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</si>
  <si>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C05445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</si>
  <si>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C05576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</si>
  <si>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C05577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</si>
  <si>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C06611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</si>
  <si>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C06613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</si>
  <si>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C0661</t>
    </r>
    <r>
      <rPr>
        <sz val="11"/>
        <rFont val="Arial"/>
        <family val="2"/>
      </rPr>
      <t xml:space="preserve">2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</si>
  <si>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C16348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</si>
  <si>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C1408</t>
    </r>
    <r>
      <rPr>
        <sz val="11"/>
        <rFont val="Arial"/>
        <family val="2"/>
      </rPr>
      <t xml:space="preserve">9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</si>
  <si>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C14090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</si>
  <si>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C02909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</si>
  <si>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</si>
  <si>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C07645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</si>
  <si>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</si>
  <si>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C16586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</si>
  <si>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C16587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</si>
  <si>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</si>
  <si>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</si>
  <si>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</si>
  <si>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</si>
  <si>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</si>
  <si>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C08492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</si>
  <si>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C01612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</si>
  <si>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C01450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</si>
  <si>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</si>
  <si>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C16596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</si>
  <si>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</si>
  <si>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C00772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</si>
  <si>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C06899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</si>
  <si>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C07490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</si>
  <si>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C01271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</si>
  <si>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</si>
  <si>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</si>
  <si>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</si>
  <si>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</si>
  <si>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</si>
  <si>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C04620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</si>
  <si>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</si>
  <si>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C04633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</si>
  <si>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</si>
  <si>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C04688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</si>
  <si>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</si>
  <si>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</si>
  <si>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</si>
  <si>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</si>
  <si>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</si>
  <si>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C16220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</si>
  <si>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</si>
  <si>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</si>
  <si>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</si>
  <si>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</si>
  <si>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</si>
  <si>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C00966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</si>
  <si>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</si>
  <si>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</si>
  <si>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</si>
  <si>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C05345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</si>
  <si>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1.1.1.17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</si>
  <si>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</si>
  <si>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</si>
  <si>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1.1.1.17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</si>
  <si>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</si>
  <si>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C05345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</si>
  <si>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1.1.1.18</t>
    </r>
  </si>
  <si>
    <r>
      <rPr>
        <u/>
        <sz val="11"/>
        <color rgb="FF1155CC"/>
        <rFont val="Arial"/>
        <family val="2"/>
      </rPr>
      <t>C0013</t>
    </r>
    <r>
      <rPr>
        <sz val="11"/>
        <rFont val="Arial"/>
        <family val="2"/>
      </rPr>
      <t xml:space="preserve">7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</si>
  <si>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C00691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</si>
  <si>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1.1.1.205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</si>
  <si>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</si>
  <si>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</si>
  <si>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1.1.1.205</t>
    </r>
  </si>
  <si>
    <r>
      <rPr>
        <u/>
        <sz val="11"/>
        <color rgb="FF1155CC"/>
        <rFont val="Arial"/>
        <family val="2"/>
      </rPr>
      <t>C04646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</si>
  <si>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C16618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</si>
  <si>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</si>
  <si>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</si>
  <si>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</si>
  <si>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</si>
  <si>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</si>
  <si>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</si>
  <si>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</si>
  <si>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</si>
  <si>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</si>
  <si>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C22438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</si>
  <si>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1.1.1.25</t>
    </r>
  </si>
  <si>
    <r>
      <rPr>
        <u/>
        <sz val="11"/>
        <color rgb="FF1155CC"/>
        <rFont val="Arial"/>
        <family val="2"/>
      </rPr>
      <t>C00493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</si>
  <si>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</si>
  <si>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1.1.1.25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</si>
  <si>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</si>
  <si>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C22438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</si>
  <si>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1.1.1.262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</si>
  <si>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</si>
  <si>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C07335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</si>
  <si>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1.1.1.262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</si>
  <si>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</si>
  <si>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</si>
  <si>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1.1.1.262</t>
    </r>
  </si>
  <si>
    <r>
      <rPr>
        <u/>
        <sz val="10"/>
        <color rgb="FF1155CC"/>
        <rFont val="Arial"/>
        <family val="2"/>
      </rPr>
      <t>C07335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</si>
  <si>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</si>
  <si>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C00186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</si>
  <si>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</si>
  <si>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C05984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</si>
  <si>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</si>
  <si>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C05823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</si>
  <si>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C00957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</si>
  <si>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1.1.1.27</t>
    </r>
  </si>
  <si>
    <r>
      <rPr>
        <u/>
        <sz val="11"/>
        <color rgb="FF1155CC"/>
        <rFont val="Arial"/>
        <family val="2"/>
      </rPr>
      <t>C00186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</si>
  <si>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</si>
  <si>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1.1.1.27</t>
    </r>
  </si>
  <si>
    <r>
      <rPr>
        <u/>
        <sz val="11"/>
        <color rgb="FF1155CC"/>
        <rFont val="Arial"/>
        <family val="2"/>
      </rPr>
      <t>C05984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</si>
  <si>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</si>
  <si>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1.1.1.27</t>
    </r>
  </si>
  <si>
    <r>
      <rPr>
        <u/>
        <sz val="11"/>
        <color rgb="FF1155CC"/>
        <rFont val="Arial"/>
        <family val="2"/>
      </rPr>
      <t>C05823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</si>
  <si>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C00957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</si>
  <si>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</si>
  <si>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</si>
  <si>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</si>
  <si>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</si>
  <si>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</si>
  <si>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</si>
  <si>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</si>
  <si>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</si>
  <si>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C01172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</si>
  <si>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</si>
  <si>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</si>
  <si>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</si>
  <si>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</si>
  <si>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</si>
  <si>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</si>
  <si>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</si>
  <si>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1.11.1.26</t>
    </r>
  </si>
  <si>
    <r>
      <rPr>
        <u/>
        <sz val="10"/>
        <color rgb="FF1155CC"/>
        <rFont val="monospace, serif"/>
      </rPr>
      <t>1.15.1.1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</si>
  <si>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C00704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</si>
  <si>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</si>
  <si>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0"/>
        <color rgb="FF1155CC"/>
        <rFont val="monospace, serif"/>
      </rPr>
      <t>1.17.1.8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</si>
  <si>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</si>
  <si>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</si>
  <si>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1.17.1.8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</si>
  <si>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</si>
  <si>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</si>
  <si>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</si>
  <si>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</si>
  <si>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</si>
  <si>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</si>
  <si>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</si>
  <si>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</si>
  <si>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</si>
  <si>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</si>
  <si>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</si>
  <si>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</si>
  <si>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</si>
  <si>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</si>
  <si>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</si>
  <si>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</si>
  <si>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</si>
  <si>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</si>
  <si>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</si>
  <si>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C16663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</si>
  <si>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</si>
  <si>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</si>
  <si>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C02090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</si>
  <si>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</si>
  <si>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</si>
  <si>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</si>
  <si>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</si>
  <si>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</si>
  <si>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</si>
  <si>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</si>
  <si>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</si>
  <si>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</si>
  <si>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</si>
  <si>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</si>
  <si>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</si>
  <si>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C00112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</si>
  <si>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</si>
  <si>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C16663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</si>
  <si>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</si>
  <si>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C02090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</si>
  <si>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</si>
  <si>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</si>
  <si>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</si>
  <si>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</si>
  <si>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</si>
  <si>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</si>
  <si>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</si>
  <si>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</si>
  <si>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</si>
  <si>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</si>
  <si>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</si>
  <si>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</si>
  <si>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</si>
  <si>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</si>
  <si>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</si>
  <si>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</si>
  <si>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</si>
  <si>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</si>
  <si>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</si>
  <si>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C16663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</si>
  <si>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</si>
  <si>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</si>
  <si>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C02090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</si>
  <si>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</si>
  <si>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</si>
  <si>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</si>
  <si>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</si>
  <si>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</si>
  <si>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</si>
  <si>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</si>
  <si>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</si>
  <si>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</si>
  <si>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</si>
  <si>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</si>
  <si>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</si>
  <si>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</si>
  <si>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</si>
  <si>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</si>
  <si>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</si>
  <si>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</si>
  <si>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</si>
  <si>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</si>
  <si>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</si>
  <si>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C16663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</si>
  <si>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</si>
  <si>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</si>
  <si>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C02090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</si>
  <si>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</si>
  <si>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</si>
  <si>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</si>
  <si>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</si>
  <si>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C00677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</si>
  <si>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</si>
  <si>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</si>
  <si>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C00131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</si>
  <si>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</si>
  <si>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</si>
  <si>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C0028</t>
    </r>
    <r>
      <rPr>
        <sz val="11"/>
        <rFont val="Arial"/>
        <family val="2"/>
      </rPr>
      <t xml:space="preserve">6 | </t>
    </r>
    <r>
      <rPr>
        <u/>
        <sz val="11"/>
        <color rgb="FF1155CC"/>
        <rFont val="Arial"/>
        <family val="2"/>
      </rPr>
      <t>C00343</t>
    </r>
    <r>
      <rPr>
        <sz val="11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</si>
  <si>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</si>
  <si>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</si>
  <si>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C00458|</t>
    </r>
    <r>
      <rPr>
        <sz val="11"/>
        <color rgb="FF000000"/>
        <rFont val="Arial"/>
        <family val="2"/>
      </rPr>
      <t xml:space="preserve">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</si>
  <si>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</si>
  <si>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</si>
  <si>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C00460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</si>
  <si>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</si>
  <si>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</si>
  <si>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C00677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</si>
  <si>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</si>
  <si>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</si>
  <si>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C00131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</si>
  <si>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</si>
  <si>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</si>
  <si>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C0028</t>
    </r>
    <r>
      <rPr>
        <sz val="11"/>
        <rFont val="Arial"/>
        <family val="2"/>
      </rPr>
      <t xml:space="preserve">6 | </t>
    </r>
    <r>
      <rPr>
        <u/>
        <sz val="11"/>
        <color rgb="FF1155CC"/>
        <rFont val="Arial"/>
        <family val="2"/>
      </rPr>
      <t>C00343</t>
    </r>
    <r>
      <rPr>
        <sz val="11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</si>
  <si>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</si>
  <si>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</si>
  <si>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C00458|</t>
    </r>
    <r>
      <rPr>
        <sz val="11"/>
        <color rgb="FF000000"/>
        <rFont val="Arial"/>
        <family val="2"/>
      </rPr>
      <t xml:space="preserve">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</si>
  <si>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</si>
  <si>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</si>
  <si>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C00460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</si>
  <si>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</si>
  <si>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1.17.99.6</t>
    </r>
  </si>
  <si>
    <r>
      <rPr>
        <u/>
        <sz val="11"/>
        <color rgb="FF1155CC"/>
        <rFont val="Arial"/>
        <family val="2"/>
      </rPr>
      <t>C01978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</si>
  <si>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C19647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</si>
  <si>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</si>
  <si>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C01412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</si>
  <si>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C00136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</si>
  <si>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1.2.1.11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</si>
  <si>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</si>
  <si>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C03082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</si>
  <si>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1.2.1.41</t>
    </r>
  </si>
  <si>
    <r>
      <rPr>
        <u/>
        <sz val="11"/>
        <color rgb="FF1155CC"/>
        <rFont val="Arial"/>
        <family val="2"/>
      </rPr>
      <t>C01165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</si>
  <si>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C03287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</si>
  <si>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1.2.3.3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</si>
  <si>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</si>
  <si>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</si>
  <si>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1.2.3.3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</si>
  <si>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</si>
  <si>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</si>
  <si>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1.2.3.3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</si>
  <si>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</si>
  <si>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</si>
  <si>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1.20.4.4</t>
    </r>
  </si>
  <si>
    <r>
      <rPr>
        <u/>
        <sz val="11"/>
        <color rgb="FF1155CC"/>
        <rFont val="Arial"/>
        <family val="2"/>
      </rPr>
      <t>C11215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</si>
  <si>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C06697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</si>
  <si>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monospace, serif"/>
      </rPr>
      <t>1.3.1.14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</si>
  <si>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</si>
  <si>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</si>
  <si>
    <r>
      <rPr>
        <u/>
        <sz val="10"/>
        <color rgb="FF1155CC"/>
        <rFont val="monospace, serif"/>
      </rPr>
      <t>1.3.1.95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</si>
  <si>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</si>
  <si>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C00894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</si>
  <si>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1.3.1.98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</si>
  <si>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</si>
  <si>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</si>
  <si>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1.3.1.98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</si>
  <si>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</si>
  <si>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</si>
  <si>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1.3.98.1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</si>
  <si>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C00122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</si>
  <si>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C00042</t>
    </r>
  </si>
  <si>
    <r>
      <rPr>
        <u/>
        <sz val="10"/>
        <color rgb="FF1155CC"/>
        <rFont val="monospace, serif"/>
      </rPr>
      <t>1.4.1.13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</si>
  <si>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</si>
  <si>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</si>
  <si>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1.4.1.13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</si>
  <si>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</si>
  <si>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</si>
  <si>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1.4.1.13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</si>
  <si>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</si>
  <si>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</si>
  <si>
    <r>
      <rPr>
        <u/>
        <sz val="10"/>
        <color rgb="FF1155CC"/>
        <rFont val="monospace, serif"/>
      </rPr>
      <t>1.4.1.4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</si>
  <si>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</si>
  <si>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</si>
  <si>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1.4.1.4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</si>
  <si>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</si>
  <si>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</si>
  <si>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1.4.1.4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</si>
  <si>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</si>
  <si>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</si>
  <si>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</si>
  <si>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</si>
  <si>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C00627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</si>
  <si>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C00018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</si>
  <si>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</si>
  <si>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C00314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</si>
  <si>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C00027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</si>
  <si>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</si>
  <si>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C0014</t>
    </r>
    <r>
      <rPr>
        <sz val="11"/>
        <rFont val="Arial"/>
        <family val="2"/>
      </rPr>
      <t xml:space="preserve">8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</si>
  <si>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</si>
  <si>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</si>
  <si>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C00148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</si>
  <si>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</si>
  <si>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</si>
  <si>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</si>
  <si>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</si>
  <si>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</si>
  <si>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</si>
  <si>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</si>
  <si>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</si>
  <si>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</si>
  <si>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1.5.1.20</t>
    </r>
  </si>
  <si>
    <r>
      <rPr>
        <u/>
        <sz val="11"/>
        <color rgb="FF1155CC"/>
        <rFont val="Arial"/>
        <family val="2"/>
      </rPr>
      <t>C00440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</si>
  <si>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</si>
  <si>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</si>
  <si>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</si>
  <si>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</si>
  <si>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</si>
  <si>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</si>
  <si>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</si>
  <si>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</si>
  <si>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</si>
  <si>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</si>
  <si>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</si>
  <si>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</si>
  <si>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</si>
  <si>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</si>
  <si>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</si>
  <si>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</si>
  <si>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</si>
  <si>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</si>
  <si>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</si>
  <si>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</si>
  <si>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C00272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</si>
  <si>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C02953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</si>
  <si>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1.5.1.5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</si>
  <si>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</si>
  <si>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</si>
  <si>
    <r>
      <rPr>
        <u/>
        <sz val="10"/>
        <color rgb="FF1155CC"/>
        <rFont val="monospace, serif"/>
      </rPr>
      <t>1.7.1.7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</si>
  <si>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</si>
  <si>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</si>
  <si>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C16832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</si>
  <si>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C16237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</si>
  <si>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</si>
  <si>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C02051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</si>
  <si>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C15973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</si>
  <si>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C15972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</si>
  <si>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C00579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</si>
  <si>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</si>
  <si>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1.8.1.4</t>
    </r>
  </si>
  <si>
    <r>
      <rPr>
        <u/>
        <sz val="11"/>
        <color rgb="FF1155CC"/>
        <rFont val="Arial"/>
        <family val="2"/>
      </rPr>
      <t>C16832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</si>
  <si>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C16237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</si>
  <si>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1.8.1.4</t>
    </r>
  </si>
  <si>
    <r>
      <rPr>
        <u/>
        <sz val="11"/>
        <color rgb="FF1155CC"/>
        <rFont val="Arial"/>
        <family val="2"/>
      </rPr>
      <t>C02972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</si>
  <si>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C02051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</si>
  <si>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1.8.1.4</t>
    </r>
  </si>
  <si>
    <r>
      <rPr>
        <u/>
        <sz val="11"/>
        <color rgb="FF1155CC"/>
        <rFont val="Arial"/>
        <family val="2"/>
      </rPr>
      <t>C15973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</si>
  <si>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C15972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</si>
  <si>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1.8.1.4</t>
    </r>
  </si>
  <si>
    <r>
      <rPr>
        <u/>
        <sz val="11"/>
        <color rgb="FF1155CC"/>
        <rFont val="Arial"/>
        <family val="2"/>
      </rPr>
      <t>C00579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</si>
  <si>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C00248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</si>
  <si>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1.8.1.9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</si>
  <si>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</si>
  <si>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</si>
  <si>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1.8.1.9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</si>
  <si>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</si>
  <si>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C05526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C00005</t>
    </r>
  </si>
  <si>
    <r>
      <rPr>
        <u/>
        <sz val="10"/>
        <color rgb="FF1155CC"/>
        <rFont val="monospace, serif"/>
      </rPr>
      <t>1.8.1.9</t>
    </r>
  </si>
  <si>
    <r>
      <rPr>
        <u/>
        <sz val="11"/>
        <color rgb="FF1155CC"/>
        <rFont val="Arial"/>
        <family val="2"/>
      </rPr>
      <t>C01528</t>
    </r>
    <r>
      <rPr>
        <sz val="11"/>
        <color rgb="FF000000"/>
        <rFont val="Arial"/>
        <family val="2"/>
      </rPr>
      <t xml:space="preserve"> | 3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| 3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</si>
  <si>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C05684</t>
    </r>
    <r>
      <rPr>
        <sz val="11"/>
        <color rgb="FF000000"/>
        <rFont val="Arial"/>
        <family val="2"/>
      </rPr>
      <t xml:space="preserve"> | 3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5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</si>
  <si>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1.8.1.9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</si>
  <si>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C18902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</si>
  <si>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| 2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C05703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</si>
  <si>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</si>
  <si>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</si>
  <si>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</si>
  <si>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</si>
  <si>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</si>
  <si>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C15999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</si>
  <si>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</si>
  <si>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</si>
  <si>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</si>
  <si>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</si>
  <si>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</si>
  <si>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C15999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</si>
  <si>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1.8.4.12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</si>
  <si>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</si>
  <si>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C15653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</si>
  <si>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1.97.1.4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</si>
  <si>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C05196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C05197</t>
    </r>
  </si>
  <si>
    <r>
      <rPr>
        <u/>
        <sz val="11"/>
        <color rgb="FF1155CC"/>
        <rFont val="Arial"/>
        <family val="2"/>
      </rPr>
      <t>C05198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C05199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C05312</t>
    </r>
  </si>
  <si>
    <r>
      <rPr>
        <u/>
        <sz val="10"/>
        <color rgb="FF1155CC"/>
        <rFont val="monospace, serif"/>
      </rPr>
      <t>2.1.1.14</t>
    </r>
  </si>
  <si>
    <r>
      <rPr>
        <u/>
        <sz val="11"/>
        <color rgb="FF1155CC"/>
        <rFont val="Arial"/>
        <family val="2"/>
      </rPr>
      <t>C04489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C00155</t>
    </r>
  </si>
  <si>
    <r>
      <rPr>
        <u/>
        <sz val="11"/>
        <color rgb="FF1155CC"/>
        <rFont val="Arial"/>
        <family val="2"/>
      </rPr>
      <t>C04144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C00073</t>
    </r>
  </si>
  <si>
    <r>
      <rPr>
        <u/>
        <sz val="10"/>
        <color rgb="FF1155CC"/>
        <rFont val="monospace, serif"/>
      </rPr>
      <t>2.1.1.14</t>
    </r>
  </si>
  <si>
    <r>
      <rPr>
        <u/>
        <sz val="11"/>
        <color rgb="FF1155CC"/>
        <rFont val="Arial"/>
        <family val="2"/>
      </rPr>
      <t>C05698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C04489</t>
    </r>
  </si>
  <si>
    <r>
      <rPr>
        <u/>
        <sz val="11"/>
        <color rgb="FF1155CC"/>
        <rFont val="Arial"/>
        <family val="2"/>
      </rPr>
      <t>C05335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C04144</t>
    </r>
  </si>
  <si>
    <r>
      <rPr>
        <u/>
        <sz val="10"/>
        <color rgb="FF1155CC"/>
        <rFont val="monospace, serif"/>
      </rPr>
      <t>2.1.1.170</t>
    </r>
  </si>
  <si>
    <r>
      <rPr>
        <u/>
        <sz val="10"/>
        <color rgb="FF1155CC"/>
        <rFont val="monospace, serif"/>
      </rPr>
      <t>2.1.1.171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</si>
  <si>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</si>
  <si>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C04153</t>
    </r>
  </si>
  <si>
    <r>
      <rPr>
        <u/>
        <sz val="10"/>
        <color rgb="FF1155CC"/>
        <rFont val="monospace, serif"/>
      </rPr>
      <t>2.1.1.172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</si>
  <si>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</si>
  <si>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C04153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</si>
  <si>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</si>
  <si>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C04153</t>
    </r>
  </si>
  <si>
    <r>
      <rPr>
        <u/>
        <sz val="10"/>
        <color rgb="FF1155CC"/>
        <rFont val="monospace, serif"/>
      </rPr>
      <t>2.1.1.176</t>
    </r>
  </si>
  <si>
    <r>
      <rPr>
        <u/>
        <sz val="10"/>
        <color rgb="FF1155CC"/>
        <rFont val="monospace, serif"/>
      </rPr>
      <t>2.1.1.177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</si>
  <si>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</si>
  <si>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</si>
  <si>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2.1.1.182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</si>
  <si>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C20648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</si>
  <si>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C20796</t>
    </r>
  </si>
  <si>
    <r>
      <rPr>
        <u/>
        <sz val="10"/>
        <color rgb="FF1155CC"/>
        <rFont val="monospace, serif"/>
      </rPr>
      <t>2.1.1.190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</si>
  <si>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</si>
  <si>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</si>
  <si>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2.1.1.190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</si>
  <si>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</si>
  <si>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</si>
  <si>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2.1.1.198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</si>
  <si>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</si>
  <si>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</si>
  <si>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2.1.1.199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</si>
  <si>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</si>
  <si>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</si>
  <si>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2.1.1.207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</si>
  <si>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</si>
  <si>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</si>
  <si>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</si>
  <si>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</si>
  <si>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</si>
  <si>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</si>
  <si>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</si>
  <si>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</si>
  <si>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</si>
  <si>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</si>
  <si>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</si>
  <si>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</si>
  <si>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</si>
  <si>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</si>
  <si>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</si>
  <si>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</si>
  <si>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</si>
  <si>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</si>
  <si>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</si>
  <si>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</si>
  <si>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2.1.1.223</t>
    </r>
  </si>
  <si>
    <r>
      <rPr>
        <u/>
        <sz val="10"/>
        <color rgb="FF1155CC"/>
        <rFont val="Arial"/>
        <family val="2"/>
      </rPr>
      <t>C00019</t>
    </r>
  </si>
  <si>
    <r>
      <rPr>
        <u/>
        <sz val="10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</si>
  <si>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2.1.1.228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</si>
  <si>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</si>
  <si>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C04157</t>
    </r>
  </si>
  <si>
    <r>
      <rPr>
        <u/>
        <sz val="10"/>
        <color rgb="FF1155CC"/>
        <rFont val="monospace, serif"/>
      </rPr>
      <t>2.1.1.297</t>
    </r>
  </si>
  <si>
    <r>
      <rPr>
        <u/>
        <sz val="11"/>
        <color rgb="FF1155CC"/>
        <rFont val="Arial"/>
        <family val="2"/>
      </rPr>
      <t>C02583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</si>
  <si>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C20858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</si>
  <si>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</si>
  <si>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C04160</t>
    </r>
  </si>
  <si>
    <r>
      <rPr>
        <u/>
        <sz val="10"/>
        <color rgb="FF1155CC"/>
        <rFont val="monospace, serif"/>
      </rPr>
      <t>2.1.1.45</t>
    </r>
  </si>
  <si>
    <r>
      <rPr>
        <u/>
        <sz val="11"/>
        <color rgb="FF1155CC"/>
        <rFont val="Arial"/>
        <family val="2"/>
      </rPr>
      <t>C00365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C00143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</si>
  <si>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C00364</t>
    </r>
  </si>
  <si>
    <r>
      <rPr>
        <u/>
        <sz val="10"/>
        <color rgb="FF1155CC"/>
        <rFont val="monospace, serif"/>
      </rPr>
      <t>2.1.1.63</t>
    </r>
  </si>
  <si>
    <r>
      <rPr>
        <u/>
        <sz val="11"/>
        <color rgb="FF1155CC"/>
        <rFont val="Arial"/>
        <family val="2"/>
      </rPr>
      <t>C04250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C02743</t>
    </r>
  </si>
  <si>
    <r>
      <rPr>
        <u/>
        <sz val="11"/>
        <color rgb="FF1155CC"/>
        <rFont val="Arial"/>
        <family val="2"/>
      </rPr>
      <t>C03800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C11475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</si>
  <si>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</si>
  <si>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</si>
  <si>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</si>
  <si>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</si>
  <si>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</si>
  <si>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</si>
  <si>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</si>
  <si>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</si>
  <si>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</si>
  <si>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</si>
  <si>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</si>
  <si>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</si>
  <si>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2.1.1.72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</si>
  <si>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C00821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</si>
  <si>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C03391</t>
    </r>
  </si>
  <si>
    <r>
      <rPr>
        <u/>
        <sz val="10"/>
        <color rgb="FF1155CC"/>
        <rFont val="monospace, serif"/>
      </rPr>
      <t>2.1.2.1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</si>
  <si>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</si>
  <si>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C00065</t>
    </r>
  </si>
  <si>
    <r>
      <rPr>
        <u/>
        <sz val="10"/>
        <color rgb="FF1155CC"/>
        <rFont val="monospace, serif"/>
      </rPr>
      <t>2.1.2.1</t>
    </r>
  </si>
  <si>
    <r>
      <rPr>
        <u/>
        <sz val="11"/>
        <color rgb="FF1155CC"/>
        <rFont val="Arial"/>
        <family val="2"/>
      </rPr>
      <t>C00065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C01217</t>
    </r>
  </si>
  <si>
    <r>
      <rPr>
        <u/>
        <sz val="11"/>
        <color rgb="FF1155CC"/>
        <rFont val="Arial"/>
        <family val="2"/>
      </rPr>
      <t>C04377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</si>
  <si>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monospace, serif"/>
      </rPr>
      <t>2.1.2.2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</si>
  <si>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C03838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</si>
  <si>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C04376</t>
    </r>
  </si>
  <si>
    <r>
      <rPr>
        <u/>
        <sz val="10"/>
        <color rgb="FF1155CC"/>
        <rFont val="monospace, serif"/>
      </rPr>
      <t>2.1.2.2</t>
    </r>
  </si>
  <si>
    <r>
      <rPr>
        <u/>
        <sz val="11"/>
        <color rgb="FF1155CC"/>
        <rFont val="Arial"/>
        <family val="2"/>
      </rPr>
      <t>C03838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</si>
  <si>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C04376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C00101</t>
    </r>
  </si>
  <si>
    <r>
      <rPr>
        <u/>
        <sz val="10"/>
        <color rgb="FF1155CC"/>
        <rFont val="monospace, serif"/>
      </rPr>
      <t>2.1.2.3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</si>
  <si>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C04677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</si>
  <si>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C04734</t>
    </r>
  </si>
  <si>
    <r>
      <rPr>
        <u/>
        <sz val="10"/>
        <color rgb="FF1155CC"/>
        <rFont val="monospace, serif"/>
      </rPr>
      <t>2.1.2.9</t>
    </r>
  </si>
  <si>
    <r>
      <rPr>
        <u/>
        <sz val="11"/>
        <color rgb="FF1155CC"/>
        <rFont val="Arial"/>
        <family val="2"/>
      </rPr>
      <t>C02430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C00234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</si>
  <si>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C03294</t>
    </r>
  </si>
  <si>
    <r>
      <rPr>
        <u/>
        <sz val="10"/>
        <color rgb="FF1155CC"/>
        <rFont val="monospace, serif"/>
      </rPr>
      <t>2.1.3.2</t>
    </r>
  </si>
  <si>
    <r>
      <rPr>
        <u/>
        <sz val="11"/>
        <color rgb="FF1155CC"/>
        <rFont val="Arial"/>
        <family val="2"/>
      </rPr>
      <t>C00169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</si>
  <si>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</si>
  <si>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</rPr>
      <t>C05382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C00118</t>
    </r>
  </si>
  <si>
    <r>
      <rPr>
        <u/>
        <sz val="11"/>
        <color rgb="FF1155CC"/>
        <rFont val="Arial"/>
        <family val="2"/>
      </rPr>
      <t>C00279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</si>
  <si>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</si>
  <si>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</si>
  <si>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</si>
  <si>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</si>
  <si>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</si>
  <si>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</si>
  <si>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</si>
  <si>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</si>
  <si>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</si>
  <si>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</si>
  <si>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</si>
  <si>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</si>
  <si>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</si>
  <si>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</si>
  <si>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</si>
  <si>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</si>
  <si>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C05125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</si>
  <si>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C00068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</si>
  <si>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</si>
  <si>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C00109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</si>
  <si>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</si>
  <si>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</si>
  <si>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C00040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</si>
  <si>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</si>
  <si>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</si>
  <si>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C00605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</si>
  <si>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C00681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</si>
  <si>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</si>
  <si>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</si>
  <si>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</si>
  <si>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2.3.1.157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</si>
  <si>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C06156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</si>
  <si>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C04501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</si>
  <si>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</si>
  <si>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C00040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</si>
  <si>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C00264</t>
    </r>
  </si>
  <si>
    <r>
      <rPr>
        <u/>
        <sz val="10"/>
        <color rgb="FF1155CC"/>
        <rFont val="monospace, serif"/>
      </rPr>
      <t>2.3.1.16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</si>
  <si>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</si>
  <si>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C00332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</si>
  <si>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</si>
  <si>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C00091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</si>
  <si>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C02232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</si>
  <si>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</si>
  <si>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</si>
  <si>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C03344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</si>
  <si>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</si>
  <si>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C00136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</si>
  <si>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C05269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</si>
  <si>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</si>
  <si>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C01944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</si>
  <si>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C05265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</si>
  <si>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</si>
  <si>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C01832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</si>
  <si>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C05261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</si>
  <si>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</si>
  <si>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C02593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</si>
  <si>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C05259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</si>
  <si>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</si>
  <si>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C05274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</si>
  <si>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C05263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</si>
  <si>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</si>
  <si>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C05270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</si>
  <si>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C05267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</si>
  <si>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</si>
  <si>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C07118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</si>
  <si>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C00512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</si>
  <si>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</si>
  <si>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C06715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</si>
  <si>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C00527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</si>
  <si>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</si>
  <si>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</si>
  <si>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C16330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</si>
  <si>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</si>
  <si>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</si>
  <si>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C16334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</si>
  <si>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</si>
  <si>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</si>
  <si>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C16338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</si>
  <si>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</si>
  <si>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C16169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</si>
  <si>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C16376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</si>
  <si>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</si>
  <si>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C16173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</si>
  <si>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C16389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</si>
  <si>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</si>
  <si>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C16466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</si>
  <si>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C16470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</si>
  <si>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</si>
  <si>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C16471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</si>
  <si>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C03069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</si>
  <si>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</si>
  <si>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C23016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</si>
  <si>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</si>
  <si>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</si>
  <si>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</si>
  <si>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C23007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</si>
  <si>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</si>
  <si>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C23021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</si>
  <si>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</si>
  <si>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</si>
  <si>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</si>
  <si>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C21906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C00100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</si>
  <si>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</si>
  <si>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</si>
  <si>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</si>
  <si>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</si>
  <si>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C03939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</si>
  <si>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</si>
  <si>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</si>
  <si>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</si>
  <si>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</si>
  <si>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</si>
  <si>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</si>
  <si>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</si>
  <si>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C05749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</si>
  <si>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</si>
  <si>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</si>
  <si>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</si>
  <si>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</si>
  <si>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</si>
  <si>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</si>
  <si>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</si>
  <si>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</si>
  <si>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</si>
  <si>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</si>
  <si>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</si>
  <si>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</si>
  <si>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C16219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</si>
  <si>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</si>
  <si>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C19673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</si>
  <si>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</si>
  <si>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</si>
  <si>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C20375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</si>
  <si>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</si>
  <si>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2.3.1.180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</si>
  <si>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</si>
  <si>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</si>
  <si>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2.3.1.234</t>
    </r>
  </si>
  <si>
    <r>
      <rPr>
        <u/>
        <sz val="11"/>
        <color rgb="FF1155CC"/>
        <rFont val="Arial"/>
        <family val="2"/>
      </rPr>
      <t>C20641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</si>
  <si>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C20751</t>
    </r>
  </si>
  <si>
    <r>
      <rPr>
        <u/>
        <sz val="10"/>
        <color rgb="FF1155CC"/>
        <rFont val="monospace, serif"/>
      </rPr>
      <t>2.3.1.234</t>
    </r>
  </si>
  <si>
    <r>
      <rPr>
        <u/>
        <sz val="11"/>
        <color rgb="FF1155CC"/>
        <rFont val="Arial"/>
        <family val="2"/>
      </rPr>
      <t>C20641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</si>
  <si>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C20751</t>
    </r>
  </si>
  <si>
    <r>
      <rPr>
        <u/>
        <sz val="10"/>
        <color rgb="FF1155CC"/>
        <rFont val="monospace, serif"/>
      </rPr>
      <t>2.3.1.266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</si>
  <si>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C03803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</si>
  <si>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C04341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</si>
  <si>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</si>
  <si>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C02133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</si>
  <si>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2.3.1.286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</si>
  <si>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C20743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</si>
  <si>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C02188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</si>
  <si>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2.3.1.286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</si>
  <si>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C01997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</si>
  <si>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C02415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</si>
  <si>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2.3.1.39</t>
    </r>
  </si>
  <si>
    <r>
      <rPr>
        <u/>
        <sz val="11"/>
        <color rgb="FF1155CC"/>
        <rFont val="Arial"/>
        <family val="2"/>
      </rPr>
      <t>C00083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</si>
  <si>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C01209</t>
    </r>
  </si>
  <si>
    <r>
      <rPr>
        <u/>
        <sz val="10"/>
        <color rgb="FF1155CC"/>
        <rFont val="monospace, serif"/>
      </rPr>
      <t>2.3.1.54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</si>
  <si>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</si>
  <si>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</si>
  <si>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2.3.1.54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</si>
  <si>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</si>
  <si>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C00058</t>
    </r>
  </si>
  <si>
    <r>
      <rPr>
        <u/>
        <sz val="10"/>
        <color rgb="FF1155CC"/>
        <rFont val="monospace, serif"/>
      </rPr>
      <t>2.3.1.8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</si>
  <si>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</si>
  <si>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C00227</t>
    </r>
  </si>
  <si>
    <r>
      <rPr>
        <u/>
        <sz val="10"/>
        <color rgb="FF1155CC"/>
        <rFont val="monospace, serif"/>
      </rPr>
      <t>2.3.1.8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</si>
  <si>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</si>
  <si>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C02876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</si>
  <si>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2.3.1.89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</si>
  <si>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</si>
  <si>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C05539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</si>
  <si>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2.3.3.10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</si>
  <si>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</si>
  <si>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C00332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</si>
  <si>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</si>
  <si>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</si>
  <si>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</si>
  <si>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</si>
  <si>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(n)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</si>
  <si>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(n-1) |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</si>
  <si>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</si>
  <si>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C00369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</si>
  <si>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</si>
  <si>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</si>
  <si>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G10545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</si>
  <si>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</si>
  <si>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</si>
  <si>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C00718</t>
    </r>
  </si>
  <si>
    <r>
      <rPr>
        <u/>
        <sz val="10"/>
        <color rgb="FF1155CC"/>
        <rFont val="monospace, serif"/>
      </rPr>
      <t>2.4.1.21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</si>
  <si>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(n|1) | </t>
    </r>
    <r>
      <rPr>
        <u/>
        <sz val="11"/>
        <color rgb="FF1155CC"/>
        <rFont val="Arial"/>
        <family val="2"/>
      </rPr>
      <t>G11113</t>
    </r>
  </si>
  <si>
    <r>
      <rPr>
        <u/>
        <sz val="11"/>
        <color rgb="FF1155CC"/>
        <rFont val="Arial"/>
        <family val="2"/>
      </rPr>
      <t>C05893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</si>
  <si>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G10553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</si>
  <si>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C05898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</si>
  <si>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G10550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</si>
  <si>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C03090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</si>
  <si>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2.4.2.17</t>
    </r>
  </si>
  <si>
    <r>
      <rPr>
        <u/>
        <sz val="11"/>
        <color rgb="FF1155CC"/>
        <rFont val="Arial"/>
        <family val="2"/>
      </rPr>
      <t>C02739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</si>
  <si>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0"/>
        <color rgb="FF1155CC"/>
        <rFont val="monospace, serif"/>
      </rPr>
      <t>2.4.2.18</t>
    </r>
  </si>
  <si>
    <r>
      <rPr>
        <u/>
        <sz val="11"/>
        <color rgb="FF1155CC"/>
        <rFont val="Arial"/>
        <family val="2"/>
      </rPr>
      <t>C04302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</si>
  <si>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</si>
  <si>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C00214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</si>
  <si>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C00178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C00672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</si>
  <si>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</si>
  <si>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C00385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</si>
  <si>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C01977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C16675</t>
    </r>
  </si>
  <si>
    <r>
      <rPr>
        <u/>
        <sz val="11"/>
        <color rgb="FF1155CC"/>
        <rFont val="Arial"/>
        <family val="2"/>
      </rPr>
      <t>C20446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C00242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</si>
  <si>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C00882</t>
    </r>
  </si>
  <si>
    <r>
      <rPr>
        <u/>
        <sz val="11"/>
        <color rgb="FF1155CC"/>
        <rFont val="Arial"/>
        <family val="2"/>
      </rPr>
      <t>C19771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C00147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</si>
  <si>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</si>
  <si>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0"/>
        <color rgb="FF1155CC"/>
        <rFont val="monospace, serif"/>
      </rPr>
      <t>2.4.2.8</t>
    </r>
  </si>
  <si>
    <r>
      <rPr>
        <u/>
        <sz val="11"/>
        <color rgb="FF1155CC"/>
        <rFont val="Arial"/>
        <family val="2"/>
      </rPr>
      <t>C00147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C00119</t>
    </r>
  </si>
  <si>
    <r>
      <rPr>
        <u/>
        <sz val="10"/>
        <color rgb="FF1155CC"/>
        <rFont val="monospace, serif"/>
      </rPr>
      <t>2.4.2.8</t>
    </r>
  </si>
  <si>
    <r>
      <rPr>
        <u/>
        <sz val="11"/>
        <color rgb="FF1155CC"/>
        <rFont val="Arial"/>
        <family val="2"/>
      </rPr>
      <t>C00105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</si>
  <si>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C00119</t>
    </r>
  </si>
  <si>
    <r>
      <rPr>
        <u/>
        <sz val="10"/>
        <color rgb="FF1155CC"/>
        <rFont val="monospace, serif"/>
      </rPr>
      <t>2.4.2.9</t>
    </r>
  </si>
  <si>
    <r>
      <rPr>
        <u/>
        <sz val="11"/>
        <color rgb="FF1155CC"/>
        <rFont val="Arial"/>
        <family val="2"/>
      </rPr>
      <t>C00105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</si>
  <si>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</si>
  <si>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C20446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</si>
  <si>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C19647</t>
    </r>
  </si>
  <si>
    <r>
      <rPr>
        <u/>
        <sz val="11"/>
        <color rgb="FF1155CC"/>
        <rFont val="Arial"/>
        <family val="2"/>
      </rPr>
      <t>C00536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C06508</t>
    </r>
  </si>
  <si>
    <r>
      <rPr>
        <u/>
        <sz val="11"/>
        <color rgb="FF1155CC"/>
        <rFont val="Arial"/>
        <family val="2"/>
      </rPr>
      <t>C04752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C04327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</si>
  <si>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C01081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</si>
  <si>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C01081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</si>
  <si>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</si>
  <si>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C00094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</si>
  <si>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C01005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C00283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</si>
  <si>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</si>
  <si>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C05691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</si>
  <si>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C00043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</si>
  <si>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</si>
  <si>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0"/>
        <color rgb="FF1155CC"/>
        <rFont val="monospace, serif"/>
      </rPr>
      <t>2.5.1.74</t>
    </r>
  </si>
  <si>
    <r>
      <rPr>
        <u/>
        <sz val="11"/>
        <color rgb="FF1155CC"/>
        <rFont val="Arial"/>
        <family val="2"/>
      </rPr>
      <t>C05847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C03657</t>
    </r>
  </si>
  <si>
    <r>
      <rPr>
        <u/>
        <sz val="11"/>
        <color rgb="FF1155CC"/>
        <rFont val="Arial"/>
        <family val="2"/>
      </rPr>
      <t>C19847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</si>
  <si>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2.5.1.74</t>
    </r>
  </si>
  <si>
    <r>
      <rPr>
        <u/>
        <sz val="11"/>
        <color rgb="FF1155CC"/>
        <rFont val="Arial"/>
        <family val="2"/>
      </rPr>
      <t>C05847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C03657</t>
    </r>
  </si>
  <si>
    <r>
      <rPr>
        <u/>
        <sz val="11"/>
        <color rgb="FF1155CC"/>
        <rFont val="Arial"/>
        <family val="2"/>
      </rPr>
      <t>C19847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</si>
  <si>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2.5.1.75</t>
    </r>
  </si>
  <si>
    <r>
      <rPr>
        <u/>
        <sz val="11"/>
        <color rgb="FF1155CC"/>
        <rFont val="Arial"/>
        <family val="2"/>
      </rPr>
      <t>C00235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</si>
  <si>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</si>
  <si>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</si>
  <si>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C01100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C00026</t>
    </r>
  </si>
  <si>
    <r>
      <rPr>
        <u/>
        <sz val="11"/>
        <color rgb="FF1155CC"/>
        <rFont val="Arial"/>
        <family val="2"/>
      </rPr>
      <t>C01267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</si>
  <si>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</si>
  <si>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C00166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</si>
  <si>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2.6.1.9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</si>
  <si>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</si>
  <si>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C01100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C00026</t>
    </r>
  </si>
  <si>
    <r>
      <rPr>
        <u/>
        <sz val="11"/>
        <color rgb="FF1155CC"/>
        <rFont val="Arial"/>
        <family val="2"/>
      </rPr>
      <t>C01267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</si>
  <si>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</si>
  <si>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C00166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</si>
  <si>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</si>
  <si>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C00641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</si>
  <si>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</si>
  <si>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</si>
  <si>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</si>
  <si>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</si>
  <si>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</si>
  <si>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</si>
  <si>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</si>
  <si>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C00104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C00354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</si>
  <si>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</si>
  <si>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C05382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</si>
  <si>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C00447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</si>
  <si>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</si>
  <si>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C01097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C00002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</si>
  <si>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</si>
  <si>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</si>
  <si>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</si>
  <si>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</si>
  <si>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C00081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</si>
  <si>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2.7.1.12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</si>
  <si>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C00257</t>
    </r>
  </si>
  <si>
    <r>
      <rPr>
        <u/>
        <sz val="10"/>
        <color rgb="FF1155CC"/>
        <rFont val="monospace, serif"/>
      </rPr>
      <t>2.7.1.121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</si>
  <si>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</si>
  <si>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</si>
  <si>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2.7.1.121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</si>
  <si>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</si>
  <si>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</si>
  <si>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2.7.1.121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</si>
  <si>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</si>
  <si>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</si>
  <si>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2.7.1.121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</si>
  <si>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</si>
  <si>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</si>
  <si>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2.7.1.144</t>
    </r>
  </si>
  <si>
    <r>
      <rPr>
        <u/>
        <sz val="11"/>
        <color rgb="FF1155CC"/>
        <rFont val="Arial"/>
        <family val="2"/>
      </rPr>
      <t>C01097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</si>
  <si>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C03785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</si>
  <si>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0"/>
        <color rgb="FF1155CC"/>
        <rFont val="monospace, serif"/>
      </rPr>
      <t>2.7.1.148</t>
    </r>
  </si>
  <si>
    <r>
      <rPr>
        <u/>
        <sz val="11"/>
        <color rgb="FF1155CC"/>
        <rFont val="Arial"/>
        <family val="2"/>
      </rPr>
      <t>C11435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</si>
  <si>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</si>
  <si>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C00117</t>
    </r>
  </si>
  <si>
    <r>
      <rPr>
        <u/>
        <sz val="11"/>
        <color rgb="FF1155CC"/>
        <rFont val="Arial"/>
        <family val="2"/>
      </rPr>
      <t>C00673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</si>
  <si>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</rPr>
      <t>C01801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C00002</t>
    </r>
  </si>
  <si>
    <r>
      <rPr>
        <u/>
        <sz val="10"/>
        <color rgb="FF1155CC"/>
        <rFont val="monospace, serif"/>
      </rPr>
      <t>2.7.1.17</t>
    </r>
  </si>
  <si>
    <r>
      <rPr>
        <u/>
        <sz val="11"/>
        <color rgb="FF1155CC"/>
        <rFont val="Arial"/>
        <family val="2"/>
      </rPr>
      <t>C0000</t>
    </r>
    <r>
      <rPr>
        <sz val="11"/>
        <rFont val="Arial"/>
        <family val="2"/>
      </rPr>
      <t xml:space="preserve">2 | </t>
    </r>
    <r>
      <rPr>
        <u/>
        <sz val="11"/>
        <color rgb="FF1155CC"/>
        <rFont val="Arial"/>
        <family val="2"/>
      </rPr>
      <t>C00310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</si>
  <si>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C00231</t>
    </r>
  </si>
  <si>
    <r>
      <rPr>
        <u/>
        <sz val="11"/>
        <color rgb="FF1155CC"/>
        <rFont val="Arial"/>
        <family val="2"/>
      </rPr>
      <t>C04261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C00392</t>
    </r>
  </si>
  <si>
    <r>
      <rPr>
        <u/>
        <sz val="11"/>
        <color rgb="FF1155CC"/>
        <rFont val="Arial"/>
        <family val="2"/>
      </rPr>
      <t>C00615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C00644</t>
    </r>
  </si>
  <si>
    <r>
      <rPr>
        <u/>
        <sz val="11"/>
        <color rgb="FF1155CC"/>
        <rFont val="Arial"/>
        <family val="2"/>
      </rPr>
      <t>C04261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C00392</t>
    </r>
  </si>
  <si>
    <r>
      <rPr>
        <u/>
        <sz val="11"/>
        <color rgb="FF1155CC"/>
        <rFont val="Arial"/>
        <family val="2"/>
      </rPr>
      <t>C00615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C00644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</si>
  <si>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</si>
  <si>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C00031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</si>
  <si>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C00092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</si>
  <si>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</si>
  <si>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</si>
  <si>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</si>
  <si>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</si>
  <si>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C00267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</si>
  <si>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C00668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</si>
  <si>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</si>
  <si>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</si>
  <si>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</si>
  <si>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</si>
  <si>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C00526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</si>
  <si>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</si>
  <si>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</si>
  <si>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C11736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</si>
  <si>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C04242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</si>
  <si>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2.7.1.23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</si>
  <si>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</si>
  <si>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C00006</t>
    </r>
  </si>
  <si>
    <r>
      <rPr>
        <u/>
        <sz val="10"/>
        <color rgb="FF1155CC"/>
        <rFont val="monospace, serif"/>
      </rPr>
      <t>2.7.1.24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</si>
  <si>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</si>
  <si>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C00010</t>
    </r>
  </si>
  <si>
    <r>
      <rPr>
        <u/>
        <sz val="10"/>
        <color rgb="FF1155CC"/>
        <rFont val="monospace, serif"/>
      </rPr>
      <t>2.7.1.26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</si>
  <si>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</si>
  <si>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</si>
  <si>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0"/>
        <color rgb="FF1155CC"/>
        <rFont val="monospace, serif"/>
      </rPr>
      <t>2.7.1.30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</si>
  <si>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</si>
  <si>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</si>
  <si>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0"/>
        <color rgb="FF1155CC"/>
        <rFont val="monospace, serif"/>
      </rPr>
      <t>2.7.1.30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</si>
  <si>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</si>
  <si>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</si>
  <si>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</si>
  <si>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C03492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</si>
  <si>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</si>
  <si>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C00831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</si>
  <si>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</si>
  <si>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</si>
  <si>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C04079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</si>
  <si>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</si>
  <si>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0"/>
        <color rgb="FF1155CC"/>
        <rFont val="monospace, serif"/>
      </rPr>
      <t>2.7.1.36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</si>
  <si>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C00418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</si>
  <si>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</si>
  <si>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0"/>
        <color rgb="FF1155CC"/>
        <rFont val="monospace, serif"/>
      </rPr>
      <t>2.7.1.39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</si>
  <si>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</si>
  <si>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C01102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</si>
  <si>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</si>
  <si>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</si>
  <si>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</si>
  <si>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</si>
  <si>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</si>
  <si>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</si>
  <si>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</si>
  <si>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</si>
  <si>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</si>
  <si>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</si>
  <si>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</si>
  <si>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C00015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</si>
  <si>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</si>
  <si>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C00081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</si>
  <si>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</si>
  <si>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</si>
  <si>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</si>
  <si>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C00206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</si>
  <si>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</si>
  <si>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</si>
  <si>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C00361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</si>
  <si>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</si>
  <si>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</si>
  <si>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C00454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</si>
  <si>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</si>
  <si>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</si>
  <si>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</si>
  <si>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</si>
  <si>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</si>
  <si>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</si>
  <si>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</si>
  <si>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</si>
  <si>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</si>
  <si>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</si>
  <si>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</si>
  <si>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</si>
  <si>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</si>
  <si>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C16633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</si>
  <si>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C16634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</si>
  <si>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</si>
  <si>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C01279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</si>
  <si>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</si>
  <si>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0"/>
        <color rgb="FF1155CC"/>
        <rFont val="monospace, serif"/>
      </rPr>
      <t>2.7.1.49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</si>
  <si>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C01279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</si>
  <si>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</si>
  <si>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</si>
  <si>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</si>
  <si>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C00354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</si>
  <si>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</si>
  <si>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</si>
  <si>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C05378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</si>
  <si>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</si>
  <si>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C01097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</si>
  <si>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C03785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</si>
  <si>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</si>
  <si>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</si>
  <si>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C00354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</si>
  <si>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</si>
  <si>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</si>
  <si>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C05378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</si>
  <si>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</si>
  <si>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C01097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</si>
  <si>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C03785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</si>
  <si>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</si>
  <si>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C00984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</si>
  <si>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</si>
  <si>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0"/>
        <color rgb="FF1155CC"/>
        <rFont val="monospace, serif"/>
      </rPr>
      <t>2.7.1.92</t>
    </r>
  </si>
  <si>
    <r>
      <rPr>
        <u/>
        <sz val="11"/>
        <color rgb="FF1155CC"/>
        <rFont val="Arial"/>
        <family val="2"/>
        <scheme val="minor"/>
      </rPr>
      <t>C06892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</si>
  <si>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C06893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</si>
  <si>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2.7.10.2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</si>
  <si>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C00585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</si>
  <si>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C01167</t>
    </r>
  </si>
  <si>
    <r>
      <rPr>
        <u/>
        <sz val="10"/>
        <color rgb="FF1155CC"/>
        <rFont val="monospace, serif"/>
      </rPr>
      <t>2.7.11.33</t>
    </r>
  </si>
  <si>
    <r>
      <rPr>
        <u/>
        <sz val="10"/>
        <color rgb="FF1155CC"/>
        <rFont val="monospace, serif"/>
      </rPr>
      <t>2.7.13.3</t>
    </r>
  </si>
  <si>
    <r>
      <rPr>
        <u/>
        <sz val="10"/>
        <color rgb="FF1155CC"/>
        <rFont val="monospace, serif"/>
      </rPr>
      <t>2.7.13.3</t>
    </r>
  </si>
  <si>
    <r>
      <rPr>
        <u/>
        <sz val="10"/>
        <color rgb="FF1155CC"/>
        <rFont val="monospace, serif"/>
      </rPr>
      <t>2.7.13.3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</si>
  <si>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</si>
  <si>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</si>
  <si>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C00227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</si>
  <si>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</si>
  <si>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</si>
  <si>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C02876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</si>
  <si>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</si>
  <si>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</si>
  <si>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C00227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</si>
  <si>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</si>
  <si>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</si>
  <si>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C02876</t>
    </r>
  </si>
  <si>
    <r>
      <rPr>
        <u/>
        <sz val="10"/>
        <color rgb="FF1155CC"/>
        <rFont val="monospace, serif"/>
      </rPr>
      <t>2.7.2.11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</si>
  <si>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</si>
  <si>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C03287</t>
    </r>
  </si>
  <si>
    <r>
      <rPr>
        <u/>
        <sz val="10"/>
        <color rgb="FF1155CC"/>
        <rFont val="monospace, serif"/>
      </rPr>
      <t>2.7.2.4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</si>
  <si>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</si>
  <si>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C03082</t>
    </r>
  </si>
  <si>
    <r>
      <rPr>
        <u/>
        <sz val="10"/>
        <color rgb="FF1155CC"/>
        <rFont val="monospace, serif"/>
      </rPr>
      <t>2.7.2.4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</si>
  <si>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</si>
  <si>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C03082</t>
    </r>
  </si>
  <si>
    <r>
      <rPr>
        <u/>
        <sz val="10"/>
        <color rgb="FF1155CC"/>
        <rFont val="monospace, serif"/>
      </rPr>
      <t>2.7.2.7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</si>
  <si>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</si>
  <si>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C02527</t>
    </r>
  </si>
  <si>
    <r>
      <rPr>
        <u/>
        <sz val="10"/>
        <color rgb="FF1155CC"/>
        <rFont val="monospace, serif"/>
      </rPr>
      <t>2.7.3.9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</si>
  <si>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</si>
  <si>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C04261</t>
    </r>
  </si>
  <si>
    <r>
      <rPr>
        <u/>
        <sz val="10"/>
        <color rgb="FF1155CC"/>
        <rFont val="monospace, serif"/>
      </rPr>
      <t>2.7.4.1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</si>
  <si>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</si>
  <si>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</si>
  <si>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0"/>
        <color rgb="FF1155CC"/>
        <rFont val="monospace, serif"/>
      </rPr>
      <t>2.7.4.2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</si>
  <si>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</si>
  <si>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</si>
  <si>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0"/>
        <color rgb="FF1155CC"/>
        <rFont val="monospace, serif"/>
      </rPr>
      <t>2.7.4.22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</si>
  <si>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</si>
  <si>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</si>
  <si>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0"/>
        <color rgb="FF1155CC"/>
        <rFont val="monospace, serif"/>
      </rPr>
      <t>2.7.4.25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</si>
  <si>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</si>
  <si>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</si>
  <si>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0"/>
        <color rgb="FF1155CC"/>
        <rFont val="monospace, serif"/>
      </rPr>
      <t>2.7.4.25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</si>
  <si>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C00239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</si>
  <si>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</si>
  <si>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0"/>
        <color rgb="FF1155CC"/>
        <rFont val="monospace, serif"/>
      </rPr>
      <t>2.7.4.28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</si>
  <si>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</si>
  <si>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</si>
  <si>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</si>
  <si>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</si>
  <si>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</si>
  <si>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</si>
  <si>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</si>
  <si>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C00068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</si>
  <si>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C03028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</si>
  <si>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</si>
  <si>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C00454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</si>
  <si>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</si>
  <si>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</si>
  <si>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</si>
  <si>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</si>
  <si>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</si>
  <si>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C11038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</si>
  <si>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C11039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</si>
  <si>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</si>
  <si>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</si>
  <si>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C00075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</si>
  <si>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</si>
  <si>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</si>
  <si>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</si>
  <si>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</si>
  <si>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</si>
  <si>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</si>
  <si>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</si>
  <si>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</si>
  <si>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</si>
  <si>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</si>
  <si>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</si>
  <si>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</si>
  <si>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</si>
  <si>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</si>
  <si>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C00286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</si>
  <si>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</si>
  <si>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</si>
  <si>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C00459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</si>
  <si>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</si>
  <si>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</si>
  <si>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C00458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</si>
  <si>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</si>
  <si>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</si>
  <si>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C00460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</si>
  <si>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</si>
  <si>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C01344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</si>
  <si>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C01345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</si>
  <si>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</si>
  <si>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</si>
  <si>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</si>
  <si>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</si>
  <si>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C21748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</si>
  <si>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C21749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</si>
  <si>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</si>
  <si>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C21750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</si>
  <si>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C21751</t>
    </r>
  </si>
  <si>
    <r>
      <rPr>
        <u/>
        <sz val="11"/>
        <color rgb="FF1155CC"/>
        <rFont val="Arial"/>
        <family val="2"/>
        <scheme val="minor"/>
      </rPr>
      <t>C0000</t>
    </r>
    <r>
      <rPr>
        <sz val="11"/>
        <rFont val="Arial"/>
        <family val="2"/>
        <scheme val="minor"/>
      </rPr>
      <t xml:space="preserve">2 |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</si>
  <si>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C04752</t>
    </r>
  </si>
  <si>
    <r>
      <rPr>
        <u/>
        <sz val="11"/>
        <color rgb="FF1155CC"/>
        <rFont val="Arial"/>
        <family val="2"/>
        <scheme val="minor"/>
      </rPr>
      <t>C0000</t>
    </r>
    <r>
      <rPr>
        <sz val="11"/>
        <rFont val="Arial"/>
        <family val="2"/>
        <scheme val="minor"/>
      </rPr>
      <t xml:space="preserve">2 |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</si>
  <si>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C04752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</si>
  <si>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</si>
  <si>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</si>
  <si>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</si>
  <si>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</si>
  <si>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</si>
  <si>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</si>
  <si>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</si>
  <si>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</si>
  <si>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</si>
  <si>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</si>
  <si>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</si>
  <si>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</si>
  <si>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0"/>
        <color rgb="FF1155CC"/>
        <rFont val="monospace, serif"/>
      </rPr>
      <t>2.7.4.9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</si>
  <si>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</si>
  <si>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</si>
  <si>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0"/>
        <color rgb="FF1155CC"/>
        <rFont val="monospace, serif"/>
      </rPr>
      <t>2.7.6.1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</si>
  <si>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</si>
  <si>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C00119</t>
    </r>
  </si>
  <si>
    <r>
      <rPr>
        <u/>
        <sz val="10"/>
        <color rgb="FF1155CC"/>
        <rFont val="monospace, serif"/>
      </rPr>
      <t>2.7.6.1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</si>
  <si>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</si>
  <si>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</si>
  <si>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C00378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</si>
  <si>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C00068</t>
    </r>
  </si>
  <si>
    <r>
      <rPr>
        <u/>
        <sz val="10"/>
        <color rgb="FF1155CC"/>
        <rFont val="monospace, serif"/>
      </rPr>
      <t>2.7.6.5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</si>
  <si>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</si>
  <si>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C04494</t>
    </r>
  </si>
  <si>
    <r>
      <rPr>
        <u/>
        <sz val="10"/>
        <color rgb="FF1155CC"/>
        <rFont val="monospace, serif"/>
      </rPr>
      <t>2.7.7.12</t>
    </r>
  </si>
  <si>
    <r>
      <rPr>
        <u/>
        <sz val="11"/>
        <color rgb="FF1155CC"/>
        <rFont val="Arial"/>
        <family val="2"/>
        <scheme val="minor"/>
      </rPr>
      <t>C00029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</si>
  <si>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1"/>
        <color rgb="FF1155CC"/>
        <rFont val="Arial"/>
        <family val="2"/>
        <scheme val="minor"/>
      </rPr>
      <t>C00103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C00052</t>
    </r>
  </si>
  <si>
    <r>
      <rPr>
        <u/>
        <sz val="10"/>
        <color rgb="FF1155CC"/>
        <rFont val="monospace, serif"/>
      </rPr>
      <t>2.7.7.18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</si>
  <si>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C01185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</si>
  <si>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C00857</t>
    </r>
  </si>
  <si>
    <r>
      <rPr>
        <u/>
        <sz val="10"/>
        <color rgb="FF1155CC"/>
        <rFont val="monospace, serif"/>
      </rPr>
      <t>2.7.7.18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</si>
  <si>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C00455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</si>
  <si>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</si>
  <si>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</si>
  <si>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</si>
  <si>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C04501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</si>
  <si>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C00043</t>
    </r>
  </si>
  <si>
    <r>
      <rPr>
        <u/>
        <sz val="10"/>
        <color rgb="FF1155CC"/>
        <rFont val="monospace, serif"/>
      </rPr>
      <t>2.7.7.27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</si>
  <si>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</si>
  <si>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C00498</t>
    </r>
  </si>
  <si>
    <r>
      <rPr>
        <u/>
        <sz val="10"/>
        <color rgb="FF1155CC"/>
        <rFont val="monospace, serif"/>
      </rPr>
      <t>2.7.7.27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</si>
  <si>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</si>
  <si>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C00498</t>
    </r>
  </si>
  <si>
    <r>
      <rPr>
        <u/>
        <sz val="10"/>
        <color rgb="FF1155CC"/>
        <rFont val="monospace, serif"/>
      </rPr>
      <t>2.7.7.3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</si>
  <si>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</si>
  <si>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</si>
  <si>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</si>
  <si>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</si>
  <si>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</si>
  <si>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</si>
  <si>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</si>
  <si>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</si>
  <si>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</si>
  <si>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</si>
  <si>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</si>
  <si>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</si>
  <si>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</si>
  <si>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</si>
  <si>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</si>
  <si>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</si>
  <si>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</si>
  <si>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</si>
  <si>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</si>
  <si>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</si>
  <si>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</si>
  <si>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</si>
  <si>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</si>
  <si>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</si>
  <si>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</si>
  <si>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</si>
  <si>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</si>
  <si>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</si>
  <si>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</si>
  <si>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</si>
  <si>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</si>
  <si>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</si>
  <si>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</si>
  <si>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</si>
  <si>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</si>
  <si>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</si>
  <si>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</si>
  <si>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</si>
  <si>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</si>
  <si>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</si>
  <si>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</si>
  <si>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</si>
  <si>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</si>
  <si>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</si>
  <si>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</si>
  <si>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</si>
  <si>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</si>
  <si>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</si>
  <si>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</si>
  <si>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</si>
  <si>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</si>
  <si>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</si>
  <si>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</si>
  <si>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</si>
  <si>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</si>
  <si>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</si>
  <si>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</si>
  <si>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</si>
  <si>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</si>
  <si>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</si>
  <si>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</si>
  <si>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</si>
  <si>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</si>
  <si>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</si>
  <si>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</si>
  <si>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</si>
  <si>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</si>
  <si>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</si>
  <si>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</si>
  <si>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</si>
  <si>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</si>
  <si>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</si>
  <si>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</si>
  <si>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</si>
  <si>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</si>
  <si>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</si>
  <si>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</si>
  <si>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</si>
  <si>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</si>
  <si>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</si>
  <si>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</si>
  <si>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</si>
  <si>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</si>
  <si>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</si>
  <si>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</si>
  <si>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</si>
  <si>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</si>
  <si>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</si>
  <si>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</si>
  <si>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</si>
  <si>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</si>
  <si>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</si>
  <si>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</si>
  <si>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</si>
  <si>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</si>
  <si>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</si>
  <si>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</si>
  <si>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</si>
  <si>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</si>
  <si>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</si>
  <si>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</si>
  <si>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</si>
  <si>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</si>
  <si>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</si>
  <si>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</si>
  <si>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</si>
  <si>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</si>
  <si>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</si>
  <si>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</si>
  <si>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</si>
  <si>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</si>
  <si>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</si>
  <si>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</si>
  <si>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</si>
  <si>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</si>
  <si>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</si>
  <si>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</si>
  <si>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</si>
  <si>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</si>
  <si>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</si>
  <si>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</si>
  <si>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</si>
  <si>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</si>
  <si>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</si>
  <si>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</si>
  <si>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</si>
  <si>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</si>
  <si>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| (n-1)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</si>
  <si>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2.7.7.61</t>
    </r>
  </si>
  <si>
    <r>
      <rPr>
        <u/>
        <sz val="11"/>
        <color rgb="FF1155CC"/>
        <rFont val="Arial"/>
        <family val="2"/>
        <scheme val="minor"/>
      </rPr>
      <t>C19771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</si>
  <si>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C00229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</si>
  <si>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</si>
  <si>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</si>
  <si>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</si>
  <si>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</si>
  <si>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</si>
  <si>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</si>
  <si>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</si>
  <si>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</si>
  <si>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</si>
  <si>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</si>
  <si>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</si>
  <si>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</si>
  <si>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</si>
  <si>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</si>
  <si>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</si>
  <si>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</si>
  <si>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</si>
  <si>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</si>
  <si>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</si>
  <si>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</si>
  <si>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</si>
  <si>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</si>
  <si>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</si>
  <si>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</si>
  <si>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</si>
  <si>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</si>
  <si>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</si>
  <si>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</si>
  <si>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</si>
  <si>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</si>
  <si>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</si>
  <si>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</si>
  <si>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</si>
  <si>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</si>
  <si>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</si>
  <si>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</si>
  <si>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</si>
  <si>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</si>
  <si>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</si>
  <si>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</si>
  <si>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</si>
  <si>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</si>
  <si>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</si>
  <si>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</si>
  <si>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</si>
  <si>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</si>
  <si>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</si>
  <si>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</si>
  <si>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</si>
  <si>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</si>
  <si>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</si>
  <si>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</si>
  <si>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</si>
  <si>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</si>
  <si>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</si>
  <si>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</si>
  <si>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</si>
  <si>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</si>
  <si>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</si>
  <si>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</si>
  <si>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</si>
  <si>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</si>
  <si>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</si>
  <si>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</si>
  <si>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</si>
  <si>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</si>
  <si>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</si>
  <si>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</si>
  <si>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</si>
  <si>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</si>
  <si>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</si>
  <si>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</si>
  <si>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</si>
  <si>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</si>
  <si>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</si>
  <si>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</si>
  <si>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</si>
  <si>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</si>
  <si>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</si>
  <si>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</si>
  <si>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</si>
  <si>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</si>
  <si>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</si>
  <si>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</si>
  <si>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</si>
  <si>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</si>
  <si>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</si>
  <si>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</si>
  <si>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</si>
  <si>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</si>
  <si>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</si>
  <si>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</si>
  <si>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</si>
  <si>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</si>
  <si>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</si>
  <si>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</si>
  <si>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</si>
  <si>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</si>
  <si>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</si>
  <si>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</si>
  <si>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</si>
  <si>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</si>
  <si>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</si>
  <si>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</si>
  <si>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</si>
  <si>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</si>
  <si>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</si>
  <si>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</si>
  <si>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</si>
  <si>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</si>
  <si>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</si>
  <si>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</si>
  <si>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</si>
  <si>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</si>
  <si>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</si>
  <si>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</si>
  <si>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</si>
  <si>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</si>
  <si>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</si>
  <si>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</si>
  <si>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</si>
  <si>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</si>
  <si>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</si>
  <si>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</si>
  <si>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</si>
  <si>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</si>
  <si>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</si>
  <si>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</si>
  <si>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(n|1)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</si>
  <si>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</si>
  <si>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</si>
  <si>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</si>
  <si>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</si>
  <si>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</si>
  <si>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</si>
  <si>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</si>
  <si>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</si>
  <si>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</si>
  <si>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</si>
  <si>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</si>
  <si>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</si>
  <si>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</si>
  <si>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</si>
  <si>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</si>
  <si>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</si>
  <si>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| 2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</si>
  <si>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| 3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</si>
  <si>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</si>
  <si>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</si>
  <si>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</si>
  <si>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</si>
  <si>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</si>
  <si>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</si>
  <si>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</si>
  <si>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</si>
  <si>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</si>
  <si>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</si>
  <si>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C20565</t>
    </r>
  </si>
  <si>
    <r>
      <rPr>
        <u/>
        <sz val="10"/>
        <color rgb="FF1155CC"/>
        <rFont val="monospace, serif"/>
      </rPr>
      <t>2.7.7.87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</si>
  <si>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</si>
  <si>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C20641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</si>
  <si>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2.7.7.9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</si>
  <si>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C00103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</si>
  <si>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C00029</t>
    </r>
  </si>
  <si>
    <r>
      <rPr>
        <u/>
        <sz val="10"/>
        <color rgb="FF1155CC"/>
        <rFont val="monospace, serif"/>
      </rPr>
      <t>2.7.8.13</t>
    </r>
  </si>
  <si>
    <r>
      <rPr>
        <u/>
        <sz val="11"/>
        <color rgb="FF1155CC"/>
        <rFont val="Arial"/>
        <family val="2"/>
        <scheme val="minor"/>
      </rPr>
      <t>C04702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</si>
  <si>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C04851</t>
    </r>
  </si>
  <si>
    <r>
      <rPr>
        <u/>
        <sz val="10"/>
        <color rgb="FF1155CC"/>
        <rFont val="monospace, serif"/>
      </rPr>
      <t>2.7.8.13</t>
    </r>
  </si>
  <si>
    <r>
      <rPr>
        <u/>
        <sz val="11"/>
        <color rgb="FF1155CC"/>
        <rFont val="Arial"/>
        <family val="2"/>
        <scheme val="minor"/>
      </rPr>
      <t>C04882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</si>
  <si>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C05897</t>
    </r>
  </si>
  <si>
    <r>
      <rPr>
        <u/>
        <sz val="10"/>
        <color rgb="FF1155CC"/>
        <rFont val="monospace, serif"/>
      </rPr>
      <t>2.7.8.5</t>
    </r>
  </si>
  <si>
    <r>
      <rPr>
        <u/>
        <sz val="11"/>
        <color rgb="FF1155CC"/>
        <rFont val="Arial"/>
        <family val="2"/>
        <scheme val="minor"/>
      </rPr>
      <t>C00269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</si>
  <si>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C03892</t>
    </r>
  </si>
  <si>
    <r>
      <rPr>
        <u/>
        <sz val="10"/>
        <color rgb="FF1155CC"/>
        <rFont val="monospace, serif"/>
      </rPr>
      <t>2.7.8.7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</si>
  <si>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</si>
  <si>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C00229</t>
    </r>
  </si>
  <si>
    <r>
      <rPr>
        <u/>
        <sz val="10"/>
        <color rgb="FF1155CC"/>
        <rFont val="monospace, serif"/>
      </rPr>
      <t>2.7.9.1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</si>
  <si>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</si>
  <si>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</si>
  <si>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2.8.1.13</t>
    </r>
  </si>
  <si>
    <r>
      <rPr>
        <u/>
        <sz val="11"/>
        <color rgb="FF1155CC"/>
        <rFont val="Arial"/>
        <family val="2"/>
        <scheme val="minor"/>
      </rPr>
      <t>C00868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</si>
  <si>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C17322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</si>
  <si>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2.8.1.4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</si>
  <si>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C02342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</si>
  <si>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C04161</t>
    </r>
  </si>
  <si>
    <r>
      <rPr>
        <u/>
        <sz val="10"/>
        <color rgb="FF1155CC"/>
        <rFont val="monospace, serif"/>
      </rPr>
      <t>2.8.1.4</t>
    </r>
  </si>
  <si>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C15813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</si>
  <si>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C15814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C00028</t>
    </r>
  </si>
  <si>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C00158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</si>
  <si>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C00566</t>
    </r>
  </si>
  <si>
    <r>
      <rPr>
        <u/>
        <sz val="10"/>
        <color rgb="FF1155CC"/>
        <rFont val="monospace, serif"/>
      </rPr>
      <t>3.1.1.29</t>
    </r>
  </si>
  <si>
    <r>
      <rPr>
        <u/>
        <sz val="11"/>
        <color rgb="FF1155CC"/>
        <rFont val="Arial"/>
        <family val="2"/>
        <scheme val="minor"/>
      </rPr>
      <t>C03880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</si>
  <si>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C03523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C00066</t>
    </r>
  </si>
  <si>
    <r>
      <rPr>
        <u/>
        <sz val="10"/>
        <color rgb="FF1155CC"/>
        <rFont val="monospace, serif"/>
      </rPr>
      <t>3.1.1.96</t>
    </r>
  </si>
  <si>
    <r>
      <rPr>
        <u/>
        <sz val="10"/>
        <color rgb="FF1155CC"/>
        <rFont val="monospace, serif"/>
      </rPr>
      <t>3.1.11.2</t>
    </r>
  </si>
  <si>
    <r>
      <rPr>
        <u/>
        <sz val="10"/>
        <color rgb="FF1155CC"/>
        <rFont val="monospace, serif"/>
      </rPr>
      <t>3.1.11.6</t>
    </r>
  </si>
  <si>
    <r>
      <rPr>
        <u/>
        <sz val="10"/>
        <color rgb="FF1155CC"/>
        <rFont val="monospace, serif"/>
      </rPr>
      <t>3.1.11.6</t>
    </r>
  </si>
  <si>
    <r>
      <rPr>
        <u/>
        <sz val="10"/>
        <color rgb="FF1155CC"/>
        <rFont val="monospace, serif"/>
      </rPr>
      <t>3.1.13.1</t>
    </r>
  </si>
  <si>
    <r>
      <rPr>
        <u/>
        <sz val="10"/>
        <color rgb="FF1155CC"/>
        <rFont val="monospace, serif"/>
      </rPr>
      <t>3.1.2.20</t>
    </r>
  </si>
  <si>
    <r>
      <rPr>
        <u/>
        <sz val="11"/>
        <color rgb="FF1155CC"/>
        <rFont val="Arial"/>
        <family val="2"/>
        <scheme val="minor"/>
      </rPr>
      <t>C00040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</si>
  <si>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C00060</t>
    </r>
  </si>
  <si>
    <r>
      <rPr>
        <u/>
        <sz val="10"/>
        <color rgb="FF1155CC"/>
        <rFont val="monospace, serif"/>
      </rPr>
      <t>3.1.21.2</t>
    </r>
  </si>
  <si>
    <r>
      <rPr>
        <u/>
        <sz val="10"/>
        <color rgb="FF1155CC"/>
        <rFont val="monospace, serif"/>
      </rPr>
      <t>3.1.21.3</t>
    </r>
  </si>
  <si>
    <r>
      <rPr>
        <u/>
        <sz val="10"/>
        <color rgb="FF1155CC"/>
        <rFont val="monospace, serif"/>
      </rPr>
      <t>3.1.26.11</t>
    </r>
  </si>
  <si>
    <r>
      <rPr>
        <u/>
        <sz val="10"/>
        <color rgb="FF1155CC"/>
        <rFont val="monospace, serif"/>
      </rPr>
      <t>3.1.26.4</t>
    </r>
  </si>
  <si>
    <r>
      <rPr>
        <u/>
        <sz val="10"/>
        <color rgb="FF1155CC"/>
        <rFont val="monospace, serif"/>
      </rPr>
      <t>3.1.26.4</t>
    </r>
  </si>
  <si>
    <r>
      <rPr>
        <u/>
        <sz val="10"/>
        <color rgb="FF1155CC"/>
        <rFont val="monospace, serif"/>
      </rPr>
      <t>3.1.26.4</t>
    </r>
  </si>
  <si>
    <r>
      <rPr>
        <u/>
        <sz val="10"/>
        <color rgb="FF1155CC"/>
        <rFont val="monospace, serif"/>
      </rPr>
      <t>3.1.26.5</t>
    </r>
  </si>
  <si>
    <r>
      <rPr>
        <u/>
        <sz val="10"/>
        <color rgb="FF1155CC"/>
        <rFont val="monospace, serif"/>
      </rPr>
      <t>3.1.26.8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</si>
  <si>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</si>
  <si>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C00354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</si>
  <si>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</si>
  <si>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</si>
  <si>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C05378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</si>
  <si>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C05345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</si>
  <si>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</si>
  <si>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C00447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</si>
  <si>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</si>
  <si>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3.1.3.27</t>
    </r>
  </si>
  <si>
    <r>
      <rPr>
        <u/>
        <sz val="11"/>
        <color rgb="FF1155CC"/>
        <rFont val="Arial"/>
        <family val="2"/>
        <scheme val="minor"/>
      </rPr>
      <t>C03892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</si>
  <si>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</si>
  <si>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</si>
  <si>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C02520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</si>
  <si>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C00911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</si>
  <si>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</si>
  <si>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</si>
  <si>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</si>
  <si>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</si>
  <si>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</si>
  <si>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</si>
  <si>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</si>
  <si>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</si>
  <si>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</si>
  <si>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</si>
  <si>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</si>
  <si>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</si>
  <si>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</si>
  <si>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</si>
  <si>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</si>
  <si>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</si>
  <si>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</si>
  <si>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C03150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</si>
  <si>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</si>
  <si>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</si>
  <si>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C01762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</si>
  <si>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</si>
  <si>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C01185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</si>
  <si>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C05841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</si>
  <si>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</si>
  <si>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</si>
  <si>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</si>
  <si>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</si>
  <si>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C00239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</si>
  <si>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</si>
  <si>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</si>
  <si>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</si>
  <si>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</si>
  <si>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</si>
  <si>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</si>
  <si>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</si>
  <si>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</si>
  <si>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</si>
  <si>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</si>
  <si>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</si>
  <si>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C06196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</si>
  <si>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</si>
  <si>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</si>
  <si>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</si>
  <si>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</si>
  <si>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</si>
  <si>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</si>
  <si>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</si>
  <si>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</si>
  <si>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</si>
  <si>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</si>
  <si>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</si>
  <si>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</si>
  <si>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</si>
  <si>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</si>
  <si>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C00850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</si>
  <si>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C15584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</si>
  <si>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</si>
  <si>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C02538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</si>
  <si>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C00468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</si>
  <si>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</si>
  <si>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C06125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</si>
  <si>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</si>
  <si>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</si>
  <si>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G11122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</si>
  <si>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</si>
  <si>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</si>
  <si>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C00208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</si>
  <si>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</si>
  <si>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</si>
  <si>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</si>
  <si>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</si>
  <si>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</si>
  <si>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</si>
  <si>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</si>
  <si>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</si>
  <si>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G00275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</si>
  <si>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</si>
  <si>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</si>
  <si>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</si>
  <si>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</si>
  <si>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</si>
  <si>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</si>
  <si>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</si>
  <si>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</si>
  <si>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</si>
  <si>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</si>
  <si>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</si>
  <si>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</si>
  <si>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C00089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</si>
  <si>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</si>
  <si>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</si>
  <si>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</si>
  <si>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</si>
  <si>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C01235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</si>
  <si>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</si>
  <si>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</si>
  <si>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</si>
  <si>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</si>
  <si>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</si>
  <si>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C05399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</si>
  <si>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C00794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</si>
  <si>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</si>
  <si>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C04737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</si>
  <si>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C01290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</si>
  <si>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</si>
  <si>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</si>
  <si>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</si>
  <si>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</si>
  <si>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C06126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</si>
  <si>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</si>
  <si>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</si>
  <si>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C06037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</si>
  <si>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C03692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</si>
  <si>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</si>
  <si>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</si>
  <si>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C05402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</si>
  <si>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</si>
  <si>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G00093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</si>
  <si>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G00092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</si>
  <si>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</si>
  <si>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</si>
  <si>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G00370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</si>
  <si>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</si>
  <si>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</si>
  <si>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</si>
  <si>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</si>
  <si>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G10488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</si>
  <si>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</si>
  <si>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</si>
  <si>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G00497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</si>
  <si>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</si>
  <si>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</si>
  <si>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</si>
  <si>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G01275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</si>
  <si>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</si>
  <si>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G10529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</si>
  <si>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</si>
  <si>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</si>
  <si>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</si>
  <si>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</si>
  <si>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</si>
  <si>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</si>
  <si>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</si>
  <si>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</si>
  <si>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</si>
  <si>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C00089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</si>
  <si>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</si>
  <si>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</si>
  <si>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</si>
  <si>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</si>
  <si>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C01235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</si>
  <si>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</si>
  <si>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</si>
  <si>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</si>
  <si>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</si>
  <si>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</si>
  <si>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C05399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</si>
  <si>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C00794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</si>
  <si>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</si>
  <si>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C04737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</si>
  <si>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C01290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</si>
  <si>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</si>
  <si>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</si>
  <si>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</si>
  <si>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</si>
  <si>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C06126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</si>
  <si>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</si>
  <si>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</si>
  <si>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C06037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</si>
  <si>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C03692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</si>
  <si>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</si>
  <si>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</si>
  <si>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C05402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</si>
  <si>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</si>
  <si>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G00093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</si>
  <si>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G00092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</si>
  <si>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</si>
  <si>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</si>
  <si>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G00370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</si>
  <si>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</si>
  <si>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</si>
  <si>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</si>
  <si>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</si>
  <si>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G10488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</si>
  <si>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</si>
  <si>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</si>
  <si>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G00497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</si>
  <si>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</si>
  <si>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</si>
  <si>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</si>
  <si>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G01275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</si>
  <si>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</si>
  <si>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G10529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</si>
  <si>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</si>
  <si>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</si>
  <si>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</si>
  <si>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</si>
  <si>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</si>
  <si>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</si>
  <si>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</si>
  <si>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</si>
  <si>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C05796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</si>
  <si>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C05796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</si>
  <si>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</si>
  <si>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</si>
  <si>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</si>
  <si>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</si>
  <si>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C01290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</si>
  <si>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C01190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</si>
  <si>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</si>
  <si>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C04911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</si>
  <si>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C04884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</si>
  <si>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</si>
  <si>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C05403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</si>
  <si>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</si>
  <si>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</si>
  <si>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C06136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</si>
  <si>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</si>
  <si>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</si>
  <si>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</si>
  <si>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</si>
  <si>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</si>
  <si>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G00110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</si>
  <si>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</si>
  <si>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</si>
  <si>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</si>
  <si>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</si>
  <si>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</si>
  <si>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G00092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</si>
  <si>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G10238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</si>
  <si>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</si>
  <si>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</si>
  <si>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</si>
  <si>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</si>
  <si>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</si>
  <si>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</si>
  <si>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</si>
  <si>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G10534</t>
    </r>
    <r>
      <rPr>
        <sz val="11"/>
        <color rgb="FF000000"/>
        <rFont val="Arial"/>
        <family val="2"/>
        <scheme val="minor"/>
      </rPr>
      <t xml:space="preserve">(n|1)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</si>
  <si>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G10534</t>
    </r>
    <r>
      <rPr>
        <sz val="11"/>
        <color rgb="FF000000"/>
        <rFont val="Arial"/>
        <family val="2"/>
        <scheme val="minor"/>
      </rPr>
      <t>(n)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</si>
  <si>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</si>
  <si>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G01977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</si>
  <si>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G13073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</si>
  <si>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</si>
  <si>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</si>
  <si>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</si>
  <si>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</si>
  <si>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</si>
  <si>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</si>
  <si>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</si>
  <si>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</si>
  <si>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</si>
  <si>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</si>
  <si>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</si>
  <si>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</si>
  <si>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</si>
  <si>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C16688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</si>
  <si>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</si>
  <si>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</si>
  <si>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</si>
  <si>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</si>
  <si>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</si>
  <si>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</si>
  <si>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</si>
  <si>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</si>
  <si>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</si>
  <si>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</si>
  <si>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</si>
  <si>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</si>
  <si>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</si>
  <si>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</si>
  <si>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G10508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</si>
  <si>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C00668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</si>
  <si>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</si>
  <si>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C04534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</si>
  <si>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</si>
  <si>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</si>
  <si>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G10518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</si>
  <si>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</si>
  <si>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</si>
  <si>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</si>
  <si>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</si>
  <si>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</si>
  <si>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</si>
  <si>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</si>
  <si>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</si>
  <si>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C04534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</si>
  <si>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</si>
  <si>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</si>
  <si>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G10518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</si>
  <si>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</si>
  <si>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</si>
  <si>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</si>
  <si>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</si>
  <si>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</si>
  <si>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</si>
  <si>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</si>
  <si>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</si>
  <si>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C00689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</si>
  <si>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</si>
  <si>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</si>
  <si>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G09795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</si>
  <si>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</si>
  <si>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3.2.2.23</t>
    </r>
  </si>
  <si>
    <r>
      <rPr>
        <u/>
        <sz val="10"/>
        <color rgb="FF1155CC"/>
        <rFont val="monospace, serif"/>
      </rPr>
      <t>3.2.2.27</t>
    </r>
  </si>
  <si>
    <r>
      <rPr>
        <u/>
        <sz val="10"/>
        <color rgb="FF1155CC"/>
        <rFont val="monospace, serif"/>
      </rPr>
      <t>3.2.2.31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</si>
  <si>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</si>
  <si>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C00021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</si>
  <si>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C03539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</si>
  <si>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</si>
  <si>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C00170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</si>
  <si>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C03089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</si>
  <si>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</si>
  <si>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C05198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</si>
  <si>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C22288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</si>
  <si>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0"/>
        <color rgb="FF1155CC"/>
        <rFont val="monospace, serif"/>
      </rPr>
      <t>3.4.11.18</t>
    </r>
  </si>
  <si>
    <r>
      <rPr>
        <u/>
        <sz val="10"/>
        <color rgb="FF1155CC"/>
        <rFont val="monospace, serif"/>
      </rPr>
      <t>3.4.11.4</t>
    </r>
  </si>
  <si>
    <r>
      <rPr>
        <u/>
        <sz val="10"/>
        <color rgb="FF1155CC"/>
        <rFont val="monospace, serif"/>
      </rPr>
      <t>3.4.11.5</t>
    </r>
  </si>
  <si>
    <r>
      <rPr>
        <u/>
        <sz val="11"/>
        <color rgb="FF1155CC"/>
        <rFont val="Arial"/>
        <family val="2"/>
        <scheme val="minor"/>
      </rPr>
      <t>C00012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</si>
  <si>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C00012</t>
    </r>
  </si>
  <si>
    <r>
      <rPr>
        <u/>
        <sz val="10"/>
        <color rgb="FF1155CC"/>
        <rFont val="monospace, serif"/>
      </rPr>
      <t>3.4.14.11</t>
    </r>
  </si>
  <si>
    <r>
      <rPr>
        <u/>
        <sz val="10"/>
        <color rgb="FF1155CC"/>
        <rFont val="monospace, serif"/>
      </rPr>
      <t>3.4.19.3</t>
    </r>
  </si>
  <si>
    <r>
      <rPr>
        <u/>
        <sz val="10"/>
        <color rgb="FF1155CC"/>
        <rFont val="monospace, serif"/>
      </rPr>
      <t>3.4.21.105</t>
    </r>
  </si>
  <si>
    <r>
      <rPr>
        <u/>
        <sz val="10"/>
        <color rgb="FF1155CC"/>
        <rFont val="monospace, serif"/>
      </rPr>
      <t>3.4.21.88</t>
    </r>
  </si>
  <si>
    <r>
      <rPr>
        <u/>
        <sz val="10"/>
        <color rgb="FF1155CC"/>
        <rFont val="monospace, serif"/>
      </rPr>
      <t>3.4.21.89</t>
    </r>
  </si>
  <si>
    <r>
      <rPr>
        <u/>
        <sz val="10"/>
        <color rgb="FF1155CC"/>
        <rFont val="monospace, serif"/>
      </rPr>
      <t>3.4.21.92</t>
    </r>
  </si>
  <si>
    <r>
      <rPr>
        <u/>
        <sz val="10"/>
        <color rgb="FF1155CC"/>
        <rFont val="monospace, serif"/>
      </rPr>
      <t>3.4.21.96</t>
    </r>
  </si>
  <si>
    <r>
      <rPr>
        <u/>
        <sz val="10"/>
        <color rgb="FF1155CC"/>
        <rFont val="monospace, serif"/>
      </rPr>
      <t>3.4.23.36</t>
    </r>
  </si>
  <si>
    <r>
      <rPr>
        <u/>
        <sz val="10"/>
        <color rgb="FF1155CC"/>
        <rFont val="monospace, serif"/>
      </rPr>
      <t>3.4.25.2</t>
    </r>
  </si>
  <si>
    <r>
      <rPr>
        <u/>
        <sz val="10"/>
        <color rgb="FF1155CC"/>
        <rFont val="monospace, serif"/>
      </rPr>
      <t>3.4.25.2</t>
    </r>
  </si>
  <si>
    <r>
      <rPr>
        <u/>
        <sz val="10"/>
        <color rgb="FF1155CC"/>
        <rFont val="monospace, serif"/>
      </rPr>
      <t>3.5.1.2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</si>
  <si>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</si>
  <si>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</si>
  <si>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3.5.1.2</t>
    </r>
  </si>
  <si>
    <r>
      <rPr>
        <u/>
        <sz val="11"/>
        <color rgb="FF1155CC"/>
        <rFont val="Arial"/>
        <family val="2"/>
        <scheme val="minor"/>
      </rPr>
      <t>C00819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</si>
  <si>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</si>
  <si>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3.5.1.2</t>
    </r>
  </si>
  <si>
    <r>
      <rPr>
        <u/>
        <sz val="11"/>
        <color rgb="FF1155CC"/>
        <rFont val="Arial"/>
        <family val="2"/>
        <scheme val="minor"/>
      </rPr>
      <t>C00241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</si>
  <si>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</si>
  <si>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3.5.1.25</t>
    </r>
  </si>
  <si>
    <r>
      <rPr>
        <u/>
        <sz val="11"/>
        <color rgb="FF1155CC"/>
        <rFont val="Arial"/>
        <family val="2"/>
        <scheme val="minor"/>
      </rPr>
      <t>C00357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</si>
  <si>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</si>
  <si>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0"/>
        <color rgb="FF1155CC"/>
        <rFont val="monospace, serif"/>
      </rPr>
      <t>3.5.1.25</t>
    </r>
  </si>
  <si>
    <r>
      <rPr>
        <u/>
        <sz val="11"/>
        <color rgb="FF1155CC"/>
        <rFont val="Arial"/>
        <family val="2"/>
        <scheme val="minor"/>
      </rPr>
      <t>C00357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</si>
  <si>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</si>
  <si>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0"/>
        <color rgb="FF1155CC"/>
        <rFont val="monospace, serif"/>
      </rPr>
      <t>3.5.1.28</t>
    </r>
  </si>
  <si>
    <r>
      <rPr>
        <u/>
        <sz val="11"/>
        <color rgb="FF1155CC"/>
        <rFont val="Arial"/>
        <family val="2"/>
        <scheme val="minor"/>
      </rPr>
      <t>C02999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</si>
  <si>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</si>
  <si>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</si>
  <si>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C03620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</si>
  <si>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</si>
  <si>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</si>
  <si>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C06244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</si>
  <si>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</si>
  <si>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</si>
  <si>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C02505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</si>
  <si>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C07086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</si>
  <si>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</si>
  <si>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C02693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</si>
  <si>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C00954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</si>
  <si>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</si>
  <si>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C03078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</si>
  <si>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C01035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</si>
  <si>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</si>
  <si>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C00511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</si>
  <si>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C01659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</si>
  <si>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</si>
  <si>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C09815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</si>
  <si>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C00180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</si>
  <si>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</si>
  <si>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C00241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</si>
  <si>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</si>
  <si>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3.5.1.88</t>
    </r>
  </si>
  <si>
    <r>
      <rPr>
        <u/>
        <sz val="11"/>
        <color rgb="FF1155CC"/>
        <rFont val="Arial"/>
        <family val="2"/>
        <scheme val="minor"/>
      </rPr>
      <t>C11439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</si>
  <si>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C11440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C00058</t>
    </r>
  </si>
  <si>
    <r>
      <rPr>
        <u/>
        <sz val="10"/>
        <color rgb="FF1155CC"/>
        <rFont val="monospace, serif"/>
      </rPr>
      <t>3.5.1.88</t>
    </r>
  </si>
  <si>
    <r>
      <rPr>
        <u/>
        <sz val="11"/>
        <color rgb="FF1155CC"/>
        <rFont val="Arial"/>
        <family val="2"/>
        <scheme val="minor"/>
      </rPr>
      <t>C04258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</si>
  <si>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C03617</t>
    </r>
  </si>
  <si>
    <r>
      <rPr>
        <u/>
        <sz val="10"/>
        <color rgb="FF1155CC"/>
        <rFont val="monospace, serif"/>
      </rPr>
      <t>3.5.2.3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</si>
  <si>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</si>
  <si>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C00438</t>
    </r>
  </si>
  <si>
    <r>
      <rPr>
        <u/>
        <sz val="10"/>
        <color rgb="FF1155CC"/>
        <rFont val="monospace, serif"/>
      </rPr>
      <t>3.5.2.3</t>
    </r>
  </si>
  <si>
    <r>
      <rPr>
        <u/>
        <sz val="11"/>
        <color rgb="FF1155CC"/>
        <rFont val="Arial"/>
        <family val="2"/>
        <scheme val="minor"/>
      </rPr>
      <t>C00337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</si>
  <si>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</si>
  <si>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</si>
  <si>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C04734</t>
    </r>
  </si>
  <si>
    <r>
      <rPr>
        <u/>
        <sz val="10"/>
        <color rgb="FF1155CC"/>
        <rFont val="monospace, serif"/>
      </rPr>
      <t>3.5.4.19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</si>
  <si>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</si>
  <si>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</si>
  <si>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monospace, serif"/>
      </rPr>
      <t>3.5.4.33</t>
    </r>
  </si>
  <si>
    <r>
      <rPr>
        <u/>
        <sz val="11"/>
        <color rgb="FF1155CC"/>
        <rFont val="Arial"/>
        <family val="2"/>
      </rPr>
      <t>C17324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</si>
  <si>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C20451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C00014</t>
    </r>
  </si>
  <si>
    <r>
      <rPr>
        <u/>
        <sz val="10"/>
        <color rgb="FF1155CC"/>
        <rFont val="monospace, serif"/>
      </rPr>
      <t>3.5.4.33</t>
    </r>
  </si>
  <si>
    <r>
      <rPr>
        <u/>
        <sz val="11"/>
        <color rgb="FF1155CC"/>
        <rFont val="Arial"/>
        <family val="2"/>
        <scheme val="minor"/>
      </rPr>
      <t>C17324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</si>
  <si>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C20451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</si>
  <si>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3.5.4.4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</si>
  <si>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</si>
  <si>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</si>
  <si>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3.5.4.4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</si>
  <si>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</si>
  <si>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</si>
  <si>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</si>
  <si>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</si>
  <si>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</si>
  <si>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</si>
  <si>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</si>
  <si>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</si>
  <si>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</si>
  <si>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C16635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</si>
  <si>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C12739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</si>
  <si>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C00445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</si>
  <si>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C00234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</si>
  <si>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3.5.99.2</t>
    </r>
  </si>
  <si>
    <r>
      <rPr>
        <u/>
        <sz val="11"/>
        <color rgb="FF1155CC"/>
        <rFont val="Arial"/>
        <family val="2"/>
        <scheme val="minor"/>
      </rPr>
      <t>C00378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</si>
  <si>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</si>
  <si>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3.5.99.2</t>
    </r>
  </si>
  <si>
    <r>
      <rPr>
        <u/>
        <sz val="11"/>
        <color rgb="FF1155CC"/>
        <rFont val="Arial"/>
        <family val="2"/>
        <scheme val="minor"/>
      </rPr>
      <t>C20267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</si>
  <si>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</si>
  <si>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3.5.99.6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</si>
  <si>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</si>
  <si>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</si>
  <si>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3.6.1.1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</si>
  <si>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</si>
  <si>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</si>
  <si>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C00404</t>
    </r>
    <r>
      <rPr>
        <sz val="11"/>
        <color rgb="FF000000"/>
        <rFont val="Arial"/>
        <family val="2"/>
        <scheme val="minor"/>
      </rPr>
      <t xml:space="preserve">(n)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</si>
  <si>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C00404</t>
    </r>
    <r>
      <rPr>
        <sz val="11"/>
        <color rgb="FF000000"/>
        <rFont val="Arial"/>
        <family val="2"/>
        <scheme val="minor"/>
      </rPr>
      <t xml:space="preserve">(n-1)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</si>
  <si>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C04494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</si>
  <si>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C01228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</si>
  <si>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3.6.1.27</t>
    </r>
  </si>
  <si>
    <r>
      <rPr>
        <u/>
        <sz val="11"/>
        <color rgb="FF1155CC"/>
        <rFont val="Arial"/>
        <family val="2"/>
        <scheme val="minor"/>
      </rPr>
      <t>C04574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</si>
  <si>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C17556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</si>
  <si>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3.6.1.31</t>
    </r>
  </si>
  <si>
    <r>
      <rPr>
        <u/>
        <sz val="11"/>
        <color rgb="FF1155CC"/>
        <rFont val="Arial"/>
        <family val="2"/>
        <scheme val="minor"/>
      </rPr>
      <t>C02739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</si>
  <si>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</si>
  <si>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3.6.1.41</t>
    </r>
  </si>
  <si>
    <r>
      <rPr>
        <u/>
        <sz val="11"/>
        <color rgb="FF1155CC"/>
        <rFont val="Arial"/>
        <family val="2"/>
        <scheme val="minor"/>
      </rPr>
      <t>C01260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</si>
  <si>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</si>
  <si>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</si>
  <si>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</si>
  <si>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</si>
  <si>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</si>
  <si>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</si>
  <si>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</si>
  <si>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</si>
  <si>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3.7.1.22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</si>
  <si>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</si>
  <si>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</si>
  <si>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monospace, serif"/>
      </rPr>
      <t>4.1.1.101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</si>
  <si>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</si>
  <si>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1"/>
        <color rgb="FF1155CC"/>
        <rFont val="Arial"/>
        <family val="2"/>
        <scheme val="minor"/>
      </rPr>
      <t>C00186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</si>
  <si>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4.1.1.112</t>
    </r>
  </si>
  <si>
    <r>
      <rPr>
        <u/>
        <sz val="10"/>
        <color rgb="FF1155CC"/>
        <rFont val="Arial"/>
        <family val="2"/>
      </rPr>
      <t>C00036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</si>
  <si>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</si>
  <si>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4.1.1.112</t>
    </r>
  </si>
  <si>
    <r>
      <rPr>
        <u/>
        <sz val="10"/>
        <color rgb="FF1155CC"/>
        <rFont val="Arial"/>
        <family val="2"/>
      </rPr>
      <t>C06030</t>
    </r>
  </si>
  <si>
    <r>
      <rPr>
        <u/>
        <sz val="11"/>
        <color rgb="FF1155CC"/>
        <rFont val="Arial"/>
        <family val="2"/>
        <scheme val="minor"/>
      </rPr>
      <t>C00109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</si>
  <si>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4.1.1.12</t>
    </r>
  </si>
  <si>
    <r>
      <rPr>
        <u/>
        <sz val="10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</si>
  <si>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</si>
  <si>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4.1.1.12</t>
    </r>
  </si>
  <si>
    <r>
      <rPr>
        <u/>
        <sz val="10"/>
        <color rgb="FF1155CC"/>
        <rFont val="Arial"/>
        <family val="2"/>
      </rPr>
      <t>C00606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</si>
  <si>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C09306</t>
    </r>
  </si>
  <si>
    <r>
      <rPr>
        <u/>
        <sz val="10"/>
        <color rgb="FF1155CC"/>
        <rFont val="monospace, serif"/>
      </rPr>
      <t>4.1.1.20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</si>
  <si>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</si>
  <si>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</si>
  <si>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4.1.1.21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</si>
  <si>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</si>
  <si>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</si>
  <si>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4.1.1.23</t>
    </r>
  </si>
  <si>
    <r>
      <rPr>
        <u/>
        <sz val="10"/>
        <color rgb="FF1155CC"/>
        <rFont val="Arial"/>
        <family val="2"/>
      </rPr>
      <t>C01103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</si>
  <si>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</si>
  <si>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</si>
  <si>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</si>
  <si>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</si>
  <si>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4.1.1.36</t>
    </r>
  </si>
  <si>
    <r>
      <rPr>
        <u/>
        <sz val="10"/>
        <color rgb="FF1155CC"/>
        <rFont val="Arial"/>
        <family val="2"/>
      </rPr>
      <t>C04352</t>
    </r>
  </si>
  <si>
    <r>
      <rPr>
        <u/>
        <sz val="11"/>
        <color rgb="FF1155CC"/>
        <rFont val="Arial"/>
        <family val="2"/>
        <scheme val="minor"/>
      </rPr>
      <t>C01134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</si>
  <si>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4.1.1.48</t>
    </r>
  </si>
  <si>
    <r>
      <rPr>
        <u/>
        <sz val="10"/>
        <color rgb="FF1155CC"/>
        <rFont val="Arial"/>
        <family val="2"/>
      </rPr>
      <t>C01302</t>
    </r>
  </si>
  <si>
    <r>
      <rPr>
        <u/>
        <sz val="11"/>
        <color rgb="FF1155CC"/>
        <rFont val="Arial"/>
        <family val="2"/>
        <scheme val="minor"/>
      </rPr>
      <t>C03506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</si>
  <si>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4.1.1.49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</si>
  <si>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</si>
  <si>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</si>
  <si>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4.1.1.5</t>
    </r>
  </si>
  <si>
    <r>
      <rPr>
        <u/>
        <sz val="10"/>
        <color rgb="FF1155CC"/>
        <rFont val="Arial"/>
        <family val="2"/>
      </rPr>
      <t>C06010</t>
    </r>
  </si>
  <si>
    <r>
      <rPr>
        <u/>
        <sz val="11"/>
        <color rgb="FF1155CC"/>
        <rFont val="Arial"/>
        <family val="2"/>
        <scheme val="minor"/>
      </rPr>
      <t>C00810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</si>
  <si>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4.1.1.85</t>
    </r>
  </si>
  <si>
    <r>
      <rPr>
        <u/>
        <sz val="11"/>
        <color rgb="FF1155CC"/>
        <rFont val="Arial"/>
        <family val="2"/>
        <scheme val="minor"/>
      </rPr>
      <t>C14899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</si>
  <si>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C03291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</si>
  <si>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</si>
  <si>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</si>
  <si>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</si>
  <si>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</si>
  <si>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</si>
  <si>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</si>
  <si>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</si>
  <si>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</si>
  <si>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</si>
  <si>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</si>
  <si>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</si>
  <si>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</si>
  <si>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</si>
  <si>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</si>
  <si>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</si>
  <si>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</si>
  <si>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</si>
  <si>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</si>
  <si>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</si>
  <si>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</si>
  <si>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</si>
  <si>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</si>
  <si>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</si>
  <si>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</si>
  <si>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</si>
  <si>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</si>
  <si>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</si>
  <si>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</si>
  <si>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</si>
  <si>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</si>
  <si>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</si>
  <si>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</si>
  <si>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</si>
  <si>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</si>
  <si>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</si>
  <si>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</si>
  <si>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0"/>
        <color rgb="FF1155CC"/>
        <rFont val="monospace, serif"/>
      </rPr>
      <t>4.1.2.4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</si>
  <si>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</si>
  <si>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C00084</t>
    </r>
  </si>
  <si>
    <r>
      <rPr>
        <u/>
        <sz val="10"/>
        <color rgb="FF1155CC"/>
        <rFont val="monospace, serif"/>
      </rPr>
      <t>4.1.2.4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</si>
  <si>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</si>
  <si>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C00084</t>
    </r>
  </si>
  <si>
    <r>
      <rPr>
        <u/>
        <sz val="10"/>
        <color rgb="FF1155CC"/>
        <rFont val="monospace, serif"/>
      </rPr>
      <t>4.1.2.43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</si>
  <si>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</si>
  <si>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</si>
  <si>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monospace, serif"/>
      </rPr>
      <t>4.1.2.43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</si>
  <si>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C00067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</si>
  <si>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</si>
  <si>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monospace, serif"/>
      </rPr>
      <t>4.1.3.6</t>
    </r>
  </si>
  <si>
    <r>
      <rPr>
        <u/>
        <sz val="10"/>
        <color rgb="FF1155CC"/>
        <rFont val="Arial"/>
        <family val="2"/>
      </rPr>
      <t>C00158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</si>
  <si>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</si>
  <si>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0"/>
        <color rgb="FF1155CC"/>
        <rFont val="monospace, serif"/>
      </rPr>
      <t>4.1.3.6</t>
    </r>
  </si>
  <si>
    <r>
      <rPr>
        <u/>
        <sz val="10"/>
        <color rgb="FF1155CC"/>
        <rFont val="Arial"/>
        <family val="2"/>
      </rPr>
      <t>C00158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</si>
  <si>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</si>
  <si>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0"/>
        <color rgb="FF1155CC"/>
        <rFont val="monospace, serif"/>
      </rPr>
      <t>4.2.1.11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</si>
  <si>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</si>
  <si>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</si>
  <si>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4.2.1.11</t>
    </r>
  </si>
  <si>
    <r>
      <rPr>
        <u/>
        <sz val="10"/>
        <color rgb="FF1155CC"/>
        <rFont val="Arial"/>
        <family val="2"/>
      </rPr>
      <t>C03356</t>
    </r>
  </si>
  <si>
    <r>
      <rPr>
        <u/>
        <sz val="11"/>
        <color rgb="FF1155CC"/>
        <rFont val="Arial"/>
        <family val="2"/>
        <scheme val="minor"/>
      </rPr>
      <t>C04309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</si>
  <si>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4.2.1.113</t>
    </r>
  </si>
  <si>
    <r>
      <rPr>
        <u/>
        <sz val="11"/>
        <color rgb="FF1155CC"/>
        <rFont val="Arial"/>
        <family val="2"/>
        <scheme val="minor"/>
      </rPr>
      <t>C02730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</si>
  <si>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C05817</t>
    </r>
  </si>
  <si>
    <r>
      <rPr>
        <u/>
        <sz val="10"/>
        <color rgb="FF1155CC"/>
        <rFont val="monospace, serif"/>
      </rPr>
      <t>4.2.1.126</t>
    </r>
  </si>
  <si>
    <r>
      <rPr>
        <u/>
        <sz val="11"/>
        <color rgb="FF1155CC"/>
        <rFont val="Arial"/>
        <family val="2"/>
        <scheme val="minor"/>
      </rPr>
      <t>C00256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C00357</t>
    </r>
  </si>
  <si>
    <r>
      <rPr>
        <u/>
        <sz val="11"/>
        <color rgb="FF1155CC"/>
        <rFont val="Arial"/>
        <family val="2"/>
        <scheme val="minor"/>
      </rPr>
      <t>C16698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</si>
  <si>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4.2.1.126</t>
    </r>
  </si>
  <si>
    <r>
      <rPr>
        <u/>
        <sz val="11"/>
        <color rgb="FF1155CC"/>
        <rFont val="Arial"/>
        <family val="2"/>
        <scheme val="minor"/>
      </rPr>
      <t>C00256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C00357</t>
    </r>
  </si>
  <si>
    <r>
      <rPr>
        <u/>
        <sz val="11"/>
        <color rgb="FF1155CC"/>
        <rFont val="Arial"/>
        <family val="2"/>
        <scheme val="minor"/>
      </rPr>
      <t>C16698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</si>
  <si>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4.2.1.19</t>
    </r>
  </si>
  <si>
    <r>
      <rPr>
        <u/>
        <sz val="10"/>
        <color rgb="FF1155CC"/>
        <rFont val="Arial"/>
        <family val="2"/>
      </rPr>
      <t>C04666</t>
    </r>
  </si>
  <si>
    <r>
      <rPr>
        <u/>
        <sz val="11"/>
        <color rgb="FF1155CC"/>
        <rFont val="Arial"/>
        <family val="2"/>
        <scheme val="minor"/>
      </rPr>
      <t>C01267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</si>
  <si>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</si>
  <si>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</si>
  <si>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</si>
  <si>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monospace, serif"/>
      </rPr>
      <t>4.2.1.20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</si>
  <si>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C00463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</si>
  <si>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</si>
  <si>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</si>
  <si>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0"/>
        <color rgb="FF1155CC"/>
        <rFont val="Arial"/>
        <family val="2"/>
      </rPr>
      <t>C03506</t>
    </r>
  </si>
  <si>
    <r>
      <rPr>
        <u/>
        <sz val="11"/>
        <color rgb="FF1155CC"/>
        <rFont val="Arial"/>
        <family val="2"/>
        <scheme val="minor"/>
      </rPr>
      <t>C00463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</si>
  <si>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4.2.1.20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</si>
  <si>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C03506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</si>
  <si>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</si>
  <si>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</si>
  <si>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C00463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</si>
  <si>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</si>
  <si>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</si>
  <si>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0"/>
        <color rgb="FF1155CC"/>
        <rFont val="Arial"/>
        <family val="2"/>
      </rPr>
      <t>C03506</t>
    </r>
  </si>
  <si>
    <r>
      <rPr>
        <u/>
        <sz val="11"/>
        <color rgb="FF1155CC"/>
        <rFont val="Arial"/>
        <family val="2"/>
        <scheme val="minor"/>
      </rPr>
      <t>C00463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</si>
  <si>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4.2.1.20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</si>
  <si>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C03506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</si>
  <si>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</si>
  <si>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4.2.1.44</t>
    </r>
  </si>
  <si>
    <r>
      <rPr>
        <u/>
        <sz val="10"/>
        <color rgb="FF1155CC"/>
        <rFont val="Arial"/>
        <family val="2"/>
      </rPr>
      <t>C00691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</si>
  <si>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</si>
  <si>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4.2.1.53</t>
    </r>
  </si>
  <si>
    <r>
      <rPr>
        <u/>
        <sz val="10"/>
        <color rgb="FF1155CC"/>
        <rFont val="Arial"/>
        <family val="2"/>
      </rPr>
      <t>C03195</t>
    </r>
  </si>
  <si>
    <r>
      <rPr>
        <u/>
        <sz val="11"/>
        <color rgb="FF1155CC"/>
        <rFont val="Arial"/>
        <family val="2"/>
        <scheme val="minor"/>
      </rPr>
      <t>C00712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</si>
  <si>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C01271</t>
    </r>
  </si>
  <si>
    <r>
      <rPr>
        <u/>
        <sz val="11"/>
        <color rgb="FF1155CC"/>
        <rFont val="Arial"/>
        <family val="2"/>
        <scheme val="minor"/>
      </rPr>
      <t>C00693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</si>
  <si>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C04618</t>
    </r>
  </si>
  <si>
    <r>
      <rPr>
        <u/>
        <sz val="11"/>
        <color rgb="FF1155CC"/>
        <rFont val="Arial"/>
        <family val="2"/>
        <scheme val="minor"/>
      </rPr>
      <t>C04246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</si>
  <si>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C04619</t>
    </r>
  </si>
  <si>
    <r>
      <rPr>
        <u/>
        <sz val="11"/>
        <color rgb="FF1155CC"/>
        <rFont val="Arial"/>
        <family val="2"/>
        <scheme val="minor"/>
      </rPr>
      <t>C05754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</si>
  <si>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C04620</t>
    </r>
  </si>
  <si>
    <r>
      <rPr>
        <u/>
        <sz val="11"/>
        <color rgb="FF1155CC"/>
        <rFont val="Arial"/>
        <family val="2"/>
        <scheme val="minor"/>
      </rPr>
      <t>C05751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</si>
  <si>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C04633</t>
    </r>
  </si>
  <si>
    <r>
      <rPr>
        <u/>
        <sz val="11"/>
        <color rgb="FF1155CC"/>
        <rFont val="Arial"/>
        <family val="2"/>
        <scheme val="minor"/>
      </rPr>
      <t>C05763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</si>
  <si>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C04688</t>
    </r>
  </si>
  <si>
    <r>
      <rPr>
        <u/>
        <sz val="11"/>
        <color rgb="FF1155CC"/>
        <rFont val="Arial"/>
        <family val="2"/>
        <scheme val="minor"/>
      </rPr>
      <t>C05760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</si>
  <si>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C05747</t>
    </r>
  </si>
  <si>
    <r>
      <rPr>
        <u/>
        <sz val="11"/>
        <color rgb="FF1155CC"/>
        <rFont val="Arial"/>
        <family val="2"/>
        <scheme val="minor"/>
      </rPr>
      <t>C05748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</si>
  <si>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C05757</t>
    </r>
  </si>
  <si>
    <r>
      <rPr>
        <u/>
        <sz val="11"/>
        <color rgb="FF1155CC"/>
        <rFont val="Arial"/>
        <family val="2"/>
        <scheme val="minor"/>
      </rPr>
      <t>C05758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</si>
  <si>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C20373</t>
    </r>
  </si>
  <si>
    <r>
      <rPr>
        <u/>
        <sz val="11"/>
        <color rgb="FF1155CC"/>
        <rFont val="Arial"/>
        <family val="2"/>
        <scheme val="minor"/>
      </rPr>
      <t>C20374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</si>
  <si>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C20377</t>
    </r>
  </si>
  <si>
    <r>
      <rPr>
        <u/>
        <sz val="11"/>
        <color rgb="FF1155CC"/>
        <rFont val="Arial"/>
        <family val="2"/>
        <scheme val="minor"/>
      </rPr>
      <t>C20378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</si>
  <si>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4.2.3.1</t>
    </r>
  </si>
  <si>
    <r>
      <rPr>
        <u/>
        <sz val="11"/>
        <color rgb="FF1155CC"/>
        <rFont val="Arial"/>
        <family val="2"/>
        <scheme val="minor"/>
      </rPr>
      <t>C01102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</si>
  <si>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</si>
  <si>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4.2.3.1</t>
    </r>
  </si>
  <si>
    <r>
      <rPr>
        <u/>
        <sz val="11"/>
        <color rgb="FF1155CC"/>
        <rFont val="Arial"/>
        <family val="2"/>
        <scheme val="minor"/>
      </rPr>
      <t>C06055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</si>
  <si>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C06056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</si>
  <si>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4.2.99.18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</si>
  <si>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</si>
  <si>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</si>
  <si>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</si>
  <si>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</si>
  <si>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C0006</t>
    </r>
    <r>
      <rPr>
        <sz val="11"/>
        <rFont val="Arial"/>
        <family val="2"/>
        <scheme val="minor"/>
      </rPr>
      <t>5</t>
    </r>
  </si>
  <si>
    <r>
      <rPr>
        <u/>
        <sz val="11"/>
        <color rgb="FF1155CC"/>
        <rFont val="Arial"/>
        <family val="2"/>
        <scheme val="minor"/>
      </rPr>
      <t>C02218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</si>
  <si>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</si>
  <si>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C20904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</si>
  <si>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</si>
  <si>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</si>
  <si>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C02218</t>
    </r>
  </si>
  <si>
    <r>
      <rPr>
        <u/>
        <sz val="10"/>
        <color rgb="FF1155CC"/>
        <rFont val="Arial"/>
        <family val="2"/>
      </rPr>
      <t>C20904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</si>
  <si>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</si>
  <si>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C05167</t>
    </r>
  </si>
  <si>
    <r>
      <rPr>
        <u/>
        <sz val="11"/>
        <color rgb="FF1155CC"/>
        <rFont val="Arial"/>
        <family val="2"/>
        <scheme val="minor"/>
      </rPr>
      <t>C00161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</si>
  <si>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</si>
  <si>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</si>
  <si>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</si>
  <si>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</si>
  <si>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C0006</t>
    </r>
    <r>
      <rPr>
        <sz val="11"/>
        <rFont val="Arial"/>
        <family val="2"/>
        <scheme val="minor"/>
      </rPr>
      <t>5</t>
    </r>
  </si>
  <si>
    <r>
      <rPr>
        <u/>
        <sz val="11"/>
        <color rgb="FF1155CC"/>
        <rFont val="Arial"/>
        <family val="2"/>
        <scheme val="minor"/>
      </rPr>
      <t>C02218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</si>
  <si>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</si>
  <si>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C20904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</si>
  <si>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</si>
  <si>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</si>
  <si>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C02218</t>
    </r>
  </si>
  <si>
    <r>
      <rPr>
        <u/>
        <sz val="10"/>
        <color rgb="FF1155CC"/>
        <rFont val="Arial"/>
        <family val="2"/>
      </rPr>
      <t>C20904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</si>
  <si>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</si>
  <si>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C05167</t>
    </r>
  </si>
  <si>
    <r>
      <rPr>
        <u/>
        <sz val="11"/>
        <color rgb="FF1155CC"/>
        <rFont val="Arial"/>
        <family val="2"/>
        <scheme val="minor"/>
      </rPr>
      <t>C00161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</si>
  <si>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4.3.2.1</t>
    </r>
  </si>
  <si>
    <r>
      <rPr>
        <u/>
        <sz val="10"/>
        <color rgb="FF1155CC"/>
        <rFont val="Arial"/>
        <family val="2"/>
      </rPr>
      <t>C03406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</si>
  <si>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C00062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</si>
  <si>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</si>
  <si>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</si>
  <si>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</si>
  <si>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</si>
  <si>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</si>
  <si>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</si>
  <si>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</si>
  <si>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</si>
  <si>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</si>
  <si>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</si>
  <si>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</si>
  <si>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</si>
  <si>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</si>
  <si>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</si>
  <si>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</si>
  <si>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</si>
  <si>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</si>
  <si>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</si>
  <si>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</si>
  <si>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Arial"/>
        <family val="2"/>
      </rPr>
      <t>C03794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</si>
  <si>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</si>
  <si>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</si>
  <si>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Arial"/>
        <family val="2"/>
      </rPr>
      <t>C04823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</si>
  <si>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C04677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</si>
  <si>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</si>
  <si>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Arial"/>
        <family val="2"/>
      </rPr>
      <t>C22395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</si>
  <si>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C00122</t>
    </r>
  </si>
  <si>
    <r>
      <rPr>
        <u/>
        <sz val="10"/>
        <color rgb="FF1155CC"/>
        <rFont val="monospace, serif"/>
      </rPr>
      <t>4.3.3.7</t>
    </r>
  </si>
  <si>
    <r>
      <rPr>
        <u/>
        <sz val="11"/>
        <color rgb="FF1155CC"/>
        <rFont val="Arial"/>
        <family val="2"/>
        <scheme val="minor"/>
      </rPr>
      <t>C00441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</si>
  <si>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C20258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</si>
  <si>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4.3.3.7</t>
    </r>
  </si>
  <si>
    <r>
      <rPr>
        <u/>
        <sz val="11"/>
        <color rgb="FF1155CC"/>
        <rFont val="Arial"/>
        <family val="2"/>
        <scheme val="minor"/>
      </rPr>
      <t>C00441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</si>
  <si>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C20258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</si>
  <si>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</si>
  <si>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</si>
  <si>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</si>
  <si>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</si>
  <si>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C02291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</si>
  <si>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</si>
  <si>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</si>
  <si>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C00491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</si>
  <si>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C01962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</si>
  <si>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</si>
  <si>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C02749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</si>
  <si>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</si>
  <si>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</si>
  <si>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</si>
  <si>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</si>
  <si>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</si>
  <si>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</si>
  <si>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C00283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</si>
  <si>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</si>
  <si>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</si>
  <si>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C05698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</si>
  <si>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</si>
  <si>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</si>
  <si>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C05703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</si>
  <si>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</si>
  <si>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</si>
  <si>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</si>
  <si>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</si>
  <si>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C02291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</si>
  <si>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</si>
  <si>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</si>
  <si>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C00491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</si>
  <si>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C01962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</si>
  <si>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</si>
  <si>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C02749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</si>
  <si>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</si>
  <si>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</si>
  <si>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</si>
  <si>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C01336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</si>
  <si>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</si>
  <si>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</si>
  <si>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C00283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</si>
  <si>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</si>
  <si>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C05699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</si>
  <si>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C05698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</si>
  <si>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</si>
  <si>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C05689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</si>
  <si>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C05703</t>
    </r>
  </si>
  <si>
    <r>
      <rPr>
        <u/>
        <sz val="10"/>
        <color rgb="FF1155CC"/>
        <rFont val="monospace, serif"/>
      </rPr>
      <t>4.4.1.21</t>
    </r>
  </si>
  <si>
    <r>
      <rPr>
        <u/>
        <sz val="10"/>
        <color rgb="FF1155CC"/>
        <rFont val="Arial"/>
        <family val="2"/>
      </rPr>
      <t>C03539</t>
    </r>
  </si>
  <si>
    <r>
      <rPr>
        <u/>
        <sz val="11"/>
        <color rgb="FF1155CC"/>
        <rFont val="Arial"/>
        <family val="2"/>
        <scheme val="minor"/>
      </rPr>
      <t>C11838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C00155</t>
    </r>
  </si>
  <si>
    <r>
      <rPr>
        <u/>
        <sz val="10"/>
        <color rgb="FF1155CC"/>
        <rFont val="monospace, serif"/>
      </rPr>
      <t>5.1.1.1</t>
    </r>
  </si>
  <si>
    <r>
      <rPr>
        <u/>
        <sz val="10"/>
        <color rgb="FF1155CC"/>
        <rFont val="Arial"/>
        <family val="2"/>
      </rPr>
      <t>C00133</t>
    </r>
  </si>
  <si>
    <r>
      <rPr>
        <u/>
        <sz val="10"/>
        <color rgb="FF1155CC"/>
        <rFont val="monospace, serif"/>
      </rPr>
      <t>5.1.1.3</t>
    </r>
  </si>
  <si>
    <r>
      <rPr>
        <u/>
        <sz val="10"/>
        <color rgb="FF1155CC"/>
        <rFont val="Arial"/>
        <family val="2"/>
      </rPr>
      <t>C00025</t>
    </r>
  </si>
  <si>
    <r>
      <rPr>
        <u/>
        <sz val="10"/>
        <color rgb="FF1155CC"/>
        <rFont val="Arial"/>
        <family val="2"/>
      </rPr>
      <t>C00217</t>
    </r>
  </si>
  <si>
    <r>
      <rPr>
        <u/>
        <sz val="10"/>
        <color rgb="FF1155CC"/>
        <rFont val="monospace, serif"/>
      </rPr>
      <t>5.1.1.7</t>
    </r>
  </si>
  <si>
    <r>
      <rPr>
        <u/>
        <sz val="10"/>
        <color rgb="FF1155CC"/>
        <rFont val="Arial"/>
        <family val="2"/>
      </rPr>
      <t>C00666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</si>
  <si>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</si>
  <si>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monospace, serif"/>
      </rPr>
      <t>5.1.3.1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</si>
  <si>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</si>
  <si>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</si>
  <si>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monospace, serif"/>
      </rPr>
      <t>5.1.3.1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</si>
  <si>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</si>
  <si>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</si>
  <si>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</si>
  <si>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C00029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</si>
  <si>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</si>
  <si>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</si>
  <si>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C00043</t>
    </r>
  </si>
  <si>
    <r>
      <rPr>
        <u/>
        <sz val="10"/>
        <color rgb="FF1155CC"/>
        <rFont val="Arial"/>
        <family val="2"/>
      </rPr>
      <t>C00203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</si>
  <si>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</si>
  <si>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C00842</t>
    </r>
  </si>
  <si>
    <r>
      <rPr>
        <u/>
        <sz val="10"/>
        <color rgb="FF1155CC"/>
        <rFont val="Arial"/>
        <family val="2"/>
      </rPr>
      <t>C02097</t>
    </r>
  </si>
  <si>
    <r>
      <rPr>
        <u/>
        <sz val="10"/>
        <color rgb="FF1155CC"/>
        <rFont val="monospace, serif"/>
      </rPr>
      <t>5.1.3.4</t>
    </r>
  </si>
  <si>
    <r>
      <rPr>
        <u/>
        <sz val="10"/>
        <color rgb="FF1155CC"/>
        <rFont val="Arial"/>
        <family val="2"/>
      </rPr>
      <t>C01101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</si>
  <si>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</si>
  <si>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</si>
  <si>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</si>
  <si>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</si>
  <si>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</si>
  <si>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</si>
  <si>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</si>
  <si>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</si>
  <si>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</si>
  <si>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</si>
  <si>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</si>
  <si>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</si>
  <si>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</si>
  <si>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monospace, serif"/>
      </rPr>
      <t>5.3.1.1</t>
    </r>
  </si>
  <si>
    <r>
      <rPr>
        <u/>
        <sz val="10"/>
        <color rgb="FF1155CC"/>
        <rFont val="Arial"/>
        <family val="2"/>
      </rPr>
      <t>C00118</t>
    </r>
  </si>
  <si>
    <r>
      <rPr>
        <u/>
        <sz val="10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</si>
  <si>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5.3.1.1</t>
    </r>
  </si>
  <si>
    <r>
      <rPr>
        <u/>
        <sz val="10"/>
        <color rgb="FF1155CC"/>
        <rFont val="Arial"/>
        <family val="2"/>
      </rPr>
      <t>C00118</t>
    </r>
  </si>
  <si>
    <r>
      <rPr>
        <u/>
        <sz val="10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</si>
  <si>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5.3.1.16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</si>
  <si>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</si>
  <si>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Arial"/>
        <family val="2"/>
      </rPr>
      <t>C04916</t>
    </r>
  </si>
  <si>
    <r>
      <rPr>
        <u/>
        <sz val="10"/>
        <color rgb="FF1155CC"/>
        <rFont val="monospace, serif"/>
      </rPr>
      <t>5.3.1.26</t>
    </r>
  </si>
  <si>
    <r>
      <rPr>
        <u/>
        <sz val="10"/>
        <color rgb="FF1155CC"/>
        <rFont val="Arial"/>
        <family val="2"/>
      </rPr>
      <t>C01113</t>
    </r>
  </si>
  <si>
    <r>
      <rPr>
        <u/>
        <sz val="10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</si>
  <si>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5.3.1.26</t>
    </r>
  </si>
  <si>
    <r>
      <rPr>
        <u/>
        <sz val="10"/>
        <color rgb="FF1155CC"/>
        <rFont val="Arial"/>
        <family val="2"/>
      </rPr>
      <t>C01113</t>
    </r>
  </si>
  <si>
    <r>
      <rPr>
        <u/>
        <sz val="10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</si>
  <si>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</si>
  <si>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</si>
  <si>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</si>
  <si>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</si>
  <si>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</si>
  <si>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</si>
  <si>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</si>
  <si>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</si>
  <si>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</si>
  <si>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</si>
  <si>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</si>
  <si>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</si>
  <si>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5.3.1.30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</si>
  <si>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</si>
  <si>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Arial"/>
        <family val="2"/>
      </rPr>
      <t>C06892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</si>
  <si>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</si>
  <si>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</si>
  <si>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</si>
  <si>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</si>
  <si>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C02962</t>
    </r>
  </si>
  <si>
    <r>
      <rPr>
        <u/>
        <sz val="10"/>
        <color rgb="FF1155CC"/>
        <rFont val="Arial"/>
        <family val="2"/>
      </rPr>
      <t>C18096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</si>
  <si>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</si>
  <si>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</si>
  <si>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</si>
  <si>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</si>
  <si>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C02962</t>
    </r>
  </si>
  <si>
    <r>
      <rPr>
        <u/>
        <sz val="10"/>
        <color rgb="FF1155CC"/>
        <rFont val="Arial"/>
        <family val="2"/>
      </rPr>
      <t>C18096</t>
    </r>
  </si>
  <si>
    <r>
      <rPr>
        <u/>
        <sz val="10"/>
        <color rgb="FF1155CC"/>
        <rFont val="monospace, serif"/>
      </rPr>
      <t>5.3.1.8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</si>
  <si>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</si>
  <si>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</si>
  <si>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5.3.1.8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</si>
  <si>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</si>
  <si>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</si>
  <si>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</si>
  <si>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</si>
  <si>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</si>
  <si>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</si>
  <si>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</si>
  <si>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</si>
  <si>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</si>
  <si>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</si>
  <si>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</si>
  <si>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</si>
  <si>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</si>
  <si>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</si>
  <si>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</si>
  <si>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</si>
  <si>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</si>
  <si>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C02501</t>
    </r>
  </si>
  <si>
    <r>
      <rPr>
        <u/>
        <sz val="10"/>
        <color rgb="FF1155CC"/>
        <rFont val="Arial"/>
        <family val="2"/>
      </rPr>
      <t>C03453</t>
    </r>
  </si>
  <si>
    <r>
      <rPr>
        <u/>
        <sz val="10"/>
        <color rgb="FF1155CC"/>
        <rFont val="Arial"/>
        <family val="2"/>
      </rPr>
      <t>C07478</t>
    </r>
  </si>
  <si>
    <r>
      <rPr>
        <u/>
        <sz val="10"/>
        <color rgb="FF1155CC"/>
        <rFont val="Arial"/>
        <family val="2"/>
      </rPr>
      <t>C07479</t>
    </r>
  </si>
  <si>
    <r>
      <rPr>
        <u/>
        <sz val="10"/>
        <color rgb="FF1155CC"/>
        <rFont val="monospace, serif"/>
      </rPr>
      <t>5.3.3.2</t>
    </r>
  </si>
  <si>
    <r>
      <rPr>
        <u/>
        <sz val="10"/>
        <color rgb="FF1155CC"/>
        <rFont val="Arial"/>
        <family val="2"/>
      </rPr>
      <t>C00129</t>
    </r>
  </si>
  <si>
    <r>
      <rPr>
        <u/>
        <sz val="10"/>
        <color rgb="FF1155CC"/>
        <rFont val="Arial"/>
        <family val="2"/>
      </rPr>
      <t>C00235</t>
    </r>
  </si>
  <si>
    <r>
      <rPr>
        <u/>
        <sz val="10"/>
        <color rgb="FF1155CC"/>
        <rFont val="monospace, serif"/>
      </rPr>
      <t>5.4.2.10</t>
    </r>
  </si>
  <si>
    <r>
      <rPr>
        <u/>
        <sz val="10"/>
        <color rgb="FF1155CC"/>
        <rFont val="Arial"/>
        <family val="2"/>
      </rPr>
      <t>C06156</t>
    </r>
  </si>
  <si>
    <r>
      <rPr>
        <u/>
        <sz val="10"/>
        <color rgb="FF1155CC"/>
        <rFont val="Arial"/>
        <family val="2"/>
      </rPr>
      <t>C00352</t>
    </r>
  </si>
  <si>
    <r>
      <rPr>
        <u/>
        <sz val="10"/>
        <color rgb="FF1155CC"/>
        <rFont val="monospace, serif"/>
      </rPr>
      <t>5.4.2.11</t>
    </r>
  </si>
  <si>
    <r>
      <rPr>
        <u/>
        <sz val="11"/>
        <color rgb="FF1155CC"/>
        <rFont val="Arial"/>
        <family val="2"/>
        <scheme val="minor"/>
      </rPr>
      <t>C01159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</si>
  <si>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C00197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C04262</t>
    </r>
  </si>
  <si>
    <r>
      <rPr>
        <u/>
        <sz val="10"/>
        <color rgb="FF1155CC"/>
        <rFont val="monospace, serif"/>
      </rPr>
      <t>5.4.2.11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</si>
  <si>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</si>
  <si>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0"/>
        <color rgb="FF1155CC"/>
        <rFont val="Arial"/>
        <family val="2"/>
      </rPr>
      <t>C00197</t>
    </r>
  </si>
  <si>
    <r>
      <rPr>
        <u/>
        <sz val="10"/>
        <color rgb="FF1155CC"/>
        <rFont val="monospace, serif"/>
      </rPr>
      <t>5.4.2.6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</si>
  <si>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</si>
  <si>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</si>
  <si>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5.4.2.6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</si>
  <si>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</si>
  <si>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</si>
  <si>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monospace, serif"/>
      </rPr>
      <t>5.4.2.7</t>
    </r>
  </si>
  <si>
    <r>
      <rPr>
        <u/>
        <sz val="10"/>
        <color rgb="FF1155CC"/>
        <rFont val="Arial"/>
        <family val="2"/>
      </rPr>
      <t>C00620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</si>
  <si>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</si>
  <si>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monospace, serif"/>
      </rPr>
      <t>5.4.2.7</t>
    </r>
  </si>
  <si>
    <r>
      <rPr>
        <u/>
        <sz val="10"/>
        <color rgb="FF1155CC"/>
        <rFont val="Arial"/>
        <family val="2"/>
      </rPr>
      <t>C00672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</si>
  <si>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</si>
  <si>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0"/>
        <color rgb="FF1155CC"/>
        <rFont val="monospace, serif"/>
      </rPr>
      <t>5.4.99.12</t>
    </r>
  </si>
  <si>
    <r>
      <rPr>
        <u/>
        <sz val="10"/>
        <color rgb="FF1155CC"/>
        <rFont val="Arial"/>
        <family val="2"/>
      </rPr>
      <t>C00868</t>
    </r>
  </si>
  <si>
    <r>
      <rPr>
        <u/>
        <sz val="10"/>
        <color rgb="FF1155CC"/>
        <rFont val="Arial"/>
        <family val="2"/>
      </rPr>
      <t>C02764</t>
    </r>
  </si>
  <si>
    <r>
      <rPr>
        <u/>
        <sz val="10"/>
        <color rgb="FF1155CC"/>
        <rFont val="monospace, serif"/>
      </rPr>
      <t>5.4.99.18</t>
    </r>
  </si>
  <si>
    <r>
      <rPr>
        <u/>
        <sz val="10"/>
        <color rgb="FF1155CC"/>
        <rFont val="Arial"/>
        <family val="2"/>
      </rPr>
      <t>C15667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</si>
  <si>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</si>
  <si>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0"/>
        <color rgb="FF1155CC"/>
        <rFont val="monospace, serif"/>
      </rPr>
      <t>5.4.99.25</t>
    </r>
  </si>
  <si>
    <r>
      <rPr>
        <u/>
        <sz val="10"/>
        <color rgb="FF1155CC"/>
        <rFont val="monospace, serif"/>
      </rPr>
      <t>5.4.99.62</t>
    </r>
  </si>
  <si>
    <r>
      <rPr>
        <u/>
        <sz val="10"/>
        <color rgb="FF1155CC"/>
        <rFont val="Arial"/>
        <family val="2"/>
      </rPr>
      <t>C08353</t>
    </r>
  </si>
  <si>
    <r>
      <rPr>
        <u/>
        <sz val="10"/>
        <color rgb="FF1155CC"/>
        <rFont val="Arial"/>
        <family val="2"/>
      </rPr>
      <t>C16639</t>
    </r>
  </si>
  <si>
    <r>
      <rPr>
        <u/>
        <sz val="10"/>
        <color rgb="FF1155CC"/>
        <rFont val="monospace, serif"/>
      </rPr>
      <t>5.4.99.9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</si>
  <si>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</si>
  <si>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Arial"/>
        <family val="2"/>
      </rPr>
      <t>C03733</t>
    </r>
  </si>
  <si>
    <r>
      <rPr>
        <u/>
        <sz val="10"/>
        <color rgb="FF1155CC"/>
        <rFont val="monospace, serif"/>
      </rPr>
      <t>5.4.99.9</t>
    </r>
  </si>
  <si>
    <r>
      <rPr>
        <u/>
        <sz val="10"/>
        <color rgb="FF1155CC"/>
        <rFont val="Arial"/>
        <family val="2"/>
      </rPr>
      <t>C00935</t>
    </r>
  </si>
  <si>
    <r>
      <rPr>
        <u/>
        <sz val="10"/>
        <color rgb="FF1155CC"/>
        <rFont val="Arial"/>
        <family val="2"/>
      </rPr>
      <t>C18094</t>
    </r>
  </si>
  <si>
    <r>
      <rPr>
        <u/>
        <sz val="10"/>
        <color rgb="FF1155CC"/>
        <rFont val="monospace, serif"/>
      </rPr>
      <t>5.6.2.1</t>
    </r>
  </si>
  <si>
    <r>
      <rPr>
        <u/>
        <sz val="10"/>
        <color rgb="FF1155CC"/>
        <rFont val="monospace, serif"/>
      </rPr>
      <t>5.6.2.2</t>
    </r>
  </si>
  <si>
    <r>
      <rPr>
        <u/>
        <sz val="10"/>
        <color rgb="FF1155CC"/>
        <rFont val="monospace, serif"/>
      </rPr>
      <t>5.6.2.2</t>
    </r>
  </si>
  <si>
    <r>
      <rPr>
        <u/>
        <sz val="10"/>
        <color rgb="FF1155CC"/>
        <rFont val="monospace, serif"/>
      </rPr>
      <t>5.6.2.2</t>
    </r>
  </si>
  <si>
    <r>
      <rPr>
        <u/>
        <sz val="10"/>
        <color rgb="FF1155CC"/>
        <rFont val="monospace, serif"/>
      </rPr>
      <t>5.6.2.2</t>
    </r>
  </si>
  <si>
    <r>
      <rPr>
        <u/>
        <sz val="10"/>
        <color rgb="FF1155CC"/>
        <rFont val="monospace, serif"/>
      </rPr>
      <t>6.1.1.1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</si>
  <si>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C00787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</si>
  <si>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C02839</t>
    </r>
  </si>
  <si>
    <r>
      <rPr>
        <u/>
        <sz val="10"/>
        <color rgb="FF1155CC"/>
        <rFont val="monospace, serif"/>
      </rPr>
      <t>6.1.1.10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</si>
  <si>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</si>
  <si>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C02430</t>
    </r>
  </si>
  <si>
    <r>
      <rPr>
        <u/>
        <sz val="10"/>
        <color rgb="FF1155CC"/>
        <rFont val="monospace, serif"/>
      </rPr>
      <t>6.1.1.10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</si>
  <si>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C05335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</si>
  <si>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C05336</t>
    </r>
  </si>
  <si>
    <r>
      <rPr>
        <u/>
        <sz val="10"/>
        <color rgb="FF1155CC"/>
        <rFont val="monospace, serif"/>
      </rPr>
      <t>6.1.1.11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</si>
  <si>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C01650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</si>
  <si>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C02553</t>
    </r>
  </si>
  <si>
    <r>
      <rPr>
        <u/>
        <sz val="10"/>
        <color rgb="FF1155CC"/>
        <rFont val="monospace, serif"/>
      </rPr>
      <t>6.1.1.11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</si>
  <si>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C16636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</si>
  <si>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C06481</t>
    </r>
  </si>
  <si>
    <r>
      <rPr>
        <u/>
        <sz val="10"/>
        <color rgb="FF1155CC"/>
        <rFont val="monospace, serif"/>
      </rPr>
      <t>6.1.1.12</t>
    </r>
  </si>
  <si>
    <r>
      <rPr>
        <u/>
        <sz val="11"/>
        <color rgb="FF1155CC"/>
        <rFont val="Arial"/>
        <family val="2"/>
        <scheme val="minor"/>
      </rPr>
      <t>C01638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</si>
  <si>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C02984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</si>
  <si>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</si>
  <si>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</si>
  <si>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C04260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</si>
  <si>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</si>
  <si>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</si>
  <si>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G13186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</si>
  <si>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</si>
  <si>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G13167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</si>
  <si>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</si>
  <si>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</si>
  <si>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</si>
  <si>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G13171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</si>
  <si>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</si>
  <si>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</si>
  <si>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G13175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</si>
  <si>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</si>
  <si>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</si>
  <si>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G13177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</si>
  <si>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</si>
  <si>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</si>
  <si>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G13179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</si>
  <si>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</si>
  <si>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G13192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</si>
  <si>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G13193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</si>
  <si>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</si>
  <si>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</si>
  <si>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C04260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</si>
  <si>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</si>
  <si>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</si>
  <si>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G13186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</si>
  <si>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</si>
  <si>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G13167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</si>
  <si>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G13180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</si>
  <si>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</si>
  <si>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</si>
  <si>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G13171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</si>
  <si>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</si>
  <si>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</si>
  <si>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G13175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</si>
  <si>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</si>
  <si>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</si>
  <si>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G13177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</si>
  <si>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</si>
  <si>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</si>
  <si>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G13179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</si>
  <si>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</si>
  <si>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G13192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</si>
  <si>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G13193</t>
    </r>
  </si>
  <si>
    <r>
      <rPr>
        <u/>
        <sz val="10"/>
        <color rgb="FF1155CC"/>
        <rFont val="monospace, serif"/>
      </rPr>
      <t>6.1.1.14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</si>
  <si>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</si>
  <si>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C02412</t>
    </r>
  </si>
  <si>
    <r>
      <rPr>
        <u/>
        <sz val="10"/>
        <color rgb="FF1155CC"/>
        <rFont val="monospace, serif"/>
      </rPr>
      <t>6.1.1.14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</si>
  <si>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</si>
  <si>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C02412</t>
    </r>
  </si>
  <si>
    <r>
      <rPr>
        <u/>
        <sz val="10"/>
        <color rgb="FF1155CC"/>
        <rFont val="monospace, serif"/>
      </rPr>
      <t>6.1.1.15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</si>
  <si>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</si>
  <si>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C02702</t>
    </r>
  </si>
  <si>
    <r>
      <rPr>
        <u/>
        <sz val="10"/>
        <color rgb="FF1155CC"/>
        <rFont val="monospace, serif"/>
      </rPr>
      <t>6.1.1.16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</si>
  <si>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C01639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</si>
  <si>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C03125</t>
    </r>
  </si>
  <si>
    <r>
      <rPr>
        <u/>
        <sz val="10"/>
        <color rgb="FF1155CC"/>
        <rFont val="monospace, serif"/>
      </rPr>
      <t>6.1.1.17</t>
    </r>
  </si>
  <si>
    <r>
      <rPr>
        <u/>
        <sz val="11"/>
        <color rgb="FF1155CC"/>
        <rFont val="Arial"/>
        <family val="2"/>
        <scheme val="minor"/>
      </rPr>
      <t>C01641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</si>
  <si>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C02987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</si>
  <si>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C01636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</si>
  <si>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C02163</t>
    </r>
  </si>
  <si>
    <r>
      <rPr>
        <u/>
        <sz val="10"/>
        <color rgb="FF1155CC"/>
        <rFont val="monospace, serif"/>
      </rPr>
      <t>6.1.1.2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</si>
  <si>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C01652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</si>
  <si>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C03512</t>
    </r>
  </si>
  <si>
    <r>
      <rPr>
        <u/>
        <sz val="10"/>
        <color rgb="FF1155CC"/>
        <rFont val="monospace, serif"/>
      </rPr>
      <t>6.1.1.20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</si>
  <si>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</si>
  <si>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C03511</t>
    </r>
  </si>
  <si>
    <r>
      <rPr>
        <u/>
        <sz val="10"/>
        <color rgb="FF1155CC"/>
        <rFont val="monospace, serif"/>
      </rPr>
      <t>6.1.1.20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</si>
  <si>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</si>
  <si>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C03511</t>
    </r>
  </si>
  <si>
    <r>
      <rPr>
        <u/>
        <sz val="10"/>
        <color rgb="FF1155CC"/>
        <rFont val="monospace, serif"/>
      </rPr>
      <t>6.1.1.21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</si>
  <si>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</si>
  <si>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C02988</t>
    </r>
  </si>
  <si>
    <r>
      <rPr>
        <u/>
        <sz val="10"/>
        <color rgb="FF1155CC"/>
        <rFont val="monospace, serif"/>
      </rPr>
      <t>6.1.1.22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</si>
  <si>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C01637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</si>
  <si>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C03402</t>
    </r>
  </si>
  <si>
    <r>
      <rPr>
        <u/>
        <sz val="10"/>
        <color rgb="FF1155CC"/>
        <rFont val="monospace, serif"/>
      </rPr>
      <t>6.1.1.3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</si>
  <si>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C01651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</si>
  <si>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C02992</t>
    </r>
  </si>
  <si>
    <r>
      <rPr>
        <u/>
        <sz val="10"/>
        <color rgb="FF1155CC"/>
        <rFont val="monospace, serif"/>
      </rPr>
      <t>6.1.1.4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</si>
  <si>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</si>
  <si>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C02047</t>
    </r>
  </si>
  <si>
    <r>
      <rPr>
        <u/>
        <sz val="10"/>
        <color rgb="FF1155CC"/>
        <rFont val="monospace, serif"/>
      </rPr>
      <t>6.1.1.5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</si>
  <si>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C00407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</si>
  <si>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C03127</t>
    </r>
  </si>
  <si>
    <r>
      <rPr>
        <u/>
        <sz val="10"/>
        <color rgb="FF1155CC"/>
        <rFont val="monospace, serif"/>
      </rPr>
      <t>6.1.1.6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</si>
  <si>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C01646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</si>
  <si>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C01931</t>
    </r>
  </si>
  <si>
    <r>
      <rPr>
        <u/>
        <sz val="10"/>
        <color rgb="FF1155CC"/>
        <rFont val="monospace, serif"/>
      </rPr>
      <t>6.1.1.7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</si>
  <si>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C01635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</si>
  <si>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C00886</t>
    </r>
  </si>
  <si>
    <r>
      <rPr>
        <u/>
        <sz val="10"/>
        <color rgb="FF1155CC"/>
        <rFont val="monospace, serif"/>
      </rPr>
      <t>6.1.1.9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</si>
  <si>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C00183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C01653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</si>
  <si>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C02554</t>
    </r>
  </si>
  <si>
    <r>
      <rPr>
        <u/>
        <sz val="10"/>
        <color rgb="FF1155CC"/>
        <rFont val="monospace, serif"/>
      </rPr>
      <t>6.2.1.22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</si>
  <si>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C04298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</si>
  <si>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C04334</t>
    </r>
  </si>
  <si>
    <r>
      <rPr>
        <u/>
        <sz val="10"/>
        <color rgb="FF1155CC"/>
        <rFont val="monospace, serif"/>
      </rPr>
      <t>6.3.1.2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</si>
  <si>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</si>
  <si>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</si>
  <si>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</si>
  <si>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</si>
  <si>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</si>
  <si>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</si>
  <si>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C22157</t>
    </r>
  </si>
  <si>
    <r>
      <rPr>
        <u/>
        <sz val="11"/>
        <color rgb="FF1155CC"/>
        <rFont val="Arial"/>
        <family val="2"/>
        <scheme val="minor"/>
      </rPr>
      <t>C02051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</si>
  <si>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</si>
  <si>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</si>
  <si>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C15972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</si>
  <si>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</si>
  <si>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</si>
  <si>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C16238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</si>
  <si>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</si>
  <si>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C16238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</si>
  <si>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</si>
  <si>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</si>
  <si>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C06423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</si>
  <si>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C22160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</si>
  <si>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</si>
  <si>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C00857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</si>
  <si>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</si>
  <si>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0"/>
        <color rgb="FF1155CC"/>
        <rFont val="monospace, serif"/>
      </rPr>
      <t>6.3.2.10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</si>
  <si>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C05892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</si>
  <si>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C04702</t>
    </r>
  </si>
  <si>
    <r>
      <rPr>
        <u/>
        <sz val="10"/>
        <color rgb="FF1155CC"/>
        <rFont val="monospace, serif"/>
      </rPr>
      <t>6.3.2.10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</si>
  <si>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C04877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</si>
  <si>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C04882</t>
    </r>
  </si>
  <si>
    <r>
      <rPr>
        <u/>
        <sz val="10"/>
        <color rgb="FF1155CC"/>
        <rFont val="monospace, serif"/>
      </rPr>
      <t>6.3.2.13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</si>
  <si>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C00680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</si>
  <si>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C04877</t>
    </r>
  </si>
  <si>
    <r>
      <rPr>
        <u/>
        <sz val="10"/>
        <color rgb="FF1155CC"/>
        <rFont val="monospace, serif"/>
      </rPr>
      <t>6.3.2.4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</si>
  <si>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2 </t>
    </r>
    <r>
      <rPr>
        <u/>
        <sz val="11"/>
        <color rgb="FF1155CC"/>
        <rFont val="Arial"/>
        <family val="2"/>
        <scheme val="minor"/>
      </rPr>
      <t>C00133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</si>
  <si>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</si>
  <si>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0"/>
        <color rgb="FF1155CC"/>
        <rFont val="monospace, serif"/>
      </rPr>
      <t>6.3.2.5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</si>
  <si>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C03492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C00097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</si>
  <si>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</si>
  <si>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0"/>
        <color rgb="FF1155CC"/>
        <rFont val="monospace, serif"/>
      </rPr>
      <t>6.3.2.6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</si>
  <si>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C04751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</si>
  <si>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C04823</t>
    </r>
  </si>
  <si>
    <r>
      <rPr>
        <u/>
        <sz val="10"/>
        <color rgb="FF1155CC"/>
        <rFont val="monospace, serif"/>
      </rPr>
      <t>6.3.2.8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</si>
  <si>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C01050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</si>
  <si>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C01212</t>
    </r>
  </si>
  <si>
    <r>
      <rPr>
        <u/>
        <sz val="10"/>
        <color rgb="FF1155CC"/>
        <rFont val="monospace, serif"/>
      </rPr>
      <t>6.3.2.9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</si>
  <si>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C01212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C00217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</si>
  <si>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C00692</t>
    </r>
  </si>
  <si>
    <r>
      <rPr>
        <u/>
        <sz val="10"/>
        <color rgb="FF1155CC"/>
        <rFont val="monospace, serif"/>
      </rPr>
      <t>6.3.3.1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</si>
  <si>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C04640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</si>
  <si>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C03373</t>
    </r>
  </si>
  <si>
    <r>
      <rPr>
        <u/>
        <sz val="10"/>
        <color rgb="FF1155CC"/>
        <rFont val="monospace, serif"/>
      </rPr>
      <t>6.3.3.2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</si>
  <si>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C03479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</si>
  <si>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C00445</t>
    </r>
  </si>
  <si>
    <r>
      <rPr>
        <u/>
        <sz val="10"/>
        <color rgb="FF1155CC"/>
        <rFont val="monospace, serif"/>
      </rPr>
      <t>6.3.4.13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</si>
  <si>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C03090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</si>
  <si>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C03838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</si>
  <si>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</si>
  <si>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C04735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</si>
  <si>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C04681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</si>
  <si>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</si>
  <si>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C00120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</si>
  <si>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C05921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</si>
  <si>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</si>
  <si>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C05921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C06249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</si>
  <si>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C06250</t>
    </r>
  </si>
  <si>
    <r>
      <rPr>
        <u/>
        <sz val="10"/>
        <color rgb="FF1155CC"/>
        <rFont val="monospace, serif"/>
      </rPr>
      <t>6.3.4.18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</si>
  <si>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</si>
  <si>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C15667</t>
    </r>
  </si>
  <si>
    <r>
      <rPr>
        <u/>
        <sz val="10"/>
        <color rgb="FF1155CC"/>
        <rFont val="monospace, serif"/>
      </rPr>
      <t>6.3.4.19</t>
    </r>
  </si>
  <si>
    <r>
      <rPr>
        <u/>
        <sz val="11"/>
        <color rgb="FF1155CC"/>
        <rFont val="Arial"/>
        <family val="2"/>
        <scheme val="minor"/>
      </rPr>
      <t>C19722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</si>
  <si>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C19723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</si>
  <si>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</si>
  <si>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</si>
  <si>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</si>
  <si>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</si>
  <si>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</si>
  <si>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</si>
  <si>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</si>
  <si>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</si>
  <si>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</si>
  <si>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6.3.4.21</t>
    </r>
  </si>
  <si>
    <r>
      <rPr>
        <u/>
        <sz val="11"/>
        <color rgb="FF1155CC"/>
        <rFont val="Arial"/>
        <family val="2"/>
      </rPr>
      <t>C01185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|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</si>
  <si>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C00253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</si>
  <si>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6.3.4.21</t>
    </r>
  </si>
  <si>
    <r>
      <rPr>
        <u/>
        <sz val="11"/>
        <color rgb="FF1155CC"/>
        <rFont val="Arial"/>
        <family val="2"/>
        <scheme val="minor"/>
      </rPr>
      <t>C01185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</si>
  <si>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C00253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C00119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</si>
  <si>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6.3.4.3</t>
    </r>
  </si>
  <si>
    <r>
      <rPr>
        <u/>
        <sz val="11"/>
        <color rgb="FF1155CC"/>
        <rFont val="Arial"/>
        <family val="2"/>
        <scheme val="minor"/>
      </rPr>
      <t>C00101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</si>
  <si>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C00234</t>
    </r>
  </si>
  <si>
    <r>
      <rPr>
        <u/>
        <sz val="10"/>
        <color rgb="FF1155CC"/>
        <rFont val="monospace, serif"/>
      </rPr>
      <t>6.3.4.4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</si>
  <si>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</si>
  <si>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C03794</t>
    </r>
  </si>
  <si>
    <r>
      <rPr>
        <u/>
        <sz val="10"/>
        <color rgb="FF1155CC"/>
        <rFont val="monospace, serif"/>
      </rPr>
      <t>6.3.4.5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</si>
  <si>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C00327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</si>
  <si>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C03406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</si>
  <si>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</si>
  <si>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</si>
  <si>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</si>
  <si>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</si>
  <si>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</si>
  <si>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</si>
  <si>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</si>
  <si>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</si>
  <si>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</si>
  <si>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</si>
  <si>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C16618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</si>
  <si>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C16619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</si>
  <si>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</si>
  <si>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</si>
  <si>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</si>
  <si>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</si>
  <si>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</si>
  <si>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</si>
  <si>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</si>
  <si>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</si>
  <si>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</si>
  <si>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6.3.5.4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</si>
  <si>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</si>
  <si>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</si>
  <si>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6.3.5.4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</si>
  <si>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</si>
  <si>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C00152</t>
    </r>
  </si>
  <si>
    <r>
      <rPr>
        <u/>
        <sz val="10"/>
        <color rgb="FF1155CC"/>
        <rFont val="monospace, serif"/>
      </rPr>
      <t>6.3.5.4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</si>
  <si>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</si>
  <si>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</si>
  <si>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</si>
  <si>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</si>
  <si>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</si>
  <si>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6.3.5.5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</si>
  <si>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</si>
  <si>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</si>
  <si>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</si>
  <si>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C01563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</si>
  <si>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</si>
  <si>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</si>
  <si>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</si>
  <si>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</si>
  <si>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</si>
  <si>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</si>
  <si>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  <scheme val="minor"/>
      </rPr>
      <t>C01563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</si>
  <si>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6.3.5.5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</si>
  <si>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C00014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</si>
  <si>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</si>
  <si>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0"/>
        <color rgb="FF1155CC"/>
        <rFont val="monospace, serif"/>
      </rPr>
      <t>6.4.1.1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</si>
  <si>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</si>
  <si>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</si>
  <si>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0"/>
        <color rgb="FF1155CC"/>
        <rFont val="monospace, serif"/>
      </rPr>
      <t>6.4.1.2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</si>
  <si>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</si>
  <si>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C00083</t>
    </r>
  </si>
  <si>
    <r>
      <rPr>
        <u/>
        <sz val="10"/>
        <color rgb="FF1155CC"/>
        <rFont val="monospace, serif"/>
      </rPr>
      <t>6.4.1.2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</si>
  <si>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</si>
  <si>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C00083</t>
    </r>
  </si>
  <si>
    <r>
      <rPr>
        <u/>
        <sz val="10"/>
        <color rgb="FF1155CC"/>
        <rFont val="monospace, serif"/>
      </rPr>
      <t>6.5.1.2</t>
    </r>
  </si>
  <si>
    <r>
      <rPr>
        <u/>
        <sz val="11"/>
        <color rgb="FF1155CC"/>
        <rFont val="Arial"/>
        <family val="2"/>
        <scheme val="minor"/>
      </rPr>
      <t>C00003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 xml:space="preserve">(n) | </t>
    </r>
    <r>
      <rPr>
        <u/>
        <sz val="11"/>
        <color rgb="FF1155CC"/>
        <rFont val="Arial"/>
        <family val="2"/>
        <scheme val="minor"/>
      </rPr>
      <t>C02128</t>
    </r>
    <r>
      <rPr>
        <sz val="11"/>
        <color rgb="FF000000"/>
        <rFont val="Arial"/>
        <family val="2"/>
        <scheme val="minor"/>
      </rPr>
      <t>(m)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</si>
  <si>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(n|m)</t>
    </r>
  </si>
  <si>
    <r>
      <rPr>
        <u/>
        <sz val="10"/>
        <color rgb="FF1155CC"/>
        <rFont val="monospace, serif"/>
      </rPr>
      <t>7.1.2.1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</si>
  <si>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</si>
  <si>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</si>
  <si>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</si>
  <si>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</si>
  <si>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</si>
  <si>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</si>
  <si>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</si>
  <si>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</si>
  <si>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</si>
  <si>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</si>
  <si>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</si>
  <si>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</si>
  <si>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</si>
  <si>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</si>
  <si>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</si>
  <si>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</si>
  <si>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</si>
  <si>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</si>
  <si>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</si>
  <si>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</si>
  <si>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</si>
  <si>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7.1.2.2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</si>
  <si>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</si>
  <si>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|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</si>
  <si>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7.2.2.14</t>
    </r>
  </si>
  <si>
    <r>
      <rPr>
        <u/>
        <sz val="10"/>
        <color rgb="FF1155CC"/>
        <rFont val="monospace, serif"/>
      </rPr>
      <t>7.3.2.1</t>
    </r>
  </si>
  <si>
    <r>
      <rPr>
        <u/>
        <sz val="10"/>
        <color rgb="FF1155CC"/>
        <rFont val="monospace, serif"/>
      </rPr>
      <t>7.3.2.1</t>
    </r>
  </si>
  <si>
    <r>
      <rPr>
        <u/>
        <sz val="10"/>
        <color rgb="FF1155CC"/>
        <rFont val="monospace, serif"/>
      </rPr>
      <t>7.3.2.2</t>
    </r>
  </si>
  <si>
    <r>
      <rPr>
        <u/>
        <sz val="10"/>
        <color rgb="FF1155CC"/>
        <rFont val="monospace, serif"/>
      </rPr>
      <t>7.3.2.2</t>
    </r>
  </si>
  <si>
    <r>
      <rPr>
        <u/>
        <sz val="10"/>
        <color rgb="FF1155CC"/>
        <rFont val="monospace, serif"/>
      </rPr>
      <t>7.3.2.2</t>
    </r>
  </si>
  <si>
    <r>
      <rPr>
        <u/>
        <sz val="10"/>
        <color rgb="FF1155CC"/>
        <rFont val="monospace, serif"/>
      </rPr>
      <t>7.4.2.11</t>
    </r>
  </si>
  <si>
    <r>
      <rPr>
        <u/>
        <sz val="10"/>
        <color rgb="FF1155CC"/>
        <rFont val="monospace, serif"/>
      </rPr>
      <t>7.4.2.11</t>
    </r>
  </si>
  <si>
    <r>
      <rPr>
        <u/>
        <sz val="10"/>
        <color rgb="FF1155CC"/>
        <rFont val="monospace, serif"/>
      </rPr>
      <t>7.6.2.14</t>
    </r>
  </si>
  <si>
    <t>Metabolites</t>
  </si>
  <si>
    <t>Initial Concentration (mM)</t>
  </si>
  <si>
    <t>Object</t>
  </si>
  <si>
    <t>C00001</t>
  </si>
  <si>
    <t>Water</t>
  </si>
  <si>
    <t>C00002</t>
  </si>
  <si>
    <t>ATP</t>
  </si>
  <si>
    <t>C00003</t>
  </si>
  <si>
    <t>NAD+</t>
  </si>
  <si>
    <t>C00004</t>
  </si>
  <si>
    <t>NADH</t>
  </si>
  <si>
    <t>C00005</t>
  </si>
  <si>
    <t>NADPH</t>
  </si>
  <si>
    <t>C00006</t>
  </si>
  <si>
    <t>NADP+</t>
  </si>
  <si>
    <t>C00007</t>
  </si>
  <si>
    <t>Oxygen</t>
  </si>
  <si>
    <t>C00008</t>
  </si>
  <si>
    <t>ADP</t>
  </si>
  <si>
    <t>C00009</t>
  </si>
  <si>
    <t>Phosphoric Acid</t>
  </si>
  <si>
    <t>C00010</t>
  </si>
  <si>
    <t>CoA</t>
  </si>
  <si>
    <t>C00011</t>
  </si>
  <si>
    <t>Carbon Dioxide</t>
  </si>
  <si>
    <t>C00012</t>
  </si>
  <si>
    <t>peptide</t>
  </si>
  <si>
    <t>C00013</t>
  </si>
  <si>
    <t>Diphosphoric Acid</t>
  </si>
  <si>
    <t>C00014</t>
  </si>
  <si>
    <t>Ammonia</t>
  </si>
  <si>
    <t>C00015</t>
  </si>
  <si>
    <t>UDP</t>
  </si>
  <si>
    <t>C00016</t>
  </si>
  <si>
    <t>FAD</t>
  </si>
  <si>
    <t>C00018</t>
  </si>
  <si>
    <t>Pyridoxal Phosphate(PLP)</t>
  </si>
  <si>
    <t>SAM</t>
  </si>
  <si>
    <t>C00020</t>
  </si>
  <si>
    <t>AMP</t>
  </si>
  <si>
    <t>S-Adenosyl-L-Homocysteine(SAH)</t>
  </si>
  <si>
    <t>C00022</t>
  </si>
  <si>
    <t>Pyruvate</t>
  </si>
  <si>
    <t>C00024</t>
  </si>
  <si>
    <t>Acetyl-CoA</t>
  </si>
  <si>
    <t>C00025</t>
  </si>
  <si>
    <t>L-Glutamate</t>
  </si>
  <si>
    <t>C00026</t>
  </si>
  <si>
    <t>2-Oxoglutarate</t>
  </si>
  <si>
    <t>C00027</t>
  </si>
  <si>
    <t>Hydrogen Peroxide</t>
  </si>
  <si>
    <t>C00028</t>
  </si>
  <si>
    <t>Acceptor</t>
  </si>
  <si>
    <t>C00029</t>
  </si>
  <si>
    <t>UDP-glucose</t>
  </si>
  <si>
    <t>C00030</t>
  </si>
  <si>
    <t>Reduced Acceptor</t>
  </si>
  <si>
    <t>C00031</t>
  </si>
  <si>
    <t>D-Glucose</t>
  </si>
  <si>
    <t>C00033</t>
  </si>
  <si>
    <t>Acetate</t>
  </si>
  <si>
    <t>C00035</t>
  </si>
  <si>
    <t>GDP</t>
  </si>
  <si>
    <t>C00036</t>
  </si>
  <si>
    <t>Oxaloacetate</t>
  </si>
  <si>
    <t>C00037</t>
  </si>
  <si>
    <t>Glycine</t>
  </si>
  <si>
    <t>C00039</t>
  </si>
  <si>
    <t>DNA</t>
  </si>
  <si>
    <t>C00040</t>
  </si>
  <si>
    <t>Acyl-CoA</t>
  </si>
  <si>
    <t>C00040:1</t>
  </si>
  <si>
    <t>L-Alanine</t>
  </si>
  <si>
    <t>C00042</t>
  </si>
  <si>
    <t>Succinate</t>
  </si>
  <si>
    <t>C00043</t>
  </si>
  <si>
    <t>UDP-N-Acetyl-Alpha-D-Glucosamine</t>
  </si>
  <si>
    <t>C00044</t>
  </si>
  <si>
    <t>GTP</t>
  </si>
  <si>
    <t>C00044:1</t>
  </si>
  <si>
    <t>C00046</t>
  </si>
  <si>
    <t>RNA</t>
  </si>
  <si>
    <t>C00047</t>
  </si>
  <si>
    <t>L-Lysine</t>
  </si>
  <si>
    <t>C00049</t>
  </si>
  <si>
    <t>L-Aspartate</t>
  </si>
  <si>
    <t>C00051</t>
  </si>
  <si>
    <t>Glutathione</t>
  </si>
  <si>
    <t>C00052</t>
  </si>
  <si>
    <t>UDP-D-Galactose</t>
  </si>
  <si>
    <t>C00053</t>
  </si>
  <si>
    <t>3'-Phosphoadenylyl Sulfate/PAPS</t>
  </si>
  <si>
    <t>C00054</t>
  </si>
  <si>
    <t>Adenosine 3',5'-bisphosphate</t>
  </si>
  <si>
    <t>C00055</t>
  </si>
  <si>
    <t>Cytidine-5'-monophosphate/CMP</t>
  </si>
  <si>
    <t>C00058</t>
  </si>
  <si>
    <t>Formate</t>
  </si>
  <si>
    <t>C00059</t>
  </si>
  <si>
    <t>Sulfate</t>
  </si>
  <si>
    <t>C00060</t>
  </si>
  <si>
    <t>Carboxylate</t>
  </si>
  <si>
    <t>C00061</t>
  </si>
  <si>
    <t>Flavin Mononucleotide/FMN</t>
  </si>
  <si>
    <t>C00062</t>
  </si>
  <si>
    <t>L-Arginine</t>
  </si>
  <si>
    <t>C00063</t>
  </si>
  <si>
    <t>CTP</t>
  </si>
  <si>
    <t>C00064</t>
  </si>
  <si>
    <t>L-Glutamine</t>
  </si>
  <si>
    <t>C00065</t>
  </si>
  <si>
    <t>L-Serine</t>
  </si>
  <si>
    <t>C00066</t>
  </si>
  <si>
    <t>C00067</t>
  </si>
  <si>
    <t>Formaldehyde</t>
  </si>
  <si>
    <t>C00068</t>
  </si>
  <si>
    <t>Thiamin Diphosphate</t>
  </si>
  <si>
    <t>C00071</t>
  </si>
  <si>
    <t>Aldehyde</t>
  </si>
  <si>
    <t>C00073</t>
  </si>
  <si>
    <t>L-Methionine</t>
  </si>
  <si>
    <t>C00074</t>
  </si>
  <si>
    <t>Phosphoenolpyruvate</t>
  </si>
  <si>
    <t>C00075</t>
  </si>
  <si>
    <t>UTP</t>
  </si>
  <si>
    <t>C00078</t>
  </si>
  <si>
    <t>L-Tryptophan</t>
  </si>
  <si>
    <t>C00079</t>
  </si>
  <si>
    <t>L-Phenylalanine</t>
  </si>
  <si>
    <t>C00080</t>
  </si>
  <si>
    <t>H+</t>
  </si>
  <si>
    <t>C00081</t>
  </si>
  <si>
    <t>ITP</t>
  </si>
  <si>
    <t>C00082</t>
  </si>
  <si>
    <t>L-Tyrosine</t>
  </si>
  <si>
    <t>C00083</t>
  </si>
  <si>
    <t>Malonyl-CoA</t>
  </si>
  <si>
    <t>C00084</t>
  </si>
  <si>
    <t>Acetaldehyde</t>
  </si>
  <si>
    <t>C00085</t>
  </si>
  <si>
    <t>D-Fructose</t>
  </si>
  <si>
    <t>C00089</t>
  </si>
  <si>
    <t>Sucrose</t>
  </si>
  <si>
    <t>C00091</t>
  </si>
  <si>
    <t>Succinyl-CoA</t>
  </si>
  <si>
    <t>C00092</t>
  </si>
  <si>
    <t>C00093</t>
  </si>
  <si>
    <t>sn-Glycerol 3-Phosphate</t>
  </si>
  <si>
    <t>C00094</t>
  </si>
  <si>
    <t>Sulfite</t>
  </si>
  <si>
    <t>C00095</t>
  </si>
  <si>
    <t>C00097</t>
  </si>
  <si>
    <t>L-Cysteine</t>
  </si>
  <si>
    <t>C00100</t>
  </si>
  <si>
    <t>Propanoyl-CoA</t>
  </si>
  <si>
    <t>C00101</t>
  </si>
  <si>
    <t>Tetrahydrofolate</t>
  </si>
  <si>
    <t>C00103</t>
  </si>
  <si>
    <t>Glucose 1-Phosphate</t>
  </si>
  <si>
    <t>C00104</t>
  </si>
  <si>
    <t>IDP</t>
  </si>
  <si>
    <t>C00105</t>
  </si>
  <si>
    <t>UMP</t>
  </si>
  <si>
    <t>C00106</t>
  </si>
  <si>
    <t>Uracil</t>
  </si>
  <si>
    <t>C00108</t>
  </si>
  <si>
    <t>Anthranilate</t>
  </si>
  <si>
    <t>C00109</t>
  </si>
  <si>
    <t>2-Oxobutanoate</t>
  </si>
  <si>
    <t>C00111</t>
  </si>
  <si>
    <t>Glycerone Phosphate</t>
  </si>
  <si>
    <t>C00112</t>
  </si>
  <si>
    <t>CDP</t>
  </si>
  <si>
    <t>C00114</t>
  </si>
  <si>
    <t>Choline</t>
  </si>
  <si>
    <t>C00116</t>
  </si>
  <si>
    <t>Glycerol</t>
  </si>
  <si>
    <t>C00117</t>
  </si>
  <si>
    <t>D-Ribose 5-Phosphate</t>
  </si>
  <si>
    <t>C00118</t>
  </si>
  <si>
    <t>D-Glyceraldehyde 3-Phosphate</t>
  </si>
  <si>
    <t>C00119</t>
  </si>
  <si>
    <t>5-Phospho-alpha-D-ribose 1-diphosphate</t>
  </si>
  <si>
    <t>C00120</t>
  </si>
  <si>
    <t>Biotin</t>
  </si>
  <si>
    <t>C00121</t>
  </si>
  <si>
    <t>D-Ribose</t>
  </si>
  <si>
    <t>C00122</t>
  </si>
  <si>
    <t>Fumarate</t>
  </si>
  <si>
    <t>C00123</t>
  </si>
  <si>
    <t>L-Leucine</t>
  </si>
  <si>
    <t>C00124</t>
  </si>
  <si>
    <t>D-Galactose</t>
  </si>
  <si>
    <t>C00129</t>
  </si>
  <si>
    <t>Isopentenyl Diphosphate</t>
  </si>
  <si>
    <t>C00130</t>
  </si>
  <si>
    <t>IMP</t>
  </si>
  <si>
    <t>C00131</t>
  </si>
  <si>
    <t>dATP</t>
  </si>
  <si>
    <t>C00133</t>
  </si>
  <si>
    <t>D-Alanine</t>
  </si>
  <si>
    <t>C00135</t>
  </si>
  <si>
    <t>L-Histidine</t>
  </si>
  <si>
    <t>C00136</t>
  </si>
  <si>
    <t>Butanoyl-CoA</t>
  </si>
  <si>
    <t>C00137</t>
  </si>
  <si>
    <t>myo-Inositol</t>
  </si>
  <si>
    <t>C00141</t>
  </si>
  <si>
    <t>3-Methyl-2-oxobutanoic acid</t>
  </si>
  <si>
    <t>C00143</t>
  </si>
  <si>
    <t>5,10-Methylenetetrahydrofolate</t>
  </si>
  <si>
    <t>C00144</t>
  </si>
  <si>
    <t>GMP</t>
  </si>
  <si>
    <t>C00145</t>
  </si>
  <si>
    <t>Thiol</t>
  </si>
  <si>
    <t>C00147</t>
  </si>
  <si>
    <t>Adenine</t>
  </si>
  <si>
    <t>C00148</t>
  </si>
  <si>
    <t>L-Proline</t>
  </si>
  <si>
    <t>C00149</t>
  </si>
  <si>
    <t>(S)-Malate</t>
  </si>
  <si>
    <t>C00152</t>
  </si>
  <si>
    <t>L-Asparagine</t>
  </si>
  <si>
    <t>C00153</t>
  </si>
  <si>
    <t>Nicotinamide</t>
  </si>
  <si>
    <t>C00155</t>
  </si>
  <si>
    <t>L-Homocysteine</t>
  </si>
  <si>
    <t>C00158</t>
  </si>
  <si>
    <t>Citrate</t>
  </si>
  <si>
    <t>C00159</t>
  </si>
  <si>
    <t>D-Mannose</t>
  </si>
  <si>
    <t>C00161</t>
  </si>
  <si>
    <t>2-Oxo acid</t>
  </si>
  <si>
    <t>C00163</t>
  </si>
  <si>
    <t>Propanoate</t>
  </si>
  <si>
    <t>C00166</t>
  </si>
  <si>
    <t>Phenylpyruvate</t>
  </si>
  <si>
    <t>C00169</t>
  </si>
  <si>
    <t>Carbamoyl Phosphate</t>
  </si>
  <si>
    <t>C00170</t>
  </si>
  <si>
    <t>5'-Methylthioadenosine</t>
  </si>
  <si>
    <t>C00173</t>
  </si>
  <si>
    <t>Acyl-[acyl-carrier protein]</t>
  </si>
  <si>
    <t>C00178</t>
  </si>
  <si>
    <t>Thymine</t>
  </si>
  <si>
    <t>C00180</t>
  </si>
  <si>
    <t>Benzoate</t>
  </si>
  <si>
    <t>C00183</t>
  </si>
  <si>
    <t>L-Valine</t>
  </si>
  <si>
    <t>C00184</t>
  </si>
  <si>
    <t>Glycerone</t>
  </si>
  <si>
    <t>C00186</t>
  </si>
  <si>
    <t>(S)-Lactate</t>
  </si>
  <si>
    <t>C00188</t>
  </si>
  <si>
    <t>L-Threonine</t>
  </si>
  <si>
    <t>C00194</t>
  </si>
  <si>
    <t>Cobamide coenzyme</t>
  </si>
  <si>
    <t>C00197</t>
  </si>
  <si>
    <t>3-Phospho-D-glycerate</t>
  </si>
  <si>
    <t>C00199</t>
  </si>
  <si>
    <t>D-Ribulose 5-phosphate</t>
  </si>
  <si>
    <t>C00201</t>
  </si>
  <si>
    <t>NTP</t>
  </si>
  <si>
    <t>C00203</t>
  </si>
  <si>
    <t>UDP-N-acetyl-D-galactosamine</t>
  </si>
  <si>
    <t>C00206</t>
  </si>
  <si>
    <t>dADP</t>
  </si>
  <si>
    <t>C00208</t>
  </si>
  <si>
    <t>Maltose</t>
  </si>
  <si>
    <t>C00212</t>
  </si>
  <si>
    <t>Adenosine</t>
  </si>
  <si>
    <t>C00214</t>
  </si>
  <si>
    <t>Thymidine</t>
  </si>
  <si>
    <t>C00217</t>
  </si>
  <si>
    <t>D-Glutamate</t>
  </si>
  <si>
    <t>C00221</t>
  </si>
  <si>
    <t>beta-D-Glucose</t>
  </si>
  <si>
    <t>C00224</t>
  </si>
  <si>
    <t>Adenylyl Sulfate</t>
  </si>
  <si>
    <t>C00226</t>
  </si>
  <si>
    <t>Primary Alcohol</t>
  </si>
  <si>
    <t>C00227</t>
  </si>
  <si>
    <t>Acetyl Phosphate</t>
  </si>
  <si>
    <t>C00229</t>
  </si>
  <si>
    <t>Acyl-carrier protein</t>
  </si>
  <si>
    <t>C00231</t>
  </si>
  <si>
    <t>D-Xylulose 5-Phosphate</t>
  </si>
  <si>
    <t>C00233</t>
  </si>
  <si>
    <t>4-Methyl-2-oxopentanoate</t>
  </si>
  <si>
    <t>C00234</t>
  </si>
  <si>
    <t>10-Formyltetrahydrofolate</t>
  </si>
  <si>
    <t>C00235</t>
  </si>
  <si>
    <t>Dimethylallyl diphosphate</t>
  </si>
  <si>
    <t>C00239</t>
  </si>
  <si>
    <t>dCMP</t>
  </si>
  <si>
    <t>C00240</t>
  </si>
  <si>
    <t>C00241</t>
  </si>
  <si>
    <t>Amide</t>
  </si>
  <si>
    <t>C00242</t>
  </si>
  <si>
    <t>Guanine</t>
  </si>
  <si>
    <t>C00243</t>
  </si>
  <si>
    <t>Lactose</t>
  </si>
  <si>
    <t>C00246</t>
  </si>
  <si>
    <t>Butanoic acid</t>
  </si>
  <si>
    <t>C00248</t>
  </si>
  <si>
    <t>Lipoamide</t>
  </si>
  <si>
    <t>C00250</t>
  </si>
  <si>
    <t>Pyridoxal</t>
  </si>
  <si>
    <t>C00253</t>
  </si>
  <si>
    <t>Nicotinate</t>
  </si>
  <si>
    <t>C00255</t>
  </si>
  <si>
    <t>Riboflavin</t>
  </si>
  <si>
    <t>C00256</t>
  </si>
  <si>
    <t>(R)-Lactate</t>
  </si>
  <si>
    <t>C00257</t>
  </si>
  <si>
    <t>D-Gluconic Acid</t>
  </si>
  <si>
    <t>C00263</t>
  </si>
  <si>
    <t>L-Homoserine</t>
  </si>
  <si>
    <t>C00264</t>
  </si>
  <si>
    <t>3-Oxoacyl-CoA</t>
  </si>
  <si>
    <t>C00267</t>
  </si>
  <si>
    <t>alpha-D-Glucose</t>
  </si>
  <si>
    <t>C00269</t>
  </si>
  <si>
    <t>CDP-diacylglycerol</t>
  </si>
  <si>
    <t>C00272</t>
  </si>
  <si>
    <t>Tetrahydrobiopterin</t>
  </si>
  <si>
    <t>C00275</t>
  </si>
  <si>
    <t>D-Mannose 6-phosphate</t>
  </si>
  <si>
    <t>C00279</t>
  </si>
  <si>
    <t>D-Erythrose 4-phosphate</t>
  </si>
  <si>
    <t>C00283</t>
  </si>
  <si>
    <t>Hydrogen Sulfide</t>
  </si>
  <si>
    <t>C00286</t>
  </si>
  <si>
    <t>dGTP</t>
  </si>
  <si>
    <t>C00288</t>
  </si>
  <si>
    <t>HCO3-</t>
  </si>
  <si>
    <t>C00294</t>
  </si>
  <si>
    <t>Inosine</t>
  </si>
  <si>
    <t>C00295</t>
  </si>
  <si>
    <t>Orotate</t>
  </si>
  <si>
    <t>C00299</t>
  </si>
  <si>
    <t>Uridine</t>
  </si>
  <si>
    <t>C00310</t>
  </si>
  <si>
    <t>D-Xylulose</t>
  </si>
  <si>
    <t>C00314</t>
  </si>
  <si>
    <t>Pyridoxine</t>
  </si>
  <si>
    <t>C00320</t>
  </si>
  <si>
    <t>Thiosulfate</t>
  </si>
  <si>
    <t>C00327</t>
  </si>
  <si>
    <t>L-Citrulline</t>
  </si>
  <si>
    <t>C00330</t>
  </si>
  <si>
    <t>Deoxyguanosine</t>
  </si>
  <si>
    <t>C00332</t>
  </si>
  <si>
    <t>Acetoacetyl-CoA</t>
  </si>
  <si>
    <t>C00337</t>
  </si>
  <si>
    <t>(S)-Dihydroorotate</t>
  </si>
  <si>
    <t>C00342</t>
  </si>
  <si>
    <t>Thioredoxin</t>
  </si>
  <si>
    <t>C00343</t>
  </si>
  <si>
    <t>Thioredoxin disulfide</t>
  </si>
  <si>
    <t>Phosphatidylglycerol</t>
  </si>
  <si>
    <t>C00345</t>
  </si>
  <si>
    <t>6-Phospho-D-gluconate</t>
  </si>
  <si>
    <t>C00352</t>
  </si>
  <si>
    <t>D-Glucosamine 6-phosphate</t>
  </si>
  <si>
    <t>C00354</t>
  </si>
  <si>
    <t>D-Fructose 1,6-bisphosphate</t>
  </si>
  <si>
    <t>C00356</t>
  </si>
  <si>
    <t>(S)-3-Hydroxy-3-methylglutaryl-CoA</t>
  </si>
  <si>
    <t>C00357</t>
  </si>
  <si>
    <t>N-Acetyl-D-glucosamine 6-phosphate</t>
  </si>
  <si>
    <t>C00360</t>
  </si>
  <si>
    <t>dAMP</t>
  </si>
  <si>
    <t>C00361</t>
  </si>
  <si>
    <t>dGDP</t>
  </si>
  <si>
    <t>C00362</t>
  </si>
  <si>
    <t>dGMP</t>
  </si>
  <si>
    <t>C00363</t>
  </si>
  <si>
    <t>dTDP</t>
  </si>
  <si>
    <t>C00364</t>
  </si>
  <si>
    <t>dTMP</t>
  </si>
  <si>
    <t>C00365</t>
  </si>
  <si>
    <t>dUMP</t>
  </si>
  <si>
    <t>C00369</t>
  </si>
  <si>
    <t>Starch</t>
  </si>
  <si>
    <t>C00376</t>
  </si>
  <si>
    <t>Retinal</t>
  </si>
  <si>
    <t>C00378</t>
  </si>
  <si>
    <t>Thiamine</t>
  </si>
  <si>
    <t>C00380</t>
  </si>
  <si>
    <t>Cytosine</t>
  </si>
  <si>
    <t>C00385</t>
  </si>
  <si>
    <t>Xanthine</t>
  </si>
  <si>
    <t>C00387</t>
  </si>
  <si>
    <t>Guanosine</t>
  </si>
  <si>
    <t>C00390</t>
  </si>
  <si>
    <t>Ubiquinol</t>
  </si>
  <si>
    <t>C00392</t>
  </si>
  <si>
    <t>Mannitol</t>
  </si>
  <si>
    <t>C00396</t>
  </si>
  <si>
    <t>Pyrimidine</t>
  </si>
  <si>
    <t>C00399</t>
  </si>
  <si>
    <t>Ubiquinone</t>
  </si>
  <si>
    <t>C00404</t>
  </si>
  <si>
    <t>Polyphosphate</t>
  </si>
  <si>
    <t>C00407</t>
  </si>
  <si>
    <t>L-Isoleucine</t>
  </si>
  <si>
    <t>C00415</t>
  </si>
  <si>
    <t>Dihydrofolate</t>
  </si>
  <si>
    <t>C00416</t>
  </si>
  <si>
    <t>Phosphatidate</t>
  </si>
  <si>
    <t>C00418</t>
  </si>
  <si>
    <t>( R )-Mevalonate</t>
  </si>
  <si>
    <t>C00438</t>
  </si>
  <si>
    <t>N-Carbamoyl-L-aspartate</t>
  </si>
  <si>
    <t>C00440</t>
  </si>
  <si>
    <t>5-Methyltetrahydrofolate</t>
  </si>
  <si>
    <t>C00441</t>
  </si>
  <si>
    <t>L-Aspartate 4-semialdehyde</t>
  </si>
  <si>
    <t>C00445</t>
  </si>
  <si>
    <t>5,10-Methenyltetrahydrofolate</t>
  </si>
  <si>
    <t>C00446</t>
  </si>
  <si>
    <t>alpha-D-Galactose 1-phosphate</t>
  </si>
  <si>
    <t>C00447</t>
  </si>
  <si>
    <t>Sedoheptulose 1,7-bisphosphate</t>
  </si>
  <si>
    <t>C00454</t>
  </si>
  <si>
    <t>NDP</t>
  </si>
  <si>
    <t>C00455</t>
  </si>
  <si>
    <t>Nicotinamide-D-ribonucleotide</t>
  </si>
  <si>
    <t>C00458</t>
  </si>
  <si>
    <t>dCTP</t>
  </si>
  <si>
    <t>C00459</t>
  </si>
  <si>
    <t>dTTP</t>
  </si>
  <si>
    <t>C00460</t>
  </si>
  <si>
    <t>dUTP</t>
  </si>
  <si>
    <t>C00463</t>
  </si>
  <si>
    <t>Indole</t>
  </si>
  <si>
    <t>C00468</t>
  </si>
  <si>
    <t>Estrone</t>
  </si>
  <si>
    <t>C00469</t>
  </si>
  <si>
    <t>Ethanol</t>
  </si>
  <si>
    <t>C00473</t>
  </si>
  <si>
    <t>Retinol</t>
  </si>
  <si>
    <t>C00475</t>
  </si>
  <si>
    <t>Cytidine</t>
  </si>
  <si>
    <t>C00491</t>
  </si>
  <si>
    <t>L-Cystine</t>
  </si>
  <si>
    <t>C00492</t>
  </si>
  <si>
    <t>Raffinose</t>
  </si>
  <si>
    <t>C00493</t>
  </si>
  <si>
    <t>Shikimate</t>
  </si>
  <si>
    <t>C00498</t>
  </si>
  <si>
    <t>ADP-glucose</t>
  </si>
  <si>
    <t>C00504</t>
  </si>
  <si>
    <t>Folate</t>
  </si>
  <si>
    <t>C00511</t>
  </si>
  <si>
    <t>Acrylic acid</t>
  </si>
  <si>
    <t>C00512</t>
  </si>
  <si>
    <t>Benzoyl-CoA</t>
  </si>
  <si>
    <t>C00526</t>
  </si>
  <si>
    <t>Deoxyuridine</t>
  </si>
  <si>
    <t>C00527</t>
  </si>
  <si>
    <t>Glutaryl-CoA</t>
  </si>
  <si>
    <t>C00530</t>
  </si>
  <si>
    <t>Hydroquinone</t>
  </si>
  <si>
    <t>C00534</t>
  </si>
  <si>
    <t>Pyridoxamine</t>
  </si>
  <si>
    <t>C00536</t>
  </si>
  <si>
    <t>Triphosphate</t>
  </si>
  <si>
    <t>C00541</t>
  </si>
  <si>
    <t>Cob(II)alamin</t>
  </si>
  <si>
    <t>C00559</t>
  </si>
  <si>
    <t>Deoxyadenosine</t>
  </si>
  <si>
    <t>C00566</t>
  </si>
  <si>
    <t>(3S)-Citryl-CoA</t>
  </si>
  <si>
    <t>C00576</t>
  </si>
  <si>
    <t>Betaine aldehyde</t>
  </si>
  <si>
    <t>C00577</t>
  </si>
  <si>
    <t>D-Glyceraldehyde</t>
  </si>
  <si>
    <t>C00579</t>
  </si>
  <si>
    <t>Dihydrolipoamide</t>
  </si>
  <si>
    <t>C00585</t>
  </si>
  <si>
    <t>Protein tyrosine</t>
  </si>
  <si>
    <t>C00605</t>
  </si>
  <si>
    <t>2,3-Dehydroacyl-CoA</t>
  </si>
  <si>
    <t>C00606</t>
  </si>
  <si>
    <t>3-Sulfino-L-alanine</t>
  </si>
  <si>
    <t>C00615</t>
  </si>
  <si>
    <t>Protein histidine</t>
  </si>
  <si>
    <t>C00620</t>
  </si>
  <si>
    <t>alpha-D-Ribose 1-phosphate</t>
  </si>
  <si>
    <t>C00627</t>
  </si>
  <si>
    <t>Pyridoxine phosphate</t>
  </si>
  <si>
    <t>C00631</t>
  </si>
  <si>
    <t>2-Phospho-D-glycerate</t>
  </si>
  <si>
    <t>C00641</t>
  </si>
  <si>
    <t>1,2-Diacyl-sn-glycerol</t>
  </si>
  <si>
    <t>C00644</t>
  </si>
  <si>
    <t>D-Mannitol 1-phosphate</t>
  </si>
  <si>
    <t>C00647</t>
  </si>
  <si>
    <t>Pyridoxamine phosphate</t>
  </si>
  <si>
    <t>C00653</t>
  </si>
  <si>
    <t>Poly(ribitol phosphate)</t>
  </si>
  <si>
    <t>C00655</t>
  </si>
  <si>
    <t>Xanthosine 5'-phosphate</t>
  </si>
  <si>
    <t>C00663</t>
  </si>
  <si>
    <t>beta-D-Glucose 1-phosphate</t>
  </si>
  <si>
    <t>C00666</t>
  </si>
  <si>
    <t>LL-2,6-Diaminoheptanedioate</t>
  </si>
  <si>
    <t>C00668</t>
  </si>
  <si>
    <t>alpha-D-Glucose 6-phosphate</t>
  </si>
  <si>
    <t>C00671</t>
  </si>
  <si>
    <t>(S)-3-Methyl-2-oxopentanoic acid</t>
  </si>
  <si>
    <t>C00672</t>
  </si>
  <si>
    <t>2-Deoxy-D-ribose 1-phosphate</t>
  </si>
  <si>
    <t>C00673</t>
  </si>
  <si>
    <t>2-Deoxy-D-ribose 5-phosphate</t>
  </si>
  <si>
    <t>C00677</t>
  </si>
  <si>
    <t>Deoxynucleoside triphosphate</t>
  </si>
  <si>
    <t>C00680</t>
  </si>
  <si>
    <t>meso-2,6-Diaminoheptanedioate</t>
  </si>
  <si>
    <t>C00681</t>
  </si>
  <si>
    <t>1-Acyl-sn-glycerol 3-phosphate</t>
  </si>
  <si>
    <t>C00685</t>
  </si>
  <si>
    <t>3-Oxoacyl-[acyl-carrier protein]</t>
  </si>
  <si>
    <t>C00689</t>
  </si>
  <si>
    <t>alpha,alpha'-Trehalose 6-phosphate</t>
  </si>
  <si>
    <t>C00691</t>
  </si>
  <si>
    <t>2,4,6/3,5-Pentahydroxycyclohexanone</t>
  </si>
  <si>
    <t>C00692</t>
  </si>
  <si>
    <t>UDP-N-acetylmuramoyl-L-alanyl-D-glutamate</t>
  </si>
  <si>
    <t>C00693</t>
  </si>
  <si>
    <t>trans-2,3-Dehydroacyl-[acyl-carrier protein]</t>
  </si>
  <si>
    <t>C00704</t>
  </si>
  <si>
    <t>Superoxide</t>
  </si>
  <si>
    <t>C00705</t>
  </si>
  <si>
    <t>dCDP</t>
  </si>
  <si>
    <t>C00712</t>
  </si>
  <si>
    <t>(9Z)-Octadecenoic acid</t>
  </si>
  <si>
    <t>C00718</t>
  </si>
  <si>
    <t>Amylose</t>
  </si>
  <si>
    <t>C00756</t>
  </si>
  <si>
    <t>1-Octanol</t>
  </si>
  <si>
    <t>C00772</t>
  </si>
  <si>
    <t>Mevaldate</t>
  </si>
  <si>
    <t>C00787</t>
  </si>
  <si>
    <t>tRNA(Tyr)</t>
  </si>
  <si>
    <t>C00794</t>
  </si>
  <si>
    <t>D-Sorbitol</t>
  </si>
  <si>
    <t>C00810</t>
  </si>
  <si>
    <t>(R)-Acetoin</t>
  </si>
  <si>
    <t>C00812</t>
  </si>
  <si>
    <t>Alkyl thiol</t>
  </si>
  <si>
    <t>C00819</t>
  </si>
  <si>
    <t>D-Glutamine</t>
  </si>
  <si>
    <t>C00821</t>
  </si>
  <si>
    <t>DNA adenine</t>
  </si>
  <si>
    <t>C00831</t>
  </si>
  <si>
    <t>Pantethiene</t>
  </si>
  <si>
    <t>C00842</t>
  </si>
  <si>
    <t>dTDP-glucose</t>
  </si>
  <si>
    <t>C00850</t>
  </si>
  <si>
    <t>Aryl sulfate</t>
  </si>
  <si>
    <t>C00853</t>
  </si>
  <si>
    <t>Cob(I)alamin</t>
  </si>
  <si>
    <t>C00857</t>
  </si>
  <si>
    <t>Deamino-NAD+</t>
  </si>
  <si>
    <t>C00860</t>
  </si>
  <si>
    <t>L-Histidinol</t>
  </si>
  <si>
    <t>C00864</t>
  </si>
  <si>
    <t>Pantothenate</t>
  </si>
  <si>
    <t>C00868</t>
  </si>
  <si>
    <t>tRNA uridine</t>
  </si>
  <si>
    <t>C00881</t>
  </si>
  <si>
    <t>Deoxycytidine</t>
  </si>
  <si>
    <t>C00882</t>
  </si>
  <si>
    <t>Dephospho-CoA</t>
  </si>
  <si>
    <t>C00886</t>
  </si>
  <si>
    <t>L-Alanyl-tRNA</t>
  </si>
  <si>
    <t>C00894</t>
  </si>
  <si>
    <t>Propenoyl-CoA</t>
  </si>
  <si>
    <t>C00900</t>
  </si>
  <si>
    <t>2-Acetolactate</t>
  </si>
  <si>
    <t>C00911</t>
  </si>
  <si>
    <t>Ribonucleoside</t>
  </si>
  <si>
    <t>C00935</t>
  </si>
  <si>
    <t>UDP-L-arabinose</t>
  </si>
  <si>
    <t>C00954</t>
  </si>
  <si>
    <t>Indole-3-acetate</t>
  </si>
  <si>
    <t>C00957</t>
  </si>
  <si>
    <t>Mercaptopyruvate</t>
  </si>
  <si>
    <t>C00962</t>
  </si>
  <si>
    <t>beta-D-Galactose</t>
  </si>
  <si>
    <t>C00966</t>
  </si>
  <si>
    <t>2-Dehydropantoate</t>
  </si>
  <si>
    <t>C00979</t>
  </si>
  <si>
    <t>O-Acetyl-L-serine</t>
  </si>
  <si>
    <t>C00984</t>
  </si>
  <si>
    <t>alpha-D-Galactose</t>
  </si>
  <si>
    <t>C00993</t>
  </si>
  <si>
    <t>D-Alanyl-D-alanine</t>
  </si>
  <si>
    <t>C01005</t>
  </si>
  <si>
    <t>O-Phospho-L-serine</t>
  </si>
  <si>
    <t>C01035</t>
  </si>
  <si>
    <t>4-Guanidinobutanoate</t>
  </si>
  <si>
    <t>C01050</t>
  </si>
  <si>
    <t>UDP-N-acetylmuramate</t>
  </si>
  <si>
    <t>C01081</t>
  </si>
  <si>
    <t>Thiamin monophosphate</t>
  </si>
  <si>
    <t>C01094</t>
  </si>
  <si>
    <t>D-Fructose 1-phosphate</t>
  </si>
  <si>
    <t>C01097</t>
  </si>
  <si>
    <t>D-Tagatose 6-phosphate</t>
  </si>
  <si>
    <t>C01100</t>
  </si>
  <si>
    <t>L-Histidinol phosphate</t>
  </si>
  <si>
    <t>C01101</t>
  </si>
  <si>
    <t>L-Ribulose 5-phosphate</t>
  </si>
  <si>
    <t>C01102</t>
  </si>
  <si>
    <t>O-Phospho-L-homoserine</t>
  </si>
  <si>
    <t>C01103</t>
  </si>
  <si>
    <t>Orotidine 5'-phosphate</t>
  </si>
  <si>
    <t>C01107</t>
  </si>
  <si>
    <t>(R)-5-Phosphomevalonate</t>
  </si>
  <si>
    <t>C01134</t>
  </si>
  <si>
    <t>Pantetheine 4'-phosphate</t>
  </si>
  <si>
    <t>C01143</t>
  </si>
  <si>
    <t>(R)-5-Diphosphomevalonate</t>
  </si>
  <si>
    <t>C01157</t>
  </si>
  <si>
    <t>Hydroxyproline</t>
  </si>
  <si>
    <t>C01159</t>
  </si>
  <si>
    <t>2,3-Bisphospho-D-glycerate</t>
  </si>
  <si>
    <t>C01165</t>
  </si>
  <si>
    <t>L-Glutamate 5-semialdehyde</t>
  </si>
  <si>
    <t>C01167</t>
  </si>
  <si>
    <t>Protein tyrosine phosphate</t>
  </si>
  <si>
    <t>C01172</t>
  </si>
  <si>
    <t>beta-D-Glucose 6-phosphate</t>
  </si>
  <si>
    <t>C01179</t>
  </si>
  <si>
    <t>3-(4-Hydroxyphenyl)pyruvate</t>
  </si>
  <si>
    <t>C01185</t>
  </si>
  <si>
    <t>Nicotinate D-ribonucleotide</t>
  </si>
  <si>
    <t>C01190</t>
  </si>
  <si>
    <t>Glucosylceramide</t>
  </si>
  <si>
    <t>C01209</t>
  </si>
  <si>
    <t>Malonyl-[acyl-carrier protein]</t>
  </si>
  <si>
    <t>C01212</t>
  </si>
  <si>
    <t>UDP-N-acetylmuramoyl-L-alanine</t>
  </si>
  <si>
    <t>C01217</t>
  </si>
  <si>
    <t>5,6,7,8-Tetrahydromethanopterin</t>
  </si>
  <si>
    <t>C01228</t>
  </si>
  <si>
    <t>Guanosine 3',5'-bis(diphosphate)</t>
  </si>
  <si>
    <t>C01235</t>
  </si>
  <si>
    <t>alpha-D-Galactosyl-(1-&gt;3)-1D-myo-inositol</t>
  </si>
  <si>
    <t>C01236</t>
  </si>
  <si>
    <t>D-Glucono-1,5-lactone 6-phosphate</t>
  </si>
  <si>
    <t>C01260</t>
  </si>
  <si>
    <t>P1,P4-Bis(5'-adenosyl)tetraphosphate</t>
  </si>
  <si>
    <t>C01267</t>
  </si>
  <si>
    <t>3-(Imidazol-4-yl)-2-oxopropyl phosphate</t>
  </si>
  <si>
    <t>C01271</t>
  </si>
  <si>
    <t>(3R)-3-Hydroxyacyl-[acyl-carrier protein]</t>
  </si>
  <si>
    <t>C01279</t>
  </si>
  <si>
    <t>4-Amino-5-hydroxymethyl-2-methylpyrimidine</t>
  </si>
  <si>
    <t>C01290</t>
  </si>
  <si>
    <t>Lactosylceramide</t>
  </si>
  <si>
    <t>C01302</t>
  </si>
  <si>
    <t>1-(2-Carboxyphenylamino)-1-deoxy-D-ribulose 5-phosphate</t>
  </si>
  <si>
    <t>C01335</t>
  </si>
  <si>
    <t>ROH</t>
  </si>
  <si>
    <t>C01336</t>
  </si>
  <si>
    <t>Aryl thiol</t>
  </si>
  <si>
    <t>C01344</t>
  </si>
  <si>
    <t>dIDP</t>
  </si>
  <si>
    <t>C01345</t>
  </si>
  <si>
    <t>dITP</t>
  </si>
  <si>
    <t>C01346</t>
  </si>
  <si>
    <t>dUDP</t>
  </si>
  <si>
    <t>C01412</t>
  </si>
  <si>
    <t>Butanal</t>
  </si>
  <si>
    <t>C01450</t>
  </si>
  <si>
    <t>Ketone</t>
  </si>
  <si>
    <t>C01528</t>
  </si>
  <si>
    <t>Hydrogen Selenide</t>
  </si>
  <si>
    <t>C01545</t>
  </si>
  <si>
    <t>Octanal</t>
  </si>
  <si>
    <t>C01563</t>
  </si>
  <si>
    <t>Carbamate</t>
  </si>
  <si>
    <t>C01612</t>
  </si>
  <si>
    <t>Secondary alcohol</t>
  </si>
  <si>
    <t>C01613</t>
  </si>
  <si>
    <t>Stachyose</t>
  </si>
  <si>
    <t>C01635</t>
  </si>
  <si>
    <t>tRNA(Ala)</t>
  </si>
  <si>
    <t>C01636</t>
  </si>
  <si>
    <t>tRNA(Arg)</t>
  </si>
  <si>
    <t>C01637</t>
  </si>
  <si>
    <t>tRNA(Asn)</t>
  </si>
  <si>
    <t>C01638</t>
  </si>
  <si>
    <t>tRNA(Asp)</t>
  </si>
  <si>
    <t>C01639</t>
  </si>
  <si>
    <t>tRNA(Cys)</t>
  </si>
  <si>
    <t>C01641</t>
  </si>
  <si>
    <t>tRNA(Glu)</t>
  </si>
  <si>
    <t>C01642</t>
  </si>
  <si>
    <t>tRNA(Gly)</t>
  </si>
  <si>
    <t>C01643</t>
  </si>
  <si>
    <t>tRNA(His)</t>
  </si>
  <si>
    <t>C01644</t>
  </si>
  <si>
    <t>tRNA(Ile)</t>
  </si>
  <si>
    <t>C01645</t>
  </si>
  <si>
    <t>tRNA(Leu)</t>
  </si>
  <si>
    <t>C01646</t>
  </si>
  <si>
    <t>tRNA(Lys)</t>
  </si>
  <si>
    <t>C01647</t>
  </si>
  <si>
    <t>tRNA(Met)</t>
  </si>
  <si>
    <t>C01648</t>
  </si>
  <si>
    <t>tRNA(Phe)</t>
  </si>
  <si>
    <t>C01649</t>
  </si>
  <si>
    <t>tRNA(Pro)</t>
  </si>
  <si>
    <t>C01650</t>
  </si>
  <si>
    <t>tRNA(Ser)</t>
  </si>
  <si>
    <t>C01651</t>
  </si>
  <si>
    <t>tRNA(Thr)</t>
  </si>
  <si>
    <t>C01652</t>
  </si>
  <si>
    <t>tRNA(Trp)</t>
  </si>
  <si>
    <t>C01653</t>
  </si>
  <si>
    <t>tRNA(Val)</t>
  </si>
  <si>
    <t>C01659</t>
  </si>
  <si>
    <t>Acrylamide</t>
  </si>
  <si>
    <t>C01762</t>
  </si>
  <si>
    <t>Xanthosine</t>
  </si>
  <si>
    <t>C01801</t>
  </si>
  <si>
    <t>Deoxyribose</t>
  </si>
  <si>
    <t>C01832</t>
  </si>
  <si>
    <t>Lauroyl-CoA</t>
  </si>
  <si>
    <t>C01929</t>
  </si>
  <si>
    <t>L-Histidinal</t>
  </si>
  <si>
    <t>C01931</t>
  </si>
  <si>
    <t>L-Lysyl-tRNA</t>
  </si>
  <si>
    <t>C01944</t>
  </si>
  <si>
    <t>Octanoyl-CoA</t>
  </si>
  <si>
    <t>C01962</t>
  </si>
  <si>
    <t>Thiocysteine</t>
  </si>
  <si>
    <t>C01977</t>
  </si>
  <si>
    <t>tRNA guanine</t>
  </si>
  <si>
    <t>C01978</t>
  </si>
  <si>
    <t>tRNA queuine</t>
  </si>
  <si>
    <t>C01997</t>
  </si>
  <si>
    <t>Histone N6-acetyl-L-lysine</t>
  </si>
  <si>
    <t>C02047</t>
  </si>
  <si>
    <t>L-Leucyl-tRNA</t>
  </si>
  <si>
    <t>C02051</t>
  </si>
  <si>
    <t>Lipoylprotein</t>
  </si>
  <si>
    <t>C02090</t>
  </si>
  <si>
    <t>Trypanothione</t>
  </si>
  <si>
    <t>C02097</t>
  </si>
  <si>
    <t>dTDP-galactose</t>
  </si>
  <si>
    <t>C02128</t>
  </si>
  <si>
    <t>5'-Phospho-DNA</t>
  </si>
  <si>
    <t>C02133</t>
  </si>
  <si>
    <t>Acyl phosphate</t>
  </si>
  <si>
    <t>C02163</t>
  </si>
  <si>
    <t>L-Arginyl-tRNA(Arg)</t>
  </si>
  <si>
    <t>C02188</t>
  </si>
  <si>
    <t>Protein lysine</t>
  </si>
  <si>
    <t>C02211</t>
  </si>
  <si>
    <t>tRNA precursor</t>
  </si>
  <si>
    <t>C02218</t>
  </si>
  <si>
    <t>Dehydroalanine</t>
  </si>
  <si>
    <t>C02232</t>
  </si>
  <si>
    <t>3-Oxoadipyl-CoA</t>
  </si>
  <si>
    <t>C02291</t>
  </si>
  <si>
    <t>L-Cystathionine</t>
  </si>
  <si>
    <t>C02323</t>
  </si>
  <si>
    <t>Salicyl alcohol</t>
  </si>
  <si>
    <t>C02336</t>
  </si>
  <si>
    <t>beta-D-Fructose</t>
  </si>
  <si>
    <t>C02342</t>
  </si>
  <si>
    <t>Activated' tRNA</t>
  </si>
  <si>
    <t>C02356</t>
  </si>
  <si>
    <t>(S)-2-Aminobutanoate</t>
  </si>
  <si>
    <t>C02412</t>
  </si>
  <si>
    <t>Glycyl-tRNA(Gly)</t>
  </si>
  <si>
    <t>C02415</t>
  </si>
  <si>
    <t>Histone-L-lysine</t>
  </si>
  <si>
    <t>C02430</t>
  </si>
  <si>
    <t>L-Methionyl-tRNA</t>
  </si>
  <si>
    <t>C02501</t>
  </si>
  <si>
    <t>2-Hydroxymuconate</t>
  </si>
  <si>
    <t>C02505</t>
  </si>
  <si>
    <t>2-Phenylacetamide</t>
  </si>
  <si>
    <t>C02520</t>
  </si>
  <si>
    <t>5'-Ribonucleotide</t>
  </si>
  <si>
    <t>C02527</t>
  </si>
  <si>
    <t>Butanoylphosphate</t>
  </si>
  <si>
    <t>C02538</t>
  </si>
  <si>
    <t>Estrone 3-sulfate</t>
  </si>
  <si>
    <t>C02553</t>
  </si>
  <si>
    <t>L-Seryl-tRNA(Ser)</t>
  </si>
  <si>
    <t>C02554</t>
  </si>
  <si>
    <t>L-Valyl-tRNA(Val)</t>
  </si>
  <si>
    <t>C02583</t>
  </si>
  <si>
    <t>Protein glutamine</t>
  </si>
  <si>
    <t>C02593</t>
  </si>
  <si>
    <t>Tetradecanoyl-CoA</t>
  </si>
  <si>
    <t>C02637</t>
  </si>
  <si>
    <t>3-Dehydroshikimate</t>
  </si>
  <si>
    <t>C02686</t>
  </si>
  <si>
    <t>Galactosylceramide</t>
  </si>
  <si>
    <t>C02693</t>
  </si>
  <si>
    <t>(Indol-3-yl)acetamide</t>
  </si>
  <si>
    <t>C02702</t>
  </si>
  <si>
    <t>L-Prolyl-tRNA(Pro)</t>
  </si>
  <si>
    <t>C02713</t>
  </si>
  <si>
    <t>N-Acetylmuramate</t>
  </si>
  <si>
    <t>C02730</t>
  </si>
  <si>
    <t>2-Succinylbenzoate</t>
  </si>
  <si>
    <t>C02739</t>
  </si>
  <si>
    <t>1-(5-Phospho-D-ribosyl)-ATP</t>
  </si>
  <si>
    <t>C02741</t>
  </si>
  <si>
    <t>Phosphoribosyl-AMP</t>
  </si>
  <si>
    <t>C02743</t>
  </si>
  <si>
    <t>[Protein]-L-cysteine</t>
  </si>
  <si>
    <t>C02749</t>
  </si>
  <si>
    <t>S-Alkyl-L-cysteine</t>
  </si>
  <si>
    <t>C02764</t>
  </si>
  <si>
    <t>tRNA pseudouridine</t>
  </si>
  <si>
    <t>C02839</t>
  </si>
  <si>
    <t>L-Tyrosyl-tRNA(Tyr)</t>
  </si>
  <si>
    <t>C02876</t>
  </si>
  <si>
    <t>Propanoyl phosphate</t>
  </si>
  <si>
    <t>C02882</t>
  </si>
  <si>
    <t>L-Cysteine-S-conjugate</t>
  </si>
  <si>
    <t>C02909</t>
  </si>
  <si>
    <t>(2-Naphthyl)methanol</t>
  </si>
  <si>
    <t>C02953</t>
  </si>
  <si>
    <t>7,8-Dihydrobiopterin</t>
  </si>
  <si>
    <t>C02962</t>
  </si>
  <si>
    <t>D-Allose 6-phosphate</t>
  </si>
  <si>
    <t>C02972</t>
  </si>
  <si>
    <t>Dihydrolipoylprotein</t>
  </si>
  <si>
    <t>C02984</t>
  </si>
  <si>
    <t>L-Aspartyl-tRNA(Asp)</t>
  </si>
  <si>
    <t>C02987</t>
  </si>
  <si>
    <t>L-Glutamyl-tRNA(Glu)</t>
  </si>
  <si>
    <t>C02988</t>
  </si>
  <si>
    <t>L-Histidyl-tRNA(His)</t>
  </si>
  <si>
    <t>C02992</t>
  </si>
  <si>
    <t>L-Threonyl-tRNA(Thr)</t>
  </si>
  <si>
    <t>C02999</t>
  </si>
  <si>
    <t>N-Acetylmuramoyl-Ala</t>
  </si>
  <si>
    <t>C03023</t>
  </si>
  <si>
    <t>Peptide-L-methionine</t>
  </si>
  <si>
    <t>C03024</t>
  </si>
  <si>
    <t>Reduced flavoprotein</t>
  </si>
  <si>
    <t>C03028</t>
  </si>
  <si>
    <t>Thiamine Triphosphate</t>
  </si>
  <si>
    <t>C03069</t>
  </si>
  <si>
    <t>3-Methylcrotonyl-CoA</t>
  </si>
  <si>
    <t>C03078</t>
  </si>
  <si>
    <t>4-Guanidinobutanamide</t>
  </si>
  <si>
    <t>C03082</t>
  </si>
  <si>
    <t>4-Phospho-L-aspartate</t>
  </si>
  <si>
    <t>C03089</t>
  </si>
  <si>
    <t>5-Methylthio-D-ribose</t>
  </si>
  <si>
    <t>C03090</t>
  </si>
  <si>
    <t>5-Phosphoribosylamine</t>
  </si>
  <si>
    <t>C03125</t>
  </si>
  <si>
    <t>L-Cysteinyl-tRNA(Cys)</t>
  </si>
  <si>
    <t>C03127</t>
  </si>
  <si>
    <t>L-Isoleucyl-tRNA(Ile)</t>
  </si>
  <si>
    <t>C03150</t>
  </si>
  <si>
    <t>Nicotinamide-beta-riboside</t>
  </si>
  <si>
    <t>C03161</t>
  </si>
  <si>
    <t>Oxidized flavoprotein</t>
  </si>
  <si>
    <t>C03169</t>
  </si>
  <si>
    <t>Pyrimidine nucleoside</t>
  </si>
  <si>
    <t>C03170</t>
  </si>
  <si>
    <t>Trypanothione disulfide</t>
  </si>
  <si>
    <t>C03195</t>
  </si>
  <si>
    <t>(R)-10-Hydroxystearate</t>
  </si>
  <si>
    <t>C03287</t>
  </si>
  <si>
    <t>L-Glutamyl 5-phosphate</t>
  </si>
  <si>
    <t>C03291</t>
  </si>
  <si>
    <t>L-Xylulose 5-phosphate</t>
  </si>
  <si>
    <t>C03294</t>
  </si>
  <si>
    <t>N-Formylmethionyl-tRNA</t>
  </si>
  <si>
    <t>C03344</t>
  </si>
  <si>
    <t>2-Methylacetoacetyl-CoA</t>
  </si>
  <si>
    <t>C03356</t>
  </si>
  <si>
    <t>3-Phospho-D-erythronate</t>
  </si>
  <si>
    <t>C03373</t>
  </si>
  <si>
    <t>Aminoimidazole Ribotide</t>
  </si>
  <si>
    <t>C03391</t>
  </si>
  <si>
    <t>DNA 6-methylaminopurine</t>
  </si>
  <si>
    <t>C03402</t>
  </si>
  <si>
    <t>L-Asparaginyl-tRNA(Asn)</t>
  </si>
  <si>
    <t>C03406</t>
  </si>
  <si>
    <t>N-(L-Arginino)succinate</t>
  </si>
  <si>
    <t>C03453</t>
  </si>
  <si>
    <t>gamma-Oxalocrotonate</t>
  </si>
  <si>
    <t>C03479</t>
  </si>
  <si>
    <t>Folinic Acid</t>
  </si>
  <si>
    <t>C03492</t>
  </si>
  <si>
    <t>D-4'-Phosphopantothenate</t>
  </si>
  <si>
    <t>C03506</t>
  </si>
  <si>
    <t>Indoleglycerol phosphate</t>
  </si>
  <si>
    <t>C03511</t>
  </si>
  <si>
    <t>L-Phenylalanyl-tRNA(Phe)</t>
  </si>
  <si>
    <t>C03512</t>
  </si>
  <si>
    <t>L-Tryptophanyl-tRNA(Trp)</t>
  </si>
  <si>
    <t>C03523</t>
  </si>
  <si>
    <t>N-Substituted amino acid</t>
  </si>
  <si>
    <t>C03539</t>
  </si>
  <si>
    <t>S-Ribosyl-L-homocysteine</t>
  </si>
  <si>
    <t>C03617</t>
  </si>
  <si>
    <t>L-Methionylaminoacyl-tRNA</t>
  </si>
  <si>
    <t>C03620</t>
  </si>
  <si>
    <t>Monocarboxylic acid amide</t>
  </si>
  <si>
    <t>C03633</t>
  </si>
  <si>
    <t>Peptidylproline (omega=0)</t>
  </si>
  <si>
    <t>C03657</t>
  </si>
  <si>
    <t>1,4-Dihydroxy-2-naphthoate</t>
  </si>
  <si>
    <t>C03688</t>
  </si>
  <si>
    <t>Apo-[acyl-carrier protein]</t>
  </si>
  <si>
    <t>C03692</t>
  </si>
  <si>
    <t>1,2-Diacyl-3-beta-D-galactosyl-sn-glycerol</t>
  </si>
  <si>
    <t>C03723</t>
  </si>
  <si>
    <t>Ribonucleoside diphosphate</t>
  </si>
  <si>
    <t>C03733</t>
  </si>
  <si>
    <t>UDP-alpha-D-galactofuranose</t>
  </si>
  <si>
    <t>C03785</t>
  </si>
  <si>
    <t>D-Tagatose 1,6-bisphosphate</t>
  </si>
  <si>
    <t>C03794</t>
  </si>
  <si>
    <t>N6-(1,2-Dicarboxyethyl)-AMP</t>
  </si>
  <si>
    <t>C03798</t>
  </si>
  <si>
    <t>Peptidylproline (omega=180)</t>
  </si>
  <si>
    <t>C03800</t>
  </si>
  <si>
    <t>Protein S-methyl-L-cysteine</t>
  </si>
  <si>
    <t>C03802</t>
  </si>
  <si>
    <t>Ribonucleoside triphosphate</t>
  </si>
  <si>
    <t>C03803</t>
  </si>
  <si>
    <t>Ribosomal-protein L-alanine</t>
  </si>
  <si>
    <t>C03838</t>
  </si>
  <si>
    <t>5'-Phosphoribosylglycinamide</t>
  </si>
  <si>
    <t>C03880</t>
  </si>
  <si>
    <t>N-Substituted aminoacyl-tRNA</t>
  </si>
  <si>
    <t>C03892</t>
  </si>
  <si>
    <t>Phosphatidylglycerophosphate</t>
  </si>
  <si>
    <t>C03895</t>
  </si>
  <si>
    <t>Peptide-L-methionine (S)-S-oxide</t>
  </si>
  <si>
    <t>C03912</t>
  </si>
  <si>
    <t>(S)-1-Pyrroline-5-carboxylate</t>
  </si>
  <si>
    <t>C03939</t>
  </si>
  <si>
    <t>Acetyl-[acyl-carrier protein]</t>
  </si>
  <si>
    <t>C03972</t>
  </si>
  <si>
    <t>2,3,4,5-Tetrahydrodipicolinate</t>
  </si>
  <si>
    <t>C04051</t>
  </si>
  <si>
    <t>5-Amino-4-imidazolecarboxyamide</t>
  </si>
  <si>
    <t>C04079</t>
  </si>
  <si>
    <t>N-((R)-Pantothenoyl)-L-cysteine</t>
  </si>
  <si>
    <t>C04144</t>
  </si>
  <si>
    <t>Tetrahydropteroyltri-L-glutamate</t>
  </si>
  <si>
    <t>C04153</t>
  </si>
  <si>
    <t>rRNA containing N2-methylguanine</t>
  </si>
  <si>
    <t>C04157</t>
  </si>
  <si>
    <t>tRNA containing N1-methylguanine</t>
  </si>
  <si>
    <t>C04160</t>
  </si>
  <si>
    <t>tRNA containing N7-methylguanine</t>
  </si>
  <si>
    <t>C04161</t>
  </si>
  <si>
    <t>tRNA containing a thionucleotide</t>
  </si>
  <si>
    <t>C04232</t>
  </si>
  <si>
    <t>2'-Deoxyribonucleoside diphosphate</t>
  </si>
  <si>
    <t>C04242</t>
  </si>
  <si>
    <t>5-Fluorodeoxyuridine monophosphate</t>
  </si>
  <si>
    <t>C04246</t>
  </si>
  <si>
    <t>But-2-enoyl-[acyl-carrier protein]</t>
  </si>
  <si>
    <t>C04250</t>
  </si>
  <si>
    <t>DNA containing 6-O-methylguanine</t>
  </si>
  <si>
    <t>C04258</t>
  </si>
  <si>
    <t>N-Formyl-L-methionylaminoacyl-tRNA</t>
  </si>
  <si>
    <t>C04260</t>
  </si>
  <si>
    <t>O-D-Alanyl-poly(ribitol phosphate)</t>
  </si>
  <si>
    <t>C04261</t>
  </si>
  <si>
    <t>Protein N(pi)-phospho-L-histidine</t>
  </si>
  <si>
    <t>C04262</t>
  </si>
  <si>
    <t>Protein N(tau)-phospho-L-histidine</t>
  </si>
  <si>
    <t>C04281</t>
  </si>
  <si>
    <t>L-1-Pyrroline-3-hydroxy-5-carboxylate</t>
  </si>
  <si>
    <t>C04287</t>
  </si>
  <si>
    <t>3D-3,5/4-Trihydroxycyclohexane-1,2-dione</t>
  </si>
  <si>
    <t>C04294</t>
  </si>
  <si>
    <t>5-(2-Hydroxyethyl)-4-methylthiazole</t>
  </si>
  <si>
    <t>C04298</t>
  </si>
  <si>
    <t>Holo-[citrate (pro-3S)-lyase]</t>
  </si>
  <si>
    <t>C04302</t>
  </si>
  <si>
    <t>N-(5-Phospho-D-ribosyl)anthranilate</t>
  </si>
  <si>
    <t>C04309</t>
  </si>
  <si>
    <t>Phosphoenol-4-deoxy-3-tetrulosonate</t>
  </si>
  <si>
    <t>C04327</t>
  </si>
  <si>
    <t>4-Methyl-5-(2-phosphooxyethyl)thiazole</t>
  </si>
  <si>
    <t>C04334</t>
  </si>
  <si>
    <t>Acetyl-[citrate (pro-3S)-lyase]</t>
  </si>
  <si>
    <t>C04341</t>
  </si>
  <si>
    <t>Ribosomal-protein N-acetyl-L-alanine</t>
  </si>
  <si>
    <t>C04352</t>
  </si>
  <si>
    <t>( R )- 4' - Phosphopantothenoyl -L-cysteine</t>
  </si>
  <si>
    <t>C04376</t>
  </si>
  <si>
    <t>5'-Phosphoribosyl-N-formylglycinamide</t>
  </si>
  <si>
    <t>C04377</t>
  </si>
  <si>
    <t>5,10-Methylenetetrahydromenthanopterin</t>
  </si>
  <si>
    <t>C04432</t>
  </si>
  <si>
    <t>tRNA containing 6-isopentenyladenosine</t>
  </si>
  <si>
    <t>C04489</t>
  </si>
  <si>
    <t>5-Methyltetrahydropteroyltri-L-glutamate</t>
  </si>
  <si>
    <t>C04494</t>
  </si>
  <si>
    <t>Guanosine 3'-diphosphate 5'-triphosphate</t>
  </si>
  <si>
    <t>C04501</t>
  </si>
  <si>
    <t>N-Acetyl-alpha-D-glucosamine 1-phosphate</t>
  </si>
  <si>
    <t>C04534</t>
  </si>
  <si>
    <t>6-Phospho-beta-D-glucosyl-(1,4)-D-glucose</t>
  </si>
  <si>
    <t>C04556</t>
  </si>
  <si>
    <t>4-Amino-2-methyl-5-(phosphooxymethyl)pyrimidine</t>
  </si>
  <si>
    <t>C04574</t>
  </si>
  <si>
    <t>di-trans,poly-cis-Undecaprenyl diphosphate</t>
  </si>
  <si>
    <t>C04618</t>
  </si>
  <si>
    <t>(3R)-3-Hydroxybutanoyl-[acyl-carrier protein]</t>
  </si>
  <si>
    <t>C04619</t>
  </si>
  <si>
    <t>(3R)-3-Hydroxydecanoyl-[acyl-carrier protein]</t>
  </si>
  <si>
    <t>C04620</t>
  </si>
  <si>
    <t>(3R)-3-Hydroxyoctanoyl-[acyl-carrier protein]</t>
  </si>
  <si>
    <t>C04631</t>
  </si>
  <si>
    <t>UDP-N-acetyl-3-(1-carboxyvinyl)-D-glucosamine</t>
  </si>
  <si>
    <t>C04633</t>
  </si>
  <si>
    <t>C04640</t>
  </si>
  <si>
    <t>2-(Formamido)-N1-(5'-phosphoribosyl)acetamidine</t>
  </si>
  <si>
    <t>C04646</t>
  </si>
  <si>
    <t>6-Thioinosine-5'-monophosphate</t>
  </si>
  <si>
    <t>C04666</t>
  </si>
  <si>
    <t>D-erythro-1-(Imidazol-4-yl)glycerol 3-phosphate</t>
  </si>
  <si>
    <t>C04677</t>
  </si>
  <si>
    <t>1-(5'-Phosphoribosyl)-5-amino-4-imidazolecarboxamide</t>
  </si>
  <si>
    <t>C04681</t>
  </si>
  <si>
    <t>[Acetyl-CoA:carbon-dioxide ligase (ADP-forming)]</t>
  </si>
  <si>
    <t>C04688</t>
  </si>
  <si>
    <t>(3R)-3-Hydroxytetradecanoyl-[acyl-carrier protein]</t>
  </si>
  <si>
    <t>C04702</t>
  </si>
  <si>
    <t>UDPMurNAc(oyl-L-Ala-D-gamma-Glu-L-Lys-D-Ala-D-Ala)</t>
  </si>
  <si>
    <t>C04734</t>
  </si>
  <si>
    <t>1-(5'-Phosphoribosyl)-5-formamido-4-imidazolecarboxamide</t>
  </si>
  <si>
    <t>C04735</t>
  </si>
  <si>
    <t>Apo-[acetyl-CoA:carbon-dioxide ligase (ADP-forming)]</t>
  </si>
  <si>
    <t>C04737</t>
  </si>
  <si>
    <t>Globotriosylceramide</t>
  </si>
  <si>
    <t>C04751</t>
  </si>
  <si>
    <t>1-(5-Phospho-D-ribosyl)-5-amino-4-imidazolecarboxylate</t>
  </si>
  <si>
    <t>C04752</t>
  </si>
  <si>
    <t>4-Amino-5-hydroxymethyl-2-methylpyrimidine diphosphate</t>
  </si>
  <si>
    <t>C04823</t>
  </si>
  <si>
    <t>1-(5'-Phosphoribosyl)-5-amino-4-(N-succinocarboxamide)-imidazole</t>
  </si>
  <si>
    <t>C04851</t>
  </si>
  <si>
    <t>MurAc(oyl-L-Ala-D-gamma-Glu-L-Lys-D-Ala-D-Ala)-diphospho-undecaprenol</t>
  </si>
  <si>
    <t>C04877</t>
  </si>
  <si>
    <t>UDP-N-acetylmuramoyl-L-alanyl-gamma-D-glutamyl-meso-2,6-diaminopimelate</t>
  </si>
  <si>
    <t>C04882</t>
  </si>
  <si>
    <t>UDP-N-acetylmuramoyl-L-alanyl-D-glutamyl-6-carboxyl-L-lysyl-D-alanyl-D-alanine</t>
  </si>
  <si>
    <t>C04884</t>
  </si>
  <si>
    <t>N-Acetyl-D-galactosaminyl-(N-acetylneuraminyl)-D-galactosyl-D-glucosylceramide</t>
  </si>
  <si>
    <t>C04896</t>
  </si>
  <si>
    <t>5-(5-Phospho-D-ribosylaminoformimino)-1-(5-phosphoribosyl)-imidazole-4-carboxamide</t>
  </si>
  <si>
    <t>C04911</t>
  </si>
  <si>
    <t>D-Galactosyl-N-acetyl-D-galactosaminyl-(N-acetylneuraminyl)-D-galactosyl-D-glucosylceramide</t>
  </si>
  <si>
    <t>C04916</t>
  </si>
  <si>
    <t>N-(5'-Phospho-D-1'-ribulosylformimino)-5-amino-1-(5''-phospho-D-ribosyl)-4-imidazolecarboxamide</t>
  </si>
  <si>
    <t>C05125</t>
  </si>
  <si>
    <t>2-(alpha-Hydroxyethyl)thiamine diphosphate</t>
  </si>
  <si>
    <t>C05167</t>
  </si>
  <si>
    <t>alpha-Amino acid</t>
  </si>
  <si>
    <t>C05196</t>
  </si>
  <si>
    <t>Dihydroflavodoxin</t>
  </si>
  <si>
    <t>C05197</t>
  </si>
  <si>
    <t>Protein glycine</t>
  </si>
  <si>
    <t>C05198</t>
  </si>
  <si>
    <t>5'-Deoxyadenosine</t>
  </si>
  <si>
    <t>C05199</t>
  </si>
  <si>
    <t>Flavodoxin semiquinone</t>
  </si>
  <si>
    <t>C05223</t>
  </si>
  <si>
    <t>Dodecanoyl-[acyl-carrier protein]</t>
  </si>
  <si>
    <t>C05259</t>
  </si>
  <si>
    <t>3-Oxopalmitoyl-CoA</t>
  </si>
  <si>
    <t>C05261</t>
  </si>
  <si>
    <t>3-Oxotetradecanoyl-CoA</t>
  </si>
  <si>
    <t>C05263</t>
  </si>
  <si>
    <t>3-Oxododecanoyl-CoA</t>
  </si>
  <si>
    <t>C05265</t>
  </si>
  <si>
    <t>3-Oxodecanoyl-CoA</t>
  </si>
  <si>
    <t>C05267</t>
  </si>
  <si>
    <t>3-Oxooctanoyl-CoA</t>
  </si>
  <si>
    <t>C05269</t>
  </si>
  <si>
    <t>3-Oxohexanoyl-CoA</t>
  </si>
  <si>
    <t>C05270</t>
  </si>
  <si>
    <t>Hexanoyl-CoA</t>
  </si>
  <si>
    <t>C05274</t>
  </si>
  <si>
    <t>Decanoyl-CoA</t>
  </si>
  <si>
    <t>C05312</t>
  </si>
  <si>
    <t>Protein glycin-2-yl radical</t>
  </si>
  <si>
    <t>C05335</t>
  </si>
  <si>
    <t>L-Selenomethionine</t>
  </si>
  <si>
    <t>C05336</t>
  </si>
  <si>
    <t>Selenomethionyl-tRNA(Met)</t>
  </si>
  <si>
    <t>C05345</t>
  </si>
  <si>
    <t>beta-D-Fructose 6-phosphate</t>
  </si>
  <si>
    <t>C05378</t>
  </si>
  <si>
    <t>beta-D-Fructose 1,6-bisphosphate</t>
  </si>
  <si>
    <t>C05382</t>
  </si>
  <si>
    <t>Sedoheptulose 7-phosphate</t>
  </si>
  <si>
    <t>C05394</t>
  </si>
  <si>
    <t>3-Keto-beta-D-galactose</t>
  </si>
  <si>
    <t>C05399</t>
  </si>
  <si>
    <t>Melibiitol</t>
  </si>
  <si>
    <t>C05400</t>
  </si>
  <si>
    <t>Epimelibiose</t>
  </si>
  <si>
    <t>C05401</t>
  </si>
  <si>
    <t>3-beta-D-Galactosyl-sn-glycerol</t>
  </si>
  <si>
    <t>C05402</t>
  </si>
  <si>
    <t>Melibiose</t>
  </si>
  <si>
    <t>C05403</t>
  </si>
  <si>
    <t>3-Ketolactose</t>
  </si>
  <si>
    <t>C05404</t>
  </si>
  <si>
    <t>D-Gal alpha 1-&gt;6D-Gal alpha 1-&gt;6D-Glucose</t>
  </si>
  <si>
    <t>C05444</t>
  </si>
  <si>
    <t>3alpha,7alpha,26-Trihydroxy-5beta-cholestane</t>
  </si>
  <si>
    <t>C05445</t>
  </si>
  <si>
    <t>3alpha,7alpha-Dihydroxy-5beta-cholestan-26-al</t>
  </si>
  <si>
    <t>C05512</t>
  </si>
  <si>
    <t>Deoxyinosine</t>
  </si>
  <si>
    <t>C05526</t>
  </si>
  <si>
    <t>S-Glutathionyl-L-cysteine</t>
  </si>
  <si>
    <t>C05539</t>
  </si>
  <si>
    <t>N-Acetyl-L-2-amino-6-oxopimelate</t>
  </si>
  <si>
    <t>C05576</t>
  </si>
  <si>
    <t>3,4-Dihydroxyphenylethyleneglycol</t>
  </si>
  <si>
    <t>C05577</t>
  </si>
  <si>
    <t>3,4-Dihydroxymandelaldehyde</t>
  </si>
  <si>
    <t>C05684</t>
  </si>
  <si>
    <t>Selenite</t>
  </si>
  <si>
    <t>C05688</t>
  </si>
  <si>
    <t>L-Selenocysteine</t>
  </si>
  <si>
    <t>C05689</t>
  </si>
  <si>
    <t>Se-Methyl-L-selenocysteine</t>
  </si>
  <si>
    <t>C05691</t>
  </si>
  <si>
    <t>Se-Adenosylselenomethionine</t>
  </si>
  <si>
    <t>C05698</t>
  </si>
  <si>
    <t>Selenohomocysteine</t>
  </si>
  <si>
    <t>C05699</t>
  </si>
  <si>
    <t>L-Selenocystathionine</t>
  </si>
  <si>
    <t>C05703</t>
  </si>
  <si>
    <t>Methaneselenol</t>
  </si>
  <si>
    <t>C05744</t>
  </si>
  <si>
    <t>Acetoacetyl-[acp]</t>
  </si>
  <si>
    <t>C05745</t>
  </si>
  <si>
    <t>Butyryl-[acp]</t>
  </si>
  <si>
    <t>C05746</t>
  </si>
  <si>
    <t>3-Oxohexanoyl-[acp]</t>
  </si>
  <si>
    <t>C05747</t>
  </si>
  <si>
    <t>(3R)-3-Hydroxyhexanoyl-[acyl-carrier protein]</t>
  </si>
  <si>
    <t>C05748</t>
  </si>
  <si>
    <t>trans-Hex-2-enoyl-[acp]</t>
  </si>
  <si>
    <t>C05749</t>
  </si>
  <si>
    <t>Hexanoyl-[acp]</t>
  </si>
  <si>
    <t>C05750</t>
  </si>
  <si>
    <t>3-Oxooctanoyl-[acp]</t>
  </si>
  <si>
    <t>C05751</t>
  </si>
  <si>
    <t>trans-Oct-2-enoyl-[acp]</t>
  </si>
  <si>
    <t>C05752</t>
  </si>
  <si>
    <t>Octanoyl-[acp]</t>
  </si>
  <si>
    <t>C05753</t>
  </si>
  <si>
    <t>3-Oxodecanoyl-[acp]</t>
  </si>
  <si>
    <t>C05754</t>
  </si>
  <si>
    <t>trans-Dec-2-enoyl-[acp]</t>
  </si>
  <si>
    <t>C05755</t>
  </si>
  <si>
    <t>Decanoyl-[acp]</t>
  </si>
  <si>
    <t>C05756</t>
  </si>
  <si>
    <t>3-Oxododecanoyl-[acp]</t>
  </si>
  <si>
    <t>C05757</t>
  </si>
  <si>
    <t>(3R)-3-Hydroxydodecanoyl-[acyl-carrier protein]</t>
  </si>
  <si>
    <t>C05758</t>
  </si>
  <si>
    <t>trans-Dodec-2-enoyl-[acp]</t>
  </si>
  <si>
    <t>C05759</t>
  </si>
  <si>
    <t>3-Oxotetradecanoyl-[acp]</t>
  </si>
  <si>
    <t>C05760</t>
  </si>
  <si>
    <t>trans-Tetradec-2-enoyl-[acp]</t>
  </si>
  <si>
    <t>C05761</t>
  </si>
  <si>
    <t>Tetradecanoyl-[acp]</t>
  </si>
  <si>
    <t>C05762</t>
  </si>
  <si>
    <t>3-Oxohexadecanoyl-[acp]</t>
  </si>
  <si>
    <t>C05763</t>
  </si>
  <si>
    <t>trans-Hexadec-2-enoyl-[acp]</t>
  </si>
  <si>
    <t>C05764</t>
  </si>
  <si>
    <t>Hexadecanoyl-[acp]</t>
  </si>
  <si>
    <t>C05774</t>
  </si>
  <si>
    <t>Cobinamide</t>
  </si>
  <si>
    <t>C05796</t>
  </si>
  <si>
    <t>Galactan</t>
  </si>
  <si>
    <t>C05811</t>
  </si>
  <si>
    <t>2-Octaprenyl-6-hydroxyphenol</t>
  </si>
  <si>
    <t>C05812</t>
  </si>
  <si>
    <t>2-Octaprenyl-6-methoxyphenol</t>
  </si>
  <si>
    <t>C05817</t>
  </si>
  <si>
    <t>(1R,6R)-6-Hydroxy-2-succinylcyclohexa-2,4-diene-1-carboxylate</t>
  </si>
  <si>
    <t>C05823</t>
  </si>
  <si>
    <t>3-Mercaptolactate</t>
  </si>
  <si>
    <t>C05841</t>
  </si>
  <si>
    <t>Nicotinate D-ribonucleoside</t>
  </si>
  <si>
    <t>C05847</t>
  </si>
  <si>
    <t>all-trans-Polyprenyl diphosphate</t>
  </si>
  <si>
    <t>C05892</t>
  </si>
  <si>
    <t>UDP-N-acetylmuramoyl-L-alanyl-gamma-D-glutamyl-L-lysine</t>
  </si>
  <si>
    <t>C05893</t>
  </si>
  <si>
    <t>Undecaprenyl-diphospho-N-acetylmuramoyl-(N-acetylglucosamine)-L-alanyl-gamma-D-glutamyl-L-lysyl-D-alanyl-D-alanine</t>
  </si>
  <si>
    <t>C05897</t>
  </si>
  <si>
    <t>Undecaprenyl-diphospho-N-acetylmuramoyl-L-alanyl-D-glutamyl-meso-2,6-diaminopimeloyl-D-alanyl-D-alanine</t>
  </si>
  <si>
    <t>C05898</t>
  </si>
  <si>
    <t>Undecaprenyl-diphospho-N-acetylmuramoyl-(N-acetylglucosamine)-L-alanyl-D-glutamyl-meso-2,6-diaminopimeloyl-D-alanyl-D-alanine</t>
  </si>
  <si>
    <t>C05921</t>
  </si>
  <si>
    <t>Biotinyl-5'-AMP</t>
  </si>
  <si>
    <t>C05984</t>
  </si>
  <si>
    <t>2-Hydroxybutanoic acid</t>
  </si>
  <si>
    <t>C06006</t>
  </si>
  <si>
    <t>(S)-2-Aceto-2-hydroxybutanoate</t>
  </si>
  <si>
    <t>C06010</t>
  </si>
  <si>
    <t>(S)-2-Acetolactate</t>
  </si>
  <si>
    <t>C06019</t>
  </si>
  <si>
    <t>D-arabino-Hex-3-ulose 6-phosphate</t>
  </si>
  <si>
    <t>C06030</t>
  </si>
  <si>
    <t>Methyloxaloacetate</t>
  </si>
  <si>
    <t>C06037</t>
  </si>
  <si>
    <t>Digalactosyl-diacylglycerol</t>
  </si>
  <si>
    <t>C06055</t>
  </si>
  <si>
    <t>O-Phospho-4-hydroxy-L-threonine</t>
  </si>
  <si>
    <t>C06056</t>
  </si>
  <si>
    <t>4-Hydroxy-L-threonine</t>
  </si>
  <si>
    <t>C06125</t>
  </si>
  <si>
    <t>Sulfatide</t>
  </si>
  <si>
    <t>C06126</t>
  </si>
  <si>
    <t>Digalactosylceramide</t>
  </si>
  <si>
    <t>C06135</t>
  </si>
  <si>
    <t>GA2</t>
  </si>
  <si>
    <t>C06136</t>
  </si>
  <si>
    <t>GA1</t>
  </si>
  <si>
    <t>C06156</t>
  </si>
  <si>
    <t>alpha-D-Glucosamine 1-phosphate</t>
  </si>
  <si>
    <t>C06187</t>
  </si>
  <si>
    <t>Arbutin 6-phosphate</t>
  </si>
  <si>
    <t>C06188</t>
  </si>
  <si>
    <t>Salicin 6-phosphate</t>
  </si>
  <si>
    <t>C06196</t>
  </si>
  <si>
    <t>2'-Deoxyinosine 5'-phosphate</t>
  </si>
  <si>
    <t>C06244</t>
  </si>
  <si>
    <t>Acetamide</t>
  </si>
  <si>
    <t>C06249</t>
  </si>
  <si>
    <t>Apo-[carboxylase]</t>
  </si>
  <si>
    <t>C06250</t>
  </si>
  <si>
    <t>Holo-[carboxylase]</t>
  </si>
  <si>
    <t>C06423</t>
  </si>
  <si>
    <t>Octanoic acid</t>
  </si>
  <si>
    <t>C06481</t>
  </si>
  <si>
    <t>L-Seryl-tRNA(Sec)</t>
  </si>
  <si>
    <t>C06504</t>
  </si>
  <si>
    <t>Cob(II)yrinate a,c diamide</t>
  </si>
  <si>
    <t>C06505</t>
  </si>
  <si>
    <t>Cob(I)yrinate a,c diamide</t>
  </si>
  <si>
    <t>C06506</t>
  </si>
  <si>
    <t>Adenosyl cobyrinate a,c diamide</t>
  </si>
  <si>
    <t>C06508</t>
  </si>
  <si>
    <t>Adenosyl cobinamide</t>
  </si>
  <si>
    <t>C06611</t>
  </si>
  <si>
    <t>trans-3-Chloro-2-propene-1-ol</t>
  </si>
  <si>
    <t>C06612</t>
  </si>
  <si>
    <t>cis-3-Chloro-2-propene-1-ol</t>
  </si>
  <si>
    <t>C06613</t>
  </si>
  <si>
    <t>trans-3-Chloroallyl aldehyde</t>
  </si>
  <si>
    <t>C06697</t>
  </si>
  <si>
    <t>Arsenite</t>
  </si>
  <si>
    <t>C06715</t>
  </si>
  <si>
    <t>3-Oxopimeloyl-CoA</t>
  </si>
  <si>
    <t>C06892</t>
  </si>
  <si>
    <t>2-Deoxy-5-keto-D-gluconic acid</t>
  </si>
  <si>
    <t>C06893</t>
  </si>
  <si>
    <t>2-Deoxy-5-keto-D-gluconic acid 6-phosphate</t>
  </si>
  <si>
    <t>C06899</t>
  </si>
  <si>
    <t>Chloral hydrate</t>
  </si>
  <si>
    <t>C07086</t>
  </si>
  <si>
    <t>Phenylacetic acid</t>
  </si>
  <si>
    <t>C07118</t>
  </si>
  <si>
    <t>Benzoylacetyl-CoA</t>
  </si>
  <si>
    <t>C07335</t>
  </si>
  <si>
    <t>2-Amino-3-oxo-4-phosphonooxybutyrate</t>
  </si>
  <si>
    <t>C07478</t>
  </si>
  <si>
    <t>2-Hydroxy-5-methyl-cis,cis-muconate</t>
  </si>
  <si>
    <t>C07479</t>
  </si>
  <si>
    <t>2-Oxo-5-methyl-cis-muconate</t>
  </si>
  <si>
    <t>C07490</t>
  </si>
  <si>
    <t>Trichloroethanol</t>
  </si>
  <si>
    <t>C07645</t>
  </si>
  <si>
    <t>Aldophosphamide</t>
  </si>
  <si>
    <t>C08353</t>
  </si>
  <si>
    <t>beta-D-Ribopyranose</t>
  </si>
  <si>
    <t>C08492</t>
  </si>
  <si>
    <t>3-Hexenol</t>
  </si>
  <si>
    <t>C09306</t>
  </si>
  <si>
    <t>Sulfur Dioxide</t>
  </si>
  <si>
    <t>C09815</t>
  </si>
  <si>
    <t>Benzamide</t>
  </si>
  <si>
    <t>C11038</t>
  </si>
  <si>
    <t>2'-Deoxy-5-hydroxymethylcytidine-5'-diphosphate</t>
  </si>
  <si>
    <t>C11039</t>
  </si>
  <si>
    <t>2'-Deoxy-5-hydroxymethylcytidine-5'-triphosphate</t>
  </si>
  <si>
    <t>C11215</t>
  </si>
  <si>
    <t>Arsenate ion</t>
  </si>
  <si>
    <t>C11435</t>
  </si>
  <si>
    <t>4-(Cytidine 5'-diphospho)-2-C-methyl-D-erythritol</t>
  </si>
  <si>
    <t>C11436</t>
  </si>
  <si>
    <t>2-Phospho-4-(cytidine 5'-diphospho)-2-C-methyl-D-erythritol</t>
  </si>
  <si>
    <t>C11439</t>
  </si>
  <si>
    <t>Formyl-L-methionyl peptide</t>
  </si>
  <si>
    <t>C11440</t>
  </si>
  <si>
    <t>Methionyl peptide</t>
  </si>
  <si>
    <t>C11475</t>
  </si>
  <si>
    <t>DNA containing guanine</t>
  </si>
  <si>
    <t>C11638</t>
  </si>
  <si>
    <t>3-Amino-2-oxopropyl phosphate</t>
  </si>
  <si>
    <t>C11736</t>
  </si>
  <si>
    <t>5-Fluorodeoxyuridine</t>
  </si>
  <si>
    <t>C11838</t>
  </si>
  <si>
    <t>(S)-4,5-Dihydroxypentane-2,3-dione</t>
  </si>
  <si>
    <t>C12739</t>
  </si>
  <si>
    <t>5'-Deoxy-5-fluorouridine</t>
  </si>
  <si>
    <t>C14089</t>
  </si>
  <si>
    <t>1-Hydroxymethylnaphthalene</t>
  </si>
  <si>
    <t>C14090</t>
  </si>
  <si>
    <t>1-Naphthaldehyde</t>
  </si>
  <si>
    <t>C14099</t>
  </si>
  <si>
    <t>2-Naphthaldehyde</t>
  </si>
  <si>
    <t>C14899</t>
  </si>
  <si>
    <t>3-Dehydro-L-gulonate 6-phosphate</t>
  </si>
  <si>
    <t>C15498</t>
  </si>
  <si>
    <t>ROOH</t>
  </si>
  <si>
    <t>C15584</t>
  </si>
  <si>
    <t>Phenol</t>
  </si>
  <si>
    <t>C15653</t>
  </si>
  <si>
    <t>Peptide-L-methionine (R)-S-oxide</t>
  </si>
  <si>
    <t>C15667</t>
  </si>
  <si>
    <t>5-Carboxyamino-1-(5-phospho-D-ribosyl)imidazole</t>
  </si>
  <si>
    <t>C15811</t>
  </si>
  <si>
    <t>[Enzyme]-cysteine</t>
  </si>
  <si>
    <t>C15812</t>
  </si>
  <si>
    <t>[Enzyme]-S-sulfanylcysteine</t>
  </si>
  <si>
    <t>C15813</t>
  </si>
  <si>
    <t>Adenylyl-[sulfur-carrier protein]</t>
  </si>
  <si>
    <t>C15814</t>
  </si>
  <si>
    <t>Thiocarboxy-[sulfur-carrier protein]</t>
  </si>
  <si>
    <t>C15972</t>
  </si>
  <si>
    <t>Enzyme N6-(lipoyl)lysine</t>
  </si>
  <si>
    <t>C15973</t>
  </si>
  <si>
    <t>Enzyme N6-(dihydrolipoyl)lysine</t>
  </si>
  <si>
    <t>C15999</t>
  </si>
  <si>
    <t>L-Methionine (S)-S-oxide</t>
  </si>
  <si>
    <t>C16169</t>
  </si>
  <si>
    <t>(4Z,7Z,10Z,13Z,16Z,19Z)-Docosahexaenoyl-CoA</t>
  </si>
  <si>
    <t>C16173</t>
  </si>
  <si>
    <t>(4Z,7Z,10Z,13Z,16Z)-Docosapentaenoyl-CoA</t>
  </si>
  <si>
    <t>C16219</t>
  </si>
  <si>
    <t>3-Oxostearoyl-[acp]</t>
  </si>
  <si>
    <t>C16220</t>
  </si>
  <si>
    <t>(3R)-3-Hydroxyoctadecanoyl-[acyl-carrier protein]</t>
  </si>
  <si>
    <t>C16237</t>
  </si>
  <si>
    <t>Protein N6-(lipoyl)lysine</t>
  </si>
  <si>
    <t>C16238</t>
  </si>
  <si>
    <t>Lipoyl-AMP</t>
  </si>
  <si>
    <t>C16240</t>
  </si>
  <si>
    <t>[Lipoyl-carrier protein]-L-lysine</t>
  </si>
  <si>
    <t>C16241</t>
  </si>
  <si>
    <t>(R)-Lipoate</t>
  </si>
  <si>
    <t>C16310</t>
  </si>
  <si>
    <t>3-Hexenal</t>
  </si>
  <si>
    <t>C16330</t>
  </si>
  <si>
    <t>3-Oxo-OPC8-CoA</t>
  </si>
  <si>
    <t>C16331</t>
  </si>
  <si>
    <t>OPC6-CoA</t>
  </si>
  <si>
    <t>C16334</t>
  </si>
  <si>
    <t>3-Oxo-OPC6-CoA</t>
  </si>
  <si>
    <t>C16335</t>
  </si>
  <si>
    <t>OPC4-CoA</t>
  </si>
  <si>
    <t>C16338</t>
  </si>
  <si>
    <t>3-Oxo-OPC4-CoA</t>
  </si>
  <si>
    <t>C16339</t>
  </si>
  <si>
    <t>(+)-7-Isojasmonic acid CoA</t>
  </si>
  <si>
    <t>C16348</t>
  </si>
  <si>
    <t>cis-3-Chloroallyl aldehyde</t>
  </si>
  <si>
    <t>C16376</t>
  </si>
  <si>
    <t>(6Z,9Z,12Z,15Z,18Z,21Z)-3-Oxotetracosahexaenoyl-CoA</t>
  </si>
  <si>
    <t>C16389</t>
  </si>
  <si>
    <t>(6Z,9Z,12Z,15Z,18Z)-3-Oxotetracosapentaenoyl-CoA</t>
  </si>
  <si>
    <t>C16466</t>
  </si>
  <si>
    <t>7-Methyl-3-oxo-6-octenoyl-CoA</t>
  </si>
  <si>
    <t>C16470</t>
  </si>
  <si>
    <t>5-Methylhex-4-enoyl-CoA</t>
  </si>
  <si>
    <t>C16471</t>
  </si>
  <si>
    <t>5-Methyl-3-oxo-4-hexenoyl-CoA</t>
  </si>
  <si>
    <t>C16551</t>
  </si>
  <si>
    <t>Alcophosphamide</t>
  </si>
  <si>
    <t>C16586</t>
  </si>
  <si>
    <t>2-Phenyl-1,3-propanediol monocarbamate</t>
  </si>
  <si>
    <t>C16587</t>
  </si>
  <si>
    <t>3-Carbamoyl-2-phenylpropionaldehyde</t>
  </si>
  <si>
    <t>C16595</t>
  </si>
  <si>
    <t>4-Hydroxy-5-phenyltetrahydro-1,3-oxazin-2-one</t>
  </si>
  <si>
    <t>C16596</t>
  </si>
  <si>
    <t>5-Phenyl-1,3-oxazinane-2,4-dione</t>
  </si>
  <si>
    <t>C16618</t>
  </si>
  <si>
    <t>6-Thioxanthine 5'-monophosphate</t>
  </si>
  <si>
    <t>C16619</t>
  </si>
  <si>
    <t>6-Thioguanosine monophosphate</t>
  </si>
  <si>
    <t>C16633</t>
  </si>
  <si>
    <t>5-Fluorouridine</t>
  </si>
  <si>
    <t>C16634</t>
  </si>
  <si>
    <t>5-Fluorouridine monophosphate</t>
  </si>
  <si>
    <t>C16635</t>
  </si>
  <si>
    <t>5'-Deoxy-5-fluorocytidine</t>
  </si>
  <si>
    <t>C16636</t>
  </si>
  <si>
    <t>tRNA(Sec)</t>
  </si>
  <si>
    <t>C16639</t>
  </si>
  <si>
    <t>beta-D-Ribofuranose</t>
  </si>
  <si>
    <t>C16663</t>
  </si>
  <si>
    <t>Tryparedoxin</t>
  </si>
  <si>
    <t>C16664</t>
  </si>
  <si>
    <t>Tryparedoxin disulfide</t>
  </si>
  <si>
    <t>C16675</t>
  </si>
  <si>
    <t>7-Aminomethyl-7-carbaguanine</t>
  </si>
  <si>
    <t>C16688</t>
  </si>
  <si>
    <t>Sucrose 6-phosphate</t>
  </si>
  <si>
    <t>C16698</t>
  </si>
  <si>
    <t>N-Acetylmuramic acid 6-phosphate</t>
  </si>
  <si>
    <t>C16737</t>
  </si>
  <si>
    <t>5-Deoxy-D-glucuronate</t>
  </si>
  <si>
    <t>C16832</t>
  </si>
  <si>
    <t>[Protein]-N6-[(R)-dihydrolipoyl]-L-lysine</t>
  </si>
  <si>
    <t>C17322</t>
  </si>
  <si>
    <t>tRNA containing 2-thiouridine</t>
  </si>
  <si>
    <t>C17324</t>
  </si>
  <si>
    <t>tRNA adenine</t>
  </si>
  <si>
    <t>C17551</t>
  </si>
  <si>
    <t>2-Polyprenyl-6-hydroxyphenol</t>
  </si>
  <si>
    <t>C17552</t>
  </si>
  <si>
    <t>2-Polyprenyl-6-methoxyphenol</t>
  </si>
  <si>
    <t>C17556</t>
  </si>
  <si>
    <t>di-trans,poly-cis-Undecaprenyl phosphate</t>
  </si>
  <si>
    <t>C17562</t>
  </si>
  <si>
    <t>2-Polyprenyl-3-methyl-5-hydroxy-6-methoxy-1,4-benzoquinone</t>
  </si>
  <si>
    <t>C18094</t>
  </si>
  <si>
    <t>UDP-L-arabinofuranose</t>
  </si>
  <si>
    <t>C18096</t>
  </si>
  <si>
    <t>D-Allulose 6-phosphate</t>
  </si>
  <si>
    <t>C18902</t>
  </si>
  <si>
    <t>Methylselenic acid</t>
  </si>
  <si>
    <t>C19078</t>
  </si>
  <si>
    <t>tRNA with a 3' cytidine</t>
  </si>
  <si>
    <t>C19080</t>
  </si>
  <si>
    <t>tRNA with a 3' CC end</t>
  </si>
  <si>
    <t>C19085</t>
  </si>
  <si>
    <t>tRNA with a 3' CCA end</t>
  </si>
  <si>
    <t>C19647</t>
  </si>
  <si>
    <t>Epoxyqueuosine in tRNA</t>
  </si>
  <si>
    <t>C19673</t>
  </si>
  <si>
    <t>Malonyl-[acp] methyl ester</t>
  </si>
  <si>
    <t>C19722</t>
  </si>
  <si>
    <t>[tRNA(Ile2)]-cytidine34</t>
  </si>
  <si>
    <t>C19723</t>
  </si>
  <si>
    <t>[tRNA(Ile2)]-lysidine34</t>
  </si>
  <si>
    <t>C19771</t>
  </si>
  <si>
    <t>2'-(5-Triphosphoribosyl)-3'-dephospho-CoA</t>
  </si>
  <si>
    <t>C19847</t>
  </si>
  <si>
    <t>Demethylmenaquinol</t>
  </si>
  <si>
    <t>C20246</t>
  </si>
  <si>
    <t>2-[(2R,5Z)-2-Carboxy-4-methylthiazol-5(2H)-ylidene]ethyl phosphate;</t>
  </si>
  <si>
    <t>C20247</t>
  </si>
  <si>
    <t>2-(2-Carboxy-4-methylthiazol-5-yl)ethyl phosphate</t>
  </si>
  <si>
    <t>C20258</t>
  </si>
  <si>
    <t>(2S,4S)-4-Hydroxy-2,3,4,5-tetrahydrodipicolinate</t>
  </si>
  <si>
    <t>C20267</t>
  </si>
  <si>
    <t>4-Amino-5-aminomethyl-2-methylpyrimidine</t>
  </si>
  <si>
    <t>C20372</t>
  </si>
  <si>
    <t>3-Ketoglutaryl-[acp] methyl ester</t>
  </si>
  <si>
    <t>C20373</t>
  </si>
  <si>
    <t>3-Hydroxyglutaryl-[acp] methyl ester</t>
  </si>
  <si>
    <t>C20374</t>
  </si>
  <si>
    <t>Enoylglutaryl-[acp] methyl ester</t>
  </si>
  <si>
    <t>C20375</t>
  </si>
  <si>
    <t>Glutaryl-[acp] methyl ester</t>
  </si>
  <si>
    <t>C20376</t>
  </si>
  <si>
    <t>3-Ketopimeloyl-[acp] methyl ester</t>
  </si>
  <si>
    <t>C20377</t>
  </si>
  <si>
    <t>3-Hydroxypimeloyl-[acp] methyl ester</t>
  </si>
  <si>
    <t>C20378</t>
  </si>
  <si>
    <t>Enoylpimeloyl-[acp] methyl ester</t>
  </si>
  <si>
    <t>C20446</t>
  </si>
  <si>
    <t>tRNA 7-aminomethyl-7-carbaguanine</t>
  </si>
  <si>
    <t>C20451</t>
  </si>
  <si>
    <t>tRNA hypoxanthine</t>
  </si>
  <si>
    <t>C20565</t>
  </si>
  <si>
    <t>Cyclic di-3',5'-adenylate</t>
  </si>
  <si>
    <t>C20641</t>
  </si>
  <si>
    <t>L-Threonylcarbamoyladenylate</t>
  </si>
  <si>
    <t>C20648</t>
  </si>
  <si>
    <t>Adenine in rRNA</t>
  </si>
  <si>
    <t>C20658</t>
  </si>
  <si>
    <t>O-Acetyl-ADP-ribose</t>
  </si>
  <si>
    <t>C20743</t>
  </si>
  <si>
    <t>Protein N6-acetyl-L-lysine</t>
  </si>
  <si>
    <t>C20751</t>
  </si>
  <si>
    <t>N6-L-Threonylcarbamoyladenine in tRNA</t>
  </si>
  <si>
    <t>C20796</t>
  </si>
  <si>
    <t>N6-Dimethyladenine in rRNA</t>
  </si>
  <si>
    <t>C20858</t>
  </si>
  <si>
    <t>Protein N5-methyl-L-glutamine</t>
  </si>
  <si>
    <t>C20864</t>
  </si>
  <si>
    <t>5'Triphospho-[mRNA]</t>
  </si>
  <si>
    <t>C20904</t>
  </si>
  <si>
    <t>2-Iminopropanoate</t>
  </si>
  <si>
    <t>C20969</t>
  </si>
  <si>
    <t>Carboxyphosphate</t>
  </si>
  <si>
    <t>C21031</t>
  </si>
  <si>
    <t>5-Hydroxymethylcytosine in DNA</t>
  </si>
  <si>
    <t>C21748</t>
  </si>
  <si>
    <t>5-Fluorouridine diphosphate</t>
  </si>
  <si>
    <t>C21749</t>
  </si>
  <si>
    <t>5-Fluorouridine triphosphate</t>
  </si>
  <si>
    <t>C21750</t>
  </si>
  <si>
    <t>5-Fluorodeoxyuridine diphosphate</t>
  </si>
  <si>
    <t>C21751</t>
  </si>
  <si>
    <t>5-Fluorodeoxyuridine triphosphate</t>
  </si>
  <si>
    <t>C21860</t>
  </si>
  <si>
    <t>3-Demethylubiquinol</t>
  </si>
  <si>
    <t>C21906</t>
  </si>
  <si>
    <t>3-Oxochol-4-en-24-oyl-CoA</t>
  </si>
  <si>
    <t>C22157</t>
  </si>
  <si>
    <t>Glycine cleavage system H</t>
  </si>
  <si>
    <t>C22158</t>
  </si>
  <si>
    <t>Lipoyl-carrier protein E2</t>
  </si>
  <si>
    <t>C22160</t>
  </si>
  <si>
    <t>[Lipoyl-carrier protein E2]-N6-octanoyl-L-lysine</t>
  </si>
  <si>
    <t>C22288</t>
  </si>
  <si>
    <t>5-Deoxy-D-ribose</t>
  </si>
  <si>
    <t>C22395</t>
  </si>
  <si>
    <t>N6-Succino-2-amino-2'-deoxyadenylate</t>
  </si>
  <si>
    <t>C22438</t>
  </si>
  <si>
    <t>3,5-Dehydroshikimate</t>
  </si>
  <si>
    <t>C22441</t>
  </si>
  <si>
    <t>dZMP</t>
  </si>
  <si>
    <t>C22442</t>
  </si>
  <si>
    <t>dZDP</t>
  </si>
  <si>
    <t>C22443</t>
  </si>
  <si>
    <t>dZTP</t>
  </si>
  <si>
    <t>C23006</t>
  </si>
  <si>
    <t>3-[(3aS,4S,5R,7aS)-5-Hydroxy-7a-methyl-1-oxooctahydro-1H-inden-4-yl]-3-oxopropanoyl-CoA</t>
  </si>
  <si>
    <t>C23007</t>
  </si>
  <si>
    <t>(3aS,4S,5R,7aS)-5-Hydroxy-7a-methyl-1-oxooctahydro-1H-indene-4-carboxyl-CoA</t>
  </si>
  <si>
    <t>C23013</t>
  </si>
  <si>
    <t>3,24-Dioxocholest-4-en-26-oyl-CoA</t>
  </si>
  <si>
    <t>C23016</t>
  </si>
  <si>
    <t>3,22-Dioxochol-4-en-24-oyl-CoA</t>
  </si>
  <si>
    <t>C23017</t>
  </si>
  <si>
    <t>3-Oxopregnene-20-carboxyl-CoA</t>
  </si>
  <si>
    <t>C23021</t>
  </si>
  <si>
    <t>9-Carboxy-6-methyl-3,7-dioxononanoyl-CoA</t>
  </si>
  <si>
    <t>C23022</t>
  </si>
  <si>
    <t>7-Carboxy-4-methyl-5-oxoheptanoyl-CoA</t>
  </si>
  <si>
    <t>G00092</t>
  </si>
  <si>
    <t>G00093</t>
  </si>
  <si>
    <t>Globotriaosylceramide</t>
  </si>
  <si>
    <t>G00109</t>
  </si>
  <si>
    <t>GM2</t>
  </si>
  <si>
    <t>G00110</t>
  </si>
  <si>
    <t>GM1</t>
  </si>
  <si>
    <t>G00123</t>
  </si>
  <si>
    <t>G00124</t>
  </si>
  <si>
    <t>Asialo-GM1</t>
  </si>
  <si>
    <t>G00249</t>
  </si>
  <si>
    <t>G00275</t>
  </si>
  <si>
    <t>G00278</t>
  </si>
  <si>
    <t>G00370</t>
  </si>
  <si>
    <t>G00497</t>
  </si>
  <si>
    <t>Galabiosylceramide</t>
  </si>
  <si>
    <t>G00501</t>
  </si>
  <si>
    <t>Manninotriose</t>
  </si>
  <si>
    <t>G01275</t>
  </si>
  <si>
    <t>G01977</t>
  </si>
  <si>
    <t>(Gal)2 (GlcNAc)2 (S)2</t>
  </si>
  <si>
    <t>G09795</t>
  </si>
  <si>
    <t>Trehalose 6-phosphate</t>
  </si>
  <si>
    <t>G10238</t>
  </si>
  <si>
    <t>G10488</t>
  </si>
  <si>
    <t>Galactinol</t>
  </si>
  <si>
    <t>G10495</t>
  </si>
  <si>
    <t>1,4-alpha-D-Glucan</t>
  </si>
  <si>
    <t>G10504</t>
  </si>
  <si>
    <t>G10508</t>
  </si>
  <si>
    <t>Sucrose 6'-phosphate</t>
  </si>
  <si>
    <t>G10518</t>
  </si>
  <si>
    <t>(Glc)2 (P)1</t>
  </si>
  <si>
    <t>G10529</t>
  </si>
  <si>
    <t>G10531</t>
  </si>
  <si>
    <t>G10534</t>
  </si>
  <si>
    <t>(Gal)1 (*)2</t>
  </si>
  <si>
    <t>G10545</t>
  </si>
  <si>
    <t>G10550</t>
  </si>
  <si>
    <t>(GlcNAc)1 (MurNAc)1 (D-Ala-D-Ala-Lys-D-Glu-Ala)1 (PP-Und)1</t>
  </si>
  <si>
    <t>G10551</t>
  </si>
  <si>
    <t>(MurNAc)1 (D-Ala-D-Ala-Lys-D-Glu-Ala)1 (PP-Und)1</t>
  </si>
  <si>
    <t>G10552</t>
  </si>
  <si>
    <t>(MurNAc)1 (D-Ala-D-Ala-Lys-gamma-D-Glu-Ala)1 (PP-Und)1</t>
  </si>
  <si>
    <t>G10553</t>
  </si>
  <si>
    <t>(GlcNAc)1 (MurNAc)1 (D-Ala-D-Ala-Lys-gamma-D-Glu-Ala)1 (PP-Und)1</t>
  </si>
  <si>
    <t>G10555</t>
  </si>
  <si>
    <t>(GlcNAc)1 (MurNAc)1 (D-Ala-D-Ala-A2pm-gamma-D-Glu-Ala)1 (PP-Und)1</t>
  </si>
  <si>
    <t>G10556</t>
  </si>
  <si>
    <t>(MurNAc)1 (D-Ala-D-Ala-A2pm-gamma-D-Glu-Ala)1 (PP-Und)1</t>
  </si>
  <si>
    <t>G10610</t>
  </si>
  <si>
    <t>UDP-N-acetyl-D-glucosamine</t>
  </si>
  <si>
    <t>G10619</t>
  </si>
  <si>
    <t>G11109</t>
  </si>
  <si>
    <t>G11113</t>
  </si>
  <si>
    <t>G11121</t>
  </si>
  <si>
    <t>G11122</t>
  </si>
  <si>
    <t>G13073</t>
  </si>
  <si>
    <t>(Gal)1 (GlcNAc)2 (S)2</t>
  </si>
  <si>
    <t>G13167</t>
  </si>
  <si>
    <t>alpha-Glycosylated WTA</t>
  </si>
  <si>
    <t>G13170</t>
  </si>
  <si>
    <t>beta-Glycosylated WTA</t>
  </si>
  <si>
    <t>G13171</t>
  </si>
  <si>
    <t>(Ala)1 (Glc)1 (GlcNAc)1 (Gro)1 (ManNAc)1 (Rib-ol)2 (*)1 (P)3 (PP-Und)1</t>
  </si>
  <si>
    <t>G13174</t>
  </si>
  <si>
    <t>alpha-O-GlcNAcylated WTA</t>
  </si>
  <si>
    <t>G13175</t>
  </si>
  <si>
    <t>(Ala)1 (GlcNAc)2 (Gro)2 (ManNAc)1 (Rib-ol)1 (*)1 (P)3 (PP-Und)1</t>
  </si>
  <si>
    <t>G13176</t>
  </si>
  <si>
    <t>beta-O-GlcNAcylated WTA</t>
  </si>
  <si>
    <t>G13177</t>
  </si>
  <si>
    <t>G13178</t>
  </si>
  <si>
    <t>(GlcNAc)2 (Gro)2 (ManNAc)1 (Rib-ol)1 (*)1 (P)3 (PP-Und)1</t>
  </si>
  <si>
    <t>G13179</t>
  </si>
  <si>
    <t>G13180</t>
  </si>
  <si>
    <t>(Ala)1 (Glc)1 (GlcNAc)1 (Gro)2 (ManNAc)1 (*)1 (P)2 (PP-Und)1</t>
  </si>
  <si>
    <t>G13185</t>
  </si>
  <si>
    <t>(DAG)1 (Glc)2 (GlcNAc)1 (Gro)2 (*)1 (P)2</t>
  </si>
  <si>
    <t>G13186</t>
  </si>
  <si>
    <t>(Ala)1 (DAG)1 (Glc)2 (GlcNAc)1 (Gro)2 (*)1 (P)2</t>
  </si>
  <si>
    <t>G13192</t>
  </si>
  <si>
    <t>(DAG)1 (Gal)2 (Glc)1 (Gro)2 (*)1 (P)2</t>
  </si>
  <si>
    <t>G13193</t>
  </si>
  <si>
    <t>(Ala)1 (DAG)1 (Gal)2 (Glc)1 (Gro)2 (*)1 (P)2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</si>
  <si>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</si>
  <si>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</si>
  <si>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</si>
  <si>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</si>
  <si>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</si>
  <si>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</si>
  <si>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>Rate Law</t>
  </si>
  <si>
    <t>Equation</t>
  </si>
  <si>
    <t>C16219 + C00005 + C00080</t>
  </si>
  <si>
    <t>C16219 * C00005 * C00080</t>
  </si>
  <si>
    <t>C00199 + C00011 + C00004 + C00080</t>
  </si>
  <si>
    <t>C00199 * C00011 * C00004 * C00080</t>
  </si>
  <si>
    <t>C00092 + C00006</t>
  </si>
  <si>
    <t>C00092 * C00006</t>
  </si>
  <si>
    <t>C00004 + C15498 + C00080</t>
  </si>
  <si>
    <t>C00004 * C15498 * C00080</t>
  </si>
  <si>
    <t>C00003 + C00001 + C01335</t>
  </si>
  <si>
    <t>C00003 * C00001 * C01335</t>
  </si>
  <si>
    <t>C00084 + C00010 + C00003</t>
  </si>
  <si>
    <t>C00084 * C00010 * C00003</t>
  </si>
  <si>
    <t>C00534 + C00001 + C00007</t>
  </si>
  <si>
    <t>C00534 * C00001 * C00007</t>
  </si>
  <si>
    <t xml:space="preserve">C00440 + C00006 </t>
  </si>
  <si>
    <t xml:space="preserve">C00440 * C00006 </t>
  </si>
  <si>
    <t>C05223 + C01209</t>
  </si>
  <si>
    <t>C05223 * C01209</t>
  </si>
  <si>
    <t>C00498 + C00718</t>
  </si>
  <si>
    <t>C00498 * C00718</t>
  </si>
  <si>
    <t>G10495(n) + G11109</t>
  </si>
  <si>
    <t>C04851 + C00043</t>
  </si>
  <si>
    <t>C04851 * C00043</t>
  </si>
  <si>
    <t>G10552 + G10610</t>
  </si>
  <si>
    <t>G10552 * G10610</t>
  </si>
  <si>
    <t>C05897 + C00043</t>
  </si>
  <si>
    <t>C05897 * C00043</t>
  </si>
  <si>
    <t>G10551 + G10610</t>
  </si>
  <si>
    <t>G10551 * G10610</t>
  </si>
  <si>
    <t>G10556 + G10610</t>
  </si>
  <si>
    <t>G10556 * G10610</t>
  </si>
  <si>
    <t>G10555 + G10619</t>
  </si>
  <si>
    <t>G10555 * G10619</t>
  </si>
  <si>
    <t>C00064 + C00119 + C00001</t>
  </si>
  <si>
    <t>C00064 * C00119 * C00001</t>
  </si>
  <si>
    <t>C00002 + C00119</t>
  </si>
  <si>
    <t>C00002 * C00119</t>
  </si>
  <si>
    <t>C00299 + C00009</t>
  </si>
  <si>
    <t>C00299 * C00009</t>
  </si>
  <si>
    <t>C00106 + C00620</t>
  </si>
  <si>
    <t>C00106 * C00620</t>
  </si>
  <si>
    <t>C00475 + C00009</t>
  </si>
  <si>
    <t>C00475 * C00009</t>
  </si>
  <si>
    <t>C00380 + C00620</t>
  </si>
  <si>
    <t>C00380 * C00620</t>
  </si>
  <si>
    <t>C00526 + C00009</t>
  </si>
  <si>
    <t>C00526 * C00009</t>
  </si>
  <si>
    <t>C00106 + C00672</t>
  </si>
  <si>
    <t>C00106 * C00672</t>
  </si>
  <si>
    <t>C03169 + C00009</t>
  </si>
  <si>
    <t>C03169 * C00009</t>
  </si>
  <si>
    <t>C00396 + C00620 + C00080</t>
  </si>
  <si>
    <t>C00396 * C00620 * C00080</t>
  </si>
  <si>
    <t>C00144 + C00013</t>
  </si>
  <si>
    <t>C00144 * C00013</t>
  </si>
  <si>
    <t>C00242 + C00119</t>
  </si>
  <si>
    <t>C00242 * C00119</t>
  </si>
  <si>
    <t>C00147 + C00119</t>
  </si>
  <si>
    <t>C00147 * C00119</t>
  </si>
  <si>
    <t>C04677 + C00013</t>
  </si>
  <si>
    <t>C04677 * C00013</t>
  </si>
  <si>
    <t>C04051 + C00119</t>
  </si>
  <si>
    <t>C04051 * C00119</t>
  </si>
  <si>
    <t>2 C00002 + 2 C00541 + C03024</t>
  </si>
  <si>
    <t>2 C00536 + 2 C00194 + C03161</t>
  </si>
  <si>
    <t>2 C00002 + 2 C06504 + C03024</t>
  </si>
  <si>
    <t>2 C00536 + 2 C06506 + C03161</t>
  </si>
  <si>
    <t>C00002 + C00853</t>
  </si>
  <si>
    <t>C00002 * C00853</t>
  </si>
  <si>
    <t>C00536 + C00194</t>
  </si>
  <si>
    <t>C00536 * C00194</t>
  </si>
  <si>
    <t>C06505 + C00002</t>
  </si>
  <si>
    <t>C06505 * C00002</t>
  </si>
  <si>
    <t>C06506 + C00536</t>
  </si>
  <si>
    <t>C06506 * C00536</t>
  </si>
  <si>
    <t>C00002 + C05774</t>
  </si>
  <si>
    <t>C00002 * C05774</t>
  </si>
  <si>
    <t>C04752 + C20247</t>
  </si>
  <si>
    <t>C04752 * C20247</t>
  </si>
  <si>
    <t>C01081 + C00013 + C00011</t>
  </si>
  <si>
    <t>C01081 * C00013 * C00011</t>
  </si>
  <si>
    <t>C04752 + C20246</t>
  </si>
  <si>
    <t>C04752 * C20246</t>
  </si>
  <si>
    <t>C00979 + C00283</t>
  </si>
  <si>
    <t>C00979 * C00283</t>
  </si>
  <si>
    <t>C00979 + C01528</t>
  </si>
  <si>
    <t>C00979 * C01528</t>
  </si>
  <si>
    <t>C05688 + C00033</t>
  </si>
  <si>
    <t>C05688 * C00033</t>
  </si>
  <si>
    <t>C00979 + C00320 + C00342 + C00080</t>
  </si>
  <si>
    <t>C00979 * C00320 * C00342 * C00080</t>
  </si>
  <si>
    <t>C00097 + C00009</t>
  </si>
  <si>
    <t>C00097 * C00009</t>
  </si>
  <si>
    <t>C00009 + C00013 + C00019</t>
  </si>
  <si>
    <t>C00009 * C00013 * C00019</t>
  </si>
  <si>
    <t>C00002 + C05335 + C00001</t>
  </si>
  <si>
    <t>C00002 * C05335 * C00001</t>
  </si>
  <si>
    <t>C00013 + C04432</t>
  </si>
  <si>
    <t>C00013 * C04432</t>
  </si>
  <si>
    <t>C00025 + C00352</t>
  </si>
  <si>
    <t>C00025 * C00352</t>
  </si>
  <si>
    <t>C00123 + C00026</t>
  </si>
  <si>
    <t>C00123 * C00026</t>
  </si>
  <si>
    <t>C00233 + C00025</t>
  </si>
  <si>
    <t>C00233 * C00025</t>
  </si>
  <si>
    <t>C00183 + C00026</t>
  </si>
  <si>
    <t>C00183 * C00026</t>
  </si>
  <si>
    <t>C00141 + C00025</t>
  </si>
  <si>
    <t>C00141 * C00025</t>
  </si>
  <si>
    <t>C00407 + C00026</t>
  </si>
  <si>
    <t>C00407 * C00026</t>
  </si>
  <si>
    <t>C00671 + C00025</t>
  </si>
  <si>
    <t>C00671 * C00025</t>
  </si>
  <si>
    <t>C02356 + C00026</t>
  </si>
  <si>
    <t>C02356 * C00026</t>
  </si>
  <si>
    <t>C00109 + C00025</t>
  </si>
  <si>
    <t>C00109 * C00025</t>
  </si>
  <si>
    <t>C00079 + C00026</t>
  </si>
  <si>
    <t>C00079 * C00026</t>
  </si>
  <si>
    <t>C00082 + C00026</t>
  </si>
  <si>
    <t>C00082 * C00026</t>
  </si>
  <si>
    <t>C01179 + C00025</t>
  </si>
  <si>
    <t>C01179 * C00025</t>
  </si>
  <si>
    <t>C00008 + C00416</t>
  </si>
  <si>
    <t>C00008 * C00416</t>
  </si>
  <si>
    <t>C00008 + C05378</t>
  </si>
  <si>
    <t>C00008 * C05378</t>
  </si>
  <si>
    <t>C00008 + C00354</t>
  </si>
  <si>
    <t>C00008 * C00354</t>
  </si>
  <si>
    <t>C00063 + C00085</t>
  </si>
  <si>
    <t>C00063 * C00085</t>
  </si>
  <si>
    <t>C00112 + C00354</t>
  </si>
  <si>
    <t>C00112 * C00354</t>
  </si>
  <si>
    <t>C00075 + C00085</t>
  </si>
  <si>
    <t>C00075 * C00085</t>
  </si>
  <si>
    <t>C00015 + C00354</t>
  </si>
  <si>
    <t>C00015 * C00354</t>
  </si>
  <si>
    <t>C00081 + C00085</t>
  </si>
  <si>
    <t>C00081 * C00085</t>
  </si>
  <si>
    <t>C03785 + C00008</t>
  </si>
  <si>
    <t>C03785 * C00008</t>
  </si>
  <si>
    <t>C00112 + C03785</t>
  </si>
  <si>
    <t>C00112 * C03785</t>
  </si>
  <si>
    <t>C00075 + C01097</t>
  </si>
  <si>
    <t>C00075 * C01097</t>
  </si>
  <si>
    <t>C00015 + C03785</t>
  </si>
  <si>
    <t>C00015 * C03785</t>
  </si>
  <si>
    <t>C00104 + C03785</t>
  </si>
  <si>
    <t>C00104 * C03785</t>
  </si>
  <si>
    <t>C00008 + C00345</t>
  </si>
  <si>
    <t>C00008 * C00345</t>
  </si>
  <si>
    <t>C11436 + C00008</t>
  </si>
  <si>
    <t>C11436 * C00008</t>
  </si>
  <si>
    <t>C00002 + C00864</t>
  </si>
  <si>
    <t>C00002 * C00864</t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</si>
  <si>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</si>
  <si>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</si>
  <si>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</si>
  <si>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</si>
  <si>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</si>
  <si>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</si>
  <si>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</si>
  <si>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</si>
  <si>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C0022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</si>
  <si>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C0022</t>
    </r>
    <r>
      <rPr>
        <sz val="11"/>
        <rFont val="Arial"/>
        <family val="2"/>
      </rPr>
      <t xml:space="preserve">6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</si>
  <si>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</si>
  <si>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C00071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</si>
  <si>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</si>
  <si>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</si>
  <si>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C00772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</si>
  <si>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C00772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</si>
  <si>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C0046</t>
    </r>
    <r>
      <rPr>
        <sz val="11"/>
        <rFont val="Arial"/>
        <family val="2"/>
      </rPr>
      <t xml:space="preserve">9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</si>
  <si>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C0046</t>
    </r>
    <r>
      <rPr>
        <sz val="11"/>
        <rFont val="Arial"/>
        <family val="2"/>
      </rPr>
      <t xml:space="preserve">9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</si>
  <si>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C00084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</si>
  <si>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C00084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</si>
  <si>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C0047</t>
    </r>
    <r>
      <rPr>
        <sz val="11"/>
        <rFont val="Arial"/>
        <family val="2"/>
      </rPr>
      <t xml:space="preserve">3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</si>
  <si>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C0047</t>
    </r>
    <r>
      <rPr>
        <sz val="11"/>
        <rFont val="Arial"/>
        <family val="2"/>
      </rPr>
      <t xml:space="preserve">3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</si>
  <si>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</si>
  <si>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</si>
  <si>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C0075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</si>
  <si>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C0075</t>
    </r>
    <r>
      <rPr>
        <sz val="11"/>
        <rFont val="Arial"/>
        <family val="2"/>
      </rPr>
      <t xml:space="preserve">6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</si>
  <si>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C01545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</si>
  <si>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C01545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</si>
  <si>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C01612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</si>
  <si>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C01612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</si>
  <si>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C01450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</si>
  <si>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C01450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</si>
  <si>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C02909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</si>
  <si>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C02909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</si>
  <si>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</si>
  <si>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C14099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</si>
  <si>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C05444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</si>
  <si>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C05444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</si>
  <si>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</si>
  <si>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C05445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</si>
  <si>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</si>
  <si>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C05576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</si>
  <si>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C05577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</si>
  <si>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C05577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</si>
  <si>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C06611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</si>
  <si>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C06611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</si>
  <si>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C06613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</si>
  <si>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C06613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</si>
  <si>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C0661</t>
    </r>
    <r>
      <rPr>
        <sz val="11"/>
        <rFont val="Arial"/>
        <family val="2"/>
      </rPr>
      <t xml:space="preserve">2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</si>
  <si>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C0661</t>
    </r>
    <r>
      <rPr>
        <sz val="11"/>
        <rFont val="Arial"/>
        <family val="2"/>
      </rPr>
      <t xml:space="preserve">2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</si>
  <si>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C16348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</si>
  <si>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C16348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</si>
  <si>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C06899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</si>
  <si>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C06899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</si>
  <si>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C07490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</si>
  <si>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C07490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</si>
  <si>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C07645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</si>
  <si>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C07645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</si>
  <si>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</si>
  <si>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C16551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</si>
  <si>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C1408</t>
    </r>
    <r>
      <rPr>
        <sz val="11"/>
        <rFont val="Arial"/>
        <family val="2"/>
      </rPr>
      <t xml:space="preserve">9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</si>
  <si>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C1408</t>
    </r>
    <r>
      <rPr>
        <sz val="11"/>
        <rFont val="Arial"/>
        <family val="2"/>
      </rPr>
      <t xml:space="preserve">9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</si>
  <si>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C14090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</si>
  <si>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C14090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</si>
  <si>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</si>
  <si>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</si>
  <si>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C08492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</si>
  <si>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C08492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</si>
  <si>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C16586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</si>
  <si>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C16586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</si>
  <si>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C16587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</si>
  <si>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C16587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</si>
  <si>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</si>
  <si>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C16595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</si>
  <si>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C16596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</si>
  <si>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C16596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</si>
  <si>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C01271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</si>
  <si>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C01271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</si>
  <si>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</si>
  <si>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</si>
  <si>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</si>
  <si>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</si>
  <si>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</si>
  <si>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</si>
  <si>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</si>
  <si>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</si>
  <si>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</si>
  <si>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</si>
  <si>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C04620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</si>
  <si>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C04620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</si>
  <si>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</si>
  <si>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</si>
  <si>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C04633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</si>
  <si>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C04633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</si>
  <si>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</si>
  <si>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</si>
  <si>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C04688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</si>
  <si>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C04688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</si>
  <si>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</si>
  <si>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</si>
  <si>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</si>
  <si>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</si>
  <si>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</si>
  <si>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</si>
  <si>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</si>
  <si>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</si>
  <si>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</si>
  <si>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</si>
  <si>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C16220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</si>
  <si>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C16220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</si>
  <si>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</si>
  <si>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</si>
  <si>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</si>
  <si>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</si>
  <si>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</si>
  <si>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</si>
  <si>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C20377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</si>
  <si>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C20377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</si>
  <si>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</si>
  <si>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</si>
  <si>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C00966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</si>
  <si>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C00966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</si>
  <si>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</si>
  <si>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</si>
  <si>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</si>
  <si>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C00085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</si>
  <si>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</si>
  <si>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</si>
  <si>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</si>
  <si>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C05345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</si>
  <si>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1.1.1.18</t>
    </r>
  </si>
  <si>
    <r>
      <rPr>
        <u/>
        <sz val="11"/>
        <color rgb="FF1155CC"/>
        <rFont val="Arial"/>
        <family val="2"/>
      </rPr>
      <t>C0013</t>
    </r>
    <r>
      <rPr>
        <sz val="11"/>
        <rFont val="Arial"/>
        <family val="2"/>
      </rPr>
      <t xml:space="preserve">7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</si>
  <si>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C0013</t>
    </r>
    <r>
      <rPr>
        <sz val="11"/>
        <rFont val="Arial"/>
        <family val="2"/>
      </rPr>
      <t xml:space="preserve">7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</si>
  <si>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C00691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</si>
  <si>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C00691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</si>
  <si>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1.1.1.205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</si>
  <si>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</si>
  <si>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</si>
  <si>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</si>
  <si>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</si>
  <si>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1.1.1.205</t>
    </r>
  </si>
  <si>
    <r>
      <rPr>
        <u/>
        <sz val="11"/>
        <color rgb="FF1155CC"/>
        <rFont val="Arial"/>
        <family val="2"/>
      </rPr>
      <t>C04646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</si>
  <si>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C04646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</si>
  <si>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C16618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</si>
  <si>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C16618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</si>
  <si>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</si>
  <si>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</si>
  <si>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</si>
  <si>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</si>
  <si>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</si>
  <si>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</si>
  <si>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</si>
  <si>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</si>
  <si>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</si>
  <si>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</si>
  <si>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</si>
  <si>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</si>
  <si>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</si>
  <si>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</si>
  <si>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C22438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</si>
  <si>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C22438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</si>
  <si>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1.1.1.262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</si>
  <si>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</si>
  <si>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</si>
  <si>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C07335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</si>
  <si>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C07335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</si>
  <si>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1.1.1.262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</si>
  <si>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</si>
  <si>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</si>
  <si>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</si>
  <si>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</si>
  <si>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1.1.1.262</t>
    </r>
  </si>
  <si>
    <r>
      <rPr>
        <u/>
        <sz val="10"/>
        <color rgb="FF1155CC"/>
        <rFont val="Arial"/>
        <family val="2"/>
      </rPr>
      <t>C07335</t>
    </r>
  </si>
  <si>
    <r>
      <rPr>
        <u/>
        <sz val="10"/>
        <color rgb="FF1155CC"/>
        <rFont val="Arial"/>
        <family val="2"/>
      </rPr>
      <t>C07335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</si>
  <si>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</si>
  <si>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</si>
  <si>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C00186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</si>
  <si>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C00186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</si>
  <si>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</si>
  <si>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</si>
  <si>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C05823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</si>
  <si>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C05823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</si>
  <si>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C00957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</si>
  <si>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C00957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</si>
  <si>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C05984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</si>
  <si>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C05984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</si>
  <si>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</si>
  <si>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</si>
  <si>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</si>
  <si>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</si>
  <si>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</si>
  <si>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</si>
  <si>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</si>
  <si>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</si>
  <si>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</si>
  <si>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</si>
  <si>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</si>
  <si>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</si>
  <si>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</si>
  <si>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</si>
  <si>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</si>
  <si>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</si>
  <si>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</si>
  <si>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</si>
  <si>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C01172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</si>
  <si>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C01172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</si>
  <si>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</si>
  <si>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</si>
  <si>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</si>
  <si>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</si>
  <si>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</si>
  <si>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</si>
  <si>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</si>
  <si>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</si>
  <si>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</si>
  <si>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</si>
  <si>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1.11.1.26</t>
    </r>
  </si>
  <si>
    <r>
      <rPr>
        <u/>
        <sz val="10"/>
        <color rgb="FF1155CC"/>
        <rFont val="monospace, serif"/>
      </rPr>
      <t>1.15.1.1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</si>
  <si>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</si>
  <si>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C00007</t>
    </r>
  </si>
  <si>
    <r>
      <rPr>
        <u/>
        <sz val="10"/>
        <color rgb="FF1155CC"/>
        <rFont val="monospace, serif"/>
      </rPr>
      <t>1.17.1.8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</si>
  <si>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</si>
  <si>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</si>
  <si>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</si>
  <si>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</si>
  <si>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1.17.1.8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</si>
  <si>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</si>
  <si>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</si>
  <si>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</si>
  <si>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</si>
  <si>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</si>
  <si>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</si>
  <si>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</si>
  <si>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</si>
  <si>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C00008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</si>
  <si>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</si>
  <si>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</si>
  <si>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</si>
  <si>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</si>
  <si>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</si>
  <si>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</si>
  <si>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</si>
  <si>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</si>
  <si>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C00112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</si>
  <si>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</si>
  <si>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</si>
  <si>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</si>
  <si>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</si>
  <si>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</si>
  <si>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C00015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</si>
  <si>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</si>
  <si>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</si>
  <si>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</si>
  <si>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</si>
  <si>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</si>
  <si>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</si>
  <si>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</si>
  <si>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</si>
  <si>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C02090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</si>
  <si>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C02090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</si>
  <si>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</si>
  <si>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</si>
  <si>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</si>
  <si>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C16663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</si>
  <si>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C16663</t>
    </r>
  </si>
  <si>
    <r>
      <rPr>
        <u/>
        <sz val="10"/>
        <color rgb="FF1155CC"/>
        <rFont val="monospace, serif"/>
      </rPr>
      <t>1.17.4.1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</si>
  <si>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</si>
  <si>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</si>
  <si>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</si>
  <si>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</si>
  <si>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</si>
  <si>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C00131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</si>
  <si>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C00131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</si>
  <si>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</si>
  <si>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</si>
  <si>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</si>
  <si>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C0028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C00343</t>
    </r>
    <r>
      <rPr>
        <sz val="11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</si>
  <si>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C0028</t>
    </r>
    <r>
      <rPr>
        <sz val="11"/>
        <rFont val="Arial"/>
        <family val="2"/>
      </rPr>
      <t xml:space="preserve">6 * </t>
    </r>
    <r>
      <rPr>
        <u/>
        <sz val="11"/>
        <color rgb="FF1155CC"/>
        <rFont val="Arial"/>
        <family val="2"/>
      </rPr>
      <t>C00343</t>
    </r>
    <r>
      <rPr>
        <sz val="11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</si>
  <si>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</si>
  <si>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</si>
  <si>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</si>
  <si>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C00458+</t>
    </r>
    <r>
      <rPr>
        <sz val="11"/>
        <color rgb="FF000000"/>
        <rFont val="Arial"/>
        <family val="2"/>
      </rPr>
      <t xml:space="preserve">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</si>
  <si>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C00458*</t>
    </r>
    <r>
      <rPr>
        <sz val="11"/>
        <color rgb="FF000000"/>
        <rFont val="Arial"/>
        <family val="2"/>
      </rPr>
      <t xml:space="preserve">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</si>
  <si>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</si>
  <si>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</si>
  <si>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</si>
  <si>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C00460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</si>
  <si>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C00460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</si>
  <si>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</si>
  <si>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C00075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</si>
  <si>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1.17.4.2</t>
    </r>
  </si>
  <si>
    <r>
      <rPr>
        <u/>
        <sz val="11"/>
        <color rgb="FF1155CC"/>
        <rFont val="Arial"/>
        <family val="2"/>
      </rPr>
      <t>C00677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</si>
  <si>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C00677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</si>
  <si>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</si>
  <si>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C03802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</si>
  <si>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1.17.99.6</t>
    </r>
  </si>
  <si>
    <r>
      <rPr>
        <u/>
        <sz val="11"/>
        <color rgb="FF1155CC"/>
        <rFont val="Arial"/>
        <family val="2"/>
      </rPr>
      <t>C01978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</si>
  <si>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C01978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</si>
  <si>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C19647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C00030</t>
    </r>
  </si>
  <si>
    <r>
      <rPr>
        <u/>
        <sz val="11"/>
        <color rgb="FF1155CC"/>
        <rFont val="Arial"/>
        <family val="2"/>
      </rPr>
      <t>C19647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</si>
  <si>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</si>
  <si>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</si>
  <si>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C01412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</si>
  <si>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C01412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</si>
  <si>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</si>
  <si>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C00136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</si>
  <si>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1.2.1.11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</si>
  <si>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</si>
  <si>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</si>
  <si>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C03082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</si>
  <si>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C03082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</si>
  <si>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1.2.1.41</t>
    </r>
  </si>
  <si>
    <r>
      <rPr>
        <u/>
        <sz val="11"/>
        <color rgb="FF1155CC"/>
        <rFont val="Arial"/>
        <family val="2"/>
      </rPr>
      <t>C01165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</si>
  <si>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C01165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</si>
  <si>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C03287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</si>
  <si>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C03287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</si>
  <si>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1.2.3.3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</si>
  <si>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</si>
  <si>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</si>
  <si>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</si>
  <si>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</si>
  <si>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1.20.4.4</t>
    </r>
  </si>
  <si>
    <r>
      <rPr>
        <u/>
        <sz val="11"/>
        <color rgb="FF1155CC"/>
        <rFont val="Arial"/>
        <family val="2"/>
      </rPr>
      <t>C11215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</si>
  <si>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C11215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</si>
  <si>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C06697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</si>
  <si>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C06697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</si>
  <si>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monospace, serif"/>
      </rPr>
      <t>1.3.1.14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</si>
  <si>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</si>
  <si>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</si>
  <si>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</si>
  <si>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</si>
  <si>
    <r>
      <rPr>
        <u/>
        <sz val="10"/>
        <color rgb="FF1155CC"/>
        <rFont val="monospace, serif"/>
      </rPr>
      <t>1.3.1.95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</si>
  <si>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</si>
  <si>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</si>
  <si>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C00894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</si>
  <si>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C00894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</si>
  <si>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1.3.1.98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</si>
  <si>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</si>
  <si>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</si>
  <si>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</si>
  <si>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</si>
  <si>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1.3.1.98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</si>
  <si>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</si>
  <si>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</si>
  <si>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</si>
  <si>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</si>
  <si>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1.3.98.1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</si>
  <si>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C00122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</si>
  <si>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C00122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</si>
  <si>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C00042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</si>
  <si>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C00042</t>
    </r>
  </si>
  <si>
    <r>
      <rPr>
        <u/>
        <sz val="10"/>
        <color rgb="FF1155CC"/>
        <rFont val="monospace, serif"/>
      </rPr>
      <t>1.4.1.13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</si>
  <si>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</si>
  <si>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</si>
  <si>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1.4.1.13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</si>
  <si>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</si>
  <si>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</si>
  <si>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</si>
  <si>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</si>
  <si>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1.4.1.13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</si>
  <si>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</si>
  <si>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</si>
  <si>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</si>
  <si>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</si>
  <si>
    <r>
      <rPr>
        <u/>
        <sz val="10"/>
        <color rgb="FF1155CC"/>
        <rFont val="monospace, serif"/>
      </rPr>
      <t>1.4.1.4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</si>
  <si>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</si>
  <si>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</si>
  <si>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</si>
  <si>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</si>
  <si>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1.4.1.4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</si>
  <si>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</si>
  <si>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</si>
  <si>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</si>
  <si>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</si>
  <si>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</si>
  <si>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C00314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</si>
  <si>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</si>
  <si>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</si>
  <si>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</si>
  <si>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</si>
  <si>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C00627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</si>
  <si>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C00627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</si>
  <si>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C00018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</si>
  <si>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C00018</t>
    </r>
  </si>
  <si>
    <r>
      <rPr>
        <u/>
        <sz val="11"/>
        <color rgb="FF1155CC"/>
        <rFont val="Arial"/>
        <family val="2"/>
      </rPr>
      <t>C00647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</si>
  <si>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C00647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</si>
  <si>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</si>
  <si>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</rPr>
      <t>C00018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C00027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</si>
  <si>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</si>
  <si>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C0014</t>
    </r>
    <r>
      <rPr>
        <sz val="11"/>
        <rFont val="Arial"/>
        <family val="2"/>
      </rPr>
      <t xml:space="preserve">8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</si>
  <si>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C0014</t>
    </r>
    <r>
      <rPr>
        <sz val="11"/>
        <rFont val="Arial"/>
        <family val="2"/>
      </rPr>
      <t xml:space="preserve">8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</si>
  <si>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</si>
  <si>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</si>
  <si>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</si>
  <si>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C00148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</si>
  <si>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C00148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</si>
  <si>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</si>
  <si>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</si>
  <si>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</si>
  <si>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</si>
  <si>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</si>
  <si>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</si>
  <si>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</si>
  <si>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</si>
  <si>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</si>
  <si>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</si>
  <si>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</si>
  <si>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</si>
  <si>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1.5.1.20</t>
    </r>
  </si>
  <si>
    <r>
      <rPr>
        <u/>
        <sz val="11"/>
        <color rgb="FF1155CC"/>
        <rFont val="Arial"/>
        <family val="2"/>
      </rPr>
      <t>C00440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</si>
  <si>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C00440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</si>
  <si>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</si>
  <si>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</si>
  <si>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1.5.1.20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</si>
  <si>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</si>
  <si>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</si>
  <si>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</si>
  <si>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0"/>
        <color rgb="FF1155CC"/>
        <rFont val="monospace, serif"/>
      </rPr>
      <t>1.5.1.3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</si>
  <si>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</si>
  <si>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</si>
  <si>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</si>
  <si>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</si>
  <si>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</si>
  <si>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</si>
  <si>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</si>
  <si>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</si>
  <si>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</si>
  <si>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</si>
  <si>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</si>
  <si>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C00272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</si>
  <si>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C00272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</si>
  <si>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C02953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</si>
  <si>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C02953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</si>
  <si>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</si>
  <si>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</si>
  <si>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</si>
  <si>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</si>
  <si>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</si>
  <si>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</si>
  <si>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</si>
  <si>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</si>
  <si>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</si>
  <si>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</si>
  <si>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1.5.1.5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</si>
  <si>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</si>
  <si>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</si>
  <si>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</si>
  <si>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</si>
  <si>
    <r>
      <rPr>
        <u/>
        <sz val="10"/>
        <color rgb="FF1155CC"/>
        <rFont val="monospace, serif"/>
      </rPr>
      <t>1.7.1.7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</si>
  <si>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</si>
  <si>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</si>
  <si>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</si>
  <si>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</si>
  <si>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C00579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</si>
  <si>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C00579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</si>
  <si>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</si>
  <si>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C00248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</si>
  <si>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</si>
  <si>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C02972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</si>
  <si>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C02051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</si>
  <si>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C02051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</si>
  <si>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C15973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</si>
  <si>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C15973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</si>
  <si>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C15972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</si>
  <si>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C15972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</si>
  <si>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C16832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</si>
  <si>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C16832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</si>
  <si>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C16237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</si>
  <si>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C16237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</si>
  <si>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1.8.1.9</t>
    </r>
  </si>
  <si>
    <r>
      <rPr>
        <u/>
        <sz val="10"/>
        <color rgb="FF1155CC"/>
        <rFont val="monospace, serif"/>
      </rPr>
      <t>1.8.1.9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</si>
  <si>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</si>
  <si>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C00051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</si>
  <si>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C05526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</si>
  <si>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C05526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</si>
  <si>
    <r>
      <rPr>
        <u/>
        <sz val="10"/>
        <color rgb="FF1155CC"/>
        <rFont val="monospace, serif"/>
      </rPr>
      <t>1.8.1.9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</si>
  <si>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</si>
  <si>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</si>
  <si>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</si>
  <si>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</si>
  <si>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1.8.1.9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</si>
  <si>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</si>
  <si>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</si>
  <si>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</si>
  <si>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C15999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</si>
  <si>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C15999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</si>
  <si>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</si>
  <si>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</si>
  <si>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</si>
  <si>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</si>
  <si>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C03895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</si>
  <si>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1.8.4.12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</si>
  <si>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</si>
  <si>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</si>
  <si>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C15653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</si>
  <si>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C15653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C00342</t>
    </r>
  </si>
  <si>
    <r>
      <rPr>
        <u/>
        <sz val="10"/>
        <color rgb="FF1155CC"/>
        <rFont val="monospace, serif"/>
      </rPr>
      <t>1.97.1.4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</si>
  <si>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</si>
  <si>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C05196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C05197</t>
    </r>
  </si>
  <si>
    <r>
      <rPr>
        <u/>
        <sz val="11"/>
        <color rgb="FF1155CC"/>
        <rFont val="Arial"/>
        <family val="2"/>
      </rPr>
      <t>C05198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C05312</t>
    </r>
  </si>
  <si>
    <r>
      <rPr>
        <u/>
        <sz val="11"/>
        <color rgb="FF1155CC"/>
        <rFont val="Arial"/>
        <family val="2"/>
      </rPr>
      <t>C05198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C05199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C05312</t>
    </r>
  </si>
  <si>
    <r>
      <rPr>
        <u/>
        <sz val="10"/>
        <color rgb="FF1155CC"/>
        <rFont val="monospace, serif"/>
      </rPr>
      <t>2.1.1.14</t>
    </r>
  </si>
  <si>
    <r>
      <rPr>
        <u/>
        <sz val="11"/>
        <color rgb="FF1155CC"/>
        <rFont val="Arial"/>
        <family val="2"/>
      </rPr>
      <t>C04489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C00155</t>
    </r>
  </si>
  <si>
    <r>
      <rPr>
        <u/>
        <sz val="11"/>
        <color rgb="FF1155CC"/>
        <rFont val="Arial"/>
        <family val="2"/>
      </rPr>
      <t>C04489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C00155</t>
    </r>
  </si>
  <si>
    <r>
      <rPr>
        <u/>
        <sz val="11"/>
        <color rgb="FF1155CC"/>
        <rFont val="Arial"/>
        <family val="2"/>
      </rPr>
      <t>C04144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</si>
  <si>
    <r>
      <rPr>
        <u/>
        <sz val="11"/>
        <color rgb="FF1155CC"/>
        <rFont val="Arial"/>
        <family val="2"/>
      </rPr>
      <t>C04144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C00073</t>
    </r>
  </si>
  <si>
    <r>
      <rPr>
        <u/>
        <sz val="10"/>
        <color rgb="FF1155CC"/>
        <rFont val="monospace, serif"/>
      </rPr>
      <t>2.1.1.14</t>
    </r>
  </si>
  <si>
    <r>
      <rPr>
        <u/>
        <sz val="11"/>
        <color rgb="FF1155CC"/>
        <rFont val="Arial"/>
        <family val="2"/>
      </rPr>
      <t>C05698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C04489</t>
    </r>
  </si>
  <si>
    <r>
      <rPr>
        <u/>
        <sz val="11"/>
        <color rgb="FF1155CC"/>
        <rFont val="Arial"/>
        <family val="2"/>
      </rPr>
      <t>C05698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C04489</t>
    </r>
  </si>
  <si>
    <r>
      <rPr>
        <u/>
        <sz val="11"/>
        <color rgb="FF1155CC"/>
        <rFont val="Arial"/>
        <family val="2"/>
      </rPr>
      <t>C05335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C04144</t>
    </r>
  </si>
  <si>
    <r>
      <rPr>
        <u/>
        <sz val="11"/>
        <color rgb="FF1155CC"/>
        <rFont val="Arial"/>
        <family val="2"/>
      </rPr>
      <t>C05335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C04144</t>
    </r>
  </si>
  <si>
    <r>
      <rPr>
        <u/>
        <sz val="10"/>
        <color rgb="FF1155CC"/>
        <rFont val="monospace, serif"/>
      </rPr>
      <t>2.1.1.170</t>
    </r>
  </si>
  <si>
    <r>
      <rPr>
        <u/>
        <sz val="10"/>
        <color rgb="FF1155CC"/>
        <rFont val="monospace, serif"/>
      </rPr>
      <t>2.1.1.171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</si>
  <si>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</si>
  <si>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</si>
  <si>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C04153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</si>
  <si>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C04153</t>
    </r>
  </si>
  <si>
    <r>
      <rPr>
        <u/>
        <sz val="10"/>
        <color rgb="FF1155CC"/>
        <rFont val="monospace, serif"/>
      </rPr>
      <t>2.1.1.182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</si>
  <si>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</si>
  <si>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</si>
  <si>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</si>
  <si>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</si>
  <si>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</si>
  <si>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2.1.1.222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</si>
  <si>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</si>
  <si>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</si>
  <si>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</si>
  <si>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</si>
  <si>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2.1.1.228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</si>
  <si>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</si>
  <si>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</si>
  <si>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C04157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</si>
  <si>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C04157</t>
    </r>
  </si>
  <si>
    <r>
      <rPr>
        <u/>
        <sz val="10"/>
        <color rgb="FF1155CC"/>
        <rFont val="monospace, serif"/>
      </rPr>
      <t>2.1.1.297</t>
    </r>
  </si>
  <si>
    <r>
      <rPr>
        <u/>
        <sz val="11"/>
        <color rgb="FF1155CC"/>
        <rFont val="Arial"/>
        <family val="2"/>
      </rPr>
      <t>C02583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</si>
  <si>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C02583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</si>
  <si>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C20858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</si>
  <si>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C20858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</si>
  <si>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</si>
  <si>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</si>
  <si>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C04160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</si>
  <si>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C04160</t>
    </r>
  </si>
  <si>
    <r>
      <rPr>
        <u/>
        <sz val="10"/>
        <color rgb="FF1155CC"/>
        <rFont val="monospace, serif"/>
      </rPr>
      <t>2.1.1.45</t>
    </r>
  </si>
  <si>
    <r>
      <rPr>
        <u/>
        <sz val="11"/>
        <color rgb="FF1155CC"/>
        <rFont val="Arial"/>
        <family val="2"/>
      </rPr>
      <t>C00365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C00143</t>
    </r>
  </si>
  <si>
    <r>
      <rPr>
        <u/>
        <sz val="11"/>
        <color rgb="FF1155CC"/>
        <rFont val="Arial"/>
        <family val="2"/>
      </rPr>
      <t>C00365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C00143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</si>
  <si>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C00364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</si>
  <si>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C00364</t>
    </r>
  </si>
  <si>
    <r>
      <rPr>
        <u/>
        <sz val="10"/>
        <color rgb="FF1155CC"/>
        <rFont val="monospace, serif"/>
      </rPr>
      <t>2.1.1.63</t>
    </r>
  </si>
  <si>
    <r>
      <rPr>
        <u/>
        <sz val="11"/>
        <color rgb="FF1155CC"/>
        <rFont val="Arial"/>
        <family val="2"/>
      </rPr>
      <t>C04250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C02743</t>
    </r>
  </si>
  <si>
    <r>
      <rPr>
        <u/>
        <sz val="11"/>
        <color rgb="FF1155CC"/>
        <rFont val="Arial"/>
        <family val="2"/>
      </rPr>
      <t>C04250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C02743</t>
    </r>
  </si>
  <si>
    <r>
      <rPr>
        <u/>
        <sz val="11"/>
        <color rgb="FF1155CC"/>
        <rFont val="Arial"/>
        <family val="2"/>
      </rPr>
      <t>C03800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C11475</t>
    </r>
  </si>
  <si>
    <r>
      <rPr>
        <u/>
        <sz val="11"/>
        <color rgb="FF1155CC"/>
        <rFont val="Arial"/>
        <family val="2"/>
      </rPr>
      <t>C03800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C11475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</si>
  <si>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</si>
  <si>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</si>
  <si>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</si>
  <si>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</si>
  <si>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</si>
  <si>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</si>
  <si>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</si>
  <si>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C00021</t>
    </r>
  </si>
  <si>
    <r>
      <rPr>
        <u/>
        <sz val="10"/>
        <color rgb="FF1155CC"/>
        <rFont val="monospace, serif"/>
      </rPr>
      <t>2.1.1.72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</si>
  <si>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C00821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</si>
  <si>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C00821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</si>
  <si>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C03391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</si>
  <si>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C03391</t>
    </r>
  </si>
  <si>
    <r>
      <rPr>
        <u/>
        <sz val="10"/>
        <color rgb="FF1155CC"/>
        <rFont val="monospace, serif"/>
      </rPr>
      <t>2.1.2.1</t>
    </r>
  </si>
  <si>
    <r>
      <rPr>
        <u/>
        <sz val="11"/>
        <color rgb="FF1155CC"/>
        <rFont val="Arial"/>
        <family val="2"/>
      </rPr>
      <t>C00065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C01217</t>
    </r>
  </si>
  <si>
    <r>
      <rPr>
        <u/>
        <sz val="11"/>
        <color rgb="FF1155CC"/>
        <rFont val="Arial"/>
        <family val="2"/>
      </rPr>
      <t>C00065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C01217</t>
    </r>
  </si>
  <si>
    <r>
      <rPr>
        <u/>
        <sz val="11"/>
        <color rgb="FF1155CC"/>
        <rFont val="Arial"/>
        <family val="2"/>
      </rPr>
      <t>C04377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</si>
  <si>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C04377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</si>
  <si>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monospace, serif"/>
      </rPr>
      <t>2.1.2.1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</si>
  <si>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</si>
  <si>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</si>
  <si>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</si>
  <si>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C00065</t>
    </r>
  </si>
  <si>
    <r>
      <rPr>
        <u/>
        <sz val="10"/>
        <color rgb="FF1155CC"/>
        <rFont val="monospace, serif"/>
      </rPr>
      <t>2.1.2.2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</si>
  <si>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C03838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</si>
  <si>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C03838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</si>
  <si>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C04376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</si>
  <si>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C04376</t>
    </r>
  </si>
  <si>
    <r>
      <rPr>
        <u/>
        <sz val="10"/>
        <color rgb="FF1155CC"/>
        <rFont val="monospace, serif"/>
      </rPr>
      <t>2.1.2.2</t>
    </r>
  </si>
  <si>
    <r>
      <rPr>
        <u/>
        <sz val="11"/>
        <color rgb="FF1155CC"/>
        <rFont val="Arial"/>
        <family val="2"/>
      </rPr>
      <t>C03838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</si>
  <si>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C03838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</si>
  <si>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C00101</t>
    </r>
  </si>
  <si>
    <r>
      <rPr>
        <u/>
        <sz val="11"/>
        <color rgb="FF1155CC"/>
        <rFont val="Arial"/>
        <family val="2"/>
      </rPr>
      <t>C04376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C00101</t>
    </r>
  </si>
  <si>
    <r>
      <rPr>
        <u/>
        <sz val="10"/>
        <color rgb="FF1155CC"/>
        <rFont val="monospace, serif"/>
      </rPr>
      <t>2.1.2.3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</si>
  <si>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C04677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</si>
  <si>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C04677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</si>
  <si>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C04734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</si>
  <si>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C04734</t>
    </r>
  </si>
  <si>
    <r>
      <rPr>
        <u/>
        <sz val="10"/>
        <color rgb="FF1155CC"/>
        <rFont val="monospace, serif"/>
      </rPr>
      <t>2.1.2.9</t>
    </r>
  </si>
  <si>
    <r>
      <rPr>
        <u/>
        <sz val="11"/>
        <color rgb="FF1155CC"/>
        <rFont val="Arial"/>
        <family val="2"/>
      </rPr>
      <t>C02430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C00234</t>
    </r>
  </si>
  <si>
    <r>
      <rPr>
        <u/>
        <sz val="11"/>
        <color rgb="FF1155CC"/>
        <rFont val="Arial"/>
        <family val="2"/>
      </rPr>
      <t>C02430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C00234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</si>
  <si>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C03294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</si>
  <si>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C03294</t>
    </r>
  </si>
  <si>
    <r>
      <rPr>
        <u/>
        <sz val="10"/>
        <color rgb="FF1155CC"/>
        <rFont val="monospace, serif"/>
      </rPr>
      <t>2.1.3.2</t>
    </r>
  </si>
  <si>
    <r>
      <rPr>
        <u/>
        <sz val="11"/>
        <color rgb="FF1155CC"/>
        <rFont val="Arial"/>
        <family val="2"/>
      </rPr>
      <t>C00169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</si>
  <si>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</rPr>
      <t>C00169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</si>
  <si>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</si>
  <si>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</si>
  <si>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</rPr>
      <t>C05382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C00118</t>
    </r>
  </si>
  <si>
    <r>
      <rPr>
        <u/>
        <sz val="11"/>
        <color rgb="FF1155CC"/>
        <rFont val="Arial"/>
        <family val="2"/>
      </rPr>
      <t>C05382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C00118</t>
    </r>
  </si>
  <si>
    <r>
      <rPr>
        <u/>
        <sz val="11"/>
        <color rgb="FF1155CC"/>
        <rFont val="Arial"/>
        <family val="2"/>
      </rPr>
      <t>C00279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</si>
  <si>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</rPr>
      <t>C00279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</si>
  <si>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</si>
  <si>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</si>
  <si>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</si>
  <si>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</si>
  <si>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</si>
  <si>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</si>
  <si>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C00109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</si>
  <si>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C00109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</si>
  <si>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</si>
  <si>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</si>
  <si>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</si>
  <si>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C05125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</si>
  <si>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C05125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</si>
  <si>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</si>
  <si>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C00068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</si>
  <si>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</si>
  <si>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</si>
  <si>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</si>
  <si>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</si>
  <si>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</si>
  <si>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</si>
  <si>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</si>
  <si>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</si>
  <si>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</si>
  <si>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</si>
  <si>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</si>
  <si>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2.2.1.6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</si>
  <si>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</si>
  <si>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</si>
  <si>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</si>
  <si>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</si>
  <si>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</si>
  <si>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C00040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</si>
  <si>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C00040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</si>
  <si>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</si>
  <si>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</si>
  <si>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</si>
  <si>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</si>
  <si>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</si>
  <si>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</si>
  <si>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</si>
  <si>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2.3.1.15</t>
    </r>
  </si>
  <si>
    <r>
      <rPr>
        <u/>
        <sz val="11"/>
        <color rgb="FF1155CC"/>
        <rFont val="Arial"/>
        <family val="2"/>
      </rPr>
      <t>C00605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</si>
  <si>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C00605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</si>
  <si>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C00681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</si>
  <si>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C00681</t>
    </r>
  </si>
  <si>
    <r>
      <rPr>
        <u/>
        <sz val="10"/>
        <color rgb="FF1155CC"/>
        <rFont val="monospace, serif"/>
      </rPr>
      <t>2.3.1.157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</si>
  <si>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C06156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</si>
  <si>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C06156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</si>
  <si>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C04501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</si>
  <si>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C04501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</si>
  <si>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</si>
  <si>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C00332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</si>
  <si>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C00332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</si>
  <si>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</si>
  <si>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C00136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</si>
  <si>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C00136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</si>
  <si>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</si>
  <si>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C05269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</si>
  <si>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</si>
  <si>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C00040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</si>
  <si>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C00040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</si>
  <si>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C00264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</si>
  <si>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C00264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</si>
  <si>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</si>
  <si>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C00091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</si>
  <si>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C00091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</si>
  <si>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C02232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</si>
  <si>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C02232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</si>
  <si>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</si>
  <si>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</si>
  <si>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</si>
  <si>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C03344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</si>
  <si>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C03344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</si>
  <si>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</si>
  <si>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C01832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</si>
  <si>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C01832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</si>
  <si>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</si>
  <si>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C05261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</si>
  <si>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</si>
  <si>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C01944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</si>
  <si>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C01944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</si>
  <si>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C05265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</si>
  <si>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C05265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</si>
  <si>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</si>
  <si>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C02593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</si>
  <si>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C02593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</si>
  <si>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C05259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</si>
  <si>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C05259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</si>
  <si>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</si>
  <si>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C05270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</si>
  <si>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C05270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</si>
  <si>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C05267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</si>
  <si>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C05267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</si>
  <si>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</si>
  <si>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C05274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</si>
  <si>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C05274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</si>
  <si>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</si>
  <si>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C05263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</si>
  <si>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</si>
  <si>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C06715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</si>
  <si>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C06715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</si>
  <si>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C00527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</si>
  <si>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C00527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</si>
  <si>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</si>
  <si>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C07118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</si>
  <si>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C07118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</si>
  <si>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C00512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</si>
  <si>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C00512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</si>
  <si>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</si>
  <si>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C16169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</si>
  <si>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C16169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</si>
  <si>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C16376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</si>
  <si>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C16376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</si>
  <si>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</si>
  <si>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</si>
  <si>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C16173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</si>
  <si>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C16389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</si>
  <si>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C16389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</si>
  <si>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</si>
  <si>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</si>
  <si>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C16331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</si>
  <si>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</si>
  <si>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C16330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</si>
  <si>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</si>
  <si>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</si>
  <si>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C16335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</si>
  <si>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</si>
  <si>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C16334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</si>
  <si>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</si>
  <si>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C16339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</si>
  <si>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C16339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</si>
  <si>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C16338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</si>
  <si>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C16338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</si>
  <si>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</si>
  <si>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C16466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</si>
  <si>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C16466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</si>
  <si>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C16470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</si>
  <si>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C16470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</si>
  <si>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</si>
  <si>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C16471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</si>
  <si>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C16471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</si>
  <si>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C03069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</si>
  <si>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C03069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</si>
  <si>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</si>
  <si>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</si>
  <si>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</si>
  <si>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C23007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</si>
  <si>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C23007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</si>
  <si>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</si>
  <si>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</si>
  <si>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</si>
  <si>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C21906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C00100</t>
    </r>
  </si>
  <si>
    <r>
      <rPr>
        <u/>
        <sz val="11"/>
        <color rgb="FF1155CC"/>
        <rFont val="Arial"/>
        <family val="2"/>
      </rPr>
      <t>C21906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C00100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</si>
  <si>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</si>
  <si>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C23016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</si>
  <si>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</si>
  <si>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</si>
  <si>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C23017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</si>
  <si>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2.3.1.16</t>
    </r>
  </si>
  <si>
    <r>
      <rPr>
        <u/>
        <sz val="11"/>
        <color rgb="FF1155CC"/>
        <rFont val="Arial"/>
        <family val="2"/>
      </rPr>
      <t>C23021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</si>
  <si>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C23021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</si>
  <si>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</si>
  <si>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C23022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</si>
  <si>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</si>
  <si>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</si>
  <si>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</si>
  <si>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</si>
  <si>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</si>
  <si>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</si>
  <si>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C03939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</si>
  <si>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C03939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</si>
  <si>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</si>
  <si>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</si>
  <si>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</si>
  <si>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</si>
  <si>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</si>
  <si>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</si>
  <si>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</si>
  <si>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</si>
  <si>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</si>
  <si>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</si>
  <si>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</si>
  <si>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C05749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</si>
  <si>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</si>
  <si>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</si>
  <si>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</si>
  <si>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</si>
  <si>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</si>
  <si>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</si>
  <si>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</si>
  <si>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</si>
  <si>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</si>
  <si>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</si>
  <si>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</si>
  <si>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</si>
  <si>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</si>
  <si>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</si>
  <si>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</si>
  <si>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C05761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</si>
  <si>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</si>
  <si>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</si>
  <si>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</si>
  <si>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C05764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</si>
  <si>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C05764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</si>
  <si>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C16219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</si>
  <si>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C16219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</si>
  <si>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</si>
  <si>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C19673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</si>
  <si>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C19673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</si>
  <si>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</si>
  <si>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</si>
  <si>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2.3.1.179</t>
    </r>
  </si>
  <si>
    <r>
      <rPr>
        <u/>
        <sz val="11"/>
        <color rgb="FF1155CC"/>
        <rFont val="Arial"/>
        <family val="2"/>
      </rPr>
      <t>C20375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</si>
  <si>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</si>
  <si>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</si>
  <si>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</si>
  <si>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2.3.1.180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</si>
  <si>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</si>
  <si>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</si>
  <si>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</si>
  <si>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</si>
  <si>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2.3.1.234</t>
    </r>
  </si>
  <si>
    <r>
      <rPr>
        <u/>
        <sz val="11"/>
        <color rgb="FF1155CC"/>
        <rFont val="Arial"/>
        <family val="2"/>
      </rPr>
      <t>C20641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</si>
  <si>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C20641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</si>
  <si>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C20751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</si>
  <si>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C20751</t>
    </r>
  </si>
  <si>
    <r>
      <rPr>
        <u/>
        <sz val="10"/>
        <color rgb="FF1155CC"/>
        <rFont val="monospace, serif"/>
      </rPr>
      <t>2.3.1.266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</si>
  <si>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C03803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</si>
  <si>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C03803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</si>
  <si>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C04341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</si>
  <si>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C04341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</si>
  <si>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</si>
  <si>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</si>
  <si>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C02133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</si>
  <si>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C02133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</si>
  <si>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0"/>
        <color rgb="FF1155CC"/>
        <rFont val="monospace, serif"/>
      </rPr>
      <t>2.3.1.286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</si>
  <si>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</si>
  <si>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C01997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</si>
  <si>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</si>
  <si>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C02415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</si>
  <si>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2.3.1.286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</si>
  <si>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C20743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</si>
  <si>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C20743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</si>
  <si>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C02188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</si>
  <si>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C02188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</si>
  <si>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monospace, serif"/>
      </rPr>
      <t>2.3.1.39</t>
    </r>
  </si>
  <si>
    <r>
      <rPr>
        <u/>
        <sz val="11"/>
        <color rgb="FF1155CC"/>
        <rFont val="Arial"/>
        <family val="2"/>
      </rPr>
      <t>C00083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</si>
  <si>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C00083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</si>
  <si>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</si>
  <si>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C01209</t>
    </r>
  </si>
  <si>
    <r>
      <rPr>
        <u/>
        <sz val="10"/>
        <color rgb="FF1155CC"/>
        <rFont val="monospace, serif"/>
      </rPr>
      <t>2.3.1.54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</si>
  <si>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</si>
  <si>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</si>
  <si>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</si>
  <si>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</si>
  <si>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monospace, serif"/>
      </rPr>
      <t>2.3.1.54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</si>
  <si>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</si>
  <si>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</si>
  <si>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</si>
  <si>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C00058</t>
    </r>
  </si>
  <si>
    <r>
      <rPr>
        <u/>
        <sz val="10"/>
        <color rgb="FF1155CC"/>
        <rFont val="monospace, serif"/>
      </rPr>
      <t>2.3.1.8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</si>
  <si>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</si>
  <si>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</si>
  <si>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C00227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</si>
  <si>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C00227</t>
    </r>
  </si>
  <si>
    <r>
      <rPr>
        <u/>
        <sz val="10"/>
        <color rgb="FF1155CC"/>
        <rFont val="monospace, serif"/>
      </rPr>
      <t>2.3.1.8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</si>
  <si>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</si>
  <si>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</si>
  <si>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C02876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</si>
  <si>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C02876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</si>
  <si>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2.3.1.89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</si>
  <si>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</si>
  <si>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</si>
  <si>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C05539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</si>
  <si>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C05539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</si>
  <si>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monospace, serif"/>
      </rPr>
      <t>2.3.3.10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</si>
  <si>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</si>
  <si>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</si>
  <si>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C00332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</si>
  <si>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C00332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</si>
  <si>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</si>
  <si>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C00369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</si>
  <si>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C00369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</si>
  <si>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</si>
  <si>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</si>
  <si>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</si>
  <si>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</si>
  <si>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</si>
  <si>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</si>
  <si>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</si>
  <si>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2.4.1.1</t>
    </r>
  </si>
  <si>
    <r>
      <rPr>
        <u/>
        <sz val="10"/>
        <color rgb="FF1155CC"/>
        <rFont val="monospace, serif"/>
      </rPr>
      <t>2.4.1.1</t>
    </r>
  </si>
  <si>
    <r>
      <rPr>
        <u/>
        <sz val="11"/>
        <color rgb="FF1155CC"/>
        <rFont val="Arial"/>
        <family val="2"/>
      </rPr>
      <t>G10545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</si>
  <si>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G10545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</si>
  <si>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</si>
  <si>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C00103</t>
    </r>
  </si>
  <si>
    <r>
      <rPr>
        <u/>
        <sz val="10"/>
        <color rgb="FF1155CC"/>
        <rFont val="monospace, serif"/>
      </rPr>
      <t>2.4.1.21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</si>
  <si>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C00718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</si>
  <si>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C00718</t>
    </r>
  </si>
  <si>
    <r>
      <rPr>
        <u/>
        <sz val="10"/>
        <color rgb="FF1155CC"/>
        <rFont val="monospace, serif"/>
      </rPr>
      <t>2.4.1.21</t>
    </r>
  </si>
  <si>
    <r>
      <rPr>
        <u/>
        <sz val="11"/>
        <color rgb="FF1155CC"/>
        <rFont val="Arial"/>
        <family val="2"/>
      </rPr>
      <t>C05893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</si>
  <si>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C05893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</si>
  <si>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C05898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</si>
  <si>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C05898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</si>
  <si>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G10550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</si>
  <si>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G10550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</si>
  <si>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G10553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</si>
  <si>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G10553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</si>
  <si>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C03090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</si>
  <si>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</rPr>
      <t>C03090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</si>
  <si>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2.4.2.17</t>
    </r>
  </si>
  <si>
    <r>
      <rPr>
        <u/>
        <sz val="11"/>
        <color rgb="FF1155CC"/>
        <rFont val="Arial"/>
        <family val="2"/>
      </rPr>
      <t>C02739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</si>
  <si>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C02739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</si>
  <si>
    <r>
      <rPr>
        <u/>
        <sz val="10"/>
        <color rgb="FF1155CC"/>
        <rFont val="monospace, serif"/>
      </rPr>
      <t>2.4.2.18</t>
    </r>
  </si>
  <si>
    <r>
      <rPr>
        <u/>
        <sz val="11"/>
        <color rgb="FF1155CC"/>
        <rFont val="Arial"/>
        <family val="2"/>
      </rPr>
      <t>C04302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</si>
  <si>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C04302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</si>
  <si>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</si>
  <si>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C00108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</si>
  <si>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C00214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</si>
  <si>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C00214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</si>
  <si>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C00178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C00672</t>
    </r>
  </si>
  <si>
    <r>
      <rPr>
        <u/>
        <sz val="11"/>
        <color rgb="FF1155CC"/>
        <rFont val="Arial"/>
        <family val="2"/>
      </rPr>
      <t>C00178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C00672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</si>
  <si>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</si>
  <si>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</si>
  <si>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C00385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</si>
  <si>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C00385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</si>
  <si>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C01977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C16675</t>
    </r>
  </si>
  <si>
    <r>
      <rPr>
        <u/>
        <sz val="11"/>
        <color rgb="FF1155CC"/>
        <rFont val="Arial"/>
        <family val="2"/>
      </rPr>
      <t>C01977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C16675</t>
    </r>
  </si>
  <si>
    <r>
      <rPr>
        <u/>
        <sz val="11"/>
        <color rgb="FF1155CC"/>
        <rFont val="Arial"/>
        <family val="2"/>
      </rPr>
      <t>C20446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C00242</t>
    </r>
  </si>
  <si>
    <r>
      <rPr>
        <u/>
        <sz val="11"/>
        <color rgb="FF1155CC"/>
        <rFont val="Arial"/>
        <family val="2"/>
      </rPr>
      <t>C20446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C00242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</si>
  <si>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C00882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</si>
  <si>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C00882</t>
    </r>
  </si>
  <si>
    <r>
      <rPr>
        <u/>
        <sz val="11"/>
        <color rgb="FF1155CC"/>
        <rFont val="Arial"/>
        <family val="2"/>
      </rPr>
      <t>C19771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C00147</t>
    </r>
  </si>
  <si>
    <r>
      <rPr>
        <u/>
        <sz val="11"/>
        <color rgb="FF1155CC"/>
        <rFont val="Arial"/>
        <family val="2"/>
      </rPr>
      <t>C19771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C00147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</si>
  <si>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</si>
  <si>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</si>
  <si>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</si>
  <si>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</si>
  <si>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</si>
  <si>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C00106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</si>
  <si>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C20446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</si>
  <si>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C20446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</si>
  <si>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C19647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</si>
  <si>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C19647</t>
    </r>
  </si>
  <si>
    <r>
      <rPr>
        <u/>
        <sz val="11"/>
        <color rgb="FF1155CC"/>
        <rFont val="Arial"/>
        <family val="2"/>
      </rPr>
      <t>C00536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C06508</t>
    </r>
  </si>
  <si>
    <r>
      <rPr>
        <u/>
        <sz val="11"/>
        <color rgb="FF1155CC"/>
        <rFont val="Arial"/>
        <family val="2"/>
      </rPr>
      <t>C00536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C06508</t>
    </r>
  </si>
  <si>
    <r>
      <rPr>
        <u/>
        <sz val="11"/>
        <color rgb="FF1155CC"/>
        <rFont val="Arial"/>
        <family val="2"/>
      </rPr>
      <t>C04752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C04327</t>
    </r>
  </si>
  <si>
    <r>
      <rPr>
        <u/>
        <sz val="11"/>
        <color rgb="FF1155CC"/>
        <rFont val="Arial"/>
        <family val="2"/>
      </rPr>
      <t>C04752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C04327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</si>
  <si>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C01081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</si>
  <si>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C01081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</si>
  <si>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</si>
  <si>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C01081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</si>
  <si>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</si>
  <si>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</si>
  <si>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</si>
  <si>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C00094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</si>
  <si>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C01005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C00283</t>
    </r>
  </si>
  <si>
    <r>
      <rPr>
        <u/>
        <sz val="11"/>
        <color rgb="FF1155CC"/>
        <rFont val="Arial"/>
        <family val="2"/>
      </rPr>
      <t>C01005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C00283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</si>
  <si>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C05691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</si>
  <si>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C05691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</si>
  <si>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</si>
  <si>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</si>
  <si>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C00043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</si>
  <si>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C00043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</si>
  <si>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</si>
  <si>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</si>
  <si>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0"/>
        <color rgb="FF1155CC"/>
        <rFont val="monospace, serif"/>
      </rPr>
      <t>2.5.1.74</t>
    </r>
  </si>
  <si>
    <r>
      <rPr>
        <u/>
        <sz val="11"/>
        <color rgb="FF1155CC"/>
        <rFont val="Arial"/>
        <family val="2"/>
      </rPr>
      <t>C05847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C03657</t>
    </r>
  </si>
  <si>
    <r>
      <rPr>
        <u/>
        <sz val="11"/>
        <color rgb="FF1155CC"/>
        <rFont val="Arial"/>
        <family val="2"/>
      </rPr>
      <t>C05847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C03657</t>
    </r>
  </si>
  <si>
    <r>
      <rPr>
        <u/>
        <sz val="11"/>
        <color rgb="FF1155CC"/>
        <rFont val="Arial"/>
        <family val="2"/>
      </rPr>
      <t>C19847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</si>
  <si>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C19847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</si>
  <si>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monospace, serif"/>
      </rPr>
      <t>2.5.1.75</t>
    </r>
  </si>
  <si>
    <r>
      <rPr>
        <u/>
        <sz val="11"/>
        <color rgb="FF1155CC"/>
        <rFont val="Arial"/>
        <family val="2"/>
      </rPr>
      <t>C00235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</si>
  <si>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C00235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</si>
  <si>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</si>
  <si>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</si>
  <si>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</si>
  <si>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C00166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</si>
  <si>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</rPr>
      <t>C00166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</si>
  <si>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monospace, serif"/>
      </rPr>
      <t>2.6.1.9</t>
    </r>
  </si>
  <si>
    <r>
      <rPr>
        <u/>
        <sz val="10"/>
        <color rgb="FF1155CC"/>
        <rFont val="monospace, serif"/>
      </rPr>
      <t>2.6.1.9</t>
    </r>
  </si>
  <si>
    <r>
      <rPr>
        <u/>
        <sz val="11"/>
        <color rgb="FF1155CC"/>
        <rFont val="Arial"/>
        <family val="2"/>
      </rPr>
      <t>C01100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C00026</t>
    </r>
  </si>
  <si>
    <r>
      <rPr>
        <u/>
        <sz val="11"/>
        <color rgb="FF1155CC"/>
        <rFont val="Arial"/>
        <family val="2"/>
      </rPr>
      <t>C01100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C00026</t>
    </r>
  </si>
  <si>
    <r>
      <rPr>
        <u/>
        <sz val="11"/>
        <color rgb="FF1155CC"/>
        <rFont val="Arial"/>
        <family val="2"/>
      </rPr>
      <t>C01267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</si>
  <si>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</rPr>
      <t>C01267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</si>
  <si>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C00641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</si>
  <si>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C00641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</si>
  <si>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</si>
  <si>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</si>
  <si>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</si>
  <si>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</si>
  <si>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C05345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</si>
  <si>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</si>
  <si>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</si>
  <si>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C05382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</si>
  <si>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C05382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</si>
  <si>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</si>
  <si>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C00447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</si>
  <si>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</si>
  <si>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</si>
  <si>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C01097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</si>
  <si>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</si>
  <si>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</si>
  <si>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</si>
  <si>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</si>
  <si>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C00104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</si>
  <si>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</rPr>
      <t>C00104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C00354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</si>
  <si>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</si>
  <si>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C00081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C01097</t>
    </r>
  </si>
  <si>
    <r>
      <rPr>
        <u/>
        <sz val="11"/>
        <color rgb="FF1155CC"/>
        <rFont val="Arial"/>
        <family val="2"/>
      </rPr>
      <t>C00081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</si>
  <si>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2.7.1.11</t>
    </r>
  </si>
  <si>
    <r>
      <rPr>
        <u/>
        <sz val="11"/>
        <color rgb="FF1155CC"/>
        <rFont val="Arial"/>
        <family val="2"/>
      </rPr>
      <t>C01097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</si>
  <si>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C01097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C00002</t>
    </r>
  </si>
  <si>
    <r>
      <rPr>
        <u/>
        <sz val="10"/>
        <color rgb="FF1155CC"/>
        <rFont val="monospace, serif"/>
      </rPr>
      <t>2.7.1.12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</si>
  <si>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C00257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</si>
  <si>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C00257</t>
    </r>
  </si>
  <si>
    <r>
      <rPr>
        <u/>
        <sz val="10"/>
        <color rgb="FF1155CC"/>
        <rFont val="monospace, serif"/>
      </rPr>
      <t>2.7.1.121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</si>
  <si>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</si>
  <si>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</si>
  <si>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C00111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</si>
  <si>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</si>
  <si>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2.7.1.148</t>
    </r>
  </si>
  <si>
    <r>
      <rPr>
        <u/>
        <sz val="11"/>
        <color rgb="FF1155CC"/>
        <rFont val="Arial"/>
        <family val="2"/>
      </rPr>
      <t>C11435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</si>
  <si>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C11435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</si>
  <si>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C00121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</si>
  <si>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</si>
  <si>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C00117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</si>
  <si>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C00117</t>
    </r>
  </si>
  <si>
    <r>
      <rPr>
        <u/>
        <sz val="11"/>
        <color rgb="FF1155CC"/>
        <rFont val="Arial"/>
        <family val="2"/>
      </rPr>
      <t>C00673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</si>
  <si>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</rPr>
      <t>C00673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</si>
  <si>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</rPr>
      <t>C01801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</si>
  <si>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C01801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C00002</t>
    </r>
  </si>
  <si>
    <r>
      <rPr>
        <u/>
        <sz val="10"/>
        <color rgb="FF1155CC"/>
        <rFont val="monospace, serif"/>
      </rPr>
      <t>2.7.1.17</t>
    </r>
  </si>
  <si>
    <r>
      <rPr>
        <u/>
        <sz val="11"/>
        <color rgb="FF1155CC"/>
        <rFont val="Arial"/>
        <family val="2"/>
      </rPr>
      <t>C0000</t>
    </r>
    <r>
      <rPr>
        <sz val="11"/>
        <rFont val="Arial"/>
        <family val="2"/>
      </rPr>
      <t xml:space="preserve">2 + </t>
    </r>
    <r>
      <rPr>
        <u/>
        <sz val="11"/>
        <color rgb="FF1155CC"/>
        <rFont val="Arial"/>
        <family val="2"/>
      </rPr>
      <t>C00310</t>
    </r>
  </si>
  <si>
    <r>
      <rPr>
        <u/>
        <sz val="11"/>
        <color rgb="FF1155CC"/>
        <rFont val="Arial"/>
        <family val="2"/>
      </rPr>
      <t>C0000</t>
    </r>
    <r>
      <rPr>
        <sz val="11"/>
        <rFont val="Arial"/>
        <family val="2"/>
      </rPr>
      <t xml:space="preserve">2 * </t>
    </r>
    <r>
      <rPr>
        <u/>
        <sz val="11"/>
        <color rgb="FF1155CC"/>
        <rFont val="Arial"/>
        <family val="2"/>
      </rPr>
      <t>C00310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</si>
  <si>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C00231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</si>
  <si>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C00231</t>
    </r>
  </si>
  <si>
    <r>
      <rPr>
        <u/>
        <sz val="11"/>
        <color rgb="FF1155CC"/>
        <rFont val="Arial"/>
        <family val="2"/>
      </rPr>
      <t>C04261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C00392</t>
    </r>
  </si>
  <si>
    <r>
      <rPr>
        <u/>
        <sz val="11"/>
        <color rgb="FF1155CC"/>
        <rFont val="Arial"/>
        <family val="2"/>
      </rPr>
      <t>C04261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C00392</t>
    </r>
  </si>
  <si>
    <r>
      <rPr>
        <u/>
        <sz val="11"/>
        <color rgb="FF1155CC"/>
        <rFont val="Arial"/>
        <family val="2"/>
      </rPr>
      <t>C00615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C00644</t>
    </r>
  </si>
  <si>
    <r>
      <rPr>
        <u/>
        <sz val="11"/>
        <color rgb="FF1155CC"/>
        <rFont val="Arial"/>
        <family val="2"/>
      </rPr>
      <t>C00615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C00644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</si>
  <si>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</si>
  <si>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</si>
  <si>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C00031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</si>
  <si>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C00092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</si>
  <si>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C00092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</si>
  <si>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</si>
  <si>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C00221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</si>
  <si>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C00221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</si>
  <si>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C01172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</si>
  <si>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</si>
  <si>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2.7.1.2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</si>
  <si>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C00267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</si>
  <si>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C00267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</si>
  <si>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C00668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</si>
  <si>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C00668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</si>
  <si>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</si>
  <si>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</si>
  <si>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</si>
  <si>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</si>
  <si>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</si>
  <si>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</si>
  <si>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C00526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</si>
  <si>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C00526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</si>
  <si>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</si>
  <si>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</si>
  <si>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0"/>
        <color rgb="FF1155CC"/>
        <rFont val="monospace, serif"/>
      </rPr>
      <t>2.7.1.21</t>
    </r>
  </si>
  <si>
    <r>
      <rPr>
        <u/>
        <sz val="11"/>
        <color rgb="FF1155CC"/>
        <rFont val="Arial"/>
        <family val="2"/>
        <scheme val="minor"/>
      </rPr>
      <t>C11736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</si>
  <si>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C11736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</si>
  <si>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C04242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</si>
  <si>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C04242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</si>
  <si>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2.7.1.23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</si>
  <si>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</si>
  <si>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</si>
  <si>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</si>
  <si>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C00006</t>
    </r>
  </si>
  <si>
    <r>
      <rPr>
        <u/>
        <sz val="10"/>
        <color rgb="FF1155CC"/>
        <rFont val="monospace, serif"/>
      </rPr>
      <t>2.7.1.24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</si>
  <si>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</si>
  <si>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</si>
  <si>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</si>
  <si>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C00010</t>
    </r>
  </si>
  <si>
    <r>
      <rPr>
        <u/>
        <sz val="10"/>
        <color rgb="FF1155CC"/>
        <rFont val="monospace, serif"/>
      </rPr>
      <t>2.7.1.26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</si>
  <si>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C00255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</si>
  <si>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</si>
  <si>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</si>
  <si>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</si>
  <si>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0"/>
        <color rgb="FF1155CC"/>
        <rFont val="monospace, serif"/>
      </rPr>
      <t>2.7.1.30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</si>
  <si>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</si>
  <si>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</si>
  <si>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</si>
  <si>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</si>
  <si>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</si>
  <si>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C00831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</si>
  <si>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C00831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</si>
  <si>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</si>
  <si>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</si>
  <si>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</si>
  <si>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</si>
  <si>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C03492</t>
    </r>
  </si>
  <si>
    <r>
      <rPr>
        <u/>
        <sz val="10"/>
        <color rgb="FF1155CC"/>
        <rFont val="monospace, serif"/>
      </rPr>
      <t>2.7.1.33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</si>
  <si>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C04079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</si>
  <si>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C04079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</si>
  <si>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</si>
  <si>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</si>
  <si>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0"/>
        <color rgb="FF1155CC"/>
        <rFont val="monospace, serif"/>
      </rPr>
      <t>2.7.1.36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</si>
  <si>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</si>
  <si>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C00418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</si>
  <si>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</si>
  <si>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</si>
  <si>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0"/>
        <color rgb="FF1155CC"/>
        <rFont val="monospace, serif"/>
      </rPr>
      <t>2.7.1.39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</si>
  <si>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</si>
  <si>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</si>
  <si>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</si>
  <si>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C01102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</si>
  <si>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</si>
  <si>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</si>
  <si>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</si>
  <si>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</si>
  <si>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</si>
  <si>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</si>
  <si>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</si>
  <si>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</si>
  <si>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</si>
  <si>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</si>
  <si>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</si>
  <si>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</si>
  <si>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</si>
  <si>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</si>
  <si>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C00112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</si>
  <si>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</si>
  <si>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</si>
  <si>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</si>
  <si>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C00015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</si>
  <si>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</si>
  <si>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</si>
  <si>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C00081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</si>
  <si>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C00081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</si>
  <si>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</si>
  <si>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C00104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</si>
  <si>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</si>
  <si>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</si>
  <si>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</si>
  <si>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C00206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</si>
  <si>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C00206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</si>
  <si>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</si>
  <si>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</si>
  <si>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</si>
  <si>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C00454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</si>
  <si>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C00454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</si>
  <si>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2.7.1.40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</si>
  <si>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</si>
  <si>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</si>
  <si>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C00361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</si>
  <si>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C00361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</si>
  <si>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</si>
  <si>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</si>
  <si>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</si>
  <si>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</si>
  <si>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</si>
  <si>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</si>
  <si>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</si>
  <si>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</si>
  <si>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</si>
  <si>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</si>
  <si>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</si>
  <si>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</si>
  <si>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</si>
  <si>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</si>
  <si>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</si>
  <si>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</si>
  <si>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</si>
  <si>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</si>
  <si>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</si>
  <si>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</si>
  <si>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0"/>
        <color rgb="FF1155CC"/>
        <rFont val="monospace, serif"/>
      </rPr>
      <t>2.7.1.48</t>
    </r>
  </si>
  <si>
    <r>
      <rPr>
        <u/>
        <sz val="11"/>
        <color rgb="FF1155CC"/>
        <rFont val="Arial"/>
        <family val="2"/>
        <scheme val="minor"/>
      </rPr>
      <t>C16633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</si>
  <si>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C16633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</si>
  <si>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C16634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</si>
  <si>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C16634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</si>
  <si>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2.7.1.49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</si>
  <si>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C01279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</si>
  <si>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C01279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</si>
  <si>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</si>
  <si>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</si>
  <si>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</si>
  <si>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</si>
  <si>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</si>
  <si>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C00354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</si>
  <si>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C00354</t>
    </r>
  </si>
  <si>
    <r>
      <rPr>
        <u/>
        <sz val="10"/>
        <color rgb="FF1155CC"/>
        <rFont val="monospace, serif"/>
      </rPr>
      <t>2.7.1.56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</si>
  <si>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</si>
  <si>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</si>
  <si>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C05378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</si>
  <si>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C05378</t>
    </r>
  </si>
  <si>
    <r>
      <rPr>
        <u/>
        <sz val="10"/>
        <color rgb="FF1155CC"/>
        <rFont val="monospace, serif"/>
      </rPr>
      <t>2.7.1.6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</si>
  <si>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C00984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</si>
  <si>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C00984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</si>
  <si>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</si>
  <si>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</si>
  <si>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0"/>
        <color rgb="FF1155CC"/>
        <rFont val="monospace, serif"/>
      </rPr>
      <t>2.7.1.92</t>
    </r>
  </si>
  <si>
    <r>
      <rPr>
        <u/>
        <sz val="11"/>
        <color rgb="FF1155CC"/>
        <rFont val="Arial"/>
        <family val="2"/>
        <scheme val="minor"/>
      </rPr>
      <t>C06892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</si>
  <si>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C06892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</si>
  <si>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C06893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</si>
  <si>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C06893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</si>
  <si>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2.7.10.2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</si>
  <si>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</si>
  <si>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C00585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</si>
  <si>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C01167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</si>
  <si>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C01167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</si>
  <si>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</si>
  <si>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</si>
  <si>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</si>
  <si>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</si>
  <si>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C00227</t>
    </r>
  </si>
  <si>
    <r>
      <rPr>
        <u/>
        <sz val="10"/>
        <color rgb="FF1155CC"/>
        <rFont val="monospace, serif"/>
      </rPr>
      <t>2.7.2.1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</si>
  <si>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</si>
  <si>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</si>
  <si>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C02876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</si>
  <si>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C02876</t>
    </r>
  </si>
  <si>
    <r>
      <rPr>
        <u/>
        <sz val="10"/>
        <color rgb="FF1155CC"/>
        <rFont val="monospace, serif"/>
      </rPr>
      <t>2.7.2.11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</si>
  <si>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</si>
  <si>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</si>
  <si>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C03287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</si>
  <si>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C03287</t>
    </r>
  </si>
  <si>
    <r>
      <rPr>
        <u/>
        <sz val="10"/>
        <color rgb="FF1155CC"/>
        <rFont val="monospace, serif"/>
      </rPr>
      <t>2.7.2.4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</si>
  <si>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</si>
  <si>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</si>
  <si>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C03082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</si>
  <si>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C03082</t>
    </r>
  </si>
  <si>
    <r>
      <rPr>
        <u/>
        <sz val="10"/>
        <color rgb="FF1155CC"/>
        <rFont val="monospace, serif"/>
      </rPr>
      <t>2.7.2.7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</si>
  <si>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</si>
  <si>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</si>
  <si>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C02527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</si>
  <si>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C02527</t>
    </r>
  </si>
  <si>
    <r>
      <rPr>
        <u/>
        <sz val="10"/>
        <color rgb="FF1155CC"/>
        <rFont val="monospace, serif"/>
      </rPr>
      <t>2.7.3.9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</si>
  <si>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</si>
  <si>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</si>
  <si>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</si>
  <si>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C04261</t>
    </r>
  </si>
  <si>
    <r>
      <rPr>
        <u/>
        <sz val="10"/>
        <color rgb="FF1155CC"/>
        <rFont val="monospace, serif"/>
      </rPr>
      <t>2.7.4.1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</si>
  <si>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</si>
  <si>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</si>
  <si>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</si>
  <si>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</si>
  <si>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0"/>
        <color rgb="FF1155CC"/>
        <rFont val="monospace, serif"/>
      </rPr>
      <t>2.7.4.2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</si>
  <si>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</si>
  <si>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</si>
  <si>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</si>
  <si>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</si>
  <si>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0"/>
        <color rgb="FF1155CC"/>
        <rFont val="monospace, serif"/>
      </rPr>
      <t>2.7.4.22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</si>
  <si>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</si>
  <si>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</si>
  <si>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</si>
  <si>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</si>
  <si>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0"/>
        <color rgb="FF1155CC"/>
        <rFont val="monospace, serif"/>
      </rPr>
      <t>2.7.4.25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</si>
  <si>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</si>
  <si>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</si>
  <si>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</si>
  <si>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</si>
  <si>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0"/>
        <color rgb="FF1155CC"/>
        <rFont val="monospace, serif"/>
      </rPr>
      <t>2.7.4.25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</si>
  <si>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C00239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</si>
  <si>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C00239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</si>
  <si>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</si>
  <si>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</si>
  <si>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</si>
  <si>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</si>
  <si>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</si>
  <si>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</si>
  <si>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</si>
  <si>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</si>
  <si>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</si>
  <si>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</si>
  <si>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0"/>
        <color rgb="FF1155CC"/>
        <rFont val="monospace, serif"/>
      </rPr>
      <t>2.7.4.3</t>
    </r>
  </si>
  <si>
    <r>
      <rPr>
        <u/>
        <sz val="11"/>
        <color rgb="FF1155CC"/>
        <rFont val="Arial"/>
        <family val="2"/>
        <scheme val="minor"/>
      </rPr>
      <t>C00068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</si>
  <si>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C00068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</si>
  <si>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C03028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</si>
  <si>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C03028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</si>
  <si>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</si>
  <si>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</si>
  <si>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</si>
  <si>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</si>
  <si>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</si>
  <si>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</si>
  <si>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</si>
  <si>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</si>
  <si>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</si>
  <si>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C00075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</si>
  <si>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</si>
  <si>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</si>
  <si>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</si>
  <si>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</si>
  <si>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</si>
  <si>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</si>
  <si>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</si>
  <si>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C00104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</si>
  <si>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</si>
  <si>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</si>
  <si>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</si>
  <si>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</si>
  <si>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</si>
  <si>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</si>
  <si>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</si>
  <si>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</si>
  <si>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</si>
  <si>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</si>
  <si>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</si>
  <si>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</si>
  <si>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</si>
  <si>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</si>
  <si>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</si>
  <si>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</si>
  <si>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C00286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</si>
  <si>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</si>
  <si>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</si>
  <si>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</si>
  <si>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</si>
  <si>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C00459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</si>
  <si>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</si>
  <si>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</si>
  <si>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C00454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</si>
  <si>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</si>
  <si>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</si>
  <si>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</si>
  <si>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</si>
  <si>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</si>
  <si>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</si>
  <si>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C00458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</si>
  <si>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</si>
  <si>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</si>
  <si>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C01344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</si>
  <si>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</si>
  <si>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C01345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</si>
  <si>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</si>
  <si>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</si>
  <si>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</si>
  <si>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</si>
  <si>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C00460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</si>
  <si>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</si>
  <si>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</si>
  <si>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C21748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</si>
  <si>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</si>
  <si>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C21749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</si>
  <si>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</si>
  <si>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C21750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</si>
  <si>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C21750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</si>
  <si>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C21751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</si>
  <si>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C21751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</si>
  <si>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</si>
  <si>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C11038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</si>
  <si>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C11038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</si>
  <si>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C11039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</si>
  <si>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C11039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</si>
  <si>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2.7.4.6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</si>
  <si>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</si>
  <si>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</si>
  <si>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</si>
  <si>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C22443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</si>
  <si>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</t>
    </r>
    <r>
      <rPr>
        <sz val="11"/>
        <rFont val="Arial"/>
        <family val="2"/>
        <scheme val="minor"/>
      </rPr>
      <t xml:space="preserve">2 +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</si>
  <si>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</t>
    </r>
    <r>
      <rPr>
        <sz val="11"/>
        <rFont val="Arial"/>
        <family val="2"/>
        <scheme val="minor"/>
      </rPr>
      <t xml:space="preserve">2 *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</si>
  <si>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C04752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</si>
  <si>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C04752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</si>
  <si>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</si>
  <si>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</si>
  <si>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</si>
  <si>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</si>
  <si>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</si>
  <si>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</si>
  <si>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</si>
  <si>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</si>
  <si>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</si>
  <si>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</si>
  <si>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0"/>
        <color rgb="FF1155CC"/>
        <rFont val="monospace, serif"/>
      </rPr>
      <t>2.7.4.8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</si>
  <si>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</si>
  <si>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</si>
  <si>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</si>
  <si>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</si>
  <si>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monospace, serif"/>
      </rPr>
      <t>2.7.4.9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</si>
  <si>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</si>
  <si>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</si>
  <si>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</si>
  <si>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</si>
  <si>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0"/>
        <color rgb="FF1155CC"/>
        <rFont val="monospace, serif"/>
      </rPr>
      <t>2.7.4.9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</si>
  <si>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</si>
  <si>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</si>
  <si>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</si>
  <si>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</si>
  <si>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0"/>
        <color rgb="FF1155CC"/>
        <rFont val="monospace, serif"/>
      </rPr>
      <t>2.7.6.1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</si>
  <si>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</si>
  <si>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</si>
  <si>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</si>
  <si>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</si>
  <si>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C00378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</si>
  <si>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C00378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</si>
  <si>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</si>
  <si>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C00068</t>
    </r>
  </si>
  <si>
    <r>
      <rPr>
        <u/>
        <sz val="10"/>
        <color rgb="FF1155CC"/>
        <rFont val="monospace, serif"/>
      </rPr>
      <t>2.7.6.5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</si>
  <si>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</si>
  <si>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</si>
  <si>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C04494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</si>
  <si>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C04494</t>
    </r>
  </si>
  <si>
    <r>
      <rPr>
        <u/>
        <sz val="10"/>
        <color rgb="FF1155CC"/>
        <rFont val="monospace, serif"/>
      </rPr>
      <t>2.7.7.12</t>
    </r>
  </si>
  <si>
    <r>
      <rPr>
        <u/>
        <sz val="11"/>
        <color rgb="FF1155CC"/>
        <rFont val="Arial"/>
        <family val="2"/>
        <scheme val="minor"/>
      </rPr>
      <t>C00029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</si>
  <si>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1"/>
        <color rgb="FF1155CC"/>
        <rFont val="Arial"/>
        <family val="2"/>
        <scheme val="minor"/>
      </rPr>
      <t>C00029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</si>
  <si>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1"/>
        <color rgb="FF1155CC"/>
        <rFont val="Arial"/>
        <family val="2"/>
        <scheme val="minor"/>
      </rPr>
      <t>C00103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C00052</t>
    </r>
  </si>
  <si>
    <r>
      <rPr>
        <u/>
        <sz val="11"/>
        <color rgb="FF1155CC"/>
        <rFont val="Arial"/>
        <family val="2"/>
        <scheme val="minor"/>
      </rPr>
      <t>C00103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C00052</t>
    </r>
  </si>
  <si>
    <r>
      <rPr>
        <u/>
        <sz val="10"/>
        <color rgb="FF1155CC"/>
        <rFont val="monospace, serif"/>
      </rPr>
      <t>2.7.7.18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</si>
  <si>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</si>
  <si>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C00455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</si>
  <si>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</si>
  <si>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</si>
  <si>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0"/>
        <color rgb="FF1155CC"/>
        <rFont val="monospace, serif"/>
      </rPr>
      <t>2.7.7.18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</si>
  <si>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</si>
  <si>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C01185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</si>
  <si>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C00857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</si>
  <si>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C00857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</si>
  <si>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</si>
  <si>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</si>
  <si>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</si>
  <si>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</si>
  <si>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C04501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</si>
  <si>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C04501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</si>
  <si>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</si>
  <si>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C00043</t>
    </r>
  </si>
  <si>
    <r>
      <rPr>
        <u/>
        <sz val="10"/>
        <color rgb="FF1155CC"/>
        <rFont val="monospace, serif"/>
      </rPr>
      <t>2.7.7.27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</si>
  <si>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</si>
  <si>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</si>
  <si>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C00498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</si>
  <si>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C00498</t>
    </r>
  </si>
  <si>
    <r>
      <rPr>
        <u/>
        <sz val="10"/>
        <color rgb="FF1155CC"/>
        <rFont val="monospace, serif"/>
      </rPr>
      <t>2.7.7.3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</si>
  <si>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</si>
  <si>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</si>
  <si>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</si>
  <si>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</si>
  <si>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</si>
  <si>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</si>
  <si>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</si>
  <si>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</si>
  <si>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</si>
  <si>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</si>
  <si>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</si>
  <si>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</si>
  <si>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</si>
  <si>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</si>
  <si>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</si>
  <si>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</si>
  <si>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</si>
  <si>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</si>
  <si>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</si>
  <si>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</si>
  <si>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</si>
  <si>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</si>
  <si>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</si>
  <si>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</si>
  <si>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</si>
  <si>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</si>
  <si>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</si>
  <si>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</si>
  <si>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</si>
  <si>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0"/>
        <color rgb="FF1155CC"/>
        <rFont val="monospace, serif"/>
      </rPr>
      <t>2.7.7.6</t>
    </r>
  </si>
  <si>
    <r>
      <rPr>
        <u/>
        <sz val="10"/>
        <color rgb="FF1155CC"/>
        <rFont val="monospace, serif"/>
      </rPr>
      <t>2.7.7.61</t>
    </r>
  </si>
  <si>
    <r>
      <rPr>
        <u/>
        <sz val="11"/>
        <color rgb="FF1155CC"/>
        <rFont val="Arial"/>
        <family val="2"/>
        <scheme val="minor"/>
      </rPr>
      <t>C19771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</si>
  <si>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C19771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</si>
  <si>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C00229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</si>
  <si>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C00229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</si>
  <si>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</si>
  <si>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</si>
  <si>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</si>
  <si>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</si>
  <si>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</si>
  <si>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</si>
  <si>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</si>
  <si>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</si>
  <si>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</si>
  <si>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</si>
  <si>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</si>
  <si>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</si>
  <si>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</si>
  <si>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</si>
  <si>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</si>
  <si>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</si>
  <si>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</si>
  <si>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</si>
  <si>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</si>
  <si>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</si>
  <si>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</si>
  <si>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</si>
  <si>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</si>
  <si>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</si>
  <si>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</si>
  <si>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</si>
  <si>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0"/>
        <color rgb="FF1155CC"/>
        <rFont val="monospace, serif"/>
      </rPr>
      <t>2.7.7.72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</si>
  <si>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</si>
  <si>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</si>
  <si>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</si>
  <si>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</si>
  <si>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</si>
  <si>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</si>
  <si>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</si>
  <si>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</si>
  <si>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</si>
  <si>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</si>
  <si>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2.7.7.72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</si>
  <si>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</si>
  <si>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</si>
  <si>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</si>
  <si>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</si>
  <si>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2.7.7.87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</si>
  <si>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</si>
  <si>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</si>
  <si>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C20641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</si>
  <si>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C20641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</si>
  <si>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2.7.7.9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</si>
  <si>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C00103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</si>
  <si>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C00103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</si>
  <si>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</si>
  <si>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C00029</t>
    </r>
  </si>
  <si>
    <r>
      <rPr>
        <u/>
        <sz val="10"/>
        <color rgb="FF1155CC"/>
        <rFont val="monospace, serif"/>
      </rPr>
      <t>2.7.8.13</t>
    </r>
  </si>
  <si>
    <r>
      <rPr>
        <u/>
        <sz val="11"/>
        <color rgb="FF1155CC"/>
        <rFont val="Arial"/>
        <family val="2"/>
        <scheme val="minor"/>
      </rPr>
      <t>C04702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</si>
  <si>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C04702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</si>
  <si>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C04851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</si>
  <si>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C04851</t>
    </r>
  </si>
  <si>
    <r>
      <rPr>
        <u/>
        <sz val="10"/>
        <color rgb="FF1155CC"/>
        <rFont val="monospace, serif"/>
      </rPr>
      <t>2.7.8.13</t>
    </r>
  </si>
  <si>
    <r>
      <rPr>
        <u/>
        <sz val="11"/>
        <color rgb="FF1155CC"/>
        <rFont val="Arial"/>
        <family val="2"/>
        <scheme val="minor"/>
      </rPr>
      <t>C04882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</si>
  <si>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C04882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</si>
  <si>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C05897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</si>
  <si>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C05897</t>
    </r>
  </si>
  <si>
    <r>
      <rPr>
        <u/>
        <sz val="10"/>
        <color rgb="FF1155CC"/>
        <rFont val="monospace, serif"/>
      </rPr>
      <t>2.7.8.5</t>
    </r>
  </si>
  <si>
    <r>
      <rPr>
        <u/>
        <sz val="11"/>
        <color rgb="FF1155CC"/>
        <rFont val="Arial"/>
        <family val="2"/>
        <scheme val="minor"/>
      </rPr>
      <t>C00269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</si>
  <si>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  <scheme val="minor"/>
      </rPr>
      <t>C00269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</si>
  <si>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C03892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</si>
  <si>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C03892</t>
    </r>
  </si>
  <si>
    <r>
      <rPr>
        <u/>
        <sz val="10"/>
        <color rgb="FF1155CC"/>
        <rFont val="monospace, serif"/>
      </rPr>
      <t>2.7.8.7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</si>
  <si>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</si>
  <si>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</si>
  <si>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C00229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</si>
  <si>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C00229</t>
    </r>
  </si>
  <si>
    <r>
      <rPr>
        <u/>
        <sz val="10"/>
        <color rgb="FF1155CC"/>
        <rFont val="monospace, serif"/>
      </rPr>
      <t>2.7.9.1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</si>
  <si>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</si>
  <si>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</si>
  <si>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</si>
  <si>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</si>
  <si>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2.8.1.13</t>
    </r>
  </si>
  <si>
    <r>
      <rPr>
        <u/>
        <sz val="11"/>
        <color rgb="FF1155CC"/>
        <rFont val="Arial"/>
        <family val="2"/>
        <scheme val="minor"/>
      </rPr>
      <t>C00868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</si>
  <si>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C00868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</si>
  <si>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C17322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</si>
  <si>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C17322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</si>
  <si>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2.8.1.4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</si>
  <si>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C02342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</si>
  <si>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C02342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</si>
  <si>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C04161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</si>
  <si>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C04161</t>
    </r>
  </si>
  <si>
    <r>
      <rPr>
        <u/>
        <sz val="10"/>
        <color rgb="FF1155CC"/>
        <rFont val="monospace, serif"/>
      </rPr>
      <t>2.8.1.4</t>
    </r>
  </si>
  <si>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C00030</t>
    </r>
  </si>
  <si>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C15813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</si>
  <si>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</si>
  <si>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C15814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C00028</t>
    </r>
  </si>
  <si>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C00158</t>
    </r>
  </si>
  <si>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C00158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</si>
  <si>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C00566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</si>
  <si>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C00566</t>
    </r>
  </si>
  <si>
    <r>
      <rPr>
        <u/>
        <sz val="10"/>
        <color rgb="FF1155CC"/>
        <rFont val="monospace, serif"/>
      </rPr>
      <t>3.1.1.29</t>
    </r>
  </si>
  <si>
    <r>
      <rPr>
        <u/>
        <sz val="11"/>
        <color rgb="FF1155CC"/>
        <rFont val="Arial"/>
        <family val="2"/>
        <scheme val="minor"/>
      </rPr>
      <t>C03880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</si>
  <si>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C03880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</si>
  <si>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C03523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C00066</t>
    </r>
  </si>
  <si>
    <r>
      <rPr>
        <u/>
        <sz val="11"/>
        <color rgb="FF1155CC"/>
        <rFont val="Arial"/>
        <family val="2"/>
        <scheme val="minor"/>
      </rPr>
      <t>C03523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C00066</t>
    </r>
  </si>
  <si>
    <r>
      <rPr>
        <u/>
        <sz val="10"/>
        <color rgb="FF1155CC"/>
        <rFont val="monospace, serif"/>
      </rPr>
      <t>3.1.2.20</t>
    </r>
  </si>
  <si>
    <r>
      <rPr>
        <u/>
        <sz val="11"/>
        <color rgb="FF1155CC"/>
        <rFont val="Arial"/>
        <family val="2"/>
        <scheme val="minor"/>
      </rPr>
      <t>C00040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</si>
  <si>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C00040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</si>
  <si>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C00060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</si>
  <si>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C00060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</si>
  <si>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</si>
  <si>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C00354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</si>
  <si>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</si>
  <si>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</si>
  <si>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</si>
  <si>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</si>
  <si>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C00447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</si>
  <si>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C00447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</si>
  <si>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</si>
  <si>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C05382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</si>
  <si>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3.1.3.11</t>
    </r>
  </si>
  <si>
    <r>
      <rPr>
        <u/>
        <sz val="11"/>
        <color rgb="FF1155CC"/>
        <rFont val="Arial"/>
        <family val="2"/>
        <scheme val="minor"/>
      </rPr>
      <t>C05378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</si>
  <si>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</si>
  <si>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</si>
  <si>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C05345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</si>
  <si>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3.1.3.27</t>
    </r>
  </si>
  <si>
    <r>
      <rPr>
        <u/>
        <sz val="11"/>
        <color rgb="FF1155CC"/>
        <rFont val="Arial"/>
        <family val="2"/>
        <scheme val="minor"/>
      </rPr>
      <t>C03892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</si>
  <si>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C03892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</si>
  <si>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</si>
  <si>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C00344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</si>
  <si>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</si>
  <si>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</si>
  <si>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</si>
  <si>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</si>
  <si>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</si>
  <si>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</si>
  <si>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</si>
  <si>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</si>
  <si>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</si>
  <si>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</si>
  <si>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</si>
  <si>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</si>
  <si>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</si>
  <si>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</si>
  <si>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</si>
  <si>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</si>
  <si>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</si>
  <si>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</si>
  <si>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</si>
  <si>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</si>
  <si>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</si>
  <si>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</si>
  <si>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</si>
  <si>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</si>
  <si>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C00387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</si>
  <si>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</si>
  <si>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C00239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</si>
  <si>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</si>
  <si>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</si>
  <si>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</si>
  <si>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</si>
  <si>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</si>
  <si>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</si>
  <si>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</si>
  <si>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</si>
  <si>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</si>
  <si>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</si>
  <si>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</si>
  <si>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</si>
  <si>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C00330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</si>
  <si>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</si>
  <si>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</si>
  <si>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</si>
  <si>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</si>
  <si>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</si>
  <si>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</si>
  <si>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C00365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</si>
  <si>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</si>
  <si>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</si>
  <si>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</si>
  <si>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</si>
  <si>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</si>
  <si>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</si>
  <si>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C03150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</si>
  <si>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C03150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</si>
  <si>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</si>
  <si>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</si>
  <si>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</si>
  <si>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C01762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</si>
  <si>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C01762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</si>
  <si>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</si>
  <si>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C01185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</si>
  <si>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C01185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</si>
  <si>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C05841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</si>
  <si>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C05841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</si>
  <si>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</si>
  <si>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C02520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</si>
  <si>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C02520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</si>
  <si>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C00911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</si>
  <si>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C00911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</si>
  <si>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3.1.3.5</t>
    </r>
  </si>
  <si>
    <r>
      <rPr>
        <u/>
        <sz val="11"/>
        <color rgb="FF1155CC"/>
        <rFont val="Arial"/>
        <family val="2"/>
        <scheme val="minor"/>
      </rPr>
      <t>C06196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</si>
  <si>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C06196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</si>
  <si>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</si>
  <si>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</si>
  <si>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</si>
  <si>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</si>
  <si>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</si>
  <si>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</si>
  <si>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</si>
  <si>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3.1.3.7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</si>
  <si>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</si>
  <si>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</si>
  <si>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</si>
  <si>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</si>
  <si>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</si>
  <si>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C00850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</si>
  <si>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C00850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</si>
  <si>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C15584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</si>
  <si>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  <scheme val="minor"/>
      </rPr>
      <t>C15584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</si>
  <si>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</si>
  <si>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C02538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</si>
  <si>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C02538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</si>
  <si>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C00468</t>
    </r>
  </si>
  <si>
    <r>
      <rPr>
        <u/>
        <sz val="11"/>
        <color rgb="FF1155CC"/>
        <rFont val="Arial"/>
        <family val="2"/>
        <scheme val="minor"/>
      </rPr>
      <t>C00059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C00468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</si>
  <si>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</si>
  <si>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C06125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</si>
  <si>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C06125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</si>
  <si>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</si>
  <si>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</si>
  <si>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3.1.6.1</t>
    </r>
  </si>
  <si>
    <r>
      <rPr>
        <u/>
        <sz val="11"/>
        <color rgb="FF1155CC"/>
        <rFont val="Arial"/>
        <family val="2"/>
        <scheme val="minor"/>
      </rPr>
      <t>G11122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</si>
  <si>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</si>
  <si>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</si>
  <si>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</si>
  <si>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</si>
  <si>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</si>
  <si>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</si>
  <si>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</si>
  <si>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</si>
  <si>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</si>
  <si>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</si>
  <si>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</si>
  <si>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</si>
  <si>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</si>
  <si>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</si>
  <si>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C00208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</si>
  <si>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</si>
  <si>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</si>
  <si>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</si>
  <si>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</si>
  <si>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</si>
  <si>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</si>
  <si>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</si>
  <si>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</si>
  <si>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</si>
  <si>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3.2.1.20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</si>
  <si>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</si>
  <si>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</si>
  <si>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</si>
  <si>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</si>
  <si>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</si>
  <si>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G00093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</si>
  <si>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G00093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</si>
  <si>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G00092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</si>
  <si>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G00092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</si>
  <si>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</si>
  <si>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</si>
  <si>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</si>
  <si>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C00089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</si>
  <si>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C00089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</si>
  <si>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</si>
  <si>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C01235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</si>
  <si>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</si>
  <si>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</si>
  <si>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</si>
  <si>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</si>
  <si>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</si>
  <si>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</si>
  <si>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</si>
  <si>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</si>
  <si>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</si>
  <si>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C04737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</si>
  <si>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C04737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</si>
  <si>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C01290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</si>
  <si>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C01290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</si>
  <si>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</si>
  <si>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C05399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</si>
  <si>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</si>
  <si>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C00794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</si>
  <si>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C00794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</si>
  <si>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</si>
  <si>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</si>
  <si>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</si>
  <si>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</si>
  <si>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</si>
  <si>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</si>
  <si>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</si>
  <si>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</si>
  <si>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</si>
  <si>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</si>
  <si>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</si>
  <si>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</si>
  <si>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</si>
  <si>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</si>
  <si>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</si>
  <si>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</si>
  <si>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</si>
  <si>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</si>
  <si>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C05402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</si>
  <si>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C05402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</si>
  <si>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</si>
  <si>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C06037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</si>
  <si>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C06037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</si>
  <si>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C03692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</si>
  <si>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C03692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</si>
  <si>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</si>
  <si>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C06126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</si>
  <si>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C06126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</si>
  <si>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</si>
  <si>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</si>
  <si>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</si>
  <si>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</si>
  <si>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</si>
  <si>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G00370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</si>
  <si>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G00370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</si>
  <si>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</si>
  <si>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</si>
  <si>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</si>
  <si>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</si>
  <si>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</si>
  <si>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</si>
  <si>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G00497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</si>
  <si>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G00497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</si>
  <si>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</si>
  <si>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</si>
  <si>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</si>
  <si>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</si>
  <si>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</si>
  <si>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G01275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</si>
  <si>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G01275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</si>
  <si>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</si>
  <si>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</si>
  <si>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</si>
  <si>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</si>
  <si>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</si>
  <si>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</si>
  <si>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G10488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</si>
  <si>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G10488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</si>
  <si>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</si>
  <si>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</si>
  <si>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3.2.1.22</t>
    </r>
  </si>
  <si>
    <r>
      <rPr>
        <u/>
        <sz val="11"/>
        <color rgb="FF1155CC"/>
        <rFont val="Arial"/>
        <family val="2"/>
        <scheme val="minor"/>
      </rPr>
      <t>G10529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</si>
  <si>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G10529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</si>
  <si>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</si>
  <si>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</si>
  <si>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</si>
  <si>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</si>
  <si>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</si>
  <si>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</si>
  <si>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</si>
  <si>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</si>
  <si>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</si>
  <si>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</si>
  <si>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</si>
  <si>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</si>
  <si>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</si>
  <si>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C01290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</si>
  <si>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C01290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</si>
  <si>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C01190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</si>
  <si>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C01190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</si>
  <si>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</si>
  <si>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C04911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</si>
  <si>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C04911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</si>
  <si>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C04884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</si>
  <si>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C04884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</si>
  <si>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</si>
  <si>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C05403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</si>
  <si>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</si>
  <si>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</si>
  <si>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</si>
  <si>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</si>
  <si>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C05796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</si>
  <si>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C05796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</si>
  <si>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C05796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</si>
  <si>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C05796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</si>
  <si>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</si>
  <si>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C06136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</si>
  <si>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</si>
  <si>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</si>
  <si>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C06135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</si>
  <si>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</si>
  <si>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G00092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</si>
  <si>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G00092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</si>
  <si>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G10238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</si>
  <si>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G10238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</si>
  <si>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</si>
  <si>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G00110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</si>
  <si>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G00110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</si>
  <si>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</si>
  <si>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G00109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</si>
  <si>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</si>
  <si>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</si>
  <si>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</si>
  <si>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</si>
  <si>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G00123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</si>
  <si>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</si>
  <si>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G01977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</si>
  <si>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G01977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</si>
  <si>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G13073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</si>
  <si>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G13073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</si>
  <si>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</si>
  <si>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</si>
  <si>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</si>
  <si>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</si>
  <si>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</si>
  <si>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</si>
  <si>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</si>
  <si>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</si>
  <si>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</si>
  <si>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</si>
  <si>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0"/>
        <color rgb="FF1155CC"/>
        <rFont val="monospace, serif"/>
      </rPr>
      <t>3.2.1.23</t>
    </r>
  </si>
  <si>
    <r>
      <rPr>
        <u/>
        <sz val="11"/>
        <color rgb="FF1155CC"/>
        <rFont val="Arial"/>
        <family val="2"/>
        <scheme val="minor"/>
      </rPr>
      <t>G10531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</si>
  <si>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</si>
  <si>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</si>
  <si>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</si>
  <si>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0"/>
        <color rgb="FF1155CC"/>
        <rFont val="monospace, serif"/>
      </rPr>
      <t>3.2.1.23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</si>
  <si>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</si>
  <si>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</si>
  <si>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</si>
  <si>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</si>
  <si>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</si>
  <si>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</si>
  <si>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</si>
  <si>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</si>
  <si>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</si>
  <si>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</si>
  <si>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</si>
  <si>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C16688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</si>
  <si>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</si>
  <si>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</si>
  <si>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</si>
  <si>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</si>
  <si>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</si>
  <si>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</si>
  <si>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</si>
  <si>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</si>
  <si>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</si>
  <si>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</si>
  <si>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</si>
  <si>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</si>
  <si>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</si>
  <si>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0"/>
        <color rgb="FF1155CC"/>
        <rFont val="monospace, serif"/>
      </rPr>
      <t>3.2.1.26</t>
    </r>
  </si>
  <si>
    <r>
      <rPr>
        <u/>
        <sz val="11"/>
        <color rgb="FF1155CC"/>
        <rFont val="Arial"/>
        <family val="2"/>
        <scheme val="minor"/>
      </rPr>
      <t>G10508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</si>
  <si>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</si>
  <si>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C00668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</si>
  <si>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C00668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</si>
  <si>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</si>
  <si>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C04534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</si>
  <si>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C04534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</si>
  <si>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</si>
  <si>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</si>
  <si>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</si>
  <si>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</si>
  <si>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C06187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</si>
  <si>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</si>
  <si>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1"/>
        <color rgb="FF1155CC"/>
        <rFont val="Arial"/>
        <family val="2"/>
        <scheme val="minor"/>
      </rPr>
      <t>C00530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</si>
  <si>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</si>
  <si>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C06188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</si>
  <si>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</si>
  <si>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C02323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</si>
  <si>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1"/>
        <color rgb="FF1155CC"/>
        <rFont val="Arial"/>
        <family val="2"/>
        <scheme val="minor"/>
      </rPr>
      <t>C02323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</si>
  <si>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0"/>
        <color rgb="FF1155CC"/>
        <rFont val="monospace, serif"/>
      </rPr>
      <t>3.2.1.86</t>
    </r>
  </si>
  <si>
    <r>
      <rPr>
        <u/>
        <sz val="11"/>
        <color rgb="FF1155CC"/>
        <rFont val="Arial"/>
        <family val="2"/>
        <scheme val="minor"/>
      </rPr>
      <t>G10518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</si>
  <si>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G10518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</si>
  <si>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</si>
  <si>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</si>
  <si>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</si>
  <si>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C00689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</si>
  <si>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C00689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</si>
  <si>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</si>
  <si>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</si>
  <si>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3.2.1.93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</si>
  <si>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G09795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</si>
  <si>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G09795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</si>
  <si>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</si>
  <si>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</si>
  <si>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</si>
  <si>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C00021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</si>
  <si>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</si>
  <si>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C03539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</si>
  <si>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1"/>
        <color rgb="FF1155CC"/>
        <rFont val="Arial"/>
        <family val="2"/>
        <scheme val="minor"/>
      </rPr>
      <t>C03539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</si>
  <si>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</si>
  <si>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C00170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</si>
  <si>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C00170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</si>
  <si>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C03089</t>
    </r>
  </si>
  <si>
    <r>
      <rPr>
        <u/>
        <sz val="11"/>
        <color rgb="FF1155CC"/>
        <rFont val="Arial"/>
        <family val="2"/>
        <scheme val="minor"/>
      </rPr>
      <t>C00147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C03089</t>
    </r>
  </si>
  <si>
    <r>
      <rPr>
        <u/>
        <sz val="10"/>
        <color rgb="FF1155CC"/>
        <rFont val="monospace, serif"/>
      </rPr>
      <t>3.2.2.9</t>
    </r>
  </si>
  <si>
    <r>
      <rPr>
        <u/>
        <sz val="11"/>
        <color rgb="FF1155CC"/>
        <rFont val="Arial"/>
        <family val="2"/>
        <scheme val="minor"/>
      </rPr>
      <t>C05198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</si>
  <si>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C05198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</si>
  <si>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C22288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</si>
  <si>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1"/>
        <color rgb="FF1155CC"/>
        <rFont val="Arial"/>
        <family val="2"/>
        <scheme val="minor"/>
      </rPr>
      <t>C22288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</si>
  <si>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0"/>
        <color rgb="FF1155CC"/>
        <rFont val="monospace, serif"/>
      </rPr>
      <t>3.4.11.5</t>
    </r>
  </si>
  <si>
    <r>
      <rPr>
        <u/>
        <sz val="11"/>
        <color rgb="FF1155CC"/>
        <rFont val="Arial"/>
        <family val="2"/>
        <scheme val="minor"/>
      </rPr>
      <t>C00012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</si>
  <si>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</si>
  <si>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C00012</t>
    </r>
  </si>
  <si>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C00012</t>
    </r>
  </si>
  <si>
    <r>
      <rPr>
        <u/>
        <sz val="10"/>
        <color rgb="FF1155CC"/>
        <rFont val="monospace, serif"/>
      </rPr>
      <t>3.5.1.2</t>
    </r>
  </si>
  <si>
    <r>
      <rPr>
        <u/>
        <sz val="11"/>
        <color rgb="FF1155CC"/>
        <rFont val="Arial"/>
        <family val="2"/>
        <scheme val="minor"/>
      </rPr>
      <t>C00241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</si>
  <si>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</si>
  <si>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</si>
  <si>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</si>
  <si>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3.5.1.2</t>
    </r>
  </si>
  <si>
    <r>
      <rPr>
        <u/>
        <sz val="11"/>
        <color rgb="FF1155CC"/>
        <rFont val="Arial"/>
        <family val="2"/>
        <scheme val="minor"/>
      </rPr>
      <t>C00819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</si>
  <si>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C00819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</si>
  <si>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</si>
  <si>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C00217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</si>
  <si>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3.5.1.25</t>
    </r>
  </si>
  <si>
    <r>
      <rPr>
        <u/>
        <sz val="11"/>
        <color rgb="FF1155CC"/>
        <rFont val="Arial"/>
        <family val="2"/>
        <scheme val="minor"/>
      </rPr>
      <t>C00357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</si>
  <si>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</si>
  <si>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</si>
  <si>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</si>
  <si>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0"/>
        <color rgb="FF1155CC"/>
        <rFont val="monospace, serif"/>
      </rPr>
      <t>3.5.1.28</t>
    </r>
  </si>
  <si>
    <r>
      <rPr>
        <u/>
        <sz val="11"/>
        <color rgb="FF1155CC"/>
        <rFont val="Arial"/>
        <family val="2"/>
        <scheme val="minor"/>
      </rPr>
      <t>C02999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</si>
  <si>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C02999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</si>
  <si>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</si>
  <si>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  <scheme val="minor"/>
      </rPr>
      <t>C02713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</si>
  <si>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</si>
  <si>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C00511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</si>
  <si>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C00511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</si>
  <si>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C01659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</si>
  <si>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C01659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</si>
  <si>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</si>
  <si>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C02505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</si>
  <si>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C02505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</si>
  <si>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C07086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</si>
  <si>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C07086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</si>
  <si>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</si>
  <si>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C02693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</si>
  <si>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C02693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</si>
  <si>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C00954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</si>
  <si>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C00954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</si>
  <si>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</si>
  <si>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C03078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</si>
  <si>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</si>
  <si>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</si>
  <si>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C01035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</si>
  <si>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</si>
  <si>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C03620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</si>
  <si>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C03620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</si>
  <si>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</si>
  <si>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</si>
  <si>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</si>
  <si>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C06244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</si>
  <si>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C06244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</si>
  <si>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</si>
  <si>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</si>
  <si>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3.5.1.4</t>
    </r>
  </si>
  <si>
    <r>
      <rPr>
        <u/>
        <sz val="11"/>
        <color rgb="FF1155CC"/>
        <rFont val="Arial"/>
        <family val="2"/>
        <scheme val="minor"/>
      </rPr>
      <t>C09815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</si>
  <si>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C09815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</si>
  <si>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</si>
  <si>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C00180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</si>
  <si>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3.5.1.88</t>
    </r>
  </si>
  <si>
    <r>
      <rPr>
        <u/>
        <sz val="11"/>
        <color rgb="FF1155CC"/>
        <rFont val="Arial"/>
        <family val="2"/>
        <scheme val="minor"/>
      </rPr>
      <t>C04258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</si>
  <si>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C04258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</si>
  <si>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C03617</t>
    </r>
  </si>
  <si>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C03617</t>
    </r>
  </si>
  <si>
    <r>
      <rPr>
        <u/>
        <sz val="10"/>
        <color rgb="FF1155CC"/>
        <rFont val="monospace, serif"/>
      </rPr>
      <t>3.5.1.88</t>
    </r>
  </si>
  <si>
    <r>
      <rPr>
        <u/>
        <sz val="11"/>
        <color rgb="FF1155CC"/>
        <rFont val="Arial"/>
        <family val="2"/>
        <scheme val="minor"/>
      </rPr>
      <t>C11439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</si>
  <si>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C11439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</si>
  <si>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C11440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C00058</t>
    </r>
  </si>
  <si>
    <r>
      <rPr>
        <u/>
        <sz val="11"/>
        <color rgb="FF1155CC"/>
        <rFont val="Arial"/>
        <family val="2"/>
        <scheme val="minor"/>
      </rPr>
      <t>C11440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C00058</t>
    </r>
  </si>
  <si>
    <r>
      <rPr>
        <u/>
        <sz val="10"/>
        <color rgb="FF1155CC"/>
        <rFont val="monospace, serif"/>
      </rPr>
      <t>3.5.2.3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</si>
  <si>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</si>
  <si>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</si>
  <si>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C00438</t>
    </r>
  </si>
  <si>
    <r>
      <rPr>
        <u/>
        <sz val="10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</si>
  <si>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</si>
  <si>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</si>
  <si>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C04734</t>
    </r>
  </si>
  <si>
    <r>
      <rPr>
        <u/>
        <sz val="10"/>
        <color rgb="FF1155CC"/>
        <rFont val="Arial"/>
        <family val="2"/>
      </rPr>
      <t>C04734</t>
    </r>
  </si>
  <si>
    <r>
      <rPr>
        <u/>
        <sz val="10"/>
        <color rgb="FF1155CC"/>
        <rFont val="monospace, serif"/>
      </rPr>
      <t>3.5.4.19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</si>
  <si>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</si>
  <si>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</si>
  <si>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</si>
  <si>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</si>
  <si>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monospace, serif"/>
      </rPr>
      <t>3.5.4.33</t>
    </r>
  </si>
  <si>
    <r>
      <rPr>
        <u/>
        <sz val="11"/>
        <color rgb="FF1155CC"/>
        <rFont val="Arial"/>
        <family val="2"/>
      </rPr>
      <t>C17324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</si>
  <si>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C17324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</si>
  <si>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C20451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</si>
  <si>
    <r>
      <rPr>
        <u/>
        <sz val="11"/>
        <color rgb="FF1155CC"/>
        <rFont val="Arial"/>
        <family val="2"/>
      </rPr>
      <t>C20451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C00014</t>
    </r>
  </si>
  <si>
    <r>
      <rPr>
        <u/>
        <sz val="10"/>
        <color rgb="FF1155CC"/>
        <rFont val="monospace, serif"/>
      </rPr>
      <t>3.5.4.4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</si>
  <si>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</si>
  <si>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</si>
  <si>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</si>
  <si>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</si>
  <si>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3.5.4.4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</si>
  <si>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</si>
  <si>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</si>
  <si>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</si>
  <si>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</si>
  <si>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</si>
  <si>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</si>
  <si>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</si>
  <si>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</si>
  <si>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</si>
  <si>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</si>
  <si>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</si>
  <si>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</si>
  <si>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</si>
  <si>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</si>
  <si>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3.5.4.5</t>
    </r>
  </si>
  <si>
    <r>
      <rPr>
        <u/>
        <sz val="11"/>
        <color rgb="FF1155CC"/>
        <rFont val="Arial"/>
        <family val="2"/>
        <scheme val="minor"/>
      </rPr>
      <t>C16635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</si>
  <si>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</si>
  <si>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C12739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</si>
  <si>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C12739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</si>
  <si>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C00445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</si>
  <si>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C00445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</si>
  <si>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</si>
  <si>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C00234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</si>
  <si>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3.5.99.2</t>
    </r>
  </si>
  <si>
    <r>
      <rPr>
        <u/>
        <sz val="11"/>
        <color rgb="FF1155CC"/>
        <rFont val="Arial"/>
        <family val="2"/>
        <scheme val="minor"/>
      </rPr>
      <t>C00378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</si>
  <si>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</si>
  <si>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</si>
  <si>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C04294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</si>
  <si>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3.5.99.2</t>
    </r>
  </si>
  <si>
    <r>
      <rPr>
        <u/>
        <sz val="11"/>
        <color rgb="FF1155CC"/>
        <rFont val="Arial"/>
        <family val="2"/>
        <scheme val="minor"/>
      </rPr>
      <t>C20267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</si>
  <si>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C20267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</si>
  <si>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</si>
  <si>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</si>
  <si>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3.5.99.6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</si>
  <si>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</si>
  <si>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</si>
  <si>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</si>
  <si>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</si>
  <si>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3.6.1.1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</si>
  <si>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</si>
  <si>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</si>
  <si>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C04494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</si>
  <si>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C04494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</si>
  <si>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C01228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</si>
  <si>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C01228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</si>
  <si>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3.6.1.27</t>
    </r>
  </si>
  <si>
    <r>
      <rPr>
        <u/>
        <sz val="11"/>
        <color rgb="FF1155CC"/>
        <rFont val="Arial"/>
        <family val="2"/>
        <scheme val="minor"/>
      </rPr>
      <t>C04574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</si>
  <si>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C04574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</si>
  <si>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C17556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</si>
  <si>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C17556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</si>
  <si>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3.6.1.31</t>
    </r>
  </si>
  <si>
    <r>
      <rPr>
        <u/>
        <sz val="11"/>
        <color rgb="FF1155CC"/>
        <rFont val="Arial"/>
        <family val="2"/>
        <scheme val="minor"/>
      </rPr>
      <t>C02739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</si>
  <si>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C02739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</si>
  <si>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</si>
  <si>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</si>
  <si>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3.6.1.41</t>
    </r>
  </si>
  <si>
    <r>
      <rPr>
        <u/>
        <sz val="11"/>
        <color rgb="FF1155CC"/>
        <rFont val="Arial"/>
        <family val="2"/>
        <scheme val="minor"/>
      </rPr>
      <t>C01260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</si>
  <si>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</si>
  <si>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3.6.5.n1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</si>
  <si>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</si>
  <si>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</si>
  <si>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</si>
  <si>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</si>
  <si>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monospace, serif"/>
      </rPr>
      <t>3.7.1.22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</si>
  <si>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</si>
  <si>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</si>
  <si>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1"/>
        <color rgb="FF1155CC"/>
        <rFont val="Arial"/>
        <family val="2"/>
        <scheme val="minor"/>
      </rPr>
      <t>C00186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</si>
  <si>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C00186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</si>
  <si>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4.1.1.101</t>
    </r>
  </si>
  <si>
    <r>
      <rPr>
        <u/>
        <sz val="10"/>
        <color rgb="FF1155CC"/>
        <rFont val="Arial"/>
        <family val="2"/>
      </rPr>
      <t>C00036</t>
    </r>
  </si>
  <si>
    <r>
      <rPr>
        <u/>
        <sz val="10"/>
        <color rgb="FF1155CC"/>
        <rFont val="Arial"/>
        <family val="2"/>
      </rPr>
      <t>C00036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</si>
  <si>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</si>
  <si>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</si>
  <si>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4.1.1.112</t>
    </r>
  </si>
  <si>
    <r>
      <rPr>
        <u/>
        <sz val="10"/>
        <color rgb="FF1155CC"/>
        <rFont val="Arial"/>
        <family val="2"/>
      </rPr>
      <t>C00049</t>
    </r>
  </si>
  <si>
    <r>
      <rPr>
        <u/>
        <sz val="10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</si>
  <si>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</si>
  <si>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</si>
  <si>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4.1.1.112</t>
    </r>
  </si>
  <si>
    <r>
      <rPr>
        <u/>
        <sz val="10"/>
        <color rgb="FF1155CC"/>
        <rFont val="Arial"/>
        <family val="2"/>
      </rPr>
      <t>C06030</t>
    </r>
  </si>
  <si>
    <r>
      <rPr>
        <u/>
        <sz val="10"/>
        <color rgb="FF1155CC"/>
        <rFont val="Arial"/>
        <family val="2"/>
      </rPr>
      <t>C06030</t>
    </r>
  </si>
  <si>
    <r>
      <rPr>
        <u/>
        <sz val="11"/>
        <color rgb="FF1155CC"/>
        <rFont val="Arial"/>
        <family val="2"/>
        <scheme val="minor"/>
      </rPr>
      <t>C00109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</si>
  <si>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C00109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</si>
  <si>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4.1.1.12</t>
    </r>
  </si>
  <si>
    <r>
      <rPr>
        <u/>
        <sz val="10"/>
        <color rgb="FF1155CC"/>
        <rFont val="Arial"/>
        <family val="2"/>
      </rPr>
      <t>C00606</t>
    </r>
  </si>
  <si>
    <r>
      <rPr>
        <u/>
        <sz val="10"/>
        <color rgb="FF1155CC"/>
        <rFont val="Arial"/>
        <family val="2"/>
      </rPr>
      <t>C00606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</si>
  <si>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C09306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</si>
  <si>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C09306</t>
    </r>
  </si>
  <si>
    <r>
      <rPr>
        <u/>
        <sz val="10"/>
        <color rgb="FF1155CC"/>
        <rFont val="monospace, serif"/>
      </rPr>
      <t>4.1.1.12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</si>
  <si>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</si>
  <si>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</si>
  <si>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</si>
  <si>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</si>
  <si>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4.1.1.20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</si>
  <si>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</si>
  <si>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</si>
  <si>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</si>
  <si>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</si>
  <si>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4.1.1.21</t>
    </r>
  </si>
  <si>
    <r>
      <rPr>
        <u/>
        <sz val="10"/>
        <color rgb="FF1155CC"/>
        <rFont val="Arial"/>
        <family val="2"/>
      </rPr>
      <t>C01103</t>
    </r>
  </si>
  <si>
    <r>
      <rPr>
        <u/>
        <sz val="10"/>
        <color rgb="FF1155CC"/>
        <rFont val="Arial"/>
        <family val="2"/>
      </rPr>
      <t>C01103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</si>
  <si>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</si>
  <si>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</si>
  <si>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4.1.1.23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</si>
  <si>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</si>
  <si>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</si>
  <si>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</si>
  <si>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</si>
  <si>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4.1.1.33</t>
    </r>
  </si>
  <si>
    <r>
      <rPr>
        <u/>
        <sz val="10"/>
        <color rgb="FF1155CC"/>
        <rFont val="Arial"/>
        <family val="2"/>
      </rPr>
      <t>C04352</t>
    </r>
  </si>
  <si>
    <r>
      <rPr>
        <u/>
        <sz val="10"/>
        <color rgb="FF1155CC"/>
        <rFont val="Arial"/>
        <family val="2"/>
      </rPr>
      <t>C04352</t>
    </r>
  </si>
  <si>
    <r>
      <rPr>
        <u/>
        <sz val="11"/>
        <color rgb="FF1155CC"/>
        <rFont val="Arial"/>
        <family val="2"/>
        <scheme val="minor"/>
      </rPr>
      <t>C01134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</si>
  <si>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C01134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</si>
  <si>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4.1.1.36</t>
    </r>
  </si>
  <si>
    <r>
      <rPr>
        <u/>
        <sz val="10"/>
        <color rgb="FF1155CC"/>
        <rFont val="Arial"/>
        <family val="2"/>
      </rPr>
      <t>C01302</t>
    </r>
  </si>
  <si>
    <r>
      <rPr>
        <u/>
        <sz val="10"/>
        <color rgb="FF1155CC"/>
        <rFont val="Arial"/>
        <family val="2"/>
      </rPr>
      <t>C01302</t>
    </r>
  </si>
  <si>
    <r>
      <rPr>
        <u/>
        <sz val="11"/>
        <color rgb="FF1155CC"/>
        <rFont val="Arial"/>
        <family val="2"/>
        <scheme val="minor"/>
      </rPr>
      <t>C03506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</si>
  <si>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C03506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</si>
  <si>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4.1.1.48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</si>
  <si>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</si>
  <si>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</si>
  <si>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</si>
  <si>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</si>
  <si>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4.1.1.49</t>
    </r>
  </si>
  <si>
    <r>
      <rPr>
        <u/>
        <sz val="10"/>
        <color rgb="FF1155CC"/>
        <rFont val="Arial"/>
        <family val="2"/>
      </rPr>
      <t>C06010</t>
    </r>
  </si>
  <si>
    <r>
      <rPr>
        <u/>
        <sz val="10"/>
        <color rgb="FF1155CC"/>
        <rFont val="Arial"/>
        <family val="2"/>
      </rPr>
      <t>C06010</t>
    </r>
  </si>
  <si>
    <r>
      <rPr>
        <u/>
        <sz val="11"/>
        <color rgb="FF1155CC"/>
        <rFont val="Arial"/>
        <family val="2"/>
        <scheme val="minor"/>
      </rPr>
      <t>C00810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</si>
  <si>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C00810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</si>
  <si>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4.1.1.5</t>
    </r>
  </si>
  <si>
    <r>
      <rPr>
        <u/>
        <sz val="11"/>
        <color rgb="FF1155CC"/>
        <rFont val="Arial"/>
        <family val="2"/>
        <scheme val="minor"/>
      </rPr>
      <t>C14899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</si>
  <si>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C14899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</si>
  <si>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C03291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</si>
  <si>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C03291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</si>
  <si>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monospace, serif"/>
      </rPr>
      <t>4.1.1.85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</si>
  <si>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</si>
  <si>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</si>
  <si>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</si>
  <si>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</si>
  <si>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</si>
  <si>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</si>
  <si>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</si>
  <si>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</si>
  <si>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</si>
  <si>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</si>
  <si>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</si>
  <si>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</si>
  <si>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C00084</t>
    </r>
  </si>
  <si>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C00084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</si>
  <si>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</si>
  <si>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</si>
  <si>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</si>
  <si>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</si>
  <si>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</si>
  <si>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</si>
  <si>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</si>
  <si>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</si>
  <si>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</si>
  <si>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</si>
  <si>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4.1.2.4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</si>
  <si>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C00067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</si>
  <si>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C00067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</si>
  <si>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</si>
  <si>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</si>
  <si>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monospace, serif"/>
      </rPr>
      <t>4.1.2.43</t>
    </r>
  </si>
  <si>
    <r>
      <rPr>
        <u/>
        <sz val="10"/>
        <color rgb="FF1155CC"/>
        <rFont val="Arial"/>
        <family val="2"/>
      </rPr>
      <t>C00158</t>
    </r>
  </si>
  <si>
    <r>
      <rPr>
        <u/>
        <sz val="10"/>
        <color rgb="FF1155CC"/>
        <rFont val="Arial"/>
        <family val="2"/>
      </rPr>
      <t>C00158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</si>
  <si>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</si>
  <si>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</si>
  <si>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0"/>
        <color rgb="FF1155CC"/>
        <rFont val="monospace, serif"/>
      </rPr>
      <t>4.1.3.6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</si>
  <si>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</si>
  <si>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</si>
  <si>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</si>
  <si>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</si>
  <si>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4.2.1.11</t>
    </r>
  </si>
  <si>
    <r>
      <rPr>
        <u/>
        <sz val="11"/>
        <color rgb="FF1155CC"/>
        <rFont val="Arial"/>
        <family val="2"/>
        <scheme val="minor"/>
      </rPr>
      <t>C02730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</si>
  <si>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</si>
  <si>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C05817</t>
    </r>
  </si>
  <si>
    <r>
      <rPr>
        <u/>
        <sz val="10"/>
        <color rgb="FF1155CC"/>
        <rFont val="Arial"/>
        <family val="2"/>
      </rPr>
      <t>C05817</t>
    </r>
  </si>
  <si>
    <r>
      <rPr>
        <u/>
        <sz val="10"/>
        <color rgb="FF1155CC"/>
        <rFont val="monospace, serif"/>
      </rPr>
      <t>4.2.1.11</t>
    </r>
  </si>
  <si>
    <r>
      <rPr>
        <u/>
        <sz val="10"/>
        <color rgb="FF1155CC"/>
        <rFont val="Arial"/>
        <family val="2"/>
      </rPr>
      <t>C03356</t>
    </r>
  </si>
  <si>
    <r>
      <rPr>
        <u/>
        <sz val="10"/>
        <color rgb="FF1155CC"/>
        <rFont val="Arial"/>
        <family val="2"/>
      </rPr>
      <t>C03356</t>
    </r>
  </si>
  <si>
    <r>
      <rPr>
        <u/>
        <sz val="11"/>
        <color rgb="FF1155CC"/>
        <rFont val="Arial"/>
        <family val="2"/>
        <scheme val="minor"/>
      </rPr>
      <t>C04309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</si>
  <si>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C04309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</si>
  <si>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4.2.1.113</t>
    </r>
  </si>
  <si>
    <r>
      <rPr>
        <u/>
        <sz val="11"/>
        <color rgb="FF1155CC"/>
        <rFont val="Arial"/>
        <family val="2"/>
        <scheme val="minor"/>
      </rPr>
      <t>C00256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C00357</t>
    </r>
  </si>
  <si>
    <r>
      <rPr>
        <u/>
        <sz val="11"/>
        <color rgb="FF1155CC"/>
        <rFont val="Arial"/>
        <family val="2"/>
        <scheme val="minor"/>
      </rPr>
      <t>C00256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C00357</t>
    </r>
  </si>
  <si>
    <r>
      <rPr>
        <u/>
        <sz val="11"/>
        <color rgb="FF1155CC"/>
        <rFont val="Arial"/>
        <family val="2"/>
        <scheme val="minor"/>
      </rPr>
      <t>C16698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</si>
  <si>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C16698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</si>
  <si>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4.2.1.126</t>
    </r>
  </si>
  <si>
    <r>
      <rPr>
        <u/>
        <sz val="10"/>
        <color rgb="FF1155CC"/>
        <rFont val="Arial"/>
        <family val="2"/>
      </rPr>
      <t>C04666</t>
    </r>
  </si>
  <si>
    <r>
      <rPr>
        <u/>
        <sz val="10"/>
        <color rgb="FF1155CC"/>
        <rFont val="Arial"/>
        <family val="2"/>
      </rPr>
      <t>C04666</t>
    </r>
  </si>
  <si>
    <r>
      <rPr>
        <u/>
        <sz val="11"/>
        <color rgb="FF1155CC"/>
        <rFont val="Arial"/>
        <family val="2"/>
        <scheme val="minor"/>
      </rPr>
      <t>C01267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</si>
  <si>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C01267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</si>
  <si>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4.2.1.19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</si>
  <si>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</si>
  <si>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</si>
  <si>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</si>
  <si>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</si>
  <si>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monospace, serif"/>
      </rPr>
      <t>4.2.1.2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</si>
  <si>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C00463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</si>
  <si>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C00463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</si>
  <si>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</si>
  <si>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</si>
  <si>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</si>
  <si>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C03506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</si>
  <si>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C03506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</si>
  <si>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</si>
  <si>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</si>
  <si>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</si>
  <si>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0"/>
        <color rgb="FF1155CC"/>
        <rFont val="Arial"/>
        <family val="2"/>
      </rPr>
      <t>C00691</t>
    </r>
  </si>
  <si>
    <r>
      <rPr>
        <u/>
        <sz val="10"/>
        <color rgb="FF1155CC"/>
        <rFont val="Arial"/>
        <family val="2"/>
      </rPr>
      <t>C00691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</si>
  <si>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</si>
  <si>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</si>
  <si>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4.2.1.20</t>
    </r>
  </si>
  <si>
    <r>
      <rPr>
        <u/>
        <sz val="10"/>
        <color rgb="FF1155CC"/>
        <rFont val="Arial"/>
        <family val="2"/>
      </rPr>
      <t>C03506</t>
    </r>
  </si>
  <si>
    <r>
      <rPr>
        <u/>
        <sz val="10"/>
        <color rgb="FF1155CC"/>
        <rFont val="Arial"/>
        <family val="2"/>
      </rPr>
      <t>C03506</t>
    </r>
  </si>
  <si>
    <r>
      <rPr>
        <u/>
        <sz val="11"/>
        <color rgb="FF1155CC"/>
        <rFont val="Arial"/>
        <family val="2"/>
        <scheme val="minor"/>
      </rPr>
      <t>C00463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</si>
  <si>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C00463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</si>
  <si>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0"/>
        <color rgb="FF1155CC"/>
        <rFont val="monospace, serif"/>
      </rPr>
      <t>4.2.1.44</t>
    </r>
  </si>
  <si>
    <r>
      <rPr>
        <u/>
        <sz val="10"/>
        <color rgb="FF1155CC"/>
        <rFont val="Arial"/>
        <family val="2"/>
      </rPr>
      <t>C03195</t>
    </r>
  </si>
  <si>
    <r>
      <rPr>
        <u/>
        <sz val="10"/>
        <color rgb="FF1155CC"/>
        <rFont val="Arial"/>
        <family val="2"/>
      </rPr>
      <t>C03195</t>
    </r>
  </si>
  <si>
    <r>
      <rPr>
        <u/>
        <sz val="11"/>
        <color rgb="FF1155CC"/>
        <rFont val="Arial"/>
        <family val="2"/>
        <scheme val="minor"/>
      </rPr>
      <t>C00712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</si>
  <si>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C00712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</si>
  <si>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4.2.1.53</t>
    </r>
  </si>
  <si>
    <r>
      <rPr>
        <u/>
        <sz val="10"/>
        <color rgb="FF1155CC"/>
        <rFont val="Arial"/>
        <family val="2"/>
      </rPr>
      <t>C01271</t>
    </r>
  </si>
  <si>
    <r>
      <rPr>
        <u/>
        <sz val="10"/>
        <color rgb="FF1155CC"/>
        <rFont val="Arial"/>
        <family val="2"/>
      </rPr>
      <t>C01271</t>
    </r>
  </si>
  <si>
    <r>
      <rPr>
        <u/>
        <sz val="11"/>
        <color rgb="FF1155CC"/>
        <rFont val="Arial"/>
        <family val="2"/>
        <scheme val="minor"/>
      </rPr>
      <t>C00693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</si>
  <si>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C00693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</si>
  <si>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C01102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</si>
  <si>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C01102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</si>
  <si>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</si>
  <si>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</si>
  <si>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Arial"/>
        <family val="2"/>
      </rPr>
      <t>C04618</t>
    </r>
  </si>
  <si>
    <r>
      <rPr>
        <u/>
        <sz val="10"/>
        <color rgb="FF1155CC"/>
        <rFont val="Arial"/>
        <family val="2"/>
      </rPr>
      <t>C04618</t>
    </r>
  </si>
  <si>
    <r>
      <rPr>
        <u/>
        <sz val="11"/>
        <color rgb="FF1155CC"/>
        <rFont val="Arial"/>
        <family val="2"/>
        <scheme val="minor"/>
      </rPr>
      <t>C04246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</si>
  <si>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C04246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</si>
  <si>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C04619</t>
    </r>
  </si>
  <si>
    <r>
      <rPr>
        <u/>
        <sz val="10"/>
        <color rgb="FF1155CC"/>
        <rFont val="Arial"/>
        <family val="2"/>
      </rPr>
      <t>C04619</t>
    </r>
  </si>
  <si>
    <r>
      <rPr>
        <u/>
        <sz val="11"/>
        <color rgb="FF1155CC"/>
        <rFont val="Arial"/>
        <family val="2"/>
        <scheme val="minor"/>
      </rPr>
      <t>C05754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</si>
  <si>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C05754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</si>
  <si>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C04620</t>
    </r>
  </si>
  <si>
    <r>
      <rPr>
        <u/>
        <sz val="10"/>
        <color rgb="FF1155CC"/>
        <rFont val="Arial"/>
        <family val="2"/>
      </rPr>
      <t>C04620</t>
    </r>
  </si>
  <si>
    <r>
      <rPr>
        <u/>
        <sz val="11"/>
        <color rgb="FF1155CC"/>
        <rFont val="Arial"/>
        <family val="2"/>
        <scheme val="minor"/>
      </rPr>
      <t>C05751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</si>
  <si>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C05751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</si>
  <si>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C04633</t>
    </r>
  </si>
  <si>
    <r>
      <rPr>
        <u/>
        <sz val="10"/>
        <color rgb="FF1155CC"/>
        <rFont val="Arial"/>
        <family val="2"/>
      </rPr>
      <t>C04633</t>
    </r>
  </si>
  <si>
    <r>
      <rPr>
        <u/>
        <sz val="11"/>
        <color rgb="FF1155CC"/>
        <rFont val="Arial"/>
        <family val="2"/>
        <scheme val="minor"/>
      </rPr>
      <t>C05763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</si>
  <si>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</si>
  <si>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C04688</t>
    </r>
  </si>
  <si>
    <r>
      <rPr>
        <u/>
        <sz val="10"/>
        <color rgb="FF1155CC"/>
        <rFont val="Arial"/>
        <family val="2"/>
      </rPr>
      <t>C04688</t>
    </r>
  </si>
  <si>
    <r>
      <rPr>
        <u/>
        <sz val="11"/>
        <color rgb="FF1155CC"/>
        <rFont val="Arial"/>
        <family val="2"/>
        <scheme val="minor"/>
      </rPr>
      <t>C05760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</si>
  <si>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</si>
  <si>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C05747</t>
    </r>
  </si>
  <si>
    <r>
      <rPr>
        <u/>
        <sz val="10"/>
        <color rgb="FF1155CC"/>
        <rFont val="Arial"/>
        <family val="2"/>
      </rPr>
      <t>C05747</t>
    </r>
  </si>
  <si>
    <r>
      <rPr>
        <u/>
        <sz val="11"/>
        <color rgb="FF1155CC"/>
        <rFont val="Arial"/>
        <family val="2"/>
        <scheme val="minor"/>
      </rPr>
      <t>C05748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</si>
  <si>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C05748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</si>
  <si>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C05757</t>
    </r>
  </si>
  <si>
    <r>
      <rPr>
        <u/>
        <sz val="10"/>
        <color rgb="FF1155CC"/>
        <rFont val="Arial"/>
        <family val="2"/>
      </rPr>
      <t>C05757</t>
    </r>
  </si>
  <si>
    <r>
      <rPr>
        <u/>
        <sz val="11"/>
        <color rgb="FF1155CC"/>
        <rFont val="Arial"/>
        <family val="2"/>
        <scheme val="minor"/>
      </rPr>
      <t>C05758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</si>
  <si>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</si>
  <si>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C20373</t>
    </r>
  </si>
  <si>
    <r>
      <rPr>
        <u/>
        <sz val="10"/>
        <color rgb="FF1155CC"/>
        <rFont val="Arial"/>
        <family val="2"/>
      </rPr>
      <t>C20373</t>
    </r>
  </si>
  <si>
    <r>
      <rPr>
        <u/>
        <sz val="11"/>
        <color rgb="FF1155CC"/>
        <rFont val="Arial"/>
        <family val="2"/>
        <scheme val="minor"/>
      </rPr>
      <t>C20374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</si>
  <si>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C20374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</si>
  <si>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C20377</t>
    </r>
  </si>
  <si>
    <r>
      <rPr>
        <u/>
        <sz val="10"/>
        <color rgb="FF1155CC"/>
        <rFont val="Arial"/>
        <family val="2"/>
      </rPr>
      <t>C20377</t>
    </r>
  </si>
  <si>
    <r>
      <rPr>
        <u/>
        <sz val="11"/>
        <color rgb="FF1155CC"/>
        <rFont val="Arial"/>
        <family val="2"/>
        <scheme val="minor"/>
      </rPr>
      <t>C20378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</si>
  <si>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C20378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</si>
  <si>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4.2.3.1</t>
    </r>
  </si>
  <si>
    <r>
      <rPr>
        <u/>
        <sz val="11"/>
        <color rgb="FF1155CC"/>
        <rFont val="Arial"/>
        <family val="2"/>
        <scheme val="minor"/>
      </rPr>
      <t>C06055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</si>
  <si>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C06055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</si>
  <si>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C06056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</si>
  <si>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C06056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</si>
  <si>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4.2.99.18</t>
    </r>
  </si>
  <si>
    <r>
      <rPr>
        <u/>
        <sz val="10"/>
        <color rgb="FF1155CC"/>
        <rFont val="Arial"/>
        <family val="2"/>
      </rPr>
      <t>C00065</t>
    </r>
  </si>
  <si>
    <r>
      <rPr>
        <u/>
        <sz val="10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</si>
  <si>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</si>
  <si>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</si>
  <si>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</si>
  <si>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C0006</t>
    </r>
    <r>
      <rPr>
        <sz val="11"/>
        <rFont val="Arial"/>
        <family val="2"/>
        <scheme val="minor"/>
      </rPr>
      <t>5</t>
    </r>
  </si>
  <si>
    <r>
      <rPr>
        <u/>
        <sz val="11"/>
        <color rgb="FF1155CC"/>
        <rFont val="Arial"/>
        <family val="2"/>
        <scheme val="minor"/>
      </rPr>
      <t>C0006</t>
    </r>
    <r>
      <rPr>
        <sz val="11"/>
        <rFont val="Arial"/>
        <family val="2"/>
        <scheme val="minor"/>
      </rPr>
      <t>5</t>
    </r>
  </si>
  <si>
    <r>
      <rPr>
        <u/>
        <sz val="11"/>
        <color rgb="FF1155CC"/>
        <rFont val="Arial"/>
        <family val="2"/>
        <scheme val="minor"/>
      </rPr>
      <t>C02218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</si>
  <si>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C02218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</si>
  <si>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</si>
  <si>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C02218</t>
    </r>
  </si>
  <si>
    <r>
      <rPr>
        <u/>
        <sz val="10"/>
        <color rgb="FF1155CC"/>
        <rFont val="Arial"/>
        <family val="2"/>
      </rPr>
      <t>C02218</t>
    </r>
  </si>
  <si>
    <r>
      <rPr>
        <u/>
        <sz val="10"/>
        <color rgb="FF1155CC"/>
        <rFont val="Arial"/>
        <family val="2"/>
      </rPr>
      <t>C20904</t>
    </r>
  </si>
  <si>
    <r>
      <rPr>
        <u/>
        <sz val="10"/>
        <color rgb="FF1155CC"/>
        <rFont val="Arial"/>
        <family val="2"/>
      </rPr>
      <t>C20904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</si>
  <si>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</si>
  <si>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C03406</t>
    </r>
  </si>
  <si>
    <r>
      <rPr>
        <u/>
        <sz val="10"/>
        <color rgb="FF1155CC"/>
        <rFont val="Arial"/>
        <family val="2"/>
      </rPr>
      <t>C03406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</si>
  <si>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C00062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</si>
  <si>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C00062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</si>
  <si>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</si>
  <si>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Arial"/>
        <family val="2"/>
      </rPr>
      <t>C05167</t>
    </r>
  </si>
  <si>
    <r>
      <rPr>
        <u/>
        <sz val="10"/>
        <color rgb="FF1155CC"/>
        <rFont val="Arial"/>
        <family val="2"/>
      </rPr>
      <t>C05167</t>
    </r>
  </si>
  <si>
    <r>
      <rPr>
        <u/>
        <sz val="11"/>
        <color rgb="FF1155CC"/>
        <rFont val="Arial"/>
        <family val="2"/>
        <scheme val="minor"/>
      </rPr>
      <t>C00161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</si>
  <si>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C00161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</si>
  <si>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4.3.1.17</t>
    </r>
  </si>
  <si>
    <r>
      <rPr>
        <u/>
        <sz val="11"/>
        <color rgb="FF1155CC"/>
        <rFont val="Arial"/>
        <family val="2"/>
        <scheme val="minor"/>
      </rPr>
      <t>C20904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</si>
  <si>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C20904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</si>
  <si>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</si>
  <si>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</si>
  <si>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4.3.2.10</t>
    </r>
  </si>
  <si>
    <r>
      <rPr>
        <u/>
        <sz val="10"/>
        <color rgb="FF1155CC"/>
        <rFont val="Arial"/>
        <family val="2"/>
      </rPr>
      <t>C03794</t>
    </r>
  </si>
  <si>
    <r>
      <rPr>
        <u/>
        <sz val="10"/>
        <color rgb="FF1155CC"/>
        <rFont val="Arial"/>
        <family val="2"/>
      </rPr>
      <t>C03794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</si>
  <si>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</si>
  <si>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</si>
  <si>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</si>
  <si>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</si>
  <si>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</si>
  <si>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</si>
  <si>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</si>
  <si>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4.3.2.10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</si>
  <si>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</si>
  <si>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</si>
  <si>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</si>
  <si>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</si>
  <si>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4.3.2.2</t>
    </r>
  </si>
  <si>
    <r>
      <rPr>
        <u/>
        <sz val="11"/>
        <color rgb="FF1155CC"/>
        <rFont val="Arial"/>
        <family val="2"/>
        <scheme val="minor"/>
      </rPr>
      <t>C00441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</si>
  <si>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C00441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</si>
  <si>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C20258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</si>
  <si>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C20258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</si>
  <si>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</si>
  <si>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Arial"/>
        <family val="2"/>
      </rPr>
      <t>C04823</t>
    </r>
  </si>
  <si>
    <r>
      <rPr>
        <u/>
        <sz val="10"/>
        <color rgb="FF1155CC"/>
        <rFont val="Arial"/>
        <family val="2"/>
      </rPr>
      <t>C04823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</si>
  <si>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C04677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</si>
  <si>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C04677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</si>
  <si>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</si>
  <si>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Arial"/>
        <family val="2"/>
      </rPr>
      <t>C22395</t>
    </r>
  </si>
  <si>
    <r>
      <rPr>
        <u/>
        <sz val="10"/>
        <color rgb="FF1155CC"/>
        <rFont val="Arial"/>
        <family val="2"/>
      </rPr>
      <t>C22395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</si>
  <si>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C00122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</si>
  <si>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C00122</t>
    </r>
  </si>
  <si>
    <r>
      <rPr>
        <u/>
        <sz val="10"/>
        <color rgb="FF1155CC"/>
        <rFont val="monospace, serif"/>
      </rPr>
      <t>4.3.3.7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</si>
  <si>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</si>
  <si>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</si>
  <si>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</si>
  <si>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C00145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</si>
  <si>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</si>
  <si>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</si>
  <si>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</si>
  <si>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C00283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</si>
  <si>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C00283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</si>
  <si>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</si>
  <si>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C00491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</si>
  <si>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</si>
  <si>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C01962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</si>
  <si>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C01962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</si>
  <si>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</si>
  <si>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C02291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</si>
  <si>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C02291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</si>
  <si>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</si>
  <si>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</si>
  <si>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</si>
  <si>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C02749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</si>
  <si>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</si>
  <si>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</si>
  <si>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C00812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</si>
  <si>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</si>
  <si>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</si>
  <si>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</si>
  <si>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</si>
  <si>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C01336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</si>
  <si>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4.4.1.13</t>
    </r>
  </si>
  <si>
    <r>
      <rPr>
        <u/>
        <sz val="10"/>
        <color rgb="FF1155CC"/>
        <rFont val="Arial"/>
        <family val="2"/>
      </rPr>
      <t>C03539</t>
    </r>
  </si>
  <si>
    <r>
      <rPr>
        <u/>
        <sz val="10"/>
        <color rgb="FF1155CC"/>
        <rFont val="Arial"/>
        <family val="2"/>
      </rPr>
      <t>C03539</t>
    </r>
  </si>
  <si>
    <r>
      <rPr>
        <u/>
        <sz val="11"/>
        <color rgb="FF1155CC"/>
        <rFont val="Arial"/>
        <family val="2"/>
        <scheme val="minor"/>
      </rPr>
      <t>C11838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C00155</t>
    </r>
  </si>
  <si>
    <r>
      <rPr>
        <u/>
        <sz val="11"/>
        <color rgb="FF1155CC"/>
        <rFont val="Arial"/>
        <family val="2"/>
        <scheme val="minor"/>
      </rPr>
      <t>C11838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C00155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</si>
  <si>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</si>
  <si>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</si>
  <si>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C05689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</si>
  <si>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C05703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</si>
  <si>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C05703</t>
    </r>
  </si>
  <si>
    <r>
      <rPr>
        <u/>
        <sz val="10"/>
        <color rgb="FF1155CC"/>
        <rFont val="monospace, serif"/>
      </rPr>
      <t>4.4.1.13</t>
    </r>
  </si>
  <si>
    <r>
      <rPr>
        <u/>
        <sz val="11"/>
        <color rgb="FF1155CC"/>
        <rFont val="Arial"/>
        <family val="2"/>
        <scheme val="minor"/>
      </rPr>
      <t>C05699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</si>
  <si>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C05699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</si>
  <si>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C05698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</si>
  <si>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C05698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</si>
  <si>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0"/>
        <color rgb="FF1155CC"/>
        <rFont val="monospace, serif"/>
      </rPr>
      <t>4.4.1.21</t>
    </r>
  </si>
  <si>
    <r>
      <rPr>
        <u/>
        <sz val="10"/>
        <color rgb="FF1155CC"/>
        <rFont val="Arial"/>
        <family val="2"/>
      </rPr>
      <t>C00133</t>
    </r>
  </si>
  <si>
    <r>
      <rPr>
        <u/>
        <sz val="10"/>
        <color rgb="FF1155CC"/>
        <rFont val="Arial"/>
        <family val="2"/>
      </rPr>
      <t>C00133</t>
    </r>
  </si>
  <si>
    <r>
      <rPr>
        <u/>
        <sz val="10"/>
        <color rgb="FF1155CC"/>
        <rFont val="monospace, serif"/>
      </rPr>
      <t>5.1.1.1</t>
    </r>
  </si>
  <si>
    <r>
      <rPr>
        <u/>
        <sz val="10"/>
        <color rgb="FF1155CC"/>
        <rFont val="Arial"/>
        <family val="2"/>
      </rPr>
      <t>C00025</t>
    </r>
  </si>
  <si>
    <r>
      <rPr>
        <u/>
        <sz val="10"/>
        <color rgb="FF1155CC"/>
        <rFont val="Arial"/>
        <family val="2"/>
      </rPr>
      <t>C00025</t>
    </r>
  </si>
  <si>
    <r>
      <rPr>
        <u/>
        <sz val="10"/>
        <color rgb="FF1155CC"/>
        <rFont val="Arial"/>
        <family val="2"/>
      </rPr>
      <t>C00217</t>
    </r>
  </si>
  <si>
    <r>
      <rPr>
        <u/>
        <sz val="10"/>
        <color rgb="FF1155CC"/>
        <rFont val="Arial"/>
        <family val="2"/>
      </rPr>
      <t>C00217</t>
    </r>
  </si>
  <si>
    <r>
      <rPr>
        <u/>
        <sz val="10"/>
        <color rgb="FF1155CC"/>
        <rFont val="monospace, serif"/>
      </rPr>
      <t>5.1.1.3</t>
    </r>
  </si>
  <si>
    <r>
      <rPr>
        <u/>
        <sz val="10"/>
        <color rgb="FF1155CC"/>
        <rFont val="Arial"/>
        <family val="2"/>
      </rPr>
      <t>C00666</t>
    </r>
  </si>
  <si>
    <r>
      <rPr>
        <u/>
        <sz val="10"/>
        <color rgb="FF1155CC"/>
        <rFont val="Arial"/>
        <family val="2"/>
      </rPr>
      <t>C00666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</si>
  <si>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</si>
  <si>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</si>
  <si>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monospace, serif"/>
      </rPr>
      <t>5.1.1.7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</si>
  <si>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</si>
  <si>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</si>
  <si>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</si>
  <si>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</si>
  <si>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monospace, serif"/>
      </rPr>
      <t>5.1.3.1</t>
    </r>
  </si>
  <si>
    <r>
      <rPr>
        <u/>
        <sz val="10"/>
        <color rgb="FF1155CC"/>
        <rFont val="Arial"/>
        <family val="2"/>
      </rPr>
      <t>C00029</t>
    </r>
  </si>
  <si>
    <r>
      <rPr>
        <u/>
        <sz val="10"/>
        <color rgb="FF1155CC"/>
        <rFont val="Arial"/>
        <family val="2"/>
      </rPr>
      <t>C00029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</si>
  <si>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</si>
  <si>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</si>
  <si>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</si>
  <si>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C00043</t>
    </r>
  </si>
  <si>
    <r>
      <rPr>
        <u/>
        <sz val="10"/>
        <color rgb="FF1155CC"/>
        <rFont val="Arial"/>
        <family val="2"/>
      </rPr>
      <t>C00043</t>
    </r>
  </si>
  <si>
    <r>
      <rPr>
        <u/>
        <sz val="10"/>
        <color rgb="FF1155CC"/>
        <rFont val="Arial"/>
        <family val="2"/>
      </rPr>
      <t>C00203</t>
    </r>
  </si>
  <si>
    <r>
      <rPr>
        <u/>
        <sz val="10"/>
        <color rgb="FF1155CC"/>
        <rFont val="Arial"/>
        <family val="2"/>
      </rPr>
      <t>C00203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</si>
  <si>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</si>
  <si>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C00842</t>
    </r>
  </si>
  <si>
    <r>
      <rPr>
        <u/>
        <sz val="10"/>
        <color rgb="FF1155CC"/>
        <rFont val="Arial"/>
        <family val="2"/>
      </rPr>
      <t>C00842</t>
    </r>
  </si>
  <si>
    <r>
      <rPr>
        <u/>
        <sz val="10"/>
        <color rgb="FF1155CC"/>
        <rFont val="Arial"/>
        <family val="2"/>
      </rPr>
      <t>C02097</t>
    </r>
  </si>
  <si>
    <r>
      <rPr>
        <u/>
        <sz val="10"/>
        <color rgb="FF1155CC"/>
        <rFont val="Arial"/>
        <family val="2"/>
      </rPr>
      <t>C02097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</si>
  <si>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</si>
  <si>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Arial"/>
        <family val="2"/>
      </rPr>
      <t>C01101</t>
    </r>
  </si>
  <si>
    <r>
      <rPr>
        <u/>
        <sz val="10"/>
        <color rgb="FF1155CC"/>
        <rFont val="Arial"/>
        <family val="2"/>
      </rPr>
      <t>C01101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</si>
  <si>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</si>
  <si>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</si>
  <si>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monospace, serif"/>
      </rPr>
      <t>5.1.3.4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</si>
  <si>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</si>
  <si>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</si>
  <si>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</si>
  <si>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</si>
  <si>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</si>
  <si>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Arial"/>
        <family val="2"/>
      </rPr>
      <t>C00118</t>
    </r>
  </si>
  <si>
    <r>
      <rPr>
        <u/>
        <sz val="10"/>
        <color rgb="FF1155CC"/>
        <rFont val="Arial"/>
        <family val="2"/>
      </rPr>
      <t>C00118</t>
    </r>
  </si>
  <si>
    <r>
      <rPr>
        <u/>
        <sz val="10"/>
        <color rgb="FF1155CC"/>
        <rFont val="Arial"/>
        <family val="2"/>
      </rPr>
      <t>C00111</t>
    </r>
  </si>
  <si>
    <r>
      <rPr>
        <u/>
        <sz val="10"/>
        <color rgb="FF1155CC"/>
        <rFont val="Arial"/>
        <family val="2"/>
      </rPr>
      <t>C00111</t>
    </r>
  </si>
  <si>
    <r>
      <rPr>
        <u/>
        <sz val="10"/>
        <color rgb="FF1155CC"/>
        <rFont val="monospace, serif"/>
      </rPr>
      <t>5.3.1.1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</si>
  <si>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</si>
  <si>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</si>
  <si>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0"/>
        <color rgb="FF1155CC"/>
        <rFont val="Arial"/>
        <family val="2"/>
      </rPr>
      <t>C04916</t>
    </r>
  </si>
  <si>
    <r>
      <rPr>
        <u/>
        <sz val="10"/>
        <color rgb="FF1155CC"/>
        <rFont val="Arial"/>
        <family val="2"/>
      </rPr>
      <t>C04916</t>
    </r>
  </si>
  <si>
    <r>
      <rPr>
        <u/>
        <sz val="10"/>
        <color rgb="FF1155CC"/>
        <rFont val="monospace, serif"/>
      </rPr>
      <t>5.3.1.16</t>
    </r>
  </si>
  <si>
    <r>
      <rPr>
        <u/>
        <sz val="10"/>
        <color rgb="FF1155CC"/>
        <rFont val="Arial"/>
        <family val="2"/>
      </rPr>
      <t>C01113</t>
    </r>
  </si>
  <si>
    <r>
      <rPr>
        <u/>
        <sz val="10"/>
        <color rgb="FF1155CC"/>
        <rFont val="Arial"/>
        <family val="2"/>
      </rPr>
      <t>C01113</t>
    </r>
  </si>
  <si>
    <r>
      <rPr>
        <u/>
        <sz val="10"/>
        <color rgb="FF1155CC"/>
        <rFont val="Arial"/>
        <family val="2"/>
      </rPr>
      <t>C01097</t>
    </r>
  </si>
  <si>
    <r>
      <rPr>
        <u/>
        <sz val="10"/>
        <color rgb="FF1155CC"/>
        <rFont val="Arial"/>
        <family val="2"/>
      </rPr>
      <t>C01097</t>
    </r>
  </si>
  <si>
    <r>
      <rPr>
        <u/>
        <sz val="10"/>
        <color rgb="FF1155CC"/>
        <rFont val="monospace, serif"/>
      </rPr>
      <t>5.3.1.26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</si>
  <si>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</si>
  <si>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</si>
  <si>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</si>
  <si>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</si>
  <si>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</si>
  <si>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</si>
  <si>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</si>
  <si>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</si>
  <si>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</si>
  <si>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</si>
  <si>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</si>
  <si>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</si>
  <si>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0"/>
        <color rgb="FF1155CC"/>
        <rFont val="Arial"/>
        <family val="2"/>
      </rPr>
      <t>C06892</t>
    </r>
  </si>
  <si>
    <r>
      <rPr>
        <u/>
        <sz val="10"/>
        <color rgb="FF1155CC"/>
        <rFont val="Arial"/>
        <family val="2"/>
      </rPr>
      <t>C06892</t>
    </r>
  </si>
  <si>
    <r>
      <rPr>
        <u/>
        <sz val="10"/>
        <color rgb="FF1155CC"/>
        <rFont val="monospace, serif"/>
      </rPr>
      <t>5.3.1.30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</si>
  <si>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</si>
  <si>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</si>
  <si>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</si>
  <si>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</si>
  <si>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</si>
  <si>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</si>
  <si>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</si>
  <si>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</si>
  <si>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</si>
  <si>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</si>
  <si>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Arial"/>
        <family val="2"/>
      </rPr>
      <t>C02962</t>
    </r>
  </si>
  <si>
    <r>
      <rPr>
        <u/>
        <sz val="10"/>
        <color rgb="FF1155CC"/>
        <rFont val="Arial"/>
        <family val="2"/>
      </rPr>
      <t>C02962</t>
    </r>
  </si>
  <si>
    <r>
      <rPr>
        <u/>
        <sz val="10"/>
        <color rgb="FF1155CC"/>
        <rFont val="Arial"/>
        <family val="2"/>
      </rPr>
      <t>C18096</t>
    </r>
  </si>
  <si>
    <r>
      <rPr>
        <u/>
        <sz val="10"/>
        <color rgb="FF1155CC"/>
        <rFont val="Arial"/>
        <family val="2"/>
      </rPr>
      <t>C18096</t>
    </r>
  </si>
  <si>
    <r>
      <rPr>
        <u/>
        <sz val="10"/>
        <color rgb="FF1155CC"/>
        <rFont val="monospace, serif"/>
      </rPr>
      <t>5.3.1.8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</si>
  <si>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</si>
  <si>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</si>
  <si>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</si>
  <si>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</si>
  <si>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</si>
  <si>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</si>
  <si>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</si>
  <si>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</si>
  <si>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</si>
  <si>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</si>
  <si>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</si>
  <si>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</si>
  <si>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</si>
  <si>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</si>
  <si>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</si>
  <si>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</si>
  <si>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</si>
  <si>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</si>
  <si>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</si>
  <si>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</si>
  <si>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</si>
  <si>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</si>
  <si>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</si>
  <si>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</si>
  <si>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</si>
  <si>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</si>
  <si>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</si>
  <si>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</si>
  <si>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</si>
  <si>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</si>
  <si>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Arial"/>
        <family val="2"/>
      </rPr>
      <t>C02501</t>
    </r>
  </si>
  <si>
    <r>
      <rPr>
        <u/>
        <sz val="10"/>
        <color rgb="FF1155CC"/>
        <rFont val="Arial"/>
        <family val="2"/>
      </rPr>
      <t>C02501</t>
    </r>
  </si>
  <si>
    <r>
      <rPr>
        <u/>
        <sz val="10"/>
        <color rgb="FF1155CC"/>
        <rFont val="Arial"/>
        <family val="2"/>
      </rPr>
      <t>C03453</t>
    </r>
  </si>
  <si>
    <r>
      <rPr>
        <u/>
        <sz val="10"/>
        <color rgb="FF1155CC"/>
        <rFont val="Arial"/>
        <family val="2"/>
      </rPr>
      <t>C03453</t>
    </r>
  </si>
  <si>
    <r>
      <rPr>
        <u/>
        <sz val="10"/>
        <color rgb="FF1155CC"/>
        <rFont val="Arial"/>
        <family val="2"/>
      </rPr>
      <t>C00129</t>
    </r>
  </si>
  <si>
    <r>
      <rPr>
        <u/>
        <sz val="10"/>
        <color rgb="FF1155CC"/>
        <rFont val="Arial"/>
        <family val="2"/>
      </rPr>
      <t>C00129</t>
    </r>
  </si>
  <si>
    <r>
      <rPr>
        <u/>
        <sz val="10"/>
        <color rgb="FF1155CC"/>
        <rFont val="Arial"/>
        <family val="2"/>
      </rPr>
      <t>C00235</t>
    </r>
  </si>
  <si>
    <r>
      <rPr>
        <u/>
        <sz val="10"/>
        <color rgb="FF1155CC"/>
        <rFont val="Arial"/>
        <family val="2"/>
      </rPr>
      <t>C00235</t>
    </r>
  </si>
  <si>
    <r>
      <rPr>
        <u/>
        <sz val="10"/>
        <color rgb="FF1155CC"/>
        <rFont val="Arial"/>
        <family val="2"/>
      </rPr>
      <t>C07478</t>
    </r>
  </si>
  <si>
    <r>
      <rPr>
        <u/>
        <sz val="10"/>
        <color rgb="FF1155CC"/>
        <rFont val="Arial"/>
        <family val="2"/>
      </rPr>
      <t>C07478</t>
    </r>
  </si>
  <si>
    <r>
      <rPr>
        <u/>
        <sz val="10"/>
        <color rgb="FF1155CC"/>
        <rFont val="Arial"/>
        <family val="2"/>
      </rPr>
      <t>C07479</t>
    </r>
  </si>
  <si>
    <r>
      <rPr>
        <u/>
        <sz val="10"/>
        <color rgb="FF1155CC"/>
        <rFont val="Arial"/>
        <family val="2"/>
      </rPr>
      <t>C07479</t>
    </r>
  </si>
  <si>
    <r>
      <rPr>
        <u/>
        <sz val="10"/>
        <color rgb="FF1155CC"/>
        <rFont val="monospace, serif"/>
      </rPr>
      <t>5.3.3.2</t>
    </r>
  </si>
  <si>
    <r>
      <rPr>
        <u/>
        <sz val="10"/>
        <color rgb="FF1155CC"/>
        <rFont val="Arial"/>
        <family val="2"/>
      </rPr>
      <t>C06156</t>
    </r>
  </si>
  <si>
    <r>
      <rPr>
        <u/>
        <sz val="10"/>
        <color rgb="FF1155CC"/>
        <rFont val="Arial"/>
        <family val="2"/>
      </rPr>
      <t>C06156</t>
    </r>
  </si>
  <si>
    <r>
      <rPr>
        <u/>
        <sz val="10"/>
        <color rgb="FF1155CC"/>
        <rFont val="Arial"/>
        <family val="2"/>
      </rPr>
      <t>C00352</t>
    </r>
  </si>
  <si>
    <r>
      <rPr>
        <u/>
        <sz val="10"/>
        <color rgb="FF1155CC"/>
        <rFont val="Arial"/>
        <family val="2"/>
      </rPr>
      <t>C00352</t>
    </r>
  </si>
  <si>
    <r>
      <rPr>
        <u/>
        <sz val="10"/>
        <color rgb="FF1155CC"/>
        <rFont val="monospace, serif"/>
      </rPr>
      <t>5.4.2.10</t>
    </r>
  </si>
  <si>
    <r>
      <rPr>
        <u/>
        <sz val="11"/>
        <color rgb="FF1155CC"/>
        <rFont val="Arial"/>
        <family val="2"/>
        <scheme val="minor"/>
      </rPr>
      <t>C01159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</si>
  <si>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C01159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</si>
  <si>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C00197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C04262</t>
    </r>
  </si>
  <si>
    <r>
      <rPr>
        <u/>
        <sz val="11"/>
        <color rgb="FF1155CC"/>
        <rFont val="Arial"/>
        <family val="2"/>
        <scheme val="minor"/>
      </rPr>
      <t>C00197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C04262</t>
    </r>
  </si>
  <si>
    <r>
      <rPr>
        <u/>
        <sz val="10"/>
        <color rgb="FF1155CC"/>
        <rFont val="monospace, serif"/>
      </rPr>
      <t>5.4.2.11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</si>
  <si>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</si>
  <si>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</si>
  <si>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0"/>
        <color rgb="FF1155CC"/>
        <rFont val="Arial"/>
        <family val="2"/>
      </rPr>
      <t>C00197</t>
    </r>
  </si>
  <si>
    <r>
      <rPr>
        <u/>
        <sz val="10"/>
        <color rgb="FF1155CC"/>
        <rFont val="Arial"/>
        <family val="2"/>
      </rPr>
      <t>C00197</t>
    </r>
  </si>
  <si>
    <r>
      <rPr>
        <u/>
        <sz val="10"/>
        <color rgb="FF1155CC"/>
        <rFont val="monospace, serif"/>
      </rPr>
      <t>5.4.2.11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</si>
  <si>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</si>
  <si>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</si>
  <si>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</si>
  <si>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</si>
  <si>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monospace, serif"/>
      </rPr>
      <t>5.4.2.6</t>
    </r>
  </si>
  <si>
    <r>
      <rPr>
        <u/>
        <sz val="10"/>
        <color rgb="FF1155CC"/>
        <rFont val="Arial"/>
        <family val="2"/>
      </rPr>
      <t>C00620</t>
    </r>
  </si>
  <si>
    <r>
      <rPr>
        <u/>
        <sz val="10"/>
        <color rgb="FF1155CC"/>
        <rFont val="Arial"/>
        <family val="2"/>
      </rPr>
      <t>C00620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</si>
  <si>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</si>
  <si>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</si>
  <si>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monospace, serif"/>
      </rPr>
      <t>5.4.2.6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</si>
  <si>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</si>
  <si>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</si>
  <si>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</si>
  <si>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</si>
  <si>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monospace, serif"/>
      </rPr>
      <t>5.4.2.7</t>
    </r>
  </si>
  <si>
    <r>
      <rPr>
        <u/>
        <sz val="10"/>
        <color rgb="FF1155CC"/>
        <rFont val="Arial"/>
        <family val="2"/>
      </rPr>
      <t>C00672</t>
    </r>
  </si>
  <si>
    <r>
      <rPr>
        <u/>
        <sz val="10"/>
        <color rgb="FF1155CC"/>
        <rFont val="Arial"/>
        <family val="2"/>
      </rPr>
      <t>C00672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</si>
  <si>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</si>
  <si>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</si>
  <si>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0"/>
        <color rgb="FF1155CC"/>
        <rFont val="monospace, serif"/>
      </rPr>
      <t>5.4.2.7</t>
    </r>
  </si>
  <si>
    <r>
      <rPr>
        <u/>
        <sz val="10"/>
        <color rgb="FF1155CC"/>
        <rFont val="Arial"/>
        <family val="2"/>
      </rPr>
      <t>C00868</t>
    </r>
  </si>
  <si>
    <r>
      <rPr>
        <u/>
        <sz val="10"/>
        <color rgb="FF1155CC"/>
        <rFont val="Arial"/>
        <family val="2"/>
      </rPr>
      <t>C00868</t>
    </r>
  </si>
  <si>
    <r>
      <rPr>
        <u/>
        <sz val="10"/>
        <color rgb="FF1155CC"/>
        <rFont val="Arial"/>
        <family val="2"/>
      </rPr>
      <t>C02764</t>
    </r>
  </si>
  <si>
    <r>
      <rPr>
        <u/>
        <sz val="10"/>
        <color rgb="FF1155CC"/>
        <rFont val="Arial"/>
        <family val="2"/>
      </rPr>
      <t>C02764</t>
    </r>
  </si>
  <si>
    <r>
      <rPr>
        <u/>
        <sz val="10"/>
        <color rgb="FF1155CC"/>
        <rFont val="monospace, serif"/>
      </rPr>
      <t>5.4.99.12</t>
    </r>
  </si>
  <si>
    <r>
      <rPr>
        <u/>
        <sz val="10"/>
        <color rgb="FF1155CC"/>
        <rFont val="Arial"/>
        <family val="2"/>
      </rPr>
      <t>C15667</t>
    </r>
  </si>
  <si>
    <r>
      <rPr>
        <u/>
        <sz val="10"/>
        <color rgb="FF1155CC"/>
        <rFont val="Arial"/>
        <family val="2"/>
      </rPr>
      <t>C15667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</si>
  <si>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</si>
  <si>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</si>
  <si>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0"/>
        <color rgb="FF1155CC"/>
        <rFont val="monospace, serif"/>
      </rPr>
      <t>5.4.99.25</t>
    </r>
  </si>
  <si>
    <r>
      <rPr>
        <u/>
        <sz val="10"/>
        <color rgb="FF1155CC"/>
        <rFont val="Arial"/>
        <family val="2"/>
      </rPr>
      <t>C08353</t>
    </r>
  </si>
  <si>
    <r>
      <rPr>
        <u/>
        <sz val="10"/>
        <color rgb="FF1155CC"/>
        <rFont val="Arial"/>
        <family val="2"/>
      </rPr>
      <t>C08353</t>
    </r>
  </si>
  <si>
    <r>
      <rPr>
        <u/>
        <sz val="10"/>
        <color rgb="FF1155CC"/>
        <rFont val="Arial"/>
        <family val="2"/>
      </rPr>
      <t>C16639</t>
    </r>
  </si>
  <si>
    <r>
      <rPr>
        <u/>
        <sz val="10"/>
        <color rgb="FF1155CC"/>
        <rFont val="Arial"/>
        <family val="2"/>
      </rPr>
      <t>C16639</t>
    </r>
  </si>
  <si>
    <r>
      <rPr>
        <u/>
        <sz val="10"/>
        <color rgb="FF1155CC"/>
        <rFont val="monospace, serif"/>
      </rPr>
      <t>5.4.99.62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</si>
  <si>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</si>
  <si>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</si>
  <si>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0"/>
        <color rgb="FF1155CC"/>
        <rFont val="Arial"/>
        <family val="2"/>
      </rPr>
      <t>C03733</t>
    </r>
  </si>
  <si>
    <r>
      <rPr>
        <u/>
        <sz val="10"/>
        <color rgb="FF1155CC"/>
        <rFont val="Arial"/>
        <family val="2"/>
      </rPr>
      <t>C03733</t>
    </r>
  </si>
  <si>
    <r>
      <rPr>
        <u/>
        <sz val="10"/>
        <color rgb="FF1155CC"/>
        <rFont val="monospace, serif"/>
      </rPr>
      <t>5.4.99.9</t>
    </r>
  </si>
  <si>
    <r>
      <rPr>
        <u/>
        <sz val="10"/>
        <color rgb="FF1155CC"/>
        <rFont val="Arial"/>
        <family val="2"/>
      </rPr>
      <t>C00935</t>
    </r>
  </si>
  <si>
    <r>
      <rPr>
        <u/>
        <sz val="10"/>
        <color rgb="FF1155CC"/>
        <rFont val="Arial"/>
        <family val="2"/>
      </rPr>
      <t>C00935</t>
    </r>
  </si>
  <si>
    <r>
      <rPr>
        <u/>
        <sz val="10"/>
        <color rgb="FF1155CC"/>
        <rFont val="Arial"/>
        <family val="2"/>
      </rPr>
      <t>C18094</t>
    </r>
  </si>
  <si>
    <r>
      <rPr>
        <u/>
        <sz val="10"/>
        <color rgb="FF1155CC"/>
        <rFont val="Arial"/>
        <family val="2"/>
      </rPr>
      <t>C18094</t>
    </r>
  </si>
  <si>
    <r>
      <rPr>
        <u/>
        <sz val="10"/>
        <color rgb="FF1155CC"/>
        <rFont val="monospace, serif"/>
      </rPr>
      <t>5.6.2.2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</si>
  <si>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C00787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</si>
  <si>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C00787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</si>
  <si>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C02839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</si>
  <si>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C02839</t>
    </r>
  </si>
  <si>
    <r>
      <rPr>
        <u/>
        <sz val="10"/>
        <color rgb="FF1155CC"/>
        <rFont val="monospace, serif"/>
      </rPr>
      <t>6.1.1.1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</si>
  <si>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</si>
  <si>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</si>
  <si>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C02430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</si>
  <si>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C02430</t>
    </r>
  </si>
  <si>
    <r>
      <rPr>
        <u/>
        <sz val="10"/>
        <color rgb="FF1155CC"/>
        <rFont val="monospace, serif"/>
      </rPr>
      <t>6.1.1.10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</si>
  <si>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</si>
  <si>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C01650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</si>
  <si>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</si>
  <si>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C02553</t>
    </r>
  </si>
  <si>
    <r>
      <rPr>
        <u/>
        <sz val="10"/>
        <color rgb="FF1155CC"/>
        <rFont val="monospace, serif"/>
      </rPr>
      <t>6.1.1.10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</si>
  <si>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</si>
  <si>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C05335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</si>
  <si>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C05336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</si>
  <si>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C05336</t>
    </r>
  </si>
  <si>
    <r>
      <rPr>
        <u/>
        <sz val="10"/>
        <color rgb="FF1155CC"/>
        <rFont val="monospace, serif"/>
      </rPr>
      <t>6.1.1.11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</si>
  <si>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C16636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</si>
  <si>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C16636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</si>
  <si>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C06481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</si>
  <si>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C06481</t>
    </r>
  </si>
  <si>
    <r>
      <rPr>
        <u/>
        <sz val="10"/>
        <color rgb="FF1155CC"/>
        <rFont val="monospace, serif"/>
      </rPr>
      <t>6.1.1.11</t>
    </r>
  </si>
  <si>
    <r>
      <rPr>
        <u/>
        <sz val="11"/>
        <color rgb="FF1155CC"/>
        <rFont val="Arial"/>
        <family val="2"/>
        <scheme val="minor"/>
      </rPr>
      <t>C01638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</si>
  <si>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C01638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</si>
  <si>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C02984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</si>
  <si>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C02984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</si>
  <si>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6.1.1.12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</si>
  <si>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</si>
  <si>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</si>
  <si>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</si>
  <si>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C04260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</si>
  <si>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</si>
  <si>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</si>
  <si>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</si>
  <si>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C02412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</si>
  <si>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C02412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</si>
  <si>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</si>
  <si>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G13167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</si>
  <si>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G13167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</si>
  <si>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</si>
  <si>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G13180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</si>
  <si>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</si>
  <si>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</si>
  <si>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</si>
  <si>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</si>
  <si>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G13171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</si>
  <si>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</si>
  <si>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</si>
  <si>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</si>
  <si>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</si>
  <si>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G13175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</si>
  <si>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</si>
  <si>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</si>
  <si>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</si>
  <si>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</si>
  <si>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G13177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</si>
  <si>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</si>
  <si>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</si>
  <si>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</si>
  <si>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</si>
  <si>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G13179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</si>
  <si>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</si>
  <si>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</si>
  <si>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G13185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</si>
  <si>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</si>
  <si>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G13186</t>
    </r>
  </si>
  <si>
    <r>
      <rPr>
        <u/>
        <sz val="10"/>
        <color rgb="FF1155CC"/>
        <rFont val="monospace, serif"/>
      </rPr>
      <t>6.1.1.13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</si>
  <si>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G13192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</si>
  <si>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G13192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</si>
  <si>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G13193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</si>
  <si>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G13193</t>
    </r>
  </si>
  <si>
    <r>
      <rPr>
        <u/>
        <sz val="10"/>
        <color rgb="FF1155CC"/>
        <rFont val="monospace, serif"/>
      </rPr>
      <t>6.1.1.14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</si>
  <si>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</si>
  <si>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</si>
  <si>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C02702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</si>
  <si>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C02702</t>
    </r>
  </si>
  <si>
    <r>
      <rPr>
        <u/>
        <sz val="10"/>
        <color rgb="FF1155CC"/>
        <rFont val="monospace, serif"/>
      </rPr>
      <t>6.1.1.15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</si>
  <si>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</si>
  <si>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C01639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</si>
  <si>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C03125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</si>
  <si>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C03125</t>
    </r>
  </si>
  <si>
    <r>
      <rPr>
        <u/>
        <sz val="10"/>
        <color rgb="FF1155CC"/>
        <rFont val="monospace, serif"/>
      </rPr>
      <t>6.1.1.16</t>
    </r>
  </si>
  <si>
    <r>
      <rPr>
        <u/>
        <sz val="11"/>
        <color rgb="FF1155CC"/>
        <rFont val="Arial"/>
        <family val="2"/>
        <scheme val="minor"/>
      </rPr>
      <t>C01641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</si>
  <si>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C01641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</si>
  <si>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C02987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</si>
  <si>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C02987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</si>
  <si>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6.1.1.17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</si>
  <si>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</si>
  <si>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C01636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</si>
  <si>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C02163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</si>
  <si>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C02163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</si>
  <si>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</si>
  <si>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C01652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</si>
  <si>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C03512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</si>
  <si>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C03512</t>
    </r>
  </si>
  <si>
    <r>
      <rPr>
        <u/>
        <sz val="10"/>
        <color rgb="FF1155CC"/>
        <rFont val="monospace, serif"/>
      </rPr>
      <t>6.1.1.2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</si>
  <si>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</si>
  <si>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</si>
  <si>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C03511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</si>
  <si>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C03511</t>
    </r>
  </si>
  <si>
    <r>
      <rPr>
        <u/>
        <sz val="10"/>
        <color rgb="FF1155CC"/>
        <rFont val="monospace, serif"/>
      </rPr>
      <t>6.1.1.20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</si>
  <si>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</si>
  <si>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</si>
  <si>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C02988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</si>
  <si>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C02988</t>
    </r>
  </si>
  <si>
    <r>
      <rPr>
        <u/>
        <sz val="10"/>
        <color rgb="FF1155CC"/>
        <rFont val="monospace, serif"/>
      </rPr>
      <t>6.1.1.21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</si>
  <si>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</si>
  <si>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C01637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</si>
  <si>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C03402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</si>
  <si>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C03402</t>
    </r>
  </si>
  <si>
    <r>
      <rPr>
        <u/>
        <sz val="10"/>
        <color rgb="FF1155CC"/>
        <rFont val="monospace, serif"/>
      </rPr>
      <t>6.1.1.22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</si>
  <si>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</si>
  <si>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C01651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</si>
  <si>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C02992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</si>
  <si>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C02992</t>
    </r>
  </si>
  <si>
    <r>
      <rPr>
        <u/>
        <sz val="10"/>
        <color rgb="FF1155CC"/>
        <rFont val="monospace, serif"/>
      </rPr>
      <t>6.1.1.3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</si>
  <si>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</si>
  <si>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</si>
  <si>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C02047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</si>
  <si>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C02047</t>
    </r>
  </si>
  <si>
    <r>
      <rPr>
        <u/>
        <sz val="10"/>
        <color rgb="FF1155CC"/>
        <rFont val="monospace, serif"/>
      </rPr>
      <t>6.1.1.4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</si>
  <si>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</si>
  <si>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C00407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</si>
  <si>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C03127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</si>
  <si>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C03127</t>
    </r>
  </si>
  <si>
    <r>
      <rPr>
        <u/>
        <sz val="10"/>
        <color rgb="FF1155CC"/>
        <rFont val="monospace, serif"/>
      </rPr>
      <t>6.1.1.5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</si>
  <si>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</si>
  <si>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C01646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</si>
  <si>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C01931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</si>
  <si>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C01931</t>
    </r>
  </si>
  <si>
    <r>
      <rPr>
        <u/>
        <sz val="10"/>
        <color rgb="FF1155CC"/>
        <rFont val="monospace, serif"/>
      </rPr>
      <t>6.1.1.6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</si>
  <si>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</si>
  <si>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C01635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</si>
  <si>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</si>
  <si>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C00886</t>
    </r>
  </si>
  <si>
    <r>
      <rPr>
        <u/>
        <sz val="10"/>
        <color rgb="FF1155CC"/>
        <rFont val="monospace, serif"/>
      </rPr>
      <t>6.1.1.7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</si>
  <si>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C00183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</si>
  <si>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C00183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C01653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</si>
  <si>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C02554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</si>
  <si>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C02554</t>
    </r>
  </si>
  <si>
    <r>
      <rPr>
        <u/>
        <sz val="10"/>
        <color rgb="FF1155CC"/>
        <rFont val="monospace, serif"/>
      </rPr>
      <t>6.1.1.9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</si>
  <si>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C04298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</si>
  <si>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C04298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</si>
  <si>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C04334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</si>
  <si>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C04334</t>
    </r>
  </si>
  <si>
    <r>
      <rPr>
        <u/>
        <sz val="10"/>
        <color rgb="FF1155CC"/>
        <rFont val="monospace, serif"/>
      </rPr>
      <t>6.2.1.22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</si>
  <si>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</si>
  <si>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</si>
  <si>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</si>
  <si>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</si>
  <si>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0"/>
        <color rgb="FF1155CC"/>
        <rFont val="monospace, serif"/>
      </rPr>
      <t>6.3.1.2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</si>
  <si>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</si>
  <si>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</si>
  <si>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</si>
  <si>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</si>
  <si>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</si>
  <si>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C00857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</si>
  <si>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C00857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</si>
  <si>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</si>
  <si>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</si>
  <si>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</si>
  <si>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C06423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</si>
  <si>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C06423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</si>
  <si>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C22160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</si>
  <si>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C22160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</si>
  <si>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</si>
  <si>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</si>
  <si>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</si>
  <si>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C16238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</si>
  <si>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C16238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</si>
  <si>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</si>
  <si>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</si>
  <si>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C22157</t>
    </r>
  </si>
  <si>
    <r>
      <rPr>
        <u/>
        <sz val="11"/>
        <color rgb="FF1155CC"/>
        <rFont val="Arial"/>
        <family val="2"/>
        <scheme val="minor"/>
      </rPr>
      <t>C02051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</si>
  <si>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C02051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</si>
  <si>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</si>
  <si>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</si>
  <si>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</si>
  <si>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C15972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</si>
  <si>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C15972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</si>
  <si>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monospace, serif"/>
      </rPr>
      <t>6.3.1.20</t>
    </r>
  </si>
  <si>
    <r>
      <rPr>
        <u/>
        <sz val="11"/>
        <color rgb="FF1155CC"/>
        <rFont val="Arial"/>
        <family val="2"/>
        <scheme val="minor"/>
      </rPr>
      <t>C16238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</si>
  <si>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C16238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</si>
  <si>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</si>
  <si>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</si>
  <si>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monospace, serif"/>
      </rPr>
      <t>6.3.1.5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</si>
  <si>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</si>
  <si>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C05892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</si>
  <si>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</si>
  <si>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C04702</t>
    </r>
  </si>
  <si>
    <r>
      <rPr>
        <u/>
        <sz val="10"/>
        <color rgb="FF1155CC"/>
        <rFont val="monospace, serif"/>
      </rPr>
      <t>6.3.2.10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</si>
  <si>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C00680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</si>
  <si>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C00680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</si>
  <si>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C04877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</si>
  <si>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C04877</t>
    </r>
  </si>
  <si>
    <r>
      <rPr>
        <u/>
        <sz val="10"/>
        <color rgb="FF1155CC"/>
        <rFont val="monospace, serif"/>
      </rPr>
      <t>6.3.2.10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</si>
  <si>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</si>
  <si>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C04877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</si>
  <si>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C04882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</si>
  <si>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C04882</t>
    </r>
  </si>
  <si>
    <r>
      <rPr>
        <u/>
        <sz val="10"/>
        <color rgb="FF1155CC"/>
        <rFont val="monospace, serif"/>
      </rPr>
      <t>6.3.2.13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</si>
  <si>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</si>
  <si>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</si>
  <si>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0"/>
        <color rgb="FF1155CC"/>
        <rFont val="monospace, serif"/>
      </rPr>
      <t>6.3.2.4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</si>
  <si>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C00097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</si>
  <si>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C03492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C00097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</si>
  <si>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</si>
  <si>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</si>
  <si>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0"/>
        <color rgb="FF1155CC"/>
        <rFont val="monospace, serif"/>
      </rPr>
      <t>6.3.2.5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</si>
  <si>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</si>
  <si>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C04751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</si>
  <si>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C04823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</si>
  <si>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C04823</t>
    </r>
  </si>
  <si>
    <r>
      <rPr>
        <u/>
        <sz val="10"/>
        <color rgb="FF1155CC"/>
        <rFont val="monospace, serif"/>
      </rPr>
      <t>6.3.2.6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</si>
  <si>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</si>
  <si>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C01050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</si>
  <si>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C01212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</si>
  <si>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C01212</t>
    </r>
  </si>
  <si>
    <r>
      <rPr>
        <u/>
        <sz val="10"/>
        <color rgb="FF1155CC"/>
        <rFont val="monospace, serif"/>
      </rPr>
      <t>6.3.2.8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</si>
  <si>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C00217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</si>
  <si>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C01212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C00217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</si>
  <si>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</si>
  <si>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C00692</t>
    </r>
  </si>
  <si>
    <r>
      <rPr>
        <u/>
        <sz val="10"/>
        <color rgb="FF1155CC"/>
        <rFont val="monospace, serif"/>
      </rPr>
      <t>6.3.2.9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</si>
  <si>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</si>
  <si>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C04640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</si>
  <si>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C03373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</si>
  <si>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C03373</t>
    </r>
  </si>
  <si>
    <r>
      <rPr>
        <u/>
        <sz val="10"/>
        <color rgb="FF1155CC"/>
        <rFont val="monospace, serif"/>
      </rPr>
      <t>6.3.3.1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</si>
  <si>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</si>
  <si>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C03479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</si>
  <si>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</si>
  <si>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C00445</t>
    </r>
  </si>
  <si>
    <r>
      <rPr>
        <u/>
        <sz val="10"/>
        <color rgb="FF1155CC"/>
        <rFont val="monospace, serif"/>
      </rPr>
      <t>6.3.3.2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</si>
  <si>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</si>
  <si>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C03090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</si>
  <si>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C03838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</si>
  <si>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C03838</t>
    </r>
  </si>
  <si>
    <r>
      <rPr>
        <u/>
        <sz val="10"/>
        <color rgb="FF1155CC"/>
        <rFont val="monospace, serif"/>
      </rPr>
      <t>6.3.4.13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</si>
  <si>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C04735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</si>
  <si>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C04735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</si>
  <si>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C04681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</si>
  <si>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C04681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</si>
  <si>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</si>
  <si>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</si>
  <si>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C00120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</si>
  <si>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C05921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</si>
  <si>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C05921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</si>
  <si>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</si>
  <si>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</si>
  <si>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</si>
  <si>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C15667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</si>
  <si>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C15667</t>
    </r>
  </si>
  <si>
    <r>
      <rPr>
        <u/>
        <sz val="10"/>
        <color rgb="FF1155CC"/>
        <rFont val="monospace, serif"/>
      </rPr>
      <t>6.3.4.15</t>
    </r>
  </si>
  <si>
    <r>
      <rPr>
        <u/>
        <sz val="11"/>
        <color rgb="FF1155CC"/>
        <rFont val="Arial"/>
        <family val="2"/>
        <scheme val="minor"/>
      </rPr>
      <t>C05921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C06249</t>
    </r>
  </si>
  <si>
    <r>
      <rPr>
        <u/>
        <sz val="11"/>
        <color rgb="FF1155CC"/>
        <rFont val="Arial"/>
        <family val="2"/>
        <scheme val="minor"/>
      </rPr>
      <t>C05921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C06249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</si>
  <si>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C06250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</si>
  <si>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C06250</t>
    </r>
  </si>
  <si>
    <r>
      <rPr>
        <u/>
        <sz val="10"/>
        <color rgb="FF1155CC"/>
        <rFont val="monospace, serif"/>
      </rPr>
      <t>6.3.4.18</t>
    </r>
  </si>
  <si>
    <r>
      <rPr>
        <u/>
        <sz val="11"/>
        <color rgb="FF1155CC"/>
        <rFont val="Arial"/>
        <family val="2"/>
        <scheme val="minor"/>
      </rPr>
      <t>C19722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</si>
  <si>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C19722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</si>
  <si>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C19723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</si>
  <si>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C19723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</si>
  <si>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</si>
  <si>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</si>
  <si>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</si>
  <si>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</si>
  <si>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</si>
  <si>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</si>
  <si>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</si>
  <si>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</si>
  <si>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</si>
  <si>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</si>
  <si>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6.3.4.2</t>
    </r>
  </si>
  <si>
    <r>
      <rPr>
        <u/>
        <sz val="11"/>
        <color rgb="FF1155CC"/>
        <rFont val="Arial"/>
        <family val="2"/>
      </rPr>
      <t>C01185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</si>
  <si>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C01185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</si>
  <si>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C00253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</si>
  <si>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C00253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C00119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</si>
  <si>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monospace, serif"/>
      </rPr>
      <t>6.3.4.21</t>
    </r>
  </si>
  <si>
    <r>
      <rPr>
        <u/>
        <sz val="11"/>
        <color rgb="FF1155CC"/>
        <rFont val="Arial"/>
        <family val="2"/>
        <scheme val="minor"/>
      </rPr>
      <t>C00101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</si>
  <si>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C00101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</si>
  <si>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C00234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</si>
  <si>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C00234</t>
    </r>
  </si>
  <si>
    <r>
      <rPr>
        <u/>
        <sz val="10"/>
        <color rgb="FF1155CC"/>
        <rFont val="monospace, serif"/>
      </rPr>
      <t>6.3.4.3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</si>
  <si>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</si>
  <si>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</si>
  <si>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C03794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</si>
  <si>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C03794</t>
    </r>
  </si>
  <si>
    <r>
      <rPr>
        <u/>
        <sz val="10"/>
        <color rgb="FF1155CC"/>
        <rFont val="monospace, serif"/>
      </rPr>
      <t>6.3.4.4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</si>
  <si>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C00327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</si>
  <si>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C00327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</si>
  <si>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C03406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</si>
  <si>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C03406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</si>
  <si>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</si>
  <si>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</si>
  <si>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</si>
  <si>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</si>
  <si>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</si>
  <si>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</si>
  <si>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</si>
  <si>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</si>
  <si>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</si>
  <si>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</si>
  <si>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</si>
  <si>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</si>
  <si>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</si>
  <si>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</si>
  <si>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</si>
  <si>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6.3.5.2</t>
    </r>
  </si>
  <si>
    <r>
      <rPr>
        <u/>
        <sz val="11"/>
        <color rgb="FF1155CC"/>
        <rFont val="Arial"/>
        <family val="2"/>
        <scheme val="minor"/>
      </rPr>
      <t>C16618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</si>
  <si>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C16618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</si>
  <si>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</si>
  <si>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C16619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</si>
  <si>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</si>
  <si>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</si>
  <si>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</si>
  <si>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</si>
  <si>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C00152</t>
    </r>
  </si>
  <si>
    <r>
      <rPr>
        <u/>
        <sz val="10"/>
        <color rgb="FF1155CC"/>
        <rFont val="monospace, serif"/>
      </rPr>
      <t>6.3.5.4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</si>
  <si>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</si>
  <si>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</si>
  <si>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</si>
  <si>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</si>
  <si>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0"/>
        <color rgb="FF1155CC"/>
        <rFont val="monospace, serif"/>
      </rPr>
      <t>6.3.5.5</t>
    </r>
  </si>
  <si>
    <r>
      <rPr>
        <u/>
        <sz val="10"/>
        <color rgb="FF1155CC"/>
        <rFont val="monospace, serif"/>
      </rPr>
      <t>6.3.5.5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</si>
  <si>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</si>
  <si>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</si>
  <si>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</si>
  <si>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</si>
  <si>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</si>
  <si>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</si>
  <si>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</si>
  <si>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</si>
  <si>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</si>
  <si>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</si>
  <si>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</si>
  <si>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C01563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</si>
  <si>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C01563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</si>
  <si>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</si>
  <si>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</si>
  <si>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0"/>
        <color rgb="FF1155CC"/>
        <rFont val="monospace, serif"/>
      </rPr>
      <t>6.3.5.5</t>
    </r>
  </si>
  <si>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</si>
  <si>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</si>
  <si>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  <scheme val="minor"/>
      </rPr>
      <t>C01563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</si>
  <si>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C01563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</si>
  <si>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monospace, serif"/>
      </rPr>
      <t>6.4.1.1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</si>
  <si>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</si>
  <si>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</si>
  <si>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</si>
  <si>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C00083</t>
    </r>
  </si>
  <si>
    <r>
      <rPr>
        <u/>
        <sz val="10"/>
        <color rgb="FF1155CC"/>
        <rFont val="monospace, serif"/>
      </rPr>
      <t>6.4.1.2</t>
    </r>
  </si>
  <si>
    <r>
      <rPr>
        <u/>
        <sz val="10"/>
        <color rgb="FF1155CC"/>
        <rFont val="monospace, serif"/>
      </rPr>
      <t>7.1.2.1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</si>
  <si>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</si>
  <si>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</si>
  <si>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</si>
  <si>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* </t>
    </r>
    <r>
      <rPr>
        <u/>
        <sz val="11"/>
        <color rgb="FF1155CC"/>
        <rFont val="Arial"/>
        <family val="2"/>
        <scheme val="minor"/>
      </rPr>
      <t>C00009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</si>
  <si>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</si>
  <si>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</si>
  <si>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</si>
  <si>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C18902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</si>
  <si>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C20648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</si>
  <si>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C00024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</si>
  <si>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</si>
  <si>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C00704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</si>
  <si>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C00689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</si>
  <si>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G00093</t>
    </r>
  </si>
  <si>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G09795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</si>
  <si>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+ 2 </t>
    </r>
    <r>
      <rPr>
        <u/>
        <sz val="11"/>
        <color rgb="FF1155CC"/>
        <rFont val="Arial"/>
        <family val="2"/>
        <scheme val="minor"/>
      </rPr>
      <t>C00133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</si>
  <si>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</si>
  <si>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</si>
  <si>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</si>
  <si>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</si>
  <si>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</si>
  <si>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</si>
  <si>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</si>
  <si>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</si>
  <si>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</si>
  <si>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</si>
  <si>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</si>
  <si>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</si>
  <si>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</si>
  <si>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C04298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</si>
  <si>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</si>
  <si>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</si>
  <si>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</si>
  <si>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</si>
  <si>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</si>
  <si>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</si>
  <si>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</si>
  <si>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</si>
  <si>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</si>
  <si>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</si>
  <si>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</si>
  <si>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</si>
  <si>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</si>
  <si>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</si>
  <si>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C16636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</si>
  <si>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</si>
  <si>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</si>
  <si>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</si>
  <si>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</si>
  <si>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</si>
  <si>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C00787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</si>
  <si>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</si>
  <si>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C01639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</si>
  <si>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</si>
  <si>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</si>
  <si>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</si>
  <si>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</si>
  <si>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</si>
  <si>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</si>
  <si>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</si>
  <si>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C04735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</si>
  <si>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</si>
  <si>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</si>
  <si>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</si>
  <si>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G13167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</si>
  <si>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</si>
  <si>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</si>
  <si>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</si>
  <si>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</si>
  <si>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</si>
  <si>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G13192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</si>
  <si>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</si>
  <si>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</si>
  <si>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</si>
  <si>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C01637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</si>
  <si>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</si>
  <si>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C00183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</si>
  <si>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C01651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</si>
  <si>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</si>
  <si>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C00214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</si>
  <si>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</si>
  <si>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C00239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</si>
  <si>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</si>
  <si>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C00255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</si>
  <si>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C00257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</si>
  <si>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C00263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</si>
  <si>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C00267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</si>
  <si>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</si>
  <si>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</si>
  <si>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</rPr>
      <t>C0000</t>
    </r>
    <r>
      <rPr>
        <sz val="11"/>
        <rFont val="Arial"/>
        <family val="2"/>
      </rPr>
      <t xml:space="preserve">2 + </t>
    </r>
    <r>
      <rPr>
        <u/>
        <sz val="11"/>
        <color rgb="FF1155CC"/>
        <rFont val="Arial"/>
        <family val="2"/>
      </rPr>
      <t>C00310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</si>
  <si>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C00327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</si>
  <si>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</si>
  <si>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</si>
  <si>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</si>
  <si>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</si>
  <si>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</si>
  <si>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</si>
  <si>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C00378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</si>
  <si>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</si>
  <si>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</si>
  <si>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C00418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</si>
  <si>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</si>
  <si>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</si>
  <si>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</si>
  <si>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C00526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</si>
  <si>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C00585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</si>
  <si>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C00641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</si>
  <si>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</si>
  <si>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</si>
  <si>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C00680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</si>
  <si>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</si>
  <si>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C00831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</si>
  <si>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C00857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</si>
  <si>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</si>
  <si>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C00882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</si>
  <si>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C00984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</si>
  <si>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</si>
  <si>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</si>
  <si>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C01094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</si>
  <si>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</si>
  <si>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</si>
  <si>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</si>
  <si>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C01185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</si>
  <si>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C00217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</si>
  <si>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C01279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</si>
  <si>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C01344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</si>
  <si>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</si>
  <si>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C01563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</si>
  <si>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</si>
  <si>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</si>
  <si>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</si>
  <si>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C04079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</si>
  <si>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C04376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</si>
  <si>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C0000</t>
    </r>
    <r>
      <rPr>
        <sz val="11"/>
        <rFont val="Arial"/>
        <family val="2"/>
        <scheme val="minor"/>
      </rPr>
      <t xml:space="preserve">2 +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</si>
  <si>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</si>
  <si>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</si>
  <si>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</si>
  <si>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C01647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</si>
  <si>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C05345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</si>
  <si>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C05382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</si>
  <si>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</si>
  <si>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C06423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</si>
  <si>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</si>
  <si>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</si>
  <si>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C22157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</si>
  <si>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C22158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</si>
  <si>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C21748</t>
    </r>
  </si>
  <si>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C21750</t>
    </r>
  </si>
  <si>
    <r>
      <rPr>
        <u/>
        <sz val="11"/>
        <color rgb="FF1155CC"/>
        <rFont val="Arial"/>
        <family val="2"/>
        <scheme val="minor"/>
      </rPr>
      <t>C00003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 xml:space="preserve">(n) + </t>
    </r>
    <r>
      <rPr>
        <u/>
        <sz val="11"/>
        <color rgb="FF1155CC"/>
        <rFont val="Arial"/>
        <family val="2"/>
        <scheme val="minor"/>
      </rPr>
      <t>C02128</t>
    </r>
    <r>
      <rPr>
        <sz val="11"/>
        <color rgb="FF000000"/>
        <rFont val="Arial"/>
        <family val="2"/>
        <scheme val="minor"/>
      </rPr>
      <t>(m)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</si>
  <si>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</si>
  <si>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C20743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</si>
  <si>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</si>
  <si>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C00012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</si>
  <si>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</si>
  <si>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</si>
  <si>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C00240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</si>
  <si>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C00821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</si>
  <si>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</si>
  <si>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C01977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</si>
  <si>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C05197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</si>
  <si>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C20446</t>
    </r>
  </si>
  <si>
    <r>
      <rPr>
        <u/>
        <sz val="11"/>
        <color rgb="FF1155CC"/>
        <rFont val="Arial"/>
        <family val="2"/>
      </rPr>
      <t>C00019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C21860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</si>
  <si>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</si>
  <si>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</si>
  <si>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  <scheme val="minor"/>
      </rPr>
      <t>C00021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</si>
  <si>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</si>
  <si>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</si>
  <si>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</si>
  <si>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</si>
  <si>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</si>
  <si>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C00136</t>
    </r>
  </si>
  <si>
    <r>
      <rPr>
        <u/>
        <sz val="11"/>
        <color rgb="FF1155CC"/>
        <rFont val="Arial"/>
        <family val="2"/>
        <scheme val="minor"/>
      </rPr>
      <t>C00024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C00158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</si>
  <si>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</si>
  <si>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C03803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</si>
  <si>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C06156</t>
    </r>
  </si>
  <si>
    <r>
      <rPr>
        <u/>
        <sz val="10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</si>
  <si>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</si>
  <si>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C00029</t>
    </r>
  </si>
  <si>
    <r>
      <rPr>
        <u/>
        <sz val="11"/>
        <color rgb="FF1155CC"/>
        <rFont val="Arial"/>
        <family val="2"/>
        <scheme val="minor"/>
      </rPr>
      <t>C00029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</si>
  <si>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0"/>
        <color rgb="FF1155CC"/>
        <rFont val="Arial"/>
        <family val="2"/>
      </rPr>
      <t>C00036</t>
    </r>
  </si>
  <si>
    <r>
      <rPr>
        <u/>
        <sz val="11"/>
        <color rgb="FF1155CC"/>
        <rFont val="Arial"/>
        <family val="2"/>
        <scheme val="minor"/>
      </rPr>
      <t>C00040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</si>
  <si>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C00040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</si>
  <si>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Arial"/>
        <family val="2"/>
      </rPr>
      <t>C00043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</si>
  <si>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</si>
  <si>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</si>
  <si>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</si>
  <si>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C00299</t>
    </r>
  </si>
  <si>
    <r>
      <rPr>
        <u/>
        <sz val="11"/>
        <color rgb="FF1155CC"/>
        <rFont val="Arial"/>
        <family val="2"/>
        <scheme val="minor"/>
      </rPr>
      <t>C00044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C00475</t>
    </r>
  </si>
  <si>
    <r>
      <rPr>
        <u/>
        <sz val="10"/>
        <color rgb="FF1155CC"/>
        <rFont val="Arial"/>
        <family val="2"/>
      </rPr>
      <t>C00049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</si>
  <si>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</si>
  <si>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1"/>
        <color rgb="FF1155CC"/>
        <rFont val="Arial"/>
        <family val="2"/>
        <scheme val="minor"/>
      </rPr>
      <t>C00053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</si>
  <si>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</si>
  <si>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</si>
  <si>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</si>
  <si>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</si>
  <si>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C01097</t>
    </r>
  </si>
  <si>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C00097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</si>
  <si>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</si>
  <si>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</si>
  <si>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</si>
  <si>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  <scheme val="minor"/>
      </rPr>
      <t>C0006</t>
    </r>
    <r>
      <rPr>
        <sz val="11"/>
        <rFont val="Arial"/>
        <family val="2"/>
        <scheme val="minor"/>
      </rPr>
      <t>5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</si>
  <si>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C00463</t>
    </r>
  </si>
  <si>
    <r>
      <rPr>
        <u/>
        <sz val="11"/>
        <color rgb="FF1155CC"/>
        <rFont val="Arial"/>
        <family val="2"/>
      </rPr>
      <t>C00065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C01217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</si>
  <si>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C03506</t>
    </r>
  </si>
  <si>
    <r>
      <rPr>
        <u/>
        <sz val="11"/>
        <color rgb="FF1155CC"/>
        <rFont val="Arial"/>
        <family val="2"/>
        <scheme val="minor"/>
      </rPr>
      <t>C00068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</si>
  <si>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</si>
  <si>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C00043</t>
    </r>
  </si>
  <si>
    <r>
      <rPr>
        <u/>
        <sz val="11"/>
        <color rgb="FF1155CC"/>
        <rFont val="Arial"/>
        <family val="2"/>
      </rPr>
      <t>C00074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C00184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</si>
  <si>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</si>
  <si>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</si>
  <si>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</si>
  <si>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C00103</t>
    </r>
  </si>
  <si>
    <r>
      <rPr>
        <u/>
        <sz val="11"/>
        <color rgb="FF1155CC"/>
        <rFont val="Arial"/>
        <family val="2"/>
        <scheme val="minor"/>
      </rPr>
      <t>C00075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C04501</t>
    </r>
  </si>
  <si>
    <r>
      <rPr>
        <u/>
        <sz val="11"/>
        <color rgb="FF1155CC"/>
        <rFont val="Arial"/>
        <family val="2"/>
        <scheme val="minor"/>
      </rPr>
      <t>C00081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</si>
  <si>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</rPr>
      <t>C00081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C01097</t>
    </r>
  </si>
  <si>
    <r>
      <rPr>
        <u/>
        <sz val="11"/>
        <color rgb="FF1155CC"/>
        <rFont val="Arial"/>
        <family val="2"/>
      </rPr>
      <t>C00083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</si>
  <si>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</si>
  <si>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</si>
  <si>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C00091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</si>
  <si>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</si>
  <si>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</si>
  <si>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</si>
  <si>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C00093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C00040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</si>
  <si>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</si>
  <si>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</si>
  <si>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C00097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C02342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</si>
  <si>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</si>
  <si>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</si>
  <si>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</si>
  <si>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</si>
  <si>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</si>
  <si>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</si>
  <si>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</si>
  <si>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C00101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</si>
  <si>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</si>
  <si>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C00105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</si>
  <si>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</si>
  <si>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C05125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</si>
  <si>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</si>
  <si>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</si>
  <si>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</si>
  <si>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0"/>
        <color rgb="FF1155CC"/>
        <rFont val="Arial"/>
        <family val="2"/>
      </rPr>
      <t>C00118</t>
    </r>
  </si>
  <si>
    <r>
      <rPr>
        <u/>
        <sz val="10"/>
        <color rgb="FF1155CC"/>
        <rFont val="Arial"/>
        <family val="2"/>
      </rPr>
      <t>C00129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</si>
  <si>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</si>
  <si>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</si>
  <si>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</si>
  <si>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</si>
  <si>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</si>
  <si>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</si>
  <si>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C00131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</si>
  <si>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C0013</t>
    </r>
    <r>
      <rPr>
        <sz val="11"/>
        <rFont val="Arial"/>
        <family val="2"/>
      </rPr>
      <t xml:space="preserve">7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</si>
  <si>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</si>
  <si>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</si>
  <si>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</si>
  <si>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C0014</t>
    </r>
    <r>
      <rPr>
        <sz val="11"/>
        <rFont val="Arial"/>
        <family val="2"/>
      </rPr>
      <t xml:space="preserve">8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</si>
  <si>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C00148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</si>
  <si>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</si>
  <si>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</si>
  <si>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0"/>
        <color rgb="FF1155CC"/>
        <rFont val="Arial"/>
        <family val="2"/>
      </rPr>
      <t>C00158</t>
    </r>
  </si>
  <si>
    <r>
      <rPr>
        <u/>
        <sz val="11"/>
        <color rgb="FF1155CC"/>
        <rFont val="Arial"/>
        <family val="2"/>
      </rPr>
      <t>C00169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C00049</t>
    </r>
  </si>
  <si>
    <r>
      <rPr>
        <u/>
        <sz val="11"/>
        <color rgb="FF1155CC"/>
        <rFont val="Arial"/>
        <family val="2"/>
        <scheme val="minor"/>
      </rPr>
      <t>C00170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</si>
  <si>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</si>
  <si>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C00093</t>
    </r>
  </si>
  <si>
    <r>
      <rPr>
        <u/>
        <sz val="11"/>
        <color rgb="FF1155CC"/>
        <rFont val="Arial"/>
        <family val="2"/>
      </rPr>
      <t>C00173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</si>
  <si>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C00186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</si>
  <si>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</si>
  <si>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</si>
  <si>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C00067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</si>
  <si>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</si>
  <si>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</si>
  <si>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</rPr>
      <t>C00206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</si>
  <si>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C00208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</si>
  <si>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</si>
  <si>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C00214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</si>
  <si>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C0022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</si>
  <si>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C03838</t>
    </r>
  </si>
  <si>
    <r>
      <rPr>
        <u/>
        <sz val="11"/>
        <color rgb="FF1155CC"/>
        <rFont val="Arial"/>
        <family val="2"/>
      </rPr>
      <t>C00234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C04677</t>
    </r>
  </si>
  <si>
    <r>
      <rPr>
        <u/>
        <sz val="11"/>
        <color rgb="FF1155CC"/>
        <rFont val="Arial"/>
        <family val="2"/>
      </rPr>
      <t>C00235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</si>
  <si>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  <scheme val="minor"/>
      </rPr>
      <t>C00239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</si>
  <si>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</si>
  <si>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</si>
  <si>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</si>
  <si>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C00357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</si>
  <si>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</si>
  <si>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C00263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</si>
  <si>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C00269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</si>
  <si>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</rPr>
      <t>C00272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</si>
  <si>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</si>
  <si>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0"/>
        <color rgb="FF1155CC"/>
        <rFont val="Arial"/>
        <family val="2"/>
      </rPr>
      <t>C00275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</si>
  <si>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</si>
  <si>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C00286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</si>
  <si>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C0028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C00343</t>
    </r>
    <r>
      <rPr>
        <sz val="11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</si>
  <si>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</si>
  <si>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</si>
  <si>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</si>
  <si>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C00122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</si>
  <si>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</si>
  <si>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</si>
  <si>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</si>
  <si>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</si>
  <si>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</si>
  <si>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  <scheme val="minor"/>
      </rPr>
      <t>C00354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</si>
  <si>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</si>
  <si>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  <scheme val="minor"/>
      </rPr>
      <t>C00357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</si>
  <si>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</si>
  <si>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C00361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</si>
  <si>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C00362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</si>
  <si>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</si>
  <si>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C00365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</si>
  <si>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C00365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C00143</t>
    </r>
  </si>
  <si>
    <r>
      <rPr>
        <u/>
        <sz val="11"/>
        <color rgb="FF1155CC"/>
        <rFont val="Arial"/>
        <family val="2"/>
      </rPr>
      <t>C00369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</si>
  <si>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C00378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</si>
  <si>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C00404</t>
    </r>
    <r>
      <rPr>
        <sz val="11"/>
        <color rgb="FF000000"/>
        <rFont val="Arial"/>
        <family val="2"/>
        <scheme val="minor"/>
      </rPr>
      <t xml:space="preserve">(n)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</si>
  <si>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</si>
  <si>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</si>
  <si>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</si>
  <si>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</si>
  <si>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C00440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</si>
  <si>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</si>
  <si>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</si>
  <si>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C00445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</si>
  <si>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</si>
  <si>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  <scheme val="minor"/>
      </rPr>
      <t>C00447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</si>
  <si>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</si>
  <si>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</si>
  <si>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C00458+</t>
    </r>
    <r>
      <rPr>
        <sz val="11"/>
        <color rgb="FF000000"/>
        <rFont val="Arial"/>
        <family val="2"/>
      </rPr>
      <t xml:space="preserve">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</si>
  <si>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C00459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</si>
  <si>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C00460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</si>
  <si>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C0046</t>
    </r>
    <r>
      <rPr>
        <sz val="11"/>
        <rFont val="Arial"/>
        <family val="2"/>
      </rPr>
      <t xml:space="preserve">9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</si>
  <si>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C0047</t>
    </r>
    <r>
      <rPr>
        <sz val="11"/>
        <rFont val="Arial"/>
        <family val="2"/>
      </rPr>
      <t xml:space="preserve">3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</si>
  <si>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</si>
  <si>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</si>
  <si>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</si>
  <si>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</si>
  <si>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C00493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</si>
  <si>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C00511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</si>
  <si>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C00522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</si>
  <si>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</si>
  <si>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C00579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</si>
  <si>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C00093</t>
    </r>
  </si>
  <si>
    <r>
      <rPr>
        <u/>
        <sz val="10"/>
        <color rgb="FF1155CC"/>
        <rFont val="Arial"/>
        <family val="2"/>
      </rPr>
      <t>C00606</t>
    </r>
  </si>
  <si>
    <r>
      <rPr>
        <u/>
        <sz val="10"/>
        <color rgb="FF1155CC"/>
        <rFont val="Arial"/>
        <family val="2"/>
      </rPr>
      <t>C00620</t>
    </r>
  </si>
  <si>
    <r>
      <rPr>
        <u/>
        <sz val="11"/>
        <color rgb="FF1155CC"/>
        <rFont val="Arial"/>
        <family val="2"/>
      </rPr>
      <t>C00627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</si>
  <si>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</si>
  <si>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0"/>
        <color rgb="FF1155CC"/>
        <rFont val="Arial"/>
        <family val="2"/>
      </rPr>
      <t>C00631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</si>
  <si>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</si>
  <si>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</si>
  <si>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C00647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</si>
  <si>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  <scheme val="minor"/>
      </rPr>
      <t>C00655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</si>
  <si>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</si>
  <si>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</si>
  <si>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C00663</t>
    </r>
  </si>
  <si>
    <r>
      <rPr>
        <u/>
        <sz val="10"/>
        <color rgb="FF1155CC"/>
        <rFont val="Arial"/>
        <family val="2"/>
      </rPr>
      <t>C00666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</si>
  <si>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</si>
  <si>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</si>
  <si>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C00668</t>
    </r>
  </si>
  <si>
    <r>
      <rPr>
        <u/>
        <sz val="10"/>
        <color rgb="FF1155CC"/>
        <rFont val="Arial"/>
        <family val="2"/>
      </rPr>
      <t>C00672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</si>
  <si>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</si>
  <si>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1"/>
        <color rgb="FF1155CC"/>
        <rFont val="Arial"/>
        <family val="2"/>
      </rPr>
      <t>C00673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</si>
  <si>
    <r>
      <rPr>
        <u/>
        <sz val="11"/>
        <color rgb="FF1155CC"/>
        <rFont val="Arial"/>
        <family val="2"/>
        <scheme val="minor"/>
      </rPr>
      <t>C00677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</si>
  <si>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</rPr>
      <t>C00677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</si>
  <si>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</si>
  <si>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Arial"/>
        <family val="2"/>
      </rPr>
      <t>C00691</t>
    </r>
  </si>
  <si>
    <r>
      <rPr>
        <u/>
        <sz val="11"/>
        <color rgb="FF1155CC"/>
        <rFont val="Arial"/>
        <family val="2"/>
      </rPr>
      <t>C00705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</si>
  <si>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</si>
  <si>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C0075</t>
    </r>
    <r>
      <rPr>
        <sz val="11"/>
        <rFont val="Arial"/>
        <family val="2"/>
      </rPr>
      <t xml:space="preserve">6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</si>
  <si>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C00819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</si>
  <si>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C00842</t>
    </r>
  </si>
  <si>
    <r>
      <rPr>
        <u/>
        <sz val="11"/>
        <color rgb="FF1155CC"/>
        <rFont val="Arial"/>
        <family val="2"/>
        <scheme val="minor"/>
      </rPr>
      <t>C00850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</si>
  <si>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</si>
  <si>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</si>
  <si>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0"/>
        <color rgb="FF1155CC"/>
        <rFont val="Arial"/>
        <family val="2"/>
      </rPr>
      <t>C00868</t>
    </r>
  </si>
  <si>
    <r>
      <rPr>
        <u/>
        <sz val="11"/>
        <color rgb="FF1155CC"/>
        <rFont val="Arial"/>
        <family val="2"/>
        <scheme val="minor"/>
      </rPr>
      <t>C00868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</si>
  <si>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</si>
  <si>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</si>
  <si>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C00900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</si>
  <si>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0"/>
        <color rgb="FF1155CC"/>
        <rFont val="Arial"/>
        <family val="2"/>
      </rPr>
      <t>C00935</t>
    </r>
  </si>
  <si>
    <r>
      <rPr>
        <u/>
        <sz val="11"/>
        <color rgb="FF1155CC"/>
        <rFont val="Arial"/>
        <family val="2"/>
      </rPr>
      <t>C01005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C00283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</si>
  <si>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</si>
  <si>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C01050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</si>
  <si>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C01094</t>
    </r>
  </si>
  <si>
    <r>
      <rPr>
        <u/>
        <sz val="11"/>
        <color rgb="FF1155CC"/>
        <rFont val="Arial"/>
        <family val="2"/>
      </rPr>
      <t>C01097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</si>
  <si>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</rPr>
      <t>C01100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C00026</t>
    </r>
  </si>
  <si>
    <r>
      <rPr>
        <u/>
        <sz val="10"/>
        <color rgb="FF1155CC"/>
        <rFont val="Arial"/>
        <family val="2"/>
      </rPr>
      <t>C01101</t>
    </r>
  </si>
  <si>
    <r>
      <rPr>
        <u/>
        <sz val="11"/>
        <color rgb="FF1155CC"/>
        <rFont val="Arial"/>
        <family val="2"/>
        <scheme val="minor"/>
      </rPr>
      <t>C01102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</si>
  <si>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C01103</t>
    </r>
  </si>
  <si>
    <r>
      <rPr>
        <u/>
        <sz val="10"/>
        <color rgb="FF1155CC"/>
        <rFont val="Arial"/>
        <family val="2"/>
      </rPr>
      <t>C01113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</si>
  <si>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</si>
  <si>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C01157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</si>
  <si>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C01159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C00615</t>
    </r>
  </si>
  <si>
    <r>
      <rPr>
        <u/>
        <sz val="11"/>
        <color rgb="FF1155CC"/>
        <rFont val="Arial"/>
        <family val="2"/>
      </rPr>
      <t>C01165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</si>
  <si>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</si>
  <si>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1"/>
        <color rgb="FF1155CC"/>
        <rFont val="Arial"/>
        <family val="2"/>
      </rPr>
      <t>C01172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</si>
  <si>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C01185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</si>
  <si>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C01185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</si>
  <si>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C01235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</si>
  <si>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C01260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</si>
  <si>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C01271</t>
    </r>
  </si>
  <si>
    <r>
      <rPr>
        <u/>
        <sz val="11"/>
        <color rgb="FF1155CC"/>
        <rFont val="Arial"/>
        <family val="2"/>
      </rPr>
      <t>C01271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</si>
  <si>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C01290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</si>
  <si>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C01302</t>
    </r>
  </si>
  <si>
    <r>
      <rPr>
        <u/>
        <sz val="11"/>
        <color rgb="FF1155CC"/>
        <rFont val="Arial"/>
        <family val="2"/>
      </rPr>
      <t>C01346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</si>
  <si>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C01412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</si>
  <si>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C01528</t>
    </r>
    <r>
      <rPr>
        <sz val="11"/>
        <color rgb="FF000000"/>
        <rFont val="Arial"/>
        <family val="2"/>
      </rPr>
      <t xml:space="preserve"> + 3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+ 3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</si>
  <si>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C01612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</si>
  <si>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</si>
  <si>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C01613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</si>
  <si>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C01638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</si>
  <si>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C01641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</si>
  <si>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</rPr>
      <t>C01832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</si>
  <si>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</si>
  <si>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C01944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</si>
  <si>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C01977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C16675</t>
    </r>
  </si>
  <si>
    <r>
      <rPr>
        <u/>
        <sz val="11"/>
        <color rgb="FF1155CC"/>
        <rFont val="Arial"/>
        <family val="2"/>
      </rPr>
      <t>C01978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</si>
  <si>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+ 2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</si>
  <si>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C02211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</si>
  <si>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0"/>
        <color rgb="FF1155CC"/>
        <rFont val="Arial"/>
        <family val="2"/>
      </rPr>
      <t>C02218</t>
    </r>
  </si>
  <si>
    <r>
      <rPr>
        <u/>
        <sz val="11"/>
        <color rgb="FF1155CC"/>
        <rFont val="Arial"/>
        <family val="2"/>
        <scheme val="minor"/>
      </rPr>
      <t>C02291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</si>
  <si>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C02430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C00234</t>
    </r>
  </si>
  <si>
    <r>
      <rPr>
        <u/>
        <sz val="10"/>
        <color rgb="FF1155CC"/>
        <rFont val="Arial"/>
        <family val="2"/>
      </rPr>
      <t>C02501</t>
    </r>
  </si>
  <si>
    <r>
      <rPr>
        <u/>
        <sz val="11"/>
        <color rgb="FF1155CC"/>
        <rFont val="Arial"/>
        <family val="2"/>
        <scheme val="minor"/>
      </rPr>
      <t>C02505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</si>
  <si>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C02520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</si>
  <si>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C02538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</si>
  <si>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C02583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</si>
  <si>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C02593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</si>
  <si>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</si>
  <si>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C02693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</si>
  <si>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</si>
  <si>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</si>
  <si>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C02739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</si>
  <si>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</si>
  <si>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C02749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</si>
  <si>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</si>
  <si>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C02882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</si>
  <si>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C02909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</si>
  <si>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0"/>
        <color rgb="FF1155CC"/>
        <rFont val="Arial"/>
        <family val="2"/>
      </rPr>
      <t>C02962</t>
    </r>
  </si>
  <si>
    <r>
      <rPr>
        <u/>
        <sz val="11"/>
        <color rgb="FF1155CC"/>
        <rFont val="Arial"/>
        <family val="2"/>
      </rPr>
      <t>C02972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</si>
  <si>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C02999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</si>
  <si>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</si>
  <si>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C03023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</si>
  <si>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C03078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</si>
  <si>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C03090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</si>
  <si>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Arial"/>
        <family val="2"/>
      </rPr>
      <t>C03195</t>
    </r>
  </si>
  <si>
    <r>
      <rPr>
        <u/>
        <sz val="10"/>
        <color rgb="FF1155CC"/>
        <rFont val="Arial"/>
        <family val="2"/>
      </rPr>
      <t>C03356</t>
    </r>
  </si>
  <si>
    <r>
      <rPr>
        <u/>
        <sz val="10"/>
        <color rgb="FF1155CC"/>
        <rFont val="Arial"/>
        <family val="2"/>
      </rPr>
      <t>C03406</t>
    </r>
  </si>
  <si>
    <r>
      <rPr>
        <u/>
        <sz val="10"/>
        <color rgb="FF1155CC"/>
        <rFont val="Arial"/>
        <family val="2"/>
      </rPr>
      <t>C03506</t>
    </r>
  </si>
  <si>
    <r>
      <rPr>
        <u/>
        <sz val="10"/>
        <color rgb="FF1155CC"/>
        <rFont val="Arial"/>
        <family val="2"/>
      </rPr>
      <t>C03539</t>
    </r>
  </si>
  <si>
    <r>
      <rPr>
        <u/>
        <sz val="11"/>
        <color rgb="FF1155CC"/>
        <rFont val="Arial"/>
        <family val="2"/>
        <scheme val="minor"/>
      </rPr>
      <t>C03620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</si>
  <si>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C03794</t>
    </r>
  </si>
  <si>
    <r>
      <rPr>
        <u/>
        <sz val="10"/>
        <color rgb="FF1155CC"/>
        <rFont val="Arial"/>
        <family val="2"/>
      </rPr>
      <t>C03798</t>
    </r>
  </si>
  <si>
    <r>
      <rPr>
        <u/>
        <sz val="11"/>
        <color rgb="FF1155CC"/>
        <rFont val="Arial"/>
        <family val="2"/>
      </rPr>
      <t>C03838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</si>
  <si>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C03880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</si>
  <si>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</si>
  <si>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C03939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</si>
  <si>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</si>
  <si>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</si>
  <si>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C03972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</si>
  <si>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</si>
  <si>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C03170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</si>
  <si>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</si>
  <si>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C04250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C02743</t>
    </r>
  </si>
  <si>
    <r>
      <rPr>
        <u/>
        <sz val="11"/>
        <color rgb="FF1155CC"/>
        <rFont val="Arial"/>
        <family val="2"/>
        <scheme val="minor"/>
      </rPr>
      <t>C04258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</si>
  <si>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C04261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C00392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</si>
  <si>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</si>
  <si>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C04302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</si>
  <si>
    <r>
      <rPr>
        <u/>
        <sz val="10"/>
        <color rgb="FF1155CC"/>
        <rFont val="Arial"/>
        <family val="2"/>
      </rPr>
      <t>C04352</t>
    </r>
  </si>
  <si>
    <r>
      <rPr>
        <u/>
        <sz val="11"/>
        <color rgb="FF1155CC"/>
        <rFont val="Arial"/>
        <family val="2"/>
      </rPr>
      <t>C04489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C00155</t>
    </r>
  </si>
  <si>
    <r>
      <rPr>
        <u/>
        <sz val="11"/>
        <color rgb="FF1155CC"/>
        <rFont val="Arial"/>
        <family val="2"/>
        <scheme val="minor"/>
      </rPr>
      <t>C04494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</si>
  <si>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C04534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</si>
  <si>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C04574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</si>
  <si>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C04618</t>
    </r>
  </si>
  <si>
    <r>
      <rPr>
        <u/>
        <sz val="11"/>
        <color rgb="FF1155CC"/>
        <rFont val="Arial"/>
        <family val="2"/>
      </rPr>
      <t>C04618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</si>
  <si>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C04619</t>
    </r>
  </si>
  <si>
    <r>
      <rPr>
        <u/>
        <sz val="11"/>
        <color rgb="FF1155CC"/>
        <rFont val="Arial"/>
        <family val="2"/>
      </rPr>
      <t>C04619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</si>
  <si>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C04620</t>
    </r>
  </si>
  <si>
    <r>
      <rPr>
        <u/>
        <sz val="11"/>
        <color rgb="FF1155CC"/>
        <rFont val="Arial"/>
        <family val="2"/>
      </rPr>
      <t>C04620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</si>
  <si>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0"/>
        <color rgb="FF1155CC"/>
        <rFont val="Arial"/>
        <family val="2"/>
      </rPr>
      <t>C04633</t>
    </r>
  </si>
  <si>
    <r>
      <rPr>
        <u/>
        <sz val="11"/>
        <color rgb="FF1155CC"/>
        <rFont val="Arial"/>
        <family val="2"/>
      </rPr>
      <t>C04633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</si>
  <si>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C04646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</si>
  <si>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C04666</t>
    </r>
  </si>
  <si>
    <r>
      <rPr>
        <u/>
        <sz val="10"/>
        <color rgb="FF1155CC"/>
        <rFont val="Arial"/>
        <family val="2"/>
      </rPr>
      <t>C04688</t>
    </r>
  </si>
  <si>
    <r>
      <rPr>
        <u/>
        <sz val="11"/>
        <color rgb="FF1155CC"/>
        <rFont val="Arial"/>
        <family val="2"/>
      </rPr>
      <t>C04688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</si>
  <si>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C04702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</si>
  <si>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1"/>
        <color rgb="FF1155CC"/>
        <rFont val="Arial"/>
        <family val="2"/>
        <scheme val="minor"/>
      </rPr>
      <t>C04737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</si>
  <si>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</si>
  <si>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1"/>
        <color rgb="FF1155CC"/>
        <rFont val="Arial"/>
        <family val="2"/>
      </rPr>
      <t>C04752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C04327</t>
    </r>
  </si>
  <si>
    <r>
      <rPr>
        <u/>
        <sz val="10"/>
        <color rgb="FF1155CC"/>
        <rFont val="Arial"/>
        <family val="2"/>
      </rPr>
      <t>C04823</t>
    </r>
  </si>
  <si>
    <r>
      <rPr>
        <u/>
        <sz val="11"/>
        <color rgb="FF1155CC"/>
        <rFont val="Arial"/>
        <family val="2"/>
        <scheme val="minor"/>
      </rPr>
      <t>C04882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C17556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</si>
  <si>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</si>
  <si>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1"/>
        <color rgb="FF1155CC"/>
        <rFont val="Arial"/>
        <family val="2"/>
        <scheme val="minor"/>
      </rPr>
      <t>C04911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</si>
  <si>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</si>
  <si>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C04916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</si>
  <si>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0"/>
        <color rgb="FF1155CC"/>
        <rFont val="Arial"/>
        <family val="2"/>
      </rPr>
      <t>C05167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</si>
  <si>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</si>
  <si>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C05167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</si>
  <si>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C05198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</si>
  <si>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C05270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</si>
  <si>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C05274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</si>
  <si>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0"/>
        <color rgb="FF1155CC"/>
        <rFont val="Arial"/>
        <family val="2"/>
      </rPr>
      <t>C05378</t>
    </r>
  </si>
  <si>
    <r>
      <rPr>
        <u/>
        <sz val="11"/>
        <color rgb="FF1155CC"/>
        <rFont val="Arial"/>
        <family val="2"/>
        <scheme val="minor"/>
      </rPr>
      <t>C05378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</si>
  <si>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C05382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C00118</t>
    </r>
  </si>
  <si>
    <r>
      <rPr>
        <u/>
        <sz val="11"/>
        <color rgb="FF1155CC"/>
        <rFont val="Arial"/>
        <family val="2"/>
        <scheme val="minor"/>
      </rPr>
      <t>C05399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</si>
  <si>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</si>
  <si>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</si>
  <si>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</si>
  <si>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</si>
  <si>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</si>
  <si>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C05444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</si>
  <si>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</si>
  <si>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C05689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</si>
  <si>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C05698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C04489</t>
    </r>
  </si>
  <si>
    <r>
      <rPr>
        <u/>
        <sz val="11"/>
        <color rgb="FF1155CC"/>
        <rFont val="Arial"/>
        <family val="2"/>
        <scheme val="minor"/>
      </rPr>
      <t>C05699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</si>
  <si>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</si>
  <si>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0"/>
        <color rgb="FF1155CC"/>
        <rFont val="Arial"/>
        <family val="2"/>
      </rPr>
      <t>C05747</t>
    </r>
  </si>
  <si>
    <r>
      <rPr>
        <u/>
        <sz val="11"/>
        <color rgb="FF1155CC"/>
        <rFont val="Arial"/>
        <family val="2"/>
      </rPr>
      <t>C05747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</si>
  <si>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C05749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</si>
  <si>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</si>
  <si>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</si>
  <si>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0"/>
        <color rgb="FF1155CC"/>
        <rFont val="Arial"/>
        <family val="2"/>
      </rPr>
      <t>C05757</t>
    </r>
  </si>
  <si>
    <r>
      <rPr>
        <u/>
        <sz val="11"/>
        <color rgb="FF1155CC"/>
        <rFont val="Arial"/>
        <family val="2"/>
      </rPr>
      <t>C05757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</si>
  <si>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</rPr>
      <t>C05761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</si>
  <si>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C05764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</si>
  <si>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  <scheme val="minor"/>
      </rPr>
      <t>C05796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</si>
  <si>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C05811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</si>
  <si>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C05823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</si>
  <si>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C05847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C03657</t>
    </r>
  </si>
  <si>
    <r>
      <rPr>
        <u/>
        <sz val="11"/>
        <color rgb="FF1155CC"/>
        <rFont val="Arial"/>
        <family val="2"/>
        <scheme val="minor"/>
      </rPr>
      <t>C05921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C06249</t>
    </r>
  </si>
  <si>
    <r>
      <rPr>
        <u/>
        <sz val="11"/>
        <color rgb="FF1155CC"/>
        <rFont val="Arial"/>
        <family val="2"/>
      </rPr>
      <t>C05984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</si>
  <si>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0"/>
        <color rgb="FF1155CC"/>
        <rFont val="Arial"/>
        <family val="2"/>
      </rPr>
      <t>C06010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</si>
  <si>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</si>
  <si>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C06010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</si>
  <si>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</si>
  <si>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</si>
  <si>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0"/>
        <color rgb="FF1155CC"/>
        <rFont val="Arial"/>
        <family val="2"/>
      </rPr>
      <t>C06030</t>
    </r>
  </si>
  <si>
    <r>
      <rPr>
        <u/>
        <sz val="11"/>
        <color rgb="FF1155CC"/>
        <rFont val="Arial"/>
        <family val="2"/>
        <scheme val="minor"/>
      </rPr>
      <t>C06037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</si>
  <si>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</si>
  <si>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</si>
  <si>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C06055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</si>
  <si>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C06125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</si>
  <si>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</si>
  <si>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</si>
  <si>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C06156</t>
    </r>
  </si>
  <si>
    <r>
      <rPr>
        <u/>
        <sz val="11"/>
        <color rgb="FF1155CC"/>
        <rFont val="Arial"/>
        <family val="2"/>
        <scheme val="minor"/>
      </rPr>
      <t>C06187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</si>
  <si>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</si>
  <si>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C06196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</si>
  <si>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C06244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</si>
  <si>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C06611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</si>
  <si>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C0661</t>
    </r>
    <r>
      <rPr>
        <sz val="11"/>
        <rFont val="Arial"/>
        <family val="2"/>
      </rPr>
      <t xml:space="preserve">2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</si>
  <si>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C06715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</si>
  <si>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  <scheme val="minor"/>
      </rPr>
      <t>C06892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</si>
  <si>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</rPr>
      <t>C06899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</si>
  <si>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C07118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</si>
  <si>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0"/>
        <color rgb="FF1155CC"/>
        <rFont val="Arial"/>
        <family val="2"/>
      </rPr>
      <t>C07335</t>
    </r>
  </si>
  <si>
    <r>
      <rPr>
        <u/>
        <sz val="10"/>
        <color rgb="FF1155CC"/>
        <rFont val="Arial"/>
        <family val="2"/>
      </rPr>
      <t>C07478</t>
    </r>
  </si>
  <si>
    <r>
      <rPr>
        <u/>
        <sz val="11"/>
        <color rgb="FF1155CC"/>
        <rFont val="Arial"/>
        <family val="2"/>
      </rPr>
      <t>C07645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</si>
  <si>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C08353</t>
    </r>
  </si>
  <si>
    <r>
      <rPr>
        <u/>
        <sz val="11"/>
        <color rgb="FF1155CC"/>
        <rFont val="Arial"/>
        <family val="2"/>
        <scheme val="minor"/>
      </rPr>
      <t>C09815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</si>
  <si>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C11038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</si>
  <si>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0"/>
        <color rgb="FF1155CC"/>
        <rFont val="Arial"/>
        <family val="2"/>
      </rPr>
      <t>C11039</t>
    </r>
  </si>
  <si>
    <r>
      <rPr>
        <u/>
        <sz val="11"/>
        <color rgb="FF1155CC"/>
        <rFont val="Arial"/>
        <family val="2"/>
      </rPr>
      <t>C11215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</si>
  <si>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C11435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</si>
  <si>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  <scheme val="minor"/>
      </rPr>
      <t>C11439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</si>
  <si>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C11736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</si>
  <si>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</rPr>
      <t>C1408</t>
    </r>
    <r>
      <rPr>
        <sz val="11"/>
        <rFont val="Arial"/>
        <family val="2"/>
      </rPr>
      <t xml:space="preserve">9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</si>
  <si>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C14899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</si>
  <si>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0"/>
        <color rgb="FF1155CC"/>
        <rFont val="Arial"/>
        <family val="2"/>
      </rPr>
      <t>C15667</t>
    </r>
  </si>
  <si>
    <r>
      <rPr>
        <u/>
        <sz val="11"/>
        <color rgb="FF1155CC"/>
        <rFont val="Arial"/>
        <family val="2"/>
        <scheme val="minor"/>
      </rPr>
      <t>C15812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C00030</t>
    </r>
  </si>
  <si>
    <r>
      <rPr>
        <u/>
        <sz val="11"/>
        <color rgb="FF1155CC"/>
        <rFont val="Arial"/>
        <family val="2"/>
      </rPr>
      <t>C15973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</si>
  <si>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C16169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</si>
  <si>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C16173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</si>
  <si>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  <scheme val="minor"/>
      </rPr>
      <t>C16238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C16240</t>
    </r>
  </si>
  <si>
    <r>
      <rPr>
        <u/>
        <sz val="11"/>
        <color rgb="FF1155CC"/>
        <rFont val="Arial"/>
        <family val="2"/>
      </rPr>
      <t>C16310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</si>
  <si>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</si>
  <si>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</si>
  <si>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C16339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</si>
  <si>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C16466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</si>
  <si>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C16471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</si>
  <si>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C16586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</si>
  <si>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C16595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</si>
  <si>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  <scheme val="minor"/>
      </rPr>
      <t>C16618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</si>
  <si>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</si>
  <si>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C16635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</si>
  <si>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C16688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</si>
  <si>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</si>
  <si>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1"/>
        <color rgb="FF1155CC"/>
        <rFont val="Arial"/>
        <family val="2"/>
      </rPr>
      <t>C16832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</si>
  <si>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C17324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</si>
  <si>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C17551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</si>
  <si>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</rPr>
      <t>C17562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C00019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</si>
  <si>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</si>
  <si>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</si>
  <si>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</rPr>
      <t>C19673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</si>
  <si>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  <scheme val="minor"/>
      </rPr>
      <t>C19722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</si>
  <si>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C19771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C03688</t>
    </r>
  </si>
  <si>
    <r>
      <rPr>
        <u/>
        <sz val="11"/>
        <color rgb="FF1155CC"/>
        <rFont val="Arial"/>
        <family val="2"/>
        <scheme val="minor"/>
      </rPr>
      <t>C20267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</si>
  <si>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</si>
  <si>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C20373</t>
    </r>
  </si>
  <si>
    <r>
      <rPr>
        <u/>
        <sz val="11"/>
        <color rgb="FF1155CC"/>
        <rFont val="Arial"/>
        <family val="2"/>
      </rPr>
      <t>C20375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</si>
  <si>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</si>
  <si>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C20377</t>
    </r>
  </si>
  <si>
    <r>
      <rPr>
        <u/>
        <sz val="11"/>
        <color rgb="FF1155CC"/>
        <rFont val="Arial"/>
        <family val="2"/>
      </rPr>
      <t>C20641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C17324</t>
    </r>
  </si>
  <si>
    <r>
      <rPr>
        <u/>
        <sz val="11"/>
        <color rgb="FF1155CC"/>
        <rFont val="Arial"/>
        <family val="2"/>
        <scheme val="minor"/>
      </rPr>
      <t>C20904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</si>
  <si>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C21750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</si>
  <si>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0"/>
        <color rgb="FF1155CC"/>
        <rFont val="Arial"/>
        <family val="2"/>
      </rPr>
      <t>C22395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</si>
  <si>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</si>
  <si>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</si>
  <si>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</rPr>
      <t>C23006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</si>
  <si>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</si>
  <si>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C23016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</si>
  <si>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C23021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</si>
  <si>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  <scheme val="minor"/>
      </rPr>
      <t>G00092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</si>
  <si>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</si>
  <si>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</si>
  <si>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</si>
  <si>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</si>
  <si>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</si>
  <si>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</si>
  <si>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G00278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</si>
  <si>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</si>
  <si>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G00370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</si>
  <si>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G00497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</si>
  <si>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</si>
  <si>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</si>
  <si>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G01977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</si>
  <si>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G10488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</si>
  <si>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(n)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</si>
  <si>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</si>
  <si>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</si>
  <si>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</si>
  <si>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</si>
  <si>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</si>
  <si>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</si>
  <si>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G10534</t>
    </r>
    <r>
      <rPr>
        <sz val="11"/>
        <color rgb="FF000000"/>
        <rFont val="Arial"/>
        <family val="2"/>
        <scheme val="minor"/>
      </rPr>
      <t xml:space="preserve">(n+1)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</si>
  <si>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G10545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</si>
  <si>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  <scheme val="minor"/>
      </rPr>
      <t>G11122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</si>
  <si>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t xml:space="preserve">n </t>
    </r>
    <r>
      <rPr>
        <u/>
        <sz val="11"/>
        <color rgb="FF1155CC"/>
        <rFont val="Arial"/>
        <family val="2"/>
        <scheme val="minor"/>
      </rPr>
      <t>C00201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</si>
  <si>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C20565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</si>
  <si>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C00169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</si>
  <si>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C00169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</si>
  <si>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C00006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C05703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</si>
  <si>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C20796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</si>
  <si>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C00332</t>
    </r>
  </si>
  <si>
    <r>
      <rPr>
        <u/>
        <sz val="11"/>
        <color rgb="FF1155CC"/>
        <rFont val="Arial"/>
        <family val="2"/>
      </rPr>
      <t>C00064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</si>
  <si>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C00007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</si>
  <si>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</si>
  <si>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G00092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</si>
  <si>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</si>
  <si>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C00993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</si>
  <si>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</si>
  <si>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</si>
  <si>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</si>
  <si>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C00075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</si>
  <si>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</si>
  <si>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</si>
  <si>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</si>
  <si>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</si>
  <si>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</si>
  <si>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C03287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</si>
  <si>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C00064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</si>
  <si>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</si>
  <si>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</si>
  <si>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C04334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</si>
  <si>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</si>
  <si>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</si>
  <si>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C02412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</si>
  <si>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</si>
  <si>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C04494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</si>
  <si>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</si>
  <si>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C01931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</si>
  <si>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C03082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</si>
  <si>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</si>
  <si>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</si>
  <si>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C00112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</si>
  <si>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</si>
  <si>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C02163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</si>
  <si>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C02553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</si>
  <si>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C06481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</si>
  <si>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C02430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</si>
  <si>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</si>
  <si>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</si>
  <si>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C03512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</si>
  <si>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C03511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</si>
  <si>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C02839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</si>
  <si>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C03125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</si>
  <si>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C00498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</si>
  <si>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</si>
  <si>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</si>
  <si>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</si>
  <si>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</si>
  <si>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</si>
  <si>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C05921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</si>
  <si>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C04681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</si>
  <si>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</si>
  <si>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C02047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</si>
  <si>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</si>
  <si>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G13180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</si>
  <si>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</si>
  <si>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</si>
  <si>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</si>
  <si>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G13179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</si>
  <si>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G13186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</si>
  <si>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G13193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</si>
  <si>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C02988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</si>
  <si>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</si>
  <si>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C02702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</si>
  <si>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C03402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</si>
  <si>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C02876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</si>
  <si>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C02554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</si>
  <si>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C02992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</si>
  <si>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C00131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</si>
  <si>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C00364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</si>
  <si>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C01172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</si>
  <si>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C00705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</si>
  <si>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C02527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</si>
  <si>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</si>
  <si>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C01102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</si>
  <si>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C00668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</si>
  <si>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C20969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</si>
  <si>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</si>
  <si>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C00231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</si>
  <si>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</si>
  <si>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</si>
  <si>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C00286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</si>
  <si>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C00361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</si>
  <si>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</si>
  <si>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</si>
  <si>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C01346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</si>
  <si>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</si>
  <si>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C00404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</si>
  <si>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C03127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</si>
  <si>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C01107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</si>
  <si>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C00201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</si>
  <si>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</si>
  <si>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</si>
  <si>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C00365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</si>
  <si>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C01167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</si>
  <si>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</si>
  <si>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</si>
  <si>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C04877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</si>
  <si>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</si>
  <si>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C01134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</si>
  <si>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</si>
  <si>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C03492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</si>
  <si>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C00010</t>
    </r>
  </si>
  <si>
    <r>
      <rPr>
        <u/>
        <sz val="11"/>
        <color rgb="FF1155CC"/>
        <rFont val="Arial"/>
        <family val="2"/>
      </rPr>
      <t>C19771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</si>
  <si>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</si>
  <si>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C01212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</si>
  <si>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C00354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</si>
  <si>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C05378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</si>
  <si>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C01143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</si>
  <si>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C00882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</si>
  <si>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</si>
  <si>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C00857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</si>
  <si>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C00692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</si>
  <si>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C04556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</si>
  <si>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C01345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</si>
  <si>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</si>
  <si>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C00169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</si>
  <si>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C03838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</si>
  <si>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C15667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</si>
  <si>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C00445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</si>
  <si>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</si>
  <si>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</si>
  <si>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C04752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</si>
  <si>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C03373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</si>
  <si>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C04823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</si>
  <si>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C04882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</si>
  <si>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C05691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</si>
  <si>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C05336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</si>
  <si>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C00447</t>
    </r>
  </si>
  <si>
    <r>
      <rPr>
        <u/>
        <sz val="11"/>
        <color rgb="FF1155CC"/>
        <rFont val="Arial"/>
        <family val="2"/>
      </rPr>
      <t>C00536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C06508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</si>
  <si>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C04702</t>
    </r>
  </si>
  <si>
    <r>
      <rPr>
        <u/>
        <sz val="11"/>
        <color rgb="FF1155CC"/>
        <rFont val="Arial"/>
        <family val="2"/>
        <scheme val="minor"/>
      </rPr>
      <t>C22160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</si>
  <si>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C16238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</si>
  <si>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</si>
  <si>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C02051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</si>
  <si>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C15972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</si>
  <si>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C21749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</si>
  <si>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C21751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</si>
  <si>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(n+m)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</si>
  <si>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</si>
  <si>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C02188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C20658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</si>
  <si>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</si>
  <si>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C00054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C00229</t>
    </r>
  </si>
  <si>
    <r>
      <rPr>
        <u/>
        <sz val="11"/>
        <color rgb="FF1155CC"/>
        <rFont val="Arial"/>
        <family val="2"/>
        <scheme val="minor"/>
      </rPr>
      <t>C00148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C00012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</si>
  <si>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</si>
  <si>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C01563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</si>
  <si>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C04153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</si>
  <si>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C03391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</si>
  <si>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C04157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</si>
  <si>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C04160</t>
    </r>
  </si>
  <si>
    <r>
      <rPr>
        <u/>
        <sz val="11"/>
        <color rgb="FF1155CC"/>
        <rFont val="Arial"/>
        <family val="2"/>
      </rPr>
      <t>C05198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C05312</t>
    </r>
  </si>
  <si>
    <r>
      <rPr>
        <u/>
        <sz val="11"/>
        <color rgb="FF1155CC"/>
        <rFont val="Arial"/>
        <family val="2"/>
      </rPr>
      <t>C00073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C19647</t>
    </r>
  </si>
  <si>
    <r>
      <rPr>
        <u/>
        <sz val="11"/>
        <color rgb="FF1155CC"/>
        <rFont val="Arial"/>
        <family val="2"/>
      </rPr>
      <t>C00021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C00390</t>
    </r>
  </si>
  <si>
    <r>
      <rPr>
        <u/>
        <sz val="11"/>
        <color rgb="FF1155CC"/>
        <rFont val="Arial"/>
        <family val="2"/>
        <scheme val="minor"/>
      </rPr>
      <t>C00212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</si>
  <si>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C03539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</si>
  <si>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1"/>
        <color rgb="FF1155CC"/>
        <rFont val="Arial"/>
        <family val="2"/>
      </rPr>
      <t>C00227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</si>
  <si>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</si>
  <si>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</si>
  <si>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C00227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</si>
  <si>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</si>
  <si>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C05269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</si>
  <si>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C00566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</si>
  <si>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</si>
  <si>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C04341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</si>
  <si>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C04501</t>
    </r>
  </si>
  <si>
    <r>
      <rPr>
        <u/>
        <sz val="10"/>
        <color rgb="FF1155CC"/>
        <rFont val="Arial"/>
        <family val="2"/>
      </rPr>
      <t>C00217</t>
    </r>
  </si>
  <si>
    <r>
      <rPr>
        <u/>
        <sz val="11"/>
        <color rgb="FF1155CC"/>
        <rFont val="Arial"/>
        <family val="2"/>
      </rPr>
      <t>C00026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</si>
  <si>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C00052</t>
    </r>
  </si>
  <si>
    <r>
      <rPr>
        <u/>
        <sz val="11"/>
        <color rgb="FF1155CC"/>
        <rFont val="Arial"/>
        <family val="2"/>
        <scheme val="minor"/>
      </rPr>
      <t>C00103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C00052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</si>
  <si>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</si>
  <si>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</si>
  <si>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C00264</t>
    </r>
  </si>
  <si>
    <r>
      <rPr>
        <u/>
        <sz val="10"/>
        <color rgb="FF1155CC"/>
        <rFont val="Arial"/>
        <family val="2"/>
      </rPr>
      <t>C00133</t>
    </r>
  </si>
  <si>
    <r>
      <rPr>
        <u/>
        <sz val="10"/>
        <color rgb="FF1155CC"/>
        <rFont val="Arial"/>
        <family val="2"/>
      </rPr>
      <t>C00203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</si>
  <si>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</si>
  <si>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</si>
  <si>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C03794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</si>
  <si>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C00105</t>
    </r>
  </si>
  <si>
    <r>
      <rPr>
        <u/>
        <sz val="11"/>
        <color rgb="FF1155CC"/>
        <rFont val="Arial"/>
        <family val="2"/>
        <scheme val="minor"/>
      </rPr>
      <t>C00035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C00055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</si>
  <si>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</si>
  <si>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Arial"/>
        <family val="2"/>
      </rPr>
      <t>C03733</t>
    </r>
  </si>
  <si>
    <r>
      <rPr>
        <u/>
        <sz val="11"/>
        <color rgb="FF1155CC"/>
        <rFont val="Arial"/>
        <family val="2"/>
        <scheme val="minor"/>
      </rPr>
      <t>C00224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</si>
  <si>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</si>
  <si>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C00475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</si>
  <si>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C00112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</si>
  <si>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</si>
  <si>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C04352</t>
    </r>
  </si>
  <si>
    <r>
      <rPr>
        <u/>
        <sz val="11"/>
        <color rgb="FF1155CC"/>
        <rFont val="Arial"/>
        <family val="2"/>
      </rPr>
      <t>C00025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</si>
  <si>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</si>
  <si>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C02218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</si>
  <si>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</si>
  <si>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C04377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</si>
  <si>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C00078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</si>
  <si>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C03028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</si>
  <si>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</rPr>
      <t>C15999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</si>
  <si>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C00009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</si>
  <si>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</si>
  <si>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C04261</t>
    </r>
  </si>
  <si>
    <r>
      <rPr>
        <u/>
        <sz val="11"/>
        <color rgb="FF1155CC"/>
        <rFont val="Arial"/>
        <family val="2"/>
        <scheme val="minor"/>
      </rPr>
      <t>C00015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</si>
  <si>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</si>
  <si>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</si>
  <si>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C00043</t>
    </r>
  </si>
  <si>
    <r>
      <rPr>
        <u/>
        <sz val="11"/>
        <color rgb="FF1155CC"/>
        <rFont val="Arial"/>
        <family val="2"/>
      </rPr>
      <t>C00166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</si>
  <si>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1"/>
        <color rgb="FF1155CC"/>
        <rFont val="Arial"/>
        <family val="2"/>
        <scheme val="minor"/>
      </rPr>
      <t>C00104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</si>
  <si>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</rPr>
      <t>C00104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C00354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</si>
  <si>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C01209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</si>
  <si>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</si>
  <si>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</si>
  <si>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</si>
  <si>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C02232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</si>
  <si>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</si>
  <si>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</si>
  <si>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</si>
  <si>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</si>
  <si>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</si>
  <si>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  <scheme val="minor"/>
      </rPr>
      <t>C00283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</si>
  <si>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C05526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</si>
  <si>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  <scheme val="minor"/>
      </rPr>
      <t>C00065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C04161</t>
    </r>
  </si>
  <si>
    <r>
      <rPr>
        <u/>
        <sz val="11"/>
        <color rgb="FF1155CC"/>
        <rFont val="Arial"/>
        <family val="2"/>
      </rPr>
      <t>C00894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</si>
  <si>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C02876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</si>
  <si>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C03344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</si>
  <si>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</si>
  <si>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</si>
  <si>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</si>
  <si>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</si>
  <si>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C00008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C00234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</si>
  <si>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</si>
  <si>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C00106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</si>
  <si>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</rPr>
      <t>C00100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C00058</t>
    </r>
  </si>
  <si>
    <r>
      <rPr>
        <u/>
        <sz val="11"/>
        <color rgb="FF1155CC"/>
        <rFont val="Arial"/>
        <family val="2"/>
      </rPr>
      <t>C06006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C00068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</si>
  <si>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</si>
  <si>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</si>
  <si>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C00199</t>
    </r>
  </si>
  <si>
    <r>
      <rPr>
        <u/>
        <sz val="10"/>
        <color rgb="FF1155CC"/>
        <rFont val="Arial"/>
        <family val="2"/>
      </rPr>
      <t>C00111</t>
    </r>
  </si>
  <si>
    <r>
      <rPr>
        <u/>
        <sz val="10"/>
        <color rgb="FF1155CC"/>
        <rFont val="Arial"/>
        <family val="2"/>
      </rPr>
      <t>C00235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</si>
  <si>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</si>
  <si>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0"/>
        <color rgb="FF1155CC"/>
        <rFont val="Arial"/>
        <family val="2"/>
      </rPr>
      <t>C04734</t>
    </r>
  </si>
  <si>
    <r>
      <rPr>
        <u/>
        <sz val="11"/>
        <color rgb="FF1155CC"/>
        <rFont val="Arial"/>
        <family val="2"/>
      </rPr>
      <t>C00655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</si>
  <si>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</si>
  <si>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C00206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</si>
  <si>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</si>
  <si>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C00002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</si>
  <si>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C00691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</si>
  <si>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</si>
  <si>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C00065</t>
    </r>
  </si>
  <si>
    <r>
      <rPr>
        <u/>
        <sz val="11"/>
        <color rgb="FF1155CC"/>
        <rFont val="Arial"/>
        <family val="2"/>
        <scheme val="minor"/>
      </rPr>
      <t>C00387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</si>
  <si>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</si>
  <si>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C03912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</si>
  <si>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C00149</t>
    </r>
  </si>
  <si>
    <r>
      <rPr>
        <u/>
        <sz val="11"/>
        <color rgb="FF1155CC"/>
        <rFont val="Arial"/>
        <family val="2"/>
        <scheme val="minor"/>
      </rPr>
      <t>C00186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</si>
  <si>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C00036</t>
    </r>
  </si>
  <si>
    <r>
      <rPr>
        <u/>
        <sz val="11"/>
        <color rgb="FF1155CC"/>
        <rFont val="Arial"/>
        <family val="2"/>
      </rPr>
      <t>C00009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</si>
  <si>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  <scheme val="minor"/>
      </rPr>
      <t>C00147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C03089</t>
    </r>
  </si>
  <si>
    <r>
      <rPr>
        <u/>
        <sz val="11"/>
        <color rgb="FF1155CC"/>
        <rFont val="Arial"/>
        <family val="2"/>
      </rPr>
      <t>C02133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</si>
  <si>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C00681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</si>
  <si>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</si>
  <si>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</si>
  <si>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C20641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</si>
  <si>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</si>
  <si>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0"/>
        <color rgb="FF1155CC"/>
        <rFont val="Arial"/>
        <family val="2"/>
      </rPr>
      <t>C06019</t>
    </r>
  </si>
  <si>
    <r>
      <rPr>
        <u/>
        <sz val="11"/>
        <color rgb="FF1155CC"/>
        <rFont val="Arial"/>
        <family val="2"/>
        <scheme val="minor"/>
      </rPr>
      <t>C00454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</si>
  <si>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C00046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</si>
  <si>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C00008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</si>
  <si>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</si>
  <si>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C00294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</si>
  <si>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C00178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C00672</t>
    </r>
  </si>
  <si>
    <r>
      <rPr>
        <u/>
        <sz val="11"/>
        <color rgb="FF1155CC"/>
        <rFont val="Arial"/>
        <family val="2"/>
      </rPr>
      <t>C00071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</si>
  <si>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C04376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</si>
  <si>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C04734</t>
    </r>
  </si>
  <si>
    <r>
      <rPr>
        <u/>
        <sz val="11"/>
        <color rgb="FF1155CC"/>
        <rFont val="Arial"/>
        <family val="2"/>
        <scheme val="minor"/>
      </rPr>
      <t>C00881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</si>
  <si>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</si>
  <si>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</si>
  <si>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</si>
  <si>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C16698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</si>
  <si>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</si>
  <si>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C00441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</si>
  <si>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C03892</t>
    </r>
  </si>
  <si>
    <r>
      <rPr>
        <u/>
        <sz val="11"/>
        <color rgb="FF1155CC"/>
        <rFont val="Arial"/>
        <family val="2"/>
      </rPr>
      <t>C02953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</si>
  <si>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</si>
  <si>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</si>
  <si>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1"/>
        <color rgb="FF1155CC"/>
        <rFont val="Arial"/>
        <family val="2"/>
        <scheme val="minor"/>
      </rPr>
      <t>C00361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C00074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</si>
  <si>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</si>
  <si>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C00044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</si>
  <si>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</si>
  <si>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0"/>
        <color rgb="FF1155CC"/>
        <rFont val="Arial"/>
        <family val="2"/>
      </rPr>
      <t>C00438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</si>
  <si>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</si>
  <si>
    <r>
      <rPr>
        <u/>
        <sz val="11"/>
        <color rgb="FF1155CC"/>
        <rFont val="Arial"/>
        <family val="2"/>
      </rPr>
      <t>C00295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C00042</t>
    </r>
  </si>
  <si>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</si>
  <si>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</si>
  <si>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</si>
  <si>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</si>
  <si>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C00085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</si>
  <si>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C00024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C00332</t>
    </r>
  </si>
  <si>
    <r>
      <rPr>
        <u/>
        <sz val="11"/>
        <color rgb="FF1155CC"/>
        <rFont val="Arial"/>
        <family val="2"/>
        <scheme val="minor"/>
      </rPr>
      <t>C00352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C00033</t>
    </r>
  </si>
  <si>
    <r>
      <rPr>
        <u/>
        <sz val="11"/>
        <color rgb="FF1155CC"/>
        <rFont val="Arial"/>
        <family val="2"/>
        <scheme val="minor"/>
      </rPr>
      <t>C00559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</si>
  <si>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C00035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</si>
  <si>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  <scheme val="minor"/>
      </rPr>
      <t>C00330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</si>
  <si>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</si>
  <si>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</si>
  <si>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C00415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C00364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</si>
  <si>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</si>
  <si>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</si>
  <si>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C00404</t>
    </r>
    <r>
      <rPr>
        <sz val="11"/>
        <color rgb="FF000000"/>
        <rFont val="Arial"/>
        <family val="2"/>
        <scheme val="minor"/>
      </rPr>
      <t xml:space="preserve">(n-1)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</si>
  <si>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</si>
  <si>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</si>
  <si>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C00772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</si>
  <si>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C00356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</si>
  <si>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</si>
  <si>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</si>
  <si>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C03082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</si>
  <si>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C20258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</si>
  <si>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</si>
  <si>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C00279</t>
    </r>
  </si>
  <si>
    <r>
      <rPr>
        <u/>
        <sz val="11"/>
        <color rgb="FF1155CC"/>
        <rFont val="Arial"/>
        <family val="2"/>
        <scheme val="minor"/>
      </rPr>
      <t>C05382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</si>
  <si>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C03150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</si>
  <si>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</si>
  <si>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C00063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</si>
  <si>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</si>
  <si>
    <r>
      <rPr>
        <u/>
        <sz val="11"/>
        <color rgb="FF1155CC"/>
        <rFont val="Arial"/>
        <family val="2"/>
      </rPr>
      <t>C00075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</si>
  <si>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C00084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</si>
  <si>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</si>
  <si>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C00299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</si>
  <si>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C01962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</si>
  <si>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C00089</t>
    </r>
  </si>
  <si>
    <r>
      <rPr>
        <u/>
        <sz val="11"/>
        <color rgb="FF1155CC"/>
        <rFont val="Arial"/>
        <family val="2"/>
        <scheme val="minor"/>
      </rPr>
      <t>C05402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</si>
  <si>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</rPr>
      <t>C02637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</si>
  <si>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C00718</t>
    </r>
  </si>
  <si>
    <r>
      <rPr>
        <u/>
        <sz val="11"/>
        <color rgb="FF1155CC"/>
        <rFont val="Arial"/>
        <family val="2"/>
        <scheme val="minor"/>
      </rPr>
      <t>C01659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</si>
  <si>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C00966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</si>
  <si>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C00250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</si>
  <si>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</si>
  <si>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C00248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</si>
  <si>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C00681</t>
    </r>
  </si>
  <si>
    <r>
      <rPr>
        <u/>
        <sz val="11"/>
        <color rgb="FF1155CC"/>
        <rFont val="Arial"/>
        <family val="2"/>
        <scheme val="minor"/>
      </rPr>
      <t>C00041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C09306</t>
    </r>
  </si>
  <si>
    <r>
      <rPr>
        <u/>
        <sz val="10"/>
        <color rgb="FF1155CC"/>
        <rFont val="Arial"/>
        <family val="2"/>
      </rPr>
      <t>C00117</t>
    </r>
  </si>
  <si>
    <r>
      <rPr>
        <u/>
        <sz val="11"/>
        <color rgb="FF1155CC"/>
        <rFont val="Arial"/>
        <family val="2"/>
      </rPr>
      <t>C00027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C00018</t>
    </r>
  </si>
  <si>
    <r>
      <rPr>
        <u/>
        <sz val="11"/>
        <color rgb="FF1155CC"/>
        <rFont val="Arial"/>
        <family val="2"/>
        <scheme val="minor"/>
      </rPr>
      <t>C00074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</si>
  <si>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0"/>
        <color rgb="FF1155CC"/>
        <rFont val="Arial"/>
        <family val="2"/>
      </rPr>
      <t>C00197</t>
    </r>
  </si>
  <si>
    <r>
      <rPr>
        <u/>
        <sz val="11"/>
        <color rgb="FF1155CC"/>
        <rFont val="Arial"/>
        <family val="2"/>
      </rPr>
      <t>C00085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</si>
  <si>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C05345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</si>
  <si>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C00027</t>
    </r>
  </si>
  <si>
    <r>
      <rPr>
        <u/>
        <sz val="11"/>
        <color rgb="FF1155CC"/>
        <rFont val="Arial"/>
        <family val="2"/>
        <scheme val="minor"/>
      </rPr>
      <t>C01762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</si>
  <si>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C00385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</si>
  <si>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0"/>
        <color rgb="FF1155CC"/>
        <rFont val="Arial"/>
        <family val="2"/>
      </rPr>
      <t>C00092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</si>
  <si>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</si>
  <si>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C00680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</si>
  <si>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</si>
  <si>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C01172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</si>
  <si>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</si>
  <si>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0"/>
        <color rgb="FF1155CC"/>
        <rFont val="Arial"/>
        <family val="2"/>
      </rPr>
      <t>C00673</t>
    </r>
  </si>
  <si>
    <r>
      <rPr>
        <u/>
        <sz val="11"/>
        <color rgb="FF1155CC"/>
        <rFont val="Arial"/>
        <family val="2"/>
        <scheme val="minor"/>
      </rPr>
      <t>C00118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C00084</t>
    </r>
  </si>
  <si>
    <r>
      <rPr>
        <u/>
        <sz val="11"/>
        <color rgb="FF1155CC"/>
        <rFont val="Arial"/>
        <family val="2"/>
      </rPr>
      <t>C01801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C00002</t>
    </r>
  </si>
  <si>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C00039</t>
    </r>
    <r>
      <rPr>
        <sz val="11"/>
        <color rgb="FF000000"/>
        <rFont val="Arial"/>
        <family val="2"/>
        <scheme val="minor"/>
      </rPr>
      <t>(n+1)</t>
    </r>
  </si>
  <si>
    <r>
      <rPr>
        <u/>
        <sz val="11"/>
        <color rgb="FF1155CC"/>
        <rFont val="Arial"/>
        <family val="2"/>
      </rPr>
      <t>C03802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</si>
  <si>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  <scheme val="minor"/>
      </rPr>
      <t>C00047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</si>
  <si>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C04287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</si>
  <si>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C00112</t>
    </r>
  </si>
  <si>
    <r>
      <rPr>
        <u/>
        <sz val="11"/>
        <color rgb="FF1155CC"/>
        <rFont val="Arial"/>
        <family val="2"/>
      </rPr>
      <t>C00718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</si>
  <si>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C01545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</si>
  <si>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C00217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</si>
  <si>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Arial"/>
        <family val="2"/>
      </rPr>
      <t>C02097</t>
    </r>
  </si>
  <si>
    <r>
      <rPr>
        <u/>
        <sz val="11"/>
        <color rgb="FF1155CC"/>
        <rFont val="Arial"/>
        <family val="2"/>
        <scheme val="minor"/>
      </rPr>
      <t>C15584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</si>
  <si>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+ 2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</si>
  <si>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C01929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</si>
  <si>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C02764</t>
    </r>
  </si>
  <si>
    <r>
      <rPr>
        <u/>
        <sz val="11"/>
        <color rgb="FF1155CC"/>
        <rFont val="Arial"/>
        <family val="2"/>
        <scheme val="minor"/>
      </rPr>
      <t>C17322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</si>
  <si>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C00526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</si>
  <si>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</si>
  <si>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</si>
  <si>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Arial"/>
        <family val="2"/>
      </rPr>
      <t>C18094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</si>
  <si>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</si>
  <si>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C00097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C00094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C00033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</si>
  <si>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</si>
  <si>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C04631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</si>
  <si>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C00577</t>
    </r>
  </si>
  <si>
    <r>
      <rPr>
        <u/>
        <sz val="11"/>
        <color rgb="FF1155CC"/>
        <rFont val="Arial"/>
        <family val="2"/>
      </rPr>
      <t>C01267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C00025</t>
    </r>
  </si>
  <si>
    <r>
      <rPr>
        <u/>
        <sz val="10"/>
        <color rgb="FF1155CC"/>
        <rFont val="Arial"/>
        <family val="2"/>
      </rPr>
      <t>C00231</t>
    </r>
  </si>
  <si>
    <r>
      <rPr>
        <u/>
        <sz val="11"/>
        <color rgb="FF1155CC"/>
        <rFont val="Arial"/>
        <family val="2"/>
        <scheme val="minor"/>
      </rPr>
      <t>C00188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</si>
  <si>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</si>
  <si>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Arial"/>
        <family val="2"/>
      </rPr>
      <t>C01097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</si>
  <si>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</si>
  <si>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C04281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</si>
  <si>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C00197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C04262</t>
    </r>
  </si>
  <si>
    <r>
      <rPr>
        <u/>
        <sz val="11"/>
        <color rgb="FF1155CC"/>
        <rFont val="Arial"/>
        <family val="2"/>
      </rPr>
      <t>C03287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</si>
  <si>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</si>
  <si>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1"/>
        <color rgb="FF1155CC"/>
        <rFont val="Arial"/>
        <family val="2"/>
      </rPr>
      <t>C01236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</si>
  <si>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C05841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</si>
  <si>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C00253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C00080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</si>
  <si>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</si>
  <si>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</si>
  <si>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C00693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</si>
  <si>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C00685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</si>
  <si>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C01190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</si>
  <si>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C03506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</si>
  <si>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C00342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</si>
  <si>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</rPr>
      <t>C00136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</si>
  <si>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C05684</t>
    </r>
    <r>
      <rPr>
        <sz val="11"/>
        <color rgb="FF000000"/>
        <rFont val="Arial"/>
        <family val="2"/>
      </rPr>
      <t xml:space="preserve"> + 3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+ 5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</si>
  <si>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C01450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</si>
  <si>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C00492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</si>
  <si>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C05404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</si>
  <si>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C02984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</si>
  <si>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  <scheme val="minor"/>
      </rPr>
      <t>C02987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</si>
  <si>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C05261</t>
    </r>
  </si>
  <si>
    <r>
      <rPr>
        <u/>
        <sz val="11"/>
        <color rgb="FF1155CC"/>
        <rFont val="Arial"/>
        <family val="2"/>
      </rPr>
      <t>C00135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</si>
  <si>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C05265</t>
    </r>
  </si>
  <si>
    <r>
      <rPr>
        <u/>
        <sz val="11"/>
        <color rgb="FF1155CC"/>
        <rFont val="Arial"/>
        <family val="2"/>
      </rPr>
      <t>C20446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C00242</t>
    </r>
  </si>
  <si>
    <r>
      <rPr>
        <u/>
        <sz val="11"/>
        <color rgb="FF1155CC"/>
        <rFont val="Arial"/>
        <family val="2"/>
      </rPr>
      <t>C19647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C00030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</si>
  <si>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+ 3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</si>
  <si>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C19078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</si>
  <si>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Arial"/>
        <family val="2"/>
      </rPr>
      <t>C20904</t>
    </r>
  </si>
  <si>
    <r>
      <rPr>
        <u/>
        <sz val="11"/>
        <color rgb="FF1155CC"/>
        <rFont val="Arial"/>
        <family val="2"/>
        <scheme val="minor"/>
      </rPr>
      <t>C00155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</si>
  <si>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</rPr>
      <t>C00101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C03294</t>
    </r>
  </si>
  <si>
    <r>
      <rPr>
        <u/>
        <sz val="10"/>
        <color rgb="FF1155CC"/>
        <rFont val="Arial"/>
        <family val="2"/>
      </rPr>
      <t>C03453</t>
    </r>
  </si>
  <si>
    <r>
      <rPr>
        <u/>
        <sz val="11"/>
        <color rgb="FF1155CC"/>
        <rFont val="Arial"/>
        <family val="2"/>
        <scheme val="minor"/>
      </rPr>
      <t>C07086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</si>
  <si>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C00911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</si>
  <si>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C00468</t>
    </r>
  </si>
  <si>
    <r>
      <rPr>
        <u/>
        <sz val="11"/>
        <color rgb="FF1155CC"/>
        <rFont val="Arial"/>
        <family val="2"/>
      </rPr>
      <t>C20858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</si>
  <si>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C05259</t>
    </r>
  </si>
  <si>
    <r>
      <rPr>
        <u/>
        <sz val="11"/>
        <color rgb="FF1155CC"/>
        <rFont val="Arial"/>
        <family val="2"/>
      </rPr>
      <t>C22438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</si>
  <si>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C00954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</si>
  <si>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0"/>
        <color rgb="FF1155CC"/>
        <rFont val="Arial"/>
        <family val="2"/>
      </rPr>
      <t>C05817</t>
    </r>
  </si>
  <si>
    <r>
      <rPr>
        <u/>
        <sz val="11"/>
        <color rgb="FF1155CC"/>
        <rFont val="Arial"/>
        <family val="2"/>
        <scheme val="minor"/>
      </rPr>
      <t>C02741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</si>
  <si>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0"/>
        <color rgb="FF1155CC"/>
        <rFont val="Arial"/>
        <family val="2"/>
      </rPr>
      <t>C04896</t>
    </r>
  </si>
  <si>
    <r>
      <rPr>
        <u/>
        <sz val="11"/>
        <color rgb="FF1155CC"/>
        <rFont val="Arial"/>
        <family val="2"/>
        <scheme val="minor"/>
      </rPr>
      <t>C00812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</si>
  <si>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C00145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</si>
  <si>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  <scheme val="minor"/>
      </rPr>
      <t>C01336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</si>
  <si>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</rPr>
      <t>C14099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</si>
  <si>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0"/>
        <color rgb="FF1155CC"/>
        <rFont val="Arial"/>
        <family val="2"/>
      </rPr>
      <t>C18096</t>
    </r>
  </si>
  <si>
    <r>
      <rPr>
        <u/>
        <sz val="11"/>
        <color rgb="FF1155CC"/>
        <rFont val="Arial"/>
        <family val="2"/>
      </rPr>
      <t>C02051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</si>
  <si>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C02713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C00041</t>
    </r>
  </si>
  <si>
    <r>
      <rPr>
        <u/>
        <sz val="11"/>
        <color rgb="FF1155CC"/>
        <rFont val="Arial"/>
        <family val="2"/>
      </rPr>
      <t>C03895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</si>
  <si>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C15653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</si>
  <si>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  <scheme val="minor"/>
      </rPr>
      <t>C01035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</si>
  <si>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C00712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</si>
  <si>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C04309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</si>
  <si>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C00062</t>
    </r>
  </si>
  <si>
    <r>
      <rPr>
        <u/>
        <sz val="11"/>
        <color rgb="FF1155CC"/>
        <rFont val="Arial"/>
        <family val="2"/>
        <scheme val="minor"/>
      </rPr>
      <t>C00463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</si>
  <si>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C11838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C00155</t>
    </r>
  </si>
  <si>
    <r>
      <rPr>
        <u/>
        <sz val="11"/>
        <color rgb="FF1155CC"/>
        <rFont val="Arial"/>
        <family val="2"/>
        <scheme val="minor"/>
      </rPr>
      <t>C00060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</si>
  <si>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</si>
  <si>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0"/>
        <color rgb="FF1155CC"/>
        <rFont val="Arial"/>
        <family val="2"/>
      </rPr>
      <t>C03633</t>
    </r>
  </si>
  <si>
    <r>
      <rPr>
        <u/>
        <sz val="11"/>
        <color rgb="FF1155CC"/>
        <rFont val="Arial"/>
        <family val="2"/>
      </rPr>
      <t>C04376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C00101</t>
    </r>
  </si>
  <si>
    <r>
      <rPr>
        <u/>
        <sz val="11"/>
        <color rgb="FF1155CC"/>
        <rFont val="Arial"/>
        <family val="2"/>
        <scheme val="minor"/>
      </rPr>
      <t>C03523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C00066</t>
    </r>
  </si>
  <si>
    <r>
      <rPr>
        <u/>
        <sz val="11"/>
        <color rgb="FF1155CC"/>
        <rFont val="Arial"/>
        <family val="2"/>
        <scheme val="minor"/>
      </rPr>
      <t>C00344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</si>
  <si>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</si>
  <si>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</si>
  <si>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C20258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</si>
  <si>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C05539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C00010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</si>
  <si>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</si>
  <si>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C02090</t>
    </r>
  </si>
  <si>
    <r>
      <rPr>
        <u/>
        <sz val="11"/>
        <color rgb="FF1155CC"/>
        <rFont val="Arial"/>
        <family val="2"/>
      </rPr>
      <t>C03723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C16663</t>
    </r>
  </si>
  <si>
    <r>
      <rPr>
        <u/>
        <sz val="11"/>
        <color rgb="FF1155CC"/>
        <rFont val="Arial"/>
        <family val="2"/>
      </rPr>
      <t>C03800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C11475</t>
    </r>
  </si>
  <si>
    <r>
      <rPr>
        <u/>
        <sz val="11"/>
        <color rgb="FF1155CC"/>
        <rFont val="Arial"/>
        <family val="2"/>
        <scheme val="minor"/>
      </rPr>
      <t>C00058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C03617</t>
    </r>
  </si>
  <si>
    <r>
      <rPr>
        <u/>
        <sz val="11"/>
        <color rgb="FF1155CC"/>
        <rFont val="Arial"/>
        <family val="2"/>
      </rPr>
      <t>C00615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C00644</t>
    </r>
  </si>
  <si>
    <r>
      <rPr>
        <u/>
        <sz val="10"/>
        <color rgb="FF1155CC"/>
        <rFont val="Arial"/>
        <family val="2"/>
      </rPr>
      <t>C16737</t>
    </r>
  </si>
  <si>
    <r>
      <rPr>
        <u/>
        <sz val="11"/>
        <color rgb="FF1155CC"/>
        <rFont val="Arial"/>
        <family val="2"/>
      </rPr>
      <t>C00108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C00119</t>
    </r>
  </si>
  <si>
    <r>
      <rPr>
        <u/>
        <sz val="11"/>
        <color rgb="FF1155CC"/>
        <rFont val="Arial"/>
        <family val="2"/>
        <scheme val="minor"/>
      </rPr>
      <t>C01134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</si>
  <si>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</rPr>
      <t>C04144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C00073</t>
    </r>
  </si>
  <si>
    <r>
      <rPr>
        <u/>
        <sz val="11"/>
        <color rgb="FF1155CC"/>
        <rFont val="Arial"/>
        <family val="2"/>
        <scheme val="minor"/>
      </rPr>
      <t>C01228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</si>
  <si>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</si>
  <si>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C17556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</si>
  <si>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C04246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</si>
  <si>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C05744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</si>
  <si>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C05754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</si>
  <si>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</si>
  <si>
    <r>
      <rPr>
        <u/>
        <sz val="11"/>
        <color rgb="FF1155CC"/>
        <rFont val="Arial"/>
        <family val="2"/>
        <scheme val="minor"/>
      </rPr>
      <t>C05751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</si>
  <si>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</si>
  <si>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C05763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</si>
  <si>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</si>
  <si>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C16618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</si>
  <si>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C01267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</si>
  <si>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C05760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</si>
  <si>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</si>
  <si>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C04851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</si>
  <si>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C01290</t>
    </r>
  </si>
  <si>
    <r>
      <rPr>
        <u/>
        <sz val="11"/>
        <color rgb="FF1155CC"/>
        <rFont val="Arial"/>
        <family val="2"/>
        <scheme val="minor"/>
      </rPr>
      <t>C03373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</si>
  <si>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C01081</t>
    </r>
  </si>
  <si>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C01081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</si>
  <si>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  <scheme val="minor"/>
      </rPr>
      <t>C00122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C04677</t>
    </r>
  </si>
  <si>
    <r>
      <rPr>
        <u/>
        <sz val="11"/>
        <color rgb="FF1155CC"/>
        <rFont val="Arial"/>
        <family val="2"/>
      </rPr>
      <t>C05893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</si>
  <si>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  <scheme val="minor"/>
      </rPr>
      <t>C00105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C05897</t>
    </r>
  </si>
  <si>
    <r>
      <rPr>
        <u/>
        <sz val="10"/>
        <color rgb="FF1155CC"/>
        <rFont val="Arial"/>
        <family val="2"/>
      </rPr>
      <t>C04916</t>
    </r>
  </si>
  <si>
    <r>
      <rPr>
        <u/>
        <sz val="11"/>
        <color rgb="FF1155CC"/>
        <rFont val="Arial"/>
        <family val="2"/>
        <scheme val="minor"/>
      </rPr>
      <t>C04884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</si>
  <si>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</si>
  <si>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C04666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C04677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</si>
  <si>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C00161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</si>
  <si>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</si>
  <si>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C00161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</si>
  <si>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C22288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C00147</t>
    </r>
  </si>
  <si>
    <r>
      <rPr>
        <u/>
        <sz val="11"/>
        <color rgb="FF1155CC"/>
        <rFont val="Arial"/>
        <family val="2"/>
      </rPr>
      <t>C05759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</si>
  <si>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C05267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</si>
  <si>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C05263</t>
    </r>
  </si>
  <si>
    <r>
      <rPr>
        <u/>
        <sz val="11"/>
        <color rgb="FF1155CC"/>
        <rFont val="Arial"/>
        <family val="2"/>
        <scheme val="minor"/>
      </rPr>
      <t>C00111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C00118</t>
    </r>
  </si>
  <si>
    <r>
      <rPr>
        <u/>
        <sz val="11"/>
        <color rgb="FF1155CC"/>
        <rFont val="Arial"/>
        <family val="2"/>
        <scheme val="minor"/>
      </rPr>
      <t>C05345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</si>
  <si>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C00279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C00085</t>
    </r>
  </si>
  <si>
    <r>
      <rPr>
        <u/>
        <sz val="11"/>
        <color rgb="FF1155CC"/>
        <rFont val="Arial"/>
        <family val="2"/>
        <scheme val="minor"/>
      </rPr>
      <t>C00794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</si>
  <si>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</si>
  <si>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C00116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</si>
  <si>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</si>
  <si>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</si>
  <si>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C05402</t>
    </r>
  </si>
  <si>
    <r>
      <rPr>
        <u/>
        <sz val="11"/>
        <color rgb="FF1155CC"/>
        <rFont val="Arial"/>
        <family val="2"/>
      </rPr>
      <t>C05445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</si>
  <si>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C05577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</si>
  <si>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C05703</t>
    </r>
  </si>
  <si>
    <r>
      <rPr>
        <u/>
        <sz val="11"/>
        <color rgb="FF1155CC"/>
        <rFont val="Arial"/>
        <family val="2"/>
      </rPr>
      <t>C05335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C04144</t>
    </r>
  </si>
  <si>
    <r>
      <rPr>
        <u/>
        <sz val="11"/>
        <color rgb="FF1155CC"/>
        <rFont val="Arial"/>
        <family val="2"/>
        <scheme val="minor"/>
      </rPr>
      <t>C05698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C00022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</si>
  <si>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</si>
  <si>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  <scheme val="minor"/>
      </rPr>
      <t>C05748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</si>
  <si>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C05746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</si>
  <si>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</si>
  <si>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</si>
  <si>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</si>
  <si>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  <scheme val="minor"/>
      </rPr>
      <t>C05758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</si>
  <si>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C05756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</si>
  <si>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C05762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</si>
  <si>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C16219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</si>
  <si>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C05796</t>
    </r>
  </si>
  <si>
    <r>
      <rPr>
        <u/>
        <sz val="11"/>
        <color rgb="FF1155CC"/>
        <rFont val="Arial"/>
        <family val="2"/>
      </rPr>
      <t>C05812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</si>
  <si>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C00957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</si>
  <si>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C19847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</si>
  <si>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</rPr>
      <t>C05898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C00015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</si>
  <si>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C06250</t>
    </r>
  </si>
  <si>
    <r>
      <rPr>
        <u/>
        <sz val="11"/>
        <color rgb="FF1155CC"/>
        <rFont val="Arial"/>
        <family val="2"/>
      </rPr>
      <t>C00109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</si>
  <si>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C00810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</si>
  <si>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sz val="11"/>
        <color rgb="FF000000"/>
        <rFont val="Arial"/>
        <family val="2"/>
      </rPr>
      <t xml:space="preserve">2 </t>
    </r>
    <r>
      <rPr>
        <u/>
        <sz val="11"/>
        <color rgb="FF1155CC"/>
        <rFont val="Arial"/>
        <family val="2"/>
      </rPr>
      <t>C00022</t>
    </r>
  </si>
  <si>
    <r>
      <rPr>
        <u/>
        <sz val="11"/>
        <color rgb="FF1155CC"/>
        <rFont val="Arial"/>
        <family val="2"/>
      </rPr>
      <t>C05125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C00022</t>
    </r>
  </si>
  <si>
    <r>
      <rPr>
        <u/>
        <sz val="10"/>
        <color rgb="FF1155CC"/>
        <rFont val="Arial"/>
        <family val="2"/>
      </rPr>
      <t>C00085</t>
    </r>
  </si>
  <si>
    <r>
      <rPr>
        <u/>
        <sz val="10"/>
        <color rgb="FF1155CC"/>
        <rFont val="Arial"/>
        <family val="2"/>
      </rPr>
      <t>C05345</t>
    </r>
  </si>
  <si>
    <r>
      <rPr>
        <u/>
        <sz val="11"/>
        <color rgb="FF1155CC"/>
        <rFont val="Arial"/>
        <family val="2"/>
        <scheme val="minor"/>
      </rPr>
      <t>C00109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</si>
  <si>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1"/>
        <color rgb="FF1155CC"/>
        <rFont val="Arial"/>
        <family val="2"/>
        <scheme val="minor"/>
      </rPr>
      <t>C03692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</si>
  <si>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C06056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</si>
  <si>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</rPr>
      <t>C07335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</si>
  <si>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</si>
  <si>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</si>
  <si>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  <scheme val="minor"/>
      </rPr>
      <t>C02686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</si>
  <si>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C06135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</si>
  <si>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0"/>
        <color rgb="FF1155CC"/>
        <rFont val="Arial"/>
        <family val="2"/>
      </rPr>
      <t>C00352</t>
    </r>
  </si>
  <si>
    <r>
      <rPr>
        <u/>
        <sz val="11"/>
        <color rgb="FF1155CC"/>
        <rFont val="Arial"/>
        <family val="2"/>
        <scheme val="minor"/>
      </rPr>
      <t>C00530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</si>
  <si>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1"/>
        <color rgb="FF1155CC"/>
        <rFont val="Arial"/>
        <family val="2"/>
        <scheme val="minor"/>
      </rPr>
      <t>C02323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C01172</t>
    </r>
  </si>
  <si>
    <r>
      <rPr>
        <u/>
        <sz val="11"/>
        <color rgb="FF1155CC"/>
        <rFont val="Arial"/>
        <family val="2"/>
        <scheme val="minor"/>
      </rPr>
      <t>C05512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C00009</t>
    </r>
  </si>
  <si>
    <r>
      <rPr>
        <u/>
        <sz val="11"/>
        <color rgb="FF1155CC"/>
        <rFont val="Arial"/>
        <family val="2"/>
        <scheme val="minor"/>
      </rPr>
      <t>C00033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</si>
  <si>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C06613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</si>
  <si>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C16348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</si>
  <si>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C00527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</si>
  <si>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  <scheme val="minor"/>
      </rPr>
      <t>C06893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</si>
  <si>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</rPr>
      <t>C07490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</si>
  <si>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C00512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</si>
  <si>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C11638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</si>
  <si>
    <r>
      <rPr>
        <u/>
        <sz val="10"/>
        <color rgb="FF1155CC"/>
        <rFont val="Arial"/>
        <family val="2"/>
      </rPr>
      <t>C07479</t>
    </r>
  </si>
  <si>
    <r>
      <rPr>
        <u/>
        <sz val="11"/>
        <color rgb="FF1155CC"/>
        <rFont val="Arial"/>
        <family val="2"/>
      </rPr>
      <t>C16551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</si>
  <si>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0"/>
        <color rgb="FF1155CC"/>
        <rFont val="Arial"/>
        <family val="2"/>
      </rPr>
      <t>C16639</t>
    </r>
  </si>
  <si>
    <r>
      <rPr>
        <u/>
        <sz val="11"/>
        <color rgb="FF1155CC"/>
        <rFont val="Arial"/>
        <family val="2"/>
        <scheme val="minor"/>
      </rPr>
      <t>C00180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</si>
  <si>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C11039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</si>
  <si>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0"/>
        <color rgb="FF1155CC"/>
        <rFont val="Arial"/>
        <family val="2"/>
      </rPr>
      <t>C21031</t>
    </r>
  </si>
  <si>
    <r>
      <rPr>
        <u/>
        <sz val="11"/>
        <color rgb="FF1155CC"/>
        <rFont val="Arial"/>
        <family val="2"/>
      </rPr>
      <t>C06697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</si>
  <si>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  <scheme val="minor"/>
      </rPr>
      <t>C11440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C00058</t>
    </r>
  </si>
  <si>
    <r>
      <rPr>
        <u/>
        <sz val="11"/>
        <color rgb="FF1155CC"/>
        <rFont val="Arial"/>
        <family val="2"/>
        <scheme val="minor"/>
      </rPr>
      <t>C04242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</si>
  <si>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</rPr>
      <t>C14090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</si>
  <si>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C03291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C00011</t>
    </r>
  </si>
  <si>
    <r>
      <rPr>
        <u/>
        <sz val="10"/>
        <color rgb="FF1155CC"/>
        <rFont val="Arial"/>
        <family val="2"/>
      </rPr>
      <t>C04751</t>
    </r>
  </si>
  <si>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C15811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C00028</t>
    </r>
  </si>
  <si>
    <r>
      <rPr>
        <u/>
        <sz val="11"/>
        <color rgb="FF1155CC"/>
        <rFont val="Arial"/>
        <family val="2"/>
      </rPr>
      <t>C15972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</si>
  <si>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C16376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</si>
  <si>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C16389</t>
    </r>
  </si>
  <si>
    <r>
      <rPr>
        <u/>
        <sz val="11"/>
        <color rgb="FF1155CC"/>
        <rFont val="Arial"/>
        <family val="2"/>
      </rPr>
      <t>C16220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</si>
  <si>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C16237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</si>
  <si>
    <r>
      <rPr>
        <u/>
        <sz val="11"/>
        <color rgb="FF1155CC"/>
        <rFont val="Arial"/>
        <family val="2"/>
      </rPr>
      <t>C08492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</si>
  <si>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C16330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</si>
  <si>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C16334</t>
    </r>
  </si>
  <si>
    <r>
      <rPr>
        <u/>
        <sz val="11"/>
        <color rgb="FF1155CC"/>
        <rFont val="Arial"/>
        <family val="2"/>
      </rPr>
      <t>C00010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C16338</t>
    </r>
  </si>
  <si>
    <r>
      <rPr>
        <u/>
        <sz val="11"/>
        <color rgb="FF1155CC"/>
        <rFont val="Arial"/>
        <family val="2"/>
      </rPr>
      <t>C16470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</si>
  <si>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C03069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</si>
  <si>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C16587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</si>
  <si>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C16596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</si>
  <si>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  <scheme val="minor"/>
      </rPr>
      <t>C16619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C00025</t>
    </r>
  </si>
  <si>
    <r>
      <rPr>
        <u/>
        <sz val="11"/>
        <color rgb="FF1155CC"/>
        <rFont val="Arial"/>
        <family val="2"/>
        <scheme val="minor"/>
      </rPr>
      <t>C16634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</si>
  <si>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C12739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</si>
  <si>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</si>
  <si>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0"/>
        <color rgb="FF1155CC"/>
        <rFont val="Arial"/>
        <family val="2"/>
      </rPr>
      <t>C06892</t>
    </r>
  </si>
  <si>
    <r>
      <rPr>
        <u/>
        <sz val="11"/>
        <color rgb="FF1155CC"/>
        <rFont val="Arial"/>
        <family val="2"/>
      </rPr>
      <t>C16237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C00004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C00080</t>
    </r>
  </si>
  <si>
    <r>
      <rPr>
        <u/>
        <sz val="11"/>
        <color rgb="FF1155CC"/>
        <rFont val="Arial"/>
        <family val="2"/>
      </rPr>
      <t>C20451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C00014</t>
    </r>
  </si>
  <si>
    <r>
      <rPr>
        <u/>
        <sz val="11"/>
        <color rgb="FF1155CC"/>
        <rFont val="Arial"/>
        <family val="2"/>
      </rPr>
      <t>C17552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</si>
  <si>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</rPr>
      <t>C00399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C00021</t>
    </r>
  </si>
  <si>
    <r>
      <rPr>
        <u/>
        <sz val="11"/>
        <color rgb="FF1155CC"/>
        <rFont val="Arial"/>
        <family val="2"/>
        <scheme val="minor"/>
      </rPr>
      <t>C19080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</si>
  <si>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C19085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</si>
  <si>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</rPr>
      <t>C20372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</si>
  <si>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  <scheme val="minor"/>
      </rPr>
      <t>C19723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C00020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</si>
  <si>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  <scheme val="minor"/>
      </rPr>
      <t>C00229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C00013</t>
    </r>
  </si>
  <si>
    <r>
      <rPr>
        <u/>
        <sz val="11"/>
        <color rgb="FF1155CC"/>
        <rFont val="Arial"/>
        <family val="2"/>
        <scheme val="minor"/>
      </rPr>
      <t>C01279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</si>
  <si>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C20373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</si>
  <si>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C20374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</si>
  <si>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C20376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C00011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C00229</t>
    </r>
  </si>
  <si>
    <r>
      <rPr>
        <u/>
        <sz val="11"/>
        <color rgb="FF1155CC"/>
        <rFont val="Arial"/>
        <family val="2"/>
      </rPr>
      <t>C20377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C00006</t>
    </r>
  </si>
  <si>
    <r>
      <rPr>
        <u/>
        <sz val="11"/>
        <color rgb="FF1155CC"/>
        <rFont val="Arial"/>
        <family val="2"/>
        <scheme val="minor"/>
      </rPr>
      <t>C20378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C00001</t>
    </r>
  </si>
  <si>
    <r>
      <rPr>
        <u/>
        <sz val="11"/>
        <color rgb="FF1155CC"/>
        <rFont val="Arial"/>
        <family val="2"/>
      </rPr>
      <t>C00020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C20751</t>
    </r>
  </si>
  <si>
    <r>
      <rPr>
        <u/>
        <sz val="11"/>
        <color rgb="FF1155CC"/>
        <rFont val="Arial"/>
        <family val="2"/>
        <scheme val="minor"/>
      </rPr>
      <t>C00022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C00014</t>
    </r>
  </si>
  <si>
    <r>
      <rPr>
        <u/>
        <sz val="11"/>
        <color rgb="FF1155CC"/>
        <rFont val="Arial"/>
        <family val="2"/>
      </rPr>
      <t>C21748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C00342</t>
    </r>
  </si>
  <si>
    <r>
      <rPr>
        <u/>
        <sz val="11"/>
        <color rgb="FF1155CC"/>
        <rFont val="Arial"/>
        <family val="2"/>
        <scheme val="minor"/>
      </rPr>
      <t>C22441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C00122</t>
    </r>
  </si>
  <si>
    <r>
      <rPr>
        <u/>
        <sz val="11"/>
        <color rgb="FF1155CC"/>
        <rFont val="Arial"/>
        <family val="2"/>
        <scheme val="minor"/>
      </rPr>
      <t>C22442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</si>
  <si>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  <scheme val="minor"/>
      </rPr>
      <t>C22443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C00008</t>
    </r>
  </si>
  <si>
    <r>
      <rPr>
        <u/>
        <sz val="11"/>
        <color rgb="FF1155CC"/>
        <rFont val="Arial"/>
        <family val="2"/>
      </rPr>
      <t>C23007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</si>
  <si>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C21906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C00100</t>
    </r>
  </si>
  <si>
    <r>
      <rPr>
        <u/>
        <sz val="11"/>
        <color rgb="FF1155CC"/>
        <rFont val="Arial"/>
        <family val="2"/>
      </rPr>
      <t>C23017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</si>
  <si>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</rPr>
      <t>C23022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C00024</t>
    </r>
  </si>
  <si>
    <r>
      <rPr>
        <u/>
        <sz val="11"/>
        <color rgb="FF1155CC"/>
        <rFont val="Arial"/>
        <family val="2"/>
        <scheme val="minor"/>
      </rPr>
      <t>G10238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</si>
  <si>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G00109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</si>
  <si>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G00123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</si>
  <si>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G00370</t>
    </r>
  </si>
  <si>
    <r>
      <rPr>
        <u/>
        <sz val="11"/>
        <color rgb="FF1155CC"/>
        <rFont val="Arial"/>
        <family val="2"/>
        <scheme val="minor"/>
      </rPr>
      <t>G01275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</si>
  <si>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t xml:space="preserve">2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</si>
  <si>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1"/>
        <color rgb="FF1155CC"/>
        <rFont val="Arial"/>
        <family val="2"/>
        <scheme val="minor"/>
      </rPr>
      <t>G00249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</si>
  <si>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G00501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C00095</t>
    </r>
  </si>
  <si>
    <r>
      <rPr>
        <u/>
        <sz val="11"/>
        <color rgb="FF1155CC"/>
        <rFont val="Arial"/>
        <family val="2"/>
        <scheme val="minor"/>
      </rPr>
      <t>C00095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</si>
  <si>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C00267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</si>
  <si>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</si>
  <si>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G01275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</si>
  <si>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C00031</t>
    </r>
  </si>
  <si>
    <r>
      <rPr>
        <u/>
        <sz val="11"/>
        <color rgb="FF1155CC"/>
        <rFont val="Arial"/>
        <family val="2"/>
        <scheme val="minor"/>
      </rPr>
      <t>G13073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</si>
  <si>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C00137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</si>
  <si>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(n-1)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</si>
  <si>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(n+1) + </t>
    </r>
    <r>
      <rPr>
        <u/>
        <sz val="11"/>
        <color rgb="FF1155CC"/>
        <rFont val="Arial"/>
        <family val="2"/>
      </rPr>
      <t>G11113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</si>
  <si>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C00962</t>
    </r>
  </si>
  <si>
    <r>
      <rPr>
        <u/>
        <sz val="11"/>
        <color rgb="FF1155CC"/>
        <rFont val="Arial"/>
        <family val="2"/>
        <scheme val="minor"/>
      </rPr>
      <t>C00267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</si>
  <si>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C02336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C00668</t>
    </r>
  </si>
  <si>
    <r>
      <rPr>
        <u/>
        <sz val="11"/>
        <color rgb="FF1155CC"/>
        <rFont val="Arial"/>
        <family val="2"/>
        <scheme val="minor"/>
      </rPr>
      <t>C00031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C00092</t>
    </r>
  </si>
  <si>
    <r>
      <rPr>
        <u/>
        <sz val="11"/>
        <color rgb="FF1155CC"/>
        <rFont val="Arial"/>
        <family val="2"/>
        <scheme val="minor"/>
      </rPr>
      <t>C00159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C00124</t>
    </r>
  </si>
  <si>
    <r>
      <rPr>
        <u/>
        <sz val="11"/>
        <color rgb="FF1155CC"/>
        <rFont val="Arial"/>
        <family val="2"/>
        <scheme val="minor"/>
      </rPr>
      <t>C05394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C00221</t>
    </r>
  </si>
  <si>
    <r>
      <rPr>
        <u/>
        <sz val="11"/>
        <color rgb="FF1155CC"/>
        <rFont val="Arial"/>
        <family val="2"/>
        <scheme val="minor"/>
      </rPr>
      <t>C00124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G10534</t>
    </r>
    <r>
      <rPr>
        <sz val="11"/>
        <color rgb="FF000000"/>
        <rFont val="Arial"/>
        <family val="2"/>
        <scheme val="minor"/>
      </rPr>
      <t>(n)</t>
    </r>
  </si>
  <si>
    <r>
      <rPr>
        <u/>
        <sz val="11"/>
        <color rgb="FF1155CC"/>
        <rFont val="Arial"/>
        <family val="2"/>
      </rPr>
      <t>G10495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C00103</t>
    </r>
  </si>
  <si>
    <r>
      <rPr>
        <u/>
        <sz val="11"/>
        <color rgb="FF1155CC"/>
        <rFont val="Arial"/>
        <family val="2"/>
      </rPr>
      <t>G10550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</si>
  <si>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</rPr>
      <t>G10553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G10619</t>
    </r>
  </si>
  <si>
    <r>
      <rPr>
        <u/>
        <sz val="11"/>
        <color rgb="FF1155CC"/>
        <rFont val="Arial"/>
        <family val="2"/>
        <scheme val="minor"/>
      </rPr>
      <t>G11121</t>
    </r>
    <r>
      <rPr>
        <sz val="11"/>
        <color rgb="FF000000"/>
        <rFont val="Arial"/>
        <family val="2"/>
        <scheme val="minor"/>
      </rPr>
      <t xml:space="preserve"> + </t>
    </r>
    <r>
      <rPr>
        <u/>
        <sz val="11"/>
        <color rgb="FF1155CC"/>
        <rFont val="Arial"/>
        <family val="2"/>
        <scheme val="minor"/>
      </rPr>
      <t>C00059</t>
    </r>
  </si>
  <si>
    <r>
      <rPr>
        <u/>
        <sz val="11"/>
        <color rgb="FF1155CC"/>
        <rFont val="Arial"/>
        <family val="2"/>
        <scheme val="minor"/>
      </rPr>
      <t>C20864</t>
    </r>
    <r>
      <rPr>
        <sz val="11"/>
        <color rgb="FF000000"/>
        <rFont val="Arial"/>
        <family val="2"/>
        <scheme val="minor"/>
      </rPr>
      <t xml:space="preserve">(n) + (n-1) </t>
    </r>
    <r>
      <rPr>
        <u/>
        <sz val="11"/>
        <color rgb="FF1155CC"/>
        <rFont val="Arial"/>
        <family val="2"/>
        <scheme val="minor"/>
      </rPr>
      <t>C00013</t>
    </r>
  </si>
  <si>
    <t>No</t>
  </si>
  <si>
    <t>Enzyme mRNA</t>
  </si>
  <si>
    <t>Enzyme Turnover (/s)</t>
  </si>
  <si>
    <t>Enzyme Km (mM)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</si>
  <si>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</si>
  <si>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</si>
  <si>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</si>
  <si>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</si>
  <si>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</si>
  <si>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</si>
  <si>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Transcription Equation</t>
  </si>
  <si>
    <t>Translation Equation</t>
  </si>
  <si>
    <r>
      <rPr>
        <u/>
        <sz val="10"/>
        <color rgb="FF1155CC"/>
        <rFont val="monospace, serif"/>
      </rPr>
      <t>1.1.1.18</t>
    </r>
  </si>
  <si>
    <r>
      <rPr>
        <u/>
        <sz val="10"/>
        <color rgb="FF1155CC"/>
        <rFont val="monospace, serif"/>
      </rPr>
      <t>1.1.1.205</t>
    </r>
  </si>
  <si>
    <r>
      <rPr>
        <u/>
        <sz val="10"/>
        <color rgb="FF1155CC"/>
        <rFont val="monospace, serif"/>
      </rPr>
      <t>1.1.1.262</t>
    </r>
  </si>
  <si>
    <r>
      <rPr>
        <u/>
        <sz val="10"/>
        <color rgb="FF1155CC"/>
        <rFont val="monospace, serif"/>
      </rPr>
      <t>1.11.1.26</t>
    </r>
  </si>
  <si>
    <r>
      <rPr>
        <u/>
        <sz val="10"/>
        <color rgb="FF1155CC"/>
        <rFont val="monospace, serif"/>
      </rPr>
      <t>1.15.1.1</t>
    </r>
  </si>
  <si>
    <r>
      <rPr>
        <u/>
        <sz val="10"/>
        <color rgb="FF1155CC"/>
        <rFont val="monospace, serif"/>
      </rPr>
      <t>1.17.1.8</t>
    </r>
  </si>
  <si>
    <r>
      <rPr>
        <u/>
        <sz val="10"/>
        <color rgb="FF1155CC"/>
        <rFont val="monospace, serif"/>
      </rPr>
      <t>1.17.4.1</t>
    </r>
  </si>
  <si>
    <r>
      <rPr>
        <u/>
        <sz val="10"/>
        <color rgb="FF1155CC"/>
        <rFont val="monospace, serif"/>
      </rPr>
      <t>1.17.4.2</t>
    </r>
  </si>
  <si>
    <r>
      <rPr>
        <u/>
        <sz val="10"/>
        <color rgb="FF1155CC"/>
        <rFont val="monospace, serif"/>
      </rPr>
      <t>1.17.99.6</t>
    </r>
  </si>
  <si>
    <r>
      <rPr>
        <u/>
        <sz val="10"/>
        <color rgb="FF1155CC"/>
        <rFont val="monospace, serif"/>
      </rPr>
      <t>1.2.1.11</t>
    </r>
  </si>
  <si>
    <r>
      <rPr>
        <u/>
        <sz val="10"/>
        <color rgb="FF1155CC"/>
        <rFont val="monospace, serif"/>
      </rPr>
      <t>1.2.1.41</t>
    </r>
  </si>
  <si>
    <r>
      <rPr>
        <u/>
        <sz val="10"/>
        <color rgb="FF1155CC"/>
        <rFont val="monospace, serif"/>
      </rPr>
      <t>1.2.3.3</t>
    </r>
  </si>
  <si>
    <r>
      <rPr>
        <u/>
        <sz val="10"/>
        <color rgb="FF1155CC"/>
        <rFont val="monospace, serif"/>
      </rPr>
      <t>1.20.4.4</t>
    </r>
  </si>
  <si>
    <r>
      <rPr>
        <u/>
        <sz val="10"/>
        <color rgb="FF1155CC"/>
        <rFont val="monospace, serif"/>
      </rPr>
      <t>1.3.1.14</t>
    </r>
  </si>
  <si>
    <r>
      <rPr>
        <u/>
        <sz val="10"/>
        <color rgb="FF1155CC"/>
        <rFont val="monospace, serif"/>
      </rPr>
      <t>1.3.1.95</t>
    </r>
  </si>
  <si>
    <r>
      <rPr>
        <u/>
        <sz val="10"/>
        <color rgb="FF1155CC"/>
        <rFont val="monospace, serif"/>
      </rPr>
      <t>1.3.1.98</t>
    </r>
  </si>
  <si>
    <r>
      <rPr>
        <u/>
        <sz val="10"/>
        <color rgb="FF1155CC"/>
        <rFont val="monospace, serif"/>
      </rPr>
      <t>1.3.98.1</t>
    </r>
  </si>
  <si>
    <r>
      <rPr>
        <u/>
        <sz val="10"/>
        <color rgb="FF1155CC"/>
        <rFont val="monospace, serif"/>
      </rPr>
      <t>1.4.1.13</t>
    </r>
  </si>
  <si>
    <r>
      <rPr>
        <u/>
        <sz val="10"/>
        <color rgb="FF1155CC"/>
        <rFont val="monospace, serif"/>
      </rPr>
      <t>1.4.1.4</t>
    </r>
  </si>
  <si>
    <r>
      <rPr>
        <u/>
        <sz val="10"/>
        <color rgb="FF1155CC"/>
        <rFont val="monospace, serif"/>
      </rPr>
      <t>1.5.1.2</t>
    </r>
  </si>
  <si>
    <r>
      <rPr>
        <u/>
        <sz val="10"/>
        <color rgb="FF1155CC"/>
        <rFont val="monospace, serif"/>
      </rPr>
      <t>1.5.1.20</t>
    </r>
  </si>
  <si>
    <r>
      <rPr>
        <u/>
        <sz val="10"/>
        <color rgb="FF1155CC"/>
        <rFont val="monospace, serif"/>
      </rPr>
      <t>1.5.1.3</t>
    </r>
  </si>
  <si>
    <r>
      <rPr>
        <u/>
        <sz val="10"/>
        <color rgb="FF1155CC"/>
        <rFont val="monospace, serif"/>
      </rPr>
      <t>1.5.1.5</t>
    </r>
  </si>
  <si>
    <r>
      <rPr>
        <u/>
        <sz val="10"/>
        <color rgb="FF1155CC"/>
        <rFont val="monospace, serif"/>
      </rPr>
      <t>1.7.1.7</t>
    </r>
  </si>
  <si>
    <r>
      <rPr>
        <u/>
        <sz val="10"/>
        <color rgb="FF1155CC"/>
        <rFont val="monospace, serif"/>
      </rPr>
      <t>1.8.1.9</t>
    </r>
  </si>
  <si>
    <r>
      <rPr>
        <u/>
        <sz val="10"/>
        <color rgb="FF1155CC"/>
        <rFont val="monospace, serif"/>
      </rPr>
      <t>1.8.4.11</t>
    </r>
  </si>
  <si>
    <r>
      <rPr>
        <u/>
        <sz val="10"/>
        <color rgb="FF1155CC"/>
        <rFont val="monospace, serif"/>
      </rPr>
      <t>1.8.4.12</t>
    </r>
  </si>
  <si>
    <r>
      <rPr>
        <u/>
        <sz val="10"/>
        <color rgb="FF1155CC"/>
        <rFont val="monospace, serif"/>
      </rPr>
      <t>1.97.1.4</t>
    </r>
  </si>
  <si>
    <r>
      <rPr>
        <u/>
        <sz val="10"/>
        <color rgb="FF1155CC"/>
        <rFont val="monospace, serif"/>
      </rPr>
      <t>2.1.1.14</t>
    </r>
  </si>
  <si>
    <r>
      <rPr>
        <u/>
        <sz val="10"/>
        <color rgb="FF1155CC"/>
        <rFont val="monospace, serif"/>
      </rPr>
      <t>2.1.1.170</t>
    </r>
  </si>
  <si>
    <r>
      <rPr>
        <u/>
        <sz val="10"/>
        <color rgb="FF1155CC"/>
        <rFont val="monospace, serif"/>
      </rPr>
      <t>2.1.1.171</t>
    </r>
  </si>
  <si>
    <r>
      <rPr>
        <u/>
        <sz val="10"/>
        <color rgb="FF1155CC"/>
        <rFont val="monospace, serif"/>
      </rPr>
      <t>2.1.1.172</t>
    </r>
  </si>
  <si>
    <r>
      <rPr>
        <u/>
        <sz val="10"/>
        <color rgb="FF1155CC"/>
        <rFont val="monospace, serif"/>
      </rPr>
      <t>2.1.1.176</t>
    </r>
  </si>
  <si>
    <r>
      <rPr>
        <u/>
        <sz val="10"/>
        <color rgb="FF1155CC"/>
        <rFont val="monospace, serif"/>
      </rPr>
      <t>2.1.1.177</t>
    </r>
  </si>
  <si>
    <r>
      <rPr>
        <u/>
        <sz val="10"/>
        <color rgb="FF1155CC"/>
        <rFont val="monospace, serif"/>
      </rPr>
      <t>2.1.1.182</t>
    </r>
  </si>
  <si>
    <r>
      <rPr>
        <u/>
        <sz val="10"/>
        <color rgb="FF1155CC"/>
        <rFont val="monospace, serif"/>
      </rPr>
      <t>2.1.1.190</t>
    </r>
  </si>
  <si>
    <r>
      <rPr>
        <u/>
        <sz val="10"/>
        <color rgb="FF1155CC"/>
        <rFont val="monospace, serif"/>
      </rPr>
      <t>2.1.1.198</t>
    </r>
  </si>
  <si>
    <r>
      <rPr>
        <u/>
        <sz val="10"/>
        <color rgb="FF1155CC"/>
        <rFont val="monospace, serif"/>
      </rPr>
      <t>2.1.1.199</t>
    </r>
  </si>
  <si>
    <r>
      <rPr>
        <u/>
        <sz val="10"/>
        <color rgb="FF1155CC"/>
        <rFont val="monospace, serif"/>
      </rPr>
      <t>2.1.1.207</t>
    </r>
  </si>
  <si>
    <r>
      <rPr>
        <u/>
        <sz val="10"/>
        <color rgb="FF1155CC"/>
        <rFont val="monospace, serif"/>
      </rPr>
      <t>2.1.1.222</t>
    </r>
  </si>
  <si>
    <r>
      <rPr>
        <u/>
        <sz val="10"/>
        <color rgb="FF1155CC"/>
        <rFont val="monospace, serif"/>
      </rPr>
      <t>2.1.1.223</t>
    </r>
  </si>
  <si>
    <r>
      <rPr>
        <u/>
        <sz val="10"/>
        <color rgb="FF1155CC"/>
        <rFont val="monospace, serif"/>
      </rPr>
      <t>2.1.1.228</t>
    </r>
  </si>
  <si>
    <r>
      <rPr>
        <u/>
        <sz val="10"/>
        <color rgb="FF1155CC"/>
        <rFont val="monospace, serif"/>
      </rPr>
      <t>2.1.1.297</t>
    </r>
  </si>
  <si>
    <r>
      <rPr>
        <u/>
        <sz val="10"/>
        <color rgb="FF1155CC"/>
        <rFont val="monospace, serif"/>
      </rPr>
      <t>2.1.1.45</t>
    </r>
  </si>
  <si>
    <r>
      <rPr>
        <u/>
        <sz val="10"/>
        <color rgb="FF1155CC"/>
        <rFont val="monospace, serif"/>
      </rPr>
      <t>2.1.1.63</t>
    </r>
  </si>
  <si>
    <r>
      <rPr>
        <u/>
        <sz val="10"/>
        <color rgb="FF1155CC"/>
        <rFont val="monospace, serif"/>
      </rPr>
      <t>2.1.1.72</t>
    </r>
  </si>
  <si>
    <r>
      <rPr>
        <u/>
        <sz val="10"/>
        <color rgb="FF1155CC"/>
        <rFont val="monospace, serif"/>
      </rPr>
      <t>2.1.2.1</t>
    </r>
  </si>
  <si>
    <r>
      <rPr>
        <u/>
        <sz val="10"/>
        <color rgb="FF1155CC"/>
        <rFont val="monospace, serif"/>
      </rPr>
      <t>2.1.2.2</t>
    </r>
  </si>
  <si>
    <r>
      <rPr>
        <u/>
        <sz val="10"/>
        <color rgb="FF1155CC"/>
        <rFont val="monospace, serif"/>
      </rPr>
      <t>2.1.2.3</t>
    </r>
  </si>
  <si>
    <r>
      <rPr>
        <u/>
        <sz val="10"/>
        <color rgb="FF1155CC"/>
        <rFont val="monospace, serif"/>
      </rPr>
      <t>2.1.2.9</t>
    </r>
  </si>
  <si>
    <r>
      <rPr>
        <u/>
        <sz val="10"/>
        <color rgb="FF1155CC"/>
        <rFont val="monospace, serif"/>
      </rPr>
      <t>2.1.3.2</t>
    </r>
  </si>
  <si>
    <r>
      <rPr>
        <u/>
        <sz val="10"/>
        <color rgb="FF1155CC"/>
        <rFont val="monospace, serif"/>
      </rPr>
      <t>2.2.1.6</t>
    </r>
  </si>
  <si>
    <r>
      <rPr>
        <u/>
        <sz val="10"/>
        <color rgb="FF1155CC"/>
        <rFont val="monospace, serif"/>
      </rPr>
      <t>2.3.1.15</t>
    </r>
  </si>
  <si>
    <r>
      <rPr>
        <u/>
        <sz val="10"/>
        <color rgb="FF1155CC"/>
        <rFont val="monospace, serif"/>
      </rPr>
      <t>2.3.1.157</t>
    </r>
  </si>
  <si>
    <r>
      <rPr>
        <u/>
        <sz val="10"/>
        <color rgb="FF1155CC"/>
        <rFont val="monospace, serif"/>
      </rPr>
      <t>2.3.1.16</t>
    </r>
  </si>
  <si>
    <r>
      <rPr>
        <u/>
        <sz val="10"/>
        <color rgb="FF1155CC"/>
        <rFont val="monospace, serif"/>
      </rPr>
      <t>2.3.1.179</t>
    </r>
  </si>
  <si>
    <r>
      <rPr>
        <u/>
        <sz val="10"/>
        <color rgb="FF1155CC"/>
        <rFont val="monospace, serif"/>
      </rPr>
      <t>2.3.1.180</t>
    </r>
  </si>
  <si>
    <r>
      <rPr>
        <u/>
        <sz val="10"/>
        <color rgb="FF1155CC"/>
        <rFont val="monospace, serif"/>
      </rPr>
      <t>2.3.1.234</t>
    </r>
  </si>
  <si>
    <r>
      <rPr>
        <u/>
        <sz val="10"/>
        <color rgb="FF1155CC"/>
        <rFont val="monospace, serif"/>
      </rPr>
      <t>2.3.1.266</t>
    </r>
  </si>
  <si>
    <r>
      <rPr>
        <u/>
        <sz val="10"/>
        <color rgb="FF1155CC"/>
        <rFont val="monospace, serif"/>
      </rPr>
      <t>2.3.1.286</t>
    </r>
  </si>
  <si>
    <r>
      <rPr>
        <u/>
        <sz val="10"/>
        <color rgb="FF1155CC"/>
        <rFont val="monospace, serif"/>
      </rPr>
      <t>2.3.1.39</t>
    </r>
  </si>
  <si>
    <r>
      <rPr>
        <u/>
        <sz val="10"/>
        <color rgb="FF1155CC"/>
        <rFont val="monospace, serif"/>
      </rPr>
      <t>2.3.1.54</t>
    </r>
  </si>
  <si>
    <r>
      <rPr>
        <u/>
        <sz val="10"/>
        <color rgb="FF1155CC"/>
        <rFont val="monospace, serif"/>
      </rPr>
      <t>2.3.1.8</t>
    </r>
  </si>
  <si>
    <r>
      <rPr>
        <u/>
        <sz val="10"/>
        <color rgb="FF1155CC"/>
        <rFont val="monospace, serif"/>
      </rPr>
      <t>2.3.1.89</t>
    </r>
  </si>
  <si>
    <r>
      <rPr>
        <u/>
        <sz val="10"/>
        <color rgb="FF1155CC"/>
        <rFont val="monospace, serif"/>
      </rPr>
      <t>2.3.3.10</t>
    </r>
  </si>
  <si>
    <r>
      <rPr>
        <u/>
        <sz val="10"/>
        <color rgb="FF1155CC"/>
        <rFont val="monospace, serif"/>
      </rPr>
      <t>2.4.1.1</t>
    </r>
  </si>
  <si>
    <r>
      <rPr>
        <u/>
        <sz val="10"/>
        <color rgb="FF1155CC"/>
        <rFont val="monospace, serif"/>
      </rPr>
      <t>2.4.1.21</t>
    </r>
  </si>
  <si>
    <r>
      <rPr>
        <u/>
        <sz val="10"/>
        <color rgb="FF1155CC"/>
        <rFont val="monospace, serif"/>
      </rPr>
      <t>2.4.2.17</t>
    </r>
  </si>
  <si>
    <r>
      <rPr>
        <u/>
        <sz val="10"/>
        <color rgb="FF1155CC"/>
        <rFont val="monospace, serif"/>
      </rPr>
      <t>2.4.2.18</t>
    </r>
  </si>
  <si>
    <r>
      <rPr>
        <u/>
        <sz val="10"/>
        <color rgb="FF1155CC"/>
        <rFont val="monospace, serif"/>
      </rPr>
      <t>2.4.2.8</t>
    </r>
  </si>
  <si>
    <r>
      <rPr>
        <u/>
        <sz val="10"/>
        <color rgb="FF1155CC"/>
        <rFont val="monospace, serif"/>
      </rPr>
      <t>2.5.1.74</t>
    </r>
  </si>
  <si>
    <r>
      <rPr>
        <u/>
        <sz val="10"/>
        <color rgb="FF1155CC"/>
        <rFont val="monospace, serif"/>
      </rPr>
      <t>2.5.1.75</t>
    </r>
  </si>
  <si>
    <r>
      <rPr>
        <u/>
        <sz val="10"/>
        <color rgb="FF1155CC"/>
        <rFont val="monospace, serif"/>
      </rPr>
      <t>2.6.1.9</t>
    </r>
  </si>
  <si>
    <r>
      <rPr>
        <u/>
        <sz val="10"/>
        <color rgb="FF1155CC"/>
        <rFont val="monospace, serif"/>
      </rPr>
      <t>2.7.1.11</t>
    </r>
  </si>
  <si>
    <r>
      <rPr>
        <u/>
        <sz val="10"/>
        <color rgb="FF1155CC"/>
        <rFont val="monospace, serif"/>
      </rPr>
      <t>2.7.1.12</t>
    </r>
  </si>
  <si>
    <r>
      <rPr>
        <u/>
        <sz val="10"/>
        <color rgb="FF1155CC"/>
        <rFont val="monospace, serif"/>
      </rPr>
      <t>2.7.1.121</t>
    </r>
  </si>
  <si>
    <r>
      <rPr>
        <u/>
        <sz val="10"/>
        <color rgb="FF1155CC"/>
        <rFont val="monospace, serif"/>
      </rPr>
      <t>2.7.1.144</t>
    </r>
  </si>
  <si>
    <r>
      <rPr>
        <u/>
        <sz val="10"/>
        <color rgb="FF1155CC"/>
        <rFont val="monospace, serif"/>
      </rPr>
      <t>2.7.1.148</t>
    </r>
  </si>
  <si>
    <r>
      <rPr>
        <u/>
        <sz val="10"/>
        <color rgb="FF1155CC"/>
        <rFont val="monospace, serif"/>
      </rPr>
      <t>2.7.1.17</t>
    </r>
  </si>
  <si>
    <r>
      <rPr>
        <u/>
        <sz val="10"/>
        <color rgb="FF1155CC"/>
        <rFont val="monospace, serif"/>
      </rPr>
      <t>2.7.1.2</t>
    </r>
  </si>
  <si>
    <r>
      <rPr>
        <u/>
        <sz val="10"/>
        <color rgb="FF1155CC"/>
        <rFont val="monospace, serif"/>
      </rPr>
      <t>2.7.1.21</t>
    </r>
  </si>
  <si>
    <r>
      <rPr>
        <u/>
        <sz val="10"/>
        <color rgb="FF1155CC"/>
        <rFont val="monospace, serif"/>
      </rPr>
      <t>2.7.1.23</t>
    </r>
  </si>
  <si>
    <r>
      <rPr>
        <u/>
        <sz val="10"/>
        <color rgb="FF1155CC"/>
        <rFont val="monospace, serif"/>
      </rPr>
      <t>2.7.1.24</t>
    </r>
  </si>
  <si>
    <r>
      <rPr>
        <u/>
        <sz val="10"/>
        <color rgb="FF1155CC"/>
        <rFont val="monospace, serif"/>
      </rPr>
      <t>2.7.1.26</t>
    </r>
  </si>
  <si>
    <r>
      <rPr>
        <u/>
        <sz val="10"/>
        <color rgb="FF1155CC"/>
        <rFont val="monospace, serif"/>
      </rPr>
      <t>2.7.1.30</t>
    </r>
  </si>
  <si>
    <r>
      <rPr>
        <u/>
        <sz val="10"/>
        <color rgb="FF1155CC"/>
        <rFont val="monospace, serif"/>
      </rPr>
      <t>2.7.1.33</t>
    </r>
  </si>
  <si>
    <r>
      <rPr>
        <u/>
        <sz val="10"/>
        <color rgb="FF1155CC"/>
        <rFont val="monospace, serif"/>
      </rPr>
      <t>2.7.1.36</t>
    </r>
  </si>
  <si>
    <r>
      <rPr>
        <u/>
        <sz val="10"/>
        <color rgb="FF1155CC"/>
        <rFont val="monospace, serif"/>
      </rPr>
      <t>2.7.1.39</t>
    </r>
  </si>
  <si>
    <r>
      <rPr>
        <u/>
        <sz val="10"/>
        <color rgb="FF1155CC"/>
        <rFont val="monospace, serif"/>
      </rPr>
      <t>2.7.1.40</t>
    </r>
  </si>
  <si>
    <r>
      <rPr>
        <u/>
        <sz val="10"/>
        <color rgb="FF1155CC"/>
        <rFont val="monospace, serif"/>
      </rPr>
      <t>2.7.1.48</t>
    </r>
  </si>
  <si>
    <r>
      <rPr>
        <u/>
        <sz val="10"/>
        <color rgb="FF1155CC"/>
        <rFont val="monospace, serif"/>
      </rPr>
      <t>2.7.1.49</t>
    </r>
  </si>
  <si>
    <r>
      <rPr>
        <u/>
        <sz val="10"/>
        <color rgb="FF1155CC"/>
        <rFont val="monospace, serif"/>
      </rPr>
      <t>2.7.1.56</t>
    </r>
  </si>
  <si>
    <r>
      <rPr>
        <u/>
        <sz val="10"/>
        <color rgb="FF1155CC"/>
        <rFont val="monospace, serif"/>
      </rPr>
      <t>2.7.1.6</t>
    </r>
  </si>
  <si>
    <r>
      <rPr>
        <u/>
        <sz val="10"/>
        <color rgb="FF1155CC"/>
        <rFont val="monospace, serif"/>
      </rPr>
      <t>2.7.1.92</t>
    </r>
  </si>
  <si>
    <r>
      <rPr>
        <u/>
        <sz val="10"/>
        <color rgb="FF1155CC"/>
        <rFont val="monospace, serif"/>
      </rPr>
      <t>2.7.10.2</t>
    </r>
  </si>
  <si>
    <r>
      <rPr>
        <u/>
        <sz val="10"/>
        <color rgb="FF1155CC"/>
        <rFont val="monospace, serif"/>
      </rPr>
      <t>2.7.11.33</t>
    </r>
  </si>
  <si>
    <r>
      <rPr>
        <u/>
        <sz val="10"/>
        <color rgb="FF1155CC"/>
        <rFont val="monospace, serif"/>
      </rPr>
      <t>2.7.13.3</t>
    </r>
  </si>
  <si>
    <r>
      <rPr>
        <u/>
        <sz val="10"/>
        <color rgb="FF1155CC"/>
        <rFont val="monospace, serif"/>
      </rPr>
      <t>2.7.2.1</t>
    </r>
  </si>
  <si>
    <r>
      <rPr>
        <u/>
        <sz val="10"/>
        <color rgb="FF1155CC"/>
        <rFont val="monospace, serif"/>
      </rPr>
      <t>2.7.2.11</t>
    </r>
  </si>
  <si>
    <r>
      <rPr>
        <u/>
        <sz val="10"/>
        <color rgb="FF1155CC"/>
        <rFont val="monospace, serif"/>
      </rPr>
      <t>2.7.2.4</t>
    </r>
  </si>
  <si>
    <r>
      <rPr>
        <u/>
        <sz val="10"/>
        <color rgb="FF1155CC"/>
        <rFont val="monospace, serif"/>
      </rPr>
      <t>2.7.2.7</t>
    </r>
  </si>
  <si>
    <r>
      <rPr>
        <u/>
        <sz val="10"/>
        <color rgb="FF1155CC"/>
        <rFont val="monospace, serif"/>
      </rPr>
      <t>2.7.3.9</t>
    </r>
  </si>
  <si>
    <r>
      <rPr>
        <u/>
        <sz val="10"/>
        <color rgb="FF1155CC"/>
        <rFont val="monospace, serif"/>
      </rPr>
      <t>2.7.4.1</t>
    </r>
  </si>
  <si>
    <r>
      <rPr>
        <u/>
        <sz val="10"/>
        <color rgb="FF1155CC"/>
        <rFont val="monospace, serif"/>
      </rPr>
      <t>2.7.4.2</t>
    </r>
  </si>
  <si>
    <r>
      <rPr>
        <u/>
        <sz val="10"/>
        <color rgb="FF1155CC"/>
        <rFont val="monospace, serif"/>
      </rPr>
      <t>2.7.4.22</t>
    </r>
  </si>
  <si>
    <r>
      <rPr>
        <u/>
        <sz val="10"/>
        <color rgb="FF1155CC"/>
        <rFont val="monospace, serif"/>
      </rPr>
      <t>2.7.4.25</t>
    </r>
  </si>
  <si>
    <r>
      <rPr>
        <u/>
        <sz val="10"/>
        <color rgb="FF1155CC"/>
        <rFont val="monospace, serif"/>
      </rPr>
      <t>2.7.4.28</t>
    </r>
  </si>
  <si>
    <r>
      <rPr>
        <u/>
        <sz val="10"/>
        <color rgb="FF1155CC"/>
        <rFont val="monospace, serif"/>
      </rPr>
      <t>2.7.4.3</t>
    </r>
  </si>
  <si>
    <r>
      <rPr>
        <u/>
        <sz val="10"/>
        <color rgb="FF1155CC"/>
        <rFont val="monospace, serif"/>
      </rPr>
      <t>2.7.4.6</t>
    </r>
  </si>
  <si>
    <r>
      <rPr>
        <u/>
        <sz val="10"/>
        <color rgb="FF1155CC"/>
        <rFont val="monospace, serif"/>
      </rPr>
      <t>2.7.4.8</t>
    </r>
  </si>
  <si>
    <r>
      <rPr>
        <u/>
        <sz val="10"/>
        <color rgb="FF1155CC"/>
        <rFont val="monospace, serif"/>
      </rPr>
      <t>2.7.4.9</t>
    </r>
  </si>
  <si>
    <r>
      <rPr>
        <u/>
        <sz val="10"/>
        <color rgb="FF1155CC"/>
        <rFont val="monospace, serif"/>
      </rPr>
      <t>2.7.6.1</t>
    </r>
  </si>
  <si>
    <r>
      <rPr>
        <u/>
        <sz val="10"/>
        <color rgb="FF1155CC"/>
        <rFont val="monospace, serif"/>
      </rPr>
      <t>2.7.6.5</t>
    </r>
  </si>
  <si>
    <r>
      <rPr>
        <u/>
        <sz val="10"/>
        <color rgb="FF1155CC"/>
        <rFont val="monospace, serif"/>
      </rPr>
      <t>2.7.7.12</t>
    </r>
  </si>
  <si>
    <r>
      <rPr>
        <u/>
        <sz val="10"/>
        <color rgb="FF1155CC"/>
        <rFont val="monospace, serif"/>
      </rPr>
      <t>2.7.7.18</t>
    </r>
  </si>
  <si>
    <r>
      <rPr>
        <u/>
        <sz val="10"/>
        <color rgb="FF1155CC"/>
        <rFont val="monospace, serif"/>
      </rPr>
      <t>2.7.7.27</t>
    </r>
  </si>
  <si>
    <r>
      <rPr>
        <u/>
        <sz val="10"/>
        <color rgb="FF1155CC"/>
        <rFont val="monospace, serif"/>
      </rPr>
      <t>2.7.7.3</t>
    </r>
  </si>
  <si>
    <r>
      <rPr>
        <u/>
        <sz val="10"/>
        <color rgb="FF1155CC"/>
        <rFont val="monospace, serif"/>
      </rPr>
      <t>2.7.7.6</t>
    </r>
  </si>
  <si>
    <r>
      <rPr>
        <u/>
        <sz val="10"/>
        <color rgb="FF1155CC"/>
        <rFont val="monospace, serif"/>
      </rPr>
      <t>2.7.7.61</t>
    </r>
  </si>
  <si>
    <r>
      <rPr>
        <u/>
        <sz val="10"/>
        <color rgb="FF1155CC"/>
        <rFont val="monospace, serif"/>
      </rPr>
      <t>2.7.7.7</t>
    </r>
  </si>
  <si>
    <r>
      <rPr>
        <u/>
        <sz val="10"/>
        <color rgb="FF1155CC"/>
        <rFont val="monospace, serif"/>
      </rPr>
      <t>2.7.7.72</t>
    </r>
  </si>
  <si>
    <r>
      <rPr>
        <u/>
        <sz val="10"/>
        <color rgb="FF1155CC"/>
        <rFont val="monospace, serif"/>
      </rPr>
      <t>2.7.7.87</t>
    </r>
  </si>
  <si>
    <r>
      <rPr>
        <u/>
        <sz val="10"/>
        <color rgb="FF1155CC"/>
        <rFont val="monospace, serif"/>
      </rPr>
      <t>2.7.7.9</t>
    </r>
  </si>
  <si>
    <r>
      <rPr>
        <u/>
        <sz val="10"/>
        <color rgb="FF1155CC"/>
        <rFont val="monospace, serif"/>
      </rPr>
      <t>2.7.8.13</t>
    </r>
  </si>
  <si>
    <r>
      <rPr>
        <u/>
        <sz val="10"/>
        <color rgb="FF1155CC"/>
        <rFont val="monospace, serif"/>
      </rPr>
      <t>2.7.8.5</t>
    </r>
  </si>
  <si>
    <r>
      <rPr>
        <u/>
        <sz val="10"/>
        <color rgb="FF1155CC"/>
        <rFont val="monospace, serif"/>
      </rPr>
      <t>2.7.8.7</t>
    </r>
  </si>
  <si>
    <r>
      <rPr>
        <u/>
        <sz val="10"/>
        <color rgb="FF1155CC"/>
        <rFont val="monospace, serif"/>
      </rPr>
      <t>2.7.9.1</t>
    </r>
  </si>
  <si>
    <r>
      <rPr>
        <u/>
        <sz val="10"/>
        <color rgb="FF1155CC"/>
        <rFont val="monospace, serif"/>
      </rPr>
      <t>2.8.1.13</t>
    </r>
  </si>
  <si>
    <r>
      <rPr>
        <u/>
        <sz val="10"/>
        <color rgb="FF1155CC"/>
        <rFont val="monospace, serif"/>
      </rPr>
      <t>2.8.1.4</t>
    </r>
  </si>
  <si>
    <r>
      <rPr>
        <u/>
        <sz val="10"/>
        <color rgb="FF1155CC"/>
        <rFont val="monospace, serif"/>
      </rPr>
      <t>3.1.1.29</t>
    </r>
  </si>
  <si>
    <r>
      <rPr>
        <u/>
        <sz val="10"/>
        <color rgb="FF1155CC"/>
        <rFont val="monospace, serif"/>
      </rPr>
      <t>3.1.1.96</t>
    </r>
  </si>
  <si>
    <r>
      <rPr>
        <u/>
        <sz val="10"/>
        <color rgb="FF1155CC"/>
        <rFont val="monospace, serif"/>
      </rPr>
      <t>3.1.11.2</t>
    </r>
  </si>
  <si>
    <r>
      <rPr>
        <u/>
        <sz val="10"/>
        <color rgb="FF1155CC"/>
        <rFont val="monospace, serif"/>
      </rPr>
      <t>3.1.11.6</t>
    </r>
  </si>
  <si>
    <r>
      <rPr>
        <u/>
        <sz val="10"/>
        <color rgb="FF1155CC"/>
        <rFont val="monospace, serif"/>
      </rPr>
      <t>3.1.13.1</t>
    </r>
  </si>
  <si>
    <r>
      <rPr>
        <u/>
        <sz val="10"/>
        <color rgb="FF1155CC"/>
        <rFont val="monospace, serif"/>
      </rPr>
      <t>3.1.2.20</t>
    </r>
  </si>
  <si>
    <r>
      <rPr>
        <u/>
        <sz val="10"/>
        <color rgb="FF1155CC"/>
        <rFont val="monospace, serif"/>
      </rPr>
      <t>3.1.21.2</t>
    </r>
  </si>
  <si>
    <r>
      <rPr>
        <u/>
        <sz val="10"/>
        <color rgb="FF1155CC"/>
        <rFont val="monospace, serif"/>
      </rPr>
      <t>3.1.21.3</t>
    </r>
  </si>
  <si>
    <r>
      <rPr>
        <u/>
        <sz val="10"/>
        <color rgb="FF1155CC"/>
        <rFont val="monospace, serif"/>
      </rPr>
      <t>3.1.26.11</t>
    </r>
  </si>
  <si>
    <r>
      <rPr>
        <u/>
        <sz val="10"/>
        <color rgb="FF1155CC"/>
        <rFont val="monospace, serif"/>
      </rPr>
      <t>3.1.26.4</t>
    </r>
  </si>
  <si>
    <r>
      <rPr>
        <u/>
        <sz val="10"/>
        <color rgb="FF1155CC"/>
        <rFont val="monospace, serif"/>
      </rPr>
      <t>3.1.26.5</t>
    </r>
  </si>
  <si>
    <r>
      <rPr>
        <u/>
        <sz val="10"/>
        <color rgb="FF1155CC"/>
        <rFont val="monospace, serif"/>
      </rPr>
      <t>3.1.26.8</t>
    </r>
  </si>
  <si>
    <r>
      <rPr>
        <u/>
        <sz val="10"/>
        <color rgb="FF1155CC"/>
        <rFont val="monospace, serif"/>
      </rPr>
      <t>3.1.3.11</t>
    </r>
  </si>
  <si>
    <r>
      <rPr>
        <u/>
        <sz val="10"/>
        <color rgb="FF1155CC"/>
        <rFont val="monospace, serif"/>
      </rPr>
      <t>3.1.3.27</t>
    </r>
  </si>
  <si>
    <r>
      <rPr>
        <u/>
        <sz val="10"/>
        <color rgb="FF1155CC"/>
        <rFont val="monospace, serif"/>
      </rPr>
      <t>3.1.3.5</t>
    </r>
  </si>
  <si>
    <r>
      <rPr>
        <u/>
        <sz val="10"/>
        <color rgb="FF1155CC"/>
        <rFont val="monospace, serif"/>
      </rPr>
      <t>3.1.3.7</t>
    </r>
  </si>
  <si>
    <r>
      <rPr>
        <u/>
        <sz val="10"/>
        <color rgb="FF1155CC"/>
        <rFont val="monospace, serif"/>
      </rPr>
      <t>3.1.6.1</t>
    </r>
  </si>
  <si>
    <r>
      <rPr>
        <u/>
        <sz val="10"/>
        <color rgb="FF1155CC"/>
        <rFont val="monospace, serif"/>
      </rPr>
      <t>3.2.1.20</t>
    </r>
  </si>
  <si>
    <r>
      <rPr>
        <u/>
        <sz val="10"/>
        <color rgb="FF1155CC"/>
        <rFont val="monospace, serif"/>
      </rPr>
      <t>3.2.1.22</t>
    </r>
  </si>
  <si>
    <r>
      <rPr>
        <u/>
        <sz val="10"/>
        <color rgb="FF1155CC"/>
        <rFont val="monospace, serif"/>
      </rPr>
      <t>3.2.1.23</t>
    </r>
  </si>
  <si>
    <r>
      <rPr>
        <u/>
        <sz val="10"/>
        <color rgb="FF1155CC"/>
        <rFont val="monospace, serif"/>
      </rPr>
      <t>3.2.1.26</t>
    </r>
  </si>
  <si>
    <r>
      <rPr>
        <u/>
        <sz val="10"/>
        <color rgb="FF1155CC"/>
        <rFont val="monospace, serif"/>
      </rPr>
      <t>3.2.1.86</t>
    </r>
  </si>
  <si>
    <r>
      <rPr>
        <u/>
        <sz val="10"/>
        <color rgb="FF1155CC"/>
        <rFont val="monospace, serif"/>
      </rPr>
      <t>3.2.1.93</t>
    </r>
  </si>
  <si>
    <r>
      <rPr>
        <u/>
        <sz val="10"/>
        <color rgb="FF1155CC"/>
        <rFont val="monospace, serif"/>
      </rPr>
      <t>3.2.2.23</t>
    </r>
  </si>
  <si>
    <r>
      <rPr>
        <u/>
        <sz val="10"/>
        <color rgb="FF1155CC"/>
        <rFont val="monospace, serif"/>
      </rPr>
      <t>3.2.2.27</t>
    </r>
  </si>
  <si>
    <r>
      <rPr>
        <u/>
        <sz val="10"/>
        <color rgb="FF1155CC"/>
        <rFont val="monospace, serif"/>
      </rPr>
      <t>3.2.2.31</t>
    </r>
  </si>
  <si>
    <r>
      <rPr>
        <u/>
        <sz val="10"/>
        <color rgb="FF1155CC"/>
        <rFont val="monospace, serif"/>
      </rPr>
      <t>3.2.2.9</t>
    </r>
  </si>
  <si>
    <r>
      <rPr>
        <u/>
        <sz val="10"/>
        <color rgb="FF1155CC"/>
        <rFont val="monospace, serif"/>
      </rPr>
      <t>3.4.11.18</t>
    </r>
  </si>
  <si>
    <r>
      <rPr>
        <u/>
        <sz val="10"/>
        <color rgb="FF1155CC"/>
        <rFont val="monospace, serif"/>
      </rPr>
      <t>3.4.11.4</t>
    </r>
  </si>
  <si>
    <r>
      <rPr>
        <u/>
        <sz val="10"/>
        <color rgb="FF1155CC"/>
        <rFont val="monospace, serif"/>
      </rPr>
      <t>3.4.11.5</t>
    </r>
  </si>
  <si>
    <r>
      <rPr>
        <u/>
        <sz val="10"/>
        <color rgb="FF1155CC"/>
        <rFont val="monospace, serif"/>
      </rPr>
      <t>3.4.14.11</t>
    </r>
  </si>
  <si>
    <r>
      <rPr>
        <u/>
        <sz val="10"/>
        <color rgb="FF1155CC"/>
        <rFont val="monospace, serif"/>
      </rPr>
      <t>3.4.19.3</t>
    </r>
  </si>
  <si>
    <r>
      <rPr>
        <u/>
        <sz val="10"/>
        <color rgb="FF1155CC"/>
        <rFont val="monospace, serif"/>
      </rPr>
      <t>3.4.21.105</t>
    </r>
  </si>
  <si>
    <r>
      <rPr>
        <u/>
        <sz val="10"/>
        <color rgb="FF1155CC"/>
        <rFont val="monospace, serif"/>
      </rPr>
      <t>3.4.21.88</t>
    </r>
  </si>
  <si>
    <r>
      <rPr>
        <u/>
        <sz val="10"/>
        <color rgb="FF1155CC"/>
        <rFont val="monospace, serif"/>
      </rPr>
      <t>3.4.21.89</t>
    </r>
  </si>
  <si>
    <r>
      <rPr>
        <u/>
        <sz val="10"/>
        <color rgb="FF1155CC"/>
        <rFont val="monospace, serif"/>
      </rPr>
      <t>3.4.21.92</t>
    </r>
  </si>
  <si>
    <r>
      <rPr>
        <u/>
        <sz val="10"/>
        <color rgb="FF1155CC"/>
        <rFont val="monospace, serif"/>
      </rPr>
      <t>3.4.21.96</t>
    </r>
  </si>
  <si>
    <r>
      <rPr>
        <u/>
        <sz val="10"/>
        <color rgb="FF1155CC"/>
        <rFont val="monospace, serif"/>
      </rPr>
      <t>3.4.23.36</t>
    </r>
  </si>
  <si>
    <r>
      <rPr>
        <u/>
        <sz val="10"/>
        <color rgb="FF1155CC"/>
        <rFont val="monospace, serif"/>
      </rPr>
      <t>3.4.25.2</t>
    </r>
  </si>
  <si>
    <r>
      <rPr>
        <u/>
        <sz val="10"/>
        <color rgb="FF1155CC"/>
        <rFont val="monospace, serif"/>
      </rPr>
      <t>3.5.1.2</t>
    </r>
  </si>
  <si>
    <r>
      <rPr>
        <u/>
        <sz val="10"/>
        <color rgb="FF1155CC"/>
        <rFont val="monospace, serif"/>
      </rPr>
      <t>3.5.1.25</t>
    </r>
  </si>
  <si>
    <r>
      <rPr>
        <u/>
        <sz val="10"/>
        <color rgb="FF1155CC"/>
        <rFont val="monospace, serif"/>
      </rPr>
      <t>3.5.1.28</t>
    </r>
  </si>
  <si>
    <r>
      <rPr>
        <u/>
        <sz val="10"/>
        <color rgb="FF1155CC"/>
        <rFont val="monospace, serif"/>
      </rPr>
      <t>3.5.1.4</t>
    </r>
  </si>
  <si>
    <r>
      <rPr>
        <u/>
        <sz val="10"/>
        <color rgb="FF1155CC"/>
        <rFont val="monospace, serif"/>
      </rPr>
      <t>3.5.1.88</t>
    </r>
  </si>
  <si>
    <r>
      <rPr>
        <u/>
        <sz val="10"/>
        <color rgb="FF1155CC"/>
        <rFont val="monospace, serif"/>
      </rPr>
      <t>3.5.2.3</t>
    </r>
  </si>
  <si>
    <r>
      <rPr>
        <u/>
        <sz val="10"/>
        <color rgb="FF1155CC"/>
        <rFont val="monospace, serif"/>
      </rPr>
      <t>3.5.4.19</t>
    </r>
  </si>
  <si>
    <r>
      <rPr>
        <u/>
        <sz val="10"/>
        <color rgb="FF1155CC"/>
        <rFont val="monospace, serif"/>
      </rPr>
      <t>3.5.4.33</t>
    </r>
  </si>
  <si>
    <r>
      <rPr>
        <u/>
        <sz val="10"/>
        <color rgb="FF1155CC"/>
        <rFont val="monospace, serif"/>
      </rPr>
      <t>3.5.4.4</t>
    </r>
  </si>
  <si>
    <r>
      <rPr>
        <u/>
        <sz val="10"/>
        <color rgb="FF1155CC"/>
        <rFont val="monospace, serif"/>
      </rPr>
      <t>3.5.4.5</t>
    </r>
  </si>
  <si>
    <r>
      <rPr>
        <u/>
        <sz val="10"/>
        <color rgb="FF1155CC"/>
        <rFont val="monospace, serif"/>
      </rPr>
      <t>3.5.99.2</t>
    </r>
  </si>
  <si>
    <r>
      <rPr>
        <u/>
        <sz val="10"/>
        <color rgb="FF1155CC"/>
        <rFont val="monospace, serif"/>
      </rPr>
      <t>3.5.99.6</t>
    </r>
  </si>
  <si>
    <r>
      <rPr>
        <u/>
        <sz val="10"/>
        <color rgb="FF1155CC"/>
        <rFont val="monospace, serif"/>
      </rPr>
      <t>3.6.1.1</t>
    </r>
  </si>
  <si>
    <r>
      <rPr>
        <u/>
        <sz val="10"/>
        <color rgb="FF1155CC"/>
        <rFont val="monospace, serif"/>
      </rPr>
      <t>3.6.1.27</t>
    </r>
  </si>
  <si>
    <r>
      <rPr>
        <u/>
        <sz val="10"/>
        <color rgb="FF1155CC"/>
        <rFont val="monospace, serif"/>
      </rPr>
      <t>3.6.1.31</t>
    </r>
  </si>
  <si>
    <r>
      <rPr>
        <u/>
        <sz val="10"/>
        <color rgb="FF1155CC"/>
        <rFont val="monospace, serif"/>
      </rPr>
      <t>3.6.1.41</t>
    </r>
  </si>
  <si>
    <r>
      <rPr>
        <u/>
        <sz val="10"/>
        <color rgb="FF1155CC"/>
        <rFont val="monospace, serif"/>
      </rPr>
      <t>3.6.4.12</t>
    </r>
  </si>
  <si>
    <r>
      <rPr>
        <u/>
        <sz val="10"/>
        <color rgb="FF1155CC"/>
        <rFont val="monospace, serif"/>
      </rPr>
      <t>3.6.5.n1</t>
    </r>
  </si>
  <si>
    <r>
      <rPr>
        <u/>
        <sz val="10"/>
        <color rgb="FF1155CC"/>
        <rFont val="monospace, serif"/>
      </rPr>
      <t>3.7.1.22</t>
    </r>
  </si>
  <si>
    <r>
      <rPr>
        <u/>
        <sz val="10"/>
        <color rgb="FF1155CC"/>
        <rFont val="monospace, serif"/>
      </rPr>
      <t>4.1.1.101</t>
    </r>
  </si>
  <si>
    <r>
      <rPr>
        <u/>
        <sz val="10"/>
        <color rgb="FF1155CC"/>
        <rFont val="monospace, serif"/>
      </rPr>
      <t>4.1.1.112</t>
    </r>
  </si>
  <si>
    <r>
      <rPr>
        <u/>
        <sz val="10"/>
        <color rgb="FF1155CC"/>
        <rFont val="monospace, serif"/>
      </rPr>
      <t>4.1.1.12</t>
    </r>
  </si>
  <si>
    <r>
      <rPr>
        <u/>
        <sz val="10"/>
        <color rgb="FF1155CC"/>
        <rFont val="monospace, serif"/>
      </rPr>
      <t>4.1.1.20</t>
    </r>
  </si>
  <si>
    <r>
      <rPr>
        <u/>
        <sz val="10"/>
        <color rgb="FF1155CC"/>
        <rFont val="monospace, serif"/>
      </rPr>
      <t>4.1.1.21</t>
    </r>
  </si>
  <si>
    <r>
      <rPr>
        <u/>
        <sz val="10"/>
        <color rgb="FF1155CC"/>
        <rFont val="monospace, serif"/>
      </rPr>
      <t>4.1.1.23</t>
    </r>
  </si>
  <si>
    <r>
      <rPr>
        <u/>
        <sz val="10"/>
        <color rgb="FF1155CC"/>
        <rFont val="monospace, serif"/>
      </rPr>
      <t>4.1.1.33</t>
    </r>
  </si>
  <si>
    <r>
      <rPr>
        <u/>
        <sz val="10"/>
        <color rgb="FF1155CC"/>
        <rFont val="monospace, serif"/>
      </rPr>
      <t>4.1.1.36</t>
    </r>
  </si>
  <si>
    <r>
      <rPr>
        <u/>
        <sz val="10"/>
        <color rgb="FF1155CC"/>
        <rFont val="monospace, serif"/>
      </rPr>
      <t>4.1.1.48</t>
    </r>
  </si>
  <si>
    <r>
      <rPr>
        <u/>
        <sz val="10"/>
        <color rgb="FF1155CC"/>
        <rFont val="monospace, serif"/>
      </rPr>
      <t>4.1.1.49</t>
    </r>
  </si>
  <si>
    <r>
      <rPr>
        <u/>
        <sz val="10"/>
        <color rgb="FF1155CC"/>
        <rFont val="monospace, serif"/>
      </rPr>
      <t>4.1.1.5</t>
    </r>
  </si>
  <si>
    <r>
      <rPr>
        <u/>
        <sz val="10"/>
        <color rgb="FF1155CC"/>
        <rFont val="monospace, serif"/>
      </rPr>
      <t>4.1.1.85</t>
    </r>
  </si>
  <si>
    <r>
      <rPr>
        <u/>
        <sz val="10"/>
        <color rgb="FF1155CC"/>
        <rFont val="monospace, serif"/>
      </rPr>
      <t>4.1.2.13</t>
    </r>
  </si>
  <si>
    <r>
      <rPr>
        <u/>
        <sz val="10"/>
        <color rgb="FF1155CC"/>
        <rFont val="monospace, serif"/>
      </rPr>
      <t>4.1.2.4</t>
    </r>
  </si>
  <si>
    <r>
      <rPr>
        <u/>
        <sz val="10"/>
        <color rgb="FF1155CC"/>
        <rFont val="monospace, serif"/>
      </rPr>
      <t>4.1.2.43</t>
    </r>
  </si>
  <si>
    <r>
      <rPr>
        <u/>
        <sz val="10"/>
        <color rgb="FF1155CC"/>
        <rFont val="monospace, serif"/>
      </rPr>
      <t>4.1.3.6</t>
    </r>
  </si>
  <si>
    <r>
      <rPr>
        <u/>
        <sz val="10"/>
        <color rgb="FF1155CC"/>
        <rFont val="monospace, serif"/>
      </rPr>
      <t>4.2.1.11</t>
    </r>
  </si>
  <si>
    <r>
      <rPr>
        <u/>
        <sz val="10"/>
        <color rgb="FF1155CC"/>
        <rFont val="monospace, serif"/>
      </rPr>
      <t>4.2.1.113</t>
    </r>
  </si>
  <si>
    <r>
      <rPr>
        <u/>
        <sz val="10"/>
        <color rgb="FF1155CC"/>
        <rFont val="monospace, serif"/>
      </rPr>
      <t>4.2.1.126</t>
    </r>
  </si>
  <si>
    <r>
      <rPr>
        <u/>
        <sz val="10"/>
        <color rgb="FF1155CC"/>
        <rFont val="monospace, serif"/>
      </rPr>
      <t>4.2.1.19</t>
    </r>
  </si>
  <si>
    <r>
      <rPr>
        <u/>
        <sz val="10"/>
        <color rgb="FF1155CC"/>
        <rFont val="monospace, serif"/>
      </rPr>
      <t>4.2.1.2</t>
    </r>
  </si>
  <si>
    <r>
      <rPr>
        <u/>
        <sz val="10"/>
        <color rgb="FF1155CC"/>
        <rFont val="monospace, serif"/>
      </rPr>
      <t>4.2.1.20</t>
    </r>
  </si>
  <si>
    <r>
      <rPr>
        <u/>
        <sz val="10"/>
        <color rgb="FF1155CC"/>
        <rFont val="monospace, serif"/>
      </rPr>
      <t>4.2.1.44</t>
    </r>
  </si>
  <si>
    <r>
      <rPr>
        <u/>
        <sz val="10"/>
        <color rgb="FF1155CC"/>
        <rFont val="monospace, serif"/>
      </rPr>
      <t>4.2.1.53</t>
    </r>
  </si>
  <si>
    <r>
      <rPr>
        <u/>
        <sz val="10"/>
        <color rgb="FF1155CC"/>
        <rFont val="monospace, serif"/>
      </rPr>
      <t>4.2.3.1</t>
    </r>
  </si>
  <si>
    <r>
      <rPr>
        <u/>
        <sz val="10"/>
        <color rgb="FF1155CC"/>
        <rFont val="monospace, serif"/>
      </rPr>
      <t>4.2.99.18</t>
    </r>
  </si>
  <si>
    <r>
      <rPr>
        <u/>
        <sz val="10"/>
        <color rgb="FF1155CC"/>
        <rFont val="monospace, serif"/>
      </rPr>
      <t>4.3.1.17</t>
    </r>
  </si>
  <si>
    <r>
      <rPr>
        <u/>
        <sz val="10"/>
        <color rgb="FF1155CC"/>
        <rFont val="monospace, serif"/>
      </rPr>
      <t>4.3.2.1</t>
    </r>
  </si>
  <si>
    <r>
      <rPr>
        <u/>
        <sz val="10"/>
        <color rgb="FF1155CC"/>
        <rFont val="monospace, serif"/>
      </rPr>
      <t>4.3.2.10</t>
    </r>
  </si>
  <si>
    <r>
      <rPr>
        <u/>
        <sz val="10"/>
        <color rgb="FF1155CC"/>
        <rFont val="monospace, serif"/>
      </rPr>
      <t>4.3.2.2</t>
    </r>
  </si>
  <si>
    <r>
      <rPr>
        <u/>
        <sz val="10"/>
        <color rgb="FF1155CC"/>
        <rFont val="monospace, serif"/>
      </rPr>
      <t>4.3.3.7</t>
    </r>
  </si>
  <si>
    <r>
      <rPr>
        <u/>
        <sz val="10"/>
        <color rgb="FF1155CC"/>
        <rFont val="monospace, serif"/>
      </rPr>
      <t>4.4.1.13</t>
    </r>
  </si>
  <si>
    <r>
      <rPr>
        <u/>
        <sz val="10"/>
        <color rgb="FF1155CC"/>
        <rFont val="monospace, serif"/>
      </rPr>
      <t>4.4.1.21</t>
    </r>
  </si>
  <si>
    <r>
      <rPr>
        <u/>
        <sz val="10"/>
        <color rgb="FF1155CC"/>
        <rFont val="monospace, serif"/>
      </rPr>
      <t>5.1.1.1</t>
    </r>
  </si>
  <si>
    <r>
      <rPr>
        <u/>
        <sz val="10"/>
        <color rgb="FF1155CC"/>
        <rFont val="monospace, serif"/>
      </rPr>
      <t>5.1.1.3</t>
    </r>
  </si>
  <si>
    <r>
      <rPr>
        <u/>
        <sz val="10"/>
        <color rgb="FF1155CC"/>
        <rFont val="monospace, serif"/>
      </rPr>
      <t>5.1.1.7</t>
    </r>
  </si>
  <si>
    <r>
      <rPr>
        <u/>
        <sz val="10"/>
        <color rgb="FF1155CC"/>
        <rFont val="monospace, serif"/>
      </rPr>
      <t>5.1.3.1</t>
    </r>
  </si>
  <si>
    <r>
      <rPr>
        <u/>
        <sz val="10"/>
        <color rgb="FF1155CC"/>
        <rFont val="monospace, serif"/>
      </rPr>
      <t>5.1.3.2</t>
    </r>
  </si>
  <si>
    <r>
      <rPr>
        <u/>
        <sz val="10"/>
        <color rgb="FF1155CC"/>
        <rFont val="monospace, serif"/>
      </rPr>
      <t>5.1.3.4</t>
    </r>
  </si>
  <si>
    <r>
      <rPr>
        <u/>
        <sz val="10"/>
        <color rgb="FF1155CC"/>
        <rFont val="monospace, serif"/>
      </rPr>
      <t>5.2.1.8</t>
    </r>
  </si>
  <si>
    <r>
      <rPr>
        <u/>
        <sz val="10"/>
        <color rgb="FF1155CC"/>
        <rFont val="monospace, serif"/>
      </rPr>
      <t>5.3.1.1</t>
    </r>
  </si>
  <si>
    <r>
      <rPr>
        <u/>
        <sz val="10"/>
        <color rgb="FF1155CC"/>
        <rFont val="monospace, serif"/>
      </rPr>
      <t>5.3.1.16</t>
    </r>
  </si>
  <si>
    <r>
      <rPr>
        <u/>
        <sz val="10"/>
        <color rgb="FF1155CC"/>
        <rFont val="monospace, serif"/>
      </rPr>
      <t>5.3.1.26</t>
    </r>
  </si>
  <si>
    <r>
      <rPr>
        <u/>
        <sz val="10"/>
        <color rgb="FF1155CC"/>
        <rFont val="monospace, serif"/>
      </rPr>
      <t>5.3.1.27</t>
    </r>
  </si>
  <si>
    <r>
      <rPr>
        <u/>
        <sz val="10"/>
        <color rgb="FF1155CC"/>
        <rFont val="monospace, serif"/>
      </rPr>
      <t>5.3.1.30</t>
    </r>
  </si>
  <si>
    <r>
      <rPr>
        <u/>
        <sz val="10"/>
        <color rgb="FF1155CC"/>
        <rFont val="monospace, serif"/>
      </rPr>
      <t>5.3.1.6</t>
    </r>
  </si>
  <si>
    <r>
      <rPr>
        <u/>
        <sz val="10"/>
        <color rgb="FF1155CC"/>
        <rFont val="monospace, serif"/>
      </rPr>
      <t>5.3.1.8</t>
    </r>
  </si>
  <si>
    <r>
      <rPr>
        <u/>
        <sz val="10"/>
        <color rgb="FF1155CC"/>
        <rFont val="monospace, serif"/>
      </rPr>
      <t>5.3.1.9</t>
    </r>
  </si>
  <si>
    <r>
      <rPr>
        <u/>
        <sz val="10"/>
        <color rgb="FF1155CC"/>
        <rFont val="monospace, serif"/>
      </rPr>
      <t>5.3.3.2</t>
    </r>
  </si>
  <si>
    <r>
      <rPr>
        <u/>
        <sz val="10"/>
        <color rgb="FF1155CC"/>
        <rFont val="monospace, serif"/>
      </rPr>
      <t>5.4.2.10</t>
    </r>
  </si>
  <si>
    <r>
      <rPr>
        <u/>
        <sz val="10"/>
        <color rgb="FF1155CC"/>
        <rFont val="monospace, serif"/>
      </rPr>
      <t>5.4.2.11</t>
    </r>
  </si>
  <si>
    <r>
      <rPr>
        <u/>
        <sz val="10"/>
        <color rgb="FF1155CC"/>
        <rFont val="monospace, serif"/>
      </rPr>
      <t>5.4.2.6</t>
    </r>
  </si>
  <si>
    <r>
      <rPr>
        <u/>
        <sz val="10"/>
        <color rgb="FF1155CC"/>
        <rFont val="monospace, serif"/>
      </rPr>
      <t>5.4.2.7</t>
    </r>
  </si>
  <si>
    <r>
      <rPr>
        <u/>
        <sz val="10"/>
        <color rgb="FF1155CC"/>
        <rFont val="monospace, serif"/>
      </rPr>
      <t>5.4.99.12</t>
    </r>
  </si>
  <si>
    <r>
      <rPr>
        <u/>
        <sz val="10"/>
        <color rgb="FF1155CC"/>
        <rFont val="monospace, serif"/>
      </rPr>
      <t>5.4.99.18</t>
    </r>
  </si>
  <si>
    <r>
      <rPr>
        <u/>
        <sz val="10"/>
        <color rgb="FF1155CC"/>
        <rFont val="monospace, serif"/>
      </rPr>
      <t>5.4.99.25</t>
    </r>
  </si>
  <si>
    <r>
      <rPr>
        <u/>
        <sz val="10"/>
        <color rgb="FF1155CC"/>
        <rFont val="monospace, serif"/>
      </rPr>
      <t>5.4.99.62</t>
    </r>
  </si>
  <si>
    <r>
      <rPr>
        <u/>
        <sz val="10"/>
        <color rgb="FF1155CC"/>
        <rFont val="monospace, serif"/>
      </rPr>
      <t>5.4.99.9</t>
    </r>
  </si>
  <si>
    <r>
      <rPr>
        <u/>
        <sz val="10"/>
        <color rgb="FF1155CC"/>
        <rFont val="monospace, serif"/>
      </rPr>
      <t>5.6.2.1</t>
    </r>
  </si>
  <si>
    <r>
      <rPr>
        <u/>
        <sz val="10"/>
        <color rgb="FF1155CC"/>
        <rFont val="monospace, serif"/>
      </rPr>
      <t>5.6.2.2</t>
    </r>
  </si>
  <si>
    <r>
      <rPr>
        <u/>
        <sz val="10"/>
        <color rgb="FF1155CC"/>
        <rFont val="monospace, serif"/>
      </rPr>
      <t>6.1.1.1</t>
    </r>
  </si>
  <si>
    <r>
      <rPr>
        <u/>
        <sz val="10"/>
        <color rgb="FF1155CC"/>
        <rFont val="monospace, serif"/>
      </rPr>
      <t>6.1.1.10</t>
    </r>
  </si>
  <si>
    <r>
      <rPr>
        <u/>
        <sz val="10"/>
        <color rgb="FF1155CC"/>
        <rFont val="monospace, serif"/>
      </rPr>
      <t>6.1.1.11</t>
    </r>
  </si>
  <si>
    <r>
      <rPr>
        <u/>
        <sz val="10"/>
        <color rgb="FF1155CC"/>
        <rFont val="monospace, serif"/>
      </rPr>
      <t>6.1.1.12</t>
    </r>
  </si>
  <si>
    <r>
      <rPr>
        <u/>
        <sz val="10"/>
        <color rgb="FF1155CC"/>
        <rFont val="monospace, serif"/>
      </rPr>
      <t>6.1.1.13</t>
    </r>
  </si>
  <si>
    <r>
      <rPr>
        <u/>
        <sz val="10"/>
        <color rgb="FF1155CC"/>
        <rFont val="monospace, serif"/>
      </rPr>
      <t>6.1.1.14</t>
    </r>
  </si>
  <si>
    <r>
      <rPr>
        <u/>
        <sz val="10"/>
        <color rgb="FF1155CC"/>
        <rFont val="monospace, serif"/>
      </rPr>
      <t>6.1.1.15</t>
    </r>
  </si>
  <si>
    <r>
      <rPr>
        <u/>
        <sz val="10"/>
        <color rgb="FF1155CC"/>
        <rFont val="monospace, serif"/>
      </rPr>
      <t>6.1.1.16</t>
    </r>
  </si>
  <si>
    <r>
      <rPr>
        <u/>
        <sz val="10"/>
        <color rgb="FF1155CC"/>
        <rFont val="monospace, serif"/>
      </rPr>
      <t>6.1.1.17</t>
    </r>
  </si>
  <si>
    <r>
      <rPr>
        <u/>
        <sz val="10"/>
        <color rgb="FF1155CC"/>
        <rFont val="monospace, serif"/>
      </rPr>
      <t>6.1.1.2</t>
    </r>
  </si>
  <si>
    <r>
      <rPr>
        <u/>
        <sz val="10"/>
        <color rgb="FF1155CC"/>
        <rFont val="monospace, serif"/>
      </rPr>
      <t>6.1.1.20</t>
    </r>
  </si>
  <si>
    <r>
      <rPr>
        <u/>
        <sz val="10"/>
        <color rgb="FF1155CC"/>
        <rFont val="monospace, serif"/>
      </rPr>
      <t>6.1.1.21</t>
    </r>
  </si>
  <si>
    <r>
      <rPr>
        <u/>
        <sz val="10"/>
        <color rgb="FF1155CC"/>
        <rFont val="monospace, serif"/>
      </rPr>
      <t>6.1.1.22</t>
    </r>
  </si>
  <si>
    <r>
      <rPr>
        <u/>
        <sz val="10"/>
        <color rgb="FF1155CC"/>
        <rFont val="monospace, serif"/>
      </rPr>
      <t>6.1.1.3</t>
    </r>
  </si>
  <si>
    <r>
      <rPr>
        <u/>
        <sz val="10"/>
        <color rgb="FF1155CC"/>
        <rFont val="monospace, serif"/>
      </rPr>
      <t>6.1.1.4</t>
    </r>
  </si>
  <si>
    <r>
      <rPr>
        <u/>
        <sz val="10"/>
        <color rgb="FF1155CC"/>
        <rFont val="monospace, serif"/>
      </rPr>
      <t>6.1.1.5</t>
    </r>
  </si>
  <si>
    <r>
      <rPr>
        <u/>
        <sz val="10"/>
        <color rgb="FF1155CC"/>
        <rFont val="monospace, serif"/>
      </rPr>
      <t>6.1.1.6</t>
    </r>
  </si>
  <si>
    <r>
      <rPr>
        <u/>
        <sz val="10"/>
        <color rgb="FF1155CC"/>
        <rFont val="monospace, serif"/>
      </rPr>
      <t>6.1.1.7</t>
    </r>
  </si>
  <si>
    <r>
      <rPr>
        <u/>
        <sz val="10"/>
        <color rgb="FF1155CC"/>
        <rFont val="monospace, serif"/>
      </rPr>
      <t>6.1.1.9</t>
    </r>
  </si>
  <si>
    <r>
      <rPr>
        <u/>
        <sz val="10"/>
        <color rgb="FF1155CC"/>
        <rFont val="monospace, serif"/>
      </rPr>
      <t>6.2.1.22</t>
    </r>
  </si>
  <si>
    <r>
      <rPr>
        <u/>
        <sz val="10"/>
        <color rgb="FF1155CC"/>
        <rFont val="monospace, serif"/>
      </rPr>
      <t>6.3.1.2</t>
    </r>
  </si>
  <si>
    <r>
      <rPr>
        <u/>
        <sz val="10"/>
        <color rgb="FF1155CC"/>
        <rFont val="monospace, serif"/>
      </rPr>
      <t>6.3.1.20</t>
    </r>
  </si>
  <si>
    <r>
      <rPr>
        <u/>
        <sz val="10"/>
        <color rgb="FF1155CC"/>
        <rFont val="monospace, serif"/>
      </rPr>
      <t>6.3.1.5</t>
    </r>
  </si>
  <si>
    <r>
      <rPr>
        <u/>
        <sz val="10"/>
        <color rgb="FF1155CC"/>
        <rFont val="monospace, serif"/>
      </rPr>
      <t>6.3.2.10</t>
    </r>
  </si>
  <si>
    <r>
      <rPr>
        <u/>
        <sz val="10"/>
        <color rgb="FF1155CC"/>
        <rFont val="monospace, serif"/>
      </rPr>
      <t>6.3.2.13</t>
    </r>
  </si>
  <si>
    <r>
      <rPr>
        <u/>
        <sz val="10"/>
        <color rgb="FF1155CC"/>
        <rFont val="monospace, serif"/>
      </rPr>
      <t>6.3.2.4</t>
    </r>
  </si>
  <si>
    <r>
      <rPr>
        <u/>
        <sz val="10"/>
        <color rgb="FF1155CC"/>
        <rFont val="monospace, serif"/>
      </rPr>
      <t>6.3.2.5</t>
    </r>
  </si>
  <si>
    <r>
      <rPr>
        <u/>
        <sz val="10"/>
        <color rgb="FF1155CC"/>
        <rFont val="monospace, serif"/>
      </rPr>
      <t>6.3.2.6</t>
    </r>
  </si>
  <si>
    <r>
      <rPr>
        <u/>
        <sz val="10"/>
        <color rgb="FF1155CC"/>
        <rFont val="monospace, serif"/>
      </rPr>
      <t>6.3.2.8</t>
    </r>
  </si>
  <si>
    <r>
      <rPr>
        <u/>
        <sz val="10"/>
        <color rgb="FF1155CC"/>
        <rFont val="monospace, serif"/>
      </rPr>
      <t>6.3.2.9</t>
    </r>
  </si>
  <si>
    <r>
      <rPr>
        <u/>
        <sz val="10"/>
        <color rgb="FF1155CC"/>
        <rFont val="monospace, serif"/>
      </rPr>
      <t>6.3.3.1</t>
    </r>
  </si>
  <si>
    <r>
      <rPr>
        <u/>
        <sz val="10"/>
        <color rgb="FF1155CC"/>
        <rFont val="monospace, serif"/>
      </rPr>
      <t>6.3.3.2</t>
    </r>
  </si>
  <si>
    <r>
      <rPr>
        <u/>
        <sz val="10"/>
        <color rgb="FF1155CC"/>
        <rFont val="monospace, serif"/>
      </rPr>
      <t>6.3.4.13</t>
    </r>
  </si>
  <si>
    <r>
      <rPr>
        <u/>
        <sz val="10"/>
        <color rgb="FF1155CC"/>
        <rFont val="monospace, serif"/>
      </rPr>
      <t>6.3.4.15</t>
    </r>
  </si>
  <si>
    <r>
      <rPr>
        <u/>
        <sz val="10"/>
        <color rgb="FF1155CC"/>
        <rFont val="monospace, serif"/>
      </rPr>
      <t>6.3.4.18</t>
    </r>
  </si>
  <si>
    <r>
      <rPr>
        <u/>
        <sz val="10"/>
        <color rgb="FF1155CC"/>
        <rFont val="monospace, serif"/>
      </rPr>
      <t>6.3.4.19</t>
    </r>
  </si>
  <si>
    <r>
      <rPr>
        <u/>
        <sz val="10"/>
        <color rgb="FF1155CC"/>
        <rFont val="monospace, serif"/>
      </rPr>
      <t>6.3.4.2</t>
    </r>
  </si>
  <si>
    <r>
      <rPr>
        <u/>
        <sz val="10"/>
        <color rgb="FF1155CC"/>
        <rFont val="monospace, serif"/>
      </rPr>
      <t>6.3.4.21</t>
    </r>
  </si>
  <si>
    <r>
      <rPr>
        <u/>
        <sz val="10"/>
        <color rgb="FF1155CC"/>
        <rFont val="monospace, serif"/>
      </rPr>
      <t>6.3.4.3</t>
    </r>
  </si>
  <si>
    <r>
      <rPr>
        <u/>
        <sz val="10"/>
        <color rgb="FF1155CC"/>
        <rFont val="monospace, serif"/>
      </rPr>
      <t>6.3.4.4</t>
    </r>
  </si>
  <si>
    <r>
      <rPr>
        <u/>
        <sz val="10"/>
        <color rgb="FF1155CC"/>
        <rFont val="monospace, serif"/>
      </rPr>
      <t>6.3.4.5</t>
    </r>
  </si>
  <si>
    <r>
      <rPr>
        <u/>
        <sz val="10"/>
        <color rgb="FF1155CC"/>
        <rFont val="monospace, serif"/>
      </rPr>
      <t>6.3.5.2</t>
    </r>
  </si>
  <si>
    <r>
      <rPr>
        <u/>
        <sz val="10"/>
        <color rgb="FF1155CC"/>
        <rFont val="monospace, serif"/>
      </rPr>
      <t>6.3.5.3</t>
    </r>
  </si>
  <si>
    <r>
      <rPr>
        <u/>
        <sz val="10"/>
        <color rgb="FF1155CC"/>
        <rFont val="monospace, serif"/>
      </rPr>
      <t>6.3.5.4</t>
    </r>
  </si>
  <si>
    <r>
      <rPr>
        <u/>
        <sz val="10"/>
        <color rgb="FF1155CC"/>
        <rFont val="monospace, serif"/>
      </rPr>
      <t>6.3.5.5</t>
    </r>
  </si>
  <si>
    <r>
      <rPr>
        <u/>
        <sz val="10"/>
        <color rgb="FF1155CC"/>
        <rFont val="monospace, serif"/>
      </rPr>
      <t>6.4.1.1</t>
    </r>
  </si>
  <si>
    <r>
      <rPr>
        <u/>
        <sz val="10"/>
        <color rgb="FF1155CC"/>
        <rFont val="monospace, serif"/>
      </rPr>
      <t>6.4.1.2</t>
    </r>
  </si>
  <si>
    <r>
      <rPr>
        <u/>
        <sz val="10"/>
        <color rgb="FF1155CC"/>
        <rFont val="monospace, serif"/>
      </rPr>
      <t>6.5.1.2</t>
    </r>
  </si>
  <si>
    <r>
      <rPr>
        <u/>
        <sz val="10"/>
        <color rgb="FF1155CC"/>
        <rFont val="monospace, serif"/>
      </rPr>
      <t>7.1.2.1</t>
    </r>
  </si>
  <si>
    <r>
      <rPr>
        <u/>
        <sz val="10"/>
        <color rgb="FF1155CC"/>
        <rFont val="monospace, serif"/>
      </rPr>
      <t>7.1.2.2</t>
    </r>
  </si>
  <si>
    <r>
      <rPr>
        <u/>
        <sz val="10"/>
        <color rgb="FF1155CC"/>
        <rFont val="monospace, serif"/>
      </rPr>
      <t>7.2.2.14</t>
    </r>
  </si>
  <si>
    <r>
      <rPr>
        <u/>
        <sz val="10"/>
        <color rgb="FF1155CC"/>
        <rFont val="monospace, serif"/>
      </rPr>
      <t>7.3.2.1</t>
    </r>
  </si>
  <si>
    <r>
      <rPr>
        <u/>
        <sz val="10"/>
        <color rgb="FF1155CC"/>
        <rFont val="monospace, serif"/>
      </rPr>
      <t>7.3.2.2</t>
    </r>
  </si>
  <si>
    <r>
      <rPr>
        <u/>
        <sz val="10"/>
        <color rgb="FF1155CC"/>
        <rFont val="monospace, serif"/>
      </rPr>
      <t>7.4.2.11</t>
    </r>
  </si>
  <si>
    <r>
      <rPr>
        <u/>
        <sz val="10"/>
        <color rgb="FF1155CC"/>
        <rFont val="monospace, serif"/>
      </rPr>
      <t>7.6.2.14</t>
    </r>
  </si>
  <si>
    <t>(3R)-3-Hydroxypalmitoyl-[acyl-carrier protein]</t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</si>
  <si>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+ </t>
    </r>
    <r>
      <rPr>
        <u/>
        <sz val="11"/>
        <color rgb="FF1155CC"/>
        <rFont val="Arial"/>
        <family val="2"/>
      </rPr>
      <t>C00001</t>
    </r>
  </si>
  <si>
    <r>
      <rPr>
        <u/>
        <sz val="11"/>
        <color rgb="FF1155CC"/>
        <rFont val="Arial"/>
        <family val="2"/>
      </rPr>
      <t>C00860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C00003</t>
    </r>
    <r>
      <rPr>
        <sz val="11"/>
        <color rgb="FF000000"/>
        <rFont val="Arial"/>
        <family val="2"/>
      </rPr>
      <t xml:space="preserve"> * </t>
    </r>
    <r>
      <rPr>
        <u/>
        <sz val="11"/>
        <color rgb="FF1155CC"/>
        <rFont val="Arial"/>
        <family val="2"/>
      </rPr>
      <t>C00001</t>
    </r>
  </si>
  <si>
    <t>C00418 + C00010 + C00003</t>
  </si>
  <si>
    <t>C00418 * C00010 * C00003</t>
  </si>
  <si>
    <t>C00356 + C00004 + C00080</t>
  </si>
  <si>
    <t>C00356 * C00004 * C00080</t>
  </si>
  <si>
    <t>C00704 + C00080</t>
  </si>
  <si>
    <t>C00704 * C00080</t>
  </si>
  <si>
    <t>C00025 + C00006</t>
  </si>
  <si>
    <t>C00025 * C00006</t>
  </si>
  <si>
    <t>C00101 + C00003</t>
  </si>
  <si>
    <t>C00101 * C00003</t>
  </si>
  <si>
    <t>C00504 + C00004 + C00080</t>
  </si>
  <si>
    <t>C00504 * C00004 * C00080</t>
  </si>
  <si>
    <t>C00101 + C00006</t>
  </si>
  <si>
    <t>C00101 * C00006</t>
  </si>
  <si>
    <t>C00504 + C00005 + C00080</t>
  </si>
  <si>
    <t>C00504 * C00005 * C00080</t>
  </si>
  <si>
    <t>C00005 + C00080 + C18902</t>
  </si>
  <si>
    <t>C00005 * C00080 * C18902</t>
  </si>
  <si>
    <t>C00006 + C00001 + C05703</t>
  </si>
  <si>
    <t>C00006 * C00001 * C05703</t>
  </si>
  <si>
    <t>C00019 + C20648</t>
  </si>
  <si>
    <t>C00019 * C20648</t>
  </si>
  <si>
    <t>C00021 + C20796</t>
  </si>
  <si>
    <t>C00021 * C20796</t>
  </si>
  <si>
    <t>C00002 + C00541 + C03024</t>
  </si>
  <si>
    <t>C00002 * C00541 * C03024</t>
  </si>
  <si>
    <t>C00536 + C00194 + C03161</t>
  </si>
  <si>
    <t>C00536 * C00194 * C03161</t>
  </si>
  <si>
    <t>C00002 + C06504 + C03024</t>
  </si>
  <si>
    <t>C00002 * C06504 * C03024</t>
  </si>
  <si>
    <t>C00536 + C06506 + C03161</t>
  </si>
  <si>
    <t>C00536 * C06506 * C03161</t>
  </si>
  <si>
    <t>C02211 + C00063 + C00002</t>
  </si>
  <si>
    <t>C02211 * C00063 * C00002</t>
  </si>
  <si>
    <t>C00013 + C20565</t>
  </si>
  <si>
    <t>C00013 * C20565</t>
  </si>
  <si>
    <t>C00002 + C00133</t>
  </si>
  <si>
    <t>C00002 * C00133</t>
  </si>
  <si>
    <t>C00002 + C00064 + C00288 + C00001</t>
  </si>
  <si>
    <t>C00002 * C00064 * C00288 * C00001</t>
  </si>
  <si>
    <t>C00008 + C00009 + C00025 + C00169</t>
  </si>
  <si>
    <t>C00008 * C00009 * C00025 * C00169</t>
  </si>
  <si>
    <t>C00002 + C00288 + C00014</t>
  </si>
  <si>
    <t>C00002 * C00288 * C00014</t>
  </si>
  <si>
    <t>C00008 + C00009 + C00169</t>
  </si>
  <si>
    <t>C00008 * C00009 * C00169</t>
  </si>
  <si>
    <t>C01528 + C00006 + C00001</t>
  </si>
  <si>
    <t>C01528 * C00006 * C00001</t>
  </si>
  <si>
    <t>C19085 + C00013</t>
  </si>
  <si>
    <t>C19085 * C00013</t>
  </si>
  <si>
    <t>C05684 + C00005 + C00080</t>
  </si>
  <si>
    <t>C05684 * C00005 * C00080</t>
  </si>
  <si>
    <t>G10495 + C00009</t>
  </si>
  <si>
    <t>G10495 * C00009</t>
  </si>
  <si>
    <t>G10495 + G11109</t>
  </si>
  <si>
    <t>G10495 * G11109</t>
  </si>
  <si>
    <t>C00677 + C00039</t>
  </si>
  <si>
    <t>C00677 * C00039</t>
  </si>
  <si>
    <t>C00124 + G10534</t>
  </si>
  <si>
    <t>C00124 * G10534</t>
  </si>
  <si>
    <t>C00404 + C00001</t>
  </si>
  <si>
    <t>C00404 * C00001</t>
  </si>
  <si>
    <t>C00003 + C00039 + C02128</t>
  </si>
  <si>
    <t>C00003 * C00039 * C02128</t>
  </si>
  <si>
    <t>G10495 + G11113</t>
  </si>
  <si>
    <t>C00013 + C00039</t>
  </si>
  <si>
    <t>G10534 + C00001</t>
  </si>
  <si>
    <t>G10495 + C00103</t>
  </si>
  <si>
    <t>G10495 * C00103</t>
  </si>
  <si>
    <t>C20864 +  C00013</t>
  </si>
  <si>
    <t>C20864 *  C00013</t>
  </si>
  <si>
    <t>C00404 + C00009</t>
  </si>
  <si>
    <t>C00404 * C00009</t>
  </si>
  <si>
    <t>G10495 * G11113</t>
  </si>
  <si>
    <t>C00013 * C00039</t>
  </si>
  <si>
    <t>G10534 * C00001</t>
  </si>
  <si>
    <t>C00020 + C00455 + C00039</t>
  </si>
  <si>
    <t>C00020 * C00455 * C00039</t>
  </si>
  <si>
    <t>C00344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</si>
</sst>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sz val="11"/>
      <color rgb="FF000000"/>
      <name val="Calibri"/>
      <family val="2"/>
    </font>
    <font>
      <sz val="10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Monospace"/>
    </font>
    <font>
      <sz val="10"/>
      <color rgb="FF000000"/>
      <name val="Monospace"/>
    </font>
    <font>
      <u/>
      <sz val="11"/>
      <color rgb="FF0000FF"/>
      <name val="&quot;Dejavu Sans Mono&quot;"/>
    </font>
    <font>
      <u/>
      <sz val="11"/>
      <color rgb="FF000000"/>
      <name val="&quot;Dejavu Sans Mono&quot;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00"/>
      <name val="&quot;Dejavu Sans Mono&quot;"/>
    </font>
    <font>
      <sz val="10"/>
      <color rgb="FF000000"/>
      <name val="Arial"/>
      <family val="2"/>
    </font>
    <font>
      <u/>
      <sz val="10"/>
      <color rgb="FF0000FF"/>
      <name val="Monospace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&quot;Dejavu Sans Mono&quot;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  <scheme val="minor"/>
    </font>
    <font>
      <sz val="10"/>
      <name val="Arial"/>
      <family val="2"/>
      <scheme val="minor"/>
    </font>
    <font>
      <u/>
      <sz val="10"/>
      <color rgb="FF1155CC"/>
      <name val="monospace, serif"/>
    </font>
    <font>
      <u/>
      <sz val="11"/>
      <color rgb="FF1155CC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u/>
      <sz val="11"/>
      <color rgb="FF000000"/>
      <name val="Arial"/>
      <family val="2"/>
    </font>
    <font>
      <u/>
      <sz val="11"/>
      <color rgb="FF1155CC"/>
      <name val="Arial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E3D7E0"/>
        <bgColor rgb="FFE3D7E0"/>
      </patternFill>
    </fill>
    <fill>
      <patternFill patternType="solid">
        <fgColor rgb="FFDDEBF7"/>
        <bgColor rgb="FFDDEBF7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rgb="FFFF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rgb="FFBDD7EE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F1F1F1"/>
      </top>
      <bottom/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F1F1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1" fillId="0" borderId="1" xfId="0" applyFont="1" applyBorder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vertical="top"/>
    </xf>
    <xf numFmtId="0" fontId="4" fillId="0" borderId="2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3" fontId="8" fillId="0" borderId="0" xfId="0" applyNumberFormat="1" applyFont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3" fillId="0" borderId="0" xfId="0" applyFont="1"/>
    <xf numFmtId="0" fontId="14" fillId="2" borderId="0" xfId="0" applyFont="1" applyFill="1"/>
    <xf numFmtId="0" fontId="15" fillId="0" borderId="0" xfId="0" applyFont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 applyAlignment="1">
      <alignment horizontal="left" wrapText="1"/>
    </xf>
    <xf numFmtId="0" fontId="19" fillId="2" borderId="0" xfId="0" applyFont="1" applyFill="1"/>
    <xf numFmtId="0" fontId="20" fillId="2" borderId="0" xfId="0" applyFont="1" applyFill="1" applyAlignment="1">
      <alignment horizontal="left" wrapText="1"/>
    </xf>
    <xf numFmtId="0" fontId="18" fillId="0" borderId="0" xfId="0" applyFont="1"/>
    <xf numFmtId="0" fontId="21" fillId="2" borderId="0" xfId="0" applyFont="1" applyFill="1" applyAlignment="1">
      <alignment wrapText="1"/>
    </xf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3" fillId="4" borderId="0" xfId="0" applyFont="1" applyFill="1"/>
    <xf numFmtId="0" fontId="1" fillId="0" borderId="0" xfId="0" applyFont="1"/>
    <xf numFmtId="0" fontId="0" fillId="14" borderId="0" xfId="0" applyFill="1"/>
    <xf numFmtId="0" fontId="0" fillId="17" borderId="0" xfId="0" applyFill="1"/>
    <xf numFmtId="0" fontId="25" fillId="0" borderId="4" xfId="0" applyFont="1" applyBorder="1"/>
    <xf numFmtId="0" fontId="25" fillId="0" borderId="5" xfId="0" applyFont="1" applyBorder="1"/>
    <xf numFmtId="0" fontId="25" fillId="13" borderId="5" xfId="0" applyFont="1" applyFill="1" applyBorder="1"/>
    <xf numFmtId="0" fontId="25" fillId="16" borderId="5" xfId="0" applyFont="1" applyFill="1" applyBorder="1"/>
    <xf numFmtId="0" fontId="5" fillId="0" borderId="5" xfId="0" applyFont="1" applyBorder="1"/>
    <xf numFmtId="0" fontId="5" fillId="13" borderId="5" xfId="0" applyFont="1" applyFill="1" applyBorder="1"/>
    <xf numFmtId="0" fontId="5" fillId="16" borderId="5" xfId="0" applyFont="1" applyFill="1" applyBorder="1"/>
    <xf numFmtId="0" fontId="5" fillId="12" borderId="5" xfId="0" applyFont="1" applyFill="1" applyBorder="1"/>
    <xf numFmtId="0" fontId="5" fillId="15" borderId="5" xfId="0" applyFont="1" applyFill="1" applyBorder="1"/>
    <xf numFmtId="0" fontId="3" fillId="0" borderId="5" xfId="0" applyFont="1" applyBorder="1"/>
    <xf numFmtId="0" fontId="39" fillId="0" borderId="5" xfId="0" applyFont="1" applyBorder="1"/>
    <xf numFmtId="0" fontId="1" fillId="0" borderId="5" xfId="0" applyFont="1" applyBorder="1"/>
    <xf numFmtId="0" fontId="5" fillId="0" borderId="5" xfId="0" quotePrefix="1" applyFont="1" applyBorder="1"/>
    <xf numFmtId="0" fontId="26" fillId="0" borderId="5" xfId="0" applyFont="1" applyBorder="1"/>
    <xf numFmtId="0" fontId="10" fillId="2" borderId="5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20" fillId="2" borderId="5" xfId="0" applyFont="1" applyFill="1" applyBorder="1" applyAlignment="1">
      <alignment horizontal="left" wrapText="1"/>
    </xf>
    <xf numFmtId="0" fontId="25" fillId="0" borderId="5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25" fillId="5" borderId="5" xfId="0" applyFont="1" applyFill="1" applyBorder="1" applyAlignment="1">
      <alignment horizontal="left" vertical="top" wrapText="1"/>
    </xf>
    <xf numFmtId="0" fontId="25" fillId="6" borderId="5" xfId="0" applyFont="1" applyFill="1" applyBorder="1" applyAlignment="1">
      <alignment horizontal="left" vertical="top" wrapText="1"/>
    </xf>
    <xf numFmtId="0" fontId="25" fillId="7" borderId="5" xfId="0" applyFont="1" applyFill="1" applyBorder="1" applyAlignment="1">
      <alignment horizontal="left" vertical="top" wrapText="1"/>
    </xf>
    <xf numFmtId="0" fontId="25" fillId="8" borderId="5" xfId="0" applyFont="1" applyFill="1" applyBorder="1" applyAlignment="1">
      <alignment horizontal="left" vertical="top" wrapText="1"/>
    </xf>
    <xf numFmtId="0" fontId="25" fillId="9" borderId="5" xfId="0" applyFont="1" applyFill="1" applyBorder="1" applyAlignment="1">
      <alignment horizontal="left" vertical="top" wrapText="1"/>
    </xf>
    <xf numFmtId="0" fontId="25" fillId="3" borderId="5" xfId="0" applyFont="1" applyFill="1" applyBorder="1" applyAlignment="1">
      <alignment horizontal="left" vertical="top" wrapText="1"/>
    </xf>
    <xf numFmtId="0" fontId="25" fillId="10" borderId="5" xfId="0" applyFont="1" applyFill="1" applyBorder="1" applyAlignment="1">
      <alignment horizontal="left" vertical="top" wrapText="1"/>
    </xf>
    <xf numFmtId="0" fontId="25" fillId="11" borderId="5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7" borderId="5" xfId="0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left" vertical="top" wrapText="1"/>
    </xf>
    <xf numFmtId="0" fontId="3" fillId="11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27" fillId="2" borderId="5" xfId="0" applyFont="1" applyFill="1" applyBorder="1" applyAlignment="1">
      <alignment horizontal="left" wrapText="1"/>
    </xf>
    <xf numFmtId="0" fontId="25" fillId="4" borderId="5" xfId="0" applyFont="1" applyFill="1" applyBorder="1"/>
    <xf numFmtId="0" fontId="14" fillId="2" borderId="5" xfId="0" applyFont="1" applyFill="1" applyBorder="1"/>
    <xf numFmtId="0" fontId="3" fillId="4" borderId="5" xfId="0" applyFont="1" applyFill="1" applyBorder="1"/>
    <xf numFmtId="0" fontId="13" fillId="0" borderId="5" xfId="0" applyFont="1" applyBorder="1"/>
    <xf numFmtId="0" fontId="0" fillId="0" borderId="5" xfId="0" applyBorder="1"/>
    <xf numFmtId="0" fontId="37" fillId="2" borderId="5" xfId="0" applyFont="1" applyFill="1" applyBorder="1"/>
    <xf numFmtId="0" fontId="2" fillId="0" borderId="5" xfId="0" applyFont="1" applyBorder="1"/>
    <xf numFmtId="0" fontId="16" fillId="2" borderId="5" xfId="0" applyFont="1" applyFill="1" applyBorder="1"/>
    <xf numFmtId="0" fontId="17" fillId="2" borderId="5" xfId="0" applyFont="1" applyFill="1" applyBorder="1"/>
    <xf numFmtId="0" fontId="19" fillId="2" borderId="5" xfId="0" applyFont="1" applyFill="1" applyBorder="1"/>
    <xf numFmtId="0" fontId="18" fillId="0" borderId="5" xfId="0" applyFont="1" applyBorder="1"/>
    <xf numFmtId="0" fontId="21" fillId="2" borderId="5" xfId="0" applyFont="1" applyFill="1" applyBorder="1" applyAlignment="1">
      <alignment wrapText="1"/>
    </xf>
    <xf numFmtId="0" fontId="38" fillId="2" borderId="5" xfId="0" applyFont="1" applyFill="1" applyBorder="1"/>
    <xf numFmtId="0" fontId="24" fillId="0" borderId="5" xfId="0" applyFont="1" applyBorder="1"/>
    <xf numFmtId="0" fontId="1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NZ_CP167253.1/" TargetMode="External"/><Relationship Id="rId2" Type="http://schemas.openxmlformats.org/officeDocument/2006/relationships/hyperlink" Target="https://www.ncbi.nlm.nih.gov/biosample/SAMN07445234/" TargetMode="External"/><Relationship Id="rId1" Type="http://schemas.openxmlformats.org/officeDocument/2006/relationships/hyperlink" Target="https://www.ncbi.nlm.nih.gov/datasets/genome/GCF_002901165.3/" TargetMode="External"/><Relationship Id="rId5" Type="http://schemas.openxmlformats.org/officeDocument/2006/relationships/hyperlink" Target="https://www.ncbi.nlm.nih.gov/nuccore/NZ_CP167253.1/" TargetMode="External"/><Relationship Id="rId4" Type="http://schemas.openxmlformats.org/officeDocument/2006/relationships/hyperlink" Target="https://www.ncbi.nlm.nih.gov/nuccore/CP167253.1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enome.jp/entry/C00008" TargetMode="External"/><Relationship Id="rId3182" Type="http://schemas.openxmlformats.org/officeDocument/2006/relationships/hyperlink" Target="https://enzyme.expasy.org/EC/6.1.1.13" TargetMode="External"/><Relationship Id="rId3042" Type="http://schemas.openxmlformats.org/officeDocument/2006/relationships/hyperlink" Target="https://www.genome.jp/entry/C00085" TargetMode="External"/><Relationship Id="rId170" Type="http://schemas.openxmlformats.org/officeDocument/2006/relationships/hyperlink" Target="https://enzyme.expasy.org/EC/1.1.1.17" TargetMode="External"/><Relationship Id="rId987" Type="http://schemas.openxmlformats.org/officeDocument/2006/relationships/hyperlink" Target="https://www.genome.jp/entry/2.1.3.2" TargetMode="External"/><Relationship Id="rId2668" Type="http://schemas.openxmlformats.org/officeDocument/2006/relationships/hyperlink" Target="https://www.genome.jp/entry/C20267" TargetMode="External"/><Relationship Id="rId2875" Type="http://schemas.openxmlformats.org/officeDocument/2006/relationships/hyperlink" Target="https://enzyme.expasy.org/EC/4.3.1.17" TargetMode="External"/><Relationship Id="rId847" Type="http://schemas.openxmlformats.org/officeDocument/2006/relationships/hyperlink" Target="https://www.genome.jp/entry/C00019" TargetMode="External"/><Relationship Id="rId1477" Type="http://schemas.openxmlformats.org/officeDocument/2006/relationships/hyperlink" Target="https://www.genome.jp/entry/R10757" TargetMode="External"/><Relationship Id="rId1684" Type="http://schemas.openxmlformats.org/officeDocument/2006/relationships/hyperlink" Target="https://www.genome.jp/entry/C00104" TargetMode="External"/><Relationship Id="rId1891" Type="http://schemas.openxmlformats.org/officeDocument/2006/relationships/hyperlink" Target="https://www.genome.jp/entry/C00013" TargetMode="External"/><Relationship Id="rId2528" Type="http://schemas.openxmlformats.org/officeDocument/2006/relationships/hyperlink" Target="https://enzyme.expasy.org/EC/3.2.1.86" TargetMode="External"/><Relationship Id="rId2735" Type="http://schemas.openxmlformats.org/officeDocument/2006/relationships/hyperlink" Target="https://www.genome.jp/entry/C00002" TargetMode="External"/><Relationship Id="rId2942" Type="http://schemas.openxmlformats.org/officeDocument/2006/relationships/hyperlink" Target="https://www.genome.jp/entry/C00491" TargetMode="External"/><Relationship Id="rId707" Type="http://schemas.openxmlformats.org/officeDocument/2006/relationships/hyperlink" Target="https://www.genome.jp/entry/C02953" TargetMode="External"/><Relationship Id="rId914" Type="http://schemas.openxmlformats.org/officeDocument/2006/relationships/hyperlink" Target="https://www.genome.jp/entry/R00600" TargetMode="External"/><Relationship Id="rId1337" Type="http://schemas.openxmlformats.org/officeDocument/2006/relationships/hyperlink" Target="https://www.genome.jp/entry/R01072" TargetMode="External"/><Relationship Id="rId1544" Type="http://schemas.openxmlformats.org/officeDocument/2006/relationships/hyperlink" Target="https://www.genome.jp/entry/C00104" TargetMode="External"/><Relationship Id="rId1751" Type="http://schemas.openxmlformats.org/officeDocument/2006/relationships/hyperlink" Target="https://www.genome.jp/entry/C00008" TargetMode="External"/><Relationship Id="rId2802" Type="http://schemas.openxmlformats.org/officeDocument/2006/relationships/hyperlink" Target="https://www.genome.jp/entry/C04309" TargetMode="External"/><Relationship Id="rId43" Type="http://schemas.openxmlformats.org/officeDocument/2006/relationships/hyperlink" Target="https://www.genome.jp/entry/R06917" TargetMode="External"/><Relationship Id="rId1404" Type="http://schemas.openxmlformats.org/officeDocument/2006/relationships/hyperlink" Target="https://www.genome.jp/entry/R00966" TargetMode="External"/><Relationship Id="rId1611" Type="http://schemas.openxmlformats.org/officeDocument/2006/relationships/hyperlink" Target="https://www.genome.jp/entry/C00002" TargetMode="External"/><Relationship Id="rId3369" Type="http://schemas.openxmlformats.org/officeDocument/2006/relationships/hyperlink" Target="https://www.genome.jp/entry/C00008" TargetMode="External"/><Relationship Id="rId497" Type="http://schemas.openxmlformats.org/officeDocument/2006/relationships/hyperlink" Target="https://enzyme.expasy.org/EC/1.17.4.2" TargetMode="External"/><Relationship Id="rId2178" Type="http://schemas.openxmlformats.org/officeDocument/2006/relationships/hyperlink" Target="https://www.genome.jp/entry/C19078" TargetMode="External"/><Relationship Id="rId2385" Type="http://schemas.openxmlformats.org/officeDocument/2006/relationships/hyperlink" Target="https://www.genome.jp/entry/G00501" TargetMode="External"/><Relationship Id="rId3229" Type="http://schemas.openxmlformats.org/officeDocument/2006/relationships/hyperlink" Target="https://enzyme.expasy.org/EC/6.1.1.21" TargetMode="External"/><Relationship Id="rId357" Type="http://schemas.openxmlformats.org/officeDocument/2006/relationships/hyperlink" Target="https://www.genome.jp/entry/R08363" TargetMode="External"/><Relationship Id="rId1194" Type="http://schemas.openxmlformats.org/officeDocument/2006/relationships/hyperlink" Target="https://enzyme.expasy.org/EC/2.3.1.179" TargetMode="External"/><Relationship Id="rId2038" Type="http://schemas.openxmlformats.org/officeDocument/2006/relationships/hyperlink" Target="https://www.genome.jp/entry/C00013" TargetMode="External"/><Relationship Id="rId2592" Type="http://schemas.openxmlformats.org/officeDocument/2006/relationships/hyperlink" Target="https://www.genome.jp/entry/C00357" TargetMode="External"/><Relationship Id="rId3436" Type="http://schemas.openxmlformats.org/officeDocument/2006/relationships/hyperlink" Target="https://www.genome.jp/entry/C00008" TargetMode="External"/><Relationship Id="rId217" Type="http://schemas.openxmlformats.org/officeDocument/2006/relationships/hyperlink" Target="https://www.genome.jp/entry/R02413" TargetMode="External"/><Relationship Id="rId564" Type="http://schemas.openxmlformats.org/officeDocument/2006/relationships/hyperlink" Target="https://enzyme.expasy.org/EC/1.2.3.3" TargetMode="External"/><Relationship Id="rId771" Type="http://schemas.openxmlformats.org/officeDocument/2006/relationships/hyperlink" Target="https://www.genome.jp/entry/C01528" TargetMode="External"/><Relationship Id="rId2245" Type="http://schemas.openxmlformats.org/officeDocument/2006/relationships/hyperlink" Target="https://www.genome.jp/entry/C05382" TargetMode="External"/><Relationship Id="rId2452" Type="http://schemas.openxmlformats.org/officeDocument/2006/relationships/hyperlink" Target="https://www.genome.jp/entry/C00031" TargetMode="External"/><Relationship Id="rId424" Type="http://schemas.openxmlformats.org/officeDocument/2006/relationships/hyperlink" Target="https://www.genome.jp/entry/R02024" TargetMode="External"/><Relationship Id="rId631" Type="http://schemas.openxmlformats.org/officeDocument/2006/relationships/hyperlink" Target="https://www.genome.jp/entry/C00647" TargetMode="External"/><Relationship Id="rId1054" Type="http://schemas.openxmlformats.org/officeDocument/2006/relationships/hyperlink" Target="https://www.genome.jp/entry/C00010" TargetMode="External"/><Relationship Id="rId1261" Type="http://schemas.openxmlformats.org/officeDocument/2006/relationships/hyperlink" Target="https://www.genome.jp/entry/C00024" TargetMode="External"/><Relationship Id="rId2105" Type="http://schemas.openxmlformats.org/officeDocument/2006/relationships/hyperlink" Target="https://enzyme.expasy.org/EC/2.7.7.7" TargetMode="External"/><Relationship Id="rId2312" Type="http://schemas.openxmlformats.org/officeDocument/2006/relationships/hyperlink" Target="https://enzyme.expasy.org/EC/3.1.6.1" TargetMode="External"/><Relationship Id="rId1121" Type="http://schemas.openxmlformats.org/officeDocument/2006/relationships/hyperlink" Target="https://www.genome.jp/entry/2.3.1.16" TargetMode="External"/><Relationship Id="rId3086" Type="http://schemas.openxmlformats.org/officeDocument/2006/relationships/hyperlink" Target="https://www.genome.jp/entry/C00668" TargetMode="External"/><Relationship Id="rId3293" Type="http://schemas.openxmlformats.org/officeDocument/2006/relationships/hyperlink" Target="https://www.genome.jp/entry/C00063" TargetMode="External"/><Relationship Id="rId1938" Type="http://schemas.openxmlformats.org/officeDocument/2006/relationships/hyperlink" Target="https://www.genome.jp/entry/C00002" TargetMode="External"/><Relationship Id="rId3153" Type="http://schemas.openxmlformats.org/officeDocument/2006/relationships/hyperlink" Target="https://www.genome.jp/entry/C01638" TargetMode="External"/><Relationship Id="rId3360" Type="http://schemas.openxmlformats.org/officeDocument/2006/relationships/hyperlink" Target="https://www.genome.jp/entry/C00020" TargetMode="External"/><Relationship Id="rId281" Type="http://schemas.openxmlformats.org/officeDocument/2006/relationships/hyperlink" Target="https://www.genome.jp/entry/1.1.1.343" TargetMode="External"/><Relationship Id="rId3013" Type="http://schemas.openxmlformats.org/officeDocument/2006/relationships/hyperlink" Target="https://enzyme.expasy.org/EC/5.2.1.8" TargetMode="External"/><Relationship Id="rId141" Type="http://schemas.openxmlformats.org/officeDocument/2006/relationships/hyperlink" Target="https://www.genome.jp/entry/1.1.1.100" TargetMode="External"/><Relationship Id="rId3220" Type="http://schemas.openxmlformats.org/officeDocument/2006/relationships/hyperlink" Target="https://enzyme.expasy.org/EC/6.1.1.2" TargetMode="External"/><Relationship Id="rId7" Type="http://schemas.openxmlformats.org/officeDocument/2006/relationships/hyperlink" Target="https://www.genome.jp/entry/1.1.1.1" TargetMode="External"/><Relationship Id="rId2779" Type="http://schemas.openxmlformats.org/officeDocument/2006/relationships/hyperlink" Target="https://enzyme.expasy.org/EC/4.1.2.4" TargetMode="External"/><Relationship Id="rId2986" Type="http://schemas.openxmlformats.org/officeDocument/2006/relationships/hyperlink" Target="https://enzyme.expasy.org/EC/5.1.1.1" TargetMode="External"/><Relationship Id="rId958" Type="http://schemas.openxmlformats.org/officeDocument/2006/relationships/hyperlink" Target="https://www.genome.jp/entry/R00945" TargetMode="External"/><Relationship Id="rId1588" Type="http://schemas.openxmlformats.org/officeDocument/2006/relationships/hyperlink" Target="https://www.genome.jp/entry/C00022" TargetMode="External"/><Relationship Id="rId1795" Type="http://schemas.openxmlformats.org/officeDocument/2006/relationships/hyperlink" Target="https://enzyme.expasy.org/EC/2.7.4.3" TargetMode="External"/><Relationship Id="rId2639" Type="http://schemas.openxmlformats.org/officeDocument/2006/relationships/hyperlink" Target="https://www.genome.jp/entry/C02741" TargetMode="External"/><Relationship Id="rId2846" Type="http://schemas.openxmlformats.org/officeDocument/2006/relationships/hyperlink" Target="https://www.genome.jp/entry/C04619" TargetMode="External"/><Relationship Id="rId87" Type="http://schemas.openxmlformats.org/officeDocument/2006/relationships/hyperlink" Target="https://www.genome.jp/entry/1.1.1.1" TargetMode="External"/><Relationship Id="rId818" Type="http://schemas.openxmlformats.org/officeDocument/2006/relationships/hyperlink" Target="https://enzyme.expasy.org/EC/2.1.1.170" TargetMode="External"/><Relationship Id="rId1448" Type="http://schemas.openxmlformats.org/officeDocument/2006/relationships/hyperlink" Target="https://www.genome.jp/entry/R03601" TargetMode="External"/><Relationship Id="rId1655" Type="http://schemas.openxmlformats.org/officeDocument/2006/relationships/hyperlink" Target="https://www.genome.jp/entry/C00008" TargetMode="External"/><Relationship Id="rId2706" Type="http://schemas.openxmlformats.org/officeDocument/2006/relationships/hyperlink" Target="https://www.genome.jp/entry/C00022" TargetMode="External"/><Relationship Id="rId1308" Type="http://schemas.openxmlformats.org/officeDocument/2006/relationships/hyperlink" Target="https://enzyme.expasy.org/EC/2.4.1.21" TargetMode="External"/><Relationship Id="rId1862" Type="http://schemas.openxmlformats.org/officeDocument/2006/relationships/hyperlink" Target="https://enzyme.expasy.org/EC/2.7.4.9" TargetMode="External"/><Relationship Id="rId2913" Type="http://schemas.openxmlformats.org/officeDocument/2006/relationships/hyperlink" Target="https://www.genome.jp/entry/C00025" TargetMode="External"/><Relationship Id="rId1515" Type="http://schemas.openxmlformats.org/officeDocument/2006/relationships/hyperlink" Target="https://www.genome.jp/entry/C01267" TargetMode="External"/><Relationship Id="rId1722" Type="http://schemas.openxmlformats.org/officeDocument/2006/relationships/hyperlink" Target="https://www.genome.jp/entry/C01097" TargetMode="External"/><Relationship Id="rId14" Type="http://schemas.openxmlformats.org/officeDocument/2006/relationships/hyperlink" Target="https://www.genome.jp/entry/C00473" TargetMode="External"/><Relationship Id="rId2289" Type="http://schemas.openxmlformats.org/officeDocument/2006/relationships/hyperlink" Target="https://www.genome.jp/entry/C00365" TargetMode="External"/><Relationship Id="rId2496" Type="http://schemas.openxmlformats.org/officeDocument/2006/relationships/hyperlink" Target="https://www.genome.jp/entry/C00089" TargetMode="External"/><Relationship Id="rId468" Type="http://schemas.openxmlformats.org/officeDocument/2006/relationships/hyperlink" Target="https://www.genome.jp/entry/1.17.4.1" TargetMode="External"/><Relationship Id="rId675" Type="http://schemas.openxmlformats.org/officeDocument/2006/relationships/hyperlink" Target="https://www.genome.jp/entry/R00939" TargetMode="External"/><Relationship Id="rId882" Type="http://schemas.openxmlformats.org/officeDocument/2006/relationships/hyperlink" Target="https://www.genome.jp/entry/C17551" TargetMode="External"/><Relationship Id="rId1098" Type="http://schemas.openxmlformats.org/officeDocument/2006/relationships/hyperlink" Target="https://www.genome.jp/entry/C05270" TargetMode="External"/><Relationship Id="rId2149" Type="http://schemas.openxmlformats.org/officeDocument/2006/relationships/hyperlink" Target="https://www.genome.jp/entry/C00013" TargetMode="External"/><Relationship Id="rId2356" Type="http://schemas.openxmlformats.org/officeDocument/2006/relationships/hyperlink" Target="https://www.genome.jp/entry/C00124" TargetMode="External"/><Relationship Id="rId2563" Type="http://schemas.openxmlformats.org/officeDocument/2006/relationships/hyperlink" Target="https://www.genome.jp/entry/C00147" TargetMode="External"/><Relationship Id="rId2770" Type="http://schemas.openxmlformats.org/officeDocument/2006/relationships/hyperlink" Target="https://enzyme.expasy.org/EC/4.1.2.13" TargetMode="External"/><Relationship Id="rId3407" Type="http://schemas.openxmlformats.org/officeDocument/2006/relationships/hyperlink" Target="https://www.genome.jp/entry/C00002" TargetMode="External"/><Relationship Id="rId328" Type="http://schemas.openxmlformats.org/officeDocument/2006/relationships/hyperlink" Target="https://www.genome.jp/entry/C03972" TargetMode="External"/><Relationship Id="rId535" Type="http://schemas.openxmlformats.org/officeDocument/2006/relationships/hyperlink" Target="https://www.genome.jp/entry/C01978" TargetMode="External"/><Relationship Id="rId742" Type="http://schemas.openxmlformats.org/officeDocument/2006/relationships/hyperlink" Target="https://www.genome.jp/entry/C16237" TargetMode="External"/><Relationship Id="rId1165" Type="http://schemas.openxmlformats.org/officeDocument/2006/relationships/hyperlink" Target="https://enzyme.expasy.org/EC/2.3.1.179" TargetMode="External"/><Relationship Id="rId1372" Type="http://schemas.openxmlformats.org/officeDocument/2006/relationships/hyperlink" Target="https://www.genome.jp/entry/R01229" TargetMode="External"/><Relationship Id="rId2009" Type="http://schemas.openxmlformats.org/officeDocument/2006/relationships/hyperlink" Target="https://enzyme.expasy.org/EC/2.7.7.6" TargetMode="External"/><Relationship Id="rId2216" Type="http://schemas.openxmlformats.org/officeDocument/2006/relationships/hyperlink" Target="https://www.genome.jp/entry/C00024" TargetMode="External"/><Relationship Id="rId2423" Type="http://schemas.openxmlformats.org/officeDocument/2006/relationships/hyperlink" Target="https://enzyme.expasy.org/EC/3.2.1.22" TargetMode="External"/><Relationship Id="rId2630" Type="http://schemas.openxmlformats.org/officeDocument/2006/relationships/hyperlink" Target="https://enzyme.expasy.org/EC/3.5.2.3" TargetMode="External"/><Relationship Id="rId602" Type="http://schemas.openxmlformats.org/officeDocument/2006/relationships/hyperlink" Target="https://www.genome.jp/entry/C00025" TargetMode="External"/><Relationship Id="rId1025" Type="http://schemas.openxmlformats.org/officeDocument/2006/relationships/hyperlink" Target="https://enzyme.expasy.org/EC/2.2.1.6" TargetMode="External"/><Relationship Id="rId1232" Type="http://schemas.openxmlformats.org/officeDocument/2006/relationships/hyperlink" Target="https://www.genome.jp/entry/C20641" TargetMode="External"/><Relationship Id="rId3197" Type="http://schemas.openxmlformats.org/officeDocument/2006/relationships/hyperlink" Target="https://enzyme.expasy.org/EC/6.1.1.13" TargetMode="External"/><Relationship Id="rId3057" Type="http://schemas.openxmlformats.org/officeDocument/2006/relationships/hyperlink" Target="https://www.genome.jp/entry/C00199" TargetMode="External"/><Relationship Id="rId185" Type="http://schemas.openxmlformats.org/officeDocument/2006/relationships/hyperlink" Target="https://enzyme.expasy.org/EC/1.1.1.205" TargetMode="External"/><Relationship Id="rId1909" Type="http://schemas.openxmlformats.org/officeDocument/2006/relationships/hyperlink" Target="https://www.genome.jp/entry/C00013" TargetMode="External"/><Relationship Id="rId3264" Type="http://schemas.openxmlformats.org/officeDocument/2006/relationships/hyperlink" Target="https://www.genome.jp/entry/C02051" TargetMode="External"/><Relationship Id="rId392" Type="http://schemas.openxmlformats.org/officeDocument/2006/relationships/hyperlink" Target="https://www.genome.jp/entry/C04232" TargetMode="External"/><Relationship Id="rId2073" Type="http://schemas.openxmlformats.org/officeDocument/2006/relationships/hyperlink" Target="https://www.genome.jp/entry/C00458" TargetMode="External"/><Relationship Id="rId2280" Type="http://schemas.openxmlformats.org/officeDocument/2006/relationships/hyperlink" Target="https://www.genome.jp/entry/C00239" TargetMode="External"/><Relationship Id="rId3124" Type="http://schemas.openxmlformats.org/officeDocument/2006/relationships/hyperlink" Target="https://www.genome.jp/entry/C08353" TargetMode="External"/><Relationship Id="rId3331" Type="http://schemas.openxmlformats.org/officeDocument/2006/relationships/hyperlink" Target="https://enzyme.expasy.org/EC/6.3.4.2" TargetMode="External"/><Relationship Id="rId252" Type="http://schemas.openxmlformats.org/officeDocument/2006/relationships/hyperlink" Target="https://www.genome.jp/entry/R03104" TargetMode="External"/><Relationship Id="rId2140" Type="http://schemas.openxmlformats.org/officeDocument/2006/relationships/hyperlink" Target="https://www.genome.jp/entry/C00013" TargetMode="External"/><Relationship Id="rId112" Type="http://schemas.openxmlformats.org/officeDocument/2006/relationships/hyperlink" Target="https://www.genome.jp/entry/1.1.1.100" TargetMode="External"/><Relationship Id="rId1699" Type="http://schemas.openxmlformats.org/officeDocument/2006/relationships/hyperlink" Target="https://www.genome.jp/entry/C00008" TargetMode="External"/><Relationship Id="rId2000" Type="http://schemas.openxmlformats.org/officeDocument/2006/relationships/hyperlink" Target="https://enzyme.expasy.org/EC/2.7.7.6" TargetMode="External"/><Relationship Id="rId2957" Type="http://schemas.openxmlformats.org/officeDocument/2006/relationships/hyperlink" Target="https://www.genome.jp/entry/C05689" TargetMode="External"/><Relationship Id="rId929" Type="http://schemas.openxmlformats.org/officeDocument/2006/relationships/hyperlink" Target="https://www.genome.jp/entry/C00019" TargetMode="External"/><Relationship Id="rId1559" Type="http://schemas.openxmlformats.org/officeDocument/2006/relationships/hyperlink" Target="https://www.genome.jp/entry/2.7.1.11" TargetMode="External"/><Relationship Id="rId1766" Type="http://schemas.openxmlformats.org/officeDocument/2006/relationships/hyperlink" Target="https://www.genome.jp/entry/C00008" TargetMode="External"/><Relationship Id="rId1973" Type="http://schemas.openxmlformats.org/officeDocument/2006/relationships/hyperlink" Target="https://enzyme.expasy.org/EC/2.7.7.6" TargetMode="External"/><Relationship Id="rId2817" Type="http://schemas.openxmlformats.org/officeDocument/2006/relationships/hyperlink" Target="https://www.genome.jp/entry/C00149" TargetMode="External"/><Relationship Id="rId58" Type="http://schemas.openxmlformats.org/officeDocument/2006/relationships/hyperlink" Target="https://www.genome.jp/entry/R08306" TargetMode="External"/><Relationship Id="rId1419" Type="http://schemas.openxmlformats.org/officeDocument/2006/relationships/hyperlink" Target="https://www.genome.jp/entry/R12184" TargetMode="External"/><Relationship Id="rId1626" Type="http://schemas.openxmlformats.org/officeDocument/2006/relationships/hyperlink" Target="https://enzyme.expasy.org/EC/2.7.1.2" TargetMode="External"/><Relationship Id="rId1833" Type="http://schemas.openxmlformats.org/officeDocument/2006/relationships/hyperlink" Target="https://www.genome.jp/entry/C00008" TargetMode="External"/><Relationship Id="rId1900" Type="http://schemas.openxmlformats.org/officeDocument/2006/relationships/hyperlink" Target="https://www.genome.jp/entry/C00013" TargetMode="External"/><Relationship Id="rId579" Type="http://schemas.openxmlformats.org/officeDocument/2006/relationships/hyperlink" Target="https://enzyme.expasy.org/EC/1.3.1.95" TargetMode="External"/><Relationship Id="rId786" Type="http://schemas.openxmlformats.org/officeDocument/2006/relationships/hyperlink" Target="https://www.genome.jp/entry/C00073" TargetMode="External"/><Relationship Id="rId993" Type="http://schemas.openxmlformats.org/officeDocument/2006/relationships/hyperlink" Target="https://www.genome.jp/entry/C05382" TargetMode="External"/><Relationship Id="rId2467" Type="http://schemas.openxmlformats.org/officeDocument/2006/relationships/hyperlink" Target="https://www.genome.jp/entry/C05394" TargetMode="External"/><Relationship Id="rId2674" Type="http://schemas.openxmlformats.org/officeDocument/2006/relationships/hyperlink" Target="https://www.genome.jp/entry/C00013" TargetMode="External"/><Relationship Id="rId439" Type="http://schemas.openxmlformats.org/officeDocument/2006/relationships/hyperlink" Target="https://www.genome.jp/entry/R11893" TargetMode="External"/><Relationship Id="rId646" Type="http://schemas.openxmlformats.org/officeDocument/2006/relationships/hyperlink" Target="https://www.genome.jp/entry/R01248" TargetMode="External"/><Relationship Id="rId1069" Type="http://schemas.openxmlformats.org/officeDocument/2006/relationships/hyperlink" Target="https://www.genome.jp/entry/C00010" TargetMode="External"/><Relationship Id="rId1276" Type="http://schemas.openxmlformats.org/officeDocument/2006/relationships/hyperlink" Target="https://www.genome.jp/entry/C00100" TargetMode="External"/><Relationship Id="rId1483" Type="http://schemas.openxmlformats.org/officeDocument/2006/relationships/hyperlink" Target="https://www.genome.jp/entry/C00235" TargetMode="External"/><Relationship Id="rId2327" Type="http://schemas.openxmlformats.org/officeDocument/2006/relationships/hyperlink" Target="https://enzyme.expasy.org/EC/3.2.1.20" TargetMode="External"/><Relationship Id="rId2881" Type="http://schemas.openxmlformats.org/officeDocument/2006/relationships/hyperlink" Target="https://enzyme.expasy.org/EC/4.3.1.17" TargetMode="External"/><Relationship Id="rId506" Type="http://schemas.openxmlformats.org/officeDocument/2006/relationships/hyperlink" Target="https://www.genome.jp/entry/C00075" TargetMode="External"/><Relationship Id="rId853" Type="http://schemas.openxmlformats.org/officeDocument/2006/relationships/hyperlink" Target="https://enzyme.expasy.org/EC/2.1.1.190" TargetMode="External"/><Relationship Id="rId1136" Type="http://schemas.openxmlformats.org/officeDocument/2006/relationships/hyperlink" Target="https://www.genome.jp/entry/2.3.1.16" TargetMode="External"/><Relationship Id="rId1690" Type="http://schemas.openxmlformats.org/officeDocument/2006/relationships/hyperlink" Target="https://www.genome.jp/entry/C00361" TargetMode="External"/><Relationship Id="rId2534" Type="http://schemas.openxmlformats.org/officeDocument/2006/relationships/hyperlink" Target="https://enzyme.expasy.org/EC/3.2.1.86" TargetMode="External"/><Relationship Id="rId2741" Type="http://schemas.openxmlformats.org/officeDocument/2006/relationships/hyperlink" Target="https://www.genome.jp/entry/C14899" TargetMode="External"/><Relationship Id="rId713" Type="http://schemas.openxmlformats.org/officeDocument/2006/relationships/hyperlink" Target="https://enzyme.expasy.org/EC/1.7.1.7" TargetMode="External"/><Relationship Id="rId920" Type="http://schemas.openxmlformats.org/officeDocument/2006/relationships/hyperlink" Target="https://www.genome.jp/entry/C00365" TargetMode="External"/><Relationship Id="rId1343" Type="http://schemas.openxmlformats.org/officeDocument/2006/relationships/hyperlink" Target="https://enzyme.expasy.org/EC/2.4.2.18" TargetMode="External"/><Relationship Id="rId1550" Type="http://schemas.openxmlformats.org/officeDocument/2006/relationships/hyperlink" Target="https://enzyme.expasy.org/EC/2.7.1.11" TargetMode="External"/><Relationship Id="rId2601" Type="http://schemas.openxmlformats.org/officeDocument/2006/relationships/hyperlink" Target="https://www.genome.jp/entry/C03620" TargetMode="External"/><Relationship Id="rId1203" Type="http://schemas.openxmlformats.org/officeDocument/2006/relationships/hyperlink" Target="https://www.genome.jp/entry/C05762" TargetMode="External"/><Relationship Id="rId1410" Type="http://schemas.openxmlformats.org/officeDocument/2006/relationships/hyperlink" Target="https://www.genome.jp/entry/C00019" TargetMode="External"/><Relationship Id="rId3168" Type="http://schemas.openxmlformats.org/officeDocument/2006/relationships/hyperlink" Target="https://www.genome.jp/entry/C00002" TargetMode="External"/><Relationship Id="rId3375" Type="http://schemas.openxmlformats.org/officeDocument/2006/relationships/hyperlink" Target="https://www.genome.jp/entry/C00025" TargetMode="External"/><Relationship Id="rId296" Type="http://schemas.openxmlformats.org/officeDocument/2006/relationships/hyperlink" Target="https://www.genome.jp/entry/C01236" TargetMode="External"/><Relationship Id="rId2184" Type="http://schemas.openxmlformats.org/officeDocument/2006/relationships/hyperlink" Target="https://www.genome.jp/entry/C00002" TargetMode="External"/><Relationship Id="rId2391" Type="http://schemas.openxmlformats.org/officeDocument/2006/relationships/hyperlink" Target="https://www.genome.jp/entry/G00278" TargetMode="External"/><Relationship Id="rId3028" Type="http://schemas.openxmlformats.org/officeDocument/2006/relationships/hyperlink" Target="https://enzyme.expasy.org/EC/5.3.1.1" TargetMode="External"/><Relationship Id="rId3235" Type="http://schemas.openxmlformats.org/officeDocument/2006/relationships/hyperlink" Target="https://enzyme.expasy.org/EC/6.1.1.3" TargetMode="External"/><Relationship Id="rId3442" Type="http://schemas.openxmlformats.org/officeDocument/2006/relationships/hyperlink" Target="https://enzyme.expasy.org/EC/7.3.2.2" TargetMode="External"/><Relationship Id="rId156" Type="http://schemas.openxmlformats.org/officeDocument/2006/relationships/hyperlink" Target="https://www.genome.jp/entry/1.1.1.17" TargetMode="External"/><Relationship Id="rId363" Type="http://schemas.openxmlformats.org/officeDocument/2006/relationships/hyperlink" Target="https://www.genome.jp/entry/C04232" TargetMode="External"/><Relationship Id="rId570" Type="http://schemas.openxmlformats.org/officeDocument/2006/relationships/hyperlink" Target="https://www.genome.jp/entry/1.20.4.4" TargetMode="External"/><Relationship Id="rId2044" Type="http://schemas.openxmlformats.org/officeDocument/2006/relationships/hyperlink" Target="https://www.genome.jp/entry/C21031" TargetMode="External"/><Relationship Id="rId2251" Type="http://schemas.openxmlformats.org/officeDocument/2006/relationships/hyperlink" Target="https://www.genome.jp/entry/C00911" TargetMode="External"/><Relationship Id="rId3302" Type="http://schemas.openxmlformats.org/officeDocument/2006/relationships/hyperlink" Target="https://www.genome.jp/entry/C00002" TargetMode="External"/><Relationship Id="rId223" Type="http://schemas.openxmlformats.org/officeDocument/2006/relationships/hyperlink" Target="https://www.genome.jp/entry/C02637" TargetMode="External"/><Relationship Id="rId430" Type="http://schemas.openxmlformats.org/officeDocument/2006/relationships/hyperlink" Target="https://www.genome.jp/entry/C04232" TargetMode="External"/><Relationship Id="rId1060" Type="http://schemas.openxmlformats.org/officeDocument/2006/relationships/hyperlink" Target="https://enzyme.expasy.org/EC/2.3.1.16" TargetMode="External"/><Relationship Id="rId2111" Type="http://schemas.openxmlformats.org/officeDocument/2006/relationships/hyperlink" Target="https://enzyme.expasy.org/EC/2.7.7.7" TargetMode="External"/><Relationship Id="rId1877" Type="http://schemas.openxmlformats.org/officeDocument/2006/relationships/hyperlink" Target="https://www.genome.jp/entry/C00029" TargetMode="External"/><Relationship Id="rId2928" Type="http://schemas.openxmlformats.org/officeDocument/2006/relationships/hyperlink" Target="https://www.genome.jp/entry/C22441" TargetMode="External"/><Relationship Id="rId1737" Type="http://schemas.openxmlformats.org/officeDocument/2006/relationships/hyperlink" Target="https://www.genome.jp/entry/C06892" TargetMode="External"/><Relationship Id="rId1944" Type="http://schemas.openxmlformats.org/officeDocument/2006/relationships/hyperlink" Target="https://www.genome.jp/entry/C00063" TargetMode="External"/><Relationship Id="rId3092" Type="http://schemas.openxmlformats.org/officeDocument/2006/relationships/hyperlink" Target="https://enzyme.expasy.org/EC/5.3.3.2" TargetMode="External"/><Relationship Id="rId29" Type="http://schemas.openxmlformats.org/officeDocument/2006/relationships/hyperlink" Target="https://www.genome.jp/entry/C05576" TargetMode="External"/><Relationship Id="rId1804" Type="http://schemas.openxmlformats.org/officeDocument/2006/relationships/hyperlink" Target="https://enzyme.expasy.org/EC/2.7.4.6" TargetMode="External"/><Relationship Id="rId897" Type="http://schemas.openxmlformats.org/officeDocument/2006/relationships/hyperlink" Target="https://www.genome.jp/entry/C05811" TargetMode="External"/><Relationship Id="rId2578" Type="http://schemas.openxmlformats.org/officeDocument/2006/relationships/hyperlink" Target="https://enzyme.expasy.org/EC/3.4.21.96" TargetMode="External"/><Relationship Id="rId2785" Type="http://schemas.openxmlformats.org/officeDocument/2006/relationships/hyperlink" Target="https://enzyme.expasy.org/EC/4.1.2.43" TargetMode="External"/><Relationship Id="rId2992" Type="http://schemas.openxmlformats.org/officeDocument/2006/relationships/hyperlink" Target="https://enzyme.expasy.org/EC/5.1.1.7" TargetMode="External"/><Relationship Id="rId757" Type="http://schemas.openxmlformats.org/officeDocument/2006/relationships/hyperlink" Target="https://www.genome.jp/entry/C00248" TargetMode="External"/><Relationship Id="rId964" Type="http://schemas.openxmlformats.org/officeDocument/2006/relationships/hyperlink" Target="https://www.genome.jp/entry/C00065" TargetMode="External"/><Relationship Id="rId1387" Type="http://schemas.openxmlformats.org/officeDocument/2006/relationships/hyperlink" Target="https://enzyme.expasy.org/EC/2.4.2.7" TargetMode="External"/><Relationship Id="rId1594" Type="http://schemas.openxmlformats.org/officeDocument/2006/relationships/hyperlink" Target="https://enzyme.expasy.org/EC/2.7.1.148" TargetMode="External"/><Relationship Id="rId2438" Type="http://schemas.openxmlformats.org/officeDocument/2006/relationships/hyperlink" Target="https://enzyme.expasy.org/EC/3.2.1.22" TargetMode="External"/><Relationship Id="rId2645" Type="http://schemas.openxmlformats.org/officeDocument/2006/relationships/hyperlink" Target="https://www.genome.jp/entry/C17324" TargetMode="External"/><Relationship Id="rId2852" Type="http://schemas.openxmlformats.org/officeDocument/2006/relationships/hyperlink" Target="https://www.genome.jp/entry/C04688" TargetMode="External"/><Relationship Id="rId93" Type="http://schemas.openxmlformats.org/officeDocument/2006/relationships/hyperlink" Target="https://www.genome.jp/entry/R07105" TargetMode="External"/><Relationship Id="rId617" Type="http://schemas.openxmlformats.org/officeDocument/2006/relationships/hyperlink" Target="https://www.genome.jp/entry/C00025" TargetMode="External"/><Relationship Id="rId824" Type="http://schemas.openxmlformats.org/officeDocument/2006/relationships/hyperlink" Target="https://www.genome.jp/entry/R07234" TargetMode="External"/><Relationship Id="rId1247" Type="http://schemas.openxmlformats.org/officeDocument/2006/relationships/hyperlink" Target="https://www.genome.jp/entry/C00153" TargetMode="External"/><Relationship Id="rId1454" Type="http://schemas.openxmlformats.org/officeDocument/2006/relationships/hyperlink" Target="https://www.genome.jp/entry/2.5.1.47" TargetMode="External"/><Relationship Id="rId1661" Type="http://schemas.openxmlformats.org/officeDocument/2006/relationships/hyperlink" Target="https://enzyme.expasy.org/EC/2.7.1.33" TargetMode="External"/><Relationship Id="rId2505" Type="http://schemas.openxmlformats.org/officeDocument/2006/relationships/hyperlink" Target="https://www.genome.jp/entry/C01613" TargetMode="External"/><Relationship Id="rId2712" Type="http://schemas.openxmlformats.org/officeDocument/2006/relationships/hyperlink" Target="https://www.genome.jp/entry/C00041" TargetMode="External"/><Relationship Id="rId1107" Type="http://schemas.openxmlformats.org/officeDocument/2006/relationships/hyperlink" Target="https://www.genome.jp/entry/R05588" TargetMode="External"/><Relationship Id="rId1314" Type="http://schemas.openxmlformats.org/officeDocument/2006/relationships/hyperlink" Target="https://www.genome.jp/entry/R06049" TargetMode="External"/><Relationship Id="rId1521" Type="http://schemas.openxmlformats.org/officeDocument/2006/relationships/hyperlink" Target="https://www.genome.jp/entry/2.6.1.9" TargetMode="External"/><Relationship Id="rId3279" Type="http://schemas.openxmlformats.org/officeDocument/2006/relationships/hyperlink" Target="https://www.genome.jp/entry/C00020" TargetMode="External"/><Relationship Id="rId20" Type="http://schemas.openxmlformats.org/officeDocument/2006/relationships/hyperlink" Target="https://www.genome.jp/entry/C01545" TargetMode="External"/><Relationship Id="rId2088" Type="http://schemas.openxmlformats.org/officeDocument/2006/relationships/hyperlink" Target="https://www.genome.jp/entry/C00286" TargetMode="External"/><Relationship Id="rId2295" Type="http://schemas.openxmlformats.org/officeDocument/2006/relationships/hyperlink" Target="https://www.genome.jp/entry/C00054" TargetMode="External"/><Relationship Id="rId3139" Type="http://schemas.openxmlformats.org/officeDocument/2006/relationships/hyperlink" Target="https://www.genome.jp/entry/C00020" TargetMode="External"/><Relationship Id="rId3346" Type="http://schemas.openxmlformats.org/officeDocument/2006/relationships/hyperlink" Target="https://enzyme.expasy.org/EC/6.3.4.4" TargetMode="External"/><Relationship Id="rId267" Type="http://schemas.openxmlformats.org/officeDocument/2006/relationships/hyperlink" Target="https://www.genome.jp/entry/R03104" TargetMode="External"/><Relationship Id="rId474" Type="http://schemas.openxmlformats.org/officeDocument/2006/relationships/hyperlink" Target="https://www.genome.jp/entry/R08364" TargetMode="External"/><Relationship Id="rId2155" Type="http://schemas.openxmlformats.org/officeDocument/2006/relationships/hyperlink" Target="https://www.genome.jp/entry/C00013" TargetMode="External"/><Relationship Id="rId127" Type="http://schemas.openxmlformats.org/officeDocument/2006/relationships/hyperlink" Target="https://www.genome.jp/entry/1.1.1.100" TargetMode="External"/><Relationship Id="rId681" Type="http://schemas.openxmlformats.org/officeDocument/2006/relationships/hyperlink" Target="https://www.genome.jp/entry/C00101" TargetMode="External"/><Relationship Id="rId2362" Type="http://schemas.openxmlformats.org/officeDocument/2006/relationships/hyperlink" Target="https://www.genome.jp/entry/C02686" TargetMode="External"/><Relationship Id="rId3206" Type="http://schemas.openxmlformats.org/officeDocument/2006/relationships/hyperlink" Target="https://enzyme.expasy.org/EC/6.1.1.14" TargetMode="External"/><Relationship Id="rId3413" Type="http://schemas.openxmlformats.org/officeDocument/2006/relationships/hyperlink" Target="https://enzyme.expasy.org/EC/7.1.2.2" TargetMode="External"/><Relationship Id="rId334" Type="http://schemas.openxmlformats.org/officeDocument/2006/relationships/hyperlink" Target="https://www.genome.jp/entry/C03723" TargetMode="External"/><Relationship Id="rId541" Type="http://schemas.openxmlformats.org/officeDocument/2006/relationships/hyperlink" Target="https://www.genome.jp/entry/R01172" TargetMode="External"/><Relationship Id="rId1171" Type="http://schemas.openxmlformats.org/officeDocument/2006/relationships/hyperlink" Target="https://www.genome.jp/entry/2.3.1.179" TargetMode="External"/><Relationship Id="rId2015" Type="http://schemas.openxmlformats.org/officeDocument/2006/relationships/hyperlink" Target="https://enzyme.expasy.org/EC/2.7.7.6" TargetMode="External"/><Relationship Id="rId2222" Type="http://schemas.openxmlformats.org/officeDocument/2006/relationships/hyperlink" Target="https://enzyme.expasy.org/EC/3.1.11.2" TargetMode="External"/><Relationship Id="rId401" Type="http://schemas.openxmlformats.org/officeDocument/2006/relationships/hyperlink" Target="https://www.genome.jp/entry/C21748" TargetMode="External"/><Relationship Id="rId1031" Type="http://schemas.openxmlformats.org/officeDocument/2006/relationships/hyperlink" Target="https://www.genome.jp/entry/2.3.1.15" TargetMode="External"/><Relationship Id="rId1988" Type="http://schemas.openxmlformats.org/officeDocument/2006/relationships/hyperlink" Target="https://enzyme.expasy.org/EC/2.7.7.6" TargetMode="External"/><Relationship Id="rId1848" Type="http://schemas.openxmlformats.org/officeDocument/2006/relationships/hyperlink" Target="https://www.genome.jp/entry/C00002" TargetMode="External"/><Relationship Id="rId3063" Type="http://schemas.openxmlformats.org/officeDocument/2006/relationships/hyperlink" Target="https://www.genome.jp/entry/C00199" TargetMode="External"/><Relationship Id="rId3270" Type="http://schemas.openxmlformats.org/officeDocument/2006/relationships/hyperlink" Target="https://www.genome.jp/entry/C00013" TargetMode="External"/><Relationship Id="rId191" Type="http://schemas.openxmlformats.org/officeDocument/2006/relationships/hyperlink" Target="https://www.genome.jp/entry/1.1.1.23" TargetMode="External"/><Relationship Id="rId1708" Type="http://schemas.openxmlformats.org/officeDocument/2006/relationships/hyperlink" Target="https://www.genome.jp/entry/C16634" TargetMode="External"/><Relationship Id="rId1915" Type="http://schemas.openxmlformats.org/officeDocument/2006/relationships/hyperlink" Target="https://www.genome.jp/entry/C20864" TargetMode="External"/><Relationship Id="rId3130" Type="http://schemas.openxmlformats.org/officeDocument/2006/relationships/hyperlink" Target="https://www.genome.jp/entry/C00935" TargetMode="External"/><Relationship Id="rId2689" Type="http://schemas.openxmlformats.org/officeDocument/2006/relationships/hyperlink" Target="https://www.genome.jp/entry/C01260" TargetMode="External"/><Relationship Id="rId2896" Type="http://schemas.openxmlformats.org/officeDocument/2006/relationships/hyperlink" Target="https://enzyme.expasy.org/EC/4.3.1.17" TargetMode="External"/><Relationship Id="rId868" Type="http://schemas.openxmlformats.org/officeDocument/2006/relationships/hyperlink" Target="https://www.genome.jp/entry/C00021" TargetMode="External"/><Relationship Id="rId1498" Type="http://schemas.openxmlformats.org/officeDocument/2006/relationships/hyperlink" Target="https://www.genome.jp/entry/R10991" TargetMode="External"/><Relationship Id="rId2549" Type="http://schemas.openxmlformats.org/officeDocument/2006/relationships/hyperlink" Target="https://enzyme.expasy.org/EC/3.2.1.93" TargetMode="External"/><Relationship Id="rId2756" Type="http://schemas.openxmlformats.org/officeDocument/2006/relationships/hyperlink" Target="https://www.genome.jp/entry/C00354" TargetMode="External"/><Relationship Id="rId2963" Type="http://schemas.openxmlformats.org/officeDocument/2006/relationships/hyperlink" Target="https://www.genome.jp/entry/C02291" TargetMode="External"/><Relationship Id="rId728" Type="http://schemas.openxmlformats.org/officeDocument/2006/relationships/hyperlink" Target="https://enzyme.expasy.org/EC/1.8.1.4" TargetMode="External"/><Relationship Id="rId935" Type="http://schemas.openxmlformats.org/officeDocument/2006/relationships/hyperlink" Target="https://www.genome.jp/entry/2.1.1.64" TargetMode="External"/><Relationship Id="rId1358" Type="http://schemas.openxmlformats.org/officeDocument/2006/relationships/hyperlink" Target="https://www.genome.jp/entry/R02296" TargetMode="External"/><Relationship Id="rId1565" Type="http://schemas.openxmlformats.org/officeDocument/2006/relationships/hyperlink" Target="https://enzyme.expasy.org/EC/2.7.1.12" TargetMode="External"/><Relationship Id="rId1772" Type="http://schemas.openxmlformats.org/officeDocument/2006/relationships/hyperlink" Target="https://www.genome.jp/entry/C00022" TargetMode="External"/><Relationship Id="rId2409" Type="http://schemas.openxmlformats.org/officeDocument/2006/relationships/hyperlink" Target="https://www.genome.jp/entry/C05399" TargetMode="External"/><Relationship Id="rId2616" Type="http://schemas.openxmlformats.org/officeDocument/2006/relationships/hyperlink" Target="https://www.genome.jp/entry/C00511" TargetMode="External"/><Relationship Id="rId64" Type="http://schemas.openxmlformats.org/officeDocument/2006/relationships/hyperlink" Target="https://www.genome.jp/entry/C00114" TargetMode="External"/><Relationship Id="rId1218" Type="http://schemas.openxmlformats.org/officeDocument/2006/relationships/hyperlink" Target="https://www.genome.jp/entry/C20376" TargetMode="External"/><Relationship Id="rId1425" Type="http://schemas.openxmlformats.org/officeDocument/2006/relationships/hyperlink" Target="https://www.genome.jp/entry/R05220" TargetMode="External"/><Relationship Id="rId2823" Type="http://schemas.openxmlformats.org/officeDocument/2006/relationships/hyperlink" Target="https://www.genome.jp/entry/C00463" TargetMode="External"/><Relationship Id="rId1632" Type="http://schemas.openxmlformats.org/officeDocument/2006/relationships/hyperlink" Target="https://enzyme.expasy.org/EC/2.7.1.21" TargetMode="External"/><Relationship Id="rId2199" Type="http://schemas.openxmlformats.org/officeDocument/2006/relationships/hyperlink" Target="https://www.genome.jp/entry/C00269" TargetMode="External"/><Relationship Id="rId378" Type="http://schemas.openxmlformats.org/officeDocument/2006/relationships/hyperlink" Target="https://www.genome.jp/entry/1.17.4.1" TargetMode="External"/><Relationship Id="rId585" Type="http://schemas.openxmlformats.org/officeDocument/2006/relationships/hyperlink" Target="https://www.genome.jp/entry/1.3.1.98" TargetMode="External"/><Relationship Id="rId792" Type="http://schemas.openxmlformats.org/officeDocument/2006/relationships/hyperlink" Target="https://www.genome.jp/entry/C03895" TargetMode="External"/><Relationship Id="rId2059" Type="http://schemas.openxmlformats.org/officeDocument/2006/relationships/hyperlink" Target="https://www.genome.jp/entry/C00013" TargetMode="External"/><Relationship Id="rId2266" Type="http://schemas.openxmlformats.org/officeDocument/2006/relationships/hyperlink" Target="https://www.genome.jp/entry/C00387" TargetMode="External"/><Relationship Id="rId2473" Type="http://schemas.openxmlformats.org/officeDocument/2006/relationships/hyperlink" Target="https://www.genome.jp/entry/G00123" TargetMode="External"/><Relationship Id="rId2680" Type="http://schemas.openxmlformats.org/officeDocument/2006/relationships/hyperlink" Target="https://www.genome.jp/entry/C04494" TargetMode="External"/><Relationship Id="rId3317" Type="http://schemas.openxmlformats.org/officeDocument/2006/relationships/hyperlink" Target="https://www.genome.jp/entry/C00002" TargetMode="External"/><Relationship Id="rId238" Type="http://schemas.openxmlformats.org/officeDocument/2006/relationships/hyperlink" Target="https://www.genome.jp/entry/C07335" TargetMode="External"/><Relationship Id="rId445" Type="http://schemas.openxmlformats.org/officeDocument/2006/relationships/hyperlink" Target="https://www.genome.jp/entry/C04232" TargetMode="External"/><Relationship Id="rId652" Type="http://schemas.openxmlformats.org/officeDocument/2006/relationships/hyperlink" Target="https://www.genome.jp/entry/C00148" TargetMode="External"/><Relationship Id="rId1075" Type="http://schemas.openxmlformats.org/officeDocument/2006/relationships/hyperlink" Target="https://enzyme.expasy.org/EC/2.3.1.16" TargetMode="External"/><Relationship Id="rId1282" Type="http://schemas.openxmlformats.org/officeDocument/2006/relationships/hyperlink" Target="https://www.genome.jp/entry/C05539" TargetMode="External"/><Relationship Id="rId2126" Type="http://schemas.openxmlformats.org/officeDocument/2006/relationships/hyperlink" Target="https://enzyme.expasy.org/EC/2.7.7.7" TargetMode="External"/><Relationship Id="rId2333" Type="http://schemas.openxmlformats.org/officeDocument/2006/relationships/hyperlink" Target="https://enzyme.expasy.org/EC/3.2.1.20" TargetMode="External"/><Relationship Id="rId2540" Type="http://schemas.openxmlformats.org/officeDocument/2006/relationships/hyperlink" Target="https://enzyme.expasy.org/EC/3.2.1.86" TargetMode="External"/><Relationship Id="rId305" Type="http://schemas.openxmlformats.org/officeDocument/2006/relationships/hyperlink" Target="https://www.genome.jp/entry/C00093" TargetMode="External"/><Relationship Id="rId512" Type="http://schemas.openxmlformats.org/officeDocument/2006/relationships/hyperlink" Target="https://enzyme.expasy.org/EC/1.17.4.2" TargetMode="External"/><Relationship Id="rId1142" Type="http://schemas.openxmlformats.org/officeDocument/2006/relationships/hyperlink" Target="https://www.genome.jp/entry/R08095" TargetMode="External"/><Relationship Id="rId2400" Type="http://schemas.openxmlformats.org/officeDocument/2006/relationships/hyperlink" Target="https://www.genome.jp/entry/C05401" TargetMode="External"/><Relationship Id="rId1002" Type="http://schemas.openxmlformats.org/officeDocument/2006/relationships/hyperlink" Target="https://www.genome.jp/entry/R00226" TargetMode="External"/><Relationship Id="rId1959" Type="http://schemas.openxmlformats.org/officeDocument/2006/relationships/hyperlink" Target="https://www.genome.jp/entry/C00044" TargetMode="External"/><Relationship Id="rId3174" Type="http://schemas.openxmlformats.org/officeDocument/2006/relationships/hyperlink" Target="https://www.genome.jp/entry/C00002" TargetMode="External"/><Relationship Id="rId1819" Type="http://schemas.openxmlformats.org/officeDocument/2006/relationships/hyperlink" Target="https://enzyme.expasy.org/EC/2.7.4.6" TargetMode="External"/><Relationship Id="rId3381" Type="http://schemas.openxmlformats.org/officeDocument/2006/relationships/hyperlink" Target="https://www.genome.jp/entry/C00020" TargetMode="External"/><Relationship Id="rId2190" Type="http://schemas.openxmlformats.org/officeDocument/2006/relationships/hyperlink" Target="https://www.genome.jp/entry/C00075" TargetMode="External"/><Relationship Id="rId3034" Type="http://schemas.openxmlformats.org/officeDocument/2006/relationships/hyperlink" Target="https://enzyme.expasy.org/EC/5.3.1.26" TargetMode="External"/><Relationship Id="rId3241" Type="http://schemas.openxmlformats.org/officeDocument/2006/relationships/hyperlink" Target="https://enzyme.expasy.org/EC/6.1.1.5" TargetMode="External"/><Relationship Id="rId162" Type="http://schemas.openxmlformats.org/officeDocument/2006/relationships/hyperlink" Target="https://www.genome.jp/entry/R02703" TargetMode="External"/><Relationship Id="rId2050" Type="http://schemas.openxmlformats.org/officeDocument/2006/relationships/hyperlink" Target="https://www.genome.jp/entry/C00013" TargetMode="External"/><Relationship Id="rId3101" Type="http://schemas.openxmlformats.org/officeDocument/2006/relationships/hyperlink" Target="https://enzyme.expasy.org/EC/5.4.2.11" TargetMode="External"/><Relationship Id="rId979" Type="http://schemas.openxmlformats.org/officeDocument/2006/relationships/hyperlink" Target="https://www.genome.jp/entry/C00234" TargetMode="External"/><Relationship Id="rId839" Type="http://schemas.openxmlformats.org/officeDocument/2006/relationships/hyperlink" Target="https://www.genome.jp/entry/C00021" TargetMode="External"/><Relationship Id="rId1469" Type="http://schemas.openxmlformats.org/officeDocument/2006/relationships/hyperlink" Target="https://www.genome.jp/entry/C04631" TargetMode="External"/><Relationship Id="rId2867" Type="http://schemas.openxmlformats.org/officeDocument/2006/relationships/hyperlink" Target="https://www.genome.jp/entry/C06056" TargetMode="External"/><Relationship Id="rId1676" Type="http://schemas.openxmlformats.org/officeDocument/2006/relationships/hyperlink" Target="https://enzyme.expasy.org/EC/2.7.1.40" TargetMode="External"/><Relationship Id="rId1883" Type="http://schemas.openxmlformats.org/officeDocument/2006/relationships/hyperlink" Target="https://www.genome.jp/entry/C00002" TargetMode="External"/><Relationship Id="rId2727" Type="http://schemas.openxmlformats.org/officeDocument/2006/relationships/hyperlink" Target="https://www.genome.jp/entry/C00008" TargetMode="External"/><Relationship Id="rId2934" Type="http://schemas.openxmlformats.org/officeDocument/2006/relationships/hyperlink" Target="https://www.genome.jp/entry/C20258" TargetMode="External"/><Relationship Id="rId906" Type="http://schemas.openxmlformats.org/officeDocument/2006/relationships/hyperlink" Target="https://www.genome.jp/entry/C00019" TargetMode="External"/><Relationship Id="rId1329" Type="http://schemas.openxmlformats.org/officeDocument/2006/relationships/hyperlink" Target="https://www.genome.jp/entry/2.4.1.227" TargetMode="External"/><Relationship Id="rId1536" Type="http://schemas.openxmlformats.org/officeDocument/2006/relationships/hyperlink" Target="https://www.genome.jp/entry/2.7.1.11" TargetMode="External"/><Relationship Id="rId1743" Type="http://schemas.openxmlformats.org/officeDocument/2006/relationships/hyperlink" Target="https://enzyme.expasy.org/EC/2.7.13.3" TargetMode="External"/><Relationship Id="rId1950" Type="http://schemas.openxmlformats.org/officeDocument/2006/relationships/hyperlink" Target="https://www.genome.jp/entry/C00201" TargetMode="External"/><Relationship Id="rId35" Type="http://schemas.openxmlformats.org/officeDocument/2006/relationships/hyperlink" Target="https://www.genome.jp/entry/C06613" TargetMode="External"/><Relationship Id="rId1603" Type="http://schemas.openxmlformats.org/officeDocument/2006/relationships/hyperlink" Target="https://enzyme.expasy.org/EC/2.7.1.15" TargetMode="External"/><Relationship Id="rId1810" Type="http://schemas.openxmlformats.org/officeDocument/2006/relationships/hyperlink" Target="https://enzyme.expasy.org/EC/2.7.4.6" TargetMode="External"/><Relationship Id="rId489" Type="http://schemas.openxmlformats.org/officeDocument/2006/relationships/hyperlink" Target="https://www.genome.jp/entry/R02014" TargetMode="External"/><Relationship Id="rId696" Type="http://schemas.openxmlformats.org/officeDocument/2006/relationships/hyperlink" Target="https://www.genome.jp/entry/C00415" TargetMode="External"/><Relationship Id="rId2377" Type="http://schemas.openxmlformats.org/officeDocument/2006/relationships/hyperlink" Target="https://www.genome.jp/entry/C00124" TargetMode="External"/><Relationship Id="rId2584" Type="http://schemas.openxmlformats.org/officeDocument/2006/relationships/hyperlink" Target="https://www.genome.jp/entry/C00025" TargetMode="External"/><Relationship Id="rId2791" Type="http://schemas.openxmlformats.org/officeDocument/2006/relationships/hyperlink" Target="https://enzyme.expasy.org/EC/4.1.3.6" TargetMode="External"/><Relationship Id="rId3428" Type="http://schemas.openxmlformats.org/officeDocument/2006/relationships/hyperlink" Target="https://enzyme.expasy.org/EC/7.1.2.2" TargetMode="External"/><Relationship Id="rId349" Type="http://schemas.openxmlformats.org/officeDocument/2006/relationships/hyperlink" Target="https://www.genome.jp/entry/C00035" TargetMode="External"/><Relationship Id="rId556" Type="http://schemas.openxmlformats.org/officeDocument/2006/relationships/hyperlink" Target="https://www.genome.jp/entry/R00207" TargetMode="External"/><Relationship Id="rId763" Type="http://schemas.openxmlformats.org/officeDocument/2006/relationships/hyperlink" Target="https://enzyme.expasy.org/EC/1.8.1.9" TargetMode="External"/><Relationship Id="rId1186" Type="http://schemas.openxmlformats.org/officeDocument/2006/relationships/hyperlink" Target="https://www.genome.jp/entry/R04957" TargetMode="External"/><Relationship Id="rId1393" Type="http://schemas.openxmlformats.org/officeDocument/2006/relationships/hyperlink" Target="https://www.genome.jp/entry/C00147" TargetMode="External"/><Relationship Id="rId2237" Type="http://schemas.openxmlformats.org/officeDocument/2006/relationships/hyperlink" Target="https://enzyme.expasy.org/EC/3.1.3.11" TargetMode="External"/><Relationship Id="rId2444" Type="http://schemas.openxmlformats.org/officeDocument/2006/relationships/hyperlink" Target="https://enzyme.expasy.org/EC/3.2.1.22" TargetMode="External"/><Relationship Id="rId209" Type="http://schemas.openxmlformats.org/officeDocument/2006/relationships/hyperlink" Target="https://www.genome.jp/entry/C02637" TargetMode="External"/><Relationship Id="rId416" Type="http://schemas.openxmlformats.org/officeDocument/2006/relationships/hyperlink" Target="https://www.genome.jp/entry/C00342" TargetMode="External"/><Relationship Id="rId970" Type="http://schemas.openxmlformats.org/officeDocument/2006/relationships/hyperlink" Target="https://www.genome.jp/entry/C00101" TargetMode="External"/><Relationship Id="rId1046" Type="http://schemas.openxmlformats.org/officeDocument/2006/relationships/hyperlink" Target="https://www.genome.jp/entry/2.3.1.157" TargetMode="External"/><Relationship Id="rId1253" Type="http://schemas.openxmlformats.org/officeDocument/2006/relationships/hyperlink" Target="https://enzyme.expasy.org/EC/2.3.1.39" TargetMode="External"/><Relationship Id="rId2651" Type="http://schemas.openxmlformats.org/officeDocument/2006/relationships/hyperlink" Target="https://www.genome.jp/entry/C00559" TargetMode="External"/><Relationship Id="rId623" Type="http://schemas.openxmlformats.org/officeDocument/2006/relationships/hyperlink" Target="https://www.genome.jp/entry/C00161" TargetMode="External"/><Relationship Id="rId830" Type="http://schemas.openxmlformats.org/officeDocument/2006/relationships/hyperlink" Target="https://www.genome.jp/entry/C00019" TargetMode="External"/><Relationship Id="rId1460" Type="http://schemas.openxmlformats.org/officeDocument/2006/relationships/hyperlink" Target="https://www.genome.jp/entry/C00002" TargetMode="External"/><Relationship Id="rId2304" Type="http://schemas.openxmlformats.org/officeDocument/2006/relationships/hyperlink" Target="https://www.genome.jp/entry/C00053" TargetMode="External"/><Relationship Id="rId2511" Type="http://schemas.openxmlformats.org/officeDocument/2006/relationships/hyperlink" Target="https://www.genome.jp/entry/G00370" TargetMode="External"/><Relationship Id="rId1113" Type="http://schemas.openxmlformats.org/officeDocument/2006/relationships/hyperlink" Target="https://www.genome.jp/entry/C16331" TargetMode="External"/><Relationship Id="rId1320" Type="http://schemas.openxmlformats.org/officeDocument/2006/relationships/hyperlink" Target="https://enzyme.expasy.org/EC/2.4.1.227" TargetMode="External"/><Relationship Id="rId3078" Type="http://schemas.openxmlformats.org/officeDocument/2006/relationships/hyperlink" Target="https://www.genome.jp/entry/C00085" TargetMode="External"/><Relationship Id="rId3285" Type="http://schemas.openxmlformats.org/officeDocument/2006/relationships/hyperlink" Target="https://www.genome.jp/entry/C00008" TargetMode="External"/><Relationship Id="rId2094" Type="http://schemas.openxmlformats.org/officeDocument/2006/relationships/hyperlink" Target="https://www.genome.jp/entry/C00459" TargetMode="External"/><Relationship Id="rId3145" Type="http://schemas.openxmlformats.org/officeDocument/2006/relationships/hyperlink" Target="https://www.genome.jp/entry/C00020" TargetMode="External"/><Relationship Id="rId3352" Type="http://schemas.openxmlformats.org/officeDocument/2006/relationships/hyperlink" Target="https://enzyme.expasy.org/EC/6.3.5.2" TargetMode="External"/><Relationship Id="rId273" Type="http://schemas.openxmlformats.org/officeDocument/2006/relationships/hyperlink" Target="https://www.genome.jp/entry/C00263" TargetMode="External"/><Relationship Id="rId480" Type="http://schemas.openxmlformats.org/officeDocument/2006/relationships/hyperlink" Target="https://www.genome.jp/entry/C21750" TargetMode="External"/><Relationship Id="rId2161" Type="http://schemas.openxmlformats.org/officeDocument/2006/relationships/hyperlink" Target="https://www.genome.jp/entry/C00013" TargetMode="External"/><Relationship Id="rId3005" Type="http://schemas.openxmlformats.org/officeDocument/2006/relationships/hyperlink" Target="https://www.genome.jp/entry/C00043" TargetMode="External"/><Relationship Id="rId3212" Type="http://schemas.openxmlformats.org/officeDocument/2006/relationships/hyperlink" Target="https://enzyme.expasy.org/EC/6.1.1.16" TargetMode="External"/><Relationship Id="rId133" Type="http://schemas.openxmlformats.org/officeDocument/2006/relationships/hyperlink" Target="https://www.genome.jp/entry/R04964" TargetMode="External"/><Relationship Id="rId340" Type="http://schemas.openxmlformats.org/officeDocument/2006/relationships/hyperlink" Target="https://enzyme.expasy.org/EC/1.17.4.1" TargetMode="External"/><Relationship Id="rId2021" Type="http://schemas.openxmlformats.org/officeDocument/2006/relationships/hyperlink" Target="https://enzyme.expasy.org/EC/2.7.7.6" TargetMode="External"/><Relationship Id="rId200" Type="http://schemas.openxmlformats.org/officeDocument/2006/relationships/hyperlink" Target="https://enzyme.expasy.org/EC/1.1.1.23" TargetMode="External"/><Relationship Id="rId2978" Type="http://schemas.openxmlformats.org/officeDocument/2006/relationships/hyperlink" Target="https://www.genome.jp/entry/C05699" TargetMode="External"/><Relationship Id="rId1787" Type="http://schemas.openxmlformats.org/officeDocument/2006/relationships/hyperlink" Target="https://www.genome.jp/entry/C00008" TargetMode="External"/><Relationship Id="rId1994" Type="http://schemas.openxmlformats.org/officeDocument/2006/relationships/hyperlink" Target="https://enzyme.expasy.org/EC/2.7.7.6" TargetMode="External"/><Relationship Id="rId2838" Type="http://schemas.openxmlformats.org/officeDocument/2006/relationships/hyperlink" Target="https://www.genome.jp/entry/C04287" TargetMode="External"/><Relationship Id="rId79" Type="http://schemas.openxmlformats.org/officeDocument/2006/relationships/hyperlink" Target="https://www.genome.jp/entry/C01612" TargetMode="External"/><Relationship Id="rId1647" Type="http://schemas.openxmlformats.org/officeDocument/2006/relationships/hyperlink" Target="https://enzyme.expasy.org/EC/2.7.1.26" TargetMode="External"/><Relationship Id="rId1854" Type="http://schemas.openxmlformats.org/officeDocument/2006/relationships/hyperlink" Target="https://www.genome.jp/entry/C00002" TargetMode="External"/><Relationship Id="rId2905" Type="http://schemas.openxmlformats.org/officeDocument/2006/relationships/hyperlink" Target="https://enzyme.expasy.org/EC/4.3.2.10" TargetMode="External"/><Relationship Id="rId1507" Type="http://schemas.openxmlformats.org/officeDocument/2006/relationships/hyperlink" Target="https://www.genome.jp/entry/C00166" TargetMode="External"/><Relationship Id="rId1714" Type="http://schemas.openxmlformats.org/officeDocument/2006/relationships/hyperlink" Target="https://www.genome.jp/entry/C00008" TargetMode="External"/><Relationship Id="rId1921" Type="http://schemas.openxmlformats.org/officeDocument/2006/relationships/hyperlink" Target="https://www.genome.jp/entry/C00013" TargetMode="External"/><Relationship Id="rId2488" Type="http://schemas.openxmlformats.org/officeDocument/2006/relationships/hyperlink" Target="https://www.genome.jp/entry/C05394" TargetMode="External"/><Relationship Id="rId1297" Type="http://schemas.openxmlformats.org/officeDocument/2006/relationships/hyperlink" Target="https://www.genome.jp/entry/G10495" TargetMode="External"/><Relationship Id="rId2695" Type="http://schemas.openxmlformats.org/officeDocument/2006/relationships/hyperlink" Target="https://enzyme.expasy.org/EC/3.6.4.12" TargetMode="External"/><Relationship Id="rId667" Type="http://schemas.openxmlformats.org/officeDocument/2006/relationships/hyperlink" Target="https://www.genome.jp/entry/C00143" TargetMode="External"/><Relationship Id="rId874" Type="http://schemas.openxmlformats.org/officeDocument/2006/relationships/hyperlink" Target="https://enzyme.expasy.org/EC/2.1.1.222" TargetMode="External"/><Relationship Id="rId2348" Type="http://schemas.openxmlformats.org/officeDocument/2006/relationships/hyperlink" Target="https://enzyme.expasy.org/EC/3.2.1.22" TargetMode="External"/><Relationship Id="rId2555" Type="http://schemas.openxmlformats.org/officeDocument/2006/relationships/hyperlink" Target="https://enzyme.expasy.org/EC/3.2.2.23" TargetMode="External"/><Relationship Id="rId2762" Type="http://schemas.openxmlformats.org/officeDocument/2006/relationships/hyperlink" Target="https://www.genome.jp/entry/C00447" TargetMode="External"/><Relationship Id="rId527" Type="http://schemas.openxmlformats.org/officeDocument/2006/relationships/hyperlink" Target="https://enzyme.expasy.org/EC/1.17.4.2" TargetMode="External"/><Relationship Id="rId734" Type="http://schemas.openxmlformats.org/officeDocument/2006/relationships/hyperlink" Target="https://www.genome.jp/entry/1.8.1.4" TargetMode="External"/><Relationship Id="rId941" Type="http://schemas.openxmlformats.org/officeDocument/2006/relationships/hyperlink" Target="https://www.genome.jp/entry/C17562" TargetMode="External"/><Relationship Id="rId1157" Type="http://schemas.openxmlformats.org/officeDocument/2006/relationships/hyperlink" Target="https://www.genome.jp/entry/R13483" TargetMode="External"/><Relationship Id="rId1364" Type="http://schemas.openxmlformats.org/officeDocument/2006/relationships/hyperlink" Target="https://www.genome.jp/entry/R02298" TargetMode="External"/><Relationship Id="rId1571" Type="http://schemas.openxmlformats.org/officeDocument/2006/relationships/hyperlink" Target="https://www.genome.jp/entry/R01012" TargetMode="External"/><Relationship Id="rId2208" Type="http://schemas.openxmlformats.org/officeDocument/2006/relationships/hyperlink" Target="https://www.genome.jp/entry/C00868" TargetMode="External"/><Relationship Id="rId2415" Type="http://schemas.openxmlformats.org/officeDocument/2006/relationships/hyperlink" Target="https://www.genome.jp/entry/C01613" TargetMode="External"/><Relationship Id="rId2622" Type="http://schemas.openxmlformats.org/officeDocument/2006/relationships/hyperlink" Target="https://www.genome.jp/entry/C00241" TargetMode="External"/><Relationship Id="rId70" Type="http://schemas.openxmlformats.org/officeDocument/2006/relationships/hyperlink" Target="https://www.genome.jp/entry/C00576" TargetMode="External"/><Relationship Id="rId801" Type="http://schemas.openxmlformats.org/officeDocument/2006/relationships/hyperlink" Target="https://www.genome.jp/entry/C03023" TargetMode="External"/><Relationship Id="rId1017" Type="http://schemas.openxmlformats.org/officeDocument/2006/relationships/hyperlink" Target="https://www.genome.jp/entry/R04672" TargetMode="External"/><Relationship Id="rId1224" Type="http://schemas.openxmlformats.org/officeDocument/2006/relationships/hyperlink" Target="https://enzyme.expasy.org/EC/2.3.1.234" TargetMode="External"/><Relationship Id="rId1431" Type="http://schemas.openxmlformats.org/officeDocument/2006/relationships/hyperlink" Target="https://www.genome.jp/entry/2.5.1.3" TargetMode="External"/><Relationship Id="rId3189" Type="http://schemas.openxmlformats.org/officeDocument/2006/relationships/hyperlink" Target="https://www.genome.jp/entry/C00002" TargetMode="External"/><Relationship Id="rId3396" Type="http://schemas.openxmlformats.org/officeDocument/2006/relationships/hyperlink" Target="https://www.genome.jp/entry/C01563" TargetMode="External"/><Relationship Id="rId3049" Type="http://schemas.openxmlformats.org/officeDocument/2006/relationships/hyperlink" Target="https://enzyme.expasy.org/EC/5.3.1.27" TargetMode="External"/><Relationship Id="rId3256" Type="http://schemas.openxmlformats.org/officeDocument/2006/relationships/hyperlink" Target="https://enzyme.expasy.org/EC/6.3.1.2" TargetMode="External"/><Relationship Id="rId177" Type="http://schemas.openxmlformats.org/officeDocument/2006/relationships/hyperlink" Target="https://www.genome.jp/entry/R01183" TargetMode="External"/><Relationship Id="rId384" Type="http://schemas.openxmlformats.org/officeDocument/2006/relationships/hyperlink" Target="https://www.genome.jp/entry/C00361" TargetMode="External"/><Relationship Id="rId591" Type="http://schemas.openxmlformats.org/officeDocument/2006/relationships/hyperlink" Target="https://www.genome.jp/entry/R03191" TargetMode="External"/><Relationship Id="rId2065" Type="http://schemas.openxmlformats.org/officeDocument/2006/relationships/hyperlink" Target="https://www.genome.jp/entry/C00013" TargetMode="External"/><Relationship Id="rId2272" Type="http://schemas.openxmlformats.org/officeDocument/2006/relationships/hyperlink" Target="https://www.genome.jp/entry/C01762" TargetMode="External"/><Relationship Id="rId3116" Type="http://schemas.openxmlformats.org/officeDocument/2006/relationships/hyperlink" Target="https://enzyme.expasy.org/EC/5.4.99.12" TargetMode="External"/><Relationship Id="rId244" Type="http://schemas.openxmlformats.org/officeDocument/2006/relationships/hyperlink" Target="https://www.genome.jp/entry/C00022" TargetMode="External"/><Relationship Id="rId1081" Type="http://schemas.openxmlformats.org/officeDocument/2006/relationships/hyperlink" Target="https://www.genome.jp/entry/2.3.1.16" TargetMode="External"/><Relationship Id="rId3323" Type="http://schemas.openxmlformats.org/officeDocument/2006/relationships/hyperlink" Target="https://www.genome.jp/entry/C00002" TargetMode="External"/><Relationship Id="rId451" Type="http://schemas.openxmlformats.org/officeDocument/2006/relationships/hyperlink" Target="https://www.genome.jp/entry/C00342" TargetMode="External"/><Relationship Id="rId2132" Type="http://schemas.openxmlformats.org/officeDocument/2006/relationships/hyperlink" Target="https://enzyme.expasy.org/EC/2.7.7.7" TargetMode="External"/><Relationship Id="rId104" Type="http://schemas.openxmlformats.org/officeDocument/2006/relationships/hyperlink" Target="https://www.genome.jp/entry/C04618" TargetMode="External"/><Relationship Id="rId311" Type="http://schemas.openxmlformats.org/officeDocument/2006/relationships/hyperlink" Target="https://www.genome.jp/entry/C00111" TargetMode="External"/><Relationship Id="rId1898" Type="http://schemas.openxmlformats.org/officeDocument/2006/relationships/hyperlink" Target="https://enzyme.expasy.org/EC/2.7.7.6" TargetMode="External"/><Relationship Id="rId2949" Type="http://schemas.openxmlformats.org/officeDocument/2006/relationships/hyperlink" Target="https://www.genome.jp/entry/C01336" TargetMode="External"/><Relationship Id="rId1758" Type="http://schemas.openxmlformats.org/officeDocument/2006/relationships/hyperlink" Target="https://enzyme.expasy.org/EC/2.7.2.11" TargetMode="External"/><Relationship Id="rId2809" Type="http://schemas.openxmlformats.org/officeDocument/2006/relationships/hyperlink" Target="https://enzyme.expasy.org/EC/4.2.1.126" TargetMode="External"/><Relationship Id="rId1965" Type="http://schemas.openxmlformats.org/officeDocument/2006/relationships/hyperlink" Target="https://www.genome.jp/entry/C00075" TargetMode="External"/><Relationship Id="rId3180" Type="http://schemas.openxmlformats.org/officeDocument/2006/relationships/hyperlink" Target="https://www.genome.jp/entry/C00002" TargetMode="External"/><Relationship Id="rId1618" Type="http://schemas.openxmlformats.org/officeDocument/2006/relationships/hyperlink" Target="https://enzyme.expasy.org/EC/2.7.1.197" TargetMode="External"/><Relationship Id="rId1825" Type="http://schemas.openxmlformats.org/officeDocument/2006/relationships/hyperlink" Target="https://enzyme.expasy.org/EC/2.7.4.6" TargetMode="External"/><Relationship Id="rId3040" Type="http://schemas.openxmlformats.org/officeDocument/2006/relationships/hyperlink" Target="https://enzyme.expasy.org/EC/5.3.1.27" TargetMode="External"/><Relationship Id="rId2599" Type="http://schemas.openxmlformats.org/officeDocument/2006/relationships/hyperlink" Target="https://www.genome.jp/entry/C02713" TargetMode="External"/><Relationship Id="rId778" Type="http://schemas.openxmlformats.org/officeDocument/2006/relationships/hyperlink" Target="https://enzyme.expasy.org/EC/1.8.4.11" TargetMode="External"/><Relationship Id="rId985" Type="http://schemas.openxmlformats.org/officeDocument/2006/relationships/hyperlink" Target="https://www.genome.jp/entry/C00101" TargetMode="External"/><Relationship Id="rId2459" Type="http://schemas.openxmlformats.org/officeDocument/2006/relationships/hyperlink" Target="https://enzyme.expasy.org/EC/3.2.1.23" TargetMode="External"/><Relationship Id="rId2666" Type="http://schemas.openxmlformats.org/officeDocument/2006/relationships/hyperlink" Target="https://www.genome.jp/entry/C01279" TargetMode="External"/><Relationship Id="rId2873" Type="http://schemas.openxmlformats.org/officeDocument/2006/relationships/hyperlink" Target="https://www.genome.jp/entry/C00065" TargetMode="External"/><Relationship Id="rId638" Type="http://schemas.openxmlformats.org/officeDocument/2006/relationships/hyperlink" Target="https://www.genome.jp/entry/R01710" TargetMode="External"/><Relationship Id="rId845" Type="http://schemas.openxmlformats.org/officeDocument/2006/relationships/hyperlink" Target="https://www.genome.jp/entry/2.1.1.182" TargetMode="External"/><Relationship Id="rId1268" Type="http://schemas.openxmlformats.org/officeDocument/2006/relationships/hyperlink" Target="https://enzyme.expasy.org/EC/2.3.1.8" TargetMode="External"/><Relationship Id="rId1475" Type="http://schemas.openxmlformats.org/officeDocument/2006/relationships/hyperlink" Target="https://enzyme.expasy.org/EC/2.5.1.74" TargetMode="External"/><Relationship Id="rId1682" Type="http://schemas.openxmlformats.org/officeDocument/2006/relationships/hyperlink" Target="https://enzyme.expasy.org/EC/2.7.1.40" TargetMode="External"/><Relationship Id="rId2319" Type="http://schemas.openxmlformats.org/officeDocument/2006/relationships/hyperlink" Target="https://www.genome.jp/entry/C00208" TargetMode="External"/><Relationship Id="rId2526" Type="http://schemas.openxmlformats.org/officeDocument/2006/relationships/hyperlink" Target="https://www.genome.jp/entry/C04534" TargetMode="External"/><Relationship Id="rId2733" Type="http://schemas.openxmlformats.org/officeDocument/2006/relationships/hyperlink" Target="https://www.genome.jp/entry/C03506" TargetMode="External"/><Relationship Id="rId705" Type="http://schemas.openxmlformats.org/officeDocument/2006/relationships/hyperlink" Target="https://www.genome.jp/entry/R11765" TargetMode="External"/><Relationship Id="rId1128" Type="http://schemas.openxmlformats.org/officeDocument/2006/relationships/hyperlink" Target="https://www.genome.jp/entry/C16169" TargetMode="External"/><Relationship Id="rId1335" Type="http://schemas.openxmlformats.org/officeDocument/2006/relationships/hyperlink" Target="https://enzyme.expasy.org/EC/2.4.2.14" TargetMode="External"/><Relationship Id="rId1542" Type="http://schemas.openxmlformats.org/officeDocument/2006/relationships/hyperlink" Target="https://www.genome.jp/entry/2.7.1.11" TargetMode="External"/><Relationship Id="rId2940" Type="http://schemas.openxmlformats.org/officeDocument/2006/relationships/hyperlink" Target="https://www.genome.jp/entry/C00155" TargetMode="External"/><Relationship Id="rId912" Type="http://schemas.openxmlformats.org/officeDocument/2006/relationships/hyperlink" Target="https://www.genome.jp/entry/C20858" TargetMode="External"/><Relationship Id="rId2800" Type="http://schemas.openxmlformats.org/officeDocument/2006/relationships/hyperlink" Target="https://enzyme.expasy.org/EC/4.2.1.11" TargetMode="External"/><Relationship Id="rId41" Type="http://schemas.openxmlformats.org/officeDocument/2006/relationships/hyperlink" Target="https://enzyme.expasy.org/EC/1.1.1.1" TargetMode="External"/><Relationship Id="rId1402" Type="http://schemas.openxmlformats.org/officeDocument/2006/relationships/hyperlink" Target="https://enzyme.expasy.org/EC/2.4.2.9" TargetMode="External"/><Relationship Id="rId288" Type="http://schemas.openxmlformats.org/officeDocument/2006/relationships/hyperlink" Target="https://enzyme.expasy.org/EC/1.1.1.49" TargetMode="External"/><Relationship Id="rId3367" Type="http://schemas.openxmlformats.org/officeDocument/2006/relationships/hyperlink" Target="https://enzyme.expasy.org/EC/6.3.5.3" TargetMode="External"/><Relationship Id="rId495" Type="http://schemas.openxmlformats.org/officeDocument/2006/relationships/hyperlink" Target="https://www.genome.jp/entry/C00286" TargetMode="External"/><Relationship Id="rId2176" Type="http://schemas.openxmlformats.org/officeDocument/2006/relationships/hyperlink" Target="https://www.genome.jp/entry/C19078" TargetMode="External"/><Relationship Id="rId2383" Type="http://schemas.openxmlformats.org/officeDocument/2006/relationships/hyperlink" Target="https://www.genome.jp/entry/G11121" TargetMode="External"/><Relationship Id="rId2590" Type="http://schemas.openxmlformats.org/officeDocument/2006/relationships/hyperlink" Target="https://www.genome.jp/entry/C00060" TargetMode="External"/><Relationship Id="rId3227" Type="http://schemas.openxmlformats.org/officeDocument/2006/relationships/hyperlink" Target="https://www.genome.jp/entry/C00002" TargetMode="External"/><Relationship Id="rId3434" Type="http://schemas.openxmlformats.org/officeDocument/2006/relationships/hyperlink" Target="https://enzyme.expasy.org/EC/7.1.2.2" TargetMode="External"/><Relationship Id="rId148" Type="http://schemas.openxmlformats.org/officeDocument/2006/relationships/hyperlink" Target="https://www.genome.jp/entry/C20376" TargetMode="External"/><Relationship Id="rId355" Type="http://schemas.openxmlformats.org/officeDocument/2006/relationships/hyperlink" Target="https://enzyme.expasy.org/EC/1.17.4.1" TargetMode="External"/><Relationship Id="rId562" Type="http://schemas.openxmlformats.org/officeDocument/2006/relationships/hyperlink" Target="https://www.genome.jp/entry/C00022" TargetMode="External"/><Relationship Id="rId1192" Type="http://schemas.openxmlformats.org/officeDocument/2006/relationships/hyperlink" Target="https://www.genome.jp/entry/C05752" TargetMode="External"/><Relationship Id="rId2036" Type="http://schemas.openxmlformats.org/officeDocument/2006/relationships/hyperlink" Target="https://enzyme.expasy.org/EC/2.7.7.7" TargetMode="External"/><Relationship Id="rId2243" Type="http://schemas.openxmlformats.org/officeDocument/2006/relationships/hyperlink" Target="https://enzyme.expasy.org/EC/3.1.3.11" TargetMode="External"/><Relationship Id="rId2450" Type="http://schemas.openxmlformats.org/officeDocument/2006/relationships/hyperlink" Target="https://enzyme.expasy.org/EC/3.2.1.23" TargetMode="External"/><Relationship Id="rId215" Type="http://schemas.openxmlformats.org/officeDocument/2006/relationships/hyperlink" Target="https://enzyme.expasy.org/EC/1.1.1.25" TargetMode="External"/><Relationship Id="rId422" Type="http://schemas.openxmlformats.org/officeDocument/2006/relationships/hyperlink" Target="https://enzyme.expasy.org/EC/1.17.4.1" TargetMode="External"/><Relationship Id="rId1052" Type="http://schemas.openxmlformats.org/officeDocument/2006/relationships/hyperlink" Target="https://www.genome.jp/entry/R00391" TargetMode="External"/><Relationship Id="rId2103" Type="http://schemas.openxmlformats.org/officeDocument/2006/relationships/hyperlink" Target="https://www.genome.jp/entry/C00131" TargetMode="External"/><Relationship Id="rId2310" Type="http://schemas.openxmlformats.org/officeDocument/2006/relationships/hyperlink" Target="https://www.genome.jp/entry/C02538" TargetMode="External"/><Relationship Id="rId1869" Type="http://schemas.openxmlformats.org/officeDocument/2006/relationships/hyperlink" Target="https://www.genome.jp/entry/C00002" TargetMode="External"/><Relationship Id="rId3084" Type="http://schemas.openxmlformats.org/officeDocument/2006/relationships/hyperlink" Target="https://www.genome.jp/entry/C05345" TargetMode="External"/><Relationship Id="rId3291" Type="http://schemas.openxmlformats.org/officeDocument/2006/relationships/hyperlink" Target="https://www.genome.jp/entry/C00008" TargetMode="External"/><Relationship Id="rId1729" Type="http://schemas.openxmlformats.org/officeDocument/2006/relationships/hyperlink" Target="https://www.genome.jp/entry/C00008" TargetMode="External"/><Relationship Id="rId1936" Type="http://schemas.openxmlformats.org/officeDocument/2006/relationships/hyperlink" Target="https://www.genome.jp/entry/C00013" TargetMode="External"/><Relationship Id="rId3151" Type="http://schemas.openxmlformats.org/officeDocument/2006/relationships/hyperlink" Target="https://www.genome.jp/entry/C00020" TargetMode="External"/><Relationship Id="rId3011" Type="http://schemas.openxmlformats.org/officeDocument/2006/relationships/hyperlink" Target="https://www.genome.jp/entry/C01101" TargetMode="External"/><Relationship Id="rId5" Type="http://schemas.openxmlformats.org/officeDocument/2006/relationships/hyperlink" Target="https://www.genome.jp/entry/C00071" TargetMode="External"/><Relationship Id="rId889" Type="http://schemas.openxmlformats.org/officeDocument/2006/relationships/hyperlink" Target="https://enzyme.expasy.org/EC/2.1.1.222" TargetMode="External"/><Relationship Id="rId2777" Type="http://schemas.openxmlformats.org/officeDocument/2006/relationships/hyperlink" Target="https://www.genome.jp/entry/C01094" TargetMode="External"/><Relationship Id="rId749" Type="http://schemas.openxmlformats.org/officeDocument/2006/relationships/hyperlink" Target="https://www.genome.jp/entry/1.8.1.4" TargetMode="External"/><Relationship Id="rId1379" Type="http://schemas.openxmlformats.org/officeDocument/2006/relationships/hyperlink" Target="https://www.genome.jp/entry/2.4.2.52" TargetMode="External"/><Relationship Id="rId1586" Type="http://schemas.openxmlformats.org/officeDocument/2006/relationships/hyperlink" Target="https://www.genome.jp/entry/R01012" TargetMode="External"/><Relationship Id="rId2984" Type="http://schemas.openxmlformats.org/officeDocument/2006/relationships/hyperlink" Target="https://www.genome.jp/entry/C03539" TargetMode="External"/><Relationship Id="rId609" Type="http://schemas.openxmlformats.org/officeDocument/2006/relationships/hyperlink" Target="https://enzyme.expasy.org/EC/1.4.1.13" TargetMode="External"/><Relationship Id="rId956" Type="http://schemas.openxmlformats.org/officeDocument/2006/relationships/hyperlink" Target="https://enzyme.expasy.org/EC/2.1.2.1" TargetMode="External"/><Relationship Id="rId1239" Type="http://schemas.openxmlformats.org/officeDocument/2006/relationships/hyperlink" Target="https://www.genome.jp/entry/2.3.1.274" TargetMode="External"/><Relationship Id="rId1793" Type="http://schemas.openxmlformats.org/officeDocument/2006/relationships/hyperlink" Target="https://www.genome.jp/entry/C00002" TargetMode="External"/><Relationship Id="rId2637" Type="http://schemas.openxmlformats.org/officeDocument/2006/relationships/hyperlink" Target="https://www.genome.jp/entry/C04734" TargetMode="External"/><Relationship Id="rId2844" Type="http://schemas.openxmlformats.org/officeDocument/2006/relationships/hyperlink" Target="https://www.genome.jp/entry/C04618" TargetMode="External"/><Relationship Id="rId85" Type="http://schemas.openxmlformats.org/officeDocument/2006/relationships/hyperlink" Target="https://www.genome.jp/entry/C16596" TargetMode="External"/><Relationship Id="rId816" Type="http://schemas.openxmlformats.org/officeDocument/2006/relationships/hyperlink" Target="https://www.genome.jp/entry/C05698" TargetMode="External"/><Relationship Id="rId1446" Type="http://schemas.openxmlformats.org/officeDocument/2006/relationships/hyperlink" Target="https://enzyme.expasy.org/EC/2.5.1.47" TargetMode="External"/><Relationship Id="rId1653" Type="http://schemas.openxmlformats.org/officeDocument/2006/relationships/hyperlink" Target="https://enzyme.expasy.org/EC/2.7.1.30" TargetMode="External"/><Relationship Id="rId1860" Type="http://schemas.openxmlformats.org/officeDocument/2006/relationships/hyperlink" Target="https://www.genome.jp/entry/C00002" TargetMode="External"/><Relationship Id="rId2704" Type="http://schemas.openxmlformats.org/officeDocument/2006/relationships/hyperlink" Target="https://enzyme.expasy.org/EC/4.1.1.112" TargetMode="External"/><Relationship Id="rId2911" Type="http://schemas.openxmlformats.org/officeDocument/2006/relationships/hyperlink" Target="https://enzyme.expasy.org/EC/4.3.2.10" TargetMode="External"/><Relationship Id="rId1306" Type="http://schemas.openxmlformats.org/officeDocument/2006/relationships/hyperlink" Target="https://www.genome.jp/entry/G10545" TargetMode="External"/><Relationship Id="rId1513" Type="http://schemas.openxmlformats.org/officeDocument/2006/relationships/hyperlink" Target="https://www.genome.jp/entry/R03243" TargetMode="External"/><Relationship Id="rId1720" Type="http://schemas.openxmlformats.org/officeDocument/2006/relationships/hyperlink" Target="https://www.genome.jp/entry/C00008" TargetMode="External"/><Relationship Id="rId12" Type="http://schemas.openxmlformats.org/officeDocument/2006/relationships/hyperlink" Target="https://www.genome.jp/entry/1.1.1.1" TargetMode="External"/><Relationship Id="rId399" Type="http://schemas.openxmlformats.org/officeDocument/2006/relationships/hyperlink" Target="https://www.genome.jp/entry/R11893" TargetMode="External"/><Relationship Id="rId2287" Type="http://schemas.openxmlformats.org/officeDocument/2006/relationships/hyperlink" Target="https://www.genome.jp/entry/C00559" TargetMode="External"/><Relationship Id="rId2494" Type="http://schemas.openxmlformats.org/officeDocument/2006/relationships/hyperlink" Target="https://www.genome.jp/entry/G13073" TargetMode="External"/><Relationship Id="rId3338" Type="http://schemas.openxmlformats.org/officeDocument/2006/relationships/hyperlink" Target="https://www.genome.jp/entry/C01185" TargetMode="External"/><Relationship Id="rId259" Type="http://schemas.openxmlformats.org/officeDocument/2006/relationships/hyperlink" Target="https://www.genome.jp/entry/C00022" TargetMode="External"/><Relationship Id="rId466" Type="http://schemas.openxmlformats.org/officeDocument/2006/relationships/hyperlink" Target="https://www.genome.jp/entry/C00342" TargetMode="External"/><Relationship Id="rId673" Type="http://schemas.openxmlformats.org/officeDocument/2006/relationships/hyperlink" Target="https://enzyme.expasy.org/EC/1.5.1.3" TargetMode="External"/><Relationship Id="rId880" Type="http://schemas.openxmlformats.org/officeDocument/2006/relationships/hyperlink" Target="https://www.genome.jp/entry/2.1.1.222" TargetMode="External"/><Relationship Id="rId1096" Type="http://schemas.openxmlformats.org/officeDocument/2006/relationships/hyperlink" Target="https://www.genome.jp/entry/2.3.1.16" TargetMode="External"/><Relationship Id="rId2147" Type="http://schemas.openxmlformats.org/officeDocument/2006/relationships/hyperlink" Target="https://enzyme.expasy.org/EC/2.7.7.7" TargetMode="External"/><Relationship Id="rId2354" Type="http://schemas.openxmlformats.org/officeDocument/2006/relationships/hyperlink" Target="https://enzyme.expasy.org/EC/3.2.1.22" TargetMode="External"/><Relationship Id="rId2561" Type="http://schemas.openxmlformats.org/officeDocument/2006/relationships/hyperlink" Target="https://enzyme.expasy.org/EC/3.2.2.9" TargetMode="External"/><Relationship Id="rId3405" Type="http://schemas.openxmlformats.org/officeDocument/2006/relationships/hyperlink" Target="https://www.genome.jp/entry/C00008" TargetMode="External"/><Relationship Id="rId119" Type="http://schemas.openxmlformats.org/officeDocument/2006/relationships/hyperlink" Target="https://www.genome.jp/entry/C04633" TargetMode="External"/><Relationship Id="rId326" Type="http://schemas.openxmlformats.org/officeDocument/2006/relationships/hyperlink" Target="https://www.genome.jp/entry/1.17.1.8" TargetMode="External"/><Relationship Id="rId533" Type="http://schemas.openxmlformats.org/officeDocument/2006/relationships/hyperlink" Target="https://www.genome.jp/entry/1.17.99.6" TargetMode="External"/><Relationship Id="rId1163" Type="http://schemas.openxmlformats.org/officeDocument/2006/relationships/hyperlink" Target="https://www.genome.jp/entry/C23013" TargetMode="External"/><Relationship Id="rId1370" Type="http://schemas.openxmlformats.org/officeDocument/2006/relationships/hyperlink" Target="https://enzyme.expasy.org/EC/2.4.2.22" TargetMode="External"/><Relationship Id="rId2007" Type="http://schemas.openxmlformats.org/officeDocument/2006/relationships/hyperlink" Target="https://www.genome.jp/entry/C00201" TargetMode="External"/><Relationship Id="rId2214" Type="http://schemas.openxmlformats.org/officeDocument/2006/relationships/hyperlink" Target="https://www.genome.jp/entry/C15812" TargetMode="External"/><Relationship Id="rId740" Type="http://schemas.openxmlformats.org/officeDocument/2006/relationships/hyperlink" Target="https://www.genome.jp/entry/R08550" TargetMode="External"/><Relationship Id="rId1023" Type="http://schemas.openxmlformats.org/officeDocument/2006/relationships/hyperlink" Target="https://www.genome.jp/entry/C00109" TargetMode="External"/><Relationship Id="rId2421" Type="http://schemas.openxmlformats.org/officeDocument/2006/relationships/hyperlink" Target="https://www.genome.jp/entry/C06037" TargetMode="External"/><Relationship Id="rId600" Type="http://schemas.openxmlformats.org/officeDocument/2006/relationships/hyperlink" Target="https://www.genome.jp/entry/1.4.1.13" TargetMode="External"/><Relationship Id="rId1230" Type="http://schemas.openxmlformats.org/officeDocument/2006/relationships/hyperlink" Target="https://www.genome.jp/entry/2.3.1.234" TargetMode="External"/><Relationship Id="rId3195" Type="http://schemas.openxmlformats.org/officeDocument/2006/relationships/hyperlink" Target="https://www.genome.jp/entry/C00002" TargetMode="External"/><Relationship Id="rId3055" Type="http://schemas.openxmlformats.org/officeDocument/2006/relationships/hyperlink" Target="https://enzyme.expasy.org/EC/5.3.1.6" TargetMode="External"/><Relationship Id="rId3262" Type="http://schemas.openxmlformats.org/officeDocument/2006/relationships/hyperlink" Target="https://enzyme.expasy.org/EC/6.3.1.20" TargetMode="External"/><Relationship Id="rId183" Type="http://schemas.openxmlformats.org/officeDocument/2006/relationships/hyperlink" Target="https://www.genome.jp/entry/C00130" TargetMode="External"/><Relationship Id="rId390" Type="http://schemas.openxmlformats.org/officeDocument/2006/relationships/hyperlink" Target="https://www.genome.jp/entry/1.17.4.1" TargetMode="External"/><Relationship Id="rId1907" Type="http://schemas.openxmlformats.org/officeDocument/2006/relationships/hyperlink" Target="https://enzyme.expasy.org/EC/2.7.7.6" TargetMode="External"/><Relationship Id="rId2071" Type="http://schemas.openxmlformats.org/officeDocument/2006/relationships/hyperlink" Target="https://www.genome.jp/entry/C00013" TargetMode="External"/><Relationship Id="rId3122" Type="http://schemas.openxmlformats.org/officeDocument/2006/relationships/hyperlink" Target="https://enzyme.expasy.org/EC/5.4.99.25" TargetMode="External"/><Relationship Id="rId250" Type="http://schemas.openxmlformats.org/officeDocument/2006/relationships/hyperlink" Target="https://enzyme.expasy.org/EC/1.1.1.27" TargetMode="External"/><Relationship Id="rId110" Type="http://schemas.openxmlformats.org/officeDocument/2006/relationships/hyperlink" Target="https://www.genome.jp/entry/C05753" TargetMode="External"/><Relationship Id="rId2888" Type="http://schemas.openxmlformats.org/officeDocument/2006/relationships/hyperlink" Target="https://www.genome.jp/entry/C00065" TargetMode="External"/><Relationship Id="rId1697" Type="http://schemas.openxmlformats.org/officeDocument/2006/relationships/hyperlink" Target="https://enzyme.expasy.org/EC/2.7.1.48" TargetMode="External"/><Relationship Id="rId2748" Type="http://schemas.openxmlformats.org/officeDocument/2006/relationships/hyperlink" Target="https://www.genome.jp/entry/C00111" TargetMode="External"/><Relationship Id="rId2955" Type="http://schemas.openxmlformats.org/officeDocument/2006/relationships/hyperlink" Target="https://www.genome.jp/entry/C05698" TargetMode="External"/><Relationship Id="rId927" Type="http://schemas.openxmlformats.org/officeDocument/2006/relationships/hyperlink" Target="https://www.genome.jp/entry/2.1.1.64" TargetMode="External"/><Relationship Id="rId1557" Type="http://schemas.openxmlformats.org/officeDocument/2006/relationships/hyperlink" Target="https://www.genome.jp/entry/C00063" TargetMode="External"/><Relationship Id="rId1764" Type="http://schemas.openxmlformats.org/officeDocument/2006/relationships/hyperlink" Target="https://enzyme.expasy.org/EC/2.7.2.4" TargetMode="External"/><Relationship Id="rId1971" Type="http://schemas.openxmlformats.org/officeDocument/2006/relationships/hyperlink" Target="https://www.genome.jp/entry/C00201" TargetMode="External"/><Relationship Id="rId2608" Type="http://schemas.openxmlformats.org/officeDocument/2006/relationships/hyperlink" Target="https://www.genome.jp/entry/C07086" TargetMode="External"/><Relationship Id="rId2815" Type="http://schemas.openxmlformats.org/officeDocument/2006/relationships/hyperlink" Target="https://enzyme.expasy.org/EC/4.2.1.2" TargetMode="External"/><Relationship Id="rId56" Type="http://schemas.openxmlformats.org/officeDocument/2006/relationships/hyperlink" Target="https://enzyme.expasy.org/EC/1.1.1.1" TargetMode="External"/><Relationship Id="rId1417" Type="http://schemas.openxmlformats.org/officeDocument/2006/relationships/hyperlink" Target="https://enzyme.expasy.org/EC/2.5.1.17" TargetMode="External"/><Relationship Id="rId1624" Type="http://schemas.openxmlformats.org/officeDocument/2006/relationships/hyperlink" Target="https://www.genome.jp/entry/C00002" TargetMode="External"/><Relationship Id="rId1831" Type="http://schemas.openxmlformats.org/officeDocument/2006/relationships/hyperlink" Target="https://enzyme.expasy.org/EC/2.7.4.6" TargetMode="External"/><Relationship Id="rId2398" Type="http://schemas.openxmlformats.org/officeDocument/2006/relationships/hyperlink" Target="https://www.genome.jp/entry/C00124" TargetMode="External"/><Relationship Id="rId577" Type="http://schemas.openxmlformats.org/officeDocument/2006/relationships/hyperlink" Target="https://www.genome.jp/entry/C00337" TargetMode="External"/><Relationship Id="rId2258" Type="http://schemas.openxmlformats.org/officeDocument/2006/relationships/hyperlink" Target="https://enzyme.expasy.org/EC/3.1.3.5" TargetMode="External"/><Relationship Id="rId784" Type="http://schemas.openxmlformats.org/officeDocument/2006/relationships/hyperlink" Target="https://www.genome.jp/entry/1.8.4.11" TargetMode="External"/><Relationship Id="rId991" Type="http://schemas.openxmlformats.org/officeDocument/2006/relationships/hyperlink" Target="https://www.genome.jp/entry/2.2.1.2" TargetMode="External"/><Relationship Id="rId1067" Type="http://schemas.openxmlformats.org/officeDocument/2006/relationships/hyperlink" Target="https://www.genome.jp/entry/R00927" TargetMode="External"/><Relationship Id="rId2465" Type="http://schemas.openxmlformats.org/officeDocument/2006/relationships/hyperlink" Target="https://enzyme.expasy.org/EC/3.2.1.23" TargetMode="External"/><Relationship Id="rId2672" Type="http://schemas.openxmlformats.org/officeDocument/2006/relationships/hyperlink" Target="https://www.genome.jp/entry/C00085" TargetMode="External"/><Relationship Id="rId3309" Type="http://schemas.openxmlformats.org/officeDocument/2006/relationships/hyperlink" Target="https://www.genome.jp/entry/C00008" TargetMode="External"/><Relationship Id="rId437" Type="http://schemas.openxmlformats.org/officeDocument/2006/relationships/hyperlink" Target="https://enzyme.expasy.org/EC/1.17.4.1" TargetMode="External"/><Relationship Id="rId644" Type="http://schemas.openxmlformats.org/officeDocument/2006/relationships/hyperlink" Target="https://enzyme.expasy.org/EC/1.5.1.2" TargetMode="External"/><Relationship Id="rId851" Type="http://schemas.openxmlformats.org/officeDocument/2006/relationships/hyperlink" Target="https://www.genome.jp/entry/C00019" TargetMode="External"/><Relationship Id="rId1274" Type="http://schemas.openxmlformats.org/officeDocument/2006/relationships/hyperlink" Target="https://www.genome.jp/entry/2.3.1.8" TargetMode="External"/><Relationship Id="rId1481" Type="http://schemas.openxmlformats.org/officeDocument/2006/relationships/hyperlink" Target="https://www.genome.jp/entry/2.5.1.75" TargetMode="External"/><Relationship Id="rId2118" Type="http://schemas.openxmlformats.org/officeDocument/2006/relationships/hyperlink" Target="https://www.genome.jp/entry/C00677" TargetMode="External"/><Relationship Id="rId2325" Type="http://schemas.openxmlformats.org/officeDocument/2006/relationships/hyperlink" Target="https://www.genome.jp/entry/C00089" TargetMode="External"/><Relationship Id="rId2532" Type="http://schemas.openxmlformats.org/officeDocument/2006/relationships/hyperlink" Target="https://www.genome.jp/entry/C06187" TargetMode="External"/><Relationship Id="rId504" Type="http://schemas.openxmlformats.org/officeDocument/2006/relationships/hyperlink" Target="https://www.genome.jp/entry/R02023" TargetMode="External"/><Relationship Id="rId711" Type="http://schemas.openxmlformats.org/officeDocument/2006/relationships/hyperlink" Target="https://www.genome.jp/entry/C00143" TargetMode="External"/><Relationship Id="rId1134" Type="http://schemas.openxmlformats.org/officeDocument/2006/relationships/hyperlink" Target="https://www.genome.jp/entry/C00010" TargetMode="External"/><Relationship Id="rId1341" Type="http://schemas.openxmlformats.org/officeDocument/2006/relationships/hyperlink" Target="https://www.genome.jp/entry/R01071" TargetMode="External"/><Relationship Id="rId1201" Type="http://schemas.openxmlformats.org/officeDocument/2006/relationships/hyperlink" Target="https://www.genome.jp/entry/R04968" TargetMode="External"/><Relationship Id="rId3099" Type="http://schemas.openxmlformats.org/officeDocument/2006/relationships/hyperlink" Target="https://www.genome.jp/entry/C01159" TargetMode="External"/><Relationship Id="rId3166" Type="http://schemas.openxmlformats.org/officeDocument/2006/relationships/hyperlink" Target="https://www.genome.jp/entry/C00020" TargetMode="External"/><Relationship Id="rId3373" Type="http://schemas.openxmlformats.org/officeDocument/2006/relationships/hyperlink" Target="https://enzyme.expasy.org/EC/6.3.5.4" TargetMode="External"/><Relationship Id="rId294" Type="http://schemas.openxmlformats.org/officeDocument/2006/relationships/hyperlink" Target="https://www.genome.jp/entry/R02736" TargetMode="External"/><Relationship Id="rId2182" Type="http://schemas.openxmlformats.org/officeDocument/2006/relationships/hyperlink" Target="https://www.genome.jp/entry/C19085" TargetMode="External"/><Relationship Id="rId3026" Type="http://schemas.openxmlformats.org/officeDocument/2006/relationships/hyperlink" Target="https://www.genome.jp/entry/C00118" TargetMode="External"/><Relationship Id="rId3233" Type="http://schemas.openxmlformats.org/officeDocument/2006/relationships/hyperlink" Target="https://www.genome.jp/entry/C00002" TargetMode="External"/><Relationship Id="rId154" Type="http://schemas.openxmlformats.org/officeDocument/2006/relationships/hyperlink" Target="https://www.genome.jp/entry/C00966" TargetMode="External"/><Relationship Id="rId361" Type="http://schemas.openxmlformats.org/officeDocument/2006/relationships/hyperlink" Target="https://www.genome.jp/entry/1.17.4.1" TargetMode="External"/><Relationship Id="rId2042" Type="http://schemas.openxmlformats.org/officeDocument/2006/relationships/hyperlink" Target="https://enzyme.expasy.org/EC/2.7.7.7" TargetMode="External"/><Relationship Id="rId3440" Type="http://schemas.openxmlformats.org/officeDocument/2006/relationships/hyperlink" Target="https://enzyme.expasy.org/EC/7.3.2.2" TargetMode="External"/><Relationship Id="rId2999" Type="http://schemas.openxmlformats.org/officeDocument/2006/relationships/hyperlink" Target="https://www.genome.jp/entry/C00199" TargetMode="External"/><Relationship Id="rId3300" Type="http://schemas.openxmlformats.org/officeDocument/2006/relationships/hyperlink" Target="https://www.genome.jp/entry/C00008" TargetMode="External"/><Relationship Id="rId221" Type="http://schemas.openxmlformats.org/officeDocument/2006/relationships/hyperlink" Target="https://www.genome.jp/entry/1.1.1.25" TargetMode="External"/><Relationship Id="rId2859" Type="http://schemas.openxmlformats.org/officeDocument/2006/relationships/hyperlink" Target="https://www.genome.jp/entry/C20374" TargetMode="External"/><Relationship Id="rId1668" Type="http://schemas.openxmlformats.org/officeDocument/2006/relationships/hyperlink" Target="https://www.genome.jp/entry/C00002" TargetMode="External"/><Relationship Id="rId1875" Type="http://schemas.openxmlformats.org/officeDocument/2006/relationships/hyperlink" Target="https://www.genome.jp/entry/C00020" TargetMode="External"/><Relationship Id="rId2719" Type="http://schemas.openxmlformats.org/officeDocument/2006/relationships/hyperlink" Target="https://enzyme.expasy.org/EC/4.1.1.21" TargetMode="External"/><Relationship Id="rId1528" Type="http://schemas.openxmlformats.org/officeDocument/2006/relationships/hyperlink" Target="https://www.genome.jp/entry/2.7.1.11" TargetMode="External"/><Relationship Id="rId2926" Type="http://schemas.openxmlformats.org/officeDocument/2006/relationships/hyperlink" Target="https://enzyme.expasy.org/EC/4.3.2.2" TargetMode="External"/><Relationship Id="rId3090" Type="http://schemas.openxmlformats.org/officeDocument/2006/relationships/hyperlink" Target="https://www.genome.jp/entry/C07478" TargetMode="External"/><Relationship Id="rId1735" Type="http://schemas.openxmlformats.org/officeDocument/2006/relationships/hyperlink" Target="https://www.genome.jp/entry/C00008" TargetMode="External"/><Relationship Id="rId1942" Type="http://schemas.openxmlformats.org/officeDocument/2006/relationships/hyperlink" Target="https://www.genome.jp/entry/C00013" TargetMode="External"/><Relationship Id="rId27" Type="http://schemas.openxmlformats.org/officeDocument/2006/relationships/hyperlink" Target="https://www.genome.jp/entry/1.1.1.1" TargetMode="External"/><Relationship Id="rId1802" Type="http://schemas.openxmlformats.org/officeDocument/2006/relationships/hyperlink" Target="https://www.genome.jp/entry/C00002" TargetMode="External"/><Relationship Id="rId688" Type="http://schemas.openxmlformats.org/officeDocument/2006/relationships/hyperlink" Target="https://enzyme.expasy.org/EC/1.5.1.3" TargetMode="External"/><Relationship Id="rId895" Type="http://schemas.openxmlformats.org/officeDocument/2006/relationships/hyperlink" Target="https://www.genome.jp/entry/2.1.1.222" TargetMode="External"/><Relationship Id="rId2369" Type="http://schemas.openxmlformats.org/officeDocument/2006/relationships/hyperlink" Target="https://enzyme.expasy.org/EC/3.2.1.22" TargetMode="External"/><Relationship Id="rId2576" Type="http://schemas.openxmlformats.org/officeDocument/2006/relationships/hyperlink" Target="https://enzyme.expasy.org/EC/3.4.21.89" TargetMode="External"/><Relationship Id="rId2783" Type="http://schemas.openxmlformats.org/officeDocument/2006/relationships/hyperlink" Target="https://www.genome.jp/entry/C00673" TargetMode="External"/><Relationship Id="rId2990" Type="http://schemas.openxmlformats.org/officeDocument/2006/relationships/hyperlink" Target="https://www.genome.jp/entry/C00025" TargetMode="External"/><Relationship Id="rId548" Type="http://schemas.openxmlformats.org/officeDocument/2006/relationships/hyperlink" Target="https://www.genome.jp/entry/C03082" TargetMode="External"/><Relationship Id="rId755" Type="http://schemas.openxmlformats.org/officeDocument/2006/relationships/hyperlink" Target="https://www.genome.jp/entry/R01698" TargetMode="External"/><Relationship Id="rId962" Type="http://schemas.openxmlformats.org/officeDocument/2006/relationships/hyperlink" Target="https://www.genome.jp/entry/2.1.2.1" TargetMode="External"/><Relationship Id="rId1178" Type="http://schemas.openxmlformats.org/officeDocument/2006/relationships/hyperlink" Target="https://www.genome.jp/entry/C05759" TargetMode="External"/><Relationship Id="rId1385" Type="http://schemas.openxmlformats.org/officeDocument/2006/relationships/hyperlink" Target="https://www.genome.jp/entry/R00190" TargetMode="External"/><Relationship Id="rId1592" Type="http://schemas.openxmlformats.org/officeDocument/2006/relationships/hyperlink" Target="https://www.genome.jp/entry/C01097" TargetMode="External"/><Relationship Id="rId2229" Type="http://schemas.openxmlformats.org/officeDocument/2006/relationships/hyperlink" Target="https://enzyme.expasy.org/EC/3.1.21.2" TargetMode="External"/><Relationship Id="rId2436" Type="http://schemas.openxmlformats.org/officeDocument/2006/relationships/hyperlink" Target="https://www.genome.jp/entry/G10488" TargetMode="External"/><Relationship Id="rId2643" Type="http://schemas.openxmlformats.org/officeDocument/2006/relationships/hyperlink" Target="https://www.genome.jp/entry/C20451" TargetMode="External"/><Relationship Id="rId2850" Type="http://schemas.openxmlformats.org/officeDocument/2006/relationships/hyperlink" Target="https://www.genome.jp/entry/C04633" TargetMode="External"/><Relationship Id="rId91" Type="http://schemas.openxmlformats.org/officeDocument/2006/relationships/hyperlink" Target="https://enzyme.expasy.org/EC/1.1.1.1" TargetMode="External"/><Relationship Id="rId408" Type="http://schemas.openxmlformats.org/officeDocument/2006/relationships/hyperlink" Target="https://www.genome.jp/entry/1.17.4.1" TargetMode="External"/><Relationship Id="rId615" Type="http://schemas.openxmlformats.org/officeDocument/2006/relationships/hyperlink" Target="https://www.genome.jp/entry/1.4.1.4" TargetMode="External"/><Relationship Id="rId822" Type="http://schemas.openxmlformats.org/officeDocument/2006/relationships/hyperlink" Target="https://enzyme.expasy.org/EC/2.1.1.171" TargetMode="External"/><Relationship Id="rId1038" Type="http://schemas.openxmlformats.org/officeDocument/2006/relationships/hyperlink" Target="https://www.genome.jp/entry/C00605" TargetMode="External"/><Relationship Id="rId1245" Type="http://schemas.openxmlformats.org/officeDocument/2006/relationships/hyperlink" Target="https://www.genome.jp/entry/R10634" TargetMode="External"/><Relationship Id="rId1452" Type="http://schemas.openxmlformats.org/officeDocument/2006/relationships/hyperlink" Target="https://www.genome.jp/entry/C00097" TargetMode="External"/><Relationship Id="rId2503" Type="http://schemas.openxmlformats.org/officeDocument/2006/relationships/hyperlink" Target="https://www.genome.jp/entry/C05402" TargetMode="External"/><Relationship Id="rId1105" Type="http://schemas.openxmlformats.org/officeDocument/2006/relationships/hyperlink" Target="https://enzyme.expasy.org/EC/2.3.1.16" TargetMode="External"/><Relationship Id="rId1312" Type="http://schemas.openxmlformats.org/officeDocument/2006/relationships/hyperlink" Target="https://enzyme.expasy.org/EC/2.4.1.21" TargetMode="External"/><Relationship Id="rId2710" Type="http://schemas.openxmlformats.org/officeDocument/2006/relationships/hyperlink" Target="https://enzyme.expasy.org/EC/4.1.1.12" TargetMode="External"/><Relationship Id="rId3277" Type="http://schemas.openxmlformats.org/officeDocument/2006/relationships/hyperlink" Target="https://enzyme.expasy.org/EC/6.3.1.5" TargetMode="External"/><Relationship Id="rId198" Type="http://schemas.openxmlformats.org/officeDocument/2006/relationships/hyperlink" Target="https://www.genome.jp/entry/C01929" TargetMode="External"/><Relationship Id="rId2086" Type="http://schemas.openxmlformats.org/officeDocument/2006/relationships/hyperlink" Target="https://www.genome.jp/entry/C00013" TargetMode="External"/><Relationship Id="rId2293" Type="http://schemas.openxmlformats.org/officeDocument/2006/relationships/hyperlink" Target="https://www.genome.jp/entry/C05512" TargetMode="External"/><Relationship Id="rId3137" Type="http://schemas.openxmlformats.org/officeDocument/2006/relationships/hyperlink" Target="https://enzyme.expasy.org/EC/6.1.1.1" TargetMode="External"/><Relationship Id="rId3344" Type="http://schemas.openxmlformats.org/officeDocument/2006/relationships/hyperlink" Target="https://www.genome.jp/entry/C00101" TargetMode="External"/><Relationship Id="rId265" Type="http://schemas.openxmlformats.org/officeDocument/2006/relationships/hyperlink" Target="https://enzyme.expasy.org/EC/1.1.1.27" TargetMode="External"/><Relationship Id="rId472" Type="http://schemas.openxmlformats.org/officeDocument/2006/relationships/hyperlink" Target="https://enzyme.expasy.org/EC/1.17.4.1" TargetMode="External"/><Relationship Id="rId2153" Type="http://schemas.openxmlformats.org/officeDocument/2006/relationships/hyperlink" Target="https://enzyme.expasy.org/EC/2.7.7.7" TargetMode="External"/><Relationship Id="rId2360" Type="http://schemas.openxmlformats.org/officeDocument/2006/relationships/hyperlink" Target="https://enzyme.expasy.org/EC/3.2.1.22" TargetMode="External"/><Relationship Id="rId3204" Type="http://schemas.openxmlformats.org/officeDocument/2006/relationships/hyperlink" Target="https://www.genome.jp/entry/C00002" TargetMode="External"/><Relationship Id="rId3411" Type="http://schemas.openxmlformats.org/officeDocument/2006/relationships/hyperlink" Target="https://www.genome.jp/entry/C00020" TargetMode="External"/><Relationship Id="rId125" Type="http://schemas.openxmlformats.org/officeDocument/2006/relationships/hyperlink" Target="https://www.genome.jp/entry/C05759" TargetMode="External"/><Relationship Id="rId332" Type="http://schemas.openxmlformats.org/officeDocument/2006/relationships/hyperlink" Target="https://www.genome.jp/entry/R04294" TargetMode="External"/><Relationship Id="rId2013" Type="http://schemas.openxmlformats.org/officeDocument/2006/relationships/hyperlink" Target="https://www.genome.jp/entry/C00044" TargetMode="External"/><Relationship Id="rId2220" Type="http://schemas.openxmlformats.org/officeDocument/2006/relationships/hyperlink" Target="https://www.genome.jp/entry/C03523" TargetMode="External"/><Relationship Id="rId1779" Type="http://schemas.openxmlformats.org/officeDocument/2006/relationships/hyperlink" Target="https://enzyme.expasy.org/EC/2.7.4.22" TargetMode="External"/><Relationship Id="rId1986" Type="http://schemas.openxmlformats.org/officeDocument/2006/relationships/hyperlink" Target="https://www.genome.jp/entry/C00201" TargetMode="External"/><Relationship Id="rId1639" Type="http://schemas.openxmlformats.org/officeDocument/2006/relationships/hyperlink" Target="https://www.genome.jp/entry/C11736" TargetMode="External"/><Relationship Id="rId1846" Type="http://schemas.openxmlformats.org/officeDocument/2006/relationships/hyperlink" Target="https://www.genome.jp/entry/C00002" TargetMode="External"/><Relationship Id="rId3061" Type="http://schemas.openxmlformats.org/officeDocument/2006/relationships/hyperlink" Target="https://enzyme.expasy.org/EC/5.3.1.6" TargetMode="External"/><Relationship Id="rId1706" Type="http://schemas.openxmlformats.org/officeDocument/2006/relationships/hyperlink" Target="https://enzyme.expasy.org/EC/2.7.1.48" TargetMode="External"/><Relationship Id="rId1913" Type="http://schemas.openxmlformats.org/officeDocument/2006/relationships/hyperlink" Target="https://enzyme.expasy.org/EC/2.7.7.6" TargetMode="External"/><Relationship Id="rId799" Type="http://schemas.openxmlformats.org/officeDocument/2006/relationships/hyperlink" Target="https://www.genome.jp/entry/1.8.4.12" TargetMode="External"/><Relationship Id="rId2687" Type="http://schemas.openxmlformats.org/officeDocument/2006/relationships/hyperlink" Target="https://www.genome.jp/entry/C02741" TargetMode="External"/><Relationship Id="rId2894" Type="http://schemas.openxmlformats.org/officeDocument/2006/relationships/hyperlink" Target="https://www.genome.jp/entry/C02218" TargetMode="External"/><Relationship Id="rId659" Type="http://schemas.openxmlformats.org/officeDocument/2006/relationships/hyperlink" Target="https://enzyme.expasy.org/EC/1.5.1.2" TargetMode="External"/><Relationship Id="rId866" Type="http://schemas.openxmlformats.org/officeDocument/2006/relationships/hyperlink" Target="https://www.genome.jp/entry/2.1.1.207" TargetMode="External"/><Relationship Id="rId1289" Type="http://schemas.openxmlformats.org/officeDocument/2006/relationships/hyperlink" Target="https://www.genome.jp/entry/2.4.1.1" TargetMode="External"/><Relationship Id="rId1496" Type="http://schemas.openxmlformats.org/officeDocument/2006/relationships/hyperlink" Target="https://enzyme.expasy.org/EC/2.6.1.42" TargetMode="External"/><Relationship Id="rId2547" Type="http://schemas.openxmlformats.org/officeDocument/2006/relationships/hyperlink" Target="https://www.genome.jp/entry/C06188" TargetMode="External"/><Relationship Id="rId519" Type="http://schemas.openxmlformats.org/officeDocument/2006/relationships/hyperlink" Target="https://www.genome.jp/entry/R02020" TargetMode="External"/><Relationship Id="rId1149" Type="http://schemas.openxmlformats.org/officeDocument/2006/relationships/hyperlink" Target="https://www.genome.jp/entry/C23017" TargetMode="External"/><Relationship Id="rId1356" Type="http://schemas.openxmlformats.org/officeDocument/2006/relationships/hyperlink" Target="https://enzyme.expasy.org/EC/2.4.2.2" TargetMode="External"/><Relationship Id="rId2754" Type="http://schemas.openxmlformats.org/officeDocument/2006/relationships/hyperlink" Target="https://www.genome.jp/entry/C00111" TargetMode="External"/><Relationship Id="rId2961" Type="http://schemas.openxmlformats.org/officeDocument/2006/relationships/hyperlink" Target="https://www.genome.jp/entry/C00145" TargetMode="External"/><Relationship Id="rId726" Type="http://schemas.openxmlformats.org/officeDocument/2006/relationships/hyperlink" Target="https://www.genome.jp/entry/C02972" TargetMode="External"/><Relationship Id="rId933" Type="http://schemas.openxmlformats.org/officeDocument/2006/relationships/hyperlink" Target="https://www.genome.jp/entry/C17562" TargetMode="External"/><Relationship Id="rId1009" Type="http://schemas.openxmlformats.org/officeDocument/2006/relationships/hyperlink" Target="https://www.genome.jp/entry/C05125" TargetMode="External"/><Relationship Id="rId1563" Type="http://schemas.openxmlformats.org/officeDocument/2006/relationships/hyperlink" Target="https://www.genome.jp/entry/R04779" TargetMode="External"/><Relationship Id="rId1770" Type="http://schemas.openxmlformats.org/officeDocument/2006/relationships/hyperlink" Target="https://enzyme.expasy.org/EC/2.7.3.9" TargetMode="External"/><Relationship Id="rId2407" Type="http://schemas.openxmlformats.org/officeDocument/2006/relationships/hyperlink" Target="https://www.genome.jp/entry/C00159" TargetMode="External"/><Relationship Id="rId2614" Type="http://schemas.openxmlformats.org/officeDocument/2006/relationships/hyperlink" Target="https://www.genome.jp/entry/C01035" TargetMode="External"/><Relationship Id="rId2821" Type="http://schemas.openxmlformats.org/officeDocument/2006/relationships/hyperlink" Target="https://enzyme.expasy.org/EC/4.2.1.20" TargetMode="External"/><Relationship Id="rId62" Type="http://schemas.openxmlformats.org/officeDocument/2006/relationships/hyperlink" Target="https://www.genome.jp/entry/1.1.1.1" TargetMode="External"/><Relationship Id="rId1216" Type="http://schemas.openxmlformats.org/officeDocument/2006/relationships/hyperlink" Target="https://www.genome.jp/entry/R10119" TargetMode="External"/><Relationship Id="rId1423" Type="http://schemas.openxmlformats.org/officeDocument/2006/relationships/hyperlink" Target="https://enzyme.expasy.org/EC/2.5.1.17" TargetMode="External"/><Relationship Id="rId1630" Type="http://schemas.openxmlformats.org/officeDocument/2006/relationships/hyperlink" Target="https://www.genome.jp/entry/C00002" TargetMode="External"/><Relationship Id="rId3388" Type="http://schemas.openxmlformats.org/officeDocument/2006/relationships/hyperlink" Target="https://enzyme.expasy.org/EC/6.3.5.5" TargetMode="External"/><Relationship Id="rId2197" Type="http://schemas.openxmlformats.org/officeDocument/2006/relationships/hyperlink" Target="https://www.genome.jp/entry/C00105" TargetMode="External"/><Relationship Id="rId3248" Type="http://schemas.openxmlformats.org/officeDocument/2006/relationships/hyperlink" Target="https://www.genome.jp/entry/C00002" TargetMode="External"/><Relationship Id="rId169" Type="http://schemas.openxmlformats.org/officeDocument/2006/relationships/hyperlink" Target="https://www.genome.jp/entry/C00085" TargetMode="External"/><Relationship Id="rId376" Type="http://schemas.openxmlformats.org/officeDocument/2006/relationships/hyperlink" Target="https://www.genome.jp/entry/C00206" TargetMode="External"/><Relationship Id="rId583" Type="http://schemas.openxmlformats.org/officeDocument/2006/relationships/hyperlink" Target="https://www.genome.jp/entry/C00894" TargetMode="External"/><Relationship Id="rId790" Type="http://schemas.openxmlformats.org/officeDocument/2006/relationships/hyperlink" Target="https://www.genome.jp/entry/R04120" TargetMode="External"/><Relationship Id="rId2057" Type="http://schemas.openxmlformats.org/officeDocument/2006/relationships/hyperlink" Target="https://enzyme.expasy.org/EC/2.7.7.7" TargetMode="External"/><Relationship Id="rId2264" Type="http://schemas.openxmlformats.org/officeDocument/2006/relationships/hyperlink" Target="https://enzyme.expasy.org/EC/3.1.3.5" TargetMode="External"/><Relationship Id="rId2471" Type="http://schemas.openxmlformats.org/officeDocument/2006/relationships/hyperlink" Target="https://enzyme.expasy.org/EC/3.2.1.23" TargetMode="External"/><Relationship Id="rId3108" Type="http://schemas.openxmlformats.org/officeDocument/2006/relationships/hyperlink" Target="https://www.genome.jp/entry/C00663" TargetMode="External"/><Relationship Id="rId3315" Type="http://schemas.openxmlformats.org/officeDocument/2006/relationships/hyperlink" Target="https://www.genome.jp/entry/C00020" TargetMode="External"/><Relationship Id="rId236" Type="http://schemas.openxmlformats.org/officeDocument/2006/relationships/hyperlink" Target="https://www.genome.jp/entry/1.1.1.262" TargetMode="External"/><Relationship Id="rId443" Type="http://schemas.openxmlformats.org/officeDocument/2006/relationships/hyperlink" Target="https://www.genome.jp/entry/1.17.4.1" TargetMode="External"/><Relationship Id="rId650" Type="http://schemas.openxmlformats.org/officeDocument/2006/relationships/hyperlink" Target="https://www.genome.jp/entry/1.5.1.2" TargetMode="External"/><Relationship Id="rId1073" Type="http://schemas.openxmlformats.org/officeDocument/2006/relationships/hyperlink" Target="https://www.genome.jp/entry/C00024" TargetMode="External"/><Relationship Id="rId1280" Type="http://schemas.openxmlformats.org/officeDocument/2006/relationships/hyperlink" Target="https://www.genome.jp/entry/R04364" TargetMode="External"/><Relationship Id="rId2124" Type="http://schemas.openxmlformats.org/officeDocument/2006/relationships/hyperlink" Target="https://www.genome.jp/entry/C00286" TargetMode="External"/><Relationship Id="rId2331" Type="http://schemas.openxmlformats.org/officeDocument/2006/relationships/hyperlink" Target="https://www.genome.jp/entry/G00370" TargetMode="External"/><Relationship Id="rId303" Type="http://schemas.openxmlformats.org/officeDocument/2006/relationships/hyperlink" Target="https://www.genome.jp/entry/1.1.1.94" TargetMode="External"/><Relationship Id="rId1140" Type="http://schemas.openxmlformats.org/officeDocument/2006/relationships/hyperlink" Target="https://enzyme.expasy.org/EC/2.3.1.16" TargetMode="External"/><Relationship Id="rId510" Type="http://schemas.openxmlformats.org/officeDocument/2006/relationships/hyperlink" Target="https://www.genome.jp/entry/C00677" TargetMode="External"/><Relationship Id="rId1000" Type="http://schemas.openxmlformats.org/officeDocument/2006/relationships/hyperlink" Target="https://enzyme.expasy.org/EC/2.2.1.6" TargetMode="External"/><Relationship Id="rId1957" Type="http://schemas.openxmlformats.org/officeDocument/2006/relationships/hyperlink" Target="https://www.genome.jp/entry/C00013" TargetMode="External"/><Relationship Id="rId1817" Type="http://schemas.openxmlformats.org/officeDocument/2006/relationships/hyperlink" Target="https://www.genome.jp/entry/C00002" TargetMode="External"/><Relationship Id="rId3172" Type="http://schemas.openxmlformats.org/officeDocument/2006/relationships/hyperlink" Target="https://www.genome.jp/entry/C00020" TargetMode="External"/><Relationship Id="rId3032" Type="http://schemas.openxmlformats.org/officeDocument/2006/relationships/hyperlink" Target="https://www.genome.jp/entry/C04896" TargetMode="External"/><Relationship Id="rId160" Type="http://schemas.openxmlformats.org/officeDocument/2006/relationships/hyperlink" Target="https://enzyme.expasy.org/EC/1.1.1.17" TargetMode="External"/><Relationship Id="rId2798" Type="http://schemas.openxmlformats.org/officeDocument/2006/relationships/hyperlink" Target="https://www.genome.jp/entry/C00631" TargetMode="External"/><Relationship Id="rId977" Type="http://schemas.openxmlformats.org/officeDocument/2006/relationships/hyperlink" Target="https://www.genome.jp/entry/2.1.2.3" TargetMode="External"/><Relationship Id="rId2658" Type="http://schemas.openxmlformats.org/officeDocument/2006/relationships/hyperlink" Target="https://www.genome.jp/entry/C00526" TargetMode="External"/><Relationship Id="rId2865" Type="http://schemas.openxmlformats.org/officeDocument/2006/relationships/hyperlink" Target="https://enzyme.expasy.org/EC/4.2.3.1" TargetMode="External"/><Relationship Id="rId837" Type="http://schemas.openxmlformats.org/officeDocument/2006/relationships/hyperlink" Target="https://www.genome.jp/entry/2.1.1.176" TargetMode="External"/><Relationship Id="rId1467" Type="http://schemas.openxmlformats.org/officeDocument/2006/relationships/hyperlink" Target="https://www.genome.jp/entry/R00660" TargetMode="External"/><Relationship Id="rId1674" Type="http://schemas.openxmlformats.org/officeDocument/2006/relationships/hyperlink" Target="https://www.genome.jp/entry/C00044" TargetMode="External"/><Relationship Id="rId1881" Type="http://schemas.openxmlformats.org/officeDocument/2006/relationships/hyperlink" Target="https://www.genome.jp/entry/C00013" TargetMode="External"/><Relationship Id="rId2518" Type="http://schemas.openxmlformats.org/officeDocument/2006/relationships/hyperlink" Target="https://www.genome.jp/entry/G01275" TargetMode="External"/><Relationship Id="rId2725" Type="http://schemas.openxmlformats.org/officeDocument/2006/relationships/hyperlink" Target="https://enzyme.expasy.org/EC/4.1.1.33" TargetMode="External"/><Relationship Id="rId2932" Type="http://schemas.openxmlformats.org/officeDocument/2006/relationships/hyperlink" Target="https://enzyme.expasy.org/EC/4.3.3.7" TargetMode="External"/><Relationship Id="rId904" Type="http://schemas.openxmlformats.org/officeDocument/2006/relationships/hyperlink" Target="https://www.genome.jp/entry/2.1.1.228" TargetMode="External"/><Relationship Id="rId1327" Type="http://schemas.openxmlformats.org/officeDocument/2006/relationships/hyperlink" Target="https://www.genome.jp/entry/C05898" TargetMode="External"/><Relationship Id="rId1534" Type="http://schemas.openxmlformats.org/officeDocument/2006/relationships/hyperlink" Target="https://www.genome.jp/entry/C00002" TargetMode="External"/><Relationship Id="rId1741" Type="http://schemas.openxmlformats.org/officeDocument/2006/relationships/hyperlink" Target="https://www.genome.jp/entry/C00008" TargetMode="External"/><Relationship Id="rId33" Type="http://schemas.openxmlformats.org/officeDocument/2006/relationships/hyperlink" Target="https://www.genome.jp/entry/R05233" TargetMode="External"/><Relationship Id="rId1601" Type="http://schemas.openxmlformats.org/officeDocument/2006/relationships/hyperlink" Target="https://www.genome.jp/entry/C00002" TargetMode="External"/><Relationship Id="rId3359" Type="http://schemas.openxmlformats.org/officeDocument/2006/relationships/hyperlink" Target="https://www.genome.jp/entry/C00002" TargetMode="External"/><Relationship Id="rId487" Type="http://schemas.openxmlformats.org/officeDocument/2006/relationships/hyperlink" Target="https://enzyme.expasy.org/EC/1.17.4.2" TargetMode="External"/><Relationship Id="rId694" Type="http://schemas.openxmlformats.org/officeDocument/2006/relationships/hyperlink" Target="https://www.genome.jp/entry/1.5.1.3" TargetMode="External"/><Relationship Id="rId2168" Type="http://schemas.openxmlformats.org/officeDocument/2006/relationships/hyperlink" Target="https://enzyme.expasy.org/EC/2.7.7.7" TargetMode="External"/><Relationship Id="rId2375" Type="http://schemas.openxmlformats.org/officeDocument/2006/relationships/hyperlink" Target="https://enzyme.expasy.org/EC/3.2.1.22" TargetMode="External"/><Relationship Id="rId3219" Type="http://schemas.openxmlformats.org/officeDocument/2006/relationships/hyperlink" Target="https://www.genome.jp/entry/C00020" TargetMode="External"/><Relationship Id="rId347" Type="http://schemas.openxmlformats.org/officeDocument/2006/relationships/hyperlink" Target="https://www.genome.jp/entry/R02019" TargetMode="External"/><Relationship Id="rId1184" Type="http://schemas.openxmlformats.org/officeDocument/2006/relationships/hyperlink" Target="https://enzyme.expasy.org/EC/2.3.1.179" TargetMode="External"/><Relationship Id="rId2028" Type="http://schemas.openxmlformats.org/officeDocument/2006/relationships/hyperlink" Target="https://www.genome.jp/entry/C00677" TargetMode="External"/><Relationship Id="rId2582" Type="http://schemas.openxmlformats.org/officeDocument/2006/relationships/hyperlink" Target="https://enzyme.expasy.org/EC/3.5.1.2" TargetMode="External"/><Relationship Id="rId3426" Type="http://schemas.openxmlformats.org/officeDocument/2006/relationships/hyperlink" Target="https://www.genome.jp/entry/C00002" TargetMode="External"/><Relationship Id="rId554" Type="http://schemas.openxmlformats.org/officeDocument/2006/relationships/hyperlink" Target="https://enzyme.expasy.org/EC/1.2.3.3" TargetMode="External"/><Relationship Id="rId761" Type="http://schemas.openxmlformats.org/officeDocument/2006/relationships/hyperlink" Target="https://www.genome.jp/entry/C00342" TargetMode="External"/><Relationship Id="rId1391" Type="http://schemas.openxmlformats.org/officeDocument/2006/relationships/hyperlink" Target="https://www.genome.jp/entry/2.4.2.8" TargetMode="External"/><Relationship Id="rId2235" Type="http://schemas.openxmlformats.org/officeDocument/2006/relationships/hyperlink" Target="https://enzyme.expasy.org/EC/3.1.26.5" TargetMode="External"/><Relationship Id="rId2442" Type="http://schemas.openxmlformats.org/officeDocument/2006/relationships/hyperlink" Target="https://www.genome.jp/entry/G00501" TargetMode="External"/><Relationship Id="rId207" Type="http://schemas.openxmlformats.org/officeDocument/2006/relationships/hyperlink" Target="https://www.genome.jp/entry/R02413" TargetMode="External"/><Relationship Id="rId414" Type="http://schemas.openxmlformats.org/officeDocument/2006/relationships/hyperlink" Target="https://www.genome.jp/entry/R02018" TargetMode="External"/><Relationship Id="rId621" Type="http://schemas.openxmlformats.org/officeDocument/2006/relationships/hyperlink" Target="https://www.genome.jp/entry/R00145" TargetMode="External"/><Relationship Id="rId1044" Type="http://schemas.openxmlformats.org/officeDocument/2006/relationships/hyperlink" Target="https://www.genome.jp/entry/C00681" TargetMode="External"/><Relationship Id="rId1251" Type="http://schemas.openxmlformats.org/officeDocument/2006/relationships/hyperlink" Target="https://www.genome.jp/entry/C00003" TargetMode="External"/><Relationship Id="rId2302" Type="http://schemas.openxmlformats.org/officeDocument/2006/relationships/hyperlink" Target="https://www.genome.jp/entry/C00020" TargetMode="External"/><Relationship Id="rId1111" Type="http://schemas.openxmlformats.org/officeDocument/2006/relationships/hyperlink" Target="https://www.genome.jp/entry/2.3.1.16" TargetMode="External"/><Relationship Id="rId3076" Type="http://schemas.openxmlformats.org/officeDocument/2006/relationships/hyperlink" Target="https://enzyme.expasy.org/EC/5.3.1.9" TargetMode="External"/><Relationship Id="rId3283" Type="http://schemas.openxmlformats.org/officeDocument/2006/relationships/hyperlink" Target="https://enzyme.expasy.org/EC/6.3.2.10" TargetMode="External"/><Relationship Id="rId1928" Type="http://schemas.openxmlformats.org/officeDocument/2006/relationships/hyperlink" Target="https://enzyme.expasy.org/EC/2.7.7.6" TargetMode="External"/><Relationship Id="rId2092" Type="http://schemas.openxmlformats.org/officeDocument/2006/relationships/hyperlink" Target="https://www.genome.jp/entry/C00013" TargetMode="External"/><Relationship Id="rId3143" Type="http://schemas.openxmlformats.org/officeDocument/2006/relationships/hyperlink" Target="https://enzyme.expasy.org/EC/6.1.1.10" TargetMode="External"/><Relationship Id="rId3350" Type="http://schemas.openxmlformats.org/officeDocument/2006/relationships/hyperlink" Target="https://www.genome.jp/entry/C00002" TargetMode="External"/><Relationship Id="rId271" Type="http://schemas.openxmlformats.org/officeDocument/2006/relationships/hyperlink" Target="https://www.genome.jp/entry/1.1.1.3" TargetMode="External"/><Relationship Id="rId3003" Type="http://schemas.openxmlformats.org/officeDocument/2006/relationships/hyperlink" Target="https://www.genome.jp/entry/C00052" TargetMode="External"/><Relationship Id="rId131" Type="http://schemas.openxmlformats.org/officeDocument/2006/relationships/hyperlink" Target="https://enzyme.expasy.org/EC/1.1.1.100" TargetMode="External"/><Relationship Id="rId3210" Type="http://schemas.openxmlformats.org/officeDocument/2006/relationships/hyperlink" Target="https://www.genome.jp/entry/C00002" TargetMode="External"/><Relationship Id="rId2769" Type="http://schemas.openxmlformats.org/officeDocument/2006/relationships/hyperlink" Target="https://www.genome.jp/entry/C00111" TargetMode="External"/><Relationship Id="rId2976" Type="http://schemas.openxmlformats.org/officeDocument/2006/relationships/hyperlink" Target="https://www.genome.jp/entry/C00283" TargetMode="External"/><Relationship Id="rId948" Type="http://schemas.openxmlformats.org/officeDocument/2006/relationships/hyperlink" Target="https://www.genome.jp/entry/R08781" TargetMode="External"/><Relationship Id="rId1578" Type="http://schemas.openxmlformats.org/officeDocument/2006/relationships/hyperlink" Target="https://www.genome.jp/entry/C00022" TargetMode="External"/><Relationship Id="rId1785" Type="http://schemas.openxmlformats.org/officeDocument/2006/relationships/hyperlink" Target="https://enzyme.expasy.org/EC/2.7.4.25" TargetMode="External"/><Relationship Id="rId1992" Type="http://schemas.openxmlformats.org/officeDocument/2006/relationships/hyperlink" Target="https://www.genome.jp/entry/C00002" TargetMode="External"/><Relationship Id="rId2629" Type="http://schemas.openxmlformats.org/officeDocument/2006/relationships/hyperlink" Target="https://www.genome.jp/entry/C00058" TargetMode="External"/><Relationship Id="rId2836" Type="http://schemas.openxmlformats.org/officeDocument/2006/relationships/hyperlink" Target="https://enzyme.expasy.org/EC/4.2.1.44" TargetMode="External"/><Relationship Id="rId77" Type="http://schemas.openxmlformats.org/officeDocument/2006/relationships/hyperlink" Target="https://www.genome.jp/entry/1.1.1.1" TargetMode="External"/><Relationship Id="rId808" Type="http://schemas.openxmlformats.org/officeDocument/2006/relationships/hyperlink" Target="https://enzyme.expasy.org/EC/2.1.1.14" TargetMode="External"/><Relationship Id="rId1438" Type="http://schemas.openxmlformats.org/officeDocument/2006/relationships/hyperlink" Target="https://enzyme.expasy.org/EC/2.5.1.3" TargetMode="External"/><Relationship Id="rId1645" Type="http://schemas.openxmlformats.org/officeDocument/2006/relationships/hyperlink" Target="https://www.genome.jp/entry/C00002" TargetMode="External"/><Relationship Id="rId1852" Type="http://schemas.openxmlformats.org/officeDocument/2006/relationships/hyperlink" Target="https://www.genome.jp/entry/C00008" TargetMode="External"/><Relationship Id="rId2903" Type="http://schemas.openxmlformats.org/officeDocument/2006/relationships/hyperlink" Target="https://www.genome.jp/entry/C00064" TargetMode="External"/><Relationship Id="rId1505" Type="http://schemas.openxmlformats.org/officeDocument/2006/relationships/hyperlink" Target="https://www.genome.jp/entry/2.6.1.9" TargetMode="External"/><Relationship Id="rId1712" Type="http://schemas.openxmlformats.org/officeDocument/2006/relationships/hyperlink" Target="https://enzyme.expasy.org/EC/2.7.1.49" TargetMode="External"/><Relationship Id="rId598" Type="http://schemas.openxmlformats.org/officeDocument/2006/relationships/hyperlink" Target="https://www.genome.jp/entry/C00295" TargetMode="External"/><Relationship Id="rId2279" Type="http://schemas.openxmlformats.org/officeDocument/2006/relationships/hyperlink" Target="https://enzyme.expasy.org/EC/3.1.3.5" TargetMode="External"/><Relationship Id="rId2486" Type="http://schemas.openxmlformats.org/officeDocument/2006/relationships/hyperlink" Target="https://enzyme.expasy.org/EC/3.2.1.23" TargetMode="External"/><Relationship Id="rId2693" Type="http://schemas.openxmlformats.org/officeDocument/2006/relationships/hyperlink" Target="https://enzyme.expasy.org/EC/3.6.4.12" TargetMode="External"/><Relationship Id="rId458" Type="http://schemas.openxmlformats.org/officeDocument/2006/relationships/hyperlink" Target="https://www.genome.jp/entry/1.17.4.1" TargetMode="External"/><Relationship Id="rId665" Type="http://schemas.openxmlformats.org/officeDocument/2006/relationships/hyperlink" Target="https://www.genome.jp/entry/1.5.1.20" TargetMode="External"/><Relationship Id="rId872" Type="http://schemas.openxmlformats.org/officeDocument/2006/relationships/hyperlink" Target="https://www.genome.jp/entry/C17551" TargetMode="External"/><Relationship Id="rId1088" Type="http://schemas.openxmlformats.org/officeDocument/2006/relationships/hyperlink" Target="https://www.genome.jp/entry/C02593" TargetMode="External"/><Relationship Id="rId1295" Type="http://schemas.openxmlformats.org/officeDocument/2006/relationships/hyperlink" Target="https://www.genome.jp/entry/R06050" TargetMode="External"/><Relationship Id="rId2139" Type="http://schemas.openxmlformats.org/officeDocument/2006/relationships/hyperlink" Target="https://www.genome.jp/entry/C00131" TargetMode="External"/><Relationship Id="rId2346" Type="http://schemas.openxmlformats.org/officeDocument/2006/relationships/hyperlink" Target="https://www.genome.jp/entry/C01235" TargetMode="External"/><Relationship Id="rId2553" Type="http://schemas.openxmlformats.org/officeDocument/2006/relationships/hyperlink" Target="https://www.genome.jp/entry/C00001" TargetMode="External"/><Relationship Id="rId2760" Type="http://schemas.openxmlformats.org/officeDocument/2006/relationships/hyperlink" Target="https://www.genome.jp/entry/C00111" TargetMode="External"/><Relationship Id="rId318" Type="http://schemas.openxmlformats.org/officeDocument/2006/relationships/hyperlink" Target="https://www.genome.jp/entry/C00704" TargetMode="External"/><Relationship Id="rId525" Type="http://schemas.openxmlformats.org/officeDocument/2006/relationships/hyperlink" Target="https://www.genome.jp/entry/C00458" TargetMode="External"/><Relationship Id="rId732" Type="http://schemas.openxmlformats.org/officeDocument/2006/relationships/hyperlink" Target="https://www.genome.jp/entry/C15972" TargetMode="External"/><Relationship Id="rId1155" Type="http://schemas.openxmlformats.org/officeDocument/2006/relationships/hyperlink" Target="https://enzyme.expasy.org/EC/2.3.1.16" TargetMode="External"/><Relationship Id="rId1362" Type="http://schemas.openxmlformats.org/officeDocument/2006/relationships/hyperlink" Target="https://enzyme.expasy.org/EC/2.4.2.2" TargetMode="External"/><Relationship Id="rId2206" Type="http://schemas.openxmlformats.org/officeDocument/2006/relationships/hyperlink" Target="https://www.genome.jp/entry/C00020" TargetMode="External"/><Relationship Id="rId2413" Type="http://schemas.openxmlformats.org/officeDocument/2006/relationships/hyperlink" Target="https://www.genome.jp/entry/C00124" TargetMode="External"/><Relationship Id="rId2620" Type="http://schemas.openxmlformats.org/officeDocument/2006/relationships/hyperlink" Target="https://www.genome.jp/entry/C00180" TargetMode="External"/><Relationship Id="rId1015" Type="http://schemas.openxmlformats.org/officeDocument/2006/relationships/hyperlink" Target="https://enzyme.expasy.org/EC/2.2.1.6" TargetMode="External"/><Relationship Id="rId1222" Type="http://schemas.openxmlformats.org/officeDocument/2006/relationships/hyperlink" Target="https://www.genome.jp/entry/C00024" TargetMode="External"/><Relationship Id="rId3187" Type="http://schemas.openxmlformats.org/officeDocument/2006/relationships/hyperlink" Target="https://www.genome.jp/entry/C00020" TargetMode="External"/><Relationship Id="rId3394" Type="http://schemas.openxmlformats.org/officeDocument/2006/relationships/hyperlink" Target="https://enzyme.expasy.org/EC/6.3.5.5" TargetMode="External"/><Relationship Id="rId3047" Type="http://schemas.openxmlformats.org/officeDocument/2006/relationships/hyperlink" Target="https://www.genome.jp/entry/C06019" TargetMode="External"/><Relationship Id="rId175" Type="http://schemas.openxmlformats.org/officeDocument/2006/relationships/hyperlink" Target="https://enzyme.expasy.org/EC/1.1.1.18" TargetMode="External"/><Relationship Id="rId3254" Type="http://schemas.openxmlformats.org/officeDocument/2006/relationships/hyperlink" Target="https://www.genome.jp/entry/C00002" TargetMode="External"/><Relationship Id="rId382" Type="http://schemas.openxmlformats.org/officeDocument/2006/relationships/hyperlink" Target="https://www.genome.jp/entry/1.17.4.1" TargetMode="External"/><Relationship Id="rId2063" Type="http://schemas.openxmlformats.org/officeDocument/2006/relationships/hyperlink" Target="https://enzyme.expasy.org/EC/2.7.7.7" TargetMode="External"/><Relationship Id="rId2270" Type="http://schemas.openxmlformats.org/officeDocument/2006/relationships/hyperlink" Target="https://enzyme.expasy.org/EC/3.1.3.5" TargetMode="External"/><Relationship Id="rId3114" Type="http://schemas.openxmlformats.org/officeDocument/2006/relationships/hyperlink" Target="https://www.genome.jp/entry/C00672" TargetMode="External"/><Relationship Id="rId3321" Type="http://schemas.openxmlformats.org/officeDocument/2006/relationships/hyperlink" Target="https://www.genome.jp/entry/C00020" TargetMode="External"/><Relationship Id="rId242" Type="http://schemas.openxmlformats.org/officeDocument/2006/relationships/hyperlink" Target="https://www.genome.jp/entry/R00703" TargetMode="External"/><Relationship Id="rId2130" Type="http://schemas.openxmlformats.org/officeDocument/2006/relationships/hyperlink" Target="https://www.genome.jp/entry/C00459" TargetMode="External"/><Relationship Id="rId102" Type="http://schemas.openxmlformats.org/officeDocument/2006/relationships/hyperlink" Target="https://www.genome.jp/entry/1.1.1.100" TargetMode="External"/><Relationship Id="rId1689" Type="http://schemas.openxmlformats.org/officeDocument/2006/relationships/hyperlink" Target="https://www.genome.jp/entry/C00286" TargetMode="External"/><Relationship Id="rId1896" Type="http://schemas.openxmlformats.org/officeDocument/2006/relationships/hyperlink" Target="https://www.genome.jp/entry/C00002" TargetMode="External"/><Relationship Id="rId2947" Type="http://schemas.openxmlformats.org/officeDocument/2006/relationships/hyperlink" Target="https://enzyme.expasy.org/EC/4.4.1.13" TargetMode="External"/><Relationship Id="rId919" Type="http://schemas.openxmlformats.org/officeDocument/2006/relationships/hyperlink" Target="https://www.genome.jp/entry/R02101" TargetMode="External"/><Relationship Id="rId1549" Type="http://schemas.openxmlformats.org/officeDocument/2006/relationships/hyperlink" Target="https://www.genome.jp/entry/C00008" TargetMode="External"/><Relationship Id="rId1756" Type="http://schemas.openxmlformats.org/officeDocument/2006/relationships/hyperlink" Target="https://www.genome.jp/entry/C00002" TargetMode="External"/><Relationship Id="rId1963" Type="http://schemas.openxmlformats.org/officeDocument/2006/relationships/hyperlink" Target="https://www.genome.jp/entry/C00013" TargetMode="External"/><Relationship Id="rId2807" Type="http://schemas.openxmlformats.org/officeDocument/2006/relationships/hyperlink" Target="https://www.genome.jp/entry/C00256" TargetMode="External"/><Relationship Id="rId48" Type="http://schemas.openxmlformats.org/officeDocument/2006/relationships/hyperlink" Target="https://www.genome.jp/entry/R06927" TargetMode="External"/><Relationship Id="rId1409" Type="http://schemas.openxmlformats.org/officeDocument/2006/relationships/hyperlink" Target="https://www.genome.jp/entry/R10220" TargetMode="External"/><Relationship Id="rId1616" Type="http://schemas.openxmlformats.org/officeDocument/2006/relationships/hyperlink" Target="https://www.genome.jp/entry/C04261" TargetMode="External"/><Relationship Id="rId1823" Type="http://schemas.openxmlformats.org/officeDocument/2006/relationships/hyperlink" Target="https://www.genome.jp/entry/C00002" TargetMode="External"/><Relationship Id="rId2597" Type="http://schemas.openxmlformats.org/officeDocument/2006/relationships/hyperlink" Target="https://enzyme.expasy.org/EC/3.5.1.28" TargetMode="External"/><Relationship Id="rId569" Type="http://schemas.openxmlformats.org/officeDocument/2006/relationships/hyperlink" Target="https://enzyme.expasy.org/EC/1.20.4.4" TargetMode="External"/><Relationship Id="rId776" Type="http://schemas.openxmlformats.org/officeDocument/2006/relationships/hyperlink" Target="https://www.genome.jp/entry/C00005" TargetMode="External"/><Relationship Id="rId983" Type="http://schemas.openxmlformats.org/officeDocument/2006/relationships/hyperlink" Target="https://www.genome.jp/entry/R03940" TargetMode="External"/><Relationship Id="rId1199" Type="http://schemas.openxmlformats.org/officeDocument/2006/relationships/hyperlink" Target="https://enzyme.expasy.org/EC/2.3.1.179" TargetMode="External"/><Relationship Id="rId2457" Type="http://schemas.openxmlformats.org/officeDocument/2006/relationships/hyperlink" Target="https://www.genome.jp/entry/C00243" TargetMode="External"/><Relationship Id="rId2664" Type="http://schemas.openxmlformats.org/officeDocument/2006/relationships/hyperlink" Target="https://enzyme.expasy.org/EC/3.5.99.2" TargetMode="External"/><Relationship Id="rId429" Type="http://schemas.openxmlformats.org/officeDocument/2006/relationships/hyperlink" Target="https://www.genome.jp/entry/R08363" TargetMode="External"/><Relationship Id="rId636" Type="http://schemas.openxmlformats.org/officeDocument/2006/relationships/hyperlink" Target="https://www.genome.jp/entry/C00027" TargetMode="External"/><Relationship Id="rId1059" Type="http://schemas.openxmlformats.org/officeDocument/2006/relationships/hyperlink" Target="https://www.genome.jp/entry/C00010" TargetMode="External"/><Relationship Id="rId1266" Type="http://schemas.openxmlformats.org/officeDocument/2006/relationships/hyperlink" Target="https://www.genome.jp/entry/C00109" TargetMode="External"/><Relationship Id="rId1473" Type="http://schemas.openxmlformats.org/officeDocument/2006/relationships/hyperlink" Target="https://www.genome.jp/entry/C05847" TargetMode="External"/><Relationship Id="rId2317" Type="http://schemas.openxmlformats.org/officeDocument/2006/relationships/hyperlink" Target="https://www.genome.jp/entry/G11121" TargetMode="External"/><Relationship Id="rId2871" Type="http://schemas.openxmlformats.org/officeDocument/2006/relationships/hyperlink" Target="https://www.genome.jp/entry/C00022" TargetMode="External"/><Relationship Id="rId843" Type="http://schemas.openxmlformats.org/officeDocument/2006/relationships/hyperlink" Target="https://www.genome.jp/entry/C00021" TargetMode="External"/><Relationship Id="rId1126" Type="http://schemas.openxmlformats.org/officeDocument/2006/relationships/hyperlink" Target="https://www.genome.jp/entry/2.3.1.16" TargetMode="External"/><Relationship Id="rId1680" Type="http://schemas.openxmlformats.org/officeDocument/2006/relationships/hyperlink" Target="https://www.genome.jp/entry/C00075" TargetMode="External"/><Relationship Id="rId2524" Type="http://schemas.openxmlformats.org/officeDocument/2006/relationships/hyperlink" Target="https://www.genome.jp/entry/C02336" TargetMode="External"/><Relationship Id="rId2731" Type="http://schemas.openxmlformats.org/officeDocument/2006/relationships/hyperlink" Target="https://enzyme.expasy.org/EC/4.1.1.48" TargetMode="External"/><Relationship Id="rId703" Type="http://schemas.openxmlformats.org/officeDocument/2006/relationships/hyperlink" Target="https://enzyme.expasy.org/EC/1.5.1.3" TargetMode="External"/><Relationship Id="rId910" Type="http://schemas.openxmlformats.org/officeDocument/2006/relationships/hyperlink" Target="https://www.genome.jp/entry/R10806" TargetMode="External"/><Relationship Id="rId1333" Type="http://schemas.openxmlformats.org/officeDocument/2006/relationships/hyperlink" Target="https://www.genome.jp/entry/2.4.1.227" TargetMode="External"/><Relationship Id="rId1540" Type="http://schemas.openxmlformats.org/officeDocument/2006/relationships/hyperlink" Target="https://www.genome.jp/entry/R00769" TargetMode="External"/><Relationship Id="rId1400" Type="http://schemas.openxmlformats.org/officeDocument/2006/relationships/hyperlink" Target="https://www.genome.jp/entry/C00105" TargetMode="External"/><Relationship Id="rId3298" Type="http://schemas.openxmlformats.org/officeDocument/2006/relationships/hyperlink" Target="https://enzyme.expasy.org/EC/6.3.2.8" TargetMode="External"/><Relationship Id="rId3158" Type="http://schemas.openxmlformats.org/officeDocument/2006/relationships/hyperlink" Target="https://enzyme.expasy.org/EC/6.1.1.13" TargetMode="External"/><Relationship Id="rId3365" Type="http://schemas.openxmlformats.org/officeDocument/2006/relationships/hyperlink" Target="https://www.genome.jp/entry/C00002" TargetMode="External"/><Relationship Id="rId286" Type="http://schemas.openxmlformats.org/officeDocument/2006/relationships/hyperlink" Target="https://www.genome.jp/entry/C00345" TargetMode="External"/><Relationship Id="rId493" Type="http://schemas.openxmlformats.org/officeDocument/2006/relationships/hyperlink" Target="https://www.genome.jp/entry/1.17.4.2" TargetMode="External"/><Relationship Id="rId2174" Type="http://schemas.openxmlformats.org/officeDocument/2006/relationships/hyperlink" Target="https://enzyme.expasy.org/EC/2.7.7.72" TargetMode="External"/><Relationship Id="rId2381" Type="http://schemas.openxmlformats.org/officeDocument/2006/relationships/hyperlink" Target="https://enzyme.expasy.org/EC/3.2.1.22" TargetMode="External"/><Relationship Id="rId3018" Type="http://schemas.openxmlformats.org/officeDocument/2006/relationships/hyperlink" Target="https://www.genome.jp/entry/C03633" TargetMode="External"/><Relationship Id="rId3225" Type="http://schemas.openxmlformats.org/officeDocument/2006/relationships/hyperlink" Target="https://www.genome.jp/entry/C00020" TargetMode="External"/><Relationship Id="rId3432" Type="http://schemas.openxmlformats.org/officeDocument/2006/relationships/hyperlink" Target="https://www.genome.jp/entry/C00002" TargetMode="External"/><Relationship Id="rId146" Type="http://schemas.openxmlformats.org/officeDocument/2006/relationships/hyperlink" Target="https://www.genome.jp/entry/1.1.1.100" TargetMode="External"/><Relationship Id="rId353" Type="http://schemas.openxmlformats.org/officeDocument/2006/relationships/hyperlink" Target="https://www.genome.jp/entry/C00705" TargetMode="External"/><Relationship Id="rId560" Type="http://schemas.openxmlformats.org/officeDocument/2006/relationships/hyperlink" Target="https://www.genome.jp/entry/1.2.3.3" TargetMode="External"/><Relationship Id="rId1190" Type="http://schemas.openxmlformats.org/officeDocument/2006/relationships/hyperlink" Target="https://www.genome.jp/entry/2.3.1.179" TargetMode="External"/><Relationship Id="rId2034" Type="http://schemas.openxmlformats.org/officeDocument/2006/relationships/hyperlink" Target="https://www.genome.jp/entry/C00286" TargetMode="External"/><Relationship Id="rId2241" Type="http://schemas.openxmlformats.org/officeDocument/2006/relationships/hyperlink" Target="https://www.genome.jp/entry/C05378" TargetMode="External"/><Relationship Id="rId213" Type="http://schemas.openxmlformats.org/officeDocument/2006/relationships/hyperlink" Target="https://www.genome.jp/entry/C02637" TargetMode="External"/><Relationship Id="rId420" Type="http://schemas.openxmlformats.org/officeDocument/2006/relationships/hyperlink" Target="https://www.genome.jp/entry/C00361" TargetMode="External"/><Relationship Id="rId1050" Type="http://schemas.openxmlformats.org/officeDocument/2006/relationships/hyperlink" Target="https://enzyme.expasy.org/EC/2.3.1.16" TargetMode="External"/><Relationship Id="rId2101" Type="http://schemas.openxmlformats.org/officeDocument/2006/relationships/hyperlink" Target="https://www.genome.jp/entry/C00013" TargetMode="External"/><Relationship Id="rId1867" Type="http://schemas.openxmlformats.org/officeDocument/2006/relationships/hyperlink" Target="https://www.genome.jp/entry/C00020" TargetMode="External"/><Relationship Id="rId2918" Type="http://schemas.openxmlformats.org/officeDocument/2006/relationships/hyperlink" Target="https://www.genome.jp/entry/C04916" TargetMode="External"/><Relationship Id="rId1727" Type="http://schemas.openxmlformats.org/officeDocument/2006/relationships/hyperlink" Target="https://enzyme.expasy.org/EC/2.7.1.56" TargetMode="External"/><Relationship Id="rId1934" Type="http://schemas.openxmlformats.org/officeDocument/2006/relationships/hyperlink" Target="https://enzyme.expasy.org/EC/2.7.7.6" TargetMode="External"/><Relationship Id="rId3082" Type="http://schemas.openxmlformats.org/officeDocument/2006/relationships/hyperlink" Target="https://enzyme.expasy.org/EC/5.3.1.9" TargetMode="External"/><Relationship Id="rId19" Type="http://schemas.openxmlformats.org/officeDocument/2006/relationships/hyperlink" Target="https://www.genome.jp/entry/C00756" TargetMode="External"/><Relationship Id="rId3" Type="http://schemas.openxmlformats.org/officeDocument/2006/relationships/hyperlink" Target="https://www.genome.jp/entry/R00623" TargetMode="External"/><Relationship Id="rId887" Type="http://schemas.openxmlformats.org/officeDocument/2006/relationships/hyperlink" Target="https://www.genome.jp/entry/C05811" TargetMode="External"/><Relationship Id="rId2568" Type="http://schemas.openxmlformats.org/officeDocument/2006/relationships/hyperlink" Target="https://enzyme.expasy.org/EC/3.4.11.4" TargetMode="External"/><Relationship Id="rId2775" Type="http://schemas.openxmlformats.org/officeDocument/2006/relationships/hyperlink" Target="https://www.genome.jp/entry/C00111" TargetMode="External"/><Relationship Id="rId2982" Type="http://schemas.openxmlformats.org/officeDocument/2006/relationships/hyperlink" Target="https://www.genome.jp/entry/C00022" TargetMode="External"/><Relationship Id="rId747" Type="http://schemas.openxmlformats.org/officeDocument/2006/relationships/hyperlink" Target="https://www.genome.jp/entry/C02051" TargetMode="External"/><Relationship Id="rId954" Type="http://schemas.openxmlformats.org/officeDocument/2006/relationships/hyperlink" Target="https://www.genome.jp/entry/C00019" TargetMode="External"/><Relationship Id="rId1377" Type="http://schemas.openxmlformats.org/officeDocument/2006/relationships/hyperlink" Target="https://www.genome.jp/entry/C20446" TargetMode="External"/><Relationship Id="rId1584" Type="http://schemas.openxmlformats.org/officeDocument/2006/relationships/hyperlink" Target="https://enzyme.expasy.org/EC/2.7.1.121" TargetMode="External"/><Relationship Id="rId1791" Type="http://schemas.openxmlformats.org/officeDocument/2006/relationships/hyperlink" Target="https://www.genome.jp/entry/C00008" TargetMode="External"/><Relationship Id="rId2428" Type="http://schemas.openxmlformats.org/officeDocument/2006/relationships/hyperlink" Target="https://www.genome.jp/entry/C00124" TargetMode="External"/><Relationship Id="rId2635" Type="http://schemas.openxmlformats.org/officeDocument/2006/relationships/hyperlink" Target="https://www.genome.jp/entry/C00438" TargetMode="External"/><Relationship Id="rId2842" Type="http://schemas.openxmlformats.org/officeDocument/2006/relationships/hyperlink" Target="https://www.genome.jp/entry/C01271" TargetMode="External"/><Relationship Id="rId83" Type="http://schemas.openxmlformats.org/officeDocument/2006/relationships/hyperlink" Target="https://www.genome.jp/entry/R08310" TargetMode="External"/><Relationship Id="rId607" Type="http://schemas.openxmlformats.org/officeDocument/2006/relationships/hyperlink" Target="https://www.genome.jp/entry/C00025" TargetMode="External"/><Relationship Id="rId814" Type="http://schemas.openxmlformats.org/officeDocument/2006/relationships/hyperlink" Target="https://www.genome.jp/entry/2.1.1.14" TargetMode="External"/><Relationship Id="rId1237" Type="http://schemas.openxmlformats.org/officeDocument/2006/relationships/hyperlink" Target="https://www.genome.jp/entry/C00024" TargetMode="External"/><Relationship Id="rId1444" Type="http://schemas.openxmlformats.org/officeDocument/2006/relationships/hyperlink" Target="https://www.genome.jp/entry/R00897" TargetMode="External"/><Relationship Id="rId1651" Type="http://schemas.openxmlformats.org/officeDocument/2006/relationships/hyperlink" Target="https://www.genome.jp/entry/C00002" TargetMode="External"/><Relationship Id="rId2702" Type="http://schemas.openxmlformats.org/officeDocument/2006/relationships/hyperlink" Target="https://www.genome.jp/entry/C00149" TargetMode="External"/><Relationship Id="rId1304" Type="http://schemas.openxmlformats.org/officeDocument/2006/relationships/hyperlink" Target="https://www.genome.jp/entry/2.4.1.1" TargetMode="External"/><Relationship Id="rId1511" Type="http://schemas.openxmlformats.org/officeDocument/2006/relationships/hyperlink" Target="https://enzyme.expasy.org/EC/2.6.1.9" TargetMode="External"/><Relationship Id="rId3269" Type="http://schemas.openxmlformats.org/officeDocument/2006/relationships/hyperlink" Target="https://www.genome.jp/entry/C00002" TargetMode="External"/><Relationship Id="rId10" Type="http://schemas.openxmlformats.org/officeDocument/2006/relationships/hyperlink" Target="https://www.genome.jp/entry/C00084" TargetMode="External"/><Relationship Id="rId397" Type="http://schemas.openxmlformats.org/officeDocument/2006/relationships/hyperlink" Target="https://www.genome.jp/entry/C03723" TargetMode="External"/><Relationship Id="rId2078" Type="http://schemas.openxmlformats.org/officeDocument/2006/relationships/hyperlink" Target="https://enzyme.expasy.org/EC/2.7.7.7" TargetMode="External"/><Relationship Id="rId2285" Type="http://schemas.openxmlformats.org/officeDocument/2006/relationships/hyperlink" Target="https://enzyme.expasy.org/EC/3.1.3.5" TargetMode="External"/><Relationship Id="rId2492" Type="http://schemas.openxmlformats.org/officeDocument/2006/relationships/hyperlink" Target="https://enzyme.expasy.org/EC/3.2.1.23" TargetMode="External"/><Relationship Id="rId3129" Type="http://schemas.openxmlformats.org/officeDocument/2006/relationships/hyperlink" Target="https://enzyme.expasy.org/EC/5.4.99.9" TargetMode="External"/><Relationship Id="rId3336" Type="http://schemas.openxmlformats.org/officeDocument/2006/relationships/hyperlink" Target="https://www.genome.jp/entry/C00008" TargetMode="External"/><Relationship Id="rId257" Type="http://schemas.openxmlformats.org/officeDocument/2006/relationships/hyperlink" Target="https://www.genome.jp/entry/R00703" TargetMode="External"/><Relationship Id="rId464" Type="http://schemas.openxmlformats.org/officeDocument/2006/relationships/hyperlink" Target="https://www.genome.jp/entry/R02024" TargetMode="External"/><Relationship Id="rId1094" Type="http://schemas.openxmlformats.org/officeDocument/2006/relationships/hyperlink" Target="https://www.genome.jp/entry/C00010" TargetMode="External"/><Relationship Id="rId2145" Type="http://schemas.openxmlformats.org/officeDocument/2006/relationships/hyperlink" Target="https://www.genome.jp/entry/C00458" TargetMode="External"/><Relationship Id="rId117" Type="http://schemas.openxmlformats.org/officeDocument/2006/relationships/hyperlink" Target="https://www.genome.jp/entry/1.1.1.100" TargetMode="External"/><Relationship Id="rId671" Type="http://schemas.openxmlformats.org/officeDocument/2006/relationships/hyperlink" Target="https://www.genome.jp/entry/C00440" TargetMode="External"/><Relationship Id="rId2352" Type="http://schemas.openxmlformats.org/officeDocument/2006/relationships/hyperlink" Target="https://www.genome.jp/entry/C05399" TargetMode="External"/><Relationship Id="rId3403" Type="http://schemas.openxmlformats.org/officeDocument/2006/relationships/hyperlink" Target="https://enzyme.expasy.org/EC/6.4.1.2" TargetMode="External"/><Relationship Id="rId324" Type="http://schemas.openxmlformats.org/officeDocument/2006/relationships/hyperlink" Target="https://www.genome.jp/entry/C20258" TargetMode="External"/><Relationship Id="rId531" Type="http://schemas.openxmlformats.org/officeDocument/2006/relationships/hyperlink" Target="https://www.genome.jp/entry/C00075" TargetMode="External"/><Relationship Id="rId1161" Type="http://schemas.openxmlformats.org/officeDocument/2006/relationships/hyperlink" Target="https://www.genome.jp/entry/2.3.1.16" TargetMode="External"/><Relationship Id="rId2005" Type="http://schemas.openxmlformats.org/officeDocument/2006/relationships/hyperlink" Target="https://www.genome.jp/entry/C20864" TargetMode="External"/><Relationship Id="rId2212" Type="http://schemas.openxmlformats.org/officeDocument/2006/relationships/hyperlink" Target="https://www.genome.jp/entry/C00065" TargetMode="External"/><Relationship Id="rId1021" Type="http://schemas.openxmlformats.org/officeDocument/2006/relationships/hyperlink" Target="https://www.genome.jp/entry/2.2.1.6" TargetMode="External"/><Relationship Id="rId1978" Type="http://schemas.openxmlformats.org/officeDocument/2006/relationships/hyperlink" Target="https://www.genome.jp/entry/C00013" TargetMode="External"/><Relationship Id="rId3193" Type="http://schemas.openxmlformats.org/officeDocument/2006/relationships/hyperlink" Target="https://www.genome.jp/entry/C00020" TargetMode="External"/><Relationship Id="rId1838" Type="http://schemas.openxmlformats.org/officeDocument/2006/relationships/hyperlink" Target="https://www.genome.jp/entry/C22442" TargetMode="External"/><Relationship Id="rId3053" Type="http://schemas.openxmlformats.org/officeDocument/2006/relationships/hyperlink" Target="https://www.genome.jp/entry/C16737" TargetMode="External"/><Relationship Id="rId3260" Type="http://schemas.openxmlformats.org/officeDocument/2006/relationships/hyperlink" Target="https://www.genome.jp/entry/C00002" TargetMode="External"/><Relationship Id="rId181" Type="http://schemas.openxmlformats.org/officeDocument/2006/relationships/hyperlink" Target="https://www.genome.jp/entry/1.1.1.205" TargetMode="External"/><Relationship Id="rId1905" Type="http://schemas.openxmlformats.org/officeDocument/2006/relationships/hyperlink" Target="https://www.genome.jp/entry/C00044" TargetMode="External"/><Relationship Id="rId3120" Type="http://schemas.openxmlformats.org/officeDocument/2006/relationships/hyperlink" Target="https://www.genome.jp/entry/C15667" TargetMode="External"/><Relationship Id="rId998" Type="http://schemas.openxmlformats.org/officeDocument/2006/relationships/hyperlink" Target="https://www.genome.jp/entry/C00900" TargetMode="External"/><Relationship Id="rId2679" Type="http://schemas.openxmlformats.org/officeDocument/2006/relationships/hyperlink" Target="https://enzyme.expasy.org/EC/3.6.1.11" TargetMode="External"/><Relationship Id="rId2886" Type="http://schemas.openxmlformats.org/officeDocument/2006/relationships/hyperlink" Target="https://www.genome.jp/entry/C00022" TargetMode="External"/><Relationship Id="rId858" Type="http://schemas.openxmlformats.org/officeDocument/2006/relationships/hyperlink" Target="https://www.genome.jp/entry/2.1.1.198" TargetMode="External"/><Relationship Id="rId1488" Type="http://schemas.openxmlformats.org/officeDocument/2006/relationships/hyperlink" Target="https://www.genome.jp/entry/2.6.1.42" TargetMode="External"/><Relationship Id="rId1695" Type="http://schemas.openxmlformats.org/officeDocument/2006/relationships/hyperlink" Target="https://www.genome.jp/entry/C00002" TargetMode="External"/><Relationship Id="rId2539" Type="http://schemas.openxmlformats.org/officeDocument/2006/relationships/hyperlink" Target="https://www.genome.jp/entry/C00031" TargetMode="External"/><Relationship Id="rId2746" Type="http://schemas.openxmlformats.org/officeDocument/2006/relationships/hyperlink" Target="https://enzyme.expasy.org/EC/4.1.2.13" TargetMode="External"/><Relationship Id="rId2953" Type="http://schemas.openxmlformats.org/officeDocument/2006/relationships/hyperlink" Target="https://enzyme.expasy.org/EC/4.4.1.13" TargetMode="External"/><Relationship Id="rId718" Type="http://schemas.openxmlformats.org/officeDocument/2006/relationships/hyperlink" Target="https://enzyme.expasy.org/EC/1.8.1.4" TargetMode="External"/><Relationship Id="rId925" Type="http://schemas.openxmlformats.org/officeDocument/2006/relationships/hyperlink" Target="https://www.genome.jp/entry/C04250" TargetMode="External"/><Relationship Id="rId1348" Type="http://schemas.openxmlformats.org/officeDocument/2006/relationships/hyperlink" Target="https://enzyme.expasy.org/EC/2.4.2.2" TargetMode="External"/><Relationship Id="rId1555" Type="http://schemas.openxmlformats.org/officeDocument/2006/relationships/hyperlink" Target="https://www.genome.jp/entry/2.7.1.11" TargetMode="External"/><Relationship Id="rId1762" Type="http://schemas.openxmlformats.org/officeDocument/2006/relationships/hyperlink" Target="https://www.genome.jp/entry/C00002" TargetMode="External"/><Relationship Id="rId2606" Type="http://schemas.openxmlformats.org/officeDocument/2006/relationships/hyperlink" Target="https://enzyme.expasy.org/EC/3.5.1.4" TargetMode="External"/><Relationship Id="rId1208" Type="http://schemas.openxmlformats.org/officeDocument/2006/relationships/hyperlink" Target="https://www.genome.jp/entry/C16219" TargetMode="External"/><Relationship Id="rId1415" Type="http://schemas.openxmlformats.org/officeDocument/2006/relationships/hyperlink" Target="https://www.genome.jp/entry/2.5.1.17" TargetMode="External"/><Relationship Id="rId2813" Type="http://schemas.openxmlformats.org/officeDocument/2006/relationships/hyperlink" Target="https://www.genome.jp/entry/C04666" TargetMode="External"/><Relationship Id="rId54" Type="http://schemas.openxmlformats.org/officeDocument/2006/relationships/hyperlink" Target="https://www.genome.jp/entry/C07645" TargetMode="External"/><Relationship Id="rId1622" Type="http://schemas.openxmlformats.org/officeDocument/2006/relationships/hyperlink" Target="https://www.genome.jp/entry/C00615" TargetMode="External"/><Relationship Id="rId2189" Type="http://schemas.openxmlformats.org/officeDocument/2006/relationships/hyperlink" Target="https://enzyme.expasy.org/EC/2.7.7.9" TargetMode="External"/><Relationship Id="rId2396" Type="http://schemas.openxmlformats.org/officeDocument/2006/relationships/hyperlink" Target="https://enzyme.expasy.org/EC/3.2.1.22" TargetMode="External"/><Relationship Id="rId3447" Type="http://schemas.openxmlformats.org/officeDocument/2006/relationships/hyperlink" Target="https://www.genome.jp/entry/" TargetMode="External"/><Relationship Id="rId368" Type="http://schemas.openxmlformats.org/officeDocument/2006/relationships/hyperlink" Target="https://www.genome.jp/entry/C21750" TargetMode="External"/><Relationship Id="rId575" Type="http://schemas.openxmlformats.org/officeDocument/2006/relationships/hyperlink" Target="https://www.genome.jp/entry/1.3.1.14" TargetMode="External"/><Relationship Id="rId782" Type="http://schemas.openxmlformats.org/officeDocument/2006/relationships/hyperlink" Target="https://www.genome.jp/entry/C03895" TargetMode="External"/><Relationship Id="rId2049" Type="http://schemas.openxmlformats.org/officeDocument/2006/relationships/hyperlink" Target="https://www.genome.jp/entry/C00131" TargetMode="External"/><Relationship Id="rId2256" Type="http://schemas.openxmlformats.org/officeDocument/2006/relationships/hyperlink" Target="https://www.genome.jp/entry/C00055" TargetMode="External"/><Relationship Id="rId2463" Type="http://schemas.openxmlformats.org/officeDocument/2006/relationships/hyperlink" Target="https://www.genome.jp/entry/C04911" TargetMode="External"/><Relationship Id="rId2670" Type="http://schemas.openxmlformats.org/officeDocument/2006/relationships/hyperlink" Target="https://enzyme.expasy.org/EC/3.5.99.6" TargetMode="External"/><Relationship Id="rId3307" Type="http://schemas.openxmlformats.org/officeDocument/2006/relationships/hyperlink" Target="https://enzyme.expasy.org/EC/6.3.3.2" TargetMode="External"/><Relationship Id="rId228" Type="http://schemas.openxmlformats.org/officeDocument/2006/relationships/hyperlink" Target="https://www.genome.jp/entry/C06055" TargetMode="External"/><Relationship Id="rId435" Type="http://schemas.openxmlformats.org/officeDocument/2006/relationships/hyperlink" Target="https://www.genome.jp/entry/C04232" TargetMode="External"/><Relationship Id="rId642" Type="http://schemas.openxmlformats.org/officeDocument/2006/relationships/hyperlink" Target="https://www.genome.jp/entry/C00314" TargetMode="External"/><Relationship Id="rId1065" Type="http://schemas.openxmlformats.org/officeDocument/2006/relationships/hyperlink" Target="https://enzyme.expasy.org/EC/2.3.1.16" TargetMode="External"/><Relationship Id="rId1272" Type="http://schemas.openxmlformats.org/officeDocument/2006/relationships/hyperlink" Target="https://www.genome.jp/entry/C00010" TargetMode="External"/><Relationship Id="rId2116" Type="http://schemas.openxmlformats.org/officeDocument/2006/relationships/hyperlink" Target="https://www.genome.jp/entry/C21031" TargetMode="External"/><Relationship Id="rId2323" Type="http://schemas.openxmlformats.org/officeDocument/2006/relationships/hyperlink" Target="https://www.genome.jp/entry/C00095" TargetMode="External"/><Relationship Id="rId2530" Type="http://schemas.openxmlformats.org/officeDocument/2006/relationships/hyperlink" Target="https://www.genome.jp/entry/C00031" TargetMode="External"/><Relationship Id="rId502" Type="http://schemas.openxmlformats.org/officeDocument/2006/relationships/hyperlink" Target="https://enzyme.expasy.org/EC/1.17.4.2" TargetMode="External"/><Relationship Id="rId1132" Type="http://schemas.openxmlformats.org/officeDocument/2006/relationships/hyperlink" Target="https://www.genome.jp/entry/R07953" TargetMode="External"/><Relationship Id="rId3097" Type="http://schemas.openxmlformats.org/officeDocument/2006/relationships/hyperlink" Target="https://www.genome.jp/entry/C00352" TargetMode="External"/><Relationship Id="rId1949" Type="http://schemas.openxmlformats.org/officeDocument/2006/relationships/hyperlink" Target="https://enzyme.expasy.org/EC/2.7.7.6" TargetMode="External"/><Relationship Id="rId3164" Type="http://schemas.openxmlformats.org/officeDocument/2006/relationships/hyperlink" Target="https://enzyme.expasy.org/EC/6.1.1.13" TargetMode="External"/><Relationship Id="rId292" Type="http://schemas.openxmlformats.org/officeDocument/2006/relationships/hyperlink" Target="https://enzyme.expasy.org/EC/1.1.1.49" TargetMode="External"/><Relationship Id="rId1809" Type="http://schemas.openxmlformats.org/officeDocument/2006/relationships/hyperlink" Target="https://www.genome.jp/entry/C00008" TargetMode="External"/><Relationship Id="rId3371" Type="http://schemas.openxmlformats.org/officeDocument/2006/relationships/hyperlink" Target="https://www.genome.jp/entry/C00002" TargetMode="External"/><Relationship Id="rId2180" Type="http://schemas.openxmlformats.org/officeDocument/2006/relationships/hyperlink" Target="https://enzyme.expasy.org/EC/2.7.7.72" TargetMode="External"/><Relationship Id="rId3024" Type="http://schemas.openxmlformats.org/officeDocument/2006/relationships/hyperlink" Target="https://www.genome.jp/entry/C03633" TargetMode="External"/><Relationship Id="rId3231" Type="http://schemas.openxmlformats.org/officeDocument/2006/relationships/hyperlink" Target="https://www.genome.jp/entry/C00020" TargetMode="External"/><Relationship Id="rId152" Type="http://schemas.openxmlformats.org/officeDocument/2006/relationships/hyperlink" Target="https://www.genome.jp/entry/R02472" TargetMode="External"/><Relationship Id="rId2040" Type="http://schemas.openxmlformats.org/officeDocument/2006/relationships/hyperlink" Target="https://www.genome.jp/entry/C00459" TargetMode="External"/><Relationship Id="rId2997" Type="http://schemas.openxmlformats.org/officeDocument/2006/relationships/hyperlink" Target="https://www.genome.jp/entry/C00231" TargetMode="External"/><Relationship Id="rId969" Type="http://schemas.openxmlformats.org/officeDocument/2006/relationships/hyperlink" Target="https://www.genome.jp/entry/C00234" TargetMode="External"/><Relationship Id="rId1599" Type="http://schemas.openxmlformats.org/officeDocument/2006/relationships/hyperlink" Target="https://www.genome.jp/entry/2.7.1.15" TargetMode="External"/><Relationship Id="rId1459" Type="http://schemas.openxmlformats.org/officeDocument/2006/relationships/hyperlink" Target="https://www.genome.jp/entry/R00177" TargetMode="External"/><Relationship Id="rId2857" Type="http://schemas.openxmlformats.org/officeDocument/2006/relationships/hyperlink" Target="https://www.genome.jp/entry/C05758" TargetMode="External"/><Relationship Id="rId98" Type="http://schemas.openxmlformats.org/officeDocument/2006/relationships/hyperlink" Target="https://www.genome.jp/entry/R02767" TargetMode="External"/><Relationship Id="rId829" Type="http://schemas.openxmlformats.org/officeDocument/2006/relationships/hyperlink" Target="https://www.genome.jp/entry/R07234" TargetMode="External"/><Relationship Id="rId1666" Type="http://schemas.openxmlformats.org/officeDocument/2006/relationships/hyperlink" Target="https://www.genome.jp/entry/C00008" TargetMode="External"/><Relationship Id="rId1873" Type="http://schemas.openxmlformats.org/officeDocument/2006/relationships/hyperlink" Target="https://enzyme.expasy.org/EC/2.7.6.5" TargetMode="External"/><Relationship Id="rId2717" Type="http://schemas.openxmlformats.org/officeDocument/2006/relationships/hyperlink" Target="https://www.genome.jp/entry/C00680" TargetMode="External"/><Relationship Id="rId2924" Type="http://schemas.openxmlformats.org/officeDocument/2006/relationships/hyperlink" Target="https://www.genome.jp/entry/C04823" TargetMode="External"/><Relationship Id="rId1319" Type="http://schemas.openxmlformats.org/officeDocument/2006/relationships/hyperlink" Target="https://www.genome.jp/entry/C05893" TargetMode="External"/><Relationship Id="rId1526" Type="http://schemas.openxmlformats.org/officeDocument/2006/relationships/hyperlink" Target="https://www.genome.jp/entry/C00002" TargetMode="External"/><Relationship Id="rId1733" Type="http://schemas.openxmlformats.org/officeDocument/2006/relationships/hyperlink" Target="https://enzyme.expasy.org/EC/2.7.1.6" TargetMode="External"/><Relationship Id="rId1940" Type="http://schemas.openxmlformats.org/officeDocument/2006/relationships/hyperlink" Target="https://enzyme.expasy.org/EC/2.7.7.6" TargetMode="External"/><Relationship Id="rId25" Type="http://schemas.openxmlformats.org/officeDocument/2006/relationships/hyperlink" Target="https://www.genome.jp/entry/C05445" TargetMode="External"/><Relationship Id="rId1800" Type="http://schemas.openxmlformats.org/officeDocument/2006/relationships/hyperlink" Target="https://www.genome.jp/entry/C00008" TargetMode="External"/><Relationship Id="rId479" Type="http://schemas.openxmlformats.org/officeDocument/2006/relationships/hyperlink" Target="https://www.genome.jp/entry/R11893" TargetMode="External"/><Relationship Id="rId686" Type="http://schemas.openxmlformats.org/officeDocument/2006/relationships/hyperlink" Target="https://www.genome.jp/entry/C00101" TargetMode="External"/><Relationship Id="rId893" Type="http://schemas.openxmlformats.org/officeDocument/2006/relationships/hyperlink" Target="https://www.genome.jp/entry/C17552" TargetMode="External"/><Relationship Id="rId2367" Type="http://schemas.openxmlformats.org/officeDocument/2006/relationships/hyperlink" Target="https://www.genome.jp/entry/C05404" TargetMode="External"/><Relationship Id="rId2574" Type="http://schemas.openxmlformats.org/officeDocument/2006/relationships/hyperlink" Target="https://enzyme.expasy.org/EC/3.4.21.105" TargetMode="External"/><Relationship Id="rId2781" Type="http://schemas.openxmlformats.org/officeDocument/2006/relationships/hyperlink" Target="https://www.genome.jp/entry/C00118" TargetMode="External"/><Relationship Id="rId3418" Type="http://schemas.openxmlformats.org/officeDocument/2006/relationships/hyperlink" Target="https://www.genome.jp/entry/C00008" TargetMode="External"/><Relationship Id="rId339" Type="http://schemas.openxmlformats.org/officeDocument/2006/relationships/hyperlink" Target="https://www.genome.jp/entry/C00342" TargetMode="External"/><Relationship Id="rId546" Type="http://schemas.openxmlformats.org/officeDocument/2006/relationships/hyperlink" Target="https://www.genome.jp/entry/R02291" TargetMode="External"/><Relationship Id="rId753" Type="http://schemas.openxmlformats.org/officeDocument/2006/relationships/hyperlink" Target="https://enzyme.expasy.org/EC/1.8.1.4" TargetMode="External"/><Relationship Id="rId1176" Type="http://schemas.openxmlformats.org/officeDocument/2006/relationships/hyperlink" Target="https://www.genome.jp/entry/2.3.1.179" TargetMode="External"/><Relationship Id="rId1383" Type="http://schemas.openxmlformats.org/officeDocument/2006/relationships/hyperlink" Target="https://enzyme.expasy.org/EC/2.4.2.7" TargetMode="External"/><Relationship Id="rId2227" Type="http://schemas.openxmlformats.org/officeDocument/2006/relationships/hyperlink" Target="https://www.genome.jp/entry/C00040" TargetMode="External"/><Relationship Id="rId2434" Type="http://schemas.openxmlformats.org/officeDocument/2006/relationships/hyperlink" Target="https://www.genome.jp/entry/C00124" TargetMode="External"/><Relationship Id="rId406" Type="http://schemas.openxmlformats.org/officeDocument/2006/relationships/hyperlink" Target="https://www.genome.jp/entry/C03723" TargetMode="External"/><Relationship Id="rId960" Type="http://schemas.openxmlformats.org/officeDocument/2006/relationships/hyperlink" Target="https://www.genome.jp/entry/C00101" TargetMode="External"/><Relationship Id="rId1036" Type="http://schemas.openxmlformats.org/officeDocument/2006/relationships/hyperlink" Target="https://www.genome.jp/entry/2.3.1.15" TargetMode="External"/><Relationship Id="rId1243" Type="http://schemas.openxmlformats.org/officeDocument/2006/relationships/hyperlink" Target="https://enzyme.expasy.org/EC/2.3.1.286" TargetMode="External"/><Relationship Id="rId1590" Type="http://schemas.openxmlformats.org/officeDocument/2006/relationships/hyperlink" Target="https://www.genome.jp/entry/2.7.1.144" TargetMode="External"/><Relationship Id="rId2641" Type="http://schemas.openxmlformats.org/officeDocument/2006/relationships/hyperlink" Target="https://enzyme.expasy.org/EC/3.5.4.33" TargetMode="External"/><Relationship Id="rId613" Type="http://schemas.openxmlformats.org/officeDocument/2006/relationships/hyperlink" Target="https://www.genome.jp/entry/C00025" TargetMode="External"/><Relationship Id="rId820" Type="http://schemas.openxmlformats.org/officeDocument/2006/relationships/hyperlink" Target="https://www.genome.jp/entry/C00019" TargetMode="External"/><Relationship Id="rId1450" Type="http://schemas.openxmlformats.org/officeDocument/2006/relationships/hyperlink" Target="https://www.genome.jp/entry/2.5.1.47" TargetMode="External"/><Relationship Id="rId2501" Type="http://schemas.openxmlformats.org/officeDocument/2006/relationships/hyperlink" Target="https://enzyme.expasy.org/EC/3.2.1.26" TargetMode="External"/><Relationship Id="rId1103" Type="http://schemas.openxmlformats.org/officeDocument/2006/relationships/hyperlink" Target="https://www.genome.jp/entry/C07118" TargetMode="External"/><Relationship Id="rId1310" Type="http://schemas.openxmlformats.org/officeDocument/2006/relationships/hyperlink" Target="https://www.genome.jp/entry/R02421" TargetMode="External"/><Relationship Id="rId3068" Type="http://schemas.openxmlformats.org/officeDocument/2006/relationships/hyperlink" Target="https://www.genome.jp/entry/C00275" TargetMode="External"/><Relationship Id="rId3275" Type="http://schemas.openxmlformats.org/officeDocument/2006/relationships/hyperlink" Target="https://www.genome.jp/entry/C00002" TargetMode="External"/><Relationship Id="rId196" Type="http://schemas.openxmlformats.org/officeDocument/2006/relationships/hyperlink" Target="https://www.genome.jp/entry/1.1.1.23" TargetMode="External"/><Relationship Id="rId2084" Type="http://schemas.openxmlformats.org/officeDocument/2006/relationships/hyperlink" Target="https://enzyme.expasy.org/EC/2.7.7.7" TargetMode="External"/><Relationship Id="rId2291" Type="http://schemas.openxmlformats.org/officeDocument/2006/relationships/hyperlink" Target="https://enzyme.expasy.org/EC/3.1.3.5" TargetMode="External"/><Relationship Id="rId3135" Type="http://schemas.openxmlformats.org/officeDocument/2006/relationships/hyperlink" Target="https://enzyme.expasy.org/EC/5.6.2.2" TargetMode="External"/><Relationship Id="rId3342" Type="http://schemas.openxmlformats.org/officeDocument/2006/relationships/hyperlink" Target="https://www.genome.jp/entry/C00253" TargetMode="External"/><Relationship Id="rId263" Type="http://schemas.openxmlformats.org/officeDocument/2006/relationships/hyperlink" Target="https://www.genome.jp/entry/C05984" TargetMode="External"/><Relationship Id="rId470" Type="http://schemas.openxmlformats.org/officeDocument/2006/relationships/hyperlink" Target="https://www.genome.jp/entry/C04232" TargetMode="External"/><Relationship Id="rId2151" Type="http://schemas.openxmlformats.org/officeDocument/2006/relationships/hyperlink" Target="https://www.genome.jp/entry/C11039" TargetMode="External"/><Relationship Id="rId3202" Type="http://schemas.openxmlformats.org/officeDocument/2006/relationships/hyperlink" Target="https://www.genome.jp/entry/C00020" TargetMode="External"/><Relationship Id="rId123" Type="http://schemas.openxmlformats.org/officeDocument/2006/relationships/hyperlink" Target="https://www.genome.jp/entry/R04566" TargetMode="External"/><Relationship Id="rId330" Type="http://schemas.openxmlformats.org/officeDocument/2006/relationships/hyperlink" Target="https://enzyme.expasy.org/EC/1.17.4.1" TargetMode="External"/><Relationship Id="rId2011" Type="http://schemas.openxmlformats.org/officeDocument/2006/relationships/hyperlink" Target="https://www.genome.jp/entry/C00013" TargetMode="External"/><Relationship Id="rId2968" Type="http://schemas.openxmlformats.org/officeDocument/2006/relationships/hyperlink" Target="https://enzyme.expasy.org/EC/4.4.1.13" TargetMode="External"/><Relationship Id="rId1777" Type="http://schemas.openxmlformats.org/officeDocument/2006/relationships/hyperlink" Target="https://www.genome.jp/entry/C00002" TargetMode="External"/><Relationship Id="rId1984" Type="http://schemas.openxmlformats.org/officeDocument/2006/relationships/hyperlink" Target="https://www.genome.jp/entry/C00013" TargetMode="External"/><Relationship Id="rId2828" Type="http://schemas.openxmlformats.org/officeDocument/2006/relationships/hyperlink" Target="https://www.genome.jp/entry/C00065" TargetMode="External"/><Relationship Id="rId69" Type="http://schemas.openxmlformats.org/officeDocument/2006/relationships/hyperlink" Target="https://www.genome.jp/entry/C00114" TargetMode="External"/><Relationship Id="rId1637" Type="http://schemas.openxmlformats.org/officeDocument/2006/relationships/hyperlink" Target="https://www.genome.jp/entry/C00008" TargetMode="External"/><Relationship Id="rId1844" Type="http://schemas.openxmlformats.org/officeDocument/2006/relationships/hyperlink" Target="https://www.genome.jp/entry/C00002" TargetMode="External"/><Relationship Id="rId1704" Type="http://schemas.openxmlformats.org/officeDocument/2006/relationships/hyperlink" Target="https://www.genome.jp/entry/C00044" TargetMode="External"/><Relationship Id="rId1911" Type="http://schemas.openxmlformats.org/officeDocument/2006/relationships/hyperlink" Target="https://www.genome.jp/entry/C00075" TargetMode="External"/><Relationship Id="rId797" Type="http://schemas.openxmlformats.org/officeDocument/2006/relationships/hyperlink" Target="https://www.genome.jp/entry/C15999" TargetMode="External"/><Relationship Id="rId2478" Type="http://schemas.openxmlformats.org/officeDocument/2006/relationships/hyperlink" Target="https://www.genome.jp/entry/G10504" TargetMode="External"/><Relationship Id="rId1287" Type="http://schemas.openxmlformats.org/officeDocument/2006/relationships/hyperlink" Target="https://www.genome.jp/entry/C00024" TargetMode="External"/><Relationship Id="rId2685" Type="http://schemas.openxmlformats.org/officeDocument/2006/relationships/hyperlink" Target="https://enzyme.expasy.org/EC/3.6.1.31" TargetMode="External"/><Relationship Id="rId2892" Type="http://schemas.openxmlformats.org/officeDocument/2006/relationships/hyperlink" Target="https://www.genome.jp/entry/C00022" TargetMode="External"/><Relationship Id="rId657" Type="http://schemas.openxmlformats.org/officeDocument/2006/relationships/hyperlink" Target="https://www.genome.jp/entry/C01157" TargetMode="External"/><Relationship Id="rId864" Type="http://schemas.openxmlformats.org/officeDocument/2006/relationships/hyperlink" Target="https://www.genome.jp/entry/C00021" TargetMode="External"/><Relationship Id="rId1494" Type="http://schemas.openxmlformats.org/officeDocument/2006/relationships/hyperlink" Target="https://www.genome.jp/entry/2.6.1.42" TargetMode="External"/><Relationship Id="rId2338" Type="http://schemas.openxmlformats.org/officeDocument/2006/relationships/hyperlink" Target="https://www.genome.jp/entry/C00124" TargetMode="External"/><Relationship Id="rId2545" Type="http://schemas.openxmlformats.org/officeDocument/2006/relationships/hyperlink" Target="https://www.genome.jp/entry/C00530" TargetMode="External"/><Relationship Id="rId2752" Type="http://schemas.openxmlformats.org/officeDocument/2006/relationships/hyperlink" Target="https://enzyme.expasy.org/EC/4.1.2.13" TargetMode="External"/><Relationship Id="rId517" Type="http://schemas.openxmlformats.org/officeDocument/2006/relationships/hyperlink" Target="https://enzyme.expasy.org/EC/1.17.4.2" TargetMode="External"/><Relationship Id="rId724" Type="http://schemas.openxmlformats.org/officeDocument/2006/relationships/hyperlink" Target="https://www.genome.jp/entry/1.8.1.4" TargetMode="External"/><Relationship Id="rId931" Type="http://schemas.openxmlformats.org/officeDocument/2006/relationships/hyperlink" Target="https://www.genome.jp/entry/2.1.1.64" TargetMode="External"/><Relationship Id="rId1147" Type="http://schemas.openxmlformats.org/officeDocument/2006/relationships/hyperlink" Target="https://www.genome.jp/entry/R13471" TargetMode="External"/><Relationship Id="rId1354" Type="http://schemas.openxmlformats.org/officeDocument/2006/relationships/hyperlink" Target="https://www.genome.jp/entry/2.4.2.2" TargetMode="External"/><Relationship Id="rId1561" Type="http://schemas.openxmlformats.org/officeDocument/2006/relationships/hyperlink" Target="https://enzyme.expasy.org/EC/2.7.1.11" TargetMode="External"/><Relationship Id="rId2405" Type="http://schemas.openxmlformats.org/officeDocument/2006/relationships/hyperlink" Target="https://enzyme.expasy.org/EC/3.2.1.22" TargetMode="External"/><Relationship Id="rId2612" Type="http://schemas.openxmlformats.org/officeDocument/2006/relationships/hyperlink" Target="https://enzyme.expasy.org/EC/3.5.1.4" TargetMode="External"/><Relationship Id="rId60" Type="http://schemas.openxmlformats.org/officeDocument/2006/relationships/hyperlink" Target="https://www.genome.jp/entry/C16587" TargetMode="External"/><Relationship Id="rId1007" Type="http://schemas.openxmlformats.org/officeDocument/2006/relationships/hyperlink" Target="https://www.genome.jp/entry/R00014" TargetMode="External"/><Relationship Id="rId1214" Type="http://schemas.openxmlformats.org/officeDocument/2006/relationships/hyperlink" Target="https://enzyme.expasy.org/EC/2.3.1.179" TargetMode="External"/><Relationship Id="rId1421" Type="http://schemas.openxmlformats.org/officeDocument/2006/relationships/hyperlink" Target="https://www.genome.jp/entry/2.5.1.17" TargetMode="External"/><Relationship Id="rId3179" Type="http://schemas.openxmlformats.org/officeDocument/2006/relationships/hyperlink" Target="https://enzyme.expasy.org/EC/6.1.1.13" TargetMode="External"/><Relationship Id="rId3386" Type="http://schemas.openxmlformats.org/officeDocument/2006/relationships/hyperlink" Target="https://www.genome.jp/entry/C00002" TargetMode="External"/><Relationship Id="rId2195" Type="http://schemas.openxmlformats.org/officeDocument/2006/relationships/hyperlink" Target="https://enzyme.expasy.org/EC/2.7.8.13" TargetMode="External"/><Relationship Id="rId3039" Type="http://schemas.openxmlformats.org/officeDocument/2006/relationships/hyperlink" Target="https://www.genome.jp/entry/C01097" TargetMode="External"/><Relationship Id="rId3246" Type="http://schemas.openxmlformats.org/officeDocument/2006/relationships/hyperlink" Target="https://www.genome.jp/entry/C00020" TargetMode="External"/><Relationship Id="rId167" Type="http://schemas.openxmlformats.org/officeDocument/2006/relationships/hyperlink" Target="https://www.genome.jp/entry/R00758" TargetMode="External"/><Relationship Id="rId374" Type="http://schemas.openxmlformats.org/officeDocument/2006/relationships/hyperlink" Target="https://www.genome.jp/entry/1.17.4.1" TargetMode="External"/><Relationship Id="rId581" Type="http://schemas.openxmlformats.org/officeDocument/2006/relationships/hyperlink" Target="https://www.genome.jp/entry/R10161" TargetMode="External"/><Relationship Id="rId2055" Type="http://schemas.openxmlformats.org/officeDocument/2006/relationships/hyperlink" Target="https://www.genome.jp/entry/C00458" TargetMode="External"/><Relationship Id="rId2262" Type="http://schemas.openxmlformats.org/officeDocument/2006/relationships/hyperlink" Target="https://www.genome.jp/entry/C00130" TargetMode="External"/><Relationship Id="rId3106" Type="http://schemas.openxmlformats.org/officeDocument/2006/relationships/hyperlink" Target="https://www.genome.jp/entry/C01172" TargetMode="External"/><Relationship Id="rId234" Type="http://schemas.openxmlformats.org/officeDocument/2006/relationships/hyperlink" Target="https://www.genome.jp/entry/C11638" TargetMode="External"/><Relationship Id="rId3313" Type="http://schemas.openxmlformats.org/officeDocument/2006/relationships/hyperlink" Target="https://enzyme.expasy.org/EC/6.3.4.15" TargetMode="External"/><Relationship Id="rId441" Type="http://schemas.openxmlformats.org/officeDocument/2006/relationships/hyperlink" Target="https://www.genome.jp/entry/C21748" TargetMode="External"/><Relationship Id="rId1071" Type="http://schemas.openxmlformats.org/officeDocument/2006/relationships/hyperlink" Target="https://www.genome.jp/entry/2.3.1.16" TargetMode="External"/><Relationship Id="rId2122" Type="http://schemas.openxmlformats.org/officeDocument/2006/relationships/hyperlink" Target="https://www.genome.jp/entry/C00013" TargetMode="External"/><Relationship Id="rId301" Type="http://schemas.openxmlformats.org/officeDocument/2006/relationships/hyperlink" Target="https://www.genome.jp/entry/C00356" TargetMode="External"/><Relationship Id="rId1888" Type="http://schemas.openxmlformats.org/officeDocument/2006/relationships/hyperlink" Target="https://www.genome.jp/entry/C00013" TargetMode="External"/><Relationship Id="rId2939" Type="http://schemas.openxmlformats.org/officeDocument/2006/relationships/hyperlink" Target="https://www.genome.jp/entry/C02291" TargetMode="External"/><Relationship Id="rId1748" Type="http://schemas.openxmlformats.org/officeDocument/2006/relationships/hyperlink" Target="https://www.genome.jp/entry/C00008" TargetMode="External"/><Relationship Id="rId1955" Type="http://schemas.openxmlformats.org/officeDocument/2006/relationships/hyperlink" Target="https://enzyme.expasy.org/EC/2.7.7.6" TargetMode="External"/><Relationship Id="rId3170" Type="http://schemas.openxmlformats.org/officeDocument/2006/relationships/hyperlink" Target="https://enzyme.expasy.org/EC/6.1.1.13" TargetMode="External"/><Relationship Id="rId1608" Type="http://schemas.openxmlformats.org/officeDocument/2006/relationships/hyperlink" Target="https://enzyme.expasy.org/EC/2.7.1.17" TargetMode="External"/><Relationship Id="rId1815" Type="http://schemas.openxmlformats.org/officeDocument/2006/relationships/hyperlink" Target="https://www.genome.jp/entry/C00008" TargetMode="External"/><Relationship Id="rId3030" Type="http://schemas.openxmlformats.org/officeDocument/2006/relationships/hyperlink" Target="https://www.genome.jp/entry/C00111" TargetMode="External"/><Relationship Id="rId2589" Type="http://schemas.openxmlformats.org/officeDocument/2006/relationships/hyperlink" Target="https://www.genome.jp/entry/C00241" TargetMode="External"/><Relationship Id="rId2796" Type="http://schemas.openxmlformats.org/officeDocument/2006/relationships/hyperlink" Target="https://www.genome.jp/entry/C00033" TargetMode="External"/><Relationship Id="rId768" Type="http://schemas.openxmlformats.org/officeDocument/2006/relationships/hyperlink" Target="https://enzyme.expasy.org/EC/1.8.1.9" TargetMode="External"/><Relationship Id="rId975" Type="http://schemas.openxmlformats.org/officeDocument/2006/relationships/hyperlink" Target="https://www.genome.jp/entry/C04376" TargetMode="External"/><Relationship Id="rId1398" Type="http://schemas.openxmlformats.org/officeDocument/2006/relationships/hyperlink" Target="https://www.genome.jp/entry/2.4.2.9" TargetMode="External"/><Relationship Id="rId2449" Type="http://schemas.openxmlformats.org/officeDocument/2006/relationships/hyperlink" Target="https://www.genome.jp/entry/G00249" TargetMode="External"/><Relationship Id="rId2656" Type="http://schemas.openxmlformats.org/officeDocument/2006/relationships/hyperlink" Target="https://enzyme.expasy.org/EC/3.5.4.5" TargetMode="External"/><Relationship Id="rId2863" Type="http://schemas.openxmlformats.org/officeDocument/2006/relationships/hyperlink" Target="https://www.genome.jp/entry/C01102" TargetMode="External"/><Relationship Id="rId628" Type="http://schemas.openxmlformats.org/officeDocument/2006/relationships/hyperlink" Target="https://www.genome.jp/entry/C00161" TargetMode="External"/><Relationship Id="rId835" Type="http://schemas.openxmlformats.org/officeDocument/2006/relationships/hyperlink" Target="https://www.genome.jp/entry/C00021" TargetMode="External"/><Relationship Id="rId1258" Type="http://schemas.openxmlformats.org/officeDocument/2006/relationships/hyperlink" Target="https://enzyme.expasy.org/EC/2.3.1.54" TargetMode="External"/><Relationship Id="rId1465" Type="http://schemas.openxmlformats.org/officeDocument/2006/relationships/hyperlink" Target="https://enzyme.expasy.org/EC/2.5.1.7" TargetMode="External"/><Relationship Id="rId1672" Type="http://schemas.openxmlformats.org/officeDocument/2006/relationships/hyperlink" Target="https://www.genome.jp/entry/C00008" TargetMode="External"/><Relationship Id="rId2309" Type="http://schemas.openxmlformats.org/officeDocument/2006/relationships/hyperlink" Target="https://enzyme.expasy.org/EC/3.1.6.1" TargetMode="External"/><Relationship Id="rId2516" Type="http://schemas.openxmlformats.org/officeDocument/2006/relationships/hyperlink" Target="https://enzyme.expasy.org/EC/3.2.1.26" TargetMode="External"/><Relationship Id="rId2723" Type="http://schemas.openxmlformats.org/officeDocument/2006/relationships/hyperlink" Target="https://www.genome.jp/entry/C01103" TargetMode="External"/><Relationship Id="rId1118" Type="http://schemas.openxmlformats.org/officeDocument/2006/relationships/hyperlink" Target="https://www.genome.jp/entry/C16335" TargetMode="External"/><Relationship Id="rId1325" Type="http://schemas.openxmlformats.org/officeDocument/2006/relationships/hyperlink" Target="https://www.genome.jp/entry/2.4.1.227" TargetMode="External"/><Relationship Id="rId1532" Type="http://schemas.openxmlformats.org/officeDocument/2006/relationships/hyperlink" Target="https://www.genome.jp/entry/2.7.1.11" TargetMode="External"/><Relationship Id="rId2930" Type="http://schemas.openxmlformats.org/officeDocument/2006/relationships/hyperlink" Target="https://www.genome.jp/entry/C00441" TargetMode="External"/><Relationship Id="rId902" Type="http://schemas.openxmlformats.org/officeDocument/2006/relationships/hyperlink" Target="https://www.genome.jp/entry/C00021" TargetMode="External"/><Relationship Id="rId31" Type="http://schemas.openxmlformats.org/officeDocument/2006/relationships/hyperlink" Target="https://enzyme.expasy.org/EC/1.1.1.1" TargetMode="External"/><Relationship Id="rId2099" Type="http://schemas.openxmlformats.org/officeDocument/2006/relationships/hyperlink" Target="https://enzyme.expasy.org/EC/2.7.7.7" TargetMode="External"/><Relationship Id="rId278" Type="http://schemas.openxmlformats.org/officeDocument/2006/relationships/hyperlink" Target="https://www.genome.jp/entry/C00263" TargetMode="External"/><Relationship Id="rId3357" Type="http://schemas.openxmlformats.org/officeDocument/2006/relationships/hyperlink" Target="https://www.genome.jp/entry/C00020" TargetMode="External"/><Relationship Id="rId485" Type="http://schemas.openxmlformats.org/officeDocument/2006/relationships/hyperlink" Target="https://www.genome.jp/entry/C00677" TargetMode="External"/><Relationship Id="rId692" Type="http://schemas.openxmlformats.org/officeDocument/2006/relationships/hyperlink" Target="https://www.genome.jp/entry/C00504" TargetMode="External"/><Relationship Id="rId2166" Type="http://schemas.openxmlformats.org/officeDocument/2006/relationships/hyperlink" Target="https://www.genome.jp/entry/C00459" TargetMode="External"/><Relationship Id="rId2373" Type="http://schemas.openxmlformats.org/officeDocument/2006/relationships/hyperlink" Target="https://www.genome.jp/entry/G00249" TargetMode="External"/><Relationship Id="rId2580" Type="http://schemas.openxmlformats.org/officeDocument/2006/relationships/hyperlink" Target="https://enzyme.expasy.org/EC/3.4.25.2" TargetMode="External"/><Relationship Id="rId3217" Type="http://schemas.openxmlformats.org/officeDocument/2006/relationships/hyperlink" Target="https://www.genome.jp/entry/C02987" TargetMode="External"/><Relationship Id="rId3424" Type="http://schemas.openxmlformats.org/officeDocument/2006/relationships/hyperlink" Target="https://www.genome.jp/entry/C00008" TargetMode="External"/><Relationship Id="rId138" Type="http://schemas.openxmlformats.org/officeDocument/2006/relationships/hyperlink" Target="https://www.genome.jp/entry/R07763" TargetMode="External"/><Relationship Id="rId345" Type="http://schemas.openxmlformats.org/officeDocument/2006/relationships/hyperlink" Target="https://enzyme.expasy.org/EC/1.17.4.1" TargetMode="External"/><Relationship Id="rId552" Type="http://schemas.openxmlformats.org/officeDocument/2006/relationships/hyperlink" Target="https://www.genome.jp/entry/C01165" TargetMode="External"/><Relationship Id="rId1182" Type="http://schemas.openxmlformats.org/officeDocument/2006/relationships/hyperlink" Target="https://www.genome.jp/entry/C05745" TargetMode="External"/><Relationship Id="rId2026" Type="http://schemas.openxmlformats.org/officeDocument/2006/relationships/hyperlink" Target="https://www.genome.jp/entry/C00229" TargetMode="External"/><Relationship Id="rId2233" Type="http://schemas.openxmlformats.org/officeDocument/2006/relationships/hyperlink" Target="https://enzyme.expasy.org/EC/3.1.26.4" TargetMode="External"/><Relationship Id="rId2440" Type="http://schemas.openxmlformats.org/officeDocument/2006/relationships/hyperlink" Target="https://www.genome.jp/entry/G11121" TargetMode="External"/><Relationship Id="rId205" Type="http://schemas.openxmlformats.org/officeDocument/2006/relationships/hyperlink" Target="https://enzyme.expasy.org/EC/1.1.1.25" TargetMode="External"/><Relationship Id="rId412" Type="http://schemas.openxmlformats.org/officeDocument/2006/relationships/hyperlink" Target="https://enzyme.expasy.org/EC/1.17.4.1" TargetMode="External"/><Relationship Id="rId1042" Type="http://schemas.openxmlformats.org/officeDocument/2006/relationships/hyperlink" Target="https://www.genome.jp/entry/R09380" TargetMode="External"/><Relationship Id="rId2300" Type="http://schemas.openxmlformats.org/officeDocument/2006/relationships/hyperlink" Target="https://enzyme.expasy.org/EC/3.1.3.7" TargetMode="External"/><Relationship Id="rId1999" Type="http://schemas.openxmlformats.org/officeDocument/2006/relationships/hyperlink" Target="https://www.genome.jp/entry/C00013" TargetMode="External"/><Relationship Id="rId1859" Type="http://schemas.openxmlformats.org/officeDocument/2006/relationships/hyperlink" Target="https://enzyme.expasy.org/EC/2.7.4.9" TargetMode="External"/><Relationship Id="rId3074" Type="http://schemas.openxmlformats.org/officeDocument/2006/relationships/hyperlink" Target="https://www.genome.jp/entry/C00668" TargetMode="External"/><Relationship Id="rId1719" Type="http://schemas.openxmlformats.org/officeDocument/2006/relationships/hyperlink" Target="https://www.genome.jp/entry/C00002" TargetMode="External"/><Relationship Id="rId1926" Type="http://schemas.openxmlformats.org/officeDocument/2006/relationships/hyperlink" Target="https://www.genome.jp/entry/C00063" TargetMode="External"/><Relationship Id="rId3281" Type="http://schemas.openxmlformats.org/officeDocument/2006/relationships/hyperlink" Target="https://www.genome.jp/entry/C00002" TargetMode="External"/><Relationship Id="rId2090" Type="http://schemas.openxmlformats.org/officeDocument/2006/relationships/hyperlink" Target="https://enzyme.expasy.org/EC/2.7.7.7" TargetMode="External"/><Relationship Id="rId3141" Type="http://schemas.openxmlformats.org/officeDocument/2006/relationships/hyperlink" Target="https://www.genome.jp/entry/C00002" TargetMode="External"/><Relationship Id="rId3001" Type="http://schemas.openxmlformats.org/officeDocument/2006/relationships/hyperlink" Target="https://enzyme.expasy.org/EC/5.1.3.2" TargetMode="External"/><Relationship Id="rId879" Type="http://schemas.openxmlformats.org/officeDocument/2006/relationships/hyperlink" Target="https://enzyme.expasy.org/EC/2.1.1.222" TargetMode="External"/><Relationship Id="rId2767" Type="http://schemas.openxmlformats.org/officeDocument/2006/relationships/hyperlink" Target="https://enzyme.expasy.org/EC/4.1.2.13" TargetMode="External"/><Relationship Id="rId739" Type="http://schemas.openxmlformats.org/officeDocument/2006/relationships/hyperlink" Target="https://www.genome.jp/entry/1.8.1.4" TargetMode="External"/><Relationship Id="rId1369" Type="http://schemas.openxmlformats.org/officeDocument/2006/relationships/hyperlink" Target="https://www.genome.jp/entry/C00385" TargetMode="External"/><Relationship Id="rId1576" Type="http://schemas.openxmlformats.org/officeDocument/2006/relationships/hyperlink" Target="https://www.genome.jp/entry/R01012" TargetMode="External"/><Relationship Id="rId2974" Type="http://schemas.openxmlformats.org/officeDocument/2006/relationships/hyperlink" Target="https://enzyme.expasy.org/EC/4.4.1.13" TargetMode="External"/><Relationship Id="rId946" Type="http://schemas.openxmlformats.org/officeDocument/2006/relationships/hyperlink" Target="https://www.genome.jp/entry/C00021" TargetMode="External"/><Relationship Id="rId1229" Type="http://schemas.openxmlformats.org/officeDocument/2006/relationships/hyperlink" Target="https://enzyme.expasy.org/EC/2.3.1.234" TargetMode="External"/><Relationship Id="rId1783" Type="http://schemas.openxmlformats.org/officeDocument/2006/relationships/hyperlink" Target="https://www.genome.jp/entry/C00002" TargetMode="External"/><Relationship Id="rId1990" Type="http://schemas.openxmlformats.org/officeDocument/2006/relationships/hyperlink" Target="https://www.genome.jp/entry/C00013" TargetMode="External"/><Relationship Id="rId2627" Type="http://schemas.openxmlformats.org/officeDocument/2006/relationships/hyperlink" Target="https://enzyme.expasy.org/EC/3.5.1.88" TargetMode="External"/><Relationship Id="rId2834" Type="http://schemas.openxmlformats.org/officeDocument/2006/relationships/hyperlink" Target="https://www.genome.jp/entry/C00065" TargetMode="External"/><Relationship Id="rId75" Type="http://schemas.openxmlformats.org/officeDocument/2006/relationships/hyperlink" Target="https://www.genome.jp/entry/C08492" TargetMode="External"/><Relationship Id="rId806" Type="http://schemas.openxmlformats.org/officeDocument/2006/relationships/hyperlink" Target="https://www.genome.jp/entry/C00019" TargetMode="External"/><Relationship Id="rId1436" Type="http://schemas.openxmlformats.org/officeDocument/2006/relationships/hyperlink" Target="https://www.genome.jp/entry/2.5.1.3" TargetMode="External"/><Relationship Id="rId1643" Type="http://schemas.openxmlformats.org/officeDocument/2006/relationships/hyperlink" Target="https://www.genome.jp/entry/C00008" TargetMode="External"/><Relationship Id="rId1850" Type="http://schemas.openxmlformats.org/officeDocument/2006/relationships/hyperlink" Target="https://enzyme.expasy.org/EC/2.7.4.8" TargetMode="External"/><Relationship Id="rId2901" Type="http://schemas.openxmlformats.org/officeDocument/2006/relationships/hyperlink" Target="https://www.genome.jp/entry/C00122" TargetMode="External"/><Relationship Id="rId1503" Type="http://schemas.openxmlformats.org/officeDocument/2006/relationships/hyperlink" Target="https://www.genome.jp/entry/C01267" TargetMode="External"/><Relationship Id="rId1710" Type="http://schemas.openxmlformats.org/officeDocument/2006/relationships/hyperlink" Target="https://www.genome.jp/entry/C00002" TargetMode="External"/><Relationship Id="rId389" Type="http://schemas.openxmlformats.org/officeDocument/2006/relationships/hyperlink" Target="https://www.genome.jp/entry/C00342" TargetMode="External"/><Relationship Id="rId596" Type="http://schemas.openxmlformats.org/officeDocument/2006/relationships/hyperlink" Target="https://www.genome.jp/entry/R01867" TargetMode="External"/><Relationship Id="rId2277" Type="http://schemas.openxmlformats.org/officeDocument/2006/relationships/hyperlink" Target="https://www.genome.jp/entry/C00364" TargetMode="External"/><Relationship Id="rId2484" Type="http://schemas.openxmlformats.org/officeDocument/2006/relationships/hyperlink" Target="https://www.genome.jp/entry/G10504" TargetMode="External"/><Relationship Id="rId2691" Type="http://schemas.openxmlformats.org/officeDocument/2006/relationships/hyperlink" Target="https://enzyme.expasy.org/EC/3.6.4.12" TargetMode="External"/><Relationship Id="rId3328" Type="http://schemas.openxmlformats.org/officeDocument/2006/relationships/hyperlink" Target="https://enzyme.expasy.org/EC/6.3.4.2" TargetMode="External"/><Relationship Id="rId249" Type="http://schemas.openxmlformats.org/officeDocument/2006/relationships/hyperlink" Target="https://www.genome.jp/entry/C00109" TargetMode="External"/><Relationship Id="rId456" Type="http://schemas.openxmlformats.org/officeDocument/2006/relationships/hyperlink" Target="https://www.genome.jp/entry/C00342" TargetMode="External"/><Relationship Id="rId663" Type="http://schemas.openxmlformats.org/officeDocument/2006/relationships/hyperlink" Target="https://www.genome.jp/entry/C04281" TargetMode="External"/><Relationship Id="rId870" Type="http://schemas.openxmlformats.org/officeDocument/2006/relationships/hyperlink" Target="https://www.genome.jp/entry/2.1.1.222" TargetMode="External"/><Relationship Id="rId1086" Type="http://schemas.openxmlformats.org/officeDocument/2006/relationships/hyperlink" Target="https://www.genome.jp/entry/2.3.1.16" TargetMode="External"/><Relationship Id="rId1293" Type="http://schemas.openxmlformats.org/officeDocument/2006/relationships/hyperlink" Target="https://enzyme.expasy.org/EC/2.4.1.1" TargetMode="External"/><Relationship Id="rId2137" Type="http://schemas.openxmlformats.org/officeDocument/2006/relationships/hyperlink" Target="https://www.genome.jp/entry/C00013" TargetMode="External"/><Relationship Id="rId2344" Type="http://schemas.openxmlformats.org/officeDocument/2006/relationships/hyperlink" Target="https://www.genome.jp/entry/C00124" TargetMode="External"/><Relationship Id="rId2551" Type="http://schemas.openxmlformats.org/officeDocument/2006/relationships/hyperlink" Target="https://www.genome.jp/entry/C00031" TargetMode="External"/><Relationship Id="rId109" Type="http://schemas.openxmlformats.org/officeDocument/2006/relationships/hyperlink" Target="https://www.genome.jp/entry/C04619" TargetMode="External"/><Relationship Id="rId316" Type="http://schemas.openxmlformats.org/officeDocument/2006/relationships/hyperlink" Target="https://www.genome.jp/entry/1.15.1.1" TargetMode="External"/><Relationship Id="rId523" Type="http://schemas.openxmlformats.org/officeDocument/2006/relationships/hyperlink" Target="https://www.genome.jp/entry/1.17.4.2" TargetMode="External"/><Relationship Id="rId1153" Type="http://schemas.openxmlformats.org/officeDocument/2006/relationships/hyperlink" Target="https://www.genome.jp/entry/C23006" TargetMode="External"/><Relationship Id="rId2204" Type="http://schemas.openxmlformats.org/officeDocument/2006/relationships/hyperlink" Target="https://enzyme.expasy.org/EC/2.7.9.1" TargetMode="External"/><Relationship Id="rId730" Type="http://schemas.openxmlformats.org/officeDocument/2006/relationships/hyperlink" Target="https://www.genome.jp/entry/R07618" TargetMode="External"/><Relationship Id="rId1013" Type="http://schemas.openxmlformats.org/officeDocument/2006/relationships/hyperlink" Target="https://www.genome.jp/entry/C00900" TargetMode="External"/><Relationship Id="rId1360" Type="http://schemas.openxmlformats.org/officeDocument/2006/relationships/hyperlink" Target="https://www.genome.jp/entry/2.4.2.2" TargetMode="External"/><Relationship Id="rId2411" Type="http://schemas.openxmlformats.org/officeDocument/2006/relationships/hyperlink" Target="https://enzyme.expasy.org/EC/3.2.1.22" TargetMode="External"/><Relationship Id="rId1220" Type="http://schemas.openxmlformats.org/officeDocument/2006/relationships/hyperlink" Target="https://www.genome.jp/entry/2.3.1.180" TargetMode="External"/><Relationship Id="rId3185" Type="http://schemas.openxmlformats.org/officeDocument/2006/relationships/hyperlink" Target="https://enzyme.expasy.org/EC/6.1.1.13" TargetMode="External"/><Relationship Id="rId3392" Type="http://schemas.openxmlformats.org/officeDocument/2006/relationships/hyperlink" Target="https://www.genome.jp/entry/C00002" TargetMode="External"/><Relationship Id="rId3045" Type="http://schemas.openxmlformats.org/officeDocument/2006/relationships/hyperlink" Target="https://www.genome.jp/entry/C05345" TargetMode="External"/><Relationship Id="rId3252" Type="http://schemas.openxmlformats.org/officeDocument/2006/relationships/hyperlink" Target="https://www.genome.jp/entry/C00020" TargetMode="External"/><Relationship Id="rId173" Type="http://schemas.openxmlformats.org/officeDocument/2006/relationships/hyperlink" Target="https://www.genome.jp/entry/C00644" TargetMode="External"/><Relationship Id="rId380" Type="http://schemas.openxmlformats.org/officeDocument/2006/relationships/hyperlink" Target="https://www.genome.jp/entry/C01346" TargetMode="External"/><Relationship Id="rId2061" Type="http://schemas.openxmlformats.org/officeDocument/2006/relationships/hyperlink" Target="https://www.genome.jp/entry/C11039" TargetMode="External"/><Relationship Id="rId3112" Type="http://schemas.openxmlformats.org/officeDocument/2006/relationships/hyperlink" Target="https://www.genome.jp/entry/C00117" TargetMode="External"/><Relationship Id="rId240" Type="http://schemas.openxmlformats.org/officeDocument/2006/relationships/hyperlink" Target="https://enzyme.expasy.org/EC/1.1.1.27" TargetMode="External"/><Relationship Id="rId100" Type="http://schemas.openxmlformats.org/officeDocument/2006/relationships/hyperlink" Target="https://www.genome.jp/entry/C00685" TargetMode="External"/><Relationship Id="rId2878" Type="http://schemas.openxmlformats.org/officeDocument/2006/relationships/hyperlink" Target="https://enzyme.expasy.org/EC/4.3.1.17" TargetMode="External"/><Relationship Id="rId1687" Type="http://schemas.openxmlformats.org/officeDocument/2006/relationships/hyperlink" Target="https://www.genome.jp/entry/C00206" TargetMode="External"/><Relationship Id="rId1894" Type="http://schemas.openxmlformats.org/officeDocument/2006/relationships/hyperlink" Target="https://www.genome.jp/entry/C00013" TargetMode="External"/><Relationship Id="rId2738" Type="http://schemas.openxmlformats.org/officeDocument/2006/relationships/hyperlink" Target="https://www.genome.jp/entry/C06010" TargetMode="External"/><Relationship Id="rId2945" Type="http://schemas.openxmlformats.org/officeDocument/2006/relationships/hyperlink" Target="https://www.genome.jp/entry/C02749" TargetMode="External"/><Relationship Id="rId917" Type="http://schemas.openxmlformats.org/officeDocument/2006/relationships/hyperlink" Target="https://enzyme.expasy.org/EC/2.1.1.45" TargetMode="External"/><Relationship Id="rId1547" Type="http://schemas.openxmlformats.org/officeDocument/2006/relationships/hyperlink" Target="https://www.genome.jp/entry/R01843" TargetMode="External"/><Relationship Id="rId1754" Type="http://schemas.openxmlformats.org/officeDocument/2006/relationships/hyperlink" Target="https://www.genome.jp/entry/C00008" TargetMode="External"/><Relationship Id="rId1961" Type="http://schemas.openxmlformats.org/officeDocument/2006/relationships/hyperlink" Target="https://enzyme.expasy.org/EC/2.7.7.6" TargetMode="External"/><Relationship Id="rId2805" Type="http://schemas.openxmlformats.org/officeDocument/2006/relationships/hyperlink" Target="https://www.genome.jp/entry/C05817" TargetMode="External"/><Relationship Id="rId46" Type="http://schemas.openxmlformats.org/officeDocument/2006/relationships/hyperlink" Target="https://enzyme.expasy.org/EC/1.1.1.1" TargetMode="External"/><Relationship Id="rId1407" Type="http://schemas.openxmlformats.org/officeDocument/2006/relationships/hyperlink" Target="https://enzyme.expasy.org/EC/2.4.99.17" TargetMode="External"/><Relationship Id="rId1614" Type="http://schemas.openxmlformats.org/officeDocument/2006/relationships/hyperlink" Target="https://www.genome.jp/entry/2.7.1.197" TargetMode="External"/><Relationship Id="rId1821" Type="http://schemas.openxmlformats.org/officeDocument/2006/relationships/hyperlink" Target="https://www.genome.jp/entry/C00008" TargetMode="External"/><Relationship Id="rId2388" Type="http://schemas.openxmlformats.org/officeDocument/2006/relationships/hyperlink" Target="https://www.genome.jp/entry/G10529" TargetMode="External"/><Relationship Id="rId2595" Type="http://schemas.openxmlformats.org/officeDocument/2006/relationships/hyperlink" Target="https://www.genome.jp/entry/C00357" TargetMode="External"/><Relationship Id="rId3439" Type="http://schemas.openxmlformats.org/officeDocument/2006/relationships/hyperlink" Target="https://enzyme.expasy.org/EC/7.3.2.1" TargetMode="External"/><Relationship Id="rId567" Type="http://schemas.openxmlformats.org/officeDocument/2006/relationships/hyperlink" Target="https://www.genome.jp/entry/C00022" TargetMode="External"/><Relationship Id="rId1197" Type="http://schemas.openxmlformats.org/officeDocument/2006/relationships/hyperlink" Target="https://www.genome.jp/entry/C05755" TargetMode="External"/><Relationship Id="rId2248" Type="http://schemas.openxmlformats.org/officeDocument/2006/relationships/hyperlink" Target="https://www.genome.jp/entry/C00344" TargetMode="External"/><Relationship Id="rId122" Type="http://schemas.openxmlformats.org/officeDocument/2006/relationships/hyperlink" Target="https://www.genome.jp/entry/1.1.1.100" TargetMode="External"/><Relationship Id="rId774" Type="http://schemas.openxmlformats.org/officeDocument/2006/relationships/hyperlink" Target="https://www.genome.jp/entry/1.8.1.9" TargetMode="External"/><Relationship Id="rId981" Type="http://schemas.openxmlformats.org/officeDocument/2006/relationships/hyperlink" Target="https://enzyme.expasy.org/EC/2.1.2.9" TargetMode="External"/><Relationship Id="rId1057" Type="http://schemas.openxmlformats.org/officeDocument/2006/relationships/hyperlink" Target="https://www.genome.jp/entry/R00238" TargetMode="External"/><Relationship Id="rId2010" Type="http://schemas.openxmlformats.org/officeDocument/2006/relationships/hyperlink" Target="https://www.genome.jp/entry/C00002" TargetMode="External"/><Relationship Id="rId2455" Type="http://schemas.openxmlformats.org/officeDocument/2006/relationships/hyperlink" Target="https://www.genome.jp/entry/C00124" TargetMode="External"/><Relationship Id="rId2662" Type="http://schemas.openxmlformats.org/officeDocument/2006/relationships/hyperlink" Target="https://www.genome.jp/entry/C00445" TargetMode="External"/><Relationship Id="rId427" Type="http://schemas.openxmlformats.org/officeDocument/2006/relationships/hyperlink" Target="https://enzyme.expasy.org/EC/1.17.4.1" TargetMode="External"/><Relationship Id="rId634" Type="http://schemas.openxmlformats.org/officeDocument/2006/relationships/hyperlink" Target="https://www.genome.jp/entry/R00278" TargetMode="External"/><Relationship Id="rId841" Type="http://schemas.openxmlformats.org/officeDocument/2006/relationships/hyperlink" Target="https://www.genome.jp/entry/2.1.1.177" TargetMode="External"/><Relationship Id="rId1264" Type="http://schemas.openxmlformats.org/officeDocument/2006/relationships/hyperlink" Target="https://www.genome.jp/entry/2.3.1.54" TargetMode="External"/><Relationship Id="rId1471" Type="http://schemas.openxmlformats.org/officeDocument/2006/relationships/hyperlink" Target="https://www.genome.jp/entry/2.5.1.74" TargetMode="External"/><Relationship Id="rId1569" Type="http://schemas.openxmlformats.org/officeDocument/2006/relationships/hyperlink" Target="https://enzyme.expasy.org/EC/2.7.1.121" TargetMode="External"/><Relationship Id="rId2108" Type="http://schemas.openxmlformats.org/officeDocument/2006/relationships/hyperlink" Target="https://enzyme.expasy.org/EC/2.7.7.7" TargetMode="External"/><Relationship Id="rId2315" Type="http://schemas.openxmlformats.org/officeDocument/2006/relationships/hyperlink" Target="https://enzyme.expasy.org/EC/3.1.6.1" TargetMode="External"/><Relationship Id="rId2522" Type="http://schemas.openxmlformats.org/officeDocument/2006/relationships/hyperlink" Target="https://enzyme.expasy.org/EC/3.2.1.26" TargetMode="External"/><Relationship Id="rId2967" Type="http://schemas.openxmlformats.org/officeDocument/2006/relationships/hyperlink" Target="https://www.genome.jp/entry/C00022" TargetMode="External"/><Relationship Id="rId701" Type="http://schemas.openxmlformats.org/officeDocument/2006/relationships/hyperlink" Target="https://www.genome.jp/entry/C00415" TargetMode="External"/><Relationship Id="rId939" Type="http://schemas.openxmlformats.org/officeDocument/2006/relationships/hyperlink" Target="https://www.genome.jp/entry/2.1.1.64" TargetMode="External"/><Relationship Id="rId1124" Type="http://schemas.openxmlformats.org/officeDocument/2006/relationships/hyperlink" Target="https://www.genome.jp/entry/C00010" TargetMode="External"/><Relationship Id="rId1331" Type="http://schemas.openxmlformats.org/officeDocument/2006/relationships/hyperlink" Target="https://www.genome.jp/entry/G10550" TargetMode="External"/><Relationship Id="rId1776" Type="http://schemas.openxmlformats.org/officeDocument/2006/relationships/hyperlink" Target="https://enzyme.expasy.org/EC/2.7.4.2" TargetMode="External"/><Relationship Id="rId1983" Type="http://schemas.openxmlformats.org/officeDocument/2006/relationships/hyperlink" Target="https://www.genome.jp/entry/C00075" TargetMode="External"/><Relationship Id="rId2827" Type="http://schemas.openxmlformats.org/officeDocument/2006/relationships/hyperlink" Target="https://enzyme.expasy.org/EC/4.2.1.20" TargetMode="External"/><Relationship Id="rId68" Type="http://schemas.openxmlformats.org/officeDocument/2006/relationships/hyperlink" Target="https://www.genome.jp/entry/R08558" TargetMode="External"/><Relationship Id="rId1429" Type="http://schemas.openxmlformats.org/officeDocument/2006/relationships/hyperlink" Target="https://www.genome.jp/entry/C00536" TargetMode="External"/><Relationship Id="rId1636" Type="http://schemas.openxmlformats.org/officeDocument/2006/relationships/hyperlink" Target="https://www.genome.jp/entry/C00002" TargetMode="External"/><Relationship Id="rId1843" Type="http://schemas.openxmlformats.org/officeDocument/2006/relationships/hyperlink" Target="https://enzyme.expasy.org/EC/2.7.4.6" TargetMode="External"/><Relationship Id="rId3089" Type="http://schemas.openxmlformats.org/officeDocument/2006/relationships/hyperlink" Target="https://www.genome.jp/entry/C03453" TargetMode="External"/><Relationship Id="rId3296" Type="http://schemas.openxmlformats.org/officeDocument/2006/relationships/hyperlink" Target="https://www.genome.jp/entry/C00002" TargetMode="External"/><Relationship Id="rId1703" Type="http://schemas.openxmlformats.org/officeDocument/2006/relationships/hyperlink" Target="https://enzyme.expasy.org/EC/2.7.1.48" TargetMode="External"/><Relationship Id="rId1910" Type="http://schemas.openxmlformats.org/officeDocument/2006/relationships/hyperlink" Target="https://enzyme.expasy.org/EC/2.7.7.6" TargetMode="External"/><Relationship Id="rId3156" Type="http://schemas.openxmlformats.org/officeDocument/2006/relationships/hyperlink" Target="https://www.genome.jp/entry/C00002" TargetMode="External"/><Relationship Id="rId3363" Type="http://schemas.openxmlformats.org/officeDocument/2006/relationships/hyperlink" Target="https://www.genome.jp/entry/C16619" TargetMode="External"/><Relationship Id="rId284" Type="http://schemas.openxmlformats.org/officeDocument/2006/relationships/hyperlink" Target="https://www.genome.jp/entry/1.1.1.44" TargetMode="External"/><Relationship Id="rId491" Type="http://schemas.openxmlformats.org/officeDocument/2006/relationships/hyperlink" Target="https://www.genome.jp/entry/C00002" TargetMode="External"/><Relationship Id="rId2172" Type="http://schemas.openxmlformats.org/officeDocument/2006/relationships/hyperlink" Target="https://www.genome.jp/entry/C02211" TargetMode="External"/><Relationship Id="rId3016" Type="http://schemas.openxmlformats.org/officeDocument/2006/relationships/hyperlink" Target="https://enzyme.expasy.org/EC/5.2.1.8" TargetMode="External"/><Relationship Id="rId3223" Type="http://schemas.openxmlformats.org/officeDocument/2006/relationships/hyperlink" Target="https://enzyme.expasy.org/EC/6.1.1.20" TargetMode="External"/><Relationship Id="rId144" Type="http://schemas.openxmlformats.org/officeDocument/2006/relationships/hyperlink" Target="https://www.genome.jp/entry/C20373" TargetMode="External"/><Relationship Id="rId589" Type="http://schemas.openxmlformats.org/officeDocument/2006/relationships/hyperlink" Target="https://enzyme.expasy.org/EC/1.3.1.98" TargetMode="External"/><Relationship Id="rId796" Type="http://schemas.openxmlformats.org/officeDocument/2006/relationships/hyperlink" Target="https://www.genome.jp/entry/C00073" TargetMode="External"/><Relationship Id="rId2477" Type="http://schemas.openxmlformats.org/officeDocument/2006/relationships/hyperlink" Target="https://enzyme.expasy.org/EC/3.2.1.23" TargetMode="External"/><Relationship Id="rId2684" Type="http://schemas.openxmlformats.org/officeDocument/2006/relationships/hyperlink" Target="https://www.genome.jp/entry/C17556" TargetMode="External"/><Relationship Id="rId3430" Type="http://schemas.openxmlformats.org/officeDocument/2006/relationships/hyperlink" Target="https://www.genome.jp/entry/C00008" TargetMode="External"/><Relationship Id="rId351" Type="http://schemas.openxmlformats.org/officeDocument/2006/relationships/hyperlink" Target="https://www.genome.jp/entry/1.17.4.1" TargetMode="External"/><Relationship Id="rId449" Type="http://schemas.openxmlformats.org/officeDocument/2006/relationships/hyperlink" Target="https://www.genome.jp/entry/R02017" TargetMode="External"/><Relationship Id="rId656" Type="http://schemas.openxmlformats.org/officeDocument/2006/relationships/hyperlink" Target="https://www.genome.jp/entry/R03291" TargetMode="External"/><Relationship Id="rId863" Type="http://schemas.openxmlformats.org/officeDocument/2006/relationships/hyperlink" Target="https://www.genome.jp/entry/C00019" TargetMode="External"/><Relationship Id="rId1079" Type="http://schemas.openxmlformats.org/officeDocument/2006/relationships/hyperlink" Target="https://www.genome.jp/entry/C00010" TargetMode="External"/><Relationship Id="rId1286" Type="http://schemas.openxmlformats.org/officeDocument/2006/relationships/hyperlink" Target="https://www.genome.jp/entry/C00356" TargetMode="External"/><Relationship Id="rId1493" Type="http://schemas.openxmlformats.org/officeDocument/2006/relationships/hyperlink" Target="https://enzyme.expasy.org/EC/2.6.1.42" TargetMode="External"/><Relationship Id="rId2032" Type="http://schemas.openxmlformats.org/officeDocument/2006/relationships/hyperlink" Target="https://www.genome.jp/entry/C00013" TargetMode="External"/><Relationship Id="rId2337" Type="http://schemas.openxmlformats.org/officeDocument/2006/relationships/hyperlink" Target="https://www.genome.jp/entry/C05402" TargetMode="External"/><Relationship Id="rId2544" Type="http://schemas.openxmlformats.org/officeDocument/2006/relationships/hyperlink" Target="https://www.genome.jp/entry/C06187" TargetMode="External"/><Relationship Id="rId2891" Type="http://schemas.openxmlformats.org/officeDocument/2006/relationships/hyperlink" Target="https://www.genome.jp/entry/C20904" TargetMode="External"/><Relationship Id="rId2989" Type="http://schemas.openxmlformats.org/officeDocument/2006/relationships/hyperlink" Target="https://enzyme.expasy.org/EC/5.1.1.3" TargetMode="External"/><Relationship Id="rId211" Type="http://schemas.openxmlformats.org/officeDocument/2006/relationships/hyperlink" Target="https://www.genome.jp/entry/1.1.1.25" TargetMode="External"/><Relationship Id="rId309" Type="http://schemas.openxmlformats.org/officeDocument/2006/relationships/hyperlink" Target="https://www.genome.jp/entry/R00844" TargetMode="External"/><Relationship Id="rId516" Type="http://schemas.openxmlformats.org/officeDocument/2006/relationships/hyperlink" Target="https://www.genome.jp/entry/C00002" TargetMode="External"/><Relationship Id="rId1146" Type="http://schemas.openxmlformats.org/officeDocument/2006/relationships/hyperlink" Target="https://www.genome.jp/entry/2.3.1.16" TargetMode="External"/><Relationship Id="rId1798" Type="http://schemas.openxmlformats.org/officeDocument/2006/relationships/hyperlink" Target="https://enzyme.expasy.org/EC/2.7.4.6" TargetMode="External"/><Relationship Id="rId2751" Type="http://schemas.openxmlformats.org/officeDocument/2006/relationships/hyperlink" Target="https://www.genome.jp/entry/C00111" TargetMode="External"/><Relationship Id="rId2849" Type="http://schemas.openxmlformats.org/officeDocument/2006/relationships/hyperlink" Target="https://www.genome.jp/entry/C05751" TargetMode="External"/><Relationship Id="rId723" Type="http://schemas.openxmlformats.org/officeDocument/2006/relationships/hyperlink" Target="https://enzyme.expasy.org/EC/1.8.1.4" TargetMode="External"/><Relationship Id="rId930" Type="http://schemas.openxmlformats.org/officeDocument/2006/relationships/hyperlink" Target="https://www.genome.jp/entry/C00021" TargetMode="External"/><Relationship Id="rId1006" Type="http://schemas.openxmlformats.org/officeDocument/2006/relationships/hyperlink" Target="https://www.genome.jp/entry/2.2.1.6" TargetMode="External"/><Relationship Id="rId1353" Type="http://schemas.openxmlformats.org/officeDocument/2006/relationships/hyperlink" Target="https://enzyme.expasy.org/EC/2.4.2.2" TargetMode="External"/><Relationship Id="rId1560" Type="http://schemas.openxmlformats.org/officeDocument/2006/relationships/hyperlink" Target="https://www.genome.jp/entry/R03238" TargetMode="External"/><Relationship Id="rId1658" Type="http://schemas.openxmlformats.org/officeDocument/2006/relationships/hyperlink" Target="https://enzyme.expasy.org/EC/2.7.1.33" TargetMode="External"/><Relationship Id="rId1865" Type="http://schemas.openxmlformats.org/officeDocument/2006/relationships/hyperlink" Target="https://enzyme.expasy.org/EC/2.7.6.1" TargetMode="External"/><Relationship Id="rId2404" Type="http://schemas.openxmlformats.org/officeDocument/2006/relationships/hyperlink" Target="https://www.genome.jp/entry/C00137" TargetMode="External"/><Relationship Id="rId2611" Type="http://schemas.openxmlformats.org/officeDocument/2006/relationships/hyperlink" Target="https://www.genome.jp/entry/C00954" TargetMode="External"/><Relationship Id="rId2709" Type="http://schemas.openxmlformats.org/officeDocument/2006/relationships/hyperlink" Target="https://www.genome.jp/entry/C00109" TargetMode="External"/><Relationship Id="rId1213" Type="http://schemas.openxmlformats.org/officeDocument/2006/relationships/hyperlink" Target="https://www.genome.jp/entry/C20372" TargetMode="External"/><Relationship Id="rId1420" Type="http://schemas.openxmlformats.org/officeDocument/2006/relationships/hyperlink" Target="https://enzyme.expasy.org/EC/2.5.1.17" TargetMode="External"/><Relationship Id="rId1518" Type="http://schemas.openxmlformats.org/officeDocument/2006/relationships/hyperlink" Target="https://www.genome.jp/entry/R00694" TargetMode="External"/><Relationship Id="rId2916" Type="http://schemas.openxmlformats.org/officeDocument/2006/relationships/hyperlink" Target="https://www.genome.jp/entry/C04666" TargetMode="External"/><Relationship Id="rId3080" Type="http://schemas.openxmlformats.org/officeDocument/2006/relationships/hyperlink" Target="https://www.genome.jp/entry/C00668" TargetMode="External"/><Relationship Id="rId1725" Type="http://schemas.openxmlformats.org/officeDocument/2006/relationships/hyperlink" Target="https://www.genome.jp/entry/C00002" TargetMode="External"/><Relationship Id="rId1932" Type="http://schemas.openxmlformats.org/officeDocument/2006/relationships/hyperlink" Target="https://www.genome.jp/entry/C00201" TargetMode="External"/><Relationship Id="rId3178" Type="http://schemas.openxmlformats.org/officeDocument/2006/relationships/hyperlink" Target="https://www.genome.jp/entry/C00020" TargetMode="External"/><Relationship Id="rId3385" Type="http://schemas.openxmlformats.org/officeDocument/2006/relationships/hyperlink" Target="https://enzyme.expasy.org/EC/6.3.5.5" TargetMode="External"/><Relationship Id="rId17" Type="http://schemas.openxmlformats.org/officeDocument/2006/relationships/hyperlink" Target="https://www.genome.jp/entry/1.1.1.1" TargetMode="External"/><Relationship Id="rId2194" Type="http://schemas.openxmlformats.org/officeDocument/2006/relationships/hyperlink" Target="https://www.genome.jp/entry/C00105" TargetMode="External"/><Relationship Id="rId3038" Type="http://schemas.openxmlformats.org/officeDocument/2006/relationships/hyperlink" Target="https://www.genome.jp/entry/C01113" TargetMode="External"/><Relationship Id="rId3245" Type="http://schemas.openxmlformats.org/officeDocument/2006/relationships/hyperlink" Target="https://www.genome.jp/entry/C00002" TargetMode="External"/><Relationship Id="rId166" Type="http://schemas.openxmlformats.org/officeDocument/2006/relationships/hyperlink" Target="https://www.genome.jp/entry/1.1.1.17" TargetMode="External"/><Relationship Id="rId373" Type="http://schemas.openxmlformats.org/officeDocument/2006/relationships/hyperlink" Target="https://www.genome.jp/entry/C03723" TargetMode="External"/><Relationship Id="rId580" Type="http://schemas.openxmlformats.org/officeDocument/2006/relationships/hyperlink" Target="https://www.genome.jp/entry/1.3.1.95" TargetMode="External"/><Relationship Id="rId2054" Type="http://schemas.openxmlformats.org/officeDocument/2006/relationships/hyperlink" Target="https://enzyme.expasy.org/EC/2.7.7.7" TargetMode="External"/><Relationship Id="rId2261" Type="http://schemas.openxmlformats.org/officeDocument/2006/relationships/hyperlink" Target="https://enzyme.expasy.org/EC/3.1.3.5" TargetMode="External"/><Relationship Id="rId2499" Type="http://schemas.openxmlformats.org/officeDocument/2006/relationships/hyperlink" Target="https://www.genome.jp/entry/C00089" TargetMode="External"/><Relationship Id="rId3105" Type="http://schemas.openxmlformats.org/officeDocument/2006/relationships/hyperlink" Target="https://www.genome.jp/entry/C00663" TargetMode="External"/><Relationship Id="rId3312" Type="http://schemas.openxmlformats.org/officeDocument/2006/relationships/hyperlink" Target="https://www.genome.jp/entry/C00008" TargetMode="External"/><Relationship Id="rId1" Type="http://schemas.openxmlformats.org/officeDocument/2006/relationships/hyperlink" Target="https://enzyme.expasy.org/EC/1.1.1.1" TargetMode="External"/><Relationship Id="rId233" Type="http://schemas.openxmlformats.org/officeDocument/2006/relationships/hyperlink" Target="https://www.genome.jp/entry/C06055" TargetMode="External"/><Relationship Id="rId440" Type="http://schemas.openxmlformats.org/officeDocument/2006/relationships/hyperlink" Target="https://www.genome.jp/entry/C21750" TargetMode="External"/><Relationship Id="rId678" Type="http://schemas.openxmlformats.org/officeDocument/2006/relationships/hyperlink" Target="https://enzyme.expasy.org/EC/1.5.1.3" TargetMode="External"/><Relationship Id="rId885" Type="http://schemas.openxmlformats.org/officeDocument/2006/relationships/hyperlink" Target="https://www.genome.jp/entry/2.1.1.222" TargetMode="External"/><Relationship Id="rId1070" Type="http://schemas.openxmlformats.org/officeDocument/2006/relationships/hyperlink" Target="https://enzyme.expasy.org/EC/2.3.1.16" TargetMode="External"/><Relationship Id="rId2121" Type="http://schemas.openxmlformats.org/officeDocument/2006/relationships/hyperlink" Target="https://www.genome.jp/entry/C00131" TargetMode="External"/><Relationship Id="rId2359" Type="http://schemas.openxmlformats.org/officeDocument/2006/relationships/hyperlink" Target="https://www.genome.jp/entry/C00492" TargetMode="External"/><Relationship Id="rId2566" Type="http://schemas.openxmlformats.org/officeDocument/2006/relationships/hyperlink" Target="https://www.genome.jp/entry/C22288" TargetMode="External"/><Relationship Id="rId2773" Type="http://schemas.openxmlformats.org/officeDocument/2006/relationships/hyperlink" Target="https://enzyme.expasy.org/EC/4.1.2.13" TargetMode="External"/><Relationship Id="rId2980" Type="http://schemas.openxmlformats.org/officeDocument/2006/relationships/hyperlink" Target="https://enzyme.expasy.org/EC/4.4.1.13" TargetMode="External"/><Relationship Id="rId300" Type="http://schemas.openxmlformats.org/officeDocument/2006/relationships/hyperlink" Target="https://www.genome.jp/entry/C00418" TargetMode="External"/><Relationship Id="rId538" Type="http://schemas.openxmlformats.org/officeDocument/2006/relationships/hyperlink" Target="https://www.genome.jp/entry/R00228" TargetMode="External"/><Relationship Id="rId745" Type="http://schemas.openxmlformats.org/officeDocument/2006/relationships/hyperlink" Target="https://www.genome.jp/entry/R03815" TargetMode="External"/><Relationship Id="rId952" Type="http://schemas.openxmlformats.org/officeDocument/2006/relationships/hyperlink" Target="https://www.genome.jp/entry/2.1.1.72" TargetMode="External"/><Relationship Id="rId1168" Type="http://schemas.openxmlformats.org/officeDocument/2006/relationships/hyperlink" Target="https://www.genome.jp/entry/C00173" TargetMode="External"/><Relationship Id="rId1375" Type="http://schemas.openxmlformats.org/officeDocument/2006/relationships/hyperlink" Target="https://www.genome.jp/entry/R10209" TargetMode="External"/><Relationship Id="rId1582" Type="http://schemas.openxmlformats.org/officeDocument/2006/relationships/hyperlink" Target="https://www.genome.jp/entry/C00074" TargetMode="External"/><Relationship Id="rId2219" Type="http://schemas.openxmlformats.org/officeDocument/2006/relationships/hyperlink" Target="https://www.genome.jp/entry/C03880" TargetMode="External"/><Relationship Id="rId2426" Type="http://schemas.openxmlformats.org/officeDocument/2006/relationships/hyperlink" Target="https://enzyme.expasy.org/EC/3.2.1.22" TargetMode="External"/><Relationship Id="rId2633" Type="http://schemas.openxmlformats.org/officeDocument/2006/relationships/hyperlink" Target="https://enzyme.expasy.org/EC/3.5.2.3" TargetMode="External"/><Relationship Id="rId81" Type="http://schemas.openxmlformats.org/officeDocument/2006/relationships/hyperlink" Target="https://enzyme.expasy.org/EC/1.1.1.1" TargetMode="External"/><Relationship Id="rId605" Type="http://schemas.openxmlformats.org/officeDocument/2006/relationships/hyperlink" Target="https://www.genome.jp/entry/1.4.1.13" TargetMode="External"/><Relationship Id="rId812" Type="http://schemas.openxmlformats.org/officeDocument/2006/relationships/hyperlink" Target="https://www.genome.jp/entry/C04144" TargetMode="External"/><Relationship Id="rId1028" Type="http://schemas.openxmlformats.org/officeDocument/2006/relationships/hyperlink" Target="https://www.genome.jp/entry/C00022" TargetMode="External"/><Relationship Id="rId1235" Type="http://schemas.openxmlformats.org/officeDocument/2006/relationships/hyperlink" Target="https://www.genome.jp/entry/2.3.1.266" TargetMode="External"/><Relationship Id="rId1442" Type="http://schemas.openxmlformats.org/officeDocument/2006/relationships/hyperlink" Target="https://enzyme.expasy.org/EC/2.5.1.47" TargetMode="External"/><Relationship Id="rId1887" Type="http://schemas.openxmlformats.org/officeDocument/2006/relationships/hyperlink" Target="https://www.genome.jp/entry/C00075" TargetMode="External"/><Relationship Id="rId2840" Type="http://schemas.openxmlformats.org/officeDocument/2006/relationships/hyperlink" Target="https://www.genome.jp/entry/C03195" TargetMode="External"/><Relationship Id="rId2938" Type="http://schemas.openxmlformats.org/officeDocument/2006/relationships/hyperlink" Target="https://enzyme.expasy.org/EC/4.4.1.13" TargetMode="External"/><Relationship Id="rId1302" Type="http://schemas.openxmlformats.org/officeDocument/2006/relationships/hyperlink" Target="https://www.genome.jp/entry/C00718" TargetMode="External"/><Relationship Id="rId1747" Type="http://schemas.openxmlformats.org/officeDocument/2006/relationships/hyperlink" Target="https://www.genome.jp/entry/C00002" TargetMode="External"/><Relationship Id="rId1954" Type="http://schemas.openxmlformats.org/officeDocument/2006/relationships/hyperlink" Target="https://www.genome.jp/entry/C00013" TargetMode="External"/><Relationship Id="rId2700" Type="http://schemas.openxmlformats.org/officeDocument/2006/relationships/hyperlink" Target="https://www.genome.jp/entry/C16737" TargetMode="External"/><Relationship Id="rId39" Type="http://schemas.openxmlformats.org/officeDocument/2006/relationships/hyperlink" Target="https://www.genome.jp/entry/C06612" TargetMode="External"/><Relationship Id="rId1607" Type="http://schemas.openxmlformats.org/officeDocument/2006/relationships/hyperlink" Target="https://www.genome.jp/entry/C01801" TargetMode="External"/><Relationship Id="rId1814" Type="http://schemas.openxmlformats.org/officeDocument/2006/relationships/hyperlink" Target="https://www.genome.jp/entry/C00002" TargetMode="External"/><Relationship Id="rId3267" Type="http://schemas.openxmlformats.org/officeDocument/2006/relationships/hyperlink" Target="https://www.genome.jp/entry/C15972" TargetMode="External"/><Relationship Id="rId188" Type="http://schemas.openxmlformats.org/officeDocument/2006/relationships/hyperlink" Target="https://www.genome.jp/entry/C04646" TargetMode="External"/><Relationship Id="rId395" Type="http://schemas.openxmlformats.org/officeDocument/2006/relationships/hyperlink" Target="https://www.genome.jp/entry/R08364" TargetMode="External"/><Relationship Id="rId2076" Type="http://schemas.openxmlformats.org/officeDocument/2006/relationships/hyperlink" Target="https://www.genome.jp/entry/C00459" TargetMode="External"/><Relationship Id="rId2283" Type="http://schemas.openxmlformats.org/officeDocument/2006/relationships/hyperlink" Target="https://www.genome.jp/entry/C00362" TargetMode="External"/><Relationship Id="rId2490" Type="http://schemas.openxmlformats.org/officeDocument/2006/relationships/hyperlink" Target="https://www.genome.jp/entry/G10534" TargetMode="External"/><Relationship Id="rId2588" Type="http://schemas.openxmlformats.org/officeDocument/2006/relationships/hyperlink" Target="https://enzyme.expasy.org/EC/3.5.1.2" TargetMode="External"/><Relationship Id="rId3127" Type="http://schemas.openxmlformats.org/officeDocument/2006/relationships/hyperlink" Target="https://www.genome.jp/entry/C00052" TargetMode="External"/><Relationship Id="rId3334" Type="http://schemas.openxmlformats.org/officeDocument/2006/relationships/hyperlink" Target="https://enzyme.expasy.org/EC/6.3.4.2" TargetMode="External"/><Relationship Id="rId255" Type="http://schemas.openxmlformats.org/officeDocument/2006/relationships/hyperlink" Target="https://enzyme.expasy.org/EC/1.1.1.27" TargetMode="External"/><Relationship Id="rId462" Type="http://schemas.openxmlformats.org/officeDocument/2006/relationships/hyperlink" Target="https://enzyme.expasy.org/EC/1.17.4.1" TargetMode="External"/><Relationship Id="rId1092" Type="http://schemas.openxmlformats.org/officeDocument/2006/relationships/hyperlink" Target="https://www.genome.jp/entry/R04742" TargetMode="External"/><Relationship Id="rId1397" Type="http://schemas.openxmlformats.org/officeDocument/2006/relationships/hyperlink" Target="https://enzyme.expasy.org/EC/2.4.2.9" TargetMode="External"/><Relationship Id="rId2143" Type="http://schemas.openxmlformats.org/officeDocument/2006/relationships/hyperlink" Target="https://www.genome.jp/entry/C00013" TargetMode="External"/><Relationship Id="rId2350" Type="http://schemas.openxmlformats.org/officeDocument/2006/relationships/hyperlink" Target="https://www.genome.jp/entry/C00159" TargetMode="External"/><Relationship Id="rId2795" Type="http://schemas.openxmlformats.org/officeDocument/2006/relationships/hyperlink" Target="https://www.genome.jp/entry/C00158" TargetMode="External"/><Relationship Id="rId3401" Type="http://schemas.openxmlformats.org/officeDocument/2006/relationships/hyperlink" Target="https://www.genome.jp/entry/C00002" TargetMode="External"/><Relationship Id="rId115" Type="http://schemas.openxmlformats.org/officeDocument/2006/relationships/hyperlink" Target="https://www.genome.jp/entry/C05750" TargetMode="External"/><Relationship Id="rId322" Type="http://schemas.openxmlformats.org/officeDocument/2006/relationships/hyperlink" Target="https://www.genome.jp/entry/R04198" TargetMode="External"/><Relationship Id="rId767" Type="http://schemas.openxmlformats.org/officeDocument/2006/relationships/hyperlink" Target="https://www.genome.jp/entry/C05526" TargetMode="External"/><Relationship Id="rId974" Type="http://schemas.openxmlformats.org/officeDocument/2006/relationships/hyperlink" Target="https://www.genome.jp/entry/C03838" TargetMode="External"/><Relationship Id="rId2003" Type="http://schemas.openxmlformats.org/officeDocument/2006/relationships/hyperlink" Target="https://enzyme.expasy.org/EC/2.7.7.6" TargetMode="External"/><Relationship Id="rId2210" Type="http://schemas.openxmlformats.org/officeDocument/2006/relationships/hyperlink" Target="https://enzyme.expasy.org/EC/2.8.1.4" TargetMode="External"/><Relationship Id="rId2448" Type="http://schemas.openxmlformats.org/officeDocument/2006/relationships/hyperlink" Target="https://www.genome.jp/entry/G00278" TargetMode="External"/><Relationship Id="rId2655" Type="http://schemas.openxmlformats.org/officeDocument/2006/relationships/hyperlink" Target="https://www.genome.jp/entry/C00299" TargetMode="External"/><Relationship Id="rId2862" Type="http://schemas.openxmlformats.org/officeDocument/2006/relationships/hyperlink" Target="https://enzyme.expasy.org/EC/4.2.3.1" TargetMode="External"/><Relationship Id="rId627" Type="http://schemas.openxmlformats.org/officeDocument/2006/relationships/hyperlink" Target="https://www.genome.jp/entry/C05167" TargetMode="External"/><Relationship Id="rId834" Type="http://schemas.openxmlformats.org/officeDocument/2006/relationships/hyperlink" Target="https://www.genome.jp/entry/C00019" TargetMode="External"/><Relationship Id="rId1257" Type="http://schemas.openxmlformats.org/officeDocument/2006/relationships/hyperlink" Target="https://www.genome.jp/entry/C00010" TargetMode="External"/><Relationship Id="rId1464" Type="http://schemas.openxmlformats.org/officeDocument/2006/relationships/hyperlink" Target="https://www.genome.jp/entry/C00009" TargetMode="External"/><Relationship Id="rId1671" Type="http://schemas.openxmlformats.org/officeDocument/2006/relationships/hyperlink" Target="https://www.genome.jp/entry/C00002" TargetMode="External"/><Relationship Id="rId2308" Type="http://schemas.openxmlformats.org/officeDocument/2006/relationships/hyperlink" Target="https://www.genome.jp/entry/C15584" TargetMode="External"/><Relationship Id="rId2515" Type="http://schemas.openxmlformats.org/officeDocument/2006/relationships/hyperlink" Target="https://www.genome.jp/entry/C02336" TargetMode="External"/><Relationship Id="rId2722" Type="http://schemas.openxmlformats.org/officeDocument/2006/relationships/hyperlink" Target="https://enzyme.expasy.org/EC/4.1.1.23" TargetMode="External"/><Relationship Id="rId901" Type="http://schemas.openxmlformats.org/officeDocument/2006/relationships/hyperlink" Target="https://www.genome.jp/entry/C00019" TargetMode="External"/><Relationship Id="rId1117" Type="http://schemas.openxmlformats.org/officeDocument/2006/relationships/hyperlink" Target="https://www.genome.jp/entry/R07895" TargetMode="External"/><Relationship Id="rId1324" Type="http://schemas.openxmlformats.org/officeDocument/2006/relationships/hyperlink" Target="https://enzyme.expasy.org/EC/2.4.1.227" TargetMode="External"/><Relationship Id="rId1531" Type="http://schemas.openxmlformats.org/officeDocument/2006/relationships/hyperlink" Target="https://enzyme.expasy.org/EC/2.7.1.11" TargetMode="External"/><Relationship Id="rId1769" Type="http://schemas.openxmlformats.org/officeDocument/2006/relationships/hyperlink" Target="https://www.genome.jp/entry/C00008" TargetMode="External"/><Relationship Id="rId1976" Type="http://schemas.openxmlformats.org/officeDocument/2006/relationships/hyperlink" Target="https://enzyme.expasy.org/EC/2.7.7.6" TargetMode="External"/><Relationship Id="rId3191" Type="http://schemas.openxmlformats.org/officeDocument/2006/relationships/hyperlink" Target="https://enzyme.expasy.org/EC/6.1.1.13" TargetMode="External"/><Relationship Id="rId30" Type="http://schemas.openxmlformats.org/officeDocument/2006/relationships/hyperlink" Target="https://www.genome.jp/entry/C05577" TargetMode="External"/><Relationship Id="rId1629" Type="http://schemas.openxmlformats.org/officeDocument/2006/relationships/hyperlink" Target="https://enzyme.expasy.org/EC/2.7.1.2" TargetMode="External"/><Relationship Id="rId1836" Type="http://schemas.openxmlformats.org/officeDocument/2006/relationships/hyperlink" Target="https://www.genome.jp/entry/C00008" TargetMode="External"/><Relationship Id="rId3289" Type="http://schemas.openxmlformats.org/officeDocument/2006/relationships/hyperlink" Target="https://enzyme.expasy.org/EC/6.3.2.4" TargetMode="External"/><Relationship Id="rId1903" Type="http://schemas.openxmlformats.org/officeDocument/2006/relationships/hyperlink" Target="https://www.genome.jp/entry/C00013" TargetMode="External"/><Relationship Id="rId2098" Type="http://schemas.openxmlformats.org/officeDocument/2006/relationships/hyperlink" Target="https://www.genome.jp/entry/C21031" TargetMode="External"/><Relationship Id="rId3051" Type="http://schemas.openxmlformats.org/officeDocument/2006/relationships/hyperlink" Target="https://www.genome.jp/entry/C05345" TargetMode="External"/><Relationship Id="rId3149" Type="http://schemas.openxmlformats.org/officeDocument/2006/relationships/hyperlink" Target="https://enzyme.expasy.org/EC/6.1.1.11" TargetMode="External"/><Relationship Id="rId3356" Type="http://schemas.openxmlformats.org/officeDocument/2006/relationships/hyperlink" Target="https://www.genome.jp/entry/C00002" TargetMode="External"/><Relationship Id="rId277" Type="http://schemas.openxmlformats.org/officeDocument/2006/relationships/hyperlink" Target="https://www.genome.jp/entry/R01775" TargetMode="External"/><Relationship Id="rId484" Type="http://schemas.openxmlformats.org/officeDocument/2006/relationships/hyperlink" Target="https://www.genome.jp/entry/R04315" TargetMode="External"/><Relationship Id="rId2165" Type="http://schemas.openxmlformats.org/officeDocument/2006/relationships/hyperlink" Target="https://enzyme.expasy.org/EC/2.7.7.7" TargetMode="External"/><Relationship Id="rId3009" Type="http://schemas.openxmlformats.org/officeDocument/2006/relationships/hyperlink" Target="https://www.genome.jp/entry/C02097" TargetMode="External"/><Relationship Id="rId3216" Type="http://schemas.openxmlformats.org/officeDocument/2006/relationships/hyperlink" Target="https://www.genome.jp/entry/C01641" TargetMode="External"/><Relationship Id="rId137" Type="http://schemas.openxmlformats.org/officeDocument/2006/relationships/hyperlink" Target="https://www.genome.jp/entry/1.1.1.100" TargetMode="External"/><Relationship Id="rId344" Type="http://schemas.openxmlformats.org/officeDocument/2006/relationships/hyperlink" Target="https://www.genome.jp/entry/C00342" TargetMode="External"/><Relationship Id="rId691" Type="http://schemas.openxmlformats.org/officeDocument/2006/relationships/hyperlink" Target="https://www.genome.jp/entry/C00101" TargetMode="External"/><Relationship Id="rId789" Type="http://schemas.openxmlformats.org/officeDocument/2006/relationships/hyperlink" Target="https://www.genome.jp/entry/1.8.4.11" TargetMode="External"/><Relationship Id="rId996" Type="http://schemas.openxmlformats.org/officeDocument/2006/relationships/hyperlink" Target="https://www.genome.jp/entry/2.2.1.6" TargetMode="External"/><Relationship Id="rId2025" Type="http://schemas.openxmlformats.org/officeDocument/2006/relationships/hyperlink" Target="https://www.genome.jp/entry/C19771" TargetMode="External"/><Relationship Id="rId2372" Type="http://schemas.openxmlformats.org/officeDocument/2006/relationships/hyperlink" Target="https://enzyme.expasy.org/EC/3.2.1.22" TargetMode="External"/><Relationship Id="rId2677" Type="http://schemas.openxmlformats.org/officeDocument/2006/relationships/hyperlink" Target="https://www.genome.jp/entry/C00404" TargetMode="External"/><Relationship Id="rId2884" Type="http://schemas.openxmlformats.org/officeDocument/2006/relationships/hyperlink" Target="https://enzyme.expasy.org/EC/4.3.1.17" TargetMode="External"/><Relationship Id="rId3423" Type="http://schemas.openxmlformats.org/officeDocument/2006/relationships/hyperlink" Target="https://www.genome.jp/entry/C00002" TargetMode="External"/><Relationship Id="rId551" Type="http://schemas.openxmlformats.org/officeDocument/2006/relationships/hyperlink" Target="https://www.genome.jp/entry/R03313" TargetMode="External"/><Relationship Id="rId649" Type="http://schemas.openxmlformats.org/officeDocument/2006/relationships/hyperlink" Target="https://enzyme.expasy.org/EC/1.5.1.2" TargetMode="External"/><Relationship Id="rId856" Type="http://schemas.openxmlformats.org/officeDocument/2006/relationships/hyperlink" Target="https://www.genome.jp/entry/C00021" TargetMode="External"/><Relationship Id="rId1181" Type="http://schemas.openxmlformats.org/officeDocument/2006/relationships/hyperlink" Target="https://www.genome.jp/entry/R04952" TargetMode="External"/><Relationship Id="rId1279" Type="http://schemas.openxmlformats.org/officeDocument/2006/relationships/hyperlink" Target="https://www.genome.jp/entry/2.3.1.89" TargetMode="External"/><Relationship Id="rId1486" Type="http://schemas.openxmlformats.org/officeDocument/2006/relationships/hyperlink" Target="https://www.genome.jp/entry/C00064" TargetMode="External"/><Relationship Id="rId2232" Type="http://schemas.openxmlformats.org/officeDocument/2006/relationships/hyperlink" Target="https://enzyme.expasy.org/EC/3.1.26.4" TargetMode="External"/><Relationship Id="rId2537" Type="http://schemas.openxmlformats.org/officeDocument/2006/relationships/hyperlink" Target="https://enzyme.expasy.org/EC/3.2.1.86" TargetMode="External"/><Relationship Id="rId204" Type="http://schemas.openxmlformats.org/officeDocument/2006/relationships/hyperlink" Target="https://www.genome.jp/entry/C01929" TargetMode="External"/><Relationship Id="rId411" Type="http://schemas.openxmlformats.org/officeDocument/2006/relationships/hyperlink" Target="https://www.genome.jp/entry/C00342" TargetMode="External"/><Relationship Id="rId509" Type="http://schemas.openxmlformats.org/officeDocument/2006/relationships/hyperlink" Target="https://www.genome.jp/entry/R04315" TargetMode="External"/><Relationship Id="rId1041" Type="http://schemas.openxmlformats.org/officeDocument/2006/relationships/hyperlink" Target="https://www.genome.jp/entry/2.3.1.15" TargetMode="External"/><Relationship Id="rId1139" Type="http://schemas.openxmlformats.org/officeDocument/2006/relationships/hyperlink" Target="https://www.genome.jp/entry/C16470" TargetMode="External"/><Relationship Id="rId1346" Type="http://schemas.openxmlformats.org/officeDocument/2006/relationships/hyperlink" Target="https://www.genome.jp/entry/C04302" TargetMode="External"/><Relationship Id="rId1693" Type="http://schemas.openxmlformats.org/officeDocument/2006/relationships/hyperlink" Target="https://www.genome.jp/entry/C00454" TargetMode="External"/><Relationship Id="rId1998" Type="http://schemas.openxmlformats.org/officeDocument/2006/relationships/hyperlink" Target="https://www.genome.jp/entry/C00063" TargetMode="External"/><Relationship Id="rId2744" Type="http://schemas.openxmlformats.org/officeDocument/2006/relationships/hyperlink" Target="https://www.genome.jp/entry/C00354" TargetMode="External"/><Relationship Id="rId2951" Type="http://schemas.openxmlformats.org/officeDocument/2006/relationships/hyperlink" Target="https://www.genome.jp/entry/C00097" TargetMode="External"/><Relationship Id="rId716" Type="http://schemas.openxmlformats.org/officeDocument/2006/relationships/hyperlink" Target="https://www.genome.jp/entry/C00130" TargetMode="External"/><Relationship Id="rId923" Type="http://schemas.openxmlformats.org/officeDocument/2006/relationships/hyperlink" Target="https://www.genome.jp/entry/2.1.1.63" TargetMode="External"/><Relationship Id="rId1553" Type="http://schemas.openxmlformats.org/officeDocument/2006/relationships/hyperlink" Target="https://www.genome.jp/entry/C01097" TargetMode="External"/><Relationship Id="rId1760" Type="http://schemas.openxmlformats.org/officeDocument/2006/relationships/hyperlink" Target="https://www.genome.jp/entry/C00008" TargetMode="External"/><Relationship Id="rId1858" Type="http://schemas.openxmlformats.org/officeDocument/2006/relationships/hyperlink" Target="https://www.genome.jp/entry/C22442" TargetMode="External"/><Relationship Id="rId2604" Type="http://schemas.openxmlformats.org/officeDocument/2006/relationships/hyperlink" Target="https://www.genome.jp/entry/C06244" TargetMode="External"/><Relationship Id="rId2811" Type="http://schemas.openxmlformats.org/officeDocument/2006/relationships/hyperlink" Target="https://www.genome.jp/entry/C16698" TargetMode="External"/><Relationship Id="rId52" Type="http://schemas.openxmlformats.org/officeDocument/2006/relationships/hyperlink" Target="https://www.genome.jp/entry/1.1.1.1" TargetMode="External"/><Relationship Id="rId1206" Type="http://schemas.openxmlformats.org/officeDocument/2006/relationships/hyperlink" Target="https://www.genome.jp/entry/R07762" TargetMode="External"/><Relationship Id="rId1413" Type="http://schemas.openxmlformats.org/officeDocument/2006/relationships/hyperlink" Target="https://www.genome.jp/entry/2.5.1.145" TargetMode="External"/><Relationship Id="rId1620" Type="http://schemas.openxmlformats.org/officeDocument/2006/relationships/hyperlink" Target="https://www.genome.jp/entry/R02704" TargetMode="External"/><Relationship Id="rId2909" Type="http://schemas.openxmlformats.org/officeDocument/2006/relationships/hyperlink" Target="https://www.genome.jp/entry/C04916" TargetMode="External"/><Relationship Id="rId3073" Type="http://schemas.openxmlformats.org/officeDocument/2006/relationships/hyperlink" Target="https://enzyme.expasy.org/EC/5.3.1.9" TargetMode="External"/><Relationship Id="rId3280" Type="http://schemas.openxmlformats.org/officeDocument/2006/relationships/hyperlink" Target="https://enzyme.expasy.org/EC/6.3.2.10" TargetMode="External"/><Relationship Id="rId1718" Type="http://schemas.openxmlformats.org/officeDocument/2006/relationships/hyperlink" Target="https://enzyme.expasy.org/EC/2.7.1.56" TargetMode="External"/><Relationship Id="rId1925" Type="http://schemas.openxmlformats.org/officeDocument/2006/relationships/hyperlink" Target="https://enzyme.expasy.org/EC/2.7.7.6" TargetMode="External"/><Relationship Id="rId3140" Type="http://schemas.openxmlformats.org/officeDocument/2006/relationships/hyperlink" Target="https://enzyme.expasy.org/EC/6.1.1.10" TargetMode="External"/><Relationship Id="rId3378" Type="http://schemas.openxmlformats.org/officeDocument/2006/relationships/hyperlink" Target="https://www.genome.jp/entry/C00020" TargetMode="External"/><Relationship Id="rId299" Type="http://schemas.openxmlformats.org/officeDocument/2006/relationships/hyperlink" Target="https://www.genome.jp/entry/R02081" TargetMode="External"/><Relationship Id="rId2187" Type="http://schemas.openxmlformats.org/officeDocument/2006/relationships/hyperlink" Target="https://www.genome.jp/entry/C00188" TargetMode="External"/><Relationship Id="rId2394" Type="http://schemas.openxmlformats.org/officeDocument/2006/relationships/hyperlink" Target="https://www.genome.jp/entry/C05402" TargetMode="External"/><Relationship Id="rId3238" Type="http://schemas.openxmlformats.org/officeDocument/2006/relationships/hyperlink" Target="https://enzyme.expasy.org/EC/6.1.1.4" TargetMode="External"/><Relationship Id="rId3445" Type="http://schemas.openxmlformats.org/officeDocument/2006/relationships/hyperlink" Target="https://enzyme.expasy.org/EC/7.6.2.14" TargetMode="External"/><Relationship Id="rId159" Type="http://schemas.openxmlformats.org/officeDocument/2006/relationships/hyperlink" Target="https://www.genome.jp/entry/C00085" TargetMode="External"/><Relationship Id="rId366" Type="http://schemas.openxmlformats.org/officeDocument/2006/relationships/hyperlink" Target="https://www.genome.jp/entry/1.17.4.1" TargetMode="External"/><Relationship Id="rId573" Type="http://schemas.openxmlformats.org/officeDocument/2006/relationships/hyperlink" Target="https://www.genome.jp/entry/C06697" TargetMode="External"/><Relationship Id="rId780" Type="http://schemas.openxmlformats.org/officeDocument/2006/relationships/hyperlink" Target="https://www.genome.jp/entry/R04120" TargetMode="External"/><Relationship Id="rId2047" Type="http://schemas.openxmlformats.org/officeDocument/2006/relationships/hyperlink" Target="https://www.genome.jp/entry/C00013" TargetMode="External"/><Relationship Id="rId2254" Type="http://schemas.openxmlformats.org/officeDocument/2006/relationships/hyperlink" Target="https://www.genome.jp/entry/C00212" TargetMode="External"/><Relationship Id="rId2461" Type="http://schemas.openxmlformats.org/officeDocument/2006/relationships/hyperlink" Target="https://www.genome.jp/entry/C01190" TargetMode="External"/><Relationship Id="rId2699" Type="http://schemas.openxmlformats.org/officeDocument/2006/relationships/hyperlink" Target="https://www.genome.jp/entry/C04287" TargetMode="External"/><Relationship Id="rId3000" Type="http://schemas.openxmlformats.org/officeDocument/2006/relationships/hyperlink" Target="https://www.genome.jp/entry/C00231" TargetMode="External"/><Relationship Id="rId3305" Type="http://schemas.openxmlformats.org/officeDocument/2006/relationships/hyperlink" Target="https://www.genome.jp/entry/C00002" TargetMode="External"/><Relationship Id="rId226" Type="http://schemas.openxmlformats.org/officeDocument/2006/relationships/hyperlink" Target="https://www.genome.jp/entry/1.1.1.262" TargetMode="External"/><Relationship Id="rId433" Type="http://schemas.openxmlformats.org/officeDocument/2006/relationships/hyperlink" Target="https://www.genome.jp/entry/1.17.4.1" TargetMode="External"/><Relationship Id="rId878" Type="http://schemas.openxmlformats.org/officeDocument/2006/relationships/hyperlink" Target="https://www.genome.jp/entry/C05812" TargetMode="External"/><Relationship Id="rId1063" Type="http://schemas.openxmlformats.org/officeDocument/2006/relationships/hyperlink" Target="https://www.genome.jp/entry/C00091" TargetMode="External"/><Relationship Id="rId1270" Type="http://schemas.openxmlformats.org/officeDocument/2006/relationships/hyperlink" Target="https://www.genome.jp/entry/R00230" TargetMode="External"/><Relationship Id="rId2114" Type="http://schemas.openxmlformats.org/officeDocument/2006/relationships/hyperlink" Target="https://enzyme.expasy.org/EC/2.7.7.7" TargetMode="External"/><Relationship Id="rId2559" Type="http://schemas.openxmlformats.org/officeDocument/2006/relationships/hyperlink" Target="https://www.genome.jp/entry/C00021" TargetMode="External"/><Relationship Id="rId2766" Type="http://schemas.openxmlformats.org/officeDocument/2006/relationships/hyperlink" Target="https://www.genome.jp/entry/C00111" TargetMode="External"/><Relationship Id="rId2973" Type="http://schemas.openxmlformats.org/officeDocument/2006/relationships/hyperlink" Target="https://www.genome.jp/entry/C01336" TargetMode="External"/><Relationship Id="rId640" Type="http://schemas.openxmlformats.org/officeDocument/2006/relationships/hyperlink" Target="https://www.genome.jp/entry/1.4.3.5" TargetMode="External"/><Relationship Id="rId738" Type="http://schemas.openxmlformats.org/officeDocument/2006/relationships/hyperlink" Target="https://enzyme.expasy.org/EC/1.8.1.4" TargetMode="External"/><Relationship Id="rId945" Type="http://schemas.openxmlformats.org/officeDocument/2006/relationships/hyperlink" Target="https://www.genome.jp/entry/C00019" TargetMode="External"/><Relationship Id="rId1368" Type="http://schemas.openxmlformats.org/officeDocument/2006/relationships/hyperlink" Target="https://www.genome.jp/entry/C00655" TargetMode="External"/><Relationship Id="rId1575" Type="http://schemas.openxmlformats.org/officeDocument/2006/relationships/hyperlink" Target="https://www.genome.jp/entry/2.7.1.121" TargetMode="External"/><Relationship Id="rId1782" Type="http://schemas.openxmlformats.org/officeDocument/2006/relationships/hyperlink" Target="https://enzyme.expasy.org/EC/2.7.4.25" TargetMode="External"/><Relationship Id="rId2321" Type="http://schemas.openxmlformats.org/officeDocument/2006/relationships/hyperlink" Target="https://enzyme.expasy.org/EC/3.2.1.20" TargetMode="External"/><Relationship Id="rId2419" Type="http://schemas.openxmlformats.org/officeDocument/2006/relationships/hyperlink" Target="https://www.genome.jp/entry/C02686" TargetMode="External"/><Relationship Id="rId2626" Type="http://schemas.openxmlformats.org/officeDocument/2006/relationships/hyperlink" Target="https://www.genome.jp/entry/C11440" TargetMode="External"/><Relationship Id="rId2833" Type="http://schemas.openxmlformats.org/officeDocument/2006/relationships/hyperlink" Target="https://enzyme.expasy.org/EC/4.2.1.20" TargetMode="External"/><Relationship Id="rId74" Type="http://schemas.openxmlformats.org/officeDocument/2006/relationships/hyperlink" Target="https://www.genome.jp/entry/C16310" TargetMode="External"/><Relationship Id="rId500" Type="http://schemas.openxmlformats.org/officeDocument/2006/relationships/hyperlink" Target="https://www.genome.jp/entry/C00458" TargetMode="External"/><Relationship Id="rId805" Type="http://schemas.openxmlformats.org/officeDocument/2006/relationships/hyperlink" Target="https://www.genome.jp/entry/R04710" TargetMode="External"/><Relationship Id="rId1130" Type="http://schemas.openxmlformats.org/officeDocument/2006/relationships/hyperlink" Target="https://enzyme.expasy.org/EC/2.3.1.16" TargetMode="External"/><Relationship Id="rId1228" Type="http://schemas.openxmlformats.org/officeDocument/2006/relationships/hyperlink" Target="https://www.genome.jp/entry/C00020" TargetMode="External"/><Relationship Id="rId1435" Type="http://schemas.openxmlformats.org/officeDocument/2006/relationships/hyperlink" Target="https://enzyme.expasy.org/EC/2.5.1.3" TargetMode="External"/><Relationship Id="rId1642" Type="http://schemas.openxmlformats.org/officeDocument/2006/relationships/hyperlink" Target="https://www.genome.jp/entry/C00002" TargetMode="External"/><Relationship Id="rId1947" Type="http://schemas.openxmlformats.org/officeDocument/2006/relationships/hyperlink" Target="https://www.genome.jp/entry/C00075" TargetMode="External"/><Relationship Id="rId2900" Type="http://schemas.openxmlformats.org/officeDocument/2006/relationships/hyperlink" Target="https://www.genome.jp/entry/C03406" TargetMode="External"/><Relationship Id="rId3095" Type="http://schemas.openxmlformats.org/officeDocument/2006/relationships/hyperlink" Target="https://enzyme.expasy.org/EC/5.4.2.10" TargetMode="External"/><Relationship Id="rId1502" Type="http://schemas.openxmlformats.org/officeDocument/2006/relationships/hyperlink" Target="https://www.genome.jp/entry/C01100" TargetMode="External"/><Relationship Id="rId1807" Type="http://schemas.openxmlformats.org/officeDocument/2006/relationships/hyperlink" Target="https://enzyme.expasy.org/EC/2.7.4.6" TargetMode="External"/><Relationship Id="rId3162" Type="http://schemas.openxmlformats.org/officeDocument/2006/relationships/hyperlink" Target="https://www.genome.jp/entry/C00002" TargetMode="External"/><Relationship Id="rId290" Type="http://schemas.openxmlformats.org/officeDocument/2006/relationships/hyperlink" Target="https://www.genome.jp/entry/R00835" TargetMode="External"/><Relationship Id="rId388" Type="http://schemas.openxmlformats.org/officeDocument/2006/relationships/hyperlink" Target="https://www.genome.jp/entry/C00705" TargetMode="External"/><Relationship Id="rId2069" Type="http://schemas.openxmlformats.org/officeDocument/2006/relationships/hyperlink" Target="https://enzyme.expasy.org/EC/2.7.7.7" TargetMode="External"/><Relationship Id="rId3022" Type="http://schemas.openxmlformats.org/officeDocument/2006/relationships/hyperlink" Target="https://enzyme.expasy.org/EC/5.2.1.8" TargetMode="External"/><Relationship Id="rId150" Type="http://schemas.openxmlformats.org/officeDocument/2006/relationships/hyperlink" Target="https://enzyme.expasy.org/EC/1.1.1.169" TargetMode="External"/><Relationship Id="rId595" Type="http://schemas.openxmlformats.org/officeDocument/2006/relationships/hyperlink" Target="https://www.genome.jp/entry/1.3.98.1" TargetMode="External"/><Relationship Id="rId2276" Type="http://schemas.openxmlformats.org/officeDocument/2006/relationships/hyperlink" Target="https://enzyme.expasy.org/EC/3.1.3.5" TargetMode="External"/><Relationship Id="rId2483" Type="http://schemas.openxmlformats.org/officeDocument/2006/relationships/hyperlink" Target="https://enzyme.expasy.org/EC/3.2.1.23" TargetMode="External"/><Relationship Id="rId2690" Type="http://schemas.openxmlformats.org/officeDocument/2006/relationships/hyperlink" Target="https://www.genome.jp/entry/C00008" TargetMode="External"/><Relationship Id="rId3327" Type="http://schemas.openxmlformats.org/officeDocument/2006/relationships/hyperlink" Target="https://www.genome.jp/entry/C19723" TargetMode="External"/><Relationship Id="rId248" Type="http://schemas.openxmlformats.org/officeDocument/2006/relationships/hyperlink" Target="https://www.genome.jp/entry/C05984" TargetMode="External"/><Relationship Id="rId455" Type="http://schemas.openxmlformats.org/officeDocument/2006/relationships/hyperlink" Target="https://www.genome.jp/entry/C01346" TargetMode="External"/><Relationship Id="rId662" Type="http://schemas.openxmlformats.org/officeDocument/2006/relationships/hyperlink" Target="https://www.genome.jp/entry/C01157" TargetMode="External"/><Relationship Id="rId1085" Type="http://schemas.openxmlformats.org/officeDocument/2006/relationships/hyperlink" Target="https://enzyme.expasy.org/EC/2.3.1.16" TargetMode="External"/><Relationship Id="rId1292" Type="http://schemas.openxmlformats.org/officeDocument/2006/relationships/hyperlink" Target="https://www.genome.jp/entry/C00718" TargetMode="External"/><Relationship Id="rId2136" Type="http://schemas.openxmlformats.org/officeDocument/2006/relationships/hyperlink" Target="https://www.genome.jp/entry/C00677" TargetMode="External"/><Relationship Id="rId2343" Type="http://schemas.openxmlformats.org/officeDocument/2006/relationships/hyperlink" Target="https://www.genome.jp/entry/C05401" TargetMode="External"/><Relationship Id="rId2550" Type="http://schemas.openxmlformats.org/officeDocument/2006/relationships/hyperlink" Target="https://www.genome.jp/entry/C00001" TargetMode="External"/><Relationship Id="rId2788" Type="http://schemas.openxmlformats.org/officeDocument/2006/relationships/hyperlink" Target="https://enzyme.expasy.org/EC/4.1.2.43" TargetMode="External"/><Relationship Id="rId2995" Type="http://schemas.openxmlformats.org/officeDocument/2006/relationships/hyperlink" Target="https://enzyme.expasy.org/EC/5.1.3.1" TargetMode="External"/><Relationship Id="rId108" Type="http://schemas.openxmlformats.org/officeDocument/2006/relationships/hyperlink" Target="https://www.genome.jp/entry/R04534" TargetMode="External"/><Relationship Id="rId315" Type="http://schemas.openxmlformats.org/officeDocument/2006/relationships/hyperlink" Target="https://enzyme.expasy.org/EC/1.15.1.1" TargetMode="External"/><Relationship Id="rId522" Type="http://schemas.openxmlformats.org/officeDocument/2006/relationships/hyperlink" Target="https://enzyme.expasy.org/EC/1.17.4.2" TargetMode="External"/><Relationship Id="rId967" Type="http://schemas.openxmlformats.org/officeDocument/2006/relationships/hyperlink" Target="https://www.genome.jp/entry/2.1.2.2" TargetMode="External"/><Relationship Id="rId1152" Type="http://schemas.openxmlformats.org/officeDocument/2006/relationships/hyperlink" Target="https://www.genome.jp/entry/R13479" TargetMode="External"/><Relationship Id="rId1597" Type="http://schemas.openxmlformats.org/officeDocument/2006/relationships/hyperlink" Target="https://www.genome.jp/entry/C11435" TargetMode="External"/><Relationship Id="rId2203" Type="http://schemas.openxmlformats.org/officeDocument/2006/relationships/hyperlink" Target="https://www.genome.jp/entry/C00054" TargetMode="External"/><Relationship Id="rId2410" Type="http://schemas.openxmlformats.org/officeDocument/2006/relationships/hyperlink" Target="https://www.genome.jp/entry/C00794" TargetMode="External"/><Relationship Id="rId2648" Type="http://schemas.openxmlformats.org/officeDocument/2006/relationships/hyperlink" Target="https://www.genome.jp/entry/C00212" TargetMode="External"/><Relationship Id="rId2855" Type="http://schemas.openxmlformats.org/officeDocument/2006/relationships/hyperlink" Target="https://www.genome.jp/entry/C05748" TargetMode="External"/><Relationship Id="rId96" Type="http://schemas.openxmlformats.org/officeDocument/2006/relationships/hyperlink" Target="https://enzyme.expasy.org/EC/1.1.1.100" TargetMode="External"/><Relationship Id="rId827" Type="http://schemas.openxmlformats.org/officeDocument/2006/relationships/hyperlink" Target="https://enzyme.expasy.org/EC/2.1.1.172" TargetMode="External"/><Relationship Id="rId1012" Type="http://schemas.openxmlformats.org/officeDocument/2006/relationships/hyperlink" Target="https://www.genome.jp/entry/R03050" TargetMode="External"/><Relationship Id="rId1457" Type="http://schemas.openxmlformats.org/officeDocument/2006/relationships/hyperlink" Target="https://enzyme.expasy.org/EC/2.5.1.6" TargetMode="External"/><Relationship Id="rId1664" Type="http://schemas.openxmlformats.org/officeDocument/2006/relationships/hyperlink" Target="https://enzyme.expasy.org/EC/2.7.1.36" TargetMode="External"/><Relationship Id="rId1871" Type="http://schemas.openxmlformats.org/officeDocument/2006/relationships/hyperlink" Target="https://www.genome.jp/entry/C00002" TargetMode="External"/><Relationship Id="rId2508" Type="http://schemas.openxmlformats.org/officeDocument/2006/relationships/hyperlink" Target="https://www.genome.jp/entry/C16688" TargetMode="External"/><Relationship Id="rId2715" Type="http://schemas.openxmlformats.org/officeDocument/2006/relationships/hyperlink" Target="https://www.genome.jp/entry/C00041" TargetMode="External"/><Relationship Id="rId2922" Type="http://schemas.openxmlformats.org/officeDocument/2006/relationships/hyperlink" Target="https://www.genome.jp/entry/C00122" TargetMode="External"/><Relationship Id="rId1317" Type="http://schemas.openxmlformats.org/officeDocument/2006/relationships/hyperlink" Target="https://www.genome.jp/entry/2.4.1.227" TargetMode="External"/><Relationship Id="rId1524" Type="http://schemas.openxmlformats.org/officeDocument/2006/relationships/hyperlink" Target="https://www.genome.jp/entry/2.7.1.107" TargetMode="External"/><Relationship Id="rId1731" Type="http://schemas.openxmlformats.org/officeDocument/2006/relationships/hyperlink" Target="https://www.genome.jp/entry/C01097" TargetMode="External"/><Relationship Id="rId1969" Type="http://schemas.openxmlformats.org/officeDocument/2006/relationships/hyperlink" Target="https://www.genome.jp/entry/C20864" TargetMode="External"/><Relationship Id="rId3184" Type="http://schemas.openxmlformats.org/officeDocument/2006/relationships/hyperlink" Target="https://www.genome.jp/entry/C00020" TargetMode="External"/><Relationship Id="rId23" Type="http://schemas.openxmlformats.org/officeDocument/2006/relationships/hyperlink" Target="https://www.genome.jp/entry/R04805" TargetMode="External"/><Relationship Id="rId1829" Type="http://schemas.openxmlformats.org/officeDocument/2006/relationships/hyperlink" Target="https://www.genome.jp/entry/C00002" TargetMode="External"/><Relationship Id="rId3391" Type="http://schemas.openxmlformats.org/officeDocument/2006/relationships/hyperlink" Target="https://enzyme.expasy.org/EC/6.3.5.5" TargetMode="External"/><Relationship Id="rId2298" Type="http://schemas.openxmlformats.org/officeDocument/2006/relationships/hyperlink" Target="https://www.genome.jp/entry/C00053" TargetMode="External"/><Relationship Id="rId3044" Type="http://schemas.openxmlformats.org/officeDocument/2006/relationships/hyperlink" Target="https://www.genome.jp/entry/C06019" TargetMode="External"/><Relationship Id="rId3251" Type="http://schemas.openxmlformats.org/officeDocument/2006/relationships/hyperlink" Target="https://www.genome.jp/entry/C00002" TargetMode="External"/><Relationship Id="rId3349" Type="http://schemas.openxmlformats.org/officeDocument/2006/relationships/hyperlink" Target="https://enzyme.expasy.org/EC/6.3.4.5" TargetMode="External"/><Relationship Id="rId172" Type="http://schemas.openxmlformats.org/officeDocument/2006/relationships/hyperlink" Target="https://www.genome.jp/entry/R02703" TargetMode="External"/><Relationship Id="rId477" Type="http://schemas.openxmlformats.org/officeDocument/2006/relationships/hyperlink" Target="https://enzyme.expasy.org/EC/1.17.4.1" TargetMode="External"/><Relationship Id="rId684" Type="http://schemas.openxmlformats.org/officeDocument/2006/relationships/hyperlink" Target="https://www.genome.jp/entry/1.5.1.3" TargetMode="External"/><Relationship Id="rId2060" Type="http://schemas.openxmlformats.org/officeDocument/2006/relationships/hyperlink" Target="https://enzyme.expasy.org/EC/2.7.7.7" TargetMode="External"/><Relationship Id="rId2158" Type="http://schemas.openxmlformats.org/officeDocument/2006/relationships/hyperlink" Target="https://www.genome.jp/entry/C00013" TargetMode="External"/><Relationship Id="rId2365" Type="http://schemas.openxmlformats.org/officeDocument/2006/relationships/hyperlink" Target="https://www.genome.jp/entry/C03692" TargetMode="External"/><Relationship Id="rId3111" Type="http://schemas.openxmlformats.org/officeDocument/2006/relationships/hyperlink" Target="https://www.genome.jp/entry/C00620" TargetMode="External"/><Relationship Id="rId3209" Type="http://schemas.openxmlformats.org/officeDocument/2006/relationships/hyperlink" Target="https://enzyme.expasy.org/EC/6.1.1.15" TargetMode="External"/><Relationship Id="rId337" Type="http://schemas.openxmlformats.org/officeDocument/2006/relationships/hyperlink" Target="https://www.genome.jp/entry/R02017" TargetMode="External"/><Relationship Id="rId891" Type="http://schemas.openxmlformats.org/officeDocument/2006/relationships/hyperlink" Target="https://www.genome.jp/entry/R08769/" TargetMode="External"/><Relationship Id="rId989" Type="http://schemas.openxmlformats.org/officeDocument/2006/relationships/hyperlink" Target="https://www.genome.jp/entry/C00169" TargetMode="External"/><Relationship Id="rId2018" Type="http://schemas.openxmlformats.org/officeDocument/2006/relationships/hyperlink" Target="https://enzyme.expasy.org/EC/2.7.7.6" TargetMode="External"/><Relationship Id="rId2572" Type="http://schemas.openxmlformats.org/officeDocument/2006/relationships/hyperlink" Target="https://enzyme.expasy.org/EC/3.4.14.11" TargetMode="External"/><Relationship Id="rId2877" Type="http://schemas.openxmlformats.org/officeDocument/2006/relationships/hyperlink" Target="https://www.genome.jp/entry/C00022" TargetMode="External"/><Relationship Id="rId3416" Type="http://schemas.openxmlformats.org/officeDocument/2006/relationships/hyperlink" Target="https://enzyme.expasy.org/EC/7.1.2.2" TargetMode="External"/><Relationship Id="rId544" Type="http://schemas.openxmlformats.org/officeDocument/2006/relationships/hyperlink" Target="https://enzyme.expasy.org/EC/1.2.1.11" TargetMode="External"/><Relationship Id="rId751" Type="http://schemas.openxmlformats.org/officeDocument/2006/relationships/hyperlink" Target="https://www.genome.jp/entry/C15973" TargetMode="External"/><Relationship Id="rId849" Type="http://schemas.openxmlformats.org/officeDocument/2006/relationships/hyperlink" Target="https://enzyme.expasy.org/EC/2.1.1.190" TargetMode="External"/><Relationship Id="rId1174" Type="http://schemas.openxmlformats.org/officeDocument/2006/relationships/hyperlink" Target="https://www.genome.jp/entry/C05744" TargetMode="External"/><Relationship Id="rId1381" Type="http://schemas.openxmlformats.org/officeDocument/2006/relationships/hyperlink" Target="https://www.genome.jp/entry/C00002" TargetMode="External"/><Relationship Id="rId1479" Type="http://schemas.openxmlformats.org/officeDocument/2006/relationships/hyperlink" Target="https://www.genome.jp/entry/C19847" TargetMode="External"/><Relationship Id="rId1686" Type="http://schemas.openxmlformats.org/officeDocument/2006/relationships/hyperlink" Target="https://www.genome.jp/entry/C00131" TargetMode="External"/><Relationship Id="rId2225" Type="http://schemas.openxmlformats.org/officeDocument/2006/relationships/hyperlink" Target="https://enzyme.expasy.org/EC/3.1.13.1" TargetMode="External"/><Relationship Id="rId2432" Type="http://schemas.openxmlformats.org/officeDocument/2006/relationships/hyperlink" Target="https://enzyme.expasy.org/EC/3.2.1.22" TargetMode="External"/><Relationship Id="rId404" Type="http://schemas.openxmlformats.org/officeDocument/2006/relationships/hyperlink" Target="https://www.genome.jp/entry/R04294" TargetMode="External"/><Relationship Id="rId611" Type="http://schemas.openxmlformats.org/officeDocument/2006/relationships/hyperlink" Target="https://www.genome.jp/entry/R00256" TargetMode="External"/><Relationship Id="rId1034" Type="http://schemas.openxmlformats.org/officeDocument/2006/relationships/hyperlink" Target="https://www.genome.jp/entry/C00681" TargetMode="External"/><Relationship Id="rId1241" Type="http://schemas.openxmlformats.org/officeDocument/2006/relationships/hyperlink" Target="https://www.genome.jp/entry/C00173" TargetMode="External"/><Relationship Id="rId1339" Type="http://schemas.openxmlformats.org/officeDocument/2006/relationships/hyperlink" Target="https://enzyme.expasy.org/EC/2.4.2.17" TargetMode="External"/><Relationship Id="rId1893" Type="http://schemas.openxmlformats.org/officeDocument/2006/relationships/hyperlink" Target="https://www.genome.jp/entry/C00002" TargetMode="External"/><Relationship Id="rId2737" Type="http://schemas.openxmlformats.org/officeDocument/2006/relationships/hyperlink" Target="https://enzyme.expasy.org/EC/4.1.1.5" TargetMode="External"/><Relationship Id="rId2944" Type="http://schemas.openxmlformats.org/officeDocument/2006/relationships/hyperlink" Target="https://enzyme.expasy.org/EC/4.4.1.13" TargetMode="External"/><Relationship Id="rId709" Type="http://schemas.openxmlformats.org/officeDocument/2006/relationships/hyperlink" Target="https://www.genome.jp/entry/1.5.1.5" TargetMode="External"/><Relationship Id="rId916" Type="http://schemas.openxmlformats.org/officeDocument/2006/relationships/hyperlink" Target="https://www.genome.jp/entry/C00021" TargetMode="External"/><Relationship Id="rId1101" Type="http://schemas.openxmlformats.org/officeDocument/2006/relationships/hyperlink" Target="https://www.genome.jp/entry/2.3.1.16" TargetMode="External"/><Relationship Id="rId1546" Type="http://schemas.openxmlformats.org/officeDocument/2006/relationships/hyperlink" Target="https://www.genome.jp/entry/2.7.1.11" TargetMode="External"/><Relationship Id="rId1753" Type="http://schemas.openxmlformats.org/officeDocument/2006/relationships/hyperlink" Target="https://www.genome.jp/entry/C00002" TargetMode="External"/><Relationship Id="rId1960" Type="http://schemas.openxmlformats.org/officeDocument/2006/relationships/hyperlink" Target="https://www.genome.jp/entry/C00013" TargetMode="External"/><Relationship Id="rId2804" Type="http://schemas.openxmlformats.org/officeDocument/2006/relationships/hyperlink" Target="https://www.genome.jp/entry/C02730" TargetMode="External"/><Relationship Id="rId45" Type="http://schemas.openxmlformats.org/officeDocument/2006/relationships/hyperlink" Target="https://www.genome.jp/entry/C14090" TargetMode="External"/><Relationship Id="rId1406" Type="http://schemas.openxmlformats.org/officeDocument/2006/relationships/hyperlink" Target="https://www.genome.jp/entry/C00106" TargetMode="External"/><Relationship Id="rId1613" Type="http://schemas.openxmlformats.org/officeDocument/2006/relationships/hyperlink" Target="https://enzyme.expasy.org/EC/2.7.1.197" TargetMode="External"/><Relationship Id="rId1820" Type="http://schemas.openxmlformats.org/officeDocument/2006/relationships/hyperlink" Target="https://www.genome.jp/entry/C00002" TargetMode="External"/><Relationship Id="rId3066" Type="http://schemas.openxmlformats.org/officeDocument/2006/relationships/hyperlink" Target="https://www.genome.jp/entry/C18096" TargetMode="External"/><Relationship Id="rId3273" Type="http://schemas.openxmlformats.org/officeDocument/2006/relationships/hyperlink" Target="https://www.genome.jp/entry/C16237" TargetMode="External"/><Relationship Id="rId194" Type="http://schemas.openxmlformats.org/officeDocument/2006/relationships/hyperlink" Target="https://www.genome.jp/entry/C00135" TargetMode="External"/><Relationship Id="rId1918" Type="http://schemas.openxmlformats.org/officeDocument/2006/relationships/hyperlink" Target="https://www.genome.jp/entry/C00013" TargetMode="External"/><Relationship Id="rId2082" Type="http://schemas.openxmlformats.org/officeDocument/2006/relationships/hyperlink" Target="https://www.genome.jp/entry/C00677" TargetMode="External"/><Relationship Id="rId3133" Type="http://schemas.openxmlformats.org/officeDocument/2006/relationships/hyperlink" Target="https://enzyme.expasy.org/EC/5.6.2.2" TargetMode="External"/><Relationship Id="rId261" Type="http://schemas.openxmlformats.org/officeDocument/2006/relationships/hyperlink" Target="https://www.genome.jp/entry/1.1.1.27" TargetMode="External"/><Relationship Id="rId499" Type="http://schemas.openxmlformats.org/officeDocument/2006/relationships/hyperlink" Target="https://www.genome.jp/entry/R02022" TargetMode="External"/><Relationship Id="rId2387" Type="http://schemas.openxmlformats.org/officeDocument/2006/relationships/hyperlink" Target="https://enzyme.expasy.org/EC/3.2.1.22" TargetMode="External"/><Relationship Id="rId2594" Type="http://schemas.openxmlformats.org/officeDocument/2006/relationships/hyperlink" Target="https://enzyme.expasy.org/EC/3.5.1.25" TargetMode="External"/><Relationship Id="rId3340" Type="http://schemas.openxmlformats.org/officeDocument/2006/relationships/hyperlink" Target="https://enzyme.expasy.org/EC/6.3.4.21" TargetMode="External"/><Relationship Id="rId3438" Type="http://schemas.openxmlformats.org/officeDocument/2006/relationships/hyperlink" Target="https://enzyme.expasy.org/EC/7.3.2.1" TargetMode="External"/><Relationship Id="rId359" Type="http://schemas.openxmlformats.org/officeDocument/2006/relationships/hyperlink" Target="https://www.genome.jp/entry/C03723" TargetMode="External"/><Relationship Id="rId566" Type="http://schemas.openxmlformats.org/officeDocument/2006/relationships/hyperlink" Target="https://www.genome.jp/entry/R00207" TargetMode="External"/><Relationship Id="rId773" Type="http://schemas.openxmlformats.org/officeDocument/2006/relationships/hyperlink" Target="https://enzyme.expasy.org/EC/1.8.1.9" TargetMode="External"/><Relationship Id="rId1196" Type="http://schemas.openxmlformats.org/officeDocument/2006/relationships/hyperlink" Target="https://www.genome.jp/entry/R04963" TargetMode="External"/><Relationship Id="rId2247" Type="http://schemas.openxmlformats.org/officeDocument/2006/relationships/hyperlink" Target="https://www.genome.jp/entry/C03892" TargetMode="External"/><Relationship Id="rId2454" Type="http://schemas.openxmlformats.org/officeDocument/2006/relationships/hyperlink" Target="https://www.genome.jp/entry/C05796" TargetMode="External"/><Relationship Id="rId2899" Type="http://schemas.openxmlformats.org/officeDocument/2006/relationships/hyperlink" Target="https://enzyme.expasy.org/EC/4.3.2.1" TargetMode="External"/><Relationship Id="rId3200" Type="http://schemas.openxmlformats.org/officeDocument/2006/relationships/hyperlink" Target="https://enzyme.expasy.org/EC/6.1.1.13" TargetMode="External"/><Relationship Id="rId121" Type="http://schemas.openxmlformats.org/officeDocument/2006/relationships/hyperlink" Target="https://enzyme.expasy.org/EC/1.1.1.100" TargetMode="External"/><Relationship Id="rId219" Type="http://schemas.openxmlformats.org/officeDocument/2006/relationships/hyperlink" Target="https://www.genome.jp/entry/C02637" TargetMode="External"/><Relationship Id="rId426" Type="http://schemas.openxmlformats.org/officeDocument/2006/relationships/hyperlink" Target="https://www.genome.jp/entry/C00342" TargetMode="External"/><Relationship Id="rId633" Type="http://schemas.openxmlformats.org/officeDocument/2006/relationships/hyperlink" Target="https://www.genome.jp/entry/1.4.3.5" TargetMode="External"/><Relationship Id="rId980" Type="http://schemas.openxmlformats.org/officeDocument/2006/relationships/hyperlink" Target="https://www.genome.jp/entry/C00101" TargetMode="External"/><Relationship Id="rId1056" Type="http://schemas.openxmlformats.org/officeDocument/2006/relationships/hyperlink" Target="https://www.genome.jp/entry/2.3.1.16" TargetMode="External"/><Relationship Id="rId1263" Type="http://schemas.openxmlformats.org/officeDocument/2006/relationships/hyperlink" Target="https://enzyme.expasy.org/EC/2.3.1.54" TargetMode="External"/><Relationship Id="rId2107" Type="http://schemas.openxmlformats.org/officeDocument/2006/relationships/hyperlink" Target="https://www.genome.jp/entry/C00013" TargetMode="External"/><Relationship Id="rId2314" Type="http://schemas.openxmlformats.org/officeDocument/2006/relationships/hyperlink" Target="https://www.genome.jp/entry/C02686" TargetMode="External"/><Relationship Id="rId2661" Type="http://schemas.openxmlformats.org/officeDocument/2006/relationships/hyperlink" Target="https://www.genome.jp/entry/C12739" TargetMode="External"/><Relationship Id="rId2759" Type="http://schemas.openxmlformats.org/officeDocument/2006/relationships/hyperlink" Target="https://www.genome.jp/entry/C05378" TargetMode="External"/><Relationship Id="rId2966" Type="http://schemas.openxmlformats.org/officeDocument/2006/relationships/hyperlink" Target="https://www.genome.jp/entry/C00491" TargetMode="External"/><Relationship Id="rId840" Type="http://schemas.openxmlformats.org/officeDocument/2006/relationships/hyperlink" Target="https://enzyme.expasy.org/EC/2.1.1.177" TargetMode="External"/><Relationship Id="rId938" Type="http://schemas.openxmlformats.org/officeDocument/2006/relationships/hyperlink" Target="https://www.genome.jp/entry/C00021" TargetMode="External"/><Relationship Id="rId1470" Type="http://schemas.openxmlformats.org/officeDocument/2006/relationships/hyperlink" Target="https://enzyme.expasy.org/EC/2.5.1.74" TargetMode="External"/><Relationship Id="rId1568" Type="http://schemas.openxmlformats.org/officeDocument/2006/relationships/hyperlink" Target="https://www.genome.jp/entry/C00002" TargetMode="External"/><Relationship Id="rId1775" Type="http://schemas.openxmlformats.org/officeDocument/2006/relationships/hyperlink" Target="https://www.genome.jp/entry/C00008" TargetMode="External"/><Relationship Id="rId2521" Type="http://schemas.openxmlformats.org/officeDocument/2006/relationships/hyperlink" Target="https://www.genome.jp/entry/G00501" TargetMode="External"/><Relationship Id="rId2619" Type="http://schemas.openxmlformats.org/officeDocument/2006/relationships/hyperlink" Target="https://www.genome.jp/entry/C09815" TargetMode="External"/><Relationship Id="rId2826" Type="http://schemas.openxmlformats.org/officeDocument/2006/relationships/hyperlink" Target="https://www.genome.jp/entry/C00078" TargetMode="External"/><Relationship Id="rId67" Type="http://schemas.openxmlformats.org/officeDocument/2006/relationships/hyperlink" Target="https://www.genome.jp/entry/1.1.1.1" TargetMode="External"/><Relationship Id="rId700" Type="http://schemas.openxmlformats.org/officeDocument/2006/relationships/hyperlink" Target="https://www.genome.jp/entry/R02236" TargetMode="External"/><Relationship Id="rId1123" Type="http://schemas.openxmlformats.org/officeDocument/2006/relationships/hyperlink" Target="https://www.genome.jp/entry/C16339" TargetMode="External"/><Relationship Id="rId1330" Type="http://schemas.openxmlformats.org/officeDocument/2006/relationships/hyperlink" Target="https://www.genome.jp/entry/R06172" TargetMode="External"/><Relationship Id="rId1428" Type="http://schemas.openxmlformats.org/officeDocument/2006/relationships/hyperlink" Target="https://www.genome.jp/entry/R07268" TargetMode="External"/><Relationship Id="rId1635" Type="http://schemas.openxmlformats.org/officeDocument/2006/relationships/hyperlink" Target="https://enzyme.expasy.org/EC/2.7.1.21" TargetMode="External"/><Relationship Id="rId1982" Type="http://schemas.openxmlformats.org/officeDocument/2006/relationships/hyperlink" Target="https://enzyme.expasy.org/EC/2.7.7.6" TargetMode="External"/><Relationship Id="rId3088" Type="http://schemas.openxmlformats.org/officeDocument/2006/relationships/hyperlink" Target="https://www.genome.jp/entry/C02501" TargetMode="External"/><Relationship Id="rId1842" Type="http://schemas.openxmlformats.org/officeDocument/2006/relationships/hyperlink" Target="https://www.genome.jp/entry/C00008" TargetMode="External"/><Relationship Id="rId3295" Type="http://schemas.openxmlformats.org/officeDocument/2006/relationships/hyperlink" Target="https://enzyme.expasy.org/EC/6.3.2.6" TargetMode="External"/><Relationship Id="rId1702" Type="http://schemas.openxmlformats.org/officeDocument/2006/relationships/hyperlink" Target="https://www.genome.jp/entry/C00035" TargetMode="External"/><Relationship Id="rId3155" Type="http://schemas.openxmlformats.org/officeDocument/2006/relationships/hyperlink" Target="https://enzyme.expasy.org/EC/6.1.1.13" TargetMode="External"/><Relationship Id="rId3362" Type="http://schemas.openxmlformats.org/officeDocument/2006/relationships/hyperlink" Target="https://www.genome.jp/entry/C16618" TargetMode="External"/><Relationship Id="rId283" Type="http://schemas.openxmlformats.org/officeDocument/2006/relationships/hyperlink" Target="https://www.genome.jp/entry/C00345" TargetMode="External"/><Relationship Id="rId490" Type="http://schemas.openxmlformats.org/officeDocument/2006/relationships/hyperlink" Target="https://www.genome.jp/entry/C00131" TargetMode="External"/><Relationship Id="rId2171" Type="http://schemas.openxmlformats.org/officeDocument/2006/relationships/hyperlink" Target="https://enzyme.expasy.org/EC/2.7.7.72" TargetMode="External"/><Relationship Id="rId3015" Type="http://schemas.openxmlformats.org/officeDocument/2006/relationships/hyperlink" Target="https://www.genome.jp/entry/C03633" TargetMode="External"/><Relationship Id="rId3222" Type="http://schemas.openxmlformats.org/officeDocument/2006/relationships/hyperlink" Target="https://www.genome.jp/entry/C00020" TargetMode="External"/><Relationship Id="rId143" Type="http://schemas.openxmlformats.org/officeDocument/2006/relationships/hyperlink" Target="https://www.genome.jp/entry/C20372" TargetMode="External"/><Relationship Id="rId350" Type="http://schemas.openxmlformats.org/officeDocument/2006/relationships/hyperlink" Target="https://enzyme.expasy.org/EC/1.17.4.1" TargetMode="External"/><Relationship Id="rId588" Type="http://schemas.openxmlformats.org/officeDocument/2006/relationships/hyperlink" Target="https://www.genome.jp/entry/C04631" TargetMode="External"/><Relationship Id="rId795" Type="http://schemas.openxmlformats.org/officeDocument/2006/relationships/hyperlink" Target="https://www.genome.jp/entry/R07606" TargetMode="External"/><Relationship Id="rId2031" Type="http://schemas.openxmlformats.org/officeDocument/2006/relationships/hyperlink" Target="https://www.genome.jp/entry/C00131" TargetMode="External"/><Relationship Id="rId2269" Type="http://schemas.openxmlformats.org/officeDocument/2006/relationships/hyperlink" Target="https://www.genome.jp/entry/C03150" TargetMode="External"/><Relationship Id="rId2476" Type="http://schemas.openxmlformats.org/officeDocument/2006/relationships/hyperlink" Target="https://www.genome.jp/entry/G00109" TargetMode="External"/><Relationship Id="rId2683" Type="http://schemas.openxmlformats.org/officeDocument/2006/relationships/hyperlink" Target="https://www.genome.jp/entry/C04574" TargetMode="External"/><Relationship Id="rId2890" Type="http://schemas.openxmlformats.org/officeDocument/2006/relationships/hyperlink" Target="https://enzyme.expasy.org/EC/4.3.1.17" TargetMode="External"/><Relationship Id="rId9" Type="http://schemas.openxmlformats.org/officeDocument/2006/relationships/hyperlink" Target="https://www.genome.jp/entry/C00469" TargetMode="External"/><Relationship Id="rId210" Type="http://schemas.openxmlformats.org/officeDocument/2006/relationships/hyperlink" Target="https://enzyme.expasy.org/EC/1.1.1.25" TargetMode="External"/><Relationship Id="rId448" Type="http://schemas.openxmlformats.org/officeDocument/2006/relationships/hyperlink" Target="https://www.genome.jp/entry/1.17.4.1" TargetMode="External"/><Relationship Id="rId655" Type="http://schemas.openxmlformats.org/officeDocument/2006/relationships/hyperlink" Target="https://www.genome.jp/entry/1.5.1.2" TargetMode="External"/><Relationship Id="rId862" Type="http://schemas.openxmlformats.org/officeDocument/2006/relationships/hyperlink" Target="https://www.genome.jp/entry/2.1.1.199" TargetMode="External"/><Relationship Id="rId1078" Type="http://schemas.openxmlformats.org/officeDocument/2006/relationships/hyperlink" Target="https://www.genome.jp/entry/C01944" TargetMode="External"/><Relationship Id="rId1285" Type="http://schemas.openxmlformats.org/officeDocument/2006/relationships/hyperlink" Target="https://www.genome.jp/entry/R01978" TargetMode="External"/><Relationship Id="rId1492" Type="http://schemas.openxmlformats.org/officeDocument/2006/relationships/hyperlink" Target="https://www.genome.jp/entry/R01214" TargetMode="External"/><Relationship Id="rId2129" Type="http://schemas.openxmlformats.org/officeDocument/2006/relationships/hyperlink" Target="https://enzyme.expasy.org/EC/2.7.7.7" TargetMode="External"/><Relationship Id="rId2336" Type="http://schemas.openxmlformats.org/officeDocument/2006/relationships/hyperlink" Target="https://enzyme.expasy.org/EC/3.2.1.22" TargetMode="External"/><Relationship Id="rId2543" Type="http://schemas.openxmlformats.org/officeDocument/2006/relationships/hyperlink" Target="https://enzyme.expasy.org/EC/3.2.1.86" TargetMode="External"/><Relationship Id="rId2750" Type="http://schemas.openxmlformats.org/officeDocument/2006/relationships/hyperlink" Target="https://www.genome.jp/entry/C00447" TargetMode="External"/><Relationship Id="rId2988" Type="http://schemas.openxmlformats.org/officeDocument/2006/relationships/hyperlink" Target="https://www.genome.jp/entry/C00133" TargetMode="External"/><Relationship Id="rId308" Type="http://schemas.openxmlformats.org/officeDocument/2006/relationships/hyperlink" Target="https://www.genome.jp/entry/1.1.1.94" TargetMode="External"/><Relationship Id="rId515" Type="http://schemas.openxmlformats.org/officeDocument/2006/relationships/hyperlink" Target="https://www.genome.jp/entry/C00131" TargetMode="External"/><Relationship Id="rId722" Type="http://schemas.openxmlformats.org/officeDocument/2006/relationships/hyperlink" Target="https://www.genome.jp/entry/C16237" TargetMode="External"/><Relationship Id="rId1145" Type="http://schemas.openxmlformats.org/officeDocument/2006/relationships/hyperlink" Target="https://enzyme.expasy.org/EC/2.3.1.16" TargetMode="External"/><Relationship Id="rId1352" Type="http://schemas.openxmlformats.org/officeDocument/2006/relationships/hyperlink" Target="https://www.genome.jp/entry/C00178" TargetMode="External"/><Relationship Id="rId1797" Type="http://schemas.openxmlformats.org/officeDocument/2006/relationships/hyperlink" Target="https://www.genome.jp/entry/C03028" TargetMode="External"/><Relationship Id="rId2403" Type="http://schemas.openxmlformats.org/officeDocument/2006/relationships/hyperlink" Target="https://www.genome.jp/entry/C01235" TargetMode="External"/><Relationship Id="rId2848" Type="http://schemas.openxmlformats.org/officeDocument/2006/relationships/hyperlink" Target="https://www.genome.jp/entry/C04620" TargetMode="External"/><Relationship Id="rId89" Type="http://schemas.openxmlformats.org/officeDocument/2006/relationships/hyperlink" Target="https://www.genome.jp/entry/C00418" TargetMode="External"/><Relationship Id="rId1005" Type="http://schemas.openxmlformats.org/officeDocument/2006/relationships/hyperlink" Target="https://enzyme.expasy.org/EC/2.2.1.6" TargetMode="External"/><Relationship Id="rId1212" Type="http://schemas.openxmlformats.org/officeDocument/2006/relationships/hyperlink" Target="https://www.genome.jp/entry/C19673" TargetMode="External"/><Relationship Id="rId1657" Type="http://schemas.openxmlformats.org/officeDocument/2006/relationships/hyperlink" Target="https://www.genome.jp/entry/C00008" TargetMode="External"/><Relationship Id="rId1864" Type="http://schemas.openxmlformats.org/officeDocument/2006/relationships/hyperlink" Target="https://www.genome.jp/entry/C00008" TargetMode="External"/><Relationship Id="rId2610" Type="http://schemas.openxmlformats.org/officeDocument/2006/relationships/hyperlink" Target="https://www.genome.jp/entry/C02693" TargetMode="External"/><Relationship Id="rId2708" Type="http://schemas.openxmlformats.org/officeDocument/2006/relationships/hyperlink" Target="https://www.genome.jp/entry/C06030" TargetMode="External"/><Relationship Id="rId2915" Type="http://schemas.openxmlformats.org/officeDocument/2006/relationships/hyperlink" Target="https://www.genome.jp/entry/C04916" TargetMode="External"/><Relationship Id="rId1517" Type="http://schemas.openxmlformats.org/officeDocument/2006/relationships/hyperlink" Target="https://www.genome.jp/entry/2.6.1.9" TargetMode="External"/><Relationship Id="rId1724" Type="http://schemas.openxmlformats.org/officeDocument/2006/relationships/hyperlink" Target="https://enzyme.expasy.org/EC/2.7.1.56" TargetMode="External"/><Relationship Id="rId3177" Type="http://schemas.openxmlformats.org/officeDocument/2006/relationships/hyperlink" Target="https://www.genome.jp/entry/C00002" TargetMode="External"/><Relationship Id="rId16" Type="http://schemas.openxmlformats.org/officeDocument/2006/relationships/hyperlink" Target="https://enzyme.expasy.org/EC/1.1.1.1" TargetMode="External"/><Relationship Id="rId1931" Type="http://schemas.openxmlformats.org/officeDocument/2006/relationships/hyperlink" Target="https://enzyme.expasy.org/EC/2.7.7.6" TargetMode="External"/><Relationship Id="rId3037" Type="http://schemas.openxmlformats.org/officeDocument/2006/relationships/hyperlink" Target="https://enzyme.expasy.org/EC/5.3.1.26" TargetMode="External"/><Relationship Id="rId3384" Type="http://schemas.openxmlformats.org/officeDocument/2006/relationships/hyperlink" Target="https://www.genome.jp/entry/C00025" TargetMode="External"/><Relationship Id="rId2193" Type="http://schemas.openxmlformats.org/officeDocument/2006/relationships/hyperlink" Target="https://www.genome.jp/entry/C04702" TargetMode="External"/><Relationship Id="rId2498" Type="http://schemas.openxmlformats.org/officeDocument/2006/relationships/hyperlink" Target="https://enzyme.expasy.org/EC/3.2.1.26" TargetMode="External"/><Relationship Id="rId3244" Type="http://schemas.openxmlformats.org/officeDocument/2006/relationships/hyperlink" Target="https://enzyme.expasy.org/EC/6.1.1.6" TargetMode="External"/><Relationship Id="rId165" Type="http://schemas.openxmlformats.org/officeDocument/2006/relationships/hyperlink" Target="https://enzyme.expasy.org/EC/1.1.1.17" TargetMode="External"/><Relationship Id="rId372" Type="http://schemas.openxmlformats.org/officeDocument/2006/relationships/hyperlink" Target="https://www.genome.jp/entry/C04232" TargetMode="External"/><Relationship Id="rId677" Type="http://schemas.openxmlformats.org/officeDocument/2006/relationships/hyperlink" Target="https://www.genome.jp/entry/C00415" TargetMode="External"/><Relationship Id="rId2053" Type="http://schemas.openxmlformats.org/officeDocument/2006/relationships/hyperlink" Target="https://www.genome.jp/entry/C00013" TargetMode="External"/><Relationship Id="rId2260" Type="http://schemas.openxmlformats.org/officeDocument/2006/relationships/hyperlink" Target="https://www.genome.jp/entry/C00299" TargetMode="External"/><Relationship Id="rId2358" Type="http://schemas.openxmlformats.org/officeDocument/2006/relationships/hyperlink" Target="https://www.genome.jp/entry/C01613" TargetMode="External"/><Relationship Id="rId3104" Type="http://schemas.openxmlformats.org/officeDocument/2006/relationships/hyperlink" Target="https://enzyme.expasy.org/EC/5.4.2.6" TargetMode="External"/><Relationship Id="rId3311" Type="http://schemas.openxmlformats.org/officeDocument/2006/relationships/hyperlink" Target="https://www.genome.jp/entry/C00002" TargetMode="External"/><Relationship Id="rId232" Type="http://schemas.openxmlformats.org/officeDocument/2006/relationships/hyperlink" Target="https://www.genome.jp/entry/R05837" TargetMode="External"/><Relationship Id="rId884" Type="http://schemas.openxmlformats.org/officeDocument/2006/relationships/hyperlink" Target="https://enzyme.expasy.org/EC/2.1.1.222" TargetMode="External"/><Relationship Id="rId2120" Type="http://schemas.openxmlformats.org/officeDocument/2006/relationships/hyperlink" Target="https://enzyme.expasy.org/EC/2.7.7.7" TargetMode="External"/><Relationship Id="rId2565" Type="http://schemas.openxmlformats.org/officeDocument/2006/relationships/hyperlink" Target="https://www.genome.jp/entry/C05198" TargetMode="External"/><Relationship Id="rId2772" Type="http://schemas.openxmlformats.org/officeDocument/2006/relationships/hyperlink" Target="https://www.genome.jp/entry/C00111" TargetMode="External"/><Relationship Id="rId3409" Type="http://schemas.openxmlformats.org/officeDocument/2006/relationships/hyperlink" Target="https://enzyme.expasy.org/EC/6.5.1.2" TargetMode="External"/><Relationship Id="rId537" Type="http://schemas.openxmlformats.org/officeDocument/2006/relationships/hyperlink" Target="https://www.genome.jp/entry/1.2.1.10" TargetMode="External"/><Relationship Id="rId744" Type="http://schemas.openxmlformats.org/officeDocument/2006/relationships/hyperlink" Target="https://www.genome.jp/entry/1.8.1.4" TargetMode="External"/><Relationship Id="rId951" Type="http://schemas.openxmlformats.org/officeDocument/2006/relationships/hyperlink" Target="https://enzyme.expasy.org/EC/2.1.1.72" TargetMode="External"/><Relationship Id="rId1167" Type="http://schemas.openxmlformats.org/officeDocument/2006/relationships/hyperlink" Target="https://www.genome.jp/entry/R02768" TargetMode="External"/><Relationship Id="rId1374" Type="http://schemas.openxmlformats.org/officeDocument/2006/relationships/hyperlink" Target="https://www.genome.jp/entry/2.4.2.29" TargetMode="External"/><Relationship Id="rId1581" Type="http://schemas.openxmlformats.org/officeDocument/2006/relationships/hyperlink" Target="https://www.genome.jp/entry/R01012" TargetMode="External"/><Relationship Id="rId1679" Type="http://schemas.openxmlformats.org/officeDocument/2006/relationships/hyperlink" Target="https://enzyme.expasy.org/EC/2.7.1.40" TargetMode="External"/><Relationship Id="rId2218" Type="http://schemas.openxmlformats.org/officeDocument/2006/relationships/hyperlink" Target="https://enzyme.expasy.org/EC/3.1.1.29" TargetMode="External"/><Relationship Id="rId2425" Type="http://schemas.openxmlformats.org/officeDocument/2006/relationships/hyperlink" Target="https://www.genome.jp/entry/C00124" TargetMode="External"/><Relationship Id="rId2632" Type="http://schemas.openxmlformats.org/officeDocument/2006/relationships/hyperlink" Target="https://www.genome.jp/entry/C00438" TargetMode="External"/><Relationship Id="rId80" Type="http://schemas.openxmlformats.org/officeDocument/2006/relationships/hyperlink" Target="https://www.genome.jp/entry/C01450" TargetMode="External"/><Relationship Id="rId604" Type="http://schemas.openxmlformats.org/officeDocument/2006/relationships/hyperlink" Target="https://enzyme.expasy.org/EC/1.4.1.13" TargetMode="External"/><Relationship Id="rId811" Type="http://schemas.openxmlformats.org/officeDocument/2006/relationships/hyperlink" Target="https://www.genome.jp/entry/C04489" TargetMode="External"/><Relationship Id="rId1027" Type="http://schemas.openxmlformats.org/officeDocument/2006/relationships/hyperlink" Target="https://www.genome.jp/entry/R08648" TargetMode="External"/><Relationship Id="rId1234" Type="http://schemas.openxmlformats.org/officeDocument/2006/relationships/hyperlink" Target="https://enzyme.expasy.org/EC/2.3.1.266" TargetMode="External"/><Relationship Id="rId1441" Type="http://schemas.openxmlformats.org/officeDocument/2006/relationships/hyperlink" Target="https://www.genome.jp/entry/C00013" TargetMode="External"/><Relationship Id="rId1886" Type="http://schemas.openxmlformats.org/officeDocument/2006/relationships/hyperlink" Target="https://www.genome.jp/entry/C00013" TargetMode="External"/><Relationship Id="rId2937" Type="http://schemas.openxmlformats.org/officeDocument/2006/relationships/hyperlink" Target="https://www.genome.jp/entry/C00145" TargetMode="External"/><Relationship Id="rId909" Type="http://schemas.openxmlformats.org/officeDocument/2006/relationships/hyperlink" Target="https://www.genome.jp/entry/2.1.1.297" TargetMode="External"/><Relationship Id="rId1301" Type="http://schemas.openxmlformats.org/officeDocument/2006/relationships/hyperlink" Target="https://www.genome.jp/entry/C00369" TargetMode="External"/><Relationship Id="rId1539" Type="http://schemas.openxmlformats.org/officeDocument/2006/relationships/hyperlink" Target="https://www.genome.jp/entry/2.7.1.11" TargetMode="External"/><Relationship Id="rId1746" Type="http://schemas.openxmlformats.org/officeDocument/2006/relationships/hyperlink" Target="https://enzyme.expasy.org/EC/2.7.2.1" TargetMode="External"/><Relationship Id="rId1953" Type="http://schemas.openxmlformats.org/officeDocument/2006/relationships/hyperlink" Target="https://www.genome.jp/entry/C00201" TargetMode="External"/><Relationship Id="rId3199" Type="http://schemas.openxmlformats.org/officeDocument/2006/relationships/hyperlink" Target="https://www.genome.jp/entry/C00020" TargetMode="External"/><Relationship Id="rId38" Type="http://schemas.openxmlformats.org/officeDocument/2006/relationships/hyperlink" Target="https://www.genome.jp/entry/R05234" TargetMode="External"/><Relationship Id="rId1606" Type="http://schemas.openxmlformats.org/officeDocument/2006/relationships/hyperlink" Target="https://www.genome.jp/entry/C00673" TargetMode="External"/><Relationship Id="rId1813" Type="http://schemas.openxmlformats.org/officeDocument/2006/relationships/hyperlink" Target="https://enzyme.expasy.org/EC/2.7.4.6" TargetMode="External"/><Relationship Id="rId3059" Type="http://schemas.openxmlformats.org/officeDocument/2006/relationships/hyperlink" Target="https://www.genome.jp/entry/C02962" TargetMode="External"/><Relationship Id="rId3266" Type="http://schemas.openxmlformats.org/officeDocument/2006/relationships/hyperlink" Target="https://www.genome.jp/entry/C00002" TargetMode="External"/><Relationship Id="rId187" Type="http://schemas.openxmlformats.org/officeDocument/2006/relationships/hyperlink" Target="https://www.genome.jp/entry/R08240" TargetMode="External"/><Relationship Id="rId394" Type="http://schemas.openxmlformats.org/officeDocument/2006/relationships/hyperlink" Target="https://www.genome.jp/entry/1.17.4.1" TargetMode="External"/><Relationship Id="rId2075" Type="http://schemas.openxmlformats.org/officeDocument/2006/relationships/hyperlink" Target="https://enzyme.expasy.org/EC/2.7.7.7" TargetMode="External"/><Relationship Id="rId2282" Type="http://schemas.openxmlformats.org/officeDocument/2006/relationships/hyperlink" Target="https://enzyme.expasy.org/EC/3.1.3.5" TargetMode="External"/><Relationship Id="rId3126" Type="http://schemas.openxmlformats.org/officeDocument/2006/relationships/hyperlink" Target="https://enzyme.expasy.org/EC/5.4.99.9" TargetMode="External"/><Relationship Id="rId254" Type="http://schemas.openxmlformats.org/officeDocument/2006/relationships/hyperlink" Target="https://www.genome.jp/entry/C00957" TargetMode="External"/><Relationship Id="rId699" Type="http://schemas.openxmlformats.org/officeDocument/2006/relationships/hyperlink" Target="https://www.genome.jp/entry/1.5.1.3" TargetMode="External"/><Relationship Id="rId1091" Type="http://schemas.openxmlformats.org/officeDocument/2006/relationships/hyperlink" Target="https://www.genome.jp/entry/2.3.1.16" TargetMode="External"/><Relationship Id="rId2587" Type="http://schemas.openxmlformats.org/officeDocument/2006/relationships/hyperlink" Target="https://www.genome.jp/entry/C00217" TargetMode="External"/><Relationship Id="rId2794" Type="http://schemas.openxmlformats.org/officeDocument/2006/relationships/hyperlink" Target="https://enzyme.expasy.org/EC/4.1.3.6" TargetMode="External"/><Relationship Id="rId3333" Type="http://schemas.openxmlformats.org/officeDocument/2006/relationships/hyperlink" Target="https://www.genome.jp/entry/C00008" TargetMode="External"/><Relationship Id="rId114" Type="http://schemas.openxmlformats.org/officeDocument/2006/relationships/hyperlink" Target="https://www.genome.jp/entry/C04620" TargetMode="External"/><Relationship Id="rId461" Type="http://schemas.openxmlformats.org/officeDocument/2006/relationships/hyperlink" Target="https://www.genome.jp/entry/C00035" TargetMode="External"/><Relationship Id="rId559" Type="http://schemas.openxmlformats.org/officeDocument/2006/relationships/hyperlink" Target="https://enzyme.expasy.org/EC/1.2.3.3" TargetMode="External"/><Relationship Id="rId766" Type="http://schemas.openxmlformats.org/officeDocument/2006/relationships/hyperlink" Target="https://www.genome.jp/entry/C00097" TargetMode="External"/><Relationship Id="rId1189" Type="http://schemas.openxmlformats.org/officeDocument/2006/relationships/hyperlink" Target="https://enzyme.expasy.org/EC/2.3.1.179" TargetMode="External"/><Relationship Id="rId1396" Type="http://schemas.openxmlformats.org/officeDocument/2006/relationships/hyperlink" Target="https://www.genome.jp/entry/R04378" TargetMode="External"/><Relationship Id="rId2142" Type="http://schemas.openxmlformats.org/officeDocument/2006/relationships/hyperlink" Target="https://www.genome.jp/entry/C00286" TargetMode="External"/><Relationship Id="rId2447" Type="http://schemas.openxmlformats.org/officeDocument/2006/relationships/hyperlink" Target="https://enzyme.expasy.org/EC/3.2.1.22" TargetMode="External"/><Relationship Id="rId3400" Type="http://schemas.openxmlformats.org/officeDocument/2006/relationships/hyperlink" Target="https://enzyme.expasy.org/EC/6.4.1.1" TargetMode="External"/><Relationship Id="rId321" Type="http://schemas.openxmlformats.org/officeDocument/2006/relationships/hyperlink" Target="https://www.genome.jp/entry/1.17.1.8" TargetMode="External"/><Relationship Id="rId419" Type="http://schemas.openxmlformats.org/officeDocument/2006/relationships/hyperlink" Target="https://www.genome.jp/entry/R02019" TargetMode="External"/><Relationship Id="rId626" Type="http://schemas.openxmlformats.org/officeDocument/2006/relationships/hyperlink" Target="https://www.genome.jp/entry/R00146" TargetMode="External"/><Relationship Id="rId973" Type="http://schemas.openxmlformats.org/officeDocument/2006/relationships/hyperlink" Target="https://www.genome.jp/entry/R04326" TargetMode="External"/><Relationship Id="rId1049" Type="http://schemas.openxmlformats.org/officeDocument/2006/relationships/hyperlink" Target="https://www.genome.jp/entry/C00010" TargetMode="External"/><Relationship Id="rId1256" Type="http://schemas.openxmlformats.org/officeDocument/2006/relationships/hyperlink" Target="https://www.genome.jp/entry/C00083" TargetMode="External"/><Relationship Id="rId2002" Type="http://schemas.openxmlformats.org/officeDocument/2006/relationships/hyperlink" Target="https://www.genome.jp/entry/C00013" TargetMode="External"/><Relationship Id="rId2307" Type="http://schemas.openxmlformats.org/officeDocument/2006/relationships/hyperlink" Target="https://www.genome.jp/entry/C00850" TargetMode="External"/><Relationship Id="rId2654" Type="http://schemas.openxmlformats.org/officeDocument/2006/relationships/hyperlink" Target="https://www.genome.jp/entry/C00475" TargetMode="External"/><Relationship Id="rId2861" Type="http://schemas.openxmlformats.org/officeDocument/2006/relationships/hyperlink" Target="https://www.genome.jp/entry/C20378" TargetMode="External"/><Relationship Id="rId2959" Type="http://schemas.openxmlformats.org/officeDocument/2006/relationships/hyperlink" Target="https://enzyme.expasy.org/EC/4.4.1.13" TargetMode="External"/><Relationship Id="rId833" Type="http://schemas.openxmlformats.org/officeDocument/2006/relationships/hyperlink" Target="https://www.genome.jp/entry/R07234" TargetMode="External"/><Relationship Id="rId1116" Type="http://schemas.openxmlformats.org/officeDocument/2006/relationships/hyperlink" Target="https://www.genome.jp/entry/2.3.1.16" TargetMode="External"/><Relationship Id="rId1463" Type="http://schemas.openxmlformats.org/officeDocument/2006/relationships/hyperlink" Target="https://www.genome.jp/entry/R04771" TargetMode="External"/><Relationship Id="rId1670" Type="http://schemas.openxmlformats.org/officeDocument/2006/relationships/hyperlink" Target="https://enzyme.expasy.org/EC/2.7.1.40" TargetMode="External"/><Relationship Id="rId1768" Type="http://schemas.openxmlformats.org/officeDocument/2006/relationships/hyperlink" Target="https://www.genome.jp/entry/C00002" TargetMode="External"/><Relationship Id="rId2514" Type="http://schemas.openxmlformats.org/officeDocument/2006/relationships/hyperlink" Target="https://www.genome.jp/entry/G00370" TargetMode="External"/><Relationship Id="rId2721" Type="http://schemas.openxmlformats.org/officeDocument/2006/relationships/hyperlink" Target="https://www.genome.jp/entry/C03373" TargetMode="External"/><Relationship Id="rId2819" Type="http://schemas.openxmlformats.org/officeDocument/2006/relationships/hyperlink" Target="https://www.genome.jp/entry/C00065" TargetMode="External"/><Relationship Id="rId900" Type="http://schemas.openxmlformats.org/officeDocument/2006/relationships/hyperlink" Target="https://www.genome.jp/entry/2.1.1.223" TargetMode="External"/><Relationship Id="rId1323" Type="http://schemas.openxmlformats.org/officeDocument/2006/relationships/hyperlink" Target="https://www.genome.jp/entry/G10553" TargetMode="External"/><Relationship Id="rId1530" Type="http://schemas.openxmlformats.org/officeDocument/2006/relationships/hyperlink" Target="https://www.genome.jp/entry/C00002" TargetMode="External"/><Relationship Id="rId1628" Type="http://schemas.openxmlformats.org/officeDocument/2006/relationships/hyperlink" Target="https://www.genome.jp/entry/C00008" TargetMode="External"/><Relationship Id="rId1975" Type="http://schemas.openxmlformats.org/officeDocument/2006/relationships/hyperlink" Target="https://www.genome.jp/entry/C00013" TargetMode="External"/><Relationship Id="rId3190" Type="http://schemas.openxmlformats.org/officeDocument/2006/relationships/hyperlink" Target="https://www.genome.jp/entry/C00020" TargetMode="External"/><Relationship Id="rId1835" Type="http://schemas.openxmlformats.org/officeDocument/2006/relationships/hyperlink" Target="https://www.genome.jp/entry/C00002" TargetMode="External"/><Relationship Id="rId3050" Type="http://schemas.openxmlformats.org/officeDocument/2006/relationships/hyperlink" Target="https://www.genome.jp/entry/C06019" TargetMode="External"/><Relationship Id="rId3288" Type="http://schemas.openxmlformats.org/officeDocument/2006/relationships/hyperlink" Target="https://www.genome.jp/entry/C00008" TargetMode="External"/><Relationship Id="rId1902" Type="http://schemas.openxmlformats.org/officeDocument/2006/relationships/hyperlink" Target="https://www.genome.jp/entry/C00002" TargetMode="External"/><Relationship Id="rId2097" Type="http://schemas.openxmlformats.org/officeDocument/2006/relationships/hyperlink" Target="https://www.genome.jp/entry/C11039" TargetMode="External"/><Relationship Id="rId3148" Type="http://schemas.openxmlformats.org/officeDocument/2006/relationships/hyperlink" Target="https://www.genome.jp/entry/C00020" TargetMode="External"/><Relationship Id="rId3355" Type="http://schemas.openxmlformats.org/officeDocument/2006/relationships/hyperlink" Target="https://enzyme.expasy.org/EC/6.3.5.2" TargetMode="External"/><Relationship Id="rId276" Type="http://schemas.openxmlformats.org/officeDocument/2006/relationships/hyperlink" Target="https://www.genome.jp/entry/1.1.1.3" TargetMode="External"/><Relationship Id="rId483" Type="http://schemas.openxmlformats.org/officeDocument/2006/relationships/hyperlink" Target="https://www.genome.jp/entry/1.17.4.2" TargetMode="External"/><Relationship Id="rId690" Type="http://schemas.openxmlformats.org/officeDocument/2006/relationships/hyperlink" Target="https://www.genome.jp/entry/R00940" TargetMode="External"/><Relationship Id="rId2164" Type="http://schemas.openxmlformats.org/officeDocument/2006/relationships/hyperlink" Target="https://www.genome.jp/entry/C00013" TargetMode="External"/><Relationship Id="rId2371" Type="http://schemas.openxmlformats.org/officeDocument/2006/relationships/hyperlink" Target="https://www.genome.jp/entry/C00124" TargetMode="External"/><Relationship Id="rId3008" Type="http://schemas.openxmlformats.org/officeDocument/2006/relationships/hyperlink" Target="https://www.genome.jp/entry/C00842" TargetMode="External"/><Relationship Id="rId3215" Type="http://schemas.openxmlformats.org/officeDocument/2006/relationships/hyperlink" Target="https://enzyme.expasy.org/EC/6.1.1.17" TargetMode="External"/><Relationship Id="rId3422" Type="http://schemas.openxmlformats.org/officeDocument/2006/relationships/hyperlink" Target="https://enzyme.expasy.org/EC/7.1.2.2" TargetMode="External"/><Relationship Id="rId136" Type="http://schemas.openxmlformats.org/officeDocument/2006/relationships/hyperlink" Target="https://enzyme.expasy.org/EC/1.1.1.100" TargetMode="External"/><Relationship Id="rId343" Type="http://schemas.openxmlformats.org/officeDocument/2006/relationships/hyperlink" Target="https://www.genome.jp/entry/C01346" TargetMode="External"/><Relationship Id="rId550" Type="http://schemas.openxmlformats.org/officeDocument/2006/relationships/hyperlink" Target="https://www.genome.jp/entry/1.2.1.41" TargetMode="External"/><Relationship Id="rId788" Type="http://schemas.openxmlformats.org/officeDocument/2006/relationships/hyperlink" Target="https://enzyme.expasy.org/EC/1.8.4.11" TargetMode="External"/><Relationship Id="rId995" Type="http://schemas.openxmlformats.org/officeDocument/2006/relationships/hyperlink" Target="https://enzyme.expasy.org/EC/2.2.1.6" TargetMode="External"/><Relationship Id="rId1180" Type="http://schemas.openxmlformats.org/officeDocument/2006/relationships/hyperlink" Target="https://www.genome.jp/entry/2.3.1.179" TargetMode="External"/><Relationship Id="rId2024" Type="http://schemas.openxmlformats.org/officeDocument/2006/relationships/hyperlink" Target="https://enzyme.expasy.org/EC/2.7.7.61" TargetMode="External"/><Relationship Id="rId2231" Type="http://schemas.openxmlformats.org/officeDocument/2006/relationships/hyperlink" Target="https://enzyme.expasy.org/EC/3.1.26.11" TargetMode="External"/><Relationship Id="rId2469" Type="http://schemas.openxmlformats.org/officeDocument/2006/relationships/hyperlink" Target="https://www.genome.jp/entry/C06136" TargetMode="External"/><Relationship Id="rId2676" Type="http://schemas.openxmlformats.org/officeDocument/2006/relationships/hyperlink" Target="https://enzyme.expasy.org/EC/3.6.1.11" TargetMode="External"/><Relationship Id="rId2883" Type="http://schemas.openxmlformats.org/officeDocument/2006/relationships/hyperlink" Target="https://www.genome.jp/entry/C00161" TargetMode="External"/><Relationship Id="rId203" Type="http://schemas.openxmlformats.org/officeDocument/2006/relationships/hyperlink" Target="https://www.genome.jp/entry/C00860" TargetMode="External"/><Relationship Id="rId648" Type="http://schemas.openxmlformats.org/officeDocument/2006/relationships/hyperlink" Target="https://www.genome.jp/entry/C03912" TargetMode="External"/><Relationship Id="rId855" Type="http://schemas.openxmlformats.org/officeDocument/2006/relationships/hyperlink" Target="https://www.genome.jp/entry/C00019" TargetMode="External"/><Relationship Id="rId1040" Type="http://schemas.openxmlformats.org/officeDocument/2006/relationships/hyperlink" Target="https://enzyme.expasy.org/EC/2.3.1.15" TargetMode="External"/><Relationship Id="rId1278" Type="http://schemas.openxmlformats.org/officeDocument/2006/relationships/hyperlink" Target="https://enzyme.expasy.org/EC/2.3.1.89" TargetMode="External"/><Relationship Id="rId1485" Type="http://schemas.openxmlformats.org/officeDocument/2006/relationships/hyperlink" Target="https://www.genome.jp/entry/R00768" TargetMode="External"/><Relationship Id="rId1692" Type="http://schemas.openxmlformats.org/officeDocument/2006/relationships/hyperlink" Target="https://www.genome.jp/entry/C00201" TargetMode="External"/><Relationship Id="rId2329" Type="http://schemas.openxmlformats.org/officeDocument/2006/relationships/hyperlink" Target="https://www.genome.jp/entry/C00267" TargetMode="External"/><Relationship Id="rId2536" Type="http://schemas.openxmlformats.org/officeDocument/2006/relationships/hyperlink" Target="https://www.genome.jp/entry/C02323" TargetMode="External"/><Relationship Id="rId2743" Type="http://schemas.openxmlformats.org/officeDocument/2006/relationships/hyperlink" Target="https://enzyme.expasy.org/EC/4.1.2.13" TargetMode="External"/><Relationship Id="rId410" Type="http://schemas.openxmlformats.org/officeDocument/2006/relationships/hyperlink" Target="https://www.genome.jp/entry/C00206" TargetMode="External"/><Relationship Id="rId508" Type="http://schemas.openxmlformats.org/officeDocument/2006/relationships/hyperlink" Target="https://www.genome.jp/entry/1.17.4.2" TargetMode="External"/><Relationship Id="rId715" Type="http://schemas.openxmlformats.org/officeDocument/2006/relationships/hyperlink" Target="https://www.genome.jp/entry/R01134" TargetMode="External"/><Relationship Id="rId922" Type="http://schemas.openxmlformats.org/officeDocument/2006/relationships/hyperlink" Target="https://enzyme.expasy.org/EC/2.1.1.63" TargetMode="External"/><Relationship Id="rId1138" Type="http://schemas.openxmlformats.org/officeDocument/2006/relationships/hyperlink" Target="https://www.genome.jp/entry/C16466" TargetMode="External"/><Relationship Id="rId1345" Type="http://schemas.openxmlformats.org/officeDocument/2006/relationships/hyperlink" Target="https://www.genome.jp/entry/R01073" TargetMode="External"/><Relationship Id="rId1552" Type="http://schemas.openxmlformats.org/officeDocument/2006/relationships/hyperlink" Target="https://www.genome.jp/entry/R03236" TargetMode="External"/><Relationship Id="rId1997" Type="http://schemas.openxmlformats.org/officeDocument/2006/relationships/hyperlink" Target="https://enzyme.expasy.org/EC/2.7.7.6" TargetMode="External"/><Relationship Id="rId2603" Type="http://schemas.openxmlformats.org/officeDocument/2006/relationships/hyperlink" Target="https://enzyme.expasy.org/EC/3.5.1.4" TargetMode="External"/><Relationship Id="rId2950" Type="http://schemas.openxmlformats.org/officeDocument/2006/relationships/hyperlink" Target="https://enzyme.expasy.org/EC/4.4.1.13" TargetMode="External"/><Relationship Id="rId1205" Type="http://schemas.openxmlformats.org/officeDocument/2006/relationships/hyperlink" Target="https://www.genome.jp/entry/2.3.1.179" TargetMode="External"/><Relationship Id="rId1857" Type="http://schemas.openxmlformats.org/officeDocument/2006/relationships/hyperlink" Target="https://www.genome.jp/entry/C22441" TargetMode="External"/><Relationship Id="rId2810" Type="http://schemas.openxmlformats.org/officeDocument/2006/relationships/hyperlink" Target="https://www.genome.jp/entry/C00256" TargetMode="External"/><Relationship Id="rId2908" Type="http://schemas.openxmlformats.org/officeDocument/2006/relationships/hyperlink" Target="https://enzyme.expasy.org/EC/4.3.2.10" TargetMode="External"/><Relationship Id="rId51" Type="http://schemas.openxmlformats.org/officeDocument/2006/relationships/hyperlink" Target="https://enzyme.expasy.org/EC/1.1.1.1" TargetMode="External"/><Relationship Id="rId1412" Type="http://schemas.openxmlformats.org/officeDocument/2006/relationships/hyperlink" Target="https://enzyme.expasy.org/EC/2.5.1.145" TargetMode="External"/><Relationship Id="rId1717" Type="http://schemas.openxmlformats.org/officeDocument/2006/relationships/hyperlink" Target="https://www.genome.jp/entry/C00008" TargetMode="External"/><Relationship Id="rId1924" Type="http://schemas.openxmlformats.org/officeDocument/2006/relationships/hyperlink" Target="https://www.genome.jp/entry/C00013" TargetMode="External"/><Relationship Id="rId3072" Type="http://schemas.openxmlformats.org/officeDocument/2006/relationships/hyperlink" Target="https://www.genome.jp/entry/C05345" TargetMode="External"/><Relationship Id="rId3377" Type="http://schemas.openxmlformats.org/officeDocument/2006/relationships/hyperlink" Target="https://www.genome.jp/entry/C00002" TargetMode="External"/><Relationship Id="rId298" Type="http://schemas.openxmlformats.org/officeDocument/2006/relationships/hyperlink" Target="https://www.genome.jp/entry/1.1.1.88" TargetMode="External"/><Relationship Id="rId158" Type="http://schemas.openxmlformats.org/officeDocument/2006/relationships/hyperlink" Target="https://www.genome.jp/entry/C00644" TargetMode="External"/><Relationship Id="rId2186" Type="http://schemas.openxmlformats.org/officeDocument/2006/relationships/hyperlink" Target="https://enzyme.expasy.org/EC/2.7.7.87" TargetMode="External"/><Relationship Id="rId2393" Type="http://schemas.openxmlformats.org/officeDocument/2006/relationships/hyperlink" Target="https://enzyme.expasy.org/EC/3.2.1.22" TargetMode="External"/><Relationship Id="rId2698" Type="http://schemas.openxmlformats.org/officeDocument/2006/relationships/hyperlink" Target="https://enzyme.expasy.org/EC/3.7.1.22" TargetMode="External"/><Relationship Id="rId3237" Type="http://schemas.openxmlformats.org/officeDocument/2006/relationships/hyperlink" Target="https://www.genome.jp/entry/C00020" TargetMode="External"/><Relationship Id="rId3444" Type="http://schemas.openxmlformats.org/officeDocument/2006/relationships/hyperlink" Target="https://enzyme.expasy.org/EC/7.4.2.11" TargetMode="External"/><Relationship Id="rId365" Type="http://schemas.openxmlformats.org/officeDocument/2006/relationships/hyperlink" Target="https://enzyme.expasy.org/EC/1.17.4.1" TargetMode="External"/><Relationship Id="rId572" Type="http://schemas.openxmlformats.org/officeDocument/2006/relationships/hyperlink" Target="https://www.genome.jp/entry/C11215" TargetMode="External"/><Relationship Id="rId2046" Type="http://schemas.openxmlformats.org/officeDocument/2006/relationships/hyperlink" Target="https://www.genome.jp/entry/C00677" TargetMode="External"/><Relationship Id="rId2253" Type="http://schemas.openxmlformats.org/officeDocument/2006/relationships/hyperlink" Target="https://www.genome.jp/entry/C00020" TargetMode="External"/><Relationship Id="rId2460" Type="http://schemas.openxmlformats.org/officeDocument/2006/relationships/hyperlink" Target="https://www.genome.jp/entry/C01290" TargetMode="External"/><Relationship Id="rId3304" Type="http://schemas.openxmlformats.org/officeDocument/2006/relationships/hyperlink" Target="https://enzyme.expasy.org/EC/6.3.3.1" TargetMode="External"/><Relationship Id="rId225" Type="http://schemas.openxmlformats.org/officeDocument/2006/relationships/hyperlink" Target="https://enzyme.expasy.org/EC/1.1.1.262" TargetMode="External"/><Relationship Id="rId432" Type="http://schemas.openxmlformats.org/officeDocument/2006/relationships/hyperlink" Target="https://enzyme.expasy.org/EC/1.17.4.1" TargetMode="External"/><Relationship Id="rId877" Type="http://schemas.openxmlformats.org/officeDocument/2006/relationships/hyperlink" Target="https://www.genome.jp/entry/C05811" TargetMode="External"/><Relationship Id="rId1062" Type="http://schemas.openxmlformats.org/officeDocument/2006/relationships/hyperlink" Target="https://www.genome.jp/entry/R00829" TargetMode="External"/><Relationship Id="rId2113" Type="http://schemas.openxmlformats.org/officeDocument/2006/relationships/hyperlink" Target="https://www.genome.jp/entry/C00013" TargetMode="External"/><Relationship Id="rId2320" Type="http://schemas.openxmlformats.org/officeDocument/2006/relationships/hyperlink" Target="https://www.genome.jp/entry/C00031" TargetMode="External"/><Relationship Id="rId2558" Type="http://schemas.openxmlformats.org/officeDocument/2006/relationships/hyperlink" Target="https://enzyme.expasy.org/EC/3.2.2.9" TargetMode="External"/><Relationship Id="rId2765" Type="http://schemas.openxmlformats.org/officeDocument/2006/relationships/hyperlink" Target="https://www.genome.jp/entry/C01094" TargetMode="External"/><Relationship Id="rId2972" Type="http://schemas.openxmlformats.org/officeDocument/2006/relationships/hyperlink" Target="https://www.genome.jp/entry/C02882" TargetMode="External"/><Relationship Id="rId737" Type="http://schemas.openxmlformats.org/officeDocument/2006/relationships/hyperlink" Target="https://www.genome.jp/entry/C00248" TargetMode="External"/><Relationship Id="rId944" Type="http://schemas.openxmlformats.org/officeDocument/2006/relationships/hyperlink" Target="https://www.genome.jp/entry/R12657" TargetMode="External"/><Relationship Id="rId1367" Type="http://schemas.openxmlformats.org/officeDocument/2006/relationships/hyperlink" Target="https://www.genome.jp/entry/R02142" TargetMode="External"/><Relationship Id="rId1574" Type="http://schemas.openxmlformats.org/officeDocument/2006/relationships/hyperlink" Target="https://enzyme.expasy.org/EC/2.7.1.121" TargetMode="External"/><Relationship Id="rId1781" Type="http://schemas.openxmlformats.org/officeDocument/2006/relationships/hyperlink" Target="https://www.genome.jp/entry/C00008" TargetMode="External"/><Relationship Id="rId2418" Type="http://schemas.openxmlformats.org/officeDocument/2006/relationships/hyperlink" Target="https://www.genome.jp/entry/C06126" TargetMode="External"/><Relationship Id="rId2625" Type="http://schemas.openxmlformats.org/officeDocument/2006/relationships/hyperlink" Target="https://www.genome.jp/entry/C11439" TargetMode="External"/><Relationship Id="rId2832" Type="http://schemas.openxmlformats.org/officeDocument/2006/relationships/hyperlink" Target="https://www.genome.jp/entry/C00463" TargetMode="External"/><Relationship Id="rId73" Type="http://schemas.openxmlformats.org/officeDocument/2006/relationships/hyperlink" Target="https://www.genome.jp/entry/R10783" TargetMode="External"/><Relationship Id="rId804" Type="http://schemas.openxmlformats.org/officeDocument/2006/relationships/hyperlink" Target="https://www.genome.jp/entry/1.97.1.4" TargetMode="External"/><Relationship Id="rId1227" Type="http://schemas.openxmlformats.org/officeDocument/2006/relationships/hyperlink" Target="https://www.genome.jp/entry/C20641" TargetMode="External"/><Relationship Id="rId1434" Type="http://schemas.openxmlformats.org/officeDocument/2006/relationships/hyperlink" Target="https://www.genome.jp/entry/C00013" TargetMode="External"/><Relationship Id="rId1641" Type="http://schemas.openxmlformats.org/officeDocument/2006/relationships/hyperlink" Target="https://enzyme.expasy.org/EC/2.7.1.23" TargetMode="External"/><Relationship Id="rId1879" Type="http://schemas.openxmlformats.org/officeDocument/2006/relationships/hyperlink" Target="https://enzyme.expasy.org/EC/2.7.7.18" TargetMode="External"/><Relationship Id="rId3094" Type="http://schemas.openxmlformats.org/officeDocument/2006/relationships/hyperlink" Target="https://www.genome.jp/entry/C00235" TargetMode="External"/><Relationship Id="rId1501" Type="http://schemas.openxmlformats.org/officeDocument/2006/relationships/hyperlink" Target="https://www.genome.jp/entry/R03243" TargetMode="External"/><Relationship Id="rId1739" Type="http://schemas.openxmlformats.org/officeDocument/2006/relationships/hyperlink" Target="https://enzyme.expasy.org/EC/2.7.10.2" TargetMode="External"/><Relationship Id="rId1946" Type="http://schemas.openxmlformats.org/officeDocument/2006/relationships/hyperlink" Target="https://enzyme.expasy.org/EC/2.7.7.6" TargetMode="External"/><Relationship Id="rId3399" Type="http://schemas.openxmlformats.org/officeDocument/2006/relationships/hyperlink" Target="https://www.genome.jp/entry/C00008" TargetMode="External"/><Relationship Id="rId1806" Type="http://schemas.openxmlformats.org/officeDocument/2006/relationships/hyperlink" Target="https://www.genome.jp/entry/C11039" TargetMode="External"/><Relationship Id="rId3161" Type="http://schemas.openxmlformats.org/officeDocument/2006/relationships/hyperlink" Target="https://enzyme.expasy.org/EC/6.1.1.13" TargetMode="External"/><Relationship Id="rId3259" Type="http://schemas.openxmlformats.org/officeDocument/2006/relationships/hyperlink" Target="https://enzyme.expasy.org/EC/6.3.1.20" TargetMode="External"/><Relationship Id="rId387" Type="http://schemas.openxmlformats.org/officeDocument/2006/relationships/hyperlink" Target="https://www.genome.jp/entry/R02024" TargetMode="External"/><Relationship Id="rId594" Type="http://schemas.openxmlformats.org/officeDocument/2006/relationships/hyperlink" Target="https://enzyme.expasy.org/EC/1.3.98.1" TargetMode="External"/><Relationship Id="rId2068" Type="http://schemas.openxmlformats.org/officeDocument/2006/relationships/hyperlink" Target="https://www.genome.jp/entry/C00013" TargetMode="External"/><Relationship Id="rId2275" Type="http://schemas.openxmlformats.org/officeDocument/2006/relationships/hyperlink" Target="https://www.genome.jp/entry/C05841" TargetMode="External"/><Relationship Id="rId3021" Type="http://schemas.openxmlformats.org/officeDocument/2006/relationships/hyperlink" Target="https://www.genome.jp/entry/C03633" TargetMode="External"/><Relationship Id="rId3119" Type="http://schemas.openxmlformats.org/officeDocument/2006/relationships/hyperlink" Target="https://enzyme.expasy.org/EC/5.4.99.18" TargetMode="External"/><Relationship Id="rId3326" Type="http://schemas.openxmlformats.org/officeDocument/2006/relationships/hyperlink" Target="https://www.genome.jp/entry/C19722" TargetMode="External"/><Relationship Id="rId247" Type="http://schemas.openxmlformats.org/officeDocument/2006/relationships/hyperlink" Target="https://www.genome.jp/entry/R01000" TargetMode="External"/><Relationship Id="rId899" Type="http://schemas.openxmlformats.org/officeDocument/2006/relationships/hyperlink" Target="https://enzyme.expasy.org/EC/2.1.1.223" TargetMode="External"/><Relationship Id="rId1084" Type="http://schemas.openxmlformats.org/officeDocument/2006/relationships/hyperlink" Target="https://www.genome.jp/entry/C00010" TargetMode="External"/><Relationship Id="rId2482" Type="http://schemas.openxmlformats.org/officeDocument/2006/relationships/hyperlink" Target="https://www.genome.jp/entry/G10238" TargetMode="External"/><Relationship Id="rId2787" Type="http://schemas.openxmlformats.org/officeDocument/2006/relationships/hyperlink" Target="https://www.genome.jp/entry/C06019" TargetMode="External"/><Relationship Id="rId107" Type="http://schemas.openxmlformats.org/officeDocument/2006/relationships/hyperlink" Target="https://www.genome.jp/entry/1.1.1.100" TargetMode="External"/><Relationship Id="rId454" Type="http://schemas.openxmlformats.org/officeDocument/2006/relationships/hyperlink" Target="https://www.genome.jp/entry/R02018" TargetMode="External"/><Relationship Id="rId661" Type="http://schemas.openxmlformats.org/officeDocument/2006/relationships/hyperlink" Target="https://www.genome.jp/entry/R03293" TargetMode="External"/><Relationship Id="rId759" Type="http://schemas.openxmlformats.org/officeDocument/2006/relationships/hyperlink" Target="https://www.genome.jp/entry/1.8.1.9" TargetMode="External"/><Relationship Id="rId966" Type="http://schemas.openxmlformats.org/officeDocument/2006/relationships/hyperlink" Target="https://enzyme.expasy.org/EC/2.1.2.2" TargetMode="External"/><Relationship Id="rId1291" Type="http://schemas.openxmlformats.org/officeDocument/2006/relationships/hyperlink" Target="https://www.genome.jp/entry/C00718" TargetMode="External"/><Relationship Id="rId1389" Type="http://schemas.openxmlformats.org/officeDocument/2006/relationships/hyperlink" Target="https://www.genome.jp/entry/R04378" TargetMode="External"/><Relationship Id="rId1596" Type="http://schemas.openxmlformats.org/officeDocument/2006/relationships/hyperlink" Target="https://www.genome.jp/entry/R05634" TargetMode="External"/><Relationship Id="rId2135" Type="http://schemas.openxmlformats.org/officeDocument/2006/relationships/hyperlink" Target="https://enzyme.expasy.org/EC/2.7.7.7" TargetMode="External"/><Relationship Id="rId2342" Type="http://schemas.openxmlformats.org/officeDocument/2006/relationships/hyperlink" Target="https://enzyme.expasy.org/EC/3.2.1.22" TargetMode="External"/><Relationship Id="rId2647" Type="http://schemas.openxmlformats.org/officeDocument/2006/relationships/hyperlink" Target="https://enzyme.expasy.org/EC/3.5.4.4" TargetMode="External"/><Relationship Id="rId2994" Type="http://schemas.openxmlformats.org/officeDocument/2006/relationships/hyperlink" Target="https://www.genome.jp/entry/C00680" TargetMode="External"/><Relationship Id="rId314" Type="http://schemas.openxmlformats.org/officeDocument/2006/relationships/hyperlink" Target="https://www.genome.jp/entry/R12579" TargetMode="External"/><Relationship Id="rId521" Type="http://schemas.openxmlformats.org/officeDocument/2006/relationships/hyperlink" Target="https://www.genome.jp/entry/C00044" TargetMode="External"/><Relationship Id="rId619" Type="http://schemas.openxmlformats.org/officeDocument/2006/relationships/hyperlink" Target="https://enzyme.expasy.org/EC/1.4.1.4" TargetMode="External"/><Relationship Id="rId1151" Type="http://schemas.openxmlformats.org/officeDocument/2006/relationships/hyperlink" Target="https://www.genome.jp/entry/2.3.1.16" TargetMode="External"/><Relationship Id="rId1249" Type="http://schemas.openxmlformats.org/officeDocument/2006/relationships/hyperlink" Target="https://www.genome.jp/entry/2.3.1.286" TargetMode="External"/><Relationship Id="rId2202" Type="http://schemas.openxmlformats.org/officeDocument/2006/relationships/hyperlink" Target="https://www.genome.jp/entry/C00010" TargetMode="External"/><Relationship Id="rId2854" Type="http://schemas.openxmlformats.org/officeDocument/2006/relationships/hyperlink" Target="https://www.genome.jp/entry/C05747" TargetMode="External"/><Relationship Id="rId95" Type="http://schemas.openxmlformats.org/officeDocument/2006/relationships/hyperlink" Target="https://www.genome.jp/entry/C07490" TargetMode="External"/><Relationship Id="rId826" Type="http://schemas.openxmlformats.org/officeDocument/2006/relationships/hyperlink" Target="https://www.genome.jp/entry/C00021" TargetMode="External"/><Relationship Id="rId1011" Type="http://schemas.openxmlformats.org/officeDocument/2006/relationships/hyperlink" Target="https://www.genome.jp/entry/2.2.1.6" TargetMode="External"/><Relationship Id="rId1109" Type="http://schemas.openxmlformats.org/officeDocument/2006/relationships/hyperlink" Target="https://www.genome.jp/entry/C00527" TargetMode="External"/><Relationship Id="rId1456" Type="http://schemas.openxmlformats.org/officeDocument/2006/relationships/hyperlink" Target="https://www.genome.jp/entry/C01005" TargetMode="External"/><Relationship Id="rId1663" Type="http://schemas.openxmlformats.org/officeDocument/2006/relationships/hyperlink" Target="https://www.genome.jp/entry/C00008" TargetMode="External"/><Relationship Id="rId1870" Type="http://schemas.openxmlformats.org/officeDocument/2006/relationships/hyperlink" Target="https://www.genome.jp/entry/C00020" TargetMode="External"/><Relationship Id="rId1968" Type="http://schemas.openxmlformats.org/officeDocument/2006/relationships/hyperlink" Target="https://www.genome.jp/entry/C00201" TargetMode="External"/><Relationship Id="rId2507" Type="http://schemas.openxmlformats.org/officeDocument/2006/relationships/hyperlink" Target="https://enzyme.expasy.org/EC/3.2.1.26" TargetMode="External"/><Relationship Id="rId2714" Type="http://schemas.openxmlformats.org/officeDocument/2006/relationships/hyperlink" Target="https://www.genome.jp/entry/C00606" TargetMode="External"/><Relationship Id="rId2921" Type="http://schemas.openxmlformats.org/officeDocument/2006/relationships/hyperlink" Target="https://www.genome.jp/entry/C03794" TargetMode="External"/><Relationship Id="rId1316" Type="http://schemas.openxmlformats.org/officeDocument/2006/relationships/hyperlink" Target="https://enzyme.expasy.org/EC/2.4.1.227" TargetMode="External"/><Relationship Id="rId1523" Type="http://schemas.openxmlformats.org/officeDocument/2006/relationships/hyperlink" Target="https://enzyme.expasy.org/EC/2.7.1.107" TargetMode="External"/><Relationship Id="rId1730" Type="http://schemas.openxmlformats.org/officeDocument/2006/relationships/hyperlink" Target="https://enzyme.expasy.org/EC/2.7.1.56" TargetMode="External"/><Relationship Id="rId3183" Type="http://schemas.openxmlformats.org/officeDocument/2006/relationships/hyperlink" Target="https://www.genome.jp/entry/C00002" TargetMode="External"/><Relationship Id="rId3390" Type="http://schemas.openxmlformats.org/officeDocument/2006/relationships/hyperlink" Target="https://www.genome.jp/entry/C00008" TargetMode="External"/><Relationship Id="rId22" Type="http://schemas.openxmlformats.org/officeDocument/2006/relationships/hyperlink" Target="https://www.genome.jp/entry/1.1.1.1" TargetMode="External"/><Relationship Id="rId1828" Type="http://schemas.openxmlformats.org/officeDocument/2006/relationships/hyperlink" Target="https://enzyme.expasy.org/EC/2.7.4.6" TargetMode="External"/><Relationship Id="rId3043" Type="http://schemas.openxmlformats.org/officeDocument/2006/relationships/hyperlink" Target="https://enzyme.expasy.org/EC/5.3.1.27" TargetMode="External"/><Relationship Id="rId3250" Type="http://schemas.openxmlformats.org/officeDocument/2006/relationships/hyperlink" Target="https://enzyme.expasy.org/EC/6.1.1.9" TargetMode="External"/><Relationship Id="rId171" Type="http://schemas.openxmlformats.org/officeDocument/2006/relationships/hyperlink" Target="https://www.genome.jp/entry/1.1.1.17" TargetMode="External"/><Relationship Id="rId2297" Type="http://schemas.openxmlformats.org/officeDocument/2006/relationships/hyperlink" Target="https://enzyme.expasy.org/EC/3.1.3.7" TargetMode="External"/><Relationship Id="rId3348" Type="http://schemas.openxmlformats.org/officeDocument/2006/relationships/hyperlink" Target="https://www.genome.jp/entry/C00035" TargetMode="External"/><Relationship Id="rId269" Type="http://schemas.openxmlformats.org/officeDocument/2006/relationships/hyperlink" Target="https://www.genome.jp/entry/C00957" TargetMode="External"/><Relationship Id="rId476" Type="http://schemas.openxmlformats.org/officeDocument/2006/relationships/hyperlink" Target="https://www.genome.jp/entry/C03723" TargetMode="External"/><Relationship Id="rId683" Type="http://schemas.openxmlformats.org/officeDocument/2006/relationships/hyperlink" Target="https://enzyme.expasy.org/EC/1.5.1.3" TargetMode="External"/><Relationship Id="rId890" Type="http://schemas.openxmlformats.org/officeDocument/2006/relationships/hyperlink" Target="https://www.genome.jp/entry/2.1.1.222" TargetMode="External"/><Relationship Id="rId2157" Type="http://schemas.openxmlformats.org/officeDocument/2006/relationships/hyperlink" Target="https://www.genome.jp/entry/C00131" TargetMode="External"/><Relationship Id="rId2364" Type="http://schemas.openxmlformats.org/officeDocument/2006/relationships/hyperlink" Target="https://www.genome.jp/entry/C06037" TargetMode="External"/><Relationship Id="rId2571" Type="http://schemas.openxmlformats.org/officeDocument/2006/relationships/hyperlink" Target="https://www.genome.jp/entry/C00148" TargetMode="External"/><Relationship Id="rId3110" Type="http://schemas.openxmlformats.org/officeDocument/2006/relationships/hyperlink" Target="https://enzyme.expasy.org/EC/5.4.2.7" TargetMode="External"/><Relationship Id="rId3208" Type="http://schemas.openxmlformats.org/officeDocument/2006/relationships/hyperlink" Target="https://www.genome.jp/entry/C00020" TargetMode="External"/><Relationship Id="rId3415" Type="http://schemas.openxmlformats.org/officeDocument/2006/relationships/hyperlink" Target="https://www.genome.jp/entry/C00008" TargetMode="External"/><Relationship Id="rId129" Type="http://schemas.openxmlformats.org/officeDocument/2006/relationships/hyperlink" Target="https://www.genome.jp/entry/C05747" TargetMode="External"/><Relationship Id="rId336" Type="http://schemas.openxmlformats.org/officeDocument/2006/relationships/hyperlink" Target="https://www.genome.jp/entry/1.17.4.1" TargetMode="External"/><Relationship Id="rId543" Type="http://schemas.openxmlformats.org/officeDocument/2006/relationships/hyperlink" Target="https://www.genome.jp/entry/C00136" TargetMode="External"/><Relationship Id="rId988" Type="http://schemas.openxmlformats.org/officeDocument/2006/relationships/hyperlink" Target="https://www.genome.jp/entry/R01397" TargetMode="External"/><Relationship Id="rId1173" Type="http://schemas.openxmlformats.org/officeDocument/2006/relationships/hyperlink" Target="https://www.genome.jp/entry/C03939" TargetMode="External"/><Relationship Id="rId1380" Type="http://schemas.openxmlformats.org/officeDocument/2006/relationships/hyperlink" Target="https://www.genome.jp/entry/R09675" TargetMode="External"/><Relationship Id="rId2017" Type="http://schemas.openxmlformats.org/officeDocument/2006/relationships/hyperlink" Target="https://www.genome.jp/entry/C00013" TargetMode="External"/><Relationship Id="rId2224" Type="http://schemas.openxmlformats.org/officeDocument/2006/relationships/hyperlink" Target="https://enzyme.expasy.org/EC/3.1.11.6" TargetMode="External"/><Relationship Id="rId2669" Type="http://schemas.openxmlformats.org/officeDocument/2006/relationships/hyperlink" Target="https://www.genome.jp/entry/C01279" TargetMode="External"/><Relationship Id="rId2876" Type="http://schemas.openxmlformats.org/officeDocument/2006/relationships/hyperlink" Target="https://www.genome.jp/entry/C20904" TargetMode="External"/><Relationship Id="rId403" Type="http://schemas.openxmlformats.org/officeDocument/2006/relationships/hyperlink" Target="https://www.genome.jp/entry/1.17.4.1" TargetMode="External"/><Relationship Id="rId750" Type="http://schemas.openxmlformats.org/officeDocument/2006/relationships/hyperlink" Target="https://www.genome.jp/entry/R07618" TargetMode="External"/><Relationship Id="rId848" Type="http://schemas.openxmlformats.org/officeDocument/2006/relationships/hyperlink" Target="https://www.genome.jp/entry/C00021" TargetMode="External"/><Relationship Id="rId1033" Type="http://schemas.openxmlformats.org/officeDocument/2006/relationships/hyperlink" Target="https://www.genome.jp/entry/C00093" TargetMode="External"/><Relationship Id="rId1478" Type="http://schemas.openxmlformats.org/officeDocument/2006/relationships/hyperlink" Target="https://www.genome.jp/entry/C05847" TargetMode="External"/><Relationship Id="rId1685" Type="http://schemas.openxmlformats.org/officeDocument/2006/relationships/hyperlink" Target="https://enzyme.expasy.org/EC/2.7.1.40" TargetMode="External"/><Relationship Id="rId1892" Type="http://schemas.openxmlformats.org/officeDocument/2006/relationships/hyperlink" Target="https://enzyme.expasy.org/EC/2.7.7.27" TargetMode="External"/><Relationship Id="rId2431" Type="http://schemas.openxmlformats.org/officeDocument/2006/relationships/hyperlink" Target="https://www.genome.jp/entry/C00124" TargetMode="External"/><Relationship Id="rId2529" Type="http://schemas.openxmlformats.org/officeDocument/2006/relationships/hyperlink" Target="https://www.genome.jp/entry/G10518" TargetMode="External"/><Relationship Id="rId2736" Type="http://schemas.openxmlformats.org/officeDocument/2006/relationships/hyperlink" Target="https://www.genome.jp/entry/C00008" TargetMode="External"/><Relationship Id="rId610" Type="http://schemas.openxmlformats.org/officeDocument/2006/relationships/hyperlink" Target="https://www.genome.jp/entry/1.4.1.13" TargetMode="External"/><Relationship Id="rId708" Type="http://schemas.openxmlformats.org/officeDocument/2006/relationships/hyperlink" Target="https://enzyme.expasy.org/EC/1.5.1.5" TargetMode="External"/><Relationship Id="rId915" Type="http://schemas.openxmlformats.org/officeDocument/2006/relationships/hyperlink" Target="https://www.genome.jp/entry/C00019" TargetMode="External"/><Relationship Id="rId1240" Type="http://schemas.openxmlformats.org/officeDocument/2006/relationships/hyperlink" Target="https://www.genome.jp/entry/R12240" TargetMode="External"/><Relationship Id="rId1338" Type="http://schemas.openxmlformats.org/officeDocument/2006/relationships/hyperlink" Target="https://www.genome.jp/entry/C03090" TargetMode="External"/><Relationship Id="rId1545" Type="http://schemas.openxmlformats.org/officeDocument/2006/relationships/hyperlink" Target="https://enzyme.expasy.org/EC/2.7.1.11" TargetMode="External"/><Relationship Id="rId2943" Type="http://schemas.openxmlformats.org/officeDocument/2006/relationships/hyperlink" Target="https://www.genome.jp/entry/C00022" TargetMode="External"/><Relationship Id="rId1100" Type="http://schemas.openxmlformats.org/officeDocument/2006/relationships/hyperlink" Target="https://enzyme.expasy.org/EC/2.3.1.16" TargetMode="External"/><Relationship Id="rId1405" Type="http://schemas.openxmlformats.org/officeDocument/2006/relationships/hyperlink" Target="https://www.genome.jp/entry/C00105" TargetMode="External"/><Relationship Id="rId1752" Type="http://schemas.openxmlformats.org/officeDocument/2006/relationships/hyperlink" Target="https://enzyme.expasy.org/EC/2.7.2.1" TargetMode="External"/><Relationship Id="rId2803" Type="http://schemas.openxmlformats.org/officeDocument/2006/relationships/hyperlink" Target="https://enzyme.expasy.org/EC/4.2.1.113" TargetMode="External"/><Relationship Id="rId44" Type="http://schemas.openxmlformats.org/officeDocument/2006/relationships/hyperlink" Target="https://www.genome.jp/entry/C14089" TargetMode="External"/><Relationship Id="rId1612" Type="http://schemas.openxmlformats.org/officeDocument/2006/relationships/hyperlink" Target="https://www.genome.jp/entry/C00008" TargetMode="External"/><Relationship Id="rId1917" Type="http://schemas.openxmlformats.org/officeDocument/2006/relationships/hyperlink" Target="https://www.genome.jp/entry/C00201" TargetMode="External"/><Relationship Id="rId3065" Type="http://schemas.openxmlformats.org/officeDocument/2006/relationships/hyperlink" Target="https://www.genome.jp/entry/C02962" TargetMode="External"/><Relationship Id="rId3272" Type="http://schemas.openxmlformats.org/officeDocument/2006/relationships/hyperlink" Target="https://www.genome.jp/entry/C16238" TargetMode="External"/><Relationship Id="rId193" Type="http://schemas.openxmlformats.org/officeDocument/2006/relationships/hyperlink" Target="https://www.genome.jp/entry/C00860" TargetMode="External"/><Relationship Id="rId498" Type="http://schemas.openxmlformats.org/officeDocument/2006/relationships/hyperlink" Target="https://www.genome.jp/entry/1.17.4.2" TargetMode="External"/><Relationship Id="rId2081" Type="http://schemas.openxmlformats.org/officeDocument/2006/relationships/hyperlink" Target="https://enzyme.expasy.org/EC/2.7.7.7" TargetMode="External"/><Relationship Id="rId2179" Type="http://schemas.openxmlformats.org/officeDocument/2006/relationships/hyperlink" Target="https://www.genome.jp/entry/C19080" TargetMode="External"/><Relationship Id="rId3132" Type="http://schemas.openxmlformats.org/officeDocument/2006/relationships/hyperlink" Target="https://enzyme.expasy.org/EC/5.6.2.1" TargetMode="External"/><Relationship Id="rId260" Type="http://schemas.openxmlformats.org/officeDocument/2006/relationships/hyperlink" Target="https://enzyme.expasy.org/EC/1.1.1.27" TargetMode="External"/><Relationship Id="rId2386" Type="http://schemas.openxmlformats.org/officeDocument/2006/relationships/hyperlink" Target="https://www.genome.jp/entry/C00124" TargetMode="External"/><Relationship Id="rId2593" Type="http://schemas.openxmlformats.org/officeDocument/2006/relationships/hyperlink" Target="https://www.genome.jp/entry/C00352" TargetMode="External"/><Relationship Id="rId3437" Type="http://schemas.openxmlformats.org/officeDocument/2006/relationships/hyperlink" Target="https://enzyme.expasy.org/EC/7.2.2.14" TargetMode="External"/><Relationship Id="rId120" Type="http://schemas.openxmlformats.org/officeDocument/2006/relationships/hyperlink" Target="https://www.genome.jp/entry/C05762" TargetMode="External"/><Relationship Id="rId358" Type="http://schemas.openxmlformats.org/officeDocument/2006/relationships/hyperlink" Target="https://www.genome.jp/entry/C04232" TargetMode="External"/><Relationship Id="rId565" Type="http://schemas.openxmlformats.org/officeDocument/2006/relationships/hyperlink" Target="https://www.genome.jp/entry/1.2.3.3" TargetMode="External"/><Relationship Id="rId772" Type="http://schemas.openxmlformats.org/officeDocument/2006/relationships/hyperlink" Target="https://www.genome.jp/entry/C05684" TargetMode="External"/><Relationship Id="rId1195" Type="http://schemas.openxmlformats.org/officeDocument/2006/relationships/hyperlink" Target="https://www.genome.jp/entry/2.3.1.179" TargetMode="External"/><Relationship Id="rId2039" Type="http://schemas.openxmlformats.org/officeDocument/2006/relationships/hyperlink" Target="https://enzyme.expasy.org/EC/2.7.7.7" TargetMode="External"/><Relationship Id="rId2246" Type="http://schemas.openxmlformats.org/officeDocument/2006/relationships/hyperlink" Target="https://enzyme.expasy.org/EC/3.1.3.27" TargetMode="External"/><Relationship Id="rId2453" Type="http://schemas.openxmlformats.org/officeDocument/2006/relationships/hyperlink" Target="https://enzyme.expasy.org/EC/3.2.1.23" TargetMode="External"/><Relationship Id="rId2660" Type="http://schemas.openxmlformats.org/officeDocument/2006/relationships/hyperlink" Target="https://www.genome.jp/entry/C16635" TargetMode="External"/><Relationship Id="rId2898" Type="http://schemas.openxmlformats.org/officeDocument/2006/relationships/hyperlink" Target="https://www.genome.jp/entry/C00161" TargetMode="External"/><Relationship Id="rId218" Type="http://schemas.openxmlformats.org/officeDocument/2006/relationships/hyperlink" Target="https://www.genome.jp/entry/C00493" TargetMode="External"/><Relationship Id="rId425" Type="http://schemas.openxmlformats.org/officeDocument/2006/relationships/hyperlink" Target="https://www.genome.jp/entry/C00705" TargetMode="External"/><Relationship Id="rId632" Type="http://schemas.openxmlformats.org/officeDocument/2006/relationships/hyperlink" Target="https://www.genome.jp/entry/C00018" TargetMode="External"/><Relationship Id="rId1055" Type="http://schemas.openxmlformats.org/officeDocument/2006/relationships/hyperlink" Target="https://enzyme.expasy.org/EC/2.3.1.16" TargetMode="External"/><Relationship Id="rId1262" Type="http://schemas.openxmlformats.org/officeDocument/2006/relationships/hyperlink" Target="https://www.genome.jp/entry/C00010" TargetMode="External"/><Relationship Id="rId2106" Type="http://schemas.openxmlformats.org/officeDocument/2006/relationships/hyperlink" Target="https://www.genome.jp/entry/C00286" TargetMode="External"/><Relationship Id="rId2313" Type="http://schemas.openxmlformats.org/officeDocument/2006/relationships/hyperlink" Target="https://www.genome.jp/entry/C06125" TargetMode="External"/><Relationship Id="rId2520" Type="http://schemas.openxmlformats.org/officeDocument/2006/relationships/hyperlink" Target="https://www.genome.jp/entry/G00278" TargetMode="External"/><Relationship Id="rId2758" Type="http://schemas.openxmlformats.org/officeDocument/2006/relationships/hyperlink" Target="https://enzyme.expasy.org/EC/4.1.2.13" TargetMode="External"/><Relationship Id="rId2965" Type="http://schemas.openxmlformats.org/officeDocument/2006/relationships/hyperlink" Target="https://enzyme.expasy.org/EC/4.4.1.13" TargetMode="External"/><Relationship Id="rId937" Type="http://schemas.openxmlformats.org/officeDocument/2006/relationships/hyperlink" Target="https://www.genome.jp/entry/C00019" TargetMode="External"/><Relationship Id="rId1122" Type="http://schemas.openxmlformats.org/officeDocument/2006/relationships/hyperlink" Target="https://www.genome.jp/entry/R07899" TargetMode="External"/><Relationship Id="rId1567" Type="http://schemas.openxmlformats.org/officeDocument/2006/relationships/hyperlink" Target="https://www.genome.jp/entry/R01737" TargetMode="External"/><Relationship Id="rId1774" Type="http://schemas.openxmlformats.org/officeDocument/2006/relationships/hyperlink" Target="https://www.genome.jp/entry/C00002" TargetMode="External"/><Relationship Id="rId1981" Type="http://schemas.openxmlformats.org/officeDocument/2006/relationships/hyperlink" Target="https://www.genome.jp/entry/C00013" TargetMode="External"/><Relationship Id="rId2618" Type="http://schemas.openxmlformats.org/officeDocument/2006/relationships/hyperlink" Target="https://enzyme.expasy.org/EC/3.5.1.4" TargetMode="External"/><Relationship Id="rId2825" Type="http://schemas.openxmlformats.org/officeDocument/2006/relationships/hyperlink" Target="https://www.genome.jp/entry/C00065" TargetMode="External"/><Relationship Id="rId66" Type="http://schemas.openxmlformats.org/officeDocument/2006/relationships/hyperlink" Target="https://enzyme.expasy.org/EC/1.1.1.1" TargetMode="External"/><Relationship Id="rId1427" Type="http://schemas.openxmlformats.org/officeDocument/2006/relationships/hyperlink" Target="https://www.genome.jp/entry/2.5.1.17" TargetMode="External"/><Relationship Id="rId1634" Type="http://schemas.openxmlformats.org/officeDocument/2006/relationships/hyperlink" Target="https://www.genome.jp/entry/C00008" TargetMode="External"/><Relationship Id="rId1841" Type="http://schemas.openxmlformats.org/officeDocument/2006/relationships/hyperlink" Target="https://www.genome.jp/entry/C00002" TargetMode="External"/><Relationship Id="rId3087" Type="http://schemas.openxmlformats.org/officeDocument/2006/relationships/hyperlink" Target="https://www.genome.jp/entry/C00085" TargetMode="External"/><Relationship Id="rId3294" Type="http://schemas.openxmlformats.org/officeDocument/2006/relationships/hyperlink" Target="https://www.genome.jp/entry/C00055" TargetMode="External"/><Relationship Id="rId1939" Type="http://schemas.openxmlformats.org/officeDocument/2006/relationships/hyperlink" Target="https://www.genome.jp/entry/C00013" TargetMode="External"/><Relationship Id="rId1701" Type="http://schemas.openxmlformats.org/officeDocument/2006/relationships/hyperlink" Target="https://www.genome.jp/entry/C00044" TargetMode="External"/><Relationship Id="rId3154" Type="http://schemas.openxmlformats.org/officeDocument/2006/relationships/hyperlink" Target="https://www.genome.jp/entry/C02984" TargetMode="External"/><Relationship Id="rId3361" Type="http://schemas.openxmlformats.org/officeDocument/2006/relationships/hyperlink" Target="https://enzyme.expasy.org/EC/6.3.5.2" TargetMode="External"/><Relationship Id="rId282" Type="http://schemas.openxmlformats.org/officeDocument/2006/relationships/hyperlink" Target="https://www.genome.jp/entry/R10221" TargetMode="External"/><Relationship Id="rId587" Type="http://schemas.openxmlformats.org/officeDocument/2006/relationships/hyperlink" Target="https://www.genome.jp/entry/C01050" TargetMode="External"/><Relationship Id="rId2170" Type="http://schemas.openxmlformats.org/officeDocument/2006/relationships/hyperlink" Target="https://www.genome.jp/entry/C21031" TargetMode="External"/><Relationship Id="rId2268" Type="http://schemas.openxmlformats.org/officeDocument/2006/relationships/hyperlink" Target="https://www.genome.jp/entry/C00455" TargetMode="External"/><Relationship Id="rId3014" Type="http://schemas.openxmlformats.org/officeDocument/2006/relationships/hyperlink" Target="https://www.genome.jp/entry/C03798" TargetMode="External"/><Relationship Id="rId3221" Type="http://schemas.openxmlformats.org/officeDocument/2006/relationships/hyperlink" Target="https://www.genome.jp/entry/C00002" TargetMode="External"/><Relationship Id="rId3319" Type="http://schemas.openxmlformats.org/officeDocument/2006/relationships/hyperlink" Target="https://enzyme.expasy.org/EC/6.3.4.15" TargetMode="External"/><Relationship Id="rId8" Type="http://schemas.openxmlformats.org/officeDocument/2006/relationships/hyperlink" Target="https://www.genome.jp/entry/R00754" TargetMode="External"/><Relationship Id="rId142" Type="http://schemas.openxmlformats.org/officeDocument/2006/relationships/hyperlink" Target="https://www.genome.jp/entry/R10116" TargetMode="External"/><Relationship Id="rId447" Type="http://schemas.openxmlformats.org/officeDocument/2006/relationships/hyperlink" Target="https://enzyme.expasy.org/EC/1.17.4.1" TargetMode="External"/><Relationship Id="rId794" Type="http://schemas.openxmlformats.org/officeDocument/2006/relationships/hyperlink" Target="https://www.genome.jp/entry/1.8.4.11" TargetMode="External"/><Relationship Id="rId1077" Type="http://schemas.openxmlformats.org/officeDocument/2006/relationships/hyperlink" Target="https://www.genome.jp/entry/R03778" TargetMode="External"/><Relationship Id="rId2030" Type="http://schemas.openxmlformats.org/officeDocument/2006/relationships/hyperlink" Target="https://enzyme.expasy.org/EC/2.7.7.7" TargetMode="External"/><Relationship Id="rId2128" Type="http://schemas.openxmlformats.org/officeDocument/2006/relationships/hyperlink" Target="https://www.genome.jp/entry/C00013" TargetMode="External"/><Relationship Id="rId2475" Type="http://schemas.openxmlformats.org/officeDocument/2006/relationships/hyperlink" Target="https://www.genome.jp/entry/G00110" TargetMode="External"/><Relationship Id="rId2682" Type="http://schemas.openxmlformats.org/officeDocument/2006/relationships/hyperlink" Target="https://enzyme.expasy.org/EC/3.6.1.27" TargetMode="External"/><Relationship Id="rId2987" Type="http://schemas.openxmlformats.org/officeDocument/2006/relationships/hyperlink" Target="https://www.genome.jp/entry/C00041" TargetMode="External"/><Relationship Id="rId654" Type="http://schemas.openxmlformats.org/officeDocument/2006/relationships/hyperlink" Target="https://enzyme.expasy.org/EC/1.5.1.2" TargetMode="External"/><Relationship Id="rId861" Type="http://schemas.openxmlformats.org/officeDocument/2006/relationships/hyperlink" Target="https://enzyme.expasy.org/EC/2.1.1.199" TargetMode="External"/><Relationship Id="rId959" Type="http://schemas.openxmlformats.org/officeDocument/2006/relationships/hyperlink" Target="https://www.genome.jp/entry/C00143" TargetMode="External"/><Relationship Id="rId1284" Type="http://schemas.openxmlformats.org/officeDocument/2006/relationships/hyperlink" Target="https://www.genome.jp/entry/2.3.3.10" TargetMode="External"/><Relationship Id="rId1491" Type="http://schemas.openxmlformats.org/officeDocument/2006/relationships/hyperlink" Target="https://www.genome.jp/entry/2.6.1.42" TargetMode="External"/><Relationship Id="rId1589" Type="http://schemas.openxmlformats.org/officeDocument/2006/relationships/hyperlink" Target="https://enzyme.expasy.org/EC/2.7.1.144" TargetMode="External"/><Relationship Id="rId2335" Type="http://schemas.openxmlformats.org/officeDocument/2006/relationships/hyperlink" Target="https://www.genome.jp/entry/C02336" TargetMode="External"/><Relationship Id="rId2542" Type="http://schemas.openxmlformats.org/officeDocument/2006/relationships/hyperlink" Target="https://www.genome.jp/entry/C00031" TargetMode="External"/><Relationship Id="rId307" Type="http://schemas.openxmlformats.org/officeDocument/2006/relationships/hyperlink" Target="https://enzyme.expasy.org/EC/1.1.1.94" TargetMode="External"/><Relationship Id="rId514" Type="http://schemas.openxmlformats.org/officeDocument/2006/relationships/hyperlink" Target="https://www.genome.jp/entry/R02014" TargetMode="External"/><Relationship Id="rId721" Type="http://schemas.openxmlformats.org/officeDocument/2006/relationships/hyperlink" Target="https://www.genome.jp/entry/C16832" TargetMode="External"/><Relationship Id="rId1144" Type="http://schemas.openxmlformats.org/officeDocument/2006/relationships/hyperlink" Target="https://www.genome.jp/entry/C03069" TargetMode="External"/><Relationship Id="rId1351" Type="http://schemas.openxmlformats.org/officeDocument/2006/relationships/hyperlink" Target="https://www.genome.jp/entry/C00214" TargetMode="External"/><Relationship Id="rId1449" Type="http://schemas.openxmlformats.org/officeDocument/2006/relationships/hyperlink" Target="https://enzyme.expasy.org/EC/2.5.1.47" TargetMode="External"/><Relationship Id="rId1796" Type="http://schemas.openxmlformats.org/officeDocument/2006/relationships/hyperlink" Target="https://www.genome.jp/entry/C00068" TargetMode="External"/><Relationship Id="rId2402" Type="http://schemas.openxmlformats.org/officeDocument/2006/relationships/hyperlink" Target="https://enzyme.expasy.org/EC/3.2.1.22" TargetMode="External"/><Relationship Id="rId2847" Type="http://schemas.openxmlformats.org/officeDocument/2006/relationships/hyperlink" Target="https://www.genome.jp/entry/C05754" TargetMode="External"/><Relationship Id="rId88" Type="http://schemas.openxmlformats.org/officeDocument/2006/relationships/hyperlink" Target="https://www.genome.jp/entryR02246" TargetMode="External"/><Relationship Id="rId819" Type="http://schemas.openxmlformats.org/officeDocument/2006/relationships/hyperlink" Target="https://www.genome.jp/entry/2.1.1.170" TargetMode="External"/><Relationship Id="rId1004" Type="http://schemas.openxmlformats.org/officeDocument/2006/relationships/hyperlink" Target="https://www.genome.jp/entry/C00022" TargetMode="External"/><Relationship Id="rId1211" Type="http://schemas.openxmlformats.org/officeDocument/2006/relationships/hyperlink" Target="https://www.genome.jp/entry/R10115" TargetMode="External"/><Relationship Id="rId1656" Type="http://schemas.openxmlformats.org/officeDocument/2006/relationships/hyperlink" Target="https://enzyme.expasy.org/EC/2.7.1.33" TargetMode="External"/><Relationship Id="rId1863" Type="http://schemas.openxmlformats.org/officeDocument/2006/relationships/hyperlink" Target="https://www.genome.jp/entry/C00002" TargetMode="External"/><Relationship Id="rId2707" Type="http://schemas.openxmlformats.org/officeDocument/2006/relationships/hyperlink" Target="https://enzyme.expasy.org/EC/4.1.1.112" TargetMode="External"/><Relationship Id="rId2914" Type="http://schemas.openxmlformats.org/officeDocument/2006/relationships/hyperlink" Target="https://enzyme.expasy.org/EC/4.3.2.10" TargetMode="External"/><Relationship Id="rId1309" Type="http://schemas.openxmlformats.org/officeDocument/2006/relationships/hyperlink" Target="https://www.genome.jp/entry/2.4.1.21" TargetMode="External"/><Relationship Id="rId1516" Type="http://schemas.openxmlformats.org/officeDocument/2006/relationships/hyperlink" Target="https://enzyme.expasy.org/EC/2.6.1.9" TargetMode="External"/><Relationship Id="rId1723" Type="http://schemas.openxmlformats.org/officeDocument/2006/relationships/hyperlink" Target="https://www.genome.jp/entry/C03785" TargetMode="External"/><Relationship Id="rId1930" Type="http://schemas.openxmlformats.org/officeDocument/2006/relationships/hyperlink" Target="https://www.genome.jp/entry/C00013" TargetMode="External"/><Relationship Id="rId3176" Type="http://schemas.openxmlformats.org/officeDocument/2006/relationships/hyperlink" Target="https://enzyme.expasy.org/EC/6.1.1.13" TargetMode="External"/><Relationship Id="rId3383" Type="http://schemas.openxmlformats.org/officeDocument/2006/relationships/hyperlink" Target="https://www.genome.jp/entry/C00064" TargetMode="External"/><Relationship Id="rId15" Type="http://schemas.openxmlformats.org/officeDocument/2006/relationships/hyperlink" Target="https://www.genome.jp/entry/C00376" TargetMode="External"/><Relationship Id="rId2192" Type="http://schemas.openxmlformats.org/officeDocument/2006/relationships/hyperlink" Target="https://enzyme.expasy.org/EC/2.7.8.13" TargetMode="External"/><Relationship Id="rId3036" Type="http://schemas.openxmlformats.org/officeDocument/2006/relationships/hyperlink" Target="https://www.genome.jp/entry/C01097" TargetMode="External"/><Relationship Id="rId3243" Type="http://schemas.openxmlformats.org/officeDocument/2006/relationships/hyperlink" Target="https://www.genome.jp/entry/C00020" TargetMode="External"/><Relationship Id="rId164" Type="http://schemas.openxmlformats.org/officeDocument/2006/relationships/hyperlink" Target="https://www.genome.jp/entry/C05345" TargetMode="External"/><Relationship Id="rId371" Type="http://schemas.openxmlformats.org/officeDocument/2006/relationships/hyperlink" Target="https://www.genome.jp/entry/R04294" TargetMode="External"/><Relationship Id="rId2052" Type="http://schemas.openxmlformats.org/officeDocument/2006/relationships/hyperlink" Target="https://www.genome.jp/entry/C00286" TargetMode="External"/><Relationship Id="rId2497" Type="http://schemas.openxmlformats.org/officeDocument/2006/relationships/hyperlink" Target="https://www.genome.jp/entry/C00095" TargetMode="External"/><Relationship Id="rId469" Type="http://schemas.openxmlformats.org/officeDocument/2006/relationships/hyperlink" Target="https://www.genome.jp/entry/R08363" TargetMode="External"/><Relationship Id="rId676" Type="http://schemas.openxmlformats.org/officeDocument/2006/relationships/hyperlink" Target="https://www.genome.jp/entry/C00101" TargetMode="External"/><Relationship Id="rId883" Type="http://schemas.openxmlformats.org/officeDocument/2006/relationships/hyperlink" Target="https://www.genome.jp/entry/C17552" TargetMode="External"/><Relationship Id="rId1099" Type="http://schemas.openxmlformats.org/officeDocument/2006/relationships/hyperlink" Target="https://www.genome.jp/entry/C00010" TargetMode="External"/><Relationship Id="rId2357" Type="http://schemas.openxmlformats.org/officeDocument/2006/relationships/hyperlink" Target="https://enzyme.expasy.org/EC/3.2.1.22" TargetMode="External"/><Relationship Id="rId2564" Type="http://schemas.openxmlformats.org/officeDocument/2006/relationships/hyperlink" Target="https://enzyme.expasy.org/EC/3.2.2.9" TargetMode="External"/><Relationship Id="rId3103" Type="http://schemas.openxmlformats.org/officeDocument/2006/relationships/hyperlink" Target="https://www.genome.jp/entry/C00197" TargetMode="External"/><Relationship Id="rId3310" Type="http://schemas.openxmlformats.org/officeDocument/2006/relationships/hyperlink" Target="https://enzyme.expasy.org/EC/6.3.4.13" TargetMode="External"/><Relationship Id="rId3408" Type="http://schemas.openxmlformats.org/officeDocument/2006/relationships/hyperlink" Target="https://www.genome.jp/entry/C00008" TargetMode="External"/><Relationship Id="rId231" Type="http://schemas.openxmlformats.org/officeDocument/2006/relationships/hyperlink" Target="https://www.genome.jp/entry/1.1.1.262" TargetMode="External"/><Relationship Id="rId329" Type="http://schemas.openxmlformats.org/officeDocument/2006/relationships/hyperlink" Target="https://www.genome.jp/entry/C20258" TargetMode="External"/><Relationship Id="rId536" Type="http://schemas.openxmlformats.org/officeDocument/2006/relationships/hyperlink" Target="https://www.genome.jp/entry/C19647" TargetMode="External"/><Relationship Id="rId1166" Type="http://schemas.openxmlformats.org/officeDocument/2006/relationships/hyperlink" Target="https://www.genome.jp/entry/2.3.1.179" TargetMode="External"/><Relationship Id="rId1373" Type="http://schemas.openxmlformats.org/officeDocument/2006/relationships/hyperlink" Target="https://enzyme.expasy.org/EC/2.4.2.29" TargetMode="External"/><Relationship Id="rId2217" Type="http://schemas.openxmlformats.org/officeDocument/2006/relationships/hyperlink" Target="https://www.genome.jp/entry/C00033" TargetMode="External"/><Relationship Id="rId2771" Type="http://schemas.openxmlformats.org/officeDocument/2006/relationships/hyperlink" Target="https://www.genome.jp/entry/C05378" TargetMode="External"/><Relationship Id="rId2869" Type="http://schemas.openxmlformats.org/officeDocument/2006/relationships/hyperlink" Target="https://enzyme.expasy.org/EC/4.3.1.17" TargetMode="External"/><Relationship Id="rId743" Type="http://schemas.openxmlformats.org/officeDocument/2006/relationships/hyperlink" Target="https://enzyme.expasy.org/EC/1.8.1.4" TargetMode="External"/><Relationship Id="rId950" Type="http://schemas.openxmlformats.org/officeDocument/2006/relationships/hyperlink" Target="https://www.genome.jp/entry/C00399" TargetMode="External"/><Relationship Id="rId1026" Type="http://schemas.openxmlformats.org/officeDocument/2006/relationships/hyperlink" Target="https://www.genome.jp/entry/2.2.1.6" TargetMode="External"/><Relationship Id="rId1580" Type="http://schemas.openxmlformats.org/officeDocument/2006/relationships/hyperlink" Target="https://www.genome.jp/entry/2.7.1.121" TargetMode="External"/><Relationship Id="rId1678" Type="http://schemas.openxmlformats.org/officeDocument/2006/relationships/hyperlink" Target="https://www.genome.jp/entry/C00112" TargetMode="External"/><Relationship Id="rId1885" Type="http://schemas.openxmlformats.org/officeDocument/2006/relationships/hyperlink" Target="https://www.genome.jp/entry/C00002" TargetMode="External"/><Relationship Id="rId2424" Type="http://schemas.openxmlformats.org/officeDocument/2006/relationships/hyperlink" Target="https://www.genome.jp/entry/C05404" TargetMode="External"/><Relationship Id="rId2631" Type="http://schemas.openxmlformats.org/officeDocument/2006/relationships/hyperlink" Target="https://www.genome.jp/entry/C00337" TargetMode="External"/><Relationship Id="rId2729" Type="http://schemas.openxmlformats.org/officeDocument/2006/relationships/hyperlink" Target="https://www.genome.jp/entry/C04352" TargetMode="External"/><Relationship Id="rId2936" Type="http://schemas.openxmlformats.org/officeDocument/2006/relationships/hyperlink" Target="https://www.genome.jp/entry/C02882" TargetMode="External"/><Relationship Id="rId603" Type="http://schemas.openxmlformats.org/officeDocument/2006/relationships/hyperlink" Target="https://www.genome.jp/entry/C00064" TargetMode="External"/><Relationship Id="rId810" Type="http://schemas.openxmlformats.org/officeDocument/2006/relationships/hyperlink" Target="https://www.genome.jp/entry/R04405" TargetMode="External"/><Relationship Id="rId908" Type="http://schemas.openxmlformats.org/officeDocument/2006/relationships/hyperlink" Target="https://enzyme.expasy.org/EC/2.1.1.297" TargetMode="External"/><Relationship Id="rId1233" Type="http://schemas.openxmlformats.org/officeDocument/2006/relationships/hyperlink" Target="https://www.genome.jp/entry/C00020" TargetMode="External"/><Relationship Id="rId1440" Type="http://schemas.openxmlformats.org/officeDocument/2006/relationships/hyperlink" Target="https://www.genome.jp/entry/R11312" TargetMode="External"/><Relationship Id="rId1538" Type="http://schemas.openxmlformats.org/officeDocument/2006/relationships/hyperlink" Target="https://enzyme.expasy.org/EC/2.7.1.11" TargetMode="External"/><Relationship Id="rId1300" Type="http://schemas.openxmlformats.org/officeDocument/2006/relationships/hyperlink" Target="https://www.genome.jp/entry/R02111" TargetMode="External"/><Relationship Id="rId1745" Type="http://schemas.openxmlformats.org/officeDocument/2006/relationships/hyperlink" Target="https://enzyme.expasy.org/EC/2.7.13.3" TargetMode="External"/><Relationship Id="rId1952" Type="http://schemas.openxmlformats.org/officeDocument/2006/relationships/hyperlink" Target="https://enzyme.expasy.org/EC/2.7.7.6" TargetMode="External"/><Relationship Id="rId3198" Type="http://schemas.openxmlformats.org/officeDocument/2006/relationships/hyperlink" Target="https://www.genome.jp/entry/C00002" TargetMode="External"/><Relationship Id="rId37" Type="http://schemas.openxmlformats.org/officeDocument/2006/relationships/hyperlink" Target="https://www.genome.jp/entry/1.1.1.1" TargetMode="External"/><Relationship Id="rId1605" Type="http://schemas.openxmlformats.org/officeDocument/2006/relationships/hyperlink" Target="https://www.genome.jp/entry/R02750" TargetMode="External"/><Relationship Id="rId1812" Type="http://schemas.openxmlformats.org/officeDocument/2006/relationships/hyperlink" Target="https://www.genome.jp/entry/C00008" TargetMode="External"/><Relationship Id="rId3058" Type="http://schemas.openxmlformats.org/officeDocument/2006/relationships/hyperlink" Target="https://enzyme.expasy.org/EC/5.3.1.6" TargetMode="External"/><Relationship Id="rId3265" Type="http://schemas.openxmlformats.org/officeDocument/2006/relationships/hyperlink" Target="https://enzyme.expasy.org/EC/6.3.1.20" TargetMode="External"/><Relationship Id="rId186" Type="http://schemas.openxmlformats.org/officeDocument/2006/relationships/hyperlink" Target="https://www.genome.jp/entry/1.1.1.205" TargetMode="External"/><Relationship Id="rId393" Type="http://schemas.openxmlformats.org/officeDocument/2006/relationships/hyperlink" Target="https://www.genome.jp/entry/C03723" TargetMode="External"/><Relationship Id="rId2074" Type="http://schemas.openxmlformats.org/officeDocument/2006/relationships/hyperlink" Target="https://www.genome.jp/entry/C00013" TargetMode="External"/><Relationship Id="rId2281" Type="http://schemas.openxmlformats.org/officeDocument/2006/relationships/hyperlink" Target="https://www.genome.jp/entry/C00881" TargetMode="External"/><Relationship Id="rId3125" Type="http://schemas.openxmlformats.org/officeDocument/2006/relationships/hyperlink" Target="https://www.genome.jp/entry/C16639" TargetMode="External"/><Relationship Id="rId3332" Type="http://schemas.openxmlformats.org/officeDocument/2006/relationships/hyperlink" Target="https://www.genome.jp/entry/C00002" TargetMode="External"/><Relationship Id="rId253" Type="http://schemas.openxmlformats.org/officeDocument/2006/relationships/hyperlink" Target="https://www.genome.jp/entry/C05823" TargetMode="External"/><Relationship Id="rId460" Type="http://schemas.openxmlformats.org/officeDocument/2006/relationships/hyperlink" Target="https://www.genome.jp/entry/C00361" TargetMode="External"/><Relationship Id="rId698" Type="http://schemas.openxmlformats.org/officeDocument/2006/relationships/hyperlink" Target="https://enzyme.expasy.org/EC/1.5.1.3" TargetMode="External"/><Relationship Id="rId1090" Type="http://schemas.openxmlformats.org/officeDocument/2006/relationships/hyperlink" Target="https://enzyme.expasy.org/EC/2.3.1.16" TargetMode="External"/><Relationship Id="rId2141" Type="http://schemas.openxmlformats.org/officeDocument/2006/relationships/hyperlink" Target="https://enzyme.expasy.org/EC/2.7.7.7" TargetMode="External"/><Relationship Id="rId2379" Type="http://schemas.openxmlformats.org/officeDocument/2006/relationships/hyperlink" Target="https://www.genome.jp/entry/G10488" TargetMode="External"/><Relationship Id="rId2586" Type="http://schemas.openxmlformats.org/officeDocument/2006/relationships/hyperlink" Target="https://www.genome.jp/entry/C00819" TargetMode="External"/><Relationship Id="rId2793" Type="http://schemas.openxmlformats.org/officeDocument/2006/relationships/hyperlink" Target="https://www.genome.jp/entry/C00033" TargetMode="External"/><Relationship Id="rId113" Type="http://schemas.openxmlformats.org/officeDocument/2006/relationships/hyperlink" Target="https://www.genome.jp/entry/R04536" TargetMode="External"/><Relationship Id="rId320" Type="http://schemas.openxmlformats.org/officeDocument/2006/relationships/hyperlink" Target="https://enzyme.expasy.org/EC/1.17.1.8" TargetMode="External"/><Relationship Id="rId558" Type="http://schemas.openxmlformats.org/officeDocument/2006/relationships/hyperlink" Target="https://www.genome.jp/entry/C00227" TargetMode="External"/><Relationship Id="rId765" Type="http://schemas.openxmlformats.org/officeDocument/2006/relationships/hyperlink" Target="https://www.genome.jp/entry/R02016" TargetMode="External"/><Relationship Id="rId972" Type="http://schemas.openxmlformats.org/officeDocument/2006/relationships/hyperlink" Target="https://www.genome.jp/entry/2.1.2.2" TargetMode="External"/><Relationship Id="rId1188" Type="http://schemas.openxmlformats.org/officeDocument/2006/relationships/hyperlink" Target="https://www.genome.jp/entry/C05750" TargetMode="External"/><Relationship Id="rId1395" Type="http://schemas.openxmlformats.org/officeDocument/2006/relationships/hyperlink" Target="https://www.genome.jp/entry/2.4.2.8" TargetMode="External"/><Relationship Id="rId2001" Type="http://schemas.openxmlformats.org/officeDocument/2006/relationships/hyperlink" Target="https://www.genome.jp/entry/C00075" TargetMode="External"/><Relationship Id="rId2239" Type="http://schemas.openxmlformats.org/officeDocument/2006/relationships/hyperlink" Target="https://www.genome.jp/entry/C00085" TargetMode="External"/><Relationship Id="rId2446" Type="http://schemas.openxmlformats.org/officeDocument/2006/relationships/hyperlink" Target="https://www.genome.jp/entry/C00159" TargetMode="External"/><Relationship Id="rId2653" Type="http://schemas.openxmlformats.org/officeDocument/2006/relationships/hyperlink" Target="https://enzyme.expasy.org/EC/3.5.4.5" TargetMode="External"/><Relationship Id="rId2860" Type="http://schemas.openxmlformats.org/officeDocument/2006/relationships/hyperlink" Target="https://www.genome.jp/entry/C20377" TargetMode="External"/><Relationship Id="rId418" Type="http://schemas.openxmlformats.org/officeDocument/2006/relationships/hyperlink" Target="https://www.genome.jp/entry/1.17.4.1" TargetMode="External"/><Relationship Id="rId625" Type="http://schemas.openxmlformats.org/officeDocument/2006/relationships/hyperlink" Target="https://www.genome.jp/entry/1.4.1.4" TargetMode="External"/><Relationship Id="rId832" Type="http://schemas.openxmlformats.org/officeDocument/2006/relationships/hyperlink" Target="https://www.genome.jp/entry/2.1.1.174" TargetMode="External"/><Relationship Id="rId1048" Type="http://schemas.openxmlformats.org/officeDocument/2006/relationships/hyperlink" Target="https://www.genome.jp/entry/C00024" TargetMode="External"/><Relationship Id="rId1255" Type="http://schemas.openxmlformats.org/officeDocument/2006/relationships/hyperlink" Target="https://www.genome.jp/entry/R01626" TargetMode="External"/><Relationship Id="rId1462" Type="http://schemas.openxmlformats.org/officeDocument/2006/relationships/hyperlink" Target="https://www.genome.jp/entry/2.5.1.6" TargetMode="External"/><Relationship Id="rId2306" Type="http://schemas.openxmlformats.org/officeDocument/2006/relationships/hyperlink" Target="https://enzyme.expasy.org/EC/3.1.6.1" TargetMode="External"/><Relationship Id="rId2513" Type="http://schemas.openxmlformats.org/officeDocument/2006/relationships/hyperlink" Target="https://enzyme.expasy.org/EC/3.2.1.26" TargetMode="External"/><Relationship Id="rId2958" Type="http://schemas.openxmlformats.org/officeDocument/2006/relationships/hyperlink" Target="https://www.genome.jp/entry/C00022" TargetMode="External"/><Relationship Id="rId1115" Type="http://schemas.openxmlformats.org/officeDocument/2006/relationships/hyperlink" Target="https://enzyme.expasy.org/EC/2.3.1.16" TargetMode="External"/><Relationship Id="rId1322" Type="http://schemas.openxmlformats.org/officeDocument/2006/relationships/hyperlink" Target="https://www.genome.jp/entry/R0617" TargetMode="External"/><Relationship Id="rId1767" Type="http://schemas.openxmlformats.org/officeDocument/2006/relationships/hyperlink" Target="https://enzyme.expasy.org/EC/2.7.2.7" TargetMode="External"/><Relationship Id="rId1974" Type="http://schemas.openxmlformats.org/officeDocument/2006/relationships/hyperlink" Target="https://www.genome.jp/entry/C00002" TargetMode="External"/><Relationship Id="rId2720" Type="http://schemas.openxmlformats.org/officeDocument/2006/relationships/hyperlink" Target="https://www.genome.jp/entry/C04751" TargetMode="External"/><Relationship Id="rId2818" Type="http://schemas.openxmlformats.org/officeDocument/2006/relationships/hyperlink" Target="https://enzyme.expasy.org/EC/4.2.1.20" TargetMode="External"/><Relationship Id="rId59" Type="http://schemas.openxmlformats.org/officeDocument/2006/relationships/hyperlink" Target="https://www.genome.jp/entry/C16586" TargetMode="External"/><Relationship Id="rId1627" Type="http://schemas.openxmlformats.org/officeDocument/2006/relationships/hyperlink" Target="https://www.genome.jp/entry/C00002" TargetMode="External"/><Relationship Id="rId1834" Type="http://schemas.openxmlformats.org/officeDocument/2006/relationships/hyperlink" Target="https://enzyme.expasy.org/EC/2.7.4.6" TargetMode="External"/><Relationship Id="rId3287" Type="http://schemas.openxmlformats.org/officeDocument/2006/relationships/hyperlink" Target="https://www.genome.jp/entry/C00002" TargetMode="External"/><Relationship Id="rId2096" Type="http://schemas.openxmlformats.org/officeDocument/2006/relationships/hyperlink" Target="https://enzyme.expasy.org/EC/2.7.7.7" TargetMode="External"/><Relationship Id="rId1901" Type="http://schemas.openxmlformats.org/officeDocument/2006/relationships/hyperlink" Target="https://enzyme.expasy.org/EC/2.7.7.6" TargetMode="External"/><Relationship Id="rId3147" Type="http://schemas.openxmlformats.org/officeDocument/2006/relationships/hyperlink" Target="https://www.genome.jp/entry/C00002" TargetMode="External"/><Relationship Id="rId3354" Type="http://schemas.openxmlformats.org/officeDocument/2006/relationships/hyperlink" Target="https://www.genome.jp/entry/C00025" TargetMode="External"/><Relationship Id="rId275" Type="http://schemas.openxmlformats.org/officeDocument/2006/relationships/hyperlink" Target="https://enzyme.expasy.org/EC/1.1.1.3" TargetMode="External"/><Relationship Id="rId482" Type="http://schemas.openxmlformats.org/officeDocument/2006/relationships/hyperlink" Target="https://enzyme.expasy.org/EC/1.17.4.2" TargetMode="External"/><Relationship Id="rId2163" Type="http://schemas.openxmlformats.org/officeDocument/2006/relationships/hyperlink" Target="https://www.genome.jp/entry/C00458" TargetMode="External"/><Relationship Id="rId2370" Type="http://schemas.openxmlformats.org/officeDocument/2006/relationships/hyperlink" Target="https://www.genome.jp/entry/C00001" TargetMode="External"/><Relationship Id="rId3007" Type="http://schemas.openxmlformats.org/officeDocument/2006/relationships/hyperlink" Target="https://enzyme.expasy.org/EC/5.1.3.2" TargetMode="External"/><Relationship Id="rId3214" Type="http://schemas.openxmlformats.org/officeDocument/2006/relationships/hyperlink" Target="https://www.genome.jp/entry/C00020" TargetMode="External"/><Relationship Id="rId3421" Type="http://schemas.openxmlformats.org/officeDocument/2006/relationships/hyperlink" Target="https://www.genome.jp/entry/C00008" TargetMode="External"/><Relationship Id="rId135" Type="http://schemas.openxmlformats.org/officeDocument/2006/relationships/hyperlink" Target="https://www.genome.jp/entry/C05756" TargetMode="External"/><Relationship Id="rId342" Type="http://schemas.openxmlformats.org/officeDocument/2006/relationships/hyperlink" Target="https://www.genome.jp/entry/R02018" TargetMode="External"/><Relationship Id="rId787" Type="http://schemas.openxmlformats.org/officeDocument/2006/relationships/hyperlink" Target="https://www.genome.jp/entry/C15999" TargetMode="External"/><Relationship Id="rId994" Type="http://schemas.openxmlformats.org/officeDocument/2006/relationships/hyperlink" Target="https://www.genome.jp/entry/C00279" TargetMode="External"/><Relationship Id="rId2023" Type="http://schemas.openxmlformats.org/officeDocument/2006/relationships/hyperlink" Target="https://www.genome.jp/entry/C20864" TargetMode="External"/><Relationship Id="rId2230" Type="http://schemas.openxmlformats.org/officeDocument/2006/relationships/hyperlink" Target="https://enzyme.expasy.org/EC/3.1.21.3" TargetMode="External"/><Relationship Id="rId2468" Type="http://schemas.openxmlformats.org/officeDocument/2006/relationships/hyperlink" Target="https://enzyme.expasy.org/EC/3.2.1.23" TargetMode="External"/><Relationship Id="rId2675" Type="http://schemas.openxmlformats.org/officeDocument/2006/relationships/hyperlink" Target="https://www.genome.jp/entry/C00009" TargetMode="External"/><Relationship Id="rId2882" Type="http://schemas.openxmlformats.org/officeDocument/2006/relationships/hyperlink" Target="https://www.genome.jp/entry/C05167" TargetMode="External"/><Relationship Id="rId202" Type="http://schemas.openxmlformats.org/officeDocument/2006/relationships/hyperlink" Target="https://www.genome.jp/entry/R03012" TargetMode="External"/><Relationship Id="rId647" Type="http://schemas.openxmlformats.org/officeDocument/2006/relationships/hyperlink" Target="https://www.genome.jp/entry/C00148" TargetMode="External"/><Relationship Id="rId854" Type="http://schemas.openxmlformats.org/officeDocument/2006/relationships/hyperlink" Target="https://www.genome.jp/entry/2.1.1.190" TargetMode="External"/><Relationship Id="rId1277" Type="http://schemas.openxmlformats.org/officeDocument/2006/relationships/hyperlink" Target="https://www.genome.jp/entry/C02876" TargetMode="External"/><Relationship Id="rId1484" Type="http://schemas.openxmlformats.org/officeDocument/2006/relationships/hyperlink" Target="https://www.genome.jp/entry/2.6.1.16" TargetMode="External"/><Relationship Id="rId1691" Type="http://schemas.openxmlformats.org/officeDocument/2006/relationships/hyperlink" Target="https://enzyme.expasy.org/EC/2.7.1.40" TargetMode="External"/><Relationship Id="rId2328" Type="http://schemas.openxmlformats.org/officeDocument/2006/relationships/hyperlink" Target="https://www.genome.jp/entry/G00275" TargetMode="External"/><Relationship Id="rId2535" Type="http://schemas.openxmlformats.org/officeDocument/2006/relationships/hyperlink" Target="https://www.genome.jp/entry/C06188" TargetMode="External"/><Relationship Id="rId2742" Type="http://schemas.openxmlformats.org/officeDocument/2006/relationships/hyperlink" Target="https://www.genome.jp/entry/C03291" TargetMode="External"/><Relationship Id="rId507" Type="http://schemas.openxmlformats.org/officeDocument/2006/relationships/hyperlink" Target="https://enzyme.expasy.org/EC/1.17.4.2" TargetMode="External"/><Relationship Id="rId714" Type="http://schemas.openxmlformats.org/officeDocument/2006/relationships/hyperlink" Target="https://www.genome.jp/entry/1.7.1.7" TargetMode="External"/><Relationship Id="rId921" Type="http://schemas.openxmlformats.org/officeDocument/2006/relationships/hyperlink" Target="https://www.genome.jp/entry/C00415" TargetMode="External"/><Relationship Id="rId1137" Type="http://schemas.openxmlformats.org/officeDocument/2006/relationships/hyperlink" Target="https://www.genome.jp/entry/R08091" TargetMode="External"/><Relationship Id="rId1344" Type="http://schemas.openxmlformats.org/officeDocument/2006/relationships/hyperlink" Target="https://www.genome.jp/entry/2.4.2.18" TargetMode="External"/><Relationship Id="rId1551" Type="http://schemas.openxmlformats.org/officeDocument/2006/relationships/hyperlink" Target="https://www.genome.jp/entry/2.7.1.11" TargetMode="External"/><Relationship Id="rId1789" Type="http://schemas.openxmlformats.org/officeDocument/2006/relationships/hyperlink" Target="https://enzyme.expasy.org/EC/2.7.4.3" TargetMode="External"/><Relationship Id="rId1996" Type="http://schemas.openxmlformats.org/officeDocument/2006/relationships/hyperlink" Target="https://www.genome.jp/entry/C00013" TargetMode="External"/><Relationship Id="rId2602" Type="http://schemas.openxmlformats.org/officeDocument/2006/relationships/hyperlink" Target="https://www.genome.jp/entry/C00060" TargetMode="External"/><Relationship Id="rId50" Type="http://schemas.openxmlformats.org/officeDocument/2006/relationships/hyperlink" Target="https://www.genome.jp/entry/C14099" TargetMode="External"/><Relationship Id="rId1204" Type="http://schemas.openxmlformats.org/officeDocument/2006/relationships/hyperlink" Target="https://enzyme.expasy.org/EC/2.3.1.179" TargetMode="External"/><Relationship Id="rId1411" Type="http://schemas.openxmlformats.org/officeDocument/2006/relationships/hyperlink" Target="https://www.genome.jp/entry/C00073" TargetMode="External"/><Relationship Id="rId1649" Type="http://schemas.openxmlformats.org/officeDocument/2006/relationships/hyperlink" Target="https://www.genome.jp/entry/C00008" TargetMode="External"/><Relationship Id="rId1856" Type="http://schemas.openxmlformats.org/officeDocument/2006/relationships/hyperlink" Target="https://enzyme.expasy.org/EC/2.7.4.8" TargetMode="External"/><Relationship Id="rId2907" Type="http://schemas.openxmlformats.org/officeDocument/2006/relationships/hyperlink" Target="https://www.genome.jp/entry/C04666" TargetMode="External"/><Relationship Id="rId3071" Type="http://schemas.openxmlformats.org/officeDocument/2006/relationships/hyperlink" Target="https://www.genome.jp/entry/C00275" TargetMode="External"/><Relationship Id="rId1509" Type="http://schemas.openxmlformats.org/officeDocument/2006/relationships/hyperlink" Target="https://www.genome.jp/entry/2.6.1.9" TargetMode="External"/><Relationship Id="rId1716" Type="http://schemas.openxmlformats.org/officeDocument/2006/relationships/hyperlink" Target="https://www.genome.jp/entry/C00002" TargetMode="External"/><Relationship Id="rId1923" Type="http://schemas.openxmlformats.org/officeDocument/2006/relationships/hyperlink" Target="https://www.genome.jp/entry/C00044" TargetMode="External"/><Relationship Id="rId3169" Type="http://schemas.openxmlformats.org/officeDocument/2006/relationships/hyperlink" Target="https://www.genome.jp/entry/C00020" TargetMode="External"/><Relationship Id="rId3376" Type="http://schemas.openxmlformats.org/officeDocument/2006/relationships/hyperlink" Target="https://enzyme.expasy.org/EC/6.3.5.4" TargetMode="External"/><Relationship Id="rId297" Type="http://schemas.openxmlformats.org/officeDocument/2006/relationships/hyperlink" Target="https://enzyme.expasy.org/EC/1.1.1.88" TargetMode="External"/><Relationship Id="rId2185" Type="http://schemas.openxmlformats.org/officeDocument/2006/relationships/hyperlink" Target="https://www.genome.jp/entry/C00013" TargetMode="External"/><Relationship Id="rId2392" Type="http://schemas.openxmlformats.org/officeDocument/2006/relationships/hyperlink" Target="https://www.genome.jp/entry/G00249" TargetMode="External"/><Relationship Id="rId3029" Type="http://schemas.openxmlformats.org/officeDocument/2006/relationships/hyperlink" Target="https://www.genome.jp/entry/C00118" TargetMode="External"/><Relationship Id="rId3236" Type="http://schemas.openxmlformats.org/officeDocument/2006/relationships/hyperlink" Target="https://www.genome.jp/entry/C00002" TargetMode="External"/><Relationship Id="rId157" Type="http://schemas.openxmlformats.org/officeDocument/2006/relationships/hyperlink" Target="https://www.genome.jp/entry/R00758" TargetMode="External"/><Relationship Id="rId364" Type="http://schemas.openxmlformats.org/officeDocument/2006/relationships/hyperlink" Target="https://www.genome.jp/entry/C03723" TargetMode="External"/><Relationship Id="rId2045" Type="http://schemas.openxmlformats.org/officeDocument/2006/relationships/hyperlink" Target="https://enzyme.expasy.org/EC/2.7.7.7" TargetMode="External"/><Relationship Id="rId2697" Type="http://schemas.openxmlformats.org/officeDocument/2006/relationships/hyperlink" Target="https://enzyme.expasy.org/EC/3.6.4.12" TargetMode="External"/><Relationship Id="rId3443" Type="http://schemas.openxmlformats.org/officeDocument/2006/relationships/hyperlink" Target="https://enzyme.expasy.org/EC/7.4.2.11" TargetMode="External"/><Relationship Id="rId571" Type="http://schemas.openxmlformats.org/officeDocument/2006/relationships/hyperlink" Target="https://www.genome.jp/entry/R10927" TargetMode="External"/><Relationship Id="rId669" Type="http://schemas.openxmlformats.org/officeDocument/2006/relationships/hyperlink" Target="https://www.genome.jp/entry/1.5.1.20" TargetMode="External"/><Relationship Id="rId876" Type="http://schemas.openxmlformats.org/officeDocument/2006/relationships/hyperlink" Target="https://www.genome.jp/entry/R04988" TargetMode="External"/><Relationship Id="rId1299" Type="http://schemas.openxmlformats.org/officeDocument/2006/relationships/hyperlink" Target="https://www.genome.jp/entry/2.4.1.1" TargetMode="External"/><Relationship Id="rId2252" Type="http://schemas.openxmlformats.org/officeDocument/2006/relationships/hyperlink" Target="https://enzyme.expasy.org/EC/3.1.3.5" TargetMode="External"/><Relationship Id="rId2557" Type="http://schemas.openxmlformats.org/officeDocument/2006/relationships/hyperlink" Target="https://enzyme.expasy.org/EC/3.2.2.31" TargetMode="External"/><Relationship Id="rId3303" Type="http://schemas.openxmlformats.org/officeDocument/2006/relationships/hyperlink" Target="https://www.genome.jp/entry/C00008" TargetMode="External"/><Relationship Id="rId224" Type="http://schemas.openxmlformats.org/officeDocument/2006/relationships/hyperlink" Target="https://www.genome.jp/entry/C22438" TargetMode="External"/><Relationship Id="rId431" Type="http://schemas.openxmlformats.org/officeDocument/2006/relationships/hyperlink" Target="https://www.genome.jp/entry/C03723" TargetMode="External"/><Relationship Id="rId529" Type="http://schemas.openxmlformats.org/officeDocument/2006/relationships/hyperlink" Target="https://www.genome.jp/entry/R02023" TargetMode="External"/><Relationship Id="rId736" Type="http://schemas.openxmlformats.org/officeDocument/2006/relationships/hyperlink" Target="https://www.genome.jp/entry/C00579" TargetMode="External"/><Relationship Id="rId1061" Type="http://schemas.openxmlformats.org/officeDocument/2006/relationships/hyperlink" Target="https://www.genome.jp/entry/2.3.1.16" TargetMode="External"/><Relationship Id="rId1159" Type="http://schemas.openxmlformats.org/officeDocument/2006/relationships/hyperlink" Target="https://www.genome.jp/entry/C23022" TargetMode="External"/><Relationship Id="rId1366" Type="http://schemas.openxmlformats.org/officeDocument/2006/relationships/hyperlink" Target="https://www.genome.jp/entry/2.4.2.22" TargetMode="External"/><Relationship Id="rId2112" Type="http://schemas.openxmlformats.org/officeDocument/2006/relationships/hyperlink" Target="https://www.genome.jp/entry/C00459" TargetMode="External"/><Relationship Id="rId2417" Type="http://schemas.openxmlformats.org/officeDocument/2006/relationships/hyperlink" Target="https://enzyme.expasy.org/EC/3.2.1.22" TargetMode="External"/><Relationship Id="rId2764" Type="http://schemas.openxmlformats.org/officeDocument/2006/relationships/hyperlink" Target="https://enzyme.expasy.org/EC/4.1.2.13" TargetMode="External"/><Relationship Id="rId2971" Type="http://schemas.openxmlformats.org/officeDocument/2006/relationships/hyperlink" Target="https://enzyme.expasy.org/EC/4.4.1.13" TargetMode="External"/><Relationship Id="rId943" Type="http://schemas.openxmlformats.org/officeDocument/2006/relationships/hyperlink" Target="https://www.genome.jp/entry/2.1.1.64" TargetMode="External"/><Relationship Id="rId1019" Type="http://schemas.openxmlformats.org/officeDocument/2006/relationships/hyperlink" Target="https://www.genome.jp/entry/C05125" TargetMode="External"/><Relationship Id="rId1573" Type="http://schemas.openxmlformats.org/officeDocument/2006/relationships/hyperlink" Target="https://www.genome.jp/entry/C00022" TargetMode="External"/><Relationship Id="rId1780" Type="http://schemas.openxmlformats.org/officeDocument/2006/relationships/hyperlink" Target="https://www.genome.jp/entry/C00002" TargetMode="External"/><Relationship Id="rId1878" Type="http://schemas.openxmlformats.org/officeDocument/2006/relationships/hyperlink" Target="https://www.genome.jp/entry/C00103" TargetMode="External"/><Relationship Id="rId2624" Type="http://schemas.openxmlformats.org/officeDocument/2006/relationships/hyperlink" Target="https://enzyme.expasy.org/EC/3.5.1.88" TargetMode="External"/><Relationship Id="rId2831" Type="http://schemas.openxmlformats.org/officeDocument/2006/relationships/hyperlink" Target="https://www.genome.jp/entry/C03506" TargetMode="External"/><Relationship Id="rId2929" Type="http://schemas.openxmlformats.org/officeDocument/2006/relationships/hyperlink" Target="https://enzyme.expasy.org/EC/4.3.3.7" TargetMode="External"/><Relationship Id="rId72" Type="http://schemas.openxmlformats.org/officeDocument/2006/relationships/hyperlink" Target="https://www.genome.jp/entry/1.1.1.1" TargetMode="External"/><Relationship Id="rId803" Type="http://schemas.openxmlformats.org/officeDocument/2006/relationships/hyperlink" Target="https://enzyme.expasy.org/EC/1.97.1.4" TargetMode="External"/><Relationship Id="rId1226" Type="http://schemas.openxmlformats.org/officeDocument/2006/relationships/hyperlink" Target="https://www.genome.jp/entry/R10648" TargetMode="External"/><Relationship Id="rId1433" Type="http://schemas.openxmlformats.org/officeDocument/2006/relationships/hyperlink" Target="https://www.genome.jp/entry/C04752" TargetMode="External"/><Relationship Id="rId1640" Type="http://schemas.openxmlformats.org/officeDocument/2006/relationships/hyperlink" Target="https://www.genome.jp/entry/C04242" TargetMode="External"/><Relationship Id="rId1738" Type="http://schemas.openxmlformats.org/officeDocument/2006/relationships/hyperlink" Target="https://www.genome.jp/entry/C06893" TargetMode="External"/><Relationship Id="rId3093" Type="http://schemas.openxmlformats.org/officeDocument/2006/relationships/hyperlink" Target="https://www.genome.jp/entry/C00129" TargetMode="External"/><Relationship Id="rId1500" Type="http://schemas.openxmlformats.org/officeDocument/2006/relationships/hyperlink" Target="https://www.genome.jp/entry/2.6.1.9" TargetMode="External"/><Relationship Id="rId1945" Type="http://schemas.openxmlformats.org/officeDocument/2006/relationships/hyperlink" Target="https://www.genome.jp/entry/C00013" TargetMode="External"/><Relationship Id="rId3160" Type="http://schemas.openxmlformats.org/officeDocument/2006/relationships/hyperlink" Target="https://www.genome.jp/entry/C00020" TargetMode="External"/><Relationship Id="rId3398" Type="http://schemas.openxmlformats.org/officeDocument/2006/relationships/hyperlink" Target="https://www.genome.jp/entry/C00002" TargetMode="External"/><Relationship Id="rId1805" Type="http://schemas.openxmlformats.org/officeDocument/2006/relationships/hyperlink" Target="https://www.genome.jp/entry/C11038" TargetMode="External"/><Relationship Id="rId3020" Type="http://schemas.openxmlformats.org/officeDocument/2006/relationships/hyperlink" Target="https://www.genome.jp/entry/C03798" TargetMode="External"/><Relationship Id="rId3258" Type="http://schemas.openxmlformats.org/officeDocument/2006/relationships/hyperlink" Target="https://www.genome.jp/entry/C00008" TargetMode="External"/><Relationship Id="rId179" Type="http://schemas.openxmlformats.org/officeDocument/2006/relationships/hyperlink" Target="https://www.genome.jp/entry/C00691" TargetMode="External"/><Relationship Id="rId386" Type="http://schemas.openxmlformats.org/officeDocument/2006/relationships/hyperlink" Target="https://www.genome.jp/entry/1.17.4.1" TargetMode="External"/><Relationship Id="rId593" Type="http://schemas.openxmlformats.org/officeDocument/2006/relationships/hyperlink" Target="https://www.genome.jp/entry/C04631" TargetMode="External"/><Relationship Id="rId2067" Type="http://schemas.openxmlformats.org/officeDocument/2006/relationships/hyperlink" Target="https://www.genome.jp/entry/C00131" TargetMode="External"/><Relationship Id="rId2274" Type="http://schemas.openxmlformats.org/officeDocument/2006/relationships/hyperlink" Target="https://www.genome.jp/entry/C01185" TargetMode="External"/><Relationship Id="rId2481" Type="http://schemas.openxmlformats.org/officeDocument/2006/relationships/hyperlink" Target="https://www.genome.jp/entry/G00092" TargetMode="External"/><Relationship Id="rId3118" Type="http://schemas.openxmlformats.org/officeDocument/2006/relationships/hyperlink" Target="https://www.genome.jp/entry/C02764" TargetMode="External"/><Relationship Id="rId3325" Type="http://schemas.openxmlformats.org/officeDocument/2006/relationships/hyperlink" Target="https://enzyme.expasy.org/EC/6.3.4.19" TargetMode="External"/><Relationship Id="rId246" Type="http://schemas.openxmlformats.org/officeDocument/2006/relationships/hyperlink" Target="https://www.genome.jp/entry/1.1.1.27" TargetMode="External"/><Relationship Id="rId453" Type="http://schemas.openxmlformats.org/officeDocument/2006/relationships/hyperlink" Target="https://www.genome.jp/entry/1.17.4.1" TargetMode="External"/><Relationship Id="rId660" Type="http://schemas.openxmlformats.org/officeDocument/2006/relationships/hyperlink" Target="https://www.genome.jp/entry/1.5.1.2" TargetMode="External"/><Relationship Id="rId898" Type="http://schemas.openxmlformats.org/officeDocument/2006/relationships/hyperlink" Target="https://www.genome.jp/entry/C05812" TargetMode="External"/><Relationship Id="rId1083" Type="http://schemas.openxmlformats.org/officeDocument/2006/relationships/hyperlink" Target="https://www.genome.jp/entry/C01832" TargetMode="External"/><Relationship Id="rId1290" Type="http://schemas.openxmlformats.org/officeDocument/2006/relationships/hyperlink" Target="https://www.genome.jp/entry/R01821" TargetMode="External"/><Relationship Id="rId2134" Type="http://schemas.openxmlformats.org/officeDocument/2006/relationships/hyperlink" Target="https://www.genome.jp/entry/C21031" TargetMode="External"/><Relationship Id="rId2341" Type="http://schemas.openxmlformats.org/officeDocument/2006/relationships/hyperlink" Target="https://www.genome.jp/entry/C00124" TargetMode="External"/><Relationship Id="rId2579" Type="http://schemas.openxmlformats.org/officeDocument/2006/relationships/hyperlink" Target="https://enzyme.expasy.org/EC/3.4.23.36" TargetMode="External"/><Relationship Id="rId2786" Type="http://schemas.openxmlformats.org/officeDocument/2006/relationships/hyperlink" Target="https://www.genome.jp/entry/C00199" TargetMode="External"/><Relationship Id="rId2993" Type="http://schemas.openxmlformats.org/officeDocument/2006/relationships/hyperlink" Target="https://www.genome.jp/entry/C00666" TargetMode="External"/><Relationship Id="rId106" Type="http://schemas.openxmlformats.org/officeDocument/2006/relationships/hyperlink" Target="https://enzyme.expasy.org/EC/1.1.1.100" TargetMode="External"/><Relationship Id="rId313" Type="http://schemas.openxmlformats.org/officeDocument/2006/relationships/hyperlink" Target="https://www.genome.jp/entry/1.11.1.26" TargetMode="External"/><Relationship Id="rId758" Type="http://schemas.openxmlformats.org/officeDocument/2006/relationships/hyperlink" Target="https://enzyme.expasy.org/EC/1.8.1.9" TargetMode="External"/><Relationship Id="rId965" Type="http://schemas.openxmlformats.org/officeDocument/2006/relationships/hyperlink" Target="https://www.genome.jp/entry/C04377" TargetMode="External"/><Relationship Id="rId1150" Type="http://schemas.openxmlformats.org/officeDocument/2006/relationships/hyperlink" Target="https://enzyme.expasy.org/EC/2.3.1.16" TargetMode="External"/><Relationship Id="rId1388" Type="http://schemas.openxmlformats.org/officeDocument/2006/relationships/hyperlink" Target="https://www.genome.jp/entry/2.4.2.7" TargetMode="External"/><Relationship Id="rId1595" Type="http://schemas.openxmlformats.org/officeDocument/2006/relationships/hyperlink" Target="https://www.genome.jp/entry/2.7.1.148" TargetMode="External"/><Relationship Id="rId2439" Type="http://schemas.openxmlformats.org/officeDocument/2006/relationships/hyperlink" Target="https://www.genome.jp/entry/G00497" TargetMode="External"/><Relationship Id="rId2646" Type="http://schemas.openxmlformats.org/officeDocument/2006/relationships/hyperlink" Target="https://www.genome.jp/entry/C20451" TargetMode="External"/><Relationship Id="rId2853" Type="http://schemas.openxmlformats.org/officeDocument/2006/relationships/hyperlink" Target="https://www.genome.jp/entry/C05760" TargetMode="External"/><Relationship Id="rId94" Type="http://schemas.openxmlformats.org/officeDocument/2006/relationships/hyperlink" Target="https://www.genome.jp/entry/C06899" TargetMode="External"/><Relationship Id="rId520" Type="http://schemas.openxmlformats.org/officeDocument/2006/relationships/hyperlink" Target="https://www.genome.jp/entry/C00286" TargetMode="External"/><Relationship Id="rId618" Type="http://schemas.openxmlformats.org/officeDocument/2006/relationships/hyperlink" Target="https://www.genome.jp/entry/C00026" TargetMode="External"/><Relationship Id="rId825" Type="http://schemas.openxmlformats.org/officeDocument/2006/relationships/hyperlink" Target="https://www.genome.jp/entry/C00019" TargetMode="External"/><Relationship Id="rId1248" Type="http://schemas.openxmlformats.org/officeDocument/2006/relationships/hyperlink" Target="https://enzyme.expasy.org/EC/2.3.1.286" TargetMode="External"/><Relationship Id="rId1455" Type="http://schemas.openxmlformats.org/officeDocument/2006/relationships/hyperlink" Target="https://www.genome.jp/entry/R07274" TargetMode="External"/><Relationship Id="rId1662" Type="http://schemas.openxmlformats.org/officeDocument/2006/relationships/hyperlink" Target="https://www.genome.jp/entry/C00002" TargetMode="External"/><Relationship Id="rId2201" Type="http://schemas.openxmlformats.org/officeDocument/2006/relationships/hyperlink" Target="https://enzyme.expasy.org/EC/2.7.8.7" TargetMode="External"/><Relationship Id="rId2506" Type="http://schemas.openxmlformats.org/officeDocument/2006/relationships/hyperlink" Target="https://www.genome.jp/entry/C05404" TargetMode="External"/><Relationship Id="rId1010" Type="http://schemas.openxmlformats.org/officeDocument/2006/relationships/hyperlink" Target="https://enzyme.expasy.org/EC/2.2.1.6" TargetMode="External"/><Relationship Id="rId1108" Type="http://schemas.openxmlformats.org/officeDocument/2006/relationships/hyperlink" Target="https://www.genome.jp/entry/C06715" TargetMode="External"/><Relationship Id="rId1315" Type="http://schemas.openxmlformats.org/officeDocument/2006/relationships/hyperlink" Target="https://www.genome.jp/entry/G10495" TargetMode="External"/><Relationship Id="rId1967" Type="http://schemas.openxmlformats.org/officeDocument/2006/relationships/hyperlink" Target="https://enzyme.expasy.org/EC/2.7.7.6" TargetMode="External"/><Relationship Id="rId2713" Type="http://schemas.openxmlformats.org/officeDocument/2006/relationships/hyperlink" Target="https://enzyme.expasy.org/EC/4.1.1.12" TargetMode="External"/><Relationship Id="rId2920" Type="http://schemas.openxmlformats.org/officeDocument/2006/relationships/hyperlink" Target="https://enzyme.expasy.org/EC/4.3.2.2" TargetMode="External"/><Relationship Id="rId1522" Type="http://schemas.openxmlformats.org/officeDocument/2006/relationships/hyperlink" Target="https://www.genome.jp/entry/R00734" TargetMode="External"/><Relationship Id="rId21" Type="http://schemas.openxmlformats.org/officeDocument/2006/relationships/hyperlink" Target="https://enzyme.expasy.org/EC/1.1.1.1" TargetMode="External"/><Relationship Id="rId2089" Type="http://schemas.openxmlformats.org/officeDocument/2006/relationships/hyperlink" Target="https://www.genome.jp/entry/C00013" TargetMode="External"/><Relationship Id="rId2296" Type="http://schemas.openxmlformats.org/officeDocument/2006/relationships/hyperlink" Target="https://www.genome.jp/entry/C00020" TargetMode="External"/><Relationship Id="rId3347" Type="http://schemas.openxmlformats.org/officeDocument/2006/relationships/hyperlink" Target="https://www.genome.jp/entry/C00044" TargetMode="External"/><Relationship Id="rId268" Type="http://schemas.openxmlformats.org/officeDocument/2006/relationships/hyperlink" Target="https://www.genome.jp/entry/C05823" TargetMode="External"/><Relationship Id="rId475" Type="http://schemas.openxmlformats.org/officeDocument/2006/relationships/hyperlink" Target="https://www.genome.jp/entry/C04232" TargetMode="External"/><Relationship Id="rId682" Type="http://schemas.openxmlformats.org/officeDocument/2006/relationships/hyperlink" Target="https://www.genome.jp/entry/C00415" TargetMode="External"/><Relationship Id="rId2156" Type="http://schemas.openxmlformats.org/officeDocument/2006/relationships/hyperlink" Target="https://enzyme.expasy.org/EC/2.7.7.7" TargetMode="External"/><Relationship Id="rId2363" Type="http://schemas.openxmlformats.org/officeDocument/2006/relationships/hyperlink" Target="https://enzyme.expasy.org/EC/3.2.1.22" TargetMode="External"/><Relationship Id="rId2570" Type="http://schemas.openxmlformats.org/officeDocument/2006/relationships/hyperlink" Target="https://www.genome.jp/entry/C00012" TargetMode="External"/><Relationship Id="rId3207" Type="http://schemas.openxmlformats.org/officeDocument/2006/relationships/hyperlink" Target="https://www.genome.jp/entry/C00002" TargetMode="External"/><Relationship Id="rId3414" Type="http://schemas.openxmlformats.org/officeDocument/2006/relationships/hyperlink" Target="https://www.genome.jp/entry/C00002" TargetMode="External"/><Relationship Id="rId128" Type="http://schemas.openxmlformats.org/officeDocument/2006/relationships/hyperlink" Target="https://www.genome.jp/entry/R04953" TargetMode="External"/><Relationship Id="rId335" Type="http://schemas.openxmlformats.org/officeDocument/2006/relationships/hyperlink" Target="https://enzyme.expasy.org/EC/1.17.4.1" TargetMode="External"/><Relationship Id="rId542" Type="http://schemas.openxmlformats.org/officeDocument/2006/relationships/hyperlink" Target="https://www.genome.jp/entry/C01412" TargetMode="External"/><Relationship Id="rId1172" Type="http://schemas.openxmlformats.org/officeDocument/2006/relationships/hyperlink" Target="https://www.genome.jp/entry/R04355" TargetMode="External"/><Relationship Id="rId2016" Type="http://schemas.openxmlformats.org/officeDocument/2006/relationships/hyperlink" Target="https://www.genome.jp/entry/C00063" TargetMode="External"/><Relationship Id="rId2223" Type="http://schemas.openxmlformats.org/officeDocument/2006/relationships/hyperlink" Target="https://enzyme.expasy.org/EC/3.1.11.6" TargetMode="External"/><Relationship Id="rId2430" Type="http://schemas.openxmlformats.org/officeDocument/2006/relationships/hyperlink" Target="https://www.genome.jp/entry/G00249" TargetMode="External"/><Relationship Id="rId402" Type="http://schemas.openxmlformats.org/officeDocument/2006/relationships/hyperlink" Target="https://enzyme.expasy.org/EC/1.17.4.1" TargetMode="External"/><Relationship Id="rId1032" Type="http://schemas.openxmlformats.org/officeDocument/2006/relationships/hyperlink" Target="https://www.genome.jp/entry/R00851" TargetMode="External"/><Relationship Id="rId1989" Type="http://schemas.openxmlformats.org/officeDocument/2006/relationships/hyperlink" Target="https://www.genome.jp/entry/C00201" TargetMode="External"/><Relationship Id="rId1849" Type="http://schemas.openxmlformats.org/officeDocument/2006/relationships/hyperlink" Target="https://www.genome.jp/entry/C00008" TargetMode="External"/><Relationship Id="rId3064" Type="http://schemas.openxmlformats.org/officeDocument/2006/relationships/hyperlink" Target="https://enzyme.expasy.org/EC/5.3.1.6" TargetMode="External"/><Relationship Id="rId192" Type="http://schemas.openxmlformats.org/officeDocument/2006/relationships/hyperlink" Target="https://www.genome.jp/entry/R01158" TargetMode="External"/><Relationship Id="rId1709" Type="http://schemas.openxmlformats.org/officeDocument/2006/relationships/hyperlink" Target="https://enzyme.expasy.org/EC/2.7.1.49" TargetMode="External"/><Relationship Id="rId1916" Type="http://schemas.openxmlformats.org/officeDocument/2006/relationships/hyperlink" Target="https://enzyme.expasy.org/EC/2.7.7.6" TargetMode="External"/><Relationship Id="rId3271" Type="http://schemas.openxmlformats.org/officeDocument/2006/relationships/hyperlink" Target="https://enzyme.expasy.org/EC/6.3.1.20" TargetMode="External"/><Relationship Id="rId2080" Type="http://schemas.openxmlformats.org/officeDocument/2006/relationships/hyperlink" Target="https://www.genome.jp/entry/C21031" TargetMode="External"/><Relationship Id="rId3131" Type="http://schemas.openxmlformats.org/officeDocument/2006/relationships/hyperlink" Target="https://www.genome.jp/entry/C18094" TargetMode="External"/><Relationship Id="rId2897" Type="http://schemas.openxmlformats.org/officeDocument/2006/relationships/hyperlink" Target="https://www.genome.jp/entry/C05167" TargetMode="External"/><Relationship Id="rId869" Type="http://schemas.openxmlformats.org/officeDocument/2006/relationships/hyperlink" Target="https://enzyme.expasy.org/EC/2.1.1.222" TargetMode="External"/><Relationship Id="rId1499" Type="http://schemas.openxmlformats.org/officeDocument/2006/relationships/hyperlink" Target="https://enzyme.expasy.org/EC/2.6.1.9" TargetMode="External"/><Relationship Id="rId729" Type="http://schemas.openxmlformats.org/officeDocument/2006/relationships/hyperlink" Target="https://www.genome.jp/entry/1.8.1.4" TargetMode="External"/><Relationship Id="rId1359" Type="http://schemas.openxmlformats.org/officeDocument/2006/relationships/hyperlink" Target="https://enzyme.expasy.org/EC/2.4.2.2" TargetMode="External"/><Relationship Id="rId2757" Type="http://schemas.openxmlformats.org/officeDocument/2006/relationships/hyperlink" Target="https://www.genome.jp/entry/C00111" TargetMode="External"/><Relationship Id="rId2964" Type="http://schemas.openxmlformats.org/officeDocument/2006/relationships/hyperlink" Target="https://www.genome.jp/entry/C00155" TargetMode="External"/><Relationship Id="rId936" Type="http://schemas.openxmlformats.org/officeDocument/2006/relationships/hyperlink" Target="https://www.genome.jp/entry/R12657" TargetMode="External"/><Relationship Id="rId1219" Type="http://schemas.openxmlformats.org/officeDocument/2006/relationships/hyperlink" Target="https://enzyme.expasy.org/EC/2.3.1.180" TargetMode="External"/><Relationship Id="rId1566" Type="http://schemas.openxmlformats.org/officeDocument/2006/relationships/hyperlink" Target="https://www.genome.jp/entry/2.7.1.12" TargetMode="External"/><Relationship Id="rId1773" Type="http://schemas.openxmlformats.org/officeDocument/2006/relationships/hyperlink" Target="https://enzyme.expasy.org/EC/2.7.4.1" TargetMode="External"/><Relationship Id="rId1980" Type="http://schemas.openxmlformats.org/officeDocument/2006/relationships/hyperlink" Target="https://www.genome.jp/entry/C00063" TargetMode="External"/><Relationship Id="rId2617" Type="http://schemas.openxmlformats.org/officeDocument/2006/relationships/hyperlink" Target="https://www.genome.jp/entry/C01659" TargetMode="External"/><Relationship Id="rId2824" Type="http://schemas.openxmlformats.org/officeDocument/2006/relationships/hyperlink" Target="https://enzyme.expasy.org/EC/4.2.1.20" TargetMode="External"/><Relationship Id="rId65" Type="http://schemas.openxmlformats.org/officeDocument/2006/relationships/hyperlink" Target="https://www.genome.jp/entry/C00576" TargetMode="External"/><Relationship Id="rId1426" Type="http://schemas.openxmlformats.org/officeDocument/2006/relationships/hyperlink" Target="https://enzyme.expasy.org/EC/2.5.1.17" TargetMode="External"/><Relationship Id="rId1633" Type="http://schemas.openxmlformats.org/officeDocument/2006/relationships/hyperlink" Target="https://www.genome.jp/entry/C00002" TargetMode="External"/><Relationship Id="rId1840" Type="http://schemas.openxmlformats.org/officeDocument/2006/relationships/hyperlink" Target="https://enzyme.expasy.org/EC/2.7.4.6" TargetMode="External"/><Relationship Id="rId1700" Type="http://schemas.openxmlformats.org/officeDocument/2006/relationships/hyperlink" Target="https://enzyme.expasy.org/EC/2.7.1.48" TargetMode="External"/><Relationship Id="rId379" Type="http://schemas.openxmlformats.org/officeDocument/2006/relationships/hyperlink" Target="https://www.genome.jp/entry/R02018" TargetMode="External"/><Relationship Id="rId586" Type="http://schemas.openxmlformats.org/officeDocument/2006/relationships/hyperlink" Target="https://www.genome.jp/entry/R03192" TargetMode="External"/><Relationship Id="rId793" Type="http://schemas.openxmlformats.org/officeDocument/2006/relationships/hyperlink" Target="https://enzyme.expasy.org/EC/1.8.4.11" TargetMode="External"/><Relationship Id="rId2267" Type="http://schemas.openxmlformats.org/officeDocument/2006/relationships/hyperlink" Target="https://enzyme.expasy.org/EC/3.1.3.5" TargetMode="External"/><Relationship Id="rId2474" Type="http://schemas.openxmlformats.org/officeDocument/2006/relationships/hyperlink" Target="https://enzyme.expasy.org/EC/3.2.1.23" TargetMode="External"/><Relationship Id="rId2681" Type="http://schemas.openxmlformats.org/officeDocument/2006/relationships/hyperlink" Target="https://www.genome.jp/entry/C01228" TargetMode="External"/><Relationship Id="rId3318" Type="http://schemas.openxmlformats.org/officeDocument/2006/relationships/hyperlink" Target="https://www.genome.jp/entry/C00013" TargetMode="External"/><Relationship Id="rId239" Type="http://schemas.openxmlformats.org/officeDocument/2006/relationships/hyperlink" Target="https://www.genome.jp/entry/C11638" TargetMode="External"/><Relationship Id="rId446" Type="http://schemas.openxmlformats.org/officeDocument/2006/relationships/hyperlink" Target="https://www.genome.jp/entry/C03723" TargetMode="External"/><Relationship Id="rId653" Type="http://schemas.openxmlformats.org/officeDocument/2006/relationships/hyperlink" Target="https://www.genome.jp/entry/C03912" TargetMode="External"/><Relationship Id="rId1076" Type="http://schemas.openxmlformats.org/officeDocument/2006/relationships/hyperlink" Target="https://www.genome.jp/entry/2.3.1.16" TargetMode="External"/><Relationship Id="rId1283" Type="http://schemas.openxmlformats.org/officeDocument/2006/relationships/hyperlink" Target="https://enzyme.expasy.org/EC/2.3.3.10" TargetMode="External"/><Relationship Id="rId1490" Type="http://schemas.openxmlformats.org/officeDocument/2006/relationships/hyperlink" Target="https://enzyme.expasy.org/EC/2.6.1.42" TargetMode="External"/><Relationship Id="rId2127" Type="http://schemas.openxmlformats.org/officeDocument/2006/relationships/hyperlink" Target="https://www.genome.jp/entry/C00458" TargetMode="External"/><Relationship Id="rId2334" Type="http://schemas.openxmlformats.org/officeDocument/2006/relationships/hyperlink" Target="https://www.genome.jp/entry/G00370" TargetMode="External"/><Relationship Id="rId306" Type="http://schemas.openxmlformats.org/officeDocument/2006/relationships/hyperlink" Target="https://www.genome.jp/entry/C00111" TargetMode="External"/><Relationship Id="rId860" Type="http://schemas.openxmlformats.org/officeDocument/2006/relationships/hyperlink" Target="https://www.genome.jp/entry/C00021" TargetMode="External"/><Relationship Id="rId1143" Type="http://schemas.openxmlformats.org/officeDocument/2006/relationships/hyperlink" Target="https://www.genome.jp/entry/C16471" TargetMode="External"/><Relationship Id="rId2541" Type="http://schemas.openxmlformats.org/officeDocument/2006/relationships/hyperlink" Target="https://www.genome.jp/entry/G10518" TargetMode="External"/><Relationship Id="rId513" Type="http://schemas.openxmlformats.org/officeDocument/2006/relationships/hyperlink" Target="https://www.genome.jp/entry/1.17.4.2" TargetMode="External"/><Relationship Id="rId720" Type="http://schemas.openxmlformats.org/officeDocument/2006/relationships/hyperlink" Target="https://www.genome.jp/entry/R08550" TargetMode="External"/><Relationship Id="rId1350" Type="http://schemas.openxmlformats.org/officeDocument/2006/relationships/hyperlink" Target="https://www.genome.jp/entry/R01570" TargetMode="External"/><Relationship Id="rId2401" Type="http://schemas.openxmlformats.org/officeDocument/2006/relationships/hyperlink" Target="https://www.genome.jp/entry/C00124" TargetMode="External"/><Relationship Id="rId1003" Type="http://schemas.openxmlformats.org/officeDocument/2006/relationships/hyperlink" Target="https://www.genome.jp/entry/C06010" TargetMode="External"/><Relationship Id="rId1210" Type="http://schemas.openxmlformats.org/officeDocument/2006/relationships/hyperlink" Target="https://www.genome.jp/entry/2.3.1.179" TargetMode="External"/><Relationship Id="rId3175" Type="http://schemas.openxmlformats.org/officeDocument/2006/relationships/hyperlink" Target="https://www.genome.jp/entry/C00020" TargetMode="External"/><Relationship Id="rId3382" Type="http://schemas.openxmlformats.org/officeDocument/2006/relationships/hyperlink" Target="https://enzyme.expasy.org/EC/6.3.5.5" TargetMode="External"/><Relationship Id="rId2191" Type="http://schemas.openxmlformats.org/officeDocument/2006/relationships/hyperlink" Target="https://www.genome.jp/entry/C00013" TargetMode="External"/><Relationship Id="rId3035" Type="http://schemas.openxmlformats.org/officeDocument/2006/relationships/hyperlink" Target="https://www.genome.jp/entry/C01113" TargetMode="External"/><Relationship Id="rId3242" Type="http://schemas.openxmlformats.org/officeDocument/2006/relationships/hyperlink" Target="https://www.genome.jp/entry/C00002" TargetMode="External"/><Relationship Id="rId163" Type="http://schemas.openxmlformats.org/officeDocument/2006/relationships/hyperlink" Target="https://www.genome.jp/entry/C00644" TargetMode="External"/><Relationship Id="rId370" Type="http://schemas.openxmlformats.org/officeDocument/2006/relationships/hyperlink" Target="https://www.genome.jp/entry/1.17.4.1" TargetMode="External"/><Relationship Id="rId2051" Type="http://schemas.openxmlformats.org/officeDocument/2006/relationships/hyperlink" Target="https://enzyme.expasy.org/EC/2.7.7.7" TargetMode="External"/><Relationship Id="rId3102" Type="http://schemas.openxmlformats.org/officeDocument/2006/relationships/hyperlink" Target="https://www.genome.jp/entry/C00631" TargetMode="External"/><Relationship Id="rId230" Type="http://schemas.openxmlformats.org/officeDocument/2006/relationships/hyperlink" Target="https://enzyme.expasy.org/EC/1.1.1.262" TargetMode="External"/><Relationship Id="rId2868" Type="http://schemas.openxmlformats.org/officeDocument/2006/relationships/hyperlink" Target="https://enzyme.expasy.org/EC/4.2.99.18" TargetMode="External"/><Relationship Id="rId1677" Type="http://schemas.openxmlformats.org/officeDocument/2006/relationships/hyperlink" Target="https://www.genome.jp/entry/C00063" TargetMode="External"/><Relationship Id="rId1884" Type="http://schemas.openxmlformats.org/officeDocument/2006/relationships/hyperlink" Target="https://www.genome.jp/entry/C00013" TargetMode="External"/><Relationship Id="rId2728" Type="http://schemas.openxmlformats.org/officeDocument/2006/relationships/hyperlink" Target="https://enzyme.expasy.org/EC/4.1.1.36" TargetMode="External"/><Relationship Id="rId2935" Type="http://schemas.openxmlformats.org/officeDocument/2006/relationships/hyperlink" Target="https://enzyme.expasy.org/EC/4.4.1.13" TargetMode="External"/><Relationship Id="rId907" Type="http://schemas.openxmlformats.org/officeDocument/2006/relationships/hyperlink" Target="https://www.genome.jp/entry/C00021" TargetMode="External"/><Relationship Id="rId1537" Type="http://schemas.openxmlformats.org/officeDocument/2006/relationships/hyperlink" Target="https://www.genome.jp/entry/R00767" TargetMode="External"/><Relationship Id="rId1744" Type="http://schemas.openxmlformats.org/officeDocument/2006/relationships/hyperlink" Target="https://enzyme.expasy.org/EC/2.7.13.3" TargetMode="External"/><Relationship Id="rId1951" Type="http://schemas.openxmlformats.org/officeDocument/2006/relationships/hyperlink" Target="https://www.genome.jp/entry/C20864" TargetMode="External"/><Relationship Id="rId36" Type="http://schemas.openxmlformats.org/officeDocument/2006/relationships/hyperlink" Target="https://enzyme.expasy.org/EC/1.1.1.1" TargetMode="External"/><Relationship Id="rId1604" Type="http://schemas.openxmlformats.org/officeDocument/2006/relationships/hyperlink" Target="https://www.genome.jp/entry/2.7.1.15" TargetMode="External"/><Relationship Id="rId1811" Type="http://schemas.openxmlformats.org/officeDocument/2006/relationships/hyperlink" Target="https://www.genome.jp/entry/C00002" TargetMode="External"/><Relationship Id="rId697" Type="http://schemas.openxmlformats.org/officeDocument/2006/relationships/hyperlink" Target="https://www.genome.jp/entry/C00504" TargetMode="External"/><Relationship Id="rId2378" Type="http://schemas.openxmlformats.org/officeDocument/2006/relationships/hyperlink" Target="https://enzyme.expasy.org/EC/3.2.1.22" TargetMode="External"/><Relationship Id="rId3429" Type="http://schemas.openxmlformats.org/officeDocument/2006/relationships/hyperlink" Target="https://www.genome.jp/entry/C00002" TargetMode="External"/><Relationship Id="rId1187" Type="http://schemas.openxmlformats.org/officeDocument/2006/relationships/hyperlink" Target="https://www.genome.jp/entry/C05749" TargetMode="External"/><Relationship Id="rId2585" Type="http://schemas.openxmlformats.org/officeDocument/2006/relationships/hyperlink" Target="https://enzyme.expasy.org/EC/3.5.1.2" TargetMode="External"/><Relationship Id="rId2792" Type="http://schemas.openxmlformats.org/officeDocument/2006/relationships/hyperlink" Target="https://www.genome.jp/entry/C00158" TargetMode="External"/><Relationship Id="rId557" Type="http://schemas.openxmlformats.org/officeDocument/2006/relationships/hyperlink" Target="https://www.genome.jp/entry/C00022" TargetMode="External"/><Relationship Id="rId764" Type="http://schemas.openxmlformats.org/officeDocument/2006/relationships/hyperlink" Target="https://www.genome.jp/entry/1.8.1.9" TargetMode="External"/><Relationship Id="rId971" Type="http://schemas.openxmlformats.org/officeDocument/2006/relationships/hyperlink" Target="https://enzyme.expasy.org/EC/2.1.2.2" TargetMode="External"/><Relationship Id="rId1394" Type="http://schemas.openxmlformats.org/officeDocument/2006/relationships/hyperlink" Target="https://enzyme.expasy.org/EC/2.4.2.8" TargetMode="External"/><Relationship Id="rId2238" Type="http://schemas.openxmlformats.org/officeDocument/2006/relationships/hyperlink" Target="https://www.genome.jp/entry/C00354" TargetMode="External"/><Relationship Id="rId2445" Type="http://schemas.openxmlformats.org/officeDocument/2006/relationships/hyperlink" Target="https://www.genome.jp/entry/G10529" TargetMode="External"/><Relationship Id="rId2652" Type="http://schemas.openxmlformats.org/officeDocument/2006/relationships/hyperlink" Target="https://www.genome.jp/entry/C05512" TargetMode="External"/><Relationship Id="rId417" Type="http://schemas.openxmlformats.org/officeDocument/2006/relationships/hyperlink" Target="https://enzyme.expasy.org/EC/1.17.4.1" TargetMode="External"/><Relationship Id="rId624" Type="http://schemas.openxmlformats.org/officeDocument/2006/relationships/hyperlink" Target="https://enzyme.expasy.org/EC/1.4.1.4" TargetMode="External"/><Relationship Id="rId831" Type="http://schemas.openxmlformats.org/officeDocument/2006/relationships/hyperlink" Target="https://www.genome.jp/entry/C00021" TargetMode="External"/><Relationship Id="rId1047" Type="http://schemas.openxmlformats.org/officeDocument/2006/relationships/hyperlink" Target="https://www.genome.jp/entry/R05332" TargetMode="External"/><Relationship Id="rId1254" Type="http://schemas.openxmlformats.org/officeDocument/2006/relationships/hyperlink" Target="https://www.genome.jp/entry/2.3.1.39" TargetMode="External"/><Relationship Id="rId1461" Type="http://schemas.openxmlformats.org/officeDocument/2006/relationships/hyperlink" Target="https://enzyme.expasy.org/EC/2.5.1.6" TargetMode="External"/><Relationship Id="rId2305" Type="http://schemas.openxmlformats.org/officeDocument/2006/relationships/hyperlink" Target="https://www.genome.jp/entry/C00224" TargetMode="External"/><Relationship Id="rId2512" Type="http://schemas.openxmlformats.org/officeDocument/2006/relationships/hyperlink" Target="https://www.genome.jp/entry/C00095" TargetMode="External"/><Relationship Id="rId1114" Type="http://schemas.openxmlformats.org/officeDocument/2006/relationships/hyperlink" Target="https://www.genome.jp/entry/C00010" TargetMode="External"/><Relationship Id="rId1321" Type="http://schemas.openxmlformats.org/officeDocument/2006/relationships/hyperlink" Target="https://www.genome.jp/entry/2.4.1.227" TargetMode="External"/><Relationship Id="rId3079" Type="http://schemas.openxmlformats.org/officeDocument/2006/relationships/hyperlink" Target="https://enzyme.expasy.org/EC/5.3.1.9" TargetMode="External"/><Relationship Id="rId3286" Type="http://schemas.openxmlformats.org/officeDocument/2006/relationships/hyperlink" Target="https://enzyme.expasy.org/EC/6.3.2.13" TargetMode="External"/><Relationship Id="rId2095" Type="http://schemas.openxmlformats.org/officeDocument/2006/relationships/hyperlink" Target="https://www.genome.jp/entry/C00013" TargetMode="External"/><Relationship Id="rId3146" Type="http://schemas.openxmlformats.org/officeDocument/2006/relationships/hyperlink" Target="https://enzyme.expasy.org/EC/6.1.1.11" TargetMode="External"/><Relationship Id="rId3353" Type="http://schemas.openxmlformats.org/officeDocument/2006/relationships/hyperlink" Target="https://www.genome.jp/entry/C00064" TargetMode="External"/><Relationship Id="rId274" Type="http://schemas.openxmlformats.org/officeDocument/2006/relationships/hyperlink" Target="https://www.genome.jp/entry/C00441" TargetMode="External"/><Relationship Id="rId481" Type="http://schemas.openxmlformats.org/officeDocument/2006/relationships/hyperlink" Target="https://www.genome.jp/entry/C21748" TargetMode="External"/><Relationship Id="rId2162" Type="http://schemas.openxmlformats.org/officeDocument/2006/relationships/hyperlink" Target="https://enzyme.expasy.org/EC/2.7.7.7" TargetMode="External"/><Relationship Id="rId3006" Type="http://schemas.openxmlformats.org/officeDocument/2006/relationships/hyperlink" Target="https://www.genome.jp/entry/C00203" TargetMode="External"/><Relationship Id="rId134" Type="http://schemas.openxmlformats.org/officeDocument/2006/relationships/hyperlink" Target="https://www.genome.jp/entry/C05757" TargetMode="External"/><Relationship Id="rId3213" Type="http://schemas.openxmlformats.org/officeDocument/2006/relationships/hyperlink" Target="https://www.genome.jp/entry/C00002" TargetMode="External"/><Relationship Id="rId3420" Type="http://schemas.openxmlformats.org/officeDocument/2006/relationships/hyperlink" Target="https://www.genome.jp/entry/C00002" TargetMode="External"/><Relationship Id="rId341" Type="http://schemas.openxmlformats.org/officeDocument/2006/relationships/hyperlink" Target="https://www.genome.jp/entry/1.17.4.1" TargetMode="External"/><Relationship Id="rId2022" Type="http://schemas.openxmlformats.org/officeDocument/2006/relationships/hyperlink" Target="https://www.genome.jp/entry/C00201" TargetMode="External"/><Relationship Id="rId2979" Type="http://schemas.openxmlformats.org/officeDocument/2006/relationships/hyperlink" Target="https://www.genome.jp/entry/C05698" TargetMode="External"/><Relationship Id="rId201" Type="http://schemas.openxmlformats.org/officeDocument/2006/relationships/hyperlink" Target="https://www.genome.jp/entry/1.1.1.23" TargetMode="External"/><Relationship Id="rId1788" Type="http://schemas.openxmlformats.org/officeDocument/2006/relationships/hyperlink" Target="https://enzyme.expasy.org/EC/2.7.4.28" TargetMode="External"/><Relationship Id="rId1995" Type="http://schemas.openxmlformats.org/officeDocument/2006/relationships/hyperlink" Target="https://www.genome.jp/entry/C00044" TargetMode="External"/><Relationship Id="rId2839" Type="http://schemas.openxmlformats.org/officeDocument/2006/relationships/hyperlink" Target="https://enzyme.expasy.org/EC/4.2.1.53" TargetMode="External"/><Relationship Id="rId1648" Type="http://schemas.openxmlformats.org/officeDocument/2006/relationships/hyperlink" Target="https://www.genome.jp/entry/C00002" TargetMode="External"/><Relationship Id="rId1508" Type="http://schemas.openxmlformats.org/officeDocument/2006/relationships/hyperlink" Target="https://enzyme.expasy.org/EC/2.6.1.9" TargetMode="External"/><Relationship Id="rId1855" Type="http://schemas.openxmlformats.org/officeDocument/2006/relationships/hyperlink" Target="https://www.genome.jp/entry/C00008" TargetMode="External"/><Relationship Id="rId2906" Type="http://schemas.openxmlformats.org/officeDocument/2006/relationships/hyperlink" Target="https://www.genome.jp/entry/C04916" TargetMode="External"/><Relationship Id="rId3070" Type="http://schemas.openxmlformats.org/officeDocument/2006/relationships/hyperlink" Target="https://enzyme.expasy.org/EC/5.3.1.8" TargetMode="External"/><Relationship Id="rId1715" Type="http://schemas.openxmlformats.org/officeDocument/2006/relationships/hyperlink" Target="https://enzyme.expasy.org/EC/2.7.1.56" TargetMode="External"/><Relationship Id="rId1922" Type="http://schemas.openxmlformats.org/officeDocument/2006/relationships/hyperlink" Target="https://enzyme.expasy.org/EC/2.7.7.6" TargetMode="External"/><Relationship Id="rId2489" Type="http://schemas.openxmlformats.org/officeDocument/2006/relationships/hyperlink" Target="https://enzyme.expasy.org/EC/3.2.1.23" TargetMode="External"/><Relationship Id="rId2696" Type="http://schemas.openxmlformats.org/officeDocument/2006/relationships/hyperlink" Target="https://enzyme.expasy.org/EC/3.6.4.12" TargetMode="External"/><Relationship Id="rId668" Type="http://schemas.openxmlformats.org/officeDocument/2006/relationships/hyperlink" Target="https://enzyme.expasy.org/EC/1.5.1.20" TargetMode="External"/><Relationship Id="rId875" Type="http://schemas.openxmlformats.org/officeDocument/2006/relationships/hyperlink" Target="https://www.genome.jp/entry/2.1.1.222" TargetMode="External"/><Relationship Id="rId1298" Type="http://schemas.openxmlformats.org/officeDocument/2006/relationships/hyperlink" Target="https://enzyme.expasy.org/EC/2.4.1.1" TargetMode="External"/><Relationship Id="rId2349" Type="http://schemas.openxmlformats.org/officeDocument/2006/relationships/hyperlink" Target="https://www.genome.jp/entry/C05400" TargetMode="External"/><Relationship Id="rId2556" Type="http://schemas.openxmlformats.org/officeDocument/2006/relationships/hyperlink" Target="https://enzyme.expasy.org/EC/3.2.2.27" TargetMode="External"/><Relationship Id="rId2763" Type="http://schemas.openxmlformats.org/officeDocument/2006/relationships/hyperlink" Target="https://www.genome.jp/entry/C00111" TargetMode="External"/><Relationship Id="rId2970" Type="http://schemas.openxmlformats.org/officeDocument/2006/relationships/hyperlink" Target="https://www.genome.jp/entry/C00812" TargetMode="External"/><Relationship Id="rId528" Type="http://schemas.openxmlformats.org/officeDocument/2006/relationships/hyperlink" Target="https://www.genome.jp/entry/1.17.4.2" TargetMode="External"/><Relationship Id="rId735" Type="http://schemas.openxmlformats.org/officeDocument/2006/relationships/hyperlink" Target="https://www.genome.jp/entry/R01698" TargetMode="External"/><Relationship Id="rId942" Type="http://schemas.openxmlformats.org/officeDocument/2006/relationships/hyperlink" Target="https://www.genome.jp/entry/C00399" TargetMode="External"/><Relationship Id="rId1158" Type="http://schemas.openxmlformats.org/officeDocument/2006/relationships/hyperlink" Target="https://www.genome.jp/entry/C23021" TargetMode="External"/><Relationship Id="rId1365" Type="http://schemas.openxmlformats.org/officeDocument/2006/relationships/hyperlink" Target="https://enzyme.expasy.org/EC/2.4.2.22" TargetMode="External"/><Relationship Id="rId1572" Type="http://schemas.openxmlformats.org/officeDocument/2006/relationships/hyperlink" Target="https://www.genome.jp/entry/C00074" TargetMode="External"/><Relationship Id="rId2209" Type="http://schemas.openxmlformats.org/officeDocument/2006/relationships/hyperlink" Target="https://www.genome.jp/entry/C17322" TargetMode="External"/><Relationship Id="rId2416" Type="http://schemas.openxmlformats.org/officeDocument/2006/relationships/hyperlink" Target="https://www.genome.jp/entry/C00492" TargetMode="External"/><Relationship Id="rId2623" Type="http://schemas.openxmlformats.org/officeDocument/2006/relationships/hyperlink" Target="https://www.genome.jp/entry/C00060" TargetMode="External"/><Relationship Id="rId1018" Type="http://schemas.openxmlformats.org/officeDocument/2006/relationships/hyperlink" Target="https://www.genome.jp/entry/C06010" TargetMode="External"/><Relationship Id="rId1225" Type="http://schemas.openxmlformats.org/officeDocument/2006/relationships/hyperlink" Target="https://www.genome.jp/entry/2.3.1.234" TargetMode="External"/><Relationship Id="rId1432" Type="http://schemas.openxmlformats.org/officeDocument/2006/relationships/hyperlink" Target="https://www.genome.jp/entry/R03223" TargetMode="External"/><Relationship Id="rId2830" Type="http://schemas.openxmlformats.org/officeDocument/2006/relationships/hyperlink" Target="https://enzyme.expasy.org/EC/4.2.1.20" TargetMode="External"/><Relationship Id="rId71" Type="http://schemas.openxmlformats.org/officeDocument/2006/relationships/hyperlink" Target="https://enzyme.expasy.org/EC/1.1.1.1" TargetMode="External"/><Relationship Id="rId802" Type="http://schemas.openxmlformats.org/officeDocument/2006/relationships/hyperlink" Target="https://www.genome.jp/entry/C15653" TargetMode="External"/><Relationship Id="rId3397" Type="http://schemas.openxmlformats.org/officeDocument/2006/relationships/hyperlink" Target="https://enzyme.expasy.org/EC/6.3.5.5" TargetMode="External"/><Relationship Id="rId178" Type="http://schemas.openxmlformats.org/officeDocument/2006/relationships/hyperlink" Target="https://www.genome.jp/entry/C00137" TargetMode="External"/><Relationship Id="rId3257" Type="http://schemas.openxmlformats.org/officeDocument/2006/relationships/hyperlink" Target="https://www.genome.jp/entry/C00002" TargetMode="External"/><Relationship Id="rId385" Type="http://schemas.openxmlformats.org/officeDocument/2006/relationships/hyperlink" Target="https://www.genome.jp/entry/C00035" TargetMode="External"/><Relationship Id="rId592" Type="http://schemas.openxmlformats.org/officeDocument/2006/relationships/hyperlink" Target="https://www.genome.jp/entry/C01050" TargetMode="External"/><Relationship Id="rId2066" Type="http://schemas.openxmlformats.org/officeDocument/2006/relationships/hyperlink" Target="https://enzyme.expasy.org/EC/2.7.7.7" TargetMode="External"/><Relationship Id="rId2273" Type="http://schemas.openxmlformats.org/officeDocument/2006/relationships/hyperlink" Target="https://enzyme.expasy.org/EC/3.1.3.5" TargetMode="External"/><Relationship Id="rId2480" Type="http://schemas.openxmlformats.org/officeDocument/2006/relationships/hyperlink" Target="https://enzyme.expasy.org/EC/3.2.1.23" TargetMode="External"/><Relationship Id="rId3117" Type="http://schemas.openxmlformats.org/officeDocument/2006/relationships/hyperlink" Target="https://www.genome.jp/entry/C00868" TargetMode="External"/><Relationship Id="rId3324" Type="http://schemas.openxmlformats.org/officeDocument/2006/relationships/hyperlink" Target="https://www.genome.jp/entry/C00008" TargetMode="External"/><Relationship Id="rId245" Type="http://schemas.openxmlformats.org/officeDocument/2006/relationships/hyperlink" Target="https://enzyme.expasy.org/EC/1.1.1.27" TargetMode="External"/><Relationship Id="rId452" Type="http://schemas.openxmlformats.org/officeDocument/2006/relationships/hyperlink" Target="https://enzyme.expasy.org/EC/1.17.4.1" TargetMode="External"/><Relationship Id="rId1082" Type="http://schemas.openxmlformats.org/officeDocument/2006/relationships/hyperlink" Target="https://www.genome.jp/entry/R03858" TargetMode="External"/><Relationship Id="rId2133" Type="http://schemas.openxmlformats.org/officeDocument/2006/relationships/hyperlink" Target="https://www.genome.jp/entry/C11039" TargetMode="External"/><Relationship Id="rId2340" Type="http://schemas.openxmlformats.org/officeDocument/2006/relationships/hyperlink" Target="https://www.genome.jp/entry/C00492" TargetMode="External"/><Relationship Id="rId105" Type="http://schemas.openxmlformats.org/officeDocument/2006/relationships/hyperlink" Target="https://www.genome.jp/entry/C05744" TargetMode="External"/><Relationship Id="rId312" Type="http://schemas.openxmlformats.org/officeDocument/2006/relationships/hyperlink" Target="https://enzyme.expasy.org/EC/1.11.1.26" TargetMode="External"/><Relationship Id="rId2200" Type="http://schemas.openxmlformats.org/officeDocument/2006/relationships/hyperlink" Target="https://www.genome.jp/entry/C00055" TargetMode="External"/><Relationship Id="rId1899" Type="http://schemas.openxmlformats.org/officeDocument/2006/relationships/hyperlink" Target="https://www.genome.jp/entry/C00201" TargetMode="External"/><Relationship Id="rId1759" Type="http://schemas.openxmlformats.org/officeDocument/2006/relationships/hyperlink" Target="https://www.genome.jp/entry/C00002" TargetMode="External"/><Relationship Id="rId1966" Type="http://schemas.openxmlformats.org/officeDocument/2006/relationships/hyperlink" Target="https://www.genome.jp/entry/C00013" TargetMode="External"/><Relationship Id="rId3181" Type="http://schemas.openxmlformats.org/officeDocument/2006/relationships/hyperlink" Target="https://www.genome.jp/entry/C00020" TargetMode="External"/><Relationship Id="rId1619" Type="http://schemas.openxmlformats.org/officeDocument/2006/relationships/hyperlink" Target="https://www.genome.jp/entry/2.7.1.197" TargetMode="External"/><Relationship Id="rId1826" Type="http://schemas.openxmlformats.org/officeDocument/2006/relationships/hyperlink" Target="https://www.genome.jp/entry/C00002" TargetMode="External"/><Relationship Id="rId3041" Type="http://schemas.openxmlformats.org/officeDocument/2006/relationships/hyperlink" Target="https://www.genome.jp/entry/C06019" TargetMode="External"/><Relationship Id="rId779" Type="http://schemas.openxmlformats.org/officeDocument/2006/relationships/hyperlink" Target="https://www.genome.jp/entry/1.8.4.11" TargetMode="External"/><Relationship Id="rId986" Type="http://schemas.openxmlformats.org/officeDocument/2006/relationships/hyperlink" Target="https://enzyme.expasy.org/EC/2.1.3.2" TargetMode="External"/><Relationship Id="rId2667" Type="http://schemas.openxmlformats.org/officeDocument/2006/relationships/hyperlink" Target="https://enzyme.expasy.org/EC/3.5.99.2" TargetMode="External"/><Relationship Id="rId639" Type="http://schemas.openxmlformats.org/officeDocument/2006/relationships/hyperlink" Target="https://www.genome.jp/entry/C00250" TargetMode="External"/><Relationship Id="rId1269" Type="http://schemas.openxmlformats.org/officeDocument/2006/relationships/hyperlink" Target="https://www.genome.jp/entry/2.3.1.8" TargetMode="External"/><Relationship Id="rId1476" Type="http://schemas.openxmlformats.org/officeDocument/2006/relationships/hyperlink" Target="https://www.genome.jp/entry/2.5.1.74" TargetMode="External"/><Relationship Id="rId2874" Type="http://schemas.openxmlformats.org/officeDocument/2006/relationships/hyperlink" Target="https://www.genome.jp/entry/C02218" TargetMode="External"/><Relationship Id="rId846" Type="http://schemas.openxmlformats.org/officeDocument/2006/relationships/hyperlink" Target="https://www.genome.jp/entry/R10716" TargetMode="External"/><Relationship Id="rId1129" Type="http://schemas.openxmlformats.org/officeDocument/2006/relationships/hyperlink" Target="https://www.genome.jp/entry/C00010" TargetMode="External"/><Relationship Id="rId1683" Type="http://schemas.openxmlformats.org/officeDocument/2006/relationships/hyperlink" Target="https://www.genome.jp/entry/C00081" TargetMode="External"/><Relationship Id="rId1890" Type="http://schemas.openxmlformats.org/officeDocument/2006/relationships/hyperlink" Target="https://www.genome.jp/entry/C00002" TargetMode="External"/><Relationship Id="rId2527" Type="http://schemas.openxmlformats.org/officeDocument/2006/relationships/hyperlink" Target="https://www.genome.jp/entry/C00031" TargetMode="External"/><Relationship Id="rId2734" Type="http://schemas.openxmlformats.org/officeDocument/2006/relationships/hyperlink" Target="https://enzyme.expasy.org/EC/4.1.1.49" TargetMode="External"/><Relationship Id="rId2941" Type="http://schemas.openxmlformats.org/officeDocument/2006/relationships/hyperlink" Target="https://enzyme.expasy.org/EC/4.4.1.13" TargetMode="External"/><Relationship Id="rId706" Type="http://schemas.openxmlformats.org/officeDocument/2006/relationships/hyperlink" Target="https://www.genome.jp/entry/C00272" TargetMode="External"/><Relationship Id="rId913" Type="http://schemas.openxmlformats.org/officeDocument/2006/relationships/hyperlink" Target="https://www.genome.jp/entry/2.1.1.33" TargetMode="External"/><Relationship Id="rId1336" Type="http://schemas.openxmlformats.org/officeDocument/2006/relationships/hyperlink" Target="https://www.genome.jp/entry/2.4.2.14" TargetMode="External"/><Relationship Id="rId1543" Type="http://schemas.openxmlformats.org/officeDocument/2006/relationships/hyperlink" Target="https://www.genome.jp/entry/R00770" TargetMode="External"/><Relationship Id="rId1750" Type="http://schemas.openxmlformats.org/officeDocument/2006/relationships/hyperlink" Target="https://www.genome.jp/entry/C00002" TargetMode="External"/><Relationship Id="rId2801" Type="http://schemas.openxmlformats.org/officeDocument/2006/relationships/hyperlink" Target="https://www.genome.jp/entry/C03356" TargetMode="External"/><Relationship Id="rId42" Type="http://schemas.openxmlformats.org/officeDocument/2006/relationships/hyperlink" Target="https://www.genome.jp/entry/1.1.1.1" TargetMode="External"/><Relationship Id="rId1403" Type="http://schemas.openxmlformats.org/officeDocument/2006/relationships/hyperlink" Target="https://www.genome.jp/entry/2.4.2.9" TargetMode="External"/><Relationship Id="rId1610" Type="http://schemas.openxmlformats.org/officeDocument/2006/relationships/hyperlink" Target="https://www.genome.jp/entry/R01639" TargetMode="External"/><Relationship Id="rId3368" Type="http://schemas.openxmlformats.org/officeDocument/2006/relationships/hyperlink" Target="https://www.genome.jp/entry/C00002" TargetMode="External"/><Relationship Id="rId289" Type="http://schemas.openxmlformats.org/officeDocument/2006/relationships/hyperlink" Target="https://www.genome.jp/entry/1.1.1.49" TargetMode="External"/><Relationship Id="rId496" Type="http://schemas.openxmlformats.org/officeDocument/2006/relationships/hyperlink" Target="https://www.genome.jp/entry/C00044" TargetMode="External"/><Relationship Id="rId2177" Type="http://schemas.openxmlformats.org/officeDocument/2006/relationships/hyperlink" Target="https://enzyme.expasy.org/EC/2.7.7.72" TargetMode="External"/><Relationship Id="rId2384" Type="http://schemas.openxmlformats.org/officeDocument/2006/relationships/hyperlink" Target="https://enzyme.expasy.org/EC/3.2.1.22" TargetMode="External"/><Relationship Id="rId2591" Type="http://schemas.openxmlformats.org/officeDocument/2006/relationships/hyperlink" Target="https://enzyme.expasy.org/EC/3.5.1.25" TargetMode="External"/><Relationship Id="rId3228" Type="http://schemas.openxmlformats.org/officeDocument/2006/relationships/hyperlink" Target="https://www.genome.jp/entry/C00020" TargetMode="External"/><Relationship Id="rId3435" Type="http://schemas.openxmlformats.org/officeDocument/2006/relationships/hyperlink" Target="https://www.genome.jp/entry/C00002" TargetMode="External"/><Relationship Id="rId149" Type="http://schemas.openxmlformats.org/officeDocument/2006/relationships/hyperlink" Target="https://www.genome.jp/entry/C20377" TargetMode="External"/><Relationship Id="rId356" Type="http://schemas.openxmlformats.org/officeDocument/2006/relationships/hyperlink" Target="https://www.genome.jp/entry/1.17.4.1" TargetMode="External"/><Relationship Id="rId563" Type="http://schemas.openxmlformats.org/officeDocument/2006/relationships/hyperlink" Target="https://www.genome.jp/entry/C00227" TargetMode="External"/><Relationship Id="rId770" Type="http://schemas.openxmlformats.org/officeDocument/2006/relationships/hyperlink" Target="https://www.genome.jp/entry/R02016" TargetMode="External"/><Relationship Id="rId1193" Type="http://schemas.openxmlformats.org/officeDocument/2006/relationships/hyperlink" Target="https://www.genome.jp/entry/C05753" TargetMode="External"/><Relationship Id="rId2037" Type="http://schemas.openxmlformats.org/officeDocument/2006/relationships/hyperlink" Target="https://www.genome.jp/entry/C00458" TargetMode="External"/><Relationship Id="rId2244" Type="http://schemas.openxmlformats.org/officeDocument/2006/relationships/hyperlink" Target="https://www.genome.jp/entry/C00447" TargetMode="External"/><Relationship Id="rId2451" Type="http://schemas.openxmlformats.org/officeDocument/2006/relationships/hyperlink" Target="https://www.genome.jp/entry/C00243" TargetMode="External"/><Relationship Id="rId216" Type="http://schemas.openxmlformats.org/officeDocument/2006/relationships/hyperlink" Target="https://www.genome.jp/entry/1.1.1.25" TargetMode="External"/><Relationship Id="rId423" Type="http://schemas.openxmlformats.org/officeDocument/2006/relationships/hyperlink" Target="https://www.genome.jp/entry/1.17.4.1" TargetMode="External"/><Relationship Id="rId1053" Type="http://schemas.openxmlformats.org/officeDocument/2006/relationships/hyperlink" Target="https://www.genome.jp/entry/C00040" TargetMode="External"/><Relationship Id="rId1260" Type="http://schemas.openxmlformats.org/officeDocument/2006/relationships/hyperlink" Target="https://www.genome.jp/entry/R00212" TargetMode="External"/><Relationship Id="rId2104" Type="http://schemas.openxmlformats.org/officeDocument/2006/relationships/hyperlink" Target="https://www.genome.jp/entry/C00013" TargetMode="External"/><Relationship Id="rId630" Type="http://schemas.openxmlformats.org/officeDocument/2006/relationships/hyperlink" Target="https://www.genome.jp/entry/R00277" TargetMode="External"/><Relationship Id="rId2311" Type="http://schemas.openxmlformats.org/officeDocument/2006/relationships/hyperlink" Target="https://www.genome.jp/entry/C00059" TargetMode="External"/><Relationship Id="rId1120" Type="http://schemas.openxmlformats.org/officeDocument/2006/relationships/hyperlink" Target="https://enzyme.expasy.org/EC/2.3.1.16" TargetMode="External"/><Relationship Id="rId1937" Type="http://schemas.openxmlformats.org/officeDocument/2006/relationships/hyperlink" Target="https://enzyme.expasy.org/EC/2.7.7.6" TargetMode="External"/><Relationship Id="rId3085" Type="http://schemas.openxmlformats.org/officeDocument/2006/relationships/hyperlink" Target="https://enzyme.expasy.org/EC/5.3.1.9" TargetMode="External"/><Relationship Id="rId3292" Type="http://schemas.openxmlformats.org/officeDocument/2006/relationships/hyperlink" Target="https://enzyme.expasy.org/EC/6.3.2.5" TargetMode="External"/><Relationship Id="rId3152" Type="http://schemas.openxmlformats.org/officeDocument/2006/relationships/hyperlink" Target="https://enzyme.expasy.org/EC/6.1.1.12" TargetMode="External"/><Relationship Id="rId280" Type="http://schemas.openxmlformats.org/officeDocument/2006/relationships/hyperlink" Target="https://enzyme.expasy.org/EC/1.1.1.343" TargetMode="External"/><Relationship Id="rId3012" Type="http://schemas.openxmlformats.org/officeDocument/2006/relationships/hyperlink" Target="https://www.genome.jp/entry/C00231" TargetMode="External"/><Relationship Id="rId140" Type="http://schemas.openxmlformats.org/officeDocument/2006/relationships/hyperlink" Target="https://enzyme.expasy.org/EC/1.1.1.100" TargetMode="External"/><Relationship Id="rId6" Type="http://schemas.openxmlformats.org/officeDocument/2006/relationships/hyperlink" Target="https://enzyme.expasy.org/EC/1.1.1.1" TargetMode="External"/><Relationship Id="rId2778" Type="http://schemas.openxmlformats.org/officeDocument/2006/relationships/hyperlink" Target="https://www.genome.jp/entry/C00111" TargetMode="External"/><Relationship Id="rId2985" Type="http://schemas.openxmlformats.org/officeDocument/2006/relationships/hyperlink" Target="https://www.genome.jp/entry/C11838" TargetMode="External"/><Relationship Id="rId957" Type="http://schemas.openxmlformats.org/officeDocument/2006/relationships/hyperlink" Target="https://www.genome.jp/entry/2.1.2.1" TargetMode="External"/><Relationship Id="rId1587" Type="http://schemas.openxmlformats.org/officeDocument/2006/relationships/hyperlink" Target="https://www.genome.jp/entry/C00074" TargetMode="External"/><Relationship Id="rId1794" Type="http://schemas.openxmlformats.org/officeDocument/2006/relationships/hyperlink" Target="https://www.genome.jp/entry/C00008" TargetMode="External"/><Relationship Id="rId2638" Type="http://schemas.openxmlformats.org/officeDocument/2006/relationships/hyperlink" Target="https://enzyme.expasy.org/EC/3.5.4.19" TargetMode="External"/><Relationship Id="rId2845" Type="http://schemas.openxmlformats.org/officeDocument/2006/relationships/hyperlink" Target="https://www.genome.jp/entry/C04246" TargetMode="External"/><Relationship Id="rId86" Type="http://schemas.openxmlformats.org/officeDocument/2006/relationships/hyperlink" Target="https://enzyme.expasy.org/EC/1.1.1.1" TargetMode="External"/><Relationship Id="rId817" Type="http://schemas.openxmlformats.org/officeDocument/2006/relationships/hyperlink" Target="https://www.genome.jp/entry/C05335" TargetMode="External"/><Relationship Id="rId1447" Type="http://schemas.openxmlformats.org/officeDocument/2006/relationships/hyperlink" Target="https://www.genome.jp/entry/2.5.1.47" TargetMode="External"/><Relationship Id="rId1654" Type="http://schemas.openxmlformats.org/officeDocument/2006/relationships/hyperlink" Target="https://www.genome.jp/entry/C00002" TargetMode="External"/><Relationship Id="rId1861" Type="http://schemas.openxmlformats.org/officeDocument/2006/relationships/hyperlink" Target="https://www.genome.jp/entry/C00008" TargetMode="External"/><Relationship Id="rId2705" Type="http://schemas.openxmlformats.org/officeDocument/2006/relationships/hyperlink" Target="https://www.genome.jp/entry/C00036" TargetMode="External"/><Relationship Id="rId2912" Type="http://schemas.openxmlformats.org/officeDocument/2006/relationships/hyperlink" Target="https://www.genome.jp/entry/C00064" TargetMode="External"/><Relationship Id="rId1307" Type="http://schemas.openxmlformats.org/officeDocument/2006/relationships/hyperlink" Target="https://www.genome.jp/entry/G10495" TargetMode="External"/><Relationship Id="rId1514" Type="http://schemas.openxmlformats.org/officeDocument/2006/relationships/hyperlink" Target="https://www.genome.jp/entry/C01100" TargetMode="External"/><Relationship Id="rId1721" Type="http://schemas.openxmlformats.org/officeDocument/2006/relationships/hyperlink" Target="https://enzyme.expasy.org/EC/2.7.1.56" TargetMode="External"/><Relationship Id="rId13" Type="http://schemas.openxmlformats.org/officeDocument/2006/relationships/hyperlink" Target="https://www.genome.jp/entry/R02124" TargetMode="External"/><Relationship Id="rId2288" Type="http://schemas.openxmlformats.org/officeDocument/2006/relationships/hyperlink" Target="https://enzyme.expasy.org/EC/3.1.3.5" TargetMode="External"/><Relationship Id="rId2495" Type="http://schemas.openxmlformats.org/officeDocument/2006/relationships/hyperlink" Target="https://enzyme.expasy.org/EC/3.2.1.26" TargetMode="External"/><Relationship Id="rId3339" Type="http://schemas.openxmlformats.org/officeDocument/2006/relationships/hyperlink" Target="https://www.genome.jp/entry/C00253" TargetMode="External"/><Relationship Id="rId467" Type="http://schemas.openxmlformats.org/officeDocument/2006/relationships/hyperlink" Target="https://enzyme.expasy.org/EC/1.17.4.1" TargetMode="External"/><Relationship Id="rId1097" Type="http://schemas.openxmlformats.org/officeDocument/2006/relationships/hyperlink" Target="https://www.genome.jp/entry/R04747" TargetMode="External"/><Relationship Id="rId2148" Type="http://schemas.openxmlformats.org/officeDocument/2006/relationships/hyperlink" Target="https://www.genome.jp/entry/C00459" TargetMode="External"/><Relationship Id="rId674" Type="http://schemas.openxmlformats.org/officeDocument/2006/relationships/hyperlink" Target="https://www.genome.jp/entry/1.5.1.3" TargetMode="External"/><Relationship Id="rId881" Type="http://schemas.openxmlformats.org/officeDocument/2006/relationships/hyperlink" Target="https://www.genome.jp/entry/R08769/" TargetMode="External"/><Relationship Id="rId2355" Type="http://schemas.openxmlformats.org/officeDocument/2006/relationships/hyperlink" Target="https://www.genome.jp/entry/C04737" TargetMode="External"/><Relationship Id="rId2562" Type="http://schemas.openxmlformats.org/officeDocument/2006/relationships/hyperlink" Target="https://www.genome.jp/entry/C00170" TargetMode="External"/><Relationship Id="rId3406" Type="http://schemas.openxmlformats.org/officeDocument/2006/relationships/hyperlink" Target="https://enzyme.expasy.org/EC/6.4.1.2" TargetMode="External"/><Relationship Id="rId327" Type="http://schemas.openxmlformats.org/officeDocument/2006/relationships/hyperlink" Target="https://www.genome.jp/entry/R04199" TargetMode="External"/><Relationship Id="rId534" Type="http://schemas.openxmlformats.org/officeDocument/2006/relationships/hyperlink" Target="https://www.genome.jp/entry/R12500" TargetMode="External"/><Relationship Id="rId741" Type="http://schemas.openxmlformats.org/officeDocument/2006/relationships/hyperlink" Target="https://www.genome.jp/entry/C16832" TargetMode="External"/><Relationship Id="rId1164" Type="http://schemas.openxmlformats.org/officeDocument/2006/relationships/hyperlink" Target="https://www.genome.jp/entry/C21906" TargetMode="External"/><Relationship Id="rId1371" Type="http://schemas.openxmlformats.org/officeDocument/2006/relationships/hyperlink" Target="https://www.genome.jp/entry/2.4.2.22" TargetMode="External"/><Relationship Id="rId2008" Type="http://schemas.openxmlformats.org/officeDocument/2006/relationships/hyperlink" Target="https://www.genome.jp/entry/C00013" TargetMode="External"/><Relationship Id="rId2215" Type="http://schemas.openxmlformats.org/officeDocument/2006/relationships/hyperlink" Target="https://www.genome.jp/entry/C00020" TargetMode="External"/><Relationship Id="rId2422" Type="http://schemas.openxmlformats.org/officeDocument/2006/relationships/hyperlink" Target="https://www.genome.jp/entry/C03692" TargetMode="External"/><Relationship Id="rId601" Type="http://schemas.openxmlformats.org/officeDocument/2006/relationships/hyperlink" Target="https://www.genome.jp/entry/R00114" TargetMode="External"/><Relationship Id="rId1024" Type="http://schemas.openxmlformats.org/officeDocument/2006/relationships/hyperlink" Target="https://www.genome.jp/entry/C06006" TargetMode="External"/><Relationship Id="rId1231" Type="http://schemas.openxmlformats.org/officeDocument/2006/relationships/hyperlink" Target="https://www.genome.jp/entry/R10648" TargetMode="External"/><Relationship Id="rId3196" Type="http://schemas.openxmlformats.org/officeDocument/2006/relationships/hyperlink" Target="https://www.genome.jp/entry/C00020" TargetMode="External"/><Relationship Id="rId3056" Type="http://schemas.openxmlformats.org/officeDocument/2006/relationships/hyperlink" Target="https://www.genome.jp/entry/C00117" TargetMode="External"/><Relationship Id="rId3263" Type="http://schemas.openxmlformats.org/officeDocument/2006/relationships/hyperlink" Target="https://www.genome.jp/entry/C00002" TargetMode="External"/><Relationship Id="rId184" Type="http://schemas.openxmlformats.org/officeDocument/2006/relationships/hyperlink" Target="https://www.genome.jp/entry/C00655" TargetMode="External"/><Relationship Id="rId391" Type="http://schemas.openxmlformats.org/officeDocument/2006/relationships/hyperlink" Target="https://www.genome.jp/entry/R08363" TargetMode="External"/><Relationship Id="rId1908" Type="http://schemas.openxmlformats.org/officeDocument/2006/relationships/hyperlink" Target="https://www.genome.jp/entry/C00063" TargetMode="External"/><Relationship Id="rId2072" Type="http://schemas.openxmlformats.org/officeDocument/2006/relationships/hyperlink" Target="https://enzyme.expasy.org/EC/2.7.7.7" TargetMode="External"/><Relationship Id="rId3123" Type="http://schemas.openxmlformats.org/officeDocument/2006/relationships/hyperlink" Target="https://enzyme.expasy.org/EC/5.4.99.62" TargetMode="External"/><Relationship Id="rId251" Type="http://schemas.openxmlformats.org/officeDocument/2006/relationships/hyperlink" Target="https://www.genome.jp/entry/1.1.1.27" TargetMode="External"/><Relationship Id="rId3330" Type="http://schemas.openxmlformats.org/officeDocument/2006/relationships/hyperlink" Target="https://www.genome.jp/entry/C00025" TargetMode="External"/><Relationship Id="rId2889" Type="http://schemas.openxmlformats.org/officeDocument/2006/relationships/hyperlink" Target="https://www.genome.jp/entry/C02218" TargetMode="External"/><Relationship Id="rId111" Type="http://schemas.openxmlformats.org/officeDocument/2006/relationships/hyperlink" Target="https://enzyme.expasy.org/EC/1.1.1.100" TargetMode="External"/><Relationship Id="rId1698" Type="http://schemas.openxmlformats.org/officeDocument/2006/relationships/hyperlink" Target="https://www.genome.jp/entry/C00002" TargetMode="External"/><Relationship Id="rId2749" Type="http://schemas.openxmlformats.org/officeDocument/2006/relationships/hyperlink" Target="https://enzyme.expasy.org/EC/4.1.2.13" TargetMode="External"/><Relationship Id="rId2956" Type="http://schemas.openxmlformats.org/officeDocument/2006/relationships/hyperlink" Target="https://enzyme.expasy.org/EC/4.4.1.13" TargetMode="External"/><Relationship Id="rId928" Type="http://schemas.openxmlformats.org/officeDocument/2006/relationships/hyperlink" Target="https://www.genome.jp/entry/R12657" TargetMode="External"/><Relationship Id="rId1558" Type="http://schemas.openxmlformats.org/officeDocument/2006/relationships/hyperlink" Target="https://enzyme.expasy.org/EC/2.7.1.11" TargetMode="External"/><Relationship Id="rId1765" Type="http://schemas.openxmlformats.org/officeDocument/2006/relationships/hyperlink" Target="https://www.genome.jp/entry/C00002" TargetMode="External"/><Relationship Id="rId2609" Type="http://schemas.openxmlformats.org/officeDocument/2006/relationships/hyperlink" Target="https://enzyme.expasy.org/EC/3.5.1.4" TargetMode="External"/><Relationship Id="rId57" Type="http://schemas.openxmlformats.org/officeDocument/2006/relationships/hyperlink" Target="https://www.genome.jp/entry/1.1.1.1" TargetMode="External"/><Relationship Id="rId1418" Type="http://schemas.openxmlformats.org/officeDocument/2006/relationships/hyperlink" Target="https://www.genome.jp/entry/2.5.1.17" TargetMode="External"/><Relationship Id="rId1972" Type="http://schemas.openxmlformats.org/officeDocument/2006/relationships/hyperlink" Target="https://www.genome.jp/entry/C00013" TargetMode="External"/><Relationship Id="rId2816" Type="http://schemas.openxmlformats.org/officeDocument/2006/relationships/hyperlink" Target="https://www.genome.jp/entry/C00149" TargetMode="External"/><Relationship Id="rId1625" Type="http://schemas.openxmlformats.org/officeDocument/2006/relationships/hyperlink" Target="https://www.genome.jp/entry/C00008" TargetMode="External"/><Relationship Id="rId1832" Type="http://schemas.openxmlformats.org/officeDocument/2006/relationships/hyperlink" Target="https://www.genome.jp/entry/C00002" TargetMode="External"/><Relationship Id="rId2399" Type="http://schemas.openxmlformats.org/officeDocument/2006/relationships/hyperlink" Target="https://enzyme.expasy.org/EC/3.2.1.22" TargetMode="External"/><Relationship Id="rId578" Type="http://schemas.openxmlformats.org/officeDocument/2006/relationships/hyperlink" Target="https://www.genome.jp/entry/C00295" TargetMode="External"/><Relationship Id="rId785" Type="http://schemas.openxmlformats.org/officeDocument/2006/relationships/hyperlink" Target="https://www.genome.jp/entry/R07606" TargetMode="External"/><Relationship Id="rId992" Type="http://schemas.openxmlformats.org/officeDocument/2006/relationships/hyperlink" Target="https://www.genome.jp/entry/R08575" TargetMode="External"/><Relationship Id="rId2259" Type="http://schemas.openxmlformats.org/officeDocument/2006/relationships/hyperlink" Target="https://www.genome.jp/entry/C00105" TargetMode="External"/><Relationship Id="rId2466" Type="http://schemas.openxmlformats.org/officeDocument/2006/relationships/hyperlink" Target="https://www.genome.jp/entry/C05403" TargetMode="External"/><Relationship Id="rId2673" Type="http://schemas.openxmlformats.org/officeDocument/2006/relationships/hyperlink" Target="https://enzyme.expasy.org/EC/3.6.1.1" TargetMode="External"/><Relationship Id="rId2880" Type="http://schemas.openxmlformats.org/officeDocument/2006/relationships/hyperlink" Target="https://www.genome.jp/entry/C20904" TargetMode="External"/><Relationship Id="rId438" Type="http://schemas.openxmlformats.org/officeDocument/2006/relationships/hyperlink" Target="https://www.genome.jp/entry/1.17.4.1" TargetMode="External"/><Relationship Id="rId645" Type="http://schemas.openxmlformats.org/officeDocument/2006/relationships/hyperlink" Target="https://www.genome.jp/entry/1.5.1.2" TargetMode="External"/><Relationship Id="rId852" Type="http://schemas.openxmlformats.org/officeDocument/2006/relationships/hyperlink" Target="https://www.genome.jp/entry/C00021" TargetMode="External"/><Relationship Id="rId1068" Type="http://schemas.openxmlformats.org/officeDocument/2006/relationships/hyperlink" Target="https://www.genome.jp/entry/C00100" TargetMode="External"/><Relationship Id="rId1275" Type="http://schemas.openxmlformats.org/officeDocument/2006/relationships/hyperlink" Target="https://www.genome.jp/entry/R00921" TargetMode="External"/><Relationship Id="rId1482" Type="http://schemas.openxmlformats.org/officeDocument/2006/relationships/hyperlink" Target="https://www.genome.jp/entry/R01122" TargetMode="External"/><Relationship Id="rId2119" Type="http://schemas.openxmlformats.org/officeDocument/2006/relationships/hyperlink" Target="https://www.genome.jp/entry/C00013" TargetMode="External"/><Relationship Id="rId2326" Type="http://schemas.openxmlformats.org/officeDocument/2006/relationships/hyperlink" Target="https://www.genome.jp/entry/C02336" TargetMode="External"/><Relationship Id="rId2533" Type="http://schemas.openxmlformats.org/officeDocument/2006/relationships/hyperlink" Target="https://www.genome.jp/entry/C00530" TargetMode="External"/><Relationship Id="rId2740" Type="http://schemas.openxmlformats.org/officeDocument/2006/relationships/hyperlink" Target="https://enzyme.expasy.org/EC/4.1.1.85" TargetMode="External"/><Relationship Id="rId505" Type="http://schemas.openxmlformats.org/officeDocument/2006/relationships/hyperlink" Target="https://www.genome.jp/entry/C00460" TargetMode="External"/><Relationship Id="rId712" Type="http://schemas.openxmlformats.org/officeDocument/2006/relationships/hyperlink" Target="https://www.genome.jp/entry/C00445" TargetMode="External"/><Relationship Id="rId1135" Type="http://schemas.openxmlformats.org/officeDocument/2006/relationships/hyperlink" Target="https://enzyme.expasy.org/EC/2.3.1.16" TargetMode="External"/><Relationship Id="rId1342" Type="http://schemas.openxmlformats.org/officeDocument/2006/relationships/hyperlink" Target="https://www.genome.jp/entry/C02739" TargetMode="External"/><Relationship Id="rId1202" Type="http://schemas.openxmlformats.org/officeDocument/2006/relationships/hyperlink" Target="https://www.genome.jp/entry/C05761" TargetMode="External"/><Relationship Id="rId2600" Type="http://schemas.openxmlformats.org/officeDocument/2006/relationships/hyperlink" Target="https://enzyme.expasy.org/EC/3.5.1.4" TargetMode="External"/><Relationship Id="rId3167" Type="http://schemas.openxmlformats.org/officeDocument/2006/relationships/hyperlink" Target="https://enzyme.expasy.org/EC/6.1.1.13" TargetMode="External"/><Relationship Id="rId295" Type="http://schemas.openxmlformats.org/officeDocument/2006/relationships/hyperlink" Target="https://www.genome.jp/entry/C01172" TargetMode="External"/><Relationship Id="rId3374" Type="http://schemas.openxmlformats.org/officeDocument/2006/relationships/hyperlink" Target="https://www.genome.jp/entry/C00064" TargetMode="External"/><Relationship Id="rId2183" Type="http://schemas.openxmlformats.org/officeDocument/2006/relationships/hyperlink" Target="https://enzyme.expasy.org/EC/2.7.7.85" TargetMode="External"/><Relationship Id="rId2390" Type="http://schemas.openxmlformats.org/officeDocument/2006/relationships/hyperlink" Target="https://enzyme.expasy.org/EC/3.2.1.22" TargetMode="External"/><Relationship Id="rId3027" Type="http://schemas.openxmlformats.org/officeDocument/2006/relationships/hyperlink" Target="https://www.genome.jp/entry/C00111" TargetMode="External"/><Relationship Id="rId3234" Type="http://schemas.openxmlformats.org/officeDocument/2006/relationships/hyperlink" Target="https://www.genome.jp/entry/C00020" TargetMode="External"/><Relationship Id="rId3441" Type="http://schemas.openxmlformats.org/officeDocument/2006/relationships/hyperlink" Target="https://enzyme.expasy.org/EC/7.3.2.2" TargetMode="External"/><Relationship Id="rId155" Type="http://schemas.openxmlformats.org/officeDocument/2006/relationships/hyperlink" Target="https://enzyme.expasy.org/EC/1.1.1.17" TargetMode="External"/><Relationship Id="rId362" Type="http://schemas.openxmlformats.org/officeDocument/2006/relationships/hyperlink" Target="https://www.genome.jp/entry/R08364" TargetMode="External"/><Relationship Id="rId2043" Type="http://schemas.openxmlformats.org/officeDocument/2006/relationships/hyperlink" Target="https://www.genome.jp/entry/C11039" TargetMode="External"/><Relationship Id="rId2250" Type="http://schemas.openxmlformats.org/officeDocument/2006/relationships/hyperlink" Target="https://www.genome.jp/entry/C02520" TargetMode="External"/><Relationship Id="rId3301" Type="http://schemas.openxmlformats.org/officeDocument/2006/relationships/hyperlink" Target="https://enzyme.expasy.org/EC/6.3.2.9" TargetMode="External"/><Relationship Id="rId222" Type="http://schemas.openxmlformats.org/officeDocument/2006/relationships/hyperlink" Target="https://www.genome.jp/entry/R12885" TargetMode="External"/><Relationship Id="rId2110" Type="http://schemas.openxmlformats.org/officeDocument/2006/relationships/hyperlink" Target="https://www.genome.jp/entry/C00013" TargetMode="External"/><Relationship Id="rId1669" Type="http://schemas.openxmlformats.org/officeDocument/2006/relationships/hyperlink" Target="https://www.genome.jp/entry/C00008" TargetMode="External"/><Relationship Id="rId1876" Type="http://schemas.openxmlformats.org/officeDocument/2006/relationships/hyperlink" Target="https://enzyme.expasy.org/EC/2.7.7.12" TargetMode="External"/><Relationship Id="rId2927" Type="http://schemas.openxmlformats.org/officeDocument/2006/relationships/hyperlink" Target="https://www.genome.jp/entry/C22395" TargetMode="External"/><Relationship Id="rId3091" Type="http://schemas.openxmlformats.org/officeDocument/2006/relationships/hyperlink" Target="https://www.genome.jp/entry/C07479" TargetMode="External"/><Relationship Id="rId1529" Type="http://schemas.openxmlformats.org/officeDocument/2006/relationships/hyperlink" Target="https://www.genome.jp/entry/R04779" TargetMode="External"/><Relationship Id="rId1736" Type="http://schemas.openxmlformats.org/officeDocument/2006/relationships/hyperlink" Target="https://enzyme.expasy.org/EC/2.7.1.92" TargetMode="External"/><Relationship Id="rId1943" Type="http://schemas.openxmlformats.org/officeDocument/2006/relationships/hyperlink" Target="https://enzyme.expasy.org/EC/2.7.7.6" TargetMode="External"/><Relationship Id="rId28" Type="http://schemas.openxmlformats.org/officeDocument/2006/relationships/hyperlink" Target="https://www.genome.jp/entry/R04880" TargetMode="External"/><Relationship Id="rId1803" Type="http://schemas.openxmlformats.org/officeDocument/2006/relationships/hyperlink" Target="https://www.genome.jp/entry/C00008" TargetMode="External"/><Relationship Id="rId689" Type="http://schemas.openxmlformats.org/officeDocument/2006/relationships/hyperlink" Target="https://www.genome.jp/entry/1.5.1.3" TargetMode="External"/><Relationship Id="rId896" Type="http://schemas.openxmlformats.org/officeDocument/2006/relationships/hyperlink" Target="https://www.genome.jp/entry/R04988" TargetMode="External"/><Relationship Id="rId2577" Type="http://schemas.openxmlformats.org/officeDocument/2006/relationships/hyperlink" Target="https://enzyme.expasy.org/EC/3.4.21.92" TargetMode="External"/><Relationship Id="rId2784" Type="http://schemas.openxmlformats.org/officeDocument/2006/relationships/hyperlink" Target="https://www.genome.jp/entry/C00118" TargetMode="External"/><Relationship Id="rId549" Type="http://schemas.openxmlformats.org/officeDocument/2006/relationships/hyperlink" Target="https://enzyme.expasy.org/EC/1.2.1.41" TargetMode="External"/><Relationship Id="rId756" Type="http://schemas.openxmlformats.org/officeDocument/2006/relationships/hyperlink" Target="https://www.genome.jp/entry/C00579" TargetMode="External"/><Relationship Id="rId1179" Type="http://schemas.openxmlformats.org/officeDocument/2006/relationships/hyperlink" Target="https://enzyme.expasy.org/EC/2.3.1.179" TargetMode="External"/><Relationship Id="rId1386" Type="http://schemas.openxmlformats.org/officeDocument/2006/relationships/hyperlink" Target="https://www.genome.jp/entry/C00020" TargetMode="External"/><Relationship Id="rId1593" Type="http://schemas.openxmlformats.org/officeDocument/2006/relationships/hyperlink" Target="https://www.genome.jp/entry/C03785" TargetMode="External"/><Relationship Id="rId2437" Type="http://schemas.openxmlformats.org/officeDocument/2006/relationships/hyperlink" Target="https://www.genome.jp/entry/C00137" TargetMode="External"/><Relationship Id="rId2991" Type="http://schemas.openxmlformats.org/officeDocument/2006/relationships/hyperlink" Target="https://www.genome.jp/entry/C00217" TargetMode="External"/><Relationship Id="rId409" Type="http://schemas.openxmlformats.org/officeDocument/2006/relationships/hyperlink" Target="https://www.genome.jp/entry/R02017" TargetMode="External"/><Relationship Id="rId963" Type="http://schemas.openxmlformats.org/officeDocument/2006/relationships/hyperlink" Target="https://www.genome.jp/entry/R09099" TargetMode="External"/><Relationship Id="rId1039" Type="http://schemas.openxmlformats.org/officeDocument/2006/relationships/hyperlink" Target="https://www.genome.jp/entry/C00010" TargetMode="External"/><Relationship Id="rId1246" Type="http://schemas.openxmlformats.org/officeDocument/2006/relationships/hyperlink" Target="https://www.genome.jp/entry/C00003" TargetMode="External"/><Relationship Id="rId2644" Type="http://schemas.openxmlformats.org/officeDocument/2006/relationships/hyperlink" Target="https://enzyme.expasy.org/EC/3.5.4.33" TargetMode="External"/><Relationship Id="rId2851" Type="http://schemas.openxmlformats.org/officeDocument/2006/relationships/hyperlink" Target="https://www.genome.jp/entry/C05763" TargetMode="External"/><Relationship Id="rId92" Type="http://schemas.openxmlformats.org/officeDocument/2006/relationships/hyperlink" Target="https://www.genome.jp/entry/1.1.1.1" TargetMode="External"/><Relationship Id="rId616" Type="http://schemas.openxmlformats.org/officeDocument/2006/relationships/hyperlink" Target="https://www.genome.jp/entry/R00248" TargetMode="External"/><Relationship Id="rId823" Type="http://schemas.openxmlformats.org/officeDocument/2006/relationships/hyperlink" Target="https://www.genome.jp/entry/2.1.1.171" TargetMode="External"/><Relationship Id="rId1453" Type="http://schemas.openxmlformats.org/officeDocument/2006/relationships/hyperlink" Target="https://enzyme.expasy.org/EC/2.5.1.47" TargetMode="External"/><Relationship Id="rId1660" Type="http://schemas.openxmlformats.org/officeDocument/2006/relationships/hyperlink" Target="https://www.genome.jp/entry/C00008" TargetMode="External"/><Relationship Id="rId2504" Type="http://schemas.openxmlformats.org/officeDocument/2006/relationships/hyperlink" Target="https://enzyme.expasy.org/EC/3.2.1.26" TargetMode="External"/><Relationship Id="rId2711" Type="http://schemas.openxmlformats.org/officeDocument/2006/relationships/hyperlink" Target="https://www.genome.jp/entry/C00049" TargetMode="External"/><Relationship Id="rId1106" Type="http://schemas.openxmlformats.org/officeDocument/2006/relationships/hyperlink" Target="https://www.genome.jp/entry/2.3.1.16" TargetMode="External"/><Relationship Id="rId1313" Type="http://schemas.openxmlformats.org/officeDocument/2006/relationships/hyperlink" Target="https://www.genome.jp/entry/2.4.1.21" TargetMode="External"/><Relationship Id="rId1520" Type="http://schemas.openxmlformats.org/officeDocument/2006/relationships/hyperlink" Target="https://enzyme.expasy.org/EC/2.6.1.9" TargetMode="External"/><Relationship Id="rId3278" Type="http://schemas.openxmlformats.org/officeDocument/2006/relationships/hyperlink" Target="https://www.genome.jp/entry/C00002" TargetMode="External"/><Relationship Id="rId199" Type="http://schemas.openxmlformats.org/officeDocument/2006/relationships/hyperlink" Target="https://www.genome.jp/entry/C00135" TargetMode="External"/><Relationship Id="rId2087" Type="http://schemas.openxmlformats.org/officeDocument/2006/relationships/hyperlink" Target="https://enzyme.expasy.org/EC/2.7.7.7" TargetMode="External"/><Relationship Id="rId2294" Type="http://schemas.openxmlformats.org/officeDocument/2006/relationships/hyperlink" Target="https://enzyme.expasy.org/EC/3.1.3.7" TargetMode="External"/><Relationship Id="rId3138" Type="http://schemas.openxmlformats.org/officeDocument/2006/relationships/hyperlink" Target="https://www.genome.jp/entry/C00002" TargetMode="External"/><Relationship Id="rId3345" Type="http://schemas.openxmlformats.org/officeDocument/2006/relationships/hyperlink" Target="https://www.genome.jp/entry/C00008" TargetMode="External"/><Relationship Id="rId266" Type="http://schemas.openxmlformats.org/officeDocument/2006/relationships/hyperlink" Target="https://www.genome.jp/entry/1.1.1.27" TargetMode="External"/><Relationship Id="rId473" Type="http://schemas.openxmlformats.org/officeDocument/2006/relationships/hyperlink" Target="https://www.genome.jp/entry/1.17.4.1" TargetMode="External"/><Relationship Id="rId680" Type="http://schemas.openxmlformats.org/officeDocument/2006/relationships/hyperlink" Target="https://www.genome.jp/entry/R00936" TargetMode="External"/><Relationship Id="rId2154" Type="http://schemas.openxmlformats.org/officeDocument/2006/relationships/hyperlink" Target="https://www.genome.jp/entry/C00677" TargetMode="External"/><Relationship Id="rId2361" Type="http://schemas.openxmlformats.org/officeDocument/2006/relationships/hyperlink" Target="https://www.genome.jp/entry/C06126" TargetMode="External"/><Relationship Id="rId3205" Type="http://schemas.openxmlformats.org/officeDocument/2006/relationships/hyperlink" Target="https://www.genome.jp/entry/C00020" TargetMode="External"/><Relationship Id="rId3412" Type="http://schemas.openxmlformats.org/officeDocument/2006/relationships/hyperlink" Target="https://enzyme.expasy.org/EC/7.1.2.1" TargetMode="External"/><Relationship Id="rId126" Type="http://schemas.openxmlformats.org/officeDocument/2006/relationships/hyperlink" Target="https://enzyme.expasy.org/EC/1.1.1.100" TargetMode="External"/><Relationship Id="rId333" Type="http://schemas.openxmlformats.org/officeDocument/2006/relationships/hyperlink" Target="https://www.genome.jp/entry/C04232" TargetMode="External"/><Relationship Id="rId540" Type="http://schemas.openxmlformats.org/officeDocument/2006/relationships/hyperlink" Target="https://www.genome.jp/entry/1.2.1.10" TargetMode="External"/><Relationship Id="rId1170" Type="http://schemas.openxmlformats.org/officeDocument/2006/relationships/hyperlink" Target="https://enzyme.expasy.org/EC/2.3.1.179" TargetMode="External"/><Relationship Id="rId2014" Type="http://schemas.openxmlformats.org/officeDocument/2006/relationships/hyperlink" Target="https://www.genome.jp/entry/C00013" TargetMode="External"/><Relationship Id="rId2221" Type="http://schemas.openxmlformats.org/officeDocument/2006/relationships/hyperlink" Target="https://enzyme.expasy.org/EC/3.1.1.96" TargetMode="External"/><Relationship Id="rId1030" Type="http://schemas.openxmlformats.org/officeDocument/2006/relationships/hyperlink" Target="https://enzyme.expasy.org/EC/2.3.1.15" TargetMode="External"/><Relationship Id="rId400" Type="http://schemas.openxmlformats.org/officeDocument/2006/relationships/hyperlink" Target="https://www.genome.jp/entry/C21750" TargetMode="External"/><Relationship Id="rId1987" Type="http://schemas.openxmlformats.org/officeDocument/2006/relationships/hyperlink" Target="https://www.genome.jp/entry/C20864" TargetMode="External"/><Relationship Id="rId1847" Type="http://schemas.openxmlformats.org/officeDocument/2006/relationships/hyperlink" Target="https://www.genome.jp/entry/C00008" TargetMode="External"/><Relationship Id="rId1707" Type="http://schemas.openxmlformats.org/officeDocument/2006/relationships/hyperlink" Target="https://www.genome.jp/entry/C16633" TargetMode="External"/><Relationship Id="rId3062" Type="http://schemas.openxmlformats.org/officeDocument/2006/relationships/hyperlink" Target="https://www.genome.jp/entry/C00117" TargetMode="External"/><Relationship Id="rId190" Type="http://schemas.openxmlformats.org/officeDocument/2006/relationships/hyperlink" Target="https://enzyme.expasy.org/EC/1.1.1.23" TargetMode="External"/><Relationship Id="rId1914" Type="http://schemas.openxmlformats.org/officeDocument/2006/relationships/hyperlink" Target="https://www.genome.jp/entry/C00201" TargetMode="External"/><Relationship Id="rId2688" Type="http://schemas.openxmlformats.org/officeDocument/2006/relationships/hyperlink" Target="https://enzyme.expasy.org/EC/3.6.1.41" TargetMode="External"/><Relationship Id="rId2895" Type="http://schemas.openxmlformats.org/officeDocument/2006/relationships/hyperlink" Target="https://www.genome.jp/entry/C20904" TargetMode="External"/><Relationship Id="rId867" Type="http://schemas.openxmlformats.org/officeDocument/2006/relationships/hyperlink" Target="https://www.genome.jp/entry/C00019" TargetMode="External"/><Relationship Id="rId1497" Type="http://schemas.openxmlformats.org/officeDocument/2006/relationships/hyperlink" Target="https://www.genome.jp/entry/2.6.1.42" TargetMode="External"/><Relationship Id="rId2548" Type="http://schemas.openxmlformats.org/officeDocument/2006/relationships/hyperlink" Target="https://www.genome.jp/entry/C02323" TargetMode="External"/><Relationship Id="rId2755" Type="http://schemas.openxmlformats.org/officeDocument/2006/relationships/hyperlink" Target="https://enzyme.expasy.org/EC/4.1.2.13" TargetMode="External"/><Relationship Id="rId2962" Type="http://schemas.openxmlformats.org/officeDocument/2006/relationships/hyperlink" Target="https://enzyme.expasy.org/EC/4.4.1.13" TargetMode="External"/><Relationship Id="rId727" Type="http://schemas.openxmlformats.org/officeDocument/2006/relationships/hyperlink" Target="https://www.genome.jp/entry/C02051" TargetMode="External"/><Relationship Id="rId934" Type="http://schemas.openxmlformats.org/officeDocument/2006/relationships/hyperlink" Target="https://www.genome.jp/entry/C00399" TargetMode="External"/><Relationship Id="rId1357" Type="http://schemas.openxmlformats.org/officeDocument/2006/relationships/hyperlink" Target="https://www.genome.jp/entry/2.4.2.2" TargetMode="External"/><Relationship Id="rId1564" Type="http://schemas.openxmlformats.org/officeDocument/2006/relationships/hyperlink" Target="https://www.genome.jp/entry/C00081" TargetMode="External"/><Relationship Id="rId1771" Type="http://schemas.openxmlformats.org/officeDocument/2006/relationships/hyperlink" Target="https://www.genome.jp/entry/C00074" TargetMode="External"/><Relationship Id="rId2408" Type="http://schemas.openxmlformats.org/officeDocument/2006/relationships/hyperlink" Target="https://enzyme.expasy.org/EC/3.2.1.22" TargetMode="External"/><Relationship Id="rId2615" Type="http://schemas.openxmlformats.org/officeDocument/2006/relationships/hyperlink" Target="https://enzyme.expasy.org/EC/3.5.1.4" TargetMode="External"/><Relationship Id="rId2822" Type="http://schemas.openxmlformats.org/officeDocument/2006/relationships/hyperlink" Target="https://www.genome.jp/entry/C03506" TargetMode="External"/><Relationship Id="rId63" Type="http://schemas.openxmlformats.org/officeDocument/2006/relationships/hyperlink" Target="https://www.genome.jp/entry/R08557" TargetMode="External"/><Relationship Id="rId1217" Type="http://schemas.openxmlformats.org/officeDocument/2006/relationships/hyperlink" Target="https://www.genome.jp/entry/C20375" TargetMode="External"/><Relationship Id="rId1424" Type="http://schemas.openxmlformats.org/officeDocument/2006/relationships/hyperlink" Target="https://www.genome.jp/entry/2.5.1.17" TargetMode="External"/><Relationship Id="rId1631" Type="http://schemas.openxmlformats.org/officeDocument/2006/relationships/hyperlink" Target="https://www.genome.jp/entry/C00008" TargetMode="External"/><Relationship Id="rId3389" Type="http://schemas.openxmlformats.org/officeDocument/2006/relationships/hyperlink" Target="https://www.genome.jp/entry/C00002" TargetMode="External"/><Relationship Id="rId2198" Type="http://schemas.openxmlformats.org/officeDocument/2006/relationships/hyperlink" Target="https://enzyme.expasy.org/EC/2.7.8.5" TargetMode="External"/><Relationship Id="rId3249" Type="http://schemas.openxmlformats.org/officeDocument/2006/relationships/hyperlink" Target="https://www.genome.jp/entry/C00020" TargetMode="External"/><Relationship Id="rId377" Type="http://schemas.openxmlformats.org/officeDocument/2006/relationships/hyperlink" Target="https://www.genome.jp/entry/C00342" TargetMode="External"/><Relationship Id="rId584" Type="http://schemas.openxmlformats.org/officeDocument/2006/relationships/hyperlink" Target="https://enzyme.expasy.org/EC/1.3.1.98" TargetMode="External"/><Relationship Id="rId2058" Type="http://schemas.openxmlformats.org/officeDocument/2006/relationships/hyperlink" Target="https://www.genome.jp/entry/C00459" TargetMode="External"/><Relationship Id="rId2265" Type="http://schemas.openxmlformats.org/officeDocument/2006/relationships/hyperlink" Target="https://www.genome.jp/entry/C00144" TargetMode="External"/><Relationship Id="rId3109" Type="http://schemas.openxmlformats.org/officeDocument/2006/relationships/hyperlink" Target="https://www.genome.jp/entry/C00092" TargetMode="External"/><Relationship Id="rId237" Type="http://schemas.openxmlformats.org/officeDocument/2006/relationships/hyperlink" Target="https://www.genome.jp/entry/R07406" TargetMode="External"/><Relationship Id="rId791" Type="http://schemas.openxmlformats.org/officeDocument/2006/relationships/hyperlink" Target="https://www.genome.jp/entry/C03023" TargetMode="External"/><Relationship Id="rId1074" Type="http://schemas.openxmlformats.org/officeDocument/2006/relationships/hyperlink" Target="https://www.genome.jp/entry/C00010" TargetMode="External"/><Relationship Id="rId2472" Type="http://schemas.openxmlformats.org/officeDocument/2006/relationships/hyperlink" Target="https://www.genome.jp/entry/G00124" TargetMode="External"/><Relationship Id="rId3316" Type="http://schemas.openxmlformats.org/officeDocument/2006/relationships/hyperlink" Target="https://enzyme.expasy.org/EC/6.3.4.15" TargetMode="External"/><Relationship Id="rId444" Type="http://schemas.openxmlformats.org/officeDocument/2006/relationships/hyperlink" Target="https://www.genome.jp/entry/R04294" TargetMode="External"/><Relationship Id="rId651" Type="http://schemas.openxmlformats.org/officeDocument/2006/relationships/hyperlink" Target="https://www.genome.jp/entry/R01251" TargetMode="External"/><Relationship Id="rId1281" Type="http://schemas.openxmlformats.org/officeDocument/2006/relationships/hyperlink" Target="https://www.genome.jp/entry/C03972" TargetMode="External"/><Relationship Id="rId2125" Type="http://schemas.openxmlformats.org/officeDocument/2006/relationships/hyperlink" Target="https://www.genome.jp/entry/C00013" TargetMode="External"/><Relationship Id="rId2332" Type="http://schemas.openxmlformats.org/officeDocument/2006/relationships/hyperlink" Target="https://www.genome.jp/entry/C00095" TargetMode="External"/><Relationship Id="rId304" Type="http://schemas.openxmlformats.org/officeDocument/2006/relationships/hyperlink" Target="https://www.genome.jp/entry/R00842" TargetMode="External"/><Relationship Id="rId511" Type="http://schemas.openxmlformats.org/officeDocument/2006/relationships/hyperlink" Target="https://www.genome.jp/entry/C03802" TargetMode="External"/><Relationship Id="rId1141" Type="http://schemas.openxmlformats.org/officeDocument/2006/relationships/hyperlink" Target="https://www.genome.jp/entry/2.3.1.16" TargetMode="External"/><Relationship Id="rId1001" Type="http://schemas.openxmlformats.org/officeDocument/2006/relationships/hyperlink" Target="https://www.genome.jp/entry/2.2.1.6" TargetMode="External"/><Relationship Id="rId1958" Type="http://schemas.openxmlformats.org/officeDocument/2006/relationships/hyperlink" Target="https://enzyme.expasy.org/EC/2.7.7.6" TargetMode="External"/><Relationship Id="rId3173" Type="http://schemas.openxmlformats.org/officeDocument/2006/relationships/hyperlink" Target="https://enzyme.expasy.org/EC/6.1.1.13" TargetMode="External"/><Relationship Id="rId3380" Type="http://schemas.openxmlformats.org/officeDocument/2006/relationships/hyperlink" Target="https://www.genome.jp/entry/C00002" TargetMode="External"/><Relationship Id="rId1818" Type="http://schemas.openxmlformats.org/officeDocument/2006/relationships/hyperlink" Target="https://www.genome.jp/entry/C00008" TargetMode="External"/><Relationship Id="rId3033" Type="http://schemas.openxmlformats.org/officeDocument/2006/relationships/hyperlink" Target="https://www.genome.jp/entry/C04916" TargetMode="External"/><Relationship Id="rId3240" Type="http://schemas.openxmlformats.org/officeDocument/2006/relationships/hyperlink" Target="https://www.genome.jp/entry/C00020" TargetMode="External"/><Relationship Id="rId161" Type="http://schemas.openxmlformats.org/officeDocument/2006/relationships/hyperlink" Target="https://www.genome.jp/entry/1.1.1.17" TargetMode="External"/><Relationship Id="rId2799" Type="http://schemas.openxmlformats.org/officeDocument/2006/relationships/hyperlink" Target="https://www.genome.jp/entry/C00074" TargetMode="External"/><Relationship Id="rId3100" Type="http://schemas.openxmlformats.org/officeDocument/2006/relationships/hyperlink" Target="https://www.genome.jp/entry/C00197" TargetMode="External"/><Relationship Id="rId978" Type="http://schemas.openxmlformats.org/officeDocument/2006/relationships/hyperlink" Target="https://www.genome.jp/entry/R04560" TargetMode="External"/><Relationship Id="rId2659" Type="http://schemas.openxmlformats.org/officeDocument/2006/relationships/hyperlink" Target="https://enzyme.expasy.org/EC/3.5.4.5" TargetMode="External"/><Relationship Id="rId2866" Type="http://schemas.openxmlformats.org/officeDocument/2006/relationships/hyperlink" Target="https://www.genome.jp/entry/C06055" TargetMode="External"/><Relationship Id="rId838" Type="http://schemas.openxmlformats.org/officeDocument/2006/relationships/hyperlink" Target="https://www.genome.jp/entry/C00019" TargetMode="External"/><Relationship Id="rId1468" Type="http://schemas.openxmlformats.org/officeDocument/2006/relationships/hyperlink" Target="https://www.genome.jp/entry/C00074" TargetMode="External"/><Relationship Id="rId1675" Type="http://schemas.openxmlformats.org/officeDocument/2006/relationships/hyperlink" Target="https://www.genome.jp/entry/C00035" TargetMode="External"/><Relationship Id="rId1882" Type="http://schemas.openxmlformats.org/officeDocument/2006/relationships/hyperlink" Target="https://enzyme.expasy.org/EC/2.7.7.18" TargetMode="External"/><Relationship Id="rId2519" Type="http://schemas.openxmlformats.org/officeDocument/2006/relationships/hyperlink" Target="https://enzyme.expasy.org/EC/3.2.1.26" TargetMode="External"/><Relationship Id="rId2726" Type="http://schemas.openxmlformats.org/officeDocument/2006/relationships/hyperlink" Target="https://www.genome.jp/entry/C00002" TargetMode="External"/><Relationship Id="rId1328" Type="http://schemas.openxmlformats.org/officeDocument/2006/relationships/hyperlink" Target="https://enzyme.expasy.org/EC/2.4.1.227" TargetMode="External"/><Relationship Id="rId1535" Type="http://schemas.openxmlformats.org/officeDocument/2006/relationships/hyperlink" Target="https://enzyme.expasy.org/EC/2.7.1.11" TargetMode="External"/><Relationship Id="rId2933" Type="http://schemas.openxmlformats.org/officeDocument/2006/relationships/hyperlink" Target="https://www.genome.jp/entry/C00441" TargetMode="External"/><Relationship Id="rId905" Type="http://schemas.openxmlformats.org/officeDocument/2006/relationships/hyperlink" Target="https://www.genome.jp/entry/R00597" TargetMode="External"/><Relationship Id="rId1742" Type="http://schemas.openxmlformats.org/officeDocument/2006/relationships/hyperlink" Target="https://enzyme.expasy.org/EC/2.7.11.33" TargetMode="External"/><Relationship Id="rId34" Type="http://schemas.openxmlformats.org/officeDocument/2006/relationships/hyperlink" Target="https://www.genome.jp/entry/C06611" TargetMode="External"/><Relationship Id="rId1602" Type="http://schemas.openxmlformats.org/officeDocument/2006/relationships/hyperlink" Target="https://www.genome.jp/entry/C00008" TargetMode="External"/><Relationship Id="rId488" Type="http://schemas.openxmlformats.org/officeDocument/2006/relationships/hyperlink" Target="https://www.genome.jp/entry/1.17.4.2" TargetMode="External"/><Relationship Id="rId695" Type="http://schemas.openxmlformats.org/officeDocument/2006/relationships/hyperlink" Target="https://www.genome.jp/entry/R02235" TargetMode="External"/><Relationship Id="rId2169" Type="http://schemas.openxmlformats.org/officeDocument/2006/relationships/hyperlink" Target="https://www.genome.jp/entry/C11039" TargetMode="External"/><Relationship Id="rId2376" Type="http://schemas.openxmlformats.org/officeDocument/2006/relationships/hyperlink" Target="https://www.genome.jp/entry/G01275" TargetMode="External"/><Relationship Id="rId2583" Type="http://schemas.openxmlformats.org/officeDocument/2006/relationships/hyperlink" Target="https://www.genome.jp/entry/C00064" TargetMode="External"/><Relationship Id="rId2790" Type="http://schemas.openxmlformats.org/officeDocument/2006/relationships/hyperlink" Target="https://www.genome.jp/entry/C06019" TargetMode="External"/><Relationship Id="rId3427" Type="http://schemas.openxmlformats.org/officeDocument/2006/relationships/hyperlink" Target="https://www.genome.jp/entry/C00008" TargetMode="External"/><Relationship Id="rId348" Type="http://schemas.openxmlformats.org/officeDocument/2006/relationships/hyperlink" Target="https://www.genome.jp/entry/C00361" TargetMode="External"/><Relationship Id="rId555" Type="http://schemas.openxmlformats.org/officeDocument/2006/relationships/hyperlink" Target="https://www.genome.jp/entry/1.2.3.3" TargetMode="External"/><Relationship Id="rId762" Type="http://schemas.openxmlformats.org/officeDocument/2006/relationships/hyperlink" Target="https://www.genome.jp/entry/C00343" TargetMode="External"/><Relationship Id="rId1185" Type="http://schemas.openxmlformats.org/officeDocument/2006/relationships/hyperlink" Target="https://www.genome.jp/entry/2.3.1.179" TargetMode="External"/><Relationship Id="rId1392" Type="http://schemas.openxmlformats.org/officeDocument/2006/relationships/hyperlink" Target="https://www.genome.jp/entry/R00190" TargetMode="External"/><Relationship Id="rId2029" Type="http://schemas.openxmlformats.org/officeDocument/2006/relationships/hyperlink" Target="https://www.genome.jp/entry/C00013" TargetMode="External"/><Relationship Id="rId2236" Type="http://schemas.openxmlformats.org/officeDocument/2006/relationships/hyperlink" Target="https://enzyme.expasy.org/EC/3.1.26.8" TargetMode="External"/><Relationship Id="rId2443" Type="http://schemas.openxmlformats.org/officeDocument/2006/relationships/hyperlink" Target="https://www.genome.jp/entry/C00124" TargetMode="External"/><Relationship Id="rId2650" Type="http://schemas.openxmlformats.org/officeDocument/2006/relationships/hyperlink" Target="https://enzyme.expasy.org/EC/3.5.4.4" TargetMode="External"/><Relationship Id="rId208" Type="http://schemas.openxmlformats.org/officeDocument/2006/relationships/hyperlink" Target="https://www.genome.jp/entry/C00493" TargetMode="External"/><Relationship Id="rId415" Type="http://schemas.openxmlformats.org/officeDocument/2006/relationships/hyperlink" Target="https://www.genome.jp/entry/C01346" TargetMode="External"/><Relationship Id="rId622" Type="http://schemas.openxmlformats.org/officeDocument/2006/relationships/hyperlink" Target="https://www.genome.jp/entry/C05167" TargetMode="External"/><Relationship Id="rId1045" Type="http://schemas.openxmlformats.org/officeDocument/2006/relationships/hyperlink" Target="https://enzyme.expasy.org/EC/2.3.1.157" TargetMode="External"/><Relationship Id="rId1252" Type="http://schemas.openxmlformats.org/officeDocument/2006/relationships/hyperlink" Target="https://www.genome.jp/entry/C00153" TargetMode="External"/><Relationship Id="rId2303" Type="http://schemas.openxmlformats.org/officeDocument/2006/relationships/hyperlink" Target="https://enzyme.expasy.org/EC/3.1.3.7" TargetMode="External"/><Relationship Id="rId2510" Type="http://schemas.openxmlformats.org/officeDocument/2006/relationships/hyperlink" Target="https://enzyme.expasy.org/EC/3.2.1.26" TargetMode="External"/><Relationship Id="rId1112" Type="http://schemas.openxmlformats.org/officeDocument/2006/relationships/hyperlink" Target="https://www.genome.jp/entry/R07891" TargetMode="External"/><Relationship Id="rId3077" Type="http://schemas.openxmlformats.org/officeDocument/2006/relationships/hyperlink" Target="https://www.genome.jp/entry/C00092" TargetMode="External"/><Relationship Id="rId3284" Type="http://schemas.openxmlformats.org/officeDocument/2006/relationships/hyperlink" Target="https://www.genome.jp/entry/C00002" TargetMode="External"/><Relationship Id="rId1929" Type="http://schemas.openxmlformats.org/officeDocument/2006/relationships/hyperlink" Target="https://www.genome.jp/entry/C00075" TargetMode="External"/><Relationship Id="rId2093" Type="http://schemas.openxmlformats.org/officeDocument/2006/relationships/hyperlink" Target="https://enzyme.expasy.org/EC/2.7.7.7" TargetMode="External"/><Relationship Id="rId3144" Type="http://schemas.openxmlformats.org/officeDocument/2006/relationships/hyperlink" Target="https://www.genome.jp/entry/C00002" TargetMode="External"/><Relationship Id="rId3351" Type="http://schemas.openxmlformats.org/officeDocument/2006/relationships/hyperlink" Target="https://www.genome.jp/entry/C00020" TargetMode="External"/><Relationship Id="rId272" Type="http://schemas.openxmlformats.org/officeDocument/2006/relationships/hyperlink" Target="https://www.genome.jp/entry/R01773" TargetMode="External"/><Relationship Id="rId2160" Type="http://schemas.openxmlformats.org/officeDocument/2006/relationships/hyperlink" Target="https://www.genome.jp/entry/C00286" TargetMode="External"/><Relationship Id="rId3004" Type="http://schemas.openxmlformats.org/officeDocument/2006/relationships/hyperlink" Target="https://enzyme.expasy.org/EC/5.1.3.2" TargetMode="External"/><Relationship Id="rId3211" Type="http://schemas.openxmlformats.org/officeDocument/2006/relationships/hyperlink" Target="https://www.genome.jp/entry/C00020" TargetMode="External"/><Relationship Id="rId132" Type="http://schemas.openxmlformats.org/officeDocument/2006/relationships/hyperlink" Target="https://www.genome.jp/entry/1.1.1.100" TargetMode="External"/><Relationship Id="rId2020" Type="http://schemas.openxmlformats.org/officeDocument/2006/relationships/hyperlink" Target="https://www.genome.jp/entry/C00013" TargetMode="External"/><Relationship Id="rId1579" Type="http://schemas.openxmlformats.org/officeDocument/2006/relationships/hyperlink" Target="https://enzyme.expasy.org/EC/2.7.1.121" TargetMode="External"/><Relationship Id="rId2977" Type="http://schemas.openxmlformats.org/officeDocument/2006/relationships/hyperlink" Target="https://enzyme.expasy.org/EC/4.4.1.13" TargetMode="External"/><Relationship Id="rId949" Type="http://schemas.openxmlformats.org/officeDocument/2006/relationships/hyperlink" Target="https://www.genome.jp/entry/C17562" TargetMode="External"/><Relationship Id="rId1786" Type="http://schemas.openxmlformats.org/officeDocument/2006/relationships/hyperlink" Target="https://www.genome.jp/entry/C00002" TargetMode="External"/><Relationship Id="rId1993" Type="http://schemas.openxmlformats.org/officeDocument/2006/relationships/hyperlink" Target="https://www.genome.jp/entry/C00013" TargetMode="External"/><Relationship Id="rId2837" Type="http://schemas.openxmlformats.org/officeDocument/2006/relationships/hyperlink" Target="https://www.genome.jp/entry/C00691" TargetMode="External"/><Relationship Id="rId78" Type="http://schemas.openxmlformats.org/officeDocument/2006/relationships/hyperlink" Target="https://www.genome.jp/entry/R00624" TargetMode="External"/><Relationship Id="rId809" Type="http://schemas.openxmlformats.org/officeDocument/2006/relationships/hyperlink" Target="https://www.genome.jp/entry/2.1.1.14" TargetMode="External"/><Relationship Id="rId1439" Type="http://schemas.openxmlformats.org/officeDocument/2006/relationships/hyperlink" Target="https://www.genome.jp/entry/2.5.1.3" TargetMode="External"/><Relationship Id="rId1646" Type="http://schemas.openxmlformats.org/officeDocument/2006/relationships/hyperlink" Target="https://www.genome.jp/entry/C00008" TargetMode="External"/><Relationship Id="rId1853" Type="http://schemas.openxmlformats.org/officeDocument/2006/relationships/hyperlink" Target="https://enzyme.expasy.org/EC/2.7.4.8" TargetMode="External"/><Relationship Id="rId2904" Type="http://schemas.openxmlformats.org/officeDocument/2006/relationships/hyperlink" Target="https://www.genome.jp/entry/C00025" TargetMode="External"/><Relationship Id="rId1506" Type="http://schemas.openxmlformats.org/officeDocument/2006/relationships/hyperlink" Target="https://www.genome.jp/entry/R00694" TargetMode="External"/><Relationship Id="rId1713" Type="http://schemas.openxmlformats.org/officeDocument/2006/relationships/hyperlink" Target="https://www.genome.jp/entry/C00002" TargetMode="External"/><Relationship Id="rId1920" Type="http://schemas.openxmlformats.org/officeDocument/2006/relationships/hyperlink" Target="https://www.genome.jp/entry/C00002" TargetMode="External"/><Relationship Id="rId599" Type="http://schemas.openxmlformats.org/officeDocument/2006/relationships/hyperlink" Target="https://enzyme.expasy.org/EC/1.4.1.13" TargetMode="External"/><Relationship Id="rId2487" Type="http://schemas.openxmlformats.org/officeDocument/2006/relationships/hyperlink" Target="https://www.genome.jp/entry/G10531" TargetMode="External"/><Relationship Id="rId2694" Type="http://schemas.openxmlformats.org/officeDocument/2006/relationships/hyperlink" Target="https://enzyme.expasy.org/EC/3.6.4.12" TargetMode="External"/><Relationship Id="rId459" Type="http://schemas.openxmlformats.org/officeDocument/2006/relationships/hyperlink" Target="https://www.genome.jp/entry/R02019" TargetMode="External"/><Relationship Id="rId666" Type="http://schemas.openxmlformats.org/officeDocument/2006/relationships/hyperlink" Target="https://www.genome.jp/entry/R01224" TargetMode="External"/><Relationship Id="rId873" Type="http://schemas.openxmlformats.org/officeDocument/2006/relationships/hyperlink" Target="https://www.genome.jp/entry/C17552" TargetMode="External"/><Relationship Id="rId1089" Type="http://schemas.openxmlformats.org/officeDocument/2006/relationships/hyperlink" Target="https://www.genome.jp/entry/C00010" TargetMode="External"/><Relationship Id="rId1296" Type="http://schemas.openxmlformats.org/officeDocument/2006/relationships/hyperlink" Target="https://www.genome.jp/entry/G10495" TargetMode="External"/><Relationship Id="rId2347" Type="http://schemas.openxmlformats.org/officeDocument/2006/relationships/hyperlink" Target="https://www.genome.jp/entry/C00137" TargetMode="External"/><Relationship Id="rId2554" Type="http://schemas.openxmlformats.org/officeDocument/2006/relationships/hyperlink" Target="https://www.genome.jp/entry/C00031" TargetMode="External"/><Relationship Id="rId319" Type="http://schemas.openxmlformats.org/officeDocument/2006/relationships/hyperlink" Target="https://www.genome.jp/entry/C00027" TargetMode="External"/><Relationship Id="rId526" Type="http://schemas.openxmlformats.org/officeDocument/2006/relationships/hyperlink" Target="https://www.genome.jp/entry/C00063" TargetMode="External"/><Relationship Id="rId1156" Type="http://schemas.openxmlformats.org/officeDocument/2006/relationships/hyperlink" Target="https://www.genome.jp/entry/2.3.1.16" TargetMode="External"/><Relationship Id="rId1363" Type="http://schemas.openxmlformats.org/officeDocument/2006/relationships/hyperlink" Target="https://www.genome.jp/entry/2.4.2.2" TargetMode="External"/><Relationship Id="rId2207" Type="http://schemas.openxmlformats.org/officeDocument/2006/relationships/hyperlink" Target="https://enzyme.expasy.org/EC/2.8.1.13" TargetMode="External"/><Relationship Id="rId2761" Type="http://schemas.openxmlformats.org/officeDocument/2006/relationships/hyperlink" Target="https://enzyme.expasy.org/EC/4.1.2.13" TargetMode="External"/><Relationship Id="rId733" Type="http://schemas.openxmlformats.org/officeDocument/2006/relationships/hyperlink" Target="https://enzyme.expasy.org/EC/1.8.1.4" TargetMode="External"/><Relationship Id="rId940" Type="http://schemas.openxmlformats.org/officeDocument/2006/relationships/hyperlink" Target="https://www.genome.jp/entry/R08781" TargetMode="External"/><Relationship Id="rId1016" Type="http://schemas.openxmlformats.org/officeDocument/2006/relationships/hyperlink" Target="https://www.genome.jp/entry/2.2.1.6" TargetMode="External"/><Relationship Id="rId1570" Type="http://schemas.openxmlformats.org/officeDocument/2006/relationships/hyperlink" Target="https://www.genome.jp/entry/2.7.1.121" TargetMode="External"/><Relationship Id="rId2414" Type="http://schemas.openxmlformats.org/officeDocument/2006/relationships/hyperlink" Target="https://enzyme.expasy.org/EC/3.2.1.22" TargetMode="External"/><Relationship Id="rId2621" Type="http://schemas.openxmlformats.org/officeDocument/2006/relationships/hyperlink" Target="https://enzyme.expasy.org/EC/3.5.1.4" TargetMode="External"/><Relationship Id="rId800" Type="http://schemas.openxmlformats.org/officeDocument/2006/relationships/hyperlink" Target="https://www.genome.jp/entry/R07607" TargetMode="External"/><Relationship Id="rId1223" Type="http://schemas.openxmlformats.org/officeDocument/2006/relationships/hyperlink" Target="https://www.genome.jp/entry/C05744" TargetMode="External"/><Relationship Id="rId1430" Type="http://schemas.openxmlformats.org/officeDocument/2006/relationships/hyperlink" Target="https://enzyme.expasy.org/EC/2.5.1.3" TargetMode="External"/><Relationship Id="rId3188" Type="http://schemas.openxmlformats.org/officeDocument/2006/relationships/hyperlink" Target="https://enzyme.expasy.org/EC/6.1.1.13" TargetMode="External"/><Relationship Id="rId3395" Type="http://schemas.openxmlformats.org/officeDocument/2006/relationships/hyperlink" Target="https://www.genome.jp/entry/C00014" TargetMode="External"/><Relationship Id="rId3048" Type="http://schemas.openxmlformats.org/officeDocument/2006/relationships/hyperlink" Target="https://www.genome.jp/entry/C00085" TargetMode="External"/><Relationship Id="rId3255" Type="http://schemas.openxmlformats.org/officeDocument/2006/relationships/hyperlink" Target="https://www.genome.jp/entry/C00020" TargetMode="External"/><Relationship Id="rId176" Type="http://schemas.openxmlformats.org/officeDocument/2006/relationships/hyperlink" Target="https://www.genome.jp/entry/1.1.1.18" TargetMode="External"/><Relationship Id="rId383" Type="http://schemas.openxmlformats.org/officeDocument/2006/relationships/hyperlink" Target="https://www.genome.jp/entry/R02019" TargetMode="External"/><Relationship Id="rId590" Type="http://schemas.openxmlformats.org/officeDocument/2006/relationships/hyperlink" Target="https://www.genome.jp/entry/1.3.1.98" TargetMode="External"/><Relationship Id="rId2064" Type="http://schemas.openxmlformats.org/officeDocument/2006/relationships/hyperlink" Target="https://www.genome.jp/entry/C00677" TargetMode="External"/><Relationship Id="rId2271" Type="http://schemas.openxmlformats.org/officeDocument/2006/relationships/hyperlink" Target="https://www.genome.jp/entry/C00655" TargetMode="External"/><Relationship Id="rId3115" Type="http://schemas.openxmlformats.org/officeDocument/2006/relationships/hyperlink" Target="https://www.genome.jp/entry/C00673" TargetMode="External"/><Relationship Id="rId3322" Type="http://schemas.openxmlformats.org/officeDocument/2006/relationships/hyperlink" Target="https://enzyme.expasy.org/EC/6.3.4.18" TargetMode="External"/><Relationship Id="rId243" Type="http://schemas.openxmlformats.org/officeDocument/2006/relationships/hyperlink" Target="https://www.genome.jp/entry/C00186" TargetMode="External"/><Relationship Id="rId450" Type="http://schemas.openxmlformats.org/officeDocument/2006/relationships/hyperlink" Target="https://www.genome.jp/entry/C00206" TargetMode="External"/><Relationship Id="rId1080" Type="http://schemas.openxmlformats.org/officeDocument/2006/relationships/hyperlink" Target="https://enzyme.expasy.org/EC/2.3.1.16" TargetMode="External"/><Relationship Id="rId2131" Type="http://schemas.openxmlformats.org/officeDocument/2006/relationships/hyperlink" Target="https://www.genome.jp/entry/C00013" TargetMode="External"/><Relationship Id="rId103" Type="http://schemas.openxmlformats.org/officeDocument/2006/relationships/hyperlink" Target="https://www.genome.jp/entry/R04533" TargetMode="External"/><Relationship Id="rId310" Type="http://schemas.openxmlformats.org/officeDocument/2006/relationships/hyperlink" Target="https://www.genome.jp/entry/C00093" TargetMode="External"/><Relationship Id="rId1897" Type="http://schemas.openxmlformats.org/officeDocument/2006/relationships/hyperlink" Target="https://www.genome.jp/entry/C00013" TargetMode="External"/><Relationship Id="rId2948" Type="http://schemas.openxmlformats.org/officeDocument/2006/relationships/hyperlink" Target="https://www.genome.jp/entry/C02882" TargetMode="External"/><Relationship Id="rId1757" Type="http://schemas.openxmlformats.org/officeDocument/2006/relationships/hyperlink" Target="https://www.genome.jp/entry/C00008" TargetMode="External"/><Relationship Id="rId1964" Type="http://schemas.openxmlformats.org/officeDocument/2006/relationships/hyperlink" Target="https://enzyme.expasy.org/EC/2.7.7.6" TargetMode="External"/><Relationship Id="rId2808" Type="http://schemas.openxmlformats.org/officeDocument/2006/relationships/hyperlink" Target="https://www.genome.jp/entry/C16698" TargetMode="External"/><Relationship Id="rId49" Type="http://schemas.openxmlformats.org/officeDocument/2006/relationships/hyperlink" Target="https://www.genome.jp/entry/C02909" TargetMode="External"/><Relationship Id="rId1617" Type="http://schemas.openxmlformats.org/officeDocument/2006/relationships/hyperlink" Target="https://www.genome.jp/entry/C00615" TargetMode="External"/><Relationship Id="rId1824" Type="http://schemas.openxmlformats.org/officeDocument/2006/relationships/hyperlink" Target="https://www.genome.jp/entry/C00008" TargetMode="External"/><Relationship Id="rId2598" Type="http://schemas.openxmlformats.org/officeDocument/2006/relationships/hyperlink" Target="https://www.genome.jp/entry/C02999" TargetMode="External"/><Relationship Id="rId777" Type="http://schemas.openxmlformats.org/officeDocument/2006/relationships/hyperlink" Target="https://www.genome.jp/entry/C00006" TargetMode="External"/><Relationship Id="rId984" Type="http://schemas.openxmlformats.org/officeDocument/2006/relationships/hyperlink" Target="https://www.genome.jp/entry/C02430" TargetMode="External"/><Relationship Id="rId2458" Type="http://schemas.openxmlformats.org/officeDocument/2006/relationships/hyperlink" Target="https://www.genome.jp/entry/C00267" TargetMode="External"/><Relationship Id="rId2665" Type="http://schemas.openxmlformats.org/officeDocument/2006/relationships/hyperlink" Target="https://www.genome.jp/entry/C00378" TargetMode="External"/><Relationship Id="rId2872" Type="http://schemas.openxmlformats.org/officeDocument/2006/relationships/hyperlink" Target="https://enzyme.expasy.org/EC/4.3.1.17" TargetMode="External"/><Relationship Id="rId637" Type="http://schemas.openxmlformats.org/officeDocument/2006/relationships/hyperlink" Target="https://www.genome.jp/entry/1.4.3.5" TargetMode="External"/><Relationship Id="rId844" Type="http://schemas.openxmlformats.org/officeDocument/2006/relationships/hyperlink" Target="https://enzyme.expasy.org/EC/2.1.1.182" TargetMode="External"/><Relationship Id="rId1267" Type="http://schemas.openxmlformats.org/officeDocument/2006/relationships/hyperlink" Target="https://www.genome.jp/entry/C00100" TargetMode="External"/><Relationship Id="rId1474" Type="http://schemas.openxmlformats.org/officeDocument/2006/relationships/hyperlink" Target="https://www.genome.jp/entry/C19847" TargetMode="External"/><Relationship Id="rId1681" Type="http://schemas.openxmlformats.org/officeDocument/2006/relationships/hyperlink" Target="https://www.genome.jp/entry/C00015" TargetMode="External"/><Relationship Id="rId2318" Type="http://schemas.openxmlformats.org/officeDocument/2006/relationships/hyperlink" Target="https://enzyme.expasy.org/EC/3.2.1.20" TargetMode="External"/><Relationship Id="rId2525" Type="http://schemas.openxmlformats.org/officeDocument/2006/relationships/hyperlink" Target="https://enzyme.expasy.org/EC/3.2.1.86" TargetMode="External"/><Relationship Id="rId2732" Type="http://schemas.openxmlformats.org/officeDocument/2006/relationships/hyperlink" Target="https://www.genome.jp/entry/C01302" TargetMode="External"/><Relationship Id="rId704" Type="http://schemas.openxmlformats.org/officeDocument/2006/relationships/hyperlink" Target="https://www.genome.jp/entry/1.5.1.3" TargetMode="External"/><Relationship Id="rId911" Type="http://schemas.openxmlformats.org/officeDocument/2006/relationships/hyperlink" Target="https://www.genome.jp/entry/C02583" TargetMode="External"/><Relationship Id="rId1127" Type="http://schemas.openxmlformats.org/officeDocument/2006/relationships/hyperlink" Target="https://www.genome.jp/entry/R07937" TargetMode="External"/><Relationship Id="rId1334" Type="http://schemas.openxmlformats.org/officeDocument/2006/relationships/hyperlink" Target="https://www.genome.jp/entry/R06174" TargetMode="External"/><Relationship Id="rId1541" Type="http://schemas.openxmlformats.org/officeDocument/2006/relationships/hyperlink" Target="https://enzyme.expasy.org/EC/2.7.1.11" TargetMode="External"/><Relationship Id="rId40" Type="http://schemas.openxmlformats.org/officeDocument/2006/relationships/hyperlink" Target="https://www.genome.jp/entry/C16348" TargetMode="External"/><Relationship Id="rId1401" Type="http://schemas.openxmlformats.org/officeDocument/2006/relationships/hyperlink" Target="https://www.genome.jp/entry/C00106" TargetMode="External"/><Relationship Id="rId3299" Type="http://schemas.openxmlformats.org/officeDocument/2006/relationships/hyperlink" Target="https://www.genome.jp/entry/C00002" TargetMode="External"/><Relationship Id="rId3159" Type="http://schemas.openxmlformats.org/officeDocument/2006/relationships/hyperlink" Target="https://www.genome.jp/entry/C00002" TargetMode="External"/><Relationship Id="rId3366" Type="http://schemas.openxmlformats.org/officeDocument/2006/relationships/hyperlink" Target="https://www.genome.jp/entry/C00008" TargetMode="External"/><Relationship Id="rId287" Type="http://schemas.openxmlformats.org/officeDocument/2006/relationships/hyperlink" Target="https://www.genome.jp/entry/C00199" TargetMode="External"/><Relationship Id="rId494" Type="http://schemas.openxmlformats.org/officeDocument/2006/relationships/hyperlink" Target="https://www.genome.jp/entry/R02020" TargetMode="External"/><Relationship Id="rId2175" Type="http://schemas.openxmlformats.org/officeDocument/2006/relationships/hyperlink" Target="https://www.genome.jp/entry/C02211" TargetMode="External"/><Relationship Id="rId2382" Type="http://schemas.openxmlformats.org/officeDocument/2006/relationships/hyperlink" Target="https://www.genome.jp/entry/G00497" TargetMode="External"/><Relationship Id="rId3019" Type="http://schemas.openxmlformats.org/officeDocument/2006/relationships/hyperlink" Target="https://enzyme.expasy.org/EC/5.2.1.8" TargetMode="External"/><Relationship Id="rId3226" Type="http://schemas.openxmlformats.org/officeDocument/2006/relationships/hyperlink" Target="https://enzyme.expasy.org/EC/6.1.1.20" TargetMode="External"/><Relationship Id="rId147" Type="http://schemas.openxmlformats.org/officeDocument/2006/relationships/hyperlink" Target="https://www.genome.jp/entry/R10120" TargetMode="External"/><Relationship Id="rId354" Type="http://schemas.openxmlformats.org/officeDocument/2006/relationships/hyperlink" Target="https://www.genome.jp/entry/C00342" TargetMode="External"/><Relationship Id="rId1191" Type="http://schemas.openxmlformats.org/officeDocument/2006/relationships/hyperlink" Target="https://www.genome.jp/entry/R04960" TargetMode="External"/><Relationship Id="rId2035" Type="http://schemas.openxmlformats.org/officeDocument/2006/relationships/hyperlink" Target="https://www.genome.jp/entry/C00013" TargetMode="External"/><Relationship Id="rId3433" Type="http://schemas.openxmlformats.org/officeDocument/2006/relationships/hyperlink" Target="https://www.genome.jp/entry/C00008" TargetMode="External"/><Relationship Id="rId561" Type="http://schemas.openxmlformats.org/officeDocument/2006/relationships/hyperlink" Target="https://www.genome.jp/entry/R00207" TargetMode="External"/><Relationship Id="rId2242" Type="http://schemas.openxmlformats.org/officeDocument/2006/relationships/hyperlink" Target="https://www.genome.jp/entry/C05345" TargetMode="External"/><Relationship Id="rId214" Type="http://schemas.openxmlformats.org/officeDocument/2006/relationships/hyperlink" Target="https://www.genome.jp/entry/C22438" TargetMode="External"/><Relationship Id="rId421" Type="http://schemas.openxmlformats.org/officeDocument/2006/relationships/hyperlink" Target="https://www.genome.jp/entry/C00035" TargetMode="External"/><Relationship Id="rId1051" Type="http://schemas.openxmlformats.org/officeDocument/2006/relationships/hyperlink" Target="https://www.genome.jp/entry/2.3.1.16" TargetMode="External"/><Relationship Id="rId2102" Type="http://schemas.openxmlformats.org/officeDocument/2006/relationships/hyperlink" Target="https://enzyme.expasy.org/EC/2.7.7.7" TargetMode="External"/><Relationship Id="rId1868" Type="http://schemas.openxmlformats.org/officeDocument/2006/relationships/hyperlink" Target="https://enzyme.expasy.org/EC/2.7.6.1" TargetMode="External"/><Relationship Id="rId2919" Type="http://schemas.openxmlformats.org/officeDocument/2006/relationships/hyperlink" Target="https://www.genome.jp/entry/C04677" TargetMode="External"/><Relationship Id="rId3083" Type="http://schemas.openxmlformats.org/officeDocument/2006/relationships/hyperlink" Target="https://www.genome.jp/entry/C01172" TargetMode="External"/><Relationship Id="rId3290" Type="http://schemas.openxmlformats.org/officeDocument/2006/relationships/hyperlink" Target="https://www.genome.jp/entry/C00002" TargetMode="External"/><Relationship Id="rId1728" Type="http://schemas.openxmlformats.org/officeDocument/2006/relationships/hyperlink" Target="https://www.genome.jp/entry/C00002" TargetMode="External"/><Relationship Id="rId1935" Type="http://schemas.openxmlformats.org/officeDocument/2006/relationships/hyperlink" Target="https://www.genome.jp/entry/C00201" TargetMode="External"/><Relationship Id="rId3150" Type="http://schemas.openxmlformats.org/officeDocument/2006/relationships/hyperlink" Target="https://www.genome.jp/entry/C00002" TargetMode="External"/><Relationship Id="rId3010" Type="http://schemas.openxmlformats.org/officeDocument/2006/relationships/hyperlink" Target="https://enzyme.expasy.org/EC/5.1.3.4" TargetMode="External"/><Relationship Id="rId4" Type="http://schemas.openxmlformats.org/officeDocument/2006/relationships/hyperlink" Target="https://www.genome.jp/entry/C00226" TargetMode="External"/><Relationship Id="rId888" Type="http://schemas.openxmlformats.org/officeDocument/2006/relationships/hyperlink" Target="https://www.genome.jp/entry/C05812" TargetMode="External"/><Relationship Id="rId2569" Type="http://schemas.openxmlformats.org/officeDocument/2006/relationships/hyperlink" Target="https://enzyme.expasy.org/EC/3.4.11.5" TargetMode="External"/><Relationship Id="rId2776" Type="http://schemas.openxmlformats.org/officeDocument/2006/relationships/hyperlink" Target="https://enzyme.expasy.org/EC/4.1.2.13" TargetMode="External"/><Relationship Id="rId2983" Type="http://schemas.openxmlformats.org/officeDocument/2006/relationships/hyperlink" Target="https://enzyme.expasy.org/EC/4.4.1.21" TargetMode="External"/><Relationship Id="rId748" Type="http://schemas.openxmlformats.org/officeDocument/2006/relationships/hyperlink" Target="https://enzyme.expasy.org/EC/1.8.1.4" TargetMode="External"/><Relationship Id="rId955" Type="http://schemas.openxmlformats.org/officeDocument/2006/relationships/hyperlink" Target="https://www.genome.jp/entry/C00021" TargetMode="External"/><Relationship Id="rId1378" Type="http://schemas.openxmlformats.org/officeDocument/2006/relationships/hyperlink" Target="https://enzyme.expasy.org/EC/2.4.2.52" TargetMode="External"/><Relationship Id="rId1585" Type="http://schemas.openxmlformats.org/officeDocument/2006/relationships/hyperlink" Target="https://www.genome.jp/entry/2.7.1.121" TargetMode="External"/><Relationship Id="rId1792" Type="http://schemas.openxmlformats.org/officeDocument/2006/relationships/hyperlink" Target="https://enzyme.expasy.org/EC/2.7.4.3" TargetMode="External"/><Relationship Id="rId2429" Type="http://schemas.openxmlformats.org/officeDocument/2006/relationships/hyperlink" Target="https://enzyme.expasy.org/EC/3.2.1.22" TargetMode="External"/><Relationship Id="rId2636" Type="http://schemas.openxmlformats.org/officeDocument/2006/relationships/hyperlink" Target="https://www.genome.jp/entry/C00130" TargetMode="External"/><Relationship Id="rId2843" Type="http://schemas.openxmlformats.org/officeDocument/2006/relationships/hyperlink" Target="https://www.genome.jp/entry/C00693" TargetMode="External"/><Relationship Id="rId84" Type="http://schemas.openxmlformats.org/officeDocument/2006/relationships/hyperlink" Target="https://www.genome.jp/entry/C16595" TargetMode="External"/><Relationship Id="rId608" Type="http://schemas.openxmlformats.org/officeDocument/2006/relationships/hyperlink" Target="https://www.genome.jp/entry/C00026" TargetMode="External"/><Relationship Id="rId815" Type="http://schemas.openxmlformats.org/officeDocument/2006/relationships/hyperlink" Target="https://www.genome.jp/entry/R09365" TargetMode="External"/><Relationship Id="rId1238" Type="http://schemas.openxmlformats.org/officeDocument/2006/relationships/hyperlink" Target="https://www.genome.jp/entry/C00010" TargetMode="External"/><Relationship Id="rId1445" Type="http://schemas.openxmlformats.org/officeDocument/2006/relationships/hyperlink" Target="https://www.genome.jp/entry/C00097" TargetMode="External"/><Relationship Id="rId1652" Type="http://schemas.openxmlformats.org/officeDocument/2006/relationships/hyperlink" Target="https://www.genome.jp/entry/C00008" TargetMode="External"/><Relationship Id="rId1305" Type="http://schemas.openxmlformats.org/officeDocument/2006/relationships/hyperlink" Target="https://www.genome.jp/entry/R06185" TargetMode="External"/><Relationship Id="rId2703" Type="http://schemas.openxmlformats.org/officeDocument/2006/relationships/hyperlink" Target="https://www.genome.jp/entry/C00186" TargetMode="External"/><Relationship Id="rId2910" Type="http://schemas.openxmlformats.org/officeDocument/2006/relationships/hyperlink" Target="https://www.genome.jp/entry/C04677" TargetMode="External"/><Relationship Id="rId1512" Type="http://schemas.openxmlformats.org/officeDocument/2006/relationships/hyperlink" Target="https://www.genome.jp/entry/2.6.1.9" TargetMode="External"/><Relationship Id="rId11" Type="http://schemas.openxmlformats.org/officeDocument/2006/relationships/hyperlink" Target="https://enzyme.expasy.org/EC/1.1.1.1" TargetMode="External"/><Relationship Id="rId398" Type="http://schemas.openxmlformats.org/officeDocument/2006/relationships/hyperlink" Target="https://www.genome.jp/entry/1.17.4.1" TargetMode="External"/><Relationship Id="rId2079" Type="http://schemas.openxmlformats.org/officeDocument/2006/relationships/hyperlink" Target="https://www.genome.jp/entry/C11039" TargetMode="External"/><Relationship Id="rId2286" Type="http://schemas.openxmlformats.org/officeDocument/2006/relationships/hyperlink" Target="https://www.genome.jp/entry/C00360" TargetMode="External"/><Relationship Id="rId2493" Type="http://schemas.openxmlformats.org/officeDocument/2006/relationships/hyperlink" Target="https://www.genome.jp/entry/G01977" TargetMode="External"/><Relationship Id="rId3337" Type="http://schemas.openxmlformats.org/officeDocument/2006/relationships/hyperlink" Target="https://enzyme.expasy.org/EC/6.3.4.21" TargetMode="External"/><Relationship Id="rId258" Type="http://schemas.openxmlformats.org/officeDocument/2006/relationships/hyperlink" Target="https://www.genome.jp/entry/C00186" TargetMode="External"/><Relationship Id="rId465" Type="http://schemas.openxmlformats.org/officeDocument/2006/relationships/hyperlink" Target="https://www.genome.jp/entry/C00705" TargetMode="External"/><Relationship Id="rId672" Type="http://schemas.openxmlformats.org/officeDocument/2006/relationships/hyperlink" Target="https://www.genome.jp/entry/C00143" TargetMode="External"/><Relationship Id="rId1095" Type="http://schemas.openxmlformats.org/officeDocument/2006/relationships/hyperlink" Target="https://enzyme.expasy.org/EC/2.3.1.16" TargetMode="External"/><Relationship Id="rId2146" Type="http://schemas.openxmlformats.org/officeDocument/2006/relationships/hyperlink" Target="https://www.genome.jp/entry/C00013" TargetMode="External"/><Relationship Id="rId2353" Type="http://schemas.openxmlformats.org/officeDocument/2006/relationships/hyperlink" Target="https://www.genome.jp/entry/C00794" TargetMode="External"/><Relationship Id="rId2560" Type="http://schemas.openxmlformats.org/officeDocument/2006/relationships/hyperlink" Target="https://www.genome.jp/entry/C03539" TargetMode="External"/><Relationship Id="rId3404" Type="http://schemas.openxmlformats.org/officeDocument/2006/relationships/hyperlink" Target="https://www.genome.jp/entry/C00002" TargetMode="External"/><Relationship Id="rId118" Type="http://schemas.openxmlformats.org/officeDocument/2006/relationships/hyperlink" Target="https://www.genome.jp/entry/R04543" TargetMode="External"/><Relationship Id="rId325" Type="http://schemas.openxmlformats.org/officeDocument/2006/relationships/hyperlink" Target="https://enzyme.expasy.org/EC/1.17.1.8" TargetMode="External"/><Relationship Id="rId532" Type="http://schemas.openxmlformats.org/officeDocument/2006/relationships/hyperlink" Target="https://enzyme.expasy.org/EC/1.17.99.6" TargetMode="External"/><Relationship Id="rId1162" Type="http://schemas.openxmlformats.org/officeDocument/2006/relationships/hyperlink" Target="https://www.genome.jp/entry/R13467" TargetMode="External"/><Relationship Id="rId2006" Type="http://schemas.openxmlformats.org/officeDocument/2006/relationships/hyperlink" Target="https://enzyme.expasy.org/EC/2.7.7.6" TargetMode="External"/><Relationship Id="rId2213" Type="http://schemas.openxmlformats.org/officeDocument/2006/relationships/hyperlink" Target="https://enzyme.expasy.org/EC/2.8.1.4" TargetMode="External"/><Relationship Id="rId2420" Type="http://schemas.openxmlformats.org/officeDocument/2006/relationships/hyperlink" Target="https://enzyme.expasy.org/EC/3.2.1.22" TargetMode="External"/><Relationship Id="rId1022" Type="http://schemas.openxmlformats.org/officeDocument/2006/relationships/hyperlink" Target="https://www.genome.jp/entry/R04673" TargetMode="External"/><Relationship Id="rId1979" Type="http://schemas.openxmlformats.org/officeDocument/2006/relationships/hyperlink" Target="https://enzyme.expasy.org/EC/2.7.7.6" TargetMode="External"/><Relationship Id="rId3194" Type="http://schemas.openxmlformats.org/officeDocument/2006/relationships/hyperlink" Target="https://enzyme.expasy.org/EC/6.1.1.13" TargetMode="External"/><Relationship Id="rId1839" Type="http://schemas.openxmlformats.org/officeDocument/2006/relationships/hyperlink" Target="https://www.genome.jp/entry/C22443" TargetMode="External"/><Relationship Id="rId3054" Type="http://schemas.openxmlformats.org/officeDocument/2006/relationships/hyperlink" Target="https://www.genome.jp/entry/C06892" TargetMode="External"/><Relationship Id="rId182" Type="http://schemas.openxmlformats.org/officeDocument/2006/relationships/hyperlink" Target="https://www.genome.jp/entry/R01130" TargetMode="External"/><Relationship Id="rId1906" Type="http://schemas.openxmlformats.org/officeDocument/2006/relationships/hyperlink" Target="https://www.genome.jp/entry/C00013" TargetMode="External"/><Relationship Id="rId3261" Type="http://schemas.openxmlformats.org/officeDocument/2006/relationships/hyperlink" Target="https://www.genome.jp/entry/C16237" TargetMode="External"/><Relationship Id="rId2070" Type="http://schemas.openxmlformats.org/officeDocument/2006/relationships/hyperlink" Target="https://www.genome.jp/entry/C00286" TargetMode="External"/><Relationship Id="rId3121" Type="http://schemas.openxmlformats.org/officeDocument/2006/relationships/hyperlink" Target="https://www.genome.jp/entry/C04751" TargetMode="External"/><Relationship Id="rId999" Type="http://schemas.openxmlformats.org/officeDocument/2006/relationships/hyperlink" Target="https://www.genome.jp/entry/C00022" TargetMode="External"/><Relationship Id="rId2887" Type="http://schemas.openxmlformats.org/officeDocument/2006/relationships/hyperlink" Target="https://enzyme.expasy.org/EC/4.3.1.17" TargetMode="External"/><Relationship Id="rId859" Type="http://schemas.openxmlformats.org/officeDocument/2006/relationships/hyperlink" Target="https://www.genome.jp/entry/C00019" TargetMode="External"/><Relationship Id="rId1489" Type="http://schemas.openxmlformats.org/officeDocument/2006/relationships/hyperlink" Target="https://www.genome.jp/entry/R01090" TargetMode="External"/><Relationship Id="rId1696" Type="http://schemas.openxmlformats.org/officeDocument/2006/relationships/hyperlink" Target="https://www.genome.jp/entry/C00008" TargetMode="External"/><Relationship Id="rId1349" Type="http://schemas.openxmlformats.org/officeDocument/2006/relationships/hyperlink" Target="https://www.genome.jp/entry/2.4.2.2" TargetMode="External"/><Relationship Id="rId2747" Type="http://schemas.openxmlformats.org/officeDocument/2006/relationships/hyperlink" Target="https://www.genome.jp/entry/C05378" TargetMode="External"/><Relationship Id="rId2954" Type="http://schemas.openxmlformats.org/officeDocument/2006/relationships/hyperlink" Target="https://www.genome.jp/entry/C05699" TargetMode="External"/><Relationship Id="rId719" Type="http://schemas.openxmlformats.org/officeDocument/2006/relationships/hyperlink" Target="https://www.genome.jp/entry/1.8.1.4" TargetMode="External"/><Relationship Id="rId926" Type="http://schemas.openxmlformats.org/officeDocument/2006/relationships/hyperlink" Target="https://www.genome.jp/entry/C03800" TargetMode="External"/><Relationship Id="rId1556" Type="http://schemas.openxmlformats.org/officeDocument/2006/relationships/hyperlink" Target="https://www.genome.jp/entry/R03237" TargetMode="External"/><Relationship Id="rId1763" Type="http://schemas.openxmlformats.org/officeDocument/2006/relationships/hyperlink" Target="https://www.genome.jp/entry/C00008" TargetMode="External"/><Relationship Id="rId1970" Type="http://schemas.openxmlformats.org/officeDocument/2006/relationships/hyperlink" Target="https://enzyme.expasy.org/EC/2.7.7.6" TargetMode="External"/><Relationship Id="rId2607" Type="http://schemas.openxmlformats.org/officeDocument/2006/relationships/hyperlink" Target="https://www.genome.jp/entry/C02505" TargetMode="External"/><Relationship Id="rId2814" Type="http://schemas.openxmlformats.org/officeDocument/2006/relationships/hyperlink" Target="https://www.genome.jp/entry/C01267" TargetMode="External"/><Relationship Id="rId55" Type="http://schemas.openxmlformats.org/officeDocument/2006/relationships/hyperlink" Target="https://www.genome.jp/entry/C16551" TargetMode="External"/><Relationship Id="rId1209" Type="http://schemas.openxmlformats.org/officeDocument/2006/relationships/hyperlink" Target="https://enzyme.expasy.org/EC/2.3.1.179" TargetMode="External"/><Relationship Id="rId1416" Type="http://schemas.openxmlformats.org/officeDocument/2006/relationships/hyperlink" Target="https://www.genome.jp/entry/R12183" TargetMode="External"/><Relationship Id="rId1623" Type="http://schemas.openxmlformats.org/officeDocument/2006/relationships/hyperlink" Target="https://enzyme.expasy.org/EC/2.7.1.2" TargetMode="External"/><Relationship Id="rId1830" Type="http://schemas.openxmlformats.org/officeDocument/2006/relationships/hyperlink" Target="https://www.genome.jp/entry/C00008" TargetMode="External"/><Relationship Id="rId2397" Type="http://schemas.openxmlformats.org/officeDocument/2006/relationships/hyperlink" Target="https://www.genome.jp/entry/C00492" TargetMode="External"/><Relationship Id="rId369" Type="http://schemas.openxmlformats.org/officeDocument/2006/relationships/hyperlink" Target="https://www.genome.jp/entry/C21748" TargetMode="External"/><Relationship Id="rId576" Type="http://schemas.openxmlformats.org/officeDocument/2006/relationships/hyperlink" Target="https://www.genome.jp/entry/R01869" TargetMode="External"/><Relationship Id="rId783" Type="http://schemas.openxmlformats.org/officeDocument/2006/relationships/hyperlink" Target="https://enzyme.expasy.org/EC/1.8.4.11" TargetMode="External"/><Relationship Id="rId990" Type="http://schemas.openxmlformats.org/officeDocument/2006/relationships/hyperlink" Target="https://www.genome.jp/entry/C00009" TargetMode="External"/><Relationship Id="rId2257" Type="http://schemas.openxmlformats.org/officeDocument/2006/relationships/hyperlink" Target="https://www.genome.jp/entry/C00475" TargetMode="External"/><Relationship Id="rId2464" Type="http://schemas.openxmlformats.org/officeDocument/2006/relationships/hyperlink" Target="https://www.genome.jp/entry/C04884" TargetMode="External"/><Relationship Id="rId2671" Type="http://schemas.openxmlformats.org/officeDocument/2006/relationships/hyperlink" Target="https://www.genome.jp/entry/C00352" TargetMode="External"/><Relationship Id="rId3308" Type="http://schemas.openxmlformats.org/officeDocument/2006/relationships/hyperlink" Target="https://www.genome.jp/entry/C00002" TargetMode="External"/><Relationship Id="rId229" Type="http://schemas.openxmlformats.org/officeDocument/2006/relationships/hyperlink" Target="https://www.genome.jp/entry/C07335" TargetMode="External"/><Relationship Id="rId436" Type="http://schemas.openxmlformats.org/officeDocument/2006/relationships/hyperlink" Target="https://www.genome.jp/entry/C03723" TargetMode="External"/><Relationship Id="rId643" Type="http://schemas.openxmlformats.org/officeDocument/2006/relationships/hyperlink" Target="https://www.genome.jp/entry/C00250" TargetMode="External"/><Relationship Id="rId1066" Type="http://schemas.openxmlformats.org/officeDocument/2006/relationships/hyperlink" Target="https://www.genome.jp/entry/2.3.1.16" TargetMode="External"/><Relationship Id="rId1273" Type="http://schemas.openxmlformats.org/officeDocument/2006/relationships/hyperlink" Target="https://enzyme.expasy.org/EC/2.3.1.8" TargetMode="External"/><Relationship Id="rId1480" Type="http://schemas.openxmlformats.org/officeDocument/2006/relationships/hyperlink" Target="https://enzyme.expasy.org/EC/2.5.1.75" TargetMode="External"/><Relationship Id="rId2117" Type="http://schemas.openxmlformats.org/officeDocument/2006/relationships/hyperlink" Target="https://enzyme.expasy.org/EC/2.7.7.7" TargetMode="External"/><Relationship Id="rId2324" Type="http://schemas.openxmlformats.org/officeDocument/2006/relationships/hyperlink" Target="https://enzyme.expasy.org/EC/3.2.1.20" TargetMode="External"/><Relationship Id="rId850" Type="http://schemas.openxmlformats.org/officeDocument/2006/relationships/hyperlink" Target="https://www.genome.jp/entry/2.1.1.190" TargetMode="External"/><Relationship Id="rId1133" Type="http://schemas.openxmlformats.org/officeDocument/2006/relationships/hyperlink" Target="https://www.genome.jp/entry/C16173" TargetMode="External"/><Relationship Id="rId2531" Type="http://schemas.openxmlformats.org/officeDocument/2006/relationships/hyperlink" Target="https://enzyme.expasy.org/EC/3.2.1.86" TargetMode="External"/><Relationship Id="rId503" Type="http://schemas.openxmlformats.org/officeDocument/2006/relationships/hyperlink" Target="https://www.genome.jp/entry/1.17.4.2" TargetMode="External"/><Relationship Id="rId710" Type="http://schemas.openxmlformats.org/officeDocument/2006/relationships/hyperlink" Target="https://www.genome.jp/entry/R01220" TargetMode="External"/><Relationship Id="rId1340" Type="http://schemas.openxmlformats.org/officeDocument/2006/relationships/hyperlink" Target="https://www.genome.jp/entry/2.4.2.17" TargetMode="External"/><Relationship Id="rId3098" Type="http://schemas.openxmlformats.org/officeDocument/2006/relationships/hyperlink" Target="https://enzyme.expasy.org/EC/5.4.2.11" TargetMode="External"/><Relationship Id="rId1200" Type="http://schemas.openxmlformats.org/officeDocument/2006/relationships/hyperlink" Target="https://www.genome.jp/entry/2.3.1.179" TargetMode="External"/><Relationship Id="rId3165" Type="http://schemas.openxmlformats.org/officeDocument/2006/relationships/hyperlink" Target="https://www.genome.jp/entry/C00002" TargetMode="External"/><Relationship Id="rId3372" Type="http://schemas.openxmlformats.org/officeDocument/2006/relationships/hyperlink" Target="https://www.genome.jp/entry/C00008" TargetMode="External"/><Relationship Id="rId293" Type="http://schemas.openxmlformats.org/officeDocument/2006/relationships/hyperlink" Target="https://www.genome.jp/entry/1.1.1.49" TargetMode="External"/><Relationship Id="rId2181" Type="http://schemas.openxmlformats.org/officeDocument/2006/relationships/hyperlink" Target="https://www.genome.jp/entry/C19080" TargetMode="External"/><Relationship Id="rId3025" Type="http://schemas.openxmlformats.org/officeDocument/2006/relationships/hyperlink" Target="https://enzyme.expasy.org/EC/5.3.1.1" TargetMode="External"/><Relationship Id="rId3232" Type="http://schemas.openxmlformats.org/officeDocument/2006/relationships/hyperlink" Target="https://enzyme.expasy.org/EC/6.1.1.22" TargetMode="External"/><Relationship Id="rId153" Type="http://schemas.openxmlformats.org/officeDocument/2006/relationships/hyperlink" Target="https://www.genome.jp/entry/C00522" TargetMode="External"/><Relationship Id="rId360" Type="http://schemas.openxmlformats.org/officeDocument/2006/relationships/hyperlink" Target="https://enzyme.expasy.org/EC/1.17.4.1" TargetMode="External"/><Relationship Id="rId2041" Type="http://schemas.openxmlformats.org/officeDocument/2006/relationships/hyperlink" Target="https://www.genome.jp/entry/C00013" TargetMode="External"/><Relationship Id="rId220" Type="http://schemas.openxmlformats.org/officeDocument/2006/relationships/hyperlink" Target="https://enzyme.expasy.org/EC/1.1.1.25" TargetMode="External"/><Relationship Id="rId2998" Type="http://schemas.openxmlformats.org/officeDocument/2006/relationships/hyperlink" Target="https://enzyme.expasy.org/EC/5.1.3.1" TargetMode="External"/><Relationship Id="rId2858" Type="http://schemas.openxmlformats.org/officeDocument/2006/relationships/hyperlink" Target="https://www.genome.jp/entry/C20373" TargetMode="External"/><Relationship Id="rId99" Type="http://schemas.openxmlformats.org/officeDocument/2006/relationships/hyperlink" Target="https://www.genome.jp/entry/C01271" TargetMode="External"/><Relationship Id="rId1667" Type="http://schemas.openxmlformats.org/officeDocument/2006/relationships/hyperlink" Target="https://enzyme.expasy.org/EC/2.7.1.39" TargetMode="External"/><Relationship Id="rId1874" Type="http://schemas.openxmlformats.org/officeDocument/2006/relationships/hyperlink" Target="https://www.genome.jp/entry/C00002" TargetMode="External"/><Relationship Id="rId2718" Type="http://schemas.openxmlformats.org/officeDocument/2006/relationships/hyperlink" Target="https://www.genome.jp/entry/C00047" TargetMode="External"/><Relationship Id="rId2925" Type="http://schemas.openxmlformats.org/officeDocument/2006/relationships/hyperlink" Target="https://www.genome.jp/entry/C00122" TargetMode="External"/><Relationship Id="rId1527" Type="http://schemas.openxmlformats.org/officeDocument/2006/relationships/hyperlink" Target="https://enzyme.expasy.org/EC/2.7.1.11" TargetMode="External"/><Relationship Id="rId1734" Type="http://schemas.openxmlformats.org/officeDocument/2006/relationships/hyperlink" Target="https://www.genome.jp/entry/C00002" TargetMode="External"/><Relationship Id="rId1941" Type="http://schemas.openxmlformats.org/officeDocument/2006/relationships/hyperlink" Target="https://www.genome.jp/entry/C00044" TargetMode="External"/><Relationship Id="rId26" Type="http://schemas.openxmlformats.org/officeDocument/2006/relationships/hyperlink" Target="https://enzyme.expasy.org/EC/1.1.1.1" TargetMode="External"/><Relationship Id="rId1801" Type="http://schemas.openxmlformats.org/officeDocument/2006/relationships/hyperlink" Target="https://enzyme.expasy.org/EC/2.7.4.6" TargetMode="External"/><Relationship Id="rId687" Type="http://schemas.openxmlformats.org/officeDocument/2006/relationships/hyperlink" Target="https://www.genome.jp/entry/C00504" TargetMode="External"/><Relationship Id="rId2368" Type="http://schemas.openxmlformats.org/officeDocument/2006/relationships/hyperlink" Target="https://www.genome.jp/entry/C00124" TargetMode="External"/><Relationship Id="rId894" Type="http://schemas.openxmlformats.org/officeDocument/2006/relationships/hyperlink" Target="https://enzyme.expasy.org/EC/2.1.1.222" TargetMode="External"/><Relationship Id="rId1177" Type="http://schemas.openxmlformats.org/officeDocument/2006/relationships/hyperlink" Target="https://www.genome.jp/entry/R04726" TargetMode="External"/><Relationship Id="rId2575" Type="http://schemas.openxmlformats.org/officeDocument/2006/relationships/hyperlink" Target="https://enzyme.expasy.org/EC/3.4.21.88" TargetMode="External"/><Relationship Id="rId2782" Type="http://schemas.openxmlformats.org/officeDocument/2006/relationships/hyperlink" Target="https://enzyme.expasy.org/EC/4.1.2.4" TargetMode="External"/><Relationship Id="rId3419" Type="http://schemas.openxmlformats.org/officeDocument/2006/relationships/hyperlink" Target="https://enzyme.expasy.org/EC/7.1.2.2" TargetMode="External"/><Relationship Id="rId547" Type="http://schemas.openxmlformats.org/officeDocument/2006/relationships/hyperlink" Target="https://www.genome.jp/entry/C00441" TargetMode="External"/><Relationship Id="rId754" Type="http://schemas.openxmlformats.org/officeDocument/2006/relationships/hyperlink" Target="https://www.genome.jp/entry/1.8.1.4" TargetMode="External"/><Relationship Id="rId961" Type="http://schemas.openxmlformats.org/officeDocument/2006/relationships/hyperlink" Target="https://enzyme.expasy.org/EC/2.1.2.1" TargetMode="External"/><Relationship Id="rId1384" Type="http://schemas.openxmlformats.org/officeDocument/2006/relationships/hyperlink" Target="https://www.genome.jp/entry/2.4.2.7" TargetMode="External"/><Relationship Id="rId1591" Type="http://schemas.openxmlformats.org/officeDocument/2006/relationships/hyperlink" Target="https://www.genome.jp/entry/R03236" TargetMode="External"/><Relationship Id="rId2228" Type="http://schemas.openxmlformats.org/officeDocument/2006/relationships/hyperlink" Target="https://www.genome.jp/entry/C00010" TargetMode="External"/><Relationship Id="rId2435" Type="http://schemas.openxmlformats.org/officeDocument/2006/relationships/hyperlink" Target="https://enzyme.expasy.org/EC/3.2.1.22" TargetMode="External"/><Relationship Id="rId2642" Type="http://schemas.openxmlformats.org/officeDocument/2006/relationships/hyperlink" Target="https://www.genome.jp/entry/C17324" TargetMode="External"/><Relationship Id="rId90" Type="http://schemas.openxmlformats.org/officeDocument/2006/relationships/hyperlink" Target="https://www.genome.jp/entry/C00772" TargetMode="External"/><Relationship Id="rId407" Type="http://schemas.openxmlformats.org/officeDocument/2006/relationships/hyperlink" Target="https://enzyme.expasy.org/EC/1.17.4.1" TargetMode="External"/><Relationship Id="rId614" Type="http://schemas.openxmlformats.org/officeDocument/2006/relationships/hyperlink" Target="https://enzyme.expasy.org/EC/1.4.1.4" TargetMode="External"/><Relationship Id="rId821" Type="http://schemas.openxmlformats.org/officeDocument/2006/relationships/hyperlink" Target="https://www.genome.jp/entry/C00021" TargetMode="External"/><Relationship Id="rId1037" Type="http://schemas.openxmlformats.org/officeDocument/2006/relationships/hyperlink" Target="https://www.genome.jp/entry/R02617" TargetMode="External"/><Relationship Id="rId1244" Type="http://schemas.openxmlformats.org/officeDocument/2006/relationships/hyperlink" Target="https://www.genome.jp/entry/2.3.1.286" TargetMode="External"/><Relationship Id="rId1451" Type="http://schemas.openxmlformats.org/officeDocument/2006/relationships/hyperlink" Target="https://www.genome.jp/entry/R04859" TargetMode="External"/><Relationship Id="rId2502" Type="http://schemas.openxmlformats.org/officeDocument/2006/relationships/hyperlink" Target="https://www.genome.jp/entry/C00492" TargetMode="External"/><Relationship Id="rId1104" Type="http://schemas.openxmlformats.org/officeDocument/2006/relationships/hyperlink" Target="https://www.genome.jp/entry/C00512" TargetMode="External"/><Relationship Id="rId1311" Type="http://schemas.openxmlformats.org/officeDocument/2006/relationships/hyperlink" Target="https://www.genome.jp/entry/C00008" TargetMode="External"/><Relationship Id="rId3069" Type="http://schemas.openxmlformats.org/officeDocument/2006/relationships/hyperlink" Target="https://www.genome.jp/entry/C00085" TargetMode="External"/><Relationship Id="rId3276" Type="http://schemas.openxmlformats.org/officeDocument/2006/relationships/hyperlink" Target="https://www.genome.jp/entry/C22160" TargetMode="External"/><Relationship Id="rId197" Type="http://schemas.openxmlformats.org/officeDocument/2006/relationships/hyperlink" Target="https://www.genome.jp/entry/R01163" TargetMode="External"/><Relationship Id="rId2085" Type="http://schemas.openxmlformats.org/officeDocument/2006/relationships/hyperlink" Target="https://www.genome.jp/entry/C00131" TargetMode="External"/><Relationship Id="rId2292" Type="http://schemas.openxmlformats.org/officeDocument/2006/relationships/hyperlink" Target="https://www.genome.jp/entry/C06196" TargetMode="External"/><Relationship Id="rId3136" Type="http://schemas.openxmlformats.org/officeDocument/2006/relationships/hyperlink" Target="https://enzyme.expasy.org/EC/5.6.2.2" TargetMode="External"/><Relationship Id="rId3343" Type="http://schemas.openxmlformats.org/officeDocument/2006/relationships/hyperlink" Target="https://enzyme.expasy.org/EC/6.3.4.3" TargetMode="External"/><Relationship Id="rId264" Type="http://schemas.openxmlformats.org/officeDocument/2006/relationships/hyperlink" Target="https://www.genome.jp/entry/C00109" TargetMode="External"/><Relationship Id="rId471" Type="http://schemas.openxmlformats.org/officeDocument/2006/relationships/hyperlink" Target="https://www.genome.jp/entry/C03723" TargetMode="External"/><Relationship Id="rId2152" Type="http://schemas.openxmlformats.org/officeDocument/2006/relationships/hyperlink" Target="https://www.genome.jp/entry/C21031" TargetMode="External"/><Relationship Id="rId124" Type="http://schemas.openxmlformats.org/officeDocument/2006/relationships/hyperlink" Target="https://www.genome.jp/entry/C04688" TargetMode="External"/><Relationship Id="rId3203" Type="http://schemas.openxmlformats.org/officeDocument/2006/relationships/hyperlink" Target="https://enzyme.expasy.org/EC/6.1.1.14" TargetMode="External"/><Relationship Id="rId3410" Type="http://schemas.openxmlformats.org/officeDocument/2006/relationships/hyperlink" Target="https://www.genome.jp/entry/C00003" TargetMode="External"/><Relationship Id="rId331" Type="http://schemas.openxmlformats.org/officeDocument/2006/relationships/hyperlink" Target="https://www.genome.jp/entry/1.17.4.1" TargetMode="External"/><Relationship Id="rId2012" Type="http://schemas.openxmlformats.org/officeDocument/2006/relationships/hyperlink" Target="https://enzyme.expasy.org/EC/2.7.7.6" TargetMode="External"/><Relationship Id="rId2969" Type="http://schemas.openxmlformats.org/officeDocument/2006/relationships/hyperlink" Target="https://www.genome.jp/entry/C02749" TargetMode="External"/><Relationship Id="rId1778" Type="http://schemas.openxmlformats.org/officeDocument/2006/relationships/hyperlink" Target="https://www.genome.jp/entry/C00008" TargetMode="External"/><Relationship Id="rId1985" Type="http://schemas.openxmlformats.org/officeDocument/2006/relationships/hyperlink" Target="https://enzyme.expasy.org/EC/2.7.7.6" TargetMode="External"/><Relationship Id="rId2829" Type="http://schemas.openxmlformats.org/officeDocument/2006/relationships/hyperlink" Target="https://www.genome.jp/entry/C00078" TargetMode="External"/><Relationship Id="rId1638" Type="http://schemas.openxmlformats.org/officeDocument/2006/relationships/hyperlink" Target="https://enzyme.expasy.org/EC/2.7.1.21" TargetMode="External"/><Relationship Id="rId1845" Type="http://schemas.openxmlformats.org/officeDocument/2006/relationships/hyperlink" Target="https://www.genome.jp/entry/C00008" TargetMode="External"/><Relationship Id="rId3060" Type="http://schemas.openxmlformats.org/officeDocument/2006/relationships/hyperlink" Target="https://www.genome.jp/entry/C18096" TargetMode="External"/><Relationship Id="rId1705" Type="http://schemas.openxmlformats.org/officeDocument/2006/relationships/hyperlink" Target="https://www.genome.jp/entry/C00035" TargetMode="External"/><Relationship Id="rId1912" Type="http://schemas.openxmlformats.org/officeDocument/2006/relationships/hyperlink" Target="https://www.genome.jp/entry/C00013" TargetMode="External"/><Relationship Id="rId798" Type="http://schemas.openxmlformats.org/officeDocument/2006/relationships/hyperlink" Target="https://enzyme.expasy.org/EC/1.8.4.12" TargetMode="External"/><Relationship Id="rId2479" Type="http://schemas.openxmlformats.org/officeDocument/2006/relationships/hyperlink" Target="https://www.genome.jp/entry/C00267" TargetMode="External"/><Relationship Id="rId2686" Type="http://schemas.openxmlformats.org/officeDocument/2006/relationships/hyperlink" Target="https://www.genome.jp/entry/C02739" TargetMode="External"/><Relationship Id="rId2893" Type="http://schemas.openxmlformats.org/officeDocument/2006/relationships/hyperlink" Target="https://enzyme.expasy.org/EC/4.3.1.17" TargetMode="External"/><Relationship Id="rId658" Type="http://schemas.openxmlformats.org/officeDocument/2006/relationships/hyperlink" Target="https://www.genome.jp/entry/C04281" TargetMode="External"/><Relationship Id="rId865" Type="http://schemas.openxmlformats.org/officeDocument/2006/relationships/hyperlink" Target="https://enzyme.expasy.org/EC/2.1.1.207" TargetMode="External"/><Relationship Id="rId1288" Type="http://schemas.openxmlformats.org/officeDocument/2006/relationships/hyperlink" Target="https://enzyme.expasy.org/EC/2.4.1.1" TargetMode="External"/><Relationship Id="rId1495" Type="http://schemas.openxmlformats.org/officeDocument/2006/relationships/hyperlink" Target="https://www.genome.jp/entry/R02199" TargetMode="External"/><Relationship Id="rId2339" Type="http://schemas.openxmlformats.org/officeDocument/2006/relationships/hyperlink" Target="https://enzyme.expasy.org/EC/3.2.1.22" TargetMode="External"/><Relationship Id="rId2546" Type="http://schemas.openxmlformats.org/officeDocument/2006/relationships/hyperlink" Target="https://enzyme.expasy.org/EC/3.2.1.86" TargetMode="External"/><Relationship Id="rId2753" Type="http://schemas.openxmlformats.org/officeDocument/2006/relationships/hyperlink" Target="https://www.genome.jp/entry/C01094" TargetMode="External"/><Relationship Id="rId2960" Type="http://schemas.openxmlformats.org/officeDocument/2006/relationships/hyperlink" Target="https://www.genome.jp/entry/C02882" TargetMode="External"/><Relationship Id="rId518" Type="http://schemas.openxmlformats.org/officeDocument/2006/relationships/hyperlink" Target="https://www.genome.jp/entry/1.17.4.2" TargetMode="External"/><Relationship Id="rId725" Type="http://schemas.openxmlformats.org/officeDocument/2006/relationships/hyperlink" Target="https://www.genome.jp/entry/R03815" TargetMode="External"/><Relationship Id="rId932" Type="http://schemas.openxmlformats.org/officeDocument/2006/relationships/hyperlink" Target="https://www.genome.jp/entry/R08781" TargetMode="External"/><Relationship Id="rId1148" Type="http://schemas.openxmlformats.org/officeDocument/2006/relationships/hyperlink" Target="https://www.genome.jp/entry/C23016" TargetMode="External"/><Relationship Id="rId1355" Type="http://schemas.openxmlformats.org/officeDocument/2006/relationships/hyperlink" Target="https://www.genome.jp/entry/R01876" TargetMode="External"/><Relationship Id="rId1562" Type="http://schemas.openxmlformats.org/officeDocument/2006/relationships/hyperlink" Target="https://www.genome.jp/entry/2.7.1.11" TargetMode="External"/><Relationship Id="rId2406" Type="http://schemas.openxmlformats.org/officeDocument/2006/relationships/hyperlink" Target="https://www.genome.jp/entry/C05400" TargetMode="External"/><Relationship Id="rId2613" Type="http://schemas.openxmlformats.org/officeDocument/2006/relationships/hyperlink" Target="https://www.genome.jp/entry/C03078" TargetMode="External"/><Relationship Id="rId1008" Type="http://schemas.openxmlformats.org/officeDocument/2006/relationships/hyperlink" Target="https://www.genome.jp/entry/C00022" TargetMode="External"/><Relationship Id="rId1215" Type="http://schemas.openxmlformats.org/officeDocument/2006/relationships/hyperlink" Target="https://www.genome.jp/entry/2.3.1.179" TargetMode="External"/><Relationship Id="rId1422" Type="http://schemas.openxmlformats.org/officeDocument/2006/relationships/hyperlink" Target="https://www.genome.jp/entry/R01492" TargetMode="External"/><Relationship Id="rId2820" Type="http://schemas.openxmlformats.org/officeDocument/2006/relationships/hyperlink" Target="https://www.genome.jp/entry/C00078" TargetMode="External"/><Relationship Id="rId61" Type="http://schemas.openxmlformats.org/officeDocument/2006/relationships/hyperlink" Target="https://enzyme.expasy.org/EC/1.1.1.1" TargetMode="External"/><Relationship Id="rId3387" Type="http://schemas.openxmlformats.org/officeDocument/2006/relationships/hyperlink" Target="https://www.genome.jp/entry/C00008" TargetMode="External"/><Relationship Id="rId2196" Type="http://schemas.openxmlformats.org/officeDocument/2006/relationships/hyperlink" Target="https://www.genome.jp/entry/C04882" TargetMode="External"/><Relationship Id="rId168" Type="http://schemas.openxmlformats.org/officeDocument/2006/relationships/hyperlink" Target="https://www.genome.jp/entry/C00644" TargetMode="External"/><Relationship Id="rId3247" Type="http://schemas.openxmlformats.org/officeDocument/2006/relationships/hyperlink" Target="https://enzyme.expasy.org/EC/6.1.1.7" TargetMode="External"/><Relationship Id="rId375" Type="http://schemas.openxmlformats.org/officeDocument/2006/relationships/hyperlink" Target="https://www.genome.jp/entry/R02017" TargetMode="External"/><Relationship Id="rId582" Type="http://schemas.openxmlformats.org/officeDocument/2006/relationships/hyperlink" Target="https://www.genome.jp/entry/C00100" TargetMode="External"/><Relationship Id="rId2056" Type="http://schemas.openxmlformats.org/officeDocument/2006/relationships/hyperlink" Target="https://www.genome.jp/entry/C00013" TargetMode="External"/><Relationship Id="rId2263" Type="http://schemas.openxmlformats.org/officeDocument/2006/relationships/hyperlink" Target="https://www.genome.jp/entry/C00294" TargetMode="External"/><Relationship Id="rId2470" Type="http://schemas.openxmlformats.org/officeDocument/2006/relationships/hyperlink" Target="https://www.genome.jp/entry/C06135" TargetMode="External"/><Relationship Id="rId3107" Type="http://schemas.openxmlformats.org/officeDocument/2006/relationships/hyperlink" Target="https://enzyme.expasy.org/EC/5.4.2.6" TargetMode="External"/><Relationship Id="rId3314" Type="http://schemas.openxmlformats.org/officeDocument/2006/relationships/hyperlink" Target="https://www.genome.jp/entry/C00002" TargetMode="External"/><Relationship Id="rId235" Type="http://schemas.openxmlformats.org/officeDocument/2006/relationships/hyperlink" Target="https://enzyme.expasy.org/EC/1.1.1.262" TargetMode="External"/><Relationship Id="rId442" Type="http://schemas.openxmlformats.org/officeDocument/2006/relationships/hyperlink" Target="https://enzyme.expasy.org/EC/1.17.4.1" TargetMode="External"/><Relationship Id="rId1072" Type="http://schemas.openxmlformats.org/officeDocument/2006/relationships/hyperlink" Target="https://www.genome.jp/entry/R01177" TargetMode="External"/><Relationship Id="rId2123" Type="http://schemas.openxmlformats.org/officeDocument/2006/relationships/hyperlink" Target="https://enzyme.expasy.org/EC/2.7.7.7" TargetMode="External"/><Relationship Id="rId2330" Type="http://schemas.openxmlformats.org/officeDocument/2006/relationships/hyperlink" Target="https://enzyme.expasy.org/EC/3.2.1.20" TargetMode="External"/><Relationship Id="rId302" Type="http://schemas.openxmlformats.org/officeDocument/2006/relationships/hyperlink" Target="https://enzyme.expasy.org/EC/1.1.1.94" TargetMode="External"/><Relationship Id="rId1889" Type="http://schemas.openxmlformats.org/officeDocument/2006/relationships/hyperlink" Target="https://enzyme.expasy.org/EC/2.7.7.27" TargetMode="External"/><Relationship Id="rId1749" Type="http://schemas.openxmlformats.org/officeDocument/2006/relationships/hyperlink" Target="https://enzyme.expasy.org/EC/2.7.2.1" TargetMode="External"/><Relationship Id="rId1956" Type="http://schemas.openxmlformats.org/officeDocument/2006/relationships/hyperlink" Target="https://www.genome.jp/entry/C00002" TargetMode="External"/><Relationship Id="rId3171" Type="http://schemas.openxmlformats.org/officeDocument/2006/relationships/hyperlink" Target="https://www.genome.jp/entry/C00002" TargetMode="External"/><Relationship Id="rId1609" Type="http://schemas.openxmlformats.org/officeDocument/2006/relationships/hyperlink" Target="https://www.genome.jp/entry/2.7.1.17" TargetMode="External"/><Relationship Id="rId1816" Type="http://schemas.openxmlformats.org/officeDocument/2006/relationships/hyperlink" Target="https://enzyme.expasy.org/EC/2.7.4.6" TargetMode="External"/><Relationship Id="rId3031" Type="http://schemas.openxmlformats.org/officeDocument/2006/relationships/hyperlink" Target="https://enzyme.expasy.org/EC/5.3.1.16" TargetMode="External"/><Relationship Id="rId2797" Type="http://schemas.openxmlformats.org/officeDocument/2006/relationships/hyperlink" Target="https://enzyme.expasy.org/EC/4.2.1.11" TargetMode="External"/><Relationship Id="rId769" Type="http://schemas.openxmlformats.org/officeDocument/2006/relationships/hyperlink" Target="https://www.genome.jp/entry/1.8.1.9" TargetMode="External"/><Relationship Id="rId976" Type="http://schemas.openxmlformats.org/officeDocument/2006/relationships/hyperlink" Target="https://enzyme.expasy.org/EC/2.1.2.3" TargetMode="External"/><Relationship Id="rId1399" Type="http://schemas.openxmlformats.org/officeDocument/2006/relationships/hyperlink" Target="https://www.genome.jp/entry/R00966" TargetMode="External"/><Relationship Id="rId2657" Type="http://schemas.openxmlformats.org/officeDocument/2006/relationships/hyperlink" Target="https://www.genome.jp/entry/C00881" TargetMode="External"/><Relationship Id="rId629" Type="http://schemas.openxmlformats.org/officeDocument/2006/relationships/hyperlink" Target="https://www.genome.jp/entry/1.4.3.5" TargetMode="External"/><Relationship Id="rId1259" Type="http://schemas.openxmlformats.org/officeDocument/2006/relationships/hyperlink" Target="https://www.genome.jp/entry/2.3.1.54" TargetMode="External"/><Relationship Id="rId1466" Type="http://schemas.openxmlformats.org/officeDocument/2006/relationships/hyperlink" Target="https://www.genome.jp/entry/2.5.1.7" TargetMode="External"/><Relationship Id="rId2864" Type="http://schemas.openxmlformats.org/officeDocument/2006/relationships/hyperlink" Target="https://www.genome.jp/entry/C00188" TargetMode="External"/><Relationship Id="rId836" Type="http://schemas.openxmlformats.org/officeDocument/2006/relationships/hyperlink" Target="https://enzyme.expasy.org/EC/2.1.1.176" TargetMode="External"/><Relationship Id="rId1119" Type="http://schemas.openxmlformats.org/officeDocument/2006/relationships/hyperlink" Target="https://www.genome.jp/entry/C00010" TargetMode="External"/><Relationship Id="rId1673" Type="http://schemas.openxmlformats.org/officeDocument/2006/relationships/hyperlink" Target="https://enzyme.expasy.org/EC/2.7.1.40" TargetMode="External"/><Relationship Id="rId1880" Type="http://schemas.openxmlformats.org/officeDocument/2006/relationships/hyperlink" Target="https://www.genome.jp/entry/C00002" TargetMode="External"/><Relationship Id="rId2517" Type="http://schemas.openxmlformats.org/officeDocument/2006/relationships/hyperlink" Target="https://www.genome.jp/entry/G00249" TargetMode="External"/><Relationship Id="rId2724" Type="http://schemas.openxmlformats.org/officeDocument/2006/relationships/hyperlink" Target="https://www.genome.jp/entry/C00105" TargetMode="External"/><Relationship Id="rId2931" Type="http://schemas.openxmlformats.org/officeDocument/2006/relationships/hyperlink" Target="https://www.genome.jp/entry/C20258" TargetMode="External"/><Relationship Id="rId903" Type="http://schemas.openxmlformats.org/officeDocument/2006/relationships/hyperlink" Target="https://enzyme.expasy.org/EC/2.1.1.228" TargetMode="External"/><Relationship Id="rId1326" Type="http://schemas.openxmlformats.org/officeDocument/2006/relationships/hyperlink" Target="https://www.genome.jp/entry/R05032" TargetMode="External"/><Relationship Id="rId1533" Type="http://schemas.openxmlformats.org/officeDocument/2006/relationships/hyperlink" Target="https://www.genome.jp/entry/R00756" TargetMode="External"/><Relationship Id="rId1740" Type="http://schemas.openxmlformats.org/officeDocument/2006/relationships/hyperlink" Target="https://www.genome.jp/entry/C00002" TargetMode="External"/><Relationship Id="rId32" Type="http://schemas.openxmlformats.org/officeDocument/2006/relationships/hyperlink" Target="https://www.genome.jp/entry/1.1.1.1" TargetMode="External"/><Relationship Id="rId1600" Type="http://schemas.openxmlformats.org/officeDocument/2006/relationships/hyperlink" Target="https://www.genome.jp/entry/R01051" TargetMode="External"/><Relationship Id="rId3358" Type="http://schemas.openxmlformats.org/officeDocument/2006/relationships/hyperlink" Target="https://enzyme.expasy.org/EC/6.3.5.2" TargetMode="External"/><Relationship Id="rId279" Type="http://schemas.openxmlformats.org/officeDocument/2006/relationships/hyperlink" Target="https://www.genome.jp/entry/C00441" TargetMode="External"/><Relationship Id="rId486" Type="http://schemas.openxmlformats.org/officeDocument/2006/relationships/hyperlink" Target="https://www.genome.jp/entry/C03802" TargetMode="External"/><Relationship Id="rId693" Type="http://schemas.openxmlformats.org/officeDocument/2006/relationships/hyperlink" Target="https://enzyme.expasy.org/EC/1.5.1.3" TargetMode="External"/><Relationship Id="rId2167" Type="http://schemas.openxmlformats.org/officeDocument/2006/relationships/hyperlink" Target="https://www.genome.jp/entry/C00013" TargetMode="External"/><Relationship Id="rId2374" Type="http://schemas.openxmlformats.org/officeDocument/2006/relationships/hyperlink" Target="https://www.genome.jp/entry/C00124" TargetMode="External"/><Relationship Id="rId2581" Type="http://schemas.openxmlformats.org/officeDocument/2006/relationships/hyperlink" Target="https://enzyme.expasy.org/EC/3.4.25.2" TargetMode="External"/><Relationship Id="rId3218" Type="http://schemas.openxmlformats.org/officeDocument/2006/relationships/hyperlink" Target="https://www.genome.jp/entry/C00002" TargetMode="External"/><Relationship Id="rId3425" Type="http://schemas.openxmlformats.org/officeDocument/2006/relationships/hyperlink" Target="https://enzyme.expasy.org/EC/7.1.2.2" TargetMode="External"/><Relationship Id="rId139" Type="http://schemas.openxmlformats.org/officeDocument/2006/relationships/hyperlink" Target="https://www.genome.jp/entry/C16220" TargetMode="External"/><Relationship Id="rId346" Type="http://schemas.openxmlformats.org/officeDocument/2006/relationships/hyperlink" Target="https://www.genome.jp/entry/1.17.4.1" TargetMode="External"/><Relationship Id="rId553" Type="http://schemas.openxmlformats.org/officeDocument/2006/relationships/hyperlink" Target="https://www.genome.jp/entry/C03287" TargetMode="External"/><Relationship Id="rId760" Type="http://schemas.openxmlformats.org/officeDocument/2006/relationships/hyperlink" Target="https://www.genome.jp/entry/R02016" TargetMode="External"/><Relationship Id="rId1183" Type="http://schemas.openxmlformats.org/officeDocument/2006/relationships/hyperlink" Target="https://www.genome.jp/entry/C05746" TargetMode="External"/><Relationship Id="rId1390" Type="http://schemas.openxmlformats.org/officeDocument/2006/relationships/hyperlink" Target="https://enzyme.expasy.org/EC/2.4.2.8" TargetMode="External"/><Relationship Id="rId2027" Type="http://schemas.openxmlformats.org/officeDocument/2006/relationships/hyperlink" Target="https://enzyme.expasy.org/EC/2.7.7.7" TargetMode="External"/><Relationship Id="rId2234" Type="http://schemas.openxmlformats.org/officeDocument/2006/relationships/hyperlink" Target="https://enzyme.expasy.org/EC/3.1.26.4" TargetMode="External"/><Relationship Id="rId2441" Type="http://schemas.openxmlformats.org/officeDocument/2006/relationships/hyperlink" Target="https://enzyme.expasy.org/EC/3.2.1.22" TargetMode="External"/><Relationship Id="rId206" Type="http://schemas.openxmlformats.org/officeDocument/2006/relationships/hyperlink" Target="https://www.genome.jp/entry/1.1.1.25" TargetMode="External"/><Relationship Id="rId413" Type="http://schemas.openxmlformats.org/officeDocument/2006/relationships/hyperlink" Target="https://www.genome.jp/entry/1.17.4.1" TargetMode="External"/><Relationship Id="rId1043" Type="http://schemas.openxmlformats.org/officeDocument/2006/relationships/hyperlink" Target="https://www.genome.jp/entry/C00173" TargetMode="External"/><Relationship Id="rId620" Type="http://schemas.openxmlformats.org/officeDocument/2006/relationships/hyperlink" Target="https://www.genome.jp/entry/1.4.1.4" TargetMode="External"/><Relationship Id="rId1250" Type="http://schemas.openxmlformats.org/officeDocument/2006/relationships/hyperlink" Target="https://www.genome.jp/entry/R10633" TargetMode="External"/><Relationship Id="rId2301" Type="http://schemas.openxmlformats.org/officeDocument/2006/relationships/hyperlink" Target="https://www.genome.jp/entry/C00054" TargetMode="External"/><Relationship Id="rId1110" Type="http://schemas.openxmlformats.org/officeDocument/2006/relationships/hyperlink" Target="https://enzyme.expasy.org/EC/2.3.1.16" TargetMode="External"/><Relationship Id="rId1927" Type="http://schemas.openxmlformats.org/officeDocument/2006/relationships/hyperlink" Target="https://www.genome.jp/entry/C00013" TargetMode="External"/><Relationship Id="rId3075" Type="http://schemas.openxmlformats.org/officeDocument/2006/relationships/hyperlink" Target="https://www.genome.jp/entry/C05345" TargetMode="External"/><Relationship Id="rId3282" Type="http://schemas.openxmlformats.org/officeDocument/2006/relationships/hyperlink" Target="https://www.genome.jp/entry/C00008" TargetMode="External"/><Relationship Id="rId2091" Type="http://schemas.openxmlformats.org/officeDocument/2006/relationships/hyperlink" Target="https://www.genome.jp/entry/C00458" TargetMode="External"/><Relationship Id="rId3142" Type="http://schemas.openxmlformats.org/officeDocument/2006/relationships/hyperlink" Target="https://www.genome.jp/entry/C00020" TargetMode="External"/><Relationship Id="rId270" Type="http://schemas.openxmlformats.org/officeDocument/2006/relationships/hyperlink" Target="https://enzyme.expasy.org/EC/1.1.1.3" TargetMode="External"/><Relationship Id="rId3002" Type="http://schemas.openxmlformats.org/officeDocument/2006/relationships/hyperlink" Target="https://www.genome.jp/entry/C00029" TargetMode="External"/><Relationship Id="rId130" Type="http://schemas.openxmlformats.org/officeDocument/2006/relationships/hyperlink" Target="https://www.genome.jp/entry/C05746" TargetMode="External"/><Relationship Id="rId2768" Type="http://schemas.openxmlformats.org/officeDocument/2006/relationships/hyperlink" Target="https://www.genome.jp/entry/C00354" TargetMode="External"/><Relationship Id="rId2975" Type="http://schemas.openxmlformats.org/officeDocument/2006/relationships/hyperlink" Target="https://www.genome.jp/entry/C00097" TargetMode="External"/><Relationship Id="rId947" Type="http://schemas.openxmlformats.org/officeDocument/2006/relationships/hyperlink" Target="https://www.genome.jp/entry/2.1.1.64" TargetMode="External"/><Relationship Id="rId1577" Type="http://schemas.openxmlformats.org/officeDocument/2006/relationships/hyperlink" Target="https://www.genome.jp/entry/C00074" TargetMode="External"/><Relationship Id="rId1784" Type="http://schemas.openxmlformats.org/officeDocument/2006/relationships/hyperlink" Target="https://www.genome.jp/entry/C00008" TargetMode="External"/><Relationship Id="rId1991" Type="http://schemas.openxmlformats.org/officeDocument/2006/relationships/hyperlink" Target="https://enzyme.expasy.org/EC/2.7.7.6" TargetMode="External"/><Relationship Id="rId2628" Type="http://schemas.openxmlformats.org/officeDocument/2006/relationships/hyperlink" Target="https://www.genome.jp/entry/C04258" TargetMode="External"/><Relationship Id="rId2835" Type="http://schemas.openxmlformats.org/officeDocument/2006/relationships/hyperlink" Target="https://www.genome.jp/entry/C00078" TargetMode="External"/><Relationship Id="rId76" Type="http://schemas.openxmlformats.org/officeDocument/2006/relationships/hyperlink" Target="https://enzyme.expasy.org/EC/1.1.1.1" TargetMode="External"/><Relationship Id="rId807" Type="http://schemas.openxmlformats.org/officeDocument/2006/relationships/hyperlink" Target="https://www.genome.jp/entry/C05198" TargetMode="External"/><Relationship Id="rId1437" Type="http://schemas.openxmlformats.org/officeDocument/2006/relationships/hyperlink" Target="https://www.genome.jp/entry/R10712" TargetMode="External"/><Relationship Id="rId1644" Type="http://schemas.openxmlformats.org/officeDocument/2006/relationships/hyperlink" Target="https://enzyme.expasy.org/EC/2.7.1.24" TargetMode="External"/><Relationship Id="rId1851" Type="http://schemas.openxmlformats.org/officeDocument/2006/relationships/hyperlink" Target="https://www.genome.jp/entry/C00002" TargetMode="External"/><Relationship Id="rId2902" Type="http://schemas.openxmlformats.org/officeDocument/2006/relationships/hyperlink" Target="https://enzyme.expasy.org/EC/4.3.2.10" TargetMode="External"/><Relationship Id="rId1504" Type="http://schemas.openxmlformats.org/officeDocument/2006/relationships/hyperlink" Target="https://enzyme.expasy.org/EC/2.6.1.9" TargetMode="External"/><Relationship Id="rId1711" Type="http://schemas.openxmlformats.org/officeDocument/2006/relationships/hyperlink" Target="https://www.genome.jp/entry/C00008" TargetMode="External"/><Relationship Id="rId597" Type="http://schemas.openxmlformats.org/officeDocument/2006/relationships/hyperlink" Target="https://www.genome.jp/entry/C00337" TargetMode="External"/><Relationship Id="rId2278" Type="http://schemas.openxmlformats.org/officeDocument/2006/relationships/hyperlink" Target="https://www.genome.jp/entry/C00214" TargetMode="External"/><Relationship Id="rId2485" Type="http://schemas.openxmlformats.org/officeDocument/2006/relationships/hyperlink" Target="https://www.genome.jp/entry/C00031" TargetMode="External"/><Relationship Id="rId3329" Type="http://schemas.openxmlformats.org/officeDocument/2006/relationships/hyperlink" Target="https://www.genome.jp/entry/C00064" TargetMode="External"/><Relationship Id="rId457" Type="http://schemas.openxmlformats.org/officeDocument/2006/relationships/hyperlink" Target="https://enzyme.expasy.org/EC/1.17.4.1" TargetMode="External"/><Relationship Id="rId1087" Type="http://schemas.openxmlformats.org/officeDocument/2006/relationships/hyperlink" Target="https://www.genome.jp/entry/R03991" TargetMode="External"/><Relationship Id="rId1294" Type="http://schemas.openxmlformats.org/officeDocument/2006/relationships/hyperlink" Target="https://www.genome.jp/entry/2.4.1.1" TargetMode="External"/><Relationship Id="rId2138" Type="http://schemas.openxmlformats.org/officeDocument/2006/relationships/hyperlink" Target="https://enzyme.expasy.org/EC/2.7.7.7" TargetMode="External"/><Relationship Id="rId2692" Type="http://schemas.openxmlformats.org/officeDocument/2006/relationships/hyperlink" Target="https://enzyme.expasy.org/EC/3.6.4.12" TargetMode="External"/><Relationship Id="rId664" Type="http://schemas.openxmlformats.org/officeDocument/2006/relationships/hyperlink" Target="https://enzyme.expasy.org/EC/1.5.1.20" TargetMode="External"/><Relationship Id="rId871" Type="http://schemas.openxmlformats.org/officeDocument/2006/relationships/hyperlink" Target="https://www.genome.jp/entry/R08769/" TargetMode="External"/><Relationship Id="rId2345" Type="http://schemas.openxmlformats.org/officeDocument/2006/relationships/hyperlink" Target="https://enzyme.expasy.org/EC/3.2.1.22" TargetMode="External"/><Relationship Id="rId2552" Type="http://schemas.openxmlformats.org/officeDocument/2006/relationships/hyperlink" Target="https://enzyme.expasy.org/EC/3.2.1.93" TargetMode="External"/><Relationship Id="rId317" Type="http://schemas.openxmlformats.org/officeDocument/2006/relationships/hyperlink" Target="https://www.genome.jp/entry/R00275" TargetMode="External"/><Relationship Id="rId524" Type="http://schemas.openxmlformats.org/officeDocument/2006/relationships/hyperlink" Target="https://www.genome.jp/entry/R02022" TargetMode="External"/><Relationship Id="rId731" Type="http://schemas.openxmlformats.org/officeDocument/2006/relationships/hyperlink" Target="https://www.genome.jp/entry/C15973" TargetMode="External"/><Relationship Id="rId1154" Type="http://schemas.openxmlformats.org/officeDocument/2006/relationships/hyperlink" Target="https://www.genome.jp/entry/C23007" TargetMode="External"/><Relationship Id="rId1361" Type="http://schemas.openxmlformats.org/officeDocument/2006/relationships/hyperlink" Target="https://www.genome.jp/entry/R02484" TargetMode="External"/><Relationship Id="rId2205" Type="http://schemas.openxmlformats.org/officeDocument/2006/relationships/hyperlink" Target="https://www.genome.jp/entry/C00002" TargetMode="External"/><Relationship Id="rId2412" Type="http://schemas.openxmlformats.org/officeDocument/2006/relationships/hyperlink" Target="https://www.genome.jp/entry/C04737" TargetMode="External"/><Relationship Id="rId1014" Type="http://schemas.openxmlformats.org/officeDocument/2006/relationships/hyperlink" Target="https://www.genome.jp/entry/C05125" TargetMode="External"/><Relationship Id="rId1221" Type="http://schemas.openxmlformats.org/officeDocument/2006/relationships/hyperlink" Target="https://www.genome.jp/entry/R10707" TargetMode="External"/><Relationship Id="rId3186" Type="http://schemas.openxmlformats.org/officeDocument/2006/relationships/hyperlink" Target="https://www.genome.jp/entry/C00002" TargetMode="External"/><Relationship Id="rId3393" Type="http://schemas.openxmlformats.org/officeDocument/2006/relationships/hyperlink" Target="https://www.genome.jp/entry/C00008" TargetMode="External"/><Relationship Id="rId3046" Type="http://schemas.openxmlformats.org/officeDocument/2006/relationships/hyperlink" Target="https://enzyme.expasy.org/EC/5.3.1.27" TargetMode="External"/><Relationship Id="rId3253" Type="http://schemas.openxmlformats.org/officeDocument/2006/relationships/hyperlink" Target="https://enzyme.expasy.org/EC/6.2.1.22" TargetMode="External"/><Relationship Id="rId174" Type="http://schemas.openxmlformats.org/officeDocument/2006/relationships/hyperlink" Target="https://www.genome.jp/entry/C05345" TargetMode="External"/><Relationship Id="rId381" Type="http://schemas.openxmlformats.org/officeDocument/2006/relationships/hyperlink" Target="https://www.genome.jp/entry/C00342" TargetMode="External"/><Relationship Id="rId2062" Type="http://schemas.openxmlformats.org/officeDocument/2006/relationships/hyperlink" Target="https://www.genome.jp/entry/C21031" TargetMode="External"/><Relationship Id="rId3113" Type="http://schemas.openxmlformats.org/officeDocument/2006/relationships/hyperlink" Target="https://enzyme.expasy.org/EC/5.4.2.7" TargetMode="External"/><Relationship Id="rId241" Type="http://schemas.openxmlformats.org/officeDocument/2006/relationships/hyperlink" Target="https://www.genome.jp/entry/1.1.1.27" TargetMode="External"/><Relationship Id="rId3320" Type="http://schemas.openxmlformats.org/officeDocument/2006/relationships/hyperlink" Target="https://www.genome.jp/entry/C05921" TargetMode="External"/><Relationship Id="rId2879" Type="http://schemas.openxmlformats.org/officeDocument/2006/relationships/hyperlink" Target="https://www.genome.jp/entry/C02218" TargetMode="External"/><Relationship Id="rId101" Type="http://schemas.openxmlformats.org/officeDocument/2006/relationships/hyperlink" Target="https://enzyme.expasy.org/EC/1.1.1.100" TargetMode="External"/><Relationship Id="rId1688" Type="http://schemas.openxmlformats.org/officeDocument/2006/relationships/hyperlink" Target="https://enzyme.expasy.org/EC/2.7.1.40" TargetMode="External"/><Relationship Id="rId1895" Type="http://schemas.openxmlformats.org/officeDocument/2006/relationships/hyperlink" Target="https://enzyme.expasy.org/EC/2.7.7.3" TargetMode="External"/><Relationship Id="rId2739" Type="http://schemas.openxmlformats.org/officeDocument/2006/relationships/hyperlink" Target="https://www.genome.jp/entry/C00810" TargetMode="External"/><Relationship Id="rId2946" Type="http://schemas.openxmlformats.org/officeDocument/2006/relationships/hyperlink" Target="https://www.genome.jp/entry/C00812" TargetMode="External"/><Relationship Id="rId918" Type="http://schemas.openxmlformats.org/officeDocument/2006/relationships/hyperlink" Target="https://www.genome.jp/entry/2.1.1.45" TargetMode="External"/><Relationship Id="rId1548" Type="http://schemas.openxmlformats.org/officeDocument/2006/relationships/hyperlink" Target="https://www.genome.jp/entry/C00002" TargetMode="External"/><Relationship Id="rId1755" Type="http://schemas.openxmlformats.org/officeDocument/2006/relationships/hyperlink" Target="https://enzyme.expasy.org/EC/2.7.2.1" TargetMode="External"/><Relationship Id="rId1408" Type="http://schemas.openxmlformats.org/officeDocument/2006/relationships/hyperlink" Target="https://www.genome.jp/entry/2.4.99.17" TargetMode="External"/><Relationship Id="rId1962" Type="http://schemas.openxmlformats.org/officeDocument/2006/relationships/hyperlink" Target="https://www.genome.jp/entry/C00063" TargetMode="External"/><Relationship Id="rId2806" Type="http://schemas.openxmlformats.org/officeDocument/2006/relationships/hyperlink" Target="https://enzyme.expasy.org/EC/4.2.1.126" TargetMode="External"/><Relationship Id="rId47" Type="http://schemas.openxmlformats.org/officeDocument/2006/relationships/hyperlink" Target="https://www.genome.jp/entry/1.1.1.1" TargetMode="External"/><Relationship Id="rId1615" Type="http://schemas.openxmlformats.org/officeDocument/2006/relationships/hyperlink" Target="https://www.genome.jp/entry/R02704" TargetMode="External"/><Relationship Id="rId1822" Type="http://schemas.openxmlformats.org/officeDocument/2006/relationships/hyperlink" Target="https://enzyme.expasy.org/EC/2.7.4.6" TargetMode="External"/><Relationship Id="rId2389" Type="http://schemas.openxmlformats.org/officeDocument/2006/relationships/hyperlink" Target="https://www.genome.jp/entry/C00159" TargetMode="External"/><Relationship Id="rId2596" Type="http://schemas.openxmlformats.org/officeDocument/2006/relationships/hyperlink" Target="https://www.genome.jp/entry/C00352" TargetMode="External"/><Relationship Id="rId568" Type="http://schemas.openxmlformats.org/officeDocument/2006/relationships/hyperlink" Target="https://www.genome.jp/entry/C00227" TargetMode="External"/><Relationship Id="rId775" Type="http://schemas.openxmlformats.org/officeDocument/2006/relationships/hyperlink" Target="https://www.genome.jp/entry/R02016" TargetMode="External"/><Relationship Id="rId982" Type="http://schemas.openxmlformats.org/officeDocument/2006/relationships/hyperlink" Target="https://www.genome.jp/entry/2.1.2.9" TargetMode="External"/><Relationship Id="rId1198" Type="http://schemas.openxmlformats.org/officeDocument/2006/relationships/hyperlink" Target="https://www.genome.jp/entry/C05756" TargetMode="External"/><Relationship Id="rId2249" Type="http://schemas.openxmlformats.org/officeDocument/2006/relationships/hyperlink" Target="https://enzyme.expasy.org/EC/3.1.3.5" TargetMode="External"/><Relationship Id="rId2456" Type="http://schemas.openxmlformats.org/officeDocument/2006/relationships/hyperlink" Target="https://enzyme.expasy.org/EC/3.2.1.23" TargetMode="External"/><Relationship Id="rId2663" Type="http://schemas.openxmlformats.org/officeDocument/2006/relationships/hyperlink" Target="https://www.genome.jp/entry/C00234" TargetMode="External"/><Relationship Id="rId2870" Type="http://schemas.openxmlformats.org/officeDocument/2006/relationships/hyperlink" Target="https://www.genome.jp/entry/C00065" TargetMode="External"/><Relationship Id="rId428" Type="http://schemas.openxmlformats.org/officeDocument/2006/relationships/hyperlink" Target="https://www.genome.jp/entry/1.17.4.1" TargetMode="External"/><Relationship Id="rId635" Type="http://schemas.openxmlformats.org/officeDocument/2006/relationships/hyperlink" Target="https://www.genome.jp/entry/C00627" TargetMode="External"/><Relationship Id="rId842" Type="http://schemas.openxmlformats.org/officeDocument/2006/relationships/hyperlink" Target="https://www.genome.jp/entry/C00019" TargetMode="External"/><Relationship Id="rId1058" Type="http://schemas.openxmlformats.org/officeDocument/2006/relationships/hyperlink" Target="https://www.genome.jp/entry/C00024" TargetMode="External"/><Relationship Id="rId1265" Type="http://schemas.openxmlformats.org/officeDocument/2006/relationships/hyperlink" Target="https://www.genome.jp/entry/R06987" TargetMode="External"/><Relationship Id="rId1472" Type="http://schemas.openxmlformats.org/officeDocument/2006/relationships/hyperlink" Target="https://www.genome.jp/entry/R10757" TargetMode="External"/><Relationship Id="rId2109" Type="http://schemas.openxmlformats.org/officeDocument/2006/relationships/hyperlink" Target="https://www.genome.jp/entry/C00458" TargetMode="External"/><Relationship Id="rId2316" Type="http://schemas.openxmlformats.org/officeDocument/2006/relationships/hyperlink" Target="https://www.genome.jp/entry/G11122" TargetMode="External"/><Relationship Id="rId2523" Type="http://schemas.openxmlformats.org/officeDocument/2006/relationships/hyperlink" Target="https://www.genome.jp/entry/G10508" TargetMode="External"/><Relationship Id="rId2730" Type="http://schemas.openxmlformats.org/officeDocument/2006/relationships/hyperlink" Target="https://www.genome.jp/entry/C01134" TargetMode="External"/><Relationship Id="rId702" Type="http://schemas.openxmlformats.org/officeDocument/2006/relationships/hyperlink" Target="https://www.genome.jp/entry/C00504" TargetMode="External"/><Relationship Id="rId1125" Type="http://schemas.openxmlformats.org/officeDocument/2006/relationships/hyperlink" Target="https://enzyme.expasy.org/EC/2.3.1.16" TargetMode="External"/><Relationship Id="rId1332" Type="http://schemas.openxmlformats.org/officeDocument/2006/relationships/hyperlink" Target="https://enzyme.expasy.org/EC/2.4.1.227" TargetMode="External"/><Relationship Id="rId3297" Type="http://schemas.openxmlformats.org/officeDocument/2006/relationships/hyperlink" Target="https://www.genome.jp/entry/C00008" TargetMode="External"/><Relationship Id="rId3157" Type="http://schemas.openxmlformats.org/officeDocument/2006/relationships/hyperlink" Target="https://www.genome.jp/entry/C00020" TargetMode="External"/><Relationship Id="rId285" Type="http://schemas.openxmlformats.org/officeDocument/2006/relationships/hyperlink" Target="https://www.genome.jp/entry/R01528" TargetMode="External"/><Relationship Id="rId3364" Type="http://schemas.openxmlformats.org/officeDocument/2006/relationships/hyperlink" Target="https://enzyme.expasy.org/EC/6.3.5.3" TargetMode="External"/><Relationship Id="rId492" Type="http://schemas.openxmlformats.org/officeDocument/2006/relationships/hyperlink" Target="https://enzyme.expasy.org/EC/1.17.4.2" TargetMode="External"/><Relationship Id="rId2173" Type="http://schemas.openxmlformats.org/officeDocument/2006/relationships/hyperlink" Target="https://www.genome.jp/entry/C19085" TargetMode="External"/><Relationship Id="rId2380" Type="http://schemas.openxmlformats.org/officeDocument/2006/relationships/hyperlink" Target="https://www.genome.jp/entry/C00137" TargetMode="External"/><Relationship Id="rId3017" Type="http://schemas.openxmlformats.org/officeDocument/2006/relationships/hyperlink" Target="https://www.genome.jp/entry/C03798" TargetMode="External"/><Relationship Id="rId3224" Type="http://schemas.openxmlformats.org/officeDocument/2006/relationships/hyperlink" Target="https://www.genome.jp/entry/C00002" TargetMode="External"/><Relationship Id="rId3431" Type="http://schemas.openxmlformats.org/officeDocument/2006/relationships/hyperlink" Target="https://enzyme.expasy.org/EC/7.1.2.2" TargetMode="External"/><Relationship Id="rId145" Type="http://schemas.openxmlformats.org/officeDocument/2006/relationships/hyperlink" Target="https://enzyme.expasy.org/EC/1.1.1.100" TargetMode="External"/><Relationship Id="rId352" Type="http://schemas.openxmlformats.org/officeDocument/2006/relationships/hyperlink" Target="https://www.genome.jp/entry/R02024" TargetMode="External"/><Relationship Id="rId2033" Type="http://schemas.openxmlformats.org/officeDocument/2006/relationships/hyperlink" Target="https://enzyme.expasy.org/EC/2.7.7.7" TargetMode="External"/><Relationship Id="rId2240" Type="http://schemas.openxmlformats.org/officeDocument/2006/relationships/hyperlink" Target="https://enzyme.expasy.org/EC/3.1.3.11" TargetMode="External"/><Relationship Id="rId212" Type="http://schemas.openxmlformats.org/officeDocument/2006/relationships/hyperlink" Target="https://www.genome.jp/entry/R12885" TargetMode="External"/><Relationship Id="rId1799" Type="http://schemas.openxmlformats.org/officeDocument/2006/relationships/hyperlink" Target="https://www.genome.jp/entry/C00002" TargetMode="External"/><Relationship Id="rId2100" Type="http://schemas.openxmlformats.org/officeDocument/2006/relationships/hyperlink" Target="https://www.genome.jp/entry/C00677" TargetMode="External"/><Relationship Id="rId1659" Type="http://schemas.openxmlformats.org/officeDocument/2006/relationships/hyperlink" Target="https://www.genome.jp/entry/C00002" TargetMode="External"/><Relationship Id="rId1866" Type="http://schemas.openxmlformats.org/officeDocument/2006/relationships/hyperlink" Target="https://www.genome.jp/entry/C00002" TargetMode="External"/><Relationship Id="rId2917" Type="http://schemas.openxmlformats.org/officeDocument/2006/relationships/hyperlink" Target="https://enzyme.expasy.org/EC/4.3.2.10" TargetMode="External"/><Relationship Id="rId3081" Type="http://schemas.openxmlformats.org/officeDocument/2006/relationships/hyperlink" Target="https://www.genome.jp/entry/C01172" TargetMode="External"/><Relationship Id="rId1519" Type="http://schemas.openxmlformats.org/officeDocument/2006/relationships/hyperlink" Target="https://www.genome.jp/entry/C00166" TargetMode="External"/><Relationship Id="rId1726" Type="http://schemas.openxmlformats.org/officeDocument/2006/relationships/hyperlink" Target="https://www.genome.jp/entry/C00008" TargetMode="External"/><Relationship Id="rId1933" Type="http://schemas.openxmlformats.org/officeDocument/2006/relationships/hyperlink" Target="https://www.genome.jp/entry/C20864" TargetMode="External"/><Relationship Id="rId18" Type="http://schemas.openxmlformats.org/officeDocument/2006/relationships/hyperlink" Target="https://www.genome.jp/entry/R02878" TargetMode="External"/><Relationship Id="rId679" Type="http://schemas.openxmlformats.org/officeDocument/2006/relationships/hyperlink" Target="https://www.genome.jp/entry/1.5.1.3" TargetMode="External"/><Relationship Id="rId886" Type="http://schemas.openxmlformats.org/officeDocument/2006/relationships/hyperlink" Target="https://www.genome.jp/entry/R04988" TargetMode="External"/><Relationship Id="rId2567" Type="http://schemas.openxmlformats.org/officeDocument/2006/relationships/hyperlink" Target="https://enzyme.expasy.org/EC/3.4.11.18" TargetMode="External"/><Relationship Id="rId2774" Type="http://schemas.openxmlformats.org/officeDocument/2006/relationships/hyperlink" Target="https://www.genome.jp/entry/C00447" TargetMode="External"/><Relationship Id="rId2" Type="http://schemas.openxmlformats.org/officeDocument/2006/relationships/hyperlink" Target="https://www.genome.jp/entry/1.1.1.1" TargetMode="External"/><Relationship Id="rId539" Type="http://schemas.openxmlformats.org/officeDocument/2006/relationships/hyperlink" Target="https://www.genome.jp/entry/C00024" TargetMode="External"/><Relationship Id="rId746" Type="http://schemas.openxmlformats.org/officeDocument/2006/relationships/hyperlink" Target="https://www.genome.jp/entry/C02972" TargetMode="External"/><Relationship Id="rId1169" Type="http://schemas.openxmlformats.org/officeDocument/2006/relationships/hyperlink" Target="https://www.genome.jp/entry/C00685" TargetMode="External"/><Relationship Id="rId1376" Type="http://schemas.openxmlformats.org/officeDocument/2006/relationships/hyperlink" Target="https://www.genome.jp/entry/C01977" TargetMode="External"/><Relationship Id="rId1583" Type="http://schemas.openxmlformats.org/officeDocument/2006/relationships/hyperlink" Target="https://www.genome.jp/entry/C00022" TargetMode="External"/><Relationship Id="rId2427" Type="http://schemas.openxmlformats.org/officeDocument/2006/relationships/hyperlink" Target="https://www.genome.jp/entry/C00001" TargetMode="External"/><Relationship Id="rId2981" Type="http://schemas.openxmlformats.org/officeDocument/2006/relationships/hyperlink" Target="https://www.genome.jp/entry/C05689" TargetMode="External"/><Relationship Id="rId953" Type="http://schemas.openxmlformats.org/officeDocument/2006/relationships/hyperlink" Target="https://www.genome.jp/entry/R02961" TargetMode="External"/><Relationship Id="rId1029" Type="http://schemas.openxmlformats.org/officeDocument/2006/relationships/hyperlink" Target="https://www.genome.jp/entry/C06006" TargetMode="External"/><Relationship Id="rId1236" Type="http://schemas.openxmlformats.org/officeDocument/2006/relationships/hyperlink" Target="https://www.genome.jp/entry/R04316" TargetMode="External"/><Relationship Id="rId1790" Type="http://schemas.openxmlformats.org/officeDocument/2006/relationships/hyperlink" Target="https://www.genome.jp/entry/C00002" TargetMode="External"/><Relationship Id="rId2634" Type="http://schemas.openxmlformats.org/officeDocument/2006/relationships/hyperlink" Target="https://www.genome.jp/entry/C00337" TargetMode="External"/><Relationship Id="rId2841" Type="http://schemas.openxmlformats.org/officeDocument/2006/relationships/hyperlink" Target="https://www.genome.jp/entry/C00712" TargetMode="External"/><Relationship Id="rId82" Type="http://schemas.openxmlformats.org/officeDocument/2006/relationships/hyperlink" Target="https://www.genome.jp/entry/1.1.1.1" TargetMode="External"/><Relationship Id="rId606" Type="http://schemas.openxmlformats.org/officeDocument/2006/relationships/hyperlink" Target="https://www.genome.jp/entry/R00248" TargetMode="External"/><Relationship Id="rId813" Type="http://schemas.openxmlformats.org/officeDocument/2006/relationships/hyperlink" Target="https://enzyme.expasy.org/EC/2.1.1.14" TargetMode="External"/><Relationship Id="rId1443" Type="http://schemas.openxmlformats.org/officeDocument/2006/relationships/hyperlink" Target="https://www.genome.jp/entry/2.5.1.47" TargetMode="External"/><Relationship Id="rId1650" Type="http://schemas.openxmlformats.org/officeDocument/2006/relationships/hyperlink" Target="https://enzyme.expasy.org/EC/2.7.1.30" TargetMode="External"/><Relationship Id="rId2701" Type="http://schemas.openxmlformats.org/officeDocument/2006/relationships/hyperlink" Target="https://enzyme.expasy.org/EC/4.1.1.101" TargetMode="External"/><Relationship Id="rId1303" Type="http://schemas.openxmlformats.org/officeDocument/2006/relationships/hyperlink" Target="https://enzyme.expasy.org/EC/2.4.1.1" TargetMode="External"/><Relationship Id="rId1510" Type="http://schemas.openxmlformats.org/officeDocument/2006/relationships/hyperlink" Target="https://www.genome.jp/entry/R00734" TargetMode="External"/><Relationship Id="rId3268" Type="http://schemas.openxmlformats.org/officeDocument/2006/relationships/hyperlink" Target="https://enzyme.expasy.org/EC/6.3.1.20" TargetMode="External"/><Relationship Id="rId189" Type="http://schemas.openxmlformats.org/officeDocument/2006/relationships/hyperlink" Target="https://www.genome.jp/entry/C16618" TargetMode="External"/><Relationship Id="rId396" Type="http://schemas.openxmlformats.org/officeDocument/2006/relationships/hyperlink" Target="https://www.genome.jp/entry/C04232" TargetMode="External"/><Relationship Id="rId2077" Type="http://schemas.openxmlformats.org/officeDocument/2006/relationships/hyperlink" Target="https://www.genome.jp/entry/C00013" TargetMode="External"/><Relationship Id="rId2284" Type="http://schemas.openxmlformats.org/officeDocument/2006/relationships/hyperlink" Target="https://www.genome.jp/entry/C00330" TargetMode="External"/><Relationship Id="rId2491" Type="http://schemas.openxmlformats.org/officeDocument/2006/relationships/hyperlink" Target="https://www.genome.jp/entry/C00124" TargetMode="External"/><Relationship Id="rId3128" Type="http://schemas.openxmlformats.org/officeDocument/2006/relationships/hyperlink" Target="https://www.genome.jp/entry/C03733" TargetMode="External"/><Relationship Id="rId3335" Type="http://schemas.openxmlformats.org/officeDocument/2006/relationships/hyperlink" Target="https://www.genome.jp/entry/C00002" TargetMode="External"/><Relationship Id="rId256" Type="http://schemas.openxmlformats.org/officeDocument/2006/relationships/hyperlink" Target="https://www.genome.jp/entry/1.1.1.27" TargetMode="External"/><Relationship Id="rId463" Type="http://schemas.openxmlformats.org/officeDocument/2006/relationships/hyperlink" Target="https://www.genome.jp/entry/1.17.4.1" TargetMode="External"/><Relationship Id="rId670" Type="http://schemas.openxmlformats.org/officeDocument/2006/relationships/hyperlink" Target="https://www.genome.jp/entry/R07168" TargetMode="External"/><Relationship Id="rId1093" Type="http://schemas.openxmlformats.org/officeDocument/2006/relationships/hyperlink" Target="https://www.genome.jp/entry/C05274" TargetMode="External"/><Relationship Id="rId2144" Type="http://schemas.openxmlformats.org/officeDocument/2006/relationships/hyperlink" Target="https://enzyme.expasy.org/EC/2.7.7.7" TargetMode="External"/><Relationship Id="rId2351" Type="http://schemas.openxmlformats.org/officeDocument/2006/relationships/hyperlink" Target="https://enzyme.expasy.org/EC/3.2.1.22" TargetMode="External"/><Relationship Id="rId3402" Type="http://schemas.openxmlformats.org/officeDocument/2006/relationships/hyperlink" Target="https://www.genome.jp/entry/C00008" TargetMode="External"/><Relationship Id="rId116" Type="http://schemas.openxmlformats.org/officeDocument/2006/relationships/hyperlink" Target="https://enzyme.expasy.org/EC/1.1.1.100" TargetMode="External"/><Relationship Id="rId323" Type="http://schemas.openxmlformats.org/officeDocument/2006/relationships/hyperlink" Target="https://www.genome.jp/entry/C03972" TargetMode="External"/><Relationship Id="rId530" Type="http://schemas.openxmlformats.org/officeDocument/2006/relationships/hyperlink" Target="https://www.genome.jp/entry/C00460" TargetMode="External"/><Relationship Id="rId1160" Type="http://schemas.openxmlformats.org/officeDocument/2006/relationships/hyperlink" Target="https://enzyme.expasy.org/EC/2.3.1.16" TargetMode="External"/><Relationship Id="rId2004" Type="http://schemas.openxmlformats.org/officeDocument/2006/relationships/hyperlink" Target="https://www.genome.jp/entry/C00201" TargetMode="External"/><Relationship Id="rId2211" Type="http://schemas.openxmlformats.org/officeDocument/2006/relationships/hyperlink" Target="https://www.genome.jp/entry/C00097" TargetMode="External"/><Relationship Id="rId1020" Type="http://schemas.openxmlformats.org/officeDocument/2006/relationships/hyperlink" Target="https://enzyme.expasy.org/EC/2.2.1.6" TargetMode="External"/><Relationship Id="rId1977" Type="http://schemas.openxmlformats.org/officeDocument/2006/relationships/hyperlink" Target="https://www.genome.jp/entry/C00044" TargetMode="External"/><Relationship Id="rId1837" Type="http://schemas.openxmlformats.org/officeDocument/2006/relationships/hyperlink" Target="https://enzyme.expasy.org/EC/2.7.4.6" TargetMode="External"/><Relationship Id="rId3192" Type="http://schemas.openxmlformats.org/officeDocument/2006/relationships/hyperlink" Target="https://www.genome.jp/entry/C00002" TargetMode="External"/><Relationship Id="rId3052" Type="http://schemas.openxmlformats.org/officeDocument/2006/relationships/hyperlink" Target="https://enzyme.expasy.org/EC/5.3.1.30" TargetMode="External"/><Relationship Id="rId180" Type="http://schemas.openxmlformats.org/officeDocument/2006/relationships/hyperlink" Target="https://enzyme.expasy.org/EC/1.1.1.205" TargetMode="External"/><Relationship Id="rId1904" Type="http://schemas.openxmlformats.org/officeDocument/2006/relationships/hyperlink" Target="https://enzyme.expasy.org/EC/2.7.7.6" TargetMode="External"/><Relationship Id="rId997" Type="http://schemas.openxmlformats.org/officeDocument/2006/relationships/hyperlink" Target="https://www.genome.jp/entry/R00006" TargetMode="External"/><Relationship Id="rId2678" Type="http://schemas.openxmlformats.org/officeDocument/2006/relationships/hyperlink" Target="https://www.genome.jp/entry/C00404" TargetMode="External"/><Relationship Id="rId2885" Type="http://schemas.openxmlformats.org/officeDocument/2006/relationships/hyperlink" Target="https://www.genome.jp/entry/C00065" TargetMode="External"/><Relationship Id="rId857" Type="http://schemas.openxmlformats.org/officeDocument/2006/relationships/hyperlink" Target="https://enzyme.expasy.org/EC/2.1.1.198" TargetMode="External"/><Relationship Id="rId1487" Type="http://schemas.openxmlformats.org/officeDocument/2006/relationships/hyperlink" Target="https://enzyme.expasy.org/EC/2.6.1.42" TargetMode="External"/><Relationship Id="rId1694" Type="http://schemas.openxmlformats.org/officeDocument/2006/relationships/hyperlink" Target="https://enzyme.expasy.org/EC/2.7.1.48" TargetMode="External"/><Relationship Id="rId2538" Type="http://schemas.openxmlformats.org/officeDocument/2006/relationships/hyperlink" Target="https://www.genome.jp/entry/C04534" TargetMode="External"/><Relationship Id="rId2745" Type="http://schemas.openxmlformats.org/officeDocument/2006/relationships/hyperlink" Target="https://www.genome.jp/entry/C00111" TargetMode="External"/><Relationship Id="rId2952" Type="http://schemas.openxmlformats.org/officeDocument/2006/relationships/hyperlink" Target="https://www.genome.jp/entry/C00283" TargetMode="External"/><Relationship Id="rId717" Type="http://schemas.openxmlformats.org/officeDocument/2006/relationships/hyperlink" Target="https://www.genome.jp/entry/C00144" TargetMode="External"/><Relationship Id="rId924" Type="http://schemas.openxmlformats.org/officeDocument/2006/relationships/hyperlink" Target="https://www.genome.jp/entry/R04314" TargetMode="External"/><Relationship Id="rId1347" Type="http://schemas.openxmlformats.org/officeDocument/2006/relationships/hyperlink" Target="https://www.genome.jp/entry/C00108" TargetMode="External"/><Relationship Id="rId1554" Type="http://schemas.openxmlformats.org/officeDocument/2006/relationships/hyperlink" Target="https://enzyme.expasy.org/EC/2.7.1.11" TargetMode="External"/><Relationship Id="rId1761" Type="http://schemas.openxmlformats.org/officeDocument/2006/relationships/hyperlink" Target="https://enzyme.expasy.org/EC/2.7.2.4" TargetMode="External"/><Relationship Id="rId2605" Type="http://schemas.openxmlformats.org/officeDocument/2006/relationships/hyperlink" Target="https://www.genome.jp/entry/C00033" TargetMode="External"/><Relationship Id="rId2812" Type="http://schemas.openxmlformats.org/officeDocument/2006/relationships/hyperlink" Target="https://enzyme.expasy.org/EC/4.2.1.19" TargetMode="External"/><Relationship Id="rId53" Type="http://schemas.openxmlformats.org/officeDocument/2006/relationships/hyperlink" Target="https://www.genome.jp/entry/R08281" TargetMode="External"/><Relationship Id="rId1207" Type="http://schemas.openxmlformats.org/officeDocument/2006/relationships/hyperlink" Target="https://www.genome.jp/entry/C05764" TargetMode="External"/><Relationship Id="rId1414" Type="http://schemas.openxmlformats.org/officeDocument/2006/relationships/hyperlink" Target="https://enzyme.expasy.org/EC/2.5.1.17" TargetMode="External"/><Relationship Id="rId1621" Type="http://schemas.openxmlformats.org/officeDocument/2006/relationships/hyperlink" Target="https://www.genome.jp/entry/C04261" TargetMode="External"/><Relationship Id="rId3379" Type="http://schemas.openxmlformats.org/officeDocument/2006/relationships/hyperlink" Target="https://enzyme.expasy.org/EC/6.3.5.4" TargetMode="External"/><Relationship Id="rId2188" Type="http://schemas.openxmlformats.org/officeDocument/2006/relationships/hyperlink" Target="https://www.genome.jp/entry/C20641" TargetMode="External"/><Relationship Id="rId2395" Type="http://schemas.openxmlformats.org/officeDocument/2006/relationships/hyperlink" Target="https://www.genome.jp/entry/C00124" TargetMode="External"/><Relationship Id="rId3239" Type="http://schemas.openxmlformats.org/officeDocument/2006/relationships/hyperlink" Target="https://www.genome.jp/entry/C00002" TargetMode="External"/><Relationship Id="rId3446" Type="http://schemas.openxmlformats.org/officeDocument/2006/relationships/hyperlink" Target="https://www.genome.jp/entry/" TargetMode="External"/><Relationship Id="rId367" Type="http://schemas.openxmlformats.org/officeDocument/2006/relationships/hyperlink" Target="https://www.genome.jp/entry/R11893" TargetMode="External"/><Relationship Id="rId574" Type="http://schemas.openxmlformats.org/officeDocument/2006/relationships/hyperlink" Target="https://enzyme.expasy.org/EC/1.3.1.14" TargetMode="External"/><Relationship Id="rId2048" Type="http://schemas.openxmlformats.org/officeDocument/2006/relationships/hyperlink" Target="https://enzyme.expasy.org/EC/2.7.7.7" TargetMode="External"/><Relationship Id="rId2255" Type="http://schemas.openxmlformats.org/officeDocument/2006/relationships/hyperlink" Target="https://enzyme.expasy.org/EC/3.1.3.5" TargetMode="External"/><Relationship Id="rId227" Type="http://schemas.openxmlformats.org/officeDocument/2006/relationships/hyperlink" Target="https://www.genome.jp/entry/R05681" TargetMode="External"/><Relationship Id="rId781" Type="http://schemas.openxmlformats.org/officeDocument/2006/relationships/hyperlink" Target="https://www.genome.jp/entry/C03023" TargetMode="External"/><Relationship Id="rId2462" Type="http://schemas.openxmlformats.org/officeDocument/2006/relationships/hyperlink" Target="https://enzyme.expasy.org/EC/3.2.1.23" TargetMode="External"/><Relationship Id="rId3306" Type="http://schemas.openxmlformats.org/officeDocument/2006/relationships/hyperlink" Target="https://www.genome.jp/entry/C00008" TargetMode="External"/><Relationship Id="rId434" Type="http://schemas.openxmlformats.org/officeDocument/2006/relationships/hyperlink" Target="https://www.genome.jp/entry/R08364" TargetMode="External"/><Relationship Id="rId641" Type="http://schemas.openxmlformats.org/officeDocument/2006/relationships/hyperlink" Target="https://www.genome.jp/entry/R01711" TargetMode="External"/><Relationship Id="rId1064" Type="http://schemas.openxmlformats.org/officeDocument/2006/relationships/hyperlink" Target="https://www.genome.jp/entry/C00010" TargetMode="External"/><Relationship Id="rId1271" Type="http://schemas.openxmlformats.org/officeDocument/2006/relationships/hyperlink" Target="https://www.genome.jp/entry/C00024" TargetMode="External"/><Relationship Id="rId2115" Type="http://schemas.openxmlformats.org/officeDocument/2006/relationships/hyperlink" Target="https://www.genome.jp/entry/C11039" TargetMode="External"/><Relationship Id="rId2322" Type="http://schemas.openxmlformats.org/officeDocument/2006/relationships/hyperlink" Target="https://www.genome.jp/entry/C00089" TargetMode="External"/><Relationship Id="rId501" Type="http://schemas.openxmlformats.org/officeDocument/2006/relationships/hyperlink" Target="https://www.genome.jp/entry/C00063" TargetMode="External"/><Relationship Id="rId1131" Type="http://schemas.openxmlformats.org/officeDocument/2006/relationships/hyperlink" Target="https://www.genome.jp/entry/2.3.1.16" TargetMode="External"/><Relationship Id="rId3096" Type="http://schemas.openxmlformats.org/officeDocument/2006/relationships/hyperlink" Target="https://www.genome.jp/entry/C06156" TargetMode="External"/><Relationship Id="rId1948" Type="http://schemas.openxmlformats.org/officeDocument/2006/relationships/hyperlink" Target="https://www.genome.jp/entry/C00013" TargetMode="External"/><Relationship Id="rId3163" Type="http://schemas.openxmlformats.org/officeDocument/2006/relationships/hyperlink" Target="https://www.genome.jp/entry/C00020" TargetMode="External"/><Relationship Id="rId3370" Type="http://schemas.openxmlformats.org/officeDocument/2006/relationships/hyperlink" Target="https://enzyme.expasy.org/EC/6.3.5.3" TargetMode="External"/><Relationship Id="rId291" Type="http://schemas.openxmlformats.org/officeDocument/2006/relationships/hyperlink" Target="https://www.genome.jp/entry/C01236" TargetMode="External"/><Relationship Id="rId1808" Type="http://schemas.openxmlformats.org/officeDocument/2006/relationships/hyperlink" Target="https://www.genome.jp/entry/C00002" TargetMode="External"/><Relationship Id="rId3023" Type="http://schemas.openxmlformats.org/officeDocument/2006/relationships/hyperlink" Target="https://www.genome.jp/entry/C03798" TargetMode="External"/><Relationship Id="rId151" Type="http://schemas.openxmlformats.org/officeDocument/2006/relationships/hyperlink" Target="https://www.genome.jp/entry/1.1.1.169" TargetMode="External"/><Relationship Id="rId3230" Type="http://schemas.openxmlformats.org/officeDocument/2006/relationships/hyperlink" Target="https://www.genome.jp/entry/C00002" TargetMode="External"/><Relationship Id="rId2789" Type="http://schemas.openxmlformats.org/officeDocument/2006/relationships/hyperlink" Target="https://www.genome.jp/entry/C00199" TargetMode="External"/><Relationship Id="rId2996" Type="http://schemas.openxmlformats.org/officeDocument/2006/relationships/hyperlink" Target="https://www.genome.jp/entry/C00199" TargetMode="External"/><Relationship Id="rId968" Type="http://schemas.openxmlformats.org/officeDocument/2006/relationships/hyperlink" Target="https://www.genome.jp/entry/R04325" TargetMode="External"/><Relationship Id="rId1598" Type="http://schemas.openxmlformats.org/officeDocument/2006/relationships/hyperlink" Target="https://enzyme.expasy.org/EC/2.7.1.15" TargetMode="External"/><Relationship Id="rId2649" Type="http://schemas.openxmlformats.org/officeDocument/2006/relationships/hyperlink" Target="https://www.genome.jp/entry/C00294" TargetMode="External"/><Relationship Id="rId2856" Type="http://schemas.openxmlformats.org/officeDocument/2006/relationships/hyperlink" Target="https://www.genome.jp/entry/C05757" TargetMode="External"/><Relationship Id="rId97" Type="http://schemas.openxmlformats.org/officeDocument/2006/relationships/hyperlink" Target="https://www.genome.jp/entry/1.1.1.100" TargetMode="External"/><Relationship Id="rId828" Type="http://schemas.openxmlformats.org/officeDocument/2006/relationships/hyperlink" Target="https://www.genome.jp/entry/2.1.1.172" TargetMode="External"/><Relationship Id="rId1458" Type="http://schemas.openxmlformats.org/officeDocument/2006/relationships/hyperlink" Target="https://www.genome.jp/entry/2.5.1.6" TargetMode="External"/><Relationship Id="rId1665" Type="http://schemas.openxmlformats.org/officeDocument/2006/relationships/hyperlink" Target="https://www.genome.jp/entry/C00002" TargetMode="External"/><Relationship Id="rId1872" Type="http://schemas.openxmlformats.org/officeDocument/2006/relationships/hyperlink" Target="https://www.genome.jp/entry/C00020" TargetMode="External"/><Relationship Id="rId2509" Type="http://schemas.openxmlformats.org/officeDocument/2006/relationships/hyperlink" Target="https://www.genome.jp/entry/C00095" TargetMode="External"/><Relationship Id="rId2716" Type="http://schemas.openxmlformats.org/officeDocument/2006/relationships/hyperlink" Target="https://enzyme.expasy.org/EC/4.1.1.20" TargetMode="External"/><Relationship Id="rId1318" Type="http://schemas.openxmlformats.org/officeDocument/2006/relationships/hyperlink" Target="https://www.genome.jp/entry/R05662" TargetMode="External"/><Relationship Id="rId1525" Type="http://schemas.openxmlformats.org/officeDocument/2006/relationships/hyperlink" Target="https://www.genome.jp/entry/R02240" TargetMode="External"/><Relationship Id="rId2923" Type="http://schemas.openxmlformats.org/officeDocument/2006/relationships/hyperlink" Target="https://enzyme.expasy.org/EC/4.3.2.2" TargetMode="External"/><Relationship Id="rId1732" Type="http://schemas.openxmlformats.org/officeDocument/2006/relationships/hyperlink" Target="https://www.genome.jp/entry/C03785" TargetMode="External"/><Relationship Id="rId24" Type="http://schemas.openxmlformats.org/officeDocument/2006/relationships/hyperlink" Target="https://www.genome.jp/entry/C05444" TargetMode="External"/><Relationship Id="rId2299" Type="http://schemas.openxmlformats.org/officeDocument/2006/relationships/hyperlink" Target="https://www.genome.jp/entry/C00224" TargetMode="External"/><Relationship Id="rId478" Type="http://schemas.openxmlformats.org/officeDocument/2006/relationships/hyperlink" Target="https://www.genome.jp/entry/1.17.4.1" TargetMode="External"/><Relationship Id="rId685" Type="http://schemas.openxmlformats.org/officeDocument/2006/relationships/hyperlink" Target="https://www.genome.jp/entry/R00937" TargetMode="External"/><Relationship Id="rId892" Type="http://schemas.openxmlformats.org/officeDocument/2006/relationships/hyperlink" Target="https://www.genome.jp/entry/C17551" TargetMode="External"/><Relationship Id="rId2159" Type="http://schemas.openxmlformats.org/officeDocument/2006/relationships/hyperlink" Target="https://enzyme.expasy.org/EC/2.7.7.7" TargetMode="External"/><Relationship Id="rId2366" Type="http://schemas.openxmlformats.org/officeDocument/2006/relationships/hyperlink" Target="https://enzyme.expasy.org/EC/3.2.1.22" TargetMode="External"/><Relationship Id="rId2573" Type="http://schemas.openxmlformats.org/officeDocument/2006/relationships/hyperlink" Target="https://enzyme.expasy.org/EC/3.4.19.3" TargetMode="External"/><Relationship Id="rId2780" Type="http://schemas.openxmlformats.org/officeDocument/2006/relationships/hyperlink" Target="https://www.genome.jp/entry/C00673" TargetMode="External"/><Relationship Id="rId3417" Type="http://schemas.openxmlformats.org/officeDocument/2006/relationships/hyperlink" Target="https://www.genome.jp/entry/C00002" TargetMode="External"/><Relationship Id="rId338" Type="http://schemas.openxmlformats.org/officeDocument/2006/relationships/hyperlink" Target="https://www.genome.jp/entry/C00206" TargetMode="External"/><Relationship Id="rId545" Type="http://schemas.openxmlformats.org/officeDocument/2006/relationships/hyperlink" Target="https://www.genome.jp/entry/1.2.1.11" TargetMode="External"/><Relationship Id="rId752" Type="http://schemas.openxmlformats.org/officeDocument/2006/relationships/hyperlink" Target="https://www.genome.jp/entry/C15972" TargetMode="External"/><Relationship Id="rId1175" Type="http://schemas.openxmlformats.org/officeDocument/2006/relationships/hyperlink" Target="https://enzyme.expasy.org/EC/2.3.1.179" TargetMode="External"/><Relationship Id="rId1382" Type="http://schemas.openxmlformats.org/officeDocument/2006/relationships/hyperlink" Target="https://www.genome.jp/entry/C19771" TargetMode="External"/><Relationship Id="rId2019" Type="http://schemas.openxmlformats.org/officeDocument/2006/relationships/hyperlink" Target="https://www.genome.jp/entry/C00075" TargetMode="External"/><Relationship Id="rId2226" Type="http://schemas.openxmlformats.org/officeDocument/2006/relationships/hyperlink" Target="https://enzyme.expasy.org/EC/3.1.2.20" TargetMode="External"/><Relationship Id="rId2433" Type="http://schemas.openxmlformats.org/officeDocument/2006/relationships/hyperlink" Target="https://www.genome.jp/entry/G01275" TargetMode="External"/><Relationship Id="rId2640" Type="http://schemas.openxmlformats.org/officeDocument/2006/relationships/hyperlink" Target="https://www.genome.jp/entry/C04896" TargetMode="External"/><Relationship Id="rId405" Type="http://schemas.openxmlformats.org/officeDocument/2006/relationships/hyperlink" Target="https://www.genome.jp/entry/C04232" TargetMode="External"/><Relationship Id="rId612" Type="http://schemas.openxmlformats.org/officeDocument/2006/relationships/hyperlink" Target="https://www.genome.jp/entry/C00064" TargetMode="External"/><Relationship Id="rId1035" Type="http://schemas.openxmlformats.org/officeDocument/2006/relationships/hyperlink" Target="https://enzyme.expasy.org/EC/2.3.1.15" TargetMode="External"/><Relationship Id="rId1242" Type="http://schemas.openxmlformats.org/officeDocument/2006/relationships/hyperlink" Target="https://www.genome.jp/entry/C02133" TargetMode="External"/><Relationship Id="rId2500" Type="http://schemas.openxmlformats.org/officeDocument/2006/relationships/hyperlink" Target="https://www.genome.jp/entry/C02336" TargetMode="External"/><Relationship Id="rId1102" Type="http://schemas.openxmlformats.org/officeDocument/2006/relationships/hyperlink" Target="https://www.genome.jp/entry/R05506" TargetMode="External"/><Relationship Id="rId3067" Type="http://schemas.openxmlformats.org/officeDocument/2006/relationships/hyperlink" Target="https://enzyme.expasy.org/EC/5.3.1.8" TargetMode="External"/><Relationship Id="rId3274" Type="http://schemas.openxmlformats.org/officeDocument/2006/relationships/hyperlink" Target="https://enzyme.expasy.org/EC/6.3.1.20" TargetMode="External"/><Relationship Id="rId195" Type="http://schemas.openxmlformats.org/officeDocument/2006/relationships/hyperlink" Target="https://enzyme.expasy.org/EC/1.1.1.23" TargetMode="External"/><Relationship Id="rId1919" Type="http://schemas.openxmlformats.org/officeDocument/2006/relationships/hyperlink" Target="https://enzyme.expasy.org/EC/2.7.7.6" TargetMode="External"/><Relationship Id="rId2083" Type="http://schemas.openxmlformats.org/officeDocument/2006/relationships/hyperlink" Target="https://www.genome.jp/entry/C00013" TargetMode="External"/><Relationship Id="rId2290" Type="http://schemas.openxmlformats.org/officeDocument/2006/relationships/hyperlink" Target="https://www.genome.jp/entry/C00526" TargetMode="External"/><Relationship Id="rId3134" Type="http://schemas.openxmlformats.org/officeDocument/2006/relationships/hyperlink" Target="https://enzyme.expasy.org/EC/5.6.2.2" TargetMode="External"/><Relationship Id="rId3341" Type="http://schemas.openxmlformats.org/officeDocument/2006/relationships/hyperlink" Target="https://www.genome.jp/entry/C01185" TargetMode="External"/><Relationship Id="rId262" Type="http://schemas.openxmlformats.org/officeDocument/2006/relationships/hyperlink" Target="https://www.genome.jp/entry/R01000" TargetMode="External"/><Relationship Id="rId2150" Type="http://schemas.openxmlformats.org/officeDocument/2006/relationships/hyperlink" Target="https://enzyme.expasy.org/EC/2.7.7.7" TargetMode="External"/><Relationship Id="rId3201" Type="http://schemas.openxmlformats.org/officeDocument/2006/relationships/hyperlink" Target="https://www.genome.jp/entry/C0000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2.7.1.30" TargetMode="External"/><Relationship Id="rId299" Type="http://schemas.openxmlformats.org/officeDocument/2006/relationships/hyperlink" Target="https://enzyme.expasy.org/EC/6.1.1.7" TargetMode="External"/><Relationship Id="rId21" Type="http://schemas.openxmlformats.org/officeDocument/2006/relationships/hyperlink" Target="https://enzyme.expasy.org/EC/1.17.99.6" TargetMode="External"/><Relationship Id="rId63" Type="http://schemas.openxmlformats.org/officeDocument/2006/relationships/hyperlink" Target="https://enzyme.expasy.org/EC/2.1.2.9" TargetMode="External"/><Relationship Id="rId159" Type="http://schemas.openxmlformats.org/officeDocument/2006/relationships/hyperlink" Target="https://enzyme.expasy.org/EC/2.7.8.7" TargetMode="External"/><Relationship Id="rId324" Type="http://schemas.openxmlformats.org/officeDocument/2006/relationships/hyperlink" Target="https://enzyme.expasy.org/EC/6.3.5.3" TargetMode="External"/><Relationship Id="rId170" Type="http://schemas.openxmlformats.org/officeDocument/2006/relationships/hyperlink" Target="https://enzyme.expasy.org/EC/3.1.21.3" TargetMode="External"/><Relationship Id="rId226" Type="http://schemas.openxmlformats.org/officeDocument/2006/relationships/hyperlink" Target="https://enzyme.expasy.org/EC/4.1.1.21" TargetMode="External"/><Relationship Id="rId268" Type="http://schemas.openxmlformats.org/officeDocument/2006/relationships/hyperlink" Target="https://enzyme.expasy.org/EC/5.3.1.8" TargetMode="External"/><Relationship Id="rId32" Type="http://schemas.openxmlformats.org/officeDocument/2006/relationships/hyperlink" Target="https://enzyme.expasy.org/EC/1.5.1.2" TargetMode="External"/><Relationship Id="rId74" Type="http://schemas.openxmlformats.org/officeDocument/2006/relationships/hyperlink" Target="https://enzyme.expasy.org/EC/2.3.1.39" TargetMode="External"/><Relationship Id="rId128" Type="http://schemas.openxmlformats.org/officeDocument/2006/relationships/hyperlink" Target="https://enzyme.expasy.org/EC/2.7.11.33" TargetMode="External"/><Relationship Id="rId335" Type="http://schemas.openxmlformats.org/officeDocument/2006/relationships/hyperlink" Target="https://enzyme.expasy.org/EC/7.4.2.11" TargetMode="External"/><Relationship Id="rId5" Type="http://schemas.openxmlformats.org/officeDocument/2006/relationships/hyperlink" Target="https://enzyme.expasy.org/EC/1.1.1.18" TargetMode="External"/><Relationship Id="rId181" Type="http://schemas.openxmlformats.org/officeDocument/2006/relationships/hyperlink" Target="https://enzyme.expasy.org/EC/3.2.1.22" TargetMode="External"/><Relationship Id="rId237" Type="http://schemas.openxmlformats.org/officeDocument/2006/relationships/hyperlink" Target="https://enzyme.expasy.org/EC/4.1.3.6" TargetMode="External"/><Relationship Id="rId279" Type="http://schemas.openxmlformats.org/officeDocument/2006/relationships/hyperlink" Target="https://enzyme.expasy.org/EC/5.4.99.9" TargetMode="External"/><Relationship Id="rId43" Type="http://schemas.openxmlformats.org/officeDocument/2006/relationships/hyperlink" Target="https://enzyme.expasy.org/EC/2.1.1.170" TargetMode="External"/><Relationship Id="rId139" Type="http://schemas.openxmlformats.org/officeDocument/2006/relationships/hyperlink" Target="https://enzyme.expasy.org/EC/2.7.4.28" TargetMode="External"/><Relationship Id="rId290" Type="http://schemas.openxmlformats.org/officeDocument/2006/relationships/hyperlink" Target="https://enzyme.expasy.org/EC/6.1.1.17" TargetMode="External"/><Relationship Id="rId304" Type="http://schemas.openxmlformats.org/officeDocument/2006/relationships/hyperlink" Target="https://enzyme.expasy.org/EC/6.3.1.5" TargetMode="External"/><Relationship Id="rId85" Type="http://schemas.openxmlformats.org/officeDocument/2006/relationships/hyperlink" Target="https://enzyme.expasy.org/EC/2.4.2.2" TargetMode="External"/><Relationship Id="rId150" Type="http://schemas.openxmlformats.org/officeDocument/2006/relationships/hyperlink" Target="https://enzyme.expasy.org/EC/2.7.7.6" TargetMode="External"/><Relationship Id="rId192" Type="http://schemas.openxmlformats.org/officeDocument/2006/relationships/hyperlink" Target="https://enzyme.expasy.org/EC/3.4.11.5" TargetMode="External"/><Relationship Id="rId206" Type="http://schemas.openxmlformats.org/officeDocument/2006/relationships/hyperlink" Target="https://enzyme.expasy.org/EC/3.5.1.88" TargetMode="External"/><Relationship Id="rId248" Type="http://schemas.openxmlformats.org/officeDocument/2006/relationships/hyperlink" Target="https://enzyme.expasy.org/EC/4.3.1.17" TargetMode="External"/><Relationship Id="rId12" Type="http://schemas.openxmlformats.org/officeDocument/2006/relationships/hyperlink" Target="https://enzyme.expasy.org/EC/1.1.1.343" TargetMode="External"/><Relationship Id="rId108" Type="http://schemas.openxmlformats.org/officeDocument/2006/relationships/hyperlink" Target="https://enzyme.expasy.org/EC/2.7.1.148" TargetMode="External"/><Relationship Id="rId315" Type="http://schemas.openxmlformats.org/officeDocument/2006/relationships/hyperlink" Target="https://enzyme.expasy.org/EC/6.3.4.15" TargetMode="External"/><Relationship Id="rId54" Type="http://schemas.openxmlformats.org/officeDocument/2006/relationships/hyperlink" Target="https://enzyme.expasy.org/EC/2.1.1.223" TargetMode="External"/><Relationship Id="rId96" Type="http://schemas.openxmlformats.org/officeDocument/2006/relationships/hyperlink" Target="https://enzyme.expasy.org/EC/2.5.1.47" TargetMode="External"/><Relationship Id="rId161" Type="http://schemas.openxmlformats.org/officeDocument/2006/relationships/hyperlink" Target="https://enzyme.expasy.org/EC/2.8.1.13" TargetMode="External"/><Relationship Id="rId217" Type="http://schemas.openxmlformats.org/officeDocument/2006/relationships/hyperlink" Target="https://enzyme.expasy.org/EC/3.6.1.31" TargetMode="External"/><Relationship Id="rId259" Type="http://schemas.openxmlformats.org/officeDocument/2006/relationships/hyperlink" Target="https://enzyme.expasy.org/EC/5.1.3.2" TargetMode="External"/><Relationship Id="rId23" Type="http://schemas.openxmlformats.org/officeDocument/2006/relationships/hyperlink" Target="https://enzyme.expasy.org/EC/1.2.1.41" TargetMode="External"/><Relationship Id="rId119" Type="http://schemas.openxmlformats.org/officeDocument/2006/relationships/hyperlink" Target="https://enzyme.expasy.org/EC/2.7.1.36" TargetMode="External"/><Relationship Id="rId270" Type="http://schemas.openxmlformats.org/officeDocument/2006/relationships/hyperlink" Target="https://enzyme.expasy.org/EC/5.3.3.2" TargetMode="External"/><Relationship Id="rId326" Type="http://schemas.openxmlformats.org/officeDocument/2006/relationships/hyperlink" Target="https://enzyme.expasy.org/EC/6.3.5.5" TargetMode="External"/><Relationship Id="rId65" Type="http://schemas.openxmlformats.org/officeDocument/2006/relationships/hyperlink" Target="https://enzyme.expasy.org/EC/2.2.1.6" TargetMode="External"/><Relationship Id="rId130" Type="http://schemas.openxmlformats.org/officeDocument/2006/relationships/hyperlink" Target="https://enzyme.expasy.org/EC/2.7.2.1" TargetMode="External"/><Relationship Id="rId172" Type="http://schemas.openxmlformats.org/officeDocument/2006/relationships/hyperlink" Target="https://enzyme.expasy.org/EC/3.1.26.4" TargetMode="External"/><Relationship Id="rId228" Type="http://schemas.openxmlformats.org/officeDocument/2006/relationships/hyperlink" Target="https://enzyme.expasy.org/EC/4.1.1.33" TargetMode="External"/><Relationship Id="rId281" Type="http://schemas.openxmlformats.org/officeDocument/2006/relationships/hyperlink" Target="https://enzyme.expasy.org/EC/5.6.2.2" TargetMode="External"/><Relationship Id="rId34" Type="http://schemas.openxmlformats.org/officeDocument/2006/relationships/hyperlink" Target="https://enzyme.expasy.org/EC/1.5.1.3" TargetMode="External"/><Relationship Id="rId76" Type="http://schemas.openxmlformats.org/officeDocument/2006/relationships/hyperlink" Target="https://enzyme.expasy.org/EC/2.3.1.8" TargetMode="External"/><Relationship Id="rId141" Type="http://schemas.openxmlformats.org/officeDocument/2006/relationships/hyperlink" Target="https://enzyme.expasy.org/EC/2.7.4.6" TargetMode="External"/><Relationship Id="rId7" Type="http://schemas.openxmlformats.org/officeDocument/2006/relationships/hyperlink" Target="https://enzyme.expasy.org/EC/1.1.1.23" TargetMode="External"/><Relationship Id="rId183" Type="http://schemas.openxmlformats.org/officeDocument/2006/relationships/hyperlink" Target="https://enzyme.expasy.org/EC/3.2.1.26" TargetMode="External"/><Relationship Id="rId239" Type="http://schemas.openxmlformats.org/officeDocument/2006/relationships/hyperlink" Target="https://enzyme.expasy.org/EC/4.2.1.113" TargetMode="External"/><Relationship Id="rId250" Type="http://schemas.openxmlformats.org/officeDocument/2006/relationships/hyperlink" Target="https://enzyme.expasy.org/EC/4.3.2.10" TargetMode="External"/><Relationship Id="rId292" Type="http://schemas.openxmlformats.org/officeDocument/2006/relationships/hyperlink" Target="https://enzyme.expasy.org/EC/6.1.1.20" TargetMode="External"/><Relationship Id="rId306" Type="http://schemas.openxmlformats.org/officeDocument/2006/relationships/hyperlink" Target="https://enzyme.expasy.org/EC/6.3.2.13" TargetMode="External"/><Relationship Id="rId24" Type="http://schemas.openxmlformats.org/officeDocument/2006/relationships/hyperlink" Target="https://enzyme.expasy.org/EC/1.2.3.3" TargetMode="External"/><Relationship Id="rId45" Type="http://schemas.openxmlformats.org/officeDocument/2006/relationships/hyperlink" Target="https://enzyme.expasy.org/EC/2.1.1.172" TargetMode="External"/><Relationship Id="rId66" Type="http://schemas.openxmlformats.org/officeDocument/2006/relationships/hyperlink" Target="https://enzyme.expasy.org/EC/2.3.1.15" TargetMode="External"/><Relationship Id="rId87" Type="http://schemas.openxmlformats.org/officeDocument/2006/relationships/hyperlink" Target="https://enzyme.expasy.org/EC/2.4.2.29" TargetMode="External"/><Relationship Id="rId110" Type="http://schemas.openxmlformats.org/officeDocument/2006/relationships/hyperlink" Target="https://enzyme.expasy.org/EC/2.7.1.17" TargetMode="External"/><Relationship Id="rId131" Type="http://schemas.openxmlformats.org/officeDocument/2006/relationships/hyperlink" Target="https://enzyme.expasy.org/EC/2.7.2.11" TargetMode="External"/><Relationship Id="rId327" Type="http://schemas.openxmlformats.org/officeDocument/2006/relationships/hyperlink" Target="https://enzyme.expasy.org/EC/6.4.1.1" TargetMode="External"/><Relationship Id="rId152" Type="http://schemas.openxmlformats.org/officeDocument/2006/relationships/hyperlink" Target="https://enzyme.expasy.org/EC/2.7.7.7" TargetMode="External"/><Relationship Id="rId173" Type="http://schemas.openxmlformats.org/officeDocument/2006/relationships/hyperlink" Target="https://enzyme.expasy.org/EC/3.1.26.5" TargetMode="External"/><Relationship Id="rId194" Type="http://schemas.openxmlformats.org/officeDocument/2006/relationships/hyperlink" Target="https://enzyme.expasy.org/EC/3.4.19.3" TargetMode="External"/><Relationship Id="rId208" Type="http://schemas.openxmlformats.org/officeDocument/2006/relationships/hyperlink" Target="https://enzyme.expasy.org/EC/3.5.4.19" TargetMode="External"/><Relationship Id="rId229" Type="http://schemas.openxmlformats.org/officeDocument/2006/relationships/hyperlink" Target="https://enzyme.expasy.org/EC/4.1.1.36" TargetMode="External"/><Relationship Id="rId240" Type="http://schemas.openxmlformats.org/officeDocument/2006/relationships/hyperlink" Target="https://enzyme.expasy.org/EC/4.2.1.126" TargetMode="External"/><Relationship Id="rId261" Type="http://schemas.openxmlformats.org/officeDocument/2006/relationships/hyperlink" Target="https://enzyme.expasy.org/EC/5.2.1.8" TargetMode="External"/><Relationship Id="rId14" Type="http://schemas.openxmlformats.org/officeDocument/2006/relationships/hyperlink" Target="https://enzyme.expasy.org/EC/1.1.1.88" TargetMode="External"/><Relationship Id="rId35" Type="http://schemas.openxmlformats.org/officeDocument/2006/relationships/hyperlink" Target="https://enzyme.expasy.org/EC/1.5.1.5" TargetMode="External"/><Relationship Id="rId56" Type="http://schemas.openxmlformats.org/officeDocument/2006/relationships/hyperlink" Target="https://enzyme.expasy.org/EC/2.1.1.297" TargetMode="External"/><Relationship Id="rId77" Type="http://schemas.openxmlformats.org/officeDocument/2006/relationships/hyperlink" Target="https://enzyme.expasy.org/EC/2.3.1.89" TargetMode="External"/><Relationship Id="rId100" Type="http://schemas.openxmlformats.org/officeDocument/2006/relationships/hyperlink" Target="https://enzyme.expasy.org/EC/2.5.1.75" TargetMode="External"/><Relationship Id="rId282" Type="http://schemas.openxmlformats.org/officeDocument/2006/relationships/hyperlink" Target="https://enzyme.expasy.org/EC/6.1.1.1" TargetMode="External"/><Relationship Id="rId317" Type="http://schemas.openxmlformats.org/officeDocument/2006/relationships/hyperlink" Target="https://enzyme.expasy.org/EC/6.3.4.19" TargetMode="External"/><Relationship Id="rId8" Type="http://schemas.openxmlformats.org/officeDocument/2006/relationships/hyperlink" Target="https://enzyme.expasy.org/EC/1.1.1.25" TargetMode="External"/><Relationship Id="rId98" Type="http://schemas.openxmlformats.org/officeDocument/2006/relationships/hyperlink" Target="https://enzyme.expasy.org/EC/2.5.1.7" TargetMode="External"/><Relationship Id="rId121" Type="http://schemas.openxmlformats.org/officeDocument/2006/relationships/hyperlink" Target="https://enzyme.expasy.org/EC/2.7.1.40" TargetMode="External"/><Relationship Id="rId142" Type="http://schemas.openxmlformats.org/officeDocument/2006/relationships/hyperlink" Target="https://enzyme.expasy.org/EC/2.7.4.8" TargetMode="External"/><Relationship Id="rId163" Type="http://schemas.openxmlformats.org/officeDocument/2006/relationships/hyperlink" Target="https://enzyme.expasy.org/EC/3.1.1.29" TargetMode="External"/><Relationship Id="rId184" Type="http://schemas.openxmlformats.org/officeDocument/2006/relationships/hyperlink" Target="https://enzyme.expasy.org/EC/3.2.1.86" TargetMode="External"/><Relationship Id="rId219" Type="http://schemas.openxmlformats.org/officeDocument/2006/relationships/hyperlink" Target="https://enzyme.expasy.org/EC/3.6.4.12" TargetMode="External"/><Relationship Id="rId230" Type="http://schemas.openxmlformats.org/officeDocument/2006/relationships/hyperlink" Target="https://enzyme.expasy.org/EC/4.1.1.48" TargetMode="External"/><Relationship Id="rId251" Type="http://schemas.openxmlformats.org/officeDocument/2006/relationships/hyperlink" Target="https://enzyme.expasy.org/EC/4.3.2.2" TargetMode="External"/><Relationship Id="rId25" Type="http://schemas.openxmlformats.org/officeDocument/2006/relationships/hyperlink" Target="https://enzyme.expasy.org/EC/1.20.4.4" TargetMode="External"/><Relationship Id="rId46" Type="http://schemas.openxmlformats.org/officeDocument/2006/relationships/hyperlink" Target="https://enzyme.expasy.org/EC/2.1.1.176" TargetMode="External"/><Relationship Id="rId67" Type="http://schemas.openxmlformats.org/officeDocument/2006/relationships/hyperlink" Target="https://enzyme.expasy.org/EC/2.3.1.157" TargetMode="External"/><Relationship Id="rId272" Type="http://schemas.openxmlformats.org/officeDocument/2006/relationships/hyperlink" Target="https://enzyme.expasy.org/EC/5.4.2.11" TargetMode="External"/><Relationship Id="rId293" Type="http://schemas.openxmlformats.org/officeDocument/2006/relationships/hyperlink" Target="https://enzyme.expasy.org/EC/6.1.1.21" TargetMode="External"/><Relationship Id="rId307" Type="http://schemas.openxmlformats.org/officeDocument/2006/relationships/hyperlink" Target="https://enzyme.expasy.org/EC/6.3.2.4" TargetMode="External"/><Relationship Id="rId328" Type="http://schemas.openxmlformats.org/officeDocument/2006/relationships/hyperlink" Target="https://enzyme.expasy.org/EC/6.4.1.2" TargetMode="External"/><Relationship Id="rId88" Type="http://schemas.openxmlformats.org/officeDocument/2006/relationships/hyperlink" Target="https://enzyme.expasy.org/EC/2.4.2.52" TargetMode="External"/><Relationship Id="rId111" Type="http://schemas.openxmlformats.org/officeDocument/2006/relationships/hyperlink" Target="https://enzyme.expasy.org/EC/2.7.1.197" TargetMode="External"/><Relationship Id="rId132" Type="http://schemas.openxmlformats.org/officeDocument/2006/relationships/hyperlink" Target="https://enzyme.expasy.org/EC/2.7.2.4" TargetMode="External"/><Relationship Id="rId153" Type="http://schemas.openxmlformats.org/officeDocument/2006/relationships/hyperlink" Target="https://enzyme.expasy.org/EC/2.7.7.72" TargetMode="External"/><Relationship Id="rId174" Type="http://schemas.openxmlformats.org/officeDocument/2006/relationships/hyperlink" Target="https://enzyme.expasy.org/EC/3.1.26.8" TargetMode="External"/><Relationship Id="rId195" Type="http://schemas.openxmlformats.org/officeDocument/2006/relationships/hyperlink" Target="https://enzyme.expasy.org/EC/3.4.21.105" TargetMode="External"/><Relationship Id="rId209" Type="http://schemas.openxmlformats.org/officeDocument/2006/relationships/hyperlink" Target="https://enzyme.expasy.org/EC/3.5.4.33" TargetMode="External"/><Relationship Id="rId220" Type="http://schemas.openxmlformats.org/officeDocument/2006/relationships/hyperlink" Target="https://enzyme.expasy.org/EC/3.6.5.n1" TargetMode="External"/><Relationship Id="rId241" Type="http://schemas.openxmlformats.org/officeDocument/2006/relationships/hyperlink" Target="https://enzyme.expasy.org/EC/4.2.1.19" TargetMode="External"/><Relationship Id="rId15" Type="http://schemas.openxmlformats.org/officeDocument/2006/relationships/hyperlink" Target="https://enzyme.expasy.org/EC/1.1.1.94" TargetMode="External"/><Relationship Id="rId36" Type="http://schemas.openxmlformats.org/officeDocument/2006/relationships/hyperlink" Target="https://enzyme.expasy.org/EC/1.7.1.7" TargetMode="External"/><Relationship Id="rId57" Type="http://schemas.openxmlformats.org/officeDocument/2006/relationships/hyperlink" Target="https://enzyme.expasy.org/EC/2.1.1.45" TargetMode="External"/><Relationship Id="rId262" Type="http://schemas.openxmlformats.org/officeDocument/2006/relationships/hyperlink" Target="https://enzyme.expasy.org/EC/5.3.1.1" TargetMode="External"/><Relationship Id="rId283" Type="http://schemas.openxmlformats.org/officeDocument/2006/relationships/hyperlink" Target="https://enzyme.expasy.org/EC/6.1.1.10" TargetMode="External"/><Relationship Id="rId318" Type="http://schemas.openxmlformats.org/officeDocument/2006/relationships/hyperlink" Target="https://enzyme.expasy.org/EC/6.3.4.2" TargetMode="External"/><Relationship Id="rId78" Type="http://schemas.openxmlformats.org/officeDocument/2006/relationships/hyperlink" Target="https://enzyme.expasy.org/EC/2.3.3.10" TargetMode="External"/><Relationship Id="rId99" Type="http://schemas.openxmlformats.org/officeDocument/2006/relationships/hyperlink" Target="https://enzyme.expasy.org/EC/2.5.1.74" TargetMode="External"/><Relationship Id="rId101" Type="http://schemas.openxmlformats.org/officeDocument/2006/relationships/hyperlink" Target="https://enzyme.expasy.org/EC/2.6.1.42" TargetMode="External"/><Relationship Id="rId122" Type="http://schemas.openxmlformats.org/officeDocument/2006/relationships/hyperlink" Target="https://enzyme.expasy.org/EC/2.7.1.48" TargetMode="External"/><Relationship Id="rId143" Type="http://schemas.openxmlformats.org/officeDocument/2006/relationships/hyperlink" Target="https://enzyme.expasy.org/EC/2.7.4.9" TargetMode="External"/><Relationship Id="rId164" Type="http://schemas.openxmlformats.org/officeDocument/2006/relationships/hyperlink" Target="https://enzyme.expasy.org/EC/3.1.1.96" TargetMode="External"/><Relationship Id="rId185" Type="http://schemas.openxmlformats.org/officeDocument/2006/relationships/hyperlink" Target="https://enzyme.expasy.org/EC/3.2.1.93" TargetMode="External"/><Relationship Id="rId9" Type="http://schemas.openxmlformats.org/officeDocument/2006/relationships/hyperlink" Target="https://enzyme.expasy.org/EC/1.1.1.262" TargetMode="External"/><Relationship Id="rId210" Type="http://schemas.openxmlformats.org/officeDocument/2006/relationships/hyperlink" Target="https://enzyme.expasy.org/EC/3.5.4.4" TargetMode="External"/><Relationship Id="rId26" Type="http://schemas.openxmlformats.org/officeDocument/2006/relationships/hyperlink" Target="https://enzyme.expasy.org/EC/1.3.1.14" TargetMode="External"/><Relationship Id="rId231" Type="http://schemas.openxmlformats.org/officeDocument/2006/relationships/hyperlink" Target="https://enzyme.expasy.org/EC/4.1.1.49" TargetMode="External"/><Relationship Id="rId252" Type="http://schemas.openxmlformats.org/officeDocument/2006/relationships/hyperlink" Target="https://enzyme.expasy.org/EC/4.3.3.7" TargetMode="External"/><Relationship Id="rId273" Type="http://schemas.openxmlformats.org/officeDocument/2006/relationships/hyperlink" Target="https://enzyme.expasy.org/EC/5.4.2.6" TargetMode="External"/><Relationship Id="rId294" Type="http://schemas.openxmlformats.org/officeDocument/2006/relationships/hyperlink" Target="https://enzyme.expasy.org/EC/6.1.1.22" TargetMode="External"/><Relationship Id="rId308" Type="http://schemas.openxmlformats.org/officeDocument/2006/relationships/hyperlink" Target="https://enzyme.expasy.org/EC/6.3.2.5" TargetMode="External"/><Relationship Id="rId329" Type="http://schemas.openxmlformats.org/officeDocument/2006/relationships/hyperlink" Target="https://enzyme.expasy.org/EC/6.5.1.2" TargetMode="External"/><Relationship Id="rId47" Type="http://schemas.openxmlformats.org/officeDocument/2006/relationships/hyperlink" Target="https://enzyme.expasy.org/EC/2.1.1.177" TargetMode="External"/><Relationship Id="rId68" Type="http://schemas.openxmlformats.org/officeDocument/2006/relationships/hyperlink" Target="https://enzyme.expasy.org/EC/2.3.1.16" TargetMode="External"/><Relationship Id="rId89" Type="http://schemas.openxmlformats.org/officeDocument/2006/relationships/hyperlink" Target="https://enzyme.expasy.org/EC/2.4.2.7" TargetMode="External"/><Relationship Id="rId112" Type="http://schemas.openxmlformats.org/officeDocument/2006/relationships/hyperlink" Target="https://enzyme.expasy.org/EC/2.7.1.2" TargetMode="External"/><Relationship Id="rId133" Type="http://schemas.openxmlformats.org/officeDocument/2006/relationships/hyperlink" Target="https://enzyme.expasy.org/EC/2.7.2.7" TargetMode="External"/><Relationship Id="rId154" Type="http://schemas.openxmlformats.org/officeDocument/2006/relationships/hyperlink" Target="https://enzyme.expasy.org/EC/2.7.7.85" TargetMode="External"/><Relationship Id="rId175" Type="http://schemas.openxmlformats.org/officeDocument/2006/relationships/hyperlink" Target="https://enzyme.expasy.org/EC/3.1.3.11" TargetMode="External"/><Relationship Id="rId196" Type="http://schemas.openxmlformats.org/officeDocument/2006/relationships/hyperlink" Target="https://enzyme.expasy.org/EC/3.4.21.88" TargetMode="External"/><Relationship Id="rId200" Type="http://schemas.openxmlformats.org/officeDocument/2006/relationships/hyperlink" Target="https://enzyme.expasy.org/EC/3.4.23.36" TargetMode="External"/><Relationship Id="rId16" Type="http://schemas.openxmlformats.org/officeDocument/2006/relationships/hyperlink" Target="https://enzyme.expasy.org/EC/1.11.1.26" TargetMode="External"/><Relationship Id="rId221" Type="http://schemas.openxmlformats.org/officeDocument/2006/relationships/hyperlink" Target="https://enzyme.expasy.org/EC/3.7.1.22" TargetMode="External"/><Relationship Id="rId242" Type="http://schemas.openxmlformats.org/officeDocument/2006/relationships/hyperlink" Target="https://enzyme.expasy.org/EC/4.2.1.2" TargetMode="External"/><Relationship Id="rId263" Type="http://schemas.openxmlformats.org/officeDocument/2006/relationships/hyperlink" Target="https://enzyme.expasy.org/EC/5.3.1.16" TargetMode="External"/><Relationship Id="rId284" Type="http://schemas.openxmlformats.org/officeDocument/2006/relationships/hyperlink" Target="https://enzyme.expasy.org/EC/6.1.1.11" TargetMode="External"/><Relationship Id="rId319" Type="http://schemas.openxmlformats.org/officeDocument/2006/relationships/hyperlink" Target="https://enzyme.expasy.org/EC/6.3.4.21" TargetMode="External"/><Relationship Id="rId37" Type="http://schemas.openxmlformats.org/officeDocument/2006/relationships/hyperlink" Target="https://enzyme.expasy.org/EC/1.8.1.4" TargetMode="External"/><Relationship Id="rId58" Type="http://schemas.openxmlformats.org/officeDocument/2006/relationships/hyperlink" Target="https://enzyme.expasy.org/EC/2.1.1.63" TargetMode="External"/><Relationship Id="rId79" Type="http://schemas.openxmlformats.org/officeDocument/2006/relationships/hyperlink" Target="https://enzyme.expasy.org/EC/2.4.1.1" TargetMode="External"/><Relationship Id="rId102" Type="http://schemas.openxmlformats.org/officeDocument/2006/relationships/hyperlink" Target="https://enzyme.expasy.org/EC/2.6.1.9" TargetMode="External"/><Relationship Id="rId123" Type="http://schemas.openxmlformats.org/officeDocument/2006/relationships/hyperlink" Target="https://enzyme.expasy.org/EC/2.7.1.49" TargetMode="External"/><Relationship Id="rId144" Type="http://schemas.openxmlformats.org/officeDocument/2006/relationships/hyperlink" Target="https://enzyme.expasy.org/EC/2.7.6.1" TargetMode="External"/><Relationship Id="rId330" Type="http://schemas.openxmlformats.org/officeDocument/2006/relationships/hyperlink" Target="https://enzyme.expasy.org/EC/7.1.2.1" TargetMode="External"/><Relationship Id="rId90" Type="http://schemas.openxmlformats.org/officeDocument/2006/relationships/hyperlink" Target="https://enzyme.expasy.org/EC/2.4.2.8" TargetMode="External"/><Relationship Id="rId165" Type="http://schemas.openxmlformats.org/officeDocument/2006/relationships/hyperlink" Target="https://enzyme.expasy.org/EC/3.1.11.2" TargetMode="External"/><Relationship Id="rId186" Type="http://schemas.openxmlformats.org/officeDocument/2006/relationships/hyperlink" Target="https://enzyme.expasy.org/EC/3.2.2.23" TargetMode="External"/><Relationship Id="rId211" Type="http://schemas.openxmlformats.org/officeDocument/2006/relationships/hyperlink" Target="https://enzyme.expasy.org/EC/3.5.4.5" TargetMode="External"/><Relationship Id="rId232" Type="http://schemas.openxmlformats.org/officeDocument/2006/relationships/hyperlink" Target="https://enzyme.expasy.org/EC/4.1.1.5" TargetMode="External"/><Relationship Id="rId253" Type="http://schemas.openxmlformats.org/officeDocument/2006/relationships/hyperlink" Target="https://enzyme.expasy.org/EC/4.4.1.13" TargetMode="External"/><Relationship Id="rId274" Type="http://schemas.openxmlformats.org/officeDocument/2006/relationships/hyperlink" Target="https://enzyme.expasy.org/EC/5.4.2.7" TargetMode="External"/><Relationship Id="rId295" Type="http://schemas.openxmlformats.org/officeDocument/2006/relationships/hyperlink" Target="https://enzyme.expasy.org/EC/6.1.1.3" TargetMode="External"/><Relationship Id="rId309" Type="http://schemas.openxmlformats.org/officeDocument/2006/relationships/hyperlink" Target="https://enzyme.expasy.org/EC/6.3.2.6" TargetMode="External"/><Relationship Id="rId27" Type="http://schemas.openxmlformats.org/officeDocument/2006/relationships/hyperlink" Target="https://enzyme.expasy.org/EC/1.3.1.95" TargetMode="External"/><Relationship Id="rId48" Type="http://schemas.openxmlformats.org/officeDocument/2006/relationships/hyperlink" Target="https://enzyme.expasy.org/EC/2.1.1.182" TargetMode="External"/><Relationship Id="rId69" Type="http://schemas.openxmlformats.org/officeDocument/2006/relationships/hyperlink" Target="https://enzyme.expasy.org/EC/2.3.1.179" TargetMode="External"/><Relationship Id="rId113" Type="http://schemas.openxmlformats.org/officeDocument/2006/relationships/hyperlink" Target="https://enzyme.expasy.org/EC/2.7.1.21" TargetMode="External"/><Relationship Id="rId134" Type="http://schemas.openxmlformats.org/officeDocument/2006/relationships/hyperlink" Target="https://enzyme.expasy.org/EC/2.7.3.9" TargetMode="External"/><Relationship Id="rId320" Type="http://schemas.openxmlformats.org/officeDocument/2006/relationships/hyperlink" Target="https://enzyme.expasy.org/EC/6.3.4.3" TargetMode="External"/><Relationship Id="rId80" Type="http://schemas.openxmlformats.org/officeDocument/2006/relationships/hyperlink" Target="https://enzyme.expasy.org/EC/2.4.1.21" TargetMode="External"/><Relationship Id="rId155" Type="http://schemas.openxmlformats.org/officeDocument/2006/relationships/hyperlink" Target="https://enzyme.expasy.org/EC/2.7.7.87" TargetMode="External"/><Relationship Id="rId176" Type="http://schemas.openxmlformats.org/officeDocument/2006/relationships/hyperlink" Target="https://enzyme.expasy.org/EC/3.1.3.27" TargetMode="External"/><Relationship Id="rId197" Type="http://schemas.openxmlformats.org/officeDocument/2006/relationships/hyperlink" Target="https://enzyme.expasy.org/EC/3.4.21.89" TargetMode="External"/><Relationship Id="rId201" Type="http://schemas.openxmlformats.org/officeDocument/2006/relationships/hyperlink" Target="https://enzyme.expasy.org/EC/3.4.25.2" TargetMode="External"/><Relationship Id="rId222" Type="http://schemas.openxmlformats.org/officeDocument/2006/relationships/hyperlink" Target="https://enzyme.expasy.org/EC/4.1.1.101" TargetMode="External"/><Relationship Id="rId243" Type="http://schemas.openxmlformats.org/officeDocument/2006/relationships/hyperlink" Target="https://enzyme.expasy.org/EC/4.2.1.20" TargetMode="External"/><Relationship Id="rId264" Type="http://schemas.openxmlformats.org/officeDocument/2006/relationships/hyperlink" Target="https://enzyme.expasy.org/EC/5.3.1.26" TargetMode="External"/><Relationship Id="rId285" Type="http://schemas.openxmlformats.org/officeDocument/2006/relationships/hyperlink" Target="https://enzyme.expasy.org/EC/6.1.1.12" TargetMode="External"/><Relationship Id="rId17" Type="http://schemas.openxmlformats.org/officeDocument/2006/relationships/hyperlink" Target="https://enzyme.expasy.org/EC/1.15.1.1" TargetMode="External"/><Relationship Id="rId38" Type="http://schemas.openxmlformats.org/officeDocument/2006/relationships/hyperlink" Target="https://enzyme.expasy.org/EC/1.8.1.9" TargetMode="External"/><Relationship Id="rId59" Type="http://schemas.openxmlformats.org/officeDocument/2006/relationships/hyperlink" Target="https://enzyme.expasy.org/EC/2.1.1.72" TargetMode="External"/><Relationship Id="rId103" Type="http://schemas.openxmlformats.org/officeDocument/2006/relationships/hyperlink" Target="https://enzyme.expasy.org/EC/2.7.1.107" TargetMode="External"/><Relationship Id="rId124" Type="http://schemas.openxmlformats.org/officeDocument/2006/relationships/hyperlink" Target="https://enzyme.expasy.org/EC/2.7.1.56" TargetMode="External"/><Relationship Id="rId310" Type="http://schemas.openxmlformats.org/officeDocument/2006/relationships/hyperlink" Target="https://enzyme.expasy.org/EC/6.3.2.8" TargetMode="External"/><Relationship Id="rId70" Type="http://schemas.openxmlformats.org/officeDocument/2006/relationships/hyperlink" Target="https://enzyme.expasy.org/EC/2.3.1.180" TargetMode="External"/><Relationship Id="rId91" Type="http://schemas.openxmlformats.org/officeDocument/2006/relationships/hyperlink" Target="https://enzyme.expasy.org/EC/2.4.2.9" TargetMode="External"/><Relationship Id="rId145" Type="http://schemas.openxmlformats.org/officeDocument/2006/relationships/hyperlink" Target="https://enzyme.expasy.org/EC/2.7.6.5" TargetMode="External"/><Relationship Id="rId166" Type="http://schemas.openxmlformats.org/officeDocument/2006/relationships/hyperlink" Target="https://enzyme.expasy.org/EC/3.1.11.6" TargetMode="External"/><Relationship Id="rId187" Type="http://schemas.openxmlformats.org/officeDocument/2006/relationships/hyperlink" Target="https://enzyme.expasy.org/EC/3.2.2.27" TargetMode="External"/><Relationship Id="rId331" Type="http://schemas.openxmlformats.org/officeDocument/2006/relationships/hyperlink" Target="https://enzyme.expasy.org/EC/7.1.2.2" TargetMode="External"/><Relationship Id="rId1" Type="http://schemas.openxmlformats.org/officeDocument/2006/relationships/hyperlink" Target="https://enzyme.expasy.org/EC/1.1.1.1" TargetMode="External"/><Relationship Id="rId212" Type="http://schemas.openxmlformats.org/officeDocument/2006/relationships/hyperlink" Target="https://enzyme.expasy.org/EC/3.5.99.2" TargetMode="External"/><Relationship Id="rId233" Type="http://schemas.openxmlformats.org/officeDocument/2006/relationships/hyperlink" Target="https://enzyme.expasy.org/EC/4.1.1.85" TargetMode="External"/><Relationship Id="rId254" Type="http://schemas.openxmlformats.org/officeDocument/2006/relationships/hyperlink" Target="https://enzyme.expasy.org/EC/4.4.1.21" TargetMode="External"/><Relationship Id="rId28" Type="http://schemas.openxmlformats.org/officeDocument/2006/relationships/hyperlink" Target="https://enzyme.expasy.org/EC/1.3.1.98" TargetMode="External"/><Relationship Id="rId49" Type="http://schemas.openxmlformats.org/officeDocument/2006/relationships/hyperlink" Target="https://enzyme.expasy.org/EC/2.1.1.190" TargetMode="External"/><Relationship Id="rId114" Type="http://schemas.openxmlformats.org/officeDocument/2006/relationships/hyperlink" Target="https://enzyme.expasy.org/EC/2.7.1.23" TargetMode="External"/><Relationship Id="rId275" Type="http://schemas.openxmlformats.org/officeDocument/2006/relationships/hyperlink" Target="https://enzyme.expasy.org/EC/5.4.99.12" TargetMode="External"/><Relationship Id="rId296" Type="http://schemas.openxmlformats.org/officeDocument/2006/relationships/hyperlink" Target="https://enzyme.expasy.org/EC/6.1.1.4" TargetMode="External"/><Relationship Id="rId300" Type="http://schemas.openxmlformats.org/officeDocument/2006/relationships/hyperlink" Target="https://enzyme.expasy.org/EC/6.1.1.9" TargetMode="External"/><Relationship Id="rId60" Type="http://schemas.openxmlformats.org/officeDocument/2006/relationships/hyperlink" Target="https://enzyme.expasy.org/EC/2.1.2.1" TargetMode="External"/><Relationship Id="rId81" Type="http://schemas.openxmlformats.org/officeDocument/2006/relationships/hyperlink" Target="https://enzyme.expasy.org/EC/2.4.1.227" TargetMode="External"/><Relationship Id="rId135" Type="http://schemas.openxmlformats.org/officeDocument/2006/relationships/hyperlink" Target="https://enzyme.expasy.org/EC/2.7.4.1" TargetMode="External"/><Relationship Id="rId156" Type="http://schemas.openxmlformats.org/officeDocument/2006/relationships/hyperlink" Target="https://enzyme.expasy.org/EC/2.7.7.9" TargetMode="External"/><Relationship Id="rId177" Type="http://schemas.openxmlformats.org/officeDocument/2006/relationships/hyperlink" Target="https://enzyme.expasy.org/EC/3.1.3.5" TargetMode="External"/><Relationship Id="rId198" Type="http://schemas.openxmlformats.org/officeDocument/2006/relationships/hyperlink" Target="https://enzyme.expasy.org/EC/3.4.21.92" TargetMode="External"/><Relationship Id="rId321" Type="http://schemas.openxmlformats.org/officeDocument/2006/relationships/hyperlink" Target="https://enzyme.expasy.org/EC/6.3.4.4" TargetMode="External"/><Relationship Id="rId202" Type="http://schemas.openxmlformats.org/officeDocument/2006/relationships/hyperlink" Target="https://enzyme.expasy.org/EC/3.5.1.2" TargetMode="External"/><Relationship Id="rId223" Type="http://schemas.openxmlformats.org/officeDocument/2006/relationships/hyperlink" Target="https://enzyme.expasy.org/EC/4.1.1.112" TargetMode="External"/><Relationship Id="rId244" Type="http://schemas.openxmlformats.org/officeDocument/2006/relationships/hyperlink" Target="https://enzyme.expasy.org/EC/4.2.1.44" TargetMode="External"/><Relationship Id="rId18" Type="http://schemas.openxmlformats.org/officeDocument/2006/relationships/hyperlink" Target="https://enzyme.expasy.org/EC/1.17.1.8" TargetMode="External"/><Relationship Id="rId39" Type="http://schemas.openxmlformats.org/officeDocument/2006/relationships/hyperlink" Target="https://enzyme.expasy.org/EC/1.8.4.11" TargetMode="External"/><Relationship Id="rId265" Type="http://schemas.openxmlformats.org/officeDocument/2006/relationships/hyperlink" Target="https://enzyme.expasy.org/EC/5.3.1.27" TargetMode="External"/><Relationship Id="rId286" Type="http://schemas.openxmlformats.org/officeDocument/2006/relationships/hyperlink" Target="https://enzyme.expasy.org/EC/6.1.1.13" TargetMode="External"/><Relationship Id="rId50" Type="http://schemas.openxmlformats.org/officeDocument/2006/relationships/hyperlink" Target="https://enzyme.expasy.org/EC/2.1.1.198" TargetMode="External"/><Relationship Id="rId104" Type="http://schemas.openxmlformats.org/officeDocument/2006/relationships/hyperlink" Target="https://enzyme.expasy.org/EC/2.7.1.11" TargetMode="External"/><Relationship Id="rId125" Type="http://schemas.openxmlformats.org/officeDocument/2006/relationships/hyperlink" Target="https://enzyme.expasy.org/EC/2.7.1.6" TargetMode="External"/><Relationship Id="rId146" Type="http://schemas.openxmlformats.org/officeDocument/2006/relationships/hyperlink" Target="https://enzyme.expasy.org/EC/2.7.7.12" TargetMode="External"/><Relationship Id="rId167" Type="http://schemas.openxmlformats.org/officeDocument/2006/relationships/hyperlink" Target="https://enzyme.expasy.org/EC/3.1.13.1" TargetMode="External"/><Relationship Id="rId188" Type="http://schemas.openxmlformats.org/officeDocument/2006/relationships/hyperlink" Target="https://enzyme.expasy.org/EC/3.2.2.31" TargetMode="External"/><Relationship Id="rId311" Type="http://schemas.openxmlformats.org/officeDocument/2006/relationships/hyperlink" Target="https://enzyme.expasy.org/EC/6.3.2.9" TargetMode="External"/><Relationship Id="rId332" Type="http://schemas.openxmlformats.org/officeDocument/2006/relationships/hyperlink" Target="https://enzyme.expasy.org/EC/7.2.2.14" TargetMode="External"/><Relationship Id="rId71" Type="http://schemas.openxmlformats.org/officeDocument/2006/relationships/hyperlink" Target="https://enzyme.expasy.org/EC/2.3.1.234" TargetMode="External"/><Relationship Id="rId92" Type="http://schemas.openxmlformats.org/officeDocument/2006/relationships/hyperlink" Target="https://enzyme.expasy.org/EC/2.4.99.17" TargetMode="External"/><Relationship Id="rId213" Type="http://schemas.openxmlformats.org/officeDocument/2006/relationships/hyperlink" Target="https://enzyme.expasy.org/EC/3.5.99.6" TargetMode="External"/><Relationship Id="rId234" Type="http://schemas.openxmlformats.org/officeDocument/2006/relationships/hyperlink" Target="https://enzyme.expasy.org/EC/4.1.2.13" TargetMode="External"/><Relationship Id="rId2" Type="http://schemas.openxmlformats.org/officeDocument/2006/relationships/hyperlink" Target="https://enzyme.expasy.org/EC/1.1.1.100" TargetMode="External"/><Relationship Id="rId29" Type="http://schemas.openxmlformats.org/officeDocument/2006/relationships/hyperlink" Target="https://enzyme.expasy.org/EC/1.3.98.1" TargetMode="External"/><Relationship Id="rId255" Type="http://schemas.openxmlformats.org/officeDocument/2006/relationships/hyperlink" Target="https://enzyme.expasy.org/EC/5.1.1.1" TargetMode="External"/><Relationship Id="rId276" Type="http://schemas.openxmlformats.org/officeDocument/2006/relationships/hyperlink" Target="https://enzyme.expasy.org/EC/5.4.99.18" TargetMode="External"/><Relationship Id="rId297" Type="http://schemas.openxmlformats.org/officeDocument/2006/relationships/hyperlink" Target="https://enzyme.expasy.org/EC/6.1.1.5" TargetMode="External"/><Relationship Id="rId40" Type="http://schemas.openxmlformats.org/officeDocument/2006/relationships/hyperlink" Target="https://enzyme.expasy.org/EC/1.8.4.12" TargetMode="External"/><Relationship Id="rId115" Type="http://schemas.openxmlformats.org/officeDocument/2006/relationships/hyperlink" Target="https://enzyme.expasy.org/EC/2.7.1.24" TargetMode="External"/><Relationship Id="rId136" Type="http://schemas.openxmlformats.org/officeDocument/2006/relationships/hyperlink" Target="https://enzyme.expasy.org/EC/2.7.4.2" TargetMode="External"/><Relationship Id="rId157" Type="http://schemas.openxmlformats.org/officeDocument/2006/relationships/hyperlink" Target="https://enzyme.expasy.org/EC/2.7.8.13" TargetMode="External"/><Relationship Id="rId178" Type="http://schemas.openxmlformats.org/officeDocument/2006/relationships/hyperlink" Target="https://enzyme.expasy.org/EC/3.1.3.7" TargetMode="External"/><Relationship Id="rId301" Type="http://schemas.openxmlformats.org/officeDocument/2006/relationships/hyperlink" Target="https://enzyme.expasy.org/EC/6.2.1.22" TargetMode="External"/><Relationship Id="rId322" Type="http://schemas.openxmlformats.org/officeDocument/2006/relationships/hyperlink" Target="https://enzyme.expasy.org/EC/6.3.4.5" TargetMode="External"/><Relationship Id="rId61" Type="http://schemas.openxmlformats.org/officeDocument/2006/relationships/hyperlink" Target="https://enzyme.expasy.org/EC/2.1.2.2" TargetMode="External"/><Relationship Id="rId82" Type="http://schemas.openxmlformats.org/officeDocument/2006/relationships/hyperlink" Target="https://enzyme.expasy.org/EC/2.4.2.14" TargetMode="External"/><Relationship Id="rId199" Type="http://schemas.openxmlformats.org/officeDocument/2006/relationships/hyperlink" Target="https://enzyme.expasy.org/EC/3.4.21.96" TargetMode="External"/><Relationship Id="rId203" Type="http://schemas.openxmlformats.org/officeDocument/2006/relationships/hyperlink" Target="https://enzyme.expasy.org/EC/3.5.1.25" TargetMode="External"/><Relationship Id="rId19" Type="http://schemas.openxmlformats.org/officeDocument/2006/relationships/hyperlink" Target="https://enzyme.expasy.org/EC/1.17.4.1" TargetMode="External"/><Relationship Id="rId224" Type="http://schemas.openxmlformats.org/officeDocument/2006/relationships/hyperlink" Target="https://enzyme.expasy.org/EC/4.1.1.12" TargetMode="External"/><Relationship Id="rId245" Type="http://schemas.openxmlformats.org/officeDocument/2006/relationships/hyperlink" Target="https://enzyme.expasy.org/EC/4.2.1.53" TargetMode="External"/><Relationship Id="rId266" Type="http://schemas.openxmlformats.org/officeDocument/2006/relationships/hyperlink" Target="https://enzyme.expasy.org/EC/5.3.1.30" TargetMode="External"/><Relationship Id="rId287" Type="http://schemas.openxmlformats.org/officeDocument/2006/relationships/hyperlink" Target="https://enzyme.expasy.org/EC/6.1.1.14" TargetMode="External"/><Relationship Id="rId30" Type="http://schemas.openxmlformats.org/officeDocument/2006/relationships/hyperlink" Target="https://enzyme.expasy.org/EC/1.4.1.13" TargetMode="External"/><Relationship Id="rId105" Type="http://schemas.openxmlformats.org/officeDocument/2006/relationships/hyperlink" Target="https://enzyme.expasy.org/EC/2.7.1.12" TargetMode="External"/><Relationship Id="rId126" Type="http://schemas.openxmlformats.org/officeDocument/2006/relationships/hyperlink" Target="https://enzyme.expasy.org/EC/2.7.1.92" TargetMode="External"/><Relationship Id="rId147" Type="http://schemas.openxmlformats.org/officeDocument/2006/relationships/hyperlink" Target="https://enzyme.expasy.org/EC/2.7.7.18" TargetMode="External"/><Relationship Id="rId168" Type="http://schemas.openxmlformats.org/officeDocument/2006/relationships/hyperlink" Target="https://enzyme.expasy.org/EC/3.1.2.20" TargetMode="External"/><Relationship Id="rId312" Type="http://schemas.openxmlformats.org/officeDocument/2006/relationships/hyperlink" Target="https://enzyme.expasy.org/EC/6.3.3.1" TargetMode="External"/><Relationship Id="rId333" Type="http://schemas.openxmlformats.org/officeDocument/2006/relationships/hyperlink" Target="https://enzyme.expasy.org/EC/7.3.2.1" TargetMode="External"/><Relationship Id="rId51" Type="http://schemas.openxmlformats.org/officeDocument/2006/relationships/hyperlink" Target="https://enzyme.expasy.org/EC/2.1.1.199" TargetMode="External"/><Relationship Id="rId72" Type="http://schemas.openxmlformats.org/officeDocument/2006/relationships/hyperlink" Target="https://enzyme.expasy.org/EC/2.3.1.266" TargetMode="External"/><Relationship Id="rId93" Type="http://schemas.openxmlformats.org/officeDocument/2006/relationships/hyperlink" Target="https://enzyme.expasy.org/EC/2.5.1.145" TargetMode="External"/><Relationship Id="rId189" Type="http://schemas.openxmlformats.org/officeDocument/2006/relationships/hyperlink" Target="https://enzyme.expasy.org/EC/3.2.2.9" TargetMode="External"/><Relationship Id="rId3" Type="http://schemas.openxmlformats.org/officeDocument/2006/relationships/hyperlink" Target="https://enzyme.expasy.org/EC/1.1.1.169" TargetMode="External"/><Relationship Id="rId214" Type="http://schemas.openxmlformats.org/officeDocument/2006/relationships/hyperlink" Target="https://enzyme.expasy.org/EC/3.6.1.1" TargetMode="External"/><Relationship Id="rId235" Type="http://schemas.openxmlformats.org/officeDocument/2006/relationships/hyperlink" Target="https://enzyme.expasy.org/EC/4.1.2.4" TargetMode="External"/><Relationship Id="rId256" Type="http://schemas.openxmlformats.org/officeDocument/2006/relationships/hyperlink" Target="https://enzyme.expasy.org/EC/5.1.1.3" TargetMode="External"/><Relationship Id="rId277" Type="http://schemas.openxmlformats.org/officeDocument/2006/relationships/hyperlink" Target="https://enzyme.expasy.org/EC/5.4.99.25" TargetMode="External"/><Relationship Id="rId298" Type="http://schemas.openxmlformats.org/officeDocument/2006/relationships/hyperlink" Target="https://enzyme.expasy.org/EC/6.1.1.6" TargetMode="External"/><Relationship Id="rId116" Type="http://schemas.openxmlformats.org/officeDocument/2006/relationships/hyperlink" Target="https://enzyme.expasy.org/EC/2.7.1.26" TargetMode="External"/><Relationship Id="rId137" Type="http://schemas.openxmlformats.org/officeDocument/2006/relationships/hyperlink" Target="https://enzyme.expasy.org/EC/2.7.4.22" TargetMode="External"/><Relationship Id="rId158" Type="http://schemas.openxmlformats.org/officeDocument/2006/relationships/hyperlink" Target="https://enzyme.expasy.org/EC/2.7.8.5" TargetMode="External"/><Relationship Id="rId302" Type="http://schemas.openxmlformats.org/officeDocument/2006/relationships/hyperlink" Target="https://enzyme.expasy.org/EC/6.3.1.2" TargetMode="External"/><Relationship Id="rId323" Type="http://schemas.openxmlformats.org/officeDocument/2006/relationships/hyperlink" Target="https://enzyme.expasy.org/EC/6.3.5.2" TargetMode="External"/><Relationship Id="rId20" Type="http://schemas.openxmlformats.org/officeDocument/2006/relationships/hyperlink" Target="https://enzyme.expasy.org/EC/1.17.4.2" TargetMode="External"/><Relationship Id="rId41" Type="http://schemas.openxmlformats.org/officeDocument/2006/relationships/hyperlink" Target="https://enzyme.expasy.org/EC/1.97.1.4" TargetMode="External"/><Relationship Id="rId62" Type="http://schemas.openxmlformats.org/officeDocument/2006/relationships/hyperlink" Target="https://enzyme.expasy.org/EC/2.1.2.3" TargetMode="External"/><Relationship Id="rId83" Type="http://schemas.openxmlformats.org/officeDocument/2006/relationships/hyperlink" Target="https://enzyme.expasy.org/EC/2.4.2.17" TargetMode="External"/><Relationship Id="rId179" Type="http://schemas.openxmlformats.org/officeDocument/2006/relationships/hyperlink" Target="https://enzyme.expasy.org/EC/3.1.6.1" TargetMode="External"/><Relationship Id="rId190" Type="http://schemas.openxmlformats.org/officeDocument/2006/relationships/hyperlink" Target="https://enzyme.expasy.org/EC/3.4.11.18" TargetMode="External"/><Relationship Id="rId204" Type="http://schemas.openxmlformats.org/officeDocument/2006/relationships/hyperlink" Target="https://enzyme.expasy.org/EC/3.5.1.28" TargetMode="External"/><Relationship Id="rId225" Type="http://schemas.openxmlformats.org/officeDocument/2006/relationships/hyperlink" Target="https://enzyme.expasy.org/EC/4.1.1.20" TargetMode="External"/><Relationship Id="rId246" Type="http://schemas.openxmlformats.org/officeDocument/2006/relationships/hyperlink" Target="https://enzyme.expasy.org/EC/4.2.3.1" TargetMode="External"/><Relationship Id="rId267" Type="http://schemas.openxmlformats.org/officeDocument/2006/relationships/hyperlink" Target="https://enzyme.expasy.org/EC/5.3.1.6" TargetMode="External"/><Relationship Id="rId288" Type="http://schemas.openxmlformats.org/officeDocument/2006/relationships/hyperlink" Target="https://enzyme.expasy.org/EC/6.1.1.15" TargetMode="External"/><Relationship Id="rId106" Type="http://schemas.openxmlformats.org/officeDocument/2006/relationships/hyperlink" Target="https://enzyme.expasy.org/EC/2.7.1.121" TargetMode="External"/><Relationship Id="rId127" Type="http://schemas.openxmlformats.org/officeDocument/2006/relationships/hyperlink" Target="https://enzyme.expasy.org/EC/2.7.10.2" TargetMode="External"/><Relationship Id="rId313" Type="http://schemas.openxmlformats.org/officeDocument/2006/relationships/hyperlink" Target="https://enzyme.expasy.org/EC/6.3.3.2" TargetMode="External"/><Relationship Id="rId10" Type="http://schemas.openxmlformats.org/officeDocument/2006/relationships/hyperlink" Target="https://enzyme.expasy.org/EC/1.1.1.27" TargetMode="External"/><Relationship Id="rId31" Type="http://schemas.openxmlformats.org/officeDocument/2006/relationships/hyperlink" Target="https://enzyme.expasy.org/EC/1.4.1.4" TargetMode="External"/><Relationship Id="rId52" Type="http://schemas.openxmlformats.org/officeDocument/2006/relationships/hyperlink" Target="https://enzyme.expasy.org/EC/2.1.1.207" TargetMode="External"/><Relationship Id="rId73" Type="http://schemas.openxmlformats.org/officeDocument/2006/relationships/hyperlink" Target="https://enzyme.expasy.org/EC/2.3.1.286" TargetMode="External"/><Relationship Id="rId94" Type="http://schemas.openxmlformats.org/officeDocument/2006/relationships/hyperlink" Target="https://enzyme.expasy.org/EC/2.5.1.17" TargetMode="External"/><Relationship Id="rId148" Type="http://schemas.openxmlformats.org/officeDocument/2006/relationships/hyperlink" Target="https://enzyme.expasy.org/EC/2.7.7.27" TargetMode="External"/><Relationship Id="rId169" Type="http://schemas.openxmlformats.org/officeDocument/2006/relationships/hyperlink" Target="https://enzyme.expasy.org/EC/3.1.21.2" TargetMode="External"/><Relationship Id="rId334" Type="http://schemas.openxmlformats.org/officeDocument/2006/relationships/hyperlink" Target="https://enzyme.expasy.org/EC/7.3.2.2" TargetMode="External"/><Relationship Id="rId4" Type="http://schemas.openxmlformats.org/officeDocument/2006/relationships/hyperlink" Target="https://enzyme.expasy.org/EC/1.1.1.17" TargetMode="External"/><Relationship Id="rId180" Type="http://schemas.openxmlformats.org/officeDocument/2006/relationships/hyperlink" Target="https://enzyme.expasy.org/EC/3.2.1.20" TargetMode="External"/><Relationship Id="rId215" Type="http://schemas.openxmlformats.org/officeDocument/2006/relationships/hyperlink" Target="https://enzyme.expasy.org/EC/3.6.1.11" TargetMode="External"/><Relationship Id="rId236" Type="http://schemas.openxmlformats.org/officeDocument/2006/relationships/hyperlink" Target="https://enzyme.expasy.org/EC/4.1.2.43" TargetMode="External"/><Relationship Id="rId257" Type="http://schemas.openxmlformats.org/officeDocument/2006/relationships/hyperlink" Target="https://enzyme.expasy.org/EC/5.1.1.7" TargetMode="External"/><Relationship Id="rId278" Type="http://schemas.openxmlformats.org/officeDocument/2006/relationships/hyperlink" Target="https://enzyme.expasy.org/EC/5.4.99.62" TargetMode="External"/><Relationship Id="rId303" Type="http://schemas.openxmlformats.org/officeDocument/2006/relationships/hyperlink" Target="https://enzyme.expasy.org/EC/6.3.1.20" TargetMode="External"/><Relationship Id="rId42" Type="http://schemas.openxmlformats.org/officeDocument/2006/relationships/hyperlink" Target="https://enzyme.expasy.org/EC/2.1.1.14" TargetMode="External"/><Relationship Id="rId84" Type="http://schemas.openxmlformats.org/officeDocument/2006/relationships/hyperlink" Target="https://enzyme.expasy.org/EC/2.4.2.18" TargetMode="External"/><Relationship Id="rId138" Type="http://schemas.openxmlformats.org/officeDocument/2006/relationships/hyperlink" Target="https://enzyme.expasy.org/EC/2.7.4.25" TargetMode="External"/><Relationship Id="rId191" Type="http://schemas.openxmlformats.org/officeDocument/2006/relationships/hyperlink" Target="https://enzyme.expasy.org/EC/3.4.11.4" TargetMode="External"/><Relationship Id="rId205" Type="http://schemas.openxmlformats.org/officeDocument/2006/relationships/hyperlink" Target="https://enzyme.expasy.org/EC/3.5.1.4" TargetMode="External"/><Relationship Id="rId247" Type="http://schemas.openxmlformats.org/officeDocument/2006/relationships/hyperlink" Target="https://enzyme.expasy.org/EC/4.2.99.18" TargetMode="External"/><Relationship Id="rId107" Type="http://schemas.openxmlformats.org/officeDocument/2006/relationships/hyperlink" Target="https://enzyme.expasy.org/EC/2.7.1.144" TargetMode="External"/><Relationship Id="rId289" Type="http://schemas.openxmlformats.org/officeDocument/2006/relationships/hyperlink" Target="https://enzyme.expasy.org/EC/6.1.1.16" TargetMode="External"/><Relationship Id="rId11" Type="http://schemas.openxmlformats.org/officeDocument/2006/relationships/hyperlink" Target="https://enzyme.expasy.org/EC/1.1.1.3" TargetMode="External"/><Relationship Id="rId53" Type="http://schemas.openxmlformats.org/officeDocument/2006/relationships/hyperlink" Target="https://enzyme.expasy.org/EC/2.1.1.222" TargetMode="External"/><Relationship Id="rId149" Type="http://schemas.openxmlformats.org/officeDocument/2006/relationships/hyperlink" Target="https://enzyme.expasy.org/EC/2.7.7.3" TargetMode="External"/><Relationship Id="rId314" Type="http://schemas.openxmlformats.org/officeDocument/2006/relationships/hyperlink" Target="https://enzyme.expasy.org/EC/6.3.4.13" TargetMode="External"/><Relationship Id="rId95" Type="http://schemas.openxmlformats.org/officeDocument/2006/relationships/hyperlink" Target="https://enzyme.expasy.org/EC/2.5.1.3" TargetMode="External"/><Relationship Id="rId160" Type="http://schemas.openxmlformats.org/officeDocument/2006/relationships/hyperlink" Target="https://enzyme.expasy.org/EC/2.7.9.1" TargetMode="External"/><Relationship Id="rId216" Type="http://schemas.openxmlformats.org/officeDocument/2006/relationships/hyperlink" Target="https://enzyme.expasy.org/EC/3.6.1.27" TargetMode="External"/><Relationship Id="rId258" Type="http://schemas.openxmlformats.org/officeDocument/2006/relationships/hyperlink" Target="https://enzyme.expasy.org/EC/5.1.3.1" TargetMode="External"/><Relationship Id="rId22" Type="http://schemas.openxmlformats.org/officeDocument/2006/relationships/hyperlink" Target="https://enzyme.expasy.org/EC/1.2.1.11" TargetMode="External"/><Relationship Id="rId64" Type="http://schemas.openxmlformats.org/officeDocument/2006/relationships/hyperlink" Target="https://enzyme.expasy.org/EC/2.1.3.2" TargetMode="External"/><Relationship Id="rId118" Type="http://schemas.openxmlformats.org/officeDocument/2006/relationships/hyperlink" Target="https://enzyme.expasy.org/EC/2.7.1.33" TargetMode="External"/><Relationship Id="rId325" Type="http://schemas.openxmlformats.org/officeDocument/2006/relationships/hyperlink" Target="https://enzyme.expasy.org/EC/6.3.5.4" TargetMode="External"/><Relationship Id="rId171" Type="http://schemas.openxmlformats.org/officeDocument/2006/relationships/hyperlink" Target="https://enzyme.expasy.org/EC/3.1.26.11" TargetMode="External"/><Relationship Id="rId227" Type="http://schemas.openxmlformats.org/officeDocument/2006/relationships/hyperlink" Target="https://enzyme.expasy.org/EC/4.1.1.23" TargetMode="External"/><Relationship Id="rId269" Type="http://schemas.openxmlformats.org/officeDocument/2006/relationships/hyperlink" Target="https://enzyme.expasy.org/EC/5.3.1.9" TargetMode="External"/><Relationship Id="rId33" Type="http://schemas.openxmlformats.org/officeDocument/2006/relationships/hyperlink" Target="https://enzyme.expasy.org/EC/1.5.1.20" TargetMode="External"/><Relationship Id="rId129" Type="http://schemas.openxmlformats.org/officeDocument/2006/relationships/hyperlink" Target="https://enzyme.expasy.org/EC/2.7.13.3" TargetMode="External"/><Relationship Id="rId280" Type="http://schemas.openxmlformats.org/officeDocument/2006/relationships/hyperlink" Target="https://enzyme.expasy.org/EC/5.6.2.1" TargetMode="External"/><Relationship Id="rId336" Type="http://schemas.openxmlformats.org/officeDocument/2006/relationships/hyperlink" Target="https://enzyme.expasy.org/EC/7.6.2.14" TargetMode="External"/><Relationship Id="rId75" Type="http://schemas.openxmlformats.org/officeDocument/2006/relationships/hyperlink" Target="https://enzyme.expasy.org/EC/2.3.1.54" TargetMode="External"/><Relationship Id="rId140" Type="http://schemas.openxmlformats.org/officeDocument/2006/relationships/hyperlink" Target="https://enzyme.expasy.org/EC/2.7.4.3" TargetMode="External"/><Relationship Id="rId182" Type="http://schemas.openxmlformats.org/officeDocument/2006/relationships/hyperlink" Target="https://enzyme.expasy.org/EC/3.2.1.23" TargetMode="External"/><Relationship Id="rId6" Type="http://schemas.openxmlformats.org/officeDocument/2006/relationships/hyperlink" Target="https://enzyme.expasy.org/EC/1.1.1.205" TargetMode="External"/><Relationship Id="rId238" Type="http://schemas.openxmlformats.org/officeDocument/2006/relationships/hyperlink" Target="https://enzyme.expasy.org/EC/4.2.1.11" TargetMode="External"/><Relationship Id="rId291" Type="http://schemas.openxmlformats.org/officeDocument/2006/relationships/hyperlink" Target="https://enzyme.expasy.org/EC/6.1.1.2" TargetMode="External"/><Relationship Id="rId305" Type="http://schemas.openxmlformats.org/officeDocument/2006/relationships/hyperlink" Target="https://enzyme.expasy.org/EC/6.3.2.10" TargetMode="External"/><Relationship Id="rId44" Type="http://schemas.openxmlformats.org/officeDocument/2006/relationships/hyperlink" Target="https://enzyme.expasy.org/EC/2.1.1.171" TargetMode="External"/><Relationship Id="rId86" Type="http://schemas.openxmlformats.org/officeDocument/2006/relationships/hyperlink" Target="https://enzyme.expasy.org/EC/2.4.2.22" TargetMode="External"/><Relationship Id="rId151" Type="http://schemas.openxmlformats.org/officeDocument/2006/relationships/hyperlink" Target="https://enzyme.expasy.org/EC/2.7.7.61" TargetMode="External"/><Relationship Id="rId193" Type="http://schemas.openxmlformats.org/officeDocument/2006/relationships/hyperlink" Target="https://enzyme.expasy.org/EC/3.4.14.11" TargetMode="External"/><Relationship Id="rId207" Type="http://schemas.openxmlformats.org/officeDocument/2006/relationships/hyperlink" Target="https://enzyme.expasy.org/EC/3.5.2.3" TargetMode="External"/><Relationship Id="rId249" Type="http://schemas.openxmlformats.org/officeDocument/2006/relationships/hyperlink" Target="https://enzyme.expasy.org/EC/4.3.2.1" TargetMode="External"/><Relationship Id="rId13" Type="http://schemas.openxmlformats.org/officeDocument/2006/relationships/hyperlink" Target="https://enzyme.expasy.org/EC/1.1.1.49" TargetMode="External"/><Relationship Id="rId109" Type="http://schemas.openxmlformats.org/officeDocument/2006/relationships/hyperlink" Target="https://enzyme.expasy.org/EC/2.7.1.15" TargetMode="External"/><Relationship Id="rId260" Type="http://schemas.openxmlformats.org/officeDocument/2006/relationships/hyperlink" Target="https://enzyme.expasy.org/EC/5.1.3.4" TargetMode="External"/><Relationship Id="rId316" Type="http://schemas.openxmlformats.org/officeDocument/2006/relationships/hyperlink" Target="https://enzyme.expasy.org/EC/6.3.4.18" TargetMode="External"/><Relationship Id="rId55" Type="http://schemas.openxmlformats.org/officeDocument/2006/relationships/hyperlink" Target="https://enzyme.expasy.org/EC/2.1.1.228" TargetMode="External"/><Relationship Id="rId97" Type="http://schemas.openxmlformats.org/officeDocument/2006/relationships/hyperlink" Target="https://enzyme.expasy.org/EC/2.5.1.6" TargetMode="External"/><Relationship Id="rId120" Type="http://schemas.openxmlformats.org/officeDocument/2006/relationships/hyperlink" Target="https://enzyme.expasy.org/EC/2.7.1.39" TargetMode="External"/><Relationship Id="rId162" Type="http://schemas.openxmlformats.org/officeDocument/2006/relationships/hyperlink" Target="https://enzyme.expasy.org/EC/2.8.1.4" TargetMode="External"/><Relationship Id="rId218" Type="http://schemas.openxmlformats.org/officeDocument/2006/relationships/hyperlink" Target="https://enzyme.expasy.org/EC/3.6.1.41" TargetMode="External"/><Relationship Id="rId271" Type="http://schemas.openxmlformats.org/officeDocument/2006/relationships/hyperlink" Target="https://enzyme.expasy.org/EC/5.4.2.10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enome.jp/entry/C00911" TargetMode="External"/><Relationship Id="rId3182" Type="http://schemas.openxmlformats.org/officeDocument/2006/relationships/hyperlink" Target="https://www.genome.jp/entry/C00020" TargetMode="External"/><Relationship Id="rId3042" Type="http://schemas.openxmlformats.org/officeDocument/2006/relationships/hyperlink" Target="https://www.genome.jp/entry/C00008" TargetMode="External"/><Relationship Id="rId170" Type="http://schemas.openxmlformats.org/officeDocument/2006/relationships/hyperlink" Target="https://www.genome.jp/entry/C00130" TargetMode="External"/><Relationship Id="rId987" Type="http://schemas.openxmlformats.org/officeDocument/2006/relationships/hyperlink" Target="https://www.genome.jp/entry/C00718" TargetMode="External"/><Relationship Id="rId2668" Type="http://schemas.openxmlformats.org/officeDocument/2006/relationships/hyperlink" Target="https://www.genome.jp/entry/C00118" TargetMode="External"/><Relationship Id="rId2875" Type="http://schemas.openxmlformats.org/officeDocument/2006/relationships/hyperlink" Target="https://enzyme.expasy.org/EC/6.1.1.13" TargetMode="External"/><Relationship Id="rId847" Type="http://schemas.openxmlformats.org/officeDocument/2006/relationships/hyperlink" Target="https://www.genome.jp/entry/C23007" TargetMode="External"/><Relationship Id="rId1477" Type="http://schemas.openxmlformats.org/officeDocument/2006/relationships/hyperlink" Target="https://www.genome.jp/entry/C00008" TargetMode="External"/><Relationship Id="rId1684" Type="http://schemas.openxmlformats.org/officeDocument/2006/relationships/hyperlink" Target="https://www.genome.jp/entry/C00013" TargetMode="External"/><Relationship Id="rId1891" Type="http://schemas.openxmlformats.org/officeDocument/2006/relationships/hyperlink" Target="https://www.genome.jp/entry/G00370" TargetMode="External"/><Relationship Id="rId2528" Type="http://schemas.openxmlformats.org/officeDocument/2006/relationships/hyperlink" Target="https://www.genome.jp/entry/C02218" TargetMode="External"/><Relationship Id="rId2735" Type="http://schemas.openxmlformats.org/officeDocument/2006/relationships/hyperlink" Target="https://www.genome.jp/entry/C00085" TargetMode="External"/><Relationship Id="rId2942" Type="http://schemas.openxmlformats.org/officeDocument/2006/relationships/hyperlink" Target="https://www.genome.jp/entry/C00020" TargetMode="External"/><Relationship Id="rId707" Type="http://schemas.openxmlformats.org/officeDocument/2006/relationships/hyperlink" Target="https://www.genome.jp/entry/C06006" TargetMode="External"/><Relationship Id="rId914" Type="http://schemas.openxmlformats.org/officeDocument/2006/relationships/hyperlink" Target="https://www.genome.jp/entry/C20375" TargetMode="External"/><Relationship Id="rId1337" Type="http://schemas.openxmlformats.org/officeDocument/2006/relationships/hyperlink" Target="https://www.genome.jp/entry/C00008" TargetMode="External"/><Relationship Id="rId1544" Type="http://schemas.openxmlformats.org/officeDocument/2006/relationships/hyperlink" Target="https://www.genome.jp/entry/C00002" TargetMode="External"/><Relationship Id="rId1751" Type="http://schemas.openxmlformats.org/officeDocument/2006/relationships/hyperlink" Target="https://www.genome.jp/entry/C05378" TargetMode="External"/><Relationship Id="rId2802" Type="http://schemas.openxmlformats.org/officeDocument/2006/relationships/hyperlink" Target="https://www.genome.jp/entry/C08353" TargetMode="External"/><Relationship Id="rId43" Type="http://schemas.openxmlformats.org/officeDocument/2006/relationships/hyperlink" Target="https://www.genome.jp/entry/C02909" TargetMode="External"/><Relationship Id="rId1404" Type="http://schemas.openxmlformats.org/officeDocument/2006/relationships/hyperlink" Target="https://enzyme.expasy.org/EC/2.7.4.25" TargetMode="External"/><Relationship Id="rId1611" Type="http://schemas.openxmlformats.org/officeDocument/2006/relationships/hyperlink" Target="https://www.genome.jp/entry/C00201" TargetMode="External"/><Relationship Id="rId497" Type="http://schemas.openxmlformats.org/officeDocument/2006/relationships/hyperlink" Target="https://www.genome.jp/entry/C00415" TargetMode="External"/><Relationship Id="rId2178" Type="http://schemas.openxmlformats.org/officeDocument/2006/relationships/hyperlink" Target="https://www.genome.jp/entry/C00954" TargetMode="External"/><Relationship Id="rId2385" Type="http://schemas.openxmlformats.org/officeDocument/2006/relationships/hyperlink" Target="https://www.genome.jp/entry/C00111" TargetMode="External"/><Relationship Id="rId357" Type="http://schemas.openxmlformats.org/officeDocument/2006/relationships/hyperlink" Target="https://www.genome.jp/entry/C01978" TargetMode="External"/><Relationship Id="rId1194" Type="http://schemas.openxmlformats.org/officeDocument/2006/relationships/hyperlink" Target="https://www.genome.jp/entry/C00008" TargetMode="External"/><Relationship Id="rId2038" Type="http://schemas.openxmlformats.org/officeDocument/2006/relationships/hyperlink" Target="https://www.genome.jp/entry/G00123" TargetMode="External"/><Relationship Id="rId2592" Type="http://schemas.openxmlformats.org/officeDocument/2006/relationships/hyperlink" Target="https://enzyme.expasy.org/EC/4.4.1.13" TargetMode="External"/><Relationship Id="rId217" Type="http://schemas.openxmlformats.org/officeDocument/2006/relationships/hyperlink" Target="https://www.genome.jp/entry/C11638" TargetMode="External"/><Relationship Id="rId564" Type="http://schemas.openxmlformats.org/officeDocument/2006/relationships/hyperlink" Target="https://www.genome.jp/entry/C00073" TargetMode="External"/><Relationship Id="rId771" Type="http://schemas.openxmlformats.org/officeDocument/2006/relationships/hyperlink" Target="https://www.genome.jp/entry/C00100" TargetMode="External"/><Relationship Id="rId2245" Type="http://schemas.openxmlformats.org/officeDocument/2006/relationships/hyperlink" Target="https://www.genome.jp/entry/C00881" TargetMode="External"/><Relationship Id="rId2452" Type="http://schemas.openxmlformats.org/officeDocument/2006/relationships/hyperlink" Target="https://enzyme.expasy.org/EC/4.2.1.20" TargetMode="External"/><Relationship Id="rId424" Type="http://schemas.openxmlformats.org/officeDocument/2006/relationships/hyperlink" Target="https://www.genome.jp/entry/C00025" TargetMode="External"/><Relationship Id="rId631" Type="http://schemas.openxmlformats.org/officeDocument/2006/relationships/hyperlink" Target="https://www.genome.jp/entry/C00021" TargetMode="External"/><Relationship Id="rId1054" Type="http://schemas.openxmlformats.org/officeDocument/2006/relationships/hyperlink" Target="https://www.genome.jp/entry/C19771" TargetMode="External"/><Relationship Id="rId1261" Type="http://schemas.openxmlformats.org/officeDocument/2006/relationships/hyperlink" Target="https://www.genome.jp/entry/C00002" TargetMode="External"/><Relationship Id="rId2105" Type="http://schemas.openxmlformats.org/officeDocument/2006/relationships/hyperlink" Target="https://www.genome.jp/entry/C06188" TargetMode="External"/><Relationship Id="rId2312" Type="http://schemas.openxmlformats.org/officeDocument/2006/relationships/hyperlink" Target="https://enzyme.expasy.org/EC/4.1.1.101" TargetMode="External"/><Relationship Id="rId1121" Type="http://schemas.openxmlformats.org/officeDocument/2006/relationships/hyperlink" Target="https://enzyme.expasy.org/EC/2.6.1.42" TargetMode="External"/><Relationship Id="rId3086" Type="http://schemas.openxmlformats.org/officeDocument/2006/relationships/hyperlink" Target="https://www.genome.jp/entry/C00002" TargetMode="External"/><Relationship Id="rId1938" Type="http://schemas.openxmlformats.org/officeDocument/2006/relationships/hyperlink" Target="https://www.genome.jp/entry/C00124" TargetMode="External"/><Relationship Id="rId3153" Type="http://schemas.openxmlformats.org/officeDocument/2006/relationships/hyperlink" Target="https://www.genome.jp/entry/C00008" TargetMode="External"/><Relationship Id="rId281" Type="http://schemas.openxmlformats.org/officeDocument/2006/relationships/hyperlink" Target="https://www.genome.jp/entry/C03972" TargetMode="External"/><Relationship Id="rId3013" Type="http://schemas.openxmlformats.org/officeDocument/2006/relationships/hyperlink" Target="https://www.genome.jp/entry/C00008" TargetMode="External"/><Relationship Id="rId141" Type="http://schemas.openxmlformats.org/officeDocument/2006/relationships/hyperlink" Target="https://www.genome.jp/entry/C20372" TargetMode="External"/><Relationship Id="rId7" Type="http://schemas.openxmlformats.org/officeDocument/2006/relationships/hyperlink" Target="https://www.genome.jp/entry/C00114" TargetMode="External"/><Relationship Id="rId2779" Type="http://schemas.openxmlformats.org/officeDocument/2006/relationships/hyperlink" Target="https://www.genome.jp/entry/C00117" TargetMode="External"/><Relationship Id="rId2986" Type="http://schemas.openxmlformats.org/officeDocument/2006/relationships/hyperlink" Target="https://www.genome.jp/entry/C00002" TargetMode="External"/><Relationship Id="rId958" Type="http://schemas.openxmlformats.org/officeDocument/2006/relationships/hyperlink" Target="https://www.genome.jp/entry/C00109" TargetMode="External"/><Relationship Id="rId1588" Type="http://schemas.openxmlformats.org/officeDocument/2006/relationships/hyperlink" Target="https://www.genome.jp/entry/C00013" TargetMode="External"/><Relationship Id="rId1795" Type="http://schemas.openxmlformats.org/officeDocument/2006/relationships/hyperlink" Target="https://www.genome.jp/entry/C00362" TargetMode="External"/><Relationship Id="rId2639" Type="http://schemas.openxmlformats.org/officeDocument/2006/relationships/hyperlink" Target="https://www.genome.jp/entry/C00199" TargetMode="External"/><Relationship Id="rId2846" Type="http://schemas.openxmlformats.org/officeDocument/2006/relationships/hyperlink" Target="https://www.genome.jp/entry/C00002" TargetMode="External"/><Relationship Id="rId87" Type="http://schemas.openxmlformats.org/officeDocument/2006/relationships/hyperlink" Target="https://www.genome.jp/entry/C16586" TargetMode="External"/><Relationship Id="rId818" Type="http://schemas.openxmlformats.org/officeDocument/2006/relationships/hyperlink" Target="https://www.genome.jp/entry/C00010" TargetMode="External"/><Relationship Id="rId1448" Type="http://schemas.openxmlformats.org/officeDocument/2006/relationships/hyperlink" Target="https://www.genome.jp/entry/C00008" TargetMode="External"/><Relationship Id="rId1655" Type="http://schemas.openxmlformats.org/officeDocument/2006/relationships/hyperlink" Target="https://enzyme.expasy.org/EC/2.7.7.72" TargetMode="External"/><Relationship Id="rId2706" Type="http://schemas.openxmlformats.org/officeDocument/2006/relationships/hyperlink" Target="https://www.genome.jp/entry/C00085" TargetMode="External"/><Relationship Id="rId1308" Type="http://schemas.openxmlformats.org/officeDocument/2006/relationships/hyperlink" Target="https://www.genome.jp/entry/C00008" TargetMode="External"/><Relationship Id="rId1862" Type="http://schemas.openxmlformats.org/officeDocument/2006/relationships/hyperlink" Target="https://www.genome.jp/entry/G11121" TargetMode="External"/><Relationship Id="rId2913" Type="http://schemas.openxmlformats.org/officeDocument/2006/relationships/hyperlink" Target="https://www.genome.jp/entry/C00020" TargetMode="External"/><Relationship Id="rId1515" Type="http://schemas.openxmlformats.org/officeDocument/2006/relationships/hyperlink" Target="https://www.genome.jp/entry/C00002" TargetMode="External"/><Relationship Id="rId1722" Type="http://schemas.openxmlformats.org/officeDocument/2006/relationships/hyperlink" Target="https://www.genome.jp/entry/C15812" TargetMode="External"/><Relationship Id="rId14" Type="http://schemas.openxmlformats.org/officeDocument/2006/relationships/hyperlink" Target="https://www.genome.jp/entry/C00071" TargetMode="External"/><Relationship Id="rId2289" Type="http://schemas.openxmlformats.org/officeDocument/2006/relationships/hyperlink" Target="https://www.genome.jp/entry/C04574" TargetMode="External"/><Relationship Id="rId2496" Type="http://schemas.openxmlformats.org/officeDocument/2006/relationships/hyperlink" Target="https://www.genome.jp/entry/C05747" TargetMode="External"/><Relationship Id="rId468" Type="http://schemas.openxmlformats.org/officeDocument/2006/relationships/hyperlink" Target="https://www.genome.jp/entry/C04281" TargetMode="External"/><Relationship Id="rId675" Type="http://schemas.openxmlformats.org/officeDocument/2006/relationships/hyperlink" Target="https://enzyme.expasy.org/EC/2.1.2.3" TargetMode="External"/><Relationship Id="rId882" Type="http://schemas.openxmlformats.org/officeDocument/2006/relationships/hyperlink" Target="https://enzyme.expasy.org/EC/2.3.1.179" TargetMode="External"/><Relationship Id="rId1098" Type="http://schemas.openxmlformats.org/officeDocument/2006/relationships/hyperlink" Target="https://www.genome.jp/entry/C00009" TargetMode="External"/><Relationship Id="rId2149" Type="http://schemas.openxmlformats.org/officeDocument/2006/relationships/hyperlink" Target="https://enzyme.expasy.org/EC/3.5.1.2" TargetMode="External"/><Relationship Id="rId2356" Type="http://schemas.openxmlformats.org/officeDocument/2006/relationships/hyperlink" Target="https://www.genome.jp/entry/C01134" TargetMode="External"/><Relationship Id="rId2563" Type="http://schemas.openxmlformats.org/officeDocument/2006/relationships/hyperlink" Target="https://www.genome.jp/entry/C00441" TargetMode="External"/><Relationship Id="rId2770" Type="http://schemas.openxmlformats.org/officeDocument/2006/relationships/hyperlink" Target="https://enzyme.expasy.org/EC/5.4.2.11" TargetMode="External"/><Relationship Id="rId328" Type="http://schemas.openxmlformats.org/officeDocument/2006/relationships/hyperlink" Target="https://www.genome.jp/entry/C21748" TargetMode="External"/><Relationship Id="rId535" Type="http://schemas.openxmlformats.org/officeDocument/2006/relationships/hyperlink" Target="https://www.genome.jp/entry/C15973" TargetMode="External"/><Relationship Id="rId742" Type="http://schemas.openxmlformats.org/officeDocument/2006/relationships/hyperlink" Target="https://www.genome.jp/entry/C00010" TargetMode="External"/><Relationship Id="rId1165" Type="http://schemas.openxmlformats.org/officeDocument/2006/relationships/hyperlink" Target="https://www.genome.jp/entry/C00074" TargetMode="External"/><Relationship Id="rId1372" Type="http://schemas.openxmlformats.org/officeDocument/2006/relationships/hyperlink" Target="https://www.genome.jp/entry/C00008" TargetMode="External"/><Relationship Id="rId2009" Type="http://schemas.openxmlformats.org/officeDocument/2006/relationships/hyperlink" Target="https://enzyme.expasy.org/EC/3.2.1.23" TargetMode="External"/><Relationship Id="rId2216" Type="http://schemas.openxmlformats.org/officeDocument/2006/relationships/hyperlink" Target="https://www.genome.jp/entry/C04734" TargetMode="External"/><Relationship Id="rId2423" Type="http://schemas.openxmlformats.org/officeDocument/2006/relationships/hyperlink" Target="https://www.genome.jp/entry/C03356" TargetMode="External"/><Relationship Id="rId2630" Type="http://schemas.openxmlformats.org/officeDocument/2006/relationships/hyperlink" Target="https://www.genome.jp/entry/C00217" TargetMode="External"/><Relationship Id="rId602" Type="http://schemas.openxmlformats.org/officeDocument/2006/relationships/hyperlink" Target="https://www.genome.jp/entry/C00021" TargetMode="External"/><Relationship Id="rId1025" Type="http://schemas.openxmlformats.org/officeDocument/2006/relationships/hyperlink" Target="https://www.genome.jp/entry/C02739" TargetMode="External"/><Relationship Id="rId1232" Type="http://schemas.openxmlformats.org/officeDocument/2006/relationships/hyperlink" Target="https://www.genome.jp/entry/C00002" TargetMode="External"/><Relationship Id="rId3057" Type="http://schemas.openxmlformats.org/officeDocument/2006/relationships/hyperlink" Target="https://www.genome.jp/entry/C00008" TargetMode="External"/><Relationship Id="rId185" Type="http://schemas.openxmlformats.org/officeDocument/2006/relationships/hyperlink" Target="https://www.genome.jp/entry/C00860" TargetMode="External"/><Relationship Id="rId1909" Type="http://schemas.openxmlformats.org/officeDocument/2006/relationships/hyperlink" Target="https://enzyme.expasy.org/EC/3.2.1.22" TargetMode="External"/><Relationship Id="rId392" Type="http://schemas.openxmlformats.org/officeDocument/2006/relationships/hyperlink" Target="https://www.genome.jp/entry/C00100" TargetMode="External"/><Relationship Id="rId2073" Type="http://schemas.openxmlformats.org/officeDocument/2006/relationships/hyperlink" Target="https://www.genome.jp/entry/C05404" TargetMode="External"/><Relationship Id="rId2280" Type="http://schemas.openxmlformats.org/officeDocument/2006/relationships/hyperlink" Target="https://www.genome.jp/entry/C00404" TargetMode="External"/><Relationship Id="rId3124" Type="http://schemas.openxmlformats.org/officeDocument/2006/relationships/hyperlink" Target="https://enzyme.expasy.org/EC/6.3.5.2" TargetMode="External"/><Relationship Id="rId252" Type="http://schemas.openxmlformats.org/officeDocument/2006/relationships/hyperlink" Target="https://www.genome.jp/entry/C01236" TargetMode="External"/><Relationship Id="rId2140" Type="http://schemas.openxmlformats.org/officeDocument/2006/relationships/hyperlink" Target="https://www.genome.jp/entry/C00012" TargetMode="External"/><Relationship Id="rId112" Type="http://schemas.openxmlformats.org/officeDocument/2006/relationships/hyperlink" Target="https://www.genome.jp/entry/C04620" TargetMode="External"/><Relationship Id="rId1699" Type="http://schemas.openxmlformats.org/officeDocument/2006/relationships/hyperlink" Target="https://www.genome.jp/entry/C00055" TargetMode="External"/><Relationship Id="rId2000" Type="http://schemas.openxmlformats.org/officeDocument/2006/relationships/hyperlink" Target="https://www.genome.jp/entry/C01290" TargetMode="External"/><Relationship Id="rId2957" Type="http://schemas.openxmlformats.org/officeDocument/2006/relationships/hyperlink" Target="https://www.genome.jp/entry/C00020" TargetMode="External"/><Relationship Id="rId929" Type="http://schemas.openxmlformats.org/officeDocument/2006/relationships/hyperlink" Target="https://www.genome.jp/entry/C00024" TargetMode="External"/><Relationship Id="rId1559" Type="http://schemas.openxmlformats.org/officeDocument/2006/relationships/hyperlink" Target="https://www.genome.jp/entry/C00002" TargetMode="External"/><Relationship Id="rId1766" Type="http://schemas.openxmlformats.org/officeDocument/2006/relationships/hyperlink" Target="https://www.genome.jp/entry/C00055" TargetMode="External"/><Relationship Id="rId1973" Type="http://schemas.openxmlformats.org/officeDocument/2006/relationships/hyperlink" Target="https://www.genome.jp/entry/C00124" TargetMode="External"/><Relationship Id="rId2817" Type="http://schemas.openxmlformats.org/officeDocument/2006/relationships/hyperlink" Target="https://www.genome.jp/entry/C00002" TargetMode="External"/><Relationship Id="rId58" Type="http://schemas.openxmlformats.org/officeDocument/2006/relationships/hyperlink" Target="https://www.genome.jp/entry/C06611" TargetMode="External"/><Relationship Id="rId1419" Type="http://schemas.openxmlformats.org/officeDocument/2006/relationships/hyperlink" Target="https://enzyme.expasy.org/EC/2.7.4.3" TargetMode="External"/><Relationship Id="rId1626" Type="http://schemas.openxmlformats.org/officeDocument/2006/relationships/hyperlink" Target="https://www.genome.jp/entry/C00286" TargetMode="External"/><Relationship Id="rId1833" Type="http://schemas.openxmlformats.org/officeDocument/2006/relationships/hyperlink" Target="https://www.genome.jp/entry/C05512" TargetMode="External"/><Relationship Id="rId1900" Type="http://schemas.openxmlformats.org/officeDocument/2006/relationships/hyperlink" Target="https://www.genome.jp/entry/C00492" TargetMode="External"/><Relationship Id="rId579" Type="http://schemas.openxmlformats.org/officeDocument/2006/relationships/hyperlink" Target="https://www.genome.jp/entry/C00019" TargetMode="External"/><Relationship Id="rId786" Type="http://schemas.openxmlformats.org/officeDocument/2006/relationships/hyperlink" Target="https://www.genome.jp/entry/C02593" TargetMode="External"/><Relationship Id="rId993" Type="http://schemas.openxmlformats.org/officeDocument/2006/relationships/hyperlink" Target="https://www.genome.jp/entry/G10495" TargetMode="External"/><Relationship Id="rId2467" Type="http://schemas.openxmlformats.org/officeDocument/2006/relationships/hyperlink" Target="https://enzyme.expasy.org/EC/4.2.1.53" TargetMode="External"/><Relationship Id="rId2674" Type="http://schemas.openxmlformats.org/officeDocument/2006/relationships/hyperlink" Target="https://www.genome.jp/entry/C04896" TargetMode="External"/><Relationship Id="rId439" Type="http://schemas.openxmlformats.org/officeDocument/2006/relationships/hyperlink" Target="https://www.genome.jp/entry/C00250" TargetMode="External"/><Relationship Id="rId646" Type="http://schemas.openxmlformats.org/officeDocument/2006/relationships/hyperlink" Target="https://www.genome.jp/entry/C17562" TargetMode="External"/><Relationship Id="rId1069" Type="http://schemas.openxmlformats.org/officeDocument/2006/relationships/hyperlink" Target="https://www.genome.jp/entry/C00073" TargetMode="External"/><Relationship Id="rId1276" Type="http://schemas.openxmlformats.org/officeDocument/2006/relationships/hyperlink" Target="https://www.genome.jp/entry/C00063" TargetMode="External"/><Relationship Id="rId1483" Type="http://schemas.openxmlformats.org/officeDocument/2006/relationships/hyperlink" Target="https://www.genome.jp/entry/C00008" TargetMode="External"/><Relationship Id="rId2327" Type="http://schemas.openxmlformats.org/officeDocument/2006/relationships/hyperlink" Target="https://enzyme.expasy.org/EC/4.1.1.12" TargetMode="External"/><Relationship Id="rId2881" Type="http://schemas.openxmlformats.org/officeDocument/2006/relationships/hyperlink" Target="https://www.genome.jp/entry/C00002" TargetMode="External"/><Relationship Id="rId506" Type="http://schemas.openxmlformats.org/officeDocument/2006/relationships/hyperlink" Target="https://www.genome.jp/entry/C00504" TargetMode="External"/><Relationship Id="rId853" Type="http://schemas.openxmlformats.org/officeDocument/2006/relationships/hyperlink" Target="https://www.genome.jp/entry/C21906" TargetMode="External"/><Relationship Id="rId1136" Type="http://schemas.openxmlformats.org/officeDocument/2006/relationships/hyperlink" Target="https://www.genome.jp/entry/C00002" TargetMode="External"/><Relationship Id="rId1690" Type="http://schemas.openxmlformats.org/officeDocument/2006/relationships/hyperlink" Target="https://enzyme.expasy.org/EC/2.7.8.13" TargetMode="External"/><Relationship Id="rId2534" Type="http://schemas.openxmlformats.org/officeDocument/2006/relationships/hyperlink" Target="https://www.genome.jp/entry/C03406" TargetMode="External"/><Relationship Id="rId2741" Type="http://schemas.openxmlformats.org/officeDocument/2006/relationships/hyperlink" Target="https://www.genome.jp/entry/C05345" TargetMode="External"/><Relationship Id="rId713" Type="http://schemas.openxmlformats.org/officeDocument/2006/relationships/hyperlink" Target="https://www.genome.jp/entry/C00022" TargetMode="External"/><Relationship Id="rId920" Type="http://schemas.openxmlformats.org/officeDocument/2006/relationships/hyperlink" Target="https://www.genome.jp/entry/C05744" TargetMode="External"/><Relationship Id="rId1343" Type="http://schemas.openxmlformats.org/officeDocument/2006/relationships/hyperlink" Target="https://www.genome.jp/entry/C00008" TargetMode="External"/><Relationship Id="rId1550" Type="http://schemas.openxmlformats.org/officeDocument/2006/relationships/hyperlink" Target="https://www.genome.jp/entry/C00020" TargetMode="External"/><Relationship Id="rId2601" Type="http://schemas.openxmlformats.org/officeDocument/2006/relationships/hyperlink" Target="https://www.genome.jp/entry/C00812" TargetMode="External"/><Relationship Id="rId1203" Type="http://schemas.openxmlformats.org/officeDocument/2006/relationships/hyperlink" Target="https://www.genome.jp/entry/C00002" TargetMode="External"/><Relationship Id="rId1410" Type="http://schemas.openxmlformats.org/officeDocument/2006/relationships/hyperlink" Target="https://www.genome.jp/entry/C00002" TargetMode="External"/><Relationship Id="rId3168" Type="http://schemas.openxmlformats.org/officeDocument/2006/relationships/hyperlink" Target="https://www.genome.jp/entry/C00008" TargetMode="External"/><Relationship Id="rId296" Type="http://schemas.openxmlformats.org/officeDocument/2006/relationships/hyperlink" Target="https://www.genome.jp/entry/C00361" TargetMode="External"/><Relationship Id="rId2184" Type="http://schemas.openxmlformats.org/officeDocument/2006/relationships/hyperlink" Target="https://enzyme.expasy.org/EC/3.5.1.4" TargetMode="External"/><Relationship Id="rId2391" Type="http://schemas.openxmlformats.org/officeDocument/2006/relationships/hyperlink" Target="https://www.genome.jp/entry/C00118" TargetMode="External"/><Relationship Id="rId3028" Type="http://schemas.openxmlformats.org/officeDocument/2006/relationships/hyperlink" Target="https://www.genome.jp/entry/C00055" TargetMode="External"/><Relationship Id="rId156" Type="http://schemas.openxmlformats.org/officeDocument/2006/relationships/hyperlink" Target="https://www.genome.jp/entry/C00644" TargetMode="External"/><Relationship Id="rId363" Type="http://schemas.openxmlformats.org/officeDocument/2006/relationships/hyperlink" Target="https://www.genome.jp/entry/C01412" TargetMode="External"/><Relationship Id="rId570" Type="http://schemas.openxmlformats.org/officeDocument/2006/relationships/hyperlink" Target="https://www.genome.jp/entry/C03023" TargetMode="External"/><Relationship Id="rId2044" Type="http://schemas.openxmlformats.org/officeDocument/2006/relationships/hyperlink" Target="https://enzyme.expasy.org/EC/3.2.1.23" TargetMode="External"/><Relationship Id="rId2251" Type="http://schemas.openxmlformats.org/officeDocument/2006/relationships/hyperlink" Target="https://www.genome.jp/entry/C12739" TargetMode="External"/><Relationship Id="rId223" Type="http://schemas.openxmlformats.org/officeDocument/2006/relationships/hyperlink" Target="https://www.genome.jp/entry/C00022" TargetMode="External"/><Relationship Id="rId430" Type="http://schemas.openxmlformats.org/officeDocument/2006/relationships/hyperlink" Target="https://www.genome.jp/entry/C00161" TargetMode="External"/><Relationship Id="rId1060" Type="http://schemas.openxmlformats.org/officeDocument/2006/relationships/hyperlink" Target="https://enzyme.expasy.org/EC/2.4.2.9" TargetMode="External"/><Relationship Id="rId2111" Type="http://schemas.openxmlformats.org/officeDocument/2006/relationships/hyperlink" Target="https://www.genome.jp/entry/G10518" TargetMode="External"/><Relationship Id="rId1877" Type="http://schemas.openxmlformats.org/officeDocument/2006/relationships/hyperlink" Target="https://www.genome.jp/entry/C00031" TargetMode="External"/><Relationship Id="rId2928" Type="http://schemas.openxmlformats.org/officeDocument/2006/relationships/hyperlink" Target="https://www.genome.jp/entry/C00020" TargetMode="External"/><Relationship Id="rId1737" Type="http://schemas.openxmlformats.org/officeDocument/2006/relationships/hyperlink" Target="https://www.genome.jp/entry/C00010" TargetMode="External"/><Relationship Id="rId1944" Type="http://schemas.openxmlformats.org/officeDocument/2006/relationships/hyperlink" Target="https://enzyme.expasy.org/EC/3.2.1.22" TargetMode="External"/><Relationship Id="rId3092" Type="http://schemas.openxmlformats.org/officeDocument/2006/relationships/hyperlink" Target="https://www.genome.jp/entry/C00008" TargetMode="External"/><Relationship Id="rId29" Type="http://schemas.openxmlformats.org/officeDocument/2006/relationships/hyperlink" Target="https://www.genome.jp/entry/C00376" TargetMode="External"/><Relationship Id="rId1804" Type="http://schemas.openxmlformats.org/officeDocument/2006/relationships/hyperlink" Target="https://enzyme.expasy.org/EC/3.1.3.5" TargetMode="External"/><Relationship Id="rId897" Type="http://schemas.openxmlformats.org/officeDocument/2006/relationships/hyperlink" Target="https://enzyme.expasy.org/EC/2.3.1.179" TargetMode="External"/><Relationship Id="rId2578" Type="http://schemas.openxmlformats.org/officeDocument/2006/relationships/hyperlink" Target="https://www.genome.jp/entry/C02882" TargetMode="External"/><Relationship Id="rId2785" Type="http://schemas.openxmlformats.org/officeDocument/2006/relationships/hyperlink" Target="https://enzyme.expasy.org/EC/5.4.2.7" TargetMode="External"/><Relationship Id="rId2992" Type="http://schemas.openxmlformats.org/officeDocument/2006/relationships/hyperlink" Target="https://www.genome.jp/entry/C02051" TargetMode="External"/><Relationship Id="rId757" Type="http://schemas.openxmlformats.org/officeDocument/2006/relationships/hyperlink" Target="https://www.genome.jp/entry/C00010" TargetMode="External"/><Relationship Id="rId964" Type="http://schemas.openxmlformats.org/officeDocument/2006/relationships/hyperlink" Target="https://www.genome.jp/entry/C00010" TargetMode="External"/><Relationship Id="rId1387" Type="http://schemas.openxmlformats.org/officeDocument/2006/relationships/hyperlink" Target="https://www.genome.jp/entry/C00022" TargetMode="External"/><Relationship Id="rId1594" Type="http://schemas.openxmlformats.org/officeDocument/2006/relationships/hyperlink" Target="https://www.genome.jp/entry/C00013" TargetMode="External"/><Relationship Id="rId2438" Type="http://schemas.openxmlformats.org/officeDocument/2006/relationships/hyperlink" Target="https://www.genome.jp/entry/C00149" TargetMode="External"/><Relationship Id="rId2645" Type="http://schemas.openxmlformats.org/officeDocument/2006/relationships/hyperlink" Target="https://www.genome.jp/entry/C00052" TargetMode="External"/><Relationship Id="rId2852" Type="http://schemas.openxmlformats.org/officeDocument/2006/relationships/hyperlink" Target="https://www.genome.jp/entry/C00002" TargetMode="External"/><Relationship Id="rId93" Type="http://schemas.openxmlformats.org/officeDocument/2006/relationships/hyperlink" Target="https://www.genome.jp/entry/C16595" TargetMode="External"/><Relationship Id="rId617" Type="http://schemas.openxmlformats.org/officeDocument/2006/relationships/hyperlink" Target="https://www.genome.jp/entry/C17552" TargetMode="External"/><Relationship Id="rId824" Type="http://schemas.openxmlformats.org/officeDocument/2006/relationships/hyperlink" Target="https://enzyme.expasy.org/EC/2.3.1.16" TargetMode="External"/><Relationship Id="rId1247" Type="http://schemas.openxmlformats.org/officeDocument/2006/relationships/hyperlink" Target="https://www.genome.jp/entry/C00008" TargetMode="External"/><Relationship Id="rId1454" Type="http://schemas.openxmlformats.org/officeDocument/2006/relationships/hyperlink" Target="https://enzyme.expasy.org/EC/2.7.4.6" TargetMode="External"/><Relationship Id="rId1661" Type="http://schemas.openxmlformats.org/officeDocument/2006/relationships/hyperlink" Target="https://www.genome.jp/entry/C19078" TargetMode="External"/><Relationship Id="rId2505" Type="http://schemas.openxmlformats.org/officeDocument/2006/relationships/hyperlink" Target="https://www.genome.jp/entry/C20373" TargetMode="External"/><Relationship Id="rId2712" Type="http://schemas.openxmlformats.org/officeDocument/2006/relationships/hyperlink" Target="https://enzyme.expasy.org/EC/5.3.1.8" TargetMode="External"/><Relationship Id="rId1107" Type="http://schemas.openxmlformats.org/officeDocument/2006/relationships/hyperlink" Target="https://www.genome.jp/entry/C04631" TargetMode="External"/><Relationship Id="rId1314" Type="http://schemas.openxmlformats.org/officeDocument/2006/relationships/hyperlink" Target="https://enzyme.expasy.org/EC/2.7.1.48" TargetMode="External"/><Relationship Id="rId1521" Type="http://schemas.openxmlformats.org/officeDocument/2006/relationships/hyperlink" Target="https://www.genome.jp/entry/C00008" TargetMode="External"/><Relationship Id="rId20" Type="http://schemas.openxmlformats.org/officeDocument/2006/relationships/hyperlink" Target="https://www.genome.jp/entry/C00772" TargetMode="External"/><Relationship Id="rId2088" Type="http://schemas.openxmlformats.org/officeDocument/2006/relationships/hyperlink" Target="https://www.genome.jp/entry/G00501" TargetMode="External"/><Relationship Id="rId2295" Type="http://schemas.openxmlformats.org/officeDocument/2006/relationships/hyperlink" Target="https://www.genome.jp/entry/C02741" TargetMode="External"/><Relationship Id="rId3139" Type="http://schemas.openxmlformats.org/officeDocument/2006/relationships/hyperlink" Target="https://enzyme.expasy.org/EC/6.3.5.4" TargetMode="External"/><Relationship Id="rId267" Type="http://schemas.openxmlformats.org/officeDocument/2006/relationships/hyperlink" Target="https://www.genome.jp/entry/C00111" TargetMode="External"/><Relationship Id="rId474" Type="http://schemas.openxmlformats.org/officeDocument/2006/relationships/hyperlink" Target="https://www.genome.jp/entry/C00143" TargetMode="External"/><Relationship Id="rId2155" Type="http://schemas.openxmlformats.org/officeDocument/2006/relationships/hyperlink" Target="https://www.genome.jp/entry/C00357" TargetMode="External"/><Relationship Id="rId127" Type="http://schemas.openxmlformats.org/officeDocument/2006/relationships/hyperlink" Target="https://www.genome.jp/entry/C05747" TargetMode="External"/><Relationship Id="rId681" Type="http://schemas.openxmlformats.org/officeDocument/2006/relationships/hyperlink" Target="https://www.genome.jp/entry/C02430" TargetMode="External"/><Relationship Id="rId2362" Type="http://schemas.openxmlformats.org/officeDocument/2006/relationships/hyperlink" Target="https://enzyme.expasy.org/EC/4.1.1.48" TargetMode="External"/><Relationship Id="rId334" Type="http://schemas.openxmlformats.org/officeDocument/2006/relationships/hyperlink" Target="https://www.genome.jp/entry/C00002" TargetMode="External"/><Relationship Id="rId541" Type="http://schemas.openxmlformats.org/officeDocument/2006/relationships/hyperlink" Target="https://www.genome.jp/entry/C16237" TargetMode="External"/><Relationship Id="rId1171" Type="http://schemas.openxmlformats.org/officeDocument/2006/relationships/hyperlink" Target="https://enzyme.expasy.org/EC/2.7.1.15" TargetMode="External"/><Relationship Id="rId2015" Type="http://schemas.openxmlformats.org/officeDocument/2006/relationships/hyperlink" Target="https://www.genome.jp/entry/C05796" TargetMode="External"/><Relationship Id="rId2222" Type="http://schemas.openxmlformats.org/officeDocument/2006/relationships/hyperlink" Target="https://www.genome.jp/entry/C04896" TargetMode="External"/><Relationship Id="rId401" Type="http://schemas.openxmlformats.org/officeDocument/2006/relationships/hyperlink" Target="https://enzyme.expasy.org/EC/1.3.1.98" TargetMode="External"/><Relationship Id="rId1031" Type="http://schemas.openxmlformats.org/officeDocument/2006/relationships/hyperlink" Target="https://enzyme.expasy.org/EC/2.4.2.2" TargetMode="External"/><Relationship Id="rId1988" Type="http://schemas.openxmlformats.org/officeDocument/2006/relationships/hyperlink" Target="https://www.genome.jp/entry/C00159" TargetMode="External"/><Relationship Id="rId1848" Type="http://schemas.openxmlformats.org/officeDocument/2006/relationships/hyperlink" Target="https://www.genome.jp/entry/C15584" TargetMode="External"/><Relationship Id="rId3063" Type="http://schemas.openxmlformats.org/officeDocument/2006/relationships/hyperlink" Target="https://www.genome.jp/entry/C00020" TargetMode="External"/><Relationship Id="rId191" Type="http://schemas.openxmlformats.org/officeDocument/2006/relationships/hyperlink" Target="https://www.genome.jp/entry/C01929" TargetMode="External"/><Relationship Id="rId1708" Type="http://schemas.openxmlformats.org/officeDocument/2006/relationships/hyperlink" Target="https://www.genome.jp/entry/C00020" TargetMode="External"/><Relationship Id="rId1915" Type="http://schemas.openxmlformats.org/officeDocument/2006/relationships/hyperlink" Target="https://www.genome.jp/entry/C04737" TargetMode="External"/><Relationship Id="rId3130" Type="http://schemas.openxmlformats.org/officeDocument/2006/relationships/hyperlink" Target="https://www.genome.jp/entry/C16618" TargetMode="External"/><Relationship Id="rId2689" Type="http://schemas.openxmlformats.org/officeDocument/2006/relationships/hyperlink" Target="https://www.genome.jp/entry/C06019" TargetMode="External"/><Relationship Id="rId2896" Type="http://schemas.openxmlformats.org/officeDocument/2006/relationships/hyperlink" Target="https://www.genome.jp/entry/C00002" TargetMode="External"/><Relationship Id="rId868" Type="http://schemas.openxmlformats.org/officeDocument/2006/relationships/hyperlink" Target="https://www.genome.jp/entry/C00685" TargetMode="External"/><Relationship Id="rId1498" Type="http://schemas.openxmlformats.org/officeDocument/2006/relationships/hyperlink" Target="https://www.genome.jp/entry/C00008" TargetMode="External"/><Relationship Id="rId2549" Type="http://schemas.openxmlformats.org/officeDocument/2006/relationships/hyperlink" Target="https://www.genome.jp/entry/C03794" TargetMode="External"/><Relationship Id="rId2756" Type="http://schemas.openxmlformats.org/officeDocument/2006/relationships/hyperlink" Target="https://www.genome.jp/entry/C06156" TargetMode="External"/><Relationship Id="rId2963" Type="http://schemas.openxmlformats.org/officeDocument/2006/relationships/hyperlink" Target="https://www.genome.jp/entry/C00020" TargetMode="External"/><Relationship Id="rId728" Type="http://schemas.openxmlformats.org/officeDocument/2006/relationships/hyperlink" Target="https://www.genome.jp/entry/C05125" TargetMode="External"/><Relationship Id="rId935" Type="http://schemas.openxmlformats.org/officeDocument/2006/relationships/hyperlink" Target="https://www.genome.jp/entry/C02133" TargetMode="External"/><Relationship Id="rId1358" Type="http://schemas.openxmlformats.org/officeDocument/2006/relationships/hyperlink" Target="https://www.genome.jp/entry/C00008" TargetMode="External"/><Relationship Id="rId1565" Type="http://schemas.openxmlformats.org/officeDocument/2006/relationships/hyperlink" Target="https://www.genome.jp/entry/C00013" TargetMode="External"/><Relationship Id="rId1772" Type="http://schemas.openxmlformats.org/officeDocument/2006/relationships/hyperlink" Target="https://www.genome.jp/entry/C00299" TargetMode="External"/><Relationship Id="rId2409" Type="http://schemas.openxmlformats.org/officeDocument/2006/relationships/hyperlink" Target="https://www.genome.jp/entry/C00158" TargetMode="External"/><Relationship Id="rId2616" Type="http://schemas.openxmlformats.org/officeDocument/2006/relationships/hyperlink" Target="https://www.genome.jp/entry/C00022" TargetMode="External"/><Relationship Id="rId64" Type="http://schemas.openxmlformats.org/officeDocument/2006/relationships/hyperlink" Target="https://www.genome.jp/entry/C16348" TargetMode="External"/><Relationship Id="rId1218" Type="http://schemas.openxmlformats.org/officeDocument/2006/relationships/hyperlink" Target="https://www.genome.jp/entry/C11736" TargetMode="External"/><Relationship Id="rId1425" Type="http://schemas.openxmlformats.org/officeDocument/2006/relationships/hyperlink" Target="https://www.genome.jp/entry/C00068" TargetMode="External"/><Relationship Id="rId2823" Type="http://schemas.openxmlformats.org/officeDocument/2006/relationships/hyperlink" Target="https://www.genome.jp/entry/C00020" TargetMode="External"/><Relationship Id="rId1632" Type="http://schemas.openxmlformats.org/officeDocument/2006/relationships/hyperlink" Target="https://www.genome.jp/entry/C00458" TargetMode="External"/><Relationship Id="rId2199" Type="http://schemas.openxmlformats.org/officeDocument/2006/relationships/hyperlink" Target="https://enzyme.expasy.org/EC/3.5.1.88" TargetMode="External"/><Relationship Id="rId378" Type="http://schemas.openxmlformats.org/officeDocument/2006/relationships/hyperlink" Target="https://www.genome.jp/entry/C00022" TargetMode="External"/><Relationship Id="rId585" Type="http://schemas.openxmlformats.org/officeDocument/2006/relationships/hyperlink" Target="https://www.genome.jp/entry/C04489" TargetMode="External"/><Relationship Id="rId792" Type="http://schemas.openxmlformats.org/officeDocument/2006/relationships/hyperlink" Target="https://www.genome.jp/entry/C00010" TargetMode="External"/><Relationship Id="rId2059" Type="http://schemas.openxmlformats.org/officeDocument/2006/relationships/hyperlink" Target="https://enzyme.expasy.org/EC/3.2.1.23" TargetMode="External"/><Relationship Id="rId2266" Type="http://schemas.openxmlformats.org/officeDocument/2006/relationships/hyperlink" Target="https://www.genome.jp/entry/C01279" TargetMode="External"/><Relationship Id="rId2473" Type="http://schemas.openxmlformats.org/officeDocument/2006/relationships/hyperlink" Target="https://www.genome.jp/entry/C01102" TargetMode="External"/><Relationship Id="rId2680" Type="http://schemas.openxmlformats.org/officeDocument/2006/relationships/hyperlink" Target="https://www.genome.jp/entry/C01097" TargetMode="External"/><Relationship Id="rId238" Type="http://schemas.openxmlformats.org/officeDocument/2006/relationships/hyperlink" Target="https://www.genome.jp/entry/C00441" TargetMode="External"/><Relationship Id="rId445" Type="http://schemas.openxmlformats.org/officeDocument/2006/relationships/hyperlink" Target="https://www.genome.jp/entry/C00027" TargetMode="External"/><Relationship Id="rId652" Type="http://schemas.openxmlformats.org/officeDocument/2006/relationships/hyperlink" Target="https://www.genome.jp/entry/C00019" TargetMode="External"/><Relationship Id="rId1075" Type="http://schemas.openxmlformats.org/officeDocument/2006/relationships/hyperlink" Target="https://www.genome.jp/entry/C00536" TargetMode="External"/><Relationship Id="rId1282" Type="http://schemas.openxmlformats.org/officeDocument/2006/relationships/hyperlink" Target="https://www.genome.jp/entry/C00015" TargetMode="External"/><Relationship Id="rId2126" Type="http://schemas.openxmlformats.org/officeDocument/2006/relationships/hyperlink" Target="https://www.genome.jp/entry/C00021" TargetMode="External"/><Relationship Id="rId2333" Type="http://schemas.openxmlformats.org/officeDocument/2006/relationships/hyperlink" Target="https://www.genome.jp/entry/C00680" TargetMode="External"/><Relationship Id="rId2540" Type="http://schemas.openxmlformats.org/officeDocument/2006/relationships/hyperlink" Target="https://www.genome.jp/entry/C00161" TargetMode="External"/><Relationship Id="rId305" Type="http://schemas.openxmlformats.org/officeDocument/2006/relationships/hyperlink" Target="https://enzyme.expasy.org/EC/1.17.4.1" TargetMode="External"/><Relationship Id="rId512" Type="http://schemas.openxmlformats.org/officeDocument/2006/relationships/hyperlink" Target="https://www.genome.jp/entry/C00504" TargetMode="External"/><Relationship Id="rId1142" Type="http://schemas.openxmlformats.org/officeDocument/2006/relationships/hyperlink" Target="https://www.genome.jp/entry/C00002" TargetMode="External"/><Relationship Id="rId2400" Type="http://schemas.openxmlformats.org/officeDocument/2006/relationships/hyperlink" Target="https://www.genome.jp/entry/C00111" TargetMode="External"/><Relationship Id="rId1002" Type="http://schemas.openxmlformats.org/officeDocument/2006/relationships/hyperlink" Target="https://www.genome.jp/entry/C00008" TargetMode="External"/><Relationship Id="rId1959" Type="http://schemas.openxmlformats.org/officeDocument/2006/relationships/hyperlink" Target="https://enzyme.expasy.org/EC/3.2.1.22" TargetMode="External"/><Relationship Id="rId3174" Type="http://schemas.openxmlformats.org/officeDocument/2006/relationships/hyperlink" Target="https://enzyme.expasy.org/EC/6.4.1.1" TargetMode="External"/><Relationship Id="rId1819" Type="http://schemas.openxmlformats.org/officeDocument/2006/relationships/hyperlink" Target="https://enzyme.expasy.org/EC/3.1.3.5" TargetMode="External"/><Relationship Id="rId2190" Type="http://schemas.openxmlformats.org/officeDocument/2006/relationships/hyperlink" Target="https://www.genome.jp/entry/C06244" TargetMode="External"/><Relationship Id="rId3034" Type="http://schemas.openxmlformats.org/officeDocument/2006/relationships/hyperlink" Target="https://enzyme.expasy.org/EC/6.3.2.6" TargetMode="External"/><Relationship Id="rId162" Type="http://schemas.openxmlformats.org/officeDocument/2006/relationships/hyperlink" Target="https://www.genome.jp/entry/C05345" TargetMode="External"/><Relationship Id="rId2050" Type="http://schemas.openxmlformats.org/officeDocument/2006/relationships/hyperlink" Target="https://www.genome.jp/entry/G10504" TargetMode="External"/><Relationship Id="rId3101" Type="http://schemas.openxmlformats.org/officeDocument/2006/relationships/hyperlink" Target="https://www.genome.jp/entry/C00101" TargetMode="External"/><Relationship Id="rId979" Type="http://schemas.openxmlformats.org/officeDocument/2006/relationships/hyperlink" Target="https://www.genome.jp/entry/C00024" TargetMode="External"/><Relationship Id="rId839" Type="http://schemas.openxmlformats.org/officeDocument/2006/relationships/hyperlink" Target="https://enzyme.expasy.org/EC/2.3.1.16" TargetMode="External"/><Relationship Id="rId1469" Type="http://schemas.openxmlformats.org/officeDocument/2006/relationships/hyperlink" Target="https://enzyme.expasy.org/EC/2.7.4.6" TargetMode="External"/><Relationship Id="rId2867" Type="http://schemas.openxmlformats.org/officeDocument/2006/relationships/hyperlink" Target="https://www.genome.jp/entry/C00002" TargetMode="External"/><Relationship Id="rId1676" Type="http://schemas.openxmlformats.org/officeDocument/2006/relationships/hyperlink" Target="https://www.genome.jp/entry/C00188" TargetMode="External"/><Relationship Id="rId1883" Type="http://schemas.openxmlformats.org/officeDocument/2006/relationships/hyperlink" Target="https://www.genome.jp/entry/C00267" TargetMode="External"/><Relationship Id="rId2727" Type="http://schemas.openxmlformats.org/officeDocument/2006/relationships/hyperlink" Target="https://enzyme.expasy.org/EC/5.3.1.9" TargetMode="External"/><Relationship Id="rId2934" Type="http://schemas.openxmlformats.org/officeDocument/2006/relationships/hyperlink" Target="https://enzyme.expasy.org/EC/6.1.1.3" TargetMode="External"/><Relationship Id="rId906" Type="http://schemas.openxmlformats.org/officeDocument/2006/relationships/hyperlink" Target="https://www.genome.jp/entry/C16219" TargetMode="External"/><Relationship Id="rId1329" Type="http://schemas.openxmlformats.org/officeDocument/2006/relationships/hyperlink" Target="https://enzyme.expasy.org/EC/2.7.1.49" TargetMode="External"/><Relationship Id="rId1536" Type="http://schemas.openxmlformats.org/officeDocument/2006/relationships/hyperlink" Target="https://www.genome.jp/entry/C00008" TargetMode="External"/><Relationship Id="rId1743" Type="http://schemas.openxmlformats.org/officeDocument/2006/relationships/hyperlink" Target="https://www.genome.jp/entry/C00085" TargetMode="External"/><Relationship Id="rId1950" Type="http://schemas.openxmlformats.org/officeDocument/2006/relationships/hyperlink" Target="https://www.genome.jp/entry/C06126" TargetMode="External"/><Relationship Id="rId35" Type="http://schemas.openxmlformats.org/officeDocument/2006/relationships/hyperlink" Target="https://www.genome.jp/entry/C01545" TargetMode="External"/><Relationship Id="rId1603" Type="http://schemas.openxmlformats.org/officeDocument/2006/relationships/hyperlink" Target="https://www.genome.jp/entry/C00013" TargetMode="External"/><Relationship Id="rId1810" Type="http://schemas.openxmlformats.org/officeDocument/2006/relationships/hyperlink" Target="https://www.genome.jp/entry/C00455" TargetMode="External"/><Relationship Id="rId489" Type="http://schemas.openxmlformats.org/officeDocument/2006/relationships/hyperlink" Target="https://www.genome.jp/entry/C00101" TargetMode="External"/><Relationship Id="rId696" Type="http://schemas.openxmlformats.org/officeDocument/2006/relationships/hyperlink" Target="https://www.genome.jp/entry/C00022" TargetMode="External"/><Relationship Id="rId2377" Type="http://schemas.openxmlformats.org/officeDocument/2006/relationships/hyperlink" Target="https://enzyme.expasy.org/EC/4.1.1.85" TargetMode="External"/><Relationship Id="rId2584" Type="http://schemas.openxmlformats.org/officeDocument/2006/relationships/hyperlink" Target="https://www.genome.jp/entry/C00097" TargetMode="External"/><Relationship Id="rId2791" Type="http://schemas.openxmlformats.org/officeDocument/2006/relationships/hyperlink" Target="https://www.genome.jp/entry/C00868" TargetMode="External"/><Relationship Id="rId349" Type="http://schemas.openxmlformats.org/officeDocument/2006/relationships/hyperlink" Target="https://www.genome.jp/entry/C00075" TargetMode="External"/><Relationship Id="rId556" Type="http://schemas.openxmlformats.org/officeDocument/2006/relationships/hyperlink" Target="https://www.genome.jp/entry/C00343" TargetMode="External"/><Relationship Id="rId763" Type="http://schemas.openxmlformats.org/officeDocument/2006/relationships/hyperlink" Target="https://www.genome.jp/entry/C00010" TargetMode="External"/><Relationship Id="rId1186" Type="http://schemas.openxmlformats.org/officeDocument/2006/relationships/hyperlink" Target="https://enzyme.expasy.org/EC/2.7.1.197" TargetMode="External"/><Relationship Id="rId1393" Type="http://schemas.openxmlformats.org/officeDocument/2006/relationships/hyperlink" Target="https://www.genome.jp/entry/C00008" TargetMode="External"/><Relationship Id="rId2237" Type="http://schemas.openxmlformats.org/officeDocument/2006/relationships/hyperlink" Target="https://www.genome.jp/entry/C05512" TargetMode="External"/><Relationship Id="rId2444" Type="http://schemas.openxmlformats.org/officeDocument/2006/relationships/hyperlink" Target="https://www.genome.jp/entry/C00065" TargetMode="External"/><Relationship Id="rId209" Type="http://schemas.openxmlformats.org/officeDocument/2006/relationships/hyperlink" Target="https://enzyme.expasy.org/EC/1.1.1.262" TargetMode="External"/><Relationship Id="rId416" Type="http://schemas.openxmlformats.org/officeDocument/2006/relationships/hyperlink" Target="https://enzyme.expasy.org/EC/1.4.1.13" TargetMode="External"/><Relationship Id="rId970" Type="http://schemas.openxmlformats.org/officeDocument/2006/relationships/hyperlink" Target="https://www.genome.jp/entry/C02876" TargetMode="External"/><Relationship Id="rId1046" Type="http://schemas.openxmlformats.org/officeDocument/2006/relationships/hyperlink" Target="https://enzyme.expasy.org/EC/2.4.2.29" TargetMode="External"/><Relationship Id="rId1253" Type="http://schemas.openxmlformats.org/officeDocument/2006/relationships/hyperlink" Target="https://www.genome.jp/entry/C00008" TargetMode="External"/><Relationship Id="rId2651" Type="http://schemas.openxmlformats.org/officeDocument/2006/relationships/hyperlink" Target="https://www.genome.jp/entry/C00203" TargetMode="External"/><Relationship Id="rId623" Type="http://schemas.openxmlformats.org/officeDocument/2006/relationships/hyperlink" Target="https://enzyme.expasy.org/EC/2.1.1.297" TargetMode="External"/><Relationship Id="rId830" Type="http://schemas.openxmlformats.org/officeDocument/2006/relationships/hyperlink" Target="https://www.genome.jp/entry/C16339" TargetMode="External"/><Relationship Id="rId1460" Type="http://schemas.openxmlformats.org/officeDocument/2006/relationships/hyperlink" Target="https://www.genome.jp/entry/C00002" TargetMode="External"/><Relationship Id="rId2304" Type="http://schemas.openxmlformats.org/officeDocument/2006/relationships/hyperlink" Target="https://www.genome.jp/entry/C04287" TargetMode="External"/><Relationship Id="rId2511" Type="http://schemas.openxmlformats.org/officeDocument/2006/relationships/hyperlink" Target="https://www.genome.jp/entry/C20378" TargetMode="External"/><Relationship Id="rId1113" Type="http://schemas.openxmlformats.org/officeDocument/2006/relationships/hyperlink" Target="https://enzyme.expasy.org/EC/2.5.1.75" TargetMode="External"/><Relationship Id="rId1320" Type="http://schemas.openxmlformats.org/officeDocument/2006/relationships/hyperlink" Target="https://www.genome.jp/entry/C00044" TargetMode="External"/><Relationship Id="rId3078" Type="http://schemas.openxmlformats.org/officeDocument/2006/relationships/hyperlink" Target="https://www.genome.jp/entry/C00020" TargetMode="External"/><Relationship Id="rId2094" Type="http://schemas.openxmlformats.org/officeDocument/2006/relationships/hyperlink" Target="https://enzyme.expasy.org/EC/3.2.1.86" TargetMode="External"/><Relationship Id="rId3145" Type="http://schemas.openxmlformats.org/officeDocument/2006/relationships/hyperlink" Target="https://www.genome.jp/entry/C00002" TargetMode="External"/><Relationship Id="rId273" Type="http://schemas.openxmlformats.org/officeDocument/2006/relationships/hyperlink" Target="https://www.genome.jp/entry/C00111" TargetMode="External"/><Relationship Id="rId480" Type="http://schemas.openxmlformats.org/officeDocument/2006/relationships/hyperlink" Target="https://www.genome.jp/entry/C00101" TargetMode="External"/><Relationship Id="rId2161" Type="http://schemas.openxmlformats.org/officeDocument/2006/relationships/hyperlink" Target="https://www.genome.jp/entry/C02999" TargetMode="External"/><Relationship Id="rId3005" Type="http://schemas.openxmlformats.org/officeDocument/2006/relationships/hyperlink" Target="https://www.genome.jp/entry/C00002" TargetMode="External"/><Relationship Id="rId133" Type="http://schemas.openxmlformats.org/officeDocument/2006/relationships/hyperlink" Target="https://www.genome.jp/entry/C05757" TargetMode="External"/><Relationship Id="rId340" Type="http://schemas.openxmlformats.org/officeDocument/2006/relationships/hyperlink" Target="https://enzyme.expasy.org/EC/1.17.4.2" TargetMode="External"/><Relationship Id="rId2021" Type="http://schemas.openxmlformats.org/officeDocument/2006/relationships/hyperlink" Target="https://www.genome.jp/entry/C06136" TargetMode="External"/><Relationship Id="rId200" Type="http://schemas.openxmlformats.org/officeDocument/2006/relationships/hyperlink" Target="https://www.genome.jp/entry/C02637" TargetMode="External"/><Relationship Id="rId2978" Type="http://schemas.openxmlformats.org/officeDocument/2006/relationships/hyperlink" Target="https://www.genome.jp/entry/C00020" TargetMode="External"/><Relationship Id="rId1787" Type="http://schemas.openxmlformats.org/officeDocument/2006/relationships/hyperlink" Target="https://www.genome.jp/entry/C00881" TargetMode="External"/><Relationship Id="rId1994" Type="http://schemas.openxmlformats.org/officeDocument/2006/relationships/hyperlink" Target="https://enzyme.expasy.org/EC/3.2.1.23" TargetMode="External"/><Relationship Id="rId2838" Type="http://schemas.openxmlformats.org/officeDocument/2006/relationships/hyperlink" Target="https://www.genome.jp/entry/C00020" TargetMode="External"/><Relationship Id="rId79" Type="http://schemas.openxmlformats.org/officeDocument/2006/relationships/hyperlink" Target="https://www.genome.jp/entry/C14090" TargetMode="External"/><Relationship Id="rId1647" Type="http://schemas.openxmlformats.org/officeDocument/2006/relationships/hyperlink" Target="https://www.genome.jp/entry/C11039" TargetMode="External"/><Relationship Id="rId1854" Type="http://schemas.openxmlformats.org/officeDocument/2006/relationships/hyperlink" Target="https://enzyme.expasy.org/EC/3.1.6.1" TargetMode="External"/><Relationship Id="rId2905" Type="http://schemas.openxmlformats.org/officeDocument/2006/relationships/hyperlink" Target="https://enzyme.expasy.org/EC/6.1.1.17" TargetMode="External"/><Relationship Id="rId1507" Type="http://schemas.openxmlformats.org/officeDocument/2006/relationships/hyperlink" Target="https://www.genome.jp/entry/C22443" TargetMode="External"/><Relationship Id="rId1714" Type="http://schemas.openxmlformats.org/officeDocument/2006/relationships/hyperlink" Target="https://www.genome.jp/entry/C17322" TargetMode="External"/><Relationship Id="rId1921" Type="http://schemas.openxmlformats.org/officeDocument/2006/relationships/hyperlink" Target="https://www.genome.jp/entry/C05399" TargetMode="External"/><Relationship Id="rId2488" Type="http://schemas.openxmlformats.org/officeDocument/2006/relationships/hyperlink" Target="https://www.genome.jp/entry/C04633" TargetMode="External"/><Relationship Id="rId1297" Type="http://schemas.openxmlformats.org/officeDocument/2006/relationships/hyperlink" Target="https://www.genome.jp/entry/C00454" TargetMode="External"/><Relationship Id="rId2695" Type="http://schemas.openxmlformats.org/officeDocument/2006/relationships/hyperlink" Target="https://www.genome.jp/entry/C06892" TargetMode="External"/><Relationship Id="rId667" Type="http://schemas.openxmlformats.org/officeDocument/2006/relationships/hyperlink" Target="https://www.genome.jp/entry/C00234" TargetMode="External"/><Relationship Id="rId874" Type="http://schemas.openxmlformats.org/officeDocument/2006/relationships/hyperlink" Target="https://enzyme.expasy.org/EC/2.3.1.179" TargetMode="External"/><Relationship Id="rId2348" Type="http://schemas.openxmlformats.org/officeDocument/2006/relationships/hyperlink" Target="https://www.genome.jp/entry/C00002" TargetMode="External"/><Relationship Id="rId2555" Type="http://schemas.openxmlformats.org/officeDocument/2006/relationships/hyperlink" Target="https://www.genome.jp/entry/C04677" TargetMode="External"/><Relationship Id="rId2762" Type="http://schemas.openxmlformats.org/officeDocument/2006/relationships/hyperlink" Target="https://www.genome.jp/entry/C01159" TargetMode="External"/><Relationship Id="rId527" Type="http://schemas.openxmlformats.org/officeDocument/2006/relationships/hyperlink" Target="https://www.genome.jp/entry/C00248" TargetMode="External"/><Relationship Id="rId734" Type="http://schemas.openxmlformats.org/officeDocument/2006/relationships/hyperlink" Target="https://enzyme.expasy.org/EC/2.3.1.15" TargetMode="External"/><Relationship Id="rId941" Type="http://schemas.openxmlformats.org/officeDocument/2006/relationships/hyperlink" Target="https://enzyme.expasy.org/EC/2.3.1.286" TargetMode="External"/><Relationship Id="rId1157" Type="http://schemas.openxmlformats.org/officeDocument/2006/relationships/hyperlink" Target="https://enzyme.expasy.org/EC/2.7.1.11" TargetMode="External"/><Relationship Id="rId1364" Type="http://schemas.openxmlformats.org/officeDocument/2006/relationships/hyperlink" Target="https://enzyme.expasy.org/EC/2.7.2.1" TargetMode="External"/><Relationship Id="rId1571" Type="http://schemas.openxmlformats.org/officeDocument/2006/relationships/hyperlink" Target="https://www.genome.jp/entry/C00075" TargetMode="External"/><Relationship Id="rId2208" Type="http://schemas.openxmlformats.org/officeDocument/2006/relationships/hyperlink" Target="https://www.genome.jp/entry/C11440" TargetMode="External"/><Relationship Id="rId2415" Type="http://schemas.openxmlformats.org/officeDocument/2006/relationships/hyperlink" Target="https://www.genome.jp/entry/C00074" TargetMode="External"/><Relationship Id="rId2622" Type="http://schemas.openxmlformats.org/officeDocument/2006/relationships/hyperlink" Target="https://enzyme.expasy.org/EC/4.4.1.21" TargetMode="External"/><Relationship Id="rId70" Type="http://schemas.openxmlformats.org/officeDocument/2006/relationships/hyperlink" Target="https://www.genome.jp/entry/C07490" TargetMode="External"/><Relationship Id="rId801" Type="http://schemas.openxmlformats.org/officeDocument/2006/relationships/hyperlink" Target="https://www.genome.jp/entry/C06715" TargetMode="External"/><Relationship Id="rId1017" Type="http://schemas.openxmlformats.org/officeDocument/2006/relationships/hyperlink" Target="https://www.genome.jp/entry/G10553" TargetMode="External"/><Relationship Id="rId1224" Type="http://schemas.openxmlformats.org/officeDocument/2006/relationships/hyperlink" Target="https://www.genome.jp/entry/C00008" TargetMode="External"/><Relationship Id="rId1431" Type="http://schemas.openxmlformats.org/officeDocument/2006/relationships/hyperlink" Target="https://www.genome.jp/entry/C00002" TargetMode="External"/><Relationship Id="rId3049" Type="http://schemas.openxmlformats.org/officeDocument/2006/relationships/hyperlink" Target="https://enzyme.expasy.org/EC/6.3.3.1" TargetMode="External"/><Relationship Id="rId177" Type="http://schemas.openxmlformats.org/officeDocument/2006/relationships/hyperlink" Target="https://www.genome.jp/entry/C16618" TargetMode="External"/><Relationship Id="rId384" Type="http://schemas.openxmlformats.org/officeDocument/2006/relationships/hyperlink" Target="https://www.genome.jp/entry/C06697" TargetMode="External"/><Relationship Id="rId591" Type="http://schemas.openxmlformats.org/officeDocument/2006/relationships/hyperlink" Target="https://www.genome.jp/entry/C05335" TargetMode="External"/><Relationship Id="rId2065" Type="http://schemas.openxmlformats.org/officeDocument/2006/relationships/hyperlink" Target="https://www.genome.jp/entry/C00492" TargetMode="External"/><Relationship Id="rId2272" Type="http://schemas.openxmlformats.org/officeDocument/2006/relationships/hyperlink" Target="https://enzyme.expasy.org/EC/3.6.1.1" TargetMode="External"/><Relationship Id="rId3116" Type="http://schemas.openxmlformats.org/officeDocument/2006/relationships/hyperlink" Target="https://www.genome.jp/entry/C00002" TargetMode="External"/><Relationship Id="rId244" Type="http://schemas.openxmlformats.org/officeDocument/2006/relationships/hyperlink" Target="https://enzyme.expasy.org/EC/1.1.1.343" TargetMode="External"/><Relationship Id="rId1081" Type="http://schemas.openxmlformats.org/officeDocument/2006/relationships/hyperlink" Target="https://www.genome.jp/entry/C00013" TargetMode="External"/><Relationship Id="rId451" Type="http://schemas.openxmlformats.org/officeDocument/2006/relationships/hyperlink" Target="https://www.genome.jp/entry/C00148" TargetMode="External"/><Relationship Id="rId2132" Type="http://schemas.openxmlformats.org/officeDocument/2006/relationships/hyperlink" Target="https://www.genome.jp/entry/C00147" TargetMode="External"/><Relationship Id="rId104" Type="http://schemas.openxmlformats.org/officeDocument/2006/relationships/hyperlink" Target="https://www.genome.jp/entry/C05744" TargetMode="External"/><Relationship Id="rId311" Type="http://schemas.openxmlformats.org/officeDocument/2006/relationships/hyperlink" Target="https://www.genome.jp/entry/C04232" TargetMode="External"/><Relationship Id="rId1898" Type="http://schemas.openxmlformats.org/officeDocument/2006/relationships/hyperlink" Target="https://www.genome.jp/entry/C00124" TargetMode="External"/><Relationship Id="rId2949" Type="http://schemas.openxmlformats.org/officeDocument/2006/relationships/hyperlink" Target="https://enzyme.expasy.org/EC/6.1.1.6" TargetMode="External"/><Relationship Id="rId1758" Type="http://schemas.openxmlformats.org/officeDocument/2006/relationships/hyperlink" Target="https://www.genome.jp/entry/C00344" TargetMode="External"/><Relationship Id="rId2809" Type="http://schemas.openxmlformats.org/officeDocument/2006/relationships/hyperlink" Target="https://www.genome.jp/entry/C03733" TargetMode="External"/><Relationship Id="rId1965" Type="http://schemas.openxmlformats.org/officeDocument/2006/relationships/hyperlink" Target="https://www.genome.jp/entry/G00497" TargetMode="External"/><Relationship Id="rId3180" Type="http://schemas.openxmlformats.org/officeDocument/2006/relationships/hyperlink" Target="https://www.genome.jp/entry/C00003" TargetMode="External"/><Relationship Id="rId1618" Type="http://schemas.openxmlformats.org/officeDocument/2006/relationships/hyperlink" Target="https://www.genome.jp/entry/C00229" TargetMode="External"/><Relationship Id="rId1825" Type="http://schemas.openxmlformats.org/officeDocument/2006/relationships/hyperlink" Target="https://www.genome.jp/entry/C02520" TargetMode="External"/><Relationship Id="rId3040" Type="http://schemas.openxmlformats.org/officeDocument/2006/relationships/hyperlink" Target="https://www.genome.jp/entry/C00002" TargetMode="External"/><Relationship Id="rId2599" Type="http://schemas.openxmlformats.org/officeDocument/2006/relationships/hyperlink" Target="https://www.genome.jp/entry/C02749" TargetMode="External"/><Relationship Id="rId778" Type="http://schemas.openxmlformats.org/officeDocument/2006/relationships/hyperlink" Target="https://www.genome.jp/entry/C00010" TargetMode="External"/><Relationship Id="rId985" Type="http://schemas.openxmlformats.org/officeDocument/2006/relationships/hyperlink" Target="https://www.genome.jp/entry/C00718" TargetMode="External"/><Relationship Id="rId2459" Type="http://schemas.openxmlformats.org/officeDocument/2006/relationships/hyperlink" Target="https://www.genome.jp/entry/C03506" TargetMode="External"/><Relationship Id="rId2666" Type="http://schemas.openxmlformats.org/officeDocument/2006/relationships/hyperlink" Target="https://www.genome.jp/entry/C03633" TargetMode="External"/><Relationship Id="rId2873" Type="http://schemas.openxmlformats.org/officeDocument/2006/relationships/hyperlink" Target="https://www.genome.jp/entry/C00020" TargetMode="External"/><Relationship Id="rId638" Type="http://schemas.openxmlformats.org/officeDocument/2006/relationships/hyperlink" Target="https://www.genome.jp/entry/C04250" TargetMode="External"/><Relationship Id="rId845" Type="http://schemas.openxmlformats.org/officeDocument/2006/relationships/hyperlink" Target="https://www.genome.jp/entry/C23006" TargetMode="External"/><Relationship Id="rId1268" Type="http://schemas.openxmlformats.org/officeDocument/2006/relationships/hyperlink" Target="https://www.genome.jp/entry/C00008" TargetMode="External"/><Relationship Id="rId1475" Type="http://schemas.openxmlformats.org/officeDocument/2006/relationships/hyperlink" Target="https://www.genome.jp/entry/C00002" TargetMode="External"/><Relationship Id="rId1682" Type="http://schemas.openxmlformats.org/officeDocument/2006/relationships/hyperlink" Target="https://www.genome.jp/entry/C00075" TargetMode="External"/><Relationship Id="rId2319" Type="http://schemas.openxmlformats.org/officeDocument/2006/relationships/hyperlink" Target="https://www.genome.jp/entry/C00049" TargetMode="External"/><Relationship Id="rId2526" Type="http://schemas.openxmlformats.org/officeDocument/2006/relationships/hyperlink" Target="https://www.genome.jp/entry/C02218" TargetMode="External"/><Relationship Id="rId2733" Type="http://schemas.openxmlformats.org/officeDocument/2006/relationships/hyperlink" Target="https://www.genome.jp/entry/C00668" TargetMode="External"/><Relationship Id="rId705" Type="http://schemas.openxmlformats.org/officeDocument/2006/relationships/hyperlink" Target="https://www.genome.jp/entry/C00109" TargetMode="External"/><Relationship Id="rId1128" Type="http://schemas.openxmlformats.org/officeDocument/2006/relationships/hyperlink" Target="https://www.genome.jp/entry/C01100" TargetMode="External"/><Relationship Id="rId1335" Type="http://schemas.openxmlformats.org/officeDocument/2006/relationships/hyperlink" Target="https://www.genome.jp/entry/C00002" TargetMode="External"/><Relationship Id="rId1542" Type="http://schemas.openxmlformats.org/officeDocument/2006/relationships/hyperlink" Target="https://www.genome.jp/entry/C00020" TargetMode="External"/><Relationship Id="rId2940" Type="http://schemas.openxmlformats.org/officeDocument/2006/relationships/hyperlink" Target="https://www.genome.jp/entry/C00002" TargetMode="External"/><Relationship Id="rId912" Type="http://schemas.openxmlformats.org/officeDocument/2006/relationships/hyperlink" Target="https://enzyme.expasy.org/EC/2.3.1.179" TargetMode="External"/><Relationship Id="rId2800" Type="http://schemas.openxmlformats.org/officeDocument/2006/relationships/hyperlink" Target="https://enzyme.expasy.org/EC/5.4.99.25" TargetMode="External"/><Relationship Id="rId41" Type="http://schemas.openxmlformats.org/officeDocument/2006/relationships/hyperlink" Target="https://enzyme.expasy.org/EC/1.1.1.1" TargetMode="External"/><Relationship Id="rId1402" Type="http://schemas.openxmlformats.org/officeDocument/2006/relationships/hyperlink" Target="https://www.genome.jp/entry/C00008" TargetMode="External"/><Relationship Id="rId288" Type="http://schemas.openxmlformats.org/officeDocument/2006/relationships/hyperlink" Target="https://www.genome.jp/entry/C20258" TargetMode="External"/><Relationship Id="rId495" Type="http://schemas.openxmlformats.org/officeDocument/2006/relationships/hyperlink" Target="https://www.genome.jp/entry/C00101" TargetMode="External"/><Relationship Id="rId2176" Type="http://schemas.openxmlformats.org/officeDocument/2006/relationships/hyperlink" Target="https://www.genome.jp/entry/C02693" TargetMode="External"/><Relationship Id="rId2383" Type="http://schemas.openxmlformats.org/officeDocument/2006/relationships/hyperlink" Target="https://www.genome.jp/entry/C00447" TargetMode="External"/><Relationship Id="rId2590" Type="http://schemas.openxmlformats.org/officeDocument/2006/relationships/hyperlink" Target="https://www.genome.jp/entry/C00022" TargetMode="External"/><Relationship Id="rId148" Type="http://schemas.openxmlformats.org/officeDocument/2006/relationships/hyperlink" Target="https://www.genome.jp/entry/C20377" TargetMode="External"/><Relationship Id="rId355" Type="http://schemas.openxmlformats.org/officeDocument/2006/relationships/hyperlink" Target="https://enzyme.expasy.org/EC/1.17.99.6" TargetMode="External"/><Relationship Id="rId562" Type="http://schemas.openxmlformats.org/officeDocument/2006/relationships/hyperlink" Target="https://www.genome.jp/entry/C05684" TargetMode="External"/><Relationship Id="rId1192" Type="http://schemas.openxmlformats.org/officeDocument/2006/relationships/hyperlink" Target="https://www.genome.jp/entry/C00002" TargetMode="External"/><Relationship Id="rId2036" Type="http://schemas.openxmlformats.org/officeDocument/2006/relationships/hyperlink" Target="https://www.genome.jp/entry/G00124" TargetMode="External"/><Relationship Id="rId2243" Type="http://schemas.openxmlformats.org/officeDocument/2006/relationships/hyperlink" Target="https://enzyme.expasy.org/EC/3.5.4.5" TargetMode="External"/><Relationship Id="rId2450" Type="http://schemas.openxmlformats.org/officeDocument/2006/relationships/hyperlink" Target="https://www.genome.jp/entry/C00078" TargetMode="External"/><Relationship Id="rId215" Type="http://schemas.openxmlformats.org/officeDocument/2006/relationships/hyperlink" Target="https://www.genome.jp/entry/C07335" TargetMode="External"/><Relationship Id="rId422" Type="http://schemas.openxmlformats.org/officeDocument/2006/relationships/hyperlink" Target="https://www.genome.jp/entry/C00064" TargetMode="External"/><Relationship Id="rId1052" Type="http://schemas.openxmlformats.org/officeDocument/2006/relationships/hyperlink" Target="https://www.genome.jp/entry/C00002" TargetMode="External"/><Relationship Id="rId2103" Type="http://schemas.openxmlformats.org/officeDocument/2006/relationships/hyperlink" Target="https://www.genome.jp/entry/C00530" TargetMode="External"/><Relationship Id="rId2310" Type="http://schemas.openxmlformats.org/officeDocument/2006/relationships/hyperlink" Target="https://www.genome.jp/entry/C00186" TargetMode="External"/><Relationship Id="rId1869" Type="http://schemas.openxmlformats.org/officeDocument/2006/relationships/hyperlink" Target="https://enzyme.expasy.org/EC/3.2.1.20" TargetMode="External"/><Relationship Id="rId3084" Type="http://schemas.openxmlformats.org/officeDocument/2006/relationships/hyperlink" Target="https://enzyme.expasy.org/EC/6.3.4.2" TargetMode="External"/><Relationship Id="rId1729" Type="http://schemas.openxmlformats.org/officeDocument/2006/relationships/hyperlink" Target="https://enzyme.expasy.org/EC/3.1.1.29" TargetMode="External"/><Relationship Id="rId1936" Type="http://schemas.openxmlformats.org/officeDocument/2006/relationships/hyperlink" Target="https://www.genome.jp/entry/C05402" TargetMode="External"/><Relationship Id="rId3151" Type="http://schemas.openxmlformats.org/officeDocument/2006/relationships/hyperlink" Target="https://www.genome.jp/entry/C00002" TargetMode="External"/><Relationship Id="rId3011" Type="http://schemas.openxmlformats.org/officeDocument/2006/relationships/hyperlink" Target="https://www.genome.jp/entry/C00002" TargetMode="External"/><Relationship Id="rId5" Type="http://schemas.openxmlformats.org/officeDocument/2006/relationships/hyperlink" Target="https://www.genome.jp/entry/C00576" TargetMode="External"/><Relationship Id="rId889" Type="http://schemas.openxmlformats.org/officeDocument/2006/relationships/hyperlink" Target="https://www.genome.jp/entry/C05752" TargetMode="External"/><Relationship Id="rId2777" Type="http://schemas.openxmlformats.org/officeDocument/2006/relationships/hyperlink" Target="https://www.genome.jp/entry/C00620" TargetMode="External"/><Relationship Id="rId749" Type="http://schemas.openxmlformats.org/officeDocument/2006/relationships/hyperlink" Target="https://enzyme.expasy.org/EC/2.3.1.16" TargetMode="External"/><Relationship Id="rId1379" Type="http://schemas.openxmlformats.org/officeDocument/2006/relationships/hyperlink" Target="https://enzyme.expasy.org/EC/2.7.2.7" TargetMode="External"/><Relationship Id="rId1586" Type="http://schemas.openxmlformats.org/officeDocument/2006/relationships/hyperlink" Target="https://www.genome.jp/entry/C00002" TargetMode="External"/><Relationship Id="rId2984" Type="http://schemas.openxmlformats.org/officeDocument/2006/relationships/hyperlink" Target="https://enzyme.expasy.org/EC/6.3.1.20" TargetMode="External"/><Relationship Id="rId609" Type="http://schemas.openxmlformats.org/officeDocument/2006/relationships/hyperlink" Target="https://www.genome.jp/entry/C05811" TargetMode="External"/><Relationship Id="rId956" Type="http://schemas.openxmlformats.org/officeDocument/2006/relationships/hyperlink" Target="https://enzyme.expasy.org/EC/2.3.1.54" TargetMode="External"/><Relationship Id="rId1239" Type="http://schemas.openxmlformats.org/officeDocument/2006/relationships/hyperlink" Target="https://www.genome.jp/entry/C00008" TargetMode="External"/><Relationship Id="rId1793" Type="http://schemas.openxmlformats.org/officeDocument/2006/relationships/hyperlink" Target="https://www.genome.jp/entry/C00559" TargetMode="External"/><Relationship Id="rId2637" Type="http://schemas.openxmlformats.org/officeDocument/2006/relationships/hyperlink" Target="https://enzyme.expasy.org/EC/5.1.1.7" TargetMode="External"/><Relationship Id="rId2844" Type="http://schemas.openxmlformats.org/officeDocument/2006/relationships/hyperlink" Target="https://www.genome.jp/entry/C02984" TargetMode="External"/><Relationship Id="rId85" Type="http://schemas.openxmlformats.org/officeDocument/2006/relationships/hyperlink" Target="https://www.genome.jp/entry/C08492" TargetMode="External"/><Relationship Id="rId816" Type="http://schemas.openxmlformats.org/officeDocument/2006/relationships/hyperlink" Target="https://www.genome.jp/entry/C16173" TargetMode="External"/><Relationship Id="rId1446" Type="http://schemas.openxmlformats.org/officeDocument/2006/relationships/hyperlink" Target="https://www.genome.jp/entry/C00002" TargetMode="External"/><Relationship Id="rId1653" Type="http://schemas.openxmlformats.org/officeDocument/2006/relationships/hyperlink" Target="https://www.genome.jp/entry/C19085" TargetMode="External"/><Relationship Id="rId1860" Type="http://schemas.openxmlformats.org/officeDocument/2006/relationships/hyperlink" Target="https://www.genome.jp/entry/G11122" TargetMode="External"/><Relationship Id="rId2704" Type="http://schemas.openxmlformats.org/officeDocument/2006/relationships/hyperlink" Target="https://www.genome.jp/entry/C00275" TargetMode="External"/><Relationship Id="rId2911" Type="http://schemas.openxmlformats.org/officeDocument/2006/relationships/hyperlink" Target="https://www.genome.jp/entry/C00002" TargetMode="External"/><Relationship Id="rId1306" Type="http://schemas.openxmlformats.org/officeDocument/2006/relationships/hyperlink" Target="https://www.genome.jp/entry/C00002" TargetMode="External"/><Relationship Id="rId1513" Type="http://schemas.openxmlformats.org/officeDocument/2006/relationships/hyperlink" Target="https://enzyme.expasy.org/EC/2.7.4.8" TargetMode="External"/><Relationship Id="rId1720" Type="http://schemas.openxmlformats.org/officeDocument/2006/relationships/hyperlink" Target="https://enzyme.expasy.org/EC/2.8.1.4" TargetMode="External"/><Relationship Id="rId12" Type="http://schemas.openxmlformats.org/officeDocument/2006/relationships/hyperlink" Target="https://www.genome.jp/entry/C00226" TargetMode="External"/><Relationship Id="rId399" Type="http://schemas.openxmlformats.org/officeDocument/2006/relationships/hyperlink" Target="https://www.genome.jp/entry/C04631" TargetMode="External"/><Relationship Id="rId2287" Type="http://schemas.openxmlformats.org/officeDocument/2006/relationships/hyperlink" Target="https://enzyme.expasy.org/EC/3.6.1.27" TargetMode="External"/><Relationship Id="rId2494" Type="http://schemas.openxmlformats.org/officeDocument/2006/relationships/hyperlink" Target="https://www.genome.jp/entry/C05760" TargetMode="External"/><Relationship Id="rId259" Type="http://schemas.openxmlformats.org/officeDocument/2006/relationships/hyperlink" Target="https://enzyme.expasy.org/EC/1.1.1.88" TargetMode="External"/><Relationship Id="rId466" Type="http://schemas.openxmlformats.org/officeDocument/2006/relationships/hyperlink" Target="https://www.genome.jp/entry/C01157" TargetMode="External"/><Relationship Id="rId673" Type="http://schemas.openxmlformats.org/officeDocument/2006/relationships/hyperlink" Target="https://www.genome.jp/entry/C04376" TargetMode="External"/><Relationship Id="rId880" Type="http://schemas.openxmlformats.org/officeDocument/2006/relationships/hyperlink" Target="https://www.genome.jp/entry/C05746" TargetMode="External"/><Relationship Id="rId1096" Type="http://schemas.openxmlformats.org/officeDocument/2006/relationships/hyperlink" Target="https://www.genome.jp/entry/C01005" TargetMode="External"/><Relationship Id="rId2147" Type="http://schemas.openxmlformats.org/officeDocument/2006/relationships/hyperlink" Target="https://www.genome.jp/entry/C00060" TargetMode="External"/><Relationship Id="rId2354" Type="http://schemas.openxmlformats.org/officeDocument/2006/relationships/hyperlink" Target="https://www.genome.jp/entry/C04352" TargetMode="External"/><Relationship Id="rId2561" Type="http://schemas.openxmlformats.org/officeDocument/2006/relationships/hyperlink" Target="https://www.genome.jp/entry/C04666" TargetMode="External"/><Relationship Id="rId119" Type="http://schemas.openxmlformats.org/officeDocument/2006/relationships/hyperlink" Target="https://www.genome.jp/entry/C05762" TargetMode="External"/><Relationship Id="rId326" Type="http://schemas.openxmlformats.org/officeDocument/2006/relationships/hyperlink" Target="https://www.genome.jp/entry/C21750" TargetMode="External"/><Relationship Id="rId533" Type="http://schemas.openxmlformats.org/officeDocument/2006/relationships/hyperlink" Target="https://enzyme.expasy.org/EC/1.8.1.4" TargetMode="External"/><Relationship Id="rId1163" Type="http://schemas.openxmlformats.org/officeDocument/2006/relationships/hyperlink" Target="https://enzyme.expasy.org/EC/2.7.1.121" TargetMode="External"/><Relationship Id="rId1370" Type="http://schemas.openxmlformats.org/officeDocument/2006/relationships/hyperlink" Target="https://www.genome.jp/entry/C00002" TargetMode="External"/><Relationship Id="rId2007" Type="http://schemas.openxmlformats.org/officeDocument/2006/relationships/hyperlink" Target="https://www.genome.jp/entry/C04884" TargetMode="External"/><Relationship Id="rId2214" Type="http://schemas.openxmlformats.org/officeDocument/2006/relationships/hyperlink" Target="https://www.genome.jp/entry/C00130" TargetMode="External"/><Relationship Id="rId740" Type="http://schemas.openxmlformats.org/officeDocument/2006/relationships/hyperlink" Target="https://www.genome.jp/entry/C00605" TargetMode="External"/><Relationship Id="rId1023" Type="http://schemas.openxmlformats.org/officeDocument/2006/relationships/hyperlink" Target="https://enzyme.expasy.org/EC/2.4.2.17" TargetMode="External"/><Relationship Id="rId2421" Type="http://schemas.openxmlformats.org/officeDocument/2006/relationships/hyperlink" Target="https://www.genome.jp/entry/C05817" TargetMode="External"/><Relationship Id="rId600" Type="http://schemas.openxmlformats.org/officeDocument/2006/relationships/hyperlink" Target="https://www.genome.jp/entry/C00019" TargetMode="External"/><Relationship Id="rId1230" Type="http://schemas.openxmlformats.org/officeDocument/2006/relationships/hyperlink" Target="https://www.genome.jp/entry/C00008" TargetMode="External"/><Relationship Id="rId3055" Type="http://schemas.openxmlformats.org/officeDocument/2006/relationships/hyperlink" Target="https://www.genome.jp/entry/C00002" TargetMode="External"/><Relationship Id="rId183" Type="http://schemas.openxmlformats.org/officeDocument/2006/relationships/hyperlink" Target="https://www.genome.jp/entry/C00135" TargetMode="External"/><Relationship Id="rId390" Type="http://schemas.openxmlformats.org/officeDocument/2006/relationships/hyperlink" Target="https://www.genome.jp/entry/C00295" TargetMode="External"/><Relationship Id="rId1907" Type="http://schemas.openxmlformats.org/officeDocument/2006/relationships/hyperlink" Target="https://www.genome.jp/entry/C00137" TargetMode="External"/><Relationship Id="rId2071" Type="http://schemas.openxmlformats.org/officeDocument/2006/relationships/hyperlink" Target="https://www.genome.jp/entry/C01613" TargetMode="External"/><Relationship Id="rId3122" Type="http://schemas.openxmlformats.org/officeDocument/2006/relationships/hyperlink" Target="https://www.genome.jp/entry/C00020" TargetMode="External"/><Relationship Id="rId250" Type="http://schemas.openxmlformats.org/officeDocument/2006/relationships/hyperlink" Target="https://www.genome.jp/entry/C00199" TargetMode="External"/><Relationship Id="rId110" Type="http://schemas.openxmlformats.org/officeDocument/2006/relationships/hyperlink" Target="https://www.genome.jp/entry/C05753" TargetMode="External"/><Relationship Id="rId2888" Type="http://schemas.openxmlformats.org/officeDocument/2006/relationships/hyperlink" Target="https://www.genome.jp/entry/C00020" TargetMode="External"/><Relationship Id="rId1697" Type="http://schemas.openxmlformats.org/officeDocument/2006/relationships/hyperlink" Target="https://www.genome.jp/entry/C00269" TargetMode="External"/><Relationship Id="rId2748" Type="http://schemas.openxmlformats.org/officeDocument/2006/relationships/hyperlink" Target="https://www.genome.jp/entry/C00129" TargetMode="External"/><Relationship Id="rId2955" Type="http://schemas.openxmlformats.org/officeDocument/2006/relationships/hyperlink" Target="https://www.genome.jp/entry/C00002" TargetMode="External"/><Relationship Id="rId927" Type="http://schemas.openxmlformats.org/officeDocument/2006/relationships/hyperlink" Target="https://enzyme.expasy.org/EC/2.3.1.266" TargetMode="External"/><Relationship Id="rId1557" Type="http://schemas.openxmlformats.org/officeDocument/2006/relationships/hyperlink" Target="https://enzyme.expasy.org/EC/2.7.7.18" TargetMode="External"/><Relationship Id="rId1764" Type="http://schemas.openxmlformats.org/officeDocument/2006/relationships/hyperlink" Target="https://enzyme.expasy.org/EC/3.1.3.5" TargetMode="External"/><Relationship Id="rId1971" Type="http://schemas.openxmlformats.org/officeDocument/2006/relationships/hyperlink" Target="https://www.genome.jp/entry/G00501" TargetMode="External"/><Relationship Id="rId2608" Type="http://schemas.openxmlformats.org/officeDocument/2006/relationships/hyperlink" Target="https://www.genome.jp/entry/C03539" TargetMode="External"/><Relationship Id="rId2815" Type="http://schemas.openxmlformats.org/officeDocument/2006/relationships/hyperlink" Target="https://enzyme.expasy.org/EC/5.6.2.2" TargetMode="External"/><Relationship Id="rId56" Type="http://schemas.openxmlformats.org/officeDocument/2006/relationships/hyperlink" Target="https://enzyme.expasy.org/EC/1.1.1.1" TargetMode="External"/><Relationship Id="rId1417" Type="http://schemas.openxmlformats.org/officeDocument/2006/relationships/hyperlink" Target="https://www.genome.jp/entry/C00008" TargetMode="External"/><Relationship Id="rId1624" Type="http://schemas.openxmlformats.org/officeDocument/2006/relationships/hyperlink" Target="https://www.genome.jp/entry/C00013" TargetMode="External"/><Relationship Id="rId1831" Type="http://schemas.openxmlformats.org/officeDocument/2006/relationships/hyperlink" Target="https://www.genome.jp/entry/C06196" TargetMode="External"/><Relationship Id="rId2398" Type="http://schemas.openxmlformats.org/officeDocument/2006/relationships/hyperlink" Target="https://www.genome.jp/entry/C05378" TargetMode="External"/><Relationship Id="rId577" Type="http://schemas.openxmlformats.org/officeDocument/2006/relationships/hyperlink" Target="https://www.genome.jp/entry/C15653" TargetMode="External"/><Relationship Id="rId2258" Type="http://schemas.openxmlformats.org/officeDocument/2006/relationships/hyperlink" Target="https://www.genome.jp/entry/C00378" TargetMode="External"/><Relationship Id="rId784" Type="http://schemas.openxmlformats.org/officeDocument/2006/relationships/hyperlink" Target="https://enzyme.expasy.org/EC/2.3.1.16" TargetMode="External"/><Relationship Id="rId991" Type="http://schemas.openxmlformats.org/officeDocument/2006/relationships/hyperlink" Target="https://enzyme.expasy.org/EC/2.4.1.1" TargetMode="External"/><Relationship Id="rId1067" Type="http://schemas.openxmlformats.org/officeDocument/2006/relationships/hyperlink" Target="https://www.genome.jp/entry/C00019" TargetMode="External"/><Relationship Id="rId2465" Type="http://schemas.openxmlformats.org/officeDocument/2006/relationships/hyperlink" Target="https://www.genome.jp/entry/C00712" TargetMode="External"/><Relationship Id="rId2672" Type="http://schemas.openxmlformats.org/officeDocument/2006/relationships/hyperlink" Target="https://enzyme.expasy.org/EC/5.3.1.1" TargetMode="External"/><Relationship Id="rId437" Type="http://schemas.openxmlformats.org/officeDocument/2006/relationships/hyperlink" Target="https://www.genome.jp/entry/C00314" TargetMode="External"/><Relationship Id="rId644" Type="http://schemas.openxmlformats.org/officeDocument/2006/relationships/hyperlink" Target="https://www.genome.jp/entry/C00021" TargetMode="External"/><Relationship Id="rId851" Type="http://schemas.openxmlformats.org/officeDocument/2006/relationships/hyperlink" Target="https://www.genome.jp/entry/C23013" TargetMode="External"/><Relationship Id="rId1274" Type="http://schemas.openxmlformats.org/officeDocument/2006/relationships/hyperlink" Target="https://enzyme.expasy.org/EC/2.7.1.40" TargetMode="External"/><Relationship Id="rId1481" Type="http://schemas.openxmlformats.org/officeDocument/2006/relationships/hyperlink" Target="https://www.genome.jp/entry/C00002" TargetMode="External"/><Relationship Id="rId2118" Type="http://schemas.openxmlformats.org/officeDocument/2006/relationships/hyperlink" Target="https://www.genome.jp/entry/C00031" TargetMode="External"/><Relationship Id="rId2325" Type="http://schemas.openxmlformats.org/officeDocument/2006/relationships/hyperlink" Target="https://www.genome.jp/entry/C00109" TargetMode="External"/><Relationship Id="rId2532" Type="http://schemas.openxmlformats.org/officeDocument/2006/relationships/hyperlink" Target="https://enzyme.expasy.org/EC/4.3.1.17" TargetMode="External"/><Relationship Id="rId504" Type="http://schemas.openxmlformats.org/officeDocument/2006/relationships/hyperlink" Target="https://www.genome.jp/entry/C00415" TargetMode="External"/><Relationship Id="rId711" Type="http://schemas.openxmlformats.org/officeDocument/2006/relationships/hyperlink" Target="https://www.genome.jp/entry/C00900" TargetMode="External"/><Relationship Id="rId1134" Type="http://schemas.openxmlformats.org/officeDocument/2006/relationships/hyperlink" Target="https://enzyme.expasy.org/EC/2.7.1.11" TargetMode="External"/><Relationship Id="rId1341" Type="http://schemas.openxmlformats.org/officeDocument/2006/relationships/hyperlink" Target="https://www.genome.jp/entry/C00002" TargetMode="External"/><Relationship Id="rId1201" Type="http://schemas.openxmlformats.org/officeDocument/2006/relationships/hyperlink" Target="https://enzyme.expasy.org/EC/2.7.1.2" TargetMode="External"/><Relationship Id="rId3099" Type="http://schemas.openxmlformats.org/officeDocument/2006/relationships/hyperlink" Target="https://enzyme.expasy.org/EC/6.3.4.21" TargetMode="External"/><Relationship Id="rId3166" Type="http://schemas.openxmlformats.org/officeDocument/2006/relationships/hyperlink" Target="https://www.genome.jp/entry/C00002" TargetMode="External"/><Relationship Id="rId294" Type="http://schemas.openxmlformats.org/officeDocument/2006/relationships/hyperlink" Target="https://www.genome.jp/entry/C00342" TargetMode="External"/><Relationship Id="rId2182" Type="http://schemas.openxmlformats.org/officeDocument/2006/relationships/hyperlink" Target="https://www.genome.jp/entry/C01035" TargetMode="External"/><Relationship Id="rId3026" Type="http://schemas.openxmlformats.org/officeDocument/2006/relationships/hyperlink" Target="https://www.genome.jp/entry/C00063" TargetMode="External"/><Relationship Id="rId154" Type="http://schemas.openxmlformats.org/officeDocument/2006/relationships/hyperlink" Target="https://enzyme.expasy.org/EC/1.1.1.17" TargetMode="External"/><Relationship Id="rId361" Type="http://schemas.openxmlformats.org/officeDocument/2006/relationships/hyperlink" Target="https://www.genome.jp/entry/C00024" TargetMode="External"/><Relationship Id="rId2042" Type="http://schemas.openxmlformats.org/officeDocument/2006/relationships/hyperlink" Target="https://www.genome.jp/entry/G13073" TargetMode="External"/><Relationship Id="rId2999" Type="http://schemas.openxmlformats.org/officeDocument/2006/relationships/hyperlink" Target="https://enzyme.expasy.org/EC/6.3.1.20" TargetMode="External"/><Relationship Id="rId221" Type="http://schemas.openxmlformats.org/officeDocument/2006/relationships/hyperlink" Target="https://www.genome.jp/entry/C00186" TargetMode="External"/><Relationship Id="rId2859" Type="http://schemas.openxmlformats.org/officeDocument/2006/relationships/hyperlink" Target="https://www.genome.jp/entry/C00020" TargetMode="External"/><Relationship Id="rId1668" Type="http://schemas.openxmlformats.org/officeDocument/2006/relationships/hyperlink" Target="https://www.genome.jp/entry/C19085" TargetMode="External"/><Relationship Id="rId1875" Type="http://schemas.openxmlformats.org/officeDocument/2006/relationships/hyperlink" Target="https://www.genome.jp/entry/C00208" TargetMode="External"/><Relationship Id="rId2719" Type="http://schemas.openxmlformats.org/officeDocument/2006/relationships/hyperlink" Target="https://www.genome.jp/entry/C00668" TargetMode="External"/><Relationship Id="rId1528" Type="http://schemas.openxmlformats.org/officeDocument/2006/relationships/hyperlink" Target="https://enzyme.expasy.org/EC/2.7.4.9" TargetMode="External"/><Relationship Id="rId2926" Type="http://schemas.openxmlformats.org/officeDocument/2006/relationships/hyperlink" Target="https://www.genome.jp/entry/C00002" TargetMode="External"/><Relationship Id="rId3090" Type="http://schemas.openxmlformats.org/officeDocument/2006/relationships/hyperlink" Target="https://www.genome.jp/entry/C00002" TargetMode="External"/><Relationship Id="rId1735" Type="http://schemas.openxmlformats.org/officeDocument/2006/relationships/hyperlink" Target="https://www.genome.jp/entry/C00040" TargetMode="External"/><Relationship Id="rId1942" Type="http://schemas.openxmlformats.org/officeDocument/2006/relationships/hyperlink" Target="https://www.genome.jp/entry/C00124" TargetMode="External"/><Relationship Id="rId27" Type="http://schemas.openxmlformats.org/officeDocument/2006/relationships/hyperlink" Target="https://www.genome.jp/entry/C00473" TargetMode="External"/><Relationship Id="rId1802" Type="http://schemas.openxmlformats.org/officeDocument/2006/relationships/hyperlink" Target="https://www.genome.jp/entry/C00214" TargetMode="External"/><Relationship Id="rId688" Type="http://schemas.openxmlformats.org/officeDocument/2006/relationships/hyperlink" Target="https://www.genome.jp/entry/C00009" TargetMode="External"/><Relationship Id="rId895" Type="http://schemas.openxmlformats.org/officeDocument/2006/relationships/hyperlink" Target="https://www.genome.jp/entry/C05756" TargetMode="External"/><Relationship Id="rId2369" Type="http://schemas.openxmlformats.org/officeDocument/2006/relationships/hyperlink" Target="https://www.genome.jp/entry/C06010" TargetMode="External"/><Relationship Id="rId2576" Type="http://schemas.openxmlformats.org/officeDocument/2006/relationships/hyperlink" Target="https://www.genome.jp/entry/C22441" TargetMode="External"/><Relationship Id="rId2783" Type="http://schemas.openxmlformats.org/officeDocument/2006/relationships/hyperlink" Target="https://www.genome.jp/entry/C00092" TargetMode="External"/><Relationship Id="rId2990" Type="http://schemas.openxmlformats.org/officeDocument/2006/relationships/hyperlink" Target="https://www.genome.jp/entry/C00002" TargetMode="External"/><Relationship Id="rId548" Type="http://schemas.openxmlformats.org/officeDocument/2006/relationships/hyperlink" Target="https://enzyme.expasy.org/EC/1.8.1.9" TargetMode="External"/><Relationship Id="rId755" Type="http://schemas.openxmlformats.org/officeDocument/2006/relationships/hyperlink" Target="https://www.genome.jp/entry/C00024" TargetMode="External"/><Relationship Id="rId962" Type="http://schemas.openxmlformats.org/officeDocument/2006/relationships/hyperlink" Target="https://www.genome.jp/entry/C00024" TargetMode="External"/><Relationship Id="rId1178" Type="http://schemas.openxmlformats.org/officeDocument/2006/relationships/hyperlink" Target="https://www.genome.jp/entry/C00673" TargetMode="External"/><Relationship Id="rId1385" Type="http://schemas.openxmlformats.org/officeDocument/2006/relationships/hyperlink" Target="https://www.genome.jp/entry/C00074" TargetMode="External"/><Relationship Id="rId1592" Type="http://schemas.openxmlformats.org/officeDocument/2006/relationships/hyperlink" Target="https://www.genome.jp/entry/C00044" TargetMode="External"/><Relationship Id="rId2229" Type="http://schemas.openxmlformats.org/officeDocument/2006/relationships/hyperlink" Target="https://www.genome.jp/entry/C00212" TargetMode="External"/><Relationship Id="rId2436" Type="http://schemas.openxmlformats.org/officeDocument/2006/relationships/hyperlink" Target="https://www.genome.jp/entry/C01267" TargetMode="External"/><Relationship Id="rId2643" Type="http://schemas.openxmlformats.org/officeDocument/2006/relationships/hyperlink" Target="https://www.genome.jp/entry/C00029" TargetMode="External"/><Relationship Id="rId2850" Type="http://schemas.openxmlformats.org/officeDocument/2006/relationships/hyperlink" Target="https://enzyme.expasy.org/EC/6.1.1.13" TargetMode="External"/><Relationship Id="rId91" Type="http://schemas.openxmlformats.org/officeDocument/2006/relationships/hyperlink" Target="https://enzyme.expasy.org/EC/1.1.1.1" TargetMode="External"/><Relationship Id="rId408" Type="http://schemas.openxmlformats.org/officeDocument/2006/relationships/hyperlink" Target="https://www.genome.jp/entry/C00337" TargetMode="External"/><Relationship Id="rId615" Type="http://schemas.openxmlformats.org/officeDocument/2006/relationships/hyperlink" Target="https://www.genome.jp/entry/C17551" TargetMode="External"/><Relationship Id="rId822" Type="http://schemas.openxmlformats.org/officeDocument/2006/relationships/hyperlink" Target="https://www.genome.jp/entry/C00010" TargetMode="External"/><Relationship Id="rId1038" Type="http://schemas.openxmlformats.org/officeDocument/2006/relationships/hyperlink" Target="https://enzyme.expasy.org/EC/2.4.2.2" TargetMode="External"/><Relationship Id="rId1245" Type="http://schemas.openxmlformats.org/officeDocument/2006/relationships/hyperlink" Target="https://www.genome.jp/entry/C00008" TargetMode="External"/><Relationship Id="rId1452" Type="http://schemas.openxmlformats.org/officeDocument/2006/relationships/hyperlink" Target="https://www.genome.jp/entry/C00008" TargetMode="External"/><Relationship Id="rId2503" Type="http://schemas.openxmlformats.org/officeDocument/2006/relationships/hyperlink" Target="https://www.genome.jp/entry/C05758" TargetMode="External"/><Relationship Id="rId1105" Type="http://schemas.openxmlformats.org/officeDocument/2006/relationships/hyperlink" Target="https://www.genome.jp/entry/C00074" TargetMode="External"/><Relationship Id="rId1312" Type="http://schemas.openxmlformats.org/officeDocument/2006/relationships/hyperlink" Target="https://www.genome.jp/entry/C00008" TargetMode="External"/><Relationship Id="rId2710" Type="http://schemas.openxmlformats.org/officeDocument/2006/relationships/hyperlink" Target="https://www.genome.jp/entry/C18096" TargetMode="External"/><Relationship Id="rId198" Type="http://schemas.openxmlformats.org/officeDocument/2006/relationships/hyperlink" Target="https://www.genome.jp/entry/C02637" TargetMode="External"/><Relationship Id="rId2086" Type="http://schemas.openxmlformats.org/officeDocument/2006/relationships/hyperlink" Target="https://www.genome.jp/entry/G00278" TargetMode="External"/><Relationship Id="rId2293" Type="http://schemas.openxmlformats.org/officeDocument/2006/relationships/hyperlink" Target="https://www.genome.jp/entry/C02739" TargetMode="External"/><Relationship Id="rId3137" Type="http://schemas.openxmlformats.org/officeDocument/2006/relationships/hyperlink" Target="https://www.genome.jp/entry/C00020" TargetMode="External"/><Relationship Id="rId265" Type="http://schemas.openxmlformats.org/officeDocument/2006/relationships/hyperlink" Target="https://www.genome.jp/entry/C00093" TargetMode="External"/><Relationship Id="rId472" Type="http://schemas.openxmlformats.org/officeDocument/2006/relationships/hyperlink" Target="https://www.genome.jp/entry/C00440" TargetMode="External"/><Relationship Id="rId2153" Type="http://schemas.openxmlformats.org/officeDocument/2006/relationships/hyperlink" Target="https://www.genome.jp/entry/C00217" TargetMode="External"/><Relationship Id="rId2360" Type="http://schemas.openxmlformats.org/officeDocument/2006/relationships/hyperlink" Target="https://www.genome.jp/entry/C03506" TargetMode="External"/><Relationship Id="rId125" Type="http://schemas.openxmlformats.org/officeDocument/2006/relationships/hyperlink" Target="https://www.genome.jp/entry/C05759" TargetMode="External"/><Relationship Id="rId332" Type="http://schemas.openxmlformats.org/officeDocument/2006/relationships/hyperlink" Target="https://www.genome.jp/entry/C00131" TargetMode="External"/><Relationship Id="rId2013" Type="http://schemas.openxmlformats.org/officeDocument/2006/relationships/hyperlink" Target="https://www.genome.jp/entry/C05394" TargetMode="External"/><Relationship Id="rId2220" Type="http://schemas.openxmlformats.org/officeDocument/2006/relationships/hyperlink" Target="https://www.genome.jp/entry/C02741" TargetMode="External"/><Relationship Id="rId1779" Type="http://schemas.openxmlformats.org/officeDocument/2006/relationships/hyperlink" Target="https://enzyme.expasy.org/EC/3.1.3.5" TargetMode="External"/><Relationship Id="rId1986" Type="http://schemas.openxmlformats.org/officeDocument/2006/relationships/hyperlink" Target="https://www.genome.jp/entry/G10529" TargetMode="External"/><Relationship Id="rId1639" Type="http://schemas.openxmlformats.org/officeDocument/2006/relationships/hyperlink" Target="https://www.genome.jp/entry/C00013" TargetMode="External"/><Relationship Id="rId1846" Type="http://schemas.openxmlformats.org/officeDocument/2006/relationships/hyperlink" Target="https://www.genome.jp/entry/C00850" TargetMode="External"/><Relationship Id="rId3061" Type="http://schemas.openxmlformats.org/officeDocument/2006/relationships/hyperlink" Target="https://www.genome.jp/entry/C00002" TargetMode="External"/><Relationship Id="rId1706" Type="http://schemas.openxmlformats.org/officeDocument/2006/relationships/hyperlink" Target="https://www.genome.jp/entry/C00002" TargetMode="External"/><Relationship Id="rId1913" Type="http://schemas.openxmlformats.org/officeDocument/2006/relationships/hyperlink" Target="https://www.genome.jp/entry/C00492" TargetMode="External"/><Relationship Id="rId799" Type="http://schemas.openxmlformats.org/officeDocument/2006/relationships/hyperlink" Target="https://enzyme.expasy.org/EC/2.3.1.16" TargetMode="External"/><Relationship Id="rId2687" Type="http://schemas.openxmlformats.org/officeDocument/2006/relationships/hyperlink" Target="https://enzyme.expasy.org/EC/5.3.1.27" TargetMode="External"/><Relationship Id="rId2894" Type="http://schemas.openxmlformats.org/officeDocument/2006/relationships/hyperlink" Target="https://www.genome.jp/entry/C00020" TargetMode="External"/><Relationship Id="rId659" Type="http://schemas.openxmlformats.org/officeDocument/2006/relationships/hyperlink" Target="https://www.genome.jp/entry/C04377" TargetMode="External"/><Relationship Id="rId866" Type="http://schemas.openxmlformats.org/officeDocument/2006/relationships/hyperlink" Target="https://www.genome.jp/entry/C00173" TargetMode="External"/><Relationship Id="rId1289" Type="http://schemas.openxmlformats.org/officeDocument/2006/relationships/hyperlink" Target="https://enzyme.expasy.org/EC/2.7.1.40" TargetMode="External"/><Relationship Id="rId1496" Type="http://schemas.openxmlformats.org/officeDocument/2006/relationships/hyperlink" Target="https://www.genome.jp/entry/C00002" TargetMode="External"/><Relationship Id="rId2547" Type="http://schemas.openxmlformats.org/officeDocument/2006/relationships/hyperlink" Target="https://enzyme.expasy.org/EC/4.3.2.10" TargetMode="External"/><Relationship Id="rId519" Type="http://schemas.openxmlformats.org/officeDocument/2006/relationships/hyperlink" Target="https://www.genome.jp/entry/C00130" TargetMode="External"/><Relationship Id="rId1149" Type="http://schemas.openxmlformats.org/officeDocument/2006/relationships/hyperlink" Target="https://enzyme.expasy.org/EC/2.7.1.11" TargetMode="External"/><Relationship Id="rId1356" Type="http://schemas.openxmlformats.org/officeDocument/2006/relationships/hyperlink" Target="https://www.genome.jp/entry/C00002" TargetMode="External"/><Relationship Id="rId2754" Type="http://schemas.openxmlformats.org/officeDocument/2006/relationships/hyperlink" Target="https://www.genome.jp/entry/C07479" TargetMode="External"/><Relationship Id="rId2961" Type="http://schemas.openxmlformats.org/officeDocument/2006/relationships/hyperlink" Target="https://www.genome.jp/entry/C00002" TargetMode="External"/><Relationship Id="rId726" Type="http://schemas.openxmlformats.org/officeDocument/2006/relationships/hyperlink" Target="https://www.genome.jp/entry/C06010" TargetMode="External"/><Relationship Id="rId933" Type="http://schemas.openxmlformats.org/officeDocument/2006/relationships/hyperlink" Target="https://www.genome.jp/entry/C00173" TargetMode="External"/><Relationship Id="rId1009" Type="http://schemas.openxmlformats.org/officeDocument/2006/relationships/hyperlink" Target="https://www.genome.jp/entry/C05893" TargetMode="External"/><Relationship Id="rId1563" Type="http://schemas.openxmlformats.org/officeDocument/2006/relationships/hyperlink" Target="https://www.genome.jp/entry/C00002" TargetMode="External"/><Relationship Id="rId1770" Type="http://schemas.openxmlformats.org/officeDocument/2006/relationships/hyperlink" Target="https://www.genome.jp/entry/C00105" TargetMode="External"/><Relationship Id="rId2407" Type="http://schemas.openxmlformats.org/officeDocument/2006/relationships/hyperlink" Target="https://enzyme.expasy.org/EC/4.1.2.43" TargetMode="External"/><Relationship Id="rId2614" Type="http://schemas.openxmlformats.org/officeDocument/2006/relationships/hyperlink" Target="https://www.genome.jp/entry/C05689" TargetMode="External"/><Relationship Id="rId2821" Type="http://schemas.openxmlformats.org/officeDocument/2006/relationships/hyperlink" Target="https://www.genome.jp/entry/C00002" TargetMode="External"/><Relationship Id="rId62" Type="http://schemas.openxmlformats.org/officeDocument/2006/relationships/hyperlink" Target="https://www.genome.jp/entry/C06612" TargetMode="External"/><Relationship Id="rId1216" Type="http://schemas.openxmlformats.org/officeDocument/2006/relationships/hyperlink" Target="https://enzyme.expasy.org/EC/2.7.1.21" TargetMode="External"/><Relationship Id="rId1423" Type="http://schemas.openxmlformats.org/officeDocument/2006/relationships/hyperlink" Target="https://www.genome.jp/entry/C00008" TargetMode="External"/><Relationship Id="rId1630" Type="http://schemas.openxmlformats.org/officeDocument/2006/relationships/hyperlink" Target="https://enzyme.expasy.org/EC/2.7.7.7" TargetMode="External"/><Relationship Id="rId2197" Type="http://schemas.openxmlformats.org/officeDocument/2006/relationships/hyperlink" Target="https://www.genome.jp/entry/C00180" TargetMode="External"/><Relationship Id="rId169" Type="http://schemas.openxmlformats.org/officeDocument/2006/relationships/hyperlink" Target="https://enzyme.expasy.org/EC/1.1.1.205" TargetMode="External"/><Relationship Id="rId376" Type="http://schemas.openxmlformats.org/officeDocument/2006/relationships/hyperlink" Target="https://enzyme.expasy.org/EC/1.2.3.3" TargetMode="External"/><Relationship Id="rId583" Type="http://schemas.openxmlformats.org/officeDocument/2006/relationships/hyperlink" Target="https://enzyme.expasy.org/EC/2.1.1.14" TargetMode="External"/><Relationship Id="rId790" Type="http://schemas.openxmlformats.org/officeDocument/2006/relationships/hyperlink" Target="https://www.genome.jp/entry/C05270" TargetMode="External"/><Relationship Id="rId2057" Type="http://schemas.openxmlformats.org/officeDocument/2006/relationships/hyperlink" Target="https://www.genome.jp/entry/C05394" TargetMode="External"/><Relationship Id="rId2264" Type="http://schemas.openxmlformats.org/officeDocument/2006/relationships/hyperlink" Target="https://www.genome.jp/entry/C20267" TargetMode="External"/><Relationship Id="rId2471" Type="http://schemas.openxmlformats.org/officeDocument/2006/relationships/hyperlink" Target="https://www.genome.jp/entry/C00693" TargetMode="External"/><Relationship Id="rId3108" Type="http://schemas.openxmlformats.org/officeDocument/2006/relationships/hyperlink" Target="https://www.genome.jp/entry/C00035" TargetMode="External"/><Relationship Id="rId236" Type="http://schemas.openxmlformats.org/officeDocument/2006/relationships/hyperlink" Target="https://www.genome.jp/entry/C00263" TargetMode="External"/><Relationship Id="rId443" Type="http://schemas.openxmlformats.org/officeDocument/2006/relationships/hyperlink" Target="https://www.genome.jp/entry/C00627" TargetMode="External"/><Relationship Id="rId650" Type="http://schemas.openxmlformats.org/officeDocument/2006/relationships/hyperlink" Target="https://enzyme.expasy.org/EC/2.1.1.72" TargetMode="External"/><Relationship Id="rId1073" Type="http://schemas.openxmlformats.org/officeDocument/2006/relationships/hyperlink" Target="https://enzyme.expasy.org/EC/2.5.1.17" TargetMode="External"/><Relationship Id="rId1280" Type="http://schemas.openxmlformats.org/officeDocument/2006/relationships/hyperlink" Target="https://www.genome.jp/entry/C00075" TargetMode="External"/><Relationship Id="rId2124" Type="http://schemas.openxmlformats.org/officeDocument/2006/relationships/hyperlink" Target="https://enzyme.expasy.org/EC/3.2.2.9" TargetMode="External"/><Relationship Id="rId2331" Type="http://schemas.openxmlformats.org/officeDocument/2006/relationships/hyperlink" Target="https://www.genome.jp/entry/C00041" TargetMode="External"/><Relationship Id="rId303" Type="http://schemas.openxmlformats.org/officeDocument/2006/relationships/hyperlink" Target="https://www.genome.jp/entry/C00342" TargetMode="External"/><Relationship Id="rId1140" Type="http://schemas.openxmlformats.org/officeDocument/2006/relationships/hyperlink" Target="https://enzyme.expasy.org/EC/2.7.1.11" TargetMode="External"/><Relationship Id="rId510" Type="http://schemas.openxmlformats.org/officeDocument/2006/relationships/hyperlink" Target="https://www.genome.jp/entry/C00415" TargetMode="External"/><Relationship Id="rId1000" Type="http://schemas.openxmlformats.org/officeDocument/2006/relationships/hyperlink" Target="https://www.genome.jp/entry/G10495" TargetMode="External"/><Relationship Id="rId1957" Type="http://schemas.openxmlformats.org/officeDocument/2006/relationships/hyperlink" Target="https://www.genome.jp/entry/C00124" TargetMode="External"/><Relationship Id="rId1817" Type="http://schemas.openxmlformats.org/officeDocument/2006/relationships/hyperlink" Target="https://www.genome.jp/entry/C01762" TargetMode="External"/><Relationship Id="rId3172" Type="http://schemas.openxmlformats.org/officeDocument/2006/relationships/hyperlink" Target="https://www.genome.jp/entry/C01563" TargetMode="External"/><Relationship Id="rId3032" Type="http://schemas.openxmlformats.org/officeDocument/2006/relationships/hyperlink" Target="https://www.genome.jp/entry/C00008" TargetMode="External"/><Relationship Id="rId160" Type="http://schemas.openxmlformats.org/officeDocument/2006/relationships/hyperlink" Target="https://www.genome.jp/entry/C00644" TargetMode="External"/><Relationship Id="rId2798" Type="http://schemas.openxmlformats.org/officeDocument/2006/relationships/hyperlink" Target="https://www.genome.jp/entry/C04751" TargetMode="External"/><Relationship Id="rId977" Type="http://schemas.openxmlformats.org/officeDocument/2006/relationships/hyperlink" Target="https://www.genome.jp/entry/C00356" TargetMode="External"/><Relationship Id="rId2658" Type="http://schemas.openxmlformats.org/officeDocument/2006/relationships/hyperlink" Target="https://www.genome.jp/entry/C01101" TargetMode="External"/><Relationship Id="rId2865" Type="http://schemas.openxmlformats.org/officeDocument/2006/relationships/hyperlink" Target="https://enzyme.expasy.org/EC/6.1.1.13" TargetMode="External"/><Relationship Id="rId837" Type="http://schemas.openxmlformats.org/officeDocument/2006/relationships/hyperlink" Target="https://www.genome.jp/entry/C16470" TargetMode="External"/><Relationship Id="rId1467" Type="http://schemas.openxmlformats.org/officeDocument/2006/relationships/hyperlink" Target="https://www.genome.jp/entry/C00008" TargetMode="External"/><Relationship Id="rId1674" Type="http://schemas.openxmlformats.org/officeDocument/2006/relationships/hyperlink" Target="https://www.genome.jp/entry/C00013" TargetMode="External"/><Relationship Id="rId1881" Type="http://schemas.openxmlformats.org/officeDocument/2006/relationships/hyperlink" Target="https://www.genome.jp/entry/G00275" TargetMode="External"/><Relationship Id="rId2518" Type="http://schemas.openxmlformats.org/officeDocument/2006/relationships/hyperlink" Target="https://www.genome.jp/entry/C00065" TargetMode="External"/><Relationship Id="rId2725" Type="http://schemas.openxmlformats.org/officeDocument/2006/relationships/hyperlink" Target="https://www.genome.jp/entry/C00085" TargetMode="External"/><Relationship Id="rId2932" Type="http://schemas.openxmlformats.org/officeDocument/2006/relationships/hyperlink" Target="https://www.genome.jp/entry/C00020" TargetMode="External"/><Relationship Id="rId904" Type="http://schemas.openxmlformats.org/officeDocument/2006/relationships/hyperlink" Target="https://www.genome.jp/entry/C05764" TargetMode="External"/><Relationship Id="rId1327" Type="http://schemas.openxmlformats.org/officeDocument/2006/relationships/hyperlink" Target="https://www.genome.jp/entry/C16634" TargetMode="External"/><Relationship Id="rId1534" Type="http://schemas.openxmlformats.org/officeDocument/2006/relationships/hyperlink" Target="https://www.genome.jp/entry/C00002" TargetMode="External"/><Relationship Id="rId1741" Type="http://schemas.openxmlformats.org/officeDocument/2006/relationships/hyperlink" Target="https://www.genome.jp/entry/C00354" TargetMode="External"/><Relationship Id="rId33" Type="http://schemas.openxmlformats.org/officeDocument/2006/relationships/hyperlink" Target="https://www.genome.jp/entry/C00756" TargetMode="External"/><Relationship Id="rId1601" Type="http://schemas.openxmlformats.org/officeDocument/2006/relationships/hyperlink" Target="https://www.genome.jp/entry/C00075" TargetMode="External"/><Relationship Id="rId487" Type="http://schemas.openxmlformats.org/officeDocument/2006/relationships/hyperlink" Target="https://www.genome.jp/entry/C00504" TargetMode="External"/><Relationship Id="rId694" Type="http://schemas.openxmlformats.org/officeDocument/2006/relationships/hyperlink" Target="https://enzyme.expasy.org/EC/2.2.1.6" TargetMode="External"/><Relationship Id="rId2168" Type="http://schemas.openxmlformats.org/officeDocument/2006/relationships/hyperlink" Target="https://www.genome.jp/entry/C01659" TargetMode="External"/><Relationship Id="rId2375" Type="http://schemas.openxmlformats.org/officeDocument/2006/relationships/hyperlink" Target="https://www.genome.jp/entry/C03291" TargetMode="External"/><Relationship Id="rId347" Type="http://schemas.openxmlformats.org/officeDocument/2006/relationships/hyperlink" Target="https://www.genome.jp/entry/C00460" TargetMode="External"/><Relationship Id="rId1184" Type="http://schemas.openxmlformats.org/officeDocument/2006/relationships/hyperlink" Target="https://www.genome.jp/entry/C00008" TargetMode="External"/><Relationship Id="rId2028" Type="http://schemas.openxmlformats.org/officeDocument/2006/relationships/hyperlink" Target="https://www.genome.jp/entry/G10238" TargetMode="External"/><Relationship Id="rId2582" Type="http://schemas.openxmlformats.org/officeDocument/2006/relationships/hyperlink" Target="https://enzyme.expasy.org/EC/4.4.1.13" TargetMode="External"/><Relationship Id="rId554" Type="http://schemas.openxmlformats.org/officeDocument/2006/relationships/hyperlink" Target="https://www.genome.jp/entry/C00342" TargetMode="External"/><Relationship Id="rId761" Type="http://schemas.openxmlformats.org/officeDocument/2006/relationships/hyperlink" Target="https://www.genome.jp/entry/C00040" TargetMode="External"/><Relationship Id="rId1391" Type="http://schemas.openxmlformats.org/officeDocument/2006/relationships/hyperlink" Target="https://www.genome.jp/entry/C00002" TargetMode="External"/><Relationship Id="rId2235" Type="http://schemas.openxmlformats.org/officeDocument/2006/relationships/hyperlink" Target="https://www.genome.jp/entry/C00559" TargetMode="External"/><Relationship Id="rId2442" Type="http://schemas.openxmlformats.org/officeDocument/2006/relationships/hyperlink" Target="https://enzyme.expasy.org/EC/4.2.1.2" TargetMode="External"/><Relationship Id="rId207" Type="http://schemas.openxmlformats.org/officeDocument/2006/relationships/hyperlink" Target="https://www.genome.jp/entry/C07335" TargetMode="External"/><Relationship Id="rId414" Type="http://schemas.openxmlformats.org/officeDocument/2006/relationships/hyperlink" Target="https://www.genome.jp/entry/C00064" TargetMode="External"/><Relationship Id="rId621" Type="http://schemas.openxmlformats.org/officeDocument/2006/relationships/hyperlink" Target="https://www.genome.jp/entry/C00021" TargetMode="External"/><Relationship Id="rId1044" Type="http://schemas.openxmlformats.org/officeDocument/2006/relationships/hyperlink" Target="https://www.genome.jp/entry/C00385" TargetMode="External"/><Relationship Id="rId1251" Type="http://schemas.openxmlformats.org/officeDocument/2006/relationships/hyperlink" Target="https://www.genome.jp/entry/C00002" TargetMode="External"/><Relationship Id="rId2302" Type="http://schemas.openxmlformats.org/officeDocument/2006/relationships/hyperlink" Target="https://enzyme.expasy.org/EC/3.6.5.n1" TargetMode="External"/><Relationship Id="rId1111" Type="http://schemas.openxmlformats.org/officeDocument/2006/relationships/hyperlink" Target="https://www.genome.jp/entry/C19847" TargetMode="External"/><Relationship Id="rId3076" Type="http://schemas.openxmlformats.org/officeDocument/2006/relationships/hyperlink" Target="https://www.genome.jp/entry/C05921" TargetMode="External"/><Relationship Id="rId1928" Type="http://schemas.openxmlformats.org/officeDocument/2006/relationships/hyperlink" Target="https://www.genome.jp/entry/C00159" TargetMode="External"/><Relationship Id="rId2092" Type="http://schemas.openxmlformats.org/officeDocument/2006/relationships/hyperlink" Target="https://www.genome.jp/entry/C02336" TargetMode="External"/><Relationship Id="rId3143" Type="http://schemas.openxmlformats.org/officeDocument/2006/relationships/hyperlink" Target="https://www.genome.jp/entry/C00020" TargetMode="External"/><Relationship Id="rId271" Type="http://schemas.openxmlformats.org/officeDocument/2006/relationships/hyperlink" Target="https://www.genome.jp/entry/C00093" TargetMode="External"/><Relationship Id="rId3003" Type="http://schemas.openxmlformats.org/officeDocument/2006/relationships/hyperlink" Target="https://www.genome.jp/entry/C16237" TargetMode="External"/><Relationship Id="rId131" Type="http://schemas.openxmlformats.org/officeDocument/2006/relationships/hyperlink" Target="https://enzyme.expasy.org/EC/1.1.1.100" TargetMode="External"/><Relationship Id="rId2769" Type="http://schemas.openxmlformats.org/officeDocument/2006/relationships/hyperlink" Target="https://www.genome.jp/entry/C00197" TargetMode="External"/><Relationship Id="rId2976" Type="http://schemas.openxmlformats.org/officeDocument/2006/relationships/hyperlink" Target="https://www.genome.jp/entry/C00002" TargetMode="External"/><Relationship Id="rId948" Type="http://schemas.openxmlformats.org/officeDocument/2006/relationships/hyperlink" Target="https://www.genome.jp/entry/C00083" TargetMode="External"/><Relationship Id="rId1578" Type="http://schemas.openxmlformats.org/officeDocument/2006/relationships/hyperlink" Target="https://www.genome.jp/entry/C00013" TargetMode="External"/><Relationship Id="rId1785" Type="http://schemas.openxmlformats.org/officeDocument/2006/relationships/hyperlink" Target="https://www.genome.jp/entry/C00239" TargetMode="External"/><Relationship Id="rId1992" Type="http://schemas.openxmlformats.org/officeDocument/2006/relationships/hyperlink" Target="https://www.genome.jp/entry/C00031" TargetMode="External"/><Relationship Id="rId2629" Type="http://schemas.openxmlformats.org/officeDocument/2006/relationships/hyperlink" Target="https://www.genome.jp/entry/C00025" TargetMode="External"/><Relationship Id="rId2836" Type="http://schemas.openxmlformats.org/officeDocument/2006/relationships/hyperlink" Target="https://www.genome.jp/entry/C00002" TargetMode="External"/><Relationship Id="rId77" Type="http://schemas.openxmlformats.org/officeDocument/2006/relationships/hyperlink" Target="https://www.genome.jp/entry/C14089" TargetMode="External"/><Relationship Id="rId808" Type="http://schemas.openxmlformats.org/officeDocument/2006/relationships/hyperlink" Target="https://www.genome.jp/entry/C00512" TargetMode="External"/><Relationship Id="rId1438" Type="http://schemas.openxmlformats.org/officeDocument/2006/relationships/hyperlink" Target="https://www.genome.jp/entry/C00008" TargetMode="External"/><Relationship Id="rId1645" Type="http://schemas.openxmlformats.org/officeDocument/2006/relationships/hyperlink" Target="https://enzyme.expasy.org/EC/2.7.7.7" TargetMode="External"/><Relationship Id="rId1852" Type="http://schemas.openxmlformats.org/officeDocument/2006/relationships/hyperlink" Target="https://www.genome.jp/entry/C00059" TargetMode="External"/><Relationship Id="rId2903" Type="http://schemas.openxmlformats.org/officeDocument/2006/relationships/hyperlink" Target="https://www.genome.jp/entry/C02987" TargetMode="External"/><Relationship Id="rId1505" Type="http://schemas.openxmlformats.org/officeDocument/2006/relationships/hyperlink" Target="https://www.genome.jp/entry/C22442" TargetMode="External"/><Relationship Id="rId1712" Type="http://schemas.openxmlformats.org/officeDocument/2006/relationships/hyperlink" Target="https://www.genome.jp/entry/C00868" TargetMode="External"/><Relationship Id="rId598" Type="http://schemas.openxmlformats.org/officeDocument/2006/relationships/hyperlink" Target="https://enzyme.expasy.org/EC/2.1.1.171" TargetMode="External"/><Relationship Id="rId2279" Type="http://schemas.openxmlformats.org/officeDocument/2006/relationships/hyperlink" Target="https://www.genome.jp/entry/C00404" TargetMode="External"/><Relationship Id="rId2486" Type="http://schemas.openxmlformats.org/officeDocument/2006/relationships/hyperlink" Target="https://www.genome.jp/entry/C05751" TargetMode="External"/><Relationship Id="rId2693" Type="http://schemas.openxmlformats.org/officeDocument/2006/relationships/hyperlink" Target="https://www.genome.jp/entry/C16737" TargetMode="External"/><Relationship Id="rId458" Type="http://schemas.openxmlformats.org/officeDocument/2006/relationships/hyperlink" Target="https://www.genome.jp/entry/C03912" TargetMode="External"/><Relationship Id="rId665" Type="http://schemas.openxmlformats.org/officeDocument/2006/relationships/hyperlink" Target="https://enzyme.expasy.org/EC/2.1.2.2" TargetMode="External"/><Relationship Id="rId872" Type="http://schemas.openxmlformats.org/officeDocument/2006/relationships/hyperlink" Target="https://www.genome.jp/entry/C05744" TargetMode="External"/><Relationship Id="rId1088" Type="http://schemas.openxmlformats.org/officeDocument/2006/relationships/hyperlink" Target="https://www.genome.jp/entry/C00097" TargetMode="External"/><Relationship Id="rId1295" Type="http://schemas.openxmlformats.org/officeDocument/2006/relationships/hyperlink" Target="https://www.genome.jp/entry/C00201" TargetMode="External"/><Relationship Id="rId2139" Type="http://schemas.openxmlformats.org/officeDocument/2006/relationships/hyperlink" Target="https://enzyme.expasy.org/EC/3.4.11.5" TargetMode="External"/><Relationship Id="rId2346" Type="http://schemas.openxmlformats.org/officeDocument/2006/relationships/hyperlink" Target="https://www.genome.jp/entry/C00105" TargetMode="External"/><Relationship Id="rId2553" Type="http://schemas.openxmlformats.org/officeDocument/2006/relationships/hyperlink" Target="https://www.genome.jp/entry/C04916" TargetMode="External"/><Relationship Id="rId2760" Type="http://schemas.openxmlformats.org/officeDocument/2006/relationships/hyperlink" Target="https://enzyme.expasy.org/EC/5.4.2.10" TargetMode="External"/><Relationship Id="rId318" Type="http://schemas.openxmlformats.org/officeDocument/2006/relationships/hyperlink" Target="https://www.genome.jp/entry/C03723" TargetMode="External"/><Relationship Id="rId525" Type="http://schemas.openxmlformats.org/officeDocument/2006/relationships/hyperlink" Target="https://www.genome.jp/entry/C00579" TargetMode="External"/><Relationship Id="rId732" Type="http://schemas.openxmlformats.org/officeDocument/2006/relationships/hyperlink" Target="https://www.genome.jp/entry/C00681" TargetMode="External"/><Relationship Id="rId1155" Type="http://schemas.openxmlformats.org/officeDocument/2006/relationships/hyperlink" Target="https://www.genome.jp/entry/C00081" TargetMode="External"/><Relationship Id="rId1362" Type="http://schemas.openxmlformats.org/officeDocument/2006/relationships/hyperlink" Target="https://www.genome.jp/entry/C00008" TargetMode="External"/><Relationship Id="rId2206" Type="http://schemas.openxmlformats.org/officeDocument/2006/relationships/hyperlink" Target="https://www.genome.jp/entry/C11439" TargetMode="External"/><Relationship Id="rId2413" Type="http://schemas.openxmlformats.org/officeDocument/2006/relationships/hyperlink" Target="https://www.genome.jp/entry/C00631" TargetMode="External"/><Relationship Id="rId2620" Type="http://schemas.openxmlformats.org/officeDocument/2006/relationships/hyperlink" Target="https://www.genome.jp/entry/C05698" TargetMode="External"/><Relationship Id="rId1015" Type="http://schemas.openxmlformats.org/officeDocument/2006/relationships/hyperlink" Target="https://www.genome.jp/entry/G10550" TargetMode="External"/><Relationship Id="rId1222" Type="http://schemas.openxmlformats.org/officeDocument/2006/relationships/hyperlink" Target="https://www.genome.jp/entry/C00002" TargetMode="External"/><Relationship Id="rId3187" Type="http://schemas.openxmlformats.org/officeDocument/2006/relationships/hyperlink" Target="https://www.genome.jp/entry/C00008" TargetMode="External"/><Relationship Id="rId3047" Type="http://schemas.openxmlformats.org/officeDocument/2006/relationships/hyperlink" Target="https://www.genome.jp/entry/C00008" TargetMode="External"/><Relationship Id="rId175" Type="http://schemas.openxmlformats.org/officeDocument/2006/relationships/hyperlink" Target="https://www.genome.jp/entry/C04646" TargetMode="External"/><Relationship Id="rId382" Type="http://schemas.openxmlformats.org/officeDocument/2006/relationships/hyperlink" Target="https://www.genome.jp/entry/C11215" TargetMode="External"/><Relationship Id="rId2063" Type="http://schemas.openxmlformats.org/officeDocument/2006/relationships/hyperlink" Target="https://www.genome.jp/entry/C00124" TargetMode="External"/><Relationship Id="rId2270" Type="http://schemas.openxmlformats.org/officeDocument/2006/relationships/hyperlink" Target="https://www.genome.jp/entry/C00085" TargetMode="External"/><Relationship Id="rId3114" Type="http://schemas.openxmlformats.org/officeDocument/2006/relationships/hyperlink" Target="https://enzyme.expasy.org/EC/6.3.5.2" TargetMode="External"/><Relationship Id="rId242" Type="http://schemas.openxmlformats.org/officeDocument/2006/relationships/hyperlink" Target="https://www.genome.jp/entry/C00441" TargetMode="External"/><Relationship Id="rId2130" Type="http://schemas.openxmlformats.org/officeDocument/2006/relationships/hyperlink" Target="https://www.genome.jp/entry/C00170" TargetMode="External"/><Relationship Id="rId102" Type="http://schemas.openxmlformats.org/officeDocument/2006/relationships/hyperlink" Target="https://www.genome.jp/entry/C04618" TargetMode="External"/><Relationship Id="rId1689" Type="http://schemas.openxmlformats.org/officeDocument/2006/relationships/hyperlink" Target="https://www.genome.jp/entry/C00105" TargetMode="External"/><Relationship Id="rId1896" Type="http://schemas.openxmlformats.org/officeDocument/2006/relationships/hyperlink" Target="https://www.genome.jp/entry/C00001" TargetMode="External"/><Relationship Id="rId2947" Type="http://schemas.openxmlformats.org/officeDocument/2006/relationships/hyperlink" Target="https://www.genome.jp/entry/C00020" TargetMode="External"/><Relationship Id="rId919" Type="http://schemas.openxmlformats.org/officeDocument/2006/relationships/hyperlink" Target="https://www.genome.jp/entry/C00024" TargetMode="External"/><Relationship Id="rId1549" Type="http://schemas.openxmlformats.org/officeDocument/2006/relationships/hyperlink" Target="https://www.genome.jp/entry/C00002" TargetMode="External"/><Relationship Id="rId1756" Type="http://schemas.openxmlformats.org/officeDocument/2006/relationships/hyperlink" Target="https://www.genome.jp/entry/C03892" TargetMode="External"/><Relationship Id="rId1963" Type="http://schemas.openxmlformats.org/officeDocument/2006/relationships/hyperlink" Target="https://www.genome.jp/entry/G00249" TargetMode="External"/><Relationship Id="rId2807" Type="http://schemas.openxmlformats.org/officeDocument/2006/relationships/hyperlink" Target="https://www.genome.jp/entry/C00052" TargetMode="External"/><Relationship Id="rId48" Type="http://schemas.openxmlformats.org/officeDocument/2006/relationships/hyperlink" Target="https://www.genome.jp/entry/C05444" TargetMode="External"/><Relationship Id="rId1409" Type="http://schemas.openxmlformats.org/officeDocument/2006/relationships/hyperlink" Target="https://enzyme.expasy.org/EC/2.7.4.25" TargetMode="External"/><Relationship Id="rId1616" Type="http://schemas.openxmlformats.org/officeDocument/2006/relationships/hyperlink" Target="https://www.genome.jp/entry/C19771" TargetMode="External"/><Relationship Id="rId1823" Type="http://schemas.openxmlformats.org/officeDocument/2006/relationships/hyperlink" Target="https://www.genome.jp/entry/C05841" TargetMode="External"/><Relationship Id="rId2597" Type="http://schemas.openxmlformats.org/officeDocument/2006/relationships/hyperlink" Target="https://enzyme.expasy.org/EC/4.4.1.13" TargetMode="External"/><Relationship Id="rId569" Type="http://schemas.openxmlformats.org/officeDocument/2006/relationships/hyperlink" Target="https://www.genome.jp/entry/C03023" TargetMode="External"/><Relationship Id="rId776" Type="http://schemas.openxmlformats.org/officeDocument/2006/relationships/hyperlink" Target="https://www.genome.jp/entry/C01832" TargetMode="External"/><Relationship Id="rId983" Type="http://schemas.openxmlformats.org/officeDocument/2006/relationships/hyperlink" Target="https://www.genome.jp/entry/C00369" TargetMode="External"/><Relationship Id="rId1199" Type="http://schemas.openxmlformats.org/officeDocument/2006/relationships/hyperlink" Target="https://www.genome.jp/entry/C00008" TargetMode="External"/><Relationship Id="rId2457" Type="http://schemas.openxmlformats.org/officeDocument/2006/relationships/hyperlink" Target="https://enzyme.expasy.org/EC/4.2.1.20" TargetMode="External"/><Relationship Id="rId2664" Type="http://schemas.openxmlformats.org/officeDocument/2006/relationships/hyperlink" Target="https://www.genome.jp/entry/C03798" TargetMode="External"/><Relationship Id="rId429" Type="http://schemas.openxmlformats.org/officeDocument/2006/relationships/hyperlink" Target="https://www.genome.jp/entry/C00161" TargetMode="External"/><Relationship Id="rId636" Type="http://schemas.openxmlformats.org/officeDocument/2006/relationships/hyperlink" Target="https://www.genome.jp/entry/C00415" TargetMode="External"/><Relationship Id="rId1059" Type="http://schemas.openxmlformats.org/officeDocument/2006/relationships/hyperlink" Target="https://enzyme.expasy.org/EC/2.4.2.7" TargetMode="External"/><Relationship Id="rId1266" Type="http://schemas.openxmlformats.org/officeDocument/2006/relationships/hyperlink" Target="https://www.genome.jp/entry/C00002" TargetMode="External"/><Relationship Id="rId1473" Type="http://schemas.openxmlformats.org/officeDocument/2006/relationships/hyperlink" Target="https://www.genome.jp/entry/C00008" TargetMode="External"/><Relationship Id="rId2317" Type="http://schemas.openxmlformats.org/officeDocument/2006/relationships/hyperlink" Target="https://enzyme.expasy.org/EC/4.1.1.112" TargetMode="External"/><Relationship Id="rId2871" Type="http://schemas.openxmlformats.org/officeDocument/2006/relationships/hyperlink" Target="https://www.genome.jp/entry/C00002" TargetMode="External"/><Relationship Id="rId843" Type="http://schemas.openxmlformats.org/officeDocument/2006/relationships/hyperlink" Target="https://www.genome.jp/entry/C03069" TargetMode="External"/><Relationship Id="rId1126" Type="http://schemas.openxmlformats.org/officeDocument/2006/relationships/hyperlink" Target="https://enzyme.expasy.org/EC/2.6.1.9" TargetMode="External"/><Relationship Id="rId1680" Type="http://schemas.openxmlformats.org/officeDocument/2006/relationships/hyperlink" Target="https://enzyme.expasy.org/EC/2.7.7.9" TargetMode="External"/><Relationship Id="rId2524" Type="http://schemas.openxmlformats.org/officeDocument/2006/relationships/hyperlink" Target="https://www.genome.jp/entry/C00065" TargetMode="External"/><Relationship Id="rId2731" Type="http://schemas.openxmlformats.org/officeDocument/2006/relationships/hyperlink" Target="https://www.genome.jp/entry/C01172" TargetMode="External"/><Relationship Id="rId703" Type="http://schemas.openxmlformats.org/officeDocument/2006/relationships/hyperlink" Target="https://www.genome.jp/entry/C06006" TargetMode="External"/><Relationship Id="rId910" Type="http://schemas.openxmlformats.org/officeDocument/2006/relationships/hyperlink" Target="https://www.genome.jp/entry/C20372" TargetMode="External"/><Relationship Id="rId1333" Type="http://schemas.openxmlformats.org/officeDocument/2006/relationships/hyperlink" Target="https://www.genome.jp/entry/C00008" TargetMode="External"/><Relationship Id="rId1540" Type="http://schemas.openxmlformats.org/officeDocument/2006/relationships/hyperlink" Target="https://www.genome.jp/entry/C00002" TargetMode="External"/><Relationship Id="rId1400" Type="http://schemas.openxmlformats.org/officeDocument/2006/relationships/hyperlink" Target="https://www.genome.jp/entry/C00002" TargetMode="External"/><Relationship Id="rId3158" Type="http://schemas.openxmlformats.org/officeDocument/2006/relationships/hyperlink" Target="https://www.genome.jp/entry/C00008" TargetMode="External"/><Relationship Id="rId286" Type="http://schemas.openxmlformats.org/officeDocument/2006/relationships/hyperlink" Target="https://www.genome.jp/entry/C03972" TargetMode="External"/><Relationship Id="rId493" Type="http://schemas.openxmlformats.org/officeDocument/2006/relationships/hyperlink" Target="https://enzyme.expasy.org/EC/1.5.1.3" TargetMode="External"/><Relationship Id="rId2174" Type="http://schemas.openxmlformats.org/officeDocument/2006/relationships/hyperlink" Target="https://enzyme.expasy.org/EC/3.5.1.4" TargetMode="External"/><Relationship Id="rId2381" Type="http://schemas.openxmlformats.org/officeDocument/2006/relationships/hyperlink" Target="https://www.genome.jp/entry/C00111" TargetMode="External"/><Relationship Id="rId3018" Type="http://schemas.openxmlformats.org/officeDocument/2006/relationships/hyperlink" Target="https://www.genome.jp/entry/C00008" TargetMode="External"/><Relationship Id="rId146" Type="http://schemas.openxmlformats.org/officeDocument/2006/relationships/hyperlink" Target="https://www.genome.jp/entry/C20376" TargetMode="External"/><Relationship Id="rId353" Type="http://schemas.openxmlformats.org/officeDocument/2006/relationships/hyperlink" Target="https://www.genome.jp/entry/C03802" TargetMode="External"/><Relationship Id="rId560" Type="http://schemas.openxmlformats.org/officeDocument/2006/relationships/hyperlink" Target="https://www.genome.jp/entry/C01528" TargetMode="External"/><Relationship Id="rId1190" Type="http://schemas.openxmlformats.org/officeDocument/2006/relationships/hyperlink" Target="https://www.genome.jp/entry/C00615" TargetMode="External"/><Relationship Id="rId2034" Type="http://schemas.openxmlformats.org/officeDocument/2006/relationships/hyperlink" Target="https://enzyme.expasy.org/EC/3.2.1.23" TargetMode="External"/><Relationship Id="rId2241" Type="http://schemas.openxmlformats.org/officeDocument/2006/relationships/hyperlink" Target="https://www.genome.jp/entry/C00299" TargetMode="External"/><Relationship Id="rId213" Type="http://schemas.openxmlformats.org/officeDocument/2006/relationships/hyperlink" Target="https://www.genome.jp/entry/C11638" TargetMode="External"/><Relationship Id="rId420" Type="http://schemas.openxmlformats.org/officeDocument/2006/relationships/hyperlink" Target="https://www.genome.jp/entry/C00026" TargetMode="External"/><Relationship Id="rId1050" Type="http://schemas.openxmlformats.org/officeDocument/2006/relationships/hyperlink" Target="https://www.genome.jp/entry/C20446" TargetMode="External"/><Relationship Id="rId2101" Type="http://schemas.openxmlformats.org/officeDocument/2006/relationships/hyperlink" Target="https://www.genome.jp/entry/C06187" TargetMode="External"/><Relationship Id="rId1867" Type="http://schemas.openxmlformats.org/officeDocument/2006/relationships/hyperlink" Target="https://www.genome.jp/entry/C00095" TargetMode="External"/><Relationship Id="rId2918" Type="http://schemas.openxmlformats.org/officeDocument/2006/relationships/hyperlink" Target="https://www.genome.jp/entry/C00020" TargetMode="External"/><Relationship Id="rId1727" Type="http://schemas.openxmlformats.org/officeDocument/2006/relationships/hyperlink" Target="https://www.genome.jp/entry/C00033" TargetMode="External"/><Relationship Id="rId1934" Type="http://schemas.openxmlformats.org/officeDocument/2006/relationships/hyperlink" Target="https://enzyme.expasy.org/EC/3.2.1.22" TargetMode="External"/><Relationship Id="rId3082" Type="http://schemas.openxmlformats.org/officeDocument/2006/relationships/hyperlink" Target="https://www.genome.jp/entry/C19723" TargetMode="External"/><Relationship Id="rId19" Type="http://schemas.openxmlformats.org/officeDocument/2006/relationships/hyperlink" Target="https://www.genome.jp/entry/C00772" TargetMode="External"/><Relationship Id="rId3" Type="http://schemas.openxmlformats.org/officeDocument/2006/relationships/hyperlink" Target="https://www.genome.jp/entry/C00114" TargetMode="External"/><Relationship Id="rId887" Type="http://schemas.openxmlformats.org/officeDocument/2006/relationships/hyperlink" Target="https://enzyme.expasy.org/EC/2.3.1.179" TargetMode="External"/><Relationship Id="rId2568" Type="http://schemas.openxmlformats.org/officeDocument/2006/relationships/hyperlink" Target="https://www.genome.jp/entry/C04823" TargetMode="External"/><Relationship Id="rId2775" Type="http://schemas.openxmlformats.org/officeDocument/2006/relationships/hyperlink" Target="https://enzyme.expasy.org/EC/5.4.2.6" TargetMode="External"/><Relationship Id="rId2982" Type="http://schemas.openxmlformats.org/officeDocument/2006/relationships/hyperlink" Target="https://www.genome.jp/entry/C22160" TargetMode="External"/><Relationship Id="rId747" Type="http://schemas.openxmlformats.org/officeDocument/2006/relationships/hyperlink" Target="https://www.genome.jp/entry/C00010" TargetMode="External"/><Relationship Id="rId954" Type="http://schemas.openxmlformats.org/officeDocument/2006/relationships/hyperlink" Target="https://www.genome.jp/entry/C00010" TargetMode="External"/><Relationship Id="rId1377" Type="http://schemas.openxmlformats.org/officeDocument/2006/relationships/hyperlink" Target="https://www.genome.jp/entry/C00008" TargetMode="External"/><Relationship Id="rId1584" Type="http://schemas.openxmlformats.org/officeDocument/2006/relationships/hyperlink" Target="https://www.genome.jp/entry/C00013" TargetMode="External"/><Relationship Id="rId1791" Type="http://schemas.openxmlformats.org/officeDocument/2006/relationships/hyperlink" Target="https://www.genome.jp/entry/C00360" TargetMode="External"/><Relationship Id="rId2428" Type="http://schemas.openxmlformats.org/officeDocument/2006/relationships/hyperlink" Target="https://www.genome.jp/entry/C00256" TargetMode="External"/><Relationship Id="rId2635" Type="http://schemas.openxmlformats.org/officeDocument/2006/relationships/hyperlink" Target="https://www.genome.jp/entry/C00680" TargetMode="External"/><Relationship Id="rId2842" Type="http://schemas.openxmlformats.org/officeDocument/2006/relationships/hyperlink" Target="https://www.genome.jp/entry/C01638" TargetMode="External"/><Relationship Id="rId83" Type="http://schemas.openxmlformats.org/officeDocument/2006/relationships/hyperlink" Target="https://www.genome.jp/entry/C16310" TargetMode="External"/><Relationship Id="rId607" Type="http://schemas.openxmlformats.org/officeDocument/2006/relationships/hyperlink" Target="https://www.genome.jp/entry/C00021" TargetMode="External"/><Relationship Id="rId814" Type="http://schemas.openxmlformats.org/officeDocument/2006/relationships/hyperlink" Target="https://enzyme.expasy.org/EC/2.3.1.16" TargetMode="External"/><Relationship Id="rId1237" Type="http://schemas.openxmlformats.org/officeDocument/2006/relationships/hyperlink" Target="https://www.genome.jp/entry/C00002" TargetMode="External"/><Relationship Id="rId1444" Type="http://schemas.openxmlformats.org/officeDocument/2006/relationships/hyperlink" Target="https://enzyme.expasy.org/EC/2.7.4.6" TargetMode="External"/><Relationship Id="rId1651" Type="http://schemas.openxmlformats.org/officeDocument/2006/relationships/hyperlink" Target="https://www.genome.jp/entry/C02211" TargetMode="External"/><Relationship Id="rId2702" Type="http://schemas.openxmlformats.org/officeDocument/2006/relationships/hyperlink" Target="https://enzyme.expasy.org/EC/5.3.1.6" TargetMode="External"/><Relationship Id="rId1304" Type="http://schemas.openxmlformats.org/officeDocument/2006/relationships/hyperlink" Target="https://enzyme.expasy.org/EC/2.7.1.48" TargetMode="External"/><Relationship Id="rId1511" Type="http://schemas.openxmlformats.org/officeDocument/2006/relationships/hyperlink" Target="https://www.genome.jp/entry/C00008" TargetMode="External"/><Relationship Id="rId10" Type="http://schemas.openxmlformats.org/officeDocument/2006/relationships/hyperlink" Target="https://www.genome.jp/entry/C00576" TargetMode="External"/><Relationship Id="rId397" Type="http://schemas.openxmlformats.org/officeDocument/2006/relationships/hyperlink" Target="https://www.genome.jp/entry/C01050" TargetMode="External"/><Relationship Id="rId2078" Type="http://schemas.openxmlformats.org/officeDocument/2006/relationships/hyperlink" Target="https://www.genome.jp/entry/C00095" TargetMode="External"/><Relationship Id="rId2285" Type="http://schemas.openxmlformats.org/officeDocument/2006/relationships/hyperlink" Target="https://www.genome.jp/entry/C01228" TargetMode="External"/><Relationship Id="rId2492" Type="http://schemas.openxmlformats.org/officeDocument/2006/relationships/hyperlink" Target="https://www.genome.jp/entry/C04688" TargetMode="External"/><Relationship Id="rId3129" Type="http://schemas.openxmlformats.org/officeDocument/2006/relationships/hyperlink" Target="https://enzyme.expasy.org/EC/6.3.5.2" TargetMode="External"/><Relationship Id="rId257" Type="http://schemas.openxmlformats.org/officeDocument/2006/relationships/hyperlink" Target="https://www.genome.jp/entry/C01236" TargetMode="External"/><Relationship Id="rId464" Type="http://schemas.openxmlformats.org/officeDocument/2006/relationships/hyperlink" Target="https://www.genome.jp/entry/C04281" TargetMode="External"/><Relationship Id="rId1094" Type="http://schemas.openxmlformats.org/officeDocument/2006/relationships/hyperlink" Target="https://enzyme.expasy.org/EC/2.5.1.47" TargetMode="External"/><Relationship Id="rId2145" Type="http://schemas.openxmlformats.org/officeDocument/2006/relationships/hyperlink" Target="https://www.genome.jp/entry/C00241" TargetMode="External"/><Relationship Id="rId117" Type="http://schemas.openxmlformats.org/officeDocument/2006/relationships/hyperlink" Target="https://www.genome.jp/entry/C04633" TargetMode="External"/><Relationship Id="rId671" Type="http://schemas.openxmlformats.org/officeDocument/2006/relationships/hyperlink" Target="https://www.genome.jp/entry/C03838" TargetMode="External"/><Relationship Id="rId2352" Type="http://schemas.openxmlformats.org/officeDocument/2006/relationships/hyperlink" Target="https://enzyme.expasy.org/EC/4.1.1.33" TargetMode="External"/><Relationship Id="rId324" Type="http://schemas.openxmlformats.org/officeDocument/2006/relationships/hyperlink" Target="https://www.genome.jp/entry/C03723" TargetMode="External"/><Relationship Id="rId531" Type="http://schemas.openxmlformats.org/officeDocument/2006/relationships/hyperlink" Target="https://www.genome.jp/entry/C02051" TargetMode="External"/><Relationship Id="rId1161" Type="http://schemas.openxmlformats.org/officeDocument/2006/relationships/hyperlink" Target="https://www.genome.jp/entry/C00002" TargetMode="External"/><Relationship Id="rId2005" Type="http://schemas.openxmlformats.org/officeDocument/2006/relationships/hyperlink" Target="https://www.genome.jp/entry/C04911" TargetMode="External"/><Relationship Id="rId2212" Type="http://schemas.openxmlformats.org/officeDocument/2006/relationships/hyperlink" Target="https://www.genome.jp/entry/C00438" TargetMode="External"/><Relationship Id="rId1021" Type="http://schemas.openxmlformats.org/officeDocument/2006/relationships/hyperlink" Target="https://www.genome.jp/entry/C03090" TargetMode="External"/><Relationship Id="rId1978" Type="http://schemas.openxmlformats.org/officeDocument/2006/relationships/hyperlink" Target="https://www.genome.jp/entry/C00124" TargetMode="External"/><Relationship Id="rId1838" Type="http://schemas.openxmlformats.org/officeDocument/2006/relationships/hyperlink" Target="https://www.genome.jp/entry/C00224" TargetMode="External"/><Relationship Id="rId3053" Type="http://schemas.openxmlformats.org/officeDocument/2006/relationships/hyperlink" Target="https://www.genome.jp/entry/C00008" TargetMode="External"/><Relationship Id="rId181" Type="http://schemas.openxmlformats.org/officeDocument/2006/relationships/hyperlink" Target="https://www.genome.jp/entry/C00860" TargetMode="External"/><Relationship Id="rId1905" Type="http://schemas.openxmlformats.org/officeDocument/2006/relationships/hyperlink" Target="https://www.genome.jp/entry/C01235" TargetMode="External"/><Relationship Id="rId3120" Type="http://schemas.openxmlformats.org/officeDocument/2006/relationships/hyperlink" Target="https://www.genome.jp/entry/C00002" TargetMode="External"/><Relationship Id="rId998" Type="http://schemas.openxmlformats.org/officeDocument/2006/relationships/hyperlink" Target="https://www.genome.jp/entry/G10545" TargetMode="External"/><Relationship Id="rId2679" Type="http://schemas.openxmlformats.org/officeDocument/2006/relationships/hyperlink" Target="https://www.genome.jp/entry/C01113" TargetMode="External"/><Relationship Id="rId2886" Type="http://schemas.openxmlformats.org/officeDocument/2006/relationships/hyperlink" Target="https://www.genome.jp/entry/C00002" TargetMode="External"/><Relationship Id="rId858" Type="http://schemas.openxmlformats.org/officeDocument/2006/relationships/hyperlink" Target="https://www.genome.jp/entry/C23017" TargetMode="External"/><Relationship Id="rId1488" Type="http://schemas.openxmlformats.org/officeDocument/2006/relationships/hyperlink" Target="https://www.genome.jp/entry/C00008" TargetMode="External"/><Relationship Id="rId1695" Type="http://schemas.openxmlformats.org/officeDocument/2006/relationships/hyperlink" Target="https://enzyme.expasy.org/EC/2.7.8.5" TargetMode="External"/><Relationship Id="rId2539" Type="http://schemas.openxmlformats.org/officeDocument/2006/relationships/hyperlink" Target="https://www.genome.jp/entry/C05167" TargetMode="External"/><Relationship Id="rId2746" Type="http://schemas.openxmlformats.org/officeDocument/2006/relationships/hyperlink" Target="https://www.genome.jp/entry/C03453" TargetMode="External"/><Relationship Id="rId2953" Type="http://schemas.openxmlformats.org/officeDocument/2006/relationships/hyperlink" Target="https://www.genome.jp/entry/C00020" TargetMode="External"/><Relationship Id="rId718" Type="http://schemas.openxmlformats.org/officeDocument/2006/relationships/hyperlink" Target="https://www.genome.jp/entry/C05125" TargetMode="External"/><Relationship Id="rId925" Type="http://schemas.openxmlformats.org/officeDocument/2006/relationships/hyperlink" Target="https://www.genome.jp/entry/C00020" TargetMode="External"/><Relationship Id="rId1348" Type="http://schemas.openxmlformats.org/officeDocument/2006/relationships/hyperlink" Target="https://www.genome.jp/entry/C00008" TargetMode="External"/><Relationship Id="rId1555" Type="http://schemas.openxmlformats.org/officeDocument/2006/relationships/hyperlink" Target="https://www.genome.jp/entry/C00103" TargetMode="External"/><Relationship Id="rId1762" Type="http://schemas.openxmlformats.org/officeDocument/2006/relationships/hyperlink" Target="https://www.genome.jp/entry/C00212" TargetMode="External"/><Relationship Id="rId2606" Type="http://schemas.openxmlformats.org/officeDocument/2006/relationships/hyperlink" Target="https://www.genome.jp/entry/C01336" TargetMode="External"/><Relationship Id="rId1208" Type="http://schemas.openxmlformats.org/officeDocument/2006/relationships/hyperlink" Target="https://www.genome.jp/entry/C00002" TargetMode="External"/><Relationship Id="rId1415" Type="http://schemas.openxmlformats.org/officeDocument/2006/relationships/hyperlink" Target="https://www.genome.jp/entry/C00002" TargetMode="External"/><Relationship Id="rId2813" Type="http://schemas.openxmlformats.org/officeDocument/2006/relationships/hyperlink" Target="https://www.genome.jp/entry/C18094" TargetMode="External"/><Relationship Id="rId54" Type="http://schemas.openxmlformats.org/officeDocument/2006/relationships/hyperlink" Target="https://www.genome.jp/entry/C05577" TargetMode="External"/><Relationship Id="rId1622" Type="http://schemas.openxmlformats.org/officeDocument/2006/relationships/hyperlink" Target="https://www.genome.jp/entry/C00131" TargetMode="External"/><Relationship Id="rId2189" Type="http://schemas.openxmlformats.org/officeDocument/2006/relationships/hyperlink" Target="https://enzyme.expasy.org/EC/3.5.1.4" TargetMode="External"/><Relationship Id="rId2396" Type="http://schemas.openxmlformats.org/officeDocument/2006/relationships/hyperlink" Target="https://www.genome.jp/entry/C00111" TargetMode="External"/><Relationship Id="rId368" Type="http://schemas.openxmlformats.org/officeDocument/2006/relationships/hyperlink" Target="https://www.genome.jp/entry/C00441" TargetMode="External"/><Relationship Id="rId575" Type="http://schemas.openxmlformats.org/officeDocument/2006/relationships/hyperlink" Target="https://www.genome.jp/entry/C03023" TargetMode="External"/><Relationship Id="rId782" Type="http://schemas.openxmlformats.org/officeDocument/2006/relationships/hyperlink" Target="https://www.genome.jp/entry/C00010" TargetMode="External"/><Relationship Id="rId2049" Type="http://schemas.openxmlformats.org/officeDocument/2006/relationships/hyperlink" Target="https://enzyme.expasy.org/EC/3.2.1.23" TargetMode="External"/><Relationship Id="rId2256" Type="http://schemas.openxmlformats.org/officeDocument/2006/relationships/hyperlink" Target="https://www.genome.jp/entry/C00234" TargetMode="External"/><Relationship Id="rId2463" Type="http://schemas.openxmlformats.org/officeDocument/2006/relationships/hyperlink" Target="https://www.genome.jp/entry/C03195" TargetMode="External"/><Relationship Id="rId2670" Type="http://schemas.openxmlformats.org/officeDocument/2006/relationships/hyperlink" Target="https://www.genome.jp/entry/C00111" TargetMode="External"/><Relationship Id="rId228" Type="http://schemas.openxmlformats.org/officeDocument/2006/relationships/hyperlink" Target="https://www.genome.jp/entry/C00957" TargetMode="External"/><Relationship Id="rId435" Type="http://schemas.openxmlformats.org/officeDocument/2006/relationships/hyperlink" Target="https://www.genome.jp/entry/C00161" TargetMode="External"/><Relationship Id="rId642" Type="http://schemas.openxmlformats.org/officeDocument/2006/relationships/hyperlink" Target="https://www.genome.jp/entry/C00019" TargetMode="External"/><Relationship Id="rId1065" Type="http://schemas.openxmlformats.org/officeDocument/2006/relationships/hyperlink" Target="https://enzyme.expasy.org/EC/2.4.99.17" TargetMode="External"/><Relationship Id="rId1272" Type="http://schemas.openxmlformats.org/officeDocument/2006/relationships/hyperlink" Target="https://www.genome.jp/entry/C00035" TargetMode="External"/><Relationship Id="rId2116" Type="http://schemas.openxmlformats.org/officeDocument/2006/relationships/hyperlink" Target="https://www.genome.jp/entry/C00001" TargetMode="External"/><Relationship Id="rId2323" Type="http://schemas.openxmlformats.org/officeDocument/2006/relationships/hyperlink" Target="https://www.genome.jp/entry/C06030" TargetMode="External"/><Relationship Id="rId2530" Type="http://schemas.openxmlformats.org/officeDocument/2006/relationships/hyperlink" Target="https://www.genome.jp/entry/C20904" TargetMode="External"/><Relationship Id="rId502" Type="http://schemas.openxmlformats.org/officeDocument/2006/relationships/hyperlink" Target="https://www.genome.jp/entry/C02953" TargetMode="External"/><Relationship Id="rId1132" Type="http://schemas.openxmlformats.org/officeDocument/2006/relationships/hyperlink" Target="https://www.genome.jp/entry/C00002" TargetMode="External"/><Relationship Id="rId3097" Type="http://schemas.openxmlformats.org/officeDocument/2006/relationships/hyperlink" Target="https://www.genome.jp/entry/C00253" TargetMode="External"/><Relationship Id="rId1949" Type="http://schemas.openxmlformats.org/officeDocument/2006/relationships/hyperlink" Target="https://enzyme.expasy.org/EC/3.2.1.22" TargetMode="External"/><Relationship Id="rId3164" Type="http://schemas.openxmlformats.org/officeDocument/2006/relationships/hyperlink" Target="https://enzyme.expasy.org/EC/6.3.5.5" TargetMode="External"/><Relationship Id="rId292" Type="http://schemas.openxmlformats.org/officeDocument/2006/relationships/hyperlink" Target="https://www.genome.jp/entry/C00206" TargetMode="External"/><Relationship Id="rId1809" Type="http://schemas.openxmlformats.org/officeDocument/2006/relationships/hyperlink" Target="https://enzyme.expasy.org/EC/3.1.3.5" TargetMode="External"/><Relationship Id="rId2180" Type="http://schemas.openxmlformats.org/officeDocument/2006/relationships/hyperlink" Target="https://www.genome.jp/entry/C03078" TargetMode="External"/><Relationship Id="rId3024" Type="http://schemas.openxmlformats.org/officeDocument/2006/relationships/hyperlink" Target="https://enzyme.expasy.org/EC/6.3.2.4" TargetMode="External"/><Relationship Id="rId152" Type="http://schemas.openxmlformats.org/officeDocument/2006/relationships/hyperlink" Target="https://www.genome.jp/entry/C00966" TargetMode="External"/><Relationship Id="rId2040" Type="http://schemas.openxmlformats.org/officeDocument/2006/relationships/hyperlink" Target="https://www.genome.jp/entry/G01977" TargetMode="External"/><Relationship Id="rId2997" Type="http://schemas.openxmlformats.org/officeDocument/2006/relationships/hyperlink" Target="https://www.genome.jp/entry/C15972" TargetMode="External"/><Relationship Id="rId969" Type="http://schemas.openxmlformats.org/officeDocument/2006/relationships/hyperlink" Target="https://www.genome.jp/entry/C02876" TargetMode="External"/><Relationship Id="rId1599" Type="http://schemas.openxmlformats.org/officeDocument/2006/relationships/hyperlink" Target="https://www.genome.jp/entry/C00013" TargetMode="External"/><Relationship Id="rId1459" Type="http://schemas.openxmlformats.org/officeDocument/2006/relationships/hyperlink" Target="https://enzyme.expasy.org/EC/2.7.4.6" TargetMode="External"/><Relationship Id="rId2857" Type="http://schemas.openxmlformats.org/officeDocument/2006/relationships/hyperlink" Target="https://www.genome.jp/entry/C00002" TargetMode="External"/><Relationship Id="rId98" Type="http://schemas.openxmlformats.org/officeDocument/2006/relationships/hyperlink" Target="https://www.genome.jp/entry/C01271" TargetMode="External"/><Relationship Id="rId829" Type="http://schemas.openxmlformats.org/officeDocument/2006/relationships/hyperlink" Target="https://enzyme.expasy.org/EC/2.3.1.16" TargetMode="External"/><Relationship Id="rId1666" Type="http://schemas.openxmlformats.org/officeDocument/2006/relationships/hyperlink" Target="https://www.genome.jp/entry/C19080" TargetMode="External"/><Relationship Id="rId1873" Type="http://schemas.openxmlformats.org/officeDocument/2006/relationships/hyperlink" Target="https://www.genome.jp/entry/C02336" TargetMode="External"/><Relationship Id="rId2717" Type="http://schemas.openxmlformats.org/officeDocument/2006/relationships/hyperlink" Target="https://enzyme.expasy.org/EC/5.3.1.8" TargetMode="External"/><Relationship Id="rId2924" Type="http://schemas.openxmlformats.org/officeDocument/2006/relationships/hyperlink" Target="https://enzyme.expasy.org/EC/6.1.1.21" TargetMode="External"/><Relationship Id="rId1319" Type="http://schemas.openxmlformats.org/officeDocument/2006/relationships/hyperlink" Target="https://enzyme.expasy.org/EC/2.7.1.48" TargetMode="External"/><Relationship Id="rId1526" Type="http://schemas.openxmlformats.org/officeDocument/2006/relationships/hyperlink" Target="https://www.genome.jp/entry/C22442" TargetMode="External"/><Relationship Id="rId1733" Type="http://schemas.openxmlformats.org/officeDocument/2006/relationships/hyperlink" Target="https://www.genome.jp/entry/C03523" TargetMode="External"/><Relationship Id="rId1940" Type="http://schemas.openxmlformats.org/officeDocument/2006/relationships/hyperlink" Target="https://www.genome.jp/entry/C05404" TargetMode="External"/><Relationship Id="rId25" Type="http://schemas.openxmlformats.org/officeDocument/2006/relationships/hyperlink" Target="https://www.genome.jp/entry/C00084" TargetMode="External"/><Relationship Id="rId1800" Type="http://schemas.openxmlformats.org/officeDocument/2006/relationships/hyperlink" Target="https://www.genome.jp/entry/C00364" TargetMode="External"/><Relationship Id="rId479" Type="http://schemas.openxmlformats.org/officeDocument/2006/relationships/hyperlink" Target="https://www.genome.jp/entry/C00101" TargetMode="External"/><Relationship Id="rId686" Type="http://schemas.openxmlformats.org/officeDocument/2006/relationships/hyperlink" Target="https://www.genome.jp/entry/C00169" TargetMode="External"/><Relationship Id="rId893" Type="http://schemas.openxmlformats.org/officeDocument/2006/relationships/hyperlink" Target="https://www.genome.jp/entry/C05755" TargetMode="External"/><Relationship Id="rId2367" Type="http://schemas.openxmlformats.org/officeDocument/2006/relationships/hyperlink" Target="https://enzyme.expasy.org/EC/4.1.1.49" TargetMode="External"/><Relationship Id="rId2574" Type="http://schemas.openxmlformats.org/officeDocument/2006/relationships/hyperlink" Target="https://www.genome.jp/entry/C22395" TargetMode="External"/><Relationship Id="rId2781" Type="http://schemas.openxmlformats.org/officeDocument/2006/relationships/hyperlink" Target="https://www.genome.jp/entry/C00663" TargetMode="External"/><Relationship Id="rId339" Type="http://schemas.openxmlformats.org/officeDocument/2006/relationships/hyperlink" Target="https://www.genome.jp/entry/C00044" TargetMode="External"/><Relationship Id="rId546" Type="http://schemas.openxmlformats.org/officeDocument/2006/relationships/hyperlink" Target="https://www.genome.jp/entry/C00006" TargetMode="External"/><Relationship Id="rId753" Type="http://schemas.openxmlformats.org/officeDocument/2006/relationships/hyperlink" Target="https://www.genome.jp/entry/C00010" TargetMode="External"/><Relationship Id="rId1176" Type="http://schemas.openxmlformats.org/officeDocument/2006/relationships/hyperlink" Target="https://enzyme.expasy.org/EC/2.7.1.15" TargetMode="External"/><Relationship Id="rId1383" Type="http://schemas.openxmlformats.org/officeDocument/2006/relationships/hyperlink" Target="https://www.genome.jp/entry/C00008" TargetMode="External"/><Relationship Id="rId2227" Type="http://schemas.openxmlformats.org/officeDocument/2006/relationships/hyperlink" Target="https://www.genome.jp/entry/C20451" TargetMode="External"/><Relationship Id="rId2434" Type="http://schemas.openxmlformats.org/officeDocument/2006/relationships/hyperlink" Target="https://www.genome.jp/entry/C04666" TargetMode="External"/><Relationship Id="rId2879" Type="http://schemas.openxmlformats.org/officeDocument/2006/relationships/hyperlink" Target="https://www.genome.jp/entry/C00020" TargetMode="External"/><Relationship Id="rId101" Type="http://schemas.openxmlformats.org/officeDocument/2006/relationships/hyperlink" Target="https://enzyme.expasy.org/EC/1.1.1.100" TargetMode="External"/><Relationship Id="rId406" Type="http://schemas.openxmlformats.org/officeDocument/2006/relationships/hyperlink" Target="https://enzyme.expasy.org/EC/1.3.98.1" TargetMode="External"/><Relationship Id="rId960" Type="http://schemas.openxmlformats.org/officeDocument/2006/relationships/hyperlink" Target="https://www.genome.jp/entry/C00100" TargetMode="External"/><Relationship Id="rId1036" Type="http://schemas.openxmlformats.org/officeDocument/2006/relationships/hyperlink" Target="https://enzyme.expasy.org/EC/2.4.2.2" TargetMode="External"/><Relationship Id="rId1243" Type="http://schemas.openxmlformats.org/officeDocument/2006/relationships/hyperlink" Target="https://www.genome.jp/entry/C00002" TargetMode="External"/><Relationship Id="rId1590" Type="http://schemas.openxmlformats.org/officeDocument/2006/relationships/hyperlink" Target="https://enzyme.expasy.org/EC/2.7.7.6" TargetMode="External"/><Relationship Id="rId1688" Type="http://schemas.openxmlformats.org/officeDocument/2006/relationships/hyperlink" Target="https://www.genome.jp/entry/C00105" TargetMode="External"/><Relationship Id="rId1895" Type="http://schemas.openxmlformats.org/officeDocument/2006/relationships/hyperlink" Target="https://www.genome.jp/entry/C00001" TargetMode="External"/><Relationship Id="rId2641" Type="http://schemas.openxmlformats.org/officeDocument/2006/relationships/hyperlink" Target="https://www.genome.jp/entry/C00231" TargetMode="External"/><Relationship Id="rId2739" Type="http://schemas.openxmlformats.org/officeDocument/2006/relationships/hyperlink" Target="https://www.genome.jp/entry/C01172" TargetMode="External"/><Relationship Id="rId2946" Type="http://schemas.openxmlformats.org/officeDocument/2006/relationships/hyperlink" Target="https://www.genome.jp/entry/C00002" TargetMode="External"/><Relationship Id="rId613" Type="http://schemas.openxmlformats.org/officeDocument/2006/relationships/hyperlink" Target="https://enzyme.expasy.org/EC/2.1.1.222" TargetMode="External"/><Relationship Id="rId820" Type="http://schemas.openxmlformats.org/officeDocument/2006/relationships/hyperlink" Target="https://www.genome.jp/entry/C16331" TargetMode="External"/><Relationship Id="rId918" Type="http://schemas.openxmlformats.org/officeDocument/2006/relationships/hyperlink" Target="https://www.genome.jp/entry/C00024" TargetMode="External"/><Relationship Id="rId1450" Type="http://schemas.openxmlformats.org/officeDocument/2006/relationships/hyperlink" Target="https://www.genome.jp/entry/C00002" TargetMode="External"/><Relationship Id="rId1548" Type="http://schemas.openxmlformats.org/officeDocument/2006/relationships/hyperlink" Target="https://www.genome.jp/entry/C00002" TargetMode="External"/><Relationship Id="rId1755" Type="http://schemas.openxmlformats.org/officeDocument/2006/relationships/hyperlink" Target="https://www.genome.jp/entry/C03892" TargetMode="External"/><Relationship Id="rId2501" Type="http://schemas.openxmlformats.org/officeDocument/2006/relationships/hyperlink" Target="https://www.genome.jp/entry/C05757" TargetMode="External"/><Relationship Id="rId1103" Type="http://schemas.openxmlformats.org/officeDocument/2006/relationships/hyperlink" Target="https://enzyme.expasy.org/EC/2.5.1.7" TargetMode="External"/><Relationship Id="rId1310" Type="http://schemas.openxmlformats.org/officeDocument/2006/relationships/hyperlink" Target="https://www.genome.jp/entry/C00002" TargetMode="External"/><Relationship Id="rId1408" Type="http://schemas.openxmlformats.org/officeDocument/2006/relationships/hyperlink" Target="https://www.genome.jp/entry/C00008" TargetMode="External"/><Relationship Id="rId1962" Type="http://schemas.openxmlformats.org/officeDocument/2006/relationships/hyperlink" Target="https://www.genome.jp/entry/G00249" TargetMode="External"/><Relationship Id="rId2806" Type="http://schemas.openxmlformats.org/officeDocument/2006/relationships/hyperlink" Target="https://www.genome.jp/entry/C00052" TargetMode="External"/><Relationship Id="rId47" Type="http://schemas.openxmlformats.org/officeDocument/2006/relationships/hyperlink" Target="https://www.genome.jp/entry/C05444" TargetMode="External"/><Relationship Id="rId1615" Type="http://schemas.openxmlformats.org/officeDocument/2006/relationships/hyperlink" Target="https://enzyme.expasy.org/EC/2.7.7.61" TargetMode="External"/><Relationship Id="rId1822" Type="http://schemas.openxmlformats.org/officeDocument/2006/relationships/hyperlink" Target="https://www.genome.jp/entry/C05841" TargetMode="External"/><Relationship Id="rId3068" Type="http://schemas.openxmlformats.org/officeDocument/2006/relationships/hyperlink" Target="https://www.genome.jp/entry/C00013" TargetMode="External"/><Relationship Id="rId196" Type="http://schemas.openxmlformats.org/officeDocument/2006/relationships/hyperlink" Target="https://www.genome.jp/entry/C00493" TargetMode="External"/><Relationship Id="rId2084" Type="http://schemas.openxmlformats.org/officeDocument/2006/relationships/hyperlink" Target="https://enzyme.expasy.org/EC/3.2.1.26" TargetMode="External"/><Relationship Id="rId2291" Type="http://schemas.openxmlformats.org/officeDocument/2006/relationships/hyperlink" Target="https://www.genome.jp/entry/C17556" TargetMode="External"/><Relationship Id="rId3135" Type="http://schemas.openxmlformats.org/officeDocument/2006/relationships/hyperlink" Target="https://www.genome.jp/entry/C00002" TargetMode="External"/><Relationship Id="rId263" Type="http://schemas.openxmlformats.org/officeDocument/2006/relationships/hyperlink" Target="https://www.genome.jp/entry/C00356" TargetMode="External"/><Relationship Id="rId470" Type="http://schemas.openxmlformats.org/officeDocument/2006/relationships/hyperlink" Target="https://enzyme.expasy.org/EC/1.5.1.20" TargetMode="External"/><Relationship Id="rId2151" Type="http://schemas.openxmlformats.org/officeDocument/2006/relationships/hyperlink" Target="https://www.genome.jp/entry/C00819" TargetMode="External"/><Relationship Id="rId2389" Type="http://schemas.openxmlformats.org/officeDocument/2006/relationships/hyperlink" Target="https://www.genome.jp/entry/C00673" TargetMode="External"/><Relationship Id="rId2596" Type="http://schemas.openxmlformats.org/officeDocument/2006/relationships/hyperlink" Target="https://www.genome.jp/entry/C00155" TargetMode="External"/><Relationship Id="rId123" Type="http://schemas.openxmlformats.org/officeDocument/2006/relationships/hyperlink" Target="https://www.genome.jp/entry/C04688" TargetMode="External"/><Relationship Id="rId330" Type="http://schemas.openxmlformats.org/officeDocument/2006/relationships/hyperlink" Target="https://enzyme.expasy.org/EC/1.17.4.2" TargetMode="External"/><Relationship Id="rId568" Type="http://schemas.openxmlformats.org/officeDocument/2006/relationships/hyperlink" Target="https://enzyme.expasy.org/EC/1.8.4.11" TargetMode="External"/><Relationship Id="rId775" Type="http://schemas.openxmlformats.org/officeDocument/2006/relationships/hyperlink" Target="https://www.genome.jp/entry/C01832" TargetMode="External"/><Relationship Id="rId982" Type="http://schemas.openxmlformats.org/officeDocument/2006/relationships/hyperlink" Target="https://www.genome.jp/entry/C00369" TargetMode="External"/><Relationship Id="rId1198" Type="http://schemas.openxmlformats.org/officeDocument/2006/relationships/hyperlink" Target="https://www.genome.jp/entry/C00002" TargetMode="External"/><Relationship Id="rId2011" Type="http://schemas.openxmlformats.org/officeDocument/2006/relationships/hyperlink" Target="https://www.genome.jp/entry/C05403" TargetMode="External"/><Relationship Id="rId2249" Type="http://schemas.openxmlformats.org/officeDocument/2006/relationships/hyperlink" Target="https://www.genome.jp/entry/C16635" TargetMode="External"/><Relationship Id="rId2456" Type="http://schemas.openxmlformats.org/officeDocument/2006/relationships/hyperlink" Target="https://www.genome.jp/entry/C04287" TargetMode="External"/><Relationship Id="rId2663" Type="http://schemas.openxmlformats.org/officeDocument/2006/relationships/hyperlink" Target="https://www.genome.jp/entry/C03798" TargetMode="External"/><Relationship Id="rId2870" Type="http://schemas.openxmlformats.org/officeDocument/2006/relationships/hyperlink" Target="https://enzyme.expasy.org/EC/6.1.1.13" TargetMode="External"/><Relationship Id="rId428" Type="http://schemas.openxmlformats.org/officeDocument/2006/relationships/hyperlink" Target="https://www.genome.jp/entry/C05167" TargetMode="External"/><Relationship Id="rId635" Type="http://schemas.openxmlformats.org/officeDocument/2006/relationships/hyperlink" Target="https://www.genome.jp/entry/C00415" TargetMode="External"/><Relationship Id="rId842" Type="http://schemas.openxmlformats.org/officeDocument/2006/relationships/hyperlink" Target="https://www.genome.jp/entry/C03069" TargetMode="External"/><Relationship Id="rId1058" Type="http://schemas.openxmlformats.org/officeDocument/2006/relationships/hyperlink" Target="https://www.genome.jp/entry/C00020" TargetMode="External"/><Relationship Id="rId1265" Type="http://schemas.openxmlformats.org/officeDocument/2006/relationships/hyperlink" Target="https://www.genome.jp/entry/C00002" TargetMode="External"/><Relationship Id="rId1472" Type="http://schemas.openxmlformats.org/officeDocument/2006/relationships/hyperlink" Target="https://www.genome.jp/entry/C00008" TargetMode="External"/><Relationship Id="rId2109" Type="http://schemas.openxmlformats.org/officeDocument/2006/relationships/hyperlink" Target="https://enzyme.expasy.org/EC/3.2.1.86" TargetMode="External"/><Relationship Id="rId2316" Type="http://schemas.openxmlformats.org/officeDocument/2006/relationships/hyperlink" Target="https://www.genome.jp/entry/C00022" TargetMode="External"/><Relationship Id="rId2523" Type="http://schemas.openxmlformats.org/officeDocument/2006/relationships/hyperlink" Target="https://www.genome.jp/entry/C00065" TargetMode="External"/><Relationship Id="rId2730" Type="http://schemas.openxmlformats.org/officeDocument/2006/relationships/hyperlink" Target="https://www.genome.jp/entry/C01172" TargetMode="External"/><Relationship Id="rId2968" Type="http://schemas.openxmlformats.org/officeDocument/2006/relationships/hyperlink" Target="https://www.genome.jp/entry/C00008" TargetMode="External"/><Relationship Id="rId702" Type="http://schemas.openxmlformats.org/officeDocument/2006/relationships/hyperlink" Target="https://www.genome.jp/entry/C06006" TargetMode="External"/><Relationship Id="rId1125" Type="http://schemas.openxmlformats.org/officeDocument/2006/relationships/hyperlink" Target="https://enzyme.expasy.org/EC/2.6.1.9" TargetMode="External"/><Relationship Id="rId1332" Type="http://schemas.openxmlformats.org/officeDocument/2006/relationships/hyperlink" Target="https://www.genome.jp/entry/C00008" TargetMode="External"/><Relationship Id="rId1777" Type="http://schemas.openxmlformats.org/officeDocument/2006/relationships/hyperlink" Target="https://www.genome.jp/entry/C00294" TargetMode="External"/><Relationship Id="rId1984" Type="http://schemas.openxmlformats.org/officeDocument/2006/relationships/hyperlink" Target="https://enzyme.expasy.org/EC/3.2.1.22" TargetMode="External"/><Relationship Id="rId2828" Type="http://schemas.openxmlformats.org/officeDocument/2006/relationships/hyperlink" Target="https://www.genome.jp/entry/C00020" TargetMode="External"/><Relationship Id="rId69" Type="http://schemas.openxmlformats.org/officeDocument/2006/relationships/hyperlink" Target="https://www.genome.jp/entry/C07490" TargetMode="External"/><Relationship Id="rId1637" Type="http://schemas.openxmlformats.org/officeDocument/2006/relationships/hyperlink" Target="https://www.genome.jp/entry/C00459" TargetMode="External"/><Relationship Id="rId1844" Type="http://schemas.openxmlformats.org/officeDocument/2006/relationships/hyperlink" Target="https://enzyme.expasy.org/EC/3.1.6.1" TargetMode="External"/><Relationship Id="rId1704" Type="http://schemas.openxmlformats.org/officeDocument/2006/relationships/hyperlink" Target="https://www.genome.jp/entry/C00054" TargetMode="External"/><Relationship Id="rId3157" Type="http://schemas.openxmlformats.org/officeDocument/2006/relationships/hyperlink" Target="https://www.genome.jp/entry/C00008" TargetMode="External"/><Relationship Id="rId285" Type="http://schemas.openxmlformats.org/officeDocument/2006/relationships/hyperlink" Target="https://enzyme.expasy.org/EC/1.17.1.8" TargetMode="External"/><Relationship Id="rId1911" Type="http://schemas.openxmlformats.org/officeDocument/2006/relationships/hyperlink" Target="https://www.genome.jp/entry/C01613" TargetMode="External"/><Relationship Id="rId492" Type="http://schemas.openxmlformats.org/officeDocument/2006/relationships/hyperlink" Target="https://www.genome.jp/entry/C00415" TargetMode="External"/><Relationship Id="rId797" Type="http://schemas.openxmlformats.org/officeDocument/2006/relationships/hyperlink" Target="https://www.genome.jp/entry/C00010" TargetMode="External"/><Relationship Id="rId2173" Type="http://schemas.openxmlformats.org/officeDocument/2006/relationships/hyperlink" Target="https://www.genome.jp/entry/C07086" TargetMode="External"/><Relationship Id="rId2380" Type="http://schemas.openxmlformats.org/officeDocument/2006/relationships/hyperlink" Target="https://www.genome.jp/entry/C00111" TargetMode="External"/><Relationship Id="rId2478" Type="http://schemas.openxmlformats.org/officeDocument/2006/relationships/hyperlink" Target="https://www.genome.jp/entry/C04246" TargetMode="External"/><Relationship Id="rId3017" Type="http://schemas.openxmlformats.org/officeDocument/2006/relationships/hyperlink" Target="https://www.genome.jp/entry/C00008" TargetMode="External"/><Relationship Id="rId145" Type="http://schemas.openxmlformats.org/officeDocument/2006/relationships/hyperlink" Target="https://www.genome.jp/entry/C20376" TargetMode="External"/><Relationship Id="rId352" Type="http://schemas.openxmlformats.org/officeDocument/2006/relationships/hyperlink" Target="https://www.genome.jp/entry/C00677" TargetMode="External"/><Relationship Id="rId1287" Type="http://schemas.openxmlformats.org/officeDocument/2006/relationships/hyperlink" Target="https://www.genome.jp/entry/C00104" TargetMode="External"/><Relationship Id="rId2033" Type="http://schemas.openxmlformats.org/officeDocument/2006/relationships/hyperlink" Target="https://www.genome.jp/entry/G00109" TargetMode="External"/><Relationship Id="rId2240" Type="http://schemas.openxmlformats.org/officeDocument/2006/relationships/hyperlink" Target="https://www.genome.jp/entry/C00475" TargetMode="External"/><Relationship Id="rId2685" Type="http://schemas.openxmlformats.org/officeDocument/2006/relationships/hyperlink" Target="https://www.genome.jp/entry/C00085" TargetMode="External"/><Relationship Id="rId2892" Type="http://schemas.openxmlformats.org/officeDocument/2006/relationships/hyperlink" Target="https://www.genome.jp/entry/C00002" TargetMode="External"/><Relationship Id="rId212" Type="http://schemas.openxmlformats.org/officeDocument/2006/relationships/hyperlink" Target="https://www.genome.jp/entry/C11638" TargetMode="External"/><Relationship Id="rId657" Type="http://schemas.openxmlformats.org/officeDocument/2006/relationships/hyperlink" Target="https://www.genome.jp/entry/C00065" TargetMode="External"/><Relationship Id="rId864" Type="http://schemas.openxmlformats.org/officeDocument/2006/relationships/hyperlink" Target="https://enzyme.expasy.org/EC/2.3.1.179" TargetMode="External"/><Relationship Id="rId1494" Type="http://schemas.openxmlformats.org/officeDocument/2006/relationships/hyperlink" Target="https://enzyme.expasy.org/EC/2.7.4.6" TargetMode="External"/><Relationship Id="rId1799" Type="http://schemas.openxmlformats.org/officeDocument/2006/relationships/hyperlink" Target="https://enzyme.expasy.org/EC/3.1.3.5" TargetMode="External"/><Relationship Id="rId2100" Type="http://schemas.openxmlformats.org/officeDocument/2006/relationships/hyperlink" Target="https://www.genome.jp/entry/C06187" TargetMode="External"/><Relationship Id="rId2338" Type="http://schemas.openxmlformats.org/officeDocument/2006/relationships/hyperlink" Target="https://www.genome.jp/entry/C04751" TargetMode="External"/><Relationship Id="rId2545" Type="http://schemas.openxmlformats.org/officeDocument/2006/relationships/hyperlink" Target="https://www.genome.jp/entry/C00022" TargetMode="External"/><Relationship Id="rId2752" Type="http://schemas.openxmlformats.org/officeDocument/2006/relationships/hyperlink" Target="https://www.genome.jp/entry/C07478" TargetMode="External"/><Relationship Id="rId517" Type="http://schemas.openxmlformats.org/officeDocument/2006/relationships/hyperlink" Target="https://www.genome.jp/entry/C00445" TargetMode="External"/><Relationship Id="rId724" Type="http://schemas.openxmlformats.org/officeDocument/2006/relationships/hyperlink" Target="https://enzyme.expasy.org/EC/2.2.1.6" TargetMode="External"/><Relationship Id="rId931" Type="http://schemas.openxmlformats.org/officeDocument/2006/relationships/hyperlink" Target="https://www.genome.jp/entry/C00010" TargetMode="External"/><Relationship Id="rId1147" Type="http://schemas.openxmlformats.org/officeDocument/2006/relationships/hyperlink" Target="https://www.genome.jp/entry/C00063" TargetMode="External"/><Relationship Id="rId1354" Type="http://schemas.openxmlformats.org/officeDocument/2006/relationships/hyperlink" Target="https://enzyme.expasy.org/EC/2.7.10.2" TargetMode="External"/><Relationship Id="rId1561" Type="http://schemas.openxmlformats.org/officeDocument/2006/relationships/hyperlink" Target="https://www.genome.jp/entry/C00013" TargetMode="External"/><Relationship Id="rId2405" Type="http://schemas.openxmlformats.org/officeDocument/2006/relationships/hyperlink" Target="https://www.genome.jp/entry/C06019" TargetMode="External"/><Relationship Id="rId2612" Type="http://schemas.openxmlformats.org/officeDocument/2006/relationships/hyperlink" Target="https://enzyme.expasy.org/EC/4.4.1.13" TargetMode="External"/><Relationship Id="rId60" Type="http://schemas.openxmlformats.org/officeDocument/2006/relationships/hyperlink" Target="https://www.genome.jp/entry/C06613" TargetMode="External"/><Relationship Id="rId1007" Type="http://schemas.openxmlformats.org/officeDocument/2006/relationships/hyperlink" Target="https://enzyme.expasy.org/EC/2.4.1.227" TargetMode="External"/><Relationship Id="rId1214" Type="http://schemas.openxmlformats.org/officeDocument/2006/relationships/hyperlink" Target="https://www.genome.jp/entry/C00008" TargetMode="External"/><Relationship Id="rId1421" Type="http://schemas.openxmlformats.org/officeDocument/2006/relationships/hyperlink" Target="https://www.genome.jp/entry/C00002" TargetMode="External"/><Relationship Id="rId1659" Type="http://schemas.openxmlformats.org/officeDocument/2006/relationships/hyperlink" Target="https://www.genome.jp/entry/C19078" TargetMode="External"/><Relationship Id="rId1866" Type="http://schemas.openxmlformats.org/officeDocument/2006/relationships/hyperlink" Target="https://www.genome.jp/entry/C00089" TargetMode="External"/><Relationship Id="rId2917" Type="http://schemas.openxmlformats.org/officeDocument/2006/relationships/hyperlink" Target="https://www.genome.jp/entry/C00020" TargetMode="External"/><Relationship Id="rId3081" Type="http://schemas.openxmlformats.org/officeDocument/2006/relationships/hyperlink" Target="https://www.genome.jp/entry/C19722" TargetMode="External"/><Relationship Id="rId1519" Type="http://schemas.openxmlformats.org/officeDocument/2006/relationships/hyperlink" Target="https://www.genome.jp/entry/C00002" TargetMode="External"/><Relationship Id="rId1726" Type="http://schemas.openxmlformats.org/officeDocument/2006/relationships/hyperlink" Target="https://www.genome.jp/entry/C00024" TargetMode="External"/><Relationship Id="rId1933" Type="http://schemas.openxmlformats.org/officeDocument/2006/relationships/hyperlink" Target="https://www.genome.jp/entry/C00124" TargetMode="External"/><Relationship Id="rId3179" Type="http://schemas.openxmlformats.org/officeDocument/2006/relationships/hyperlink" Target="https://enzyme.expasy.org/EC/6.4.1.2" TargetMode="External"/><Relationship Id="rId18" Type="http://schemas.openxmlformats.org/officeDocument/2006/relationships/hyperlink" Target="https://www.genome.jp/entry/C00418" TargetMode="External"/><Relationship Id="rId2195" Type="http://schemas.openxmlformats.org/officeDocument/2006/relationships/hyperlink" Target="https://www.genome.jp/entry/C09815" TargetMode="External"/><Relationship Id="rId3039" Type="http://schemas.openxmlformats.org/officeDocument/2006/relationships/hyperlink" Target="https://enzyme.expasy.org/EC/6.3.2.8" TargetMode="External"/><Relationship Id="rId167" Type="http://schemas.openxmlformats.org/officeDocument/2006/relationships/hyperlink" Target="https://www.genome.jp/entry/C00691" TargetMode="External"/><Relationship Id="rId374" Type="http://schemas.openxmlformats.org/officeDocument/2006/relationships/hyperlink" Target="https://www.genome.jp/entry/C03287" TargetMode="External"/><Relationship Id="rId581" Type="http://schemas.openxmlformats.org/officeDocument/2006/relationships/hyperlink" Target="https://www.genome.jp/entry/C05198" TargetMode="External"/><Relationship Id="rId2055" Type="http://schemas.openxmlformats.org/officeDocument/2006/relationships/hyperlink" Target="https://www.genome.jp/entry/G10531" TargetMode="External"/><Relationship Id="rId2262" Type="http://schemas.openxmlformats.org/officeDocument/2006/relationships/hyperlink" Target="https://enzyme.expasy.org/EC/3.5.99.2" TargetMode="External"/><Relationship Id="rId3106" Type="http://schemas.openxmlformats.org/officeDocument/2006/relationships/hyperlink" Target="https://www.genome.jp/entry/C00044" TargetMode="External"/><Relationship Id="rId234" Type="http://schemas.openxmlformats.org/officeDocument/2006/relationships/hyperlink" Target="https://enzyme.expasy.org/EC/1.1.1.3" TargetMode="External"/><Relationship Id="rId679" Type="http://schemas.openxmlformats.org/officeDocument/2006/relationships/hyperlink" Target="https://www.genome.jp/entry/C00101" TargetMode="External"/><Relationship Id="rId886" Type="http://schemas.openxmlformats.org/officeDocument/2006/relationships/hyperlink" Target="https://www.genome.jp/entry/C05750" TargetMode="External"/><Relationship Id="rId2567" Type="http://schemas.openxmlformats.org/officeDocument/2006/relationships/hyperlink" Target="https://enzyme.expasy.org/EC/4.3.2.2" TargetMode="External"/><Relationship Id="rId2774" Type="http://schemas.openxmlformats.org/officeDocument/2006/relationships/hyperlink" Target="https://www.genome.jp/entry/C01172" TargetMode="External"/><Relationship Id="rId2" Type="http://schemas.openxmlformats.org/officeDocument/2006/relationships/hyperlink" Target="https://www.genome.jp/entry/C00114" TargetMode="External"/><Relationship Id="rId441" Type="http://schemas.openxmlformats.org/officeDocument/2006/relationships/hyperlink" Target="https://www.genome.jp/entry/C00250" TargetMode="External"/><Relationship Id="rId539" Type="http://schemas.openxmlformats.org/officeDocument/2006/relationships/hyperlink" Target="https://www.genome.jp/entry/C16832" TargetMode="External"/><Relationship Id="rId746" Type="http://schemas.openxmlformats.org/officeDocument/2006/relationships/hyperlink" Target="https://www.genome.jp/entry/C00024" TargetMode="External"/><Relationship Id="rId1071" Type="http://schemas.openxmlformats.org/officeDocument/2006/relationships/hyperlink" Target="https://enzyme.expasy.org/EC/2.5.1.17" TargetMode="External"/><Relationship Id="rId1169" Type="http://schemas.openxmlformats.org/officeDocument/2006/relationships/hyperlink" Target="https://www.genome.jp/entry/C11435" TargetMode="External"/><Relationship Id="rId1376" Type="http://schemas.openxmlformats.org/officeDocument/2006/relationships/hyperlink" Target="https://www.genome.jp/entry/C00002" TargetMode="External"/><Relationship Id="rId1583" Type="http://schemas.openxmlformats.org/officeDocument/2006/relationships/hyperlink" Target="https://www.genome.jp/entry/C00013" TargetMode="External"/><Relationship Id="rId2122" Type="http://schemas.openxmlformats.org/officeDocument/2006/relationships/hyperlink" Target="https://www.genome.jp/entry/C00031" TargetMode="External"/><Relationship Id="rId2427" Type="http://schemas.openxmlformats.org/officeDocument/2006/relationships/hyperlink" Target="https://enzyme.expasy.org/EC/4.2.1.113" TargetMode="External"/><Relationship Id="rId2981" Type="http://schemas.openxmlformats.org/officeDocument/2006/relationships/hyperlink" Target="https://www.genome.jp/entry/C00002" TargetMode="External"/><Relationship Id="rId301" Type="http://schemas.openxmlformats.org/officeDocument/2006/relationships/hyperlink" Target="https://www.genome.jp/entry/C00705" TargetMode="External"/><Relationship Id="rId953" Type="http://schemas.openxmlformats.org/officeDocument/2006/relationships/hyperlink" Target="https://www.genome.jp/entry/C00024" TargetMode="External"/><Relationship Id="rId1029" Type="http://schemas.openxmlformats.org/officeDocument/2006/relationships/hyperlink" Target="https://www.genome.jp/entry/C00108" TargetMode="External"/><Relationship Id="rId1236" Type="http://schemas.openxmlformats.org/officeDocument/2006/relationships/hyperlink" Target="https://enzyme.expasy.org/EC/2.7.1.30" TargetMode="External"/><Relationship Id="rId1790" Type="http://schemas.openxmlformats.org/officeDocument/2006/relationships/hyperlink" Target="https://www.genome.jp/entry/C00360" TargetMode="External"/><Relationship Id="rId1888" Type="http://schemas.openxmlformats.org/officeDocument/2006/relationships/hyperlink" Target="https://www.genome.jp/entry/C00095" TargetMode="External"/><Relationship Id="rId2634" Type="http://schemas.openxmlformats.org/officeDocument/2006/relationships/hyperlink" Target="https://www.genome.jp/entry/C00666" TargetMode="External"/><Relationship Id="rId2841" Type="http://schemas.openxmlformats.org/officeDocument/2006/relationships/hyperlink" Target="https://www.genome.jp/entry/C01638" TargetMode="External"/><Relationship Id="rId2939" Type="http://schemas.openxmlformats.org/officeDocument/2006/relationships/hyperlink" Target="https://enzyme.expasy.org/EC/6.1.1.4" TargetMode="External"/><Relationship Id="rId82" Type="http://schemas.openxmlformats.org/officeDocument/2006/relationships/hyperlink" Target="https://www.genome.jp/entry/C16310" TargetMode="External"/><Relationship Id="rId606" Type="http://schemas.openxmlformats.org/officeDocument/2006/relationships/hyperlink" Target="https://www.genome.jp/entry/C00021" TargetMode="External"/><Relationship Id="rId813" Type="http://schemas.openxmlformats.org/officeDocument/2006/relationships/hyperlink" Target="https://www.genome.jp/entry/C00010" TargetMode="External"/><Relationship Id="rId1443" Type="http://schemas.openxmlformats.org/officeDocument/2006/relationships/hyperlink" Target="https://www.genome.jp/entry/C00008" TargetMode="External"/><Relationship Id="rId1650" Type="http://schemas.openxmlformats.org/officeDocument/2006/relationships/hyperlink" Target="https://enzyme.expasy.org/EC/2.7.7.72" TargetMode="External"/><Relationship Id="rId1748" Type="http://schemas.openxmlformats.org/officeDocument/2006/relationships/hyperlink" Target="https://www.genome.jp/entry/C05382" TargetMode="External"/><Relationship Id="rId2701" Type="http://schemas.openxmlformats.org/officeDocument/2006/relationships/hyperlink" Target="https://www.genome.jp/entry/C00199" TargetMode="External"/><Relationship Id="rId1303" Type="http://schemas.openxmlformats.org/officeDocument/2006/relationships/hyperlink" Target="https://www.genome.jp/entry/C00361" TargetMode="External"/><Relationship Id="rId1510" Type="http://schemas.openxmlformats.org/officeDocument/2006/relationships/hyperlink" Target="https://www.genome.jp/entry/C00002" TargetMode="External"/><Relationship Id="rId1955" Type="http://schemas.openxmlformats.org/officeDocument/2006/relationships/hyperlink" Target="https://www.genome.jp/entry/G00249" TargetMode="External"/><Relationship Id="rId3170" Type="http://schemas.openxmlformats.org/officeDocument/2006/relationships/hyperlink" Target="https://www.genome.jp/entry/C00014" TargetMode="External"/><Relationship Id="rId1608" Type="http://schemas.openxmlformats.org/officeDocument/2006/relationships/hyperlink" Target="https://www.genome.jp/entry/C00013" TargetMode="External"/><Relationship Id="rId1815" Type="http://schemas.openxmlformats.org/officeDocument/2006/relationships/hyperlink" Target="https://www.genome.jp/entry/C00655" TargetMode="External"/><Relationship Id="rId3030" Type="http://schemas.openxmlformats.org/officeDocument/2006/relationships/hyperlink" Target="https://www.genome.jp/entry/C00002" TargetMode="External"/><Relationship Id="rId189" Type="http://schemas.openxmlformats.org/officeDocument/2006/relationships/hyperlink" Target="https://enzyme.expasy.org/EC/1.1.1.23" TargetMode="External"/><Relationship Id="rId396" Type="http://schemas.openxmlformats.org/officeDocument/2006/relationships/hyperlink" Target="https://enzyme.expasy.org/EC/1.3.1.98" TargetMode="External"/><Relationship Id="rId2077" Type="http://schemas.openxmlformats.org/officeDocument/2006/relationships/hyperlink" Target="https://www.genome.jp/entry/C00095" TargetMode="External"/><Relationship Id="rId2284" Type="http://schemas.openxmlformats.org/officeDocument/2006/relationships/hyperlink" Target="https://www.genome.jp/entry/C04494" TargetMode="External"/><Relationship Id="rId2491" Type="http://schemas.openxmlformats.org/officeDocument/2006/relationships/hyperlink" Target="https://www.genome.jp/entry/C05763" TargetMode="External"/><Relationship Id="rId3128" Type="http://schemas.openxmlformats.org/officeDocument/2006/relationships/hyperlink" Target="https://www.genome.jp/entry/C00008" TargetMode="External"/><Relationship Id="rId256" Type="http://schemas.openxmlformats.org/officeDocument/2006/relationships/hyperlink" Target="https://www.genome.jp/entry/C01172" TargetMode="External"/><Relationship Id="rId463" Type="http://schemas.openxmlformats.org/officeDocument/2006/relationships/hyperlink" Target="https://www.genome.jp/entry/C04281" TargetMode="External"/><Relationship Id="rId670" Type="http://schemas.openxmlformats.org/officeDocument/2006/relationships/hyperlink" Target="https://enzyme.expasy.org/EC/2.1.2.2" TargetMode="External"/><Relationship Id="rId1093" Type="http://schemas.openxmlformats.org/officeDocument/2006/relationships/hyperlink" Target="https://enzyme.expasy.org/EC/2.5.1.47" TargetMode="External"/><Relationship Id="rId2144" Type="http://schemas.openxmlformats.org/officeDocument/2006/relationships/hyperlink" Target="https://enzyme.expasy.org/EC/3.5.1.2" TargetMode="External"/><Relationship Id="rId2351" Type="http://schemas.openxmlformats.org/officeDocument/2006/relationships/hyperlink" Target="https://www.genome.jp/entry/C00008" TargetMode="External"/><Relationship Id="rId2589" Type="http://schemas.openxmlformats.org/officeDocument/2006/relationships/hyperlink" Target="https://www.genome.jp/entry/C00491" TargetMode="External"/><Relationship Id="rId2796" Type="http://schemas.openxmlformats.org/officeDocument/2006/relationships/hyperlink" Target="https://www.genome.jp/entry/C15667" TargetMode="External"/><Relationship Id="rId116" Type="http://schemas.openxmlformats.org/officeDocument/2006/relationships/hyperlink" Target="https://enzyme.expasy.org/EC/1.1.1.100" TargetMode="External"/><Relationship Id="rId323" Type="http://schemas.openxmlformats.org/officeDocument/2006/relationships/hyperlink" Target="https://www.genome.jp/entry/C03723" TargetMode="External"/><Relationship Id="rId530" Type="http://schemas.openxmlformats.org/officeDocument/2006/relationships/hyperlink" Target="https://www.genome.jp/entry/C02972" TargetMode="External"/><Relationship Id="rId768" Type="http://schemas.openxmlformats.org/officeDocument/2006/relationships/hyperlink" Target="https://www.genome.jp/entry/C00010" TargetMode="External"/><Relationship Id="rId975" Type="http://schemas.openxmlformats.org/officeDocument/2006/relationships/hyperlink" Target="https://www.genome.jp/entry/C05539" TargetMode="External"/><Relationship Id="rId1160" Type="http://schemas.openxmlformats.org/officeDocument/2006/relationships/hyperlink" Target="https://enzyme.expasy.org/EC/2.7.1.12" TargetMode="External"/><Relationship Id="rId1398" Type="http://schemas.openxmlformats.org/officeDocument/2006/relationships/hyperlink" Target="https://www.genome.jp/entry/C00008" TargetMode="External"/><Relationship Id="rId2004" Type="http://schemas.openxmlformats.org/officeDocument/2006/relationships/hyperlink" Target="https://enzyme.expasy.org/EC/3.2.1.23" TargetMode="External"/><Relationship Id="rId2211" Type="http://schemas.openxmlformats.org/officeDocument/2006/relationships/hyperlink" Target="https://www.genome.jp/entry/C00337" TargetMode="External"/><Relationship Id="rId2449" Type="http://schemas.openxmlformats.org/officeDocument/2006/relationships/hyperlink" Target="https://www.genome.jp/entry/C00065" TargetMode="External"/><Relationship Id="rId2656" Type="http://schemas.openxmlformats.org/officeDocument/2006/relationships/hyperlink" Target="https://www.genome.jp/entry/C02097" TargetMode="External"/><Relationship Id="rId2863" Type="http://schemas.openxmlformats.org/officeDocument/2006/relationships/hyperlink" Target="https://www.genome.jp/entry/C00020" TargetMode="External"/><Relationship Id="rId628" Type="http://schemas.openxmlformats.org/officeDocument/2006/relationships/hyperlink" Target="https://www.genome.jp/entry/C00019" TargetMode="External"/><Relationship Id="rId835" Type="http://schemas.openxmlformats.org/officeDocument/2006/relationships/hyperlink" Target="https://www.genome.jp/entry/C16466" TargetMode="External"/><Relationship Id="rId1258" Type="http://schemas.openxmlformats.org/officeDocument/2006/relationships/hyperlink" Target="https://www.genome.jp/entry/C00008" TargetMode="External"/><Relationship Id="rId1465" Type="http://schemas.openxmlformats.org/officeDocument/2006/relationships/hyperlink" Target="https://www.genome.jp/entry/C00002" TargetMode="External"/><Relationship Id="rId1672" Type="http://schemas.openxmlformats.org/officeDocument/2006/relationships/hyperlink" Target="https://www.genome.jp/entry/C00002" TargetMode="External"/><Relationship Id="rId2309" Type="http://schemas.openxmlformats.org/officeDocument/2006/relationships/hyperlink" Target="https://www.genome.jp/entry/C00149" TargetMode="External"/><Relationship Id="rId2516" Type="http://schemas.openxmlformats.org/officeDocument/2006/relationships/hyperlink" Target="https://www.genome.jp/entry/C06056" TargetMode="External"/><Relationship Id="rId2723" Type="http://schemas.openxmlformats.org/officeDocument/2006/relationships/hyperlink" Target="https://www.genome.jp/entry/C00092" TargetMode="External"/><Relationship Id="rId1020" Type="http://schemas.openxmlformats.org/officeDocument/2006/relationships/hyperlink" Target="https://enzyme.expasy.org/EC/2.4.2.14" TargetMode="External"/><Relationship Id="rId1118" Type="http://schemas.openxmlformats.org/officeDocument/2006/relationships/hyperlink" Target="https://enzyme.expasy.org/EC/2.6.1.42" TargetMode="External"/><Relationship Id="rId1325" Type="http://schemas.openxmlformats.org/officeDocument/2006/relationships/hyperlink" Target="https://www.genome.jp/entry/C16633" TargetMode="External"/><Relationship Id="rId1532" Type="http://schemas.openxmlformats.org/officeDocument/2006/relationships/hyperlink" Target="https://www.genome.jp/entry/C00008" TargetMode="External"/><Relationship Id="rId1977" Type="http://schemas.openxmlformats.org/officeDocument/2006/relationships/hyperlink" Target="https://www.genome.jp/entry/C00124" TargetMode="External"/><Relationship Id="rId2930" Type="http://schemas.openxmlformats.org/officeDocument/2006/relationships/hyperlink" Target="https://www.genome.jp/entry/C00002" TargetMode="External"/><Relationship Id="rId902" Type="http://schemas.openxmlformats.org/officeDocument/2006/relationships/hyperlink" Target="https://enzyme.expasy.org/EC/2.3.1.179" TargetMode="External"/><Relationship Id="rId1837" Type="http://schemas.openxmlformats.org/officeDocument/2006/relationships/hyperlink" Target="https://www.genome.jp/entry/C00224" TargetMode="External"/><Relationship Id="rId31" Type="http://schemas.openxmlformats.org/officeDocument/2006/relationships/hyperlink" Target="https://enzyme.expasy.org/EC/1.1.1.1" TargetMode="External"/><Relationship Id="rId2099" Type="http://schemas.openxmlformats.org/officeDocument/2006/relationships/hyperlink" Target="https://enzyme.expasy.org/EC/3.2.1.86" TargetMode="External"/><Relationship Id="rId3052" Type="http://schemas.openxmlformats.org/officeDocument/2006/relationships/hyperlink" Target="https://www.genome.jp/entry/C00008" TargetMode="External"/><Relationship Id="rId180" Type="http://schemas.openxmlformats.org/officeDocument/2006/relationships/hyperlink" Target="https://www.genome.jp/entry/C00860" TargetMode="External"/><Relationship Id="rId278" Type="http://schemas.openxmlformats.org/officeDocument/2006/relationships/hyperlink" Target="https://www.genome.jp/entry/C00027" TargetMode="External"/><Relationship Id="rId1904" Type="http://schemas.openxmlformats.org/officeDocument/2006/relationships/hyperlink" Target="https://enzyme.expasy.org/EC/3.2.1.22" TargetMode="External"/><Relationship Id="rId485" Type="http://schemas.openxmlformats.org/officeDocument/2006/relationships/hyperlink" Target="https://www.genome.jp/entry/C00101" TargetMode="External"/><Relationship Id="rId692" Type="http://schemas.openxmlformats.org/officeDocument/2006/relationships/hyperlink" Target="https://www.genome.jp/entry/C00279" TargetMode="External"/><Relationship Id="rId2166" Type="http://schemas.openxmlformats.org/officeDocument/2006/relationships/hyperlink" Target="https://www.genome.jp/entry/C00511" TargetMode="External"/><Relationship Id="rId2373" Type="http://schemas.openxmlformats.org/officeDocument/2006/relationships/hyperlink" Target="https://www.genome.jp/entry/C14899" TargetMode="External"/><Relationship Id="rId2580" Type="http://schemas.openxmlformats.org/officeDocument/2006/relationships/hyperlink" Target="https://www.genome.jp/entry/C00145" TargetMode="External"/><Relationship Id="rId138" Type="http://schemas.openxmlformats.org/officeDocument/2006/relationships/hyperlink" Target="https://www.genome.jp/entry/C16220" TargetMode="External"/><Relationship Id="rId345" Type="http://schemas.openxmlformats.org/officeDocument/2006/relationships/hyperlink" Target="https://enzyme.expasy.org/EC/1.17.4.2" TargetMode="External"/><Relationship Id="rId552" Type="http://schemas.openxmlformats.org/officeDocument/2006/relationships/hyperlink" Target="https://www.genome.jp/entry/C05526" TargetMode="External"/><Relationship Id="rId997" Type="http://schemas.openxmlformats.org/officeDocument/2006/relationships/hyperlink" Target="https://www.genome.jp/entry/G10545" TargetMode="External"/><Relationship Id="rId1182" Type="http://schemas.openxmlformats.org/officeDocument/2006/relationships/hyperlink" Target="https://www.genome.jp/entry/C00002" TargetMode="External"/><Relationship Id="rId2026" Type="http://schemas.openxmlformats.org/officeDocument/2006/relationships/hyperlink" Target="https://www.genome.jp/entry/G00092" TargetMode="External"/><Relationship Id="rId2233" Type="http://schemas.openxmlformats.org/officeDocument/2006/relationships/hyperlink" Target="https://enzyme.expasy.org/EC/3.5.4.4" TargetMode="External"/><Relationship Id="rId2440" Type="http://schemas.openxmlformats.org/officeDocument/2006/relationships/hyperlink" Target="https://www.genome.jp/entry/C00149" TargetMode="External"/><Relationship Id="rId2678" Type="http://schemas.openxmlformats.org/officeDocument/2006/relationships/hyperlink" Target="https://www.genome.jp/entry/C01113" TargetMode="External"/><Relationship Id="rId2885" Type="http://schemas.openxmlformats.org/officeDocument/2006/relationships/hyperlink" Target="https://enzyme.expasy.org/EC/6.1.1.13" TargetMode="External"/><Relationship Id="rId205" Type="http://schemas.openxmlformats.org/officeDocument/2006/relationships/hyperlink" Target="https://www.genome.jp/entry/C06055" TargetMode="External"/><Relationship Id="rId412" Type="http://schemas.openxmlformats.org/officeDocument/2006/relationships/hyperlink" Target="https://www.genome.jp/entry/C00025" TargetMode="External"/><Relationship Id="rId857" Type="http://schemas.openxmlformats.org/officeDocument/2006/relationships/hyperlink" Target="https://www.genome.jp/entry/C23017" TargetMode="External"/><Relationship Id="rId1042" Type="http://schemas.openxmlformats.org/officeDocument/2006/relationships/hyperlink" Target="https://www.genome.jp/entry/C00655" TargetMode="External"/><Relationship Id="rId1487" Type="http://schemas.openxmlformats.org/officeDocument/2006/relationships/hyperlink" Target="https://www.genome.jp/entry/C00008" TargetMode="External"/><Relationship Id="rId1694" Type="http://schemas.openxmlformats.org/officeDocument/2006/relationships/hyperlink" Target="https://www.genome.jp/entry/C00105" TargetMode="External"/><Relationship Id="rId2300" Type="http://schemas.openxmlformats.org/officeDocument/2006/relationships/hyperlink" Target="https://www.genome.jp/entry/C00008" TargetMode="External"/><Relationship Id="rId2538" Type="http://schemas.openxmlformats.org/officeDocument/2006/relationships/hyperlink" Target="https://www.genome.jp/entry/C05167" TargetMode="External"/><Relationship Id="rId2745" Type="http://schemas.openxmlformats.org/officeDocument/2006/relationships/hyperlink" Target="https://www.genome.jp/entry/C03453" TargetMode="External"/><Relationship Id="rId2952" Type="http://schemas.openxmlformats.org/officeDocument/2006/relationships/hyperlink" Target="https://www.genome.jp/entry/C00020" TargetMode="External"/><Relationship Id="rId717" Type="http://schemas.openxmlformats.org/officeDocument/2006/relationships/hyperlink" Target="https://www.genome.jp/entry/C05125" TargetMode="External"/><Relationship Id="rId924" Type="http://schemas.openxmlformats.org/officeDocument/2006/relationships/hyperlink" Target="https://www.genome.jp/entry/C20641" TargetMode="External"/><Relationship Id="rId1347" Type="http://schemas.openxmlformats.org/officeDocument/2006/relationships/hyperlink" Target="https://www.genome.jp/entry/C00008" TargetMode="External"/><Relationship Id="rId1554" Type="http://schemas.openxmlformats.org/officeDocument/2006/relationships/hyperlink" Target="https://www.genome.jp/entry/C00029" TargetMode="External"/><Relationship Id="rId1761" Type="http://schemas.openxmlformats.org/officeDocument/2006/relationships/hyperlink" Target="https://www.genome.jp/entry/C00020" TargetMode="External"/><Relationship Id="rId1999" Type="http://schemas.openxmlformats.org/officeDocument/2006/relationships/hyperlink" Target="https://enzyme.expasy.org/EC/3.2.1.23" TargetMode="External"/><Relationship Id="rId2605" Type="http://schemas.openxmlformats.org/officeDocument/2006/relationships/hyperlink" Target="https://www.genome.jp/entry/C01336" TargetMode="External"/><Relationship Id="rId2812" Type="http://schemas.openxmlformats.org/officeDocument/2006/relationships/hyperlink" Target="https://www.genome.jp/entry/C00935" TargetMode="External"/><Relationship Id="rId53" Type="http://schemas.openxmlformats.org/officeDocument/2006/relationships/hyperlink" Target="https://www.genome.jp/entry/C05576" TargetMode="External"/><Relationship Id="rId1207" Type="http://schemas.openxmlformats.org/officeDocument/2006/relationships/hyperlink" Target="https://www.genome.jp/entry/C00002" TargetMode="External"/><Relationship Id="rId1414" Type="http://schemas.openxmlformats.org/officeDocument/2006/relationships/hyperlink" Target="https://enzyme.expasy.org/EC/2.7.4.3" TargetMode="External"/><Relationship Id="rId1621" Type="http://schemas.openxmlformats.org/officeDocument/2006/relationships/hyperlink" Target="https://www.genome.jp/entry/C00131" TargetMode="External"/><Relationship Id="rId1859" Type="http://schemas.openxmlformats.org/officeDocument/2006/relationships/hyperlink" Target="https://enzyme.expasy.org/EC/3.1.6.1" TargetMode="External"/><Relationship Id="rId3074" Type="http://schemas.openxmlformats.org/officeDocument/2006/relationships/hyperlink" Target="https://enzyme.expasy.org/EC/6.3.4.15" TargetMode="External"/><Relationship Id="rId1719" Type="http://schemas.openxmlformats.org/officeDocument/2006/relationships/hyperlink" Target="https://www.genome.jp/entry/C00065" TargetMode="External"/><Relationship Id="rId1926" Type="http://schemas.openxmlformats.org/officeDocument/2006/relationships/hyperlink" Target="https://www.genome.jp/entry/C05400" TargetMode="External"/><Relationship Id="rId2090" Type="http://schemas.openxmlformats.org/officeDocument/2006/relationships/hyperlink" Target="https://www.genome.jp/entry/G10508" TargetMode="External"/><Relationship Id="rId2188" Type="http://schemas.openxmlformats.org/officeDocument/2006/relationships/hyperlink" Target="https://www.genome.jp/entry/C00060" TargetMode="External"/><Relationship Id="rId2395" Type="http://schemas.openxmlformats.org/officeDocument/2006/relationships/hyperlink" Target="https://www.genome.jp/entry/C00111" TargetMode="External"/><Relationship Id="rId3141" Type="http://schemas.openxmlformats.org/officeDocument/2006/relationships/hyperlink" Target="https://www.genome.jp/entry/C00002" TargetMode="External"/><Relationship Id="rId367" Type="http://schemas.openxmlformats.org/officeDocument/2006/relationships/hyperlink" Target="https://www.genome.jp/entry/C00441" TargetMode="External"/><Relationship Id="rId574" Type="http://schemas.openxmlformats.org/officeDocument/2006/relationships/hyperlink" Target="https://www.genome.jp/entry/C03023" TargetMode="External"/><Relationship Id="rId2048" Type="http://schemas.openxmlformats.org/officeDocument/2006/relationships/hyperlink" Target="https://www.genome.jp/entry/C00267" TargetMode="External"/><Relationship Id="rId2255" Type="http://schemas.openxmlformats.org/officeDocument/2006/relationships/hyperlink" Target="https://www.genome.jp/entry/C00234" TargetMode="External"/><Relationship Id="rId3001" Type="http://schemas.openxmlformats.org/officeDocument/2006/relationships/hyperlink" Target="https://www.genome.jp/entry/C16238" TargetMode="External"/><Relationship Id="rId227" Type="http://schemas.openxmlformats.org/officeDocument/2006/relationships/hyperlink" Target="https://www.genome.jp/entry/C00957" TargetMode="External"/><Relationship Id="rId781" Type="http://schemas.openxmlformats.org/officeDocument/2006/relationships/hyperlink" Target="https://www.genome.jp/entry/C01944" TargetMode="External"/><Relationship Id="rId879" Type="http://schemas.openxmlformats.org/officeDocument/2006/relationships/hyperlink" Target="https://www.genome.jp/entry/C05745" TargetMode="External"/><Relationship Id="rId2462" Type="http://schemas.openxmlformats.org/officeDocument/2006/relationships/hyperlink" Target="https://enzyme.expasy.org/EC/4.2.1.44" TargetMode="External"/><Relationship Id="rId2767" Type="http://schemas.openxmlformats.org/officeDocument/2006/relationships/hyperlink" Target="https://www.genome.jp/entry/C00631" TargetMode="External"/><Relationship Id="rId434" Type="http://schemas.openxmlformats.org/officeDocument/2006/relationships/hyperlink" Target="https://www.genome.jp/entry/C00161" TargetMode="External"/><Relationship Id="rId641" Type="http://schemas.openxmlformats.org/officeDocument/2006/relationships/hyperlink" Target="https://www.genome.jp/entry/C03800" TargetMode="External"/><Relationship Id="rId739" Type="http://schemas.openxmlformats.org/officeDocument/2006/relationships/hyperlink" Target="https://enzyme.expasy.org/EC/2.3.1.15" TargetMode="External"/><Relationship Id="rId1064" Type="http://schemas.openxmlformats.org/officeDocument/2006/relationships/hyperlink" Target="https://www.genome.jp/entry/C00106" TargetMode="External"/><Relationship Id="rId1271" Type="http://schemas.openxmlformats.org/officeDocument/2006/relationships/hyperlink" Target="https://www.genome.jp/entry/C00044" TargetMode="External"/><Relationship Id="rId1369" Type="http://schemas.openxmlformats.org/officeDocument/2006/relationships/hyperlink" Target="https://enzyme.expasy.org/EC/2.7.2.11" TargetMode="External"/><Relationship Id="rId1576" Type="http://schemas.openxmlformats.org/officeDocument/2006/relationships/hyperlink" Target="https://www.genome.jp/entry/C00002" TargetMode="External"/><Relationship Id="rId2115" Type="http://schemas.openxmlformats.org/officeDocument/2006/relationships/hyperlink" Target="https://www.genome.jp/entry/C00001" TargetMode="External"/><Relationship Id="rId2322" Type="http://schemas.openxmlformats.org/officeDocument/2006/relationships/hyperlink" Target="https://enzyme.expasy.org/EC/4.1.1.112" TargetMode="External"/><Relationship Id="rId2974" Type="http://schemas.openxmlformats.org/officeDocument/2006/relationships/hyperlink" Target="https://enzyme.expasy.org/EC/6.3.1.20" TargetMode="External"/><Relationship Id="rId501" Type="http://schemas.openxmlformats.org/officeDocument/2006/relationships/hyperlink" Target="https://www.genome.jp/entry/C02953" TargetMode="External"/><Relationship Id="rId946" Type="http://schemas.openxmlformats.org/officeDocument/2006/relationships/hyperlink" Target="https://enzyme.expasy.org/EC/2.3.1.39" TargetMode="External"/><Relationship Id="rId1131" Type="http://schemas.openxmlformats.org/officeDocument/2006/relationships/hyperlink" Target="https://enzyme.expasy.org/EC/2.7.1.107" TargetMode="External"/><Relationship Id="rId1229" Type="http://schemas.openxmlformats.org/officeDocument/2006/relationships/hyperlink" Target="https://www.genome.jp/entry/C00008" TargetMode="External"/><Relationship Id="rId1783" Type="http://schemas.openxmlformats.org/officeDocument/2006/relationships/hyperlink" Target="https://www.genome.jp/entry/C00387" TargetMode="External"/><Relationship Id="rId1990" Type="http://schemas.openxmlformats.org/officeDocument/2006/relationships/hyperlink" Target="https://www.genome.jp/entry/C00243" TargetMode="External"/><Relationship Id="rId2627" Type="http://schemas.openxmlformats.org/officeDocument/2006/relationships/hyperlink" Target="https://enzyme.expasy.org/EC/5.1.1.1" TargetMode="External"/><Relationship Id="rId2834" Type="http://schemas.openxmlformats.org/officeDocument/2006/relationships/hyperlink" Target="https://www.genome.jp/entry/C00020" TargetMode="External"/><Relationship Id="rId75" Type="http://schemas.openxmlformats.org/officeDocument/2006/relationships/hyperlink" Target="https://www.genome.jp/entry/C16551" TargetMode="External"/><Relationship Id="rId806" Type="http://schemas.openxmlformats.org/officeDocument/2006/relationships/hyperlink" Target="https://www.genome.jp/entry/C07118" TargetMode="External"/><Relationship Id="rId1436" Type="http://schemas.openxmlformats.org/officeDocument/2006/relationships/hyperlink" Target="https://www.genome.jp/entry/C00002" TargetMode="External"/><Relationship Id="rId1643" Type="http://schemas.openxmlformats.org/officeDocument/2006/relationships/hyperlink" Target="https://www.genome.jp/entry/C00013" TargetMode="External"/><Relationship Id="rId1850" Type="http://schemas.openxmlformats.org/officeDocument/2006/relationships/hyperlink" Target="https://www.genome.jp/entry/C02538" TargetMode="External"/><Relationship Id="rId2901" Type="http://schemas.openxmlformats.org/officeDocument/2006/relationships/hyperlink" Target="https://www.genome.jp/entry/C01641" TargetMode="External"/><Relationship Id="rId3096" Type="http://schemas.openxmlformats.org/officeDocument/2006/relationships/hyperlink" Target="https://www.genome.jp/entry/C01185" TargetMode="External"/><Relationship Id="rId1503" Type="http://schemas.openxmlformats.org/officeDocument/2006/relationships/hyperlink" Target="https://www.genome.jp/entry/C11039" TargetMode="External"/><Relationship Id="rId1710" Type="http://schemas.openxmlformats.org/officeDocument/2006/relationships/hyperlink" Target="https://enzyme.expasy.org/EC/2.8.1.13" TargetMode="External"/><Relationship Id="rId1948" Type="http://schemas.openxmlformats.org/officeDocument/2006/relationships/hyperlink" Target="https://www.genome.jp/entry/C03692" TargetMode="External"/><Relationship Id="rId3163" Type="http://schemas.openxmlformats.org/officeDocument/2006/relationships/hyperlink" Target="https://www.genome.jp/entry/C00008" TargetMode="External"/><Relationship Id="rId291" Type="http://schemas.openxmlformats.org/officeDocument/2006/relationships/hyperlink" Target="https://www.genome.jp/entry/C00206" TargetMode="External"/><Relationship Id="rId1808" Type="http://schemas.openxmlformats.org/officeDocument/2006/relationships/hyperlink" Target="https://www.genome.jp/entry/C00526" TargetMode="External"/><Relationship Id="rId3023" Type="http://schemas.openxmlformats.org/officeDocument/2006/relationships/hyperlink" Target="https://www.genome.jp/entry/C00008" TargetMode="External"/><Relationship Id="rId151" Type="http://schemas.openxmlformats.org/officeDocument/2006/relationships/hyperlink" Target="https://www.genome.jp/entry/C00522" TargetMode="External"/><Relationship Id="rId389" Type="http://schemas.openxmlformats.org/officeDocument/2006/relationships/hyperlink" Target="https://www.genome.jp/entry/C00295" TargetMode="External"/><Relationship Id="rId596" Type="http://schemas.openxmlformats.org/officeDocument/2006/relationships/hyperlink" Target="https://www.genome.jp/entry/C00021" TargetMode="External"/><Relationship Id="rId2277" Type="http://schemas.openxmlformats.org/officeDocument/2006/relationships/hyperlink" Target="https://enzyme.expasy.org/EC/3.6.1.11" TargetMode="External"/><Relationship Id="rId2484" Type="http://schemas.openxmlformats.org/officeDocument/2006/relationships/hyperlink" Target="https://www.genome.jp/entry/C04620" TargetMode="External"/><Relationship Id="rId2691" Type="http://schemas.openxmlformats.org/officeDocument/2006/relationships/hyperlink" Target="https://www.genome.jp/entry/C05345" TargetMode="External"/><Relationship Id="rId249" Type="http://schemas.openxmlformats.org/officeDocument/2006/relationships/hyperlink" Target="https://www.genome.jp/entry/C00199" TargetMode="External"/><Relationship Id="rId456" Type="http://schemas.openxmlformats.org/officeDocument/2006/relationships/hyperlink" Target="https://www.genome.jp/entry/C00148" TargetMode="External"/><Relationship Id="rId663" Type="http://schemas.openxmlformats.org/officeDocument/2006/relationships/hyperlink" Target="https://www.genome.jp/entry/C00101" TargetMode="External"/><Relationship Id="rId870" Type="http://schemas.openxmlformats.org/officeDocument/2006/relationships/hyperlink" Target="https://www.genome.jp/entry/C03939" TargetMode="External"/><Relationship Id="rId1086" Type="http://schemas.openxmlformats.org/officeDocument/2006/relationships/hyperlink" Target="https://enzyme.expasy.org/EC/2.5.1.3" TargetMode="External"/><Relationship Id="rId1293" Type="http://schemas.openxmlformats.org/officeDocument/2006/relationships/hyperlink" Target="https://www.genome.jp/entry/C00206" TargetMode="External"/><Relationship Id="rId2137" Type="http://schemas.openxmlformats.org/officeDocument/2006/relationships/hyperlink" Target="https://www.genome.jp/entry/C22288" TargetMode="External"/><Relationship Id="rId2344" Type="http://schemas.openxmlformats.org/officeDocument/2006/relationships/hyperlink" Target="https://www.genome.jp/entry/C01103" TargetMode="External"/><Relationship Id="rId2551" Type="http://schemas.openxmlformats.org/officeDocument/2006/relationships/hyperlink" Target="https://www.genome.jp/entry/C00122" TargetMode="External"/><Relationship Id="rId2789" Type="http://schemas.openxmlformats.org/officeDocument/2006/relationships/hyperlink" Target="https://www.genome.jp/entry/C00673" TargetMode="External"/><Relationship Id="rId2996" Type="http://schemas.openxmlformats.org/officeDocument/2006/relationships/hyperlink" Target="https://www.genome.jp/entry/C00002" TargetMode="External"/><Relationship Id="rId109" Type="http://schemas.openxmlformats.org/officeDocument/2006/relationships/hyperlink" Target="https://www.genome.jp/entry/C05753" TargetMode="External"/><Relationship Id="rId316" Type="http://schemas.openxmlformats.org/officeDocument/2006/relationships/hyperlink" Target="https://www.genome.jp/entry/C04232" TargetMode="External"/><Relationship Id="rId523" Type="http://schemas.openxmlformats.org/officeDocument/2006/relationships/hyperlink" Target="https://enzyme.expasy.org/EC/1.8.1.4" TargetMode="External"/><Relationship Id="rId968" Type="http://schemas.openxmlformats.org/officeDocument/2006/relationships/hyperlink" Target="https://www.genome.jp/entry/C00100" TargetMode="External"/><Relationship Id="rId1153" Type="http://schemas.openxmlformats.org/officeDocument/2006/relationships/hyperlink" Target="https://www.genome.jp/entry/C00104" TargetMode="External"/><Relationship Id="rId1598" Type="http://schemas.openxmlformats.org/officeDocument/2006/relationships/hyperlink" Target="https://www.genome.jp/entry/C00013" TargetMode="External"/><Relationship Id="rId2204" Type="http://schemas.openxmlformats.org/officeDocument/2006/relationships/hyperlink" Target="https://enzyme.expasy.org/EC/3.5.1.88" TargetMode="External"/><Relationship Id="rId2649" Type="http://schemas.openxmlformats.org/officeDocument/2006/relationships/hyperlink" Target="https://www.genome.jp/entry/C00043" TargetMode="External"/><Relationship Id="rId2856" Type="http://schemas.openxmlformats.org/officeDocument/2006/relationships/hyperlink" Target="https://www.genome.jp/entry/C00002" TargetMode="External"/><Relationship Id="rId97" Type="http://schemas.openxmlformats.org/officeDocument/2006/relationships/hyperlink" Target="https://www.genome.jp/entry/C01271" TargetMode="External"/><Relationship Id="rId730" Type="http://schemas.openxmlformats.org/officeDocument/2006/relationships/hyperlink" Target="https://www.genome.jp/entry/C00093" TargetMode="External"/><Relationship Id="rId828" Type="http://schemas.openxmlformats.org/officeDocument/2006/relationships/hyperlink" Target="https://www.genome.jp/entry/C00010" TargetMode="External"/><Relationship Id="rId1013" Type="http://schemas.openxmlformats.org/officeDocument/2006/relationships/hyperlink" Target="https://enzyme.expasy.org/EC/2.4.1.227" TargetMode="External"/><Relationship Id="rId1360" Type="http://schemas.openxmlformats.org/officeDocument/2006/relationships/hyperlink" Target="https://www.genome.jp/entry/C00002" TargetMode="External"/><Relationship Id="rId1458" Type="http://schemas.openxmlformats.org/officeDocument/2006/relationships/hyperlink" Target="https://www.genome.jp/entry/C00008" TargetMode="External"/><Relationship Id="rId1665" Type="http://schemas.openxmlformats.org/officeDocument/2006/relationships/hyperlink" Target="https://enzyme.expasy.org/EC/2.7.7.72" TargetMode="External"/><Relationship Id="rId1872" Type="http://schemas.openxmlformats.org/officeDocument/2006/relationships/hyperlink" Target="https://www.genome.jp/entry/C02336" TargetMode="External"/><Relationship Id="rId2411" Type="http://schemas.openxmlformats.org/officeDocument/2006/relationships/hyperlink" Target="https://www.genome.jp/entry/C00033" TargetMode="External"/><Relationship Id="rId2509" Type="http://schemas.openxmlformats.org/officeDocument/2006/relationships/hyperlink" Target="https://www.genome.jp/entry/C20377" TargetMode="External"/><Relationship Id="rId2716" Type="http://schemas.openxmlformats.org/officeDocument/2006/relationships/hyperlink" Target="https://www.genome.jp/entry/C05345" TargetMode="External"/><Relationship Id="rId1220" Type="http://schemas.openxmlformats.org/officeDocument/2006/relationships/hyperlink" Target="https://www.genome.jp/entry/C04242" TargetMode="External"/><Relationship Id="rId1318" Type="http://schemas.openxmlformats.org/officeDocument/2006/relationships/hyperlink" Target="https://www.genome.jp/entry/C00035" TargetMode="External"/><Relationship Id="rId1525" Type="http://schemas.openxmlformats.org/officeDocument/2006/relationships/hyperlink" Target="https://www.genome.jp/entry/C22441" TargetMode="External"/><Relationship Id="rId2923" Type="http://schemas.openxmlformats.org/officeDocument/2006/relationships/hyperlink" Target="https://www.genome.jp/entry/C00020" TargetMode="External"/><Relationship Id="rId1732" Type="http://schemas.openxmlformats.org/officeDocument/2006/relationships/hyperlink" Target="https://www.genome.jp/entry/C03523" TargetMode="External"/><Relationship Id="rId3185" Type="http://schemas.openxmlformats.org/officeDocument/2006/relationships/hyperlink" Target="https://www.genome.jp/entry/C00002" TargetMode="External"/><Relationship Id="rId24" Type="http://schemas.openxmlformats.org/officeDocument/2006/relationships/hyperlink" Target="https://www.genome.jp/entry/C00084" TargetMode="External"/><Relationship Id="rId2299" Type="http://schemas.openxmlformats.org/officeDocument/2006/relationships/hyperlink" Target="https://www.genome.jp/entry/C01260" TargetMode="External"/><Relationship Id="rId3045" Type="http://schemas.openxmlformats.org/officeDocument/2006/relationships/hyperlink" Target="https://www.genome.jp/entry/C00002" TargetMode="External"/><Relationship Id="rId173" Type="http://schemas.openxmlformats.org/officeDocument/2006/relationships/hyperlink" Target="https://www.genome.jp/entry/C00655" TargetMode="External"/><Relationship Id="rId380" Type="http://schemas.openxmlformats.org/officeDocument/2006/relationships/hyperlink" Target="https://www.genome.jp/entry/C00227" TargetMode="External"/><Relationship Id="rId2061" Type="http://schemas.openxmlformats.org/officeDocument/2006/relationships/hyperlink" Target="https://www.genome.jp/entry/G10534" TargetMode="External"/><Relationship Id="rId3112" Type="http://schemas.openxmlformats.org/officeDocument/2006/relationships/hyperlink" Target="https://www.genome.jp/entry/C00020" TargetMode="External"/><Relationship Id="rId240" Type="http://schemas.openxmlformats.org/officeDocument/2006/relationships/hyperlink" Target="https://www.genome.jp/entry/C00263" TargetMode="External"/><Relationship Id="rId478" Type="http://schemas.openxmlformats.org/officeDocument/2006/relationships/hyperlink" Target="https://enzyme.expasy.org/EC/1.5.1.3" TargetMode="External"/><Relationship Id="rId685" Type="http://schemas.openxmlformats.org/officeDocument/2006/relationships/hyperlink" Target="https://enzyme.expasy.org/EC/2.1.3.2" TargetMode="External"/><Relationship Id="rId892" Type="http://schemas.openxmlformats.org/officeDocument/2006/relationships/hyperlink" Target="https://enzyme.expasy.org/EC/2.3.1.179" TargetMode="External"/><Relationship Id="rId2159" Type="http://schemas.openxmlformats.org/officeDocument/2006/relationships/hyperlink" Target="https://enzyme.expasy.org/EC/3.5.1.28" TargetMode="External"/><Relationship Id="rId2366" Type="http://schemas.openxmlformats.org/officeDocument/2006/relationships/hyperlink" Target="https://www.genome.jp/entry/C00008" TargetMode="External"/><Relationship Id="rId2573" Type="http://schemas.openxmlformats.org/officeDocument/2006/relationships/hyperlink" Target="https://www.genome.jp/entry/C22395" TargetMode="External"/><Relationship Id="rId2780" Type="http://schemas.openxmlformats.org/officeDocument/2006/relationships/hyperlink" Target="https://enzyme.expasy.org/EC/5.4.2.6" TargetMode="External"/><Relationship Id="rId100" Type="http://schemas.openxmlformats.org/officeDocument/2006/relationships/hyperlink" Target="https://www.genome.jp/entry/C00685" TargetMode="External"/><Relationship Id="rId338" Type="http://schemas.openxmlformats.org/officeDocument/2006/relationships/hyperlink" Target="https://www.genome.jp/entry/C00044" TargetMode="External"/><Relationship Id="rId545" Type="http://schemas.openxmlformats.org/officeDocument/2006/relationships/hyperlink" Target="https://www.genome.jp/entry/C00005" TargetMode="External"/><Relationship Id="rId752" Type="http://schemas.openxmlformats.org/officeDocument/2006/relationships/hyperlink" Target="https://www.genome.jp/entry/C00010" TargetMode="External"/><Relationship Id="rId1175" Type="http://schemas.openxmlformats.org/officeDocument/2006/relationships/hyperlink" Target="https://www.genome.jp/entry/C00008" TargetMode="External"/><Relationship Id="rId1382" Type="http://schemas.openxmlformats.org/officeDocument/2006/relationships/hyperlink" Target="https://www.genome.jp/entry/C00008" TargetMode="External"/><Relationship Id="rId2019" Type="http://schemas.openxmlformats.org/officeDocument/2006/relationships/hyperlink" Target="https://enzyme.expasy.org/EC/3.2.1.23" TargetMode="External"/><Relationship Id="rId2226" Type="http://schemas.openxmlformats.org/officeDocument/2006/relationships/hyperlink" Target="https://www.genome.jp/entry/C20451" TargetMode="External"/><Relationship Id="rId2433" Type="http://schemas.openxmlformats.org/officeDocument/2006/relationships/hyperlink" Target="https://www.genome.jp/entry/C04666" TargetMode="External"/><Relationship Id="rId2640" Type="http://schemas.openxmlformats.org/officeDocument/2006/relationships/hyperlink" Target="https://www.genome.jp/entry/C00231" TargetMode="External"/><Relationship Id="rId2878" Type="http://schemas.openxmlformats.org/officeDocument/2006/relationships/hyperlink" Target="https://www.genome.jp/entry/C00020" TargetMode="External"/><Relationship Id="rId405" Type="http://schemas.openxmlformats.org/officeDocument/2006/relationships/hyperlink" Target="https://www.genome.jp/entry/C04631" TargetMode="External"/><Relationship Id="rId612" Type="http://schemas.openxmlformats.org/officeDocument/2006/relationships/hyperlink" Target="https://www.genome.jp/entry/C05812" TargetMode="External"/><Relationship Id="rId1035" Type="http://schemas.openxmlformats.org/officeDocument/2006/relationships/hyperlink" Target="https://www.genome.jp/entry/C00178" TargetMode="External"/><Relationship Id="rId1242" Type="http://schemas.openxmlformats.org/officeDocument/2006/relationships/hyperlink" Target="https://www.genome.jp/entry/C00002" TargetMode="External"/><Relationship Id="rId1687" Type="http://schemas.openxmlformats.org/officeDocument/2006/relationships/hyperlink" Target="https://www.genome.jp/entry/C04702" TargetMode="External"/><Relationship Id="rId1894" Type="http://schemas.openxmlformats.org/officeDocument/2006/relationships/hyperlink" Target="https://enzyme.expasy.org/EC/3.2.1.22" TargetMode="External"/><Relationship Id="rId2500" Type="http://schemas.openxmlformats.org/officeDocument/2006/relationships/hyperlink" Target="https://www.genome.jp/entry/C05757" TargetMode="External"/><Relationship Id="rId2738" Type="http://schemas.openxmlformats.org/officeDocument/2006/relationships/hyperlink" Target="https://www.genome.jp/entry/C01172" TargetMode="External"/><Relationship Id="rId2945" Type="http://schemas.openxmlformats.org/officeDocument/2006/relationships/hyperlink" Target="https://www.genome.jp/entry/C00002" TargetMode="External"/><Relationship Id="rId917" Type="http://schemas.openxmlformats.org/officeDocument/2006/relationships/hyperlink" Target="https://enzyme.expasy.org/EC/2.3.1.180" TargetMode="External"/><Relationship Id="rId1102" Type="http://schemas.openxmlformats.org/officeDocument/2006/relationships/hyperlink" Target="https://www.genome.jp/entry/C00002" TargetMode="External"/><Relationship Id="rId1547" Type="http://schemas.openxmlformats.org/officeDocument/2006/relationships/hyperlink" Target="https://enzyme.expasy.org/EC/2.7.6.5" TargetMode="External"/><Relationship Id="rId1754" Type="http://schemas.openxmlformats.org/officeDocument/2006/relationships/hyperlink" Target="https://enzyme.expasy.org/EC/3.1.3.27" TargetMode="External"/><Relationship Id="rId1961" Type="http://schemas.openxmlformats.org/officeDocument/2006/relationships/hyperlink" Target="https://www.genome.jp/entry/G00278" TargetMode="External"/><Relationship Id="rId2805" Type="http://schemas.openxmlformats.org/officeDocument/2006/relationships/hyperlink" Target="https://enzyme.expasy.org/EC/5.4.99.62" TargetMode="External"/><Relationship Id="rId46" Type="http://schemas.openxmlformats.org/officeDocument/2006/relationships/hyperlink" Target="https://enzyme.expasy.org/EC/1.1.1.1" TargetMode="External"/><Relationship Id="rId1407" Type="http://schemas.openxmlformats.org/officeDocument/2006/relationships/hyperlink" Target="https://www.genome.jp/entry/C00008" TargetMode="External"/><Relationship Id="rId1614" Type="http://schemas.openxmlformats.org/officeDocument/2006/relationships/hyperlink" Target="https://www.genome.jp/entry/C20864" TargetMode="External"/><Relationship Id="rId1821" Type="http://schemas.openxmlformats.org/officeDocument/2006/relationships/hyperlink" Target="https://www.genome.jp/entry/C01185" TargetMode="External"/><Relationship Id="rId3067" Type="http://schemas.openxmlformats.org/officeDocument/2006/relationships/hyperlink" Target="https://www.genome.jp/entry/C00013" TargetMode="External"/><Relationship Id="rId195" Type="http://schemas.openxmlformats.org/officeDocument/2006/relationships/hyperlink" Target="https://www.genome.jp/entry/C00493" TargetMode="External"/><Relationship Id="rId1919" Type="http://schemas.openxmlformats.org/officeDocument/2006/relationships/hyperlink" Target="https://enzyme.expasy.org/EC/3.2.1.22" TargetMode="External"/><Relationship Id="rId2083" Type="http://schemas.openxmlformats.org/officeDocument/2006/relationships/hyperlink" Target="https://www.genome.jp/entry/G01275" TargetMode="External"/><Relationship Id="rId2290" Type="http://schemas.openxmlformats.org/officeDocument/2006/relationships/hyperlink" Target="https://www.genome.jp/entry/C17556" TargetMode="External"/><Relationship Id="rId2388" Type="http://schemas.openxmlformats.org/officeDocument/2006/relationships/hyperlink" Target="https://www.genome.jp/entry/C00673" TargetMode="External"/><Relationship Id="rId2595" Type="http://schemas.openxmlformats.org/officeDocument/2006/relationships/hyperlink" Target="https://www.genome.jp/entry/C00155" TargetMode="External"/><Relationship Id="rId3134" Type="http://schemas.openxmlformats.org/officeDocument/2006/relationships/hyperlink" Target="https://enzyme.expasy.org/EC/6.3.5.4" TargetMode="External"/><Relationship Id="rId262" Type="http://schemas.openxmlformats.org/officeDocument/2006/relationships/hyperlink" Target="https://www.genome.jp/entry/C00356" TargetMode="External"/><Relationship Id="rId567" Type="http://schemas.openxmlformats.org/officeDocument/2006/relationships/hyperlink" Target="https://www.genome.jp/entry/C15999" TargetMode="External"/><Relationship Id="rId1197" Type="http://schemas.openxmlformats.org/officeDocument/2006/relationships/hyperlink" Target="https://www.genome.jp/entry/C00002" TargetMode="External"/><Relationship Id="rId2150" Type="http://schemas.openxmlformats.org/officeDocument/2006/relationships/hyperlink" Target="https://www.genome.jp/entry/C00819" TargetMode="External"/><Relationship Id="rId2248" Type="http://schemas.openxmlformats.org/officeDocument/2006/relationships/hyperlink" Target="https://enzyme.expasy.org/EC/3.5.4.5" TargetMode="External"/><Relationship Id="rId122" Type="http://schemas.openxmlformats.org/officeDocument/2006/relationships/hyperlink" Target="https://www.genome.jp/entry/C04688" TargetMode="External"/><Relationship Id="rId774" Type="http://schemas.openxmlformats.org/officeDocument/2006/relationships/hyperlink" Target="https://enzyme.expasy.org/EC/2.3.1.16" TargetMode="External"/><Relationship Id="rId981" Type="http://schemas.openxmlformats.org/officeDocument/2006/relationships/hyperlink" Target="https://enzyme.expasy.org/EC/2.4.1.1" TargetMode="External"/><Relationship Id="rId1057" Type="http://schemas.openxmlformats.org/officeDocument/2006/relationships/hyperlink" Target="https://www.genome.jp/entry/C00020" TargetMode="External"/><Relationship Id="rId2010" Type="http://schemas.openxmlformats.org/officeDocument/2006/relationships/hyperlink" Target="https://www.genome.jp/entry/C05403" TargetMode="External"/><Relationship Id="rId2455" Type="http://schemas.openxmlformats.org/officeDocument/2006/relationships/hyperlink" Target="https://www.genome.jp/entry/C04287" TargetMode="External"/><Relationship Id="rId2662" Type="http://schemas.openxmlformats.org/officeDocument/2006/relationships/hyperlink" Target="https://enzyme.expasy.org/EC/5.1.3.4" TargetMode="External"/><Relationship Id="rId427" Type="http://schemas.openxmlformats.org/officeDocument/2006/relationships/hyperlink" Target="https://www.genome.jp/entry/C05167" TargetMode="External"/><Relationship Id="rId634" Type="http://schemas.openxmlformats.org/officeDocument/2006/relationships/hyperlink" Target="https://www.genome.jp/entry/C00365" TargetMode="External"/><Relationship Id="rId841" Type="http://schemas.openxmlformats.org/officeDocument/2006/relationships/hyperlink" Target="https://www.genome.jp/entry/C16471" TargetMode="External"/><Relationship Id="rId1264" Type="http://schemas.openxmlformats.org/officeDocument/2006/relationships/hyperlink" Target="https://enzyme.expasy.org/EC/2.7.1.40" TargetMode="External"/><Relationship Id="rId1471" Type="http://schemas.openxmlformats.org/officeDocument/2006/relationships/hyperlink" Target="https://www.genome.jp/entry/C00002" TargetMode="External"/><Relationship Id="rId1569" Type="http://schemas.openxmlformats.org/officeDocument/2006/relationships/hyperlink" Target="https://www.genome.jp/entry/C00013" TargetMode="External"/><Relationship Id="rId2108" Type="http://schemas.openxmlformats.org/officeDocument/2006/relationships/hyperlink" Target="https://www.genome.jp/entry/C02323" TargetMode="External"/><Relationship Id="rId2315" Type="http://schemas.openxmlformats.org/officeDocument/2006/relationships/hyperlink" Target="https://www.genome.jp/entry/C00022" TargetMode="External"/><Relationship Id="rId2522" Type="http://schemas.openxmlformats.org/officeDocument/2006/relationships/hyperlink" Target="https://enzyme.expasy.org/EC/4.3.1.17" TargetMode="External"/><Relationship Id="rId2967" Type="http://schemas.openxmlformats.org/officeDocument/2006/relationships/hyperlink" Target="https://www.genome.jp/entry/C00008" TargetMode="External"/><Relationship Id="rId701" Type="http://schemas.openxmlformats.org/officeDocument/2006/relationships/hyperlink" Target="https://www.genome.jp/entry/C00022" TargetMode="External"/><Relationship Id="rId939" Type="http://schemas.openxmlformats.org/officeDocument/2006/relationships/hyperlink" Target="https://www.genome.jp/entry/C00153" TargetMode="External"/><Relationship Id="rId1124" Type="http://schemas.openxmlformats.org/officeDocument/2006/relationships/hyperlink" Target="https://www.genome.jp/entry/C00166" TargetMode="External"/><Relationship Id="rId1331" Type="http://schemas.openxmlformats.org/officeDocument/2006/relationships/hyperlink" Target="https://www.genome.jp/entry/C00002" TargetMode="External"/><Relationship Id="rId1776" Type="http://schemas.openxmlformats.org/officeDocument/2006/relationships/hyperlink" Target="https://www.genome.jp/entry/C00130" TargetMode="External"/><Relationship Id="rId1983" Type="http://schemas.openxmlformats.org/officeDocument/2006/relationships/hyperlink" Target="https://www.genome.jp/entry/C00137" TargetMode="External"/><Relationship Id="rId2827" Type="http://schemas.openxmlformats.org/officeDocument/2006/relationships/hyperlink" Target="https://www.genome.jp/entry/C00002" TargetMode="External"/><Relationship Id="rId68" Type="http://schemas.openxmlformats.org/officeDocument/2006/relationships/hyperlink" Target="https://www.genome.jp/entry/C06899" TargetMode="External"/><Relationship Id="rId1429" Type="http://schemas.openxmlformats.org/officeDocument/2006/relationships/hyperlink" Target="https://enzyme.expasy.org/EC/2.7.4.6" TargetMode="External"/><Relationship Id="rId1636" Type="http://schemas.openxmlformats.org/officeDocument/2006/relationships/hyperlink" Target="https://www.genome.jp/entry/C00459" TargetMode="External"/><Relationship Id="rId1843" Type="http://schemas.openxmlformats.org/officeDocument/2006/relationships/hyperlink" Target="https://www.genome.jp/entry/C00020" TargetMode="External"/><Relationship Id="rId3089" Type="http://schemas.openxmlformats.org/officeDocument/2006/relationships/hyperlink" Target="https://enzyme.expasy.org/EC/6.3.4.2" TargetMode="External"/><Relationship Id="rId1703" Type="http://schemas.openxmlformats.org/officeDocument/2006/relationships/hyperlink" Target="https://www.genome.jp/entry/C00054" TargetMode="External"/><Relationship Id="rId1910" Type="http://schemas.openxmlformats.org/officeDocument/2006/relationships/hyperlink" Target="https://www.genome.jp/entry/C01613" TargetMode="External"/><Relationship Id="rId3156" Type="http://schemas.openxmlformats.org/officeDocument/2006/relationships/hyperlink" Target="https://www.genome.jp/entry/C00002" TargetMode="External"/><Relationship Id="rId284" Type="http://schemas.openxmlformats.org/officeDocument/2006/relationships/hyperlink" Target="https://www.genome.jp/entry/C20258" TargetMode="External"/><Relationship Id="rId491" Type="http://schemas.openxmlformats.org/officeDocument/2006/relationships/hyperlink" Target="https://www.genome.jp/entry/C00415" TargetMode="External"/><Relationship Id="rId2172" Type="http://schemas.openxmlformats.org/officeDocument/2006/relationships/hyperlink" Target="https://www.genome.jp/entry/C07086" TargetMode="External"/><Relationship Id="rId3016" Type="http://schemas.openxmlformats.org/officeDocument/2006/relationships/hyperlink" Target="https://www.genome.jp/entry/C00002" TargetMode="External"/><Relationship Id="rId144" Type="http://schemas.openxmlformats.org/officeDocument/2006/relationships/hyperlink" Target="https://enzyme.expasy.org/EC/1.1.1.100" TargetMode="External"/><Relationship Id="rId589" Type="http://schemas.openxmlformats.org/officeDocument/2006/relationships/hyperlink" Target="https://www.genome.jp/entry/C05698" TargetMode="External"/><Relationship Id="rId796" Type="http://schemas.openxmlformats.org/officeDocument/2006/relationships/hyperlink" Target="https://www.genome.jp/entry/C05274" TargetMode="External"/><Relationship Id="rId2477" Type="http://schemas.openxmlformats.org/officeDocument/2006/relationships/hyperlink" Target="https://www.genome.jp/entry/C04618" TargetMode="External"/><Relationship Id="rId2684" Type="http://schemas.openxmlformats.org/officeDocument/2006/relationships/hyperlink" Target="https://www.genome.jp/entry/C06019" TargetMode="External"/><Relationship Id="rId351" Type="http://schemas.openxmlformats.org/officeDocument/2006/relationships/hyperlink" Target="https://www.genome.jp/entry/C00677" TargetMode="External"/><Relationship Id="rId449" Type="http://schemas.openxmlformats.org/officeDocument/2006/relationships/hyperlink" Target="https://www.genome.jp/entry/C00018" TargetMode="External"/><Relationship Id="rId656" Type="http://schemas.openxmlformats.org/officeDocument/2006/relationships/hyperlink" Target="https://www.genome.jp/entry/C00065" TargetMode="External"/><Relationship Id="rId863" Type="http://schemas.openxmlformats.org/officeDocument/2006/relationships/hyperlink" Target="https://www.genome.jp/entry/C23022" TargetMode="External"/><Relationship Id="rId1079" Type="http://schemas.openxmlformats.org/officeDocument/2006/relationships/hyperlink" Target="https://www.genome.jp/entry/C04752" TargetMode="External"/><Relationship Id="rId1286" Type="http://schemas.openxmlformats.org/officeDocument/2006/relationships/hyperlink" Target="https://www.genome.jp/entry/C00081" TargetMode="External"/><Relationship Id="rId1493" Type="http://schemas.openxmlformats.org/officeDocument/2006/relationships/hyperlink" Target="https://www.genome.jp/entry/C00008" TargetMode="External"/><Relationship Id="rId2032" Type="http://schemas.openxmlformats.org/officeDocument/2006/relationships/hyperlink" Target="https://www.genome.jp/entry/G00109" TargetMode="External"/><Relationship Id="rId2337" Type="http://schemas.openxmlformats.org/officeDocument/2006/relationships/hyperlink" Target="https://enzyme.expasy.org/EC/4.1.1.20" TargetMode="External"/><Relationship Id="rId2544" Type="http://schemas.openxmlformats.org/officeDocument/2006/relationships/hyperlink" Target="https://www.genome.jp/entry/C20904" TargetMode="External"/><Relationship Id="rId2891" Type="http://schemas.openxmlformats.org/officeDocument/2006/relationships/hyperlink" Target="https://www.genome.jp/entry/C00002" TargetMode="External"/><Relationship Id="rId2989" Type="http://schemas.openxmlformats.org/officeDocument/2006/relationships/hyperlink" Target="https://enzyme.expasy.org/EC/6.3.1.20" TargetMode="External"/><Relationship Id="rId211" Type="http://schemas.openxmlformats.org/officeDocument/2006/relationships/hyperlink" Target="https://www.genome.jp/entry/C06055" TargetMode="External"/><Relationship Id="rId309" Type="http://schemas.openxmlformats.org/officeDocument/2006/relationships/hyperlink" Target="https://www.genome.jp/entry/C00342" TargetMode="External"/><Relationship Id="rId516" Type="http://schemas.openxmlformats.org/officeDocument/2006/relationships/hyperlink" Target="https://www.genome.jp/entry/C00445" TargetMode="External"/><Relationship Id="rId1146" Type="http://schemas.openxmlformats.org/officeDocument/2006/relationships/hyperlink" Target="https://enzyme.expasy.org/EC/2.7.1.11" TargetMode="External"/><Relationship Id="rId1798" Type="http://schemas.openxmlformats.org/officeDocument/2006/relationships/hyperlink" Target="https://www.genome.jp/entry/C00330" TargetMode="External"/><Relationship Id="rId2751" Type="http://schemas.openxmlformats.org/officeDocument/2006/relationships/hyperlink" Target="https://www.genome.jp/entry/C07478" TargetMode="External"/><Relationship Id="rId2849" Type="http://schemas.openxmlformats.org/officeDocument/2006/relationships/hyperlink" Target="https://www.genome.jp/entry/C00020" TargetMode="External"/><Relationship Id="rId723" Type="http://schemas.openxmlformats.org/officeDocument/2006/relationships/hyperlink" Target="https://www.genome.jp/entry/C00022" TargetMode="External"/><Relationship Id="rId930" Type="http://schemas.openxmlformats.org/officeDocument/2006/relationships/hyperlink" Target="https://www.genome.jp/entry/C00010" TargetMode="External"/><Relationship Id="rId1006" Type="http://schemas.openxmlformats.org/officeDocument/2006/relationships/hyperlink" Target="https://www.genome.jp/entry/G10495" TargetMode="External"/><Relationship Id="rId1353" Type="http://schemas.openxmlformats.org/officeDocument/2006/relationships/hyperlink" Target="https://www.genome.jp/entry/C06893" TargetMode="External"/><Relationship Id="rId1560" Type="http://schemas.openxmlformats.org/officeDocument/2006/relationships/hyperlink" Target="https://www.genome.jp/entry/C00013" TargetMode="External"/><Relationship Id="rId1658" Type="http://schemas.openxmlformats.org/officeDocument/2006/relationships/hyperlink" Target="https://www.genome.jp/entry/C19078" TargetMode="External"/><Relationship Id="rId1865" Type="http://schemas.openxmlformats.org/officeDocument/2006/relationships/hyperlink" Target="https://www.genome.jp/entry/C00089" TargetMode="External"/><Relationship Id="rId2404" Type="http://schemas.openxmlformats.org/officeDocument/2006/relationships/hyperlink" Target="https://www.genome.jp/entry/C00199" TargetMode="External"/><Relationship Id="rId2611" Type="http://schemas.openxmlformats.org/officeDocument/2006/relationships/hyperlink" Target="https://www.genome.jp/entry/C11838" TargetMode="External"/><Relationship Id="rId2709" Type="http://schemas.openxmlformats.org/officeDocument/2006/relationships/hyperlink" Target="https://www.genome.jp/entry/C02962" TargetMode="External"/><Relationship Id="rId1213" Type="http://schemas.openxmlformats.org/officeDocument/2006/relationships/hyperlink" Target="https://www.genome.jp/entry/C00002" TargetMode="External"/><Relationship Id="rId1420" Type="http://schemas.openxmlformats.org/officeDocument/2006/relationships/hyperlink" Target="https://www.genome.jp/entry/C00002" TargetMode="External"/><Relationship Id="rId1518" Type="http://schemas.openxmlformats.org/officeDocument/2006/relationships/hyperlink" Target="https://enzyme.expasy.org/EC/2.7.4.8" TargetMode="External"/><Relationship Id="rId2916" Type="http://schemas.openxmlformats.org/officeDocument/2006/relationships/hyperlink" Target="https://www.genome.jp/entry/C00002" TargetMode="External"/><Relationship Id="rId3080" Type="http://schemas.openxmlformats.org/officeDocument/2006/relationships/hyperlink" Target="https://www.genome.jp/entry/C19722" TargetMode="External"/><Relationship Id="rId1725" Type="http://schemas.openxmlformats.org/officeDocument/2006/relationships/hyperlink" Target="https://www.genome.jp/entry/C00024" TargetMode="External"/><Relationship Id="rId1932" Type="http://schemas.openxmlformats.org/officeDocument/2006/relationships/hyperlink" Target="https://www.genome.jp/entry/C00124" TargetMode="External"/><Relationship Id="rId3178" Type="http://schemas.openxmlformats.org/officeDocument/2006/relationships/hyperlink" Target="https://www.genome.jp/entry/C00008" TargetMode="External"/><Relationship Id="rId17" Type="http://schemas.openxmlformats.org/officeDocument/2006/relationships/hyperlink" Target="https://www.genome.jp/entry/C00418" TargetMode="External"/><Relationship Id="rId2194" Type="http://schemas.openxmlformats.org/officeDocument/2006/relationships/hyperlink" Target="https://enzyme.expasy.org/EC/3.5.1.4" TargetMode="External"/><Relationship Id="rId3038" Type="http://schemas.openxmlformats.org/officeDocument/2006/relationships/hyperlink" Target="https://www.genome.jp/entry/C00008" TargetMode="External"/><Relationship Id="rId166" Type="http://schemas.openxmlformats.org/officeDocument/2006/relationships/hyperlink" Target="https://www.genome.jp/entry/C00137" TargetMode="External"/><Relationship Id="rId373" Type="http://schemas.openxmlformats.org/officeDocument/2006/relationships/hyperlink" Target="https://www.genome.jp/entry/C01165" TargetMode="External"/><Relationship Id="rId580" Type="http://schemas.openxmlformats.org/officeDocument/2006/relationships/hyperlink" Target="https://www.genome.jp/entry/C00019" TargetMode="External"/><Relationship Id="rId2054" Type="http://schemas.openxmlformats.org/officeDocument/2006/relationships/hyperlink" Target="https://enzyme.expasy.org/EC/3.2.1.23" TargetMode="External"/><Relationship Id="rId2261" Type="http://schemas.openxmlformats.org/officeDocument/2006/relationships/hyperlink" Target="https://www.genome.jp/entry/C01279" TargetMode="External"/><Relationship Id="rId2499" Type="http://schemas.openxmlformats.org/officeDocument/2006/relationships/hyperlink" Target="https://www.genome.jp/entry/C05748" TargetMode="External"/><Relationship Id="rId3105" Type="http://schemas.openxmlformats.org/officeDocument/2006/relationships/hyperlink" Target="https://www.genome.jp/entry/C00044" TargetMode="External"/><Relationship Id="rId1" Type="http://schemas.openxmlformats.org/officeDocument/2006/relationships/hyperlink" Target="https://enzyme.expasy.org/EC/1.1.1.1" TargetMode="External"/><Relationship Id="rId233" Type="http://schemas.openxmlformats.org/officeDocument/2006/relationships/hyperlink" Target="https://www.genome.jp/entry/C00109" TargetMode="External"/><Relationship Id="rId440" Type="http://schemas.openxmlformats.org/officeDocument/2006/relationships/hyperlink" Target="https://www.genome.jp/entry/C00250" TargetMode="External"/><Relationship Id="rId678" Type="http://schemas.openxmlformats.org/officeDocument/2006/relationships/hyperlink" Target="https://www.genome.jp/entry/C00101" TargetMode="External"/><Relationship Id="rId885" Type="http://schemas.openxmlformats.org/officeDocument/2006/relationships/hyperlink" Target="https://www.genome.jp/entry/C05750" TargetMode="External"/><Relationship Id="rId1070" Type="http://schemas.openxmlformats.org/officeDocument/2006/relationships/hyperlink" Target="https://enzyme.expasy.org/EC/2.5.1.145" TargetMode="External"/><Relationship Id="rId2121" Type="http://schemas.openxmlformats.org/officeDocument/2006/relationships/hyperlink" Target="https://www.genome.jp/entry/C00001" TargetMode="External"/><Relationship Id="rId2359" Type="http://schemas.openxmlformats.org/officeDocument/2006/relationships/hyperlink" Target="https://www.genome.jp/entry/C01302" TargetMode="External"/><Relationship Id="rId2566" Type="http://schemas.openxmlformats.org/officeDocument/2006/relationships/hyperlink" Target="https://www.genome.jp/entry/C20258" TargetMode="External"/><Relationship Id="rId2773" Type="http://schemas.openxmlformats.org/officeDocument/2006/relationships/hyperlink" Target="https://www.genome.jp/entry/C01172" TargetMode="External"/><Relationship Id="rId2980" Type="http://schemas.openxmlformats.org/officeDocument/2006/relationships/hyperlink" Target="https://www.genome.jp/entry/C00002" TargetMode="External"/><Relationship Id="rId300" Type="http://schemas.openxmlformats.org/officeDocument/2006/relationships/hyperlink" Target="https://enzyme.expasy.org/EC/1.17.4.1" TargetMode="External"/><Relationship Id="rId538" Type="http://schemas.openxmlformats.org/officeDocument/2006/relationships/hyperlink" Target="https://enzyme.expasy.org/EC/1.8.1.4" TargetMode="External"/><Relationship Id="rId745" Type="http://schemas.openxmlformats.org/officeDocument/2006/relationships/hyperlink" Target="https://www.genome.jp/entry/C00024" TargetMode="External"/><Relationship Id="rId952" Type="http://schemas.openxmlformats.org/officeDocument/2006/relationships/hyperlink" Target="https://www.genome.jp/entry/C00024" TargetMode="External"/><Relationship Id="rId1168" Type="http://schemas.openxmlformats.org/officeDocument/2006/relationships/hyperlink" Target="https://enzyme.expasy.org/EC/2.7.1.148" TargetMode="External"/><Relationship Id="rId1375" Type="http://schemas.openxmlformats.org/officeDocument/2006/relationships/hyperlink" Target="https://www.genome.jp/entry/C00002" TargetMode="External"/><Relationship Id="rId1582" Type="http://schemas.openxmlformats.org/officeDocument/2006/relationships/hyperlink" Target="https://www.genome.jp/entry/C00002" TargetMode="External"/><Relationship Id="rId2219" Type="http://schemas.openxmlformats.org/officeDocument/2006/relationships/hyperlink" Target="https://www.genome.jp/entry/C02741" TargetMode="External"/><Relationship Id="rId2426" Type="http://schemas.openxmlformats.org/officeDocument/2006/relationships/hyperlink" Target="https://www.genome.jp/entry/C04309" TargetMode="External"/><Relationship Id="rId2633" Type="http://schemas.openxmlformats.org/officeDocument/2006/relationships/hyperlink" Target="https://www.genome.jp/entry/C00666" TargetMode="External"/><Relationship Id="rId81" Type="http://schemas.openxmlformats.org/officeDocument/2006/relationships/hyperlink" Target="https://enzyme.expasy.org/EC/1.1.1.1" TargetMode="External"/><Relationship Id="rId605" Type="http://schemas.openxmlformats.org/officeDocument/2006/relationships/hyperlink" Target="https://www.genome.jp/entry/C00019" TargetMode="External"/><Relationship Id="rId812" Type="http://schemas.openxmlformats.org/officeDocument/2006/relationships/hyperlink" Target="https://www.genome.jp/entry/C00010" TargetMode="External"/><Relationship Id="rId1028" Type="http://schemas.openxmlformats.org/officeDocument/2006/relationships/hyperlink" Target="https://www.genome.jp/entry/C04302" TargetMode="External"/><Relationship Id="rId1235" Type="http://schemas.openxmlformats.org/officeDocument/2006/relationships/hyperlink" Target="https://www.genome.jp/entry/C00008" TargetMode="External"/><Relationship Id="rId1442" Type="http://schemas.openxmlformats.org/officeDocument/2006/relationships/hyperlink" Target="https://www.genome.jp/entry/C00008" TargetMode="External"/><Relationship Id="rId1887" Type="http://schemas.openxmlformats.org/officeDocument/2006/relationships/hyperlink" Target="https://www.genome.jp/entry/C00095" TargetMode="External"/><Relationship Id="rId2840" Type="http://schemas.openxmlformats.org/officeDocument/2006/relationships/hyperlink" Target="https://enzyme.expasy.org/EC/6.1.1.11" TargetMode="External"/><Relationship Id="rId2938" Type="http://schemas.openxmlformats.org/officeDocument/2006/relationships/hyperlink" Target="https://www.genome.jp/entry/C00020" TargetMode="External"/><Relationship Id="rId1302" Type="http://schemas.openxmlformats.org/officeDocument/2006/relationships/hyperlink" Target="https://www.genome.jp/entry/C00361" TargetMode="External"/><Relationship Id="rId1747" Type="http://schemas.openxmlformats.org/officeDocument/2006/relationships/hyperlink" Target="https://www.genome.jp/entry/C05382" TargetMode="External"/><Relationship Id="rId1954" Type="http://schemas.openxmlformats.org/officeDocument/2006/relationships/hyperlink" Target="https://enzyme.expasy.org/EC/3.2.1.22" TargetMode="External"/><Relationship Id="rId2700" Type="http://schemas.openxmlformats.org/officeDocument/2006/relationships/hyperlink" Target="https://www.genome.jp/entry/C00199" TargetMode="External"/><Relationship Id="rId39" Type="http://schemas.openxmlformats.org/officeDocument/2006/relationships/hyperlink" Target="https://www.genome.jp/entry/C01450" TargetMode="External"/><Relationship Id="rId1607" Type="http://schemas.openxmlformats.org/officeDocument/2006/relationships/hyperlink" Target="https://www.genome.jp/entry/C00201" TargetMode="External"/><Relationship Id="rId1814" Type="http://schemas.openxmlformats.org/officeDocument/2006/relationships/hyperlink" Target="https://enzyme.expasy.org/EC/3.1.3.5" TargetMode="External"/><Relationship Id="rId188" Type="http://schemas.openxmlformats.org/officeDocument/2006/relationships/hyperlink" Target="https://www.genome.jp/entry/C01929" TargetMode="External"/><Relationship Id="rId395" Type="http://schemas.openxmlformats.org/officeDocument/2006/relationships/hyperlink" Target="https://www.genome.jp/entry/C00894" TargetMode="External"/><Relationship Id="rId2076" Type="http://schemas.openxmlformats.org/officeDocument/2006/relationships/hyperlink" Target="https://www.genome.jp/entry/C16688" TargetMode="External"/><Relationship Id="rId2283" Type="http://schemas.openxmlformats.org/officeDocument/2006/relationships/hyperlink" Target="https://www.genome.jp/entry/C04494" TargetMode="External"/><Relationship Id="rId2490" Type="http://schemas.openxmlformats.org/officeDocument/2006/relationships/hyperlink" Target="https://www.genome.jp/entry/C05763" TargetMode="External"/><Relationship Id="rId2588" Type="http://schemas.openxmlformats.org/officeDocument/2006/relationships/hyperlink" Target="https://www.genome.jp/entry/C00491" TargetMode="External"/><Relationship Id="rId3127" Type="http://schemas.openxmlformats.org/officeDocument/2006/relationships/hyperlink" Target="https://www.genome.jp/entry/C00008" TargetMode="External"/><Relationship Id="rId255" Type="http://schemas.openxmlformats.org/officeDocument/2006/relationships/hyperlink" Target="https://www.genome.jp/entry/C01172" TargetMode="External"/><Relationship Id="rId462" Type="http://schemas.openxmlformats.org/officeDocument/2006/relationships/hyperlink" Target="https://www.genome.jp/entry/C01157" TargetMode="External"/><Relationship Id="rId1092" Type="http://schemas.openxmlformats.org/officeDocument/2006/relationships/hyperlink" Target="https://www.genome.jp/entry/C00097" TargetMode="External"/><Relationship Id="rId1397" Type="http://schemas.openxmlformats.org/officeDocument/2006/relationships/hyperlink" Target="https://www.genome.jp/entry/C00008" TargetMode="External"/><Relationship Id="rId2143" Type="http://schemas.openxmlformats.org/officeDocument/2006/relationships/hyperlink" Target="https://www.genome.jp/entry/C00148" TargetMode="External"/><Relationship Id="rId2350" Type="http://schemas.openxmlformats.org/officeDocument/2006/relationships/hyperlink" Target="https://www.genome.jp/entry/C00008" TargetMode="External"/><Relationship Id="rId2795" Type="http://schemas.openxmlformats.org/officeDocument/2006/relationships/hyperlink" Target="https://enzyme.expasy.org/EC/5.4.99.12" TargetMode="External"/><Relationship Id="rId115" Type="http://schemas.openxmlformats.org/officeDocument/2006/relationships/hyperlink" Target="https://www.genome.jp/entry/C05750" TargetMode="External"/><Relationship Id="rId322" Type="http://schemas.openxmlformats.org/officeDocument/2006/relationships/hyperlink" Target="https://www.genome.jp/entry/C04232" TargetMode="External"/><Relationship Id="rId767" Type="http://schemas.openxmlformats.org/officeDocument/2006/relationships/hyperlink" Target="https://www.genome.jp/entry/C00010" TargetMode="External"/><Relationship Id="rId974" Type="http://schemas.openxmlformats.org/officeDocument/2006/relationships/hyperlink" Target="https://www.genome.jp/entry/C05539" TargetMode="External"/><Relationship Id="rId2003" Type="http://schemas.openxmlformats.org/officeDocument/2006/relationships/hyperlink" Target="https://www.genome.jp/entry/C01190" TargetMode="External"/><Relationship Id="rId2210" Type="http://schemas.openxmlformats.org/officeDocument/2006/relationships/hyperlink" Target="https://www.genome.jp/entry/C00337" TargetMode="External"/><Relationship Id="rId2448" Type="http://schemas.openxmlformats.org/officeDocument/2006/relationships/hyperlink" Target="https://www.genome.jp/entry/C00065" TargetMode="External"/><Relationship Id="rId2655" Type="http://schemas.openxmlformats.org/officeDocument/2006/relationships/hyperlink" Target="https://www.genome.jp/entry/C02097" TargetMode="External"/><Relationship Id="rId2862" Type="http://schemas.openxmlformats.org/officeDocument/2006/relationships/hyperlink" Target="https://www.genome.jp/entry/C00002" TargetMode="External"/><Relationship Id="rId627" Type="http://schemas.openxmlformats.org/officeDocument/2006/relationships/hyperlink" Target="https://www.genome.jp/entry/C20858" TargetMode="External"/><Relationship Id="rId834" Type="http://schemas.openxmlformats.org/officeDocument/2006/relationships/hyperlink" Target="https://enzyme.expasy.org/EC/2.3.1.16" TargetMode="External"/><Relationship Id="rId1257" Type="http://schemas.openxmlformats.org/officeDocument/2006/relationships/hyperlink" Target="https://www.genome.jp/entry/C00008" TargetMode="External"/><Relationship Id="rId1464" Type="http://schemas.openxmlformats.org/officeDocument/2006/relationships/hyperlink" Target="https://enzyme.expasy.org/EC/2.7.4.6" TargetMode="External"/><Relationship Id="rId1671" Type="http://schemas.openxmlformats.org/officeDocument/2006/relationships/hyperlink" Target="https://www.genome.jp/entry/C00002" TargetMode="External"/><Relationship Id="rId2308" Type="http://schemas.openxmlformats.org/officeDocument/2006/relationships/hyperlink" Target="https://www.genome.jp/entry/C00149" TargetMode="External"/><Relationship Id="rId2515" Type="http://schemas.openxmlformats.org/officeDocument/2006/relationships/hyperlink" Target="https://www.genome.jp/entry/C06056" TargetMode="External"/><Relationship Id="rId2722" Type="http://schemas.openxmlformats.org/officeDocument/2006/relationships/hyperlink" Target="https://enzyme.expasy.org/EC/5.3.1.9" TargetMode="External"/><Relationship Id="rId901" Type="http://schemas.openxmlformats.org/officeDocument/2006/relationships/hyperlink" Target="https://www.genome.jp/entry/C05762" TargetMode="External"/><Relationship Id="rId1117" Type="http://schemas.openxmlformats.org/officeDocument/2006/relationships/hyperlink" Target="https://www.genome.jp/entry/C00064" TargetMode="External"/><Relationship Id="rId1324" Type="http://schemas.openxmlformats.org/officeDocument/2006/relationships/hyperlink" Target="https://enzyme.expasy.org/EC/2.7.1.48" TargetMode="External"/><Relationship Id="rId1531" Type="http://schemas.openxmlformats.org/officeDocument/2006/relationships/hyperlink" Target="https://www.genome.jp/entry/C00008" TargetMode="External"/><Relationship Id="rId1769" Type="http://schemas.openxmlformats.org/officeDocument/2006/relationships/hyperlink" Target="https://enzyme.expasy.org/EC/3.1.3.5" TargetMode="External"/><Relationship Id="rId1976" Type="http://schemas.openxmlformats.org/officeDocument/2006/relationships/hyperlink" Target="https://www.genome.jp/entry/G01275" TargetMode="External"/><Relationship Id="rId30" Type="http://schemas.openxmlformats.org/officeDocument/2006/relationships/hyperlink" Target="https://www.genome.jp/entry/C00376" TargetMode="External"/><Relationship Id="rId1629" Type="http://schemas.openxmlformats.org/officeDocument/2006/relationships/hyperlink" Target="https://www.genome.jp/entry/C00013" TargetMode="External"/><Relationship Id="rId1836" Type="http://schemas.openxmlformats.org/officeDocument/2006/relationships/hyperlink" Target="https://www.genome.jp/entry/C00053" TargetMode="External"/><Relationship Id="rId1903" Type="http://schemas.openxmlformats.org/officeDocument/2006/relationships/hyperlink" Target="https://www.genome.jp/entry/C00124" TargetMode="External"/><Relationship Id="rId2098" Type="http://schemas.openxmlformats.org/officeDocument/2006/relationships/hyperlink" Target="https://www.genome.jp/entry/C00031" TargetMode="External"/><Relationship Id="rId3051" Type="http://schemas.openxmlformats.org/officeDocument/2006/relationships/hyperlink" Target="https://www.genome.jp/entry/C00002" TargetMode="External"/><Relationship Id="rId3149" Type="http://schemas.openxmlformats.org/officeDocument/2006/relationships/hyperlink" Target="https://enzyme.expasy.org/EC/6.3.5.5" TargetMode="External"/><Relationship Id="rId277" Type="http://schemas.openxmlformats.org/officeDocument/2006/relationships/hyperlink" Target="https://www.genome.jp/entry/C00704" TargetMode="External"/><Relationship Id="rId484" Type="http://schemas.openxmlformats.org/officeDocument/2006/relationships/hyperlink" Target="https://www.genome.jp/entry/C00101" TargetMode="External"/><Relationship Id="rId2165" Type="http://schemas.openxmlformats.org/officeDocument/2006/relationships/hyperlink" Target="https://www.genome.jp/entry/C00511" TargetMode="External"/><Relationship Id="rId3009" Type="http://schemas.openxmlformats.org/officeDocument/2006/relationships/hyperlink" Target="https://enzyme.expasy.org/EC/6.3.2.10" TargetMode="External"/><Relationship Id="rId137" Type="http://schemas.openxmlformats.org/officeDocument/2006/relationships/hyperlink" Target="https://www.genome.jp/entry/C16220" TargetMode="External"/><Relationship Id="rId344" Type="http://schemas.openxmlformats.org/officeDocument/2006/relationships/hyperlink" Target="https://www.genome.jp/entry/C00063" TargetMode="External"/><Relationship Id="rId691" Type="http://schemas.openxmlformats.org/officeDocument/2006/relationships/hyperlink" Target="https://www.genome.jp/entry/C05382" TargetMode="External"/><Relationship Id="rId789" Type="http://schemas.openxmlformats.org/officeDocument/2006/relationships/hyperlink" Target="https://enzyme.expasy.org/EC/2.3.1.16" TargetMode="External"/><Relationship Id="rId996" Type="http://schemas.openxmlformats.org/officeDocument/2006/relationships/hyperlink" Target="https://enzyme.expasy.org/EC/2.4.1.1" TargetMode="External"/><Relationship Id="rId2025" Type="http://schemas.openxmlformats.org/officeDocument/2006/relationships/hyperlink" Target="https://www.genome.jp/entry/G00092" TargetMode="External"/><Relationship Id="rId2372" Type="http://schemas.openxmlformats.org/officeDocument/2006/relationships/hyperlink" Target="https://enzyme.expasy.org/EC/4.1.1.5" TargetMode="External"/><Relationship Id="rId2677" Type="http://schemas.openxmlformats.org/officeDocument/2006/relationships/hyperlink" Target="https://enzyme.expasy.org/EC/5.3.1.16" TargetMode="External"/><Relationship Id="rId2884" Type="http://schemas.openxmlformats.org/officeDocument/2006/relationships/hyperlink" Target="https://www.genome.jp/entry/C00020" TargetMode="External"/><Relationship Id="rId551" Type="http://schemas.openxmlformats.org/officeDocument/2006/relationships/hyperlink" Target="https://www.genome.jp/entry/C05526" TargetMode="External"/><Relationship Id="rId649" Type="http://schemas.openxmlformats.org/officeDocument/2006/relationships/hyperlink" Target="https://www.genome.jp/entry/C00399" TargetMode="External"/><Relationship Id="rId856" Type="http://schemas.openxmlformats.org/officeDocument/2006/relationships/hyperlink" Target="https://www.genome.jp/entry/C23016" TargetMode="External"/><Relationship Id="rId1181" Type="http://schemas.openxmlformats.org/officeDocument/2006/relationships/hyperlink" Target="https://enzyme.expasy.org/EC/2.7.1.17" TargetMode="External"/><Relationship Id="rId1279" Type="http://schemas.openxmlformats.org/officeDocument/2006/relationships/hyperlink" Target="https://enzyme.expasy.org/EC/2.7.1.40" TargetMode="External"/><Relationship Id="rId1486" Type="http://schemas.openxmlformats.org/officeDocument/2006/relationships/hyperlink" Target="https://www.genome.jp/entry/C00002" TargetMode="External"/><Relationship Id="rId2232" Type="http://schemas.openxmlformats.org/officeDocument/2006/relationships/hyperlink" Target="https://www.genome.jp/entry/C00294" TargetMode="External"/><Relationship Id="rId2537" Type="http://schemas.openxmlformats.org/officeDocument/2006/relationships/hyperlink" Target="https://enzyme.expasy.org/EC/4.3.1.17" TargetMode="External"/><Relationship Id="rId204" Type="http://schemas.openxmlformats.org/officeDocument/2006/relationships/hyperlink" Target="https://enzyme.expasy.org/EC/1.1.1.262" TargetMode="External"/><Relationship Id="rId411" Type="http://schemas.openxmlformats.org/officeDocument/2006/relationships/hyperlink" Target="https://enzyme.expasy.org/EC/1.4.1.13" TargetMode="External"/><Relationship Id="rId509" Type="http://schemas.openxmlformats.org/officeDocument/2006/relationships/hyperlink" Target="https://www.genome.jp/entry/C00415" TargetMode="External"/><Relationship Id="rId1041" Type="http://schemas.openxmlformats.org/officeDocument/2006/relationships/hyperlink" Target="https://enzyme.expasy.org/EC/2.4.2.22" TargetMode="External"/><Relationship Id="rId1139" Type="http://schemas.openxmlformats.org/officeDocument/2006/relationships/hyperlink" Target="https://www.genome.jp/entry/C00002" TargetMode="External"/><Relationship Id="rId1346" Type="http://schemas.openxmlformats.org/officeDocument/2006/relationships/hyperlink" Target="https://www.genome.jp/entry/C00002" TargetMode="External"/><Relationship Id="rId1693" Type="http://schemas.openxmlformats.org/officeDocument/2006/relationships/hyperlink" Target="https://www.genome.jp/entry/C00105" TargetMode="External"/><Relationship Id="rId1998" Type="http://schemas.openxmlformats.org/officeDocument/2006/relationships/hyperlink" Target="https://www.genome.jp/entry/C00267" TargetMode="External"/><Relationship Id="rId2744" Type="http://schemas.openxmlformats.org/officeDocument/2006/relationships/hyperlink" Target="https://www.genome.jp/entry/C02501" TargetMode="External"/><Relationship Id="rId2951" Type="http://schemas.openxmlformats.org/officeDocument/2006/relationships/hyperlink" Target="https://www.genome.jp/entry/C00002" TargetMode="External"/><Relationship Id="rId716" Type="http://schemas.openxmlformats.org/officeDocument/2006/relationships/hyperlink" Target="https://www.genome.jp/entry/C00900" TargetMode="External"/><Relationship Id="rId923" Type="http://schemas.openxmlformats.org/officeDocument/2006/relationships/hyperlink" Target="https://www.genome.jp/entry/C20641" TargetMode="External"/><Relationship Id="rId1553" Type="http://schemas.openxmlformats.org/officeDocument/2006/relationships/hyperlink" Target="https://www.genome.jp/entry/C00029" TargetMode="External"/><Relationship Id="rId1760" Type="http://schemas.openxmlformats.org/officeDocument/2006/relationships/hyperlink" Target="https://www.genome.jp/entry/C00020" TargetMode="External"/><Relationship Id="rId1858" Type="http://schemas.openxmlformats.org/officeDocument/2006/relationships/hyperlink" Target="https://www.genome.jp/entry/C02686" TargetMode="External"/><Relationship Id="rId2604" Type="http://schemas.openxmlformats.org/officeDocument/2006/relationships/hyperlink" Target="https://www.genome.jp/entry/C02882" TargetMode="External"/><Relationship Id="rId2811" Type="http://schemas.openxmlformats.org/officeDocument/2006/relationships/hyperlink" Target="https://www.genome.jp/entry/C00935" TargetMode="External"/><Relationship Id="rId52" Type="http://schemas.openxmlformats.org/officeDocument/2006/relationships/hyperlink" Target="https://www.genome.jp/entry/C05576" TargetMode="External"/><Relationship Id="rId1206" Type="http://schemas.openxmlformats.org/officeDocument/2006/relationships/hyperlink" Target="https://enzyme.expasy.org/EC/2.7.1.21" TargetMode="External"/><Relationship Id="rId1413" Type="http://schemas.openxmlformats.org/officeDocument/2006/relationships/hyperlink" Target="https://www.genome.jp/entry/C00008" TargetMode="External"/><Relationship Id="rId1620" Type="http://schemas.openxmlformats.org/officeDocument/2006/relationships/hyperlink" Target="https://enzyme.expasy.org/EC/2.7.7.7" TargetMode="External"/><Relationship Id="rId2909" Type="http://schemas.openxmlformats.org/officeDocument/2006/relationships/hyperlink" Target="https://www.genome.jp/entry/C00020" TargetMode="External"/><Relationship Id="rId3073" Type="http://schemas.openxmlformats.org/officeDocument/2006/relationships/hyperlink" Target="https://www.genome.jp/entry/C00008" TargetMode="External"/><Relationship Id="rId1718" Type="http://schemas.openxmlformats.org/officeDocument/2006/relationships/hyperlink" Target="https://www.genome.jp/entry/C00065" TargetMode="External"/><Relationship Id="rId1925" Type="http://schemas.openxmlformats.org/officeDocument/2006/relationships/hyperlink" Target="https://www.genome.jp/entry/C05400" TargetMode="External"/><Relationship Id="rId3140" Type="http://schemas.openxmlformats.org/officeDocument/2006/relationships/hyperlink" Target="https://www.genome.jp/entry/C00002" TargetMode="External"/><Relationship Id="rId299" Type="http://schemas.openxmlformats.org/officeDocument/2006/relationships/hyperlink" Target="https://www.genome.jp/entry/C00035" TargetMode="External"/><Relationship Id="rId2187" Type="http://schemas.openxmlformats.org/officeDocument/2006/relationships/hyperlink" Target="https://www.genome.jp/entry/C00060" TargetMode="External"/><Relationship Id="rId2394" Type="http://schemas.openxmlformats.org/officeDocument/2006/relationships/hyperlink" Target="https://www.genome.jp/entry/C01094" TargetMode="External"/><Relationship Id="rId159" Type="http://schemas.openxmlformats.org/officeDocument/2006/relationships/hyperlink" Target="https://enzyme.expasy.org/EC/1.1.1.17" TargetMode="External"/><Relationship Id="rId366" Type="http://schemas.openxmlformats.org/officeDocument/2006/relationships/hyperlink" Target="https://enzyme.expasy.org/EC/1.2.1.11" TargetMode="External"/><Relationship Id="rId573" Type="http://schemas.openxmlformats.org/officeDocument/2006/relationships/hyperlink" Target="https://enzyme.expasy.org/EC/1.8.4.12" TargetMode="External"/><Relationship Id="rId780" Type="http://schemas.openxmlformats.org/officeDocument/2006/relationships/hyperlink" Target="https://www.genome.jp/entry/C01944" TargetMode="External"/><Relationship Id="rId2047" Type="http://schemas.openxmlformats.org/officeDocument/2006/relationships/hyperlink" Target="https://www.genome.jp/entry/C00267" TargetMode="External"/><Relationship Id="rId2254" Type="http://schemas.openxmlformats.org/officeDocument/2006/relationships/hyperlink" Target="https://www.genome.jp/entry/C00445" TargetMode="External"/><Relationship Id="rId2461" Type="http://schemas.openxmlformats.org/officeDocument/2006/relationships/hyperlink" Target="https://www.genome.jp/entry/C00463" TargetMode="External"/><Relationship Id="rId2699" Type="http://schemas.openxmlformats.org/officeDocument/2006/relationships/hyperlink" Target="https://www.genome.jp/entry/C00117" TargetMode="External"/><Relationship Id="rId3000" Type="http://schemas.openxmlformats.org/officeDocument/2006/relationships/hyperlink" Target="https://www.genome.jp/entry/C16238" TargetMode="External"/><Relationship Id="rId226" Type="http://schemas.openxmlformats.org/officeDocument/2006/relationships/hyperlink" Target="https://www.genome.jp/entry/C05823" TargetMode="External"/><Relationship Id="rId433" Type="http://schemas.openxmlformats.org/officeDocument/2006/relationships/hyperlink" Target="https://www.genome.jp/entry/C05167" TargetMode="External"/><Relationship Id="rId878" Type="http://schemas.openxmlformats.org/officeDocument/2006/relationships/hyperlink" Target="https://www.genome.jp/entry/C05745" TargetMode="External"/><Relationship Id="rId1063" Type="http://schemas.openxmlformats.org/officeDocument/2006/relationships/hyperlink" Target="https://www.genome.jp/entry/C00106" TargetMode="External"/><Relationship Id="rId1270" Type="http://schemas.openxmlformats.org/officeDocument/2006/relationships/hyperlink" Target="https://www.genome.jp/entry/C00044" TargetMode="External"/><Relationship Id="rId2114" Type="http://schemas.openxmlformats.org/officeDocument/2006/relationships/hyperlink" Target="https://enzyme.expasy.org/EC/3.2.1.93" TargetMode="External"/><Relationship Id="rId2559" Type="http://schemas.openxmlformats.org/officeDocument/2006/relationships/hyperlink" Target="https://www.genome.jp/entry/C04916" TargetMode="External"/><Relationship Id="rId2766" Type="http://schemas.openxmlformats.org/officeDocument/2006/relationships/hyperlink" Target="https://www.genome.jp/entry/C00631" TargetMode="External"/><Relationship Id="rId2973" Type="http://schemas.openxmlformats.org/officeDocument/2006/relationships/hyperlink" Target="https://www.genome.jp/entry/C16237" TargetMode="External"/><Relationship Id="rId640" Type="http://schemas.openxmlformats.org/officeDocument/2006/relationships/hyperlink" Target="https://www.genome.jp/entry/C03800" TargetMode="External"/><Relationship Id="rId738" Type="http://schemas.openxmlformats.org/officeDocument/2006/relationships/hyperlink" Target="https://www.genome.jp/entry/C00681" TargetMode="External"/><Relationship Id="rId945" Type="http://schemas.openxmlformats.org/officeDocument/2006/relationships/hyperlink" Target="https://www.genome.jp/entry/C00153" TargetMode="External"/><Relationship Id="rId1368" Type="http://schemas.openxmlformats.org/officeDocument/2006/relationships/hyperlink" Target="https://www.genome.jp/entry/C00008" TargetMode="External"/><Relationship Id="rId1575" Type="http://schemas.openxmlformats.org/officeDocument/2006/relationships/hyperlink" Target="https://enzyme.expasy.org/EC/2.7.7.27" TargetMode="External"/><Relationship Id="rId1782" Type="http://schemas.openxmlformats.org/officeDocument/2006/relationships/hyperlink" Target="https://www.genome.jp/entry/C00387" TargetMode="External"/><Relationship Id="rId2321" Type="http://schemas.openxmlformats.org/officeDocument/2006/relationships/hyperlink" Target="https://www.genome.jp/entry/C00041" TargetMode="External"/><Relationship Id="rId2419" Type="http://schemas.openxmlformats.org/officeDocument/2006/relationships/hyperlink" Target="https://www.genome.jp/entry/C02730" TargetMode="External"/><Relationship Id="rId2626" Type="http://schemas.openxmlformats.org/officeDocument/2006/relationships/hyperlink" Target="https://www.genome.jp/entry/C00133" TargetMode="External"/><Relationship Id="rId2833" Type="http://schemas.openxmlformats.org/officeDocument/2006/relationships/hyperlink" Target="https://www.genome.jp/entry/C00020" TargetMode="External"/><Relationship Id="rId74" Type="http://schemas.openxmlformats.org/officeDocument/2006/relationships/hyperlink" Target="https://www.genome.jp/entry/C16551" TargetMode="External"/><Relationship Id="rId500" Type="http://schemas.openxmlformats.org/officeDocument/2006/relationships/hyperlink" Target="https://www.genome.jp/entry/C00272" TargetMode="External"/><Relationship Id="rId805" Type="http://schemas.openxmlformats.org/officeDocument/2006/relationships/hyperlink" Target="https://www.genome.jp/entry/C07118" TargetMode="External"/><Relationship Id="rId1130" Type="http://schemas.openxmlformats.org/officeDocument/2006/relationships/hyperlink" Target="https://www.genome.jp/entry/C01267" TargetMode="External"/><Relationship Id="rId1228" Type="http://schemas.openxmlformats.org/officeDocument/2006/relationships/hyperlink" Target="https://www.genome.jp/entry/C00002" TargetMode="External"/><Relationship Id="rId1435" Type="http://schemas.openxmlformats.org/officeDocument/2006/relationships/hyperlink" Target="https://www.genome.jp/entry/C00002" TargetMode="External"/><Relationship Id="rId1642" Type="http://schemas.openxmlformats.org/officeDocument/2006/relationships/hyperlink" Target="https://www.genome.jp/entry/C00677" TargetMode="External"/><Relationship Id="rId1947" Type="http://schemas.openxmlformats.org/officeDocument/2006/relationships/hyperlink" Target="https://www.genome.jp/entry/C03692" TargetMode="External"/><Relationship Id="rId2900" Type="http://schemas.openxmlformats.org/officeDocument/2006/relationships/hyperlink" Target="https://enzyme.expasy.org/EC/6.1.1.16" TargetMode="External"/><Relationship Id="rId3095" Type="http://schemas.openxmlformats.org/officeDocument/2006/relationships/hyperlink" Target="https://www.genome.jp/entry/C01185" TargetMode="External"/><Relationship Id="rId1502" Type="http://schemas.openxmlformats.org/officeDocument/2006/relationships/hyperlink" Target="https://www.genome.jp/entry/C11039" TargetMode="External"/><Relationship Id="rId1807" Type="http://schemas.openxmlformats.org/officeDocument/2006/relationships/hyperlink" Target="https://www.genome.jp/entry/C00526" TargetMode="External"/><Relationship Id="rId3162" Type="http://schemas.openxmlformats.org/officeDocument/2006/relationships/hyperlink" Target="https://www.genome.jp/entry/C00008" TargetMode="External"/><Relationship Id="rId290" Type="http://schemas.openxmlformats.org/officeDocument/2006/relationships/hyperlink" Target="https://enzyme.expasy.org/EC/1.17.4.1" TargetMode="External"/><Relationship Id="rId388" Type="http://schemas.openxmlformats.org/officeDocument/2006/relationships/hyperlink" Target="https://www.genome.jp/entry/C00337" TargetMode="External"/><Relationship Id="rId2069" Type="http://schemas.openxmlformats.org/officeDocument/2006/relationships/hyperlink" Target="https://enzyme.expasy.org/EC/3.2.1.26" TargetMode="External"/><Relationship Id="rId3022" Type="http://schemas.openxmlformats.org/officeDocument/2006/relationships/hyperlink" Target="https://www.genome.jp/entry/C00008" TargetMode="External"/><Relationship Id="rId150" Type="http://schemas.openxmlformats.org/officeDocument/2006/relationships/hyperlink" Target="https://www.genome.jp/entry/C00522" TargetMode="External"/><Relationship Id="rId595" Type="http://schemas.openxmlformats.org/officeDocument/2006/relationships/hyperlink" Target="https://www.genome.jp/entry/C00019" TargetMode="External"/><Relationship Id="rId2276" Type="http://schemas.openxmlformats.org/officeDocument/2006/relationships/hyperlink" Target="https://www.genome.jp/entry/C00009" TargetMode="External"/><Relationship Id="rId2483" Type="http://schemas.openxmlformats.org/officeDocument/2006/relationships/hyperlink" Target="https://www.genome.jp/entry/C05754" TargetMode="External"/><Relationship Id="rId2690" Type="http://schemas.openxmlformats.org/officeDocument/2006/relationships/hyperlink" Target="https://www.genome.jp/entry/C05345" TargetMode="External"/><Relationship Id="rId248" Type="http://schemas.openxmlformats.org/officeDocument/2006/relationships/hyperlink" Target="https://www.genome.jp/entry/C00345" TargetMode="External"/><Relationship Id="rId455" Type="http://schemas.openxmlformats.org/officeDocument/2006/relationships/hyperlink" Target="https://enzyme.expasy.org/EC/1.5.1.2" TargetMode="External"/><Relationship Id="rId662" Type="http://schemas.openxmlformats.org/officeDocument/2006/relationships/hyperlink" Target="https://www.genome.jp/entry/C00143" TargetMode="External"/><Relationship Id="rId1085" Type="http://schemas.openxmlformats.org/officeDocument/2006/relationships/hyperlink" Target="https://www.genome.jp/entry/C00013" TargetMode="External"/><Relationship Id="rId1292" Type="http://schemas.openxmlformats.org/officeDocument/2006/relationships/hyperlink" Target="https://www.genome.jp/entry/C00206" TargetMode="External"/><Relationship Id="rId2136" Type="http://schemas.openxmlformats.org/officeDocument/2006/relationships/hyperlink" Target="https://www.genome.jp/entry/C05198" TargetMode="External"/><Relationship Id="rId2343" Type="http://schemas.openxmlformats.org/officeDocument/2006/relationships/hyperlink" Target="https://www.genome.jp/entry/C01103" TargetMode="External"/><Relationship Id="rId2550" Type="http://schemas.openxmlformats.org/officeDocument/2006/relationships/hyperlink" Target="https://www.genome.jp/entry/C00122" TargetMode="External"/><Relationship Id="rId2788" Type="http://schemas.openxmlformats.org/officeDocument/2006/relationships/hyperlink" Target="https://www.genome.jp/entry/C00673" TargetMode="External"/><Relationship Id="rId2995" Type="http://schemas.openxmlformats.org/officeDocument/2006/relationships/hyperlink" Target="https://www.genome.jp/entry/C00002" TargetMode="External"/><Relationship Id="rId108" Type="http://schemas.openxmlformats.org/officeDocument/2006/relationships/hyperlink" Target="https://www.genome.jp/entry/C04619" TargetMode="External"/><Relationship Id="rId315" Type="http://schemas.openxmlformats.org/officeDocument/2006/relationships/hyperlink" Target="https://enzyme.expasy.org/EC/1.17.4.1" TargetMode="External"/><Relationship Id="rId522" Type="http://schemas.openxmlformats.org/officeDocument/2006/relationships/hyperlink" Target="https://www.genome.jp/entry/C00144" TargetMode="External"/><Relationship Id="rId967" Type="http://schemas.openxmlformats.org/officeDocument/2006/relationships/hyperlink" Target="https://www.genome.jp/entry/C00100" TargetMode="External"/><Relationship Id="rId1152" Type="http://schemas.openxmlformats.org/officeDocument/2006/relationships/hyperlink" Target="https://www.genome.jp/entry/C00104" TargetMode="External"/><Relationship Id="rId1597" Type="http://schemas.openxmlformats.org/officeDocument/2006/relationships/hyperlink" Target="https://www.genome.jp/entry/C00063" TargetMode="External"/><Relationship Id="rId2203" Type="http://schemas.openxmlformats.org/officeDocument/2006/relationships/hyperlink" Target="https://www.genome.jp/entry/C00058" TargetMode="External"/><Relationship Id="rId2410" Type="http://schemas.openxmlformats.org/officeDocument/2006/relationships/hyperlink" Target="https://www.genome.jp/entry/C00033" TargetMode="External"/><Relationship Id="rId2648" Type="http://schemas.openxmlformats.org/officeDocument/2006/relationships/hyperlink" Target="https://www.genome.jp/entry/C00043" TargetMode="External"/><Relationship Id="rId2855" Type="http://schemas.openxmlformats.org/officeDocument/2006/relationships/hyperlink" Target="https://enzyme.expasy.org/EC/6.1.1.13" TargetMode="External"/><Relationship Id="rId96" Type="http://schemas.openxmlformats.org/officeDocument/2006/relationships/hyperlink" Target="https://enzyme.expasy.org/EC/1.1.1.100" TargetMode="External"/><Relationship Id="rId827" Type="http://schemas.openxmlformats.org/officeDocument/2006/relationships/hyperlink" Target="https://www.genome.jp/entry/C00010" TargetMode="External"/><Relationship Id="rId1012" Type="http://schemas.openxmlformats.org/officeDocument/2006/relationships/hyperlink" Target="https://www.genome.jp/entry/C05898" TargetMode="External"/><Relationship Id="rId1457" Type="http://schemas.openxmlformats.org/officeDocument/2006/relationships/hyperlink" Target="https://www.genome.jp/entry/C00008" TargetMode="External"/><Relationship Id="rId1664" Type="http://schemas.openxmlformats.org/officeDocument/2006/relationships/hyperlink" Target="https://www.genome.jp/entry/C19080" TargetMode="External"/><Relationship Id="rId1871" Type="http://schemas.openxmlformats.org/officeDocument/2006/relationships/hyperlink" Target="https://www.genome.jp/entry/C00089" TargetMode="External"/><Relationship Id="rId2508" Type="http://schemas.openxmlformats.org/officeDocument/2006/relationships/hyperlink" Target="https://www.genome.jp/entry/C20377" TargetMode="External"/><Relationship Id="rId2715" Type="http://schemas.openxmlformats.org/officeDocument/2006/relationships/hyperlink" Target="https://www.genome.jp/entry/C05345" TargetMode="External"/><Relationship Id="rId2922" Type="http://schemas.openxmlformats.org/officeDocument/2006/relationships/hyperlink" Target="https://www.genome.jp/entry/C00020" TargetMode="External"/><Relationship Id="rId1317" Type="http://schemas.openxmlformats.org/officeDocument/2006/relationships/hyperlink" Target="https://www.genome.jp/entry/C00035" TargetMode="External"/><Relationship Id="rId1524" Type="http://schemas.openxmlformats.org/officeDocument/2006/relationships/hyperlink" Target="https://www.genome.jp/entry/C22441" TargetMode="External"/><Relationship Id="rId1731" Type="http://schemas.openxmlformats.org/officeDocument/2006/relationships/hyperlink" Target="https://www.genome.jp/entry/C03880" TargetMode="External"/><Relationship Id="rId1969" Type="http://schemas.openxmlformats.org/officeDocument/2006/relationships/hyperlink" Target="https://enzyme.expasy.org/EC/3.2.1.22" TargetMode="External"/><Relationship Id="rId3184" Type="http://schemas.openxmlformats.org/officeDocument/2006/relationships/hyperlink" Target="https://enzyme.expasy.org/EC/7.1.2.1" TargetMode="External"/><Relationship Id="rId23" Type="http://schemas.openxmlformats.org/officeDocument/2006/relationships/hyperlink" Target="https://www.genome.jp/entry/C00469" TargetMode="External"/><Relationship Id="rId1829" Type="http://schemas.openxmlformats.org/officeDocument/2006/relationships/hyperlink" Target="https://enzyme.expasy.org/EC/3.1.3.5" TargetMode="External"/><Relationship Id="rId2298" Type="http://schemas.openxmlformats.org/officeDocument/2006/relationships/hyperlink" Target="https://www.genome.jp/entry/C01260" TargetMode="External"/><Relationship Id="rId3044" Type="http://schemas.openxmlformats.org/officeDocument/2006/relationships/hyperlink" Target="https://enzyme.expasy.org/EC/6.3.2.9" TargetMode="External"/><Relationship Id="rId172" Type="http://schemas.openxmlformats.org/officeDocument/2006/relationships/hyperlink" Target="https://www.genome.jp/entry/C00655" TargetMode="External"/><Relationship Id="rId477" Type="http://schemas.openxmlformats.org/officeDocument/2006/relationships/hyperlink" Target="https://www.genome.jp/entry/C00143" TargetMode="External"/><Relationship Id="rId684" Type="http://schemas.openxmlformats.org/officeDocument/2006/relationships/hyperlink" Target="https://www.genome.jp/entry/C00101" TargetMode="External"/><Relationship Id="rId2060" Type="http://schemas.openxmlformats.org/officeDocument/2006/relationships/hyperlink" Target="https://www.genome.jp/entry/G10534" TargetMode="External"/><Relationship Id="rId2158" Type="http://schemas.openxmlformats.org/officeDocument/2006/relationships/hyperlink" Target="https://www.genome.jp/entry/C00352" TargetMode="External"/><Relationship Id="rId2365" Type="http://schemas.openxmlformats.org/officeDocument/2006/relationships/hyperlink" Target="https://www.genome.jp/entry/C00008" TargetMode="External"/><Relationship Id="rId3111" Type="http://schemas.openxmlformats.org/officeDocument/2006/relationships/hyperlink" Target="https://www.genome.jp/entry/C00002" TargetMode="External"/><Relationship Id="rId337" Type="http://schemas.openxmlformats.org/officeDocument/2006/relationships/hyperlink" Target="https://www.genome.jp/entry/C00286" TargetMode="External"/><Relationship Id="rId891" Type="http://schemas.openxmlformats.org/officeDocument/2006/relationships/hyperlink" Target="https://www.genome.jp/entry/C05753" TargetMode="External"/><Relationship Id="rId989" Type="http://schemas.openxmlformats.org/officeDocument/2006/relationships/hyperlink" Target="https://www.genome.jp/entry/C00718" TargetMode="External"/><Relationship Id="rId2018" Type="http://schemas.openxmlformats.org/officeDocument/2006/relationships/hyperlink" Target="https://www.genome.jp/entry/C00124" TargetMode="External"/><Relationship Id="rId2572" Type="http://schemas.openxmlformats.org/officeDocument/2006/relationships/hyperlink" Target="https://enzyme.expasy.org/EC/4.3.2.2" TargetMode="External"/><Relationship Id="rId2877" Type="http://schemas.openxmlformats.org/officeDocument/2006/relationships/hyperlink" Target="https://www.genome.jp/entry/C00002" TargetMode="External"/><Relationship Id="rId544" Type="http://schemas.openxmlformats.org/officeDocument/2006/relationships/hyperlink" Target="https://www.genome.jp/entry/C00005" TargetMode="External"/><Relationship Id="rId751" Type="http://schemas.openxmlformats.org/officeDocument/2006/relationships/hyperlink" Target="https://www.genome.jp/entry/C00024" TargetMode="External"/><Relationship Id="rId849" Type="http://schemas.openxmlformats.org/officeDocument/2006/relationships/hyperlink" Target="https://enzyme.expasy.org/EC/2.3.1.16" TargetMode="External"/><Relationship Id="rId1174" Type="http://schemas.openxmlformats.org/officeDocument/2006/relationships/hyperlink" Target="https://www.genome.jp/entry/C00008" TargetMode="External"/><Relationship Id="rId1381" Type="http://schemas.openxmlformats.org/officeDocument/2006/relationships/hyperlink" Target="https://www.genome.jp/entry/C00002" TargetMode="External"/><Relationship Id="rId1479" Type="http://schemas.openxmlformats.org/officeDocument/2006/relationships/hyperlink" Target="https://enzyme.expasy.org/EC/2.7.4.6" TargetMode="External"/><Relationship Id="rId1686" Type="http://schemas.openxmlformats.org/officeDocument/2006/relationships/hyperlink" Target="https://www.genome.jp/entry/C04702" TargetMode="External"/><Relationship Id="rId2225" Type="http://schemas.openxmlformats.org/officeDocument/2006/relationships/hyperlink" Target="https://www.genome.jp/entry/C17324" TargetMode="External"/><Relationship Id="rId2432" Type="http://schemas.openxmlformats.org/officeDocument/2006/relationships/hyperlink" Target="https://enzyme.expasy.org/EC/4.2.1.126" TargetMode="External"/><Relationship Id="rId404" Type="http://schemas.openxmlformats.org/officeDocument/2006/relationships/hyperlink" Target="https://www.genome.jp/entry/C04631" TargetMode="External"/><Relationship Id="rId611" Type="http://schemas.openxmlformats.org/officeDocument/2006/relationships/hyperlink" Target="https://www.genome.jp/entry/C05812" TargetMode="External"/><Relationship Id="rId1034" Type="http://schemas.openxmlformats.org/officeDocument/2006/relationships/hyperlink" Target="https://www.genome.jp/entry/C00178" TargetMode="External"/><Relationship Id="rId1241" Type="http://schemas.openxmlformats.org/officeDocument/2006/relationships/hyperlink" Target="https://enzyme.expasy.org/EC/2.7.1.33" TargetMode="External"/><Relationship Id="rId1339" Type="http://schemas.openxmlformats.org/officeDocument/2006/relationships/hyperlink" Target="https://enzyme.expasy.org/EC/2.7.1.56" TargetMode="External"/><Relationship Id="rId1893" Type="http://schemas.openxmlformats.org/officeDocument/2006/relationships/hyperlink" Target="https://www.genome.jp/entry/C02336" TargetMode="External"/><Relationship Id="rId2737" Type="http://schemas.openxmlformats.org/officeDocument/2006/relationships/hyperlink" Target="https://enzyme.expasy.org/EC/5.3.1.9" TargetMode="External"/><Relationship Id="rId2944" Type="http://schemas.openxmlformats.org/officeDocument/2006/relationships/hyperlink" Target="https://enzyme.expasy.org/EC/6.1.1.5" TargetMode="External"/><Relationship Id="rId709" Type="http://schemas.openxmlformats.org/officeDocument/2006/relationships/hyperlink" Target="https://enzyme.expasy.org/EC/2.2.1.6" TargetMode="External"/><Relationship Id="rId916" Type="http://schemas.openxmlformats.org/officeDocument/2006/relationships/hyperlink" Target="https://www.genome.jp/entry/C20376" TargetMode="External"/><Relationship Id="rId1101" Type="http://schemas.openxmlformats.org/officeDocument/2006/relationships/hyperlink" Target="https://www.genome.jp/entry/C00002" TargetMode="External"/><Relationship Id="rId1546" Type="http://schemas.openxmlformats.org/officeDocument/2006/relationships/hyperlink" Target="https://www.genome.jp/entry/C00020" TargetMode="External"/><Relationship Id="rId1753" Type="http://schemas.openxmlformats.org/officeDocument/2006/relationships/hyperlink" Target="https://www.genome.jp/entry/C05345" TargetMode="External"/><Relationship Id="rId1960" Type="http://schemas.openxmlformats.org/officeDocument/2006/relationships/hyperlink" Target="https://www.genome.jp/entry/G00278" TargetMode="External"/><Relationship Id="rId2804" Type="http://schemas.openxmlformats.org/officeDocument/2006/relationships/hyperlink" Target="https://www.genome.jp/entry/C16639" TargetMode="External"/><Relationship Id="rId45" Type="http://schemas.openxmlformats.org/officeDocument/2006/relationships/hyperlink" Target="https://www.genome.jp/entry/C14099" TargetMode="External"/><Relationship Id="rId1406" Type="http://schemas.openxmlformats.org/officeDocument/2006/relationships/hyperlink" Target="https://www.genome.jp/entry/C00002" TargetMode="External"/><Relationship Id="rId1613" Type="http://schemas.openxmlformats.org/officeDocument/2006/relationships/hyperlink" Target="https://www.genome.jp/entry/C20864" TargetMode="External"/><Relationship Id="rId1820" Type="http://schemas.openxmlformats.org/officeDocument/2006/relationships/hyperlink" Target="https://www.genome.jp/entry/C01185" TargetMode="External"/><Relationship Id="rId3066" Type="http://schemas.openxmlformats.org/officeDocument/2006/relationships/hyperlink" Target="https://www.genome.jp/entry/C00002" TargetMode="External"/><Relationship Id="rId194" Type="http://schemas.openxmlformats.org/officeDocument/2006/relationships/hyperlink" Target="https://enzyme.expasy.org/EC/1.1.1.25" TargetMode="External"/><Relationship Id="rId1918" Type="http://schemas.openxmlformats.org/officeDocument/2006/relationships/hyperlink" Target="https://www.genome.jp/entry/C00124" TargetMode="External"/><Relationship Id="rId2082" Type="http://schemas.openxmlformats.org/officeDocument/2006/relationships/hyperlink" Target="https://www.genome.jp/entry/G01275" TargetMode="External"/><Relationship Id="rId3133" Type="http://schemas.openxmlformats.org/officeDocument/2006/relationships/hyperlink" Target="https://www.genome.jp/entry/C16619" TargetMode="External"/><Relationship Id="rId261" Type="http://schemas.openxmlformats.org/officeDocument/2006/relationships/hyperlink" Target="https://www.genome.jp/entry/C00418" TargetMode="External"/><Relationship Id="rId499" Type="http://schemas.openxmlformats.org/officeDocument/2006/relationships/hyperlink" Target="https://www.genome.jp/entry/C00272" TargetMode="External"/><Relationship Id="rId2387" Type="http://schemas.openxmlformats.org/officeDocument/2006/relationships/hyperlink" Target="https://enzyme.expasy.org/EC/4.1.2.13" TargetMode="External"/><Relationship Id="rId2594" Type="http://schemas.openxmlformats.org/officeDocument/2006/relationships/hyperlink" Target="https://www.genome.jp/entry/C02291" TargetMode="External"/><Relationship Id="rId359" Type="http://schemas.openxmlformats.org/officeDocument/2006/relationships/hyperlink" Target="https://www.genome.jp/entry/C19647" TargetMode="External"/><Relationship Id="rId566" Type="http://schemas.openxmlformats.org/officeDocument/2006/relationships/hyperlink" Target="https://www.genome.jp/entry/C15999" TargetMode="External"/><Relationship Id="rId773" Type="http://schemas.openxmlformats.org/officeDocument/2006/relationships/hyperlink" Target="https://www.genome.jp/entry/C00010" TargetMode="External"/><Relationship Id="rId1196" Type="http://schemas.openxmlformats.org/officeDocument/2006/relationships/hyperlink" Target="https://enzyme.expasy.org/EC/2.7.1.2" TargetMode="External"/><Relationship Id="rId2247" Type="http://schemas.openxmlformats.org/officeDocument/2006/relationships/hyperlink" Target="https://www.genome.jp/entry/C00526" TargetMode="External"/><Relationship Id="rId2454" Type="http://schemas.openxmlformats.org/officeDocument/2006/relationships/hyperlink" Target="https://www.genome.jp/entry/C00691" TargetMode="External"/><Relationship Id="rId2899" Type="http://schemas.openxmlformats.org/officeDocument/2006/relationships/hyperlink" Target="https://www.genome.jp/entry/C00020" TargetMode="External"/><Relationship Id="rId121" Type="http://schemas.openxmlformats.org/officeDocument/2006/relationships/hyperlink" Target="https://enzyme.expasy.org/EC/1.1.1.100" TargetMode="External"/><Relationship Id="rId219" Type="http://schemas.openxmlformats.org/officeDocument/2006/relationships/hyperlink" Target="https://enzyme.expasy.org/EC/1.1.1.27" TargetMode="External"/><Relationship Id="rId426" Type="http://schemas.openxmlformats.org/officeDocument/2006/relationships/hyperlink" Target="https://enzyme.expasy.org/EC/1.4.1.4" TargetMode="External"/><Relationship Id="rId633" Type="http://schemas.openxmlformats.org/officeDocument/2006/relationships/hyperlink" Target="https://www.genome.jp/entry/C00365" TargetMode="External"/><Relationship Id="rId980" Type="http://schemas.openxmlformats.org/officeDocument/2006/relationships/hyperlink" Target="https://www.genome.jp/entry/C00024" TargetMode="External"/><Relationship Id="rId1056" Type="http://schemas.openxmlformats.org/officeDocument/2006/relationships/hyperlink" Target="https://enzyme.expasy.org/EC/2.4.2.7" TargetMode="External"/><Relationship Id="rId1263" Type="http://schemas.openxmlformats.org/officeDocument/2006/relationships/hyperlink" Target="https://www.genome.jp/entry/C00008" TargetMode="External"/><Relationship Id="rId2107" Type="http://schemas.openxmlformats.org/officeDocument/2006/relationships/hyperlink" Target="https://www.genome.jp/entry/C02323" TargetMode="External"/><Relationship Id="rId2314" Type="http://schemas.openxmlformats.org/officeDocument/2006/relationships/hyperlink" Target="https://www.genome.jp/entry/C00036" TargetMode="External"/><Relationship Id="rId2661" Type="http://schemas.openxmlformats.org/officeDocument/2006/relationships/hyperlink" Target="https://www.genome.jp/entry/C00231" TargetMode="External"/><Relationship Id="rId2759" Type="http://schemas.openxmlformats.org/officeDocument/2006/relationships/hyperlink" Target="https://www.genome.jp/entry/C00352" TargetMode="External"/><Relationship Id="rId2966" Type="http://schemas.openxmlformats.org/officeDocument/2006/relationships/hyperlink" Target="https://www.genome.jp/entry/C00002" TargetMode="External"/><Relationship Id="rId840" Type="http://schemas.openxmlformats.org/officeDocument/2006/relationships/hyperlink" Target="https://www.genome.jp/entry/C16471" TargetMode="External"/><Relationship Id="rId938" Type="http://schemas.openxmlformats.org/officeDocument/2006/relationships/hyperlink" Target="https://www.genome.jp/entry/C00003" TargetMode="External"/><Relationship Id="rId1470" Type="http://schemas.openxmlformats.org/officeDocument/2006/relationships/hyperlink" Target="https://www.genome.jp/entry/C00002" TargetMode="External"/><Relationship Id="rId1568" Type="http://schemas.openxmlformats.org/officeDocument/2006/relationships/hyperlink" Target="https://www.genome.jp/entry/C00002" TargetMode="External"/><Relationship Id="rId1775" Type="http://schemas.openxmlformats.org/officeDocument/2006/relationships/hyperlink" Target="https://www.genome.jp/entry/C00130" TargetMode="External"/><Relationship Id="rId2521" Type="http://schemas.openxmlformats.org/officeDocument/2006/relationships/hyperlink" Target="https://www.genome.jp/entry/C00022" TargetMode="External"/><Relationship Id="rId2619" Type="http://schemas.openxmlformats.org/officeDocument/2006/relationships/hyperlink" Target="https://www.genome.jp/entry/C05699" TargetMode="External"/><Relationship Id="rId2826" Type="http://schemas.openxmlformats.org/officeDocument/2006/relationships/hyperlink" Target="https://www.genome.jp/entry/C00002" TargetMode="External"/><Relationship Id="rId67" Type="http://schemas.openxmlformats.org/officeDocument/2006/relationships/hyperlink" Target="https://www.genome.jp/entry/C06899" TargetMode="External"/><Relationship Id="rId700" Type="http://schemas.openxmlformats.org/officeDocument/2006/relationships/hyperlink" Target="https://www.genome.jp/entry/C00022" TargetMode="External"/><Relationship Id="rId1123" Type="http://schemas.openxmlformats.org/officeDocument/2006/relationships/hyperlink" Target="https://www.genome.jp/entry/C00166" TargetMode="External"/><Relationship Id="rId1330" Type="http://schemas.openxmlformats.org/officeDocument/2006/relationships/hyperlink" Target="https://www.genome.jp/entry/C00002" TargetMode="External"/><Relationship Id="rId1428" Type="http://schemas.openxmlformats.org/officeDocument/2006/relationships/hyperlink" Target="https://www.genome.jp/entry/C03028" TargetMode="External"/><Relationship Id="rId1635" Type="http://schemas.openxmlformats.org/officeDocument/2006/relationships/hyperlink" Target="https://enzyme.expasy.org/EC/2.7.7.7" TargetMode="External"/><Relationship Id="rId1982" Type="http://schemas.openxmlformats.org/officeDocument/2006/relationships/hyperlink" Target="https://www.genome.jp/entry/C00137" TargetMode="External"/><Relationship Id="rId3088" Type="http://schemas.openxmlformats.org/officeDocument/2006/relationships/hyperlink" Target="https://www.genome.jp/entry/C00008" TargetMode="External"/><Relationship Id="rId1842" Type="http://schemas.openxmlformats.org/officeDocument/2006/relationships/hyperlink" Target="https://www.genome.jp/entry/C00020" TargetMode="External"/><Relationship Id="rId1702" Type="http://schemas.openxmlformats.org/officeDocument/2006/relationships/hyperlink" Target="https://www.genome.jp/entry/C00010" TargetMode="External"/><Relationship Id="rId3155" Type="http://schemas.openxmlformats.org/officeDocument/2006/relationships/hyperlink" Target="https://www.genome.jp/entry/C00002" TargetMode="External"/><Relationship Id="rId283" Type="http://schemas.openxmlformats.org/officeDocument/2006/relationships/hyperlink" Target="https://www.genome.jp/entry/C20258" TargetMode="External"/><Relationship Id="rId490" Type="http://schemas.openxmlformats.org/officeDocument/2006/relationships/hyperlink" Target="https://www.genome.jp/entry/C00101" TargetMode="External"/><Relationship Id="rId2171" Type="http://schemas.openxmlformats.org/officeDocument/2006/relationships/hyperlink" Target="https://www.genome.jp/entry/C02505" TargetMode="External"/><Relationship Id="rId3015" Type="http://schemas.openxmlformats.org/officeDocument/2006/relationships/hyperlink" Target="https://www.genome.jp/entry/C00002" TargetMode="External"/><Relationship Id="rId143" Type="http://schemas.openxmlformats.org/officeDocument/2006/relationships/hyperlink" Target="https://www.genome.jp/entry/C20373" TargetMode="External"/><Relationship Id="rId350" Type="http://schemas.openxmlformats.org/officeDocument/2006/relationships/hyperlink" Target="https://enzyme.expasy.org/EC/1.17.4.2" TargetMode="External"/><Relationship Id="rId588" Type="http://schemas.openxmlformats.org/officeDocument/2006/relationships/hyperlink" Target="https://enzyme.expasy.org/EC/2.1.1.14" TargetMode="External"/><Relationship Id="rId795" Type="http://schemas.openxmlformats.org/officeDocument/2006/relationships/hyperlink" Target="https://www.genome.jp/entry/C05274" TargetMode="External"/><Relationship Id="rId2031" Type="http://schemas.openxmlformats.org/officeDocument/2006/relationships/hyperlink" Target="https://www.genome.jp/entry/G00110" TargetMode="External"/><Relationship Id="rId2269" Type="http://schemas.openxmlformats.org/officeDocument/2006/relationships/hyperlink" Target="https://www.genome.jp/entry/C00352" TargetMode="External"/><Relationship Id="rId2476" Type="http://schemas.openxmlformats.org/officeDocument/2006/relationships/hyperlink" Target="https://www.genome.jp/entry/C04618" TargetMode="External"/><Relationship Id="rId2683" Type="http://schemas.openxmlformats.org/officeDocument/2006/relationships/hyperlink" Target="https://www.genome.jp/entry/C06019" TargetMode="External"/><Relationship Id="rId2890" Type="http://schemas.openxmlformats.org/officeDocument/2006/relationships/hyperlink" Target="https://enzyme.expasy.org/EC/6.1.1.14" TargetMode="External"/><Relationship Id="rId9" Type="http://schemas.openxmlformats.org/officeDocument/2006/relationships/hyperlink" Target="https://www.genome.jp/entry/C00576" TargetMode="External"/><Relationship Id="rId210" Type="http://schemas.openxmlformats.org/officeDocument/2006/relationships/hyperlink" Target="https://www.genome.jp/entry/C06055" TargetMode="External"/><Relationship Id="rId448" Type="http://schemas.openxmlformats.org/officeDocument/2006/relationships/hyperlink" Target="https://www.genome.jp/entry/C00018" TargetMode="External"/><Relationship Id="rId655" Type="http://schemas.openxmlformats.org/officeDocument/2006/relationships/hyperlink" Target="https://enzyme.expasy.org/EC/2.1.2.1" TargetMode="External"/><Relationship Id="rId862" Type="http://schemas.openxmlformats.org/officeDocument/2006/relationships/hyperlink" Target="https://www.genome.jp/entry/C23022" TargetMode="External"/><Relationship Id="rId1078" Type="http://schemas.openxmlformats.org/officeDocument/2006/relationships/hyperlink" Target="https://enzyme.expasy.org/EC/2.5.1.3" TargetMode="External"/><Relationship Id="rId1285" Type="http://schemas.openxmlformats.org/officeDocument/2006/relationships/hyperlink" Target="https://www.genome.jp/entry/C00081" TargetMode="External"/><Relationship Id="rId1492" Type="http://schemas.openxmlformats.org/officeDocument/2006/relationships/hyperlink" Target="https://www.genome.jp/entry/C00008" TargetMode="External"/><Relationship Id="rId2129" Type="http://schemas.openxmlformats.org/officeDocument/2006/relationships/hyperlink" Target="https://enzyme.expasy.org/EC/3.2.2.9" TargetMode="External"/><Relationship Id="rId2336" Type="http://schemas.openxmlformats.org/officeDocument/2006/relationships/hyperlink" Target="https://www.genome.jp/entry/C00047" TargetMode="External"/><Relationship Id="rId2543" Type="http://schemas.openxmlformats.org/officeDocument/2006/relationships/hyperlink" Target="https://www.genome.jp/entry/C20904" TargetMode="External"/><Relationship Id="rId2750" Type="http://schemas.openxmlformats.org/officeDocument/2006/relationships/hyperlink" Target="https://www.genome.jp/entry/C00235" TargetMode="External"/><Relationship Id="rId2988" Type="http://schemas.openxmlformats.org/officeDocument/2006/relationships/hyperlink" Target="https://www.genome.jp/entry/C00013" TargetMode="External"/><Relationship Id="rId308" Type="http://schemas.openxmlformats.org/officeDocument/2006/relationships/hyperlink" Target="https://www.genome.jp/entry/C00342" TargetMode="External"/><Relationship Id="rId515" Type="http://schemas.openxmlformats.org/officeDocument/2006/relationships/hyperlink" Target="https://www.genome.jp/entry/C00143" TargetMode="External"/><Relationship Id="rId722" Type="http://schemas.openxmlformats.org/officeDocument/2006/relationships/hyperlink" Target="https://www.genome.jp/entry/C00022" TargetMode="External"/><Relationship Id="rId1145" Type="http://schemas.openxmlformats.org/officeDocument/2006/relationships/hyperlink" Target="https://enzyme.expasy.org/EC/2.7.1.11" TargetMode="External"/><Relationship Id="rId1352" Type="http://schemas.openxmlformats.org/officeDocument/2006/relationships/hyperlink" Target="https://www.genome.jp/entry/C06893" TargetMode="External"/><Relationship Id="rId1797" Type="http://schemas.openxmlformats.org/officeDocument/2006/relationships/hyperlink" Target="https://www.genome.jp/entry/C00330" TargetMode="External"/><Relationship Id="rId2403" Type="http://schemas.openxmlformats.org/officeDocument/2006/relationships/hyperlink" Target="https://www.genome.jp/entry/C00199" TargetMode="External"/><Relationship Id="rId2848" Type="http://schemas.openxmlformats.org/officeDocument/2006/relationships/hyperlink" Target="https://www.genome.jp/entry/C00020" TargetMode="External"/><Relationship Id="rId89" Type="http://schemas.openxmlformats.org/officeDocument/2006/relationships/hyperlink" Target="https://www.genome.jp/entry/C16587" TargetMode="External"/><Relationship Id="rId1005" Type="http://schemas.openxmlformats.org/officeDocument/2006/relationships/hyperlink" Target="https://www.genome.jp/entry/G10495" TargetMode="External"/><Relationship Id="rId1212" Type="http://schemas.openxmlformats.org/officeDocument/2006/relationships/hyperlink" Target="https://www.genome.jp/entry/C00002" TargetMode="External"/><Relationship Id="rId1657" Type="http://schemas.openxmlformats.org/officeDocument/2006/relationships/hyperlink" Target="https://www.genome.jp/entry/C02211" TargetMode="External"/><Relationship Id="rId1864" Type="http://schemas.openxmlformats.org/officeDocument/2006/relationships/hyperlink" Target="https://enzyme.expasy.org/EC/3.2.1.20" TargetMode="External"/><Relationship Id="rId2610" Type="http://schemas.openxmlformats.org/officeDocument/2006/relationships/hyperlink" Target="https://www.genome.jp/entry/C11838" TargetMode="External"/><Relationship Id="rId2708" Type="http://schemas.openxmlformats.org/officeDocument/2006/relationships/hyperlink" Target="https://www.genome.jp/entry/C02962" TargetMode="External"/><Relationship Id="rId2915" Type="http://schemas.openxmlformats.org/officeDocument/2006/relationships/hyperlink" Target="https://www.genome.jp/entry/C00002" TargetMode="External"/><Relationship Id="rId1517" Type="http://schemas.openxmlformats.org/officeDocument/2006/relationships/hyperlink" Target="https://www.genome.jp/entry/C00008" TargetMode="External"/><Relationship Id="rId1724" Type="http://schemas.openxmlformats.org/officeDocument/2006/relationships/hyperlink" Target="https://www.genome.jp/entry/C00020" TargetMode="External"/><Relationship Id="rId3177" Type="http://schemas.openxmlformats.org/officeDocument/2006/relationships/hyperlink" Target="https://www.genome.jp/entry/C00008" TargetMode="External"/><Relationship Id="rId16" Type="http://schemas.openxmlformats.org/officeDocument/2006/relationships/hyperlink" Target="https://enzyme.expasy.org/EC/1.1.1.1" TargetMode="External"/><Relationship Id="rId1931" Type="http://schemas.openxmlformats.org/officeDocument/2006/relationships/hyperlink" Target="https://www.genome.jp/entry/C05401" TargetMode="External"/><Relationship Id="rId3037" Type="http://schemas.openxmlformats.org/officeDocument/2006/relationships/hyperlink" Target="https://www.genome.jp/entry/C00008" TargetMode="External"/><Relationship Id="rId2193" Type="http://schemas.openxmlformats.org/officeDocument/2006/relationships/hyperlink" Target="https://www.genome.jp/entry/C00033" TargetMode="External"/><Relationship Id="rId2498" Type="http://schemas.openxmlformats.org/officeDocument/2006/relationships/hyperlink" Target="https://www.genome.jp/entry/C05748" TargetMode="External"/><Relationship Id="rId165" Type="http://schemas.openxmlformats.org/officeDocument/2006/relationships/hyperlink" Target="https://www.genome.jp/entry/C00137" TargetMode="External"/><Relationship Id="rId372" Type="http://schemas.openxmlformats.org/officeDocument/2006/relationships/hyperlink" Target="https://www.genome.jp/entry/C01165" TargetMode="External"/><Relationship Id="rId677" Type="http://schemas.openxmlformats.org/officeDocument/2006/relationships/hyperlink" Target="https://www.genome.jp/entry/C00234" TargetMode="External"/><Relationship Id="rId2053" Type="http://schemas.openxmlformats.org/officeDocument/2006/relationships/hyperlink" Target="https://www.genome.jp/entry/C00031" TargetMode="External"/><Relationship Id="rId2260" Type="http://schemas.openxmlformats.org/officeDocument/2006/relationships/hyperlink" Target="https://www.genome.jp/entry/C01279" TargetMode="External"/><Relationship Id="rId2358" Type="http://schemas.openxmlformats.org/officeDocument/2006/relationships/hyperlink" Target="https://www.genome.jp/entry/C01302" TargetMode="External"/><Relationship Id="rId3104" Type="http://schemas.openxmlformats.org/officeDocument/2006/relationships/hyperlink" Target="https://enzyme.expasy.org/EC/6.3.4.3" TargetMode="External"/><Relationship Id="rId232" Type="http://schemas.openxmlformats.org/officeDocument/2006/relationships/hyperlink" Target="https://www.genome.jp/entry/C00109" TargetMode="External"/><Relationship Id="rId884" Type="http://schemas.openxmlformats.org/officeDocument/2006/relationships/hyperlink" Target="https://www.genome.jp/entry/C05749" TargetMode="External"/><Relationship Id="rId2120" Type="http://schemas.openxmlformats.org/officeDocument/2006/relationships/hyperlink" Target="https://www.genome.jp/entry/C00001" TargetMode="External"/><Relationship Id="rId2565" Type="http://schemas.openxmlformats.org/officeDocument/2006/relationships/hyperlink" Target="https://www.genome.jp/entry/C20258" TargetMode="External"/><Relationship Id="rId2772" Type="http://schemas.openxmlformats.org/officeDocument/2006/relationships/hyperlink" Target="https://www.genome.jp/entry/C00663" TargetMode="External"/><Relationship Id="rId537" Type="http://schemas.openxmlformats.org/officeDocument/2006/relationships/hyperlink" Target="https://www.genome.jp/entry/C15972" TargetMode="External"/><Relationship Id="rId744" Type="http://schemas.openxmlformats.org/officeDocument/2006/relationships/hyperlink" Target="https://enzyme.expasy.org/EC/2.3.1.157" TargetMode="External"/><Relationship Id="rId951" Type="http://schemas.openxmlformats.org/officeDocument/2006/relationships/hyperlink" Target="https://enzyme.expasy.org/EC/2.3.1.54" TargetMode="External"/><Relationship Id="rId1167" Type="http://schemas.openxmlformats.org/officeDocument/2006/relationships/hyperlink" Target="https://www.genome.jp/entry/C00022" TargetMode="External"/><Relationship Id="rId1374" Type="http://schemas.openxmlformats.org/officeDocument/2006/relationships/hyperlink" Target="https://enzyme.expasy.org/EC/2.7.2.4" TargetMode="External"/><Relationship Id="rId1581" Type="http://schemas.openxmlformats.org/officeDocument/2006/relationships/hyperlink" Target="https://www.genome.jp/entry/C00002" TargetMode="External"/><Relationship Id="rId1679" Type="http://schemas.openxmlformats.org/officeDocument/2006/relationships/hyperlink" Target="https://www.genome.jp/entry/C20641" TargetMode="External"/><Relationship Id="rId2218" Type="http://schemas.openxmlformats.org/officeDocument/2006/relationships/hyperlink" Target="https://enzyme.expasy.org/EC/3.5.4.19" TargetMode="External"/><Relationship Id="rId2425" Type="http://schemas.openxmlformats.org/officeDocument/2006/relationships/hyperlink" Target="https://www.genome.jp/entry/C04309" TargetMode="External"/><Relationship Id="rId2632" Type="http://schemas.openxmlformats.org/officeDocument/2006/relationships/hyperlink" Target="https://enzyme.expasy.org/EC/5.1.1.3" TargetMode="External"/><Relationship Id="rId80" Type="http://schemas.openxmlformats.org/officeDocument/2006/relationships/hyperlink" Target="https://www.genome.jp/entry/C14090" TargetMode="External"/><Relationship Id="rId604" Type="http://schemas.openxmlformats.org/officeDocument/2006/relationships/hyperlink" Target="https://www.genome.jp/entry/C00019" TargetMode="External"/><Relationship Id="rId811" Type="http://schemas.openxmlformats.org/officeDocument/2006/relationships/hyperlink" Target="https://www.genome.jp/entry/C16169" TargetMode="External"/><Relationship Id="rId1027" Type="http://schemas.openxmlformats.org/officeDocument/2006/relationships/hyperlink" Target="https://www.genome.jp/entry/C04302" TargetMode="External"/><Relationship Id="rId1234" Type="http://schemas.openxmlformats.org/officeDocument/2006/relationships/hyperlink" Target="https://www.genome.jp/entry/C00008" TargetMode="External"/><Relationship Id="rId1441" Type="http://schemas.openxmlformats.org/officeDocument/2006/relationships/hyperlink" Target="https://www.genome.jp/entry/C00002" TargetMode="External"/><Relationship Id="rId1886" Type="http://schemas.openxmlformats.org/officeDocument/2006/relationships/hyperlink" Target="https://www.genome.jp/entry/G00370" TargetMode="External"/><Relationship Id="rId2937" Type="http://schemas.openxmlformats.org/officeDocument/2006/relationships/hyperlink" Target="https://www.genome.jp/entry/C00020" TargetMode="External"/><Relationship Id="rId909" Type="http://schemas.openxmlformats.org/officeDocument/2006/relationships/hyperlink" Target="https://www.genome.jp/entry/C19673" TargetMode="External"/><Relationship Id="rId1301" Type="http://schemas.openxmlformats.org/officeDocument/2006/relationships/hyperlink" Target="https://www.genome.jp/entry/C00286" TargetMode="External"/><Relationship Id="rId1539" Type="http://schemas.openxmlformats.org/officeDocument/2006/relationships/hyperlink" Target="https://www.genome.jp/entry/C00002" TargetMode="External"/><Relationship Id="rId1746" Type="http://schemas.openxmlformats.org/officeDocument/2006/relationships/hyperlink" Target="https://www.genome.jp/entry/C00447" TargetMode="External"/><Relationship Id="rId1953" Type="http://schemas.openxmlformats.org/officeDocument/2006/relationships/hyperlink" Target="https://www.genome.jp/entry/C02686" TargetMode="External"/><Relationship Id="rId38" Type="http://schemas.openxmlformats.org/officeDocument/2006/relationships/hyperlink" Target="https://www.genome.jp/entry/C01612" TargetMode="External"/><Relationship Id="rId1606" Type="http://schemas.openxmlformats.org/officeDocument/2006/relationships/hyperlink" Target="https://www.genome.jp/entry/C00201" TargetMode="External"/><Relationship Id="rId1813" Type="http://schemas.openxmlformats.org/officeDocument/2006/relationships/hyperlink" Target="https://www.genome.jp/entry/C03150" TargetMode="External"/><Relationship Id="rId3059" Type="http://schemas.openxmlformats.org/officeDocument/2006/relationships/hyperlink" Target="https://enzyme.expasy.org/EC/6.3.4.13" TargetMode="External"/><Relationship Id="rId187" Type="http://schemas.openxmlformats.org/officeDocument/2006/relationships/hyperlink" Target="https://www.genome.jp/entry/C01929" TargetMode="External"/><Relationship Id="rId394" Type="http://schemas.openxmlformats.org/officeDocument/2006/relationships/hyperlink" Target="https://www.genome.jp/entry/C00894" TargetMode="External"/><Relationship Id="rId2075" Type="http://schemas.openxmlformats.org/officeDocument/2006/relationships/hyperlink" Target="https://www.genome.jp/entry/C16688" TargetMode="External"/><Relationship Id="rId2282" Type="http://schemas.openxmlformats.org/officeDocument/2006/relationships/hyperlink" Target="https://enzyme.expasy.org/EC/3.6.1.11" TargetMode="External"/><Relationship Id="rId3126" Type="http://schemas.openxmlformats.org/officeDocument/2006/relationships/hyperlink" Target="https://www.genome.jp/entry/C00002" TargetMode="External"/><Relationship Id="rId254" Type="http://schemas.openxmlformats.org/officeDocument/2006/relationships/hyperlink" Target="https://enzyme.expasy.org/EC/1.1.1.49" TargetMode="External"/><Relationship Id="rId699" Type="http://schemas.openxmlformats.org/officeDocument/2006/relationships/hyperlink" Target="https://enzyme.expasy.org/EC/2.2.1.6" TargetMode="External"/><Relationship Id="rId1091" Type="http://schemas.openxmlformats.org/officeDocument/2006/relationships/hyperlink" Target="https://www.genome.jp/entry/C00097" TargetMode="External"/><Relationship Id="rId2587" Type="http://schemas.openxmlformats.org/officeDocument/2006/relationships/hyperlink" Target="https://enzyme.expasy.org/EC/4.4.1.13" TargetMode="External"/><Relationship Id="rId2794" Type="http://schemas.openxmlformats.org/officeDocument/2006/relationships/hyperlink" Target="https://www.genome.jp/entry/C02764" TargetMode="External"/><Relationship Id="rId114" Type="http://schemas.openxmlformats.org/officeDocument/2006/relationships/hyperlink" Target="https://www.genome.jp/entry/C05750" TargetMode="External"/><Relationship Id="rId461" Type="http://schemas.openxmlformats.org/officeDocument/2006/relationships/hyperlink" Target="https://www.genome.jp/entry/C01157" TargetMode="External"/><Relationship Id="rId559" Type="http://schemas.openxmlformats.org/officeDocument/2006/relationships/hyperlink" Target="https://www.genome.jp/entry/C01528" TargetMode="External"/><Relationship Id="rId766" Type="http://schemas.openxmlformats.org/officeDocument/2006/relationships/hyperlink" Target="https://www.genome.jp/entry/C00091" TargetMode="External"/><Relationship Id="rId1189" Type="http://schemas.openxmlformats.org/officeDocument/2006/relationships/hyperlink" Target="https://www.genome.jp/entry/C00615" TargetMode="External"/><Relationship Id="rId1396" Type="http://schemas.openxmlformats.org/officeDocument/2006/relationships/hyperlink" Target="https://www.genome.jp/entry/C00002" TargetMode="External"/><Relationship Id="rId2142" Type="http://schemas.openxmlformats.org/officeDocument/2006/relationships/hyperlink" Target="https://www.genome.jp/entry/C00148" TargetMode="External"/><Relationship Id="rId2447" Type="http://schemas.openxmlformats.org/officeDocument/2006/relationships/hyperlink" Target="https://enzyme.expasy.org/EC/4.2.1.20" TargetMode="External"/><Relationship Id="rId321" Type="http://schemas.openxmlformats.org/officeDocument/2006/relationships/hyperlink" Target="https://www.genome.jp/entry/C04232" TargetMode="External"/><Relationship Id="rId419" Type="http://schemas.openxmlformats.org/officeDocument/2006/relationships/hyperlink" Target="https://www.genome.jp/entry/C00026" TargetMode="External"/><Relationship Id="rId626" Type="http://schemas.openxmlformats.org/officeDocument/2006/relationships/hyperlink" Target="https://www.genome.jp/entry/C20858" TargetMode="External"/><Relationship Id="rId973" Type="http://schemas.openxmlformats.org/officeDocument/2006/relationships/hyperlink" Target="https://www.genome.jp/entry/C03972" TargetMode="External"/><Relationship Id="rId1049" Type="http://schemas.openxmlformats.org/officeDocument/2006/relationships/hyperlink" Target="https://www.genome.jp/entry/C20446" TargetMode="External"/><Relationship Id="rId1256" Type="http://schemas.openxmlformats.org/officeDocument/2006/relationships/hyperlink" Target="https://www.genome.jp/entry/C00002" TargetMode="External"/><Relationship Id="rId2002" Type="http://schemas.openxmlformats.org/officeDocument/2006/relationships/hyperlink" Target="https://www.genome.jp/entry/C01190" TargetMode="External"/><Relationship Id="rId2307" Type="http://schemas.openxmlformats.org/officeDocument/2006/relationships/hyperlink" Target="https://enzyme.expasy.org/EC/3.7.1.22" TargetMode="External"/><Relationship Id="rId2654" Type="http://schemas.openxmlformats.org/officeDocument/2006/relationships/hyperlink" Target="https://www.genome.jp/entry/C00842" TargetMode="External"/><Relationship Id="rId2861" Type="http://schemas.openxmlformats.org/officeDocument/2006/relationships/hyperlink" Target="https://www.genome.jp/entry/C00002" TargetMode="External"/><Relationship Id="rId2959" Type="http://schemas.openxmlformats.org/officeDocument/2006/relationships/hyperlink" Target="https://enzyme.expasy.org/EC/6.1.1.9" TargetMode="External"/><Relationship Id="rId833" Type="http://schemas.openxmlformats.org/officeDocument/2006/relationships/hyperlink" Target="https://www.genome.jp/entry/C00010" TargetMode="External"/><Relationship Id="rId1116" Type="http://schemas.openxmlformats.org/officeDocument/2006/relationships/hyperlink" Target="https://www.genome.jp/entry/C00064" TargetMode="External"/><Relationship Id="rId1463" Type="http://schemas.openxmlformats.org/officeDocument/2006/relationships/hyperlink" Target="https://www.genome.jp/entry/C00008" TargetMode="External"/><Relationship Id="rId1670" Type="http://schemas.openxmlformats.org/officeDocument/2006/relationships/hyperlink" Target="https://enzyme.expasy.org/EC/2.7.7.85" TargetMode="External"/><Relationship Id="rId1768" Type="http://schemas.openxmlformats.org/officeDocument/2006/relationships/hyperlink" Target="https://www.genome.jp/entry/C00475" TargetMode="External"/><Relationship Id="rId2514" Type="http://schemas.openxmlformats.org/officeDocument/2006/relationships/hyperlink" Target="https://www.genome.jp/entry/C06055" TargetMode="External"/><Relationship Id="rId2721" Type="http://schemas.openxmlformats.org/officeDocument/2006/relationships/hyperlink" Target="https://www.genome.jp/entry/C05345" TargetMode="External"/><Relationship Id="rId2819" Type="http://schemas.openxmlformats.org/officeDocument/2006/relationships/hyperlink" Target="https://www.genome.jp/entry/C00020" TargetMode="External"/><Relationship Id="rId900" Type="http://schemas.openxmlformats.org/officeDocument/2006/relationships/hyperlink" Target="https://www.genome.jp/entry/C05762" TargetMode="External"/><Relationship Id="rId1323" Type="http://schemas.openxmlformats.org/officeDocument/2006/relationships/hyperlink" Target="https://www.genome.jp/entry/C00035" TargetMode="External"/><Relationship Id="rId1530" Type="http://schemas.openxmlformats.org/officeDocument/2006/relationships/hyperlink" Target="https://www.genome.jp/entry/C00002" TargetMode="External"/><Relationship Id="rId1628" Type="http://schemas.openxmlformats.org/officeDocument/2006/relationships/hyperlink" Target="https://www.genome.jp/entry/C00013" TargetMode="External"/><Relationship Id="rId1975" Type="http://schemas.openxmlformats.org/officeDocument/2006/relationships/hyperlink" Target="https://www.genome.jp/entry/G01275" TargetMode="External"/><Relationship Id="rId1835" Type="http://schemas.openxmlformats.org/officeDocument/2006/relationships/hyperlink" Target="https://www.genome.jp/entry/C00053" TargetMode="External"/><Relationship Id="rId3050" Type="http://schemas.openxmlformats.org/officeDocument/2006/relationships/hyperlink" Target="https://www.genome.jp/entry/C00002" TargetMode="External"/><Relationship Id="rId1902" Type="http://schemas.openxmlformats.org/officeDocument/2006/relationships/hyperlink" Target="https://www.genome.jp/entry/C00124" TargetMode="External"/><Relationship Id="rId2097" Type="http://schemas.openxmlformats.org/officeDocument/2006/relationships/hyperlink" Target="https://www.genome.jp/entry/C00031" TargetMode="External"/><Relationship Id="rId3148" Type="http://schemas.openxmlformats.org/officeDocument/2006/relationships/hyperlink" Target="https://www.genome.jp/entry/C00008" TargetMode="External"/><Relationship Id="rId276" Type="http://schemas.openxmlformats.org/officeDocument/2006/relationships/hyperlink" Target="https://www.genome.jp/entry/C00704" TargetMode="External"/><Relationship Id="rId483" Type="http://schemas.openxmlformats.org/officeDocument/2006/relationships/hyperlink" Target="https://enzyme.expasy.org/EC/1.5.1.3" TargetMode="External"/><Relationship Id="rId690" Type="http://schemas.openxmlformats.org/officeDocument/2006/relationships/hyperlink" Target="https://www.genome.jp/entry/C05382" TargetMode="External"/><Relationship Id="rId2164" Type="http://schemas.openxmlformats.org/officeDocument/2006/relationships/hyperlink" Target="https://enzyme.expasy.org/EC/3.5.1.4" TargetMode="External"/><Relationship Id="rId2371" Type="http://schemas.openxmlformats.org/officeDocument/2006/relationships/hyperlink" Target="https://www.genome.jp/entry/C00810" TargetMode="External"/><Relationship Id="rId3008" Type="http://schemas.openxmlformats.org/officeDocument/2006/relationships/hyperlink" Target="https://www.genome.jp/entry/C00008" TargetMode="External"/><Relationship Id="rId136" Type="http://schemas.openxmlformats.org/officeDocument/2006/relationships/hyperlink" Target="https://enzyme.expasy.org/EC/1.1.1.100" TargetMode="External"/><Relationship Id="rId343" Type="http://schemas.openxmlformats.org/officeDocument/2006/relationships/hyperlink" Target="https://www.genome.jp/entry/C00063" TargetMode="External"/><Relationship Id="rId550" Type="http://schemas.openxmlformats.org/officeDocument/2006/relationships/hyperlink" Target="https://www.genome.jp/entry/C00097" TargetMode="External"/><Relationship Id="rId788" Type="http://schemas.openxmlformats.org/officeDocument/2006/relationships/hyperlink" Target="https://www.genome.jp/entry/C00010" TargetMode="External"/><Relationship Id="rId995" Type="http://schemas.openxmlformats.org/officeDocument/2006/relationships/hyperlink" Target="https://www.genome.jp/entry/G10495" TargetMode="External"/><Relationship Id="rId1180" Type="http://schemas.openxmlformats.org/officeDocument/2006/relationships/hyperlink" Target="https://www.genome.jp/entry/C01801" TargetMode="External"/><Relationship Id="rId2024" Type="http://schemas.openxmlformats.org/officeDocument/2006/relationships/hyperlink" Target="https://enzyme.expasy.org/EC/3.2.1.23" TargetMode="External"/><Relationship Id="rId2231" Type="http://schemas.openxmlformats.org/officeDocument/2006/relationships/hyperlink" Target="https://www.genome.jp/entry/C00294" TargetMode="External"/><Relationship Id="rId2469" Type="http://schemas.openxmlformats.org/officeDocument/2006/relationships/hyperlink" Target="https://www.genome.jp/entry/C01271" TargetMode="External"/><Relationship Id="rId2676" Type="http://schemas.openxmlformats.org/officeDocument/2006/relationships/hyperlink" Target="https://www.genome.jp/entry/C04916" TargetMode="External"/><Relationship Id="rId2883" Type="http://schemas.openxmlformats.org/officeDocument/2006/relationships/hyperlink" Target="https://www.genome.jp/entry/C00020" TargetMode="External"/><Relationship Id="rId203" Type="http://schemas.openxmlformats.org/officeDocument/2006/relationships/hyperlink" Target="https://www.genome.jp/entry/C22438" TargetMode="External"/><Relationship Id="rId648" Type="http://schemas.openxmlformats.org/officeDocument/2006/relationships/hyperlink" Target="https://www.genome.jp/entry/C00399" TargetMode="External"/><Relationship Id="rId855" Type="http://schemas.openxmlformats.org/officeDocument/2006/relationships/hyperlink" Target="https://www.genome.jp/entry/C23016" TargetMode="External"/><Relationship Id="rId1040" Type="http://schemas.openxmlformats.org/officeDocument/2006/relationships/hyperlink" Target="https://enzyme.expasy.org/EC/2.4.2.22" TargetMode="External"/><Relationship Id="rId1278" Type="http://schemas.openxmlformats.org/officeDocument/2006/relationships/hyperlink" Target="https://www.genome.jp/entry/C00112" TargetMode="External"/><Relationship Id="rId1485" Type="http://schemas.openxmlformats.org/officeDocument/2006/relationships/hyperlink" Target="https://www.genome.jp/entry/C00002" TargetMode="External"/><Relationship Id="rId1692" Type="http://schemas.openxmlformats.org/officeDocument/2006/relationships/hyperlink" Target="https://www.genome.jp/entry/C04882" TargetMode="External"/><Relationship Id="rId2329" Type="http://schemas.openxmlformats.org/officeDocument/2006/relationships/hyperlink" Target="https://www.genome.jp/entry/C00606" TargetMode="External"/><Relationship Id="rId2536" Type="http://schemas.openxmlformats.org/officeDocument/2006/relationships/hyperlink" Target="https://www.genome.jp/entry/C00122" TargetMode="External"/><Relationship Id="rId2743" Type="http://schemas.openxmlformats.org/officeDocument/2006/relationships/hyperlink" Target="https://www.genome.jp/entry/C02501" TargetMode="External"/><Relationship Id="rId410" Type="http://schemas.openxmlformats.org/officeDocument/2006/relationships/hyperlink" Target="https://www.genome.jp/entry/C00295" TargetMode="External"/><Relationship Id="rId508" Type="http://schemas.openxmlformats.org/officeDocument/2006/relationships/hyperlink" Target="https://enzyme.expasy.org/EC/1.5.1.3" TargetMode="External"/><Relationship Id="rId715" Type="http://schemas.openxmlformats.org/officeDocument/2006/relationships/hyperlink" Target="https://www.genome.jp/entry/C00900" TargetMode="External"/><Relationship Id="rId922" Type="http://schemas.openxmlformats.org/officeDocument/2006/relationships/hyperlink" Target="https://enzyme.expasy.org/EC/2.3.1.234" TargetMode="External"/><Relationship Id="rId1138" Type="http://schemas.openxmlformats.org/officeDocument/2006/relationships/hyperlink" Target="https://www.genome.jp/entry/C00002" TargetMode="External"/><Relationship Id="rId1345" Type="http://schemas.openxmlformats.org/officeDocument/2006/relationships/hyperlink" Target="https://www.genome.jp/entry/C00002" TargetMode="External"/><Relationship Id="rId1552" Type="http://schemas.openxmlformats.org/officeDocument/2006/relationships/hyperlink" Target="https://enzyme.expasy.org/EC/2.7.7.12" TargetMode="External"/><Relationship Id="rId1997" Type="http://schemas.openxmlformats.org/officeDocument/2006/relationships/hyperlink" Target="https://www.genome.jp/entry/C00267" TargetMode="External"/><Relationship Id="rId2603" Type="http://schemas.openxmlformats.org/officeDocument/2006/relationships/hyperlink" Target="https://www.genome.jp/entry/C02882" TargetMode="External"/><Relationship Id="rId2950" Type="http://schemas.openxmlformats.org/officeDocument/2006/relationships/hyperlink" Target="https://www.genome.jp/entry/C00002" TargetMode="External"/><Relationship Id="rId1205" Type="http://schemas.openxmlformats.org/officeDocument/2006/relationships/hyperlink" Target="https://www.genome.jp/entry/C00008" TargetMode="External"/><Relationship Id="rId1857" Type="http://schemas.openxmlformats.org/officeDocument/2006/relationships/hyperlink" Target="https://www.genome.jp/entry/C02686" TargetMode="External"/><Relationship Id="rId2810" Type="http://schemas.openxmlformats.org/officeDocument/2006/relationships/hyperlink" Target="https://enzyme.expasy.org/EC/5.4.99.9" TargetMode="External"/><Relationship Id="rId2908" Type="http://schemas.openxmlformats.org/officeDocument/2006/relationships/hyperlink" Target="https://www.genome.jp/entry/C00020" TargetMode="External"/><Relationship Id="rId51" Type="http://schemas.openxmlformats.org/officeDocument/2006/relationships/hyperlink" Target="https://enzyme.expasy.org/EC/1.1.1.1" TargetMode="External"/><Relationship Id="rId1412" Type="http://schemas.openxmlformats.org/officeDocument/2006/relationships/hyperlink" Target="https://www.genome.jp/entry/C00008" TargetMode="External"/><Relationship Id="rId1717" Type="http://schemas.openxmlformats.org/officeDocument/2006/relationships/hyperlink" Target="https://www.genome.jp/entry/C00097" TargetMode="External"/><Relationship Id="rId1924" Type="http://schemas.openxmlformats.org/officeDocument/2006/relationships/hyperlink" Target="https://enzyme.expasy.org/EC/3.2.1.22" TargetMode="External"/><Relationship Id="rId3072" Type="http://schemas.openxmlformats.org/officeDocument/2006/relationships/hyperlink" Target="https://www.genome.jp/entry/C00008" TargetMode="External"/><Relationship Id="rId298" Type="http://schemas.openxmlformats.org/officeDocument/2006/relationships/hyperlink" Target="https://www.genome.jp/entry/C00035" TargetMode="External"/><Relationship Id="rId158" Type="http://schemas.openxmlformats.org/officeDocument/2006/relationships/hyperlink" Target="https://www.genome.jp/entry/C00085" TargetMode="External"/><Relationship Id="rId2186" Type="http://schemas.openxmlformats.org/officeDocument/2006/relationships/hyperlink" Target="https://www.genome.jp/entry/C03620" TargetMode="External"/><Relationship Id="rId2393" Type="http://schemas.openxmlformats.org/officeDocument/2006/relationships/hyperlink" Target="https://www.genome.jp/entry/C01094" TargetMode="External"/><Relationship Id="rId2698" Type="http://schemas.openxmlformats.org/officeDocument/2006/relationships/hyperlink" Target="https://www.genome.jp/entry/C00117" TargetMode="External"/><Relationship Id="rId365" Type="http://schemas.openxmlformats.org/officeDocument/2006/relationships/hyperlink" Target="https://www.genome.jp/entry/C00136" TargetMode="External"/><Relationship Id="rId572" Type="http://schemas.openxmlformats.org/officeDocument/2006/relationships/hyperlink" Target="https://www.genome.jp/entry/C03895" TargetMode="External"/><Relationship Id="rId2046" Type="http://schemas.openxmlformats.org/officeDocument/2006/relationships/hyperlink" Target="https://www.genome.jp/entry/G10504" TargetMode="External"/><Relationship Id="rId2253" Type="http://schemas.openxmlformats.org/officeDocument/2006/relationships/hyperlink" Target="https://www.genome.jp/entry/C00445" TargetMode="External"/><Relationship Id="rId2460" Type="http://schemas.openxmlformats.org/officeDocument/2006/relationships/hyperlink" Target="https://www.genome.jp/entry/C00463" TargetMode="External"/><Relationship Id="rId225" Type="http://schemas.openxmlformats.org/officeDocument/2006/relationships/hyperlink" Target="https://www.genome.jp/entry/C05823" TargetMode="External"/><Relationship Id="rId432" Type="http://schemas.openxmlformats.org/officeDocument/2006/relationships/hyperlink" Target="https://www.genome.jp/entry/C05167" TargetMode="External"/><Relationship Id="rId877" Type="http://schemas.openxmlformats.org/officeDocument/2006/relationships/hyperlink" Target="https://enzyme.expasy.org/EC/2.3.1.179" TargetMode="External"/><Relationship Id="rId1062" Type="http://schemas.openxmlformats.org/officeDocument/2006/relationships/hyperlink" Target="https://www.genome.jp/entry/C00105" TargetMode="External"/><Relationship Id="rId2113" Type="http://schemas.openxmlformats.org/officeDocument/2006/relationships/hyperlink" Target="https://www.genome.jp/entry/C00031" TargetMode="External"/><Relationship Id="rId2320" Type="http://schemas.openxmlformats.org/officeDocument/2006/relationships/hyperlink" Target="https://www.genome.jp/entry/C00041" TargetMode="External"/><Relationship Id="rId2558" Type="http://schemas.openxmlformats.org/officeDocument/2006/relationships/hyperlink" Target="https://www.genome.jp/entry/C04916" TargetMode="External"/><Relationship Id="rId2765" Type="http://schemas.openxmlformats.org/officeDocument/2006/relationships/hyperlink" Target="https://enzyme.expasy.org/EC/5.4.2.11" TargetMode="External"/><Relationship Id="rId2972" Type="http://schemas.openxmlformats.org/officeDocument/2006/relationships/hyperlink" Target="https://www.genome.jp/entry/C16237" TargetMode="External"/><Relationship Id="rId737" Type="http://schemas.openxmlformats.org/officeDocument/2006/relationships/hyperlink" Target="https://www.genome.jp/entry/C00681" TargetMode="External"/><Relationship Id="rId944" Type="http://schemas.openxmlformats.org/officeDocument/2006/relationships/hyperlink" Target="https://www.genome.jp/entry/C00153" TargetMode="External"/><Relationship Id="rId1367" Type="http://schemas.openxmlformats.org/officeDocument/2006/relationships/hyperlink" Target="https://www.genome.jp/entry/C00008" TargetMode="External"/><Relationship Id="rId1574" Type="http://schemas.openxmlformats.org/officeDocument/2006/relationships/hyperlink" Target="https://www.genome.jp/entry/C00013" TargetMode="External"/><Relationship Id="rId1781" Type="http://schemas.openxmlformats.org/officeDocument/2006/relationships/hyperlink" Target="https://www.genome.jp/entry/C00144" TargetMode="External"/><Relationship Id="rId2418" Type="http://schemas.openxmlformats.org/officeDocument/2006/relationships/hyperlink" Target="https://www.genome.jp/entry/C02730" TargetMode="External"/><Relationship Id="rId2625" Type="http://schemas.openxmlformats.org/officeDocument/2006/relationships/hyperlink" Target="https://www.genome.jp/entry/C00133" TargetMode="External"/><Relationship Id="rId2832" Type="http://schemas.openxmlformats.org/officeDocument/2006/relationships/hyperlink" Target="https://www.genome.jp/entry/C00002" TargetMode="External"/><Relationship Id="rId73" Type="http://schemas.openxmlformats.org/officeDocument/2006/relationships/hyperlink" Target="https://www.genome.jp/entry/C07645" TargetMode="External"/><Relationship Id="rId804" Type="http://schemas.openxmlformats.org/officeDocument/2006/relationships/hyperlink" Target="https://enzyme.expasy.org/EC/2.3.1.16" TargetMode="External"/><Relationship Id="rId1227" Type="http://schemas.openxmlformats.org/officeDocument/2006/relationships/hyperlink" Target="https://www.genome.jp/entry/C00002" TargetMode="External"/><Relationship Id="rId1434" Type="http://schemas.openxmlformats.org/officeDocument/2006/relationships/hyperlink" Target="https://enzyme.expasy.org/EC/2.7.4.6" TargetMode="External"/><Relationship Id="rId1641" Type="http://schemas.openxmlformats.org/officeDocument/2006/relationships/hyperlink" Target="https://www.genome.jp/entry/C00677" TargetMode="External"/><Relationship Id="rId1879" Type="http://schemas.openxmlformats.org/officeDocument/2006/relationships/hyperlink" Target="https://enzyme.expasy.org/EC/3.2.1.20" TargetMode="External"/><Relationship Id="rId3094" Type="http://schemas.openxmlformats.org/officeDocument/2006/relationships/hyperlink" Target="https://enzyme.expasy.org/EC/6.3.4.2" TargetMode="External"/><Relationship Id="rId1501" Type="http://schemas.openxmlformats.org/officeDocument/2006/relationships/hyperlink" Target="https://www.genome.jp/entry/C11038" TargetMode="External"/><Relationship Id="rId1739" Type="http://schemas.openxmlformats.org/officeDocument/2006/relationships/hyperlink" Target="https://enzyme.expasy.org/EC/3.1.3.11" TargetMode="External"/><Relationship Id="rId1946" Type="http://schemas.openxmlformats.org/officeDocument/2006/relationships/hyperlink" Target="https://www.genome.jp/entry/C06037" TargetMode="External"/><Relationship Id="rId1806" Type="http://schemas.openxmlformats.org/officeDocument/2006/relationships/hyperlink" Target="https://www.genome.jp/entry/C00365" TargetMode="External"/><Relationship Id="rId3161" Type="http://schemas.openxmlformats.org/officeDocument/2006/relationships/hyperlink" Target="https://www.genome.jp/entry/C00002" TargetMode="External"/><Relationship Id="rId387" Type="http://schemas.openxmlformats.org/officeDocument/2006/relationships/hyperlink" Target="https://www.genome.jp/entry/C00337" TargetMode="External"/><Relationship Id="rId594" Type="http://schemas.openxmlformats.org/officeDocument/2006/relationships/hyperlink" Target="https://www.genome.jp/entry/C00019" TargetMode="External"/><Relationship Id="rId2068" Type="http://schemas.openxmlformats.org/officeDocument/2006/relationships/hyperlink" Target="https://www.genome.jp/entry/C05402" TargetMode="External"/><Relationship Id="rId2275" Type="http://schemas.openxmlformats.org/officeDocument/2006/relationships/hyperlink" Target="https://www.genome.jp/entry/C00009" TargetMode="External"/><Relationship Id="rId3021" Type="http://schemas.openxmlformats.org/officeDocument/2006/relationships/hyperlink" Target="https://www.genome.jp/entry/C00002" TargetMode="External"/><Relationship Id="rId3119" Type="http://schemas.openxmlformats.org/officeDocument/2006/relationships/hyperlink" Target="https://enzyme.expasy.org/EC/6.3.5.2" TargetMode="External"/><Relationship Id="rId247" Type="http://schemas.openxmlformats.org/officeDocument/2006/relationships/hyperlink" Target="https://www.genome.jp/entry/C00345" TargetMode="External"/><Relationship Id="rId899" Type="http://schemas.openxmlformats.org/officeDocument/2006/relationships/hyperlink" Target="https://www.genome.jp/entry/C05761" TargetMode="External"/><Relationship Id="rId1084" Type="http://schemas.openxmlformats.org/officeDocument/2006/relationships/hyperlink" Target="https://www.genome.jp/entry/C00013" TargetMode="External"/><Relationship Id="rId2482" Type="http://schemas.openxmlformats.org/officeDocument/2006/relationships/hyperlink" Target="https://www.genome.jp/entry/C05754" TargetMode="External"/><Relationship Id="rId2787" Type="http://schemas.openxmlformats.org/officeDocument/2006/relationships/hyperlink" Target="https://www.genome.jp/entry/C00672" TargetMode="External"/><Relationship Id="rId107" Type="http://schemas.openxmlformats.org/officeDocument/2006/relationships/hyperlink" Target="https://www.genome.jp/entry/C04619" TargetMode="External"/><Relationship Id="rId454" Type="http://schemas.openxmlformats.org/officeDocument/2006/relationships/hyperlink" Target="https://www.genome.jp/entry/C03912" TargetMode="External"/><Relationship Id="rId661" Type="http://schemas.openxmlformats.org/officeDocument/2006/relationships/hyperlink" Target="https://www.genome.jp/entry/C00143" TargetMode="External"/><Relationship Id="rId759" Type="http://schemas.openxmlformats.org/officeDocument/2006/relationships/hyperlink" Target="https://enzyme.expasy.org/EC/2.3.1.16" TargetMode="External"/><Relationship Id="rId966" Type="http://schemas.openxmlformats.org/officeDocument/2006/relationships/hyperlink" Target="https://enzyme.expasy.org/EC/2.3.1.8" TargetMode="External"/><Relationship Id="rId1291" Type="http://schemas.openxmlformats.org/officeDocument/2006/relationships/hyperlink" Target="https://www.genome.jp/entry/C00131" TargetMode="External"/><Relationship Id="rId1389" Type="http://schemas.openxmlformats.org/officeDocument/2006/relationships/hyperlink" Target="https://enzyme.expasy.org/EC/2.7.4.1" TargetMode="External"/><Relationship Id="rId1596" Type="http://schemas.openxmlformats.org/officeDocument/2006/relationships/hyperlink" Target="https://www.genome.jp/entry/C00063" TargetMode="External"/><Relationship Id="rId2135" Type="http://schemas.openxmlformats.org/officeDocument/2006/relationships/hyperlink" Target="https://www.genome.jp/entry/C05198" TargetMode="External"/><Relationship Id="rId2342" Type="http://schemas.openxmlformats.org/officeDocument/2006/relationships/hyperlink" Target="https://enzyme.expasy.org/EC/4.1.1.21" TargetMode="External"/><Relationship Id="rId2647" Type="http://schemas.openxmlformats.org/officeDocument/2006/relationships/hyperlink" Target="https://enzyme.expasy.org/EC/5.1.3.2" TargetMode="External"/><Relationship Id="rId2994" Type="http://schemas.openxmlformats.org/officeDocument/2006/relationships/hyperlink" Target="https://enzyme.expasy.org/EC/6.3.1.20" TargetMode="External"/><Relationship Id="rId314" Type="http://schemas.openxmlformats.org/officeDocument/2006/relationships/hyperlink" Target="https://www.genome.jp/entry/C03723" TargetMode="External"/><Relationship Id="rId521" Type="http://schemas.openxmlformats.org/officeDocument/2006/relationships/hyperlink" Target="https://www.genome.jp/entry/C00144" TargetMode="External"/><Relationship Id="rId619" Type="http://schemas.openxmlformats.org/officeDocument/2006/relationships/hyperlink" Target="https://www.genome.jp/entry/C00019" TargetMode="External"/><Relationship Id="rId1151" Type="http://schemas.openxmlformats.org/officeDocument/2006/relationships/hyperlink" Target="https://enzyme.expasy.org/EC/2.7.1.11" TargetMode="External"/><Relationship Id="rId1249" Type="http://schemas.openxmlformats.org/officeDocument/2006/relationships/hyperlink" Target="https://enzyme.expasy.org/EC/2.7.1.33" TargetMode="External"/><Relationship Id="rId2202" Type="http://schemas.openxmlformats.org/officeDocument/2006/relationships/hyperlink" Target="https://www.genome.jp/entry/C00058" TargetMode="External"/><Relationship Id="rId2854" Type="http://schemas.openxmlformats.org/officeDocument/2006/relationships/hyperlink" Target="https://www.genome.jp/entry/C00020" TargetMode="External"/><Relationship Id="rId95" Type="http://schemas.openxmlformats.org/officeDocument/2006/relationships/hyperlink" Target="https://www.genome.jp/entry/C16596" TargetMode="External"/><Relationship Id="rId826" Type="http://schemas.openxmlformats.org/officeDocument/2006/relationships/hyperlink" Target="https://www.genome.jp/entry/C16335" TargetMode="External"/><Relationship Id="rId1011" Type="http://schemas.openxmlformats.org/officeDocument/2006/relationships/hyperlink" Target="https://www.genome.jp/entry/C05898" TargetMode="External"/><Relationship Id="rId1109" Type="http://schemas.openxmlformats.org/officeDocument/2006/relationships/hyperlink" Target="https://www.genome.jp/entry/C05847" TargetMode="External"/><Relationship Id="rId1456" Type="http://schemas.openxmlformats.org/officeDocument/2006/relationships/hyperlink" Target="https://www.genome.jp/entry/C00002" TargetMode="External"/><Relationship Id="rId1663" Type="http://schemas.openxmlformats.org/officeDocument/2006/relationships/hyperlink" Target="https://www.genome.jp/entry/C19080" TargetMode="External"/><Relationship Id="rId1870" Type="http://schemas.openxmlformats.org/officeDocument/2006/relationships/hyperlink" Target="https://www.genome.jp/entry/C00089" TargetMode="External"/><Relationship Id="rId1968" Type="http://schemas.openxmlformats.org/officeDocument/2006/relationships/hyperlink" Target="https://www.genome.jp/entry/G11121" TargetMode="External"/><Relationship Id="rId2507" Type="http://schemas.openxmlformats.org/officeDocument/2006/relationships/hyperlink" Target="https://www.genome.jp/entry/C20374" TargetMode="External"/><Relationship Id="rId2714" Type="http://schemas.openxmlformats.org/officeDocument/2006/relationships/hyperlink" Target="https://www.genome.jp/entry/C00275" TargetMode="External"/><Relationship Id="rId2921" Type="http://schemas.openxmlformats.org/officeDocument/2006/relationships/hyperlink" Target="https://www.genome.jp/entry/C00002" TargetMode="External"/><Relationship Id="rId1316" Type="http://schemas.openxmlformats.org/officeDocument/2006/relationships/hyperlink" Target="https://www.genome.jp/entry/C00044" TargetMode="External"/><Relationship Id="rId1523" Type="http://schemas.openxmlformats.org/officeDocument/2006/relationships/hyperlink" Target="https://enzyme.expasy.org/EC/2.7.4.8" TargetMode="External"/><Relationship Id="rId1730" Type="http://schemas.openxmlformats.org/officeDocument/2006/relationships/hyperlink" Target="https://www.genome.jp/entry/C03880" TargetMode="External"/><Relationship Id="rId3183" Type="http://schemas.openxmlformats.org/officeDocument/2006/relationships/hyperlink" Target="https://www.genome.jp/entry/C00020" TargetMode="External"/><Relationship Id="rId22" Type="http://schemas.openxmlformats.org/officeDocument/2006/relationships/hyperlink" Target="https://www.genome.jp/entry/C00469" TargetMode="External"/><Relationship Id="rId1828" Type="http://schemas.openxmlformats.org/officeDocument/2006/relationships/hyperlink" Target="https://www.genome.jp/entry/C00911" TargetMode="External"/><Relationship Id="rId3043" Type="http://schemas.openxmlformats.org/officeDocument/2006/relationships/hyperlink" Target="https://www.genome.jp/entry/C00008" TargetMode="External"/><Relationship Id="rId171" Type="http://schemas.openxmlformats.org/officeDocument/2006/relationships/hyperlink" Target="https://www.genome.jp/entry/C00130" TargetMode="External"/><Relationship Id="rId2297" Type="http://schemas.openxmlformats.org/officeDocument/2006/relationships/hyperlink" Target="https://enzyme.expasy.org/EC/3.6.1.41" TargetMode="External"/><Relationship Id="rId269" Type="http://schemas.openxmlformats.org/officeDocument/2006/relationships/hyperlink" Target="https://enzyme.expasy.org/EC/1.1.1.94" TargetMode="External"/><Relationship Id="rId476" Type="http://schemas.openxmlformats.org/officeDocument/2006/relationships/hyperlink" Target="https://www.genome.jp/entry/C00143" TargetMode="External"/><Relationship Id="rId683" Type="http://schemas.openxmlformats.org/officeDocument/2006/relationships/hyperlink" Target="https://www.genome.jp/entry/C00101" TargetMode="External"/><Relationship Id="rId890" Type="http://schemas.openxmlformats.org/officeDocument/2006/relationships/hyperlink" Target="https://www.genome.jp/entry/C05753" TargetMode="External"/><Relationship Id="rId2157" Type="http://schemas.openxmlformats.org/officeDocument/2006/relationships/hyperlink" Target="https://www.genome.jp/entry/C00352" TargetMode="External"/><Relationship Id="rId2364" Type="http://schemas.openxmlformats.org/officeDocument/2006/relationships/hyperlink" Target="https://www.genome.jp/entry/C00002" TargetMode="External"/><Relationship Id="rId2571" Type="http://schemas.openxmlformats.org/officeDocument/2006/relationships/hyperlink" Target="https://www.genome.jp/entry/C00122" TargetMode="External"/><Relationship Id="rId3110" Type="http://schemas.openxmlformats.org/officeDocument/2006/relationships/hyperlink" Target="https://www.genome.jp/entry/C00002" TargetMode="External"/><Relationship Id="rId129" Type="http://schemas.openxmlformats.org/officeDocument/2006/relationships/hyperlink" Target="https://www.genome.jp/entry/C05746" TargetMode="External"/><Relationship Id="rId336" Type="http://schemas.openxmlformats.org/officeDocument/2006/relationships/hyperlink" Target="https://www.genome.jp/entry/C00286" TargetMode="External"/><Relationship Id="rId543" Type="http://schemas.openxmlformats.org/officeDocument/2006/relationships/hyperlink" Target="https://enzyme.expasy.org/EC/1.8.1.9" TargetMode="External"/><Relationship Id="rId988" Type="http://schemas.openxmlformats.org/officeDocument/2006/relationships/hyperlink" Target="https://www.genome.jp/entry/C00718" TargetMode="External"/><Relationship Id="rId1173" Type="http://schemas.openxmlformats.org/officeDocument/2006/relationships/hyperlink" Target="https://www.genome.jp/entry/C00002" TargetMode="External"/><Relationship Id="rId1380" Type="http://schemas.openxmlformats.org/officeDocument/2006/relationships/hyperlink" Target="https://www.genome.jp/entry/C00002" TargetMode="External"/><Relationship Id="rId2017" Type="http://schemas.openxmlformats.org/officeDocument/2006/relationships/hyperlink" Target="https://www.genome.jp/entry/C00124" TargetMode="External"/><Relationship Id="rId2224" Type="http://schemas.openxmlformats.org/officeDocument/2006/relationships/hyperlink" Target="https://www.genome.jp/entry/C17324" TargetMode="External"/><Relationship Id="rId2669" Type="http://schemas.openxmlformats.org/officeDocument/2006/relationships/hyperlink" Target="https://www.genome.jp/entry/C00118" TargetMode="External"/><Relationship Id="rId2876" Type="http://schemas.openxmlformats.org/officeDocument/2006/relationships/hyperlink" Target="https://www.genome.jp/entry/C00002" TargetMode="External"/><Relationship Id="rId403" Type="http://schemas.openxmlformats.org/officeDocument/2006/relationships/hyperlink" Target="https://www.genome.jp/entry/C01050" TargetMode="External"/><Relationship Id="rId750" Type="http://schemas.openxmlformats.org/officeDocument/2006/relationships/hyperlink" Target="https://www.genome.jp/entry/C00024" TargetMode="External"/><Relationship Id="rId848" Type="http://schemas.openxmlformats.org/officeDocument/2006/relationships/hyperlink" Target="https://www.genome.jp/entry/C23007" TargetMode="External"/><Relationship Id="rId1033" Type="http://schemas.openxmlformats.org/officeDocument/2006/relationships/hyperlink" Target="https://www.genome.jp/entry/C00214" TargetMode="External"/><Relationship Id="rId1478" Type="http://schemas.openxmlformats.org/officeDocument/2006/relationships/hyperlink" Target="https://www.genome.jp/entry/C00008" TargetMode="External"/><Relationship Id="rId1685" Type="http://schemas.openxmlformats.org/officeDocument/2006/relationships/hyperlink" Target="https://enzyme.expasy.org/EC/2.7.8.13" TargetMode="External"/><Relationship Id="rId1892" Type="http://schemas.openxmlformats.org/officeDocument/2006/relationships/hyperlink" Target="https://www.genome.jp/entry/C02336" TargetMode="External"/><Relationship Id="rId2431" Type="http://schemas.openxmlformats.org/officeDocument/2006/relationships/hyperlink" Target="https://www.genome.jp/entry/C16698" TargetMode="External"/><Relationship Id="rId2529" Type="http://schemas.openxmlformats.org/officeDocument/2006/relationships/hyperlink" Target="https://www.genome.jp/entry/C02218" TargetMode="External"/><Relationship Id="rId2736" Type="http://schemas.openxmlformats.org/officeDocument/2006/relationships/hyperlink" Target="https://www.genome.jp/entry/C00085" TargetMode="External"/><Relationship Id="rId610" Type="http://schemas.openxmlformats.org/officeDocument/2006/relationships/hyperlink" Target="https://www.genome.jp/entry/C05811" TargetMode="External"/><Relationship Id="rId708" Type="http://schemas.openxmlformats.org/officeDocument/2006/relationships/hyperlink" Target="https://www.genome.jp/entry/C06006" TargetMode="External"/><Relationship Id="rId915" Type="http://schemas.openxmlformats.org/officeDocument/2006/relationships/hyperlink" Target="https://www.genome.jp/entry/C20376" TargetMode="External"/><Relationship Id="rId1240" Type="http://schemas.openxmlformats.org/officeDocument/2006/relationships/hyperlink" Target="https://www.genome.jp/entry/C00008" TargetMode="External"/><Relationship Id="rId1338" Type="http://schemas.openxmlformats.org/officeDocument/2006/relationships/hyperlink" Target="https://www.genome.jp/entry/C00008" TargetMode="External"/><Relationship Id="rId1545" Type="http://schemas.openxmlformats.org/officeDocument/2006/relationships/hyperlink" Target="https://www.genome.jp/entry/C00020" TargetMode="External"/><Relationship Id="rId2943" Type="http://schemas.openxmlformats.org/officeDocument/2006/relationships/hyperlink" Target="https://www.genome.jp/entry/C00020" TargetMode="External"/><Relationship Id="rId1100" Type="http://schemas.openxmlformats.org/officeDocument/2006/relationships/hyperlink" Target="https://enzyme.expasy.org/EC/2.5.1.6" TargetMode="External"/><Relationship Id="rId1405" Type="http://schemas.openxmlformats.org/officeDocument/2006/relationships/hyperlink" Target="https://www.genome.jp/entry/C00002" TargetMode="External"/><Relationship Id="rId1752" Type="http://schemas.openxmlformats.org/officeDocument/2006/relationships/hyperlink" Target="https://www.genome.jp/entry/C05345" TargetMode="External"/><Relationship Id="rId2803" Type="http://schemas.openxmlformats.org/officeDocument/2006/relationships/hyperlink" Target="https://www.genome.jp/entry/C16639" TargetMode="External"/><Relationship Id="rId44" Type="http://schemas.openxmlformats.org/officeDocument/2006/relationships/hyperlink" Target="https://www.genome.jp/entry/C14099" TargetMode="External"/><Relationship Id="rId1612" Type="http://schemas.openxmlformats.org/officeDocument/2006/relationships/hyperlink" Target="https://www.genome.jp/entry/C00201" TargetMode="External"/><Relationship Id="rId1917" Type="http://schemas.openxmlformats.org/officeDocument/2006/relationships/hyperlink" Target="https://www.genome.jp/entry/C00124" TargetMode="External"/><Relationship Id="rId3065" Type="http://schemas.openxmlformats.org/officeDocument/2006/relationships/hyperlink" Target="https://www.genome.jp/entry/C00002" TargetMode="External"/><Relationship Id="rId193" Type="http://schemas.openxmlformats.org/officeDocument/2006/relationships/hyperlink" Target="https://www.genome.jp/entry/C00135" TargetMode="External"/><Relationship Id="rId498" Type="http://schemas.openxmlformats.org/officeDocument/2006/relationships/hyperlink" Target="https://enzyme.expasy.org/EC/1.5.1.3" TargetMode="External"/><Relationship Id="rId2081" Type="http://schemas.openxmlformats.org/officeDocument/2006/relationships/hyperlink" Target="https://www.genome.jp/entry/G00249" TargetMode="External"/><Relationship Id="rId2179" Type="http://schemas.openxmlformats.org/officeDocument/2006/relationships/hyperlink" Target="https://enzyme.expasy.org/EC/3.5.1.4" TargetMode="External"/><Relationship Id="rId3132" Type="http://schemas.openxmlformats.org/officeDocument/2006/relationships/hyperlink" Target="https://www.genome.jp/entry/C16619" TargetMode="External"/><Relationship Id="rId260" Type="http://schemas.openxmlformats.org/officeDocument/2006/relationships/hyperlink" Target="https://www.genome.jp/entry/C00418" TargetMode="External"/><Relationship Id="rId2386" Type="http://schemas.openxmlformats.org/officeDocument/2006/relationships/hyperlink" Target="https://www.genome.jp/entry/C00111" TargetMode="External"/><Relationship Id="rId2593" Type="http://schemas.openxmlformats.org/officeDocument/2006/relationships/hyperlink" Target="https://www.genome.jp/entry/C02291" TargetMode="External"/><Relationship Id="rId120" Type="http://schemas.openxmlformats.org/officeDocument/2006/relationships/hyperlink" Target="https://www.genome.jp/entry/C05762" TargetMode="External"/><Relationship Id="rId358" Type="http://schemas.openxmlformats.org/officeDocument/2006/relationships/hyperlink" Target="https://www.genome.jp/entry/C19647" TargetMode="External"/><Relationship Id="rId565" Type="http://schemas.openxmlformats.org/officeDocument/2006/relationships/hyperlink" Target="https://www.genome.jp/entry/C00073" TargetMode="External"/><Relationship Id="rId772" Type="http://schemas.openxmlformats.org/officeDocument/2006/relationships/hyperlink" Target="https://www.genome.jp/entry/C00010" TargetMode="External"/><Relationship Id="rId1195" Type="http://schemas.openxmlformats.org/officeDocument/2006/relationships/hyperlink" Target="https://www.genome.jp/entry/C00008" TargetMode="External"/><Relationship Id="rId2039" Type="http://schemas.openxmlformats.org/officeDocument/2006/relationships/hyperlink" Target="https://enzyme.expasy.org/EC/3.2.1.23" TargetMode="External"/><Relationship Id="rId2246" Type="http://schemas.openxmlformats.org/officeDocument/2006/relationships/hyperlink" Target="https://www.genome.jp/entry/C00526" TargetMode="External"/><Relationship Id="rId2453" Type="http://schemas.openxmlformats.org/officeDocument/2006/relationships/hyperlink" Target="https://www.genome.jp/entry/C00691" TargetMode="External"/><Relationship Id="rId2660" Type="http://schemas.openxmlformats.org/officeDocument/2006/relationships/hyperlink" Target="https://www.genome.jp/entry/C00231" TargetMode="External"/><Relationship Id="rId2898" Type="http://schemas.openxmlformats.org/officeDocument/2006/relationships/hyperlink" Target="https://www.genome.jp/entry/C00020" TargetMode="External"/><Relationship Id="rId218" Type="http://schemas.openxmlformats.org/officeDocument/2006/relationships/hyperlink" Target="https://www.genome.jp/entry/C11638" TargetMode="External"/><Relationship Id="rId425" Type="http://schemas.openxmlformats.org/officeDocument/2006/relationships/hyperlink" Target="https://www.genome.jp/entry/C00025" TargetMode="External"/><Relationship Id="rId632" Type="http://schemas.openxmlformats.org/officeDocument/2006/relationships/hyperlink" Target="https://enzyme.expasy.org/EC/2.1.1.45" TargetMode="External"/><Relationship Id="rId1055" Type="http://schemas.openxmlformats.org/officeDocument/2006/relationships/hyperlink" Target="https://www.genome.jp/entry/C19771" TargetMode="External"/><Relationship Id="rId1262" Type="http://schemas.openxmlformats.org/officeDocument/2006/relationships/hyperlink" Target="https://www.genome.jp/entry/C00008" TargetMode="External"/><Relationship Id="rId2106" Type="http://schemas.openxmlformats.org/officeDocument/2006/relationships/hyperlink" Target="https://www.genome.jp/entry/C06188" TargetMode="External"/><Relationship Id="rId2313" Type="http://schemas.openxmlformats.org/officeDocument/2006/relationships/hyperlink" Target="https://www.genome.jp/entry/C00036" TargetMode="External"/><Relationship Id="rId2520" Type="http://schemas.openxmlformats.org/officeDocument/2006/relationships/hyperlink" Target="https://www.genome.jp/entry/C00022" TargetMode="External"/><Relationship Id="rId2758" Type="http://schemas.openxmlformats.org/officeDocument/2006/relationships/hyperlink" Target="https://www.genome.jp/entry/C00352" TargetMode="External"/><Relationship Id="rId2965" Type="http://schemas.openxmlformats.org/officeDocument/2006/relationships/hyperlink" Target="https://www.genome.jp/entry/C00002" TargetMode="External"/><Relationship Id="rId937" Type="http://schemas.openxmlformats.org/officeDocument/2006/relationships/hyperlink" Target="https://www.genome.jp/entry/C00003" TargetMode="External"/><Relationship Id="rId1122" Type="http://schemas.openxmlformats.org/officeDocument/2006/relationships/hyperlink" Target="https://enzyme.expasy.org/EC/2.6.1.9" TargetMode="External"/><Relationship Id="rId1567" Type="http://schemas.openxmlformats.org/officeDocument/2006/relationships/hyperlink" Target="https://www.genome.jp/entry/C00002" TargetMode="External"/><Relationship Id="rId1774" Type="http://schemas.openxmlformats.org/officeDocument/2006/relationships/hyperlink" Target="https://enzyme.expasy.org/EC/3.1.3.5" TargetMode="External"/><Relationship Id="rId1981" Type="http://schemas.openxmlformats.org/officeDocument/2006/relationships/hyperlink" Target="https://www.genome.jp/entry/G10488" TargetMode="External"/><Relationship Id="rId2618" Type="http://schemas.openxmlformats.org/officeDocument/2006/relationships/hyperlink" Target="https://www.genome.jp/entry/C05699" TargetMode="External"/><Relationship Id="rId2825" Type="http://schemas.openxmlformats.org/officeDocument/2006/relationships/hyperlink" Target="https://enzyme.expasy.org/EC/6.1.1.10" TargetMode="External"/><Relationship Id="rId66" Type="http://schemas.openxmlformats.org/officeDocument/2006/relationships/hyperlink" Target="https://enzyme.expasy.org/EC/1.1.1.1" TargetMode="External"/><Relationship Id="rId1427" Type="http://schemas.openxmlformats.org/officeDocument/2006/relationships/hyperlink" Target="https://www.genome.jp/entry/C03028" TargetMode="External"/><Relationship Id="rId1634" Type="http://schemas.openxmlformats.org/officeDocument/2006/relationships/hyperlink" Target="https://www.genome.jp/entry/C00013" TargetMode="External"/><Relationship Id="rId1841" Type="http://schemas.openxmlformats.org/officeDocument/2006/relationships/hyperlink" Target="https://www.genome.jp/entry/C00054" TargetMode="External"/><Relationship Id="rId3087" Type="http://schemas.openxmlformats.org/officeDocument/2006/relationships/hyperlink" Target="https://www.genome.jp/entry/C00008" TargetMode="External"/><Relationship Id="rId1939" Type="http://schemas.openxmlformats.org/officeDocument/2006/relationships/hyperlink" Target="https://enzyme.expasy.org/EC/3.2.1.22" TargetMode="External"/><Relationship Id="rId1701" Type="http://schemas.openxmlformats.org/officeDocument/2006/relationships/hyperlink" Target="https://www.genome.jp/entry/C00010" TargetMode="External"/><Relationship Id="rId3154" Type="http://schemas.openxmlformats.org/officeDocument/2006/relationships/hyperlink" Target="https://enzyme.expasy.org/EC/6.3.5.5" TargetMode="External"/><Relationship Id="rId282" Type="http://schemas.openxmlformats.org/officeDocument/2006/relationships/hyperlink" Target="https://www.genome.jp/entry/C03972" TargetMode="External"/><Relationship Id="rId587" Type="http://schemas.openxmlformats.org/officeDocument/2006/relationships/hyperlink" Target="https://www.genome.jp/entry/C04144" TargetMode="External"/><Relationship Id="rId2170" Type="http://schemas.openxmlformats.org/officeDocument/2006/relationships/hyperlink" Target="https://www.genome.jp/entry/C02505" TargetMode="External"/><Relationship Id="rId2268" Type="http://schemas.openxmlformats.org/officeDocument/2006/relationships/hyperlink" Target="https://www.genome.jp/entry/C00352" TargetMode="External"/><Relationship Id="rId3014" Type="http://schemas.openxmlformats.org/officeDocument/2006/relationships/hyperlink" Target="https://enzyme.expasy.org/EC/6.3.2.10" TargetMode="External"/><Relationship Id="rId8" Type="http://schemas.openxmlformats.org/officeDocument/2006/relationships/hyperlink" Target="https://www.genome.jp/entry/C00114" TargetMode="External"/><Relationship Id="rId142" Type="http://schemas.openxmlformats.org/officeDocument/2006/relationships/hyperlink" Target="https://www.genome.jp/entry/C20373" TargetMode="External"/><Relationship Id="rId447" Type="http://schemas.openxmlformats.org/officeDocument/2006/relationships/hyperlink" Target="https://www.genome.jp/entry/C00647" TargetMode="External"/><Relationship Id="rId794" Type="http://schemas.openxmlformats.org/officeDocument/2006/relationships/hyperlink" Target="https://enzyme.expasy.org/EC/2.3.1.16" TargetMode="External"/><Relationship Id="rId1077" Type="http://schemas.openxmlformats.org/officeDocument/2006/relationships/hyperlink" Target="https://enzyme.expasy.org/EC/2.5.1.17" TargetMode="External"/><Relationship Id="rId2030" Type="http://schemas.openxmlformats.org/officeDocument/2006/relationships/hyperlink" Target="https://www.genome.jp/entry/G00110" TargetMode="External"/><Relationship Id="rId2128" Type="http://schemas.openxmlformats.org/officeDocument/2006/relationships/hyperlink" Target="https://www.genome.jp/entry/C03539" TargetMode="External"/><Relationship Id="rId2475" Type="http://schemas.openxmlformats.org/officeDocument/2006/relationships/hyperlink" Target="https://www.genome.jp/entry/C00188" TargetMode="External"/><Relationship Id="rId2682" Type="http://schemas.openxmlformats.org/officeDocument/2006/relationships/hyperlink" Target="https://enzyme.expasy.org/EC/5.3.1.26" TargetMode="External"/><Relationship Id="rId2987" Type="http://schemas.openxmlformats.org/officeDocument/2006/relationships/hyperlink" Target="https://www.genome.jp/entry/C00013" TargetMode="External"/><Relationship Id="rId654" Type="http://schemas.openxmlformats.org/officeDocument/2006/relationships/hyperlink" Target="https://www.genome.jp/entry/C00021" TargetMode="External"/><Relationship Id="rId861" Type="http://schemas.openxmlformats.org/officeDocument/2006/relationships/hyperlink" Target="https://www.genome.jp/entry/C23021" TargetMode="External"/><Relationship Id="rId959" Type="http://schemas.openxmlformats.org/officeDocument/2006/relationships/hyperlink" Target="https://www.genome.jp/entry/C00100" TargetMode="External"/><Relationship Id="rId1284" Type="http://schemas.openxmlformats.org/officeDocument/2006/relationships/hyperlink" Target="https://enzyme.expasy.org/EC/2.7.1.40" TargetMode="External"/><Relationship Id="rId1491" Type="http://schemas.openxmlformats.org/officeDocument/2006/relationships/hyperlink" Target="https://www.genome.jp/entry/C00002" TargetMode="External"/><Relationship Id="rId1589" Type="http://schemas.openxmlformats.org/officeDocument/2006/relationships/hyperlink" Target="https://www.genome.jp/entry/C00013" TargetMode="External"/><Relationship Id="rId2335" Type="http://schemas.openxmlformats.org/officeDocument/2006/relationships/hyperlink" Target="https://www.genome.jp/entry/C00047" TargetMode="External"/><Relationship Id="rId2542" Type="http://schemas.openxmlformats.org/officeDocument/2006/relationships/hyperlink" Target="https://enzyme.expasy.org/EC/4.3.1.17" TargetMode="External"/><Relationship Id="rId307" Type="http://schemas.openxmlformats.org/officeDocument/2006/relationships/hyperlink" Target="https://www.genome.jp/entry/C01346" TargetMode="External"/><Relationship Id="rId514" Type="http://schemas.openxmlformats.org/officeDocument/2006/relationships/hyperlink" Target="https://www.genome.jp/entry/C00143" TargetMode="External"/><Relationship Id="rId721" Type="http://schemas.openxmlformats.org/officeDocument/2006/relationships/hyperlink" Target="https://www.genome.jp/entry/C06010" TargetMode="External"/><Relationship Id="rId1144" Type="http://schemas.openxmlformats.org/officeDocument/2006/relationships/hyperlink" Target="https://www.genome.jp/entry/C00008" TargetMode="External"/><Relationship Id="rId1351" Type="http://schemas.openxmlformats.org/officeDocument/2006/relationships/hyperlink" Target="https://www.genome.jp/entry/C06892" TargetMode="External"/><Relationship Id="rId1449" Type="http://schemas.openxmlformats.org/officeDocument/2006/relationships/hyperlink" Target="https://enzyme.expasy.org/EC/2.7.4.6" TargetMode="External"/><Relationship Id="rId1796" Type="http://schemas.openxmlformats.org/officeDocument/2006/relationships/hyperlink" Target="https://www.genome.jp/entry/C00362" TargetMode="External"/><Relationship Id="rId2402" Type="http://schemas.openxmlformats.org/officeDocument/2006/relationships/hyperlink" Target="https://enzyme.expasy.org/EC/4.1.2.4" TargetMode="External"/><Relationship Id="rId2847" Type="http://schemas.openxmlformats.org/officeDocument/2006/relationships/hyperlink" Target="https://www.genome.jp/entry/C00002" TargetMode="External"/><Relationship Id="rId88" Type="http://schemas.openxmlformats.org/officeDocument/2006/relationships/hyperlink" Target="https://www.genome.jp/entry/C16586" TargetMode="External"/><Relationship Id="rId819" Type="http://schemas.openxmlformats.org/officeDocument/2006/relationships/hyperlink" Target="https://enzyme.expasy.org/EC/2.3.1.16" TargetMode="External"/><Relationship Id="rId1004" Type="http://schemas.openxmlformats.org/officeDocument/2006/relationships/hyperlink" Target="https://enzyme.expasy.org/EC/2.4.1.21" TargetMode="External"/><Relationship Id="rId1211" Type="http://schemas.openxmlformats.org/officeDocument/2006/relationships/hyperlink" Target="https://enzyme.expasy.org/EC/2.7.1.21" TargetMode="External"/><Relationship Id="rId1656" Type="http://schemas.openxmlformats.org/officeDocument/2006/relationships/hyperlink" Target="https://www.genome.jp/entry/C02211" TargetMode="External"/><Relationship Id="rId1863" Type="http://schemas.openxmlformats.org/officeDocument/2006/relationships/hyperlink" Target="https://www.genome.jp/entry/G11121" TargetMode="External"/><Relationship Id="rId2707" Type="http://schemas.openxmlformats.org/officeDocument/2006/relationships/hyperlink" Target="https://enzyme.expasy.org/EC/5.3.1.6" TargetMode="External"/><Relationship Id="rId2914" Type="http://schemas.openxmlformats.org/officeDocument/2006/relationships/hyperlink" Target="https://enzyme.expasy.org/EC/6.1.1.2" TargetMode="External"/><Relationship Id="rId1309" Type="http://schemas.openxmlformats.org/officeDocument/2006/relationships/hyperlink" Target="https://enzyme.expasy.org/EC/2.7.1.48" TargetMode="External"/><Relationship Id="rId1516" Type="http://schemas.openxmlformats.org/officeDocument/2006/relationships/hyperlink" Target="https://www.genome.jp/entry/C00008" TargetMode="External"/><Relationship Id="rId1723" Type="http://schemas.openxmlformats.org/officeDocument/2006/relationships/hyperlink" Target="https://www.genome.jp/entry/C00020" TargetMode="External"/><Relationship Id="rId1930" Type="http://schemas.openxmlformats.org/officeDocument/2006/relationships/hyperlink" Target="https://www.genome.jp/entry/C05401" TargetMode="External"/><Relationship Id="rId3176" Type="http://schemas.openxmlformats.org/officeDocument/2006/relationships/hyperlink" Target="https://www.genome.jp/entry/C00002" TargetMode="External"/><Relationship Id="rId15" Type="http://schemas.openxmlformats.org/officeDocument/2006/relationships/hyperlink" Target="https://www.genome.jp/entry/C00071" TargetMode="External"/><Relationship Id="rId2192" Type="http://schemas.openxmlformats.org/officeDocument/2006/relationships/hyperlink" Target="https://www.genome.jp/entry/C00033" TargetMode="External"/><Relationship Id="rId3036" Type="http://schemas.openxmlformats.org/officeDocument/2006/relationships/hyperlink" Target="https://www.genome.jp/entry/C00002" TargetMode="External"/><Relationship Id="rId164" Type="http://schemas.openxmlformats.org/officeDocument/2006/relationships/hyperlink" Target="https://enzyme.expasy.org/EC/1.1.1.18" TargetMode="External"/><Relationship Id="rId371" Type="http://schemas.openxmlformats.org/officeDocument/2006/relationships/hyperlink" Target="https://enzyme.expasy.org/EC/1.2.1.41" TargetMode="External"/><Relationship Id="rId2052" Type="http://schemas.openxmlformats.org/officeDocument/2006/relationships/hyperlink" Target="https://www.genome.jp/entry/C00031" TargetMode="External"/><Relationship Id="rId2497" Type="http://schemas.openxmlformats.org/officeDocument/2006/relationships/hyperlink" Target="https://www.genome.jp/entry/C05747" TargetMode="External"/><Relationship Id="rId469" Type="http://schemas.openxmlformats.org/officeDocument/2006/relationships/hyperlink" Target="https://www.genome.jp/entry/C04281" TargetMode="External"/><Relationship Id="rId676" Type="http://schemas.openxmlformats.org/officeDocument/2006/relationships/hyperlink" Target="https://www.genome.jp/entry/C00234" TargetMode="External"/><Relationship Id="rId883" Type="http://schemas.openxmlformats.org/officeDocument/2006/relationships/hyperlink" Target="https://www.genome.jp/entry/C05749" TargetMode="External"/><Relationship Id="rId1099" Type="http://schemas.openxmlformats.org/officeDocument/2006/relationships/hyperlink" Target="https://www.genome.jp/entry/C00009" TargetMode="External"/><Relationship Id="rId2357" Type="http://schemas.openxmlformats.org/officeDocument/2006/relationships/hyperlink" Target="https://enzyme.expasy.org/EC/4.1.1.36" TargetMode="External"/><Relationship Id="rId2564" Type="http://schemas.openxmlformats.org/officeDocument/2006/relationships/hyperlink" Target="https://www.genome.jp/entry/C00441" TargetMode="External"/><Relationship Id="rId3103" Type="http://schemas.openxmlformats.org/officeDocument/2006/relationships/hyperlink" Target="https://www.genome.jp/entry/C00008" TargetMode="External"/><Relationship Id="rId231" Type="http://schemas.openxmlformats.org/officeDocument/2006/relationships/hyperlink" Target="https://www.genome.jp/entry/C05984" TargetMode="External"/><Relationship Id="rId329" Type="http://schemas.openxmlformats.org/officeDocument/2006/relationships/hyperlink" Target="https://www.genome.jp/entry/C21748" TargetMode="External"/><Relationship Id="rId536" Type="http://schemas.openxmlformats.org/officeDocument/2006/relationships/hyperlink" Target="https://www.genome.jp/entry/C15972" TargetMode="External"/><Relationship Id="rId1166" Type="http://schemas.openxmlformats.org/officeDocument/2006/relationships/hyperlink" Target="https://www.genome.jp/entry/C00022" TargetMode="External"/><Relationship Id="rId1373" Type="http://schemas.openxmlformats.org/officeDocument/2006/relationships/hyperlink" Target="https://www.genome.jp/entry/C00008" TargetMode="External"/><Relationship Id="rId2217" Type="http://schemas.openxmlformats.org/officeDocument/2006/relationships/hyperlink" Target="https://www.genome.jp/entry/C04734" TargetMode="External"/><Relationship Id="rId2771" Type="http://schemas.openxmlformats.org/officeDocument/2006/relationships/hyperlink" Target="https://www.genome.jp/entry/C00663" TargetMode="External"/><Relationship Id="rId2869" Type="http://schemas.openxmlformats.org/officeDocument/2006/relationships/hyperlink" Target="https://www.genome.jp/entry/C00020" TargetMode="External"/><Relationship Id="rId743" Type="http://schemas.openxmlformats.org/officeDocument/2006/relationships/hyperlink" Target="https://www.genome.jp/entry/C00010" TargetMode="External"/><Relationship Id="rId950" Type="http://schemas.openxmlformats.org/officeDocument/2006/relationships/hyperlink" Target="https://www.genome.jp/entry/C00010" TargetMode="External"/><Relationship Id="rId1026" Type="http://schemas.openxmlformats.org/officeDocument/2006/relationships/hyperlink" Target="https://enzyme.expasy.org/EC/2.4.2.18" TargetMode="External"/><Relationship Id="rId1580" Type="http://schemas.openxmlformats.org/officeDocument/2006/relationships/hyperlink" Target="https://enzyme.expasy.org/EC/2.7.7.3" TargetMode="External"/><Relationship Id="rId1678" Type="http://schemas.openxmlformats.org/officeDocument/2006/relationships/hyperlink" Target="https://www.genome.jp/entry/C20641" TargetMode="External"/><Relationship Id="rId1885" Type="http://schemas.openxmlformats.org/officeDocument/2006/relationships/hyperlink" Target="https://www.genome.jp/entry/G00370" TargetMode="External"/><Relationship Id="rId2424" Type="http://schemas.openxmlformats.org/officeDocument/2006/relationships/hyperlink" Target="https://www.genome.jp/entry/C03356" TargetMode="External"/><Relationship Id="rId2631" Type="http://schemas.openxmlformats.org/officeDocument/2006/relationships/hyperlink" Target="https://www.genome.jp/entry/C00217" TargetMode="External"/><Relationship Id="rId2729" Type="http://schemas.openxmlformats.org/officeDocument/2006/relationships/hyperlink" Target="https://www.genome.jp/entry/C00668" TargetMode="External"/><Relationship Id="rId2936" Type="http://schemas.openxmlformats.org/officeDocument/2006/relationships/hyperlink" Target="https://www.genome.jp/entry/C00002" TargetMode="External"/><Relationship Id="rId603" Type="http://schemas.openxmlformats.org/officeDocument/2006/relationships/hyperlink" Target="https://enzyme.expasy.org/EC/2.1.1.182" TargetMode="External"/><Relationship Id="rId810" Type="http://schemas.openxmlformats.org/officeDocument/2006/relationships/hyperlink" Target="https://www.genome.jp/entry/C16169" TargetMode="External"/><Relationship Id="rId908" Type="http://schemas.openxmlformats.org/officeDocument/2006/relationships/hyperlink" Target="https://www.genome.jp/entry/C19673" TargetMode="External"/><Relationship Id="rId1233" Type="http://schemas.openxmlformats.org/officeDocument/2006/relationships/hyperlink" Target="https://www.genome.jp/entry/C00002" TargetMode="External"/><Relationship Id="rId1440" Type="http://schemas.openxmlformats.org/officeDocument/2006/relationships/hyperlink" Target="https://www.genome.jp/entry/C00002" TargetMode="External"/><Relationship Id="rId1538" Type="http://schemas.openxmlformats.org/officeDocument/2006/relationships/hyperlink" Target="https://enzyme.expasy.org/EC/2.7.6.1" TargetMode="External"/><Relationship Id="rId1300" Type="http://schemas.openxmlformats.org/officeDocument/2006/relationships/hyperlink" Target="https://www.genome.jp/entry/C00286" TargetMode="External"/><Relationship Id="rId1745" Type="http://schemas.openxmlformats.org/officeDocument/2006/relationships/hyperlink" Target="https://www.genome.jp/entry/C00447" TargetMode="External"/><Relationship Id="rId1952" Type="http://schemas.openxmlformats.org/officeDocument/2006/relationships/hyperlink" Target="https://www.genome.jp/entry/C02686" TargetMode="External"/><Relationship Id="rId37" Type="http://schemas.openxmlformats.org/officeDocument/2006/relationships/hyperlink" Target="https://www.genome.jp/entry/C01612" TargetMode="External"/><Relationship Id="rId1605" Type="http://schemas.openxmlformats.org/officeDocument/2006/relationships/hyperlink" Target="https://enzyme.expasy.org/EC/2.7.7.6" TargetMode="External"/><Relationship Id="rId1812" Type="http://schemas.openxmlformats.org/officeDocument/2006/relationships/hyperlink" Target="https://www.genome.jp/entry/C03150" TargetMode="External"/><Relationship Id="rId3058" Type="http://schemas.openxmlformats.org/officeDocument/2006/relationships/hyperlink" Target="https://www.genome.jp/entry/C00008" TargetMode="External"/><Relationship Id="rId186" Type="http://schemas.openxmlformats.org/officeDocument/2006/relationships/hyperlink" Target="https://www.genome.jp/entry/C00860" TargetMode="External"/><Relationship Id="rId393" Type="http://schemas.openxmlformats.org/officeDocument/2006/relationships/hyperlink" Target="https://www.genome.jp/entry/C00100" TargetMode="External"/><Relationship Id="rId2074" Type="http://schemas.openxmlformats.org/officeDocument/2006/relationships/hyperlink" Target="https://enzyme.expasy.org/EC/3.2.1.26" TargetMode="External"/><Relationship Id="rId2281" Type="http://schemas.openxmlformats.org/officeDocument/2006/relationships/hyperlink" Target="https://www.genome.jp/entry/C00404" TargetMode="External"/><Relationship Id="rId3125" Type="http://schemas.openxmlformats.org/officeDocument/2006/relationships/hyperlink" Target="https://www.genome.jp/entry/C00002" TargetMode="External"/><Relationship Id="rId253" Type="http://schemas.openxmlformats.org/officeDocument/2006/relationships/hyperlink" Target="https://www.genome.jp/entry/C01236" TargetMode="External"/><Relationship Id="rId460" Type="http://schemas.openxmlformats.org/officeDocument/2006/relationships/hyperlink" Target="https://enzyme.expasy.org/EC/1.5.1.2" TargetMode="External"/><Relationship Id="rId698" Type="http://schemas.openxmlformats.org/officeDocument/2006/relationships/hyperlink" Target="https://www.genome.jp/entry/C05125" TargetMode="External"/><Relationship Id="rId1090" Type="http://schemas.openxmlformats.org/officeDocument/2006/relationships/hyperlink" Target="https://enzyme.expasy.org/EC/2.5.1.47" TargetMode="External"/><Relationship Id="rId2141" Type="http://schemas.openxmlformats.org/officeDocument/2006/relationships/hyperlink" Target="https://www.genome.jp/entry/C00012" TargetMode="External"/><Relationship Id="rId2379" Type="http://schemas.openxmlformats.org/officeDocument/2006/relationships/hyperlink" Target="https://www.genome.jp/entry/C00354" TargetMode="External"/><Relationship Id="rId2586" Type="http://schemas.openxmlformats.org/officeDocument/2006/relationships/hyperlink" Target="https://www.genome.jp/entry/C00283" TargetMode="External"/><Relationship Id="rId2793" Type="http://schemas.openxmlformats.org/officeDocument/2006/relationships/hyperlink" Target="https://www.genome.jp/entry/C02764" TargetMode="External"/><Relationship Id="rId113" Type="http://schemas.openxmlformats.org/officeDocument/2006/relationships/hyperlink" Target="https://www.genome.jp/entry/C04620" TargetMode="External"/><Relationship Id="rId320" Type="http://schemas.openxmlformats.org/officeDocument/2006/relationships/hyperlink" Target="https://enzyme.expasy.org/EC/1.17.4.1" TargetMode="External"/><Relationship Id="rId558" Type="http://schemas.openxmlformats.org/officeDocument/2006/relationships/hyperlink" Target="https://enzyme.expasy.org/EC/1.8.1.9" TargetMode="External"/><Relationship Id="rId765" Type="http://schemas.openxmlformats.org/officeDocument/2006/relationships/hyperlink" Target="https://www.genome.jp/entry/C00091" TargetMode="External"/><Relationship Id="rId972" Type="http://schemas.openxmlformats.org/officeDocument/2006/relationships/hyperlink" Target="https://www.genome.jp/entry/C03972" TargetMode="External"/><Relationship Id="rId1188" Type="http://schemas.openxmlformats.org/officeDocument/2006/relationships/hyperlink" Target="https://www.genome.jp/entry/C04261" TargetMode="External"/><Relationship Id="rId1395" Type="http://schemas.openxmlformats.org/officeDocument/2006/relationships/hyperlink" Target="https://www.genome.jp/entry/C00002" TargetMode="External"/><Relationship Id="rId2001" Type="http://schemas.openxmlformats.org/officeDocument/2006/relationships/hyperlink" Target="https://www.genome.jp/entry/C01290" TargetMode="External"/><Relationship Id="rId2239" Type="http://schemas.openxmlformats.org/officeDocument/2006/relationships/hyperlink" Target="https://www.genome.jp/entry/C00475" TargetMode="External"/><Relationship Id="rId2446" Type="http://schemas.openxmlformats.org/officeDocument/2006/relationships/hyperlink" Target="https://www.genome.jp/entry/C00078" TargetMode="External"/><Relationship Id="rId2653" Type="http://schemas.openxmlformats.org/officeDocument/2006/relationships/hyperlink" Target="https://www.genome.jp/entry/C00842" TargetMode="External"/><Relationship Id="rId2860" Type="http://schemas.openxmlformats.org/officeDocument/2006/relationships/hyperlink" Target="https://enzyme.expasy.org/EC/6.1.1.13" TargetMode="External"/><Relationship Id="rId418" Type="http://schemas.openxmlformats.org/officeDocument/2006/relationships/hyperlink" Target="https://www.genome.jp/entry/C00025" TargetMode="External"/><Relationship Id="rId625" Type="http://schemas.openxmlformats.org/officeDocument/2006/relationships/hyperlink" Target="https://www.genome.jp/entry/C02583" TargetMode="External"/><Relationship Id="rId832" Type="http://schemas.openxmlformats.org/officeDocument/2006/relationships/hyperlink" Target="https://www.genome.jp/entry/C00010" TargetMode="External"/><Relationship Id="rId1048" Type="http://schemas.openxmlformats.org/officeDocument/2006/relationships/hyperlink" Target="https://www.genome.jp/entry/C01977" TargetMode="External"/><Relationship Id="rId1255" Type="http://schemas.openxmlformats.org/officeDocument/2006/relationships/hyperlink" Target="https://www.genome.jp/entry/C00002" TargetMode="External"/><Relationship Id="rId1462" Type="http://schemas.openxmlformats.org/officeDocument/2006/relationships/hyperlink" Target="https://www.genome.jp/entry/C00008" TargetMode="External"/><Relationship Id="rId2306" Type="http://schemas.openxmlformats.org/officeDocument/2006/relationships/hyperlink" Target="https://www.genome.jp/entry/C16737" TargetMode="External"/><Relationship Id="rId2513" Type="http://schemas.openxmlformats.org/officeDocument/2006/relationships/hyperlink" Target="https://www.genome.jp/entry/C06055" TargetMode="External"/><Relationship Id="rId2958" Type="http://schemas.openxmlformats.org/officeDocument/2006/relationships/hyperlink" Target="https://www.genome.jp/entry/C00020" TargetMode="External"/><Relationship Id="rId1115" Type="http://schemas.openxmlformats.org/officeDocument/2006/relationships/hyperlink" Target="https://www.genome.jp/entry/C00235" TargetMode="External"/><Relationship Id="rId1322" Type="http://schemas.openxmlformats.org/officeDocument/2006/relationships/hyperlink" Target="https://www.genome.jp/entry/C00035" TargetMode="External"/><Relationship Id="rId1767" Type="http://schemas.openxmlformats.org/officeDocument/2006/relationships/hyperlink" Target="https://www.genome.jp/entry/C00475" TargetMode="External"/><Relationship Id="rId1974" Type="http://schemas.openxmlformats.org/officeDocument/2006/relationships/hyperlink" Target="https://enzyme.expasy.org/EC/3.2.1.22" TargetMode="External"/><Relationship Id="rId2720" Type="http://schemas.openxmlformats.org/officeDocument/2006/relationships/hyperlink" Target="https://www.genome.jp/entry/C05345" TargetMode="External"/><Relationship Id="rId2818" Type="http://schemas.openxmlformats.org/officeDocument/2006/relationships/hyperlink" Target="https://www.genome.jp/entry/C00020" TargetMode="External"/><Relationship Id="rId59" Type="http://schemas.openxmlformats.org/officeDocument/2006/relationships/hyperlink" Target="https://www.genome.jp/entry/C06613" TargetMode="External"/><Relationship Id="rId1627" Type="http://schemas.openxmlformats.org/officeDocument/2006/relationships/hyperlink" Target="https://www.genome.jp/entry/C00286" TargetMode="External"/><Relationship Id="rId1834" Type="http://schemas.openxmlformats.org/officeDocument/2006/relationships/hyperlink" Target="https://enzyme.expasy.org/EC/3.1.3.7" TargetMode="External"/><Relationship Id="rId2096" Type="http://schemas.openxmlformats.org/officeDocument/2006/relationships/hyperlink" Target="https://www.genome.jp/entry/C04534" TargetMode="External"/><Relationship Id="rId1901" Type="http://schemas.openxmlformats.org/officeDocument/2006/relationships/hyperlink" Target="https://www.genome.jp/entry/C00492" TargetMode="External"/><Relationship Id="rId3147" Type="http://schemas.openxmlformats.org/officeDocument/2006/relationships/hyperlink" Target="https://www.genome.jp/entry/C00008" TargetMode="External"/><Relationship Id="rId275" Type="http://schemas.openxmlformats.org/officeDocument/2006/relationships/hyperlink" Target="https://enzyme.expasy.org/EC/1.15.1.1" TargetMode="External"/><Relationship Id="rId482" Type="http://schemas.openxmlformats.org/officeDocument/2006/relationships/hyperlink" Target="https://www.genome.jp/entry/C00504" TargetMode="External"/><Relationship Id="rId2163" Type="http://schemas.openxmlformats.org/officeDocument/2006/relationships/hyperlink" Target="https://www.genome.jp/entry/C02713" TargetMode="External"/><Relationship Id="rId2370" Type="http://schemas.openxmlformats.org/officeDocument/2006/relationships/hyperlink" Target="https://www.genome.jp/entry/C00810" TargetMode="External"/><Relationship Id="rId3007" Type="http://schemas.openxmlformats.org/officeDocument/2006/relationships/hyperlink" Target="https://www.genome.jp/entry/C00008" TargetMode="External"/><Relationship Id="rId135" Type="http://schemas.openxmlformats.org/officeDocument/2006/relationships/hyperlink" Target="https://www.genome.jp/entry/C05756" TargetMode="External"/><Relationship Id="rId342" Type="http://schemas.openxmlformats.org/officeDocument/2006/relationships/hyperlink" Target="https://www.genome.jp/entry/C00458" TargetMode="External"/><Relationship Id="rId787" Type="http://schemas.openxmlformats.org/officeDocument/2006/relationships/hyperlink" Target="https://www.genome.jp/entry/C00010" TargetMode="External"/><Relationship Id="rId994" Type="http://schemas.openxmlformats.org/officeDocument/2006/relationships/hyperlink" Target="https://www.genome.jp/entry/G10495" TargetMode="External"/><Relationship Id="rId2023" Type="http://schemas.openxmlformats.org/officeDocument/2006/relationships/hyperlink" Target="https://www.genome.jp/entry/C06135" TargetMode="External"/><Relationship Id="rId2230" Type="http://schemas.openxmlformats.org/officeDocument/2006/relationships/hyperlink" Target="https://www.genome.jp/entry/C00212" TargetMode="External"/><Relationship Id="rId2468" Type="http://schemas.openxmlformats.org/officeDocument/2006/relationships/hyperlink" Target="https://www.genome.jp/entry/C01271" TargetMode="External"/><Relationship Id="rId2675" Type="http://schemas.openxmlformats.org/officeDocument/2006/relationships/hyperlink" Target="https://www.genome.jp/entry/C04916" TargetMode="External"/><Relationship Id="rId2882" Type="http://schemas.openxmlformats.org/officeDocument/2006/relationships/hyperlink" Target="https://www.genome.jp/entry/C00002" TargetMode="External"/><Relationship Id="rId202" Type="http://schemas.openxmlformats.org/officeDocument/2006/relationships/hyperlink" Target="https://www.genome.jp/entry/C22438" TargetMode="External"/><Relationship Id="rId647" Type="http://schemas.openxmlformats.org/officeDocument/2006/relationships/hyperlink" Target="https://www.genome.jp/entry/C17562" TargetMode="External"/><Relationship Id="rId854" Type="http://schemas.openxmlformats.org/officeDocument/2006/relationships/hyperlink" Target="https://enzyme.expasy.org/EC/2.3.1.16" TargetMode="External"/><Relationship Id="rId1277" Type="http://schemas.openxmlformats.org/officeDocument/2006/relationships/hyperlink" Target="https://www.genome.jp/entry/C00112" TargetMode="External"/><Relationship Id="rId1484" Type="http://schemas.openxmlformats.org/officeDocument/2006/relationships/hyperlink" Target="https://enzyme.expasy.org/EC/2.7.4.6" TargetMode="External"/><Relationship Id="rId1691" Type="http://schemas.openxmlformats.org/officeDocument/2006/relationships/hyperlink" Target="https://www.genome.jp/entry/C04882" TargetMode="External"/><Relationship Id="rId2328" Type="http://schemas.openxmlformats.org/officeDocument/2006/relationships/hyperlink" Target="https://www.genome.jp/entry/C00606" TargetMode="External"/><Relationship Id="rId2535" Type="http://schemas.openxmlformats.org/officeDocument/2006/relationships/hyperlink" Target="https://www.genome.jp/entry/C00122" TargetMode="External"/><Relationship Id="rId2742" Type="http://schemas.openxmlformats.org/officeDocument/2006/relationships/hyperlink" Target="https://enzyme.expasy.org/EC/5.3.1.9" TargetMode="External"/><Relationship Id="rId507" Type="http://schemas.openxmlformats.org/officeDocument/2006/relationships/hyperlink" Target="https://www.genome.jp/entry/C00504" TargetMode="External"/><Relationship Id="rId714" Type="http://schemas.openxmlformats.org/officeDocument/2006/relationships/hyperlink" Target="https://enzyme.expasy.org/EC/2.2.1.6" TargetMode="External"/><Relationship Id="rId921" Type="http://schemas.openxmlformats.org/officeDocument/2006/relationships/hyperlink" Target="https://www.genome.jp/entry/C05744" TargetMode="External"/><Relationship Id="rId1137" Type="http://schemas.openxmlformats.org/officeDocument/2006/relationships/hyperlink" Target="https://enzyme.expasy.org/EC/2.7.1.11" TargetMode="External"/><Relationship Id="rId1344" Type="http://schemas.openxmlformats.org/officeDocument/2006/relationships/hyperlink" Target="https://enzyme.expasy.org/EC/2.7.1.6" TargetMode="External"/><Relationship Id="rId1551" Type="http://schemas.openxmlformats.org/officeDocument/2006/relationships/hyperlink" Target="https://www.genome.jp/entry/C00020" TargetMode="External"/><Relationship Id="rId1789" Type="http://schemas.openxmlformats.org/officeDocument/2006/relationships/hyperlink" Target="https://enzyme.expasy.org/EC/3.1.3.5" TargetMode="External"/><Relationship Id="rId1996" Type="http://schemas.openxmlformats.org/officeDocument/2006/relationships/hyperlink" Target="https://www.genome.jp/entry/C00243" TargetMode="External"/><Relationship Id="rId2602" Type="http://schemas.openxmlformats.org/officeDocument/2006/relationships/hyperlink" Target="https://enzyme.expasy.org/EC/4.4.1.13" TargetMode="External"/><Relationship Id="rId50" Type="http://schemas.openxmlformats.org/officeDocument/2006/relationships/hyperlink" Target="https://www.genome.jp/entry/C05445" TargetMode="External"/><Relationship Id="rId1204" Type="http://schemas.openxmlformats.org/officeDocument/2006/relationships/hyperlink" Target="https://www.genome.jp/entry/C00008" TargetMode="External"/><Relationship Id="rId1411" Type="http://schemas.openxmlformats.org/officeDocument/2006/relationships/hyperlink" Target="https://www.genome.jp/entry/C00002" TargetMode="External"/><Relationship Id="rId1649" Type="http://schemas.openxmlformats.org/officeDocument/2006/relationships/hyperlink" Target="https://www.genome.jp/entry/C21031" TargetMode="External"/><Relationship Id="rId1856" Type="http://schemas.openxmlformats.org/officeDocument/2006/relationships/hyperlink" Target="https://www.genome.jp/entry/C06125" TargetMode="External"/><Relationship Id="rId2907" Type="http://schemas.openxmlformats.org/officeDocument/2006/relationships/hyperlink" Target="https://www.genome.jp/entry/C00002" TargetMode="External"/><Relationship Id="rId3071" Type="http://schemas.openxmlformats.org/officeDocument/2006/relationships/hyperlink" Target="https://www.genome.jp/entry/C00002" TargetMode="External"/><Relationship Id="rId1509" Type="http://schemas.openxmlformats.org/officeDocument/2006/relationships/hyperlink" Target="https://www.genome.jp/entry/C00002" TargetMode="External"/><Relationship Id="rId1716" Type="http://schemas.openxmlformats.org/officeDocument/2006/relationships/hyperlink" Target="https://www.genome.jp/entry/C00097" TargetMode="External"/><Relationship Id="rId1923" Type="http://schemas.openxmlformats.org/officeDocument/2006/relationships/hyperlink" Target="https://www.genome.jp/entry/C00794" TargetMode="External"/><Relationship Id="rId3169" Type="http://schemas.openxmlformats.org/officeDocument/2006/relationships/hyperlink" Target="https://enzyme.expasy.org/EC/6.3.5.5" TargetMode="External"/><Relationship Id="rId297" Type="http://schemas.openxmlformats.org/officeDocument/2006/relationships/hyperlink" Target="https://www.genome.jp/entry/C00361" TargetMode="External"/><Relationship Id="rId2185" Type="http://schemas.openxmlformats.org/officeDocument/2006/relationships/hyperlink" Target="https://www.genome.jp/entry/C03620" TargetMode="External"/><Relationship Id="rId2392" Type="http://schemas.openxmlformats.org/officeDocument/2006/relationships/hyperlink" Target="https://enzyme.expasy.org/EC/4.1.2.13" TargetMode="External"/><Relationship Id="rId3029" Type="http://schemas.openxmlformats.org/officeDocument/2006/relationships/hyperlink" Target="https://enzyme.expasy.org/EC/6.3.2.5" TargetMode="External"/><Relationship Id="rId157" Type="http://schemas.openxmlformats.org/officeDocument/2006/relationships/hyperlink" Target="https://www.genome.jp/entry/C00085" TargetMode="External"/><Relationship Id="rId364" Type="http://schemas.openxmlformats.org/officeDocument/2006/relationships/hyperlink" Target="https://www.genome.jp/entry/C00136" TargetMode="External"/><Relationship Id="rId2045" Type="http://schemas.openxmlformats.org/officeDocument/2006/relationships/hyperlink" Target="https://www.genome.jp/entry/G10504" TargetMode="External"/><Relationship Id="rId2697" Type="http://schemas.openxmlformats.org/officeDocument/2006/relationships/hyperlink" Target="https://enzyme.expasy.org/EC/5.3.1.30" TargetMode="External"/><Relationship Id="rId571" Type="http://schemas.openxmlformats.org/officeDocument/2006/relationships/hyperlink" Target="https://www.genome.jp/entry/C03895" TargetMode="External"/><Relationship Id="rId669" Type="http://schemas.openxmlformats.org/officeDocument/2006/relationships/hyperlink" Target="https://www.genome.jp/entry/C00101" TargetMode="External"/><Relationship Id="rId876" Type="http://schemas.openxmlformats.org/officeDocument/2006/relationships/hyperlink" Target="https://www.genome.jp/entry/C05759" TargetMode="External"/><Relationship Id="rId1299" Type="http://schemas.openxmlformats.org/officeDocument/2006/relationships/hyperlink" Target="https://enzyme.expasy.org/EC/2.7.1.40" TargetMode="External"/><Relationship Id="rId2252" Type="http://schemas.openxmlformats.org/officeDocument/2006/relationships/hyperlink" Target="https://www.genome.jp/entry/C12739" TargetMode="External"/><Relationship Id="rId2557" Type="http://schemas.openxmlformats.org/officeDocument/2006/relationships/hyperlink" Target="https://enzyme.expasy.org/EC/4.3.2.10" TargetMode="External"/><Relationship Id="rId224" Type="http://schemas.openxmlformats.org/officeDocument/2006/relationships/hyperlink" Target="https://enzyme.expasy.org/EC/1.1.1.27" TargetMode="External"/><Relationship Id="rId431" Type="http://schemas.openxmlformats.org/officeDocument/2006/relationships/hyperlink" Target="https://enzyme.expasy.org/EC/1.4.1.4" TargetMode="External"/><Relationship Id="rId529" Type="http://schemas.openxmlformats.org/officeDocument/2006/relationships/hyperlink" Target="https://www.genome.jp/entry/C02972" TargetMode="External"/><Relationship Id="rId736" Type="http://schemas.openxmlformats.org/officeDocument/2006/relationships/hyperlink" Target="https://www.genome.jp/entry/C00173" TargetMode="External"/><Relationship Id="rId1061" Type="http://schemas.openxmlformats.org/officeDocument/2006/relationships/hyperlink" Target="https://www.genome.jp/entry/C00105" TargetMode="External"/><Relationship Id="rId1159" Type="http://schemas.openxmlformats.org/officeDocument/2006/relationships/hyperlink" Target="https://www.genome.jp/entry/C01097" TargetMode="External"/><Relationship Id="rId1366" Type="http://schemas.openxmlformats.org/officeDocument/2006/relationships/hyperlink" Target="https://www.genome.jp/entry/C00002" TargetMode="External"/><Relationship Id="rId2112" Type="http://schemas.openxmlformats.org/officeDocument/2006/relationships/hyperlink" Target="https://www.genome.jp/entry/C00031" TargetMode="External"/><Relationship Id="rId2417" Type="http://schemas.openxmlformats.org/officeDocument/2006/relationships/hyperlink" Target="https://enzyme.expasy.org/EC/4.2.1.11" TargetMode="External"/><Relationship Id="rId2764" Type="http://schemas.openxmlformats.org/officeDocument/2006/relationships/hyperlink" Target="https://www.genome.jp/entry/C00197" TargetMode="External"/><Relationship Id="rId2971" Type="http://schemas.openxmlformats.org/officeDocument/2006/relationships/hyperlink" Target="https://www.genome.jp/entry/C00002" TargetMode="External"/><Relationship Id="rId943" Type="http://schemas.openxmlformats.org/officeDocument/2006/relationships/hyperlink" Target="https://www.genome.jp/entry/C00003" TargetMode="External"/><Relationship Id="rId1019" Type="http://schemas.openxmlformats.org/officeDocument/2006/relationships/hyperlink" Target="https://enzyme.expasy.org/EC/2.4.1.227" TargetMode="External"/><Relationship Id="rId1573" Type="http://schemas.openxmlformats.org/officeDocument/2006/relationships/hyperlink" Target="https://www.genome.jp/entry/C00013" TargetMode="External"/><Relationship Id="rId1780" Type="http://schemas.openxmlformats.org/officeDocument/2006/relationships/hyperlink" Target="https://www.genome.jp/entry/C00144" TargetMode="External"/><Relationship Id="rId1878" Type="http://schemas.openxmlformats.org/officeDocument/2006/relationships/hyperlink" Target="https://www.genome.jp/entry/C00031" TargetMode="External"/><Relationship Id="rId2624" Type="http://schemas.openxmlformats.org/officeDocument/2006/relationships/hyperlink" Target="https://www.genome.jp/entry/C00041" TargetMode="External"/><Relationship Id="rId2831" Type="http://schemas.openxmlformats.org/officeDocument/2006/relationships/hyperlink" Target="https://www.genome.jp/entry/C00002" TargetMode="External"/><Relationship Id="rId2929" Type="http://schemas.openxmlformats.org/officeDocument/2006/relationships/hyperlink" Target="https://enzyme.expasy.org/EC/6.1.1.22" TargetMode="External"/><Relationship Id="rId72" Type="http://schemas.openxmlformats.org/officeDocument/2006/relationships/hyperlink" Target="https://www.genome.jp/entry/C07645" TargetMode="External"/><Relationship Id="rId803" Type="http://schemas.openxmlformats.org/officeDocument/2006/relationships/hyperlink" Target="https://www.genome.jp/entry/C00527" TargetMode="External"/><Relationship Id="rId1226" Type="http://schemas.openxmlformats.org/officeDocument/2006/relationships/hyperlink" Target="https://enzyme.expasy.org/EC/2.7.1.24" TargetMode="External"/><Relationship Id="rId1433" Type="http://schemas.openxmlformats.org/officeDocument/2006/relationships/hyperlink" Target="https://www.genome.jp/entry/C00008" TargetMode="External"/><Relationship Id="rId1640" Type="http://schemas.openxmlformats.org/officeDocument/2006/relationships/hyperlink" Target="https://enzyme.expasy.org/EC/2.7.7.7" TargetMode="External"/><Relationship Id="rId1738" Type="http://schemas.openxmlformats.org/officeDocument/2006/relationships/hyperlink" Target="https://www.genome.jp/entry/C00010" TargetMode="External"/><Relationship Id="rId3093" Type="http://schemas.openxmlformats.org/officeDocument/2006/relationships/hyperlink" Target="https://www.genome.jp/entry/C00008" TargetMode="External"/><Relationship Id="rId1500" Type="http://schemas.openxmlformats.org/officeDocument/2006/relationships/hyperlink" Target="https://www.genome.jp/entry/C11038" TargetMode="External"/><Relationship Id="rId1945" Type="http://schemas.openxmlformats.org/officeDocument/2006/relationships/hyperlink" Target="https://www.genome.jp/entry/C06037" TargetMode="External"/><Relationship Id="rId3160" Type="http://schemas.openxmlformats.org/officeDocument/2006/relationships/hyperlink" Target="https://www.genome.jp/entry/C00002" TargetMode="External"/><Relationship Id="rId1805" Type="http://schemas.openxmlformats.org/officeDocument/2006/relationships/hyperlink" Target="https://www.genome.jp/entry/C00365" TargetMode="External"/><Relationship Id="rId3020" Type="http://schemas.openxmlformats.org/officeDocument/2006/relationships/hyperlink" Target="https://www.genome.jp/entry/C00002" TargetMode="External"/><Relationship Id="rId179" Type="http://schemas.openxmlformats.org/officeDocument/2006/relationships/hyperlink" Target="https://enzyme.expasy.org/EC/1.1.1.23" TargetMode="External"/><Relationship Id="rId386" Type="http://schemas.openxmlformats.org/officeDocument/2006/relationships/hyperlink" Target="https://enzyme.expasy.org/EC/1.3.1.14" TargetMode="External"/><Relationship Id="rId593" Type="http://schemas.openxmlformats.org/officeDocument/2006/relationships/hyperlink" Target="https://enzyme.expasy.org/EC/2.1.1.170" TargetMode="External"/><Relationship Id="rId2067" Type="http://schemas.openxmlformats.org/officeDocument/2006/relationships/hyperlink" Target="https://www.genome.jp/entry/C05402" TargetMode="External"/><Relationship Id="rId2274" Type="http://schemas.openxmlformats.org/officeDocument/2006/relationships/hyperlink" Target="https://www.genome.jp/entry/C00013" TargetMode="External"/><Relationship Id="rId2481" Type="http://schemas.openxmlformats.org/officeDocument/2006/relationships/hyperlink" Target="https://www.genome.jp/entry/C04619" TargetMode="External"/><Relationship Id="rId3118" Type="http://schemas.openxmlformats.org/officeDocument/2006/relationships/hyperlink" Target="https://www.genome.jp/entry/C00020" TargetMode="External"/><Relationship Id="rId246" Type="http://schemas.openxmlformats.org/officeDocument/2006/relationships/hyperlink" Target="https://www.genome.jp/entry/C00345" TargetMode="External"/><Relationship Id="rId453" Type="http://schemas.openxmlformats.org/officeDocument/2006/relationships/hyperlink" Target="https://www.genome.jp/entry/C03912" TargetMode="External"/><Relationship Id="rId660" Type="http://schemas.openxmlformats.org/officeDocument/2006/relationships/hyperlink" Target="https://enzyme.expasy.org/EC/2.1.2.1" TargetMode="External"/><Relationship Id="rId898" Type="http://schemas.openxmlformats.org/officeDocument/2006/relationships/hyperlink" Target="https://www.genome.jp/entry/C05761" TargetMode="External"/><Relationship Id="rId1083" Type="http://schemas.openxmlformats.org/officeDocument/2006/relationships/hyperlink" Target="https://enzyme.expasy.org/EC/2.5.1.3" TargetMode="External"/><Relationship Id="rId1290" Type="http://schemas.openxmlformats.org/officeDocument/2006/relationships/hyperlink" Target="https://www.genome.jp/entry/C00131" TargetMode="External"/><Relationship Id="rId2134" Type="http://schemas.openxmlformats.org/officeDocument/2006/relationships/hyperlink" Target="https://enzyme.expasy.org/EC/3.2.2.9" TargetMode="External"/><Relationship Id="rId2341" Type="http://schemas.openxmlformats.org/officeDocument/2006/relationships/hyperlink" Target="https://www.genome.jp/entry/C03373" TargetMode="External"/><Relationship Id="rId2579" Type="http://schemas.openxmlformats.org/officeDocument/2006/relationships/hyperlink" Target="https://www.genome.jp/entry/C02882" TargetMode="External"/><Relationship Id="rId2786" Type="http://schemas.openxmlformats.org/officeDocument/2006/relationships/hyperlink" Target="https://www.genome.jp/entry/C00672" TargetMode="External"/><Relationship Id="rId2993" Type="http://schemas.openxmlformats.org/officeDocument/2006/relationships/hyperlink" Target="https://www.genome.jp/entry/C02051" TargetMode="External"/><Relationship Id="rId106" Type="http://schemas.openxmlformats.org/officeDocument/2006/relationships/hyperlink" Target="https://enzyme.expasy.org/EC/1.1.1.100" TargetMode="External"/><Relationship Id="rId313" Type="http://schemas.openxmlformats.org/officeDocument/2006/relationships/hyperlink" Target="https://www.genome.jp/entry/C03723" TargetMode="External"/><Relationship Id="rId758" Type="http://schemas.openxmlformats.org/officeDocument/2006/relationships/hyperlink" Target="https://www.genome.jp/entry/C00010" TargetMode="External"/><Relationship Id="rId965" Type="http://schemas.openxmlformats.org/officeDocument/2006/relationships/hyperlink" Target="https://www.genome.jp/entry/C00010" TargetMode="External"/><Relationship Id="rId1150" Type="http://schemas.openxmlformats.org/officeDocument/2006/relationships/hyperlink" Target="https://enzyme.expasy.org/EC/2.7.1.11" TargetMode="External"/><Relationship Id="rId1388" Type="http://schemas.openxmlformats.org/officeDocument/2006/relationships/hyperlink" Target="https://www.genome.jp/entry/C00022" TargetMode="External"/><Relationship Id="rId1595" Type="http://schemas.openxmlformats.org/officeDocument/2006/relationships/hyperlink" Target="https://enzyme.expasy.org/EC/2.7.7.6" TargetMode="External"/><Relationship Id="rId2439" Type="http://schemas.openxmlformats.org/officeDocument/2006/relationships/hyperlink" Target="https://www.genome.jp/entry/C00149" TargetMode="External"/><Relationship Id="rId2646" Type="http://schemas.openxmlformats.org/officeDocument/2006/relationships/hyperlink" Target="https://www.genome.jp/entry/C00052" TargetMode="External"/><Relationship Id="rId2853" Type="http://schemas.openxmlformats.org/officeDocument/2006/relationships/hyperlink" Target="https://www.genome.jp/entry/C00020" TargetMode="External"/><Relationship Id="rId94" Type="http://schemas.openxmlformats.org/officeDocument/2006/relationships/hyperlink" Target="https://www.genome.jp/entry/C16596" TargetMode="External"/><Relationship Id="rId520" Type="http://schemas.openxmlformats.org/officeDocument/2006/relationships/hyperlink" Target="https://www.genome.jp/entry/C00130" TargetMode="External"/><Relationship Id="rId618" Type="http://schemas.openxmlformats.org/officeDocument/2006/relationships/hyperlink" Target="https://enzyme.expasy.org/EC/2.1.1.228" TargetMode="External"/><Relationship Id="rId825" Type="http://schemas.openxmlformats.org/officeDocument/2006/relationships/hyperlink" Target="https://www.genome.jp/entry/C16335" TargetMode="External"/><Relationship Id="rId1248" Type="http://schemas.openxmlformats.org/officeDocument/2006/relationships/hyperlink" Target="https://www.genome.jp/entry/C00008" TargetMode="External"/><Relationship Id="rId1455" Type="http://schemas.openxmlformats.org/officeDocument/2006/relationships/hyperlink" Target="https://www.genome.jp/entry/C00002" TargetMode="External"/><Relationship Id="rId1662" Type="http://schemas.openxmlformats.org/officeDocument/2006/relationships/hyperlink" Target="https://www.genome.jp/entry/C19078" TargetMode="External"/><Relationship Id="rId2201" Type="http://schemas.openxmlformats.org/officeDocument/2006/relationships/hyperlink" Target="https://www.genome.jp/entry/C04258" TargetMode="External"/><Relationship Id="rId2506" Type="http://schemas.openxmlformats.org/officeDocument/2006/relationships/hyperlink" Target="https://www.genome.jp/entry/C20374" TargetMode="External"/><Relationship Id="rId1010" Type="http://schemas.openxmlformats.org/officeDocument/2006/relationships/hyperlink" Target="https://enzyme.expasy.org/EC/2.4.1.227" TargetMode="External"/><Relationship Id="rId1108" Type="http://schemas.openxmlformats.org/officeDocument/2006/relationships/hyperlink" Target="https://enzyme.expasy.org/EC/2.5.1.74" TargetMode="External"/><Relationship Id="rId1315" Type="http://schemas.openxmlformats.org/officeDocument/2006/relationships/hyperlink" Target="https://www.genome.jp/entry/C00044" TargetMode="External"/><Relationship Id="rId1967" Type="http://schemas.openxmlformats.org/officeDocument/2006/relationships/hyperlink" Target="https://www.genome.jp/entry/G11121" TargetMode="External"/><Relationship Id="rId2713" Type="http://schemas.openxmlformats.org/officeDocument/2006/relationships/hyperlink" Target="https://www.genome.jp/entry/C00275" TargetMode="External"/><Relationship Id="rId2920" Type="http://schemas.openxmlformats.org/officeDocument/2006/relationships/hyperlink" Target="https://www.genome.jp/entry/C00002" TargetMode="External"/><Relationship Id="rId1522" Type="http://schemas.openxmlformats.org/officeDocument/2006/relationships/hyperlink" Target="https://www.genome.jp/entry/C00008" TargetMode="External"/><Relationship Id="rId21" Type="http://schemas.openxmlformats.org/officeDocument/2006/relationships/hyperlink" Target="https://enzyme.expasy.org/EC/1.1.1.1" TargetMode="External"/><Relationship Id="rId2089" Type="http://schemas.openxmlformats.org/officeDocument/2006/relationships/hyperlink" Target="https://enzyme.expasy.org/EC/3.2.1.26" TargetMode="External"/><Relationship Id="rId2296" Type="http://schemas.openxmlformats.org/officeDocument/2006/relationships/hyperlink" Target="https://www.genome.jp/entry/C02741" TargetMode="External"/><Relationship Id="rId268" Type="http://schemas.openxmlformats.org/officeDocument/2006/relationships/hyperlink" Target="https://www.genome.jp/entry/C00111" TargetMode="External"/><Relationship Id="rId475" Type="http://schemas.openxmlformats.org/officeDocument/2006/relationships/hyperlink" Target="https://enzyme.expasy.org/EC/1.5.1.20" TargetMode="External"/><Relationship Id="rId682" Type="http://schemas.openxmlformats.org/officeDocument/2006/relationships/hyperlink" Target="https://www.genome.jp/entry/C02430" TargetMode="External"/><Relationship Id="rId2156" Type="http://schemas.openxmlformats.org/officeDocument/2006/relationships/hyperlink" Target="https://www.genome.jp/entry/C00357" TargetMode="External"/><Relationship Id="rId2363" Type="http://schemas.openxmlformats.org/officeDocument/2006/relationships/hyperlink" Target="https://www.genome.jp/entry/C00002" TargetMode="External"/><Relationship Id="rId2570" Type="http://schemas.openxmlformats.org/officeDocument/2006/relationships/hyperlink" Target="https://www.genome.jp/entry/C00122" TargetMode="External"/><Relationship Id="rId128" Type="http://schemas.openxmlformats.org/officeDocument/2006/relationships/hyperlink" Target="https://www.genome.jp/entry/C05747" TargetMode="External"/><Relationship Id="rId335" Type="http://schemas.openxmlformats.org/officeDocument/2006/relationships/hyperlink" Target="https://enzyme.expasy.org/EC/1.17.4.2" TargetMode="External"/><Relationship Id="rId542" Type="http://schemas.openxmlformats.org/officeDocument/2006/relationships/hyperlink" Target="https://www.genome.jp/entry/C16237" TargetMode="External"/><Relationship Id="rId1172" Type="http://schemas.openxmlformats.org/officeDocument/2006/relationships/hyperlink" Target="https://www.genome.jp/entry/C00002" TargetMode="External"/><Relationship Id="rId2016" Type="http://schemas.openxmlformats.org/officeDocument/2006/relationships/hyperlink" Target="https://www.genome.jp/entry/C05796" TargetMode="External"/><Relationship Id="rId2223" Type="http://schemas.openxmlformats.org/officeDocument/2006/relationships/hyperlink" Target="https://enzyme.expasy.org/EC/3.5.4.33" TargetMode="External"/><Relationship Id="rId2430" Type="http://schemas.openxmlformats.org/officeDocument/2006/relationships/hyperlink" Target="https://www.genome.jp/entry/C16698" TargetMode="External"/><Relationship Id="rId402" Type="http://schemas.openxmlformats.org/officeDocument/2006/relationships/hyperlink" Target="https://www.genome.jp/entry/C01050" TargetMode="External"/><Relationship Id="rId1032" Type="http://schemas.openxmlformats.org/officeDocument/2006/relationships/hyperlink" Target="https://www.genome.jp/entry/C00214" TargetMode="External"/><Relationship Id="rId1989" Type="http://schemas.openxmlformats.org/officeDocument/2006/relationships/hyperlink" Target="https://enzyme.expasy.org/EC/3.2.1.23" TargetMode="External"/><Relationship Id="rId1849" Type="http://schemas.openxmlformats.org/officeDocument/2006/relationships/hyperlink" Target="https://enzyme.expasy.org/EC/3.1.6.1" TargetMode="External"/><Relationship Id="rId3064" Type="http://schemas.openxmlformats.org/officeDocument/2006/relationships/hyperlink" Target="https://enzyme.expasy.org/EC/6.3.4.15" TargetMode="External"/><Relationship Id="rId192" Type="http://schemas.openxmlformats.org/officeDocument/2006/relationships/hyperlink" Target="https://www.genome.jp/entry/C00135" TargetMode="External"/><Relationship Id="rId1709" Type="http://schemas.openxmlformats.org/officeDocument/2006/relationships/hyperlink" Target="https://www.genome.jp/entry/C00020" TargetMode="External"/><Relationship Id="rId1916" Type="http://schemas.openxmlformats.org/officeDocument/2006/relationships/hyperlink" Target="https://www.genome.jp/entry/C04737" TargetMode="External"/><Relationship Id="rId2080" Type="http://schemas.openxmlformats.org/officeDocument/2006/relationships/hyperlink" Target="https://www.genome.jp/entry/G00249" TargetMode="External"/><Relationship Id="rId3131" Type="http://schemas.openxmlformats.org/officeDocument/2006/relationships/hyperlink" Target="https://www.genome.jp/entry/C16618" TargetMode="External"/><Relationship Id="rId2897" Type="http://schemas.openxmlformats.org/officeDocument/2006/relationships/hyperlink" Target="https://www.genome.jp/entry/C00002" TargetMode="External"/><Relationship Id="rId869" Type="http://schemas.openxmlformats.org/officeDocument/2006/relationships/hyperlink" Target="https://enzyme.expasy.org/EC/2.3.1.179" TargetMode="External"/><Relationship Id="rId1499" Type="http://schemas.openxmlformats.org/officeDocument/2006/relationships/hyperlink" Target="https://enzyme.expasy.org/EC/2.7.4.6" TargetMode="External"/><Relationship Id="rId729" Type="http://schemas.openxmlformats.org/officeDocument/2006/relationships/hyperlink" Target="https://enzyme.expasy.org/EC/2.3.1.15" TargetMode="External"/><Relationship Id="rId1359" Type="http://schemas.openxmlformats.org/officeDocument/2006/relationships/hyperlink" Target="https://enzyme.expasy.org/EC/2.7.2.1" TargetMode="External"/><Relationship Id="rId2757" Type="http://schemas.openxmlformats.org/officeDocument/2006/relationships/hyperlink" Target="https://www.genome.jp/entry/C06156" TargetMode="External"/><Relationship Id="rId2964" Type="http://schemas.openxmlformats.org/officeDocument/2006/relationships/hyperlink" Target="https://enzyme.expasy.org/EC/6.2.1.22" TargetMode="External"/><Relationship Id="rId936" Type="http://schemas.openxmlformats.org/officeDocument/2006/relationships/hyperlink" Target="https://enzyme.expasy.org/EC/2.3.1.286" TargetMode="External"/><Relationship Id="rId1219" Type="http://schemas.openxmlformats.org/officeDocument/2006/relationships/hyperlink" Target="https://www.genome.jp/entry/C04242" TargetMode="External"/><Relationship Id="rId1566" Type="http://schemas.openxmlformats.org/officeDocument/2006/relationships/hyperlink" Target="https://www.genome.jp/entry/C00013" TargetMode="External"/><Relationship Id="rId1773" Type="http://schemas.openxmlformats.org/officeDocument/2006/relationships/hyperlink" Target="https://www.genome.jp/entry/C00299" TargetMode="External"/><Relationship Id="rId1980" Type="http://schemas.openxmlformats.org/officeDocument/2006/relationships/hyperlink" Target="https://www.genome.jp/entry/G10488" TargetMode="External"/><Relationship Id="rId2617" Type="http://schemas.openxmlformats.org/officeDocument/2006/relationships/hyperlink" Target="https://enzyme.expasy.org/EC/4.4.1.13" TargetMode="External"/><Relationship Id="rId2824" Type="http://schemas.openxmlformats.org/officeDocument/2006/relationships/hyperlink" Target="https://www.genome.jp/entry/C00020" TargetMode="External"/><Relationship Id="rId65" Type="http://schemas.openxmlformats.org/officeDocument/2006/relationships/hyperlink" Target="https://www.genome.jp/entry/C16348" TargetMode="External"/><Relationship Id="rId1426" Type="http://schemas.openxmlformats.org/officeDocument/2006/relationships/hyperlink" Target="https://www.genome.jp/entry/C00068" TargetMode="External"/><Relationship Id="rId1633" Type="http://schemas.openxmlformats.org/officeDocument/2006/relationships/hyperlink" Target="https://www.genome.jp/entry/C00013" TargetMode="External"/><Relationship Id="rId1840" Type="http://schemas.openxmlformats.org/officeDocument/2006/relationships/hyperlink" Target="https://www.genome.jp/entry/C00054" TargetMode="External"/><Relationship Id="rId1700" Type="http://schemas.openxmlformats.org/officeDocument/2006/relationships/hyperlink" Target="https://enzyme.expasy.org/EC/2.7.8.7" TargetMode="External"/><Relationship Id="rId379" Type="http://schemas.openxmlformats.org/officeDocument/2006/relationships/hyperlink" Target="https://www.genome.jp/entry/C00227" TargetMode="External"/><Relationship Id="rId586" Type="http://schemas.openxmlformats.org/officeDocument/2006/relationships/hyperlink" Target="https://www.genome.jp/entry/C04144" TargetMode="External"/><Relationship Id="rId793" Type="http://schemas.openxmlformats.org/officeDocument/2006/relationships/hyperlink" Target="https://www.genome.jp/entry/C00010" TargetMode="External"/><Relationship Id="rId2267" Type="http://schemas.openxmlformats.org/officeDocument/2006/relationships/hyperlink" Target="https://enzyme.expasy.org/EC/3.5.99.6" TargetMode="External"/><Relationship Id="rId2474" Type="http://schemas.openxmlformats.org/officeDocument/2006/relationships/hyperlink" Target="https://www.genome.jp/entry/C00188" TargetMode="External"/><Relationship Id="rId2681" Type="http://schemas.openxmlformats.org/officeDocument/2006/relationships/hyperlink" Target="https://www.genome.jp/entry/C01097" TargetMode="External"/><Relationship Id="rId239" Type="http://schemas.openxmlformats.org/officeDocument/2006/relationships/hyperlink" Target="https://enzyme.expasy.org/EC/1.1.1.3" TargetMode="External"/><Relationship Id="rId446" Type="http://schemas.openxmlformats.org/officeDocument/2006/relationships/hyperlink" Target="https://www.genome.jp/entry/C00647" TargetMode="External"/><Relationship Id="rId653" Type="http://schemas.openxmlformats.org/officeDocument/2006/relationships/hyperlink" Target="https://www.genome.jp/entry/C00021" TargetMode="External"/><Relationship Id="rId1076" Type="http://schemas.openxmlformats.org/officeDocument/2006/relationships/hyperlink" Target="https://www.genome.jp/entry/C00536" TargetMode="External"/><Relationship Id="rId1283" Type="http://schemas.openxmlformats.org/officeDocument/2006/relationships/hyperlink" Target="https://www.genome.jp/entry/C00015" TargetMode="External"/><Relationship Id="rId1490" Type="http://schemas.openxmlformats.org/officeDocument/2006/relationships/hyperlink" Target="https://www.genome.jp/entry/C00002" TargetMode="External"/><Relationship Id="rId2127" Type="http://schemas.openxmlformats.org/officeDocument/2006/relationships/hyperlink" Target="https://www.genome.jp/entry/C03539" TargetMode="External"/><Relationship Id="rId2334" Type="http://schemas.openxmlformats.org/officeDocument/2006/relationships/hyperlink" Target="https://www.genome.jp/entry/C00680" TargetMode="External"/><Relationship Id="rId306" Type="http://schemas.openxmlformats.org/officeDocument/2006/relationships/hyperlink" Target="https://www.genome.jp/entry/C01346" TargetMode="External"/><Relationship Id="rId860" Type="http://schemas.openxmlformats.org/officeDocument/2006/relationships/hyperlink" Target="https://www.genome.jp/entry/C23021" TargetMode="External"/><Relationship Id="rId1143" Type="http://schemas.openxmlformats.org/officeDocument/2006/relationships/hyperlink" Target="https://www.genome.jp/entry/C00008" TargetMode="External"/><Relationship Id="rId2541" Type="http://schemas.openxmlformats.org/officeDocument/2006/relationships/hyperlink" Target="https://www.genome.jp/entry/C00161" TargetMode="External"/><Relationship Id="rId513" Type="http://schemas.openxmlformats.org/officeDocument/2006/relationships/hyperlink" Target="https://enzyme.expasy.org/EC/1.5.1.5" TargetMode="External"/><Relationship Id="rId720" Type="http://schemas.openxmlformats.org/officeDocument/2006/relationships/hyperlink" Target="https://www.genome.jp/entry/C06010" TargetMode="External"/><Relationship Id="rId1350" Type="http://schemas.openxmlformats.org/officeDocument/2006/relationships/hyperlink" Target="https://www.genome.jp/entry/C06892" TargetMode="External"/><Relationship Id="rId2401" Type="http://schemas.openxmlformats.org/officeDocument/2006/relationships/hyperlink" Target="https://www.genome.jp/entry/C00111" TargetMode="External"/><Relationship Id="rId1003" Type="http://schemas.openxmlformats.org/officeDocument/2006/relationships/hyperlink" Target="https://www.genome.jp/entry/C00008" TargetMode="External"/><Relationship Id="rId1210" Type="http://schemas.openxmlformats.org/officeDocument/2006/relationships/hyperlink" Target="https://www.genome.jp/entry/C00008" TargetMode="External"/><Relationship Id="rId3175" Type="http://schemas.openxmlformats.org/officeDocument/2006/relationships/hyperlink" Target="https://www.genome.jp/entry/C00002" TargetMode="External"/><Relationship Id="rId2191" Type="http://schemas.openxmlformats.org/officeDocument/2006/relationships/hyperlink" Target="https://www.genome.jp/entry/C06244" TargetMode="External"/><Relationship Id="rId3035" Type="http://schemas.openxmlformats.org/officeDocument/2006/relationships/hyperlink" Target="https://www.genome.jp/entry/C00002" TargetMode="External"/><Relationship Id="rId163" Type="http://schemas.openxmlformats.org/officeDocument/2006/relationships/hyperlink" Target="https://www.genome.jp/entry/C05345" TargetMode="External"/><Relationship Id="rId370" Type="http://schemas.openxmlformats.org/officeDocument/2006/relationships/hyperlink" Target="https://www.genome.jp/entry/C03082" TargetMode="External"/><Relationship Id="rId2051" Type="http://schemas.openxmlformats.org/officeDocument/2006/relationships/hyperlink" Target="https://www.genome.jp/entry/G10504" TargetMode="External"/><Relationship Id="rId3102" Type="http://schemas.openxmlformats.org/officeDocument/2006/relationships/hyperlink" Target="https://www.genome.jp/entry/C00008" TargetMode="External"/><Relationship Id="rId230" Type="http://schemas.openxmlformats.org/officeDocument/2006/relationships/hyperlink" Target="https://www.genome.jp/entry/C05984" TargetMode="External"/><Relationship Id="rId2868" Type="http://schemas.openxmlformats.org/officeDocument/2006/relationships/hyperlink" Target="https://www.genome.jp/entry/C00020" TargetMode="External"/><Relationship Id="rId1677" Type="http://schemas.openxmlformats.org/officeDocument/2006/relationships/hyperlink" Target="https://www.genome.jp/entry/C00188" TargetMode="External"/><Relationship Id="rId1884" Type="http://schemas.openxmlformats.org/officeDocument/2006/relationships/hyperlink" Target="https://enzyme.expasy.org/EC/3.2.1.20" TargetMode="External"/><Relationship Id="rId2728" Type="http://schemas.openxmlformats.org/officeDocument/2006/relationships/hyperlink" Target="https://www.genome.jp/entry/C00668" TargetMode="External"/><Relationship Id="rId2935" Type="http://schemas.openxmlformats.org/officeDocument/2006/relationships/hyperlink" Target="https://www.genome.jp/entry/C00002" TargetMode="External"/><Relationship Id="rId907" Type="http://schemas.openxmlformats.org/officeDocument/2006/relationships/hyperlink" Target="https://enzyme.expasy.org/EC/2.3.1.179" TargetMode="External"/><Relationship Id="rId1537" Type="http://schemas.openxmlformats.org/officeDocument/2006/relationships/hyperlink" Target="https://www.genome.jp/entry/C00008" TargetMode="External"/><Relationship Id="rId1744" Type="http://schemas.openxmlformats.org/officeDocument/2006/relationships/hyperlink" Target="https://enzyme.expasy.org/EC/3.1.3.11" TargetMode="External"/><Relationship Id="rId1951" Type="http://schemas.openxmlformats.org/officeDocument/2006/relationships/hyperlink" Target="https://www.genome.jp/entry/C06126" TargetMode="External"/><Relationship Id="rId36" Type="http://schemas.openxmlformats.org/officeDocument/2006/relationships/hyperlink" Target="https://enzyme.expasy.org/EC/1.1.1.1" TargetMode="External"/><Relationship Id="rId1604" Type="http://schemas.openxmlformats.org/officeDocument/2006/relationships/hyperlink" Target="https://www.genome.jp/entry/C00013" TargetMode="External"/><Relationship Id="rId1811" Type="http://schemas.openxmlformats.org/officeDocument/2006/relationships/hyperlink" Target="https://www.genome.jp/entry/C00455" TargetMode="External"/><Relationship Id="rId697" Type="http://schemas.openxmlformats.org/officeDocument/2006/relationships/hyperlink" Target="https://www.genome.jp/entry/C05125" TargetMode="External"/><Relationship Id="rId2378" Type="http://schemas.openxmlformats.org/officeDocument/2006/relationships/hyperlink" Target="https://www.genome.jp/entry/C00354" TargetMode="External"/><Relationship Id="rId1187" Type="http://schemas.openxmlformats.org/officeDocument/2006/relationships/hyperlink" Target="https://www.genome.jp/entry/C04261" TargetMode="External"/><Relationship Id="rId2585" Type="http://schemas.openxmlformats.org/officeDocument/2006/relationships/hyperlink" Target="https://www.genome.jp/entry/C00283" TargetMode="External"/><Relationship Id="rId2792" Type="http://schemas.openxmlformats.org/officeDocument/2006/relationships/hyperlink" Target="https://www.genome.jp/entry/C00868" TargetMode="External"/><Relationship Id="rId557" Type="http://schemas.openxmlformats.org/officeDocument/2006/relationships/hyperlink" Target="https://www.genome.jp/entry/C00343" TargetMode="External"/><Relationship Id="rId764" Type="http://schemas.openxmlformats.org/officeDocument/2006/relationships/hyperlink" Target="https://enzyme.expasy.org/EC/2.3.1.16" TargetMode="External"/><Relationship Id="rId971" Type="http://schemas.openxmlformats.org/officeDocument/2006/relationships/hyperlink" Target="https://enzyme.expasy.org/EC/2.3.1.89" TargetMode="External"/><Relationship Id="rId1394" Type="http://schemas.openxmlformats.org/officeDocument/2006/relationships/hyperlink" Target="https://enzyme.expasy.org/EC/2.7.4.2" TargetMode="External"/><Relationship Id="rId2238" Type="http://schemas.openxmlformats.org/officeDocument/2006/relationships/hyperlink" Target="https://enzyme.expasy.org/EC/3.5.4.5" TargetMode="External"/><Relationship Id="rId2445" Type="http://schemas.openxmlformats.org/officeDocument/2006/relationships/hyperlink" Target="https://www.genome.jp/entry/C00078" TargetMode="External"/><Relationship Id="rId2652" Type="http://schemas.openxmlformats.org/officeDocument/2006/relationships/hyperlink" Target="https://enzyme.expasy.org/EC/5.1.3.2" TargetMode="External"/><Relationship Id="rId417" Type="http://schemas.openxmlformats.org/officeDocument/2006/relationships/hyperlink" Target="https://www.genome.jp/entry/C00025" TargetMode="External"/><Relationship Id="rId624" Type="http://schemas.openxmlformats.org/officeDocument/2006/relationships/hyperlink" Target="https://www.genome.jp/entry/C02583" TargetMode="External"/><Relationship Id="rId831" Type="http://schemas.openxmlformats.org/officeDocument/2006/relationships/hyperlink" Target="https://www.genome.jp/entry/C16339" TargetMode="External"/><Relationship Id="rId1047" Type="http://schemas.openxmlformats.org/officeDocument/2006/relationships/hyperlink" Target="https://www.genome.jp/entry/C01977" TargetMode="External"/><Relationship Id="rId1254" Type="http://schemas.openxmlformats.org/officeDocument/2006/relationships/hyperlink" Target="https://enzyme.expasy.org/EC/2.7.1.36" TargetMode="External"/><Relationship Id="rId1461" Type="http://schemas.openxmlformats.org/officeDocument/2006/relationships/hyperlink" Target="https://www.genome.jp/entry/C00002" TargetMode="External"/><Relationship Id="rId2305" Type="http://schemas.openxmlformats.org/officeDocument/2006/relationships/hyperlink" Target="https://www.genome.jp/entry/C16737" TargetMode="External"/><Relationship Id="rId2512" Type="http://schemas.openxmlformats.org/officeDocument/2006/relationships/hyperlink" Target="https://enzyme.expasy.org/EC/4.2.3.1" TargetMode="External"/><Relationship Id="rId1114" Type="http://schemas.openxmlformats.org/officeDocument/2006/relationships/hyperlink" Target="https://www.genome.jp/entry/C00235" TargetMode="External"/><Relationship Id="rId1321" Type="http://schemas.openxmlformats.org/officeDocument/2006/relationships/hyperlink" Target="https://www.genome.jp/entry/C00044" TargetMode="External"/><Relationship Id="rId3079" Type="http://schemas.openxmlformats.org/officeDocument/2006/relationships/hyperlink" Target="https://enzyme.expasy.org/EC/6.3.4.18" TargetMode="External"/><Relationship Id="rId2095" Type="http://schemas.openxmlformats.org/officeDocument/2006/relationships/hyperlink" Target="https://www.genome.jp/entry/C04534" TargetMode="External"/><Relationship Id="rId3146" Type="http://schemas.openxmlformats.org/officeDocument/2006/relationships/hyperlink" Target="https://www.genome.jp/entry/C00002" TargetMode="External"/><Relationship Id="rId274" Type="http://schemas.openxmlformats.org/officeDocument/2006/relationships/hyperlink" Target="https://enzyme.expasy.org/EC/1.11.1.26" TargetMode="External"/><Relationship Id="rId481" Type="http://schemas.openxmlformats.org/officeDocument/2006/relationships/hyperlink" Target="https://www.genome.jp/entry/C00504" TargetMode="External"/><Relationship Id="rId2162" Type="http://schemas.openxmlformats.org/officeDocument/2006/relationships/hyperlink" Target="https://www.genome.jp/entry/C02713" TargetMode="External"/><Relationship Id="rId3006" Type="http://schemas.openxmlformats.org/officeDocument/2006/relationships/hyperlink" Target="https://www.genome.jp/entry/C00002" TargetMode="External"/><Relationship Id="rId134" Type="http://schemas.openxmlformats.org/officeDocument/2006/relationships/hyperlink" Target="https://www.genome.jp/entry/C05756" TargetMode="External"/><Relationship Id="rId341" Type="http://schemas.openxmlformats.org/officeDocument/2006/relationships/hyperlink" Target="https://www.genome.jp/entry/C00458" TargetMode="External"/><Relationship Id="rId2022" Type="http://schemas.openxmlformats.org/officeDocument/2006/relationships/hyperlink" Target="https://www.genome.jp/entry/C06135" TargetMode="External"/><Relationship Id="rId2979" Type="http://schemas.openxmlformats.org/officeDocument/2006/relationships/hyperlink" Target="https://enzyme.expasy.org/EC/6.3.1.20" TargetMode="External"/><Relationship Id="rId201" Type="http://schemas.openxmlformats.org/officeDocument/2006/relationships/hyperlink" Target="https://www.genome.jp/entry/C02637" TargetMode="External"/><Relationship Id="rId1788" Type="http://schemas.openxmlformats.org/officeDocument/2006/relationships/hyperlink" Target="https://www.genome.jp/entry/C00881" TargetMode="External"/><Relationship Id="rId1995" Type="http://schemas.openxmlformats.org/officeDocument/2006/relationships/hyperlink" Target="https://www.genome.jp/entry/C00243" TargetMode="External"/><Relationship Id="rId2839" Type="http://schemas.openxmlformats.org/officeDocument/2006/relationships/hyperlink" Target="https://www.genome.jp/entry/C00020" TargetMode="External"/><Relationship Id="rId1648" Type="http://schemas.openxmlformats.org/officeDocument/2006/relationships/hyperlink" Target="https://www.genome.jp/entry/C21031" TargetMode="External"/><Relationship Id="rId1508" Type="http://schemas.openxmlformats.org/officeDocument/2006/relationships/hyperlink" Target="https://www.genome.jp/entry/C22443" TargetMode="External"/><Relationship Id="rId1855" Type="http://schemas.openxmlformats.org/officeDocument/2006/relationships/hyperlink" Target="https://www.genome.jp/entry/C06125" TargetMode="External"/><Relationship Id="rId2906" Type="http://schemas.openxmlformats.org/officeDocument/2006/relationships/hyperlink" Target="https://www.genome.jp/entry/C00002" TargetMode="External"/><Relationship Id="rId3070" Type="http://schemas.openxmlformats.org/officeDocument/2006/relationships/hyperlink" Target="https://www.genome.jp/entry/C00002" TargetMode="External"/><Relationship Id="rId1715" Type="http://schemas.openxmlformats.org/officeDocument/2006/relationships/hyperlink" Target="https://enzyme.expasy.org/EC/2.8.1.4" TargetMode="External"/><Relationship Id="rId1922" Type="http://schemas.openxmlformats.org/officeDocument/2006/relationships/hyperlink" Target="https://www.genome.jp/entry/C00794" TargetMode="External"/><Relationship Id="rId2489" Type="http://schemas.openxmlformats.org/officeDocument/2006/relationships/hyperlink" Target="https://www.genome.jp/entry/C04633" TargetMode="External"/><Relationship Id="rId2696" Type="http://schemas.openxmlformats.org/officeDocument/2006/relationships/hyperlink" Target="https://www.genome.jp/entry/C06892" TargetMode="External"/><Relationship Id="rId668" Type="http://schemas.openxmlformats.org/officeDocument/2006/relationships/hyperlink" Target="https://www.genome.jp/entry/C00101" TargetMode="External"/><Relationship Id="rId875" Type="http://schemas.openxmlformats.org/officeDocument/2006/relationships/hyperlink" Target="https://www.genome.jp/entry/C05759" TargetMode="External"/><Relationship Id="rId1298" Type="http://schemas.openxmlformats.org/officeDocument/2006/relationships/hyperlink" Target="https://www.genome.jp/entry/C00454" TargetMode="External"/><Relationship Id="rId2349" Type="http://schemas.openxmlformats.org/officeDocument/2006/relationships/hyperlink" Target="https://www.genome.jp/entry/C00002" TargetMode="External"/><Relationship Id="rId2556" Type="http://schemas.openxmlformats.org/officeDocument/2006/relationships/hyperlink" Target="https://www.genome.jp/entry/C04677" TargetMode="External"/><Relationship Id="rId2763" Type="http://schemas.openxmlformats.org/officeDocument/2006/relationships/hyperlink" Target="https://www.genome.jp/entry/C00197" TargetMode="External"/><Relationship Id="rId2970" Type="http://schemas.openxmlformats.org/officeDocument/2006/relationships/hyperlink" Target="https://www.genome.jp/entry/C00002" TargetMode="External"/><Relationship Id="rId528" Type="http://schemas.openxmlformats.org/officeDocument/2006/relationships/hyperlink" Target="https://enzyme.expasy.org/EC/1.8.1.4" TargetMode="External"/><Relationship Id="rId735" Type="http://schemas.openxmlformats.org/officeDocument/2006/relationships/hyperlink" Target="https://www.genome.jp/entry/C00173" TargetMode="External"/><Relationship Id="rId942" Type="http://schemas.openxmlformats.org/officeDocument/2006/relationships/hyperlink" Target="https://www.genome.jp/entry/C00003" TargetMode="External"/><Relationship Id="rId1158" Type="http://schemas.openxmlformats.org/officeDocument/2006/relationships/hyperlink" Target="https://www.genome.jp/entry/C01097" TargetMode="External"/><Relationship Id="rId1365" Type="http://schemas.openxmlformats.org/officeDocument/2006/relationships/hyperlink" Target="https://www.genome.jp/entry/C00002" TargetMode="External"/><Relationship Id="rId1572" Type="http://schemas.openxmlformats.org/officeDocument/2006/relationships/hyperlink" Target="https://www.genome.jp/entry/C00075" TargetMode="External"/><Relationship Id="rId2209" Type="http://schemas.openxmlformats.org/officeDocument/2006/relationships/hyperlink" Target="https://enzyme.expasy.org/EC/3.5.2.3" TargetMode="External"/><Relationship Id="rId2416" Type="http://schemas.openxmlformats.org/officeDocument/2006/relationships/hyperlink" Target="https://www.genome.jp/entry/C00074" TargetMode="External"/><Relationship Id="rId2623" Type="http://schemas.openxmlformats.org/officeDocument/2006/relationships/hyperlink" Target="https://www.genome.jp/entry/C00041" TargetMode="External"/><Relationship Id="rId1018" Type="http://schemas.openxmlformats.org/officeDocument/2006/relationships/hyperlink" Target="https://www.genome.jp/entry/G10553" TargetMode="External"/><Relationship Id="rId1225" Type="http://schemas.openxmlformats.org/officeDocument/2006/relationships/hyperlink" Target="https://www.genome.jp/entry/C00008" TargetMode="External"/><Relationship Id="rId1432" Type="http://schemas.openxmlformats.org/officeDocument/2006/relationships/hyperlink" Target="https://www.genome.jp/entry/C00008" TargetMode="External"/><Relationship Id="rId2830" Type="http://schemas.openxmlformats.org/officeDocument/2006/relationships/hyperlink" Target="https://enzyme.expasy.org/EC/6.1.1.10" TargetMode="External"/><Relationship Id="rId71" Type="http://schemas.openxmlformats.org/officeDocument/2006/relationships/hyperlink" Target="https://enzyme.expasy.org/EC/1.1.1.1" TargetMode="External"/><Relationship Id="rId802" Type="http://schemas.openxmlformats.org/officeDocument/2006/relationships/hyperlink" Target="https://www.genome.jp/entry/C00527" TargetMode="External"/><Relationship Id="rId178" Type="http://schemas.openxmlformats.org/officeDocument/2006/relationships/hyperlink" Target="https://www.genome.jp/entry/C16618" TargetMode="External"/><Relationship Id="rId385" Type="http://schemas.openxmlformats.org/officeDocument/2006/relationships/hyperlink" Target="https://www.genome.jp/entry/C06697" TargetMode="External"/><Relationship Id="rId592" Type="http://schemas.openxmlformats.org/officeDocument/2006/relationships/hyperlink" Target="https://www.genome.jp/entry/C05335" TargetMode="External"/><Relationship Id="rId2066" Type="http://schemas.openxmlformats.org/officeDocument/2006/relationships/hyperlink" Target="https://www.genome.jp/entry/C00492" TargetMode="External"/><Relationship Id="rId2273" Type="http://schemas.openxmlformats.org/officeDocument/2006/relationships/hyperlink" Target="https://www.genome.jp/entry/C00013" TargetMode="External"/><Relationship Id="rId2480" Type="http://schemas.openxmlformats.org/officeDocument/2006/relationships/hyperlink" Target="https://www.genome.jp/entry/C04619" TargetMode="External"/><Relationship Id="rId3117" Type="http://schemas.openxmlformats.org/officeDocument/2006/relationships/hyperlink" Target="https://www.genome.jp/entry/C00020" TargetMode="External"/><Relationship Id="rId245" Type="http://schemas.openxmlformats.org/officeDocument/2006/relationships/hyperlink" Target="https://www.genome.jp/entry/C00345" TargetMode="External"/><Relationship Id="rId452" Type="http://schemas.openxmlformats.org/officeDocument/2006/relationships/hyperlink" Target="https://www.genome.jp/entry/C00148" TargetMode="External"/><Relationship Id="rId1082" Type="http://schemas.openxmlformats.org/officeDocument/2006/relationships/hyperlink" Target="https://www.genome.jp/entry/C00013" TargetMode="External"/><Relationship Id="rId2133" Type="http://schemas.openxmlformats.org/officeDocument/2006/relationships/hyperlink" Target="https://www.genome.jp/entry/C00147" TargetMode="External"/><Relationship Id="rId2340" Type="http://schemas.openxmlformats.org/officeDocument/2006/relationships/hyperlink" Target="https://www.genome.jp/entry/C03373" TargetMode="External"/><Relationship Id="rId105" Type="http://schemas.openxmlformats.org/officeDocument/2006/relationships/hyperlink" Target="https://www.genome.jp/entry/C05744" TargetMode="External"/><Relationship Id="rId312" Type="http://schemas.openxmlformats.org/officeDocument/2006/relationships/hyperlink" Target="https://www.genome.jp/entry/C04232" TargetMode="External"/><Relationship Id="rId2200" Type="http://schemas.openxmlformats.org/officeDocument/2006/relationships/hyperlink" Target="https://www.genome.jp/entry/C04258" TargetMode="External"/><Relationship Id="rId1899" Type="http://schemas.openxmlformats.org/officeDocument/2006/relationships/hyperlink" Target="https://enzyme.expasy.org/EC/3.2.1.22" TargetMode="External"/><Relationship Id="rId1759" Type="http://schemas.openxmlformats.org/officeDocument/2006/relationships/hyperlink" Target="https://enzyme.expasy.org/EC/3.1.3.5" TargetMode="External"/><Relationship Id="rId1966" Type="http://schemas.openxmlformats.org/officeDocument/2006/relationships/hyperlink" Target="https://www.genome.jp/entry/G00497" TargetMode="External"/><Relationship Id="rId3181" Type="http://schemas.openxmlformats.org/officeDocument/2006/relationships/hyperlink" Target="https://www.genome.jp/entry/C00003" TargetMode="External"/><Relationship Id="rId1619" Type="http://schemas.openxmlformats.org/officeDocument/2006/relationships/hyperlink" Target="https://www.genome.jp/entry/C00229" TargetMode="External"/><Relationship Id="rId1826" Type="http://schemas.openxmlformats.org/officeDocument/2006/relationships/hyperlink" Target="https://www.genome.jp/entry/C02520" TargetMode="External"/><Relationship Id="rId3041" Type="http://schemas.openxmlformats.org/officeDocument/2006/relationships/hyperlink" Target="https://www.genome.jp/entry/C00002" TargetMode="External"/><Relationship Id="rId779" Type="http://schemas.openxmlformats.org/officeDocument/2006/relationships/hyperlink" Target="https://enzyme.expasy.org/EC/2.3.1.16" TargetMode="External"/><Relationship Id="rId986" Type="http://schemas.openxmlformats.org/officeDocument/2006/relationships/hyperlink" Target="https://enzyme.expasy.org/EC/2.4.1.1" TargetMode="External"/><Relationship Id="rId2667" Type="http://schemas.openxmlformats.org/officeDocument/2006/relationships/hyperlink" Target="https://enzyme.expasy.org/EC/5.2.1.8" TargetMode="External"/><Relationship Id="rId639" Type="http://schemas.openxmlformats.org/officeDocument/2006/relationships/hyperlink" Target="https://www.genome.jp/entry/C04250" TargetMode="External"/><Relationship Id="rId1269" Type="http://schemas.openxmlformats.org/officeDocument/2006/relationships/hyperlink" Target="https://enzyme.expasy.org/EC/2.7.1.40" TargetMode="External"/><Relationship Id="rId1476" Type="http://schemas.openxmlformats.org/officeDocument/2006/relationships/hyperlink" Target="https://www.genome.jp/entry/C00002" TargetMode="External"/><Relationship Id="rId2874" Type="http://schemas.openxmlformats.org/officeDocument/2006/relationships/hyperlink" Target="https://www.genome.jp/entry/C00020" TargetMode="External"/><Relationship Id="rId846" Type="http://schemas.openxmlformats.org/officeDocument/2006/relationships/hyperlink" Target="https://www.genome.jp/entry/C23006" TargetMode="External"/><Relationship Id="rId1129" Type="http://schemas.openxmlformats.org/officeDocument/2006/relationships/hyperlink" Target="https://www.genome.jp/entry/C01267" TargetMode="External"/><Relationship Id="rId1683" Type="http://schemas.openxmlformats.org/officeDocument/2006/relationships/hyperlink" Target="https://www.genome.jp/entry/C00013" TargetMode="External"/><Relationship Id="rId1890" Type="http://schemas.openxmlformats.org/officeDocument/2006/relationships/hyperlink" Target="https://www.genome.jp/entry/G00370" TargetMode="External"/><Relationship Id="rId2527" Type="http://schemas.openxmlformats.org/officeDocument/2006/relationships/hyperlink" Target="https://enzyme.expasy.org/EC/4.3.1.17" TargetMode="External"/><Relationship Id="rId2734" Type="http://schemas.openxmlformats.org/officeDocument/2006/relationships/hyperlink" Target="https://www.genome.jp/entry/C00668" TargetMode="External"/><Relationship Id="rId2941" Type="http://schemas.openxmlformats.org/officeDocument/2006/relationships/hyperlink" Target="https://www.genome.jp/entry/C00002" TargetMode="External"/><Relationship Id="rId706" Type="http://schemas.openxmlformats.org/officeDocument/2006/relationships/hyperlink" Target="https://www.genome.jp/entry/C00109" TargetMode="External"/><Relationship Id="rId913" Type="http://schemas.openxmlformats.org/officeDocument/2006/relationships/hyperlink" Target="https://www.genome.jp/entry/C20375" TargetMode="External"/><Relationship Id="rId1336" Type="http://schemas.openxmlformats.org/officeDocument/2006/relationships/hyperlink" Target="https://www.genome.jp/entry/C00002" TargetMode="External"/><Relationship Id="rId1543" Type="http://schemas.openxmlformats.org/officeDocument/2006/relationships/hyperlink" Target="https://www.genome.jp/entry/C00002" TargetMode="External"/><Relationship Id="rId1750" Type="http://schemas.openxmlformats.org/officeDocument/2006/relationships/hyperlink" Target="https://www.genome.jp/entry/C05378" TargetMode="External"/><Relationship Id="rId2801" Type="http://schemas.openxmlformats.org/officeDocument/2006/relationships/hyperlink" Target="https://www.genome.jp/entry/C08353" TargetMode="External"/><Relationship Id="rId42" Type="http://schemas.openxmlformats.org/officeDocument/2006/relationships/hyperlink" Target="https://www.genome.jp/entry/C02909" TargetMode="External"/><Relationship Id="rId1403" Type="http://schemas.openxmlformats.org/officeDocument/2006/relationships/hyperlink" Target="https://www.genome.jp/entry/C00008" TargetMode="External"/><Relationship Id="rId1610" Type="http://schemas.openxmlformats.org/officeDocument/2006/relationships/hyperlink" Target="https://enzyme.expasy.org/EC/2.7.7.6" TargetMode="External"/><Relationship Id="rId289" Type="http://schemas.openxmlformats.org/officeDocument/2006/relationships/hyperlink" Target="https://www.genome.jp/entry/C20258" TargetMode="External"/><Relationship Id="rId496" Type="http://schemas.openxmlformats.org/officeDocument/2006/relationships/hyperlink" Target="https://www.genome.jp/entry/C00415" TargetMode="External"/><Relationship Id="rId2177" Type="http://schemas.openxmlformats.org/officeDocument/2006/relationships/hyperlink" Target="https://www.genome.jp/entry/C00954" TargetMode="External"/><Relationship Id="rId2384" Type="http://schemas.openxmlformats.org/officeDocument/2006/relationships/hyperlink" Target="https://www.genome.jp/entry/C00447" TargetMode="External"/><Relationship Id="rId2591" Type="http://schemas.openxmlformats.org/officeDocument/2006/relationships/hyperlink" Target="https://www.genome.jp/entry/C00022" TargetMode="External"/><Relationship Id="rId149" Type="http://schemas.openxmlformats.org/officeDocument/2006/relationships/hyperlink" Target="https://enzyme.expasy.org/EC/1.1.1.169" TargetMode="External"/><Relationship Id="rId356" Type="http://schemas.openxmlformats.org/officeDocument/2006/relationships/hyperlink" Target="https://www.genome.jp/entry/C01978" TargetMode="External"/><Relationship Id="rId563" Type="http://schemas.openxmlformats.org/officeDocument/2006/relationships/hyperlink" Target="https://enzyme.expasy.org/EC/1.8.4.11" TargetMode="External"/><Relationship Id="rId770" Type="http://schemas.openxmlformats.org/officeDocument/2006/relationships/hyperlink" Target="https://www.genome.jp/entry/C00100" TargetMode="External"/><Relationship Id="rId1193" Type="http://schemas.openxmlformats.org/officeDocument/2006/relationships/hyperlink" Target="https://www.genome.jp/entry/C00002" TargetMode="External"/><Relationship Id="rId2037" Type="http://schemas.openxmlformats.org/officeDocument/2006/relationships/hyperlink" Target="https://www.genome.jp/entry/G00123" TargetMode="External"/><Relationship Id="rId2244" Type="http://schemas.openxmlformats.org/officeDocument/2006/relationships/hyperlink" Target="https://www.genome.jp/entry/C00881" TargetMode="External"/><Relationship Id="rId2451" Type="http://schemas.openxmlformats.org/officeDocument/2006/relationships/hyperlink" Target="https://www.genome.jp/entry/C00078" TargetMode="External"/><Relationship Id="rId216" Type="http://schemas.openxmlformats.org/officeDocument/2006/relationships/hyperlink" Target="https://www.genome.jp/entry/C07335" TargetMode="External"/><Relationship Id="rId423" Type="http://schemas.openxmlformats.org/officeDocument/2006/relationships/hyperlink" Target="https://www.genome.jp/entry/C00064" TargetMode="External"/><Relationship Id="rId1053" Type="http://schemas.openxmlformats.org/officeDocument/2006/relationships/hyperlink" Target="https://www.genome.jp/entry/C00002" TargetMode="External"/><Relationship Id="rId1260" Type="http://schemas.openxmlformats.org/officeDocument/2006/relationships/hyperlink" Target="https://www.genome.jp/entry/C00002" TargetMode="External"/><Relationship Id="rId2104" Type="http://schemas.openxmlformats.org/officeDocument/2006/relationships/hyperlink" Target="https://enzyme.expasy.org/EC/3.2.1.86" TargetMode="External"/><Relationship Id="rId630" Type="http://schemas.openxmlformats.org/officeDocument/2006/relationships/hyperlink" Target="https://www.genome.jp/entry/C00021" TargetMode="External"/><Relationship Id="rId2311" Type="http://schemas.openxmlformats.org/officeDocument/2006/relationships/hyperlink" Target="https://www.genome.jp/entry/C00186" TargetMode="External"/><Relationship Id="rId1120" Type="http://schemas.openxmlformats.org/officeDocument/2006/relationships/hyperlink" Target="https://enzyme.expasy.org/EC/2.6.1.42" TargetMode="External"/><Relationship Id="rId1937" Type="http://schemas.openxmlformats.org/officeDocument/2006/relationships/hyperlink" Target="https://www.genome.jp/entry/C00124" TargetMode="External"/><Relationship Id="rId3085" Type="http://schemas.openxmlformats.org/officeDocument/2006/relationships/hyperlink" Target="https://www.genome.jp/entry/C00002" TargetMode="External"/><Relationship Id="rId3152" Type="http://schemas.openxmlformats.org/officeDocument/2006/relationships/hyperlink" Target="https://www.genome.jp/entry/C00008" TargetMode="External"/><Relationship Id="rId280" Type="http://schemas.openxmlformats.org/officeDocument/2006/relationships/hyperlink" Target="https://enzyme.expasy.org/EC/1.17.1.8" TargetMode="External"/><Relationship Id="rId3012" Type="http://schemas.openxmlformats.org/officeDocument/2006/relationships/hyperlink" Target="https://www.genome.jp/entry/C00008" TargetMode="External"/><Relationship Id="rId140" Type="http://schemas.openxmlformats.org/officeDocument/2006/relationships/hyperlink" Target="https://www.genome.jp/entry/C20372" TargetMode="External"/><Relationship Id="rId6" Type="http://schemas.openxmlformats.org/officeDocument/2006/relationships/hyperlink" Target="https://enzyme.expasy.org/EC/1.1.1.1" TargetMode="External"/><Relationship Id="rId2778" Type="http://schemas.openxmlformats.org/officeDocument/2006/relationships/hyperlink" Target="https://www.genome.jp/entry/C00117" TargetMode="External"/><Relationship Id="rId2985" Type="http://schemas.openxmlformats.org/officeDocument/2006/relationships/hyperlink" Target="https://www.genome.jp/entry/C00002" TargetMode="External"/><Relationship Id="rId957" Type="http://schemas.openxmlformats.org/officeDocument/2006/relationships/hyperlink" Target="https://www.genome.jp/entry/C00109" TargetMode="External"/><Relationship Id="rId1587" Type="http://schemas.openxmlformats.org/officeDocument/2006/relationships/hyperlink" Target="https://www.genome.jp/entry/C00002" TargetMode="External"/><Relationship Id="rId1794" Type="http://schemas.openxmlformats.org/officeDocument/2006/relationships/hyperlink" Target="https://enzyme.expasy.org/EC/3.1.3.5" TargetMode="External"/><Relationship Id="rId2638" Type="http://schemas.openxmlformats.org/officeDocument/2006/relationships/hyperlink" Target="https://www.genome.jp/entry/C00199" TargetMode="External"/><Relationship Id="rId2845" Type="http://schemas.openxmlformats.org/officeDocument/2006/relationships/hyperlink" Target="https://enzyme.expasy.org/EC/6.1.1.12" TargetMode="External"/><Relationship Id="rId86" Type="http://schemas.openxmlformats.org/officeDocument/2006/relationships/hyperlink" Target="https://enzyme.expasy.org/EC/1.1.1.1" TargetMode="External"/><Relationship Id="rId817" Type="http://schemas.openxmlformats.org/officeDocument/2006/relationships/hyperlink" Target="https://www.genome.jp/entry/C00010" TargetMode="External"/><Relationship Id="rId1447" Type="http://schemas.openxmlformats.org/officeDocument/2006/relationships/hyperlink" Target="https://www.genome.jp/entry/C00008" TargetMode="External"/><Relationship Id="rId1654" Type="http://schemas.openxmlformats.org/officeDocument/2006/relationships/hyperlink" Target="https://www.genome.jp/entry/C19085" TargetMode="External"/><Relationship Id="rId1861" Type="http://schemas.openxmlformats.org/officeDocument/2006/relationships/hyperlink" Target="https://www.genome.jp/entry/G11122" TargetMode="External"/><Relationship Id="rId2705" Type="http://schemas.openxmlformats.org/officeDocument/2006/relationships/hyperlink" Target="https://www.genome.jp/entry/C00085" TargetMode="External"/><Relationship Id="rId2912" Type="http://schemas.openxmlformats.org/officeDocument/2006/relationships/hyperlink" Target="https://www.genome.jp/entry/C00020" TargetMode="External"/><Relationship Id="rId1307" Type="http://schemas.openxmlformats.org/officeDocument/2006/relationships/hyperlink" Target="https://www.genome.jp/entry/C00008" TargetMode="External"/><Relationship Id="rId1514" Type="http://schemas.openxmlformats.org/officeDocument/2006/relationships/hyperlink" Target="https://www.genome.jp/entry/C00002" TargetMode="External"/><Relationship Id="rId1721" Type="http://schemas.openxmlformats.org/officeDocument/2006/relationships/hyperlink" Target="https://www.genome.jp/entry/C15812" TargetMode="External"/><Relationship Id="rId13" Type="http://schemas.openxmlformats.org/officeDocument/2006/relationships/hyperlink" Target="https://www.genome.jp/entry/C00226" TargetMode="External"/><Relationship Id="rId2288" Type="http://schemas.openxmlformats.org/officeDocument/2006/relationships/hyperlink" Target="https://www.genome.jp/entry/C04574" TargetMode="External"/><Relationship Id="rId2495" Type="http://schemas.openxmlformats.org/officeDocument/2006/relationships/hyperlink" Target="https://www.genome.jp/entry/C05760" TargetMode="External"/><Relationship Id="rId467" Type="http://schemas.openxmlformats.org/officeDocument/2006/relationships/hyperlink" Target="https://www.genome.jp/entry/C01157" TargetMode="External"/><Relationship Id="rId1097" Type="http://schemas.openxmlformats.org/officeDocument/2006/relationships/hyperlink" Target="https://enzyme.expasy.org/EC/2.5.1.6" TargetMode="External"/><Relationship Id="rId2148" Type="http://schemas.openxmlformats.org/officeDocument/2006/relationships/hyperlink" Target="https://www.genome.jp/entry/C00060" TargetMode="External"/><Relationship Id="rId674" Type="http://schemas.openxmlformats.org/officeDocument/2006/relationships/hyperlink" Target="https://www.genome.jp/entry/C04376" TargetMode="External"/><Relationship Id="rId881" Type="http://schemas.openxmlformats.org/officeDocument/2006/relationships/hyperlink" Target="https://www.genome.jp/entry/C05746" TargetMode="External"/><Relationship Id="rId2355" Type="http://schemas.openxmlformats.org/officeDocument/2006/relationships/hyperlink" Target="https://www.genome.jp/entry/C01134" TargetMode="External"/><Relationship Id="rId2562" Type="http://schemas.openxmlformats.org/officeDocument/2006/relationships/hyperlink" Target="https://enzyme.expasy.org/EC/4.3.2.2" TargetMode="External"/><Relationship Id="rId327" Type="http://schemas.openxmlformats.org/officeDocument/2006/relationships/hyperlink" Target="https://www.genome.jp/entry/C21750" TargetMode="External"/><Relationship Id="rId534" Type="http://schemas.openxmlformats.org/officeDocument/2006/relationships/hyperlink" Target="https://www.genome.jp/entry/C15973" TargetMode="External"/><Relationship Id="rId741" Type="http://schemas.openxmlformats.org/officeDocument/2006/relationships/hyperlink" Target="https://www.genome.jp/entry/C00605" TargetMode="External"/><Relationship Id="rId1164" Type="http://schemas.openxmlformats.org/officeDocument/2006/relationships/hyperlink" Target="https://www.genome.jp/entry/C00074" TargetMode="External"/><Relationship Id="rId1371" Type="http://schemas.openxmlformats.org/officeDocument/2006/relationships/hyperlink" Target="https://www.genome.jp/entry/C00002" TargetMode="External"/><Relationship Id="rId2008" Type="http://schemas.openxmlformats.org/officeDocument/2006/relationships/hyperlink" Target="https://www.genome.jp/entry/C04884" TargetMode="External"/><Relationship Id="rId2215" Type="http://schemas.openxmlformats.org/officeDocument/2006/relationships/hyperlink" Target="https://www.genome.jp/entry/C00130" TargetMode="External"/><Relationship Id="rId2422" Type="http://schemas.openxmlformats.org/officeDocument/2006/relationships/hyperlink" Target="https://enzyme.expasy.org/EC/4.2.1.11" TargetMode="External"/><Relationship Id="rId601" Type="http://schemas.openxmlformats.org/officeDocument/2006/relationships/hyperlink" Target="https://www.genome.jp/entry/C00021" TargetMode="External"/><Relationship Id="rId1024" Type="http://schemas.openxmlformats.org/officeDocument/2006/relationships/hyperlink" Target="https://www.genome.jp/entry/C02739" TargetMode="External"/><Relationship Id="rId1231" Type="http://schemas.openxmlformats.org/officeDocument/2006/relationships/hyperlink" Target="https://enzyme.expasy.org/EC/2.7.1.26" TargetMode="External"/><Relationship Id="rId3056" Type="http://schemas.openxmlformats.org/officeDocument/2006/relationships/hyperlink" Target="https://www.genome.jp/entry/C00002" TargetMode="External"/><Relationship Id="rId184" Type="http://schemas.openxmlformats.org/officeDocument/2006/relationships/hyperlink" Target="https://enzyme.expasy.org/EC/1.1.1.23" TargetMode="External"/><Relationship Id="rId391" Type="http://schemas.openxmlformats.org/officeDocument/2006/relationships/hyperlink" Target="https://enzyme.expasy.org/EC/1.3.1.95" TargetMode="External"/><Relationship Id="rId1908" Type="http://schemas.openxmlformats.org/officeDocument/2006/relationships/hyperlink" Target="https://www.genome.jp/entry/C00137" TargetMode="External"/><Relationship Id="rId2072" Type="http://schemas.openxmlformats.org/officeDocument/2006/relationships/hyperlink" Target="https://www.genome.jp/entry/C05404" TargetMode="External"/><Relationship Id="rId3123" Type="http://schemas.openxmlformats.org/officeDocument/2006/relationships/hyperlink" Target="https://www.genome.jp/entry/C00020" TargetMode="External"/><Relationship Id="rId251" Type="http://schemas.openxmlformats.org/officeDocument/2006/relationships/hyperlink" Target="https://enzyme.expasy.org/EC/1.1.1.49" TargetMode="External"/><Relationship Id="rId2889" Type="http://schemas.openxmlformats.org/officeDocument/2006/relationships/hyperlink" Target="https://www.genome.jp/entry/C00020" TargetMode="External"/><Relationship Id="rId111" Type="http://schemas.openxmlformats.org/officeDocument/2006/relationships/hyperlink" Target="https://enzyme.expasy.org/EC/1.1.1.100" TargetMode="External"/><Relationship Id="rId1698" Type="http://schemas.openxmlformats.org/officeDocument/2006/relationships/hyperlink" Target="https://www.genome.jp/entry/C00055" TargetMode="External"/><Relationship Id="rId2749" Type="http://schemas.openxmlformats.org/officeDocument/2006/relationships/hyperlink" Target="https://www.genome.jp/entry/C00235" TargetMode="External"/><Relationship Id="rId2956" Type="http://schemas.openxmlformats.org/officeDocument/2006/relationships/hyperlink" Target="https://www.genome.jp/entry/C00002" TargetMode="External"/><Relationship Id="rId928" Type="http://schemas.openxmlformats.org/officeDocument/2006/relationships/hyperlink" Target="https://www.genome.jp/entry/C00024" TargetMode="External"/><Relationship Id="rId1558" Type="http://schemas.openxmlformats.org/officeDocument/2006/relationships/hyperlink" Target="https://www.genome.jp/entry/C00002" TargetMode="External"/><Relationship Id="rId1765" Type="http://schemas.openxmlformats.org/officeDocument/2006/relationships/hyperlink" Target="https://www.genome.jp/entry/C00055" TargetMode="External"/><Relationship Id="rId2609" Type="http://schemas.openxmlformats.org/officeDocument/2006/relationships/hyperlink" Target="https://www.genome.jp/entry/C03539" TargetMode="External"/><Relationship Id="rId57" Type="http://schemas.openxmlformats.org/officeDocument/2006/relationships/hyperlink" Target="https://www.genome.jp/entry/C06611" TargetMode="External"/><Relationship Id="rId1418" Type="http://schemas.openxmlformats.org/officeDocument/2006/relationships/hyperlink" Target="https://www.genome.jp/entry/C00008" TargetMode="External"/><Relationship Id="rId1972" Type="http://schemas.openxmlformats.org/officeDocument/2006/relationships/hyperlink" Target="https://www.genome.jp/entry/C00124" TargetMode="External"/><Relationship Id="rId2816" Type="http://schemas.openxmlformats.org/officeDocument/2006/relationships/hyperlink" Target="https://www.genome.jp/entry/C00002" TargetMode="External"/><Relationship Id="rId1625" Type="http://schemas.openxmlformats.org/officeDocument/2006/relationships/hyperlink" Target="https://enzyme.expasy.org/EC/2.7.7.7" TargetMode="External"/><Relationship Id="rId1832" Type="http://schemas.openxmlformats.org/officeDocument/2006/relationships/hyperlink" Target="https://www.genome.jp/entry/C05512" TargetMode="External"/><Relationship Id="rId2399" Type="http://schemas.openxmlformats.org/officeDocument/2006/relationships/hyperlink" Target="https://www.genome.jp/entry/C05378" TargetMode="External"/><Relationship Id="rId578" Type="http://schemas.openxmlformats.org/officeDocument/2006/relationships/hyperlink" Target="https://enzyme.expasy.org/EC/1.97.1.4" TargetMode="External"/><Relationship Id="rId785" Type="http://schemas.openxmlformats.org/officeDocument/2006/relationships/hyperlink" Target="https://www.genome.jp/entry/C02593" TargetMode="External"/><Relationship Id="rId992" Type="http://schemas.openxmlformats.org/officeDocument/2006/relationships/hyperlink" Target="https://www.genome.jp/entry/G10495" TargetMode="External"/><Relationship Id="rId2259" Type="http://schemas.openxmlformats.org/officeDocument/2006/relationships/hyperlink" Target="https://www.genome.jp/entry/C00378" TargetMode="External"/><Relationship Id="rId2466" Type="http://schemas.openxmlformats.org/officeDocument/2006/relationships/hyperlink" Target="https://www.genome.jp/entry/C00712" TargetMode="External"/><Relationship Id="rId2673" Type="http://schemas.openxmlformats.org/officeDocument/2006/relationships/hyperlink" Target="https://www.genome.jp/entry/C04896" TargetMode="External"/><Relationship Id="rId2880" Type="http://schemas.openxmlformats.org/officeDocument/2006/relationships/hyperlink" Target="https://enzyme.expasy.org/EC/6.1.1.13" TargetMode="External"/><Relationship Id="rId438" Type="http://schemas.openxmlformats.org/officeDocument/2006/relationships/hyperlink" Target="https://www.genome.jp/entry/C00250" TargetMode="External"/><Relationship Id="rId645" Type="http://schemas.openxmlformats.org/officeDocument/2006/relationships/hyperlink" Target="https://www.genome.jp/entry/C00021" TargetMode="External"/><Relationship Id="rId852" Type="http://schemas.openxmlformats.org/officeDocument/2006/relationships/hyperlink" Target="https://www.genome.jp/entry/C21906" TargetMode="External"/><Relationship Id="rId1068" Type="http://schemas.openxmlformats.org/officeDocument/2006/relationships/hyperlink" Target="https://www.genome.jp/entry/C00073" TargetMode="External"/><Relationship Id="rId1275" Type="http://schemas.openxmlformats.org/officeDocument/2006/relationships/hyperlink" Target="https://www.genome.jp/entry/C00063" TargetMode="External"/><Relationship Id="rId1482" Type="http://schemas.openxmlformats.org/officeDocument/2006/relationships/hyperlink" Target="https://www.genome.jp/entry/C00008" TargetMode="External"/><Relationship Id="rId2119" Type="http://schemas.openxmlformats.org/officeDocument/2006/relationships/hyperlink" Target="https://enzyme.expasy.org/EC/3.2.1.93" TargetMode="External"/><Relationship Id="rId2326" Type="http://schemas.openxmlformats.org/officeDocument/2006/relationships/hyperlink" Target="https://www.genome.jp/entry/C00109" TargetMode="External"/><Relationship Id="rId2533" Type="http://schemas.openxmlformats.org/officeDocument/2006/relationships/hyperlink" Target="https://www.genome.jp/entry/C03406" TargetMode="External"/><Relationship Id="rId2740" Type="http://schemas.openxmlformats.org/officeDocument/2006/relationships/hyperlink" Target="https://www.genome.jp/entry/C05345" TargetMode="External"/><Relationship Id="rId505" Type="http://schemas.openxmlformats.org/officeDocument/2006/relationships/hyperlink" Target="https://www.genome.jp/entry/C00415" TargetMode="External"/><Relationship Id="rId712" Type="http://schemas.openxmlformats.org/officeDocument/2006/relationships/hyperlink" Target="https://www.genome.jp/entry/C00022" TargetMode="External"/><Relationship Id="rId1135" Type="http://schemas.openxmlformats.org/officeDocument/2006/relationships/hyperlink" Target="https://www.genome.jp/entry/C00002" TargetMode="External"/><Relationship Id="rId1342" Type="http://schemas.openxmlformats.org/officeDocument/2006/relationships/hyperlink" Target="https://www.genome.jp/entry/C00008" TargetMode="External"/><Relationship Id="rId1202" Type="http://schemas.openxmlformats.org/officeDocument/2006/relationships/hyperlink" Target="https://www.genome.jp/entry/C00002" TargetMode="External"/><Relationship Id="rId2600" Type="http://schemas.openxmlformats.org/officeDocument/2006/relationships/hyperlink" Target="https://www.genome.jp/entry/C00812" TargetMode="External"/><Relationship Id="rId3167" Type="http://schemas.openxmlformats.org/officeDocument/2006/relationships/hyperlink" Target="https://www.genome.jp/entry/C00008" TargetMode="External"/><Relationship Id="rId295" Type="http://schemas.openxmlformats.org/officeDocument/2006/relationships/hyperlink" Target="https://enzyme.expasy.org/EC/1.17.4.1" TargetMode="External"/><Relationship Id="rId2183" Type="http://schemas.openxmlformats.org/officeDocument/2006/relationships/hyperlink" Target="https://www.genome.jp/entry/C01035" TargetMode="External"/><Relationship Id="rId2390" Type="http://schemas.openxmlformats.org/officeDocument/2006/relationships/hyperlink" Target="https://www.genome.jp/entry/C00118" TargetMode="External"/><Relationship Id="rId3027" Type="http://schemas.openxmlformats.org/officeDocument/2006/relationships/hyperlink" Target="https://www.genome.jp/entry/C00055" TargetMode="External"/><Relationship Id="rId155" Type="http://schemas.openxmlformats.org/officeDocument/2006/relationships/hyperlink" Target="https://www.genome.jp/entry/C00644" TargetMode="External"/><Relationship Id="rId362" Type="http://schemas.openxmlformats.org/officeDocument/2006/relationships/hyperlink" Target="https://www.genome.jp/entry/C01412" TargetMode="External"/><Relationship Id="rId2043" Type="http://schemas.openxmlformats.org/officeDocument/2006/relationships/hyperlink" Target="https://www.genome.jp/entry/G13073" TargetMode="External"/><Relationship Id="rId2250" Type="http://schemas.openxmlformats.org/officeDocument/2006/relationships/hyperlink" Target="https://www.genome.jp/entry/C16635" TargetMode="External"/><Relationship Id="rId222" Type="http://schemas.openxmlformats.org/officeDocument/2006/relationships/hyperlink" Target="https://www.genome.jp/entry/C00022" TargetMode="External"/><Relationship Id="rId2110" Type="http://schemas.openxmlformats.org/officeDocument/2006/relationships/hyperlink" Target="https://www.genome.jp/entry/G10518" TargetMode="External"/><Relationship Id="rId1669" Type="http://schemas.openxmlformats.org/officeDocument/2006/relationships/hyperlink" Target="https://www.genome.jp/entry/C19085" TargetMode="External"/><Relationship Id="rId1876" Type="http://schemas.openxmlformats.org/officeDocument/2006/relationships/hyperlink" Target="https://www.genome.jp/entry/C00208" TargetMode="External"/><Relationship Id="rId2927" Type="http://schemas.openxmlformats.org/officeDocument/2006/relationships/hyperlink" Target="https://www.genome.jp/entry/C00020" TargetMode="External"/><Relationship Id="rId3091" Type="http://schemas.openxmlformats.org/officeDocument/2006/relationships/hyperlink" Target="https://www.genome.jp/entry/C00002" TargetMode="External"/><Relationship Id="rId1529" Type="http://schemas.openxmlformats.org/officeDocument/2006/relationships/hyperlink" Target="https://www.genome.jp/entry/C00002" TargetMode="External"/><Relationship Id="rId1736" Type="http://schemas.openxmlformats.org/officeDocument/2006/relationships/hyperlink" Target="https://www.genome.jp/entry/C00040" TargetMode="External"/><Relationship Id="rId1943" Type="http://schemas.openxmlformats.org/officeDocument/2006/relationships/hyperlink" Target="https://www.genome.jp/entry/C00124" TargetMode="External"/><Relationship Id="rId28" Type="http://schemas.openxmlformats.org/officeDocument/2006/relationships/hyperlink" Target="https://www.genome.jp/entry/C00473" TargetMode="External"/><Relationship Id="rId1803" Type="http://schemas.openxmlformats.org/officeDocument/2006/relationships/hyperlink" Target="https://www.genome.jp/entry/C00214" TargetMode="External"/><Relationship Id="rId689" Type="http://schemas.openxmlformats.org/officeDocument/2006/relationships/hyperlink" Target="https://www.genome.jp/entry/C00009" TargetMode="External"/><Relationship Id="rId896" Type="http://schemas.openxmlformats.org/officeDocument/2006/relationships/hyperlink" Target="https://www.genome.jp/entry/C05756" TargetMode="External"/><Relationship Id="rId2577" Type="http://schemas.openxmlformats.org/officeDocument/2006/relationships/hyperlink" Target="https://enzyme.expasy.org/EC/4.3.3.7" TargetMode="External"/><Relationship Id="rId2784" Type="http://schemas.openxmlformats.org/officeDocument/2006/relationships/hyperlink" Target="https://www.genome.jp/entry/C00092" TargetMode="External"/><Relationship Id="rId549" Type="http://schemas.openxmlformats.org/officeDocument/2006/relationships/hyperlink" Target="https://www.genome.jp/entry/C00097" TargetMode="External"/><Relationship Id="rId756" Type="http://schemas.openxmlformats.org/officeDocument/2006/relationships/hyperlink" Target="https://www.genome.jp/entry/C00024" TargetMode="External"/><Relationship Id="rId1179" Type="http://schemas.openxmlformats.org/officeDocument/2006/relationships/hyperlink" Target="https://www.genome.jp/entry/C01801" TargetMode="External"/><Relationship Id="rId1386" Type="http://schemas.openxmlformats.org/officeDocument/2006/relationships/hyperlink" Target="https://www.genome.jp/entry/C00074" TargetMode="External"/><Relationship Id="rId1593" Type="http://schemas.openxmlformats.org/officeDocument/2006/relationships/hyperlink" Target="https://www.genome.jp/entry/C00013" TargetMode="External"/><Relationship Id="rId2437" Type="http://schemas.openxmlformats.org/officeDocument/2006/relationships/hyperlink" Target="https://enzyme.expasy.org/EC/4.2.1.19" TargetMode="External"/><Relationship Id="rId2991" Type="http://schemas.openxmlformats.org/officeDocument/2006/relationships/hyperlink" Target="https://www.genome.jp/entry/C00002" TargetMode="External"/><Relationship Id="rId409" Type="http://schemas.openxmlformats.org/officeDocument/2006/relationships/hyperlink" Target="https://www.genome.jp/entry/C00295" TargetMode="External"/><Relationship Id="rId963" Type="http://schemas.openxmlformats.org/officeDocument/2006/relationships/hyperlink" Target="https://www.genome.jp/entry/C00024" TargetMode="External"/><Relationship Id="rId1039" Type="http://schemas.openxmlformats.org/officeDocument/2006/relationships/hyperlink" Target="https://enzyme.expasy.org/EC/2.4.2.2" TargetMode="External"/><Relationship Id="rId1246" Type="http://schemas.openxmlformats.org/officeDocument/2006/relationships/hyperlink" Target="https://enzyme.expasy.org/EC/2.7.1.33" TargetMode="External"/><Relationship Id="rId2644" Type="http://schemas.openxmlformats.org/officeDocument/2006/relationships/hyperlink" Target="https://www.genome.jp/entry/C00029" TargetMode="External"/><Relationship Id="rId2851" Type="http://schemas.openxmlformats.org/officeDocument/2006/relationships/hyperlink" Target="https://www.genome.jp/entry/C00002" TargetMode="External"/><Relationship Id="rId92" Type="http://schemas.openxmlformats.org/officeDocument/2006/relationships/hyperlink" Target="https://www.genome.jp/entry/C16595" TargetMode="External"/><Relationship Id="rId616" Type="http://schemas.openxmlformats.org/officeDocument/2006/relationships/hyperlink" Target="https://www.genome.jp/entry/C17552" TargetMode="External"/><Relationship Id="rId823" Type="http://schemas.openxmlformats.org/officeDocument/2006/relationships/hyperlink" Target="https://www.genome.jp/entry/C00010" TargetMode="External"/><Relationship Id="rId1453" Type="http://schemas.openxmlformats.org/officeDocument/2006/relationships/hyperlink" Target="https://www.genome.jp/entry/C00008" TargetMode="External"/><Relationship Id="rId1660" Type="http://schemas.openxmlformats.org/officeDocument/2006/relationships/hyperlink" Target="https://enzyme.expasy.org/EC/2.7.7.72" TargetMode="External"/><Relationship Id="rId2504" Type="http://schemas.openxmlformats.org/officeDocument/2006/relationships/hyperlink" Target="https://www.genome.jp/entry/C20373" TargetMode="External"/><Relationship Id="rId2711" Type="http://schemas.openxmlformats.org/officeDocument/2006/relationships/hyperlink" Target="https://www.genome.jp/entry/C18096" TargetMode="External"/><Relationship Id="rId1106" Type="http://schemas.openxmlformats.org/officeDocument/2006/relationships/hyperlink" Target="https://www.genome.jp/entry/C04631" TargetMode="External"/><Relationship Id="rId1313" Type="http://schemas.openxmlformats.org/officeDocument/2006/relationships/hyperlink" Target="https://www.genome.jp/entry/C00008" TargetMode="External"/><Relationship Id="rId1520" Type="http://schemas.openxmlformats.org/officeDocument/2006/relationships/hyperlink" Target="https://www.genome.jp/entry/C00002" TargetMode="External"/><Relationship Id="rId199" Type="http://schemas.openxmlformats.org/officeDocument/2006/relationships/hyperlink" Target="https://enzyme.expasy.org/EC/1.1.1.25" TargetMode="External"/><Relationship Id="rId2087" Type="http://schemas.openxmlformats.org/officeDocument/2006/relationships/hyperlink" Target="https://www.genome.jp/entry/G00501" TargetMode="External"/><Relationship Id="rId2294" Type="http://schemas.openxmlformats.org/officeDocument/2006/relationships/hyperlink" Target="https://www.genome.jp/entry/C02739" TargetMode="External"/><Relationship Id="rId3138" Type="http://schemas.openxmlformats.org/officeDocument/2006/relationships/hyperlink" Target="https://www.genome.jp/entry/C00020" TargetMode="External"/><Relationship Id="rId266" Type="http://schemas.openxmlformats.org/officeDocument/2006/relationships/hyperlink" Target="https://www.genome.jp/entry/C00093" TargetMode="External"/><Relationship Id="rId473" Type="http://schemas.openxmlformats.org/officeDocument/2006/relationships/hyperlink" Target="https://www.genome.jp/entry/C00143" TargetMode="External"/><Relationship Id="rId680" Type="http://schemas.openxmlformats.org/officeDocument/2006/relationships/hyperlink" Target="https://enzyme.expasy.org/EC/2.1.2.9" TargetMode="External"/><Relationship Id="rId2154" Type="http://schemas.openxmlformats.org/officeDocument/2006/relationships/hyperlink" Target="https://enzyme.expasy.org/EC/3.5.1.25" TargetMode="External"/><Relationship Id="rId2361" Type="http://schemas.openxmlformats.org/officeDocument/2006/relationships/hyperlink" Target="https://www.genome.jp/entry/C03506" TargetMode="External"/><Relationship Id="rId126" Type="http://schemas.openxmlformats.org/officeDocument/2006/relationships/hyperlink" Target="https://enzyme.expasy.org/EC/1.1.1.100" TargetMode="External"/><Relationship Id="rId333" Type="http://schemas.openxmlformats.org/officeDocument/2006/relationships/hyperlink" Target="https://www.genome.jp/entry/C00002" TargetMode="External"/><Relationship Id="rId540" Type="http://schemas.openxmlformats.org/officeDocument/2006/relationships/hyperlink" Target="https://www.genome.jp/entry/C16832" TargetMode="External"/><Relationship Id="rId1170" Type="http://schemas.openxmlformats.org/officeDocument/2006/relationships/hyperlink" Target="https://www.genome.jp/entry/C11435" TargetMode="External"/><Relationship Id="rId2014" Type="http://schemas.openxmlformats.org/officeDocument/2006/relationships/hyperlink" Target="https://enzyme.expasy.org/EC/3.2.1.23" TargetMode="External"/><Relationship Id="rId2221" Type="http://schemas.openxmlformats.org/officeDocument/2006/relationships/hyperlink" Target="https://www.genome.jp/entry/C04896" TargetMode="External"/><Relationship Id="rId1030" Type="http://schemas.openxmlformats.org/officeDocument/2006/relationships/hyperlink" Target="https://www.genome.jp/entry/C00108" TargetMode="External"/><Relationship Id="rId400" Type="http://schemas.openxmlformats.org/officeDocument/2006/relationships/hyperlink" Target="https://www.genome.jp/entry/C04631" TargetMode="External"/><Relationship Id="rId1987" Type="http://schemas.openxmlformats.org/officeDocument/2006/relationships/hyperlink" Target="https://www.genome.jp/entry/C00159" TargetMode="External"/><Relationship Id="rId1847" Type="http://schemas.openxmlformats.org/officeDocument/2006/relationships/hyperlink" Target="https://www.genome.jp/entry/C15584" TargetMode="External"/><Relationship Id="rId1707" Type="http://schemas.openxmlformats.org/officeDocument/2006/relationships/hyperlink" Target="https://www.genome.jp/entry/C00002" TargetMode="External"/><Relationship Id="rId3062" Type="http://schemas.openxmlformats.org/officeDocument/2006/relationships/hyperlink" Target="https://www.genome.jp/entry/C00020" TargetMode="External"/><Relationship Id="rId190" Type="http://schemas.openxmlformats.org/officeDocument/2006/relationships/hyperlink" Target="https://www.genome.jp/entry/C01929" TargetMode="External"/><Relationship Id="rId1914" Type="http://schemas.openxmlformats.org/officeDocument/2006/relationships/hyperlink" Target="https://enzyme.expasy.org/EC/3.2.1.22" TargetMode="External"/><Relationship Id="rId2688" Type="http://schemas.openxmlformats.org/officeDocument/2006/relationships/hyperlink" Target="https://www.genome.jp/entry/C06019" TargetMode="External"/><Relationship Id="rId2895" Type="http://schemas.openxmlformats.org/officeDocument/2006/relationships/hyperlink" Target="https://enzyme.expasy.org/EC/6.1.1.15" TargetMode="External"/><Relationship Id="rId867" Type="http://schemas.openxmlformats.org/officeDocument/2006/relationships/hyperlink" Target="https://www.genome.jp/entry/C00685" TargetMode="External"/><Relationship Id="rId1497" Type="http://schemas.openxmlformats.org/officeDocument/2006/relationships/hyperlink" Target="https://www.genome.jp/entry/C00008" TargetMode="External"/><Relationship Id="rId2548" Type="http://schemas.openxmlformats.org/officeDocument/2006/relationships/hyperlink" Target="https://www.genome.jp/entry/C03794" TargetMode="External"/><Relationship Id="rId2755" Type="http://schemas.openxmlformats.org/officeDocument/2006/relationships/hyperlink" Target="https://enzyme.expasy.org/EC/5.3.3.2" TargetMode="External"/><Relationship Id="rId2962" Type="http://schemas.openxmlformats.org/officeDocument/2006/relationships/hyperlink" Target="https://www.genome.jp/entry/C00020" TargetMode="External"/><Relationship Id="rId727" Type="http://schemas.openxmlformats.org/officeDocument/2006/relationships/hyperlink" Target="https://www.genome.jp/entry/C05125" TargetMode="External"/><Relationship Id="rId934" Type="http://schemas.openxmlformats.org/officeDocument/2006/relationships/hyperlink" Target="https://www.genome.jp/entry/C02133" TargetMode="External"/><Relationship Id="rId1357" Type="http://schemas.openxmlformats.org/officeDocument/2006/relationships/hyperlink" Target="https://www.genome.jp/entry/C00008" TargetMode="External"/><Relationship Id="rId1564" Type="http://schemas.openxmlformats.org/officeDocument/2006/relationships/hyperlink" Target="https://www.genome.jp/entry/C00002" TargetMode="External"/><Relationship Id="rId1771" Type="http://schemas.openxmlformats.org/officeDocument/2006/relationships/hyperlink" Target="https://www.genome.jp/entry/C00105" TargetMode="External"/><Relationship Id="rId2408" Type="http://schemas.openxmlformats.org/officeDocument/2006/relationships/hyperlink" Target="https://www.genome.jp/entry/C00158" TargetMode="External"/><Relationship Id="rId2615" Type="http://schemas.openxmlformats.org/officeDocument/2006/relationships/hyperlink" Target="https://www.genome.jp/entry/C00022" TargetMode="External"/><Relationship Id="rId2822" Type="http://schemas.openxmlformats.org/officeDocument/2006/relationships/hyperlink" Target="https://www.genome.jp/entry/C00002" TargetMode="External"/><Relationship Id="rId63" Type="http://schemas.openxmlformats.org/officeDocument/2006/relationships/hyperlink" Target="https://www.genome.jp/entry/C06612" TargetMode="External"/><Relationship Id="rId1217" Type="http://schemas.openxmlformats.org/officeDocument/2006/relationships/hyperlink" Target="https://www.genome.jp/entry/C11736" TargetMode="External"/><Relationship Id="rId1424" Type="http://schemas.openxmlformats.org/officeDocument/2006/relationships/hyperlink" Target="https://enzyme.expasy.org/EC/2.7.4.3" TargetMode="External"/><Relationship Id="rId1631" Type="http://schemas.openxmlformats.org/officeDocument/2006/relationships/hyperlink" Target="https://www.genome.jp/entry/C00458" TargetMode="External"/><Relationship Id="rId2198" Type="http://schemas.openxmlformats.org/officeDocument/2006/relationships/hyperlink" Target="https://www.genome.jp/entry/C00180" TargetMode="External"/><Relationship Id="rId377" Type="http://schemas.openxmlformats.org/officeDocument/2006/relationships/hyperlink" Target="https://www.genome.jp/entry/C00022" TargetMode="External"/><Relationship Id="rId584" Type="http://schemas.openxmlformats.org/officeDocument/2006/relationships/hyperlink" Target="https://www.genome.jp/entry/C04489" TargetMode="External"/><Relationship Id="rId2058" Type="http://schemas.openxmlformats.org/officeDocument/2006/relationships/hyperlink" Target="https://www.genome.jp/entry/C05394" TargetMode="External"/><Relationship Id="rId2265" Type="http://schemas.openxmlformats.org/officeDocument/2006/relationships/hyperlink" Target="https://www.genome.jp/entry/C01279" TargetMode="External"/><Relationship Id="rId3109" Type="http://schemas.openxmlformats.org/officeDocument/2006/relationships/hyperlink" Target="https://enzyme.expasy.org/EC/6.3.4.4" TargetMode="External"/><Relationship Id="rId237" Type="http://schemas.openxmlformats.org/officeDocument/2006/relationships/hyperlink" Target="https://www.genome.jp/entry/C00441" TargetMode="External"/><Relationship Id="rId791" Type="http://schemas.openxmlformats.org/officeDocument/2006/relationships/hyperlink" Target="https://www.genome.jp/entry/C05270" TargetMode="External"/><Relationship Id="rId1074" Type="http://schemas.openxmlformats.org/officeDocument/2006/relationships/hyperlink" Target="https://enzyme.expasy.org/EC/2.5.1.17" TargetMode="External"/><Relationship Id="rId2472" Type="http://schemas.openxmlformats.org/officeDocument/2006/relationships/hyperlink" Target="https://www.genome.jp/entry/C01102" TargetMode="External"/><Relationship Id="rId444" Type="http://schemas.openxmlformats.org/officeDocument/2006/relationships/hyperlink" Target="https://www.genome.jp/entry/C00027" TargetMode="External"/><Relationship Id="rId651" Type="http://schemas.openxmlformats.org/officeDocument/2006/relationships/hyperlink" Target="https://www.genome.jp/entry/C00019" TargetMode="External"/><Relationship Id="rId1281" Type="http://schemas.openxmlformats.org/officeDocument/2006/relationships/hyperlink" Target="https://www.genome.jp/entry/C00075" TargetMode="External"/><Relationship Id="rId2125" Type="http://schemas.openxmlformats.org/officeDocument/2006/relationships/hyperlink" Target="https://www.genome.jp/entry/C00021" TargetMode="External"/><Relationship Id="rId2332" Type="http://schemas.openxmlformats.org/officeDocument/2006/relationships/hyperlink" Target="https://enzyme.expasy.org/EC/4.1.1.12" TargetMode="External"/><Relationship Id="rId304" Type="http://schemas.openxmlformats.org/officeDocument/2006/relationships/hyperlink" Target="https://www.genome.jp/entry/C00342" TargetMode="External"/><Relationship Id="rId511" Type="http://schemas.openxmlformats.org/officeDocument/2006/relationships/hyperlink" Target="https://www.genome.jp/entry/C00504" TargetMode="External"/><Relationship Id="rId1141" Type="http://schemas.openxmlformats.org/officeDocument/2006/relationships/hyperlink" Target="https://www.genome.jp/entry/C00002" TargetMode="External"/><Relationship Id="rId1001" Type="http://schemas.openxmlformats.org/officeDocument/2006/relationships/hyperlink" Target="https://enzyme.expasy.org/EC/2.4.1.21" TargetMode="External"/><Relationship Id="rId1958" Type="http://schemas.openxmlformats.org/officeDocument/2006/relationships/hyperlink" Target="https://www.genome.jp/entry/C00124" TargetMode="External"/><Relationship Id="rId3173" Type="http://schemas.openxmlformats.org/officeDocument/2006/relationships/hyperlink" Target="https://www.genome.jp/entry/C01563" TargetMode="External"/><Relationship Id="rId1818" Type="http://schemas.openxmlformats.org/officeDocument/2006/relationships/hyperlink" Target="https://www.genome.jp/entry/C01762" TargetMode="External"/><Relationship Id="rId3033" Type="http://schemas.openxmlformats.org/officeDocument/2006/relationships/hyperlink" Target="https://www.genome.jp/entry/C00008" TargetMode="External"/><Relationship Id="rId161" Type="http://schemas.openxmlformats.org/officeDocument/2006/relationships/hyperlink" Target="https://www.genome.jp/entry/C00644" TargetMode="External"/><Relationship Id="rId2799" Type="http://schemas.openxmlformats.org/officeDocument/2006/relationships/hyperlink" Target="https://www.genome.jp/entry/C04751" TargetMode="External"/><Relationship Id="rId3100" Type="http://schemas.openxmlformats.org/officeDocument/2006/relationships/hyperlink" Target="https://www.genome.jp/entry/C00101" TargetMode="External"/><Relationship Id="rId978" Type="http://schemas.openxmlformats.org/officeDocument/2006/relationships/hyperlink" Target="https://www.genome.jp/entry/C00356" TargetMode="External"/><Relationship Id="rId2659" Type="http://schemas.openxmlformats.org/officeDocument/2006/relationships/hyperlink" Target="https://www.genome.jp/entry/C01101" TargetMode="External"/><Relationship Id="rId2866" Type="http://schemas.openxmlformats.org/officeDocument/2006/relationships/hyperlink" Target="https://www.genome.jp/entry/C00002" TargetMode="External"/><Relationship Id="rId838" Type="http://schemas.openxmlformats.org/officeDocument/2006/relationships/hyperlink" Target="https://www.genome.jp/entry/C16470" TargetMode="External"/><Relationship Id="rId1468" Type="http://schemas.openxmlformats.org/officeDocument/2006/relationships/hyperlink" Target="https://www.genome.jp/entry/C00008" TargetMode="External"/><Relationship Id="rId1675" Type="http://schemas.openxmlformats.org/officeDocument/2006/relationships/hyperlink" Target="https://enzyme.expasy.org/EC/2.7.7.87" TargetMode="External"/><Relationship Id="rId1882" Type="http://schemas.openxmlformats.org/officeDocument/2006/relationships/hyperlink" Target="https://www.genome.jp/entry/C00267" TargetMode="External"/><Relationship Id="rId2519" Type="http://schemas.openxmlformats.org/officeDocument/2006/relationships/hyperlink" Target="https://www.genome.jp/entry/C00065" TargetMode="External"/><Relationship Id="rId2726" Type="http://schemas.openxmlformats.org/officeDocument/2006/relationships/hyperlink" Target="https://www.genome.jp/entry/C00085" TargetMode="External"/><Relationship Id="rId1328" Type="http://schemas.openxmlformats.org/officeDocument/2006/relationships/hyperlink" Target="https://www.genome.jp/entry/C16634" TargetMode="External"/><Relationship Id="rId1535" Type="http://schemas.openxmlformats.org/officeDocument/2006/relationships/hyperlink" Target="https://www.genome.jp/entry/C00002" TargetMode="External"/><Relationship Id="rId2933" Type="http://schemas.openxmlformats.org/officeDocument/2006/relationships/hyperlink" Target="https://www.genome.jp/entry/C00020" TargetMode="External"/><Relationship Id="rId905" Type="http://schemas.openxmlformats.org/officeDocument/2006/relationships/hyperlink" Target="https://www.genome.jp/entry/C16219" TargetMode="External"/><Relationship Id="rId1742" Type="http://schemas.openxmlformats.org/officeDocument/2006/relationships/hyperlink" Target="https://www.genome.jp/entry/C00085" TargetMode="External"/><Relationship Id="rId34" Type="http://schemas.openxmlformats.org/officeDocument/2006/relationships/hyperlink" Target="https://www.genome.jp/entry/C01545" TargetMode="External"/><Relationship Id="rId1602" Type="http://schemas.openxmlformats.org/officeDocument/2006/relationships/hyperlink" Target="https://www.genome.jp/entry/C00075" TargetMode="External"/><Relationship Id="rId488" Type="http://schemas.openxmlformats.org/officeDocument/2006/relationships/hyperlink" Target="https://enzyme.expasy.org/EC/1.5.1.3" TargetMode="External"/><Relationship Id="rId695" Type="http://schemas.openxmlformats.org/officeDocument/2006/relationships/hyperlink" Target="https://www.genome.jp/entry/C00022" TargetMode="External"/><Relationship Id="rId2169" Type="http://schemas.openxmlformats.org/officeDocument/2006/relationships/hyperlink" Target="https://enzyme.expasy.org/EC/3.5.1.4" TargetMode="External"/><Relationship Id="rId2376" Type="http://schemas.openxmlformats.org/officeDocument/2006/relationships/hyperlink" Target="https://www.genome.jp/entry/C03291" TargetMode="External"/><Relationship Id="rId2583" Type="http://schemas.openxmlformats.org/officeDocument/2006/relationships/hyperlink" Target="https://www.genome.jp/entry/C00097" TargetMode="External"/><Relationship Id="rId2790" Type="http://schemas.openxmlformats.org/officeDocument/2006/relationships/hyperlink" Target="https://enzyme.expasy.org/EC/5.4.2.7" TargetMode="External"/><Relationship Id="rId348" Type="http://schemas.openxmlformats.org/officeDocument/2006/relationships/hyperlink" Target="https://www.genome.jp/entry/C00075" TargetMode="External"/><Relationship Id="rId555" Type="http://schemas.openxmlformats.org/officeDocument/2006/relationships/hyperlink" Target="https://www.genome.jp/entry/C00342" TargetMode="External"/><Relationship Id="rId762" Type="http://schemas.openxmlformats.org/officeDocument/2006/relationships/hyperlink" Target="https://www.genome.jp/entry/C00010" TargetMode="External"/><Relationship Id="rId1185" Type="http://schemas.openxmlformats.org/officeDocument/2006/relationships/hyperlink" Target="https://www.genome.jp/entry/C00008" TargetMode="External"/><Relationship Id="rId1392" Type="http://schemas.openxmlformats.org/officeDocument/2006/relationships/hyperlink" Target="https://www.genome.jp/entry/C00008" TargetMode="External"/><Relationship Id="rId2029" Type="http://schemas.openxmlformats.org/officeDocument/2006/relationships/hyperlink" Target="https://enzyme.expasy.org/EC/3.2.1.23" TargetMode="External"/><Relationship Id="rId2236" Type="http://schemas.openxmlformats.org/officeDocument/2006/relationships/hyperlink" Target="https://www.genome.jp/entry/C05512" TargetMode="External"/><Relationship Id="rId2443" Type="http://schemas.openxmlformats.org/officeDocument/2006/relationships/hyperlink" Target="https://www.genome.jp/entry/C00065" TargetMode="External"/><Relationship Id="rId2650" Type="http://schemas.openxmlformats.org/officeDocument/2006/relationships/hyperlink" Target="https://www.genome.jp/entry/C00203" TargetMode="External"/><Relationship Id="rId208" Type="http://schemas.openxmlformats.org/officeDocument/2006/relationships/hyperlink" Target="https://www.genome.jp/entry/C07335" TargetMode="External"/><Relationship Id="rId415" Type="http://schemas.openxmlformats.org/officeDocument/2006/relationships/hyperlink" Target="https://www.genome.jp/entry/C00064" TargetMode="External"/><Relationship Id="rId622" Type="http://schemas.openxmlformats.org/officeDocument/2006/relationships/hyperlink" Target="https://www.genome.jp/entry/C00021" TargetMode="External"/><Relationship Id="rId1045" Type="http://schemas.openxmlformats.org/officeDocument/2006/relationships/hyperlink" Target="https://www.genome.jp/entry/C00385" TargetMode="External"/><Relationship Id="rId1252" Type="http://schemas.openxmlformats.org/officeDocument/2006/relationships/hyperlink" Target="https://www.genome.jp/entry/C00008" TargetMode="External"/><Relationship Id="rId2303" Type="http://schemas.openxmlformats.org/officeDocument/2006/relationships/hyperlink" Target="https://www.genome.jp/entry/C04287" TargetMode="External"/><Relationship Id="rId2510" Type="http://schemas.openxmlformats.org/officeDocument/2006/relationships/hyperlink" Target="https://www.genome.jp/entry/C20378" TargetMode="External"/><Relationship Id="rId1112" Type="http://schemas.openxmlformats.org/officeDocument/2006/relationships/hyperlink" Target="https://www.genome.jp/entry/C19847" TargetMode="External"/><Relationship Id="rId3077" Type="http://schemas.openxmlformats.org/officeDocument/2006/relationships/hyperlink" Target="https://www.genome.jp/entry/C00020" TargetMode="External"/><Relationship Id="rId1929" Type="http://schemas.openxmlformats.org/officeDocument/2006/relationships/hyperlink" Target="https://enzyme.expasy.org/EC/3.2.1.22" TargetMode="External"/><Relationship Id="rId2093" Type="http://schemas.openxmlformats.org/officeDocument/2006/relationships/hyperlink" Target="https://www.genome.jp/entry/C02336" TargetMode="External"/><Relationship Id="rId3144" Type="http://schemas.openxmlformats.org/officeDocument/2006/relationships/hyperlink" Target="https://enzyme.expasy.org/EC/6.3.5.5" TargetMode="External"/><Relationship Id="rId272" Type="http://schemas.openxmlformats.org/officeDocument/2006/relationships/hyperlink" Target="https://www.genome.jp/entry/C00111" TargetMode="External"/><Relationship Id="rId2160" Type="http://schemas.openxmlformats.org/officeDocument/2006/relationships/hyperlink" Target="https://www.genome.jp/entry/C02999" TargetMode="External"/><Relationship Id="rId3004" Type="http://schemas.openxmlformats.org/officeDocument/2006/relationships/hyperlink" Target="https://enzyme.expasy.org/EC/6.3.1.5" TargetMode="External"/><Relationship Id="rId132" Type="http://schemas.openxmlformats.org/officeDocument/2006/relationships/hyperlink" Target="https://www.genome.jp/entry/C05757" TargetMode="External"/><Relationship Id="rId2020" Type="http://schemas.openxmlformats.org/officeDocument/2006/relationships/hyperlink" Target="https://www.genome.jp/entry/C06136" TargetMode="External"/><Relationship Id="rId1579" Type="http://schemas.openxmlformats.org/officeDocument/2006/relationships/hyperlink" Target="https://www.genome.jp/entry/C00013" TargetMode="External"/><Relationship Id="rId2977" Type="http://schemas.openxmlformats.org/officeDocument/2006/relationships/hyperlink" Target="https://www.genome.jp/entry/C00020" TargetMode="External"/><Relationship Id="rId949" Type="http://schemas.openxmlformats.org/officeDocument/2006/relationships/hyperlink" Target="https://www.genome.jp/entry/C00010" TargetMode="External"/><Relationship Id="rId1786" Type="http://schemas.openxmlformats.org/officeDocument/2006/relationships/hyperlink" Target="https://www.genome.jp/entry/C00239" TargetMode="External"/><Relationship Id="rId1993" Type="http://schemas.openxmlformats.org/officeDocument/2006/relationships/hyperlink" Target="https://www.genome.jp/entry/C00031" TargetMode="External"/><Relationship Id="rId2837" Type="http://schemas.openxmlformats.org/officeDocument/2006/relationships/hyperlink" Target="https://www.genome.jp/entry/C00002" TargetMode="External"/><Relationship Id="rId78" Type="http://schemas.openxmlformats.org/officeDocument/2006/relationships/hyperlink" Target="https://www.genome.jp/entry/C14089" TargetMode="External"/><Relationship Id="rId809" Type="http://schemas.openxmlformats.org/officeDocument/2006/relationships/hyperlink" Target="https://enzyme.expasy.org/EC/2.3.1.16" TargetMode="External"/><Relationship Id="rId1439" Type="http://schemas.openxmlformats.org/officeDocument/2006/relationships/hyperlink" Target="https://enzyme.expasy.org/EC/2.7.4.6" TargetMode="External"/><Relationship Id="rId1646" Type="http://schemas.openxmlformats.org/officeDocument/2006/relationships/hyperlink" Target="https://www.genome.jp/entry/C11039" TargetMode="External"/><Relationship Id="rId1853" Type="http://schemas.openxmlformats.org/officeDocument/2006/relationships/hyperlink" Target="https://www.genome.jp/entry/C00059" TargetMode="External"/><Relationship Id="rId2904" Type="http://schemas.openxmlformats.org/officeDocument/2006/relationships/hyperlink" Target="https://www.genome.jp/entry/C02987" TargetMode="External"/><Relationship Id="rId1506" Type="http://schemas.openxmlformats.org/officeDocument/2006/relationships/hyperlink" Target="https://www.genome.jp/entry/C22442" TargetMode="External"/><Relationship Id="rId1713" Type="http://schemas.openxmlformats.org/officeDocument/2006/relationships/hyperlink" Target="https://www.genome.jp/entry/C17322" TargetMode="External"/><Relationship Id="rId1920" Type="http://schemas.openxmlformats.org/officeDocument/2006/relationships/hyperlink" Target="https://www.genome.jp/entry/C05399" TargetMode="External"/><Relationship Id="rId599" Type="http://schemas.openxmlformats.org/officeDocument/2006/relationships/hyperlink" Target="https://www.genome.jp/entry/C00019" TargetMode="External"/><Relationship Id="rId2487" Type="http://schemas.openxmlformats.org/officeDocument/2006/relationships/hyperlink" Target="https://www.genome.jp/entry/C05751" TargetMode="External"/><Relationship Id="rId2694" Type="http://schemas.openxmlformats.org/officeDocument/2006/relationships/hyperlink" Target="https://www.genome.jp/entry/C16737" TargetMode="External"/><Relationship Id="rId459" Type="http://schemas.openxmlformats.org/officeDocument/2006/relationships/hyperlink" Target="https://www.genome.jp/entry/C03912" TargetMode="External"/><Relationship Id="rId666" Type="http://schemas.openxmlformats.org/officeDocument/2006/relationships/hyperlink" Target="https://www.genome.jp/entry/C00234" TargetMode="External"/><Relationship Id="rId873" Type="http://schemas.openxmlformats.org/officeDocument/2006/relationships/hyperlink" Target="https://www.genome.jp/entry/C05744" TargetMode="External"/><Relationship Id="rId1089" Type="http://schemas.openxmlformats.org/officeDocument/2006/relationships/hyperlink" Target="https://www.genome.jp/entry/C00097" TargetMode="External"/><Relationship Id="rId1296" Type="http://schemas.openxmlformats.org/officeDocument/2006/relationships/hyperlink" Target="https://www.genome.jp/entry/C00201" TargetMode="External"/><Relationship Id="rId2347" Type="http://schemas.openxmlformats.org/officeDocument/2006/relationships/hyperlink" Target="https://enzyme.expasy.org/EC/4.1.1.23" TargetMode="External"/><Relationship Id="rId2554" Type="http://schemas.openxmlformats.org/officeDocument/2006/relationships/hyperlink" Target="https://www.genome.jp/entry/C04916" TargetMode="External"/><Relationship Id="rId319" Type="http://schemas.openxmlformats.org/officeDocument/2006/relationships/hyperlink" Target="https://www.genome.jp/entry/C03723" TargetMode="External"/><Relationship Id="rId526" Type="http://schemas.openxmlformats.org/officeDocument/2006/relationships/hyperlink" Target="https://www.genome.jp/entry/C00248" TargetMode="External"/><Relationship Id="rId1156" Type="http://schemas.openxmlformats.org/officeDocument/2006/relationships/hyperlink" Target="https://www.genome.jp/entry/C00081" TargetMode="External"/><Relationship Id="rId1363" Type="http://schemas.openxmlformats.org/officeDocument/2006/relationships/hyperlink" Target="https://www.genome.jp/entry/C00008" TargetMode="External"/><Relationship Id="rId2207" Type="http://schemas.openxmlformats.org/officeDocument/2006/relationships/hyperlink" Target="https://www.genome.jp/entry/C11440" TargetMode="External"/><Relationship Id="rId2761" Type="http://schemas.openxmlformats.org/officeDocument/2006/relationships/hyperlink" Target="https://www.genome.jp/entry/C01159" TargetMode="External"/><Relationship Id="rId733" Type="http://schemas.openxmlformats.org/officeDocument/2006/relationships/hyperlink" Target="https://www.genome.jp/entry/C00681" TargetMode="External"/><Relationship Id="rId940" Type="http://schemas.openxmlformats.org/officeDocument/2006/relationships/hyperlink" Target="https://www.genome.jp/entry/C00153" TargetMode="External"/><Relationship Id="rId1016" Type="http://schemas.openxmlformats.org/officeDocument/2006/relationships/hyperlink" Target="https://enzyme.expasy.org/EC/2.4.1.227" TargetMode="External"/><Relationship Id="rId1570" Type="http://schemas.openxmlformats.org/officeDocument/2006/relationships/hyperlink" Target="https://www.genome.jp/entry/C00013" TargetMode="External"/><Relationship Id="rId2414" Type="http://schemas.openxmlformats.org/officeDocument/2006/relationships/hyperlink" Target="https://www.genome.jp/entry/C00631" TargetMode="External"/><Relationship Id="rId2621" Type="http://schemas.openxmlformats.org/officeDocument/2006/relationships/hyperlink" Target="https://www.genome.jp/entry/C05698" TargetMode="External"/><Relationship Id="rId800" Type="http://schemas.openxmlformats.org/officeDocument/2006/relationships/hyperlink" Target="https://www.genome.jp/entry/C06715" TargetMode="External"/><Relationship Id="rId1223" Type="http://schemas.openxmlformats.org/officeDocument/2006/relationships/hyperlink" Target="https://www.genome.jp/entry/C00002" TargetMode="External"/><Relationship Id="rId1430" Type="http://schemas.openxmlformats.org/officeDocument/2006/relationships/hyperlink" Target="https://www.genome.jp/entry/C00002" TargetMode="External"/><Relationship Id="rId3188" Type="http://schemas.openxmlformats.org/officeDocument/2006/relationships/hyperlink" Target="https://www.genome.jp/entry/C00008" TargetMode="External"/><Relationship Id="rId3048" Type="http://schemas.openxmlformats.org/officeDocument/2006/relationships/hyperlink" Target="https://www.genome.jp/entry/C00008" TargetMode="External"/><Relationship Id="rId176" Type="http://schemas.openxmlformats.org/officeDocument/2006/relationships/hyperlink" Target="https://www.genome.jp/entry/C04646" TargetMode="External"/><Relationship Id="rId383" Type="http://schemas.openxmlformats.org/officeDocument/2006/relationships/hyperlink" Target="https://www.genome.jp/entry/C11215" TargetMode="External"/><Relationship Id="rId590" Type="http://schemas.openxmlformats.org/officeDocument/2006/relationships/hyperlink" Target="https://www.genome.jp/entry/C05698" TargetMode="External"/><Relationship Id="rId2064" Type="http://schemas.openxmlformats.org/officeDocument/2006/relationships/hyperlink" Target="https://enzyme.expasy.org/EC/3.2.1.26" TargetMode="External"/><Relationship Id="rId2271" Type="http://schemas.openxmlformats.org/officeDocument/2006/relationships/hyperlink" Target="https://www.genome.jp/entry/C00085" TargetMode="External"/><Relationship Id="rId3115" Type="http://schemas.openxmlformats.org/officeDocument/2006/relationships/hyperlink" Target="https://www.genome.jp/entry/C00002" TargetMode="External"/><Relationship Id="rId243" Type="http://schemas.openxmlformats.org/officeDocument/2006/relationships/hyperlink" Target="https://www.genome.jp/entry/C00441" TargetMode="External"/><Relationship Id="rId450" Type="http://schemas.openxmlformats.org/officeDocument/2006/relationships/hyperlink" Target="https://enzyme.expasy.org/EC/1.5.1.2" TargetMode="External"/><Relationship Id="rId1080" Type="http://schemas.openxmlformats.org/officeDocument/2006/relationships/hyperlink" Target="https://www.genome.jp/entry/C04752" TargetMode="External"/><Relationship Id="rId2131" Type="http://schemas.openxmlformats.org/officeDocument/2006/relationships/hyperlink" Target="https://www.genome.jp/entry/C00170" TargetMode="External"/><Relationship Id="rId103" Type="http://schemas.openxmlformats.org/officeDocument/2006/relationships/hyperlink" Target="https://www.genome.jp/entry/C04618" TargetMode="External"/><Relationship Id="rId310" Type="http://schemas.openxmlformats.org/officeDocument/2006/relationships/hyperlink" Target="https://enzyme.expasy.org/EC/1.17.4.1" TargetMode="External"/><Relationship Id="rId1897" Type="http://schemas.openxmlformats.org/officeDocument/2006/relationships/hyperlink" Target="https://www.genome.jp/entry/C00124" TargetMode="External"/><Relationship Id="rId2948" Type="http://schemas.openxmlformats.org/officeDocument/2006/relationships/hyperlink" Target="https://www.genome.jp/entry/C00020" TargetMode="External"/><Relationship Id="rId1757" Type="http://schemas.openxmlformats.org/officeDocument/2006/relationships/hyperlink" Target="https://www.genome.jp/entry/C00344" TargetMode="External"/><Relationship Id="rId1964" Type="http://schemas.openxmlformats.org/officeDocument/2006/relationships/hyperlink" Target="https://enzyme.expasy.org/EC/3.2.1.22" TargetMode="External"/><Relationship Id="rId2808" Type="http://schemas.openxmlformats.org/officeDocument/2006/relationships/hyperlink" Target="https://www.genome.jp/entry/C03733" TargetMode="External"/><Relationship Id="rId49" Type="http://schemas.openxmlformats.org/officeDocument/2006/relationships/hyperlink" Target="https://www.genome.jp/entry/C05445" TargetMode="External"/><Relationship Id="rId1617" Type="http://schemas.openxmlformats.org/officeDocument/2006/relationships/hyperlink" Target="https://www.genome.jp/entry/C19771" TargetMode="External"/><Relationship Id="rId1824" Type="http://schemas.openxmlformats.org/officeDocument/2006/relationships/hyperlink" Target="https://enzyme.expasy.org/EC/3.1.3.5" TargetMode="External"/><Relationship Id="rId2598" Type="http://schemas.openxmlformats.org/officeDocument/2006/relationships/hyperlink" Target="https://www.genome.jp/entry/C02749" TargetMode="External"/><Relationship Id="rId777" Type="http://schemas.openxmlformats.org/officeDocument/2006/relationships/hyperlink" Target="https://www.genome.jp/entry/C00010" TargetMode="External"/><Relationship Id="rId984" Type="http://schemas.openxmlformats.org/officeDocument/2006/relationships/hyperlink" Target="https://www.genome.jp/entry/C00718" TargetMode="External"/><Relationship Id="rId2458" Type="http://schemas.openxmlformats.org/officeDocument/2006/relationships/hyperlink" Target="https://www.genome.jp/entry/C03506" TargetMode="External"/><Relationship Id="rId2665" Type="http://schemas.openxmlformats.org/officeDocument/2006/relationships/hyperlink" Target="https://www.genome.jp/entry/C03633" TargetMode="External"/><Relationship Id="rId2872" Type="http://schemas.openxmlformats.org/officeDocument/2006/relationships/hyperlink" Target="https://www.genome.jp/entry/C00002" TargetMode="External"/><Relationship Id="rId637" Type="http://schemas.openxmlformats.org/officeDocument/2006/relationships/hyperlink" Target="https://enzyme.expasy.org/EC/2.1.1.63" TargetMode="External"/><Relationship Id="rId844" Type="http://schemas.openxmlformats.org/officeDocument/2006/relationships/hyperlink" Target="https://enzyme.expasy.org/EC/2.3.1.16" TargetMode="External"/><Relationship Id="rId1267" Type="http://schemas.openxmlformats.org/officeDocument/2006/relationships/hyperlink" Target="https://www.genome.jp/entry/C00008" TargetMode="External"/><Relationship Id="rId1474" Type="http://schemas.openxmlformats.org/officeDocument/2006/relationships/hyperlink" Target="https://enzyme.expasy.org/EC/2.7.4.6" TargetMode="External"/><Relationship Id="rId1681" Type="http://schemas.openxmlformats.org/officeDocument/2006/relationships/hyperlink" Target="https://www.genome.jp/entry/C00075" TargetMode="External"/><Relationship Id="rId2318" Type="http://schemas.openxmlformats.org/officeDocument/2006/relationships/hyperlink" Target="https://www.genome.jp/entry/C00049" TargetMode="External"/><Relationship Id="rId2525" Type="http://schemas.openxmlformats.org/officeDocument/2006/relationships/hyperlink" Target="https://www.genome.jp/entry/C02218" TargetMode="External"/><Relationship Id="rId2732" Type="http://schemas.openxmlformats.org/officeDocument/2006/relationships/hyperlink" Target="https://enzyme.expasy.org/EC/5.3.1.9" TargetMode="External"/><Relationship Id="rId704" Type="http://schemas.openxmlformats.org/officeDocument/2006/relationships/hyperlink" Target="https://enzyme.expasy.org/EC/2.2.1.6" TargetMode="External"/><Relationship Id="rId911" Type="http://schemas.openxmlformats.org/officeDocument/2006/relationships/hyperlink" Target="https://www.genome.jp/entry/C20372" TargetMode="External"/><Relationship Id="rId1127" Type="http://schemas.openxmlformats.org/officeDocument/2006/relationships/hyperlink" Target="https://www.genome.jp/entry/C01100" TargetMode="External"/><Relationship Id="rId1334" Type="http://schemas.openxmlformats.org/officeDocument/2006/relationships/hyperlink" Target="https://enzyme.expasy.org/EC/2.7.1.56" TargetMode="External"/><Relationship Id="rId1541" Type="http://schemas.openxmlformats.org/officeDocument/2006/relationships/hyperlink" Target="https://www.genome.jp/entry/C00020" TargetMode="External"/><Relationship Id="rId40" Type="http://schemas.openxmlformats.org/officeDocument/2006/relationships/hyperlink" Target="https://www.genome.jp/entry/C01450" TargetMode="External"/><Relationship Id="rId1401" Type="http://schemas.openxmlformats.org/officeDocument/2006/relationships/hyperlink" Target="https://www.genome.jp/entry/C00002" TargetMode="External"/><Relationship Id="rId3159" Type="http://schemas.openxmlformats.org/officeDocument/2006/relationships/hyperlink" Target="https://enzyme.expasy.org/EC/6.3.5.5" TargetMode="External"/><Relationship Id="rId287" Type="http://schemas.openxmlformats.org/officeDocument/2006/relationships/hyperlink" Target="https://www.genome.jp/entry/C03972" TargetMode="External"/><Relationship Id="rId494" Type="http://schemas.openxmlformats.org/officeDocument/2006/relationships/hyperlink" Target="https://www.genome.jp/entry/C00101" TargetMode="External"/><Relationship Id="rId2175" Type="http://schemas.openxmlformats.org/officeDocument/2006/relationships/hyperlink" Target="https://www.genome.jp/entry/C02693" TargetMode="External"/><Relationship Id="rId2382" Type="http://schemas.openxmlformats.org/officeDocument/2006/relationships/hyperlink" Target="https://enzyme.expasy.org/EC/4.1.2.13" TargetMode="External"/><Relationship Id="rId3019" Type="http://schemas.openxmlformats.org/officeDocument/2006/relationships/hyperlink" Target="https://enzyme.expasy.org/EC/6.3.2.13" TargetMode="External"/><Relationship Id="rId147" Type="http://schemas.openxmlformats.org/officeDocument/2006/relationships/hyperlink" Target="https://www.genome.jp/entry/C20377" TargetMode="External"/><Relationship Id="rId354" Type="http://schemas.openxmlformats.org/officeDocument/2006/relationships/hyperlink" Target="https://www.genome.jp/entry/C03802" TargetMode="External"/><Relationship Id="rId1191" Type="http://schemas.openxmlformats.org/officeDocument/2006/relationships/hyperlink" Target="https://enzyme.expasy.org/EC/2.7.1.2" TargetMode="External"/><Relationship Id="rId2035" Type="http://schemas.openxmlformats.org/officeDocument/2006/relationships/hyperlink" Target="https://www.genome.jp/entry/G00124" TargetMode="External"/><Relationship Id="rId561" Type="http://schemas.openxmlformats.org/officeDocument/2006/relationships/hyperlink" Target="https://www.genome.jp/entry/C05684" TargetMode="External"/><Relationship Id="rId2242" Type="http://schemas.openxmlformats.org/officeDocument/2006/relationships/hyperlink" Target="https://www.genome.jp/entry/C00299" TargetMode="External"/><Relationship Id="rId214" Type="http://schemas.openxmlformats.org/officeDocument/2006/relationships/hyperlink" Target="https://enzyme.expasy.org/EC/1.1.1.262" TargetMode="External"/><Relationship Id="rId421" Type="http://schemas.openxmlformats.org/officeDocument/2006/relationships/hyperlink" Target="https://enzyme.expasy.org/EC/1.4.1.13" TargetMode="External"/><Relationship Id="rId1051" Type="http://schemas.openxmlformats.org/officeDocument/2006/relationships/hyperlink" Target="https://enzyme.expasy.org/EC/2.4.2.52" TargetMode="External"/><Relationship Id="rId2102" Type="http://schemas.openxmlformats.org/officeDocument/2006/relationships/hyperlink" Target="https://www.genome.jp/entry/C00530" TargetMode="External"/><Relationship Id="rId1868" Type="http://schemas.openxmlformats.org/officeDocument/2006/relationships/hyperlink" Target="https://www.genome.jp/entry/C00095" TargetMode="External"/><Relationship Id="rId2919" Type="http://schemas.openxmlformats.org/officeDocument/2006/relationships/hyperlink" Target="https://enzyme.expasy.org/EC/6.1.1.20" TargetMode="External"/><Relationship Id="rId3083" Type="http://schemas.openxmlformats.org/officeDocument/2006/relationships/hyperlink" Target="https://www.genome.jp/entry/C19723" TargetMode="External"/><Relationship Id="rId1728" Type="http://schemas.openxmlformats.org/officeDocument/2006/relationships/hyperlink" Target="https://www.genome.jp/entry/C00033" TargetMode="External"/><Relationship Id="rId1935" Type="http://schemas.openxmlformats.org/officeDocument/2006/relationships/hyperlink" Target="https://www.genome.jp/entry/C05402" TargetMode="External"/><Relationship Id="rId3150" Type="http://schemas.openxmlformats.org/officeDocument/2006/relationships/hyperlink" Target="https://www.genome.jp/entry/C00002" TargetMode="External"/><Relationship Id="rId3010" Type="http://schemas.openxmlformats.org/officeDocument/2006/relationships/hyperlink" Target="https://www.genome.jp/entry/C00002" TargetMode="External"/><Relationship Id="rId4" Type="http://schemas.openxmlformats.org/officeDocument/2006/relationships/hyperlink" Target="https://www.genome.jp/entry/C00576" TargetMode="External"/><Relationship Id="rId888" Type="http://schemas.openxmlformats.org/officeDocument/2006/relationships/hyperlink" Target="https://www.genome.jp/entry/C05752" TargetMode="External"/><Relationship Id="rId2569" Type="http://schemas.openxmlformats.org/officeDocument/2006/relationships/hyperlink" Target="https://www.genome.jp/entry/C04823" TargetMode="External"/><Relationship Id="rId2776" Type="http://schemas.openxmlformats.org/officeDocument/2006/relationships/hyperlink" Target="https://www.genome.jp/entry/C00620" TargetMode="External"/><Relationship Id="rId2983" Type="http://schemas.openxmlformats.org/officeDocument/2006/relationships/hyperlink" Target="https://www.genome.jp/entry/C22160" TargetMode="External"/><Relationship Id="rId748" Type="http://schemas.openxmlformats.org/officeDocument/2006/relationships/hyperlink" Target="https://www.genome.jp/entry/C00010" TargetMode="External"/><Relationship Id="rId955" Type="http://schemas.openxmlformats.org/officeDocument/2006/relationships/hyperlink" Target="https://www.genome.jp/entry/C00010" TargetMode="External"/><Relationship Id="rId1378" Type="http://schemas.openxmlformats.org/officeDocument/2006/relationships/hyperlink" Target="https://www.genome.jp/entry/C00008" TargetMode="External"/><Relationship Id="rId1585" Type="http://schemas.openxmlformats.org/officeDocument/2006/relationships/hyperlink" Target="https://enzyme.expasy.org/EC/2.7.7.6" TargetMode="External"/><Relationship Id="rId1792" Type="http://schemas.openxmlformats.org/officeDocument/2006/relationships/hyperlink" Target="https://www.genome.jp/entry/C00559" TargetMode="External"/><Relationship Id="rId2429" Type="http://schemas.openxmlformats.org/officeDocument/2006/relationships/hyperlink" Target="https://www.genome.jp/entry/C00256" TargetMode="External"/><Relationship Id="rId2636" Type="http://schemas.openxmlformats.org/officeDocument/2006/relationships/hyperlink" Target="https://www.genome.jp/entry/C00680" TargetMode="External"/><Relationship Id="rId2843" Type="http://schemas.openxmlformats.org/officeDocument/2006/relationships/hyperlink" Target="https://www.genome.jp/entry/C02984" TargetMode="External"/><Relationship Id="rId84" Type="http://schemas.openxmlformats.org/officeDocument/2006/relationships/hyperlink" Target="https://www.genome.jp/entry/C08492" TargetMode="External"/><Relationship Id="rId608" Type="http://schemas.openxmlformats.org/officeDocument/2006/relationships/hyperlink" Target="https://enzyme.expasy.org/EC/2.1.1.222" TargetMode="External"/><Relationship Id="rId815" Type="http://schemas.openxmlformats.org/officeDocument/2006/relationships/hyperlink" Target="https://www.genome.jp/entry/C16173" TargetMode="External"/><Relationship Id="rId1238" Type="http://schemas.openxmlformats.org/officeDocument/2006/relationships/hyperlink" Target="https://www.genome.jp/entry/C00002" TargetMode="External"/><Relationship Id="rId1445" Type="http://schemas.openxmlformats.org/officeDocument/2006/relationships/hyperlink" Target="https://www.genome.jp/entry/C00002" TargetMode="External"/><Relationship Id="rId1652" Type="http://schemas.openxmlformats.org/officeDocument/2006/relationships/hyperlink" Target="https://www.genome.jp/entry/C02211" TargetMode="External"/><Relationship Id="rId1305" Type="http://schemas.openxmlformats.org/officeDocument/2006/relationships/hyperlink" Target="https://www.genome.jp/entry/C00002" TargetMode="External"/><Relationship Id="rId2703" Type="http://schemas.openxmlformats.org/officeDocument/2006/relationships/hyperlink" Target="https://www.genome.jp/entry/C00275" TargetMode="External"/><Relationship Id="rId2910" Type="http://schemas.openxmlformats.org/officeDocument/2006/relationships/hyperlink" Target="https://www.genome.jp/entry/C00002" TargetMode="External"/><Relationship Id="rId1512" Type="http://schemas.openxmlformats.org/officeDocument/2006/relationships/hyperlink" Target="https://www.genome.jp/entry/C00008" TargetMode="External"/><Relationship Id="rId11" Type="http://schemas.openxmlformats.org/officeDocument/2006/relationships/hyperlink" Target="https://enzyme.expasy.org/EC/1.1.1.1" TargetMode="External"/><Relationship Id="rId398" Type="http://schemas.openxmlformats.org/officeDocument/2006/relationships/hyperlink" Target="https://www.genome.jp/entry/C01050" TargetMode="External"/><Relationship Id="rId2079" Type="http://schemas.openxmlformats.org/officeDocument/2006/relationships/hyperlink" Target="https://enzyme.expasy.org/EC/3.2.1.26" TargetMode="External"/><Relationship Id="rId2286" Type="http://schemas.openxmlformats.org/officeDocument/2006/relationships/hyperlink" Target="https://www.genome.jp/entry/C01228" TargetMode="External"/><Relationship Id="rId2493" Type="http://schemas.openxmlformats.org/officeDocument/2006/relationships/hyperlink" Target="https://www.genome.jp/entry/C04688" TargetMode="External"/><Relationship Id="rId258" Type="http://schemas.openxmlformats.org/officeDocument/2006/relationships/hyperlink" Target="https://www.genome.jp/entry/C01236" TargetMode="External"/><Relationship Id="rId465" Type="http://schemas.openxmlformats.org/officeDocument/2006/relationships/hyperlink" Target="https://enzyme.expasy.org/EC/1.5.1.2" TargetMode="External"/><Relationship Id="rId672" Type="http://schemas.openxmlformats.org/officeDocument/2006/relationships/hyperlink" Target="https://www.genome.jp/entry/C03838" TargetMode="External"/><Relationship Id="rId1095" Type="http://schemas.openxmlformats.org/officeDocument/2006/relationships/hyperlink" Target="https://www.genome.jp/entry/C01005" TargetMode="External"/><Relationship Id="rId2146" Type="http://schemas.openxmlformats.org/officeDocument/2006/relationships/hyperlink" Target="https://www.genome.jp/entry/C00241" TargetMode="External"/><Relationship Id="rId2353" Type="http://schemas.openxmlformats.org/officeDocument/2006/relationships/hyperlink" Target="https://www.genome.jp/entry/C04352" TargetMode="External"/><Relationship Id="rId2560" Type="http://schemas.openxmlformats.org/officeDocument/2006/relationships/hyperlink" Target="https://www.genome.jp/entry/C04666" TargetMode="External"/><Relationship Id="rId118" Type="http://schemas.openxmlformats.org/officeDocument/2006/relationships/hyperlink" Target="https://www.genome.jp/entry/C04633" TargetMode="External"/><Relationship Id="rId325" Type="http://schemas.openxmlformats.org/officeDocument/2006/relationships/hyperlink" Target="https://enzyme.expasy.org/EC/1.17.4.1" TargetMode="External"/><Relationship Id="rId532" Type="http://schemas.openxmlformats.org/officeDocument/2006/relationships/hyperlink" Target="https://www.genome.jp/entry/C02051" TargetMode="External"/><Relationship Id="rId1162" Type="http://schemas.openxmlformats.org/officeDocument/2006/relationships/hyperlink" Target="https://www.genome.jp/entry/C00002" TargetMode="External"/><Relationship Id="rId2006" Type="http://schemas.openxmlformats.org/officeDocument/2006/relationships/hyperlink" Target="https://www.genome.jp/entry/C04911" TargetMode="External"/><Relationship Id="rId2213" Type="http://schemas.openxmlformats.org/officeDocument/2006/relationships/hyperlink" Target="https://www.genome.jp/entry/C00438" TargetMode="External"/><Relationship Id="rId2420" Type="http://schemas.openxmlformats.org/officeDocument/2006/relationships/hyperlink" Target="https://www.genome.jp/entry/C05817" TargetMode="External"/><Relationship Id="rId1022" Type="http://schemas.openxmlformats.org/officeDocument/2006/relationships/hyperlink" Target="https://www.genome.jp/entry/C03090" TargetMode="External"/><Relationship Id="rId1979" Type="http://schemas.openxmlformats.org/officeDocument/2006/relationships/hyperlink" Target="https://enzyme.expasy.org/EC/3.2.1.22" TargetMode="External"/><Relationship Id="rId1839" Type="http://schemas.openxmlformats.org/officeDocument/2006/relationships/hyperlink" Target="https://enzyme.expasy.org/EC/3.1.3.7" TargetMode="External"/><Relationship Id="rId3054" Type="http://schemas.openxmlformats.org/officeDocument/2006/relationships/hyperlink" Target="https://enzyme.expasy.org/EC/6.3.3.2" TargetMode="External"/><Relationship Id="rId182" Type="http://schemas.openxmlformats.org/officeDocument/2006/relationships/hyperlink" Target="https://www.genome.jp/entry/C00135" TargetMode="External"/><Relationship Id="rId1906" Type="http://schemas.openxmlformats.org/officeDocument/2006/relationships/hyperlink" Target="https://www.genome.jp/entry/C01235" TargetMode="External"/><Relationship Id="rId2070" Type="http://schemas.openxmlformats.org/officeDocument/2006/relationships/hyperlink" Target="https://www.genome.jp/entry/C01613" TargetMode="External"/><Relationship Id="rId3121" Type="http://schemas.openxmlformats.org/officeDocument/2006/relationships/hyperlink" Target="https://www.genome.jp/entry/C00002" TargetMode="External"/><Relationship Id="rId999" Type="http://schemas.openxmlformats.org/officeDocument/2006/relationships/hyperlink" Target="https://www.genome.jp/entry/G10495" TargetMode="External"/><Relationship Id="rId2887" Type="http://schemas.openxmlformats.org/officeDocument/2006/relationships/hyperlink" Target="https://www.genome.jp/entry/C00002" TargetMode="External"/><Relationship Id="rId859" Type="http://schemas.openxmlformats.org/officeDocument/2006/relationships/hyperlink" Target="https://enzyme.expasy.org/EC/2.3.1.16" TargetMode="External"/><Relationship Id="rId1489" Type="http://schemas.openxmlformats.org/officeDocument/2006/relationships/hyperlink" Target="https://enzyme.expasy.org/EC/2.7.4.6" TargetMode="External"/><Relationship Id="rId1696" Type="http://schemas.openxmlformats.org/officeDocument/2006/relationships/hyperlink" Target="https://www.genome.jp/entry/C00269" TargetMode="External"/><Relationship Id="rId1349" Type="http://schemas.openxmlformats.org/officeDocument/2006/relationships/hyperlink" Target="https://enzyme.expasy.org/EC/2.7.1.92" TargetMode="External"/><Relationship Id="rId2747" Type="http://schemas.openxmlformats.org/officeDocument/2006/relationships/hyperlink" Target="https://www.genome.jp/entry/C00129" TargetMode="External"/><Relationship Id="rId2954" Type="http://schemas.openxmlformats.org/officeDocument/2006/relationships/hyperlink" Target="https://enzyme.expasy.org/EC/6.1.1.7" TargetMode="External"/><Relationship Id="rId719" Type="http://schemas.openxmlformats.org/officeDocument/2006/relationships/hyperlink" Target="https://enzyme.expasy.org/EC/2.2.1.6" TargetMode="External"/><Relationship Id="rId926" Type="http://schemas.openxmlformats.org/officeDocument/2006/relationships/hyperlink" Target="https://www.genome.jp/entry/C00020" TargetMode="External"/><Relationship Id="rId1556" Type="http://schemas.openxmlformats.org/officeDocument/2006/relationships/hyperlink" Target="https://www.genome.jp/entry/C00103" TargetMode="External"/><Relationship Id="rId1763" Type="http://schemas.openxmlformats.org/officeDocument/2006/relationships/hyperlink" Target="https://www.genome.jp/entry/C00212" TargetMode="External"/><Relationship Id="rId1970" Type="http://schemas.openxmlformats.org/officeDocument/2006/relationships/hyperlink" Target="https://www.genome.jp/entry/G00501" TargetMode="External"/><Relationship Id="rId2607" Type="http://schemas.openxmlformats.org/officeDocument/2006/relationships/hyperlink" Target="https://enzyme.expasy.org/EC/4.4.1.13" TargetMode="External"/><Relationship Id="rId2814" Type="http://schemas.openxmlformats.org/officeDocument/2006/relationships/hyperlink" Target="https://www.genome.jp/entry/C18094" TargetMode="External"/><Relationship Id="rId55" Type="http://schemas.openxmlformats.org/officeDocument/2006/relationships/hyperlink" Target="https://www.genome.jp/entry/C05577" TargetMode="External"/><Relationship Id="rId1209" Type="http://schemas.openxmlformats.org/officeDocument/2006/relationships/hyperlink" Target="https://www.genome.jp/entry/C00008" TargetMode="External"/><Relationship Id="rId1416" Type="http://schemas.openxmlformats.org/officeDocument/2006/relationships/hyperlink" Target="https://www.genome.jp/entry/C00002" TargetMode="External"/><Relationship Id="rId1623" Type="http://schemas.openxmlformats.org/officeDocument/2006/relationships/hyperlink" Target="https://www.genome.jp/entry/C00013" TargetMode="External"/><Relationship Id="rId1830" Type="http://schemas.openxmlformats.org/officeDocument/2006/relationships/hyperlink" Target="https://www.genome.jp/entry/C06196" TargetMode="External"/><Relationship Id="rId2397" Type="http://schemas.openxmlformats.org/officeDocument/2006/relationships/hyperlink" Target="https://enzyme.expasy.org/EC/4.1.2.13" TargetMode="External"/><Relationship Id="rId369" Type="http://schemas.openxmlformats.org/officeDocument/2006/relationships/hyperlink" Target="https://www.genome.jp/entry/C03082" TargetMode="External"/><Relationship Id="rId576" Type="http://schemas.openxmlformats.org/officeDocument/2006/relationships/hyperlink" Target="https://www.genome.jp/entry/C15653" TargetMode="External"/><Relationship Id="rId783" Type="http://schemas.openxmlformats.org/officeDocument/2006/relationships/hyperlink" Target="https://www.genome.jp/entry/C00010" TargetMode="External"/><Relationship Id="rId990" Type="http://schemas.openxmlformats.org/officeDocument/2006/relationships/hyperlink" Target="https://www.genome.jp/entry/C00718" TargetMode="External"/><Relationship Id="rId2257" Type="http://schemas.openxmlformats.org/officeDocument/2006/relationships/hyperlink" Target="https://enzyme.expasy.org/EC/3.5.99.2" TargetMode="External"/><Relationship Id="rId2464" Type="http://schemas.openxmlformats.org/officeDocument/2006/relationships/hyperlink" Target="https://www.genome.jp/entry/C03195" TargetMode="External"/><Relationship Id="rId2671" Type="http://schemas.openxmlformats.org/officeDocument/2006/relationships/hyperlink" Target="https://www.genome.jp/entry/C00111" TargetMode="External"/><Relationship Id="rId229" Type="http://schemas.openxmlformats.org/officeDocument/2006/relationships/hyperlink" Target="https://enzyme.expasy.org/EC/1.1.1.27" TargetMode="External"/><Relationship Id="rId436" Type="http://schemas.openxmlformats.org/officeDocument/2006/relationships/hyperlink" Target="https://www.genome.jp/entry/C00314" TargetMode="External"/><Relationship Id="rId643" Type="http://schemas.openxmlformats.org/officeDocument/2006/relationships/hyperlink" Target="https://www.genome.jp/entry/C00019" TargetMode="External"/><Relationship Id="rId1066" Type="http://schemas.openxmlformats.org/officeDocument/2006/relationships/hyperlink" Target="https://www.genome.jp/entry/C00019" TargetMode="External"/><Relationship Id="rId1273" Type="http://schemas.openxmlformats.org/officeDocument/2006/relationships/hyperlink" Target="https://www.genome.jp/entry/C00035" TargetMode="External"/><Relationship Id="rId1480" Type="http://schemas.openxmlformats.org/officeDocument/2006/relationships/hyperlink" Target="https://www.genome.jp/entry/C00002" TargetMode="External"/><Relationship Id="rId2117" Type="http://schemas.openxmlformats.org/officeDocument/2006/relationships/hyperlink" Target="https://www.genome.jp/entry/C00031" TargetMode="External"/><Relationship Id="rId2324" Type="http://schemas.openxmlformats.org/officeDocument/2006/relationships/hyperlink" Target="https://www.genome.jp/entry/C06030" TargetMode="External"/><Relationship Id="rId850" Type="http://schemas.openxmlformats.org/officeDocument/2006/relationships/hyperlink" Target="https://www.genome.jp/entry/C23013" TargetMode="External"/><Relationship Id="rId1133" Type="http://schemas.openxmlformats.org/officeDocument/2006/relationships/hyperlink" Target="https://www.genome.jp/entry/C00002" TargetMode="External"/><Relationship Id="rId2531" Type="http://schemas.openxmlformats.org/officeDocument/2006/relationships/hyperlink" Target="https://www.genome.jp/entry/C20904" TargetMode="External"/><Relationship Id="rId503" Type="http://schemas.openxmlformats.org/officeDocument/2006/relationships/hyperlink" Target="https://enzyme.expasy.org/EC/1.5.1.3" TargetMode="External"/><Relationship Id="rId710" Type="http://schemas.openxmlformats.org/officeDocument/2006/relationships/hyperlink" Target="https://www.genome.jp/entry/C00900" TargetMode="External"/><Relationship Id="rId1340" Type="http://schemas.openxmlformats.org/officeDocument/2006/relationships/hyperlink" Target="https://www.genome.jp/entry/C00002" TargetMode="External"/><Relationship Id="rId3098" Type="http://schemas.openxmlformats.org/officeDocument/2006/relationships/hyperlink" Target="https://www.genome.jp/entry/C00253" TargetMode="External"/><Relationship Id="rId1200" Type="http://schemas.openxmlformats.org/officeDocument/2006/relationships/hyperlink" Target="https://www.genome.jp/entry/C00008" TargetMode="External"/><Relationship Id="rId3165" Type="http://schemas.openxmlformats.org/officeDocument/2006/relationships/hyperlink" Target="https://www.genome.jp/entry/C00002" TargetMode="External"/><Relationship Id="rId293" Type="http://schemas.openxmlformats.org/officeDocument/2006/relationships/hyperlink" Target="https://www.genome.jp/entry/C00342" TargetMode="External"/><Relationship Id="rId2181" Type="http://schemas.openxmlformats.org/officeDocument/2006/relationships/hyperlink" Target="https://www.genome.jp/entry/C03078" TargetMode="External"/><Relationship Id="rId3025" Type="http://schemas.openxmlformats.org/officeDocument/2006/relationships/hyperlink" Target="https://www.genome.jp/entry/C00063" TargetMode="External"/><Relationship Id="rId153" Type="http://schemas.openxmlformats.org/officeDocument/2006/relationships/hyperlink" Target="https://www.genome.jp/entry/C00966" TargetMode="External"/><Relationship Id="rId360" Type="http://schemas.openxmlformats.org/officeDocument/2006/relationships/hyperlink" Target="https://www.genome.jp/entry/C00024" TargetMode="External"/><Relationship Id="rId2041" Type="http://schemas.openxmlformats.org/officeDocument/2006/relationships/hyperlink" Target="https://www.genome.jp/entry/G01977" TargetMode="External"/><Relationship Id="rId220" Type="http://schemas.openxmlformats.org/officeDocument/2006/relationships/hyperlink" Target="https://www.genome.jp/entry/C00186" TargetMode="External"/><Relationship Id="rId2998" Type="http://schemas.openxmlformats.org/officeDocument/2006/relationships/hyperlink" Target="https://www.genome.jp/entry/C15972" TargetMode="External"/><Relationship Id="rId2858" Type="http://schemas.openxmlformats.org/officeDocument/2006/relationships/hyperlink" Target="https://www.genome.jp/entry/C00020" TargetMode="External"/><Relationship Id="rId99" Type="http://schemas.openxmlformats.org/officeDocument/2006/relationships/hyperlink" Target="https://www.genome.jp/entry/C00685" TargetMode="External"/><Relationship Id="rId1667" Type="http://schemas.openxmlformats.org/officeDocument/2006/relationships/hyperlink" Target="https://www.genome.jp/entry/C19080" TargetMode="External"/><Relationship Id="rId1874" Type="http://schemas.openxmlformats.org/officeDocument/2006/relationships/hyperlink" Target="https://enzyme.expasy.org/EC/3.2.1.20" TargetMode="External"/><Relationship Id="rId2718" Type="http://schemas.openxmlformats.org/officeDocument/2006/relationships/hyperlink" Target="https://www.genome.jp/entry/C00668" TargetMode="External"/><Relationship Id="rId2925" Type="http://schemas.openxmlformats.org/officeDocument/2006/relationships/hyperlink" Target="https://www.genome.jp/entry/C00002" TargetMode="External"/><Relationship Id="rId1527" Type="http://schemas.openxmlformats.org/officeDocument/2006/relationships/hyperlink" Target="https://www.genome.jp/entry/C22442" TargetMode="External"/><Relationship Id="rId1734" Type="http://schemas.openxmlformats.org/officeDocument/2006/relationships/hyperlink" Target="https://enzyme.expasy.org/EC/3.1.2.20" TargetMode="External"/><Relationship Id="rId1941" Type="http://schemas.openxmlformats.org/officeDocument/2006/relationships/hyperlink" Target="https://www.genome.jp/entry/C05404" TargetMode="External"/><Relationship Id="rId26" Type="http://schemas.openxmlformats.org/officeDocument/2006/relationships/hyperlink" Target="https://enzyme.expasy.org/EC/1.1.1.1" TargetMode="External"/><Relationship Id="rId1801" Type="http://schemas.openxmlformats.org/officeDocument/2006/relationships/hyperlink" Target="https://www.genome.jp/entry/C00364" TargetMode="External"/><Relationship Id="rId687" Type="http://schemas.openxmlformats.org/officeDocument/2006/relationships/hyperlink" Target="https://www.genome.jp/entry/C00169" TargetMode="External"/><Relationship Id="rId2368" Type="http://schemas.openxmlformats.org/officeDocument/2006/relationships/hyperlink" Target="https://www.genome.jp/entry/C06010" TargetMode="External"/><Relationship Id="rId894" Type="http://schemas.openxmlformats.org/officeDocument/2006/relationships/hyperlink" Target="https://www.genome.jp/entry/C05755" TargetMode="External"/><Relationship Id="rId1177" Type="http://schemas.openxmlformats.org/officeDocument/2006/relationships/hyperlink" Target="https://www.genome.jp/entry/C00673" TargetMode="External"/><Relationship Id="rId2575" Type="http://schemas.openxmlformats.org/officeDocument/2006/relationships/hyperlink" Target="https://www.genome.jp/entry/C22441" TargetMode="External"/><Relationship Id="rId2782" Type="http://schemas.openxmlformats.org/officeDocument/2006/relationships/hyperlink" Target="https://www.genome.jp/entry/C00663" TargetMode="External"/><Relationship Id="rId547" Type="http://schemas.openxmlformats.org/officeDocument/2006/relationships/hyperlink" Target="https://www.genome.jp/entry/C00006" TargetMode="External"/><Relationship Id="rId754" Type="http://schemas.openxmlformats.org/officeDocument/2006/relationships/hyperlink" Target="https://enzyme.expasy.org/EC/2.3.1.16" TargetMode="External"/><Relationship Id="rId961" Type="http://schemas.openxmlformats.org/officeDocument/2006/relationships/hyperlink" Target="https://enzyme.expasy.org/EC/2.3.1.8" TargetMode="External"/><Relationship Id="rId1384" Type="http://schemas.openxmlformats.org/officeDocument/2006/relationships/hyperlink" Target="https://enzyme.expasy.org/EC/2.7.3.9" TargetMode="External"/><Relationship Id="rId1591" Type="http://schemas.openxmlformats.org/officeDocument/2006/relationships/hyperlink" Target="https://www.genome.jp/entry/C00044" TargetMode="External"/><Relationship Id="rId2228" Type="http://schemas.openxmlformats.org/officeDocument/2006/relationships/hyperlink" Target="https://enzyme.expasy.org/EC/3.5.4.4" TargetMode="External"/><Relationship Id="rId2435" Type="http://schemas.openxmlformats.org/officeDocument/2006/relationships/hyperlink" Target="https://www.genome.jp/entry/C01267" TargetMode="External"/><Relationship Id="rId2642" Type="http://schemas.openxmlformats.org/officeDocument/2006/relationships/hyperlink" Target="https://enzyme.expasy.org/EC/5.1.3.1" TargetMode="External"/><Relationship Id="rId90" Type="http://schemas.openxmlformats.org/officeDocument/2006/relationships/hyperlink" Target="https://www.genome.jp/entry/C16587" TargetMode="External"/><Relationship Id="rId407" Type="http://schemas.openxmlformats.org/officeDocument/2006/relationships/hyperlink" Target="https://www.genome.jp/entry/C00337" TargetMode="External"/><Relationship Id="rId614" Type="http://schemas.openxmlformats.org/officeDocument/2006/relationships/hyperlink" Target="https://www.genome.jp/entry/C17551" TargetMode="External"/><Relationship Id="rId821" Type="http://schemas.openxmlformats.org/officeDocument/2006/relationships/hyperlink" Target="https://www.genome.jp/entry/C16331" TargetMode="External"/><Relationship Id="rId1037" Type="http://schemas.openxmlformats.org/officeDocument/2006/relationships/hyperlink" Target="https://enzyme.expasy.org/EC/2.4.2.2" TargetMode="External"/><Relationship Id="rId1244" Type="http://schemas.openxmlformats.org/officeDocument/2006/relationships/hyperlink" Target="https://www.genome.jp/entry/C00008" TargetMode="External"/><Relationship Id="rId1451" Type="http://schemas.openxmlformats.org/officeDocument/2006/relationships/hyperlink" Target="https://www.genome.jp/entry/C00002" TargetMode="External"/><Relationship Id="rId2502" Type="http://schemas.openxmlformats.org/officeDocument/2006/relationships/hyperlink" Target="https://www.genome.jp/entry/C05758" TargetMode="External"/><Relationship Id="rId1104" Type="http://schemas.openxmlformats.org/officeDocument/2006/relationships/hyperlink" Target="https://www.genome.jp/entry/C00074" TargetMode="External"/><Relationship Id="rId1311" Type="http://schemas.openxmlformats.org/officeDocument/2006/relationships/hyperlink" Target="https://www.genome.jp/entry/C00002" TargetMode="External"/><Relationship Id="rId3069" Type="http://schemas.openxmlformats.org/officeDocument/2006/relationships/hyperlink" Target="https://enzyme.expasy.org/EC/6.3.4.15" TargetMode="External"/><Relationship Id="rId197" Type="http://schemas.openxmlformats.org/officeDocument/2006/relationships/hyperlink" Target="https://www.genome.jp/entry/C02637" TargetMode="External"/><Relationship Id="rId2085" Type="http://schemas.openxmlformats.org/officeDocument/2006/relationships/hyperlink" Target="https://www.genome.jp/entry/G00278" TargetMode="External"/><Relationship Id="rId2292" Type="http://schemas.openxmlformats.org/officeDocument/2006/relationships/hyperlink" Target="https://enzyme.expasy.org/EC/3.6.1.31" TargetMode="External"/><Relationship Id="rId3136" Type="http://schemas.openxmlformats.org/officeDocument/2006/relationships/hyperlink" Target="https://www.genome.jp/entry/C00002" TargetMode="External"/><Relationship Id="rId264" Type="http://schemas.openxmlformats.org/officeDocument/2006/relationships/hyperlink" Target="https://enzyme.expasy.org/EC/1.1.1.94" TargetMode="External"/><Relationship Id="rId471" Type="http://schemas.openxmlformats.org/officeDocument/2006/relationships/hyperlink" Target="https://www.genome.jp/entry/C00440" TargetMode="External"/><Relationship Id="rId2152" Type="http://schemas.openxmlformats.org/officeDocument/2006/relationships/hyperlink" Target="https://www.genome.jp/entry/C00217" TargetMode="External"/><Relationship Id="rId124" Type="http://schemas.openxmlformats.org/officeDocument/2006/relationships/hyperlink" Target="https://www.genome.jp/entry/C05759" TargetMode="External"/><Relationship Id="rId331" Type="http://schemas.openxmlformats.org/officeDocument/2006/relationships/hyperlink" Target="https://www.genome.jp/entry/C00131" TargetMode="External"/><Relationship Id="rId2012" Type="http://schemas.openxmlformats.org/officeDocument/2006/relationships/hyperlink" Target="https://www.genome.jp/entry/C05394" TargetMode="External"/><Relationship Id="rId2969" Type="http://schemas.openxmlformats.org/officeDocument/2006/relationships/hyperlink" Target="https://enzyme.expasy.org/EC/6.3.1.2" TargetMode="External"/><Relationship Id="rId1778" Type="http://schemas.openxmlformats.org/officeDocument/2006/relationships/hyperlink" Target="https://www.genome.jp/entry/C00294" TargetMode="External"/><Relationship Id="rId1985" Type="http://schemas.openxmlformats.org/officeDocument/2006/relationships/hyperlink" Target="https://www.genome.jp/entry/G10529" TargetMode="External"/><Relationship Id="rId2829" Type="http://schemas.openxmlformats.org/officeDocument/2006/relationships/hyperlink" Target="https://www.genome.jp/entry/C00020" TargetMode="External"/><Relationship Id="rId1638" Type="http://schemas.openxmlformats.org/officeDocument/2006/relationships/hyperlink" Target="https://www.genome.jp/entry/C00013" TargetMode="External"/><Relationship Id="rId1845" Type="http://schemas.openxmlformats.org/officeDocument/2006/relationships/hyperlink" Target="https://www.genome.jp/entry/C00850" TargetMode="External"/><Relationship Id="rId3060" Type="http://schemas.openxmlformats.org/officeDocument/2006/relationships/hyperlink" Target="https://www.genome.jp/entry/C00002" TargetMode="External"/><Relationship Id="rId1705" Type="http://schemas.openxmlformats.org/officeDocument/2006/relationships/hyperlink" Target="https://enzyme.expasy.org/EC/2.7.9.1" TargetMode="External"/><Relationship Id="rId1912" Type="http://schemas.openxmlformats.org/officeDocument/2006/relationships/hyperlink" Target="https://www.genome.jp/entry/C00492" TargetMode="External"/><Relationship Id="rId798" Type="http://schemas.openxmlformats.org/officeDocument/2006/relationships/hyperlink" Target="https://www.genome.jp/entry/C00010" TargetMode="External"/><Relationship Id="rId2479" Type="http://schemas.openxmlformats.org/officeDocument/2006/relationships/hyperlink" Target="https://www.genome.jp/entry/C04246" TargetMode="External"/><Relationship Id="rId2686" Type="http://schemas.openxmlformats.org/officeDocument/2006/relationships/hyperlink" Target="https://www.genome.jp/entry/C00085" TargetMode="External"/><Relationship Id="rId2893" Type="http://schemas.openxmlformats.org/officeDocument/2006/relationships/hyperlink" Target="https://www.genome.jp/entry/C00020" TargetMode="External"/><Relationship Id="rId658" Type="http://schemas.openxmlformats.org/officeDocument/2006/relationships/hyperlink" Target="https://www.genome.jp/entry/C04377" TargetMode="External"/><Relationship Id="rId865" Type="http://schemas.openxmlformats.org/officeDocument/2006/relationships/hyperlink" Target="https://www.genome.jp/entry/C00173" TargetMode="External"/><Relationship Id="rId1288" Type="http://schemas.openxmlformats.org/officeDocument/2006/relationships/hyperlink" Target="https://www.genome.jp/entry/C00104" TargetMode="External"/><Relationship Id="rId1495" Type="http://schemas.openxmlformats.org/officeDocument/2006/relationships/hyperlink" Target="https://www.genome.jp/entry/C00002" TargetMode="External"/><Relationship Id="rId2339" Type="http://schemas.openxmlformats.org/officeDocument/2006/relationships/hyperlink" Target="https://www.genome.jp/entry/C04751" TargetMode="External"/><Relationship Id="rId2546" Type="http://schemas.openxmlformats.org/officeDocument/2006/relationships/hyperlink" Target="https://www.genome.jp/entry/C00022" TargetMode="External"/><Relationship Id="rId2753" Type="http://schemas.openxmlformats.org/officeDocument/2006/relationships/hyperlink" Target="https://www.genome.jp/entry/C07479" TargetMode="External"/><Relationship Id="rId2960" Type="http://schemas.openxmlformats.org/officeDocument/2006/relationships/hyperlink" Target="https://www.genome.jp/entry/C00002" TargetMode="External"/><Relationship Id="rId518" Type="http://schemas.openxmlformats.org/officeDocument/2006/relationships/hyperlink" Target="https://enzyme.expasy.org/EC/1.7.1.7" TargetMode="External"/><Relationship Id="rId725" Type="http://schemas.openxmlformats.org/officeDocument/2006/relationships/hyperlink" Target="https://www.genome.jp/entry/C06010" TargetMode="External"/><Relationship Id="rId932" Type="http://schemas.openxmlformats.org/officeDocument/2006/relationships/hyperlink" Target="https://www.genome.jp/entry/C00173" TargetMode="External"/><Relationship Id="rId1148" Type="http://schemas.openxmlformats.org/officeDocument/2006/relationships/hyperlink" Target="https://www.genome.jp/entry/C00063" TargetMode="External"/><Relationship Id="rId1355" Type="http://schemas.openxmlformats.org/officeDocument/2006/relationships/hyperlink" Target="https://www.genome.jp/entry/C00002" TargetMode="External"/><Relationship Id="rId1562" Type="http://schemas.openxmlformats.org/officeDocument/2006/relationships/hyperlink" Target="https://enzyme.expasy.org/EC/2.7.7.18" TargetMode="External"/><Relationship Id="rId2406" Type="http://schemas.openxmlformats.org/officeDocument/2006/relationships/hyperlink" Target="https://www.genome.jp/entry/C06019" TargetMode="External"/><Relationship Id="rId2613" Type="http://schemas.openxmlformats.org/officeDocument/2006/relationships/hyperlink" Target="https://www.genome.jp/entry/C05689" TargetMode="External"/><Relationship Id="rId1008" Type="http://schemas.openxmlformats.org/officeDocument/2006/relationships/hyperlink" Target="https://www.genome.jp/entry/C05893" TargetMode="External"/><Relationship Id="rId1215" Type="http://schemas.openxmlformats.org/officeDocument/2006/relationships/hyperlink" Target="https://www.genome.jp/entry/C00008" TargetMode="External"/><Relationship Id="rId1422" Type="http://schemas.openxmlformats.org/officeDocument/2006/relationships/hyperlink" Target="https://www.genome.jp/entry/C00008" TargetMode="External"/><Relationship Id="rId2820" Type="http://schemas.openxmlformats.org/officeDocument/2006/relationships/hyperlink" Target="https://enzyme.expasy.org/EC/6.1.1.1" TargetMode="External"/><Relationship Id="rId61" Type="http://schemas.openxmlformats.org/officeDocument/2006/relationships/hyperlink" Target="https://enzyme.expasy.org/EC/1.1.1.1" TargetMode="External"/><Relationship Id="rId2196" Type="http://schemas.openxmlformats.org/officeDocument/2006/relationships/hyperlink" Target="https://www.genome.jp/entry/C09815" TargetMode="External"/><Relationship Id="rId168" Type="http://schemas.openxmlformats.org/officeDocument/2006/relationships/hyperlink" Target="https://www.genome.jp/entry/C00691" TargetMode="External"/><Relationship Id="rId375" Type="http://schemas.openxmlformats.org/officeDocument/2006/relationships/hyperlink" Target="https://www.genome.jp/entry/C03287" TargetMode="External"/><Relationship Id="rId582" Type="http://schemas.openxmlformats.org/officeDocument/2006/relationships/hyperlink" Target="https://www.genome.jp/entry/C05198" TargetMode="External"/><Relationship Id="rId2056" Type="http://schemas.openxmlformats.org/officeDocument/2006/relationships/hyperlink" Target="https://www.genome.jp/entry/G10531" TargetMode="External"/><Relationship Id="rId2263" Type="http://schemas.openxmlformats.org/officeDocument/2006/relationships/hyperlink" Target="https://www.genome.jp/entry/C20267" TargetMode="External"/><Relationship Id="rId2470" Type="http://schemas.openxmlformats.org/officeDocument/2006/relationships/hyperlink" Target="https://www.genome.jp/entry/C00693" TargetMode="External"/><Relationship Id="rId3107" Type="http://schemas.openxmlformats.org/officeDocument/2006/relationships/hyperlink" Target="https://www.genome.jp/entry/C00035" TargetMode="External"/><Relationship Id="rId235" Type="http://schemas.openxmlformats.org/officeDocument/2006/relationships/hyperlink" Target="https://www.genome.jp/entry/C00263" TargetMode="External"/><Relationship Id="rId442" Type="http://schemas.openxmlformats.org/officeDocument/2006/relationships/hyperlink" Target="https://www.genome.jp/entry/C00627" TargetMode="External"/><Relationship Id="rId1072" Type="http://schemas.openxmlformats.org/officeDocument/2006/relationships/hyperlink" Target="https://enzyme.expasy.org/EC/2.5.1.17" TargetMode="External"/><Relationship Id="rId2123" Type="http://schemas.openxmlformats.org/officeDocument/2006/relationships/hyperlink" Target="https://www.genome.jp/entry/C00031" TargetMode="External"/><Relationship Id="rId2330" Type="http://schemas.openxmlformats.org/officeDocument/2006/relationships/hyperlink" Target="https://www.genome.jp/entry/C00041" TargetMode="External"/><Relationship Id="rId302" Type="http://schemas.openxmlformats.org/officeDocument/2006/relationships/hyperlink" Target="https://www.genome.jp/entry/C00705" TargetMode="External"/><Relationship Id="rId1889" Type="http://schemas.openxmlformats.org/officeDocument/2006/relationships/hyperlink" Target="https://enzyme.expasy.org/EC/3.2.1.20" TargetMode="External"/><Relationship Id="rId1749" Type="http://schemas.openxmlformats.org/officeDocument/2006/relationships/hyperlink" Target="https://enzyme.expasy.org/EC/3.1.3.11" TargetMode="External"/><Relationship Id="rId1956" Type="http://schemas.openxmlformats.org/officeDocument/2006/relationships/hyperlink" Target="https://www.genome.jp/entry/G00249" TargetMode="External"/><Relationship Id="rId3171" Type="http://schemas.openxmlformats.org/officeDocument/2006/relationships/hyperlink" Target="https://www.genome.jp/entry/C00014" TargetMode="External"/><Relationship Id="rId1609" Type="http://schemas.openxmlformats.org/officeDocument/2006/relationships/hyperlink" Target="https://www.genome.jp/entry/C00013" TargetMode="External"/><Relationship Id="rId1816" Type="http://schemas.openxmlformats.org/officeDocument/2006/relationships/hyperlink" Target="https://www.genome.jp/entry/C00655" TargetMode="External"/><Relationship Id="rId3031" Type="http://schemas.openxmlformats.org/officeDocument/2006/relationships/hyperlink" Target="https://www.genome.jp/entry/C00002" TargetMode="External"/><Relationship Id="rId2797" Type="http://schemas.openxmlformats.org/officeDocument/2006/relationships/hyperlink" Target="https://www.genome.jp/entry/C15667" TargetMode="External"/><Relationship Id="rId769" Type="http://schemas.openxmlformats.org/officeDocument/2006/relationships/hyperlink" Target="https://enzyme.expasy.org/EC/2.3.1.16" TargetMode="External"/><Relationship Id="rId976" Type="http://schemas.openxmlformats.org/officeDocument/2006/relationships/hyperlink" Target="https://enzyme.expasy.org/EC/2.3.3.10" TargetMode="External"/><Relationship Id="rId1399" Type="http://schemas.openxmlformats.org/officeDocument/2006/relationships/hyperlink" Target="https://enzyme.expasy.org/EC/2.7.4.22" TargetMode="External"/><Relationship Id="rId2657" Type="http://schemas.openxmlformats.org/officeDocument/2006/relationships/hyperlink" Target="https://enzyme.expasy.org/EC/5.1.3.2" TargetMode="External"/><Relationship Id="rId629" Type="http://schemas.openxmlformats.org/officeDocument/2006/relationships/hyperlink" Target="https://www.genome.jp/entry/C00019" TargetMode="External"/><Relationship Id="rId1259" Type="http://schemas.openxmlformats.org/officeDocument/2006/relationships/hyperlink" Target="https://enzyme.expasy.org/EC/2.7.1.39" TargetMode="External"/><Relationship Id="rId1466" Type="http://schemas.openxmlformats.org/officeDocument/2006/relationships/hyperlink" Target="https://www.genome.jp/entry/C00002" TargetMode="External"/><Relationship Id="rId2864" Type="http://schemas.openxmlformats.org/officeDocument/2006/relationships/hyperlink" Target="https://www.genome.jp/entry/C00020" TargetMode="External"/><Relationship Id="rId836" Type="http://schemas.openxmlformats.org/officeDocument/2006/relationships/hyperlink" Target="https://www.genome.jp/entry/C16466" TargetMode="External"/><Relationship Id="rId1119" Type="http://schemas.openxmlformats.org/officeDocument/2006/relationships/hyperlink" Target="https://enzyme.expasy.org/EC/2.6.1.42" TargetMode="External"/><Relationship Id="rId1673" Type="http://schemas.openxmlformats.org/officeDocument/2006/relationships/hyperlink" Target="https://www.genome.jp/entry/C00013" TargetMode="External"/><Relationship Id="rId1880" Type="http://schemas.openxmlformats.org/officeDocument/2006/relationships/hyperlink" Target="https://www.genome.jp/entry/G00275" TargetMode="External"/><Relationship Id="rId2517" Type="http://schemas.openxmlformats.org/officeDocument/2006/relationships/hyperlink" Target="https://enzyme.expasy.org/EC/4.2.99.18" TargetMode="External"/><Relationship Id="rId2724" Type="http://schemas.openxmlformats.org/officeDocument/2006/relationships/hyperlink" Target="https://www.genome.jp/entry/C00092" TargetMode="External"/><Relationship Id="rId2931" Type="http://schemas.openxmlformats.org/officeDocument/2006/relationships/hyperlink" Target="https://www.genome.jp/entry/C00002" TargetMode="External"/><Relationship Id="rId903" Type="http://schemas.openxmlformats.org/officeDocument/2006/relationships/hyperlink" Target="https://www.genome.jp/entry/C05764" TargetMode="External"/><Relationship Id="rId1326" Type="http://schemas.openxmlformats.org/officeDocument/2006/relationships/hyperlink" Target="https://www.genome.jp/entry/C16633" TargetMode="External"/><Relationship Id="rId1533" Type="http://schemas.openxmlformats.org/officeDocument/2006/relationships/hyperlink" Target="https://enzyme.expasy.org/EC/2.7.4.9" TargetMode="External"/><Relationship Id="rId1740" Type="http://schemas.openxmlformats.org/officeDocument/2006/relationships/hyperlink" Target="https://www.genome.jp/entry/C00354" TargetMode="External"/><Relationship Id="rId32" Type="http://schemas.openxmlformats.org/officeDocument/2006/relationships/hyperlink" Target="https://www.genome.jp/entry/C00756" TargetMode="External"/><Relationship Id="rId1600" Type="http://schemas.openxmlformats.org/officeDocument/2006/relationships/hyperlink" Target="https://enzyme.expasy.org/EC/2.7.7.6" TargetMode="External"/><Relationship Id="rId279" Type="http://schemas.openxmlformats.org/officeDocument/2006/relationships/hyperlink" Target="https://www.genome.jp/entry/C00027" TargetMode="External"/><Relationship Id="rId486" Type="http://schemas.openxmlformats.org/officeDocument/2006/relationships/hyperlink" Target="https://www.genome.jp/entry/C00504" TargetMode="External"/><Relationship Id="rId693" Type="http://schemas.openxmlformats.org/officeDocument/2006/relationships/hyperlink" Target="https://www.genome.jp/entry/C00279" TargetMode="External"/><Relationship Id="rId2167" Type="http://schemas.openxmlformats.org/officeDocument/2006/relationships/hyperlink" Target="https://www.genome.jp/entry/C01659" TargetMode="External"/><Relationship Id="rId2374" Type="http://schemas.openxmlformats.org/officeDocument/2006/relationships/hyperlink" Target="https://www.genome.jp/entry/C14899" TargetMode="External"/><Relationship Id="rId2581" Type="http://schemas.openxmlformats.org/officeDocument/2006/relationships/hyperlink" Target="https://www.genome.jp/entry/C00145" TargetMode="External"/><Relationship Id="rId139" Type="http://schemas.openxmlformats.org/officeDocument/2006/relationships/hyperlink" Target="https://enzyme.expasy.org/EC/1.1.1.100" TargetMode="External"/><Relationship Id="rId346" Type="http://schemas.openxmlformats.org/officeDocument/2006/relationships/hyperlink" Target="https://www.genome.jp/entry/C00460" TargetMode="External"/><Relationship Id="rId553" Type="http://schemas.openxmlformats.org/officeDocument/2006/relationships/hyperlink" Target="https://enzyme.expasy.org/EC/1.8.1.9" TargetMode="External"/><Relationship Id="rId760" Type="http://schemas.openxmlformats.org/officeDocument/2006/relationships/hyperlink" Target="https://www.genome.jp/entry/C00040" TargetMode="External"/><Relationship Id="rId1183" Type="http://schemas.openxmlformats.org/officeDocument/2006/relationships/hyperlink" Target="https://www.genome.jp/entry/C00002" TargetMode="External"/><Relationship Id="rId1390" Type="http://schemas.openxmlformats.org/officeDocument/2006/relationships/hyperlink" Target="https://www.genome.jp/entry/C00002" TargetMode="External"/><Relationship Id="rId2027" Type="http://schemas.openxmlformats.org/officeDocument/2006/relationships/hyperlink" Target="https://www.genome.jp/entry/G10238" TargetMode="External"/><Relationship Id="rId2234" Type="http://schemas.openxmlformats.org/officeDocument/2006/relationships/hyperlink" Target="https://www.genome.jp/entry/C00559" TargetMode="External"/><Relationship Id="rId2441" Type="http://schemas.openxmlformats.org/officeDocument/2006/relationships/hyperlink" Target="https://www.genome.jp/entry/C00149" TargetMode="External"/><Relationship Id="rId206" Type="http://schemas.openxmlformats.org/officeDocument/2006/relationships/hyperlink" Target="https://www.genome.jp/entry/C06055" TargetMode="External"/><Relationship Id="rId413" Type="http://schemas.openxmlformats.org/officeDocument/2006/relationships/hyperlink" Target="https://www.genome.jp/entry/C00025" TargetMode="External"/><Relationship Id="rId1043" Type="http://schemas.openxmlformats.org/officeDocument/2006/relationships/hyperlink" Target="https://www.genome.jp/entry/C00655" TargetMode="External"/><Relationship Id="rId620" Type="http://schemas.openxmlformats.org/officeDocument/2006/relationships/hyperlink" Target="https://www.genome.jp/entry/C00019" TargetMode="External"/><Relationship Id="rId1250" Type="http://schemas.openxmlformats.org/officeDocument/2006/relationships/hyperlink" Target="https://www.genome.jp/entry/C00002" TargetMode="External"/><Relationship Id="rId2301" Type="http://schemas.openxmlformats.org/officeDocument/2006/relationships/hyperlink" Target="https://www.genome.jp/entry/C00008" TargetMode="External"/><Relationship Id="rId1110" Type="http://schemas.openxmlformats.org/officeDocument/2006/relationships/hyperlink" Target="https://www.genome.jp/entry/C05847" TargetMode="External"/><Relationship Id="rId1927" Type="http://schemas.openxmlformats.org/officeDocument/2006/relationships/hyperlink" Target="https://www.genome.jp/entry/C00159" TargetMode="External"/><Relationship Id="rId3075" Type="http://schemas.openxmlformats.org/officeDocument/2006/relationships/hyperlink" Target="https://www.genome.jp/entry/C05921" TargetMode="External"/><Relationship Id="rId2091" Type="http://schemas.openxmlformats.org/officeDocument/2006/relationships/hyperlink" Target="https://www.genome.jp/entry/G10508" TargetMode="External"/><Relationship Id="rId3142" Type="http://schemas.openxmlformats.org/officeDocument/2006/relationships/hyperlink" Target="https://www.genome.jp/entry/C00020" TargetMode="External"/><Relationship Id="rId270" Type="http://schemas.openxmlformats.org/officeDocument/2006/relationships/hyperlink" Target="https://www.genome.jp/entry/C00093" TargetMode="External"/><Relationship Id="rId3002" Type="http://schemas.openxmlformats.org/officeDocument/2006/relationships/hyperlink" Target="https://www.genome.jp/entry/C16237" TargetMode="External"/><Relationship Id="rId130" Type="http://schemas.openxmlformats.org/officeDocument/2006/relationships/hyperlink" Target="https://www.genome.jp/entry/C05746" TargetMode="External"/><Relationship Id="rId2768" Type="http://schemas.openxmlformats.org/officeDocument/2006/relationships/hyperlink" Target="https://www.genome.jp/entry/C00197" TargetMode="External"/><Relationship Id="rId2975" Type="http://schemas.openxmlformats.org/officeDocument/2006/relationships/hyperlink" Target="https://www.genome.jp/entry/C00002" TargetMode="External"/><Relationship Id="rId947" Type="http://schemas.openxmlformats.org/officeDocument/2006/relationships/hyperlink" Target="https://www.genome.jp/entry/C00083" TargetMode="External"/><Relationship Id="rId1577" Type="http://schemas.openxmlformats.org/officeDocument/2006/relationships/hyperlink" Target="https://www.genome.jp/entry/C00002" TargetMode="External"/><Relationship Id="rId1784" Type="http://schemas.openxmlformats.org/officeDocument/2006/relationships/hyperlink" Target="https://enzyme.expasy.org/EC/3.1.3.5" TargetMode="External"/><Relationship Id="rId1991" Type="http://schemas.openxmlformats.org/officeDocument/2006/relationships/hyperlink" Target="https://www.genome.jp/entry/C00243" TargetMode="External"/><Relationship Id="rId2628" Type="http://schemas.openxmlformats.org/officeDocument/2006/relationships/hyperlink" Target="https://www.genome.jp/entry/C00025" TargetMode="External"/><Relationship Id="rId2835" Type="http://schemas.openxmlformats.org/officeDocument/2006/relationships/hyperlink" Target="https://enzyme.expasy.org/EC/6.1.1.11" TargetMode="External"/><Relationship Id="rId76" Type="http://schemas.openxmlformats.org/officeDocument/2006/relationships/hyperlink" Target="https://enzyme.expasy.org/EC/1.1.1.1" TargetMode="External"/><Relationship Id="rId807" Type="http://schemas.openxmlformats.org/officeDocument/2006/relationships/hyperlink" Target="https://www.genome.jp/entry/C00512" TargetMode="External"/><Relationship Id="rId1437" Type="http://schemas.openxmlformats.org/officeDocument/2006/relationships/hyperlink" Target="https://www.genome.jp/entry/C00008" TargetMode="External"/><Relationship Id="rId1644" Type="http://schemas.openxmlformats.org/officeDocument/2006/relationships/hyperlink" Target="https://www.genome.jp/entry/C00013" TargetMode="External"/><Relationship Id="rId1851" Type="http://schemas.openxmlformats.org/officeDocument/2006/relationships/hyperlink" Target="https://www.genome.jp/entry/C02538" TargetMode="External"/><Relationship Id="rId2902" Type="http://schemas.openxmlformats.org/officeDocument/2006/relationships/hyperlink" Target="https://www.genome.jp/entry/C01641" TargetMode="External"/><Relationship Id="rId1504" Type="http://schemas.openxmlformats.org/officeDocument/2006/relationships/hyperlink" Target="https://enzyme.expasy.org/EC/2.7.4.6" TargetMode="External"/><Relationship Id="rId1711" Type="http://schemas.openxmlformats.org/officeDocument/2006/relationships/hyperlink" Target="https://www.genome.jp/entry/C00868" TargetMode="External"/><Relationship Id="rId597" Type="http://schemas.openxmlformats.org/officeDocument/2006/relationships/hyperlink" Target="https://www.genome.jp/entry/C00021" TargetMode="External"/><Relationship Id="rId2278" Type="http://schemas.openxmlformats.org/officeDocument/2006/relationships/hyperlink" Target="https://www.genome.jp/entry/C00404" TargetMode="External"/><Relationship Id="rId2485" Type="http://schemas.openxmlformats.org/officeDocument/2006/relationships/hyperlink" Target="https://www.genome.jp/entry/C04620" TargetMode="External"/><Relationship Id="rId457" Type="http://schemas.openxmlformats.org/officeDocument/2006/relationships/hyperlink" Target="https://www.genome.jp/entry/C00148" TargetMode="External"/><Relationship Id="rId1087" Type="http://schemas.openxmlformats.org/officeDocument/2006/relationships/hyperlink" Target="https://enzyme.expasy.org/EC/2.5.1.47" TargetMode="External"/><Relationship Id="rId1294" Type="http://schemas.openxmlformats.org/officeDocument/2006/relationships/hyperlink" Target="https://enzyme.expasy.org/EC/2.7.1.40" TargetMode="External"/><Relationship Id="rId2138" Type="http://schemas.openxmlformats.org/officeDocument/2006/relationships/hyperlink" Target="https://www.genome.jp/entry/C22288" TargetMode="External"/><Relationship Id="rId2692" Type="http://schemas.openxmlformats.org/officeDocument/2006/relationships/hyperlink" Target="https://enzyme.expasy.org/EC/5.3.1.27" TargetMode="External"/><Relationship Id="rId664" Type="http://schemas.openxmlformats.org/officeDocument/2006/relationships/hyperlink" Target="https://www.genome.jp/entry/C00101" TargetMode="External"/><Relationship Id="rId871" Type="http://schemas.openxmlformats.org/officeDocument/2006/relationships/hyperlink" Target="https://www.genome.jp/entry/C03939" TargetMode="External"/><Relationship Id="rId2345" Type="http://schemas.openxmlformats.org/officeDocument/2006/relationships/hyperlink" Target="https://www.genome.jp/entry/C00105" TargetMode="External"/><Relationship Id="rId2552" Type="http://schemas.openxmlformats.org/officeDocument/2006/relationships/hyperlink" Target="https://enzyme.expasy.org/EC/4.3.2.10" TargetMode="External"/><Relationship Id="rId317" Type="http://schemas.openxmlformats.org/officeDocument/2006/relationships/hyperlink" Target="https://www.genome.jp/entry/C04232" TargetMode="External"/><Relationship Id="rId524" Type="http://schemas.openxmlformats.org/officeDocument/2006/relationships/hyperlink" Target="https://www.genome.jp/entry/C00579" TargetMode="External"/><Relationship Id="rId731" Type="http://schemas.openxmlformats.org/officeDocument/2006/relationships/hyperlink" Target="https://www.genome.jp/entry/C00093" TargetMode="External"/><Relationship Id="rId1154" Type="http://schemas.openxmlformats.org/officeDocument/2006/relationships/hyperlink" Target="https://enzyme.expasy.org/EC/2.7.1.11" TargetMode="External"/><Relationship Id="rId1361" Type="http://schemas.openxmlformats.org/officeDocument/2006/relationships/hyperlink" Target="https://www.genome.jp/entry/C00002" TargetMode="External"/><Relationship Id="rId2205" Type="http://schemas.openxmlformats.org/officeDocument/2006/relationships/hyperlink" Target="https://www.genome.jp/entry/C11439" TargetMode="External"/><Relationship Id="rId2412" Type="http://schemas.openxmlformats.org/officeDocument/2006/relationships/hyperlink" Target="https://enzyme.expasy.org/EC/4.1.3.6" TargetMode="External"/><Relationship Id="rId1014" Type="http://schemas.openxmlformats.org/officeDocument/2006/relationships/hyperlink" Target="https://www.genome.jp/entry/G10550" TargetMode="External"/><Relationship Id="rId1221" Type="http://schemas.openxmlformats.org/officeDocument/2006/relationships/hyperlink" Target="https://enzyme.expasy.org/EC/2.7.1.23" TargetMode="External"/><Relationship Id="rId3186" Type="http://schemas.openxmlformats.org/officeDocument/2006/relationships/hyperlink" Target="https://www.genome.jp/entry/C00002" TargetMode="External"/><Relationship Id="rId3046" Type="http://schemas.openxmlformats.org/officeDocument/2006/relationships/hyperlink" Target="https://www.genome.jp/entry/C00002" TargetMode="External"/><Relationship Id="rId174" Type="http://schemas.openxmlformats.org/officeDocument/2006/relationships/hyperlink" Target="https://enzyme.expasy.org/EC/1.1.1.205" TargetMode="External"/><Relationship Id="rId381" Type="http://schemas.openxmlformats.org/officeDocument/2006/relationships/hyperlink" Target="https://enzyme.expasy.org/EC/1.20.4.4" TargetMode="External"/><Relationship Id="rId2062" Type="http://schemas.openxmlformats.org/officeDocument/2006/relationships/hyperlink" Target="https://www.genome.jp/entry/C00124" TargetMode="External"/><Relationship Id="rId3113" Type="http://schemas.openxmlformats.org/officeDocument/2006/relationships/hyperlink" Target="https://www.genome.jp/entry/C00020" TargetMode="External"/><Relationship Id="rId241" Type="http://schemas.openxmlformats.org/officeDocument/2006/relationships/hyperlink" Target="https://www.genome.jp/entry/C0026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entry/C00002" TargetMode="External"/><Relationship Id="rId21" Type="http://schemas.openxmlformats.org/officeDocument/2006/relationships/hyperlink" Target="https://www.genome.jp/entry/C00002" TargetMode="External"/><Relationship Id="rId324" Type="http://schemas.openxmlformats.org/officeDocument/2006/relationships/hyperlink" Target="https://www.genome.jp/entry/C00458" TargetMode="External"/><Relationship Id="rId531" Type="http://schemas.openxmlformats.org/officeDocument/2006/relationships/hyperlink" Target="https://www.genome.jp/entry/C06019" TargetMode="External"/><Relationship Id="rId629" Type="http://schemas.openxmlformats.org/officeDocument/2006/relationships/hyperlink" Target="https://www.genome.jp/entry/G10531" TargetMode="External"/><Relationship Id="rId170" Type="http://schemas.openxmlformats.org/officeDocument/2006/relationships/hyperlink" Target="https://www.genome.jp/entry/C00024" TargetMode="External"/><Relationship Id="rId268" Type="http://schemas.openxmlformats.org/officeDocument/2006/relationships/hyperlink" Target="https://www.genome.jp/entry/C00201" TargetMode="External"/><Relationship Id="rId475" Type="http://schemas.openxmlformats.org/officeDocument/2006/relationships/hyperlink" Target="https://www.genome.jp/entry/C04633" TargetMode="External"/><Relationship Id="rId32" Type="http://schemas.openxmlformats.org/officeDocument/2006/relationships/hyperlink" Target="https://www.genome.jp/entry/C00002" TargetMode="External"/><Relationship Id="rId128" Type="http://schemas.openxmlformats.org/officeDocument/2006/relationships/hyperlink" Target="https://www.genome.jp/entry/C00002" TargetMode="External"/><Relationship Id="rId335" Type="http://schemas.openxmlformats.org/officeDocument/2006/relationships/hyperlink" Target="https://www.genome.jp/entry/C00522" TargetMode="External"/><Relationship Id="rId542" Type="http://schemas.openxmlformats.org/officeDocument/2006/relationships/hyperlink" Target="https://www.genome.jp/entry/C06188" TargetMode="External"/><Relationship Id="rId181" Type="http://schemas.openxmlformats.org/officeDocument/2006/relationships/hyperlink" Target="https://www.genome.jp/entry/C00043" TargetMode="External"/><Relationship Id="rId402" Type="http://schemas.openxmlformats.org/officeDocument/2006/relationships/hyperlink" Target="https://www.genome.jp/entry/C01528" TargetMode="External"/><Relationship Id="rId279" Type="http://schemas.openxmlformats.org/officeDocument/2006/relationships/hyperlink" Target="https://www.genome.jp/entry/C00243" TargetMode="External"/><Relationship Id="rId486" Type="http://schemas.openxmlformats.org/officeDocument/2006/relationships/hyperlink" Target="https://www.genome.jp/entry/C04882" TargetMode="External"/><Relationship Id="rId43" Type="http://schemas.openxmlformats.org/officeDocument/2006/relationships/hyperlink" Target="https://www.genome.jp/entry/C00002" TargetMode="External"/><Relationship Id="rId139" Type="http://schemas.openxmlformats.org/officeDocument/2006/relationships/hyperlink" Target="https://www.genome.jp/entry/C00002" TargetMode="External"/><Relationship Id="rId346" Type="http://schemas.openxmlformats.org/officeDocument/2006/relationships/hyperlink" Target="https://www.genome.jp/entry/C00647" TargetMode="External"/><Relationship Id="rId553" Type="http://schemas.openxmlformats.org/officeDocument/2006/relationships/hyperlink" Target="https://www.genome.jp/entry/C07645" TargetMode="External"/><Relationship Id="rId192" Type="http://schemas.openxmlformats.org/officeDocument/2006/relationships/hyperlink" Target="https://www.genome.jp/entry/C00063" TargetMode="External"/><Relationship Id="rId206" Type="http://schemas.openxmlformats.org/officeDocument/2006/relationships/hyperlink" Target="https://www.genome.jp/entry/C00074" TargetMode="External"/><Relationship Id="rId413" Type="http://schemas.openxmlformats.org/officeDocument/2006/relationships/hyperlink" Target="https://www.genome.jp/entry/C02211" TargetMode="External"/><Relationship Id="rId497" Type="http://schemas.openxmlformats.org/officeDocument/2006/relationships/hyperlink" Target="https://www.genome.jp/entry/C05378" TargetMode="External"/><Relationship Id="rId620" Type="http://schemas.openxmlformats.org/officeDocument/2006/relationships/hyperlink" Target="https://www.genome.jp/entry/G01275" TargetMode="External"/><Relationship Id="rId357" Type="http://schemas.openxmlformats.org/officeDocument/2006/relationships/hyperlink" Target="https://www.genome.jp/entry/C00673" TargetMode="External"/><Relationship Id="rId54" Type="http://schemas.openxmlformats.org/officeDocument/2006/relationships/hyperlink" Target="https://www.genome.jp/entry/C00002" TargetMode="External"/><Relationship Id="rId217" Type="http://schemas.openxmlformats.org/officeDocument/2006/relationships/hyperlink" Target="https://www.genome.jp/entry/C00091" TargetMode="External"/><Relationship Id="rId564" Type="http://schemas.openxmlformats.org/officeDocument/2006/relationships/hyperlink" Target="https://www.genome.jp/entry/C15667" TargetMode="External"/><Relationship Id="rId424" Type="http://schemas.openxmlformats.org/officeDocument/2006/relationships/hyperlink" Target="https://www.genome.jp/entry/C02637" TargetMode="External"/><Relationship Id="rId631" Type="http://schemas.openxmlformats.org/officeDocument/2006/relationships/hyperlink" Target="https://www.genome.jp/entry/G10545" TargetMode="External"/><Relationship Id="rId270" Type="http://schemas.openxmlformats.org/officeDocument/2006/relationships/hyperlink" Target="https://www.genome.jp/entry/C00208" TargetMode="External"/><Relationship Id="rId65" Type="http://schemas.openxmlformats.org/officeDocument/2006/relationships/hyperlink" Target="https://www.genome.jp/entry/C00002" TargetMode="External"/><Relationship Id="rId130" Type="http://schemas.openxmlformats.org/officeDocument/2006/relationships/hyperlink" Target="https://www.genome.jp/entry/C00002" TargetMode="External"/><Relationship Id="rId368" Type="http://schemas.openxmlformats.org/officeDocument/2006/relationships/hyperlink" Target="https://www.genome.jp/entry/C00860" TargetMode="External"/><Relationship Id="rId575" Type="http://schemas.openxmlformats.org/officeDocument/2006/relationships/hyperlink" Target="https://www.genome.jp/entry/C16471" TargetMode="External"/><Relationship Id="rId228" Type="http://schemas.openxmlformats.org/officeDocument/2006/relationships/hyperlink" Target="https://www.genome.jp/entry/C00101" TargetMode="External"/><Relationship Id="rId435" Type="http://schemas.openxmlformats.org/officeDocument/2006/relationships/hyperlink" Target="https://www.genome.jp/entry/C02972" TargetMode="External"/><Relationship Id="rId281" Type="http://schemas.openxmlformats.org/officeDocument/2006/relationships/hyperlink" Target="https://www.genome.jp/entry/C00256" TargetMode="External"/><Relationship Id="rId502" Type="http://schemas.openxmlformats.org/officeDocument/2006/relationships/hyperlink" Target="https://www.genome.jp/entry/C05401" TargetMode="External"/><Relationship Id="rId76" Type="http://schemas.openxmlformats.org/officeDocument/2006/relationships/hyperlink" Target="https://www.genome.jp/entry/C00002" TargetMode="External"/><Relationship Id="rId141" Type="http://schemas.openxmlformats.org/officeDocument/2006/relationships/hyperlink" Target="https://www.genome.jp/entry/C00002" TargetMode="External"/><Relationship Id="rId379" Type="http://schemas.openxmlformats.org/officeDocument/2006/relationships/hyperlink" Target="https://www.genome.jp/entry/C01094" TargetMode="External"/><Relationship Id="rId586" Type="http://schemas.openxmlformats.org/officeDocument/2006/relationships/hyperlink" Target="https://www.genome.jp/entry/C17562" TargetMode="External"/><Relationship Id="rId7" Type="http://schemas.openxmlformats.org/officeDocument/2006/relationships/hyperlink" Target="https://www.genome.jp/entry/C00025" TargetMode="External"/><Relationship Id="rId239" Type="http://schemas.openxmlformats.org/officeDocument/2006/relationships/hyperlink" Target="https://www.genome.jp/entry/C00117" TargetMode="External"/><Relationship Id="rId446" Type="http://schemas.openxmlformats.org/officeDocument/2006/relationships/hyperlink" Target="https://www.genome.jp/entry/C03620" TargetMode="External"/><Relationship Id="rId292" Type="http://schemas.openxmlformats.org/officeDocument/2006/relationships/hyperlink" Target="https://www.genome.jp/entry/C00337" TargetMode="External"/><Relationship Id="rId306" Type="http://schemas.openxmlformats.org/officeDocument/2006/relationships/hyperlink" Target="https://www.genome.jp/entry/C00364" TargetMode="External"/><Relationship Id="rId87" Type="http://schemas.openxmlformats.org/officeDocument/2006/relationships/hyperlink" Target="https://www.genome.jp/entry/C00002" TargetMode="External"/><Relationship Id="rId513" Type="http://schemas.openxmlformats.org/officeDocument/2006/relationships/hyperlink" Target="https://www.genome.jp/entry/C05747" TargetMode="External"/><Relationship Id="rId597" Type="http://schemas.openxmlformats.org/officeDocument/2006/relationships/hyperlink" Target="https://www.genome.jp/entry/C20377" TargetMode="External"/><Relationship Id="rId152" Type="http://schemas.openxmlformats.org/officeDocument/2006/relationships/hyperlink" Target="https://www.genome.jp/entry/C00019" TargetMode="External"/><Relationship Id="rId457" Type="http://schemas.openxmlformats.org/officeDocument/2006/relationships/hyperlink" Target="https://www.genome.jp/entry/C04232" TargetMode="External"/><Relationship Id="rId14" Type="http://schemas.openxmlformats.org/officeDocument/2006/relationships/hyperlink" Target="https://www.genome.jp/entry/C00002" TargetMode="External"/><Relationship Id="rId317" Type="http://schemas.openxmlformats.org/officeDocument/2006/relationships/hyperlink" Target="https://www.genome.jp/entry/C00441" TargetMode="External"/><Relationship Id="rId524" Type="http://schemas.openxmlformats.org/officeDocument/2006/relationships/hyperlink" Target="https://www.genome.jp/entry/C05847" TargetMode="External"/><Relationship Id="rId98" Type="http://schemas.openxmlformats.org/officeDocument/2006/relationships/hyperlink" Target="https://www.genome.jp/entry/C00002" TargetMode="External"/><Relationship Id="rId163" Type="http://schemas.openxmlformats.org/officeDocument/2006/relationships/hyperlink" Target="https://www.genome.jp/entry/C00022" TargetMode="External"/><Relationship Id="rId370" Type="http://schemas.openxmlformats.org/officeDocument/2006/relationships/hyperlink" Target="https://www.genome.jp/entry/C00868" TargetMode="External"/><Relationship Id="rId230" Type="http://schemas.openxmlformats.org/officeDocument/2006/relationships/hyperlink" Target="https://www.genome.jp/entry/C00101" TargetMode="External"/><Relationship Id="rId468" Type="http://schemas.openxmlformats.org/officeDocument/2006/relationships/hyperlink" Target="https://www.genome.jp/entry/C04574" TargetMode="External"/><Relationship Id="rId25" Type="http://schemas.openxmlformats.org/officeDocument/2006/relationships/hyperlink" Target="https://www.genome.jp/entry/C00002" TargetMode="External"/><Relationship Id="rId328" Type="http://schemas.openxmlformats.org/officeDocument/2006/relationships/hyperlink" Target="https://www.genome.jp/entry/C00473" TargetMode="External"/><Relationship Id="rId535" Type="http://schemas.openxmlformats.org/officeDocument/2006/relationships/hyperlink" Target="https://www.genome.jp/entry/C06055" TargetMode="External"/><Relationship Id="rId174" Type="http://schemas.openxmlformats.org/officeDocument/2006/relationships/hyperlink" Target="https://www.genome.jp/entry/C00025" TargetMode="External"/><Relationship Id="rId381" Type="http://schemas.openxmlformats.org/officeDocument/2006/relationships/hyperlink" Target="https://www.genome.jp/entry/C01100" TargetMode="External"/><Relationship Id="rId602" Type="http://schemas.openxmlformats.org/officeDocument/2006/relationships/hyperlink" Target="https://www.genome.jp/entry/C22441" TargetMode="External"/><Relationship Id="rId241" Type="http://schemas.openxmlformats.org/officeDocument/2006/relationships/hyperlink" Target="https://www.genome.jp/entry/C00129" TargetMode="External"/><Relationship Id="rId479" Type="http://schemas.openxmlformats.org/officeDocument/2006/relationships/hyperlink" Target="https://www.genome.jp/entry/C04688" TargetMode="External"/><Relationship Id="rId36" Type="http://schemas.openxmlformats.org/officeDocument/2006/relationships/hyperlink" Target="https://www.genome.jp/entry/C00002" TargetMode="External"/><Relationship Id="rId339" Type="http://schemas.openxmlformats.org/officeDocument/2006/relationships/hyperlink" Target="https://www.genome.jp/entry/C00606" TargetMode="External"/><Relationship Id="rId546" Type="http://schemas.openxmlformats.org/officeDocument/2006/relationships/hyperlink" Target="https://www.genome.jp/entry/C06612" TargetMode="External"/><Relationship Id="rId101" Type="http://schemas.openxmlformats.org/officeDocument/2006/relationships/hyperlink" Target="https://www.genome.jp/entry/C00002" TargetMode="External"/><Relationship Id="rId185" Type="http://schemas.openxmlformats.org/officeDocument/2006/relationships/hyperlink" Target="https://www.genome.jp/entry/C00044" TargetMode="External"/><Relationship Id="rId406" Type="http://schemas.openxmlformats.org/officeDocument/2006/relationships/hyperlink" Target="https://www.genome.jp/entry/C01638" TargetMode="External"/><Relationship Id="rId9" Type="http://schemas.openxmlformats.org/officeDocument/2006/relationships/hyperlink" Target="https://www.genome.jp/entry/C00001" TargetMode="External"/><Relationship Id="rId210" Type="http://schemas.openxmlformats.org/officeDocument/2006/relationships/hyperlink" Target="https://www.genome.jp/entry/C00075" TargetMode="External"/><Relationship Id="rId392" Type="http://schemas.openxmlformats.org/officeDocument/2006/relationships/hyperlink" Target="https://www.genome.jp/entry/C01185" TargetMode="External"/><Relationship Id="rId448" Type="http://schemas.openxmlformats.org/officeDocument/2006/relationships/hyperlink" Target="https://www.genome.jp/entry/C03798" TargetMode="External"/><Relationship Id="rId613" Type="http://schemas.openxmlformats.org/officeDocument/2006/relationships/hyperlink" Target="https://www.genome.jp/entry/G00275" TargetMode="External"/><Relationship Id="rId252" Type="http://schemas.openxmlformats.org/officeDocument/2006/relationships/hyperlink" Target="https://www.genome.jp/entry/C00144" TargetMode="External"/><Relationship Id="rId294" Type="http://schemas.openxmlformats.org/officeDocument/2006/relationships/hyperlink" Target="https://www.genome.jp/entry/C00337" TargetMode="External"/><Relationship Id="rId308" Type="http://schemas.openxmlformats.org/officeDocument/2006/relationships/hyperlink" Target="https://www.genome.jp/entry/C00365" TargetMode="External"/><Relationship Id="rId515" Type="http://schemas.openxmlformats.org/officeDocument/2006/relationships/hyperlink" Target="https://www.genome.jp/entry/C05752" TargetMode="External"/><Relationship Id="rId47" Type="http://schemas.openxmlformats.org/officeDocument/2006/relationships/hyperlink" Target="https://www.genome.jp/entry/C00002" TargetMode="External"/><Relationship Id="rId89" Type="http://schemas.openxmlformats.org/officeDocument/2006/relationships/hyperlink" Target="https://www.genome.jp/entry/C00002" TargetMode="External"/><Relationship Id="rId112" Type="http://schemas.openxmlformats.org/officeDocument/2006/relationships/hyperlink" Target="https://www.genome.jp/entry/C00002" TargetMode="External"/><Relationship Id="rId154" Type="http://schemas.openxmlformats.org/officeDocument/2006/relationships/hyperlink" Target="https://www.genome.jp/entry/C00019" TargetMode="External"/><Relationship Id="rId361" Type="http://schemas.openxmlformats.org/officeDocument/2006/relationships/hyperlink" Target="https://www.genome.jp/entry/C00691" TargetMode="External"/><Relationship Id="rId557" Type="http://schemas.openxmlformats.org/officeDocument/2006/relationships/hyperlink" Target="https://www.genome.jp/entry/C11039" TargetMode="External"/><Relationship Id="rId599" Type="http://schemas.openxmlformats.org/officeDocument/2006/relationships/hyperlink" Target="https://www.genome.jp/entry/C20904" TargetMode="External"/><Relationship Id="rId196" Type="http://schemas.openxmlformats.org/officeDocument/2006/relationships/hyperlink" Target="https://www.genome.jp/entry/C00064" TargetMode="External"/><Relationship Id="rId417" Type="http://schemas.openxmlformats.org/officeDocument/2006/relationships/hyperlink" Target="https://www.genome.jp/entry/C02430" TargetMode="External"/><Relationship Id="rId459" Type="http://schemas.openxmlformats.org/officeDocument/2006/relationships/hyperlink" Target="https://www.genome.jp/entry/C04250" TargetMode="External"/><Relationship Id="rId624" Type="http://schemas.openxmlformats.org/officeDocument/2006/relationships/hyperlink" Target="https://www.genome.jp/entry/G10504" TargetMode="External"/><Relationship Id="rId16" Type="http://schemas.openxmlformats.org/officeDocument/2006/relationships/hyperlink" Target="https://www.genome.jp/entry/C00002" TargetMode="External"/><Relationship Id="rId221" Type="http://schemas.openxmlformats.org/officeDocument/2006/relationships/hyperlink" Target="https://www.genome.jp/entry/C00093" TargetMode="External"/><Relationship Id="rId263" Type="http://schemas.openxmlformats.org/officeDocument/2006/relationships/hyperlink" Target="https://www.genome.jp/entry/C00186" TargetMode="External"/><Relationship Id="rId319" Type="http://schemas.openxmlformats.org/officeDocument/2006/relationships/hyperlink" Target="https://www.genome.jp/entry/C00445" TargetMode="External"/><Relationship Id="rId470" Type="http://schemas.openxmlformats.org/officeDocument/2006/relationships/hyperlink" Target="https://www.genome.jp/entry/C04618" TargetMode="External"/><Relationship Id="rId526" Type="http://schemas.openxmlformats.org/officeDocument/2006/relationships/hyperlink" Target="https://www.genome.jp/entry/C05984" TargetMode="External"/><Relationship Id="rId58" Type="http://schemas.openxmlformats.org/officeDocument/2006/relationships/hyperlink" Target="https://www.genome.jp/entry/C00002" TargetMode="External"/><Relationship Id="rId123" Type="http://schemas.openxmlformats.org/officeDocument/2006/relationships/hyperlink" Target="https://www.genome.jp/entry/C00002" TargetMode="External"/><Relationship Id="rId330" Type="http://schemas.openxmlformats.org/officeDocument/2006/relationships/hyperlink" Target="https://www.genome.jp/entry/C00491" TargetMode="External"/><Relationship Id="rId568" Type="http://schemas.openxmlformats.org/officeDocument/2006/relationships/hyperlink" Target="https://www.genome.jp/entry/C16173" TargetMode="External"/><Relationship Id="rId165" Type="http://schemas.openxmlformats.org/officeDocument/2006/relationships/hyperlink" Target="https://www.genome.jp/entry/C00022" TargetMode="External"/><Relationship Id="rId372" Type="http://schemas.openxmlformats.org/officeDocument/2006/relationships/hyperlink" Target="https://www.genome.jp/entry/C00881" TargetMode="External"/><Relationship Id="rId428" Type="http://schemas.openxmlformats.org/officeDocument/2006/relationships/hyperlink" Target="https://www.genome.jp/entry/C02739" TargetMode="External"/><Relationship Id="rId232" Type="http://schemas.openxmlformats.org/officeDocument/2006/relationships/hyperlink" Target="https://www.genome.jp/entry/C00101" TargetMode="External"/><Relationship Id="rId274" Type="http://schemas.openxmlformats.org/officeDocument/2006/relationships/hyperlink" Target="https://www.genome.jp/entry/C00234" TargetMode="External"/><Relationship Id="rId481" Type="http://schemas.openxmlformats.org/officeDocument/2006/relationships/hyperlink" Target="https://www.genome.jp/entry/C04702" TargetMode="External"/><Relationship Id="rId27" Type="http://schemas.openxmlformats.org/officeDocument/2006/relationships/hyperlink" Target="https://www.genome.jp/entry/C00002" TargetMode="External"/><Relationship Id="rId69" Type="http://schemas.openxmlformats.org/officeDocument/2006/relationships/hyperlink" Target="https://www.genome.jp/entry/C00002" TargetMode="External"/><Relationship Id="rId134" Type="http://schemas.openxmlformats.org/officeDocument/2006/relationships/hyperlink" Target="https://www.genome.jp/entry/C00002" TargetMode="External"/><Relationship Id="rId537" Type="http://schemas.openxmlformats.org/officeDocument/2006/relationships/hyperlink" Target="https://www.genome.jp/entry/C06125" TargetMode="External"/><Relationship Id="rId579" Type="http://schemas.openxmlformats.org/officeDocument/2006/relationships/hyperlink" Target="https://www.genome.jp/entry/C16633" TargetMode="External"/><Relationship Id="rId80" Type="http://schemas.openxmlformats.org/officeDocument/2006/relationships/hyperlink" Target="https://www.genome.jp/entry/C00002" TargetMode="External"/><Relationship Id="rId176" Type="http://schemas.openxmlformats.org/officeDocument/2006/relationships/hyperlink" Target="https://www.genome.jp/entry/C00029" TargetMode="External"/><Relationship Id="rId341" Type="http://schemas.openxmlformats.org/officeDocument/2006/relationships/hyperlink" Target="https://www.genome.jp/entry/C00627" TargetMode="External"/><Relationship Id="rId383" Type="http://schemas.openxmlformats.org/officeDocument/2006/relationships/hyperlink" Target="https://www.genome.jp/entry/C01102" TargetMode="External"/><Relationship Id="rId439" Type="http://schemas.openxmlformats.org/officeDocument/2006/relationships/hyperlink" Target="https://www.genome.jp/entry/C03078" TargetMode="External"/><Relationship Id="rId590" Type="http://schemas.openxmlformats.org/officeDocument/2006/relationships/hyperlink" Target="https://www.genome.jp/entry/C19722" TargetMode="External"/><Relationship Id="rId604" Type="http://schemas.openxmlformats.org/officeDocument/2006/relationships/hyperlink" Target="https://www.genome.jp/entry/C23006" TargetMode="External"/><Relationship Id="rId201" Type="http://schemas.openxmlformats.org/officeDocument/2006/relationships/hyperlink" Target="https://www.genome.jp/entry/C00065" TargetMode="External"/><Relationship Id="rId243" Type="http://schemas.openxmlformats.org/officeDocument/2006/relationships/hyperlink" Target="https://www.genome.jp/entry/C00130" TargetMode="External"/><Relationship Id="rId285" Type="http://schemas.openxmlformats.org/officeDocument/2006/relationships/hyperlink" Target="https://www.genome.jp/entry/C00272" TargetMode="External"/><Relationship Id="rId450" Type="http://schemas.openxmlformats.org/officeDocument/2006/relationships/hyperlink" Target="https://www.genome.jp/entry/C03880" TargetMode="External"/><Relationship Id="rId506" Type="http://schemas.openxmlformats.org/officeDocument/2006/relationships/hyperlink" Target="https://www.genome.jp/entry/C05444" TargetMode="External"/><Relationship Id="rId38" Type="http://schemas.openxmlformats.org/officeDocument/2006/relationships/hyperlink" Target="https://www.genome.jp/entry/C00002" TargetMode="External"/><Relationship Id="rId103" Type="http://schemas.openxmlformats.org/officeDocument/2006/relationships/hyperlink" Target="https://www.genome.jp/entry/C00002" TargetMode="External"/><Relationship Id="rId310" Type="http://schemas.openxmlformats.org/officeDocument/2006/relationships/hyperlink" Target="https://www.genome.jp/entry/C00378" TargetMode="External"/><Relationship Id="rId492" Type="http://schemas.openxmlformats.org/officeDocument/2006/relationships/hyperlink" Target="https://www.genome.jp/entry/C05167" TargetMode="External"/><Relationship Id="rId548" Type="http://schemas.openxmlformats.org/officeDocument/2006/relationships/hyperlink" Target="https://www.genome.jp/entry/C06892" TargetMode="External"/><Relationship Id="rId91" Type="http://schemas.openxmlformats.org/officeDocument/2006/relationships/hyperlink" Target="https://www.genome.jp/entry/C00002" TargetMode="External"/><Relationship Id="rId145" Type="http://schemas.openxmlformats.org/officeDocument/2006/relationships/hyperlink" Target="https://www.genome.jp/entry/C00003" TargetMode="External"/><Relationship Id="rId187" Type="http://schemas.openxmlformats.org/officeDocument/2006/relationships/hyperlink" Target="https://www.genome.jp/entry/C00049" TargetMode="External"/><Relationship Id="rId352" Type="http://schemas.openxmlformats.org/officeDocument/2006/relationships/hyperlink" Target="https://www.genome.jp/entry/C00668" TargetMode="External"/><Relationship Id="rId394" Type="http://schemas.openxmlformats.org/officeDocument/2006/relationships/hyperlink" Target="https://www.genome.jp/entry/C01235" TargetMode="External"/><Relationship Id="rId408" Type="http://schemas.openxmlformats.org/officeDocument/2006/relationships/hyperlink" Target="https://www.genome.jp/entry/C01832" TargetMode="External"/><Relationship Id="rId615" Type="http://schemas.openxmlformats.org/officeDocument/2006/relationships/hyperlink" Target="https://www.genome.jp/entry/G00278" TargetMode="External"/><Relationship Id="rId212" Type="http://schemas.openxmlformats.org/officeDocument/2006/relationships/hyperlink" Target="https://www.genome.jp/entry/C00081" TargetMode="External"/><Relationship Id="rId254" Type="http://schemas.openxmlformats.org/officeDocument/2006/relationships/hyperlink" Target="https://www.genome.jp/entry/C00148" TargetMode="External"/><Relationship Id="rId49" Type="http://schemas.openxmlformats.org/officeDocument/2006/relationships/hyperlink" Target="https://www.genome.jp/entry/C00002" TargetMode="External"/><Relationship Id="rId114" Type="http://schemas.openxmlformats.org/officeDocument/2006/relationships/hyperlink" Target="https://www.genome.jp/entry/C00002" TargetMode="External"/><Relationship Id="rId296" Type="http://schemas.openxmlformats.org/officeDocument/2006/relationships/hyperlink" Target="https://www.genome.jp/entry/C00345" TargetMode="External"/><Relationship Id="rId461" Type="http://schemas.openxmlformats.org/officeDocument/2006/relationships/hyperlink" Target="https://www.genome.jp/entry/C04261" TargetMode="External"/><Relationship Id="rId517" Type="http://schemas.openxmlformats.org/officeDocument/2006/relationships/hyperlink" Target="https://www.genome.jp/entry/C05757" TargetMode="External"/><Relationship Id="rId559" Type="http://schemas.openxmlformats.org/officeDocument/2006/relationships/hyperlink" Target="https://www.genome.jp/entry/C11435" TargetMode="External"/><Relationship Id="rId60" Type="http://schemas.openxmlformats.org/officeDocument/2006/relationships/hyperlink" Target="https://www.genome.jp/entry/C00002" TargetMode="External"/><Relationship Id="rId156" Type="http://schemas.openxmlformats.org/officeDocument/2006/relationships/hyperlink" Target="https://www.genome.jp/entry/C00019" TargetMode="External"/><Relationship Id="rId198" Type="http://schemas.openxmlformats.org/officeDocument/2006/relationships/hyperlink" Target="https://www.genome.jp/entry/C00065" TargetMode="External"/><Relationship Id="rId321" Type="http://schemas.openxmlformats.org/officeDocument/2006/relationships/hyperlink" Target="https://www.genome.jp/entry/C00447" TargetMode="External"/><Relationship Id="rId363" Type="http://schemas.openxmlformats.org/officeDocument/2006/relationships/hyperlink" Target="https://www.genome.jp/entry/C00718" TargetMode="External"/><Relationship Id="rId419" Type="http://schemas.openxmlformats.org/officeDocument/2006/relationships/hyperlink" Target="https://www.genome.jp/entry/C02505" TargetMode="External"/><Relationship Id="rId570" Type="http://schemas.openxmlformats.org/officeDocument/2006/relationships/hyperlink" Target="https://www.genome.jp/entry/C16310" TargetMode="External"/><Relationship Id="rId626" Type="http://schemas.openxmlformats.org/officeDocument/2006/relationships/hyperlink" Target="https://www.genome.jp/entry/G10508" TargetMode="External"/><Relationship Id="rId223" Type="http://schemas.openxmlformats.org/officeDocument/2006/relationships/hyperlink" Target="https://www.genome.jp/entry/C00097" TargetMode="External"/><Relationship Id="rId430" Type="http://schemas.openxmlformats.org/officeDocument/2006/relationships/hyperlink" Target="https://www.genome.jp/entry/C02749" TargetMode="External"/><Relationship Id="rId18" Type="http://schemas.openxmlformats.org/officeDocument/2006/relationships/hyperlink" Target="https://www.genome.jp/entry/C00002" TargetMode="External"/><Relationship Id="rId265" Type="http://schemas.openxmlformats.org/officeDocument/2006/relationships/hyperlink" Target="https://www.genome.jp/entry/C00199" TargetMode="External"/><Relationship Id="rId472" Type="http://schemas.openxmlformats.org/officeDocument/2006/relationships/hyperlink" Target="https://www.genome.jp/entry/C04619" TargetMode="External"/><Relationship Id="rId528" Type="http://schemas.openxmlformats.org/officeDocument/2006/relationships/hyperlink" Target="https://www.genome.jp/entry/C06010" TargetMode="External"/><Relationship Id="rId125" Type="http://schemas.openxmlformats.org/officeDocument/2006/relationships/hyperlink" Target="https://www.genome.jp/entry/C00002" TargetMode="External"/><Relationship Id="rId167" Type="http://schemas.openxmlformats.org/officeDocument/2006/relationships/hyperlink" Target="https://www.genome.jp/entry/C00024" TargetMode="External"/><Relationship Id="rId332" Type="http://schemas.openxmlformats.org/officeDocument/2006/relationships/hyperlink" Target="https://www.genome.jp/entry/C00492" TargetMode="External"/><Relationship Id="rId374" Type="http://schemas.openxmlformats.org/officeDocument/2006/relationships/hyperlink" Target="https://www.genome.jp/entry/C00900" TargetMode="External"/><Relationship Id="rId581" Type="http://schemas.openxmlformats.org/officeDocument/2006/relationships/hyperlink" Target="https://www.genome.jp/entry/C16688" TargetMode="External"/><Relationship Id="rId71" Type="http://schemas.openxmlformats.org/officeDocument/2006/relationships/hyperlink" Target="https://www.genome.jp/entry/C00002" TargetMode="External"/><Relationship Id="rId234" Type="http://schemas.openxmlformats.org/officeDocument/2006/relationships/hyperlink" Target="https://www.genome.jp/entry/C00105" TargetMode="External"/><Relationship Id="rId2" Type="http://schemas.openxmlformats.org/officeDocument/2006/relationships/hyperlink" Target="https://www.genome.jp/entry/C00002" TargetMode="External"/><Relationship Id="rId29" Type="http://schemas.openxmlformats.org/officeDocument/2006/relationships/hyperlink" Target="https://www.genome.jp/entry/C00002" TargetMode="External"/><Relationship Id="rId276" Type="http://schemas.openxmlformats.org/officeDocument/2006/relationships/hyperlink" Target="https://www.genome.jp/entry/C00235" TargetMode="External"/><Relationship Id="rId441" Type="http://schemas.openxmlformats.org/officeDocument/2006/relationships/hyperlink" Target="https://www.genome.jp/entry/C03195" TargetMode="External"/><Relationship Id="rId483" Type="http://schemas.openxmlformats.org/officeDocument/2006/relationships/hyperlink" Target="https://www.genome.jp/entry/C04751" TargetMode="External"/><Relationship Id="rId539" Type="http://schemas.openxmlformats.org/officeDocument/2006/relationships/hyperlink" Target="https://www.genome.jp/entry/C06136" TargetMode="External"/><Relationship Id="rId40" Type="http://schemas.openxmlformats.org/officeDocument/2006/relationships/hyperlink" Target="https://www.genome.jp/entry/C00002" TargetMode="External"/><Relationship Id="rId136" Type="http://schemas.openxmlformats.org/officeDocument/2006/relationships/hyperlink" Target="https://www.genome.jp/entry/C00002" TargetMode="External"/><Relationship Id="rId178" Type="http://schemas.openxmlformats.org/officeDocument/2006/relationships/hyperlink" Target="https://www.genome.jp/entry/C00040" TargetMode="External"/><Relationship Id="rId301" Type="http://schemas.openxmlformats.org/officeDocument/2006/relationships/hyperlink" Target="https://www.genome.jp/entry/C00356" TargetMode="External"/><Relationship Id="rId343" Type="http://schemas.openxmlformats.org/officeDocument/2006/relationships/hyperlink" Target="https://www.genome.jp/entry/C00631" TargetMode="External"/><Relationship Id="rId550" Type="http://schemas.openxmlformats.org/officeDocument/2006/relationships/hyperlink" Target="https://www.genome.jp/entry/C07118" TargetMode="External"/><Relationship Id="rId82" Type="http://schemas.openxmlformats.org/officeDocument/2006/relationships/hyperlink" Target="https://www.genome.jp/entry/C00002" TargetMode="External"/><Relationship Id="rId203" Type="http://schemas.openxmlformats.org/officeDocument/2006/relationships/hyperlink" Target="https://www.genome.jp/entry/C00068" TargetMode="External"/><Relationship Id="rId385" Type="http://schemas.openxmlformats.org/officeDocument/2006/relationships/hyperlink" Target="https://www.genome.jp/entry/C01113" TargetMode="External"/><Relationship Id="rId592" Type="http://schemas.openxmlformats.org/officeDocument/2006/relationships/hyperlink" Target="https://www.genome.jp/entry/C20267" TargetMode="External"/><Relationship Id="rId606" Type="http://schemas.openxmlformats.org/officeDocument/2006/relationships/hyperlink" Target="https://www.genome.jp/entry/C23016" TargetMode="External"/><Relationship Id="rId245" Type="http://schemas.openxmlformats.org/officeDocument/2006/relationships/hyperlink" Target="https://www.genome.jp/entry/C00130" TargetMode="External"/><Relationship Id="rId287" Type="http://schemas.openxmlformats.org/officeDocument/2006/relationships/hyperlink" Target="https://www.genome.jp/entry/C00275" TargetMode="External"/><Relationship Id="rId410" Type="http://schemas.openxmlformats.org/officeDocument/2006/relationships/hyperlink" Target="https://www.genome.jp/entry/C01944" TargetMode="External"/><Relationship Id="rId452" Type="http://schemas.openxmlformats.org/officeDocument/2006/relationships/hyperlink" Target="https://www.genome.jp/entry/C03939" TargetMode="External"/><Relationship Id="rId494" Type="http://schemas.openxmlformats.org/officeDocument/2006/relationships/hyperlink" Target="https://www.genome.jp/entry/C05198" TargetMode="External"/><Relationship Id="rId508" Type="http://schemas.openxmlformats.org/officeDocument/2006/relationships/hyperlink" Target="https://www.genome.jp/entry/C05689" TargetMode="External"/><Relationship Id="rId105" Type="http://schemas.openxmlformats.org/officeDocument/2006/relationships/hyperlink" Target="https://www.genome.jp/entry/C00002" TargetMode="External"/><Relationship Id="rId147" Type="http://schemas.openxmlformats.org/officeDocument/2006/relationships/hyperlink" Target="https://www.genome.jp/entry/C00003" TargetMode="External"/><Relationship Id="rId312" Type="http://schemas.openxmlformats.org/officeDocument/2006/relationships/hyperlink" Target="https://www.genome.jp/entry/C00415" TargetMode="External"/><Relationship Id="rId354" Type="http://schemas.openxmlformats.org/officeDocument/2006/relationships/hyperlink" Target="https://www.genome.jp/entry/C00668" TargetMode="External"/><Relationship Id="rId51" Type="http://schemas.openxmlformats.org/officeDocument/2006/relationships/hyperlink" Target="https://www.genome.jp/entry/C00002" TargetMode="External"/><Relationship Id="rId93" Type="http://schemas.openxmlformats.org/officeDocument/2006/relationships/hyperlink" Target="https://www.genome.jp/entry/C00002" TargetMode="External"/><Relationship Id="rId189" Type="http://schemas.openxmlformats.org/officeDocument/2006/relationships/hyperlink" Target="https://www.genome.jp/entry/C00053" TargetMode="External"/><Relationship Id="rId396" Type="http://schemas.openxmlformats.org/officeDocument/2006/relationships/hyperlink" Target="https://www.genome.jp/entry/C01271" TargetMode="External"/><Relationship Id="rId561" Type="http://schemas.openxmlformats.org/officeDocument/2006/relationships/hyperlink" Target="https://www.genome.jp/entry/C11736" TargetMode="External"/><Relationship Id="rId617" Type="http://schemas.openxmlformats.org/officeDocument/2006/relationships/hyperlink" Target="https://www.genome.jp/entry/G00370" TargetMode="External"/><Relationship Id="rId214" Type="http://schemas.openxmlformats.org/officeDocument/2006/relationships/hyperlink" Target="https://www.genome.jp/entry/C00083" TargetMode="External"/><Relationship Id="rId256" Type="http://schemas.openxmlformats.org/officeDocument/2006/relationships/hyperlink" Target="https://www.genome.jp/entry/C00149" TargetMode="External"/><Relationship Id="rId298" Type="http://schemas.openxmlformats.org/officeDocument/2006/relationships/hyperlink" Target="https://www.genome.jp/entry/C00352" TargetMode="External"/><Relationship Id="rId421" Type="http://schemas.openxmlformats.org/officeDocument/2006/relationships/hyperlink" Target="https://www.genome.jp/entry/C02538" TargetMode="External"/><Relationship Id="rId463" Type="http://schemas.openxmlformats.org/officeDocument/2006/relationships/hyperlink" Target="https://www.genome.jp/entry/C04302" TargetMode="External"/><Relationship Id="rId519" Type="http://schemas.openxmlformats.org/officeDocument/2006/relationships/hyperlink" Target="https://www.genome.jp/entry/C05761" TargetMode="External"/><Relationship Id="rId116" Type="http://schemas.openxmlformats.org/officeDocument/2006/relationships/hyperlink" Target="https://www.genome.jp/entry/C00002" TargetMode="External"/><Relationship Id="rId158" Type="http://schemas.openxmlformats.org/officeDocument/2006/relationships/hyperlink" Target="https://www.genome.jp/entry/C00019" TargetMode="External"/><Relationship Id="rId323" Type="http://schemas.openxmlformats.org/officeDocument/2006/relationships/hyperlink" Target="https://www.genome.jp/entry/C00458" TargetMode="External"/><Relationship Id="rId530" Type="http://schemas.openxmlformats.org/officeDocument/2006/relationships/hyperlink" Target="https://www.genome.jp/entry/C06019" TargetMode="External"/><Relationship Id="rId20" Type="http://schemas.openxmlformats.org/officeDocument/2006/relationships/hyperlink" Target="https://www.genome.jp/entry/C00002" TargetMode="External"/><Relationship Id="rId62" Type="http://schemas.openxmlformats.org/officeDocument/2006/relationships/hyperlink" Target="https://www.genome.jp/entry/C00002" TargetMode="External"/><Relationship Id="rId365" Type="http://schemas.openxmlformats.org/officeDocument/2006/relationships/hyperlink" Target="https://www.genome.jp/entry/C00819" TargetMode="External"/><Relationship Id="rId572" Type="http://schemas.openxmlformats.org/officeDocument/2006/relationships/hyperlink" Target="https://www.genome.jp/entry/C16335" TargetMode="External"/><Relationship Id="rId628" Type="http://schemas.openxmlformats.org/officeDocument/2006/relationships/hyperlink" Target="https://www.genome.jp/entry/G10529" TargetMode="External"/><Relationship Id="rId225" Type="http://schemas.openxmlformats.org/officeDocument/2006/relationships/hyperlink" Target="https://www.genome.jp/entry/C00100" TargetMode="External"/><Relationship Id="rId267" Type="http://schemas.openxmlformats.org/officeDocument/2006/relationships/hyperlink" Target="https://www.genome.jp/entry/C00201" TargetMode="External"/><Relationship Id="rId432" Type="http://schemas.openxmlformats.org/officeDocument/2006/relationships/hyperlink" Target="https://www.genome.jp/entry/C02882" TargetMode="External"/><Relationship Id="rId474" Type="http://schemas.openxmlformats.org/officeDocument/2006/relationships/hyperlink" Target="https://www.genome.jp/entry/C04620" TargetMode="External"/><Relationship Id="rId127" Type="http://schemas.openxmlformats.org/officeDocument/2006/relationships/hyperlink" Target="https://www.genome.jp/entry/C00002" TargetMode="External"/><Relationship Id="rId31" Type="http://schemas.openxmlformats.org/officeDocument/2006/relationships/hyperlink" Target="https://www.genome.jp/entry/C00002" TargetMode="External"/><Relationship Id="rId73" Type="http://schemas.openxmlformats.org/officeDocument/2006/relationships/hyperlink" Target="https://www.genome.jp/entry/C00002" TargetMode="External"/><Relationship Id="rId169" Type="http://schemas.openxmlformats.org/officeDocument/2006/relationships/hyperlink" Target="https://www.genome.jp/entry/C00024" TargetMode="External"/><Relationship Id="rId334" Type="http://schemas.openxmlformats.org/officeDocument/2006/relationships/hyperlink" Target="https://www.genome.jp/entry/C00511" TargetMode="External"/><Relationship Id="rId376" Type="http://schemas.openxmlformats.org/officeDocument/2006/relationships/hyperlink" Target="https://www.genome.jp/entry/C01005" TargetMode="External"/><Relationship Id="rId541" Type="http://schemas.openxmlformats.org/officeDocument/2006/relationships/hyperlink" Target="https://www.genome.jp/entry/C06187" TargetMode="External"/><Relationship Id="rId583" Type="http://schemas.openxmlformats.org/officeDocument/2006/relationships/hyperlink" Target="https://www.genome.jp/entry/C16832" TargetMode="External"/><Relationship Id="rId4" Type="http://schemas.openxmlformats.org/officeDocument/2006/relationships/hyperlink" Target="https://www.genome.jp/entry/C00005" TargetMode="External"/><Relationship Id="rId180" Type="http://schemas.openxmlformats.org/officeDocument/2006/relationships/hyperlink" Target="https://www.genome.jp/entry/C00041" TargetMode="External"/><Relationship Id="rId236" Type="http://schemas.openxmlformats.org/officeDocument/2006/relationships/hyperlink" Target="https://www.genome.jp/entry/C00109" TargetMode="External"/><Relationship Id="rId278" Type="http://schemas.openxmlformats.org/officeDocument/2006/relationships/hyperlink" Target="https://www.genome.jp/entry/C00241" TargetMode="External"/><Relationship Id="rId401" Type="http://schemas.openxmlformats.org/officeDocument/2006/relationships/hyperlink" Target="https://www.genome.jp/entry/C01412" TargetMode="External"/><Relationship Id="rId443" Type="http://schemas.openxmlformats.org/officeDocument/2006/relationships/hyperlink" Target="https://www.genome.jp/entry/C03406" TargetMode="External"/><Relationship Id="rId303" Type="http://schemas.openxmlformats.org/officeDocument/2006/relationships/hyperlink" Target="https://www.genome.jp/entry/C00360" TargetMode="External"/><Relationship Id="rId485" Type="http://schemas.openxmlformats.org/officeDocument/2006/relationships/hyperlink" Target="https://www.genome.jp/entry/C04823" TargetMode="External"/><Relationship Id="rId42" Type="http://schemas.openxmlformats.org/officeDocument/2006/relationships/hyperlink" Target="https://www.genome.jp/entry/C00002" TargetMode="External"/><Relationship Id="rId84" Type="http://schemas.openxmlformats.org/officeDocument/2006/relationships/hyperlink" Target="https://www.genome.jp/entry/C00002" TargetMode="External"/><Relationship Id="rId138" Type="http://schemas.openxmlformats.org/officeDocument/2006/relationships/hyperlink" Target="https://www.genome.jp/entry/C00002" TargetMode="External"/><Relationship Id="rId345" Type="http://schemas.openxmlformats.org/officeDocument/2006/relationships/hyperlink" Target="https://www.genome.jp/entry/C00644" TargetMode="External"/><Relationship Id="rId387" Type="http://schemas.openxmlformats.org/officeDocument/2006/relationships/hyperlink" Target="https://www.genome.jp/entry/C01157" TargetMode="External"/><Relationship Id="rId510" Type="http://schemas.openxmlformats.org/officeDocument/2006/relationships/hyperlink" Target="https://www.genome.jp/entry/C05699" TargetMode="External"/><Relationship Id="rId552" Type="http://schemas.openxmlformats.org/officeDocument/2006/relationships/hyperlink" Target="https://www.genome.jp/entry/C07478" TargetMode="External"/><Relationship Id="rId594" Type="http://schemas.openxmlformats.org/officeDocument/2006/relationships/hyperlink" Target="https://www.genome.jp/entry/C20373" TargetMode="External"/><Relationship Id="rId608" Type="http://schemas.openxmlformats.org/officeDocument/2006/relationships/hyperlink" Target="https://www.genome.jp/entry/G00092" TargetMode="External"/><Relationship Id="rId191" Type="http://schemas.openxmlformats.org/officeDocument/2006/relationships/hyperlink" Target="https://www.genome.jp/entry/C00055" TargetMode="External"/><Relationship Id="rId205" Type="http://schemas.openxmlformats.org/officeDocument/2006/relationships/hyperlink" Target="https://www.genome.jp/entry/C00074" TargetMode="External"/><Relationship Id="rId247" Type="http://schemas.openxmlformats.org/officeDocument/2006/relationships/hyperlink" Target="https://www.genome.jp/entry/C00131" TargetMode="External"/><Relationship Id="rId412" Type="http://schemas.openxmlformats.org/officeDocument/2006/relationships/hyperlink" Target="https://www.genome.jp/entry/C01978" TargetMode="External"/><Relationship Id="rId107" Type="http://schemas.openxmlformats.org/officeDocument/2006/relationships/hyperlink" Target="https://www.genome.jp/entry/C00002" TargetMode="External"/><Relationship Id="rId289" Type="http://schemas.openxmlformats.org/officeDocument/2006/relationships/hyperlink" Target="https://www.genome.jp/entry/C00286" TargetMode="External"/><Relationship Id="rId454" Type="http://schemas.openxmlformats.org/officeDocument/2006/relationships/hyperlink" Target="https://www.genome.jp/entry/C03972" TargetMode="External"/><Relationship Id="rId496" Type="http://schemas.openxmlformats.org/officeDocument/2006/relationships/hyperlink" Target="https://www.genome.jp/entry/C05274" TargetMode="External"/><Relationship Id="rId11" Type="http://schemas.openxmlformats.org/officeDocument/2006/relationships/hyperlink" Target="https://www.genome.jp/entry/C00001" TargetMode="External"/><Relationship Id="rId53" Type="http://schemas.openxmlformats.org/officeDocument/2006/relationships/hyperlink" Target="https://www.genome.jp/entry/C00002" TargetMode="External"/><Relationship Id="rId149" Type="http://schemas.openxmlformats.org/officeDocument/2006/relationships/hyperlink" Target="https://www.genome.jp/entry/C00012" TargetMode="External"/><Relationship Id="rId314" Type="http://schemas.openxmlformats.org/officeDocument/2006/relationships/hyperlink" Target="https://www.genome.jp/entry/C00418" TargetMode="External"/><Relationship Id="rId356" Type="http://schemas.openxmlformats.org/officeDocument/2006/relationships/hyperlink" Target="https://www.genome.jp/entry/C00673" TargetMode="External"/><Relationship Id="rId398" Type="http://schemas.openxmlformats.org/officeDocument/2006/relationships/hyperlink" Target="https://www.genome.jp/entry/C01290" TargetMode="External"/><Relationship Id="rId521" Type="http://schemas.openxmlformats.org/officeDocument/2006/relationships/hyperlink" Target="https://www.genome.jp/entry/C05796" TargetMode="External"/><Relationship Id="rId563" Type="http://schemas.openxmlformats.org/officeDocument/2006/relationships/hyperlink" Target="https://www.genome.jp/entry/C14899" TargetMode="External"/><Relationship Id="rId619" Type="http://schemas.openxmlformats.org/officeDocument/2006/relationships/hyperlink" Target="https://www.genome.jp/entry/G00501" TargetMode="External"/><Relationship Id="rId95" Type="http://schemas.openxmlformats.org/officeDocument/2006/relationships/hyperlink" Target="https://www.genome.jp/entry/C00002" TargetMode="External"/><Relationship Id="rId160" Type="http://schemas.openxmlformats.org/officeDocument/2006/relationships/hyperlink" Target="https://www.genome.jp/entry/C00020" TargetMode="External"/><Relationship Id="rId216" Type="http://schemas.openxmlformats.org/officeDocument/2006/relationships/hyperlink" Target="https://www.genome.jp/entry/C00089" TargetMode="External"/><Relationship Id="rId423" Type="http://schemas.openxmlformats.org/officeDocument/2006/relationships/hyperlink" Target="https://www.genome.jp/entry/C02593" TargetMode="External"/><Relationship Id="rId258" Type="http://schemas.openxmlformats.org/officeDocument/2006/relationships/hyperlink" Target="https://www.genome.jp/entry/C00169" TargetMode="External"/><Relationship Id="rId465" Type="http://schemas.openxmlformats.org/officeDocument/2006/relationships/hyperlink" Target="https://www.genome.jp/entry/C04489" TargetMode="External"/><Relationship Id="rId630" Type="http://schemas.openxmlformats.org/officeDocument/2006/relationships/hyperlink" Target="https://www.genome.jp/entry/G10534" TargetMode="External"/><Relationship Id="rId22" Type="http://schemas.openxmlformats.org/officeDocument/2006/relationships/hyperlink" Target="https://www.genome.jp/entry/C00002" TargetMode="External"/><Relationship Id="rId64" Type="http://schemas.openxmlformats.org/officeDocument/2006/relationships/hyperlink" Target="https://www.genome.jp/entry/C00002" TargetMode="External"/><Relationship Id="rId118" Type="http://schemas.openxmlformats.org/officeDocument/2006/relationships/hyperlink" Target="https://www.genome.jp/entry/C00002" TargetMode="External"/><Relationship Id="rId325" Type="http://schemas.openxmlformats.org/officeDocument/2006/relationships/hyperlink" Target="https://www.genome.jp/entry/C00459" TargetMode="External"/><Relationship Id="rId367" Type="http://schemas.openxmlformats.org/officeDocument/2006/relationships/hyperlink" Target="https://www.genome.jp/entry/C00850" TargetMode="External"/><Relationship Id="rId532" Type="http://schemas.openxmlformats.org/officeDocument/2006/relationships/hyperlink" Target="https://www.genome.jp/entry/C06030" TargetMode="External"/><Relationship Id="rId574" Type="http://schemas.openxmlformats.org/officeDocument/2006/relationships/hyperlink" Target="https://www.genome.jp/entry/C16466" TargetMode="External"/><Relationship Id="rId171" Type="http://schemas.openxmlformats.org/officeDocument/2006/relationships/hyperlink" Target="https://www.genome.jp/entry/C00024" TargetMode="External"/><Relationship Id="rId227" Type="http://schemas.openxmlformats.org/officeDocument/2006/relationships/hyperlink" Target="https://www.genome.jp/entry/C00100" TargetMode="External"/><Relationship Id="rId269" Type="http://schemas.openxmlformats.org/officeDocument/2006/relationships/hyperlink" Target="https://www.genome.jp/entry/C00206" TargetMode="External"/><Relationship Id="rId434" Type="http://schemas.openxmlformats.org/officeDocument/2006/relationships/hyperlink" Target="https://www.genome.jp/entry/C02962" TargetMode="External"/><Relationship Id="rId476" Type="http://schemas.openxmlformats.org/officeDocument/2006/relationships/hyperlink" Target="https://www.genome.jp/entry/C04633" TargetMode="External"/><Relationship Id="rId33" Type="http://schemas.openxmlformats.org/officeDocument/2006/relationships/hyperlink" Target="https://www.genome.jp/entry/C00002" TargetMode="External"/><Relationship Id="rId129" Type="http://schemas.openxmlformats.org/officeDocument/2006/relationships/hyperlink" Target="https://www.genome.jp/entry/C00002" TargetMode="External"/><Relationship Id="rId280" Type="http://schemas.openxmlformats.org/officeDocument/2006/relationships/hyperlink" Target="https://www.genome.jp/entry/C00243" TargetMode="External"/><Relationship Id="rId336" Type="http://schemas.openxmlformats.org/officeDocument/2006/relationships/hyperlink" Target="https://www.genome.jp/entry/C00559" TargetMode="External"/><Relationship Id="rId501" Type="http://schemas.openxmlformats.org/officeDocument/2006/relationships/hyperlink" Target="https://www.genome.jp/entry/C05400" TargetMode="External"/><Relationship Id="rId543" Type="http://schemas.openxmlformats.org/officeDocument/2006/relationships/hyperlink" Target="https://www.genome.jp/entry/C06196" TargetMode="External"/><Relationship Id="rId75" Type="http://schemas.openxmlformats.org/officeDocument/2006/relationships/hyperlink" Target="https://www.genome.jp/entry/C00002" TargetMode="External"/><Relationship Id="rId140" Type="http://schemas.openxmlformats.org/officeDocument/2006/relationships/hyperlink" Target="https://www.genome.jp/entry/C00002" TargetMode="External"/><Relationship Id="rId182" Type="http://schemas.openxmlformats.org/officeDocument/2006/relationships/hyperlink" Target="https://www.genome.jp/entry/C00044" TargetMode="External"/><Relationship Id="rId378" Type="http://schemas.openxmlformats.org/officeDocument/2006/relationships/hyperlink" Target="https://www.genome.jp/entry/C01050" TargetMode="External"/><Relationship Id="rId403" Type="http://schemas.openxmlformats.org/officeDocument/2006/relationships/hyperlink" Target="https://www.genome.jp/entry/C01612" TargetMode="External"/><Relationship Id="rId585" Type="http://schemas.openxmlformats.org/officeDocument/2006/relationships/hyperlink" Target="https://www.genome.jp/entry/C17551" TargetMode="External"/><Relationship Id="rId6" Type="http://schemas.openxmlformats.org/officeDocument/2006/relationships/hyperlink" Target="https://www.genome.jp/entry/C00024" TargetMode="External"/><Relationship Id="rId238" Type="http://schemas.openxmlformats.org/officeDocument/2006/relationships/hyperlink" Target="https://www.genome.jp/entry/C00114" TargetMode="External"/><Relationship Id="rId445" Type="http://schemas.openxmlformats.org/officeDocument/2006/relationships/hyperlink" Target="https://www.genome.jp/entry/C03539" TargetMode="External"/><Relationship Id="rId487" Type="http://schemas.openxmlformats.org/officeDocument/2006/relationships/hyperlink" Target="https://www.genome.jp/entry/C04896" TargetMode="External"/><Relationship Id="rId610" Type="http://schemas.openxmlformats.org/officeDocument/2006/relationships/hyperlink" Target="https://www.genome.jp/entry/G00124" TargetMode="External"/><Relationship Id="rId291" Type="http://schemas.openxmlformats.org/officeDocument/2006/relationships/hyperlink" Target="https://www.genome.jp/entry/C00314" TargetMode="External"/><Relationship Id="rId305" Type="http://schemas.openxmlformats.org/officeDocument/2006/relationships/hyperlink" Target="https://www.genome.jp/entry/C00362" TargetMode="External"/><Relationship Id="rId347" Type="http://schemas.openxmlformats.org/officeDocument/2006/relationships/hyperlink" Target="https://www.genome.jp/entry/C00655" TargetMode="External"/><Relationship Id="rId512" Type="http://schemas.openxmlformats.org/officeDocument/2006/relationships/hyperlink" Target="https://www.genome.jp/entry/C05747" TargetMode="External"/><Relationship Id="rId44" Type="http://schemas.openxmlformats.org/officeDocument/2006/relationships/hyperlink" Target="https://www.genome.jp/entry/C00002" TargetMode="External"/><Relationship Id="rId86" Type="http://schemas.openxmlformats.org/officeDocument/2006/relationships/hyperlink" Target="https://www.genome.jp/entry/C00002" TargetMode="External"/><Relationship Id="rId151" Type="http://schemas.openxmlformats.org/officeDocument/2006/relationships/hyperlink" Target="https://www.genome.jp/entry/C00014" TargetMode="External"/><Relationship Id="rId389" Type="http://schemas.openxmlformats.org/officeDocument/2006/relationships/hyperlink" Target="https://www.genome.jp/entry/C01165" TargetMode="External"/><Relationship Id="rId554" Type="http://schemas.openxmlformats.org/officeDocument/2006/relationships/hyperlink" Target="https://www.genome.jp/entry/C08353" TargetMode="External"/><Relationship Id="rId596" Type="http://schemas.openxmlformats.org/officeDocument/2006/relationships/hyperlink" Target="https://www.genome.jp/entry/C20376" TargetMode="External"/><Relationship Id="rId193" Type="http://schemas.openxmlformats.org/officeDocument/2006/relationships/hyperlink" Target="https://www.genome.jp/entry/C00063" TargetMode="External"/><Relationship Id="rId207" Type="http://schemas.openxmlformats.org/officeDocument/2006/relationships/hyperlink" Target="https://www.genome.jp/entry/C00074" TargetMode="External"/><Relationship Id="rId249" Type="http://schemas.openxmlformats.org/officeDocument/2006/relationships/hyperlink" Target="https://www.genome.jp/entry/C00137" TargetMode="External"/><Relationship Id="rId414" Type="http://schemas.openxmlformats.org/officeDocument/2006/relationships/hyperlink" Target="https://www.genome.jp/entry/C02211" TargetMode="External"/><Relationship Id="rId456" Type="http://schemas.openxmlformats.org/officeDocument/2006/relationships/hyperlink" Target="https://www.genome.jp/entry/C04232" TargetMode="External"/><Relationship Id="rId498" Type="http://schemas.openxmlformats.org/officeDocument/2006/relationships/hyperlink" Target="https://www.genome.jp/entry/C05378" TargetMode="External"/><Relationship Id="rId621" Type="http://schemas.openxmlformats.org/officeDocument/2006/relationships/hyperlink" Target="https://www.genome.jp/entry/G01977" TargetMode="External"/><Relationship Id="rId13" Type="http://schemas.openxmlformats.org/officeDocument/2006/relationships/hyperlink" Target="https://www.genome.jp/entry/C00002" TargetMode="External"/><Relationship Id="rId109" Type="http://schemas.openxmlformats.org/officeDocument/2006/relationships/hyperlink" Target="https://www.genome.jp/entry/C00002" TargetMode="External"/><Relationship Id="rId260" Type="http://schemas.openxmlformats.org/officeDocument/2006/relationships/hyperlink" Target="https://www.genome.jp/entry/C00173" TargetMode="External"/><Relationship Id="rId316" Type="http://schemas.openxmlformats.org/officeDocument/2006/relationships/hyperlink" Target="https://www.genome.jp/entry/C00440" TargetMode="External"/><Relationship Id="rId523" Type="http://schemas.openxmlformats.org/officeDocument/2006/relationships/hyperlink" Target="https://www.genome.jp/entry/C05823" TargetMode="External"/><Relationship Id="rId55" Type="http://schemas.openxmlformats.org/officeDocument/2006/relationships/hyperlink" Target="https://www.genome.jp/entry/C00002" TargetMode="External"/><Relationship Id="rId97" Type="http://schemas.openxmlformats.org/officeDocument/2006/relationships/hyperlink" Target="https://www.genome.jp/entry/C00002" TargetMode="External"/><Relationship Id="rId120" Type="http://schemas.openxmlformats.org/officeDocument/2006/relationships/hyperlink" Target="https://www.genome.jp/entry/C00002" TargetMode="External"/><Relationship Id="rId358" Type="http://schemas.openxmlformats.org/officeDocument/2006/relationships/hyperlink" Target="https://www.genome.jp/entry/C00677" TargetMode="External"/><Relationship Id="rId565" Type="http://schemas.openxmlformats.org/officeDocument/2006/relationships/hyperlink" Target="https://www.genome.jp/entry/C15812" TargetMode="External"/><Relationship Id="rId162" Type="http://schemas.openxmlformats.org/officeDocument/2006/relationships/hyperlink" Target="https://www.genome.jp/entry/C00021" TargetMode="External"/><Relationship Id="rId218" Type="http://schemas.openxmlformats.org/officeDocument/2006/relationships/hyperlink" Target="https://www.genome.jp/entry/C00092" TargetMode="External"/><Relationship Id="rId425" Type="http://schemas.openxmlformats.org/officeDocument/2006/relationships/hyperlink" Target="https://www.genome.jp/entry/C02693" TargetMode="External"/><Relationship Id="rId467" Type="http://schemas.openxmlformats.org/officeDocument/2006/relationships/hyperlink" Target="https://www.genome.jp/entry/C04534" TargetMode="External"/><Relationship Id="rId632" Type="http://schemas.openxmlformats.org/officeDocument/2006/relationships/hyperlink" Target="https://www.genome.jp/entry/G11122" TargetMode="External"/><Relationship Id="rId271" Type="http://schemas.openxmlformats.org/officeDocument/2006/relationships/hyperlink" Target="https://www.genome.jp/entry/C00212" TargetMode="External"/><Relationship Id="rId24" Type="http://schemas.openxmlformats.org/officeDocument/2006/relationships/hyperlink" Target="https://www.genome.jp/entry/C00002" TargetMode="External"/><Relationship Id="rId66" Type="http://schemas.openxmlformats.org/officeDocument/2006/relationships/hyperlink" Target="https://www.genome.jp/entry/C00002" TargetMode="External"/><Relationship Id="rId131" Type="http://schemas.openxmlformats.org/officeDocument/2006/relationships/hyperlink" Target="https://www.genome.jp/entry/C00002" TargetMode="External"/><Relationship Id="rId327" Type="http://schemas.openxmlformats.org/officeDocument/2006/relationships/hyperlink" Target="https://www.genome.jp/entry/C00469" TargetMode="External"/><Relationship Id="rId369" Type="http://schemas.openxmlformats.org/officeDocument/2006/relationships/hyperlink" Target="https://www.genome.jp/entry/C00860" TargetMode="External"/><Relationship Id="rId534" Type="http://schemas.openxmlformats.org/officeDocument/2006/relationships/hyperlink" Target="https://www.genome.jp/entry/C06055" TargetMode="External"/><Relationship Id="rId576" Type="http://schemas.openxmlformats.org/officeDocument/2006/relationships/hyperlink" Target="https://www.genome.jp/entry/C16586" TargetMode="External"/><Relationship Id="rId173" Type="http://schemas.openxmlformats.org/officeDocument/2006/relationships/hyperlink" Target="https://www.genome.jp/entry/C00025" TargetMode="External"/><Relationship Id="rId229" Type="http://schemas.openxmlformats.org/officeDocument/2006/relationships/hyperlink" Target="https://www.genome.jp/entry/C00101" TargetMode="External"/><Relationship Id="rId380" Type="http://schemas.openxmlformats.org/officeDocument/2006/relationships/hyperlink" Target="https://www.genome.jp/entry/C01097" TargetMode="External"/><Relationship Id="rId436" Type="http://schemas.openxmlformats.org/officeDocument/2006/relationships/hyperlink" Target="https://www.genome.jp/entry/C02999" TargetMode="External"/><Relationship Id="rId601" Type="http://schemas.openxmlformats.org/officeDocument/2006/relationships/hyperlink" Target="https://www.genome.jp/entry/C22395" TargetMode="External"/><Relationship Id="rId240" Type="http://schemas.openxmlformats.org/officeDocument/2006/relationships/hyperlink" Target="https://www.genome.jp/entry/C00118" TargetMode="External"/><Relationship Id="rId478" Type="http://schemas.openxmlformats.org/officeDocument/2006/relationships/hyperlink" Target="https://www.genome.jp/entry/C04666" TargetMode="External"/><Relationship Id="rId35" Type="http://schemas.openxmlformats.org/officeDocument/2006/relationships/hyperlink" Target="https://www.genome.jp/entry/C00002" TargetMode="External"/><Relationship Id="rId77" Type="http://schemas.openxmlformats.org/officeDocument/2006/relationships/hyperlink" Target="https://www.genome.jp/entry/C00002" TargetMode="External"/><Relationship Id="rId100" Type="http://schemas.openxmlformats.org/officeDocument/2006/relationships/hyperlink" Target="https://www.genome.jp/entry/C00002" TargetMode="External"/><Relationship Id="rId282" Type="http://schemas.openxmlformats.org/officeDocument/2006/relationships/hyperlink" Target="https://www.genome.jp/entry/C00263" TargetMode="External"/><Relationship Id="rId338" Type="http://schemas.openxmlformats.org/officeDocument/2006/relationships/hyperlink" Target="https://www.genome.jp/entry/C00605" TargetMode="External"/><Relationship Id="rId503" Type="http://schemas.openxmlformats.org/officeDocument/2006/relationships/hyperlink" Target="https://www.genome.jp/entry/C05402" TargetMode="External"/><Relationship Id="rId545" Type="http://schemas.openxmlformats.org/officeDocument/2006/relationships/hyperlink" Target="https://www.genome.jp/entry/C06611" TargetMode="External"/><Relationship Id="rId587" Type="http://schemas.openxmlformats.org/officeDocument/2006/relationships/hyperlink" Target="https://www.genome.jp/entry/C19078" TargetMode="External"/><Relationship Id="rId8" Type="http://schemas.openxmlformats.org/officeDocument/2006/relationships/hyperlink" Target="https://www.genome.jp/entry/C00704" TargetMode="External"/><Relationship Id="rId142" Type="http://schemas.openxmlformats.org/officeDocument/2006/relationships/hyperlink" Target="https://www.genome.jp/entry/C00002" TargetMode="External"/><Relationship Id="rId184" Type="http://schemas.openxmlformats.org/officeDocument/2006/relationships/hyperlink" Target="https://www.genome.jp/entry/C00044" TargetMode="External"/><Relationship Id="rId391" Type="http://schemas.openxmlformats.org/officeDocument/2006/relationships/hyperlink" Target="https://www.genome.jp/entry/C01172" TargetMode="External"/><Relationship Id="rId405" Type="http://schemas.openxmlformats.org/officeDocument/2006/relationships/hyperlink" Target="https://www.genome.jp/entry/C01613" TargetMode="External"/><Relationship Id="rId447" Type="http://schemas.openxmlformats.org/officeDocument/2006/relationships/hyperlink" Target="https://www.genome.jp/entry/C03794" TargetMode="External"/><Relationship Id="rId612" Type="http://schemas.openxmlformats.org/officeDocument/2006/relationships/hyperlink" Target="https://www.genome.jp/entry/G00249" TargetMode="External"/><Relationship Id="rId251" Type="http://schemas.openxmlformats.org/officeDocument/2006/relationships/hyperlink" Target="https://www.genome.jp/entry/C00143" TargetMode="External"/><Relationship Id="rId489" Type="http://schemas.openxmlformats.org/officeDocument/2006/relationships/hyperlink" Target="https://www.genome.jp/entry/C04916" TargetMode="External"/><Relationship Id="rId46" Type="http://schemas.openxmlformats.org/officeDocument/2006/relationships/hyperlink" Target="https://www.genome.jp/entry/C00002" TargetMode="External"/><Relationship Id="rId293" Type="http://schemas.openxmlformats.org/officeDocument/2006/relationships/hyperlink" Target="https://www.genome.jp/entry/C00337" TargetMode="External"/><Relationship Id="rId307" Type="http://schemas.openxmlformats.org/officeDocument/2006/relationships/hyperlink" Target="https://www.genome.jp/entry/C00365" TargetMode="External"/><Relationship Id="rId349" Type="http://schemas.openxmlformats.org/officeDocument/2006/relationships/hyperlink" Target="https://www.genome.jp/entry/C00663" TargetMode="External"/><Relationship Id="rId514" Type="http://schemas.openxmlformats.org/officeDocument/2006/relationships/hyperlink" Target="https://www.genome.jp/entry/C05749" TargetMode="External"/><Relationship Id="rId556" Type="http://schemas.openxmlformats.org/officeDocument/2006/relationships/hyperlink" Target="https://www.genome.jp/entry/C11038" TargetMode="External"/><Relationship Id="rId88" Type="http://schemas.openxmlformats.org/officeDocument/2006/relationships/hyperlink" Target="https://www.genome.jp/entry/C00002" TargetMode="External"/><Relationship Id="rId111" Type="http://schemas.openxmlformats.org/officeDocument/2006/relationships/hyperlink" Target="https://www.genome.jp/entry/C00002" TargetMode="External"/><Relationship Id="rId153" Type="http://schemas.openxmlformats.org/officeDocument/2006/relationships/hyperlink" Target="https://www.genome.jp/entry/C00019" TargetMode="External"/><Relationship Id="rId195" Type="http://schemas.openxmlformats.org/officeDocument/2006/relationships/hyperlink" Target="https://www.genome.jp/entry/C00063" TargetMode="External"/><Relationship Id="rId209" Type="http://schemas.openxmlformats.org/officeDocument/2006/relationships/hyperlink" Target="https://www.genome.jp/entry/C00075" TargetMode="External"/><Relationship Id="rId360" Type="http://schemas.openxmlformats.org/officeDocument/2006/relationships/hyperlink" Target="https://www.genome.jp/entry/C00680" TargetMode="External"/><Relationship Id="rId416" Type="http://schemas.openxmlformats.org/officeDocument/2006/relationships/hyperlink" Target="https://www.genome.jp/entry/C02291" TargetMode="External"/><Relationship Id="rId598" Type="http://schemas.openxmlformats.org/officeDocument/2006/relationships/hyperlink" Target="https://www.genome.jp/entry/C20641" TargetMode="External"/><Relationship Id="rId220" Type="http://schemas.openxmlformats.org/officeDocument/2006/relationships/hyperlink" Target="https://www.genome.jp/entry/C00093" TargetMode="External"/><Relationship Id="rId458" Type="http://schemas.openxmlformats.org/officeDocument/2006/relationships/hyperlink" Target="https://www.genome.jp/entry/C04232" TargetMode="External"/><Relationship Id="rId623" Type="http://schemas.openxmlformats.org/officeDocument/2006/relationships/hyperlink" Target="https://www.genome.jp/entry/G10495" TargetMode="External"/><Relationship Id="rId15" Type="http://schemas.openxmlformats.org/officeDocument/2006/relationships/hyperlink" Target="https://www.genome.jp/entry/C00002" TargetMode="External"/><Relationship Id="rId57" Type="http://schemas.openxmlformats.org/officeDocument/2006/relationships/hyperlink" Target="https://www.genome.jp/entry/C00002" TargetMode="External"/><Relationship Id="rId262" Type="http://schemas.openxmlformats.org/officeDocument/2006/relationships/hyperlink" Target="https://www.genome.jp/entry/C00173" TargetMode="External"/><Relationship Id="rId318" Type="http://schemas.openxmlformats.org/officeDocument/2006/relationships/hyperlink" Target="https://www.genome.jp/entry/C00441" TargetMode="External"/><Relationship Id="rId525" Type="http://schemas.openxmlformats.org/officeDocument/2006/relationships/hyperlink" Target="https://www.genome.jp/entry/C05921" TargetMode="External"/><Relationship Id="rId567" Type="http://schemas.openxmlformats.org/officeDocument/2006/relationships/hyperlink" Target="https://www.genome.jp/entry/C16169" TargetMode="External"/><Relationship Id="rId99" Type="http://schemas.openxmlformats.org/officeDocument/2006/relationships/hyperlink" Target="https://www.genome.jp/entry/C00002" TargetMode="External"/><Relationship Id="rId122" Type="http://schemas.openxmlformats.org/officeDocument/2006/relationships/hyperlink" Target="https://www.genome.jp/entry/C00002" TargetMode="External"/><Relationship Id="rId164" Type="http://schemas.openxmlformats.org/officeDocument/2006/relationships/hyperlink" Target="https://www.genome.jp/entry/C00022" TargetMode="External"/><Relationship Id="rId371" Type="http://schemas.openxmlformats.org/officeDocument/2006/relationships/hyperlink" Target="https://www.genome.jp/entry/C00868" TargetMode="External"/><Relationship Id="rId427" Type="http://schemas.openxmlformats.org/officeDocument/2006/relationships/hyperlink" Target="https://www.genome.jp/entry/C02739" TargetMode="External"/><Relationship Id="rId469" Type="http://schemas.openxmlformats.org/officeDocument/2006/relationships/hyperlink" Target="https://www.genome.jp/entry/C04618" TargetMode="External"/><Relationship Id="rId26" Type="http://schemas.openxmlformats.org/officeDocument/2006/relationships/hyperlink" Target="https://www.genome.jp/entry/C00002" TargetMode="External"/><Relationship Id="rId231" Type="http://schemas.openxmlformats.org/officeDocument/2006/relationships/hyperlink" Target="https://www.genome.jp/entry/C00101" TargetMode="External"/><Relationship Id="rId273" Type="http://schemas.openxmlformats.org/officeDocument/2006/relationships/hyperlink" Target="https://www.genome.jp/entry/C00226" TargetMode="External"/><Relationship Id="rId329" Type="http://schemas.openxmlformats.org/officeDocument/2006/relationships/hyperlink" Target="https://www.genome.jp/entry/C00475" TargetMode="External"/><Relationship Id="rId480" Type="http://schemas.openxmlformats.org/officeDocument/2006/relationships/hyperlink" Target="https://www.genome.jp/entry/C04688" TargetMode="External"/><Relationship Id="rId536" Type="http://schemas.openxmlformats.org/officeDocument/2006/relationships/hyperlink" Target="https://www.genome.jp/entry/C06055" TargetMode="External"/><Relationship Id="rId68" Type="http://schemas.openxmlformats.org/officeDocument/2006/relationships/hyperlink" Target="https://www.genome.jp/entry/C00002" TargetMode="External"/><Relationship Id="rId133" Type="http://schemas.openxmlformats.org/officeDocument/2006/relationships/hyperlink" Target="https://www.genome.jp/entry/C00002" TargetMode="External"/><Relationship Id="rId175" Type="http://schemas.openxmlformats.org/officeDocument/2006/relationships/hyperlink" Target="https://www.genome.jp/entry/C00029" TargetMode="External"/><Relationship Id="rId340" Type="http://schemas.openxmlformats.org/officeDocument/2006/relationships/hyperlink" Target="https://www.genome.jp/entry/C00620" TargetMode="External"/><Relationship Id="rId578" Type="http://schemas.openxmlformats.org/officeDocument/2006/relationships/hyperlink" Target="https://www.genome.jp/entry/C16618" TargetMode="External"/><Relationship Id="rId200" Type="http://schemas.openxmlformats.org/officeDocument/2006/relationships/hyperlink" Target="https://www.genome.jp/entry/C00065" TargetMode="External"/><Relationship Id="rId382" Type="http://schemas.openxmlformats.org/officeDocument/2006/relationships/hyperlink" Target="https://www.genome.jp/entry/C01101" TargetMode="External"/><Relationship Id="rId438" Type="http://schemas.openxmlformats.org/officeDocument/2006/relationships/hyperlink" Target="https://www.genome.jp/entry/C03023" TargetMode="External"/><Relationship Id="rId603" Type="http://schemas.openxmlformats.org/officeDocument/2006/relationships/hyperlink" Target="https://www.genome.jp/entry/C22442" TargetMode="External"/><Relationship Id="rId242" Type="http://schemas.openxmlformats.org/officeDocument/2006/relationships/hyperlink" Target="https://www.genome.jp/entry/C00130" TargetMode="External"/><Relationship Id="rId284" Type="http://schemas.openxmlformats.org/officeDocument/2006/relationships/hyperlink" Target="https://www.genome.jp/entry/C00269" TargetMode="External"/><Relationship Id="rId491" Type="http://schemas.openxmlformats.org/officeDocument/2006/relationships/hyperlink" Target="https://www.genome.jp/entry/C05167" TargetMode="External"/><Relationship Id="rId505" Type="http://schemas.openxmlformats.org/officeDocument/2006/relationships/hyperlink" Target="https://www.genome.jp/entry/C05404" TargetMode="External"/><Relationship Id="rId37" Type="http://schemas.openxmlformats.org/officeDocument/2006/relationships/hyperlink" Target="https://www.genome.jp/entry/C00002" TargetMode="External"/><Relationship Id="rId79" Type="http://schemas.openxmlformats.org/officeDocument/2006/relationships/hyperlink" Target="https://www.genome.jp/entry/C00002" TargetMode="External"/><Relationship Id="rId102" Type="http://schemas.openxmlformats.org/officeDocument/2006/relationships/hyperlink" Target="https://www.genome.jp/entry/C00002" TargetMode="External"/><Relationship Id="rId144" Type="http://schemas.openxmlformats.org/officeDocument/2006/relationships/hyperlink" Target="https://www.genome.jp/entry/C00002" TargetMode="External"/><Relationship Id="rId547" Type="http://schemas.openxmlformats.org/officeDocument/2006/relationships/hyperlink" Target="https://www.genome.jp/entry/C06715" TargetMode="External"/><Relationship Id="rId589" Type="http://schemas.openxmlformats.org/officeDocument/2006/relationships/hyperlink" Target="https://www.genome.jp/entry/C19673" TargetMode="External"/><Relationship Id="rId90" Type="http://schemas.openxmlformats.org/officeDocument/2006/relationships/hyperlink" Target="https://www.genome.jp/entry/C00002" TargetMode="External"/><Relationship Id="rId186" Type="http://schemas.openxmlformats.org/officeDocument/2006/relationships/hyperlink" Target="https://www.genome.jp/entry/C00044" TargetMode="External"/><Relationship Id="rId351" Type="http://schemas.openxmlformats.org/officeDocument/2006/relationships/hyperlink" Target="https://www.genome.jp/entry/C00666" TargetMode="External"/><Relationship Id="rId393" Type="http://schemas.openxmlformats.org/officeDocument/2006/relationships/hyperlink" Target="https://www.genome.jp/entry/C01185" TargetMode="External"/><Relationship Id="rId407" Type="http://schemas.openxmlformats.org/officeDocument/2006/relationships/hyperlink" Target="https://www.genome.jp/entry/C01641" TargetMode="External"/><Relationship Id="rId449" Type="http://schemas.openxmlformats.org/officeDocument/2006/relationships/hyperlink" Target="https://www.genome.jp/entry/C03838" TargetMode="External"/><Relationship Id="rId614" Type="http://schemas.openxmlformats.org/officeDocument/2006/relationships/hyperlink" Target="https://www.genome.jp/entry/G00278" TargetMode="External"/><Relationship Id="rId211" Type="http://schemas.openxmlformats.org/officeDocument/2006/relationships/hyperlink" Target="https://www.genome.jp/entry/C00075" TargetMode="External"/><Relationship Id="rId253" Type="http://schemas.openxmlformats.org/officeDocument/2006/relationships/hyperlink" Target="https://www.genome.jp/entry/C00148" TargetMode="External"/><Relationship Id="rId295" Type="http://schemas.openxmlformats.org/officeDocument/2006/relationships/hyperlink" Target="https://www.genome.jp/entry/C00342" TargetMode="External"/><Relationship Id="rId309" Type="http://schemas.openxmlformats.org/officeDocument/2006/relationships/hyperlink" Target="https://www.genome.jp/entry/C00369" TargetMode="External"/><Relationship Id="rId460" Type="http://schemas.openxmlformats.org/officeDocument/2006/relationships/hyperlink" Target="https://www.genome.jp/entry/C04258" TargetMode="External"/><Relationship Id="rId516" Type="http://schemas.openxmlformats.org/officeDocument/2006/relationships/hyperlink" Target="https://www.genome.jp/entry/C05755" TargetMode="External"/><Relationship Id="rId48" Type="http://schemas.openxmlformats.org/officeDocument/2006/relationships/hyperlink" Target="https://www.genome.jp/entry/C00002" TargetMode="External"/><Relationship Id="rId113" Type="http://schemas.openxmlformats.org/officeDocument/2006/relationships/hyperlink" Target="https://www.genome.jp/entry/C00002" TargetMode="External"/><Relationship Id="rId320" Type="http://schemas.openxmlformats.org/officeDocument/2006/relationships/hyperlink" Target="https://www.genome.jp/entry/C00447" TargetMode="External"/><Relationship Id="rId558" Type="http://schemas.openxmlformats.org/officeDocument/2006/relationships/hyperlink" Target="https://www.genome.jp/entry/C11215" TargetMode="External"/><Relationship Id="rId155" Type="http://schemas.openxmlformats.org/officeDocument/2006/relationships/hyperlink" Target="https://www.genome.jp/entry/C00019" TargetMode="External"/><Relationship Id="rId197" Type="http://schemas.openxmlformats.org/officeDocument/2006/relationships/hyperlink" Target="https://www.genome.jp/entry/C00064" TargetMode="External"/><Relationship Id="rId362" Type="http://schemas.openxmlformats.org/officeDocument/2006/relationships/hyperlink" Target="https://www.genome.jp/entry/C00705" TargetMode="External"/><Relationship Id="rId418" Type="http://schemas.openxmlformats.org/officeDocument/2006/relationships/hyperlink" Target="https://www.genome.jp/entry/C02501" TargetMode="External"/><Relationship Id="rId625" Type="http://schemas.openxmlformats.org/officeDocument/2006/relationships/hyperlink" Target="https://www.genome.jp/entry/G10504" TargetMode="External"/><Relationship Id="rId222" Type="http://schemas.openxmlformats.org/officeDocument/2006/relationships/hyperlink" Target="https://www.genome.jp/entry/C00097" TargetMode="External"/><Relationship Id="rId264" Type="http://schemas.openxmlformats.org/officeDocument/2006/relationships/hyperlink" Target="https://www.genome.jp/entry/C00188" TargetMode="External"/><Relationship Id="rId471" Type="http://schemas.openxmlformats.org/officeDocument/2006/relationships/hyperlink" Target="https://www.genome.jp/entry/C04619" TargetMode="External"/><Relationship Id="rId17" Type="http://schemas.openxmlformats.org/officeDocument/2006/relationships/hyperlink" Target="https://www.genome.jp/entry/C00002" TargetMode="External"/><Relationship Id="rId59" Type="http://schemas.openxmlformats.org/officeDocument/2006/relationships/hyperlink" Target="https://www.genome.jp/entry/C00002" TargetMode="External"/><Relationship Id="rId124" Type="http://schemas.openxmlformats.org/officeDocument/2006/relationships/hyperlink" Target="https://www.genome.jp/entry/C00002" TargetMode="External"/><Relationship Id="rId527" Type="http://schemas.openxmlformats.org/officeDocument/2006/relationships/hyperlink" Target="https://www.genome.jp/entry/C06010" TargetMode="External"/><Relationship Id="rId569" Type="http://schemas.openxmlformats.org/officeDocument/2006/relationships/hyperlink" Target="https://www.genome.jp/entry/C16238" TargetMode="External"/><Relationship Id="rId70" Type="http://schemas.openxmlformats.org/officeDocument/2006/relationships/hyperlink" Target="https://www.genome.jp/entry/C00002" TargetMode="External"/><Relationship Id="rId166" Type="http://schemas.openxmlformats.org/officeDocument/2006/relationships/hyperlink" Target="https://www.genome.jp/entry/C00024" TargetMode="External"/><Relationship Id="rId331" Type="http://schemas.openxmlformats.org/officeDocument/2006/relationships/hyperlink" Target="https://www.genome.jp/entry/C00492" TargetMode="External"/><Relationship Id="rId373" Type="http://schemas.openxmlformats.org/officeDocument/2006/relationships/hyperlink" Target="https://www.genome.jp/entry/C00900" TargetMode="External"/><Relationship Id="rId429" Type="http://schemas.openxmlformats.org/officeDocument/2006/relationships/hyperlink" Target="https://www.genome.jp/entry/C02741" TargetMode="External"/><Relationship Id="rId580" Type="http://schemas.openxmlformats.org/officeDocument/2006/relationships/hyperlink" Target="https://www.genome.jp/entry/C16635" TargetMode="External"/><Relationship Id="rId1" Type="http://schemas.openxmlformats.org/officeDocument/2006/relationships/hyperlink" Target="https://www.genome.jp/entry/C00002" TargetMode="External"/><Relationship Id="rId233" Type="http://schemas.openxmlformats.org/officeDocument/2006/relationships/hyperlink" Target="https://www.genome.jp/entry/C00105" TargetMode="External"/><Relationship Id="rId440" Type="http://schemas.openxmlformats.org/officeDocument/2006/relationships/hyperlink" Target="https://www.genome.jp/entry/C03090" TargetMode="External"/><Relationship Id="rId28" Type="http://schemas.openxmlformats.org/officeDocument/2006/relationships/hyperlink" Target="https://www.genome.jp/entry/C00002" TargetMode="External"/><Relationship Id="rId275" Type="http://schemas.openxmlformats.org/officeDocument/2006/relationships/hyperlink" Target="https://www.genome.jp/entry/C00234" TargetMode="External"/><Relationship Id="rId300" Type="http://schemas.openxmlformats.org/officeDocument/2006/relationships/hyperlink" Target="https://www.genome.jp/entry/C00354" TargetMode="External"/><Relationship Id="rId482" Type="http://schemas.openxmlformats.org/officeDocument/2006/relationships/hyperlink" Target="https://www.genome.jp/entry/C04737" TargetMode="External"/><Relationship Id="rId538" Type="http://schemas.openxmlformats.org/officeDocument/2006/relationships/hyperlink" Target="https://www.genome.jp/entry/C06126" TargetMode="External"/><Relationship Id="rId81" Type="http://schemas.openxmlformats.org/officeDocument/2006/relationships/hyperlink" Target="https://www.genome.jp/entry/C00002" TargetMode="External"/><Relationship Id="rId135" Type="http://schemas.openxmlformats.org/officeDocument/2006/relationships/hyperlink" Target="https://www.genome.jp/entry/C00002" TargetMode="External"/><Relationship Id="rId177" Type="http://schemas.openxmlformats.org/officeDocument/2006/relationships/hyperlink" Target="https://www.genome.jp/entry/C00036" TargetMode="External"/><Relationship Id="rId342" Type="http://schemas.openxmlformats.org/officeDocument/2006/relationships/hyperlink" Target="https://www.genome.jp/entry/C00631" TargetMode="External"/><Relationship Id="rId384" Type="http://schemas.openxmlformats.org/officeDocument/2006/relationships/hyperlink" Target="https://www.genome.jp/entry/C01103" TargetMode="External"/><Relationship Id="rId591" Type="http://schemas.openxmlformats.org/officeDocument/2006/relationships/hyperlink" Target="https://www.genome.jp/entry/C19771" TargetMode="External"/><Relationship Id="rId605" Type="http://schemas.openxmlformats.org/officeDocument/2006/relationships/hyperlink" Target="https://www.genome.jp/entry/C23013" TargetMode="External"/><Relationship Id="rId202" Type="http://schemas.openxmlformats.org/officeDocument/2006/relationships/hyperlink" Target="https://www.genome.jp/entry/C00065" TargetMode="External"/><Relationship Id="rId244" Type="http://schemas.openxmlformats.org/officeDocument/2006/relationships/hyperlink" Target="https://www.genome.jp/entry/C00130" TargetMode="External"/><Relationship Id="rId39" Type="http://schemas.openxmlformats.org/officeDocument/2006/relationships/hyperlink" Target="https://www.genome.jp/entry/C00002" TargetMode="External"/><Relationship Id="rId286" Type="http://schemas.openxmlformats.org/officeDocument/2006/relationships/hyperlink" Target="https://www.genome.jp/entry/C00275" TargetMode="External"/><Relationship Id="rId451" Type="http://schemas.openxmlformats.org/officeDocument/2006/relationships/hyperlink" Target="https://www.genome.jp/entry/C03892" TargetMode="External"/><Relationship Id="rId493" Type="http://schemas.openxmlformats.org/officeDocument/2006/relationships/hyperlink" Target="https://www.genome.jp/entry/C05167" TargetMode="External"/><Relationship Id="rId507" Type="http://schemas.openxmlformats.org/officeDocument/2006/relationships/hyperlink" Target="https://www.genome.jp/entry/C05576" TargetMode="External"/><Relationship Id="rId549" Type="http://schemas.openxmlformats.org/officeDocument/2006/relationships/hyperlink" Target="https://www.genome.jp/entry/C06899" TargetMode="External"/><Relationship Id="rId50" Type="http://schemas.openxmlformats.org/officeDocument/2006/relationships/hyperlink" Target="https://www.genome.jp/entry/C00002" TargetMode="External"/><Relationship Id="rId104" Type="http://schemas.openxmlformats.org/officeDocument/2006/relationships/hyperlink" Target="https://www.genome.jp/entry/C00002" TargetMode="External"/><Relationship Id="rId146" Type="http://schemas.openxmlformats.org/officeDocument/2006/relationships/hyperlink" Target="https://www.genome.jp/entry/C00003" TargetMode="External"/><Relationship Id="rId188" Type="http://schemas.openxmlformats.org/officeDocument/2006/relationships/hyperlink" Target="https://www.genome.jp/entry/C00052" TargetMode="External"/><Relationship Id="rId311" Type="http://schemas.openxmlformats.org/officeDocument/2006/relationships/hyperlink" Target="https://www.genome.jp/entry/C00404" TargetMode="External"/><Relationship Id="rId353" Type="http://schemas.openxmlformats.org/officeDocument/2006/relationships/hyperlink" Target="https://www.genome.jp/entry/C00668" TargetMode="External"/><Relationship Id="rId395" Type="http://schemas.openxmlformats.org/officeDocument/2006/relationships/hyperlink" Target="https://www.genome.jp/entry/C01260" TargetMode="External"/><Relationship Id="rId409" Type="http://schemas.openxmlformats.org/officeDocument/2006/relationships/hyperlink" Target="https://www.genome.jp/entry/C01929" TargetMode="External"/><Relationship Id="rId560" Type="http://schemas.openxmlformats.org/officeDocument/2006/relationships/hyperlink" Target="https://www.genome.jp/entry/C11439" TargetMode="External"/><Relationship Id="rId92" Type="http://schemas.openxmlformats.org/officeDocument/2006/relationships/hyperlink" Target="https://www.genome.jp/entry/C00002" TargetMode="External"/><Relationship Id="rId213" Type="http://schemas.openxmlformats.org/officeDocument/2006/relationships/hyperlink" Target="https://www.genome.jp/entry/C00081" TargetMode="External"/><Relationship Id="rId420" Type="http://schemas.openxmlformats.org/officeDocument/2006/relationships/hyperlink" Target="https://www.genome.jp/entry/C02520" TargetMode="External"/><Relationship Id="rId616" Type="http://schemas.openxmlformats.org/officeDocument/2006/relationships/hyperlink" Target="https://www.genome.jp/entry/G00370" TargetMode="External"/><Relationship Id="rId255" Type="http://schemas.openxmlformats.org/officeDocument/2006/relationships/hyperlink" Target="https://www.genome.jp/entry/C00149" TargetMode="External"/><Relationship Id="rId297" Type="http://schemas.openxmlformats.org/officeDocument/2006/relationships/hyperlink" Target="https://www.genome.jp/entry/C00345" TargetMode="External"/><Relationship Id="rId462" Type="http://schemas.openxmlformats.org/officeDocument/2006/relationships/hyperlink" Target="https://www.genome.jp/entry/C04287" TargetMode="External"/><Relationship Id="rId518" Type="http://schemas.openxmlformats.org/officeDocument/2006/relationships/hyperlink" Target="https://www.genome.jp/entry/C05757" TargetMode="External"/><Relationship Id="rId115" Type="http://schemas.openxmlformats.org/officeDocument/2006/relationships/hyperlink" Target="https://www.genome.jp/entry/C00002" TargetMode="External"/><Relationship Id="rId157" Type="http://schemas.openxmlformats.org/officeDocument/2006/relationships/hyperlink" Target="https://www.genome.jp/entry/C00019" TargetMode="External"/><Relationship Id="rId322" Type="http://schemas.openxmlformats.org/officeDocument/2006/relationships/hyperlink" Target="https://www.genome.jp/entry/C00455" TargetMode="External"/><Relationship Id="rId364" Type="http://schemas.openxmlformats.org/officeDocument/2006/relationships/hyperlink" Target="https://www.genome.jp/entry/C00756" TargetMode="External"/><Relationship Id="rId61" Type="http://schemas.openxmlformats.org/officeDocument/2006/relationships/hyperlink" Target="https://www.genome.jp/entry/C00002" TargetMode="External"/><Relationship Id="rId199" Type="http://schemas.openxmlformats.org/officeDocument/2006/relationships/hyperlink" Target="https://www.genome.jp/entry/C00065" TargetMode="External"/><Relationship Id="rId571" Type="http://schemas.openxmlformats.org/officeDocument/2006/relationships/hyperlink" Target="https://www.genome.jp/entry/C16331" TargetMode="External"/><Relationship Id="rId627" Type="http://schemas.openxmlformats.org/officeDocument/2006/relationships/hyperlink" Target="https://www.genome.jp/entry/G10518" TargetMode="External"/><Relationship Id="rId19" Type="http://schemas.openxmlformats.org/officeDocument/2006/relationships/hyperlink" Target="https://www.genome.jp/entry/C00002" TargetMode="External"/><Relationship Id="rId224" Type="http://schemas.openxmlformats.org/officeDocument/2006/relationships/hyperlink" Target="https://www.genome.jp/entry/C00097" TargetMode="External"/><Relationship Id="rId266" Type="http://schemas.openxmlformats.org/officeDocument/2006/relationships/hyperlink" Target="https://www.genome.jp/entry/C00199" TargetMode="External"/><Relationship Id="rId431" Type="http://schemas.openxmlformats.org/officeDocument/2006/relationships/hyperlink" Target="https://www.genome.jp/entry/C02882" TargetMode="External"/><Relationship Id="rId473" Type="http://schemas.openxmlformats.org/officeDocument/2006/relationships/hyperlink" Target="https://www.genome.jp/entry/C04620" TargetMode="External"/><Relationship Id="rId529" Type="http://schemas.openxmlformats.org/officeDocument/2006/relationships/hyperlink" Target="https://www.genome.jp/entry/C06010" TargetMode="External"/><Relationship Id="rId30" Type="http://schemas.openxmlformats.org/officeDocument/2006/relationships/hyperlink" Target="https://www.genome.jp/entry/C00002" TargetMode="External"/><Relationship Id="rId126" Type="http://schemas.openxmlformats.org/officeDocument/2006/relationships/hyperlink" Target="https://www.genome.jp/entry/C00002" TargetMode="External"/><Relationship Id="rId168" Type="http://schemas.openxmlformats.org/officeDocument/2006/relationships/hyperlink" Target="https://www.genome.jp/entry/C00024" TargetMode="External"/><Relationship Id="rId333" Type="http://schemas.openxmlformats.org/officeDocument/2006/relationships/hyperlink" Target="https://www.genome.jp/entry/C00493" TargetMode="External"/><Relationship Id="rId540" Type="http://schemas.openxmlformats.org/officeDocument/2006/relationships/hyperlink" Target="https://www.genome.jp/entry/C06156" TargetMode="External"/><Relationship Id="rId72" Type="http://schemas.openxmlformats.org/officeDocument/2006/relationships/hyperlink" Target="https://www.genome.jp/entry/C00002" TargetMode="External"/><Relationship Id="rId375" Type="http://schemas.openxmlformats.org/officeDocument/2006/relationships/hyperlink" Target="https://www.genome.jp/entry/C00935" TargetMode="External"/><Relationship Id="rId582" Type="http://schemas.openxmlformats.org/officeDocument/2006/relationships/hyperlink" Target="https://www.genome.jp/entry/C16737" TargetMode="External"/><Relationship Id="rId3" Type="http://schemas.openxmlformats.org/officeDocument/2006/relationships/hyperlink" Target="https://www.genome.jp/entry/C00002" TargetMode="External"/><Relationship Id="rId235" Type="http://schemas.openxmlformats.org/officeDocument/2006/relationships/hyperlink" Target="https://www.genome.jp/entry/C00109" TargetMode="External"/><Relationship Id="rId277" Type="http://schemas.openxmlformats.org/officeDocument/2006/relationships/hyperlink" Target="https://www.genome.jp/entry/C00239" TargetMode="External"/><Relationship Id="rId400" Type="http://schemas.openxmlformats.org/officeDocument/2006/relationships/hyperlink" Target="https://www.genome.jp/entry/C01346" TargetMode="External"/><Relationship Id="rId442" Type="http://schemas.openxmlformats.org/officeDocument/2006/relationships/hyperlink" Target="https://www.genome.jp/entry/C03356" TargetMode="External"/><Relationship Id="rId484" Type="http://schemas.openxmlformats.org/officeDocument/2006/relationships/hyperlink" Target="https://www.genome.jp/entry/C04752" TargetMode="External"/><Relationship Id="rId137" Type="http://schemas.openxmlformats.org/officeDocument/2006/relationships/hyperlink" Target="https://www.genome.jp/entry/C00002" TargetMode="External"/><Relationship Id="rId302" Type="http://schemas.openxmlformats.org/officeDocument/2006/relationships/hyperlink" Target="https://www.genome.jp/entry/C00357" TargetMode="External"/><Relationship Id="rId344" Type="http://schemas.openxmlformats.org/officeDocument/2006/relationships/hyperlink" Target="https://www.genome.jp/entry/C00644" TargetMode="External"/><Relationship Id="rId41" Type="http://schemas.openxmlformats.org/officeDocument/2006/relationships/hyperlink" Target="https://www.genome.jp/entry/C00002" TargetMode="External"/><Relationship Id="rId83" Type="http://schemas.openxmlformats.org/officeDocument/2006/relationships/hyperlink" Target="https://www.genome.jp/entry/C00002" TargetMode="External"/><Relationship Id="rId179" Type="http://schemas.openxmlformats.org/officeDocument/2006/relationships/hyperlink" Target="https://www.genome.jp/entry/C00040" TargetMode="External"/><Relationship Id="rId386" Type="http://schemas.openxmlformats.org/officeDocument/2006/relationships/hyperlink" Target="https://www.genome.jp/entry/C01157" TargetMode="External"/><Relationship Id="rId551" Type="http://schemas.openxmlformats.org/officeDocument/2006/relationships/hyperlink" Target="https://www.genome.jp/entry/C07335" TargetMode="External"/><Relationship Id="rId593" Type="http://schemas.openxmlformats.org/officeDocument/2006/relationships/hyperlink" Target="https://www.genome.jp/entry/C20372" TargetMode="External"/><Relationship Id="rId607" Type="http://schemas.openxmlformats.org/officeDocument/2006/relationships/hyperlink" Target="https://www.genome.jp/entry/C23021" TargetMode="External"/><Relationship Id="rId190" Type="http://schemas.openxmlformats.org/officeDocument/2006/relationships/hyperlink" Target="https://www.genome.jp/entry/C00054" TargetMode="External"/><Relationship Id="rId204" Type="http://schemas.openxmlformats.org/officeDocument/2006/relationships/hyperlink" Target="https://www.genome.jp/entry/C00073" TargetMode="External"/><Relationship Id="rId246" Type="http://schemas.openxmlformats.org/officeDocument/2006/relationships/hyperlink" Target="https://www.genome.jp/entry/C00131" TargetMode="External"/><Relationship Id="rId288" Type="http://schemas.openxmlformats.org/officeDocument/2006/relationships/hyperlink" Target="https://www.genome.jp/entry/C00286" TargetMode="External"/><Relationship Id="rId411" Type="http://schemas.openxmlformats.org/officeDocument/2006/relationships/hyperlink" Target="https://www.genome.jp/entry/C01977" TargetMode="External"/><Relationship Id="rId453" Type="http://schemas.openxmlformats.org/officeDocument/2006/relationships/hyperlink" Target="https://www.genome.jp/entry/C03972" TargetMode="External"/><Relationship Id="rId509" Type="http://schemas.openxmlformats.org/officeDocument/2006/relationships/hyperlink" Target="https://www.genome.jp/entry/C05698" TargetMode="External"/><Relationship Id="rId106" Type="http://schemas.openxmlformats.org/officeDocument/2006/relationships/hyperlink" Target="https://www.genome.jp/entry/C00002" TargetMode="External"/><Relationship Id="rId313" Type="http://schemas.openxmlformats.org/officeDocument/2006/relationships/hyperlink" Target="https://www.genome.jp/entry/C00415" TargetMode="External"/><Relationship Id="rId495" Type="http://schemas.openxmlformats.org/officeDocument/2006/relationships/hyperlink" Target="https://www.genome.jp/entry/C05270" TargetMode="External"/><Relationship Id="rId10" Type="http://schemas.openxmlformats.org/officeDocument/2006/relationships/hyperlink" Target="https://www.genome.jp/entry/C00001" TargetMode="External"/><Relationship Id="rId52" Type="http://schemas.openxmlformats.org/officeDocument/2006/relationships/hyperlink" Target="https://www.genome.jp/entry/C00002" TargetMode="External"/><Relationship Id="rId94" Type="http://schemas.openxmlformats.org/officeDocument/2006/relationships/hyperlink" Target="https://www.genome.jp/entry/C00002" TargetMode="External"/><Relationship Id="rId148" Type="http://schemas.openxmlformats.org/officeDocument/2006/relationships/hyperlink" Target="https://www.genome.jp/entry/C00010" TargetMode="External"/><Relationship Id="rId355" Type="http://schemas.openxmlformats.org/officeDocument/2006/relationships/hyperlink" Target="https://www.genome.jp/entry/C00672" TargetMode="External"/><Relationship Id="rId397" Type="http://schemas.openxmlformats.org/officeDocument/2006/relationships/hyperlink" Target="https://www.genome.jp/entry/C01271" TargetMode="External"/><Relationship Id="rId520" Type="http://schemas.openxmlformats.org/officeDocument/2006/relationships/hyperlink" Target="https://www.genome.jp/entry/C05764" TargetMode="External"/><Relationship Id="rId562" Type="http://schemas.openxmlformats.org/officeDocument/2006/relationships/hyperlink" Target="https://www.genome.jp/entry/C14089" TargetMode="External"/><Relationship Id="rId618" Type="http://schemas.openxmlformats.org/officeDocument/2006/relationships/hyperlink" Target="https://www.genome.jp/entry/G00497" TargetMode="External"/><Relationship Id="rId215" Type="http://schemas.openxmlformats.org/officeDocument/2006/relationships/hyperlink" Target="https://www.genome.jp/entry/C00089" TargetMode="External"/><Relationship Id="rId257" Type="http://schemas.openxmlformats.org/officeDocument/2006/relationships/hyperlink" Target="https://www.genome.jp/entry/C00158" TargetMode="External"/><Relationship Id="rId422" Type="http://schemas.openxmlformats.org/officeDocument/2006/relationships/hyperlink" Target="https://www.genome.jp/entry/C02583" TargetMode="External"/><Relationship Id="rId464" Type="http://schemas.openxmlformats.org/officeDocument/2006/relationships/hyperlink" Target="https://www.genome.jp/entry/C04352" TargetMode="External"/><Relationship Id="rId299" Type="http://schemas.openxmlformats.org/officeDocument/2006/relationships/hyperlink" Target="https://www.genome.jp/entry/C00354" TargetMode="External"/><Relationship Id="rId63" Type="http://schemas.openxmlformats.org/officeDocument/2006/relationships/hyperlink" Target="https://www.genome.jp/entry/C00002" TargetMode="External"/><Relationship Id="rId159" Type="http://schemas.openxmlformats.org/officeDocument/2006/relationships/hyperlink" Target="https://www.genome.jp/entry/C00019" TargetMode="External"/><Relationship Id="rId366" Type="http://schemas.openxmlformats.org/officeDocument/2006/relationships/hyperlink" Target="https://www.genome.jp/entry/C00842" TargetMode="External"/><Relationship Id="rId573" Type="http://schemas.openxmlformats.org/officeDocument/2006/relationships/hyperlink" Target="https://www.genome.jp/entry/C16339" TargetMode="External"/><Relationship Id="rId226" Type="http://schemas.openxmlformats.org/officeDocument/2006/relationships/hyperlink" Target="https://www.genome.jp/entry/C00100" TargetMode="External"/><Relationship Id="rId433" Type="http://schemas.openxmlformats.org/officeDocument/2006/relationships/hyperlink" Target="https://www.genome.jp/entry/C02909" TargetMode="External"/><Relationship Id="rId74" Type="http://schemas.openxmlformats.org/officeDocument/2006/relationships/hyperlink" Target="https://www.genome.jp/entry/C00002" TargetMode="External"/><Relationship Id="rId377" Type="http://schemas.openxmlformats.org/officeDocument/2006/relationships/hyperlink" Target="https://www.genome.jp/entry/C01050" TargetMode="External"/><Relationship Id="rId500" Type="http://schemas.openxmlformats.org/officeDocument/2006/relationships/hyperlink" Target="https://www.genome.jp/entry/C05399" TargetMode="External"/><Relationship Id="rId584" Type="http://schemas.openxmlformats.org/officeDocument/2006/relationships/hyperlink" Target="https://www.genome.jp/entry/C17324" TargetMode="External"/><Relationship Id="rId5" Type="http://schemas.openxmlformats.org/officeDocument/2006/relationships/hyperlink" Target="https://www.genome.jp/entry/C00019" TargetMode="External"/><Relationship Id="rId237" Type="http://schemas.openxmlformats.org/officeDocument/2006/relationships/hyperlink" Target="https://www.genome.jp/entry/C00114" TargetMode="External"/><Relationship Id="rId444" Type="http://schemas.openxmlformats.org/officeDocument/2006/relationships/hyperlink" Target="https://www.genome.jp/entry/C03506" TargetMode="External"/><Relationship Id="rId290" Type="http://schemas.openxmlformats.org/officeDocument/2006/relationships/hyperlink" Target="https://www.genome.jp/entry/C00286" TargetMode="External"/><Relationship Id="rId304" Type="http://schemas.openxmlformats.org/officeDocument/2006/relationships/hyperlink" Target="https://www.genome.jp/entry/C00361" TargetMode="External"/><Relationship Id="rId388" Type="http://schemas.openxmlformats.org/officeDocument/2006/relationships/hyperlink" Target="https://www.genome.jp/entry/C01159" TargetMode="External"/><Relationship Id="rId511" Type="http://schemas.openxmlformats.org/officeDocument/2006/relationships/hyperlink" Target="https://www.genome.jp/entry/C05745" TargetMode="External"/><Relationship Id="rId609" Type="http://schemas.openxmlformats.org/officeDocument/2006/relationships/hyperlink" Target="https://www.genome.jp/entry/G00110" TargetMode="External"/><Relationship Id="rId85" Type="http://schemas.openxmlformats.org/officeDocument/2006/relationships/hyperlink" Target="https://www.genome.jp/entry/C00002" TargetMode="External"/><Relationship Id="rId150" Type="http://schemas.openxmlformats.org/officeDocument/2006/relationships/hyperlink" Target="https://www.genome.jp/entry/C00013" TargetMode="External"/><Relationship Id="rId595" Type="http://schemas.openxmlformats.org/officeDocument/2006/relationships/hyperlink" Target="https://www.genome.jp/entry/C20375" TargetMode="External"/><Relationship Id="rId248" Type="http://schemas.openxmlformats.org/officeDocument/2006/relationships/hyperlink" Target="https://www.genome.jp/entry/C00131" TargetMode="External"/><Relationship Id="rId455" Type="http://schemas.openxmlformats.org/officeDocument/2006/relationships/hyperlink" Target="https://www.genome.jp/entry/C03972" TargetMode="External"/><Relationship Id="rId12" Type="http://schemas.openxmlformats.org/officeDocument/2006/relationships/hyperlink" Target="https://www.genome.jp/entry/C00002" TargetMode="External"/><Relationship Id="rId108" Type="http://schemas.openxmlformats.org/officeDocument/2006/relationships/hyperlink" Target="https://www.genome.jp/entry/C00002" TargetMode="External"/><Relationship Id="rId315" Type="http://schemas.openxmlformats.org/officeDocument/2006/relationships/hyperlink" Target="https://www.genome.jp/entry/C00418" TargetMode="External"/><Relationship Id="rId522" Type="http://schemas.openxmlformats.org/officeDocument/2006/relationships/hyperlink" Target="https://www.genome.jp/entry/C05811" TargetMode="External"/><Relationship Id="rId96" Type="http://schemas.openxmlformats.org/officeDocument/2006/relationships/hyperlink" Target="https://www.genome.jp/entry/C00002" TargetMode="External"/><Relationship Id="rId161" Type="http://schemas.openxmlformats.org/officeDocument/2006/relationships/hyperlink" Target="https://www.genome.jp/entry/C00020" TargetMode="External"/><Relationship Id="rId399" Type="http://schemas.openxmlformats.org/officeDocument/2006/relationships/hyperlink" Target="https://www.genome.jp/entry/C01302" TargetMode="External"/><Relationship Id="rId259" Type="http://schemas.openxmlformats.org/officeDocument/2006/relationships/hyperlink" Target="https://www.genome.jp/entry/C00170" TargetMode="External"/><Relationship Id="rId466" Type="http://schemas.openxmlformats.org/officeDocument/2006/relationships/hyperlink" Target="https://www.genome.jp/entry/C04494" TargetMode="External"/><Relationship Id="rId23" Type="http://schemas.openxmlformats.org/officeDocument/2006/relationships/hyperlink" Target="https://www.genome.jp/entry/C00002" TargetMode="External"/><Relationship Id="rId119" Type="http://schemas.openxmlformats.org/officeDocument/2006/relationships/hyperlink" Target="https://www.genome.jp/entry/C00002" TargetMode="External"/><Relationship Id="rId326" Type="http://schemas.openxmlformats.org/officeDocument/2006/relationships/hyperlink" Target="https://www.genome.jp/entry/C00460" TargetMode="External"/><Relationship Id="rId533" Type="http://schemas.openxmlformats.org/officeDocument/2006/relationships/hyperlink" Target="https://www.genome.jp/entry/C06037" TargetMode="External"/><Relationship Id="rId172" Type="http://schemas.openxmlformats.org/officeDocument/2006/relationships/hyperlink" Target="https://www.genome.jp/entry/C00024" TargetMode="External"/><Relationship Id="rId477" Type="http://schemas.openxmlformats.org/officeDocument/2006/relationships/hyperlink" Target="https://www.genome.jp/entry/C04646" TargetMode="External"/><Relationship Id="rId600" Type="http://schemas.openxmlformats.org/officeDocument/2006/relationships/hyperlink" Target="https://www.genome.jp/entry/C21750" TargetMode="External"/><Relationship Id="rId337" Type="http://schemas.openxmlformats.org/officeDocument/2006/relationships/hyperlink" Target="https://www.genome.jp/entry/C00579" TargetMode="External"/><Relationship Id="rId34" Type="http://schemas.openxmlformats.org/officeDocument/2006/relationships/hyperlink" Target="https://www.genome.jp/entry/C00002" TargetMode="External"/><Relationship Id="rId544" Type="http://schemas.openxmlformats.org/officeDocument/2006/relationships/hyperlink" Target="https://www.genome.jp/entry/C06244" TargetMode="External"/><Relationship Id="rId183" Type="http://schemas.openxmlformats.org/officeDocument/2006/relationships/hyperlink" Target="https://www.genome.jp/entry/C00044" TargetMode="External"/><Relationship Id="rId390" Type="http://schemas.openxmlformats.org/officeDocument/2006/relationships/hyperlink" Target="https://www.genome.jp/entry/C01172" TargetMode="External"/><Relationship Id="rId404" Type="http://schemas.openxmlformats.org/officeDocument/2006/relationships/hyperlink" Target="https://www.genome.jp/entry/C01613" TargetMode="External"/><Relationship Id="rId611" Type="http://schemas.openxmlformats.org/officeDocument/2006/relationships/hyperlink" Target="https://www.genome.jp/entry/G00249" TargetMode="External"/><Relationship Id="rId250" Type="http://schemas.openxmlformats.org/officeDocument/2006/relationships/hyperlink" Target="https://www.genome.jp/entry/C00143" TargetMode="External"/><Relationship Id="rId488" Type="http://schemas.openxmlformats.org/officeDocument/2006/relationships/hyperlink" Target="https://www.genome.jp/entry/C04911" TargetMode="External"/><Relationship Id="rId45" Type="http://schemas.openxmlformats.org/officeDocument/2006/relationships/hyperlink" Target="https://www.genome.jp/entry/C00002" TargetMode="External"/><Relationship Id="rId110" Type="http://schemas.openxmlformats.org/officeDocument/2006/relationships/hyperlink" Target="https://www.genome.jp/entry/C00002" TargetMode="External"/><Relationship Id="rId348" Type="http://schemas.openxmlformats.org/officeDocument/2006/relationships/hyperlink" Target="https://www.genome.jp/entry/C00655" TargetMode="External"/><Relationship Id="rId555" Type="http://schemas.openxmlformats.org/officeDocument/2006/relationships/hyperlink" Target="https://www.genome.jp/entry/C09815" TargetMode="External"/><Relationship Id="rId194" Type="http://schemas.openxmlformats.org/officeDocument/2006/relationships/hyperlink" Target="https://www.genome.jp/entry/C00063" TargetMode="External"/><Relationship Id="rId208" Type="http://schemas.openxmlformats.org/officeDocument/2006/relationships/hyperlink" Target="https://www.genome.jp/entry/C00075" TargetMode="External"/><Relationship Id="rId415" Type="http://schemas.openxmlformats.org/officeDocument/2006/relationships/hyperlink" Target="https://www.genome.jp/entry/C02218" TargetMode="External"/><Relationship Id="rId622" Type="http://schemas.openxmlformats.org/officeDocument/2006/relationships/hyperlink" Target="https://www.genome.jp/entry/G10488" TargetMode="External"/><Relationship Id="rId261" Type="http://schemas.openxmlformats.org/officeDocument/2006/relationships/hyperlink" Target="https://www.genome.jp/entry/C00173" TargetMode="External"/><Relationship Id="rId499" Type="http://schemas.openxmlformats.org/officeDocument/2006/relationships/hyperlink" Target="https://www.genome.jp/entry/C05382" TargetMode="External"/><Relationship Id="rId56" Type="http://schemas.openxmlformats.org/officeDocument/2006/relationships/hyperlink" Target="https://www.genome.jp/entry/C00002" TargetMode="External"/><Relationship Id="rId359" Type="http://schemas.openxmlformats.org/officeDocument/2006/relationships/hyperlink" Target="https://www.genome.jp/entry/C00677" TargetMode="External"/><Relationship Id="rId566" Type="http://schemas.openxmlformats.org/officeDocument/2006/relationships/hyperlink" Target="https://www.genome.jp/entry/C15973" TargetMode="External"/><Relationship Id="rId121" Type="http://schemas.openxmlformats.org/officeDocument/2006/relationships/hyperlink" Target="https://www.genome.jp/entry/C00002" TargetMode="External"/><Relationship Id="rId219" Type="http://schemas.openxmlformats.org/officeDocument/2006/relationships/hyperlink" Target="https://www.genome.jp/entry/C00093" TargetMode="External"/><Relationship Id="rId426" Type="http://schemas.openxmlformats.org/officeDocument/2006/relationships/hyperlink" Target="https://www.genome.jp/entry/C02730" TargetMode="External"/><Relationship Id="rId633" Type="http://schemas.openxmlformats.org/officeDocument/2006/relationships/hyperlink" Target="https://www.genome.jp/entry/C00201" TargetMode="External"/><Relationship Id="rId67" Type="http://schemas.openxmlformats.org/officeDocument/2006/relationships/hyperlink" Target="https://www.genome.jp/entry/C00002" TargetMode="External"/><Relationship Id="rId272" Type="http://schemas.openxmlformats.org/officeDocument/2006/relationships/hyperlink" Target="https://www.genome.jp/entry/C00214" TargetMode="External"/><Relationship Id="rId577" Type="http://schemas.openxmlformats.org/officeDocument/2006/relationships/hyperlink" Target="https://www.genome.jp/entry/C16595" TargetMode="External"/><Relationship Id="rId132" Type="http://schemas.openxmlformats.org/officeDocument/2006/relationships/hyperlink" Target="https://www.genome.jp/entry/C00002" TargetMode="External"/><Relationship Id="rId437" Type="http://schemas.openxmlformats.org/officeDocument/2006/relationships/hyperlink" Target="https://www.genome.jp/entry/C03023" TargetMode="External"/><Relationship Id="rId283" Type="http://schemas.openxmlformats.org/officeDocument/2006/relationships/hyperlink" Target="https://www.genome.jp/entry/C00263" TargetMode="External"/><Relationship Id="rId490" Type="http://schemas.openxmlformats.org/officeDocument/2006/relationships/hyperlink" Target="https://www.genome.jp/entry/C04916" TargetMode="External"/><Relationship Id="rId504" Type="http://schemas.openxmlformats.org/officeDocument/2006/relationships/hyperlink" Target="https://www.genome.jp/entry/C05403" TargetMode="External"/><Relationship Id="rId78" Type="http://schemas.openxmlformats.org/officeDocument/2006/relationships/hyperlink" Target="https://www.genome.jp/entry/C00002" TargetMode="External"/><Relationship Id="rId143" Type="http://schemas.openxmlformats.org/officeDocument/2006/relationships/hyperlink" Target="https://www.genome.jp/entry/C00002" TargetMode="External"/><Relationship Id="rId350" Type="http://schemas.openxmlformats.org/officeDocument/2006/relationships/hyperlink" Target="https://www.genome.jp/entry/C00663" TargetMode="External"/><Relationship Id="rId588" Type="http://schemas.openxmlformats.org/officeDocument/2006/relationships/hyperlink" Target="https://www.genome.jp/entry/C1908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entry/C00013" TargetMode="External"/><Relationship Id="rId21" Type="http://schemas.openxmlformats.org/officeDocument/2006/relationships/hyperlink" Target="https://www.genome.jp/entry/C00008" TargetMode="External"/><Relationship Id="rId324" Type="http://schemas.openxmlformats.org/officeDocument/2006/relationships/hyperlink" Target="https://www.genome.jp/entry/C00013" TargetMode="External"/><Relationship Id="rId531" Type="http://schemas.openxmlformats.org/officeDocument/2006/relationships/hyperlink" Target="https://www.genome.jp/entry/C00022" TargetMode="External"/><Relationship Id="rId629" Type="http://schemas.openxmlformats.org/officeDocument/2006/relationships/hyperlink" Target="https://www.genome.jp/entry/C00267" TargetMode="External"/><Relationship Id="rId170" Type="http://schemas.openxmlformats.org/officeDocument/2006/relationships/hyperlink" Target="https://www.genome.jp/entry/C00010" TargetMode="External"/><Relationship Id="rId268" Type="http://schemas.openxmlformats.org/officeDocument/2006/relationships/hyperlink" Target="https://www.genome.jp/entry/C00013" TargetMode="External"/><Relationship Id="rId475" Type="http://schemas.openxmlformats.org/officeDocument/2006/relationships/hyperlink" Target="https://www.genome.jp/entry/C05762" TargetMode="External"/><Relationship Id="rId32" Type="http://schemas.openxmlformats.org/officeDocument/2006/relationships/hyperlink" Target="https://www.genome.jp/entry/C00013" TargetMode="External"/><Relationship Id="rId128" Type="http://schemas.openxmlformats.org/officeDocument/2006/relationships/hyperlink" Target="https://www.genome.jp/entry/C00008" TargetMode="External"/><Relationship Id="rId335" Type="http://schemas.openxmlformats.org/officeDocument/2006/relationships/hyperlink" Target="https://www.genome.jp/entry/C00966" TargetMode="External"/><Relationship Id="rId542" Type="http://schemas.openxmlformats.org/officeDocument/2006/relationships/hyperlink" Target="https://www.genome.jp/entry/C06135" TargetMode="External"/><Relationship Id="rId181" Type="http://schemas.openxmlformats.org/officeDocument/2006/relationships/hyperlink" Target="https://www.genome.jp/entry/C00035" TargetMode="External"/><Relationship Id="rId402" Type="http://schemas.openxmlformats.org/officeDocument/2006/relationships/hyperlink" Target="https://www.genome.jp/entry/C00136" TargetMode="External"/><Relationship Id="rId279" Type="http://schemas.openxmlformats.org/officeDocument/2006/relationships/hyperlink" Target="https://www.genome.jp/entry/C00267" TargetMode="External"/><Relationship Id="rId486" Type="http://schemas.openxmlformats.org/officeDocument/2006/relationships/hyperlink" Target="https://www.genome.jp/entry/C05893" TargetMode="External"/><Relationship Id="rId43" Type="http://schemas.openxmlformats.org/officeDocument/2006/relationships/hyperlink" Target="https://www.genome.jp/entry/C00008" TargetMode="External"/><Relationship Id="rId139" Type="http://schemas.openxmlformats.org/officeDocument/2006/relationships/hyperlink" Target="https://www.genome.jp/entry/C16237" TargetMode="External"/><Relationship Id="rId346" Type="http://schemas.openxmlformats.org/officeDocument/2006/relationships/hyperlink" Target="https://www.genome.jp/entry/C05345" TargetMode="External"/><Relationship Id="rId553" Type="http://schemas.openxmlformats.org/officeDocument/2006/relationships/hyperlink" Target="https://www.genome.jp/entry/C00512" TargetMode="External"/><Relationship Id="rId192" Type="http://schemas.openxmlformats.org/officeDocument/2006/relationships/hyperlink" Target="https://www.genome.jp/entry/C00013" TargetMode="External"/><Relationship Id="rId206" Type="http://schemas.openxmlformats.org/officeDocument/2006/relationships/hyperlink" Target="https://www.genome.jp/entry/C00013" TargetMode="External"/><Relationship Id="rId413" Type="http://schemas.openxmlformats.org/officeDocument/2006/relationships/hyperlink" Target="https://www.genome.jp/entry/C19647" TargetMode="External"/><Relationship Id="rId497" Type="http://schemas.openxmlformats.org/officeDocument/2006/relationships/hyperlink" Target="https://www.genome.jp/entry/C00010" TargetMode="External"/><Relationship Id="rId620" Type="http://schemas.openxmlformats.org/officeDocument/2006/relationships/hyperlink" Target="https://www.genome.jp/entry/C02336" TargetMode="External"/><Relationship Id="rId357" Type="http://schemas.openxmlformats.org/officeDocument/2006/relationships/hyperlink" Target="https://www.genome.jp/entry/C00118" TargetMode="External"/><Relationship Id="rId54" Type="http://schemas.openxmlformats.org/officeDocument/2006/relationships/hyperlink" Target="https://www.genome.jp/entry/C00020" TargetMode="External"/><Relationship Id="rId217" Type="http://schemas.openxmlformats.org/officeDocument/2006/relationships/hyperlink" Target="https://www.genome.jp/entry/C00085" TargetMode="External"/><Relationship Id="rId564" Type="http://schemas.openxmlformats.org/officeDocument/2006/relationships/hyperlink" Target="https://www.genome.jp/entry/C14090" TargetMode="External"/><Relationship Id="rId424" Type="http://schemas.openxmlformats.org/officeDocument/2006/relationships/hyperlink" Target="https://www.genome.jp/entry/C00010" TargetMode="External"/><Relationship Id="rId631" Type="http://schemas.openxmlformats.org/officeDocument/2006/relationships/hyperlink" Target="https://www.genome.jp/entry/C00031" TargetMode="External"/><Relationship Id="rId270" Type="http://schemas.openxmlformats.org/officeDocument/2006/relationships/hyperlink" Target="https://www.genome.jp/entry/C00031" TargetMode="External"/><Relationship Id="rId65" Type="http://schemas.openxmlformats.org/officeDocument/2006/relationships/hyperlink" Target="https://www.genome.jp/entry/C00020" TargetMode="External"/><Relationship Id="rId130" Type="http://schemas.openxmlformats.org/officeDocument/2006/relationships/hyperlink" Target="https://www.genome.jp/entry/C00008" TargetMode="External"/><Relationship Id="rId368" Type="http://schemas.openxmlformats.org/officeDocument/2006/relationships/hyperlink" Target="https://www.genome.jp/entry/C15584" TargetMode="External"/><Relationship Id="rId575" Type="http://schemas.openxmlformats.org/officeDocument/2006/relationships/hyperlink" Target="https://www.genome.jp/entry/C00010" TargetMode="External"/><Relationship Id="rId228" Type="http://schemas.openxmlformats.org/officeDocument/2006/relationships/hyperlink" Target="https://www.genome.jp/entry/C00504" TargetMode="External"/><Relationship Id="rId435" Type="http://schemas.openxmlformats.org/officeDocument/2006/relationships/hyperlink" Target="https://www.genome.jp/entry/C02051" TargetMode="External"/><Relationship Id="rId281" Type="http://schemas.openxmlformats.org/officeDocument/2006/relationships/hyperlink" Target="https://www.genome.jp/entry/C00441" TargetMode="External"/><Relationship Id="rId502" Type="http://schemas.openxmlformats.org/officeDocument/2006/relationships/hyperlink" Target="https://www.genome.jp/entry/C00794" TargetMode="External"/><Relationship Id="rId76" Type="http://schemas.openxmlformats.org/officeDocument/2006/relationships/hyperlink" Target="https://www.genome.jp/entry/C00008" TargetMode="External"/><Relationship Id="rId141" Type="http://schemas.openxmlformats.org/officeDocument/2006/relationships/hyperlink" Target="https://www.genome.jp/entry/C15972" TargetMode="External"/><Relationship Id="rId379" Type="http://schemas.openxmlformats.org/officeDocument/2006/relationships/hyperlink" Target="https://www.genome.jp/entry/C04631" TargetMode="External"/><Relationship Id="rId586" Type="http://schemas.openxmlformats.org/officeDocument/2006/relationships/hyperlink" Target="https://www.genome.jp/entry/C16237" TargetMode="External"/><Relationship Id="rId7" Type="http://schemas.openxmlformats.org/officeDocument/2006/relationships/hyperlink" Target="https://www.genome.jp/entry/C00064" TargetMode="External"/><Relationship Id="rId239" Type="http://schemas.openxmlformats.org/officeDocument/2006/relationships/hyperlink" Target="https://www.genome.jp/entry/C00199" TargetMode="External"/><Relationship Id="rId446" Type="http://schemas.openxmlformats.org/officeDocument/2006/relationships/hyperlink" Target="https://www.genome.jp/entry/C00122" TargetMode="External"/><Relationship Id="rId292" Type="http://schemas.openxmlformats.org/officeDocument/2006/relationships/hyperlink" Target="https://www.genome.jp/entry/C00295" TargetMode="External"/><Relationship Id="rId306" Type="http://schemas.openxmlformats.org/officeDocument/2006/relationships/hyperlink" Target="https://www.genome.jp/entry/C00415" TargetMode="External"/><Relationship Id="rId87" Type="http://schemas.openxmlformats.org/officeDocument/2006/relationships/hyperlink" Target="https://www.genome.jp/entry/C00008" TargetMode="External"/><Relationship Id="rId513" Type="http://schemas.openxmlformats.org/officeDocument/2006/relationships/hyperlink" Target="https://www.genome.jp/entry/C05746" TargetMode="External"/><Relationship Id="rId597" Type="http://schemas.openxmlformats.org/officeDocument/2006/relationships/hyperlink" Target="https://www.genome.jp/entry/C20374" TargetMode="External"/><Relationship Id="rId152" Type="http://schemas.openxmlformats.org/officeDocument/2006/relationships/hyperlink" Target="https://www.genome.jp/entry/C00021" TargetMode="External"/><Relationship Id="rId457" Type="http://schemas.openxmlformats.org/officeDocument/2006/relationships/hyperlink" Target="https://www.genome.jp/entry/C03723" TargetMode="External"/><Relationship Id="rId14" Type="http://schemas.openxmlformats.org/officeDocument/2006/relationships/hyperlink" Target="https://www.genome.jp/entry/C00008" TargetMode="External"/><Relationship Id="rId317" Type="http://schemas.openxmlformats.org/officeDocument/2006/relationships/hyperlink" Target="https://www.genome.jp/entry/C20258" TargetMode="External"/><Relationship Id="rId524" Type="http://schemas.openxmlformats.org/officeDocument/2006/relationships/hyperlink" Target="https://www.genome.jp/entry/C05812" TargetMode="External"/><Relationship Id="rId98" Type="http://schemas.openxmlformats.org/officeDocument/2006/relationships/hyperlink" Target="https://www.genome.jp/entry/C00008" TargetMode="External"/><Relationship Id="rId163" Type="http://schemas.openxmlformats.org/officeDocument/2006/relationships/hyperlink" Target="https://www.genome.jp/entry/C05125" TargetMode="External"/><Relationship Id="rId370" Type="http://schemas.openxmlformats.org/officeDocument/2006/relationships/hyperlink" Target="https://www.genome.jp/entry/C01929" TargetMode="External"/><Relationship Id="rId230" Type="http://schemas.openxmlformats.org/officeDocument/2006/relationships/hyperlink" Target="https://www.genome.jp/entry/C00415" TargetMode="External"/><Relationship Id="rId468" Type="http://schemas.openxmlformats.org/officeDocument/2006/relationships/hyperlink" Target="https://www.genome.jp/entry/C04246" TargetMode="External"/><Relationship Id="rId25" Type="http://schemas.openxmlformats.org/officeDocument/2006/relationships/hyperlink" Target="https://www.genome.jp/entry/C00008" TargetMode="External"/><Relationship Id="rId328" Type="http://schemas.openxmlformats.org/officeDocument/2006/relationships/hyperlink" Target="https://www.genome.jp/entry/C00299" TargetMode="External"/><Relationship Id="rId535" Type="http://schemas.openxmlformats.org/officeDocument/2006/relationships/hyperlink" Target="https://www.genome.jp/entry/C00109" TargetMode="External"/><Relationship Id="rId174" Type="http://schemas.openxmlformats.org/officeDocument/2006/relationships/hyperlink" Target="https://www.genome.jp/entry/C00052" TargetMode="External"/><Relationship Id="rId381" Type="http://schemas.openxmlformats.org/officeDocument/2006/relationships/hyperlink" Target="https://www.genome.jp/entry/C00111" TargetMode="External"/><Relationship Id="rId602" Type="http://schemas.openxmlformats.org/officeDocument/2006/relationships/hyperlink" Target="https://www.genome.jp/entry/C00022" TargetMode="External"/><Relationship Id="rId241" Type="http://schemas.openxmlformats.org/officeDocument/2006/relationships/hyperlink" Target="https://www.genome.jp/entry/C00235" TargetMode="External"/><Relationship Id="rId479" Type="http://schemas.openxmlformats.org/officeDocument/2006/relationships/hyperlink" Target="https://www.genome.jp/entry/C05759" TargetMode="External"/><Relationship Id="rId36" Type="http://schemas.openxmlformats.org/officeDocument/2006/relationships/hyperlink" Target="https://www.genome.jp/entry/C00020" TargetMode="External"/><Relationship Id="rId339" Type="http://schemas.openxmlformats.org/officeDocument/2006/relationships/hyperlink" Target="https://www.genome.jp/entry/C00010" TargetMode="External"/><Relationship Id="rId546" Type="http://schemas.openxmlformats.org/officeDocument/2006/relationships/hyperlink" Target="https://www.genome.jp/entry/C05512" TargetMode="External"/><Relationship Id="rId101" Type="http://schemas.openxmlformats.org/officeDocument/2006/relationships/hyperlink" Target="https://www.genome.jp/entry/C00020" TargetMode="External"/><Relationship Id="rId185" Type="http://schemas.openxmlformats.org/officeDocument/2006/relationships/hyperlink" Target="https://www.genome.jp/entry/C00035" TargetMode="External"/><Relationship Id="rId406" Type="http://schemas.openxmlformats.org/officeDocument/2006/relationships/hyperlink" Target="https://www.genome.jp/entry/C05404" TargetMode="External"/><Relationship Id="rId392" Type="http://schemas.openxmlformats.org/officeDocument/2006/relationships/hyperlink" Target="https://www.genome.jp/entry/C01236" TargetMode="External"/><Relationship Id="rId613" Type="http://schemas.openxmlformats.org/officeDocument/2006/relationships/hyperlink" Target="https://www.genome.jp/entry/G00123" TargetMode="External"/><Relationship Id="rId252" Type="http://schemas.openxmlformats.org/officeDocument/2006/relationships/hyperlink" Target="https://www.genome.jp/entry/C00387" TargetMode="External"/><Relationship Id="rId294" Type="http://schemas.openxmlformats.org/officeDocument/2006/relationships/hyperlink" Target="https://www.genome.jp/entry/C00343" TargetMode="External"/><Relationship Id="rId308" Type="http://schemas.openxmlformats.org/officeDocument/2006/relationships/hyperlink" Target="https://www.genome.jp/entry/C01279" TargetMode="External"/><Relationship Id="rId515" Type="http://schemas.openxmlformats.org/officeDocument/2006/relationships/hyperlink" Target="https://www.genome.jp/entry/C05746" TargetMode="External"/><Relationship Id="rId47" Type="http://schemas.openxmlformats.org/officeDocument/2006/relationships/hyperlink" Target="https://www.genome.jp/entry/C00020" TargetMode="External"/><Relationship Id="rId89" Type="http://schemas.openxmlformats.org/officeDocument/2006/relationships/hyperlink" Target="https://www.genome.jp/entry/C00008" TargetMode="External"/><Relationship Id="rId112" Type="http://schemas.openxmlformats.org/officeDocument/2006/relationships/hyperlink" Target="https://www.genome.jp/entry/C00008" TargetMode="External"/><Relationship Id="rId154" Type="http://schemas.openxmlformats.org/officeDocument/2006/relationships/hyperlink" Target="https://www.genome.jp/entry/C00021" TargetMode="External"/><Relationship Id="rId361" Type="http://schemas.openxmlformats.org/officeDocument/2006/relationships/hyperlink" Target="https://www.genome.jp/entry/C00047" TargetMode="External"/><Relationship Id="rId557" Type="http://schemas.openxmlformats.org/officeDocument/2006/relationships/hyperlink" Target="https://www.genome.jp/entry/C16639" TargetMode="External"/><Relationship Id="rId599" Type="http://schemas.openxmlformats.org/officeDocument/2006/relationships/hyperlink" Target="https://www.genome.jp/entry/C20377" TargetMode="External"/><Relationship Id="rId196" Type="http://schemas.openxmlformats.org/officeDocument/2006/relationships/hyperlink" Target="https://www.genome.jp/entry/C02218" TargetMode="External"/><Relationship Id="rId417" Type="http://schemas.openxmlformats.org/officeDocument/2006/relationships/hyperlink" Target="https://www.genome.jp/entry/C00155" TargetMode="External"/><Relationship Id="rId459" Type="http://schemas.openxmlformats.org/officeDocument/2006/relationships/hyperlink" Target="https://www.genome.jp/entry/C00058" TargetMode="External"/><Relationship Id="rId624" Type="http://schemas.openxmlformats.org/officeDocument/2006/relationships/hyperlink" Target="https://www.genome.jp/entry/G13073" TargetMode="External"/><Relationship Id="rId16" Type="http://schemas.openxmlformats.org/officeDocument/2006/relationships/hyperlink" Target="https://www.genome.jp/entry/C00008" TargetMode="External"/><Relationship Id="rId221" Type="http://schemas.openxmlformats.org/officeDocument/2006/relationships/hyperlink" Target="https://www.genome.jp/entry/C00681" TargetMode="External"/><Relationship Id="rId263" Type="http://schemas.openxmlformats.org/officeDocument/2006/relationships/hyperlink" Target="https://www.genome.jp/entry/C00022" TargetMode="External"/><Relationship Id="rId319" Type="http://schemas.openxmlformats.org/officeDocument/2006/relationships/hyperlink" Target="https://www.genome.jp/entry/C00111" TargetMode="External"/><Relationship Id="rId470" Type="http://schemas.openxmlformats.org/officeDocument/2006/relationships/hyperlink" Target="https://www.genome.jp/entry/C05754" TargetMode="External"/><Relationship Id="rId526" Type="http://schemas.openxmlformats.org/officeDocument/2006/relationships/hyperlink" Target="https://www.genome.jp/entry/C19847" TargetMode="External"/><Relationship Id="rId58" Type="http://schemas.openxmlformats.org/officeDocument/2006/relationships/hyperlink" Target="https://www.genome.jp/entry/C00020" TargetMode="External"/><Relationship Id="rId123" Type="http://schemas.openxmlformats.org/officeDocument/2006/relationships/hyperlink" Target="https://www.genome.jp/entry/C00008" TargetMode="External"/><Relationship Id="rId330" Type="http://schemas.openxmlformats.org/officeDocument/2006/relationships/hyperlink" Target="https://www.genome.jp/entry/C00124" TargetMode="External"/><Relationship Id="rId568" Type="http://schemas.openxmlformats.org/officeDocument/2006/relationships/hyperlink" Target="https://www.genome.jp/entry/C15972" TargetMode="External"/><Relationship Id="rId165" Type="http://schemas.openxmlformats.org/officeDocument/2006/relationships/hyperlink" Target="https://www.genome.jp/entry/C00010" TargetMode="External"/><Relationship Id="rId372" Type="http://schemas.openxmlformats.org/officeDocument/2006/relationships/hyperlink" Target="https://www.genome.jp/entry/C17322" TargetMode="External"/><Relationship Id="rId428" Type="http://schemas.openxmlformats.org/officeDocument/2006/relationships/hyperlink" Target="https://www.genome.jp/entry/C02741" TargetMode="External"/><Relationship Id="rId635" Type="http://schemas.openxmlformats.org/officeDocument/2006/relationships/hyperlink" Target="https://www.genome.jp/entry/G10495" TargetMode="External"/><Relationship Id="rId232" Type="http://schemas.openxmlformats.org/officeDocument/2006/relationships/hyperlink" Target="https://www.genome.jp/entry/C00008" TargetMode="External"/><Relationship Id="rId274" Type="http://schemas.openxmlformats.org/officeDocument/2006/relationships/hyperlink" Target="https://www.genome.jp/entry/C00101" TargetMode="External"/><Relationship Id="rId481" Type="http://schemas.openxmlformats.org/officeDocument/2006/relationships/hyperlink" Target="https://www.genome.jp/entry/C00124" TargetMode="External"/><Relationship Id="rId27" Type="http://schemas.openxmlformats.org/officeDocument/2006/relationships/hyperlink" Target="https://www.genome.jp/entry/C00008" TargetMode="External"/><Relationship Id="rId69" Type="http://schemas.openxmlformats.org/officeDocument/2006/relationships/hyperlink" Target="https://www.genome.jp/entry/C00020" TargetMode="External"/><Relationship Id="rId134" Type="http://schemas.openxmlformats.org/officeDocument/2006/relationships/hyperlink" Target="https://www.genome.jp/entry/C00008" TargetMode="External"/><Relationship Id="rId537" Type="http://schemas.openxmlformats.org/officeDocument/2006/relationships/hyperlink" Target="https://www.genome.jp/entry/C06056" TargetMode="External"/><Relationship Id="rId579" Type="http://schemas.openxmlformats.org/officeDocument/2006/relationships/hyperlink" Target="https://www.genome.jp/entry/C16587" TargetMode="External"/><Relationship Id="rId80" Type="http://schemas.openxmlformats.org/officeDocument/2006/relationships/hyperlink" Target="https://www.genome.jp/entry/C00008" TargetMode="External"/><Relationship Id="rId176" Type="http://schemas.openxmlformats.org/officeDocument/2006/relationships/hyperlink" Target="https://www.genome.jp/entry/C00022" TargetMode="External"/><Relationship Id="rId341" Type="http://schemas.openxmlformats.org/officeDocument/2006/relationships/hyperlink" Target="https://www.genome.jp/entry/C00117" TargetMode="External"/><Relationship Id="rId383" Type="http://schemas.openxmlformats.org/officeDocument/2006/relationships/hyperlink" Target="https://www.genome.jp/entry/C00231" TargetMode="External"/><Relationship Id="rId439" Type="http://schemas.openxmlformats.org/officeDocument/2006/relationships/hyperlink" Target="https://www.genome.jp/entry/C01035" TargetMode="External"/><Relationship Id="rId590" Type="http://schemas.openxmlformats.org/officeDocument/2006/relationships/hyperlink" Target="https://www.genome.jp/entry/C19080" TargetMode="External"/><Relationship Id="rId604" Type="http://schemas.openxmlformats.org/officeDocument/2006/relationships/hyperlink" Target="https://www.genome.jp/entry/C22441" TargetMode="External"/><Relationship Id="rId201" Type="http://schemas.openxmlformats.org/officeDocument/2006/relationships/hyperlink" Target="https://www.genome.jp/entry/C15999" TargetMode="External"/><Relationship Id="rId243" Type="http://schemas.openxmlformats.org/officeDocument/2006/relationships/hyperlink" Target="https://www.genome.jp/entry/C04734" TargetMode="External"/><Relationship Id="rId285" Type="http://schemas.openxmlformats.org/officeDocument/2006/relationships/hyperlink" Target="https://www.genome.jp/entry/C00085" TargetMode="External"/><Relationship Id="rId450" Type="http://schemas.openxmlformats.org/officeDocument/2006/relationships/hyperlink" Target="https://www.genome.jp/entry/C00344" TargetMode="External"/><Relationship Id="rId506" Type="http://schemas.openxmlformats.org/officeDocument/2006/relationships/hyperlink" Target="https://www.genome.jp/entry/C05394" TargetMode="External"/><Relationship Id="rId38" Type="http://schemas.openxmlformats.org/officeDocument/2006/relationships/hyperlink" Target="https://www.genome.jp/entry/C00013" TargetMode="External"/><Relationship Id="rId103" Type="http://schemas.openxmlformats.org/officeDocument/2006/relationships/hyperlink" Target="https://www.genome.jp/entry/C00008" TargetMode="External"/><Relationship Id="rId310" Type="http://schemas.openxmlformats.org/officeDocument/2006/relationships/hyperlink" Target="https://www.genome.jp/entry/C00504" TargetMode="External"/><Relationship Id="rId492" Type="http://schemas.openxmlformats.org/officeDocument/2006/relationships/hyperlink" Target="https://www.genome.jp/entry/C00161" TargetMode="External"/><Relationship Id="rId548" Type="http://schemas.openxmlformats.org/officeDocument/2006/relationships/hyperlink" Target="https://www.genome.jp/entry/C06613" TargetMode="External"/><Relationship Id="rId91" Type="http://schemas.openxmlformats.org/officeDocument/2006/relationships/hyperlink" Target="https://www.genome.jp/entry/C00008" TargetMode="External"/><Relationship Id="rId145" Type="http://schemas.openxmlformats.org/officeDocument/2006/relationships/hyperlink" Target="https://www.genome.jp/entry/C00153" TargetMode="External"/><Relationship Id="rId187" Type="http://schemas.openxmlformats.org/officeDocument/2006/relationships/hyperlink" Target="https://www.genome.jp/entry/C03733" TargetMode="External"/><Relationship Id="rId352" Type="http://schemas.openxmlformats.org/officeDocument/2006/relationships/hyperlink" Target="https://www.genome.jp/entry/C00680" TargetMode="External"/><Relationship Id="rId394" Type="http://schemas.openxmlformats.org/officeDocument/2006/relationships/hyperlink" Target="https://www.genome.jp/entry/C00253" TargetMode="External"/><Relationship Id="rId408" Type="http://schemas.openxmlformats.org/officeDocument/2006/relationships/hyperlink" Target="https://www.genome.jp/entry/C02987" TargetMode="External"/><Relationship Id="rId615" Type="http://schemas.openxmlformats.org/officeDocument/2006/relationships/hyperlink" Target="https://www.genome.jp/entry/G01275" TargetMode="External"/><Relationship Id="rId212" Type="http://schemas.openxmlformats.org/officeDocument/2006/relationships/hyperlink" Target="https://www.genome.jp/entry/C00010" TargetMode="External"/><Relationship Id="rId254" Type="http://schemas.openxmlformats.org/officeDocument/2006/relationships/hyperlink" Target="https://www.genome.jp/entry/C03912" TargetMode="External"/><Relationship Id="rId49" Type="http://schemas.openxmlformats.org/officeDocument/2006/relationships/hyperlink" Target="https://www.genome.jp/entry/C00013" TargetMode="External"/><Relationship Id="rId114" Type="http://schemas.openxmlformats.org/officeDocument/2006/relationships/hyperlink" Target="https://www.genome.jp/entry/C00008" TargetMode="External"/><Relationship Id="rId296" Type="http://schemas.openxmlformats.org/officeDocument/2006/relationships/hyperlink" Target="https://www.genome.jp/entry/C00085" TargetMode="External"/><Relationship Id="rId461" Type="http://schemas.openxmlformats.org/officeDocument/2006/relationships/hyperlink" Target="https://www.genome.jp/entry/C16737" TargetMode="External"/><Relationship Id="rId517" Type="http://schemas.openxmlformats.org/officeDocument/2006/relationships/hyperlink" Target="https://www.genome.jp/entry/C05753" TargetMode="External"/><Relationship Id="rId559" Type="http://schemas.openxmlformats.org/officeDocument/2006/relationships/hyperlink" Target="https://www.genome.jp/entry/C11039" TargetMode="External"/><Relationship Id="rId60" Type="http://schemas.openxmlformats.org/officeDocument/2006/relationships/hyperlink" Target="https://www.genome.jp/entry/C00020" TargetMode="External"/><Relationship Id="rId156" Type="http://schemas.openxmlformats.org/officeDocument/2006/relationships/hyperlink" Target="https://www.genome.jp/entry/C00021" TargetMode="External"/><Relationship Id="rId198" Type="http://schemas.openxmlformats.org/officeDocument/2006/relationships/hyperlink" Target="https://www.genome.jp/entry/C04377" TargetMode="External"/><Relationship Id="rId321" Type="http://schemas.openxmlformats.org/officeDocument/2006/relationships/hyperlink" Target="https://www.genome.jp/entry/C03150" TargetMode="External"/><Relationship Id="rId363" Type="http://schemas.openxmlformats.org/officeDocument/2006/relationships/hyperlink" Target="https://www.genome.jp/entry/C00342" TargetMode="External"/><Relationship Id="rId419" Type="http://schemas.openxmlformats.org/officeDocument/2006/relationships/hyperlink" Target="https://www.genome.jp/entry/C03453" TargetMode="External"/><Relationship Id="rId570" Type="http://schemas.openxmlformats.org/officeDocument/2006/relationships/hyperlink" Target="https://www.genome.jp/entry/C00010" TargetMode="External"/><Relationship Id="rId626" Type="http://schemas.openxmlformats.org/officeDocument/2006/relationships/hyperlink" Target="https://www.genome.jp/entry/G10495" TargetMode="External"/><Relationship Id="rId223" Type="http://schemas.openxmlformats.org/officeDocument/2006/relationships/hyperlink" Target="https://www.genome.jp/entry/C05526" TargetMode="External"/><Relationship Id="rId430" Type="http://schemas.openxmlformats.org/officeDocument/2006/relationships/hyperlink" Target="https://www.genome.jp/entry/C00812" TargetMode="External"/><Relationship Id="rId18" Type="http://schemas.openxmlformats.org/officeDocument/2006/relationships/hyperlink" Target="https://www.genome.jp/entry/C00008" TargetMode="External"/><Relationship Id="rId265" Type="http://schemas.openxmlformats.org/officeDocument/2006/relationships/hyperlink" Target="https://www.genome.jp/entry/C00231" TargetMode="External"/><Relationship Id="rId472" Type="http://schemas.openxmlformats.org/officeDocument/2006/relationships/hyperlink" Target="https://www.genome.jp/entry/C05751" TargetMode="External"/><Relationship Id="rId528" Type="http://schemas.openxmlformats.org/officeDocument/2006/relationships/hyperlink" Target="https://www.genome.jp/entry/C00020" TargetMode="External"/><Relationship Id="rId125" Type="http://schemas.openxmlformats.org/officeDocument/2006/relationships/hyperlink" Target="https://www.genome.jp/entry/C00008" TargetMode="External"/><Relationship Id="rId167" Type="http://schemas.openxmlformats.org/officeDocument/2006/relationships/hyperlink" Target="https://www.genome.jp/entry/C00010" TargetMode="External"/><Relationship Id="rId332" Type="http://schemas.openxmlformats.org/officeDocument/2006/relationships/hyperlink" Target="https://www.genome.jp/entry/C02637" TargetMode="External"/><Relationship Id="rId374" Type="http://schemas.openxmlformats.org/officeDocument/2006/relationships/hyperlink" Target="https://www.genome.jp/entry/C00022" TargetMode="External"/><Relationship Id="rId581" Type="http://schemas.openxmlformats.org/officeDocument/2006/relationships/hyperlink" Target="https://www.genome.jp/entry/C16619" TargetMode="External"/><Relationship Id="rId71" Type="http://schemas.openxmlformats.org/officeDocument/2006/relationships/hyperlink" Target="https://www.genome.jp/entry/C00008" TargetMode="External"/><Relationship Id="rId234" Type="http://schemas.openxmlformats.org/officeDocument/2006/relationships/hyperlink" Target="https://www.genome.jp/entry/C00106" TargetMode="External"/><Relationship Id="rId637" Type="http://schemas.openxmlformats.org/officeDocument/2006/relationships/hyperlink" Target="https://www.genome.jp/entry/G10553" TargetMode="External"/><Relationship Id="rId2" Type="http://schemas.openxmlformats.org/officeDocument/2006/relationships/hyperlink" Target="https://www.genome.jp/entry/C00008" TargetMode="External"/><Relationship Id="rId29" Type="http://schemas.openxmlformats.org/officeDocument/2006/relationships/hyperlink" Target="https://www.genome.jp/entry/C00020" TargetMode="External"/><Relationship Id="rId276" Type="http://schemas.openxmlformats.org/officeDocument/2006/relationships/hyperlink" Target="https://www.genome.jp/entry/C00881" TargetMode="External"/><Relationship Id="rId441" Type="http://schemas.openxmlformats.org/officeDocument/2006/relationships/hyperlink" Target="https://www.genome.jp/entry/C04309" TargetMode="External"/><Relationship Id="rId483" Type="http://schemas.openxmlformats.org/officeDocument/2006/relationships/hyperlink" Target="https://www.genome.jp/entry/C00013" TargetMode="External"/><Relationship Id="rId539" Type="http://schemas.openxmlformats.org/officeDocument/2006/relationships/hyperlink" Target="https://www.genome.jp/entry/C11638" TargetMode="External"/><Relationship Id="rId40" Type="http://schemas.openxmlformats.org/officeDocument/2006/relationships/hyperlink" Target="https://www.genome.jp/entry/C00020" TargetMode="External"/><Relationship Id="rId136" Type="http://schemas.openxmlformats.org/officeDocument/2006/relationships/hyperlink" Target="https://www.genome.jp/entry/C00008" TargetMode="External"/><Relationship Id="rId178" Type="http://schemas.openxmlformats.org/officeDocument/2006/relationships/hyperlink" Target="https://www.genome.jp/entry/C00010" TargetMode="External"/><Relationship Id="rId301" Type="http://schemas.openxmlformats.org/officeDocument/2006/relationships/hyperlink" Target="https://www.genome.jp/entry/C00559" TargetMode="External"/><Relationship Id="rId343" Type="http://schemas.openxmlformats.org/officeDocument/2006/relationships/hyperlink" Target="https://www.genome.jp/entry/C00074" TargetMode="External"/><Relationship Id="rId550" Type="http://schemas.openxmlformats.org/officeDocument/2006/relationships/hyperlink" Target="https://www.genome.jp/entry/C00527" TargetMode="External"/><Relationship Id="rId82" Type="http://schemas.openxmlformats.org/officeDocument/2006/relationships/hyperlink" Target="https://www.genome.jp/entry/C00008" TargetMode="External"/><Relationship Id="rId203" Type="http://schemas.openxmlformats.org/officeDocument/2006/relationships/hyperlink" Target="https://www.genome.jp/entry/C00022" TargetMode="External"/><Relationship Id="rId385" Type="http://schemas.openxmlformats.org/officeDocument/2006/relationships/hyperlink" Target="https://www.genome.jp/entry/C00105" TargetMode="External"/><Relationship Id="rId592" Type="http://schemas.openxmlformats.org/officeDocument/2006/relationships/hyperlink" Target="https://www.genome.jp/entry/C20372" TargetMode="External"/><Relationship Id="rId606" Type="http://schemas.openxmlformats.org/officeDocument/2006/relationships/hyperlink" Target="https://www.genome.jp/entry/C22443" TargetMode="External"/><Relationship Id="rId245" Type="http://schemas.openxmlformats.org/officeDocument/2006/relationships/hyperlink" Target="https://www.genome.jp/entry/C00144" TargetMode="External"/><Relationship Id="rId287" Type="http://schemas.openxmlformats.org/officeDocument/2006/relationships/hyperlink" Target="https://www.genome.jp/entry/C00361" TargetMode="External"/><Relationship Id="rId410" Type="http://schemas.openxmlformats.org/officeDocument/2006/relationships/hyperlink" Target="https://www.genome.jp/entry/C00135" TargetMode="External"/><Relationship Id="rId452" Type="http://schemas.openxmlformats.org/officeDocument/2006/relationships/hyperlink" Target="https://www.genome.jp/entry/C20258" TargetMode="External"/><Relationship Id="rId494" Type="http://schemas.openxmlformats.org/officeDocument/2006/relationships/hyperlink" Target="https://www.genome.jp/entry/C00161" TargetMode="External"/><Relationship Id="rId508" Type="http://schemas.openxmlformats.org/officeDocument/2006/relationships/hyperlink" Target="https://www.genome.jp/entry/C05445" TargetMode="External"/><Relationship Id="rId105" Type="http://schemas.openxmlformats.org/officeDocument/2006/relationships/hyperlink" Target="https://www.genome.jp/entry/C00008" TargetMode="External"/><Relationship Id="rId147" Type="http://schemas.openxmlformats.org/officeDocument/2006/relationships/hyperlink" Target="https://www.genome.jp/entry/C00002" TargetMode="External"/><Relationship Id="rId312" Type="http://schemas.openxmlformats.org/officeDocument/2006/relationships/hyperlink" Target="https://www.genome.jp/entry/C00772" TargetMode="External"/><Relationship Id="rId354" Type="http://schemas.openxmlformats.org/officeDocument/2006/relationships/hyperlink" Target="https://www.genome.jp/entry/C01172" TargetMode="External"/><Relationship Id="rId51" Type="http://schemas.openxmlformats.org/officeDocument/2006/relationships/hyperlink" Target="https://www.genome.jp/entry/C00008" TargetMode="External"/><Relationship Id="rId93" Type="http://schemas.openxmlformats.org/officeDocument/2006/relationships/hyperlink" Target="https://www.genome.jp/entry/C00008" TargetMode="External"/><Relationship Id="rId189" Type="http://schemas.openxmlformats.org/officeDocument/2006/relationships/hyperlink" Target="https://www.genome.jp/entry/C00020" TargetMode="External"/><Relationship Id="rId396" Type="http://schemas.openxmlformats.org/officeDocument/2006/relationships/hyperlink" Target="https://www.genome.jp/entry/C00008" TargetMode="External"/><Relationship Id="rId561" Type="http://schemas.openxmlformats.org/officeDocument/2006/relationships/hyperlink" Target="https://www.genome.jp/entry/C06697" TargetMode="External"/><Relationship Id="rId617" Type="http://schemas.openxmlformats.org/officeDocument/2006/relationships/hyperlink" Target="https://www.genome.jp/entry/G00249" TargetMode="External"/><Relationship Id="rId214" Type="http://schemas.openxmlformats.org/officeDocument/2006/relationships/hyperlink" Target="https://www.genome.jp/entry/C00095" TargetMode="External"/><Relationship Id="rId256" Type="http://schemas.openxmlformats.org/officeDocument/2006/relationships/hyperlink" Target="https://www.genome.jp/entry/C00186" TargetMode="External"/><Relationship Id="rId298" Type="http://schemas.openxmlformats.org/officeDocument/2006/relationships/hyperlink" Target="https://www.genome.jp/entry/C00085" TargetMode="External"/><Relationship Id="rId421" Type="http://schemas.openxmlformats.org/officeDocument/2006/relationships/hyperlink" Target="https://www.genome.jp/entry/C00911" TargetMode="External"/><Relationship Id="rId463" Type="http://schemas.openxmlformats.org/officeDocument/2006/relationships/hyperlink" Target="https://www.genome.jp/entry/C01134" TargetMode="External"/><Relationship Id="rId519" Type="http://schemas.openxmlformats.org/officeDocument/2006/relationships/hyperlink" Target="https://www.genome.jp/entry/C05758" TargetMode="External"/><Relationship Id="rId116" Type="http://schemas.openxmlformats.org/officeDocument/2006/relationships/hyperlink" Target="https://www.genome.jp/entry/C00008" TargetMode="External"/><Relationship Id="rId158" Type="http://schemas.openxmlformats.org/officeDocument/2006/relationships/hyperlink" Target="https://www.genome.jp/entry/C00073" TargetMode="External"/><Relationship Id="rId323" Type="http://schemas.openxmlformats.org/officeDocument/2006/relationships/hyperlink" Target="https://www.genome.jp/entry/C00063" TargetMode="External"/><Relationship Id="rId530" Type="http://schemas.openxmlformats.org/officeDocument/2006/relationships/hyperlink" Target="https://www.genome.jp/entry/C00810" TargetMode="External"/><Relationship Id="rId20" Type="http://schemas.openxmlformats.org/officeDocument/2006/relationships/hyperlink" Target="https://www.genome.jp/entry/C00008" TargetMode="External"/><Relationship Id="rId62" Type="http://schemas.openxmlformats.org/officeDocument/2006/relationships/hyperlink" Target="https://www.genome.jp/entry/C00020" TargetMode="External"/><Relationship Id="rId365" Type="http://schemas.openxmlformats.org/officeDocument/2006/relationships/hyperlink" Target="https://www.genome.jp/entry/C01545" TargetMode="External"/><Relationship Id="rId572" Type="http://schemas.openxmlformats.org/officeDocument/2006/relationships/hyperlink" Target="https://www.genome.jp/entry/C16237" TargetMode="External"/><Relationship Id="rId628" Type="http://schemas.openxmlformats.org/officeDocument/2006/relationships/hyperlink" Target="https://www.genome.jp/entry/C00031" TargetMode="External"/><Relationship Id="rId225" Type="http://schemas.openxmlformats.org/officeDocument/2006/relationships/hyperlink" Target="https://www.genome.jp/entry/C00894" TargetMode="External"/><Relationship Id="rId267" Type="http://schemas.openxmlformats.org/officeDocument/2006/relationships/hyperlink" Target="https://www.genome.jp/entry/C00454" TargetMode="External"/><Relationship Id="rId432" Type="http://schemas.openxmlformats.org/officeDocument/2006/relationships/hyperlink" Target="https://www.genome.jp/entry/C01336" TargetMode="External"/><Relationship Id="rId474" Type="http://schemas.openxmlformats.org/officeDocument/2006/relationships/hyperlink" Target="https://www.genome.jp/entry/C05763" TargetMode="External"/><Relationship Id="rId127" Type="http://schemas.openxmlformats.org/officeDocument/2006/relationships/hyperlink" Target="https://www.genome.jp/entry/C00008" TargetMode="External"/><Relationship Id="rId31" Type="http://schemas.openxmlformats.org/officeDocument/2006/relationships/hyperlink" Target="https://www.genome.jp/entry/C00020" TargetMode="External"/><Relationship Id="rId73" Type="http://schemas.openxmlformats.org/officeDocument/2006/relationships/hyperlink" Target="https://www.genome.jp/entry/C00020" TargetMode="External"/><Relationship Id="rId169" Type="http://schemas.openxmlformats.org/officeDocument/2006/relationships/hyperlink" Target="https://www.genome.jp/entry/C05744" TargetMode="External"/><Relationship Id="rId334" Type="http://schemas.openxmlformats.org/officeDocument/2006/relationships/hyperlink" Target="https://www.genome.jp/entry/C01659" TargetMode="External"/><Relationship Id="rId376" Type="http://schemas.openxmlformats.org/officeDocument/2006/relationships/hyperlink" Target="https://www.genome.jp/entry/C18094" TargetMode="External"/><Relationship Id="rId541" Type="http://schemas.openxmlformats.org/officeDocument/2006/relationships/hyperlink" Target="https://www.genome.jp/entry/C02686" TargetMode="External"/><Relationship Id="rId583" Type="http://schemas.openxmlformats.org/officeDocument/2006/relationships/hyperlink" Target="https://www.genome.jp/entry/C12739" TargetMode="External"/><Relationship Id="rId639" Type="http://schemas.openxmlformats.org/officeDocument/2006/relationships/hyperlink" Target="https://www.genome.jp/entry/C20864" TargetMode="External"/><Relationship Id="rId4" Type="http://schemas.openxmlformats.org/officeDocument/2006/relationships/hyperlink" Target="https://www.genome.jp/entry/C00006" TargetMode="External"/><Relationship Id="rId180" Type="http://schemas.openxmlformats.org/officeDocument/2006/relationships/hyperlink" Target="https://www.genome.jp/entry/C00203" TargetMode="External"/><Relationship Id="rId236" Type="http://schemas.openxmlformats.org/officeDocument/2006/relationships/hyperlink" Target="https://www.genome.jp/entry/C06006" TargetMode="External"/><Relationship Id="rId278" Type="http://schemas.openxmlformats.org/officeDocument/2006/relationships/hyperlink" Target="https://www.genome.jp/entry/C00031" TargetMode="External"/><Relationship Id="rId401" Type="http://schemas.openxmlformats.org/officeDocument/2006/relationships/hyperlink" Target="https://www.genome.jp/entry/C00342" TargetMode="External"/><Relationship Id="rId443" Type="http://schemas.openxmlformats.org/officeDocument/2006/relationships/hyperlink" Target="https://www.genome.jp/entry/C00463" TargetMode="External"/><Relationship Id="rId303" Type="http://schemas.openxmlformats.org/officeDocument/2006/relationships/hyperlink" Target="https://www.genome.jp/entry/C00330" TargetMode="External"/><Relationship Id="rId485" Type="http://schemas.openxmlformats.org/officeDocument/2006/relationships/hyperlink" Target="https://www.genome.jp/entry/C00122" TargetMode="External"/><Relationship Id="rId42" Type="http://schemas.openxmlformats.org/officeDocument/2006/relationships/hyperlink" Target="https://www.genome.jp/entry/C00020" TargetMode="External"/><Relationship Id="rId84" Type="http://schemas.openxmlformats.org/officeDocument/2006/relationships/hyperlink" Target="https://www.genome.jp/entry/C00008" TargetMode="External"/><Relationship Id="rId138" Type="http://schemas.openxmlformats.org/officeDocument/2006/relationships/hyperlink" Target="https://www.genome.jp/entry/C00013" TargetMode="External"/><Relationship Id="rId345" Type="http://schemas.openxmlformats.org/officeDocument/2006/relationships/hyperlink" Target="https://www.genome.jp/entry/C00085" TargetMode="External"/><Relationship Id="rId387" Type="http://schemas.openxmlformats.org/officeDocument/2006/relationships/hyperlink" Target="https://www.genome.jp/entry/C04281" TargetMode="External"/><Relationship Id="rId510" Type="http://schemas.openxmlformats.org/officeDocument/2006/relationships/hyperlink" Target="https://www.genome.jp/entry/C00022" TargetMode="External"/><Relationship Id="rId552" Type="http://schemas.openxmlformats.org/officeDocument/2006/relationships/hyperlink" Target="https://www.genome.jp/entry/C07490" TargetMode="External"/><Relationship Id="rId594" Type="http://schemas.openxmlformats.org/officeDocument/2006/relationships/hyperlink" Target="https://www.genome.jp/entry/C00229" TargetMode="External"/><Relationship Id="rId608" Type="http://schemas.openxmlformats.org/officeDocument/2006/relationships/hyperlink" Target="https://www.genome.jp/entry/C21906" TargetMode="External"/><Relationship Id="rId191" Type="http://schemas.openxmlformats.org/officeDocument/2006/relationships/hyperlink" Target="https://www.genome.jp/entry/C00112" TargetMode="External"/><Relationship Id="rId205" Type="http://schemas.openxmlformats.org/officeDocument/2006/relationships/hyperlink" Target="https://www.genome.jp/entry/C00015" TargetMode="External"/><Relationship Id="rId247" Type="http://schemas.openxmlformats.org/officeDocument/2006/relationships/hyperlink" Target="https://www.genome.jp/entry/C00013" TargetMode="External"/><Relationship Id="rId412" Type="http://schemas.openxmlformats.org/officeDocument/2006/relationships/hyperlink" Target="https://www.genome.jp/entry/C20446" TargetMode="External"/><Relationship Id="rId107" Type="http://schemas.openxmlformats.org/officeDocument/2006/relationships/hyperlink" Target="https://www.genome.jp/entry/C00008" TargetMode="External"/><Relationship Id="rId289" Type="http://schemas.openxmlformats.org/officeDocument/2006/relationships/hyperlink" Target="https://www.genome.jp/entry/C00044" TargetMode="External"/><Relationship Id="rId454" Type="http://schemas.openxmlformats.org/officeDocument/2006/relationships/hyperlink" Target="https://www.genome.jp/entry/C05539" TargetMode="External"/><Relationship Id="rId496" Type="http://schemas.openxmlformats.org/officeDocument/2006/relationships/hyperlink" Target="https://www.genome.jp/entry/C05759" TargetMode="External"/><Relationship Id="rId11" Type="http://schemas.openxmlformats.org/officeDocument/2006/relationships/hyperlink" Target="https://www.genome.jp/entry/C00031" TargetMode="External"/><Relationship Id="rId53" Type="http://schemas.openxmlformats.org/officeDocument/2006/relationships/hyperlink" Target="https://www.genome.jp/entry/C00008" TargetMode="External"/><Relationship Id="rId149" Type="http://schemas.openxmlformats.org/officeDocument/2006/relationships/hyperlink" Target="https://www.genome.jp/entry/C00148" TargetMode="External"/><Relationship Id="rId314" Type="http://schemas.openxmlformats.org/officeDocument/2006/relationships/hyperlink" Target="https://www.genome.jp/entry/C00143" TargetMode="External"/><Relationship Id="rId356" Type="http://schemas.openxmlformats.org/officeDocument/2006/relationships/hyperlink" Target="https://www.genome.jp/entry/C00673" TargetMode="External"/><Relationship Id="rId398" Type="http://schemas.openxmlformats.org/officeDocument/2006/relationships/hyperlink" Target="https://www.genome.jp/entry/C00685" TargetMode="External"/><Relationship Id="rId521" Type="http://schemas.openxmlformats.org/officeDocument/2006/relationships/hyperlink" Target="https://www.genome.jp/entry/C05762" TargetMode="External"/><Relationship Id="rId563" Type="http://schemas.openxmlformats.org/officeDocument/2006/relationships/hyperlink" Target="https://www.genome.jp/entry/C04242" TargetMode="External"/><Relationship Id="rId619" Type="http://schemas.openxmlformats.org/officeDocument/2006/relationships/hyperlink" Target="https://www.genome.jp/entry/C00095" TargetMode="External"/><Relationship Id="rId95" Type="http://schemas.openxmlformats.org/officeDocument/2006/relationships/hyperlink" Target="https://www.genome.jp/entry/C00008" TargetMode="External"/><Relationship Id="rId160" Type="http://schemas.openxmlformats.org/officeDocument/2006/relationships/hyperlink" Target="https://www.genome.jp/entry/C00212" TargetMode="External"/><Relationship Id="rId216" Type="http://schemas.openxmlformats.org/officeDocument/2006/relationships/hyperlink" Target="https://www.genome.jp/entry/C00010" TargetMode="External"/><Relationship Id="rId423" Type="http://schemas.openxmlformats.org/officeDocument/2006/relationships/hyperlink" Target="https://www.genome.jp/entry/C20858" TargetMode="External"/><Relationship Id="rId258" Type="http://schemas.openxmlformats.org/officeDocument/2006/relationships/hyperlink" Target="https://www.genome.jp/entry/C00009" TargetMode="External"/><Relationship Id="rId465" Type="http://schemas.openxmlformats.org/officeDocument/2006/relationships/hyperlink" Target="https://www.genome.jp/entry/C01228" TargetMode="External"/><Relationship Id="rId630" Type="http://schemas.openxmlformats.org/officeDocument/2006/relationships/hyperlink" Target="https://www.genome.jp/entry/C02336" TargetMode="External"/><Relationship Id="rId22" Type="http://schemas.openxmlformats.org/officeDocument/2006/relationships/hyperlink" Target="https://www.genome.jp/entry/C00008" TargetMode="External"/><Relationship Id="rId64" Type="http://schemas.openxmlformats.org/officeDocument/2006/relationships/hyperlink" Target="https://www.genome.jp/entry/C00020" TargetMode="External"/><Relationship Id="rId118" Type="http://schemas.openxmlformats.org/officeDocument/2006/relationships/hyperlink" Target="https://www.genome.jp/entry/C00008" TargetMode="External"/><Relationship Id="rId325" Type="http://schemas.openxmlformats.org/officeDocument/2006/relationships/hyperlink" Target="https://www.genome.jp/entry/C00075" TargetMode="External"/><Relationship Id="rId367" Type="http://schemas.openxmlformats.org/officeDocument/2006/relationships/hyperlink" Target="https://www.genome.jp/entry/C02097" TargetMode="External"/><Relationship Id="rId532" Type="http://schemas.openxmlformats.org/officeDocument/2006/relationships/hyperlink" Target="https://www.genome.jp/entry/C05125" TargetMode="External"/><Relationship Id="rId574" Type="http://schemas.openxmlformats.org/officeDocument/2006/relationships/hyperlink" Target="https://www.genome.jp/entry/C00010" TargetMode="External"/><Relationship Id="rId171" Type="http://schemas.openxmlformats.org/officeDocument/2006/relationships/hyperlink" Target="https://www.genome.jp/entry/C00010" TargetMode="External"/><Relationship Id="rId227" Type="http://schemas.openxmlformats.org/officeDocument/2006/relationships/hyperlink" Target="https://www.genome.jp/entry/C00010" TargetMode="External"/><Relationship Id="rId269" Type="http://schemas.openxmlformats.org/officeDocument/2006/relationships/hyperlink" Target="https://www.genome.jp/entry/C00342" TargetMode="External"/><Relationship Id="rId434" Type="http://schemas.openxmlformats.org/officeDocument/2006/relationships/hyperlink" Target="https://www.genome.jp/entry/C18096" TargetMode="External"/><Relationship Id="rId476" Type="http://schemas.openxmlformats.org/officeDocument/2006/relationships/hyperlink" Target="https://www.genome.jp/entry/C16618" TargetMode="External"/><Relationship Id="rId33" Type="http://schemas.openxmlformats.org/officeDocument/2006/relationships/hyperlink" Target="https://www.genome.jp/entry/C00020" TargetMode="External"/><Relationship Id="rId129" Type="http://schemas.openxmlformats.org/officeDocument/2006/relationships/hyperlink" Target="https://www.genome.jp/entry/C00008" TargetMode="External"/><Relationship Id="rId280" Type="http://schemas.openxmlformats.org/officeDocument/2006/relationships/hyperlink" Target="https://www.genome.jp/entry/C16698" TargetMode="External"/><Relationship Id="rId336" Type="http://schemas.openxmlformats.org/officeDocument/2006/relationships/hyperlink" Target="https://www.genome.jp/entry/C00250" TargetMode="External"/><Relationship Id="rId501" Type="http://schemas.openxmlformats.org/officeDocument/2006/relationships/hyperlink" Target="https://www.genome.jp/entry/C00279" TargetMode="External"/><Relationship Id="rId543" Type="http://schemas.openxmlformats.org/officeDocument/2006/relationships/hyperlink" Target="https://www.genome.jp/entry/C00352" TargetMode="External"/><Relationship Id="rId75" Type="http://schemas.openxmlformats.org/officeDocument/2006/relationships/hyperlink" Target="https://www.genome.jp/entry/C00008" TargetMode="External"/><Relationship Id="rId140" Type="http://schemas.openxmlformats.org/officeDocument/2006/relationships/hyperlink" Target="https://www.genome.jp/entry/C02051" TargetMode="External"/><Relationship Id="rId182" Type="http://schemas.openxmlformats.org/officeDocument/2006/relationships/hyperlink" Target="https://www.genome.jp/entry/C00013" TargetMode="External"/><Relationship Id="rId378" Type="http://schemas.openxmlformats.org/officeDocument/2006/relationships/hyperlink" Target="https://www.genome.jp/entry/C00097" TargetMode="External"/><Relationship Id="rId403" Type="http://schemas.openxmlformats.org/officeDocument/2006/relationships/hyperlink" Target="https://www.genome.jp/entry/C05684" TargetMode="External"/><Relationship Id="rId585" Type="http://schemas.openxmlformats.org/officeDocument/2006/relationships/hyperlink" Target="https://www.genome.jp/entry/C06892" TargetMode="External"/><Relationship Id="rId6" Type="http://schemas.openxmlformats.org/officeDocument/2006/relationships/hyperlink" Target="https://www.genome.jp/entry/C00010" TargetMode="External"/><Relationship Id="rId238" Type="http://schemas.openxmlformats.org/officeDocument/2006/relationships/hyperlink" Target="https://www.genome.jp/entry/C00576" TargetMode="External"/><Relationship Id="rId445" Type="http://schemas.openxmlformats.org/officeDocument/2006/relationships/hyperlink" Target="https://www.genome.jp/entry/C00060" TargetMode="External"/><Relationship Id="rId487" Type="http://schemas.openxmlformats.org/officeDocument/2006/relationships/hyperlink" Target="https://www.genome.jp/entry/C00105" TargetMode="External"/><Relationship Id="rId610" Type="http://schemas.openxmlformats.org/officeDocument/2006/relationships/hyperlink" Target="https://www.genome.jp/entry/C23022" TargetMode="External"/><Relationship Id="rId291" Type="http://schemas.openxmlformats.org/officeDocument/2006/relationships/hyperlink" Target="https://www.genome.jp/entry/C00438" TargetMode="External"/><Relationship Id="rId305" Type="http://schemas.openxmlformats.org/officeDocument/2006/relationships/hyperlink" Target="https://www.genome.jp/entry/C00526" TargetMode="External"/><Relationship Id="rId347" Type="http://schemas.openxmlformats.org/officeDocument/2006/relationships/hyperlink" Target="https://www.genome.jp/entry/C00018" TargetMode="External"/><Relationship Id="rId512" Type="http://schemas.openxmlformats.org/officeDocument/2006/relationships/hyperlink" Target="https://www.genome.jp/entry/C05698" TargetMode="External"/><Relationship Id="rId44" Type="http://schemas.openxmlformats.org/officeDocument/2006/relationships/hyperlink" Target="https://www.genome.jp/entry/C00008" TargetMode="External"/><Relationship Id="rId86" Type="http://schemas.openxmlformats.org/officeDocument/2006/relationships/hyperlink" Target="https://www.genome.jp/entry/C00008" TargetMode="External"/><Relationship Id="rId151" Type="http://schemas.openxmlformats.org/officeDocument/2006/relationships/hyperlink" Target="https://www.genome.jp/entry/C01563" TargetMode="External"/><Relationship Id="rId389" Type="http://schemas.openxmlformats.org/officeDocument/2006/relationships/hyperlink" Target="https://www.genome.jp/entry/C00197" TargetMode="External"/><Relationship Id="rId554" Type="http://schemas.openxmlformats.org/officeDocument/2006/relationships/hyperlink" Target="https://www.genome.jp/entry/C11638" TargetMode="External"/><Relationship Id="rId596" Type="http://schemas.openxmlformats.org/officeDocument/2006/relationships/hyperlink" Target="https://www.genome.jp/entry/C20373" TargetMode="External"/><Relationship Id="rId193" Type="http://schemas.openxmlformats.org/officeDocument/2006/relationships/hyperlink" Target="https://www.genome.jp/entry/C00055" TargetMode="External"/><Relationship Id="rId207" Type="http://schemas.openxmlformats.org/officeDocument/2006/relationships/hyperlink" Target="https://www.genome.jp/entry/C00013" TargetMode="External"/><Relationship Id="rId249" Type="http://schemas.openxmlformats.org/officeDocument/2006/relationships/hyperlink" Target="https://www.genome.jp/entry/C00691" TargetMode="External"/><Relationship Id="rId414" Type="http://schemas.openxmlformats.org/officeDocument/2006/relationships/hyperlink" Target="https://www.genome.jp/entry/C19085" TargetMode="External"/><Relationship Id="rId456" Type="http://schemas.openxmlformats.org/officeDocument/2006/relationships/hyperlink" Target="https://www.genome.jp/entry/C03723" TargetMode="External"/><Relationship Id="rId498" Type="http://schemas.openxmlformats.org/officeDocument/2006/relationships/hyperlink" Target="https://www.genome.jp/entry/C00010" TargetMode="External"/><Relationship Id="rId621" Type="http://schemas.openxmlformats.org/officeDocument/2006/relationships/hyperlink" Target="https://www.genome.jp/entry/G11121" TargetMode="External"/><Relationship Id="rId13" Type="http://schemas.openxmlformats.org/officeDocument/2006/relationships/hyperlink" Target="https://www.genome.jp/entry/C00008" TargetMode="External"/><Relationship Id="rId109" Type="http://schemas.openxmlformats.org/officeDocument/2006/relationships/hyperlink" Target="https://www.genome.jp/entry/C19771" TargetMode="External"/><Relationship Id="rId260" Type="http://schemas.openxmlformats.org/officeDocument/2006/relationships/hyperlink" Target="https://www.genome.jp/entry/C02133" TargetMode="External"/><Relationship Id="rId316" Type="http://schemas.openxmlformats.org/officeDocument/2006/relationships/hyperlink" Target="https://www.genome.jp/entry/C03082" TargetMode="External"/><Relationship Id="rId523" Type="http://schemas.openxmlformats.org/officeDocument/2006/relationships/hyperlink" Target="https://www.genome.jp/entry/C00124" TargetMode="External"/><Relationship Id="rId55" Type="http://schemas.openxmlformats.org/officeDocument/2006/relationships/hyperlink" Target="https://www.genome.jp/entry/C00013" TargetMode="External"/><Relationship Id="rId97" Type="http://schemas.openxmlformats.org/officeDocument/2006/relationships/hyperlink" Target="https://www.genome.jp/entry/C00013" TargetMode="External"/><Relationship Id="rId120" Type="http://schemas.openxmlformats.org/officeDocument/2006/relationships/hyperlink" Target="https://www.genome.jp/entry/C00008" TargetMode="External"/><Relationship Id="rId358" Type="http://schemas.openxmlformats.org/officeDocument/2006/relationships/hyperlink" Target="https://www.genome.jp/entry/C01801" TargetMode="External"/><Relationship Id="rId565" Type="http://schemas.openxmlformats.org/officeDocument/2006/relationships/hyperlink" Target="https://www.genome.jp/entry/C03291" TargetMode="External"/><Relationship Id="rId162" Type="http://schemas.openxmlformats.org/officeDocument/2006/relationships/hyperlink" Target="https://www.genome.jp/entry/C00227" TargetMode="External"/><Relationship Id="rId218" Type="http://schemas.openxmlformats.org/officeDocument/2006/relationships/hyperlink" Target="https://www.genome.jp/entry/C01236" TargetMode="External"/><Relationship Id="rId425" Type="http://schemas.openxmlformats.org/officeDocument/2006/relationships/hyperlink" Target="https://www.genome.jp/entry/C22438" TargetMode="External"/><Relationship Id="rId467" Type="http://schemas.openxmlformats.org/officeDocument/2006/relationships/hyperlink" Target="https://www.genome.jp/entry/C17556" TargetMode="External"/><Relationship Id="rId632" Type="http://schemas.openxmlformats.org/officeDocument/2006/relationships/hyperlink" Target="https://www.genome.jp/entry/C00159" TargetMode="External"/><Relationship Id="rId271" Type="http://schemas.openxmlformats.org/officeDocument/2006/relationships/hyperlink" Target="https://www.genome.jp/entry/C00294" TargetMode="External"/><Relationship Id="rId24" Type="http://schemas.openxmlformats.org/officeDocument/2006/relationships/hyperlink" Target="https://www.genome.jp/entry/C00008" TargetMode="External"/><Relationship Id="rId66" Type="http://schemas.openxmlformats.org/officeDocument/2006/relationships/hyperlink" Target="https://www.genome.jp/entry/C00020" TargetMode="External"/><Relationship Id="rId131" Type="http://schemas.openxmlformats.org/officeDocument/2006/relationships/hyperlink" Target="https://www.genome.jp/entry/C00008" TargetMode="External"/><Relationship Id="rId327" Type="http://schemas.openxmlformats.org/officeDocument/2006/relationships/hyperlink" Target="https://www.genome.jp/entry/C00376" TargetMode="External"/><Relationship Id="rId369" Type="http://schemas.openxmlformats.org/officeDocument/2006/relationships/hyperlink" Target="https://www.genome.jp/entry/C00135" TargetMode="External"/><Relationship Id="rId534" Type="http://schemas.openxmlformats.org/officeDocument/2006/relationships/hyperlink" Target="https://www.genome.jp/entry/C05345" TargetMode="External"/><Relationship Id="rId576" Type="http://schemas.openxmlformats.org/officeDocument/2006/relationships/hyperlink" Target="https://www.genome.jp/entry/C00010" TargetMode="External"/><Relationship Id="rId173" Type="http://schemas.openxmlformats.org/officeDocument/2006/relationships/hyperlink" Target="https://www.genome.jp/entry/C00026" TargetMode="External"/><Relationship Id="rId229" Type="http://schemas.openxmlformats.org/officeDocument/2006/relationships/hyperlink" Target="https://www.genome.jp/entry/C00504" TargetMode="External"/><Relationship Id="rId380" Type="http://schemas.openxmlformats.org/officeDocument/2006/relationships/hyperlink" Target="https://www.genome.jp/entry/C04631" TargetMode="External"/><Relationship Id="rId436" Type="http://schemas.openxmlformats.org/officeDocument/2006/relationships/hyperlink" Target="https://www.genome.jp/entry/C02713" TargetMode="External"/><Relationship Id="rId601" Type="http://schemas.openxmlformats.org/officeDocument/2006/relationships/hyperlink" Target="https://www.genome.jp/entry/C00020" TargetMode="External"/><Relationship Id="rId240" Type="http://schemas.openxmlformats.org/officeDocument/2006/relationships/hyperlink" Target="https://www.genome.jp/entry/C00111" TargetMode="External"/><Relationship Id="rId478" Type="http://schemas.openxmlformats.org/officeDocument/2006/relationships/hyperlink" Target="https://www.genome.jp/entry/C05760" TargetMode="External"/><Relationship Id="rId35" Type="http://schemas.openxmlformats.org/officeDocument/2006/relationships/hyperlink" Target="https://www.genome.jp/entry/C00020" TargetMode="External"/><Relationship Id="rId77" Type="http://schemas.openxmlformats.org/officeDocument/2006/relationships/hyperlink" Target="https://www.genome.jp/entry/C00008" TargetMode="External"/><Relationship Id="rId100" Type="http://schemas.openxmlformats.org/officeDocument/2006/relationships/hyperlink" Target="https://www.genome.jp/entry/C00008" TargetMode="External"/><Relationship Id="rId282" Type="http://schemas.openxmlformats.org/officeDocument/2006/relationships/hyperlink" Target="https://www.genome.jp/entry/C00441" TargetMode="External"/><Relationship Id="rId338" Type="http://schemas.openxmlformats.org/officeDocument/2006/relationships/hyperlink" Target="https://www.genome.jp/entry/C00248" TargetMode="External"/><Relationship Id="rId503" Type="http://schemas.openxmlformats.org/officeDocument/2006/relationships/hyperlink" Target="https://www.genome.jp/entry/C00159" TargetMode="External"/><Relationship Id="rId545" Type="http://schemas.openxmlformats.org/officeDocument/2006/relationships/hyperlink" Target="https://www.genome.jp/entry/C02323" TargetMode="External"/><Relationship Id="rId587" Type="http://schemas.openxmlformats.org/officeDocument/2006/relationships/hyperlink" Target="https://www.genome.jp/entry/C20451" TargetMode="External"/><Relationship Id="rId8" Type="http://schemas.openxmlformats.org/officeDocument/2006/relationships/hyperlink" Target="https://www.genome.jp/entry/C00027" TargetMode="External"/><Relationship Id="rId142" Type="http://schemas.openxmlformats.org/officeDocument/2006/relationships/hyperlink" Target="https://www.genome.jp/entry/C00008" TargetMode="External"/><Relationship Id="rId184" Type="http://schemas.openxmlformats.org/officeDocument/2006/relationships/hyperlink" Target="https://www.genome.jp/entry/C00035" TargetMode="External"/><Relationship Id="rId391" Type="http://schemas.openxmlformats.org/officeDocument/2006/relationships/hyperlink" Target="https://www.genome.jp/entry/C05345" TargetMode="External"/><Relationship Id="rId405" Type="http://schemas.openxmlformats.org/officeDocument/2006/relationships/hyperlink" Target="https://www.genome.jp/entry/C00492" TargetMode="External"/><Relationship Id="rId447" Type="http://schemas.openxmlformats.org/officeDocument/2006/relationships/hyperlink" Target="https://www.genome.jp/entry/C03633" TargetMode="External"/><Relationship Id="rId612" Type="http://schemas.openxmlformats.org/officeDocument/2006/relationships/hyperlink" Target="https://www.genome.jp/entry/G00109" TargetMode="External"/><Relationship Id="rId251" Type="http://schemas.openxmlformats.org/officeDocument/2006/relationships/hyperlink" Target="https://www.genome.jp/entry/C00101" TargetMode="External"/><Relationship Id="rId489" Type="http://schemas.openxmlformats.org/officeDocument/2006/relationships/hyperlink" Target="https://www.genome.jp/entry/C04884" TargetMode="External"/><Relationship Id="rId46" Type="http://schemas.openxmlformats.org/officeDocument/2006/relationships/hyperlink" Target="https://www.genome.jp/entry/C00020" TargetMode="External"/><Relationship Id="rId293" Type="http://schemas.openxmlformats.org/officeDocument/2006/relationships/hyperlink" Target="https://www.genome.jp/entry/C00295" TargetMode="External"/><Relationship Id="rId307" Type="http://schemas.openxmlformats.org/officeDocument/2006/relationships/hyperlink" Target="https://www.genome.jp/entry/C00718" TargetMode="External"/><Relationship Id="rId349" Type="http://schemas.openxmlformats.org/officeDocument/2006/relationships/hyperlink" Target="https://www.genome.jp/entry/C00385" TargetMode="External"/><Relationship Id="rId514" Type="http://schemas.openxmlformats.org/officeDocument/2006/relationships/hyperlink" Target="https://www.genome.jp/entry/C05748" TargetMode="External"/><Relationship Id="rId556" Type="http://schemas.openxmlformats.org/officeDocument/2006/relationships/hyperlink" Target="https://www.genome.jp/entry/C16551" TargetMode="External"/><Relationship Id="rId88" Type="http://schemas.openxmlformats.org/officeDocument/2006/relationships/hyperlink" Target="https://www.genome.jp/entry/C00008" TargetMode="External"/><Relationship Id="rId111" Type="http://schemas.openxmlformats.org/officeDocument/2006/relationships/hyperlink" Target="https://www.genome.jp/entry/C00008" TargetMode="External"/><Relationship Id="rId153" Type="http://schemas.openxmlformats.org/officeDocument/2006/relationships/hyperlink" Target="https://www.genome.jp/entry/C00021" TargetMode="External"/><Relationship Id="rId195" Type="http://schemas.openxmlformats.org/officeDocument/2006/relationships/hyperlink" Target="https://www.genome.jp/entry/C00022" TargetMode="External"/><Relationship Id="rId209" Type="http://schemas.openxmlformats.org/officeDocument/2006/relationships/hyperlink" Target="https://www.genome.jp/entry/C00166" TargetMode="External"/><Relationship Id="rId360" Type="http://schemas.openxmlformats.org/officeDocument/2006/relationships/hyperlink" Target="https://www.genome.jp/entry/C03802" TargetMode="External"/><Relationship Id="rId416" Type="http://schemas.openxmlformats.org/officeDocument/2006/relationships/hyperlink" Target="https://www.genome.jp/entry/C20904" TargetMode="External"/><Relationship Id="rId598" Type="http://schemas.openxmlformats.org/officeDocument/2006/relationships/hyperlink" Target="https://www.genome.jp/entry/C20376" TargetMode="External"/><Relationship Id="rId220" Type="http://schemas.openxmlformats.org/officeDocument/2006/relationships/hyperlink" Target="https://www.genome.jp/entry/C00111" TargetMode="External"/><Relationship Id="rId458" Type="http://schemas.openxmlformats.org/officeDocument/2006/relationships/hyperlink" Target="https://www.genome.jp/entry/C03800" TargetMode="External"/><Relationship Id="rId623" Type="http://schemas.openxmlformats.org/officeDocument/2006/relationships/hyperlink" Target="https://www.genome.jp/entry/C00124" TargetMode="External"/><Relationship Id="rId15" Type="http://schemas.openxmlformats.org/officeDocument/2006/relationships/hyperlink" Target="https://www.genome.jp/entry/C00008" TargetMode="External"/><Relationship Id="rId57" Type="http://schemas.openxmlformats.org/officeDocument/2006/relationships/hyperlink" Target="https://www.genome.jp/entry/C00008" TargetMode="External"/><Relationship Id="rId262" Type="http://schemas.openxmlformats.org/officeDocument/2006/relationships/hyperlink" Target="https://www.genome.jp/entry/C00685" TargetMode="External"/><Relationship Id="rId318" Type="http://schemas.openxmlformats.org/officeDocument/2006/relationships/hyperlink" Target="https://www.genome.jp/entry/C00234" TargetMode="External"/><Relationship Id="rId525" Type="http://schemas.openxmlformats.org/officeDocument/2006/relationships/hyperlink" Target="https://www.genome.jp/entry/C00957" TargetMode="External"/><Relationship Id="rId567" Type="http://schemas.openxmlformats.org/officeDocument/2006/relationships/hyperlink" Target="https://www.genome.jp/entry/C00020" TargetMode="External"/><Relationship Id="rId99" Type="http://schemas.openxmlformats.org/officeDocument/2006/relationships/hyperlink" Target="https://www.genome.jp/entry/C00008" TargetMode="External"/><Relationship Id="rId122" Type="http://schemas.openxmlformats.org/officeDocument/2006/relationships/hyperlink" Target="https://www.genome.jp/entry/C00008" TargetMode="External"/><Relationship Id="rId164" Type="http://schemas.openxmlformats.org/officeDocument/2006/relationships/hyperlink" Target="https://www.genome.jp/entry/C06006" TargetMode="External"/><Relationship Id="rId371" Type="http://schemas.openxmlformats.org/officeDocument/2006/relationships/hyperlink" Target="https://www.genome.jp/entry/C02764" TargetMode="External"/><Relationship Id="rId427" Type="http://schemas.openxmlformats.org/officeDocument/2006/relationships/hyperlink" Target="https://www.genome.jp/entry/C05817" TargetMode="External"/><Relationship Id="rId469" Type="http://schemas.openxmlformats.org/officeDocument/2006/relationships/hyperlink" Target="https://www.genome.jp/entry/C05744" TargetMode="External"/><Relationship Id="rId634" Type="http://schemas.openxmlformats.org/officeDocument/2006/relationships/hyperlink" Target="https://www.genome.jp/entry/C00124" TargetMode="External"/><Relationship Id="rId26" Type="http://schemas.openxmlformats.org/officeDocument/2006/relationships/hyperlink" Target="https://www.genome.jp/entry/C00020" TargetMode="External"/><Relationship Id="rId231" Type="http://schemas.openxmlformats.org/officeDocument/2006/relationships/hyperlink" Target="https://www.genome.jp/entry/C00415" TargetMode="External"/><Relationship Id="rId273" Type="http://schemas.openxmlformats.org/officeDocument/2006/relationships/hyperlink" Target="https://www.genome.jp/entry/C00071" TargetMode="External"/><Relationship Id="rId329" Type="http://schemas.openxmlformats.org/officeDocument/2006/relationships/hyperlink" Target="https://www.genome.jp/entry/C00022" TargetMode="External"/><Relationship Id="rId480" Type="http://schemas.openxmlformats.org/officeDocument/2006/relationships/hyperlink" Target="https://www.genome.jp/entry/C00105" TargetMode="External"/><Relationship Id="rId536" Type="http://schemas.openxmlformats.org/officeDocument/2006/relationships/hyperlink" Target="https://www.genome.jp/entry/C03692" TargetMode="External"/><Relationship Id="rId68" Type="http://schemas.openxmlformats.org/officeDocument/2006/relationships/hyperlink" Target="https://www.genome.jp/entry/C00008" TargetMode="External"/><Relationship Id="rId133" Type="http://schemas.openxmlformats.org/officeDocument/2006/relationships/hyperlink" Target="https://www.genome.jp/entry/C00020" TargetMode="External"/><Relationship Id="rId175" Type="http://schemas.openxmlformats.org/officeDocument/2006/relationships/hyperlink" Target="https://www.genome.jp/entry/C00103" TargetMode="External"/><Relationship Id="rId340" Type="http://schemas.openxmlformats.org/officeDocument/2006/relationships/hyperlink" Target="https://www.genome.jp/entry/C00041" TargetMode="External"/><Relationship Id="rId578" Type="http://schemas.openxmlformats.org/officeDocument/2006/relationships/hyperlink" Target="https://www.genome.jp/entry/C03069" TargetMode="External"/><Relationship Id="rId200" Type="http://schemas.openxmlformats.org/officeDocument/2006/relationships/hyperlink" Target="https://www.genome.jp/entry/C03028" TargetMode="External"/><Relationship Id="rId382" Type="http://schemas.openxmlformats.org/officeDocument/2006/relationships/hyperlink" Target="https://www.genome.jp/entry/C01267" TargetMode="External"/><Relationship Id="rId438" Type="http://schemas.openxmlformats.org/officeDocument/2006/relationships/hyperlink" Target="https://www.genome.jp/entry/C15653" TargetMode="External"/><Relationship Id="rId603" Type="http://schemas.openxmlformats.org/officeDocument/2006/relationships/hyperlink" Target="https://www.genome.jp/entry/C21748" TargetMode="External"/><Relationship Id="rId242" Type="http://schemas.openxmlformats.org/officeDocument/2006/relationships/hyperlink" Target="https://www.genome.jp/entry/C00294" TargetMode="External"/><Relationship Id="rId284" Type="http://schemas.openxmlformats.org/officeDocument/2006/relationships/hyperlink" Target="https://www.genome.jp/entry/C02953" TargetMode="External"/><Relationship Id="rId491" Type="http://schemas.openxmlformats.org/officeDocument/2006/relationships/hyperlink" Target="https://www.genome.jp/entry/C04666" TargetMode="External"/><Relationship Id="rId505" Type="http://schemas.openxmlformats.org/officeDocument/2006/relationships/hyperlink" Target="https://www.genome.jp/entry/C00124" TargetMode="External"/><Relationship Id="rId37" Type="http://schemas.openxmlformats.org/officeDocument/2006/relationships/hyperlink" Target="https://www.genome.jp/entry/C00008" TargetMode="External"/><Relationship Id="rId79" Type="http://schemas.openxmlformats.org/officeDocument/2006/relationships/hyperlink" Target="https://www.genome.jp/entry/C00008" TargetMode="External"/><Relationship Id="rId102" Type="http://schemas.openxmlformats.org/officeDocument/2006/relationships/hyperlink" Target="https://www.genome.jp/entry/C00020" TargetMode="External"/><Relationship Id="rId144" Type="http://schemas.openxmlformats.org/officeDocument/2006/relationships/hyperlink" Target="https://www.genome.jp/entry/C00020" TargetMode="External"/><Relationship Id="rId547" Type="http://schemas.openxmlformats.org/officeDocument/2006/relationships/hyperlink" Target="https://www.genome.jp/entry/C00033" TargetMode="External"/><Relationship Id="rId589" Type="http://schemas.openxmlformats.org/officeDocument/2006/relationships/hyperlink" Target="https://www.genome.jp/entry/C00399" TargetMode="External"/><Relationship Id="rId90" Type="http://schemas.openxmlformats.org/officeDocument/2006/relationships/hyperlink" Target="https://www.genome.jp/entry/C00008" TargetMode="External"/><Relationship Id="rId186" Type="http://schemas.openxmlformats.org/officeDocument/2006/relationships/hyperlink" Target="https://www.genome.jp/entry/C00041" TargetMode="External"/><Relationship Id="rId351" Type="http://schemas.openxmlformats.org/officeDocument/2006/relationships/hyperlink" Target="https://www.genome.jp/entry/C01172" TargetMode="External"/><Relationship Id="rId393" Type="http://schemas.openxmlformats.org/officeDocument/2006/relationships/hyperlink" Target="https://www.genome.jp/entry/C05841" TargetMode="External"/><Relationship Id="rId407" Type="http://schemas.openxmlformats.org/officeDocument/2006/relationships/hyperlink" Target="https://www.genome.jp/entry/C02984" TargetMode="External"/><Relationship Id="rId449" Type="http://schemas.openxmlformats.org/officeDocument/2006/relationships/hyperlink" Target="https://www.genome.jp/entry/C03523" TargetMode="External"/><Relationship Id="rId614" Type="http://schemas.openxmlformats.org/officeDocument/2006/relationships/hyperlink" Target="https://www.genome.jp/entry/C00124" TargetMode="External"/><Relationship Id="rId211" Type="http://schemas.openxmlformats.org/officeDocument/2006/relationships/hyperlink" Target="https://www.genome.jp/entry/C00104" TargetMode="External"/><Relationship Id="rId253" Type="http://schemas.openxmlformats.org/officeDocument/2006/relationships/hyperlink" Target="https://www.genome.jp/entry/C03912" TargetMode="External"/><Relationship Id="rId295" Type="http://schemas.openxmlformats.org/officeDocument/2006/relationships/hyperlink" Target="https://www.genome.jp/entry/C00199" TargetMode="External"/><Relationship Id="rId309" Type="http://schemas.openxmlformats.org/officeDocument/2006/relationships/hyperlink" Target="https://www.genome.jp/entry/C00404" TargetMode="External"/><Relationship Id="rId460" Type="http://schemas.openxmlformats.org/officeDocument/2006/relationships/hyperlink" Target="https://www.genome.jp/entry/C00615" TargetMode="External"/><Relationship Id="rId516" Type="http://schemas.openxmlformats.org/officeDocument/2006/relationships/hyperlink" Target="https://www.genome.jp/entry/C05750" TargetMode="External"/><Relationship Id="rId48" Type="http://schemas.openxmlformats.org/officeDocument/2006/relationships/hyperlink" Target="https://www.genome.jp/entry/C00020" TargetMode="External"/><Relationship Id="rId113" Type="http://schemas.openxmlformats.org/officeDocument/2006/relationships/hyperlink" Target="https://www.genome.jp/entry/C00008" TargetMode="External"/><Relationship Id="rId320" Type="http://schemas.openxmlformats.org/officeDocument/2006/relationships/hyperlink" Target="https://www.genome.jp/entry/C05382" TargetMode="External"/><Relationship Id="rId558" Type="http://schemas.openxmlformats.org/officeDocument/2006/relationships/hyperlink" Target="https://www.genome.jp/entry/C00180" TargetMode="External"/><Relationship Id="rId155" Type="http://schemas.openxmlformats.org/officeDocument/2006/relationships/hyperlink" Target="https://www.genome.jp/entry/C00021" TargetMode="External"/><Relationship Id="rId197" Type="http://schemas.openxmlformats.org/officeDocument/2006/relationships/hyperlink" Target="https://www.genome.jp/entry/C00078" TargetMode="External"/><Relationship Id="rId362" Type="http://schemas.openxmlformats.org/officeDocument/2006/relationships/hyperlink" Target="https://www.genome.jp/entry/C04287" TargetMode="External"/><Relationship Id="rId418" Type="http://schemas.openxmlformats.org/officeDocument/2006/relationships/hyperlink" Target="https://www.genome.jp/entry/C00101" TargetMode="External"/><Relationship Id="rId625" Type="http://schemas.openxmlformats.org/officeDocument/2006/relationships/hyperlink" Target="https://www.genome.jp/entry/C00137" TargetMode="External"/><Relationship Id="rId222" Type="http://schemas.openxmlformats.org/officeDocument/2006/relationships/hyperlink" Target="https://www.genome.jp/entry/C00283" TargetMode="External"/><Relationship Id="rId264" Type="http://schemas.openxmlformats.org/officeDocument/2006/relationships/hyperlink" Target="https://www.genome.jp/entry/C20641" TargetMode="External"/><Relationship Id="rId471" Type="http://schemas.openxmlformats.org/officeDocument/2006/relationships/hyperlink" Target="https://www.genome.jp/entry/C05753" TargetMode="External"/><Relationship Id="rId17" Type="http://schemas.openxmlformats.org/officeDocument/2006/relationships/hyperlink" Target="https://www.genome.jp/entry/C00008" TargetMode="External"/><Relationship Id="rId59" Type="http://schemas.openxmlformats.org/officeDocument/2006/relationships/hyperlink" Target="https://www.genome.jp/entry/C00020" TargetMode="External"/><Relationship Id="rId124" Type="http://schemas.openxmlformats.org/officeDocument/2006/relationships/hyperlink" Target="https://www.genome.jp/entry/C00008" TargetMode="External"/><Relationship Id="rId527" Type="http://schemas.openxmlformats.org/officeDocument/2006/relationships/hyperlink" Target="https://www.genome.jp/entry/C05898" TargetMode="External"/><Relationship Id="rId569" Type="http://schemas.openxmlformats.org/officeDocument/2006/relationships/hyperlink" Target="https://www.genome.jp/entry/C00010" TargetMode="External"/><Relationship Id="rId70" Type="http://schemas.openxmlformats.org/officeDocument/2006/relationships/hyperlink" Target="https://www.genome.jp/entry/C00020" TargetMode="External"/><Relationship Id="rId166" Type="http://schemas.openxmlformats.org/officeDocument/2006/relationships/hyperlink" Target="https://www.genome.jp/entry/C00010" TargetMode="External"/><Relationship Id="rId331" Type="http://schemas.openxmlformats.org/officeDocument/2006/relationships/hyperlink" Target="https://www.genome.jp/entry/C05402" TargetMode="External"/><Relationship Id="rId373" Type="http://schemas.openxmlformats.org/officeDocument/2006/relationships/hyperlink" Target="https://www.genome.jp/entry/C00526" TargetMode="External"/><Relationship Id="rId429" Type="http://schemas.openxmlformats.org/officeDocument/2006/relationships/hyperlink" Target="https://www.genome.jp/entry/C04896" TargetMode="External"/><Relationship Id="rId580" Type="http://schemas.openxmlformats.org/officeDocument/2006/relationships/hyperlink" Target="https://www.genome.jp/entry/C16596" TargetMode="External"/><Relationship Id="rId636" Type="http://schemas.openxmlformats.org/officeDocument/2006/relationships/hyperlink" Target="https://www.genome.jp/entry/G10550" TargetMode="External"/><Relationship Id="rId1" Type="http://schemas.openxmlformats.org/officeDocument/2006/relationships/hyperlink" Target="https://www.genome.jp/entry/C00013" TargetMode="External"/><Relationship Id="rId233" Type="http://schemas.openxmlformats.org/officeDocument/2006/relationships/hyperlink" Target="https://www.genome.jp/entry/C00299" TargetMode="External"/><Relationship Id="rId440" Type="http://schemas.openxmlformats.org/officeDocument/2006/relationships/hyperlink" Target="https://www.genome.jp/entry/C00712" TargetMode="External"/><Relationship Id="rId28" Type="http://schemas.openxmlformats.org/officeDocument/2006/relationships/hyperlink" Target="https://www.genome.jp/entry/C00008" TargetMode="External"/><Relationship Id="rId275" Type="http://schemas.openxmlformats.org/officeDocument/2006/relationships/hyperlink" Target="https://www.genome.jp/entry/C00101" TargetMode="External"/><Relationship Id="rId300" Type="http://schemas.openxmlformats.org/officeDocument/2006/relationships/hyperlink" Target="https://www.genome.jp/entry/C00352" TargetMode="External"/><Relationship Id="rId482" Type="http://schemas.openxmlformats.org/officeDocument/2006/relationships/hyperlink" Target="https://www.genome.jp/entry/C03373" TargetMode="External"/><Relationship Id="rId538" Type="http://schemas.openxmlformats.org/officeDocument/2006/relationships/hyperlink" Target="https://www.genome.jp/entry/C07335" TargetMode="External"/><Relationship Id="rId81" Type="http://schemas.openxmlformats.org/officeDocument/2006/relationships/hyperlink" Target="https://www.genome.jp/entry/C00008" TargetMode="External"/><Relationship Id="rId135" Type="http://schemas.openxmlformats.org/officeDocument/2006/relationships/hyperlink" Target="https://www.genome.jp/entry/C00536" TargetMode="External"/><Relationship Id="rId177" Type="http://schemas.openxmlformats.org/officeDocument/2006/relationships/hyperlink" Target="https://www.genome.jp/entry/C00010" TargetMode="External"/><Relationship Id="rId342" Type="http://schemas.openxmlformats.org/officeDocument/2006/relationships/hyperlink" Target="https://www.genome.jp/entry/C00027" TargetMode="External"/><Relationship Id="rId384" Type="http://schemas.openxmlformats.org/officeDocument/2006/relationships/hyperlink" Target="https://www.genome.jp/entry/C00188" TargetMode="External"/><Relationship Id="rId591" Type="http://schemas.openxmlformats.org/officeDocument/2006/relationships/hyperlink" Target="https://www.genome.jp/entry/C19085" TargetMode="External"/><Relationship Id="rId605" Type="http://schemas.openxmlformats.org/officeDocument/2006/relationships/hyperlink" Target="https://www.genome.jp/entry/C22442" TargetMode="External"/><Relationship Id="rId202" Type="http://schemas.openxmlformats.org/officeDocument/2006/relationships/hyperlink" Target="https://www.genome.jp/entry/C04631" TargetMode="External"/><Relationship Id="rId244" Type="http://schemas.openxmlformats.org/officeDocument/2006/relationships/hyperlink" Target="https://www.genome.jp/entry/C00655" TargetMode="External"/><Relationship Id="rId39" Type="http://schemas.openxmlformats.org/officeDocument/2006/relationships/hyperlink" Target="https://www.genome.jp/entry/C00020" TargetMode="External"/><Relationship Id="rId286" Type="http://schemas.openxmlformats.org/officeDocument/2006/relationships/hyperlink" Target="https://www.genome.jp/entry/C05345" TargetMode="External"/><Relationship Id="rId451" Type="http://schemas.openxmlformats.org/officeDocument/2006/relationships/hyperlink" Target="https://www.genome.jp/entry/C05744" TargetMode="External"/><Relationship Id="rId493" Type="http://schemas.openxmlformats.org/officeDocument/2006/relationships/hyperlink" Target="https://www.genome.jp/entry/C00161" TargetMode="External"/><Relationship Id="rId507" Type="http://schemas.openxmlformats.org/officeDocument/2006/relationships/hyperlink" Target="https://www.genome.jp/entry/C00124" TargetMode="External"/><Relationship Id="rId549" Type="http://schemas.openxmlformats.org/officeDocument/2006/relationships/hyperlink" Target="https://www.genome.jp/entry/C16348" TargetMode="External"/><Relationship Id="rId50" Type="http://schemas.openxmlformats.org/officeDocument/2006/relationships/hyperlink" Target="https://www.genome.jp/entry/C00008" TargetMode="External"/><Relationship Id="rId104" Type="http://schemas.openxmlformats.org/officeDocument/2006/relationships/hyperlink" Target="https://www.genome.jp/entry/C00008" TargetMode="External"/><Relationship Id="rId146" Type="http://schemas.openxmlformats.org/officeDocument/2006/relationships/hyperlink" Target="https://www.genome.jp/entry/C00153" TargetMode="External"/><Relationship Id="rId188" Type="http://schemas.openxmlformats.org/officeDocument/2006/relationships/hyperlink" Target="https://www.genome.jp/entry/C00224" TargetMode="External"/><Relationship Id="rId311" Type="http://schemas.openxmlformats.org/officeDocument/2006/relationships/hyperlink" Target="https://www.genome.jp/entry/C00504" TargetMode="External"/><Relationship Id="rId353" Type="http://schemas.openxmlformats.org/officeDocument/2006/relationships/hyperlink" Target="https://www.genome.jp/entry/C00085" TargetMode="External"/><Relationship Id="rId395" Type="http://schemas.openxmlformats.org/officeDocument/2006/relationships/hyperlink" Target="https://www.genome.jp/entry/C00137" TargetMode="External"/><Relationship Id="rId409" Type="http://schemas.openxmlformats.org/officeDocument/2006/relationships/hyperlink" Target="https://www.genome.jp/entry/C00010" TargetMode="External"/><Relationship Id="rId560" Type="http://schemas.openxmlformats.org/officeDocument/2006/relationships/hyperlink" Target="https://www.genome.jp/entry/C21031" TargetMode="External"/><Relationship Id="rId92" Type="http://schemas.openxmlformats.org/officeDocument/2006/relationships/hyperlink" Target="https://www.genome.jp/entry/C00020" TargetMode="External"/><Relationship Id="rId213" Type="http://schemas.openxmlformats.org/officeDocument/2006/relationships/hyperlink" Target="https://www.genome.jp/entry/C00024" TargetMode="External"/><Relationship Id="rId420" Type="http://schemas.openxmlformats.org/officeDocument/2006/relationships/hyperlink" Target="https://www.genome.jp/entry/C07086" TargetMode="External"/><Relationship Id="rId616" Type="http://schemas.openxmlformats.org/officeDocument/2006/relationships/hyperlink" Target="https://www.genome.jp/entry/C00267" TargetMode="External"/><Relationship Id="rId255" Type="http://schemas.openxmlformats.org/officeDocument/2006/relationships/hyperlink" Target="https://www.genome.jp/entry/C00149" TargetMode="External"/><Relationship Id="rId297" Type="http://schemas.openxmlformats.org/officeDocument/2006/relationships/hyperlink" Target="https://www.genome.jp/entry/C00111" TargetMode="External"/><Relationship Id="rId462" Type="http://schemas.openxmlformats.org/officeDocument/2006/relationships/hyperlink" Target="https://www.genome.jp/entry/C00108" TargetMode="External"/><Relationship Id="rId518" Type="http://schemas.openxmlformats.org/officeDocument/2006/relationships/hyperlink" Target="https://www.genome.jp/entry/C05756" TargetMode="External"/><Relationship Id="rId115" Type="http://schemas.openxmlformats.org/officeDocument/2006/relationships/hyperlink" Target="https://www.genome.jp/entry/C00013" TargetMode="External"/><Relationship Id="rId157" Type="http://schemas.openxmlformats.org/officeDocument/2006/relationships/hyperlink" Target="https://www.genome.jp/entry/C05198" TargetMode="External"/><Relationship Id="rId322" Type="http://schemas.openxmlformats.org/officeDocument/2006/relationships/hyperlink" Target="https://www.genome.jp/entry/C00013" TargetMode="External"/><Relationship Id="rId364" Type="http://schemas.openxmlformats.org/officeDocument/2006/relationships/hyperlink" Target="https://www.genome.jp/entry/C00718" TargetMode="External"/><Relationship Id="rId61" Type="http://schemas.openxmlformats.org/officeDocument/2006/relationships/hyperlink" Target="https://www.genome.jp/entry/C00020" TargetMode="External"/><Relationship Id="rId199" Type="http://schemas.openxmlformats.org/officeDocument/2006/relationships/hyperlink" Target="https://www.genome.jp/entry/C00078" TargetMode="External"/><Relationship Id="rId571" Type="http://schemas.openxmlformats.org/officeDocument/2006/relationships/hyperlink" Target="https://www.genome.jp/entry/C16220" TargetMode="External"/><Relationship Id="rId627" Type="http://schemas.openxmlformats.org/officeDocument/2006/relationships/hyperlink" Target="https://www.genome.jp/entry/G10495" TargetMode="External"/><Relationship Id="rId19" Type="http://schemas.openxmlformats.org/officeDocument/2006/relationships/hyperlink" Target="https://www.genome.jp/entry/C00020" TargetMode="External"/><Relationship Id="rId224" Type="http://schemas.openxmlformats.org/officeDocument/2006/relationships/hyperlink" Target="https://www.genome.jp/entry/C00065" TargetMode="External"/><Relationship Id="rId266" Type="http://schemas.openxmlformats.org/officeDocument/2006/relationships/hyperlink" Target="https://www.genome.jp/entry/C06019" TargetMode="External"/><Relationship Id="rId431" Type="http://schemas.openxmlformats.org/officeDocument/2006/relationships/hyperlink" Target="https://www.genome.jp/entry/C00145" TargetMode="External"/><Relationship Id="rId473" Type="http://schemas.openxmlformats.org/officeDocument/2006/relationships/hyperlink" Target="https://www.genome.jp/entry/C05750" TargetMode="External"/><Relationship Id="rId529" Type="http://schemas.openxmlformats.org/officeDocument/2006/relationships/hyperlink" Target="https://www.genome.jp/entry/C00109" TargetMode="External"/><Relationship Id="rId30" Type="http://schemas.openxmlformats.org/officeDocument/2006/relationships/hyperlink" Target="https://www.genome.jp/entry/C00020" TargetMode="External"/><Relationship Id="rId126" Type="http://schemas.openxmlformats.org/officeDocument/2006/relationships/hyperlink" Target="https://www.genome.jp/entry/C00008" TargetMode="External"/><Relationship Id="rId168" Type="http://schemas.openxmlformats.org/officeDocument/2006/relationships/hyperlink" Target="https://www.genome.jp/entry/C00033" TargetMode="External"/><Relationship Id="rId333" Type="http://schemas.openxmlformats.org/officeDocument/2006/relationships/hyperlink" Target="https://www.genome.jp/entry/C00008" TargetMode="External"/><Relationship Id="rId540" Type="http://schemas.openxmlformats.org/officeDocument/2006/relationships/hyperlink" Target="https://www.genome.jp/entry/C02686" TargetMode="External"/><Relationship Id="rId72" Type="http://schemas.openxmlformats.org/officeDocument/2006/relationships/hyperlink" Target="https://www.genome.jp/entry/C00020" TargetMode="External"/><Relationship Id="rId375" Type="http://schemas.openxmlformats.org/officeDocument/2006/relationships/hyperlink" Target="https://www.genome.jp/entry/C05125" TargetMode="External"/><Relationship Id="rId582" Type="http://schemas.openxmlformats.org/officeDocument/2006/relationships/hyperlink" Target="https://www.genome.jp/entry/C16634" TargetMode="External"/><Relationship Id="rId638" Type="http://schemas.openxmlformats.org/officeDocument/2006/relationships/hyperlink" Target="https://www.genome.jp/entry/G11121" TargetMode="External"/><Relationship Id="rId3" Type="http://schemas.openxmlformats.org/officeDocument/2006/relationships/hyperlink" Target="https://www.genome.jp/entry/C00008" TargetMode="External"/><Relationship Id="rId235" Type="http://schemas.openxmlformats.org/officeDocument/2006/relationships/hyperlink" Target="https://www.genome.jp/entry/C00100" TargetMode="External"/><Relationship Id="rId277" Type="http://schemas.openxmlformats.org/officeDocument/2006/relationships/hyperlink" Target="https://www.genome.jp/entry/C00060" TargetMode="External"/><Relationship Id="rId400" Type="http://schemas.openxmlformats.org/officeDocument/2006/relationships/hyperlink" Target="https://www.genome.jp/entry/C03506" TargetMode="External"/><Relationship Id="rId442" Type="http://schemas.openxmlformats.org/officeDocument/2006/relationships/hyperlink" Target="https://www.genome.jp/entry/C00122" TargetMode="External"/><Relationship Id="rId484" Type="http://schemas.openxmlformats.org/officeDocument/2006/relationships/hyperlink" Target="https://www.genome.jp/entry/C00013" TargetMode="External"/><Relationship Id="rId137" Type="http://schemas.openxmlformats.org/officeDocument/2006/relationships/hyperlink" Target="https://www.genome.jp/entry/C22160" TargetMode="External"/><Relationship Id="rId302" Type="http://schemas.openxmlformats.org/officeDocument/2006/relationships/hyperlink" Target="https://www.genome.jp/entry/C00035" TargetMode="External"/><Relationship Id="rId344" Type="http://schemas.openxmlformats.org/officeDocument/2006/relationships/hyperlink" Target="https://www.genome.jp/entry/C00197" TargetMode="External"/><Relationship Id="rId41" Type="http://schemas.openxmlformats.org/officeDocument/2006/relationships/hyperlink" Target="https://www.genome.jp/entry/C00020" TargetMode="External"/><Relationship Id="rId83" Type="http://schemas.openxmlformats.org/officeDocument/2006/relationships/hyperlink" Target="https://www.genome.jp/entry/C00008" TargetMode="External"/><Relationship Id="rId179" Type="http://schemas.openxmlformats.org/officeDocument/2006/relationships/hyperlink" Target="https://www.genome.jp/entry/C00133" TargetMode="External"/><Relationship Id="rId386" Type="http://schemas.openxmlformats.org/officeDocument/2006/relationships/hyperlink" Target="https://www.genome.jp/entry/C01097" TargetMode="External"/><Relationship Id="rId551" Type="http://schemas.openxmlformats.org/officeDocument/2006/relationships/hyperlink" Target="https://www.genome.jp/entry/C06893" TargetMode="External"/><Relationship Id="rId593" Type="http://schemas.openxmlformats.org/officeDocument/2006/relationships/hyperlink" Target="https://www.genome.jp/entry/C19723" TargetMode="External"/><Relationship Id="rId607" Type="http://schemas.openxmlformats.org/officeDocument/2006/relationships/hyperlink" Target="https://www.genome.jp/entry/C23007" TargetMode="External"/><Relationship Id="rId190" Type="http://schemas.openxmlformats.org/officeDocument/2006/relationships/hyperlink" Target="https://www.genome.jp/entry/C00475" TargetMode="External"/><Relationship Id="rId204" Type="http://schemas.openxmlformats.org/officeDocument/2006/relationships/hyperlink" Target="https://www.genome.jp/entry/C00022" TargetMode="External"/><Relationship Id="rId246" Type="http://schemas.openxmlformats.org/officeDocument/2006/relationships/hyperlink" Target="https://www.genome.jp/entry/C00206" TargetMode="External"/><Relationship Id="rId288" Type="http://schemas.openxmlformats.org/officeDocument/2006/relationships/hyperlink" Target="https://www.genome.jp/entry/C00013" TargetMode="External"/><Relationship Id="rId411" Type="http://schemas.openxmlformats.org/officeDocument/2006/relationships/hyperlink" Target="https://www.genome.jp/entry/C00010" TargetMode="External"/><Relationship Id="rId453" Type="http://schemas.openxmlformats.org/officeDocument/2006/relationships/hyperlink" Target="https://www.genome.jp/entry/C20258" TargetMode="External"/><Relationship Id="rId509" Type="http://schemas.openxmlformats.org/officeDocument/2006/relationships/hyperlink" Target="https://www.genome.jp/entry/C05577" TargetMode="External"/><Relationship Id="rId106" Type="http://schemas.openxmlformats.org/officeDocument/2006/relationships/hyperlink" Target="https://www.genome.jp/entry/C00020" TargetMode="External"/><Relationship Id="rId313" Type="http://schemas.openxmlformats.org/officeDocument/2006/relationships/hyperlink" Target="https://www.genome.jp/entry/C00356" TargetMode="External"/><Relationship Id="rId495" Type="http://schemas.openxmlformats.org/officeDocument/2006/relationships/hyperlink" Target="https://www.genome.jp/entry/C22288" TargetMode="External"/><Relationship Id="rId10" Type="http://schemas.openxmlformats.org/officeDocument/2006/relationships/hyperlink" Target="https://www.genome.jp/entry/C00124" TargetMode="External"/><Relationship Id="rId52" Type="http://schemas.openxmlformats.org/officeDocument/2006/relationships/hyperlink" Target="https://www.genome.jp/entry/C00008" TargetMode="External"/><Relationship Id="rId94" Type="http://schemas.openxmlformats.org/officeDocument/2006/relationships/hyperlink" Target="https://www.genome.jp/entry/C00020" TargetMode="External"/><Relationship Id="rId148" Type="http://schemas.openxmlformats.org/officeDocument/2006/relationships/hyperlink" Target="https://www.genome.jp/entry/C00054" TargetMode="External"/><Relationship Id="rId355" Type="http://schemas.openxmlformats.org/officeDocument/2006/relationships/hyperlink" Target="https://www.genome.jp/entry/C05345" TargetMode="External"/><Relationship Id="rId397" Type="http://schemas.openxmlformats.org/officeDocument/2006/relationships/hyperlink" Target="https://www.genome.jp/entry/C00693" TargetMode="External"/><Relationship Id="rId520" Type="http://schemas.openxmlformats.org/officeDocument/2006/relationships/hyperlink" Target="https://www.genome.jp/entry/C05756" TargetMode="External"/><Relationship Id="rId562" Type="http://schemas.openxmlformats.org/officeDocument/2006/relationships/hyperlink" Target="https://www.genome.jp/entry/C11440" TargetMode="External"/><Relationship Id="rId618" Type="http://schemas.openxmlformats.org/officeDocument/2006/relationships/hyperlink" Target="https://www.genome.jp/entry/G00501" TargetMode="External"/><Relationship Id="rId215" Type="http://schemas.openxmlformats.org/officeDocument/2006/relationships/hyperlink" Target="https://www.genome.jp/entry/C02336" TargetMode="External"/><Relationship Id="rId257" Type="http://schemas.openxmlformats.org/officeDocument/2006/relationships/hyperlink" Target="https://www.genome.jp/entry/C00033" TargetMode="External"/><Relationship Id="rId422" Type="http://schemas.openxmlformats.org/officeDocument/2006/relationships/hyperlink" Target="https://www.genome.jp/entry/C00059" TargetMode="External"/><Relationship Id="rId464" Type="http://schemas.openxmlformats.org/officeDocument/2006/relationships/hyperlink" Target="https://www.genome.jp/entry/C04144" TargetMode="External"/><Relationship Id="rId299" Type="http://schemas.openxmlformats.org/officeDocument/2006/relationships/hyperlink" Target="https://www.genome.jp/entry/C00024" TargetMode="External"/><Relationship Id="rId63" Type="http://schemas.openxmlformats.org/officeDocument/2006/relationships/hyperlink" Target="https://www.genome.jp/entry/C00020" TargetMode="External"/><Relationship Id="rId159" Type="http://schemas.openxmlformats.org/officeDocument/2006/relationships/hyperlink" Target="https://www.genome.jp/entry/C00021" TargetMode="External"/><Relationship Id="rId366" Type="http://schemas.openxmlformats.org/officeDocument/2006/relationships/hyperlink" Target="https://www.genome.jp/entry/C00217" TargetMode="External"/><Relationship Id="rId573" Type="http://schemas.openxmlformats.org/officeDocument/2006/relationships/hyperlink" Target="https://www.genome.jp/entry/C08492" TargetMode="External"/><Relationship Id="rId226" Type="http://schemas.openxmlformats.org/officeDocument/2006/relationships/hyperlink" Target="https://www.genome.jp/entry/C02876" TargetMode="External"/><Relationship Id="rId433" Type="http://schemas.openxmlformats.org/officeDocument/2006/relationships/hyperlink" Target="https://www.genome.jp/entry/C14099" TargetMode="External"/><Relationship Id="rId74" Type="http://schemas.openxmlformats.org/officeDocument/2006/relationships/hyperlink" Target="https://www.genome.jp/entry/C00008" TargetMode="External"/><Relationship Id="rId377" Type="http://schemas.openxmlformats.org/officeDocument/2006/relationships/hyperlink" Target="https://www.genome.jp/entry/C00097" TargetMode="External"/><Relationship Id="rId500" Type="http://schemas.openxmlformats.org/officeDocument/2006/relationships/hyperlink" Target="https://www.genome.jp/entry/C05345" TargetMode="External"/><Relationship Id="rId584" Type="http://schemas.openxmlformats.org/officeDocument/2006/relationships/hyperlink" Target="https://www.genome.jp/entry/C00095" TargetMode="External"/><Relationship Id="rId5" Type="http://schemas.openxmlformats.org/officeDocument/2006/relationships/hyperlink" Target="https://www.genome.jp/entry/C00021" TargetMode="External"/><Relationship Id="rId237" Type="http://schemas.openxmlformats.org/officeDocument/2006/relationships/hyperlink" Target="https://www.genome.jp/entry/C00576" TargetMode="External"/><Relationship Id="rId444" Type="http://schemas.openxmlformats.org/officeDocument/2006/relationships/hyperlink" Target="https://www.genome.jp/entry/C11838" TargetMode="External"/><Relationship Id="rId290" Type="http://schemas.openxmlformats.org/officeDocument/2006/relationships/hyperlink" Target="https://www.genome.jp/entry/C00250" TargetMode="External"/><Relationship Id="rId304" Type="http://schemas.openxmlformats.org/officeDocument/2006/relationships/hyperlink" Target="https://www.genome.jp/entry/C00214" TargetMode="External"/><Relationship Id="rId388" Type="http://schemas.openxmlformats.org/officeDocument/2006/relationships/hyperlink" Target="https://www.genome.jp/entry/C04281" TargetMode="External"/><Relationship Id="rId511" Type="http://schemas.openxmlformats.org/officeDocument/2006/relationships/hyperlink" Target="https://www.genome.jp/entry/C05335" TargetMode="External"/><Relationship Id="rId609" Type="http://schemas.openxmlformats.org/officeDocument/2006/relationships/hyperlink" Target="https://www.genome.jp/entry/C23017" TargetMode="External"/><Relationship Id="rId85" Type="http://schemas.openxmlformats.org/officeDocument/2006/relationships/hyperlink" Target="https://www.genome.jp/entry/C00020" TargetMode="External"/><Relationship Id="rId150" Type="http://schemas.openxmlformats.org/officeDocument/2006/relationships/hyperlink" Target="https://www.genome.jp/entry/C00009" TargetMode="External"/><Relationship Id="rId595" Type="http://schemas.openxmlformats.org/officeDocument/2006/relationships/hyperlink" Target="https://www.genome.jp/entry/C01279" TargetMode="External"/><Relationship Id="rId248" Type="http://schemas.openxmlformats.org/officeDocument/2006/relationships/hyperlink" Target="https://www.genome.jp/entry/C00002" TargetMode="External"/><Relationship Id="rId455" Type="http://schemas.openxmlformats.org/officeDocument/2006/relationships/hyperlink" Target="https://www.genome.jp/entry/C03723" TargetMode="External"/><Relationship Id="rId12" Type="http://schemas.openxmlformats.org/officeDocument/2006/relationships/hyperlink" Target="https://www.genome.jp/entry/C00008" TargetMode="External"/><Relationship Id="rId108" Type="http://schemas.openxmlformats.org/officeDocument/2006/relationships/hyperlink" Target="https://www.genome.jp/entry/C00008" TargetMode="External"/><Relationship Id="rId315" Type="http://schemas.openxmlformats.org/officeDocument/2006/relationships/hyperlink" Target="https://www.genome.jp/entry/C00143" TargetMode="External"/><Relationship Id="rId522" Type="http://schemas.openxmlformats.org/officeDocument/2006/relationships/hyperlink" Target="https://www.genome.jp/entry/C16219" TargetMode="External"/><Relationship Id="rId96" Type="http://schemas.openxmlformats.org/officeDocument/2006/relationships/hyperlink" Target="https://www.genome.jp/entry/C00008" TargetMode="External"/><Relationship Id="rId161" Type="http://schemas.openxmlformats.org/officeDocument/2006/relationships/hyperlink" Target="https://www.genome.jp/entry/C03539" TargetMode="External"/><Relationship Id="rId399" Type="http://schemas.openxmlformats.org/officeDocument/2006/relationships/hyperlink" Target="https://www.genome.jp/entry/C01190" TargetMode="External"/><Relationship Id="rId259" Type="http://schemas.openxmlformats.org/officeDocument/2006/relationships/hyperlink" Target="https://www.genome.jp/entry/C00147" TargetMode="External"/><Relationship Id="rId466" Type="http://schemas.openxmlformats.org/officeDocument/2006/relationships/hyperlink" Target="https://www.genome.jp/entry/C00031" TargetMode="External"/><Relationship Id="rId23" Type="http://schemas.openxmlformats.org/officeDocument/2006/relationships/hyperlink" Target="https://www.genome.jp/entry/C00008" TargetMode="External"/><Relationship Id="rId119" Type="http://schemas.openxmlformats.org/officeDocument/2006/relationships/hyperlink" Target="https://www.genome.jp/entry/C00008" TargetMode="External"/><Relationship Id="rId326" Type="http://schemas.openxmlformats.org/officeDocument/2006/relationships/hyperlink" Target="https://www.genome.jp/entry/C00084" TargetMode="External"/><Relationship Id="rId533" Type="http://schemas.openxmlformats.org/officeDocument/2006/relationships/hyperlink" Target="https://www.genome.jp/entry/C00085" TargetMode="External"/><Relationship Id="rId172" Type="http://schemas.openxmlformats.org/officeDocument/2006/relationships/hyperlink" Target="https://www.genome.jp/entry/C00217" TargetMode="External"/><Relationship Id="rId477" Type="http://schemas.openxmlformats.org/officeDocument/2006/relationships/hyperlink" Target="https://www.genome.jp/entry/C01267" TargetMode="External"/><Relationship Id="rId600" Type="http://schemas.openxmlformats.org/officeDocument/2006/relationships/hyperlink" Target="https://www.genome.jp/entry/C20378" TargetMode="External"/><Relationship Id="rId337" Type="http://schemas.openxmlformats.org/officeDocument/2006/relationships/hyperlink" Target="https://www.genome.jp/entry/C05512" TargetMode="External"/><Relationship Id="rId34" Type="http://schemas.openxmlformats.org/officeDocument/2006/relationships/hyperlink" Target="https://www.genome.jp/entry/C00008" TargetMode="External"/><Relationship Id="rId544" Type="http://schemas.openxmlformats.org/officeDocument/2006/relationships/hyperlink" Target="https://www.genome.jp/entry/C00530" TargetMode="External"/><Relationship Id="rId183" Type="http://schemas.openxmlformats.org/officeDocument/2006/relationships/hyperlink" Target="https://www.genome.jp/entry/C00035" TargetMode="External"/><Relationship Id="rId390" Type="http://schemas.openxmlformats.org/officeDocument/2006/relationships/hyperlink" Target="https://www.genome.jp/entry/C03287" TargetMode="External"/><Relationship Id="rId404" Type="http://schemas.openxmlformats.org/officeDocument/2006/relationships/hyperlink" Target="https://www.genome.jp/entry/C01450" TargetMode="External"/><Relationship Id="rId611" Type="http://schemas.openxmlformats.org/officeDocument/2006/relationships/hyperlink" Target="https://www.genome.jp/entry/G10238" TargetMode="External"/><Relationship Id="rId250" Type="http://schemas.openxmlformats.org/officeDocument/2006/relationships/hyperlink" Target="https://www.genome.jp/entry/C00445" TargetMode="External"/><Relationship Id="rId488" Type="http://schemas.openxmlformats.org/officeDocument/2006/relationships/hyperlink" Target="https://www.genome.jp/entry/C04916" TargetMode="External"/><Relationship Id="rId45" Type="http://schemas.openxmlformats.org/officeDocument/2006/relationships/hyperlink" Target="https://www.genome.jp/entry/C00020" TargetMode="External"/><Relationship Id="rId110" Type="http://schemas.openxmlformats.org/officeDocument/2006/relationships/hyperlink" Target="https://www.genome.jp/entry/C00008" TargetMode="External"/><Relationship Id="rId348" Type="http://schemas.openxmlformats.org/officeDocument/2006/relationships/hyperlink" Target="https://www.genome.jp/entry/C01762" TargetMode="External"/><Relationship Id="rId555" Type="http://schemas.openxmlformats.org/officeDocument/2006/relationships/hyperlink" Target="https://www.genome.jp/entry/C07479" TargetMode="External"/><Relationship Id="rId194" Type="http://schemas.openxmlformats.org/officeDocument/2006/relationships/hyperlink" Target="https://www.genome.jp/entry/C00025" TargetMode="External"/><Relationship Id="rId208" Type="http://schemas.openxmlformats.org/officeDocument/2006/relationships/hyperlink" Target="https://www.genome.jp/entry/C00013" TargetMode="External"/><Relationship Id="rId415" Type="http://schemas.openxmlformats.org/officeDocument/2006/relationships/hyperlink" Target="https://www.genome.jp/entry/C19078" TargetMode="External"/><Relationship Id="rId622" Type="http://schemas.openxmlformats.org/officeDocument/2006/relationships/hyperlink" Target="https://www.genome.jp/entry/C00124" TargetMode="External"/><Relationship Id="rId261" Type="http://schemas.openxmlformats.org/officeDocument/2006/relationships/hyperlink" Target="https://www.genome.jp/entry/C00681" TargetMode="External"/><Relationship Id="rId499" Type="http://schemas.openxmlformats.org/officeDocument/2006/relationships/hyperlink" Target="https://www.genome.jp/entry/C00111" TargetMode="External"/><Relationship Id="rId56" Type="http://schemas.openxmlformats.org/officeDocument/2006/relationships/hyperlink" Target="https://www.genome.jp/entry/C00020" TargetMode="External"/><Relationship Id="rId359" Type="http://schemas.openxmlformats.org/officeDocument/2006/relationships/hyperlink" Target="https://www.genome.jp/entry/C00013" TargetMode="External"/><Relationship Id="rId566" Type="http://schemas.openxmlformats.org/officeDocument/2006/relationships/hyperlink" Target="https://www.genome.jp/entry/C04751" TargetMode="External"/><Relationship Id="rId121" Type="http://schemas.openxmlformats.org/officeDocument/2006/relationships/hyperlink" Target="https://www.genome.jp/entry/C00008" TargetMode="External"/><Relationship Id="rId219" Type="http://schemas.openxmlformats.org/officeDocument/2006/relationships/hyperlink" Target="https://www.genome.jp/entry/C00111" TargetMode="External"/><Relationship Id="rId426" Type="http://schemas.openxmlformats.org/officeDocument/2006/relationships/hyperlink" Target="https://www.genome.jp/entry/C00954" TargetMode="External"/><Relationship Id="rId633" Type="http://schemas.openxmlformats.org/officeDocument/2006/relationships/hyperlink" Target="https://www.genome.jp/entry/C05394" TargetMode="External"/><Relationship Id="rId67" Type="http://schemas.openxmlformats.org/officeDocument/2006/relationships/hyperlink" Target="https://www.genome.jp/entry/C00020" TargetMode="External"/><Relationship Id="rId272" Type="http://schemas.openxmlformats.org/officeDocument/2006/relationships/hyperlink" Target="https://www.genome.jp/entry/C00178" TargetMode="External"/><Relationship Id="rId577" Type="http://schemas.openxmlformats.org/officeDocument/2006/relationships/hyperlink" Target="https://www.genome.jp/entry/C16470" TargetMode="External"/><Relationship Id="rId132" Type="http://schemas.openxmlformats.org/officeDocument/2006/relationships/hyperlink" Target="https://www.genome.jp/entry/C00009" TargetMode="External"/><Relationship Id="rId437" Type="http://schemas.openxmlformats.org/officeDocument/2006/relationships/hyperlink" Target="https://www.genome.jp/entry/C03895" TargetMode="External"/><Relationship Id="rId283" Type="http://schemas.openxmlformats.org/officeDocument/2006/relationships/hyperlink" Target="https://www.genome.jp/entry/C00055" TargetMode="External"/><Relationship Id="rId490" Type="http://schemas.openxmlformats.org/officeDocument/2006/relationships/hyperlink" Target="https://www.genome.jp/entry/C04677" TargetMode="External"/><Relationship Id="rId504" Type="http://schemas.openxmlformats.org/officeDocument/2006/relationships/hyperlink" Target="https://www.genome.jp/entry/C00124" TargetMode="External"/><Relationship Id="rId78" Type="http://schemas.openxmlformats.org/officeDocument/2006/relationships/hyperlink" Target="https://www.genome.jp/entry/C00008" TargetMode="External"/><Relationship Id="rId143" Type="http://schemas.openxmlformats.org/officeDocument/2006/relationships/hyperlink" Target="https://www.genome.jp/entry/C00008" TargetMode="External"/><Relationship Id="rId350" Type="http://schemas.openxmlformats.org/officeDocument/2006/relationships/hyperlink" Target="https://www.genome.jp/entry/C00092" TargetMode="External"/><Relationship Id="rId588" Type="http://schemas.openxmlformats.org/officeDocument/2006/relationships/hyperlink" Target="https://www.genome.jp/entry/C17552" TargetMode="External"/><Relationship Id="rId9" Type="http://schemas.openxmlformats.org/officeDocument/2006/relationships/hyperlink" Target="https://www.genome.jp/entry/C00031" TargetMode="External"/><Relationship Id="rId210" Type="http://schemas.openxmlformats.org/officeDocument/2006/relationships/hyperlink" Target="https://www.genome.jp/entry/C00104" TargetMode="External"/><Relationship Id="rId448" Type="http://schemas.openxmlformats.org/officeDocument/2006/relationships/hyperlink" Target="https://www.genome.jp/entry/C043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7"/>
  <sheetViews>
    <sheetView workbookViewId="0"/>
  </sheetViews>
  <sheetFormatPr defaultColWidth="12.6328125" defaultRowHeight="15" customHeight="1"/>
  <cols>
    <col min="1" max="1" width="20" customWidth="1"/>
    <col min="2" max="2" width="16.6328125" customWidth="1"/>
    <col min="3" max="3" width="14.7265625" customWidth="1"/>
  </cols>
  <sheetData>
    <row r="1" spans="1:3" ht="15" customHeight="1">
      <c r="A1" s="1" t="s">
        <v>0</v>
      </c>
      <c r="B1" s="2" t="s">
        <v>1</v>
      </c>
    </row>
    <row r="2" spans="1:3" ht="15" customHeight="1">
      <c r="A2" s="3" t="s">
        <v>2</v>
      </c>
      <c r="B2" s="4" t="s">
        <v>3</v>
      </c>
    </row>
    <row r="3" spans="1:3" ht="15" customHeight="1">
      <c r="A3" s="3" t="s">
        <v>4</v>
      </c>
      <c r="B3" s="2" t="s">
        <v>5</v>
      </c>
    </row>
    <row r="4" spans="1:3" ht="15" customHeight="1">
      <c r="A4" s="1" t="s">
        <v>6</v>
      </c>
    </row>
    <row r="5" spans="1:3" ht="15" customHeight="1">
      <c r="A5" s="3" t="s">
        <v>7</v>
      </c>
      <c r="B5" s="4" t="s">
        <v>8</v>
      </c>
    </row>
    <row r="6" spans="1:3" ht="14.5">
      <c r="A6" s="5" t="s">
        <v>9</v>
      </c>
      <c r="B6" s="6" t="s">
        <v>10</v>
      </c>
    </row>
    <row r="7" spans="1:3" ht="15" customHeight="1">
      <c r="A7" s="7"/>
      <c r="B7" s="8" t="s">
        <v>11</v>
      </c>
      <c r="C7" s="8" t="s">
        <v>12</v>
      </c>
    </row>
    <row r="8" spans="1:3" ht="15" customHeight="1">
      <c r="A8" s="7" t="s">
        <v>13</v>
      </c>
      <c r="B8" s="9" t="s">
        <v>14</v>
      </c>
      <c r="C8" s="9" t="s">
        <v>14</v>
      </c>
    </row>
    <row r="9" spans="1:3" ht="14.5">
      <c r="A9" s="7" t="s">
        <v>15</v>
      </c>
      <c r="B9" s="10" t="s">
        <v>14</v>
      </c>
      <c r="C9" s="10" t="s">
        <v>14</v>
      </c>
    </row>
    <row r="10" spans="1:3" ht="15" customHeight="1">
      <c r="A10" s="7" t="s">
        <v>16</v>
      </c>
      <c r="B10" s="9">
        <v>2</v>
      </c>
      <c r="C10" s="9">
        <v>2</v>
      </c>
    </row>
    <row r="11" spans="1:3" ht="14.5">
      <c r="A11" s="7" t="s">
        <v>17</v>
      </c>
      <c r="B11" s="9">
        <v>2</v>
      </c>
      <c r="C11" s="9">
        <v>2</v>
      </c>
    </row>
    <row r="12" spans="1:3" ht="14.5">
      <c r="A12" s="7" t="s">
        <v>18</v>
      </c>
      <c r="B12" s="9" t="s">
        <v>19</v>
      </c>
      <c r="C12" s="9" t="s">
        <v>19</v>
      </c>
    </row>
    <row r="13" spans="1:3" ht="14.5">
      <c r="A13" s="7" t="s">
        <v>20</v>
      </c>
      <c r="B13" s="9">
        <v>1</v>
      </c>
      <c r="C13" s="9">
        <v>1</v>
      </c>
    </row>
    <row r="14" spans="1:3" ht="14.5">
      <c r="A14" s="7" t="s">
        <v>21</v>
      </c>
      <c r="B14" s="9">
        <v>2</v>
      </c>
      <c r="C14" s="9">
        <v>2</v>
      </c>
    </row>
    <row r="15" spans="1:3" ht="14.5">
      <c r="A15" s="7" t="s">
        <v>22</v>
      </c>
      <c r="B15" s="9" t="s">
        <v>19</v>
      </c>
      <c r="C15" s="9" t="s">
        <v>19</v>
      </c>
    </row>
    <row r="16" spans="1:3" ht="14.5">
      <c r="A16" s="7" t="s">
        <v>23</v>
      </c>
      <c r="B16" s="9">
        <v>1</v>
      </c>
      <c r="C16" s="9">
        <v>1</v>
      </c>
    </row>
    <row r="17" spans="1:4" ht="14.5">
      <c r="A17" s="7" t="s">
        <v>24</v>
      </c>
      <c r="B17" s="9">
        <v>46.5</v>
      </c>
      <c r="C17" s="9">
        <v>46.5</v>
      </c>
    </row>
    <row r="18" spans="1:4" ht="14.5">
      <c r="A18" s="7" t="s">
        <v>25</v>
      </c>
      <c r="B18" s="11" t="s">
        <v>26</v>
      </c>
      <c r="C18" s="11" t="s">
        <v>26</v>
      </c>
    </row>
    <row r="19" spans="1:4" ht="14.5">
      <c r="A19" s="7" t="s">
        <v>27</v>
      </c>
      <c r="B19" s="12">
        <v>2954</v>
      </c>
      <c r="C19" s="12">
        <v>2956</v>
      </c>
      <c r="D19" s="13"/>
    </row>
    <row r="20" spans="1:4" ht="15.5">
      <c r="A20" s="7" t="s">
        <v>28</v>
      </c>
      <c r="B20" s="14">
        <v>2778</v>
      </c>
      <c r="C20" s="14">
        <v>2780</v>
      </c>
    </row>
    <row r="21" spans="1:4" ht="14.5">
      <c r="A21" s="15"/>
    </row>
    <row r="22" spans="1:4" ht="14.5">
      <c r="A22" s="7" t="s">
        <v>29</v>
      </c>
      <c r="B22" s="16" t="s">
        <v>30</v>
      </c>
      <c r="C22" s="16" t="s">
        <v>31</v>
      </c>
    </row>
    <row r="23" spans="1:4" ht="14.5">
      <c r="A23" s="15"/>
      <c r="B23" s="9"/>
      <c r="C23" s="9"/>
    </row>
    <row r="24" spans="1:4" ht="14.5">
      <c r="A24" s="15"/>
      <c r="B24" s="9"/>
      <c r="C24" s="9"/>
    </row>
    <row r="25" spans="1:4" ht="14.5">
      <c r="A25" s="15" t="s">
        <v>32</v>
      </c>
      <c r="B25" s="9"/>
      <c r="C25" s="9"/>
    </row>
    <row r="26" spans="1:4" ht="14.5">
      <c r="A26" s="15" t="s">
        <v>33</v>
      </c>
      <c r="B26" s="17">
        <v>0.91930000000000001</v>
      </c>
      <c r="C26" s="9"/>
    </row>
    <row r="27" spans="1:4" ht="14.5">
      <c r="A27" s="15" t="s">
        <v>34</v>
      </c>
      <c r="B27" s="17">
        <v>4.1300000000000003E-2</v>
      </c>
      <c r="C27" s="9"/>
    </row>
  </sheetData>
  <hyperlinks>
    <hyperlink ref="B1" r:id="rId1" xr:uid="{00000000-0004-0000-0000-000000000000}"/>
    <hyperlink ref="B3" r:id="rId2" xr:uid="{00000000-0004-0000-0000-000001000000}"/>
    <hyperlink ref="B6" r:id="rId3" xr:uid="{00000000-0004-0000-0000-000002000000}"/>
    <hyperlink ref="B22" r:id="rId4" xr:uid="{00000000-0004-0000-0000-000003000000}"/>
    <hyperlink ref="C22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955"/>
  <sheetViews>
    <sheetView workbookViewId="0"/>
  </sheetViews>
  <sheetFormatPr defaultColWidth="12.6328125" defaultRowHeight="15" customHeight="1"/>
  <cols>
    <col min="1" max="1" width="13.36328125" customWidth="1"/>
    <col min="2" max="3" width="7.453125" customWidth="1"/>
    <col min="4" max="4" width="11" customWidth="1"/>
    <col min="5" max="5" width="9.08984375" customWidth="1"/>
    <col min="6" max="6" width="81.26953125" customWidth="1"/>
    <col min="7" max="7" width="6.453125" customWidth="1"/>
    <col min="8" max="8" width="7.26953125" customWidth="1"/>
    <col min="9" max="9" width="12.6328125" customWidth="1"/>
    <col min="10" max="10" width="17" customWidth="1"/>
    <col min="11" max="11" width="13" customWidth="1"/>
    <col min="12" max="12" width="14.36328125" customWidth="1"/>
    <col min="13" max="13" width="81.26953125" customWidth="1"/>
    <col min="14" max="14" width="11.26953125" customWidth="1"/>
    <col min="15" max="15" width="13.36328125" customWidth="1"/>
  </cols>
  <sheetData>
    <row r="1" spans="1:15" ht="15.75" customHeight="1">
      <c r="A1" s="4" t="s">
        <v>35</v>
      </c>
      <c r="B1" s="4" t="s">
        <v>36</v>
      </c>
      <c r="C1" s="4" t="s">
        <v>37</v>
      </c>
      <c r="D1" s="4" t="s">
        <v>29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spans="1:15" ht="15.75" customHeight="1">
      <c r="A2" s="4" t="s">
        <v>49</v>
      </c>
      <c r="B2" s="4">
        <v>708</v>
      </c>
      <c r="C2" s="4">
        <v>1289</v>
      </c>
      <c r="E2" s="4" t="s">
        <v>50</v>
      </c>
      <c r="F2" s="4" t="s">
        <v>51</v>
      </c>
      <c r="I2" s="4" t="s">
        <v>52</v>
      </c>
      <c r="L2" s="4" t="s">
        <v>53</v>
      </c>
      <c r="M2" s="4" t="s">
        <v>51</v>
      </c>
      <c r="N2" s="4">
        <v>193</v>
      </c>
      <c r="O2" s="4" t="s">
        <v>54</v>
      </c>
    </row>
    <row r="3" spans="1:15" ht="15.75" customHeight="1">
      <c r="A3" s="4" t="s">
        <v>49</v>
      </c>
      <c r="B3" s="4">
        <v>1600</v>
      </c>
      <c r="C3" s="4">
        <v>2106</v>
      </c>
      <c r="E3" s="4" t="s">
        <v>55</v>
      </c>
      <c r="F3" s="4" t="s">
        <v>56</v>
      </c>
      <c r="I3" s="4" t="s">
        <v>52</v>
      </c>
      <c r="L3" s="4" t="s">
        <v>57</v>
      </c>
      <c r="M3" s="4" t="s">
        <v>56</v>
      </c>
      <c r="N3" s="4">
        <v>168</v>
      </c>
      <c r="O3" s="4" t="s">
        <v>58</v>
      </c>
    </row>
    <row r="4" spans="1:15" ht="15.75" customHeight="1">
      <c r="A4" s="4" t="s">
        <v>49</v>
      </c>
      <c r="B4" s="4">
        <v>2319</v>
      </c>
      <c r="C4" s="4">
        <v>3212</v>
      </c>
      <c r="E4" s="4" t="s">
        <v>55</v>
      </c>
      <c r="F4" s="4" t="s">
        <v>59</v>
      </c>
      <c r="I4" s="4" t="s">
        <v>52</v>
      </c>
      <c r="L4" s="4" t="s">
        <v>60</v>
      </c>
      <c r="M4" s="4" t="s">
        <v>59</v>
      </c>
      <c r="N4" s="4">
        <v>297</v>
      </c>
      <c r="O4" s="4" t="s">
        <v>61</v>
      </c>
    </row>
    <row r="5" spans="1:15" ht="15.75" customHeight="1">
      <c r="A5" s="4" t="s">
        <v>49</v>
      </c>
      <c r="B5" s="4">
        <v>3332</v>
      </c>
      <c r="C5" s="4">
        <v>4018</v>
      </c>
      <c r="E5" s="4" t="s">
        <v>50</v>
      </c>
      <c r="F5" s="4" t="s">
        <v>62</v>
      </c>
      <c r="I5" s="4" t="s">
        <v>52</v>
      </c>
      <c r="L5" s="4" t="s">
        <v>63</v>
      </c>
      <c r="M5" s="4" t="s">
        <v>62</v>
      </c>
      <c r="N5" s="4">
        <v>228</v>
      </c>
      <c r="O5" s="4" t="s">
        <v>64</v>
      </c>
    </row>
    <row r="6" spans="1:15" ht="15.75" customHeight="1">
      <c r="A6" s="4" t="s">
        <v>49</v>
      </c>
      <c r="B6" s="4">
        <v>4140</v>
      </c>
      <c r="C6" s="4">
        <v>5117</v>
      </c>
      <c r="E6" s="4" t="s">
        <v>50</v>
      </c>
      <c r="F6" s="4" t="s">
        <v>65</v>
      </c>
      <c r="G6" s="4" t="s">
        <v>66</v>
      </c>
      <c r="I6" s="4" t="s">
        <v>52</v>
      </c>
      <c r="L6" s="4" t="s">
        <v>67</v>
      </c>
      <c r="M6" s="4" t="s">
        <v>65</v>
      </c>
      <c r="N6" s="4">
        <v>325</v>
      </c>
      <c r="O6" s="4" t="s">
        <v>68</v>
      </c>
    </row>
    <row r="7" spans="1:15" ht="15.75" customHeight="1">
      <c r="A7" s="4" t="s">
        <v>49</v>
      </c>
      <c r="B7" s="4">
        <v>5114</v>
      </c>
      <c r="C7" s="4">
        <v>5575</v>
      </c>
      <c r="E7" s="4" t="s">
        <v>50</v>
      </c>
      <c r="F7" s="4" t="s">
        <v>69</v>
      </c>
      <c r="G7" s="4" t="s">
        <v>70</v>
      </c>
      <c r="I7" s="4" t="s">
        <v>52</v>
      </c>
      <c r="L7" s="4" t="s">
        <v>71</v>
      </c>
      <c r="M7" s="4" t="s">
        <v>69</v>
      </c>
      <c r="N7" s="4">
        <v>153</v>
      </c>
      <c r="O7" s="4" t="s">
        <v>72</v>
      </c>
    </row>
    <row r="8" spans="1:15" ht="15.75" customHeight="1">
      <c r="A8" s="4" t="s">
        <v>49</v>
      </c>
      <c r="B8" s="4">
        <v>6022</v>
      </c>
      <c r="C8" s="4">
        <v>6918</v>
      </c>
      <c r="E8" s="4" t="s">
        <v>50</v>
      </c>
      <c r="F8" s="4" t="s">
        <v>73</v>
      </c>
      <c r="I8" s="4" t="s">
        <v>52</v>
      </c>
      <c r="L8" s="4" t="s">
        <v>74</v>
      </c>
      <c r="M8" s="4" t="s">
        <v>73</v>
      </c>
      <c r="N8" s="4">
        <v>298</v>
      </c>
      <c r="O8" s="4" t="s">
        <v>75</v>
      </c>
    </row>
    <row r="9" spans="1:15" ht="15.75" customHeight="1">
      <c r="A9" s="4" t="s">
        <v>49</v>
      </c>
      <c r="B9" s="4">
        <v>6911</v>
      </c>
      <c r="C9" s="4">
        <v>8170</v>
      </c>
      <c r="E9" s="4" t="s">
        <v>50</v>
      </c>
      <c r="F9" s="4" t="s">
        <v>76</v>
      </c>
      <c r="I9" s="4" t="s">
        <v>52</v>
      </c>
      <c r="L9" s="4" t="s">
        <v>77</v>
      </c>
      <c r="M9" s="4" t="s">
        <v>76</v>
      </c>
      <c r="N9" s="4">
        <v>419</v>
      </c>
      <c r="O9" s="4" t="s">
        <v>78</v>
      </c>
    </row>
    <row r="10" spans="1:15" ht="15.75" customHeight="1">
      <c r="A10" s="4" t="s">
        <v>49</v>
      </c>
      <c r="B10" s="4">
        <v>8305</v>
      </c>
      <c r="C10" s="4">
        <v>8847</v>
      </c>
      <c r="E10" s="4" t="s">
        <v>55</v>
      </c>
      <c r="F10" s="4" t="s">
        <v>79</v>
      </c>
      <c r="I10" s="4" t="s">
        <v>52</v>
      </c>
      <c r="L10" s="4" t="s">
        <v>80</v>
      </c>
      <c r="M10" s="4" t="s">
        <v>79</v>
      </c>
      <c r="N10" s="4">
        <v>180</v>
      </c>
      <c r="O10" s="4" t="s">
        <v>81</v>
      </c>
    </row>
    <row r="11" spans="1:15" ht="15.75" customHeight="1">
      <c r="A11" s="4" t="s">
        <v>49</v>
      </c>
      <c r="B11" s="4">
        <v>8859</v>
      </c>
      <c r="C11" s="4">
        <v>9617</v>
      </c>
      <c r="E11" s="4" t="s">
        <v>55</v>
      </c>
      <c r="F11" s="4" t="s">
        <v>82</v>
      </c>
      <c r="I11" s="4" t="s">
        <v>52</v>
      </c>
      <c r="L11" s="4" t="s">
        <v>83</v>
      </c>
      <c r="M11" s="4" t="s">
        <v>82</v>
      </c>
      <c r="N11" s="4">
        <v>252</v>
      </c>
      <c r="O11" s="4" t="s">
        <v>84</v>
      </c>
    </row>
    <row r="12" spans="1:15" ht="15.75" customHeight="1">
      <c r="A12" s="4" t="s">
        <v>49</v>
      </c>
      <c r="B12" s="4">
        <v>9908</v>
      </c>
      <c r="C12" s="4">
        <v>10813</v>
      </c>
      <c r="E12" s="4" t="s">
        <v>50</v>
      </c>
      <c r="F12" s="4" t="s">
        <v>85</v>
      </c>
      <c r="G12" s="4" t="s">
        <v>86</v>
      </c>
      <c r="I12" s="4" t="s">
        <v>52</v>
      </c>
      <c r="L12" s="4" t="s">
        <v>87</v>
      </c>
      <c r="M12" s="4" t="s">
        <v>85</v>
      </c>
      <c r="N12" s="4">
        <v>301</v>
      </c>
      <c r="O12" s="4" t="s">
        <v>88</v>
      </c>
    </row>
    <row r="13" spans="1:15" ht="15.75" customHeight="1">
      <c r="A13" s="4" t="s">
        <v>49</v>
      </c>
      <c r="B13" s="4">
        <v>10835</v>
      </c>
      <c r="C13" s="4">
        <v>12943</v>
      </c>
      <c r="E13" s="4" t="s">
        <v>50</v>
      </c>
      <c r="F13" s="4" t="s">
        <v>89</v>
      </c>
      <c r="I13" s="4" t="s">
        <v>52</v>
      </c>
      <c r="L13" s="4" t="s">
        <v>90</v>
      </c>
      <c r="M13" s="4" t="s">
        <v>89</v>
      </c>
      <c r="N13" s="4">
        <v>702</v>
      </c>
      <c r="O13" s="4" t="s">
        <v>91</v>
      </c>
    </row>
    <row r="14" spans="1:15" ht="15.75" customHeight="1">
      <c r="A14" s="4" t="s">
        <v>49</v>
      </c>
      <c r="B14" s="4">
        <v>13249</v>
      </c>
      <c r="C14" s="4">
        <v>13788</v>
      </c>
      <c r="E14" s="4" t="s">
        <v>50</v>
      </c>
      <c r="F14" s="4" t="s">
        <v>92</v>
      </c>
      <c r="I14" s="4" t="s">
        <v>52</v>
      </c>
      <c r="L14" s="4" t="s">
        <v>93</v>
      </c>
      <c r="M14" s="4" t="s">
        <v>92</v>
      </c>
      <c r="N14" s="4">
        <v>179</v>
      </c>
      <c r="O14" s="4" t="s">
        <v>94</v>
      </c>
    </row>
    <row r="15" spans="1:15" ht="15.75" customHeight="1">
      <c r="A15" s="4" t="s">
        <v>49</v>
      </c>
      <c r="B15" s="4">
        <v>13802</v>
      </c>
      <c r="C15" s="4">
        <v>14890</v>
      </c>
      <c r="E15" s="4" t="s">
        <v>50</v>
      </c>
      <c r="F15" s="4" t="s">
        <v>73</v>
      </c>
      <c r="I15" s="4" t="s">
        <v>52</v>
      </c>
      <c r="L15" s="4" t="s">
        <v>95</v>
      </c>
      <c r="M15" s="4" t="s">
        <v>73</v>
      </c>
      <c r="N15" s="4">
        <v>362</v>
      </c>
      <c r="O15" s="4" t="s">
        <v>96</v>
      </c>
    </row>
    <row r="16" spans="1:15" ht="15.75" customHeight="1">
      <c r="A16" s="4" t="s">
        <v>49</v>
      </c>
      <c r="B16" s="4">
        <v>14990</v>
      </c>
      <c r="C16" s="4">
        <v>15814</v>
      </c>
      <c r="E16" s="4" t="s">
        <v>50</v>
      </c>
      <c r="F16" s="4" t="s">
        <v>76</v>
      </c>
      <c r="I16" s="4" t="s">
        <v>52</v>
      </c>
      <c r="L16" s="4" t="s">
        <v>97</v>
      </c>
      <c r="M16" s="4" t="s">
        <v>76</v>
      </c>
      <c r="N16" s="4">
        <v>274</v>
      </c>
      <c r="O16" s="4" t="s">
        <v>98</v>
      </c>
    </row>
    <row r="17" spans="1:15" ht="15.75" customHeight="1">
      <c r="A17" s="4" t="s">
        <v>49</v>
      </c>
      <c r="B17" s="4">
        <v>15804</v>
      </c>
      <c r="C17" s="4">
        <v>16643</v>
      </c>
      <c r="E17" s="4" t="s">
        <v>50</v>
      </c>
      <c r="F17" s="4" t="s">
        <v>76</v>
      </c>
      <c r="I17" s="4" t="s">
        <v>52</v>
      </c>
      <c r="L17" s="4" t="s">
        <v>99</v>
      </c>
      <c r="M17" s="4" t="s">
        <v>76</v>
      </c>
      <c r="N17" s="4">
        <v>279</v>
      </c>
      <c r="O17" s="4" t="s">
        <v>100</v>
      </c>
    </row>
    <row r="18" spans="1:15" ht="15.75" customHeight="1">
      <c r="A18" s="4" t="s">
        <v>49</v>
      </c>
      <c r="B18" s="4">
        <v>16627</v>
      </c>
      <c r="C18" s="4">
        <v>17700</v>
      </c>
      <c r="E18" s="4" t="s">
        <v>50</v>
      </c>
      <c r="F18" s="4" t="s">
        <v>101</v>
      </c>
      <c r="I18" s="4" t="s">
        <v>52</v>
      </c>
      <c r="L18" s="4" t="s">
        <v>102</v>
      </c>
      <c r="M18" s="4" t="s">
        <v>101</v>
      </c>
      <c r="N18" s="4">
        <v>357</v>
      </c>
      <c r="O18" s="4" t="s">
        <v>103</v>
      </c>
    </row>
    <row r="19" spans="1:15" ht="15.75" customHeight="1">
      <c r="A19" s="4" t="s">
        <v>49</v>
      </c>
      <c r="B19" s="4">
        <v>18041</v>
      </c>
      <c r="C19" s="4">
        <v>18235</v>
      </c>
      <c r="E19" s="4" t="s">
        <v>50</v>
      </c>
      <c r="F19" s="4" t="s">
        <v>56</v>
      </c>
      <c r="I19" s="4" t="s">
        <v>52</v>
      </c>
      <c r="L19" s="4" t="s">
        <v>104</v>
      </c>
      <c r="M19" s="4" t="s">
        <v>56</v>
      </c>
      <c r="N19" s="4">
        <v>64</v>
      </c>
      <c r="O19" s="4" t="s">
        <v>105</v>
      </c>
    </row>
    <row r="20" spans="1:15" ht="15.75" customHeight="1">
      <c r="A20" s="4" t="s">
        <v>49</v>
      </c>
      <c r="B20" s="4">
        <v>18305</v>
      </c>
      <c r="C20" s="4">
        <v>18499</v>
      </c>
      <c r="E20" s="4" t="s">
        <v>55</v>
      </c>
      <c r="F20" s="4" t="s">
        <v>56</v>
      </c>
      <c r="I20" s="4" t="s">
        <v>52</v>
      </c>
      <c r="L20" s="4" t="s">
        <v>106</v>
      </c>
      <c r="M20" s="4" t="s">
        <v>56</v>
      </c>
      <c r="N20" s="4">
        <v>64</v>
      </c>
      <c r="O20" s="4" t="s">
        <v>107</v>
      </c>
    </row>
    <row r="21" spans="1:15" ht="15.75" customHeight="1">
      <c r="A21" s="4" t="s">
        <v>49</v>
      </c>
      <c r="B21" s="4">
        <v>18718</v>
      </c>
      <c r="C21" s="4">
        <v>21510</v>
      </c>
      <c r="E21" s="4" t="s">
        <v>55</v>
      </c>
      <c r="F21" s="4" t="s">
        <v>108</v>
      </c>
      <c r="I21" s="4" t="s">
        <v>52</v>
      </c>
      <c r="L21" s="4" t="s">
        <v>109</v>
      </c>
      <c r="M21" s="4" t="s">
        <v>108</v>
      </c>
      <c r="N21" s="4">
        <v>930</v>
      </c>
      <c r="O21" s="4" t="s">
        <v>110</v>
      </c>
    </row>
    <row r="22" spans="1:15" ht="15.75" customHeight="1">
      <c r="A22" s="4" t="s">
        <v>49</v>
      </c>
      <c r="B22" s="4">
        <v>21614</v>
      </c>
      <c r="C22" s="4">
        <v>22258</v>
      </c>
      <c r="E22" s="4" t="s">
        <v>55</v>
      </c>
      <c r="F22" s="4" t="s">
        <v>111</v>
      </c>
      <c r="I22" s="4" t="s">
        <v>52</v>
      </c>
      <c r="L22" s="4" t="s">
        <v>112</v>
      </c>
      <c r="M22" s="4" t="s">
        <v>111</v>
      </c>
      <c r="N22" s="4">
        <v>214</v>
      </c>
      <c r="O22" s="4" t="s">
        <v>113</v>
      </c>
    </row>
    <row r="23" spans="1:15" ht="15.75" customHeight="1">
      <c r="A23" s="4" t="s">
        <v>49</v>
      </c>
      <c r="B23" s="4">
        <v>22296</v>
      </c>
      <c r="C23" s="4">
        <v>23435</v>
      </c>
      <c r="E23" s="4" t="s">
        <v>55</v>
      </c>
      <c r="F23" s="4" t="s">
        <v>76</v>
      </c>
      <c r="I23" s="4" t="s">
        <v>52</v>
      </c>
      <c r="L23" s="4" t="s">
        <v>114</v>
      </c>
      <c r="M23" s="4" t="s">
        <v>76</v>
      </c>
      <c r="N23" s="4">
        <v>379</v>
      </c>
      <c r="O23" s="4" t="s">
        <v>115</v>
      </c>
    </row>
    <row r="24" spans="1:15" ht="15.75" customHeight="1">
      <c r="A24" s="4" t="s">
        <v>49</v>
      </c>
      <c r="B24" s="4">
        <v>23425</v>
      </c>
      <c r="C24" s="4">
        <v>24159</v>
      </c>
      <c r="E24" s="4" t="s">
        <v>55</v>
      </c>
      <c r="F24" s="4" t="s">
        <v>73</v>
      </c>
      <c r="I24" s="4" t="s">
        <v>52</v>
      </c>
      <c r="L24" s="4" t="s">
        <v>116</v>
      </c>
      <c r="M24" s="4" t="s">
        <v>73</v>
      </c>
      <c r="N24" s="4">
        <v>244</v>
      </c>
      <c r="O24" s="4" t="s">
        <v>117</v>
      </c>
    </row>
    <row r="25" spans="1:15" ht="15.75" customHeight="1">
      <c r="A25" s="4" t="s">
        <v>49</v>
      </c>
      <c r="B25" s="4">
        <v>24423</v>
      </c>
      <c r="C25" s="4">
        <v>25280</v>
      </c>
      <c r="E25" s="4" t="s">
        <v>50</v>
      </c>
      <c r="F25" s="4" t="s">
        <v>118</v>
      </c>
      <c r="G25" s="4" t="s">
        <v>119</v>
      </c>
      <c r="I25" s="4" t="s">
        <v>52</v>
      </c>
      <c r="L25" s="4" t="s">
        <v>120</v>
      </c>
      <c r="M25" s="4" t="s">
        <v>118</v>
      </c>
      <c r="N25" s="4">
        <v>285</v>
      </c>
      <c r="O25" s="4" t="s">
        <v>121</v>
      </c>
    </row>
    <row r="26" spans="1:15" ht="15.75" customHeight="1">
      <c r="A26" s="4" t="s">
        <v>49</v>
      </c>
      <c r="B26" s="4">
        <v>25277</v>
      </c>
      <c r="C26" s="4">
        <v>26365</v>
      </c>
      <c r="E26" s="4" t="s">
        <v>50</v>
      </c>
      <c r="F26" s="4" t="s">
        <v>122</v>
      </c>
      <c r="I26" s="4" t="s">
        <v>52</v>
      </c>
      <c r="L26" s="4" t="s">
        <v>123</v>
      </c>
      <c r="M26" s="4" t="s">
        <v>122</v>
      </c>
      <c r="N26" s="4">
        <v>362</v>
      </c>
      <c r="O26" s="4" t="s">
        <v>124</v>
      </c>
    </row>
    <row r="27" spans="1:15" ht="15.75" customHeight="1">
      <c r="A27" s="4" t="s">
        <v>49</v>
      </c>
      <c r="B27" s="4">
        <v>26387</v>
      </c>
      <c r="C27" s="4">
        <v>27751</v>
      </c>
      <c r="E27" s="4" t="s">
        <v>50</v>
      </c>
      <c r="F27" s="4" t="s">
        <v>125</v>
      </c>
      <c r="G27" s="4" t="s">
        <v>126</v>
      </c>
      <c r="I27" s="4" t="s">
        <v>52</v>
      </c>
      <c r="L27" s="4" t="s">
        <v>127</v>
      </c>
      <c r="M27" s="4" t="s">
        <v>125</v>
      </c>
      <c r="N27" s="4">
        <v>454</v>
      </c>
      <c r="O27" s="4" t="s">
        <v>128</v>
      </c>
    </row>
    <row r="28" spans="1:15" ht="15.75" customHeight="1">
      <c r="A28" s="4" t="s">
        <v>49</v>
      </c>
      <c r="B28" s="4">
        <v>28067</v>
      </c>
      <c r="C28" s="4">
        <v>29878</v>
      </c>
      <c r="E28" s="4" t="s">
        <v>50</v>
      </c>
      <c r="F28" s="4" t="s">
        <v>129</v>
      </c>
      <c r="G28" s="4" t="s">
        <v>130</v>
      </c>
      <c r="I28" s="4" t="s">
        <v>52</v>
      </c>
      <c r="L28" s="4" t="s">
        <v>131</v>
      </c>
      <c r="M28" s="4" t="s">
        <v>129</v>
      </c>
      <c r="N28" s="4">
        <v>603</v>
      </c>
      <c r="O28" s="4" t="s">
        <v>132</v>
      </c>
    </row>
    <row r="29" spans="1:15" ht="15.75" customHeight="1">
      <c r="A29" s="4" t="s">
        <v>49</v>
      </c>
      <c r="B29" s="4">
        <v>29856</v>
      </c>
      <c r="C29" s="4">
        <v>29996</v>
      </c>
      <c r="E29" s="4" t="s">
        <v>55</v>
      </c>
      <c r="F29" s="4" t="s">
        <v>56</v>
      </c>
      <c r="I29" s="4" t="s">
        <v>52</v>
      </c>
      <c r="L29" s="4" t="s">
        <v>133</v>
      </c>
      <c r="M29" s="4" t="s">
        <v>56</v>
      </c>
      <c r="N29" s="4">
        <v>46</v>
      </c>
      <c r="O29" s="4" t="s">
        <v>134</v>
      </c>
    </row>
    <row r="30" spans="1:15" ht="15.75" customHeight="1">
      <c r="A30" s="4" t="s">
        <v>49</v>
      </c>
      <c r="B30" s="4">
        <v>30086</v>
      </c>
      <c r="C30" s="4">
        <v>31891</v>
      </c>
      <c r="E30" s="4" t="s">
        <v>55</v>
      </c>
      <c r="F30" s="4" t="s">
        <v>135</v>
      </c>
      <c r="I30" s="4" t="s">
        <v>52</v>
      </c>
      <c r="L30" s="4" t="s">
        <v>136</v>
      </c>
      <c r="M30" s="4" t="s">
        <v>135</v>
      </c>
      <c r="N30" s="4">
        <v>601</v>
      </c>
      <c r="O30" s="4" t="s">
        <v>137</v>
      </c>
    </row>
    <row r="31" spans="1:15" ht="15.75" customHeight="1">
      <c r="A31" s="4" t="s">
        <v>49</v>
      </c>
      <c r="B31" s="4">
        <v>31966</v>
      </c>
      <c r="C31" s="4">
        <v>32457</v>
      </c>
      <c r="E31" s="4" t="s">
        <v>50</v>
      </c>
      <c r="F31" s="4" t="s">
        <v>138</v>
      </c>
      <c r="I31" s="4" t="s">
        <v>52</v>
      </c>
      <c r="L31" s="4" t="s">
        <v>139</v>
      </c>
      <c r="M31" s="4" t="s">
        <v>138</v>
      </c>
      <c r="N31" s="4">
        <v>163</v>
      </c>
      <c r="O31" s="4" t="s">
        <v>140</v>
      </c>
    </row>
    <row r="32" spans="1:15" ht="15.75" customHeight="1">
      <c r="A32" s="4" t="s">
        <v>49</v>
      </c>
      <c r="B32" s="4">
        <v>32528</v>
      </c>
      <c r="C32" s="4">
        <v>33259</v>
      </c>
      <c r="E32" s="4" t="s">
        <v>50</v>
      </c>
      <c r="F32" s="4" t="s">
        <v>141</v>
      </c>
      <c r="I32" s="4" t="s">
        <v>52</v>
      </c>
      <c r="L32" s="4" t="s">
        <v>142</v>
      </c>
      <c r="M32" s="4" t="s">
        <v>141</v>
      </c>
      <c r="N32" s="4">
        <v>243</v>
      </c>
      <c r="O32" s="4" t="s">
        <v>143</v>
      </c>
    </row>
    <row r="33" spans="1:15" ht="15.75" customHeight="1">
      <c r="A33" s="4" t="s">
        <v>49</v>
      </c>
      <c r="B33" s="4">
        <v>33385</v>
      </c>
      <c r="C33" s="4">
        <v>34251</v>
      </c>
      <c r="E33" s="4" t="s">
        <v>50</v>
      </c>
      <c r="F33" s="4" t="s">
        <v>144</v>
      </c>
      <c r="I33" s="4" t="s">
        <v>52</v>
      </c>
      <c r="L33" s="4" t="s">
        <v>145</v>
      </c>
      <c r="M33" s="4" t="s">
        <v>144</v>
      </c>
      <c r="N33" s="4">
        <v>288</v>
      </c>
      <c r="O33" s="4" t="s">
        <v>146</v>
      </c>
    </row>
    <row r="34" spans="1:15" ht="15.75" customHeight="1">
      <c r="A34" s="4" t="s">
        <v>49</v>
      </c>
      <c r="B34" s="4">
        <v>34248</v>
      </c>
      <c r="C34" s="4">
        <v>35201</v>
      </c>
      <c r="E34" s="4" t="s">
        <v>50</v>
      </c>
      <c r="F34" s="4" t="s">
        <v>147</v>
      </c>
      <c r="I34" s="4" t="s">
        <v>52</v>
      </c>
      <c r="L34" s="4" t="s">
        <v>148</v>
      </c>
      <c r="M34" s="4" t="s">
        <v>147</v>
      </c>
      <c r="N34" s="4">
        <v>317</v>
      </c>
      <c r="O34" s="4" t="s">
        <v>149</v>
      </c>
    </row>
    <row r="35" spans="1:15" ht="15.75" customHeight="1">
      <c r="A35" s="4" t="s">
        <v>49</v>
      </c>
      <c r="B35" s="4">
        <v>35204</v>
      </c>
      <c r="C35" s="4">
        <v>35527</v>
      </c>
      <c r="E35" s="4" t="s">
        <v>50</v>
      </c>
      <c r="F35" s="4" t="s">
        <v>150</v>
      </c>
      <c r="I35" s="4" t="s">
        <v>52</v>
      </c>
      <c r="L35" s="4" t="s">
        <v>151</v>
      </c>
      <c r="M35" s="4" t="s">
        <v>150</v>
      </c>
      <c r="N35" s="4">
        <v>107</v>
      </c>
      <c r="O35" s="4" t="s">
        <v>152</v>
      </c>
    </row>
    <row r="36" spans="1:15" ht="15.75" customHeight="1">
      <c r="A36" s="4" t="s">
        <v>49</v>
      </c>
      <c r="B36" s="4">
        <v>35524</v>
      </c>
      <c r="C36" s="4">
        <v>35964</v>
      </c>
      <c r="E36" s="4" t="s">
        <v>50</v>
      </c>
      <c r="F36" s="4" t="s">
        <v>56</v>
      </c>
      <c r="I36" s="4" t="s">
        <v>52</v>
      </c>
      <c r="L36" s="4" t="s">
        <v>153</v>
      </c>
      <c r="M36" s="4" t="s">
        <v>56</v>
      </c>
      <c r="N36" s="4">
        <v>146</v>
      </c>
      <c r="O36" s="4" t="s">
        <v>154</v>
      </c>
    </row>
    <row r="37" spans="1:15" ht="15.75" customHeight="1">
      <c r="A37" s="4" t="s">
        <v>49</v>
      </c>
      <c r="B37" s="4">
        <v>36009</v>
      </c>
      <c r="C37" s="4">
        <v>36245</v>
      </c>
      <c r="E37" s="4" t="s">
        <v>50</v>
      </c>
      <c r="F37" s="4" t="s">
        <v>56</v>
      </c>
      <c r="I37" s="4" t="s">
        <v>52</v>
      </c>
      <c r="L37" s="4" t="s">
        <v>155</v>
      </c>
      <c r="M37" s="4" t="s">
        <v>56</v>
      </c>
      <c r="N37" s="4">
        <v>78</v>
      </c>
      <c r="O37" s="4" t="s">
        <v>156</v>
      </c>
    </row>
    <row r="38" spans="1:15" ht="15.75" customHeight="1">
      <c r="A38" s="4" t="s">
        <v>49</v>
      </c>
      <c r="B38" s="4">
        <v>36205</v>
      </c>
      <c r="C38" s="4">
        <v>36666</v>
      </c>
      <c r="E38" s="4" t="s">
        <v>50</v>
      </c>
      <c r="F38" s="4" t="s">
        <v>150</v>
      </c>
      <c r="I38" s="4" t="s">
        <v>52</v>
      </c>
      <c r="L38" s="4" t="s">
        <v>157</v>
      </c>
      <c r="M38" s="4" t="s">
        <v>150</v>
      </c>
      <c r="N38" s="4">
        <v>153</v>
      </c>
      <c r="O38" s="4" t="s">
        <v>158</v>
      </c>
    </row>
    <row r="39" spans="1:15" ht="15.75" customHeight="1">
      <c r="A39" s="4" t="s">
        <v>49</v>
      </c>
      <c r="B39" s="4">
        <v>36650</v>
      </c>
      <c r="C39" s="4">
        <v>36982</v>
      </c>
      <c r="E39" s="4" t="s">
        <v>50</v>
      </c>
      <c r="F39" s="4" t="s">
        <v>56</v>
      </c>
      <c r="I39" s="4" t="s">
        <v>52</v>
      </c>
      <c r="L39" s="4" t="s">
        <v>159</v>
      </c>
      <c r="M39" s="4" t="s">
        <v>56</v>
      </c>
      <c r="N39" s="4">
        <v>110</v>
      </c>
      <c r="O39" s="4" t="s">
        <v>160</v>
      </c>
    </row>
    <row r="40" spans="1:15" ht="15.75" customHeight="1">
      <c r="A40" s="4" t="s">
        <v>49</v>
      </c>
      <c r="B40" s="4">
        <v>37085</v>
      </c>
      <c r="C40" s="4">
        <v>38095</v>
      </c>
      <c r="E40" s="4" t="s">
        <v>50</v>
      </c>
      <c r="F40" s="4" t="s">
        <v>161</v>
      </c>
      <c r="I40" s="4" t="s">
        <v>52</v>
      </c>
      <c r="L40" s="4" t="s">
        <v>162</v>
      </c>
      <c r="M40" s="4" t="s">
        <v>161</v>
      </c>
      <c r="N40" s="4">
        <v>336</v>
      </c>
      <c r="O40" s="4" t="s">
        <v>163</v>
      </c>
    </row>
    <row r="41" spans="1:15" ht="15.75" customHeight="1">
      <c r="A41" s="4" t="s">
        <v>49</v>
      </c>
      <c r="B41" s="4">
        <v>38314</v>
      </c>
      <c r="C41" s="4">
        <v>38772</v>
      </c>
      <c r="E41" s="4" t="s">
        <v>50</v>
      </c>
      <c r="F41" s="4" t="s">
        <v>56</v>
      </c>
      <c r="I41" s="4" t="s">
        <v>52</v>
      </c>
      <c r="L41" s="4" t="s">
        <v>164</v>
      </c>
      <c r="M41" s="4" t="s">
        <v>56</v>
      </c>
      <c r="N41" s="4">
        <v>152</v>
      </c>
      <c r="O41" s="4" t="s">
        <v>165</v>
      </c>
    </row>
    <row r="42" spans="1:15" ht="15.75" customHeight="1">
      <c r="A42" s="4" t="s">
        <v>49</v>
      </c>
      <c r="B42" s="4">
        <v>38911</v>
      </c>
      <c r="C42" s="4">
        <v>40299</v>
      </c>
      <c r="E42" s="4" t="s">
        <v>50</v>
      </c>
      <c r="F42" s="4" t="s">
        <v>166</v>
      </c>
      <c r="I42" s="4" t="s">
        <v>52</v>
      </c>
      <c r="L42" s="4" t="s">
        <v>167</v>
      </c>
      <c r="M42" s="4" t="s">
        <v>166</v>
      </c>
      <c r="N42" s="4">
        <v>462</v>
      </c>
      <c r="O42" s="4" t="s">
        <v>168</v>
      </c>
    </row>
    <row r="43" spans="1:15" ht="15.75" customHeight="1">
      <c r="A43" s="4" t="s">
        <v>49</v>
      </c>
      <c r="B43" s="4">
        <v>40499</v>
      </c>
      <c r="C43" s="4">
        <v>41263</v>
      </c>
      <c r="E43" s="4" t="s">
        <v>50</v>
      </c>
      <c r="F43" s="4" t="s">
        <v>169</v>
      </c>
      <c r="I43" s="4" t="s">
        <v>52</v>
      </c>
      <c r="L43" s="4" t="s">
        <v>170</v>
      </c>
      <c r="M43" s="4" t="s">
        <v>169</v>
      </c>
      <c r="N43" s="4">
        <v>254</v>
      </c>
      <c r="O43" s="4" t="s">
        <v>171</v>
      </c>
    </row>
    <row r="44" spans="1:15" ht="15.75" customHeight="1">
      <c r="A44" s="4" t="s">
        <v>49</v>
      </c>
      <c r="B44" s="4">
        <v>41260</v>
      </c>
      <c r="C44" s="4">
        <v>42099</v>
      </c>
      <c r="E44" s="4" t="s">
        <v>50</v>
      </c>
      <c r="F44" s="4" t="s">
        <v>172</v>
      </c>
      <c r="I44" s="4" t="s">
        <v>52</v>
      </c>
      <c r="L44" s="4" t="s">
        <v>173</v>
      </c>
      <c r="M44" s="4" t="s">
        <v>172</v>
      </c>
      <c r="N44" s="4">
        <v>279</v>
      </c>
      <c r="O44" s="4" t="s">
        <v>174</v>
      </c>
    </row>
    <row r="45" spans="1:15" ht="15.75" customHeight="1">
      <c r="A45" s="4" t="s">
        <v>49</v>
      </c>
      <c r="B45" s="4">
        <v>42100</v>
      </c>
      <c r="C45" s="4">
        <v>43056</v>
      </c>
      <c r="E45" s="4" t="s">
        <v>50</v>
      </c>
      <c r="F45" s="4" t="s">
        <v>172</v>
      </c>
      <c r="I45" s="4" t="s">
        <v>52</v>
      </c>
      <c r="L45" s="4" t="s">
        <v>175</v>
      </c>
      <c r="M45" s="4" t="s">
        <v>172</v>
      </c>
      <c r="N45" s="4">
        <v>318</v>
      </c>
      <c r="O45" s="4" t="s">
        <v>176</v>
      </c>
    </row>
    <row r="46" spans="1:15" ht="15.75" customHeight="1">
      <c r="A46" s="4" t="s">
        <v>49</v>
      </c>
      <c r="B46" s="4">
        <v>43053</v>
      </c>
      <c r="C46" s="4">
        <v>43922</v>
      </c>
      <c r="E46" s="4" t="s">
        <v>50</v>
      </c>
      <c r="F46" s="4" t="s">
        <v>177</v>
      </c>
      <c r="I46" s="4" t="s">
        <v>52</v>
      </c>
      <c r="L46" s="4" t="s">
        <v>178</v>
      </c>
      <c r="M46" s="4" t="s">
        <v>177</v>
      </c>
      <c r="N46" s="4">
        <v>289</v>
      </c>
      <c r="O46" s="4" t="s">
        <v>179</v>
      </c>
    </row>
    <row r="47" spans="1:15" ht="15.75" customHeight="1">
      <c r="A47" s="4" t="s">
        <v>49</v>
      </c>
      <c r="B47" s="4">
        <v>44200</v>
      </c>
      <c r="C47" s="4">
        <v>46491</v>
      </c>
      <c r="E47" s="4" t="s">
        <v>50</v>
      </c>
      <c r="F47" s="4" t="s">
        <v>180</v>
      </c>
      <c r="I47" s="4" t="s">
        <v>52</v>
      </c>
      <c r="L47" s="4" t="s">
        <v>181</v>
      </c>
      <c r="M47" s="4" t="s">
        <v>180</v>
      </c>
      <c r="N47" s="4">
        <v>763</v>
      </c>
      <c r="O47" s="4" t="s">
        <v>182</v>
      </c>
    </row>
    <row r="48" spans="1:15" ht="15.75" customHeight="1">
      <c r="A48" s="4" t="s">
        <v>49</v>
      </c>
      <c r="B48" s="4">
        <v>46624</v>
      </c>
      <c r="C48" s="4">
        <v>46746</v>
      </c>
      <c r="E48" s="4" t="s">
        <v>55</v>
      </c>
      <c r="F48" s="4" t="s">
        <v>56</v>
      </c>
      <c r="I48" s="4" t="s">
        <v>52</v>
      </c>
      <c r="L48" s="4" t="s">
        <v>183</v>
      </c>
      <c r="M48" s="4" t="s">
        <v>56</v>
      </c>
      <c r="N48" s="4">
        <v>40</v>
      </c>
      <c r="O48" s="4" t="s">
        <v>184</v>
      </c>
    </row>
    <row r="49" spans="1:15" ht="15.75" customHeight="1">
      <c r="A49" s="4" t="s">
        <v>49</v>
      </c>
      <c r="B49" s="4">
        <v>46762</v>
      </c>
      <c r="C49" s="4">
        <v>47070</v>
      </c>
      <c r="E49" s="4" t="s">
        <v>55</v>
      </c>
      <c r="F49" s="4" t="s">
        <v>56</v>
      </c>
      <c r="I49" s="4" t="s">
        <v>52</v>
      </c>
      <c r="L49" s="4" t="s">
        <v>185</v>
      </c>
      <c r="M49" s="4" t="s">
        <v>56</v>
      </c>
      <c r="N49" s="4">
        <v>102</v>
      </c>
      <c r="O49" s="4" t="s">
        <v>186</v>
      </c>
    </row>
    <row r="50" spans="1:15" ht="15.75" customHeight="1">
      <c r="A50" s="4" t="s">
        <v>49</v>
      </c>
      <c r="B50" s="4">
        <v>47257</v>
      </c>
      <c r="C50" s="4">
        <v>47620</v>
      </c>
      <c r="E50" s="4" t="s">
        <v>55</v>
      </c>
      <c r="F50" s="4" t="s">
        <v>187</v>
      </c>
      <c r="G50" s="4" t="s">
        <v>188</v>
      </c>
      <c r="I50" s="4" t="s">
        <v>189</v>
      </c>
      <c r="O50" s="4" t="s">
        <v>190</v>
      </c>
    </row>
    <row r="51" spans="1:15" ht="15.75" customHeight="1">
      <c r="A51" s="4" t="s">
        <v>49</v>
      </c>
      <c r="B51" s="4">
        <v>47730</v>
      </c>
      <c r="C51" s="4">
        <v>48125</v>
      </c>
      <c r="E51" s="4" t="s">
        <v>50</v>
      </c>
      <c r="F51" s="4" t="s">
        <v>191</v>
      </c>
      <c r="I51" s="4" t="s">
        <v>52</v>
      </c>
      <c r="L51" s="4" t="s">
        <v>192</v>
      </c>
      <c r="M51" s="4" t="s">
        <v>191</v>
      </c>
      <c r="N51" s="4">
        <v>131</v>
      </c>
      <c r="O51" s="4" t="s">
        <v>193</v>
      </c>
    </row>
    <row r="52" spans="1:15" ht="15.75" customHeight="1">
      <c r="A52" s="4" t="s">
        <v>49</v>
      </c>
      <c r="B52" s="4">
        <v>48141</v>
      </c>
      <c r="C52" s="4">
        <v>48869</v>
      </c>
      <c r="E52" s="4" t="s">
        <v>50</v>
      </c>
      <c r="F52" s="4" t="s">
        <v>194</v>
      </c>
      <c r="I52" s="4" t="s">
        <v>52</v>
      </c>
      <c r="L52" s="4" t="s">
        <v>195</v>
      </c>
      <c r="M52" s="4" t="s">
        <v>194</v>
      </c>
      <c r="N52" s="4">
        <v>242</v>
      </c>
      <c r="O52" s="4" t="s">
        <v>196</v>
      </c>
    </row>
    <row r="53" spans="1:15" ht="15.75" customHeight="1">
      <c r="A53" s="4" t="s">
        <v>49</v>
      </c>
      <c r="B53" s="4">
        <v>48866</v>
      </c>
      <c r="C53" s="4">
        <v>50341</v>
      </c>
      <c r="E53" s="4" t="s">
        <v>50</v>
      </c>
      <c r="F53" s="4" t="s">
        <v>197</v>
      </c>
      <c r="I53" s="4" t="s">
        <v>52</v>
      </c>
      <c r="L53" s="4" t="s">
        <v>198</v>
      </c>
      <c r="M53" s="4" t="s">
        <v>197</v>
      </c>
      <c r="N53" s="4">
        <v>491</v>
      </c>
      <c r="O53" s="4" t="s">
        <v>199</v>
      </c>
    </row>
    <row r="54" spans="1:15" ht="15.75" customHeight="1">
      <c r="A54" s="4" t="s">
        <v>49</v>
      </c>
      <c r="B54" s="4">
        <v>50610</v>
      </c>
      <c r="C54" s="4">
        <v>51143</v>
      </c>
      <c r="E54" s="4" t="s">
        <v>50</v>
      </c>
      <c r="F54" s="4" t="s">
        <v>51</v>
      </c>
      <c r="I54" s="4" t="s">
        <v>52</v>
      </c>
      <c r="L54" s="4" t="s">
        <v>200</v>
      </c>
      <c r="M54" s="4" t="s">
        <v>51</v>
      </c>
      <c r="N54" s="4">
        <v>177</v>
      </c>
      <c r="O54" s="4" t="s">
        <v>201</v>
      </c>
    </row>
    <row r="55" spans="1:15" ht="15.75" customHeight="1">
      <c r="A55" s="4" t="s">
        <v>49</v>
      </c>
      <c r="B55" s="4">
        <v>51205</v>
      </c>
      <c r="C55" s="4">
        <v>51414</v>
      </c>
      <c r="E55" s="4" t="s">
        <v>55</v>
      </c>
      <c r="F55" s="4" t="s">
        <v>56</v>
      </c>
      <c r="I55" s="4" t="s">
        <v>52</v>
      </c>
      <c r="L55" s="4" t="s">
        <v>202</v>
      </c>
      <c r="M55" s="4" t="s">
        <v>56</v>
      </c>
      <c r="N55" s="4">
        <v>69</v>
      </c>
      <c r="O55" s="4" t="s">
        <v>203</v>
      </c>
    </row>
    <row r="56" spans="1:15" ht="15.75" customHeight="1">
      <c r="A56" s="4" t="s">
        <v>49</v>
      </c>
      <c r="B56" s="4">
        <v>51863</v>
      </c>
      <c r="C56" s="4">
        <v>52297</v>
      </c>
      <c r="E56" s="4" t="s">
        <v>50</v>
      </c>
      <c r="F56" s="4" t="s">
        <v>204</v>
      </c>
      <c r="I56" s="4" t="s">
        <v>52</v>
      </c>
      <c r="L56" s="4" t="s">
        <v>205</v>
      </c>
      <c r="M56" s="4" t="s">
        <v>204</v>
      </c>
      <c r="N56" s="4">
        <v>144</v>
      </c>
      <c r="O56" s="4" t="s">
        <v>206</v>
      </c>
    </row>
    <row r="57" spans="1:15" ht="15.75" customHeight="1">
      <c r="A57" s="4" t="s">
        <v>49</v>
      </c>
      <c r="B57" s="4">
        <v>52322</v>
      </c>
      <c r="C57" s="4">
        <v>52825</v>
      </c>
      <c r="E57" s="4" t="s">
        <v>50</v>
      </c>
      <c r="F57" s="4" t="s">
        <v>56</v>
      </c>
      <c r="I57" s="4" t="s">
        <v>52</v>
      </c>
      <c r="L57" s="4" t="s">
        <v>207</v>
      </c>
      <c r="M57" s="4" t="s">
        <v>56</v>
      </c>
      <c r="N57" s="4">
        <v>167</v>
      </c>
      <c r="O57" s="4" t="s">
        <v>208</v>
      </c>
    </row>
    <row r="58" spans="1:15" ht="15.75" customHeight="1">
      <c r="A58" s="4" t="s">
        <v>49</v>
      </c>
      <c r="B58" s="4">
        <v>52906</v>
      </c>
      <c r="C58" s="4">
        <v>53226</v>
      </c>
      <c r="E58" s="4" t="s">
        <v>55</v>
      </c>
      <c r="F58" s="4" t="s">
        <v>56</v>
      </c>
      <c r="I58" s="4" t="s">
        <v>52</v>
      </c>
      <c r="L58" s="4" t="s">
        <v>209</v>
      </c>
      <c r="M58" s="4" t="s">
        <v>56</v>
      </c>
      <c r="N58" s="4">
        <v>106</v>
      </c>
      <c r="O58" s="4" t="s">
        <v>210</v>
      </c>
    </row>
    <row r="59" spans="1:15" ht="15.75" customHeight="1">
      <c r="A59" s="4" t="s">
        <v>49</v>
      </c>
      <c r="B59" s="4">
        <v>53219</v>
      </c>
      <c r="C59" s="4">
        <v>54526</v>
      </c>
      <c r="E59" s="4" t="s">
        <v>55</v>
      </c>
      <c r="F59" s="4" t="s">
        <v>211</v>
      </c>
      <c r="I59" s="4" t="s">
        <v>52</v>
      </c>
      <c r="L59" s="4" t="s">
        <v>212</v>
      </c>
      <c r="M59" s="4" t="s">
        <v>211</v>
      </c>
      <c r="N59" s="4">
        <v>435</v>
      </c>
      <c r="O59" s="4" t="s">
        <v>213</v>
      </c>
    </row>
    <row r="60" spans="1:15" ht="15.75" customHeight="1">
      <c r="A60" s="4" t="s">
        <v>49</v>
      </c>
      <c r="B60" s="4">
        <v>54662</v>
      </c>
      <c r="C60" s="4">
        <v>54838</v>
      </c>
      <c r="E60" s="4" t="s">
        <v>55</v>
      </c>
      <c r="F60" s="4" t="s">
        <v>56</v>
      </c>
      <c r="I60" s="4" t="s">
        <v>52</v>
      </c>
      <c r="L60" s="4" t="s">
        <v>214</v>
      </c>
      <c r="M60" s="4" t="s">
        <v>56</v>
      </c>
      <c r="N60" s="4">
        <v>58</v>
      </c>
      <c r="O60" s="4" t="s">
        <v>215</v>
      </c>
    </row>
    <row r="61" spans="1:15" ht="15.75" customHeight="1">
      <c r="A61" s="4" t="s">
        <v>49</v>
      </c>
      <c r="B61" s="4">
        <v>54974</v>
      </c>
      <c r="C61" s="4">
        <v>56167</v>
      </c>
      <c r="E61" s="4" t="s">
        <v>55</v>
      </c>
      <c r="F61" s="4" t="s">
        <v>216</v>
      </c>
      <c r="I61" s="4" t="s">
        <v>52</v>
      </c>
      <c r="L61" s="4" t="s">
        <v>217</v>
      </c>
      <c r="M61" s="4" t="s">
        <v>216</v>
      </c>
      <c r="N61" s="4">
        <v>397</v>
      </c>
      <c r="O61" s="4" t="s">
        <v>218</v>
      </c>
    </row>
    <row r="62" spans="1:15" ht="15.75" customHeight="1">
      <c r="A62" s="4" t="s">
        <v>49</v>
      </c>
      <c r="B62" s="4">
        <v>56171</v>
      </c>
      <c r="C62" s="4">
        <v>56962</v>
      </c>
      <c r="E62" s="4" t="s">
        <v>55</v>
      </c>
      <c r="F62" s="4" t="s">
        <v>219</v>
      </c>
      <c r="I62" s="4" t="s">
        <v>52</v>
      </c>
      <c r="L62" s="4" t="s">
        <v>220</v>
      </c>
      <c r="M62" s="4" t="s">
        <v>219</v>
      </c>
      <c r="N62" s="4">
        <v>263</v>
      </c>
      <c r="O62" s="4" t="s">
        <v>221</v>
      </c>
    </row>
    <row r="63" spans="1:15" ht="15.75" customHeight="1">
      <c r="A63" s="4" t="s">
        <v>49</v>
      </c>
      <c r="B63" s="4">
        <v>56994</v>
      </c>
      <c r="C63" s="4">
        <v>57314</v>
      </c>
      <c r="E63" s="4" t="s">
        <v>55</v>
      </c>
      <c r="F63" s="4" t="s">
        <v>222</v>
      </c>
      <c r="I63" s="4" t="s">
        <v>52</v>
      </c>
      <c r="L63" s="4" t="s">
        <v>223</v>
      </c>
      <c r="M63" s="4" t="s">
        <v>222</v>
      </c>
      <c r="N63" s="4">
        <v>106</v>
      </c>
      <c r="O63" s="4" t="s">
        <v>224</v>
      </c>
    </row>
    <row r="64" spans="1:15" ht="15.75" customHeight="1">
      <c r="A64" s="4" t="s">
        <v>49</v>
      </c>
      <c r="B64" s="4">
        <v>57780</v>
      </c>
      <c r="C64" s="4">
        <v>60035</v>
      </c>
      <c r="E64" s="4" t="s">
        <v>50</v>
      </c>
      <c r="F64" s="4" t="s">
        <v>225</v>
      </c>
      <c r="G64" s="4" t="s">
        <v>226</v>
      </c>
      <c r="I64" s="4" t="s">
        <v>52</v>
      </c>
      <c r="L64" s="4" t="s">
        <v>227</v>
      </c>
      <c r="M64" s="4" t="s">
        <v>225</v>
      </c>
      <c r="N64" s="4">
        <v>751</v>
      </c>
      <c r="O64" s="4" t="s">
        <v>228</v>
      </c>
    </row>
    <row r="65" spans="1:15" ht="15.75" customHeight="1">
      <c r="A65" s="4" t="s">
        <v>49</v>
      </c>
      <c r="B65" s="4">
        <v>60092</v>
      </c>
      <c r="C65" s="4">
        <v>62116</v>
      </c>
      <c r="E65" s="4" t="s">
        <v>50</v>
      </c>
      <c r="F65" s="4" t="s">
        <v>229</v>
      </c>
      <c r="G65" s="4" t="s">
        <v>230</v>
      </c>
      <c r="I65" s="4" t="s">
        <v>52</v>
      </c>
      <c r="L65" s="4" t="s">
        <v>231</v>
      </c>
      <c r="M65" s="4" t="s">
        <v>229</v>
      </c>
      <c r="N65" s="4">
        <v>674</v>
      </c>
      <c r="O65" s="4" t="s">
        <v>232</v>
      </c>
    </row>
    <row r="66" spans="1:15" ht="15.75" customHeight="1">
      <c r="A66" s="4" t="s">
        <v>49</v>
      </c>
      <c r="B66" s="4">
        <v>62126</v>
      </c>
      <c r="C66" s="4">
        <v>63277</v>
      </c>
      <c r="E66" s="4" t="s">
        <v>50</v>
      </c>
      <c r="F66" s="4" t="s">
        <v>233</v>
      </c>
      <c r="I66" s="4" t="s">
        <v>52</v>
      </c>
      <c r="L66" s="4" t="s">
        <v>234</v>
      </c>
      <c r="M66" s="4" t="s">
        <v>233</v>
      </c>
      <c r="N66" s="4">
        <v>383</v>
      </c>
      <c r="O66" s="4" t="s">
        <v>235</v>
      </c>
    </row>
    <row r="67" spans="1:15" ht="15.75" customHeight="1">
      <c r="A67" s="4" t="s">
        <v>49</v>
      </c>
      <c r="B67" s="4">
        <v>63329</v>
      </c>
      <c r="C67" s="4">
        <v>63625</v>
      </c>
      <c r="E67" s="4" t="s">
        <v>50</v>
      </c>
      <c r="F67" s="4" t="s">
        <v>236</v>
      </c>
      <c r="G67" s="4" t="s">
        <v>237</v>
      </c>
      <c r="I67" s="4" t="s">
        <v>52</v>
      </c>
      <c r="L67" s="4" t="s">
        <v>238</v>
      </c>
      <c r="M67" s="4" t="s">
        <v>236</v>
      </c>
      <c r="N67" s="4">
        <v>98</v>
      </c>
      <c r="O67" s="4" t="s">
        <v>239</v>
      </c>
    </row>
    <row r="68" spans="1:15" ht="15.75" customHeight="1">
      <c r="A68" s="4" t="s">
        <v>49</v>
      </c>
      <c r="B68" s="4">
        <v>63629</v>
      </c>
      <c r="C68" s="4">
        <v>65083</v>
      </c>
      <c r="E68" s="4" t="s">
        <v>50</v>
      </c>
      <c r="F68" s="4" t="s">
        <v>240</v>
      </c>
      <c r="G68" s="4" t="s">
        <v>241</v>
      </c>
      <c r="I68" s="4" t="s">
        <v>52</v>
      </c>
      <c r="L68" s="4" t="s">
        <v>242</v>
      </c>
      <c r="M68" s="4" t="s">
        <v>240</v>
      </c>
      <c r="N68" s="4">
        <v>484</v>
      </c>
      <c r="O68" s="4" t="s">
        <v>243</v>
      </c>
    </row>
    <row r="69" spans="1:15" ht="15.75" customHeight="1">
      <c r="A69" s="4" t="s">
        <v>49</v>
      </c>
      <c r="B69" s="4">
        <v>65085</v>
      </c>
      <c r="C69" s="4">
        <v>66515</v>
      </c>
      <c r="E69" s="4" t="s">
        <v>50</v>
      </c>
      <c r="F69" s="4" t="s">
        <v>244</v>
      </c>
      <c r="G69" s="4" t="s">
        <v>245</v>
      </c>
      <c r="I69" s="4" t="s">
        <v>52</v>
      </c>
      <c r="L69" s="4" t="s">
        <v>246</v>
      </c>
      <c r="M69" s="4" t="s">
        <v>244</v>
      </c>
      <c r="N69" s="4">
        <v>476</v>
      </c>
      <c r="O69" s="4" t="s">
        <v>247</v>
      </c>
    </row>
    <row r="70" spans="1:15" ht="15.75" customHeight="1">
      <c r="A70" s="4" t="s">
        <v>49</v>
      </c>
      <c r="B70" s="4">
        <v>66788</v>
      </c>
      <c r="C70" s="4">
        <v>67822</v>
      </c>
      <c r="E70" s="4" t="s">
        <v>50</v>
      </c>
      <c r="F70" s="4" t="s">
        <v>248</v>
      </c>
      <c r="I70" s="4" t="s">
        <v>52</v>
      </c>
      <c r="L70" s="4" t="s">
        <v>249</v>
      </c>
      <c r="M70" s="4" t="s">
        <v>248</v>
      </c>
      <c r="N70" s="4">
        <v>344</v>
      </c>
      <c r="O70" s="4" t="s">
        <v>250</v>
      </c>
    </row>
    <row r="71" spans="1:15" ht="15.75" customHeight="1">
      <c r="A71" s="4" t="s">
        <v>49</v>
      </c>
      <c r="B71" s="4">
        <v>67815</v>
      </c>
      <c r="C71" s="4">
        <v>69188</v>
      </c>
      <c r="E71" s="4" t="s">
        <v>50</v>
      </c>
      <c r="F71" s="4" t="s">
        <v>251</v>
      </c>
      <c r="G71" s="4" t="s">
        <v>252</v>
      </c>
      <c r="I71" s="4" t="s">
        <v>52</v>
      </c>
      <c r="L71" s="4" t="s">
        <v>253</v>
      </c>
      <c r="M71" s="4" t="s">
        <v>251</v>
      </c>
      <c r="N71" s="4">
        <v>457</v>
      </c>
      <c r="O71" s="4" t="s">
        <v>254</v>
      </c>
    </row>
    <row r="72" spans="1:15" ht="15.75" customHeight="1">
      <c r="A72" s="4" t="s">
        <v>49</v>
      </c>
      <c r="B72" s="4">
        <v>69782</v>
      </c>
      <c r="C72" s="4">
        <v>70993</v>
      </c>
      <c r="E72" s="4" t="s">
        <v>50</v>
      </c>
      <c r="F72" s="4" t="s">
        <v>255</v>
      </c>
      <c r="I72" s="4" t="s">
        <v>52</v>
      </c>
      <c r="L72" s="4" t="s">
        <v>256</v>
      </c>
      <c r="M72" s="4" t="s">
        <v>255</v>
      </c>
      <c r="N72" s="4">
        <v>403</v>
      </c>
      <c r="O72" s="4" t="s">
        <v>257</v>
      </c>
    </row>
    <row r="73" spans="1:15" ht="15.75" customHeight="1">
      <c r="A73" s="4" t="s">
        <v>49</v>
      </c>
      <c r="B73" s="4">
        <v>71022</v>
      </c>
      <c r="C73" s="4">
        <v>71858</v>
      </c>
      <c r="E73" s="4" t="s">
        <v>50</v>
      </c>
      <c r="F73" s="4" t="s">
        <v>59</v>
      </c>
      <c r="I73" s="4" t="s">
        <v>52</v>
      </c>
      <c r="L73" s="4" t="s">
        <v>258</v>
      </c>
      <c r="M73" s="4" t="s">
        <v>59</v>
      </c>
      <c r="N73" s="4">
        <v>278</v>
      </c>
      <c r="O73" s="4" t="s">
        <v>259</v>
      </c>
    </row>
    <row r="74" spans="1:15" ht="15.75" customHeight="1">
      <c r="A74" s="4" t="s">
        <v>49</v>
      </c>
      <c r="B74" s="4">
        <v>71938</v>
      </c>
      <c r="C74" s="4">
        <v>72813</v>
      </c>
      <c r="E74" s="4" t="s">
        <v>55</v>
      </c>
      <c r="F74" s="4" t="s">
        <v>260</v>
      </c>
      <c r="I74" s="4" t="s">
        <v>52</v>
      </c>
      <c r="L74" s="4" t="s">
        <v>261</v>
      </c>
      <c r="M74" s="4" t="s">
        <v>260</v>
      </c>
      <c r="N74" s="4">
        <v>291</v>
      </c>
      <c r="O74" s="4" t="s">
        <v>262</v>
      </c>
    </row>
    <row r="75" spans="1:15" ht="15.75" customHeight="1">
      <c r="A75" s="4" t="s">
        <v>49</v>
      </c>
      <c r="B75" s="4">
        <v>72982</v>
      </c>
      <c r="C75" s="4">
        <v>74886</v>
      </c>
      <c r="E75" s="4" t="s">
        <v>50</v>
      </c>
      <c r="F75" s="4" t="s">
        <v>263</v>
      </c>
      <c r="I75" s="4" t="s">
        <v>52</v>
      </c>
      <c r="L75" s="4" t="s">
        <v>264</v>
      </c>
      <c r="M75" s="4" t="s">
        <v>263</v>
      </c>
      <c r="N75" s="4">
        <v>634</v>
      </c>
      <c r="O75" s="4" t="s">
        <v>265</v>
      </c>
    </row>
    <row r="76" spans="1:15" ht="15.75" customHeight="1">
      <c r="A76" s="4" t="s">
        <v>49</v>
      </c>
      <c r="B76" s="4">
        <v>75006</v>
      </c>
      <c r="C76" s="4">
        <v>76430</v>
      </c>
      <c r="E76" s="4" t="s">
        <v>50</v>
      </c>
      <c r="F76" s="4" t="s">
        <v>255</v>
      </c>
      <c r="I76" s="4" t="s">
        <v>52</v>
      </c>
      <c r="L76" s="4" t="s">
        <v>266</v>
      </c>
      <c r="M76" s="4" t="s">
        <v>255</v>
      </c>
      <c r="N76" s="4">
        <v>474</v>
      </c>
      <c r="O76" s="4" t="s">
        <v>267</v>
      </c>
    </row>
    <row r="77" spans="1:15" ht="15.75" customHeight="1">
      <c r="A77" s="4" t="s">
        <v>49</v>
      </c>
      <c r="B77" s="4">
        <v>76516</v>
      </c>
      <c r="C77" s="4">
        <v>76968</v>
      </c>
      <c r="E77" s="4" t="s">
        <v>55</v>
      </c>
      <c r="F77" s="4" t="s">
        <v>51</v>
      </c>
      <c r="I77" s="4" t="s">
        <v>52</v>
      </c>
      <c r="L77" s="4" t="s">
        <v>268</v>
      </c>
      <c r="M77" s="4" t="s">
        <v>51</v>
      </c>
      <c r="N77" s="4">
        <v>150</v>
      </c>
      <c r="O77" s="4" t="s">
        <v>269</v>
      </c>
    </row>
    <row r="78" spans="1:15" ht="15.75" customHeight="1">
      <c r="A78" s="4" t="s">
        <v>49</v>
      </c>
      <c r="B78" s="4">
        <v>77265</v>
      </c>
      <c r="C78" s="4">
        <v>78137</v>
      </c>
      <c r="E78" s="4" t="s">
        <v>55</v>
      </c>
      <c r="F78" s="4" t="s">
        <v>270</v>
      </c>
      <c r="I78" s="4" t="s">
        <v>52</v>
      </c>
      <c r="L78" s="4" t="s">
        <v>271</v>
      </c>
      <c r="M78" s="4" t="s">
        <v>270</v>
      </c>
      <c r="N78" s="4">
        <v>290</v>
      </c>
      <c r="O78" s="4" t="s">
        <v>272</v>
      </c>
    </row>
    <row r="79" spans="1:15" ht="15.75" customHeight="1">
      <c r="A79" s="4" t="s">
        <v>49</v>
      </c>
      <c r="B79" s="4">
        <v>78395</v>
      </c>
      <c r="C79" s="4">
        <v>79321</v>
      </c>
      <c r="E79" s="4" t="s">
        <v>55</v>
      </c>
      <c r="F79" s="4" t="s">
        <v>273</v>
      </c>
      <c r="I79" s="4" t="s">
        <v>52</v>
      </c>
      <c r="L79" s="4" t="s">
        <v>274</v>
      </c>
      <c r="M79" s="4" t="s">
        <v>273</v>
      </c>
      <c r="N79" s="4">
        <v>308</v>
      </c>
      <c r="O79" s="4" t="s">
        <v>275</v>
      </c>
    </row>
    <row r="80" spans="1:15" ht="15.75" customHeight="1">
      <c r="A80" s="4" t="s">
        <v>49</v>
      </c>
      <c r="B80" s="4">
        <v>79406</v>
      </c>
      <c r="C80" s="4">
        <v>79600</v>
      </c>
      <c r="E80" s="4" t="s">
        <v>55</v>
      </c>
      <c r="F80" s="4" t="s">
        <v>56</v>
      </c>
      <c r="I80" s="4" t="s">
        <v>52</v>
      </c>
      <c r="L80" s="4" t="s">
        <v>276</v>
      </c>
      <c r="M80" s="4" t="s">
        <v>56</v>
      </c>
      <c r="N80" s="4">
        <v>64</v>
      </c>
      <c r="O80" s="4" t="s">
        <v>277</v>
      </c>
    </row>
    <row r="81" spans="1:15" ht="15.75" customHeight="1">
      <c r="A81" s="4" t="s">
        <v>49</v>
      </c>
      <c r="B81" s="4">
        <v>80107</v>
      </c>
      <c r="C81" s="4">
        <v>80844</v>
      </c>
      <c r="E81" s="4" t="s">
        <v>50</v>
      </c>
      <c r="F81" s="4" t="s">
        <v>278</v>
      </c>
      <c r="I81" s="4" t="s">
        <v>52</v>
      </c>
      <c r="L81" s="4" t="s">
        <v>279</v>
      </c>
      <c r="M81" s="4" t="s">
        <v>278</v>
      </c>
      <c r="N81" s="4">
        <v>245</v>
      </c>
      <c r="O81" s="4" t="s">
        <v>280</v>
      </c>
    </row>
    <row r="82" spans="1:15" ht="15.75" customHeight="1">
      <c r="A82" s="4" t="s">
        <v>49</v>
      </c>
      <c r="B82" s="4">
        <v>80977</v>
      </c>
      <c r="C82" s="4">
        <v>81333</v>
      </c>
      <c r="E82" s="4" t="s">
        <v>50</v>
      </c>
      <c r="F82" s="4" t="s">
        <v>281</v>
      </c>
      <c r="I82" s="4" t="s">
        <v>52</v>
      </c>
      <c r="L82" s="4" t="s">
        <v>282</v>
      </c>
      <c r="M82" s="4" t="s">
        <v>281</v>
      </c>
      <c r="N82" s="4">
        <v>118</v>
      </c>
      <c r="O82" s="4" t="s">
        <v>283</v>
      </c>
    </row>
    <row r="83" spans="1:15" ht="15.75" customHeight="1">
      <c r="A83" s="4" t="s">
        <v>49</v>
      </c>
      <c r="B83" s="4">
        <v>81474</v>
      </c>
      <c r="C83" s="4">
        <v>81683</v>
      </c>
      <c r="E83" s="4" t="s">
        <v>50</v>
      </c>
      <c r="F83" s="4" t="s">
        <v>56</v>
      </c>
      <c r="I83" s="4" t="s">
        <v>52</v>
      </c>
      <c r="L83" s="4" t="s">
        <v>284</v>
      </c>
      <c r="M83" s="4" t="s">
        <v>56</v>
      </c>
      <c r="N83" s="4">
        <v>69</v>
      </c>
      <c r="O83" s="4" t="s">
        <v>285</v>
      </c>
    </row>
    <row r="84" spans="1:15" ht="15.75" customHeight="1">
      <c r="A84" s="4" t="s">
        <v>49</v>
      </c>
      <c r="B84" s="4">
        <v>81694</v>
      </c>
      <c r="C84" s="4">
        <v>82050</v>
      </c>
      <c r="E84" s="4" t="s">
        <v>55</v>
      </c>
      <c r="F84" s="4" t="s">
        <v>286</v>
      </c>
      <c r="I84" s="4" t="s">
        <v>52</v>
      </c>
      <c r="L84" s="4" t="s">
        <v>287</v>
      </c>
      <c r="M84" s="4" t="s">
        <v>286</v>
      </c>
      <c r="N84" s="4">
        <v>118</v>
      </c>
      <c r="O84" s="4" t="s">
        <v>288</v>
      </c>
    </row>
    <row r="85" spans="1:15" ht="15.75" customHeight="1">
      <c r="A85" s="4" t="s">
        <v>49</v>
      </c>
      <c r="B85" s="4">
        <v>82397</v>
      </c>
      <c r="C85" s="4">
        <v>83350</v>
      </c>
      <c r="E85" s="4" t="s">
        <v>50</v>
      </c>
      <c r="F85" s="4" t="s">
        <v>289</v>
      </c>
      <c r="I85" s="4" t="s">
        <v>52</v>
      </c>
      <c r="L85" s="4" t="s">
        <v>290</v>
      </c>
      <c r="M85" s="4" t="s">
        <v>289</v>
      </c>
      <c r="N85" s="4">
        <v>317</v>
      </c>
      <c r="O85" s="4" t="s">
        <v>291</v>
      </c>
    </row>
    <row r="86" spans="1:15" ht="15.75" customHeight="1">
      <c r="A86" s="4" t="s">
        <v>49</v>
      </c>
      <c r="B86" s="4">
        <v>83364</v>
      </c>
      <c r="C86" s="4">
        <v>84650</v>
      </c>
      <c r="E86" s="4" t="s">
        <v>50</v>
      </c>
      <c r="F86" s="4" t="s">
        <v>292</v>
      </c>
      <c r="I86" s="4" t="s">
        <v>52</v>
      </c>
      <c r="L86" s="4" t="s">
        <v>293</v>
      </c>
      <c r="M86" s="4" t="s">
        <v>292</v>
      </c>
      <c r="N86" s="4">
        <v>428</v>
      </c>
      <c r="O86" s="4" t="s">
        <v>294</v>
      </c>
    </row>
    <row r="87" spans="1:15" ht="15.75" customHeight="1">
      <c r="A87" s="4" t="s">
        <v>49</v>
      </c>
      <c r="B87" s="4">
        <v>84650</v>
      </c>
      <c r="C87" s="4">
        <v>85018</v>
      </c>
      <c r="E87" s="4" t="s">
        <v>50</v>
      </c>
      <c r="F87" s="4" t="s">
        <v>295</v>
      </c>
      <c r="I87" s="4" t="s">
        <v>52</v>
      </c>
      <c r="L87" s="4" t="s">
        <v>296</v>
      </c>
      <c r="M87" s="4" t="s">
        <v>295</v>
      </c>
      <c r="N87" s="4">
        <v>122</v>
      </c>
      <c r="O87" s="4" t="s">
        <v>297</v>
      </c>
    </row>
    <row r="88" spans="1:15" ht="15.75" customHeight="1">
      <c r="A88" s="4" t="s">
        <v>49</v>
      </c>
      <c r="B88" s="4">
        <v>85092</v>
      </c>
      <c r="C88" s="4">
        <v>85514</v>
      </c>
      <c r="E88" s="4" t="s">
        <v>50</v>
      </c>
      <c r="F88" s="4" t="s">
        <v>298</v>
      </c>
      <c r="I88" s="4" t="s">
        <v>52</v>
      </c>
      <c r="L88" s="4" t="s">
        <v>299</v>
      </c>
      <c r="M88" s="4" t="s">
        <v>298</v>
      </c>
      <c r="N88" s="4">
        <v>140</v>
      </c>
      <c r="O88" s="4" t="s">
        <v>300</v>
      </c>
    </row>
    <row r="89" spans="1:15" ht="15.75" customHeight="1">
      <c r="A89" s="4" t="s">
        <v>49</v>
      </c>
      <c r="B89" s="4">
        <v>85607</v>
      </c>
      <c r="C89" s="4">
        <v>85680</v>
      </c>
      <c r="E89" s="4" t="s">
        <v>50</v>
      </c>
      <c r="F89" s="4" t="s">
        <v>301</v>
      </c>
      <c r="I89" s="4" t="s">
        <v>302</v>
      </c>
      <c r="O89" s="4" t="s">
        <v>303</v>
      </c>
    </row>
    <row r="90" spans="1:15" ht="15.75" customHeight="1">
      <c r="A90" s="4" t="s">
        <v>49</v>
      </c>
      <c r="B90" s="4">
        <v>85812</v>
      </c>
      <c r="C90" s="4">
        <v>86534</v>
      </c>
      <c r="E90" s="4" t="s">
        <v>50</v>
      </c>
      <c r="F90" s="4" t="s">
        <v>56</v>
      </c>
      <c r="I90" s="4" t="s">
        <v>52</v>
      </c>
      <c r="L90" s="4" t="s">
        <v>304</v>
      </c>
      <c r="M90" s="4" t="s">
        <v>56</v>
      </c>
      <c r="N90" s="4">
        <v>240</v>
      </c>
      <c r="O90" s="4" t="s">
        <v>305</v>
      </c>
    </row>
    <row r="91" spans="1:15" ht="15.75" customHeight="1">
      <c r="A91" s="4" t="s">
        <v>49</v>
      </c>
      <c r="B91" s="4">
        <v>86620</v>
      </c>
      <c r="C91" s="4">
        <v>88398</v>
      </c>
      <c r="E91" s="4" t="s">
        <v>50</v>
      </c>
      <c r="F91" s="4" t="s">
        <v>306</v>
      </c>
      <c r="G91" s="4" t="s">
        <v>307</v>
      </c>
      <c r="I91" s="4" t="s">
        <v>52</v>
      </c>
      <c r="L91" s="4" t="s">
        <v>308</v>
      </c>
      <c r="M91" s="4" t="s">
        <v>306</v>
      </c>
      <c r="N91" s="4">
        <v>592</v>
      </c>
      <c r="O91" s="4" t="s">
        <v>309</v>
      </c>
    </row>
    <row r="92" spans="1:15" ht="15.75" customHeight="1">
      <c r="A92" s="4" t="s">
        <v>49</v>
      </c>
      <c r="B92" s="4">
        <v>88552</v>
      </c>
      <c r="C92" s="4">
        <v>89787</v>
      </c>
      <c r="E92" s="4" t="s">
        <v>55</v>
      </c>
      <c r="F92" s="4" t="s">
        <v>310</v>
      </c>
      <c r="I92" s="4" t="s">
        <v>52</v>
      </c>
      <c r="L92" s="4" t="s">
        <v>311</v>
      </c>
      <c r="M92" s="4" t="s">
        <v>310</v>
      </c>
      <c r="N92" s="4">
        <v>411</v>
      </c>
      <c r="O92" s="4" t="s">
        <v>312</v>
      </c>
    </row>
    <row r="93" spans="1:15" ht="15.75" customHeight="1">
      <c r="A93" s="4" t="s">
        <v>49</v>
      </c>
      <c r="B93" s="4">
        <v>90112</v>
      </c>
      <c r="C93" s="4">
        <v>90720</v>
      </c>
      <c r="E93" s="4" t="s">
        <v>50</v>
      </c>
      <c r="F93" s="4" t="s">
        <v>111</v>
      </c>
      <c r="I93" s="4" t="s">
        <v>52</v>
      </c>
      <c r="L93" s="4" t="s">
        <v>313</v>
      </c>
      <c r="M93" s="4" t="s">
        <v>111</v>
      </c>
      <c r="N93" s="4">
        <v>202</v>
      </c>
      <c r="O93" s="4" t="s">
        <v>314</v>
      </c>
    </row>
    <row r="94" spans="1:15" ht="15.75" customHeight="1">
      <c r="A94" s="4" t="s">
        <v>49</v>
      </c>
      <c r="B94" s="4">
        <v>91112</v>
      </c>
      <c r="C94" s="4">
        <v>92485</v>
      </c>
      <c r="E94" s="4" t="s">
        <v>50</v>
      </c>
      <c r="F94" s="4" t="s">
        <v>315</v>
      </c>
      <c r="I94" s="4" t="s">
        <v>52</v>
      </c>
      <c r="L94" s="4" t="s">
        <v>316</v>
      </c>
      <c r="M94" s="4" t="s">
        <v>315</v>
      </c>
      <c r="N94" s="4">
        <v>457</v>
      </c>
      <c r="O94" s="4" t="s">
        <v>317</v>
      </c>
    </row>
    <row r="95" spans="1:15" ht="15.75" customHeight="1">
      <c r="A95" s="4" t="s">
        <v>49</v>
      </c>
      <c r="B95" s="4">
        <v>92626</v>
      </c>
      <c r="C95" s="4">
        <v>93633</v>
      </c>
      <c r="E95" s="4" t="s">
        <v>50</v>
      </c>
      <c r="F95" s="4" t="s">
        <v>318</v>
      </c>
      <c r="I95" s="4" t="s">
        <v>52</v>
      </c>
      <c r="L95" s="4" t="s">
        <v>319</v>
      </c>
      <c r="M95" s="4" t="s">
        <v>318</v>
      </c>
      <c r="N95" s="4">
        <v>335</v>
      </c>
      <c r="O95" s="4" t="s">
        <v>320</v>
      </c>
    </row>
    <row r="96" spans="1:15" ht="15.75" customHeight="1">
      <c r="A96" s="4" t="s">
        <v>49</v>
      </c>
      <c r="B96" s="4">
        <v>93719</v>
      </c>
      <c r="C96" s="4">
        <v>94180</v>
      </c>
      <c r="E96" s="4" t="s">
        <v>55</v>
      </c>
      <c r="F96" s="4" t="s">
        <v>321</v>
      </c>
      <c r="I96" s="4" t="s">
        <v>52</v>
      </c>
      <c r="L96" s="4" t="s">
        <v>322</v>
      </c>
      <c r="M96" s="4" t="s">
        <v>321</v>
      </c>
      <c r="N96" s="4">
        <v>153</v>
      </c>
      <c r="O96" s="4" t="s">
        <v>323</v>
      </c>
    </row>
    <row r="97" spans="1:15" ht="15.75" customHeight="1">
      <c r="A97" s="4" t="s">
        <v>49</v>
      </c>
      <c r="B97" s="4">
        <v>94431</v>
      </c>
      <c r="C97" s="4">
        <v>95255</v>
      </c>
      <c r="E97" s="4" t="s">
        <v>50</v>
      </c>
      <c r="F97" s="4" t="s">
        <v>324</v>
      </c>
      <c r="G97" s="4" t="s">
        <v>325</v>
      </c>
      <c r="I97" s="4" t="s">
        <v>52</v>
      </c>
      <c r="L97" s="4" t="s">
        <v>326</v>
      </c>
      <c r="M97" s="4" t="s">
        <v>324</v>
      </c>
      <c r="N97" s="4">
        <v>274</v>
      </c>
      <c r="O97" s="4" t="s">
        <v>327</v>
      </c>
    </row>
    <row r="98" spans="1:15" ht="15.75" customHeight="1">
      <c r="A98" s="4" t="s">
        <v>49</v>
      </c>
      <c r="B98" s="4">
        <v>95534</v>
      </c>
      <c r="C98" s="4">
        <v>96595</v>
      </c>
      <c r="E98" s="4" t="s">
        <v>50</v>
      </c>
      <c r="F98" s="4" t="s">
        <v>328</v>
      </c>
      <c r="I98" s="4" t="s">
        <v>52</v>
      </c>
      <c r="L98" s="4" t="s">
        <v>329</v>
      </c>
      <c r="M98" s="4" t="s">
        <v>328</v>
      </c>
      <c r="N98" s="4">
        <v>353</v>
      </c>
      <c r="O98" s="4" t="s">
        <v>330</v>
      </c>
    </row>
    <row r="99" spans="1:15" ht="15.75" customHeight="1">
      <c r="A99" s="4" t="s">
        <v>49</v>
      </c>
      <c r="B99" s="4">
        <v>96813</v>
      </c>
      <c r="C99" s="4">
        <v>97070</v>
      </c>
      <c r="E99" s="4" t="s">
        <v>55</v>
      </c>
      <c r="F99" s="4" t="s">
        <v>331</v>
      </c>
      <c r="I99" s="4" t="s">
        <v>52</v>
      </c>
      <c r="L99" s="4" t="s">
        <v>332</v>
      </c>
      <c r="M99" s="4" t="s">
        <v>331</v>
      </c>
      <c r="N99" s="4">
        <v>85</v>
      </c>
      <c r="O99" s="4" t="s">
        <v>333</v>
      </c>
    </row>
    <row r="100" spans="1:15" ht="15.75" customHeight="1">
      <c r="A100" s="4" t="s">
        <v>49</v>
      </c>
      <c r="B100" s="4">
        <v>97086</v>
      </c>
      <c r="C100" s="4">
        <v>97295</v>
      </c>
      <c r="E100" s="4" t="s">
        <v>55</v>
      </c>
      <c r="F100" s="4" t="s">
        <v>56</v>
      </c>
      <c r="I100" s="4" t="s">
        <v>52</v>
      </c>
      <c r="L100" s="4" t="s">
        <v>334</v>
      </c>
      <c r="M100" s="4" t="s">
        <v>56</v>
      </c>
      <c r="N100" s="4">
        <v>69</v>
      </c>
      <c r="O100" s="4" t="s">
        <v>335</v>
      </c>
    </row>
    <row r="101" spans="1:15" ht="15.75" customHeight="1">
      <c r="A101" s="4" t="s">
        <v>49</v>
      </c>
      <c r="B101" s="4">
        <v>97674</v>
      </c>
      <c r="C101" s="4">
        <v>98747</v>
      </c>
      <c r="E101" s="4" t="s">
        <v>50</v>
      </c>
      <c r="F101" s="4" t="s">
        <v>336</v>
      </c>
      <c r="I101" s="4" t="s">
        <v>52</v>
      </c>
      <c r="L101" s="4" t="s">
        <v>337</v>
      </c>
      <c r="M101" s="4" t="s">
        <v>336</v>
      </c>
      <c r="N101" s="4">
        <v>357</v>
      </c>
      <c r="O101" s="4" t="s">
        <v>338</v>
      </c>
    </row>
    <row r="102" spans="1:15" ht="15.75" customHeight="1">
      <c r="A102" s="4" t="s">
        <v>49</v>
      </c>
      <c r="B102" s="4">
        <v>98905</v>
      </c>
      <c r="C102" s="4">
        <v>99819</v>
      </c>
      <c r="E102" s="4" t="s">
        <v>50</v>
      </c>
      <c r="F102" s="4" t="s">
        <v>339</v>
      </c>
      <c r="G102" s="4" t="s">
        <v>340</v>
      </c>
      <c r="I102" s="4" t="s">
        <v>52</v>
      </c>
      <c r="L102" s="4" t="s">
        <v>341</v>
      </c>
      <c r="M102" s="4" t="s">
        <v>339</v>
      </c>
      <c r="N102" s="4">
        <v>304</v>
      </c>
      <c r="O102" s="4" t="s">
        <v>342</v>
      </c>
    </row>
    <row r="103" spans="1:15" ht="15.75" customHeight="1">
      <c r="A103" s="4" t="s">
        <v>49</v>
      </c>
      <c r="B103" s="4">
        <v>100046</v>
      </c>
      <c r="C103" s="4">
        <v>101344</v>
      </c>
      <c r="E103" s="4" t="s">
        <v>50</v>
      </c>
      <c r="F103" s="4" t="s">
        <v>56</v>
      </c>
      <c r="I103" s="4" t="s">
        <v>52</v>
      </c>
      <c r="L103" s="4" t="s">
        <v>343</v>
      </c>
      <c r="M103" s="4" t="s">
        <v>56</v>
      </c>
      <c r="N103" s="4">
        <v>432</v>
      </c>
      <c r="O103" s="4" t="s">
        <v>344</v>
      </c>
    </row>
    <row r="104" spans="1:15" ht="15.75" customHeight="1">
      <c r="A104" s="4" t="s">
        <v>49</v>
      </c>
      <c r="B104" s="4">
        <v>101504</v>
      </c>
      <c r="C104" s="4">
        <v>101779</v>
      </c>
      <c r="E104" s="4" t="s">
        <v>55</v>
      </c>
      <c r="F104" s="4" t="s">
        <v>345</v>
      </c>
      <c r="I104" s="4" t="s">
        <v>346</v>
      </c>
      <c r="O104" s="4" t="s">
        <v>347</v>
      </c>
    </row>
    <row r="105" spans="1:15" ht="15.75" customHeight="1">
      <c r="A105" s="4" t="s">
        <v>49</v>
      </c>
      <c r="B105" s="4">
        <v>101901</v>
      </c>
      <c r="C105" s="4">
        <v>102743</v>
      </c>
      <c r="E105" s="4" t="s">
        <v>55</v>
      </c>
      <c r="F105" s="4" t="s">
        <v>348</v>
      </c>
      <c r="I105" s="4" t="s">
        <v>52</v>
      </c>
      <c r="L105" s="4" t="s">
        <v>349</v>
      </c>
      <c r="M105" s="4" t="s">
        <v>348</v>
      </c>
      <c r="N105" s="4">
        <v>280</v>
      </c>
      <c r="O105" s="4" t="s">
        <v>350</v>
      </c>
    </row>
    <row r="106" spans="1:15" ht="15.75" customHeight="1">
      <c r="A106" s="4" t="s">
        <v>49</v>
      </c>
      <c r="B106" s="4">
        <v>102797</v>
      </c>
      <c r="C106" s="4">
        <v>103048</v>
      </c>
      <c r="E106" s="4" t="s">
        <v>55</v>
      </c>
      <c r="F106" s="4" t="s">
        <v>351</v>
      </c>
      <c r="I106" s="4" t="s">
        <v>52</v>
      </c>
      <c r="L106" s="4" t="s">
        <v>352</v>
      </c>
      <c r="M106" s="4" t="s">
        <v>351</v>
      </c>
      <c r="N106" s="4">
        <v>83</v>
      </c>
      <c r="O106" s="4" t="s">
        <v>353</v>
      </c>
    </row>
    <row r="107" spans="1:15" ht="15.75" customHeight="1">
      <c r="A107" s="4" t="s">
        <v>49</v>
      </c>
      <c r="B107" s="4">
        <v>103264</v>
      </c>
      <c r="C107" s="4">
        <v>105927</v>
      </c>
      <c r="E107" s="4" t="s">
        <v>55</v>
      </c>
      <c r="F107" s="4" t="s">
        <v>354</v>
      </c>
      <c r="I107" s="4" t="s">
        <v>52</v>
      </c>
      <c r="L107" s="4" t="s">
        <v>355</v>
      </c>
      <c r="M107" s="4" t="s">
        <v>354</v>
      </c>
      <c r="N107" s="4">
        <v>887</v>
      </c>
      <c r="O107" s="4" t="s">
        <v>356</v>
      </c>
    </row>
    <row r="108" spans="1:15" ht="15.75" customHeight="1">
      <c r="A108" s="4" t="s">
        <v>49</v>
      </c>
      <c r="B108" s="4">
        <v>106238</v>
      </c>
      <c r="C108" s="4">
        <v>107977</v>
      </c>
      <c r="E108" s="4" t="s">
        <v>50</v>
      </c>
      <c r="F108" s="4" t="s">
        <v>56</v>
      </c>
      <c r="I108" s="4" t="s">
        <v>52</v>
      </c>
      <c r="L108" s="4" t="s">
        <v>357</v>
      </c>
      <c r="M108" s="4" t="s">
        <v>56</v>
      </c>
      <c r="N108" s="4">
        <v>579</v>
      </c>
      <c r="O108" s="4" t="s">
        <v>358</v>
      </c>
    </row>
    <row r="109" spans="1:15" ht="15.75" customHeight="1">
      <c r="A109" s="4" t="s">
        <v>49</v>
      </c>
      <c r="B109" s="4">
        <v>108329</v>
      </c>
      <c r="C109" s="4">
        <v>109258</v>
      </c>
      <c r="E109" s="4" t="s">
        <v>55</v>
      </c>
      <c r="F109" s="4" t="s">
        <v>328</v>
      </c>
      <c r="I109" s="4" t="s">
        <v>52</v>
      </c>
      <c r="L109" s="4" t="s">
        <v>359</v>
      </c>
      <c r="M109" s="4" t="s">
        <v>328</v>
      </c>
      <c r="N109" s="4">
        <v>309</v>
      </c>
      <c r="O109" s="4" t="s">
        <v>360</v>
      </c>
    </row>
    <row r="110" spans="1:15" ht="15.75" customHeight="1">
      <c r="A110" s="4" t="s">
        <v>49</v>
      </c>
      <c r="B110" s="4">
        <v>109345</v>
      </c>
      <c r="C110" s="4">
        <v>109983</v>
      </c>
      <c r="E110" s="4" t="s">
        <v>55</v>
      </c>
      <c r="F110" s="4" t="s">
        <v>361</v>
      </c>
      <c r="I110" s="4" t="s">
        <v>52</v>
      </c>
      <c r="L110" s="4" t="s">
        <v>362</v>
      </c>
      <c r="M110" s="4" t="s">
        <v>361</v>
      </c>
      <c r="N110" s="4">
        <v>212</v>
      </c>
      <c r="O110" s="4" t="s">
        <v>363</v>
      </c>
    </row>
    <row r="111" spans="1:15" ht="15.75" customHeight="1">
      <c r="A111" s="4" t="s">
        <v>49</v>
      </c>
      <c r="B111" s="4">
        <v>110111</v>
      </c>
      <c r="C111" s="4">
        <v>111076</v>
      </c>
      <c r="E111" s="4" t="s">
        <v>50</v>
      </c>
      <c r="F111" s="4" t="s">
        <v>364</v>
      </c>
      <c r="I111" s="4" t="s">
        <v>52</v>
      </c>
      <c r="L111" s="4" t="s">
        <v>365</v>
      </c>
      <c r="M111" s="4" t="s">
        <v>364</v>
      </c>
      <c r="N111" s="4">
        <v>321</v>
      </c>
      <c r="O111" s="4" t="s">
        <v>366</v>
      </c>
    </row>
    <row r="112" spans="1:15" ht="15.75" customHeight="1">
      <c r="A112" s="4" t="s">
        <v>49</v>
      </c>
      <c r="B112" s="4">
        <v>111140</v>
      </c>
      <c r="C112" s="4">
        <v>111352</v>
      </c>
      <c r="E112" s="4" t="s">
        <v>50</v>
      </c>
      <c r="F112" s="4" t="s">
        <v>367</v>
      </c>
      <c r="G112" s="4" t="s">
        <v>368</v>
      </c>
      <c r="I112" s="4" t="s">
        <v>52</v>
      </c>
      <c r="L112" s="4" t="s">
        <v>369</v>
      </c>
      <c r="M112" s="4" t="s">
        <v>367</v>
      </c>
      <c r="N112" s="4">
        <v>70</v>
      </c>
      <c r="O112" s="4" t="s">
        <v>370</v>
      </c>
    </row>
    <row r="113" spans="1:15" ht="15.75" customHeight="1">
      <c r="A113" s="4" t="s">
        <v>49</v>
      </c>
      <c r="B113" s="4">
        <v>112036</v>
      </c>
      <c r="C113" s="4">
        <v>112236</v>
      </c>
      <c r="E113" s="4" t="s">
        <v>50</v>
      </c>
      <c r="F113" s="4" t="s">
        <v>371</v>
      </c>
      <c r="I113" s="4" t="s">
        <v>52</v>
      </c>
      <c r="L113" s="4" t="s">
        <v>372</v>
      </c>
      <c r="M113" s="4" t="s">
        <v>371</v>
      </c>
      <c r="N113" s="4">
        <v>66</v>
      </c>
      <c r="O113" s="4" t="s">
        <v>373</v>
      </c>
    </row>
    <row r="114" spans="1:15" ht="15.75" customHeight="1">
      <c r="A114" s="4" t="s">
        <v>49</v>
      </c>
      <c r="B114" s="4">
        <v>112478</v>
      </c>
      <c r="C114" s="4">
        <v>112960</v>
      </c>
      <c r="E114" s="4" t="s">
        <v>50</v>
      </c>
      <c r="F114" s="4" t="s">
        <v>51</v>
      </c>
      <c r="I114" s="4" t="s">
        <v>52</v>
      </c>
      <c r="L114" s="4" t="s">
        <v>374</v>
      </c>
      <c r="M114" s="4" t="s">
        <v>51</v>
      </c>
      <c r="N114" s="4">
        <v>160</v>
      </c>
      <c r="O114" s="4" t="s">
        <v>375</v>
      </c>
    </row>
    <row r="115" spans="1:15" ht="15.75" customHeight="1">
      <c r="A115" s="4" t="s">
        <v>49</v>
      </c>
      <c r="B115" s="4">
        <v>112960</v>
      </c>
      <c r="C115" s="4">
        <v>113601</v>
      </c>
      <c r="E115" s="4" t="s">
        <v>50</v>
      </c>
      <c r="F115" s="4" t="s">
        <v>376</v>
      </c>
      <c r="I115" s="4" t="s">
        <v>52</v>
      </c>
      <c r="L115" s="4" t="s">
        <v>377</v>
      </c>
      <c r="M115" s="4" t="s">
        <v>376</v>
      </c>
      <c r="N115" s="4">
        <v>213</v>
      </c>
      <c r="O115" s="4" t="s">
        <v>378</v>
      </c>
    </row>
    <row r="116" spans="1:15" ht="15.75" customHeight="1">
      <c r="A116" s="4" t="s">
        <v>49</v>
      </c>
      <c r="B116" s="4">
        <v>113792</v>
      </c>
      <c r="C116" s="4">
        <v>114370</v>
      </c>
      <c r="E116" s="4" t="s">
        <v>50</v>
      </c>
      <c r="F116" s="4" t="s">
        <v>379</v>
      </c>
      <c r="I116" s="4" t="s">
        <v>52</v>
      </c>
      <c r="L116" s="4" t="s">
        <v>380</v>
      </c>
      <c r="M116" s="4" t="s">
        <v>379</v>
      </c>
      <c r="N116" s="4">
        <v>192</v>
      </c>
      <c r="O116" s="4" t="s">
        <v>381</v>
      </c>
    </row>
    <row r="117" spans="1:15" ht="15.75" customHeight="1">
      <c r="A117" s="4" t="s">
        <v>49</v>
      </c>
      <c r="B117" s="4">
        <v>114377</v>
      </c>
      <c r="C117" s="4">
        <v>115705</v>
      </c>
      <c r="E117" s="4" t="s">
        <v>50</v>
      </c>
      <c r="F117" s="4" t="s">
        <v>382</v>
      </c>
      <c r="I117" s="4" t="s">
        <v>52</v>
      </c>
      <c r="L117" s="4" t="s">
        <v>383</v>
      </c>
      <c r="M117" s="4" t="s">
        <v>382</v>
      </c>
      <c r="N117" s="4">
        <v>442</v>
      </c>
      <c r="O117" s="4" t="s">
        <v>384</v>
      </c>
    </row>
    <row r="118" spans="1:15" ht="15.75" customHeight="1">
      <c r="A118" s="4" t="s">
        <v>49</v>
      </c>
      <c r="B118" s="4">
        <v>115726</v>
      </c>
      <c r="C118" s="4">
        <v>116835</v>
      </c>
      <c r="E118" s="4" t="s">
        <v>50</v>
      </c>
      <c r="F118" s="4" t="s">
        <v>385</v>
      </c>
      <c r="I118" s="4" t="s">
        <v>52</v>
      </c>
      <c r="L118" s="4" t="s">
        <v>386</v>
      </c>
      <c r="M118" s="4" t="s">
        <v>385</v>
      </c>
      <c r="N118" s="4">
        <v>369</v>
      </c>
      <c r="O118" s="4" t="s">
        <v>387</v>
      </c>
    </row>
    <row r="119" spans="1:15" ht="15.75" customHeight="1">
      <c r="A119" s="4" t="s">
        <v>49</v>
      </c>
      <c r="B119" s="4">
        <v>116905</v>
      </c>
      <c r="C119" s="4">
        <v>118200</v>
      </c>
      <c r="E119" s="4" t="s">
        <v>50</v>
      </c>
      <c r="F119" s="4" t="s">
        <v>388</v>
      </c>
      <c r="G119" s="4" t="s">
        <v>389</v>
      </c>
      <c r="I119" s="4" t="s">
        <v>52</v>
      </c>
      <c r="L119" s="4" t="s">
        <v>390</v>
      </c>
      <c r="M119" s="4" t="s">
        <v>388</v>
      </c>
      <c r="N119" s="4">
        <v>431</v>
      </c>
      <c r="O119" s="4" t="s">
        <v>391</v>
      </c>
    </row>
    <row r="120" spans="1:15" ht="15.75" customHeight="1">
      <c r="A120" s="4" t="s">
        <v>49</v>
      </c>
      <c r="B120" s="4">
        <v>118322</v>
      </c>
      <c r="C120" s="4">
        <v>118891</v>
      </c>
      <c r="E120" s="4" t="s">
        <v>55</v>
      </c>
      <c r="F120" s="4" t="s">
        <v>392</v>
      </c>
      <c r="I120" s="4" t="s">
        <v>52</v>
      </c>
      <c r="L120" s="4" t="s">
        <v>393</v>
      </c>
      <c r="M120" s="4" t="s">
        <v>392</v>
      </c>
      <c r="N120" s="4">
        <v>189</v>
      </c>
      <c r="O120" s="4" t="s">
        <v>394</v>
      </c>
    </row>
    <row r="121" spans="1:15" ht="15.75" customHeight="1">
      <c r="A121" s="4" t="s">
        <v>49</v>
      </c>
      <c r="B121" s="4">
        <v>118901</v>
      </c>
      <c r="C121" s="4">
        <v>119647</v>
      </c>
      <c r="E121" s="4" t="s">
        <v>55</v>
      </c>
      <c r="F121" s="4" t="s">
        <v>56</v>
      </c>
      <c r="I121" s="4" t="s">
        <v>52</v>
      </c>
      <c r="L121" s="4" t="s">
        <v>395</v>
      </c>
      <c r="M121" s="4" t="s">
        <v>56</v>
      </c>
      <c r="N121" s="4">
        <v>248</v>
      </c>
      <c r="O121" s="4" t="s">
        <v>396</v>
      </c>
    </row>
    <row r="122" spans="1:15" ht="15.75" customHeight="1">
      <c r="A122" s="4" t="s">
        <v>49</v>
      </c>
      <c r="B122" s="4">
        <v>119733</v>
      </c>
      <c r="C122" s="4">
        <v>121988</v>
      </c>
      <c r="E122" s="4" t="s">
        <v>55</v>
      </c>
      <c r="F122" s="4" t="s">
        <v>397</v>
      </c>
      <c r="I122" s="4" t="s">
        <v>52</v>
      </c>
      <c r="L122" s="4" t="s">
        <v>398</v>
      </c>
      <c r="M122" s="4" t="s">
        <v>397</v>
      </c>
      <c r="N122" s="4">
        <v>751</v>
      </c>
      <c r="O122" s="4" t="s">
        <v>399</v>
      </c>
    </row>
    <row r="123" spans="1:15" ht="15.75" customHeight="1">
      <c r="A123" s="4" t="s">
        <v>49</v>
      </c>
      <c r="B123" s="4">
        <v>122454</v>
      </c>
      <c r="C123" s="4">
        <v>123059</v>
      </c>
      <c r="E123" s="4" t="s">
        <v>50</v>
      </c>
      <c r="F123" s="4" t="s">
        <v>138</v>
      </c>
      <c r="I123" s="4" t="s">
        <v>52</v>
      </c>
      <c r="L123" s="4" t="s">
        <v>400</v>
      </c>
      <c r="M123" s="4" t="s">
        <v>138</v>
      </c>
      <c r="N123" s="4">
        <v>201</v>
      </c>
      <c r="O123" s="4" t="s">
        <v>401</v>
      </c>
    </row>
    <row r="124" spans="1:15" ht="15.75" customHeight="1">
      <c r="A124" s="4" t="s">
        <v>49</v>
      </c>
      <c r="B124" s="4">
        <v>123231</v>
      </c>
      <c r="C124" s="4">
        <v>124088</v>
      </c>
      <c r="E124" s="4" t="s">
        <v>50</v>
      </c>
      <c r="F124" s="4" t="s">
        <v>402</v>
      </c>
      <c r="I124" s="4" t="s">
        <v>52</v>
      </c>
      <c r="L124" s="4" t="s">
        <v>403</v>
      </c>
      <c r="M124" s="4" t="s">
        <v>402</v>
      </c>
      <c r="N124" s="4">
        <v>285</v>
      </c>
      <c r="O124" s="4" t="s">
        <v>404</v>
      </c>
    </row>
    <row r="125" spans="1:15" ht="15.75" customHeight="1">
      <c r="A125" s="4" t="s">
        <v>49</v>
      </c>
      <c r="B125" s="4">
        <v>124302</v>
      </c>
      <c r="C125" s="4">
        <v>125642</v>
      </c>
      <c r="E125" s="4" t="s">
        <v>50</v>
      </c>
      <c r="F125" s="4" t="s">
        <v>405</v>
      </c>
      <c r="I125" s="4" t="s">
        <v>52</v>
      </c>
      <c r="L125" s="4" t="s">
        <v>406</v>
      </c>
      <c r="M125" s="4" t="s">
        <v>405</v>
      </c>
      <c r="N125" s="4">
        <v>446</v>
      </c>
      <c r="O125" s="4" t="s">
        <v>407</v>
      </c>
    </row>
    <row r="126" spans="1:15" ht="15.75" customHeight="1">
      <c r="A126" s="4" t="s">
        <v>49</v>
      </c>
      <c r="B126" s="4">
        <v>126001</v>
      </c>
      <c r="C126" s="4">
        <v>126780</v>
      </c>
      <c r="E126" s="4" t="s">
        <v>55</v>
      </c>
      <c r="F126" s="4" t="s">
        <v>408</v>
      </c>
      <c r="I126" s="4" t="s">
        <v>52</v>
      </c>
      <c r="L126" s="4" t="s">
        <v>409</v>
      </c>
      <c r="M126" s="4" t="s">
        <v>408</v>
      </c>
      <c r="N126" s="4">
        <v>259</v>
      </c>
      <c r="O126" s="4" t="s">
        <v>410</v>
      </c>
    </row>
    <row r="127" spans="1:15" ht="15.75" customHeight="1">
      <c r="A127" s="4" t="s">
        <v>49</v>
      </c>
      <c r="B127" s="4">
        <v>126882</v>
      </c>
      <c r="C127" s="4">
        <v>127169</v>
      </c>
      <c r="E127" s="4" t="s">
        <v>55</v>
      </c>
      <c r="F127" s="4" t="s">
        <v>411</v>
      </c>
      <c r="I127" s="4" t="s">
        <v>52</v>
      </c>
      <c r="L127" s="4" t="s">
        <v>412</v>
      </c>
      <c r="M127" s="4" t="s">
        <v>411</v>
      </c>
      <c r="N127" s="4">
        <v>95</v>
      </c>
      <c r="O127" s="4" t="s">
        <v>413</v>
      </c>
    </row>
    <row r="128" spans="1:15" ht="15.75" customHeight="1">
      <c r="A128" s="4" t="s">
        <v>49</v>
      </c>
      <c r="B128" s="4">
        <v>127352</v>
      </c>
      <c r="C128" s="4">
        <v>127882</v>
      </c>
      <c r="E128" s="4" t="s">
        <v>55</v>
      </c>
      <c r="F128" s="4" t="s">
        <v>56</v>
      </c>
      <c r="I128" s="4" t="s">
        <v>52</v>
      </c>
      <c r="L128" s="4" t="s">
        <v>414</v>
      </c>
      <c r="M128" s="4" t="s">
        <v>56</v>
      </c>
      <c r="N128" s="4">
        <v>176</v>
      </c>
      <c r="O128" s="4" t="s">
        <v>415</v>
      </c>
    </row>
    <row r="129" spans="1:15" ht="15.75" customHeight="1">
      <c r="A129" s="4" t="s">
        <v>49</v>
      </c>
      <c r="B129" s="4">
        <v>127963</v>
      </c>
      <c r="C129" s="4">
        <v>128814</v>
      </c>
      <c r="E129" s="4" t="s">
        <v>55</v>
      </c>
      <c r="F129" s="4" t="s">
        <v>416</v>
      </c>
      <c r="I129" s="4" t="s">
        <v>52</v>
      </c>
      <c r="L129" s="4" t="s">
        <v>417</v>
      </c>
      <c r="M129" s="4" t="s">
        <v>416</v>
      </c>
      <c r="N129" s="4">
        <v>283</v>
      </c>
      <c r="O129" s="4" t="s">
        <v>418</v>
      </c>
    </row>
    <row r="130" spans="1:15" ht="15.75" customHeight="1">
      <c r="A130" s="4" t="s">
        <v>49</v>
      </c>
      <c r="B130" s="4">
        <v>128811</v>
      </c>
      <c r="C130" s="4">
        <v>129560</v>
      </c>
      <c r="E130" s="4" t="s">
        <v>55</v>
      </c>
      <c r="F130" s="4" t="s">
        <v>56</v>
      </c>
      <c r="I130" s="4" t="s">
        <v>52</v>
      </c>
      <c r="L130" s="4" t="s">
        <v>419</v>
      </c>
      <c r="M130" s="4" t="s">
        <v>56</v>
      </c>
      <c r="N130" s="4">
        <v>249</v>
      </c>
      <c r="O130" s="4" t="s">
        <v>420</v>
      </c>
    </row>
    <row r="131" spans="1:15" ht="15.75" customHeight="1">
      <c r="A131" s="4" t="s">
        <v>49</v>
      </c>
      <c r="B131" s="4">
        <v>129698</v>
      </c>
      <c r="C131" s="4">
        <v>130861</v>
      </c>
      <c r="E131" s="4" t="s">
        <v>55</v>
      </c>
      <c r="F131" s="4" t="s">
        <v>421</v>
      </c>
      <c r="I131" s="4" t="s">
        <v>52</v>
      </c>
      <c r="L131" s="4" t="s">
        <v>422</v>
      </c>
      <c r="M131" s="4" t="s">
        <v>421</v>
      </c>
      <c r="N131" s="4">
        <v>387</v>
      </c>
      <c r="O131" s="4" t="s">
        <v>423</v>
      </c>
    </row>
    <row r="132" spans="1:15" ht="15.75" customHeight="1">
      <c r="A132" s="4" t="s">
        <v>49</v>
      </c>
      <c r="B132" s="4">
        <v>131248</v>
      </c>
      <c r="C132" s="4">
        <v>132165</v>
      </c>
      <c r="E132" s="4" t="s">
        <v>50</v>
      </c>
      <c r="F132" s="4" t="s">
        <v>289</v>
      </c>
      <c r="I132" s="4" t="s">
        <v>52</v>
      </c>
      <c r="L132" s="4" t="s">
        <v>424</v>
      </c>
      <c r="M132" s="4" t="s">
        <v>289</v>
      </c>
      <c r="N132" s="4">
        <v>305</v>
      </c>
      <c r="O132" s="4" t="s">
        <v>425</v>
      </c>
    </row>
    <row r="133" spans="1:15" ht="15.75" customHeight="1">
      <c r="A133" s="4" t="s">
        <v>49</v>
      </c>
      <c r="B133" s="4">
        <v>132278</v>
      </c>
      <c r="C133" s="4">
        <v>132745</v>
      </c>
      <c r="E133" s="4" t="s">
        <v>50</v>
      </c>
      <c r="F133" s="4" t="s">
        <v>426</v>
      </c>
      <c r="I133" s="4" t="s">
        <v>52</v>
      </c>
      <c r="L133" s="4" t="s">
        <v>427</v>
      </c>
      <c r="M133" s="4" t="s">
        <v>426</v>
      </c>
      <c r="N133" s="4">
        <v>155</v>
      </c>
      <c r="O133" s="4" t="s">
        <v>428</v>
      </c>
    </row>
    <row r="134" spans="1:15" ht="15.75" customHeight="1">
      <c r="A134" s="4" t="s">
        <v>49</v>
      </c>
      <c r="B134" s="4">
        <v>132898</v>
      </c>
      <c r="C134" s="4">
        <v>132969</v>
      </c>
      <c r="E134" s="4" t="s">
        <v>50</v>
      </c>
      <c r="F134" s="4" t="s">
        <v>429</v>
      </c>
      <c r="I134" s="4" t="s">
        <v>302</v>
      </c>
      <c r="O134" s="4" t="s">
        <v>430</v>
      </c>
    </row>
    <row r="135" spans="1:15" ht="15.75" customHeight="1">
      <c r="A135" s="4" t="s">
        <v>49</v>
      </c>
      <c r="B135" s="4">
        <v>133274</v>
      </c>
      <c r="C135" s="4">
        <v>133447</v>
      </c>
      <c r="E135" s="4" t="s">
        <v>55</v>
      </c>
      <c r="F135" s="4" t="s">
        <v>56</v>
      </c>
      <c r="I135" s="4" t="s">
        <v>52</v>
      </c>
      <c r="L135" s="4" t="s">
        <v>431</v>
      </c>
      <c r="M135" s="4" t="s">
        <v>56</v>
      </c>
      <c r="N135" s="4">
        <v>57</v>
      </c>
      <c r="O135" s="4" t="s">
        <v>432</v>
      </c>
    </row>
    <row r="136" spans="1:15" ht="15.75" customHeight="1">
      <c r="A136" s="4" t="s">
        <v>49</v>
      </c>
      <c r="B136" s="4">
        <v>133639</v>
      </c>
      <c r="C136" s="4">
        <v>134121</v>
      </c>
      <c r="E136" s="4" t="s">
        <v>55</v>
      </c>
      <c r="F136" s="4" t="s">
        <v>433</v>
      </c>
      <c r="I136" s="4" t="s">
        <v>52</v>
      </c>
      <c r="L136" s="4" t="s">
        <v>434</v>
      </c>
      <c r="M136" s="4" t="s">
        <v>433</v>
      </c>
      <c r="N136" s="4">
        <v>160</v>
      </c>
      <c r="O136" s="4" t="s">
        <v>435</v>
      </c>
    </row>
    <row r="137" spans="1:15" ht="15.75" customHeight="1">
      <c r="A137" s="4" t="s">
        <v>49</v>
      </c>
      <c r="B137" s="4">
        <v>134322</v>
      </c>
      <c r="C137" s="4">
        <v>134468</v>
      </c>
      <c r="E137" s="4" t="s">
        <v>50</v>
      </c>
      <c r="F137" s="4" t="s">
        <v>56</v>
      </c>
      <c r="I137" s="4" t="s">
        <v>52</v>
      </c>
      <c r="L137" s="4" t="s">
        <v>436</v>
      </c>
      <c r="M137" s="4" t="s">
        <v>56</v>
      </c>
      <c r="N137" s="4">
        <v>48</v>
      </c>
      <c r="O137" s="4" t="s">
        <v>437</v>
      </c>
    </row>
    <row r="138" spans="1:15" ht="15.75" customHeight="1">
      <c r="A138" s="4" t="s">
        <v>49</v>
      </c>
      <c r="B138" s="4">
        <v>134651</v>
      </c>
      <c r="C138" s="4">
        <v>135844</v>
      </c>
      <c r="E138" s="4" t="s">
        <v>55</v>
      </c>
      <c r="F138" s="4" t="s">
        <v>255</v>
      </c>
      <c r="I138" s="4" t="s">
        <v>52</v>
      </c>
      <c r="L138" s="4" t="s">
        <v>438</v>
      </c>
      <c r="M138" s="4" t="s">
        <v>255</v>
      </c>
      <c r="N138" s="4">
        <v>397</v>
      </c>
      <c r="O138" s="4" t="s">
        <v>439</v>
      </c>
    </row>
    <row r="139" spans="1:15" ht="15.75" customHeight="1">
      <c r="A139" s="4" t="s">
        <v>49</v>
      </c>
      <c r="B139" s="4">
        <v>136049</v>
      </c>
      <c r="C139" s="4">
        <v>136651</v>
      </c>
      <c r="E139" s="4" t="s">
        <v>55</v>
      </c>
      <c r="F139" s="4" t="s">
        <v>440</v>
      </c>
      <c r="I139" s="4" t="s">
        <v>52</v>
      </c>
      <c r="L139" s="4" t="s">
        <v>441</v>
      </c>
      <c r="M139" s="4" t="s">
        <v>440</v>
      </c>
      <c r="N139" s="4">
        <v>200</v>
      </c>
      <c r="O139" s="4" t="s">
        <v>442</v>
      </c>
    </row>
    <row r="140" spans="1:15" ht="15.75" customHeight="1">
      <c r="A140" s="4" t="s">
        <v>49</v>
      </c>
      <c r="B140" s="4">
        <v>136771</v>
      </c>
      <c r="C140" s="4">
        <v>138201</v>
      </c>
      <c r="E140" s="4" t="s">
        <v>55</v>
      </c>
      <c r="F140" s="4" t="s">
        <v>443</v>
      </c>
      <c r="I140" s="4" t="s">
        <v>52</v>
      </c>
      <c r="L140" s="4" t="s">
        <v>444</v>
      </c>
      <c r="M140" s="4" t="s">
        <v>443</v>
      </c>
      <c r="N140" s="4">
        <v>476</v>
      </c>
      <c r="O140" s="4" t="s">
        <v>445</v>
      </c>
    </row>
    <row r="141" spans="1:15" ht="15.75" customHeight="1">
      <c r="A141" s="4" t="s">
        <v>49</v>
      </c>
      <c r="B141" s="4">
        <v>138328</v>
      </c>
      <c r="C141" s="4">
        <v>138398</v>
      </c>
      <c r="E141" s="4" t="s">
        <v>50</v>
      </c>
      <c r="F141" s="4" t="s">
        <v>446</v>
      </c>
      <c r="I141" s="4" t="s">
        <v>302</v>
      </c>
      <c r="O141" s="4" t="s">
        <v>447</v>
      </c>
    </row>
    <row r="142" spans="1:15" ht="15.75" customHeight="1">
      <c r="A142" s="4" t="s">
        <v>49</v>
      </c>
      <c r="B142" s="4">
        <v>138686</v>
      </c>
      <c r="C142" s="4">
        <v>139657</v>
      </c>
      <c r="E142" s="4" t="s">
        <v>55</v>
      </c>
      <c r="F142" s="4" t="s">
        <v>448</v>
      </c>
      <c r="I142" s="4" t="s">
        <v>52</v>
      </c>
      <c r="L142" s="4" t="s">
        <v>449</v>
      </c>
      <c r="M142" s="4" t="s">
        <v>448</v>
      </c>
      <c r="N142" s="4">
        <v>323</v>
      </c>
      <c r="O142" s="4" t="s">
        <v>450</v>
      </c>
    </row>
    <row r="143" spans="1:15" ht="15.75" customHeight="1">
      <c r="A143" s="4" t="s">
        <v>49</v>
      </c>
      <c r="B143" s="4">
        <v>139761</v>
      </c>
      <c r="C143" s="4">
        <v>140327</v>
      </c>
      <c r="E143" s="4" t="s">
        <v>55</v>
      </c>
      <c r="F143" s="4" t="s">
        <v>56</v>
      </c>
      <c r="I143" s="4" t="s">
        <v>52</v>
      </c>
      <c r="L143" s="4" t="s">
        <v>451</v>
      </c>
      <c r="M143" s="4" t="s">
        <v>56</v>
      </c>
      <c r="N143" s="4">
        <v>188</v>
      </c>
      <c r="O143" s="4" t="s">
        <v>452</v>
      </c>
    </row>
    <row r="144" spans="1:15" ht="15.75" customHeight="1">
      <c r="A144" s="4" t="s">
        <v>49</v>
      </c>
      <c r="B144" s="4">
        <v>140545</v>
      </c>
      <c r="C144" s="4">
        <v>140745</v>
      </c>
      <c r="E144" s="4" t="s">
        <v>55</v>
      </c>
      <c r="F144" s="4" t="s">
        <v>56</v>
      </c>
      <c r="I144" s="4" t="s">
        <v>52</v>
      </c>
      <c r="L144" s="4" t="s">
        <v>453</v>
      </c>
      <c r="M144" s="4" t="s">
        <v>56</v>
      </c>
      <c r="N144" s="4">
        <v>66</v>
      </c>
      <c r="O144" s="4" t="s">
        <v>454</v>
      </c>
    </row>
    <row r="145" spans="1:15" ht="15.75" customHeight="1">
      <c r="A145" s="4" t="s">
        <v>49</v>
      </c>
      <c r="B145" s="4">
        <v>140765</v>
      </c>
      <c r="C145" s="4">
        <v>141319</v>
      </c>
      <c r="E145" s="4" t="s">
        <v>55</v>
      </c>
      <c r="F145" s="4" t="s">
        <v>56</v>
      </c>
      <c r="I145" s="4" t="s">
        <v>52</v>
      </c>
      <c r="L145" s="4" t="s">
        <v>455</v>
      </c>
      <c r="M145" s="4" t="s">
        <v>56</v>
      </c>
      <c r="N145" s="4">
        <v>184</v>
      </c>
      <c r="O145" s="4" t="s">
        <v>456</v>
      </c>
    </row>
    <row r="146" spans="1:15" ht="15.75" customHeight="1">
      <c r="A146" s="4" t="s">
        <v>49</v>
      </c>
      <c r="B146" s="4">
        <v>141426</v>
      </c>
      <c r="C146" s="4">
        <v>141737</v>
      </c>
      <c r="E146" s="4" t="s">
        <v>55</v>
      </c>
      <c r="F146" s="4" t="s">
        <v>56</v>
      </c>
      <c r="I146" s="4" t="s">
        <v>52</v>
      </c>
      <c r="L146" s="4" t="s">
        <v>457</v>
      </c>
      <c r="M146" s="4" t="s">
        <v>56</v>
      </c>
      <c r="N146" s="4">
        <v>103</v>
      </c>
      <c r="O146" s="4" t="s">
        <v>458</v>
      </c>
    </row>
    <row r="147" spans="1:15" ht="15.75" customHeight="1">
      <c r="A147" s="4" t="s">
        <v>49</v>
      </c>
      <c r="B147" s="4">
        <v>142103</v>
      </c>
      <c r="C147" s="4">
        <v>143509</v>
      </c>
      <c r="E147" s="4" t="s">
        <v>55</v>
      </c>
      <c r="F147" s="4" t="s">
        <v>459</v>
      </c>
      <c r="I147" s="4" t="s">
        <v>52</v>
      </c>
      <c r="L147" s="4" t="s">
        <v>460</v>
      </c>
      <c r="M147" s="4" t="s">
        <v>459</v>
      </c>
      <c r="N147" s="4">
        <v>468</v>
      </c>
      <c r="O147" s="4" t="s">
        <v>461</v>
      </c>
    </row>
    <row r="148" spans="1:15" ht="15.75" customHeight="1">
      <c r="A148" s="4" t="s">
        <v>49</v>
      </c>
      <c r="B148" s="4">
        <v>143509</v>
      </c>
      <c r="C148" s="4">
        <v>144330</v>
      </c>
      <c r="E148" s="4" t="s">
        <v>55</v>
      </c>
      <c r="F148" s="4" t="s">
        <v>462</v>
      </c>
      <c r="I148" s="4" t="s">
        <v>52</v>
      </c>
      <c r="L148" s="4" t="s">
        <v>463</v>
      </c>
      <c r="M148" s="4" t="s">
        <v>462</v>
      </c>
      <c r="N148" s="4">
        <v>273</v>
      </c>
      <c r="O148" s="4" t="s">
        <v>464</v>
      </c>
    </row>
    <row r="149" spans="1:15" ht="15.75" customHeight="1">
      <c r="A149" s="4" t="s">
        <v>49</v>
      </c>
      <c r="B149" s="4">
        <v>144330</v>
      </c>
      <c r="C149" s="4">
        <v>144566</v>
      </c>
      <c r="E149" s="4" t="s">
        <v>55</v>
      </c>
      <c r="F149" s="4" t="s">
        <v>56</v>
      </c>
      <c r="I149" s="4" t="s">
        <v>52</v>
      </c>
      <c r="L149" s="4" t="s">
        <v>465</v>
      </c>
      <c r="M149" s="4" t="s">
        <v>56</v>
      </c>
      <c r="N149" s="4">
        <v>78</v>
      </c>
      <c r="O149" s="4" t="s">
        <v>466</v>
      </c>
    </row>
    <row r="150" spans="1:15" ht="15.75" customHeight="1">
      <c r="A150" s="4" t="s">
        <v>49</v>
      </c>
      <c r="B150" s="4">
        <v>144548</v>
      </c>
      <c r="C150" s="4">
        <v>144811</v>
      </c>
      <c r="E150" s="4" t="s">
        <v>55</v>
      </c>
      <c r="F150" s="4" t="s">
        <v>56</v>
      </c>
      <c r="I150" s="4" t="s">
        <v>52</v>
      </c>
      <c r="L150" s="4" t="s">
        <v>467</v>
      </c>
      <c r="M150" s="4" t="s">
        <v>56</v>
      </c>
      <c r="N150" s="4">
        <v>87</v>
      </c>
      <c r="O150" s="4" t="s">
        <v>468</v>
      </c>
    </row>
    <row r="151" spans="1:15" ht="15.75" customHeight="1">
      <c r="A151" s="4" t="s">
        <v>49</v>
      </c>
      <c r="B151" s="4">
        <v>144823</v>
      </c>
      <c r="C151" s="4">
        <v>145050</v>
      </c>
      <c r="E151" s="4" t="s">
        <v>55</v>
      </c>
      <c r="F151" s="4" t="s">
        <v>56</v>
      </c>
      <c r="I151" s="4" t="s">
        <v>52</v>
      </c>
      <c r="L151" s="4" t="s">
        <v>469</v>
      </c>
      <c r="M151" s="4" t="s">
        <v>56</v>
      </c>
      <c r="N151" s="4">
        <v>75</v>
      </c>
      <c r="O151" s="4" t="s">
        <v>470</v>
      </c>
    </row>
    <row r="152" spans="1:15" ht="15.75" customHeight="1">
      <c r="A152" s="4" t="s">
        <v>49</v>
      </c>
      <c r="B152" s="4">
        <v>145141</v>
      </c>
      <c r="C152" s="4">
        <v>145287</v>
      </c>
      <c r="E152" s="4" t="s">
        <v>55</v>
      </c>
      <c r="F152" s="4" t="s">
        <v>56</v>
      </c>
      <c r="I152" s="4" t="s">
        <v>52</v>
      </c>
      <c r="L152" s="4" t="s">
        <v>471</v>
      </c>
      <c r="M152" s="4" t="s">
        <v>56</v>
      </c>
      <c r="N152" s="4">
        <v>48</v>
      </c>
      <c r="O152" s="4" t="s">
        <v>472</v>
      </c>
    </row>
    <row r="153" spans="1:15" ht="15.75" customHeight="1">
      <c r="A153" s="4" t="s">
        <v>49</v>
      </c>
      <c r="B153" s="4">
        <v>145383</v>
      </c>
      <c r="C153" s="4">
        <v>145658</v>
      </c>
      <c r="E153" s="4" t="s">
        <v>55</v>
      </c>
      <c r="F153" s="4" t="s">
        <v>92</v>
      </c>
      <c r="I153" s="4" t="s">
        <v>52</v>
      </c>
      <c r="L153" s="4" t="s">
        <v>473</v>
      </c>
      <c r="M153" s="4" t="s">
        <v>92</v>
      </c>
      <c r="N153" s="4">
        <v>91</v>
      </c>
      <c r="O153" s="4" t="s">
        <v>474</v>
      </c>
    </row>
    <row r="154" spans="1:15" ht="15.75" customHeight="1">
      <c r="A154" s="4" t="s">
        <v>49</v>
      </c>
      <c r="B154" s="4">
        <v>145726</v>
      </c>
      <c r="C154" s="4">
        <v>146646</v>
      </c>
      <c r="E154" s="4" t="s">
        <v>55</v>
      </c>
      <c r="F154" s="4" t="s">
        <v>475</v>
      </c>
      <c r="I154" s="4" t="s">
        <v>52</v>
      </c>
      <c r="L154" s="4" t="s">
        <v>476</v>
      </c>
      <c r="M154" s="4" t="s">
        <v>475</v>
      </c>
      <c r="N154" s="4">
        <v>306</v>
      </c>
      <c r="O154" s="4" t="s">
        <v>477</v>
      </c>
    </row>
    <row r="155" spans="1:15" ht="15.75" customHeight="1">
      <c r="A155" s="4" t="s">
        <v>49</v>
      </c>
      <c r="B155" s="4">
        <v>146715</v>
      </c>
      <c r="C155" s="4">
        <v>146918</v>
      </c>
      <c r="E155" s="4" t="s">
        <v>55</v>
      </c>
      <c r="F155" s="4" t="s">
        <v>478</v>
      </c>
      <c r="I155" s="4" t="s">
        <v>52</v>
      </c>
      <c r="L155" s="4" t="s">
        <v>479</v>
      </c>
      <c r="M155" s="4" t="s">
        <v>478</v>
      </c>
      <c r="N155" s="4">
        <v>67</v>
      </c>
      <c r="O155" s="4" t="s">
        <v>480</v>
      </c>
    </row>
    <row r="156" spans="1:15" ht="15.75" customHeight="1">
      <c r="A156" s="4" t="s">
        <v>49</v>
      </c>
      <c r="B156" s="4">
        <v>147040</v>
      </c>
      <c r="C156" s="4">
        <v>147612</v>
      </c>
      <c r="E156" s="4" t="s">
        <v>50</v>
      </c>
      <c r="F156" s="4" t="s">
        <v>92</v>
      </c>
      <c r="I156" s="4" t="s">
        <v>52</v>
      </c>
      <c r="L156" s="4" t="s">
        <v>481</v>
      </c>
      <c r="M156" s="4" t="s">
        <v>92</v>
      </c>
      <c r="N156" s="4">
        <v>190</v>
      </c>
      <c r="O156" s="4" t="s">
        <v>482</v>
      </c>
    </row>
    <row r="157" spans="1:15" ht="15.75" customHeight="1">
      <c r="A157" s="4" t="s">
        <v>49</v>
      </c>
      <c r="B157" s="4">
        <v>147862</v>
      </c>
      <c r="C157" s="4">
        <v>149013</v>
      </c>
      <c r="E157" s="4" t="s">
        <v>50</v>
      </c>
      <c r="F157" s="4" t="s">
        <v>483</v>
      </c>
      <c r="I157" s="4" t="s">
        <v>52</v>
      </c>
      <c r="L157" s="4" t="s">
        <v>484</v>
      </c>
      <c r="M157" s="4" t="s">
        <v>483</v>
      </c>
      <c r="N157" s="4">
        <v>383</v>
      </c>
      <c r="O157" s="4" t="s">
        <v>485</v>
      </c>
    </row>
    <row r="158" spans="1:15" ht="15.75" customHeight="1">
      <c r="A158" s="4" t="s">
        <v>49</v>
      </c>
      <c r="B158" s="4">
        <v>149024</v>
      </c>
      <c r="C158" s="4">
        <v>149269</v>
      </c>
      <c r="E158" s="4" t="s">
        <v>50</v>
      </c>
      <c r="F158" s="4" t="s">
        <v>56</v>
      </c>
      <c r="I158" s="4" t="s">
        <v>52</v>
      </c>
      <c r="L158" s="4" t="s">
        <v>486</v>
      </c>
      <c r="M158" s="4" t="s">
        <v>56</v>
      </c>
      <c r="N158" s="4">
        <v>81</v>
      </c>
      <c r="O158" s="4" t="s">
        <v>487</v>
      </c>
    </row>
    <row r="159" spans="1:15" ht="15.75" customHeight="1">
      <c r="A159" s="4" t="s">
        <v>49</v>
      </c>
      <c r="B159" s="4">
        <v>149480</v>
      </c>
      <c r="C159" s="4">
        <v>149665</v>
      </c>
      <c r="E159" s="4" t="s">
        <v>55</v>
      </c>
      <c r="F159" s="4" t="s">
        <v>56</v>
      </c>
      <c r="I159" s="4" t="s">
        <v>52</v>
      </c>
      <c r="L159" s="4" t="s">
        <v>488</v>
      </c>
      <c r="M159" s="4" t="s">
        <v>56</v>
      </c>
      <c r="N159" s="4">
        <v>61</v>
      </c>
      <c r="O159" s="4" t="s">
        <v>489</v>
      </c>
    </row>
    <row r="160" spans="1:15" ht="15.75" customHeight="1">
      <c r="A160" s="4" t="s">
        <v>49</v>
      </c>
      <c r="B160" s="4">
        <v>149658</v>
      </c>
      <c r="C160" s="4">
        <v>149993</v>
      </c>
      <c r="E160" s="4" t="s">
        <v>55</v>
      </c>
      <c r="F160" s="4" t="s">
        <v>56</v>
      </c>
      <c r="I160" s="4" t="s">
        <v>52</v>
      </c>
      <c r="L160" s="4" t="s">
        <v>490</v>
      </c>
      <c r="M160" s="4" t="s">
        <v>56</v>
      </c>
      <c r="N160" s="4">
        <v>111</v>
      </c>
      <c r="O160" s="4" t="s">
        <v>491</v>
      </c>
    </row>
    <row r="161" spans="1:15" ht="15.75" customHeight="1">
      <c r="A161" s="4" t="s">
        <v>49</v>
      </c>
      <c r="B161" s="4">
        <v>150144</v>
      </c>
      <c r="C161" s="4">
        <v>150866</v>
      </c>
      <c r="E161" s="4" t="s">
        <v>50</v>
      </c>
      <c r="F161" s="4" t="s">
        <v>345</v>
      </c>
      <c r="I161" s="4" t="s">
        <v>346</v>
      </c>
      <c r="O161" s="4" t="s">
        <v>492</v>
      </c>
    </row>
    <row r="162" spans="1:15" ht="15.75" customHeight="1">
      <c r="A162" s="4" t="s">
        <v>49</v>
      </c>
      <c r="B162" s="4">
        <v>151050</v>
      </c>
      <c r="C162" s="4">
        <v>151700</v>
      </c>
      <c r="E162" s="4" t="s">
        <v>50</v>
      </c>
      <c r="F162" s="4" t="s">
        <v>493</v>
      </c>
      <c r="I162" s="4" t="s">
        <v>52</v>
      </c>
      <c r="L162" s="4" t="s">
        <v>494</v>
      </c>
      <c r="M162" s="4" t="s">
        <v>493</v>
      </c>
      <c r="N162" s="4">
        <v>216</v>
      </c>
      <c r="O162" s="4" t="s">
        <v>495</v>
      </c>
    </row>
    <row r="163" spans="1:15" ht="15.75" customHeight="1">
      <c r="A163" s="4" t="s">
        <v>49</v>
      </c>
      <c r="B163" s="4">
        <v>151757</v>
      </c>
      <c r="C163" s="4">
        <v>153487</v>
      </c>
      <c r="E163" s="4" t="s">
        <v>50</v>
      </c>
      <c r="F163" s="4" t="s">
        <v>73</v>
      </c>
      <c r="I163" s="4" t="s">
        <v>52</v>
      </c>
      <c r="L163" s="4" t="s">
        <v>496</v>
      </c>
      <c r="M163" s="4" t="s">
        <v>73</v>
      </c>
      <c r="N163" s="4">
        <v>576</v>
      </c>
      <c r="O163" s="4" t="s">
        <v>497</v>
      </c>
    </row>
    <row r="164" spans="1:15" ht="15.75" customHeight="1">
      <c r="A164" s="4" t="s">
        <v>49</v>
      </c>
      <c r="B164" s="4">
        <v>153487</v>
      </c>
      <c r="C164" s="4">
        <v>155373</v>
      </c>
      <c r="E164" s="4" t="s">
        <v>50</v>
      </c>
      <c r="F164" s="4" t="s">
        <v>73</v>
      </c>
      <c r="I164" s="4" t="s">
        <v>52</v>
      </c>
      <c r="L164" s="4" t="s">
        <v>498</v>
      </c>
      <c r="M164" s="4" t="s">
        <v>73</v>
      </c>
      <c r="N164" s="4">
        <v>628</v>
      </c>
      <c r="O164" s="4" t="s">
        <v>499</v>
      </c>
    </row>
    <row r="165" spans="1:15" ht="15.75" customHeight="1">
      <c r="A165" s="4" t="s">
        <v>49</v>
      </c>
      <c r="B165" s="4">
        <v>155780</v>
      </c>
      <c r="C165" s="4">
        <v>156538</v>
      </c>
      <c r="E165" s="4" t="s">
        <v>55</v>
      </c>
      <c r="F165" s="4" t="s">
        <v>500</v>
      </c>
      <c r="I165" s="4" t="s">
        <v>52</v>
      </c>
      <c r="L165" s="4" t="s">
        <v>501</v>
      </c>
      <c r="M165" s="4" t="s">
        <v>500</v>
      </c>
      <c r="N165" s="4">
        <v>252</v>
      </c>
      <c r="O165" s="4" t="s">
        <v>502</v>
      </c>
    </row>
    <row r="166" spans="1:15" ht="15.75" customHeight="1">
      <c r="A166" s="4" t="s">
        <v>49</v>
      </c>
      <c r="B166" s="4">
        <v>156799</v>
      </c>
      <c r="C166" s="4">
        <v>157665</v>
      </c>
      <c r="E166" s="4" t="s">
        <v>50</v>
      </c>
      <c r="F166" s="4" t="s">
        <v>56</v>
      </c>
      <c r="I166" s="4" t="s">
        <v>52</v>
      </c>
      <c r="L166" s="4" t="s">
        <v>503</v>
      </c>
      <c r="M166" s="4" t="s">
        <v>56</v>
      </c>
      <c r="N166" s="4">
        <v>288</v>
      </c>
      <c r="O166" s="4" t="s">
        <v>504</v>
      </c>
    </row>
    <row r="167" spans="1:15" ht="15.75" customHeight="1">
      <c r="A167" s="4" t="s">
        <v>49</v>
      </c>
      <c r="B167" s="4">
        <v>157704</v>
      </c>
      <c r="C167" s="4">
        <v>158711</v>
      </c>
      <c r="E167" s="4" t="s">
        <v>50</v>
      </c>
      <c r="F167" s="4" t="s">
        <v>505</v>
      </c>
      <c r="I167" s="4" t="s">
        <v>52</v>
      </c>
      <c r="L167" s="4" t="s">
        <v>506</v>
      </c>
      <c r="M167" s="4" t="s">
        <v>505</v>
      </c>
      <c r="N167" s="4">
        <v>335</v>
      </c>
      <c r="O167" s="4" t="s">
        <v>507</v>
      </c>
    </row>
    <row r="168" spans="1:15" ht="15.75" customHeight="1">
      <c r="A168" s="4" t="s">
        <v>49</v>
      </c>
      <c r="B168" s="4">
        <v>159068</v>
      </c>
      <c r="C168" s="4">
        <v>160420</v>
      </c>
      <c r="E168" s="4" t="s">
        <v>55</v>
      </c>
      <c r="F168" s="4" t="s">
        <v>508</v>
      </c>
      <c r="I168" s="4" t="s">
        <v>52</v>
      </c>
      <c r="L168" s="4" t="s">
        <v>509</v>
      </c>
      <c r="M168" s="4" t="s">
        <v>508</v>
      </c>
      <c r="N168" s="4">
        <v>450</v>
      </c>
      <c r="O168" s="4" t="s">
        <v>510</v>
      </c>
    </row>
    <row r="169" spans="1:15" ht="15.75" customHeight="1">
      <c r="A169" s="4" t="s">
        <v>49</v>
      </c>
      <c r="B169" s="4">
        <v>160548</v>
      </c>
      <c r="C169" s="4">
        <v>161138</v>
      </c>
      <c r="E169" s="4" t="s">
        <v>50</v>
      </c>
      <c r="F169" s="4" t="s">
        <v>511</v>
      </c>
      <c r="I169" s="4" t="s">
        <v>52</v>
      </c>
      <c r="L169" s="4" t="s">
        <v>512</v>
      </c>
      <c r="M169" s="4" t="s">
        <v>511</v>
      </c>
      <c r="N169" s="4">
        <v>196</v>
      </c>
      <c r="O169" s="4" t="s">
        <v>513</v>
      </c>
    </row>
    <row r="170" spans="1:15" ht="15.75" customHeight="1">
      <c r="A170" s="4" t="s">
        <v>49</v>
      </c>
      <c r="B170" s="4">
        <v>161236</v>
      </c>
      <c r="C170" s="4">
        <v>162315</v>
      </c>
      <c r="E170" s="4" t="s">
        <v>50</v>
      </c>
      <c r="F170" s="4" t="s">
        <v>514</v>
      </c>
      <c r="G170" s="4" t="s">
        <v>515</v>
      </c>
      <c r="I170" s="4" t="s">
        <v>52</v>
      </c>
      <c r="L170" s="4" t="s">
        <v>516</v>
      </c>
      <c r="M170" s="4" t="s">
        <v>514</v>
      </c>
      <c r="N170" s="4">
        <v>359</v>
      </c>
      <c r="O170" s="4" t="s">
        <v>517</v>
      </c>
    </row>
    <row r="171" spans="1:15" ht="15.75" customHeight="1">
      <c r="A171" s="4" t="s">
        <v>49</v>
      </c>
      <c r="B171" s="4">
        <v>162308</v>
      </c>
      <c r="C171" s="4">
        <v>163138</v>
      </c>
      <c r="E171" s="4" t="s">
        <v>50</v>
      </c>
      <c r="F171" s="4" t="s">
        <v>518</v>
      </c>
      <c r="G171" s="4" t="s">
        <v>519</v>
      </c>
      <c r="I171" s="4" t="s">
        <v>52</v>
      </c>
      <c r="L171" s="4" t="s">
        <v>520</v>
      </c>
      <c r="M171" s="4" t="s">
        <v>518</v>
      </c>
      <c r="N171" s="4">
        <v>276</v>
      </c>
      <c r="O171" s="4" t="s">
        <v>521</v>
      </c>
    </row>
    <row r="172" spans="1:15" ht="15.75" customHeight="1">
      <c r="A172" s="4" t="s">
        <v>49</v>
      </c>
      <c r="B172" s="4">
        <v>163236</v>
      </c>
      <c r="C172" s="4">
        <v>164237</v>
      </c>
      <c r="E172" s="4" t="s">
        <v>50</v>
      </c>
      <c r="F172" s="4" t="s">
        <v>522</v>
      </c>
      <c r="I172" s="4" t="s">
        <v>52</v>
      </c>
      <c r="L172" s="4" t="s">
        <v>523</v>
      </c>
      <c r="M172" s="4" t="s">
        <v>522</v>
      </c>
      <c r="N172" s="4">
        <v>333</v>
      </c>
      <c r="O172" s="4" t="s">
        <v>524</v>
      </c>
    </row>
    <row r="173" spans="1:15" ht="15.75" customHeight="1">
      <c r="A173" s="4" t="s">
        <v>49</v>
      </c>
      <c r="B173" s="4">
        <v>164507</v>
      </c>
      <c r="C173" s="4">
        <v>165739</v>
      </c>
      <c r="E173" s="4" t="s">
        <v>50</v>
      </c>
      <c r="F173" s="4" t="s">
        <v>525</v>
      </c>
      <c r="G173" s="4" t="s">
        <v>526</v>
      </c>
      <c r="I173" s="4" t="s">
        <v>52</v>
      </c>
      <c r="L173" s="4" t="s">
        <v>527</v>
      </c>
      <c r="M173" s="4" t="s">
        <v>525</v>
      </c>
      <c r="N173" s="4">
        <v>410</v>
      </c>
      <c r="O173" s="4" t="s">
        <v>528</v>
      </c>
    </row>
    <row r="174" spans="1:15" ht="15.75" customHeight="1">
      <c r="A174" s="4" t="s">
        <v>49</v>
      </c>
      <c r="B174" s="4">
        <v>165900</v>
      </c>
      <c r="C174" s="4">
        <v>166529</v>
      </c>
      <c r="E174" s="4" t="s">
        <v>50</v>
      </c>
      <c r="F174" s="4" t="s">
        <v>529</v>
      </c>
      <c r="G174" s="4" t="s">
        <v>530</v>
      </c>
      <c r="I174" s="4" t="s">
        <v>52</v>
      </c>
      <c r="L174" s="4" t="s">
        <v>531</v>
      </c>
      <c r="M174" s="4" t="s">
        <v>529</v>
      </c>
      <c r="N174" s="4">
        <v>209</v>
      </c>
      <c r="O174" s="4" t="s">
        <v>532</v>
      </c>
    </row>
    <row r="175" spans="1:15" ht="15.75" customHeight="1">
      <c r="A175" s="4" t="s">
        <v>49</v>
      </c>
      <c r="B175" s="4">
        <v>166832</v>
      </c>
      <c r="C175" s="4">
        <v>167542</v>
      </c>
      <c r="E175" s="4" t="s">
        <v>50</v>
      </c>
      <c r="F175" s="4" t="s">
        <v>533</v>
      </c>
      <c r="G175" s="4" t="s">
        <v>534</v>
      </c>
      <c r="I175" s="4" t="s">
        <v>52</v>
      </c>
      <c r="L175" s="4" t="s">
        <v>535</v>
      </c>
      <c r="M175" s="4" t="s">
        <v>533</v>
      </c>
      <c r="N175" s="4">
        <v>236</v>
      </c>
      <c r="O175" s="4" t="s">
        <v>536</v>
      </c>
    </row>
    <row r="176" spans="1:15" ht="15.75" customHeight="1">
      <c r="A176" s="4" t="s">
        <v>49</v>
      </c>
      <c r="B176" s="4">
        <v>167565</v>
      </c>
      <c r="C176" s="4">
        <v>167777</v>
      </c>
      <c r="E176" s="4" t="s">
        <v>50</v>
      </c>
      <c r="F176" s="4" t="s">
        <v>537</v>
      </c>
      <c r="G176" s="4" t="s">
        <v>538</v>
      </c>
      <c r="I176" s="4" t="s">
        <v>52</v>
      </c>
      <c r="L176" s="4" t="s">
        <v>539</v>
      </c>
      <c r="M176" s="4" t="s">
        <v>537</v>
      </c>
      <c r="N176" s="4">
        <v>70</v>
      </c>
      <c r="O176" s="4" t="s">
        <v>540</v>
      </c>
    </row>
    <row r="177" spans="1:15" ht="15.75" customHeight="1">
      <c r="A177" s="4" t="s">
        <v>49</v>
      </c>
      <c r="B177" s="4">
        <v>167812</v>
      </c>
      <c r="C177" s="4">
        <v>168300</v>
      </c>
      <c r="E177" s="4" t="s">
        <v>50</v>
      </c>
      <c r="F177" s="4" t="s">
        <v>541</v>
      </c>
      <c r="G177" s="4" t="s">
        <v>542</v>
      </c>
      <c r="I177" s="4" t="s">
        <v>52</v>
      </c>
      <c r="L177" s="4" t="s">
        <v>543</v>
      </c>
      <c r="M177" s="4" t="s">
        <v>541</v>
      </c>
      <c r="N177" s="4">
        <v>162</v>
      </c>
      <c r="O177" s="4" t="s">
        <v>544</v>
      </c>
    </row>
    <row r="178" spans="1:15" ht="15.75" customHeight="1">
      <c r="A178" s="4" t="s">
        <v>49</v>
      </c>
      <c r="B178" s="4">
        <v>168287</v>
      </c>
      <c r="C178" s="4">
        <v>168832</v>
      </c>
      <c r="E178" s="4" t="s">
        <v>50</v>
      </c>
      <c r="F178" s="4" t="s">
        <v>545</v>
      </c>
      <c r="G178" s="4" t="s">
        <v>546</v>
      </c>
      <c r="I178" s="4" t="s">
        <v>52</v>
      </c>
      <c r="L178" s="4" t="s">
        <v>547</v>
      </c>
      <c r="M178" s="4" t="s">
        <v>545</v>
      </c>
      <c r="N178" s="4">
        <v>181</v>
      </c>
      <c r="O178" s="4" t="s">
        <v>548</v>
      </c>
    </row>
    <row r="179" spans="1:15" ht="15.75" customHeight="1">
      <c r="A179" s="4" t="s">
        <v>49</v>
      </c>
      <c r="B179" s="4">
        <v>168858</v>
      </c>
      <c r="C179" s="4">
        <v>170387</v>
      </c>
      <c r="E179" s="4" t="s">
        <v>50</v>
      </c>
      <c r="F179" s="4" t="s">
        <v>549</v>
      </c>
      <c r="G179" s="4" t="s">
        <v>550</v>
      </c>
      <c r="I179" s="4" t="s">
        <v>52</v>
      </c>
      <c r="L179" s="4" t="s">
        <v>551</v>
      </c>
      <c r="M179" s="4" t="s">
        <v>549</v>
      </c>
      <c r="N179" s="4">
        <v>509</v>
      </c>
      <c r="O179" s="4" t="s">
        <v>552</v>
      </c>
    </row>
    <row r="180" spans="1:15" ht="15.75" customHeight="1">
      <c r="A180" s="4" t="s">
        <v>49</v>
      </c>
      <c r="B180" s="4">
        <v>170399</v>
      </c>
      <c r="C180" s="4">
        <v>171325</v>
      </c>
      <c r="E180" s="4" t="s">
        <v>50</v>
      </c>
      <c r="F180" s="4" t="s">
        <v>553</v>
      </c>
      <c r="I180" s="4" t="s">
        <v>52</v>
      </c>
      <c r="L180" s="4" t="s">
        <v>554</v>
      </c>
      <c r="M180" s="4" t="s">
        <v>553</v>
      </c>
      <c r="N180" s="4">
        <v>308</v>
      </c>
      <c r="O180" s="4" t="s">
        <v>555</v>
      </c>
    </row>
    <row r="181" spans="1:15" ht="15.75" customHeight="1">
      <c r="A181" s="4" t="s">
        <v>49</v>
      </c>
      <c r="B181" s="4">
        <v>171466</v>
      </c>
      <c r="C181" s="4">
        <v>172932</v>
      </c>
      <c r="E181" s="4" t="s">
        <v>50</v>
      </c>
      <c r="F181" s="4" t="s">
        <v>556</v>
      </c>
      <c r="G181" s="4" t="s">
        <v>557</v>
      </c>
      <c r="I181" s="4" t="s">
        <v>52</v>
      </c>
      <c r="L181" s="4" t="s">
        <v>558</v>
      </c>
      <c r="M181" s="4" t="s">
        <v>556</v>
      </c>
      <c r="N181" s="4">
        <v>488</v>
      </c>
      <c r="O181" s="4" t="s">
        <v>559</v>
      </c>
    </row>
    <row r="182" spans="1:15" ht="15.75" customHeight="1">
      <c r="A182" s="4" t="s">
        <v>49</v>
      </c>
      <c r="B182" s="4">
        <v>172947</v>
      </c>
      <c r="C182" s="4">
        <v>173378</v>
      </c>
      <c r="E182" s="4" t="s">
        <v>50</v>
      </c>
      <c r="F182" s="4" t="s">
        <v>560</v>
      </c>
      <c r="I182" s="4" t="s">
        <v>52</v>
      </c>
      <c r="L182" s="4" t="s">
        <v>561</v>
      </c>
      <c r="M182" s="4" t="s">
        <v>560</v>
      </c>
      <c r="N182" s="4">
        <v>143</v>
      </c>
      <c r="O182" s="4" t="s">
        <v>562</v>
      </c>
    </row>
    <row r="183" spans="1:15" ht="15.75" customHeight="1">
      <c r="A183" s="4" t="s">
        <v>49</v>
      </c>
      <c r="B183" s="4">
        <v>173680</v>
      </c>
      <c r="C183" s="4">
        <v>173916</v>
      </c>
      <c r="E183" s="4" t="s">
        <v>50</v>
      </c>
      <c r="F183" s="4" t="s">
        <v>563</v>
      </c>
      <c r="I183" s="4" t="s">
        <v>52</v>
      </c>
      <c r="L183" s="4" t="s">
        <v>564</v>
      </c>
      <c r="M183" s="4" t="s">
        <v>563</v>
      </c>
      <c r="N183" s="4">
        <v>78</v>
      </c>
      <c r="O183" s="4" t="s">
        <v>565</v>
      </c>
    </row>
    <row r="184" spans="1:15" ht="15.75" customHeight="1">
      <c r="A184" s="4" t="s">
        <v>49</v>
      </c>
      <c r="B184" s="4">
        <v>173981</v>
      </c>
      <c r="C184" s="4">
        <v>174970</v>
      </c>
      <c r="E184" s="4" t="s">
        <v>50</v>
      </c>
      <c r="F184" s="4" t="s">
        <v>566</v>
      </c>
      <c r="I184" s="4" t="s">
        <v>52</v>
      </c>
      <c r="L184" s="4" t="s">
        <v>567</v>
      </c>
      <c r="M184" s="4" t="s">
        <v>566</v>
      </c>
      <c r="N184" s="4">
        <v>329</v>
      </c>
      <c r="O184" s="4" t="s">
        <v>568</v>
      </c>
    </row>
    <row r="185" spans="1:15" ht="15.75" customHeight="1">
      <c r="A185" s="4" t="s">
        <v>49</v>
      </c>
      <c r="B185" s="4">
        <v>174980</v>
      </c>
      <c r="C185" s="4">
        <v>175150</v>
      </c>
      <c r="E185" s="4" t="s">
        <v>50</v>
      </c>
      <c r="F185" s="4" t="s">
        <v>569</v>
      </c>
      <c r="I185" s="4" t="s">
        <v>52</v>
      </c>
      <c r="L185" s="4" t="s">
        <v>570</v>
      </c>
      <c r="M185" s="4" t="s">
        <v>569</v>
      </c>
      <c r="N185" s="4">
        <v>56</v>
      </c>
      <c r="O185" s="4" t="s">
        <v>571</v>
      </c>
    </row>
    <row r="186" spans="1:15" ht="15.75" customHeight="1">
      <c r="A186" s="4" t="s">
        <v>49</v>
      </c>
      <c r="B186" s="4">
        <v>175160</v>
      </c>
      <c r="C186" s="4">
        <v>175465</v>
      </c>
      <c r="E186" s="4" t="s">
        <v>50</v>
      </c>
      <c r="F186" s="4" t="s">
        <v>572</v>
      </c>
      <c r="G186" s="4" t="s">
        <v>573</v>
      </c>
      <c r="I186" s="4" t="s">
        <v>52</v>
      </c>
      <c r="L186" s="4" t="s">
        <v>574</v>
      </c>
      <c r="M186" s="4" t="s">
        <v>572</v>
      </c>
      <c r="N186" s="4">
        <v>101</v>
      </c>
      <c r="O186" s="4" t="s">
        <v>575</v>
      </c>
    </row>
    <row r="187" spans="1:15" ht="15.75" customHeight="1">
      <c r="A187" s="4" t="s">
        <v>49</v>
      </c>
      <c r="B187" s="4">
        <v>175458</v>
      </c>
      <c r="C187" s="4">
        <v>175679</v>
      </c>
      <c r="E187" s="4" t="s">
        <v>50</v>
      </c>
      <c r="F187" s="4" t="s">
        <v>576</v>
      </c>
      <c r="I187" s="4" t="s">
        <v>52</v>
      </c>
      <c r="L187" s="4" t="s">
        <v>577</v>
      </c>
      <c r="M187" s="4" t="s">
        <v>576</v>
      </c>
      <c r="N187" s="4">
        <v>73</v>
      </c>
      <c r="O187" s="4" t="s">
        <v>578</v>
      </c>
    </row>
    <row r="188" spans="1:15" ht="15.75" customHeight="1">
      <c r="A188" s="4" t="s">
        <v>49</v>
      </c>
      <c r="B188" s="4">
        <v>175978</v>
      </c>
      <c r="C188" s="4">
        <v>177183</v>
      </c>
      <c r="E188" s="4" t="s">
        <v>50</v>
      </c>
      <c r="F188" s="4" t="s">
        <v>579</v>
      </c>
      <c r="I188" s="4" t="s">
        <v>52</v>
      </c>
      <c r="L188" s="4" t="s">
        <v>580</v>
      </c>
      <c r="M188" s="4" t="s">
        <v>579</v>
      </c>
      <c r="N188" s="4">
        <v>401</v>
      </c>
      <c r="O188" s="4" t="s">
        <v>581</v>
      </c>
    </row>
    <row r="189" spans="1:15" ht="15.75" customHeight="1">
      <c r="A189" s="4" t="s">
        <v>49</v>
      </c>
      <c r="B189" s="4">
        <v>177195</v>
      </c>
      <c r="C189" s="4">
        <v>177494</v>
      </c>
      <c r="E189" s="4" t="s">
        <v>50</v>
      </c>
      <c r="F189" s="4" t="s">
        <v>582</v>
      </c>
      <c r="I189" s="4" t="s">
        <v>52</v>
      </c>
      <c r="L189" s="4" t="s">
        <v>583</v>
      </c>
      <c r="M189" s="4" t="s">
        <v>582</v>
      </c>
      <c r="N189" s="4">
        <v>99</v>
      </c>
      <c r="O189" s="4" t="s">
        <v>584</v>
      </c>
    </row>
    <row r="190" spans="1:15" ht="15.75" customHeight="1">
      <c r="A190" s="4" t="s">
        <v>49</v>
      </c>
      <c r="B190" s="4">
        <v>177569</v>
      </c>
      <c r="C190" s="4">
        <v>178693</v>
      </c>
      <c r="E190" s="4" t="s">
        <v>55</v>
      </c>
      <c r="F190" s="4" t="s">
        <v>585</v>
      </c>
      <c r="I190" s="4" t="s">
        <v>52</v>
      </c>
      <c r="L190" s="4" t="s">
        <v>586</v>
      </c>
      <c r="M190" s="4" t="s">
        <v>585</v>
      </c>
      <c r="N190" s="4">
        <v>374</v>
      </c>
      <c r="O190" s="4" t="s">
        <v>587</v>
      </c>
    </row>
    <row r="191" spans="1:15" ht="15.75" customHeight="1">
      <c r="A191" s="4" t="s">
        <v>49</v>
      </c>
      <c r="B191" s="4">
        <v>179304</v>
      </c>
      <c r="C191" s="4">
        <v>180134</v>
      </c>
      <c r="E191" s="4" t="s">
        <v>50</v>
      </c>
      <c r="F191" s="4" t="s">
        <v>588</v>
      </c>
      <c r="I191" s="4" t="s">
        <v>52</v>
      </c>
      <c r="L191" s="4" t="s">
        <v>589</v>
      </c>
      <c r="M191" s="4" t="s">
        <v>588</v>
      </c>
      <c r="N191" s="4">
        <v>276</v>
      </c>
      <c r="O191" s="4" t="s">
        <v>590</v>
      </c>
    </row>
    <row r="192" spans="1:15" ht="15.75" customHeight="1">
      <c r="A192" s="4" t="s">
        <v>49</v>
      </c>
      <c r="B192" s="4">
        <v>180930</v>
      </c>
      <c r="C192" s="4">
        <v>181757</v>
      </c>
      <c r="E192" s="4" t="s">
        <v>50</v>
      </c>
      <c r="F192" s="4" t="s">
        <v>588</v>
      </c>
      <c r="I192" s="4" t="s">
        <v>52</v>
      </c>
      <c r="L192" s="4" t="s">
        <v>591</v>
      </c>
      <c r="M192" s="4" t="s">
        <v>588</v>
      </c>
      <c r="N192" s="4">
        <v>275</v>
      </c>
      <c r="O192" s="4" t="s">
        <v>592</v>
      </c>
    </row>
    <row r="193" spans="1:15" ht="15.75" customHeight="1">
      <c r="A193" s="4" t="s">
        <v>49</v>
      </c>
      <c r="B193" s="4">
        <v>181776</v>
      </c>
      <c r="C193" s="4">
        <v>182828</v>
      </c>
      <c r="E193" s="4" t="s">
        <v>50</v>
      </c>
      <c r="F193" s="4" t="s">
        <v>593</v>
      </c>
      <c r="I193" s="4" t="s">
        <v>52</v>
      </c>
      <c r="L193" s="4" t="s">
        <v>594</v>
      </c>
      <c r="M193" s="4" t="s">
        <v>593</v>
      </c>
      <c r="N193" s="4">
        <v>350</v>
      </c>
      <c r="O193" s="4" t="s">
        <v>595</v>
      </c>
    </row>
    <row r="194" spans="1:15" ht="15.75" customHeight="1">
      <c r="A194" s="4" t="s">
        <v>49</v>
      </c>
      <c r="B194" s="4">
        <v>182833</v>
      </c>
      <c r="C194" s="4">
        <v>183522</v>
      </c>
      <c r="E194" s="4" t="s">
        <v>50</v>
      </c>
      <c r="F194" s="4" t="s">
        <v>596</v>
      </c>
      <c r="I194" s="4" t="s">
        <v>52</v>
      </c>
      <c r="L194" s="4" t="s">
        <v>597</v>
      </c>
      <c r="M194" s="4" t="s">
        <v>596</v>
      </c>
      <c r="N194" s="4">
        <v>229</v>
      </c>
      <c r="O194" s="4" t="s">
        <v>598</v>
      </c>
    </row>
    <row r="195" spans="1:15" ht="15.75" customHeight="1">
      <c r="A195" s="4" t="s">
        <v>49</v>
      </c>
      <c r="B195" s="4">
        <v>183654</v>
      </c>
      <c r="C195" s="4">
        <v>184421</v>
      </c>
      <c r="E195" s="4" t="s">
        <v>50</v>
      </c>
      <c r="F195" s="4" t="s">
        <v>599</v>
      </c>
      <c r="G195" s="4" t="s">
        <v>600</v>
      </c>
      <c r="I195" s="4" t="s">
        <v>52</v>
      </c>
      <c r="L195" s="4" t="s">
        <v>601</v>
      </c>
      <c r="M195" s="4" t="s">
        <v>599</v>
      </c>
      <c r="N195" s="4">
        <v>255</v>
      </c>
      <c r="O195" s="4" t="s">
        <v>602</v>
      </c>
    </row>
    <row r="196" spans="1:15" ht="15.75" customHeight="1">
      <c r="A196" s="4" t="s">
        <v>49</v>
      </c>
      <c r="B196" s="4">
        <v>184414</v>
      </c>
      <c r="C196" s="4">
        <v>185445</v>
      </c>
      <c r="E196" s="4" t="s">
        <v>50</v>
      </c>
      <c r="F196" s="4" t="s">
        <v>603</v>
      </c>
      <c r="I196" s="4" t="s">
        <v>52</v>
      </c>
      <c r="L196" s="4" t="s">
        <v>604</v>
      </c>
      <c r="M196" s="4" t="s">
        <v>603</v>
      </c>
      <c r="N196" s="4">
        <v>343</v>
      </c>
      <c r="O196" s="4" t="s">
        <v>605</v>
      </c>
    </row>
    <row r="197" spans="1:15" ht="15.75" customHeight="1">
      <c r="A197" s="4" t="s">
        <v>49</v>
      </c>
      <c r="B197" s="4">
        <v>185438</v>
      </c>
      <c r="C197" s="4">
        <v>186634</v>
      </c>
      <c r="E197" s="4" t="s">
        <v>50</v>
      </c>
      <c r="F197" s="4" t="s">
        <v>606</v>
      </c>
      <c r="I197" s="4" t="s">
        <v>52</v>
      </c>
      <c r="L197" s="4" t="s">
        <v>607</v>
      </c>
      <c r="M197" s="4" t="s">
        <v>606</v>
      </c>
      <c r="N197" s="4">
        <v>398</v>
      </c>
      <c r="O197" s="4" t="s">
        <v>608</v>
      </c>
    </row>
    <row r="198" spans="1:15" ht="15.75" customHeight="1">
      <c r="A198" s="4" t="s">
        <v>49</v>
      </c>
      <c r="B198" s="4">
        <v>186621</v>
      </c>
      <c r="C198" s="4">
        <v>187067</v>
      </c>
      <c r="E198" s="4" t="s">
        <v>50</v>
      </c>
      <c r="F198" s="4" t="s">
        <v>609</v>
      </c>
      <c r="G198" s="4" t="s">
        <v>610</v>
      </c>
      <c r="I198" s="4" t="s">
        <v>52</v>
      </c>
      <c r="L198" s="4" t="s">
        <v>611</v>
      </c>
      <c r="M198" s="4" t="s">
        <v>609</v>
      </c>
      <c r="N198" s="4">
        <v>148</v>
      </c>
      <c r="O198" s="4" t="s">
        <v>612</v>
      </c>
    </row>
    <row r="199" spans="1:15" ht="15.75" customHeight="1">
      <c r="A199" s="4" t="s">
        <v>49</v>
      </c>
      <c r="B199" s="4">
        <v>187060</v>
      </c>
      <c r="C199" s="4">
        <v>188496</v>
      </c>
      <c r="E199" s="4" t="s">
        <v>50</v>
      </c>
      <c r="F199" s="4" t="s">
        <v>613</v>
      </c>
      <c r="G199" s="4" t="s">
        <v>614</v>
      </c>
      <c r="I199" s="4" t="s">
        <v>52</v>
      </c>
      <c r="L199" s="4" t="s">
        <v>615</v>
      </c>
      <c r="M199" s="4" t="s">
        <v>613</v>
      </c>
      <c r="N199" s="4">
        <v>478</v>
      </c>
      <c r="O199" s="4" t="s">
        <v>616</v>
      </c>
    </row>
    <row r="200" spans="1:15" ht="15.75" customHeight="1">
      <c r="A200" s="4" t="s">
        <v>49</v>
      </c>
      <c r="B200" s="4">
        <v>188682</v>
      </c>
      <c r="C200" s="4">
        <v>188864</v>
      </c>
      <c r="E200" s="4" t="s">
        <v>50</v>
      </c>
      <c r="F200" s="4" t="s">
        <v>56</v>
      </c>
      <c r="I200" s="4" t="s">
        <v>52</v>
      </c>
      <c r="L200" s="4" t="s">
        <v>617</v>
      </c>
      <c r="M200" s="4" t="s">
        <v>56</v>
      </c>
      <c r="N200" s="4">
        <v>60</v>
      </c>
      <c r="O200" s="4" t="s">
        <v>618</v>
      </c>
    </row>
    <row r="201" spans="1:15" ht="15.75" customHeight="1">
      <c r="A201" s="4" t="s">
        <v>49</v>
      </c>
      <c r="B201" s="4">
        <v>189062</v>
      </c>
      <c r="C201" s="4">
        <v>189442</v>
      </c>
      <c r="E201" s="4" t="s">
        <v>50</v>
      </c>
      <c r="F201" s="4" t="s">
        <v>619</v>
      </c>
      <c r="I201" s="4" t="s">
        <v>52</v>
      </c>
      <c r="L201" s="4" t="s">
        <v>620</v>
      </c>
      <c r="M201" s="4" t="s">
        <v>619</v>
      </c>
      <c r="N201" s="4">
        <v>126</v>
      </c>
      <c r="O201" s="4" t="s">
        <v>621</v>
      </c>
    </row>
    <row r="202" spans="1:15" ht="15.75" customHeight="1">
      <c r="A202" s="4" t="s">
        <v>49</v>
      </c>
      <c r="B202" s="4">
        <v>189543</v>
      </c>
      <c r="C202" s="4">
        <v>190511</v>
      </c>
      <c r="E202" s="4" t="s">
        <v>50</v>
      </c>
      <c r="F202" s="4" t="s">
        <v>622</v>
      </c>
      <c r="I202" s="4" t="s">
        <v>52</v>
      </c>
      <c r="L202" s="4" t="s">
        <v>623</v>
      </c>
      <c r="M202" s="4" t="s">
        <v>622</v>
      </c>
      <c r="N202" s="4">
        <v>322</v>
      </c>
      <c r="O202" s="4" t="s">
        <v>624</v>
      </c>
    </row>
    <row r="203" spans="1:15" ht="15.75" customHeight="1">
      <c r="A203" s="4" t="s">
        <v>49</v>
      </c>
      <c r="B203" s="4">
        <v>190542</v>
      </c>
      <c r="C203" s="4">
        <v>191195</v>
      </c>
      <c r="E203" s="4" t="s">
        <v>50</v>
      </c>
      <c r="F203" s="4" t="s">
        <v>625</v>
      </c>
      <c r="I203" s="4" t="s">
        <v>52</v>
      </c>
      <c r="L203" s="4" t="s">
        <v>626</v>
      </c>
      <c r="M203" s="4" t="s">
        <v>625</v>
      </c>
      <c r="N203" s="4">
        <v>217</v>
      </c>
      <c r="O203" s="4" t="s">
        <v>627</v>
      </c>
    </row>
    <row r="204" spans="1:15" ht="15.75" customHeight="1">
      <c r="A204" s="4" t="s">
        <v>49</v>
      </c>
      <c r="B204" s="4">
        <v>191417</v>
      </c>
      <c r="C204" s="4">
        <v>192304</v>
      </c>
      <c r="E204" s="4" t="s">
        <v>50</v>
      </c>
      <c r="F204" s="4" t="s">
        <v>92</v>
      </c>
      <c r="I204" s="4" t="s">
        <v>52</v>
      </c>
      <c r="L204" s="4" t="s">
        <v>628</v>
      </c>
      <c r="M204" s="4" t="s">
        <v>92</v>
      </c>
      <c r="N204" s="4">
        <v>295</v>
      </c>
      <c r="O204" s="4" t="s">
        <v>629</v>
      </c>
    </row>
    <row r="205" spans="1:15" ht="15.75" customHeight="1">
      <c r="A205" s="4" t="s">
        <v>49</v>
      </c>
      <c r="B205" s="4">
        <v>192449</v>
      </c>
      <c r="C205" s="4">
        <v>192946</v>
      </c>
      <c r="E205" s="4" t="s">
        <v>55</v>
      </c>
      <c r="F205" s="4" t="s">
        <v>630</v>
      </c>
      <c r="I205" s="4" t="s">
        <v>52</v>
      </c>
      <c r="L205" s="4" t="s">
        <v>631</v>
      </c>
      <c r="M205" s="4" t="s">
        <v>630</v>
      </c>
      <c r="N205" s="4">
        <v>165</v>
      </c>
      <c r="O205" s="4" t="s">
        <v>632</v>
      </c>
    </row>
    <row r="206" spans="1:15" ht="15.75" customHeight="1">
      <c r="A206" s="4" t="s">
        <v>49</v>
      </c>
      <c r="B206" s="4">
        <v>193007</v>
      </c>
      <c r="C206" s="4">
        <v>193285</v>
      </c>
      <c r="E206" s="4" t="s">
        <v>55</v>
      </c>
      <c r="F206" s="4" t="s">
        <v>56</v>
      </c>
      <c r="I206" s="4" t="s">
        <v>52</v>
      </c>
      <c r="L206" s="4" t="s">
        <v>633</v>
      </c>
      <c r="M206" s="4" t="s">
        <v>56</v>
      </c>
      <c r="N206" s="4">
        <v>92</v>
      </c>
      <c r="O206" s="4" t="s">
        <v>634</v>
      </c>
    </row>
    <row r="207" spans="1:15" ht="15.75" customHeight="1">
      <c r="A207" s="4" t="s">
        <v>49</v>
      </c>
      <c r="B207" s="4">
        <v>193408</v>
      </c>
      <c r="C207" s="4">
        <v>193599</v>
      </c>
      <c r="E207" s="4" t="s">
        <v>55</v>
      </c>
      <c r="F207" s="4" t="s">
        <v>56</v>
      </c>
      <c r="I207" s="4" t="s">
        <v>52</v>
      </c>
      <c r="L207" s="4" t="s">
        <v>635</v>
      </c>
      <c r="M207" s="4" t="s">
        <v>56</v>
      </c>
      <c r="N207" s="4">
        <v>63</v>
      </c>
      <c r="O207" s="4" t="s">
        <v>636</v>
      </c>
    </row>
    <row r="208" spans="1:15" ht="15.75" customHeight="1">
      <c r="A208" s="4" t="s">
        <v>49</v>
      </c>
      <c r="B208" s="4">
        <v>193734</v>
      </c>
      <c r="C208" s="4">
        <v>195029</v>
      </c>
      <c r="E208" s="4" t="s">
        <v>55</v>
      </c>
      <c r="F208" s="4" t="s">
        <v>637</v>
      </c>
      <c r="I208" s="4" t="s">
        <v>52</v>
      </c>
      <c r="L208" s="4" t="s">
        <v>638</v>
      </c>
      <c r="M208" s="4" t="s">
        <v>637</v>
      </c>
      <c r="N208" s="4">
        <v>431</v>
      </c>
      <c r="O208" s="4" t="s">
        <v>639</v>
      </c>
    </row>
    <row r="209" spans="1:15" ht="15.75" customHeight="1">
      <c r="A209" s="4" t="s">
        <v>49</v>
      </c>
      <c r="B209" s="4">
        <v>195249</v>
      </c>
      <c r="C209" s="4">
        <v>197213</v>
      </c>
      <c r="E209" s="4" t="s">
        <v>50</v>
      </c>
      <c r="F209" s="4" t="s">
        <v>56</v>
      </c>
      <c r="I209" s="4" t="s">
        <v>52</v>
      </c>
      <c r="L209" s="4" t="s">
        <v>640</v>
      </c>
      <c r="M209" s="4" t="s">
        <v>56</v>
      </c>
      <c r="N209" s="4">
        <v>654</v>
      </c>
      <c r="O209" s="4" t="s">
        <v>641</v>
      </c>
    </row>
    <row r="210" spans="1:15" ht="15.75" customHeight="1">
      <c r="A210" s="4" t="s">
        <v>49</v>
      </c>
      <c r="B210" s="4">
        <v>197245</v>
      </c>
      <c r="C210" s="4">
        <v>197685</v>
      </c>
      <c r="E210" s="4" t="s">
        <v>55</v>
      </c>
      <c r="F210" s="4" t="s">
        <v>642</v>
      </c>
      <c r="I210" s="4" t="s">
        <v>52</v>
      </c>
      <c r="L210" s="4" t="s">
        <v>643</v>
      </c>
      <c r="M210" s="4" t="s">
        <v>642</v>
      </c>
      <c r="N210" s="4">
        <v>146</v>
      </c>
      <c r="O210" s="4" t="s">
        <v>644</v>
      </c>
    </row>
    <row r="211" spans="1:15" ht="15.75" customHeight="1">
      <c r="A211" s="4" t="s">
        <v>49</v>
      </c>
      <c r="B211" s="4">
        <v>197756</v>
      </c>
      <c r="C211" s="4">
        <v>198358</v>
      </c>
      <c r="E211" s="4" t="s">
        <v>50</v>
      </c>
      <c r="F211" s="4" t="s">
        <v>645</v>
      </c>
      <c r="I211" s="4" t="s">
        <v>52</v>
      </c>
      <c r="L211" s="4" t="s">
        <v>646</v>
      </c>
      <c r="M211" s="4" t="s">
        <v>645</v>
      </c>
      <c r="N211" s="4">
        <v>200</v>
      </c>
      <c r="O211" s="4" t="s">
        <v>647</v>
      </c>
    </row>
    <row r="212" spans="1:15" ht="15.75" customHeight="1">
      <c r="A212" s="4" t="s">
        <v>49</v>
      </c>
      <c r="B212" s="4">
        <v>198578</v>
      </c>
      <c r="C212" s="4">
        <v>199243</v>
      </c>
      <c r="E212" s="4" t="s">
        <v>50</v>
      </c>
      <c r="F212" s="4" t="s">
        <v>648</v>
      </c>
      <c r="G212" s="4" t="s">
        <v>649</v>
      </c>
      <c r="I212" s="4" t="s">
        <v>52</v>
      </c>
      <c r="L212" s="4" t="s">
        <v>650</v>
      </c>
      <c r="M212" s="4" t="s">
        <v>648</v>
      </c>
      <c r="N212" s="4">
        <v>221</v>
      </c>
      <c r="O212" s="4" t="s">
        <v>651</v>
      </c>
    </row>
    <row r="213" spans="1:15" ht="15.75" customHeight="1">
      <c r="A213" s="4" t="s">
        <v>49</v>
      </c>
      <c r="B213" s="4">
        <v>199292</v>
      </c>
      <c r="C213" s="4">
        <v>200158</v>
      </c>
      <c r="E213" s="4" t="s">
        <v>50</v>
      </c>
      <c r="F213" s="4" t="s">
        <v>652</v>
      </c>
      <c r="G213" s="4" t="s">
        <v>653</v>
      </c>
      <c r="I213" s="4" t="s">
        <v>52</v>
      </c>
      <c r="L213" s="4" t="s">
        <v>654</v>
      </c>
      <c r="M213" s="4" t="s">
        <v>652</v>
      </c>
      <c r="N213" s="4">
        <v>288</v>
      </c>
      <c r="O213" s="4" t="s">
        <v>655</v>
      </c>
    </row>
    <row r="214" spans="1:15" ht="15.75" customHeight="1">
      <c r="A214" s="4" t="s">
        <v>49</v>
      </c>
      <c r="B214" s="4">
        <v>200261</v>
      </c>
      <c r="C214" s="4">
        <v>200944</v>
      </c>
      <c r="E214" s="4" t="s">
        <v>50</v>
      </c>
      <c r="F214" s="4" t="s">
        <v>656</v>
      </c>
      <c r="I214" s="4" t="s">
        <v>52</v>
      </c>
      <c r="L214" s="4" t="s">
        <v>657</v>
      </c>
      <c r="M214" s="4" t="s">
        <v>656</v>
      </c>
      <c r="N214" s="4">
        <v>227</v>
      </c>
      <c r="O214" s="4" t="s">
        <v>658</v>
      </c>
    </row>
    <row r="215" spans="1:15" ht="15.75" customHeight="1">
      <c r="A215" s="4" t="s">
        <v>49</v>
      </c>
      <c r="B215" s="4">
        <v>201200</v>
      </c>
      <c r="C215" s="4">
        <v>202030</v>
      </c>
      <c r="E215" s="4" t="s">
        <v>50</v>
      </c>
      <c r="F215" s="4" t="s">
        <v>659</v>
      </c>
      <c r="G215" s="4" t="s">
        <v>660</v>
      </c>
      <c r="I215" s="4" t="s">
        <v>52</v>
      </c>
      <c r="L215" s="4" t="s">
        <v>661</v>
      </c>
      <c r="M215" s="4" t="s">
        <v>659</v>
      </c>
      <c r="N215" s="4">
        <v>276</v>
      </c>
      <c r="O215" s="4" t="s">
        <v>662</v>
      </c>
    </row>
    <row r="216" spans="1:15" ht="15.75" customHeight="1">
      <c r="A216" s="4" t="s">
        <v>49</v>
      </c>
      <c r="B216" s="4">
        <v>202079</v>
      </c>
      <c r="C216" s="4">
        <v>203014</v>
      </c>
      <c r="E216" s="4" t="s">
        <v>50</v>
      </c>
      <c r="F216" s="4" t="s">
        <v>663</v>
      </c>
      <c r="I216" s="4" t="s">
        <v>52</v>
      </c>
      <c r="L216" s="4" t="s">
        <v>664</v>
      </c>
      <c r="M216" s="4" t="s">
        <v>663</v>
      </c>
      <c r="N216" s="4">
        <v>311</v>
      </c>
      <c r="O216" s="4" t="s">
        <v>665</v>
      </c>
    </row>
    <row r="217" spans="1:15" ht="15.75" customHeight="1">
      <c r="A217" s="4" t="s">
        <v>49</v>
      </c>
      <c r="B217" s="4">
        <v>203276</v>
      </c>
      <c r="C217" s="4">
        <v>204007</v>
      </c>
      <c r="E217" s="4" t="s">
        <v>50</v>
      </c>
      <c r="F217" s="4" t="s">
        <v>666</v>
      </c>
      <c r="G217" s="4" t="s">
        <v>667</v>
      </c>
      <c r="I217" s="4" t="s">
        <v>52</v>
      </c>
      <c r="L217" s="4" t="s">
        <v>668</v>
      </c>
      <c r="M217" s="4" t="s">
        <v>666</v>
      </c>
      <c r="N217" s="4">
        <v>243</v>
      </c>
      <c r="O217" s="4" t="s">
        <v>669</v>
      </c>
    </row>
    <row r="218" spans="1:15" ht="15.75" customHeight="1">
      <c r="A218" s="4" t="s">
        <v>49</v>
      </c>
      <c r="B218" s="4">
        <v>204083</v>
      </c>
      <c r="C218" s="4">
        <v>204811</v>
      </c>
      <c r="E218" s="4" t="s">
        <v>50</v>
      </c>
      <c r="F218" s="4" t="s">
        <v>670</v>
      </c>
      <c r="I218" s="4" t="s">
        <v>52</v>
      </c>
      <c r="L218" s="4" t="s">
        <v>671</v>
      </c>
      <c r="M218" s="4" t="s">
        <v>670</v>
      </c>
      <c r="N218" s="4">
        <v>242</v>
      </c>
      <c r="O218" s="4" t="s">
        <v>672</v>
      </c>
    </row>
    <row r="219" spans="1:15" ht="15.75" customHeight="1">
      <c r="A219" s="4" t="s">
        <v>49</v>
      </c>
      <c r="B219" s="4">
        <v>205071</v>
      </c>
      <c r="C219" s="4">
        <v>205349</v>
      </c>
      <c r="E219" s="4" t="s">
        <v>50</v>
      </c>
      <c r="F219" s="4" t="s">
        <v>345</v>
      </c>
      <c r="I219" s="4" t="s">
        <v>346</v>
      </c>
      <c r="O219" s="4" t="s">
        <v>673</v>
      </c>
    </row>
    <row r="220" spans="1:15" ht="15.75" customHeight="1">
      <c r="A220" s="4" t="s">
        <v>49</v>
      </c>
      <c r="B220" s="4">
        <v>205370</v>
      </c>
      <c r="C220" s="4">
        <v>206290</v>
      </c>
      <c r="E220" s="4" t="s">
        <v>55</v>
      </c>
      <c r="F220" s="4" t="s">
        <v>674</v>
      </c>
      <c r="I220" s="4" t="s">
        <v>52</v>
      </c>
      <c r="L220" s="4" t="s">
        <v>675</v>
      </c>
      <c r="M220" s="4" t="s">
        <v>674</v>
      </c>
      <c r="N220" s="4">
        <v>306</v>
      </c>
      <c r="O220" s="4" t="s">
        <v>676</v>
      </c>
    </row>
    <row r="221" spans="1:15" ht="15.75" customHeight="1">
      <c r="A221" s="4" t="s">
        <v>49</v>
      </c>
      <c r="B221" s="4">
        <v>206396</v>
      </c>
      <c r="C221" s="4">
        <v>206938</v>
      </c>
      <c r="E221" s="4" t="s">
        <v>50</v>
      </c>
      <c r="F221" s="4" t="s">
        <v>345</v>
      </c>
      <c r="I221" s="4" t="s">
        <v>346</v>
      </c>
      <c r="O221" s="4" t="s">
        <v>677</v>
      </c>
    </row>
    <row r="222" spans="1:15" ht="15.75" customHeight="1">
      <c r="A222" s="4" t="s">
        <v>49</v>
      </c>
      <c r="B222" s="4">
        <v>207126</v>
      </c>
      <c r="C222" s="4">
        <v>208766</v>
      </c>
      <c r="E222" s="4" t="s">
        <v>55</v>
      </c>
      <c r="F222" s="4" t="s">
        <v>678</v>
      </c>
      <c r="I222" s="4" t="s">
        <v>52</v>
      </c>
      <c r="L222" s="4" t="s">
        <v>679</v>
      </c>
      <c r="M222" s="4" t="s">
        <v>678</v>
      </c>
      <c r="N222" s="4">
        <v>546</v>
      </c>
      <c r="O222" s="4" t="s">
        <v>680</v>
      </c>
    </row>
    <row r="223" spans="1:15" ht="15.75" customHeight="1">
      <c r="A223" s="4" t="s">
        <v>49</v>
      </c>
      <c r="B223" s="4">
        <v>208904</v>
      </c>
      <c r="C223" s="4">
        <v>209800</v>
      </c>
      <c r="E223" s="4" t="s">
        <v>55</v>
      </c>
      <c r="F223" s="4" t="s">
        <v>681</v>
      </c>
      <c r="I223" s="4" t="s">
        <v>52</v>
      </c>
      <c r="L223" s="4" t="s">
        <v>682</v>
      </c>
      <c r="M223" s="4" t="s">
        <v>681</v>
      </c>
      <c r="N223" s="4">
        <v>298</v>
      </c>
      <c r="O223" s="4" t="s">
        <v>683</v>
      </c>
    </row>
    <row r="224" spans="1:15" ht="15.75" customHeight="1">
      <c r="A224" s="4" t="s">
        <v>49</v>
      </c>
      <c r="B224" s="4">
        <v>209871</v>
      </c>
      <c r="C224" s="4">
        <v>210548</v>
      </c>
      <c r="E224" s="4" t="s">
        <v>55</v>
      </c>
      <c r="F224" s="4" t="s">
        <v>194</v>
      </c>
      <c r="I224" s="4" t="s">
        <v>52</v>
      </c>
      <c r="L224" s="4" t="s">
        <v>684</v>
      </c>
      <c r="M224" s="4" t="s">
        <v>194</v>
      </c>
      <c r="N224" s="4">
        <v>225</v>
      </c>
      <c r="O224" s="4" t="s">
        <v>685</v>
      </c>
    </row>
    <row r="225" spans="1:15" ht="15.75" customHeight="1">
      <c r="A225" s="4" t="s">
        <v>49</v>
      </c>
      <c r="B225" s="4">
        <v>211069</v>
      </c>
      <c r="C225" s="4">
        <v>211998</v>
      </c>
      <c r="E225" s="4" t="s">
        <v>50</v>
      </c>
      <c r="F225" s="4" t="s">
        <v>73</v>
      </c>
      <c r="I225" s="4" t="s">
        <v>52</v>
      </c>
      <c r="L225" s="4" t="s">
        <v>686</v>
      </c>
      <c r="M225" s="4" t="s">
        <v>73</v>
      </c>
      <c r="N225" s="4">
        <v>309</v>
      </c>
      <c r="O225" s="4" t="s">
        <v>687</v>
      </c>
    </row>
    <row r="226" spans="1:15" ht="15.75" customHeight="1">
      <c r="A226" s="4" t="s">
        <v>49</v>
      </c>
      <c r="B226" s="4">
        <v>211995</v>
      </c>
      <c r="C226" s="4">
        <v>212765</v>
      </c>
      <c r="E226" s="4" t="s">
        <v>50</v>
      </c>
      <c r="F226" s="4" t="s">
        <v>76</v>
      </c>
      <c r="I226" s="4" t="s">
        <v>52</v>
      </c>
      <c r="L226" s="4" t="s">
        <v>688</v>
      </c>
      <c r="M226" s="4" t="s">
        <v>76</v>
      </c>
      <c r="N226" s="4">
        <v>256</v>
      </c>
      <c r="O226" s="4" t="s">
        <v>689</v>
      </c>
    </row>
    <row r="227" spans="1:15" ht="15.75" customHeight="1">
      <c r="A227" s="4" t="s">
        <v>49</v>
      </c>
      <c r="B227" s="4">
        <v>212840</v>
      </c>
      <c r="C227" s="4">
        <v>213718</v>
      </c>
      <c r="E227" s="4" t="s">
        <v>55</v>
      </c>
      <c r="F227" s="4" t="s">
        <v>690</v>
      </c>
      <c r="I227" s="4" t="s">
        <v>52</v>
      </c>
      <c r="L227" s="4" t="s">
        <v>691</v>
      </c>
      <c r="M227" s="4" t="s">
        <v>690</v>
      </c>
      <c r="N227" s="4">
        <v>292</v>
      </c>
      <c r="O227" s="4" t="s">
        <v>692</v>
      </c>
    </row>
    <row r="228" spans="1:15" ht="15.75" customHeight="1">
      <c r="A228" s="4" t="s">
        <v>49</v>
      </c>
      <c r="B228" s="4">
        <v>213833</v>
      </c>
      <c r="C228" s="4">
        <v>214249</v>
      </c>
      <c r="E228" s="4" t="s">
        <v>50</v>
      </c>
      <c r="F228" s="4" t="s">
        <v>693</v>
      </c>
      <c r="I228" s="4" t="s">
        <v>52</v>
      </c>
      <c r="L228" s="4" t="s">
        <v>694</v>
      </c>
      <c r="M228" s="4" t="s">
        <v>693</v>
      </c>
      <c r="N228" s="4">
        <v>138</v>
      </c>
      <c r="O228" s="4" t="s">
        <v>695</v>
      </c>
    </row>
    <row r="229" spans="1:15" ht="15.75" customHeight="1">
      <c r="A229" s="4" t="s">
        <v>49</v>
      </c>
      <c r="B229" s="4">
        <v>214251</v>
      </c>
      <c r="C229" s="4">
        <v>214568</v>
      </c>
      <c r="E229" s="4" t="s">
        <v>50</v>
      </c>
      <c r="F229" s="4" t="s">
        <v>696</v>
      </c>
      <c r="I229" s="4" t="s">
        <v>52</v>
      </c>
      <c r="L229" s="4" t="s">
        <v>697</v>
      </c>
      <c r="M229" s="4" t="s">
        <v>696</v>
      </c>
      <c r="N229" s="4">
        <v>105</v>
      </c>
      <c r="O229" s="4" t="s">
        <v>698</v>
      </c>
    </row>
    <row r="230" spans="1:15" ht="15.75" customHeight="1">
      <c r="A230" s="4" t="s">
        <v>49</v>
      </c>
      <c r="B230" s="4">
        <v>214565</v>
      </c>
      <c r="C230" s="4">
        <v>215200</v>
      </c>
      <c r="E230" s="4" t="s">
        <v>50</v>
      </c>
      <c r="F230" s="4" t="s">
        <v>699</v>
      </c>
      <c r="I230" s="4" t="s">
        <v>52</v>
      </c>
      <c r="L230" s="4" t="s">
        <v>700</v>
      </c>
      <c r="M230" s="4" t="s">
        <v>699</v>
      </c>
      <c r="N230" s="4">
        <v>211</v>
      </c>
      <c r="O230" s="4" t="s">
        <v>701</v>
      </c>
    </row>
    <row r="231" spans="1:15" ht="15.75" customHeight="1">
      <c r="A231" s="4" t="s">
        <v>49</v>
      </c>
      <c r="B231" s="4">
        <v>215337</v>
      </c>
      <c r="C231" s="4">
        <v>215621</v>
      </c>
      <c r="E231" s="4" t="s">
        <v>50</v>
      </c>
      <c r="F231" s="4" t="s">
        <v>478</v>
      </c>
      <c r="I231" s="4" t="s">
        <v>52</v>
      </c>
      <c r="L231" s="4" t="s">
        <v>702</v>
      </c>
      <c r="M231" s="4" t="s">
        <v>478</v>
      </c>
      <c r="N231" s="4">
        <v>94</v>
      </c>
      <c r="O231" s="4" t="s">
        <v>703</v>
      </c>
    </row>
    <row r="232" spans="1:15" ht="15.75" customHeight="1">
      <c r="A232" s="4" t="s">
        <v>49</v>
      </c>
      <c r="B232" s="4">
        <v>215670</v>
      </c>
      <c r="C232" s="4">
        <v>216299</v>
      </c>
      <c r="E232" s="4" t="s">
        <v>50</v>
      </c>
      <c r="F232" s="4" t="s">
        <v>704</v>
      </c>
      <c r="I232" s="4" t="s">
        <v>52</v>
      </c>
      <c r="L232" s="4" t="s">
        <v>705</v>
      </c>
      <c r="M232" s="4" t="s">
        <v>704</v>
      </c>
      <c r="N232" s="4">
        <v>209</v>
      </c>
      <c r="O232" s="4" t="s">
        <v>706</v>
      </c>
    </row>
    <row r="233" spans="1:15" ht="15.75" customHeight="1">
      <c r="A233" s="4" t="s">
        <v>49</v>
      </c>
      <c r="B233" s="4">
        <v>216495</v>
      </c>
      <c r="C233" s="4">
        <v>217133</v>
      </c>
      <c r="E233" s="4" t="s">
        <v>50</v>
      </c>
      <c r="F233" s="4" t="s">
        <v>707</v>
      </c>
      <c r="I233" s="4" t="s">
        <v>52</v>
      </c>
      <c r="L233" s="4" t="s">
        <v>708</v>
      </c>
      <c r="M233" s="4" t="s">
        <v>707</v>
      </c>
      <c r="N233" s="4">
        <v>212</v>
      </c>
      <c r="O233" s="4" t="s">
        <v>709</v>
      </c>
    </row>
    <row r="234" spans="1:15" ht="15.75" customHeight="1">
      <c r="A234" s="4" t="s">
        <v>49</v>
      </c>
      <c r="B234" s="4">
        <v>217401</v>
      </c>
      <c r="C234" s="4">
        <v>218294</v>
      </c>
      <c r="E234" s="4" t="s">
        <v>50</v>
      </c>
      <c r="F234" s="4" t="s">
        <v>51</v>
      </c>
      <c r="I234" s="4" t="s">
        <v>52</v>
      </c>
      <c r="L234" s="4" t="s">
        <v>710</v>
      </c>
      <c r="M234" s="4" t="s">
        <v>51</v>
      </c>
      <c r="N234" s="4">
        <v>297</v>
      </c>
      <c r="O234" s="4" t="s">
        <v>711</v>
      </c>
    </row>
    <row r="235" spans="1:15" ht="15.75" customHeight="1">
      <c r="A235" s="4" t="s">
        <v>49</v>
      </c>
      <c r="B235" s="4">
        <v>218281</v>
      </c>
      <c r="C235" s="4">
        <v>218754</v>
      </c>
      <c r="E235" s="4" t="s">
        <v>50</v>
      </c>
      <c r="F235" s="4" t="s">
        <v>51</v>
      </c>
      <c r="I235" s="4" t="s">
        <v>52</v>
      </c>
      <c r="L235" s="4" t="s">
        <v>712</v>
      </c>
      <c r="M235" s="4" t="s">
        <v>51</v>
      </c>
      <c r="N235" s="4">
        <v>157</v>
      </c>
      <c r="O235" s="4" t="s">
        <v>713</v>
      </c>
    </row>
    <row r="236" spans="1:15" ht="15.75" customHeight="1">
      <c r="A236" s="4" t="s">
        <v>49</v>
      </c>
      <c r="B236" s="4">
        <v>218893</v>
      </c>
      <c r="C236" s="4">
        <v>220494</v>
      </c>
      <c r="E236" s="4" t="s">
        <v>50</v>
      </c>
      <c r="F236" s="4" t="s">
        <v>714</v>
      </c>
      <c r="I236" s="4" t="s">
        <v>52</v>
      </c>
      <c r="L236" s="4" t="s">
        <v>715</v>
      </c>
      <c r="M236" s="4" t="s">
        <v>714</v>
      </c>
      <c r="N236" s="4">
        <v>533</v>
      </c>
      <c r="O236" s="4" t="s">
        <v>716</v>
      </c>
    </row>
    <row r="237" spans="1:15" ht="15.75" customHeight="1">
      <c r="A237" s="4" t="s">
        <v>49</v>
      </c>
      <c r="B237" s="4">
        <v>220736</v>
      </c>
      <c r="C237" s="4">
        <v>221523</v>
      </c>
      <c r="E237" s="4" t="s">
        <v>55</v>
      </c>
      <c r="F237" s="4" t="s">
        <v>717</v>
      </c>
      <c r="I237" s="4" t="s">
        <v>52</v>
      </c>
      <c r="L237" s="4" t="s">
        <v>718</v>
      </c>
      <c r="M237" s="4" t="s">
        <v>717</v>
      </c>
      <c r="N237" s="4">
        <v>262</v>
      </c>
      <c r="O237" s="4" t="s">
        <v>719</v>
      </c>
    </row>
    <row r="238" spans="1:15" ht="15.75" customHeight="1">
      <c r="A238" s="4" t="s">
        <v>49</v>
      </c>
      <c r="B238" s="4">
        <v>221522</v>
      </c>
      <c r="C238" s="4">
        <v>222286</v>
      </c>
      <c r="E238" s="4" t="s">
        <v>50</v>
      </c>
      <c r="F238" s="4" t="s">
        <v>720</v>
      </c>
      <c r="I238" s="4" t="s">
        <v>52</v>
      </c>
      <c r="L238" s="4" t="s">
        <v>721</v>
      </c>
      <c r="M238" s="4" t="s">
        <v>720</v>
      </c>
      <c r="N238" s="4">
        <v>254</v>
      </c>
      <c r="O238" s="4" t="s">
        <v>722</v>
      </c>
    </row>
    <row r="239" spans="1:15" ht="15.75" customHeight="1">
      <c r="A239" s="4" t="s">
        <v>49</v>
      </c>
      <c r="B239" s="4">
        <v>222443</v>
      </c>
      <c r="C239" s="4">
        <v>223501</v>
      </c>
      <c r="E239" s="4" t="s">
        <v>50</v>
      </c>
      <c r="F239" s="4" t="s">
        <v>723</v>
      </c>
      <c r="I239" s="4" t="s">
        <v>52</v>
      </c>
      <c r="L239" s="4" t="s">
        <v>724</v>
      </c>
      <c r="M239" s="4" t="s">
        <v>723</v>
      </c>
      <c r="N239" s="4">
        <v>352</v>
      </c>
      <c r="O239" s="4" t="s">
        <v>725</v>
      </c>
    </row>
    <row r="240" spans="1:15" ht="15.75" customHeight="1">
      <c r="A240" s="4" t="s">
        <v>49</v>
      </c>
      <c r="B240" s="4">
        <v>223514</v>
      </c>
      <c r="C240" s="4">
        <v>224593</v>
      </c>
      <c r="E240" s="4" t="s">
        <v>50</v>
      </c>
      <c r="F240" s="4" t="s">
        <v>73</v>
      </c>
      <c r="I240" s="4" t="s">
        <v>52</v>
      </c>
      <c r="L240" s="4" t="s">
        <v>726</v>
      </c>
      <c r="M240" s="4" t="s">
        <v>73</v>
      </c>
      <c r="N240" s="4">
        <v>359</v>
      </c>
      <c r="O240" s="4" t="s">
        <v>727</v>
      </c>
    </row>
    <row r="241" spans="1:15" ht="15.75" customHeight="1">
      <c r="A241" s="4" t="s">
        <v>49</v>
      </c>
      <c r="B241" s="4">
        <v>224594</v>
      </c>
      <c r="C241" s="4">
        <v>226258</v>
      </c>
      <c r="E241" s="4" t="s">
        <v>50</v>
      </c>
      <c r="F241" s="4" t="s">
        <v>728</v>
      </c>
      <c r="I241" s="4" t="s">
        <v>52</v>
      </c>
      <c r="L241" s="4" t="s">
        <v>729</v>
      </c>
      <c r="M241" s="4" t="s">
        <v>728</v>
      </c>
      <c r="N241" s="4">
        <v>554</v>
      </c>
      <c r="O241" s="4" t="s">
        <v>730</v>
      </c>
    </row>
    <row r="242" spans="1:15" ht="15.75" customHeight="1">
      <c r="A242" s="4" t="s">
        <v>49</v>
      </c>
      <c r="B242" s="4">
        <v>226456</v>
      </c>
      <c r="C242" s="4">
        <v>227313</v>
      </c>
      <c r="E242" s="4" t="s">
        <v>50</v>
      </c>
      <c r="F242" s="4" t="s">
        <v>270</v>
      </c>
      <c r="I242" s="4" t="s">
        <v>52</v>
      </c>
      <c r="L242" s="4" t="s">
        <v>731</v>
      </c>
      <c r="M242" s="4" t="s">
        <v>270</v>
      </c>
      <c r="N242" s="4">
        <v>285</v>
      </c>
      <c r="O242" s="4" t="s">
        <v>732</v>
      </c>
    </row>
    <row r="243" spans="1:15" ht="15.75" customHeight="1">
      <c r="A243" s="4" t="s">
        <v>49</v>
      </c>
      <c r="B243" s="4">
        <v>227427</v>
      </c>
      <c r="C243" s="4">
        <v>228035</v>
      </c>
      <c r="E243" s="4" t="s">
        <v>55</v>
      </c>
      <c r="F243" s="4" t="s">
        <v>194</v>
      </c>
      <c r="I243" s="4" t="s">
        <v>52</v>
      </c>
      <c r="L243" s="4" t="s">
        <v>733</v>
      </c>
      <c r="M243" s="4" t="s">
        <v>194</v>
      </c>
      <c r="N243" s="4">
        <v>202</v>
      </c>
      <c r="O243" s="4" t="s">
        <v>734</v>
      </c>
    </row>
    <row r="244" spans="1:15" ht="15.75" customHeight="1">
      <c r="A244" s="4" t="s">
        <v>49</v>
      </c>
      <c r="B244" s="4">
        <v>228037</v>
      </c>
      <c r="C244" s="4">
        <v>229071</v>
      </c>
      <c r="E244" s="4" t="s">
        <v>55</v>
      </c>
      <c r="F244" s="4" t="s">
        <v>714</v>
      </c>
      <c r="I244" s="4" t="s">
        <v>52</v>
      </c>
      <c r="L244" s="4" t="s">
        <v>735</v>
      </c>
      <c r="M244" s="4" t="s">
        <v>714</v>
      </c>
      <c r="N244" s="4">
        <v>344</v>
      </c>
      <c r="O244" s="4" t="s">
        <v>736</v>
      </c>
    </row>
    <row r="245" spans="1:15" ht="15.75" customHeight="1">
      <c r="A245" s="4" t="s">
        <v>49</v>
      </c>
      <c r="B245" s="4">
        <v>229139</v>
      </c>
      <c r="C245" s="4">
        <v>229903</v>
      </c>
      <c r="E245" s="4" t="s">
        <v>55</v>
      </c>
      <c r="F245" s="4" t="s">
        <v>76</v>
      </c>
      <c r="I245" s="4" t="s">
        <v>52</v>
      </c>
      <c r="L245" s="4" t="s">
        <v>737</v>
      </c>
      <c r="M245" s="4" t="s">
        <v>76</v>
      </c>
      <c r="N245" s="4">
        <v>254</v>
      </c>
      <c r="O245" s="4" t="s">
        <v>738</v>
      </c>
    </row>
    <row r="246" spans="1:15" ht="15.75" customHeight="1">
      <c r="A246" s="4" t="s">
        <v>49</v>
      </c>
      <c r="B246" s="4">
        <v>229900</v>
      </c>
      <c r="C246" s="4">
        <v>230787</v>
      </c>
      <c r="E246" s="4" t="s">
        <v>55</v>
      </c>
      <c r="F246" s="4" t="s">
        <v>73</v>
      </c>
      <c r="I246" s="4" t="s">
        <v>52</v>
      </c>
      <c r="L246" s="4" t="s">
        <v>739</v>
      </c>
      <c r="M246" s="4" t="s">
        <v>73</v>
      </c>
      <c r="N246" s="4">
        <v>295</v>
      </c>
      <c r="O246" s="4" t="s">
        <v>740</v>
      </c>
    </row>
    <row r="247" spans="1:15" ht="15.75" customHeight="1">
      <c r="A247" s="4" t="s">
        <v>49</v>
      </c>
      <c r="B247" s="4">
        <v>230984</v>
      </c>
      <c r="C247" s="4">
        <v>232210</v>
      </c>
      <c r="E247" s="4" t="s">
        <v>55</v>
      </c>
      <c r="F247" s="4" t="s">
        <v>56</v>
      </c>
      <c r="I247" s="4" t="s">
        <v>52</v>
      </c>
      <c r="L247" s="4" t="s">
        <v>741</v>
      </c>
      <c r="M247" s="4" t="s">
        <v>56</v>
      </c>
      <c r="N247" s="4">
        <v>408</v>
      </c>
      <c r="O247" s="4" t="s">
        <v>742</v>
      </c>
    </row>
    <row r="248" spans="1:15" ht="15.75" customHeight="1">
      <c r="A248" s="4" t="s">
        <v>49</v>
      </c>
      <c r="B248" s="4">
        <v>232408</v>
      </c>
      <c r="C248" s="4">
        <v>232812</v>
      </c>
      <c r="E248" s="4" t="s">
        <v>50</v>
      </c>
      <c r="F248" s="4" t="s">
        <v>743</v>
      </c>
      <c r="I248" s="4" t="s">
        <v>52</v>
      </c>
      <c r="L248" s="4" t="s">
        <v>744</v>
      </c>
      <c r="M248" s="4" t="s">
        <v>743</v>
      </c>
      <c r="N248" s="4">
        <v>134</v>
      </c>
      <c r="O248" s="4" t="s">
        <v>745</v>
      </c>
    </row>
    <row r="249" spans="1:15" ht="15.75" customHeight="1">
      <c r="A249" s="4" t="s">
        <v>49</v>
      </c>
      <c r="B249" s="4">
        <v>232805</v>
      </c>
      <c r="C249" s="4">
        <v>233131</v>
      </c>
      <c r="E249" s="4" t="s">
        <v>50</v>
      </c>
      <c r="F249" s="4" t="s">
        <v>746</v>
      </c>
      <c r="I249" s="4" t="s">
        <v>52</v>
      </c>
      <c r="L249" s="4" t="s">
        <v>747</v>
      </c>
      <c r="M249" s="4" t="s">
        <v>746</v>
      </c>
      <c r="N249" s="4">
        <v>108</v>
      </c>
      <c r="O249" s="4" t="s">
        <v>748</v>
      </c>
    </row>
    <row r="250" spans="1:15" ht="15.75" customHeight="1">
      <c r="A250" s="4" t="s">
        <v>49</v>
      </c>
      <c r="B250" s="4">
        <v>233744</v>
      </c>
      <c r="C250" s="4">
        <v>235921</v>
      </c>
      <c r="E250" s="4" t="s">
        <v>50</v>
      </c>
      <c r="F250" s="4" t="s">
        <v>749</v>
      </c>
      <c r="I250" s="4" t="s">
        <v>52</v>
      </c>
      <c r="L250" s="4" t="s">
        <v>750</v>
      </c>
      <c r="M250" s="4" t="s">
        <v>749</v>
      </c>
      <c r="N250" s="4">
        <v>725</v>
      </c>
      <c r="O250" s="4" t="s">
        <v>751</v>
      </c>
    </row>
    <row r="251" spans="1:15" ht="15.75" customHeight="1">
      <c r="A251" s="4" t="s">
        <v>49</v>
      </c>
      <c r="B251" s="4">
        <v>236096</v>
      </c>
      <c r="C251" s="4">
        <v>236533</v>
      </c>
      <c r="E251" s="4" t="s">
        <v>55</v>
      </c>
      <c r="F251" s="4" t="s">
        <v>56</v>
      </c>
      <c r="I251" s="4" t="s">
        <v>52</v>
      </c>
      <c r="L251" s="4" t="s">
        <v>752</v>
      </c>
      <c r="M251" s="4" t="s">
        <v>56</v>
      </c>
      <c r="N251" s="4">
        <v>145</v>
      </c>
      <c r="O251" s="4" t="s">
        <v>753</v>
      </c>
    </row>
    <row r="252" spans="1:15" ht="15.75" customHeight="1">
      <c r="A252" s="4" t="s">
        <v>49</v>
      </c>
      <c r="B252" s="4">
        <v>237217</v>
      </c>
      <c r="C252" s="4">
        <v>238899</v>
      </c>
      <c r="E252" s="4" t="s">
        <v>50</v>
      </c>
      <c r="F252" s="4" t="s">
        <v>56</v>
      </c>
      <c r="I252" s="4" t="s">
        <v>52</v>
      </c>
      <c r="L252" s="4" t="s">
        <v>754</v>
      </c>
      <c r="M252" s="4" t="s">
        <v>56</v>
      </c>
      <c r="N252" s="4">
        <v>560</v>
      </c>
      <c r="O252" s="4" t="s">
        <v>755</v>
      </c>
    </row>
    <row r="253" spans="1:15" ht="15.75" customHeight="1">
      <c r="A253" s="4" t="s">
        <v>49</v>
      </c>
      <c r="B253" s="4">
        <v>238964</v>
      </c>
      <c r="C253" s="4">
        <v>239827</v>
      </c>
      <c r="E253" s="4" t="s">
        <v>55</v>
      </c>
      <c r="F253" s="4" t="s">
        <v>348</v>
      </c>
      <c r="I253" s="4" t="s">
        <v>52</v>
      </c>
      <c r="L253" s="4" t="s">
        <v>756</v>
      </c>
      <c r="M253" s="4" t="s">
        <v>348</v>
      </c>
      <c r="N253" s="4">
        <v>287</v>
      </c>
      <c r="O253" s="4" t="s">
        <v>757</v>
      </c>
    </row>
    <row r="254" spans="1:15" ht="15.75" customHeight="1">
      <c r="A254" s="4" t="s">
        <v>49</v>
      </c>
      <c r="B254" s="4">
        <v>239896</v>
      </c>
      <c r="C254" s="4">
        <v>240624</v>
      </c>
      <c r="E254" s="4" t="s">
        <v>50</v>
      </c>
      <c r="F254" s="4" t="s">
        <v>92</v>
      </c>
      <c r="I254" s="4" t="s">
        <v>52</v>
      </c>
      <c r="L254" s="4" t="s">
        <v>758</v>
      </c>
      <c r="M254" s="4" t="s">
        <v>92</v>
      </c>
      <c r="N254" s="4">
        <v>242</v>
      </c>
      <c r="O254" s="4" t="s">
        <v>759</v>
      </c>
    </row>
    <row r="255" spans="1:15" ht="15.75" customHeight="1">
      <c r="A255" s="4" t="s">
        <v>49</v>
      </c>
      <c r="B255" s="4">
        <v>240621</v>
      </c>
      <c r="C255" s="4">
        <v>241499</v>
      </c>
      <c r="E255" s="4" t="s">
        <v>50</v>
      </c>
      <c r="F255" s="4" t="s">
        <v>348</v>
      </c>
      <c r="I255" s="4" t="s">
        <v>52</v>
      </c>
      <c r="L255" s="4" t="s">
        <v>760</v>
      </c>
      <c r="M255" s="4" t="s">
        <v>348</v>
      </c>
      <c r="N255" s="4">
        <v>292</v>
      </c>
      <c r="O255" s="4" t="s">
        <v>761</v>
      </c>
    </row>
    <row r="256" spans="1:15" ht="15.75" customHeight="1">
      <c r="A256" s="4" t="s">
        <v>49</v>
      </c>
      <c r="B256" s="4">
        <v>241509</v>
      </c>
      <c r="C256" s="4">
        <v>241817</v>
      </c>
      <c r="E256" s="4" t="s">
        <v>55</v>
      </c>
      <c r="F256" s="4" t="s">
        <v>351</v>
      </c>
      <c r="I256" s="4" t="s">
        <v>52</v>
      </c>
      <c r="L256" s="4" t="s">
        <v>762</v>
      </c>
      <c r="M256" s="4" t="s">
        <v>351</v>
      </c>
      <c r="N256" s="4">
        <v>102</v>
      </c>
      <c r="O256" s="4" t="s">
        <v>763</v>
      </c>
    </row>
    <row r="257" spans="1:15" ht="15.75" customHeight="1">
      <c r="A257" s="4" t="s">
        <v>49</v>
      </c>
      <c r="B257" s="4">
        <v>242438</v>
      </c>
      <c r="C257" s="4">
        <v>243872</v>
      </c>
      <c r="E257" s="4" t="s">
        <v>50</v>
      </c>
      <c r="F257" s="4" t="s">
        <v>345</v>
      </c>
      <c r="I257" s="4" t="s">
        <v>346</v>
      </c>
      <c r="O257" s="4" t="s">
        <v>764</v>
      </c>
    </row>
    <row r="258" spans="1:15" ht="15.75" customHeight="1">
      <c r="A258" s="4" t="s">
        <v>49</v>
      </c>
      <c r="B258" s="4">
        <v>243987</v>
      </c>
      <c r="C258" s="4">
        <v>244829</v>
      </c>
      <c r="E258" s="4" t="s">
        <v>55</v>
      </c>
      <c r="F258" s="4" t="s">
        <v>348</v>
      </c>
      <c r="I258" s="4" t="s">
        <v>52</v>
      </c>
      <c r="L258" s="4" t="s">
        <v>765</v>
      </c>
      <c r="M258" s="4" t="s">
        <v>348</v>
      </c>
      <c r="N258" s="4">
        <v>280</v>
      </c>
      <c r="O258" s="4" t="s">
        <v>766</v>
      </c>
    </row>
    <row r="259" spans="1:15" ht="15.75" customHeight="1">
      <c r="A259" s="4" t="s">
        <v>49</v>
      </c>
      <c r="B259" s="4">
        <v>244883</v>
      </c>
      <c r="C259" s="4">
        <v>245134</v>
      </c>
      <c r="E259" s="4" t="s">
        <v>55</v>
      </c>
      <c r="F259" s="4" t="s">
        <v>348</v>
      </c>
      <c r="I259" s="4" t="s">
        <v>52</v>
      </c>
      <c r="L259" s="4" t="s">
        <v>767</v>
      </c>
      <c r="M259" s="4" t="s">
        <v>348</v>
      </c>
      <c r="N259" s="4">
        <v>83</v>
      </c>
      <c r="O259" s="4" t="s">
        <v>768</v>
      </c>
    </row>
    <row r="260" spans="1:15" ht="15.75" customHeight="1">
      <c r="A260" s="4" t="s">
        <v>49</v>
      </c>
      <c r="B260" s="4">
        <v>245240</v>
      </c>
      <c r="C260" s="4">
        <v>245485</v>
      </c>
      <c r="E260" s="4" t="s">
        <v>55</v>
      </c>
      <c r="F260" s="4" t="s">
        <v>769</v>
      </c>
      <c r="I260" s="4" t="s">
        <v>52</v>
      </c>
      <c r="L260" s="4" t="s">
        <v>770</v>
      </c>
      <c r="M260" s="4" t="s">
        <v>769</v>
      </c>
      <c r="N260" s="4">
        <v>81</v>
      </c>
      <c r="O260" s="4" t="s">
        <v>771</v>
      </c>
    </row>
    <row r="261" spans="1:15" ht="15.75" customHeight="1">
      <c r="A261" s="4" t="s">
        <v>49</v>
      </c>
      <c r="B261" s="4">
        <v>245483</v>
      </c>
      <c r="C261" s="4">
        <v>246253</v>
      </c>
      <c r="E261" s="4" t="s">
        <v>55</v>
      </c>
      <c r="F261" s="4" t="s">
        <v>345</v>
      </c>
      <c r="I261" s="4" t="s">
        <v>346</v>
      </c>
      <c r="O261" s="4" t="s">
        <v>772</v>
      </c>
    </row>
    <row r="262" spans="1:15" ht="15.75" customHeight="1">
      <c r="A262" s="4" t="s">
        <v>49</v>
      </c>
      <c r="B262" s="4">
        <v>246564</v>
      </c>
      <c r="C262" s="4">
        <v>246752</v>
      </c>
      <c r="E262" s="4" t="s">
        <v>55</v>
      </c>
      <c r="F262" s="4" t="s">
        <v>56</v>
      </c>
      <c r="I262" s="4" t="s">
        <v>52</v>
      </c>
      <c r="L262" s="4" t="s">
        <v>773</v>
      </c>
      <c r="M262" s="4" t="s">
        <v>56</v>
      </c>
      <c r="N262" s="4">
        <v>62</v>
      </c>
      <c r="O262" s="4" t="s">
        <v>774</v>
      </c>
    </row>
    <row r="263" spans="1:15" ht="15.75" customHeight="1">
      <c r="A263" s="4" t="s">
        <v>49</v>
      </c>
      <c r="B263" s="4">
        <v>246778</v>
      </c>
      <c r="C263" s="4">
        <v>247149</v>
      </c>
      <c r="E263" s="4" t="s">
        <v>55</v>
      </c>
      <c r="F263" s="4" t="s">
        <v>775</v>
      </c>
      <c r="G263" s="4" t="s">
        <v>776</v>
      </c>
      <c r="I263" s="4" t="s">
        <v>52</v>
      </c>
      <c r="L263" s="4" t="s">
        <v>777</v>
      </c>
      <c r="M263" s="4" t="s">
        <v>775</v>
      </c>
      <c r="N263" s="4">
        <v>123</v>
      </c>
      <c r="O263" s="4" t="s">
        <v>778</v>
      </c>
    </row>
    <row r="264" spans="1:15" ht="15.75" customHeight="1">
      <c r="A264" s="4" t="s">
        <v>49</v>
      </c>
      <c r="B264" s="4">
        <v>247261</v>
      </c>
      <c r="C264" s="4">
        <v>248676</v>
      </c>
      <c r="E264" s="4" t="s">
        <v>50</v>
      </c>
      <c r="F264" s="4" t="s">
        <v>779</v>
      </c>
      <c r="I264" s="4" t="s">
        <v>52</v>
      </c>
      <c r="L264" s="4" t="s">
        <v>780</v>
      </c>
      <c r="M264" s="4" t="s">
        <v>779</v>
      </c>
      <c r="N264" s="4">
        <v>471</v>
      </c>
      <c r="O264" s="4" t="s">
        <v>781</v>
      </c>
    </row>
    <row r="265" spans="1:15" ht="15.75" customHeight="1">
      <c r="A265" s="4" t="s">
        <v>49</v>
      </c>
      <c r="B265" s="4">
        <v>248860</v>
      </c>
      <c r="C265" s="4">
        <v>249528</v>
      </c>
      <c r="E265" s="4" t="s">
        <v>50</v>
      </c>
      <c r="F265" s="4" t="s">
        <v>56</v>
      </c>
      <c r="I265" s="4" t="s">
        <v>52</v>
      </c>
      <c r="L265" s="4" t="s">
        <v>782</v>
      </c>
      <c r="M265" s="4" t="s">
        <v>56</v>
      </c>
      <c r="N265" s="4">
        <v>222</v>
      </c>
      <c r="O265" s="4" t="s">
        <v>783</v>
      </c>
    </row>
    <row r="266" spans="1:15" ht="15.75" customHeight="1">
      <c r="A266" s="4" t="s">
        <v>49</v>
      </c>
      <c r="B266" s="4">
        <v>249630</v>
      </c>
      <c r="C266" s="4">
        <v>250472</v>
      </c>
      <c r="E266" s="4" t="s">
        <v>55</v>
      </c>
      <c r="F266" s="4" t="s">
        <v>348</v>
      </c>
      <c r="I266" s="4" t="s">
        <v>52</v>
      </c>
      <c r="L266" s="4" t="s">
        <v>765</v>
      </c>
      <c r="M266" s="4" t="s">
        <v>348</v>
      </c>
      <c r="N266" s="4">
        <v>280</v>
      </c>
      <c r="O266" s="4" t="s">
        <v>784</v>
      </c>
    </row>
    <row r="267" spans="1:15" ht="15.75" customHeight="1">
      <c r="A267" s="4" t="s">
        <v>49</v>
      </c>
      <c r="B267" s="4">
        <v>250526</v>
      </c>
      <c r="C267" s="4">
        <v>250777</v>
      </c>
      <c r="E267" s="4" t="s">
        <v>55</v>
      </c>
      <c r="F267" s="4" t="s">
        <v>348</v>
      </c>
      <c r="I267" s="4" t="s">
        <v>52</v>
      </c>
      <c r="L267" s="4" t="s">
        <v>767</v>
      </c>
      <c r="M267" s="4" t="s">
        <v>348</v>
      </c>
      <c r="N267" s="4">
        <v>83</v>
      </c>
      <c r="O267" s="4" t="s">
        <v>785</v>
      </c>
    </row>
    <row r="268" spans="1:15" ht="15.75" customHeight="1">
      <c r="A268" s="4" t="s">
        <v>49</v>
      </c>
      <c r="B268" s="4">
        <v>250845</v>
      </c>
      <c r="C268" s="4">
        <v>252089</v>
      </c>
      <c r="E268" s="4" t="s">
        <v>55</v>
      </c>
      <c r="F268" s="4" t="s">
        <v>56</v>
      </c>
      <c r="I268" s="4" t="s">
        <v>52</v>
      </c>
      <c r="L268" s="4" t="s">
        <v>786</v>
      </c>
      <c r="M268" s="4" t="s">
        <v>56</v>
      </c>
      <c r="N268" s="4">
        <v>414</v>
      </c>
      <c r="O268" s="4" t="s">
        <v>787</v>
      </c>
    </row>
    <row r="269" spans="1:15" ht="15.75" customHeight="1">
      <c r="A269" s="4" t="s">
        <v>49</v>
      </c>
      <c r="B269" s="4">
        <v>253600</v>
      </c>
      <c r="C269" s="4">
        <v>253812</v>
      </c>
      <c r="E269" s="4" t="s">
        <v>55</v>
      </c>
      <c r="F269" s="4" t="s">
        <v>56</v>
      </c>
      <c r="I269" s="4" t="s">
        <v>52</v>
      </c>
      <c r="L269" s="4" t="s">
        <v>788</v>
      </c>
      <c r="M269" s="4" t="s">
        <v>56</v>
      </c>
      <c r="N269" s="4">
        <v>70</v>
      </c>
      <c r="O269" s="4" t="s">
        <v>789</v>
      </c>
    </row>
    <row r="270" spans="1:15" ht="15.75" customHeight="1">
      <c r="A270" s="4" t="s">
        <v>49</v>
      </c>
      <c r="B270" s="4">
        <v>254013</v>
      </c>
      <c r="C270" s="4">
        <v>254570</v>
      </c>
      <c r="E270" s="4" t="s">
        <v>55</v>
      </c>
      <c r="F270" s="4" t="s">
        <v>92</v>
      </c>
      <c r="I270" s="4" t="s">
        <v>52</v>
      </c>
      <c r="L270" s="4" t="s">
        <v>790</v>
      </c>
      <c r="M270" s="4" t="s">
        <v>92</v>
      </c>
      <c r="N270" s="4">
        <v>185</v>
      </c>
      <c r="O270" s="4" t="s">
        <v>791</v>
      </c>
    </row>
    <row r="271" spans="1:15" ht="15.75" customHeight="1">
      <c r="A271" s="4" t="s">
        <v>49</v>
      </c>
      <c r="B271" s="4">
        <v>254817</v>
      </c>
      <c r="C271" s="4">
        <v>255428</v>
      </c>
      <c r="E271" s="4" t="s">
        <v>55</v>
      </c>
      <c r="F271" s="4" t="s">
        <v>792</v>
      </c>
      <c r="G271" s="4" t="s">
        <v>793</v>
      </c>
      <c r="I271" s="4" t="s">
        <v>52</v>
      </c>
      <c r="L271" s="4" t="s">
        <v>794</v>
      </c>
      <c r="M271" s="4" t="s">
        <v>792</v>
      </c>
      <c r="N271" s="4">
        <v>203</v>
      </c>
      <c r="O271" s="4" t="s">
        <v>795</v>
      </c>
    </row>
    <row r="272" spans="1:15" ht="15.75" customHeight="1">
      <c r="A272" s="4" t="s">
        <v>49</v>
      </c>
      <c r="B272" s="4">
        <v>255604</v>
      </c>
      <c r="C272" s="4">
        <v>256086</v>
      </c>
      <c r="E272" s="4" t="s">
        <v>55</v>
      </c>
      <c r="F272" s="4" t="s">
        <v>796</v>
      </c>
      <c r="I272" s="4" t="s">
        <v>52</v>
      </c>
      <c r="L272" s="4" t="s">
        <v>797</v>
      </c>
      <c r="M272" s="4" t="s">
        <v>796</v>
      </c>
      <c r="N272" s="4">
        <v>160</v>
      </c>
      <c r="O272" s="4" t="s">
        <v>798</v>
      </c>
    </row>
    <row r="273" spans="1:15" ht="15.75" customHeight="1">
      <c r="A273" s="4" t="s">
        <v>49</v>
      </c>
      <c r="B273" s="4">
        <v>256263</v>
      </c>
      <c r="C273" s="4">
        <v>257966</v>
      </c>
      <c r="E273" s="4" t="s">
        <v>50</v>
      </c>
      <c r="F273" s="4" t="s">
        <v>799</v>
      </c>
      <c r="G273" s="4" t="s">
        <v>800</v>
      </c>
      <c r="I273" s="4" t="s">
        <v>52</v>
      </c>
      <c r="L273" s="4" t="s">
        <v>801</v>
      </c>
      <c r="M273" s="4" t="s">
        <v>799</v>
      </c>
      <c r="N273" s="4">
        <v>567</v>
      </c>
      <c r="O273" s="4" t="s">
        <v>802</v>
      </c>
    </row>
    <row r="274" spans="1:15" ht="15.75" customHeight="1">
      <c r="A274" s="4" t="s">
        <v>49</v>
      </c>
      <c r="B274" s="4">
        <v>258090</v>
      </c>
      <c r="C274" s="4">
        <v>259334</v>
      </c>
      <c r="E274" s="4" t="s">
        <v>55</v>
      </c>
      <c r="F274" s="4" t="s">
        <v>803</v>
      </c>
      <c r="I274" s="4" t="s">
        <v>52</v>
      </c>
      <c r="L274" s="4" t="s">
        <v>804</v>
      </c>
      <c r="M274" s="4" t="s">
        <v>803</v>
      </c>
      <c r="N274" s="4">
        <v>414</v>
      </c>
      <c r="O274" s="4" t="s">
        <v>805</v>
      </c>
    </row>
    <row r="275" spans="1:15" ht="15.75" customHeight="1">
      <c r="A275" s="4" t="s">
        <v>49</v>
      </c>
      <c r="B275" s="4">
        <v>259745</v>
      </c>
      <c r="C275" s="4">
        <v>260902</v>
      </c>
      <c r="E275" s="4" t="s">
        <v>50</v>
      </c>
      <c r="F275" s="4" t="s">
        <v>806</v>
      </c>
      <c r="I275" s="4" t="s">
        <v>52</v>
      </c>
      <c r="L275" s="4" t="s">
        <v>807</v>
      </c>
      <c r="M275" s="4" t="s">
        <v>806</v>
      </c>
      <c r="N275" s="4">
        <v>385</v>
      </c>
      <c r="O275" s="4" t="s">
        <v>808</v>
      </c>
    </row>
    <row r="276" spans="1:15" ht="15.75" customHeight="1">
      <c r="A276" s="4" t="s">
        <v>49</v>
      </c>
      <c r="B276" s="4">
        <v>260919</v>
      </c>
      <c r="C276" s="4">
        <v>262136</v>
      </c>
      <c r="E276" s="4" t="s">
        <v>50</v>
      </c>
      <c r="F276" s="4" t="s">
        <v>809</v>
      </c>
      <c r="G276" s="4" t="s">
        <v>810</v>
      </c>
      <c r="I276" s="4" t="s">
        <v>52</v>
      </c>
      <c r="L276" s="4" t="s">
        <v>811</v>
      </c>
      <c r="M276" s="4" t="s">
        <v>809</v>
      </c>
      <c r="N276" s="4">
        <v>405</v>
      </c>
      <c r="O276" s="4" t="s">
        <v>812</v>
      </c>
    </row>
    <row r="277" spans="1:15" ht="15.75" customHeight="1">
      <c r="A277" s="4" t="s">
        <v>49</v>
      </c>
      <c r="B277" s="4">
        <v>262442</v>
      </c>
      <c r="C277" s="4">
        <v>263095</v>
      </c>
      <c r="E277" s="4" t="s">
        <v>50</v>
      </c>
      <c r="F277" s="4" t="s">
        <v>813</v>
      </c>
      <c r="I277" s="4" t="s">
        <v>52</v>
      </c>
      <c r="L277" s="4" t="s">
        <v>814</v>
      </c>
      <c r="M277" s="4" t="s">
        <v>813</v>
      </c>
      <c r="N277" s="4">
        <v>217</v>
      </c>
      <c r="O277" s="4" t="s">
        <v>815</v>
      </c>
    </row>
    <row r="278" spans="1:15" ht="15.75" customHeight="1">
      <c r="A278" s="4" t="s">
        <v>49</v>
      </c>
      <c r="B278" s="4">
        <v>263470</v>
      </c>
      <c r="C278" s="4">
        <v>266112</v>
      </c>
      <c r="E278" s="4" t="s">
        <v>50</v>
      </c>
      <c r="F278" s="4" t="s">
        <v>816</v>
      </c>
      <c r="I278" s="4" t="s">
        <v>52</v>
      </c>
      <c r="L278" s="4" t="s">
        <v>817</v>
      </c>
      <c r="M278" s="4" t="s">
        <v>816</v>
      </c>
      <c r="N278" s="4">
        <v>880</v>
      </c>
      <c r="O278" s="4" t="s">
        <v>818</v>
      </c>
    </row>
    <row r="279" spans="1:15" ht="15.75" customHeight="1">
      <c r="A279" s="4" t="s">
        <v>49</v>
      </c>
      <c r="B279" s="4">
        <v>266404</v>
      </c>
      <c r="C279" s="4">
        <v>267681</v>
      </c>
      <c r="E279" s="4" t="s">
        <v>50</v>
      </c>
      <c r="F279" s="4" t="s">
        <v>819</v>
      </c>
      <c r="I279" s="4" t="s">
        <v>52</v>
      </c>
      <c r="L279" s="4" t="s">
        <v>820</v>
      </c>
      <c r="M279" s="4" t="s">
        <v>819</v>
      </c>
      <c r="N279" s="4">
        <v>425</v>
      </c>
      <c r="O279" s="4" t="s">
        <v>821</v>
      </c>
    </row>
    <row r="280" spans="1:15" ht="15.75" customHeight="1">
      <c r="A280" s="4" t="s">
        <v>49</v>
      </c>
      <c r="B280" s="4">
        <v>267952</v>
      </c>
      <c r="C280" s="4">
        <v>268596</v>
      </c>
      <c r="E280" s="4" t="s">
        <v>50</v>
      </c>
      <c r="F280" s="4" t="s">
        <v>625</v>
      </c>
      <c r="I280" s="4" t="s">
        <v>52</v>
      </c>
      <c r="L280" s="4" t="s">
        <v>822</v>
      </c>
      <c r="M280" s="4" t="s">
        <v>625</v>
      </c>
      <c r="N280" s="4">
        <v>214</v>
      </c>
      <c r="O280" s="4" t="s">
        <v>823</v>
      </c>
    </row>
    <row r="281" spans="1:15" ht="15.75" customHeight="1">
      <c r="A281" s="4" t="s">
        <v>49</v>
      </c>
      <c r="B281" s="4">
        <v>268658</v>
      </c>
      <c r="C281" s="4">
        <v>269326</v>
      </c>
      <c r="E281" s="4" t="s">
        <v>50</v>
      </c>
      <c r="F281" s="4" t="s">
        <v>824</v>
      </c>
      <c r="G281" s="4" t="s">
        <v>825</v>
      </c>
      <c r="I281" s="4" t="s">
        <v>52</v>
      </c>
      <c r="L281" s="4" t="s">
        <v>826</v>
      </c>
      <c r="M281" s="4" t="s">
        <v>824</v>
      </c>
      <c r="N281" s="4">
        <v>222</v>
      </c>
      <c r="O281" s="4" t="s">
        <v>827</v>
      </c>
    </row>
    <row r="282" spans="1:15" ht="15.75" customHeight="1">
      <c r="A282" s="4" t="s">
        <v>49</v>
      </c>
      <c r="B282" s="4">
        <v>269466</v>
      </c>
      <c r="C282" s="4">
        <v>270467</v>
      </c>
      <c r="E282" s="4" t="s">
        <v>50</v>
      </c>
      <c r="F282" s="4" t="s">
        <v>566</v>
      </c>
      <c r="I282" s="4" t="s">
        <v>52</v>
      </c>
      <c r="L282" s="4" t="s">
        <v>828</v>
      </c>
      <c r="M282" s="4" t="s">
        <v>566</v>
      </c>
      <c r="N282" s="4">
        <v>333</v>
      </c>
      <c r="O282" s="4" t="s">
        <v>829</v>
      </c>
    </row>
    <row r="283" spans="1:15" ht="15.75" customHeight="1">
      <c r="A283" s="4" t="s">
        <v>49</v>
      </c>
      <c r="B283" s="4">
        <v>270556</v>
      </c>
      <c r="C283" s="4">
        <v>271416</v>
      </c>
      <c r="E283" s="4" t="s">
        <v>50</v>
      </c>
      <c r="F283" s="4" t="s">
        <v>830</v>
      </c>
      <c r="G283" s="4" t="s">
        <v>831</v>
      </c>
      <c r="I283" s="4" t="s">
        <v>52</v>
      </c>
      <c r="L283" s="4" t="s">
        <v>832</v>
      </c>
      <c r="M283" s="4" t="s">
        <v>830</v>
      </c>
      <c r="N283" s="4">
        <v>286</v>
      </c>
      <c r="O283" s="4" t="s">
        <v>833</v>
      </c>
    </row>
    <row r="284" spans="1:15" ht="15.75" customHeight="1">
      <c r="A284" s="4" t="s">
        <v>49</v>
      </c>
      <c r="B284" s="4">
        <v>271418</v>
      </c>
      <c r="C284" s="4">
        <v>271948</v>
      </c>
      <c r="E284" s="4" t="s">
        <v>50</v>
      </c>
      <c r="F284" s="4" t="s">
        <v>834</v>
      </c>
      <c r="G284" s="4" t="s">
        <v>835</v>
      </c>
      <c r="I284" s="4" t="s">
        <v>52</v>
      </c>
      <c r="L284" s="4" t="s">
        <v>836</v>
      </c>
      <c r="M284" s="4" t="s">
        <v>834</v>
      </c>
      <c r="N284" s="4">
        <v>176</v>
      </c>
      <c r="O284" s="4" t="s">
        <v>837</v>
      </c>
    </row>
    <row r="285" spans="1:15" ht="15.75" customHeight="1">
      <c r="A285" s="4" t="s">
        <v>49</v>
      </c>
      <c r="B285" s="4">
        <v>271962</v>
      </c>
      <c r="C285" s="4">
        <v>272618</v>
      </c>
      <c r="E285" s="4" t="s">
        <v>50</v>
      </c>
      <c r="F285" s="4" t="s">
        <v>838</v>
      </c>
      <c r="I285" s="4" t="s">
        <v>52</v>
      </c>
      <c r="L285" s="4" t="s">
        <v>839</v>
      </c>
      <c r="M285" s="4" t="s">
        <v>838</v>
      </c>
      <c r="N285" s="4">
        <v>218</v>
      </c>
      <c r="O285" s="4" t="s">
        <v>840</v>
      </c>
    </row>
    <row r="286" spans="1:15" ht="15.75" customHeight="1">
      <c r="A286" s="4" t="s">
        <v>49</v>
      </c>
      <c r="B286" s="4">
        <v>272619</v>
      </c>
      <c r="C286" s="4">
        <v>273416</v>
      </c>
      <c r="E286" s="4" t="s">
        <v>50</v>
      </c>
      <c r="F286" s="4" t="s">
        <v>841</v>
      </c>
      <c r="G286" s="4" t="s">
        <v>842</v>
      </c>
      <c r="I286" s="4" t="s">
        <v>52</v>
      </c>
      <c r="L286" s="4" t="s">
        <v>843</v>
      </c>
      <c r="M286" s="4" t="s">
        <v>841</v>
      </c>
      <c r="N286" s="4">
        <v>265</v>
      </c>
      <c r="O286" s="4" t="s">
        <v>844</v>
      </c>
    </row>
    <row r="287" spans="1:15" ht="15.75" customHeight="1">
      <c r="A287" s="4" t="s">
        <v>49</v>
      </c>
      <c r="B287" s="4">
        <v>274082</v>
      </c>
      <c r="C287" s="4">
        <v>274738</v>
      </c>
      <c r="E287" s="4" t="s">
        <v>50</v>
      </c>
      <c r="F287" s="4" t="s">
        <v>845</v>
      </c>
      <c r="I287" s="4" t="s">
        <v>52</v>
      </c>
      <c r="L287" s="4" t="s">
        <v>846</v>
      </c>
      <c r="M287" s="4" t="s">
        <v>845</v>
      </c>
      <c r="N287" s="4">
        <v>218</v>
      </c>
      <c r="O287" s="4" t="s">
        <v>847</v>
      </c>
    </row>
    <row r="288" spans="1:15" ht="15.75" customHeight="1">
      <c r="A288" s="4" t="s">
        <v>49</v>
      </c>
      <c r="B288" s="4">
        <v>274751</v>
      </c>
      <c r="C288" s="4">
        <v>275389</v>
      </c>
      <c r="E288" s="4" t="s">
        <v>50</v>
      </c>
      <c r="F288" s="4" t="s">
        <v>848</v>
      </c>
      <c r="I288" s="4" t="s">
        <v>52</v>
      </c>
      <c r="L288" s="4" t="s">
        <v>849</v>
      </c>
      <c r="M288" s="4" t="s">
        <v>848</v>
      </c>
      <c r="N288" s="4">
        <v>212</v>
      </c>
      <c r="O288" s="4" t="s">
        <v>850</v>
      </c>
    </row>
    <row r="289" spans="1:15" ht="15.75" customHeight="1">
      <c r="A289" s="4" t="s">
        <v>49</v>
      </c>
      <c r="B289" s="4">
        <v>275386</v>
      </c>
      <c r="C289" s="4">
        <v>276198</v>
      </c>
      <c r="E289" s="4" t="s">
        <v>50</v>
      </c>
      <c r="F289" s="4" t="s">
        <v>851</v>
      </c>
      <c r="I289" s="4" t="s">
        <v>52</v>
      </c>
      <c r="L289" s="4" t="s">
        <v>852</v>
      </c>
      <c r="M289" s="4" t="s">
        <v>851</v>
      </c>
      <c r="N289" s="4">
        <v>270</v>
      </c>
      <c r="O289" s="4" t="s">
        <v>853</v>
      </c>
    </row>
    <row r="290" spans="1:15" ht="15.75" customHeight="1">
      <c r="A290" s="4" t="s">
        <v>49</v>
      </c>
      <c r="B290" s="4">
        <v>276431</v>
      </c>
      <c r="C290" s="4">
        <v>277864</v>
      </c>
      <c r="E290" s="4" t="s">
        <v>50</v>
      </c>
      <c r="F290" s="4" t="s">
        <v>854</v>
      </c>
      <c r="G290" s="4" t="s">
        <v>855</v>
      </c>
      <c r="I290" s="4" t="s">
        <v>52</v>
      </c>
      <c r="L290" s="4" t="s">
        <v>856</v>
      </c>
      <c r="M290" s="4" t="s">
        <v>854</v>
      </c>
      <c r="N290" s="4">
        <v>477</v>
      </c>
      <c r="O290" s="4" t="s">
        <v>857</v>
      </c>
    </row>
    <row r="291" spans="1:15" ht="15.75" customHeight="1">
      <c r="A291" s="4" t="s">
        <v>49</v>
      </c>
      <c r="B291" s="4">
        <v>277949</v>
      </c>
      <c r="C291" s="4">
        <v>278068</v>
      </c>
      <c r="E291" s="4" t="s">
        <v>55</v>
      </c>
      <c r="F291" s="4" t="s">
        <v>858</v>
      </c>
      <c r="I291" s="4" t="s">
        <v>52</v>
      </c>
      <c r="L291" s="4" t="s">
        <v>859</v>
      </c>
      <c r="M291" s="4" t="s">
        <v>858</v>
      </c>
      <c r="N291" s="4">
        <v>39</v>
      </c>
      <c r="O291" s="4" t="s">
        <v>860</v>
      </c>
    </row>
    <row r="292" spans="1:15" ht="15.75" customHeight="1">
      <c r="A292" s="4" t="s">
        <v>49</v>
      </c>
      <c r="B292" s="4">
        <v>278419</v>
      </c>
      <c r="C292" s="4">
        <v>278751</v>
      </c>
      <c r="E292" s="4" t="s">
        <v>50</v>
      </c>
      <c r="F292" s="4" t="s">
        <v>56</v>
      </c>
      <c r="I292" s="4" t="s">
        <v>52</v>
      </c>
      <c r="L292" s="4" t="s">
        <v>861</v>
      </c>
      <c r="M292" s="4" t="s">
        <v>56</v>
      </c>
      <c r="N292" s="4">
        <v>110</v>
      </c>
      <c r="O292" s="4" t="s">
        <v>862</v>
      </c>
    </row>
    <row r="293" spans="1:15" ht="15.75" customHeight="1">
      <c r="A293" s="4" t="s">
        <v>49</v>
      </c>
      <c r="B293" s="4">
        <v>278928</v>
      </c>
      <c r="C293" s="4">
        <v>279359</v>
      </c>
      <c r="E293" s="4" t="s">
        <v>50</v>
      </c>
      <c r="F293" s="4" t="s">
        <v>863</v>
      </c>
      <c r="G293" s="4" t="s">
        <v>864</v>
      </c>
      <c r="I293" s="4" t="s">
        <v>52</v>
      </c>
      <c r="L293" s="4" t="s">
        <v>865</v>
      </c>
      <c r="M293" s="4" t="s">
        <v>863</v>
      </c>
      <c r="N293" s="4">
        <v>143</v>
      </c>
      <c r="O293" s="4" t="s">
        <v>866</v>
      </c>
    </row>
    <row r="294" spans="1:15" ht="15.75" customHeight="1">
      <c r="A294" s="4" t="s">
        <v>49</v>
      </c>
      <c r="B294" s="4">
        <v>279362</v>
      </c>
      <c r="C294" s="4">
        <v>280303</v>
      </c>
      <c r="E294" s="4" t="s">
        <v>50</v>
      </c>
      <c r="F294" s="4" t="s">
        <v>867</v>
      </c>
      <c r="G294" s="4" t="s">
        <v>868</v>
      </c>
      <c r="I294" s="4" t="s">
        <v>52</v>
      </c>
      <c r="L294" s="4" t="s">
        <v>869</v>
      </c>
      <c r="M294" s="4" t="s">
        <v>867</v>
      </c>
      <c r="N294" s="4">
        <v>313</v>
      </c>
      <c r="O294" s="4" t="s">
        <v>870</v>
      </c>
    </row>
    <row r="295" spans="1:15" ht="15.75" customHeight="1">
      <c r="A295" s="4" t="s">
        <v>49</v>
      </c>
      <c r="B295" s="4">
        <v>280316</v>
      </c>
      <c r="C295" s="4">
        <v>280681</v>
      </c>
      <c r="E295" s="4" t="s">
        <v>50</v>
      </c>
      <c r="F295" s="4" t="s">
        <v>871</v>
      </c>
      <c r="G295" s="4" t="s">
        <v>872</v>
      </c>
      <c r="I295" s="4" t="s">
        <v>52</v>
      </c>
      <c r="L295" s="4" t="s">
        <v>873</v>
      </c>
      <c r="M295" s="4" t="s">
        <v>871</v>
      </c>
      <c r="N295" s="4">
        <v>121</v>
      </c>
      <c r="O295" s="4" t="s">
        <v>874</v>
      </c>
    </row>
    <row r="296" spans="1:15" ht="15.75" customHeight="1">
      <c r="A296" s="4" t="s">
        <v>49</v>
      </c>
      <c r="B296" s="4">
        <v>280678</v>
      </c>
      <c r="C296" s="4">
        <v>282825</v>
      </c>
      <c r="E296" s="4" t="s">
        <v>50</v>
      </c>
      <c r="F296" s="4" t="s">
        <v>875</v>
      </c>
      <c r="I296" s="4" t="s">
        <v>52</v>
      </c>
      <c r="L296" s="4" t="s">
        <v>876</v>
      </c>
      <c r="M296" s="4" t="s">
        <v>875</v>
      </c>
      <c r="N296" s="4">
        <v>715</v>
      </c>
      <c r="O296" s="4" t="s">
        <v>877</v>
      </c>
    </row>
    <row r="297" spans="1:15" ht="15.75" customHeight="1">
      <c r="A297" s="4" t="s">
        <v>49</v>
      </c>
      <c r="B297" s="4">
        <v>282840</v>
      </c>
      <c r="C297" s="4">
        <v>283805</v>
      </c>
      <c r="E297" s="4" t="s">
        <v>50</v>
      </c>
      <c r="F297" s="4" t="s">
        <v>878</v>
      </c>
      <c r="G297" s="4" t="s">
        <v>879</v>
      </c>
      <c r="I297" s="4" t="s">
        <v>52</v>
      </c>
      <c r="L297" s="4" t="s">
        <v>880</v>
      </c>
      <c r="M297" s="4" t="s">
        <v>878</v>
      </c>
      <c r="N297" s="4">
        <v>321</v>
      </c>
      <c r="O297" s="4" t="s">
        <v>881</v>
      </c>
    </row>
    <row r="298" spans="1:15" ht="15.75" customHeight="1">
      <c r="A298" s="4" t="s">
        <v>49</v>
      </c>
      <c r="B298" s="4">
        <v>283836</v>
      </c>
      <c r="C298" s="4">
        <v>285215</v>
      </c>
      <c r="E298" s="4" t="s">
        <v>50</v>
      </c>
      <c r="F298" s="4" t="s">
        <v>882</v>
      </c>
      <c r="G298" s="4" t="s">
        <v>883</v>
      </c>
      <c r="I298" s="4" t="s">
        <v>52</v>
      </c>
      <c r="L298" s="4" t="s">
        <v>884</v>
      </c>
      <c r="M298" s="4" t="s">
        <v>882</v>
      </c>
      <c r="N298" s="4">
        <v>459</v>
      </c>
      <c r="O298" s="4" t="s">
        <v>885</v>
      </c>
    </row>
    <row r="299" spans="1:15" ht="15.75" customHeight="1">
      <c r="A299" s="4" t="s">
        <v>49</v>
      </c>
      <c r="B299" s="4">
        <v>285216</v>
      </c>
      <c r="C299" s="4">
        <v>286307</v>
      </c>
      <c r="E299" s="4" t="s">
        <v>50</v>
      </c>
      <c r="F299" s="4" t="s">
        <v>886</v>
      </c>
      <c r="G299" s="4" t="s">
        <v>887</v>
      </c>
      <c r="I299" s="4" t="s">
        <v>52</v>
      </c>
      <c r="L299" s="4" t="s">
        <v>888</v>
      </c>
      <c r="M299" s="4" t="s">
        <v>886</v>
      </c>
      <c r="N299" s="4">
        <v>363</v>
      </c>
      <c r="O299" s="4" t="s">
        <v>889</v>
      </c>
    </row>
    <row r="300" spans="1:15" ht="15.75" customHeight="1">
      <c r="A300" s="4" t="s">
        <v>49</v>
      </c>
      <c r="B300" s="4">
        <v>286313</v>
      </c>
      <c r="C300" s="4">
        <v>287167</v>
      </c>
      <c r="E300" s="4" t="s">
        <v>50</v>
      </c>
      <c r="F300" s="4" t="s">
        <v>890</v>
      </c>
      <c r="I300" s="4" t="s">
        <v>52</v>
      </c>
      <c r="L300" s="4" t="s">
        <v>891</v>
      </c>
      <c r="M300" s="4" t="s">
        <v>890</v>
      </c>
      <c r="N300" s="4">
        <v>284</v>
      </c>
      <c r="O300" s="4" t="s">
        <v>892</v>
      </c>
    </row>
    <row r="301" spans="1:15" ht="15.75" customHeight="1">
      <c r="A301" s="4" t="s">
        <v>49</v>
      </c>
      <c r="B301" s="4">
        <v>287277</v>
      </c>
      <c r="C301" s="4">
        <v>288623</v>
      </c>
      <c r="E301" s="4" t="s">
        <v>50</v>
      </c>
      <c r="F301" s="4" t="s">
        <v>893</v>
      </c>
      <c r="G301" s="4" t="s">
        <v>894</v>
      </c>
      <c r="I301" s="4" t="s">
        <v>52</v>
      </c>
      <c r="L301" s="4" t="s">
        <v>895</v>
      </c>
      <c r="M301" s="4" t="s">
        <v>893</v>
      </c>
      <c r="N301" s="4">
        <v>448</v>
      </c>
      <c r="O301" s="4" t="s">
        <v>896</v>
      </c>
    </row>
    <row r="302" spans="1:15" ht="15.75" customHeight="1">
      <c r="A302" s="4" t="s">
        <v>49</v>
      </c>
      <c r="B302" s="4">
        <v>288648</v>
      </c>
      <c r="C302" s="4">
        <v>289907</v>
      </c>
      <c r="E302" s="4" t="s">
        <v>50</v>
      </c>
      <c r="F302" s="4" t="s">
        <v>897</v>
      </c>
      <c r="G302" s="4" t="s">
        <v>898</v>
      </c>
      <c r="I302" s="4" t="s">
        <v>52</v>
      </c>
      <c r="L302" s="4" t="s">
        <v>899</v>
      </c>
      <c r="M302" s="4" t="s">
        <v>897</v>
      </c>
      <c r="N302" s="4">
        <v>419</v>
      </c>
      <c r="O302" s="4" t="s">
        <v>900</v>
      </c>
    </row>
    <row r="303" spans="1:15" ht="15.75" customHeight="1">
      <c r="A303" s="4" t="s">
        <v>49</v>
      </c>
      <c r="B303" s="4">
        <v>289925</v>
      </c>
      <c r="C303" s="4">
        <v>290380</v>
      </c>
      <c r="E303" s="4" t="s">
        <v>50</v>
      </c>
      <c r="F303" s="4" t="s">
        <v>901</v>
      </c>
      <c r="I303" s="4" t="s">
        <v>52</v>
      </c>
      <c r="L303" s="4" t="s">
        <v>902</v>
      </c>
      <c r="M303" s="4" t="s">
        <v>901</v>
      </c>
      <c r="N303" s="4">
        <v>151</v>
      </c>
      <c r="O303" s="4" t="s">
        <v>903</v>
      </c>
    </row>
    <row r="304" spans="1:15" ht="15.75" customHeight="1">
      <c r="A304" s="4" t="s">
        <v>49</v>
      </c>
      <c r="B304" s="4">
        <v>290392</v>
      </c>
      <c r="C304" s="4">
        <v>290685</v>
      </c>
      <c r="E304" s="4" t="s">
        <v>50</v>
      </c>
      <c r="F304" s="4" t="s">
        <v>904</v>
      </c>
      <c r="I304" s="4" t="s">
        <v>52</v>
      </c>
      <c r="L304" s="4" t="s">
        <v>905</v>
      </c>
      <c r="M304" s="4" t="s">
        <v>904</v>
      </c>
      <c r="N304" s="4">
        <v>97</v>
      </c>
      <c r="O304" s="4" t="s">
        <v>906</v>
      </c>
    </row>
    <row r="305" spans="1:15" ht="15.75" customHeight="1">
      <c r="A305" s="4" t="s">
        <v>49</v>
      </c>
      <c r="B305" s="4">
        <v>290692</v>
      </c>
      <c r="C305" s="4">
        <v>291471</v>
      </c>
      <c r="E305" s="4" t="s">
        <v>50</v>
      </c>
      <c r="F305" s="4" t="s">
        <v>907</v>
      </c>
      <c r="I305" s="4" t="s">
        <v>52</v>
      </c>
      <c r="L305" s="4" t="s">
        <v>908</v>
      </c>
      <c r="M305" s="4" t="s">
        <v>907</v>
      </c>
      <c r="N305" s="4">
        <v>259</v>
      </c>
      <c r="O305" s="4" t="s">
        <v>909</v>
      </c>
    </row>
    <row r="306" spans="1:15" ht="15.75" customHeight="1">
      <c r="A306" s="4" t="s">
        <v>49</v>
      </c>
      <c r="B306" s="4">
        <v>291529</v>
      </c>
      <c r="C306" s="4">
        <v>292314</v>
      </c>
      <c r="E306" s="4" t="s">
        <v>50</v>
      </c>
      <c r="F306" s="4" t="s">
        <v>910</v>
      </c>
      <c r="I306" s="4" t="s">
        <v>52</v>
      </c>
      <c r="L306" s="4" t="s">
        <v>911</v>
      </c>
      <c r="M306" s="4" t="s">
        <v>910</v>
      </c>
      <c r="N306" s="4">
        <v>261</v>
      </c>
      <c r="O306" s="4" t="s">
        <v>912</v>
      </c>
    </row>
    <row r="307" spans="1:15" ht="15.75" customHeight="1">
      <c r="A307" s="4" t="s">
        <v>49</v>
      </c>
      <c r="B307" s="4">
        <v>292561</v>
      </c>
      <c r="C307" s="4">
        <v>295347</v>
      </c>
      <c r="E307" s="4" t="s">
        <v>50</v>
      </c>
      <c r="F307" s="4" t="s">
        <v>913</v>
      </c>
      <c r="G307" s="4" t="s">
        <v>914</v>
      </c>
      <c r="I307" s="4" t="s">
        <v>52</v>
      </c>
      <c r="L307" s="4" t="s">
        <v>915</v>
      </c>
      <c r="M307" s="4" t="s">
        <v>913</v>
      </c>
      <c r="N307" s="4">
        <v>928</v>
      </c>
      <c r="O307" s="4" t="s">
        <v>916</v>
      </c>
    </row>
    <row r="308" spans="1:15" ht="15.75" customHeight="1">
      <c r="A308" s="4" t="s">
        <v>49</v>
      </c>
      <c r="B308" s="4">
        <v>295360</v>
      </c>
      <c r="C308" s="4">
        <v>295581</v>
      </c>
      <c r="E308" s="4" t="s">
        <v>50</v>
      </c>
      <c r="F308" s="4" t="s">
        <v>917</v>
      </c>
      <c r="I308" s="4" t="s">
        <v>52</v>
      </c>
      <c r="L308" s="4" t="s">
        <v>918</v>
      </c>
      <c r="M308" s="4" t="s">
        <v>917</v>
      </c>
      <c r="N308" s="4">
        <v>73</v>
      </c>
      <c r="O308" s="4" t="s">
        <v>919</v>
      </c>
    </row>
    <row r="309" spans="1:15" ht="15.75" customHeight="1">
      <c r="A309" s="4" t="s">
        <v>49</v>
      </c>
      <c r="B309" s="4">
        <v>295718</v>
      </c>
      <c r="C309" s="4">
        <v>296623</v>
      </c>
      <c r="E309" s="4" t="s">
        <v>55</v>
      </c>
      <c r="F309" s="4" t="s">
        <v>920</v>
      </c>
      <c r="I309" s="4" t="s">
        <v>52</v>
      </c>
      <c r="L309" s="4" t="s">
        <v>921</v>
      </c>
      <c r="M309" s="4" t="s">
        <v>920</v>
      </c>
      <c r="N309" s="4">
        <v>301</v>
      </c>
      <c r="O309" s="4" t="s">
        <v>922</v>
      </c>
    </row>
    <row r="310" spans="1:15" ht="15.75" customHeight="1">
      <c r="A310" s="4" t="s">
        <v>49</v>
      </c>
      <c r="B310" s="4">
        <v>296799</v>
      </c>
      <c r="C310" s="4">
        <v>298235</v>
      </c>
      <c r="E310" s="4" t="s">
        <v>50</v>
      </c>
      <c r="F310" s="4" t="s">
        <v>255</v>
      </c>
      <c r="I310" s="4" t="s">
        <v>52</v>
      </c>
      <c r="L310" s="4" t="s">
        <v>923</v>
      </c>
      <c r="M310" s="4" t="s">
        <v>255</v>
      </c>
      <c r="N310" s="4">
        <v>478</v>
      </c>
      <c r="O310" s="4" t="s">
        <v>924</v>
      </c>
    </row>
    <row r="311" spans="1:15" ht="15.75" customHeight="1">
      <c r="A311" s="4" t="s">
        <v>49</v>
      </c>
      <c r="B311" s="4">
        <v>298332</v>
      </c>
      <c r="C311" s="4">
        <v>299543</v>
      </c>
      <c r="E311" s="4" t="s">
        <v>55</v>
      </c>
      <c r="F311" s="4" t="s">
        <v>925</v>
      </c>
      <c r="I311" s="4" t="s">
        <v>52</v>
      </c>
      <c r="L311" s="4" t="s">
        <v>926</v>
      </c>
      <c r="M311" s="4" t="s">
        <v>925</v>
      </c>
      <c r="N311" s="4">
        <v>403</v>
      </c>
      <c r="O311" s="4" t="s">
        <v>927</v>
      </c>
    </row>
    <row r="312" spans="1:15" ht="15.75" customHeight="1">
      <c r="A312" s="4" t="s">
        <v>49</v>
      </c>
      <c r="B312" s="4">
        <v>299540</v>
      </c>
      <c r="C312" s="4">
        <v>300202</v>
      </c>
      <c r="E312" s="4" t="s">
        <v>55</v>
      </c>
      <c r="F312" s="4" t="s">
        <v>928</v>
      </c>
      <c r="I312" s="4" t="s">
        <v>52</v>
      </c>
      <c r="L312" s="4" t="s">
        <v>929</v>
      </c>
      <c r="M312" s="4" t="s">
        <v>928</v>
      </c>
      <c r="N312" s="4">
        <v>220</v>
      </c>
      <c r="O312" s="4" t="s">
        <v>930</v>
      </c>
    </row>
    <row r="313" spans="1:15" ht="15.75" customHeight="1">
      <c r="A313" s="4" t="s">
        <v>49</v>
      </c>
      <c r="B313" s="4">
        <v>300504</v>
      </c>
      <c r="C313" s="4">
        <v>301040</v>
      </c>
      <c r="E313" s="4" t="s">
        <v>50</v>
      </c>
      <c r="F313" s="4" t="s">
        <v>931</v>
      </c>
      <c r="I313" s="4" t="s">
        <v>52</v>
      </c>
      <c r="L313" s="4" t="s">
        <v>932</v>
      </c>
      <c r="M313" s="4" t="s">
        <v>931</v>
      </c>
      <c r="N313" s="4">
        <v>178</v>
      </c>
      <c r="O313" s="4" t="s">
        <v>933</v>
      </c>
    </row>
    <row r="314" spans="1:15" ht="15.75" customHeight="1">
      <c r="A314" s="4" t="s">
        <v>49</v>
      </c>
      <c r="B314" s="4">
        <v>301152</v>
      </c>
      <c r="C314" s="4">
        <v>301412</v>
      </c>
      <c r="E314" s="4" t="s">
        <v>50</v>
      </c>
      <c r="F314" s="4" t="s">
        <v>934</v>
      </c>
      <c r="I314" s="4" t="s">
        <v>52</v>
      </c>
      <c r="L314" s="4" t="s">
        <v>935</v>
      </c>
      <c r="M314" s="4" t="s">
        <v>934</v>
      </c>
      <c r="N314" s="4">
        <v>86</v>
      </c>
      <c r="O314" s="4" t="s">
        <v>936</v>
      </c>
    </row>
    <row r="315" spans="1:15" ht="15.75" customHeight="1">
      <c r="A315" s="4" t="s">
        <v>49</v>
      </c>
      <c r="B315" s="4">
        <v>301515</v>
      </c>
      <c r="C315" s="4">
        <v>302225</v>
      </c>
      <c r="E315" s="4" t="s">
        <v>50</v>
      </c>
      <c r="F315" s="4" t="s">
        <v>937</v>
      </c>
      <c r="I315" s="4" t="s">
        <v>52</v>
      </c>
      <c r="L315" s="4" t="s">
        <v>938</v>
      </c>
      <c r="M315" s="4" t="s">
        <v>937</v>
      </c>
      <c r="N315" s="4">
        <v>236</v>
      </c>
      <c r="O315" s="4" t="s">
        <v>939</v>
      </c>
    </row>
    <row r="316" spans="1:15" ht="15.75" customHeight="1">
      <c r="A316" s="4" t="s">
        <v>49</v>
      </c>
      <c r="B316" s="4">
        <v>302241</v>
      </c>
      <c r="C316" s="4">
        <v>303404</v>
      </c>
      <c r="E316" s="4" t="s">
        <v>50</v>
      </c>
      <c r="F316" s="4" t="s">
        <v>806</v>
      </c>
      <c r="I316" s="4" t="s">
        <v>52</v>
      </c>
      <c r="L316" s="4" t="s">
        <v>940</v>
      </c>
      <c r="M316" s="4" t="s">
        <v>806</v>
      </c>
      <c r="N316" s="4">
        <v>387</v>
      </c>
      <c r="O316" s="4" t="s">
        <v>941</v>
      </c>
    </row>
    <row r="317" spans="1:15" ht="15.75" customHeight="1">
      <c r="A317" s="4" t="s">
        <v>49</v>
      </c>
      <c r="B317" s="4">
        <v>303615</v>
      </c>
      <c r="C317" s="4">
        <v>303956</v>
      </c>
      <c r="E317" s="4" t="s">
        <v>50</v>
      </c>
      <c r="F317" s="4" t="s">
        <v>942</v>
      </c>
      <c r="I317" s="4" t="s">
        <v>52</v>
      </c>
      <c r="L317" s="4" t="s">
        <v>943</v>
      </c>
      <c r="M317" s="4" t="s">
        <v>942</v>
      </c>
      <c r="N317" s="4">
        <v>113</v>
      </c>
      <c r="O317" s="4" t="s">
        <v>944</v>
      </c>
    </row>
    <row r="318" spans="1:15" ht="15.75" customHeight="1">
      <c r="A318" s="4" t="s">
        <v>49</v>
      </c>
      <c r="B318" s="4">
        <v>304174</v>
      </c>
      <c r="C318" s="4">
        <v>306456</v>
      </c>
      <c r="E318" s="4" t="s">
        <v>50</v>
      </c>
      <c r="F318" s="4" t="s">
        <v>945</v>
      </c>
      <c r="I318" s="4" t="s">
        <v>52</v>
      </c>
      <c r="L318" s="4" t="s">
        <v>946</v>
      </c>
      <c r="M318" s="4" t="s">
        <v>945</v>
      </c>
      <c r="N318" s="4">
        <v>760</v>
      </c>
      <c r="O318" s="4" t="s">
        <v>947</v>
      </c>
    </row>
    <row r="319" spans="1:15" ht="15.75" customHeight="1">
      <c r="A319" s="4" t="s">
        <v>49</v>
      </c>
      <c r="B319" s="4">
        <v>306902</v>
      </c>
      <c r="C319" s="4">
        <v>308035</v>
      </c>
      <c r="E319" s="4" t="s">
        <v>50</v>
      </c>
      <c r="F319" s="4" t="s">
        <v>948</v>
      </c>
      <c r="G319" s="4" t="s">
        <v>949</v>
      </c>
      <c r="I319" s="4" t="s">
        <v>52</v>
      </c>
      <c r="L319" s="4" t="s">
        <v>950</v>
      </c>
      <c r="M319" s="4" t="s">
        <v>948</v>
      </c>
      <c r="N319" s="4">
        <v>377</v>
      </c>
      <c r="O319" s="4" t="s">
        <v>951</v>
      </c>
    </row>
    <row r="320" spans="1:15" ht="15.75" customHeight="1">
      <c r="A320" s="4" t="s">
        <v>49</v>
      </c>
      <c r="B320" s="4">
        <v>308589</v>
      </c>
      <c r="C320" s="4">
        <v>309251</v>
      </c>
      <c r="E320" s="4" t="s">
        <v>50</v>
      </c>
      <c r="F320" s="4" t="s">
        <v>656</v>
      </c>
      <c r="I320" s="4" t="s">
        <v>52</v>
      </c>
      <c r="L320" s="4" t="s">
        <v>952</v>
      </c>
      <c r="M320" s="4" t="s">
        <v>656</v>
      </c>
      <c r="N320" s="4">
        <v>220</v>
      </c>
      <c r="O320" s="4" t="s">
        <v>953</v>
      </c>
    </row>
    <row r="321" spans="1:15" ht="15.75" customHeight="1">
      <c r="A321" s="4" t="s">
        <v>49</v>
      </c>
      <c r="B321" s="4">
        <v>309289</v>
      </c>
      <c r="C321" s="4">
        <v>309957</v>
      </c>
      <c r="E321" s="4" t="s">
        <v>50</v>
      </c>
      <c r="F321" s="4" t="s">
        <v>954</v>
      </c>
      <c r="I321" s="4" t="s">
        <v>52</v>
      </c>
      <c r="L321" s="4" t="s">
        <v>955</v>
      </c>
      <c r="M321" s="4" t="s">
        <v>954</v>
      </c>
      <c r="N321" s="4">
        <v>222</v>
      </c>
      <c r="O321" s="4" t="s">
        <v>956</v>
      </c>
    </row>
    <row r="322" spans="1:15" ht="15.75" customHeight="1">
      <c r="A322" s="4" t="s">
        <v>49</v>
      </c>
      <c r="B322" s="4">
        <v>309944</v>
      </c>
      <c r="C322" s="4">
        <v>312412</v>
      </c>
      <c r="E322" s="4" t="s">
        <v>50</v>
      </c>
      <c r="F322" s="4" t="s">
        <v>957</v>
      </c>
      <c r="I322" s="4" t="s">
        <v>52</v>
      </c>
      <c r="L322" s="4" t="s">
        <v>958</v>
      </c>
      <c r="M322" s="4" t="s">
        <v>957</v>
      </c>
      <c r="N322" s="4">
        <v>822</v>
      </c>
      <c r="O322" s="4" t="s">
        <v>959</v>
      </c>
    </row>
    <row r="323" spans="1:15" ht="15.75" customHeight="1">
      <c r="A323" s="4" t="s">
        <v>49</v>
      </c>
      <c r="B323" s="4">
        <v>312419</v>
      </c>
      <c r="C323" s="4">
        <v>313636</v>
      </c>
      <c r="E323" s="4" t="s">
        <v>50</v>
      </c>
      <c r="F323" s="4" t="s">
        <v>960</v>
      </c>
      <c r="G323" s="4" t="s">
        <v>961</v>
      </c>
      <c r="I323" s="4" t="s">
        <v>52</v>
      </c>
      <c r="L323" s="4" t="s">
        <v>962</v>
      </c>
      <c r="M323" s="4" t="s">
        <v>960</v>
      </c>
      <c r="N323" s="4">
        <v>405</v>
      </c>
      <c r="O323" s="4" t="s">
        <v>963</v>
      </c>
    </row>
    <row r="324" spans="1:15" ht="15.75" customHeight="1">
      <c r="A324" s="4" t="s">
        <v>49</v>
      </c>
      <c r="B324" s="4">
        <v>313710</v>
      </c>
      <c r="C324" s="4">
        <v>314660</v>
      </c>
      <c r="E324" s="4" t="s">
        <v>55</v>
      </c>
      <c r="F324" s="4" t="s">
        <v>964</v>
      </c>
      <c r="I324" s="4" t="s">
        <v>52</v>
      </c>
      <c r="L324" s="4" t="s">
        <v>965</v>
      </c>
      <c r="M324" s="4" t="s">
        <v>964</v>
      </c>
      <c r="N324" s="4">
        <v>316</v>
      </c>
      <c r="O324" s="4" t="s">
        <v>966</v>
      </c>
    </row>
    <row r="325" spans="1:15" ht="15.75" customHeight="1">
      <c r="A325" s="4" t="s">
        <v>49</v>
      </c>
      <c r="B325" s="4">
        <v>314950</v>
      </c>
      <c r="C325" s="4">
        <v>316632</v>
      </c>
      <c r="E325" s="4" t="s">
        <v>55</v>
      </c>
      <c r="F325" s="4" t="s">
        <v>967</v>
      </c>
      <c r="G325" s="4" t="s">
        <v>968</v>
      </c>
      <c r="I325" s="4" t="s">
        <v>52</v>
      </c>
      <c r="L325" s="4" t="s">
        <v>969</v>
      </c>
      <c r="M325" s="4" t="s">
        <v>967</v>
      </c>
      <c r="N325" s="4">
        <v>560</v>
      </c>
      <c r="O325" s="4" t="s">
        <v>970</v>
      </c>
    </row>
    <row r="326" spans="1:15" ht="15.75" customHeight="1">
      <c r="A326" s="4" t="s">
        <v>49</v>
      </c>
      <c r="B326" s="4">
        <v>316637</v>
      </c>
      <c r="C326" s="4">
        <v>316849</v>
      </c>
      <c r="E326" s="4" t="s">
        <v>55</v>
      </c>
      <c r="F326" s="4" t="s">
        <v>971</v>
      </c>
      <c r="I326" s="4" t="s">
        <v>52</v>
      </c>
      <c r="L326" s="4" t="s">
        <v>972</v>
      </c>
      <c r="M326" s="4" t="s">
        <v>971</v>
      </c>
      <c r="N326" s="4">
        <v>70</v>
      </c>
      <c r="O326" s="4" t="s">
        <v>973</v>
      </c>
    </row>
    <row r="327" spans="1:15" ht="15.75" customHeight="1">
      <c r="A327" s="4" t="s">
        <v>49</v>
      </c>
      <c r="B327" s="4">
        <v>317470</v>
      </c>
      <c r="C327" s="4">
        <v>317919</v>
      </c>
      <c r="E327" s="4" t="s">
        <v>50</v>
      </c>
      <c r="F327" s="4" t="s">
        <v>56</v>
      </c>
      <c r="I327" s="4" t="s">
        <v>52</v>
      </c>
      <c r="L327" s="4" t="s">
        <v>974</v>
      </c>
      <c r="M327" s="4" t="s">
        <v>56</v>
      </c>
      <c r="N327" s="4">
        <v>149</v>
      </c>
      <c r="O327" s="4" t="s">
        <v>975</v>
      </c>
    </row>
    <row r="328" spans="1:15" ht="15.75" customHeight="1">
      <c r="A328" s="4" t="s">
        <v>49</v>
      </c>
      <c r="B328" s="4">
        <v>317950</v>
      </c>
      <c r="C328" s="4">
        <v>318243</v>
      </c>
      <c r="E328" s="4" t="s">
        <v>50</v>
      </c>
      <c r="F328" s="4" t="s">
        <v>56</v>
      </c>
      <c r="I328" s="4" t="s">
        <v>52</v>
      </c>
      <c r="L328" s="4" t="s">
        <v>976</v>
      </c>
      <c r="M328" s="4" t="s">
        <v>56</v>
      </c>
      <c r="N328" s="4">
        <v>97</v>
      </c>
      <c r="O328" s="4" t="s">
        <v>977</v>
      </c>
    </row>
    <row r="329" spans="1:15" ht="15.75" customHeight="1">
      <c r="A329" s="4" t="s">
        <v>49</v>
      </c>
      <c r="B329" s="4">
        <v>318307</v>
      </c>
      <c r="C329" s="4">
        <v>318861</v>
      </c>
      <c r="E329" s="4" t="s">
        <v>55</v>
      </c>
      <c r="F329" s="4" t="s">
        <v>978</v>
      </c>
      <c r="G329" s="4" t="s">
        <v>979</v>
      </c>
      <c r="I329" s="4" t="s">
        <v>52</v>
      </c>
      <c r="L329" s="4" t="s">
        <v>980</v>
      </c>
      <c r="M329" s="4" t="s">
        <v>978</v>
      </c>
      <c r="N329" s="4">
        <v>184</v>
      </c>
      <c r="O329" s="4" t="s">
        <v>981</v>
      </c>
    </row>
    <row r="330" spans="1:15" ht="15.75" customHeight="1">
      <c r="A330" s="4" t="s">
        <v>49</v>
      </c>
      <c r="B330" s="4">
        <v>319634</v>
      </c>
      <c r="C330" s="4">
        <v>320449</v>
      </c>
      <c r="E330" s="4" t="s">
        <v>50</v>
      </c>
      <c r="F330" s="4" t="s">
        <v>982</v>
      </c>
      <c r="I330" s="4" t="s">
        <v>52</v>
      </c>
      <c r="L330" s="4" t="s">
        <v>983</v>
      </c>
      <c r="M330" s="4" t="s">
        <v>982</v>
      </c>
      <c r="N330" s="4">
        <v>271</v>
      </c>
      <c r="O330" s="4" t="s">
        <v>984</v>
      </c>
    </row>
    <row r="331" spans="1:15" ht="15.75" customHeight="1">
      <c r="A331" s="4" t="s">
        <v>49</v>
      </c>
      <c r="B331" s="4">
        <v>320710</v>
      </c>
      <c r="C331" s="4">
        <v>321822</v>
      </c>
      <c r="E331" s="4" t="s">
        <v>50</v>
      </c>
      <c r="F331" s="4" t="s">
        <v>985</v>
      </c>
      <c r="G331" s="4" t="s">
        <v>986</v>
      </c>
      <c r="I331" s="4" t="s">
        <v>52</v>
      </c>
      <c r="L331" s="4" t="s">
        <v>987</v>
      </c>
      <c r="M331" s="4" t="s">
        <v>985</v>
      </c>
      <c r="N331" s="4">
        <v>370</v>
      </c>
      <c r="O331" s="4" t="s">
        <v>988</v>
      </c>
    </row>
    <row r="332" spans="1:15" ht="15.75" customHeight="1">
      <c r="A332" s="4" t="s">
        <v>49</v>
      </c>
      <c r="B332" s="4">
        <v>321825</v>
      </c>
      <c r="C332" s="4">
        <v>322802</v>
      </c>
      <c r="E332" s="4" t="s">
        <v>50</v>
      </c>
      <c r="F332" s="4" t="s">
        <v>989</v>
      </c>
      <c r="I332" s="4" t="s">
        <v>52</v>
      </c>
      <c r="L332" s="4" t="s">
        <v>990</v>
      </c>
      <c r="M332" s="4" t="s">
        <v>989</v>
      </c>
      <c r="N332" s="4">
        <v>325</v>
      </c>
      <c r="O332" s="4" t="s">
        <v>991</v>
      </c>
    </row>
    <row r="333" spans="1:15" ht="15.75" customHeight="1">
      <c r="A333" s="4" t="s">
        <v>49</v>
      </c>
      <c r="B333" s="4">
        <v>322820</v>
      </c>
      <c r="C333" s="4">
        <v>324484</v>
      </c>
      <c r="E333" s="4" t="s">
        <v>50</v>
      </c>
      <c r="F333" s="4" t="s">
        <v>992</v>
      </c>
      <c r="I333" s="4" t="s">
        <v>52</v>
      </c>
      <c r="L333" s="4" t="s">
        <v>993</v>
      </c>
      <c r="M333" s="4" t="s">
        <v>992</v>
      </c>
      <c r="N333" s="4">
        <v>554</v>
      </c>
      <c r="O333" s="4" t="s">
        <v>994</v>
      </c>
    </row>
    <row r="334" spans="1:15" ht="15.75" customHeight="1">
      <c r="A334" s="4" t="s">
        <v>49</v>
      </c>
      <c r="B334" s="4">
        <v>324487</v>
      </c>
      <c r="C334" s="4">
        <v>325890</v>
      </c>
      <c r="E334" s="4" t="s">
        <v>50</v>
      </c>
      <c r="F334" s="4" t="s">
        <v>995</v>
      </c>
      <c r="G334" s="4" t="s">
        <v>996</v>
      </c>
      <c r="I334" s="4" t="s">
        <v>52</v>
      </c>
      <c r="L334" s="4" t="s">
        <v>997</v>
      </c>
      <c r="M334" s="4" t="s">
        <v>995</v>
      </c>
      <c r="N334" s="4">
        <v>467</v>
      </c>
      <c r="O334" s="4" t="s">
        <v>998</v>
      </c>
    </row>
    <row r="335" spans="1:15" ht="15.75" customHeight="1">
      <c r="A335" s="4" t="s">
        <v>49</v>
      </c>
      <c r="B335" s="4">
        <v>326127</v>
      </c>
      <c r="C335" s="4">
        <v>327017</v>
      </c>
      <c r="E335" s="4" t="s">
        <v>50</v>
      </c>
      <c r="F335" s="4" t="s">
        <v>999</v>
      </c>
      <c r="I335" s="4" t="s">
        <v>52</v>
      </c>
      <c r="L335" s="4" t="s">
        <v>1000</v>
      </c>
      <c r="M335" s="4" t="s">
        <v>999</v>
      </c>
      <c r="N335" s="4">
        <v>296</v>
      </c>
      <c r="O335" s="4" t="s">
        <v>1001</v>
      </c>
    </row>
    <row r="336" spans="1:15" ht="15.75" customHeight="1">
      <c r="A336" s="4" t="s">
        <v>49</v>
      </c>
      <c r="B336" s="4">
        <v>327007</v>
      </c>
      <c r="C336" s="4">
        <v>327288</v>
      </c>
      <c r="E336" s="4" t="s">
        <v>50</v>
      </c>
      <c r="F336" s="4" t="s">
        <v>1002</v>
      </c>
      <c r="I336" s="4" t="s">
        <v>52</v>
      </c>
      <c r="L336" s="4" t="s">
        <v>1003</v>
      </c>
      <c r="M336" s="4" t="s">
        <v>1002</v>
      </c>
      <c r="N336" s="4">
        <v>93</v>
      </c>
      <c r="O336" s="4" t="s">
        <v>1004</v>
      </c>
    </row>
    <row r="337" spans="1:15" ht="15.75" customHeight="1">
      <c r="A337" s="4" t="s">
        <v>49</v>
      </c>
      <c r="B337" s="4">
        <v>327291</v>
      </c>
      <c r="C337" s="4">
        <v>328082</v>
      </c>
      <c r="E337" s="4" t="s">
        <v>50</v>
      </c>
      <c r="F337" s="4" t="s">
        <v>1005</v>
      </c>
      <c r="I337" s="4" t="s">
        <v>52</v>
      </c>
      <c r="L337" s="4" t="s">
        <v>1006</v>
      </c>
      <c r="M337" s="4" t="s">
        <v>1005</v>
      </c>
      <c r="N337" s="4">
        <v>263</v>
      </c>
      <c r="O337" s="4" t="s">
        <v>1007</v>
      </c>
    </row>
    <row r="338" spans="1:15" ht="15.75" customHeight="1">
      <c r="A338" s="4" t="s">
        <v>49</v>
      </c>
      <c r="B338" s="4">
        <v>328341</v>
      </c>
      <c r="C338" s="4">
        <v>330185</v>
      </c>
      <c r="E338" s="4" t="s">
        <v>50</v>
      </c>
      <c r="F338" s="4" t="s">
        <v>1008</v>
      </c>
      <c r="G338" s="4" t="s">
        <v>1009</v>
      </c>
      <c r="I338" s="4" t="s">
        <v>52</v>
      </c>
      <c r="L338" s="4" t="s">
        <v>1010</v>
      </c>
      <c r="M338" s="4" t="s">
        <v>1008</v>
      </c>
      <c r="N338" s="4">
        <v>614</v>
      </c>
      <c r="O338" s="4" t="s">
        <v>1011</v>
      </c>
    </row>
    <row r="339" spans="1:15" ht="15.75" customHeight="1">
      <c r="A339" s="4" t="s">
        <v>49</v>
      </c>
      <c r="B339" s="4">
        <v>330425</v>
      </c>
      <c r="C339" s="4">
        <v>331594</v>
      </c>
      <c r="E339" s="4" t="s">
        <v>50</v>
      </c>
      <c r="F339" s="4" t="s">
        <v>579</v>
      </c>
      <c r="I339" s="4" t="s">
        <v>52</v>
      </c>
      <c r="L339" s="4" t="s">
        <v>1012</v>
      </c>
      <c r="M339" s="4" t="s">
        <v>579</v>
      </c>
      <c r="N339" s="4">
        <v>389</v>
      </c>
      <c r="O339" s="4" t="s">
        <v>1013</v>
      </c>
    </row>
    <row r="340" spans="1:15" ht="15.75" customHeight="1">
      <c r="A340" s="4" t="s">
        <v>49</v>
      </c>
      <c r="B340" s="4">
        <v>331587</v>
      </c>
      <c r="C340" s="4">
        <v>335024</v>
      </c>
      <c r="E340" s="4" t="s">
        <v>50</v>
      </c>
      <c r="F340" s="4" t="s">
        <v>1014</v>
      </c>
      <c r="I340" s="4" t="s">
        <v>52</v>
      </c>
      <c r="L340" s="4" t="s">
        <v>1015</v>
      </c>
      <c r="M340" s="4" t="s">
        <v>1014</v>
      </c>
      <c r="N340" s="4">
        <v>1145</v>
      </c>
      <c r="O340" s="4" t="s">
        <v>1016</v>
      </c>
    </row>
    <row r="341" spans="1:15" ht="15.75" customHeight="1">
      <c r="A341" s="4" t="s">
        <v>49</v>
      </c>
      <c r="B341" s="4">
        <v>335042</v>
      </c>
      <c r="C341" s="4">
        <v>335398</v>
      </c>
      <c r="E341" s="4" t="s">
        <v>50</v>
      </c>
      <c r="F341" s="4" t="s">
        <v>1017</v>
      </c>
      <c r="I341" s="4" t="s">
        <v>52</v>
      </c>
      <c r="L341" s="4" t="s">
        <v>1018</v>
      </c>
      <c r="M341" s="4" t="s">
        <v>1017</v>
      </c>
      <c r="N341" s="4">
        <v>118</v>
      </c>
      <c r="O341" s="4" t="s">
        <v>1019</v>
      </c>
    </row>
    <row r="342" spans="1:15" ht="15.75" customHeight="1">
      <c r="A342" s="4" t="s">
        <v>49</v>
      </c>
      <c r="B342" s="4">
        <v>335385</v>
      </c>
      <c r="C342" s="4">
        <v>335951</v>
      </c>
      <c r="E342" s="4" t="s">
        <v>50</v>
      </c>
      <c r="F342" s="4" t="s">
        <v>1020</v>
      </c>
      <c r="G342" s="4" t="s">
        <v>1021</v>
      </c>
      <c r="I342" s="4" t="s">
        <v>52</v>
      </c>
      <c r="L342" s="4" t="s">
        <v>1022</v>
      </c>
      <c r="M342" s="4" t="s">
        <v>1020</v>
      </c>
      <c r="N342" s="4">
        <v>188</v>
      </c>
      <c r="O342" s="4" t="s">
        <v>1023</v>
      </c>
    </row>
    <row r="343" spans="1:15" ht="15.75" customHeight="1">
      <c r="A343" s="4" t="s">
        <v>49</v>
      </c>
      <c r="B343" s="4">
        <v>335944</v>
      </c>
      <c r="C343" s="4">
        <v>336447</v>
      </c>
      <c r="E343" s="4" t="s">
        <v>50</v>
      </c>
      <c r="F343" s="4" t="s">
        <v>1024</v>
      </c>
      <c r="G343" s="4" t="s">
        <v>1025</v>
      </c>
      <c r="I343" s="4" t="s">
        <v>52</v>
      </c>
      <c r="L343" s="4" t="s">
        <v>1026</v>
      </c>
      <c r="M343" s="4" t="s">
        <v>1024</v>
      </c>
      <c r="N343" s="4">
        <v>167</v>
      </c>
      <c r="O343" s="4" t="s">
        <v>1027</v>
      </c>
    </row>
    <row r="344" spans="1:15" ht="15.75" customHeight="1">
      <c r="A344" s="4" t="s">
        <v>49</v>
      </c>
      <c r="B344" s="4">
        <v>336425</v>
      </c>
      <c r="C344" s="4">
        <v>337507</v>
      </c>
      <c r="E344" s="4" t="s">
        <v>50</v>
      </c>
      <c r="F344" s="4" t="s">
        <v>1028</v>
      </c>
      <c r="I344" s="4" t="s">
        <v>52</v>
      </c>
      <c r="L344" s="4" t="s">
        <v>1029</v>
      </c>
      <c r="M344" s="4" t="s">
        <v>1028</v>
      </c>
      <c r="N344" s="4">
        <v>360</v>
      </c>
      <c r="O344" s="4" t="s">
        <v>1030</v>
      </c>
    </row>
    <row r="345" spans="1:15" ht="15.75" customHeight="1">
      <c r="A345" s="4" t="s">
        <v>49</v>
      </c>
      <c r="B345" s="4">
        <v>337621</v>
      </c>
      <c r="C345" s="4">
        <v>338304</v>
      </c>
      <c r="E345" s="4" t="s">
        <v>50</v>
      </c>
      <c r="F345" s="4" t="s">
        <v>345</v>
      </c>
      <c r="I345" s="4" t="s">
        <v>346</v>
      </c>
      <c r="O345" s="4" t="s">
        <v>1031</v>
      </c>
    </row>
    <row r="346" spans="1:15" ht="15.75" customHeight="1">
      <c r="A346" s="4" t="s">
        <v>49</v>
      </c>
      <c r="B346" s="4">
        <v>338301</v>
      </c>
      <c r="C346" s="4">
        <v>340505</v>
      </c>
      <c r="E346" s="4" t="s">
        <v>50</v>
      </c>
      <c r="F346" s="4" t="s">
        <v>1032</v>
      </c>
      <c r="I346" s="4" t="s">
        <v>52</v>
      </c>
      <c r="L346" s="4" t="s">
        <v>1033</v>
      </c>
      <c r="M346" s="4" t="s">
        <v>1032</v>
      </c>
      <c r="N346" s="4">
        <v>734</v>
      </c>
      <c r="O346" s="4" t="s">
        <v>1034</v>
      </c>
    </row>
    <row r="347" spans="1:15" ht="15.75" customHeight="1">
      <c r="A347" s="4" t="s">
        <v>49</v>
      </c>
      <c r="B347" s="4">
        <v>340492</v>
      </c>
      <c r="C347" s="4">
        <v>341535</v>
      </c>
      <c r="E347" s="4" t="s">
        <v>50</v>
      </c>
      <c r="F347" s="4" t="s">
        <v>1035</v>
      </c>
      <c r="G347" s="4" t="s">
        <v>1036</v>
      </c>
      <c r="I347" s="4" t="s">
        <v>52</v>
      </c>
      <c r="L347" s="4" t="s">
        <v>1037</v>
      </c>
      <c r="M347" s="4" t="s">
        <v>1035</v>
      </c>
      <c r="N347" s="4">
        <v>347</v>
      </c>
      <c r="O347" s="4" t="s">
        <v>1038</v>
      </c>
    </row>
    <row r="348" spans="1:15" ht="15.75" customHeight="1">
      <c r="A348" s="4" t="s">
        <v>49</v>
      </c>
      <c r="B348" s="4">
        <v>341626</v>
      </c>
      <c r="C348" s="4">
        <v>341880</v>
      </c>
      <c r="E348" s="4" t="s">
        <v>55</v>
      </c>
      <c r="F348" s="4" t="s">
        <v>1039</v>
      </c>
      <c r="G348" s="4" t="s">
        <v>1040</v>
      </c>
      <c r="I348" s="4" t="s">
        <v>52</v>
      </c>
      <c r="L348" s="4" t="s">
        <v>1041</v>
      </c>
      <c r="M348" s="4" t="s">
        <v>1039</v>
      </c>
      <c r="N348" s="4">
        <v>84</v>
      </c>
      <c r="O348" s="4" t="s">
        <v>1042</v>
      </c>
    </row>
    <row r="349" spans="1:15" ht="15.75" customHeight="1">
      <c r="A349" s="4" t="s">
        <v>49</v>
      </c>
      <c r="B349" s="4">
        <v>342128</v>
      </c>
      <c r="C349" s="4">
        <v>342397</v>
      </c>
      <c r="E349" s="4" t="s">
        <v>50</v>
      </c>
      <c r="F349" s="4" t="s">
        <v>1043</v>
      </c>
      <c r="G349" s="4" t="s">
        <v>1044</v>
      </c>
      <c r="I349" s="4" t="s">
        <v>52</v>
      </c>
      <c r="L349" s="4" t="s">
        <v>1045</v>
      </c>
      <c r="M349" s="4" t="s">
        <v>1043</v>
      </c>
      <c r="N349" s="4">
        <v>89</v>
      </c>
      <c r="O349" s="4" t="s">
        <v>1046</v>
      </c>
    </row>
    <row r="350" spans="1:15" ht="15.75" customHeight="1">
      <c r="A350" s="4" t="s">
        <v>49</v>
      </c>
      <c r="B350" s="4">
        <v>342589</v>
      </c>
      <c r="C350" s="4">
        <v>343284</v>
      </c>
      <c r="E350" s="4" t="s">
        <v>50</v>
      </c>
      <c r="F350" s="4" t="s">
        <v>56</v>
      </c>
      <c r="I350" s="4" t="s">
        <v>52</v>
      </c>
      <c r="L350" s="4" t="s">
        <v>1047</v>
      </c>
      <c r="M350" s="4" t="s">
        <v>56</v>
      </c>
      <c r="N350" s="4">
        <v>231</v>
      </c>
      <c r="O350" s="4" t="s">
        <v>1048</v>
      </c>
    </row>
    <row r="351" spans="1:15" ht="15.75" customHeight="1">
      <c r="A351" s="4" t="s">
        <v>49</v>
      </c>
      <c r="B351" s="4">
        <v>343460</v>
      </c>
      <c r="C351" s="4">
        <v>345142</v>
      </c>
      <c r="E351" s="4" t="s">
        <v>50</v>
      </c>
      <c r="F351" s="4" t="s">
        <v>1049</v>
      </c>
      <c r="I351" s="4" t="s">
        <v>52</v>
      </c>
      <c r="L351" s="4" t="s">
        <v>1050</v>
      </c>
      <c r="M351" s="4" t="s">
        <v>1049</v>
      </c>
      <c r="N351" s="4">
        <v>560</v>
      </c>
      <c r="O351" s="4" t="s">
        <v>1051</v>
      </c>
    </row>
    <row r="352" spans="1:15" ht="15.75" customHeight="1">
      <c r="A352" s="4" t="s">
        <v>49</v>
      </c>
      <c r="B352" s="4">
        <v>345229</v>
      </c>
      <c r="C352" s="4">
        <v>346140</v>
      </c>
      <c r="E352" s="4" t="s">
        <v>50</v>
      </c>
      <c r="F352" s="4" t="s">
        <v>56</v>
      </c>
      <c r="I352" s="4" t="s">
        <v>52</v>
      </c>
      <c r="L352" s="4" t="s">
        <v>1052</v>
      </c>
      <c r="M352" s="4" t="s">
        <v>56</v>
      </c>
      <c r="N352" s="4">
        <v>303</v>
      </c>
      <c r="O352" s="4" t="s">
        <v>1053</v>
      </c>
    </row>
    <row r="353" spans="1:15" ht="15.75" customHeight="1">
      <c r="A353" s="4" t="s">
        <v>49</v>
      </c>
      <c r="B353" s="4">
        <v>346351</v>
      </c>
      <c r="C353" s="4">
        <v>347541</v>
      </c>
      <c r="E353" s="4" t="s">
        <v>50</v>
      </c>
      <c r="F353" s="4" t="s">
        <v>1054</v>
      </c>
      <c r="G353" s="4" t="s">
        <v>1055</v>
      </c>
      <c r="I353" s="4" t="s">
        <v>52</v>
      </c>
      <c r="L353" s="4" t="s">
        <v>1056</v>
      </c>
      <c r="M353" s="4" t="s">
        <v>1054</v>
      </c>
      <c r="N353" s="4">
        <v>396</v>
      </c>
      <c r="O353" s="4" t="s">
        <v>1057</v>
      </c>
    </row>
    <row r="354" spans="1:15" ht="15.75" customHeight="1">
      <c r="A354" s="4" t="s">
        <v>49</v>
      </c>
      <c r="B354" s="4">
        <v>347995</v>
      </c>
      <c r="C354" s="4">
        <v>349731</v>
      </c>
      <c r="E354" s="4" t="s">
        <v>50</v>
      </c>
      <c r="F354" s="4" t="s">
        <v>73</v>
      </c>
      <c r="I354" s="4" t="s">
        <v>52</v>
      </c>
      <c r="L354" s="4" t="s">
        <v>1058</v>
      </c>
      <c r="M354" s="4" t="s">
        <v>73</v>
      </c>
      <c r="N354" s="4">
        <v>578</v>
      </c>
      <c r="O354" s="4" t="s">
        <v>1059</v>
      </c>
    </row>
    <row r="355" spans="1:15" ht="15.75" customHeight="1">
      <c r="A355" s="4" t="s">
        <v>49</v>
      </c>
      <c r="B355" s="4">
        <v>349922</v>
      </c>
      <c r="C355" s="4">
        <v>351259</v>
      </c>
      <c r="E355" s="4" t="s">
        <v>50</v>
      </c>
      <c r="F355" s="4" t="s">
        <v>1060</v>
      </c>
      <c r="G355" s="4" t="s">
        <v>1061</v>
      </c>
      <c r="I355" s="4" t="s">
        <v>52</v>
      </c>
      <c r="L355" s="4" t="s">
        <v>1062</v>
      </c>
      <c r="M355" s="4" t="s">
        <v>1060</v>
      </c>
      <c r="N355" s="4">
        <v>445</v>
      </c>
      <c r="O355" s="4" t="s">
        <v>1063</v>
      </c>
    </row>
    <row r="356" spans="1:15" ht="15.75" customHeight="1">
      <c r="A356" s="4" t="s">
        <v>49</v>
      </c>
      <c r="B356" s="4">
        <v>351454</v>
      </c>
      <c r="C356" s="4">
        <v>352704</v>
      </c>
      <c r="E356" s="4" t="s">
        <v>50</v>
      </c>
      <c r="F356" s="4" t="s">
        <v>1064</v>
      </c>
      <c r="G356" s="4" t="s">
        <v>1065</v>
      </c>
      <c r="I356" s="4" t="s">
        <v>52</v>
      </c>
      <c r="L356" s="4" t="s">
        <v>1066</v>
      </c>
      <c r="M356" s="4" t="s">
        <v>1064</v>
      </c>
      <c r="N356" s="4">
        <v>416</v>
      </c>
      <c r="O356" s="4" t="s">
        <v>1067</v>
      </c>
    </row>
    <row r="357" spans="1:15" ht="15.75" customHeight="1">
      <c r="A357" s="4" t="s">
        <v>49</v>
      </c>
      <c r="B357" s="4">
        <v>352923</v>
      </c>
      <c r="C357" s="4">
        <v>353519</v>
      </c>
      <c r="E357" s="4" t="s">
        <v>50</v>
      </c>
      <c r="F357" s="4" t="s">
        <v>1068</v>
      </c>
      <c r="G357" s="4" t="s">
        <v>1069</v>
      </c>
      <c r="I357" s="4" t="s">
        <v>52</v>
      </c>
      <c r="L357" s="4" t="s">
        <v>1070</v>
      </c>
      <c r="M357" s="4" t="s">
        <v>1068</v>
      </c>
      <c r="N357" s="4">
        <v>198</v>
      </c>
      <c r="O357" s="4" t="s">
        <v>1071</v>
      </c>
    </row>
    <row r="358" spans="1:15" ht="15.75" customHeight="1">
      <c r="A358" s="4" t="s">
        <v>49</v>
      </c>
      <c r="B358" s="4">
        <v>353523</v>
      </c>
      <c r="C358" s="4">
        <v>353813</v>
      </c>
      <c r="E358" s="4" t="s">
        <v>50</v>
      </c>
      <c r="F358" s="4" t="s">
        <v>1072</v>
      </c>
      <c r="I358" s="4" t="s">
        <v>52</v>
      </c>
      <c r="L358" s="4" t="s">
        <v>1073</v>
      </c>
      <c r="M358" s="4" t="s">
        <v>1072</v>
      </c>
      <c r="N358" s="4">
        <v>96</v>
      </c>
      <c r="O358" s="4" t="s">
        <v>1074</v>
      </c>
    </row>
    <row r="359" spans="1:15" ht="15.75" customHeight="1">
      <c r="A359" s="4" t="s">
        <v>49</v>
      </c>
      <c r="B359" s="4">
        <v>353857</v>
      </c>
      <c r="C359" s="4">
        <v>354018</v>
      </c>
      <c r="E359" s="4" t="s">
        <v>55</v>
      </c>
      <c r="F359" s="4" t="s">
        <v>1075</v>
      </c>
      <c r="I359" s="4" t="s">
        <v>52</v>
      </c>
      <c r="L359" s="4" t="s">
        <v>1076</v>
      </c>
      <c r="M359" s="4" t="s">
        <v>1075</v>
      </c>
      <c r="N359" s="4">
        <v>53</v>
      </c>
      <c r="O359" s="4" t="s">
        <v>1077</v>
      </c>
    </row>
    <row r="360" spans="1:15" ht="15.75" customHeight="1">
      <c r="A360" s="4" t="s">
        <v>49</v>
      </c>
      <c r="B360" s="4">
        <v>354173</v>
      </c>
      <c r="C360" s="4">
        <v>355630</v>
      </c>
      <c r="E360" s="4" t="s">
        <v>50</v>
      </c>
      <c r="F360" s="4" t="s">
        <v>1078</v>
      </c>
      <c r="I360" s="4" t="s">
        <v>52</v>
      </c>
      <c r="L360" s="4" t="s">
        <v>1079</v>
      </c>
      <c r="M360" s="4" t="s">
        <v>1078</v>
      </c>
      <c r="N360" s="4">
        <v>485</v>
      </c>
      <c r="O360" s="4" t="s">
        <v>1080</v>
      </c>
    </row>
    <row r="361" spans="1:15" ht="15.75" customHeight="1">
      <c r="A361" s="4" t="s">
        <v>49</v>
      </c>
      <c r="B361" s="4">
        <v>355620</v>
      </c>
      <c r="C361" s="4">
        <v>356366</v>
      </c>
      <c r="E361" s="4" t="s">
        <v>50</v>
      </c>
      <c r="F361" s="4" t="s">
        <v>848</v>
      </c>
      <c r="I361" s="4" t="s">
        <v>52</v>
      </c>
      <c r="L361" s="4" t="s">
        <v>1081</v>
      </c>
      <c r="M361" s="4" t="s">
        <v>848</v>
      </c>
      <c r="N361" s="4">
        <v>248</v>
      </c>
      <c r="O361" s="4" t="s">
        <v>1082</v>
      </c>
    </row>
    <row r="362" spans="1:15" ht="15.75" customHeight="1">
      <c r="A362" s="4" t="s">
        <v>49</v>
      </c>
      <c r="B362" s="4">
        <v>356543</v>
      </c>
      <c r="C362" s="4">
        <v>358351</v>
      </c>
      <c r="E362" s="4" t="s">
        <v>50</v>
      </c>
      <c r="F362" s="4" t="s">
        <v>1083</v>
      </c>
      <c r="G362" s="4" t="s">
        <v>1084</v>
      </c>
      <c r="I362" s="4" t="s">
        <v>52</v>
      </c>
      <c r="L362" s="4" t="s">
        <v>1085</v>
      </c>
      <c r="M362" s="4" t="s">
        <v>1083</v>
      </c>
      <c r="N362" s="4">
        <v>602</v>
      </c>
      <c r="O362" s="4" t="s">
        <v>1086</v>
      </c>
    </row>
    <row r="363" spans="1:15" ht="15.75" customHeight="1">
      <c r="A363" s="4" t="s">
        <v>49</v>
      </c>
      <c r="B363" s="4">
        <v>358716</v>
      </c>
      <c r="C363" s="4">
        <v>360686</v>
      </c>
      <c r="E363" s="4" t="s">
        <v>55</v>
      </c>
      <c r="F363" s="4" t="s">
        <v>1087</v>
      </c>
      <c r="I363" s="4" t="s">
        <v>52</v>
      </c>
      <c r="L363" s="4" t="s">
        <v>1088</v>
      </c>
      <c r="M363" s="4" t="s">
        <v>1087</v>
      </c>
      <c r="N363" s="4">
        <v>656</v>
      </c>
      <c r="O363" s="4" t="s">
        <v>1089</v>
      </c>
    </row>
    <row r="364" spans="1:15" ht="15.75" customHeight="1">
      <c r="A364" s="4" t="s">
        <v>49</v>
      </c>
      <c r="B364" s="4">
        <v>360696</v>
      </c>
      <c r="C364" s="4">
        <v>361610</v>
      </c>
      <c r="E364" s="4" t="s">
        <v>55</v>
      </c>
      <c r="F364" s="4" t="s">
        <v>1090</v>
      </c>
      <c r="G364" s="4" t="s">
        <v>1091</v>
      </c>
      <c r="I364" s="4" t="s">
        <v>52</v>
      </c>
      <c r="L364" s="4" t="s">
        <v>1092</v>
      </c>
      <c r="M364" s="4" t="s">
        <v>1090</v>
      </c>
      <c r="N364" s="4">
        <v>304</v>
      </c>
      <c r="O364" s="4" t="s">
        <v>1093</v>
      </c>
    </row>
    <row r="365" spans="1:15" ht="15.75" customHeight="1">
      <c r="A365" s="4" t="s">
        <v>49</v>
      </c>
      <c r="B365" s="4">
        <v>361607</v>
      </c>
      <c r="C365" s="4">
        <v>362356</v>
      </c>
      <c r="E365" s="4" t="s">
        <v>55</v>
      </c>
      <c r="F365" s="4" t="s">
        <v>1094</v>
      </c>
      <c r="I365" s="4" t="s">
        <v>52</v>
      </c>
      <c r="L365" s="4" t="s">
        <v>1095</v>
      </c>
      <c r="M365" s="4" t="s">
        <v>1094</v>
      </c>
      <c r="N365" s="4">
        <v>249</v>
      </c>
      <c r="O365" s="4" t="s">
        <v>1096</v>
      </c>
    </row>
    <row r="366" spans="1:15" ht="15.75" customHeight="1">
      <c r="A366" s="4" t="s">
        <v>49</v>
      </c>
      <c r="B366" s="4">
        <v>362605</v>
      </c>
      <c r="C366" s="4">
        <v>363891</v>
      </c>
      <c r="E366" s="4" t="s">
        <v>50</v>
      </c>
      <c r="F366" s="4" t="s">
        <v>1097</v>
      </c>
      <c r="G366" s="4" t="s">
        <v>1098</v>
      </c>
      <c r="I366" s="4" t="s">
        <v>52</v>
      </c>
      <c r="L366" s="4" t="s">
        <v>1099</v>
      </c>
      <c r="M366" s="4" t="s">
        <v>1097</v>
      </c>
      <c r="N366" s="4">
        <v>428</v>
      </c>
      <c r="O366" s="4" t="s">
        <v>1100</v>
      </c>
    </row>
    <row r="367" spans="1:15" ht="15.75" customHeight="1">
      <c r="A367" s="4" t="s">
        <v>49</v>
      </c>
      <c r="B367" s="4">
        <v>363931</v>
      </c>
      <c r="C367" s="4">
        <v>365925</v>
      </c>
      <c r="E367" s="4" t="s">
        <v>50</v>
      </c>
      <c r="F367" s="4" t="s">
        <v>1101</v>
      </c>
      <c r="I367" s="4" t="s">
        <v>52</v>
      </c>
      <c r="L367" s="4" t="s">
        <v>1102</v>
      </c>
      <c r="M367" s="4" t="s">
        <v>1101</v>
      </c>
      <c r="N367" s="4">
        <v>664</v>
      </c>
      <c r="O367" s="4" t="s">
        <v>1103</v>
      </c>
    </row>
    <row r="368" spans="1:15" ht="15.75" customHeight="1">
      <c r="A368" s="4" t="s">
        <v>49</v>
      </c>
      <c r="B368" s="4">
        <v>366154</v>
      </c>
      <c r="C368" s="4">
        <v>367116</v>
      </c>
      <c r="E368" s="4" t="s">
        <v>50</v>
      </c>
      <c r="F368" s="4" t="s">
        <v>1104</v>
      </c>
      <c r="G368" s="4" t="s">
        <v>1105</v>
      </c>
      <c r="I368" s="4" t="s">
        <v>52</v>
      </c>
      <c r="L368" s="4" t="s">
        <v>1106</v>
      </c>
      <c r="M368" s="4" t="s">
        <v>1104</v>
      </c>
      <c r="N368" s="4">
        <v>320</v>
      </c>
      <c r="O368" s="4" t="s">
        <v>1107</v>
      </c>
    </row>
    <row r="369" spans="1:15" ht="15.75" customHeight="1">
      <c r="A369" s="4" t="s">
        <v>49</v>
      </c>
      <c r="B369" s="4">
        <v>367160</v>
      </c>
      <c r="C369" s="4">
        <v>367945</v>
      </c>
      <c r="E369" s="4" t="s">
        <v>50</v>
      </c>
      <c r="F369" s="4" t="s">
        <v>1108</v>
      </c>
      <c r="I369" s="4" t="s">
        <v>52</v>
      </c>
      <c r="L369" s="4" t="s">
        <v>1109</v>
      </c>
      <c r="M369" s="4" t="s">
        <v>1108</v>
      </c>
      <c r="N369" s="4">
        <v>261</v>
      </c>
      <c r="O369" s="4" t="s">
        <v>1110</v>
      </c>
    </row>
    <row r="370" spans="1:15" ht="15.75" customHeight="1">
      <c r="A370" s="4" t="s">
        <v>49</v>
      </c>
      <c r="B370" s="4">
        <v>367959</v>
      </c>
      <c r="C370" s="4">
        <v>368294</v>
      </c>
      <c r="E370" s="4" t="s">
        <v>50</v>
      </c>
      <c r="F370" s="4" t="s">
        <v>1111</v>
      </c>
      <c r="I370" s="4" t="s">
        <v>52</v>
      </c>
      <c r="L370" s="4" t="s">
        <v>1112</v>
      </c>
      <c r="M370" s="4" t="s">
        <v>1111</v>
      </c>
      <c r="N370" s="4">
        <v>111</v>
      </c>
      <c r="O370" s="4" t="s">
        <v>1113</v>
      </c>
    </row>
    <row r="371" spans="1:15" ht="15.75" customHeight="1">
      <c r="A371" s="4" t="s">
        <v>49</v>
      </c>
      <c r="B371" s="4">
        <v>368652</v>
      </c>
      <c r="C371" s="4">
        <v>371258</v>
      </c>
      <c r="E371" s="4" t="s">
        <v>50</v>
      </c>
      <c r="F371" s="4" t="s">
        <v>1114</v>
      </c>
      <c r="G371" s="4" t="s">
        <v>1115</v>
      </c>
      <c r="I371" s="4" t="s">
        <v>52</v>
      </c>
      <c r="L371" s="4" t="s">
        <v>1116</v>
      </c>
      <c r="M371" s="4" t="s">
        <v>1114</v>
      </c>
      <c r="N371" s="4">
        <v>868</v>
      </c>
      <c r="O371" s="4" t="s">
        <v>1117</v>
      </c>
    </row>
    <row r="372" spans="1:15" ht="15.75" customHeight="1">
      <c r="A372" s="4" t="s">
        <v>49</v>
      </c>
      <c r="B372" s="4">
        <v>371439</v>
      </c>
      <c r="C372" s="4">
        <v>371630</v>
      </c>
      <c r="E372" s="4" t="s">
        <v>50</v>
      </c>
      <c r="F372" s="4" t="s">
        <v>1118</v>
      </c>
      <c r="G372" s="4" t="s">
        <v>1119</v>
      </c>
      <c r="I372" s="4" t="s">
        <v>52</v>
      </c>
      <c r="L372" s="4" t="s">
        <v>1120</v>
      </c>
      <c r="M372" s="4" t="s">
        <v>1118</v>
      </c>
      <c r="N372" s="4">
        <v>63</v>
      </c>
      <c r="O372" s="4" t="s">
        <v>1121</v>
      </c>
    </row>
    <row r="373" spans="1:15" ht="15.75" customHeight="1">
      <c r="A373" s="4" t="s">
        <v>49</v>
      </c>
      <c r="B373" s="4">
        <v>371989</v>
      </c>
      <c r="C373" s="4">
        <v>372540</v>
      </c>
      <c r="E373" s="4" t="s">
        <v>50</v>
      </c>
      <c r="F373" s="4" t="s">
        <v>1122</v>
      </c>
      <c r="I373" s="4" t="s">
        <v>52</v>
      </c>
      <c r="L373" s="4" t="s">
        <v>1123</v>
      </c>
      <c r="M373" s="4" t="s">
        <v>1122</v>
      </c>
      <c r="N373" s="4">
        <v>183</v>
      </c>
      <c r="O373" s="4" t="s">
        <v>1124</v>
      </c>
    </row>
    <row r="374" spans="1:15" ht="15.75" customHeight="1">
      <c r="A374" s="4" t="s">
        <v>49</v>
      </c>
      <c r="B374" s="4">
        <v>372537</v>
      </c>
      <c r="C374" s="4">
        <v>374090</v>
      </c>
      <c r="E374" s="4" t="s">
        <v>50</v>
      </c>
      <c r="F374" s="4" t="s">
        <v>1125</v>
      </c>
      <c r="I374" s="4" t="s">
        <v>52</v>
      </c>
      <c r="L374" s="4" t="s">
        <v>1126</v>
      </c>
      <c r="M374" s="4" t="s">
        <v>1125</v>
      </c>
      <c r="N374" s="4">
        <v>517</v>
      </c>
      <c r="O374" s="4" t="s">
        <v>1127</v>
      </c>
    </row>
    <row r="375" spans="1:15" ht="15.75" customHeight="1">
      <c r="A375" s="4" t="s">
        <v>49</v>
      </c>
      <c r="B375" s="4">
        <v>374184</v>
      </c>
      <c r="C375" s="4">
        <v>375044</v>
      </c>
      <c r="E375" s="4" t="s">
        <v>50</v>
      </c>
      <c r="F375" s="4" t="s">
        <v>56</v>
      </c>
      <c r="I375" s="4" t="s">
        <v>52</v>
      </c>
      <c r="L375" s="4" t="s">
        <v>1128</v>
      </c>
      <c r="M375" s="4" t="s">
        <v>56</v>
      </c>
      <c r="N375" s="4">
        <v>286</v>
      </c>
      <c r="O375" s="4" t="s">
        <v>1129</v>
      </c>
    </row>
    <row r="376" spans="1:15" ht="15.75" customHeight="1">
      <c r="A376" s="4" t="s">
        <v>49</v>
      </c>
      <c r="B376" s="4">
        <v>375152</v>
      </c>
      <c r="C376" s="4">
        <v>375346</v>
      </c>
      <c r="E376" s="4" t="s">
        <v>55</v>
      </c>
      <c r="F376" s="4" t="s">
        <v>1130</v>
      </c>
      <c r="I376" s="4" t="s">
        <v>52</v>
      </c>
      <c r="L376" s="4" t="s">
        <v>1131</v>
      </c>
      <c r="M376" s="4" t="s">
        <v>1130</v>
      </c>
      <c r="N376" s="4">
        <v>64</v>
      </c>
      <c r="O376" s="4" t="s">
        <v>1132</v>
      </c>
    </row>
    <row r="377" spans="1:15" ht="15.75" customHeight="1">
      <c r="A377" s="4" t="s">
        <v>49</v>
      </c>
      <c r="B377" s="4">
        <v>375442</v>
      </c>
      <c r="C377" s="4">
        <v>378738</v>
      </c>
      <c r="E377" s="4" t="s">
        <v>50</v>
      </c>
      <c r="F377" s="4" t="s">
        <v>1133</v>
      </c>
      <c r="G377" s="4" t="s">
        <v>1134</v>
      </c>
      <c r="I377" s="4" t="s">
        <v>52</v>
      </c>
      <c r="L377" s="4" t="s">
        <v>1135</v>
      </c>
      <c r="M377" s="4" t="s">
        <v>1133</v>
      </c>
      <c r="N377" s="4">
        <v>1098</v>
      </c>
      <c r="O377" s="4" t="s">
        <v>1136</v>
      </c>
    </row>
    <row r="378" spans="1:15" ht="15.75" customHeight="1">
      <c r="A378" s="4" t="s">
        <v>49</v>
      </c>
      <c r="B378" s="4">
        <v>378850</v>
      </c>
      <c r="C378" s="4">
        <v>379809</v>
      </c>
      <c r="E378" s="4" t="s">
        <v>50</v>
      </c>
      <c r="F378" s="4" t="s">
        <v>1137</v>
      </c>
      <c r="G378" s="4" t="s">
        <v>1138</v>
      </c>
      <c r="I378" s="4" t="s">
        <v>52</v>
      </c>
      <c r="L378" s="4" t="s">
        <v>1139</v>
      </c>
      <c r="M378" s="4" t="s">
        <v>1137</v>
      </c>
      <c r="N378" s="4">
        <v>319</v>
      </c>
      <c r="O378" s="4" t="s">
        <v>1140</v>
      </c>
    </row>
    <row r="379" spans="1:15" ht="15.75" customHeight="1">
      <c r="A379" s="4" t="s">
        <v>49</v>
      </c>
      <c r="B379" s="4">
        <v>379868</v>
      </c>
      <c r="C379" s="4">
        <v>381634</v>
      </c>
      <c r="E379" s="4" t="s">
        <v>50</v>
      </c>
      <c r="F379" s="4" t="s">
        <v>1141</v>
      </c>
      <c r="G379" s="4" t="s">
        <v>1142</v>
      </c>
      <c r="I379" s="4" t="s">
        <v>52</v>
      </c>
      <c r="L379" s="4" t="s">
        <v>1143</v>
      </c>
      <c r="M379" s="4" t="s">
        <v>1141</v>
      </c>
      <c r="N379" s="4">
        <v>588</v>
      </c>
      <c r="O379" s="4" t="s">
        <v>1144</v>
      </c>
    </row>
    <row r="380" spans="1:15" ht="15.75" customHeight="1">
      <c r="A380" s="4" t="s">
        <v>49</v>
      </c>
      <c r="B380" s="4">
        <v>381842</v>
      </c>
      <c r="C380" s="4">
        <v>382303</v>
      </c>
      <c r="E380" s="4" t="s">
        <v>50</v>
      </c>
      <c r="F380" s="4" t="s">
        <v>1145</v>
      </c>
      <c r="I380" s="4" t="s">
        <v>52</v>
      </c>
      <c r="L380" s="4" t="s">
        <v>1146</v>
      </c>
      <c r="M380" s="4" t="s">
        <v>1145</v>
      </c>
      <c r="N380" s="4">
        <v>153</v>
      </c>
      <c r="O380" s="4" t="s">
        <v>1147</v>
      </c>
    </row>
    <row r="381" spans="1:15" ht="15.75" customHeight="1">
      <c r="A381" s="4" t="s">
        <v>49</v>
      </c>
      <c r="B381" s="4">
        <v>382343</v>
      </c>
      <c r="C381" s="4">
        <v>383221</v>
      </c>
      <c r="E381" s="4" t="s">
        <v>50</v>
      </c>
      <c r="F381" s="4" t="s">
        <v>1148</v>
      </c>
      <c r="I381" s="4" t="s">
        <v>52</v>
      </c>
      <c r="L381" s="4" t="s">
        <v>1149</v>
      </c>
      <c r="M381" s="4" t="s">
        <v>1148</v>
      </c>
      <c r="N381" s="4">
        <v>292</v>
      </c>
      <c r="O381" s="4" t="s">
        <v>1150</v>
      </c>
    </row>
    <row r="382" spans="1:15" ht="15.75" customHeight="1">
      <c r="A382" s="4" t="s">
        <v>49</v>
      </c>
      <c r="B382" s="4">
        <v>383226</v>
      </c>
      <c r="C382" s="4">
        <v>384107</v>
      </c>
      <c r="E382" s="4" t="s">
        <v>50</v>
      </c>
      <c r="F382" s="4" t="s">
        <v>1151</v>
      </c>
      <c r="G382" s="4" t="s">
        <v>1152</v>
      </c>
      <c r="I382" s="4" t="s">
        <v>52</v>
      </c>
      <c r="L382" s="4" t="s">
        <v>1153</v>
      </c>
      <c r="M382" s="4" t="s">
        <v>1151</v>
      </c>
      <c r="N382" s="4">
        <v>293</v>
      </c>
      <c r="O382" s="4" t="s">
        <v>1154</v>
      </c>
    </row>
    <row r="383" spans="1:15" ht="15.75" customHeight="1">
      <c r="A383" s="4" t="s">
        <v>49</v>
      </c>
      <c r="B383" s="4">
        <v>384362</v>
      </c>
      <c r="C383" s="4">
        <v>384748</v>
      </c>
      <c r="E383" s="4" t="s">
        <v>50</v>
      </c>
      <c r="F383" s="4" t="s">
        <v>56</v>
      </c>
      <c r="I383" s="4" t="s">
        <v>52</v>
      </c>
      <c r="L383" s="4" t="s">
        <v>1155</v>
      </c>
      <c r="M383" s="4" t="s">
        <v>56</v>
      </c>
      <c r="N383" s="4">
        <v>128</v>
      </c>
      <c r="O383" s="4" t="s">
        <v>1156</v>
      </c>
    </row>
    <row r="384" spans="1:15" ht="15.75" customHeight="1">
      <c r="A384" s="4" t="s">
        <v>49</v>
      </c>
      <c r="B384" s="4">
        <v>384723</v>
      </c>
      <c r="C384" s="4">
        <v>385448</v>
      </c>
      <c r="E384" s="4" t="s">
        <v>50</v>
      </c>
      <c r="F384" s="4" t="s">
        <v>1157</v>
      </c>
      <c r="I384" s="4" t="s">
        <v>52</v>
      </c>
      <c r="L384" s="4" t="s">
        <v>1158</v>
      </c>
      <c r="M384" s="4" t="s">
        <v>1157</v>
      </c>
      <c r="N384" s="4">
        <v>241</v>
      </c>
      <c r="O384" s="4" t="s">
        <v>1159</v>
      </c>
    </row>
    <row r="385" spans="1:15" ht="15.75" customHeight="1">
      <c r="A385" s="4" t="s">
        <v>49</v>
      </c>
      <c r="B385" s="4">
        <v>385448</v>
      </c>
      <c r="C385" s="4">
        <v>386068</v>
      </c>
      <c r="E385" s="4" t="s">
        <v>50</v>
      </c>
      <c r="F385" s="4" t="s">
        <v>1160</v>
      </c>
      <c r="G385" s="4" t="s">
        <v>1161</v>
      </c>
      <c r="I385" s="4" t="s">
        <v>52</v>
      </c>
      <c r="L385" s="4" t="s">
        <v>1162</v>
      </c>
      <c r="M385" s="4" t="s">
        <v>1160</v>
      </c>
      <c r="N385" s="4">
        <v>206</v>
      </c>
      <c r="O385" s="4" t="s">
        <v>1163</v>
      </c>
    </row>
    <row r="386" spans="1:15" ht="15.75" customHeight="1">
      <c r="A386" s="4" t="s">
        <v>49</v>
      </c>
      <c r="B386" s="4">
        <v>386052</v>
      </c>
      <c r="C386" s="4">
        <v>386795</v>
      </c>
      <c r="E386" s="4" t="s">
        <v>50</v>
      </c>
      <c r="F386" s="4" t="s">
        <v>1164</v>
      </c>
      <c r="I386" s="4" t="s">
        <v>52</v>
      </c>
      <c r="L386" s="4" t="s">
        <v>1165</v>
      </c>
      <c r="M386" s="4" t="s">
        <v>1164</v>
      </c>
      <c r="N386" s="4">
        <v>247</v>
      </c>
      <c r="O386" s="4" t="s">
        <v>1166</v>
      </c>
    </row>
    <row r="387" spans="1:15" ht="15.75" customHeight="1">
      <c r="A387" s="4" t="s">
        <v>49</v>
      </c>
      <c r="B387" s="4">
        <v>387098</v>
      </c>
      <c r="C387" s="4">
        <v>387676</v>
      </c>
      <c r="E387" s="4" t="s">
        <v>50</v>
      </c>
      <c r="F387" s="4" t="s">
        <v>1167</v>
      </c>
      <c r="I387" s="4" t="s">
        <v>52</v>
      </c>
      <c r="L387" s="4" t="s">
        <v>1168</v>
      </c>
      <c r="M387" s="4" t="s">
        <v>1167</v>
      </c>
      <c r="N387" s="4">
        <v>192</v>
      </c>
      <c r="O387" s="4" t="s">
        <v>1169</v>
      </c>
    </row>
    <row r="388" spans="1:15" ht="15.75" customHeight="1">
      <c r="A388" s="4" t="s">
        <v>49</v>
      </c>
      <c r="B388" s="4">
        <v>387823</v>
      </c>
      <c r="C388" s="4">
        <v>388080</v>
      </c>
      <c r="E388" s="4" t="s">
        <v>55</v>
      </c>
      <c r="F388" s="4" t="s">
        <v>1170</v>
      </c>
      <c r="I388" s="4" t="s">
        <v>52</v>
      </c>
      <c r="L388" s="4" t="s">
        <v>1171</v>
      </c>
      <c r="M388" s="4" t="s">
        <v>1170</v>
      </c>
      <c r="N388" s="4">
        <v>85</v>
      </c>
      <c r="O388" s="4" t="s">
        <v>1172</v>
      </c>
    </row>
    <row r="389" spans="1:15" ht="15.75" customHeight="1">
      <c r="A389" s="4" t="s">
        <v>49</v>
      </c>
      <c r="B389" s="4">
        <v>388146</v>
      </c>
      <c r="C389" s="4">
        <v>389126</v>
      </c>
      <c r="E389" s="4" t="s">
        <v>50</v>
      </c>
      <c r="F389" s="4" t="s">
        <v>92</v>
      </c>
      <c r="I389" s="4" t="s">
        <v>52</v>
      </c>
      <c r="L389" s="4" t="s">
        <v>1173</v>
      </c>
      <c r="M389" s="4" t="s">
        <v>92</v>
      </c>
      <c r="N389" s="4">
        <v>326</v>
      </c>
      <c r="O389" s="4" t="s">
        <v>1174</v>
      </c>
    </row>
    <row r="390" spans="1:15" ht="15.75" customHeight="1">
      <c r="A390" s="4" t="s">
        <v>49</v>
      </c>
      <c r="B390" s="4">
        <v>389113</v>
      </c>
      <c r="C390" s="4">
        <v>390522</v>
      </c>
      <c r="E390" s="4" t="s">
        <v>50</v>
      </c>
      <c r="F390" s="4" t="s">
        <v>1175</v>
      </c>
      <c r="I390" s="4" t="s">
        <v>52</v>
      </c>
      <c r="L390" s="4" t="s">
        <v>1176</v>
      </c>
      <c r="M390" s="4" t="s">
        <v>1175</v>
      </c>
      <c r="N390" s="4">
        <v>469</v>
      </c>
      <c r="O390" s="4" t="s">
        <v>1177</v>
      </c>
    </row>
    <row r="391" spans="1:15" ht="15.75" customHeight="1">
      <c r="A391" s="4" t="s">
        <v>49</v>
      </c>
      <c r="B391" s="4">
        <v>390581</v>
      </c>
      <c r="C391" s="4">
        <v>391201</v>
      </c>
      <c r="E391" s="4" t="s">
        <v>50</v>
      </c>
      <c r="F391" s="4" t="s">
        <v>1178</v>
      </c>
      <c r="I391" s="4" t="s">
        <v>52</v>
      </c>
      <c r="L391" s="4" t="s">
        <v>1179</v>
      </c>
      <c r="M391" s="4" t="s">
        <v>1178</v>
      </c>
      <c r="N391" s="4">
        <v>206</v>
      </c>
      <c r="O391" s="4" t="s">
        <v>1180</v>
      </c>
    </row>
    <row r="392" spans="1:15" ht="15.75" customHeight="1">
      <c r="A392" s="4" t="s">
        <v>49</v>
      </c>
      <c r="B392" s="4">
        <v>391267</v>
      </c>
      <c r="C392" s="4">
        <v>391932</v>
      </c>
      <c r="E392" s="4" t="s">
        <v>50</v>
      </c>
      <c r="F392" s="4" t="s">
        <v>1181</v>
      </c>
      <c r="G392" s="4" t="s">
        <v>1182</v>
      </c>
      <c r="I392" s="4" t="s">
        <v>52</v>
      </c>
      <c r="L392" s="4" t="s">
        <v>1183</v>
      </c>
      <c r="M392" s="4" t="s">
        <v>1181</v>
      </c>
      <c r="N392" s="4">
        <v>221</v>
      </c>
      <c r="O392" s="4" t="s">
        <v>1184</v>
      </c>
    </row>
    <row r="393" spans="1:15" ht="15.75" customHeight="1">
      <c r="A393" s="4" t="s">
        <v>49</v>
      </c>
      <c r="B393" s="4">
        <v>392020</v>
      </c>
      <c r="C393" s="4">
        <v>393339</v>
      </c>
      <c r="E393" s="4" t="s">
        <v>50</v>
      </c>
      <c r="F393" s="4" t="s">
        <v>1185</v>
      </c>
      <c r="G393" s="4" t="s">
        <v>1186</v>
      </c>
      <c r="I393" s="4" t="s">
        <v>52</v>
      </c>
      <c r="L393" s="4" t="s">
        <v>1187</v>
      </c>
      <c r="M393" s="4" t="s">
        <v>1185</v>
      </c>
      <c r="N393" s="4">
        <v>439</v>
      </c>
      <c r="O393" s="4" t="s">
        <v>1188</v>
      </c>
    </row>
    <row r="394" spans="1:15" ht="15.75" customHeight="1">
      <c r="A394" s="4" t="s">
        <v>49</v>
      </c>
      <c r="B394" s="4">
        <v>393429</v>
      </c>
      <c r="C394" s="4">
        <v>394736</v>
      </c>
      <c r="E394" s="4" t="s">
        <v>50</v>
      </c>
      <c r="F394" s="4" t="s">
        <v>1189</v>
      </c>
      <c r="G394" s="4" t="s">
        <v>1190</v>
      </c>
      <c r="I394" s="4" t="s">
        <v>52</v>
      </c>
      <c r="L394" s="4" t="s">
        <v>1191</v>
      </c>
      <c r="M394" s="4" t="s">
        <v>1189</v>
      </c>
      <c r="N394" s="4">
        <v>435</v>
      </c>
      <c r="O394" s="4" t="s">
        <v>1192</v>
      </c>
    </row>
    <row r="395" spans="1:15" ht="15.75" customHeight="1">
      <c r="A395" s="4" t="s">
        <v>49</v>
      </c>
      <c r="B395" s="4">
        <v>394980</v>
      </c>
      <c r="C395" s="4">
        <v>395255</v>
      </c>
      <c r="E395" s="4" t="s">
        <v>50</v>
      </c>
      <c r="F395" s="4" t="s">
        <v>1193</v>
      </c>
      <c r="I395" s="4" t="s">
        <v>52</v>
      </c>
      <c r="L395" s="4" t="s">
        <v>1194</v>
      </c>
      <c r="M395" s="4" t="s">
        <v>1193</v>
      </c>
      <c r="N395" s="4">
        <v>91</v>
      </c>
      <c r="O395" s="4" t="s">
        <v>1195</v>
      </c>
    </row>
    <row r="396" spans="1:15" ht="15.75" customHeight="1">
      <c r="A396" s="4" t="s">
        <v>49</v>
      </c>
      <c r="B396" s="4">
        <v>395500</v>
      </c>
      <c r="C396" s="4">
        <v>396768</v>
      </c>
      <c r="E396" s="4" t="s">
        <v>50</v>
      </c>
      <c r="F396" s="4" t="s">
        <v>1196</v>
      </c>
      <c r="I396" s="4" t="s">
        <v>52</v>
      </c>
      <c r="L396" s="4" t="s">
        <v>1197</v>
      </c>
      <c r="M396" s="4" t="s">
        <v>1196</v>
      </c>
      <c r="N396" s="4">
        <v>422</v>
      </c>
      <c r="O396" s="4" t="s">
        <v>1198</v>
      </c>
    </row>
    <row r="397" spans="1:15" ht="15.75" customHeight="1">
      <c r="A397" s="4" t="s">
        <v>49</v>
      </c>
      <c r="B397" s="4">
        <v>396779</v>
      </c>
      <c r="C397" s="4">
        <v>397657</v>
      </c>
      <c r="E397" s="4" t="s">
        <v>55</v>
      </c>
      <c r="F397" s="4" t="s">
        <v>1199</v>
      </c>
      <c r="I397" s="4" t="s">
        <v>52</v>
      </c>
      <c r="L397" s="4" t="s">
        <v>1200</v>
      </c>
      <c r="M397" s="4" t="s">
        <v>1199</v>
      </c>
      <c r="N397" s="4">
        <v>292</v>
      </c>
      <c r="O397" s="4" t="s">
        <v>1201</v>
      </c>
    </row>
    <row r="398" spans="1:15" ht="15.75" customHeight="1">
      <c r="A398" s="4" t="s">
        <v>49</v>
      </c>
      <c r="B398" s="4">
        <v>397761</v>
      </c>
      <c r="C398" s="4">
        <v>398957</v>
      </c>
      <c r="E398" s="4" t="s">
        <v>50</v>
      </c>
      <c r="F398" s="4" t="s">
        <v>1202</v>
      </c>
      <c r="I398" s="4" t="s">
        <v>52</v>
      </c>
      <c r="L398" s="4" t="s">
        <v>1203</v>
      </c>
      <c r="M398" s="4" t="s">
        <v>1202</v>
      </c>
      <c r="N398" s="4">
        <v>398</v>
      </c>
      <c r="O398" s="4" t="s">
        <v>1204</v>
      </c>
    </row>
    <row r="399" spans="1:15" ht="15.75" customHeight="1">
      <c r="A399" s="4" t="s">
        <v>49</v>
      </c>
      <c r="B399" s="4">
        <v>399095</v>
      </c>
      <c r="C399" s="4">
        <v>399550</v>
      </c>
      <c r="E399" s="4" t="s">
        <v>50</v>
      </c>
      <c r="F399" s="4" t="s">
        <v>56</v>
      </c>
      <c r="I399" s="4" t="s">
        <v>52</v>
      </c>
      <c r="L399" s="4" t="s">
        <v>1205</v>
      </c>
      <c r="M399" s="4" t="s">
        <v>56</v>
      </c>
      <c r="N399" s="4">
        <v>151</v>
      </c>
      <c r="O399" s="4" t="s">
        <v>1206</v>
      </c>
    </row>
    <row r="400" spans="1:15" ht="15.75" customHeight="1">
      <c r="A400" s="4" t="s">
        <v>49</v>
      </c>
      <c r="B400" s="4">
        <v>399646</v>
      </c>
      <c r="C400" s="4">
        <v>401538</v>
      </c>
      <c r="E400" s="4" t="s">
        <v>50</v>
      </c>
      <c r="F400" s="4" t="s">
        <v>1207</v>
      </c>
      <c r="I400" s="4" t="s">
        <v>52</v>
      </c>
      <c r="L400" s="4" t="s">
        <v>1208</v>
      </c>
      <c r="M400" s="4" t="s">
        <v>1207</v>
      </c>
      <c r="N400" s="4">
        <v>630</v>
      </c>
      <c r="O400" s="4" t="s">
        <v>1209</v>
      </c>
    </row>
    <row r="401" spans="1:15" ht="15.75" customHeight="1">
      <c r="A401" s="4" t="s">
        <v>49</v>
      </c>
      <c r="B401" s="4">
        <v>401567</v>
      </c>
      <c r="C401" s="4">
        <v>402517</v>
      </c>
      <c r="E401" s="4" t="s">
        <v>50</v>
      </c>
      <c r="F401" s="4" t="s">
        <v>1210</v>
      </c>
      <c r="I401" s="4" t="s">
        <v>52</v>
      </c>
      <c r="L401" s="4" t="s">
        <v>1211</v>
      </c>
      <c r="M401" s="4" t="s">
        <v>1210</v>
      </c>
      <c r="N401" s="4">
        <v>316</v>
      </c>
      <c r="O401" s="4" t="s">
        <v>1212</v>
      </c>
    </row>
    <row r="402" spans="1:15" ht="15.75" customHeight="1">
      <c r="A402" s="4" t="s">
        <v>49</v>
      </c>
      <c r="B402" s="4">
        <v>402645</v>
      </c>
      <c r="C402" s="4">
        <v>403136</v>
      </c>
      <c r="E402" s="4" t="s">
        <v>50</v>
      </c>
      <c r="F402" s="4" t="s">
        <v>1213</v>
      </c>
      <c r="I402" s="4" t="s">
        <v>52</v>
      </c>
      <c r="L402" s="4" t="s">
        <v>1214</v>
      </c>
      <c r="M402" s="4" t="s">
        <v>1213</v>
      </c>
      <c r="N402" s="4">
        <v>163</v>
      </c>
      <c r="O402" s="4" t="s">
        <v>1215</v>
      </c>
    </row>
    <row r="403" spans="1:15" ht="15.75" customHeight="1">
      <c r="A403" s="4" t="s">
        <v>49</v>
      </c>
      <c r="B403" s="4">
        <v>403292</v>
      </c>
      <c r="C403" s="4">
        <v>403933</v>
      </c>
      <c r="E403" s="4" t="s">
        <v>55</v>
      </c>
      <c r="F403" s="4" t="s">
        <v>1216</v>
      </c>
      <c r="I403" s="4" t="s">
        <v>52</v>
      </c>
      <c r="L403" s="4" t="s">
        <v>1217</v>
      </c>
      <c r="M403" s="4" t="s">
        <v>1216</v>
      </c>
      <c r="N403" s="4">
        <v>213</v>
      </c>
      <c r="O403" s="4" t="s">
        <v>1218</v>
      </c>
    </row>
    <row r="404" spans="1:15" ht="15.75" customHeight="1">
      <c r="A404" s="4" t="s">
        <v>49</v>
      </c>
      <c r="B404" s="4">
        <v>404137</v>
      </c>
      <c r="C404" s="4">
        <v>404979</v>
      </c>
      <c r="E404" s="4" t="s">
        <v>50</v>
      </c>
      <c r="F404" s="4" t="s">
        <v>270</v>
      </c>
      <c r="I404" s="4" t="s">
        <v>52</v>
      </c>
      <c r="L404" s="4" t="s">
        <v>1219</v>
      </c>
      <c r="M404" s="4" t="s">
        <v>270</v>
      </c>
      <c r="N404" s="4">
        <v>280</v>
      </c>
      <c r="O404" s="4" t="s">
        <v>1220</v>
      </c>
    </row>
    <row r="405" spans="1:15" ht="15.75" customHeight="1">
      <c r="A405" s="4" t="s">
        <v>49</v>
      </c>
      <c r="B405" s="4">
        <v>405317</v>
      </c>
      <c r="C405" s="4">
        <v>406162</v>
      </c>
      <c r="E405" s="4" t="s">
        <v>50</v>
      </c>
      <c r="F405" s="4" t="s">
        <v>219</v>
      </c>
      <c r="I405" s="4" t="s">
        <v>52</v>
      </c>
      <c r="L405" s="4" t="s">
        <v>1221</v>
      </c>
      <c r="M405" s="4" t="s">
        <v>219</v>
      </c>
      <c r="N405" s="4">
        <v>281</v>
      </c>
      <c r="O405" s="4" t="s">
        <v>1222</v>
      </c>
    </row>
    <row r="406" spans="1:15" ht="15.75" customHeight="1">
      <c r="A406" s="4" t="s">
        <v>49</v>
      </c>
      <c r="B406" s="4">
        <v>406168</v>
      </c>
      <c r="C406" s="4">
        <v>406797</v>
      </c>
      <c r="E406" s="4" t="s">
        <v>50</v>
      </c>
      <c r="F406" s="4" t="s">
        <v>1223</v>
      </c>
      <c r="I406" s="4" t="s">
        <v>52</v>
      </c>
      <c r="L406" s="4" t="s">
        <v>1224</v>
      </c>
      <c r="M406" s="4" t="s">
        <v>1223</v>
      </c>
      <c r="N406" s="4">
        <v>209</v>
      </c>
      <c r="O406" s="4" t="s">
        <v>1225</v>
      </c>
    </row>
    <row r="407" spans="1:15" ht="15.75" customHeight="1">
      <c r="A407" s="4" t="s">
        <v>49</v>
      </c>
      <c r="B407" s="4">
        <v>406823</v>
      </c>
      <c r="C407" s="4">
        <v>407344</v>
      </c>
      <c r="E407" s="4" t="s">
        <v>50</v>
      </c>
      <c r="F407" s="4" t="s">
        <v>659</v>
      </c>
      <c r="G407" s="4" t="s">
        <v>660</v>
      </c>
      <c r="I407" s="4" t="s">
        <v>52</v>
      </c>
      <c r="L407" s="4" t="s">
        <v>1226</v>
      </c>
      <c r="M407" s="4" t="s">
        <v>659</v>
      </c>
      <c r="N407" s="4">
        <v>173</v>
      </c>
      <c r="O407" s="4" t="s">
        <v>1227</v>
      </c>
    </row>
    <row r="408" spans="1:15" ht="15.75" customHeight="1">
      <c r="A408" s="4" t="s">
        <v>49</v>
      </c>
      <c r="B408" s="4">
        <v>407344</v>
      </c>
      <c r="C408" s="4">
        <v>407586</v>
      </c>
      <c r="E408" s="4" t="s">
        <v>50</v>
      </c>
      <c r="F408" s="4" t="s">
        <v>1228</v>
      </c>
      <c r="I408" s="4" t="s">
        <v>52</v>
      </c>
      <c r="L408" s="4" t="s">
        <v>1229</v>
      </c>
      <c r="M408" s="4" t="s">
        <v>1228</v>
      </c>
      <c r="N408" s="4">
        <v>80</v>
      </c>
      <c r="O408" s="4" t="s">
        <v>1230</v>
      </c>
    </row>
    <row r="409" spans="1:15" ht="15.75" customHeight="1">
      <c r="A409" s="4" t="s">
        <v>49</v>
      </c>
      <c r="B409" s="4">
        <v>407612</v>
      </c>
      <c r="C409" s="4">
        <v>408997</v>
      </c>
      <c r="E409" s="4" t="s">
        <v>50</v>
      </c>
      <c r="F409" s="4" t="s">
        <v>1231</v>
      </c>
      <c r="I409" s="4" t="s">
        <v>52</v>
      </c>
      <c r="L409" s="4" t="s">
        <v>1232</v>
      </c>
      <c r="M409" s="4" t="s">
        <v>1231</v>
      </c>
      <c r="N409" s="4">
        <v>461</v>
      </c>
      <c r="O409" s="4" t="s">
        <v>1233</v>
      </c>
    </row>
    <row r="410" spans="1:15" ht="15.75" customHeight="1">
      <c r="A410" s="4" t="s">
        <v>49</v>
      </c>
      <c r="B410" s="4">
        <v>409094</v>
      </c>
      <c r="C410" s="4">
        <v>409414</v>
      </c>
      <c r="E410" s="4" t="s">
        <v>50</v>
      </c>
      <c r="F410" s="4" t="s">
        <v>1234</v>
      </c>
      <c r="I410" s="4" t="s">
        <v>52</v>
      </c>
      <c r="L410" s="4" t="s">
        <v>1235</v>
      </c>
      <c r="M410" s="4" t="s">
        <v>1234</v>
      </c>
      <c r="N410" s="4">
        <v>106</v>
      </c>
      <c r="O410" s="4" t="s">
        <v>1236</v>
      </c>
    </row>
    <row r="411" spans="1:15" ht="15.75" customHeight="1">
      <c r="A411" s="4" t="s">
        <v>49</v>
      </c>
      <c r="B411" s="4">
        <v>409653</v>
      </c>
      <c r="C411" s="4">
        <v>410405</v>
      </c>
      <c r="E411" s="4" t="s">
        <v>50</v>
      </c>
      <c r="F411" s="4" t="s">
        <v>56</v>
      </c>
      <c r="I411" s="4" t="s">
        <v>52</v>
      </c>
      <c r="L411" s="4" t="s">
        <v>1237</v>
      </c>
      <c r="M411" s="4" t="s">
        <v>56</v>
      </c>
      <c r="N411" s="4">
        <v>250</v>
      </c>
      <c r="O411" s="4" t="s">
        <v>1238</v>
      </c>
    </row>
    <row r="412" spans="1:15" ht="15.75" customHeight="1">
      <c r="A412" s="4" t="s">
        <v>49</v>
      </c>
      <c r="B412" s="4">
        <v>410723</v>
      </c>
      <c r="C412" s="4">
        <v>411748</v>
      </c>
      <c r="E412" s="4" t="s">
        <v>55</v>
      </c>
      <c r="F412" s="4" t="s">
        <v>1239</v>
      </c>
      <c r="G412" s="4" t="s">
        <v>1240</v>
      </c>
      <c r="I412" s="4" t="s">
        <v>52</v>
      </c>
      <c r="L412" s="4" t="s">
        <v>1241</v>
      </c>
      <c r="M412" s="4" t="s">
        <v>1239</v>
      </c>
      <c r="N412" s="4">
        <v>341</v>
      </c>
      <c r="O412" s="4" t="s">
        <v>1242</v>
      </c>
    </row>
    <row r="413" spans="1:15" ht="15.75" customHeight="1">
      <c r="A413" s="4" t="s">
        <v>49</v>
      </c>
      <c r="B413" s="4">
        <v>411910</v>
      </c>
      <c r="C413" s="4">
        <v>412710</v>
      </c>
      <c r="E413" s="4" t="s">
        <v>50</v>
      </c>
      <c r="F413" s="4" t="s">
        <v>478</v>
      </c>
      <c r="I413" s="4" t="s">
        <v>52</v>
      </c>
      <c r="L413" s="4" t="s">
        <v>1243</v>
      </c>
      <c r="M413" s="4" t="s">
        <v>478</v>
      </c>
      <c r="N413" s="4">
        <v>266</v>
      </c>
      <c r="O413" s="4" t="s">
        <v>1244</v>
      </c>
    </row>
    <row r="414" spans="1:15" ht="15.75" customHeight="1">
      <c r="A414" s="4" t="s">
        <v>49</v>
      </c>
      <c r="B414" s="4">
        <v>412793</v>
      </c>
      <c r="C414" s="4">
        <v>413068</v>
      </c>
      <c r="E414" s="4" t="s">
        <v>50</v>
      </c>
      <c r="F414" s="4" t="s">
        <v>56</v>
      </c>
      <c r="I414" s="4" t="s">
        <v>52</v>
      </c>
      <c r="L414" s="4" t="s">
        <v>1245</v>
      </c>
      <c r="M414" s="4" t="s">
        <v>56</v>
      </c>
      <c r="N414" s="4">
        <v>91</v>
      </c>
      <c r="O414" s="4" t="s">
        <v>1246</v>
      </c>
    </row>
    <row r="415" spans="1:15" ht="15.75" customHeight="1">
      <c r="A415" s="4" t="s">
        <v>49</v>
      </c>
      <c r="B415" s="4">
        <v>413129</v>
      </c>
      <c r="C415" s="4">
        <v>413989</v>
      </c>
      <c r="E415" s="4" t="s">
        <v>50</v>
      </c>
      <c r="F415" s="4" t="s">
        <v>1247</v>
      </c>
      <c r="G415" s="4" t="s">
        <v>1248</v>
      </c>
      <c r="I415" s="4" t="s">
        <v>52</v>
      </c>
      <c r="L415" s="4" t="s">
        <v>1249</v>
      </c>
      <c r="M415" s="4" t="s">
        <v>1247</v>
      </c>
      <c r="N415" s="4">
        <v>286</v>
      </c>
      <c r="O415" s="4" t="s">
        <v>1250</v>
      </c>
    </row>
    <row r="416" spans="1:15" ht="15.75" customHeight="1">
      <c r="A416" s="4" t="s">
        <v>49</v>
      </c>
      <c r="B416" s="4">
        <v>413973</v>
      </c>
      <c r="C416" s="4">
        <v>414731</v>
      </c>
      <c r="E416" s="4" t="s">
        <v>50</v>
      </c>
      <c r="F416" s="4" t="s">
        <v>1251</v>
      </c>
      <c r="I416" s="4" t="s">
        <v>52</v>
      </c>
      <c r="L416" s="4" t="s">
        <v>1252</v>
      </c>
      <c r="M416" s="4" t="s">
        <v>1251</v>
      </c>
      <c r="N416" s="4">
        <v>252</v>
      </c>
      <c r="O416" s="4" t="s">
        <v>1253</v>
      </c>
    </row>
    <row r="417" spans="1:15" ht="15.75" customHeight="1">
      <c r="A417" s="4" t="s">
        <v>49</v>
      </c>
      <c r="B417" s="4">
        <v>414793</v>
      </c>
      <c r="C417" s="4">
        <v>415608</v>
      </c>
      <c r="E417" s="4" t="s">
        <v>50</v>
      </c>
      <c r="F417" s="4" t="s">
        <v>1254</v>
      </c>
      <c r="G417" s="4" t="s">
        <v>1255</v>
      </c>
      <c r="I417" s="4" t="s">
        <v>52</v>
      </c>
      <c r="L417" s="4" t="s">
        <v>1256</v>
      </c>
      <c r="M417" s="4" t="s">
        <v>1254</v>
      </c>
      <c r="N417" s="4">
        <v>271</v>
      </c>
      <c r="O417" s="4" t="s">
        <v>1257</v>
      </c>
    </row>
    <row r="418" spans="1:15" ht="15.75" customHeight="1">
      <c r="A418" s="4" t="s">
        <v>49</v>
      </c>
      <c r="B418" s="4">
        <v>415878</v>
      </c>
      <c r="C418" s="4">
        <v>417962</v>
      </c>
      <c r="E418" s="4" t="s">
        <v>50</v>
      </c>
      <c r="F418" s="4" t="s">
        <v>1258</v>
      </c>
      <c r="G418" s="4" t="s">
        <v>1259</v>
      </c>
      <c r="I418" s="4" t="s">
        <v>52</v>
      </c>
      <c r="L418" s="4" t="s">
        <v>1260</v>
      </c>
      <c r="M418" s="4" t="s">
        <v>1258</v>
      </c>
      <c r="N418" s="4">
        <v>694</v>
      </c>
      <c r="O418" s="4" t="s">
        <v>1261</v>
      </c>
    </row>
    <row r="419" spans="1:15" ht="15.75" customHeight="1">
      <c r="A419" s="4" t="s">
        <v>49</v>
      </c>
      <c r="B419" s="4">
        <v>418394</v>
      </c>
      <c r="C419" s="4">
        <v>419713</v>
      </c>
      <c r="E419" s="4" t="s">
        <v>50</v>
      </c>
      <c r="F419" s="4" t="s">
        <v>1262</v>
      </c>
      <c r="G419" s="4" t="s">
        <v>1263</v>
      </c>
      <c r="I419" s="4" t="s">
        <v>52</v>
      </c>
      <c r="L419" s="4" t="s">
        <v>1264</v>
      </c>
      <c r="M419" s="4" t="s">
        <v>1262</v>
      </c>
      <c r="N419" s="4">
        <v>439</v>
      </c>
      <c r="O419" s="4" t="s">
        <v>1265</v>
      </c>
    </row>
    <row r="420" spans="1:15" ht="15.75" customHeight="1">
      <c r="A420" s="4" t="s">
        <v>49</v>
      </c>
      <c r="B420" s="4">
        <v>419838</v>
      </c>
      <c r="C420" s="4">
        <v>420734</v>
      </c>
      <c r="E420" s="4" t="s">
        <v>50</v>
      </c>
      <c r="F420" s="4" t="s">
        <v>1266</v>
      </c>
      <c r="G420" s="4" t="s">
        <v>1267</v>
      </c>
      <c r="I420" s="4" t="s">
        <v>52</v>
      </c>
      <c r="L420" s="4" t="s">
        <v>1268</v>
      </c>
      <c r="M420" s="4" t="s">
        <v>1266</v>
      </c>
      <c r="N420" s="4">
        <v>298</v>
      </c>
      <c r="O420" s="4" t="s">
        <v>1269</v>
      </c>
    </row>
    <row r="421" spans="1:15" ht="15.75" customHeight="1">
      <c r="A421" s="4" t="s">
        <v>49</v>
      </c>
      <c r="B421" s="4">
        <v>420982</v>
      </c>
      <c r="C421" s="4">
        <v>421506</v>
      </c>
      <c r="E421" s="4" t="s">
        <v>50</v>
      </c>
      <c r="F421" s="4" t="s">
        <v>1270</v>
      </c>
      <c r="G421" s="4" t="s">
        <v>1271</v>
      </c>
      <c r="I421" s="4" t="s">
        <v>52</v>
      </c>
      <c r="L421" s="4" t="s">
        <v>1272</v>
      </c>
      <c r="M421" s="4" t="s">
        <v>1270</v>
      </c>
      <c r="N421" s="4">
        <v>174</v>
      </c>
      <c r="O421" s="4" t="s">
        <v>1273</v>
      </c>
    </row>
    <row r="422" spans="1:15" ht="15.75" customHeight="1">
      <c r="A422" s="4" t="s">
        <v>49</v>
      </c>
      <c r="B422" s="4">
        <v>421550</v>
      </c>
      <c r="C422" s="4">
        <v>422959</v>
      </c>
      <c r="E422" s="4" t="s">
        <v>50</v>
      </c>
      <c r="F422" s="4" t="s">
        <v>1274</v>
      </c>
      <c r="G422" s="4" t="s">
        <v>1275</v>
      </c>
      <c r="I422" s="4" t="s">
        <v>52</v>
      </c>
      <c r="L422" s="4" t="s">
        <v>1276</v>
      </c>
      <c r="M422" s="4" t="s">
        <v>1274</v>
      </c>
      <c r="N422" s="4">
        <v>469</v>
      </c>
      <c r="O422" s="4" t="s">
        <v>1277</v>
      </c>
    </row>
    <row r="423" spans="1:15" ht="15.75" customHeight="1">
      <c r="A423" s="4" t="s">
        <v>49</v>
      </c>
      <c r="B423" s="4">
        <v>422995</v>
      </c>
      <c r="C423" s="4">
        <v>423873</v>
      </c>
      <c r="E423" s="4" t="s">
        <v>50</v>
      </c>
      <c r="F423" s="4" t="s">
        <v>1278</v>
      </c>
      <c r="I423" s="4" t="s">
        <v>52</v>
      </c>
      <c r="L423" s="4" t="s">
        <v>1279</v>
      </c>
      <c r="M423" s="4" t="s">
        <v>1278</v>
      </c>
      <c r="N423" s="4">
        <v>292</v>
      </c>
      <c r="O423" s="4" t="s">
        <v>1280</v>
      </c>
    </row>
    <row r="424" spans="1:15" ht="15.75" customHeight="1">
      <c r="A424" s="4" t="s">
        <v>49</v>
      </c>
      <c r="B424" s="4">
        <v>423955</v>
      </c>
      <c r="C424" s="4">
        <v>424578</v>
      </c>
      <c r="E424" s="4" t="s">
        <v>55</v>
      </c>
      <c r="F424" s="4" t="s">
        <v>1281</v>
      </c>
      <c r="G424" s="4" t="s">
        <v>1282</v>
      </c>
      <c r="I424" s="4" t="s">
        <v>52</v>
      </c>
      <c r="L424" s="4" t="s">
        <v>1283</v>
      </c>
      <c r="M424" s="4" t="s">
        <v>1281</v>
      </c>
      <c r="N424" s="4">
        <v>207</v>
      </c>
      <c r="O424" s="4" t="s">
        <v>1284</v>
      </c>
    </row>
    <row r="425" spans="1:15" ht="15.75" customHeight="1">
      <c r="A425" s="4" t="s">
        <v>49</v>
      </c>
      <c r="B425" s="4">
        <v>425102</v>
      </c>
      <c r="C425" s="4">
        <v>427114</v>
      </c>
      <c r="E425" s="4" t="s">
        <v>50</v>
      </c>
      <c r="F425" s="4" t="s">
        <v>1285</v>
      </c>
      <c r="G425" s="4" t="s">
        <v>1286</v>
      </c>
      <c r="I425" s="4" t="s">
        <v>52</v>
      </c>
      <c r="L425" s="4" t="s">
        <v>1287</v>
      </c>
      <c r="M425" s="4" t="s">
        <v>1285</v>
      </c>
      <c r="N425" s="4">
        <v>670</v>
      </c>
      <c r="O425" s="4" t="s">
        <v>1288</v>
      </c>
    </row>
    <row r="426" spans="1:15" ht="15.75" customHeight="1">
      <c r="A426" s="4" t="s">
        <v>49</v>
      </c>
      <c r="B426" s="4">
        <v>427121</v>
      </c>
      <c r="C426" s="4">
        <v>429565</v>
      </c>
      <c r="E426" s="4" t="s">
        <v>50</v>
      </c>
      <c r="F426" s="4" t="s">
        <v>1289</v>
      </c>
      <c r="G426" s="4" t="s">
        <v>1290</v>
      </c>
      <c r="I426" s="4" t="s">
        <v>52</v>
      </c>
      <c r="L426" s="4" t="s">
        <v>1291</v>
      </c>
      <c r="M426" s="4" t="s">
        <v>1289</v>
      </c>
      <c r="N426" s="4">
        <v>814</v>
      </c>
      <c r="O426" s="4" t="s">
        <v>1292</v>
      </c>
    </row>
    <row r="427" spans="1:15" ht="15.75" customHeight="1">
      <c r="A427" s="4" t="s">
        <v>49</v>
      </c>
      <c r="B427" s="4">
        <v>429817</v>
      </c>
      <c r="C427" s="4">
        <v>432078</v>
      </c>
      <c r="E427" s="4" t="s">
        <v>50</v>
      </c>
      <c r="F427" s="4" t="s">
        <v>1293</v>
      </c>
      <c r="G427" s="4" t="s">
        <v>1294</v>
      </c>
      <c r="I427" s="4" t="s">
        <v>52</v>
      </c>
      <c r="L427" s="4" t="s">
        <v>1295</v>
      </c>
      <c r="M427" s="4" t="s">
        <v>1293</v>
      </c>
      <c r="N427" s="4">
        <v>753</v>
      </c>
      <c r="O427" s="4" t="s">
        <v>1296</v>
      </c>
    </row>
    <row r="428" spans="1:15" ht="15.75" customHeight="1">
      <c r="A428" s="4" t="s">
        <v>49</v>
      </c>
      <c r="B428" s="4">
        <v>432210</v>
      </c>
      <c r="C428" s="4">
        <v>433061</v>
      </c>
      <c r="E428" s="4" t="s">
        <v>50</v>
      </c>
      <c r="F428" s="4" t="s">
        <v>1297</v>
      </c>
      <c r="G428" s="4" t="s">
        <v>1298</v>
      </c>
      <c r="I428" s="4" t="s">
        <v>52</v>
      </c>
      <c r="L428" s="4" t="s">
        <v>1299</v>
      </c>
      <c r="M428" s="4" t="s">
        <v>1297</v>
      </c>
      <c r="N428" s="4">
        <v>283</v>
      </c>
      <c r="O428" s="4" t="s">
        <v>1300</v>
      </c>
    </row>
    <row r="429" spans="1:15" ht="15.75" customHeight="1">
      <c r="A429" s="4" t="s">
        <v>49</v>
      </c>
      <c r="B429" s="4">
        <v>433186</v>
      </c>
      <c r="C429" s="4">
        <v>434154</v>
      </c>
      <c r="E429" s="4" t="s">
        <v>50</v>
      </c>
      <c r="F429" s="4" t="s">
        <v>690</v>
      </c>
      <c r="I429" s="4" t="s">
        <v>52</v>
      </c>
      <c r="L429" s="4" t="s">
        <v>1301</v>
      </c>
      <c r="M429" s="4" t="s">
        <v>690</v>
      </c>
      <c r="N429" s="4">
        <v>322</v>
      </c>
      <c r="O429" s="4" t="s">
        <v>1302</v>
      </c>
    </row>
    <row r="430" spans="1:15" ht="15.75" customHeight="1">
      <c r="A430" s="4" t="s">
        <v>49</v>
      </c>
      <c r="B430" s="4">
        <v>434184</v>
      </c>
      <c r="C430" s="4">
        <v>435116</v>
      </c>
      <c r="E430" s="4" t="s">
        <v>50</v>
      </c>
      <c r="F430" s="4" t="s">
        <v>1303</v>
      </c>
      <c r="I430" s="4" t="s">
        <v>52</v>
      </c>
      <c r="L430" s="4" t="s">
        <v>1304</v>
      </c>
      <c r="M430" s="4" t="s">
        <v>1303</v>
      </c>
      <c r="N430" s="4">
        <v>310</v>
      </c>
      <c r="O430" s="4" t="s">
        <v>1305</v>
      </c>
    </row>
    <row r="431" spans="1:15" ht="15.75" customHeight="1">
      <c r="A431" s="4" t="s">
        <v>49</v>
      </c>
      <c r="B431" s="4">
        <v>436268</v>
      </c>
      <c r="C431" s="4">
        <v>437380</v>
      </c>
      <c r="E431" s="4" t="s">
        <v>50</v>
      </c>
      <c r="F431" s="4" t="s">
        <v>1306</v>
      </c>
      <c r="G431" s="4" t="s">
        <v>1307</v>
      </c>
      <c r="I431" s="4" t="s">
        <v>52</v>
      </c>
      <c r="L431" s="4" t="s">
        <v>1308</v>
      </c>
      <c r="M431" s="4" t="s">
        <v>1306</v>
      </c>
      <c r="N431" s="4">
        <v>370</v>
      </c>
      <c r="O431" s="4" t="s">
        <v>1309</v>
      </c>
    </row>
    <row r="432" spans="1:15" ht="15.75" customHeight="1">
      <c r="A432" s="4" t="s">
        <v>49</v>
      </c>
      <c r="B432" s="4">
        <v>437487</v>
      </c>
      <c r="C432" s="4">
        <v>437840</v>
      </c>
      <c r="E432" s="4" t="s">
        <v>50</v>
      </c>
      <c r="F432" s="4" t="s">
        <v>56</v>
      </c>
      <c r="I432" s="4" t="s">
        <v>52</v>
      </c>
      <c r="L432" s="4" t="s">
        <v>1310</v>
      </c>
      <c r="M432" s="4" t="s">
        <v>56</v>
      </c>
      <c r="N432" s="4">
        <v>117</v>
      </c>
      <c r="O432" s="4" t="s">
        <v>1311</v>
      </c>
    </row>
    <row r="433" spans="1:15" ht="15.75" customHeight="1">
      <c r="A433" s="4" t="s">
        <v>49</v>
      </c>
      <c r="B433" s="4">
        <v>437908</v>
      </c>
      <c r="C433" s="4">
        <v>439899</v>
      </c>
      <c r="E433" s="4" t="s">
        <v>55</v>
      </c>
      <c r="F433" s="4" t="s">
        <v>1312</v>
      </c>
      <c r="I433" s="4" t="s">
        <v>52</v>
      </c>
      <c r="L433" s="4" t="s">
        <v>1313</v>
      </c>
      <c r="M433" s="4" t="s">
        <v>1312</v>
      </c>
      <c r="N433" s="4">
        <v>663</v>
      </c>
      <c r="O433" s="4" t="s">
        <v>1314</v>
      </c>
    </row>
    <row r="434" spans="1:15" ht="15.75" customHeight="1">
      <c r="A434" s="4" t="s">
        <v>49</v>
      </c>
      <c r="B434" s="4">
        <v>439896</v>
      </c>
      <c r="C434" s="4">
        <v>440666</v>
      </c>
      <c r="E434" s="4" t="s">
        <v>55</v>
      </c>
      <c r="F434" s="4" t="s">
        <v>73</v>
      </c>
      <c r="I434" s="4" t="s">
        <v>52</v>
      </c>
      <c r="L434" s="4" t="s">
        <v>1315</v>
      </c>
      <c r="M434" s="4" t="s">
        <v>73</v>
      </c>
      <c r="N434" s="4">
        <v>256</v>
      </c>
      <c r="O434" s="4" t="s">
        <v>1316</v>
      </c>
    </row>
    <row r="435" spans="1:15" ht="15.75" customHeight="1">
      <c r="A435" s="4" t="s">
        <v>49</v>
      </c>
      <c r="B435" s="4">
        <v>440760</v>
      </c>
      <c r="C435" s="4">
        <v>441716</v>
      </c>
      <c r="E435" s="4" t="s">
        <v>55</v>
      </c>
      <c r="F435" s="4" t="s">
        <v>681</v>
      </c>
      <c r="I435" s="4" t="s">
        <v>52</v>
      </c>
      <c r="L435" s="4" t="s">
        <v>1317</v>
      </c>
      <c r="M435" s="4" t="s">
        <v>681</v>
      </c>
      <c r="N435" s="4">
        <v>318</v>
      </c>
      <c r="O435" s="4" t="s">
        <v>1318</v>
      </c>
    </row>
    <row r="436" spans="1:15" ht="15.75" customHeight="1">
      <c r="A436" s="4" t="s">
        <v>49</v>
      </c>
      <c r="B436" s="4">
        <v>441713</v>
      </c>
      <c r="C436" s="4">
        <v>442405</v>
      </c>
      <c r="E436" s="4" t="s">
        <v>55</v>
      </c>
      <c r="F436" s="4" t="s">
        <v>194</v>
      </c>
      <c r="I436" s="4" t="s">
        <v>52</v>
      </c>
      <c r="L436" s="4" t="s">
        <v>1319</v>
      </c>
      <c r="M436" s="4" t="s">
        <v>194</v>
      </c>
      <c r="N436" s="4">
        <v>230</v>
      </c>
      <c r="O436" s="4" t="s">
        <v>1320</v>
      </c>
    </row>
    <row r="437" spans="1:15" ht="15.75" customHeight="1">
      <c r="A437" s="4" t="s">
        <v>49</v>
      </c>
      <c r="B437" s="4">
        <v>442564</v>
      </c>
      <c r="C437" s="4">
        <v>443766</v>
      </c>
      <c r="E437" s="4" t="s">
        <v>50</v>
      </c>
      <c r="F437" s="4" t="s">
        <v>255</v>
      </c>
      <c r="I437" s="4" t="s">
        <v>52</v>
      </c>
      <c r="L437" s="4" t="s">
        <v>1321</v>
      </c>
      <c r="M437" s="4" t="s">
        <v>255</v>
      </c>
      <c r="N437" s="4">
        <v>400</v>
      </c>
      <c r="O437" s="4" t="s">
        <v>1322</v>
      </c>
    </row>
    <row r="438" spans="1:15" ht="15.75" customHeight="1">
      <c r="A438" s="4" t="s">
        <v>49</v>
      </c>
      <c r="B438" s="4">
        <v>444004</v>
      </c>
      <c r="C438" s="4">
        <v>444399</v>
      </c>
      <c r="E438" s="4" t="s">
        <v>55</v>
      </c>
      <c r="F438" s="4" t="s">
        <v>51</v>
      </c>
      <c r="I438" s="4" t="s">
        <v>52</v>
      </c>
      <c r="L438" s="4" t="s">
        <v>1323</v>
      </c>
      <c r="M438" s="4" t="s">
        <v>51</v>
      </c>
      <c r="N438" s="4">
        <v>131</v>
      </c>
      <c r="O438" s="4" t="s">
        <v>1324</v>
      </c>
    </row>
    <row r="439" spans="1:15" ht="15.75" customHeight="1">
      <c r="A439" s="4" t="s">
        <v>49</v>
      </c>
      <c r="B439" s="4">
        <v>444402</v>
      </c>
      <c r="C439" s="4">
        <v>444800</v>
      </c>
      <c r="E439" s="4" t="s">
        <v>55</v>
      </c>
      <c r="F439" s="4" t="s">
        <v>51</v>
      </c>
      <c r="I439" s="4" t="s">
        <v>52</v>
      </c>
      <c r="L439" s="4" t="s">
        <v>1325</v>
      </c>
      <c r="M439" s="4" t="s">
        <v>51</v>
      </c>
      <c r="N439" s="4">
        <v>132</v>
      </c>
      <c r="O439" s="4" t="s">
        <v>1326</v>
      </c>
    </row>
    <row r="440" spans="1:15" ht="15.75" customHeight="1">
      <c r="A440" s="4" t="s">
        <v>49</v>
      </c>
      <c r="B440" s="4">
        <v>445021</v>
      </c>
      <c r="C440" s="4">
        <v>445656</v>
      </c>
      <c r="E440" s="4" t="s">
        <v>55</v>
      </c>
      <c r="F440" s="4" t="s">
        <v>1327</v>
      </c>
      <c r="I440" s="4" t="s">
        <v>52</v>
      </c>
      <c r="L440" s="4" t="s">
        <v>1328</v>
      </c>
      <c r="M440" s="4" t="s">
        <v>1327</v>
      </c>
      <c r="N440" s="4">
        <v>211</v>
      </c>
      <c r="O440" s="4" t="s">
        <v>1329</v>
      </c>
    </row>
    <row r="441" spans="1:15" ht="15.75" customHeight="1">
      <c r="A441" s="4" t="s">
        <v>49</v>
      </c>
      <c r="B441" s="4">
        <v>445926</v>
      </c>
      <c r="C441" s="4">
        <v>447017</v>
      </c>
      <c r="E441" s="4" t="s">
        <v>55</v>
      </c>
      <c r="F441" s="4" t="s">
        <v>1330</v>
      </c>
      <c r="G441" s="4" t="s">
        <v>1331</v>
      </c>
      <c r="I441" s="4" t="s">
        <v>52</v>
      </c>
      <c r="L441" s="4" t="s">
        <v>1332</v>
      </c>
      <c r="M441" s="4" t="s">
        <v>1330</v>
      </c>
      <c r="N441" s="4">
        <v>363</v>
      </c>
      <c r="O441" s="4" t="s">
        <v>1333</v>
      </c>
    </row>
    <row r="442" spans="1:15" ht="15.75" customHeight="1">
      <c r="A442" s="4" t="s">
        <v>49</v>
      </c>
      <c r="B442" s="4">
        <v>447101</v>
      </c>
      <c r="C442" s="4">
        <v>447433</v>
      </c>
      <c r="E442" s="4" t="s">
        <v>55</v>
      </c>
      <c r="F442" s="4" t="s">
        <v>1334</v>
      </c>
      <c r="G442" s="4" t="s">
        <v>1335</v>
      </c>
      <c r="I442" s="4" t="s">
        <v>52</v>
      </c>
      <c r="L442" s="4" t="s">
        <v>1336</v>
      </c>
      <c r="M442" s="4" t="s">
        <v>1334</v>
      </c>
      <c r="N442" s="4">
        <v>110</v>
      </c>
      <c r="O442" s="4" t="s">
        <v>1337</v>
      </c>
    </row>
    <row r="443" spans="1:15" ht="15.75" customHeight="1">
      <c r="A443" s="4" t="s">
        <v>49</v>
      </c>
      <c r="B443" s="4">
        <v>447430</v>
      </c>
      <c r="C443" s="4">
        <v>447762</v>
      </c>
      <c r="E443" s="4" t="s">
        <v>55</v>
      </c>
      <c r="F443" s="4" t="s">
        <v>1338</v>
      </c>
      <c r="G443" s="4" t="s">
        <v>1339</v>
      </c>
      <c r="I443" s="4" t="s">
        <v>52</v>
      </c>
      <c r="L443" s="4" t="s">
        <v>1340</v>
      </c>
      <c r="M443" s="4" t="s">
        <v>1338</v>
      </c>
      <c r="N443" s="4">
        <v>110</v>
      </c>
      <c r="O443" s="4" t="s">
        <v>1341</v>
      </c>
    </row>
    <row r="444" spans="1:15" ht="15.75" customHeight="1">
      <c r="A444" s="4" t="s">
        <v>49</v>
      </c>
      <c r="B444" s="4">
        <v>447759</v>
      </c>
      <c r="C444" s="4">
        <v>448517</v>
      </c>
      <c r="E444" s="4" t="s">
        <v>55</v>
      </c>
      <c r="F444" s="4" t="s">
        <v>1342</v>
      </c>
      <c r="G444" s="4" t="s">
        <v>1343</v>
      </c>
      <c r="I444" s="4" t="s">
        <v>52</v>
      </c>
      <c r="L444" s="4" t="s">
        <v>1344</v>
      </c>
      <c r="M444" s="4" t="s">
        <v>1342</v>
      </c>
      <c r="N444" s="4">
        <v>252</v>
      </c>
      <c r="O444" s="4" t="s">
        <v>1345</v>
      </c>
    </row>
    <row r="445" spans="1:15" ht="15.75" customHeight="1">
      <c r="A445" s="4" t="s">
        <v>49</v>
      </c>
      <c r="B445" s="4">
        <v>448519</v>
      </c>
      <c r="C445" s="4">
        <v>449235</v>
      </c>
      <c r="E445" s="4" t="s">
        <v>55</v>
      </c>
      <c r="F445" s="4" t="s">
        <v>1346</v>
      </c>
      <c r="G445" s="4" t="s">
        <v>1347</v>
      </c>
      <c r="I445" s="4" t="s">
        <v>52</v>
      </c>
      <c r="L445" s="4" t="s">
        <v>1348</v>
      </c>
      <c r="M445" s="4" t="s">
        <v>1346</v>
      </c>
      <c r="N445" s="4">
        <v>238</v>
      </c>
      <c r="O445" s="4" t="s">
        <v>1349</v>
      </c>
    </row>
    <row r="446" spans="1:15" ht="15.75" customHeight="1">
      <c r="A446" s="4" t="s">
        <v>49</v>
      </c>
      <c r="B446" s="4">
        <v>449213</v>
      </c>
      <c r="C446" s="4">
        <v>449839</v>
      </c>
      <c r="E446" s="4" t="s">
        <v>55</v>
      </c>
      <c r="F446" s="4" t="s">
        <v>1350</v>
      </c>
      <c r="G446" s="4" t="s">
        <v>1351</v>
      </c>
      <c r="I446" s="4" t="s">
        <v>52</v>
      </c>
      <c r="L446" s="4" t="s">
        <v>1352</v>
      </c>
      <c r="M446" s="4" t="s">
        <v>1350</v>
      </c>
      <c r="N446" s="4">
        <v>208</v>
      </c>
      <c r="O446" s="4" t="s">
        <v>1353</v>
      </c>
    </row>
    <row r="447" spans="1:15" ht="15.75" customHeight="1">
      <c r="A447" s="4" t="s">
        <v>49</v>
      </c>
      <c r="B447" s="4">
        <v>449840</v>
      </c>
      <c r="C447" s="4">
        <v>450424</v>
      </c>
      <c r="E447" s="4" t="s">
        <v>55</v>
      </c>
      <c r="F447" s="4" t="s">
        <v>1354</v>
      </c>
      <c r="G447" s="4" t="s">
        <v>1355</v>
      </c>
      <c r="I447" s="4" t="s">
        <v>52</v>
      </c>
      <c r="L447" s="4" t="s">
        <v>1356</v>
      </c>
      <c r="M447" s="4" t="s">
        <v>1354</v>
      </c>
      <c r="N447" s="4">
        <v>194</v>
      </c>
      <c r="O447" s="4" t="s">
        <v>1357</v>
      </c>
    </row>
    <row r="448" spans="1:15" ht="15.75" customHeight="1">
      <c r="A448" s="4" t="s">
        <v>49</v>
      </c>
      <c r="B448" s="4">
        <v>450428</v>
      </c>
      <c r="C448" s="4">
        <v>451720</v>
      </c>
      <c r="E448" s="4" t="s">
        <v>55</v>
      </c>
      <c r="F448" s="4" t="s">
        <v>1358</v>
      </c>
      <c r="G448" s="4" t="s">
        <v>1359</v>
      </c>
      <c r="I448" s="4" t="s">
        <v>52</v>
      </c>
      <c r="L448" s="4" t="s">
        <v>1360</v>
      </c>
      <c r="M448" s="4" t="s">
        <v>1358</v>
      </c>
      <c r="N448" s="4">
        <v>430</v>
      </c>
      <c r="O448" s="4" t="s">
        <v>1361</v>
      </c>
    </row>
    <row r="449" spans="1:15" ht="15.75" customHeight="1">
      <c r="A449" s="4" t="s">
        <v>49</v>
      </c>
      <c r="B449" s="4">
        <v>451717</v>
      </c>
      <c r="C449" s="4">
        <v>452352</v>
      </c>
      <c r="E449" s="4" t="s">
        <v>55</v>
      </c>
      <c r="F449" s="4" t="s">
        <v>1362</v>
      </c>
      <c r="G449" s="4" t="s">
        <v>1363</v>
      </c>
      <c r="I449" s="4" t="s">
        <v>52</v>
      </c>
      <c r="L449" s="4" t="s">
        <v>1364</v>
      </c>
      <c r="M449" s="4" t="s">
        <v>1362</v>
      </c>
      <c r="N449" s="4">
        <v>211</v>
      </c>
      <c r="O449" s="4" t="s">
        <v>1365</v>
      </c>
    </row>
    <row r="450" spans="1:15" ht="15.75" customHeight="1">
      <c r="A450" s="4" t="s">
        <v>49</v>
      </c>
      <c r="B450" s="4">
        <v>452349</v>
      </c>
      <c r="C450" s="4">
        <v>453497</v>
      </c>
      <c r="E450" s="4" t="s">
        <v>55</v>
      </c>
      <c r="F450" s="4" t="s">
        <v>1366</v>
      </c>
      <c r="I450" s="4" t="s">
        <v>52</v>
      </c>
      <c r="L450" s="4" t="s">
        <v>1367</v>
      </c>
      <c r="M450" s="4" t="s">
        <v>1366</v>
      </c>
      <c r="N450" s="4">
        <v>382</v>
      </c>
      <c r="O450" s="4" t="s">
        <v>1368</v>
      </c>
    </row>
    <row r="451" spans="1:15" ht="15.75" customHeight="1">
      <c r="A451" s="4" t="s">
        <v>49</v>
      </c>
      <c r="B451" s="4">
        <v>454067</v>
      </c>
      <c r="C451" s="4">
        <v>455164</v>
      </c>
      <c r="E451" s="4" t="s">
        <v>55</v>
      </c>
      <c r="F451" s="4" t="s">
        <v>1330</v>
      </c>
      <c r="G451" s="4" t="s">
        <v>1331</v>
      </c>
      <c r="I451" s="4" t="s">
        <v>52</v>
      </c>
      <c r="L451" s="4" t="s">
        <v>1369</v>
      </c>
      <c r="M451" s="4" t="s">
        <v>1330</v>
      </c>
      <c r="N451" s="4">
        <v>365</v>
      </c>
      <c r="O451" s="4" t="s">
        <v>1370</v>
      </c>
    </row>
    <row r="452" spans="1:15" ht="15.75" customHeight="1">
      <c r="A452" s="4" t="s">
        <v>49</v>
      </c>
      <c r="B452" s="4">
        <v>455733</v>
      </c>
      <c r="C452" s="4">
        <v>456293</v>
      </c>
      <c r="E452" s="4" t="s">
        <v>55</v>
      </c>
      <c r="F452" s="4" t="s">
        <v>931</v>
      </c>
      <c r="I452" s="4" t="s">
        <v>52</v>
      </c>
      <c r="L452" s="4" t="s">
        <v>1371</v>
      </c>
      <c r="M452" s="4" t="s">
        <v>931</v>
      </c>
      <c r="N452" s="4">
        <v>186</v>
      </c>
      <c r="O452" s="4" t="s">
        <v>1372</v>
      </c>
    </row>
    <row r="453" spans="1:15" ht="15.75" customHeight="1">
      <c r="A453" s="4" t="s">
        <v>49</v>
      </c>
      <c r="B453" s="4">
        <v>456343</v>
      </c>
      <c r="C453" s="4">
        <v>457209</v>
      </c>
      <c r="E453" s="4" t="s">
        <v>55</v>
      </c>
      <c r="F453" s="4" t="s">
        <v>270</v>
      </c>
      <c r="I453" s="4" t="s">
        <v>52</v>
      </c>
      <c r="L453" s="4" t="s">
        <v>1373</v>
      </c>
      <c r="M453" s="4" t="s">
        <v>270</v>
      </c>
      <c r="N453" s="4">
        <v>288</v>
      </c>
      <c r="O453" s="4" t="s">
        <v>1374</v>
      </c>
    </row>
    <row r="454" spans="1:15" ht="15.75" customHeight="1">
      <c r="A454" s="4" t="s">
        <v>49</v>
      </c>
      <c r="B454" s="4">
        <v>457363</v>
      </c>
      <c r="C454" s="4">
        <v>459066</v>
      </c>
      <c r="E454" s="4" t="s">
        <v>50</v>
      </c>
      <c r="F454" s="4" t="s">
        <v>1375</v>
      </c>
      <c r="I454" s="4" t="s">
        <v>52</v>
      </c>
      <c r="L454" s="4" t="s">
        <v>1376</v>
      </c>
      <c r="M454" s="4" t="s">
        <v>1375</v>
      </c>
      <c r="N454" s="4">
        <v>567</v>
      </c>
      <c r="O454" s="4" t="s">
        <v>1377</v>
      </c>
    </row>
    <row r="455" spans="1:15" ht="15.75" customHeight="1">
      <c r="A455" s="4" t="s">
        <v>49</v>
      </c>
      <c r="B455" s="4">
        <v>459112</v>
      </c>
      <c r="C455" s="4">
        <v>459423</v>
      </c>
      <c r="E455" s="4" t="s">
        <v>50</v>
      </c>
      <c r="F455" s="4" t="s">
        <v>1378</v>
      </c>
      <c r="I455" s="4" t="s">
        <v>52</v>
      </c>
      <c r="L455" s="4" t="s">
        <v>1379</v>
      </c>
      <c r="M455" s="4" t="s">
        <v>1378</v>
      </c>
      <c r="N455" s="4">
        <v>103</v>
      </c>
      <c r="O455" s="4" t="s">
        <v>1380</v>
      </c>
    </row>
    <row r="456" spans="1:15" ht="15.75" customHeight="1">
      <c r="A456" s="4" t="s">
        <v>49</v>
      </c>
      <c r="B456" s="4">
        <v>459484</v>
      </c>
      <c r="C456" s="4">
        <v>460632</v>
      </c>
      <c r="E456" s="4" t="s">
        <v>55</v>
      </c>
      <c r="F456" s="4" t="s">
        <v>1381</v>
      </c>
      <c r="I456" s="4" t="s">
        <v>52</v>
      </c>
      <c r="L456" s="4" t="s">
        <v>1382</v>
      </c>
      <c r="M456" s="4" t="s">
        <v>1381</v>
      </c>
      <c r="N456" s="4">
        <v>382</v>
      </c>
      <c r="O456" s="4" t="s">
        <v>1383</v>
      </c>
    </row>
    <row r="457" spans="1:15" ht="15.75" customHeight="1">
      <c r="A457" s="4" t="s">
        <v>49</v>
      </c>
      <c r="B457" s="4">
        <v>460647</v>
      </c>
      <c r="C457" s="4">
        <v>461591</v>
      </c>
      <c r="E457" s="4" t="s">
        <v>55</v>
      </c>
      <c r="F457" s="4" t="s">
        <v>1384</v>
      </c>
      <c r="I457" s="4" t="s">
        <v>52</v>
      </c>
      <c r="L457" s="4" t="s">
        <v>1385</v>
      </c>
      <c r="M457" s="4" t="s">
        <v>1384</v>
      </c>
      <c r="N457" s="4">
        <v>314</v>
      </c>
      <c r="O457" s="4" t="s">
        <v>1386</v>
      </c>
    </row>
    <row r="458" spans="1:15" ht="15.75" customHeight="1">
      <c r="A458" s="4" t="s">
        <v>49</v>
      </c>
      <c r="B458" s="4">
        <v>461685</v>
      </c>
      <c r="C458" s="4">
        <v>462644</v>
      </c>
      <c r="E458" s="4" t="s">
        <v>55</v>
      </c>
      <c r="F458" s="4" t="s">
        <v>345</v>
      </c>
      <c r="I458" s="4" t="s">
        <v>346</v>
      </c>
      <c r="O458" s="4" t="s">
        <v>1387</v>
      </c>
    </row>
    <row r="459" spans="1:15" ht="15.75" customHeight="1">
      <c r="A459" s="4" t="s">
        <v>49</v>
      </c>
      <c r="B459" s="4">
        <v>462840</v>
      </c>
      <c r="C459" s="4">
        <v>463028</v>
      </c>
      <c r="E459" s="4" t="s">
        <v>55</v>
      </c>
      <c r="F459" s="4" t="s">
        <v>345</v>
      </c>
      <c r="I459" s="4" t="s">
        <v>346</v>
      </c>
      <c r="O459" s="4" t="s">
        <v>1388</v>
      </c>
    </row>
    <row r="460" spans="1:15" ht="15.75" customHeight="1">
      <c r="A460" s="4" t="s">
        <v>49</v>
      </c>
      <c r="B460" s="4">
        <v>463028</v>
      </c>
      <c r="C460" s="4">
        <v>464014</v>
      </c>
      <c r="E460" s="4" t="s">
        <v>55</v>
      </c>
      <c r="F460" s="4" t="s">
        <v>989</v>
      </c>
      <c r="I460" s="4" t="s">
        <v>52</v>
      </c>
      <c r="L460" s="4" t="s">
        <v>1389</v>
      </c>
      <c r="M460" s="4" t="s">
        <v>989</v>
      </c>
      <c r="N460" s="4">
        <v>328</v>
      </c>
      <c r="O460" s="4" t="s">
        <v>1390</v>
      </c>
    </row>
    <row r="461" spans="1:15" ht="15.75" customHeight="1">
      <c r="A461" s="4" t="s">
        <v>49</v>
      </c>
      <c r="B461" s="4">
        <v>464154</v>
      </c>
      <c r="C461" s="4">
        <v>465158</v>
      </c>
      <c r="E461" s="4" t="s">
        <v>55</v>
      </c>
      <c r="F461" s="4" t="s">
        <v>1391</v>
      </c>
      <c r="I461" s="4" t="s">
        <v>52</v>
      </c>
      <c r="L461" s="4" t="s">
        <v>1392</v>
      </c>
      <c r="M461" s="4" t="s">
        <v>1391</v>
      </c>
      <c r="N461" s="4">
        <v>334</v>
      </c>
      <c r="O461" s="4" t="s">
        <v>1393</v>
      </c>
    </row>
    <row r="462" spans="1:15" ht="15.75" customHeight="1">
      <c r="A462" s="4" t="s">
        <v>49</v>
      </c>
      <c r="B462" s="4">
        <v>465176</v>
      </c>
      <c r="C462" s="4">
        <v>466591</v>
      </c>
      <c r="E462" s="4" t="s">
        <v>55</v>
      </c>
      <c r="F462" s="4" t="s">
        <v>995</v>
      </c>
      <c r="G462" s="4" t="s">
        <v>996</v>
      </c>
      <c r="I462" s="4" t="s">
        <v>52</v>
      </c>
      <c r="L462" s="4" t="s">
        <v>1394</v>
      </c>
      <c r="M462" s="4" t="s">
        <v>995</v>
      </c>
      <c r="N462" s="4">
        <v>471</v>
      </c>
      <c r="O462" s="4" t="s">
        <v>1395</v>
      </c>
    </row>
    <row r="463" spans="1:15" ht="15.75" customHeight="1">
      <c r="A463" s="4" t="s">
        <v>49</v>
      </c>
      <c r="B463" s="4">
        <v>466588</v>
      </c>
      <c r="C463" s="4">
        <v>467709</v>
      </c>
      <c r="E463" s="4" t="s">
        <v>55</v>
      </c>
      <c r="F463" s="4" t="s">
        <v>1396</v>
      </c>
      <c r="G463" s="4" t="s">
        <v>1397</v>
      </c>
      <c r="I463" s="4" t="s">
        <v>52</v>
      </c>
      <c r="L463" s="4" t="s">
        <v>1398</v>
      </c>
      <c r="M463" s="4" t="s">
        <v>1396</v>
      </c>
      <c r="N463" s="4">
        <v>373</v>
      </c>
      <c r="O463" s="4" t="s">
        <v>1399</v>
      </c>
    </row>
    <row r="464" spans="1:15" ht="15.75" customHeight="1">
      <c r="A464" s="4" t="s">
        <v>49</v>
      </c>
      <c r="B464" s="4">
        <v>467706</v>
      </c>
      <c r="C464" s="4">
        <v>468557</v>
      </c>
      <c r="E464" s="4" t="s">
        <v>55</v>
      </c>
      <c r="F464" s="4" t="s">
        <v>1400</v>
      </c>
      <c r="I464" s="4" t="s">
        <v>52</v>
      </c>
      <c r="L464" s="4" t="s">
        <v>1401</v>
      </c>
      <c r="M464" s="4" t="s">
        <v>1400</v>
      </c>
      <c r="N464" s="4">
        <v>283</v>
      </c>
      <c r="O464" s="4" t="s">
        <v>1402</v>
      </c>
    </row>
    <row r="465" spans="1:15" ht="15.75" customHeight="1">
      <c r="A465" s="4" t="s">
        <v>49</v>
      </c>
      <c r="B465" s="4">
        <v>469123</v>
      </c>
      <c r="C465" s="4">
        <v>469764</v>
      </c>
      <c r="E465" s="4" t="s">
        <v>55</v>
      </c>
      <c r="F465" s="4" t="s">
        <v>1403</v>
      </c>
      <c r="G465" s="4" t="s">
        <v>1404</v>
      </c>
      <c r="I465" s="4" t="s">
        <v>52</v>
      </c>
      <c r="L465" s="4" t="s">
        <v>1405</v>
      </c>
      <c r="M465" s="4" t="s">
        <v>1403</v>
      </c>
      <c r="N465" s="4">
        <v>213</v>
      </c>
      <c r="O465" s="4" t="s">
        <v>1406</v>
      </c>
    </row>
    <row r="466" spans="1:15" ht="15.75" customHeight="1">
      <c r="A466" s="4" t="s">
        <v>49</v>
      </c>
      <c r="B466" s="4">
        <v>469757</v>
      </c>
      <c r="C466" s="4">
        <v>470476</v>
      </c>
      <c r="E466" s="4" t="s">
        <v>55</v>
      </c>
      <c r="F466" s="4" t="s">
        <v>1407</v>
      </c>
      <c r="G466" s="4" t="s">
        <v>1408</v>
      </c>
      <c r="I466" s="4" t="s">
        <v>52</v>
      </c>
      <c r="L466" s="4" t="s">
        <v>1409</v>
      </c>
      <c r="M466" s="4" t="s">
        <v>1407</v>
      </c>
      <c r="N466" s="4">
        <v>239</v>
      </c>
      <c r="O466" s="4" t="s">
        <v>1410</v>
      </c>
    </row>
    <row r="467" spans="1:15" ht="15.75" customHeight="1">
      <c r="A467" s="4" t="s">
        <v>49</v>
      </c>
      <c r="B467" s="4">
        <v>470473</v>
      </c>
      <c r="C467" s="4">
        <v>471348</v>
      </c>
      <c r="E467" s="4" t="s">
        <v>55</v>
      </c>
      <c r="F467" s="4" t="s">
        <v>1411</v>
      </c>
      <c r="I467" s="4" t="s">
        <v>52</v>
      </c>
      <c r="L467" s="4" t="s">
        <v>1412</v>
      </c>
      <c r="M467" s="4" t="s">
        <v>1411</v>
      </c>
      <c r="N467" s="4">
        <v>291</v>
      </c>
      <c r="O467" s="4" t="s">
        <v>1413</v>
      </c>
    </row>
    <row r="468" spans="1:15" ht="15.75" customHeight="1">
      <c r="A468" s="4" t="s">
        <v>49</v>
      </c>
      <c r="B468" s="4">
        <v>471509</v>
      </c>
      <c r="C468" s="4">
        <v>474691</v>
      </c>
      <c r="E468" s="4" t="s">
        <v>55</v>
      </c>
      <c r="F468" s="4" t="s">
        <v>1414</v>
      </c>
      <c r="G468" s="4" t="s">
        <v>1415</v>
      </c>
      <c r="I468" s="4" t="s">
        <v>52</v>
      </c>
      <c r="L468" s="4" t="s">
        <v>1416</v>
      </c>
      <c r="M468" s="4" t="s">
        <v>1414</v>
      </c>
      <c r="N468" s="4">
        <v>1060</v>
      </c>
      <c r="O468" s="4" t="s">
        <v>1417</v>
      </c>
    </row>
    <row r="469" spans="1:15" ht="15.75" customHeight="1">
      <c r="A469" s="4" t="s">
        <v>49</v>
      </c>
      <c r="B469" s="4">
        <v>474694</v>
      </c>
      <c r="C469" s="4">
        <v>475776</v>
      </c>
      <c r="E469" s="4" t="s">
        <v>55</v>
      </c>
      <c r="F469" s="4" t="s">
        <v>1418</v>
      </c>
      <c r="I469" s="4" t="s">
        <v>52</v>
      </c>
      <c r="L469" s="4" t="s">
        <v>1419</v>
      </c>
      <c r="M469" s="4" t="s">
        <v>1418</v>
      </c>
      <c r="N469" s="4">
        <v>360</v>
      </c>
      <c r="O469" s="4" t="s">
        <v>1420</v>
      </c>
    </row>
    <row r="470" spans="1:15" ht="15.75" customHeight="1">
      <c r="A470" s="4" t="s">
        <v>49</v>
      </c>
      <c r="B470" s="4">
        <v>475936</v>
      </c>
      <c r="C470" s="4">
        <v>477201</v>
      </c>
      <c r="E470" s="4" t="s">
        <v>55</v>
      </c>
      <c r="F470" s="4" t="s">
        <v>1421</v>
      </c>
      <c r="I470" s="4" t="s">
        <v>52</v>
      </c>
      <c r="L470" s="4" t="s">
        <v>1422</v>
      </c>
      <c r="M470" s="4" t="s">
        <v>1421</v>
      </c>
      <c r="N470" s="4">
        <v>421</v>
      </c>
      <c r="O470" s="4" t="s">
        <v>1423</v>
      </c>
    </row>
    <row r="471" spans="1:15" ht="15.75" customHeight="1">
      <c r="A471" s="4" t="s">
        <v>49</v>
      </c>
      <c r="B471" s="4">
        <v>477205</v>
      </c>
      <c r="C471" s="4">
        <v>478146</v>
      </c>
      <c r="E471" s="4" t="s">
        <v>55</v>
      </c>
      <c r="F471" s="4" t="s">
        <v>1424</v>
      </c>
      <c r="I471" s="4" t="s">
        <v>52</v>
      </c>
      <c r="L471" s="4" t="s">
        <v>1425</v>
      </c>
      <c r="M471" s="4" t="s">
        <v>1424</v>
      </c>
      <c r="N471" s="4">
        <v>313</v>
      </c>
      <c r="O471" s="4" t="s">
        <v>1426</v>
      </c>
    </row>
    <row r="472" spans="1:15" ht="15.75" customHeight="1">
      <c r="A472" s="4" t="s">
        <v>49</v>
      </c>
      <c r="B472" s="4">
        <v>478133</v>
      </c>
      <c r="C472" s="4">
        <v>479440</v>
      </c>
      <c r="E472" s="4" t="s">
        <v>55</v>
      </c>
      <c r="F472" s="4" t="s">
        <v>1427</v>
      </c>
      <c r="I472" s="4" t="s">
        <v>52</v>
      </c>
      <c r="L472" s="4" t="s">
        <v>1428</v>
      </c>
      <c r="M472" s="4" t="s">
        <v>1427</v>
      </c>
      <c r="N472" s="4">
        <v>435</v>
      </c>
      <c r="O472" s="4" t="s">
        <v>1429</v>
      </c>
    </row>
    <row r="473" spans="1:15" ht="15.75" customHeight="1">
      <c r="A473" s="4" t="s">
        <v>49</v>
      </c>
      <c r="B473" s="4">
        <v>479442</v>
      </c>
      <c r="C473" s="4">
        <v>479990</v>
      </c>
      <c r="E473" s="4" t="s">
        <v>55</v>
      </c>
      <c r="F473" s="4" t="s">
        <v>1430</v>
      </c>
      <c r="G473" s="4" t="s">
        <v>1431</v>
      </c>
      <c r="I473" s="4" t="s">
        <v>52</v>
      </c>
      <c r="L473" s="4" t="s">
        <v>1432</v>
      </c>
      <c r="M473" s="4" t="s">
        <v>1430</v>
      </c>
      <c r="N473" s="4">
        <v>182</v>
      </c>
      <c r="O473" s="4" t="s">
        <v>1433</v>
      </c>
    </row>
    <row r="474" spans="1:15" ht="15.75" customHeight="1">
      <c r="A474" s="4" t="s">
        <v>49</v>
      </c>
      <c r="B474" s="4">
        <v>480333</v>
      </c>
      <c r="C474" s="4">
        <v>481253</v>
      </c>
      <c r="E474" s="4" t="s">
        <v>55</v>
      </c>
      <c r="F474" s="4" t="s">
        <v>1434</v>
      </c>
      <c r="I474" s="4" t="s">
        <v>52</v>
      </c>
      <c r="L474" s="4" t="s">
        <v>1435</v>
      </c>
      <c r="M474" s="4" t="s">
        <v>1434</v>
      </c>
      <c r="N474" s="4">
        <v>306</v>
      </c>
      <c r="O474" s="4" t="s">
        <v>1436</v>
      </c>
    </row>
    <row r="475" spans="1:15" ht="15.75" customHeight="1">
      <c r="A475" s="4" t="s">
        <v>49</v>
      </c>
      <c r="B475" s="4">
        <v>481253</v>
      </c>
      <c r="C475" s="4">
        <v>481717</v>
      </c>
      <c r="E475" s="4" t="s">
        <v>55</v>
      </c>
      <c r="F475" s="4" t="s">
        <v>1437</v>
      </c>
      <c r="G475" s="4" t="s">
        <v>1438</v>
      </c>
      <c r="I475" s="4" t="s">
        <v>52</v>
      </c>
      <c r="L475" s="4" t="s">
        <v>1439</v>
      </c>
      <c r="M475" s="4" t="s">
        <v>1437</v>
      </c>
      <c r="N475" s="4">
        <v>154</v>
      </c>
      <c r="O475" s="4" t="s">
        <v>1440</v>
      </c>
    </row>
    <row r="476" spans="1:15" ht="15.75" customHeight="1">
      <c r="A476" s="4" t="s">
        <v>49</v>
      </c>
      <c r="B476" s="4">
        <v>481828</v>
      </c>
      <c r="C476" s="4">
        <v>483501</v>
      </c>
      <c r="E476" s="4" t="s">
        <v>55</v>
      </c>
      <c r="F476" s="4" t="s">
        <v>1441</v>
      </c>
      <c r="I476" s="4" t="s">
        <v>52</v>
      </c>
      <c r="L476" s="4" t="s">
        <v>1442</v>
      </c>
      <c r="M476" s="4" t="s">
        <v>1441</v>
      </c>
      <c r="N476" s="4">
        <v>557</v>
      </c>
      <c r="O476" s="4" t="s">
        <v>1443</v>
      </c>
    </row>
    <row r="477" spans="1:15" ht="15.75" customHeight="1">
      <c r="A477" s="4" t="s">
        <v>49</v>
      </c>
      <c r="B477" s="4">
        <v>483514</v>
      </c>
      <c r="C477" s="4">
        <v>483918</v>
      </c>
      <c r="E477" s="4" t="s">
        <v>55</v>
      </c>
      <c r="F477" s="4" t="s">
        <v>1444</v>
      </c>
      <c r="I477" s="4" t="s">
        <v>52</v>
      </c>
      <c r="L477" s="4" t="s">
        <v>1445</v>
      </c>
      <c r="M477" s="4" t="s">
        <v>1444</v>
      </c>
      <c r="N477" s="4">
        <v>134</v>
      </c>
      <c r="O477" s="4" t="s">
        <v>1446</v>
      </c>
    </row>
    <row r="478" spans="1:15" ht="15.75" customHeight="1">
      <c r="A478" s="4" t="s">
        <v>49</v>
      </c>
      <c r="B478" s="4">
        <v>483943</v>
      </c>
      <c r="C478" s="4">
        <v>484341</v>
      </c>
      <c r="E478" s="4" t="s">
        <v>50</v>
      </c>
      <c r="F478" s="4" t="s">
        <v>1447</v>
      </c>
      <c r="I478" s="4" t="s">
        <v>52</v>
      </c>
      <c r="L478" s="4" t="s">
        <v>1448</v>
      </c>
      <c r="M478" s="4" t="s">
        <v>1447</v>
      </c>
      <c r="N478" s="4">
        <v>132</v>
      </c>
      <c r="O478" s="4" t="s">
        <v>1449</v>
      </c>
    </row>
    <row r="479" spans="1:15" ht="15.75" customHeight="1">
      <c r="A479" s="4" t="s">
        <v>49</v>
      </c>
      <c r="B479" s="4">
        <v>484582</v>
      </c>
      <c r="C479" s="4">
        <v>485184</v>
      </c>
      <c r="E479" s="4" t="s">
        <v>55</v>
      </c>
      <c r="F479" s="4" t="s">
        <v>1327</v>
      </c>
      <c r="I479" s="4" t="s">
        <v>52</v>
      </c>
      <c r="L479" s="4" t="s">
        <v>1450</v>
      </c>
      <c r="M479" s="4" t="s">
        <v>1327</v>
      </c>
      <c r="N479" s="4">
        <v>200</v>
      </c>
      <c r="O479" s="4" t="s">
        <v>1451</v>
      </c>
    </row>
    <row r="480" spans="1:15" ht="15.75" customHeight="1">
      <c r="A480" s="4" t="s">
        <v>49</v>
      </c>
      <c r="B480" s="4">
        <v>485200</v>
      </c>
      <c r="C480" s="4">
        <v>485385</v>
      </c>
      <c r="E480" s="4" t="s">
        <v>55</v>
      </c>
      <c r="F480" s="4" t="s">
        <v>56</v>
      </c>
      <c r="I480" s="4" t="s">
        <v>52</v>
      </c>
      <c r="L480" s="4" t="s">
        <v>1452</v>
      </c>
      <c r="M480" s="4" t="s">
        <v>56</v>
      </c>
      <c r="N480" s="4">
        <v>61</v>
      </c>
      <c r="O480" s="4" t="s">
        <v>1453</v>
      </c>
    </row>
    <row r="481" spans="1:15" ht="15.75" customHeight="1">
      <c r="A481" s="4" t="s">
        <v>49</v>
      </c>
      <c r="B481" s="4">
        <v>485494</v>
      </c>
      <c r="C481" s="4">
        <v>486963</v>
      </c>
      <c r="E481" s="4" t="s">
        <v>50</v>
      </c>
      <c r="F481" s="4" t="s">
        <v>854</v>
      </c>
      <c r="G481" s="4" t="s">
        <v>855</v>
      </c>
      <c r="I481" s="4" t="s">
        <v>52</v>
      </c>
      <c r="L481" s="4" t="s">
        <v>1454</v>
      </c>
      <c r="M481" s="4" t="s">
        <v>854</v>
      </c>
      <c r="N481" s="4">
        <v>489</v>
      </c>
      <c r="O481" s="4" t="s">
        <v>1455</v>
      </c>
    </row>
    <row r="482" spans="1:15" ht="15.75" customHeight="1">
      <c r="A482" s="4" t="s">
        <v>49</v>
      </c>
      <c r="B482" s="4">
        <v>487032</v>
      </c>
      <c r="C482" s="4">
        <v>487358</v>
      </c>
      <c r="E482" s="4" t="s">
        <v>55</v>
      </c>
      <c r="F482" s="4" t="s">
        <v>56</v>
      </c>
      <c r="I482" s="4" t="s">
        <v>52</v>
      </c>
      <c r="L482" s="4" t="s">
        <v>1456</v>
      </c>
      <c r="M482" s="4" t="s">
        <v>56</v>
      </c>
      <c r="N482" s="4">
        <v>108</v>
      </c>
      <c r="O482" s="4" t="s">
        <v>1457</v>
      </c>
    </row>
    <row r="483" spans="1:15" ht="15.75" customHeight="1">
      <c r="A483" s="4" t="s">
        <v>49</v>
      </c>
      <c r="B483" s="4">
        <v>487510</v>
      </c>
      <c r="C483" s="4">
        <v>488961</v>
      </c>
      <c r="E483" s="4" t="s">
        <v>55</v>
      </c>
      <c r="F483" s="4" t="s">
        <v>92</v>
      </c>
      <c r="I483" s="4" t="s">
        <v>52</v>
      </c>
      <c r="L483" s="4" t="s">
        <v>1458</v>
      </c>
      <c r="M483" s="4" t="s">
        <v>92</v>
      </c>
      <c r="N483" s="4">
        <v>483</v>
      </c>
      <c r="O483" s="4" t="s">
        <v>1459</v>
      </c>
    </row>
    <row r="484" spans="1:15" ht="15.75" customHeight="1">
      <c r="A484" s="4" t="s">
        <v>49</v>
      </c>
      <c r="B484" s="4">
        <v>489336</v>
      </c>
      <c r="C484" s="4">
        <v>489566</v>
      </c>
      <c r="E484" s="4" t="s">
        <v>50</v>
      </c>
      <c r="F484" s="4" t="s">
        <v>1460</v>
      </c>
      <c r="G484" s="4" t="s">
        <v>1461</v>
      </c>
      <c r="I484" s="4" t="s">
        <v>52</v>
      </c>
      <c r="L484" s="4" t="s">
        <v>1462</v>
      </c>
      <c r="M484" s="4" t="s">
        <v>1460</v>
      </c>
      <c r="N484" s="4">
        <v>76</v>
      </c>
      <c r="O484" s="4" t="s">
        <v>1463</v>
      </c>
    </row>
    <row r="485" spans="1:15" ht="15.75" customHeight="1">
      <c r="A485" s="4" t="s">
        <v>49</v>
      </c>
      <c r="B485" s="4">
        <v>489636</v>
      </c>
      <c r="C485" s="4">
        <v>491807</v>
      </c>
      <c r="E485" s="4" t="s">
        <v>50</v>
      </c>
      <c r="F485" s="4" t="s">
        <v>1464</v>
      </c>
      <c r="G485" s="4" t="s">
        <v>1465</v>
      </c>
      <c r="I485" s="4" t="s">
        <v>52</v>
      </c>
      <c r="L485" s="4" t="s">
        <v>1466</v>
      </c>
      <c r="M485" s="4" t="s">
        <v>1464</v>
      </c>
      <c r="N485" s="4">
        <v>723</v>
      </c>
      <c r="O485" s="4" t="s">
        <v>1467</v>
      </c>
    </row>
    <row r="486" spans="1:15" ht="15.75" customHeight="1">
      <c r="A486" s="4" t="s">
        <v>49</v>
      </c>
      <c r="B486" s="4">
        <v>491860</v>
      </c>
      <c r="C486" s="4">
        <v>492840</v>
      </c>
      <c r="E486" s="4" t="s">
        <v>50</v>
      </c>
      <c r="F486" s="4" t="s">
        <v>1468</v>
      </c>
      <c r="G486" s="4" t="s">
        <v>1469</v>
      </c>
      <c r="I486" s="4" t="s">
        <v>52</v>
      </c>
      <c r="L486" s="4" t="s">
        <v>1470</v>
      </c>
      <c r="M486" s="4" t="s">
        <v>1468</v>
      </c>
      <c r="N486" s="4">
        <v>326</v>
      </c>
      <c r="O486" s="4" t="s">
        <v>1471</v>
      </c>
    </row>
    <row r="487" spans="1:15" ht="15.75" customHeight="1">
      <c r="A487" s="4" t="s">
        <v>49</v>
      </c>
      <c r="B487" s="4">
        <v>492916</v>
      </c>
      <c r="C487" s="4">
        <v>493797</v>
      </c>
      <c r="E487" s="4" t="s">
        <v>55</v>
      </c>
      <c r="F487" s="4" t="s">
        <v>690</v>
      </c>
      <c r="I487" s="4" t="s">
        <v>52</v>
      </c>
      <c r="L487" s="4" t="s">
        <v>1472</v>
      </c>
      <c r="M487" s="4" t="s">
        <v>690</v>
      </c>
      <c r="N487" s="4">
        <v>293</v>
      </c>
      <c r="O487" s="4" t="s">
        <v>1473</v>
      </c>
    </row>
    <row r="488" spans="1:15" ht="15.75" customHeight="1">
      <c r="A488" s="4" t="s">
        <v>49</v>
      </c>
      <c r="B488" s="4">
        <v>494025</v>
      </c>
      <c r="C488" s="4">
        <v>495929</v>
      </c>
      <c r="E488" s="4" t="s">
        <v>55</v>
      </c>
      <c r="F488" s="4" t="s">
        <v>263</v>
      </c>
      <c r="I488" s="4" t="s">
        <v>52</v>
      </c>
      <c r="L488" s="4" t="s">
        <v>1474</v>
      </c>
      <c r="M488" s="4" t="s">
        <v>263</v>
      </c>
      <c r="N488" s="4">
        <v>634</v>
      </c>
      <c r="O488" s="4" t="s">
        <v>1475</v>
      </c>
    </row>
    <row r="489" spans="1:15" ht="15.75" customHeight="1">
      <c r="A489" s="4" t="s">
        <v>49</v>
      </c>
      <c r="B489" s="4">
        <v>496169</v>
      </c>
      <c r="C489" s="4">
        <v>497182</v>
      </c>
      <c r="E489" s="4" t="s">
        <v>50</v>
      </c>
      <c r="F489" s="4" t="s">
        <v>1476</v>
      </c>
      <c r="I489" s="4" t="s">
        <v>52</v>
      </c>
      <c r="L489" s="4" t="s">
        <v>1477</v>
      </c>
      <c r="M489" s="4" t="s">
        <v>1476</v>
      </c>
      <c r="N489" s="4">
        <v>337</v>
      </c>
      <c r="O489" s="4" t="s">
        <v>1478</v>
      </c>
    </row>
    <row r="490" spans="1:15" ht="15.75" customHeight="1">
      <c r="A490" s="4" t="s">
        <v>49</v>
      </c>
      <c r="B490" s="4">
        <v>497296</v>
      </c>
      <c r="C490" s="4">
        <v>497523</v>
      </c>
      <c r="E490" s="4" t="s">
        <v>55</v>
      </c>
      <c r="F490" s="4" t="s">
        <v>56</v>
      </c>
      <c r="I490" s="4" t="s">
        <v>52</v>
      </c>
      <c r="L490" s="4" t="s">
        <v>1479</v>
      </c>
      <c r="M490" s="4" t="s">
        <v>56</v>
      </c>
      <c r="N490" s="4">
        <v>75</v>
      </c>
      <c r="O490" s="4" t="s">
        <v>1480</v>
      </c>
    </row>
    <row r="491" spans="1:15" ht="15.75" customHeight="1">
      <c r="A491" s="4" t="s">
        <v>49</v>
      </c>
      <c r="B491" s="4">
        <v>497679</v>
      </c>
      <c r="C491" s="4">
        <v>498617</v>
      </c>
      <c r="E491" s="4" t="s">
        <v>55</v>
      </c>
      <c r="F491" s="4" t="s">
        <v>1481</v>
      </c>
      <c r="I491" s="4" t="s">
        <v>52</v>
      </c>
      <c r="L491" s="4" t="s">
        <v>1482</v>
      </c>
      <c r="M491" s="4" t="s">
        <v>1481</v>
      </c>
      <c r="N491" s="4">
        <v>312</v>
      </c>
      <c r="O491" s="4" t="s">
        <v>1483</v>
      </c>
    </row>
    <row r="492" spans="1:15" ht="15.75" customHeight="1">
      <c r="A492" s="4" t="s">
        <v>49</v>
      </c>
      <c r="B492" s="4">
        <v>498750</v>
      </c>
      <c r="C492" s="4">
        <v>499892</v>
      </c>
      <c r="E492" s="4" t="s">
        <v>55</v>
      </c>
      <c r="F492" s="4" t="s">
        <v>1484</v>
      </c>
      <c r="I492" s="4" t="s">
        <v>52</v>
      </c>
      <c r="L492" s="4" t="s">
        <v>1485</v>
      </c>
      <c r="M492" s="4" t="s">
        <v>1484</v>
      </c>
      <c r="N492" s="4">
        <v>380</v>
      </c>
      <c r="O492" s="4" t="s">
        <v>1486</v>
      </c>
    </row>
    <row r="493" spans="1:15" ht="15.75" customHeight="1">
      <c r="A493" s="4" t="s">
        <v>49</v>
      </c>
      <c r="B493" s="4">
        <v>500227</v>
      </c>
      <c r="C493" s="4">
        <v>500592</v>
      </c>
      <c r="E493" s="4" t="s">
        <v>55</v>
      </c>
      <c r="F493" s="4" t="s">
        <v>1487</v>
      </c>
      <c r="G493" s="4" t="s">
        <v>1488</v>
      </c>
      <c r="I493" s="4" t="s">
        <v>1489</v>
      </c>
      <c r="O493" s="4" t="s">
        <v>1490</v>
      </c>
    </row>
    <row r="494" spans="1:15" ht="15.75" customHeight="1">
      <c r="A494" s="4" t="s">
        <v>49</v>
      </c>
      <c r="B494" s="4">
        <v>500605</v>
      </c>
      <c r="C494" s="4">
        <v>501000</v>
      </c>
      <c r="E494" s="4" t="s">
        <v>55</v>
      </c>
      <c r="F494" s="4" t="s">
        <v>1491</v>
      </c>
      <c r="G494" s="4" t="s">
        <v>1492</v>
      </c>
      <c r="I494" s="4" t="s">
        <v>52</v>
      </c>
      <c r="L494" s="4" t="s">
        <v>1493</v>
      </c>
      <c r="M494" s="4" t="s">
        <v>1491</v>
      </c>
      <c r="N494" s="4">
        <v>131</v>
      </c>
      <c r="O494" s="4" t="s">
        <v>1494</v>
      </c>
    </row>
    <row r="495" spans="1:15" ht="15.75" customHeight="1">
      <c r="A495" s="4" t="s">
        <v>49</v>
      </c>
      <c r="B495" s="4">
        <v>501056</v>
      </c>
      <c r="C495" s="4">
        <v>501631</v>
      </c>
      <c r="E495" s="4" t="s">
        <v>55</v>
      </c>
      <c r="F495" s="4" t="s">
        <v>1495</v>
      </c>
      <c r="I495" s="4" t="s">
        <v>52</v>
      </c>
      <c r="L495" s="4" t="s">
        <v>1496</v>
      </c>
      <c r="M495" s="4" t="s">
        <v>1495</v>
      </c>
      <c r="N495" s="4">
        <v>191</v>
      </c>
      <c r="O495" s="4" t="s">
        <v>1497</v>
      </c>
    </row>
    <row r="496" spans="1:15" ht="15.75" customHeight="1">
      <c r="A496" s="4" t="s">
        <v>49</v>
      </c>
      <c r="B496" s="4">
        <v>501698</v>
      </c>
      <c r="C496" s="4">
        <v>502324</v>
      </c>
      <c r="E496" s="4" t="s">
        <v>50</v>
      </c>
      <c r="F496" s="4" t="s">
        <v>1498</v>
      </c>
      <c r="G496" s="4" t="s">
        <v>1499</v>
      </c>
      <c r="I496" s="4" t="s">
        <v>52</v>
      </c>
      <c r="L496" s="4" t="s">
        <v>1500</v>
      </c>
      <c r="M496" s="4" t="s">
        <v>1498</v>
      </c>
      <c r="N496" s="4">
        <v>208</v>
      </c>
      <c r="O496" s="4" t="s">
        <v>1501</v>
      </c>
    </row>
    <row r="497" spans="1:15" ht="15.75" customHeight="1">
      <c r="A497" s="4" t="s">
        <v>49</v>
      </c>
      <c r="B497" s="4">
        <v>502317</v>
      </c>
      <c r="C497" s="4">
        <v>504623</v>
      </c>
      <c r="E497" s="4" t="s">
        <v>50</v>
      </c>
      <c r="F497" s="4" t="s">
        <v>1502</v>
      </c>
      <c r="I497" s="4" t="s">
        <v>52</v>
      </c>
      <c r="L497" s="4" t="s">
        <v>1503</v>
      </c>
      <c r="M497" s="4" t="s">
        <v>1502</v>
      </c>
      <c r="N497" s="4">
        <v>768</v>
      </c>
      <c r="O497" s="4" t="s">
        <v>1504</v>
      </c>
    </row>
    <row r="498" spans="1:15" ht="15.75" customHeight="1">
      <c r="A498" s="4" t="s">
        <v>49</v>
      </c>
      <c r="B498" s="4">
        <v>504733</v>
      </c>
      <c r="C498" s="4">
        <v>505194</v>
      </c>
      <c r="E498" s="4" t="s">
        <v>55</v>
      </c>
      <c r="F498" s="4" t="s">
        <v>1505</v>
      </c>
      <c r="I498" s="4" t="s">
        <v>52</v>
      </c>
      <c r="L498" s="4" t="s">
        <v>1506</v>
      </c>
      <c r="M498" s="4" t="s">
        <v>1505</v>
      </c>
      <c r="N498" s="4">
        <v>153</v>
      </c>
      <c r="O498" s="4" t="s">
        <v>1507</v>
      </c>
    </row>
    <row r="499" spans="1:15" ht="15.75" customHeight="1">
      <c r="A499" s="4" t="s">
        <v>49</v>
      </c>
      <c r="B499" s="4">
        <v>505191</v>
      </c>
      <c r="C499" s="4">
        <v>505880</v>
      </c>
      <c r="E499" s="4" t="s">
        <v>55</v>
      </c>
      <c r="F499" s="4" t="s">
        <v>1508</v>
      </c>
      <c r="G499" s="4" t="s">
        <v>1509</v>
      </c>
      <c r="I499" s="4" t="s">
        <v>52</v>
      </c>
      <c r="L499" s="4" t="s">
        <v>1510</v>
      </c>
      <c r="M499" s="4" t="s">
        <v>1508</v>
      </c>
      <c r="N499" s="4">
        <v>229</v>
      </c>
      <c r="O499" s="4" t="s">
        <v>1511</v>
      </c>
    </row>
    <row r="500" spans="1:15" ht="15.75" customHeight="1">
      <c r="A500" s="4" t="s">
        <v>49</v>
      </c>
      <c r="B500" s="4">
        <v>505916</v>
      </c>
      <c r="C500" s="4">
        <v>506539</v>
      </c>
      <c r="E500" s="4" t="s">
        <v>55</v>
      </c>
      <c r="F500" s="4" t="s">
        <v>1512</v>
      </c>
      <c r="I500" s="4" t="s">
        <v>52</v>
      </c>
      <c r="L500" s="4" t="s">
        <v>1513</v>
      </c>
      <c r="M500" s="4" t="s">
        <v>1512</v>
      </c>
      <c r="N500" s="4">
        <v>207</v>
      </c>
      <c r="O500" s="4" t="s">
        <v>1514</v>
      </c>
    </row>
    <row r="501" spans="1:15" ht="15.75" customHeight="1">
      <c r="A501" s="4" t="s">
        <v>49</v>
      </c>
      <c r="B501" s="4">
        <v>506594</v>
      </c>
      <c r="C501" s="4">
        <v>507892</v>
      </c>
      <c r="E501" s="4" t="s">
        <v>55</v>
      </c>
      <c r="F501" s="4" t="s">
        <v>1515</v>
      </c>
      <c r="G501" s="4" t="s">
        <v>1516</v>
      </c>
      <c r="I501" s="4" t="s">
        <v>52</v>
      </c>
      <c r="L501" s="4" t="s">
        <v>1517</v>
      </c>
      <c r="M501" s="4" t="s">
        <v>1515</v>
      </c>
      <c r="N501" s="4">
        <v>432</v>
      </c>
      <c r="O501" s="4" t="s">
        <v>1518</v>
      </c>
    </row>
    <row r="502" spans="1:15" ht="15.75" customHeight="1">
      <c r="A502" s="4" t="s">
        <v>49</v>
      </c>
      <c r="B502" s="4">
        <v>507923</v>
      </c>
      <c r="C502" s="4">
        <v>509098</v>
      </c>
      <c r="E502" s="4" t="s">
        <v>55</v>
      </c>
      <c r="F502" s="4" t="s">
        <v>1519</v>
      </c>
      <c r="I502" s="4" t="s">
        <v>52</v>
      </c>
      <c r="L502" s="4" t="s">
        <v>1520</v>
      </c>
      <c r="M502" s="4" t="s">
        <v>1519</v>
      </c>
      <c r="N502" s="4">
        <v>391</v>
      </c>
      <c r="O502" s="4" t="s">
        <v>1521</v>
      </c>
    </row>
    <row r="503" spans="1:15" ht="15.75" customHeight="1">
      <c r="A503" s="4" t="s">
        <v>49</v>
      </c>
      <c r="B503" s="4">
        <v>509153</v>
      </c>
      <c r="C503" s="4">
        <v>509641</v>
      </c>
      <c r="E503" s="4" t="s">
        <v>55</v>
      </c>
      <c r="F503" s="4" t="s">
        <v>1522</v>
      </c>
      <c r="I503" s="4" t="s">
        <v>52</v>
      </c>
      <c r="L503" s="4" t="s">
        <v>1523</v>
      </c>
      <c r="M503" s="4" t="s">
        <v>1522</v>
      </c>
      <c r="N503" s="4">
        <v>162</v>
      </c>
      <c r="O503" s="4" t="s">
        <v>1524</v>
      </c>
    </row>
    <row r="504" spans="1:15" ht="15.75" customHeight="1">
      <c r="A504" s="4" t="s">
        <v>49</v>
      </c>
      <c r="B504" s="4">
        <v>509944</v>
      </c>
      <c r="C504" s="4">
        <v>512730</v>
      </c>
      <c r="E504" s="4" t="s">
        <v>55</v>
      </c>
      <c r="F504" s="4" t="s">
        <v>1525</v>
      </c>
      <c r="I504" s="4" t="s">
        <v>52</v>
      </c>
      <c r="L504" s="4" t="s">
        <v>1526</v>
      </c>
      <c r="M504" s="4" t="s">
        <v>1525</v>
      </c>
      <c r="N504" s="4">
        <v>928</v>
      </c>
      <c r="O504" s="4" t="s">
        <v>1527</v>
      </c>
    </row>
    <row r="505" spans="1:15" ht="15.75" customHeight="1">
      <c r="A505" s="4" t="s">
        <v>49</v>
      </c>
      <c r="B505" s="4">
        <v>512769</v>
      </c>
      <c r="C505" s="4">
        <v>516473</v>
      </c>
      <c r="E505" s="4" t="s">
        <v>55</v>
      </c>
      <c r="F505" s="4" t="s">
        <v>1528</v>
      </c>
      <c r="G505" s="4" t="s">
        <v>1529</v>
      </c>
      <c r="I505" s="4" t="s">
        <v>52</v>
      </c>
      <c r="L505" s="4" t="s">
        <v>1530</v>
      </c>
      <c r="M505" s="4" t="s">
        <v>1528</v>
      </c>
      <c r="N505" s="4">
        <v>1234</v>
      </c>
      <c r="O505" s="4" t="s">
        <v>1531</v>
      </c>
    </row>
    <row r="506" spans="1:15" ht="15.75" customHeight="1">
      <c r="A506" s="4" t="s">
        <v>49</v>
      </c>
      <c r="B506" s="4">
        <v>516470</v>
      </c>
      <c r="C506" s="4">
        <v>520009</v>
      </c>
      <c r="E506" s="4" t="s">
        <v>55</v>
      </c>
      <c r="F506" s="4" t="s">
        <v>1532</v>
      </c>
      <c r="I506" s="4" t="s">
        <v>52</v>
      </c>
      <c r="L506" s="4" t="s">
        <v>1533</v>
      </c>
      <c r="M506" s="4" t="s">
        <v>1532</v>
      </c>
      <c r="N506" s="4">
        <v>1179</v>
      </c>
      <c r="O506" s="4" t="s">
        <v>1534</v>
      </c>
    </row>
    <row r="507" spans="1:15" ht="15.75" customHeight="1">
      <c r="A507" s="4" t="s">
        <v>49</v>
      </c>
      <c r="B507" s="4">
        <v>520360</v>
      </c>
      <c r="C507" s="4">
        <v>521295</v>
      </c>
      <c r="E507" s="4" t="s">
        <v>50</v>
      </c>
      <c r="F507" s="4" t="s">
        <v>1535</v>
      </c>
      <c r="G507" s="4" t="s">
        <v>1536</v>
      </c>
      <c r="I507" s="4" t="s">
        <v>52</v>
      </c>
      <c r="L507" s="4" t="s">
        <v>1537</v>
      </c>
      <c r="M507" s="4" t="s">
        <v>1535</v>
      </c>
      <c r="N507" s="4">
        <v>311</v>
      </c>
      <c r="O507" s="4" t="s">
        <v>1538</v>
      </c>
    </row>
    <row r="508" spans="1:15" ht="15.75" customHeight="1">
      <c r="A508" s="4" t="s">
        <v>49</v>
      </c>
      <c r="B508" s="4">
        <v>521303</v>
      </c>
      <c r="C508" s="4">
        <v>522307</v>
      </c>
      <c r="E508" s="4" t="s">
        <v>50</v>
      </c>
      <c r="F508" s="4" t="s">
        <v>1539</v>
      </c>
      <c r="G508" s="4" t="s">
        <v>1540</v>
      </c>
      <c r="I508" s="4" t="s">
        <v>52</v>
      </c>
      <c r="L508" s="4" t="s">
        <v>1541</v>
      </c>
      <c r="M508" s="4" t="s">
        <v>1539</v>
      </c>
      <c r="N508" s="4">
        <v>334</v>
      </c>
      <c r="O508" s="4" t="s">
        <v>1542</v>
      </c>
    </row>
    <row r="509" spans="1:15" ht="15.75" customHeight="1">
      <c r="A509" s="4" t="s">
        <v>49</v>
      </c>
      <c r="B509" s="4">
        <v>522273</v>
      </c>
      <c r="C509" s="4">
        <v>523307</v>
      </c>
      <c r="E509" s="4" t="s">
        <v>50</v>
      </c>
      <c r="F509" s="4" t="s">
        <v>1543</v>
      </c>
      <c r="G509" s="4" t="s">
        <v>1544</v>
      </c>
      <c r="I509" s="4" t="s">
        <v>52</v>
      </c>
      <c r="L509" s="4" t="s">
        <v>1545</v>
      </c>
      <c r="M509" s="4" t="s">
        <v>1543</v>
      </c>
      <c r="N509" s="4">
        <v>344</v>
      </c>
      <c r="O509" s="4" t="s">
        <v>1546</v>
      </c>
    </row>
    <row r="510" spans="1:15" ht="15.75" customHeight="1">
      <c r="A510" s="4" t="s">
        <v>49</v>
      </c>
      <c r="B510" s="4">
        <v>523796</v>
      </c>
      <c r="C510" s="4">
        <v>525127</v>
      </c>
      <c r="E510" s="4" t="s">
        <v>55</v>
      </c>
      <c r="F510" s="4" t="s">
        <v>1547</v>
      </c>
      <c r="I510" s="4" t="s">
        <v>52</v>
      </c>
      <c r="L510" s="4" t="s">
        <v>1548</v>
      </c>
      <c r="M510" s="4" t="s">
        <v>1547</v>
      </c>
      <c r="N510" s="4">
        <v>443</v>
      </c>
      <c r="O510" s="4" t="s">
        <v>1549</v>
      </c>
    </row>
    <row r="511" spans="1:15" ht="15.75" customHeight="1">
      <c r="A511" s="4" t="s">
        <v>49</v>
      </c>
      <c r="B511" s="4">
        <v>525114</v>
      </c>
      <c r="C511" s="4">
        <v>526070</v>
      </c>
      <c r="E511" s="4" t="s">
        <v>55</v>
      </c>
      <c r="F511" s="4" t="s">
        <v>76</v>
      </c>
      <c r="I511" s="4" t="s">
        <v>52</v>
      </c>
      <c r="L511" s="4" t="s">
        <v>1550</v>
      </c>
      <c r="M511" s="4" t="s">
        <v>76</v>
      </c>
      <c r="N511" s="4">
        <v>318</v>
      </c>
      <c r="O511" s="4" t="s">
        <v>1551</v>
      </c>
    </row>
    <row r="512" spans="1:15" ht="15.75" customHeight="1">
      <c r="A512" s="4" t="s">
        <v>49</v>
      </c>
      <c r="B512" s="4">
        <v>526123</v>
      </c>
      <c r="C512" s="4">
        <v>526866</v>
      </c>
      <c r="E512" s="4" t="s">
        <v>55</v>
      </c>
      <c r="F512" s="4" t="s">
        <v>56</v>
      </c>
      <c r="I512" s="4" t="s">
        <v>52</v>
      </c>
      <c r="L512" s="4" t="s">
        <v>1552</v>
      </c>
      <c r="M512" s="4" t="s">
        <v>56</v>
      </c>
      <c r="N512" s="4">
        <v>247</v>
      </c>
      <c r="O512" s="4" t="s">
        <v>1553</v>
      </c>
    </row>
    <row r="513" spans="1:15" ht="15.75" customHeight="1">
      <c r="A513" s="4" t="s">
        <v>49</v>
      </c>
      <c r="B513" s="4">
        <v>526959</v>
      </c>
      <c r="C513" s="4">
        <v>527309</v>
      </c>
      <c r="E513" s="4" t="s">
        <v>55</v>
      </c>
      <c r="F513" s="4" t="s">
        <v>1554</v>
      </c>
      <c r="I513" s="4" t="s">
        <v>52</v>
      </c>
      <c r="L513" s="4" t="s">
        <v>1555</v>
      </c>
      <c r="M513" s="4" t="s">
        <v>1554</v>
      </c>
      <c r="N513" s="4">
        <v>116</v>
      </c>
      <c r="O513" s="4" t="s">
        <v>1556</v>
      </c>
    </row>
    <row r="514" spans="1:15" ht="15.75" customHeight="1">
      <c r="A514" s="4" t="s">
        <v>49</v>
      </c>
      <c r="B514" s="4">
        <v>527361</v>
      </c>
      <c r="C514" s="4">
        <v>527549</v>
      </c>
      <c r="E514" s="4" t="s">
        <v>55</v>
      </c>
      <c r="F514" s="4" t="s">
        <v>1557</v>
      </c>
      <c r="I514" s="4" t="s">
        <v>52</v>
      </c>
      <c r="L514" s="4" t="s">
        <v>1558</v>
      </c>
      <c r="M514" s="4" t="s">
        <v>1557</v>
      </c>
      <c r="N514" s="4">
        <v>62</v>
      </c>
      <c r="O514" s="4" t="s">
        <v>1559</v>
      </c>
    </row>
    <row r="515" spans="1:15" ht="15.75" customHeight="1">
      <c r="A515" s="4" t="s">
        <v>49</v>
      </c>
      <c r="B515" s="4">
        <v>527692</v>
      </c>
      <c r="C515" s="4">
        <v>528486</v>
      </c>
      <c r="E515" s="4" t="s">
        <v>55</v>
      </c>
      <c r="F515" s="4" t="s">
        <v>1560</v>
      </c>
      <c r="I515" s="4" t="s">
        <v>52</v>
      </c>
      <c r="L515" s="4" t="s">
        <v>1561</v>
      </c>
      <c r="M515" s="4" t="s">
        <v>1560</v>
      </c>
      <c r="N515" s="4">
        <v>264</v>
      </c>
      <c r="O515" s="4" t="s">
        <v>1562</v>
      </c>
    </row>
    <row r="516" spans="1:15" ht="15.75" customHeight="1">
      <c r="A516" s="4" t="s">
        <v>49</v>
      </c>
      <c r="B516" s="4">
        <v>528473</v>
      </c>
      <c r="C516" s="4">
        <v>529183</v>
      </c>
      <c r="E516" s="4" t="s">
        <v>55</v>
      </c>
      <c r="F516" s="4" t="s">
        <v>1563</v>
      </c>
      <c r="I516" s="4" t="s">
        <v>52</v>
      </c>
      <c r="L516" s="4" t="s">
        <v>1564</v>
      </c>
      <c r="M516" s="4" t="s">
        <v>1563</v>
      </c>
      <c r="N516" s="4">
        <v>236</v>
      </c>
      <c r="O516" s="4" t="s">
        <v>1565</v>
      </c>
    </row>
    <row r="517" spans="1:15" ht="15.75" customHeight="1">
      <c r="A517" s="4" t="s">
        <v>49</v>
      </c>
      <c r="B517" s="4">
        <v>529399</v>
      </c>
      <c r="C517" s="4">
        <v>530667</v>
      </c>
      <c r="E517" s="4" t="s">
        <v>55</v>
      </c>
      <c r="F517" s="4" t="s">
        <v>1566</v>
      </c>
      <c r="G517" s="4" t="s">
        <v>1567</v>
      </c>
      <c r="I517" s="4" t="s">
        <v>52</v>
      </c>
      <c r="L517" s="4" t="s">
        <v>1568</v>
      </c>
      <c r="M517" s="4" t="s">
        <v>1566</v>
      </c>
      <c r="N517" s="4">
        <v>422</v>
      </c>
      <c r="O517" s="4" t="s">
        <v>1569</v>
      </c>
    </row>
    <row r="518" spans="1:15" ht="15.75" customHeight="1">
      <c r="A518" s="4" t="s">
        <v>49</v>
      </c>
      <c r="B518" s="4">
        <v>530681</v>
      </c>
      <c r="C518" s="4">
        <v>532480</v>
      </c>
      <c r="E518" s="4" t="s">
        <v>55</v>
      </c>
      <c r="F518" s="4" t="s">
        <v>1570</v>
      </c>
      <c r="G518" s="4" t="s">
        <v>1571</v>
      </c>
      <c r="I518" s="4" t="s">
        <v>52</v>
      </c>
      <c r="L518" s="4" t="s">
        <v>1572</v>
      </c>
      <c r="M518" s="4" t="s">
        <v>1570</v>
      </c>
      <c r="N518" s="4">
        <v>599</v>
      </c>
      <c r="O518" s="4" t="s">
        <v>1573</v>
      </c>
    </row>
    <row r="519" spans="1:15" ht="15.75" customHeight="1">
      <c r="A519" s="4" t="s">
        <v>49</v>
      </c>
      <c r="B519" s="4">
        <v>532692</v>
      </c>
      <c r="C519" s="4">
        <v>534107</v>
      </c>
      <c r="E519" s="4" t="s">
        <v>55</v>
      </c>
      <c r="F519" s="4" t="s">
        <v>779</v>
      </c>
      <c r="I519" s="4" t="s">
        <v>52</v>
      </c>
      <c r="L519" s="4" t="s">
        <v>780</v>
      </c>
      <c r="M519" s="4" t="s">
        <v>779</v>
      </c>
      <c r="N519" s="4">
        <v>471</v>
      </c>
      <c r="O519" s="4" t="s">
        <v>1574</v>
      </c>
    </row>
    <row r="520" spans="1:15" ht="15.75" customHeight="1">
      <c r="A520" s="4" t="s">
        <v>49</v>
      </c>
      <c r="B520" s="4">
        <v>534242</v>
      </c>
      <c r="C520" s="4">
        <v>536311</v>
      </c>
      <c r="E520" s="4" t="s">
        <v>55</v>
      </c>
      <c r="F520" s="4" t="s">
        <v>1575</v>
      </c>
      <c r="G520" s="4" t="s">
        <v>1576</v>
      </c>
      <c r="I520" s="4" t="s">
        <v>52</v>
      </c>
      <c r="L520" s="4" t="s">
        <v>1577</v>
      </c>
      <c r="M520" s="4" t="s">
        <v>1575</v>
      </c>
      <c r="N520" s="4">
        <v>689</v>
      </c>
      <c r="O520" s="4" t="s">
        <v>1578</v>
      </c>
    </row>
    <row r="521" spans="1:15" ht="15.75" customHeight="1">
      <c r="A521" s="4" t="s">
        <v>49</v>
      </c>
      <c r="B521" s="4">
        <v>536313</v>
      </c>
      <c r="C521" s="4">
        <v>537209</v>
      </c>
      <c r="E521" s="4" t="s">
        <v>55</v>
      </c>
      <c r="F521" s="4" t="s">
        <v>1579</v>
      </c>
      <c r="G521" s="4" t="s">
        <v>1580</v>
      </c>
      <c r="I521" s="4" t="s">
        <v>52</v>
      </c>
      <c r="L521" s="4" t="s">
        <v>1581</v>
      </c>
      <c r="M521" s="4" t="s">
        <v>1579</v>
      </c>
      <c r="N521" s="4">
        <v>298</v>
      </c>
      <c r="O521" s="4" t="s">
        <v>1582</v>
      </c>
    </row>
    <row r="522" spans="1:15" ht="15.75" customHeight="1">
      <c r="A522" s="4" t="s">
        <v>49</v>
      </c>
      <c r="B522" s="4">
        <v>537733</v>
      </c>
      <c r="C522" s="4">
        <v>538041</v>
      </c>
      <c r="E522" s="4" t="s">
        <v>55</v>
      </c>
      <c r="F522" s="4" t="s">
        <v>56</v>
      </c>
      <c r="I522" s="4" t="s">
        <v>52</v>
      </c>
      <c r="L522" s="4" t="s">
        <v>1583</v>
      </c>
      <c r="M522" s="4" t="s">
        <v>56</v>
      </c>
      <c r="N522" s="4">
        <v>102</v>
      </c>
      <c r="O522" s="4" t="s">
        <v>1584</v>
      </c>
    </row>
    <row r="523" spans="1:15" ht="15.75" customHeight="1">
      <c r="A523" s="4" t="s">
        <v>49</v>
      </c>
      <c r="B523" s="4">
        <v>538186</v>
      </c>
      <c r="C523" s="4">
        <v>538497</v>
      </c>
      <c r="E523" s="4" t="s">
        <v>55</v>
      </c>
      <c r="F523" s="4" t="s">
        <v>56</v>
      </c>
      <c r="I523" s="4" t="s">
        <v>52</v>
      </c>
      <c r="L523" s="4" t="s">
        <v>1585</v>
      </c>
      <c r="M523" s="4" t="s">
        <v>56</v>
      </c>
      <c r="N523" s="4">
        <v>103</v>
      </c>
      <c r="O523" s="4" t="s">
        <v>1586</v>
      </c>
    </row>
    <row r="524" spans="1:15" ht="15.75" customHeight="1">
      <c r="A524" s="4" t="s">
        <v>49</v>
      </c>
      <c r="B524" s="4">
        <v>538748</v>
      </c>
      <c r="C524" s="4">
        <v>539527</v>
      </c>
      <c r="E524" s="4" t="s">
        <v>55</v>
      </c>
      <c r="F524" s="4" t="s">
        <v>1587</v>
      </c>
      <c r="G524" s="4" t="s">
        <v>1588</v>
      </c>
      <c r="I524" s="4" t="s">
        <v>52</v>
      </c>
      <c r="L524" s="4" t="s">
        <v>1589</v>
      </c>
      <c r="M524" s="4" t="s">
        <v>1587</v>
      </c>
      <c r="N524" s="4">
        <v>259</v>
      </c>
      <c r="O524" s="4" t="s">
        <v>1590</v>
      </c>
    </row>
    <row r="525" spans="1:15" ht="15.75" customHeight="1">
      <c r="A525" s="4" t="s">
        <v>49</v>
      </c>
      <c r="B525" s="4">
        <v>539527</v>
      </c>
      <c r="C525" s="4">
        <v>540429</v>
      </c>
      <c r="E525" s="4" t="s">
        <v>55</v>
      </c>
      <c r="F525" s="4" t="s">
        <v>1591</v>
      </c>
      <c r="G525" s="4" t="s">
        <v>1592</v>
      </c>
      <c r="I525" s="4" t="s">
        <v>52</v>
      </c>
      <c r="L525" s="4" t="s">
        <v>1593</v>
      </c>
      <c r="M525" s="4" t="s">
        <v>1591</v>
      </c>
      <c r="N525" s="4">
        <v>300</v>
      </c>
      <c r="O525" s="4" t="s">
        <v>1594</v>
      </c>
    </row>
    <row r="526" spans="1:15" ht="15.75" customHeight="1">
      <c r="A526" s="4" t="s">
        <v>49</v>
      </c>
      <c r="B526" s="4">
        <v>540426</v>
      </c>
      <c r="C526" s="4">
        <v>540815</v>
      </c>
      <c r="E526" s="4" t="s">
        <v>55</v>
      </c>
      <c r="F526" s="4" t="s">
        <v>1595</v>
      </c>
      <c r="I526" s="4" t="s">
        <v>52</v>
      </c>
      <c r="L526" s="4" t="s">
        <v>1596</v>
      </c>
      <c r="M526" s="4" t="s">
        <v>1595</v>
      </c>
      <c r="N526" s="4">
        <v>129</v>
      </c>
      <c r="O526" s="4" t="s">
        <v>1597</v>
      </c>
    </row>
    <row r="527" spans="1:15" ht="15.75" customHeight="1">
      <c r="A527" s="4" t="s">
        <v>49</v>
      </c>
      <c r="B527" s="4">
        <v>540817</v>
      </c>
      <c r="C527" s="4">
        <v>541215</v>
      </c>
      <c r="E527" s="4" t="s">
        <v>55</v>
      </c>
      <c r="F527" s="4" t="s">
        <v>248</v>
      </c>
      <c r="I527" s="4" t="s">
        <v>52</v>
      </c>
      <c r="L527" s="4" t="s">
        <v>1598</v>
      </c>
      <c r="M527" s="4" t="s">
        <v>248</v>
      </c>
      <c r="N527" s="4">
        <v>132</v>
      </c>
      <c r="O527" s="4" t="s">
        <v>1599</v>
      </c>
    </row>
    <row r="528" spans="1:15" ht="15.75" customHeight="1">
      <c r="A528" s="4" t="s">
        <v>49</v>
      </c>
      <c r="B528" s="4">
        <v>541199</v>
      </c>
      <c r="C528" s="4">
        <v>541657</v>
      </c>
      <c r="E528" s="4" t="s">
        <v>55</v>
      </c>
      <c r="F528" s="4" t="s">
        <v>1600</v>
      </c>
      <c r="G528" s="4" t="s">
        <v>1601</v>
      </c>
      <c r="I528" s="4" t="s">
        <v>52</v>
      </c>
      <c r="L528" s="4" t="s">
        <v>1602</v>
      </c>
      <c r="M528" s="4" t="s">
        <v>1600</v>
      </c>
      <c r="N528" s="4">
        <v>152</v>
      </c>
      <c r="O528" s="4" t="s">
        <v>1603</v>
      </c>
    </row>
    <row r="529" spans="1:15" ht="15.75" customHeight="1">
      <c r="A529" s="4" t="s">
        <v>49</v>
      </c>
      <c r="B529" s="4">
        <v>541661</v>
      </c>
      <c r="C529" s="4">
        <v>542647</v>
      </c>
      <c r="E529" s="4" t="s">
        <v>55</v>
      </c>
      <c r="F529" s="4" t="s">
        <v>1604</v>
      </c>
      <c r="I529" s="4" t="s">
        <v>52</v>
      </c>
      <c r="L529" s="4" t="s">
        <v>1605</v>
      </c>
      <c r="M529" s="4" t="s">
        <v>1604</v>
      </c>
      <c r="N529" s="4">
        <v>328</v>
      </c>
      <c r="O529" s="4" t="s">
        <v>1606</v>
      </c>
    </row>
    <row r="530" spans="1:15" ht="15.75" customHeight="1">
      <c r="A530" s="4" t="s">
        <v>49</v>
      </c>
      <c r="B530" s="4">
        <v>543096</v>
      </c>
      <c r="C530" s="4">
        <v>543530</v>
      </c>
      <c r="E530" s="4" t="s">
        <v>55</v>
      </c>
      <c r="F530" s="4" t="s">
        <v>1607</v>
      </c>
      <c r="I530" s="4" t="s">
        <v>52</v>
      </c>
      <c r="L530" s="4" t="s">
        <v>1608</v>
      </c>
      <c r="M530" s="4" t="s">
        <v>1607</v>
      </c>
      <c r="N530" s="4">
        <v>144</v>
      </c>
      <c r="O530" s="4" t="s">
        <v>1609</v>
      </c>
    </row>
    <row r="531" spans="1:15" ht="15.75" customHeight="1">
      <c r="A531" s="4" t="s">
        <v>49</v>
      </c>
      <c r="B531" s="4">
        <v>543559</v>
      </c>
      <c r="C531" s="4">
        <v>543735</v>
      </c>
      <c r="E531" s="4" t="s">
        <v>55</v>
      </c>
      <c r="F531" s="4" t="s">
        <v>1610</v>
      </c>
      <c r="G531" s="4" t="s">
        <v>1611</v>
      </c>
      <c r="I531" s="4" t="s">
        <v>52</v>
      </c>
      <c r="L531" s="4" t="s">
        <v>1612</v>
      </c>
      <c r="M531" s="4" t="s">
        <v>1610</v>
      </c>
      <c r="N531" s="4">
        <v>58</v>
      </c>
      <c r="O531" s="4" t="s">
        <v>1613</v>
      </c>
    </row>
    <row r="532" spans="1:15" ht="15.75" customHeight="1">
      <c r="A532" s="4" t="s">
        <v>49</v>
      </c>
      <c r="B532" s="4">
        <v>544039</v>
      </c>
      <c r="C532" s="4">
        <v>544869</v>
      </c>
      <c r="E532" s="4" t="s">
        <v>50</v>
      </c>
      <c r="F532" s="4" t="s">
        <v>1614</v>
      </c>
      <c r="I532" s="4" t="s">
        <v>52</v>
      </c>
      <c r="L532" s="4" t="s">
        <v>1615</v>
      </c>
      <c r="M532" s="4" t="s">
        <v>1614</v>
      </c>
      <c r="N532" s="4">
        <v>276</v>
      </c>
      <c r="O532" s="4" t="s">
        <v>1616</v>
      </c>
    </row>
    <row r="533" spans="1:15" ht="15.75" customHeight="1">
      <c r="A533" s="4" t="s">
        <v>49</v>
      </c>
      <c r="B533" s="4">
        <v>544866</v>
      </c>
      <c r="C533" s="4">
        <v>545753</v>
      </c>
      <c r="E533" s="4" t="s">
        <v>55</v>
      </c>
      <c r="F533" s="4" t="s">
        <v>1617</v>
      </c>
      <c r="I533" s="4" t="s">
        <v>52</v>
      </c>
      <c r="L533" s="4" t="s">
        <v>1618</v>
      </c>
      <c r="M533" s="4" t="s">
        <v>1617</v>
      </c>
      <c r="N533" s="4">
        <v>295</v>
      </c>
      <c r="O533" s="4" t="s">
        <v>1619</v>
      </c>
    </row>
    <row r="534" spans="1:15" ht="15.75" customHeight="1">
      <c r="A534" s="4" t="s">
        <v>49</v>
      </c>
      <c r="B534" s="4">
        <v>545889</v>
      </c>
      <c r="C534" s="4">
        <v>546809</v>
      </c>
      <c r="E534" s="4" t="s">
        <v>55</v>
      </c>
      <c r="F534" s="4" t="s">
        <v>1199</v>
      </c>
      <c r="I534" s="4" t="s">
        <v>52</v>
      </c>
      <c r="L534" s="4" t="s">
        <v>1620</v>
      </c>
      <c r="M534" s="4" t="s">
        <v>1199</v>
      </c>
      <c r="N534" s="4">
        <v>306</v>
      </c>
      <c r="O534" s="4" t="s">
        <v>1621</v>
      </c>
    </row>
    <row r="535" spans="1:15" ht="15.75" customHeight="1">
      <c r="A535" s="4" t="s">
        <v>49</v>
      </c>
      <c r="B535" s="4">
        <v>546901</v>
      </c>
      <c r="C535" s="4">
        <v>547353</v>
      </c>
      <c r="E535" s="4" t="s">
        <v>55</v>
      </c>
      <c r="F535" s="4" t="s">
        <v>1622</v>
      </c>
      <c r="G535" s="4" t="s">
        <v>1623</v>
      </c>
      <c r="I535" s="4" t="s">
        <v>52</v>
      </c>
      <c r="L535" s="4" t="s">
        <v>1624</v>
      </c>
      <c r="M535" s="4" t="s">
        <v>1622</v>
      </c>
      <c r="N535" s="4">
        <v>150</v>
      </c>
      <c r="O535" s="4" t="s">
        <v>1625</v>
      </c>
    </row>
    <row r="536" spans="1:15" ht="15.75" customHeight="1">
      <c r="A536" s="4" t="s">
        <v>49</v>
      </c>
      <c r="B536" s="4">
        <v>547444</v>
      </c>
      <c r="C536" s="4">
        <v>549249</v>
      </c>
      <c r="E536" s="4" t="s">
        <v>55</v>
      </c>
      <c r="F536" s="4" t="s">
        <v>1626</v>
      </c>
      <c r="G536" s="4" t="s">
        <v>1627</v>
      </c>
      <c r="I536" s="4" t="s">
        <v>52</v>
      </c>
      <c r="L536" s="4" t="s">
        <v>1628</v>
      </c>
      <c r="M536" s="4" t="s">
        <v>1626</v>
      </c>
      <c r="N536" s="4">
        <v>601</v>
      </c>
      <c r="O536" s="4" t="s">
        <v>1629</v>
      </c>
    </row>
    <row r="537" spans="1:15" ht="15.75" customHeight="1">
      <c r="A537" s="4" t="s">
        <v>49</v>
      </c>
      <c r="B537" s="4">
        <v>549251</v>
      </c>
      <c r="C537" s="4">
        <v>550534</v>
      </c>
      <c r="E537" s="4" t="s">
        <v>55</v>
      </c>
      <c r="F537" s="4" t="s">
        <v>1630</v>
      </c>
      <c r="G537" s="4" t="s">
        <v>1631</v>
      </c>
      <c r="I537" s="4" t="s">
        <v>52</v>
      </c>
      <c r="L537" s="4" t="s">
        <v>1632</v>
      </c>
      <c r="M537" s="4" t="s">
        <v>1630</v>
      </c>
      <c r="N537" s="4">
        <v>427</v>
      </c>
      <c r="O537" s="4" t="s">
        <v>1633</v>
      </c>
    </row>
    <row r="538" spans="1:15" ht="15.75" customHeight="1">
      <c r="A538" s="4" t="s">
        <v>49</v>
      </c>
      <c r="B538" s="4">
        <v>551054</v>
      </c>
      <c r="C538" s="4">
        <v>551380</v>
      </c>
      <c r="E538" s="4" t="s">
        <v>50</v>
      </c>
      <c r="F538" s="4" t="s">
        <v>1634</v>
      </c>
      <c r="I538" s="4" t="s">
        <v>52</v>
      </c>
      <c r="L538" s="4" t="s">
        <v>1635</v>
      </c>
      <c r="M538" s="4" t="s">
        <v>1634</v>
      </c>
      <c r="N538" s="4">
        <v>108</v>
      </c>
      <c r="O538" s="4" t="s">
        <v>1636</v>
      </c>
    </row>
    <row r="539" spans="1:15" ht="15.75" customHeight="1">
      <c r="A539" s="4" t="s">
        <v>49</v>
      </c>
      <c r="B539" s="4">
        <v>551431</v>
      </c>
      <c r="C539" s="4">
        <v>552348</v>
      </c>
      <c r="E539" s="4" t="s">
        <v>55</v>
      </c>
      <c r="F539" s="4" t="s">
        <v>1637</v>
      </c>
      <c r="I539" s="4" t="s">
        <v>52</v>
      </c>
      <c r="L539" s="4" t="s">
        <v>1638</v>
      </c>
      <c r="M539" s="4" t="s">
        <v>1637</v>
      </c>
      <c r="N539" s="4">
        <v>305</v>
      </c>
      <c r="O539" s="4" t="s">
        <v>1639</v>
      </c>
    </row>
    <row r="540" spans="1:15" ht="15.75" customHeight="1">
      <c r="A540" s="4" t="s">
        <v>49</v>
      </c>
      <c r="B540" s="4">
        <v>552345</v>
      </c>
      <c r="C540" s="4">
        <v>552788</v>
      </c>
      <c r="E540" s="4" t="s">
        <v>55</v>
      </c>
      <c r="F540" s="4" t="s">
        <v>56</v>
      </c>
      <c r="I540" s="4" t="s">
        <v>52</v>
      </c>
      <c r="L540" s="4" t="s">
        <v>1640</v>
      </c>
      <c r="M540" s="4" t="s">
        <v>56</v>
      </c>
      <c r="N540" s="4">
        <v>147</v>
      </c>
      <c r="O540" s="4" t="s">
        <v>1641</v>
      </c>
    </row>
    <row r="541" spans="1:15" ht="15.75" customHeight="1">
      <c r="A541" s="4" t="s">
        <v>49</v>
      </c>
      <c r="B541" s="4">
        <v>552864</v>
      </c>
      <c r="C541" s="4">
        <v>553703</v>
      </c>
      <c r="E541" s="4" t="s">
        <v>55</v>
      </c>
      <c r="F541" s="4" t="s">
        <v>92</v>
      </c>
      <c r="I541" s="4" t="s">
        <v>52</v>
      </c>
      <c r="L541" s="4" t="s">
        <v>1642</v>
      </c>
      <c r="M541" s="4" t="s">
        <v>92</v>
      </c>
      <c r="N541" s="4">
        <v>279</v>
      </c>
      <c r="O541" s="4" t="s">
        <v>1643</v>
      </c>
    </row>
    <row r="542" spans="1:15" ht="15.75" customHeight="1">
      <c r="A542" s="4" t="s">
        <v>49</v>
      </c>
      <c r="B542" s="4">
        <v>553810</v>
      </c>
      <c r="C542" s="4">
        <v>555315</v>
      </c>
      <c r="E542" s="4" t="s">
        <v>55</v>
      </c>
      <c r="F542" s="4" t="s">
        <v>76</v>
      </c>
      <c r="I542" s="4" t="s">
        <v>52</v>
      </c>
      <c r="L542" s="4" t="s">
        <v>1644</v>
      </c>
      <c r="M542" s="4" t="s">
        <v>76</v>
      </c>
      <c r="N542" s="4">
        <v>501</v>
      </c>
      <c r="O542" s="4" t="s">
        <v>1645</v>
      </c>
    </row>
    <row r="543" spans="1:15" ht="15.75" customHeight="1">
      <c r="A543" s="4" t="s">
        <v>49</v>
      </c>
      <c r="B543" s="4">
        <v>555312</v>
      </c>
      <c r="C543" s="4">
        <v>556187</v>
      </c>
      <c r="E543" s="4" t="s">
        <v>55</v>
      </c>
      <c r="F543" s="4" t="s">
        <v>73</v>
      </c>
      <c r="I543" s="4" t="s">
        <v>52</v>
      </c>
      <c r="L543" s="4" t="s">
        <v>1646</v>
      </c>
      <c r="M543" s="4" t="s">
        <v>73</v>
      </c>
      <c r="N543" s="4">
        <v>291</v>
      </c>
      <c r="O543" s="4" t="s">
        <v>1647</v>
      </c>
    </row>
    <row r="544" spans="1:15" ht="15.75" customHeight="1">
      <c r="A544" s="4" t="s">
        <v>49</v>
      </c>
      <c r="B544" s="4">
        <v>556433</v>
      </c>
      <c r="C544" s="4">
        <v>556873</v>
      </c>
      <c r="E544" s="4" t="s">
        <v>50</v>
      </c>
      <c r="F544" s="4" t="s">
        <v>1648</v>
      </c>
      <c r="I544" s="4" t="s">
        <v>52</v>
      </c>
      <c r="L544" s="4" t="s">
        <v>1649</v>
      </c>
      <c r="M544" s="4" t="s">
        <v>1648</v>
      </c>
      <c r="N544" s="4">
        <v>146</v>
      </c>
      <c r="O544" s="4" t="s">
        <v>1650</v>
      </c>
    </row>
    <row r="545" spans="1:15" ht="15.75" customHeight="1">
      <c r="A545" s="4" t="s">
        <v>49</v>
      </c>
      <c r="B545" s="4">
        <v>557012</v>
      </c>
      <c r="C545" s="4">
        <v>558334</v>
      </c>
      <c r="E545" s="4" t="s">
        <v>50</v>
      </c>
      <c r="F545" s="4" t="s">
        <v>1651</v>
      </c>
      <c r="I545" s="4" t="s">
        <v>52</v>
      </c>
      <c r="L545" s="4" t="s">
        <v>1652</v>
      </c>
      <c r="M545" s="4" t="s">
        <v>1651</v>
      </c>
      <c r="N545" s="4">
        <v>440</v>
      </c>
      <c r="O545" s="4" t="s">
        <v>1653</v>
      </c>
    </row>
    <row r="546" spans="1:15" ht="15.75" customHeight="1">
      <c r="A546" s="4" t="s">
        <v>49</v>
      </c>
      <c r="B546" s="4">
        <v>558407</v>
      </c>
      <c r="C546" s="4">
        <v>559033</v>
      </c>
      <c r="E546" s="4" t="s">
        <v>55</v>
      </c>
      <c r="F546" s="4" t="s">
        <v>1654</v>
      </c>
      <c r="I546" s="4" t="s">
        <v>52</v>
      </c>
      <c r="L546" s="4" t="s">
        <v>1655</v>
      </c>
      <c r="M546" s="4" t="s">
        <v>1654</v>
      </c>
      <c r="N546" s="4">
        <v>208</v>
      </c>
      <c r="O546" s="4" t="s">
        <v>1656</v>
      </c>
    </row>
    <row r="547" spans="1:15" ht="15.75" customHeight="1">
      <c r="A547" s="4" t="s">
        <v>49</v>
      </c>
      <c r="B547" s="4">
        <v>559033</v>
      </c>
      <c r="C547" s="4">
        <v>559479</v>
      </c>
      <c r="E547" s="4" t="s">
        <v>55</v>
      </c>
      <c r="F547" s="4" t="s">
        <v>1657</v>
      </c>
      <c r="G547" s="4" t="s">
        <v>1658</v>
      </c>
      <c r="I547" s="4" t="s">
        <v>52</v>
      </c>
      <c r="L547" s="4" t="s">
        <v>1659</v>
      </c>
      <c r="M547" s="4" t="s">
        <v>1657</v>
      </c>
      <c r="N547" s="4">
        <v>148</v>
      </c>
      <c r="O547" s="4" t="s">
        <v>1660</v>
      </c>
    </row>
    <row r="548" spans="1:15" ht="15.75" customHeight="1">
      <c r="A548" s="4" t="s">
        <v>49</v>
      </c>
      <c r="B548" s="4">
        <v>559600</v>
      </c>
      <c r="C548" s="4">
        <v>561828</v>
      </c>
      <c r="E548" s="4" t="s">
        <v>55</v>
      </c>
      <c r="F548" s="4" t="s">
        <v>1661</v>
      </c>
      <c r="I548" s="4" t="s">
        <v>52</v>
      </c>
      <c r="L548" s="4" t="s">
        <v>1662</v>
      </c>
      <c r="M548" s="4" t="s">
        <v>1661</v>
      </c>
      <c r="N548" s="4">
        <v>742</v>
      </c>
      <c r="O548" s="4" t="s">
        <v>1663</v>
      </c>
    </row>
    <row r="549" spans="1:15" ht="15.75" customHeight="1">
      <c r="A549" s="4" t="s">
        <v>49</v>
      </c>
      <c r="B549" s="4">
        <v>562065</v>
      </c>
      <c r="C549" s="4">
        <v>562388</v>
      </c>
      <c r="E549" s="4" t="s">
        <v>55</v>
      </c>
      <c r="F549" s="4" t="s">
        <v>56</v>
      </c>
      <c r="I549" s="4" t="s">
        <v>52</v>
      </c>
      <c r="L549" s="4" t="s">
        <v>1664</v>
      </c>
      <c r="M549" s="4" t="s">
        <v>56</v>
      </c>
      <c r="N549" s="4">
        <v>107</v>
      </c>
      <c r="O549" s="4" t="s">
        <v>1665</v>
      </c>
    </row>
    <row r="550" spans="1:15" ht="15.75" customHeight="1">
      <c r="A550" s="4" t="s">
        <v>49</v>
      </c>
      <c r="B550" s="4">
        <v>562415</v>
      </c>
      <c r="C550" s="4">
        <v>563155</v>
      </c>
      <c r="E550" s="4" t="s">
        <v>55</v>
      </c>
      <c r="F550" s="4" t="s">
        <v>1666</v>
      </c>
      <c r="I550" s="4" t="s">
        <v>52</v>
      </c>
      <c r="L550" s="4" t="s">
        <v>1667</v>
      </c>
      <c r="M550" s="4" t="s">
        <v>1666</v>
      </c>
      <c r="N550" s="4">
        <v>246</v>
      </c>
      <c r="O550" s="4" t="s">
        <v>1668</v>
      </c>
    </row>
    <row r="551" spans="1:15" ht="15.75" customHeight="1">
      <c r="A551" s="4" t="s">
        <v>49</v>
      </c>
      <c r="B551" s="4">
        <v>563288</v>
      </c>
      <c r="C551" s="4">
        <v>564235</v>
      </c>
      <c r="E551" s="4" t="s">
        <v>55</v>
      </c>
      <c r="F551" s="4" t="s">
        <v>1669</v>
      </c>
      <c r="G551" s="4" t="s">
        <v>1670</v>
      </c>
      <c r="I551" s="4" t="s">
        <v>52</v>
      </c>
      <c r="L551" s="4" t="s">
        <v>1671</v>
      </c>
      <c r="M551" s="4" t="s">
        <v>1669</v>
      </c>
      <c r="N551" s="4">
        <v>315</v>
      </c>
      <c r="O551" s="4" t="s">
        <v>1672</v>
      </c>
    </row>
    <row r="552" spans="1:15" ht="15.75" customHeight="1">
      <c r="A552" s="4" t="s">
        <v>49</v>
      </c>
      <c r="B552" s="4">
        <v>564352</v>
      </c>
      <c r="C552" s="4">
        <v>564846</v>
      </c>
      <c r="E552" s="4" t="s">
        <v>55</v>
      </c>
      <c r="F552" s="4" t="s">
        <v>1673</v>
      </c>
      <c r="I552" s="4" t="s">
        <v>52</v>
      </c>
      <c r="L552" s="4" t="s">
        <v>1674</v>
      </c>
      <c r="M552" s="4" t="s">
        <v>1673</v>
      </c>
      <c r="N552" s="4">
        <v>164</v>
      </c>
      <c r="O552" s="4" t="s">
        <v>1675</v>
      </c>
    </row>
    <row r="553" spans="1:15" ht="15.75" customHeight="1">
      <c r="A553" s="4" t="s">
        <v>49</v>
      </c>
      <c r="B553" s="4">
        <v>564843</v>
      </c>
      <c r="C553" s="4">
        <v>565448</v>
      </c>
      <c r="E553" s="4" t="s">
        <v>55</v>
      </c>
      <c r="F553" s="4" t="s">
        <v>1676</v>
      </c>
      <c r="I553" s="4" t="s">
        <v>52</v>
      </c>
      <c r="L553" s="4" t="s">
        <v>1677</v>
      </c>
      <c r="M553" s="4" t="s">
        <v>1676</v>
      </c>
      <c r="N553" s="4">
        <v>201</v>
      </c>
      <c r="O553" s="4" t="s">
        <v>1678</v>
      </c>
    </row>
    <row r="554" spans="1:15" ht="15.75" customHeight="1">
      <c r="A554" s="4" t="s">
        <v>49</v>
      </c>
      <c r="B554" s="4">
        <v>565554</v>
      </c>
      <c r="C554" s="4">
        <v>565802</v>
      </c>
      <c r="E554" s="4" t="s">
        <v>50</v>
      </c>
      <c r="F554" s="4" t="s">
        <v>56</v>
      </c>
      <c r="I554" s="4" t="s">
        <v>52</v>
      </c>
      <c r="L554" s="4" t="s">
        <v>1679</v>
      </c>
      <c r="M554" s="4" t="s">
        <v>56</v>
      </c>
      <c r="N554" s="4">
        <v>82</v>
      </c>
      <c r="O554" s="4" t="s">
        <v>1680</v>
      </c>
    </row>
    <row r="555" spans="1:15" ht="15.75" customHeight="1">
      <c r="A555" s="4" t="s">
        <v>49</v>
      </c>
      <c r="B555" s="4">
        <v>565872</v>
      </c>
      <c r="C555" s="4">
        <v>566258</v>
      </c>
      <c r="E555" s="4" t="s">
        <v>55</v>
      </c>
      <c r="F555" s="4" t="s">
        <v>1681</v>
      </c>
      <c r="I555" s="4" t="s">
        <v>52</v>
      </c>
      <c r="L555" s="4" t="s">
        <v>1682</v>
      </c>
      <c r="M555" s="4" t="s">
        <v>1681</v>
      </c>
      <c r="N555" s="4">
        <v>128</v>
      </c>
      <c r="O555" s="4" t="s">
        <v>1683</v>
      </c>
    </row>
    <row r="556" spans="1:15" ht="15.75" customHeight="1">
      <c r="A556" s="4" t="s">
        <v>49</v>
      </c>
      <c r="B556" s="4">
        <v>566609</v>
      </c>
      <c r="C556" s="4">
        <v>568024</v>
      </c>
      <c r="E556" s="4" t="s">
        <v>55</v>
      </c>
      <c r="F556" s="4" t="s">
        <v>779</v>
      </c>
      <c r="I556" s="4" t="s">
        <v>52</v>
      </c>
      <c r="L556" s="4" t="s">
        <v>1684</v>
      </c>
      <c r="M556" s="4" t="s">
        <v>779</v>
      </c>
      <c r="N556" s="4">
        <v>471</v>
      </c>
      <c r="O556" s="4" t="s">
        <v>1685</v>
      </c>
    </row>
    <row r="557" spans="1:15" ht="15.75" customHeight="1">
      <c r="A557" s="4" t="s">
        <v>49</v>
      </c>
      <c r="B557" s="4">
        <v>568178</v>
      </c>
      <c r="C557" s="4">
        <v>569593</v>
      </c>
      <c r="E557" s="4" t="s">
        <v>55</v>
      </c>
      <c r="F557" s="4" t="s">
        <v>779</v>
      </c>
      <c r="I557" s="4" t="s">
        <v>52</v>
      </c>
      <c r="L557" s="4" t="s">
        <v>1686</v>
      </c>
      <c r="M557" s="4" t="s">
        <v>779</v>
      </c>
      <c r="N557" s="4">
        <v>471</v>
      </c>
      <c r="O557" s="4" t="s">
        <v>1687</v>
      </c>
    </row>
    <row r="558" spans="1:15" ht="15.75" customHeight="1">
      <c r="A558" s="4" t="s">
        <v>49</v>
      </c>
      <c r="B558" s="4">
        <v>569859</v>
      </c>
      <c r="C558" s="4">
        <v>570041</v>
      </c>
      <c r="E558" s="4" t="s">
        <v>55</v>
      </c>
      <c r="F558" s="4" t="s">
        <v>56</v>
      </c>
      <c r="I558" s="4" t="s">
        <v>52</v>
      </c>
      <c r="L558" s="4" t="s">
        <v>1688</v>
      </c>
      <c r="M558" s="4" t="s">
        <v>56</v>
      </c>
      <c r="N558" s="4">
        <v>60</v>
      </c>
      <c r="O558" s="4" t="s">
        <v>1689</v>
      </c>
    </row>
    <row r="559" spans="1:15" ht="15.75" customHeight="1">
      <c r="A559" s="4" t="s">
        <v>49</v>
      </c>
      <c r="B559" s="4">
        <v>570041</v>
      </c>
      <c r="C559" s="4">
        <v>570427</v>
      </c>
      <c r="E559" s="4" t="s">
        <v>55</v>
      </c>
      <c r="F559" s="4" t="s">
        <v>56</v>
      </c>
      <c r="I559" s="4" t="s">
        <v>52</v>
      </c>
      <c r="L559" s="4" t="s">
        <v>1690</v>
      </c>
      <c r="M559" s="4" t="s">
        <v>56</v>
      </c>
      <c r="N559" s="4">
        <v>128</v>
      </c>
      <c r="O559" s="4" t="s">
        <v>1691</v>
      </c>
    </row>
    <row r="560" spans="1:15" ht="15.75" customHeight="1">
      <c r="A560" s="4" t="s">
        <v>49</v>
      </c>
      <c r="B560" s="4">
        <v>570607</v>
      </c>
      <c r="C560" s="4">
        <v>571095</v>
      </c>
      <c r="E560" s="4" t="s">
        <v>55</v>
      </c>
      <c r="F560" s="4" t="s">
        <v>51</v>
      </c>
      <c r="I560" s="4" t="s">
        <v>52</v>
      </c>
      <c r="L560" s="4" t="s">
        <v>1692</v>
      </c>
      <c r="M560" s="4" t="s">
        <v>51</v>
      </c>
      <c r="N560" s="4">
        <v>162</v>
      </c>
      <c r="O560" s="4" t="s">
        <v>1693</v>
      </c>
    </row>
    <row r="561" spans="1:15" ht="15.75" customHeight="1">
      <c r="A561" s="4" t="s">
        <v>49</v>
      </c>
      <c r="B561" s="4">
        <v>571263</v>
      </c>
      <c r="C561" s="4">
        <v>571350</v>
      </c>
      <c r="E561" s="4" t="s">
        <v>50</v>
      </c>
      <c r="F561" s="4" t="s">
        <v>1694</v>
      </c>
      <c r="I561" s="4" t="s">
        <v>302</v>
      </c>
      <c r="O561" s="4" t="s">
        <v>1695</v>
      </c>
    </row>
    <row r="562" spans="1:15" ht="15.75" customHeight="1">
      <c r="A562" s="4" t="s">
        <v>49</v>
      </c>
      <c r="B562" s="4">
        <v>572390</v>
      </c>
      <c r="C562" s="4">
        <v>572980</v>
      </c>
      <c r="E562" s="4" t="s">
        <v>55</v>
      </c>
      <c r="F562" s="4" t="s">
        <v>1696</v>
      </c>
      <c r="I562" s="4" t="s">
        <v>52</v>
      </c>
      <c r="L562" s="4" t="s">
        <v>1697</v>
      </c>
      <c r="M562" s="4" t="s">
        <v>1696</v>
      </c>
      <c r="N562" s="4">
        <v>196</v>
      </c>
      <c r="O562" s="4" t="s">
        <v>1698</v>
      </c>
    </row>
    <row r="563" spans="1:15" ht="15.75" customHeight="1">
      <c r="A563" s="4" t="s">
        <v>49</v>
      </c>
      <c r="B563" s="4">
        <v>572973</v>
      </c>
      <c r="C563" s="4">
        <v>573539</v>
      </c>
      <c r="E563" s="4" t="s">
        <v>55</v>
      </c>
      <c r="F563" s="4" t="s">
        <v>111</v>
      </c>
      <c r="I563" s="4" t="s">
        <v>52</v>
      </c>
      <c r="L563" s="4" t="s">
        <v>1699</v>
      </c>
      <c r="M563" s="4" t="s">
        <v>111</v>
      </c>
      <c r="N563" s="4">
        <v>188</v>
      </c>
      <c r="O563" s="4" t="s">
        <v>1700</v>
      </c>
    </row>
    <row r="564" spans="1:15" ht="15.75" customHeight="1">
      <c r="A564" s="4" t="s">
        <v>49</v>
      </c>
      <c r="B564" s="4">
        <v>573645</v>
      </c>
      <c r="C564" s="4">
        <v>574448</v>
      </c>
      <c r="E564" s="4" t="s">
        <v>55</v>
      </c>
      <c r="F564" s="4" t="s">
        <v>1701</v>
      </c>
      <c r="I564" s="4" t="s">
        <v>52</v>
      </c>
      <c r="L564" s="4" t="s">
        <v>1702</v>
      </c>
      <c r="M564" s="4" t="s">
        <v>1701</v>
      </c>
      <c r="N564" s="4">
        <v>267</v>
      </c>
      <c r="O564" s="4" t="s">
        <v>1703</v>
      </c>
    </row>
    <row r="565" spans="1:15" ht="15.75" customHeight="1">
      <c r="A565" s="4" t="s">
        <v>49</v>
      </c>
      <c r="B565" s="4">
        <v>574883</v>
      </c>
      <c r="C565" s="4">
        <v>575197</v>
      </c>
      <c r="E565" s="4" t="s">
        <v>55</v>
      </c>
      <c r="F565" s="4" t="s">
        <v>1704</v>
      </c>
      <c r="I565" s="4" t="s">
        <v>52</v>
      </c>
      <c r="L565" s="4" t="s">
        <v>1705</v>
      </c>
      <c r="M565" s="4" t="s">
        <v>1704</v>
      </c>
      <c r="N565" s="4">
        <v>104</v>
      </c>
      <c r="O565" s="4" t="s">
        <v>1706</v>
      </c>
    </row>
    <row r="566" spans="1:15" ht="15.75" customHeight="1">
      <c r="A566" s="4" t="s">
        <v>49</v>
      </c>
      <c r="B566" s="4">
        <v>575216</v>
      </c>
      <c r="C566" s="4">
        <v>575719</v>
      </c>
      <c r="E566" s="4" t="s">
        <v>55</v>
      </c>
      <c r="F566" s="4" t="s">
        <v>1707</v>
      </c>
      <c r="G566" s="4" t="s">
        <v>1708</v>
      </c>
      <c r="I566" s="4" t="s">
        <v>52</v>
      </c>
      <c r="L566" s="4" t="s">
        <v>1709</v>
      </c>
      <c r="M566" s="4" t="s">
        <v>1707</v>
      </c>
      <c r="N566" s="4">
        <v>167</v>
      </c>
      <c r="O566" s="4" t="s">
        <v>1710</v>
      </c>
    </row>
    <row r="567" spans="1:15" ht="15.75" customHeight="1">
      <c r="A567" s="4" t="s">
        <v>49</v>
      </c>
      <c r="B567" s="4">
        <v>576029</v>
      </c>
      <c r="C567" s="4">
        <v>576556</v>
      </c>
      <c r="E567" s="4" t="s">
        <v>55</v>
      </c>
      <c r="F567" s="4" t="s">
        <v>1711</v>
      </c>
      <c r="I567" s="4" t="s">
        <v>52</v>
      </c>
      <c r="L567" s="4" t="s">
        <v>1712</v>
      </c>
      <c r="M567" s="4" t="s">
        <v>1711</v>
      </c>
      <c r="N567" s="4">
        <v>175</v>
      </c>
      <c r="O567" s="4" t="s">
        <v>1713</v>
      </c>
    </row>
    <row r="568" spans="1:15" ht="15.75" customHeight="1">
      <c r="A568" s="4" t="s">
        <v>49</v>
      </c>
      <c r="B568" s="4">
        <v>576553</v>
      </c>
      <c r="C568" s="4">
        <v>578847</v>
      </c>
      <c r="E568" s="4" t="s">
        <v>55</v>
      </c>
      <c r="F568" s="4" t="s">
        <v>1714</v>
      </c>
      <c r="G568" s="4" t="s">
        <v>1715</v>
      </c>
      <c r="I568" s="4" t="s">
        <v>52</v>
      </c>
      <c r="L568" s="4" t="s">
        <v>1716</v>
      </c>
      <c r="M568" s="4" t="s">
        <v>1714</v>
      </c>
      <c r="N568" s="4">
        <v>764</v>
      </c>
      <c r="O568" s="4" t="s">
        <v>1717</v>
      </c>
    </row>
    <row r="569" spans="1:15" ht="15.75" customHeight="1">
      <c r="A569" s="4" t="s">
        <v>49</v>
      </c>
      <c r="B569" s="4">
        <v>579122</v>
      </c>
      <c r="C569" s="4">
        <v>579493</v>
      </c>
      <c r="E569" s="4" t="s">
        <v>50</v>
      </c>
      <c r="F569" s="4" t="s">
        <v>56</v>
      </c>
      <c r="I569" s="4" t="s">
        <v>52</v>
      </c>
      <c r="L569" s="4" t="s">
        <v>1718</v>
      </c>
      <c r="M569" s="4" t="s">
        <v>56</v>
      </c>
      <c r="N569" s="4">
        <v>123</v>
      </c>
      <c r="O569" s="4" t="s">
        <v>1719</v>
      </c>
    </row>
    <row r="570" spans="1:15" ht="15.75" customHeight="1">
      <c r="A570" s="4" t="s">
        <v>49</v>
      </c>
      <c r="B570" s="4">
        <v>579817</v>
      </c>
      <c r="C570" s="4">
        <v>580293</v>
      </c>
      <c r="E570" s="4" t="s">
        <v>50</v>
      </c>
      <c r="F570" s="4" t="s">
        <v>1720</v>
      </c>
      <c r="I570" s="4" t="s">
        <v>52</v>
      </c>
      <c r="L570" s="4" t="s">
        <v>1721</v>
      </c>
      <c r="M570" s="4" t="s">
        <v>1720</v>
      </c>
      <c r="N570" s="4">
        <v>158</v>
      </c>
      <c r="O570" s="4" t="s">
        <v>1722</v>
      </c>
    </row>
    <row r="571" spans="1:15" ht="15.75" customHeight="1">
      <c r="A571" s="4" t="s">
        <v>49</v>
      </c>
      <c r="B571" s="4">
        <v>580299</v>
      </c>
      <c r="C571" s="4">
        <v>580532</v>
      </c>
      <c r="E571" s="4" t="s">
        <v>50</v>
      </c>
      <c r="F571" s="4" t="s">
        <v>56</v>
      </c>
      <c r="I571" s="4" t="s">
        <v>52</v>
      </c>
      <c r="L571" s="4" t="s">
        <v>1723</v>
      </c>
      <c r="M571" s="4" t="s">
        <v>56</v>
      </c>
      <c r="N571" s="4">
        <v>77</v>
      </c>
      <c r="O571" s="4" t="s">
        <v>1724</v>
      </c>
    </row>
    <row r="572" spans="1:15" ht="15.75" customHeight="1">
      <c r="A572" s="4" t="s">
        <v>49</v>
      </c>
      <c r="B572" s="4">
        <v>580625</v>
      </c>
      <c r="C572" s="4">
        <v>582463</v>
      </c>
      <c r="E572" s="4" t="s">
        <v>55</v>
      </c>
      <c r="F572" s="4" t="s">
        <v>1725</v>
      </c>
      <c r="G572" s="4" t="s">
        <v>1726</v>
      </c>
      <c r="I572" s="4" t="s">
        <v>52</v>
      </c>
      <c r="L572" s="4" t="s">
        <v>1727</v>
      </c>
      <c r="M572" s="4" t="s">
        <v>1725</v>
      </c>
      <c r="N572" s="4">
        <v>612</v>
      </c>
      <c r="O572" s="4" t="s">
        <v>1728</v>
      </c>
    </row>
    <row r="573" spans="1:15" ht="15.75" customHeight="1">
      <c r="A573" s="4" t="s">
        <v>49</v>
      </c>
      <c r="B573" s="4">
        <v>582640</v>
      </c>
      <c r="C573" s="4">
        <v>583803</v>
      </c>
      <c r="E573" s="4" t="s">
        <v>55</v>
      </c>
      <c r="F573" s="4" t="s">
        <v>1729</v>
      </c>
      <c r="G573" s="4" t="s">
        <v>1730</v>
      </c>
      <c r="I573" s="4" t="s">
        <v>52</v>
      </c>
      <c r="L573" s="4" t="s">
        <v>1731</v>
      </c>
      <c r="M573" s="4" t="s">
        <v>1729</v>
      </c>
      <c r="N573" s="4">
        <v>387</v>
      </c>
      <c r="O573" s="4" t="s">
        <v>1732</v>
      </c>
    </row>
    <row r="574" spans="1:15" ht="15.75" customHeight="1">
      <c r="A574" s="4" t="s">
        <v>49</v>
      </c>
      <c r="B574" s="4">
        <v>583916</v>
      </c>
      <c r="C574" s="4">
        <v>585790</v>
      </c>
      <c r="E574" s="4" t="s">
        <v>55</v>
      </c>
      <c r="F574" s="4" t="s">
        <v>1733</v>
      </c>
      <c r="G574" s="4" t="s">
        <v>1734</v>
      </c>
      <c r="I574" s="4" t="s">
        <v>52</v>
      </c>
      <c r="L574" s="4" t="s">
        <v>1735</v>
      </c>
      <c r="M574" s="4" t="s">
        <v>1733</v>
      </c>
      <c r="N574" s="4">
        <v>624</v>
      </c>
      <c r="O574" s="4" t="s">
        <v>1736</v>
      </c>
    </row>
    <row r="575" spans="1:15" ht="15.75" customHeight="1">
      <c r="A575" s="4" t="s">
        <v>49</v>
      </c>
      <c r="B575" s="4">
        <v>585820</v>
      </c>
      <c r="C575" s="4">
        <v>586410</v>
      </c>
      <c r="E575" s="4" t="s">
        <v>55</v>
      </c>
      <c r="F575" s="4" t="s">
        <v>1737</v>
      </c>
      <c r="G575" s="4" t="s">
        <v>1738</v>
      </c>
      <c r="I575" s="4" t="s">
        <v>52</v>
      </c>
      <c r="L575" s="4" t="s">
        <v>1739</v>
      </c>
      <c r="M575" s="4" t="s">
        <v>1737</v>
      </c>
      <c r="N575" s="4">
        <v>196</v>
      </c>
      <c r="O575" s="4" t="s">
        <v>1740</v>
      </c>
    </row>
    <row r="576" spans="1:15" ht="15.75" customHeight="1">
      <c r="A576" s="4" t="s">
        <v>49</v>
      </c>
      <c r="B576" s="4">
        <v>586587</v>
      </c>
      <c r="C576" s="4">
        <v>587633</v>
      </c>
      <c r="E576" s="4" t="s">
        <v>55</v>
      </c>
      <c r="F576" s="4" t="s">
        <v>1741</v>
      </c>
      <c r="G576" s="4" t="s">
        <v>1742</v>
      </c>
      <c r="I576" s="4" t="s">
        <v>52</v>
      </c>
      <c r="L576" s="4" t="s">
        <v>1743</v>
      </c>
      <c r="M576" s="4" t="s">
        <v>1741</v>
      </c>
      <c r="N576" s="4">
        <v>348</v>
      </c>
      <c r="O576" s="4" t="s">
        <v>1744</v>
      </c>
    </row>
    <row r="577" spans="1:15" ht="15.75" customHeight="1">
      <c r="A577" s="4" t="s">
        <v>49</v>
      </c>
      <c r="B577" s="4">
        <v>587796</v>
      </c>
      <c r="C577" s="4">
        <v>588941</v>
      </c>
      <c r="E577" s="4" t="s">
        <v>55</v>
      </c>
      <c r="F577" s="4" t="s">
        <v>1745</v>
      </c>
      <c r="G577" s="4" t="s">
        <v>1746</v>
      </c>
      <c r="I577" s="4" t="s">
        <v>52</v>
      </c>
      <c r="L577" s="4" t="s">
        <v>1747</v>
      </c>
      <c r="M577" s="4" t="s">
        <v>1745</v>
      </c>
      <c r="N577" s="4">
        <v>381</v>
      </c>
      <c r="O577" s="4" t="s">
        <v>1748</v>
      </c>
    </row>
    <row r="578" spans="1:15" ht="15.75" customHeight="1">
      <c r="A578" s="4" t="s">
        <v>49</v>
      </c>
      <c r="B578" s="4">
        <v>588943</v>
      </c>
      <c r="C578" s="4">
        <v>589890</v>
      </c>
      <c r="E578" s="4" t="s">
        <v>55</v>
      </c>
      <c r="F578" s="4" t="s">
        <v>1749</v>
      </c>
      <c r="G578" s="4" t="s">
        <v>1750</v>
      </c>
      <c r="I578" s="4" t="s">
        <v>52</v>
      </c>
      <c r="L578" s="4" t="s">
        <v>1751</v>
      </c>
      <c r="M578" s="4" t="s">
        <v>1749</v>
      </c>
      <c r="N578" s="4">
        <v>315</v>
      </c>
      <c r="O578" s="4" t="s">
        <v>1752</v>
      </c>
    </row>
    <row r="579" spans="1:15" ht="15.75" customHeight="1">
      <c r="A579" s="4" t="s">
        <v>49</v>
      </c>
      <c r="B579" s="4">
        <v>589897</v>
      </c>
      <c r="C579" s="4">
        <v>590802</v>
      </c>
      <c r="E579" s="4" t="s">
        <v>55</v>
      </c>
      <c r="F579" s="4" t="s">
        <v>1753</v>
      </c>
      <c r="G579" s="4" t="s">
        <v>1754</v>
      </c>
      <c r="I579" s="4" t="s">
        <v>52</v>
      </c>
      <c r="L579" s="4" t="s">
        <v>1755</v>
      </c>
      <c r="M579" s="4" t="s">
        <v>1753</v>
      </c>
      <c r="N579" s="4">
        <v>301</v>
      </c>
      <c r="O579" s="4" t="s">
        <v>1756</v>
      </c>
    </row>
    <row r="580" spans="1:15" ht="15.75" customHeight="1">
      <c r="A580" s="4" t="s">
        <v>49</v>
      </c>
      <c r="B580" s="4">
        <v>590814</v>
      </c>
      <c r="C580" s="4">
        <v>591605</v>
      </c>
      <c r="E580" s="4" t="s">
        <v>55</v>
      </c>
      <c r="F580" s="4" t="s">
        <v>1757</v>
      </c>
      <c r="I580" s="4" t="s">
        <v>52</v>
      </c>
      <c r="L580" s="4" t="s">
        <v>1758</v>
      </c>
      <c r="M580" s="4" t="s">
        <v>1757</v>
      </c>
      <c r="N580" s="4">
        <v>263</v>
      </c>
      <c r="O580" s="4" t="s">
        <v>1759</v>
      </c>
    </row>
    <row r="581" spans="1:15" ht="15.75" customHeight="1">
      <c r="A581" s="4" t="s">
        <v>49</v>
      </c>
      <c r="B581" s="4">
        <v>591910</v>
      </c>
      <c r="C581" s="4">
        <v>592263</v>
      </c>
      <c r="E581" s="4" t="s">
        <v>55</v>
      </c>
      <c r="F581" s="4" t="s">
        <v>1760</v>
      </c>
      <c r="G581" s="4" t="s">
        <v>1761</v>
      </c>
      <c r="I581" s="4" t="s">
        <v>52</v>
      </c>
      <c r="L581" s="4" t="s">
        <v>1762</v>
      </c>
      <c r="M581" s="4" t="s">
        <v>1760</v>
      </c>
      <c r="N581" s="4">
        <v>117</v>
      </c>
      <c r="O581" s="4" t="s">
        <v>1763</v>
      </c>
    </row>
    <row r="582" spans="1:15" ht="15.75" customHeight="1">
      <c r="A582" s="4" t="s">
        <v>49</v>
      </c>
      <c r="B582" s="4">
        <v>592324</v>
      </c>
      <c r="C582" s="4">
        <v>595155</v>
      </c>
      <c r="E582" s="4" t="s">
        <v>55</v>
      </c>
      <c r="F582" s="4" t="s">
        <v>1764</v>
      </c>
      <c r="G582" s="4" t="s">
        <v>1765</v>
      </c>
      <c r="I582" s="4" t="s">
        <v>52</v>
      </c>
      <c r="L582" s="4" t="s">
        <v>1766</v>
      </c>
      <c r="M582" s="4" t="s">
        <v>1764</v>
      </c>
      <c r="N582" s="4">
        <v>943</v>
      </c>
      <c r="O582" s="4" t="s">
        <v>1767</v>
      </c>
    </row>
    <row r="583" spans="1:15" ht="15.75" customHeight="1">
      <c r="A583" s="4" t="s">
        <v>49</v>
      </c>
      <c r="B583" s="4">
        <v>595176</v>
      </c>
      <c r="C583" s="4">
        <v>595475</v>
      </c>
      <c r="E583" s="4" t="s">
        <v>55</v>
      </c>
      <c r="F583" s="4" t="s">
        <v>1768</v>
      </c>
      <c r="I583" s="4" t="s">
        <v>52</v>
      </c>
      <c r="L583" s="4" t="s">
        <v>1769</v>
      </c>
      <c r="M583" s="4" t="s">
        <v>1768</v>
      </c>
      <c r="N583" s="4">
        <v>99</v>
      </c>
      <c r="O583" s="4" t="s">
        <v>1770</v>
      </c>
    </row>
    <row r="584" spans="1:15" ht="15.75" customHeight="1">
      <c r="A584" s="4" t="s">
        <v>49</v>
      </c>
      <c r="B584" s="4">
        <v>595478</v>
      </c>
      <c r="C584" s="4">
        <v>595771</v>
      </c>
      <c r="E584" s="4" t="s">
        <v>55</v>
      </c>
      <c r="F584" s="4" t="s">
        <v>1771</v>
      </c>
      <c r="G584" s="4" t="s">
        <v>1772</v>
      </c>
      <c r="I584" s="4" t="s">
        <v>52</v>
      </c>
      <c r="L584" s="4" t="s">
        <v>1773</v>
      </c>
      <c r="M584" s="4" t="s">
        <v>1771</v>
      </c>
      <c r="N584" s="4">
        <v>97</v>
      </c>
      <c r="O584" s="4" t="s">
        <v>1774</v>
      </c>
    </row>
    <row r="585" spans="1:15" ht="15.75" customHeight="1">
      <c r="A585" s="4" t="s">
        <v>49</v>
      </c>
      <c r="B585" s="4">
        <v>595783</v>
      </c>
      <c r="C585" s="4">
        <v>597036</v>
      </c>
      <c r="E585" s="4" t="s">
        <v>55</v>
      </c>
      <c r="F585" s="4" t="s">
        <v>1775</v>
      </c>
      <c r="G585" s="4" t="s">
        <v>1776</v>
      </c>
      <c r="I585" s="4" t="s">
        <v>52</v>
      </c>
      <c r="L585" s="4" t="s">
        <v>1777</v>
      </c>
      <c r="M585" s="4" t="s">
        <v>1775</v>
      </c>
      <c r="N585" s="4">
        <v>417</v>
      </c>
      <c r="O585" s="4" t="s">
        <v>1778</v>
      </c>
    </row>
    <row r="586" spans="1:15" ht="15.75" customHeight="1">
      <c r="A586" s="4" t="s">
        <v>49</v>
      </c>
      <c r="B586" s="4">
        <v>597053</v>
      </c>
      <c r="C586" s="4">
        <v>597532</v>
      </c>
      <c r="E586" s="4" t="s">
        <v>55</v>
      </c>
      <c r="F586" s="4" t="s">
        <v>1779</v>
      </c>
      <c r="G586" s="4" t="s">
        <v>1780</v>
      </c>
      <c r="I586" s="4" t="s">
        <v>52</v>
      </c>
      <c r="L586" s="4" t="s">
        <v>1781</v>
      </c>
      <c r="M586" s="4" t="s">
        <v>1779</v>
      </c>
      <c r="N586" s="4">
        <v>159</v>
      </c>
      <c r="O586" s="4" t="s">
        <v>1782</v>
      </c>
    </row>
    <row r="587" spans="1:15" ht="15.75" customHeight="1">
      <c r="A587" s="4" t="s">
        <v>49</v>
      </c>
      <c r="B587" s="4">
        <v>597787</v>
      </c>
      <c r="C587" s="4">
        <v>602121</v>
      </c>
      <c r="E587" s="4" t="s">
        <v>55</v>
      </c>
      <c r="F587" s="4" t="s">
        <v>1783</v>
      </c>
      <c r="I587" s="4" t="s">
        <v>52</v>
      </c>
      <c r="L587" s="4" t="s">
        <v>1784</v>
      </c>
      <c r="M587" s="4" t="s">
        <v>1783</v>
      </c>
      <c r="N587" s="4">
        <v>1444</v>
      </c>
      <c r="O587" s="4" t="s">
        <v>1785</v>
      </c>
    </row>
    <row r="588" spans="1:15" ht="15.75" customHeight="1">
      <c r="A588" s="4" t="s">
        <v>49</v>
      </c>
      <c r="B588" s="4">
        <v>602188</v>
      </c>
      <c r="C588" s="4">
        <v>603915</v>
      </c>
      <c r="E588" s="4" t="s">
        <v>55</v>
      </c>
      <c r="F588" s="4" t="s">
        <v>1786</v>
      </c>
      <c r="I588" s="4" t="s">
        <v>52</v>
      </c>
      <c r="L588" s="4" t="s">
        <v>1787</v>
      </c>
      <c r="M588" s="4" t="s">
        <v>1786</v>
      </c>
      <c r="N588" s="4">
        <v>575</v>
      </c>
      <c r="O588" s="4" t="s">
        <v>1788</v>
      </c>
    </row>
    <row r="589" spans="1:15" ht="15.75" customHeight="1">
      <c r="A589" s="4" t="s">
        <v>49</v>
      </c>
      <c r="B589" s="4">
        <v>603940</v>
      </c>
      <c r="C589" s="4">
        <v>605181</v>
      </c>
      <c r="E589" s="4" t="s">
        <v>55</v>
      </c>
      <c r="F589" s="4" t="s">
        <v>1789</v>
      </c>
      <c r="G589" s="4" t="s">
        <v>1790</v>
      </c>
      <c r="I589" s="4" t="s">
        <v>52</v>
      </c>
      <c r="L589" s="4" t="s">
        <v>1791</v>
      </c>
      <c r="M589" s="4" t="s">
        <v>1789</v>
      </c>
      <c r="N589" s="4">
        <v>413</v>
      </c>
      <c r="O589" s="4" t="s">
        <v>1792</v>
      </c>
    </row>
    <row r="590" spans="1:15" ht="15.75" customHeight="1">
      <c r="A590" s="4" t="s">
        <v>49</v>
      </c>
      <c r="B590" s="4">
        <v>605198</v>
      </c>
      <c r="C590" s="4">
        <v>605986</v>
      </c>
      <c r="E590" s="4" t="s">
        <v>55</v>
      </c>
      <c r="F590" s="4" t="s">
        <v>1793</v>
      </c>
      <c r="I590" s="4" t="s">
        <v>52</v>
      </c>
      <c r="L590" s="4" t="s">
        <v>1794</v>
      </c>
      <c r="M590" s="4" t="s">
        <v>1793</v>
      </c>
      <c r="N590" s="4">
        <v>262</v>
      </c>
      <c r="O590" s="4" t="s">
        <v>1795</v>
      </c>
    </row>
    <row r="591" spans="1:15" ht="15.75" customHeight="1">
      <c r="A591" s="4" t="s">
        <v>49</v>
      </c>
      <c r="B591" s="4">
        <v>606022</v>
      </c>
      <c r="C591" s="4">
        <v>606774</v>
      </c>
      <c r="E591" s="4" t="s">
        <v>55</v>
      </c>
      <c r="F591" s="4" t="s">
        <v>1796</v>
      </c>
      <c r="I591" s="4" t="s">
        <v>52</v>
      </c>
      <c r="L591" s="4" t="s">
        <v>1797</v>
      </c>
      <c r="M591" s="4" t="s">
        <v>1796</v>
      </c>
      <c r="N591" s="4">
        <v>250</v>
      </c>
      <c r="O591" s="4" t="s">
        <v>1798</v>
      </c>
    </row>
    <row r="592" spans="1:15" ht="15.75" customHeight="1">
      <c r="A592" s="4" t="s">
        <v>49</v>
      </c>
      <c r="B592" s="4">
        <v>607304</v>
      </c>
      <c r="C592" s="4">
        <v>607861</v>
      </c>
      <c r="E592" s="4" t="s">
        <v>55</v>
      </c>
      <c r="F592" s="4" t="s">
        <v>1799</v>
      </c>
      <c r="G592" s="4" t="s">
        <v>1800</v>
      </c>
      <c r="I592" s="4" t="s">
        <v>52</v>
      </c>
      <c r="L592" s="4" t="s">
        <v>1801</v>
      </c>
      <c r="M592" s="4" t="s">
        <v>1799</v>
      </c>
      <c r="N592" s="4">
        <v>185</v>
      </c>
      <c r="O592" s="4" t="s">
        <v>1802</v>
      </c>
    </row>
    <row r="593" spans="1:15" ht="15.75" customHeight="1">
      <c r="A593" s="4" t="s">
        <v>49</v>
      </c>
      <c r="B593" s="4">
        <v>607861</v>
      </c>
      <c r="C593" s="4">
        <v>608580</v>
      </c>
      <c r="E593" s="4" t="s">
        <v>55</v>
      </c>
      <c r="F593" s="4" t="s">
        <v>1803</v>
      </c>
      <c r="G593" s="4" t="s">
        <v>1804</v>
      </c>
      <c r="I593" s="4" t="s">
        <v>52</v>
      </c>
      <c r="L593" s="4" t="s">
        <v>1805</v>
      </c>
      <c r="M593" s="4" t="s">
        <v>1803</v>
      </c>
      <c r="N593" s="4">
        <v>239</v>
      </c>
      <c r="O593" s="4" t="s">
        <v>1806</v>
      </c>
    </row>
    <row r="594" spans="1:15" ht="15.75" customHeight="1">
      <c r="A594" s="4" t="s">
        <v>49</v>
      </c>
      <c r="B594" s="4">
        <v>608817</v>
      </c>
      <c r="C594" s="4">
        <v>609698</v>
      </c>
      <c r="E594" s="4" t="s">
        <v>55</v>
      </c>
      <c r="F594" s="4" t="s">
        <v>1807</v>
      </c>
      <c r="G594" s="4" t="s">
        <v>1808</v>
      </c>
      <c r="I594" s="4" t="s">
        <v>52</v>
      </c>
      <c r="L594" s="4" t="s">
        <v>1809</v>
      </c>
      <c r="M594" s="4" t="s">
        <v>1807</v>
      </c>
      <c r="N594" s="4">
        <v>293</v>
      </c>
      <c r="O594" s="4" t="s">
        <v>1810</v>
      </c>
    </row>
    <row r="595" spans="1:15" ht="15.75" customHeight="1">
      <c r="A595" s="4" t="s">
        <v>49</v>
      </c>
      <c r="B595" s="4">
        <v>609783</v>
      </c>
      <c r="C595" s="4">
        <v>610571</v>
      </c>
      <c r="E595" s="4" t="s">
        <v>55</v>
      </c>
      <c r="F595" s="4" t="s">
        <v>1811</v>
      </c>
      <c r="G595" s="4" t="s">
        <v>1812</v>
      </c>
      <c r="I595" s="4" t="s">
        <v>52</v>
      </c>
      <c r="L595" s="4" t="s">
        <v>1813</v>
      </c>
      <c r="M595" s="4" t="s">
        <v>1811</v>
      </c>
      <c r="N595" s="4">
        <v>262</v>
      </c>
      <c r="O595" s="4" t="s">
        <v>1814</v>
      </c>
    </row>
    <row r="596" spans="1:15" ht="15.75" customHeight="1">
      <c r="A596" s="4" t="s">
        <v>49</v>
      </c>
      <c r="B596" s="4">
        <v>610959</v>
      </c>
      <c r="C596" s="4">
        <v>611228</v>
      </c>
      <c r="E596" s="4" t="s">
        <v>55</v>
      </c>
      <c r="F596" s="4" t="s">
        <v>1815</v>
      </c>
      <c r="I596" s="4" t="s">
        <v>52</v>
      </c>
      <c r="L596" s="4" t="s">
        <v>1816</v>
      </c>
      <c r="M596" s="4" t="s">
        <v>1815</v>
      </c>
      <c r="N596" s="4">
        <v>89</v>
      </c>
      <c r="O596" s="4" t="s">
        <v>1817</v>
      </c>
    </row>
    <row r="597" spans="1:15" ht="15.75" customHeight="1">
      <c r="A597" s="4" t="s">
        <v>49</v>
      </c>
      <c r="B597" s="4">
        <v>611218</v>
      </c>
      <c r="C597" s="4">
        <v>611952</v>
      </c>
      <c r="E597" s="4" t="s">
        <v>55</v>
      </c>
      <c r="F597" s="4" t="s">
        <v>1818</v>
      </c>
      <c r="I597" s="4" t="s">
        <v>52</v>
      </c>
      <c r="L597" s="4" t="s">
        <v>1819</v>
      </c>
      <c r="M597" s="4" t="s">
        <v>1818</v>
      </c>
      <c r="N597" s="4">
        <v>244</v>
      </c>
      <c r="O597" s="4" t="s">
        <v>1820</v>
      </c>
    </row>
    <row r="598" spans="1:15" ht="15.75" customHeight="1">
      <c r="A598" s="4" t="s">
        <v>49</v>
      </c>
      <c r="B598" s="4">
        <v>612034</v>
      </c>
      <c r="C598" s="4">
        <v>612684</v>
      </c>
      <c r="E598" s="4" t="s">
        <v>50</v>
      </c>
      <c r="F598" s="4" t="s">
        <v>169</v>
      </c>
      <c r="I598" s="4" t="s">
        <v>52</v>
      </c>
      <c r="L598" s="4" t="s">
        <v>1821</v>
      </c>
      <c r="M598" s="4" t="s">
        <v>169</v>
      </c>
      <c r="N598" s="4">
        <v>216</v>
      </c>
      <c r="O598" s="4" t="s">
        <v>1822</v>
      </c>
    </row>
    <row r="599" spans="1:15" ht="15.75" customHeight="1">
      <c r="A599" s="4" t="s">
        <v>49</v>
      </c>
      <c r="B599" s="4">
        <v>612741</v>
      </c>
      <c r="C599" s="4">
        <v>614135</v>
      </c>
      <c r="E599" s="4" t="s">
        <v>50</v>
      </c>
      <c r="F599" s="4" t="s">
        <v>166</v>
      </c>
      <c r="I599" s="4" t="s">
        <v>52</v>
      </c>
      <c r="L599" s="4" t="s">
        <v>1823</v>
      </c>
      <c r="M599" s="4" t="s">
        <v>166</v>
      </c>
      <c r="N599" s="4">
        <v>464</v>
      </c>
      <c r="O599" s="4" t="s">
        <v>1824</v>
      </c>
    </row>
    <row r="600" spans="1:15" ht="15.75" customHeight="1">
      <c r="A600" s="4" t="s">
        <v>49</v>
      </c>
      <c r="B600" s="4">
        <v>614166</v>
      </c>
      <c r="C600" s="4">
        <v>614957</v>
      </c>
      <c r="E600" s="4" t="s">
        <v>50</v>
      </c>
      <c r="F600" s="4" t="s">
        <v>1825</v>
      </c>
      <c r="I600" s="4" t="s">
        <v>52</v>
      </c>
      <c r="L600" s="4" t="s">
        <v>1826</v>
      </c>
      <c r="M600" s="4" t="s">
        <v>1825</v>
      </c>
      <c r="N600" s="4">
        <v>263</v>
      </c>
      <c r="O600" s="4" t="s">
        <v>1827</v>
      </c>
    </row>
    <row r="601" spans="1:15" ht="15.75" customHeight="1">
      <c r="A601" s="4" t="s">
        <v>49</v>
      </c>
      <c r="B601" s="4">
        <v>615053</v>
      </c>
      <c r="C601" s="4">
        <v>616846</v>
      </c>
      <c r="E601" s="4" t="s">
        <v>55</v>
      </c>
      <c r="F601" s="4" t="s">
        <v>73</v>
      </c>
      <c r="I601" s="4" t="s">
        <v>52</v>
      </c>
      <c r="L601" s="4" t="s">
        <v>1828</v>
      </c>
      <c r="M601" s="4" t="s">
        <v>73</v>
      </c>
      <c r="N601" s="4">
        <v>597</v>
      </c>
      <c r="O601" s="4" t="s">
        <v>1829</v>
      </c>
    </row>
    <row r="602" spans="1:15" ht="15.75" customHeight="1">
      <c r="A602" s="4" t="s">
        <v>49</v>
      </c>
      <c r="B602" s="4">
        <v>616836</v>
      </c>
      <c r="C602" s="4">
        <v>618593</v>
      </c>
      <c r="E602" s="4" t="s">
        <v>55</v>
      </c>
      <c r="F602" s="4" t="s">
        <v>73</v>
      </c>
      <c r="I602" s="4" t="s">
        <v>52</v>
      </c>
      <c r="L602" s="4" t="s">
        <v>1830</v>
      </c>
      <c r="M602" s="4" t="s">
        <v>73</v>
      </c>
      <c r="N602" s="4">
        <v>585</v>
      </c>
      <c r="O602" s="4" t="s">
        <v>1831</v>
      </c>
    </row>
    <row r="603" spans="1:15" ht="15.75" customHeight="1">
      <c r="A603" s="4" t="s">
        <v>49</v>
      </c>
      <c r="B603" s="4">
        <v>618735</v>
      </c>
      <c r="C603" s="4">
        <v>618956</v>
      </c>
      <c r="E603" s="4" t="s">
        <v>55</v>
      </c>
      <c r="F603" s="4" t="s">
        <v>1832</v>
      </c>
      <c r="I603" s="4" t="s">
        <v>52</v>
      </c>
      <c r="L603" s="4" t="s">
        <v>1833</v>
      </c>
      <c r="M603" s="4" t="s">
        <v>1832</v>
      </c>
      <c r="N603" s="4">
        <v>73</v>
      </c>
      <c r="O603" s="4" t="s">
        <v>1834</v>
      </c>
    </row>
    <row r="604" spans="1:15" ht="15.75" customHeight="1">
      <c r="A604" s="4" t="s">
        <v>49</v>
      </c>
      <c r="B604" s="4">
        <v>619017</v>
      </c>
      <c r="C604" s="4">
        <v>619262</v>
      </c>
      <c r="E604" s="4" t="s">
        <v>55</v>
      </c>
      <c r="F604" s="4" t="s">
        <v>1835</v>
      </c>
      <c r="I604" s="4" t="s">
        <v>52</v>
      </c>
      <c r="L604" s="4" t="s">
        <v>1836</v>
      </c>
      <c r="M604" s="4" t="s">
        <v>1835</v>
      </c>
      <c r="N604" s="4">
        <v>81</v>
      </c>
      <c r="O604" s="4" t="s">
        <v>1837</v>
      </c>
    </row>
    <row r="605" spans="1:15" ht="15.75" customHeight="1">
      <c r="A605" s="4" t="s">
        <v>49</v>
      </c>
      <c r="B605" s="4">
        <v>619295</v>
      </c>
      <c r="C605" s="4">
        <v>619471</v>
      </c>
      <c r="E605" s="4" t="s">
        <v>55</v>
      </c>
      <c r="F605" s="4" t="s">
        <v>56</v>
      </c>
      <c r="I605" s="4" t="s">
        <v>52</v>
      </c>
      <c r="L605" s="4" t="s">
        <v>1838</v>
      </c>
      <c r="M605" s="4" t="s">
        <v>56</v>
      </c>
      <c r="N605" s="4">
        <v>58</v>
      </c>
      <c r="O605" s="4" t="s">
        <v>1839</v>
      </c>
    </row>
    <row r="606" spans="1:15" ht="15.75" customHeight="1">
      <c r="A606" s="4" t="s">
        <v>49</v>
      </c>
      <c r="B606" s="4">
        <v>619701</v>
      </c>
      <c r="C606" s="4">
        <v>620048</v>
      </c>
      <c r="E606" s="4" t="s">
        <v>55</v>
      </c>
      <c r="F606" s="4" t="s">
        <v>1840</v>
      </c>
      <c r="G606" s="4" t="s">
        <v>1841</v>
      </c>
      <c r="I606" s="4" t="s">
        <v>52</v>
      </c>
      <c r="L606" s="4" t="s">
        <v>1842</v>
      </c>
      <c r="M606" s="4" t="s">
        <v>1840</v>
      </c>
      <c r="N606" s="4">
        <v>115</v>
      </c>
      <c r="O606" s="4" t="s">
        <v>1843</v>
      </c>
    </row>
    <row r="607" spans="1:15" ht="15.75" customHeight="1">
      <c r="A607" s="4" t="s">
        <v>49</v>
      </c>
      <c r="B607" s="4">
        <v>620185</v>
      </c>
      <c r="C607" s="4">
        <v>620952</v>
      </c>
      <c r="E607" s="4" t="s">
        <v>55</v>
      </c>
      <c r="F607" s="4" t="s">
        <v>1844</v>
      </c>
      <c r="G607" s="4" t="s">
        <v>1845</v>
      </c>
      <c r="I607" s="4" t="s">
        <v>52</v>
      </c>
      <c r="L607" s="4" t="s">
        <v>1846</v>
      </c>
      <c r="M607" s="4" t="s">
        <v>1844</v>
      </c>
      <c r="N607" s="4">
        <v>255</v>
      </c>
      <c r="O607" s="4" t="s">
        <v>1847</v>
      </c>
    </row>
    <row r="608" spans="1:15" ht="15.75" customHeight="1">
      <c r="A608" s="4" t="s">
        <v>49</v>
      </c>
      <c r="B608" s="4">
        <v>620942</v>
      </c>
      <c r="C608" s="4">
        <v>621460</v>
      </c>
      <c r="E608" s="4" t="s">
        <v>55</v>
      </c>
      <c r="F608" s="4" t="s">
        <v>1848</v>
      </c>
      <c r="G608" s="4" t="s">
        <v>1849</v>
      </c>
      <c r="I608" s="4" t="s">
        <v>52</v>
      </c>
      <c r="L608" s="4" t="s">
        <v>1850</v>
      </c>
      <c r="M608" s="4" t="s">
        <v>1848</v>
      </c>
      <c r="N608" s="4">
        <v>172</v>
      </c>
      <c r="O608" s="4" t="s">
        <v>1851</v>
      </c>
    </row>
    <row r="609" spans="1:15" ht="15.75" customHeight="1">
      <c r="A609" s="4" t="s">
        <v>49</v>
      </c>
      <c r="B609" s="4">
        <v>621608</v>
      </c>
      <c r="C609" s="4">
        <v>621862</v>
      </c>
      <c r="E609" s="4" t="s">
        <v>55</v>
      </c>
      <c r="F609" s="4" t="s">
        <v>1852</v>
      </c>
      <c r="I609" s="4" t="s">
        <v>52</v>
      </c>
      <c r="L609" s="4" t="s">
        <v>1853</v>
      </c>
      <c r="M609" s="4" t="s">
        <v>1852</v>
      </c>
      <c r="N609" s="4">
        <v>84</v>
      </c>
      <c r="O609" s="4" t="s">
        <v>1854</v>
      </c>
    </row>
    <row r="610" spans="1:15" ht="15.75" customHeight="1">
      <c r="A610" s="4" t="s">
        <v>49</v>
      </c>
      <c r="B610" s="4">
        <v>621875</v>
      </c>
      <c r="C610" s="4">
        <v>622150</v>
      </c>
      <c r="E610" s="4" t="s">
        <v>55</v>
      </c>
      <c r="F610" s="4" t="s">
        <v>1855</v>
      </c>
      <c r="G610" s="4" t="s">
        <v>1856</v>
      </c>
      <c r="I610" s="4" t="s">
        <v>52</v>
      </c>
      <c r="L610" s="4" t="s">
        <v>1857</v>
      </c>
      <c r="M610" s="4" t="s">
        <v>1855</v>
      </c>
      <c r="N610" s="4">
        <v>91</v>
      </c>
      <c r="O610" s="4" t="s">
        <v>1858</v>
      </c>
    </row>
    <row r="611" spans="1:15" ht="15.75" customHeight="1">
      <c r="A611" s="4" t="s">
        <v>49</v>
      </c>
      <c r="B611" s="4">
        <v>622295</v>
      </c>
      <c r="C611" s="4">
        <v>623731</v>
      </c>
      <c r="E611" s="4" t="s">
        <v>55</v>
      </c>
      <c r="F611" s="4" t="s">
        <v>1859</v>
      </c>
      <c r="G611" s="4" t="s">
        <v>1860</v>
      </c>
      <c r="I611" s="4" t="s">
        <v>52</v>
      </c>
      <c r="L611" s="4" t="s">
        <v>1861</v>
      </c>
      <c r="M611" s="4" t="s">
        <v>1859</v>
      </c>
      <c r="N611" s="4">
        <v>478</v>
      </c>
      <c r="O611" s="4" t="s">
        <v>1862</v>
      </c>
    </row>
    <row r="612" spans="1:15" ht="15.75" customHeight="1">
      <c r="A612" s="4" t="s">
        <v>49</v>
      </c>
      <c r="B612" s="4">
        <v>623744</v>
      </c>
      <c r="C612" s="4">
        <v>624085</v>
      </c>
      <c r="E612" s="4" t="s">
        <v>55</v>
      </c>
      <c r="F612" s="4" t="s">
        <v>1863</v>
      </c>
      <c r="I612" s="4" t="s">
        <v>52</v>
      </c>
      <c r="L612" s="4" t="s">
        <v>1864</v>
      </c>
      <c r="M612" s="4" t="s">
        <v>1863</v>
      </c>
      <c r="N612" s="4">
        <v>113</v>
      </c>
      <c r="O612" s="4" t="s">
        <v>1865</v>
      </c>
    </row>
    <row r="613" spans="1:15" ht="15.75" customHeight="1">
      <c r="A613" s="4" t="s">
        <v>49</v>
      </c>
      <c r="B613" s="4">
        <v>624492</v>
      </c>
      <c r="C613" s="4">
        <v>624806</v>
      </c>
      <c r="E613" s="4" t="s">
        <v>50</v>
      </c>
      <c r="F613" s="4" t="s">
        <v>56</v>
      </c>
      <c r="I613" s="4" t="s">
        <v>52</v>
      </c>
      <c r="L613" s="4" t="s">
        <v>1866</v>
      </c>
      <c r="M613" s="4" t="s">
        <v>56</v>
      </c>
      <c r="N613" s="4">
        <v>104</v>
      </c>
      <c r="O613" s="4" t="s">
        <v>1867</v>
      </c>
    </row>
    <row r="614" spans="1:15" ht="15.75" customHeight="1">
      <c r="A614" s="4" t="s">
        <v>49</v>
      </c>
      <c r="B614" s="4">
        <v>624874</v>
      </c>
      <c r="C614" s="4">
        <v>625869</v>
      </c>
      <c r="E614" s="4" t="s">
        <v>55</v>
      </c>
      <c r="F614" s="4" t="s">
        <v>1868</v>
      </c>
      <c r="G614" s="4" t="s">
        <v>1869</v>
      </c>
      <c r="I614" s="4" t="s">
        <v>52</v>
      </c>
      <c r="L614" s="4" t="s">
        <v>1870</v>
      </c>
      <c r="M614" s="4" t="s">
        <v>1868</v>
      </c>
      <c r="N614" s="4">
        <v>331</v>
      </c>
      <c r="O614" s="4" t="s">
        <v>1871</v>
      </c>
    </row>
    <row r="615" spans="1:15" ht="15.75" customHeight="1">
      <c r="A615" s="4" t="s">
        <v>49</v>
      </c>
      <c r="B615" s="4">
        <v>625869</v>
      </c>
      <c r="C615" s="4">
        <v>629423</v>
      </c>
      <c r="E615" s="4" t="s">
        <v>55</v>
      </c>
      <c r="F615" s="4" t="s">
        <v>1872</v>
      </c>
      <c r="G615" s="4" t="s">
        <v>1873</v>
      </c>
      <c r="I615" s="4" t="s">
        <v>52</v>
      </c>
      <c r="L615" s="4" t="s">
        <v>1874</v>
      </c>
      <c r="M615" s="4" t="s">
        <v>1872</v>
      </c>
      <c r="N615" s="4">
        <v>1184</v>
      </c>
      <c r="O615" s="4" t="s">
        <v>1875</v>
      </c>
    </row>
    <row r="616" spans="1:15" ht="15.75" customHeight="1">
      <c r="A616" s="4" t="s">
        <v>49</v>
      </c>
      <c r="B616" s="4">
        <v>629441</v>
      </c>
      <c r="C616" s="4">
        <v>630136</v>
      </c>
      <c r="E616" s="4" t="s">
        <v>55</v>
      </c>
      <c r="F616" s="4" t="s">
        <v>1876</v>
      </c>
      <c r="G616" s="4" t="s">
        <v>1877</v>
      </c>
      <c r="I616" s="4" t="s">
        <v>52</v>
      </c>
      <c r="L616" s="4" t="s">
        <v>1878</v>
      </c>
      <c r="M616" s="4" t="s">
        <v>1876</v>
      </c>
      <c r="N616" s="4">
        <v>231</v>
      </c>
      <c r="O616" s="4" t="s">
        <v>1879</v>
      </c>
    </row>
    <row r="617" spans="1:15" ht="15.75" customHeight="1">
      <c r="A617" s="4" t="s">
        <v>49</v>
      </c>
      <c r="B617" s="4">
        <v>630355</v>
      </c>
      <c r="C617" s="4">
        <v>632145</v>
      </c>
      <c r="E617" s="4" t="s">
        <v>55</v>
      </c>
      <c r="F617" s="4" t="s">
        <v>1880</v>
      </c>
      <c r="I617" s="4" t="s">
        <v>52</v>
      </c>
      <c r="L617" s="4" t="s">
        <v>1881</v>
      </c>
      <c r="M617" s="4" t="s">
        <v>1880</v>
      </c>
      <c r="N617" s="4">
        <v>596</v>
      </c>
      <c r="O617" s="4" t="s">
        <v>1882</v>
      </c>
    </row>
    <row r="618" spans="1:15" ht="15.75" customHeight="1">
      <c r="A618" s="4" t="s">
        <v>49</v>
      </c>
      <c r="B618" s="4">
        <v>632339</v>
      </c>
      <c r="C618" s="4">
        <v>633247</v>
      </c>
      <c r="E618" s="4" t="s">
        <v>55</v>
      </c>
      <c r="F618" s="4" t="s">
        <v>76</v>
      </c>
      <c r="I618" s="4" t="s">
        <v>52</v>
      </c>
      <c r="L618" s="4" t="s">
        <v>1883</v>
      </c>
      <c r="M618" s="4" t="s">
        <v>76</v>
      </c>
      <c r="N618" s="4">
        <v>302</v>
      </c>
      <c r="O618" s="4" t="s">
        <v>1884</v>
      </c>
    </row>
    <row r="619" spans="1:15" ht="15.75" customHeight="1">
      <c r="A619" s="4" t="s">
        <v>49</v>
      </c>
      <c r="B619" s="4">
        <v>633264</v>
      </c>
      <c r="C619" s="4">
        <v>634226</v>
      </c>
      <c r="E619" s="4" t="s">
        <v>55</v>
      </c>
      <c r="F619" s="4" t="s">
        <v>1885</v>
      </c>
      <c r="G619" s="4" t="s">
        <v>1886</v>
      </c>
      <c r="I619" s="4" t="s">
        <v>52</v>
      </c>
      <c r="L619" s="4" t="s">
        <v>1887</v>
      </c>
      <c r="M619" s="4" t="s">
        <v>1885</v>
      </c>
      <c r="N619" s="4">
        <v>320</v>
      </c>
      <c r="O619" s="4" t="s">
        <v>1888</v>
      </c>
    </row>
    <row r="620" spans="1:15" ht="15.75" customHeight="1">
      <c r="A620" s="4" t="s">
        <v>49</v>
      </c>
      <c r="B620" s="4">
        <v>634226</v>
      </c>
      <c r="C620" s="4">
        <v>635179</v>
      </c>
      <c r="E620" s="4" t="s">
        <v>55</v>
      </c>
      <c r="F620" s="4" t="s">
        <v>73</v>
      </c>
      <c r="I620" s="4" t="s">
        <v>52</v>
      </c>
      <c r="L620" s="4" t="s">
        <v>1889</v>
      </c>
      <c r="M620" s="4" t="s">
        <v>73</v>
      </c>
      <c r="N620" s="4">
        <v>317</v>
      </c>
      <c r="O620" s="4" t="s">
        <v>1890</v>
      </c>
    </row>
    <row r="621" spans="1:15" ht="15.75" customHeight="1">
      <c r="A621" s="4" t="s">
        <v>49</v>
      </c>
      <c r="B621" s="4">
        <v>635183</v>
      </c>
      <c r="C621" s="4">
        <v>636205</v>
      </c>
      <c r="E621" s="4" t="s">
        <v>55</v>
      </c>
      <c r="F621" s="4" t="s">
        <v>73</v>
      </c>
      <c r="I621" s="4" t="s">
        <v>52</v>
      </c>
      <c r="L621" s="4" t="s">
        <v>1891</v>
      </c>
      <c r="M621" s="4" t="s">
        <v>73</v>
      </c>
      <c r="N621" s="4">
        <v>340</v>
      </c>
      <c r="O621" s="4" t="s">
        <v>1892</v>
      </c>
    </row>
    <row r="622" spans="1:15" ht="15.75" customHeight="1">
      <c r="A622" s="4" t="s">
        <v>49</v>
      </c>
      <c r="B622" s="4">
        <v>636655</v>
      </c>
      <c r="C622" s="4">
        <v>636897</v>
      </c>
      <c r="E622" s="4" t="s">
        <v>55</v>
      </c>
      <c r="F622" s="4" t="s">
        <v>1893</v>
      </c>
      <c r="G622" s="4" t="s">
        <v>1894</v>
      </c>
      <c r="I622" s="4" t="s">
        <v>52</v>
      </c>
      <c r="L622" s="4" t="s">
        <v>1895</v>
      </c>
      <c r="M622" s="4" t="s">
        <v>1893</v>
      </c>
      <c r="N622" s="4">
        <v>80</v>
      </c>
      <c r="O622" s="4" t="s">
        <v>1896</v>
      </c>
    </row>
    <row r="623" spans="1:15" ht="15.75" customHeight="1">
      <c r="A623" s="4" t="s">
        <v>49</v>
      </c>
      <c r="B623" s="4">
        <v>636951</v>
      </c>
      <c r="C623" s="4">
        <v>637976</v>
      </c>
      <c r="E623" s="4" t="s">
        <v>55</v>
      </c>
      <c r="F623" s="4" t="s">
        <v>1897</v>
      </c>
      <c r="G623" s="4" t="s">
        <v>1898</v>
      </c>
      <c r="I623" s="4" t="s">
        <v>52</v>
      </c>
      <c r="L623" s="4" t="s">
        <v>1899</v>
      </c>
      <c r="M623" s="4" t="s">
        <v>1897</v>
      </c>
      <c r="N623" s="4">
        <v>341</v>
      </c>
      <c r="O623" s="4" t="s">
        <v>1900</v>
      </c>
    </row>
    <row r="624" spans="1:15" ht="15.75" customHeight="1">
      <c r="A624" s="4" t="s">
        <v>49</v>
      </c>
      <c r="B624" s="4">
        <v>637998</v>
      </c>
      <c r="C624" s="4">
        <v>640037</v>
      </c>
      <c r="E624" s="4" t="s">
        <v>55</v>
      </c>
      <c r="F624" s="4" t="s">
        <v>1901</v>
      </c>
      <c r="G624" s="4" t="s">
        <v>1902</v>
      </c>
      <c r="I624" s="4" t="s">
        <v>52</v>
      </c>
      <c r="L624" s="4" t="s">
        <v>1903</v>
      </c>
      <c r="M624" s="4" t="s">
        <v>1901</v>
      </c>
      <c r="N624" s="4">
        <v>679</v>
      </c>
      <c r="O624" s="4" t="s">
        <v>1904</v>
      </c>
    </row>
    <row r="625" spans="1:15" ht="15.75" customHeight="1">
      <c r="A625" s="4" t="s">
        <v>49</v>
      </c>
      <c r="B625" s="4">
        <v>640187</v>
      </c>
      <c r="C625" s="4">
        <v>641863</v>
      </c>
      <c r="E625" s="4" t="s">
        <v>55</v>
      </c>
      <c r="F625" s="4" t="s">
        <v>1905</v>
      </c>
      <c r="I625" s="4" t="s">
        <v>52</v>
      </c>
      <c r="L625" s="4" t="s">
        <v>1906</v>
      </c>
      <c r="M625" s="4" t="s">
        <v>1905</v>
      </c>
      <c r="N625" s="4">
        <v>558</v>
      </c>
      <c r="O625" s="4" t="s">
        <v>1907</v>
      </c>
    </row>
    <row r="626" spans="1:15" ht="15.75" customHeight="1">
      <c r="A626" s="4" t="s">
        <v>49</v>
      </c>
      <c r="B626" s="4">
        <v>641923</v>
      </c>
      <c r="C626" s="4">
        <v>642285</v>
      </c>
      <c r="E626" s="4" t="s">
        <v>55</v>
      </c>
      <c r="F626" s="4" t="s">
        <v>1908</v>
      </c>
      <c r="I626" s="4" t="s">
        <v>52</v>
      </c>
      <c r="L626" s="4" t="s">
        <v>1909</v>
      </c>
      <c r="M626" s="4" t="s">
        <v>1908</v>
      </c>
      <c r="N626" s="4">
        <v>120</v>
      </c>
      <c r="O626" s="4" t="s">
        <v>1910</v>
      </c>
    </row>
    <row r="627" spans="1:15" ht="15.75" customHeight="1">
      <c r="A627" s="4" t="s">
        <v>49</v>
      </c>
      <c r="B627" s="4">
        <v>642635</v>
      </c>
      <c r="C627" s="4">
        <v>642820</v>
      </c>
      <c r="E627" s="4" t="s">
        <v>50</v>
      </c>
      <c r="F627" s="4" t="s">
        <v>1911</v>
      </c>
      <c r="G627" s="4" t="s">
        <v>1912</v>
      </c>
      <c r="I627" s="4" t="s">
        <v>52</v>
      </c>
      <c r="L627" s="4" t="s">
        <v>1913</v>
      </c>
      <c r="M627" s="4" t="s">
        <v>1911</v>
      </c>
      <c r="N627" s="4">
        <v>61</v>
      </c>
      <c r="O627" s="4" t="s">
        <v>1914</v>
      </c>
    </row>
    <row r="628" spans="1:15" ht="15.75" customHeight="1">
      <c r="A628" s="4" t="s">
        <v>49</v>
      </c>
      <c r="B628" s="4">
        <v>643140</v>
      </c>
      <c r="C628" s="4">
        <v>643808</v>
      </c>
      <c r="E628" s="4" t="s">
        <v>55</v>
      </c>
      <c r="F628" s="4" t="s">
        <v>1915</v>
      </c>
      <c r="I628" s="4" t="s">
        <v>52</v>
      </c>
      <c r="L628" s="4" t="s">
        <v>1916</v>
      </c>
      <c r="M628" s="4" t="s">
        <v>1915</v>
      </c>
      <c r="N628" s="4">
        <v>222</v>
      </c>
      <c r="O628" s="4" t="s">
        <v>1917</v>
      </c>
    </row>
    <row r="629" spans="1:15" ht="15.75" customHeight="1">
      <c r="A629" s="4" t="s">
        <v>49</v>
      </c>
      <c r="B629" s="4">
        <v>643805</v>
      </c>
      <c r="C629" s="4">
        <v>644455</v>
      </c>
      <c r="E629" s="4" t="s">
        <v>55</v>
      </c>
      <c r="F629" s="4" t="s">
        <v>1918</v>
      </c>
      <c r="G629" s="4" t="s">
        <v>1919</v>
      </c>
      <c r="I629" s="4" t="s">
        <v>52</v>
      </c>
      <c r="L629" s="4" t="s">
        <v>1920</v>
      </c>
      <c r="M629" s="4" t="s">
        <v>1918</v>
      </c>
      <c r="N629" s="4">
        <v>216</v>
      </c>
      <c r="O629" s="4" t="s">
        <v>1921</v>
      </c>
    </row>
    <row r="630" spans="1:15" ht="15.75" customHeight="1">
      <c r="A630" s="4" t="s">
        <v>49</v>
      </c>
      <c r="B630" s="4">
        <v>644528</v>
      </c>
      <c r="C630" s="4">
        <v>645433</v>
      </c>
      <c r="E630" s="4" t="s">
        <v>55</v>
      </c>
      <c r="F630" s="4" t="s">
        <v>1922</v>
      </c>
      <c r="G630" s="4" t="s">
        <v>1923</v>
      </c>
      <c r="I630" s="4" t="s">
        <v>52</v>
      </c>
      <c r="L630" s="4" t="s">
        <v>1924</v>
      </c>
      <c r="M630" s="4" t="s">
        <v>1922</v>
      </c>
      <c r="N630" s="4">
        <v>301</v>
      </c>
      <c r="O630" s="4" t="s">
        <v>1925</v>
      </c>
    </row>
    <row r="631" spans="1:15" ht="15.75" customHeight="1">
      <c r="A631" s="4" t="s">
        <v>49</v>
      </c>
      <c r="B631" s="4">
        <v>645430</v>
      </c>
      <c r="C631" s="4">
        <v>647430</v>
      </c>
      <c r="E631" s="4" t="s">
        <v>55</v>
      </c>
      <c r="F631" s="4" t="s">
        <v>1926</v>
      </c>
      <c r="G631" s="4" t="s">
        <v>1927</v>
      </c>
      <c r="I631" s="4" t="s">
        <v>52</v>
      </c>
      <c r="L631" s="4" t="s">
        <v>1928</v>
      </c>
      <c r="M631" s="4" t="s">
        <v>1926</v>
      </c>
      <c r="N631" s="4">
        <v>666</v>
      </c>
      <c r="O631" s="4" t="s">
        <v>1929</v>
      </c>
    </row>
    <row r="632" spans="1:15" ht="15.75" customHeight="1">
      <c r="A632" s="4" t="s">
        <v>49</v>
      </c>
      <c r="B632" s="4">
        <v>647427</v>
      </c>
      <c r="C632" s="4">
        <v>648170</v>
      </c>
      <c r="E632" s="4" t="s">
        <v>55</v>
      </c>
      <c r="F632" s="4" t="s">
        <v>1930</v>
      </c>
      <c r="I632" s="4" t="s">
        <v>52</v>
      </c>
      <c r="L632" s="4" t="s">
        <v>1931</v>
      </c>
      <c r="M632" s="4" t="s">
        <v>1930</v>
      </c>
      <c r="N632" s="4">
        <v>247</v>
      </c>
      <c r="O632" s="4" t="s">
        <v>1932</v>
      </c>
    </row>
    <row r="633" spans="1:15" ht="15.75" customHeight="1">
      <c r="A633" s="4" t="s">
        <v>49</v>
      </c>
      <c r="B633" s="4">
        <v>648180</v>
      </c>
      <c r="C633" s="4">
        <v>649520</v>
      </c>
      <c r="E633" s="4" t="s">
        <v>55</v>
      </c>
      <c r="F633" s="4" t="s">
        <v>1933</v>
      </c>
      <c r="G633" s="4" t="s">
        <v>1934</v>
      </c>
      <c r="I633" s="4" t="s">
        <v>52</v>
      </c>
      <c r="L633" s="4" t="s">
        <v>1935</v>
      </c>
      <c r="M633" s="4" t="s">
        <v>1933</v>
      </c>
      <c r="N633" s="4">
        <v>446</v>
      </c>
      <c r="O633" s="4" t="s">
        <v>1936</v>
      </c>
    </row>
    <row r="634" spans="1:15" ht="15.75" customHeight="1">
      <c r="A634" s="4" t="s">
        <v>49</v>
      </c>
      <c r="B634" s="4">
        <v>649507</v>
      </c>
      <c r="C634" s="4">
        <v>650463</v>
      </c>
      <c r="E634" s="4" t="s">
        <v>55</v>
      </c>
      <c r="F634" s="4" t="s">
        <v>1937</v>
      </c>
      <c r="G634" s="4" t="s">
        <v>1938</v>
      </c>
      <c r="I634" s="4" t="s">
        <v>52</v>
      </c>
      <c r="L634" s="4" t="s">
        <v>1939</v>
      </c>
      <c r="M634" s="4" t="s">
        <v>1937</v>
      </c>
      <c r="N634" s="4">
        <v>318</v>
      </c>
      <c r="O634" s="4" t="s">
        <v>1940</v>
      </c>
    </row>
    <row r="635" spans="1:15" ht="15.75" customHeight="1">
      <c r="A635" s="4" t="s">
        <v>49</v>
      </c>
      <c r="B635" s="4">
        <v>650531</v>
      </c>
      <c r="C635" s="4">
        <v>652948</v>
      </c>
      <c r="E635" s="4" t="s">
        <v>55</v>
      </c>
      <c r="F635" s="4" t="s">
        <v>1941</v>
      </c>
      <c r="G635" s="4" t="s">
        <v>1942</v>
      </c>
      <c r="I635" s="4" t="s">
        <v>52</v>
      </c>
      <c r="L635" s="4" t="s">
        <v>1943</v>
      </c>
      <c r="M635" s="4" t="s">
        <v>1941</v>
      </c>
      <c r="N635" s="4">
        <v>805</v>
      </c>
      <c r="O635" s="4" t="s">
        <v>1944</v>
      </c>
    </row>
    <row r="636" spans="1:15" ht="15.75" customHeight="1">
      <c r="A636" s="4" t="s">
        <v>49</v>
      </c>
      <c r="B636" s="4">
        <v>652953</v>
      </c>
      <c r="C636" s="4">
        <v>654152</v>
      </c>
      <c r="E636" s="4" t="s">
        <v>55</v>
      </c>
      <c r="F636" s="4" t="s">
        <v>1945</v>
      </c>
      <c r="G636" s="4" t="s">
        <v>1946</v>
      </c>
      <c r="I636" s="4" t="s">
        <v>52</v>
      </c>
      <c r="L636" s="4" t="s">
        <v>1947</v>
      </c>
      <c r="M636" s="4" t="s">
        <v>1945</v>
      </c>
      <c r="N636" s="4">
        <v>399</v>
      </c>
      <c r="O636" s="4" t="s">
        <v>1948</v>
      </c>
    </row>
    <row r="637" spans="1:15" ht="15.75" customHeight="1">
      <c r="A637" s="4" t="s">
        <v>49</v>
      </c>
      <c r="B637" s="4">
        <v>654299</v>
      </c>
      <c r="C637" s="4">
        <v>654547</v>
      </c>
      <c r="E637" s="4" t="s">
        <v>55</v>
      </c>
      <c r="F637" s="4" t="s">
        <v>1949</v>
      </c>
      <c r="G637" s="4" t="s">
        <v>1950</v>
      </c>
      <c r="I637" s="4" t="s">
        <v>52</v>
      </c>
      <c r="L637" s="4" t="s">
        <v>1951</v>
      </c>
      <c r="M637" s="4" t="s">
        <v>1949</v>
      </c>
      <c r="N637" s="4">
        <v>82</v>
      </c>
      <c r="O637" s="4" t="s">
        <v>1952</v>
      </c>
    </row>
    <row r="638" spans="1:15" ht="15.75" customHeight="1">
      <c r="A638" s="4" t="s">
        <v>49</v>
      </c>
      <c r="B638" s="4">
        <v>654614</v>
      </c>
      <c r="C638" s="4">
        <v>655240</v>
      </c>
      <c r="E638" s="4" t="s">
        <v>55</v>
      </c>
      <c r="F638" s="4" t="s">
        <v>1953</v>
      </c>
      <c r="G638" s="4" t="s">
        <v>1954</v>
      </c>
      <c r="I638" s="4" t="s">
        <v>52</v>
      </c>
      <c r="L638" s="4" t="s">
        <v>1955</v>
      </c>
      <c r="M638" s="4" t="s">
        <v>1953</v>
      </c>
      <c r="N638" s="4">
        <v>208</v>
      </c>
      <c r="O638" s="4" t="s">
        <v>1956</v>
      </c>
    </row>
    <row r="639" spans="1:15" ht="15.75" customHeight="1">
      <c r="A639" s="4" t="s">
        <v>49</v>
      </c>
      <c r="B639" s="4">
        <v>655307</v>
      </c>
      <c r="C639" s="4">
        <v>655993</v>
      </c>
      <c r="E639" s="4" t="s">
        <v>55</v>
      </c>
      <c r="F639" s="4" t="s">
        <v>1957</v>
      </c>
      <c r="I639" s="4" t="s">
        <v>52</v>
      </c>
      <c r="L639" s="4" t="s">
        <v>1958</v>
      </c>
      <c r="M639" s="4" t="s">
        <v>1957</v>
      </c>
      <c r="N639" s="4">
        <v>228</v>
      </c>
      <c r="O639" s="4" t="s">
        <v>1959</v>
      </c>
    </row>
    <row r="640" spans="1:15" ht="15.75" customHeight="1">
      <c r="A640" s="4" t="s">
        <v>49</v>
      </c>
      <c r="B640" s="4">
        <v>656102</v>
      </c>
      <c r="C640" s="4">
        <v>656404</v>
      </c>
      <c r="E640" s="4" t="s">
        <v>50</v>
      </c>
      <c r="F640" s="4" t="s">
        <v>56</v>
      </c>
      <c r="I640" s="4" t="s">
        <v>52</v>
      </c>
      <c r="L640" s="4" t="s">
        <v>1960</v>
      </c>
      <c r="M640" s="4" t="s">
        <v>56</v>
      </c>
      <c r="N640" s="4">
        <v>100</v>
      </c>
      <c r="O640" s="4" t="s">
        <v>1961</v>
      </c>
    </row>
    <row r="641" spans="1:15" ht="15.75" customHeight="1">
      <c r="A641" s="4" t="s">
        <v>49</v>
      </c>
      <c r="B641" s="4">
        <v>656708</v>
      </c>
      <c r="C641" s="4">
        <v>658408</v>
      </c>
      <c r="E641" s="4" t="s">
        <v>55</v>
      </c>
      <c r="F641" s="4" t="s">
        <v>1962</v>
      </c>
      <c r="G641" s="4" t="s">
        <v>1963</v>
      </c>
      <c r="I641" s="4" t="s">
        <v>52</v>
      </c>
      <c r="L641" s="4" t="s">
        <v>1964</v>
      </c>
      <c r="M641" s="4" t="s">
        <v>1962</v>
      </c>
      <c r="N641" s="4">
        <v>566</v>
      </c>
      <c r="O641" s="4" t="s">
        <v>1965</v>
      </c>
    </row>
    <row r="642" spans="1:15" ht="15.75" customHeight="1">
      <c r="A642" s="4" t="s">
        <v>49</v>
      </c>
      <c r="B642" s="4">
        <v>658413</v>
      </c>
      <c r="C642" s="4">
        <v>658865</v>
      </c>
      <c r="E642" s="4" t="s">
        <v>55</v>
      </c>
      <c r="F642" s="4" t="s">
        <v>1966</v>
      </c>
      <c r="I642" s="4" t="s">
        <v>52</v>
      </c>
      <c r="L642" s="4" t="s">
        <v>1967</v>
      </c>
      <c r="M642" s="4" t="s">
        <v>1966</v>
      </c>
      <c r="N642" s="4">
        <v>150</v>
      </c>
      <c r="O642" s="4" t="s">
        <v>1968</v>
      </c>
    </row>
    <row r="643" spans="1:15" ht="15.75" customHeight="1">
      <c r="A643" s="4" t="s">
        <v>49</v>
      </c>
      <c r="B643" s="4">
        <v>658979</v>
      </c>
      <c r="C643" s="4">
        <v>659809</v>
      </c>
      <c r="E643" s="4" t="s">
        <v>55</v>
      </c>
      <c r="F643" s="4" t="s">
        <v>1969</v>
      </c>
      <c r="I643" s="4" t="s">
        <v>52</v>
      </c>
      <c r="L643" s="4" t="s">
        <v>1970</v>
      </c>
      <c r="M643" s="4" t="s">
        <v>1969</v>
      </c>
      <c r="N643" s="4">
        <v>276</v>
      </c>
      <c r="O643" s="4" t="s">
        <v>1971</v>
      </c>
    </row>
    <row r="644" spans="1:15" ht="15.75" customHeight="1">
      <c r="A644" s="4" t="s">
        <v>49</v>
      </c>
      <c r="B644" s="4">
        <v>659806</v>
      </c>
      <c r="C644" s="4">
        <v>660657</v>
      </c>
      <c r="E644" s="4" t="s">
        <v>55</v>
      </c>
      <c r="F644" s="4" t="s">
        <v>1972</v>
      </c>
      <c r="I644" s="4" t="s">
        <v>52</v>
      </c>
      <c r="L644" s="4" t="s">
        <v>1973</v>
      </c>
      <c r="M644" s="4" t="s">
        <v>1972</v>
      </c>
      <c r="N644" s="4">
        <v>283</v>
      </c>
      <c r="O644" s="4" t="s">
        <v>1974</v>
      </c>
    </row>
    <row r="645" spans="1:15" ht="15.75" customHeight="1">
      <c r="A645" s="4" t="s">
        <v>49</v>
      </c>
      <c r="B645" s="4">
        <v>660654</v>
      </c>
      <c r="C645" s="4">
        <v>660881</v>
      </c>
      <c r="E645" s="4" t="s">
        <v>55</v>
      </c>
      <c r="F645" s="4" t="s">
        <v>1975</v>
      </c>
      <c r="I645" s="4" t="s">
        <v>52</v>
      </c>
      <c r="L645" s="4" t="s">
        <v>1976</v>
      </c>
      <c r="M645" s="4" t="s">
        <v>1975</v>
      </c>
      <c r="N645" s="4">
        <v>75</v>
      </c>
      <c r="O645" s="4" t="s">
        <v>1977</v>
      </c>
    </row>
    <row r="646" spans="1:15" ht="15.75" customHeight="1">
      <c r="A646" s="4" t="s">
        <v>49</v>
      </c>
      <c r="B646" s="4">
        <v>660874</v>
      </c>
      <c r="C646" s="4">
        <v>662223</v>
      </c>
      <c r="E646" s="4" t="s">
        <v>55</v>
      </c>
      <c r="F646" s="4" t="s">
        <v>1978</v>
      </c>
      <c r="G646" s="4" t="s">
        <v>1979</v>
      </c>
      <c r="I646" s="4" t="s">
        <v>52</v>
      </c>
      <c r="L646" s="4" t="s">
        <v>1980</v>
      </c>
      <c r="M646" s="4" t="s">
        <v>1978</v>
      </c>
      <c r="N646" s="4">
        <v>449</v>
      </c>
      <c r="O646" s="4" t="s">
        <v>1981</v>
      </c>
    </row>
    <row r="647" spans="1:15" ht="15.75" customHeight="1">
      <c r="A647" s="4" t="s">
        <v>49</v>
      </c>
      <c r="B647" s="4">
        <v>662216</v>
      </c>
      <c r="C647" s="4">
        <v>663067</v>
      </c>
      <c r="E647" s="4" t="s">
        <v>55</v>
      </c>
      <c r="F647" s="4" t="s">
        <v>1982</v>
      </c>
      <c r="G647" s="4" t="s">
        <v>1983</v>
      </c>
      <c r="I647" s="4" t="s">
        <v>52</v>
      </c>
      <c r="L647" s="4" t="s">
        <v>1984</v>
      </c>
      <c r="M647" s="4" t="s">
        <v>1982</v>
      </c>
      <c r="N647" s="4">
        <v>283</v>
      </c>
      <c r="O647" s="4" t="s">
        <v>1985</v>
      </c>
    </row>
    <row r="648" spans="1:15" ht="15.75" customHeight="1">
      <c r="A648" s="4" t="s">
        <v>49</v>
      </c>
      <c r="B648" s="4">
        <v>663193</v>
      </c>
      <c r="C648" s="4">
        <v>663600</v>
      </c>
      <c r="E648" s="4" t="s">
        <v>55</v>
      </c>
      <c r="F648" s="4" t="s">
        <v>1986</v>
      </c>
      <c r="G648" s="4" t="s">
        <v>1987</v>
      </c>
      <c r="I648" s="4" t="s">
        <v>52</v>
      </c>
      <c r="L648" s="4" t="s">
        <v>1988</v>
      </c>
      <c r="M648" s="4" t="s">
        <v>1986</v>
      </c>
      <c r="N648" s="4">
        <v>135</v>
      </c>
      <c r="O648" s="4" t="s">
        <v>1989</v>
      </c>
    </row>
    <row r="649" spans="1:15" ht="15.75" customHeight="1">
      <c r="A649" s="4" t="s">
        <v>49</v>
      </c>
      <c r="B649" s="4">
        <v>663602</v>
      </c>
      <c r="C649" s="4">
        <v>664063</v>
      </c>
      <c r="E649" s="4" t="s">
        <v>55</v>
      </c>
      <c r="F649" s="4" t="s">
        <v>1908</v>
      </c>
      <c r="I649" s="4" t="s">
        <v>52</v>
      </c>
      <c r="L649" s="4" t="s">
        <v>1990</v>
      </c>
      <c r="M649" s="4" t="s">
        <v>1908</v>
      </c>
      <c r="N649" s="4">
        <v>153</v>
      </c>
      <c r="O649" s="4" t="s">
        <v>1991</v>
      </c>
    </row>
    <row r="650" spans="1:15" ht="15.75" customHeight="1">
      <c r="A650" s="4" t="s">
        <v>49</v>
      </c>
      <c r="B650" s="4">
        <v>664083</v>
      </c>
      <c r="C650" s="4">
        <v>664646</v>
      </c>
      <c r="E650" s="4" t="s">
        <v>55</v>
      </c>
      <c r="F650" s="4" t="s">
        <v>1992</v>
      </c>
      <c r="G650" s="4" t="s">
        <v>1993</v>
      </c>
      <c r="I650" s="4" t="s">
        <v>52</v>
      </c>
      <c r="L650" s="4" t="s">
        <v>1994</v>
      </c>
      <c r="M650" s="4" t="s">
        <v>1992</v>
      </c>
      <c r="N650" s="4">
        <v>187</v>
      </c>
      <c r="O650" s="4" t="s">
        <v>1995</v>
      </c>
    </row>
    <row r="651" spans="1:15" ht="15.75" customHeight="1">
      <c r="A651" s="4" t="s">
        <v>49</v>
      </c>
      <c r="B651" s="4">
        <v>665145</v>
      </c>
      <c r="C651" s="4">
        <v>666212</v>
      </c>
      <c r="E651" s="4" t="s">
        <v>55</v>
      </c>
      <c r="F651" s="4" t="s">
        <v>1996</v>
      </c>
      <c r="I651" s="4" t="s">
        <v>52</v>
      </c>
      <c r="L651" s="4" t="s">
        <v>1997</v>
      </c>
      <c r="M651" s="4" t="s">
        <v>1996</v>
      </c>
      <c r="N651" s="4">
        <v>355</v>
      </c>
      <c r="O651" s="4" t="s">
        <v>1998</v>
      </c>
    </row>
    <row r="652" spans="1:15" ht="15.75" customHeight="1">
      <c r="A652" s="4" t="s">
        <v>49</v>
      </c>
      <c r="B652" s="4">
        <v>666288</v>
      </c>
      <c r="C652" s="4">
        <v>666578</v>
      </c>
      <c r="E652" s="4" t="s">
        <v>55</v>
      </c>
      <c r="F652" s="4" t="s">
        <v>1999</v>
      </c>
      <c r="G652" s="4" t="s">
        <v>2000</v>
      </c>
      <c r="I652" s="4" t="s">
        <v>52</v>
      </c>
      <c r="L652" s="4" t="s">
        <v>2001</v>
      </c>
      <c r="M652" s="4" t="s">
        <v>1999</v>
      </c>
      <c r="N652" s="4">
        <v>96</v>
      </c>
      <c r="O652" s="4" t="s">
        <v>2002</v>
      </c>
    </row>
    <row r="653" spans="1:15" ht="15.75" customHeight="1">
      <c r="A653" s="4" t="s">
        <v>49</v>
      </c>
      <c r="B653" s="4">
        <v>666597</v>
      </c>
      <c r="C653" s="4">
        <v>666947</v>
      </c>
      <c r="E653" s="4" t="s">
        <v>55</v>
      </c>
      <c r="F653" s="4" t="s">
        <v>2003</v>
      </c>
      <c r="I653" s="4" t="s">
        <v>52</v>
      </c>
      <c r="L653" s="4" t="s">
        <v>2004</v>
      </c>
      <c r="M653" s="4" t="s">
        <v>2003</v>
      </c>
      <c r="N653" s="4">
        <v>116</v>
      </c>
      <c r="O653" s="4" t="s">
        <v>2005</v>
      </c>
    </row>
    <row r="654" spans="1:15" ht="15.75" customHeight="1">
      <c r="A654" s="4" t="s">
        <v>49</v>
      </c>
      <c r="B654" s="4">
        <v>666963</v>
      </c>
      <c r="C654" s="4">
        <v>667274</v>
      </c>
      <c r="E654" s="4" t="s">
        <v>55</v>
      </c>
      <c r="F654" s="4" t="s">
        <v>2006</v>
      </c>
      <c r="G654" s="4" t="s">
        <v>2007</v>
      </c>
      <c r="I654" s="4" t="s">
        <v>52</v>
      </c>
      <c r="L654" s="4" t="s">
        <v>2008</v>
      </c>
      <c r="M654" s="4" t="s">
        <v>2006</v>
      </c>
      <c r="N654" s="4">
        <v>103</v>
      </c>
      <c r="O654" s="4" t="s">
        <v>2009</v>
      </c>
    </row>
    <row r="655" spans="1:15" ht="15.75" customHeight="1">
      <c r="A655" s="4" t="s">
        <v>49</v>
      </c>
      <c r="B655" s="4">
        <v>667607</v>
      </c>
      <c r="C655" s="4">
        <v>667807</v>
      </c>
      <c r="E655" s="4" t="s">
        <v>55</v>
      </c>
      <c r="F655" s="4" t="s">
        <v>56</v>
      </c>
      <c r="I655" s="4" t="s">
        <v>52</v>
      </c>
      <c r="L655" s="4" t="s">
        <v>2010</v>
      </c>
      <c r="M655" s="4" t="s">
        <v>56</v>
      </c>
      <c r="N655" s="4">
        <v>66</v>
      </c>
      <c r="O655" s="4" t="s">
        <v>2011</v>
      </c>
    </row>
    <row r="656" spans="1:15" ht="15.75" customHeight="1">
      <c r="A656" s="4" t="s">
        <v>49</v>
      </c>
      <c r="B656" s="4">
        <v>668287</v>
      </c>
      <c r="C656" s="4">
        <v>669531</v>
      </c>
      <c r="E656" s="4" t="s">
        <v>50</v>
      </c>
      <c r="F656" s="4" t="s">
        <v>803</v>
      </c>
      <c r="I656" s="4" t="s">
        <v>52</v>
      </c>
      <c r="L656" s="4" t="s">
        <v>2012</v>
      </c>
      <c r="M656" s="4" t="s">
        <v>803</v>
      </c>
      <c r="N656" s="4">
        <v>414</v>
      </c>
      <c r="O656" s="4" t="s">
        <v>2013</v>
      </c>
    </row>
    <row r="657" spans="1:15" ht="15.75" customHeight="1">
      <c r="A657" s="4" t="s">
        <v>49</v>
      </c>
      <c r="B657" s="4">
        <v>669650</v>
      </c>
      <c r="C657" s="4">
        <v>669772</v>
      </c>
      <c r="E657" s="4" t="s">
        <v>55</v>
      </c>
      <c r="F657" s="4" t="s">
        <v>56</v>
      </c>
      <c r="I657" s="4" t="s">
        <v>52</v>
      </c>
      <c r="L657" s="4" t="s">
        <v>2014</v>
      </c>
      <c r="M657" s="4" t="s">
        <v>56</v>
      </c>
      <c r="N657" s="4">
        <v>40</v>
      </c>
      <c r="O657" s="4" t="s">
        <v>2015</v>
      </c>
    </row>
    <row r="658" spans="1:15" ht="15.75" customHeight="1">
      <c r="A658" s="4" t="s">
        <v>49</v>
      </c>
      <c r="B658" s="4">
        <v>669936</v>
      </c>
      <c r="C658" s="4">
        <v>670294</v>
      </c>
      <c r="E658" s="4" t="s">
        <v>55</v>
      </c>
      <c r="F658" s="4" t="s">
        <v>345</v>
      </c>
      <c r="I658" s="4" t="s">
        <v>346</v>
      </c>
      <c r="O658" s="4" t="s">
        <v>2016</v>
      </c>
    </row>
    <row r="659" spans="1:15" ht="15.75" customHeight="1">
      <c r="A659" s="4" t="s">
        <v>49</v>
      </c>
      <c r="B659" s="4">
        <v>670440</v>
      </c>
      <c r="C659" s="4">
        <v>670513</v>
      </c>
      <c r="E659" s="4" t="s">
        <v>55</v>
      </c>
      <c r="F659" s="4" t="s">
        <v>301</v>
      </c>
      <c r="I659" s="4" t="s">
        <v>302</v>
      </c>
      <c r="O659" s="4" t="s">
        <v>2017</v>
      </c>
    </row>
    <row r="660" spans="1:15" ht="15.75" customHeight="1">
      <c r="A660" s="4" t="s">
        <v>49</v>
      </c>
      <c r="B660" s="4">
        <v>670671</v>
      </c>
      <c r="C660" s="4">
        <v>673064</v>
      </c>
      <c r="E660" s="4" t="s">
        <v>50</v>
      </c>
      <c r="F660" s="4" t="s">
        <v>2018</v>
      </c>
      <c r="I660" s="4" t="s">
        <v>52</v>
      </c>
      <c r="L660" s="4" t="s">
        <v>2019</v>
      </c>
      <c r="M660" s="4" t="s">
        <v>2018</v>
      </c>
      <c r="N660" s="4">
        <v>797</v>
      </c>
      <c r="O660" s="4" t="s">
        <v>2020</v>
      </c>
    </row>
    <row r="661" spans="1:15" ht="15.75" customHeight="1">
      <c r="A661" s="4" t="s">
        <v>49</v>
      </c>
      <c r="B661" s="4">
        <v>673218</v>
      </c>
      <c r="C661" s="4">
        <v>674558</v>
      </c>
      <c r="E661" s="4" t="s">
        <v>55</v>
      </c>
      <c r="F661" s="4" t="s">
        <v>2021</v>
      </c>
      <c r="G661" s="4" t="s">
        <v>2022</v>
      </c>
      <c r="I661" s="4" t="s">
        <v>52</v>
      </c>
      <c r="L661" s="4" t="s">
        <v>2023</v>
      </c>
      <c r="M661" s="4" t="s">
        <v>2021</v>
      </c>
      <c r="N661" s="4">
        <v>446</v>
      </c>
      <c r="O661" s="4" t="s">
        <v>2024</v>
      </c>
    </row>
    <row r="662" spans="1:15" ht="15.75" customHeight="1">
      <c r="A662" s="4" t="s">
        <v>49</v>
      </c>
      <c r="B662" s="4">
        <v>674577</v>
      </c>
      <c r="C662" s="4">
        <v>674939</v>
      </c>
      <c r="E662" s="4" t="s">
        <v>55</v>
      </c>
      <c r="F662" s="4" t="s">
        <v>743</v>
      </c>
      <c r="I662" s="4" t="s">
        <v>52</v>
      </c>
      <c r="L662" s="4" t="s">
        <v>2025</v>
      </c>
      <c r="M662" s="4" t="s">
        <v>743</v>
      </c>
      <c r="N662" s="4">
        <v>120</v>
      </c>
      <c r="O662" s="4" t="s">
        <v>2026</v>
      </c>
    </row>
    <row r="663" spans="1:15" ht="15.75" customHeight="1">
      <c r="A663" s="4" t="s">
        <v>49</v>
      </c>
      <c r="B663" s="4">
        <v>675290</v>
      </c>
      <c r="C663" s="4">
        <v>677380</v>
      </c>
      <c r="E663" s="4" t="s">
        <v>50</v>
      </c>
      <c r="F663" s="4" t="s">
        <v>2027</v>
      </c>
      <c r="I663" s="4" t="s">
        <v>52</v>
      </c>
      <c r="L663" s="4" t="s">
        <v>2028</v>
      </c>
      <c r="M663" s="4" t="s">
        <v>2027</v>
      </c>
      <c r="N663" s="4">
        <v>696</v>
      </c>
      <c r="O663" s="4" t="s">
        <v>2029</v>
      </c>
    </row>
    <row r="664" spans="1:15" ht="15.75" customHeight="1">
      <c r="A664" s="4" t="s">
        <v>49</v>
      </c>
      <c r="B664" s="4">
        <v>677435</v>
      </c>
      <c r="C664" s="4">
        <v>678691</v>
      </c>
      <c r="E664" s="4" t="s">
        <v>55</v>
      </c>
      <c r="F664" s="4" t="s">
        <v>2030</v>
      </c>
      <c r="I664" s="4" t="s">
        <v>52</v>
      </c>
      <c r="L664" s="4" t="s">
        <v>2031</v>
      </c>
      <c r="M664" s="4" t="s">
        <v>2030</v>
      </c>
      <c r="N664" s="4">
        <v>418</v>
      </c>
      <c r="O664" s="4" t="s">
        <v>2032</v>
      </c>
    </row>
    <row r="665" spans="1:15" ht="15.75" customHeight="1">
      <c r="A665" s="4" t="s">
        <v>49</v>
      </c>
      <c r="B665" s="4">
        <v>678835</v>
      </c>
      <c r="C665" s="4">
        <v>679764</v>
      </c>
      <c r="E665" s="4" t="s">
        <v>55</v>
      </c>
      <c r="F665" s="4" t="s">
        <v>2033</v>
      </c>
      <c r="G665" s="4" t="s">
        <v>2034</v>
      </c>
      <c r="I665" s="4" t="s">
        <v>52</v>
      </c>
      <c r="L665" s="4" t="s">
        <v>2035</v>
      </c>
      <c r="M665" s="4" t="s">
        <v>2033</v>
      </c>
      <c r="N665" s="4">
        <v>309</v>
      </c>
      <c r="O665" s="4" t="s">
        <v>2036</v>
      </c>
    </row>
    <row r="666" spans="1:15" ht="15.75" customHeight="1">
      <c r="A666" s="4" t="s">
        <v>49</v>
      </c>
      <c r="B666" s="4">
        <v>679833</v>
      </c>
      <c r="C666" s="4">
        <v>680012</v>
      </c>
      <c r="E666" s="4" t="s">
        <v>50</v>
      </c>
      <c r="F666" s="4" t="s">
        <v>2037</v>
      </c>
      <c r="I666" s="4" t="s">
        <v>52</v>
      </c>
      <c r="L666" s="4" t="s">
        <v>2038</v>
      </c>
      <c r="M666" s="4" t="s">
        <v>2037</v>
      </c>
      <c r="N666" s="4">
        <v>59</v>
      </c>
      <c r="O666" s="4" t="s">
        <v>2039</v>
      </c>
    </row>
    <row r="667" spans="1:15" ht="15.75" customHeight="1">
      <c r="A667" s="4" t="s">
        <v>49</v>
      </c>
      <c r="B667" s="4">
        <v>680115</v>
      </c>
      <c r="C667" s="4">
        <v>680522</v>
      </c>
      <c r="E667" s="4" t="s">
        <v>55</v>
      </c>
      <c r="F667" s="4" t="s">
        <v>2040</v>
      </c>
      <c r="I667" s="4" t="s">
        <v>52</v>
      </c>
      <c r="L667" s="4" t="s">
        <v>2041</v>
      </c>
      <c r="M667" s="4" t="s">
        <v>2040</v>
      </c>
      <c r="N667" s="4">
        <v>135</v>
      </c>
      <c r="O667" s="4" t="s">
        <v>2042</v>
      </c>
    </row>
    <row r="668" spans="1:15" ht="15.75" customHeight="1">
      <c r="A668" s="4" t="s">
        <v>49</v>
      </c>
      <c r="B668" s="4">
        <v>680544</v>
      </c>
      <c r="C668" s="4">
        <v>681506</v>
      </c>
      <c r="E668" s="4" t="s">
        <v>55</v>
      </c>
      <c r="F668" s="4" t="s">
        <v>2043</v>
      </c>
      <c r="I668" s="4" t="s">
        <v>52</v>
      </c>
      <c r="L668" s="4" t="s">
        <v>2044</v>
      </c>
      <c r="M668" s="4" t="s">
        <v>2043</v>
      </c>
      <c r="N668" s="4">
        <v>320</v>
      </c>
      <c r="O668" s="4" t="s">
        <v>2045</v>
      </c>
    </row>
    <row r="669" spans="1:15" ht="15.75" customHeight="1">
      <c r="A669" s="4" t="s">
        <v>49</v>
      </c>
      <c r="B669" s="4">
        <v>681499</v>
      </c>
      <c r="C669" s="4">
        <v>681753</v>
      </c>
      <c r="E669" s="4" t="s">
        <v>55</v>
      </c>
      <c r="F669" s="4" t="s">
        <v>2046</v>
      </c>
      <c r="I669" s="4" t="s">
        <v>52</v>
      </c>
      <c r="L669" s="4" t="s">
        <v>2047</v>
      </c>
      <c r="M669" s="4" t="s">
        <v>2046</v>
      </c>
      <c r="N669" s="4">
        <v>84</v>
      </c>
      <c r="O669" s="4" t="s">
        <v>2048</v>
      </c>
    </row>
    <row r="670" spans="1:15" ht="15.75" customHeight="1">
      <c r="A670" s="4" t="s">
        <v>49</v>
      </c>
      <c r="B670" s="4">
        <v>681755</v>
      </c>
      <c r="C670" s="4">
        <v>682438</v>
      </c>
      <c r="E670" s="4" t="s">
        <v>55</v>
      </c>
      <c r="F670" s="4" t="s">
        <v>2049</v>
      </c>
      <c r="I670" s="4" t="s">
        <v>52</v>
      </c>
      <c r="L670" s="4" t="s">
        <v>2050</v>
      </c>
      <c r="M670" s="4" t="s">
        <v>2049</v>
      </c>
      <c r="N670" s="4">
        <v>227</v>
      </c>
      <c r="O670" s="4" t="s">
        <v>2051</v>
      </c>
    </row>
    <row r="671" spans="1:15" ht="15.75" customHeight="1">
      <c r="A671" s="4" t="s">
        <v>49</v>
      </c>
      <c r="B671" s="4">
        <v>682628</v>
      </c>
      <c r="C671" s="4">
        <v>684754</v>
      </c>
      <c r="E671" s="4" t="s">
        <v>55</v>
      </c>
      <c r="F671" s="4" t="s">
        <v>2052</v>
      </c>
      <c r="I671" s="4" t="s">
        <v>52</v>
      </c>
      <c r="L671" s="4" t="s">
        <v>2053</v>
      </c>
      <c r="M671" s="4" t="s">
        <v>2052</v>
      </c>
      <c r="N671" s="4">
        <v>708</v>
      </c>
      <c r="O671" s="4" t="s">
        <v>2054</v>
      </c>
    </row>
    <row r="672" spans="1:15" ht="15.75" customHeight="1">
      <c r="A672" s="4" t="s">
        <v>49</v>
      </c>
      <c r="B672" s="4">
        <v>684906</v>
      </c>
      <c r="C672" s="4">
        <v>687512</v>
      </c>
      <c r="E672" s="4" t="s">
        <v>50</v>
      </c>
      <c r="F672" s="4" t="s">
        <v>354</v>
      </c>
      <c r="I672" s="4" t="s">
        <v>52</v>
      </c>
      <c r="L672" s="4" t="s">
        <v>2055</v>
      </c>
      <c r="M672" s="4" t="s">
        <v>354</v>
      </c>
      <c r="N672" s="4">
        <v>868</v>
      </c>
      <c r="O672" s="4" t="s">
        <v>2056</v>
      </c>
    </row>
    <row r="673" spans="1:15" ht="15.75" customHeight="1">
      <c r="A673" s="4" t="s">
        <v>49</v>
      </c>
      <c r="B673" s="4">
        <v>687735</v>
      </c>
      <c r="C673" s="4">
        <v>688034</v>
      </c>
      <c r="E673" s="4" t="s">
        <v>55</v>
      </c>
      <c r="F673" s="4" t="s">
        <v>2057</v>
      </c>
      <c r="I673" s="4" t="s">
        <v>52</v>
      </c>
      <c r="L673" s="4" t="s">
        <v>2058</v>
      </c>
      <c r="M673" s="4" t="s">
        <v>2057</v>
      </c>
      <c r="N673" s="4">
        <v>99</v>
      </c>
      <c r="O673" s="4" t="s">
        <v>2059</v>
      </c>
    </row>
    <row r="674" spans="1:15" ht="15.75" customHeight="1">
      <c r="A674" s="4" t="s">
        <v>49</v>
      </c>
      <c r="B674" s="4">
        <v>688015</v>
      </c>
      <c r="C674" s="4">
        <v>688680</v>
      </c>
      <c r="E674" s="4" t="s">
        <v>55</v>
      </c>
      <c r="F674" s="4" t="s">
        <v>194</v>
      </c>
      <c r="I674" s="4" t="s">
        <v>52</v>
      </c>
      <c r="L674" s="4" t="s">
        <v>2060</v>
      </c>
      <c r="M674" s="4" t="s">
        <v>194</v>
      </c>
      <c r="N674" s="4">
        <v>221</v>
      </c>
      <c r="O674" s="4" t="s">
        <v>2061</v>
      </c>
    </row>
    <row r="675" spans="1:15" ht="15.75" customHeight="1">
      <c r="A675" s="4" t="s">
        <v>49</v>
      </c>
      <c r="B675" s="4">
        <v>688673</v>
      </c>
      <c r="C675" s="4">
        <v>689737</v>
      </c>
      <c r="E675" s="4" t="s">
        <v>55</v>
      </c>
      <c r="F675" s="4" t="s">
        <v>714</v>
      </c>
      <c r="I675" s="4" t="s">
        <v>52</v>
      </c>
      <c r="L675" s="4" t="s">
        <v>2062</v>
      </c>
      <c r="M675" s="4" t="s">
        <v>714</v>
      </c>
      <c r="N675" s="4">
        <v>354</v>
      </c>
      <c r="O675" s="4" t="s">
        <v>2063</v>
      </c>
    </row>
    <row r="676" spans="1:15" ht="15.75" customHeight="1">
      <c r="A676" s="4" t="s">
        <v>49</v>
      </c>
      <c r="B676" s="4">
        <v>689734</v>
      </c>
      <c r="C676" s="4">
        <v>690438</v>
      </c>
      <c r="E676" s="4" t="s">
        <v>55</v>
      </c>
      <c r="F676" s="4" t="s">
        <v>2064</v>
      </c>
      <c r="G676" s="4" t="s">
        <v>2065</v>
      </c>
      <c r="I676" s="4" t="s">
        <v>52</v>
      </c>
      <c r="L676" s="4" t="s">
        <v>2066</v>
      </c>
      <c r="M676" s="4" t="s">
        <v>2064</v>
      </c>
      <c r="N676" s="4">
        <v>234</v>
      </c>
      <c r="O676" s="4" t="s">
        <v>2067</v>
      </c>
    </row>
    <row r="677" spans="1:15" ht="15.75" customHeight="1">
      <c r="A677" s="4" t="s">
        <v>49</v>
      </c>
      <c r="B677" s="4">
        <v>690688</v>
      </c>
      <c r="C677" s="4">
        <v>691158</v>
      </c>
      <c r="E677" s="4" t="s">
        <v>55</v>
      </c>
      <c r="F677" s="4" t="s">
        <v>2068</v>
      </c>
      <c r="G677" s="4" t="s">
        <v>2069</v>
      </c>
      <c r="I677" s="4" t="s">
        <v>52</v>
      </c>
      <c r="L677" s="4" t="s">
        <v>2070</v>
      </c>
      <c r="M677" s="4" t="s">
        <v>2068</v>
      </c>
      <c r="N677" s="4">
        <v>156</v>
      </c>
      <c r="O677" s="4" t="s">
        <v>2071</v>
      </c>
    </row>
    <row r="678" spans="1:15" ht="15.75" customHeight="1">
      <c r="A678" s="4" t="s">
        <v>49</v>
      </c>
      <c r="B678" s="4">
        <v>691225</v>
      </c>
      <c r="C678" s="4">
        <v>691863</v>
      </c>
      <c r="E678" s="4" t="s">
        <v>55</v>
      </c>
      <c r="F678" s="4" t="s">
        <v>2072</v>
      </c>
      <c r="G678" s="4" t="s">
        <v>2073</v>
      </c>
      <c r="I678" s="4" t="s">
        <v>52</v>
      </c>
      <c r="L678" s="4" t="s">
        <v>2074</v>
      </c>
      <c r="M678" s="4" t="s">
        <v>2072</v>
      </c>
      <c r="N678" s="4">
        <v>212</v>
      </c>
      <c r="O678" s="4" t="s">
        <v>2075</v>
      </c>
    </row>
    <row r="679" spans="1:15" ht="15.75" customHeight="1">
      <c r="A679" s="4" t="s">
        <v>49</v>
      </c>
      <c r="B679" s="4">
        <v>691965</v>
      </c>
      <c r="C679" s="4">
        <v>693116</v>
      </c>
      <c r="E679" s="4" t="s">
        <v>55</v>
      </c>
      <c r="F679" s="4" t="s">
        <v>2076</v>
      </c>
      <c r="G679" s="4" t="s">
        <v>2077</v>
      </c>
      <c r="I679" s="4" t="s">
        <v>52</v>
      </c>
      <c r="L679" s="4" t="s">
        <v>2078</v>
      </c>
      <c r="M679" s="4" t="s">
        <v>2076</v>
      </c>
      <c r="N679" s="4">
        <v>383</v>
      </c>
      <c r="O679" s="4" t="s">
        <v>2079</v>
      </c>
    </row>
    <row r="680" spans="1:15" ht="15.75" customHeight="1">
      <c r="A680" s="4" t="s">
        <v>49</v>
      </c>
      <c r="B680" s="4">
        <v>693331</v>
      </c>
      <c r="C680" s="4">
        <v>695742</v>
      </c>
      <c r="E680" s="4" t="s">
        <v>55</v>
      </c>
      <c r="F680" s="4" t="s">
        <v>2080</v>
      </c>
      <c r="G680" s="4" t="s">
        <v>2081</v>
      </c>
      <c r="I680" s="4" t="s">
        <v>52</v>
      </c>
      <c r="L680" s="4" t="s">
        <v>2082</v>
      </c>
      <c r="M680" s="4" t="s">
        <v>2080</v>
      </c>
      <c r="N680" s="4">
        <v>803</v>
      </c>
      <c r="O680" s="4" t="s">
        <v>2083</v>
      </c>
    </row>
    <row r="681" spans="1:15" ht="15.75" customHeight="1">
      <c r="A681" s="4" t="s">
        <v>49</v>
      </c>
      <c r="B681" s="4">
        <v>695744</v>
      </c>
      <c r="C681" s="4">
        <v>696790</v>
      </c>
      <c r="E681" s="4" t="s">
        <v>55</v>
      </c>
      <c r="F681" s="4" t="s">
        <v>2084</v>
      </c>
      <c r="G681" s="4" t="s">
        <v>2085</v>
      </c>
      <c r="I681" s="4" t="s">
        <v>52</v>
      </c>
      <c r="L681" s="4" t="s">
        <v>2086</v>
      </c>
      <c r="M681" s="4" t="s">
        <v>2084</v>
      </c>
      <c r="N681" s="4">
        <v>348</v>
      </c>
      <c r="O681" s="4" t="s">
        <v>2087</v>
      </c>
    </row>
    <row r="682" spans="1:15" ht="15.75" customHeight="1">
      <c r="A682" s="4" t="s">
        <v>49</v>
      </c>
      <c r="B682" s="4">
        <v>697537</v>
      </c>
      <c r="C682" s="4">
        <v>697911</v>
      </c>
      <c r="E682" s="4" t="s">
        <v>55</v>
      </c>
      <c r="F682" s="4" t="s">
        <v>92</v>
      </c>
      <c r="I682" s="4" t="s">
        <v>52</v>
      </c>
      <c r="L682" s="4" t="s">
        <v>2088</v>
      </c>
      <c r="M682" s="4" t="s">
        <v>92</v>
      </c>
      <c r="N682" s="4">
        <v>124</v>
      </c>
      <c r="O682" s="4" t="s">
        <v>2089</v>
      </c>
    </row>
    <row r="683" spans="1:15" ht="15.75" customHeight="1">
      <c r="A683" s="4" t="s">
        <v>49</v>
      </c>
      <c r="B683" s="4">
        <v>698102</v>
      </c>
      <c r="C683" s="4">
        <v>698605</v>
      </c>
      <c r="E683" s="4" t="s">
        <v>55</v>
      </c>
      <c r="F683" s="4" t="s">
        <v>2090</v>
      </c>
      <c r="I683" s="4" t="s">
        <v>52</v>
      </c>
      <c r="L683" s="4" t="s">
        <v>2091</v>
      </c>
      <c r="M683" s="4" t="s">
        <v>2090</v>
      </c>
      <c r="N683" s="4">
        <v>167</v>
      </c>
      <c r="O683" s="4" t="s">
        <v>2092</v>
      </c>
    </row>
    <row r="684" spans="1:15" ht="15.75" customHeight="1">
      <c r="A684" s="4" t="s">
        <v>49</v>
      </c>
      <c r="B684" s="4">
        <v>698689</v>
      </c>
      <c r="C684" s="4">
        <v>699450</v>
      </c>
      <c r="E684" s="4" t="s">
        <v>55</v>
      </c>
      <c r="F684" s="4" t="s">
        <v>2093</v>
      </c>
      <c r="I684" s="4" t="s">
        <v>52</v>
      </c>
      <c r="L684" s="4" t="s">
        <v>2094</v>
      </c>
      <c r="M684" s="4" t="s">
        <v>2093</v>
      </c>
      <c r="N684" s="4">
        <v>253</v>
      </c>
      <c r="O684" s="4" t="s">
        <v>2095</v>
      </c>
    </row>
    <row r="685" spans="1:15" ht="15.75" customHeight="1">
      <c r="A685" s="4" t="s">
        <v>49</v>
      </c>
      <c r="B685" s="4">
        <v>699650</v>
      </c>
      <c r="C685" s="4">
        <v>699931</v>
      </c>
      <c r="E685" s="4" t="s">
        <v>50</v>
      </c>
      <c r="F685" s="4" t="s">
        <v>2096</v>
      </c>
      <c r="I685" s="4" t="s">
        <v>52</v>
      </c>
      <c r="L685" s="4" t="s">
        <v>2097</v>
      </c>
      <c r="M685" s="4" t="s">
        <v>2096</v>
      </c>
      <c r="N685" s="4">
        <v>93</v>
      </c>
      <c r="O685" s="4" t="s">
        <v>2098</v>
      </c>
    </row>
    <row r="686" spans="1:15" ht="15.75" customHeight="1">
      <c r="A686" s="4" t="s">
        <v>49</v>
      </c>
      <c r="B686" s="4">
        <v>699990</v>
      </c>
      <c r="C686" s="4">
        <v>700988</v>
      </c>
      <c r="E686" s="4" t="s">
        <v>50</v>
      </c>
      <c r="F686" s="4" t="s">
        <v>2099</v>
      </c>
      <c r="G686" s="4" t="s">
        <v>2100</v>
      </c>
      <c r="I686" s="4" t="s">
        <v>52</v>
      </c>
      <c r="L686" s="4" t="s">
        <v>2101</v>
      </c>
      <c r="M686" s="4" t="s">
        <v>2099</v>
      </c>
      <c r="N686" s="4">
        <v>332</v>
      </c>
      <c r="O686" s="4" t="s">
        <v>2102</v>
      </c>
    </row>
    <row r="687" spans="1:15" ht="15.75" customHeight="1">
      <c r="A687" s="4" t="s">
        <v>49</v>
      </c>
      <c r="B687" s="4">
        <v>701196</v>
      </c>
      <c r="C687" s="4">
        <v>702782</v>
      </c>
      <c r="E687" s="4" t="s">
        <v>55</v>
      </c>
      <c r="F687" s="4" t="s">
        <v>2103</v>
      </c>
      <c r="I687" s="4" t="s">
        <v>52</v>
      </c>
      <c r="L687" s="4" t="s">
        <v>2104</v>
      </c>
      <c r="M687" s="4" t="s">
        <v>2103</v>
      </c>
      <c r="N687" s="4">
        <v>528</v>
      </c>
      <c r="O687" s="4" t="s">
        <v>2105</v>
      </c>
    </row>
    <row r="688" spans="1:15" ht="15.75" customHeight="1">
      <c r="A688" s="4" t="s">
        <v>49</v>
      </c>
      <c r="B688" s="4">
        <v>702782</v>
      </c>
      <c r="C688" s="4">
        <v>703468</v>
      </c>
      <c r="E688" s="4" t="s">
        <v>55</v>
      </c>
      <c r="F688" s="4" t="s">
        <v>194</v>
      </c>
      <c r="I688" s="4" t="s">
        <v>52</v>
      </c>
      <c r="L688" s="4" t="s">
        <v>2106</v>
      </c>
      <c r="M688" s="4" t="s">
        <v>194</v>
      </c>
      <c r="N688" s="4">
        <v>228</v>
      </c>
      <c r="O688" s="4" t="s">
        <v>2107</v>
      </c>
    </row>
    <row r="689" spans="1:15" ht="15.75" customHeight="1">
      <c r="A689" s="4" t="s">
        <v>49</v>
      </c>
      <c r="B689" s="4">
        <v>703738</v>
      </c>
      <c r="C689" s="4">
        <v>705156</v>
      </c>
      <c r="E689" s="4" t="s">
        <v>55</v>
      </c>
      <c r="F689" s="4" t="s">
        <v>2108</v>
      </c>
      <c r="G689" s="4" t="s">
        <v>2109</v>
      </c>
      <c r="I689" s="4" t="s">
        <v>52</v>
      </c>
      <c r="L689" s="4" t="s">
        <v>2110</v>
      </c>
      <c r="M689" s="4" t="s">
        <v>2108</v>
      </c>
      <c r="N689" s="4">
        <v>472</v>
      </c>
      <c r="O689" s="4" t="s">
        <v>2111</v>
      </c>
    </row>
    <row r="690" spans="1:15" ht="15.75" customHeight="1">
      <c r="A690" s="4" t="s">
        <v>49</v>
      </c>
      <c r="B690" s="4">
        <v>705340</v>
      </c>
      <c r="C690" s="4">
        <v>705588</v>
      </c>
      <c r="E690" s="4" t="s">
        <v>55</v>
      </c>
      <c r="F690" s="4" t="s">
        <v>2112</v>
      </c>
      <c r="I690" s="4" t="s">
        <v>52</v>
      </c>
      <c r="L690" s="4" t="s">
        <v>2113</v>
      </c>
      <c r="M690" s="4" t="s">
        <v>2112</v>
      </c>
      <c r="N690" s="4">
        <v>82</v>
      </c>
      <c r="O690" s="4" t="s">
        <v>2114</v>
      </c>
    </row>
    <row r="691" spans="1:15" ht="15.75" customHeight="1">
      <c r="A691" s="4" t="s">
        <v>49</v>
      </c>
      <c r="B691" s="4">
        <v>705789</v>
      </c>
      <c r="C691" s="4">
        <v>706337</v>
      </c>
      <c r="E691" s="4" t="s">
        <v>55</v>
      </c>
      <c r="F691" s="4" t="s">
        <v>2115</v>
      </c>
      <c r="I691" s="4" t="s">
        <v>52</v>
      </c>
      <c r="L691" s="4" t="s">
        <v>2116</v>
      </c>
      <c r="M691" s="4" t="s">
        <v>2115</v>
      </c>
      <c r="N691" s="4">
        <v>182</v>
      </c>
      <c r="O691" s="4" t="s">
        <v>2117</v>
      </c>
    </row>
    <row r="692" spans="1:15" ht="15.75" customHeight="1">
      <c r="A692" s="4" t="s">
        <v>49</v>
      </c>
      <c r="B692" s="4">
        <v>706600</v>
      </c>
      <c r="C692" s="4">
        <v>707736</v>
      </c>
      <c r="E692" s="4" t="s">
        <v>55</v>
      </c>
      <c r="F692" s="4" t="s">
        <v>2118</v>
      </c>
      <c r="I692" s="4" t="s">
        <v>52</v>
      </c>
      <c r="L692" s="4" t="s">
        <v>2119</v>
      </c>
      <c r="M692" s="4" t="s">
        <v>2118</v>
      </c>
      <c r="N692" s="4">
        <v>378</v>
      </c>
      <c r="O692" s="4" t="s">
        <v>2120</v>
      </c>
    </row>
    <row r="693" spans="1:15" ht="15.75" customHeight="1">
      <c r="A693" s="4" t="s">
        <v>49</v>
      </c>
      <c r="B693" s="4">
        <v>707772</v>
      </c>
      <c r="C693" s="4">
        <v>708509</v>
      </c>
      <c r="E693" s="4" t="s">
        <v>55</v>
      </c>
      <c r="F693" s="4" t="s">
        <v>161</v>
      </c>
      <c r="I693" s="4" t="s">
        <v>52</v>
      </c>
      <c r="L693" s="4" t="s">
        <v>2121</v>
      </c>
      <c r="M693" s="4" t="s">
        <v>161</v>
      </c>
      <c r="N693" s="4">
        <v>245</v>
      </c>
      <c r="O693" s="4" t="s">
        <v>2122</v>
      </c>
    </row>
    <row r="694" spans="1:15" ht="15.75" customHeight="1">
      <c r="A694" s="4" t="s">
        <v>49</v>
      </c>
      <c r="B694" s="4">
        <v>708506</v>
      </c>
      <c r="C694" s="4">
        <v>708865</v>
      </c>
      <c r="E694" s="4" t="s">
        <v>55</v>
      </c>
      <c r="F694" s="4" t="s">
        <v>2123</v>
      </c>
      <c r="G694" s="4" t="s">
        <v>2124</v>
      </c>
      <c r="I694" s="4" t="s">
        <v>52</v>
      </c>
      <c r="L694" s="4" t="s">
        <v>2125</v>
      </c>
      <c r="M694" s="4" t="s">
        <v>2123</v>
      </c>
      <c r="N694" s="4">
        <v>119</v>
      </c>
      <c r="O694" s="4" t="s">
        <v>2126</v>
      </c>
    </row>
    <row r="695" spans="1:15" ht="15.75" customHeight="1">
      <c r="A695" s="4" t="s">
        <v>49</v>
      </c>
      <c r="B695" s="4">
        <v>708869</v>
      </c>
      <c r="C695" s="4">
        <v>709468</v>
      </c>
      <c r="E695" s="4" t="s">
        <v>55</v>
      </c>
      <c r="F695" s="4" t="s">
        <v>2127</v>
      </c>
      <c r="G695" s="4" t="s">
        <v>2128</v>
      </c>
      <c r="I695" s="4" t="s">
        <v>52</v>
      </c>
      <c r="L695" s="4" t="s">
        <v>2129</v>
      </c>
      <c r="M695" s="4" t="s">
        <v>2127</v>
      </c>
      <c r="N695" s="4">
        <v>199</v>
      </c>
      <c r="O695" s="4" t="s">
        <v>2130</v>
      </c>
    </row>
    <row r="696" spans="1:15" ht="15.75" customHeight="1">
      <c r="A696" s="4" t="s">
        <v>49</v>
      </c>
      <c r="B696" s="4">
        <v>709461</v>
      </c>
      <c r="C696" s="4">
        <v>710111</v>
      </c>
      <c r="E696" s="4" t="s">
        <v>55</v>
      </c>
      <c r="F696" s="4" t="s">
        <v>2131</v>
      </c>
      <c r="I696" s="4" t="s">
        <v>52</v>
      </c>
      <c r="L696" s="4" t="s">
        <v>2132</v>
      </c>
      <c r="M696" s="4" t="s">
        <v>2131</v>
      </c>
      <c r="N696" s="4">
        <v>216</v>
      </c>
      <c r="O696" s="4" t="s">
        <v>2133</v>
      </c>
    </row>
    <row r="697" spans="1:15" ht="15.75" customHeight="1">
      <c r="A697" s="4" t="s">
        <v>49</v>
      </c>
      <c r="B697" s="4">
        <v>710122</v>
      </c>
      <c r="C697" s="4">
        <v>710433</v>
      </c>
      <c r="E697" s="4" t="s">
        <v>55</v>
      </c>
      <c r="F697" s="4" t="s">
        <v>2134</v>
      </c>
      <c r="G697" s="4" t="s">
        <v>2135</v>
      </c>
      <c r="I697" s="4" t="s">
        <v>52</v>
      </c>
      <c r="L697" s="4" t="s">
        <v>2136</v>
      </c>
      <c r="M697" s="4" t="s">
        <v>2134</v>
      </c>
      <c r="N697" s="4">
        <v>103</v>
      </c>
      <c r="O697" s="4" t="s">
        <v>2137</v>
      </c>
    </row>
    <row r="698" spans="1:15" ht="15.75" customHeight="1">
      <c r="A698" s="4" t="s">
        <v>49</v>
      </c>
      <c r="B698" s="4">
        <v>710573</v>
      </c>
      <c r="C698" s="4">
        <v>711697</v>
      </c>
      <c r="E698" s="4" t="s">
        <v>55</v>
      </c>
      <c r="F698" s="4" t="s">
        <v>2138</v>
      </c>
      <c r="G698" s="4" t="s">
        <v>2139</v>
      </c>
      <c r="I698" s="4" t="s">
        <v>52</v>
      </c>
      <c r="L698" s="4" t="s">
        <v>2140</v>
      </c>
      <c r="M698" s="4" t="s">
        <v>2138</v>
      </c>
      <c r="N698" s="4">
        <v>374</v>
      </c>
      <c r="O698" s="4" t="s">
        <v>2141</v>
      </c>
    </row>
    <row r="699" spans="1:15" ht="15.75" customHeight="1">
      <c r="A699" s="4" t="s">
        <v>49</v>
      </c>
      <c r="B699" s="4">
        <v>711678</v>
      </c>
      <c r="C699" s="4">
        <v>712214</v>
      </c>
      <c r="E699" s="4" t="s">
        <v>55</v>
      </c>
      <c r="F699" s="4" t="s">
        <v>2142</v>
      </c>
      <c r="I699" s="4" t="s">
        <v>52</v>
      </c>
      <c r="L699" s="4" t="s">
        <v>2143</v>
      </c>
      <c r="M699" s="4" t="s">
        <v>2142</v>
      </c>
      <c r="N699" s="4">
        <v>178</v>
      </c>
      <c r="O699" s="4" t="s">
        <v>2144</v>
      </c>
    </row>
    <row r="700" spans="1:15" ht="15.75" customHeight="1">
      <c r="A700" s="4" t="s">
        <v>49</v>
      </c>
      <c r="B700" s="4">
        <v>712621</v>
      </c>
      <c r="C700" s="4">
        <v>713520</v>
      </c>
      <c r="E700" s="4" t="s">
        <v>50</v>
      </c>
      <c r="F700" s="4" t="s">
        <v>2145</v>
      </c>
      <c r="I700" s="4" t="s">
        <v>52</v>
      </c>
      <c r="L700" s="4" t="s">
        <v>2146</v>
      </c>
      <c r="M700" s="4" t="s">
        <v>2145</v>
      </c>
      <c r="N700" s="4">
        <v>299</v>
      </c>
      <c r="O700" s="4" t="s">
        <v>2147</v>
      </c>
    </row>
    <row r="701" spans="1:15" ht="15.75" customHeight="1">
      <c r="A701" s="4" t="s">
        <v>49</v>
      </c>
      <c r="B701" s="4">
        <v>713513</v>
      </c>
      <c r="C701" s="4">
        <v>714481</v>
      </c>
      <c r="E701" s="4" t="s">
        <v>50</v>
      </c>
      <c r="F701" s="4" t="s">
        <v>2148</v>
      </c>
      <c r="I701" s="4" t="s">
        <v>52</v>
      </c>
      <c r="L701" s="4" t="s">
        <v>2149</v>
      </c>
      <c r="M701" s="4" t="s">
        <v>2148</v>
      </c>
      <c r="N701" s="4">
        <v>322</v>
      </c>
      <c r="O701" s="4" t="s">
        <v>2150</v>
      </c>
    </row>
    <row r="702" spans="1:15" ht="15.75" customHeight="1">
      <c r="A702" s="4" t="s">
        <v>49</v>
      </c>
      <c r="B702" s="4">
        <v>714497</v>
      </c>
      <c r="C702" s="4">
        <v>715138</v>
      </c>
      <c r="E702" s="4" t="s">
        <v>50</v>
      </c>
      <c r="F702" s="4" t="s">
        <v>2151</v>
      </c>
      <c r="I702" s="4" t="s">
        <v>52</v>
      </c>
      <c r="L702" s="4" t="s">
        <v>2152</v>
      </c>
      <c r="M702" s="4" t="s">
        <v>2151</v>
      </c>
      <c r="N702" s="4">
        <v>213</v>
      </c>
      <c r="O702" s="4" t="s">
        <v>2153</v>
      </c>
    </row>
    <row r="703" spans="1:15" ht="15.75" customHeight="1">
      <c r="A703" s="4" t="s">
        <v>49</v>
      </c>
      <c r="B703" s="4">
        <v>715145</v>
      </c>
      <c r="C703" s="4">
        <v>716113</v>
      </c>
      <c r="E703" s="4" t="s">
        <v>50</v>
      </c>
      <c r="F703" s="4" t="s">
        <v>2154</v>
      </c>
      <c r="I703" s="4" t="s">
        <v>52</v>
      </c>
      <c r="L703" s="4" t="s">
        <v>2155</v>
      </c>
      <c r="M703" s="4" t="s">
        <v>2154</v>
      </c>
      <c r="N703" s="4">
        <v>322</v>
      </c>
      <c r="O703" s="4" t="s">
        <v>2156</v>
      </c>
    </row>
    <row r="704" spans="1:15" ht="15.75" customHeight="1">
      <c r="A704" s="4" t="s">
        <v>49</v>
      </c>
      <c r="B704" s="4">
        <v>716190</v>
      </c>
      <c r="C704" s="4">
        <v>716753</v>
      </c>
      <c r="E704" s="4" t="s">
        <v>50</v>
      </c>
      <c r="F704" s="4" t="s">
        <v>2157</v>
      </c>
      <c r="I704" s="4" t="s">
        <v>52</v>
      </c>
      <c r="L704" s="4" t="s">
        <v>2158</v>
      </c>
      <c r="M704" s="4" t="s">
        <v>2157</v>
      </c>
      <c r="N704" s="4">
        <v>187</v>
      </c>
      <c r="O704" s="4" t="s">
        <v>2159</v>
      </c>
    </row>
    <row r="705" spans="1:15" ht="15.75" customHeight="1">
      <c r="A705" s="4" t="s">
        <v>49</v>
      </c>
      <c r="B705" s="4">
        <v>716871</v>
      </c>
      <c r="C705" s="4">
        <v>717227</v>
      </c>
      <c r="E705" s="4" t="s">
        <v>55</v>
      </c>
      <c r="F705" s="4" t="s">
        <v>2160</v>
      </c>
      <c r="G705" s="4" t="s">
        <v>2161</v>
      </c>
      <c r="I705" s="4" t="s">
        <v>52</v>
      </c>
      <c r="L705" s="4" t="s">
        <v>2162</v>
      </c>
      <c r="M705" s="4" t="s">
        <v>2160</v>
      </c>
      <c r="N705" s="4">
        <v>118</v>
      </c>
      <c r="O705" s="4" t="s">
        <v>2163</v>
      </c>
    </row>
    <row r="706" spans="1:15" ht="15.75" customHeight="1">
      <c r="A706" s="4" t="s">
        <v>49</v>
      </c>
      <c r="B706" s="4">
        <v>717262</v>
      </c>
      <c r="C706" s="4">
        <v>717462</v>
      </c>
      <c r="E706" s="4" t="s">
        <v>55</v>
      </c>
      <c r="F706" s="4" t="s">
        <v>2164</v>
      </c>
      <c r="G706" s="4" t="s">
        <v>2165</v>
      </c>
      <c r="I706" s="4" t="s">
        <v>52</v>
      </c>
      <c r="L706" s="4" t="s">
        <v>2166</v>
      </c>
      <c r="M706" s="4" t="s">
        <v>2164</v>
      </c>
      <c r="N706" s="4">
        <v>66</v>
      </c>
      <c r="O706" s="4" t="s">
        <v>2167</v>
      </c>
    </row>
    <row r="707" spans="1:15" ht="15.75" customHeight="1">
      <c r="A707" s="4" t="s">
        <v>49</v>
      </c>
      <c r="B707" s="4">
        <v>717542</v>
      </c>
      <c r="C707" s="4">
        <v>718057</v>
      </c>
      <c r="E707" s="4" t="s">
        <v>55</v>
      </c>
      <c r="F707" s="4" t="s">
        <v>2168</v>
      </c>
      <c r="G707" s="4" t="s">
        <v>2169</v>
      </c>
      <c r="I707" s="4" t="s">
        <v>52</v>
      </c>
      <c r="L707" s="4" t="s">
        <v>2170</v>
      </c>
      <c r="M707" s="4" t="s">
        <v>2168</v>
      </c>
      <c r="N707" s="4">
        <v>171</v>
      </c>
      <c r="O707" s="4" t="s">
        <v>2171</v>
      </c>
    </row>
    <row r="708" spans="1:15" ht="15.75" customHeight="1">
      <c r="A708" s="4" t="s">
        <v>49</v>
      </c>
      <c r="B708" s="4">
        <v>718256</v>
      </c>
      <c r="C708" s="4">
        <v>718951</v>
      </c>
      <c r="E708" s="4" t="s">
        <v>55</v>
      </c>
      <c r="F708" s="4" t="s">
        <v>2172</v>
      </c>
      <c r="I708" s="4" t="s">
        <v>52</v>
      </c>
      <c r="L708" s="4" t="s">
        <v>2173</v>
      </c>
      <c r="M708" s="4" t="s">
        <v>2172</v>
      </c>
      <c r="N708" s="4">
        <v>231</v>
      </c>
      <c r="O708" s="4" t="s">
        <v>2174</v>
      </c>
    </row>
    <row r="709" spans="1:15" ht="15.75" customHeight="1">
      <c r="A709" s="4" t="s">
        <v>49</v>
      </c>
      <c r="B709" s="4">
        <v>718944</v>
      </c>
      <c r="C709" s="4">
        <v>719333</v>
      </c>
      <c r="E709" s="4" t="s">
        <v>55</v>
      </c>
      <c r="F709" s="4" t="s">
        <v>56</v>
      </c>
      <c r="I709" s="4" t="s">
        <v>52</v>
      </c>
      <c r="L709" s="4" t="s">
        <v>2175</v>
      </c>
      <c r="M709" s="4" t="s">
        <v>56</v>
      </c>
      <c r="N709" s="4">
        <v>129</v>
      </c>
      <c r="O709" s="4" t="s">
        <v>2176</v>
      </c>
    </row>
    <row r="710" spans="1:15" ht="15.75" customHeight="1">
      <c r="A710" s="4" t="s">
        <v>49</v>
      </c>
      <c r="B710" s="4">
        <v>719483</v>
      </c>
      <c r="C710" s="4">
        <v>720051</v>
      </c>
      <c r="E710" s="4" t="s">
        <v>50</v>
      </c>
      <c r="F710" s="4" t="s">
        <v>345</v>
      </c>
      <c r="I710" s="4" t="s">
        <v>346</v>
      </c>
      <c r="O710" s="4" t="s">
        <v>2177</v>
      </c>
    </row>
    <row r="711" spans="1:15" ht="15.75" customHeight="1">
      <c r="A711" s="4" t="s">
        <v>49</v>
      </c>
      <c r="B711" s="4">
        <v>720172</v>
      </c>
      <c r="C711" s="4">
        <v>722145</v>
      </c>
      <c r="E711" s="4" t="s">
        <v>55</v>
      </c>
      <c r="F711" s="4" t="s">
        <v>2178</v>
      </c>
      <c r="G711" s="4" t="s">
        <v>2179</v>
      </c>
      <c r="I711" s="4" t="s">
        <v>52</v>
      </c>
      <c r="L711" s="4" t="s">
        <v>2180</v>
      </c>
      <c r="M711" s="4" t="s">
        <v>2178</v>
      </c>
      <c r="N711" s="4">
        <v>657</v>
      </c>
      <c r="O711" s="4" t="s">
        <v>2181</v>
      </c>
    </row>
    <row r="712" spans="1:15" ht="15.75" customHeight="1">
      <c r="A712" s="4" t="s">
        <v>49</v>
      </c>
      <c r="B712" s="4">
        <v>722200</v>
      </c>
      <c r="C712" s="4">
        <v>722580</v>
      </c>
      <c r="E712" s="4" t="s">
        <v>55</v>
      </c>
      <c r="F712" s="4" t="s">
        <v>56</v>
      </c>
      <c r="I712" s="4" t="s">
        <v>52</v>
      </c>
      <c r="L712" s="4" t="s">
        <v>2182</v>
      </c>
      <c r="M712" s="4" t="s">
        <v>56</v>
      </c>
      <c r="N712" s="4">
        <v>126</v>
      </c>
      <c r="O712" s="4" t="s">
        <v>2183</v>
      </c>
    </row>
    <row r="713" spans="1:15" ht="15.75" customHeight="1">
      <c r="A713" s="4" t="s">
        <v>49</v>
      </c>
      <c r="B713" s="4">
        <v>722674</v>
      </c>
      <c r="C713" s="4">
        <v>723609</v>
      </c>
      <c r="E713" s="4" t="s">
        <v>55</v>
      </c>
      <c r="F713" s="4" t="s">
        <v>2184</v>
      </c>
      <c r="G713" s="4" t="s">
        <v>2185</v>
      </c>
      <c r="I713" s="4" t="s">
        <v>52</v>
      </c>
      <c r="L713" s="4" t="s">
        <v>2186</v>
      </c>
      <c r="M713" s="4" t="s">
        <v>2184</v>
      </c>
      <c r="N713" s="4">
        <v>311</v>
      </c>
      <c r="O713" s="4" t="s">
        <v>2187</v>
      </c>
    </row>
    <row r="714" spans="1:15" ht="15.75" customHeight="1">
      <c r="A714" s="4" t="s">
        <v>49</v>
      </c>
      <c r="B714" s="4">
        <v>723609</v>
      </c>
      <c r="C714" s="4">
        <v>724955</v>
      </c>
      <c r="E714" s="4" t="s">
        <v>55</v>
      </c>
      <c r="F714" s="4" t="s">
        <v>2188</v>
      </c>
      <c r="I714" s="4" t="s">
        <v>52</v>
      </c>
      <c r="L714" s="4" t="s">
        <v>2189</v>
      </c>
      <c r="M714" s="4" t="s">
        <v>2188</v>
      </c>
      <c r="N714" s="4">
        <v>448</v>
      </c>
      <c r="O714" s="4" t="s">
        <v>2190</v>
      </c>
    </row>
    <row r="715" spans="1:15" ht="15.75" customHeight="1">
      <c r="A715" s="4" t="s">
        <v>49</v>
      </c>
      <c r="B715" s="4">
        <v>725035</v>
      </c>
      <c r="C715" s="4">
        <v>725502</v>
      </c>
      <c r="E715" s="4" t="s">
        <v>55</v>
      </c>
      <c r="F715" s="4" t="s">
        <v>2191</v>
      </c>
      <c r="G715" s="4" t="s">
        <v>2192</v>
      </c>
      <c r="I715" s="4" t="s">
        <v>52</v>
      </c>
      <c r="L715" s="4" t="s">
        <v>2193</v>
      </c>
      <c r="M715" s="4" t="s">
        <v>2191</v>
      </c>
      <c r="N715" s="4">
        <v>155</v>
      </c>
      <c r="O715" s="4" t="s">
        <v>2194</v>
      </c>
    </row>
    <row r="716" spans="1:15" ht="15.75" customHeight="1">
      <c r="A716" s="4" t="s">
        <v>49</v>
      </c>
      <c r="B716" s="4">
        <v>725557</v>
      </c>
      <c r="C716" s="4">
        <v>726159</v>
      </c>
      <c r="E716" s="4" t="s">
        <v>55</v>
      </c>
      <c r="F716" s="4" t="s">
        <v>2195</v>
      </c>
      <c r="G716" s="4" t="s">
        <v>2196</v>
      </c>
      <c r="I716" s="4" t="s">
        <v>52</v>
      </c>
      <c r="L716" s="4" t="s">
        <v>2197</v>
      </c>
      <c r="M716" s="4" t="s">
        <v>2195</v>
      </c>
      <c r="N716" s="4">
        <v>200</v>
      </c>
      <c r="O716" s="4" t="s">
        <v>2198</v>
      </c>
    </row>
    <row r="717" spans="1:15" ht="15.75" customHeight="1">
      <c r="A717" s="4" t="s">
        <v>49</v>
      </c>
      <c r="B717" s="4">
        <v>726156</v>
      </c>
      <c r="C717" s="4">
        <v>727004</v>
      </c>
      <c r="E717" s="4" t="s">
        <v>55</v>
      </c>
      <c r="F717" s="4" t="s">
        <v>2199</v>
      </c>
      <c r="G717" s="4" t="s">
        <v>2200</v>
      </c>
      <c r="I717" s="4" t="s">
        <v>52</v>
      </c>
      <c r="L717" s="4" t="s">
        <v>2201</v>
      </c>
      <c r="M717" s="4" t="s">
        <v>2199</v>
      </c>
      <c r="N717" s="4">
        <v>282</v>
      </c>
      <c r="O717" s="4" t="s">
        <v>2202</v>
      </c>
    </row>
    <row r="718" spans="1:15" ht="15.75" customHeight="1">
      <c r="A718" s="4" t="s">
        <v>49</v>
      </c>
      <c r="B718" s="4">
        <v>727015</v>
      </c>
      <c r="C718" s="4">
        <v>729660</v>
      </c>
      <c r="E718" s="4" t="s">
        <v>55</v>
      </c>
      <c r="F718" s="4" t="s">
        <v>2203</v>
      </c>
      <c r="G718" s="4" t="s">
        <v>2204</v>
      </c>
      <c r="I718" s="4" t="s">
        <v>52</v>
      </c>
      <c r="L718" s="4" t="s">
        <v>2205</v>
      </c>
      <c r="M718" s="4" t="s">
        <v>2203</v>
      </c>
      <c r="N718" s="4">
        <v>881</v>
      </c>
      <c r="O718" s="4" t="s">
        <v>2206</v>
      </c>
    </row>
    <row r="719" spans="1:15" ht="15.75" customHeight="1">
      <c r="A719" s="4" t="s">
        <v>49</v>
      </c>
      <c r="B719" s="4">
        <v>729823</v>
      </c>
      <c r="C719" s="4">
        <v>730533</v>
      </c>
      <c r="E719" s="4" t="s">
        <v>55</v>
      </c>
      <c r="F719" s="4" t="s">
        <v>2207</v>
      </c>
      <c r="I719" s="4" t="s">
        <v>52</v>
      </c>
      <c r="L719" s="4" t="s">
        <v>2208</v>
      </c>
      <c r="M719" s="4" t="s">
        <v>2207</v>
      </c>
      <c r="N719" s="4">
        <v>236</v>
      </c>
      <c r="O719" s="4" t="s">
        <v>2209</v>
      </c>
    </row>
    <row r="720" spans="1:15" ht="15.75" customHeight="1">
      <c r="A720" s="4" t="s">
        <v>49</v>
      </c>
      <c r="B720" s="4">
        <v>730694</v>
      </c>
      <c r="C720" s="4">
        <v>732004</v>
      </c>
      <c r="E720" s="4" t="s">
        <v>55</v>
      </c>
      <c r="F720" s="4" t="s">
        <v>2210</v>
      </c>
      <c r="G720" s="4" t="s">
        <v>2211</v>
      </c>
      <c r="I720" s="4" t="s">
        <v>52</v>
      </c>
      <c r="L720" s="4" t="s">
        <v>2212</v>
      </c>
      <c r="M720" s="4" t="s">
        <v>2210</v>
      </c>
      <c r="N720" s="4">
        <v>436</v>
      </c>
      <c r="O720" s="4" t="s">
        <v>2213</v>
      </c>
    </row>
    <row r="721" spans="1:15" ht="15.75" customHeight="1">
      <c r="A721" s="4" t="s">
        <v>49</v>
      </c>
      <c r="B721" s="4">
        <v>732001</v>
      </c>
      <c r="C721" s="4">
        <v>734511</v>
      </c>
      <c r="E721" s="4" t="s">
        <v>55</v>
      </c>
      <c r="F721" s="4" t="s">
        <v>2214</v>
      </c>
      <c r="I721" s="4" t="s">
        <v>52</v>
      </c>
      <c r="L721" s="4" t="s">
        <v>2215</v>
      </c>
      <c r="M721" s="4" t="s">
        <v>2214</v>
      </c>
      <c r="N721" s="4">
        <v>836</v>
      </c>
      <c r="O721" s="4" t="s">
        <v>2216</v>
      </c>
    </row>
    <row r="722" spans="1:15" ht="15.75" customHeight="1">
      <c r="A722" s="4" t="s">
        <v>49</v>
      </c>
      <c r="B722" s="4">
        <v>734746</v>
      </c>
      <c r="C722" s="4">
        <v>735387</v>
      </c>
      <c r="E722" s="4" t="s">
        <v>55</v>
      </c>
      <c r="F722" s="4" t="s">
        <v>2217</v>
      </c>
      <c r="G722" s="4" t="s">
        <v>2218</v>
      </c>
      <c r="I722" s="4" t="s">
        <v>52</v>
      </c>
      <c r="L722" s="4" t="s">
        <v>2219</v>
      </c>
      <c r="M722" s="4" t="s">
        <v>2217</v>
      </c>
      <c r="N722" s="4">
        <v>213</v>
      </c>
      <c r="O722" s="4" t="s">
        <v>2220</v>
      </c>
    </row>
    <row r="723" spans="1:15" ht="15.75" customHeight="1">
      <c r="A723" s="4" t="s">
        <v>49</v>
      </c>
      <c r="B723" s="4">
        <v>735403</v>
      </c>
      <c r="C723" s="4">
        <v>735720</v>
      </c>
      <c r="E723" s="4" t="s">
        <v>55</v>
      </c>
      <c r="F723" s="4" t="s">
        <v>2221</v>
      </c>
      <c r="I723" s="4" t="s">
        <v>52</v>
      </c>
      <c r="L723" s="4" t="s">
        <v>2222</v>
      </c>
      <c r="M723" s="4" t="s">
        <v>2221</v>
      </c>
      <c r="N723" s="4">
        <v>105</v>
      </c>
      <c r="O723" s="4" t="s">
        <v>2223</v>
      </c>
    </row>
    <row r="724" spans="1:15" ht="15.75" customHeight="1">
      <c r="A724" s="4" t="s">
        <v>49</v>
      </c>
      <c r="B724" s="4">
        <v>735978</v>
      </c>
      <c r="C724" s="4">
        <v>736319</v>
      </c>
      <c r="E724" s="4" t="s">
        <v>50</v>
      </c>
      <c r="F724" s="4" t="s">
        <v>56</v>
      </c>
      <c r="I724" s="4" t="s">
        <v>52</v>
      </c>
      <c r="L724" s="4" t="s">
        <v>2224</v>
      </c>
      <c r="M724" s="4" t="s">
        <v>56</v>
      </c>
      <c r="N724" s="4">
        <v>113</v>
      </c>
      <c r="O724" s="4" t="s">
        <v>2225</v>
      </c>
    </row>
    <row r="725" spans="1:15" ht="15.75" customHeight="1">
      <c r="A725" s="4" t="s">
        <v>49</v>
      </c>
      <c r="B725" s="4">
        <v>736309</v>
      </c>
      <c r="C725" s="4">
        <v>736953</v>
      </c>
      <c r="E725" s="4" t="s">
        <v>55</v>
      </c>
      <c r="F725" s="4" t="s">
        <v>2226</v>
      </c>
      <c r="G725" s="4" t="s">
        <v>2227</v>
      </c>
      <c r="I725" s="4" t="s">
        <v>52</v>
      </c>
      <c r="L725" s="4" t="s">
        <v>2228</v>
      </c>
      <c r="M725" s="4" t="s">
        <v>2226</v>
      </c>
      <c r="N725" s="4">
        <v>214</v>
      </c>
      <c r="O725" s="4" t="s">
        <v>2229</v>
      </c>
    </row>
    <row r="726" spans="1:15" ht="15.75" customHeight="1">
      <c r="A726" s="4" t="s">
        <v>49</v>
      </c>
      <c r="B726" s="4">
        <v>737082</v>
      </c>
      <c r="C726" s="4">
        <v>737855</v>
      </c>
      <c r="E726" s="4" t="s">
        <v>55</v>
      </c>
      <c r="F726" s="4" t="s">
        <v>2230</v>
      </c>
      <c r="I726" s="4" t="s">
        <v>52</v>
      </c>
      <c r="L726" s="4" t="s">
        <v>2231</v>
      </c>
      <c r="M726" s="4" t="s">
        <v>2230</v>
      </c>
      <c r="N726" s="4">
        <v>257</v>
      </c>
      <c r="O726" s="4" t="s">
        <v>2232</v>
      </c>
    </row>
    <row r="727" spans="1:15" ht="15.75" customHeight="1">
      <c r="A727" s="4" t="s">
        <v>49</v>
      </c>
      <c r="B727" s="4">
        <v>738245</v>
      </c>
      <c r="C727" s="4">
        <v>739459</v>
      </c>
      <c r="E727" s="4" t="s">
        <v>55</v>
      </c>
      <c r="F727" s="4" t="s">
        <v>76</v>
      </c>
      <c r="I727" s="4" t="s">
        <v>52</v>
      </c>
      <c r="L727" s="4" t="s">
        <v>2233</v>
      </c>
      <c r="M727" s="4" t="s">
        <v>76</v>
      </c>
      <c r="N727" s="4">
        <v>404</v>
      </c>
      <c r="O727" s="4" t="s">
        <v>2234</v>
      </c>
    </row>
    <row r="728" spans="1:15" ht="15.75" customHeight="1">
      <c r="A728" s="4" t="s">
        <v>49</v>
      </c>
      <c r="B728" s="4">
        <v>739459</v>
      </c>
      <c r="C728" s="4">
        <v>740187</v>
      </c>
      <c r="E728" s="4" t="s">
        <v>55</v>
      </c>
      <c r="F728" s="4" t="s">
        <v>73</v>
      </c>
      <c r="I728" s="4" t="s">
        <v>52</v>
      </c>
      <c r="L728" s="4" t="s">
        <v>2235</v>
      </c>
      <c r="M728" s="4" t="s">
        <v>73</v>
      </c>
      <c r="N728" s="4">
        <v>242</v>
      </c>
      <c r="O728" s="4" t="s">
        <v>2236</v>
      </c>
    </row>
    <row r="729" spans="1:15" ht="15.75" customHeight="1">
      <c r="A729" s="4" t="s">
        <v>49</v>
      </c>
      <c r="B729" s="4">
        <v>740284</v>
      </c>
      <c r="C729" s="4">
        <v>740718</v>
      </c>
      <c r="E729" s="4" t="s">
        <v>50</v>
      </c>
      <c r="F729" s="4" t="s">
        <v>1648</v>
      </c>
      <c r="I729" s="4" t="s">
        <v>52</v>
      </c>
      <c r="L729" s="4" t="s">
        <v>2237</v>
      </c>
      <c r="M729" s="4" t="s">
        <v>1648</v>
      </c>
      <c r="N729" s="4">
        <v>144</v>
      </c>
      <c r="O729" s="4" t="s">
        <v>2238</v>
      </c>
    </row>
    <row r="730" spans="1:15" ht="15.75" customHeight="1">
      <c r="A730" s="4" t="s">
        <v>49</v>
      </c>
      <c r="B730" s="4">
        <v>740715</v>
      </c>
      <c r="C730" s="4">
        <v>741086</v>
      </c>
      <c r="E730" s="4" t="s">
        <v>50</v>
      </c>
      <c r="F730" s="4" t="s">
        <v>2239</v>
      </c>
      <c r="I730" s="4" t="s">
        <v>52</v>
      </c>
      <c r="L730" s="4" t="s">
        <v>2240</v>
      </c>
      <c r="M730" s="4" t="s">
        <v>2239</v>
      </c>
      <c r="N730" s="4">
        <v>123</v>
      </c>
      <c r="O730" s="4" t="s">
        <v>2241</v>
      </c>
    </row>
    <row r="731" spans="1:15" ht="15.75" customHeight="1">
      <c r="A731" s="4" t="s">
        <v>49</v>
      </c>
      <c r="B731" s="4">
        <v>741223</v>
      </c>
      <c r="C731" s="4">
        <v>742125</v>
      </c>
      <c r="E731" s="4" t="s">
        <v>50</v>
      </c>
      <c r="F731" s="4" t="s">
        <v>2242</v>
      </c>
      <c r="I731" s="4" t="s">
        <v>52</v>
      </c>
      <c r="L731" s="4" t="s">
        <v>2243</v>
      </c>
      <c r="M731" s="4" t="s">
        <v>2242</v>
      </c>
      <c r="N731" s="4">
        <v>300</v>
      </c>
      <c r="O731" s="4" t="s">
        <v>2244</v>
      </c>
    </row>
    <row r="732" spans="1:15" ht="15.75" customHeight="1">
      <c r="A732" s="4" t="s">
        <v>49</v>
      </c>
      <c r="B732" s="4">
        <v>742321</v>
      </c>
      <c r="C732" s="4">
        <v>743289</v>
      </c>
      <c r="E732" s="4" t="s">
        <v>55</v>
      </c>
      <c r="F732" s="4" t="s">
        <v>2245</v>
      </c>
      <c r="I732" s="4" t="s">
        <v>52</v>
      </c>
      <c r="L732" s="4" t="s">
        <v>2246</v>
      </c>
      <c r="M732" s="4" t="s">
        <v>2245</v>
      </c>
      <c r="N732" s="4">
        <v>322</v>
      </c>
      <c r="O732" s="4" t="s">
        <v>2247</v>
      </c>
    </row>
    <row r="733" spans="1:15" ht="15.75" customHeight="1">
      <c r="A733" s="4" t="s">
        <v>49</v>
      </c>
      <c r="B733" s="4">
        <v>743635</v>
      </c>
      <c r="C733" s="4">
        <v>743979</v>
      </c>
      <c r="E733" s="4" t="s">
        <v>55</v>
      </c>
      <c r="F733" s="4" t="s">
        <v>2248</v>
      </c>
      <c r="I733" s="4" t="s">
        <v>52</v>
      </c>
      <c r="L733" s="4" t="s">
        <v>2249</v>
      </c>
      <c r="M733" s="4" t="s">
        <v>2248</v>
      </c>
      <c r="N733" s="4">
        <v>114</v>
      </c>
      <c r="O733" s="4" t="s">
        <v>2250</v>
      </c>
    </row>
    <row r="734" spans="1:15" ht="15.75" customHeight="1">
      <c r="A734" s="4" t="s">
        <v>49</v>
      </c>
      <c r="B734" s="4">
        <v>744001</v>
      </c>
      <c r="C734" s="4">
        <v>746043</v>
      </c>
      <c r="E734" s="4" t="s">
        <v>55</v>
      </c>
      <c r="F734" s="4" t="s">
        <v>1502</v>
      </c>
      <c r="I734" s="4" t="s">
        <v>52</v>
      </c>
      <c r="L734" s="4" t="s">
        <v>2251</v>
      </c>
      <c r="M734" s="4" t="s">
        <v>1502</v>
      </c>
      <c r="N734" s="4">
        <v>680</v>
      </c>
      <c r="O734" s="4" t="s">
        <v>2252</v>
      </c>
    </row>
    <row r="735" spans="1:15" ht="15.75" customHeight="1">
      <c r="A735" s="4" t="s">
        <v>49</v>
      </c>
      <c r="B735" s="4">
        <v>746155</v>
      </c>
      <c r="C735" s="4">
        <v>746988</v>
      </c>
      <c r="E735" s="4" t="s">
        <v>50</v>
      </c>
      <c r="F735" s="4" t="s">
        <v>1434</v>
      </c>
      <c r="I735" s="4" t="s">
        <v>52</v>
      </c>
      <c r="L735" s="4" t="s">
        <v>2253</v>
      </c>
      <c r="M735" s="4" t="s">
        <v>1434</v>
      </c>
      <c r="N735" s="4">
        <v>277</v>
      </c>
      <c r="O735" s="4" t="s">
        <v>2254</v>
      </c>
    </row>
    <row r="736" spans="1:15" ht="15.75" customHeight="1">
      <c r="A736" s="4" t="s">
        <v>49</v>
      </c>
      <c r="B736" s="4">
        <v>747122</v>
      </c>
      <c r="C736" s="4">
        <v>747577</v>
      </c>
      <c r="E736" s="4" t="s">
        <v>55</v>
      </c>
      <c r="F736" s="4" t="s">
        <v>1966</v>
      </c>
      <c r="I736" s="4" t="s">
        <v>52</v>
      </c>
      <c r="L736" s="4" t="s">
        <v>2255</v>
      </c>
      <c r="M736" s="4" t="s">
        <v>1966</v>
      </c>
      <c r="N736" s="4">
        <v>151</v>
      </c>
      <c r="O736" s="4" t="s">
        <v>2256</v>
      </c>
    </row>
    <row r="737" spans="1:15" ht="15.75" customHeight="1">
      <c r="A737" s="4" t="s">
        <v>49</v>
      </c>
      <c r="B737" s="4">
        <v>747748</v>
      </c>
      <c r="C737" s="4">
        <v>749430</v>
      </c>
      <c r="E737" s="4" t="s">
        <v>55</v>
      </c>
      <c r="F737" s="4" t="s">
        <v>2257</v>
      </c>
      <c r="G737" s="4" t="s">
        <v>2258</v>
      </c>
      <c r="I737" s="4" t="s">
        <v>52</v>
      </c>
      <c r="L737" s="4" t="s">
        <v>2259</v>
      </c>
      <c r="M737" s="4" t="s">
        <v>2257</v>
      </c>
      <c r="N737" s="4">
        <v>560</v>
      </c>
      <c r="O737" s="4" t="s">
        <v>2260</v>
      </c>
    </row>
    <row r="738" spans="1:15" ht="15.75" customHeight="1">
      <c r="A738" s="4" t="s">
        <v>49</v>
      </c>
      <c r="B738" s="4">
        <v>749651</v>
      </c>
      <c r="C738" s="4">
        <v>749721</v>
      </c>
      <c r="E738" s="4" t="s">
        <v>55</v>
      </c>
      <c r="F738" s="4" t="s">
        <v>2261</v>
      </c>
      <c r="I738" s="4" t="s">
        <v>302</v>
      </c>
      <c r="O738" s="4" t="s">
        <v>2262</v>
      </c>
    </row>
    <row r="739" spans="1:15" ht="15.75" customHeight="1">
      <c r="A739" s="4" t="s">
        <v>49</v>
      </c>
      <c r="B739" s="4">
        <v>749888</v>
      </c>
      <c r="C739" s="4">
        <v>750274</v>
      </c>
      <c r="E739" s="4" t="s">
        <v>50</v>
      </c>
      <c r="F739" s="4" t="s">
        <v>56</v>
      </c>
      <c r="I739" s="4" t="s">
        <v>52</v>
      </c>
      <c r="L739" s="4" t="s">
        <v>2263</v>
      </c>
      <c r="M739" s="4" t="s">
        <v>56</v>
      </c>
      <c r="N739" s="4">
        <v>128</v>
      </c>
      <c r="O739" s="4" t="s">
        <v>2264</v>
      </c>
    </row>
    <row r="740" spans="1:15" ht="15.75" customHeight="1">
      <c r="A740" s="4" t="s">
        <v>49</v>
      </c>
      <c r="B740" s="4">
        <v>750288</v>
      </c>
      <c r="C740" s="4">
        <v>750470</v>
      </c>
      <c r="E740" s="4" t="s">
        <v>50</v>
      </c>
      <c r="F740" s="4" t="s">
        <v>56</v>
      </c>
      <c r="I740" s="4" t="s">
        <v>52</v>
      </c>
      <c r="L740" s="4" t="s">
        <v>2265</v>
      </c>
      <c r="M740" s="4" t="s">
        <v>56</v>
      </c>
      <c r="N740" s="4">
        <v>60</v>
      </c>
      <c r="O740" s="4" t="s">
        <v>2266</v>
      </c>
    </row>
    <row r="741" spans="1:15" ht="15.75" customHeight="1">
      <c r="A741" s="4" t="s">
        <v>49</v>
      </c>
      <c r="B741" s="4">
        <v>750800</v>
      </c>
      <c r="C741" s="4">
        <v>751738</v>
      </c>
      <c r="E741" s="4" t="s">
        <v>50</v>
      </c>
      <c r="F741" s="4" t="s">
        <v>2267</v>
      </c>
      <c r="I741" s="4" t="s">
        <v>52</v>
      </c>
      <c r="L741" s="4" t="s">
        <v>2268</v>
      </c>
      <c r="M741" s="4" t="s">
        <v>2267</v>
      </c>
      <c r="N741" s="4">
        <v>312</v>
      </c>
      <c r="O741" s="4" t="s">
        <v>2269</v>
      </c>
    </row>
    <row r="742" spans="1:15" ht="15.75" customHeight="1">
      <c r="A742" s="4" t="s">
        <v>49</v>
      </c>
      <c r="B742" s="4">
        <v>751735</v>
      </c>
      <c r="C742" s="4">
        <v>753549</v>
      </c>
      <c r="E742" s="4" t="s">
        <v>50</v>
      </c>
      <c r="F742" s="4" t="s">
        <v>2270</v>
      </c>
      <c r="I742" s="4" t="s">
        <v>52</v>
      </c>
      <c r="L742" s="4" t="s">
        <v>2271</v>
      </c>
      <c r="M742" s="4" t="s">
        <v>2270</v>
      </c>
      <c r="N742" s="4">
        <v>604</v>
      </c>
      <c r="O742" s="4" t="s">
        <v>2272</v>
      </c>
    </row>
    <row r="743" spans="1:15" ht="15.75" customHeight="1">
      <c r="A743" s="4" t="s">
        <v>49</v>
      </c>
      <c r="B743" s="4">
        <v>753616</v>
      </c>
      <c r="C743" s="4">
        <v>754302</v>
      </c>
      <c r="E743" s="4" t="s">
        <v>55</v>
      </c>
      <c r="F743" s="4" t="s">
        <v>2273</v>
      </c>
      <c r="I743" s="4" t="s">
        <v>52</v>
      </c>
      <c r="L743" s="4" t="s">
        <v>2274</v>
      </c>
      <c r="M743" s="4" t="s">
        <v>2273</v>
      </c>
      <c r="N743" s="4">
        <v>228</v>
      </c>
      <c r="O743" s="4" t="s">
        <v>2275</v>
      </c>
    </row>
    <row r="744" spans="1:15" ht="15.75" customHeight="1">
      <c r="A744" s="4" t="s">
        <v>49</v>
      </c>
      <c r="B744" s="4">
        <v>754421</v>
      </c>
      <c r="C744" s="4">
        <v>754567</v>
      </c>
      <c r="E744" s="4" t="s">
        <v>55</v>
      </c>
      <c r="F744" s="4" t="s">
        <v>56</v>
      </c>
      <c r="I744" s="4" t="s">
        <v>52</v>
      </c>
      <c r="L744" s="4" t="s">
        <v>2276</v>
      </c>
      <c r="M744" s="4" t="s">
        <v>56</v>
      </c>
      <c r="N744" s="4">
        <v>48</v>
      </c>
      <c r="O744" s="4" t="s">
        <v>2277</v>
      </c>
    </row>
    <row r="745" spans="1:15" ht="15.75" customHeight="1">
      <c r="A745" s="4" t="s">
        <v>49</v>
      </c>
      <c r="B745" s="4">
        <v>754582</v>
      </c>
      <c r="C745" s="4">
        <v>754980</v>
      </c>
      <c r="E745" s="4" t="s">
        <v>55</v>
      </c>
      <c r="F745" s="4" t="s">
        <v>2278</v>
      </c>
      <c r="G745" s="4" t="s">
        <v>2279</v>
      </c>
      <c r="I745" s="4" t="s">
        <v>52</v>
      </c>
      <c r="L745" s="4" t="s">
        <v>2280</v>
      </c>
      <c r="M745" s="4" t="s">
        <v>2278</v>
      </c>
      <c r="N745" s="4">
        <v>132</v>
      </c>
      <c r="O745" s="4" t="s">
        <v>2281</v>
      </c>
    </row>
    <row r="746" spans="1:15" ht="15.75" customHeight="1">
      <c r="A746" s="4" t="s">
        <v>49</v>
      </c>
      <c r="B746" s="4">
        <v>755232</v>
      </c>
      <c r="C746" s="4">
        <v>755969</v>
      </c>
      <c r="E746" s="4" t="s">
        <v>55</v>
      </c>
      <c r="F746" s="4" t="s">
        <v>2282</v>
      </c>
      <c r="I746" s="4" t="s">
        <v>52</v>
      </c>
      <c r="L746" s="4" t="s">
        <v>2283</v>
      </c>
      <c r="M746" s="4" t="s">
        <v>2282</v>
      </c>
      <c r="N746" s="4">
        <v>245</v>
      </c>
      <c r="O746" s="4" t="s">
        <v>2284</v>
      </c>
    </row>
    <row r="747" spans="1:15" ht="15.75" customHeight="1">
      <c r="A747" s="4" t="s">
        <v>49</v>
      </c>
      <c r="B747" s="4">
        <v>756037</v>
      </c>
      <c r="C747" s="4">
        <v>756543</v>
      </c>
      <c r="E747" s="4" t="s">
        <v>50</v>
      </c>
      <c r="F747" s="4" t="s">
        <v>2285</v>
      </c>
      <c r="I747" s="4" t="s">
        <v>52</v>
      </c>
      <c r="L747" s="4" t="s">
        <v>2286</v>
      </c>
      <c r="M747" s="4" t="s">
        <v>2285</v>
      </c>
      <c r="N747" s="4">
        <v>168</v>
      </c>
      <c r="O747" s="4" t="s">
        <v>2287</v>
      </c>
    </row>
    <row r="748" spans="1:15" ht="15.75" customHeight="1">
      <c r="A748" s="4" t="s">
        <v>49</v>
      </c>
      <c r="B748" s="4">
        <v>756684</v>
      </c>
      <c r="C748" s="4">
        <v>758759</v>
      </c>
      <c r="E748" s="4" t="s">
        <v>55</v>
      </c>
      <c r="F748" s="4" t="s">
        <v>1312</v>
      </c>
      <c r="I748" s="4" t="s">
        <v>52</v>
      </c>
      <c r="L748" s="4" t="s">
        <v>2288</v>
      </c>
      <c r="M748" s="4" t="s">
        <v>1312</v>
      </c>
      <c r="N748" s="4">
        <v>691</v>
      </c>
      <c r="O748" s="4" t="s">
        <v>2289</v>
      </c>
    </row>
    <row r="749" spans="1:15" ht="15.75" customHeight="1">
      <c r="A749" s="4" t="s">
        <v>49</v>
      </c>
      <c r="B749" s="4">
        <v>758743</v>
      </c>
      <c r="C749" s="4">
        <v>759513</v>
      </c>
      <c r="E749" s="4" t="s">
        <v>55</v>
      </c>
      <c r="F749" s="4" t="s">
        <v>73</v>
      </c>
      <c r="I749" s="4" t="s">
        <v>52</v>
      </c>
      <c r="L749" s="4" t="s">
        <v>2290</v>
      </c>
      <c r="M749" s="4" t="s">
        <v>73</v>
      </c>
      <c r="N749" s="4">
        <v>256</v>
      </c>
      <c r="O749" s="4" t="s">
        <v>2291</v>
      </c>
    </row>
    <row r="750" spans="1:15" ht="15.75" customHeight="1">
      <c r="A750" s="4" t="s">
        <v>49</v>
      </c>
      <c r="B750" s="4">
        <v>759767</v>
      </c>
      <c r="C750" s="4">
        <v>760441</v>
      </c>
      <c r="E750" s="4" t="s">
        <v>50</v>
      </c>
      <c r="F750" s="4" t="s">
        <v>194</v>
      </c>
      <c r="I750" s="4" t="s">
        <v>52</v>
      </c>
      <c r="L750" s="4" t="s">
        <v>2292</v>
      </c>
      <c r="M750" s="4" t="s">
        <v>194</v>
      </c>
      <c r="N750" s="4">
        <v>224</v>
      </c>
      <c r="O750" s="4" t="s">
        <v>2293</v>
      </c>
    </row>
    <row r="751" spans="1:15" ht="15.75" customHeight="1">
      <c r="A751" s="4" t="s">
        <v>49</v>
      </c>
      <c r="B751" s="4">
        <v>760453</v>
      </c>
      <c r="C751" s="4">
        <v>761553</v>
      </c>
      <c r="E751" s="4" t="s">
        <v>50</v>
      </c>
      <c r="F751" s="4" t="s">
        <v>681</v>
      </c>
      <c r="I751" s="4" t="s">
        <v>52</v>
      </c>
      <c r="L751" s="4" t="s">
        <v>2294</v>
      </c>
      <c r="M751" s="4" t="s">
        <v>681</v>
      </c>
      <c r="N751" s="4">
        <v>366</v>
      </c>
      <c r="O751" s="4" t="s">
        <v>2295</v>
      </c>
    </row>
    <row r="752" spans="1:15" ht="15.75" customHeight="1">
      <c r="A752" s="4" t="s">
        <v>49</v>
      </c>
      <c r="B752" s="4">
        <v>761702</v>
      </c>
      <c r="C752" s="4">
        <v>762280</v>
      </c>
      <c r="E752" s="4" t="s">
        <v>55</v>
      </c>
      <c r="F752" s="4" t="s">
        <v>2296</v>
      </c>
      <c r="G752" s="4" t="s">
        <v>2297</v>
      </c>
      <c r="I752" s="4" t="s">
        <v>52</v>
      </c>
      <c r="L752" s="4" t="s">
        <v>2298</v>
      </c>
      <c r="M752" s="4" t="s">
        <v>2296</v>
      </c>
      <c r="N752" s="4">
        <v>192</v>
      </c>
      <c r="O752" s="4" t="s">
        <v>2299</v>
      </c>
    </row>
    <row r="753" spans="1:15" ht="15.75" customHeight="1">
      <c r="A753" s="4" t="s">
        <v>49</v>
      </c>
      <c r="B753" s="4">
        <v>762479</v>
      </c>
      <c r="C753" s="4">
        <v>764725</v>
      </c>
      <c r="E753" s="4" t="s">
        <v>55</v>
      </c>
      <c r="F753" s="4" t="s">
        <v>2300</v>
      </c>
      <c r="I753" s="4" t="s">
        <v>52</v>
      </c>
      <c r="L753" s="4" t="s">
        <v>2301</v>
      </c>
      <c r="M753" s="4" t="s">
        <v>2300</v>
      </c>
      <c r="N753" s="4">
        <v>748</v>
      </c>
      <c r="O753" s="4" t="s">
        <v>2302</v>
      </c>
    </row>
    <row r="754" spans="1:15" ht="15.75" customHeight="1">
      <c r="A754" s="4" t="s">
        <v>49</v>
      </c>
      <c r="B754" s="4">
        <v>764718</v>
      </c>
      <c r="C754" s="4">
        <v>765158</v>
      </c>
      <c r="E754" s="4" t="s">
        <v>55</v>
      </c>
      <c r="F754" s="4" t="s">
        <v>2303</v>
      </c>
      <c r="I754" s="4" t="s">
        <v>52</v>
      </c>
      <c r="L754" s="4" t="s">
        <v>2304</v>
      </c>
      <c r="M754" s="4" t="s">
        <v>2303</v>
      </c>
      <c r="N754" s="4">
        <v>146</v>
      </c>
      <c r="O754" s="4" t="s">
        <v>2305</v>
      </c>
    </row>
    <row r="755" spans="1:15" ht="15.75" customHeight="1">
      <c r="A755" s="4" t="s">
        <v>49</v>
      </c>
      <c r="B755" s="4">
        <v>765296</v>
      </c>
      <c r="C755" s="4">
        <v>766534</v>
      </c>
      <c r="E755" s="4" t="s">
        <v>55</v>
      </c>
      <c r="F755" s="4" t="s">
        <v>2306</v>
      </c>
      <c r="G755" s="4" t="s">
        <v>2307</v>
      </c>
      <c r="I755" s="4" t="s">
        <v>52</v>
      </c>
      <c r="L755" s="4" t="s">
        <v>2308</v>
      </c>
      <c r="M755" s="4" t="s">
        <v>2306</v>
      </c>
      <c r="N755" s="4">
        <v>412</v>
      </c>
      <c r="O755" s="4" t="s">
        <v>2309</v>
      </c>
    </row>
    <row r="756" spans="1:15" ht="15.75" customHeight="1">
      <c r="A756" s="4" t="s">
        <v>49</v>
      </c>
      <c r="B756" s="4">
        <v>766833</v>
      </c>
      <c r="C756" s="4">
        <v>768356</v>
      </c>
      <c r="E756" s="4" t="s">
        <v>55</v>
      </c>
      <c r="F756" s="4" t="s">
        <v>2310</v>
      </c>
      <c r="G756" s="4" t="s">
        <v>2311</v>
      </c>
      <c r="I756" s="4" t="s">
        <v>52</v>
      </c>
      <c r="L756" s="4" t="s">
        <v>2312</v>
      </c>
      <c r="M756" s="4" t="s">
        <v>2310</v>
      </c>
      <c r="N756" s="4">
        <v>507</v>
      </c>
      <c r="O756" s="4" t="s">
        <v>2313</v>
      </c>
    </row>
    <row r="757" spans="1:15" ht="15.75" customHeight="1">
      <c r="A757" s="4" t="s">
        <v>49</v>
      </c>
      <c r="B757" s="4">
        <v>768357</v>
      </c>
      <c r="C757" s="4">
        <v>768926</v>
      </c>
      <c r="E757" s="4" t="s">
        <v>55</v>
      </c>
      <c r="F757" s="4" t="s">
        <v>2314</v>
      </c>
      <c r="G757" s="4" t="s">
        <v>2315</v>
      </c>
      <c r="I757" s="4" t="s">
        <v>52</v>
      </c>
      <c r="L757" s="4" t="s">
        <v>2316</v>
      </c>
      <c r="M757" s="4" t="s">
        <v>2314</v>
      </c>
      <c r="N757" s="4">
        <v>189</v>
      </c>
      <c r="O757" s="4" t="s">
        <v>2317</v>
      </c>
    </row>
    <row r="758" spans="1:15" ht="15.75" customHeight="1">
      <c r="A758" s="4" t="s">
        <v>49</v>
      </c>
      <c r="B758" s="4">
        <v>768923</v>
      </c>
      <c r="C758" s="4">
        <v>769933</v>
      </c>
      <c r="E758" s="4" t="s">
        <v>55</v>
      </c>
      <c r="F758" s="4" t="s">
        <v>2318</v>
      </c>
      <c r="G758" s="4" t="s">
        <v>2319</v>
      </c>
      <c r="I758" s="4" t="s">
        <v>52</v>
      </c>
      <c r="L758" s="4" t="s">
        <v>2320</v>
      </c>
      <c r="M758" s="4" t="s">
        <v>2318</v>
      </c>
      <c r="N758" s="4">
        <v>336</v>
      </c>
      <c r="O758" s="4" t="s">
        <v>2321</v>
      </c>
    </row>
    <row r="759" spans="1:15" ht="15.75" customHeight="1">
      <c r="A759" s="4" t="s">
        <v>49</v>
      </c>
      <c r="B759" s="4">
        <v>769930</v>
      </c>
      <c r="C759" s="4">
        <v>771384</v>
      </c>
      <c r="E759" s="4" t="s">
        <v>55</v>
      </c>
      <c r="F759" s="4" t="s">
        <v>2322</v>
      </c>
      <c r="G759" s="4" t="s">
        <v>2323</v>
      </c>
      <c r="I759" s="4" t="s">
        <v>52</v>
      </c>
      <c r="L759" s="4" t="s">
        <v>2324</v>
      </c>
      <c r="M759" s="4" t="s">
        <v>2322</v>
      </c>
      <c r="N759" s="4">
        <v>484</v>
      </c>
      <c r="O759" s="4" t="s">
        <v>2325</v>
      </c>
    </row>
    <row r="760" spans="1:15" ht="15.75" customHeight="1">
      <c r="A760" s="4" t="s">
        <v>49</v>
      </c>
      <c r="B760" s="4">
        <v>771360</v>
      </c>
      <c r="C760" s="4">
        <v>773576</v>
      </c>
      <c r="E760" s="4" t="s">
        <v>55</v>
      </c>
      <c r="F760" s="4" t="s">
        <v>2326</v>
      </c>
      <c r="G760" s="4" t="s">
        <v>2327</v>
      </c>
      <c r="I760" s="4" t="s">
        <v>52</v>
      </c>
      <c r="L760" s="4" t="s">
        <v>2328</v>
      </c>
      <c r="M760" s="4" t="s">
        <v>2326</v>
      </c>
      <c r="N760" s="4">
        <v>738</v>
      </c>
      <c r="O760" s="4" t="s">
        <v>2329</v>
      </c>
    </row>
    <row r="761" spans="1:15" ht="15.75" customHeight="1">
      <c r="A761" s="4" t="s">
        <v>49</v>
      </c>
      <c r="B761" s="4">
        <v>773563</v>
      </c>
      <c r="C761" s="4">
        <v>774249</v>
      </c>
      <c r="E761" s="4" t="s">
        <v>55</v>
      </c>
      <c r="F761" s="4" t="s">
        <v>2330</v>
      </c>
      <c r="G761" s="4" t="s">
        <v>2331</v>
      </c>
      <c r="I761" s="4" t="s">
        <v>52</v>
      </c>
      <c r="L761" s="4" t="s">
        <v>2332</v>
      </c>
      <c r="M761" s="4" t="s">
        <v>2330</v>
      </c>
      <c r="N761" s="4">
        <v>228</v>
      </c>
      <c r="O761" s="4" t="s">
        <v>2333</v>
      </c>
    </row>
    <row r="762" spans="1:15" ht="15.75" customHeight="1">
      <c r="A762" s="4" t="s">
        <v>49</v>
      </c>
      <c r="B762" s="4">
        <v>774246</v>
      </c>
      <c r="C762" s="4">
        <v>774506</v>
      </c>
      <c r="E762" s="4" t="s">
        <v>55</v>
      </c>
      <c r="F762" s="4" t="s">
        <v>2334</v>
      </c>
      <c r="G762" s="4" t="s">
        <v>2335</v>
      </c>
      <c r="I762" s="4" t="s">
        <v>52</v>
      </c>
      <c r="L762" s="4" t="s">
        <v>2336</v>
      </c>
      <c r="M762" s="4" t="s">
        <v>2334</v>
      </c>
      <c r="N762" s="4">
        <v>86</v>
      </c>
      <c r="O762" s="4" t="s">
        <v>2337</v>
      </c>
    </row>
    <row r="763" spans="1:15" ht="15.75" customHeight="1">
      <c r="A763" s="4" t="s">
        <v>49</v>
      </c>
      <c r="B763" s="4">
        <v>774499</v>
      </c>
      <c r="C763" s="4">
        <v>775227</v>
      </c>
      <c r="E763" s="4" t="s">
        <v>55</v>
      </c>
      <c r="F763" s="4" t="s">
        <v>2338</v>
      </c>
      <c r="G763" s="4" t="s">
        <v>2339</v>
      </c>
      <c r="I763" s="4" t="s">
        <v>52</v>
      </c>
      <c r="L763" s="4" t="s">
        <v>2340</v>
      </c>
      <c r="M763" s="4" t="s">
        <v>2338</v>
      </c>
      <c r="N763" s="4">
        <v>242</v>
      </c>
      <c r="O763" s="4" t="s">
        <v>2341</v>
      </c>
    </row>
    <row r="764" spans="1:15" ht="15.75" customHeight="1">
      <c r="A764" s="4" t="s">
        <v>49</v>
      </c>
      <c r="B764" s="4">
        <v>775221</v>
      </c>
      <c r="C764" s="4">
        <v>776336</v>
      </c>
      <c r="E764" s="4" t="s">
        <v>55</v>
      </c>
      <c r="F764" s="4" t="s">
        <v>2342</v>
      </c>
      <c r="G764" s="4" t="s">
        <v>2343</v>
      </c>
      <c r="I764" s="4" t="s">
        <v>52</v>
      </c>
      <c r="L764" s="4" t="s">
        <v>2344</v>
      </c>
      <c r="M764" s="4" t="s">
        <v>2342</v>
      </c>
      <c r="N764" s="4">
        <v>371</v>
      </c>
      <c r="O764" s="4" t="s">
        <v>2345</v>
      </c>
    </row>
    <row r="765" spans="1:15" ht="15.75" customHeight="1">
      <c r="A765" s="4" t="s">
        <v>49</v>
      </c>
      <c r="B765" s="4">
        <v>776333</v>
      </c>
      <c r="C765" s="4">
        <v>776818</v>
      </c>
      <c r="E765" s="4" t="s">
        <v>55</v>
      </c>
      <c r="F765" s="4" t="s">
        <v>2346</v>
      </c>
      <c r="G765" s="4" t="s">
        <v>2347</v>
      </c>
      <c r="I765" s="4" t="s">
        <v>52</v>
      </c>
      <c r="L765" s="4" t="s">
        <v>2348</v>
      </c>
      <c r="M765" s="4" t="s">
        <v>2346</v>
      </c>
      <c r="N765" s="4">
        <v>161</v>
      </c>
      <c r="O765" s="4" t="s">
        <v>2349</v>
      </c>
    </row>
    <row r="766" spans="1:15" ht="15.75" customHeight="1">
      <c r="A766" s="4" t="s">
        <v>49</v>
      </c>
      <c r="B766" s="4">
        <v>777104</v>
      </c>
      <c r="C766" s="4">
        <v>777709</v>
      </c>
      <c r="E766" s="4" t="s">
        <v>55</v>
      </c>
      <c r="F766" s="4" t="s">
        <v>2350</v>
      </c>
      <c r="G766" s="4" t="s">
        <v>2351</v>
      </c>
      <c r="I766" s="4" t="s">
        <v>52</v>
      </c>
      <c r="L766" s="4" t="s">
        <v>2352</v>
      </c>
      <c r="M766" s="4" t="s">
        <v>2350</v>
      </c>
      <c r="N766" s="4">
        <v>201</v>
      </c>
      <c r="O766" s="4" t="s">
        <v>2353</v>
      </c>
    </row>
    <row r="767" spans="1:15" ht="15.75" customHeight="1">
      <c r="A767" s="4" t="s">
        <v>49</v>
      </c>
      <c r="B767" s="4">
        <v>777942</v>
      </c>
      <c r="C767" s="4">
        <v>779354</v>
      </c>
      <c r="E767" s="4" t="s">
        <v>55</v>
      </c>
      <c r="F767" s="4" t="s">
        <v>2354</v>
      </c>
      <c r="I767" s="4" t="s">
        <v>52</v>
      </c>
      <c r="L767" s="4" t="s">
        <v>2355</v>
      </c>
      <c r="M767" s="4" t="s">
        <v>2354</v>
      </c>
      <c r="N767" s="4">
        <v>470</v>
      </c>
      <c r="O767" s="4" t="s">
        <v>2356</v>
      </c>
    </row>
    <row r="768" spans="1:15" ht="15.75" customHeight="1">
      <c r="A768" s="4" t="s">
        <v>49</v>
      </c>
      <c r="B768" s="4">
        <v>779653</v>
      </c>
      <c r="C768" s="4">
        <v>781380</v>
      </c>
      <c r="E768" s="4" t="s">
        <v>55</v>
      </c>
      <c r="F768" s="4" t="s">
        <v>2357</v>
      </c>
      <c r="G768" s="4" t="s">
        <v>2358</v>
      </c>
      <c r="I768" s="4" t="s">
        <v>52</v>
      </c>
      <c r="L768" s="4" t="s">
        <v>2359</v>
      </c>
      <c r="M768" s="4" t="s">
        <v>2357</v>
      </c>
      <c r="N768" s="4">
        <v>575</v>
      </c>
      <c r="O768" s="4" t="s">
        <v>2360</v>
      </c>
    </row>
    <row r="769" spans="1:15" ht="15.75" customHeight="1">
      <c r="A769" s="4" t="s">
        <v>49</v>
      </c>
      <c r="B769" s="4">
        <v>781380</v>
      </c>
      <c r="C769" s="4">
        <v>781646</v>
      </c>
      <c r="E769" s="4" t="s">
        <v>55</v>
      </c>
      <c r="F769" s="4" t="s">
        <v>2361</v>
      </c>
      <c r="I769" s="4" t="s">
        <v>52</v>
      </c>
      <c r="L769" s="4" t="s">
        <v>2362</v>
      </c>
      <c r="M769" s="4" t="s">
        <v>2361</v>
      </c>
      <c r="N769" s="4">
        <v>88</v>
      </c>
      <c r="O769" s="4" t="s">
        <v>2363</v>
      </c>
    </row>
    <row r="770" spans="1:15" ht="15.75" customHeight="1">
      <c r="A770" s="4" t="s">
        <v>49</v>
      </c>
      <c r="B770" s="4">
        <v>781790</v>
      </c>
      <c r="C770" s="4">
        <v>781981</v>
      </c>
      <c r="E770" s="4" t="s">
        <v>55</v>
      </c>
      <c r="F770" s="4" t="s">
        <v>56</v>
      </c>
      <c r="I770" s="4" t="s">
        <v>52</v>
      </c>
      <c r="L770" s="4" t="s">
        <v>2364</v>
      </c>
      <c r="M770" s="4" t="s">
        <v>56</v>
      </c>
      <c r="N770" s="4">
        <v>63</v>
      </c>
      <c r="O770" s="4" t="s">
        <v>2365</v>
      </c>
    </row>
    <row r="771" spans="1:15" ht="15.75" customHeight="1">
      <c r="A771" s="4" t="s">
        <v>49</v>
      </c>
      <c r="B771" s="4">
        <v>782201</v>
      </c>
      <c r="C771" s="4">
        <v>784426</v>
      </c>
      <c r="E771" s="4" t="s">
        <v>50</v>
      </c>
      <c r="F771" s="4" t="s">
        <v>2366</v>
      </c>
      <c r="I771" s="4" t="s">
        <v>52</v>
      </c>
      <c r="L771" s="4" t="s">
        <v>2367</v>
      </c>
      <c r="M771" s="4" t="s">
        <v>2366</v>
      </c>
      <c r="N771" s="4">
        <v>741</v>
      </c>
      <c r="O771" s="4" t="s">
        <v>2368</v>
      </c>
    </row>
    <row r="772" spans="1:15" ht="15.75" customHeight="1">
      <c r="A772" s="4" t="s">
        <v>49</v>
      </c>
      <c r="B772" s="4">
        <v>784547</v>
      </c>
      <c r="C772" s="4">
        <v>784840</v>
      </c>
      <c r="E772" s="4" t="s">
        <v>50</v>
      </c>
      <c r="F772" s="4" t="s">
        <v>2369</v>
      </c>
      <c r="I772" s="4" t="s">
        <v>52</v>
      </c>
      <c r="L772" s="4" t="s">
        <v>2370</v>
      </c>
      <c r="M772" s="4" t="s">
        <v>2369</v>
      </c>
      <c r="N772" s="4">
        <v>97</v>
      </c>
      <c r="O772" s="4" t="s">
        <v>2371</v>
      </c>
    </row>
    <row r="773" spans="1:15" ht="15.75" customHeight="1">
      <c r="A773" s="4" t="s">
        <v>49</v>
      </c>
      <c r="B773" s="4">
        <v>784979</v>
      </c>
      <c r="C773" s="4">
        <v>786553</v>
      </c>
      <c r="E773" s="4" t="s">
        <v>55</v>
      </c>
      <c r="F773" s="4" t="s">
        <v>2372</v>
      </c>
      <c r="I773" s="4" t="s">
        <v>52</v>
      </c>
      <c r="L773" s="4" t="s">
        <v>2373</v>
      </c>
      <c r="M773" s="4" t="s">
        <v>2372</v>
      </c>
      <c r="N773" s="4">
        <v>524</v>
      </c>
      <c r="O773" s="4" t="s">
        <v>2374</v>
      </c>
    </row>
    <row r="774" spans="1:15" ht="15.75" customHeight="1">
      <c r="A774" s="4" t="s">
        <v>49</v>
      </c>
      <c r="B774" s="4">
        <v>786619</v>
      </c>
      <c r="C774" s="4">
        <v>787965</v>
      </c>
      <c r="E774" s="4" t="s">
        <v>55</v>
      </c>
      <c r="F774" s="4" t="s">
        <v>2375</v>
      </c>
      <c r="I774" s="4" t="s">
        <v>52</v>
      </c>
      <c r="L774" s="4" t="s">
        <v>2376</v>
      </c>
      <c r="M774" s="4" t="s">
        <v>2375</v>
      </c>
      <c r="N774" s="4">
        <v>448</v>
      </c>
      <c r="O774" s="4" t="s">
        <v>2377</v>
      </c>
    </row>
    <row r="775" spans="1:15" ht="15.75" customHeight="1">
      <c r="A775" s="4" t="s">
        <v>49</v>
      </c>
      <c r="B775" s="4">
        <v>788041</v>
      </c>
      <c r="C775" s="4">
        <v>789219</v>
      </c>
      <c r="E775" s="4" t="s">
        <v>55</v>
      </c>
      <c r="F775" s="4" t="s">
        <v>2378</v>
      </c>
      <c r="I775" s="4" t="s">
        <v>52</v>
      </c>
      <c r="L775" s="4" t="s">
        <v>2379</v>
      </c>
      <c r="M775" s="4" t="s">
        <v>2378</v>
      </c>
      <c r="N775" s="4">
        <v>392</v>
      </c>
      <c r="O775" s="4" t="s">
        <v>2380</v>
      </c>
    </row>
    <row r="776" spans="1:15" ht="15.75" customHeight="1">
      <c r="A776" s="4" t="s">
        <v>49</v>
      </c>
      <c r="B776" s="4">
        <v>789296</v>
      </c>
      <c r="C776" s="4">
        <v>789730</v>
      </c>
      <c r="E776" s="4" t="s">
        <v>50</v>
      </c>
      <c r="F776" s="4" t="s">
        <v>51</v>
      </c>
      <c r="I776" s="4" t="s">
        <v>52</v>
      </c>
      <c r="L776" s="4" t="s">
        <v>2381</v>
      </c>
      <c r="M776" s="4" t="s">
        <v>51</v>
      </c>
      <c r="N776" s="4">
        <v>144</v>
      </c>
      <c r="O776" s="4" t="s">
        <v>2382</v>
      </c>
    </row>
    <row r="777" spans="1:15" ht="15.75" customHeight="1">
      <c r="A777" s="4" t="s">
        <v>49</v>
      </c>
      <c r="B777" s="4">
        <v>789869</v>
      </c>
      <c r="C777" s="4">
        <v>790387</v>
      </c>
      <c r="E777" s="4" t="s">
        <v>55</v>
      </c>
      <c r="F777" s="4" t="s">
        <v>56</v>
      </c>
      <c r="I777" s="4" t="s">
        <v>52</v>
      </c>
      <c r="L777" s="4" t="s">
        <v>2383</v>
      </c>
      <c r="M777" s="4" t="s">
        <v>56</v>
      </c>
      <c r="N777" s="4">
        <v>172</v>
      </c>
      <c r="O777" s="4" t="s">
        <v>2384</v>
      </c>
    </row>
    <row r="778" spans="1:15" ht="15.75" customHeight="1">
      <c r="A778" s="4" t="s">
        <v>49</v>
      </c>
      <c r="B778" s="4">
        <v>790415</v>
      </c>
      <c r="C778" s="4">
        <v>790951</v>
      </c>
      <c r="E778" s="4" t="s">
        <v>55</v>
      </c>
      <c r="F778" s="4" t="s">
        <v>2385</v>
      </c>
      <c r="I778" s="4" t="s">
        <v>52</v>
      </c>
      <c r="L778" s="4" t="s">
        <v>2386</v>
      </c>
      <c r="M778" s="4" t="s">
        <v>2385</v>
      </c>
      <c r="N778" s="4">
        <v>178</v>
      </c>
      <c r="O778" s="4" t="s">
        <v>2387</v>
      </c>
    </row>
    <row r="779" spans="1:15" ht="15.75" customHeight="1">
      <c r="A779" s="4" t="s">
        <v>49</v>
      </c>
      <c r="B779" s="4">
        <v>791201</v>
      </c>
      <c r="C779" s="4">
        <v>791995</v>
      </c>
      <c r="E779" s="4" t="s">
        <v>55</v>
      </c>
      <c r="F779" s="4" t="s">
        <v>2388</v>
      </c>
      <c r="G779" s="4" t="s">
        <v>2389</v>
      </c>
      <c r="I779" s="4" t="s">
        <v>52</v>
      </c>
      <c r="L779" s="4" t="s">
        <v>2390</v>
      </c>
      <c r="M779" s="4" t="s">
        <v>2388</v>
      </c>
      <c r="N779" s="4">
        <v>264</v>
      </c>
      <c r="O779" s="4" t="s">
        <v>2391</v>
      </c>
    </row>
    <row r="780" spans="1:15" ht="15.75" customHeight="1">
      <c r="A780" s="4" t="s">
        <v>49</v>
      </c>
      <c r="B780" s="4">
        <v>792069</v>
      </c>
      <c r="C780" s="4">
        <v>793604</v>
      </c>
      <c r="E780" s="4" t="s">
        <v>50</v>
      </c>
      <c r="F780" s="4" t="s">
        <v>92</v>
      </c>
      <c r="I780" s="4" t="s">
        <v>52</v>
      </c>
      <c r="L780" s="4" t="s">
        <v>2392</v>
      </c>
      <c r="M780" s="4" t="s">
        <v>92</v>
      </c>
      <c r="N780" s="4">
        <v>511</v>
      </c>
      <c r="O780" s="4" t="s">
        <v>2393</v>
      </c>
    </row>
    <row r="781" spans="1:15" ht="15.75" customHeight="1">
      <c r="A781" s="4" t="s">
        <v>49</v>
      </c>
      <c r="B781" s="4">
        <v>793598</v>
      </c>
      <c r="C781" s="4">
        <v>793972</v>
      </c>
      <c r="E781" s="4" t="s">
        <v>55</v>
      </c>
      <c r="F781" s="4" t="s">
        <v>56</v>
      </c>
      <c r="I781" s="4" t="s">
        <v>52</v>
      </c>
      <c r="L781" s="4" t="s">
        <v>2394</v>
      </c>
      <c r="M781" s="4" t="s">
        <v>56</v>
      </c>
      <c r="N781" s="4">
        <v>124</v>
      </c>
      <c r="O781" s="4" t="s">
        <v>2395</v>
      </c>
    </row>
    <row r="782" spans="1:15" ht="15.75" customHeight="1">
      <c r="A782" s="4" t="s">
        <v>49</v>
      </c>
      <c r="B782" s="4">
        <v>794050</v>
      </c>
      <c r="C782" s="4">
        <v>795417</v>
      </c>
      <c r="E782" s="4" t="s">
        <v>50</v>
      </c>
      <c r="F782" s="4" t="s">
        <v>251</v>
      </c>
      <c r="G782" s="4" t="s">
        <v>252</v>
      </c>
      <c r="I782" s="4" t="s">
        <v>52</v>
      </c>
      <c r="L782" s="4" t="s">
        <v>2396</v>
      </c>
      <c r="M782" s="4" t="s">
        <v>251</v>
      </c>
      <c r="N782" s="4">
        <v>455</v>
      </c>
      <c r="O782" s="4" t="s">
        <v>2397</v>
      </c>
    </row>
    <row r="783" spans="1:15" ht="15.75" customHeight="1">
      <c r="A783" s="4" t="s">
        <v>49</v>
      </c>
      <c r="B783" s="4">
        <v>795603</v>
      </c>
      <c r="C783" s="4">
        <v>796076</v>
      </c>
      <c r="E783" s="4" t="s">
        <v>50</v>
      </c>
      <c r="F783" s="4" t="s">
        <v>2398</v>
      </c>
      <c r="I783" s="4" t="s">
        <v>52</v>
      </c>
      <c r="L783" s="4" t="s">
        <v>2399</v>
      </c>
      <c r="M783" s="4" t="s">
        <v>2398</v>
      </c>
      <c r="N783" s="4">
        <v>157</v>
      </c>
      <c r="O783" s="4" t="s">
        <v>2400</v>
      </c>
    </row>
    <row r="784" spans="1:15" ht="15.75" customHeight="1">
      <c r="A784" s="4" t="s">
        <v>49</v>
      </c>
      <c r="B784" s="4">
        <v>796160</v>
      </c>
      <c r="C784" s="4">
        <v>796897</v>
      </c>
      <c r="E784" s="4" t="s">
        <v>55</v>
      </c>
      <c r="F784" s="4" t="s">
        <v>2401</v>
      </c>
      <c r="I784" s="4" t="s">
        <v>52</v>
      </c>
      <c r="L784" s="4" t="s">
        <v>2402</v>
      </c>
      <c r="M784" s="4" t="s">
        <v>2401</v>
      </c>
      <c r="N784" s="4">
        <v>245</v>
      </c>
      <c r="O784" s="4" t="s">
        <v>2403</v>
      </c>
    </row>
    <row r="785" spans="1:15" ht="15.75" customHeight="1">
      <c r="A785" s="4" t="s">
        <v>49</v>
      </c>
      <c r="B785" s="4">
        <v>797040</v>
      </c>
      <c r="C785" s="4">
        <v>798476</v>
      </c>
      <c r="E785" s="4" t="s">
        <v>55</v>
      </c>
      <c r="F785" s="4" t="s">
        <v>2404</v>
      </c>
      <c r="I785" s="4" t="s">
        <v>52</v>
      </c>
      <c r="L785" s="4" t="s">
        <v>2405</v>
      </c>
      <c r="M785" s="4" t="s">
        <v>2404</v>
      </c>
      <c r="N785" s="4">
        <v>478</v>
      </c>
      <c r="O785" s="4" t="s">
        <v>2406</v>
      </c>
    </row>
    <row r="786" spans="1:15" ht="15.75" customHeight="1">
      <c r="A786" s="4" t="s">
        <v>49</v>
      </c>
      <c r="B786" s="4">
        <v>798529</v>
      </c>
      <c r="C786" s="4">
        <v>799893</v>
      </c>
      <c r="E786" s="4" t="s">
        <v>55</v>
      </c>
      <c r="F786" s="4" t="s">
        <v>2407</v>
      </c>
      <c r="G786" s="4" t="s">
        <v>2408</v>
      </c>
      <c r="I786" s="4" t="s">
        <v>52</v>
      </c>
      <c r="L786" s="4" t="s">
        <v>2409</v>
      </c>
      <c r="M786" s="4" t="s">
        <v>2407</v>
      </c>
      <c r="N786" s="4">
        <v>454</v>
      </c>
      <c r="O786" s="4" t="s">
        <v>2410</v>
      </c>
    </row>
    <row r="787" spans="1:15" ht="15.75" customHeight="1">
      <c r="A787" s="4" t="s">
        <v>49</v>
      </c>
      <c r="B787" s="4">
        <v>799916</v>
      </c>
      <c r="C787" s="4">
        <v>800410</v>
      </c>
      <c r="E787" s="4" t="s">
        <v>55</v>
      </c>
      <c r="F787" s="4" t="s">
        <v>56</v>
      </c>
      <c r="I787" s="4" t="s">
        <v>52</v>
      </c>
      <c r="L787" s="4" t="s">
        <v>2411</v>
      </c>
      <c r="M787" s="4" t="s">
        <v>56</v>
      </c>
      <c r="N787" s="4">
        <v>164</v>
      </c>
      <c r="O787" s="4" t="s">
        <v>2412</v>
      </c>
    </row>
    <row r="788" spans="1:15" ht="15.75" customHeight="1">
      <c r="A788" s="4" t="s">
        <v>49</v>
      </c>
      <c r="B788" s="4">
        <v>800437</v>
      </c>
      <c r="C788" s="4">
        <v>800754</v>
      </c>
      <c r="E788" s="4" t="s">
        <v>55</v>
      </c>
      <c r="F788" s="4" t="s">
        <v>295</v>
      </c>
      <c r="I788" s="4" t="s">
        <v>52</v>
      </c>
      <c r="L788" s="4" t="s">
        <v>2413</v>
      </c>
      <c r="M788" s="4" t="s">
        <v>295</v>
      </c>
      <c r="N788" s="4">
        <v>105</v>
      </c>
      <c r="O788" s="4" t="s">
        <v>2414</v>
      </c>
    </row>
    <row r="789" spans="1:15" ht="15.75" customHeight="1">
      <c r="A789" s="4" t="s">
        <v>49</v>
      </c>
      <c r="B789" s="4">
        <v>800765</v>
      </c>
      <c r="C789" s="4">
        <v>801079</v>
      </c>
      <c r="E789" s="4" t="s">
        <v>55</v>
      </c>
      <c r="F789" s="4" t="s">
        <v>2415</v>
      </c>
      <c r="I789" s="4" t="s">
        <v>52</v>
      </c>
      <c r="L789" s="4" t="s">
        <v>2416</v>
      </c>
      <c r="M789" s="4" t="s">
        <v>2415</v>
      </c>
      <c r="N789" s="4">
        <v>104</v>
      </c>
      <c r="O789" s="4" t="s">
        <v>2417</v>
      </c>
    </row>
    <row r="790" spans="1:15" ht="15.75" customHeight="1">
      <c r="A790" s="4" t="s">
        <v>49</v>
      </c>
      <c r="B790" s="4">
        <v>801397</v>
      </c>
      <c r="C790" s="4">
        <v>803151</v>
      </c>
      <c r="E790" s="4" t="s">
        <v>55</v>
      </c>
      <c r="F790" s="4" t="s">
        <v>2418</v>
      </c>
      <c r="G790" s="4" t="s">
        <v>2419</v>
      </c>
      <c r="I790" s="4" t="s">
        <v>52</v>
      </c>
      <c r="L790" s="4" t="s">
        <v>2420</v>
      </c>
      <c r="M790" s="4" t="s">
        <v>2418</v>
      </c>
      <c r="N790" s="4">
        <v>584</v>
      </c>
      <c r="O790" s="4" t="s">
        <v>2421</v>
      </c>
    </row>
    <row r="791" spans="1:15" ht="15.75" customHeight="1">
      <c r="A791" s="4" t="s">
        <v>49</v>
      </c>
      <c r="B791" s="4">
        <v>803474</v>
      </c>
      <c r="C791" s="4">
        <v>804640</v>
      </c>
      <c r="E791" s="4" t="s">
        <v>55</v>
      </c>
      <c r="F791" s="4" t="s">
        <v>2422</v>
      </c>
      <c r="I791" s="4" t="s">
        <v>52</v>
      </c>
      <c r="L791" s="4" t="s">
        <v>2423</v>
      </c>
      <c r="M791" s="4" t="s">
        <v>2422</v>
      </c>
      <c r="N791" s="4">
        <v>388</v>
      </c>
      <c r="O791" s="4" t="s">
        <v>2424</v>
      </c>
    </row>
    <row r="792" spans="1:15" ht="15.75" customHeight="1">
      <c r="A792" s="4" t="s">
        <v>49</v>
      </c>
      <c r="B792" s="4">
        <v>804624</v>
      </c>
      <c r="C792" s="4">
        <v>805904</v>
      </c>
      <c r="E792" s="4" t="s">
        <v>55</v>
      </c>
      <c r="F792" s="4" t="s">
        <v>2425</v>
      </c>
      <c r="I792" s="4" t="s">
        <v>52</v>
      </c>
      <c r="L792" s="4" t="s">
        <v>2426</v>
      </c>
      <c r="M792" s="4" t="s">
        <v>2425</v>
      </c>
      <c r="N792" s="4">
        <v>426</v>
      </c>
      <c r="O792" s="4" t="s">
        <v>2427</v>
      </c>
    </row>
    <row r="793" spans="1:15" ht="15.75" customHeight="1">
      <c r="A793" s="4" t="s">
        <v>49</v>
      </c>
      <c r="B793" s="4">
        <v>805916</v>
      </c>
      <c r="C793" s="4">
        <v>807097</v>
      </c>
      <c r="E793" s="4" t="s">
        <v>55</v>
      </c>
      <c r="F793" s="4" t="s">
        <v>2428</v>
      </c>
      <c r="I793" s="4" t="s">
        <v>52</v>
      </c>
      <c r="L793" s="4" t="s">
        <v>2429</v>
      </c>
      <c r="M793" s="4" t="s">
        <v>2428</v>
      </c>
      <c r="N793" s="4">
        <v>393</v>
      </c>
      <c r="O793" s="4" t="s">
        <v>2430</v>
      </c>
    </row>
    <row r="794" spans="1:15" ht="15.75" customHeight="1">
      <c r="A794" s="4" t="s">
        <v>49</v>
      </c>
      <c r="B794" s="4">
        <v>807442</v>
      </c>
      <c r="C794" s="4">
        <v>807741</v>
      </c>
      <c r="E794" s="4" t="s">
        <v>50</v>
      </c>
      <c r="F794" s="4" t="s">
        <v>56</v>
      </c>
      <c r="I794" s="4" t="s">
        <v>52</v>
      </c>
      <c r="L794" s="4" t="s">
        <v>2431</v>
      </c>
      <c r="M794" s="4" t="s">
        <v>56</v>
      </c>
      <c r="N794" s="4">
        <v>99</v>
      </c>
      <c r="O794" s="4" t="s">
        <v>2432</v>
      </c>
    </row>
    <row r="795" spans="1:15" ht="15.75" customHeight="1">
      <c r="A795" s="4" t="s">
        <v>49</v>
      </c>
      <c r="B795" s="4">
        <v>807742</v>
      </c>
      <c r="C795" s="4">
        <v>808572</v>
      </c>
      <c r="E795" s="4" t="s">
        <v>55</v>
      </c>
      <c r="F795" s="4" t="s">
        <v>2433</v>
      </c>
      <c r="I795" s="4" t="s">
        <v>52</v>
      </c>
      <c r="L795" s="4" t="s">
        <v>2434</v>
      </c>
      <c r="M795" s="4" t="s">
        <v>2433</v>
      </c>
      <c r="N795" s="4">
        <v>276</v>
      </c>
      <c r="O795" s="4" t="s">
        <v>2435</v>
      </c>
    </row>
    <row r="796" spans="1:15" ht="15.75" customHeight="1">
      <c r="A796" s="4" t="s">
        <v>49</v>
      </c>
      <c r="B796" s="4">
        <v>808720</v>
      </c>
      <c r="C796" s="4">
        <v>809283</v>
      </c>
      <c r="E796" s="4" t="s">
        <v>55</v>
      </c>
      <c r="F796" s="4" t="s">
        <v>2436</v>
      </c>
      <c r="I796" s="4" t="s">
        <v>52</v>
      </c>
      <c r="L796" s="4" t="s">
        <v>2437</v>
      </c>
      <c r="M796" s="4" t="s">
        <v>2436</v>
      </c>
      <c r="N796" s="4">
        <v>187</v>
      </c>
      <c r="O796" s="4" t="s">
        <v>2438</v>
      </c>
    </row>
    <row r="797" spans="1:15" ht="15.75" customHeight="1">
      <c r="A797" s="4" t="s">
        <v>49</v>
      </c>
      <c r="B797" s="4">
        <v>809396</v>
      </c>
      <c r="C797" s="4">
        <v>810214</v>
      </c>
      <c r="E797" s="4" t="s">
        <v>50</v>
      </c>
      <c r="F797" s="4" t="s">
        <v>2439</v>
      </c>
      <c r="I797" s="4" t="s">
        <v>52</v>
      </c>
      <c r="L797" s="4" t="s">
        <v>2440</v>
      </c>
      <c r="M797" s="4" t="s">
        <v>2439</v>
      </c>
      <c r="N797" s="4">
        <v>272</v>
      </c>
      <c r="O797" s="4" t="s">
        <v>2441</v>
      </c>
    </row>
    <row r="798" spans="1:15" ht="15.75" customHeight="1">
      <c r="A798" s="4" t="s">
        <v>49</v>
      </c>
      <c r="B798" s="4">
        <v>810274</v>
      </c>
      <c r="C798" s="4">
        <v>811413</v>
      </c>
      <c r="E798" s="4" t="s">
        <v>55</v>
      </c>
      <c r="F798" s="4" t="s">
        <v>2442</v>
      </c>
      <c r="I798" s="4" t="s">
        <v>52</v>
      </c>
      <c r="L798" s="4" t="s">
        <v>2443</v>
      </c>
      <c r="M798" s="4" t="s">
        <v>2442</v>
      </c>
      <c r="N798" s="4">
        <v>379</v>
      </c>
      <c r="O798" s="4" t="s">
        <v>2444</v>
      </c>
    </row>
    <row r="799" spans="1:15" ht="15.75" customHeight="1">
      <c r="A799" s="4" t="s">
        <v>49</v>
      </c>
      <c r="B799" s="4">
        <v>811492</v>
      </c>
      <c r="C799" s="4">
        <v>812097</v>
      </c>
      <c r="E799" s="4" t="s">
        <v>55</v>
      </c>
      <c r="F799" s="4" t="s">
        <v>1167</v>
      </c>
      <c r="I799" s="4" t="s">
        <v>52</v>
      </c>
      <c r="L799" s="4" t="s">
        <v>2445</v>
      </c>
      <c r="M799" s="4" t="s">
        <v>1167</v>
      </c>
      <c r="N799" s="4">
        <v>201</v>
      </c>
      <c r="O799" s="4" t="s">
        <v>2446</v>
      </c>
    </row>
    <row r="800" spans="1:15" ht="15.75" customHeight="1">
      <c r="A800" s="4" t="s">
        <v>49</v>
      </c>
      <c r="B800" s="4">
        <v>812511</v>
      </c>
      <c r="C800" s="4">
        <v>812596</v>
      </c>
      <c r="E800" s="4" t="s">
        <v>50</v>
      </c>
      <c r="F800" s="4" t="s">
        <v>2447</v>
      </c>
      <c r="I800" s="4" t="s">
        <v>302</v>
      </c>
      <c r="O800" s="4" t="s">
        <v>2448</v>
      </c>
    </row>
    <row r="801" spans="1:15" ht="15.75" customHeight="1">
      <c r="A801" s="4" t="s">
        <v>49</v>
      </c>
      <c r="B801" s="4">
        <v>812737</v>
      </c>
      <c r="C801" s="4">
        <v>813201</v>
      </c>
      <c r="E801" s="4" t="s">
        <v>50</v>
      </c>
      <c r="F801" s="4" t="s">
        <v>51</v>
      </c>
      <c r="I801" s="4" t="s">
        <v>52</v>
      </c>
      <c r="L801" s="4" t="s">
        <v>2449</v>
      </c>
      <c r="M801" s="4" t="s">
        <v>51</v>
      </c>
      <c r="N801" s="4">
        <v>154</v>
      </c>
      <c r="O801" s="4" t="s">
        <v>2450</v>
      </c>
    </row>
    <row r="802" spans="1:15" ht="15.75" customHeight="1">
      <c r="A802" s="4" t="s">
        <v>49</v>
      </c>
      <c r="B802" s="4">
        <v>813194</v>
      </c>
      <c r="C802" s="4">
        <v>813646</v>
      </c>
      <c r="E802" s="4" t="s">
        <v>55</v>
      </c>
      <c r="F802" s="4" t="s">
        <v>2451</v>
      </c>
      <c r="I802" s="4" t="s">
        <v>52</v>
      </c>
      <c r="L802" s="4" t="s">
        <v>2452</v>
      </c>
      <c r="M802" s="4" t="s">
        <v>2451</v>
      </c>
      <c r="N802" s="4">
        <v>150</v>
      </c>
      <c r="O802" s="4" t="s">
        <v>2453</v>
      </c>
    </row>
    <row r="803" spans="1:15" ht="15.75" customHeight="1">
      <c r="A803" s="4" t="s">
        <v>49</v>
      </c>
      <c r="B803" s="4">
        <v>813788</v>
      </c>
      <c r="C803" s="4">
        <v>814540</v>
      </c>
      <c r="E803" s="4" t="s">
        <v>55</v>
      </c>
      <c r="F803" s="4" t="s">
        <v>73</v>
      </c>
      <c r="I803" s="4" t="s">
        <v>52</v>
      </c>
      <c r="L803" s="4" t="s">
        <v>2454</v>
      </c>
      <c r="M803" s="4" t="s">
        <v>73</v>
      </c>
      <c r="N803" s="4">
        <v>250</v>
      </c>
      <c r="O803" s="4" t="s">
        <v>2455</v>
      </c>
    </row>
    <row r="804" spans="1:15" ht="15.75" customHeight="1">
      <c r="A804" s="4" t="s">
        <v>49</v>
      </c>
      <c r="B804" s="4">
        <v>814533</v>
      </c>
      <c r="C804" s="4">
        <v>815432</v>
      </c>
      <c r="E804" s="4" t="s">
        <v>55</v>
      </c>
      <c r="F804" s="4" t="s">
        <v>76</v>
      </c>
      <c r="I804" s="4" t="s">
        <v>52</v>
      </c>
      <c r="L804" s="4" t="s">
        <v>2456</v>
      </c>
      <c r="M804" s="4" t="s">
        <v>76</v>
      </c>
      <c r="N804" s="4">
        <v>299</v>
      </c>
      <c r="O804" s="4" t="s">
        <v>2457</v>
      </c>
    </row>
    <row r="805" spans="1:15" ht="15.75" customHeight="1">
      <c r="A805" s="4" t="s">
        <v>49</v>
      </c>
      <c r="B805" s="4">
        <v>815429</v>
      </c>
      <c r="C805" s="4">
        <v>816424</v>
      </c>
      <c r="E805" s="4" t="s">
        <v>55</v>
      </c>
      <c r="F805" s="4" t="s">
        <v>2458</v>
      </c>
      <c r="G805" s="4" t="s">
        <v>2459</v>
      </c>
      <c r="I805" s="4" t="s">
        <v>52</v>
      </c>
      <c r="L805" s="4" t="s">
        <v>2460</v>
      </c>
      <c r="M805" s="4" t="s">
        <v>2458</v>
      </c>
      <c r="N805" s="4">
        <v>331</v>
      </c>
      <c r="O805" s="4" t="s">
        <v>2461</v>
      </c>
    </row>
    <row r="806" spans="1:15" ht="15.75" customHeight="1">
      <c r="A806" s="4" t="s">
        <v>49</v>
      </c>
      <c r="B806" s="4">
        <v>816910</v>
      </c>
      <c r="C806" s="4">
        <v>817347</v>
      </c>
      <c r="E806" s="4" t="s">
        <v>55</v>
      </c>
      <c r="F806" s="4" t="s">
        <v>56</v>
      </c>
      <c r="I806" s="4" t="s">
        <v>52</v>
      </c>
      <c r="L806" s="4" t="s">
        <v>2462</v>
      </c>
      <c r="M806" s="4" t="s">
        <v>56</v>
      </c>
      <c r="N806" s="4">
        <v>145</v>
      </c>
      <c r="O806" s="4" t="s">
        <v>2463</v>
      </c>
    </row>
    <row r="807" spans="1:15" ht="15.75" customHeight="1">
      <c r="A807" s="4" t="s">
        <v>49</v>
      </c>
      <c r="B807" s="4">
        <v>817484</v>
      </c>
      <c r="C807" s="4">
        <v>820144</v>
      </c>
      <c r="E807" s="4" t="s">
        <v>55</v>
      </c>
      <c r="F807" s="4" t="s">
        <v>2464</v>
      </c>
      <c r="I807" s="4" t="s">
        <v>52</v>
      </c>
      <c r="L807" s="4" t="s">
        <v>2465</v>
      </c>
      <c r="M807" s="4" t="s">
        <v>2464</v>
      </c>
      <c r="N807" s="4">
        <v>886</v>
      </c>
      <c r="O807" s="4" t="s">
        <v>2466</v>
      </c>
    </row>
    <row r="808" spans="1:15" ht="15.75" customHeight="1">
      <c r="A808" s="4" t="s">
        <v>49</v>
      </c>
      <c r="B808" s="4">
        <v>820447</v>
      </c>
      <c r="C808" s="4">
        <v>821604</v>
      </c>
      <c r="E808" s="4" t="s">
        <v>55</v>
      </c>
      <c r="F808" s="4" t="s">
        <v>345</v>
      </c>
      <c r="I808" s="4" t="s">
        <v>346</v>
      </c>
      <c r="O808" s="4" t="s">
        <v>2467</v>
      </c>
    </row>
    <row r="809" spans="1:15" ht="15.75" customHeight="1">
      <c r="A809" s="4" t="s">
        <v>49</v>
      </c>
      <c r="B809" s="4">
        <v>821869</v>
      </c>
      <c r="C809" s="4">
        <v>822696</v>
      </c>
      <c r="E809" s="4" t="s">
        <v>55</v>
      </c>
      <c r="F809" s="4" t="s">
        <v>2468</v>
      </c>
      <c r="G809" s="4" t="s">
        <v>2469</v>
      </c>
      <c r="I809" s="4" t="s">
        <v>52</v>
      </c>
      <c r="L809" s="4" t="s">
        <v>2470</v>
      </c>
      <c r="M809" s="4" t="s">
        <v>2468</v>
      </c>
      <c r="N809" s="4">
        <v>275</v>
      </c>
      <c r="O809" s="4" t="s">
        <v>2471</v>
      </c>
    </row>
    <row r="810" spans="1:15" ht="15.75" customHeight="1">
      <c r="A810" s="4" t="s">
        <v>49</v>
      </c>
      <c r="B810" s="4">
        <v>822699</v>
      </c>
      <c r="C810" s="4">
        <v>823892</v>
      </c>
      <c r="E810" s="4" t="s">
        <v>55</v>
      </c>
      <c r="F810" s="4" t="s">
        <v>2472</v>
      </c>
      <c r="I810" s="4" t="s">
        <v>52</v>
      </c>
      <c r="L810" s="4" t="s">
        <v>2473</v>
      </c>
      <c r="M810" s="4" t="s">
        <v>2472</v>
      </c>
      <c r="N810" s="4">
        <v>397</v>
      </c>
      <c r="O810" s="4" t="s">
        <v>2474</v>
      </c>
    </row>
    <row r="811" spans="1:15" ht="15.75" customHeight="1">
      <c r="A811" s="4" t="s">
        <v>49</v>
      </c>
      <c r="B811" s="4">
        <v>823896</v>
      </c>
      <c r="C811" s="4">
        <v>825359</v>
      </c>
      <c r="E811" s="4" t="s">
        <v>55</v>
      </c>
      <c r="F811" s="4" t="s">
        <v>2475</v>
      </c>
      <c r="I811" s="4" t="s">
        <v>52</v>
      </c>
      <c r="L811" s="4" t="s">
        <v>2476</v>
      </c>
      <c r="M811" s="4" t="s">
        <v>2475</v>
      </c>
      <c r="N811" s="4">
        <v>487</v>
      </c>
      <c r="O811" s="4" t="s">
        <v>2477</v>
      </c>
    </row>
    <row r="812" spans="1:15" ht="15.75" customHeight="1">
      <c r="A812" s="4" t="s">
        <v>49</v>
      </c>
      <c r="B812" s="4">
        <v>825805</v>
      </c>
      <c r="C812" s="4">
        <v>826506</v>
      </c>
      <c r="E812" s="4" t="s">
        <v>55</v>
      </c>
      <c r="F812" s="4" t="s">
        <v>2401</v>
      </c>
      <c r="I812" s="4" t="s">
        <v>52</v>
      </c>
      <c r="L812" s="4" t="s">
        <v>2478</v>
      </c>
      <c r="M812" s="4" t="s">
        <v>2401</v>
      </c>
      <c r="N812" s="4">
        <v>233</v>
      </c>
      <c r="O812" s="4" t="s">
        <v>2479</v>
      </c>
    </row>
    <row r="813" spans="1:15" ht="15.75" customHeight="1">
      <c r="A813" s="4" t="s">
        <v>49</v>
      </c>
      <c r="B813" s="4">
        <v>826531</v>
      </c>
      <c r="C813" s="4">
        <v>827676</v>
      </c>
      <c r="E813" s="4" t="s">
        <v>55</v>
      </c>
      <c r="F813" s="4" t="s">
        <v>2480</v>
      </c>
      <c r="G813" s="4" t="s">
        <v>2481</v>
      </c>
      <c r="I813" s="4" t="s">
        <v>52</v>
      </c>
      <c r="L813" s="4" t="s">
        <v>2482</v>
      </c>
      <c r="M813" s="4" t="s">
        <v>2480</v>
      </c>
      <c r="N813" s="4">
        <v>381</v>
      </c>
      <c r="O813" s="4" t="s">
        <v>2483</v>
      </c>
    </row>
    <row r="814" spans="1:15" ht="15.75" customHeight="1">
      <c r="A814" s="4" t="s">
        <v>49</v>
      </c>
      <c r="B814" s="4">
        <v>827783</v>
      </c>
      <c r="C814" s="4">
        <v>828580</v>
      </c>
      <c r="E814" s="4" t="s">
        <v>55</v>
      </c>
      <c r="F814" s="4" t="s">
        <v>2484</v>
      </c>
      <c r="G814" s="4" t="s">
        <v>2485</v>
      </c>
      <c r="I814" s="4" t="s">
        <v>52</v>
      </c>
      <c r="L814" s="4" t="s">
        <v>2486</v>
      </c>
      <c r="M814" s="4" t="s">
        <v>2484</v>
      </c>
      <c r="N814" s="4">
        <v>265</v>
      </c>
      <c r="O814" s="4" t="s">
        <v>2487</v>
      </c>
    </row>
    <row r="815" spans="1:15" ht="15.75" customHeight="1">
      <c r="A815" s="4" t="s">
        <v>49</v>
      </c>
      <c r="B815" s="4">
        <v>828593</v>
      </c>
      <c r="C815" s="4">
        <v>830569</v>
      </c>
      <c r="E815" s="4" t="s">
        <v>55</v>
      </c>
      <c r="F815" s="4" t="s">
        <v>2488</v>
      </c>
      <c r="I815" s="4" t="s">
        <v>52</v>
      </c>
      <c r="L815" s="4" t="s">
        <v>2489</v>
      </c>
      <c r="M815" s="4" t="s">
        <v>2488</v>
      </c>
      <c r="N815" s="4">
        <v>658</v>
      </c>
      <c r="O815" s="4" t="s">
        <v>2490</v>
      </c>
    </row>
    <row r="816" spans="1:15" ht="15.75" customHeight="1">
      <c r="A816" s="4" t="s">
        <v>49</v>
      </c>
      <c r="B816" s="4">
        <v>830706</v>
      </c>
      <c r="C816" s="4">
        <v>830786</v>
      </c>
      <c r="E816" s="4" t="s">
        <v>55</v>
      </c>
      <c r="F816" s="4" t="s">
        <v>2491</v>
      </c>
      <c r="I816" s="4" t="s">
        <v>302</v>
      </c>
      <c r="O816" s="4" t="s">
        <v>2492</v>
      </c>
    </row>
    <row r="817" spans="1:15" ht="15.75" customHeight="1">
      <c r="A817" s="4" t="s">
        <v>49</v>
      </c>
      <c r="B817" s="4">
        <v>830897</v>
      </c>
      <c r="C817" s="4">
        <v>831724</v>
      </c>
      <c r="E817" s="4" t="s">
        <v>55</v>
      </c>
      <c r="F817" s="4" t="s">
        <v>2493</v>
      </c>
      <c r="I817" s="4" t="s">
        <v>52</v>
      </c>
      <c r="L817" s="4" t="s">
        <v>2494</v>
      </c>
      <c r="M817" s="4" t="s">
        <v>2493</v>
      </c>
      <c r="N817" s="4">
        <v>275</v>
      </c>
      <c r="O817" s="4" t="s">
        <v>2495</v>
      </c>
    </row>
    <row r="818" spans="1:15" ht="15.75" customHeight="1">
      <c r="A818" s="4" t="s">
        <v>49</v>
      </c>
      <c r="B818" s="4">
        <v>831786</v>
      </c>
      <c r="C818" s="4">
        <v>833252</v>
      </c>
      <c r="E818" s="4" t="s">
        <v>55</v>
      </c>
      <c r="F818" s="4" t="s">
        <v>2496</v>
      </c>
      <c r="I818" s="4" t="s">
        <v>52</v>
      </c>
      <c r="L818" s="4" t="s">
        <v>2497</v>
      </c>
      <c r="M818" s="4" t="s">
        <v>2496</v>
      </c>
      <c r="N818" s="4">
        <v>488</v>
      </c>
      <c r="O818" s="4" t="s">
        <v>2498</v>
      </c>
    </row>
    <row r="819" spans="1:15" ht="15.75" customHeight="1">
      <c r="A819" s="4" t="s">
        <v>49</v>
      </c>
      <c r="B819" s="4">
        <v>833605</v>
      </c>
      <c r="C819" s="4">
        <v>835923</v>
      </c>
      <c r="E819" s="4" t="s">
        <v>55</v>
      </c>
      <c r="F819" s="4" t="s">
        <v>2499</v>
      </c>
      <c r="I819" s="4" t="s">
        <v>52</v>
      </c>
      <c r="L819" s="4" t="s">
        <v>2500</v>
      </c>
      <c r="M819" s="4" t="s">
        <v>2499</v>
      </c>
      <c r="N819" s="4">
        <v>772</v>
      </c>
      <c r="O819" s="4" t="s">
        <v>2501</v>
      </c>
    </row>
    <row r="820" spans="1:15" ht="15.75" customHeight="1">
      <c r="A820" s="4" t="s">
        <v>49</v>
      </c>
      <c r="B820" s="4">
        <v>836349</v>
      </c>
      <c r="C820" s="4">
        <v>836723</v>
      </c>
      <c r="E820" s="4" t="s">
        <v>55</v>
      </c>
      <c r="F820" s="4" t="s">
        <v>56</v>
      </c>
      <c r="I820" s="4" t="s">
        <v>52</v>
      </c>
      <c r="L820" s="4" t="s">
        <v>2502</v>
      </c>
      <c r="M820" s="4" t="s">
        <v>56</v>
      </c>
      <c r="N820" s="4">
        <v>124</v>
      </c>
      <c r="O820" s="4" t="s">
        <v>2503</v>
      </c>
    </row>
    <row r="821" spans="1:15" ht="15.75" customHeight="1">
      <c r="A821" s="4" t="s">
        <v>49</v>
      </c>
      <c r="B821" s="4">
        <v>836863</v>
      </c>
      <c r="C821" s="4">
        <v>837285</v>
      </c>
      <c r="E821" s="4" t="s">
        <v>55</v>
      </c>
      <c r="F821" s="4" t="s">
        <v>56</v>
      </c>
      <c r="I821" s="4" t="s">
        <v>52</v>
      </c>
      <c r="L821" s="4" t="s">
        <v>2504</v>
      </c>
      <c r="M821" s="4" t="s">
        <v>56</v>
      </c>
      <c r="N821" s="4">
        <v>140</v>
      </c>
      <c r="O821" s="4" t="s">
        <v>2505</v>
      </c>
    </row>
    <row r="822" spans="1:15" ht="15.75" customHeight="1">
      <c r="A822" s="4" t="s">
        <v>49</v>
      </c>
      <c r="B822" s="4">
        <v>837848</v>
      </c>
      <c r="C822" s="4">
        <v>837982</v>
      </c>
      <c r="E822" s="4" t="s">
        <v>50</v>
      </c>
      <c r="F822" s="4" t="s">
        <v>56</v>
      </c>
      <c r="I822" s="4" t="s">
        <v>52</v>
      </c>
      <c r="L822" s="4" t="s">
        <v>2506</v>
      </c>
      <c r="M822" s="4" t="s">
        <v>56</v>
      </c>
      <c r="N822" s="4">
        <v>44</v>
      </c>
      <c r="O822" s="4" t="s">
        <v>2507</v>
      </c>
    </row>
    <row r="823" spans="1:15" ht="15.75" customHeight="1">
      <c r="A823" s="4" t="s">
        <v>49</v>
      </c>
      <c r="B823" s="4">
        <v>837988</v>
      </c>
      <c r="C823" s="4">
        <v>838908</v>
      </c>
      <c r="E823" s="4" t="s">
        <v>55</v>
      </c>
      <c r="F823" s="4" t="s">
        <v>674</v>
      </c>
      <c r="I823" s="4" t="s">
        <v>52</v>
      </c>
      <c r="L823" s="4" t="s">
        <v>675</v>
      </c>
      <c r="M823" s="4" t="s">
        <v>674</v>
      </c>
      <c r="N823" s="4">
        <v>306</v>
      </c>
      <c r="O823" s="4" t="s">
        <v>2508</v>
      </c>
    </row>
    <row r="824" spans="1:15" ht="15.75" customHeight="1">
      <c r="A824" s="4" t="s">
        <v>49</v>
      </c>
      <c r="B824" s="4">
        <v>839020</v>
      </c>
      <c r="C824" s="4">
        <v>840333</v>
      </c>
      <c r="E824" s="4" t="s">
        <v>50</v>
      </c>
      <c r="F824" s="4" t="s">
        <v>255</v>
      </c>
      <c r="I824" s="4" t="s">
        <v>52</v>
      </c>
      <c r="L824" s="4" t="s">
        <v>2509</v>
      </c>
      <c r="M824" s="4" t="s">
        <v>255</v>
      </c>
      <c r="N824" s="4">
        <v>437</v>
      </c>
      <c r="O824" s="4" t="s">
        <v>2510</v>
      </c>
    </row>
    <row r="825" spans="1:15" ht="15.75" customHeight="1">
      <c r="A825" s="4" t="s">
        <v>49</v>
      </c>
      <c r="B825" s="4">
        <v>840428</v>
      </c>
      <c r="C825" s="4">
        <v>841564</v>
      </c>
      <c r="E825" s="4" t="s">
        <v>50</v>
      </c>
      <c r="F825" s="4" t="s">
        <v>2511</v>
      </c>
      <c r="I825" s="4" t="s">
        <v>52</v>
      </c>
      <c r="L825" s="4" t="s">
        <v>2512</v>
      </c>
      <c r="M825" s="4" t="s">
        <v>2511</v>
      </c>
      <c r="N825" s="4">
        <v>378</v>
      </c>
      <c r="O825" s="4" t="s">
        <v>2513</v>
      </c>
    </row>
    <row r="826" spans="1:15" ht="15.75" customHeight="1">
      <c r="A826" s="4" t="s">
        <v>49</v>
      </c>
      <c r="B826" s="4">
        <v>841673</v>
      </c>
      <c r="C826" s="4">
        <v>841990</v>
      </c>
      <c r="E826" s="4" t="s">
        <v>55</v>
      </c>
      <c r="F826" s="4" t="s">
        <v>56</v>
      </c>
      <c r="I826" s="4" t="s">
        <v>52</v>
      </c>
      <c r="L826" s="4" t="s">
        <v>2514</v>
      </c>
      <c r="M826" s="4" t="s">
        <v>56</v>
      </c>
      <c r="N826" s="4">
        <v>105</v>
      </c>
      <c r="O826" s="4" t="s">
        <v>2515</v>
      </c>
    </row>
    <row r="827" spans="1:15" ht="15.75" customHeight="1">
      <c r="A827" s="4" t="s">
        <v>49</v>
      </c>
      <c r="B827" s="4">
        <v>842160</v>
      </c>
      <c r="C827" s="4">
        <v>843827</v>
      </c>
      <c r="E827" s="4" t="s">
        <v>55</v>
      </c>
      <c r="F827" s="4" t="s">
        <v>2516</v>
      </c>
      <c r="I827" s="4" t="s">
        <v>52</v>
      </c>
      <c r="L827" s="4" t="s">
        <v>2517</v>
      </c>
      <c r="M827" s="4" t="s">
        <v>2516</v>
      </c>
      <c r="N827" s="4">
        <v>555</v>
      </c>
      <c r="O827" s="4" t="s">
        <v>2518</v>
      </c>
    </row>
    <row r="828" spans="1:15" ht="15.75" customHeight="1">
      <c r="A828" s="4" t="s">
        <v>49</v>
      </c>
      <c r="B828" s="4">
        <v>844042</v>
      </c>
      <c r="C828" s="4">
        <v>844209</v>
      </c>
      <c r="E828" s="4" t="s">
        <v>55</v>
      </c>
      <c r="F828" s="4" t="s">
        <v>2519</v>
      </c>
      <c r="I828" s="4" t="s">
        <v>52</v>
      </c>
      <c r="L828" s="4" t="s">
        <v>2520</v>
      </c>
      <c r="M828" s="4" t="s">
        <v>2519</v>
      </c>
      <c r="N828" s="4">
        <v>55</v>
      </c>
      <c r="O828" s="4" t="s">
        <v>2521</v>
      </c>
    </row>
    <row r="829" spans="1:15" ht="15.75" customHeight="1">
      <c r="A829" s="4" t="s">
        <v>49</v>
      </c>
      <c r="B829" s="4">
        <v>844245</v>
      </c>
      <c r="C829" s="4">
        <v>846356</v>
      </c>
      <c r="E829" s="4" t="s">
        <v>55</v>
      </c>
      <c r="F829" s="4" t="s">
        <v>2522</v>
      </c>
      <c r="G829" s="4" t="s">
        <v>2523</v>
      </c>
      <c r="I829" s="4" t="s">
        <v>52</v>
      </c>
      <c r="L829" s="4" t="s">
        <v>2524</v>
      </c>
      <c r="M829" s="4" t="s">
        <v>2522</v>
      </c>
      <c r="N829" s="4">
        <v>703</v>
      </c>
      <c r="O829" s="4" t="s">
        <v>2525</v>
      </c>
    </row>
    <row r="830" spans="1:15" ht="15.75" customHeight="1">
      <c r="A830" s="4" t="s">
        <v>49</v>
      </c>
      <c r="B830" s="4">
        <v>846343</v>
      </c>
      <c r="C830" s="4">
        <v>846834</v>
      </c>
      <c r="E830" s="4" t="s">
        <v>55</v>
      </c>
      <c r="F830" s="4" t="s">
        <v>2526</v>
      </c>
      <c r="I830" s="4" t="s">
        <v>52</v>
      </c>
      <c r="L830" s="4" t="s">
        <v>2527</v>
      </c>
      <c r="M830" s="4" t="s">
        <v>2526</v>
      </c>
      <c r="N830" s="4">
        <v>163</v>
      </c>
      <c r="O830" s="4" t="s">
        <v>2528</v>
      </c>
    </row>
    <row r="831" spans="1:15" ht="15.75" customHeight="1">
      <c r="A831" s="4" t="s">
        <v>49</v>
      </c>
      <c r="B831" s="4">
        <v>847034</v>
      </c>
      <c r="C831" s="4">
        <v>847786</v>
      </c>
      <c r="E831" s="4" t="s">
        <v>55</v>
      </c>
      <c r="F831" s="4" t="s">
        <v>2529</v>
      </c>
      <c r="I831" s="4" t="s">
        <v>52</v>
      </c>
      <c r="L831" s="4" t="s">
        <v>2530</v>
      </c>
      <c r="M831" s="4" t="s">
        <v>2529</v>
      </c>
      <c r="N831" s="4">
        <v>250</v>
      </c>
      <c r="O831" s="4" t="s">
        <v>2531</v>
      </c>
    </row>
    <row r="832" spans="1:15" ht="15.75" customHeight="1">
      <c r="A832" s="4" t="s">
        <v>49</v>
      </c>
      <c r="B832" s="4">
        <v>848074</v>
      </c>
      <c r="C832" s="4">
        <v>848146</v>
      </c>
      <c r="E832" s="4" t="s">
        <v>55</v>
      </c>
      <c r="F832" s="4" t="s">
        <v>2532</v>
      </c>
      <c r="I832" s="4" t="s">
        <v>302</v>
      </c>
      <c r="O832" s="4" t="s">
        <v>2533</v>
      </c>
    </row>
    <row r="833" spans="1:15" ht="15.75" customHeight="1">
      <c r="A833" s="4" t="s">
        <v>49</v>
      </c>
      <c r="B833" s="4">
        <v>848151</v>
      </c>
      <c r="C833" s="4">
        <v>848222</v>
      </c>
      <c r="E833" s="4" t="s">
        <v>55</v>
      </c>
      <c r="F833" s="4" t="s">
        <v>429</v>
      </c>
      <c r="I833" s="4" t="s">
        <v>302</v>
      </c>
      <c r="O833" s="4" t="s">
        <v>2534</v>
      </c>
    </row>
    <row r="834" spans="1:15" ht="15.75" customHeight="1">
      <c r="A834" s="4" t="s">
        <v>49</v>
      </c>
      <c r="B834" s="4">
        <v>848397</v>
      </c>
      <c r="C834" s="4">
        <v>849035</v>
      </c>
      <c r="E834" s="4" t="s">
        <v>50</v>
      </c>
      <c r="F834" s="4" t="s">
        <v>2535</v>
      </c>
      <c r="I834" s="4" t="s">
        <v>52</v>
      </c>
      <c r="L834" s="4" t="s">
        <v>2536</v>
      </c>
      <c r="M834" s="4" t="s">
        <v>2535</v>
      </c>
      <c r="N834" s="4">
        <v>212</v>
      </c>
      <c r="O834" s="4" t="s">
        <v>2537</v>
      </c>
    </row>
    <row r="835" spans="1:15" ht="15.75" customHeight="1">
      <c r="A835" s="4" t="s">
        <v>49</v>
      </c>
      <c r="B835" s="4">
        <v>849074</v>
      </c>
      <c r="C835" s="4">
        <v>849586</v>
      </c>
      <c r="E835" s="4" t="s">
        <v>50</v>
      </c>
      <c r="F835" s="4" t="s">
        <v>2538</v>
      </c>
      <c r="I835" s="4" t="s">
        <v>52</v>
      </c>
      <c r="L835" s="4" t="s">
        <v>2539</v>
      </c>
      <c r="M835" s="4" t="s">
        <v>2538</v>
      </c>
      <c r="N835" s="4">
        <v>170</v>
      </c>
      <c r="O835" s="4" t="s">
        <v>2540</v>
      </c>
    </row>
    <row r="836" spans="1:15" ht="15.75" customHeight="1">
      <c r="A836" s="4" t="s">
        <v>49</v>
      </c>
      <c r="B836" s="4">
        <v>849739</v>
      </c>
      <c r="C836" s="4">
        <v>850263</v>
      </c>
      <c r="E836" s="4" t="s">
        <v>55</v>
      </c>
      <c r="F836" s="4" t="s">
        <v>56</v>
      </c>
      <c r="I836" s="4" t="s">
        <v>52</v>
      </c>
      <c r="L836" s="4" t="s">
        <v>2541</v>
      </c>
      <c r="M836" s="4" t="s">
        <v>56</v>
      </c>
      <c r="N836" s="4">
        <v>174</v>
      </c>
      <c r="O836" s="4" t="s">
        <v>2542</v>
      </c>
    </row>
    <row r="837" spans="1:15" ht="15.75" customHeight="1">
      <c r="A837" s="4" t="s">
        <v>49</v>
      </c>
      <c r="B837" s="4">
        <v>850432</v>
      </c>
      <c r="C837" s="4">
        <v>850504</v>
      </c>
      <c r="E837" s="4" t="s">
        <v>55</v>
      </c>
      <c r="F837" s="4" t="s">
        <v>2543</v>
      </c>
      <c r="I837" s="4" t="s">
        <v>302</v>
      </c>
      <c r="O837" s="4" t="s">
        <v>2544</v>
      </c>
    </row>
    <row r="838" spans="1:15" ht="15.75" customHeight="1">
      <c r="A838" s="4" t="s">
        <v>49</v>
      </c>
      <c r="B838" s="4">
        <v>850515</v>
      </c>
      <c r="C838" s="4">
        <v>850631</v>
      </c>
      <c r="E838" s="4" t="s">
        <v>55</v>
      </c>
      <c r="F838" s="4" t="s">
        <v>2545</v>
      </c>
      <c r="G838" s="4" t="s">
        <v>2546</v>
      </c>
      <c r="I838" s="4" t="s">
        <v>2547</v>
      </c>
      <c r="O838" s="4" t="s">
        <v>2548</v>
      </c>
    </row>
    <row r="839" spans="1:15" ht="15.75" customHeight="1">
      <c r="A839" s="4" t="s">
        <v>49</v>
      </c>
      <c r="B839" s="4">
        <v>850828</v>
      </c>
      <c r="C839" s="4">
        <v>853745</v>
      </c>
      <c r="E839" s="4" t="s">
        <v>55</v>
      </c>
      <c r="F839" s="4" t="s">
        <v>2549</v>
      </c>
      <c r="I839" s="4" t="s">
        <v>2547</v>
      </c>
      <c r="O839" s="4" t="s">
        <v>2550</v>
      </c>
    </row>
    <row r="840" spans="1:15" ht="15.75" customHeight="1">
      <c r="A840" s="4" t="s">
        <v>49</v>
      </c>
      <c r="B840" s="4">
        <v>853906</v>
      </c>
      <c r="C840" s="4">
        <v>853978</v>
      </c>
      <c r="E840" s="4" t="s">
        <v>55</v>
      </c>
      <c r="F840" s="4" t="s">
        <v>2551</v>
      </c>
      <c r="I840" s="4" t="s">
        <v>302</v>
      </c>
      <c r="O840" s="4" t="s">
        <v>2552</v>
      </c>
    </row>
    <row r="841" spans="1:15" ht="15.75" customHeight="1">
      <c r="A841" s="4" t="s">
        <v>49</v>
      </c>
      <c r="B841" s="4">
        <v>854013</v>
      </c>
      <c r="C841" s="4">
        <v>854086</v>
      </c>
      <c r="E841" s="4" t="s">
        <v>55</v>
      </c>
      <c r="F841" s="4" t="s">
        <v>2553</v>
      </c>
      <c r="I841" s="4" t="s">
        <v>302</v>
      </c>
      <c r="O841" s="4" t="s">
        <v>2554</v>
      </c>
    </row>
    <row r="842" spans="1:15" ht="15.75" customHeight="1">
      <c r="A842" s="4" t="s">
        <v>49</v>
      </c>
      <c r="B842" s="4">
        <v>854173</v>
      </c>
      <c r="C842" s="4">
        <v>855742</v>
      </c>
      <c r="E842" s="4" t="s">
        <v>55</v>
      </c>
      <c r="F842" s="4" t="s">
        <v>2555</v>
      </c>
      <c r="I842" s="4" t="s">
        <v>2547</v>
      </c>
      <c r="O842" s="4" t="s">
        <v>2556</v>
      </c>
    </row>
    <row r="843" spans="1:15" ht="15.75" customHeight="1">
      <c r="A843" s="4" t="s">
        <v>49</v>
      </c>
      <c r="B843" s="4">
        <v>856128</v>
      </c>
      <c r="C843" s="4">
        <v>857411</v>
      </c>
      <c r="E843" s="4" t="s">
        <v>55</v>
      </c>
      <c r="F843" s="4" t="s">
        <v>2557</v>
      </c>
      <c r="G843" s="4" t="s">
        <v>2558</v>
      </c>
      <c r="I843" s="4" t="s">
        <v>52</v>
      </c>
      <c r="L843" s="4" t="s">
        <v>2559</v>
      </c>
      <c r="M843" s="4" t="s">
        <v>2557</v>
      </c>
      <c r="N843" s="4">
        <v>427</v>
      </c>
      <c r="O843" s="4" t="s">
        <v>2560</v>
      </c>
    </row>
    <row r="844" spans="1:15" ht="15.75" customHeight="1">
      <c r="A844" s="4" t="s">
        <v>49</v>
      </c>
      <c r="B844" s="4">
        <v>857783</v>
      </c>
      <c r="C844" s="4">
        <v>859360</v>
      </c>
      <c r="E844" s="4" t="s">
        <v>55</v>
      </c>
      <c r="F844" s="4" t="s">
        <v>92</v>
      </c>
      <c r="I844" s="4" t="s">
        <v>52</v>
      </c>
      <c r="L844" s="4" t="s">
        <v>2561</v>
      </c>
      <c r="M844" s="4" t="s">
        <v>92</v>
      </c>
      <c r="N844" s="4">
        <v>525</v>
      </c>
      <c r="O844" s="4" t="s">
        <v>2562</v>
      </c>
    </row>
    <row r="845" spans="1:15" ht="15.75" customHeight="1">
      <c r="A845" s="4" t="s">
        <v>49</v>
      </c>
      <c r="B845" s="4">
        <v>859621</v>
      </c>
      <c r="C845" s="4">
        <v>861150</v>
      </c>
      <c r="E845" s="4" t="s">
        <v>50</v>
      </c>
      <c r="F845" s="4" t="s">
        <v>92</v>
      </c>
      <c r="I845" s="4" t="s">
        <v>52</v>
      </c>
      <c r="L845" s="4" t="s">
        <v>2563</v>
      </c>
      <c r="M845" s="4" t="s">
        <v>92</v>
      </c>
      <c r="N845" s="4">
        <v>509</v>
      </c>
      <c r="O845" s="4" t="s">
        <v>2564</v>
      </c>
    </row>
    <row r="846" spans="1:15" ht="15.75" customHeight="1">
      <c r="A846" s="4" t="s">
        <v>49</v>
      </c>
      <c r="B846" s="4">
        <v>861214</v>
      </c>
      <c r="C846" s="4">
        <v>862668</v>
      </c>
      <c r="E846" s="4" t="s">
        <v>55</v>
      </c>
      <c r="F846" s="4" t="s">
        <v>166</v>
      </c>
      <c r="I846" s="4" t="s">
        <v>52</v>
      </c>
      <c r="L846" s="4" t="s">
        <v>2565</v>
      </c>
      <c r="M846" s="4" t="s">
        <v>166</v>
      </c>
      <c r="N846" s="4">
        <v>484</v>
      </c>
      <c r="O846" s="4" t="s">
        <v>2566</v>
      </c>
    </row>
    <row r="847" spans="1:15" ht="15.75" customHeight="1">
      <c r="A847" s="4" t="s">
        <v>49</v>
      </c>
      <c r="B847" s="4">
        <v>863410</v>
      </c>
      <c r="C847" s="4">
        <v>864120</v>
      </c>
      <c r="E847" s="4" t="s">
        <v>55</v>
      </c>
      <c r="F847" s="4" t="s">
        <v>2567</v>
      </c>
      <c r="G847" s="4" t="s">
        <v>2568</v>
      </c>
      <c r="I847" s="4" t="s">
        <v>52</v>
      </c>
      <c r="L847" s="4" t="s">
        <v>2569</v>
      </c>
      <c r="M847" s="4" t="s">
        <v>2567</v>
      </c>
      <c r="N847" s="4">
        <v>236</v>
      </c>
      <c r="O847" s="4" t="s">
        <v>2570</v>
      </c>
    </row>
    <row r="848" spans="1:15" ht="15.75" customHeight="1">
      <c r="A848" s="4" t="s">
        <v>49</v>
      </c>
      <c r="B848" s="4">
        <v>864179</v>
      </c>
      <c r="C848" s="4">
        <v>865855</v>
      </c>
      <c r="E848" s="4" t="s">
        <v>55</v>
      </c>
      <c r="F848" s="4" t="s">
        <v>2571</v>
      </c>
      <c r="G848" s="4" t="s">
        <v>2572</v>
      </c>
      <c r="I848" s="4" t="s">
        <v>52</v>
      </c>
      <c r="L848" s="4" t="s">
        <v>2573</v>
      </c>
      <c r="M848" s="4" t="s">
        <v>2571</v>
      </c>
      <c r="N848" s="4">
        <v>558</v>
      </c>
      <c r="O848" s="4" t="s">
        <v>2574</v>
      </c>
    </row>
    <row r="849" spans="1:15" ht="15.75" customHeight="1">
      <c r="A849" s="4" t="s">
        <v>49</v>
      </c>
      <c r="B849" s="4">
        <v>866167</v>
      </c>
      <c r="C849" s="4">
        <v>866718</v>
      </c>
      <c r="E849" s="4" t="s">
        <v>55</v>
      </c>
      <c r="F849" s="4" t="s">
        <v>56</v>
      </c>
      <c r="I849" s="4" t="s">
        <v>52</v>
      </c>
      <c r="L849" s="4" t="s">
        <v>2575</v>
      </c>
      <c r="M849" s="4" t="s">
        <v>56</v>
      </c>
      <c r="N849" s="4">
        <v>183</v>
      </c>
      <c r="O849" s="4" t="s">
        <v>2576</v>
      </c>
    </row>
    <row r="850" spans="1:15" ht="15.75" customHeight="1">
      <c r="A850" s="4" t="s">
        <v>49</v>
      </c>
      <c r="B850" s="4">
        <v>866838</v>
      </c>
      <c r="C850" s="4">
        <v>867362</v>
      </c>
      <c r="E850" s="4" t="s">
        <v>55</v>
      </c>
      <c r="F850" s="4" t="s">
        <v>51</v>
      </c>
      <c r="I850" s="4" t="s">
        <v>52</v>
      </c>
      <c r="L850" s="4" t="s">
        <v>2577</v>
      </c>
      <c r="M850" s="4" t="s">
        <v>51</v>
      </c>
      <c r="N850" s="4">
        <v>174</v>
      </c>
      <c r="O850" s="4" t="s">
        <v>2578</v>
      </c>
    </row>
    <row r="851" spans="1:15" ht="15.75" customHeight="1">
      <c r="A851" s="4" t="s">
        <v>49</v>
      </c>
      <c r="B851" s="4">
        <v>867964</v>
      </c>
      <c r="C851" s="4">
        <v>868998</v>
      </c>
      <c r="E851" s="4" t="s">
        <v>50</v>
      </c>
      <c r="F851" s="4" t="s">
        <v>2579</v>
      </c>
      <c r="I851" s="4" t="s">
        <v>52</v>
      </c>
      <c r="L851" s="4" t="s">
        <v>2580</v>
      </c>
      <c r="M851" s="4" t="s">
        <v>2579</v>
      </c>
      <c r="N851" s="4">
        <v>344</v>
      </c>
      <c r="O851" s="4" t="s">
        <v>2581</v>
      </c>
    </row>
    <row r="852" spans="1:15" ht="15.75" customHeight="1">
      <c r="A852" s="4" t="s">
        <v>49</v>
      </c>
      <c r="B852" s="4">
        <v>869296</v>
      </c>
      <c r="C852" s="4">
        <v>869871</v>
      </c>
      <c r="E852" s="4" t="s">
        <v>50</v>
      </c>
      <c r="F852" s="4" t="s">
        <v>56</v>
      </c>
      <c r="I852" s="4" t="s">
        <v>52</v>
      </c>
      <c r="L852" s="4" t="s">
        <v>2582</v>
      </c>
      <c r="M852" s="4" t="s">
        <v>56</v>
      </c>
      <c r="N852" s="4">
        <v>191</v>
      </c>
      <c r="O852" s="4" t="s">
        <v>2583</v>
      </c>
    </row>
    <row r="853" spans="1:15" ht="15.75" customHeight="1">
      <c r="A853" s="4" t="s">
        <v>49</v>
      </c>
      <c r="B853" s="4">
        <v>869934</v>
      </c>
      <c r="C853" s="4">
        <v>870083</v>
      </c>
      <c r="E853" s="4" t="s">
        <v>50</v>
      </c>
      <c r="F853" s="4" t="s">
        <v>2584</v>
      </c>
      <c r="G853" s="4" t="s">
        <v>2585</v>
      </c>
      <c r="I853" s="4" t="s">
        <v>52</v>
      </c>
      <c r="L853" s="4" t="s">
        <v>2586</v>
      </c>
      <c r="M853" s="4" t="s">
        <v>2584</v>
      </c>
      <c r="N853" s="4">
        <v>49</v>
      </c>
      <c r="O853" s="4" t="s">
        <v>2587</v>
      </c>
    </row>
    <row r="854" spans="1:15" ht="15.75" customHeight="1">
      <c r="A854" s="4" t="s">
        <v>49</v>
      </c>
      <c r="B854" s="4">
        <v>870301</v>
      </c>
      <c r="C854" s="4">
        <v>870918</v>
      </c>
      <c r="E854" s="4" t="s">
        <v>50</v>
      </c>
      <c r="F854" s="4" t="s">
        <v>2588</v>
      </c>
      <c r="I854" s="4" t="s">
        <v>52</v>
      </c>
      <c r="L854" s="4" t="s">
        <v>2589</v>
      </c>
      <c r="M854" s="4" t="s">
        <v>2588</v>
      </c>
      <c r="N854" s="4">
        <v>205</v>
      </c>
      <c r="O854" s="4" t="s">
        <v>2590</v>
      </c>
    </row>
    <row r="855" spans="1:15" ht="15.75" customHeight="1">
      <c r="A855" s="4" t="s">
        <v>49</v>
      </c>
      <c r="B855" s="4">
        <v>871022</v>
      </c>
      <c r="C855" s="4">
        <v>871903</v>
      </c>
      <c r="E855" s="4" t="s">
        <v>55</v>
      </c>
      <c r="F855" s="4" t="s">
        <v>1434</v>
      </c>
      <c r="I855" s="4" t="s">
        <v>52</v>
      </c>
      <c r="L855" s="4" t="s">
        <v>2591</v>
      </c>
      <c r="M855" s="4" t="s">
        <v>1434</v>
      </c>
      <c r="N855" s="4">
        <v>293</v>
      </c>
      <c r="O855" s="4" t="s">
        <v>2592</v>
      </c>
    </row>
    <row r="856" spans="1:15" ht="15.75" customHeight="1">
      <c r="A856" s="4" t="s">
        <v>49</v>
      </c>
      <c r="B856" s="4">
        <v>872037</v>
      </c>
      <c r="C856" s="4">
        <v>872846</v>
      </c>
      <c r="E856" s="4" t="s">
        <v>50</v>
      </c>
      <c r="F856" s="4" t="s">
        <v>2151</v>
      </c>
      <c r="I856" s="4" t="s">
        <v>52</v>
      </c>
      <c r="L856" s="4" t="s">
        <v>2593</v>
      </c>
      <c r="M856" s="4" t="s">
        <v>2151</v>
      </c>
      <c r="N856" s="4">
        <v>269</v>
      </c>
      <c r="O856" s="4" t="s">
        <v>2594</v>
      </c>
    </row>
    <row r="857" spans="1:15" ht="15.75" customHeight="1">
      <c r="A857" s="4" t="s">
        <v>49</v>
      </c>
      <c r="B857" s="4">
        <v>872998</v>
      </c>
      <c r="C857" s="4">
        <v>873579</v>
      </c>
      <c r="E857" s="4" t="s">
        <v>55</v>
      </c>
      <c r="F857" s="4" t="s">
        <v>56</v>
      </c>
      <c r="I857" s="4" t="s">
        <v>52</v>
      </c>
      <c r="L857" s="4" t="s">
        <v>2595</v>
      </c>
      <c r="M857" s="4" t="s">
        <v>56</v>
      </c>
      <c r="N857" s="4">
        <v>193</v>
      </c>
      <c r="O857" s="4" t="s">
        <v>2596</v>
      </c>
    </row>
    <row r="858" spans="1:15" ht="15.75" customHeight="1">
      <c r="A858" s="4" t="s">
        <v>49</v>
      </c>
      <c r="B858" s="4">
        <v>873803</v>
      </c>
      <c r="C858" s="4">
        <v>874228</v>
      </c>
      <c r="E858" s="4" t="s">
        <v>50</v>
      </c>
      <c r="F858" s="4" t="s">
        <v>56</v>
      </c>
      <c r="I858" s="4" t="s">
        <v>52</v>
      </c>
      <c r="L858" s="4" t="s">
        <v>2597</v>
      </c>
      <c r="M858" s="4" t="s">
        <v>56</v>
      </c>
      <c r="N858" s="4">
        <v>141</v>
      </c>
      <c r="O858" s="4" t="s">
        <v>2598</v>
      </c>
    </row>
    <row r="859" spans="1:15" ht="15.75" customHeight="1">
      <c r="A859" s="4" t="s">
        <v>49</v>
      </c>
      <c r="B859" s="4">
        <v>874182</v>
      </c>
      <c r="C859" s="4">
        <v>875024</v>
      </c>
      <c r="E859" s="4" t="s">
        <v>55</v>
      </c>
      <c r="F859" s="4" t="s">
        <v>2599</v>
      </c>
      <c r="G859" s="4" t="s">
        <v>2600</v>
      </c>
      <c r="I859" s="4" t="s">
        <v>52</v>
      </c>
      <c r="L859" s="4" t="s">
        <v>2601</v>
      </c>
      <c r="M859" s="4" t="s">
        <v>2599</v>
      </c>
      <c r="N859" s="4">
        <v>280</v>
      </c>
      <c r="O859" s="4" t="s">
        <v>2602</v>
      </c>
    </row>
    <row r="860" spans="1:15" ht="15.75" customHeight="1">
      <c r="A860" s="4" t="s">
        <v>49</v>
      </c>
      <c r="B860" s="4">
        <v>875017</v>
      </c>
      <c r="C860" s="4">
        <v>875712</v>
      </c>
      <c r="E860" s="4" t="s">
        <v>55</v>
      </c>
      <c r="F860" s="4" t="s">
        <v>2401</v>
      </c>
      <c r="I860" s="4" t="s">
        <v>52</v>
      </c>
      <c r="L860" s="4" t="s">
        <v>2603</v>
      </c>
      <c r="M860" s="4" t="s">
        <v>2401</v>
      </c>
      <c r="N860" s="4">
        <v>231</v>
      </c>
      <c r="O860" s="4" t="s">
        <v>2604</v>
      </c>
    </row>
    <row r="861" spans="1:15" ht="15.75" customHeight="1">
      <c r="A861" s="4" t="s">
        <v>49</v>
      </c>
      <c r="B861" s="4">
        <v>875849</v>
      </c>
      <c r="C861" s="4">
        <v>877252</v>
      </c>
      <c r="E861" s="4" t="s">
        <v>55</v>
      </c>
      <c r="F861" s="4" t="s">
        <v>2605</v>
      </c>
      <c r="I861" s="4" t="s">
        <v>52</v>
      </c>
      <c r="L861" s="4" t="s">
        <v>2606</v>
      </c>
      <c r="M861" s="4" t="s">
        <v>2605</v>
      </c>
      <c r="N861" s="4">
        <v>467</v>
      </c>
      <c r="O861" s="4" t="s">
        <v>2607</v>
      </c>
    </row>
    <row r="862" spans="1:15" ht="15.75" customHeight="1">
      <c r="A862" s="4" t="s">
        <v>49</v>
      </c>
      <c r="B862" s="4">
        <v>877366</v>
      </c>
      <c r="C862" s="4">
        <v>877914</v>
      </c>
      <c r="E862" s="4" t="s">
        <v>55</v>
      </c>
      <c r="F862" s="4" t="s">
        <v>2608</v>
      </c>
      <c r="G862" s="4" t="s">
        <v>2609</v>
      </c>
      <c r="I862" s="4" t="s">
        <v>52</v>
      </c>
      <c r="L862" s="4" t="s">
        <v>2610</v>
      </c>
      <c r="M862" s="4" t="s">
        <v>2608</v>
      </c>
      <c r="N862" s="4">
        <v>182</v>
      </c>
      <c r="O862" s="4" t="s">
        <v>2611</v>
      </c>
    </row>
    <row r="863" spans="1:15" ht="15.75" customHeight="1">
      <c r="A863" s="4" t="s">
        <v>49</v>
      </c>
      <c r="B863" s="4">
        <v>877907</v>
      </c>
      <c r="C863" s="4">
        <v>879439</v>
      </c>
      <c r="E863" s="4" t="s">
        <v>55</v>
      </c>
      <c r="F863" s="4" t="s">
        <v>2612</v>
      </c>
      <c r="G863" s="4" t="s">
        <v>2613</v>
      </c>
      <c r="I863" s="4" t="s">
        <v>52</v>
      </c>
      <c r="L863" s="4" t="s">
        <v>2614</v>
      </c>
      <c r="M863" s="4" t="s">
        <v>2612</v>
      </c>
      <c r="N863" s="4">
        <v>510</v>
      </c>
      <c r="O863" s="4" t="s">
        <v>2615</v>
      </c>
    </row>
    <row r="864" spans="1:15" ht="15.75" customHeight="1">
      <c r="A864" s="4" t="s">
        <v>49</v>
      </c>
      <c r="B864" s="4">
        <v>879439</v>
      </c>
      <c r="C864" s="4">
        <v>880317</v>
      </c>
      <c r="E864" s="4" t="s">
        <v>55</v>
      </c>
      <c r="F864" s="4" t="s">
        <v>2616</v>
      </c>
      <c r="I864" s="4" t="s">
        <v>52</v>
      </c>
      <c r="L864" s="4" t="s">
        <v>2617</v>
      </c>
      <c r="M864" s="4" t="s">
        <v>2616</v>
      </c>
      <c r="N864" s="4">
        <v>292</v>
      </c>
      <c r="O864" s="4" t="s">
        <v>2618</v>
      </c>
    </row>
    <row r="865" spans="1:15" ht="15.75" customHeight="1">
      <c r="A865" s="4" t="s">
        <v>49</v>
      </c>
      <c r="B865" s="4">
        <v>880305</v>
      </c>
      <c r="C865" s="4">
        <v>880610</v>
      </c>
      <c r="E865" s="4" t="s">
        <v>55</v>
      </c>
      <c r="F865" s="4" t="s">
        <v>2619</v>
      </c>
      <c r="G865" s="4" t="s">
        <v>2620</v>
      </c>
      <c r="I865" s="4" t="s">
        <v>52</v>
      </c>
      <c r="L865" s="4" t="s">
        <v>2621</v>
      </c>
      <c r="M865" s="4" t="s">
        <v>2619</v>
      </c>
      <c r="N865" s="4">
        <v>101</v>
      </c>
      <c r="O865" s="4" t="s">
        <v>2622</v>
      </c>
    </row>
    <row r="866" spans="1:15" ht="15.75" customHeight="1">
      <c r="A866" s="4" t="s">
        <v>49</v>
      </c>
      <c r="B866" s="4">
        <v>880600</v>
      </c>
      <c r="C866" s="4">
        <v>881604</v>
      </c>
      <c r="E866" s="4" t="s">
        <v>55</v>
      </c>
      <c r="F866" s="4" t="s">
        <v>2623</v>
      </c>
      <c r="G866" s="4" t="s">
        <v>2624</v>
      </c>
      <c r="I866" s="4" t="s">
        <v>52</v>
      </c>
      <c r="L866" s="4" t="s">
        <v>2625</v>
      </c>
      <c r="M866" s="4" t="s">
        <v>2623</v>
      </c>
      <c r="N866" s="4">
        <v>334</v>
      </c>
      <c r="O866" s="4" t="s">
        <v>2626</v>
      </c>
    </row>
    <row r="867" spans="1:15" ht="15.75" customHeight="1">
      <c r="A867" s="4" t="s">
        <v>49</v>
      </c>
      <c r="B867" s="4">
        <v>881606</v>
      </c>
      <c r="C867" s="4">
        <v>881749</v>
      </c>
      <c r="E867" s="4" t="s">
        <v>55</v>
      </c>
      <c r="F867" s="4" t="s">
        <v>2627</v>
      </c>
      <c r="I867" s="4" t="s">
        <v>52</v>
      </c>
      <c r="L867" s="4" t="s">
        <v>2628</v>
      </c>
      <c r="M867" s="4" t="s">
        <v>2627</v>
      </c>
      <c r="N867" s="4">
        <v>47</v>
      </c>
      <c r="O867" s="4" t="s">
        <v>2629</v>
      </c>
    </row>
    <row r="868" spans="1:15" ht="15.75" customHeight="1">
      <c r="A868" s="4" t="s">
        <v>49</v>
      </c>
      <c r="B868" s="4">
        <v>881923</v>
      </c>
      <c r="C868" s="4">
        <v>883047</v>
      </c>
      <c r="E868" s="4" t="s">
        <v>55</v>
      </c>
      <c r="F868" s="4" t="s">
        <v>2630</v>
      </c>
      <c r="I868" s="4" t="s">
        <v>52</v>
      </c>
      <c r="L868" s="4" t="s">
        <v>2631</v>
      </c>
      <c r="M868" s="4" t="s">
        <v>2630</v>
      </c>
      <c r="N868" s="4">
        <v>374</v>
      </c>
      <c r="O868" s="4" t="s">
        <v>2632</v>
      </c>
    </row>
    <row r="869" spans="1:15" ht="15.75" customHeight="1">
      <c r="A869" s="4" t="s">
        <v>49</v>
      </c>
      <c r="B869" s="4">
        <v>883062</v>
      </c>
      <c r="C869" s="4">
        <v>883460</v>
      </c>
      <c r="E869" s="4" t="s">
        <v>55</v>
      </c>
      <c r="F869" s="4" t="s">
        <v>2633</v>
      </c>
      <c r="I869" s="4" t="s">
        <v>52</v>
      </c>
      <c r="L869" s="4" t="s">
        <v>2634</v>
      </c>
      <c r="M869" s="4" t="s">
        <v>2633</v>
      </c>
      <c r="N869" s="4">
        <v>132</v>
      </c>
      <c r="O869" s="4" t="s">
        <v>2635</v>
      </c>
    </row>
    <row r="870" spans="1:15" ht="15.75" customHeight="1">
      <c r="A870" s="4" t="s">
        <v>49</v>
      </c>
      <c r="B870" s="4">
        <v>883466</v>
      </c>
      <c r="C870" s="4">
        <v>883792</v>
      </c>
      <c r="E870" s="4" t="s">
        <v>55</v>
      </c>
      <c r="F870" s="4" t="s">
        <v>56</v>
      </c>
      <c r="I870" s="4" t="s">
        <v>52</v>
      </c>
      <c r="L870" s="4" t="s">
        <v>2636</v>
      </c>
      <c r="M870" s="4" t="s">
        <v>56</v>
      </c>
      <c r="N870" s="4">
        <v>108</v>
      </c>
      <c r="O870" s="4" t="s">
        <v>2637</v>
      </c>
    </row>
    <row r="871" spans="1:15" ht="15.75" customHeight="1">
      <c r="A871" s="4" t="s">
        <v>49</v>
      </c>
      <c r="B871" s="4">
        <v>883891</v>
      </c>
      <c r="C871" s="4">
        <v>885240</v>
      </c>
      <c r="E871" s="4" t="s">
        <v>55</v>
      </c>
      <c r="F871" s="4" t="s">
        <v>2638</v>
      </c>
      <c r="I871" s="4" t="s">
        <v>52</v>
      </c>
      <c r="L871" s="4" t="s">
        <v>2639</v>
      </c>
      <c r="M871" s="4" t="s">
        <v>2638</v>
      </c>
      <c r="N871" s="4">
        <v>449</v>
      </c>
      <c r="O871" s="4" t="s">
        <v>2640</v>
      </c>
    </row>
    <row r="872" spans="1:15" ht="15.75" customHeight="1">
      <c r="A872" s="4" t="s">
        <v>49</v>
      </c>
      <c r="B872" s="4">
        <v>885525</v>
      </c>
      <c r="C872" s="4">
        <v>885782</v>
      </c>
      <c r="E872" s="4" t="s">
        <v>55</v>
      </c>
      <c r="F872" s="4" t="s">
        <v>56</v>
      </c>
      <c r="I872" s="4" t="s">
        <v>52</v>
      </c>
      <c r="L872" s="4" t="s">
        <v>2641</v>
      </c>
      <c r="M872" s="4" t="s">
        <v>56</v>
      </c>
      <c r="N872" s="4">
        <v>85</v>
      </c>
      <c r="O872" s="4" t="s">
        <v>2642</v>
      </c>
    </row>
    <row r="873" spans="1:15" ht="15.75" customHeight="1">
      <c r="A873" s="4" t="s">
        <v>49</v>
      </c>
      <c r="B873" s="4">
        <v>885856</v>
      </c>
      <c r="C873" s="4">
        <v>886422</v>
      </c>
      <c r="E873" s="4" t="s">
        <v>55</v>
      </c>
      <c r="F873" s="4" t="s">
        <v>2643</v>
      </c>
      <c r="I873" s="4" t="s">
        <v>52</v>
      </c>
      <c r="L873" s="4" t="s">
        <v>2644</v>
      </c>
      <c r="M873" s="4" t="s">
        <v>2643</v>
      </c>
      <c r="N873" s="4">
        <v>188</v>
      </c>
      <c r="O873" s="4" t="s">
        <v>2645</v>
      </c>
    </row>
    <row r="874" spans="1:15" ht="15.75" customHeight="1">
      <c r="A874" s="4" t="s">
        <v>49</v>
      </c>
      <c r="B874" s="4">
        <v>886470</v>
      </c>
      <c r="C874" s="4">
        <v>886964</v>
      </c>
      <c r="E874" s="4" t="s">
        <v>50</v>
      </c>
      <c r="F874" s="4" t="s">
        <v>51</v>
      </c>
      <c r="I874" s="4" t="s">
        <v>52</v>
      </c>
      <c r="L874" s="4" t="s">
        <v>2646</v>
      </c>
      <c r="M874" s="4" t="s">
        <v>51</v>
      </c>
      <c r="N874" s="4">
        <v>164</v>
      </c>
      <c r="O874" s="4" t="s">
        <v>2647</v>
      </c>
    </row>
    <row r="875" spans="1:15" ht="15.75" customHeight="1">
      <c r="A875" s="4" t="s">
        <v>49</v>
      </c>
      <c r="B875" s="4">
        <v>886979</v>
      </c>
      <c r="C875" s="4">
        <v>887596</v>
      </c>
      <c r="E875" s="4" t="s">
        <v>55</v>
      </c>
      <c r="F875" s="4" t="s">
        <v>2648</v>
      </c>
      <c r="I875" s="4" t="s">
        <v>52</v>
      </c>
      <c r="L875" s="4" t="s">
        <v>2649</v>
      </c>
      <c r="M875" s="4" t="s">
        <v>2648</v>
      </c>
      <c r="N875" s="4">
        <v>205</v>
      </c>
      <c r="O875" s="4" t="s">
        <v>2650</v>
      </c>
    </row>
    <row r="876" spans="1:15" ht="15.75" customHeight="1">
      <c r="A876" s="4" t="s">
        <v>49</v>
      </c>
      <c r="B876" s="4">
        <v>887859</v>
      </c>
      <c r="C876" s="4">
        <v>888197</v>
      </c>
      <c r="E876" s="4" t="s">
        <v>50</v>
      </c>
      <c r="F876" s="4" t="s">
        <v>2651</v>
      </c>
      <c r="I876" s="4" t="s">
        <v>52</v>
      </c>
      <c r="L876" s="4" t="s">
        <v>2652</v>
      </c>
      <c r="M876" s="4" t="s">
        <v>2651</v>
      </c>
      <c r="N876" s="4">
        <v>112</v>
      </c>
      <c r="O876" s="4" t="s">
        <v>2653</v>
      </c>
    </row>
    <row r="877" spans="1:15" ht="15.75" customHeight="1">
      <c r="A877" s="4" t="s">
        <v>49</v>
      </c>
      <c r="B877" s="4">
        <v>888194</v>
      </c>
      <c r="C877" s="4">
        <v>889051</v>
      </c>
      <c r="E877" s="4" t="s">
        <v>50</v>
      </c>
      <c r="F877" s="4" t="s">
        <v>56</v>
      </c>
      <c r="I877" s="4" t="s">
        <v>52</v>
      </c>
      <c r="L877" s="4" t="s">
        <v>2654</v>
      </c>
      <c r="M877" s="4" t="s">
        <v>56</v>
      </c>
      <c r="N877" s="4">
        <v>285</v>
      </c>
      <c r="O877" s="4" t="s">
        <v>2655</v>
      </c>
    </row>
    <row r="878" spans="1:15" ht="15.75" customHeight="1">
      <c r="A878" s="4" t="s">
        <v>49</v>
      </c>
      <c r="B878" s="4">
        <v>889145</v>
      </c>
      <c r="C878" s="4">
        <v>889900</v>
      </c>
      <c r="E878" s="4" t="s">
        <v>50</v>
      </c>
      <c r="F878" s="4" t="s">
        <v>2656</v>
      </c>
      <c r="I878" s="4" t="s">
        <v>52</v>
      </c>
      <c r="L878" s="4" t="s">
        <v>2657</v>
      </c>
      <c r="M878" s="4" t="s">
        <v>2656</v>
      </c>
      <c r="N878" s="4">
        <v>251</v>
      </c>
      <c r="O878" s="4" t="s">
        <v>2658</v>
      </c>
    </row>
    <row r="879" spans="1:15" ht="15.75" customHeight="1">
      <c r="A879" s="4" t="s">
        <v>49</v>
      </c>
      <c r="B879" s="4">
        <v>890173</v>
      </c>
      <c r="C879" s="4">
        <v>891090</v>
      </c>
      <c r="E879" s="4" t="s">
        <v>50</v>
      </c>
      <c r="F879" s="4" t="s">
        <v>73</v>
      </c>
      <c r="I879" s="4" t="s">
        <v>52</v>
      </c>
      <c r="L879" s="4" t="s">
        <v>2659</v>
      </c>
      <c r="M879" s="4" t="s">
        <v>73</v>
      </c>
      <c r="N879" s="4">
        <v>305</v>
      </c>
      <c r="O879" s="4" t="s">
        <v>2660</v>
      </c>
    </row>
    <row r="880" spans="1:15" ht="15.75" customHeight="1">
      <c r="A880" s="4" t="s">
        <v>49</v>
      </c>
      <c r="B880" s="4">
        <v>891077</v>
      </c>
      <c r="C880" s="4">
        <v>892693</v>
      </c>
      <c r="E880" s="4" t="s">
        <v>50</v>
      </c>
      <c r="F880" s="4" t="s">
        <v>76</v>
      </c>
      <c r="I880" s="4" t="s">
        <v>52</v>
      </c>
      <c r="L880" s="4" t="s">
        <v>2661</v>
      </c>
      <c r="M880" s="4" t="s">
        <v>76</v>
      </c>
      <c r="N880" s="4">
        <v>538</v>
      </c>
      <c r="O880" s="4" t="s">
        <v>2662</v>
      </c>
    </row>
    <row r="881" spans="1:15" ht="15.75" customHeight="1">
      <c r="A881" s="4" t="s">
        <v>49</v>
      </c>
      <c r="B881" s="4">
        <v>892690</v>
      </c>
      <c r="C881" s="4">
        <v>893328</v>
      </c>
      <c r="E881" s="4" t="s">
        <v>50</v>
      </c>
      <c r="F881" s="4" t="s">
        <v>111</v>
      </c>
      <c r="I881" s="4" t="s">
        <v>52</v>
      </c>
      <c r="L881" s="4" t="s">
        <v>2663</v>
      </c>
      <c r="M881" s="4" t="s">
        <v>111</v>
      </c>
      <c r="N881" s="4">
        <v>212</v>
      </c>
      <c r="O881" s="4" t="s">
        <v>2664</v>
      </c>
    </row>
    <row r="882" spans="1:15" ht="15.75" customHeight="1">
      <c r="A882" s="4" t="s">
        <v>49</v>
      </c>
      <c r="B882" s="4">
        <v>893416</v>
      </c>
      <c r="C882" s="4">
        <v>894825</v>
      </c>
      <c r="E882" s="4" t="s">
        <v>55</v>
      </c>
      <c r="F882" s="4" t="s">
        <v>255</v>
      </c>
      <c r="I882" s="4" t="s">
        <v>52</v>
      </c>
      <c r="L882" s="4" t="s">
        <v>2665</v>
      </c>
      <c r="M882" s="4" t="s">
        <v>255</v>
      </c>
      <c r="N882" s="4">
        <v>469</v>
      </c>
      <c r="O882" s="4" t="s">
        <v>2666</v>
      </c>
    </row>
    <row r="883" spans="1:15" ht="15.75" customHeight="1">
      <c r="A883" s="4" t="s">
        <v>49</v>
      </c>
      <c r="B883" s="4">
        <v>894988</v>
      </c>
      <c r="C883" s="4">
        <v>895725</v>
      </c>
      <c r="E883" s="4" t="s">
        <v>50</v>
      </c>
      <c r="F883" s="4" t="s">
        <v>2667</v>
      </c>
      <c r="I883" s="4" t="s">
        <v>52</v>
      </c>
      <c r="L883" s="4" t="s">
        <v>2668</v>
      </c>
      <c r="M883" s="4" t="s">
        <v>2667</v>
      </c>
      <c r="N883" s="4">
        <v>245</v>
      </c>
      <c r="O883" s="4" t="s">
        <v>2669</v>
      </c>
    </row>
    <row r="884" spans="1:15" ht="15.75" customHeight="1">
      <c r="A884" s="4" t="s">
        <v>49</v>
      </c>
      <c r="B884" s="4">
        <v>895845</v>
      </c>
      <c r="C884" s="4">
        <v>896879</v>
      </c>
      <c r="E884" s="4" t="s">
        <v>50</v>
      </c>
      <c r="F884" s="4" t="s">
        <v>92</v>
      </c>
      <c r="I884" s="4" t="s">
        <v>52</v>
      </c>
      <c r="L884" s="4" t="s">
        <v>2670</v>
      </c>
      <c r="M884" s="4" t="s">
        <v>92</v>
      </c>
      <c r="N884" s="4">
        <v>344</v>
      </c>
      <c r="O884" s="4" t="s">
        <v>2671</v>
      </c>
    </row>
    <row r="885" spans="1:15" ht="15.75" customHeight="1">
      <c r="A885" s="4" t="s">
        <v>49</v>
      </c>
      <c r="B885" s="4">
        <v>896964</v>
      </c>
      <c r="C885" s="4">
        <v>897821</v>
      </c>
      <c r="E885" s="4" t="s">
        <v>55</v>
      </c>
      <c r="F885" s="4" t="s">
        <v>2151</v>
      </c>
      <c r="I885" s="4" t="s">
        <v>52</v>
      </c>
      <c r="L885" s="4" t="s">
        <v>2672</v>
      </c>
      <c r="M885" s="4" t="s">
        <v>2151</v>
      </c>
      <c r="N885" s="4">
        <v>285</v>
      </c>
      <c r="O885" s="4" t="s">
        <v>2673</v>
      </c>
    </row>
    <row r="886" spans="1:15" ht="15.75" customHeight="1">
      <c r="A886" s="4" t="s">
        <v>49</v>
      </c>
      <c r="B886" s="4">
        <v>897997</v>
      </c>
      <c r="C886" s="4">
        <v>898374</v>
      </c>
      <c r="E886" s="4" t="s">
        <v>50</v>
      </c>
      <c r="F886" s="4" t="s">
        <v>2401</v>
      </c>
      <c r="I886" s="4" t="s">
        <v>52</v>
      </c>
      <c r="L886" s="4" t="s">
        <v>2674</v>
      </c>
      <c r="M886" s="4" t="s">
        <v>2401</v>
      </c>
      <c r="N886" s="4">
        <v>125</v>
      </c>
      <c r="O886" s="4" t="s">
        <v>2675</v>
      </c>
    </row>
    <row r="887" spans="1:15" ht="15.75" customHeight="1">
      <c r="A887" s="4" t="s">
        <v>49</v>
      </c>
      <c r="B887" s="4">
        <v>898364</v>
      </c>
      <c r="C887" s="4">
        <v>899077</v>
      </c>
      <c r="E887" s="4" t="s">
        <v>50</v>
      </c>
      <c r="F887" s="4" t="s">
        <v>73</v>
      </c>
      <c r="I887" s="4" t="s">
        <v>52</v>
      </c>
      <c r="L887" s="4" t="s">
        <v>2676</v>
      </c>
      <c r="M887" s="4" t="s">
        <v>73</v>
      </c>
      <c r="N887" s="4">
        <v>237</v>
      </c>
      <c r="O887" s="4" t="s">
        <v>2677</v>
      </c>
    </row>
    <row r="888" spans="1:15" ht="15.75" customHeight="1">
      <c r="A888" s="4" t="s">
        <v>49</v>
      </c>
      <c r="B888" s="4">
        <v>899074</v>
      </c>
      <c r="C888" s="4">
        <v>899814</v>
      </c>
      <c r="E888" s="4" t="s">
        <v>50</v>
      </c>
      <c r="F888" s="4" t="s">
        <v>56</v>
      </c>
      <c r="I888" s="4" t="s">
        <v>52</v>
      </c>
      <c r="L888" s="4" t="s">
        <v>2678</v>
      </c>
      <c r="M888" s="4" t="s">
        <v>56</v>
      </c>
      <c r="N888" s="4">
        <v>246</v>
      </c>
      <c r="O888" s="4" t="s">
        <v>2679</v>
      </c>
    </row>
    <row r="889" spans="1:15" ht="15.75" customHeight="1">
      <c r="A889" s="4" t="s">
        <v>49</v>
      </c>
      <c r="B889" s="4">
        <v>899860</v>
      </c>
      <c r="C889" s="4">
        <v>901236</v>
      </c>
      <c r="E889" s="4" t="s">
        <v>50</v>
      </c>
      <c r="F889" s="4" t="s">
        <v>1312</v>
      </c>
      <c r="I889" s="4" t="s">
        <v>52</v>
      </c>
      <c r="L889" s="4" t="s">
        <v>2680</v>
      </c>
      <c r="M889" s="4" t="s">
        <v>1312</v>
      </c>
      <c r="N889" s="4">
        <v>458</v>
      </c>
      <c r="O889" s="4" t="s">
        <v>2681</v>
      </c>
    </row>
    <row r="890" spans="1:15" ht="15.75" customHeight="1">
      <c r="A890" s="4" t="s">
        <v>49</v>
      </c>
      <c r="B890" s="4">
        <v>901257</v>
      </c>
      <c r="C890" s="4">
        <v>901964</v>
      </c>
      <c r="E890" s="4" t="s">
        <v>50</v>
      </c>
      <c r="F890" s="4" t="s">
        <v>73</v>
      </c>
      <c r="I890" s="4" t="s">
        <v>52</v>
      </c>
      <c r="L890" s="4" t="s">
        <v>2682</v>
      </c>
      <c r="M890" s="4" t="s">
        <v>73</v>
      </c>
      <c r="N890" s="4">
        <v>235</v>
      </c>
      <c r="O890" s="4" t="s">
        <v>2683</v>
      </c>
    </row>
    <row r="891" spans="1:15" ht="15.75" customHeight="1">
      <c r="A891" s="4" t="s">
        <v>49</v>
      </c>
      <c r="B891" s="4">
        <v>902102</v>
      </c>
      <c r="C891" s="4">
        <v>902662</v>
      </c>
      <c r="E891" s="4" t="s">
        <v>55</v>
      </c>
      <c r="F891" s="4" t="s">
        <v>51</v>
      </c>
      <c r="I891" s="4" t="s">
        <v>52</v>
      </c>
      <c r="L891" s="4" t="s">
        <v>2684</v>
      </c>
      <c r="M891" s="4" t="s">
        <v>51</v>
      </c>
      <c r="N891" s="4">
        <v>186</v>
      </c>
      <c r="O891" s="4" t="s">
        <v>2685</v>
      </c>
    </row>
    <row r="892" spans="1:15" ht="15.75" customHeight="1">
      <c r="A892" s="4" t="s">
        <v>49</v>
      </c>
      <c r="B892" s="4">
        <v>902685</v>
      </c>
      <c r="C892" s="4">
        <v>903500</v>
      </c>
      <c r="E892" s="4" t="s">
        <v>55</v>
      </c>
      <c r="F892" s="4" t="s">
        <v>2499</v>
      </c>
      <c r="I892" s="4" t="s">
        <v>52</v>
      </c>
      <c r="L892" s="4" t="s">
        <v>2686</v>
      </c>
      <c r="M892" s="4" t="s">
        <v>2499</v>
      </c>
      <c r="N892" s="4">
        <v>271</v>
      </c>
      <c r="O892" s="4" t="s">
        <v>2687</v>
      </c>
    </row>
    <row r="893" spans="1:15" ht="15.75" customHeight="1">
      <c r="A893" s="4" t="s">
        <v>49</v>
      </c>
      <c r="B893" s="4">
        <v>903560</v>
      </c>
      <c r="C893" s="4">
        <v>904648</v>
      </c>
      <c r="E893" s="4" t="s">
        <v>55</v>
      </c>
      <c r="F893" s="4" t="s">
        <v>73</v>
      </c>
      <c r="I893" s="4" t="s">
        <v>52</v>
      </c>
      <c r="L893" s="4" t="s">
        <v>2688</v>
      </c>
      <c r="M893" s="4" t="s">
        <v>73</v>
      </c>
      <c r="N893" s="4">
        <v>362</v>
      </c>
      <c r="O893" s="4" t="s">
        <v>2689</v>
      </c>
    </row>
    <row r="894" spans="1:15" ht="15.75" customHeight="1">
      <c r="A894" s="4" t="s">
        <v>49</v>
      </c>
      <c r="B894" s="4">
        <v>904699</v>
      </c>
      <c r="C894" s="4">
        <v>905010</v>
      </c>
      <c r="E894" s="4" t="s">
        <v>55</v>
      </c>
      <c r="F894" s="4" t="s">
        <v>56</v>
      </c>
      <c r="I894" s="4" t="s">
        <v>52</v>
      </c>
      <c r="L894" s="4" t="s">
        <v>2690</v>
      </c>
      <c r="M894" s="4" t="s">
        <v>56</v>
      </c>
      <c r="N894" s="4">
        <v>103</v>
      </c>
      <c r="O894" s="4" t="s">
        <v>2691</v>
      </c>
    </row>
    <row r="895" spans="1:15" ht="15.75" customHeight="1">
      <c r="A895" s="4" t="s">
        <v>49</v>
      </c>
      <c r="B895" s="4">
        <v>905114</v>
      </c>
      <c r="C895" s="4">
        <v>906097</v>
      </c>
      <c r="E895" s="4" t="s">
        <v>55</v>
      </c>
      <c r="F895" s="4" t="s">
        <v>76</v>
      </c>
      <c r="I895" s="4" t="s">
        <v>52</v>
      </c>
      <c r="L895" s="4" t="s">
        <v>2692</v>
      </c>
      <c r="M895" s="4" t="s">
        <v>76</v>
      </c>
      <c r="N895" s="4">
        <v>327</v>
      </c>
      <c r="O895" s="4" t="s">
        <v>2693</v>
      </c>
    </row>
    <row r="896" spans="1:15" ht="15.75" customHeight="1">
      <c r="A896" s="4" t="s">
        <v>49</v>
      </c>
      <c r="B896" s="4">
        <v>906242</v>
      </c>
      <c r="C896" s="4">
        <v>906943</v>
      </c>
      <c r="E896" s="4" t="s">
        <v>55</v>
      </c>
      <c r="F896" s="4" t="s">
        <v>345</v>
      </c>
      <c r="I896" s="4" t="s">
        <v>346</v>
      </c>
      <c r="O896" s="4" t="s">
        <v>2694</v>
      </c>
    </row>
    <row r="897" spans="1:15" ht="15.75" customHeight="1">
      <c r="A897" s="4" t="s">
        <v>49</v>
      </c>
      <c r="B897" s="4">
        <v>906951</v>
      </c>
      <c r="C897" s="4">
        <v>907738</v>
      </c>
      <c r="E897" s="4" t="s">
        <v>55</v>
      </c>
      <c r="F897" s="4" t="s">
        <v>717</v>
      </c>
      <c r="I897" s="4" t="s">
        <v>52</v>
      </c>
      <c r="L897" s="4" t="s">
        <v>718</v>
      </c>
      <c r="M897" s="4" t="s">
        <v>717</v>
      </c>
      <c r="N897" s="4">
        <v>262</v>
      </c>
      <c r="O897" s="4" t="s">
        <v>2695</v>
      </c>
    </row>
    <row r="898" spans="1:15" ht="15.75" customHeight="1">
      <c r="A898" s="4" t="s">
        <v>49</v>
      </c>
      <c r="B898" s="4">
        <v>907801</v>
      </c>
      <c r="C898" s="4">
        <v>908055</v>
      </c>
      <c r="E898" s="4" t="s">
        <v>55</v>
      </c>
      <c r="F898" s="4" t="s">
        <v>345</v>
      </c>
      <c r="I898" s="4" t="s">
        <v>346</v>
      </c>
      <c r="O898" s="4" t="s">
        <v>2696</v>
      </c>
    </row>
    <row r="899" spans="1:15" ht="15.75" customHeight="1">
      <c r="A899" s="4" t="s">
        <v>49</v>
      </c>
      <c r="B899" s="4">
        <v>908160</v>
      </c>
      <c r="C899" s="4">
        <v>909830</v>
      </c>
      <c r="E899" s="4" t="s">
        <v>55</v>
      </c>
      <c r="F899" s="4" t="s">
        <v>678</v>
      </c>
      <c r="I899" s="4" t="s">
        <v>52</v>
      </c>
      <c r="L899" s="4" t="s">
        <v>2697</v>
      </c>
      <c r="M899" s="4" t="s">
        <v>678</v>
      </c>
      <c r="N899" s="4">
        <v>556</v>
      </c>
      <c r="O899" s="4" t="s">
        <v>2698</v>
      </c>
    </row>
    <row r="900" spans="1:15" ht="15.75" customHeight="1">
      <c r="A900" s="4" t="s">
        <v>49</v>
      </c>
      <c r="B900" s="4">
        <v>910193</v>
      </c>
      <c r="C900" s="4">
        <v>910873</v>
      </c>
      <c r="E900" s="4" t="s">
        <v>55</v>
      </c>
      <c r="F900" s="4" t="s">
        <v>2699</v>
      </c>
      <c r="I900" s="4" t="s">
        <v>52</v>
      </c>
      <c r="L900" s="4" t="s">
        <v>2700</v>
      </c>
      <c r="M900" s="4" t="s">
        <v>2699</v>
      </c>
      <c r="N900" s="4">
        <v>226</v>
      </c>
      <c r="O900" s="4" t="s">
        <v>2701</v>
      </c>
    </row>
    <row r="901" spans="1:15" ht="15.75" customHeight="1">
      <c r="A901" s="4" t="s">
        <v>49</v>
      </c>
      <c r="B901" s="4">
        <v>910870</v>
      </c>
      <c r="C901" s="4">
        <v>911202</v>
      </c>
      <c r="E901" s="4" t="s">
        <v>55</v>
      </c>
      <c r="F901" s="4" t="s">
        <v>478</v>
      </c>
      <c r="I901" s="4" t="s">
        <v>52</v>
      </c>
      <c r="L901" s="4" t="s">
        <v>2702</v>
      </c>
      <c r="M901" s="4" t="s">
        <v>478</v>
      </c>
      <c r="N901" s="4">
        <v>110</v>
      </c>
      <c r="O901" s="4" t="s">
        <v>2703</v>
      </c>
    </row>
    <row r="902" spans="1:15" ht="15.75" customHeight="1">
      <c r="A902" s="4" t="s">
        <v>49</v>
      </c>
      <c r="B902" s="4">
        <v>911414</v>
      </c>
      <c r="C902" s="4">
        <v>911677</v>
      </c>
      <c r="E902" s="4" t="s">
        <v>55</v>
      </c>
      <c r="F902" s="4" t="s">
        <v>56</v>
      </c>
      <c r="I902" s="4" t="s">
        <v>52</v>
      </c>
      <c r="L902" s="4" t="s">
        <v>2704</v>
      </c>
      <c r="M902" s="4" t="s">
        <v>56</v>
      </c>
      <c r="N902" s="4">
        <v>87</v>
      </c>
      <c r="O902" s="4" t="s">
        <v>2705</v>
      </c>
    </row>
    <row r="903" spans="1:15" ht="15.75" customHeight="1">
      <c r="A903" s="4" t="s">
        <v>49</v>
      </c>
      <c r="B903" s="4">
        <v>911784</v>
      </c>
      <c r="C903" s="4">
        <v>913439</v>
      </c>
      <c r="E903" s="4" t="s">
        <v>55</v>
      </c>
      <c r="F903" s="4" t="s">
        <v>2499</v>
      </c>
      <c r="I903" s="4" t="s">
        <v>52</v>
      </c>
      <c r="L903" s="4" t="s">
        <v>2706</v>
      </c>
      <c r="M903" s="4" t="s">
        <v>2499</v>
      </c>
      <c r="N903" s="4">
        <v>551</v>
      </c>
      <c r="O903" s="4" t="s">
        <v>2707</v>
      </c>
    </row>
    <row r="904" spans="1:15" ht="15.75" customHeight="1">
      <c r="A904" s="4" t="s">
        <v>49</v>
      </c>
      <c r="B904" s="4">
        <v>913429</v>
      </c>
      <c r="C904" s="4">
        <v>915030</v>
      </c>
      <c r="E904" s="4" t="s">
        <v>55</v>
      </c>
      <c r="F904" s="4" t="s">
        <v>73</v>
      </c>
      <c r="I904" s="4" t="s">
        <v>52</v>
      </c>
      <c r="L904" s="4" t="s">
        <v>2708</v>
      </c>
      <c r="M904" s="4" t="s">
        <v>73</v>
      </c>
      <c r="N904" s="4">
        <v>533</v>
      </c>
      <c r="O904" s="4" t="s">
        <v>2709</v>
      </c>
    </row>
    <row r="905" spans="1:15" ht="15.75" customHeight="1">
      <c r="A905" s="4" t="s">
        <v>49</v>
      </c>
      <c r="B905" s="4">
        <v>915453</v>
      </c>
      <c r="C905" s="4">
        <v>915851</v>
      </c>
      <c r="E905" s="4" t="s">
        <v>55</v>
      </c>
      <c r="F905" s="4" t="s">
        <v>2710</v>
      </c>
      <c r="I905" s="4" t="s">
        <v>52</v>
      </c>
      <c r="L905" s="4" t="s">
        <v>2711</v>
      </c>
      <c r="M905" s="4" t="s">
        <v>2710</v>
      </c>
      <c r="N905" s="4">
        <v>132</v>
      </c>
      <c r="O905" s="4" t="s">
        <v>2712</v>
      </c>
    </row>
    <row r="906" spans="1:15" ht="15.75" customHeight="1">
      <c r="A906" s="4" t="s">
        <v>49</v>
      </c>
      <c r="B906" s="4">
        <v>915943</v>
      </c>
      <c r="C906" s="4">
        <v>916236</v>
      </c>
      <c r="E906" s="4" t="s">
        <v>55</v>
      </c>
      <c r="F906" s="4" t="s">
        <v>56</v>
      </c>
      <c r="I906" s="4" t="s">
        <v>52</v>
      </c>
      <c r="L906" s="4" t="s">
        <v>2713</v>
      </c>
      <c r="M906" s="4" t="s">
        <v>56</v>
      </c>
      <c r="N906" s="4">
        <v>97</v>
      </c>
      <c r="O906" s="4" t="s">
        <v>2714</v>
      </c>
    </row>
    <row r="907" spans="1:15" ht="15.75" customHeight="1">
      <c r="A907" s="4" t="s">
        <v>49</v>
      </c>
      <c r="B907" s="4">
        <v>916385</v>
      </c>
      <c r="C907" s="4">
        <v>919969</v>
      </c>
      <c r="E907" s="4" t="s">
        <v>55</v>
      </c>
      <c r="F907" s="4" t="s">
        <v>2715</v>
      </c>
      <c r="I907" s="4" t="s">
        <v>52</v>
      </c>
      <c r="L907" s="4" t="s">
        <v>2716</v>
      </c>
      <c r="M907" s="4" t="s">
        <v>2715</v>
      </c>
      <c r="N907" s="4">
        <v>1194</v>
      </c>
      <c r="O907" s="4" t="s">
        <v>2717</v>
      </c>
    </row>
    <row r="908" spans="1:15" ht="15.75" customHeight="1">
      <c r="A908" s="4" t="s">
        <v>49</v>
      </c>
      <c r="B908" s="4">
        <v>920329</v>
      </c>
      <c r="C908" s="4">
        <v>921090</v>
      </c>
      <c r="E908" s="4" t="s">
        <v>50</v>
      </c>
      <c r="F908" s="4" t="s">
        <v>2718</v>
      </c>
      <c r="I908" s="4" t="s">
        <v>52</v>
      </c>
      <c r="L908" s="4" t="s">
        <v>2719</v>
      </c>
      <c r="M908" s="4" t="s">
        <v>2718</v>
      </c>
      <c r="N908" s="4">
        <v>253</v>
      </c>
      <c r="O908" s="4" t="s">
        <v>2720</v>
      </c>
    </row>
    <row r="909" spans="1:15" ht="15.75" customHeight="1">
      <c r="A909" s="4" t="s">
        <v>49</v>
      </c>
      <c r="B909" s="4">
        <v>921077</v>
      </c>
      <c r="C909" s="4">
        <v>921283</v>
      </c>
      <c r="E909" s="4" t="s">
        <v>50</v>
      </c>
      <c r="F909" s="4" t="s">
        <v>56</v>
      </c>
      <c r="I909" s="4" t="s">
        <v>52</v>
      </c>
      <c r="L909" s="4" t="s">
        <v>2721</v>
      </c>
      <c r="M909" s="4" t="s">
        <v>56</v>
      </c>
      <c r="N909" s="4">
        <v>68</v>
      </c>
      <c r="O909" s="4" t="s">
        <v>2722</v>
      </c>
    </row>
    <row r="910" spans="1:15" ht="15.75" customHeight="1">
      <c r="A910" s="4" t="s">
        <v>49</v>
      </c>
      <c r="B910" s="4">
        <v>921265</v>
      </c>
      <c r="C910" s="4">
        <v>922032</v>
      </c>
      <c r="E910" s="4" t="s">
        <v>55</v>
      </c>
      <c r="F910" s="4" t="s">
        <v>1094</v>
      </c>
      <c r="I910" s="4" t="s">
        <v>52</v>
      </c>
      <c r="L910" s="4" t="s">
        <v>2723</v>
      </c>
      <c r="M910" s="4" t="s">
        <v>1094</v>
      </c>
      <c r="N910" s="4">
        <v>255</v>
      </c>
      <c r="O910" s="4" t="s">
        <v>2724</v>
      </c>
    </row>
    <row r="911" spans="1:15" ht="15.75" customHeight="1">
      <c r="A911" s="4" t="s">
        <v>49</v>
      </c>
      <c r="B911" s="4">
        <v>922345</v>
      </c>
      <c r="C911" s="4">
        <v>923940</v>
      </c>
      <c r="E911" s="4" t="s">
        <v>50</v>
      </c>
      <c r="F911" s="4" t="s">
        <v>2725</v>
      </c>
      <c r="I911" s="4" t="s">
        <v>52</v>
      </c>
      <c r="L911" s="4" t="s">
        <v>2726</v>
      </c>
      <c r="M911" s="4" t="s">
        <v>2725</v>
      </c>
      <c r="N911" s="4">
        <v>531</v>
      </c>
      <c r="O911" s="4" t="s">
        <v>2727</v>
      </c>
    </row>
    <row r="912" spans="1:15" ht="15.75" customHeight="1">
      <c r="A912" s="4" t="s">
        <v>49</v>
      </c>
      <c r="B912" s="4">
        <v>924655</v>
      </c>
      <c r="C912" s="4">
        <v>924984</v>
      </c>
      <c r="E912" s="4" t="s">
        <v>50</v>
      </c>
      <c r="F912" s="4" t="s">
        <v>92</v>
      </c>
      <c r="I912" s="4" t="s">
        <v>52</v>
      </c>
      <c r="L912" s="4" t="s">
        <v>2728</v>
      </c>
      <c r="M912" s="4" t="s">
        <v>92</v>
      </c>
      <c r="N912" s="4">
        <v>109</v>
      </c>
      <c r="O912" s="4" t="s">
        <v>2729</v>
      </c>
    </row>
    <row r="913" spans="1:15" ht="15.75" customHeight="1">
      <c r="A913" s="4" t="s">
        <v>49</v>
      </c>
      <c r="B913" s="4">
        <v>925373</v>
      </c>
      <c r="C913" s="4">
        <v>926017</v>
      </c>
      <c r="E913" s="4" t="s">
        <v>50</v>
      </c>
      <c r="F913" s="4" t="s">
        <v>2730</v>
      </c>
      <c r="I913" s="4" t="s">
        <v>52</v>
      </c>
      <c r="L913" s="4" t="s">
        <v>2731</v>
      </c>
      <c r="M913" s="4" t="s">
        <v>2730</v>
      </c>
      <c r="N913" s="4">
        <v>214</v>
      </c>
      <c r="O913" s="4" t="s">
        <v>2732</v>
      </c>
    </row>
    <row r="914" spans="1:15" ht="15.75" customHeight="1">
      <c r="A914" s="4" t="s">
        <v>49</v>
      </c>
      <c r="B914" s="4">
        <v>926151</v>
      </c>
      <c r="C914" s="4">
        <v>927071</v>
      </c>
      <c r="E914" s="4" t="s">
        <v>50</v>
      </c>
      <c r="F914" s="4" t="s">
        <v>674</v>
      </c>
      <c r="I914" s="4" t="s">
        <v>52</v>
      </c>
      <c r="L914" s="4" t="s">
        <v>675</v>
      </c>
      <c r="M914" s="4" t="s">
        <v>674</v>
      </c>
      <c r="N914" s="4">
        <v>306</v>
      </c>
      <c r="O914" s="4" t="s">
        <v>2733</v>
      </c>
    </row>
    <row r="915" spans="1:15" ht="15.75" customHeight="1">
      <c r="A915" s="4" t="s">
        <v>49</v>
      </c>
      <c r="B915" s="4">
        <v>927699</v>
      </c>
      <c r="C915" s="4">
        <v>927899</v>
      </c>
      <c r="E915" s="4" t="s">
        <v>50</v>
      </c>
      <c r="F915" s="4" t="s">
        <v>56</v>
      </c>
      <c r="I915" s="4" t="s">
        <v>52</v>
      </c>
      <c r="L915" s="4" t="s">
        <v>2734</v>
      </c>
      <c r="M915" s="4" t="s">
        <v>56</v>
      </c>
      <c r="N915" s="4">
        <v>66</v>
      </c>
      <c r="O915" s="4" t="s">
        <v>2735</v>
      </c>
    </row>
    <row r="916" spans="1:15" ht="15.75" customHeight="1">
      <c r="A916" s="4" t="s">
        <v>49</v>
      </c>
      <c r="B916" s="4">
        <v>928033</v>
      </c>
      <c r="C916" s="4">
        <v>929586</v>
      </c>
      <c r="E916" s="4" t="s">
        <v>55</v>
      </c>
      <c r="F916" s="4" t="s">
        <v>2736</v>
      </c>
      <c r="G916" s="4" t="s">
        <v>2737</v>
      </c>
      <c r="I916" s="4" t="s">
        <v>52</v>
      </c>
      <c r="L916" s="4" t="s">
        <v>2738</v>
      </c>
      <c r="M916" s="4" t="s">
        <v>2736</v>
      </c>
      <c r="N916" s="4">
        <v>517</v>
      </c>
      <c r="O916" s="4" t="s">
        <v>2739</v>
      </c>
    </row>
    <row r="917" spans="1:15" ht="15.75" customHeight="1">
      <c r="A917" s="4" t="s">
        <v>49</v>
      </c>
      <c r="B917" s="4">
        <v>929759</v>
      </c>
      <c r="C917" s="4">
        <v>930685</v>
      </c>
      <c r="E917" s="4" t="s">
        <v>55</v>
      </c>
      <c r="F917" s="4" t="s">
        <v>2740</v>
      </c>
      <c r="G917" s="4" t="s">
        <v>2741</v>
      </c>
      <c r="I917" s="4" t="s">
        <v>52</v>
      </c>
      <c r="L917" s="4" t="s">
        <v>2742</v>
      </c>
      <c r="M917" s="4" t="s">
        <v>2740</v>
      </c>
      <c r="N917" s="4">
        <v>308</v>
      </c>
      <c r="O917" s="4" t="s">
        <v>2743</v>
      </c>
    </row>
    <row r="918" spans="1:15" ht="15.75" customHeight="1">
      <c r="A918" s="4" t="s">
        <v>49</v>
      </c>
      <c r="B918" s="4">
        <v>930841</v>
      </c>
      <c r="C918" s="4">
        <v>931203</v>
      </c>
      <c r="E918" s="4" t="s">
        <v>50</v>
      </c>
      <c r="F918" s="4" t="s">
        <v>56</v>
      </c>
      <c r="I918" s="4" t="s">
        <v>52</v>
      </c>
      <c r="L918" s="4" t="s">
        <v>2744</v>
      </c>
      <c r="M918" s="4" t="s">
        <v>56</v>
      </c>
      <c r="N918" s="4">
        <v>120</v>
      </c>
      <c r="O918" s="4" t="s">
        <v>2745</v>
      </c>
    </row>
    <row r="919" spans="1:15" ht="15.75" customHeight="1">
      <c r="A919" s="4" t="s">
        <v>49</v>
      </c>
      <c r="B919" s="4">
        <v>931250</v>
      </c>
      <c r="C919" s="4">
        <v>931540</v>
      </c>
      <c r="E919" s="4" t="s">
        <v>50</v>
      </c>
      <c r="F919" s="4" t="s">
        <v>56</v>
      </c>
      <c r="I919" s="4" t="s">
        <v>52</v>
      </c>
      <c r="L919" s="4" t="s">
        <v>2746</v>
      </c>
      <c r="M919" s="4" t="s">
        <v>56</v>
      </c>
      <c r="N919" s="4">
        <v>96</v>
      </c>
      <c r="O919" s="4" t="s">
        <v>2747</v>
      </c>
    </row>
    <row r="920" spans="1:15" ht="15.75" customHeight="1">
      <c r="A920" s="4" t="s">
        <v>49</v>
      </c>
      <c r="B920" s="4">
        <v>931604</v>
      </c>
      <c r="C920" s="4">
        <v>933013</v>
      </c>
      <c r="E920" s="4" t="s">
        <v>55</v>
      </c>
      <c r="F920" s="4" t="s">
        <v>443</v>
      </c>
      <c r="I920" s="4" t="s">
        <v>52</v>
      </c>
      <c r="L920" s="4" t="s">
        <v>2748</v>
      </c>
      <c r="M920" s="4" t="s">
        <v>443</v>
      </c>
      <c r="N920" s="4">
        <v>469</v>
      </c>
      <c r="O920" s="4" t="s">
        <v>2749</v>
      </c>
    </row>
    <row r="921" spans="1:15" ht="15.75" customHeight="1">
      <c r="A921" s="4" t="s">
        <v>49</v>
      </c>
      <c r="B921" s="4">
        <v>933346</v>
      </c>
      <c r="C921" s="4">
        <v>933822</v>
      </c>
      <c r="E921" s="4" t="s">
        <v>55</v>
      </c>
      <c r="F921" s="4" t="s">
        <v>2750</v>
      </c>
      <c r="I921" s="4" t="s">
        <v>52</v>
      </c>
      <c r="L921" s="4" t="s">
        <v>2751</v>
      </c>
      <c r="M921" s="4" t="s">
        <v>2750</v>
      </c>
      <c r="N921" s="4">
        <v>158</v>
      </c>
      <c r="O921" s="4" t="s">
        <v>2752</v>
      </c>
    </row>
    <row r="922" spans="1:15" ht="15.75" customHeight="1">
      <c r="A922" s="4" t="s">
        <v>49</v>
      </c>
      <c r="B922" s="4">
        <v>933827</v>
      </c>
      <c r="C922" s="4">
        <v>936118</v>
      </c>
      <c r="E922" s="4" t="s">
        <v>55</v>
      </c>
      <c r="F922" s="4" t="s">
        <v>2753</v>
      </c>
      <c r="G922" s="4" t="s">
        <v>2754</v>
      </c>
      <c r="I922" s="4" t="s">
        <v>52</v>
      </c>
      <c r="L922" s="4" t="s">
        <v>2755</v>
      </c>
      <c r="M922" s="4" t="s">
        <v>2753</v>
      </c>
      <c r="N922" s="4">
        <v>763</v>
      </c>
      <c r="O922" s="4" t="s">
        <v>2756</v>
      </c>
    </row>
    <row r="923" spans="1:15" ht="15.75" customHeight="1">
      <c r="A923" s="4" t="s">
        <v>49</v>
      </c>
      <c r="B923" s="4">
        <v>936804</v>
      </c>
      <c r="C923" s="4">
        <v>936989</v>
      </c>
      <c r="E923" s="4" t="s">
        <v>55</v>
      </c>
      <c r="F923" s="4" t="s">
        <v>345</v>
      </c>
      <c r="I923" s="4" t="s">
        <v>346</v>
      </c>
      <c r="O923" s="4" t="s">
        <v>2757</v>
      </c>
    </row>
    <row r="924" spans="1:15" ht="15.75" customHeight="1">
      <c r="A924" s="4" t="s">
        <v>49</v>
      </c>
      <c r="B924" s="4">
        <v>937070</v>
      </c>
      <c r="C924" s="4">
        <v>938899</v>
      </c>
      <c r="E924" s="4" t="s">
        <v>50</v>
      </c>
      <c r="F924" s="4" t="s">
        <v>2758</v>
      </c>
      <c r="I924" s="4" t="s">
        <v>52</v>
      </c>
      <c r="L924" s="4" t="s">
        <v>2759</v>
      </c>
      <c r="M924" s="4" t="s">
        <v>2758</v>
      </c>
      <c r="N924" s="4">
        <v>609</v>
      </c>
      <c r="O924" s="4" t="s">
        <v>2760</v>
      </c>
    </row>
    <row r="925" spans="1:15" ht="15.75" customHeight="1">
      <c r="A925" s="4" t="s">
        <v>49</v>
      </c>
      <c r="B925" s="4">
        <v>938955</v>
      </c>
      <c r="C925" s="4">
        <v>939860</v>
      </c>
      <c r="E925" s="4" t="s">
        <v>50</v>
      </c>
      <c r="F925" s="4" t="s">
        <v>2761</v>
      </c>
      <c r="I925" s="4" t="s">
        <v>52</v>
      </c>
      <c r="L925" s="4" t="s">
        <v>2762</v>
      </c>
      <c r="M925" s="4" t="s">
        <v>2761</v>
      </c>
      <c r="N925" s="4">
        <v>301</v>
      </c>
      <c r="O925" s="4" t="s">
        <v>2763</v>
      </c>
    </row>
    <row r="926" spans="1:15" ht="15.75" customHeight="1">
      <c r="A926" s="4" t="s">
        <v>49</v>
      </c>
      <c r="B926" s="4">
        <v>939918</v>
      </c>
      <c r="C926" s="4">
        <v>940379</v>
      </c>
      <c r="E926" s="4" t="s">
        <v>50</v>
      </c>
      <c r="F926" s="4" t="s">
        <v>2764</v>
      </c>
      <c r="I926" s="4" t="s">
        <v>52</v>
      </c>
      <c r="L926" s="4" t="s">
        <v>2765</v>
      </c>
      <c r="M926" s="4" t="s">
        <v>2764</v>
      </c>
      <c r="N926" s="4">
        <v>153</v>
      </c>
      <c r="O926" s="4" t="s">
        <v>2766</v>
      </c>
    </row>
    <row r="927" spans="1:15" ht="15.75" customHeight="1">
      <c r="A927" s="4" t="s">
        <v>49</v>
      </c>
      <c r="B927" s="4">
        <v>940491</v>
      </c>
      <c r="C927" s="4">
        <v>941843</v>
      </c>
      <c r="E927" s="4" t="s">
        <v>55</v>
      </c>
      <c r="F927" s="4" t="s">
        <v>2767</v>
      </c>
      <c r="I927" s="4" t="s">
        <v>52</v>
      </c>
      <c r="L927" s="4" t="s">
        <v>2768</v>
      </c>
      <c r="M927" s="4" t="s">
        <v>2767</v>
      </c>
      <c r="N927" s="4">
        <v>450</v>
      </c>
      <c r="O927" s="4" t="s">
        <v>2769</v>
      </c>
    </row>
    <row r="928" spans="1:15" ht="15.75" customHeight="1">
      <c r="A928" s="4" t="s">
        <v>49</v>
      </c>
      <c r="B928" s="4">
        <v>941830</v>
      </c>
      <c r="C928" s="4">
        <v>942795</v>
      </c>
      <c r="E928" s="4" t="s">
        <v>55</v>
      </c>
      <c r="F928" s="4" t="s">
        <v>2770</v>
      </c>
      <c r="G928" s="4" t="s">
        <v>2771</v>
      </c>
      <c r="I928" s="4" t="s">
        <v>52</v>
      </c>
      <c r="L928" s="4" t="s">
        <v>2772</v>
      </c>
      <c r="M928" s="4" t="s">
        <v>2770</v>
      </c>
      <c r="N928" s="4">
        <v>321</v>
      </c>
      <c r="O928" s="4" t="s">
        <v>2773</v>
      </c>
    </row>
    <row r="929" spans="1:15" ht="15.75" customHeight="1">
      <c r="A929" s="4" t="s">
        <v>49</v>
      </c>
      <c r="B929" s="4">
        <v>942953</v>
      </c>
      <c r="C929" s="4">
        <v>943612</v>
      </c>
      <c r="E929" s="4" t="s">
        <v>50</v>
      </c>
      <c r="F929" s="4" t="s">
        <v>656</v>
      </c>
      <c r="I929" s="4" t="s">
        <v>52</v>
      </c>
      <c r="L929" s="4" t="s">
        <v>2774</v>
      </c>
      <c r="M929" s="4" t="s">
        <v>656</v>
      </c>
      <c r="N929" s="4">
        <v>219</v>
      </c>
      <c r="O929" s="4" t="s">
        <v>2775</v>
      </c>
    </row>
    <row r="930" spans="1:15" ht="15.75" customHeight="1">
      <c r="A930" s="4" t="s">
        <v>49</v>
      </c>
      <c r="B930" s="4">
        <v>943963</v>
      </c>
      <c r="C930" s="4">
        <v>945771</v>
      </c>
      <c r="E930" s="4" t="s">
        <v>55</v>
      </c>
      <c r="F930" s="4" t="s">
        <v>1312</v>
      </c>
      <c r="I930" s="4" t="s">
        <v>52</v>
      </c>
      <c r="L930" s="4" t="s">
        <v>2776</v>
      </c>
      <c r="M930" s="4" t="s">
        <v>1312</v>
      </c>
      <c r="N930" s="4">
        <v>602</v>
      </c>
      <c r="O930" s="4" t="s">
        <v>2777</v>
      </c>
    </row>
    <row r="931" spans="1:15" ht="15.75" customHeight="1">
      <c r="A931" s="4" t="s">
        <v>49</v>
      </c>
      <c r="B931" s="4">
        <v>945784</v>
      </c>
      <c r="C931" s="4">
        <v>946542</v>
      </c>
      <c r="E931" s="4" t="s">
        <v>55</v>
      </c>
      <c r="F931" s="4" t="s">
        <v>73</v>
      </c>
      <c r="I931" s="4" t="s">
        <v>52</v>
      </c>
      <c r="L931" s="4" t="s">
        <v>2778</v>
      </c>
      <c r="M931" s="4" t="s">
        <v>73</v>
      </c>
      <c r="N931" s="4">
        <v>252</v>
      </c>
      <c r="O931" s="4" t="s">
        <v>2779</v>
      </c>
    </row>
    <row r="932" spans="1:15" ht="15.75" customHeight="1">
      <c r="A932" s="4" t="s">
        <v>49</v>
      </c>
      <c r="B932" s="4">
        <v>946842</v>
      </c>
      <c r="C932" s="4">
        <v>948497</v>
      </c>
      <c r="E932" s="4" t="s">
        <v>50</v>
      </c>
      <c r="F932" s="4" t="s">
        <v>2780</v>
      </c>
      <c r="I932" s="4" t="s">
        <v>52</v>
      </c>
      <c r="L932" s="4" t="s">
        <v>2781</v>
      </c>
      <c r="M932" s="4" t="s">
        <v>2780</v>
      </c>
      <c r="N932" s="4">
        <v>551</v>
      </c>
      <c r="O932" s="4" t="s">
        <v>2782</v>
      </c>
    </row>
    <row r="933" spans="1:15" ht="15.75" customHeight="1">
      <c r="A933" s="4" t="s">
        <v>49</v>
      </c>
      <c r="B933" s="4">
        <v>948633</v>
      </c>
      <c r="C933" s="4">
        <v>949514</v>
      </c>
      <c r="E933" s="4" t="s">
        <v>50</v>
      </c>
      <c r="F933" s="4" t="s">
        <v>964</v>
      </c>
      <c r="I933" s="4" t="s">
        <v>52</v>
      </c>
      <c r="L933" s="4" t="s">
        <v>2783</v>
      </c>
      <c r="M933" s="4" t="s">
        <v>964</v>
      </c>
      <c r="N933" s="4">
        <v>293</v>
      </c>
      <c r="O933" s="4" t="s">
        <v>2784</v>
      </c>
    </row>
    <row r="934" spans="1:15" ht="15.75" customHeight="1">
      <c r="A934" s="4" t="s">
        <v>49</v>
      </c>
      <c r="B934" s="4">
        <v>949652</v>
      </c>
      <c r="C934" s="4">
        <v>950947</v>
      </c>
      <c r="E934" s="4" t="s">
        <v>50</v>
      </c>
      <c r="F934" s="4" t="s">
        <v>2785</v>
      </c>
      <c r="G934" s="4" t="s">
        <v>2786</v>
      </c>
      <c r="I934" s="4" t="s">
        <v>52</v>
      </c>
      <c r="L934" s="4" t="s">
        <v>2787</v>
      </c>
      <c r="M934" s="4" t="s">
        <v>2785</v>
      </c>
      <c r="N934" s="4">
        <v>431</v>
      </c>
      <c r="O934" s="4" t="s">
        <v>2788</v>
      </c>
    </row>
    <row r="935" spans="1:15" ht="15.75" customHeight="1">
      <c r="A935" s="4" t="s">
        <v>49</v>
      </c>
      <c r="B935" s="4">
        <v>951085</v>
      </c>
      <c r="C935" s="4">
        <v>952041</v>
      </c>
      <c r="E935" s="4" t="s">
        <v>55</v>
      </c>
      <c r="F935" s="4" t="s">
        <v>2789</v>
      </c>
      <c r="I935" s="4" t="s">
        <v>52</v>
      </c>
      <c r="L935" s="4" t="s">
        <v>2790</v>
      </c>
      <c r="M935" s="4" t="s">
        <v>2789</v>
      </c>
      <c r="N935" s="4">
        <v>318</v>
      </c>
      <c r="O935" s="4" t="s">
        <v>2791</v>
      </c>
    </row>
    <row r="936" spans="1:15" ht="15.75" customHeight="1">
      <c r="A936" s="4" t="s">
        <v>49</v>
      </c>
      <c r="B936" s="4">
        <v>952283</v>
      </c>
      <c r="C936" s="4">
        <v>953335</v>
      </c>
      <c r="E936" s="4" t="s">
        <v>55</v>
      </c>
      <c r="F936" s="4" t="s">
        <v>2529</v>
      </c>
      <c r="I936" s="4" t="s">
        <v>52</v>
      </c>
      <c r="L936" s="4" t="s">
        <v>2792</v>
      </c>
      <c r="M936" s="4" t="s">
        <v>2529</v>
      </c>
      <c r="N936" s="4">
        <v>350</v>
      </c>
      <c r="O936" s="4" t="s">
        <v>2793</v>
      </c>
    </row>
    <row r="937" spans="1:15" ht="15.75" customHeight="1">
      <c r="A937" s="4" t="s">
        <v>49</v>
      </c>
      <c r="B937" s="4">
        <v>953510</v>
      </c>
      <c r="C937" s="4">
        <v>954868</v>
      </c>
      <c r="E937" s="4" t="s">
        <v>55</v>
      </c>
      <c r="F937" s="4" t="s">
        <v>2794</v>
      </c>
      <c r="I937" s="4" t="s">
        <v>52</v>
      </c>
      <c r="L937" s="4" t="s">
        <v>2795</v>
      </c>
      <c r="M937" s="4" t="s">
        <v>2794</v>
      </c>
      <c r="N937" s="4">
        <v>452</v>
      </c>
      <c r="O937" s="4" t="s">
        <v>2796</v>
      </c>
    </row>
    <row r="938" spans="1:15" ht="15.75" customHeight="1">
      <c r="A938" s="4" t="s">
        <v>49</v>
      </c>
      <c r="B938" s="4">
        <v>954912</v>
      </c>
      <c r="C938" s="4">
        <v>956327</v>
      </c>
      <c r="E938" s="4" t="s">
        <v>55</v>
      </c>
      <c r="F938" s="4" t="s">
        <v>779</v>
      </c>
      <c r="I938" s="4" t="s">
        <v>52</v>
      </c>
      <c r="L938" s="4" t="s">
        <v>780</v>
      </c>
      <c r="M938" s="4" t="s">
        <v>779</v>
      </c>
      <c r="N938" s="4">
        <v>471</v>
      </c>
      <c r="O938" s="4" t="s">
        <v>2797</v>
      </c>
    </row>
    <row r="939" spans="1:15" ht="15.75" customHeight="1">
      <c r="A939" s="4" t="s">
        <v>49</v>
      </c>
      <c r="B939" s="4">
        <v>956462</v>
      </c>
      <c r="C939" s="4">
        <v>957913</v>
      </c>
      <c r="E939" s="4" t="s">
        <v>55</v>
      </c>
      <c r="F939" s="4" t="s">
        <v>56</v>
      </c>
      <c r="I939" s="4" t="s">
        <v>52</v>
      </c>
      <c r="L939" s="4" t="s">
        <v>2798</v>
      </c>
      <c r="M939" s="4" t="s">
        <v>56</v>
      </c>
      <c r="N939" s="4">
        <v>483</v>
      </c>
      <c r="O939" s="4" t="s">
        <v>2799</v>
      </c>
    </row>
    <row r="940" spans="1:15" ht="15.75" customHeight="1">
      <c r="A940" s="4" t="s">
        <v>49</v>
      </c>
      <c r="B940" s="4">
        <v>958197</v>
      </c>
      <c r="C940" s="4">
        <v>960152</v>
      </c>
      <c r="E940" s="4" t="s">
        <v>55</v>
      </c>
      <c r="F940" s="4" t="s">
        <v>278</v>
      </c>
      <c r="I940" s="4" t="s">
        <v>52</v>
      </c>
      <c r="L940" s="4" t="s">
        <v>2800</v>
      </c>
      <c r="M940" s="4" t="s">
        <v>278</v>
      </c>
      <c r="N940" s="4">
        <v>651</v>
      </c>
      <c r="O940" s="4" t="s">
        <v>2801</v>
      </c>
    </row>
    <row r="941" spans="1:15" ht="15.75" customHeight="1">
      <c r="A941" s="4" t="s">
        <v>49</v>
      </c>
      <c r="B941" s="4">
        <v>960368</v>
      </c>
      <c r="C941" s="4">
        <v>961759</v>
      </c>
      <c r="E941" s="4" t="s">
        <v>55</v>
      </c>
      <c r="F941" s="4" t="s">
        <v>2802</v>
      </c>
      <c r="I941" s="4" t="s">
        <v>52</v>
      </c>
      <c r="L941" s="4" t="s">
        <v>2803</v>
      </c>
      <c r="M941" s="4" t="s">
        <v>2802</v>
      </c>
      <c r="N941" s="4">
        <v>463</v>
      </c>
      <c r="O941" s="4" t="s">
        <v>2804</v>
      </c>
    </row>
    <row r="942" spans="1:15" ht="15.75" customHeight="1">
      <c r="A942" s="4" t="s">
        <v>49</v>
      </c>
      <c r="B942" s="4">
        <v>961771</v>
      </c>
      <c r="C942" s="4">
        <v>962841</v>
      </c>
      <c r="E942" s="4" t="s">
        <v>55</v>
      </c>
      <c r="F942" s="4" t="s">
        <v>421</v>
      </c>
      <c r="I942" s="4" t="s">
        <v>52</v>
      </c>
      <c r="L942" s="4" t="s">
        <v>2805</v>
      </c>
      <c r="M942" s="4" t="s">
        <v>421</v>
      </c>
      <c r="N942" s="4">
        <v>356</v>
      </c>
      <c r="O942" s="4" t="s">
        <v>2806</v>
      </c>
    </row>
    <row r="943" spans="1:15" ht="15.75" customHeight="1">
      <c r="A943" s="4" t="s">
        <v>49</v>
      </c>
      <c r="B943" s="4">
        <v>962890</v>
      </c>
      <c r="C943" s="4">
        <v>964434</v>
      </c>
      <c r="E943" s="4" t="s">
        <v>55</v>
      </c>
      <c r="F943" s="4" t="s">
        <v>2807</v>
      </c>
      <c r="I943" s="4" t="s">
        <v>52</v>
      </c>
      <c r="L943" s="4" t="s">
        <v>2808</v>
      </c>
      <c r="M943" s="4" t="s">
        <v>2807</v>
      </c>
      <c r="N943" s="4">
        <v>514</v>
      </c>
      <c r="O943" s="4" t="s">
        <v>2809</v>
      </c>
    </row>
    <row r="944" spans="1:15" ht="15.75" customHeight="1">
      <c r="A944" s="4" t="s">
        <v>49</v>
      </c>
      <c r="B944" s="4">
        <v>964472</v>
      </c>
      <c r="C944" s="4">
        <v>965440</v>
      </c>
      <c r="E944" s="4" t="s">
        <v>55</v>
      </c>
      <c r="F944" s="4" t="s">
        <v>421</v>
      </c>
      <c r="I944" s="4" t="s">
        <v>52</v>
      </c>
      <c r="L944" s="4" t="s">
        <v>2810</v>
      </c>
      <c r="M944" s="4" t="s">
        <v>421</v>
      </c>
      <c r="N944" s="4">
        <v>322</v>
      </c>
      <c r="O944" s="4" t="s">
        <v>2811</v>
      </c>
    </row>
    <row r="945" spans="1:15" ht="15.75" customHeight="1">
      <c r="A945" s="4" t="s">
        <v>49</v>
      </c>
      <c r="B945" s="4">
        <v>965445</v>
      </c>
      <c r="C945" s="4">
        <v>966497</v>
      </c>
      <c r="E945" s="4" t="s">
        <v>55</v>
      </c>
      <c r="F945" s="4" t="s">
        <v>2812</v>
      </c>
      <c r="I945" s="4" t="s">
        <v>52</v>
      </c>
      <c r="L945" s="4" t="s">
        <v>2813</v>
      </c>
      <c r="M945" s="4" t="s">
        <v>2812</v>
      </c>
      <c r="N945" s="4">
        <v>350</v>
      </c>
      <c r="O945" s="4" t="s">
        <v>2814</v>
      </c>
    </row>
    <row r="946" spans="1:15" ht="15.75" customHeight="1">
      <c r="A946" s="4" t="s">
        <v>49</v>
      </c>
      <c r="B946" s="4">
        <v>966503</v>
      </c>
      <c r="C946" s="4">
        <v>967207</v>
      </c>
      <c r="E946" s="4" t="s">
        <v>55</v>
      </c>
      <c r="F946" s="4" t="s">
        <v>2815</v>
      </c>
      <c r="I946" s="4" t="s">
        <v>52</v>
      </c>
      <c r="L946" s="4" t="s">
        <v>2816</v>
      </c>
      <c r="M946" s="4" t="s">
        <v>2815</v>
      </c>
      <c r="N946" s="4">
        <v>234</v>
      </c>
      <c r="O946" s="4" t="s">
        <v>2817</v>
      </c>
    </row>
    <row r="947" spans="1:15" ht="15.75" customHeight="1">
      <c r="A947" s="4" t="s">
        <v>49</v>
      </c>
      <c r="B947" s="4">
        <v>967209</v>
      </c>
      <c r="C947" s="4">
        <v>968075</v>
      </c>
      <c r="E947" s="4" t="s">
        <v>55</v>
      </c>
      <c r="F947" s="4" t="s">
        <v>2818</v>
      </c>
      <c r="I947" s="4" t="s">
        <v>52</v>
      </c>
      <c r="L947" s="4" t="s">
        <v>2819</v>
      </c>
      <c r="M947" s="4" t="s">
        <v>2818</v>
      </c>
      <c r="N947" s="4">
        <v>288</v>
      </c>
      <c r="O947" s="4" t="s">
        <v>2820</v>
      </c>
    </row>
    <row r="948" spans="1:15" ht="15.75" customHeight="1">
      <c r="A948" s="4" t="s">
        <v>49</v>
      </c>
      <c r="B948" s="4">
        <v>968098</v>
      </c>
      <c r="C948" s="4">
        <v>968916</v>
      </c>
      <c r="E948" s="4" t="s">
        <v>55</v>
      </c>
      <c r="F948" s="4" t="s">
        <v>421</v>
      </c>
      <c r="I948" s="4" t="s">
        <v>52</v>
      </c>
      <c r="L948" s="4" t="s">
        <v>2821</v>
      </c>
      <c r="M948" s="4" t="s">
        <v>421</v>
      </c>
      <c r="N948" s="4">
        <v>272</v>
      </c>
      <c r="O948" s="4" t="s">
        <v>2822</v>
      </c>
    </row>
    <row r="949" spans="1:15" ht="15.75" customHeight="1">
      <c r="A949" s="4" t="s">
        <v>49</v>
      </c>
      <c r="B949" s="4">
        <v>968932</v>
      </c>
      <c r="C949" s="4">
        <v>970332</v>
      </c>
      <c r="E949" s="4" t="s">
        <v>55</v>
      </c>
      <c r="F949" s="4" t="s">
        <v>2823</v>
      </c>
      <c r="I949" s="4" t="s">
        <v>52</v>
      </c>
      <c r="L949" s="4" t="s">
        <v>2824</v>
      </c>
      <c r="M949" s="4" t="s">
        <v>2823</v>
      </c>
      <c r="N949" s="4">
        <v>466</v>
      </c>
      <c r="O949" s="4" t="s">
        <v>2825</v>
      </c>
    </row>
    <row r="950" spans="1:15" ht="15.75" customHeight="1">
      <c r="A950" s="4" t="s">
        <v>49</v>
      </c>
      <c r="B950" s="4">
        <v>970612</v>
      </c>
      <c r="C950" s="4">
        <v>971223</v>
      </c>
      <c r="E950" s="4" t="s">
        <v>50</v>
      </c>
      <c r="F950" s="4" t="s">
        <v>56</v>
      </c>
      <c r="I950" s="4" t="s">
        <v>52</v>
      </c>
      <c r="L950" s="4" t="s">
        <v>2826</v>
      </c>
      <c r="M950" s="4" t="s">
        <v>56</v>
      </c>
      <c r="N950" s="4">
        <v>203</v>
      </c>
      <c r="O950" s="4" t="s">
        <v>2827</v>
      </c>
    </row>
    <row r="951" spans="1:15" ht="15.75" customHeight="1">
      <c r="A951" s="4" t="s">
        <v>49</v>
      </c>
      <c r="B951" s="4">
        <v>971332</v>
      </c>
      <c r="C951" s="4">
        <v>972630</v>
      </c>
      <c r="E951" s="4" t="s">
        <v>55</v>
      </c>
      <c r="F951" s="4" t="s">
        <v>2828</v>
      </c>
      <c r="I951" s="4" t="s">
        <v>52</v>
      </c>
      <c r="L951" s="4" t="s">
        <v>2829</v>
      </c>
      <c r="M951" s="4" t="s">
        <v>2828</v>
      </c>
      <c r="N951" s="4">
        <v>432</v>
      </c>
      <c r="O951" s="4" t="s">
        <v>2830</v>
      </c>
    </row>
    <row r="952" spans="1:15" ht="15.75" customHeight="1">
      <c r="A952" s="4" t="s">
        <v>49</v>
      </c>
      <c r="B952" s="4">
        <v>972812</v>
      </c>
      <c r="C952" s="4">
        <v>973675</v>
      </c>
      <c r="E952" s="4" t="s">
        <v>55</v>
      </c>
      <c r="F952" s="4" t="s">
        <v>348</v>
      </c>
      <c r="I952" s="4" t="s">
        <v>52</v>
      </c>
      <c r="L952" s="4" t="s">
        <v>756</v>
      </c>
      <c r="M952" s="4" t="s">
        <v>348</v>
      </c>
      <c r="N952" s="4">
        <v>287</v>
      </c>
      <c r="O952" s="4" t="s">
        <v>2831</v>
      </c>
    </row>
    <row r="953" spans="1:15" ht="15.75" customHeight="1">
      <c r="A953" s="4" t="s">
        <v>49</v>
      </c>
      <c r="B953" s="4">
        <v>973744</v>
      </c>
      <c r="C953" s="4">
        <v>974472</v>
      </c>
      <c r="E953" s="4" t="s">
        <v>50</v>
      </c>
      <c r="F953" s="4" t="s">
        <v>92</v>
      </c>
      <c r="I953" s="4" t="s">
        <v>52</v>
      </c>
      <c r="L953" s="4" t="s">
        <v>2832</v>
      </c>
      <c r="M953" s="4" t="s">
        <v>92</v>
      </c>
      <c r="N953" s="4">
        <v>242</v>
      </c>
      <c r="O953" s="4" t="s">
        <v>2833</v>
      </c>
    </row>
    <row r="954" spans="1:15" ht="15.75" customHeight="1">
      <c r="A954" s="4" t="s">
        <v>49</v>
      </c>
      <c r="B954" s="4">
        <v>974469</v>
      </c>
      <c r="C954" s="4">
        <v>975347</v>
      </c>
      <c r="E954" s="4" t="s">
        <v>50</v>
      </c>
      <c r="F954" s="4" t="s">
        <v>348</v>
      </c>
      <c r="I954" s="4" t="s">
        <v>52</v>
      </c>
      <c r="L954" s="4" t="s">
        <v>760</v>
      </c>
      <c r="M954" s="4" t="s">
        <v>348</v>
      </c>
      <c r="N954" s="4">
        <v>292</v>
      </c>
      <c r="O954" s="4" t="s">
        <v>2834</v>
      </c>
    </row>
    <row r="955" spans="1:15" ht="15.75" customHeight="1">
      <c r="A955" s="4" t="s">
        <v>49</v>
      </c>
      <c r="B955" s="4">
        <v>975357</v>
      </c>
      <c r="C955" s="4">
        <v>975665</v>
      </c>
      <c r="E955" s="4" t="s">
        <v>55</v>
      </c>
      <c r="F955" s="4" t="s">
        <v>351</v>
      </c>
      <c r="I955" s="4" t="s">
        <v>52</v>
      </c>
      <c r="L955" s="4" t="s">
        <v>762</v>
      </c>
      <c r="M955" s="4" t="s">
        <v>351</v>
      </c>
      <c r="N955" s="4">
        <v>102</v>
      </c>
      <c r="O955" s="4" t="s">
        <v>2835</v>
      </c>
    </row>
    <row r="956" spans="1:15" ht="15.75" customHeight="1">
      <c r="A956" s="4" t="s">
        <v>49</v>
      </c>
      <c r="B956" s="4">
        <v>975715</v>
      </c>
      <c r="C956" s="4">
        <v>977136</v>
      </c>
      <c r="E956" s="4" t="s">
        <v>55</v>
      </c>
      <c r="F956" s="4" t="s">
        <v>56</v>
      </c>
      <c r="I956" s="4" t="s">
        <v>52</v>
      </c>
      <c r="L956" s="4" t="s">
        <v>2836</v>
      </c>
      <c r="M956" s="4" t="s">
        <v>56</v>
      </c>
      <c r="N956" s="4">
        <v>473</v>
      </c>
      <c r="O956" s="4" t="s">
        <v>2837</v>
      </c>
    </row>
    <row r="957" spans="1:15" ht="15.75" customHeight="1">
      <c r="A957" s="4" t="s">
        <v>49</v>
      </c>
      <c r="B957" s="4">
        <v>977216</v>
      </c>
      <c r="C957" s="4">
        <v>977998</v>
      </c>
      <c r="E957" s="4" t="s">
        <v>55</v>
      </c>
      <c r="F957" s="4" t="s">
        <v>56</v>
      </c>
      <c r="I957" s="4" t="s">
        <v>52</v>
      </c>
      <c r="L957" s="4" t="s">
        <v>2838</v>
      </c>
      <c r="M957" s="4" t="s">
        <v>56</v>
      </c>
      <c r="N957" s="4">
        <v>260</v>
      </c>
      <c r="O957" s="4" t="s">
        <v>2839</v>
      </c>
    </row>
    <row r="958" spans="1:15" ht="15.75" customHeight="1">
      <c r="A958" s="4" t="s">
        <v>49</v>
      </c>
      <c r="B958" s="4">
        <v>978119</v>
      </c>
      <c r="C958" s="4">
        <v>979165</v>
      </c>
      <c r="E958" s="4" t="s">
        <v>55</v>
      </c>
      <c r="F958" s="4" t="s">
        <v>1101</v>
      </c>
      <c r="I958" s="4" t="s">
        <v>52</v>
      </c>
      <c r="L958" s="4" t="s">
        <v>2840</v>
      </c>
      <c r="M958" s="4" t="s">
        <v>1101</v>
      </c>
      <c r="N958" s="4">
        <v>348</v>
      </c>
      <c r="O958" s="4" t="s">
        <v>2841</v>
      </c>
    </row>
    <row r="959" spans="1:15" ht="15.75" customHeight="1">
      <c r="A959" s="4" t="s">
        <v>49</v>
      </c>
      <c r="B959" s="4">
        <v>979258</v>
      </c>
      <c r="C959" s="4">
        <v>980136</v>
      </c>
      <c r="E959" s="4" t="s">
        <v>55</v>
      </c>
      <c r="F959" s="4" t="s">
        <v>674</v>
      </c>
      <c r="I959" s="4" t="s">
        <v>52</v>
      </c>
      <c r="L959" s="4" t="s">
        <v>2842</v>
      </c>
      <c r="M959" s="4" t="s">
        <v>674</v>
      </c>
      <c r="N959" s="4">
        <v>292</v>
      </c>
      <c r="O959" s="4" t="s">
        <v>2843</v>
      </c>
    </row>
    <row r="960" spans="1:15" ht="15.75" customHeight="1">
      <c r="A960" s="4" t="s">
        <v>49</v>
      </c>
      <c r="B960" s="4">
        <v>980207</v>
      </c>
      <c r="C960" s="4">
        <v>981796</v>
      </c>
      <c r="E960" s="4" t="s">
        <v>55</v>
      </c>
      <c r="F960" s="4" t="s">
        <v>2844</v>
      </c>
      <c r="I960" s="4" t="s">
        <v>52</v>
      </c>
      <c r="L960" s="4" t="s">
        <v>2845</v>
      </c>
      <c r="M960" s="4" t="s">
        <v>2844</v>
      </c>
      <c r="N960" s="4">
        <v>529</v>
      </c>
      <c r="O960" s="4" t="s">
        <v>2846</v>
      </c>
    </row>
    <row r="961" spans="1:15" ht="15.75" customHeight="1">
      <c r="A961" s="4" t="s">
        <v>49</v>
      </c>
      <c r="B961" s="4">
        <v>981850</v>
      </c>
      <c r="C961" s="4">
        <v>982056</v>
      </c>
      <c r="E961" s="4" t="s">
        <v>55</v>
      </c>
      <c r="F961" s="4" t="s">
        <v>2472</v>
      </c>
      <c r="I961" s="4" t="s">
        <v>52</v>
      </c>
      <c r="L961" s="4" t="s">
        <v>2847</v>
      </c>
      <c r="M961" s="4" t="s">
        <v>2472</v>
      </c>
      <c r="N961" s="4">
        <v>68</v>
      </c>
      <c r="O961" s="4" t="s">
        <v>2848</v>
      </c>
    </row>
    <row r="962" spans="1:15" ht="15.75" customHeight="1">
      <c r="A962" s="4" t="s">
        <v>49</v>
      </c>
      <c r="B962" s="4">
        <v>982666</v>
      </c>
      <c r="C962" s="4">
        <v>984408</v>
      </c>
      <c r="E962" s="4" t="s">
        <v>55</v>
      </c>
      <c r="F962" s="4" t="s">
        <v>56</v>
      </c>
      <c r="I962" s="4" t="s">
        <v>52</v>
      </c>
      <c r="L962" s="4" t="s">
        <v>2849</v>
      </c>
      <c r="M962" s="4" t="s">
        <v>56</v>
      </c>
      <c r="N962" s="4">
        <v>580</v>
      </c>
      <c r="O962" s="4" t="s">
        <v>2850</v>
      </c>
    </row>
    <row r="963" spans="1:15" ht="15.75" customHeight="1">
      <c r="A963" s="4" t="s">
        <v>49</v>
      </c>
      <c r="B963" s="4">
        <v>984632</v>
      </c>
      <c r="C963" s="4">
        <v>985837</v>
      </c>
      <c r="E963" s="4" t="s">
        <v>55</v>
      </c>
      <c r="F963" s="4" t="s">
        <v>2472</v>
      </c>
      <c r="I963" s="4" t="s">
        <v>52</v>
      </c>
      <c r="L963" s="4" t="s">
        <v>2851</v>
      </c>
      <c r="M963" s="4" t="s">
        <v>2472</v>
      </c>
      <c r="N963" s="4">
        <v>401</v>
      </c>
      <c r="O963" s="4" t="s">
        <v>2852</v>
      </c>
    </row>
    <row r="964" spans="1:15" ht="15.75" customHeight="1">
      <c r="A964" s="4" t="s">
        <v>49</v>
      </c>
      <c r="B964" s="4">
        <v>986024</v>
      </c>
      <c r="C964" s="4">
        <v>986983</v>
      </c>
      <c r="E964" s="4" t="s">
        <v>55</v>
      </c>
      <c r="F964" s="4" t="s">
        <v>2812</v>
      </c>
      <c r="I964" s="4" t="s">
        <v>52</v>
      </c>
      <c r="L964" s="4" t="s">
        <v>2853</v>
      </c>
      <c r="M964" s="4" t="s">
        <v>2812</v>
      </c>
      <c r="N964" s="4">
        <v>319</v>
      </c>
      <c r="O964" s="4" t="s">
        <v>2854</v>
      </c>
    </row>
    <row r="965" spans="1:15" ht="15.75" customHeight="1">
      <c r="A965" s="4" t="s">
        <v>49</v>
      </c>
      <c r="B965" s="4">
        <v>987109</v>
      </c>
      <c r="C965" s="4">
        <v>987771</v>
      </c>
      <c r="E965" s="4" t="s">
        <v>55</v>
      </c>
      <c r="F965" s="4" t="s">
        <v>845</v>
      </c>
      <c r="I965" s="4" t="s">
        <v>52</v>
      </c>
      <c r="L965" s="4" t="s">
        <v>2855</v>
      </c>
      <c r="M965" s="4" t="s">
        <v>845</v>
      </c>
      <c r="N965" s="4">
        <v>220</v>
      </c>
      <c r="O965" s="4" t="s">
        <v>2856</v>
      </c>
    </row>
    <row r="966" spans="1:15" ht="15.75" customHeight="1">
      <c r="A966" s="4" t="s">
        <v>49</v>
      </c>
      <c r="B966" s="4">
        <v>987787</v>
      </c>
      <c r="C966" s="4">
        <v>988431</v>
      </c>
      <c r="E966" s="4" t="s">
        <v>55</v>
      </c>
      <c r="F966" s="4" t="s">
        <v>845</v>
      </c>
      <c r="I966" s="4" t="s">
        <v>52</v>
      </c>
      <c r="L966" s="4" t="s">
        <v>2857</v>
      </c>
      <c r="M966" s="4" t="s">
        <v>845</v>
      </c>
      <c r="N966" s="4">
        <v>214</v>
      </c>
      <c r="O966" s="4" t="s">
        <v>2858</v>
      </c>
    </row>
    <row r="967" spans="1:15" ht="15.75" customHeight="1">
      <c r="A967" s="4" t="s">
        <v>49</v>
      </c>
      <c r="B967" s="4">
        <v>988433</v>
      </c>
      <c r="C967" s="4">
        <v>989257</v>
      </c>
      <c r="E967" s="4" t="s">
        <v>55</v>
      </c>
      <c r="F967" s="4" t="s">
        <v>2859</v>
      </c>
      <c r="I967" s="4" t="s">
        <v>52</v>
      </c>
      <c r="L967" s="4" t="s">
        <v>2860</v>
      </c>
      <c r="M967" s="4" t="s">
        <v>2859</v>
      </c>
      <c r="N967" s="4">
        <v>274</v>
      </c>
      <c r="O967" s="4" t="s">
        <v>2861</v>
      </c>
    </row>
    <row r="968" spans="1:15" ht="15.75" customHeight="1">
      <c r="A968" s="4" t="s">
        <v>49</v>
      </c>
      <c r="B968" s="4">
        <v>989373</v>
      </c>
      <c r="C968" s="4">
        <v>990110</v>
      </c>
      <c r="E968" s="4" t="s">
        <v>55</v>
      </c>
      <c r="F968" s="4" t="s">
        <v>848</v>
      </c>
      <c r="I968" s="4" t="s">
        <v>52</v>
      </c>
      <c r="L968" s="4" t="s">
        <v>2862</v>
      </c>
      <c r="M968" s="4" t="s">
        <v>848</v>
      </c>
      <c r="N968" s="4">
        <v>245</v>
      </c>
      <c r="O968" s="4" t="s">
        <v>2863</v>
      </c>
    </row>
    <row r="969" spans="1:15" ht="15.75" customHeight="1">
      <c r="A969" s="4" t="s">
        <v>49</v>
      </c>
      <c r="B969" s="4">
        <v>990575</v>
      </c>
      <c r="C969" s="4">
        <v>991819</v>
      </c>
      <c r="E969" s="4" t="s">
        <v>50</v>
      </c>
      <c r="F969" s="4" t="s">
        <v>803</v>
      </c>
      <c r="I969" s="4" t="s">
        <v>52</v>
      </c>
      <c r="L969" s="4" t="s">
        <v>2012</v>
      </c>
      <c r="M969" s="4" t="s">
        <v>803</v>
      </c>
      <c r="N969" s="4">
        <v>414</v>
      </c>
      <c r="O969" s="4" t="s">
        <v>2864</v>
      </c>
    </row>
    <row r="970" spans="1:15" ht="15.75" customHeight="1">
      <c r="A970" s="4" t="s">
        <v>49</v>
      </c>
      <c r="B970" s="4">
        <v>991997</v>
      </c>
      <c r="C970" s="4">
        <v>992983</v>
      </c>
      <c r="E970" s="4" t="s">
        <v>55</v>
      </c>
      <c r="F970" s="4" t="s">
        <v>2865</v>
      </c>
      <c r="I970" s="4" t="s">
        <v>52</v>
      </c>
      <c r="L970" s="4" t="s">
        <v>2866</v>
      </c>
      <c r="M970" s="4" t="s">
        <v>2865</v>
      </c>
      <c r="N970" s="4">
        <v>328</v>
      </c>
      <c r="O970" s="4" t="s">
        <v>2867</v>
      </c>
    </row>
    <row r="971" spans="1:15" ht="15.75" customHeight="1">
      <c r="A971" s="4" t="s">
        <v>49</v>
      </c>
      <c r="B971" s="4">
        <v>993004</v>
      </c>
      <c r="C971" s="4">
        <v>993444</v>
      </c>
      <c r="E971" s="4" t="s">
        <v>55</v>
      </c>
      <c r="F971" s="4" t="s">
        <v>56</v>
      </c>
      <c r="I971" s="4" t="s">
        <v>52</v>
      </c>
      <c r="L971" s="4" t="s">
        <v>2868</v>
      </c>
      <c r="M971" s="4" t="s">
        <v>56</v>
      </c>
      <c r="N971" s="4">
        <v>146</v>
      </c>
      <c r="O971" s="4" t="s">
        <v>2869</v>
      </c>
    </row>
    <row r="972" spans="1:15" ht="15.75" customHeight="1">
      <c r="A972" s="4" t="s">
        <v>49</v>
      </c>
      <c r="B972" s="4">
        <v>993736</v>
      </c>
      <c r="C972" s="4">
        <v>994182</v>
      </c>
      <c r="E972" s="4" t="s">
        <v>55</v>
      </c>
      <c r="F972" s="4" t="s">
        <v>2870</v>
      </c>
      <c r="I972" s="4" t="s">
        <v>52</v>
      </c>
      <c r="L972" s="4" t="s">
        <v>2871</v>
      </c>
      <c r="M972" s="4" t="s">
        <v>2870</v>
      </c>
      <c r="N972" s="4">
        <v>148</v>
      </c>
      <c r="O972" s="4" t="s">
        <v>2872</v>
      </c>
    </row>
    <row r="973" spans="1:15" ht="15.75" customHeight="1">
      <c r="A973" s="4" t="s">
        <v>49</v>
      </c>
      <c r="B973" s="4">
        <v>994291</v>
      </c>
      <c r="C973" s="4">
        <v>994404</v>
      </c>
      <c r="E973" s="4" t="s">
        <v>50</v>
      </c>
      <c r="F973" s="4" t="s">
        <v>2873</v>
      </c>
      <c r="I973" s="4" t="s">
        <v>52</v>
      </c>
      <c r="L973" s="4" t="s">
        <v>2874</v>
      </c>
      <c r="M973" s="4" t="s">
        <v>2873</v>
      </c>
      <c r="N973" s="4">
        <v>37</v>
      </c>
      <c r="O973" s="4" t="s">
        <v>2875</v>
      </c>
    </row>
    <row r="974" spans="1:15" ht="15.75" customHeight="1">
      <c r="A974" s="4" t="s">
        <v>49</v>
      </c>
      <c r="B974" s="4">
        <v>994474</v>
      </c>
      <c r="C974" s="4">
        <v>995076</v>
      </c>
      <c r="E974" s="4" t="s">
        <v>55</v>
      </c>
      <c r="F974" s="4" t="s">
        <v>1953</v>
      </c>
      <c r="I974" s="4" t="s">
        <v>52</v>
      </c>
      <c r="L974" s="4" t="s">
        <v>2876</v>
      </c>
      <c r="M974" s="4" t="s">
        <v>1953</v>
      </c>
      <c r="N974" s="4">
        <v>200</v>
      </c>
      <c r="O974" s="4" t="s">
        <v>2877</v>
      </c>
    </row>
    <row r="975" spans="1:15" ht="15.75" customHeight="1">
      <c r="A975" s="4" t="s">
        <v>49</v>
      </c>
      <c r="B975" s="4">
        <v>995193</v>
      </c>
      <c r="C975" s="4">
        <v>995600</v>
      </c>
      <c r="E975" s="4" t="s">
        <v>55</v>
      </c>
      <c r="F975" s="4" t="s">
        <v>51</v>
      </c>
      <c r="I975" s="4" t="s">
        <v>52</v>
      </c>
      <c r="L975" s="4" t="s">
        <v>2878</v>
      </c>
      <c r="M975" s="4" t="s">
        <v>51</v>
      </c>
      <c r="N975" s="4">
        <v>135</v>
      </c>
      <c r="O975" s="4" t="s">
        <v>2879</v>
      </c>
    </row>
    <row r="976" spans="1:15" ht="15.75" customHeight="1">
      <c r="A976" s="4" t="s">
        <v>49</v>
      </c>
      <c r="B976" s="4">
        <v>995707</v>
      </c>
      <c r="C976" s="4">
        <v>996909</v>
      </c>
      <c r="E976" s="4" t="s">
        <v>55</v>
      </c>
      <c r="F976" s="4" t="s">
        <v>2880</v>
      </c>
      <c r="I976" s="4" t="s">
        <v>52</v>
      </c>
      <c r="L976" s="4" t="s">
        <v>2881</v>
      </c>
      <c r="M976" s="4" t="s">
        <v>2880</v>
      </c>
      <c r="N976" s="4">
        <v>400</v>
      </c>
      <c r="O976" s="4" t="s">
        <v>2882</v>
      </c>
    </row>
    <row r="977" spans="1:15" ht="15.75" customHeight="1">
      <c r="A977" s="4" t="s">
        <v>49</v>
      </c>
      <c r="B977" s="4">
        <v>997143</v>
      </c>
      <c r="C977" s="4">
        <v>998063</v>
      </c>
      <c r="E977" s="4" t="s">
        <v>55</v>
      </c>
      <c r="F977" s="4" t="s">
        <v>674</v>
      </c>
      <c r="I977" s="4" t="s">
        <v>52</v>
      </c>
      <c r="L977" s="4" t="s">
        <v>675</v>
      </c>
      <c r="M977" s="4" t="s">
        <v>674</v>
      </c>
      <c r="N977" s="4">
        <v>306</v>
      </c>
      <c r="O977" s="4" t="s">
        <v>2883</v>
      </c>
    </row>
    <row r="978" spans="1:15" ht="15.75" customHeight="1">
      <c r="A978" s="4" t="s">
        <v>49</v>
      </c>
      <c r="B978" s="4">
        <v>998272</v>
      </c>
      <c r="C978" s="4">
        <v>999546</v>
      </c>
      <c r="E978" s="4" t="s">
        <v>55</v>
      </c>
      <c r="F978" s="4" t="s">
        <v>2884</v>
      </c>
      <c r="G978" s="4" t="s">
        <v>2885</v>
      </c>
      <c r="I978" s="4" t="s">
        <v>52</v>
      </c>
      <c r="L978" s="4" t="s">
        <v>2886</v>
      </c>
      <c r="M978" s="4" t="s">
        <v>2884</v>
      </c>
      <c r="N978" s="4">
        <v>424</v>
      </c>
      <c r="O978" s="4" t="s">
        <v>2887</v>
      </c>
    </row>
    <row r="979" spans="1:15" ht="15.75" customHeight="1">
      <c r="A979" s="4" t="s">
        <v>49</v>
      </c>
      <c r="B979" s="4">
        <v>1000080</v>
      </c>
      <c r="C979" s="4">
        <v>1001024</v>
      </c>
      <c r="E979" s="4" t="s">
        <v>55</v>
      </c>
      <c r="F979" s="4" t="s">
        <v>2888</v>
      </c>
      <c r="I979" s="4" t="s">
        <v>52</v>
      </c>
      <c r="L979" s="4" t="s">
        <v>2889</v>
      </c>
      <c r="M979" s="4" t="s">
        <v>2888</v>
      </c>
      <c r="N979" s="4">
        <v>314</v>
      </c>
      <c r="O979" s="4" t="s">
        <v>2890</v>
      </c>
    </row>
    <row r="980" spans="1:15" ht="15.75" customHeight="1">
      <c r="A980" s="4" t="s">
        <v>49</v>
      </c>
      <c r="B980" s="4">
        <v>1001199</v>
      </c>
      <c r="C980" s="4">
        <v>1001534</v>
      </c>
      <c r="E980" s="4" t="s">
        <v>55</v>
      </c>
      <c r="F980" s="4" t="s">
        <v>478</v>
      </c>
      <c r="I980" s="4" t="s">
        <v>52</v>
      </c>
      <c r="L980" s="4" t="s">
        <v>2891</v>
      </c>
      <c r="M980" s="4" t="s">
        <v>478</v>
      </c>
      <c r="N980" s="4">
        <v>111</v>
      </c>
      <c r="O980" s="4" t="s">
        <v>2892</v>
      </c>
    </row>
    <row r="981" spans="1:15" ht="15.75" customHeight="1">
      <c r="A981" s="4" t="s">
        <v>49</v>
      </c>
      <c r="B981" s="4">
        <v>1001709</v>
      </c>
      <c r="C981" s="4">
        <v>1002638</v>
      </c>
      <c r="E981" s="4" t="s">
        <v>50</v>
      </c>
      <c r="F981" s="4" t="s">
        <v>2893</v>
      </c>
      <c r="I981" s="4" t="s">
        <v>52</v>
      </c>
      <c r="L981" s="4" t="s">
        <v>2894</v>
      </c>
      <c r="M981" s="4" t="s">
        <v>2893</v>
      </c>
      <c r="N981" s="4">
        <v>309</v>
      </c>
      <c r="O981" s="4" t="s">
        <v>2895</v>
      </c>
    </row>
    <row r="982" spans="1:15" ht="15.75" customHeight="1">
      <c r="A982" s="4" t="s">
        <v>49</v>
      </c>
      <c r="B982" s="4">
        <v>1003087</v>
      </c>
      <c r="C982" s="4">
        <v>1004865</v>
      </c>
      <c r="E982" s="4" t="s">
        <v>55</v>
      </c>
      <c r="F982" s="4" t="s">
        <v>2896</v>
      </c>
      <c r="I982" s="4" t="s">
        <v>52</v>
      </c>
      <c r="L982" s="4" t="s">
        <v>2897</v>
      </c>
      <c r="M982" s="4" t="s">
        <v>2896</v>
      </c>
      <c r="N982" s="4">
        <v>592</v>
      </c>
      <c r="O982" s="4" t="s">
        <v>2898</v>
      </c>
    </row>
    <row r="983" spans="1:15" ht="15.75" customHeight="1">
      <c r="A983" s="4" t="s">
        <v>49</v>
      </c>
      <c r="B983" s="4">
        <v>1005115</v>
      </c>
      <c r="C983" s="4">
        <v>1007523</v>
      </c>
      <c r="E983" s="4" t="s">
        <v>55</v>
      </c>
      <c r="F983" s="4" t="s">
        <v>2899</v>
      </c>
      <c r="I983" s="4" t="s">
        <v>52</v>
      </c>
      <c r="L983" s="4" t="s">
        <v>2900</v>
      </c>
      <c r="M983" s="4" t="s">
        <v>2899</v>
      </c>
      <c r="N983" s="4">
        <v>802</v>
      </c>
      <c r="O983" s="4" t="s">
        <v>2901</v>
      </c>
    </row>
    <row r="984" spans="1:15" ht="15.75" customHeight="1">
      <c r="A984" s="4" t="s">
        <v>49</v>
      </c>
      <c r="B984" s="4">
        <v>1007739</v>
      </c>
      <c r="C984" s="4">
        <v>1009184</v>
      </c>
      <c r="E984" s="4" t="s">
        <v>55</v>
      </c>
      <c r="F984" s="4" t="s">
        <v>2902</v>
      </c>
      <c r="G984" s="4" t="s">
        <v>2903</v>
      </c>
      <c r="I984" s="4" t="s">
        <v>52</v>
      </c>
      <c r="L984" s="4" t="s">
        <v>2904</v>
      </c>
      <c r="M984" s="4" t="s">
        <v>2902</v>
      </c>
      <c r="N984" s="4">
        <v>481</v>
      </c>
      <c r="O984" s="4" t="s">
        <v>2905</v>
      </c>
    </row>
    <row r="985" spans="1:15" ht="15.75" customHeight="1">
      <c r="A985" s="4" t="s">
        <v>49</v>
      </c>
      <c r="B985" s="4">
        <v>1009177</v>
      </c>
      <c r="C985" s="4">
        <v>1010346</v>
      </c>
      <c r="E985" s="4" t="s">
        <v>55</v>
      </c>
      <c r="F985" s="4" t="s">
        <v>2906</v>
      </c>
      <c r="G985" s="4" t="s">
        <v>2907</v>
      </c>
      <c r="I985" s="4" t="s">
        <v>52</v>
      </c>
      <c r="L985" s="4" t="s">
        <v>2908</v>
      </c>
      <c r="M985" s="4" t="s">
        <v>2906</v>
      </c>
      <c r="N985" s="4">
        <v>389</v>
      </c>
      <c r="O985" s="4" t="s">
        <v>2909</v>
      </c>
    </row>
    <row r="986" spans="1:15" ht="15.75" customHeight="1">
      <c r="A986" s="4" t="s">
        <v>49</v>
      </c>
      <c r="B986" s="4">
        <v>1010343</v>
      </c>
      <c r="C986" s="4">
        <v>1011485</v>
      </c>
      <c r="E986" s="4" t="s">
        <v>55</v>
      </c>
      <c r="F986" s="4" t="s">
        <v>2910</v>
      </c>
      <c r="I986" s="4" t="s">
        <v>52</v>
      </c>
      <c r="L986" s="4" t="s">
        <v>2911</v>
      </c>
      <c r="M986" s="4" t="s">
        <v>2910</v>
      </c>
      <c r="N986" s="4">
        <v>380</v>
      </c>
      <c r="O986" s="4" t="s">
        <v>2912</v>
      </c>
    </row>
    <row r="987" spans="1:15" ht="15.75" customHeight="1">
      <c r="A987" s="4" t="s">
        <v>49</v>
      </c>
      <c r="B987" s="4">
        <v>1011482</v>
      </c>
      <c r="C987" s="4">
        <v>1013581</v>
      </c>
      <c r="E987" s="4" t="s">
        <v>55</v>
      </c>
      <c r="F987" s="4" t="s">
        <v>2913</v>
      </c>
      <c r="G987" s="4" t="s">
        <v>2914</v>
      </c>
      <c r="I987" s="4" t="s">
        <v>52</v>
      </c>
      <c r="L987" s="4" t="s">
        <v>2915</v>
      </c>
      <c r="M987" s="4" t="s">
        <v>2913</v>
      </c>
      <c r="N987" s="4">
        <v>699</v>
      </c>
      <c r="O987" s="4" t="s">
        <v>2916</v>
      </c>
    </row>
    <row r="988" spans="1:15" ht="15.75" customHeight="1">
      <c r="A988" s="4" t="s">
        <v>49</v>
      </c>
      <c r="B988" s="4">
        <v>1013958</v>
      </c>
      <c r="C988" s="4">
        <v>1014989</v>
      </c>
      <c r="E988" s="4" t="s">
        <v>50</v>
      </c>
      <c r="F988" s="4" t="s">
        <v>2917</v>
      </c>
      <c r="I988" s="4" t="s">
        <v>52</v>
      </c>
      <c r="L988" s="4" t="s">
        <v>2918</v>
      </c>
      <c r="M988" s="4" t="s">
        <v>2917</v>
      </c>
      <c r="N988" s="4">
        <v>343</v>
      </c>
      <c r="O988" s="4" t="s">
        <v>2919</v>
      </c>
    </row>
    <row r="989" spans="1:15" ht="15.75" customHeight="1">
      <c r="A989" s="4" t="s">
        <v>49</v>
      </c>
      <c r="B989" s="4">
        <v>1015256</v>
      </c>
      <c r="C989" s="4">
        <v>1016158</v>
      </c>
      <c r="E989" s="4" t="s">
        <v>55</v>
      </c>
      <c r="F989" s="4" t="s">
        <v>2920</v>
      </c>
      <c r="I989" s="4" t="s">
        <v>52</v>
      </c>
      <c r="L989" s="4" t="s">
        <v>2921</v>
      </c>
      <c r="M989" s="4" t="s">
        <v>2920</v>
      </c>
      <c r="N989" s="4">
        <v>300</v>
      </c>
      <c r="O989" s="4" t="s">
        <v>2922</v>
      </c>
    </row>
    <row r="990" spans="1:15" ht="15.75" customHeight="1">
      <c r="A990" s="4" t="s">
        <v>49</v>
      </c>
      <c r="B990" s="4">
        <v>1016516</v>
      </c>
      <c r="C990" s="4">
        <v>1017346</v>
      </c>
      <c r="E990" s="4" t="s">
        <v>55</v>
      </c>
      <c r="F990" s="4" t="s">
        <v>1199</v>
      </c>
      <c r="I990" s="4" t="s">
        <v>52</v>
      </c>
      <c r="L990" s="4" t="s">
        <v>2923</v>
      </c>
      <c r="M990" s="4" t="s">
        <v>1199</v>
      </c>
      <c r="N990" s="4">
        <v>276</v>
      </c>
      <c r="O990" s="4" t="s">
        <v>2924</v>
      </c>
    </row>
    <row r="991" spans="1:15" ht="15.75" customHeight="1">
      <c r="A991" s="4" t="s">
        <v>49</v>
      </c>
      <c r="B991" s="4">
        <v>1017421</v>
      </c>
      <c r="C991" s="4">
        <v>1017681</v>
      </c>
      <c r="E991" s="4" t="s">
        <v>50</v>
      </c>
      <c r="F991" s="4" t="s">
        <v>56</v>
      </c>
      <c r="I991" s="4" t="s">
        <v>52</v>
      </c>
      <c r="L991" s="4" t="s">
        <v>2925</v>
      </c>
      <c r="M991" s="4" t="s">
        <v>56</v>
      </c>
      <c r="N991" s="4">
        <v>86</v>
      </c>
      <c r="O991" s="4" t="s">
        <v>2926</v>
      </c>
    </row>
    <row r="992" spans="1:15" ht="15.75" customHeight="1">
      <c r="A992" s="4" t="s">
        <v>49</v>
      </c>
      <c r="B992" s="4">
        <v>1017813</v>
      </c>
      <c r="C992" s="4">
        <v>1019744</v>
      </c>
      <c r="E992" s="4" t="s">
        <v>55</v>
      </c>
      <c r="F992" s="4" t="s">
        <v>2927</v>
      </c>
      <c r="I992" s="4" t="s">
        <v>52</v>
      </c>
      <c r="L992" s="4" t="s">
        <v>2928</v>
      </c>
      <c r="M992" s="4" t="s">
        <v>2927</v>
      </c>
      <c r="N992" s="4">
        <v>643</v>
      </c>
      <c r="O992" s="4" t="s">
        <v>2929</v>
      </c>
    </row>
    <row r="993" spans="1:15" ht="15.75" customHeight="1">
      <c r="A993" s="4" t="s">
        <v>49</v>
      </c>
      <c r="B993" s="4">
        <v>1020178</v>
      </c>
      <c r="C993" s="4">
        <v>1020579</v>
      </c>
      <c r="E993" s="4" t="s">
        <v>55</v>
      </c>
      <c r="F993" s="4" t="s">
        <v>2930</v>
      </c>
      <c r="I993" s="4" t="s">
        <v>52</v>
      </c>
      <c r="L993" s="4" t="s">
        <v>2931</v>
      </c>
      <c r="M993" s="4" t="s">
        <v>2930</v>
      </c>
      <c r="N993" s="4">
        <v>133</v>
      </c>
      <c r="O993" s="4" t="s">
        <v>2932</v>
      </c>
    </row>
    <row r="994" spans="1:15" ht="15.75" customHeight="1">
      <c r="A994" s="4" t="s">
        <v>49</v>
      </c>
      <c r="B994" s="4">
        <v>1021212</v>
      </c>
      <c r="C994" s="4">
        <v>1023362</v>
      </c>
      <c r="E994" s="4" t="s">
        <v>55</v>
      </c>
      <c r="F994" s="4" t="s">
        <v>2933</v>
      </c>
      <c r="I994" s="4" t="s">
        <v>52</v>
      </c>
      <c r="L994" s="4" t="s">
        <v>2934</v>
      </c>
      <c r="M994" s="4" t="s">
        <v>2933</v>
      </c>
      <c r="N994" s="4">
        <v>716</v>
      </c>
      <c r="O994" s="4" t="s">
        <v>2935</v>
      </c>
    </row>
    <row r="995" spans="1:15" ht="15.75" customHeight="1">
      <c r="A995" s="4" t="s">
        <v>49</v>
      </c>
      <c r="B995" s="4">
        <v>1023745</v>
      </c>
      <c r="C995" s="4">
        <v>1024509</v>
      </c>
      <c r="E995" s="4" t="s">
        <v>55</v>
      </c>
      <c r="F995" s="4" t="s">
        <v>2936</v>
      </c>
      <c r="I995" s="4" t="s">
        <v>52</v>
      </c>
      <c r="L995" s="4" t="s">
        <v>2937</v>
      </c>
      <c r="M995" s="4" t="s">
        <v>2936</v>
      </c>
      <c r="N995" s="4">
        <v>254</v>
      </c>
      <c r="O995" s="4" t="s">
        <v>2938</v>
      </c>
    </row>
    <row r="996" spans="1:15" ht="15.75" customHeight="1">
      <c r="A996" s="4" t="s">
        <v>49</v>
      </c>
      <c r="B996" s="4">
        <v>1024687</v>
      </c>
      <c r="C996" s="4">
        <v>1025580</v>
      </c>
      <c r="E996" s="4" t="s">
        <v>50</v>
      </c>
      <c r="F996" s="4" t="s">
        <v>2939</v>
      </c>
      <c r="I996" s="4" t="s">
        <v>52</v>
      </c>
      <c r="L996" s="4" t="s">
        <v>2940</v>
      </c>
      <c r="M996" s="4" t="s">
        <v>2939</v>
      </c>
      <c r="N996" s="4">
        <v>297</v>
      </c>
      <c r="O996" s="4" t="s">
        <v>2941</v>
      </c>
    </row>
    <row r="997" spans="1:15" ht="15.75" customHeight="1">
      <c r="A997" s="4" t="s">
        <v>49</v>
      </c>
      <c r="B997" s="4">
        <v>1025945</v>
      </c>
      <c r="C997" s="4">
        <v>1026697</v>
      </c>
      <c r="E997" s="4" t="s">
        <v>55</v>
      </c>
      <c r="F997" s="4" t="s">
        <v>2942</v>
      </c>
      <c r="I997" s="4" t="s">
        <v>52</v>
      </c>
      <c r="L997" s="4" t="s">
        <v>2943</v>
      </c>
      <c r="M997" s="4" t="s">
        <v>2942</v>
      </c>
      <c r="N997" s="4">
        <v>250</v>
      </c>
      <c r="O997" s="4" t="s">
        <v>2944</v>
      </c>
    </row>
    <row r="998" spans="1:15" ht="15.75" customHeight="1">
      <c r="A998" s="4" t="s">
        <v>49</v>
      </c>
      <c r="B998" s="4">
        <v>1026722</v>
      </c>
      <c r="C998" s="4">
        <v>1027519</v>
      </c>
      <c r="E998" s="4" t="s">
        <v>55</v>
      </c>
      <c r="F998" s="4" t="s">
        <v>1101</v>
      </c>
      <c r="I998" s="4" t="s">
        <v>52</v>
      </c>
      <c r="L998" s="4" t="s">
        <v>2945</v>
      </c>
      <c r="M998" s="4" t="s">
        <v>1101</v>
      </c>
      <c r="N998" s="4">
        <v>265</v>
      </c>
      <c r="O998" s="4" t="s">
        <v>2946</v>
      </c>
    </row>
    <row r="999" spans="1:15" ht="15.75" customHeight="1">
      <c r="A999" s="4" t="s">
        <v>49</v>
      </c>
      <c r="B999" s="4">
        <v>1027936</v>
      </c>
      <c r="C999" s="4">
        <v>1029060</v>
      </c>
      <c r="E999" s="4" t="s">
        <v>55</v>
      </c>
      <c r="F999" s="4" t="s">
        <v>2947</v>
      </c>
      <c r="G999" s="4" t="s">
        <v>2948</v>
      </c>
      <c r="I999" s="4" t="s">
        <v>52</v>
      </c>
      <c r="L999" s="4" t="s">
        <v>2949</v>
      </c>
      <c r="M999" s="4" t="s">
        <v>2947</v>
      </c>
      <c r="N999" s="4">
        <v>374</v>
      </c>
      <c r="O999" s="4" t="s">
        <v>2950</v>
      </c>
    </row>
    <row r="1000" spans="1:15" ht="15.75" customHeight="1">
      <c r="A1000" s="4" t="s">
        <v>49</v>
      </c>
      <c r="B1000" s="4">
        <v>1030634</v>
      </c>
      <c r="C1000" s="4">
        <v>1031302</v>
      </c>
      <c r="E1000" s="4" t="s">
        <v>55</v>
      </c>
      <c r="F1000" s="4" t="s">
        <v>2823</v>
      </c>
      <c r="I1000" s="4" t="s">
        <v>52</v>
      </c>
      <c r="L1000" s="4" t="s">
        <v>2951</v>
      </c>
      <c r="M1000" s="4" t="s">
        <v>2823</v>
      </c>
      <c r="N1000" s="4">
        <v>222</v>
      </c>
      <c r="O1000" s="4" t="s">
        <v>2952</v>
      </c>
    </row>
    <row r="1001" spans="1:15" ht="15.75" customHeight="1">
      <c r="A1001" s="4" t="s">
        <v>49</v>
      </c>
      <c r="B1001" s="4">
        <v>1031615</v>
      </c>
      <c r="C1001" s="4">
        <v>1032409</v>
      </c>
      <c r="E1001" s="4" t="s">
        <v>55</v>
      </c>
      <c r="F1001" s="4" t="s">
        <v>2953</v>
      </c>
      <c r="I1001" s="4" t="s">
        <v>52</v>
      </c>
      <c r="L1001" s="4" t="s">
        <v>2954</v>
      </c>
      <c r="M1001" s="4" t="s">
        <v>2953</v>
      </c>
      <c r="N1001" s="4">
        <v>264</v>
      </c>
      <c r="O1001" s="4" t="s">
        <v>2955</v>
      </c>
    </row>
    <row r="1002" spans="1:15" ht="15.75" customHeight="1">
      <c r="A1002" s="4" t="s">
        <v>49</v>
      </c>
      <c r="B1002" s="4">
        <v>1032463</v>
      </c>
      <c r="C1002" s="4">
        <v>1033962</v>
      </c>
      <c r="E1002" s="4" t="s">
        <v>55</v>
      </c>
      <c r="F1002" s="4" t="s">
        <v>2807</v>
      </c>
      <c r="I1002" s="4" t="s">
        <v>52</v>
      </c>
      <c r="L1002" s="4" t="s">
        <v>2956</v>
      </c>
      <c r="M1002" s="4" t="s">
        <v>2807</v>
      </c>
      <c r="N1002" s="4">
        <v>499</v>
      </c>
      <c r="O1002" s="4" t="s">
        <v>2957</v>
      </c>
    </row>
    <row r="1003" spans="1:15" ht="15.75" customHeight="1">
      <c r="A1003" s="4" t="s">
        <v>49</v>
      </c>
      <c r="B1003" s="4">
        <v>1033968</v>
      </c>
      <c r="C1003" s="4">
        <v>1035008</v>
      </c>
      <c r="E1003" s="4" t="s">
        <v>55</v>
      </c>
      <c r="F1003" s="4" t="s">
        <v>2958</v>
      </c>
      <c r="I1003" s="4" t="s">
        <v>52</v>
      </c>
      <c r="L1003" s="4" t="s">
        <v>2959</v>
      </c>
      <c r="M1003" s="4" t="s">
        <v>2958</v>
      </c>
      <c r="N1003" s="4">
        <v>346</v>
      </c>
      <c r="O1003" s="4" t="s">
        <v>2960</v>
      </c>
    </row>
    <row r="1004" spans="1:15" ht="15.75" customHeight="1">
      <c r="A1004" s="4" t="s">
        <v>49</v>
      </c>
      <c r="B1004" s="4">
        <v>1035058</v>
      </c>
      <c r="C1004" s="4">
        <v>1036053</v>
      </c>
      <c r="E1004" s="4" t="s">
        <v>55</v>
      </c>
      <c r="F1004" s="4" t="s">
        <v>421</v>
      </c>
      <c r="I1004" s="4" t="s">
        <v>52</v>
      </c>
      <c r="L1004" s="4" t="s">
        <v>2961</v>
      </c>
      <c r="M1004" s="4" t="s">
        <v>421</v>
      </c>
      <c r="N1004" s="4">
        <v>331</v>
      </c>
      <c r="O1004" s="4" t="s">
        <v>2962</v>
      </c>
    </row>
    <row r="1005" spans="1:15" ht="15.75" customHeight="1">
      <c r="A1005" s="4" t="s">
        <v>49</v>
      </c>
      <c r="B1005" s="4">
        <v>1036108</v>
      </c>
      <c r="C1005" s="4">
        <v>1037181</v>
      </c>
      <c r="E1005" s="4" t="s">
        <v>55</v>
      </c>
      <c r="F1005" s="4" t="s">
        <v>421</v>
      </c>
      <c r="I1005" s="4" t="s">
        <v>52</v>
      </c>
      <c r="L1005" s="4" t="s">
        <v>2963</v>
      </c>
      <c r="M1005" s="4" t="s">
        <v>421</v>
      </c>
      <c r="N1005" s="4">
        <v>357</v>
      </c>
      <c r="O1005" s="4" t="s">
        <v>2964</v>
      </c>
    </row>
    <row r="1006" spans="1:15" ht="15.75" customHeight="1">
      <c r="A1006" s="4" t="s">
        <v>49</v>
      </c>
      <c r="B1006" s="4">
        <v>1037181</v>
      </c>
      <c r="C1006" s="4">
        <v>1038173</v>
      </c>
      <c r="E1006" s="4" t="s">
        <v>55</v>
      </c>
      <c r="F1006" s="4" t="s">
        <v>328</v>
      </c>
      <c r="I1006" s="4" t="s">
        <v>52</v>
      </c>
      <c r="L1006" s="4" t="s">
        <v>2965</v>
      </c>
      <c r="M1006" s="4" t="s">
        <v>328</v>
      </c>
      <c r="N1006" s="4">
        <v>330</v>
      </c>
      <c r="O1006" s="4" t="s">
        <v>2966</v>
      </c>
    </row>
    <row r="1007" spans="1:15" ht="15.75" customHeight="1">
      <c r="A1007" s="4" t="s">
        <v>49</v>
      </c>
      <c r="B1007" s="4">
        <v>1038173</v>
      </c>
      <c r="C1007" s="4">
        <v>1039393</v>
      </c>
      <c r="E1007" s="4" t="s">
        <v>55</v>
      </c>
      <c r="F1007" s="4" t="s">
        <v>2967</v>
      </c>
      <c r="I1007" s="4" t="s">
        <v>52</v>
      </c>
      <c r="L1007" s="4" t="s">
        <v>2968</v>
      </c>
      <c r="M1007" s="4" t="s">
        <v>2967</v>
      </c>
      <c r="N1007" s="4">
        <v>406</v>
      </c>
      <c r="O1007" s="4" t="s">
        <v>2969</v>
      </c>
    </row>
    <row r="1008" spans="1:15" ht="15.75" customHeight="1">
      <c r="A1008" s="4" t="s">
        <v>49</v>
      </c>
      <c r="B1008" s="4">
        <v>1039431</v>
      </c>
      <c r="C1008" s="4">
        <v>1040465</v>
      </c>
      <c r="E1008" s="4" t="s">
        <v>55</v>
      </c>
      <c r="F1008" s="4" t="s">
        <v>328</v>
      </c>
      <c r="I1008" s="4" t="s">
        <v>52</v>
      </c>
      <c r="L1008" s="4" t="s">
        <v>2970</v>
      </c>
      <c r="M1008" s="4" t="s">
        <v>328</v>
      </c>
      <c r="N1008" s="4">
        <v>344</v>
      </c>
      <c r="O1008" s="4" t="s">
        <v>2971</v>
      </c>
    </row>
    <row r="1009" spans="1:15" ht="15.75" customHeight="1">
      <c r="A1009" s="4" t="s">
        <v>49</v>
      </c>
      <c r="B1009" s="4">
        <v>1040572</v>
      </c>
      <c r="C1009" s="4">
        <v>1041321</v>
      </c>
      <c r="E1009" s="4" t="s">
        <v>55</v>
      </c>
      <c r="F1009" s="4" t="s">
        <v>2972</v>
      </c>
      <c r="I1009" s="4" t="s">
        <v>52</v>
      </c>
      <c r="L1009" s="4" t="s">
        <v>2973</v>
      </c>
      <c r="M1009" s="4" t="s">
        <v>2972</v>
      </c>
      <c r="N1009" s="4">
        <v>249</v>
      </c>
      <c r="O1009" s="4" t="s">
        <v>2974</v>
      </c>
    </row>
    <row r="1010" spans="1:15" ht="15.75" customHeight="1">
      <c r="A1010" s="4" t="s">
        <v>49</v>
      </c>
      <c r="B1010" s="4">
        <v>1041337</v>
      </c>
      <c r="C1010" s="4">
        <v>1042251</v>
      </c>
      <c r="E1010" s="4" t="s">
        <v>55</v>
      </c>
      <c r="F1010" s="4" t="s">
        <v>2975</v>
      </c>
      <c r="I1010" s="4" t="s">
        <v>52</v>
      </c>
      <c r="L1010" s="4" t="s">
        <v>2976</v>
      </c>
      <c r="M1010" s="4" t="s">
        <v>2975</v>
      </c>
      <c r="N1010" s="4">
        <v>304</v>
      </c>
      <c r="O1010" s="4" t="s">
        <v>2977</v>
      </c>
    </row>
    <row r="1011" spans="1:15" ht="15.75" customHeight="1">
      <c r="A1011" s="4" t="s">
        <v>49</v>
      </c>
      <c r="B1011" s="4">
        <v>1042613</v>
      </c>
      <c r="C1011" s="4">
        <v>1043332</v>
      </c>
      <c r="E1011" s="4" t="s">
        <v>50</v>
      </c>
      <c r="F1011" s="4" t="s">
        <v>2529</v>
      </c>
      <c r="I1011" s="4" t="s">
        <v>52</v>
      </c>
      <c r="L1011" s="4" t="s">
        <v>2978</v>
      </c>
      <c r="M1011" s="4" t="s">
        <v>2529</v>
      </c>
      <c r="N1011" s="4">
        <v>239</v>
      </c>
      <c r="O1011" s="4" t="s">
        <v>2979</v>
      </c>
    </row>
    <row r="1012" spans="1:15" ht="15.75" customHeight="1">
      <c r="A1012" s="4" t="s">
        <v>49</v>
      </c>
      <c r="B1012" s="4">
        <v>1043490</v>
      </c>
      <c r="C1012" s="4">
        <v>1044734</v>
      </c>
      <c r="E1012" s="4" t="s">
        <v>55</v>
      </c>
      <c r="F1012" s="4" t="s">
        <v>803</v>
      </c>
      <c r="I1012" s="4" t="s">
        <v>52</v>
      </c>
      <c r="L1012" s="4" t="s">
        <v>2980</v>
      </c>
      <c r="M1012" s="4" t="s">
        <v>803</v>
      </c>
      <c r="N1012" s="4">
        <v>414</v>
      </c>
      <c r="O1012" s="4" t="s">
        <v>2981</v>
      </c>
    </row>
    <row r="1013" spans="1:15" ht="15.75" customHeight="1">
      <c r="A1013" s="4" t="s">
        <v>49</v>
      </c>
      <c r="B1013" s="4">
        <v>1045086</v>
      </c>
      <c r="C1013" s="4">
        <v>1045586</v>
      </c>
      <c r="E1013" s="4" t="s">
        <v>55</v>
      </c>
      <c r="F1013" s="4" t="s">
        <v>2982</v>
      </c>
      <c r="I1013" s="4" t="s">
        <v>52</v>
      </c>
      <c r="L1013" s="4" t="s">
        <v>2983</v>
      </c>
      <c r="M1013" s="4" t="s">
        <v>2982</v>
      </c>
      <c r="N1013" s="4">
        <v>166</v>
      </c>
      <c r="O1013" s="4" t="s">
        <v>2984</v>
      </c>
    </row>
    <row r="1014" spans="1:15" ht="15.75" customHeight="1">
      <c r="A1014" s="4" t="s">
        <v>49</v>
      </c>
      <c r="B1014" s="4">
        <v>1045698</v>
      </c>
      <c r="C1014" s="4">
        <v>1046411</v>
      </c>
      <c r="E1014" s="4" t="s">
        <v>55</v>
      </c>
      <c r="F1014" s="4" t="s">
        <v>2985</v>
      </c>
      <c r="I1014" s="4" t="s">
        <v>52</v>
      </c>
      <c r="L1014" s="4" t="s">
        <v>2986</v>
      </c>
      <c r="M1014" s="4" t="s">
        <v>2985</v>
      </c>
      <c r="N1014" s="4">
        <v>237</v>
      </c>
      <c r="O1014" s="4" t="s">
        <v>2987</v>
      </c>
    </row>
    <row r="1015" spans="1:15" ht="15.75" customHeight="1">
      <c r="A1015" s="4" t="s">
        <v>49</v>
      </c>
      <c r="B1015" s="4">
        <v>1046408</v>
      </c>
      <c r="C1015" s="4">
        <v>1046632</v>
      </c>
      <c r="E1015" s="4" t="s">
        <v>55</v>
      </c>
      <c r="F1015" s="4" t="s">
        <v>2988</v>
      </c>
      <c r="I1015" s="4" t="s">
        <v>52</v>
      </c>
      <c r="L1015" s="4" t="s">
        <v>2989</v>
      </c>
      <c r="M1015" s="4" t="s">
        <v>2988</v>
      </c>
      <c r="N1015" s="4">
        <v>74</v>
      </c>
      <c r="O1015" s="4" t="s">
        <v>2990</v>
      </c>
    </row>
    <row r="1016" spans="1:15" ht="15.75" customHeight="1">
      <c r="A1016" s="4" t="s">
        <v>49</v>
      </c>
      <c r="B1016" s="4">
        <v>1046917</v>
      </c>
      <c r="C1016" s="4">
        <v>1047228</v>
      </c>
      <c r="E1016" s="4" t="s">
        <v>55</v>
      </c>
      <c r="F1016" s="4" t="s">
        <v>92</v>
      </c>
      <c r="I1016" s="4" t="s">
        <v>52</v>
      </c>
      <c r="L1016" s="4" t="s">
        <v>2991</v>
      </c>
      <c r="M1016" s="4" t="s">
        <v>92</v>
      </c>
      <c r="N1016" s="4">
        <v>103</v>
      </c>
      <c r="O1016" s="4" t="s">
        <v>2992</v>
      </c>
    </row>
    <row r="1017" spans="1:15" ht="15.75" customHeight="1">
      <c r="A1017" s="4" t="s">
        <v>49</v>
      </c>
      <c r="B1017" s="4">
        <v>1047488</v>
      </c>
      <c r="C1017" s="4">
        <v>1048126</v>
      </c>
      <c r="E1017" s="4" t="s">
        <v>55</v>
      </c>
      <c r="F1017" s="4" t="s">
        <v>656</v>
      </c>
      <c r="I1017" s="4" t="s">
        <v>52</v>
      </c>
      <c r="L1017" s="4" t="s">
        <v>2993</v>
      </c>
      <c r="M1017" s="4" t="s">
        <v>656</v>
      </c>
      <c r="N1017" s="4">
        <v>212</v>
      </c>
      <c r="O1017" s="4" t="s">
        <v>2994</v>
      </c>
    </row>
    <row r="1018" spans="1:15" ht="15.75" customHeight="1">
      <c r="A1018" s="4" t="s">
        <v>49</v>
      </c>
      <c r="B1018" s="4">
        <v>1048435</v>
      </c>
      <c r="C1018" s="4">
        <v>1049412</v>
      </c>
      <c r="E1018" s="4" t="s">
        <v>55</v>
      </c>
      <c r="F1018" s="4" t="s">
        <v>73</v>
      </c>
      <c r="I1018" s="4" t="s">
        <v>52</v>
      </c>
      <c r="L1018" s="4" t="s">
        <v>2995</v>
      </c>
      <c r="M1018" s="4" t="s">
        <v>73</v>
      </c>
      <c r="N1018" s="4">
        <v>325</v>
      </c>
      <c r="O1018" s="4" t="s">
        <v>2996</v>
      </c>
    </row>
    <row r="1019" spans="1:15" ht="15.75" customHeight="1">
      <c r="A1019" s="4" t="s">
        <v>49</v>
      </c>
      <c r="B1019" s="4">
        <v>1049414</v>
      </c>
      <c r="C1019" s="4">
        <v>1050466</v>
      </c>
      <c r="E1019" s="4" t="s">
        <v>55</v>
      </c>
      <c r="F1019" s="4" t="s">
        <v>73</v>
      </c>
      <c r="I1019" s="4" t="s">
        <v>52</v>
      </c>
      <c r="L1019" s="4" t="s">
        <v>2997</v>
      </c>
      <c r="M1019" s="4" t="s">
        <v>73</v>
      </c>
      <c r="N1019" s="4">
        <v>350</v>
      </c>
      <c r="O1019" s="4" t="s">
        <v>2998</v>
      </c>
    </row>
    <row r="1020" spans="1:15" ht="15.75" customHeight="1">
      <c r="A1020" s="4" t="s">
        <v>49</v>
      </c>
      <c r="B1020" s="4">
        <v>1050478</v>
      </c>
      <c r="C1020" s="4">
        <v>1051476</v>
      </c>
      <c r="E1020" s="4" t="s">
        <v>55</v>
      </c>
      <c r="F1020" s="4" t="s">
        <v>76</v>
      </c>
      <c r="I1020" s="4" t="s">
        <v>52</v>
      </c>
      <c r="L1020" s="4" t="s">
        <v>2999</v>
      </c>
      <c r="M1020" s="4" t="s">
        <v>76</v>
      </c>
      <c r="N1020" s="4">
        <v>332</v>
      </c>
      <c r="O1020" s="4" t="s">
        <v>3000</v>
      </c>
    </row>
    <row r="1021" spans="1:15" ht="15.75" customHeight="1">
      <c r="A1021" s="4" t="s">
        <v>49</v>
      </c>
      <c r="B1021" s="4">
        <v>1051476</v>
      </c>
      <c r="C1021" s="4">
        <v>1052399</v>
      </c>
      <c r="E1021" s="4" t="s">
        <v>55</v>
      </c>
      <c r="F1021" s="4" t="s">
        <v>1885</v>
      </c>
      <c r="G1021" s="4" t="s">
        <v>3001</v>
      </c>
      <c r="I1021" s="4" t="s">
        <v>52</v>
      </c>
      <c r="L1021" s="4" t="s">
        <v>3002</v>
      </c>
      <c r="M1021" s="4" t="s">
        <v>1885</v>
      </c>
      <c r="N1021" s="4">
        <v>307</v>
      </c>
      <c r="O1021" s="4" t="s">
        <v>3003</v>
      </c>
    </row>
    <row r="1022" spans="1:15" ht="15.75" customHeight="1">
      <c r="A1022" s="4" t="s">
        <v>49</v>
      </c>
      <c r="B1022" s="4">
        <v>1052574</v>
      </c>
      <c r="C1022" s="4">
        <v>1054196</v>
      </c>
      <c r="E1022" s="4" t="s">
        <v>55</v>
      </c>
      <c r="F1022" s="4" t="s">
        <v>678</v>
      </c>
      <c r="I1022" s="4" t="s">
        <v>52</v>
      </c>
      <c r="L1022" s="4" t="s">
        <v>3004</v>
      </c>
      <c r="M1022" s="4" t="s">
        <v>678</v>
      </c>
      <c r="N1022" s="4">
        <v>540</v>
      </c>
      <c r="O1022" s="4" t="s">
        <v>3005</v>
      </c>
    </row>
    <row r="1023" spans="1:15" ht="15.75" customHeight="1">
      <c r="A1023" s="4" t="s">
        <v>49</v>
      </c>
      <c r="B1023" s="4">
        <v>1054628</v>
      </c>
      <c r="C1023" s="4">
        <v>1055965</v>
      </c>
      <c r="E1023" s="4" t="s">
        <v>55</v>
      </c>
      <c r="F1023" s="4" t="s">
        <v>345</v>
      </c>
      <c r="I1023" s="4" t="s">
        <v>346</v>
      </c>
      <c r="O1023" s="4" t="s">
        <v>3006</v>
      </c>
    </row>
    <row r="1024" spans="1:15" ht="15.75" customHeight="1">
      <c r="A1024" s="4" t="s">
        <v>49</v>
      </c>
      <c r="B1024" s="4">
        <v>1056088</v>
      </c>
      <c r="C1024" s="4">
        <v>1056843</v>
      </c>
      <c r="E1024" s="4" t="s">
        <v>55</v>
      </c>
      <c r="F1024" s="4" t="s">
        <v>348</v>
      </c>
      <c r="I1024" s="4" t="s">
        <v>52</v>
      </c>
      <c r="L1024" s="4" t="s">
        <v>3007</v>
      </c>
      <c r="M1024" s="4" t="s">
        <v>348</v>
      </c>
      <c r="N1024" s="4">
        <v>251</v>
      </c>
      <c r="O1024" s="4" t="s">
        <v>3008</v>
      </c>
    </row>
    <row r="1025" spans="1:15" ht="15.75" customHeight="1">
      <c r="A1025" s="4" t="s">
        <v>49</v>
      </c>
      <c r="B1025" s="4">
        <v>1056971</v>
      </c>
      <c r="C1025" s="4">
        <v>1057222</v>
      </c>
      <c r="E1025" s="4" t="s">
        <v>55</v>
      </c>
      <c r="F1025" s="4" t="s">
        <v>348</v>
      </c>
      <c r="I1025" s="4" t="s">
        <v>52</v>
      </c>
      <c r="L1025" s="4" t="s">
        <v>3009</v>
      </c>
      <c r="M1025" s="4" t="s">
        <v>348</v>
      </c>
      <c r="N1025" s="4">
        <v>83</v>
      </c>
      <c r="O1025" s="4" t="s">
        <v>3010</v>
      </c>
    </row>
    <row r="1026" spans="1:15" ht="15.75" customHeight="1">
      <c r="A1026" s="4" t="s">
        <v>49</v>
      </c>
      <c r="B1026" s="4">
        <v>1057279</v>
      </c>
      <c r="C1026" s="4">
        <v>1058189</v>
      </c>
      <c r="E1026" s="4" t="s">
        <v>55</v>
      </c>
      <c r="F1026" s="4" t="s">
        <v>345</v>
      </c>
      <c r="I1026" s="4" t="s">
        <v>346</v>
      </c>
      <c r="O1026" s="4" t="s">
        <v>3011</v>
      </c>
    </row>
    <row r="1027" spans="1:15" ht="15.75" customHeight="1">
      <c r="A1027" s="4" t="s">
        <v>49</v>
      </c>
      <c r="B1027" s="4">
        <v>1058340</v>
      </c>
      <c r="C1027" s="4">
        <v>1058495</v>
      </c>
      <c r="E1027" s="4" t="s">
        <v>50</v>
      </c>
      <c r="F1027" s="4" t="s">
        <v>345</v>
      </c>
      <c r="I1027" s="4" t="s">
        <v>346</v>
      </c>
      <c r="O1027" s="4" t="s">
        <v>3012</v>
      </c>
    </row>
    <row r="1028" spans="1:15" ht="15.75" customHeight="1">
      <c r="A1028" s="4" t="s">
        <v>49</v>
      </c>
      <c r="B1028" s="4">
        <v>1058558</v>
      </c>
      <c r="C1028" s="4">
        <v>1059121</v>
      </c>
      <c r="E1028" s="4" t="s">
        <v>55</v>
      </c>
      <c r="F1028" s="4" t="s">
        <v>1992</v>
      </c>
      <c r="G1028" s="4" t="s">
        <v>1993</v>
      </c>
      <c r="I1028" s="4" t="s">
        <v>52</v>
      </c>
      <c r="L1028" s="4" t="s">
        <v>3013</v>
      </c>
      <c r="M1028" s="4" t="s">
        <v>1992</v>
      </c>
      <c r="N1028" s="4">
        <v>187</v>
      </c>
      <c r="O1028" s="4" t="s">
        <v>3014</v>
      </c>
    </row>
    <row r="1029" spans="1:15" ht="15.75" customHeight="1">
      <c r="A1029" s="4" t="s">
        <v>49</v>
      </c>
      <c r="B1029" s="4">
        <v>1060341</v>
      </c>
      <c r="C1029" s="4">
        <v>1061048</v>
      </c>
      <c r="E1029" s="4" t="s">
        <v>55</v>
      </c>
      <c r="F1029" s="4" t="s">
        <v>3015</v>
      </c>
      <c r="I1029" s="4" t="s">
        <v>52</v>
      </c>
      <c r="L1029" s="4" t="s">
        <v>3016</v>
      </c>
      <c r="M1029" s="4" t="s">
        <v>3015</v>
      </c>
      <c r="N1029" s="4">
        <v>235</v>
      </c>
      <c r="O1029" s="4" t="s">
        <v>3017</v>
      </c>
    </row>
    <row r="1030" spans="1:15" ht="15.75" customHeight="1">
      <c r="A1030" s="4" t="s">
        <v>49</v>
      </c>
      <c r="B1030" s="4">
        <v>1061041</v>
      </c>
      <c r="C1030" s="4">
        <v>1062525</v>
      </c>
      <c r="E1030" s="4" t="s">
        <v>55</v>
      </c>
      <c r="F1030" s="4" t="s">
        <v>3018</v>
      </c>
      <c r="I1030" s="4" t="s">
        <v>52</v>
      </c>
      <c r="L1030" s="4" t="s">
        <v>3019</v>
      </c>
      <c r="M1030" s="4" t="s">
        <v>3018</v>
      </c>
      <c r="N1030" s="4">
        <v>494</v>
      </c>
      <c r="O1030" s="4" t="s">
        <v>3020</v>
      </c>
    </row>
    <row r="1031" spans="1:15" ht="15.75" customHeight="1">
      <c r="A1031" s="4" t="s">
        <v>49</v>
      </c>
      <c r="B1031" s="4">
        <v>1062522</v>
      </c>
      <c r="C1031" s="4">
        <v>1063304</v>
      </c>
      <c r="E1031" s="4" t="s">
        <v>55</v>
      </c>
      <c r="F1031" s="4" t="s">
        <v>3021</v>
      </c>
      <c r="I1031" s="4" t="s">
        <v>52</v>
      </c>
      <c r="L1031" s="4" t="s">
        <v>3022</v>
      </c>
      <c r="M1031" s="4" t="s">
        <v>3021</v>
      </c>
      <c r="N1031" s="4">
        <v>260</v>
      </c>
      <c r="O1031" s="4" t="s">
        <v>3023</v>
      </c>
    </row>
    <row r="1032" spans="1:15" ht="15.75" customHeight="1">
      <c r="A1032" s="4" t="s">
        <v>49</v>
      </c>
      <c r="B1032" s="4">
        <v>1063775</v>
      </c>
      <c r="C1032" s="4">
        <v>1064341</v>
      </c>
      <c r="E1032" s="4" t="s">
        <v>50</v>
      </c>
      <c r="F1032" s="4" t="s">
        <v>56</v>
      </c>
      <c r="I1032" s="4" t="s">
        <v>52</v>
      </c>
      <c r="L1032" s="4" t="s">
        <v>3024</v>
      </c>
      <c r="M1032" s="4" t="s">
        <v>56</v>
      </c>
      <c r="N1032" s="4">
        <v>188</v>
      </c>
      <c r="O1032" s="4" t="s">
        <v>3025</v>
      </c>
    </row>
    <row r="1033" spans="1:15" ht="15.75" customHeight="1">
      <c r="A1033" s="4" t="s">
        <v>49</v>
      </c>
      <c r="B1033" s="4">
        <v>1064593</v>
      </c>
      <c r="C1033" s="4">
        <v>1064928</v>
      </c>
      <c r="E1033" s="4" t="s">
        <v>55</v>
      </c>
      <c r="F1033" s="4" t="s">
        <v>295</v>
      </c>
      <c r="I1033" s="4" t="s">
        <v>52</v>
      </c>
      <c r="L1033" s="4" t="s">
        <v>3026</v>
      </c>
      <c r="M1033" s="4" t="s">
        <v>295</v>
      </c>
      <c r="N1033" s="4">
        <v>111</v>
      </c>
      <c r="O1033" s="4" t="s">
        <v>3027</v>
      </c>
    </row>
    <row r="1034" spans="1:15" ht="15.75" customHeight="1">
      <c r="A1034" s="4" t="s">
        <v>49</v>
      </c>
      <c r="B1034" s="4">
        <v>1064985</v>
      </c>
      <c r="C1034" s="4">
        <v>1066085</v>
      </c>
      <c r="E1034" s="4" t="s">
        <v>55</v>
      </c>
      <c r="F1034" s="4" t="s">
        <v>345</v>
      </c>
      <c r="I1034" s="4" t="s">
        <v>346</v>
      </c>
      <c r="O1034" s="4" t="s">
        <v>3028</v>
      </c>
    </row>
    <row r="1035" spans="1:15" ht="15.75" customHeight="1">
      <c r="A1035" s="4" t="s">
        <v>49</v>
      </c>
      <c r="B1035" s="4">
        <v>1066195</v>
      </c>
      <c r="C1035" s="4">
        <v>1066605</v>
      </c>
      <c r="E1035" s="4" t="s">
        <v>55</v>
      </c>
      <c r="F1035" s="4" t="s">
        <v>298</v>
      </c>
      <c r="I1035" s="4" t="s">
        <v>52</v>
      </c>
      <c r="L1035" s="4" t="s">
        <v>3029</v>
      </c>
      <c r="M1035" s="4" t="s">
        <v>298</v>
      </c>
      <c r="N1035" s="4">
        <v>136</v>
      </c>
      <c r="O1035" s="4" t="s">
        <v>3030</v>
      </c>
    </row>
    <row r="1036" spans="1:15" ht="15.75" customHeight="1">
      <c r="A1036" s="4" t="s">
        <v>49</v>
      </c>
      <c r="B1036" s="4">
        <v>1066577</v>
      </c>
      <c r="C1036" s="4">
        <v>1066783</v>
      </c>
      <c r="E1036" s="4" t="s">
        <v>55</v>
      </c>
      <c r="F1036" s="4" t="s">
        <v>56</v>
      </c>
      <c r="I1036" s="4" t="s">
        <v>52</v>
      </c>
      <c r="L1036" s="4" t="s">
        <v>3031</v>
      </c>
      <c r="M1036" s="4" t="s">
        <v>56</v>
      </c>
      <c r="N1036" s="4">
        <v>68</v>
      </c>
      <c r="O1036" s="4" t="s">
        <v>3032</v>
      </c>
    </row>
    <row r="1037" spans="1:15" ht="15.75" customHeight="1">
      <c r="A1037" s="4" t="s">
        <v>49</v>
      </c>
      <c r="B1037" s="4">
        <v>1066780</v>
      </c>
      <c r="C1037" s="4">
        <v>1068204</v>
      </c>
      <c r="E1037" s="4" t="s">
        <v>55</v>
      </c>
      <c r="F1037" s="4" t="s">
        <v>1381</v>
      </c>
      <c r="I1037" s="4" t="s">
        <v>52</v>
      </c>
      <c r="L1037" s="4" t="s">
        <v>3033</v>
      </c>
      <c r="M1037" s="4" t="s">
        <v>1381</v>
      </c>
      <c r="N1037" s="4">
        <v>474</v>
      </c>
      <c r="O1037" s="4" t="s">
        <v>3034</v>
      </c>
    </row>
    <row r="1038" spans="1:15" ht="15.75" customHeight="1">
      <c r="A1038" s="4" t="s">
        <v>49</v>
      </c>
      <c r="B1038" s="4">
        <v>1069007</v>
      </c>
      <c r="C1038" s="4">
        <v>1071229</v>
      </c>
      <c r="E1038" s="4" t="s">
        <v>50</v>
      </c>
      <c r="F1038" s="4" t="s">
        <v>180</v>
      </c>
      <c r="I1038" s="4" t="s">
        <v>52</v>
      </c>
      <c r="L1038" s="4" t="s">
        <v>3035</v>
      </c>
      <c r="M1038" s="4" t="s">
        <v>180</v>
      </c>
      <c r="N1038" s="4">
        <v>740</v>
      </c>
      <c r="O1038" s="4" t="s">
        <v>3036</v>
      </c>
    </row>
    <row r="1039" spans="1:15" ht="15.75" customHeight="1">
      <c r="A1039" s="4" t="s">
        <v>49</v>
      </c>
      <c r="B1039" s="4">
        <v>1071292</v>
      </c>
      <c r="C1039" s="4">
        <v>1072035</v>
      </c>
      <c r="E1039" s="4" t="s">
        <v>50</v>
      </c>
      <c r="F1039" s="4" t="s">
        <v>3037</v>
      </c>
      <c r="G1039" s="4" t="s">
        <v>3038</v>
      </c>
      <c r="I1039" s="4" t="s">
        <v>52</v>
      </c>
      <c r="L1039" s="4" t="s">
        <v>3039</v>
      </c>
      <c r="M1039" s="4" t="s">
        <v>3037</v>
      </c>
      <c r="N1039" s="4">
        <v>247</v>
      </c>
      <c r="O1039" s="4" t="s">
        <v>3040</v>
      </c>
    </row>
    <row r="1040" spans="1:15" ht="15.75" customHeight="1">
      <c r="A1040" s="4" t="s">
        <v>49</v>
      </c>
      <c r="B1040" s="4">
        <v>1072312</v>
      </c>
      <c r="C1040" s="4">
        <v>1073058</v>
      </c>
      <c r="E1040" s="4" t="s">
        <v>50</v>
      </c>
      <c r="F1040" s="4" t="s">
        <v>3041</v>
      </c>
      <c r="I1040" s="4" t="s">
        <v>52</v>
      </c>
      <c r="L1040" s="4" t="s">
        <v>3042</v>
      </c>
      <c r="M1040" s="4" t="s">
        <v>3041</v>
      </c>
      <c r="N1040" s="4">
        <v>248</v>
      </c>
      <c r="O1040" s="4" t="s">
        <v>3043</v>
      </c>
    </row>
    <row r="1041" spans="1:15" ht="15.75" customHeight="1">
      <c r="A1041" s="4" t="s">
        <v>49</v>
      </c>
      <c r="B1041" s="4">
        <v>1073109</v>
      </c>
      <c r="C1041" s="4">
        <v>1073300</v>
      </c>
      <c r="E1041" s="4" t="s">
        <v>55</v>
      </c>
      <c r="F1041" s="4" t="s">
        <v>345</v>
      </c>
      <c r="I1041" s="4" t="s">
        <v>346</v>
      </c>
      <c r="O1041" s="4" t="s">
        <v>3044</v>
      </c>
    </row>
    <row r="1042" spans="1:15" ht="15.75" customHeight="1">
      <c r="A1042" s="4" t="s">
        <v>49</v>
      </c>
      <c r="B1042" s="4">
        <v>1073404</v>
      </c>
      <c r="C1042" s="4">
        <v>1075986</v>
      </c>
      <c r="E1042" s="4" t="s">
        <v>55</v>
      </c>
      <c r="F1042" s="4" t="s">
        <v>957</v>
      </c>
      <c r="I1042" s="4" t="s">
        <v>52</v>
      </c>
      <c r="L1042" s="4" t="s">
        <v>3045</v>
      </c>
      <c r="M1042" s="4" t="s">
        <v>957</v>
      </c>
      <c r="N1042" s="4">
        <v>860</v>
      </c>
      <c r="O1042" s="4" t="s">
        <v>3046</v>
      </c>
    </row>
    <row r="1043" spans="1:15" ht="15.75" customHeight="1">
      <c r="A1043" s="4" t="s">
        <v>49</v>
      </c>
      <c r="B1043" s="4">
        <v>1076027</v>
      </c>
      <c r="C1043" s="4">
        <v>1076617</v>
      </c>
      <c r="E1043" s="4" t="s">
        <v>55</v>
      </c>
      <c r="F1043" s="4" t="s">
        <v>56</v>
      </c>
      <c r="I1043" s="4" t="s">
        <v>52</v>
      </c>
      <c r="L1043" s="4" t="s">
        <v>3047</v>
      </c>
      <c r="M1043" s="4" t="s">
        <v>56</v>
      </c>
      <c r="N1043" s="4">
        <v>196</v>
      </c>
      <c r="O1043" s="4" t="s">
        <v>3048</v>
      </c>
    </row>
    <row r="1044" spans="1:15" ht="15.75" customHeight="1">
      <c r="A1044" s="4" t="s">
        <v>49</v>
      </c>
      <c r="B1044" s="4">
        <v>1077043</v>
      </c>
      <c r="C1044" s="4">
        <v>1077648</v>
      </c>
      <c r="E1044" s="4" t="s">
        <v>50</v>
      </c>
      <c r="F1044" s="4" t="s">
        <v>3049</v>
      </c>
      <c r="I1044" s="4" t="s">
        <v>52</v>
      </c>
      <c r="L1044" s="4" t="s">
        <v>3050</v>
      </c>
      <c r="M1044" s="4" t="s">
        <v>3049</v>
      </c>
      <c r="N1044" s="4">
        <v>201</v>
      </c>
      <c r="O1044" s="4" t="s">
        <v>3051</v>
      </c>
    </row>
    <row r="1045" spans="1:15" ht="15.75" customHeight="1">
      <c r="A1045" s="4" t="s">
        <v>49</v>
      </c>
      <c r="B1045" s="4">
        <v>1078267</v>
      </c>
      <c r="C1045" s="4">
        <v>1079079</v>
      </c>
      <c r="E1045" s="4" t="s">
        <v>55</v>
      </c>
      <c r="F1045" s="4" t="s">
        <v>3052</v>
      </c>
      <c r="I1045" s="4" t="s">
        <v>52</v>
      </c>
      <c r="L1045" s="4" t="s">
        <v>3053</v>
      </c>
      <c r="M1045" s="4" t="s">
        <v>3052</v>
      </c>
      <c r="N1045" s="4">
        <v>270</v>
      </c>
      <c r="O1045" s="4" t="s">
        <v>3054</v>
      </c>
    </row>
    <row r="1046" spans="1:15" ht="15.75" customHeight="1">
      <c r="A1046" s="4" t="s">
        <v>49</v>
      </c>
      <c r="B1046" s="4">
        <v>1079401</v>
      </c>
      <c r="C1046" s="4">
        <v>1080057</v>
      </c>
      <c r="E1046" s="4" t="s">
        <v>55</v>
      </c>
      <c r="F1046" s="4" t="s">
        <v>345</v>
      </c>
      <c r="I1046" s="4" t="s">
        <v>346</v>
      </c>
      <c r="O1046" s="4" t="s">
        <v>3055</v>
      </c>
    </row>
    <row r="1047" spans="1:15" ht="15.75" customHeight="1">
      <c r="A1047" s="4" t="s">
        <v>49</v>
      </c>
      <c r="B1047" s="4">
        <v>1080082</v>
      </c>
      <c r="C1047" s="4">
        <v>1080888</v>
      </c>
      <c r="E1047" s="4" t="s">
        <v>55</v>
      </c>
      <c r="F1047" s="4" t="s">
        <v>56</v>
      </c>
      <c r="I1047" s="4" t="s">
        <v>52</v>
      </c>
      <c r="L1047" s="4" t="s">
        <v>3056</v>
      </c>
      <c r="M1047" s="4" t="s">
        <v>56</v>
      </c>
      <c r="N1047" s="4">
        <v>268</v>
      </c>
      <c r="O1047" s="4" t="s">
        <v>3057</v>
      </c>
    </row>
    <row r="1048" spans="1:15" ht="15.75" customHeight="1">
      <c r="A1048" s="4" t="s">
        <v>49</v>
      </c>
      <c r="B1048" s="4">
        <v>1080936</v>
      </c>
      <c r="C1048" s="4">
        <v>1083071</v>
      </c>
      <c r="E1048" s="4" t="s">
        <v>55</v>
      </c>
      <c r="F1048" s="4" t="s">
        <v>3058</v>
      </c>
      <c r="I1048" s="4" t="s">
        <v>52</v>
      </c>
      <c r="L1048" s="4" t="s">
        <v>3059</v>
      </c>
      <c r="M1048" s="4" t="s">
        <v>3058</v>
      </c>
      <c r="N1048" s="4">
        <v>711</v>
      </c>
      <c r="O1048" s="4" t="s">
        <v>3060</v>
      </c>
    </row>
    <row r="1049" spans="1:15" ht="15.75" customHeight="1">
      <c r="A1049" s="4" t="s">
        <v>49</v>
      </c>
      <c r="B1049" s="4">
        <v>1083189</v>
      </c>
      <c r="C1049" s="4">
        <v>1084328</v>
      </c>
      <c r="E1049" s="4" t="s">
        <v>50</v>
      </c>
      <c r="F1049" s="4" t="s">
        <v>3061</v>
      </c>
      <c r="I1049" s="4" t="s">
        <v>52</v>
      </c>
      <c r="L1049" s="4" t="s">
        <v>3062</v>
      </c>
      <c r="M1049" s="4" t="s">
        <v>3061</v>
      </c>
      <c r="N1049" s="4">
        <v>379</v>
      </c>
      <c r="O1049" s="4" t="s">
        <v>3063</v>
      </c>
    </row>
    <row r="1050" spans="1:15" ht="15.75" customHeight="1">
      <c r="A1050" s="4" t="s">
        <v>49</v>
      </c>
      <c r="B1050" s="4">
        <v>1084376</v>
      </c>
      <c r="C1050" s="4">
        <v>1085302</v>
      </c>
      <c r="E1050" s="4" t="s">
        <v>55</v>
      </c>
      <c r="F1050" s="4" t="s">
        <v>483</v>
      </c>
      <c r="I1050" s="4" t="s">
        <v>52</v>
      </c>
      <c r="L1050" s="4" t="s">
        <v>3064</v>
      </c>
      <c r="M1050" s="4" t="s">
        <v>483</v>
      </c>
      <c r="N1050" s="4">
        <v>308</v>
      </c>
      <c r="O1050" s="4" t="s">
        <v>3065</v>
      </c>
    </row>
    <row r="1051" spans="1:15" ht="15.75" customHeight="1">
      <c r="A1051" s="4" t="s">
        <v>49</v>
      </c>
      <c r="B1051" s="4">
        <v>1085461</v>
      </c>
      <c r="C1051" s="4">
        <v>1086687</v>
      </c>
      <c r="E1051" s="4" t="s">
        <v>55</v>
      </c>
      <c r="F1051" s="4" t="s">
        <v>3061</v>
      </c>
      <c r="I1051" s="4" t="s">
        <v>52</v>
      </c>
      <c r="L1051" s="4" t="s">
        <v>3066</v>
      </c>
      <c r="M1051" s="4" t="s">
        <v>3061</v>
      </c>
      <c r="N1051" s="4">
        <v>408</v>
      </c>
      <c r="O1051" s="4" t="s">
        <v>3067</v>
      </c>
    </row>
    <row r="1052" spans="1:15" ht="15.75" customHeight="1">
      <c r="A1052" s="4" t="s">
        <v>49</v>
      </c>
      <c r="B1052" s="4">
        <v>1086680</v>
      </c>
      <c r="C1052" s="4">
        <v>1088278</v>
      </c>
      <c r="E1052" s="4" t="s">
        <v>55</v>
      </c>
      <c r="F1052" s="4" t="s">
        <v>3068</v>
      </c>
      <c r="I1052" s="4" t="s">
        <v>52</v>
      </c>
      <c r="L1052" s="4" t="s">
        <v>3069</v>
      </c>
      <c r="M1052" s="4" t="s">
        <v>3068</v>
      </c>
      <c r="N1052" s="4">
        <v>532</v>
      </c>
      <c r="O1052" s="4" t="s">
        <v>3070</v>
      </c>
    </row>
    <row r="1053" spans="1:15" ht="15.75" customHeight="1">
      <c r="A1053" s="4" t="s">
        <v>49</v>
      </c>
      <c r="B1053" s="4">
        <v>1088296</v>
      </c>
      <c r="C1053" s="4">
        <v>1091346</v>
      </c>
      <c r="E1053" s="4" t="s">
        <v>55</v>
      </c>
      <c r="F1053" s="4" t="s">
        <v>3071</v>
      </c>
      <c r="I1053" s="4" t="s">
        <v>52</v>
      </c>
      <c r="L1053" s="4" t="s">
        <v>3072</v>
      </c>
      <c r="M1053" s="4" t="s">
        <v>3071</v>
      </c>
      <c r="N1053" s="4">
        <v>1016</v>
      </c>
      <c r="O1053" s="4" t="s">
        <v>3073</v>
      </c>
    </row>
    <row r="1054" spans="1:15" ht="15.75" customHeight="1">
      <c r="A1054" s="4" t="s">
        <v>49</v>
      </c>
      <c r="B1054" s="4">
        <v>1091817</v>
      </c>
      <c r="C1054" s="4">
        <v>1092383</v>
      </c>
      <c r="E1054" s="4" t="s">
        <v>55</v>
      </c>
      <c r="F1054" s="4" t="s">
        <v>56</v>
      </c>
      <c r="I1054" s="4" t="s">
        <v>52</v>
      </c>
      <c r="L1054" s="4" t="s">
        <v>3074</v>
      </c>
      <c r="M1054" s="4" t="s">
        <v>56</v>
      </c>
      <c r="N1054" s="4">
        <v>188</v>
      </c>
      <c r="O1054" s="4" t="s">
        <v>3075</v>
      </c>
    </row>
    <row r="1055" spans="1:15" ht="15.75" customHeight="1">
      <c r="A1055" s="4" t="s">
        <v>49</v>
      </c>
      <c r="B1055" s="4">
        <v>1092633</v>
      </c>
      <c r="C1055" s="4">
        <v>1093817</v>
      </c>
      <c r="E1055" s="4" t="s">
        <v>50</v>
      </c>
      <c r="F1055" s="4" t="s">
        <v>3076</v>
      </c>
      <c r="I1055" s="4" t="s">
        <v>52</v>
      </c>
      <c r="L1055" s="4" t="s">
        <v>3077</v>
      </c>
      <c r="M1055" s="4" t="s">
        <v>3076</v>
      </c>
      <c r="N1055" s="4">
        <v>394</v>
      </c>
      <c r="O1055" s="4" t="s">
        <v>3078</v>
      </c>
    </row>
    <row r="1056" spans="1:15" ht="15.75" customHeight="1">
      <c r="A1056" s="4" t="s">
        <v>49</v>
      </c>
      <c r="B1056" s="4">
        <v>1094485</v>
      </c>
      <c r="C1056" s="4">
        <v>1096446</v>
      </c>
      <c r="E1056" s="4" t="s">
        <v>55</v>
      </c>
      <c r="F1056" s="4" t="s">
        <v>3079</v>
      </c>
      <c r="I1056" s="4" t="s">
        <v>52</v>
      </c>
      <c r="L1056" s="4" t="s">
        <v>3080</v>
      </c>
      <c r="M1056" s="4" t="s">
        <v>3079</v>
      </c>
      <c r="N1056" s="4">
        <v>653</v>
      </c>
      <c r="O1056" s="4" t="s">
        <v>3081</v>
      </c>
    </row>
    <row r="1057" spans="1:15" ht="15.75" customHeight="1">
      <c r="A1057" s="4" t="s">
        <v>49</v>
      </c>
      <c r="B1057" s="4">
        <v>1096449</v>
      </c>
      <c r="C1057" s="4">
        <v>1098116</v>
      </c>
      <c r="E1057" s="4" t="s">
        <v>55</v>
      </c>
      <c r="F1057" s="4" t="s">
        <v>3082</v>
      </c>
      <c r="I1057" s="4" t="s">
        <v>52</v>
      </c>
      <c r="L1057" s="4" t="s">
        <v>3083</v>
      </c>
      <c r="M1057" s="4" t="s">
        <v>3082</v>
      </c>
      <c r="N1057" s="4">
        <v>555</v>
      </c>
      <c r="O1057" s="4" t="s">
        <v>3084</v>
      </c>
    </row>
    <row r="1058" spans="1:15" ht="15.75" customHeight="1">
      <c r="A1058" s="4" t="s">
        <v>49</v>
      </c>
      <c r="B1058" s="4">
        <v>1098191</v>
      </c>
      <c r="C1058" s="4">
        <v>1099192</v>
      </c>
      <c r="E1058" s="4" t="s">
        <v>55</v>
      </c>
      <c r="F1058" s="4" t="s">
        <v>3085</v>
      </c>
      <c r="I1058" s="4" t="s">
        <v>52</v>
      </c>
      <c r="L1058" s="4" t="s">
        <v>3086</v>
      </c>
      <c r="M1058" s="4" t="s">
        <v>3085</v>
      </c>
      <c r="N1058" s="4">
        <v>333</v>
      </c>
      <c r="O1058" s="4" t="s">
        <v>3087</v>
      </c>
    </row>
    <row r="1059" spans="1:15" ht="15.75" customHeight="1">
      <c r="A1059" s="4" t="s">
        <v>49</v>
      </c>
      <c r="B1059" s="4">
        <v>1099337</v>
      </c>
      <c r="C1059" s="4">
        <v>1100815</v>
      </c>
      <c r="E1059" s="4" t="s">
        <v>55</v>
      </c>
      <c r="F1059" s="4" t="s">
        <v>3088</v>
      </c>
      <c r="I1059" s="4" t="s">
        <v>52</v>
      </c>
      <c r="L1059" s="4" t="s">
        <v>3089</v>
      </c>
      <c r="M1059" s="4" t="s">
        <v>3088</v>
      </c>
      <c r="N1059" s="4">
        <v>492</v>
      </c>
      <c r="O1059" s="4" t="s">
        <v>3090</v>
      </c>
    </row>
    <row r="1060" spans="1:15" ht="15.75" customHeight="1">
      <c r="A1060" s="4" t="s">
        <v>49</v>
      </c>
      <c r="B1060" s="4">
        <v>1101412</v>
      </c>
      <c r="C1060" s="4">
        <v>1102287</v>
      </c>
      <c r="E1060" s="4" t="s">
        <v>55</v>
      </c>
      <c r="F1060" s="4" t="s">
        <v>345</v>
      </c>
      <c r="I1060" s="4" t="s">
        <v>346</v>
      </c>
      <c r="O1060" s="4" t="s">
        <v>3091</v>
      </c>
    </row>
    <row r="1061" spans="1:15" ht="15.75" customHeight="1">
      <c r="A1061" s="4" t="s">
        <v>49</v>
      </c>
      <c r="B1061" s="4">
        <v>1102368</v>
      </c>
      <c r="C1061" s="4">
        <v>1103549</v>
      </c>
      <c r="E1061" s="4" t="s">
        <v>55</v>
      </c>
      <c r="F1061" s="4" t="s">
        <v>3092</v>
      </c>
      <c r="I1061" s="4" t="s">
        <v>52</v>
      </c>
      <c r="L1061" s="4" t="s">
        <v>3093</v>
      </c>
      <c r="M1061" s="4" t="s">
        <v>3092</v>
      </c>
      <c r="N1061" s="4">
        <v>393</v>
      </c>
      <c r="O1061" s="4" t="s">
        <v>3094</v>
      </c>
    </row>
    <row r="1062" spans="1:15" ht="15.75" customHeight="1">
      <c r="A1062" s="4" t="s">
        <v>49</v>
      </c>
      <c r="B1062" s="4">
        <v>1103649</v>
      </c>
      <c r="C1062" s="4">
        <v>1104422</v>
      </c>
      <c r="E1062" s="4" t="s">
        <v>55</v>
      </c>
      <c r="F1062" s="4" t="s">
        <v>3095</v>
      </c>
      <c r="G1062" s="4" t="s">
        <v>3096</v>
      </c>
      <c r="I1062" s="4" t="s">
        <v>52</v>
      </c>
      <c r="L1062" s="4" t="s">
        <v>3097</v>
      </c>
      <c r="M1062" s="4" t="s">
        <v>3095</v>
      </c>
      <c r="N1062" s="4">
        <v>257</v>
      </c>
      <c r="O1062" s="4" t="s">
        <v>3098</v>
      </c>
    </row>
    <row r="1063" spans="1:15" ht="15.75" customHeight="1">
      <c r="A1063" s="4" t="s">
        <v>49</v>
      </c>
      <c r="B1063" s="4">
        <v>1104575</v>
      </c>
      <c r="C1063" s="4">
        <v>1105390</v>
      </c>
      <c r="E1063" s="4" t="s">
        <v>55</v>
      </c>
      <c r="F1063" s="4" t="s">
        <v>3099</v>
      </c>
      <c r="G1063" s="4" t="s">
        <v>3100</v>
      </c>
      <c r="I1063" s="4" t="s">
        <v>52</v>
      </c>
      <c r="L1063" s="4" t="s">
        <v>3101</v>
      </c>
      <c r="M1063" s="4" t="s">
        <v>3099</v>
      </c>
      <c r="N1063" s="4">
        <v>271</v>
      </c>
      <c r="O1063" s="4" t="s">
        <v>3102</v>
      </c>
    </row>
    <row r="1064" spans="1:15" ht="15.75" customHeight="1">
      <c r="A1064" s="4" t="s">
        <v>49</v>
      </c>
      <c r="B1064" s="4">
        <v>1105505</v>
      </c>
      <c r="C1064" s="4">
        <v>1106869</v>
      </c>
      <c r="E1064" s="4" t="s">
        <v>55</v>
      </c>
      <c r="F1064" s="4" t="s">
        <v>3103</v>
      </c>
      <c r="I1064" s="4" t="s">
        <v>52</v>
      </c>
      <c r="L1064" s="4" t="s">
        <v>3104</v>
      </c>
      <c r="M1064" s="4" t="s">
        <v>3103</v>
      </c>
      <c r="N1064" s="4">
        <v>454</v>
      </c>
      <c r="O1064" s="4" t="s">
        <v>3105</v>
      </c>
    </row>
    <row r="1065" spans="1:15" ht="15.75" customHeight="1">
      <c r="A1065" s="4" t="s">
        <v>49</v>
      </c>
      <c r="B1065" s="4">
        <v>1106910</v>
      </c>
      <c r="C1065" s="4">
        <v>1107350</v>
      </c>
      <c r="E1065" s="4" t="s">
        <v>55</v>
      </c>
      <c r="F1065" s="4" t="s">
        <v>3106</v>
      </c>
      <c r="G1065" s="4" t="s">
        <v>3107</v>
      </c>
      <c r="I1065" s="4" t="s">
        <v>52</v>
      </c>
      <c r="L1065" s="4" t="s">
        <v>3108</v>
      </c>
      <c r="M1065" s="4" t="s">
        <v>3106</v>
      </c>
      <c r="N1065" s="4">
        <v>146</v>
      </c>
      <c r="O1065" s="4" t="s">
        <v>3109</v>
      </c>
    </row>
    <row r="1066" spans="1:15" ht="15.75" customHeight="1">
      <c r="A1066" s="4" t="s">
        <v>49</v>
      </c>
      <c r="B1066" s="4">
        <v>1107463</v>
      </c>
      <c r="C1066" s="4">
        <v>1107912</v>
      </c>
      <c r="E1066" s="4" t="s">
        <v>55</v>
      </c>
      <c r="F1066" s="4" t="s">
        <v>3110</v>
      </c>
      <c r="G1066" s="4" t="s">
        <v>3111</v>
      </c>
      <c r="I1066" s="4" t="s">
        <v>52</v>
      </c>
      <c r="L1066" s="4" t="s">
        <v>3112</v>
      </c>
      <c r="M1066" s="4" t="s">
        <v>3110</v>
      </c>
      <c r="N1066" s="4">
        <v>149</v>
      </c>
      <c r="O1066" s="4" t="s">
        <v>3113</v>
      </c>
    </row>
    <row r="1067" spans="1:15" ht="15.75" customHeight="1">
      <c r="A1067" s="4" t="s">
        <v>49</v>
      </c>
      <c r="B1067" s="4">
        <v>1107918</v>
      </c>
      <c r="C1067" s="4">
        <v>1109138</v>
      </c>
      <c r="E1067" s="4" t="s">
        <v>55</v>
      </c>
      <c r="F1067" s="4" t="s">
        <v>3114</v>
      </c>
      <c r="G1067" s="4" t="s">
        <v>3115</v>
      </c>
      <c r="I1067" s="4" t="s">
        <v>52</v>
      </c>
      <c r="L1067" s="4" t="s">
        <v>3116</v>
      </c>
      <c r="M1067" s="4" t="s">
        <v>3114</v>
      </c>
      <c r="N1067" s="4">
        <v>406</v>
      </c>
      <c r="O1067" s="4" t="s">
        <v>3117</v>
      </c>
    </row>
    <row r="1068" spans="1:15" ht="15.75" customHeight="1">
      <c r="A1068" s="4" t="s">
        <v>49</v>
      </c>
      <c r="B1068" s="4">
        <v>1109161</v>
      </c>
      <c r="C1068" s="4">
        <v>1109889</v>
      </c>
      <c r="E1068" s="4" t="s">
        <v>55</v>
      </c>
      <c r="F1068" s="4" t="s">
        <v>3118</v>
      </c>
      <c r="I1068" s="4" t="s">
        <v>52</v>
      </c>
      <c r="L1068" s="4" t="s">
        <v>3119</v>
      </c>
      <c r="M1068" s="4" t="s">
        <v>3118</v>
      </c>
      <c r="N1068" s="4">
        <v>242</v>
      </c>
      <c r="O1068" s="4" t="s">
        <v>3120</v>
      </c>
    </row>
    <row r="1069" spans="1:15" ht="15.75" customHeight="1">
      <c r="A1069" s="4" t="s">
        <v>49</v>
      </c>
      <c r="B1069" s="4">
        <v>1109886</v>
      </c>
      <c r="C1069" s="4">
        <v>1110809</v>
      </c>
      <c r="E1069" s="4" t="s">
        <v>55</v>
      </c>
      <c r="F1069" s="4" t="s">
        <v>3121</v>
      </c>
      <c r="I1069" s="4" t="s">
        <v>52</v>
      </c>
      <c r="L1069" s="4" t="s">
        <v>3122</v>
      </c>
      <c r="M1069" s="4" t="s">
        <v>3121</v>
      </c>
      <c r="N1069" s="4">
        <v>307</v>
      </c>
      <c r="O1069" s="4" t="s">
        <v>3123</v>
      </c>
    </row>
    <row r="1070" spans="1:15" ht="15.75" customHeight="1">
      <c r="A1070" s="4" t="s">
        <v>49</v>
      </c>
      <c r="B1070" s="4">
        <v>1110846</v>
      </c>
      <c r="C1070" s="4">
        <v>1111832</v>
      </c>
      <c r="E1070" s="4" t="s">
        <v>55</v>
      </c>
      <c r="F1070" s="4" t="s">
        <v>3124</v>
      </c>
      <c r="I1070" s="4" t="s">
        <v>52</v>
      </c>
      <c r="L1070" s="4" t="s">
        <v>3125</v>
      </c>
      <c r="M1070" s="4" t="s">
        <v>3124</v>
      </c>
      <c r="N1070" s="4">
        <v>328</v>
      </c>
      <c r="O1070" s="4" t="s">
        <v>3126</v>
      </c>
    </row>
    <row r="1071" spans="1:15" ht="15.75" customHeight="1">
      <c r="A1071" s="4" t="s">
        <v>49</v>
      </c>
      <c r="B1071" s="4">
        <v>1111856</v>
      </c>
      <c r="C1071" s="4">
        <v>1112095</v>
      </c>
      <c r="E1071" s="4" t="s">
        <v>55</v>
      </c>
      <c r="F1071" s="4" t="s">
        <v>1893</v>
      </c>
      <c r="I1071" s="4" t="s">
        <v>52</v>
      </c>
      <c r="L1071" s="4" t="s">
        <v>3127</v>
      </c>
      <c r="M1071" s="4" t="s">
        <v>1893</v>
      </c>
      <c r="N1071" s="4">
        <v>79</v>
      </c>
      <c r="O1071" s="4" t="s">
        <v>3128</v>
      </c>
    </row>
    <row r="1072" spans="1:15" ht="15.75" customHeight="1">
      <c r="A1072" s="4" t="s">
        <v>49</v>
      </c>
      <c r="B1072" s="4">
        <v>1112199</v>
      </c>
      <c r="C1072" s="4">
        <v>1113161</v>
      </c>
      <c r="E1072" s="4" t="s">
        <v>55</v>
      </c>
      <c r="F1072" s="4" t="s">
        <v>3129</v>
      </c>
      <c r="I1072" s="4" t="s">
        <v>52</v>
      </c>
      <c r="L1072" s="4" t="s">
        <v>3130</v>
      </c>
      <c r="M1072" s="4" t="s">
        <v>3129</v>
      </c>
      <c r="N1072" s="4">
        <v>320</v>
      </c>
      <c r="O1072" s="4" t="s">
        <v>3131</v>
      </c>
    </row>
    <row r="1073" spans="1:15" ht="15.75" customHeight="1">
      <c r="A1073" s="4" t="s">
        <v>49</v>
      </c>
      <c r="B1073" s="4">
        <v>1113177</v>
      </c>
      <c r="C1073" s="4">
        <v>1113626</v>
      </c>
      <c r="E1073" s="4" t="s">
        <v>55</v>
      </c>
      <c r="F1073" s="4" t="s">
        <v>3132</v>
      </c>
      <c r="I1073" s="4" t="s">
        <v>52</v>
      </c>
      <c r="L1073" s="4" t="s">
        <v>3133</v>
      </c>
      <c r="M1073" s="4" t="s">
        <v>3132</v>
      </c>
      <c r="N1073" s="4">
        <v>149</v>
      </c>
      <c r="O1073" s="4" t="s">
        <v>3134</v>
      </c>
    </row>
    <row r="1074" spans="1:15" ht="15.75" customHeight="1">
      <c r="A1074" s="4" t="s">
        <v>49</v>
      </c>
      <c r="B1074" s="4">
        <v>1113697</v>
      </c>
      <c r="C1074" s="4">
        <v>1114134</v>
      </c>
      <c r="E1074" s="4" t="s">
        <v>55</v>
      </c>
      <c r="F1074" s="4" t="s">
        <v>3135</v>
      </c>
      <c r="I1074" s="4" t="s">
        <v>52</v>
      </c>
      <c r="L1074" s="4" t="s">
        <v>3136</v>
      </c>
      <c r="M1074" s="4" t="s">
        <v>3135</v>
      </c>
      <c r="N1074" s="4">
        <v>145</v>
      </c>
      <c r="O1074" s="4" t="s">
        <v>3137</v>
      </c>
    </row>
    <row r="1075" spans="1:15" ht="15.75" customHeight="1">
      <c r="A1075" s="4" t="s">
        <v>49</v>
      </c>
      <c r="B1075" s="4">
        <v>1114746</v>
      </c>
      <c r="C1075" s="4">
        <v>1115729</v>
      </c>
      <c r="E1075" s="4" t="s">
        <v>55</v>
      </c>
      <c r="F1075" s="4" t="s">
        <v>3138</v>
      </c>
      <c r="I1075" s="4" t="s">
        <v>52</v>
      </c>
      <c r="L1075" s="4" t="s">
        <v>3139</v>
      </c>
      <c r="M1075" s="4" t="s">
        <v>3138</v>
      </c>
      <c r="N1075" s="4">
        <v>327</v>
      </c>
      <c r="O1075" s="4" t="s">
        <v>3140</v>
      </c>
    </row>
    <row r="1076" spans="1:15" ht="15.75" customHeight="1">
      <c r="A1076" s="4" t="s">
        <v>49</v>
      </c>
      <c r="B1076" s="4">
        <v>1115793</v>
      </c>
      <c r="C1076" s="4">
        <v>1116986</v>
      </c>
      <c r="E1076" s="4" t="s">
        <v>55</v>
      </c>
      <c r="F1076" s="4" t="s">
        <v>3141</v>
      </c>
      <c r="I1076" s="4" t="s">
        <v>52</v>
      </c>
      <c r="L1076" s="4" t="s">
        <v>3142</v>
      </c>
      <c r="M1076" s="4" t="s">
        <v>3141</v>
      </c>
      <c r="N1076" s="4">
        <v>397</v>
      </c>
      <c r="O1076" s="4" t="s">
        <v>3143</v>
      </c>
    </row>
    <row r="1077" spans="1:15" ht="15.75" customHeight="1">
      <c r="A1077" s="4" t="s">
        <v>49</v>
      </c>
      <c r="B1077" s="4">
        <v>1117241</v>
      </c>
      <c r="C1077" s="4">
        <v>1117432</v>
      </c>
      <c r="E1077" s="4" t="s">
        <v>55</v>
      </c>
      <c r="F1077" s="4" t="s">
        <v>56</v>
      </c>
      <c r="I1077" s="4" t="s">
        <v>52</v>
      </c>
      <c r="L1077" s="4" t="s">
        <v>3144</v>
      </c>
      <c r="M1077" s="4" t="s">
        <v>56</v>
      </c>
      <c r="N1077" s="4">
        <v>63</v>
      </c>
      <c r="O1077" s="4" t="s">
        <v>3145</v>
      </c>
    </row>
    <row r="1078" spans="1:15" ht="15.75" customHeight="1">
      <c r="A1078" s="4" t="s">
        <v>49</v>
      </c>
      <c r="B1078" s="4">
        <v>1117539</v>
      </c>
      <c r="C1078" s="4">
        <v>1117838</v>
      </c>
      <c r="E1078" s="4" t="s">
        <v>55</v>
      </c>
      <c r="F1078" s="4" t="s">
        <v>3146</v>
      </c>
      <c r="I1078" s="4" t="s">
        <v>52</v>
      </c>
      <c r="L1078" s="4" t="s">
        <v>3147</v>
      </c>
      <c r="M1078" s="4" t="s">
        <v>3146</v>
      </c>
      <c r="N1078" s="4">
        <v>99</v>
      </c>
      <c r="O1078" s="4" t="s">
        <v>3148</v>
      </c>
    </row>
    <row r="1079" spans="1:15" ht="15.75" customHeight="1">
      <c r="A1079" s="4" t="s">
        <v>49</v>
      </c>
      <c r="B1079" s="4">
        <v>1117878</v>
      </c>
      <c r="C1079" s="4">
        <v>1118291</v>
      </c>
      <c r="E1079" s="4" t="s">
        <v>55</v>
      </c>
      <c r="F1079" s="4" t="s">
        <v>3132</v>
      </c>
      <c r="I1079" s="4" t="s">
        <v>52</v>
      </c>
      <c r="L1079" s="4" t="s">
        <v>3149</v>
      </c>
      <c r="M1079" s="4" t="s">
        <v>3132</v>
      </c>
      <c r="N1079" s="4">
        <v>137</v>
      </c>
      <c r="O1079" s="4" t="s">
        <v>3150</v>
      </c>
    </row>
    <row r="1080" spans="1:15" ht="15.75" customHeight="1">
      <c r="A1080" s="4" t="s">
        <v>49</v>
      </c>
      <c r="B1080" s="4">
        <v>1118582</v>
      </c>
      <c r="C1080" s="4">
        <v>1119370</v>
      </c>
      <c r="E1080" s="4" t="s">
        <v>55</v>
      </c>
      <c r="F1080" s="4" t="s">
        <v>216</v>
      </c>
      <c r="I1080" s="4" t="s">
        <v>52</v>
      </c>
      <c r="L1080" s="4" t="s">
        <v>3151</v>
      </c>
      <c r="M1080" s="4" t="s">
        <v>216</v>
      </c>
      <c r="N1080" s="4">
        <v>262</v>
      </c>
      <c r="O1080" s="4" t="s">
        <v>3152</v>
      </c>
    </row>
    <row r="1081" spans="1:15" ht="15.75" customHeight="1">
      <c r="A1081" s="4" t="s">
        <v>49</v>
      </c>
      <c r="B1081" s="4">
        <v>1119426</v>
      </c>
      <c r="C1081" s="4">
        <v>1120433</v>
      </c>
      <c r="E1081" s="4" t="s">
        <v>55</v>
      </c>
      <c r="F1081" s="4" t="s">
        <v>3153</v>
      </c>
      <c r="I1081" s="4" t="s">
        <v>52</v>
      </c>
      <c r="L1081" s="4" t="s">
        <v>3154</v>
      </c>
      <c r="M1081" s="4" t="s">
        <v>3153</v>
      </c>
      <c r="N1081" s="4">
        <v>335</v>
      </c>
      <c r="O1081" s="4" t="s">
        <v>3155</v>
      </c>
    </row>
    <row r="1082" spans="1:15" ht="15.75" customHeight="1">
      <c r="A1082" s="4" t="s">
        <v>49</v>
      </c>
      <c r="B1082" s="4">
        <v>1120600</v>
      </c>
      <c r="C1082" s="4">
        <v>1121697</v>
      </c>
      <c r="E1082" s="4" t="s">
        <v>55</v>
      </c>
      <c r="F1082" s="4" t="s">
        <v>3156</v>
      </c>
      <c r="I1082" s="4" t="s">
        <v>52</v>
      </c>
      <c r="L1082" s="4" t="s">
        <v>3157</v>
      </c>
      <c r="M1082" s="4" t="s">
        <v>3156</v>
      </c>
      <c r="N1082" s="4">
        <v>365</v>
      </c>
      <c r="O1082" s="4" t="s">
        <v>3158</v>
      </c>
    </row>
    <row r="1083" spans="1:15" ht="15.75" customHeight="1">
      <c r="A1083" s="4" t="s">
        <v>49</v>
      </c>
      <c r="B1083" s="4">
        <v>1122122</v>
      </c>
      <c r="C1083" s="4">
        <v>1122709</v>
      </c>
      <c r="E1083" s="4" t="s">
        <v>55</v>
      </c>
      <c r="F1083" s="4" t="s">
        <v>3132</v>
      </c>
      <c r="I1083" s="4" t="s">
        <v>52</v>
      </c>
      <c r="L1083" s="4" t="s">
        <v>3159</v>
      </c>
      <c r="M1083" s="4" t="s">
        <v>3132</v>
      </c>
      <c r="N1083" s="4">
        <v>195</v>
      </c>
      <c r="O1083" s="4" t="s">
        <v>3160</v>
      </c>
    </row>
    <row r="1084" spans="1:15" ht="15.75" customHeight="1">
      <c r="A1084" s="4" t="s">
        <v>49</v>
      </c>
      <c r="B1084" s="4">
        <v>1122811</v>
      </c>
      <c r="C1084" s="4">
        <v>1124586</v>
      </c>
      <c r="E1084" s="4" t="s">
        <v>55</v>
      </c>
      <c r="F1084" s="4" t="s">
        <v>73</v>
      </c>
      <c r="I1084" s="4" t="s">
        <v>52</v>
      </c>
      <c r="L1084" s="4" t="s">
        <v>3161</v>
      </c>
      <c r="M1084" s="4" t="s">
        <v>73</v>
      </c>
      <c r="N1084" s="4">
        <v>591</v>
      </c>
      <c r="O1084" s="4" t="s">
        <v>3162</v>
      </c>
    </row>
    <row r="1085" spans="1:15" ht="15.75" customHeight="1">
      <c r="A1085" s="4" t="s">
        <v>49</v>
      </c>
      <c r="B1085" s="4">
        <v>1124756</v>
      </c>
      <c r="C1085" s="4">
        <v>1125214</v>
      </c>
      <c r="E1085" s="4" t="s">
        <v>55</v>
      </c>
      <c r="F1085" s="4" t="s">
        <v>931</v>
      </c>
      <c r="I1085" s="4" t="s">
        <v>52</v>
      </c>
      <c r="L1085" s="4" t="s">
        <v>3163</v>
      </c>
      <c r="M1085" s="4" t="s">
        <v>931</v>
      </c>
      <c r="N1085" s="4">
        <v>152</v>
      </c>
      <c r="O1085" s="4" t="s">
        <v>3164</v>
      </c>
    </row>
    <row r="1086" spans="1:15" ht="15.75" customHeight="1">
      <c r="A1086" s="4" t="s">
        <v>49</v>
      </c>
      <c r="B1086" s="4">
        <v>1125464</v>
      </c>
      <c r="C1086" s="4">
        <v>1126153</v>
      </c>
      <c r="E1086" s="4" t="s">
        <v>55</v>
      </c>
      <c r="F1086" s="4" t="s">
        <v>3165</v>
      </c>
      <c r="I1086" s="4" t="s">
        <v>52</v>
      </c>
      <c r="L1086" s="4" t="s">
        <v>3166</v>
      </c>
      <c r="M1086" s="4" t="s">
        <v>3165</v>
      </c>
      <c r="N1086" s="4">
        <v>229</v>
      </c>
      <c r="O1086" s="4" t="s">
        <v>3167</v>
      </c>
    </row>
    <row r="1087" spans="1:15" ht="15.75" customHeight="1">
      <c r="A1087" s="4" t="s">
        <v>49</v>
      </c>
      <c r="B1087" s="4">
        <v>1126387</v>
      </c>
      <c r="C1087" s="4">
        <v>1126593</v>
      </c>
      <c r="E1087" s="4" t="s">
        <v>50</v>
      </c>
      <c r="F1087" s="4" t="s">
        <v>56</v>
      </c>
      <c r="I1087" s="4" t="s">
        <v>52</v>
      </c>
      <c r="L1087" s="4" t="s">
        <v>3168</v>
      </c>
      <c r="M1087" s="4" t="s">
        <v>56</v>
      </c>
      <c r="N1087" s="4">
        <v>68</v>
      </c>
      <c r="O1087" s="4" t="s">
        <v>3169</v>
      </c>
    </row>
    <row r="1088" spans="1:15" ht="15.75" customHeight="1">
      <c r="A1088" s="4" t="s">
        <v>49</v>
      </c>
      <c r="B1088" s="4">
        <v>1126686</v>
      </c>
      <c r="C1088" s="4">
        <v>1127765</v>
      </c>
      <c r="E1088" s="4" t="s">
        <v>50</v>
      </c>
      <c r="F1088" s="4" t="s">
        <v>3156</v>
      </c>
      <c r="I1088" s="4" t="s">
        <v>52</v>
      </c>
      <c r="L1088" s="4" t="s">
        <v>3170</v>
      </c>
      <c r="M1088" s="4" t="s">
        <v>3156</v>
      </c>
      <c r="N1088" s="4">
        <v>359</v>
      </c>
      <c r="O1088" s="4" t="s">
        <v>3171</v>
      </c>
    </row>
    <row r="1089" spans="1:15" ht="15.75" customHeight="1">
      <c r="A1089" s="4" t="s">
        <v>49</v>
      </c>
      <c r="B1089" s="4">
        <v>1127872</v>
      </c>
      <c r="C1089" s="4">
        <v>1128966</v>
      </c>
      <c r="E1089" s="4" t="s">
        <v>55</v>
      </c>
      <c r="F1089" s="4" t="s">
        <v>2472</v>
      </c>
      <c r="I1089" s="4" t="s">
        <v>52</v>
      </c>
      <c r="L1089" s="4" t="s">
        <v>3172</v>
      </c>
      <c r="M1089" s="4" t="s">
        <v>2472</v>
      </c>
      <c r="N1089" s="4">
        <v>364</v>
      </c>
      <c r="O1089" s="4" t="s">
        <v>3173</v>
      </c>
    </row>
    <row r="1090" spans="1:15" ht="15.75" customHeight="1">
      <c r="A1090" s="4" t="s">
        <v>49</v>
      </c>
      <c r="B1090" s="4">
        <v>1128959</v>
      </c>
      <c r="C1090" s="4">
        <v>1130032</v>
      </c>
      <c r="E1090" s="4" t="s">
        <v>55</v>
      </c>
      <c r="F1090" s="4" t="s">
        <v>2378</v>
      </c>
      <c r="I1090" s="4" t="s">
        <v>52</v>
      </c>
      <c r="L1090" s="4" t="s">
        <v>3174</v>
      </c>
      <c r="M1090" s="4" t="s">
        <v>2378</v>
      </c>
      <c r="N1090" s="4">
        <v>357</v>
      </c>
      <c r="O1090" s="4" t="s">
        <v>3175</v>
      </c>
    </row>
    <row r="1091" spans="1:15" ht="15.75" customHeight="1">
      <c r="A1091" s="4" t="s">
        <v>49</v>
      </c>
      <c r="B1091" s="4">
        <v>1130117</v>
      </c>
      <c r="C1091" s="4">
        <v>1130818</v>
      </c>
      <c r="E1091" s="4" t="s">
        <v>55</v>
      </c>
      <c r="F1091" s="4" t="s">
        <v>3176</v>
      </c>
      <c r="I1091" s="4" t="s">
        <v>52</v>
      </c>
      <c r="L1091" s="4" t="s">
        <v>3177</v>
      </c>
      <c r="M1091" s="4" t="s">
        <v>3176</v>
      </c>
      <c r="N1091" s="4">
        <v>233</v>
      </c>
      <c r="O1091" s="4" t="s">
        <v>3178</v>
      </c>
    </row>
    <row r="1092" spans="1:15" ht="15.75" customHeight="1">
      <c r="A1092" s="4" t="s">
        <v>49</v>
      </c>
      <c r="B1092" s="4">
        <v>1131224</v>
      </c>
      <c r="C1092" s="4">
        <v>1131634</v>
      </c>
      <c r="E1092" s="4" t="s">
        <v>50</v>
      </c>
      <c r="F1092" s="4" t="s">
        <v>3179</v>
      </c>
      <c r="I1092" s="4" t="s">
        <v>52</v>
      </c>
      <c r="L1092" s="4" t="s">
        <v>3180</v>
      </c>
      <c r="M1092" s="4" t="s">
        <v>3179</v>
      </c>
      <c r="N1092" s="4">
        <v>136</v>
      </c>
      <c r="O1092" s="4" t="s">
        <v>3181</v>
      </c>
    </row>
    <row r="1093" spans="1:15" ht="15.75" customHeight="1">
      <c r="A1093" s="4" t="s">
        <v>49</v>
      </c>
      <c r="B1093" s="4">
        <v>1131688</v>
      </c>
      <c r="C1093" s="4">
        <v>1132620</v>
      </c>
      <c r="E1093" s="4" t="s">
        <v>55</v>
      </c>
      <c r="F1093" s="4" t="s">
        <v>964</v>
      </c>
      <c r="I1093" s="4" t="s">
        <v>52</v>
      </c>
      <c r="L1093" s="4" t="s">
        <v>3182</v>
      </c>
      <c r="M1093" s="4" t="s">
        <v>964</v>
      </c>
      <c r="N1093" s="4">
        <v>310</v>
      </c>
      <c r="O1093" s="4" t="s">
        <v>3183</v>
      </c>
    </row>
    <row r="1094" spans="1:15" ht="15.75" customHeight="1">
      <c r="A1094" s="4" t="s">
        <v>49</v>
      </c>
      <c r="B1094" s="4">
        <v>1132831</v>
      </c>
      <c r="C1094" s="4">
        <v>1134591</v>
      </c>
      <c r="E1094" s="4" t="s">
        <v>55</v>
      </c>
      <c r="F1094" s="4" t="s">
        <v>2418</v>
      </c>
      <c r="G1094" s="4" t="s">
        <v>2419</v>
      </c>
      <c r="I1094" s="4" t="s">
        <v>52</v>
      </c>
      <c r="L1094" s="4" t="s">
        <v>3184</v>
      </c>
      <c r="M1094" s="4" t="s">
        <v>2418</v>
      </c>
      <c r="N1094" s="4">
        <v>586</v>
      </c>
      <c r="O1094" s="4" t="s">
        <v>3185</v>
      </c>
    </row>
    <row r="1095" spans="1:15" ht="15.75" customHeight="1">
      <c r="A1095" s="4" t="s">
        <v>49</v>
      </c>
      <c r="B1095" s="4">
        <v>1135156</v>
      </c>
      <c r="C1095" s="4">
        <v>1136058</v>
      </c>
      <c r="E1095" s="4" t="s">
        <v>55</v>
      </c>
      <c r="F1095" s="4" t="s">
        <v>3186</v>
      </c>
      <c r="I1095" s="4" t="s">
        <v>52</v>
      </c>
      <c r="L1095" s="4" t="s">
        <v>3187</v>
      </c>
      <c r="M1095" s="4" t="s">
        <v>3186</v>
      </c>
      <c r="N1095" s="4">
        <v>300</v>
      </c>
      <c r="O1095" s="4" t="s">
        <v>3188</v>
      </c>
    </row>
    <row r="1096" spans="1:15" ht="15.75" customHeight="1">
      <c r="A1096" s="4" t="s">
        <v>49</v>
      </c>
      <c r="B1096" s="4">
        <v>1136070</v>
      </c>
      <c r="C1096" s="4">
        <v>1136921</v>
      </c>
      <c r="E1096" s="4" t="s">
        <v>55</v>
      </c>
      <c r="F1096" s="4" t="s">
        <v>3189</v>
      </c>
      <c r="I1096" s="4" t="s">
        <v>52</v>
      </c>
      <c r="L1096" s="4" t="s">
        <v>3190</v>
      </c>
      <c r="M1096" s="4" t="s">
        <v>3189</v>
      </c>
      <c r="N1096" s="4">
        <v>283</v>
      </c>
      <c r="O1096" s="4" t="s">
        <v>3191</v>
      </c>
    </row>
    <row r="1097" spans="1:15" ht="15.75" customHeight="1">
      <c r="A1097" s="4" t="s">
        <v>49</v>
      </c>
      <c r="B1097" s="4">
        <v>1136914</v>
      </c>
      <c r="C1097" s="4">
        <v>1138137</v>
      </c>
      <c r="E1097" s="4" t="s">
        <v>55</v>
      </c>
      <c r="F1097" s="4" t="s">
        <v>3192</v>
      </c>
      <c r="I1097" s="4" t="s">
        <v>52</v>
      </c>
      <c r="L1097" s="4" t="s">
        <v>3193</v>
      </c>
      <c r="M1097" s="4" t="s">
        <v>3192</v>
      </c>
      <c r="N1097" s="4">
        <v>407</v>
      </c>
      <c r="O1097" s="4" t="s">
        <v>3194</v>
      </c>
    </row>
    <row r="1098" spans="1:15" ht="15.75" customHeight="1">
      <c r="A1098" s="4" t="s">
        <v>49</v>
      </c>
      <c r="B1098" s="4">
        <v>1138406</v>
      </c>
      <c r="C1098" s="4">
        <v>1139137</v>
      </c>
      <c r="E1098" s="4" t="s">
        <v>55</v>
      </c>
      <c r="F1098" s="4" t="s">
        <v>3195</v>
      </c>
      <c r="G1098" s="4" t="s">
        <v>3196</v>
      </c>
      <c r="I1098" s="4" t="s">
        <v>52</v>
      </c>
      <c r="L1098" s="4" t="s">
        <v>3197</v>
      </c>
      <c r="M1098" s="4" t="s">
        <v>3195</v>
      </c>
      <c r="N1098" s="4">
        <v>243</v>
      </c>
      <c r="O1098" s="4" t="s">
        <v>3198</v>
      </c>
    </row>
    <row r="1099" spans="1:15" ht="15.75" customHeight="1">
      <c r="A1099" s="4" t="s">
        <v>49</v>
      </c>
      <c r="B1099" s="4">
        <v>1139244</v>
      </c>
      <c r="C1099" s="4">
        <v>1139705</v>
      </c>
      <c r="E1099" s="4" t="s">
        <v>55</v>
      </c>
      <c r="F1099" s="4" t="s">
        <v>630</v>
      </c>
      <c r="I1099" s="4" t="s">
        <v>52</v>
      </c>
      <c r="L1099" s="4" t="s">
        <v>3199</v>
      </c>
      <c r="M1099" s="4" t="s">
        <v>630</v>
      </c>
      <c r="N1099" s="4">
        <v>153</v>
      </c>
      <c r="O1099" s="4" t="s">
        <v>3200</v>
      </c>
    </row>
    <row r="1100" spans="1:15" ht="15.75" customHeight="1">
      <c r="A1100" s="4" t="s">
        <v>49</v>
      </c>
      <c r="B1100" s="4">
        <v>1139754</v>
      </c>
      <c r="C1100" s="4">
        <v>1141013</v>
      </c>
      <c r="E1100" s="4" t="s">
        <v>55</v>
      </c>
      <c r="F1100" s="4" t="s">
        <v>3201</v>
      </c>
      <c r="I1100" s="4" t="s">
        <v>52</v>
      </c>
      <c r="L1100" s="4" t="s">
        <v>3202</v>
      </c>
      <c r="M1100" s="4" t="s">
        <v>3201</v>
      </c>
      <c r="N1100" s="4">
        <v>419</v>
      </c>
      <c r="O1100" s="4" t="s">
        <v>3203</v>
      </c>
    </row>
    <row r="1101" spans="1:15" ht="15.75" customHeight="1">
      <c r="A1101" s="4" t="s">
        <v>49</v>
      </c>
      <c r="B1101" s="4">
        <v>1141298</v>
      </c>
      <c r="C1101" s="4">
        <v>1142179</v>
      </c>
      <c r="E1101" s="4" t="s">
        <v>55</v>
      </c>
      <c r="F1101" s="4" t="s">
        <v>3204</v>
      </c>
      <c r="G1101" s="4" t="s">
        <v>3205</v>
      </c>
      <c r="I1101" s="4" t="s">
        <v>52</v>
      </c>
      <c r="L1101" s="4" t="s">
        <v>3206</v>
      </c>
      <c r="M1101" s="4" t="s">
        <v>3204</v>
      </c>
      <c r="N1101" s="4">
        <v>293</v>
      </c>
      <c r="O1101" s="4" t="s">
        <v>3207</v>
      </c>
    </row>
    <row r="1102" spans="1:15" ht="15.75" customHeight="1">
      <c r="A1102" s="4" t="s">
        <v>49</v>
      </c>
      <c r="B1102" s="4">
        <v>1142145</v>
      </c>
      <c r="C1102" s="4">
        <v>1143659</v>
      </c>
      <c r="E1102" s="4" t="s">
        <v>55</v>
      </c>
      <c r="F1102" s="4" t="s">
        <v>3208</v>
      </c>
      <c r="G1102" s="4" t="s">
        <v>3209</v>
      </c>
      <c r="I1102" s="4" t="s">
        <v>52</v>
      </c>
      <c r="L1102" s="4" t="s">
        <v>3210</v>
      </c>
      <c r="M1102" s="4" t="s">
        <v>3208</v>
      </c>
      <c r="N1102" s="4">
        <v>504</v>
      </c>
      <c r="O1102" s="4" t="s">
        <v>3211</v>
      </c>
    </row>
    <row r="1103" spans="1:15" ht="15.75" customHeight="1">
      <c r="A1103" s="4" t="s">
        <v>49</v>
      </c>
      <c r="B1103" s="4">
        <v>1143768</v>
      </c>
      <c r="C1103" s="4">
        <v>1144967</v>
      </c>
      <c r="E1103" s="4" t="s">
        <v>50</v>
      </c>
      <c r="F1103" s="4" t="s">
        <v>3212</v>
      </c>
      <c r="I1103" s="4" t="s">
        <v>52</v>
      </c>
      <c r="L1103" s="4" t="s">
        <v>3213</v>
      </c>
      <c r="M1103" s="4" t="s">
        <v>3212</v>
      </c>
      <c r="N1103" s="4">
        <v>399</v>
      </c>
      <c r="O1103" s="4" t="s">
        <v>3214</v>
      </c>
    </row>
    <row r="1104" spans="1:15" ht="15.75" customHeight="1">
      <c r="A1104" s="4" t="s">
        <v>49</v>
      </c>
      <c r="B1104" s="4">
        <v>1144964</v>
      </c>
      <c r="C1104" s="4">
        <v>1146310</v>
      </c>
      <c r="E1104" s="4" t="s">
        <v>50</v>
      </c>
      <c r="F1104" s="4" t="s">
        <v>3215</v>
      </c>
      <c r="I1104" s="4" t="s">
        <v>52</v>
      </c>
      <c r="L1104" s="4" t="s">
        <v>3216</v>
      </c>
      <c r="M1104" s="4" t="s">
        <v>3215</v>
      </c>
      <c r="N1104" s="4">
        <v>448</v>
      </c>
      <c r="O1104" s="4" t="s">
        <v>3217</v>
      </c>
    </row>
    <row r="1105" spans="1:15" ht="15.75" customHeight="1">
      <c r="A1105" s="4" t="s">
        <v>49</v>
      </c>
      <c r="B1105" s="4">
        <v>1146430</v>
      </c>
      <c r="C1105" s="4">
        <v>1147947</v>
      </c>
      <c r="E1105" s="4" t="s">
        <v>55</v>
      </c>
      <c r="F1105" s="4" t="s">
        <v>3218</v>
      </c>
      <c r="I1105" s="4" t="s">
        <v>52</v>
      </c>
      <c r="L1105" s="4" t="s">
        <v>3219</v>
      </c>
      <c r="M1105" s="4" t="s">
        <v>3218</v>
      </c>
      <c r="N1105" s="4">
        <v>505</v>
      </c>
      <c r="O1105" s="4" t="s">
        <v>3220</v>
      </c>
    </row>
    <row r="1106" spans="1:15" ht="15.75" customHeight="1">
      <c r="A1106" s="4" t="s">
        <v>49</v>
      </c>
      <c r="B1106" s="4">
        <v>1147987</v>
      </c>
      <c r="C1106" s="4">
        <v>1148367</v>
      </c>
      <c r="E1106" s="4" t="s">
        <v>55</v>
      </c>
      <c r="F1106" s="4" t="s">
        <v>56</v>
      </c>
      <c r="I1106" s="4" t="s">
        <v>52</v>
      </c>
      <c r="L1106" s="4" t="s">
        <v>3221</v>
      </c>
      <c r="M1106" s="4" t="s">
        <v>56</v>
      </c>
      <c r="N1106" s="4">
        <v>126</v>
      </c>
      <c r="O1106" s="4" t="s">
        <v>3222</v>
      </c>
    </row>
    <row r="1107" spans="1:15" ht="15.75" customHeight="1">
      <c r="A1107" s="4" t="s">
        <v>49</v>
      </c>
      <c r="B1107" s="4">
        <v>1148656</v>
      </c>
      <c r="C1107" s="4">
        <v>1149699</v>
      </c>
      <c r="E1107" s="4" t="s">
        <v>55</v>
      </c>
      <c r="F1107" s="4" t="s">
        <v>3223</v>
      </c>
      <c r="I1107" s="4" t="s">
        <v>52</v>
      </c>
      <c r="L1107" s="4" t="s">
        <v>3224</v>
      </c>
      <c r="M1107" s="4" t="s">
        <v>3223</v>
      </c>
      <c r="N1107" s="4">
        <v>347</v>
      </c>
      <c r="O1107" s="4" t="s">
        <v>3225</v>
      </c>
    </row>
    <row r="1108" spans="1:15" ht="15.75" customHeight="1">
      <c r="A1108" s="4" t="s">
        <v>49</v>
      </c>
      <c r="B1108" s="4">
        <v>1149716</v>
      </c>
      <c r="C1108" s="4">
        <v>1150708</v>
      </c>
      <c r="E1108" s="4" t="s">
        <v>55</v>
      </c>
      <c r="F1108" s="4" t="s">
        <v>3226</v>
      </c>
      <c r="I1108" s="4" t="s">
        <v>52</v>
      </c>
      <c r="L1108" s="4" t="s">
        <v>3227</v>
      </c>
      <c r="M1108" s="4" t="s">
        <v>3226</v>
      </c>
      <c r="N1108" s="4">
        <v>330</v>
      </c>
      <c r="O1108" s="4" t="s">
        <v>3228</v>
      </c>
    </row>
    <row r="1109" spans="1:15" ht="15.75" customHeight="1">
      <c r="A1109" s="4" t="s">
        <v>49</v>
      </c>
      <c r="B1109" s="4">
        <v>1150752</v>
      </c>
      <c r="C1109" s="4">
        <v>1151915</v>
      </c>
      <c r="E1109" s="4" t="s">
        <v>55</v>
      </c>
      <c r="F1109" s="4" t="s">
        <v>2030</v>
      </c>
      <c r="I1109" s="4" t="s">
        <v>52</v>
      </c>
      <c r="L1109" s="4" t="s">
        <v>3229</v>
      </c>
      <c r="M1109" s="4" t="s">
        <v>2030</v>
      </c>
      <c r="N1109" s="4">
        <v>387</v>
      </c>
      <c r="O1109" s="4" t="s">
        <v>3230</v>
      </c>
    </row>
    <row r="1110" spans="1:15" ht="15.75" customHeight="1">
      <c r="A1110" s="4" t="s">
        <v>49</v>
      </c>
      <c r="B1110" s="4">
        <v>1152370</v>
      </c>
      <c r="C1110" s="4">
        <v>1152690</v>
      </c>
      <c r="E1110" s="4" t="s">
        <v>55</v>
      </c>
      <c r="F1110" s="4" t="s">
        <v>56</v>
      </c>
      <c r="I1110" s="4" t="s">
        <v>52</v>
      </c>
      <c r="L1110" s="4" t="s">
        <v>3231</v>
      </c>
      <c r="M1110" s="4" t="s">
        <v>56</v>
      </c>
      <c r="N1110" s="4">
        <v>106</v>
      </c>
      <c r="O1110" s="4" t="s">
        <v>3232</v>
      </c>
    </row>
    <row r="1111" spans="1:15" ht="15.75" customHeight="1">
      <c r="A1111" s="4" t="s">
        <v>49</v>
      </c>
      <c r="B1111" s="4">
        <v>1153020</v>
      </c>
      <c r="C1111" s="4">
        <v>1153724</v>
      </c>
      <c r="E1111" s="4" t="s">
        <v>50</v>
      </c>
      <c r="F1111" s="4" t="s">
        <v>3233</v>
      </c>
      <c r="I1111" s="4" t="s">
        <v>52</v>
      </c>
      <c r="L1111" s="4" t="s">
        <v>3234</v>
      </c>
      <c r="M1111" s="4" t="s">
        <v>3233</v>
      </c>
      <c r="N1111" s="4">
        <v>234</v>
      </c>
      <c r="O1111" s="4" t="s">
        <v>3235</v>
      </c>
    </row>
    <row r="1112" spans="1:15" ht="15.75" customHeight="1">
      <c r="A1112" s="4" t="s">
        <v>49</v>
      </c>
      <c r="B1112" s="4">
        <v>1153877</v>
      </c>
      <c r="C1112" s="4">
        <v>1154257</v>
      </c>
      <c r="E1112" s="4" t="s">
        <v>55</v>
      </c>
      <c r="F1112" s="4" t="s">
        <v>1648</v>
      </c>
      <c r="I1112" s="4" t="s">
        <v>52</v>
      </c>
      <c r="L1112" s="4" t="s">
        <v>3236</v>
      </c>
      <c r="M1112" s="4" t="s">
        <v>1648</v>
      </c>
      <c r="N1112" s="4">
        <v>126</v>
      </c>
      <c r="O1112" s="4" t="s">
        <v>3237</v>
      </c>
    </row>
    <row r="1113" spans="1:15" ht="15.75" customHeight="1">
      <c r="A1113" s="4" t="s">
        <v>49</v>
      </c>
      <c r="B1113" s="4">
        <v>1154361</v>
      </c>
      <c r="C1113" s="4">
        <v>1156265</v>
      </c>
      <c r="E1113" s="4" t="s">
        <v>55</v>
      </c>
      <c r="F1113" s="4" t="s">
        <v>3238</v>
      </c>
      <c r="G1113" s="4" t="s">
        <v>3239</v>
      </c>
      <c r="I1113" s="4" t="s">
        <v>52</v>
      </c>
      <c r="L1113" s="4" t="s">
        <v>3240</v>
      </c>
      <c r="M1113" s="4" t="s">
        <v>3238</v>
      </c>
      <c r="N1113" s="4">
        <v>634</v>
      </c>
      <c r="O1113" s="4" t="s">
        <v>3241</v>
      </c>
    </row>
    <row r="1114" spans="1:15" ht="15.75" customHeight="1">
      <c r="A1114" s="4" t="s">
        <v>49</v>
      </c>
      <c r="B1114" s="4">
        <v>1157122</v>
      </c>
      <c r="C1114" s="4">
        <v>1158192</v>
      </c>
      <c r="E1114" s="4" t="s">
        <v>55</v>
      </c>
      <c r="F1114" s="4" t="s">
        <v>2493</v>
      </c>
      <c r="I1114" s="4" t="s">
        <v>52</v>
      </c>
      <c r="L1114" s="4" t="s">
        <v>3242</v>
      </c>
      <c r="M1114" s="4" t="s">
        <v>2493</v>
      </c>
      <c r="N1114" s="4">
        <v>356</v>
      </c>
      <c r="O1114" s="4" t="s">
        <v>3243</v>
      </c>
    </row>
    <row r="1115" spans="1:15" ht="15.75" customHeight="1">
      <c r="A1115" s="4" t="s">
        <v>49</v>
      </c>
      <c r="B1115" s="4">
        <v>1158218</v>
      </c>
      <c r="C1115" s="4">
        <v>1159132</v>
      </c>
      <c r="E1115" s="4" t="s">
        <v>55</v>
      </c>
      <c r="F1115" s="4" t="s">
        <v>3244</v>
      </c>
      <c r="I1115" s="4" t="s">
        <v>52</v>
      </c>
      <c r="L1115" s="4" t="s">
        <v>3245</v>
      </c>
      <c r="M1115" s="4" t="s">
        <v>3244</v>
      </c>
      <c r="N1115" s="4">
        <v>304</v>
      </c>
      <c r="O1115" s="4" t="s">
        <v>3246</v>
      </c>
    </row>
    <row r="1116" spans="1:15" ht="15.75" customHeight="1">
      <c r="A1116" s="4" t="s">
        <v>49</v>
      </c>
      <c r="B1116" s="4">
        <v>1159208</v>
      </c>
      <c r="C1116" s="4">
        <v>1160176</v>
      </c>
      <c r="E1116" s="4" t="s">
        <v>50</v>
      </c>
      <c r="F1116" s="4" t="s">
        <v>1972</v>
      </c>
      <c r="I1116" s="4" t="s">
        <v>52</v>
      </c>
      <c r="L1116" s="4" t="s">
        <v>3247</v>
      </c>
      <c r="M1116" s="4" t="s">
        <v>1972</v>
      </c>
      <c r="N1116" s="4">
        <v>322</v>
      </c>
      <c r="O1116" s="4" t="s">
        <v>3248</v>
      </c>
    </row>
    <row r="1117" spans="1:15" ht="15.75" customHeight="1">
      <c r="A1117" s="4" t="s">
        <v>49</v>
      </c>
      <c r="B1117" s="4">
        <v>1160467</v>
      </c>
      <c r="C1117" s="4">
        <v>1161672</v>
      </c>
      <c r="E1117" s="4" t="s">
        <v>50</v>
      </c>
      <c r="F1117" s="4" t="s">
        <v>3249</v>
      </c>
      <c r="I1117" s="4" t="s">
        <v>52</v>
      </c>
      <c r="L1117" s="4" t="s">
        <v>3250</v>
      </c>
      <c r="M1117" s="4" t="s">
        <v>3249</v>
      </c>
      <c r="N1117" s="4">
        <v>401</v>
      </c>
      <c r="O1117" s="4" t="s">
        <v>3251</v>
      </c>
    </row>
    <row r="1118" spans="1:15" ht="15.75" customHeight="1">
      <c r="A1118" s="4" t="s">
        <v>49</v>
      </c>
      <c r="B1118" s="4">
        <v>1162264</v>
      </c>
      <c r="C1118" s="4">
        <v>1163151</v>
      </c>
      <c r="E1118" s="4" t="s">
        <v>50</v>
      </c>
      <c r="F1118" s="4" t="s">
        <v>73</v>
      </c>
      <c r="I1118" s="4" t="s">
        <v>52</v>
      </c>
      <c r="L1118" s="4" t="s">
        <v>3252</v>
      </c>
      <c r="M1118" s="4" t="s">
        <v>73</v>
      </c>
      <c r="N1118" s="4">
        <v>295</v>
      </c>
      <c r="O1118" s="4" t="s">
        <v>3253</v>
      </c>
    </row>
    <row r="1119" spans="1:15" ht="15.75" customHeight="1">
      <c r="A1119" s="4" t="s">
        <v>49</v>
      </c>
      <c r="B1119" s="4">
        <v>1163154</v>
      </c>
      <c r="C1119" s="4">
        <v>1164425</v>
      </c>
      <c r="E1119" s="4" t="s">
        <v>50</v>
      </c>
      <c r="F1119" s="4" t="s">
        <v>76</v>
      </c>
      <c r="I1119" s="4" t="s">
        <v>52</v>
      </c>
      <c r="L1119" s="4" t="s">
        <v>3254</v>
      </c>
      <c r="M1119" s="4" t="s">
        <v>76</v>
      </c>
      <c r="N1119" s="4">
        <v>423</v>
      </c>
      <c r="O1119" s="4" t="s">
        <v>3255</v>
      </c>
    </row>
    <row r="1120" spans="1:15" ht="15.75" customHeight="1">
      <c r="A1120" s="4" t="s">
        <v>49</v>
      </c>
      <c r="B1120" s="4">
        <v>1164439</v>
      </c>
      <c r="C1120" s="4">
        <v>1164834</v>
      </c>
      <c r="E1120" s="4" t="s">
        <v>50</v>
      </c>
      <c r="F1120" s="4" t="s">
        <v>2401</v>
      </c>
      <c r="I1120" s="4" t="s">
        <v>52</v>
      </c>
      <c r="L1120" s="4" t="s">
        <v>3256</v>
      </c>
      <c r="M1120" s="4" t="s">
        <v>2401</v>
      </c>
      <c r="N1120" s="4">
        <v>131</v>
      </c>
      <c r="O1120" s="4" t="s">
        <v>3257</v>
      </c>
    </row>
    <row r="1121" spans="1:15" ht="15.75" customHeight="1">
      <c r="A1121" s="4" t="s">
        <v>49</v>
      </c>
      <c r="B1121" s="4">
        <v>1164824</v>
      </c>
      <c r="C1121" s="4">
        <v>1165690</v>
      </c>
      <c r="E1121" s="4" t="s">
        <v>50</v>
      </c>
      <c r="F1121" s="4" t="s">
        <v>73</v>
      </c>
      <c r="I1121" s="4" t="s">
        <v>52</v>
      </c>
      <c r="L1121" s="4" t="s">
        <v>3258</v>
      </c>
      <c r="M1121" s="4" t="s">
        <v>73</v>
      </c>
      <c r="N1121" s="4">
        <v>288</v>
      </c>
      <c r="O1121" s="4" t="s">
        <v>3259</v>
      </c>
    </row>
    <row r="1122" spans="1:15" ht="15.75" customHeight="1">
      <c r="A1122" s="4" t="s">
        <v>49</v>
      </c>
      <c r="B1122" s="4">
        <v>1165683</v>
      </c>
      <c r="C1122" s="4">
        <v>1166327</v>
      </c>
      <c r="E1122" s="4" t="s">
        <v>50</v>
      </c>
      <c r="F1122" s="4" t="s">
        <v>3260</v>
      </c>
      <c r="I1122" s="4" t="s">
        <v>52</v>
      </c>
      <c r="L1122" s="4" t="s">
        <v>3261</v>
      </c>
      <c r="M1122" s="4" t="s">
        <v>3260</v>
      </c>
      <c r="N1122" s="4">
        <v>214</v>
      </c>
      <c r="O1122" s="4" t="s">
        <v>3262</v>
      </c>
    </row>
    <row r="1123" spans="1:15" ht="15.75" customHeight="1">
      <c r="A1123" s="4" t="s">
        <v>49</v>
      </c>
      <c r="B1123" s="4">
        <v>1166435</v>
      </c>
      <c r="C1123" s="4">
        <v>1166836</v>
      </c>
      <c r="E1123" s="4" t="s">
        <v>55</v>
      </c>
      <c r="F1123" s="4" t="s">
        <v>345</v>
      </c>
      <c r="I1123" s="4" t="s">
        <v>346</v>
      </c>
      <c r="O1123" s="4" t="s">
        <v>3263</v>
      </c>
    </row>
    <row r="1124" spans="1:15" ht="15.75" customHeight="1">
      <c r="A1124" s="4" t="s">
        <v>49</v>
      </c>
      <c r="B1124" s="4">
        <v>1166849</v>
      </c>
      <c r="C1124" s="4">
        <v>1167769</v>
      </c>
      <c r="E1124" s="4" t="s">
        <v>55</v>
      </c>
      <c r="F1124" s="4" t="s">
        <v>674</v>
      </c>
      <c r="I1124" s="4" t="s">
        <v>52</v>
      </c>
      <c r="L1124" s="4" t="s">
        <v>675</v>
      </c>
      <c r="M1124" s="4" t="s">
        <v>674</v>
      </c>
      <c r="N1124" s="4">
        <v>306</v>
      </c>
      <c r="O1124" s="4" t="s">
        <v>3264</v>
      </c>
    </row>
    <row r="1125" spans="1:15" ht="15.75" customHeight="1">
      <c r="A1125" s="4" t="s">
        <v>49</v>
      </c>
      <c r="B1125" s="4">
        <v>1167880</v>
      </c>
      <c r="C1125" s="4">
        <v>1168275</v>
      </c>
      <c r="E1125" s="4" t="s">
        <v>55</v>
      </c>
      <c r="F1125" s="4" t="s">
        <v>345</v>
      </c>
      <c r="I1125" s="4" t="s">
        <v>346</v>
      </c>
      <c r="O1125" s="4" t="s">
        <v>3265</v>
      </c>
    </row>
    <row r="1126" spans="1:15" ht="15.75" customHeight="1">
      <c r="A1126" s="4" t="s">
        <v>49</v>
      </c>
      <c r="B1126" s="4">
        <v>1168893</v>
      </c>
      <c r="C1126" s="4">
        <v>1170014</v>
      </c>
      <c r="E1126" s="4" t="s">
        <v>50</v>
      </c>
      <c r="F1126" s="4" t="s">
        <v>3266</v>
      </c>
      <c r="I1126" s="4" t="s">
        <v>52</v>
      </c>
      <c r="L1126" s="4" t="s">
        <v>3267</v>
      </c>
      <c r="M1126" s="4" t="s">
        <v>3266</v>
      </c>
      <c r="N1126" s="4">
        <v>373</v>
      </c>
      <c r="O1126" s="4" t="s">
        <v>3268</v>
      </c>
    </row>
    <row r="1127" spans="1:15" ht="15.75" customHeight="1">
      <c r="A1127" s="4" t="s">
        <v>49</v>
      </c>
      <c r="B1127" s="4">
        <v>1170027</v>
      </c>
      <c r="C1127" s="4">
        <v>1171046</v>
      </c>
      <c r="E1127" s="4" t="s">
        <v>50</v>
      </c>
      <c r="F1127" s="4" t="s">
        <v>3269</v>
      </c>
      <c r="G1127" s="4" t="s">
        <v>3270</v>
      </c>
      <c r="I1127" s="4" t="s">
        <v>52</v>
      </c>
      <c r="L1127" s="4" t="s">
        <v>3271</v>
      </c>
      <c r="M1127" s="4" t="s">
        <v>3269</v>
      </c>
      <c r="N1127" s="4">
        <v>339</v>
      </c>
      <c r="O1127" s="4" t="s">
        <v>3272</v>
      </c>
    </row>
    <row r="1128" spans="1:15" ht="15.75" customHeight="1">
      <c r="A1128" s="4" t="s">
        <v>49</v>
      </c>
      <c r="B1128" s="4">
        <v>1171164</v>
      </c>
      <c r="C1128" s="4">
        <v>1173089</v>
      </c>
      <c r="E1128" s="4" t="s">
        <v>50</v>
      </c>
      <c r="F1128" s="4" t="s">
        <v>3273</v>
      </c>
      <c r="I1128" s="4" t="s">
        <v>52</v>
      </c>
      <c r="L1128" s="4" t="s">
        <v>3274</v>
      </c>
      <c r="M1128" s="4" t="s">
        <v>3273</v>
      </c>
      <c r="N1128" s="4">
        <v>641</v>
      </c>
      <c r="O1128" s="4" t="s">
        <v>3275</v>
      </c>
    </row>
    <row r="1129" spans="1:15" ht="15.75" customHeight="1">
      <c r="A1129" s="4" t="s">
        <v>49</v>
      </c>
      <c r="B1129" s="4">
        <v>1173103</v>
      </c>
      <c r="C1129" s="4">
        <v>1173459</v>
      </c>
      <c r="E1129" s="4" t="s">
        <v>50</v>
      </c>
      <c r="F1129" s="4" t="s">
        <v>56</v>
      </c>
      <c r="I1129" s="4" t="s">
        <v>52</v>
      </c>
      <c r="L1129" s="4" t="s">
        <v>3276</v>
      </c>
      <c r="M1129" s="4" t="s">
        <v>56</v>
      </c>
      <c r="N1129" s="4">
        <v>118</v>
      </c>
      <c r="O1129" s="4" t="s">
        <v>3277</v>
      </c>
    </row>
    <row r="1130" spans="1:15" ht="15.75" customHeight="1">
      <c r="A1130" s="4" t="s">
        <v>49</v>
      </c>
      <c r="B1130" s="4">
        <v>1173596</v>
      </c>
      <c r="C1130" s="4">
        <v>1175023</v>
      </c>
      <c r="E1130" s="4" t="s">
        <v>50</v>
      </c>
      <c r="F1130" s="4" t="s">
        <v>443</v>
      </c>
      <c r="I1130" s="4" t="s">
        <v>52</v>
      </c>
      <c r="L1130" s="4" t="s">
        <v>3278</v>
      </c>
      <c r="M1130" s="4" t="s">
        <v>443</v>
      </c>
      <c r="N1130" s="4">
        <v>475</v>
      </c>
      <c r="O1130" s="4" t="s">
        <v>3279</v>
      </c>
    </row>
    <row r="1131" spans="1:15" ht="15.75" customHeight="1">
      <c r="A1131" s="4" t="s">
        <v>49</v>
      </c>
      <c r="B1131" s="4">
        <v>1175125</v>
      </c>
      <c r="C1131" s="4">
        <v>1176456</v>
      </c>
      <c r="E1131" s="4" t="s">
        <v>55</v>
      </c>
      <c r="F1131" s="4" t="s">
        <v>3280</v>
      </c>
      <c r="I1131" s="4" t="s">
        <v>52</v>
      </c>
      <c r="L1131" s="4" t="s">
        <v>3281</v>
      </c>
      <c r="M1131" s="4" t="s">
        <v>3280</v>
      </c>
      <c r="N1131" s="4">
        <v>443</v>
      </c>
      <c r="O1131" s="4" t="s">
        <v>3282</v>
      </c>
    </row>
    <row r="1132" spans="1:15" ht="15.75" customHeight="1">
      <c r="A1132" s="4" t="s">
        <v>49</v>
      </c>
      <c r="B1132" s="4">
        <v>1176940</v>
      </c>
      <c r="C1132" s="4">
        <v>1178358</v>
      </c>
      <c r="E1132" s="4" t="s">
        <v>55</v>
      </c>
      <c r="F1132" s="4" t="s">
        <v>3283</v>
      </c>
      <c r="I1132" s="4" t="s">
        <v>52</v>
      </c>
      <c r="L1132" s="4" t="s">
        <v>3284</v>
      </c>
      <c r="M1132" s="4" t="s">
        <v>3283</v>
      </c>
      <c r="N1132" s="4">
        <v>472</v>
      </c>
      <c r="O1132" s="4" t="s">
        <v>3285</v>
      </c>
    </row>
    <row r="1133" spans="1:15" ht="15.75" customHeight="1">
      <c r="A1133" s="4" t="s">
        <v>49</v>
      </c>
      <c r="B1133" s="4">
        <v>1178649</v>
      </c>
      <c r="C1133" s="4">
        <v>1179215</v>
      </c>
      <c r="E1133" s="4" t="s">
        <v>55</v>
      </c>
      <c r="F1133" s="4" t="s">
        <v>111</v>
      </c>
      <c r="I1133" s="4" t="s">
        <v>52</v>
      </c>
      <c r="L1133" s="4" t="s">
        <v>3286</v>
      </c>
      <c r="M1133" s="4" t="s">
        <v>111</v>
      </c>
      <c r="N1133" s="4">
        <v>188</v>
      </c>
      <c r="O1133" s="4" t="s">
        <v>3287</v>
      </c>
    </row>
    <row r="1134" spans="1:15" ht="15.75" customHeight="1">
      <c r="A1134" s="4" t="s">
        <v>49</v>
      </c>
      <c r="B1134" s="4">
        <v>1179342</v>
      </c>
      <c r="C1134" s="4">
        <v>1180790</v>
      </c>
      <c r="E1134" s="4" t="s">
        <v>55</v>
      </c>
      <c r="F1134" s="4" t="s">
        <v>3288</v>
      </c>
      <c r="I1134" s="4" t="s">
        <v>52</v>
      </c>
      <c r="L1134" s="4" t="s">
        <v>3289</v>
      </c>
      <c r="M1134" s="4" t="s">
        <v>3288</v>
      </c>
      <c r="N1134" s="4">
        <v>482</v>
      </c>
      <c r="O1134" s="4" t="s">
        <v>3290</v>
      </c>
    </row>
    <row r="1135" spans="1:15" ht="15.75" customHeight="1">
      <c r="A1135" s="4" t="s">
        <v>49</v>
      </c>
      <c r="B1135" s="4">
        <v>1181038</v>
      </c>
      <c r="C1135" s="4">
        <v>1182876</v>
      </c>
      <c r="E1135" s="4" t="s">
        <v>55</v>
      </c>
      <c r="F1135" s="4" t="s">
        <v>3291</v>
      </c>
      <c r="I1135" s="4" t="s">
        <v>52</v>
      </c>
      <c r="L1135" s="4" t="s">
        <v>3292</v>
      </c>
      <c r="M1135" s="4" t="s">
        <v>3291</v>
      </c>
      <c r="N1135" s="4">
        <v>612</v>
      </c>
      <c r="O1135" s="4" t="s">
        <v>3293</v>
      </c>
    </row>
    <row r="1136" spans="1:15" ht="15.75" customHeight="1">
      <c r="A1136" s="4" t="s">
        <v>49</v>
      </c>
      <c r="B1136" s="4">
        <v>1183266</v>
      </c>
      <c r="C1136" s="4">
        <v>1184123</v>
      </c>
      <c r="E1136" s="4" t="s">
        <v>55</v>
      </c>
      <c r="F1136" s="4" t="s">
        <v>3294</v>
      </c>
      <c r="I1136" s="4" t="s">
        <v>52</v>
      </c>
      <c r="L1136" s="4" t="s">
        <v>3295</v>
      </c>
      <c r="M1136" s="4" t="s">
        <v>3294</v>
      </c>
      <c r="N1136" s="4">
        <v>285</v>
      </c>
      <c r="O1136" s="4" t="s">
        <v>3296</v>
      </c>
    </row>
    <row r="1137" spans="1:15" ht="15.75" customHeight="1">
      <c r="A1137" s="4" t="s">
        <v>49</v>
      </c>
      <c r="B1137" s="4">
        <v>1184252</v>
      </c>
      <c r="C1137" s="4">
        <v>1185892</v>
      </c>
      <c r="E1137" s="4" t="s">
        <v>55</v>
      </c>
      <c r="F1137" s="4" t="s">
        <v>3297</v>
      </c>
      <c r="I1137" s="4" t="s">
        <v>52</v>
      </c>
      <c r="L1137" s="4" t="s">
        <v>3298</v>
      </c>
      <c r="M1137" s="4" t="s">
        <v>3297</v>
      </c>
      <c r="N1137" s="4">
        <v>546</v>
      </c>
      <c r="O1137" s="4" t="s">
        <v>3299</v>
      </c>
    </row>
    <row r="1138" spans="1:15" ht="15.75" customHeight="1">
      <c r="A1138" s="4" t="s">
        <v>49</v>
      </c>
      <c r="B1138" s="4">
        <v>1185889</v>
      </c>
      <c r="C1138" s="4">
        <v>1187580</v>
      </c>
      <c r="E1138" s="4" t="s">
        <v>55</v>
      </c>
      <c r="F1138" s="4" t="s">
        <v>3300</v>
      </c>
      <c r="I1138" s="4" t="s">
        <v>52</v>
      </c>
      <c r="L1138" s="4" t="s">
        <v>3301</v>
      </c>
      <c r="M1138" s="4" t="s">
        <v>3300</v>
      </c>
      <c r="N1138" s="4">
        <v>563</v>
      </c>
      <c r="O1138" s="4" t="s">
        <v>3302</v>
      </c>
    </row>
    <row r="1139" spans="1:15" ht="15.75" customHeight="1">
      <c r="A1139" s="4" t="s">
        <v>49</v>
      </c>
      <c r="B1139" s="4">
        <v>1187777</v>
      </c>
      <c r="C1139" s="4">
        <v>1188202</v>
      </c>
      <c r="E1139" s="4" t="s">
        <v>55</v>
      </c>
      <c r="F1139" s="4" t="s">
        <v>3303</v>
      </c>
      <c r="I1139" s="4" t="s">
        <v>52</v>
      </c>
      <c r="L1139" s="4" t="s">
        <v>3304</v>
      </c>
      <c r="M1139" s="4" t="s">
        <v>3303</v>
      </c>
      <c r="N1139" s="4">
        <v>141</v>
      </c>
      <c r="O1139" s="4" t="s">
        <v>3305</v>
      </c>
    </row>
    <row r="1140" spans="1:15" ht="15.75" customHeight="1">
      <c r="A1140" s="4" t="s">
        <v>49</v>
      </c>
      <c r="B1140" s="4">
        <v>1188353</v>
      </c>
      <c r="C1140" s="4">
        <v>1189453</v>
      </c>
      <c r="E1140" s="4" t="s">
        <v>55</v>
      </c>
      <c r="F1140" s="4" t="s">
        <v>56</v>
      </c>
      <c r="I1140" s="4" t="s">
        <v>52</v>
      </c>
      <c r="L1140" s="4" t="s">
        <v>3306</v>
      </c>
      <c r="M1140" s="4" t="s">
        <v>56</v>
      </c>
      <c r="N1140" s="4">
        <v>366</v>
      </c>
      <c r="O1140" s="4" t="s">
        <v>3307</v>
      </c>
    </row>
    <row r="1141" spans="1:15" ht="15.75" customHeight="1">
      <c r="A1141" s="4" t="s">
        <v>49</v>
      </c>
      <c r="B1141" s="4">
        <v>1189834</v>
      </c>
      <c r="C1141" s="4">
        <v>1190628</v>
      </c>
      <c r="E1141" s="4" t="s">
        <v>55</v>
      </c>
      <c r="F1141" s="4" t="s">
        <v>56</v>
      </c>
      <c r="I1141" s="4" t="s">
        <v>52</v>
      </c>
      <c r="L1141" s="4" t="s">
        <v>3308</v>
      </c>
      <c r="M1141" s="4" t="s">
        <v>56</v>
      </c>
      <c r="N1141" s="4">
        <v>264</v>
      </c>
      <c r="O1141" s="4" t="s">
        <v>3309</v>
      </c>
    </row>
    <row r="1142" spans="1:15" ht="15.75" customHeight="1">
      <c r="A1142" s="4" t="s">
        <v>49</v>
      </c>
      <c r="B1142" s="4">
        <v>1190629</v>
      </c>
      <c r="C1142" s="4">
        <v>1191795</v>
      </c>
      <c r="E1142" s="4" t="s">
        <v>55</v>
      </c>
      <c r="F1142" s="4" t="s">
        <v>56</v>
      </c>
      <c r="I1142" s="4" t="s">
        <v>52</v>
      </c>
      <c r="L1142" s="4" t="s">
        <v>3310</v>
      </c>
      <c r="M1142" s="4" t="s">
        <v>56</v>
      </c>
      <c r="N1142" s="4">
        <v>388</v>
      </c>
      <c r="O1142" s="4" t="s">
        <v>3311</v>
      </c>
    </row>
    <row r="1143" spans="1:15" ht="15.75" customHeight="1">
      <c r="A1143" s="4" t="s">
        <v>49</v>
      </c>
      <c r="B1143" s="4">
        <v>1192019</v>
      </c>
      <c r="C1143" s="4">
        <v>1192393</v>
      </c>
      <c r="E1143" s="4" t="s">
        <v>50</v>
      </c>
      <c r="F1143" s="4" t="s">
        <v>281</v>
      </c>
      <c r="I1143" s="4" t="s">
        <v>52</v>
      </c>
      <c r="L1143" s="4" t="s">
        <v>3312</v>
      </c>
      <c r="M1143" s="4" t="s">
        <v>281</v>
      </c>
      <c r="N1143" s="4">
        <v>124</v>
      </c>
      <c r="O1143" s="4" t="s">
        <v>3313</v>
      </c>
    </row>
    <row r="1144" spans="1:15" ht="15.75" customHeight="1">
      <c r="A1144" s="4" t="s">
        <v>49</v>
      </c>
      <c r="B1144" s="4">
        <v>1192462</v>
      </c>
      <c r="C1144" s="4">
        <v>1192785</v>
      </c>
      <c r="E1144" s="4" t="s">
        <v>50</v>
      </c>
      <c r="F1144" s="4" t="s">
        <v>3314</v>
      </c>
      <c r="I1144" s="4" t="s">
        <v>52</v>
      </c>
      <c r="L1144" s="4" t="s">
        <v>3315</v>
      </c>
      <c r="M1144" s="4" t="s">
        <v>3314</v>
      </c>
      <c r="N1144" s="4">
        <v>107</v>
      </c>
      <c r="O1144" s="4" t="s">
        <v>3316</v>
      </c>
    </row>
    <row r="1145" spans="1:15" ht="15.75" customHeight="1">
      <c r="A1145" s="4" t="s">
        <v>49</v>
      </c>
      <c r="B1145" s="4">
        <v>1192857</v>
      </c>
      <c r="C1145" s="4">
        <v>1194584</v>
      </c>
      <c r="E1145" s="4" t="s">
        <v>55</v>
      </c>
      <c r="F1145" s="4" t="s">
        <v>3317</v>
      </c>
      <c r="G1145" s="4" t="s">
        <v>3318</v>
      </c>
      <c r="I1145" s="4" t="s">
        <v>52</v>
      </c>
      <c r="L1145" s="4" t="s">
        <v>3319</v>
      </c>
      <c r="M1145" s="4" t="s">
        <v>3317</v>
      </c>
      <c r="N1145" s="4">
        <v>575</v>
      </c>
      <c r="O1145" s="4" t="s">
        <v>3320</v>
      </c>
    </row>
    <row r="1146" spans="1:15" ht="15.75" customHeight="1">
      <c r="A1146" s="4" t="s">
        <v>49</v>
      </c>
      <c r="B1146" s="4">
        <v>1194565</v>
      </c>
      <c r="C1146" s="4">
        <v>1196307</v>
      </c>
      <c r="E1146" s="4" t="s">
        <v>55</v>
      </c>
      <c r="F1146" s="4" t="s">
        <v>3321</v>
      </c>
      <c r="G1146" s="4" t="s">
        <v>3322</v>
      </c>
      <c r="I1146" s="4" t="s">
        <v>52</v>
      </c>
      <c r="L1146" s="4" t="s">
        <v>3323</v>
      </c>
      <c r="M1146" s="4" t="s">
        <v>3321</v>
      </c>
      <c r="N1146" s="4">
        <v>580</v>
      </c>
      <c r="O1146" s="4" t="s">
        <v>3324</v>
      </c>
    </row>
    <row r="1147" spans="1:15" ht="15.75" customHeight="1">
      <c r="A1147" s="4" t="s">
        <v>49</v>
      </c>
      <c r="B1147" s="4">
        <v>1196304</v>
      </c>
      <c r="C1147" s="4">
        <v>1197317</v>
      </c>
      <c r="E1147" s="4" t="s">
        <v>55</v>
      </c>
      <c r="F1147" s="4" t="s">
        <v>3325</v>
      </c>
      <c r="G1147" s="4" t="s">
        <v>3326</v>
      </c>
      <c r="I1147" s="4" t="s">
        <v>52</v>
      </c>
      <c r="L1147" s="4" t="s">
        <v>3327</v>
      </c>
      <c r="M1147" s="4" t="s">
        <v>3325</v>
      </c>
      <c r="N1147" s="4">
        <v>337</v>
      </c>
      <c r="O1147" s="4" t="s">
        <v>3328</v>
      </c>
    </row>
    <row r="1148" spans="1:15" ht="15.75" customHeight="1">
      <c r="A1148" s="4" t="s">
        <v>49</v>
      </c>
      <c r="B1148" s="4">
        <v>1197314</v>
      </c>
      <c r="C1148" s="4">
        <v>1198738</v>
      </c>
      <c r="E1148" s="4" t="s">
        <v>55</v>
      </c>
      <c r="F1148" s="4" t="s">
        <v>3329</v>
      </c>
      <c r="I1148" s="4" t="s">
        <v>52</v>
      </c>
      <c r="L1148" s="4" t="s">
        <v>3330</v>
      </c>
      <c r="M1148" s="4" t="s">
        <v>3329</v>
      </c>
      <c r="N1148" s="4">
        <v>474</v>
      </c>
      <c r="O1148" s="4" t="s">
        <v>3331</v>
      </c>
    </row>
    <row r="1149" spans="1:15" ht="15.75" customHeight="1">
      <c r="A1149" s="4" t="s">
        <v>49</v>
      </c>
      <c r="B1149" s="4">
        <v>1198977</v>
      </c>
      <c r="C1149" s="4">
        <v>1200281</v>
      </c>
      <c r="E1149" s="4" t="s">
        <v>55</v>
      </c>
      <c r="F1149" s="4" t="s">
        <v>3332</v>
      </c>
      <c r="I1149" s="4" t="s">
        <v>52</v>
      </c>
      <c r="L1149" s="4" t="s">
        <v>3333</v>
      </c>
      <c r="M1149" s="4" t="s">
        <v>3332</v>
      </c>
      <c r="N1149" s="4">
        <v>434</v>
      </c>
      <c r="O1149" s="4" t="s">
        <v>3334</v>
      </c>
    </row>
    <row r="1150" spans="1:15" ht="15.75" customHeight="1">
      <c r="A1150" s="4" t="s">
        <v>49</v>
      </c>
      <c r="B1150" s="4">
        <v>1200805</v>
      </c>
      <c r="C1150" s="4">
        <v>1201824</v>
      </c>
      <c r="E1150" s="4" t="s">
        <v>50</v>
      </c>
      <c r="F1150" s="4" t="s">
        <v>3335</v>
      </c>
      <c r="G1150" s="4" t="s">
        <v>3336</v>
      </c>
      <c r="I1150" s="4" t="s">
        <v>52</v>
      </c>
      <c r="L1150" s="4" t="s">
        <v>3337</v>
      </c>
      <c r="M1150" s="4" t="s">
        <v>3335</v>
      </c>
      <c r="N1150" s="4">
        <v>339</v>
      </c>
      <c r="O1150" s="4" t="s">
        <v>3338</v>
      </c>
    </row>
    <row r="1151" spans="1:15" ht="15.75" customHeight="1">
      <c r="A1151" s="4" t="s">
        <v>49</v>
      </c>
      <c r="B1151" s="4">
        <v>1202043</v>
      </c>
      <c r="C1151" s="4">
        <v>1202285</v>
      </c>
      <c r="E1151" s="4" t="s">
        <v>50</v>
      </c>
      <c r="F1151" s="4" t="s">
        <v>56</v>
      </c>
      <c r="I1151" s="4" t="s">
        <v>52</v>
      </c>
      <c r="L1151" s="4" t="s">
        <v>3339</v>
      </c>
      <c r="M1151" s="4" t="s">
        <v>56</v>
      </c>
      <c r="N1151" s="4">
        <v>80</v>
      </c>
      <c r="O1151" s="4" t="s">
        <v>3340</v>
      </c>
    </row>
    <row r="1152" spans="1:15" ht="15.75" customHeight="1">
      <c r="A1152" s="4" t="s">
        <v>49</v>
      </c>
      <c r="B1152" s="4">
        <v>1202286</v>
      </c>
      <c r="C1152" s="4">
        <v>1202774</v>
      </c>
      <c r="E1152" s="4" t="s">
        <v>55</v>
      </c>
      <c r="F1152" s="4" t="s">
        <v>56</v>
      </c>
      <c r="I1152" s="4" t="s">
        <v>52</v>
      </c>
      <c r="L1152" s="4" t="s">
        <v>3341</v>
      </c>
      <c r="M1152" s="4" t="s">
        <v>56</v>
      </c>
      <c r="N1152" s="4">
        <v>162</v>
      </c>
      <c r="O1152" s="4" t="s">
        <v>3342</v>
      </c>
    </row>
    <row r="1153" spans="1:15" ht="15.75" customHeight="1">
      <c r="A1153" s="4" t="s">
        <v>49</v>
      </c>
      <c r="B1153" s="4">
        <v>1202897</v>
      </c>
      <c r="C1153" s="4">
        <v>1203070</v>
      </c>
      <c r="E1153" s="4" t="s">
        <v>50</v>
      </c>
      <c r="F1153" s="4" t="s">
        <v>56</v>
      </c>
      <c r="I1153" s="4" t="s">
        <v>52</v>
      </c>
      <c r="L1153" s="4" t="s">
        <v>3343</v>
      </c>
      <c r="M1153" s="4" t="s">
        <v>56</v>
      </c>
      <c r="N1153" s="4">
        <v>57</v>
      </c>
      <c r="O1153" s="4" t="s">
        <v>3344</v>
      </c>
    </row>
    <row r="1154" spans="1:15" ht="15.75" customHeight="1">
      <c r="A1154" s="4" t="s">
        <v>49</v>
      </c>
      <c r="B1154" s="4">
        <v>1203174</v>
      </c>
      <c r="C1154" s="4">
        <v>1204094</v>
      </c>
      <c r="E1154" s="4" t="s">
        <v>55</v>
      </c>
      <c r="F1154" s="4" t="s">
        <v>3345</v>
      </c>
      <c r="I1154" s="4" t="s">
        <v>52</v>
      </c>
      <c r="L1154" s="4" t="s">
        <v>3346</v>
      </c>
      <c r="M1154" s="4" t="s">
        <v>3345</v>
      </c>
      <c r="N1154" s="4">
        <v>306</v>
      </c>
      <c r="O1154" s="4" t="s">
        <v>3347</v>
      </c>
    </row>
    <row r="1155" spans="1:15" ht="15.75" customHeight="1">
      <c r="A1155" s="4" t="s">
        <v>49</v>
      </c>
      <c r="B1155" s="4">
        <v>1204125</v>
      </c>
      <c r="C1155" s="4">
        <v>1204739</v>
      </c>
      <c r="E1155" s="4" t="s">
        <v>55</v>
      </c>
      <c r="F1155" s="4" t="s">
        <v>3348</v>
      </c>
      <c r="I1155" s="4" t="s">
        <v>52</v>
      </c>
      <c r="L1155" s="4" t="s">
        <v>3349</v>
      </c>
      <c r="M1155" s="4" t="s">
        <v>3348</v>
      </c>
      <c r="N1155" s="4">
        <v>204</v>
      </c>
      <c r="O1155" s="4" t="s">
        <v>3350</v>
      </c>
    </row>
    <row r="1156" spans="1:15" ht="15.75" customHeight="1">
      <c r="A1156" s="4" t="s">
        <v>49</v>
      </c>
      <c r="B1156" s="4">
        <v>1205024</v>
      </c>
      <c r="C1156" s="4">
        <v>1205470</v>
      </c>
      <c r="E1156" s="4" t="s">
        <v>55</v>
      </c>
      <c r="F1156" s="4" t="s">
        <v>630</v>
      </c>
      <c r="I1156" s="4" t="s">
        <v>52</v>
      </c>
      <c r="L1156" s="4" t="s">
        <v>3351</v>
      </c>
      <c r="M1156" s="4" t="s">
        <v>630</v>
      </c>
      <c r="N1156" s="4">
        <v>148</v>
      </c>
      <c r="O1156" s="4" t="s">
        <v>3352</v>
      </c>
    </row>
    <row r="1157" spans="1:15" ht="15.75" customHeight="1">
      <c r="A1157" s="4" t="s">
        <v>49</v>
      </c>
      <c r="B1157" s="4">
        <v>1205780</v>
      </c>
      <c r="C1157" s="4">
        <v>1206169</v>
      </c>
      <c r="E1157" s="4" t="s">
        <v>50</v>
      </c>
      <c r="F1157" s="4" t="s">
        <v>92</v>
      </c>
      <c r="I1157" s="4" t="s">
        <v>52</v>
      </c>
      <c r="L1157" s="4" t="s">
        <v>3353</v>
      </c>
      <c r="M1157" s="4" t="s">
        <v>92</v>
      </c>
      <c r="N1157" s="4">
        <v>129</v>
      </c>
      <c r="O1157" s="4" t="s">
        <v>3354</v>
      </c>
    </row>
    <row r="1158" spans="1:15" ht="15.75" customHeight="1">
      <c r="A1158" s="4" t="s">
        <v>49</v>
      </c>
      <c r="B1158" s="4">
        <v>1206397</v>
      </c>
      <c r="C1158" s="4">
        <v>1207185</v>
      </c>
      <c r="E1158" s="4" t="s">
        <v>50</v>
      </c>
      <c r="F1158" s="4" t="s">
        <v>2936</v>
      </c>
      <c r="I1158" s="4" t="s">
        <v>52</v>
      </c>
      <c r="L1158" s="4" t="s">
        <v>3355</v>
      </c>
      <c r="M1158" s="4" t="s">
        <v>2936</v>
      </c>
      <c r="N1158" s="4">
        <v>262</v>
      </c>
      <c r="O1158" s="4" t="s">
        <v>3356</v>
      </c>
    </row>
    <row r="1159" spans="1:15" ht="15.75" customHeight="1">
      <c r="A1159" s="4" t="s">
        <v>49</v>
      </c>
      <c r="B1159" s="4">
        <v>1207471</v>
      </c>
      <c r="C1159" s="4">
        <v>1208613</v>
      </c>
      <c r="E1159" s="4" t="s">
        <v>50</v>
      </c>
      <c r="F1159" s="4" t="s">
        <v>3357</v>
      </c>
      <c r="G1159" s="4" t="s">
        <v>3358</v>
      </c>
      <c r="I1159" s="4" t="s">
        <v>52</v>
      </c>
      <c r="L1159" s="4" t="s">
        <v>3359</v>
      </c>
      <c r="M1159" s="4" t="s">
        <v>3357</v>
      </c>
      <c r="N1159" s="4">
        <v>380</v>
      </c>
      <c r="O1159" s="4" t="s">
        <v>3360</v>
      </c>
    </row>
    <row r="1160" spans="1:15" ht="15.75" customHeight="1">
      <c r="A1160" s="4" t="s">
        <v>49</v>
      </c>
      <c r="B1160" s="4">
        <v>1208653</v>
      </c>
      <c r="C1160" s="4">
        <v>1209018</v>
      </c>
      <c r="E1160" s="4" t="s">
        <v>50</v>
      </c>
      <c r="F1160" s="4" t="s">
        <v>56</v>
      </c>
      <c r="I1160" s="4" t="s">
        <v>52</v>
      </c>
      <c r="L1160" s="4" t="s">
        <v>3361</v>
      </c>
      <c r="M1160" s="4" t="s">
        <v>56</v>
      </c>
      <c r="N1160" s="4">
        <v>121</v>
      </c>
      <c r="O1160" s="4" t="s">
        <v>3362</v>
      </c>
    </row>
    <row r="1161" spans="1:15" ht="15.75" customHeight="1">
      <c r="A1161" s="4" t="s">
        <v>49</v>
      </c>
      <c r="B1161" s="4">
        <v>1209100</v>
      </c>
      <c r="C1161" s="4">
        <v>1209636</v>
      </c>
      <c r="E1161" s="4" t="s">
        <v>55</v>
      </c>
      <c r="F1161" s="4" t="s">
        <v>3363</v>
      </c>
      <c r="I1161" s="4" t="s">
        <v>52</v>
      </c>
      <c r="L1161" s="4" t="s">
        <v>3364</v>
      </c>
      <c r="M1161" s="4" t="s">
        <v>3363</v>
      </c>
      <c r="N1161" s="4">
        <v>178</v>
      </c>
      <c r="O1161" s="4" t="s">
        <v>3365</v>
      </c>
    </row>
    <row r="1162" spans="1:15" ht="15.75" customHeight="1">
      <c r="A1162" s="4" t="s">
        <v>49</v>
      </c>
      <c r="B1162" s="4">
        <v>1209775</v>
      </c>
      <c r="C1162" s="4">
        <v>1210179</v>
      </c>
      <c r="E1162" s="4" t="s">
        <v>55</v>
      </c>
      <c r="F1162" s="4" t="s">
        <v>743</v>
      </c>
      <c r="I1162" s="4" t="s">
        <v>52</v>
      </c>
      <c r="L1162" s="4" t="s">
        <v>3366</v>
      </c>
      <c r="M1162" s="4" t="s">
        <v>743</v>
      </c>
      <c r="N1162" s="4">
        <v>134</v>
      </c>
      <c r="O1162" s="4" t="s">
        <v>3367</v>
      </c>
    </row>
    <row r="1163" spans="1:15" ht="15.75" customHeight="1">
      <c r="A1163" s="4" t="s">
        <v>49</v>
      </c>
      <c r="B1163" s="4">
        <v>1210395</v>
      </c>
      <c r="C1163" s="4">
        <v>1210868</v>
      </c>
      <c r="E1163" s="4" t="s">
        <v>55</v>
      </c>
      <c r="F1163" s="4" t="s">
        <v>321</v>
      </c>
      <c r="I1163" s="4" t="s">
        <v>52</v>
      </c>
      <c r="L1163" s="4" t="s">
        <v>3368</v>
      </c>
      <c r="M1163" s="4" t="s">
        <v>321</v>
      </c>
      <c r="N1163" s="4">
        <v>157</v>
      </c>
      <c r="O1163" s="4" t="s">
        <v>3369</v>
      </c>
    </row>
    <row r="1164" spans="1:15" ht="15.75" customHeight="1">
      <c r="A1164" s="4" t="s">
        <v>49</v>
      </c>
      <c r="B1164" s="4">
        <v>1210880</v>
      </c>
      <c r="C1164" s="4">
        <v>1211920</v>
      </c>
      <c r="E1164" s="4" t="s">
        <v>55</v>
      </c>
      <c r="F1164" s="4" t="s">
        <v>1637</v>
      </c>
      <c r="I1164" s="4" t="s">
        <v>52</v>
      </c>
      <c r="L1164" s="4" t="s">
        <v>3370</v>
      </c>
      <c r="M1164" s="4" t="s">
        <v>1637</v>
      </c>
      <c r="N1164" s="4">
        <v>346</v>
      </c>
      <c r="O1164" s="4" t="s">
        <v>3371</v>
      </c>
    </row>
    <row r="1165" spans="1:15" ht="15.75" customHeight="1">
      <c r="A1165" s="4" t="s">
        <v>49</v>
      </c>
      <c r="B1165" s="4">
        <v>1212079</v>
      </c>
      <c r="C1165" s="4">
        <v>1212732</v>
      </c>
      <c r="E1165" s="4" t="s">
        <v>55</v>
      </c>
      <c r="F1165" s="4" t="s">
        <v>1108</v>
      </c>
      <c r="I1165" s="4" t="s">
        <v>52</v>
      </c>
      <c r="L1165" s="4" t="s">
        <v>3372</v>
      </c>
      <c r="M1165" s="4" t="s">
        <v>1108</v>
      </c>
      <c r="N1165" s="4">
        <v>217</v>
      </c>
      <c r="O1165" s="4" t="s">
        <v>3373</v>
      </c>
    </row>
    <row r="1166" spans="1:15" ht="15.75" customHeight="1">
      <c r="A1166" s="4" t="s">
        <v>49</v>
      </c>
      <c r="B1166" s="4">
        <v>1213081</v>
      </c>
      <c r="C1166" s="4">
        <v>1213641</v>
      </c>
      <c r="E1166" s="4" t="s">
        <v>50</v>
      </c>
      <c r="F1166" s="4" t="s">
        <v>440</v>
      </c>
      <c r="I1166" s="4" t="s">
        <v>52</v>
      </c>
      <c r="L1166" s="4" t="s">
        <v>3374</v>
      </c>
      <c r="M1166" s="4" t="s">
        <v>440</v>
      </c>
      <c r="N1166" s="4">
        <v>186</v>
      </c>
      <c r="O1166" s="4" t="s">
        <v>3375</v>
      </c>
    </row>
    <row r="1167" spans="1:15" ht="15.75" customHeight="1">
      <c r="A1167" s="4" t="s">
        <v>49</v>
      </c>
      <c r="B1167" s="4">
        <v>1213711</v>
      </c>
      <c r="C1167" s="4">
        <v>1213782</v>
      </c>
      <c r="E1167" s="4" t="s">
        <v>55</v>
      </c>
      <c r="F1167" s="4" t="s">
        <v>2543</v>
      </c>
      <c r="I1167" s="4" t="s">
        <v>302</v>
      </c>
      <c r="O1167" s="4" t="s">
        <v>3376</v>
      </c>
    </row>
    <row r="1168" spans="1:15" ht="15.75" customHeight="1">
      <c r="A1168" s="4" t="s">
        <v>49</v>
      </c>
      <c r="B1168" s="4">
        <v>1214013</v>
      </c>
      <c r="C1168" s="4">
        <v>1214573</v>
      </c>
      <c r="E1168" s="4" t="s">
        <v>50</v>
      </c>
      <c r="F1168" s="4" t="s">
        <v>3377</v>
      </c>
      <c r="I1168" s="4" t="s">
        <v>52</v>
      </c>
      <c r="L1168" s="4" t="s">
        <v>3378</v>
      </c>
      <c r="M1168" s="4" t="s">
        <v>3377</v>
      </c>
      <c r="N1168" s="4">
        <v>186</v>
      </c>
      <c r="O1168" s="4" t="s">
        <v>3379</v>
      </c>
    </row>
    <row r="1169" spans="1:15" ht="15.75" customHeight="1">
      <c r="A1169" s="4" t="s">
        <v>49</v>
      </c>
      <c r="B1169" s="4">
        <v>1214671</v>
      </c>
      <c r="C1169" s="4">
        <v>1215720</v>
      </c>
      <c r="E1169" s="4" t="s">
        <v>55</v>
      </c>
      <c r="F1169" s="4" t="s">
        <v>3380</v>
      </c>
      <c r="I1169" s="4" t="s">
        <v>52</v>
      </c>
      <c r="L1169" s="4" t="s">
        <v>3381</v>
      </c>
      <c r="M1169" s="4" t="s">
        <v>3380</v>
      </c>
      <c r="N1169" s="4">
        <v>349</v>
      </c>
      <c r="O1169" s="4" t="s">
        <v>3382</v>
      </c>
    </row>
    <row r="1170" spans="1:15" ht="15.75" customHeight="1">
      <c r="A1170" s="4" t="s">
        <v>49</v>
      </c>
      <c r="B1170" s="4">
        <v>1215931</v>
      </c>
      <c r="C1170" s="4">
        <v>1216551</v>
      </c>
      <c r="E1170" s="4" t="s">
        <v>55</v>
      </c>
      <c r="F1170" s="4" t="s">
        <v>3383</v>
      </c>
      <c r="I1170" s="4" t="s">
        <v>52</v>
      </c>
      <c r="L1170" s="4" t="s">
        <v>3384</v>
      </c>
      <c r="M1170" s="4" t="s">
        <v>3383</v>
      </c>
      <c r="N1170" s="4">
        <v>206</v>
      </c>
      <c r="O1170" s="4" t="s">
        <v>3385</v>
      </c>
    </row>
    <row r="1171" spans="1:15" ht="15.75" customHeight="1">
      <c r="A1171" s="4" t="s">
        <v>49</v>
      </c>
      <c r="B1171" s="4">
        <v>1216577</v>
      </c>
      <c r="C1171" s="4">
        <v>1217320</v>
      </c>
      <c r="E1171" s="4" t="s">
        <v>55</v>
      </c>
      <c r="F1171" s="4" t="s">
        <v>3386</v>
      </c>
      <c r="I1171" s="4" t="s">
        <v>52</v>
      </c>
      <c r="L1171" s="4" t="s">
        <v>3387</v>
      </c>
      <c r="M1171" s="4" t="s">
        <v>3386</v>
      </c>
      <c r="N1171" s="4">
        <v>247</v>
      </c>
      <c r="O1171" s="4" t="s">
        <v>3388</v>
      </c>
    </row>
    <row r="1172" spans="1:15" ht="15.75" customHeight="1">
      <c r="A1172" s="4" t="s">
        <v>49</v>
      </c>
      <c r="B1172" s="4">
        <v>1217456</v>
      </c>
      <c r="C1172" s="4">
        <v>1218847</v>
      </c>
      <c r="E1172" s="4" t="s">
        <v>50</v>
      </c>
      <c r="F1172" s="4" t="s">
        <v>2375</v>
      </c>
      <c r="I1172" s="4" t="s">
        <v>52</v>
      </c>
      <c r="L1172" s="4" t="s">
        <v>3389</v>
      </c>
      <c r="M1172" s="4" t="s">
        <v>2375</v>
      </c>
      <c r="N1172" s="4">
        <v>463</v>
      </c>
      <c r="O1172" s="4" t="s">
        <v>3390</v>
      </c>
    </row>
    <row r="1173" spans="1:15" ht="15.75" customHeight="1">
      <c r="A1173" s="4" t="s">
        <v>49</v>
      </c>
      <c r="B1173" s="4">
        <v>1219053</v>
      </c>
      <c r="C1173" s="4">
        <v>1220510</v>
      </c>
      <c r="E1173" s="4" t="s">
        <v>50</v>
      </c>
      <c r="F1173" s="4" t="s">
        <v>3391</v>
      </c>
      <c r="I1173" s="4" t="s">
        <v>52</v>
      </c>
      <c r="L1173" s="4" t="s">
        <v>3392</v>
      </c>
      <c r="M1173" s="4" t="s">
        <v>3391</v>
      </c>
      <c r="N1173" s="4">
        <v>485</v>
      </c>
      <c r="O1173" s="4" t="s">
        <v>3393</v>
      </c>
    </row>
    <row r="1174" spans="1:15" ht="15.75" customHeight="1">
      <c r="A1174" s="4" t="s">
        <v>49</v>
      </c>
      <c r="B1174" s="4">
        <v>1220507</v>
      </c>
      <c r="C1174" s="4">
        <v>1221001</v>
      </c>
      <c r="E1174" s="4" t="s">
        <v>50</v>
      </c>
      <c r="F1174" s="4" t="s">
        <v>3394</v>
      </c>
      <c r="I1174" s="4" t="s">
        <v>52</v>
      </c>
      <c r="L1174" s="4" t="s">
        <v>3395</v>
      </c>
      <c r="M1174" s="4" t="s">
        <v>3394</v>
      </c>
      <c r="N1174" s="4">
        <v>164</v>
      </c>
      <c r="O1174" s="4" t="s">
        <v>3396</v>
      </c>
    </row>
    <row r="1175" spans="1:15" ht="15.75" customHeight="1">
      <c r="A1175" s="4" t="s">
        <v>49</v>
      </c>
      <c r="B1175" s="4">
        <v>1221096</v>
      </c>
      <c r="C1175" s="4">
        <v>1221281</v>
      </c>
      <c r="E1175" s="4" t="s">
        <v>55</v>
      </c>
      <c r="F1175" s="4" t="s">
        <v>56</v>
      </c>
      <c r="I1175" s="4" t="s">
        <v>52</v>
      </c>
      <c r="L1175" s="4" t="s">
        <v>3397</v>
      </c>
      <c r="M1175" s="4" t="s">
        <v>56</v>
      </c>
      <c r="N1175" s="4">
        <v>61</v>
      </c>
      <c r="O1175" s="4" t="s">
        <v>3398</v>
      </c>
    </row>
    <row r="1176" spans="1:15" ht="15.75" customHeight="1">
      <c r="A1176" s="4" t="s">
        <v>49</v>
      </c>
      <c r="B1176" s="4">
        <v>1221443</v>
      </c>
      <c r="C1176" s="4">
        <v>1222000</v>
      </c>
      <c r="E1176" s="4" t="s">
        <v>55</v>
      </c>
      <c r="F1176" s="4" t="s">
        <v>3399</v>
      </c>
      <c r="I1176" s="4" t="s">
        <v>52</v>
      </c>
      <c r="L1176" s="4" t="s">
        <v>3400</v>
      </c>
      <c r="M1176" s="4" t="s">
        <v>3399</v>
      </c>
      <c r="N1176" s="4">
        <v>185</v>
      </c>
      <c r="O1176" s="4" t="s">
        <v>3401</v>
      </c>
    </row>
    <row r="1177" spans="1:15" ht="15.75" customHeight="1">
      <c r="A1177" s="4" t="s">
        <v>49</v>
      </c>
      <c r="B1177" s="4">
        <v>1221997</v>
      </c>
      <c r="C1177" s="4">
        <v>1223952</v>
      </c>
      <c r="E1177" s="4" t="s">
        <v>55</v>
      </c>
      <c r="F1177" s="4" t="s">
        <v>3402</v>
      </c>
      <c r="G1177" s="4" t="s">
        <v>3403</v>
      </c>
      <c r="I1177" s="4" t="s">
        <v>52</v>
      </c>
      <c r="L1177" s="4" t="s">
        <v>3404</v>
      </c>
      <c r="M1177" s="4" t="s">
        <v>3402</v>
      </c>
      <c r="N1177" s="4">
        <v>651</v>
      </c>
      <c r="O1177" s="4" t="s">
        <v>3405</v>
      </c>
    </row>
    <row r="1178" spans="1:15" ht="15.75" customHeight="1">
      <c r="A1178" s="4" t="s">
        <v>49</v>
      </c>
      <c r="B1178" s="4">
        <v>1223957</v>
      </c>
      <c r="C1178" s="4">
        <v>1226530</v>
      </c>
      <c r="E1178" s="4" t="s">
        <v>55</v>
      </c>
      <c r="F1178" s="4" t="s">
        <v>3406</v>
      </c>
      <c r="G1178" s="4" t="s">
        <v>3407</v>
      </c>
      <c r="I1178" s="4" t="s">
        <v>52</v>
      </c>
      <c r="L1178" s="4" t="s">
        <v>3408</v>
      </c>
      <c r="M1178" s="4" t="s">
        <v>3406</v>
      </c>
      <c r="N1178" s="4">
        <v>857</v>
      </c>
      <c r="O1178" s="4" t="s">
        <v>3409</v>
      </c>
    </row>
    <row r="1179" spans="1:15" ht="15.75" customHeight="1">
      <c r="A1179" s="4" t="s">
        <v>49</v>
      </c>
      <c r="B1179" s="4">
        <v>1226797</v>
      </c>
      <c r="C1179" s="4">
        <v>1228626</v>
      </c>
      <c r="E1179" s="4" t="s">
        <v>55</v>
      </c>
      <c r="F1179" s="4" t="s">
        <v>2780</v>
      </c>
      <c r="I1179" s="4" t="s">
        <v>52</v>
      </c>
      <c r="L1179" s="4" t="s">
        <v>3410</v>
      </c>
      <c r="M1179" s="4" t="s">
        <v>2780</v>
      </c>
      <c r="N1179" s="4">
        <v>609</v>
      </c>
      <c r="O1179" s="4" t="s">
        <v>3411</v>
      </c>
    </row>
    <row r="1180" spans="1:15" ht="15.75" customHeight="1">
      <c r="A1180" s="4" t="s">
        <v>49</v>
      </c>
      <c r="B1180" s="4">
        <v>1228856</v>
      </c>
      <c r="C1180" s="4">
        <v>1229200</v>
      </c>
      <c r="E1180" s="4" t="s">
        <v>55</v>
      </c>
      <c r="F1180" s="4" t="s">
        <v>2369</v>
      </c>
      <c r="I1180" s="4" t="s">
        <v>52</v>
      </c>
      <c r="L1180" s="4" t="s">
        <v>3412</v>
      </c>
      <c r="M1180" s="4" t="s">
        <v>2369</v>
      </c>
      <c r="N1180" s="4">
        <v>114</v>
      </c>
      <c r="O1180" s="4" t="s">
        <v>3413</v>
      </c>
    </row>
    <row r="1181" spans="1:15" ht="15.75" customHeight="1">
      <c r="A1181" s="4" t="s">
        <v>49</v>
      </c>
      <c r="B1181" s="4">
        <v>1229694</v>
      </c>
      <c r="C1181" s="4">
        <v>1231328</v>
      </c>
      <c r="E1181" s="4" t="s">
        <v>55</v>
      </c>
      <c r="F1181" s="4" t="s">
        <v>3414</v>
      </c>
      <c r="G1181" s="4" t="s">
        <v>3415</v>
      </c>
      <c r="I1181" s="4" t="s">
        <v>52</v>
      </c>
      <c r="L1181" s="4" t="s">
        <v>3416</v>
      </c>
      <c r="M1181" s="4" t="s">
        <v>3414</v>
      </c>
      <c r="N1181" s="4">
        <v>544</v>
      </c>
      <c r="O1181" s="4" t="s">
        <v>3417</v>
      </c>
    </row>
    <row r="1182" spans="1:15" ht="15.75" customHeight="1">
      <c r="A1182" s="4" t="s">
        <v>49</v>
      </c>
      <c r="B1182" s="4">
        <v>1231365</v>
      </c>
      <c r="C1182" s="4">
        <v>1231646</v>
      </c>
      <c r="E1182" s="4" t="s">
        <v>55</v>
      </c>
      <c r="F1182" s="4" t="s">
        <v>3418</v>
      </c>
      <c r="G1182" s="4" t="s">
        <v>3419</v>
      </c>
      <c r="I1182" s="4" t="s">
        <v>52</v>
      </c>
      <c r="L1182" s="4" t="s">
        <v>3420</v>
      </c>
      <c r="M1182" s="4" t="s">
        <v>3418</v>
      </c>
      <c r="N1182" s="4">
        <v>93</v>
      </c>
      <c r="O1182" s="4" t="s">
        <v>3421</v>
      </c>
    </row>
    <row r="1183" spans="1:15" ht="15.75" customHeight="1">
      <c r="A1183" s="4" t="s">
        <v>49</v>
      </c>
      <c r="B1183" s="4">
        <v>1231798</v>
      </c>
      <c r="C1183" s="4">
        <v>1232442</v>
      </c>
      <c r="E1183" s="4" t="s">
        <v>50</v>
      </c>
      <c r="F1183" s="4" t="s">
        <v>3422</v>
      </c>
      <c r="I1183" s="4" t="s">
        <v>52</v>
      </c>
      <c r="L1183" s="4" t="s">
        <v>3423</v>
      </c>
      <c r="M1183" s="4" t="s">
        <v>3422</v>
      </c>
      <c r="N1183" s="4">
        <v>214</v>
      </c>
      <c r="O1183" s="4" t="s">
        <v>3424</v>
      </c>
    </row>
    <row r="1184" spans="1:15" ht="15.75" customHeight="1">
      <c r="A1184" s="4" t="s">
        <v>49</v>
      </c>
      <c r="B1184" s="4">
        <v>1232523</v>
      </c>
      <c r="C1184" s="4">
        <v>1233581</v>
      </c>
      <c r="E1184" s="4" t="s">
        <v>50</v>
      </c>
      <c r="F1184" s="4" t="s">
        <v>2939</v>
      </c>
      <c r="I1184" s="4" t="s">
        <v>52</v>
      </c>
      <c r="L1184" s="4" t="s">
        <v>3425</v>
      </c>
      <c r="M1184" s="4" t="s">
        <v>2939</v>
      </c>
      <c r="N1184" s="4">
        <v>352</v>
      </c>
      <c r="O1184" s="4" t="s">
        <v>3426</v>
      </c>
    </row>
    <row r="1185" spans="1:15" ht="15.75" customHeight="1">
      <c r="A1185" s="4" t="s">
        <v>49</v>
      </c>
      <c r="B1185" s="4">
        <v>1233643</v>
      </c>
      <c r="C1185" s="4">
        <v>1234671</v>
      </c>
      <c r="E1185" s="4" t="s">
        <v>55</v>
      </c>
      <c r="F1185" s="4" t="s">
        <v>56</v>
      </c>
      <c r="I1185" s="4" t="s">
        <v>52</v>
      </c>
      <c r="L1185" s="4" t="s">
        <v>3427</v>
      </c>
      <c r="M1185" s="4" t="s">
        <v>56</v>
      </c>
      <c r="N1185" s="4">
        <v>342</v>
      </c>
      <c r="O1185" s="4" t="s">
        <v>3428</v>
      </c>
    </row>
    <row r="1186" spans="1:15" ht="15.75" customHeight="1">
      <c r="A1186" s="4" t="s">
        <v>49</v>
      </c>
      <c r="B1186" s="4">
        <v>1234672</v>
      </c>
      <c r="C1186" s="4">
        <v>1235559</v>
      </c>
      <c r="E1186" s="4" t="s">
        <v>55</v>
      </c>
      <c r="F1186" s="4" t="s">
        <v>2499</v>
      </c>
      <c r="I1186" s="4" t="s">
        <v>52</v>
      </c>
      <c r="L1186" s="4" t="s">
        <v>3429</v>
      </c>
      <c r="M1186" s="4" t="s">
        <v>2499</v>
      </c>
      <c r="N1186" s="4">
        <v>295</v>
      </c>
      <c r="O1186" s="4" t="s">
        <v>3430</v>
      </c>
    </row>
    <row r="1187" spans="1:15" ht="15.75" customHeight="1">
      <c r="A1187" s="4" t="s">
        <v>49</v>
      </c>
      <c r="B1187" s="4">
        <v>1235556</v>
      </c>
      <c r="C1187" s="4">
        <v>1235921</v>
      </c>
      <c r="E1187" s="4" t="s">
        <v>55</v>
      </c>
      <c r="F1187" s="4" t="s">
        <v>2401</v>
      </c>
      <c r="I1187" s="4" t="s">
        <v>52</v>
      </c>
      <c r="L1187" s="4" t="s">
        <v>3431</v>
      </c>
      <c r="M1187" s="4" t="s">
        <v>2401</v>
      </c>
      <c r="N1187" s="4">
        <v>121</v>
      </c>
      <c r="O1187" s="4" t="s">
        <v>3432</v>
      </c>
    </row>
    <row r="1188" spans="1:15" ht="15.75" customHeight="1">
      <c r="A1188" s="4" t="s">
        <v>49</v>
      </c>
      <c r="B1188" s="4">
        <v>1236196</v>
      </c>
      <c r="C1188" s="4">
        <v>1237440</v>
      </c>
      <c r="E1188" s="4" t="s">
        <v>50</v>
      </c>
      <c r="F1188" s="4" t="s">
        <v>803</v>
      </c>
      <c r="I1188" s="4" t="s">
        <v>52</v>
      </c>
      <c r="L1188" s="4" t="s">
        <v>3433</v>
      </c>
      <c r="M1188" s="4" t="s">
        <v>803</v>
      </c>
      <c r="N1188" s="4">
        <v>414</v>
      </c>
      <c r="O1188" s="4" t="s">
        <v>3434</v>
      </c>
    </row>
    <row r="1189" spans="1:15" ht="15.75" customHeight="1">
      <c r="A1189" s="4" t="s">
        <v>49</v>
      </c>
      <c r="B1189" s="4">
        <v>1237533</v>
      </c>
      <c r="C1189" s="4">
        <v>1238186</v>
      </c>
      <c r="E1189" s="4" t="s">
        <v>55</v>
      </c>
      <c r="F1189" s="4" t="s">
        <v>813</v>
      </c>
      <c r="I1189" s="4" t="s">
        <v>52</v>
      </c>
      <c r="L1189" s="4" t="s">
        <v>3435</v>
      </c>
      <c r="M1189" s="4" t="s">
        <v>813</v>
      </c>
      <c r="N1189" s="4">
        <v>217</v>
      </c>
      <c r="O1189" s="4" t="s">
        <v>3436</v>
      </c>
    </row>
    <row r="1190" spans="1:15" ht="15.75" customHeight="1">
      <c r="A1190" s="4" t="s">
        <v>49</v>
      </c>
      <c r="B1190" s="4">
        <v>1238404</v>
      </c>
      <c r="C1190" s="4">
        <v>1240356</v>
      </c>
      <c r="E1190" s="4" t="s">
        <v>50</v>
      </c>
      <c r="F1190" s="4" t="s">
        <v>1207</v>
      </c>
      <c r="I1190" s="4" t="s">
        <v>52</v>
      </c>
      <c r="L1190" s="4" t="s">
        <v>3437</v>
      </c>
      <c r="M1190" s="4" t="s">
        <v>1207</v>
      </c>
      <c r="N1190" s="4">
        <v>650</v>
      </c>
      <c r="O1190" s="4" t="s">
        <v>3438</v>
      </c>
    </row>
    <row r="1191" spans="1:15" ht="15.75" customHeight="1">
      <c r="A1191" s="4" t="s">
        <v>49</v>
      </c>
      <c r="B1191" s="4">
        <v>1240633</v>
      </c>
      <c r="C1191" s="4">
        <v>1240968</v>
      </c>
      <c r="E1191" s="4" t="s">
        <v>55</v>
      </c>
      <c r="F1191" s="4" t="s">
        <v>2415</v>
      </c>
      <c r="I1191" s="4" t="s">
        <v>52</v>
      </c>
      <c r="L1191" s="4" t="s">
        <v>3439</v>
      </c>
      <c r="M1191" s="4" t="s">
        <v>2415</v>
      </c>
      <c r="N1191" s="4">
        <v>111</v>
      </c>
      <c r="O1191" s="4" t="s">
        <v>3440</v>
      </c>
    </row>
    <row r="1192" spans="1:15" ht="15.75" customHeight="1">
      <c r="A1192" s="4" t="s">
        <v>49</v>
      </c>
      <c r="B1192" s="4">
        <v>1241064</v>
      </c>
      <c r="C1192" s="4">
        <v>1242089</v>
      </c>
      <c r="E1192" s="4" t="s">
        <v>55</v>
      </c>
      <c r="F1192" s="4" t="s">
        <v>3441</v>
      </c>
      <c r="G1192" s="4" t="s">
        <v>3442</v>
      </c>
      <c r="I1192" s="4" t="s">
        <v>52</v>
      </c>
      <c r="L1192" s="4" t="s">
        <v>3443</v>
      </c>
      <c r="M1192" s="4" t="s">
        <v>3441</v>
      </c>
      <c r="N1192" s="4">
        <v>341</v>
      </c>
      <c r="O1192" s="4" t="s">
        <v>3444</v>
      </c>
    </row>
    <row r="1193" spans="1:15" ht="15.75" customHeight="1">
      <c r="A1193" s="4" t="s">
        <v>49</v>
      </c>
      <c r="B1193" s="4">
        <v>1242123</v>
      </c>
      <c r="C1193" s="4">
        <v>1242656</v>
      </c>
      <c r="E1193" s="4" t="s">
        <v>55</v>
      </c>
      <c r="F1193" s="4" t="s">
        <v>3445</v>
      </c>
      <c r="G1193" s="4" t="s">
        <v>3446</v>
      </c>
      <c r="I1193" s="4" t="s">
        <v>52</v>
      </c>
      <c r="L1193" s="4" t="s">
        <v>3447</v>
      </c>
      <c r="M1193" s="4" t="s">
        <v>3445</v>
      </c>
      <c r="N1193" s="4">
        <v>177</v>
      </c>
      <c r="O1193" s="4" t="s">
        <v>3448</v>
      </c>
    </row>
    <row r="1194" spans="1:15" ht="15.75" customHeight="1">
      <c r="A1194" s="4" t="s">
        <v>49</v>
      </c>
      <c r="B1194" s="4">
        <v>1242640</v>
      </c>
      <c r="C1194" s="4">
        <v>1243362</v>
      </c>
      <c r="E1194" s="4" t="s">
        <v>55</v>
      </c>
      <c r="F1194" s="4" t="s">
        <v>3449</v>
      </c>
      <c r="G1194" s="4" t="s">
        <v>3450</v>
      </c>
      <c r="I1194" s="4" t="s">
        <v>52</v>
      </c>
      <c r="L1194" s="4" t="s">
        <v>3451</v>
      </c>
      <c r="M1194" s="4" t="s">
        <v>3449</v>
      </c>
      <c r="N1194" s="4">
        <v>240</v>
      </c>
      <c r="O1194" s="4" t="s">
        <v>3452</v>
      </c>
    </row>
    <row r="1195" spans="1:15" ht="15.75" customHeight="1">
      <c r="A1195" s="4" t="s">
        <v>49</v>
      </c>
      <c r="B1195" s="4">
        <v>1243846</v>
      </c>
      <c r="C1195" s="4">
        <v>1244451</v>
      </c>
      <c r="E1195" s="4" t="s">
        <v>55</v>
      </c>
      <c r="F1195" s="4" t="s">
        <v>56</v>
      </c>
      <c r="I1195" s="4" t="s">
        <v>52</v>
      </c>
      <c r="L1195" s="4" t="s">
        <v>3453</v>
      </c>
      <c r="M1195" s="4" t="s">
        <v>56</v>
      </c>
      <c r="N1195" s="4">
        <v>201</v>
      </c>
      <c r="O1195" s="4" t="s">
        <v>3454</v>
      </c>
    </row>
    <row r="1196" spans="1:15" ht="15.75" customHeight="1">
      <c r="A1196" s="4" t="s">
        <v>49</v>
      </c>
      <c r="B1196" s="4">
        <v>1244681</v>
      </c>
      <c r="C1196" s="4">
        <v>1245199</v>
      </c>
      <c r="E1196" s="4" t="s">
        <v>55</v>
      </c>
      <c r="F1196" s="4" t="s">
        <v>3455</v>
      </c>
      <c r="I1196" s="4" t="s">
        <v>52</v>
      </c>
      <c r="L1196" s="4" t="s">
        <v>3456</v>
      </c>
      <c r="M1196" s="4" t="s">
        <v>3455</v>
      </c>
      <c r="N1196" s="4">
        <v>172</v>
      </c>
      <c r="O1196" s="4" t="s">
        <v>3457</v>
      </c>
    </row>
    <row r="1197" spans="1:15" ht="15.75" customHeight="1">
      <c r="A1197" s="4" t="s">
        <v>49</v>
      </c>
      <c r="B1197" s="4">
        <v>1245671</v>
      </c>
      <c r="C1197" s="4">
        <v>1246651</v>
      </c>
      <c r="E1197" s="4" t="s">
        <v>50</v>
      </c>
      <c r="F1197" s="4" t="s">
        <v>3458</v>
      </c>
      <c r="I1197" s="4" t="s">
        <v>52</v>
      </c>
      <c r="L1197" s="4" t="s">
        <v>3459</v>
      </c>
      <c r="M1197" s="4" t="s">
        <v>3458</v>
      </c>
      <c r="N1197" s="4">
        <v>326</v>
      </c>
      <c r="O1197" s="4" t="s">
        <v>3460</v>
      </c>
    </row>
    <row r="1198" spans="1:15" ht="15.75" customHeight="1">
      <c r="A1198" s="4" t="s">
        <v>49</v>
      </c>
      <c r="B1198" s="4">
        <v>1246747</v>
      </c>
      <c r="C1198" s="4">
        <v>1247490</v>
      </c>
      <c r="E1198" s="4" t="s">
        <v>55</v>
      </c>
      <c r="F1198" s="4" t="s">
        <v>3461</v>
      </c>
      <c r="I1198" s="4" t="s">
        <v>52</v>
      </c>
      <c r="L1198" s="4" t="s">
        <v>3462</v>
      </c>
      <c r="M1198" s="4" t="s">
        <v>3461</v>
      </c>
      <c r="N1198" s="4">
        <v>247</v>
      </c>
      <c r="O1198" s="4" t="s">
        <v>3463</v>
      </c>
    </row>
    <row r="1199" spans="1:15" ht="15.75" customHeight="1">
      <c r="A1199" s="4" t="s">
        <v>49</v>
      </c>
      <c r="B1199" s="4">
        <v>1247585</v>
      </c>
      <c r="C1199" s="4">
        <v>1248442</v>
      </c>
      <c r="E1199" s="4" t="s">
        <v>55</v>
      </c>
      <c r="F1199" s="4" t="s">
        <v>3464</v>
      </c>
      <c r="G1199" s="4" t="s">
        <v>3465</v>
      </c>
      <c r="I1199" s="4" t="s">
        <v>52</v>
      </c>
      <c r="L1199" s="4" t="s">
        <v>3466</v>
      </c>
      <c r="M1199" s="4" t="s">
        <v>3464</v>
      </c>
      <c r="N1199" s="4">
        <v>285</v>
      </c>
      <c r="O1199" s="4" t="s">
        <v>3467</v>
      </c>
    </row>
    <row r="1200" spans="1:15" ht="15.75" customHeight="1">
      <c r="A1200" s="4" t="s">
        <v>49</v>
      </c>
      <c r="B1200" s="4">
        <v>1248444</v>
      </c>
      <c r="C1200" s="4">
        <v>1248782</v>
      </c>
      <c r="E1200" s="4" t="s">
        <v>55</v>
      </c>
      <c r="F1200" s="4" t="s">
        <v>3468</v>
      </c>
      <c r="I1200" s="4" t="s">
        <v>52</v>
      </c>
      <c r="L1200" s="4" t="s">
        <v>3469</v>
      </c>
      <c r="M1200" s="4" t="s">
        <v>3468</v>
      </c>
      <c r="N1200" s="4">
        <v>112</v>
      </c>
      <c r="O1200" s="4" t="s">
        <v>3470</v>
      </c>
    </row>
    <row r="1201" spans="1:15" ht="15.75" customHeight="1">
      <c r="A1201" s="4" t="s">
        <v>49</v>
      </c>
      <c r="B1201" s="4">
        <v>1248787</v>
      </c>
      <c r="C1201" s="4">
        <v>1249764</v>
      </c>
      <c r="E1201" s="4" t="s">
        <v>55</v>
      </c>
      <c r="F1201" s="4" t="s">
        <v>3471</v>
      </c>
      <c r="G1201" s="4" t="s">
        <v>3472</v>
      </c>
      <c r="I1201" s="4" t="s">
        <v>52</v>
      </c>
      <c r="L1201" s="4" t="s">
        <v>3473</v>
      </c>
      <c r="M1201" s="4" t="s">
        <v>3471</v>
      </c>
      <c r="N1201" s="4">
        <v>325</v>
      </c>
      <c r="O1201" s="4" t="s">
        <v>3474</v>
      </c>
    </row>
    <row r="1202" spans="1:15" ht="15.75" customHeight="1">
      <c r="A1202" s="4" t="s">
        <v>49</v>
      </c>
      <c r="B1202" s="4">
        <v>1249764</v>
      </c>
      <c r="C1202" s="4">
        <v>1250093</v>
      </c>
      <c r="E1202" s="4" t="s">
        <v>55</v>
      </c>
      <c r="F1202" s="4" t="s">
        <v>3475</v>
      </c>
      <c r="I1202" s="4" t="s">
        <v>52</v>
      </c>
      <c r="L1202" s="4" t="s">
        <v>3476</v>
      </c>
      <c r="M1202" s="4" t="s">
        <v>3475</v>
      </c>
      <c r="N1202" s="4">
        <v>109</v>
      </c>
      <c r="O1202" s="4" t="s">
        <v>3477</v>
      </c>
    </row>
    <row r="1203" spans="1:15" ht="15.75" customHeight="1">
      <c r="A1203" s="4" t="s">
        <v>49</v>
      </c>
      <c r="B1203" s="4">
        <v>1250128</v>
      </c>
      <c r="C1203" s="4">
        <v>1250772</v>
      </c>
      <c r="E1203" s="4" t="s">
        <v>55</v>
      </c>
      <c r="F1203" s="4" t="s">
        <v>3478</v>
      </c>
      <c r="G1203" s="4" t="s">
        <v>3479</v>
      </c>
      <c r="I1203" s="4" t="s">
        <v>52</v>
      </c>
      <c r="L1203" s="4" t="s">
        <v>3480</v>
      </c>
      <c r="M1203" s="4" t="s">
        <v>3478</v>
      </c>
      <c r="N1203" s="4">
        <v>214</v>
      </c>
      <c r="O1203" s="4" t="s">
        <v>3481</v>
      </c>
    </row>
    <row r="1204" spans="1:15" ht="15.75" customHeight="1">
      <c r="A1204" s="4" t="s">
        <v>49</v>
      </c>
      <c r="B1204" s="4">
        <v>1251368</v>
      </c>
      <c r="C1204" s="4">
        <v>1251631</v>
      </c>
      <c r="E1204" s="4" t="s">
        <v>55</v>
      </c>
      <c r="F1204" s="4" t="s">
        <v>3482</v>
      </c>
      <c r="I1204" s="4" t="s">
        <v>52</v>
      </c>
      <c r="L1204" s="4" t="s">
        <v>3483</v>
      </c>
      <c r="M1204" s="4" t="s">
        <v>3482</v>
      </c>
      <c r="N1204" s="4">
        <v>87</v>
      </c>
      <c r="O1204" s="4" t="s">
        <v>3484</v>
      </c>
    </row>
    <row r="1205" spans="1:15" ht="15.75" customHeight="1">
      <c r="A1205" s="4" t="s">
        <v>49</v>
      </c>
      <c r="B1205" s="4">
        <v>1251631</v>
      </c>
      <c r="C1205" s="4">
        <v>1252230</v>
      </c>
      <c r="E1205" s="4" t="s">
        <v>55</v>
      </c>
      <c r="F1205" s="4" t="s">
        <v>3485</v>
      </c>
      <c r="G1205" s="4" t="s">
        <v>3486</v>
      </c>
      <c r="I1205" s="4" t="s">
        <v>52</v>
      </c>
      <c r="L1205" s="4" t="s">
        <v>3487</v>
      </c>
      <c r="M1205" s="4" t="s">
        <v>3485</v>
      </c>
      <c r="N1205" s="4">
        <v>199</v>
      </c>
      <c r="O1205" s="4" t="s">
        <v>3488</v>
      </c>
    </row>
    <row r="1206" spans="1:15" ht="15.75" customHeight="1">
      <c r="A1206" s="4" t="s">
        <v>49</v>
      </c>
      <c r="B1206" s="4">
        <v>1252545</v>
      </c>
      <c r="C1206" s="4">
        <v>1252853</v>
      </c>
      <c r="E1206" s="4" t="s">
        <v>55</v>
      </c>
      <c r="F1206" s="4" t="s">
        <v>3489</v>
      </c>
      <c r="I1206" s="4" t="s">
        <v>52</v>
      </c>
      <c r="L1206" s="4" t="s">
        <v>3490</v>
      </c>
      <c r="M1206" s="4" t="s">
        <v>3489</v>
      </c>
      <c r="N1206" s="4">
        <v>102</v>
      </c>
      <c r="O1206" s="4" t="s">
        <v>3491</v>
      </c>
    </row>
    <row r="1207" spans="1:15" ht="15.75" customHeight="1">
      <c r="A1207" s="4" t="s">
        <v>49</v>
      </c>
      <c r="B1207" s="4">
        <v>1252870</v>
      </c>
      <c r="C1207" s="4">
        <v>1254567</v>
      </c>
      <c r="E1207" s="4" t="s">
        <v>55</v>
      </c>
      <c r="F1207" s="4" t="s">
        <v>3492</v>
      </c>
      <c r="G1207" s="4" t="s">
        <v>3493</v>
      </c>
      <c r="I1207" s="4" t="s">
        <v>52</v>
      </c>
      <c r="L1207" s="4" t="s">
        <v>3494</v>
      </c>
      <c r="M1207" s="4" t="s">
        <v>3492</v>
      </c>
      <c r="N1207" s="4">
        <v>565</v>
      </c>
      <c r="O1207" s="4" t="s">
        <v>3495</v>
      </c>
    </row>
    <row r="1208" spans="1:15" ht="15.75" customHeight="1">
      <c r="A1208" s="4" t="s">
        <v>49</v>
      </c>
      <c r="B1208" s="4">
        <v>1254937</v>
      </c>
      <c r="C1208" s="4">
        <v>1255023</v>
      </c>
      <c r="E1208" s="4" t="s">
        <v>55</v>
      </c>
      <c r="F1208" s="4" t="s">
        <v>3496</v>
      </c>
      <c r="G1208" s="4" t="s">
        <v>3497</v>
      </c>
      <c r="I1208" s="4" t="s">
        <v>189</v>
      </c>
      <c r="O1208" s="4" t="s">
        <v>3498</v>
      </c>
    </row>
    <row r="1209" spans="1:15" ht="15.75" customHeight="1">
      <c r="A1209" s="4" t="s">
        <v>49</v>
      </c>
      <c r="B1209" s="4">
        <v>1255040</v>
      </c>
      <c r="C1209" s="4">
        <v>1255546</v>
      </c>
      <c r="E1209" s="4" t="s">
        <v>55</v>
      </c>
      <c r="F1209" s="4" t="s">
        <v>3499</v>
      </c>
      <c r="G1209" s="4" t="s">
        <v>3500</v>
      </c>
      <c r="I1209" s="4" t="s">
        <v>52</v>
      </c>
      <c r="L1209" s="4" t="s">
        <v>3501</v>
      </c>
      <c r="M1209" s="4" t="s">
        <v>3499</v>
      </c>
      <c r="N1209" s="4">
        <v>168</v>
      </c>
      <c r="O1209" s="4" t="s">
        <v>3502</v>
      </c>
    </row>
    <row r="1210" spans="1:15" ht="15.75" customHeight="1">
      <c r="A1210" s="4" t="s">
        <v>49</v>
      </c>
      <c r="B1210" s="4">
        <v>1255688</v>
      </c>
      <c r="C1210" s="4">
        <v>1256017</v>
      </c>
      <c r="E1210" s="4" t="s">
        <v>55</v>
      </c>
      <c r="F1210" s="4" t="s">
        <v>56</v>
      </c>
      <c r="I1210" s="4" t="s">
        <v>52</v>
      </c>
      <c r="L1210" s="4" t="s">
        <v>3503</v>
      </c>
      <c r="M1210" s="4" t="s">
        <v>56</v>
      </c>
      <c r="N1210" s="4">
        <v>109</v>
      </c>
      <c r="O1210" s="4" t="s">
        <v>3504</v>
      </c>
    </row>
    <row r="1211" spans="1:15" ht="15.75" customHeight="1">
      <c r="A1211" s="4" t="s">
        <v>49</v>
      </c>
      <c r="B1211" s="4">
        <v>1256074</v>
      </c>
      <c r="C1211" s="4">
        <v>1256670</v>
      </c>
      <c r="E1211" s="4" t="s">
        <v>55</v>
      </c>
      <c r="F1211" s="4" t="s">
        <v>161</v>
      </c>
      <c r="I1211" s="4" t="s">
        <v>52</v>
      </c>
      <c r="L1211" s="4" t="s">
        <v>3505</v>
      </c>
      <c r="M1211" s="4" t="s">
        <v>161</v>
      </c>
      <c r="N1211" s="4">
        <v>198</v>
      </c>
      <c r="O1211" s="4" t="s">
        <v>3506</v>
      </c>
    </row>
    <row r="1212" spans="1:15" ht="15.75" customHeight="1">
      <c r="A1212" s="4" t="s">
        <v>49</v>
      </c>
      <c r="B1212" s="4">
        <v>1256775</v>
      </c>
      <c r="C1212" s="4">
        <v>1259384</v>
      </c>
      <c r="E1212" s="4" t="s">
        <v>55</v>
      </c>
      <c r="F1212" s="4" t="s">
        <v>3507</v>
      </c>
      <c r="G1212" s="4" t="s">
        <v>3508</v>
      </c>
      <c r="I1212" s="4" t="s">
        <v>52</v>
      </c>
      <c r="L1212" s="4" t="s">
        <v>3509</v>
      </c>
      <c r="M1212" s="4" t="s">
        <v>3507</v>
      </c>
      <c r="N1212" s="4">
        <v>869</v>
      </c>
      <c r="O1212" s="4" t="s">
        <v>3510</v>
      </c>
    </row>
    <row r="1213" spans="1:15" ht="15.75" customHeight="1">
      <c r="A1213" s="4" t="s">
        <v>49</v>
      </c>
      <c r="B1213" s="4">
        <v>1259662</v>
      </c>
      <c r="C1213" s="4">
        <v>1260075</v>
      </c>
      <c r="E1213" s="4" t="s">
        <v>50</v>
      </c>
      <c r="F1213" s="4" t="s">
        <v>56</v>
      </c>
      <c r="I1213" s="4" t="s">
        <v>52</v>
      </c>
      <c r="L1213" s="4" t="s">
        <v>3511</v>
      </c>
      <c r="M1213" s="4" t="s">
        <v>56</v>
      </c>
      <c r="N1213" s="4">
        <v>137</v>
      </c>
      <c r="O1213" s="4" t="s">
        <v>3512</v>
      </c>
    </row>
    <row r="1214" spans="1:15" ht="15.75" customHeight="1">
      <c r="A1214" s="4" t="s">
        <v>49</v>
      </c>
      <c r="B1214" s="4">
        <v>1260225</v>
      </c>
      <c r="C1214" s="4">
        <v>1261157</v>
      </c>
      <c r="E1214" s="4" t="s">
        <v>50</v>
      </c>
      <c r="F1214" s="4" t="s">
        <v>3085</v>
      </c>
      <c r="I1214" s="4" t="s">
        <v>52</v>
      </c>
      <c r="L1214" s="4" t="s">
        <v>3513</v>
      </c>
      <c r="M1214" s="4" t="s">
        <v>3085</v>
      </c>
      <c r="N1214" s="4">
        <v>310</v>
      </c>
      <c r="O1214" s="4" t="s">
        <v>3514</v>
      </c>
    </row>
    <row r="1215" spans="1:15" ht="15.75" customHeight="1">
      <c r="A1215" s="4" t="s">
        <v>49</v>
      </c>
      <c r="B1215" s="4">
        <v>1261266</v>
      </c>
      <c r="C1215" s="4">
        <v>1266974</v>
      </c>
      <c r="E1215" s="4" t="s">
        <v>55</v>
      </c>
      <c r="F1215" s="4" t="s">
        <v>3515</v>
      </c>
      <c r="G1215" s="4" t="s">
        <v>3516</v>
      </c>
      <c r="I1215" s="4" t="s">
        <v>52</v>
      </c>
      <c r="L1215" s="4" t="s">
        <v>3517</v>
      </c>
      <c r="M1215" s="4" t="s">
        <v>3515</v>
      </c>
      <c r="N1215" s="4">
        <v>1902</v>
      </c>
      <c r="O1215" s="4" t="s">
        <v>3518</v>
      </c>
    </row>
    <row r="1216" spans="1:15" ht="15.75" customHeight="1">
      <c r="A1216" s="4" t="s">
        <v>49</v>
      </c>
      <c r="B1216" s="4">
        <v>1267264</v>
      </c>
      <c r="C1216" s="4">
        <v>1268163</v>
      </c>
      <c r="E1216" s="4" t="s">
        <v>50</v>
      </c>
      <c r="F1216" s="4" t="s">
        <v>3519</v>
      </c>
      <c r="I1216" s="4" t="s">
        <v>52</v>
      </c>
      <c r="L1216" s="4" t="s">
        <v>3520</v>
      </c>
      <c r="M1216" s="4" t="s">
        <v>3519</v>
      </c>
      <c r="N1216" s="4">
        <v>299</v>
      </c>
      <c r="O1216" s="4" t="s">
        <v>3521</v>
      </c>
    </row>
    <row r="1217" spans="1:15" ht="15.75" customHeight="1">
      <c r="A1217" s="4" t="s">
        <v>49</v>
      </c>
      <c r="B1217" s="4">
        <v>1268337</v>
      </c>
      <c r="C1217" s="4">
        <v>1268705</v>
      </c>
      <c r="E1217" s="4" t="s">
        <v>55</v>
      </c>
      <c r="F1217" s="4" t="s">
        <v>3522</v>
      </c>
      <c r="G1217" s="4" t="s">
        <v>3523</v>
      </c>
      <c r="I1217" s="4" t="s">
        <v>52</v>
      </c>
      <c r="L1217" s="4" t="s">
        <v>3524</v>
      </c>
      <c r="M1217" s="4" t="s">
        <v>3522</v>
      </c>
      <c r="N1217" s="4">
        <v>122</v>
      </c>
      <c r="O1217" s="4" t="s">
        <v>3525</v>
      </c>
    </row>
    <row r="1218" spans="1:15" ht="15.75" customHeight="1">
      <c r="A1218" s="4" t="s">
        <v>49</v>
      </c>
      <c r="B1218" s="4">
        <v>1268746</v>
      </c>
      <c r="C1218" s="4">
        <v>1269252</v>
      </c>
      <c r="E1218" s="4" t="s">
        <v>55</v>
      </c>
      <c r="F1218" s="4" t="s">
        <v>3526</v>
      </c>
      <c r="G1218" s="4" t="s">
        <v>3527</v>
      </c>
      <c r="I1218" s="4" t="s">
        <v>52</v>
      </c>
      <c r="L1218" s="4" t="s">
        <v>3528</v>
      </c>
      <c r="M1218" s="4" t="s">
        <v>3526</v>
      </c>
      <c r="N1218" s="4">
        <v>168</v>
      </c>
      <c r="O1218" s="4" t="s">
        <v>3529</v>
      </c>
    </row>
    <row r="1219" spans="1:15" ht="15.75" customHeight="1">
      <c r="A1219" s="4" t="s">
        <v>49</v>
      </c>
      <c r="B1219" s="4">
        <v>1269677</v>
      </c>
      <c r="C1219" s="4">
        <v>1270909</v>
      </c>
      <c r="E1219" s="4" t="s">
        <v>50</v>
      </c>
      <c r="F1219" s="4" t="s">
        <v>255</v>
      </c>
      <c r="I1219" s="4" t="s">
        <v>52</v>
      </c>
      <c r="L1219" s="4" t="s">
        <v>3530</v>
      </c>
      <c r="M1219" s="4" t="s">
        <v>255</v>
      </c>
      <c r="N1219" s="4">
        <v>410</v>
      </c>
      <c r="O1219" s="4" t="s">
        <v>3531</v>
      </c>
    </row>
    <row r="1220" spans="1:15" ht="15.75" customHeight="1">
      <c r="A1220" s="4" t="s">
        <v>49</v>
      </c>
      <c r="B1220" s="4">
        <v>1270967</v>
      </c>
      <c r="C1220" s="4">
        <v>1271800</v>
      </c>
      <c r="E1220" s="4" t="s">
        <v>55</v>
      </c>
      <c r="F1220" s="4" t="s">
        <v>56</v>
      </c>
      <c r="I1220" s="4" t="s">
        <v>52</v>
      </c>
      <c r="L1220" s="4" t="s">
        <v>3532</v>
      </c>
      <c r="M1220" s="4" t="s">
        <v>56</v>
      </c>
      <c r="N1220" s="4">
        <v>277</v>
      </c>
      <c r="O1220" s="4" t="s">
        <v>3533</v>
      </c>
    </row>
    <row r="1221" spans="1:15" ht="15.75" customHeight="1">
      <c r="A1221" s="4" t="s">
        <v>49</v>
      </c>
      <c r="B1221" s="4">
        <v>1271793</v>
      </c>
      <c r="C1221" s="4">
        <v>1272323</v>
      </c>
      <c r="E1221" s="4" t="s">
        <v>55</v>
      </c>
      <c r="F1221" s="4" t="s">
        <v>3534</v>
      </c>
      <c r="I1221" s="4" t="s">
        <v>52</v>
      </c>
      <c r="L1221" s="4" t="s">
        <v>3535</v>
      </c>
      <c r="M1221" s="4" t="s">
        <v>3534</v>
      </c>
      <c r="N1221" s="4">
        <v>176</v>
      </c>
      <c r="O1221" s="4" t="s">
        <v>3536</v>
      </c>
    </row>
    <row r="1222" spans="1:15" ht="15.75" customHeight="1">
      <c r="A1222" s="4" t="s">
        <v>49</v>
      </c>
      <c r="B1222" s="4">
        <v>1272580</v>
      </c>
      <c r="C1222" s="4">
        <v>1273785</v>
      </c>
      <c r="E1222" s="4" t="s">
        <v>50</v>
      </c>
      <c r="F1222" s="4" t="s">
        <v>255</v>
      </c>
      <c r="I1222" s="4" t="s">
        <v>52</v>
      </c>
      <c r="L1222" s="4" t="s">
        <v>3537</v>
      </c>
      <c r="M1222" s="4" t="s">
        <v>255</v>
      </c>
      <c r="N1222" s="4">
        <v>401</v>
      </c>
      <c r="O1222" s="4" t="s">
        <v>3538</v>
      </c>
    </row>
    <row r="1223" spans="1:15" ht="15.75" customHeight="1">
      <c r="A1223" s="4" t="s">
        <v>49</v>
      </c>
      <c r="B1223" s="4">
        <v>1273857</v>
      </c>
      <c r="C1223" s="4">
        <v>1275230</v>
      </c>
      <c r="E1223" s="4" t="s">
        <v>55</v>
      </c>
      <c r="F1223" s="4" t="s">
        <v>3539</v>
      </c>
      <c r="I1223" s="4" t="s">
        <v>52</v>
      </c>
      <c r="L1223" s="4" t="s">
        <v>3540</v>
      </c>
      <c r="M1223" s="4" t="s">
        <v>3539</v>
      </c>
      <c r="N1223" s="4">
        <v>457</v>
      </c>
      <c r="O1223" s="4" t="s">
        <v>3541</v>
      </c>
    </row>
    <row r="1224" spans="1:15" ht="15.75" customHeight="1">
      <c r="A1224" s="4" t="s">
        <v>49</v>
      </c>
      <c r="B1224" s="4">
        <v>1275418</v>
      </c>
      <c r="C1224" s="4">
        <v>1276107</v>
      </c>
      <c r="E1224" s="4" t="s">
        <v>55</v>
      </c>
      <c r="F1224" s="4" t="s">
        <v>3542</v>
      </c>
      <c r="G1224" s="4" t="s">
        <v>3543</v>
      </c>
      <c r="I1224" s="4" t="s">
        <v>52</v>
      </c>
      <c r="L1224" s="4" t="s">
        <v>3544</v>
      </c>
      <c r="M1224" s="4" t="s">
        <v>3542</v>
      </c>
      <c r="N1224" s="4">
        <v>229</v>
      </c>
      <c r="O1224" s="4" t="s">
        <v>3545</v>
      </c>
    </row>
    <row r="1225" spans="1:15" ht="15.75" customHeight="1">
      <c r="A1225" s="4" t="s">
        <v>49</v>
      </c>
      <c r="B1225" s="4">
        <v>1276207</v>
      </c>
      <c r="C1225" s="4">
        <v>1276632</v>
      </c>
      <c r="E1225" s="4" t="s">
        <v>55</v>
      </c>
      <c r="F1225" s="4" t="s">
        <v>3546</v>
      </c>
      <c r="G1225" s="4" t="s">
        <v>3547</v>
      </c>
      <c r="I1225" s="4" t="s">
        <v>52</v>
      </c>
      <c r="L1225" s="4" t="s">
        <v>3548</v>
      </c>
      <c r="M1225" s="4" t="s">
        <v>3546</v>
      </c>
      <c r="N1225" s="4">
        <v>141</v>
      </c>
      <c r="O1225" s="4" t="s">
        <v>3549</v>
      </c>
    </row>
    <row r="1226" spans="1:15" ht="15.75" customHeight="1">
      <c r="A1226" s="4" t="s">
        <v>49</v>
      </c>
      <c r="B1226" s="4">
        <v>1276925</v>
      </c>
      <c r="C1226" s="4">
        <v>1279555</v>
      </c>
      <c r="E1226" s="4" t="s">
        <v>55</v>
      </c>
      <c r="F1226" s="4" t="s">
        <v>3550</v>
      </c>
      <c r="G1226" s="4" t="s">
        <v>3551</v>
      </c>
      <c r="I1226" s="4" t="s">
        <v>52</v>
      </c>
      <c r="L1226" s="4" t="s">
        <v>3552</v>
      </c>
      <c r="M1226" s="4" t="s">
        <v>3550</v>
      </c>
      <c r="N1226" s="4">
        <v>876</v>
      </c>
      <c r="O1226" s="4" t="s">
        <v>3553</v>
      </c>
    </row>
    <row r="1227" spans="1:15" ht="15.75" customHeight="1">
      <c r="A1227" s="4" t="s">
        <v>49</v>
      </c>
      <c r="B1227" s="4">
        <v>1279824</v>
      </c>
      <c r="C1227" s="4">
        <v>1281287</v>
      </c>
      <c r="E1227" s="4" t="s">
        <v>50</v>
      </c>
      <c r="F1227" s="4" t="s">
        <v>3554</v>
      </c>
      <c r="I1227" s="4" t="s">
        <v>52</v>
      </c>
      <c r="L1227" s="4" t="s">
        <v>3555</v>
      </c>
      <c r="M1227" s="4" t="s">
        <v>3554</v>
      </c>
      <c r="N1227" s="4">
        <v>487</v>
      </c>
      <c r="O1227" s="4" t="s">
        <v>3556</v>
      </c>
    </row>
    <row r="1228" spans="1:15" ht="15.75" customHeight="1">
      <c r="A1228" s="4" t="s">
        <v>49</v>
      </c>
      <c r="B1228" s="4">
        <v>1281287</v>
      </c>
      <c r="C1228" s="4">
        <v>1281655</v>
      </c>
      <c r="E1228" s="4" t="s">
        <v>50</v>
      </c>
      <c r="F1228" s="4" t="s">
        <v>3557</v>
      </c>
      <c r="I1228" s="4" t="s">
        <v>52</v>
      </c>
      <c r="L1228" s="4" t="s">
        <v>3558</v>
      </c>
      <c r="M1228" s="4" t="s">
        <v>3557</v>
      </c>
      <c r="N1228" s="4">
        <v>122</v>
      </c>
      <c r="O1228" s="4" t="s">
        <v>3559</v>
      </c>
    </row>
    <row r="1229" spans="1:15" ht="15.75" customHeight="1">
      <c r="A1229" s="4" t="s">
        <v>49</v>
      </c>
      <c r="B1229" s="4">
        <v>1281744</v>
      </c>
      <c r="C1229" s="4">
        <v>1282280</v>
      </c>
      <c r="E1229" s="4" t="s">
        <v>55</v>
      </c>
      <c r="F1229" s="4" t="s">
        <v>3560</v>
      </c>
      <c r="I1229" s="4" t="s">
        <v>52</v>
      </c>
      <c r="L1229" s="4" t="s">
        <v>3561</v>
      </c>
      <c r="M1229" s="4" t="s">
        <v>3560</v>
      </c>
      <c r="N1229" s="4">
        <v>178</v>
      </c>
      <c r="O1229" s="4" t="s">
        <v>3562</v>
      </c>
    </row>
    <row r="1230" spans="1:15" ht="15.75" customHeight="1">
      <c r="A1230" s="4" t="s">
        <v>49</v>
      </c>
      <c r="B1230" s="4">
        <v>1282255</v>
      </c>
      <c r="C1230" s="4">
        <v>1282827</v>
      </c>
      <c r="E1230" s="4" t="s">
        <v>55</v>
      </c>
      <c r="F1230" s="4" t="s">
        <v>1167</v>
      </c>
      <c r="I1230" s="4" t="s">
        <v>52</v>
      </c>
      <c r="L1230" s="4" t="s">
        <v>3563</v>
      </c>
      <c r="M1230" s="4" t="s">
        <v>1167</v>
      </c>
      <c r="N1230" s="4">
        <v>190</v>
      </c>
      <c r="O1230" s="4" t="s">
        <v>3564</v>
      </c>
    </row>
    <row r="1231" spans="1:15" ht="15.75" customHeight="1">
      <c r="A1231" s="4" t="s">
        <v>49</v>
      </c>
      <c r="B1231" s="4">
        <v>1282824</v>
      </c>
      <c r="C1231" s="4">
        <v>1283210</v>
      </c>
      <c r="E1231" s="4" t="s">
        <v>55</v>
      </c>
      <c r="F1231" s="4" t="s">
        <v>3565</v>
      </c>
      <c r="I1231" s="4" t="s">
        <v>52</v>
      </c>
      <c r="L1231" s="4" t="s">
        <v>3566</v>
      </c>
      <c r="M1231" s="4" t="s">
        <v>3565</v>
      </c>
      <c r="N1231" s="4">
        <v>128</v>
      </c>
      <c r="O1231" s="4" t="s">
        <v>3567</v>
      </c>
    </row>
    <row r="1232" spans="1:15" ht="15.75" customHeight="1">
      <c r="A1232" s="4" t="s">
        <v>49</v>
      </c>
      <c r="B1232" s="4">
        <v>1283232</v>
      </c>
      <c r="C1232" s="4">
        <v>1285478</v>
      </c>
      <c r="E1232" s="4" t="s">
        <v>55</v>
      </c>
      <c r="F1232" s="4" t="s">
        <v>3568</v>
      </c>
      <c r="G1232" s="4" t="s">
        <v>3569</v>
      </c>
      <c r="I1232" s="4" t="s">
        <v>52</v>
      </c>
      <c r="L1232" s="4" t="s">
        <v>3570</v>
      </c>
      <c r="M1232" s="4" t="s">
        <v>3568</v>
      </c>
      <c r="N1232" s="4">
        <v>748</v>
      </c>
      <c r="O1232" s="4" t="s">
        <v>3571</v>
      </c>
    </row>
    <row r="1233" spans="1:15" ht="15.75" customHeight="1">
      <c r="A1233" s="4" t="s">
        <v>49</v>
      </c>
      <c r="B1233" s="4">
        <v>1285670</v>
      </c>
      <c r="C1233" s="4">
        <v>1286113</v>
      </c>
      <c r="E1233" s="4" t="s">
        <v>55</v>
      </c>
      <c r="F1233" s="4" t="s">
        <v>2398</v>
      </c>
      <c r="I1233" s="4" t="s">
        <v>52</v>
      </c>
      <c r="L1233" s="4" t="s">
        <v>3572</v>
      </c>
      <c r="M1233" s="4" t="s">
        <v>2398</v>
      </c>
      <c r="N1233" s="4">
        <v>147</v>
      </c>
      <c r="O1233" s="4" t="s">
        <v>3573</v>
      </c>
    </row>
    <row r="1234" spans="1:15" ht="15.75" customHeight="1">
      <c r="A1234" s="4" t="s">
        <v>49</v>
      </c>
      <c r="B1234" s="4">
        <v>1286151</v>
      </c>
      <c r="C1234" s="4">
        <v>1286996</v>
      </c>
      <c r="E1234" s="4" t="s">
        <v>55</v>
      </c>
      <c r="F1234" s="4" t="s">
        <v>3138</v>
      </c>
      <c r="I1234" s="4" t="s">
        <v>52</v>
      </c>
      <c r="L1234" s="4" t="s">
        <v>3574</v>
      </c>
      <c r="M1234" s="4" t="s">
        <v>3138</v>
      </c>
      <c r="N1234" s="4">
        <v>281</v>
      </c>
      <c r="O1234" s="4" t="s">
        <v>3575</v>
      </c>
    </row>
    <row r="1235" spans="1:15" ht="15.75" customHeight="1">
      <c r="A1235" s="4" t="s">
        <v>49</v>
      </c>
      <c r="B1235" s="4">
        <v>1287006</v>
      </c>
      <c r="C1235" s="4">
        <v>1287560</v>
      </c>
      <c r="E1235" s="4" t="s">
        <v>55</v>
      </c>
      <c r="F1235" s="4" t="s">
        <v>3576</v>
      </c>
      <c r="G1235" s="4" t="s">
        <v>3577</v>
      </c>
      <c r="I1235" s="4" t="s">
        <v>52</v>
      </c>
      <c r="L1235" s="4" t="s">
        <v>3578</v>
      </c>
      <c r="M1235" s="4" t="s">
        <v>3576</v>
      </c>
      <c r="N1235" s="4">
        <v>184</v>
      </c>
      <c r="O1235" s="4" t="s">
        <v>3579</v>
      </c>
    </row>
    <row r="1236" spans="1:15" ht="15.75" customHeight="1">
      <c r="A1236" s="4" t="s">
        <v>49</v>
      </c>
      <c r="B1236" s="4">
        <v>1287664</v>
      </c>
      <c r="C1236" s="4">
        <v>1287834</v>
      </c>
      <c r="E1236" s="4" t="s">
        <v>55</v>
      </c>
      <c r="F1236" s="4" t="s">
        <v>3580</v>
      </c>
      <c r="G1236" s="4" t="s">
        <v>3581</v>
      </c>
      <c r="I1236" s="4" t="s">
        <v>52</v>
      </c>
      <c r="L1236" s="4" t="s">
        <v>3582</v>
      </c>
      <c r="M1236" s="4" t="s">
        <v>3580</v>
      </c>
      <c r="N1236" s="4">
        <v>56</v>
      </c>
      <c r="O1236" s="4" t="s">
        <v>3583</v>
      </c>
    </row>
    <row r="1237" spans="1:15" ht="15.75" customHeight="1">
      <c r="A1237" s="4" t="s">
        <v>49</v>
      </c>
      <c r="B1237" s="4">
        <v>1287854</v>
      </c>
      <c r="C1237" s="4">
        <v>1288003</v>
      </c>
      <c r="E1237" s="4" t="s">
        <v>55</v>
      </c>
      <c r="F1237" s="4" t="s">
        <v>2584</v>
      </c>
      <c r="G1237" s="4" t="s">
        <v>2585</v>
      </c>
      <c r="I1237" s="4" t="s">
        <v>52</v>
      </c>
      <c r="L1237" s="4" t="s">
        <v>3584</v>
      </c>
      <c r="M1237" s="4" t="s">
        <v>2584</v>
      </c>
      <c r="N1237" s="4">
        <v>49</v>
      </c>
      <c r="O1237" s="4" t="s">
        <v>3585</v>
      </c>
    </row>
    <row r="1238" spans="1:15" ht="15.75" customHeight="1">
      <c r="A1238" s="4" t="s">
        <v>49</v>
      </c>
      <c r="B1238" s="4">
        <v>1288187</v>
      </c>
      <c r="C1238" s="4">
        <v>1289146</v>
      </c>
      <c r="E1238" s="4" t="s">
        <v>55</v>
      </c>
      <c r="F1238" s="4" t="s">
        <v>3586</v>
      </c>
      <c r="I1238" s="4" t="s">
        <v>52</v>
      </c>
      <c r="L1238" s="4" t="s">
        <v>3587</v>
      </c>
      <c r="M1238" s="4" t="s">
        <v>3586</v>
      </c>
      <c r="N1238" s="4">
        <v>319</v>
      </c>
      <c r="O1238" s="4" t="s">
        <v>3588</v>
      </c>
    </row>
    <row r="1239" spans="1:15" ht="15.75" customHeight="1">
      <c r="A1239" s="4" t="s">
        <v>49</v>
      </c>
      <c r="B1239" s="4">
        <v>1289143</v>
      </c>
      <c r="C1239" s="4">
        <v>1290081</v>
      </c>
      <c r="E1239" s="4" t="s">
        <v>55</v>
      </c>
      <c r="F1239" s="4" t="s">
        <v>3244</v>
      </c>
      <c r="I1239" s="4" t="s">
        <v>52</v>
      </c>
      <c r="L1239" s="4" t="s">
        <v>3589</v>
      </c>
      <c r="M1239" s="4" t="s">
        <v>3244</v>
      </c>
      <c r="N1239" s="4">
        <v>312</v>
      </c>
      <c r="O1239" s="4" t="s">
        <v>3590</v>
      </c>
    </row>
    <row r="1240" spans="1:15" ht="15.75" customHeight="1">
      <c r="A1240" s="4" t="s">
        <v>49</v>
      </c>
      <c r="B1240" s="4">
        <v>1290093</v>
      </c>
      <c r="C1240" s="4">
        <v>1291160</v>
      </c>
      <c r="E1240" s="4" t="s">
        <v>55</v>
      </c>
      <c r="F1240" s="4" t="s">
        <v>2893</v>
      </c>
      <c r="I1240" s="4" t="s">
        <v>52</v>
      </c>
      <c r="L1240" s="4" t="s">
        <v>3591</v>
      </c>
      <c r="M1240" s="4" t="s">
        <v>2893</v>
      </c>
      <c r="N1240" s="4">
        <v>355</v>
      </c>
      <c r="O1240" s="4" t="s">
        <v>3592</v>
      </c>
    </row>
    <row r="1241" spans="1:15" ht="15.75" customHeight="1">
      <c r="A1241" s="4" t="s">
        <v>49</v>
      </c>
      <c r="B1241" s="4">
        <v>1291337</v>
      </c>
      <c r="C1241" s="4">
        <v>1292251</v>
      </c>
      <c r="E1241" s="4" t="s">
        <v>55</v>
      </c>
      <c r="F1241" s="4" t="s">
        <v>3593</v>
      </c>
      <c r="G1241" s="4" t="s">
        <v>3594</v>
      </c>
      <c r="I1241" s="4" t="s">
        <v>52</v>
      </c>
      <c r="L1241" s="4" t="s">
        <v>3595</v>
      </c>
      <c r="M1241" s="4" t="s">
        <v>3593</v>
      </c>
      <c r="N1241" s="4">
        <v>304</v>
      </c>
      <c r="O1241" s="4" t="s">
        <v>3596</v>
      </c>
    </row>
    <row r="1242" spans="1:15" ht="15.75" customHeight="1">
      <c r="A1242" s="4" t="s">
        <v>49</v>
      </c>
      <c r="B1242" s="4">
        <v>1292538</v>
      </c>
      <c r="C1242" s="4">
        <v>1294436</v>
      </c>
      <c r="E1242" s="4" t="s">
        <v>50</v>
      </c>
      <c r="F1242" s="4" t="s">
        <v>3280</v>
      </c>
      <c r="I1242" s="4" t="s">
        <v>52</v>
      </c>
      <c r="L1242" s="4" t="s">
        <v>3597</v>
      </c>
      <c r="M1242" s="4" t="s">
        <v>3280</v>
      </c>
      <c r="N1242" s="4">
        <v>632</v>
      </c>
      <c r="O1242" s="4" t="s">
        <v>3598</v>
      </c>
    </row>
    <row r="1243" spans="1:15" ht="15.75" customHeight="1">
      <c r="A1243" s="4" t="s">
        <v>49</v>
      </c>
      <c r="B1243" s="4">
        <v>1294611</v>
      </c>
      <c r="C1243" s="4">
        <v>1295054</v>
      </c>
      <c r="E1243" s="4" t="s">
        <v>50</v>
      </c>
      <c r="F1243" s="4" t="s">
        <v>3303</v>
      </c>
      <c r="I1243" s="4" t="s">
        <v>52</v>
      </c>
      <c r="L1243" s="4" t="s">
        <v>3599</v>
      </c>
      <c r="M1243" s="4" t="s">
        <v>3303</v>
      </c>
      <c r="N1243" s="4">
        <v>147</v>
      </c>
      <c r="O1243" s="4" t="s">
        <v>3600</v>
      </c>
    </row>
    <row r="1244" spans="1:15" ht="15.75" customHeight="1">
      <c r="A1244" s="4" t="s">
        <v>49</v>
      </c>
      <c r="B1244" s="4">
        <v>1295051</v>
      </c>
      <c r="C1244" s="4">
        <v>1295638</v>
      </c>
      <c r="E1244" s="4" t="s">
        <v>50</v>
      </c>
      <c r="F1244" s="4" t="s">
        <v>3601</v>
      </c>
      <c r="I1244" s="4" t="s">
        <v>52</v>
      </c>
      <c r="L1244" s="4" t="s">
        <v>3602</v>
      </c>
      <c r="M1244" s="4" t="s">
        <v>3601</v>
      </c>
      <c r="N1244" s="4">
        <v>195</v>
      </c>
      <c r="O1244" s="4" t="s">
        <v>3603</v>
      </c>
    </row>
    <row r="1245" spans="1:15" ht="15.75" customHeight="1">
      <c r="A1245" s="4" t="s">
        <v>49</v>
      </c>
      <c r="B1245" s="4">
        <v>1295613</v>
      </c>
      <c r="C1245" s="4">
        <v>1296590</v>
      </c>
      <c r="E1245" s="4" t="s">
        <v>50</v>
      </c>
      <c r="F1245" s="4" t="s">
        <v>1972</v>
      </c>
      <c r="I1245" s="4" t="s">
        <v>52</v>
      </c>
      <c r="L1245" s="4" t="s">
        <v>3604</v>
      </c>
      <c r="M1245" s="4" t="s">
        <v>1972</v>
      </c>
      <c r="N1245" s="4">
        <v>325</v>
      </c>
      <c r="O1245" s="4" t="s">
        <v>3605</v>
      </c>
    </row>
    <row r="1246" spans="1:15" ht="15.75" customHeight="1">
      <c r="A1246" s="4" t="s">
        <v>49</v>
      </c>
      <c r="B1246" s="4">
        <v>1297281</v>
      </c>
      <c r="C1246" s="4">
        <v>1297523</v>
      </c>
      <c r="E1246" s="4" t="s">
        <v>55</v>
      </c>
      <c r="F1246" s="4" t="s">
        <v>56</v>
      </c>
      <c r="I1246" s="4" t="s">
        <v>52</v>
      </c>
      <c r="L1246" s="4" t="s">
        <v>3606</v>
      </c>
      <c r="M1246" s="4" t="s">
        <v>56</v>
      </c>
      <c r="N1246" s="4">
        <v>80</v>
      </c>
      <c r="O1246" s="4" t="s">
        <v>3607</v>
      </c>
    </row>
    <row r="1247" spans="1:15" ht="15.75" customHeight="1">
      <c r="A1247" s="4" t="s">
        <v>49</v>
      </c>
      <c r="B1247" s="4">
        <v>1297698</v>
      </c>
      <c r="C1247" s="4">
        <v>1298381</v>
      </c>
      <c r="E1247" s="4" t="s">
        <v>55</v>
      </c>
      <c r="F1247" s="4" t="s">
        <v>2648</v>
      </c>
      <c r="I1247" s="4" t="s">
        <v>52</v>
      </c>
      <c r="L1247" s="4" t="s">
        <v>3608</v>
      </c>
      <c r="M1247" s="4" t="s">
        <v>2648</v>
      </c>
      <c r="N1247" s="4">
        <v>227</v>
      </c>
      <c r="O1247" s="4" t="s">
        <v>3609</v>
      </c>
    </row>
    <row r="1248" spans="1:15" ht="15.75" customHeight="1">
      <c r="A1248" s="4" t="s">
        <v>49</v>
      </c>
      <c r="B1248" s="4">
        <v>1298378</v>
      </c>
      <c r="C1248" s="4">
        <v>1299433</v>
      </c>
      <c r="E1248" s="4" t="s">
        <v>55</v>
      </c>
      <c r="F1248" s="4" t="s">
        <v>3610</v>
      </c>
      <c r="I1248" s="4" t="s">
        <v>52</v>
      </c>
      <c r="L1248" s="4" t="s">
        <v>3611</v>
      </c>
      <c r="M1248" s="4" t="s">
        <v>3610</v>
      </c>
      <c r="N1248" s="4">
        <v>351</v>
      </c>
      <c r="O1248" s="4" t="s">
        <v>3612</v>
      </c>
    </row>
    <row r="1249" spans="1:15" ht="15.75" customHeight="1">
      <c r="A1249" s="4" t="s">
        <v>49</v>
      </c>
      <c r="B1249" s="4">
        <v>1299938</v>
      </c>
      <c r="C1249" s="4">
        <v>1300279</v>
      </c>
      <c r="E1249" s="4" t="s">
        <v>50</v>
      </c>
      <c r="F1249" s="4" t="s">
        <v>56</v>
      </c>
      <c r="I1249" s="4" t="s">
        <v>52</v>
      </c>
      <c r="L1249" s="4" t="s">
        <v>3613</v>
      </c>
      <c r="M1249" s="4" t="s">
        <v>56</v>
      </c>
      <c r="N1249" s="4">
        <v>113</v>
      </c>
      <c r="O1249" s="4" t="s">
        <v>3614</v>
      </c>
    </row>
    <row r="1250" spans="1:15" ht="15.75" customHeight="1">
      <c r="A1250" s="4" t="s">
        <v>49</v>
      </c>
      <c r="B1250" s="4">
        <v>1300484</v>
      </c>
      <c r="C1250" s="4">
        <v>1301023</v>
      </c>
      <c r="E1250" s="4" t="s">
        <v>55</v>
      </c>
      <c r="F1250" s="4" t="s">
        <v>3615</v>
      </c>
      <c r="I1250" s="4" t="s">
        <v>52</v>
      </c>
      <c r="L1250" s="4" t="s">
        <v>3616</v>
      </c>
      <c r="M1250" s="4" t="s">
        <v>3615</v>
      </c>
      <c r="N1250" s="4">
        <v>179</v>
      </c>
      <c r="O1250" s="4" t="s">
        <v>3617</v>
      </c>
    </row>
    <row r="1251" spans="1:15" ht="15.75" customHeight="1">
      <c r="A1251" s="4" t="s">
        <v>49</v>
      </c>
      <c r="B1251" s="4">
        <v>1301024</v>
      </c>
      <c r="C1251" s="4">
        <v>1301803</v>
      </c>
      <c r="E1251" s="4" t="s">
        <v>55</v>
      </c>
      <c r="F1251" s="4" t="s">
        <v>3618</v>
      </c>
      <c r="G1251" s="4" t="s">
        <v>3619</v>
      </c>
      <c r="I1251" s="4" t="s">
        <v>52</v>
      </c>
      <c r="L1251" s="4" t="s">
        <v>3620</v>
      </c>
      <c r="M1251" s="4" t="s">
        <v>3618</v>
      </c>
      <c r="N1251" s="4">
        <v>259</v>
      </c>
      <c r="O1251" s="4" t="s">
        <v>3621</v>
      </c>
    </row>
    <row r="1252" spans="1:15" ht="15.75" customHeight="1">
      <c r="A1252" s="4" t="s">
        <v>49</v>
      </c>
      <c r="B1252" s="4">
        <v>1301775</v>
      </c>
      <c r="C1252" s="4">
        <v>1302203</v>
      </c>
      <c r="E1252" s="4" t="s">
        <v>55</v>
      </c>
      <c r="F1252" s="4" t="s">
        <v>3622</v>
      </c>
      <c r="I1252" s="4" t="s">
        <v>52</v>
      </c>
      <c r="L1252" s="4" t="s">
        <v>3623</v>
      </c>
      <c r="M1252" s="4" t="s">
        <v>3622</v>
      </c>
      <c r="N1252" s="4">
        <v>142</v>
      </c>
      <c r="O1252" s="4" t="s">
        <v>3624</v>
      </c>
    </row>
    <row r="1253" spans="1:15" ht="15.75" customHeight="1">
      <c r="A1253" s="4" t="s">
        <v>49</v>
      </c>
      <c r="B1253" s="4">
        <v>1302200</v>
      </c>
      <c r="C1253" s="4">
        <v>1303606</v>
      </c>
      <c r="E1253" s="4" t="s">
        <v>55</v>
      </c>
      <c r="F1253" s="4" t="s">
        <v>3625</v>
      </c>
      <c r="G1253" s="4" t="s">
        <v>3626</v>
      </c>
      <c r="I1253" s="4" t="s">
        <v>52</v>
      </c>
      <c r="L1253" s="4" t="s">
        <v>3627</v>
      </c>
      <c r="M1253" s="4" t="s">
        <v>3625</v>
      </c>
      <c r="N1253" s="4">
        <v>468</v>
      </c>
      <c r="O1253" s="4" t="s">
        <v>3628</v>
      </c>
    </row>
    <row r="1254" spans="1:15" ht="15.75" customHeight="1">
      <c r="A1254" s="4" t="s">
        <v>49</v>
      </c>
      <c r="B1254" s="4">
        <v>1303847</v>
      </c>
      <c r="C1254" s="4">
        <v>1305241</v>
      </c>
      <c r="E1254" s="4" t="s">
        <v>55</v>
      </c>
      <c r="F1254" s="4" t="s">
        <v>3629</v>
      </c>
      <c r="I1254" s="4" t="s">
        <v>52</v>
      </c>
      <c r="L1254" s="4" t="s">
        <v>3630</v>
      </c>
      <c r="M1254" s="4" t="s">
        <v>3629</v>
      </c>
      <c r="N1254" s="4">
        <v>464</v>
      </c>
      <c r="O1254" s="4" t="s">
        <v>3631</v>
      </c>
    </row>
    <row r="1255" spans="1:15" ht="15.75" customHeight="1">
      <c r="A1255" s="4" t="s">
        <v>49</v>
      </c>
      <c r="B1255" s="4">
        <v>1305367</v>
      </c>
      <c r="C1255" s="4">
        <v>1305954</v>
      </c>
      <c r="E1255" s="4" t="s">
        <v>55</v>
      </c>
      <c r="F1255" s="4" t="s">
        <v>56</v>
      </c>
      <c r="I1255" s="4" t="s">
        <v>52</v>
      </c>
      <c r="L1255" s="4" t="s">
        <v>3632</v>
      </c>
      <c r="M1255" s="4" t="s">
        <v>56</v>
      </c>
      <c r="N1255" s="4">
        <v>195</v>
      </c>
      <c r="O1255" s="4" t="s">
        <v>3633</v>
      </c>
    </row>
    <row r="1256" spans="1:15" ht="15.75" customHeight="1">
      <c r="A1256" s="4" t="s">
        <v>49</v>
      </c>
      <c r="B1256" s="4">
        <v>1305954</v>
      </c>
      <c r="C1256" s="4">
        <v>1306145</v>
      </c>
      <c r="E1256" s="4" t="s">
        <v>55</v>
      </c>
      <c r="F1256" s="4" t="s">
        <v>56</v>
      </c>
      <c r="I1256" s="4" t="s">
        <v>52</v>
      </c>
      <c r="L1256" s="4" t="s">
        <v>3634</v>
      </c>
      <c r="M1256" s="4" t="s">
        <v>56</v>
      </c>
      <c r="N1256" s="4">
        <v>63</v>
      </c>
      <c r="O1256" s="4" t="s">
        <v>3635</v>
      </c>
    </row>
    <row r="1257" spans="1:15" ht="15.75" customHeight="1">
      <c r="A1257" s="4" t="s">
        <v>49</v>
      </c>
      <c r="B1257" s="4">
        <v>1306730</v>
      </c>
      <c r="C1257" s="4">
        <v>1307973</v>
      </c>
      <c r="E1257" s="4" t="s">
        <v>50</v>
      </c>
      <c r="F1257" s="4" t="s">
        <v>345</v>
      </c>
      <c r="I1257" s="4" t="s">
        <v>346</v>
      </c>
      <c r="O1257" s="4" t="s">
        <v>3636</v>
      </c>
    </row>
    <row r="1258" spans="1:15" ht="15.75" customHeight="1">
      <c r="A1258" s="4" t="s">
        <v>49</v>
      </c>
      <c r="B1258" s="4">
        <v>1308090</v>
      </c>
      <c r="C1258" s="4">
        <v>1309583</v>
      </c>
      <c r="E1258" s="4" t="s">
        <v>55</v>
      </c>
      <c r="F1258" s="4" t="s">
        <v>3637</v>
      </c>
      <c r="G1258" s="4" t="s">
        <v>3638</v>
      </c>
      <c r="I1258" s="4" t="s">
        <v>52</v>
      </c>
      <c r="L1258" s="4" t="s">
        <v>3639</v>
      </c>
      <c r="M1258" s="4" t="s">
        <v>3637</v>
      </c>
      <c r="N1258" s="4">
        <v>497</v>
      </c>
      <c r="O1258" s="4" t="s">
        <v>3640</v>
      </c>
    </row>
    <row r="1259" spans="1:15" ht="15.75" customHeight="1">
      <c r="A1259" s="4" t="s">
        <v>49</v>
      </c>
      <c r="B1259" s="4">
        <v>1309731</v>
      </c>
      <c r="C1259" s="4">
        <v>1310711</v>
      </c>
      <c r="E1259" s="4" t="s">
        <v>55</v>
      </c>
      <c r="F1259" s="4" t="s">
        <v>289</v>
      </c>
      <c r="I1259" s="4" t="s">
        <v>52</v>
      </c>
      <c r="L1259" s="4" t="s">
        <v>3641</v>
      </c>
      <c r="M1259" s="4" t="s">
        <v>289</v>
      </c>
      <c r="N1259" s="4">
        <v>326</v>
      </c>
      <c r="O1259" s="4" t="s">
        <v>3642</v>
      </c>
    </row>
    <row r="1260" spans="1:15" ht="15.75" customHeight="1">
      <c r="A1260" s="4" t="s">
        <v>49</v>
      </c>
      <c r="B1260" s="4">
        <v>1310827</v>
      </c>
      <c r="C1260" s="4">
        <v>1311498</v>
      </c>
      <c r="E1260" s="4" t="s">
        <v>55</v>
      </c>
      <c r="F1260" s="4" t="s">
        <v>3643</v>
      </c>
      <c r="I1260" s="4" t="s">
        <v>52</v>
      </c>
      <c r="L1260" s="4" t="s">
        <v>3644</v>
      </c>
      <c r="M1260" s="4" t="s">
        <v>3643</v>
      </c>
      <c r="N1260" s="4">
        <v>223</v>
      </c>
      <c r="O1260" s="4" t="s">
        <v>3645</v>
      </c>
    </row>
    <row r="1261" spans="1:15" ht="15.75" customHeight="1">
      <c r="A1261" s="4" t="s">
        <v>49</v>
      </c>
      <c r="B1261" s="4">
        <v>1311682</v>
      </c>
      <c r="C1261" s="4">
        <v>1312512</v>
      </c>
      <c r="E1261" s="4" t="s">
        <v>50</v>
      </c>
      <c r="F1261" s="4" t="s">
        <v>3646</v>
      </c>
      <c r="I1261" s="4" t="s">
        <v>52</v>
      </c>
      <c r="L1261" s="4" t="s">
        <v>3647</v>
      </c>
      <c r="M1261" s="4" t="s">
        <v>3646</v>
      </c>
      <c r="N1261" s="4">
        <v>276</v>
      </c>
      <c r="O1261" s="4" t="s">
        <v>3648</v>
      </c>
    </row>
    <row r="1262" spans="1:15" ht="15.75" customHeight="1">
      <c r="A1262" s="4" t="s">
        <v>49</v>
      </c>
      <c r="B1262" s="4">
        <v>1312658</v>
      </c>
      <c r="C1262" s="4">
        <v>1313497</v>
      </c>
      <c r="E1262" s="4" t="s">
        <v>55</v>
      </c>
      <c r="F1262" s="4" t="s">
        <v>3649</v>
      </c>
      <c r="I1262" s="4" t="s">
        <v>52</v>
      </c>
      <c r="L1262" s="4" t="s">
        <v>3650</v>
      </c>
      <c r="M1262" s="4" t="s">
        <v>3649</v>
      </c>
      <c r="N1262" s="4">
        <v>279</v>
      </c>
      <c r="O1262" s="4" t="s">
        <v>3651</v>
      </c>
    </row>
    <row r="1263" spans="1:15" ht="15.75" customHeight="1">
      <c r="A1263" s="4" t="s">
        <v>49</v>
      </c>
      <c r="B1263" s="4">
        <v>1313510</v>
      </c>
      <c r="C1263" s="4">
        <v>1314526</v>
      </c>
      <c r="E1263" s="4" t="s">
        <v>55</v>
      </c>
      <c r="F1263" s="4" t="s">
        <v>3652</v>
      </c>
      <c r="I1263" s="4" t="s">
        <v>52</v>
      </c>
      <c r="L1263" s="4" t="s">
        <v>3653</v>
      </c>
      <c r="M1263" s="4" t="s">
        <v>3652</v>
      </c>
      <c r="N1263" s="4">
        <v>338</v>
      </c>
      <c r="O1263" s="4" t="s">
        <v>3654</v>
      </c>
    </row>
    <row r="1264" spans="1:15" ht="15.75" customHeight="1">
      <c r="A1264" s="4" t="s">
        <v>49</v>
      </c>
      <c r="B1264" s="4">
        <v>1314533</v>
      </c>
      <c r="C1264" s="4">
        <v>1314907</v>
      </c>
      <c r="E1264" s="4" t="s">
        <v>55</v>
      </c>
      <c r="F1264" s="4" t="s">
        <v>2401</v>
      </c>
      <c r="I1264" s="4" t="s">
        <v>52</v>
      </c>
      <c r="L1264" s="4" t="s">
        <v>3655</v>
      </c>
      <c r="M1264" s="4" t="s">
        <v>2401</v>
      </c>
      <c r="N1264" s="4">
        <v>124</v>
      </c>
      <c r="O1264" s="4" t="s">
        <v>3656</v>
      </c>
    </row>
    <row r="1265" spans="1:15" ht="15.75" customHeight="1">
      <c r="A1265" s="4" t="s">
        <v>49</v>
      </c>
      <c r="B1265" s="4">
        <v>1315072</v>
      </c>
      <c r="C1265" s="4">
        <v>1316343</v>
      </c>
      <c r="E1265" s="4" t="s">
        <v>55</v>
      </c>
      <c r="F1265" s="4" t="s">
        <v>2538</v>
      </c>
      <c r="I1265" s="4" t="s">
        <v>52</v>
      </c>
      <c r="L1265" s="4" t="s">
        <v>3657</v>
      </c>
      <c r="M1265" s="4" t="s">
        <v>2538</v>
      </c>
      <c r="N1265" s="4">
        <v>423</v>
      </c>
      <c r="O1265" s="4" t="s">
        <v>3658</v>
      </c>
    </row>
    <row r="1266" spans="1:15" ht="15.75" customHeight="1">
      <c r="A1266" s="4" t="s">
        <v>49</v>
      </c>
      <c r="B1266" s="4">
        <v>1316668</v>
      </c>
      <c r="C1266" s="4">
        <v>1316763</v>
      </c>
      <c r="E1266" s="4" t="s">
        <v>50</v>
      </c>
      <c r="F1266" s="4" t="s">
        <v>345</v>
      </c>
      <c r="I1266" s="4" t="s">
        <v>346</v>
      </c>
      <c r="O1266" s="4" t="s">
        <v>3659</v>
      </c>
    </row>
    <row r="1267" spans="1:15" ht="15.75" customHeight="1">
      <c r="A1267" s="4" t="s">
        <v>49</v>
      </c>
      <c r="B1267" s="4">
        <v>1316876</v>
      </c>
      <c r="C1267" s="4">
        <v>1317991</v>
      </c>
      <c r="E1267" s="4" t="s">
        <v>55</v>
      </c>
      <c r="F1267" s="4" t="s">
        <v>3660</v>
      </c>
      <c r="I1267" s="4" t="s">
        <v>52</v>
      </c>
      <c r="L1267" s="4" t="s">
        <v>3661</v>
      </c>
      <c r="M1267" s="4" t="s">
        <v>3660</v>
      </c>
      <c r="N1267" s="4">
        <v>371</v>
      </c>
      <c r="O1267" s="4" t="s">
        <v>3662</v>
      </c>
    </row>
    <row r="1268" spans="1:15" ht="15.75" customHeight="1">
      <c r="A1268" s="4" t="s">
        <v>49</v>
      </c>
      <c r="B1268" s="4">
        <v>1318013</v>
      </c>
      <c r="C1268" s="4">
        <v>1319377</v>
      </c>
      <c r="E1268" s="4" t="s">
        <v>55</v>
      </c>
      <c r="F1268" s="4" t="s">
        <v>3663</v>
      </c>
      <c r="G1268" s="4" t="s">
        <v>3664</v>
      </c>
      <c r="I1268" s="4" t="s">
        <v>52</v>
      </c>
      <c r="L1268" s="4" t="s">
        <v>3665</v>
      </c>
      <c r="M1268" s="4" t="s">
        <v>3663</v>
      </c>
      <c r="N1268" s="4">
        <v>454</v>
      </c>
      <c r="O1268" s="4" t="s">
        <v>3666</v>
      </c>
    </row>
    <row r="1269" spans="1:15" ht="15.75" customHeight="1">
      <c r="A1269" s="4" t="s">
        <v>49</v>
      </c>
      <c r="B1269" s="4">
        <v>1319394</v>
      </c>
      <c r="C1269" s="4">
        <v>1319936</v>
      </c>
      <c r="E1269" s="4" t="s">
        <v>55</v>
      </c>
      <c r="F1269" s="4" t="s">
        <v>3667</v>
      </c>
      <c r="I1269" s="4" t="s">
        <v>52</v>
      </c>
      <c r="L1269" s="4" t="s">
        <v>3668</v>
      </c>
      <c r="M1269" s="4" t="s">
        <v>3667</v>
      </c>
      <c r="N1269" s="4">
        <v>180</v>
      </c>
      <c r="O1269" s="4" t="s">
        <v>3669</v>
      </c>
    </row>
    <row r="1270" spans="1:15" ht="15.75" customHeight="1">
      <c r="A1270" s="4" t="s">
        <v>49</v>
      </c>
      <c r="B1270" s="4">
        <v>1320157</v>
      </c>
      <c r="C1270" s="4">
        <v>1320447</v>
      </c>
      <c r="E1270" s="4" t="s">
        <v>50</v>
      </c>
      <c r="F1270" s="4" t="s">
        <v>51</v>
      </c>
      <c r="I1270" s="4" t="s">
        <v>52</v>
      </c>
      <c r="L1270" s="4" t="s">
        <v>3670</v>
      </c>
      <c r="M1270" s="4" t="s">
        <v>51</v>
      </c>
      <c r="N1270" s="4">
        <v>96</v>
      </c>
      <c r="O1270" s="4" t="s">
        <v>3671</v>
      </c>
    </row>
    <row r="1271" spans="1:15" ht="15.75" customHeight="1">
      <c r="A1271" s="4" t="s">
        <v>49</v>
      </c>
      <c r="B1271" s="4">
        <v>1320564</v>
      </c>
      <c r="C1271" s="4">
        <v>1320941</v>
      </c>
      <c r="E1271" s="4" t="s">
        <v>55</v>
      </c>
      <c r="F1271" s="4" t="s">
        <v>3672</v>
      </c>
      <c r="I1271" s="4" t="s">
        <v>52</v>
      </c>
      <c r="L1271" s="4" t="s">
        <v>3673</v>
      </c>
      <c r="M1271" s="4" t="s">
        <v>3672</v>
      </c>
      <c r="N1271" s="4">
        <v>125</v>
      </c>
      <c r="O1271" s="4" t="s">
        <v>3674</v>
      </c>
    </row>
    <row r="1272" spans="1:15" ht="15.75" customHeight="1">
      <c r="A1272" s="4" t="s">
        <v>49</v>
      </c>
      <c r="B1272" s="4">
        <v>1320998</v>
      </c>
      <c r="C1272" s="4">
        <v>1321918</v>
      </c>
      <c r="E1272" s="4" t="s">
        <v>55</v>
      </c>
      <c r="F1272" s="4" t="s">
        <v>674</v>
      </c>
      <c r="I1272" s="4" t="s">
        <v>52</v>
      </c>
      <c r="L1272" s="4" t="s">
        <v>675</v>
      </c>
      <c r="M1272" s="4" t="s">
        <v>674</v>
      </c>
      <c r="N1272" s="4">
        <v>306</v>
      </c>
      <c r="O1272" s="4" t="s">
        <v>3675</v>
      </c>
    </row>
    <row r="1273" spans="1:15" ht="15.75" customHeight="1">
      <c r="A1273" s="4" t="s">
        <v>49</v>
      </c>
      <c r="B1273" s="4">
        <v>1322241</v>
      </c>
      <c r="C1273" s="4">
        <v>1323560</v>
      </c>
      <c r="E1273" s="4" t="s">
        <v>50</v>
      </c>
      <c r="F1273" s="4" t="s">
        <v>3676</v>
      </c>
      <c r="I1273" s="4" t="s">
        <v>52</v>
      </c>
      <c r="L1273" s="4" t="s">
        <v>3677</v>
      </c>
      <c r="M1273" s="4" t="s">
        <v>3676</v>
      </c>
      <c r="N1273" s="4">
        <v>439</v>
      </c>
      <c r="O1273" s="4" t="s">
        <v>3678</v>
      </c>
    </row>
    <row r="1274" spans="1:15" ht="15.75" customHeight="1">
      <c r="A1274" s="4" t="s">
        <v>49</v>
      </c>
      <c r="B1274" s="4">
        <v>1323717</v>
      </c>
      <c r="C1274" s="4">
        <v>1325063</v>
      </c>
      <c r="E1274" s="4" t="s">
        <v>50</v>
      </c>
      <c r="F1274" s="4" t="s">
        <v>3676</v>
      </c>
      <c r="I1274" s="4" t="s">
        <v>52</v>
      </c>
      <c r="L1274" s="4" t="s">
        <v>3679</v>
      </c>
      <c r="M1274" s="4" t="s">
        <v>3676</v>
      </c>
      <c r="N1274" s="4">
        <v>448</v>
      </c>
      <c r="O1274" s="4" t="s">
        <v>3680</v>
      </c>
    </row>
    <row r="1275" spans="1:15" ht="15.75" customHeight="1">
      <c r="A1275" s="4" t="s">
        <v>49</v>
      </c>
      <c r="B1275" s="4">
        <v>1325291</v>
      </c>
      <c r="C1275" s="4">
        <v>1326391</v>
      </c>
      <c r="E1275" s="4" t="s">
        <v>50</v>
      </c>
      <c r="F1275" s="4" t="s">
        <v>76</v>
      </c>
      <c r="I1275" s="4" t="s">
        <v>52</v>
      </c>
      <c r="L1275" s="4" t="s">
        <v>3681</v>
      </c>
      <c r="M1275" s="4" t="s">
        <v>76</v>
      </c>
      <c r="N1275" s="4">
        <v>366</v>
      </c>
      <c r="O1275" s="4" t="s">
        <v>3682</v>
      </c>
    </row>
    <row r="1276" spans="1:15" ht="15.75" customHeight="1">
      <c r="A1276" s="4" t="s">
        <v>49</v>
      </c>
      <c r="B1276" s="4">
        <v>1326388</v>
      </c>
      <c r="C1276" s="4">
        <v>1327584</v>
      </c>
      <c r="E1276" s="4" t="s">
        <v>50</v>
      </c>
      <c r="F1276" s="4" t="s">
        <v>56</v>
      </c>
      <c r="I1276" s="4" t="s">
        <v>52</v>
      </c>
      <c r="L1276" s="4" t="s">
        <v>3683</v>
      </c>
      <c r="M1276" s="4" t="s">
        <v>56</v>
      </c>
      <c r="N1276" s="4">
        <v>398</v>
      </c>
      <c r="O1276" s="4" t="s">
        <v>3684</v>
      </c>
    </row>
    <row r="1277" spans="1:15" ht="15.75" customHeight="1">
      <c r="A1277" s="4" t="s">
        <v>49</v>
      </c>
      <c r="B1277" s="4">
        <v>1327740</v>
      </c>
      <c r="C1277" s="4">
        <v>1328525</v>
      </c>
      <c r="E1277" s="4" t="s">
        <v>50</v>
      </c>
      <c r="F1277" s="4" t="s">
        <v>345</v>
      </c>
      <c r="I1277" s="4" t="s">
        <v>346</v>
      </c>
      <c r="O1277" s="4" t="s">
        <v>3685</v>
      </c>
    </row>
    <row r="1278" spans="1:15" ht="15.75" customHeight="1">
      <c r="A1278" s="4" t="s">
        <v>49</v>
      </c>
      <c r="B1278" s="4">
        <v>1328687</v>
      </c>
      <c r="C1278" s="4">
        <v>1330741</v>
      </c>
      <c r="E1278" s="4" t="s">
        <v>50</v>
      </c>
      <c r="F1278" s="4" t="s">
        <v>3686</v>
      </c>
      <c r="I1278" s="4" t="s">
        <v>52</v>
      </c>
      <c r="L1278" s="4" t="s">
        <v>3687</v>
      </c>
      <c r="M1278" s="4" t="s">
        <v>3686</v>
      </c>
      <c r="N1278" s="4">
        <v>684</v>
      </c>
      <c r="O1278" s="4" t="s">
        <v>3688</v>
      </c>
    </row>
    <row r="1279" spans="1:15" ht="15.75" customHeight="1">
      <c r="A1279" s="4" t="s">
        <v>49</v>
      </c>
      <c r="B1279" s="4">
        <v>1330898</v>
      </c>
      <c r="C1279" s="4">
        <v>1333528</v>
      </c>
      <c r="E1279" s="4" t="s">
        <v>55</v>
      </c>
      <c r="F1279" s="4" t="s">
        <v>3689</v>
      </c>
      <c r="G1279" s="4" t="s">
        <v>3690</v>
      </c>
      <c r="I1279" s="4" t="s">
        <v>52</v>
      </c>
      <c r="L1279" s="4" t="s">
        <v>3691</v>
      </c>
      <c r="M1279" s="4" t="s">
        <v>3689</v>
      </c>
      <c r="N1279" s="4">
        <v>876</v>
      </c>
      <c r="O1279" s="4" t="s">
        <v>3692</v>
      </c>
    </row>
    <row r="1280" spans="1:15" ht="15.75" customHeight="1">
      <c r="A1280" s="4" t="s">
        <v>49</v>
      </c>
      <c r="B1280" s="4">
        <v>1333690</v>
      </c>
      <c r="C1280" s="4">
        <v>1334313</v>
      </c>
      <c r="E1280" s="4" t="s">
        <v>55</v>
      </c>
      <c r="F1280" s="4" t="s">
        <v>3693</v>
      </c>
      <c r="I1280" s="4" t="s">
        <v>52</v>
      </c>
      <c r="L1280" s="4" t="s">
        <v>3694</v>
      </c>
      <c r="M1280" s="4" t="s">
        <v>3693</v>
      </c>
      <c r="N1280" s="4">
        <v>207</v>
      </c>
      <c r="O1280" s="4" t="s">
        <v>3695</v>
      </c>
    </row>
    <row r="1281" spans="1:15" ht="15.75" customHeight="1">
      <c r="A1281" s="4" t="s">
        <v>49</v>
      </c>
      <c r="B1281" s="4">
        <v>1334813</v>
      </c>
      <c r="C1281" s="4">
        <v>1335484</v>
      </c>
      <c r="E1281" s="4" t="s">
        <v>55</v>
      </c>
      <c r="F1281" s="4" t="s">
        <v>3165</v>
      </c>
      <c r="I1281" s="4" t="s">
        <v>52</v>
      </c>
      <c r="L1281" s="4" t="s">
        <v>3696</v>
      </c>
      <c r="M1281" s="4" t="s">
        <v>3165</v>
      </c>
      <c r="N1281" s="4">
        <v>223</v>
      </c>
      <c r="O1281" s="4" t="s">
        <v>3697</v>
      </c>
    </row>
    <row r="1282" spans="1:15" ht="15.75" customHeight="1">
      <c r="A1282" s="4" t="s">
        <v>49</v>
      </c>
      <c r="B1282" s="4">
        <v>1335995</v>
      </c>
      <c r="C1282" s="4">
        <v>1337116</v>
      </c>
      <c r="E1282" s="4" t="s">
        <v>50</v>
      </c>
      <c r="F1282" s="4" t="s">
        <v>3698</v>
      </c>
      <c r="I1282" s="4" t="s">
        <v>52</v>
      </c>
      <c r="L1282" s="4" t="s">
        <v>3699</v>
      </c>
      <c r="M1282" s="4" t="s">
        <v>3698</v>
      </c>
      <c r="N1282" s="4">
        <v>373</v>
      </c>
      <c r="O1282" s="4" t="s">
        <v>3700</v>
      </c>
    </row>
    <row r="1283" spans="1:15" ht="15.75" customHeight="1">
      <c r="A1283" s="4" t="s">
        <v>49</v>
      </c>
      <c r="B1283" s="4">
        <v>1337130</v>
      </c>
      <c r="C1283" s="4">
        <v>1337414</v>
      </c>
      <c r="E1283" s="4" t="s">
        <v>50</v>
      </c>
      <c r="F1283" s="4" t="s">
        <v>3701</v>
      </c>
      <c r="I1283" s="4" t="s">
        <v>52</v>
      </c>
      <c r="L1283" s="4" t="s">
        <v>3702</v>
      </c>
      <c r="M1283" s="4" t="s">
        <v>3701</v>
      </c>
      <c r="N1283" s="4">
        <v>94</v>
      </c>
      <c r="O1283" s="4" t="s">
        <v>3703</v>
      </c>
    </row>
    <row r="1284" spans="1:15" ht="15.75" customHeight="1">
      <c r="A1284" s="4" t="s">
        <v>49</v>
      </c>
      <c r="B1284" s="4">
        <v>1337605</v>
      </c>
      <c r="C1284" s="4">
        <v>1338720</v>
      </c>
      <c r="E1284" s="4" t="s">
        <v>55</v>
      </c>
      <c r="F1284" s="4" t="s">
        <v>3704</v>
      </c>
      <c r="I1284" s="4" t="s">
        <v>52</v>
      </c>
      <c r="L1284" s="4" t="s">
        <v>3705</v>
      </c>
      <c r="M1284" s="4" t="s">
        <v>3704</v>
      </c>
      <c r="N1284" s="4">
        <v>371</v>
      </c>
      <c r="O1284" s="4" t="s">
        <v>3706</v>
      </c>
    </row>
    <row r="1285" spans="1:15" ht="15.75" customHeight="1">
      <c r="A1285" s="4" t="s">
        <v>49</v>
      </c>
      <c r="B1285" s="4">
        <v>1338908</v>
      </c>
      <c r="C1285" s="4">
        <v>1339114</v>
      </c>
      <c r="E1285" s="4" t="s">
        <v>55</v>
      </c>
      <c r="F1285" s="4" t="s">
        <v>3707</v>
      </c>
      <c r="I1285" s="4" t="s">
        <v>52</v>
      </c>
      <c r="L1285" s="4" t="s">
        <v>3708</v>
      </c>
      <c r="M1285" s="4" t="s">
        <v>3707</v>
      </c>
      <c r="N1285" s="4">
        <v>68</v>
      </c>
      <c r="O1285" s="4" t="s">
        <v>3709</v>
      </c>
    </row>
    <row r="1286" spans="1:15" ht="15.75" customHeight="1">
      <c r="A1286" s="4" t="s">
        <v>49</v>
      </c>
      <c r="B1286" s="4">
        <v>1339247</v>
      </c>
      <c r="C1286" s="4">
        <v>1339504</v>
      </c>
      <c r="E1286" s="4" t="s">
        <v>55</v>
      </c>
      <c r="F1286" s="4" t="s">
        <v>56</v>
      </c>
      <c r="I1286" s="4" t="s">
        <v>52</v>
      </c>
      <c r="L1286" s="4" t="s">
        <v>3710</v>
      </c>
      <c r="M1286" s="4" t="s">
        <v>56</v>
      </c>
      <c r="N1286" s="4">
        <v>85</v>
      </c>
      <c r="O1286" s="4" t="s">
        <v>3711</v>
      </c>
    </row>
    <row r="1287" spans="1:15" ht="15.75" customHeight="1">
      <c r="A1287" s="4" t="s">
        <v>49</v>
      </c>
      <c r="B1287" s="4">
        <v>1339575</v>
      </c>
      <c r="C1287" s="4">
        <v>1339781</v>
      </c>
      <c r="E1287" s="4" t="s">
        <v>55</v>
      </c>
      <c r="F1287" s="4" t="s">
        <v>56</v>
      </c>
      <c r="I1287" s="4" t="s">
        <v>52</v>
      </c>
      <c r="L1287" s="4" t="s">
        <v>3712</v>
      </c>
      <c r="M1287" s="4" t="s">
        <v>56</v>
      </c>
      <c r="N1287" s="4">
        <v>68</v>
      </c>
      <c r="O1287" s="4" t="s">
        <v>3713</v>
      </c>
    </row>
    <row r="1288" spans="1:15" ht="15.75" customHeight="1">
      <c r="A1288" s="4" t="s">
        <v>49</v>
      </c>
      <c r="B1288" s="4">
        <v>1340006</v>
      </c>
      <c r="C1288" s="4">
        <v>1340257</v>
      </c>
      <c r="E1288" s="4" t="s">
        <v>55</v>
      </c>
      <c r="F1288" s="4" t="s">
        <v>56</v>
      </c>
      <c r="I1288" s="4" t="s">
        <v>52</v>
      </c>
      <c r="L1288" s="4" t="s">
        <v>3714</v>
      </c>
      <c r="M1288" s="4" t="s">
        <v>56</v>
      </c>
      <c r="N1288" s="4">
        <v>83</v>
      </c>
      <c r="O1288" s="4" t="s">
        <v>3715</v>
      </c>
    </row>
    <row r="1289" spans="1:15" ht="15.75" customHeight="1">
      <c r="A1289" s="4" t="s">
        <v>49</v>
      </c>
      <c r="B1289" s="4">
        <v>1340585</v>
      </c>
      <c r="C1289" s="4">
        <v>1341817</v>
      </c>
      <c r="E1289" s="4" t="s">
        <v>50</v>
      </c>
      <c r="F1289" s="4" t="s">
        <v>255</v>
      </c>
      <c r="I1289" s="4" t="s">
        <v>52</v>
      </c>
      <c r="L1289" s="4" t="s">
        <v>3716</v>
      </c>
      <c r="M1289" s="4" t="s">
        <v>255</v>
      </c>
      <c r="N1289" s="4">
        <v>410</v>
      </c>
      <c r="O1289" s="4" t="s">
        <v>3717</v>
      </c>
    </row>
    <row r="1290" spans="1:15" ht="15.75" customHeight="1">
      <c r="A1290" s="4" t="s">
        <v>49</v>
      </c>
      <c r="B1290" s="4">
        <v>1341896</v>
      </c>
      <c r="C1290" s="4">
        <v>1343152</v>
      </c>
      <c r="E1290" s="4" t="s">
        <v>55</v>
      </c>
      <c r="F1290" s="4" t="s">
        <v>3718</v>
      </c>
      <c r="I1290" s="4" t="s">
        <v>52</v>
      </c>
      <c r="L1290" s="4" t="s">
        <v>3719</v>
      </c>
      <c r="M1290" s="4" t="s">
        <v>3718</v>
      </c>
      <c r="N1290" s="4">
        <v>418</v>
      </c>
      <c r="O1290" s="4" t="s">
        <v>3720</v>
      </c>
    </row>
    <row r="1291" spans="1:15" ht="15.75" customHeight="1">
      <c r="A1291" s="4" t="s">
        <v>49</v>
      </c>
      <c r="B1291" s="4">
        <v>1343241</v>
      </c>
      <c r="C1291" s="4">
        <v>1344074</v>
      </c>
      <c r="E1291" s="4" t="s">
        <v>55</v>
      </c>
      <c r="F1291" s="4" t="s">
        <v>3721</v>
      </c>
      <c r="G1291" s="4" t="s">
        <v>3722</v>
      </c>
      <c r="I1291" s="4" t="s">
        <v>52</v>
      </c>
      <c r="L1291" s="4" t="s">
        <v>3723</v>
      </c>
      <c r="M1291" s="4" t="s">
        <v>3721</v>
      </c>
      <c r="N1291" s="4">
        <v>277</v>
      </c>
      <c r="O1291" s="4" t="s">
        <v>3724</v>
      </c>
    </row>
    <row r="1292" spans="1:15" ht="15.75" customHeight="1">
      <c r="A1292" s="4" t="s">
        <v>49</v>
      </c>
      <c r="B1292" s="4">
        <v>1344391</v>
      </c>
      <c r="C1292" s="4">
        <v>1344585</v>
      </c>
      <c r="E1292" s="4" t="s">
        <v>55</v>
      </c>
      <c r="F1292" s="4" t="s">
        <v>56</v>
      </c>
      <c r="I1292" s="4" t="s">
        <v>52</v>
      </c>
      <c r="L1292" s="4" t="s">
        <v>3725</v>
      </c>
      <c r="M1292" s="4" t="s">
        <v>56</v>
      </c>
      <c r="N1292" s="4">
        <v>64</v>
      </c>
      <c r="O1292" s="4" t="s">
        <v>3726</v>
      </c>
    </row>
    <row r="1293" spans="1:15" ht="15.75" customHeight="1">
      <c r="A1293" s="4" t="s">
        <v>49</v>
      </c>
      <c r="B1293" s="4">
        <v>1344839</v>
      </c>
      <c r="C1293" s="4">
        <v>1345375</v>
      </c>
      <c r="E1293" s="4" t="s">
        <v>55</v>
      </c>
      <c r="F1293" s="4" t="s">
        <v>56</v>
      </c>
      <c r="I1293" s="4" t="s">
        <v>52</v>
      </c>
      <c r="L1293" s="4" t="s">
        <v>3727</v>
      </c>
      <c r="M1293" s="4" t="s">
        <v>56</v>
      </c>
      <c r="N1293" s="4">
        <v>178</v>
      </c>
      <c r="O1293" s="4" t="s">
        <v>3728</v>
      </c>
    </row>
    <row r="1294" spans="1:15" ht="15.75" customHeight="1">
      <c r="A1294" s="4" t="s">
        <v>49</v>
      </c>
      <c r="B1294" s="4">
        <v>1345565</v>
      </c>
      <c r="C1294" s="4">
        <v>1346788</v>
      </c>
      <c r="E1294" s="4" t="s">
        <v>55</v>
      </c>
      <c r="F1294" s="4" t="s">
        <v>56</v>
      </c>
      <c r="I1294" s="4" t="s">
        <v>52</v>
      </c>
      <c r="L1294" s="4" t="s">
        <v>3729</v>
      </c>
      <c r="M1294" s="4" t="s">
        <v>56</v>
      </c>
      <c r="N1294" s="4">
        <v>407</v>
      </c>
      <c r="O1294" s="4" t="s">
        <v>3730</v>
      </c>
    </row>
    <row r="1295" spans="1:15" ht="15.75" customHeight="1">
      <c r="A1295" s="4" t="s">
        <v>49</v>
      </c>
      <c r="B1295" s="4">
        <v>1347024</v>
      </c>
      <c r="C1295" s="4">
        <v>1347851</v>
      </c>
      <c r="E1295" s="4" t="s">
        <v>55</v>
      </c>
      <c r="F1295" s="4" t="s">
        <v>3731</v>
      </c>
      <c r="I1295" s="4" t="s">
        <v>52</v>
      </c>
      <c r="L1295" s="4" t="s">
        <v>3732</v>
      </c>
      <c r="M1295" s="4" t="s">
        <v>3731</v>
      </c>
      <c r="N1295" s="4">
        <v>275</v>
      </c>
      <c r="O1295" s="4" t="s">
        <v>3733</v>
      </c>
    </row>
    <row r="1296" spans="1:15" ht="15.75" customHeight="1">
      <c r="A1296" s="4" t="s">
        <v>49</v>
      </c>
      <c r="B1296" s="4">
        <v>1347858</v>
      </c>
      <c r="C1296" s="4">
        <v>1349417</v>
      </c>
      <c r="E1296" s="4" t="s">
        <v>55</v>
      </c>
      <c r="F1296" s="4" t="s">
        <v>3734</v>
      </c>
      <c r="I1296" s="4" t="s">
        <v>52</v>
      </c>
      <c r="L1296" s="4" t="s">
        <v>3735</v>
      </c>
      <c r="M1296" s="4" t="s">
        <v>3734</v>
      </c>
      <c r="N1296" s="4">
        <v>519</v>
      </c>
      <c r="O1296" s="4" t="s">
        <v>3736</v>
      </c>
    </row>
    <row r="1297" spans="1:15" ht="15.75" customHeight="1">
      <c r="A1297" s="4" t="s">
        <v>49</v>
      </c>
      <c r="B1297" s="4">
        <v>1349414</v>
      </c>
      <c r="C1297" s="4">
        <v>1350736</v>
      </c>
      <c r="E1297" s="4" t="s">
        <v>55</v>
      </c>
      <c r="F1297" s="4" t="s">
        <v>3737</v>
      </c>
      <c r="I1297" s="4" t="s">
        <v>52</v>
      </c>
      <c r="L1297" s="4" t="s">
        <v>3738</v>
      </c>
      <c r="M1297" s="4" t="s">
        <v>3737</v>
      </c>
      <c r="N1297" s="4">
        <v>440</v>
      </c>
      <c r="O1297" s="4" t="s">
        <v>3739</v>
      </c>
    </row>
    <row r="1298" spans="1:15" ht="15.75" customHeight="1">
      <c r="A1298" s="4" t="s">
        <v>49</v>
      </c>
      <c r="B1298" s="4">
        <v>1350738</v>
      </c>
      <c r="C1298" s="4">
        <v>1353743</v>
      </c>
      <c r="E1298" s="4" t="s">
        <v>55</v>
      </c>
      <c r="F1298" s="4" t="s">
        <v>3740</v>
      </c>
      <c r="I1298" s="4" t="s">
        <v>52</v>
      </c>
      <c r="L1298" s="4" t="s">
        <v>3741</v>
      </c>
      <c r="M1298" s="4" t="s">
        <v>3740</v>
      </c>
      <c r="N1298" s="4">
        <v>1001</v>
      </c>
      <c r="O1298" s="4" t="s">
        <v>3742</v>
      </c>
    </row>
    <row r="1299" spans="1:15" ht="15.75" customHeight="1">
      <c r="A1299" s="4" t="s">
        <v>49</v>
      </c>
      <c r="B1299" s="4">
        <v>1354021</v>
      </c>
      <c r="C1299" s="4">
        <v>1354578</v>
      </c>
      <c r="E1299" s="4" t="s">
        <v>55</v>
      </c>
      <c r="F1299" s="4" t="s">
        <v>56</v>
      </c>
      <c r="I1299" s="4" t="s">
        <v>52</v>
      </c>
      <c r="L1299" s="4" t="s">
        <v>3743</v>
      </c>
      <c r="M1299" s="4" t="s">
        <v>56</v>
      </c>
      <c r="N1299" s="4">
        <v>185</v>
      </c>
      <c r="O1299" s="4" t="s">
        <v>3744</v>
      </c>
    </row>
    <row r="1300" spans="1:15" ht="15.75" customHeight="1">
      <c r="A1300" s="4" t="s">
        <v>49</v>
      </c>
      <c r="B1300" s="4">
        <v>1354673</v>
      </c>
      <c r="C1300" s="4">
        <v>1355856</v>
      </c>
      <c r="E1300" s="4" t="s">
        <v>55</v>
      </c>
      <c r="F1300" s="4" t="s">
        <v>345</v>
      </c>
      <c r="I1300" s="4" t="s">
        <v>346</v>
      </c>
      <c r="O1300" s="4" t="s">
        <v>3745</v>
      </c>
    </row>
    <row r="1301" spans="1:15" ht="15.75" customHeight="1">
      <c r="A1301" s="4" t="s">
        <v>49</v>
      </c>
      <c r="B1301" s="4">
        <v>1356065</v>
      </c>
      <c r="C1301" s="4">
        <v>1357120</v>
      </c>
      <c r="E1301" s="4" t="s">
        <v>50</v>
      </c>
      <c r="F1301" s="4" t="s">
        <v>3746</v>
      </c>
      <c r="I1301" s="4" t="s">
        <v>52</v>
      </c>
      <c r="L1301" s="4" t="s">
        <v>3747</v>
      </c>
      <c r="M1301" s="4" t="s">
        <v>3746</v>
      </c>
      <c r="N1301" s="4">
        <v>351</v>
      </c>
      <c r="O1301" s="4" t="s">
        <v>3748</v>
      </c>
    </row>
    <row r="1302" spans="1:15" ht="15.75" customHeight="1">
      <c r="A1302" s="4" t="s">
        <v>49</v>
      </c>
      <c r="B1302" s="4">
        <v>1357371</v>
      </c>
      <c r="C1302" s="4">
        <v>1358000</v>
      </c>
      <c r="E1302" s="4" t="s">
        <v>50</v>
      </c>
      <c r="F1302" s="4" t="s">
        <v>92</v>
      </c>
      <c r="I1302" s="4" t="s">
        <v>52</v>
      </c>
      <c r="L1302" s="4" t="s">
        <v>3749</v>
      </c>
      <c r="M1302" s="4" t="s">
        <v>92</v>
      </c>
      <c r="N1302" s="4">
        <v>209</v>
      </c>
      <c r="O1302" s="4" t="s">
        <v>3750</v>
      </c>
    </row>
    <row r="1303" spans="1:15" ht="15.75" customHeight="1">
      <c r="A1303" s="4" t="s">
        <v>49</v>
      </c>
      <c r="B1303" s="4">
        <v>1358136</v>
      </c>
      <c r="C1303" s="4">
        <v>1358465</v>
      </c>
      <c r="E1303" s="4" t="s">
        <v>50</v>
      </c>
      <c r="F1303" s="4" t="s">
        <v>2651</v>
      </c>
      <c r="I1303" s="4" t="s">
        <v>52</v>
      </c>
      <c r="L1303" s="4" t="s">
        <v>3751</v>
      </c>
      <c r="M1303" s="4" t="s">
        <v>2651</v>
      </c>
      <c r="N1303" s="4">
        <v>109</v>
      </c>
      <c r="O1303" s="4" t="s">
        <v>3752</v>
      </c>
    </row>
    <row r="1304" spans="1:15" ht="15.75" customHeight="1">
      <c r="A1304" s="4" t="s">
        <v>49</v>
      </c>
      <c r="B1304" s="4">
        <v>1358462</v>
      </c>
      <c r="C1304" s="4">
        <v>1359250</v>
      </c>
      <c r="E1304" s="4" t="s">
        <v>50</v>
      </c>
      <c r="F1304" s="4" t="s">
        <v>56</v>
      </c>
      <c r="I1304" s="4" t="s">
        <v>52</v>
      </c>
      <c r="L1304" s="4" t="s">
        <v>3753</v>
      </c>
      <c r="M1304" s="4" t="s">
        <v>56</v>
      </c>
      <c r="N1304" s="4">
        <v>262</v>
      </c>
      <c r="O1304" s="4" t="s">
        <v>3754</v>
      </c>
    </row>
    <row r="1305" spans="1:15" ht="15.75" customHeight="1">
      <c r="A1305" s="4" t="s">
        <v>49</v>
      </c>
      <c r="B1305" s="4">
        <v>1359303</v>
      </c>
      <c r="C1305" s="4">
        <v>1360091</v>
      </c>
      <c r="E1305" s="4" t="s">
        <v>50</v>
      </c>
      <c r="F1305" s="4" t="s">
        <v>56</v>
      </c>
      <c r="I1305" s="4" t="s">
        <v>52</v>
      </c>
      <c r="L1305" s="4" t="s">
        <v>3755</v>
      </c>
      <c r="M1305" s="4" t="s">
        <v>56</v>
      </c>
      <c r="N1305" s="4">
        <v>262</v>
      </c>
      <c r="O1305" s="4" t="s">
        <v>3756</v>
      </c>
    </row>
    <row r="1306" spans="1:15" ht="15.75" customHeight="1">
      <c r="A1306" s="4" t="s">
        <v>49</v>
      </c>
      <c r="B1306" s="4">
        <v>1360193</v>
      </c>
      <c r="C1306" s="4">
        <v>1360414</v>
      </c>
      <c r="E1306" s="4" t="s">
        <v>55</v>
      </c>
      <c r="F1306" s="4" t="s">
        <v>3757</v>
      </c>
      <c r="I1306" s="4" t="s">
        <v>52</v>
      </c>
      <c r="L1306" s="4" t="s">
        <v>3758</v>
      </c>
      <c r="M1306" s="4" t="s">
        <v>3757</v>
      </c>
      <c r="N1306" s="4">
        <v>73</v>
      </c>
      <c r="O1306" s="4" t="s">
        <v>3759</v>
      </c>
    </row>
    <row r="1307" spans="1:15" ht="15.75" customHeight="1">
      <c r="A1307" s="4" t="s">
        <v>49</v>
      </c>
      <c r="B1307" s="4">
        <v>1360438</v>
      </c>
      <c r="C1307" s="4">
        <v>1360722</v>
      </c>
      <c r="E1307" s="4" t="s">
        <v>55</v>
      </c>
      <c r="F1307" s="4" t="s">
        <v>3757</v>
      </c>
      <c r="I1307" s="4" t="s">
        <v>52</v>
      </c>
      <c r="L1307" s="4" t="s">
        <v>3760</v>
      </c>
      <c r="M1307" s="4" t="s">
        <v>3757</v>
      </c>
      <c r="N1307" s="4">
        <v>94</v>
      </c>
      <c r="O1307" s="4" t="s">
        <v>3761</v>
      </c>
    </row>
    <row r="1308" spans="1:15" ht="15.75" customHeight="1">
      <c r="A1308" s="4" t="s">
        <v>49</v>
      </c>
      <c r="B1308" s="4">
        <v>1360916</v>
      </c>
      <c r="C1308" s="4">
        <v>1361212</v>
      </c>
      <c r="E1308" s="4" t="s">
        <v>55</v>
      </c>
      <c r="F1308" s="4" t="s">
        <v>3757</v>
      </c>
      <c r="I1308" s="4" t="s">
        <v>52</v>
      </c>
      <c r="L1308" s="4" t="s">
        <v>3762</v>
      </c>
      <c r="M1308" s="4" t="s">
        <v>3757</v>
      </c>
      <c r="N1308" s="4">
        <v>98</v>
      </c>
      <c r="O1308" s="4" t="s">
        <v>3763</v>
      </c>
    </row>
    <row r="1309" spans="1:15" ht="15.75" customHeight="1">
      <c r="A1309" s="4" t="s">
        <v>49</v>
      </c>
      <c r="B1309" s="4">
        <v>1361314</v>
      </c>
      <c r="C1309" s="4">
        <v>1362669</v>
      </c>
      <c r="E1309" s="4" t="s">
        <v>55</v>
      </c>
      <c r="F1309" s="4" t="s">
        <v>3764</v>
      </c>
      <c r="I1309" s="4" t="s">
        <v>52</v>
      </c>
      <c r="L1309" s="4" t="s">
        <v>3765</v>
      </c>
      <c r="M1309" s="4" t="s">
        <v>3764</v>
      </c>
      <c r="N1309" s="4">
        <v>451</v>
      </c>
      <c r="O1309" s="4" t="s">
        <v>3766</v>
      </c>
    </row>
    <row r="1310" spans="1:15" ht="15.75" customHeight="1">
      <c r="A1310" s="4" t="s">
        <v>49</v>
      </c>
      <c r="B1310" s="4">
        <v>1362975</v>
      </c>
      <c r="C1310" s="4">
        <v>1363286</v>
      </c>
      <c r="E1310" s="4" t="s">
        <v>55</v>
      </c>
      <c r="F1310" s="4" t="s">
        <v>56</v>
      </c>
      <c r="I1310" s="4" t="s">
        <v>52</v>
      </c>
      <c r="L1310" s="4" t="s">
        <v>3767</v>
      </c>
      <c r="M1310" s="4" t="s">
        <v>56</v>
      </c>
      <c r="N1310" s="4">
        <v>103</v>
      </c>
      <c r="O1310" s="4" t="s">
        <v>3768</v>
      </c>
    </row>
    <row r="1311" spans="1:15" ht="15.75" customHeight="1">
      <c r="A1311" s="4" t="s">
        <v>49</v>
      </c>
      <c r="B1311" s="4">
        <v>1363359</v>
      </c>
      <c r="C1311" s="4">
        <v>1363709</v>
      </c>
      <c r="E1311" s="4" t="s">
        <v>55</v>
      </c>
      <c r="F1311" s="4" t="s">
        <v>56</v>
      </c>
      <c r="I1311" s="4" t="s">
        <v>52</v>
      </c>
      <c r="L1311" s="4" t="s">
        <v>3769</v>
      </c>
      <c r="M1311" s="4" t="s">
        <v>56</v>
      </c>
      <c r="N1311" s="4">
        <v>116</v>
      </c>
      <c r="O1311" s="4" t="s">
        <v>3770</v>
      </c>
    </row>
    <row r="1312" spans="1:15" ht="15.75" customHeight="1">
      <c r="A1312" s="4" t="s">
        <v>49</v>
      </c>
      <c r="B1312" s="4">
        <v>1363883</v>
      </c>
      <c r="C1312" s="4">
        <v>1364023</v>
      </c>
      <c r="E1312" s="4" t="s">
        <v>55</v>
      </c>
      <c r="F1312" s="4" t="s">
        <v>345</v>
      </c>
      <c r="I1312" s="4" t="s">
        <v>346</v>
      </c>
      <c r="O1312" s="4" t="s">
        <v>3771</v>
      </c>
    </row>
    <row r="1313" spans="1:15" ht="15.75" customHeight="1">
      <c r="A1313" s="4" t="s">
        <v>49</v>
      </c>
      <c r="B1313" s="4">
        <v>1364177</v>
      </c>
      <c r="C1313" s="4">
        <v>1365592</v>
      </c>
      <c r="E1313" s="4" t="s">
        <v>50</v>
      </c>
      <c r="F1313" s="4" t="s">
        <v>779</v>
      </c>
      <c r="I1313" s="4" t="s">
        <v>52</v>
      </c>
      <c r="L1313" s="4" t="s">
        <v>780</v>
      </c>
      <c r="M1313" s="4" t="s">
        <v>779</v>
      </c>
      <c r="N1313" s="4">
        <v>471</v>
      </c>
      <c r="O1313" s="4" t="s">
        <v>3772</v>
      </c>
    </row>
    <row r="1314" spans="1:15" ht="15.75" customHeight="1">
      <c r="A1314" s="4" t="s">
        <v>49</v>
      </c>
      <c r="B1314" s="4">
        <v>1365704</v>
      </c>
      <c r="C1314" s="4">
        <v>1366624</v>
      </c>
      <c r="E1314" s="4" t="s">
        <v>50</v>
      </c>
      <c r="F1314" s="4" t="s">
        <v>674</v>
      </c>
      <c r="I1314" s="4" t="s">
        <v>52</v>
      </c>
      <c r="L1314" s="4" t="s">
        <v>675</v>
      </c>
      <c r="M1314" s="4" t="s">
        <v>674</v>
      </c>
      <c r="N1314" s="4">
        <v>306</v>
      </c>
      <c r="O1314" s="4" t="s">
        <v>3773</v>
      </c>
    </row>
    <row r="1315" spans="1:15" ht="15.75" customHeight="1">
      <c r="A1315" s="4" t="s">
        <v>49</v>
      </c>
      <c r="B1315" s="4">
        <v>1366638</v>
      </c>
      <c r="C1315" s="4">
        <v>1367886</v>
      </c>
      <c r="E1315" s="4" t="s">
        <v>55</v>
      </c>
      <c r="F1315" s="4" t="s">
        <v>345</v>
      </c>
      <c r="I1315" s="4" t="s">
        <v>346</v>
      </c>
      <c r="O1315" s="4" t="s">
        <v>3774</v>
      </c>
    </row>
    <row r="1316" spans="1:15" ht="15.75" customHeight="1">
      <c r="A1316" s="4" t="s">
        <v>49</v>
      </c>
      <c r="B1316" s="4">
        <v>1367897</v>
      </c>
      <c r="C1316" s="4">
        <v>1370089</v>
      </c>
      <c r="E1316" s="4" t="s">
        <v>55</v>
      </c>
      <c r="F1316" s="4" t="s">
        <v>3775</v>
      </c>
      <c r="I1316" s="4" t="s">
        <v>52</v>
      </c>
      <c r="L1316" s="4" t="s">
        <v>3776</v>
      </c>
      <c r="M1316" s="4" t="s">
        <v>3775</v>
      </c>
      <c r="N1316" s="4">
        <v>730</v>
      </c>
      <c r="O1316" s="4" t="s">
        <v>3777</v>
      </c>
    </row>
    <row r="1317" spans="1:15" ht="15.75" customHeight="1">
      <c r="A1317" s="4" t="s">
        <v>49</v>
      </c>
      <c r="B1317" s="4">
        <v>1370556</v>
      </c>
      <c r="C1317" s="4">
        <v>1370693</v>
      </c>
      <c r="E1317" s="4" t="s">
        <v>55</v>
      </c>
      <c r="F1317" s="4" t="s">
        <v>3778</v>
      </c>
      <c r="I1317" s="4" t="s">
        <v>52</v>
      </c>
      <c r="L1317" s="4" t="s">
        <v>3779</v>
      </c>
      <c r="M1317" s="4" t="s">
        <v>3778</v>
      </c>
      <c r="N1317" s="4">
        <v>45</v>
      </c>
      <c r="O1317" s="4" t="s">
        <v>3780</v>
      </c>
    </row>
    <row r="1318" spans="1:15" ht="15.75" customHeight="1">
      <c r="A1318" s="4" t="s">
        <v>49</v>
      </c>
      <c r="B1318" s="4">
        <v>1370894</v>
      </c>
      <c r="C1318" s="4">
        <v>1372192</v>
      </c>
      <c r="E1318" s="4" t="s">
        <v>50</v>
      </c>
      <c r="F1318" s="4" t="s">
        <v>3781</v>
      </c>
      <c r="I1318" s="4" t="s">
        <v>52</v>
      </c>
      <c r="L1318" s="4" t="s">
        <v>3782</v>
      </c>
      <c r="M1318" s="4" t="s">
        <v>3781</v>
      </c>
      <c r="N1318" s="4">
        <v>432</v>
      </c>
      <c r="O1318" s="4" t="s">
        <v>3783</v>
      </c>
    </row>
    <row r="1319" spans="1:15" ht="15.75" customHeight="1">
      <c r="A1319" s="4" t="s">
        <v>49</v>
      </c>
      <c r="B1319" s="4">
        <v>1372197</v>
      </c>
      <c r="C1319" s="4">
        <v>1373003</v>
      </c>
      <c r="E1319" s="4" t="s">
        <v>50</v>
      </c>
      <c r="F1319" s="4" t="s">
        <v>3784</v>
      </c>
      <c r="I1319" s="4" t="s">
        <v>52</v>
      </c>
      <c r="L1319" s="4" t="s">
        <v>3785</v>
      </c>
      <c r="M1319" s="4" t="s">
        <v>3784</v>
      </c>
      <c r="N1319" s="4">
        <v>268</v>
      </c>
      <c r="O1319" s="4" t="s">
        <v>3786</v>
      </c>
    </row>
    <row r="1320" spans="1:15" ht="15.75" customHeight="1">
      <c r="A1320" s="4" t="s">
        <v>49</v>
      </c>
      <c r="B1320" s="4">
        <v>1373335</v>
      </c>
      <c r="C1320" s="4">
        <v>1373586</v>
      </c>
      <c r="E1320" s="4" t="s">
        <v>50</v>
      </c>
      <c r="F1320" s="4" t="s">
        <v>348</v>
      </c>
      <c r="I1320" s="4" t="s">
        <v>52</v>
      </c>
      <c r="L1320" s="4" t="s">
        <v>767</v>
      </c>
      <c r="M1320" s="4" t="s">
        <v>348</v>
      </c>
      <c r="N1320" s="4">
        <v>83</v>
      </c>
      <c r="O1320" s="4" t="s">
        <v>3787</v>
      </c>
    </row>
    <row r="1321" spans="1:15" ht="15.75" customHeight="1">
      <c r="A1321" s="4" t="s">
        <v>49</v>
      </c>
      <c r="B1321" s="4">
        <v>1373640</v>
      </c>
      <c r="C1321" s="4">
        <v>1374482</v>
      </c>
      <c r="E1321" s="4" t="s">
        <v>50</v>
      </c>
      <c r="F1321" s="4" t="s">
        <v>348</v>
      </c>
      <c r="I1321" s="4" t="s">
        <v>52</v>
      </c>
      <c r="L1321" s="4" t="s">
        <v>765</v>
      </c>
      <c r="M1321" s="4" t="s">
        <v>348</v>
      </c>
      <c r="N1321" s="4">
        <v>280</v>
      </c>
      <c r="O1321" s="4" t="s">
        <v>3788</v>
      </c>
    </row>
    <row r="1322" spans="1:15" ht="15.75" customHeight="1">
      <c r="A1322" s="4" t="s">
        <v>49</v>
      </c>
      <c r="B1322" s="4">
        <v>1374599</v>
      </c>
      <c r="C1322" s="4">
        <v>1375050</v>
      </c>
      <c r="E1322" s="4" t="s">
        <v>55</v>
      </c>
      <c r="F1322" s="4" t="s">
        <v>345</v>
      </c>
      <c r="I1322" s="4" t="s">
        <v>346</v>
      </c>
      <c r="O1322" s="4" t="s">
        <v>3789</v>
      </c>
    </row>
    <row r="1323" spans="1:15" ht="15.75" customHeight="1">
      <c r="A1323" s="4" t="s">
        <v>49</v>
      </c>
      <c r="B1323" s="4">
        <v>1375359</v>
      </c>
      <c r="C1323" s="4">
        <v>1378181</v>
      </c>
      <c r="E1323" s="4" t="s">
        <v>50</v>
      </c>
      <c r="F1323" s="4" t="s">
        <v>108</v>
      </c>
      <c r="I1323" s="4" t="s">
        <v>52</v>
      </c>
      <c r="L1323" s="4" t="s">
        <v>3790</v>
      </c>
      <c r="M1323" s="4" t="s">
        <v>108</v>
      </c>
      <c r="N1323" s="4">
        <v>940</v>
      </c>
      <c r="O1323" s="4" t="s">
        <v>3791</v>
      </c>
    </row>
    <row r="1324" spans="1:15" ht="15.75" customHeight="1">
      <c r="A1324" s="4" t="s">
        <v>49</v>
      </c>
      <c r="B1324" s="4">
        <v>1378241</v>
      </c>
      <c r="C1324" s="4">
        <v>1378504</v>
      </c>
      <c r="E1324" s="4" t="s">
        <v>50</v>
      </c>
      <c r="F1324" s="4" t="s">
        <v>56</v>
      </c>
      <c r="I1324" s="4" t="s">
        <v>52</v>
      </c>
      <c r="L1324" s="4" t="s">
        <v>3792</v>
      </c>
      <c r="M1324" s="4" t="s">
        <v>56</v>
      </c>
      <c r="N1324" s="4">
        <v>87</v>
      </c>
      <c r="O1324" s="4" t="s">
        <v>3793</v>
      </c>
    </row>
    <row r="1325" spans="1:15" ht="15.75" customHeight="1">
      <c r="A1325" s="4" t="s">
        <v>49</v>
      </c>
      <c r="B1325" s="4">
        <v>1378556</v>
      </c>
      <c r="C1325" s="4">
        <v>1378981</v>
      </c>
      <c r="E1325" s="4" t="s">
        <v>50</v>
      </c>
      <c r="F1325" s="4" t="s">
        <v>92</v>
      </c>
      <c r="I1325" s="4" t="s">
        <v>52</v>
      </c>
      <c r="L1325" s="4" t="s">
        <v>3794</v>
      </c>
      <c r="M1325" s="4" t="s">
        <v>92</v>
      </c>
      <c r="N1325" s="4">
        <v>141</v>
      </c>
      <c r="O1325" s="4" t="s">
        <v>3795</v>
      </c>
    </row>
    <row r="1326" spans="1:15" ht="15.75" customHeight="1">
      <c r="A1326" s="4" t="s">
        <v>49</v>
      </c>
      <c r="B1326" s="4">
        <v>1379139</v>
      </c>
      <c r="C1326" s="4">
        <v>1379894</v>
      </c>
      <c r="E1326" s="4" t="s">
        <v>55</v>
      </c>
      <c r="F1326" s="4" t="s">
        <v>348</v>
      </c>
      <c r="I1326" s="4" t="s">
        <v>52</v>
      </c>
      <c r="L1326" s="4" t="s">
        <v>3796</v>
      </c>
      <c r="M1326" s="4" t="s">
        <v>348</v>
      </c>
      <c r="N1326" s="4">
        <v>251</v>
      </c>
      <c r="O1326" s="4" t="s">
        <v>3797</v>
      </c>
    </row>
    <row r="1327" spans="1:15" ht="15.75" customHeight="1">
      <c r="A1327" s="4" t="s">
        <v>49</v>
      </c>
      <c r="B1327" s="4">
        <v>1380034</v>
      </c>
      <c r="C1327" s="4">
        <v>1380285</v>
      </c>
      <c r="E1327" s="4" t="s">
        <v>55</v>
      </c>
      <c r="F1327" s="4" t="s">
        <v>348</v>
      </c>
      <c r="I1327" s="4" t="s">
        <v>52</v>
      </c>
      <c r="L1327" s="4" t="s">
        <v>767</v>
      </c>
      <c r="M1327" s="4" t="s">
        <v>348</v>
      </c>
      <c r="N1327" s="4">
        <v>83</v>
      </c>
      <c r="O1327" s="4" t="s">
        <v>3798</v>
      </c>
    </row>
    <row r="1328" spans="1:15" ht="15.75" customHeight="1">
      <c r="A1328" s="4" t="s">
        <v>49</v>
      </c>
      <c r="B1328" s="4">
        <v>1380366</v>
      </c>
      <c r="C1328" s="4">
        <v>1381447</v>
      </c>
      <c r="E1328" s="4" t="s">
        <v>55</v>
      </c>
      <c r="F1328" s="4" t="s">
        <v>345</v>
      </c>
      <c r="I1328" s="4" t="s">
        <v>346</v>
      </c>
      <c r="O1328" s="4" t="s">
        <v>3799</v>
      </c>
    </row>
    <row r="1329" spans="1:15" ht="15.75" customHeight="1">
      <c r="A1329" s="4" t="s">
        <v>49</v>
      </c>
      <c r="B1329" s="4">
        <v>1381870</v>
      </c>
      <c r="C1329" s="4">
        <v>1382088</v>
      </c>
      <c r="E1329" s="4" t="s">
        <v>50</v>
      </c>
      <c r="F1329" s="4" t="s">
        <v>3707</v>
      </c>
      <c r="I1329" s="4" t="s">
        <v>52</v>
      </c>
      <c r="L1329" s="4" t="s">
        <v>3800</v>
      </c>
      <c r="M1329" s="4" t="s">
        <v>3707</v>
      </c>
      <c r="N1329" s="4">
        <v>72</v>
      </c>
      <c r="O1329" s="4" t="s">
        <v>3801</v>
      </c>
    </row>
    <row r="1330" spans="1:15" ht="15.75" customHeight="1">
      <c r="A1330" s="4" t="s">
        <v>49</v>
      </c>
      <c r="B1330" s="4">
        <v>1382284</v>
      </c>
      <c r="C1330" s="4">
        <v>1383282</v>
      </c>
      <c r="E1330" s="4" t="s">
        <v>55</v>
      </c>
      <c r="F1330" s="4" t="s">
        <v>674</v>
      </c>
      <c r="I1330" s="4" t="s">
        <v>52</v>
      </c>
      <c r="L1330" s="4" t="s">
        <v>3802</v>
      </c>
      <c r="M1330" s="4" t="s">
        <v>674</v>
      </c>
      <c r="N1330" s="4">
        <v>332</v>
      </c>
      <c r="O1330" s="4" t="s">
        <v>3803</v>
      </c>
    </row>
    <row r="1331" spans="1:15" ht="15.75" customHeight="1">
      <c r="A1331" s="4" t="s">
        <v>49</v>
      </c>
      <c r="B1331" s="4">
        <v>1383533</v>
      </c>
      <c r="C1331" s="4">
        <v>1384186</v>
      </c>
      <c r="E1331" s="4" t="s">
        <v>55</v>
      </c>
      <c r="F1331" s="4" t="s">
        <v>56</v>
      </c>
      <c r="I1331" s="4" t="s">
        <v>52</v>
      </c>
      <c r="L1331" s="4" t="s">
        <v>3804</v>
      </c>
      <c r="M1331" s="4" t="s">
        <v>56</v>
      </c>
      <c r="N1331" s="4">
        <v>217</v>
      </c>
      <c r="O1331" s="4" t="s">
        <v>3805</v>
      </c>
    </row>
    <row r="1332" spans="1:15" ht="15.75" customHeight="1">
      <c r="A1332" s="4" t="s">
        <v>49</v>
      </c>
      <c r="B1332" s="4">
        <v>1384699</v>
      </c>
      <c r="C1332" s="4">
        <v>1385142</v>
      </c>
      <c r="E1332" s="4" t="s">
        <v>55</v>
      </c>
      <c r="F1332" s="4" t="s">
        <v>3806</v>
      </c>
      <c r="I1332" s="4" t="s">
        <v>52</v>
      </c>
      <c r="L1332" s="4" t="s">
        <v>3807</v>
      </c>
      <c r="M1332" s="4" t="s">
        <v>3806</v>
      </c>
      <c r="N1332" s="4">
        <v>147</v>
      </c>
      <c r="O1332" s="4" t="s">
        <v>3808</v>
      </c>
    </row>
    <row r="1333" spans="1:15" ht="15.75" customHeight="1">
      <c r="A1333" s="4" t="s">
        <v>49</v>
      </c>
      <c r="B1333" s="4">
        <v>1385657</v>
      </c>
      <c r="C1333" s="4">
        <v>1385989</v>
      </c>
      <c r="E1333" s="4" t="s">
        <v>55</v>
      </c>
      <c r="F1333" s="4" t="s">
        <v>56</v>
      </c>
      <c r="I1333" s="4" t="s">
        <v>52</v>
      </c>
      <c r="L1333" s="4" t="s">
        <v>3809</v>
      </c>
      <c r="M1333" s="4" t="s">
        <v>56</v>
      </c>
      <c r="N1333" s="4">
        <v>110</v>
      </c>
      <c r="O1333" s="4" t="s">
        <v>3810</v>
      </c>
    </row>
    <row r="1334" spans="1:15" ht="15.75" customHeight="1">
      <c r="A1334" s="4" t="s">
        <v>49</v>
      </c>
      <c r="B1334" s="4">
        <v>1386059</v>
      </c>
      <c r="C1334" s="4">
        <v>1386346</v>
      </c>
      <c r="E1334" s="4" t="s">
        <v>55</v>
      </c>
      <c r="F1334" s="4" t="s">
        <v>56</v>
      </c>
      <c r="I1334" s="4" t="s">
        <v>52</v>
      </c>
      <c r="L1334" s="4" t="s">
        <v>3811</v>
      </c>
      <c r="M1334" s="4" t="s">
        <v>56</v>
      </c>
      <c r="N1334" s="4">
        <v>95</v>
      </c>
      <c r="O1334" s="4" t="s">
        <v>3812</v>
      </c>
    </row>
    <row r="1335" spans="1:15" ht="15.75" customHeight="1">
      <c r="A1335" s="4" t="s">
        <v>49</v>
      </c>
      <c r="B1335" s="4">
        <v>1386358</v>
      </c>
      <c r="C1335" s="4">
        <v>1387095</v>
      </c>
      <c r="E1335" s="4" t="s">
        <v>55</v>
      </c>
      <c r="F1335" s="4" t="s">
        <v>56</v>
      </c>
      <c r="I1335" s="4" t="s">
        <v>52</v>
      </c>
      <c r="L1335" s="4" t="s">
        <v>3813</v>
      </c>
      <c r="M1335" s="4" t="s">
        <v>56</v>
      </c>
      <c r="N1335" s="4">
        <v>245</v>
      </c>
      <c r="O1335" s="4" t="s">
        <v>3814</v>
      </c>
    </row>
    <row r="1336" spans="1:15" ht="15.75" customHeight="1">
      <c r="A1336" s="4" t="s">
        <v>49</v>
      </c>
      <c r="B1336" s="4">
        <v>1387097</v>
      </c>
      <c r="C1336" s="4">
        <v>1387519</v>
      </c>
      <c r="E1336" s="4" t="s">
        <v>55</v>
      </c>
      <c r="F1336" s="4" t="s">
        <v>56</v>
      </c>
      <c r="I1336" s="4" t="s">
        <v>52</v>
      </c>
      <c r="L1336" s="4" t="s">
        <v>3815</v>
      </c>
      <c r="M1336" s="4" t="s">
        <v>56</v>
      </c>
      <c r="N1336" s="4">
        <v>140</v>
      </c>
      <c r="O1336" s="4" t="s">
        <v>3816</v>
      </c>
    </row>
    <row r="1337" spans="1:15" ht="15.75" customHeight="1">
      <c r="A1337" s="4" t="s">
        <v>49</v>
      </c>
      <c r="B1337" s="4">
        <v>1387566</v>
      </c>
      <c r="C1337" s="4">
        <v>1388084</v>
      </c>
      <c r="E1337" s="4" t="s">
        <v>55</v>
      </c>
      <c r="F1337" s="4" t="s">
        <v>79</v>
      </c>
      <c r="I1337" s="4" t="s">
        <v>52</v>
      </c>
      <c r="L1337" s="4" t="s">
        <v>3817</v>
      </c>
      <c r="M1337" s="4" t="s">
        <v>79</v>
      </c>
      <c r="N1337" s="4">
        <v>172</v>
      </c>
      <c r="O1337" s="4" t="s">
        <v>3818</v>
      </c>
    </row>
    <row r="1338" spans="1:15" ht="15.75" customHeight="1">
      <c r="A1338" s="4" t="s">
        <v>49</v>
      </c>
      <c r="B1338" s="4">
        <v>1388084</v>
      </c>
      <c r="C1338" s="4">
        <v>1388908</v>
      </c>
      <c r="E1338" s="4" t="s">
        <v>55</v>
      </c>
      <c r="F1338" s="4" t="s">
        <v>2942</v>
      </c>
      <c r="I1338" s="4" t="s">
        <v>52</v>
      </c>
      <c r="L1338" s="4" t="s">
        <v>3819</v>
      </c>
      <c r="M1338" s="4" t="s">
        <v>2942</v>
      </c>
      <c r="N1338" s="4">
        <v>274</v>
      </c>
      <c r="O1338" s="4" t="s">
        <v>3820</v>
      </c>
    </row>
    <row r="1339" spans="1:15" ht="15.75" customHeight="1">
      <c r="A1339" s="4" t="s">
        <v>49</v>
      </c>
      <c r="B1339" s="4">
        <v>1388923</v>
      </c>
      <c r="C1339" s="4">
        <v>1389669</v>
      </c>
      <c r="E1339" s="4" t="s">
        <v>55</v>
      </c>
      <c r="F1339" s="4" t="s">
        <v>1512</v>
      </c>
      <c r="I1339" s="4" t="s">
        <v>52</v>
      </c>
      <c r="L1339" s="4" t="s">
        <v>3821</v>
      </c>
      <c r="M1339" s="4" t="s">
        <v>1512</v>
      </c>
      <c r="N1339" s="4">
        <v>248</v>
      </c>
      <c r="O1339" s="4" t="s">
        <v>3822</v>
      </c>
    </row>
    <row r="1340" spans="1:15" ht="15.75" customHeight="1">
      <c r="A1340" s="4" t="s">
        <v>49</v>
      </c>
      <c r="B1340" s="4">
        <v>1389662</v>
      </c>
      <c r="C1340" s="4">
        <v>1389976</v>
      </c>
      <c r="E1340" s="4" t="s">
        <v>55</v>
      </c>
      <c r="F1340" s="4" t="s">
        <v>56</v>
      </c>
      <c r="I1340" s="4" t="s">
        <v>52</v>
      </c>
      <c r="L1340" s="4" t="s">
        <v>3823</v>
      </c>
      <c r="M1340" s="4" t="s">
        <v>56</v>
      </c>
      <c r="N1340" s="4">
        <v>104</v>
      </c>
      <c r="O1340" s="4" t="s">
        <v>3824</v>
      </c>
    </row>
    <row r="1341" spans="1:15" ht="15.75" customHeight="1">
      <c r="A1341" s="4" t="s">
        <v>49</v>
      </c>
      <c r="B1341" s="4">
        <v>1390157</v>
      </c>
      <c r="C1341" s="4">
        <v>1390702</v>
      </c>
      <c r="E1341" s="4" t="s">
        <v>50</v>
      </c>
      <c r="F1341" s="4" t="s">
        <v>56</v>
      </c>
      <c r="I1341" s="4" t="s">
        <v>52</v>
      </c>
      <c r="L1341" s="4" t="s">
        <v>3825</v>
      </c>
      <c r="M1341" s="4" t="s">
        <v>56</v>
      </c>
      <c r="N1341" s="4">
        <v>181</v>
      </c>
      <c r="O1341" s="4" t="s">
        <v>3826</v>
      </c>
    </row>
    <row r="1342" spans="1:15" ht="15.75" customHeight="1">
      <c r="A1342" s="4" t="s">
        <v>49</v>
      </c>
      <c r="B1342" s="4">
        <v>1390685</v>
      </c>
      <c r="C1342" s="4">
        <v>1390888</v>
      </c>
      <c r="E1342" s="4" t="s">
        <v>55</v>
      </c>
      <c r="F1342" s="4" t="s">
        <v>56</v>
      </c>
      <c r="I1342" s="4" t="s">
        <v>52</v>
      </c>
      <c r="L1342" s="4" t="s">
        <v>3827</v>
      </c>
      <c r="M1342" s="4" t="s">
        <v>56</v>
      </c>
      <c r="N1342" s="4">
        <v>67</v>
      </c>
      <c r="O1342" s="4" t="s">
        <v>3828</v>
      </c>
    </row>
    <row r="1343" spans="1:15" ht="15.75" customHeight="1">
      <c r="A1343" s="4" t="s">
        <v>49</v>
      </c>
      <c r="B1343" s="4">
        <v>1390973</v>
      </c>
      <c r="C1343" s="4">
        <v>1391329</v>
      </c>
      <c r="E1343" s="4" t="s">
        <v>55</v>
      </c>
      <c r="F1343" s="4" t="s">
        <v>3829</v>
      </c>
      <c r="I1343" s="4" t="s">
        <v>52</v>
      </c>
      <c r="L1343" s="4" t="s">
        <v>3830</v>
      </c>
      <c r="M1343" s="4" t="s">
        <v>3829</v>
      </c>
      <c r="N1343" s="4">
        <v>118</v>
      </c>
      <c r="O1343" s="4" t="s">
        <v>3831</v>
      </c>
    </row>
    <row r="1344" spans="1:15" ht="15.75" customHeight="1">
      <c r="A1344" s="4" t="s">
        <v>49</v>
      </c>
      <c r="B1344" s="4">
        <v>1391395</v>
      </c>
      <c r="C1344" s="4">
        <v>1391646</v>
      </c>
      <c r="E1344" s="4" t="s">
        <v>50</v>
      </c>
      <c r="F1344" s="4" t="s">
        <v>3832</v>
      </c>
      <c r="I1344" s="4" t="s">
        <v>52</v>
      </c>
      <c r="L1344" s="4" t="s">
        <v>3833</v>
      </c>
      <c r="M1344" s="4" t="s">
        <v>3832</v>
      </c>
      <c r="N1344" s="4">
        <v>83</v>
      </c>
      <c r="O1344" s="4" t="s">
        <v>3834</v>
      </c>
    </row>
    <row r="1345" spans="1:15" ht="15.75" customHeight="1">
      <c r="A1345" s="4" t="s">
        <v>49</v>
      </c>
      <c r="B1345" s="4">
        <v>1391639</v>
      </c>
      <c r="C1345" s="4">
        <v>1391818</v>
      </c>
      <c r="E1345" s="4" t="s">
        <v>55</v>
      </c>
      <c r="F1345" s="4" t="s">
        <v>56</v>
      </c>
      <c r="I1345" s="4" t="s">
        <v>52</v>
      </c>
      <c r="L1345" s="4" t="s">
        <v>3835</v>
      </c>
      <c r="M1345" s="4" t="s">
        <v>56</v>
      </c>
      <c r="N1345" s="4">
        <v>59</v>
      </c>
      <c r="O1345" s="4" t="s">
        <v>3836</v>
      </c>
    </row>
    <row r="1346" spans="1:15" ht="15.75" customHeight="1">
      <c r="A1346" s="4" t="s">
        <v>49</v>
      </c>
      <c r="B1346" s="4">
        <v>1391819</v>
      </c>
      <c r="C1346" s="4">
        <v>1392577</v>
      </c>
      <c r="E1346" s="4" t="s">
        <v>55</v>
      </c>
      <c r="F1346" s="4" t="s">
        <v>3837</v>
      </c>
      <c r="I1346" s="4" t="s">
        <v>52</v>
      </c>
      <c r="L1346" s="4" t="s">
        <v>3838</v>
      </c>
      <c r="M1346" s="4" t="s">
        <v>3837</v>
      </c>
      <c r="N1346" s="4">
        <v>252</v>
      </c>
      <c r="O1346" s="4" t="s">
        <v>3839</v>
      </c>
    </row>
    <row r="1347" spans="1:15" ht="15.75" customHeight="1">
      <c r="A1347" s="4" t="s">
        <v>49</v>
      </c>
      <c r="B1347" s="4">
        <v>1392638</v>
      </c>
      <c r="C1347" s="4">
        <v>1393471</v>
      </c>
      <c r="E1347" s="4" t="s">
        <v>50</v>
      </c>
      <c r="F1347" s="4" t="s">
        <v>3840</v>
      </c>
      <c r="I1347" s="4" t="s">
        <v>52</v>
      </c>
      <c r="L1347" s="4" t="s">
        <v>3841</v>
      </c>
      <c r="M1347" s="4" t="s">
        <v>3840</v>
      </c>
      <c r="N1347" s="4">
        <v>277</v>
      </c>
      <c r="O1347" s="4" t="s">
        <v>3842</v>
      </c>
    </row>
    <row r="1348" spans="1:15" ht="15.75" customHeight="1">
      <c r="A1348" s="4" t="s">
        <v>49</v>
      </c>
      <c r="B1348" s="4">
        <v>1393442</v>
      </c>
      <c r="C1348" s="4">
        <v>1393642</v>
      </c>
      <c r="E1348" s="4" t="s">
        <v>55</v>
      </c>
      <c r="F1348" s="4" t="s">
        <v>56</v>
      </c>
      <c r="I1348" s="4" t="s">
        <v>52</v>
      </c>
      <c r="L1348" s="4" t="s">
        <v>3843</v>
      </c>
      <c r="M1348" s="4" t="s">
        <v>56</v>
      </c>
      <c r="N1348" s="4">
        <v>66</v>
      </c>
      <c r="O1348" s="4" t="s">
        <v>3844</v>
      </c>
    </row>
    <row r="1349" spans="1:15" ht="15.75" customHeight="1">
      <c r="A1349" s="4" t="s">
        <v>49</v>
      </c>
      <c r="B1349" s="4">
        <v>1393684</v>
      </c>
      <c r="C1349" s="4">
        <v>1393932</v>
      </c>
      <c r="E1349" s="4" t="s">
        <v>55</v>
      </c>
      <c r="F1349" s="4" t="s">
        <v>56</v>
      </c>
      <c r="I1349" s="4" t="s">
        <v>52</v>
      </c>
      <c r="L1349" s="4" t="s">
        <v>3845</v>
      </c>
      <c r="M1349" s="4" t="s">
        <v>56</v>
      </c>
      <c r="N1349" s="4">
        <v>82</v>
      </c>
      <c r="O1349" s="4" t="s">
        <v>3846</v>
      </c>
    </row>
    <row r="1350" spans="1:15" ht="15.75" customHeight="1">
      <c r="A1350" s="4" t="s">
        <v>49</v>
      </c>
      <c r="B1350" s="4">
        <v>1394176</v>
      </c>
      <c r="C1350" s="4">
        <v>1394529</v>
      </c>
      <c r="E1350" s="4" t="s">
        <v>50</v>
      </c>
      <c r="F1350" s="4" t="s">
        <v>92</v>
      </c>
      <c r="I1350" s="4" t="s">
        <v>52</v>
      </c>
      <c r="L1350" s="4" t="s">
        <v>3847</v>
      </c>
      <c r="M1350" s="4" t="s">
        <v>92</v>
      </c>
      <c r="N1350" s="4">
        <v>117</v>
      </c>
      <c r="O1350" s="4" t="s">
        <v>3848</v>
      </c>
    </row>
    <row r="1351" spans="1:15" ht="15.75" customHeight="1">
      <c r="A1351" s="4" t="s">
        <v>49</v>
      </c>
      <c r="B1351" s="4">
        <v>1394522</v>
      </c>
      <c r="C1351" s="4">
        <v>1394944</v>
      </c>
      <c r="E1351" s="4" t="s">
        <v>50</v>
      </c>
      <c r="F1351" s="4" t="s">
        <v>3849</v>
      </c>
      <c r="I1351" s="4" t="s">
        <v>52</v>
      </c>
      <c r="L1351" s="4" t="s">
        <v>3850</v>
      </c>
      <c r="M1351" s="4" t="s">
        <v>3849</v>
      </c>
      <c r="N1351" s="4">
        <v>140</v>
      </c>
      <c r="O1351" s="4" t="s">
        <v>3851</v>
      </c>
    </row>
    <row r="1352" spans="1:15" ht="15.75" customHeight="1">
      <c r="A1352" s="4" t="s">
        <v>49</v>
      </c>
      <c r="B1352" s="4">
        <v>1395103</v>
      </c>
      <c r="C1352" s="4">
        <v>1395810</v>
      </c>
      <c r="E1352" s="4" t="s">
        <v>50</v>
      </c>
      <c r="F1352" s="4" t="s">
        <v>3156</v>
      </c>
      <c r="I1352" s="4" t="s">
        <v>52</v>
      </c>
      <c r="L1352" s="4" t="s">
        <v>3852</v>
      </c>
      <c r="M1352" s="4" t="s">
        <v>3156</v>
      </c>
      <c r="N1352" s="4">
        <v>235</v>
      </c>
      <c r="O1352" s="4" t="s">
        <v>3853</v>
      </c>
    </row>
    <row r="1353" spans="1:15" ht="15.75" customHeight="1">
      <c r="A1353" s="4" t="s">
        <v>49</v>
      </c>
      <c r="B1353" s="4">
        <v>1396060</v>
      </c>
      <c r="C1353" s="4">
        <v>1396239</v>
      </c>
      <c r="E1353" s="4" t="s">
        <v>50</v>
      </c>
      <c r="F1353" s="4" t="s">
        <v>56</v>
      </c>
      <c r="I1353" s="4" t="s">
        <v>52</v>
      </c>
      <c r="L1353" s="4" t="s">
        <v>3854</v>
      </c>
      <c r="M1353" s="4" t="s">
        <v>56</v>
      </c>
      <c r="N1353" s="4">
        <v>59</v>
      </c>
      <c r="O1353" s="4" t="s">
        <v>3855</v>
      </c>
    </row>
    <row r="1354" spans="1:15" ht="15.75" customHeight="1">
      <c r="A1354" s="4" t="s">
        <v>49</v>
      </c>
      <c r="B1354" s="4">
        <v>1396223</v>
      </c>
      <c r="C1354" s="4">
        <v>1396843</v>
      </c>
      <c r="E1354" s="4" t="s">
        <v>55</v>
      </c>
      <c r="F1354" s="4" t="s">
        <v>56</v>
      </c>
      <c r="I1354" s="4" t="s">
        <v>52</v>
      </c>
      <c r="L1354" s="4" t="s">
        <v>3856</v>
      </c>
      <c r="M1354" s="4" t="s">
        <v>56</v>
      </c>
      <c r="N1354" s="4">
        <v>206</v>
      </c>
      <c r="O1354" s="4" t="s">
        <v>3857</v>
      </c>
    </row>
    <row r="1355" spans="1:15" ht="15.75" customHeight="1">
      <c r="A1355" s="4" t="s">
        <v>49</v>
      </c>
      <c r="B1355" s="4">
        <v>1397036</v>
      </c>
      <c r="C1355" s="4">
        <v>1397956</v>
      </c>
      <c r="E1355" s="4" t="s">
        <v>50</v>
      </c>
      <c r="F1355" s="4" t="s">
        <v>674</v>
      </c>
      <c r="I1355" s="4" t="s">
        <v>52</v>
      </c>
      <c r="L1355" s="4" t="s">
        <v>675</v>
      </c>
      <c r="M1355" s="4" t="s">
        <v>674</v>
      </c>
      <c r="N1355" s="4">
        <v>306</v>
      </c>
      <c r="O1355" s="4" t="s">
        <v>3858</v>
      </c>
    </row>
    <row r="1356" spans="1:15" ht="15.75" customHeight="1">
      <c r="A1356" s="4" t="s">
        <v>49</v>
      </c>
      <c r="B1356" s="4">
        <v>1397987</v>
      </c>
      <c r="C1356" s="4">
        <v>1398247</v>
      </c>
      <c r="E1356" s="4" t="s">
        <v>50</v>
      </c>
      <c r="F1356" s="4" t="s">
        <v>56</v>
      </c>
      <c r="I1356" s="4" t="s">
        <v>52</v>
      </c>
      <c r="L1356" s="4" t="s">
        <v>3859</v>
      </c>
      <c r="M1356" s="4" t="s">
        <v>56</v>
      </c>
      <c r="N1356" s="4">
        <v>86</v>
      </c>
      <c r="O1356" s="4" t="s">
        <v>3860</v>
      </c>
    </row>
    <row r="1357" spans="1:15" ht="15.75" customHeight="1">
      <c r="A1357" s="4" t="s">
        <v>49</v>
      </c>
      <c r="B1357" s="4">
        <v>1398360</v>
      </c>
      <c r="C1357" s="4">
        <v>1399529</v>
      </c>
      <c r="E1357" s="4" t="s">
        <v>50</v>
      </c>
      <c r="F1357" s="4" t="s">
        <v>483</v>
      </c>
      <c r="I1357" s="4" t="s">
        <v>52</v>
      </c>
      <c r="L1357" s="4" t="s">
        <v>3861</v>
      </c>
      <c r="M1357" s="4" t="s">
        <v>483</v>
      </c>
      <c r="N1357" s="4">
        <v>389</v>
      </c>
      <c r="O1357" s="4" t="s">
        <v>3862</v>
      </c>
    </row>
    <row r="1358" spans="1:15" ht="15.75" customHeight="1">
      <c r="A1358" s="4" t="s">
        <v>49</v>
      </c>
      <c r="B1358" s="4">
        <v>1399657</v>
      </c>
      <c r="C1358" s="4">
        <v>1399728</v>
      </c>
      <c r="E1358" s="4" t="s">
        <v>55</v>
      </c>
      <c r="F1358" s="4" t="s">
        <v>301</v>
      </c>
      <c r="I1358" s="4" t="s">
        <v>302</v>
      </c>
      <c r="O1358" s="4" t="s">
        <v>3863</v>
      </c>
    </row>
    <row r="1359" spans="1:15" ht="15.75" customHeight="1">
      <c r="A1359" s="4" t="s">
        <v>49</v>
      </c>
      <c r="B1359" s="4">
        <v>1399850</v>
      </c>
      <c r="C1359" s="4">
        <v>1400395</v>
      </c>
      <c r="E1359" s="4" t="s">
        <v>50</v>
      </c>
      <c r="F1359" s="4" t="s">
        <v>56</v>
      </c>
      <c r="I1359" s="4" t="s">
        <v>52</v>
      </c>
      <c r="L1359" s="4" t="s">
        <v>3864</v>
      </c>
      <c r="M1359" s="4" t="s">
        <v>56</v>
      </c>
      <c r="N1359" s="4">
        <v>181</v>
      </c>
      <c r="O1359" s="4" t="s">
        <v>3865</v>
      </c>
    </row>
    <row r="1360" spans="1:15" ht="15.75" customHeight="1">
      <c r="A1360" s="4" t="s">
        <v>49</v>
      </c>
      <c r="B1360" s="4">
        <v>1400589</v>
      </c>
      <c r="C1360" s="4">
        <v>1401518</v>
      </c>
      <c r="E1360" s="4" t="s">
        <v>55</v>
      </c>
      <c r="F1360" s="4" t="s">
        <v>3866</v>
      </c>
      <c r="G1360" s="4" t="s">
        <v>3867</v>
      </c>
      <c r="I1360" s="4" t="s">
        <v>52</v>
      </c>
      <c r="L1360" s="4" t="s">
        <v>3868</v>
      </c>
      <c r="M1360" s="4" t="s">
        <v>3866</v>
      </c>
      <c r="N1360" s="4">
        <v>309</v>
      </c>
      <c r="O1360" s="4" t="s">
        <v>3869</v>
      </c>
    </row>
    <row r="1361" spans="1:15" ht="15.75" customHeight="1">
      <c r="A1361" s="4" t="s">
        <v>49</v>
      </c>
      <c r="B1361" s="4">
        <v>1401552</v>
      </c>
      <c r="C1361" s="4">
        <v>1402367</v>
      </c>
      <c r="E1361" s="4" t="s">
        <v>55</v>
      </c>
      <c r="F1361" s="4" t="s">
        <v>3870</v>
      </c>
      <c r="I1361" s="4" t="s">
        <v>52</v>
      </c>
      <c r="L1361" s="4" t="s">
        <v>3871</v>
      </c>
      <c r="M1361" s="4" t="s">
        <v>3870</v>
      </c>
      <c r="N1361" s="4">
        <v>271</v>
      </c>
      <c r="O1361" s="4" t="s">
        <v>3872</v>
      </c>
    </row>
    <row r="1362" spans="1:15" ht="15.75" customHeight="1">
      <c r="A1362" s="4" t="s">
        <v>49</v>
      </c>
      <c r="B1362" s="4">
        <v>1402812</v>
      </c>
      <c r="C1362" s="4">
        <v>1403711</v>
      </c>
      <c r="E1362" s="4" t="s">
        <v>55</v>
      </c>
      <c r="F1362" s="4" t="s">
        <v>3873</v>
      </c>
      <c r="I1362" s="4" t="s">
        <v>52</v>
      </c>
      <c r="L1362" s="4" t="s">
        <v>3874</v>
      </c>
      <c r="M1362" s="4" t="s">
        <v>3873</v>
      </c>
      <c r="N1362" s="4">
        <v>299</v>
      </c>
      <c r="O1362" s="4" t="s">
        <v>3875</v>
      </c>
    </row>
    <row r="1363" spans="1:15" ht="15.75" customHeight="1">
      <c r="A1363" s="4" t="s">
        <v>49</v>
      </c>
      <c r="B1363" s="4">
        <v>1403730</v>
      </c>
      <c r="C1363" s="4">
        <v>1404947</v>
      </c>
      <c r="E1363" s="4" t="s">
        <v>55</v>
      </c>
      <c r="F1363" s="4" t="s">
        <v>255</v>
      </c>
      <c r="I1363" s="4" t="s">
        <v>52</v>
      </c>
      <c r="L1363" s="4" t="s">
        <v>3876</v>
      </c>
      <c r="M1363" s="4" t="s">
        <v>255</v>
      </c>
      <c r="N1363" s="4">
        <v>405</v>
      </c>
      <c r="O1363" s="4" t="s">
        <v>3877</v>
      </c>
    </row>
    <row r="1364" spans="1:15" ht="15.75" customHeight="1">
      <c r="A1364" s="4" t="s">
        <v>49</v>
      </c>
      <c r="B1364" s="4">
        <v>1405099</v>
      </c>
      <c r="C1364" s="4">
        <v>1405995</v>
      </c>
      <c r="E1364" s="4" t="s">
        <v>55</v>
      </c>
      <c r="F1364" s="4" t="s">
        <v>3873</v>
      </c>
      <c r="G1364" s="4" t="s">
        <v>3878</v>
      </c>
      <c r="I1364" s="4" t="s">
        <v>52</v>
      </c>
      <c r="L1364" s="4" t="s">
        <v>3879</v>
      </c>
      <c r="M1364" s="4" t="s">
        <v>3873</v>
      </c>
      <c r="N1364" s="4">
        <v>298</v>
      </c>
      <c r="O1364" s="4" t="s">
        <v>3880</v>
      </c>
    </row>
    <row r="1365" spans="1:15" ht="15.75" customHeight="1">
      <c r="A1365" s="4" t="s">
        <v>49</v>
      </c>
      <c r="B1365" s="4">
        <v>1406092</v>
      </c>
      <c r="C1365" s="4">
        <v>1406925</v>
      </c>
      <c r="E1365" s="4" t="s">
        <v>55</v>
      </c>
      <c r="F1365" s="4" t="s">
        <v>663</v>
      </c>
      <c r="I1365" s="4" t="s">
        <v>52</v>
      </c>
      <c r="L1365" s="4" t="s">
        <v>3881</v>
      </c>
      <c r="M1365" s="4" t="s">
        <v>663</v>
      </c>
      <c r="N1365" s="4">
        <v>277</v>
      </c>
      <c r="O1365" s="4" t="s">
        <v>3882</v>
      </c>
    </row>
    <row r="1366" spans="1:15" ht="15.75" customHeight="1">
      <c r="A1366" s="4" t="s">
        <v>49</v>
      </c>
      <c r="B1366" s="4">
        <v>1406942</v>
      </c>
      <c r="C1366" s="4">
        <v>1407808</v>
      </c>
      <c r="E1366" s="4" t="s">
        <v>55</v>
      </c>
      <c r="F1366" s="4" t="s">
        <v>3883</v>
      </c>
      <c r="I1366" s="4" t="s">
        <v>52</v>
      </c>
      <c r="L1366" s="4" t="s">
        <v>3884</v>
      </c>
      <c r="M1366" s="4" t="s">
        <v>3883</v>
      </c>
      <c r="N1366" s="4">
        <v>288</v>
      </c>
      <c r="O1366" s="4" t="s">
        <v>3885</v>
      </c>
    </row>
    <row r="1367" spans="1:15" ht="15.75" customHeight="1">
      <c r="A1367" s="4" t="s">
        <v>49</v>
      </c>
      <c r="B1367" s="4">
        <v>1407963</v>
      </c>
      <c r="C1367" s="4">
        <v>1408856</v>
      </c>
      <c r="E1367" s="4" t="s">
        <v>50</v>
      </c>
      <c r="F1367" s="4" t="s">
        <v>690</v>
      </c>
      <c r="I1367" s="4" t="s">
        <v>52</v>
      </c>
      <c r="L1367" s="4" t="s">
        <v>3886</v>
      </c>
      <c r="M1367" s="4" t="s">
        <v>690</v>
      </c>
      <c r="N1367" s="4">
        <v>297</v>
      </c>
      <c r="O1367" s="4" t="s">
        <v>3887</v>
      </c>
    </row>
    <row r="1368" spans="1:15" ht="15.75" customHeight="1">
      <c r="A1368" s="4" t="s">
        <v>49</v>
      </c>
      <c r="B1368" s="4">
        <v>1409035</v>
      </c>
      <c r="C1368" s="4">
        <v>1409538</v>
      </c>
      <c r="E1368" s="4" t="s">
        <v>50</v>
      </c>
      <c r="F1368" s="4" t="s">
        <v>3888</v>
      </c>
      <c r="I1368" s="4" t="s">
        <v>52</v>
      </c>
      <c r="L1368" s="4" t="s">
        <v>3889</v>
      </c>
      <c r="M1368" s="4" t="s">
        <v>3888</v>
      </c>
      <c r="N1368" s="4">
        <v>167</v>
      </c>
      <c r="O1368" s="4" t="s">
        <v>3890</v>
      </c>
    </row>
    <row r="1369" spans="1:15" ht="15.75" customHeight="1">
      <c r="A1369" s="4" t="s">
        <v>49</v>
      </c>
      <c r="B1369" s="4">
        <v>1409648</v>
      </c>
      <c r="C1369" s="4">
        <v>1411090</v>
      </c>
      <c r="E1369" s="4" t="s">
        <v>55</v>
      </c>
      <c r="F1369" s="4" t="s">
        <v>166</v>
      </c>
      <c r="I1369" s="4" t="s">
        <v>52</v>
      </c>
      <c r="L1369" s="4" t="s">
        <v>3891</v>
      </c>
      <c r="M1369" s="4" t="s">
        <v>166</v>
      </c>
      <c r="N1369" s="4">
        <v>480</v>
      </c>
      <c r="O1369" s="4" t="s">
        <v>3892</v>
      </c>
    </row>
    <row r="1370" spans="1:15" ht="15.75" customHeight="1">
      <c r="A1370" s="4" t="s">
        <v>49</v>
      </c>
      <c r="B1370" s="4">
        <v>1411674</v>
      </c>
      <c r="C1370" s="4">
        <v>1414208</v>
      </c>
      <c r="E1370" s="4" t="s">
        <v>55</v>
      </c>
      <c r="F1370" s="4" t="s">
        <v>3893</v>
      </c>
      <c r="I1370" s="4" t="s">
        <v>52</v>
      </c>
      <c r="L1370" s="4" t="s">
        <v>3894</v>
      </c>
      <c r="M1370" s="4" t="s">
        <v>3893</v>
      </c>
      <c r="N1370" s="4">
        <v>844</v>
      </c>
      <c r="O1370" s="4" t="s">
        <v>3895</v>
      </c>
    </row>
    <row r="1371" spans="1:15" ht="15.75" customHeight="1">
      <c r="A1371" s="4" t="s">
        <v>49</v>
      </c>
      <c r="B1371" s="4">
        <v>1414714</v>
      </c>
      <c r="C1371" s="4">
        <v>1420134</v>
      </c>
      <c r="E1371" s="4" t="s">
        <v>50</v>
      </c>
      <c r="F1371" s="4" t="s">
        <v>3896</v>
      </c>
      <c r="I1371" s="4" t="s">
        <v>52</v>
      </c>
      <c r="L1371" s="4" t="s">
        <v>3897</v>
      </c>
      <c r="M1371" s="4" t="s">
        <v>3896</v>
      </c>
      <c r="N1371" s="4">
        <v>1806</v>
      </c>
      <c r="O1371" s="4" t="s">
        <v>3898</v>
      </c>
    </row>
    <row r="1372" spans="1:15" ht="15.75" customHeight="1">
      <c r="A1372" s="4" t="s">
        <v>49</v>
      </c>
      <c r="B1372" s="4">
        <v>1420676</v>
      </c>
      <c r="C1372" s="4">
        <v>1427371</v>
      </c>
      <c r="E1372" s="4" t="s">
        <v>50</v>
      </c>
      <c r="F1372" s="4" t="s">
        <v>3899</v>
      </c>
      <c r="I1372" s="4" t="s">
        <v>52</v>
      </c>
      <c r="L1372" s="4" t="s">
        <v>3900</v>
      </c>
      <c r="M1372" s="4" t="s">
        <v>3899</v>
      </c>
      <c r="N1372" s="4">
        <v>2231</v>
      </c>
      <c r="O1372" s="4" t="s">
        <v>3901</v>
      </c>
    </row>
    <row r="1373" spans="1:15" ht="15.75" customHeight="1">
      <c r="A1373" s="4" t="s">
        <v>49</v>
      </c>
      <c r="B1373" s="4">
        <v>1427561</v>
      </c>
      <c r="C1373" s="4">
        <v>1428100</v>
      </c>
      <c r="E1373" s="4" t="s">
        <v>55</v>
      </c>
      <c r="F1373" s="4" t="s">
        <v>56</v>
      </c>
      <c r="I1373" s="4" t="s">
        <v>52</v>
      </c>
      <c r="L1373" s="4" t="s">
        <v>3902</v>
      </c>
      <c r="M1373" s="4" t="s">
        <v>56</v>
      </c>
      <c r="N1373" s="4">
        <v>179</v>
      </c>
      <c r="O1373" s="4" t="s">
        <v>3903</v>
      </c>
    </row>
    <row r="1374" spans="1:15" ht="15.75" customHeight="1">
      <c r="A1374" s="4" t="s">
        <v>49</v>
      </c>
      <c r="B1374" s="4">
        <v>1428129</v>
      </c>
      <c r="C1374" s="4">
        <v>1429277</v>
      </c>
      <c r="E1374" s="4" t="s">
        <v>55</v>
      </c>
      <c r="F1374" s="4" t="s">
        <v>56</v>
      </c>
      <c r="I1374" s="4" t="s">
        <v>52</v>
      </c>
      <c r="L1374" s="4" t="s">
        <v>3904</v>
      </c>
      <c r="M1374" s="4" t="s">
        <v>56</v>
      </c>
      <c r="N1374" s="4">
        <v>382</v>
      </c>
      <c r="O1374" s="4" t="s">
        <v>3905</v>
      </c>
    </row>
    <row r="1375" spans="1:15" ht="15.75" customHeight="1">
      <c r="A1375" s="4" t="s">
        <v>49</v>
      </c>
      <c r="B1375" s="4">
        <v>1429274</v>
      </c>
      <c r="C1375" s="4">
        <v>1430155</v>
      </c>
      <c r="E1375" s="4" t="s">
        <v>55</v>
      </c>
      <c r="F1375" s="4" t="s">
        <v>73</v>
      </c>
      <c r="I1375" s="4" t="s">
        <v>52</v>
      </c>
      <c r="L1375" s="4" t="s">
        <v>3906</v>
      </c>
      <c r="M1375" s="4" t="s">
        <v>73</v>
      </c>
      <c r="N1375" s="4">
        <v>293</v>
      </c>
      <c r="O1375" s="4" t="s">
        <v>3907</v>
      </c>
    </row>
    <row r="1376" spans="1:15" ht="15.75" customHeight="1">
      <c r="A1376" s="4" t="s">
        <v>49</v>
      </c>
      <c r="B1376" s="4">
        <v>1430258</v>
      </c>
      <c r="C1376" s="4">
        <v>1431373</v>
      </c>
      <c r="E1376" s="4" t="s">
        <v>55</v>
      </c>
      <c r="F1376" s="4" t="s">
        <v>345</v>
      </c>
      <c r="I1376" s="4" t="s">
        <v>346</v>
      </c>
      <c r="O1376" s="4" t="s">
        <v>3908</v>
      </c>
    </row>
    <row r="1377" spans="1:15" ht="15.75" customHeight="1">
      <c r="A1377" s="4" t="s">
        <v>49</v>
      </c>
      <c r="B1377" s="4">
        <v>1431361</v>
      </c>
      <c r="C1377" s="4">
        <v>1432059</v>
      </c>
      <c r="E1377" s="4" t="s">
        <v>55</v>
      </c>
      <c r="F1377" s="4" t="s">
        <v>194</v>
      </c>
      <c r="I1377" s="4" t="s">
        <v>52</v>
      </c>
      <c r="L1377" s="4" t="s">
        <v>3909</v>
      </c>
      <c r="M1377" s="4" t="s">
        <v>194</v>
      </c>
      <c r="N1377" s="4">
        <v>232</v>
      </c>
      <c r="O1377" s="4" t="s">
        <v>3910</v>
      </c>
    </row>
    <row r="1378" spans="1:15" ht="15.75" customHeight="1">
      <c r="A1378" s="4" t="s">
        <v>49</v>
      </c>
      <c r="B1378" s="4">
        <v>1432355</v>
      </c>
      <c r="C1378" s="4">
        <v>1433971</v>
      </c>
      <c r="E1378" s="4" t="s">
        <v>55</v>
      </c>
      <c r="F1378" s="4" t="s">
        <v>56</v>
      </c>
      <c r="I1378" s="4" t="s">
        <v>52</v>
      </c>
      <c r="L1378" s="4" t="s">
        <v>3911</v>
      </c>
      <c r="M1378" s="4" t="s">
        <v>56</v>
      </c>
      <c r="N1378" s="4">
        <v>538</v>
      </c>
      <c r="O1378" s="4" t="s">
        <v>3912</v>
      </c>
    </row>
    <row r="1379" spans="1:15" ht="15.75" customHeight="1">
      <c r="A1379" s="4" t="s">
        <v>49</v>
      </c>
      <c r="B1379" s="4">
        <v>1433964</v>
      </c>
      <c r="C1379" s="4">
        <v>1434698</v>
      </c>
      <c r="E1379" s="4" t="s">
        <v>55</v>
      </c>
      <c r="F1379" s="4" t="s">
        <v>2499</v>
      </c>
      <c r="I1379" s="4" t="s">
        <v>52</v>
      </c>
      <c r="L1379" s="4" t="s">
        <v>3913</v>
      </c>
      <c r="M1379" s="4" t="s">
        <v>2499</v>
      </c>
      <c r="N1379" s="4">
        <v>244</v>
      </c>
      <c r="O1379" s="4" t="s">
        <v>3914</v>
      </c>
    </row>
    <row r="1380" spans="1:15" ht="15.75" customHeight="1">
      <c r="A1380" s="4" t="s">
        <v>49</v>
      </c>
      <c r="B1380" s="4">
        <v>1434889</v>
      </c>
      <c r="C1380" s="4">
        <v>1435965</v>
      </c>
      <c r="E1380" s="4" t="s">
        <v>55</v>
      </c>
      <c r="F1380" s="4" t="s">
        <v>3731</v>
      </c>
      <c r="I1380" s="4" t="s">
        <v>52</v>
      </c>
      <c r="L1380" s="4" t="s">
        <v>3915</v>
      </c>
      <c r="M1380" s="4" t="s">
        <v>3731</v>
      </c>
      <c r="N1380" s="4">
        <v>358</v>
      </c>
      <c r="O1380" s="4" t="s">
        <v>3916</v>
      </c>
    </row>
    <row r="1381" spans="1:15" ht="15.75" customHeight="1">
      <c r="A1381" s="4" t="s">
        <v>49</v>
      </c>
      <c r="B1381" s="4">
        <v>1436039</v>
      </c>
      <c r="C1381" s="4">
        <v>1437043</v>
      </c>
      <c r="E1381" s="4" t="s">
        <v>55</v>
      </c>
      <c r="F1381" s="4" t="s">
        <v>3737</v>
      </c>
      <c r="I1381" s="4" t="s">
        <v>52</v>
      </c>
      <c r="L1381" s="4" t="s">
        <v>3917</v>
      </c>
      <c r="M1381" s="4" t="s">
        <v>3737</v>
      </c>
      <c r="N1381" s="4">
        <v>334</v>
      </c>
      <c r="O1381" s="4" t="s">
        <v>3918</v>
      </c>
    </row>
    <row r="1382" spans="1:15" ht="15.75" customHeight="1">
      <c r="A1382" s="4" t="s">
        <v>49</v>
      </c>
      <c r="B1382" s="4">
        <v>1437054</v>
      </c>
      <c r="C1382" s="4">
        <v>1437770</v>
      </c>
      <c r="E1382" s="4" t="s">
        <v>55</v>
      </c>
      <c r="F1382" s="4" t="s">
        <v>3737</v>
      </c>
      <c r="I1382" s="4" t="s">
        <v>52</v>
      </c>
      <c r="L1382" s="4" t="s">
        <v>3919</v>
      </c>
      <c r="M1382" s="4" t="s">
        <v>3737</v>
      </c>
      <c r="N1382" s="4">
        <v>238</v>
      </c>
      <c r="O1382" s="4" t="s">
        <v>3920</v>
      </c>
    </row>
    <row r="1383" spans="1:15" ht="15.75" customHeight="1">
      <c r="A1383" s="4" t="s">
        <v>49</v>
      </c>
      <c r="B1383" s="4">
        <v>1437763</v>
      </c>
      <c r="C1383" s="4">
        <v>1440492</v>
      </c>
      <c r="E1383" s="4" t="s">
        <v>55</v>
      </c>
      <c r="F1383" s="4" t="s">
        <v>3740</v>
      </c>
      <c r="I1383" s="4" t="s">
        <v>52</v>
      </c>
      <c r="L1383" s="4" t="s">
        <v>3921</v>
      </c>
      <c r="M1383" s="4" t="s">
        <v>3740</v>
      </c>
      <c r="N1383" s="4">
        <v>909</v>
      </c>
      <c r="O1383" s="4" t="s">
        <v>3922</v>
      </c>
    </row>
    <row r="1384" spans="1:15" ht="15.75" customHeight="1">
      <c r="A1384" s="4" t="s">
        <v>49</v>
      </c>
      <c r="B1384" s="4">
        <v>1440736</v>
      </c>
      <c r="C1384" s="4">
        <v>1441656</v>
      </c>
      <c r="E1384" s="4" t="s">
        <v>55</v>
      </c>
      <c r="F1384" s="4" t="s">
        <v>674</v>
      </c>
      <c r="I1384" s="4" t="s">
        <v>52</v>
      </c>
      <c r="L1384" s="4" t="s">
        <v>675</v>
      </c>
      <c r="M1384" s="4" t="s">
        <v>674</v>
      </c>
      <c r="N1384" s="4">
        <v>306</v>
      </c>
      <c r="O1384" s="4" t="s">
        <v>3923</v>
      </c>
    </row>
    <row r="1385" spans="1:15" ht="15.75" customHeight="1">
      <c r="A1385" s="4" t="s">
        <v>49</v>
      </c>
      <c r="B1385" s="4">
        <v>1441806</v>
      </c>
      <c r="C1385" s="4">
        <v>1442391</v>
      </c>
      <c r="E1385" s="4" t="s">
        <v>50</v>
      </c>
      <c r="F1385" s="4" t="s">
        <v>345</v>
      </c>
      <c r="I1385" s="4" t="s">
        <v>346</v>
      </c>
      <c r="O1385" s="4" t="s">
        <v>3924</v>
      </c>
    </row>
    <row r="1386" spans="1:15" ht="15.75" customHeight="1">
      <c r="A1386" s="4" t="s">
        <v>49</v>
      </c>
      <c r="B1386" s="4">
        <v>1442517</v>
      </c>
      <c r="C1386" s="4">
        <v>1444427</v>
      </c>
      <c r="E1386" s="4" t="s">
        <v>55</v>
      </c>
      <c r="F1386" s="4" t="s">
        <v>3925</v>
      </c>
      <c r="I1386" s="4" t="s">
        <v>52</v>
      </c>
      <c r="L1386" s="4" t="s">
        <v>3926</v>
      </c>
      <c r="M1386" s="4" t="s">
        <v>3925</v>
      </c>
      <c r="N1386" s="4">
        <v>636</v>
      </c>
      <c r="O1386" s="4" t="s">
        <v>3927</v>
      </c>
    </row>
    <row r="1387" spans="1:15" ht="15.75" customHeight="1">
      <c r="A1387" s="4" t="s">
        <v>49</v>
      </c>
      <c r="B1387" s="4">
        <v>1444602</v>
      </c>
      <c r="C1387" s="4">
        <v>1444913</v>
      </c>
      <c r="E1387" s="4" t="s">
        <v>50</v>
      </c>
      <c r="F1387" s="4" t="s">
        <v>2415</v>
      </c>
      <c r="I1387" s="4" t="s">
        <v>52</v>
      </c>
      <c r="L1387" s="4" t="s">
        <v>3928</v>
      </c>
      <c r="M1387" s="4" t="s">
        <v>2415</v>
      </c>
      <c r="N1387" s="4">
        <v>103</v>
      </c>
      <c r="O1387" s="4" t="s">
        <v>3929</v>
      </c>
    </row>
    <row r="1388" spans="1:15" ht="15.75" customHeight="1">
      <c r="A1388" s="4" t="s">
        <v>49</v>
      </c>
      <c r="B1388" s="4">
        <v>1444937</v>
      </c>
      <c r="C1388" s="4">
        <v>1446175</v>
      </c>
      <c r="E1388" s="4" t="s">
        <v>50</v>
      </c>
      <c r="F1388" s="4" t="s">
        <v>1381</v>
      </c>
      <c r="I1388" s="4" t="s">
        <v>52</v>
      </c>
      <c r="L1388" s="4" t="s">
        <v>3930</v>
      </c>
      <c r="M1388" s="4" t="s">
        <v>1381</v>
      </c>
      <c r="N1388" s="4">
        <v>412</v>
      </c>
      <c r="O1388" s="4" t="s">
        <v>3931</v>
      </c>
    </row>
    <row r="1389" spans="1:15" ht="15.75" customHeight="1">
      <c r="A1389" s="4" t="s">
        <v>49</v>
      </c>
      <c r="B1389" s="4">
        <v>1446212</v>
      </c>
      <c r="C1389" s="4">
        <v>1446577</v>
      </c>
      <c r="E1389" s="4" t="s">
        <v>50</v>
      </c>
      <c r="F1389" s="4" t="s">
        <v>295</v>
      </c>
      <c r="I1389" s="4" t="s">
        <v>52</v>
      </c>
      <c r="L1389" s="4" t="s">
        <v>3932</v>
      </c>
      <c r="M1389" s="4" t="s">
        <v>295</v>
      </c>
      <c r="N1389" s="4">
        <v>121</v>
      </c>
      <c r="O1389" s="4" t="s">
        <v>3933</v>
      </c>
    </row>
    <row r="1390" spans="1:15" ht="15.75" customHeight="1">
      <c r="A1390" s="4" t="s">
        <v>49</v>
      </c>
      <c r="B1390" s="4">
        <v>1446596</v>
      </c>
      <c r="C1390" s="4">
        <v>1448026</v>
      </c>
      <c r="E1390" s="4" t="s">
        <v>50</v>
      </c>
      <c r="F1390" s="4" t="s">
        <v>3288</v>
      </c>
      <c r="I1390" s="4" t="s">
        <v>52</v>
      </c>
      <c r="L1390" s="4" t="s">
        <v>3934</v>
      </c>
      <c r="M1390" s="4" t="s">
        <v>3288</v>
      </c>
      <c r="N1390" s="4">
        <v>476</v>
      </c>
      <c r="O1390" s="4" t="s">
        <v>3935</v>
      </c>
    </row>
    <row r="1391" spans="1:15" ht="15.75" customHeight="1">
      <c r="A1391" s="4" t="s">
        <v>49</v>
      </c>
      <c r="B1391" s="4">
        <v>1448026</v>
      </c>
      <c r="C1391" s="4">
        <v>1448628</v>
      </c>
      <c r="E1391" s="4" t="s">
        <v>50</v>
      </c>
      <c r="F1391" s="4" t="s">
        <v>56</v>
      </c>
      <c r="I1391" s="4" t="s">
        <v>52</v>
      </c>
      <c r="L1391" s="4" t="s">
        <v>3936</v>
      </c>
      <c r="M1391" s="4" t="s">
        <v>56</v>
      </c>
      <c r="N1391" s="4">
        <v>200</v>
      </c>
      <c r="O1391" s="4" t="s">
        <v>3937</v>
      </c>
    </row>
    <row r="1392" spans="1:15" ht="15.75" customHeight="1">
      <c r="A1392" s="4" t="s">
        <v>49</v>
      </c>
      <c r="B1392" s="4">
        <v>1448692</v>
      </c>
      <c r="C1392" s="4">
        <v>1449036</v>
      </c>
      <c r="E1392" s="4" t="s">
        <v>55</v>
      </c>
      <c r="F1392" s="4" t="s">
        <v>92</v>
      </c>
      <c r="I1392" s="4" t="s">
        <v>52</v>
      </c>
      <c r="L1392" s="4" t="s">
        <v>3938</v>
      </c>
      <c r="M1392" s="4" t="s">
        <v>92</v>
      </c>
      <c r="N1392" s="4">
        <v>114</v>
      </c>
      <c r="O1392" s="4" t="s">
        <v>3939</v>
      </c>
    </row>
    <row r="1393" spans="1:15" ht="15.75" customHeight="1">
      <c r="A1393" s="4" t="s">
        <v>49</v>
      </c>
      <c r="B1393" s="4">
        <v>1449182</v>
      </c>
      <c r="C1393" s="4">
        <v>1450204</v>
      </c>
      <c r="E1393" s="4" t="s">
        <v>50</v>
      </c>
      <c r="F1393" s="4" t="s">
        <v>3940</v>
      </c>
      <c r="I1393" s="4" t="s">
        <v>52</v>
      </c>
      <c r="L1393" s="4" t="s">
        <v>3941</v>
      </c>
      <c r="M1393" s="4" t="s">
        <v>3940</v>
      </c>
      <c r="N1393" s="4">
        <v>340</v>
      </c>
      <c r="O1393" s="4" t="s">
        <v>3942</v>
      </c>
    </row>
    <row r="1394" spans="1:15" ht="15.75" customHeight="1">
      <c r="A1394" s="4" t="s">
        <v>49</v>
      </c>
      <c r="B1394" s="4">
        <v>1450326</v>
      </c>
      <c r="C1394" s="4">
        <v>1451198</v>
      </c>
      <c r="E1394" s="4" t="s">
        <v>55</v>
      </c>
      <c r="F1394" s="4" t="s">
        <v>3943</v>
      </c>
      <c r="I1394" s="4" t="s">
        <v>52</v>
      </c>
      <c r="L1394" s="4" t="s">
        <v>3944</v>
      </c>
      <c r="M1394" s="4" t="s">
        <v>3943</v>
      </c>
      <c r="N1394" s="4">
        <v>290</v>
      </c>
      <c r="O1394" s="4" t="s">
        <v>3945</v>
      </c>
    </row>
    <row r="1395" spans="1:15" ht="15.75" customHeight="1">
      <c r="A1395" s="4" t="s">
        <v>49</v>
      </c>
      <c r="B1395" s="4">
        <v>1451370</v>
      </c>
      <c r="C1395" s="4">
        <v>1451798</v>
      </c>
      <c r="E1395" s="4" t="s">
        <v>50</v>
      </c>
      <c r="F1395" s="4" t="s">
        <v>743</v>
      </c>
      <c r="I1395" s="4" t="s">
        <v>52</v>
      </c>
      <c r="L1395" s="4" t="s">
        <v>3946</v>
      </c>
      <c r="M1395" s="4" t="s">
        <v>743</v>
      </c>
      <c r="N1395" s="4">
        <v>142</v>
      </c>
      <c r="O1395" s="4" t="s">
        <v>3947</v>
      </c>
    </row>
    <row r="1396" spans="1:15" ht="15.75" customHeight="1">
      <c r="A1396" s="4" t="s">
        <v>49</v>
      </c>
      <c r="B1396" s="4">
        <v>1451862</v>
      </c>
      <c r="C1396" s="4">
        <v>1453217</v>
      </c>
      <c r="E1396" s="4" t="s">
        <v>55</v>
      </c>
      <c r="F1396" s="4" t="s">
        <v>2780</v>
      </c>
      <c r="I1396" s="4" t="s">
        <v>52</v>
      </c>
      <c r="L1396" s="4" t="s">
        <v>3948</v>
      </c>
      <c r="M1396" s="4" t="s">
        <v>2780</v>
      </c>
      <c r="N1396" s="4">
        <v>451</v>
      </c>
      <c r="O1396" s="4" t="s">
        <v>3949</v>
      </c>
    </row>
    <row r="1397" spans="1:15" ht="15.75" customHeight="1">
      <c r="A1397" s="4" t="s">
        <v>49</v>
      </c>
      <c r="B1397" s="4">
        <v>1453464</v>
      </c>
      <c r="C1397" s="4">
        <v>1454591</v>
      </c>
      <c r="E1397" s="4" t="s">
        <v>55</v>
      </c>
      <c r="F1397" s="4" t="s">
        <v>3950</v>
      </c>
      <c r="I1397" s="4" t="s">
        <v>52</v>
      </c>
      <c r="L1397" s="4" t="s">
        <v>3951</v>
      </c>
      <c r="M1397" s="4" t="s">
        <v>3950</v>
      </c>
      <c r="N1397" s="4">
        <v>375</v>
      </c>
      <c r="O1397" s="4" t="s">
        <v>3952</v>
      </c>
    </row>
    <row r="1398" spans="1:15" ht="15.75" customHeight="1">
      <c r="A1398" s="4" t="s">
        <v>49</v>
      </c>
      <c r="B1398" s="4">
        <v>1454721</v>
      </c>
      <c r="C1398" s="4">
        <v>1456064</v>
      </c>
      <c r="E1398" s="4" t="s">
        <v>55</v>
      </c>
      <c r="F1398" s="4" t="s">
        <v>3953</v>
      </c>
      <c r="I1398" s="4" t="s">
        <v>52</v>
      </c>
      <c r="L1398" s="4" t="s">
        <v>3954</v>
      </c>
      <c r="M1398" s="4" t="s">
        <v>3953</v>
      </c>
      <c r="N1398" s="4">
        <v>447</v>
      </c>
      <c r="O1398" s="4" t="s">
        <v>3955</v>
      </c>
    </row>
    <row r="1399" spans="1:15" ht="15.75" customHeight="1">
      <c r="A1399" s="4" t="s">
        <v>49</v>
      </c>
      <c r="B1399" s="4">
        <v>1456392</v>
      </c>
      <c r="C1399" s="4">
        <v>1457144</v>
      </c>
      <c r="E1399" s="4" t="s">
        <v>55</v>
      </c>
      <c r="F1399" s="4" t="s">
        <v>3956</v>
      </c>
      <c r="I1399" s="4" t="s">
        <v>52</v>
      </c>
      <c r="L1399" s="4" t="s">
        <v>3957</v>
      </c>
      <c r="M1399" s="4" t="s">
        <v>3956</v>
      </c>
      <c r="N1399" s="4">
        <v>250</v>
      </c>
      <c r="O1399" s="4" t="s">
        <v>3958</v>
      </c>
    </row>
    <row r="1400" spans="1:15" ht="15.75" customHeight="1">
      <c r="A1400" s="4" t="s">
        <v>49</v>
      </c>
      <c r="B1400" s="4">
        <v>1457174</v>
      </c>
      <c r="C1400" s="4">
        <v>1457923</v>
      </c>
      <c r="E1400" s="4" t="s">
        <v>55</v>
      </c>
      <c r="F1400" s="4" t="s">
        <v>3377</v>
      </c>
      <c r="I1400" s="4" t="s">
        <v>52</v>
      </c>
      <c r="L1400" s="4" t="s">
        <v>3959</v>
      </c>
      <c r="M1400" s="4" t="s">
        <v>3377</v>
      </c>
      <c r="N1400" s="4">
        <v>249</v>
      </c>
      <c r="O1400" s="4" t="s">
        <v>3960</v>
      </c>
    </row>
    <row r="1401" spans="1:15" ht="15.75" customHeight="1">
      <c r="A1401" s="4" t="s">
        <v>49</v>
      </c>
      <c r="B1401" s="4">
        <v>1458136</v>
      </c>
      <c r="C1401" s="4">
        <v>1459203</v>
      </c>
      <c r="E1401" s="4" t="s">
        <v>50</v>
      </c>
      <c r="F1401" s="4" t="s">
        <v>3961</v>
      </c>
      <c r="I1401" s="4" t="s">
        <v>52</v>
      </c>
      <c r="L1401" s="4" t="s">
        <v>3962</v>
      </c>
      <c r="M1401" s="4" t="s">
        <v>3961</v>
      </c>
      <c r="N1401" s="4">
        <v>355</v>
      </c>
      <c r="O1401" s="4" t="s">
        <v>3963</v>
      </c>
    </row>
    <row r="1402" spans="1:15" ht="15.75" customHeight="1">
      <c r="A1402" s="4" t="s">
        <v>49</v>
      </c>
      <c r="B1402" s="4">
        <v>1459282</v>
      </c>
      <c r="C1402" s="4">
        <v>1460295</v>
      </c>
      <c r="E1402" s="4" t="s">
        <v>50</v>
      </c>
      <c r="F1402" s="4" t="s">
        <v>2472</v>
      </c>
      <c r="I1402" s="4" t="s">
        <v>52</v>
      </c>
      <c r="L1402" s="4" t="s">
        <v>3964</v>
      </c>
      <c r="M1402" s="4" t="s">
        <v>2472</v>
      </c>
      <c r="N1402" s="4">
        <v>337</v>
      </c>
      <c r="O1402" s="4" t="s">
        <v>3965</v>
      </c>
    </row>
    <row r="1403" spans="1:15" ht="15.75" customHeight="1">
      <c r="A1403" s="4" t="s">
        <v>49</v>
      </c>
      <c r="B1403" s="4">
        <v>1460381</v>
      </c>
      <c r="C1403" s="4">
        <v>1462114</v>
      </c>
      <c r="E1403" s="4" t="s">
        <v>55</v>
      </c>
      <c r="F1403" s="4" t="s">
        <v>2418</v>
      </c>
      <c r="I1403" s="4" t="s">
        <v>52</v>
      </c>
      <c r="L1403" s="4" t="s">
        <v>3966</v>
      </c>
      <c r="M1403" s="4" t="s">
        <v>2418</v>
      </c>
      <c r="N1403" s="4">
        <v>577</v>
      </c>
      <c r="O1403" s="4" t="s">
        <v>3967</v>
      </c>
    </row>
    <row r="1404" spans="1:15" ht="15.75" customHeight="1">
      <c r="A1404" s="4" t="s">
        <v>49</v>
      </c>
      <c r="B1404" s="4">
        <v>1462473</v>
      </c>
      <c r="C1404" s="4">
        <v>1463888</v>
      </c>
      <c r="E1404" s="4" t="s">
        <v>50</v>
      </c>
      <c r="F1404" s="4" t="s">
        <v>779</v>
      </c>
      <c r="I1404" s="4" t="s">
        <v>52</v>
      </c>
      <c r="L1404" s="4" t="s">
        <v>780</v>
      </c>
      <c r="M1404" s="4" t="s">
        <v>779</v>
      </c>
      <c r="N1404" s="4">
        <v>471</v>
      </c>
      <c r="O1404" s="4" t="s">
        <v>3968</v>
      </c>
    </row>
    <row r="1405" spans="1:15" ht="15.75" customHeight="1">
      <c r="A1405" s="4" t="s">
        <v>49</v>
      </c>
      <c r="B1405" s="4">
        <v>1464270</v>
      </c>
      <c r="C1405" s="4">
        <v>1465151</v>
      </c>
      <c r="E1405" s="4" t="s">
        <v>50</v>
      </c>
      <c r="F1405" s="4" t="s">
        <v>3969</v>
      </c>
      <c r="G1405" s="4" t="s">
        <v>3970</v>
      </c>
      <c r="I1405" s="4" t="s">
        <v>52</v>
      </c>
      <c r="L1405" s="4" t="s">
        <v>3971</v>
      </c>
      <c r="M1405" s="4" t="s">
        <v>3969</v>
      </c>
      <c r="N1405" s="4">
        <v>293</v>
      </c>
      <c r="O1405" s="4" t="s">
        <v>3972</v>
      </c>
    </row>
    <row r="1406" spans="1:15" ht="15.75" customHeight="1">
      <c r="A1406" s="4" t="s">
        <v>49</v>
      </c>
      <c r="B1406" s="4">
        <v>1465223</v>
      </c>
      <c r="C1406" s="4">
        <v>1465798</v>
      </c>
      <c r="E1406" s="4" t="s">
        <v>55</v>
      </c>
      <c r="F1406" s="4" t="s">
        <v>3348</v>
      </c>
      <c r="I1406" s="4" t="s">
        <v>52</v>
      </c>
      <c r="L1406" s="4" t="s">
        <v>3973</v>
      </c>
      <c r="M1406" s="4" t="s">
        <v>3348</v>
      </c>
      <c r="N1406" s="4">
        <v>191</v>
      </c>
      <c r="O1406" s="4" t="s">
        <v>3974</v>
      </c>
    </row>
    <row r="1407" spans="1:15" ht="15.75" customHeight="1">
      <c r="A1407" s="4" t="s">
        <v>49</v>
      </c>
      <c r="B1407" s="4">
        <v>1465788</v>
      </c>
      <c r="C1407" s="4">
        <v>1466399</v>
      </c>
      <c r="E1407" s="4" t="s">
        <v>55</v>
      </c>
      <c r="F1407" s="4" t="s">
        <v>56</v>
      </c>
      <c r="I1407" s="4" t="s">
        <v>52</v>
      </c>
      <c r="L1407" s="4" t="s">
        <v>3975</v>
      </c>
      <c r="M1407" s="4" t="s">
        <v>56</v>
      </c>
      <c r="N1407" s="4">
        <v>203</v>
      </c>
      <c r="O1407" s="4" t="s">
        <v>3976</v>
      </c>
    </row>
    <row r="1408" spans="1:15" ht="15.75" customHeight="1">
      <c r="A1408" s="4" t="s">
        <v>49</v>
      </c>
      <c r="B1408" s="4">
        <v>1466582</v>
      </c>
      <c r="C1408" s="4">
        <v>1467745</v>
      </c>
      <c r="E1408" s="4" t="s">
        <v>55</v>
      </c>
      <c r="F1408" s="4" t="s">
        <v>255</v>
      </c>
      <c r="I1408" s="4" t="s">
        <v>52</v>
      </c>
      <c r="L1408" s="4" t="s">
        <v>3977</v>
      </c>
      <c r="M1408" s="4" t="s">
        <v>255</v>
      </c>
      <c r="N1408" s="4">
        <v>387</v>
      </c>
      <c r="O1408" s="4" t="s">
        <v>3978</v>
      </c>
    </row>
    <row r="1409" spans="1:15" ht="15.75" customHeight="1">
      <c r="A1409" s="4" t="s">
        <v>49</v>
      </c>
      <c r="B1409" s="4">
        <v>1467824</v>
      </c>
      <c r="C1409" s="4">
        <v>1468117</v>
      </c>
      <c r="E1409" s="4" t="s">
        <v>55</v>
      </c>
      <c r="F1409" s="4" t="s">
        <v>478</v>
      </c>
      <c r="I1409" s="4" t="s">
        <v>52</v>
      </c>
      <c r="L1409" s="4" t="s">
        <v>3979</v>
      </c>
      <c r="M1409" s="4" t="s">
        <v>478</v>
      </c>
      <c r="N1409" s="4">
        <v>97</v>
      </c>
      <c r="O1409" s="4" t="s">
        <v>3980</v>
      </c>
    </row>
    <row r="1410" spans="1:15" ht="15.75" customHeight="1">
      <c r="A1410" s="4" t="s">
        <v>49</v>
      </c>
      <c r="B1410" s="4">
        <v>1468350</v>
      </c>
      <c r="C1410" s="4">
        <v>1469762</v>
      </c>
      <c r="E1410" s="4" t="s">
        <v>50</v>
      </c>
      <c r="F1410" s="4" t="s">
        <v>79</v>
      </c>
      <c r="I1410" s="4" t="s">
        <v>52</v>
      </c>
      <c r="L1410" s="4" t="s">
        <v>3981</v>
      </c>
      <c r="M1410" s="4" t="s">
        <v>79</v>
      </c>
      <c r="N1410" s="4">
        <v>470</v>
      </c>
      <c r="O1410" s="4" t="s">
        <v>3982</v>
      </c>
    </row>
    <row r="1411" spans="1:15" ht="15.75" customHeight="1">
      <c r="A1411" s="4" t="s">
        <v>49</v>
      </c>
      <c r="B1411" s="4">
        <v>1470099</v>
      </c>
      <c r="C1411" s="4">
        <v>1470971</v>
      </c>
      <c r="E1411" s="4" t="s">
        <v>55</v>
      </c>
      <c r="F1411" s="4" t="s">
        <v>3983</v>
      </c>
      <c r="I1411" s="4" t="s">
        <v>52</v>
      </c>
      <c r="L1411" s="4" t="s">
        <v>3984</v>
      </c>
      <c r="M1411" s="4" t="s">
        <v>3983</v>
      </c>
      <c r="N1411" s="4">
        <v>290</v>
      </c>
      <c r="O1411" s="4" t="s">
        <v>3985</v>
      </c>
    </row>
    <row r="1412" spans="1:15" ht="15.75" customHeight="1">
      <c r="A1412" s="4" t="s">
        <v>49</v>
      </c>
      <c r="B1412" s="4">
        <v>1471181</v>
      </c>
      <c r="C1412" s="4">
        <v>1471360</v>
      </c>
      <c r="E1412" s="4" t="s">
        <v>50</v>
      </c>
      <c r="F1412" s="4" t="s">
        <v>56</v>
      </c>
      <c r="I1412" s="4" t="s">
        <v>52</v>
      </c>
      <c r="L1412" s="4" t="s">
        <v>3986</v>
      </c>
      <c r="M1412" s="4" t="s">
        <v>56</v>
      </c>
      <c r="N1412" s="4">
        <v>59</v>
      </c>
      <c r="O1412" s="4" t="s">
        <v>3987</v>
      </c>
    </row>
    <row r="1413" spans="1:15" ht="15.75" customHeight="1">
      <c r="A1413" s="4" t="s">
        <v>49</v>
      </c>
      <c r="B1413" s="4">
        <v>1471546</v>
      </c>
      <c r="C1413" s="4">
        <v>1471974</v>
      </c>
      <c r="E1413" s="4" t="s">
        <v>50</v>
      </c>
      <c r="F1413" s="4" t="s">
        <v>3988</v>
      </c>
      <c r="I1413" s="4" t="s">
        <v>52</v>
      </c>
      <c r="L1413" s="4" t="s">
        <v>3989</v>
      </c>
      <c r="M1413" s="4" t="s">
        <v>3988</v>
      </c>
      <c r="N1413" s="4">
        <v>142</v>
      </c>
      <c r="O1413" s="4" t="s">
        <v>3990</v>
      </c>
    </row>
    <row r="1414" spans="1:15" ht="15.75" customHeight="1">
      <c r="A1414" s="4" t="s">
        <v>49</v>
      </c>
      <c r="B1414" s="4">
        <v>1472366</v>
      </c>
      <c r="C1414" s="4">
        <v>1473385</v>
      </c>
      <c r="E1414" s="4" t="s">
        <v>50</v>
      </c>
      <c r="F1414" s="4" t="s">
        <v>3991</v>
      </c>
      <c r="G1414" s="4" t="s">
        <v>3992</v>
      </c>
      <c r="I1414" s="4" t="s">
        <v>52</v>
      </c>
      <c r="L1414" s="4" t="s">
        <v>3993</v>
      </c>
      <c r="M1414" s="4" t="s">
        <v>3991</v>
      </c>
      <c r="N1414" s="4">
        <v>339</v>
      </c>
      <c r="O1414" s="4" t="s">
        <v>3994</v>
      </c>
    </row>
    <row r="1415" spans="1:15" ht="15.75" customHeight="1">
      <c r="A1415" s="4" t="s">
        <v>49</v>
      </c>
      <c r="B1415" s="4">
        <v>1473372</v>
      </c>
      <c r="C1415" s="4">
        <v>1473953</v>
      </c>
      <c r="E1415" s="4" t="s">
        <v>50</v>
      </c>
      <c r="F1415" s="4" t="s">
        <v>3995</v>
      </c>
      <c r="G1415" s="4" t="s">
        <v>3996</v>
      </c>
      <c r="I1415" s="4" t="s">
        <v>52</v>
      </c>
      <c r="L1415" s="4" t="s">
        <v>3997</v>
      </c>
      <c r="M1415" s="4" t="s">
        <v>3995</v>
      </c>
      <c r="N1415" s="4">
        <v>193</v>
      </c>
      <c r="O1415" s="4" t="s">
        <v>3998</v>
      </c>
    </row>
    <row r="1416" spans="1:15" ht="15.75" customHeight="1">
      <c r="A1416" s="4" t="s">
        <v>49</v>
      </c>
      <c r="B1416" s="4">
        <v>1474003</v>
      </c>
      <c r="C1416" s="4">
        <v>1474371</v>
      </c>
      <c r="E1416" s="4" t="s">
        <v>50</v>
      </c>
      <c r="F1416" s="4" t="s">
        <v>3999</v>
      </c>
      <c r="G1416" s="4" t="s">
        <v>4000</v>
      </c>
      <c r="I1416" s="4" t="s">
        <v>52</v>
      </c>
      <c r="L1416" s="4" t="s">
        <v>4001</v>
      </c>
      <c r="M1416" s="4" t="s">
        <v>3999</v>
      </c>
      <c r="N1416" s="4">
        <v>122</v>
      </c>
      <c r="O1416" s="4" t="s">
        <v>4002</v>
      </c>
    </row>
    <row r="1417" spans="1:15" ht="15.75" customHeight="1">
      <c r="A1417" s="4" t="s">
        <v>49</v>
      </c>
      <c r="B1417" s="4">
        <v>1474456</v>
      </c>
      <c r="C1417" s="4">
        <v>1475019</v>
      </c>
      <c r="E1417" s="4" t="s">
        <v>50</v>
      </c>
      <c r="F1417" s="4" t="s">
        <v>4003</v>
      </c>
      <c r="I1417" s="4" t="s">
        <v>52</v>
      </c>
      <c r="L1417" s="4" t="s">
        <v>4004</v>
      </c>
      <c r="M1417" s="4" t="s">
        <v>4003</v>
      </c>
      <c r="N1417" s="4">
        <v>187</v>
      </c>
      <c r="O1417" s="4" t="s">
        <v>4005</v>
      </c>
    </row>
    <row r="1418" spans="1:15" ht="15.75" customHeight="1">
      <c r="A1418" s="4" t="s">
        <v>49</v>
      </c>
      <c r="B1418" s="4">
        <v>1475115</v>
      </c>
      <c r="C1418" s="4">
        <v>1475243</v>
      </c>
      <c r="E1418" s="4" t="s">
        <v>50</v>
      </c>
      <c r="F1418" s="4" t="s">
        <v>56</v>
      </c>
      <c r="I1418" s="4" t="s">
        <v>52</v>
      </c>
      <c r="L1418" s="4" t="s">
        <v>4006</v>
      </c>
      <c r="M1418" s="4" t="s">
        <v>56</v>
      </c>
      <c r="N1418" s="4">
        <v>42</v>
      </c>
      <c r="O1418" s="4" t="s">
        <v>4007</v>
      </c>
    </row>
    <row r="1419" spans="1:15" ht="15.75" customHeight="1">
      <c r="A1419" s="4" t="s">
        <v>49</v>
      </c>
      <c r="B1419" s="4">
        <v>1475255</v>
      </c>
      <c r="C1419" s="4">
        <v>1476949</v>
      </c>
      <c r="E1419" s="4" t="s">
        <v>50</v>
      </c>
      <c r="F1419" s="4" t="s">
        <v>4008</v>
      </c>
      <c r="I1419" s="4" t="s">
        <v>52</v>
      </c>
      <c r="L1419" s="4" t="s">
        <v>4009</v>
      </c>
      <c r="M1419" s="4" t="s">
        <v>4008</v>
      </c>
      <c r="N1419" s="4">
        <v>564</v>
      </c>
      <c r="O1419" s="4" t="s">
        <v>4010</v>
      </c>
    </row>
    <row r="1420" spans="1:15" ht="15.75" customHeight="1">
      <c r="A1420" s="4" t="s">
        <v>49</v>
      </c>
      <c r="B1420" s="4">
        <v>1477096</v>
      </c>
      <c r="C1420" s="4">
        <v>1478076</v>
      </c>
      <c r="E1420" s="4" t="s">
        <v>50</v>
      </c>
      <c r="F1420" s="4" t="s">
        <v>56</v>
      </c>
      <c r="I1420" s="4" t="s">
        <v>52</v>
      </c>
      <c r="L1420" s="4" t="s">
        <v>4011</v>
      </c>
      <c r="M1420" s="4" t="s">
        <v>56</v>
      </c>
      <c r="N1420" s="4">
        <v>326</v>
      </c>
      <c r="O1420" s="4" t="s">
        <v>4012</v>
      </c>
    </row>
    <row r="1421" spans="1:15" ht="15.75" customHeight="1">
      <c r="A1421" s="4" t="s">
        <v>49</v>
      </c>
      <c r="B1421" s="4">
        <v>1478196</v>
      </c>
      <c r="C1421" s="4">
        <v>1479212</v>
      </c>
      <c r="E1421" s="4" t="s">
        <v>55</v>
      </c>
      <c r="F1421" s="4" t="s">
        <v>4013</v>
      </c>
      <c r="I1421" s="4" t="s">
        <v>52</v>
      </c>
      <c r="L1421" s="4" t="s">
        <v>4014</v>
      </c>
      <c r="M1421" s="4" t="s">
        <v>4013</v>
      </c>
      <c r="N1421" s="4">
        <v>338</v>
      </c>
      <c r="O1421" s="4" t="s">
        <v>4015</v>
      </c>
    </row>
    <row r="1422" spans="1:15" ht="15.75" customHeight="1">
      <c r="A1422" s="4" t="s">
        <v>49</v>
      </c>
      <c r="B1422" s="4">
        <v>1479369</v>
      </c>
      <c r="C1422" s="4">
        <v>1480235</v>
      </c>
      <c r="E1422" s="4" t="s">
        <v>55</v>
      </c>
      <c r="F1422" s="4" t="s">
        <v>588</v>
      </c>
      <c r="I1422" s="4" t="s">
        <v>52</v>
      </c>
      <c r="L1422" s="4" t="s">
        <v>4016</v>
      </c>
      <c r="M1422" s="4" t="s">
        <v>588</v>
      </c>
      <c r="N1422" s="4">
        <v>288</v>
      </c>
      <c r="O1422" s="4" t="s">
        <v>4017</v>
      </c>
    </row>
    <row r="1423" spans="1:15" ht="15.75" customHeight="1">
      <c r="A1423" s="4" t="s">
        <v>49</v>
      </c>
      <c r="B1423" s="4">
        <v>1480342</v>
      </c>
      <c r="C1423" s="4">
        <v>1480530</v>
      </c>
      <c r="E1423" s="4" t="s">
        <v>55</v>
      </c>
      <c r="F1423" s="4" t="s">
        <v>56</v>
      </c>
      <c r="I1423" s="4" t="s">
        <v>52</v>
      </c>
      <c r="L1423" s="4" t="s">
        <v>4018</v>
      </c>
      <c r="M1423" s="4" t="s">
        <v>56</v>
      </c>
      <c r="N1423" s="4">
        <v>62</v>
      </c>
      <c r="O1423" s="4" t="s">
        <v>4019</v>
      </c>
    </row>
    <row r="1424" spans="1:15" ht="15.75" customHeight="1">
      <c r="A1424" s="4" t="s">
        <v>49</v>
      </c>
      <c r="B1424" s="4">
        <v>1480770</v>
      </c>
      <c r="C1424" s="4">
        <v>1482200</v>
      </c>
      <c r="E1424" s="4" t="s">
        <v>55</v>
      </c>
      <c r="F1424" s="4" t="s">
        <v>4020</v>
      </c>
      <c r="I1424" s="4" t="s">
        <v>52</v>
      </c>
      <c r="L1424" s="4" t="s">
        <v>4021</v>
      </c>
      <c r="M1424" s="4" t="s">
        <v>4020</v>
      </c>
      <c r="N1424" s="4">
        <v>476</v>
      </c>
      <c r="O1424" s="4" t="s">
        <v>4022</v>
      </c>
    </row>
    <row r="1425" spans="1:15" ht="15.75" customHeight="1">
      <c r="A1425" s="4" t="s">
        <v>49</v>
      </c>
      <c r="B1425" s="4">
        <v>1482222</v>
      </c>
      <c r="C1425" s="4">
        <v>1483421</v>
      </c>
      <c r="E1425" s="4" t="s">
        <v>55</v>
      </c>
      <c r="F1425" s="4" t="s">
        <v>255</v>
      </c>
      <c r="I1425" s="4" t="s">
        <v>52</v>
      </c>
      <c r="L1425" s="4" t="s">
        <v>4023</v>
      </c>
      <c r="M1425" s="4" t="s">
        <v>255</v>
      </c>
      <c r="N1425" s="4">
        <v>399</v>
      </c>
      <c r="O1425" s="4" t="s">
        <v>4024</v>
      </c>
    </row>
    <row r="1426" spans="1:15" ht="15.75" customHeight="1">
      <c r="A1426" s="4" t="s">
        <v>49</v>
      </c>
      <c r="B1426" s="4">
        <v>1483646</v>
      </c>
      <c r="C1426" s="4">
        <v>1485871</v>
      </c>
      <c r="E1426" s="4" t="s">
        <v>55</v>
      </c>
      <c r="F1426" s="4" t="s">
        <v>92</v>
      </c>
      <c r="I1426" s="4" t="s">
        <v>52</v>
      </c>
      <c r="L1426" s="4" t="s">
        <v>4025</v>
      </c>
      <c r="M1426" s="4" t="s">
        <v>92</v>
      </c>
      <c r="N1426" s="4">
        <v>741</v>
      </c>
      <c r="O1426" s="4" t="s">
        <v>4026</v>
      </c>
    </row>
    <row r="1427" spans="1:15" ht="15.75" customHeight="1">
      <c r="A1427" s="4" t="s">
        <v>49</v>
      </c>
      <c r="B1427" s="4">
        <v>1486219</v>
      </c>
      <c r="C1427" s="4">
        <v>1488951</v>
      </c>
      <c r="E1427" s="4" t="s">
        <v>50</v>
      </c>
      <c r="F1427" s="4" t="s">
        <v>4027</v>
      </c>
      <c r="I1427" s="4" t="s">
        <v>52</v>
      </c>
      <c r="L1427" s="4" t="s">
        <v>4028</v>
      </c>
      <c r="M1427" s="4" t="s">
        <v>4027</v>
      </c>
      <c r="N1427" s="4">
        <v>910</v>
      </c>
      <c r="O1427" s="4" t="s">
        <v>4029</v>
      </c>
    </row>
    <row r="1428" spans="1:15" ht="15.75" customHeight="1">
      <c r="A1428" s="4" t="s">
        <v>49</v>
      </c>
      <c r="B1428" s="4">
        <v>1489278</v>
      </c>
      <c r="C1428" s="4">
        <v>1489370</v>
      </c>
      <c r="E1428" s="4" t="s">
        <v>55</v>
      </c>
      <c r="F1428" s="4" t="s">
        <v>4030</v>
      </c>
      <c r="I1428" s="4" t="s">
        <v>52</v>
      </c>
      <c r="L1428" s="4" t="s">
        <v>4031</v>
      </c>
      <c r="M1428" s="4" t="s">
        <v>4030</v>
      </c>
      <c r="N1428" s="4">
        <v>30</v>
      </c>
      <c r="O1428" s="4" t="s">
        <v>4032</v>
      </c>
    </row>
    <row r="1429" spans="1:15" ht="15.75" customHeight="1">
      <c r="A1429" s="4" t="s">
        <v>49</v>
      </c>
      <c r="B1429" s="4">
        <v>1489918</v>
      </c>
      <c r="C1429" s="4">
        <v>1491627</v>
      </c>
      <c r="E1429" s="4" t="s">
        <v>50</v>
      </c>
      <c r="F1429" s="4" t="s">
        <v>73</v>
      </c>
      <c r="I1429" s="4" t="s">
        <v>52</v>
      </c>
      <c r="L1429" s="4" t="s">
        <v>4033</v>
      </c>
      <c r="M1429" s="4" t="s">
        <v>73</v>
      </c>
      <c r="N1429" s="4">
        <v>569</v>
      </c>
      <c r="O1429" s="4" t="s">
        <v>4034</v>
      </c>
    </row>
    <row r="1430" spans="1:15" ht="15.75" customHeight="1">
      <c r="A1430" s="4" t="s">
        <v>49</v>
      </c>
      <c r="B1430" s="4">
        <v>1491620</v>
      </c>
      <c r="C1430" s="4">
        <v>1493431</v>
      </c>
      <c r="E1430" s="4" t="s">
        <v>50</v>
      </c>
      <c r="F1430" s="4" t="s">
        <v>73</v>
      </c>
      <c r="I1430" s="4" t="s">
        <v>52</v>
      </c>
      <c r="L1430" s="4" t="s">
        <v>4035</v>
      </c>
      <c r="M1430" s="4" t="s">
        <v>73</v>
      </c>
      <c r="N1430" s="4">
        <v>603</v>
      </c>
      <c r="O1430" s="4" t="s">
        <v>4036</v>
      </c>
    </row>
    <row r="1431" spans="1:15" ht="15.75" customHeight="1">
      <c r="A1431" s="4" t="s">
        <v>49</v>
      </c>
      <c r="B1431" s="4">
        <v>1493614</v>
      </c>
      <c r="C1431" s="4">
        <v>1495299</v>
      </c>
      <c r="E1431" s="4" t="s">
        <v>55</v>
      </c>
      <c r="F1431" s="4" t="s">
        <v>3082</v>
      </c>
      <c r="I1431" s="4" t="s">
        <v>52</v>
      </c>
      <c r="L1431" s="4" t="s">
        <v>4037</v>
      </c>
      <c r="M1431" s="4" t="s">
        <v>3082</v>
      </c>
      <c r="N1431" s="4">
        <v>561</v>
      </c>
      <c r="O1431" s="4" t="s">
        <v>4038</v>
      </c>
    </row>
    <row r="1432" spans="1:15" ht="15.75" customHeight="1">
      <c r="A1432" s="4" t="s">
        <v>49</v>
      </c>
      <c r="B1432" s="4">
        <v>1495292</v>
      </c>
      <c r="C1432" s="4">
        <v>1495708</v>
      </c>
      <c r="E1432" s="4" t="s">
        <v>55</v>
      </c>
      <c r="F1432" s="4" t="s">
        <v>4039</v>
      </c>
      <c r="I1432" s="4" t="s">
        <v>52</v>
      </c>
      <c r="L1432" s="4" t="s">
        <v>4040</v>
      </c>
      <c r="M1432" s="4" t="s">
        <v>4039</v>
      </c>
      <c r="N1432" s="4">
        <v>138</v>
      </c>
      <c r="O1432" s="4" t="s">
        <v>4041</v>
      </c>
    </row>
    <row r="1433" spans="1:15" ht="15.75" customHeight="1">
      <c r="A1433" s="4" t="s">
        <v>49</v>
      </c>
      <c r="B1433" s="4">
        <v>1495798</v>
      </c>
      <c r="C1433" s="4">
        <v>1498041</v>
      </c>
      <c r="E1433" s="4" t="s">
        <v>55</v>
      </c>
      <c r="F1433" s="4" t="s">
        <v>4042</v>
      </c>
      <c r="I1433" s="4" t="s">
        <v>52</v>
      </c>
      <c r="L1433" s="4" t="s">
        <v>4043</v>
      </c>
      <c r="M1433" s="4" t="s">
        <v>4042</v>
      </c>
      <c r="N1433" s="4">
        <v>747</v>
      </c>
      <c r="O1433" s="4" t="s">
        <v>4044</v>
      </c>
    </row>
    <row r="1434" spans="1:15" ht="15.75" customHeight="1">
      <c r="A1434" s="4" t="s">
        <v>49</v>
      </c>
      <c r="B1434" s="4">
        <v>1498071</v>
      </c>
      <c r="C1434" s="4">
        <v>1498922</v>
      </c>
      <c r="E1434" s="4" t="s">
        <v>55</v>
      </c>
      <c r="F1434" s="4" t="s">
        <v>4045</v>
      </c>
      <c r="I1434" s="4" t="s">
        <v>52</v>
      </c>
      <c r="L1434" s="4" t="s">
        <v>4046</v>
      </c>
      <c r="M1434" s="4" t="s">
        <v>4045</v>
      </c>
      <c r="N1434" s="4">
        <v>283</v>
      </c>
      <c r="O1434" s="4" t="s">
        <v>4047</v>
      </c>
    </row>
    <row r="1435" spans="1:15" ht="15.75" customHeight="1">
      <c r="A1435" s="4" t="s">
        <v>49</v>
      </c>
      <c r="B1435" s="4">
        <v>1498915</v>
      </c>
      <c r="C1435" s="4">
        <v>1499724</v>
      </c>
      <c r="E1435" s="4" t="s">
        <v>55</v>
      </c>
      <c r="F1435" s="4" t="s">
        <v>1381</v>
      </c>
      <c r="I1435" s="4" t="s">
        <v>52</v>
      </c>
      <c r="L1435" s="4" t="s">
        <v>4048</v>
      </c>
      <c r="M1435" s="4" t="s">
        <v>1381</v>
      </c>
      <c r="N1435" s="4">
        <v>269</v>
      </c>
      <c r="O1435" s="4" t="s">
        <v>4049</v>
      </c>
    </row>
    <row r="1436" spans="1:15" ht="15.75" customHeight="1">
      <c r="A1436" s="4" t="s">
        <v>49</v>
      </c>
      <c r="B1436" s="4">
        <v>1499767</v>
      </c>
      <c r="C1436" s="4">
        <v>1500258</v>
      </c>
      <c r="E1436" s="4" t="s">
        <v>55</v>
      </c>
      <c r="F1436" s="4" t="s">
        <v>2415</v>
      </c>
      <c r="I1436" s="4" t="s">
        <v>52</v>
      </c>
      <c r="L1436" s="4" t="s">
        <v>4050</v>
      </c>
      <c r="M1436" s="4" t="s">
        <v>2415</v>
      </c>
      <c r="N1436" s="4">
        <v>163</v>
      </c>
      <c r="O1436" s="4" t="s">
        <v>4051</v>
      </c>
    </row>
    <row r="1437" spans="1:15" ht="15.75" customHeight="1">
      <c r="A1437" s="4" t="s">
        <v>49</v>
      </c>
      <c r="B1437" s="4">
        <v>1500310</v>
      </c>
      <c r="C1437" s="4">
        <v>1501317</v>
      </c>
      <c r="E1437" s="4" t="s">
        <v>55</v>
      </c>
      <c r="F1437" s="4" t="s">
        <v>3085</v>
      </c>
      <c r="I1437" s="4" t="s">
        <v>52</v>
      </c>
      <c r="L1437" s="4" t="s">
        <v>4052</v>
      </c>
      <c r="M1437" s="4" t="s">
        <v>3085</v>
      </c>
      <c r="N1437" s="4">
        <v>335</v>
      </c>
      <c r="O1437" s="4" t="s">
        <v>4053</v>
      </c>
    </row>
    <row r="1438" spans="1:15" ht="15.75" customHeight="1">
      <c r="A1438" s="4" t="s">
        <v>49</v>
      </c>
      <c r="B1438" s="4">
        <v>1501558</v>
      </c>
      <c r="C1438" s="4">
        <v>1501827</v>
      </c>
      <c r="E1438" s="4" t="s">
        <v>50</v>
      </c>
      <c r="F1438" s="4" t="s">
        <v>4054</v>
      </c>
      <c r="I1438" s="4" t="s">
        <v>52</v>
      </c>
      <c r="L1438" s="4" t="s">
        <v>4055</v>
      </c>
      <c r="M1438" s="4" t="s">
        <v>4054</v>
      </c>
      <c r="N1438" s="4">
        <v>89</v>
      </c>
      <c r="O1438" s="4" t="s">
        <v>4056</v>
      </c>
    </row>
    <row r="1439" spans="1:15" ht="15.75" customHeight="1">
      <c r="A1439" s="4" t="s">
        <v>49</v>
      </c>
      <c r="B1439" s="4">
        <v>1502143</v>
      </c>
      <c r="C1439" s="4">
        <v>1502961</v>
      </c>
      <c r="E1439" s="4" t="s">
        <v>50</v>
      </c>
      <c r="F1439" s="4" t="s">
        <v>59</v>
      </c>
      <c r="I1439" s="4" t="s">
        <v>52</v>
      </c>
      <c r="L1439" s="4" t="s">
        <v>4057</v>
      </c>
      <c r="M1439" s="4" t="s">
        <v>59</v>
      </c>
      <c r="N1439" s="4">
        <v>272</v>
      </c>
      <c r="O1439" s="4" t="s">
        <v>4058</v>
      </c>
    </row>
    <row r="1440" spans="1:15" ht="15.75" customHeight="1">
      <c r="A1440" s="4" t="s">
        <v>49</v>
      </c>
      <c r="B1440" s="4">
        <v>1503325</v>
      </c>
      <c r="C1440" s="4">
        <v>1504695</v>
      </c>
      <c r="E1440" s="4" t="s">
        <v>50</v>
      </c>
      <c r="F1440" s="4" t="s">
        <v>4059</v>
      </c>
      <c r="I1440" s="4" t="s">
        <v>52</v>
      </c>
      <c r="L1440" s="4" t="s">
        <v>4060</v>
      </c>
      <c r="M1440" s="4" t="s">
        <v>4059</v>
      </c>
      <c r="N1440" s="4">
        <v>456</v>
      </c>
      <c r="O1440" s="4" t="s">
        <v>4061</v>
      </c>
    </row>
    <row r="1441" spans="1:15" ht="15.75" customHeight="1">
      <c r="A1441" s="4" t="s">
        <v>49</v>
      </c>
      <c r="B1441" s="4">
        <v>1504856</v>
      </c>
      <c r="C1441" s="4">
        <v>1505545</v>
      </c>
      <c r="E1441" s="4" t="s">
        <v>55</v>
      </c>
      <c r="F1441" s="4" t="s">
        <v>73</v>
      </c>
      <c r="I1441" s="4" t="s">
        <v>52</v>
      </c>
      <c r="L1441" s="4" t="s">
        <v>4062</v>
      </c>
      <c r="M1441" s="4" t="s">
        <v>73</v>
      </c>
      <c r="N1441" s="4">
        <v>229</v>
      </c>
      <c r="O1441" s="4" t="s">
        <v>4063</v>
      </c>
    </row>
    <row r="1442" spans="1:15" ht="15.75" customHeight="1">
      <c r="A1442" s="4" t="s">
        <v>49</v>
      </c>
      <c r="B1442" s="4">
        <v>1505550</v>
      </c>
      <c r="C1442" s="4">
        <v>1506611</v>
      </c>
      <c r="E1442" s="4" t="s">
        <v>55</v>
      </c>
      <c r="F1442" s="4" t="s">
        <v>76</v>
      </c>
      <c r="I1442" s="4" t="s">
        <v>52</v>
      </c>
      <c r="L1442" s="4" t="s">
        <v>4064</v>
      </c>
      <c r="M1442" s="4" t="s">
        <v>76</v>
      </c>
      <c r="N1442" s="4">
        <v>353</v>
      </c>
      <c r="O1442" s="4" t="s">
        <v>4065</v>
      </c>
    </row>
    <row r="1443" spans="1:15" ht="15.75" customHeight="1">
      <c r="A1443" s="4" t="s">
        <v>49</v>
      </c>
      <c r="B1443" s="4">
        <v>1506616</v>
      </c>
      <c r="C1443" s="4">
        <v>1507119</v>
      </c>
      <c r="E1443" s="4" t="s">
        <v>55</v>
      </c>
      <c r="F1443" s="4" t="s">
        <v>111</v>
      </c>
      <c r="I1443" s="4" t="s">
        <v>52</v>
      </c>
      <c r="L1443" s="4" t="s">
        <v>4066</v>
      </c>
      <c r="M1443" s="4" t="s">
        <v>111</v>
      </c>
      <c r="N1443" s="4">
        <v>167</v>
      </c>
      <c r="O1443" s="4" t="s">
        <v>4067</v>
      </c>
    </row>
    <row r="1444" spans="1:15" ht="15.75" customHeight="1">
      <c r="A1444" s="4" t="s">
        <v>49</v>
      </c>
      <c r="B1444" s="4">
        <v>1507329</v>
      </c>
      <c r="C1444" s="4">
        <v>1508093</v>
      </c>
      <c r="E1444" s="4" t="s">
        <v>55</v>
      </c>
      <c r="F1444" s="4" t="s">
        <v>278</v>
      </c>
      <c r="I1444" s="4" t="s">
        <v>52</v>
      </c>
      <c r="L1444" s="4" t="s">
        <v>4068</v>
      </c>
      <c r="M1444" s="4" t="s">
        <v>278</v>
      </c>
      <c r="N1444" s="4">
        <v>254</v>
      </c>
      <c r="O1444" s="4" t="s">
        <v>4069</v>
      </c>
    </row>
    <row r="1445" spans="1:15" ht="15.75" customHeight="1">
      <c r="A1445" s="4" t="s">
        <v>49</v>
      </c>
      <c r="B1445" s="4">
        <v>1508103</v>
      </c>
      <c r="C1445" s="4">
        <v>1508255</v>
      </c>
      <c r="E1445" s="4" t="s">
        <v>55</v>
      </c>
      <c r="F1445" s="4" t="s">
        <v>4070</v>
      </c>
      <c r="I1445" s="4" t="s">
        <v>52</v>
      </c>
      <c r="L1445" s="4" t="s">
        <v>4071</v>
      </c>
      <c r="M1445" s="4" t="s">
        <v>4070</v>
      </c>
      <c r="N1445" s="4">
        <v>50</v>
      </c>
      <c r="O1445" s="4" t="s">
        <v>4072</v>
      </c>
    </row>
    <row r="1446" spans="1:15" ht="15.75" customHeight="1">
      <c r="A1446" s="4" t="s">
        <v>49</v>
      </c>
      <c r="B1446" s="4">
        <v>1508423</v>
      </c>
      <c r="C1446" s="4">
        <v>1508953</v>
      </c>
      <c r="E1446" s="4" t="s">
        <v>55</v>
      </c>
      <c r="F1446" s="4" t="s">
        <v>56</v>
      </c>
      <c r="I1446" s="4" t="s">
        <v>52</v>
      </c>
      <c r="L1446" s="4" t="s">
        <v>4073</v>
      </c>
      <c r="M1446" s="4" t="s">
        <v>56</v>
      </c>
      <c r="N1446" s="4">
        <v>176</v>
      </c>
      <c r="O1446" s="4" t="s">
        <v>4074</v>
      </c>
    </row>
    <row r="1447" spans="1:15" ht="15.75" customHeight="1">
      <c r="A1447" s="4" t="s">
        <v>49</v>
      </c>
      <c r="B1447" s="4">
        <v>1509354</v>
      </c>
      <c r="C1447" s="4">
        <v>1510622</v>
      </c>
      <c r="E1447" s="4" t="s">
        <v>50</v>
      </c>
      <c r="F1447" s="4" t="s">
        <v>255</v>
      </c>
      <c r="I1447" s="4" t="s">
        <v>52</v>
      </c>
      <c r="L1447" s="4" t="s">
        <v>4075</v>
      </c>
      <c r="M1447" s="4" t="s">
        <v>255</v>
      </c>
      <c r="N1447" s="4">
        <v>422</v>
      </c>
      <c r="O1447" s="4" t="s">
        <v>4076</v>
      </c>
    </row>
    <row r="1448" spans="1:15" ht="15.75" customHeight="1">
      <c r="A1448" s="4" t="s">
        <v>49</v>
      </c>
      <c r="B1448" s="4">
        <v>1511050</v>
      </c>
      <c r="C1448" s="4">
        <v>1511736</v>
      </c>
      <c r="E1448" s="4" t="s">
        <v>50</v>
      </c>
      <c r="F1448" s="4" t="s">
        <v>845</v>
      </c>
      <c r="I1448" s="4" t="s">
        <v>52</v>
      </c>
      <c r="L1448" s="4" t="s">
        <v>4077</v>
      </c>
      <c r="M1448" s="4" t="s">
        <v>845</v>
      </c>
      <c r="N1448" s="4">
        <v>228</v>
      </c>
      <c r="O1448" s="4" t="s">
        <v>4078</v>
      </c>
    </row>
    <row r="1449" spans="1:15" ht="15.75" customHeight="1">
      <c r="A1449" s="4" t="s">
        <v>49</v>
      </c>
      <c r="B1449" s="4">
        <v>1511733</v>
      </c>
      <c r="C1449" s="4">
        <v>1512401</v>
      </c>
      <c r="E1449" s="4" t="s">
        <v>50</v>
      </c>
      <c r="F1449" s="4" t="s">
        <v>845</v>
      </c>
      <c r="I1449" s="4" t="s">
        <v>52</v>
      </c>
      <c r="L1449" s="4" t="s">
        <v>4079</v>
      </c>
      <c r="M1449" s="4" t="s">
        <v>845</v>
      </c>
      <c r="N1449" s="4">
        <v>222</v>
      </c>
      <c r="O1449" s="4" t="s">
        <v>4080</v>
      </c>
    </row>
    <row r="1450" spans="1:15" ht="15.75" customHeight="1">
      <c r="A1450" s="4" t="s">
        <v>49</v>
      </c>
      <c r="B1450" s="4">
        <v>1512416</v>
      </c>
      <c r="C1450" s="4">
        <v>1513294</v>
      </c>
      <c r="E1450" s="4" t="s">
        <v>50</v>
      </c>
      <c r="F1450" s="4" t="s">
        <v>4081</v>
      </c>
      <c r="I1450" s="4" t="s">
        <v>52</v>
      </c>
      <c r="L1450" s="4" t="s">
        <v>4082</v>
      </c>
      <c r="M1450" s="4" t="s">
        <v>4081</v>
      </c>
      <c r="N1450" s="4">
        <v>292</v>
      </c>
      <c r="O1450" s="4" t="s">
        <v>4083</v>
      </c>
    </row>
    <row r="1451" spans="1:15" ht="15.75" customHeight="1">
      <c r="A1451" s="4" t="s">
        <v>49</v>
      </c>
      <c r="B1451" s="4">
        <v>1513304</v>
      </c>
      <c r="C1451" s="4">
        <v>1514053</v>
      </c>
      <c r="E1451" s="4" t="s">
        <v>50</v>
      </c>
      <c r="F1451" s="4" t="s">
        <v>848</v>
      </c>
      <c r="I1451" s="4" t="s">
        <v>52</v>
      </c>
      <c r="L1451" s="4" t="s">
        <v>4084</v>
      </c>
      <c r="M1451" s="4" t="s">
        <v>848</v>
      </c>
      <c r="N1451" s="4">
        <v>249</v>
      </c>
      <c r="O1451" s="4" t="s">
        <v>4085</v>
      </c>
    </row>
    <row r="1452" spans="1:15" ht="15.75" customHeight="1">
      <c r="A1452" s="4" t="s">
        <v>49</v>
      </c>
      <c r="B1452" s="4">
        <v>1514050</v>
      </c>
      <c r="C1452" s="4">
        <v>1515099</v>
      </c>
      <c r="E1452" s="4" t="s">
        <v>50</v>
      </c>
      <c r="F1452" s="4" t="s">
        <v>4086</v>
      </c>
      <c r="I1452" s="4" t="s">
        <v>52</v>
      </c>
      <c r="L1452" s="4" t="s">
        <v>4087</v>
      </c>
      <c r="M1452" s="4" t="s">
        <v>4086</v>
      </c>
      <c r="N1452" s="4">
        <v>349</v>
      </c>
      <c r="O1452" s="4" t="s">
        <v>4088</v>
      </c>
    </row>
    <row r="1453" spans="1:15" ht="15.75" customHeight="1">
      <c r="A1453" s="4" t="s">
        <v>49</v>
      </c>
      <c r="B1453" s="4">
        <v>1515335</v>
      </c>
      <c r="C1453" s="4">
        <v>1516519</v>
      </c>
      <c r="E1453" s="4" t="s">
        <v>55</v>
      </c>
      <c r="F1453" s="4" t="s">
        <v>4089</v>
      </c>
      <c r="I1453" s="4" t="s">
        <v>52</v>
      </c>
      <c r="L1453" s="4" t="s">
        <v>4090</v>
      </c>
      <c r="M1453" s="4" t="s">
        <v>4089</v>
      </c>
      <c r="N1453" s="4">
        <v>394</v>
      </c>
      <c r="O1453" s="4" t="s">
        <v>4091</v>
      </c>
    </row>
    <row r="1454" spans="1:15" ht="15.75" customHeight="1">
      <c r="A1454" s="4" t="s">
        <v>49</v>
      </c>
      <c r="B1454" s="4">
        <v>1516548</v>
      </c>
      <c r="C1454" s="4">
        <v>1518512</v>
      </c>
      <c r="E1454" s="4" t="s">
        <v>55</v>
      </c>
      <c r="F1454" s="4" t="s">
        <v>4092</v>
      </c>
      <c r="I1454" s="4" t="s">
        <v>52</v>
      </c>
      <c r="L1454" s="4" t="s">
        <v>4093</v>
      </c>
      <c r="M1454" s="4" t="s">
        <v>4092</v>
      </c>
      <c r="N1454" s="4">
        <v>654</v>
      </c>
      <c r="O1454" s="4" t="s">
        <v>4094</v>
      </c>
    </row>
    <row r="1455" spans="1:15" ht="15.75" customHeight="1">
      <c r="A1455" s="4" t="s">
        <v>49</v>
      </c>
      <c r="B1455" s="4">
        <v>1518570</v>
      </c>
      <c r="C1455" s="4">
        <v>1519133</v>
      </c>
      <c r="E1455" s="4" t="s">
        <v>55</v>
      </c>
      <c r="F1455" s="4" t="s">
        <v>4095</v>
      </c>
      <c r="G1455" s="4" t="s">
        <v>4096</v>
      </c>
      <c r="I1455" s="4" t="s">
        <v>52</v>
      </c>
      <c r="L1455" s="4" t="s">
        <v>4097</v>
      </c>
      <c r="M1455" s="4" t="s">
        <v>4095</v>
      </c>
      <c r="N1455" s="4">
        <v>187</v>
      </c>
      <c r="O1455" s="4" t="s">
        <v>4098</v>
      </c>
    </row>
    <row r="1456" spans="1:15" ht="15.75" customHeight="1">
      <c r="A1456" s="4" t="s">
        <v>49</v>
      </c>
      <c r="B1456" s="4">
        <v>1519149</v>
      </c>
      <c r="C1456" s="4">
        <v>1519796</v>
      </c>
      <c r="E1456" s="4" t="s">
        <v>55</v>
      </c>
      <c r="F1456" s="4" t="s">
        <v>4099</v>
      </c>
      <c r="G1456" s="4" t="s">
        <v>4100</v>
      </c>
      <c r="I1456" s="4" t="s">
        <v>52</v>
      </c>
      <c r="L1456" s="4" t="s">
        <v>4101</v>
      </c>
      <c r="M1456" s="4" t="s">
        <v>4099</v>
      </c>
      <c r="N1456" s="4">
        <v>215</v>
      </c>
      <c r="O1456" s="4" t="s">
        <v>4102</v>
      </c>
    </row>
    <row r="1457" spans="1:15" ht="15.75" customHeight="1">
      <c r="A1457" s="4" t="s">
        <v>49</v>
      </c>
      <c r="B1457" s="4">
        <v>1519970</v>
      </c>
      <c r="C1457" s="4">
        <v>1520731</v>
      </c>
      <c r="E1457" s="4" t="s">
        <v>50</v>
      </c>
      <c r="F1457" s="4" t="s">
        <v>1094</v>
      </c>
      <c r="I1457" s="4" t="s">
        <v>52</v>
      </c>
      <c r="L1457" s="4" t="s">
        <v>4103</v>
      </c>
      <c r="M1457" s="4" t="s">
        <v>1094</v>
      </c>
      <c r="N1457" s="4">
        <v>253</v>
      </c>
      <c r="O1457" s="4" t="s">
        <v>4104</v>
      </c>
    </row>
    <row r="1458" spans="1:15" ht="15.75" customHeight="1">
      <c r="A1458" s="4" t="s">
        <v>49</v>
      </c>
      <c r="B1458" s="4">
        <v>1520769</v>
      </c>
      <c r="C1458" s="4">
        <v>1521431</v>
      </c>
      <c r="E1458" s="4" t="s">
        <v>50</v>
      </c>
      <c r="F1458" s="4" t="s">
        <v>625</v>
      </c>
      <c r="I1458" s="4" t="s">
        <v>52</v>
      </c>
      <c r="L1458" s="4" t="s">
        <v>4105</v>
      </c>
      <c r="M1458" s="4" t="s">
        <v>625</v>
      </c>
      <c r="N1458" s="4">
        <v>220</v>
      </c>
      <c r="O1458" s="4" t="s">
        <v>4106</v>
      </c>
    </row>
    <row r="1459" spans="1:15" ht="15.75" customHeight="1">
      <c r="A1459" s="4" t="s">
        <v>49</v>
      </c>
      <c r="B1459" s="4">
        <v>1522559</v>
      </c>
      <c r="C1459" s="4">
        <v>1526449</v>
      </c>
      <c r="E1459" s="4" t="s">
        <v>55</v>
      </c>
      <c r="F1459" s="4" t="s">
        <v>4107</v>
      </c>
      <c r="I1459" s="4" t="s">
        <v>52</v>
      </c>
      <c r="L1459" s="4" t="s">
        <v>4108</v>
      </c>
      <c r="M1459" s="4" t="s">
        <v>4107</v>
      </c>
      <c r="N1459" s="4">
        <v>1296</v>
      </c>
      <c r="O1459" s="4" t="s">
        <v>4109</v>
      </c>
    </row>
    <row r="1460" spans="1:15" ht="15.75" customHeight="1">
      <c r="A1460" s="4" t="s">
        <v>49</v>
      </c>
      <c r="B1460" s="4">
        <v>1526655</v>
      </c>
      <c r="C1460" s="4">
        <v>1526987</v>
      </c>
      <c r="E1460" s="4" t="s">
        <v>55</v>
      </c>
      <c r="F1460" s="4" t="s">
        <v>56</v>
      </c>
      <c r="I1460" s="4" t="s">
        <v>52</v>
      </c>
      <c r="L1460" s="4" t="s">
        <v>4110</v>
      </c>
      <c r="M1460" s="4" t="s">
        <v>56</v>
      </c>
      <c r="N1460" s="4">
        <v>110</v>
      </c>
      <c r="O1460" s="4" t="s">
        <v>4111</v>
      </c>
    </row>
    <row r="1461" spans="1:15" ht="15.75" customHeight="1">
      <c r="A1461" s="4" t="s">
        <v>49</v>
      </c>
      <c r="B1461" s="4">
        <v>1527021</v>
      </c>
      <c r="C1461" s="4">
        <v>1527866</v>
      </c>
      <c r="E1461" s="4" t="s">
        <v>55</v>
      </c>
      <c r="F1461" s="4" t="s">
        <v>4045</v>
      </c>
      <c r="I1461" s="4" t="s">
        <v>52</v>
      </c>
      <c r="L1461" s="4" t="s">
        <v>4112</v>
      </c>
      <c r="M1461" s="4" t="s">
        <v>4045</v>
      </c>
      <c r="N1461" s="4">
        <v>281</v>
      </c>
      <c r="O1461" s="4" t="s">
        <v>4113</v>
      </c>
    </row>
    <row r="1462" spans="1:15" ht="15.75" customHeight="1">
      <c r="A1462" s="4" t="s">
        <v>49</v>
      </c>
      <c r="B1462" s="4">
        <v>1527869</v>
      </c>
      <c r="C1462" s="4">
        <v>1528732</v>
      </c>
      <c r="E1462" s="4" t="s">
        <v>55</v>
      </c>
      <c r="F1462" s="4" t="s">
        <v>1381</v>
      </c>
      <c r="I1462" s="4" t="s">
        <v>52</v>
      </c>
      <c r="L1462" s="4" t="s">
        <v>4114</v>
      </c>
      <c r="M1462" s="4" t="s">
        <v>1381</v>
      </c>
      <c r="N1462" s="4">
        <v>287</v>
      </c>
      <c r="O1462" s="4" t="s">
        <v>4115</v>
      </c>
    </row>
    <row r="1463" spans="1:15" ht="15.75" customHeight="1">
      <c r="A1463" s="4" t="s">
        <v>49</v>
      </c>
      <c r="B1463" s="4">
        <v>1529127</v>
      </c>
      <c r="C1463" s="4">
        <v>1529621</v>
      </c>
      <c r="E1463" s="4" t="s">
        <v>55</v>
      </c>
      <c r="F1463" s="4" t="s">
        <v>2415</v>
      </c>
      <c r="I1463" s="4" t="s">
        <v>52</v>
      </c>
      <c r="L1463" s="4" t="s">
        <v>4116</v>
      </c>
      <c r="M1463" s="4" t="s">
        <v>2415</v>
      </c>
      <c r="N1463" s="4">
        <v>164</v>
      </c>
      <c r="O1463" s="4" t="s">
        <v>4117</v>
      </c>
    </row>
    <row r="1464" spans="1:15" ht="15.75" customHeight="1">
      <c r="A1464" s="4" t="s">
        <v>49</v>
      </c>
      <c r="B1464" s="4">
        <v>1529634</v>
      </c>
      <c r="C1464" s="4">
        <v>1530071</v>
      </c>
      <c r="E1464" s="4" t="s">
        <v>55</v>
      </c>
      <c r="F1464" s="4" t="s">
        <v>4118</v>
      </c>
      <c r="I1464" s="4" t="s">
        <v>52</v>
      </c>
      <c r="L1464" s="4" t="s">
        <v>4119</v>
      </c>
      <c r="M1464" s="4" t="s">
        <v>4118</v>
      </c>
      <c r="N1464" s="4">
        <v>145</v>
      </c>
      <c r="O1464" s="4" t="s">
        <v>4120</v>
      </c>
    </row>
    <row r="1465" spans="1:15" ht="15.75" customHeight="1">
      <c r="A1465" s="4" t="s">
        <v>49</v>
      </c>
      <c r="B1465" s="4">
        <v>1530355</v>
      </c>
      <c r="C1465" s="4">
        <v>1532889</v>
      </c>
      <c r="E1465" s="4" t="s">
        <v>50</v>
      </c>
      <c r="F1465" s="4" t="s">
        <v>3294</v>
      </c>
      <c r="I1465" s="4" t="s">
        <v>52</v>
      </c>
      <c r="L1465" s="4" t="s">
        <v>4121</v>
      </c>
      <c r="M1465" s="4" t="s">
        <v>3294</v>
      </c>
      <c r="N1465" s="4">
        <v>844</v>
      </c>
      <c r="O1465" s="4" t="s">
        <v>4122</v>
      </c>
    </row>
    <row r="1466" spans="1:15" ht="15.75" customHeight="1">
      <c r="A1466" s="4" t="s">
        <v>49</v>
      </c>
      <c r="B1466" s="4">
        <v>1532974</v>
      </c>
      <c r="C1466" s="4">
        <v>1533828</v>
      </c>
      <c r="E1466" s="4" t="s">
        <v>55</v>
      </c>
      <c r="F1466" s="4" t="s">
        <v>4123</v>
      </c>
      <c r="I1466" s="4" t="s">
        <v>52</v>
      </c>
      <c r="L1466" s="4" t="s">
        <v>4124</v>
      </c>
      <c r="M1466" s="4" t="s">
        <v>4123</v>
      </c>
      <c r="N1466" s="4">
        <v>284</v>
      </c>
      <c r="O1466" s="4" t="s">
        <v>4125</v>
      </c>
    </row>
    <row r="1467" spans="1:15" ht="15.75" customHeight="1">
      <c r="A1467" s="4" t="s">
        <v>49</v>
      </c>
      <c r="B1467" s="4">
        <v>1534303</v>
      </c>
      <c r="C1467" s="4">
        <v>1535757</v>
      </c>
      <c r="E1467" s="4" t="s">
        <v>55</v>
      </c>
      <c r="F1467" s="4" t="s">
        <v>166</v>
      </c>
      <c r="I1467" s="4" t="s">
        <v>52</v>
      </c>
      <c r="L1467" s="4" t="s">
        <v>4126</v>
      </c>
      <c r="M1467" s="4" t="s">
        <v>166</v>
      </c>
      <c r="N1467" s="4">
        <v>484</v>
      </c>
      <c r="O1467" s="4" t="s">
        <v>4127</v>
      </c>
    </row>
    <row r="1468" spans="1:15" ht="15.75" customHeight="1">
      <c r="A1468" s="4" t="s">
        <v>49</v>
      </c>
      <c r="B1468" s="4">
        <v>1535871</v>
      </c>
      <c r="C1468" s="4">
        <v>1537352</v>
      </c>
      <c r="E1468" s="4" t="s">
        <v>55</v>
      </c>
      <c r="F1468" s="4" t="s">
        <v>166</v>
      </c>
      <c r="I1468" s="4" t="s">
        <v>52</v>
      </c>
      <c r="L1468" s="4" t="s">
        <v>4128</v>
      </c>
      <c r="M1468" s="4" t="s">
        <v>166</v>
      </c>
      <c r="N1468" s="4">
        <v>493</v>
      </c>
      <c r="O1468" s="4" t="s">
        <v>4129</v>
      </c>
    </row>
    <row r="1469" spans="1:15" ht="15.75" customHeight="1">
      <c r="A1469" s="4" t="s">
        <v>49</v>
      </c>
      <c r="B1469" s="4">
        <v>1537385</v>
      </c>
      <c r="C1469" s="4">
        <v>1540363</v>
      </c>
      <c r="E1469" s="4" t="s">
        <v>55</v>
      </c>
      <c r="F1469" s="4" t="s">
        <v>4130</v>
      </c>
      <c r="G1469" s="4" t="s">
        <v>4131</v>
      </c>
      <c r="I1469" s="4" t="s">
        <v>52</v>
      </c>
      <c r="L1469" s="4" t="s">
        <v>4132</v>
      </c>
      <c r="M1469" s="4" t="s">
        <v>4130</v>
      </c>
      <c r="N1469" s="4">
        <v>992</v>
      </c>
      <c r="O1469" s="4" t="s">
        <v>4133</v>
      </c>
    </row>
    <row r="1470" spans="1:15" ht="15.75" customHeight="1">
      <c r="A1470" s="4" t="s">
        <v>49</v>
      </c>
      <c r="B1470" s="4">
        <v>1540676</v>
      </c>
      <c r="C1470" s="4">
        <v>1541545</v>
      </c>
      <c r="E1470" s="4" t="s">
        <v>55</v>
      </c>
      <c r="F1470" s="4" t="s">
        <v>690</v>
      </c>
      <c r="I1470" s="4" t="s">
        <v>52</v>
      </c>
      <c r="L1470" s="4" t="s">
        <v>4134</v>
      </c>
      <c r="M1470" s="4" t="s">
        <v>690</v>
      </c>
      <c r="N1470" s="4">
        <v>289</v>
      </c>
      <c r="O1470" s="4" t="s">
        <v>4135</v>
      </c>
    </row>
    <row r="1471" spans="1:15" ht="15.75" customHeight="1">
      <c r="A1471" s="4" t="s">
        <v>49</v>
      </c>
      <c r="B1471" s="4">
        <v>1541662</v>
      </c>
      <c r="C1471" s="4">
        <v>1542999</v>
      </c>
      <c r="E1471" s="4" t="s">
        <v>50</v>
      </c>
      <c r="F1471" s="4" t="s">
        <v>4136</v>
      </c>
      <c r="I1471" s="4" t="s">
        <v>52</v>
      </c>
      <c r="L1471" s="4" t="s">
        <v>4137</v>
      </c>
      <c r="M1471" s="4" t="s">
        <v>4136</v>
      </c>
      <c r="N1471" s="4">
        <v>445</v>
      </c>
      <c r="O1471" s="4" t="s">
        <v>4138</v>
      </c>
    </row>
    <row r="1472" spans="1:15" ht="15.75" customHeight="1">
      <c r="A1472" s="4" t="s">
        <v>49</v>
      </c>
      <c r="B1472" s="4">
        <v>1543000</v>
      </c>
      <c r="C1472" s="4">
        <v>1544253</v>
      </c>
      <c r="E1472" s="4" t="s">
        <v>50</v>
      </c>
      <c r="F1472" s="4" t="s">
        <v>255</v>
      </c>
      <c r="I1472" s="4" t="s">
        <v>52</v>
      </c>
      <c r="L1472" s="4" t="s">
        <v>4139</v>
      </c>
      <c r="M1472" s="4" t="s">
        <v>255</v>
      </c>
      <c r="N1472" s="4">
        <v>417</v>
      </c>
      <c r="O1472" s="4" t="s">
        <v>4140</v>
      </c>
    </row>
    <row r="1473" spans="1:15" ht="15.75" customHeight="1">
      <c r="A1473" s="4" t="s">
        <v>49</v>
      </c>
      <c r="B1473" s="4">
        <v>1544257</v>
      </c>
      <c r="C1473" s="4">
        <v>1545384</v>
      </c>
      <c r="E1473" s="4" t="s">
        <v>50</v>
      </c>
      <c r="F1473" s="4" t="s">
        <v>4141</v>
      </c>
      <c r="G1473" s="4" t="s">
        <v>4142</v>
      </c>
      <c r="I1473" s="4" t="s">
        <v>52</v>
      </c>
      <c r="L1473" s="4" t="s">
        <v>4143</v>
      </c>
      <c r="M1473" s="4" t="s">
        <v>4141</v>
      </c>
      <c r="N1473" s="4">
        <v>375</v>
      </c>
      <c r="O1473" s="4" t="s">
        <v>4144</v>
      </c>
    </row>
    <row r="1474" spans="1:15" ht="15.75" customHeight="1">
      <c r="A1474" s="4" t="s">
        <v>49</v>
      </c>
      <c r="B1474" s="4">
        <v>1545473</v>
      </c>
      <c r="C1474" s="4">
        <v>1546300</v>
      </c>
      <c r="E1474" s="4" t="s">
        <v>55</v>
      </c>
      <c r="F1474" s="4" t="s">
        <v>4145</v>
      </c>
      <c r="I1474" s="4" t="s">
        <v>52</v>
      </c>
      <c r="L1474" s="4" t="s">
        <v>4146</v>
      </c>
      <c r="M1474" s="4" t="s">
        <v>4145</v>
      </c>
      <c r="N1474" s="4">
        <v>275</v>
      </c>
      <c r="O1474" s="4" t="s">
        <v>4147</v>
      </c>
    </row>
    <row r="1475" spans="1:15" ht="15.75" customHeight="1">
      <c r="A1475" s="4" t="s">
        <v>49</v>
      </c>
      <c r="B1475" s="4">
        <v>1546297</v>
      </c>
      <c r="C1475" s="4">
        <v>1547997</v>
      </c>
      <c r="E1475" s="4" t="s">
        <v>55</v>
      </c>
      <c r="F1475" s="4" t="s">
        <v>73</v>
      </c>
      <c r="I1475" s="4" t="s">
        <v>52</v>
      </c>
      <c r="L1475" s="4" t="s">
        <v>4148</v>
      </c>
      <c r="M1475" s="4" t="s">
        <v>73</v>
      </c>
      <c r="N1475" s="4">
        <v>566</v>
      </c>
      <c r="O1475" s="4" t="s">
        <v>4149</v>
      </c>
    </row>
    <row r="1476" spans="1:15" ht="15.75" customHeight="1">
      <c r="A1476" s="4" t="s">
        <v>49</v>
      </c>
      <c r="B1476" s="4">
        <v>1547999</v>
      </c>
      <c r="C1476" s="4">
        <v>1548559</v>
      </c>
      <c r="E1476" s="4" t="s">
        <v>55</v>
      </c>
      <c r="F1476" s="4" t="s">
        <v>4150</v>
      </c>
      <c r="I1476" s="4" t="s">
        <v>52</v>
      </c>
      <c r="L1476" s="4" t="s">
        <v>4151</v>
      </c>
      <c r="M1476" s="4" t="s">
        <v>4150</v>
      </c>
      <c r="N1476" s="4">
        <v>186</v>
      </c>
      <c r="O1476" s="4" t="s">
        <v>4152</v>
      </c>
    </row>
    <row r="1477" spans="1:15" ht="15.75" customHeight="1">
      <c r="A1477" s="4" t="s">
        <v>49</v>
      </c>
      <c r="B1477" s="4">
        <v>1548651</v>
      </c>
      <c r="C1477" s="4">
        <v>1549493</v>
      </c>
      <c r="E1477" s="4" t="s">
        <v>55</v>
      </c>
      <c r="F1477" s="4" t="s">
        <v>345</v>
      </c>
      <c r="I1477" s="4" t="s">
        <v>346</v>
      </c>
      <c r="O1477" s="4" t="s">
        <v>4153</v>
      </c>
    </row>
    <row r="1478" spans="1:15" ht="15.75" customHeight="1">
      <c r="A1478" s="4" t="s">
        <v>49</v>
      </c>
      <c r="B1478" s="4">
        <v>1549767</v>
      </c>
      <c r="C1478" s="4">
        <v>1550654</v>
      </c>
      <c r="E1478" s="4" t="s">
        <v>55</v>
      </c>
      <c r="F1478" s="4" t="s">
        <v>690</v>
      </c>
      <c r="I1478" s="4" t="s">
        <v>52</v>
      </c>
      <c r="L1478" s="4" t="s">
        <v>4154</v>
      </c>
      <c r="M1478" s="4" t="s">
        <v>690</v>
      </c>
      <c r="N1478" s="4">
        <v>295</v>
      </c>
      <c r="O1478" s="4" t="s">
        <v>4155</v>
      </c>
    </row>
    <row r="1479" spans="1:15" ht="15.75" customHeight="1">
      <c r="A1479" s="4" t="s">
        <v>49</v>
      </c>
      <c r="B1479" s="4">
        <v>1550808</v>
      </c>
      <c r="C1479" s="4">
        <v>1552085</v>
      </c>
      <c r="E1479" s="4" t="s">
        <v>50</v>
      </c>
      <c r="F1479" s="4" t="s">
        <v>4059</v>
      </c>
      <c r="I1479" s="4" t="s">
        <v>52</v>
      </c>
      <c r="L1479" s="4" t="s">
        <v>4156</v>
      </c>
      <c r="M1479" s="4" t="s">
        <v>4059</v>
      </c>
      <c r="N1479" s="4">
        <v>425</v>
      </c>
      <c r="O1479" s="4" t="s">
        <v>4157</v>
      </c>
    </row>
    <row r="1480" spans="1:15" ht="15.75" customHeight="1">
      <c r="A1480" s="4" t="s">
        <v>49</v>
      </c>
      <c r="B1480" s="4">
        <v>1552087</v>
      </c>
      <c r="C1480" s="4">
        <v>1553571</v>
      </c>
      <c r="E1480" s="4" t="s">
        <v>50</v>
      </c>
      <c r="F1480" s="4" t="s">
        <v>4158</v>
      </c>
      <c r="I1480" s="4" t="s">
        <v>52</v>
      </c>
      <c r="L1480" s="4" t="s">
        <v>4159</v>
      </c>
      <c r="M1480" s="4" t="s">
        <v>4158</v>
      </c>
      <c r="N1480" s="4">
        <v>494</v>
      </c>
      <c r="O1480" s="4" t="s">
        <v>4160</v>
      </c>
    </row>
    <row r="1481" spans="1:15" ht="15.75" customHeight="1">
      <c r="A1481" s="4" t="s">
        <v>49</v>
      </c>
      <c r="B1481" s="4">
        <v>1553737</v>
      </c>
      <c r="C1481" s="4">
        <v>1554630</v>
      </c>
      <c r="E1481" s="4" t="s">
        <v>55</v>
      </c>
      <c r="F1481" s="4" t="s">
        <v>4161</v>
      </c>
      <c r="I1481" s="4" t="s">
        <v>52</v>
      </c>
      <c r="L1481" s="4" t="s">
        <v>4162</v>
      </c>
      <c r="M1481" s="4" t="s">
        <v>4161</v>
      </c>
      <c r="N1481" s="4">
        <v>297</v>
      </c>
      <c r="O1481" s="4" t="s">
        <v>4163</v>
      </c>
    </row>
    <row r="1482" spans="1:15" ht="15.75" customHeight="1">
      <c r="A1482" s="4" t="s">
        <v>49</v>
      </c>
      <c r="B1482" s="4">
        <v>1554819</v>
      </c>
      <c r="C1482" s="4">
        <v>1555667</v>
      </c>
      <c r="E1482" s="4" t="s">
        <v>55</v>
      </c>
      <c r="F1482" s="4" t="s">
        <v>4164</v>
      </c>
      <c r="I1482" s="4" t="s">
        <v>52</v>
      </c>
      <c r="L1482" s="4" t="s">
        <v>4165</v>
      </c>
      <c r="M1482" s="4" t="s">
        <v>4164</v>
      </c>
      <c r="N1482" s="4">
        <v>282</v>
      </c>
      <c r="O1482" s="4" t="s">
        <v>4166</v>
      </c>
    </row>
    <row r="1483" spans="1:15" ht="15.75" customHeight="1">
      <c r="A1483" s="4" t="s">
        <v>49</v>
      </c>
      <c r="B1483" s="4">
        <v>1555686</v>
      </c>
      <c r="C1483" s="4">
        <v>1556519</v>
      </c>
      <c r="E1483" s="4" t="s">
        <v>55</v>
      </c>
      <c r="F1483" s="4" t="s">
        <v>4167</v>
      </c>
      <c r="I1483" s="4" t="s">
        <v>52</v>
      </c>
      <c r="L1483" s="4" t="s">
        <v>4168</v>
      </c>
      <c r="M1483" s="4" t="s">
        <v>4167</v>
      </c>
      <c r="N1483" s="4">
        <v>277</v>
      </c>
      <c r="O1483" s="4" t="s">
        <v>4169</v>
      </c>
    </row>
    <row r="1484" spans="1:15" ht="15.75" customHeight="1">
      <c r="A1484" s="4" t="s">
        <v>49</v>
      </c>
      <c r="B1484" s="4">
        <v>1556533</v>
      </c>
      <c r="C1484" s="4">
        <v>1557027</v>
      </c>
      <c r="E1484" s="4" t="s">
        <v>55</v>
      </c>
      <c r="F1484" s="4" t="s">
        <v>4170</v>
      </c>
      <c r="I1484" s="4" t="s">
        <v>52</v>
      </c>
      <c r="L1484" s="4" t="s">
        <v>4171</v>
      </c>
      <c r="M1484" s="4" t="s">
        <v>4170</v>
      </c>
      <c r="N1484" s="4">
        <v>164</v>
      </c>
      <c r="O1484" s="4" t="s">
        <v>4172</v>
      </c>
    </row>
    <row r="1485" spans="1:15" ht="15.75" customHeight="1">
      <c r="A1485" s="4" t="s">
        <v>49</v>
      </c>
      <c r="B1485" s="4">
        <v>1557027</v>
      </c>
      <c r="C1485" s="4">
        <v>1557443</v>
      </c>
      <c r="E1485" s="4" t="s">
        <v>55</v>
      </c>
      <c r="F1485" s="4" t="s">
        <v>4039</v>
      </c>
      <c r="I1485" s="4" t="s">
        <v>52</v>
      </c>
      <c r="L1485" s="4" t="s">
        <v>4173</v>
      </c>
      <c r="M1485" s="4" t="s">
        <v>4039</v>
      </c>
      <c r="N1485" s="4">
        <v>138</v>
      </c>
      <c r="O1485" s="4" t="s">
        <v>4174</v>
      </c>
    </row>
    <row r="1486" spans="1:15" ht="15.75" customHeight="1">
      <c r="A1486" s="4" t="s">
        <v>49</v>
      </c>
      <c r="B1486" s="4">
        <v>1557474</v>
      </c>
      <c r="C1486" s="4">
        <v>1558274</v>
      </c>
      <c r="E1486" s="4" t="s">
        <v>55</v>
      </c>
      <c r="F1486" s="4" t="s">
        <v>1108</v>
      </c>
      <c r="I1486" s="4" t="s">
        <v>52</v>
      </c>
      <c r="L1486" s="4" t="s">
        <v>4175</v>
      </c>
      <c r="M1486" s="4" t="s">
        <v>1108</v>
      </c>
      <c r="N1486" s="4">
        <v>266</v>
      </c>
      <c r="O1486" s="4" t="s">
        <v>4176</v>
      </c>
    </row>
    <row r="1487" spans="1:15" ht="15.75" customHeight="1">
      <c r="A1487" s="4" t="s">
        <v>49</v>
      </c>
      <c r="B1487" s="4">
        <v>1558411</v>
      </c>
      <c r="C1487" s="4">
        <v>1559367</v>
      </c>
      <c r="E1487" s="4" t="s">
        <v>50</v>
      </c>
      <c r="F1487" s="4" t="s">
        <v>4177</v>
      </c>
      <c r="I1487" s="4" t="s">
        <v>52</v>
      </c>
      <c r="L1487" s="4" t="s">
        <v>4178</v>
      </c>
      <c r="M1487" s="4" t="s">
        <v>4177</v>
      </c>
      <c r="N1487" s="4">
        <v>318</v>
      </c>
      <c r="O1487" s="4" t="s">
        <v>4179</v>
      </c>
    </row>
    <row r="1488" spans="1:15" ht="15.75" customHeight="1">
      <c r="A1488" s="4" t="s">
        <v>49</v>
      </c>
      <c r="B1488" s="4">
        <v>1559498</v>
      </c>
      <c r="C1488" s="4">
        <v>1560736</v>
      </c>
      <c r="E1488" s="4" t="s">
        <v>50</v>
      </c>
      <c r="F1488" s="4" t="s">
        <v>4180</v>
      </c>
      <c r="I1488" s="4" t="s">
        <v>52</v>
      </c>
      <c r="L1488" s="4" t="s">
        <v>4181</v>
      </c>
      <c r="M1488" s="4" t="s">
        <v>4180</v>
      </c>
      <c r="N1488" s="4">
        <v>412</v>
      </c>
      <c r="O1488" s="4" t="s">
        <v>4182</v>
      </c>
    </row>
    <row r="1489" spans="1:15" ht="15.75" customHeight="1">
      <c r="A1489" s="4" t="s">
        <v>49</v>
      </c>
      <c r="B1489" s="4">
        <v>1560904</v>
      </c>
      <c r="C1489" s="4">
        <v>1561644</v>
      </c>
      <c r="E1489" s="4" t="s">
        <v>55</v>
      </c>
      <c r="F1489" s="4" t="s">
        <v>2401</v>
      </c>
      <c r="I1489" s="4" t="s">
        <v>52</v>
      </c>
      <c r="L1489" s="4" t="s">
        <v>4183</v>
      </c>
      <c r="M1489" s="4" t="s">
        <v>2401</v>
      </c>
      <c r="N1489" s="4">
        <v>246</v>
      </c>
      <c r="O1489" s="4" t="s">
        <v>4184</v>
      </c>
    </row>
    <row r="1490" spans="1:15" ht="15.75" customHeight="1">
      <c r="A1490" s="4" t="s">
        <v>49</v>
      </c>
      <c r="B1490" s="4">
        <v>1561741</v>
      </c>
      <c r="C1490" s="4">
        <v>1562304</v>
      </c>
      <c r="E1490" s="4" t="s">
        <v>55</v>
      </c>
      <c r="F1490" s="4" t="s">
        <v>4095</v>
      </c>
      <c r="G1490" s="4" t="s">
        <v>4096</v>
      </c>
      <c r="I1490" s="4" t="s">
        <v>52</v>
      </c>
      <c r="L1490" s="4" t="s">
        <v>4185</v>
      </c>
      <c r="M1490" s="4" t="s">
        <v>4095</v>
      </c>
      <c r="N1490" s="4">
        <v>187</v>
      </c>
      <c r="O1490" s="4" t="s">
        <v>4186</v>
      </c>
    </row>
    <row r="1491" spans="1:15" ht="15.75" customHeight="1">
      <c r="A1491" s="4" t="s">
        <v>49</v>
      </c>
      <c r="B1491" s="4">
        <v>1562301</v>
      </c>
      <c r="C1491" s="4">
        <v>1562963</v>
      </c>
      <c r="E1491" s="4" t="s">
        <v>55</v>
      </c>
      <c r="F1491" s="4" t="s">
        <v>4099</v>
      </c>
      <c r="G1491" s="4" t="s">
        <v>4100</v>
      </c>
      <c r="I1491" s="4" t="s">
        <v>52</v>
      </c>
      <c r="L1491" s="4" t="s">
        <v>4187</v>
      </c>
      <c r="M1491" s="4" t="s">
        <v>4099</v>
      </c>
      <c r="N1491" s="4">
        <v>220</v>
      </c>
      <c r="O1491" s="4" t="s">
        <v>4188</v>
      </c>
    </row>
    <row r="1492" spans="1:15" ht="15.75" customHeight="1">
      <c r="A1492" s="4" t="s">
        <v>49</v>
      </c>
      <c r="B1492" s="4">
        <v>1562976</v>
      </c>
      <c r="C1492" s="4">
        <v>1563986</v>
      </c>
      <c r="E1492" s="4" t="s">
        <v>55</v>
      </c>
      <c r="F1492" s="4" t="s">
        <v>3991</v>
      </c>
      <c r="I1492" s="4" t="s">
        <v>52</v>
      </c>
      <c r="L1492" s="4" t="s">
        <v>4189</v>
      </c>
      <c r="M1492" s="4" t="s">
        <v>3991</v>
      </c>
      <c r="N1492" s="4">
        <v>336</v>
      </c>
      <c r="O1492" s="4" t="s">
        <v>4190</v>
      </c>
    </row>
    <row r="1493" spans="1:15" ht="15.75" customHeight="1">
      <c r="A1493" s="4" t="s">
        <v>49</v>
      </c>
      <c r="B1493" s="4">
        <v>1564007</v>
      </c>
      <c r="C1493" s="4">
        <v>1564651</v>
      </c>
      <c r="E1493" s="4" t="s">
        <v>55</v>
      </c>
      <c r="F1493" s="4" t="s">
        <v>3995</v>
      </c>
      <c r="G1493" s="4" t="s">
        <v>3996</v>
      </c>
      <c r="I1493" s="4" t="s">
        <v>52</v>
      </c>
      <c r="L1493" s="4" t="s">
        <v>4191</v>
      </c>
      <c r="M1493" s="4" t="s">
        <v>3995</v>
      </c>
      <c r="N1493" s="4">
        <v>214</v>
      </c>
      <c r="O1493" s="4" t="s">
        <v>4192</v>
      </c>
    </row>
    <row r="1494" spans="1:15" ht="15.75" customHeight="1">
      <c r="A1494" s="4" t="s">
        <v>49</v>
      </c>
      <c r="B1494" s="4">
        <v>1564666</v>
      </c>
      <c r="C1494" s="4">
        <v>1565841</v>
      </c>
      <c r="E1494" s="4" t="s">
        <v>55</v>
      </c>
      <c r="F1494" s="4" t="s">
        <v>4089</v>
      </c>
      <c r="I1494" s="4" t="s">
        <v>52</v>
      </c>
      <c r="L1494" s="4" t="s">
        <v>4193</v>
      </c>
      <c r="M1494" s="4" t="s">
        <v>4089</v>
      </c>
      <c r="N1494" s="4">
        <v>391</v>
      </c>
      <c r="O1494" s="4" t="s">
        <v>4194</v>
      </c>
    </row>
    <row r="1495" spans="1:15" ht="15.75" customHeight="1">
      <c r="A1495" s="4" t="s">
        <v>49</v>
      </c>
      <c r="B1495" s="4">
        <v>1565860</v>
      </c>
      <c r="C1495" s="4">
        <v>1566039</v>
      </c>
      <c r="E1495" s="4" t="s">
        <v>55</v>
      </c>
      <c r="F1495" s="4" t="s">
        <v>345</v>
      </c>
      <c r="I1495" s="4" t="s">
        <v>346</v>
      </c>
      <c r="O1495" s="4" t="s">
        <v>4195</v>
      </c>
    </row>
    <row r="1496" spans="1:15" ht="15.75" customHeight="1">
      <c r="A1496" s="4" t="s">
        <v>49</v>
      </c>
      <c r="B1496" s="4">
        <v>1566121</v>
      </c>
      <c r="C1496" s="4">
        <v>1566372</v>
      </c>
      <c r="E1496" s="4" t="s">
        <v>50</v>
      </c>
      <c r="F1496" s="4" t="s">
        <v>348</v>
      </c>
      <c r="I1496" s="4" t="s">
        <v>52</v>
      </c>
      <c r="L1496" s="4" t="s">
        <v>767</v>
      </c>
      <c r="M1496" s="4" t="s">
        <v>348</v>
      </c>
      <c r="N1496" s="4">
        <v>83</v>
      </c>
      <c r="O1496" s="4" t="s">
        <v>4196</v>
      </c>
    </row>
    <row r="1497" spans="1:15" ht="15.75" customHeight="1">
      <c r="A1497" s="4" t="s">
        <v>49</v>
      </c>
      <c r="B1497" s="4">
        <v>1566426</v>
      </c>
      <c r="C1497" s="4">
        <v>1567268</v>
      </c>
      <c r="E1497" s="4" t="s">
        <v>50</v>
      </c>
      <c r="F1497" s="4" t="s">
        <v>348</v>
      </c>
      <c r="I1497" s="4" t="s">
        <v>52</v>
      </c>
      <c r="L1497" s="4" t="s">
        <v>765</v>
      </c>
      <c r="M1497" s="4" t="s">
        <v>348</v>
      </c>
      <c r="N1497" s="4">
        <v>280</v>
      </c>
      <c r="O1497" s="4" t="s">
        <v>4197</v>
      </c>
    </row>
    <row r="1498" spans="1:15" ht="15.75" customHeight="1">
      <c r="A1498" s="4" t="s">
        <v>49</v>
      </c>
      <c r="B1498" s="4">
        <v>1567389</v>
      </c>
      <c r="C1498" s="4">
        <v>1567541</v>
      </c>
      <c r="E1498" s="4" t="s">
        <v>55</v>
      </c>
      <c r="F1498" s="4" t="s">
        <v>345</v>
      </c>
      <c r="I1498" s="4" t="s">
        <v>346</v>
      </c>
      <c r="O1498" s="4" t="s">
        <v>4198</v>
      </c>
    </row>
    <row r="1499" spans="1:15" ht="15.75" customHeight="1">
      <c r="A1499" s="4" t="s">
        <v>49</v>
      </c>
      <c r="B1499" s="4">
        <v>1567951</v>
      </c>
      <c r="C1499" s="4">
        <v>1569246</v>
      </c>
      <c r="E1499" s="4" t="s">
        <v>55</v>
      </c>
      <c r="F1499" s="4" t="s">
        <v>4199</v>
      </c>
      <c r="G1499" s="4" t="s">
        <v>4200</v>
      </c>
      <c r="I1499" s="4" t="s">
        <v>52</v>
      </c>
      <c r="L1499" s="4" t="s">
        <v>4201</v>
      </c>
      <c r="M1499" s="4" t="s">
        <v>4199</v>
      </c>
      <c r="N1499" s="4">
        <v>431</v>
      </c>
      <c r="O1499" s="4" t="s">
        <v>4202</v>
      </c>
    </row>
    <row r="1500" spans="1:15" ht="15.75" customHeight="1">
      <c r="A1500" s="4" t="s">
        <v>49</v>
      </c>
      <c r="B1500" s="4">
        <v>1569288</v>
      </c>
      <c r="C1500" s="4">
        <v>1572026</v>
      </c>
      <c r="E1500" s="4" t="s">
        <v>55</v>
      </c>
      <c r="F1500" s="4" t="s">
        <v>4203</v>
      </c>
      <c r="I1500" s="4" t="s">
        <v>52</v>
      </c>
      <c r="L1500" s="4" t="s">
        <v>4204</v>
      </c>
      <c r="M1500" s="4" t="s">
        <v>4203</v>
      </c>
      <c r="N1500" s="4">
        <v>912</v>
      </c>
      <c r="O1500" s="4" t="s">
        <v>4205</v>
      </c>
    </row>
    <row r="1501" spans="1:15" ht="15.75" customHeight="1">
      <c r="A1501" s="4" t="s">
        <v>49</v>
      </c>
      <c r="B1501" s="4">
        <v>1572321</v>
      </c>
      <c r="C1501" s="4">
        <v>1572728</v>
      </c>
      <c r="E1501" s="4" t="s">
        <v>50</v>
      </c>
      <c r="F1501" s="4" t="s">
        <v>4039</v>
      </c>
      <c r="I1501" s="4" t="s">
        <v>52</v>
      </c>
      <c r="L1501" s="4" t="s">
        <v>4206</v>
      </c>
      <c r="M1501" s="4" t="s">
        <v>4039</v>
      </c>
      <c r="N1501" s="4">
        <v>135</v>
      </c>
      <c r="O1501" s="4" t="s">
        <v>4207</v>
      </c>
    </row>
    <row r="1502" spans="1:15" ht="15.75" customHeight="1">
      <c r="A1502" s="4" t="s">
        <v>49</v>
      </c>
      <c r="B1502" s="4">
        <v>1572756</v>
      </c>
      <c r="C1502" s="4">
        <v>1573265</v>
      </c>
      <c r="E1502" s="4" t="s">
        <v>50</v>
      </c>
      <c r="F1502" s="4" t="s">
        <v>2415</v>
      </c>
      <c r="I1502" s="4" t="s">
        <v>52</v>
      </c>
      <c r="L1502" s="4" t="s">
        <v>4208</v>
      </c>
      <c r="M1502" s="4" t="s">
        <v>2415</v>
      </c>
      <c r="N1502" s="4">
        <v>169</v>
      </c>
      <c r="O1502" s="4" t="s">
        <v>4209</v>
      </c>
    </row>
    <row r="1503" spans="1:15" ht="15.75" customHeight="1">
      <c r="A1503" s="4" t="s">
        <v>49</v>
      </c>
      <c r="B1503" s="4">
        <v>1573291</v>
      </c>
      <c r="C1503" s="4">
        <v>1574058</v>
      </c>
      <c r="E1503" s="4" t="s">
        <v>50</v>
      </c>
      <c r="F1503" s="4" t="s">
        <v>1381</v>
      </c>
      <c r="I1503" s="4" t="s">
        <v>52</v>
      </c>
      <c r="L1503" s="4" t="s">
        <v>4210</v>
      </c>
      <c r="M1503" s="4" t="s">
        <v>1381</v>
      </c>
      <c r="N1503" s="4">
        <v>255</v>
      </c>
      <c r="O1503" s="4" t="s">
        <v>4211</v>
      </c>
    </row>
    <row r="1504" spans="1:15" ht="15.75" customHeight="1">
      <c r="A1504" s="4" t="s">
        <v>49</v>
      </c>
      <c r="B1504" s="4">
        <v>1574062</v>
      </c>
      <c r="C1504" s="4">
        <v>1574904</v>
      </c>
      <c r="E1504" s="4" t="s">
        <v>50</v>
      </c>
      <c r="F1504" s="4" t="s">
        <v>4045</v>
      </c>
      <c r="I1504" s="4" t="s">
        <v>52</v>
      </c>
      <c r="L1504" s="4" t="s">
        <v>4212</v>
      </c>
      <c r="M1504" s="4" t="s">
        <v>4045</v>
      </c>
      <c r="N1504" s="4">
        <v>280</v>
      </c>
      <c r="O1504" s="4" t="s">
        <v>4213</v>
      </c>
    </row>
    <row r="1505" spans="1:15" ht="15.75" customHeight="1">
      <c r="A1505" s="4" t="s">
        <v>49</v>
      </c>
      <c r="B1505" s="4">
        <v>1574915</v>
      </c>
      <c r="C1505" s="4">
        <v>1575712</v>
      </c>
      <c r="E1505" s="4" t="s">
        <v>50</v>
      </c>
      <c r="F1505" s="4" t="s">
        <v>3153</v>
      </c>
      <c r="I1505" s="4" t="s">
        <v>52</v>
      </c>
      <c r="L1505" s="4" t="s">
        <v>4214</v>
      </c>
      <c r="M1505" s="4" t="s">
        <v>3153</v>
      </c>
      <c r="N1505" s="4">
        <v>265</v>
      </c>
      <c r="O1505" s="4" t="s">
        <v>4215</v>
      </c>
    </row>
    <row r="1506" spans="1:15" ht="15.75" customHeight="1">
      <c r="A1506" s="4" t="s">
        <v>49</v>
      </c>
      <c r="B1506" s="4">
        <v>1575857</v>
      </c>
      <c r="C1506" s="4">
        <v>1576597</v>
      </c>
      <c r="E1506" s="4" t="s">
        <v>55</v>
      </c>
      <c r="F1506" s="4" t="s">
        <v>4216</v>
      </c>
      <c r="I1506" s="4" t="s">
        <v>52</v>
      </c>
      <c r="L1506" s="4" t="s">
        <v>4217</v>
      </c>
      <c r="M1506" s="4" t="s">
        <v>4216</v>
      </c>
      <c r="N1506" s="4">
        <v>246</v>
      </c>
      <c r="O1506" s="4" t="s">
        <v>4218</v>
      </c>
    </row>
    <row r="1507" spans="1:15" ht="15.75" customHeight="1">
      <c r="A1507" s="4" t="s">
        <v>49</v>
      </c>
      <c r="B1507" s="4">
        <v>1576640</v>
      </c>
      <c r="C1507" s="4">
        <v>1577137</v>
      </c>
      <c r="E1507" s="4" t="s">
        <v>55</v>
      </c>
      <c r="F1507" s="4" t="s">
        <v>51</v>
      </c>
      <c r="I1507" s="4" t="s">
        <v>52</v>
      </c>
      <c r="L1507" s="4" t="s">
        <v>4219</v>
      </c>
      <c r="M1507" s="4" t="s">
        <v>51</v>
      </c>
      <c r="N1507" s="4">
        <v>165</v>
      </c>
      <c r="O1507" s="4" t="s">
        <v>4220</v>
      </c>
    </row>
    <row r="1508" spans="1:15" ht="15.75" customHeight="1">
      <c r="A1508" s="4" t="s">
        <v>49</v>
      </c>
      <c r="B1508" s="4">
        <v>1577153</v>
      </c>
      <c r="C1508" s="4">
        <v>1578559</v>
      </c>
      <c r="E1508" s="4" t="s">
        <v>55</v>
      </c>
      <c r="F1508" s="4" t="s">
        <v>4221</v>
      </c>
      <c r="G1508" s="4" t="s">
        <v>4222</v>
      </c>
      <c r="I1508" s="4" t="s">
        <v>52</v>
      </c>
      <c r="L1508" s="4" t="s">
        <v>4223</v>
      </c>
      <c r="M1508" s="4" t="s">
        <v>4221</v>
      </c>
      <c r="N1508" s="4">
        <v>468</v>
      </c>
      <c r="O1508" s="4" t="s">
        <v>4224</v>
      </c>
    </row>
    <row r="1509" spans="1:15" ht="15.75" customHeight="1">
      <c r="A1509" s="4" t="s">
        <v>49</v>
      </c>
      <c r="B1509" s="4">
        <v>1578571</v>
      </c>
      <c r="C1509" s="4">
        <v>1579506</v>
      </c>
      <c r="E1509" s="4" t="s">
        <v>55</v>
      </c>
      <c r="F1509" s="4" t="s">
        <v>4225</v>
      </c>
      <c r="I1509" s="4" t="s">
        <v>52</v>
      </c>
      <c r="L1509" s="4" t="s">
        <v>4226</v>
      </c>
      <c r="M1509" s="4" t="s">
        <v>4225</v>
      </c>
      <c r="N1509" s="4">
        <v>311</v>
      </c>
      <c r="O1509" s="4" t="s">
        <v>4227</v>
      </c>
    </row>
    <row r="1510" spans="1:15" ht="15.75" customHeight="1">
      <c r="A1510" s="4" t="s">
        <v>49</v>
      </c>
      <c r="B1510" s="4">
        <v>1579854</v>
      </c>
      <c r="C1510" s="4">
        <v>1580978</v>
      </c>
      <c r="E1510" s="4" t="s">
        <v>55</v>
      </c>
      <c r="F1510" s="4" t="s">
        <v>4228</v>
      </c>
      <c r="I1510" s="4" t="s">
        <v>52</v>
      </c>
      <c r="L1510" s="4" t="s">
        <v>4229</v>
      </c>
      <c r="M1510" s="4" t="s">
        <v>4228</v>
      </c>
      <c r="N1510" s="4">
        <v>374</v>
      </c>
      <c r="O1510" s="4" t="s">
        <v>4230</v>
      </c>
    </row>
    <row r="1511" spans="1:15" ht="15.75" customHeight="1">
      <c r="A1511" s="4" t="s">
        <v>49</v>
      </c>
      <c r="B1511" s="4">
        <v>1580992</v>
      </c>
      <c r="C1511" s="4">
        <v>1581771</v>
      </c>
      <c r="E1511" s="4" t="s">
        <v>55</v>
      </c>
      <c r="F1511" s="4" t="s">
        <v>2667</v>
      </c>
      <c r="I1511" s="4" t="s">
        <v>52</v>
      </c>
      <c r="L1511" s="4" t="s">
        <v>4231</v>
      </c>
      <c r="M1511" s="4" t="s">
        <v>2667</v>
      </c>
      <c r="N1511" s="4">
        <v>259</v>
      </c>
      <c r="O1511" s="4" t="s">
        <v>4232</v>
      </c>
    </row>
    <row r="1512" spans="1:15" ht="15.75" customHeight="1">
      <c r="A1512" s="4" t="s">
        <v>49</v>
      </c>
      <c r="B1512" s="4">
        <v>1581774</v>
      </c>
      <c r="C1512" s="4">
        <v>1582628</v>
      </c>
      <c r="E1512" s="4" t="s">
        <v>55</v>
      </c>
      <c r="F1512" s="4" t="s">
        <v>4233</v>
      </c>
      <c r="I1512" s="4" t="s">
        <v>52</v>
      </c>
      <c r="L1512" s="4" t="s">
        <v>4234</v>
      </c>
      <c r="M1512" s="4" t="s">
        <v>4233</v>
      </c>
      <c r="N1512" s="4">
        <v>284</v>
      </c>
      <c r="O1512" s="4" t="s">
        <v>4235</v>
      </c>
    </row>
    <row r="1513" spans="1:15" ht="15.75" customHeight="1">
      <c r="A1513" s="4" t="s">
        <v>49</v>
      </c>
      <c r="B1513" s="4">
        <v>1582618</v>
      </c>
      <c r="C1513" s="4">
        <v>1584105</v>
      </c>
      <c r="E1513" s="4" t="s">
        <v>55</v>
      </c>
      <c r="F1513" s="4" t="s">
        <v>4236</v>
      </c>
      <c r="I1513" s="4" t="s">
        <v>52</v>
      </c>
      <c r="L1513" s="4" t="s">
        <v>4237</v>
      </c>
      <c r="M1513" s="4" t="s">
        <v>4236</v>
      </c>
      <c r="N1513" s="4">
        <v>495</v>
      </c>
      <c r="O1513" s="4" t="s">
        <v>4238</v>
      </c>
    </row>
    <row r="1514" spans="1:15" ht="15.75" customHeight="1">
      <c r="A1514" s="4" t="s">
        <v>49</v>
      </c>
      <c r="B1514" s="4">
        <v>1584130</v>
      </c>
      <c r="C1514" s="4">
        <v>1584966</v>
      </c>
      <c r="E1514" s="4" t="s">
        <v>55</v>
      </c>
      <c r="F1514" s="4" t="s">
        <v>4045</v>
      </c>
      <c r="I1514" s="4" t="s">
        <v>52</v>
      </c>
      <c r="L1514" s="4" t="s">
        <v>4239</v>
      </c>
      <c r="M1514" s="4" t="s">
        <v>4045</v>
      </c>
      <c r="N1514" s="4">
        <v>278</v>
      </c>
      <c r="O1514" s="4" t="s">
        <v>4240</v>
      </c>
    </row>
    <row r="1515" spans="1:15" ht="15.75" customHeight="1">
      <c r="A1515" s="4" t="s">
        <v>49</v>
      </c>
      <c r="B1515" s="4">
        <v>1584953</v>
      </c>
      <c r="C1515" s="4">
        <v>1585777</v>
      </c>
      <c r="E1515" s="4" t="s">
        <v>55</v>
      </c>
      <c r="F1515" s="4" t="s">
        <v>1381</v>
      </c>
      <c r="I1515" s="4" t="s">
        <v>52</v>
      </c>
      <c r="L1515" s="4" t="s">
        <v>4241</v>
      </c>
      <c r="M1515" s="4" t="s">
        <v>1381</v>
      </c>
      <c r="N1515" s="4">
        <v>274</v>
      </c>
      <c r="O1515" s="4" t="s">
        <v>4242</v>
      </c>
    </row>
    <row r="1516" spans="1:15" ht="15.75" customHeight="1">
      <c r="A1516" s="4" t="s">
        <v>49</v>
      </c>
      <c r="B1516" s="4">
        <v>1586136</v>
      </c>
      <c r="C1516" s="4">
        <v>1587119</v>
      </c>
      <c r="E1516" s="4" t="s">
        <v>50</v>
      </c>
      <c r="F1516" s="4" t="s">
        <v>3085</v>
      </c>
      <c r="I1516" s="4" t="s">
        <v>52</v>
      </c>
      <c r="L1516" s="4" t="s">
        <v>4243</v>
      </c>
      <c r="M1516" s="4" t="s">
        <v>3085</v>
      </c>
      <c r="N1516" s="4">
        <v>327</v>
      </c>
      <c r="O1516" s="4" t="s">
        <v>4244</v>
      </c>
    </row>
    <row r="1517" spans="1:15" ht="15.75" customHeight="1">
      <c r="A1517" s="4" t="s">
        <v>49</v>
      </c>
      <c r="B1517" s="4">
        <v>1587203</v>
      </c>
      <c r="C1517" s="4">
        <v>1587913</v>
      </c>
      <c r="E1517" s="4" t="s">
        <v>50</v>
      </c>
      <c r="F1517" s="4" t="s">
        <v>56</v>
      </c>
      <c r="I1517" s="4" t="s">
        <v>52</v>
      </c>
      <c r="L1517" s="4" t="s">
        <v>4245</v>
      </c>
      <c r="M1517" s="4" t="s">
        <v>56</v>
      </c>
      <c r="N1517" s="4">
        <v>236</v>
      </c>
      <c r="O1517" s="4" t="s">
        <v>4246</v>
      </c>
    </row>
    <row r="1518" spans="1:15" ht="15.75" customHeight="1">
      <c r="A1518" s="4" t="s">
        <v>49</v>
      </c>
      <c r="B1518" s="4">
        <v>1588010</v>
      </c>
      <c r="C1518" s="4">
        <v>1588852</v>
      </c>
      <c r="E1518" s="4" t="s">
        <v>55</v>
      </c>
      <c r="F1518" s="4" t="s">
        <v>2472</v>
      </c>
      <c r="I1518" s="4" t="s">
        <v>52</v>
      </c>
      <c r="L1518" s="4" t="s">
        <v>4247</v>
      </c>
      <c r="M1518" s="4" t="s">
        <v>2472</v>
      </c>
      <c r="N1518" s="4">
        <v>280</v>
      </c>
      <c r="O1518" s="4" t="s">
        <v>4248</v>
      </c>
    </row>
    <row r="1519" spans="1:15" ht="15.75" customHeight="1">
      <c r="A1519" s="4" t="s">
        <v>49</v>
      </c>
      <c r="B1519" s="4">
        <v>1589144</v>
      </c>
      <c r="C1519" s="4">
        <v>1590559</v>
      </c>
      <c r="E1519" s="4" t="s">
        <v>50</v>
      </c>
      <c r="F1519" s="4" t="s">
        <v>779</v>
      </c>
      <c r="I1519" s="4" t="s">
        <v>52</v>
      </c>
      <c r="L1519" s="4" t="s">
        <v>780</v>
      </c>
      <c r="M1519" s="4" t="s">
        <v>779</v>
      </c>
      <c r="N1519" s="4">
        <v>471</v>
      </c>
      <c r="O1519" s="4" t="s">
        <v>4249</v>
      </c>
    </row>
    <row r="1520" spans="1:15" ht="15.75" customHeight="1">
      <c r="A1520" s="4" t="s">
        <v>49</v>
      </c>
      <c r="B1520" s="4">
        <v>1590715</v>
      </c>
      <c r="C1520" s="4">
        <v>1591356</v>
      </c>
      <c r="E1520" s="4" t="s">
        <v>55</v>
      </c>
      <c r="F1520" s="4" t="s">
        <v>4250</v>
      </c>
      <c r="I1520" s="4" t="s">
        <v>52</v>
      </c>
      <c r="L1520" s="4" t="s">
        <v>4251</v>
      </c>
      <c r="M1520" s="4" t="s">
        <v>4250</v>
      </c>
      <c r="N1520" s="4">
        <v>213</v>
      </c>
      <c r="O1520" s="4" t="s">
        <v>4252</v>
      </c>
    </row>
    <row r="1521" spans="1:15" ht="15.75" customHeight="1">
      <c r="A1521" s="4" t="s">
        <v>49</v>
      </c>
      <c r="B1521" s="4">
        <v>1591470</v>
      </c>
      <c r="C1521" s="4">
        <v>1592330</v>
      </c>
      <c r="E1521" s="4" t="s">
        <v>55</v>
      </c>
      <c r="F1521" s="4" t="s">
        <v>4161</v>
      </c>
      <c r="I1521" s="4" t="s">
        <v>52</v>
      </c>
      <c r="L1521" s="4" t="s">
        <v>4253</v>
      </c>
      <c r="M1521" s="4" t="s">
        <v>4161</v>
      </c>
      <c r="N1521" s="4">
        <v>286</v>
      </c>
      <c r="O1521" s="4" t="s">
        <v>4254</v>
      </c>
    </row>
    <row r="1522" spans="1:15" ht="15.75" customHeight="1">
      <c r="A1522" s="4" t="s">
        <v>49</v>
      </c>
      <c r="B1522" s="4">
        <v>1592352</v>
      </c>
      <c r="C1522" s="4">
        <v>1592774</v>
      </c>
      <c r="E1522" s="4" t="s">
        <v>55</v>
      </c>
      <c r="F1522" s="4" t="s">
        <v>56</v>
      </c>
      <c r="I1522" s="4" t="s">
        <v>52</v>
      </c>
      <c r="L1522" s="4" t="s">
        <v>4255</v>
      </c>
      <c r="M1522" s="4" t="s">
        <v>56</v>
      </c>
      <c r="N1522" s="4">
        <v>140</v>
      </c>
      <c r="O1522" s="4" t="s">
        <v>4256</v>
      </c>
    </row>
    <row r="1523" spans="1:15" ht="15.75" customHeight="1">
      <c r="A1523" s="4" t="s">
        <v>49</v>
      </c>
      <c r="B1523" s="4">
        <v>1592791</v>
      </c>
      <c r="C1523" s="4">
        <v>1594077</v>
      </c>
      <c r="E1523" s="4" t="s">
        <v>55</v>
      </c>
      <c r="F1523" s="4" t="s">
        <v>1381</v>
      </c>
      <c r="I1523" s="4" t="s">
        <v>52</v>
      </c>
      <c r="L1523" s="4" t="s">
        <v>4257</v>
      </c>
      <c r="M1523" s="4" t="s">
        <v>1381</v>
      </c>
      <c r="N1523" s="4">
        <v>428</v>
      </c>
      <c r="O1523" s="4" t="s">
        <v>4258</v>
      </c>
    </row>
    <row r="1524" spans="1:15" ht="15.75" customHeight="1">
      <c r="A1524" s="4" t="s">
        <v>49</v>
      </c>
      <c r="B1524" s="4">
        <v>1594219</v>
      </c>
      <c r="C1524" s="4">
        <v>1594530</v>
      </c>
      <c r="E1524" s="4" t="s">
        <v>55</v>
      </c>
      <c r="F1524" s="4" t="s">
        <v>2415</v>
      </c>
      <c r="I1524" s="4" t="s">
        <v>52</v>
      </c>
      <c r="L1524" s="4" t="s">
        <v>4259</v>
      </c>
      <c r="M1524" s="4" t="s">
        <v>2415</v>
      </c>
      <c r="N1524" s="4">
        <v>103</v>
      </c>
      <c r="O1524" s="4" t="s">
        <v>4260</v>
      </c>
    </row>
    <row r="1525" spans="1:15" ht="15.75" customHeight="1">
      <c r="A1525" s="4" t="s">
        <v>49</v>
      </c>
      <c r="B1525" s="4">
        <v>1594531</v>
      </c>
      <c r="C1525" s="4">
        <v>1596627</v>
      </c>
      <c r="E1525" s="4" t="s">
        <v>55</v>
      </c>
      <c r="F1525" s="4" t="s">
        <v>3925</v>
      </c>
      <c r="I1525" s="4" t="s">
        <v>52</v>
      </c>
      <c r="L1525" s="4" t="s">
        <v>4261</v>
      </c>
      <c r="M1525" s="4" t="s">
        <v>3925</v>
      </c>
      <c r="N1525" s="4">
        <v>698</v>
      </c>
      <c r="O1525" s="4" t="s">
        <v>4262</v>
      </c>
    </row>
    <row r="1526" spans="1:15" ht="15.75" customHeight="1">
      <c r="A1526" s="4" t="s">
        <v>49</v>
      </c>
      <c r="B1526" s="4">
        <v>1596898</v>
      </c>
      <c r="C1526" s="4">
        <v>1598424</v>
      </c>
      <c r="E1526" s="4" t="s">
        <v>55</v>
      </c>
      <c r="F1526" s="4" t="s">
        <v>4263</v>
      </c>
      <c r="I1526" s="4" t="s">
        <v>52</v>
      </c>
      <c r="L1526" s="4" t="s">
        <v>4264</v>
      </c>
      <c r="M1526" s="4" t="s">
        <v>4263</v>
      </c>
      <c r="N1526" s="4">
        <v>508</v>
      </c>
      <c r="O1526" s="4" t="s">
        <v>4265</v>
      </c>
    </row>
    <row r="1527" spans="1:15" ht="15.75" customHeight="1">
      <c r="A1527" s="4" t="s">
        <v>49</v>
      </c>
      <c r="B1527" s="4">
        <v>1598876</v>
      </c>
      <c r="C1527" s="4">
        <v>1599664</v>
      </c>
      <c r="E1527" s="4" t="s">
        <v>50</v>
      </c>
      <c r="F1527" s="4" t="s">
        <v>56</v>
      </c>
      <c r="I1527" s="4" t="s">
        <v>52</v>
      </c>
      <c r="L1527" s="4" t="s">
        <v>4266</v>
      </c>
      <c r="M1527" s="4" t="s">
        <v>56</v>
      </c>
      <c r="N1527" s="4">
        <v>262</v>
      </c>
      <c r="O1527" s="4" t="s">
        <v>4267</v>
      </c>
    </row>
    <row r="1528" spans="1:15" ht="15.75" customHeight="1">
      <c r="A1528" s="4" t="s">
        <v>49</v>
      </c>
      <c r="B1528" s="4">
        <v>1599654</v>
      </c>
      <c r="C1528" s="4">
        <v>1600334</v>
      </c>
      <c r="E1528" s="4" t="s">
        <v>50</v>
      </c>
      <c r="F1528" s="4" t="s">
        <v>56</v>
      </c>
      <c r="I1528" s="4" t="s">
        <v>52</v>
      </c>
      <c r="L1528" s="4" t="s">
        <v>4268</v>
      </c>
      <c r="M1528" s="4" t="s">
        <v>56</v>
      </c>
      <c r="N1528" s="4">
        <v>226</v>
      </c>
      <c r="O1528" s="4" t="s">
        <v>4269</v>
      </c>
    </row>
    <row r="1529" spans="1:15" ht="15.75" customHeight="1">
      <c r="A1529" s="4" t="s">
        <v>49</v>
      </c>
      <c r="B1529" s="4">
        <v>1600334</v>
      </c>
      <c r="C1529" s="4">
        <v>1601059</v>
      </c>
      <c r="E1529" s="4" t="s">
        <v>50</v>
      </c>
      <c r="F1529" s="4" t="s">
        <v>56</v>
      </c>
      <c r="I1529" s="4" t="s">
        <v>52</v>
      </c>
      <c r="L1529" s="4" t="s">
        <v>4270</v>
      </c>
      <c r="M1529" s="4" t="s">
        <v>56</v>
      </c>
      <c r="N1529" s="4">
        <v>241</v>
      </c>
      <c r="O1529" s="4" t="s">
        <v>4271</v>
      </c>
    </row>
    <row r="1530" spans="1:15" ht="15.75" customHeight="1">
      <c r="A1530" s="4" t="s">
        <v>49</v>
      </c>
      <c r="B1530" s="4">
        <v>1601073</v>
      </c>
      <c r="C1530" s="4">
        <v>1601708</v>
      </c>
      <c r="E1530" s="4" t="s">
        <v>50</v>
      </c>
      <c r="F1530" s="4" t="s">
        <v>2499</v>
      </c>
      <c r="I1530" s="4" t="s">
        <v>52</v>
      </c>
      <c r="L1530" s="4" t="s">
        <v>4272</v>
      </c>
      <c r="M1530" s="4" t="s">
        <v>2499</v>
      </c>
      <c r="N1530" s="4">
        <v>211</v>
      </c>
      <c r="O1530" s="4" t="s">
        <v>4273</v>
      </c>
    </row>
    <row r="1531" spans="1:15" ht="15.75" customHeight="1">
      <c r="A1531" s="4" t="s">
        <v>49</v>
      </c>
      <c r="B1531" s="4">
        <v>1601698</v>
      </c>
      <c r="C1531" s="4">
        <v>1602222</v>
      </c>
      <c r="E1531" s="4" t="s">
        <v>50</v>
      </c>
      <c r="F1531" s="4" t="s">
        <v>56</v>
      </c>
      <c r="I1531" s="4" t="s">
        <v>52</v>
      </c>
      <c r="L1531" s="4" t="s">
        <v>4274</v>
      </c>
      <c r="M1531" s="4" t="s">
        <v>56</v>
      </c>
      <c r="N1531" s="4">
        <v>174</v>
      </c>
      <c r="O1531" s="4" t="s">
        <v>4275</v>
      </c>
    </row>
    <row r="1532" spans="1:15" ht="15.75" customHeight="1">
      <c r="A1532" s="4" t="s">
        <v>49</v>
      </c>
      <c r="B1532" s="4">
        <v>1602254</v>
      </c>
      <c r="C1532" s="4">
        <v>1602643</v>
      </c>
      <c r="E1532" s="4" t="s">
        <v>50</v>
      </c>
      <c r="F1532" s="4" t="s">
        <v>281</v>
      </c>
      <c r="I1532" s="4" t="s">
        <v>52</v>
      </c>
      <c r="L1532" s="4" t="s">
        <v>4276</v>
      </c>
      <c r="M1532" s="4" t="s">
        <v>281</v>
      </c>
      <c r="N1532" s="4">
        <v>129</v>
      </c>
      <c r="O1532" s="4" t="s">
        <v>4277</v>
      </c>
    </row>
    <row r="1533" spans="1:15" ht="15.75" customHeight="1">
      <c r="A1533" s="4" t="s">
        <v>49</v>
      </c>
      <c r="B1533" s="4">
        <v>1602726</v>
      </c>
      <c r="C1533" s="4">
        <v>1603412</v>
      </c>
      <c r="E1533" s="4" t="s">
        <v>55</v>
      </c>
      <c r="F1533" s="4" t="s">
        <v>2049</v>
      </c>
      <c r="I1533" s="4" t="s">
        <v>52</v>
      </c>
      <c r="L1533" s="4" t="s">
        <v>4278</v>
      </c>
      <c r="M1533" s="4" t="s">
        <v>2049</v>
      </c>
      <c r="N1533" s="4">
        <v>228</v>
      </c>
      <c r="O1533" s="4" t="s">
        <v>4279</v>
      </c>
    </row>
    <row r="1534" spans="1:15" ht="15.75" customHeight="1">
      <c r="A1534" s="4" t="s">
        <v>49</v>
      </c>
      <c r="B1534" s="4">
        <v>1603476</v>
      </c>
      <c r="C1534" s="4">
        <v>1604165</v>
      </c>
      <c r="E1534" s="4" t="s">
        <v>55</v>
      </c>
      <c r="F1534" s="4" t="s">
        <v>2049</v>
      </c>
      <c r="I1534" s="4" t="s">
        <v>52</v>
      </c>
      <c r="L1534" s="4" t="s">
        <v>4280</v>
      </c>
      <c r="M1534" s="4" t="s">
        <v>2049</v>
      </c>
      <c r="N1534" s="4">
        <v>229</v>
      </c>
      <c r="O1534" s="4" t="s">
        <v>4281</v>
      </c>
    </row>
    <row r="1535" spans="1:15" ht="15.75" customHeight="1">
      <c r="A1535" s="4" t="s">
        <v>49</v>
      </c>
      <c r="B1535" s="4">
        <v>1604480</v>
      </c>
      <c r="C1535" s="4">
        <v>1605400</v>
      </c>
      <c r="E1535" s="4" t="s">
        <v>50</v>
      </c>
      <c r="F1535" s="4" t="s">
        <v>674</v>
      </c>
      <c r="I1535" s="4" t="s">
        <v>52</v>
      </c>
      <c r="L1535" s="4" t="s">
        <v>675</v>
      </c>
      <c r="M1535" s="4" t="s">
        <v>674</v>
      </c>
      <c r="N1535" s="4">
        <v>306</v>
      </c>
      <c r="O1535" s="4" t="s">
        <v>4282</v>
      </c>
    </row>
    <row r="1536" spans="1:15" ht="15.75" customHeight="1">
      <c r="A1536" s="4" t="s">
        <v>49</v>
      </c>
      <c r="B1536" s="4">
        <v>1605390</v>
      </c>
      <c r="C1536" s="4">
        <v>1605587</v>
      </c>
      <c r="E1536" s="4" t="s">
        <v>55</v>
      </c>
      <c r="F1536" s="4" t="s">
        <v>56</v>
      </c>
      <c r="I1536" s="4" t="s">
        <v>52</v>
      </c>
      <c r="L1536" s="4" t="s">
        <v>4283</v>
      </c>
      <c r="M1536" s="4" t="s">
        <v>56</v>
      </c>
      <c r="N1536" s="4">
        <v>65</v>
      </c>
      <c r="O1536" s="4" t="s">
        <v>4284</v>
      </c>
    </row>
    <row r="1537" spans="1:15" ht="15.75" customHeight="1">
      <c r="A1537" s="4" t="s">
        <v>49</v>
      </c>
      <c r="B1537" s="4">
        <v>1606038</v>
      </c>
      <c r="C1537" s="4">
        <v>1606253</v>
      </c>
      <c r="E1537" s="4" t="s">
        <v>55</v>
      </c>
      <c r="F1537" s="4" t="s">
        <v>56</v>
      </c>
      <c r="I1537" s="4" t="s">
        <v>52</v>
      </c>
      <c r="L1537" s="4" t="s">
        <v>4285</v>
      </c>
      <c r="M1537" s="4" t="s">
        <v>56</v>
      </c>
      <c r="N1537" s="4">
        <v>71</v>
      </c>
      <c r="O1537" s="4" t="s">
        <v>4286</v>
      </c>
    </row>
    <row r="1538" spans="1:15" ht="15.75" customHeight="1">
      <c r="A1538" s="4" t="s">
        <v>49</v>
      </c>
      <c r="B1538" s="4">
        <v>1606265</v>
      </c>
      <c r="C1538" s="4">
        <v>1606828</v>
      </c>
      <c r="E1538" s="4" t="s">
        <v>55</v>
      </c>
      <c r="F1538" s="4" t="s">
        <v>56</v>
      </c>
      <c r="I1538" s="4" t="s">
        <v>52</v>
      </c>
      <c r="L1538" s="4" t="s">
        <v>4287</v>
      </c>
      <c r="M1538" s="4" t="s">
        <v>56</v>
      </c>
      <c r="N1538" s="4">
        <v>187</v>
      </c>
      <c r="O1538" s="4" t="s">
        <v>4288</v>
      </c>
    </row>
    <row r="1539" spans="1:15" ht="15.75" customHeight="1">
      <c r="A1539" s="4" t="s">
        <v>49</v>
      </c>
      <c r="B1539" s="4">
        <v>1606825</v>
      </c>
      <c r="C1539" s="4">
        <v>1607259</v>
      </c>
      <c r="E1539" s="4" t="s">
        <v>55</v>
      </c>
      <c r="F1539" s="4" t="s">
        <v>3132</v>
      </c>
      <c r="I1539" s="4" t="s">
        <v>52</v>
      </c>
      <c r="L1539" s="4" t="s">
        <v>4289</v>
      </c>
      <c r="M1539" s="4" t="s">
        <v>3132</v>
      </c>
      <c r="N1539" s="4">
        <v>144</v>
      </c>
      <c r="O1539" s="4" t="s">
        <v>4290</v>
      </c>
    </row>
    <row r="1540" spans="1:15" ht="15.75" customHeight="1">
      <c r="A1540" s="4" t="s">
        <v>49</v>
      </c>
      <c r="B1540" s="4">
        <v>1607240</v>
      </c>
      <c r="C1540" s="4">
        <v>1608622</v>
      </c>
      <c r="E1540" s="4" t="s">
        <v>55</v>
      </c>
      <c r="F1540" s="4" t="s">
        <v>255</v>
      </c>
      <c r="I1540" s="4" t="s">
        <v>52</v>
      </c>
      <c r="L1540" s="4" t="s">
        <v>4291</v>
      </c>
      <c r="M1540" s="4" t="s">
        <v>255</v>
      </c>
      <c r="N1540" s="4">
        <v>460</v>
      </c>
      <c r="O1540" s="4" t="s">
        <v>4292</v>
      </c>
    </row>
    <row r="1541" spans="1:15" ht="15.75" customHeight="1">
      <c r="A1541" s="4" t="s">
        <v>49</v>
      </c>
      <c r="B1541" s="4">
        <v>1608797</v>
      </c>
      <c r="C1541" s="4">
        <v>1610788</v>
      </c>
      <c r="E1541" s="4" t="s">
        <v>50</v>
      </c>
      <c r="F1541" s="4" t="s">
        <v>875</v>
      </c>
      <c r="I1541" s="4" t="s">
        <v>52</v>
      </c>
      <c r="L1541" s="4" t="s">
        <v>4293</v>
      </c>
      <c r="M1541" s="4" t="s">
        <v>875</v>
      </c>
      <c r="N1541" s="4">
        <v>663</v>
      </c>
      <c r="O1541" s="4" t="s">
        <v>4294</v>
      </c>
    </row>
    <row r="1542" spans="1:15" ht="15.75" customHeight="1">
      <c r="A1542" s="4" t="s">
        <v>49</v>
      </c>
      <c r="B1542" s="4">
        <v>1610816</v>
      </c>
      <c r="C1542" s="4">
        <v>1611073</v>
      </c>
      <c r="E1542" s="4" t="s">
        <v>50</v>
      </c>
      <c r="F1542" s="4" t="s">
        <v>4295</v>
      </c>
      <c r="I1542" s="4" t="s">
        <v>52</v>
      </c>
      <c r="L1542" s="4" t="s">
        <v>4296</v>
      </c>
      <c r="M1542" s="4" t="s">
        <v>4295</v>
      </c>
      <c r="N1542" s="4">
        <v>85</v>
      </c>
      <c r="O1542" s="4" t="s">
        <v>4297</v>
      </c>
    </row>
    <row r="1543" spans="1:15" ht="15.75" customHeight="1">
      <c r="A1543" s="4" t="s">
        <v>49</v>
      </c>
      <c r="B1543" s="4">
        <v>1611206</v>
      </c>
      <c r="C1543" s="4">
        <v>1612135</v>
      </c>
      <c r="E1543" s="4" t="s">
        <v>55</v>
      </c>
      <c r="F1543" s="4" t="s">
        <v>4298</v>
      </c>
      <c r="G1543" s="4" t="s">
        <v>4299</v>
      </c>
      <c r="I1543" s="4" t="s">
        <v>52</v>
      </c>
      <c r="L1543" s="4" t="s">
        <v>4300</v>
      </c>
      <c r="M1543" s="4" t="s">
        <v>4298</v>
      </c>
      <c r="N1543" s="4">
        <v>309</v>
      </c>
      <c r="O1543" s="4" t="s">
        <v>4301</v>
      </c>
    </row>
    <row r="1544" spans="1:15" ht="15.75" customHeight="1">
      <c r="A1544" s="4" t="s">
        <v>49</v>
      </c>
      <c r="B1544" s="4">
        <v>1612275</v>
      </c>
      <c r="C1544" s="4">
        <v>1613234</v>
      </c>
      <c r="E1544" s="4" t="s">
        <v>55</v>
      </c>
      <c r="F1544" s="4" t="s">
        <v>4302</v>
      </c>
      <c r="I1544" s="4" t="s">
        <v>52</v>
      </c>
      <c r="L1544" s="4" t="s">
        <v>4303</v>
      </c>
      <c r="M1544" s="4" t="s">
        <v>4302</v>
      </c>
      <c r="N1544" s="4">
        <v>319</v>
      </c>
      <c r="O1544" s="4" t="s">
        <v>4304</v>
      </c>
    </row>
    <row r="1545" spans="1:15" ht="15.75" customHeight="1">
      <c r="A1545" s="4" t="s">
        <v>49</v>
      </c>
      <c r="B1545" s="4">
        <v>1613291</v>
      </c>
      <c r="C1545" s="4">
        <v>1614271</v>
      </c>
      <c r="E1545" s="4" t="s">
        <v>55</v>
      </c>
      <c r="F1545" s="4" t="s">
        <v>4305</v>
      </c>
      <c r="G1545" s="4" t="s">
        <v>4306</v>
      </c>
      <c r="I1545" s="4" t="s">
        <v>52</v>
      </c>
      <c r="L1545" s="4" t="s">
        <v>4307</v>
      </c>
      <c r="M1545" s="4" t="s">
        <v>4305</v>
      </c>
      <c r="N1545" s="4">
        <v>326</v>
      </c>
      <c r="O1545" s="4" t="s">
        <v>4308</v>
      </c>
    </row>
    <row r="1546" spans="1:15" ht="15.75" customHeight="1">
      <c r="A1546" s="4" t="s">
        <v>49</v>
      </c>
      <c r="B1546" s="4">
        <v>1614255</v>
      </c>
      <c r="C1546" s="4">
        <v>1615757</v>
      </c>
      <c r="E1546" s="4" t="s">
        <v>55</v>
      </c>
      <c r="F1546" s="4" t="s">
        <v>4309</v>
      </c>
      <c r="I1546" s="4" t="s">
        <v>52</v>
      </c>
      <c r="L1546" s="4" t="s">
        <v>4310</v>
      </c>
      <c r="M1546" s="4" t="s">
        <v>4309</v>
      </c>
      <c r="N1546" s="4">
        <v>500</v>
      </c>
      <c r="O1546" s="4" t="s">
        <v>4311</v>
      </c>
    </row>
    <row r="1547" spans="1:15" ht="15.75" customHeight="1">
      <c r="A1547" s="4" t="s">
        <v>49</v>
      </c>
      <c r="B1547" s="4">
        <v>1615826</v>
      </c>
      <c r="C1547" s="4">
        <v>1616218</v>
      </c>
      <c r="E1547" s="4" t="s">
        <v>55</v>
      </c>
      <c r="F1547" s="4" t="s">
        <v>4312</v>
      </c>
      <c r="G1547" s="4" t="s">
        <v>4313</v>
      </c>
      <c r="I1547" s="4" t="s">
        <v>52</v>
      </c>
      <c r="L1547" s="4" t="s">
        <v>4314</v>
      </c>
      <c r="M1547" s="4" t="s">
        <v>4312</v>
      </c>
      <c r="N1547" s="4">
        <v>130</v>
      </c>
      <c r="O1547" s="4" t="s">
        <v>4315</v>
      </c>
    </row>
    <row r="1548" spans="1:15" ht="15.75" customHeight="1">
      <c r="A1548" s="4" t="s">
        <v>49</v>
      </c>
      <c r="B1548" s="4">
        <v>1616279</v>
      </c>
      <c r="C1548" s="4">
        <v>1617286</v>
      </c>
      <c r="E1548" s="4" t="s">
        <v>55</v>
      </c>
      <c r="F1548" s="4" t="s">
        <v>4316</v>
      </c>
      <c r="G1548" s="4" t="s">
        <v>4317</v>
      </c>
      <c r="I1548" s="4" t="s">
        <v>52</v>
      </c>
      <c r="L1548" s="4" t="s">
        <v>4318</v>
      </c>
      <c r="M1548" s="4" t="s">
        <v>4316</v>
      </c>
      <c r="N1548" s="4">
        <v>335</v>
      </c>
      <c r="O1548" s="4" t="s">
        <v>4319</v>
      </c>
    </row>
    <row r="1549" spans="1:15" ht="15.75" customHeight="1">
      <c r="A1549" s="4" t="s">
        <v>49</v>
      </c>
      <c r="B1549" s="4">
        <v>1617667</v>
      </c>
      <c r="C1549" s="4">
        <v>1617912</v>
      </c>
      <c r="E1549" s="4" t="s">
        <v>55</v>
      </c>
      <c r="F1549" s="4" t="s">
        <v>56</v>
      </c>
      <c r="I1549" s="4" t="s">
        <v>52</v>
      </c>
      <c r="L1549" s="4" t="s">
        <v>4320</v>
      </c>
      <c r="M1549" s="4" t="s">
        <v>56</v>
      </c>
      <c r="N1549" s="4">
        <v>81</v>
      </c>
      <c r="O1549" s="4" t="s">
        <v>4321</v>
      </c>
    </row>
    <row r="1550" spans="1:15" ht="15.75" customHeight="1">
      <c r="A1550" s="4" t="s">
        <v>49</v>
      </c>
      <c r="B1550" s="4">
        <v>1618220</v>
      </c>
      <c r="C1550" s="4">
        <v>1619668</v>
      </c>
      <c r="E1550" s="4" t="s">
        <v>55</v>
      </c>
      <c r="F1550" s="4" t="s">
        <v>2780</v>
      </c>
      <c r="I1550" s="4" t="s">
        <v>52</v>
      </c>
      <c r="L1550" s="4" t="s">
        <v>4322</v>
      </c>
      <c r="M1550" s="4" t="s">
        <v>2780</v>
      </c>
      <c r="N1550" s="4">
        <v>482</v>
      </c>
      <c r="O1550" s="4" t="s">
        <v>4323</v>
      </c>
    </row>
    <row r="1551" spans="1:15" ht="15.75" customHeight="1">
      <c r="A1551" s="4" t="s">
        <v>49</v>
      </c>
      <c r="B1551" s="4">
        <v>1620053</v>
      </c>
      <c r="C1551" s="4">
        <v>1620880</v>
      </c>
      <c r="E1551" s="4" t="s">
        <v>55</v>
      </c>
      <c r="F1551" s="4" t="s">
        <v>4324</v>
      </c>
      <c r="G1551" s="4" t="s">
        <v>4325</v>
      </c>
      <c r="I1551" s="4" t="s">
        <v>52</v>
      </c>
      <c r="L1551" s="4" t="s">
        <v>4326</v>
      </c>
      <c r="M1551" s="4" t="s">
        <v>4324</v>
      </c>
      <c r="N1551" s="4">
        <v>275</v>
      </c>
      <c r="O1551" s="4" t="s">
        <v>4327</v>
      </c>
    </row>
    <row r="1552" spans="1:15" ht="15.75" customHeight="1">
      <c r="A1552" s="4" t="s">
        <v>49</v>
      </c>
      <c r="B1552" s="4">
        <v>1620870</v>
      </c>
      <c r="C1552" s="4">
        <v>1621511</v>
      </c>
      <c r="E1552" s="4" t="s">
        <v>55</v>
      </c>
      <c r="F1552" s="4" t="s">
        <v>4328</v>
      </c>
      <c r="G1552" s="4" t="s">
        <v>4329</v>
      </c>
      <c r="I1552" s="4" t="s">
        <v>52</v>
      </c>
      <c r="L1552" s="4" t="s">
        <v>4330</v>
      </c>
      <c r="M1552" s="4" t="s">
        <v>4328</v>
      </c>
      <c r="N1552" s="4">
        <v>213</v>
      </c>
      <c r="O1552" s="4" t="s">
        <v>4331</v>
      </c>
    </row>
    <row r="1553" spans="1:15" ht="15.75" customHeight="1">
      <c r="A1553" s="4" t="s">
        <v>49</v>
      </c>
      <c r="B1553" s="4">
        <v>1621508</v>
      </c>
      <c r="C1553" s="4">
        <v>1622350</v>
      </c>
      <c r="E1553" s="4" t="s">
        <v>55</v>
      </c>
      <c r="F1553" s="4" t="s">
        <v>4332</v>
      </c>
      <c r="I1553" s="4" t="s">
        <v>52</v>
      </c>
      <c r="L1553" s="4" t="s">
        <v>4333</v>
      </c>
      <c r="M1553" s="4" t="s">
        <v>4332</v>
      </c>
      <c r="N1553" s="4">
        <v>280</v>
      </c>
      <c r="O1553" s="4" t="s">
        <v>4334</v>
      </c>
    </row>
    <row r="1554" spans="1:15" ht="15.75" customHeight="1">
      <c r="A1554" s="4" t="s">
        <v>49</v>
      </c>
      <c r="B1554" s="4">
        <v>1622363</v>
      </c>
      <c r="C1554" s="4">
        <v>1622863</v>
      </c>
      <c r="E1554" s="4" t="s">
        <v>55</v>
      </c>
      <c r="F1554" s="4" t="s">
        <v>4335</v>
      </c>
      <c r="G1554" s="4" t="s">
        <v>4336</v>
      </c>
      <c r="I1554" s="4" t="s">
        <v>52</v>
      </c>
      <c r="L1554" s="4" t="s">
        <v>4337</v>
      </c>
      <c r="M1554" s="4" t="s">
        <v>4335</v>
      </c>
      <c r="N1554" s="4">
        <v>166</v>
      </c>
      <c r="O1554" s="4" t="s">
        <v>4338</v>
      </c>
    </row>
    <row r="1555" spans="1:15" ht="15.75" customHeight="1">
      <c r="A1555" s="4" t="s">
        <v>49</v>
      </c>
      <c r="B1555" s="4">
        <v>1622844</v>
      </c>
      <c r="C1555" s="4">
        <v>1623536</v>
      </c>
      <c r="E1555" s="4" t="s">
        <v>55</v>
      </c>
      <c r="F1555" s="4" t="s">
        <v>4339</v>
      </c>
      <c r="G1555" s="4" t="s">
        <v>4340</v>
      </c>
      <c r="I1555" s="4" t="s">
        <v>52</v>
      </c>
      <c r="L1555" s="4" t="s">
        <v>4341</v>
      </c>
      <c r="M1555" s="4" t="s">
        <v>4339</v>
      </c>
      <c r="N1555" s="4">
        <v>230</v>
      </c>
      <c r="O1555" s="4" t="s">
        <v>4342</v>
      </c>
    </row>
    <row r="1556" spans="1:15" ht="15.75" customHeight="1">
      <c r="A1556" s="4" t="s">
        <v>49</v>
      </c>
      <c r="B1556" s="4">
        <v>1623623</v>
      </c>
      <c r="C1556" s="4">
        <v>1624270</v>
      </c>
      <c r="E1556" s="4" t="s">
        <v>55</v>
      </c>
      <c r="F1556" s="4" t="s">
        <v>4343</v>
      </c>
      <c r="I1556" s="4" t="s">
        <v>52</v>
      </c>
      <c r="L1556" s="4" t="s">
        <v>4344</v>
      </c>
      <c r="M1556" s="4" t="s">
        <v>4343</v>
      </c>
      <c r="N1556" s="4">
        <v>215</v>
      </c>
      <c r="O1556" s="4" t="s">
        <v>4345</v>
      </c>
    </row>
    <row r="1557" spans="1:15" ht="15.75" customHeight="1">
      <c r="A1557" s="4" t="s">
        <v>49</v>
      </c>
      <c r="B1557" s="4">
        <v>1624275</v>
      </c>
      <c r="C1557" s="4">
        <v>1625618</v>
      </c>
      <c r="E1557" s="4" t="s">
        <v>55</v>
      </c>
      <c r="F1557" s="4" t="s">
        <v>73</v>
      </c>
      <c r="I1557" s="4" t="s">
        <v>52</v>
      </c>
      <c r="L1557" s="4" t="s">
        <v>4346</v>
      </c>
      <c r="M1557" s="4" t="s">
        <v>73</v>
      </c>
      <c r="N1557" s="4">
        <v>447</v>
      </c>
      <c r="O1557" s="4" t="s">
        <v>4347</v>
      </c>
    </row>
    <row r="1558" spans="1:15" ht="15.75" customHeight="1">
      <c r="A1558" s="4" t="s">
        <v>49</v>
      </c>
      <c r="B1558" s="4">
        <v>1625625</v>
      </c>
      <c r="C1558" s="4">
        <v>1626191</v>
      </c>
      <c r="E1558" s="4" t="s">
        <v>55</v>
      </c>
      <c r="F1558" s="4" t="s">
        <v>1167</v>
      </c>
      <c r="I1558" s="4" t="s">
        <v>52</v>
      </c>
      <c r="L1558" s="4" t="s">
        <v>4348</v>
      </c>
      <c r="M1558" s="4" t="s">
        <v>1167</v>
      </c>
      <c r="N1558" s="4">
        <v>188</v>
      </c>
      <c r="O1558" s="4" t="s">
        <v>4349</v>
      </c>
    </row>
    <row r="1559" spans="1:15" ht="15.75" customHeight="1">
      <c r="A1559" s="4" t="s">
        <v>49</v>
      </c>
      <c r="B1559" s="4">
        <v>1626999</v>
      </c>
      <c r="C1559" s="4">
        <v>1627247</v>
      </c>
      <c r="E1559" s="4" t="s">
        <v>55</v>
      </c>
      <c r="F1559" s="4" t="s">
        <v>56</v>
      </c>
      <c r="I1559" s="4" t="s">
        <v>52</v>
      </c>
      <c r="L1559" s="4" t="s">
        <v>4350</v>
      </c>
      <c r="M1559" s="4" t="s">
        <v>56</v>
      </c>
      <c r="N1559" s="4">
        <v>82</v>
      </c>
      <c r="O1559" s="4" t="s">
        <v>4351</v>
      </c>
    </row>
    <row r="1560" spans="1:15" ht="15.75" customHeight="1">
      <c r="A1560" s="4" t="s">
        <v>49</v>
      </c>
      <c r="B1560" s="4">
        <v>1627517</v>
      </c>
      <c r="C1560" s="4">
        <v>1628158</v>
      </c>
      <c r="E1560" s="4" t="s">
        <v>50</v>
      </c>
      <c r="F1560" s="4" t="s">
        <v>51</v>
      </c>
      <c r="I1560" s="4" t="s">
        <v>52</v>
      </c>
      <c r="L1560" s="4" t="s">
        <v>4352</v>
      </c>
      <c r="M1560" s="4" t="s">
        <v>51</v>
      </c>
      <c r="N1560" s="4">
        <v>213</v>
      </c>
      <c r="O1560" s="4" t="s">
        <v>4353</v>
      </c>
    </row>
    <row r="1561" spans="1:15" ht="15.75" customHeight="1">
      <c r="A1561" s="4" t="s">
        <v>49</v>
      </c>
      <c r="B1561" s="4">
        <v>1628392</v>
      </c>
      <c r="C1561" s="4">
        <v>1630032</v>
      </c>
      <c r="E1561" s="4" t="s">
        <v>55</v>
      </c>
      <c r="F1561" s="4" t="s">
        <v>678</v>
      </c>
      <c r="I1561" s="4" t="s">
        <v>52</v>
      </c>
      <c r="L1561" s="4" t="s">
        <v>4354</v>
      </c>
      <c r="M1561" s="4" t="s">
        <v>678</v>
      </c>
      <c r="N1561" s="4">
        <v>546</v>
      </c>
      <c r="O1561" s="4" t="s">
        <v>4355</v>
      </c>
    </row>
    <row r="1562" spans="1:15" ht="15.75" customHeight="1">
      <c r="A1562" s="4" t="s">
        <v>49</v>
      </c>
      <c r="B1562" s="4">
        <v>1630148</v>
      </c>
      <c r="C1562" s="4">
        <v>1631395</v>
      </c>
      <c r="E1562" s="4" t="s">
        <v>50</v>
      </c>
      <c r="F1562" s="4" t="s">
        <v>4356</v>
      </c>
      <c r="G1562" s="4" t="s">
        <v>4357</v>
      </c>
      <c r="I1562" s="4" t="s">
        <v>52</v>
      </c>
      <c r="L1562" s="4" t="s">
        <v>4358</v>
      </c>
      <c r="M1562" s="4" t="s">
        <v>4356</v>
      </c>
      <c r="N1562" s="4">
        <v>415</v>
      </c>
      <c r="O1562" s="4" t="s">
        <v>4359</v>
      </c>
    </row>
    <row r="1563" spans="1:15" ht="15.75" customHeight="1">
      <c r="A1563" s="4" t="s">
        <v>49</v>
      </c>
      <c r="B1563" s="4">
        <v>1631824</v>
      </c>
      <c r="C1563" s="4">
        <v>1632132</v>
      </c>
      <c r="E1563" s="4" t="s">
        <v>50</v>
      </c>
      <c r="F1563" s="4" t="s">
        <v>345</v>
      </c>
      <c r="I1563" s="4" t="s">
        <v>346</v>
      </c>
      <c r="O1563" s="4" t="s">
        <v>4360</v>
      </c>
    </row>
    <row r="1564" spans="1:15" ht="15.75" customHeight="1">
      <c r="A1564" s="4" t="s">
        <v>49</v>
      </c>
      <c r="B1564" s="4">
        <v>1632259</v>
      </c>
      <c r="C1564" s="4">
        <v>1633674</v>
      </c>
      <c r="E1564" s="4" t="s">
        <v>50</v>
      </c>
      <c r="F1564" s="4" t="s">
        <v>779</v>
      </c>
      <c r="I1564" s="4" t="s">
        <v>52</v>
      </c>
      <c r="L1564" s="4" t="s">
        <v>780</v>
      </c>
      <c r="M1564" s="4" t="s">
        <v>779</v>
      </c>
      <c r="N1564" s="4">
        <v>471</v>
      </c>
      <c r="O1564" s="4" t="s">
        <v>4361</v>
      </c>
    </row>
    <row r="1565" spans="1:15" ht="15.75" customHeight="1">
      <c r="A1565" s="4" t="s">
        <v>49</v>
      </c>
      <c r="B1565" s="4">
        <v>1633681</v>
      </c>
      <c r="C1565" s="4">
        <v>1635186</v>
      </c>
      <c r="E1565" s="4" t="s">
        <v>50</v>
      </c>
      <c r="F1565" s="4" t="s">
        <v>345</v>
      </c>
      <c r="I1565" s="4" t="s">
        <v>346</v>
      </c>
      <c r="O1565" s="4" t="s">
        <v>4362</v>
      </c>
    </row>
    <row r="1566" spans="1:15" ht="15.75" customHeight="1">
      <c r="A1566" s="4" t="s">
        <v>49</v>
      </c>
      <c r="B1566" s="4">
        <v>1635171</v>
      </c>
      <c r="C1566" s="4">
        <v>1636211</v>
      </c>
      <c r="E1566" s="4" t="s">
        <v>50</v>
      </c>
      <c r="F1566" s="4" t="s">
        <v>4136</v>
      </c>
      <c r="I1566" s="4" t="s">
        <v>52</v>
      </c>
      <c r="L1566" s="4" t="s">
        <v>4363</v>
      </c>
      <c r="M1566" s="4" t="s">
        <v>4136</v>
      </c>
      <c r="N1566" s="4">
        <v>346</v>
      </c>
      <c r="O1566" s="4" t="s">
        <v>4364</v>
      </c>
    </row>
    <row r="1567" spans="1:15" ht="15.75" customHeight="1">
      <c r="A1567" s="4" t="s">
        <v>49</v>
      </c>
      <c r="B1567" s="4">
        <v>1636492</v>
      </c>
      <c r="C1567" s="4">
        <v>1636824</v>
      </c>
      <c r="E1567" s="4" t="s">
        <v>50</v>
      </c>
      <c r="F1567" s="4" t="s">
        <v>295</v>
      </c>
      <c r="I1567" s="4" t="s">
        <v>52</v>
      </c>
      <c r="L1567" s="4" t="s">
        <v>4365</v>
      </c>
      <c r="M1567" s="4" t="s">
        <v>295</v>
      </c>
      <c r="N1567" s="4">
        <v>110</v>
      </c>
      <c r="O1567" s="4" t="s">
        <v>4366</v>
      </c>
    </row>
    <row r="1568" spans="1:15" ht="15.75" customHeight="1">
      <c r="A1568" s="4" t="s">
        <v>49</v>
      </c>
      <c r="B1568" s="4">
        <v>1636873</v>
      </c>
      <c r="C1568" s="4">
        <v>1637211</v>
      </c>
      <c r="E1568" s="4" t="s">
        <v>50</v>
      </c>
      <c r="F1568" s="4" t="s">
        <v>2415</v>
      </c>
      <c r="I1568" s="4" t="s">
        <v>52</v>
      </c>
      <c r="L1568" s="4" t="s">
        <v>4367</v>
      </c>
      <c r="M1568" s="4" t="s">
        <v>2415</v>
      </c>
      <c r="N1568" s="4">
        <v>112</v>
      </c>
      <c r="O1568" s="4" t="s">
        <v>4368</v>
      </c>
    </row>
    <row r="1569" spans="1:15" ht="15.75" customHeight="1">
      <c r="A1569" s="4" t="s">
        <v>49</v>
      </c>
      <c r="B1569" s="4">
        <v>1637248</v>
      </c>
      <c r="C1569" s="4">
        <v>1638606</v>
      </c>
      <c r="E1569" s="4" t="s">
        <v>50</v>
      </c>
      <c r="F1569" s="4" t="s">
        <v>1381</v>
      </c>
      <c r="I1569" s="4" t="s">
        <v>52</v>
      </c>
      <c r="L1569" s="4" t="s">
        <v>4369</v>
      </c>
      <c r="M1569" s="4" t="s">
        <v>1381</v>
      </c>
      <c r="N1569" s="4">
        <v>452</v>
      </c>
      <c r="O1569" s="4" t="s">
        <v>4370</v>
      </c>
    </row>
    <row r="1570" spans="1:15" ht="15.75" customHeight="1">
      <c r="A1570" s="4" t="s">
        <v>49</v>
      </c>
      <c r="B1570" s="4">
        <v>1638798</v>
      </c>
      <c r="C1570" s="4">
        <v>1639877</v>
      </c>
      <c r="E1570" s="4" t="s">
        <v>50</v>
      </c>
      <c r="F1570" s="4" t="s">
        <v>4371</v>
      </c>
      <c r="I1570" s="4" t="s">
        <v>52</v>
      </c>
      <c r="L1570" s="4" t="s">
        <v>4372</v>
      </c>
      <c r="M1570" s="4" t="s">
        <v>4371</v>
      </c>
      <c r="N1570" s="4">
        <v>359</v>
      </c>
      <c r="O1570" s="4" t="s">
        <v>4373</v>
      </c>
    </row>
    <row r="1571" spans="1:15" ht="15.75" customHeight="1">
      <c r="A1571" s="4" t="s">
        <v>49</v>
      </c>
      <c r="B1571" s="4">
        <v>1639864</v>
      </c>
      <c r="C1571" s="4">
        <v>1641066</v>
      </c>
      <c r="E1571" s="4" t="s">
        <v>50</v>
      </c>
      <c r="F1571" s="4" t="s">
        <v>4374</v>
      </c>
      <c r="I1571" s="4" t="s">
        <v>52</v>
      </c>
      <c r="L1571" s="4" t="s">
        <v>4375</v>
      </c>
      <c r="M1571" s="4" t="s">
        <v>4374</v>
      </c>
      <c r="N1571" s="4">
        <v>400</v>
      </c>
      <c r="O1571" s="4" t="s">
        <v>4376</v>
      </c>
    </row>
    <row r="1572" spans="1:15" ht="15.75" customHeight="1">
      <c r="A1572" s="4" t="s">
        <v>49</v>
      </c>
      <c r="B1572" s="4">
        <v>1641186</v>
      </c>
      <c r="C1572" s="4">
        <v>1642427</v>
      </c>
      <c r="E1572" s="4" t="s">
        <v>55</v>
      </c>
      <c r="F1572" s="4" t="s">
        <v>4377</v>
      </c>
      <c r="I1572" s="4" t="s">
        <v>52</v>
      </c>
      <c r="L1572" s="4" t="s">
        <v>4378</v>
      </c>
      <c r="M1572" s="4" t="s">
        <v>4377</v>
      </c>
      <c r="N1572" s="4">
        <v>413</v>
      </c>
      <c r="O1572" s="4" t="s">
        <v>4379</v>
      </c>
    </row>
    <row r="1573" spans="1:15" ht="15.75" customHeight="1">
      <c r="A1573" s="4" t="s">
        <v>49</v>
      </c>
      <c r="B1573" s="4">
        <v>1642693</v>
      </c>
      <c r="C1573" s="4">
        <v>1643073</v>
      </c>
      <c r="E1573" s="4" t="s">
        <v>55</v>
      </c>
      <c r="F1573" s="4" t="s">
        <v>4039</v>
      </c>
      <c r="I1573" s="4" t="s">
        <v>52</v>
      </c>
      <c r="L1573" s="4" t="s">
        <v>4380</v>
      </c>
      <c r="M1573" s="4" t="s">
        <v>4039</v>
      </c>
      <c r="N1573" s="4">
        <v>126</v>
      </c>
      <c r="O1573" s="4" t="s">
        <v>4381</v>
      </c>
    </row>
    <row r="1574" spans="1:15" ht="15.75" customHeight="1">
      <c r="A1574" s="4" t="s">
        <v>49</v>
      </c>
      <c r="B1574" s="4">
        <v>1643110</v>
      </c>
      <c r="C1574" s="4">
        <v>1643931</v>
      </c>
      <c r="E1574" s="4" t="s">
        <v>55</v>
      </c>
      <c r="F1574" s="4" t="s">
        <v>4045</v>
      </c>
      <c r="I1574" s="4" t="s">
        <v>52</v>
      </c>
      <c r="L1574" s="4" t="s">
        <v>4382</v>
      </c>
      <c r="M1574" s="4" t="s">
        <v>4045</v>
      </c>
      <c r="N1574" s="4">
        <v>273</v>
      </c>
      <c r="O1574" s="4" t="s">
        <v>4383</v>
      </c>
    </row>
    <row r="1575" spans="1:15" ht="15.75" customHeight="1">
      <c r="A1575" s="4" t="s">
        <v>49</v>
      </c>
      <c r="B1575" s="4">
        <v>1643918</v>
      </c>
      <c r="C1575" s="4">
        <v>1644835</v>
      </c>
      <c r="E1575" s="4" t="s">
        <v>55</v>
      </c>
      <c r="F1575" s="4" t="s">
        <v>1381</v>
      </c>
      <c r="I1575" s="4" t="s">
        <v>52</v>
      </c>
      <c r="L1575" s="4" t="s">
        <v>4384</v>
      </c>
      <c r="M1575" s="4" t="s">
        <v>1381</v>
      </c>
      <c r="N1575" s="4">
        <v>305</v>
      </c>
      <c r="O1575" s="4" t="s">
        <v>4385</v>
      </c>
    </row>
    <row r="1576" spans="1:15" ht="15.75" customHeight="1">
      <c r="A1576" s="4" t="s">
        <v>49</v>
      </c>
      <c r="B1576" s="4">
        <v>1644848</v>
      </c>
      <c r="C1576" s="4">
        <v>1645330</v>
      </c>
      <c r="E1576" s="4" t="s">
        <v>55</v>
      </c>
      <c r="F1576" s="4" t="s">
        <v>2415</v>
      </c>
      <c r="I1576" s="4" t="s">
        <v>52</v>
      </c>
      <c r="L1576" s="4" t="s">
        <v>4386</v>
      </c>
      <c r="M1576" s="4" t="s">
        <v>2415</v>
      </c>
      <c r="N1576" s="4">
        <v>160</v>
      </c>
      <c r="O1576" s="4" t="s">
        <v>4387</v>
      </c>
    </row>
    <row r="1577" spans="1:15" ht="15.75" customHeight="1">
      <c r="A1577" s="4" t="s">
        <v>49</v>
      </c>
      <c r="B1577" s="4">
        <v>1645333</v>
      </c>
      <c r="C1577" s="4">
        <v>1647129</v>
      </c>
      <c r="E1577" s="4" t="s">
        <v>55</v>
      </c>
      <c r="F1577" s="4" t="s">
        <v>4388</v>
      </c>
      <c r="I1577" s="4" t="s">
        <v>52</v>
      </c>
      <c r="L1577" s="4" t="s">
        <v>4389</v>
      </c>
      <c r="M1577" s="4" t="s">
        <v>4388</v>
      </c>
      <c r="N1577" s="4">
        <v>598</v>
      </c>
      <c r="O1577" s="4" t="s">
        <v>4390</v>
      </c>
    </row>
    <row r="1578" spans="1:15" ht="15.75" customHeight="1">
      <c r="A1578" s="4" t="s">
        <v>49</v>
      </c>
      <c r="B1578" s="4">
        <v>1647229</v>
      </c>
      <c r="C1578" s="4">
        <v>1648389</v>
      </c>
      <c r="E1578" s="4" t="s">
        <v>55</v>
      </c>
      <c r="F1578" s="4" t="s">
        <v>2480</v>
      </c>
      <c r="G1578" s="4" t="s">
        <v>2481</v>
      </c>
      <c r="I1578" s="4" t="s">
        <v>52</v>
      </c>
      <c r="L1578" s="4" t="s">
        <v>4391</v>
      </c>
      <c r="M1578" s="4" t="s">
        <v>2480</v>
      </c>
      <c r="N1578" s="4">
        <v>386</v>
      </c>
      <c r="O1578" s="4" t="s">
        <v>4392</v>
      </c>
    </row>
    <row r="1579" spans="1:15" ht="15.75" customHeight="1">
      <c r="A1579" s="4" t="s">
        <v>49</v>
      </c>
      <c r="B1579" s="4">
        <v>1648448</v>
      </c>
      <c r="C1579" s="4">
        <v>1649629</v>
      </c>
      <c r="E1579" s="4" t="s">
        <v>55</v>
      </c>
      <c r="F1579" s="4" t="s">
        <v>4393</v>
      </c>
      <c r="I1579" s="4" t="s">
        <v>52</v>
      </c>
      <c r="L1579" s="4" t="s">
        <v>4394</v>
      </c>
      <c r="M1579" s="4" t="s">
        <v>4393</v>
      </c>
      <c r="N1579" s="4">
        <v>393</v>
      </c>
      <c r="O1579" s="4" t="s">
        <v>4395</v>
      </c>
    </row>
    <row r="1580" spans="1:15" ht="15.75" customHeight="1">
      <c r="A1580" s="4" t="s">
        <v>49</v>
      </c>
      <c r="B1580" s="4">
        <v>1649698</v>
      </c>
      <c r="C1580" s="4">
        <v>1650414</v>
      </c>
      <c r="E1580" s="4" t="s">
        <v>55</v>
      </c>
      <c r="F1580" s="4" t="s">
        <v>2401</v>
      </c>
      <c r="I1580" s="4" t="s">
        <v>52</v>
      </c>
      <c r="L1580" s="4" t="s">
        <v>4396</v>
      </c>
      <c r="M1580" s="4" t="s">
        <v>2401</v>
      </c>
      <c r="N1580" s="4">
        <v>238</v>
      </c>
      <c r="O1580" s="4" t="s">
        <v>4397</v>
      </c>
    </row>
    <row r="1581" spans="1:15" ht="15.75" customHeight="1">
      <c r="A1581" s="4" t="s">
        <v>49</v>
      </c>
      <c r="B1581" s="4">
        <v>1650776</v>
      </c>
      <c r="C1581" s="4">
        <v>1651795</v>
      </c>
      <c r="E1581" s="4" t="s">
        <v>55</v>
      </c>
      <c r="F1581" s="4" t="s">
        <v>4398</v>
      </c>
      <c r="G1581" s="4" t="s">
        <v>4399</v>
      </c>
      <c r="I1581" s="4" t="s">
        <v>52</v>
      </c>
      <c r="L1581" s="4" t="s">
        <v>4400</v>
      </c>
      <c r="M1581" s="4" t="s">
        <v>4398</v>
      </c>
      <c r="N1581" s="4">
        <v>339</v>
      </c>
      <c r="O1581" s="4" t="s">
        <v>4401</v>
      </c>
    </row>
    <row r="1582" spans="1:15" ht="15.75" customHeight="1">
      <c r="A1582" s="4" t="s">
        <v>49</v>
      </c>
      <c r="B1582" s="4">
        <v>1652176</v>
      </c>
      <c r="C1582" s="4">
        <v>1653885</v>
      </c>
      <c r="E1582" s="4" t="s">
        <v>55</v>
      </c>
      <c r="F1582" s="4" t="s">
        <v>4402</v>
      </c>
      <c r="I1582" s="4" t="s">
        <v>52</v>
      </c>
      <c r="L1582" s="4" t="s">
        <v>4403</v>
      </c>
      <c r="M1582" s="4" t="s">
        <v>4402</v>
      </c>
      <c r="N1582" s="4">
        <v>569</v>
      </c>
      <c r="O1582" s="4" t="s">
        <v>4404</v>
      </c>
    </row>
    <row r="1583" spans="1:15" ht="15.75" customHeight="1">
      <c r="A1583" s="4" t="s">
        <v>49</v>
      </c>
      <c r="B1583" s="4">
        <v>1654146</v>
      </c>
      <c r="C1583" s="4">
        <v>1654841</v>
      </c>
      <c r="E1583" s="4" t="s">
        <v>55</v>
      </c>
      <c r="F1583" s="4" t="s">
        <v>56</v>
      </c>
      <c r="I1583" s="4" t="s">
        <v>52</v>
      </c>
      <c r="L1583" s="4" t="s">
        <v>4405</v>
      </c>
      <c r="M1583" s="4" t="s">
        <v>56</v>
      </c>
      <c r="N1583" s="4">
        <v>231</v>
      </c>
      <c r="O1583" s="4" t="s">
        <v>4406</v>
      </c>
    </row>
    <row r="1584" spans="1:15" ht="15.75" customHeight="1">
      <c r="A1584" s="4" t="s">
        <v>49</v>
      </c>
      <c r="B1584" s="4">
        <v>1654965</v>
      </c>
      <c r="C1584" s="4">
        <v>1656254</v>
      </c>
      <c r="E1584" s="4" t="s">
        <v>55</v>
      </c>
      <c r="F1584" s="4" t="s">
        <v>4407</v>
      </c>
      <c r="I1584" s="4" t="s">
        <v>52</v>
      </c>
      <c r="L1584" s="4" t="s">
        <v>4408</v>
      </c>
      <c r="M1584" s="4" t="s">
        <v>4407</v>
      </c>
      <c r="N1584" s="4">
        <v>429</v>
      </c>
      <c r="O1584" s="4" t="s">
        <v>4409</v>
      </c>
    </row>
    <row r="1585" spans="1:15" ht="15.75" customHeight="1">
      <c r="A1585" s="4" t="s">
        <v>49</v>
      </c>
      <c r="B1585" s="4">
        <v>1656559</v>
      </c>
      <c r="C1585" s="4">
        <v>1658943</v>
      </c>
      <c r="E1585" s="4" t="s">
        <v>50</v>
      </c>
      <c r="F1585" s="4" t="s">
        <v>1525</v>
      </c>
      <c r="I1585" s="4" t="s">
        <v>52</v>
      </c>
      <c r="L1585" s="4" t="s">
        <v>4410</v>
      </c>
      <c r="M1585" s="4" t="s">
        <v>1525</v>
      </c>
      <c r="N1585" s="4">
        <v>794</v>
      </c>
      <c r="O1585" s="4" t="s">
        <v>4411</v>
      </c>
    </row>
    <row r="1586" spans="1:15" ht="15.75" customHeight="1">
      <c r="A1586" s="4" t="s">
        <v>49</v>
      </c>
      <c r="B1586" s="4">
        <v>1658921</v>
      </c>
      <c r="C1586" s="4">
        <v>1659601</v>
      </c>
      <c r="E1586" s="4" t="s">
        <v>50</v>
      </c>
      <c r="F1586" s="4" t="s">
        <v>56</v>
      </c>
      <c r="I1586" s="4" t="s">
        <v>52</v>
      </c>
      <c r="L1586" s="4" t="s">
        <v>4412</v>
      </c>
      <c r="M1586" s="4" t="s">
        <v>56</v>
      </c>
      <c r="N1586" s="4">
        <v>226</v>
      </c>
      <c r="O1586" s="4" t="s">
        <v>4413</v>
      </c>
    </row>
    <row r="1587" spans="1:15" ht="15.75" customHeight="1">
      <c r="A1587" s="4" t="s">
        <v>49</v>
      </c>
      <c r="B1587" s="4">
        <v>1659598</v>
      </c>
      <c r="C1587" s="4">
        <v>1660446</v>
      </c>
      <c r="E1587" s="4" t="s">
        <v>50</v>
      </c>
      <c r="F1587" s="4" t="s">
        <v>4414</v>
      </c>
      <c r="I1587" s="4" t="s">
        <v>52</v>
      </c>
      <c r="L1587" s="4" t="s">
        <v>4415</v>
      </c>
      <c r="M1587" s="4" t="s">
        <v>4414</v>
      </c>
      <c r="N1587" s="4">
        <v>282</v>
      </c>
      <c r="O1587" s="4" t="s">
        <v>4416</v>
      </c>
    </row>
    <row r="1588" spans="1:15" ht="15.75" customHeight="1">
      <c r="A1588" s="4" t="s">
        <v>49</v>
      </c>
      <c r="B1588" s="4">
        <v>1660627</v>
      </c>
      <c r="C1588" s="4">
        <v>1661991</v>
      </c>
      <c r="E1588" s="4" t="s">
        <v>50</v>
      </c>
      <c r="F1588" s="4" t="s">
        <v>4059</v>
      </c>
      <c r="I1588" s="4" t="s">
        <v>52</v>
      </c>
      <c r="L1588" s="4" t="s">
        <v>4417</v>
      </c>
      <c r="M1588" s="4" t="s">
        <v>4059</v>
      </c>
      <c r="N1588" s="4">
        <v>454</v>
      </c>
      <c r="O1588" s="4" t="s">
        <v>4418</v>
      </c>
    </row>
    <row r="1589" spans="1:15" ht="15.75" customHeight="1">
      <c r="A1589" s="4" t="s">
        <v>49</v>
      </c>
      <c r="B1589" s="4">
        <v>1662183</v>
      </c>
      <c r="C1589" s="4">
        <v>1662365</v>
      </c>
      <c r="E1589" s="4" t="s">
        <v>55</v>
      </c>
      <c r="F1589" s="4" t="s">
        <v>56</v>
      </c>
      <c r="I1589" s="4" t="s">
        <v>52</v>
      </c>
      <c r="L1589" s="4" t="s">
        <v>4419</v>
      </c>
      <c r="M1589" s="4" t="s">
        <v>56</v>
      </c>
      <c r="N1589" s="4">
        <v>60</v>
      </c>
      <c r="O1589" s="4" t="s">
        <v>4420</v>
      </c>
    </row>
    <row r="1590" spans="1:15" ht="15.75" customHeight="1">
      <c r="A1590" s="4" t="s">
        <v>49</v>
      </c>
      <c r="B1590" s="4">
        <v>1662893</v>
      </c>
      <c r="C1590" s="4">
        <v>1663081</v>
      </c>
      <c r="E1590" s="4" t="s">
        <v>50</v>
      </c>
      <c r="F1590" s="4" t="s">
        <v>56</v>
      </c>
      <c r="I1590" s="4" t="s">
        <v>52</v>
      </c>
      <c r="L1590" s="4" t="s">
        <v>4421</v>
      </c>
      <c r="M1590" s="4" t="s">
        <v>56</v>
      </c>
      <c r="N1590" s="4">
        <v>62</v>
      </c>
      <c r="O1590" s="4" t="s">
        <v>4422</v>
      </c>
    </row>
    <row r="1591" spans="1:15" ht="15.75" customHeight="1">
      <c r="A1591" s="4" t="s">
        <v>49</v>
      </c>
      <c r="B1591" s="4">
        <v>1663284</v>
      </c>
      <c r="C1591" s="4">
        <v>1663448</v>
      </c>
      <c r="E1591" s="4" t="s">
        <v>50</v>
      </c>
      <c r="F1591" s="4" t="s">
        <v>56</v>
      </c>
      <c r="I1591" s="4" t="s">
        <v>52</v>
      </c>
      <c r="L1591" s="4" t="s">
        <v>4423</v>
      </c>
      <c r="M1591" s="4" t="s">
        <v>56</v>
      </c>
      <c r="N1591" s="4">
        <v>54</v>
      </c>
      <c r="O1591" s="4" t="s">
        <v>4424</v>
      </c>
    </row>
    <row r="1592" spans="1:15" ht="15.75" customHeight="1">
      <c r="A1592" s="4" t="s">
        <v>49</v>
      </c>
      <c r="B1592" s="4">
        <v>1664212</v>
      </c>
      <c r="C1592" s="4">
        <v>1665672</v>
      </c>
      <c r="E1592" s="4" t="s">
        <v>55</v>
      </c>
      <c r="F1592" s="4" t="s">
        <v>4425</v>
      </c>
      <c r="G1592" s="4" t="s">
        <v>4426</v>
      </c>
      <c r="I1592" s="4" t="s">
        <v>52</v>
      </c>
      <c r="L1592" s="4" t="s">
        <v>4427</v>
      </c>
      <c r="M1592" s="4" t="s">
        <v>4425</v>
      </c>
      <c r="N1592" s="4">
        <v>486</v>
      </c>
      <c r="O1592" s="4" t="s">
        <v>4428</v>
      </c>
    </row>
    <row r="1593" spans="1:15" ht="15.75" customHeight="1">
      <c r="A1593" s="4" t="s">
        <v>49</v>
      </c>
      <c r="B1593" s="4">
        <v>1665855</v>
      </c>
      <c r="C1593" s="4">
        <v>1666571</v>
      </c>
      <c r="E1593" s="4" t="s">
        <v>55</v>
      </c>
      <c r="F1593" s="4" t="s">
        <v>4429</v>
      </c>
      <c r="G1593" s="4" t="s">
        <v>4430</v>
      </c>
      <c r="I1593" s="4" t="s">
        <v>52</v>
      </c>
      <c r="L1593" s="4" t="s">
        <v>4431</v>
      </c>
      <c r="M1593" s="4" t="s">
        <v>4429</v>
      </c>
      <c r="N1593" s="4">
        <v>238</v>
      </c>
      <c r="O1593" s="4" t="s">
        <v>4432</v>
      </c>
    </row>
    <row r="1594" spans="1:15" ht="15.75" customHeight="1">
      <c r="A1594" s="4" t="s">
        <v>49</v>
      </c>
      <c r="B1594" s="4">
        <v>1666600</v>
      </c>
      <c r="C1594" s="4">
        <v>1667790</v>
      </c>
      <c r="E1594" s="4" t="s">
        <v>55</v>
      </c>
      <c r="F1594" s="4" t="s">
        <v>4433</v>
      </c>
      <c r="I1594" s="4" t="s">
        <v>52</v>
      </c>
      <c r="L1594" s="4" t="s">
        <v>4434</v>
      </c>
      <c r="M1594" s="4" t="s">
        <v>4433</v>
      </c>
      <c r="N1594" s="4">
        <v>396</v>
      </c>
      <c r="O1594" s="4" t="s">
        <v>4435</v>
      </c>
    </row>
    <row r="1595" spans="1:15" ht="15.75" customHeight="1">
      <c r="A1595" s="4" t="s">
        <v>49</v>
      </c>
      <c r="B1595" s="4">
        <v>1667792</v>
      </c>
      <c r="C1595" s="4">
        <v>1668457</v>
      </c>
      <c r="E1595" s="4" t="s">
        <v>55</v>
      </c>
      <c r="F1595" s="4" t="s">
        <v>4436</v>
      </c>
      <c r="G1595" s="4" t="s">
        <v>4437</v>
      </c>
      <c r="I1595" s="4" t="s">
        <v>52</v>
      </c>
      <c r="L1595" s="4" t="s">
        <v>4438</v>
      </c>
      <c r="M1595" s="4" t="s">
        <v>4436</v>
      </c>
      <c r="N1595" s="4">
        <v>221</v>
      </c>
      <c r="O1595" s="4" t="s">
        <v>4439</v>
      </c>
    </row>
    <row r="1596" spans="1:15" ht="15.75" customHeight="1">
      <c r="A1596" s="4" t="s">
        <v>49</v>
      </c>
      <c r="B1596" s="4">
        <v>1668808</v>
      </c>
      <c r="C1596" s="4">
        <v>1669491</v>
      </c>
      <c r="E1596" s="4" t="s">
        <v>50</v>
      </c>
      <c r="F1596" s="4" t="s">
        <v>3380</v>
      </c>
      <c r="I1596" s="4" t="s">
        <v>52</v>
      </c>
      <c r="L1596" s="4" t="s">
        <v>4440</v>
      </c>
      <c r="M1596" s="4" t="s">
        <v>3380</v>
      </c>
      <c r="N1596" s="4">
        <v>227</v>
      </c>
      <c r="O1596" s="4" t="s">
        <v>4441</v>
      </c>
    </row>
    <row r="1597" spans="1:15" ht="15.75" customHeight="1">
      <c r="A1597" s="4" t="s">
        <v>49</v>
      </c>
      <c r="B1597" s="4">
        <v>1669628</v>
      </c>
      <c r="C1597" s="4">
        <v>1670944</v>
      </c>
      <c r="E1597" s="4" t="s">
        <v>50</v>
      </c>
      <c r="F1597" s="4" t="s">
        <v>1381</v>
      </c>
      <c r="I1597" s="4" t="s">
        <v>52</v>
      </c>
      <c r="L1597" s="4" t="s">
        <v>4442</v>
      </c>
      <c r="M1597" s="4" t="s">
        <v>1381</v>
      </c>
      <c r="N1597" s="4">
        <v>438</v>
      </c>
      <c r="O1597" s="4" t="s">
        <v>4443</v>
      </c>
    </row>
    <row r="1598" spans="1:15" ht="15.75" customHeight="1">
      <c r="A1598" s="4" t="s">
        <v>49</v>
      </c>
      <c r="B1598" s="4">
        <v>1670937</v>
      </c>
      <c r="C1598" s="4">
        <v>1671839</v>
      </c>
      <c r="E1598" s="4" t="s">
        <v>50</v>
      </c>
      <c r="F1598" s="4" t="s">
        <v>2151</v>
      </c>
      <c r="I1598" s="4" t="s">
        <v>52</v>
      </c>
      <c r="L1598" s="4" t="s">
        <v>4444</v>
      </c>
      <c r="M1598" s="4" t="s">
        <v>2151</v>
      </c>
      <c r="N1598" s="4">
        <v>300</v>
      </c>
      <c r="O1598" s="4" t="s">
        <v>4445</v>
      </c>
    </row>
    <row r="1599" spans="1:15" ht="15.75" customHeight="1">
      <c r="A1599" s="4" t="s">
        <v>49</v>
      </c>
      <c r="B1599" s="4">
        <v>1672028</v>
      </c>
      <c r="C1599" s="4">
        <v>1672741</v>
      </c>
      <c r="E1599" s="4" t="s">
        <v>55</v>
      </c>
      <c r="F1599" s="4" t="s">
        <v>73</v>
      </c>
      <c r="I1599" s="4" t="s">
        <v>52</v>
      </c>
      <c r="L1599" s="4" t="s">
        <v>4446</v>
      </c>
      <c r="M1599" s="4" t="s">
        <v>73</v>
      </c>
      <c r="N1599" s="4">
        <v>237</v>
      </c>
      <c r="O1599" s="4" t="s">
        <v>4447</v>
      </c>
    </row>
    <row r="1600" spans="1:15" ht="15.75" customHeight="1">
      <c r="A1600" s="4" t="s">
        <v>49</v>
      </c>
      <c r="B1600" s="4">
        <v>1672734</v>
      </c>
      <c r="C1600" s="4">
        <v>1673519</v>
      </c>
      <c r="E1600" s="4" t="s">
        <v>55</v>
      </c>
      <c r="F1600" s="4" t="s">
        <v>73</v>
      </c>
      <c r="I1600" s="4" t="s">
        <v>52</v>
      </c>
      <c r="L1600" s="4" t="s">
        <v>4448</v>
      </c>
      <c r="M1600" s="4" t="s">
        <v>73</v>
      </c>
      <c r="N1600" s="4">
        <v>261</v>
      </c>
      <c r="O1600" s="4" t="s">
        <v>4449</v>
      </c>
    </row>
    <row r="1601" spans="1:15" ht="15.75" customHeight="1">
      <c r="A1601" s="4" t="s">
        <v>49</v>
      </c>
      <c r="B1601" s="4">
        <v>1673516</v>
      </c>
      <c r="C1601" s="4">
        <v>1674466</v>
      </c>
      <c r="E1601" s="4" t="s">
        <v>55</v>
      </c>
      <c r="F1601" s="4" t="s">
        <v>4450</v>
      </c>
      <c r="I1601" s="4" t="s">
        <v>52</v>
      </c>
      <c r="L1601" s="4" t="s">
        <v>4451</v>
      </c>
      <c r="M1601" s="4" t="s">
        <v>4450</v>
      </c>
      <c r="N1601" s="4">
        <v>316</v>
      </c>
      <c r="O1601" s="4" t="s">
        <v>4452</v>
      </c>
    </row>
    <row r="1602" spans="1:15" ht="15.75" customHeight="1">
      <c r="A1602" s="4" t="s">
        <v>49</v>
      </c>
      <c r="B1602" s="4">
        <v>1674471</v>
      </c>
      <c r="C1602" s="4">
        <v>1675349</v>
      </c>
      <c r="E1602" s="4" t="s">
        <v>55</v>
      </c>
      <c r="F1602" s="4" t="s">
        <v>4450</v>
      </c>
      <c r="I1602" s="4" t="s">
        <v>52</v>
      </c>
      <c r="L1602" s="4" t="s">
        <v>4453</v>
      </c>
      <c r="M1602" s="4" t="s">
        <v>4450</v>
      </c>
      <c r="N1602" s="4">
        <v>292</v>
      </c>
      <c r="O1602" s="4" t="s">
        <v>4454</v>
      </c>
    </row>
    <row r="1603" spans="1:15" ht="15.75" customHeight="1">
      <c r="A1603" s="4" t="s">
        <v>49</v>
      </c>
      <c r="B1603" s="4">
        <v>1675385</v>
      </c>
      <c r="C1603" s="4">
        <v>1676578</v>
      </c>
      <c r="E1603" s="4" t="s">
        <v>55</v>
      </c>
      <c r="F1603" s="4" t="s">
        <v>4407</v>
      </c>
      <c r="I1603" s="4" t="s">
        <v>52</v>
      </c>
      <c r="L1603" s="4" t="s">
        <v>4455</v>
      </c>
      <c r="M1603" s="4" t="s">
        <v>4407</v>
      </c>
      <c r="N1603" s="4">
        <v>397</v>
      </c>
      <c r="O1603" s="4" t="s">
        <v>4456</v>
      </c>
    </row>
    <row r="1604" spans="1:15" ht="15.75" customHeight="1">
      <c r="A1604" s="4" t="s">
        <v>49</v>
      </c>
      <c r="B1604" s="4">
        <v>1676860</v>
      </c>
      <c r="C1604" s="4">
        <v>1677117</v>
      </c>
      <c r="E1604" s="4" t="s">
        <v>50</v>
      </c>
      <c r="F1604" s="4" t="s">
        <v>56</v>
      </c>
      <c r="I1604" s="4" t="s">
        <v>52</v>
      </c>
      <c r="L1604" s="4" t="s">
        <v>4457</v>
      </c>
      <c r="M1604" s="4" t="s">
        <v>56</v>
      </c>
      <c r="N1604" s="4">
        <v>85</v>
      </c>
      <c r="O1604" s="4" t="s">
        <v>4458</v>
      </c>
    </row>
    <row r="1605" spans="1:15" ht="15.75" customHeight="1">
      <c r="A1605" s="4" t="s">
        <v>49</v>
      </c>
      <c r="B1605" s="4">
        <v>1677254</v>
      </c>
      <c r="C1605" s="4">
        <v>1677712</v>
      </c>
      <c r="E1605" s="4" t="s">
        <v>55</v>
      </c>
      <c r="F1605" s="4" t="s">
        <v>4459</v>
      </c>
      <c r="I1605" s="4" t="s">
        <v>52</v>
      </c>
      <c r="L1605" s="4" t="s">
        <v>4460</v>
      </c>
      <c r="M1605" s="4" t="s">
        <v>4459</v>
      </c>
      <c r="N1605" s="4">
        <v>152</v>
      </c>
      <c r="O1605" s="4" t="s">
        <v>4461</v>
      </c>
    </row>
    <row r="1606" spans="1:15" ht="15.75" customHeight="1">
      <c r="A1606" s="4" t="s">
        <v>49</v>
      </c>
      <c r="B1606" s="4">
        <v>1677734</v>
      </c>
      <c r="C1606" s="4">
        <v>1678510</v>
      </c>
      <c r="E1606" s="4" t="s">
        <v>55</v>
      </c>
      <c r="F1606" s="4" t="s">
        <v>4459</v>
      </c>
      <c r="I1606" s="4" t="s">
        <v>52</v>
      </c>
      <c r="L1606" s="4" t="s">
        <v>4462</v>
      </c>
      <c r="M1606" s="4" t="s">
        <v>4459</v>
      </c>
      <c r="N1606" s="4">
        <v>258</v>
      </c>
      <c r="O1606" s="4" t="s">
        <v>4463</v>
      </c>
    </row>
    <row r="1607" spans="1:15" ht="15.75" customHeight="1">
      <c r="A1607" s="4" t="s">
        <v>49</v>
      </c>
      <c r="B1607" s="4">
        <v>1678513</v>
      </c>
      <c r="C1607" s="4">
        <v>1678827</v>
      </c>
      <c r="E1607" s="4" t="s">
        <v>55</v>
      </c>
      <c r="F1607" s="4" t="s">
        <v>4464</v>
      </c>
      <c r="I1607" s="4" t="s">
        <v>52</v>
      </c>
      <c r="L1607" s="4" t="s">
        <v>4465</v>
      </c>
      <c r="M1607" s="4" t="s">
        <v>4464</v>
      </c>
      <c r="N1607" s="4">
        <v>104</v>
      </c>
      <c r="O1607" s="4" t="s">
        <v>4466</v>
      </c>
    </row>
    <row r="1608" spans="1:15" ht="15.75" customHeight="1">
      <c r="A1608" s="4" t="s">
        <v>49</v>
      </c>
      <c r="B1608" s="4">
        <v>1678929</v>
      </c>
      <c r="C1608" s="4">
        <v>1679045</v>
      </c>
      <c r="E1608" s="4" t="s">
        <v>55</v>
      </c>
      <c r="F1608" s="4" t="s">
        <v>2545</v>
      </c>
      <c r="G1608" s="4" t="s">
        <v>2546</v>
      </c>
      <c r="I1608" s="4" t="s">
        <v>2547</v>
      </c>
      <c r="O1608" s="4" t="s">
        <v>4467</v>
      </c>
    </row>
    <row r="1609" spans="1:15" ht="15.75" customHeight="1">
      <c r="A1609" s="4" t="s">
        <v>49</v>
      </c>
      <c r="B1609" s="4">
        <v>1679244</v>
      </c>
      <c r="C1609" s="4">
        <v>1682161</v>
      </c>
      <c r="E1609" s="4" t="s">
        <v>55</v>
      </c>
      <c r="F1609" s="4" t="s">
        <v>2549</v>
      </c>
      <c r="I1609" s="4" t="s">
        <v>2547</v>
      </c>
      <c r="O1609" s="4" t="s">
        <v>4468</v>
      </c>
    </row>
    <row r="1610" spans="1:15" ht="15.75" customHeight="1">
      <c r="A1610" s="4" t="s">
        <v>49</v>
      </c>
      <c r="B1610" s="4">
        <v>1682381</v>
      </c>
      <c r="C1610" s="4">
        <v>1683950</v>
      </c>
      <c r="E1610" s="4" t="s">
        <v>55</v>
      </c>
      <c r="F1610" s="4" t="s">
        <v>2555</v>
      </c>
      <c r="I1610" s="4" t="s">
        <v>2547</v>
      </c>
      <c r="O1610" s="4" t="s">
        <v>4469</v>
      </c>
    </row>
    <row r="1611" spans="1:15" ht="15.75" customHeight="1">
      <c r="A1611" s="4" t="s">
        <v>49</v>
      </c>
      <c r="B1611" s="4">
        <v>1684270</v>
      </c>
      <c r="C1611" s="4">
        <v>1685010</v>
      </c>
      <c r="E1611" s="4" t="s">
        <v>50</v>
      </c>
      <c r="F1611" s="4" t="s">
        <v>161</v>
      </c>
      <c r="I1611" s="4" t="s">
        <v>52</v>
      </c>
      <c r="L1611" s="4" t="s">
        <v>4470</v>
      </c>
      <c r="M1611" s="4" t="s">
        <v>161</v>
      </c>
      <c r="N1611" s="4">
        <v>246</v>
      </c>
      <c r="O1611" s="4" t="s">
        <v>4471</v>
      </c>
    </row>
    <row r="1612" spans="1:15" ht="15.75" customHeight="1">
      <c r="A1612" s="4" t="s">
        <v>49</v>
      </c>
      <c r="B1612" s="4">
        <v>1685171</v>
      </c>
      <c r="C1612" s="4">
        <v>1686718</v>
      </c>
      <c r="E1612" s="4" t="s">
        <v>55</v>
      </c>
      <c r="F1612" s="4" t="s">
        <v>1207</v>
      </c>
      <c r="I1612" s="4" t="s">
        <v>52</v>
      </c>
      <c r="L1612" s="4" t="s">
        <v>4472</v>
      </c>
      <c r="M1612" s="4" t="s">
        <v>1207</v>
      </c>
      <c r="N1612" s="4">
        <v>515</v>
      </c>
      <c r="O1612" s="4" t="s">
        <v>4473</v>
      </c>
    </row>
    <row r="1613" spans="1:15" ht="15.75" customHeight="1">
      <c r="A1613" s="4" t="s">
        <v>49</v>
      </c>
      <c r="B1613" s="4">
        <v>1687097</v>
      </c>
      <c r="C1613" s="4">
        <v>1688035</v>
      </c>
      <c r="E1613" s="4" t="s">
        <v>50</v>
      </c>
      <c r="F1613" s="4" t="s">
        <v>4474</v>
      </c>
      <c r="I1613" s="4" t="s">
        <v>52</v>
      </c>
      <c r="L1613" s="4" t="s">
        <v>4475</v>
      </c>
      <c r="M1613" s="4" t="s">
        <v>4474</v>
      </c>
      <c r="N1613" s="4">
        <v>312</v>
      </c>
      <c r="O1613" s="4" t="s">
        <v>4476</v>
      </c>
    </row>
    <row r="1614" spans="1:15" ht="15.75" customHeight="1">
      <c r="A1614" s="4" t="s">
        <v>49</v>
      </c>
      <c r="B1614" s="4">
        <v>1688113</v>
      </c>
      <c r="C1614" s="4">
        <v>1688712</v>
      </c>
      <c r="E1614" s="4" t="s">
        <v>50</v>
      </c>
      <c r="F1614" s="4" t="s">
        <v>4477</v>
      </c>
      <c r="G1614" s="4" t="s">
        <v>4478</v>
      </c>
      <c r="I1614" s="4" t="s">
        <v>52</v>
      </c>
      <c r="L1614" s="4" t="s">
        <v>4479</v>
      </c>
      <c r="M1614" s="4" t="s">
        <v>4477</v>
      </c>
      <c r="N1614" s="4">
        <v>199</v>
      </c>
      <c r="O1614" s="4" t="s">
        <v>4480</v>
      </c>
    </row>
    <row r="1615" spans="1:15" ht="15.75" customHeight="1">
      <c r="A1615" s="4" t="s">
        <v>49</v>
      </c>
      <c r="B1615" s="4">
        <v>1689015</v>
      </c>
      <c r="C1615" s="4">
        <v>1689347</v>
      </c>
      <c r="E1615" s="4" t="s">
        <v>55</v>
      </c>
      <c r="F1615" s="4" t="s">
        <v>56</v>
      </c>
      <c r="I1615" s="4" t="s">
        <v>52</v>
      </c>
      <c r="L1615" s="4" t="s">
        <v>4481</v>
      </c>
      <c r="M1615" s="4" t="s">
        <v>56</v>
      </c>
      <c r="N1615" s="4">
        <v>110</v>
      </c>
      <c r="O1615" s="4" t="s">
        <v>4482</v>
      </c>
    </row>
    <row r="1616" spans="1:15" ht="15.75" customHeight="1">
      <c r="A1616" s="4" t="s">
        <v>49</v>
      </c>
      <c r="B1616" s="4">
        <v>1689456</v>
      </c>
      <c r="C1616" s="4">
        <v>1690199</v>
      </c>
      <c r="E1616" s="4" t="s">
        <v>55</v>
      </c>
      <c r="F1616" s="4" t="s">
        <v>4483</v>
      </c>
      <c r="I1616" s="4" t="s">
        <v>52</v>
      </c>
      <c r="L1616" s="4" t="s">
        <v>4484</v>
      </c>
      <c r="M1616" s="4" t="s">
        <v>4483</v>
      </c>
      <c r="N1616" s="4">
        <v>247</v>
      </c>
      <c r="O1616" s="4" t="s">
        <v>4485</v>
      </c>
    </row>
    <row r="1617" spans="1:15" ht="15.75" customHeight="1">
      <c r="A1617" s="4" t="s">
        <v>49</v>
      </c>
      <c r="B1617" s="4">
        <v>1690218</v>
      </c>
      <c r="C1617" s="4">
        <v>1691000</v>
      </c>
      <c r="E1617" s="4" t="s">
        <v>55</v>
      </c>
      <c r="F1617" s="4" t="s">
        <v>328</v>
      </c>
      <c r="I1617" s="4" t="s">
        <v>52</v>
      </c>
      <c r="L1617" s="4" t="s">
        <v>4486</v>
      </c>
      <c r="M1617" s="4" t="s">
        <v>328</v>
      </c>
      <c r="N1617" s="4">
        <v>260</v>
      </c>
      <c r="O1617" s="4" t="s">
        <v>4487</v>
      </c>
    </row>
    <row r="1618" spans="1:15" ht="15.75" customHeight="1">
      <c r="A1618" s="4" t="s">
        <v>49</v>
      </c>
      <c r="B1618" s="4">
        <v>1691085</v>
      </c>
      <c r="C1618" s="4">
        <v>1691843</v>
      </c>
      <c r="E1618" s="4" t="s">
        <v>55</v>
      </c>
      <c r="F1618" s="4" t="s">
        <v>1094</v>
      </c>
      <c r="I1618" s="4" t="s">
        <v>52</v>
      </c>
      <c r="L1618" s="4" t="s">
        <v>4488</v>
      </c>
      <c r="M1618" s="4" t="s">
        <v>1094</v>
      </c>
      <c r="N1618" s="4">
        <v>252</v>
      </c>
      <c r="O1618" s="4" t="s">
        <v>4489</v>
      </c>
    </row>
    <row r="1619" spans="1:15" ht="15.75" customHeight="1">
      <c r="A1619" s="4" t="s">
        <v>49</v>
      </c>
      <c r="B1619" s="4">
        <v>1692288</v>
      </c>
      <c r="C1619" s="4">
        <v>1692974</v>
      </c>
      <c r="E1619" s="4" t="s">
        <v>50</v>
      </c>
      <c r="F1619" s="4" t="s">
        <v>3380</v>
      </c>
      <c r="I1619" s="4" t="s">
        <v>52</v>
      </c>
      <c r="L1619" s="4" t="s">
        <v>4490</v>
      </c>
      <c r="M1619" s="4" t="s">
        <v>3380</v>
      </c>
      <c r="N1619" s="4">
        <v>228</v>
      </c>
      <c r="O1619" s="4" t="s">
        <v>4491</v>
      </c>
    </row>
    <row r="1620" spans="1:15" ht="15.75" customHeight="1">
      <c r="A1620" s="4" t="s">
        <v>49</v>
      </c>
      <c r="B1620" s="4">
        <v>1693815</v>
      </c>
      <c r="C1620" s="4">
        <v>1695194</v>
      </c>
      <c r="E1620" s="4" t="s">
        <v>50</v>
      </c>
      <c r="F1620" s="4" t="s">
        <v>4492</v>
      </c>
      <c r="G1620" s="4" t="s">
        <v>4493</v>
      </c>
      <c r="I1620" s="4" t="s">
        <v>52</v>
      </c>
      <c r="L1620" s="4" t="s">
        <v>4494</v>
      </c>
      <c r="M1620" s="4" t="s">
        <v>4492</v>
      </c>
      <c r="N1620" s="4">
        <v>459</v>
      </c>
      <c r="O1620" s="4" t="s">
        <v>4495</v>
      </c>
    </row>
    <row r="1621" spans="1:15" ht="15.75" customHeight="1">
      <c r="A1621" s="4" t="s">
        <v>49</v>
      </c>
      <c r="B1621" s="4">
        <v>1695419</v>
      </c>
      <c r="C1621" s="4">
        <v>1696513</v>
      </c>
      <c r="E1621" s="4" t="s">
        <v>55</v>
      </c>
      <c r="F1621" s="4" t="s">
        <v>2939</v>
      </c>
      <c r="I1621" s="4" t="s">
        <v>52</v>
      </c>
      <c r="L1621" s="4" t="s">
        <v>4496</v>
      </c>
      <c r="M1621" s="4" t="s">
        <v>2939</v>
      </c>
      <c r="N1621" s="4">
        <v>364</v>
      </c>
      <c r="O1621" s="4" t="s">
        <v>4497</v>
      </c>
    </row>
    <row r="1622" spans="1:15" ht="15.75" customHeight="1">
      <c r="A1622" s="4" t="s">
        <v>49</v>
      </c>
      <c r="B1622" s="4">
        <v>1696642</v>
      </c>
      <c r="C1622" s="4">
        <v>1698441</v>
      </c>
      <c r="E1622" s="4" t="s">
        <v>50</v>
      </c>
      <c r="F1622" s="4" t="s">
        <v>4498</v>
      </c>
      <c r="G1622" s="4" t="s">
        <v>4499</v>
      </c>
      <c r="I1622" s="4" t="s">
        <v>52</v>
      </c>
      <c r="L1622" s="4" t="s">
        <v>4500</v>
      </c>
      <c r="M1622" s="4" t="s">
        <v>4498</v>
      </c>
      <c r="N1622" s="4">
        <v>599</v>
      </c>
      <c r="O1622" s="4" t="s">
        <v>4501</v>
      </c>
    </row>
    <row r="1623" spans="1:15" ht="15.75" customHeight="1">
      <c r="A1623" s="4" t="s">
        <v>49</v>
      </c>
      <c r="B1623" s="4">
        <v>1698438</v>
      </c>
      <c r="C1623" s="4">
        <v>1699319</v>
      </c>
      <c r="E1623" s="4" t="s">
        <v>50</v>
      </c>
      <c r="F1623" s="4" t="s">
        <v>2535</v>
      </c>
      <c r="I1623" s="4" t="s">
        <v>52</v>
      </c>
      <c r="L1623" s="4" t="s">
        <v>4502</v>
      </c>
      <c r="M1623" s="4" t="s">
        <v>2535</v>
      </c>
      <c r="N1623" s="4">
        <v>293</v>
      </c>
      <c r="O1623" s="4" t="s">
        <v>4503</v>
      </c>
    </row>
    <row r="1624" spans="1:15" ht="15.75" customHeight="1">
      <c r="A1624" s="4" t="s">
        <v>49</v>
      </c>
      <c r="B1624" s="4">
        <v>1699316</v>
      </c>
      <c r="C1624" s="4">
        <v>1700167</v>
      </c>
      <c r="E1624" s="4" t="s">
        <v>50</v>
      </c>
      <c r="F1624" s="4" t="s">
        <v>2493</v>
      </c>
      <c r="I1624" s="4" t="s">
        <v>52</v>
      </c>
      <c r="L1624" s="4" t="s">
        <v>4504</v>
      </c>
      <c r="M1624" s="4" t="s">
        <v>2493</v>
      </c>
      <c r="N1624" s="4">
        <v>283</v>
      </c>
      <c r="O1624" s="4" t="s">
        <v>4505</v>
      </c>
    </row>
    <row r="1625" spans="1:15" ht="15.75" customHeight="1">
      <c r="A1625" s="4" t="s">
        <v>49</v>
      </c>
      <c r="B1625" s="4">
        <v>1700235</v>
      </c>
      <c r="C1625" s="4">
        <v>1701032</v>
      </c>
      <c r="E1625" s="4" t="s">
        <v>55</v>
      </c>
      <c r="F1625" s="4" t="s">
        <v>4506</v>
      </c>
      <c r="I1625" s="4" t="s">
        <v>52</v>
      </c>
      <c r="L1625" s="4" t="s">
        <v>4507</v>
      </c>
      <c r="M1625" s="4" t="s">
        <v>4506</v>
      </c>
      <c r="N1625" s="4">
        <v>265</v>
      </c>
      <c r="O1625" s="4" t="s">
        <v>4508</v>
      </c>
    </row>
    <row r="1626" spans="1:15" ht="15.75" customHeight="1">
      <c r="A1626" s="4" t="s">
        <v>49</v>
      </c>
      <c r="B1626" s="4">
        <v>1701029</v>
      </c>
      <c r="C1626" s="4">
        <v>1701748</v>
      </c>
      <c r="E1626" s="4" t="s">
        <v>55</v>
      </c>
      <c r="F1626" s="4" t="s">
        <v>4509</v>
      </c>
      <c r="I1626" s="4" t="s">
        <v>52</v>
      </c>
      <c r="L1626" s="4" t="s">
        <v>4510</v>
      </c>
      <c r="M1626" s="4" t="s">
        <v>4509</v>
      </c>
      <c r="N1626" s="4">
        <v>239</v>
      </c>
      <c r="O1626" s="4" t="s">
        <v>4511</v>
      </c>
    </row>
    <row r="1627" spans="1:15" ht="15.75" customHeight="1">
      <c r="A1627" s="4" t="s">
        <v>49</v>
      </c>
      <c r="B1627" s="4">
        <v>1701822</v>
      </c>
      <c r="C1627" s="4">
        <v>1702166</v>
      </c>
      <c r="E1627" s="4" t="s">
        <v>55</v>
      </c>
      <c r="F1627" s="4" t="s">
        <v>56</v>
      </c>
      <c r="I1627" s="4" t="s">
        <v>52</v>
      </c>
      <c r="L1627" s="4" t="s">
        <v>4512</v>
      </c>
      <c r="M1627" s="4" t="s">
        <v>56</v>
      </c>
      <c r="N1627" s="4">
        <v>114</v>
      </c>
      <c r="O1627" s="4" t="s">
        <v>4513</v>
      </c>
    </row>
    <row r="1628" spans="1:15" ht="15.75" customHeight="1">
      <c r="A1628" s="4" t="s">
        <v>49</v>
      </c>
      <c r="B1628" s="4">
        <v>1702413</v>
      </c>
      <c r="C1628" s="4">
        <v>1703765</v>
      </c>
      <c r="E1628" s="4" t="s">
        <v>55</v>
      </c>
      <c r="F1628" s="4" t="s">
        <v>4514</v>
      </c>
      <c r="I1628" s="4" t="s">
        <v>52</v>
      </c>
      <c r="L1628" s="4" t="s">
        <v>4515</v>
      </c>
      <c r="M1628" s="4" t="s">
        <v>4514</v>
      </c>
      <c r="N1628" s="4">
        <v>450</v>
      </c>
      <c r="O1628" s="4" t="s">
        <v>4516</v>
      </c>
    </row>
    <row r="1629" spans="1:15" ht="15.75" customHeight="1">
      <c r="A1629" s="4" t="s">
        <v>49</v>
      </c>
      <c r="B1629" s="4">
        <v>1703950</v>
      </c>
      <c r="C1629" s="4">
        <v>1705518</v>
      </c>
      <c r="E1629" s="4" t="s">
        <v>55</v>
      </c>
      <c r="F1629" s="4" t="s">
        <v>4517</v>
      </c>
      <c r="G1629" s="4" t="s">
        <v>4518</v>
      </c>
      <c r="I1629" s="4" t="s">
        <v>52</v>
      </c>
      <c r="L1629" s="4" t="s">
        <v>4519</v>
      </c>
      <c r="M1629" s="4" t="s">
        <v>4517</v>
      </c>
      <c r="N1629" s="4">
        <v>522</v>
      </c>
      <c r="O1629" s="4" t="s">
        <v>4520</v>
      </c>
    </row>
    <row r="1630" spans="1:15" ht="15.75" customHeight="1">
      <c r="A1630" s="4" t="s">
        <v>49</v>
      </c>
      <c r="B1630" s="4">
        <v>1705588</v>
      </c>
      <c r="C1630" s="4">
        <v>1706493</v>
      </c>
      <c r="E1630" s="4" t="s">
        <v>55</v>
      </c>
      <c r="F1630" s="4" t="s">
        <v>4521</v>
      </c>
      <c r="G1630" s="4" t="s">
        <v>4522</v>
      </c>
      <c r="I1630" s="4" t="s">
        <v>52</v>
      </c>
      <c r="L1630" s="4" t="s">
        <v>4523</v>
      </c>
      <c r="M1630" s="4" t="s">
        <v>4521</v>
      </c>
      <c r="N1630" s="4">
        <v>301</v>
      </c>
      <c r="O1630" s="4" t="s">
        <v>4524</v>
      </c>
    </row>
    <row r="1631" spans="1:15" ht="15.75" customHeight="1">
      <c r="A1631" s="4" t="s">
        <v>49</v>
      </c>
      <c r="B1631" s="4">
        <v>1706796</v>
      </c>
      <c r="C1631" s="4">
        <v>1707638</v>
      </c>
      <c r="E1631" s="4" t="s">
        <v>50</v>
      </c>
      <c r="F1631" s="4" t="s">
        <v>3646</v>
      </c>
      <c r="I1631" s="4" t="s">
        <v>52</v>
      </c>
      <c r="L1631" s="4" t="s">
        <v>4525</v>
      </c>
      <c r="M1631" s="4" t="s">
        <v>3646</v>
      </c>
      <c r="N1631" s="4">
        <v>280</v>
      </c>
      <c r="O1631" s="4" t="s">
        <v>4526</v>
      </c>
    </row>
    <row r="1632" spans="1:15" ht="15.75" customHeight="1">
      <c r="A1632" s="4" t="s">
        <v>49</v>
      </c>
      <c r="B1632" s="4">
        <v>1707855</v>
      </c>
      <c r="C1632" s="4">
        <v>1708244</v>
      </c>
      <c r="E1632" s="4" t="s">
        <v>55</v>
      </c>
      <c r="F1632" s="4" t="s">
        <v>4527</v>
      </c>
      <c r="I1632" s="4" t="s">
        <v>52</v>
      </c>
      <c r="L1632" s="4" t="s">
        <v>4528</v>
      </c>
      <c r="M1632" s="4" t="s">
        <v>4527</v>
      </c>
      <c r="N1632" s="4">
        <v>129</v>
      </c>
      <c r="O1632" s="4" t="s">
        <v>4529</v>
      </c>
    </row>
    <row r="1633" spans="1:15" ht="15.75" customHeight="1">
      <c r="A1633" s="4" t="s">
        <v>49</v>
      </c>
      <c r="B1633" s="4">
        <v>1708282</v>
      </c>
      <c r="C1633" s="4">
        <v>1709154</v>
      </c>
      <c r="E1633" s="4" t="s">
        <v>55</v>
      </c>
      <c r="F1633" s="4" t="s">
        <v>4530</v>
      </c>
      <c r="I1633" s="4" t="s">
        <v>52</v>
      </c>
      <c r="L1633" s="4" t="s">
        <v>4531</v>
      </c>
      <c r="M1633" s="4" t="s">
        <v>4530</v>
      </c>
      <c r="N1633" s="4">
        <v>290</v>
      </c>
      <c r="O1633" s="4" t="s">
        <v>4532</v>
      </c>
    </row>
    <row r="1634" spans="1:15" ht="15.75" customHeight="1">
      <c r="A1634" s="4" t="s">
        <v>49</v>
      </c>
      <c r="B1634" s="4">
        <v>1709177</v>
      </c>
      <c r="C1634" s="4">
        <v>1710073</v>
      </c>
      <c r="E1634" s="4" t="s">
        <v>55</v>
      </c>
      <c r="F1634" s="4" t="s">
        <v>4533</v>
      </c>
      <c r="G1634" s="4" t="s">
        <v>4534</v>
      </c>
      <c r="I1634" s="4" t="s">
        <v>52</v>
      </c>
      <c r="L1634" s="4" t="s">
        <v>4535</v>
      </c>
      <c r="M1634" s="4" t="s">
        <v>4533</v>
      </c>
      <c r="N1634" s="4">
        <v>298</v>
      </c>
      <c r="O1634" s="4" t="s">
        <v>4536</v>
      </c>
    </row>
    <row r="1635" spans="1:15" ht="15.75" customHeight="1">
      <c r="A1635" s="4" t="s">
        <v>49</v>
      </c>
      <c r="B1635" s="4">
        <v>1710075</v>
      </c>
      <c r="C1635" s="4">
        <v>1711127</v>
      </c>
      <c r="E1635" s="4" t="s">
        <v>55</v>
      </c>
      <c r="F1635" s="4" t="s">
        <v>4537</v>
      </c>
      <c r="G1635" s="4" t="s">
        <v>4538</v>
      </c>
      <c r="I1635" s="4" t="s">
        <v>52</v>
      </c>
      <c r="L1635" s="4" t="s">
        <v>4539</v>
      </c>
      <c r="M1635" s="4" t="s">
        <v>4537</v>
      </c>
      <c r="N1635" s="4">
        <v>350</v>
      </c>
      <c r="O1635" s="4" t="s">
        <v>4540</v>
      </c>
    </row>
    <row r="1636" spans="1:15" ht="15.75" customHeight="1">
      <c r="A1636" s="4" t="s">
        <v>49</v>
      </c>
      <c r="B1636" s="4">
        <v>1711165</v>
      </c>
      <c r="C1636" s="4">
        <v>1711632</v>
      </c>
      <c r="E1636" s="4" t="s">
        <v>55</v>
      </c>
      <c r="F1636" s="4" t="s">
        <v>345</v>
      </c>
      <c r="I1636" s="4" t="s">
        <v>346</v>
      </c>
      <c r="O1636" s="4" t="s">
        <v>4541</v>
      </c>
    </row>
    <row r="1637" spans="1:15" ht="15.75" customHeight="1">
      <c r="A1637" s="4" t="s">
        <v>49</v>
      </c>
      <c r="B1637" s="4">
        <v>1711654</v>
      </c>
      <c r="C1637" s="4">
        <v>1712574</v>
      </c>
      <c r="E1637" s="4" t="s">
        <v>55</v>
      </c>
      <c r="F1637" s="4" t="s">
        <v>674</v>
      </c>
      <c r="I1637" s="4" t="s">
        <v>52</v>
      </c>
      <c r="L1637" s="4" t="s">
        <v>675</v>
      </c>
      <c r="M1637" s="4" t="s">
        <v>674</v>
      </c>
      <c r="N1637" s="4">
        <v>306</v>
      </c>
      <c r="O1637" s="4" t="s">
        <v>4542</v>
      </c>
    </row>
    <row r="1638" spans="1:15" ht="15.75" customHeight="1">
      <c r="A1638" s="4" t="s">
        <v>49</v>
      </c>
      <c r="B1638" s="4">
        <v>1712685</v>
      </c>
      <c r="C1638" s="4">
        <v>1713260</v>
      </c>
      <c r="E1638" s="4" t="s">
        <v>55</v>
      </c>
      <c r="F1638" s="4" t="s">
        <v>345</v>
      </c>
      <c r="I1638" s="4" t="s">
        <v>346</v>
      </c>
      <c r="O1638" s="4" t="s">
        <v>4543</v>
      </c>
    </row>
    <row r="1639" spans="1:15" ht="15.75" customHeight="1">
      <c r="A1639" s="4" t="s">
        <v>49</v>
      </c>
      <c r="B1639" s="4">
        <v>1713274</v>
      </c>
      <c r="C1639" s="4">
        <v>1715229</v>
      </c>
      <c r="E1639" s="4" t="s">
        <v>55</v>
      </c>
      <c r="F1639" s="4" t="s">
        <v>4544</v>
      </c>
      <c r="G1639" s="4" t="s">
        <v>4545</v>
      </c>
      <c r="I1639" s="4" t="s">
        <v>52</v>
      </c>
      <c r="L1639" s="4" t="s">
        <v>4546</v>
      </c>
      <c r="M1639" s="4" t="s">
        <v>4544</v>
      </c>
      <c r="N1639" s="4">
        <v>651</v>
      </c>
      <c r="O1639" s="4" t="s">
        <v>4547</v>
      </c>
    </row>
    <row r="1640" spans="1:15" ht="15.75" customHeight="1">
      <c r="A1640" s="4" t="s">
        <v>49</v>
      </c>
      <c r="B1640" s="4">
        <v>1715226</v>
      </c>
      <c r="C1640" s="4">
        <v>1716206</v>
      </c>
      <c r="E1640" s="4" t="s">
        <v>55</v>
      </c>
      <c r="F1640" s="4" t="s">
        <v>4548</v>
      </c>
      <c r="G1640" s="4" t="s">
        <v>4549</v>
      </c>
      <c r="I1640" s="4" t="s">
        <v>52</v>
      </c>
      <c r="L1640" s="4" t="s">
        <v>4550</v>
      </c>
      <c r="M1640" s="4" t="s">
        <v>4548</v>
      </c>
      <c r="N1640" s="4">
        <v>326</v>
      </c>
      <c r="O1640" s="4" t="s">
        <v>4551</v>
      </c>
    </row>
    <row r="1641" spans="1:15" ht="15.75" customHeight="1">
      <c r="A1641" s="4" t="s">
        <v>49</v>
      </c>
      <c r="B1641" s="4">
        <v>1716243</v>
      </c>
      <c r="C1641" s="4">
        <v>1717058</v>
      </c>
      <c r="E1641" s="4" t="s">
        <v>55</v>
      </c>
      <c r="F1641" s="4" t="s">
        <v>4552</v>
      </c>
      <c r="G1641" s="4" t="s">
        <v>4553</v>
      </c>
      <c r="I1641" s="4" t="s">
        <v>52</v>
      </c>
      <c r="L1641" s="4" t="s">
        <v>4554</v>
      </c>
      <c r="M1641" s="4" t="s">
        <v>4552</v>
      </c>
      <c r="N1641" s="4">
        <v>271</v>
      </c>
      <c r="O1641" s="4" t="s">
        <v>4555</v>
      </c>
    </row>
    <row r="1642" spans="1:15" ht="15.75" customHeight="1">
      <c r="A1642" s="4" t="s">
        <v>49</v>
      </c>
      <c r="B1642" s="4">
        <v>1717103</v>
      </c>
      <c r="C1642" s="4">
        <v>1718581</v>
      </c>
      <c r="E1642" s="4" t="s">
        <v>55</v>
      </c>
      <c r="F1642" s="4" t="s">
        <v>4556</v>
      </c>
      <c r="I1642" s="4" t="s">
        <v>52</v>
      </c>
      <c r="L1642" s="4" t="s">
        <v>4557</v>
      </c>
      <c r="M1642" s="4" t="s">
        <v>4556</v>
      </c>
      <c r="N1642" s="4">
        <v>492</v>
      </c>
      <c r="O1642" s="4" t="s">
        <v>4558</v>
      </c>
    </row>
    <row r="1643" spans="1:15" ht="15.75" customHeight="1">
      <c r="A1643" s="4" t="s">
        <v>49</v>
      </c>
      <c r="B1643" s="4">
        <v>1718658</v>
      </c>
      <c r="C1643" s="4">
        <v>1720148</v>
      </c>
      <c r="E1643" s="4" t="s">
        <v>55</v>
      </c>
      <c r="F1643" s="4" t="s">
        <v>2354</v>
      </c>
      <c r="I1643" s="4" t="s">
        <v>52</v>
      </c>
      <c r="L1643" s="4" t="s">
        <v>4559</v>
      </c>
      <c r="M1643" s="4" t="s">
        <v>2354</v>
      </c>
      <c r="N1643" s="4">
        <v>496</v>
      </c>
      <c r="O1643" s="4" t="s">
        <v>4560</v>
      </c>
    </row>
    <row r="1644" spans="1:15" ht="15.75" customHeight="1">
      <c r="A1644" s="4" t="s">
        <v>49</v>
      </c>
      <c r="B1644" s="4">
        <v>1720692</v>
      </c>
      <c r="C1644" s="4">
        <v>1721498</v>
      </c>
      <c r="E1644" s="4" t="s">
        <v>50</v>
      </c>
      <c r="F1644" s="4" t="s">
        <v>1094</v>
      </c>
      <c r="I1644" s="4" t="s">
        <v>52</v>
      </c>
      <c r="L1644" s="4" t="s">
        <v>4561</v>
      </c>
      <c r="M1644" s="4" t="s">
        <v>1094</v>
      </c>
      <c r="N1644" s="4">
        <v>268</v>
      </c>
      <c r="O1644" s="4" t="s">
        <v>4562</v>
      </c>
    </row>
    <row r="1645" spans="1:15" ht="15.75" customHeight="1">
      <c r="A1645" s="4" t="s">
        <v>49</v>
      </c>
      <c r="B1645" s="4">
        <v>1721685</v>
      </c>
      <c r="C1645" s="4">
        <v>1722545</v>
      </c>
      <c r="E1645" s="4" t="s">
        <v>55</v>
      </c>
      <c r="F1645" s="4" t="s">
        <v>3943</v>
      </c>
      <c r="I1645" s="4" t="s">
        <v>52</v>
      </c>
      <c r="L1645" s="4" t="s">
        <v>4563</v>
      </c>
      <c r="M1645" s="4" t="s">
        <v>3943</v>
      </c>
      <c r="N1645" s="4">
        <v>286</v>
      </c>
      <c r="O1645" s="4" t="s">
        <v>4564</v>
      </c>
    </row>
    <row r="1646" spans="1:15" ht="15.75" customHeight="1">
      <c r="A1646" s="4" t="s">
        <v>49</v>
      </c>
      <c r="B1646" s="4">
        <v>1722742</v>
      </c>
      <c r="C1646" s="4">
        <v>1723494</v>
      </c>
      <c r="E1646" s="4" t="s">
        <v>55</v>
      </c>
      <c r="F1646" s="4" t="s">
        <v>4565</v>
      </c>
      <c r="I1646" s="4" t="s">
        <v>52</v>
      </c>
      <c r="L1646" s="4" t="s">
        <v>4566</v>
      </c>
      <c r="M1646" s="4" t="s">
        <v>4565</v>
      </c>
      <c r="N1646" s="4">
        <v>250</v>
      </c>
      <c r="O1646" s="4" t="s">
        <v>4567</v>
      </c>
    </row>
    <row r="1647" spans="1:15" ht="15.75" customHeight="1">
      <c r="A1647" s="4" t="s">
        <v>49</v>
      </c>
      <c r="B1647" s="4">
        <v>1723500</v>
      </c>
      <c r="C1647" s="4">
        <v>1725053</v>
      </c>
      <c r="E1647" s="4" t="s">
        <v>55</v>
      </c>
      <c r="F1647" s="4" t="s">
        <v>4568</v>
      </c>
      <c r="I1647" s="4" t="s">
        <v>52</v>
      </c>
      <c r="L1647" s="4" t="s">
        <v>4569</v>
      </c>
      <c r="M1647" s="4" t="s">
        <v>4568</v>
      </c>
      <c r="N1647" s="4">
        <v>517</v>
      </c>
      <c r="O1647" s="4" t="s">
        <v>4570</v>
      </c>
    </row>
    <row r="1648" spans="1:15" ht="15.75" customHeight="1">
      <c r="A1648" s="4" t="s">
        <v>49</v>
      </c>
      <c r="B1648" s="4">
        <v>1725194</v>
      </c>
      <c r="C1648" s="4">
        <v>1725661</v>
      </c>
      <c r="E1648" s="4" t="s">
        <v>55</v>
      </c>
      <c r="F1648" s="4" t="s">
        <v>2068</v>
      </c>
      <c r="G1648" s="4" t="s">
        <v>2069</v>
      </c>
      <c r="I1648" s="4" t="s">
        <v>52</v>
      </c>
      <c r="L1648" s="4" t="s">
        <v>4571</v>
      </c>
      <c r="M1648" s="4" t="s">
        <v>2068</v>
      </c>
      <c r="N1648" s="4">
        <v>155</v>
      </c>
      <c r="O1648" s="4" t="s">
        <v>4572</v>
      </c>
    </row>
    <row r="1649" spans="1:15" ht="15.75" customHeight="1">
      <c r="A1649" s="4" t="s">
        <v>49</v>
      </c>
      <c r="B1649" s="4">
        <v>1725793</v>
      </c>
      <c r="C1649" s="4">
        <v>1727103</v>
      </c>
      <c r="E1649" s="4" t="s">
        <v>55</v>
      </c>
      <c r="F1649" s="4" t="s">
        <v>4573</v>
      </c>
      <c r="I1649" s="4" t="s">
        <v>52</v>
      </c>
      <c r="L1649" s="4" t="s">
        <v>4574</v>
      </c>
      <c r="M1649" s="4" t="s">
        <v>4573</v>
      </c>
      <c r="N1649" s="4">
        <v>436</v>
      </c>
      <c r="O1649" s="4" t="s">
        <v>4575</v>
      </c>
    </row>
    <row r="1650" spans="1:15" ht="15.75" customHeight="1">
      <c r="A1650" s="4" t="s">
        <v>49</v>
      </c>
      <c r="B1650" s="4">
        <v>1727100</v>
      </c>
      <c r="C1650" s="4">
        <v>1728290</v>
      </c>
      <c r="E1650" s="4" t="s">
        <v>55</v>
      </c>
      <c r="F1650" s="4" t="s">
        <v>197</v>
      </c>
      <c r="I1650" s="4" t="s">
        <v>52</v>
      </c>
      <c r="L1650" s="4" t="s">
        <v>4576</v>
      </c>
      <c r="M1650" s="4" t="s">
        <v>197</v>
      </c>
      <c r="N1650" s="4">
        <v>396</v>
      </c>
      <c r="O1650" s="4" t="s">
        <v>4577</v>
      </c>
    </row>
    <row r="1651" spans="1:15" ht="15.75" customHeight="1">
      <c r="A1651" s="4" t="s">
        <v>49</v>
      </c>
      <c r="B1651" s="4">
        <v>1728296</v>
      </c>
      <c r="C1651" s="4">
        <v>1728982</v>
      </c>
      <c r="E1651" s="4" t="s">
        <v>55</v>
      </c>
      <c r="F1651" s="4" t="s">
        <v>194</v>
      </c>
      <c r="I1651" s="4" t="s">
        <v>52</v>
      </c>
      <c r="L1651" s="4" t="s">
        <v>4578</v>
      </c>
      <c r="M1651" s="4" t="s">
        <v>194</v>
      </c>
      <c r="N1651" s="4">
        <v>228</v>
      </c>
      <c r="O1651" s="4" t="s">
        <v>4579</v>
      </c>
    </row>
    <row r="1652" spans="1:15" ht="15.75" customHeight="1">
      <c r="A1652" s="4" t="s">
        <v>49</v>
      </c>
      <c r="B1652" s="4">
        <v>1729137</v>
      </c>
      <c r="C1652" s="4">
        <v>1729817</v>
      </c>
      <c r="E1652" s="4" t="s">
        <v>50</v>
      </c>
      <c r="F1652" s="4" t="s">
        <v>56</v>
      </c>
      <c r="I1652" s="4" t="s">
        <v>52</v>
      </c>
      <c r="L1652" s="4" t="s">
        <v>4580</v>
      </c>
      <c r="M1652" s="4" t="s">
        <v>56</v>
      </c>
      <c r="N1652" s="4">
        <v>226</v>
      </c>
      <c r="O1652" s="4" t="s">
        <v>4581</v>
      </c>
    </row>
    <row r="1653" spans="1:15" ht="15.75" customHeight="1">
      <c r="A1653" s="4" t="s">
        <v>49</v>
      </c>
      <c r="B1653" s="4">
        <v>1729899</v>
      </c>
      <c r="C1653" s="4">
        <v>1731386</v>
      </c>
      <c r="E1653" s="4" t="s">
        <v>55</v>
      </c>
      <c r="F1653" s="4" t="s">
        <v>4582</v>
      </c>
      <c r="G1653" s="4" t="s">
        <v>4583</v>
      </c>
      <c r="I1653" s="4" t="s">
        <v>52</v>
      </c>
      <c r="L1653" s="4" t="s">
        <v>4584</v>
      </c>
      <c r="M1653" s="4" t="s">
        <v>4582</v>
      </c>
      <c r="N1653" s="4">
        <v>495</v>
      </c>
      <c r="O1653" s="4" t="s">
        <v>4585</v>
      </c>
    </row>
    <row r="1654" spans="1:15" ht="15.75" customHeight="1">
      <c r="A1654" s="4" t="s">
        <v>49</v>
      </c>
      <c r="B1654" s="4">
        <v>1731762</v>
      </c>
      <c r="C1654" s="4">
        <v>1732583</v>
      </c>
      <c r="E1654" s="4" t="s">
        <v>55</v>
      </c>
      <c r="F1654" s="4" t="s">
        <v>4586</v>
      </c>
      <c r="I1654" s="4" t="s">
        <v>52</v>
      </c>
      <c r="L1654" s="4" t="s">
        <v>4587</v>
      </c>
      <c r="M1654" s="4" t="s">
        <v>4586</v>
      </c>
      <c r="N1654" s="4">
        <v>273</v>
      </c>
      <c r="O1654" s="4" t="s">
        <v>4588</v>
      </c>
    </row>
    <row r="1655" spans="1:15" ht="15.75" customHeight="1">
      <c r="A1655" s="4" t="s">
        <v>49</v>
      </c>
      <c r="B1655" s="4">
        <v>1732615</v>
      </c>
      <c r="C1655" s="4">
        <v>1733721</v>
      </c>
      <c r="E1655" s="4" t="s">
        <v>55</v>
      </c>
      <c r="F1655" s="4" t="s">
        <v>4589</v>
      </c>
      <c r="G1655" s="4" t="s">
        <v>4590</v>
      </c>
      <c r="I1655" s="4" t="s">
        <v>52</v>
      </c>
      <c r="L1655" s="4" t="s">
        <v>4591</v>
      </c>
      <c r="M1655" s="4" t="s">
        <v>4589</v>
      </c>
      <c r="N1655" s="4">
        <v>368</v>
      </c>
      <c r="O1655" s="4" t="s">
        <v>4592</v>
      </c>
    </row>
    <row r="1656" spans="1:15" ht="15.75" customHeight="1">
      <c r="A1656" s="4" t="s">
        <v>49</v>
      </c>
      <c r="B1656" s="4">
        <v>1733753</v>
      </c>
      <c r="C1656" s="4">
        <v>1733935</v>
      </c>
      <c r="E1656" s="4" t="s">
        <v>55</v>
      </c>
      <c r="F1656" s="4" t="s">
        <v>4593</v>
      </c>
      <c r="I1656" s="4" t="s">
        <v>52</v>
      </c>
      <c r="L1656" s="4" t="s">
        <v>4594</v>
      </c>
      <c r="M1656" s="4" t="s">
        <v>4593</v>
      </c>
      <c r="N1656" s="4">
        <v>60</v>
      </c>
      <c r="O1656" s="4" t="s">
        <v>4595</v>
      </c>
    </row>
    <row r="1657" spans="1:15" ht="15.75" customHeight="1">
      <c r="A1657" s="4" t="s">
        <v>49</v>
      </c>
      <c r="B1657" s="4">
        <v>1734100</v>
      </c>
      <c r="C1657" s="4">
        <v>1734972</v>
      </c>
      <c r="E1657" s="4" t="s">
        <v>55</v>
      </c>
      <c r="F1657" s="4" t="s">
        <v>4596</v>
      </c>
      <c r="I1657" s="4" t="s">
        <v>52</v>
      </c>
      <c r="L1657" s="4" t="s">
        <v>4597</v>
      </c>
      <c r="M1657" s="4" t="s">
        <v>4596</v>
      </c>
      <c r="N1657" s="4">
        <v>290</v>
      </c>
      <c r="O1657" s="4" t="s">
        <v>4598</v>
      </c>
    </row>
    <row r="1658" spans="1:15" ht="15.75" customHeight="1">
      <c r="A1658" s="4" t="s">
        <v>49</v>
      </c>
      <c r="B1658" s="4">
        <v>1734962</v>
      </c>
      <c r="C1658" s="4">
        <v>1735729</v>
      </c>
      <c r="E1658" s="4" t="s">
        <v>55</v>
      </c>
      <c r="F1658" s="4" t="s">
        <v>4599</v>
      </c>
      <c r="I1658" s="4" t="s">
        <v>52</v>
      </c>
      <c r="L1658" s="4" t="s">
        <v>4600</v>
      </c>
      <c r="M1658" s="4" t="s">
        <v>4599</v>
      </c>
      <c r="N1658" s="4">
        <v>255</v>
      </c>
      <c r="O1658" s="4" t="s">
        <v>4601</v>
      </c>
    </row>
    <row r="1659" spans="1:15" ht="15.75" customHeight="1">
      <c r="A1659" s="4" t="s">
        <v>49</v>
      </c>
      <c r="B1659" s="4">
        <v>1735739</v>
      </c>
      <c r="C1659" s="4">
        <v>1736569</v>
      </c>
      <c r="E1659" s="4" t="s">
        <v>55</v>
      </c>
      <c r="F1659" s="4" t="s">
        <v>4602</v>
      </c>
      <c r="G1659" s="4" t="s">
        <v>4603</v>
      </c>
      <c r="I1659" s="4" t="s">
        <v>52</v>
      </c>
      <c r="L1659" s="4" t="s">
        <v>4604</v>
      </c>
      <c r="M1659" s="4" t="s">
        <v>4602</v>
      </c>
      <c r="N1659" s="4">
        <v>276</v>
      </c>
      <c r="O1659" s="4" t="s">
        <v>4605</v>
      </c>
    </row>
    <row r="1660" spans="1:15" ht="15.75" customHeight="1">
      <c r="A1660" s="4" t="s">
        <v>49</v>
      </c>
      <c r="B1660" s="4">
        <v>1736573</v>
      </c>
      <c r="C1660" s="4">
        <v>1737304</v>
      </c>
      <c r="E1660" s="4" t="s">
        <v>55</v>
      </c>
      <c r="F1660" s="4" t="s">
        <v>4606</v>
      </c>
      <c r="G1660" s="4" t="s">
        <v>4607</v>
      </c>
      <c r="I1660" s="4" t="s">
        <v>52</v>
      </c>
      <c r="L1660" s="4" t="s">
        <v>4608</v>
      </c>
      <c r="M1660" s="4" t="s">
        <v>4606</v>
      </c>
      <c r="N1660" s="4">
        <v>243</v>
      </c>
      <c r="O1660" s="4" t="s">
        <v>4609</v>
      </c>
    </row>
    <row r="1661" spans="1:15" ht="15.75" customHeight="1">
      <c r="A1661" s="4" t="s">
        <v>49</v>
      </c>
      <c r="B1661" s="4">
        <v>1737614</v>
      </c>
      <c r="C1661" s="4">
        <v>1737994</v>
      </c>
      <c r="E1661" s="4" t="s">
        <v>50</v>
      </c>
      <c r="F1661" s="4" t="s">
        <v>56</v>
      </c>
      <c r="I1661" s="4" t="s">
        <v>52</v>
      </c>
      <c r="L1661" s="4" t="s">
        <v>4610</v>
      </c>
      <c r="M1661" s="4" t="s">
        <v>56</v>
      </c>
      <c r="N1661" s="4">
        <v>126</v>
      </c>
      <c r="O1661" s="4" t="s">
        <v>4611</v>
      </c>
    </row>
    <row r="1662" spans="1:15" ht="15.75" customHeight="1">
      <c r="A1662" s="4" t="s">
        <v>49</v>
      </c>
      <c r="B1662" s="4">
        <v>1738127</v>
      </c>
      <c r="C1662" s="4">
        <v>1738798</v>
      </c>
      <c r="E1662" s="4" t="s">
        <v>50</v>
      </c>
      <c r="F1662" s="4" t="s">
        <v>3383</v>
      </c>
      <c r="I1662" s="4" t="s">
        <v>52</v>
      </c>
      <c r="L1662" s="4" t="s">
        <v>4612</v>
      </c>
      <c r="M1662" s="4" t="s">
        <v>3383</v>
      </c>
      <c r="N1662" s="4">
        <v>223</v>
      </c>
      <c r="O1662" s="4" t="s">
        <v>4613</v>
      </c>
    </row>
    <row r="1663" spans="1:15" ht="15.75" customHeight="1">
      <c r="A1663" s="4" t="s">
        <v>49</v>
      </c>
      <c r="B1663" s="4">
        <v>1738878</v>
      </c>
      <c r="C1663" s="4">
        <v>1739498</v>
      </c>
      <c r="E1663" s="4" t="s">
        <v>55</v>
      </c>
      <c r="F1663" s="4" t="s">
        <v>2648</v>
      </c>
      <c r="I1663" s="4" t="s">
        <v>52</v>
      </c>
      <c r="L1663" s="4" t="s">
        <v>4614</v>
      </c>
      <c r="M1663" s="4" t="s">
        <v>2648</v>
      </c>
      <c r="N1663" s="4">
        <v>206</v>
      </c>
      <c r="O1663" s="4" t="s">
        <v>4615</v>
      </c>
    </row>
    <row r="1664" spans="1:15" ht="15.75" customHeight="1">
      <c r="A1664" s="4" t="s">
        <v>49</v>
      </c>
      <c r="B1664" s="4">
        <v>1739646</v>
      </c>
      <c r="C1664" s="4">
        <v>1740293</v>
      </c>
      <c r="E1664" s="4" t="s">
        <v>55</v>
      </c>
      <c r="F1664" s="4" t="s">
        <v>4616</v>
      </c>
      <c r="G1664" s="4" t="s">
        <v>4617</v>
      </c>
      <c r="I1664" s="4" t="s">
        <v>52</v>
      </c>
      <c r="L1664" s="4" t="s">
        <v>4618</v>
      </c>
      <c r="M1664" s="4" t="s">
        <v>4616</v>
      </c>
      <c r="N1664" s="4">
        <v>215</v>
      </c>
      <c r="O1664" s="4" t="s">
        <v>4619</v>
      </c>
    </row>
    <row r="1665" spans="1:15" ht="15.75" customHeight="1">
      <c r="A1665" s="4" t="s">
        <v>49</v>
      </c>
      <c r="B1665" s="4">
        <v>1740309</v>
      </c>
      <c r="C1665" s="4">
        <v>1741223</v>
      </c>
      <c r="E1665" s="4" t="s">
        <v>55</v>
      </c>
      <c r="F1665" s="4" t="s">
        <v>4620</v>
      </c>
      <c r="I1665" s="4" t="s">
        <v>52</v>
      </c>
      <c r="L1665" s="4" t="s">
        <v>4621</v>
      </c>
      <c r="M1665" s="4" t="s">
        <v>4620</v>
      </c>
      <c r="N1665" s="4">
        <v>304</v>
      </c>
      <c r="O1665" s="4" t="s">
        <v>4622</v>
      </c>
    </row>
    <row r="1666" spans="1:15" ht="15.75" customHeight="1">
      <c r="A1666" s="4" t="s">
        <v>49</v>
      </c>
      <c r="B1666" s="4">
        <v>1741226</v>
      </c>
      <c r="C1666" s="4">
        <v>1741903</v>
      </c>
      <c r="E1666" s="4" t="s">
        <v>55</v>
      </c>
      <c r="F1666" s="4" t="s">
        <v>4623</v>
      </c>
      <c r="I1666" s="4" t="s">
        <v>52</v>
      </c>
      <c r="L1666" s="4" t="s">
        <v>4624</v>
      </c>
      <c r="M1666" s="4" t="s">
        <v>4623</v>
      </c>
      <c r="N1666" s="4">
        <v>225</v>
      </c>
      <c r="O1666" s="4" t="s">
        <v>4625</v>
      </c>
    </row>
    <row r="1667" spans="1:15" ht="15.75" customHeight="1">
      <c r="A1667" s="4" t="s">
        <v>49</v>
      </c>
      <c r="B1667" s="4">
        <v>1742212</v>
      </c>
      <c r="C1667" s="4">
        <v>1742637</v>
      </c>
      <c r="E1667" s="4" t="s">
        <v>55</v>
      </c>
      <c r="F1667" s="4" t="s">
        <v>1908</v>
      </c>
      <c r="I1667" s="4" t="s">
        <v>52</v>
      </c>
      <c r="L1667" s="4" t="s">
        <v>4626</v>
      </c>
      <c r="M1667" s="4" t="s">
        <v>1908</v>
      </c>
      <c r="N1667" s="4">
        <v>141</v>
      </c>
      <c r="O1667" s="4" t="s">
        <v>4627</v>
      </c>
    </row>
    <row r="1668" spans="1:15" ht="15.75" customHeight="1">
      <c r="A1668" s="4" t="s">
        <v>49</v>
      </c>
      <c r="B1668" s="4">
        <v>1742672</v>
      </c>
      <c r="C1668" s="4">
        <v>1743085</v>
      </c>
      <c r="E1668" s="4" t="s">
        <v>55</v>
      </c>
      <c r="F1668" s="4" t="s">
        <v>1908</v>
      </c>
      <c r="I1668" s="4" t="s">
        <v>52</v>
      </c>
      <c r="L1668" s="4" t="s">
        <v>4628</v>
      </c>
      <c r="M1668" s="4" t="s">
        <v>1908</v>
      </c>
      <c r="N1668" s="4">
        <v>137</v>
      </c>
      <c r="O1668" s="4" t="s">
        <v>4629</v>
      </c>
    </row>
    <row r="1669" spans="1:15" ht="15.75" customHeight="1">
      <c r="A1669" s="4" t="s">
        <v>49</v>
      </c>
      <c r="B1669" s="4">
        <v>1743094</v>
      </c>
      <c r="C1669" s="4">
        <v>1743291</v>
      </c>
      <c r="E1669" s="4" t="s">
        <v>55</v>
      </c>
      <c r="F1669" s="4" t="s">
        <v>56</v>
      </c>
      <c r="I1669" s="4" t="s">
        <v>52</v>
      </c>
      <c r="L1669" s="4" t="s">
        <v>4630</v>
      </c>
      <c r="M1669" s="4" t="s">
        <v>56</v>
      </c>
      <c r="N1669" s="4">
        <v>65</v>
      </c>
      <c r="O1669" s="4" t="s">
        <v>4631</v>
      </c>
    </row>
    <row r="1670" spans="1:15" ht="15.75" customHeight="1">
      <c r="A1670" s="4" t="s">
        <v>49</v>
      </c>
      <c r="B1670" s="4">
        <v>1743394</v>
      </c>
      <c r="C1670" s="4">
        <v>1743933</v>
      </c>
      <c r="E1670" s="4" t="s">
        <v>55</v>
      </c>
      <c r="F1670" s="4" t="s">
        <v>4632</v>
      </c>
      <c r="G1670" s="4" t="s">
        <v>4633</v>
      </c>
      <c r="I1670" s="4" t="s">
        <v>52</v>
      </c>
      <c r="L1670" s="4" t="s">
        <v>4634</v>
      </c>
      <c r="M1670" s="4" t="s">
        <v>4632</v>
      </c>
      <c r="N1670" s="4">
        <v>179</v>
      </c>
      <c r="O1670" s="4" t="s">
        <v>4635</v>
      </c>
    </row>
    <row r="1671" spans="1:15" ht="15.75" customHeight="1">
      <c r="A1671" s="4" t="s">
        <v>49</v>
      </c>
      <c r="B1671" s="4">
        <v>1743947</v>
      </c>
      <c r="C1671" s="4">
        <v>1744204</v>
      </c>
      <c r="E1671" s="4" t="s">
        <v>55</v>
      </c>
      <c r="F1671" s="4" t="s">
        <v>4636</v>
      </c>
      <c r="I1671" s="4" t="s">
        <v>52</v>
      </c>
      <c r="L1671" s="4" t="s">
        <v>4637</v>
      </c>
      <c r="M1671" s="4" t="s">
        <v>4636</v>
      </c>
      <c r="N1671" s="4">
        <v>85</v>
      </c>
      <c r="O1671" s="4" t="s">
        <v>4638</v>
      </c>
    </row>
    <row r="1672" spans="1:15" ht="15.75" customHeight="1">
      <c r="A1672" s="4" t="s">
        <v>49</v>
      </c>
      <c r="B1672" s="4">
        <v>1744437</v>
      </c>
      <c r="C1672" s="4">
        <v>1744838</v>
      </c>
      <c r="E1672" s="4" t="s">
        <v>55</v>
      </c>
      <c r="F1672" s="4" t="s">
        <v>4639</v>
      </c>
      <c r="I1672" s="4" t="s">
        <v>52</v>
      </c>
      <c r="L1672" s="4" t="s">
        <v>4640</v>
      </c>
      <c r="M1672" s="4" t="s">
        <v>4639</v>
      </c>
      <c r="N1672" s="4">
        <v>133</v>
      </c>
      <c r="O1672" s="4" t="s">
        <v>4641</v>
      </c>
    </row>
    <row r="1673" spans="1:15" ht="15.75" customHeight="1">
      <c r="A1673" s="4" t="s">
        <v>49</v>
      </c>
      <c r="B1673" s="4">
        <v>1745362</v>
      </c>
      <c r="C1673" s="4">
        <v>1746324</v>
      </c>
      <c r="E1673" s="4" t="s">
        <v>50</v>
      </c>
      <c r="F1673" s="4" t="s">
        <v>4642</v>
      </c>
      <c r="I1673" s="4" t="s">
        <v>52</v>
      </c>
      <c r="L1673" s="4" t="s">
        <v>4643</v>
      </c>
      <c r="M1673" s="4" t="s">
        <v>4642</v>
      </c>
      <c r="N1673" s="4">
        <v>320</v>
      </c>
      <c r="O1673" s="4" t="s">
        <v>4644</v>
      </c>
    </row>
    <row r="1674" spans="1:15" ht="15.75" customHeight="1">
      <c r="A1674" s="4" t="s">
        <v>49</v>
      </c>
      <c r="B1674" s="4">
        <v>1746424</v>
      </c>
      <c r="C1674" s="4">
        <v>1746618</v>
      </c>
      <c r="E1674" s="4" t="s">
        <v>55</v>
      </c>
      <c r="F1674" s="4" t="s">
        <v>56</v>
      </c>
      <c r="I1674" s="4" t="s">
        <v>52</v>
      </c>
      <c r="L1674" s="4" t="s">
        <v>4645</v>
      </c>
      <c r="M1674" s="4" t="s">
        <v>56</v>
      </c>
      <c r="N1674" s="4">
        <v>64</v>
      </c>
      <c r="O1674" s="4" t="s">
        <v>4646</v>
      </c>
    </row>
    <row r="1675" spans="1:15" ht="15.75" customHeight="1">
      <c r="A1675" s="4" t="s">
        <v>49</v>
      </c>
      <c r="B1675" s="4">
        <v>1746615</v>
      </c>
      <c r="C1675" s="4">
        <v>1746857</v>
      </c>
      <c r="E1675" s="4" t="s">
        <v>55</v>
      </c>
      <c r="F1675" s="4" t="s">
        <v>56</v>
      </c>
      <c r="I1675" s="4" t="s">
        <v>52</v>
      </c>
      <c r="L1675" s="4" t="s">
        <v>4647</v>
      </c>
      <c r="M1675" s="4" t="s">
        <v>56</v>
      </c>
      <c r="N1675" s="4">
        <v>80</v>
      </c>
      <c r="O1675" s="4" t="s">
        <v>4648</v>
      </c>
    </row>
    <row r="1676" spans="1:15" ht="15.75" customHeight="1">
      <c r="A1676" s="4" t="s">
        <v>49</v>
      </c>
      <c r="B1676" s="4">
        <v>1746905</v>
      </c>
      <c r="C1676" s="4">
        <v>1747372</v>
      </c>
      <c r="E1676" s="4" t="s">
        <v>55</v>
      </c>
      <c r="F1676" s="4" t="s">
        <v>4649</v>
      </c>
      <c r="I1676" s="4" t="s">
        <v>52</v>
      </c>
      <c r="L1676" s="4" t="s">
        <v>4650</v>
      </c>
      <c r="M1676" s="4" t="s">
        <v>4649</v>
      </c>
      <c r="N1676" s="4">
        <v>155</v>
      </c>
      <c r="O1676" s="4" t="s">
        <v>4651</v>
      </c>
    </row>
    <row r="1677" spans="1:15" ht="15.75" customHeight="1">
      <c r="A1677" s="4" t="s">
        <v>49</v>
      </c>
      <c r="B1677" s="4">
        <v>1747540</v>
      </c>
      <c r="C1677" s="4">
        <v>1747845</v>
      </c>
      <c r="E1677" s="4" t="s">
        <v>55</v>
      </c>
      <c r="F1677" s="4" t="s">
        <v>56</v>
      </c>
      <c r="I1677" s="4" t="s">
        <v>52</v>
      </c>
      <c r="L1677" s="4" t="s">
        <v>4652</v>
      </c>
      <c r="M1677" s="4" t="s">
        <v>56</v>
      </c>
      <c r="N1677" s="4">
        <v>101</v>
      </c>
      <c r="O1677" s="4" t="s">
        <v>4653</v>
      </c>
    </row>
    <row r="1678" spans="1:15" ht="15.75" customHeight="1">
      <c r="A1678" s="4" t="s">
        <v>49</v>
      </c>
      <c r="B1678" s="4">
        <v>1748002</v>
      </c>
      <c r="C1678" s="4">
        <v>1748508</v>
      </c>
      <c r="E1678" s="4" t="s">
        <v>50</v>
      </c>
      <c r="F1678" s="4" t="s">
        <v>56</v>
      </c>
      <c r="I1678" s="4" t="s">
        <v>52</v>
      </c>
      <c r="L1678" s="4" t="s">
        <v>4654</v>
      </c>
      <c r="M1678" s="4" t="s">
        <v>56</v>
      </c>
      <c r="N1678" s="4">
        <v>168</v>
      </c>
      <c r="O1678" s="4" t="s">
        <v>4655</v>
      </c>
    </row>
    <row r="1679" spans="1:15" ht="15.75" customHeight="1">
      <c r="A1679" s="4" t="s">
        <v>49</v>
      </c>
      <c r="B1679" s="4">
        <v>1748757</v>
      </c>
      <c r="C1679" s="4">
        <v>1748963</v>
      </c>
      <c r="E1679" s="4" t="s">
        <v>50</v>
      </c>
      <c r="F1679" s="4" t="s">
        <v>4656</v>
      </c>
      <c r="I1679" s="4" t="s">
        <v>52</v>
      </c>
      <c r="L1679" s="4" t="s">
        <v>4657</v>
      </c>
      <c r="M1679" s="4" t="s">
        <v>4656</v>
      </c>
      <c r="N1679" s="4">
        <v>68</v>
      </c>
      <c r="O1679" s="4" t="s">
        <v>4658</v>
      </c>
    </row>
    <row r="1680" spans="1:15" ht="15.75" customHeight="1">
      <c r="A1680" s="4" t="s">
        <v>49</v>
      </c>
      <c r="B1680" s="4">
        <v>1749081</v>
      </c>
      <c r="C1680" s="4">
        <v>1750324</v>
      </c>
      <c r="E1680" s="4" t="s">
        <v>55</v>
      </c>
      <c r="F1680" s="4" t="s">
        <v>345</v>
      </c>
      <c r="I1680" s="4" t="s">
        <v>346</v>
      </c>
      <c r="O1680" s="4" t="s">
        <v>4659</v>
      </c>
    </row>
    <row r="1681" spans="1:15" ht="15.75" customHeight="1">
      <c r="A1681" s="4" t="s">
        <v>49</v>
      </c>
      <c r="B1681" s="4">
        <v>1750520</v>
      </c>
      <c r="C1681" s="4">
        <v>1750894</v>
      </c>
      <c r="E1681" s="4" t="s">
        <v>55</v>
      </c>
      <c r="F1681" s="4" t="s">
        <v>4660</v>
      </c>
      <c r="I1681" s="4" t="s">
        <v>52</v>
      </c>
      <c r="L1681" s="4" t="s">
        <v>4661</v>
      </c>
      <c r="M1681" s="4" t="s">
        <v>4660</v>
      </c>
      <c r="N1681" s="4">
        <v>124</v>
      </c>
      <c r="O1681" s="4" t="s">
        <v>4662</v>
      </c>
    </row>
    <row r="1682" spans="1:15" ht="15.75" customHeight="1">
      <c r="A1682" s="4" t="s">
        <v>49</v>
      </c>
      <c r="B1682" s="4">
        <v>1750894</v>
      </c>
      <c r="C1682" s="4">
        <v>1751736</v>
      </c>
      <c r="E1682" s="4" t="s">
        <v>55</v>
      </c>
      <c r="F1682" s="4" t="s">
        <v>2667</v>
      </c>
      <c r="I1682" s="4" t="s">
        <v>52</v>
      </c>
      <c r="L1682" s="4" t="s">
        <v>4663</v>
      </c>
      <c r="M1682" s="4" t="s">
        <v>2667</v>
      </c>
      <c r="N1682" s="4">
        <v>280</v>
      </c>
      <c r="O1682" s="4" t="s">
        <v>4664</v>
      </c>
    </row>
    <row r="1683" spans="1:15" ht="15.75" customHeight="1">
      <c r="A1683" s="4" t="s">
        <v>49</v>
      </c>
      <c r="B1683" s="4">
        <v>1751861</v>
      </c>
      <c r="C1683" s="4">
        <v>1753174</v>
      </c>
      <c r="E1683" s="4" t="s">
        <v>55</v>
      </c>
      <c r="F1683" s="4" t="s">
        <v>4665</v>
      </c>
      <c r="I1683" s="4" t="s">
        <v>52</v>
      </c>
      <c r="L1683" s="4" t="s">
        <v>4666</v>
      </c>
      <c r="M1683" s="4" t="s">
        <v>4665</v>
      </c>
      <c r="N1683" s="4">
        <v>437</v>
      </c>
      <c r="O1683" s="4" t="s">
        <v>4667</v>
      </c>
    </row>
    <row r="1684" spans="1:15" ht="15.75" customHeight="1">
      <c r="A1684" s="4" t="s">
        <v>49</v>
      </c>
      <c r="B1684" s="4">
        <v>1753360</v>
      </c>
      <c r="C1684" s="4">
        <v>1753992</v>
      </c>
      <c r="E1684" s="4" t="s">
        <v>55</v>
      </c>
      <c r="F1684" s="4" t="s">
        <v>4668</v>
      </c>
      <c r="I1684" s="4" t="s">
        <v>52</v>
      </c>
      <c r="L1684" s="4" t="s">
        <v>4669</v>
      </c>
      <c r="M1684" s="4" t="s">
        <v>4668</v>
      </c>
      <c r="N1684" s="4">
        <v>210</v>
      </c>
      <c r="O1684" s="4" t="s">
        <v>4670</v>
      </c>
    </row>
    <row r="1685" spans="1:15" ht="15.75" customHeight="1">
      <c r="A1685" s="4" t="s">
        <v>49</v>
      </c>
      <c r="B1685" s="4">
        <v>1754003</v>
      </c>
      <c r="C1685" s="4">
        <v>1755364</v>
      </c>
      <c r="E1685" s="4" t="s">
        <v>55</v>
      </c>
      <c r="F1685" s="4" t="s">
        <v>4059</v>
      </c>
      <c r="I1685" s="4" t="s">
        <v>52</v>
      </c>
      <c r="L1685" s="4" t="s">
        <v>4671</v>
      </c>
      <c r="M1685" s="4" t="s">
        <v>4059</v>
      </c>
      <c r="N1685" s="4">
        <v>453</v>
      </c>
      <c r="O1685" s="4" t="s">
        <v>4672</v>
      </c>
    </row>
    <row r="1686" spans="1:15" ht="15.75" customHeight="1">
      <c r="A1686" s="4" t="s">
        <v>49</v>
      </c>
      <c r="B1686" s="4">
        <v>1755510</v>
      </c>
      <c r="C1686" s="4">
        <v>1757351</v>
      </c>
      <c r="E1686" s="4" t="s">
        <v>50</v>
      </c>
      <c r="F1686" s="4" t="s">
        <v>4673</v>
      </c>
      <c r="I1686" s="4" t="s">
        <v>52</v>
      </c>
      <c r="L1686" s="4" t="s">
        <v>4674</v>
      </c>
      <c r="M1686" s="4" t="s">
        <v>4673</v>
      </c>
      <c r="N1686" s="4">
        <v>613</v>
      </c>
      <c r="O1686" s="4" t="s">
        <v>4675</v>
      </c>
    </row>
    <row r="1687" spans="1:15" ht="15.75" customHeight="1">
      <c r="A1687" s="4" t="s">
        <v>49</v>
      </c>
      <c r="B1687" s="4">
        <v>1757818</v>
      </c>
      <c r="C1687" s="4">
        <v>1758711</v>
      </c>
      <c r="E1687" s="4" t="s">
        <v>55</v>
      </c>
      <c r="F1687" s="4" t="s">
        <v>92</v>
      </c>
      <c r="I1687" s="4" t="s">
        <v>52</v>
      </c>
      <c r="L1687" s="4" t="s">
        <v>4676</v>
      </c>
      <c r="M1687" s="4" t="s">
        <v>92</v>
      </c>
      <c r="N1687" s="4">
        <v>297</v>
      </c>
      <c r="O1687" s="4" t="s">
        <v>4677</v>
      </c>
    </row>
    <row r="1688" spans="1:15" ht="15.75" customHeight="1">
      <c r="A1688" s="4" t="s">
        <v>49</v>
      </c>
      <c r="B1688" s="4">
        <v>1758826</v>
      </c>
      <c r="C1688" s="4">
        <v>1760406</v>
      </c>
      <c r="E1688" s="4" t="s">
        <v>50</v>
      </c>
      <c r="F1688" s="4" t="s">
        <v>73</v>
      </c>
      <c r="I1688" s="4" t="s">
        <v>52</v>
      </c>
      <c r="L1688" s="4" t="s">
        <v>4678</v>
      </c>
      <c r="M1688" s="4" t="s">
        <v>73</v>
      </c>
      <c r="N1688" s="4">
        <v>526</v>
      </c>
      <c r="O1688" s="4" t="s">
        <v>4679</v>
      </c>
    </row>
    <row r="1689" spans="1:15" ht="15.75" customHeight="1">
      <c r="A1689" s="4" t="s">
        <v>49</v>
      </c>
      <c r="B1689" s="4">
        <v>1760626</v>
      </c>
      <c r="C1689" s="4">
        <v>1761759</v>
      </c>
      <c r="E1689" s="4" t="s">
        <v>55</v>
      </c>
      <c r="F1689" s="4" t="s">
        <v>56</v>
      </c>
      <c r="I1689" s="4" t="s">
        <v>52</v>
      </c>
      <c r="L1689" s="4" t="s">
        <v>4680</v>
      </c>
      <c r="M1689" s="4" t="s">
        <v>56</v>
      </c>
      <c r="N1689" s="4">
        <v>377</v>
      </c>
      <c r="O1689" s="4" t="s">
        <v>4681</v>
      </c>
    </row>
    <row r="1690" spans="1:15" ht="15.75" customHeight="1">
      <c r="A1690" s="4" t="s">
        <v>49</v>
      </c>
      <c r="B1690" s="4">
        <v>1761919</v>
      </c>
      <c r="C1690" s="4">
        <v>1762386</v>
      </c>
      <c r="E1690" s="4" t="s">
        <v>55</v>
      </c>
      <c r="F1690" s="4" t="s">
        <v>4682</v>
      </c>
      <c r="I1690" s="4" t="s">
        <v>52</v>
      </c>
      <c r="L1690" s="4" t="s">
        <v>4683</v>
      </c>
      <c r="M1690" s="4" t="s">
        <v>4682</v>
      </c>
      <c r="N1690" s="4">
        <v>155</v>
      </c>
      <c r="O1690" s="4" t="s">
        <v>4684</v>
      </c>
    </row>
    <row r="1691" spans="1:15" ht="15.75" customHeight="1">
      <c r="A1691" s="4" t="s">
        <v>49</v>
      </c>
      <c r="B1691" s="4">
        <v>1762435</v>
      </c>
      <c r="C1691" s="4">
        <v>1762719</v>
      </c>
      <c r="E1691" s="4" t="s">
        <v>55</v>
      </c>
      <c r="F1691" s="4" t="s">
        <v>345</v>
      </c>
      <c r="I1691" s="4" t="s">
        <v>346</v>
      </c>
      <c r="O1691" s="4" t="s">
        <v>4685</v>
      </c>
    </row>
    <row r="1692" spans="1:15" ht="15.75" customHeight="1">
      <c r="A1692" s="4" t="s">
        <v>49</v>
      </c>
      <c r="B1692" s="4">
        <v>1762650</v>
      </c>
      <c r="C1692" s="4">
        <v>1762925</v>
      </c>
      <c r="E1692" s="4" t="s">
        <v>55</v>
      </c>
      <c r="F1692" s="4" t="s">
        <v>56</v>
      </c>
      <c r="I1692" s="4" t="s">
        <v>52</v>
      </c>
      <c r="L1692" s="4" t="s">
        <v>4686</v>
      </c>
      <c r="M1692" s="4" t="s">
        <v>56</v>
      </c>
      <c r="N1692" s="4">
        <v>91</v>
      </c>
      <c r="O1692" s="4" t="s">
        <v>4687</v>
      </c>
    </row>
    <row r="1693" spans="1:15" ht="15.75" customHeight="1">
      <c r="A1693" s="4" t="s">
        <v>49</v>
      </c>
      <c r="B1693" s="4">
        <v>1763329</v>
      </c>
      <c r="C1693" s="4">
        <v>1764954</v>
      </c>
      <c r="E1693" s="4" t="s">
        <v>55</v>
      </c>
      <c r="F1693" s="4" t="s">
        <v>678</v>
      </c>
      <c r="I1693" s="4" t="s">
        <v>52</v>
      </c>
      <c r="L1693" s="4" t="s">
        <v>4688</v>
      </c>
      <c r="M1693" s="4" t="s">
        <v>678</v>
      </c>
      <c r="N1693" s="4">
        <v>541</v>
      </c>
      <c r="O1693" s="4" t="s">
        <v>4689</v>
      </c>
    </row>
    <row r="1694" spans="1:15" ht="15.75" customHeight="1">
      <c r="A1694" s="4" t="s">
        <v>49</v>
      </c>
      <c r="B1694" s="4">
        <v>1765197</v>
      </c>
      <c r="C1694" s="4">
        <v>1767578</v>
      </c>
      <c r="E1694" s="4" t="s">
        <v>55</v>
      </c>
      <c r="F1694" s="4" t="s">
        <v>4690</v>
      </c>
      <c r="I1694" s="4" t="s">
        <v>52</v>
      </c>
      <c r="L1694" s="4" t="s">
        <v>4691</v>
      </c>
      <c r="M1694" s="4" t="s">
        <v>4690</v>
      </c>
      <c r="N1694" s="4">
        <v>793</v>
      </c>
      <c r="O1694" s="4" t="s">
        <v>4692</v>
      </c>
    </row>
    <row r="1695" spans="1:15" ht="15.75" customHeight="1">
      <c r="A1695" s="4" t="s">
        <v>49</v>
      </c>
      <c r="B1695" s="4">
        <v>1767838</v>
      </c>
      <c r="C1695" s="4">
        <v>1767984</v>
      </c>
      <c r="E1695" s="4" t="s">
        <v>50</v>
      </c>
      <c r="F1695" s="4" t="s">
        <v>56</v>
      </c>
      <c r="I1695" s="4" t="s">
        <v>52</v>
      </c>
      <c r="L1695" s="4" t="s">
        <v>4693</v>
      </c>
      <c r="M1695" s="4" t="s">
        <v>56</v>
      </c>
      <c r="N1695" s="4">
        <v>48</v>
      </c>
      <c r="O1695" s="4" t="s">
        <v>4694</v>
      </c>
    </row>
    <row r="1696" spans="1:15" ht="15.75" customHeight="1">
      <c r="A1696" s="4" t="s">
        <v>49</v>
      </c>
      <c r="B1696" s="4">
        <v>1768252</v>
      </c>
      <c r="C1696" s="4">
        <v>1769700</v>
      </c>
      <c r="E1696" s="4" t="s">
        <v>50</v>
      </c>
      <c r="F1696" s="4" t="s">
        <v>255</v>
      </c>
      <c r="I1696" s="4" t="s">
        <v>52</v>
      </c>
      <c r="L1696" s="4" t="s">
        <v>4695</v>
      </c>
      <c r="M1696" s="4" t="s">
        <v>255</v>
      </c>
      <c r="N1696" s="4">
        <v>482</v>
      </c>
      <c r="O1696" s="4" t="s">
        <v>4696</v>
      </c>
    </row>
    <row r="1697" spans="1:15" ht="15.75" customHeight="1">
      <c r="A1697" s="4" t="s">
        <v>49</v>
      </c>
      <c r="B1697" s="4">
        <v>1769900</v>
      </c>
      <c r="C1697" s="4">
        <v>1770469</v>
      </c>
      <c r="E1697" s="4" t="s">
        <v>50</v>
      </c>
      <c r="F1697" s="4" t="s">
        <v>111</v>
      </c>
      <c r="I1697" s="4" t="s">
        <v>52</v>
      </c>
      <c r="L1697" s="4" t="s">
        <v>4697</v>
      </c>
      <c r="M1697" s="4" t="s">
        <v>111</v>
      </c>
      <c r="N1697" s="4">
        <v>189</v>
      </c>
      <c r="O1697" s="4" t="s">
        <v>4698</v>
      </c>
    </row>
    <row r="1698" spans="1:15" ht="15.75" customHeight="1">
      <c r="A1698" s="4" t="s">
        <v>49</v>
      </c>
      <c r="B1698" s="4">
        <v>1770476</v>
      </c>
      <c r="C1698" s="4">
        <v>1773043</v>
      </c>
      <c r="E1698" s="4" t="s">
        <v>50</v>
      </c>
      <c r="F1698" s="4" t="s">
        <v>4027</v>
      </c>
      <c r="I1698" s="4" t="s">
        <v>52</v>
      </c>
      <c r="L1698" s="4" t="s">
        <v>4699</v>
      </c>
      <c r="M1698" s="4" t="s">
        <v>4027</v>
      </c>
      <c r="N1698" s="4">
        <v>855</v>
      </c>
      <c r="O1698" s="4" t="s">
        <v>4700</v>
      </c>
    </row>
    <row r="1699" spans="1:15" ht="15.75" customHeight="1">
      <c r="A1699" s="4" t="s">
        <v>49</v>
      </c>
      <c r="B1699" s="4">
        <v>1773222</v>
      </c>
      <c r="C1699" s="4">
        <v>1774397</v>
      </c>
      <c r="E1699" s="4" t="s">
        <v>55</v>
      </c>
      <c r="F1699" s="4" t="s">
        <v>76</v>
      </c>
      <c r="I1699" s="4" t="s">
        <v>52</v>
      </c>
      <c r="L1699" s="4" t="s">
        <v>4701</v>
      </c>
      <c r="M1699" s="4" t="s">
        <v>76</v>
      </c>
      <c r="N1699" s="4">
        <v>391</v>
      </c>
      <c r="O1699" s="4" t="s">
        <v>4702</v>
      </c>
    </row>
    <row r="1700" spans="1:15" ht="15.75" customHeight="1">
      <c r="A1700" s="4" t="s">
        <v>49</v>
      </c>
      <c r="B1700" s="4">
        <v>1774390</v>
      </c>
      <c r="C1700" s="4">
        <v>1774749</v>
      </c>
      <c r="E1700" s="4" t="s">
        <v>55</v>
      </c>
      <c r="F1700" s="4" t="s">
        <v>2499</v>
      </c>
      <c r="I1700" s="4" t="s">
        <v>52</v>
      </c>
      <c r="L1700" s="4" t="s">
        <v>4703</v>
      </c>
      <c r="M1700" s="4" t="s">
        <v>2499</v>
      </c>
      <c r="N1700" s="4">
        <v>119</v>
      </c>
      <c r="O1700" s="4" t="s">
        <v>4704</v>
      </c>
    </row>
    <row r="1701" spans="1:15" ht="15.75" customHeight="1">
      <c r="A1701" s="4" t="s">
        <v>49</v>
      </c>
      <c r="B1701" s="4">
        <v>1774778</v>
      </c>
      <c r="C1701" s="4">
        <v>1775698</v>
      </c>
      <c r="E1701" s="4" t="s">
        <v>55</v>
      </c>
      <c r="F1701" s="4" t="s">
        <v>674</v>
      </c>
      <c r="I1701" s="4" t="s">
        <v>52</v>
      </c>
      <c r="L1701" s="4" t="s">
        <v>675</v>
      </c>
      <c r="M1701" s="4" t="s">
        <v>674</v>
      </c>
      <c r="N1701" s="4">
        <v>306</v>
      </c>
      <c r="O1701" s="4" t="s">
        <v>4705</v>
      </c>
    </row>
    <row r="1702" spans="1:15" ht="15.75" customHeight="1">
      <c r="A1702" s="4" t="s">
        <v>49</v>
      </c>
      <c r="B1702" s="4">
        <v>1775769</v>
      </c>
      <c r="C1702" s="4">
        <v>1776080</v>
      </c>
      <c r="E1702" s="4" t="s">
        <v>55</v>
      </c>
      <c r="F1702" s="4" t="s">
        <v>2499</v>
      </c>
      <c r="I1702" s="4" t="s">
        <v>52</v>
      </c>
      <c r="L1702" s="4" t="s">
        <v>4706</v>
      </c>
      <c r="M1702" s="4" t="s">
        <v>2499</v>
      </c>
      <c r="N1702" s="4">
        <v>103</v>
      </c>
      <c r="O1702" s="4" t="s">
        <v>4707</v>
      </c>
    </row>
    <row r="1703" spans="1:15" ht="15.75" customHeight="1">
      <c r="A1703" s="4" t="s">
        <v>49</v>
      </c>
      <c r="B1703" s="4">
        <v>1776606</v>
      </c>
      <c r="C1703" s="4">
        <v>1777334</v>
      </c>
      <c r="E1703" s="4" t="s">
        <v>55</v>
      </c>
      <c r="F1703" s="4" t="s">
        <v>4708</v>
      </c>
      <c r="I1703" s="4" t="s">
        <v>52</v>
      </c>
      <c r="L1703" s="4" t="s">
        <v>4709</v>
      </c>
      <c r="M1703" s="4" t="s">
        <v>4708</v>
      </c>
      <c r="N1703" s="4">
        <v>242</v>
      </c>
      <c r="O1703" s="4" t="s">
        <v>4710</v>
      </c>
    </row>
    <row r="1704" spans="1:15" ht="15.75" customHeight="1">
      <c r="A1704" s="4" t="s">
        <v>49</v>
      </c>
      <c r="B1704" s="4">
        <v>1777550</v>
      </c>
      <c r="C1704" s="4">
        <v>1778374</v>
      </c>
      <c r="E1704" s="4" t="s">
        <v>50</v>
      </c>
      <c r="F1704" s="4" t="s">
        <v>4711</v>
      </c>
      <c r="I1704" s="4" t="s">
        <v>52</v>
      </c>
      <c r="L1704" s="4" t="s">
        <v>4712</v>
      </c>
      <c r="M1704" s="4" t="s">
        <v>4711</v>
      </c>
      <c r="N1704" s="4">
        <v>274</v>
      </c>
      <c r="O1704" s="4" t="s">
        <v>4713</v>
      </c>
    </row>
    <row r="1705" spans="1:15" ht="15.75" customHeight="1">
      <c r="A1705" s="4" t="s">
        <v>49</v>
      </c>
      <c r="B1705" s="4">
        <v>1778475</v>
      </c>
      <c r="C1705" s="4">
        <v>1779665</v>
      </c>
      <c r="E1705" s="4" t="s">
        <v>55</v>
      </c>
      <c r="F1705" s="4" t="s">
        <v>3249</v>
      </c>
      <c r="I1705" s="4" t="s">
        <v>52</v>
      </c>
      <c r="L1705" s="4" t="s">
        <v>4714</v>
      </c>
      <c r="M1705" s="4" t="s">
        <v>3249</v>
      </c>
      <c r="N1705" s="4">
        <v>396</v>
      </c>
      <c r="O1705" s="4" t="s">
        <v>4715</v>
      </c>
    </row>
    <row r="1706" spans="1:15" ht="15.75" customHeight="1">
      <c r="A1706" s="4" t="s">
        <v>49</v>
      </c>
      <c r="B1706" s="4">
        <v>1779723</v>
      </c>
      <c r="C1706" s="4">
        <v>1781069</v>
      </c>
      <c r="E1706" s="4" t="s">
        <v>55</v>
      </c>
      <c r="F1706" s="4" t="s">
        <v>637</v>
      </c>
      <c r="I1706" s="4" t="s">
        <v>52</v>
      </c>
      <c r="L1706" s="4" t="s">
        <v>4716</v>
      </c>
      <c r="M1706" s="4" t="s">
        <v>637</v>
      </c>
      <c r="N1706" s="4">
        <v>448</v>
      </c>
      <c r="O1706" s="4" t="s">
        <v>4717</v>
      </c>
    </row>
    <row r="1707" spans="1:15" ht="15.75" customHeight="1">
      <c r="A1707" s="4" t="s">
        <v>49</v>
      </c>
      <c r="B1707" s="4">
        <v>1781250</v>
      </c>
      <c r="C1707" s="4">
        <v>1781579</v>
      </c>
      <c r="E1707" s="4" t="s">
        <v>50</v>
      </c>
      <c r="F1707" s="4" t="s">
        <v>56</v>
      </c>
      <c r="I1707" s="4" t="s">
        <v>52</v>
      </c>
      <c r="L1707" s="4" t="s">
        <v>4718</v>
      </c>
      <c r="M1707" s="4" t="s">
        <v>56</v>
      </c>
      <c r="N1707" s="4">
        <v>109</v>
      </c>
      <c r="O1707" s="4" t="s">
        <v>4719</v>
      </c>
    </row>
    <row r="1708" spans="1:15" ht="15.75" customHeight="1">
      <c r="A1708" s="4" t="s">
        <v>49</v>
      </c>
      <c r="B1708" s="4">
        <v>1781652</v>
      </c>
      <c r="C1708" s="4">
        <v>1782638</v>
      </c>
      <c r="E1708" s="4" t="s">
        <v>55</v>
      </c>
      <c r="F1708" s="4" t="s">
        <v>3672</v>
      </c>
      <c r="I1708" s="4" t="s">
        <v>52</v>
      </c>
      <c r="L1708" s="4" t="s">
        <v>4720</v>
      </c>
      <c r="M1708" s="4" t="s">
        <v>3672</v>
      </c>
      <c r="N1708" s="4">
        <v>328</v>
      </c>
      <c r="O1708" s="4" t="s">
        <v>4721</v>
      </c>
    </row>
    <row r="1709" spans="1:15" ht="15.75" customHeight="1">
      <c r="A1709" s="4" t="s">
        <v>49</v>
      </c>
      <c r="B1709" s="4">
        <v>1782779</v>
      </c>
      <c r="C1709" s="4">
        <v>1784239</v>
      </c>
      <c r="E1709" s="4" t="s">
        <v>55</v>
      </c>
      <c r="F1709" s="4" t="s">
        <v>92</v>
      </c>
      <c r="I1709" s="4" t="s">
        <v>52</v>
      </c>
      <c r="L1709" s="4" t="s">
        <v>4722</v>
      </c>
      <c r="M1709" s="4" t="s">
        <v>92</v>
      </c>
      <c r="N1709" s="4">
        <v>486</v>
      </c>
      <c r="O1709" s="4" t="s">
        <v>4723</v>
      </c>
    </row>
    <row r="1710" spans="1:15" ht="15.75" customHeight="1">
      <c r="A1710" s="4" t="s">
        <v>49</v>
      </c>
      <c r="B1710" s="4">
        <v>1784236</v>
      </c>
      <c r="C1710" s="4">
        <v>1784469</v>
      </c>
      <c r="E1710" s="4" t="s">
        <v>55</v>
      </c>
      <c r="F1710" s="4" t="s">
        <v>56</v>
      </c>
      <c r="I1710" s="4" t="s">
        <v>52</v>
      </c>
      <c r="L1710" s="4" t="s">
        <v>4724</v>
      </c>
      <c r="M1710" s="4" t="s">
        <v>56</v>
      </c>
      <c r="N1710" s="4">
        <v>77</v>
      </c>
      <c r="O1710" s="4" t="s">
        <v>4725</v>
      </c>
    </row>
    <row r="1711" spans="1:15" ht="15.75" customHeight="1">
      <c r="A1711" s="4" t="s">
        <v>49</v>
      </c>
      <c r="B1711" s="4">
        <v>1784694</v>
      </c>
      <c r="C1711" s="4">
        <v>1785773</v>
      </c>
      <c r="E1711" s="4" t="s">
        <v>55</v>
      </c>
      <c r="F1711" s="4" t="s">
        <v>4726</v>
      </c>
      <c r="I1711" s="4" t="s">
        <v>52</v>
      </c>
      <c r="L1711" s="4" t="s">
        <v>4727</v>
      </c>
      <c r="M1711" s="4" t="s">
        <v>4726</v>
      </c>
      <c r="N1711" s="4">
        <v>359</v>
      </c>
      <c r="O1711" s="4" t="s">
        <v>4728</v>
      </c>
    </row>
    <row r="1712" spans="1:15" ht="15.75" customHeight="1">
      <c r="A1712" s="4" t="s">
        <v>49</v>
      </c>
      <c r="B1712" s="4">
        <v>1785898</v>
      </c>
      <c r="C1712" s="4">
        <v>1786641</v>
      </c>
      <c r="E1712" s="4" t="s">
        <v>55</v>
      </c>
      <c r="F1712" s="4" t="s">
        <v>3049</v>
      </c>
      <c r="I1712" s="4" t="s">
        <v>52</v>
      </c>
      <c r="L1712" s="4" t="s">
        <v>4729</v>
      </c>
      <c r="M1712" s="4" t="s">
        <v>3049</v>
      </c>
      <c r="N1712" s="4">
        <v>247</v>
      </c>
      <c r="O1712" s="4" t="s">
        <v>4730</v>
      </c>
    </row>
    <row r="1713" spans="1:15" ht="15.75" customHeight="1">
      <c r="A1713" s="4" t="s">
        <v>49</v>
      </c>
      <c r="B1713" s="4">
        <v>1786793</v>
      </c>
      <c r="C1713" s="4">
        <v>1787566</v>
      </c>
      <c r="E1713" s="4" t="s">
        <v>55</v>
      </c>
      <c r="F1713" s="4" t="s">
        <v>3049</v>
      </c>
      <c r="I1713" s="4" t="s">
        <v>52</v>
      </c>
      <c r="L1713" s="4" t="s">
        <v>4731</v>
      </c>
      <c r="M1713" s="4" t="s">
        <v>3049</v>
      </c>
      <c r="N1713" s="4">
        <v>257</v>
      </c>
      <c r="O1713" s="4" t="s">
        <v>4732</v>
      </c>
    </row>
    <row r="1714" spans="1:15" ht="15.75" customHeight="1">
      <c r="A1714" s="4" t="s">
        <v>49</v>
      </c>
      <c r="B1714" s="4">
        <v>1787570</v>
      </c>
      <c r="C1714" s="4">
        <v>1787929</v>
      </c>
      <c r="E1714" s="4" t="s">
        <v>55</v>
      </c>
      <c r="F1714" s="4" t="s">
        <v>56</v>
      </c>
      <c r="I1714" s="4" t="s">
        <v>52</v>
      </c>
      <c r="L1714" s="4" t="s">
        <v>4733</v>
      </c>
      <c r="M1714" s="4" t="s">
        <v>56</v>
      </c>
      <c r="N1714" s="4">
        <v>119</v>
      </c>
      <c r="O1714" s="4" t="s">
        <v>4734</v>
      </c>
    </row>
    <row r="1715" spans="1:15" ht="15.75" customHeight="1">
      <c r="A1715" s="4" t="s">
        <v>49</v>
      </c>
      <c r="B1715" s="4">
        <v>1787945</v>
      </c>
      <c r="C1715" s="4">
        <v>1789999</v>
      </c>
      <c r="E1715" s="4" t="s">
        <v>55</v>
      </c>
      <c r="F1715" s="4" t="s">
        <v>3049</v>
      </c>
      <c r="I1715" s="4" t="s">
        <v>52</v>
      </c>
      <c r="L1715" s="4" t="s">
        <v>4735</v>
      </c>
      <c r="M1715" s="4" t="s">
        <v>3049</v>
      </c>
      <c r="N1715" s="4">
        <v>684</v>
      </c>
      <c r="O1715" s="4" t="s">
        <v>4736</v>
      </c>
    </row>
    <row r="1716" spans="1:15" ht="15.75" customHeight="1">
      <c r="A1716" s="4" t="s">
        <v>49</v>
      </c>
      <c r="B1716" s="4">
        <v>1790343</v>
      </c>
      <c r="C1716" s="4">
        <v>1790918</v>
      </c>
      <c r="E1716" s="4" t="s">
        <v>50</v>
      </c>
      <c r="F1716" s="4" t="s">
        <v>51</v>
      </c>
      <c r="I1716" s="4" t="s">
        <v>52</v>
      </c>
      <c r="L1716" s="4" t="s">
        <v>4737</v>
      </c>
      <c r="M1716" s="4" t="s">
        <v>51</v>
      </c>
      <c r="N1716" s="4">
        <v>191</v>
      </c>
      <c r="O1716" s="4" t="s">
        <v>4738</v>
      </c>
    </row>
    <row r="1717" spans="1:15" ht="15.75" customHeight="1">
      <c r="A1717" s="4" t="s">
        <v>49</v>
      </c>
      <c r="B1717" s="4">
        <v>1791173</v>
      </c>
      <c r="C1717" s="4">
        <v>1791469</v>
      </c>
      <c r="E1717" s="4" t="s">
        <v>55</v>
      </c>
      <c r="F1717" s="4" t="s">
        <v>56</v>
      </c>
      <c r="I1717" s="4" t="s">
        <v>52</v>
      </c>
      <c r="L1717" s="4" t="s">
        <v>4739</v>
      </c>
      <c r="M1717" s="4" t="s">
        <v>56</v>
      </c>
      <c r="N1717" s="4">
        <v>98</v>
      </c>
      <c r="O1717" s="4" t="s">
        <v>4740</v>
      </c>
    </row>
    <row r="1718" spans="1:15" ht="15.75" customHeight="1">
      <c r="A1718" s="4" t="s">
        <v>49</v>
      </c>
      <c r="B1718" s="4">
        <v>1791662</v>
      </c>
      <c r="C1718" s="4">
        <v>1792636</v>
      </c>
      <c r="E1718" s="4" t="s">
        <v>50</v>
      </c>
      <c r="F1718" s="4" t="s">
        <v>2148</v>
      </c>
      <c r="I1718" s="4" t="s">
        <v>52</v>
      </c>
      <c r="L1718" s="4" t="s">
        <v>4741</v>
      </c>
      <c r="M1718" s="4" t="s">
        <v>2148</v>
      </c>
      <c r="N1718" s="4">
        <v>324</v>
      </c>
      <c r="O1718" s="4" t="s">
        <v>4742</v>
      </c>
    </row>
    <row r="1719" spans="1:15" ht="15.75" customHeight="1">
      <c r="A1719" s="4" t="s">
        <v>49</v>
      </c>
      <c r="B1719" s="4">
        <v>1792708</v>
      </c>
      <c r="C1719" s="4">
        <v>1793031</v>
      </c>
      <c r="E1719" s="4" t="s">
        <v>55</v>
      </c>
      <c r="F1719" s="4" t="s">
        <v>4743</v>
      </c>
      <c r="I1719" s="4" t="s">
        <v>52</v>
      </c>
      <c r="L1719" s="4" t="s">
        <v>4744</v>
      </c>
      <c r="M1719" s="4" t="s">
        <v>4743</v>
      </c>
      <c r="N1719" s="4">
        <v>107</v>
      </c>
      <c r="O1719" s="4" t="s">
        <v>4745</v>
      </c>
    </row>
    <row r="1720" spans="1:15" ht="15.75" customHeight="1">
      <c r="A1720" s="4" t="s">
        <v>49</v>
      </c>
      <c r="B1720" s="4">
        <v>1793172</v>
      </c>
      <c r="C1720" s="4">
        <v>1794629</v>
      </c>
      <c r="E1720" s="4" t="s">
        <v>55</v>
      </c>
      <c r="F1720" s="4" t="s">
        <v>4746</v>
      </c>
      <c r="I1720" s="4" t="s">
        <v>52</v>
      </c>
      <c r="L1720" s="4" t="s">
        <v>4747</v>
      </c>
      <c r="M1720" s="4" t="s">
        <v>4746</v>
      </c>
      <c r="N1720" s="4">
        <v>485</v>
      </c>
      <c r="O1720" s="4" t="s">
        <v>4748</v>
      </c>
    </row>
    <row r="1721" spans="1:15" ht="15.75" customHeight="1">
      <c r="A1721" s="4" t="s">
        <v>49</v>
      </c>
      <c r="B1721" s="4">
        <v>1794824</v>
      </c>
      <c r="C1721" s="4">
        <v>1795174</v>
      </c>
      <c r="E1721" s="4" t="s">
        <v>50</v>
      </c>
      <c r="F1721" s="4" t="s">
        <v>4749</v>
      </c>
      <c r="I1721" s="4" t="s">
        <v>52</v>
      </c>
      <c r="L1721" s="4" t="s">
        <v>4750</v>
      </c>
      <c r="M1721" s="4" t="s">
        <v>4749</v>
      </c>
      <c r="N1721" s="4">
        <v>116</v>
      </c>
      <c r="O1721" s="4" t="s">
        <v>4751</v>
      </c>
    </row>
    <row r="1722" spans="1:15" ht="15.75" customHeight="1">
      <c r="A1722" s="4" t="s">
        <v>49</v>
      </c>
      <c r="B1722" s="4">
        <v>1795348</v>
      </c>
      <c r="C1722" s="4">
        <v>1795710</v>
      </c>
      <c r="E1722" s="4" t="s">
        <v>50</v>
      </c>
      <c r="F1722" s="4" t="s">
        <v>4752</v>
      </c>
      <c r="I1722" s="4" t="s">
        <v>52</v>
      </c>
      <c r="L1722" s="4" t="s">
        <v>4753</v>
      </c>
      <c r="M1722" s="4" t="s">
        <v>4752</v>
      </c>
      <c r="N1722" s="4">
        <v>120</v>
      </c>
      <c r="O1722" s="4" t="s">
        <v>4754</v>
      </c>
    </row>
    <row r="1723" spans="1:15" ht="15.75" customHeight="1">
      <c r="A1723" s="4" t="s">
        <v>49</v>
      </c>
      <c r="B1723" s="4">
        <v>1795835</v>
      </c>
      <c r="C1723" s="4">
        <v>1796767</v>
      </c>
      <c r="E1723" s="4" t="s">
        <v>55</v>
      </c>
      <c r="F1723" s="4" t="s">
        <v>3940</v>
      </c>
      <c r="I1723" s="4" t="s">
        <v>52</v>
      </c>
      <c r="L1723" s="4" t="s">
        <v>4755</v>
      </c>
      <c r="M1723" s="4" t="s">
        <v>3940</v>
      </c>
      <c r="N1723" s="4">
        <v>310</v>
      </c>
      <c r="O1723" s="4" t="s">
        <v>4756</v>
      </c>
    </row>
    <row r="1724" spans="1:15" ht="15.75" customHeight="1">
      <c r="A1724" s="4" t="s">
        <v>49</v>
      </c>
      <c r="B1724" s="4">
        <v>1796878</v>
      </c>
      <c r="C1724" s="4">
        <v>1797384</v>
      </c>
      <c r="E1724" s="4" t="s">
        <v>50</v>
      </c>
      <c r="F1724" s="4" t="s">
        <v>3132</v>
      </c>
      <c r="I1724" s="4" t="s">
        <v>52</v>
      </c>
      <c r="L1724" s="4" t="s">
        <v>4757</v>
      </c>
      <c r="M1724" s="4" t="s">
        <v>3132</v>
      </c>
      <c r="N1724" s="4">
        <v>168</v>
      </c>
      <c r="O1724" s="4" t="s">
        <v>4758</v>
      </c>
    </row>
    <row r="1725" spans="1:15" ht="15.75" customHeight="1">
      <c r="A1725" s="4" t="s">
        <v>49</v>
      </c>
      <c r="B1725" s="4">
        <v>1797546</v>
      </c>
      <c r="C1725" s="4">
        <v>1797842</v>
      </c>
      <c r="E1725" s="4" t="s">
        <v>50</v>
      </c>
      <c r="F1725" s="4" t="s">
        <v>56</v>
      </c>
      <c r="I1725" s="4" t="s">
        <v>52</v>
      </c>
      <c r="L1725" s="4" t="s">
        <v>4759</v>
      </c>
      <c r="M1725" s="4" t="s">
        <v>56</v>
      </c>
      <c r="N1725" s="4">
        <v>98</v>
      </c>
      <c r="O1725" s="4" t="s">
        <v>4760</v>
      </c>
    </row>
    <row r="1726" spans="1:15" ht="15.75" customHeight="1">
      <c r="A1726" s="4" t="s">
        <v>49</v>
      </c>
      <c r="B1726" s="4">
        <v>1797925</v>
      </c>
      <c r="C1726" s="4">
        <v>1798926</v>
      </c>
      <c r="E1726" s="4" t="s">
        <v>55</v>
      </c>
      <c r="F1726" s="4" t="s">
        <v>4761</v>
      </c>
      <c r="I1726" s="4" t="s">
        <v>52</v>
      </c>
      <c r="L1726" s="4" t="s">
        <v>4762</v>
      </c>
      <c r="M1726" s="4" t="s">
        <v>4761</v>
      </c>
      <c r="N1726" s="4">
        <v>333</v>
      </c>
      <c r="O1726" s="4" t="s">
        <v>4763</v>
      </c>
    </row>
    <row r="1727" spans="1:15" ht="15.75" customHeight="1">
      <c r="A1727" s="4" t="s">
        <v>49</v>
      </c>
      <c r="B1727" s="4">
        <v>1798993</v>
      </c>
      <c r="C1727" s="4">
        <v>1799484</v>
      </c>
      <c r="E1727" s="4" t="s">
        <v>55</v>
      </c>
      <c r="F1727" s="4" t="s">
        <v>4764</v>
      </c>
      <c r="I1727" s="4" t="s">
        <v>52</v>
      </c>
      <c r="L1727" s="4" t="s">
        <v>4765</v>
      </c>
      <c r="M1727" s="4" t="s">
        <v>4764</v>
      </c>
      <c r="N1727" s="4">
        <v>163</v>
      </c>
      <c r="O1727" s="4" t="s">
        <v>4766</v>
      </c>
    </row>
    <row r="1728" spans="1:15" ht="15.75" customHeight="1">
      <c r="A1728" s="4" t="s">
        <v>49</v>
      </c>
      <c r="B1728" s="4">
        <v>1799658</v>
      </c>
      <c r="C1728" s="4">
        <v>1800731</v>
      </c>
      <c r="E1728" s="4" t="s">
        <v>50</v>
      </c>
      <c r="F1728" s="4" t="s">
        <v>4767</v>
      </c>
      <c r="I1728" s="4" t="s">
        <v>52</v>
      </c>
      <c r="L1728" s="4" t="s">
        <v>4768</v>
      </c>
      <c r="M1728" s="4" t="s">
        <v>4767</v>
      </c>
      <c r="N1728" s="4">
        <v>357</v>
      </c>
      <c r="O1728" s="4" t="s">
        <v>4769</v>
      </c>
    </row>
    <row r="1729" spans="1:15" ht="15.75" customHeight="1">
      <c r="A1729" s="4" t="s">
        <v>49</v>
      </c>
      <c r="B1729" s="4">
        <v>1800885</v>
      </c>
      <c r="C1729" s="4">
        <v>1801136</v>
      </c>
      <c r="E1729" s="4" t="s">
        <v>55</v>
      </c>
      <c r="F1729" s="4" t="s">
        <v>56</v>
      </c>
      <c r="I1729" s="4" t="s">
        <v>52</v>
      </c>
      <c r="L1729" s="4" t="s">
        <v>4770</v>
      </c>
      <c r="M1729" s="4" t="s">
        <v>56</v>
      </c>
      <c r="N1729" s="4">
        <v>83</v>
      </c>
      <c r="O1729" s="4" t="s">
        <v>4771</v>
      </c>
    </row>
    <row r="1730" spans="1:15" ht="15.75" customHeight="1">
      <c r="A1730" s="4" t="s">
        <v>49</v>
      </c>
      <c r="B1730" s="4">
        <v>1801358</v>
      </c>
      <c r="C1730" s="4">
        <v>1802434</v>
      </c>
      <c r="E1730" s="4" t="s">
        <v>50</v>
      </c>
      <c r="F1730" s="4" t="s">
        <v>4772</v>
      </c>
      <c r="I1730" s="4" t="s">
        <v>52</v>
      </c>
      <c r="L1730" s="4" t="s">
        <v>4773</v>
      </c>
      <c r="M1730" s="4" t="s">
        <v>4772</v>
      </c>
      <c r="N1730" s="4">
        <v>358</v>
      </c>
      <c r="O1730" s="4" t="s">
        <v>4774</v>
      </c>
    </row>
    <row r="1731" spans="1:15" ht="15.75" customHeight="1">
      <c r="A1731" s="4" t="s">
        <v>49</v>
      </c>
      <c r="B1731" s="4">
        <v>1802652</v>
      </c>
      <c r="C1731" s="4">
        <v>1803632</v>
      </c>
      <c r="E1731" s="4" t="s">
        <v>50</v>
      </c>
      <c r="F1731" s="4" t="s">
        <v>4775</v>
      </c>
      <c r="I1731" s="4" t="s">
        <v>52</v>
      </c>
      <c r="L1731" s="4" t="s">
        <v>4776</v>
      </c>
      <c r="M1731" s="4" t="s">
        <v>4775</v>
      </c>
      <c r="N1731" s="4">
        <v>326</v>
      </c>
      <c r="O1731" s="4" t="s">
        <v>4777</v>
      </c>
    </row>
    <row r="1732" spans="1:15" ht="15.75" customHeight="1">
      <c r="A1732" s="4" t="s">
        <v>49</v>
      </c>
      <c r="B1732" s="4">
        <v>1803828</v>
      </c>
      <c r="C1732" s="4">
        <v>1804106</v>
      </c>
      <c r="E1732" s="4" t="s">
        <v>50</v>
      </c>
      <c r="F1732" s="4" t="s">
        <v>4778</v>
      </c>
      <c r="I1732" s="4" t="s">
        <v>52</v>
      </c>
      <c r="L1732" s="4" t="s">
        <v>4779</v>
      </c>
      <c r="M1732" s="4" t="s">
        <v>4778</v>
      </c>
      <c r="N1732" s="4">
        <v>92</v>
      </c>
      <c r="O1732" s="4" t="s">
        <v>4780</v>
      </c>
    </row>
    <row r="1733" spans="1:15" ht="15.75" customHeight="1">
      <c r="A1733" s="4" t="s">
        <v>49</v>
      </c>
      <c r="B1733" s="4">
        <v>1804099</v>
      </c>
      <c r="C1733" s="4">
        <v>1804383</v>
      </c>
      <c r="E1733" s="4" t="s">
        <v>50</v>
      </c>
      <c r="F1733" s="4" t="s">
        <v>56</v>
      </c>
      <c r="I1733" s="4" t="s">
        <v>52</v>
      </c>
      <c r="L1733" s="4" t="s">
        <v>4781</v>
      </c>
      <c r="M1733" s="4" t="s">
        <v>56</v>
      </c>
      <c r="N1733" s="4">
        <v>94</v>
      </c>
      <c r="O1733" s="4" t="s">
        <v>4782</v>
      </c>
    </row>
    <row r="1734" spans="1:15" ht="15.75" customHeight="1">
      <c r="A1734" s="4" t="s">
        <v>49</v>
      </c>
      <c r="B1734" s="4">
        <v>1804391</v>
      </c>
      <c r="C1734" s="4">
        <v>1804605</v>
      </c>
      <c r="E1734" s="4" t="s">
        <v>50</v>
      </c>
      <c r="F1734" s="4" t="s">
        <v>345</v>
      </c>
      <c r="I1734" s="4" t="s">
        <v>346</v>
      </c>
      <c r="O1734" s="4" t="s">
        <v>4783</v>
      </c>
    </row>
    <row r="1735" spans="1:15" ht="15.75" customHeight="1">
      <c r="A1735" s="4" t="s">
        <v>49</v>
      </c>
      <c r="B1735" s="4">
        <v>1805103</v>
      </c>
      <c r="C1735" s="4">
        <v>1806464</v>
      </c>
      <c r="E1735" s="4" t="s">
        <v>50</v>
      </c>
      <c r="F1735" s="4" t="s">
        <v>3629</v>
      </c>
      <c r="I1735" s="4" t="s">
        <v>52</v>
      </c>
      <c r="L1735" s="4" t="s">
        <v>4784</v>
      </c>
      <c r="M1735" s="4" t="s">
        <v>3629</v>
      </c>
      <c r="N1735" s="4">
        <v>453</v>
      </c>
      <c r="O1735" s="4" t="s">
        <v>4785</v>
      </c>
    </row>
    <row r="1736" spans="1:15" ht="15.75" customHeight="1">
      <c r="A1736" s="4" t="s">
        <v>49</v>
      </c>
      <c r="B1736" s="4">
        <v>1806698</v>
      </c>
      <c r="C1736" s="4">
        <v>1807222</v>
      </c>
      <c r="E1736" s="4" t="s">
        <v>55</v>
      </c>
      <c r="F1736" s="4" t="s">
        <v>345</v>
      </c>
      <c r="I1736" s="4" t="s">
        <v>346</v>
      </c>
      <c r="O1736" s="4" t="s">
        <v>4786</v>
      </c>
    </row>
    <row r="1737" spans="1:15" ht="15.75" customHeight="1">
      <c r="A1737" s="4" t="s">
        <v>49</v>
      </c>
      <c r="B1737" s="4">
        <v>1807553</v>
      </c>
      <c r="C1737" s="4">
        <v>1808968</v>
      </c>
      <c r="E1737" s="4" t="s">
        <v>50</v>
      </c>
      <c r="F1737" s="4" t="s">
        <v>779</v>
      </c>
      <c r="I1737" s="4" t="s">
        <v>52</v>
      </c>
      <c r="L1737" s="4" t="s">
        <v>780</v>
      </c>
      <c r="M1737" s="4" t="s">
        <v>779</v>
      </c>
      <c r="N1737" s="4">
        <v>471</v>
      </c>
      <c r="O1737" s="4" t="s">
        <v>4787</v>
      </c>
    </row>
    <row r="1738" spans="1:15" ht="15.75" customHeight="1">
      <c r="A1738" s="4" t="s">
        <v>49</v>
      </c>
      <c r="B1738" s="4">
        <v>1808982</v>
      </c>
      <c r="C1738" s="4">
        <v>1809227</v>
      </c>
      <c r="E1738" s="4" t="s">
        <v>55</v>
      </c>
      <c r="F1738" s="4" t="s">
        <v>345</v>
      </c>
      <c r="I1738" s="4" t="s">
        <v>346</v>
      </c>
      <c r="O1738" s="4" t="s">
        <v>4788</v>
      </c>
    </row>
    <row r="1739" spans="1:15" ht="15.75" customHeight="1">
      <c r="A1739" s="4" t="s">
        <v>49</v>
      </c>
      <c r="B1739" s="4">
        <v>1809387</v>
      </c>
      <c r="C1739" s="4">
        <v>1810736</v>
      </c>
      <c r="E1739" s="4" t="s">
        <v>55</v>
      </c>
      <c r="F1739" s="4" t="s">
        <v>56</v>
      </c>
      <c r="I1739" s="4" t="s">
        <v>52</v>
      </c>
      <c r="L1739" s="4" t="s">
        <v>4789</v>
      </c>
      <c r="M1739" s="4" t="s">
        <v>56</v>
      </c>
      <c r="N1739" s="4">
        <v>449</v>
      </c>
      <c r="O1739" s="4" t="s">
        <v>4790</v>
      </c>
    </row>
    <row r="1740" spans="1:15" ht="15.75" customHeight="1">
      <c r="A1740" s="4" t="s">
        <v>49</v>
      </c>
      <c r="B1740" s="4">
        <v>1811063</v>
      </c>
      <c r="C1740" s="4">
        <v>1811671</v>
      </c>
      <c r="E1740" s="4" t="s">
        <v>50</v>
      </c>
      <c r="F1740" s="4" t="s">
        <v>478</v>
      </c>
      <c r="I1740" s="4" t="s">
        <v>52</v>
      </c>
      <c r="L1740" s="4" t="s">
        <v>4791</v>
      </c>
      <c r="M1740" s="4" t="s">
        <v>478</v>
      </c>
      <c r="N1740" s="4">
        <v>202</v>
      </c>
      <c r="O1740" s="4" t="s">
        <v>4792</v>
      </c>
    </row>
    <row r="1741" spans="1:15" ht="15.75" customHeight="1">
      <c r="A1741" s="4" t="s">
        <v>49</v>
      </c>
      <c r="B1741" s="4">
        <v>1811984</v>
      </c>
      <c r="C1741" s="4">
        <v>1814167</v>
      </c>
      <c r="E1741" s="4" t="s">
        <v>55</v>
      </c>
      <c r="F1741" s="4" t="s">
        <v>4793</v>
      </c>
      <c r="G1741" s="4" t="s">
        <v>4794</v>
      </c>
      <c r="I1741" s="4" t="s">
        <v>52</v>
      </c>
      <c r="L1741" s="4" t="s">
        <v>4795</v>
      </c>
      <c r="M1741" s="4" t="s">
        <v>4793</v>
      </c>
      <c r="N1741" s="4">
        <v>727</v>
      </c>
      <c r="O1741" s="4" t="s">
        <v>4796</v>
      </c>
    </row>
    <row r="1742" spans="1:15" ht="15.75" customHeight="1">
      <c r="A1742" s="4" t="s">
        <v>49</v>
      </c>
      <c r="B1742" s="4">
        <v>1814481</v>
      </c>
      <c r="C1742" s="4">
        <v>1815242</v>
      </c>
      <c r="E1742" s="4" t="s">
        <v>55</v>
      </c>
      <c r="F1742" s="4" t="s">
        <v>76</v>
      </c>
      <c r="I1742" s="4" t="s">
        <v>52</v>
      </c>
      <c r="L1742" s="4" t="s">
        <v>4797</v>
      </c>
      <c r="M1742" s="4" t="s">
        <v>76</v>
      </c>
      <c r="N1742" s="4">
        <v>253</v>
      </c>
      <c r="O1742" s="4" t="s">
        <v>4798</v>
      </c>
    </row>
    <row r="1743" spans="1:15" ht="15.75" customHeight="1">
      <c r="A1743" s="4" t="s">
        <v>49</v>
      </c>
      <c r="B1743" s="4">
        <v>1815239</v>
      </c>
      <c r="C1743" s="4">
        <v>1816168</v>
      </c>
      <c r="E1743" s="4" t="s">
        <v>55</v>
      </c>
      <c r="F1743" s="4" t="s">
        <v>73</v>
      </c>
      <c r="I1743" s="4" t="s">
        <v>52</v>
      </c>
      <c r="L1743" s="4" t="s">
        <v>4799</v>
      </c>
      <c r="M1743" s="4" t="s">
        <v>73</v>
      </c>
      <c r="N1743" s="4">
        <v>309</v>
      </c>
      <c r="O1743" s="4" t="s">
        <v>4800</v>
      </c>
    </row>
    <row r="1744" spans="1:15" ht="15.75" customHeight="1">
      <c r="A1744" s="4" t="s">
        <v>49</v>
      </c>
      <c r="B1744" s="4">
        <v>1816165</v>
      </c>
      <c r="C1744" s="4">
        <v>1816380</v>
      </c>
      <c r="E1744" s="4" t="s">
        <v>55</v>
      </c>
      <c r="F1744" s="4" t="s">
        <v>4801</v>
      </c>
      <c r="I1744" s="4" t="s">
        <v>52</v>
      </c>
      <c r="L1744" s="4" t="s">
        <v>4802</v>
      </c>
      <c r="M1744" s="4" t="s">
        <v>4801</v>
      </c>
      <c r="N1744" s="4">
        <v>71</v>
      </c>
      <c r="O1744" s="4" t="s">
        <v>4803</v>
      </c>
    </row>
    <row r="1745" spans="1:15" ht="15.75" customHeight="1">
      <c r="A1745" s="4" t="s">
        <v>49</v>
      </c>
      <c r="B1745" s="4">
        <v>1816447</v>
      </c>
      <c r="C1745" s="4">
        <v>1817568</v>
      </c>
      <c r="E1745" s="4" t="s">
        <v>55</v>
      </c>
      <c r="F1745" s="4" t="s">
        <v>478</v>
      </c>
      <c r="I1745" s="4" t="s">
        <v>52</v>
      </c>
      <c r="L1745" s="4" t="s">
        <v>4804</v>
      </c>
      <c r="M1745" s="4" t="s">
        <v>478</v>
      </c>
      <c r="N1745" s="4">
        <v>373</v>
      </c>
      <c r="O1745" s="4" t="s">
        <v>4805</v>
      </c>
    </row>
    <row r="1746" spans="1:15" ht="15.75" customHeight="1">
      <c r="A1746" s="4" t="s">
        <v>49</v>
      </c>
      <c r="B1746" s="4">
        <v>1818001</v>
      </c>
      <c r="C1746" s="4">
        <v>1818879</v>
      </c>
      <c r="E1746" s="4" t="s">
        <v>55</v>
      </c>
      <c r="F1746" s="4" t="s">
        <v>690</v>
      </c>
      <c r="I1746" s="4" t="s">
        <v>52</v>
      </c>
      <c r="L1746" s="4" t="s">
        <v>4806</v>
      </c>
      <c r="M1746" s="4" t="s">
        <v>690</v>
      </c>
      <c r="N1746" s="4">
        <v>292</v>
      </c>
      <c r="O1746" s="4" t="s">
        <v>4807</v>
      </c>
    </row>
    <row r="1747" spans="1:15" ht="15.75" customHeight="1">
      <c r="A1747" s="4" t="s">
        <v>49</v>
      </c>
      <c r="B1747" s="4">
        <v>1819124</v>
      </c>
      <c r="C1747" s="4">
        <v>1821544</v>
      </c>
      <c r="E1747" s="4" t="s">
        <v>50</v>
      </c>
      <c r="F1747" s="4" t="s">
        <v>4808</v>
      </c>
      <c r="I1747" s="4" t="s">
        <v>52</v>
      </c>
      <c r="L1747" s="4" t="s">
        <v>4809</v>
      </c>
      <c r="M1747" s="4" t="s">
        <v>4808</v>
      </c>
      <c r="N1747" s="4">
        <v>806</v>
      </c>
      <c r="O1747" s="4" t="s">
        <v>4810</v>
      </c>
    </row>
    <row r="1748" spans="1:15" ht="15.75" customHeight="1">
      <c r="A1748" s="4" t="s">
        <v>49</v>
      </c>
      <c r="B1748" s="4">
        <v>1821631</v>
      </c>
      <c r="C1748" s="4">
        <v>1821981</v>
      </c>
      <c r="E1748" s="4" t="s">
        <v>55</v>
      </c>
      <c r="F1748" s="4" t="s">
        <v>4811</v>
      </c>
      <c r="I1748" s="4" t="s">
        <v>52</v>
      </c>
      <c r="L1748" s="4" t="s">
        <v>4812</v>
      </c>
      <c r="M1748" s="4" t="s">
        <v>4811</v>
      </c>
      <c r="N1748" s="4">
        <v>116</v>
      </c>
      <c r="O1748" s="4" t="s">
        <v>4813</v>
      </c>
    </row>
    <row r="1749" spans="1:15" ht="15.75" customHeight="1">
      <c r="A1749" s="4" t="s">
        <v>49</v>
      </c>
      <c r="B1749" s="4">
        <v>1822076</v>
      </c>
      <c r="C1749" s="4">
        <v>1823935</v>
      </c>
      <c r="E1749" s="4" t="s">
        <v>55</v>
      </c>
      <c r="F1749" s="4" t="s">
        <v>2300</v>
      </c>
      <c r="I1749" s="4" t="s">
        <v>52</v>
      </c>
      <c r="L1749" s="4" t="s">
        <v>4814</v>
      </c>
      <c r="M1749" s="4" t="s">
        <v>2300</v>
      </c>
      <c r="N1749" s="4">
        <v>619</v>
      </c>
      <c r="O1749" s="4" t="s">
        <v>4815</v>
      </c>
    </row>
    <row r="1750" spans="1:15" ht="15.75" customHeight="1">
      <c r="A1750" s="4" t="s">
        <v>49</v>
      </c>
      <c r="B1750" s="4">
        <v>1824244</v>
      </c>
      <c r="C1750" s="4">
        <v>1825539</v>
      </c>
      <c r="E1750" s="4" t="s">
        <v>55</v>
      </c>
      <c r="F1750" s="4" t="s">
        <v>4816</v>
      </c>
      <c r="I1750" s="4" t="s">
        <v>52</v>
      </c>
      <c r="L1750" s="4" t="s">
        <v>4817</v>
      </c>
      <c r="M1750" s="4" t="s">
        <v>4816</v>
      </c>
      <c r="N1750" s="4">
        <v>431</v>
      </c>
      <c r="O1750" s="4" t="s">
        <v>4818</v>
      </c>
    </row>
    <row r="1751" spans="1:15" ht="15.75" customHeight="1">
      <c r="A1751" s="4" t="s">
        <v>49</v>
      </c>
      <c r="B1751" s="4">
        <v>1825769</v>
      </c>
      <c r="C1751" s="4">
        <v>1826824</v>
      </c>
      <c r="E1751" s="4" t="s">
        <v>55</v>
      </c>
      <c r="F1751" s="4" t="s">
        <v>3950</v>
      </c>
      <c r="I1751" s="4" t="s">
        <v>52</v>
      </c>
      <c r="L1751" s="4" t="s">
        <v>4819</v>
      </c>
      <c r="M1751" s="4" t="s">
        <v>3950</v>
      </c>
      <c r="N1751" s="4">
        <v>351</v>
      </c>
      <c r="O1751" s="4" t="s">
        <v>4820</v>
      </c>
    </row>
    <row r="1752" spans="1:15" ht="15.75" customHeight="1">
      <c r="A1752" s="4" t="s">
        <v>49</v>
      </c>
      <c r="B1752" s="4">
        <v>1826967</v>
      </c>
      <c r="C1752" s="4">
        <v>1830524</v>
      </c>
      <c r="E1752" s="4" t="s">
        <v>55</v>
      </c>
      <c r="F1752" s="4" t="s">
        <v>76</v>
      </c>
      <c r="I1752" s="4" t="s">
        <v>52</v>
      </c>
      <c r="L1752" s="4" t="s">
        <v>4821</v>
      </c>
      <c r="M1752" s="4" t="s">
        <v>76</v>
      </c>
      <c r="N1752" s="4">
        <v>1185</v>
      </c>
      <c r="O1752" s="4" t="s">
        <v>4822</v>
      </c>
    </row>
    <row r="1753" spans="1:15" ht="15.75" customHeight="1">
      <c r="A1753" s="4" t="s">
        <v>49</v>
      </c>
      <c r="B1753" s="4">
        <v>1830535</v>
      </c>
      <c r="C1753" s="4">
        <v>1831239</v>
      </c>
      <c r="E1753" s="4" t="s">
        <v>55</v>
      </c>
      <c r="F1753" s="4" t="s">
        <v>73</v>
      </c>
      <c r="I1753" s="4" t="s">
        <v>52</v>
      </c>
      <c r="L1753" s="4" t="s">
        <v>4823</v>
      </c>
      <c r="M1753" s="4" t="s">
        <v>73</v>
      </c>
      <c r="N1753" s="4">
        <v>234</v>
      </c>
      <c r="O1753" s="4" t="s">
        <v>4824</v>
      </c>
    </row>
    <row r="1754" spans="1:15" ht="15.75" customHeight="1">
      <c r="A1754" s="4" t="s">
        <v>49</v>
      </c>
      <c r="B1754" s="4">
        <v>1831369</v>
      </c>
      <c r="C1754" s="4">
        <v>1831974</v>
      </c>
      <c r="E1754" s="4" t="s">
        <v>50</v>
      </c>
      <c r="F1754" s="4" t="s">
        <v>111</v>
      </c>
      <c r="I1754" s="4" t="s">
        <v>52</v>
      </c>
      <c r="L1754" s="4" t="s">
        <v>4825</v>
      </c>
      <c r="M1754" s="4" t="s">
        <v>111</v>
      </c>
      <c r="N1754" s="4">
        <v>201</v>
      </c>
      <c r="O1754" s="4" t="s">
        <v>4826</v>
      </c>
    </row>
    <row r="1755" spans="1:15" ht="15.75" customHeight="1">
      <c r="A1755" s="4" t="s">
        <v>49</v>
      </c>
      <c r="B1755" s="4">
        <v>1832077</v>
      </c>
      <c r="C1755" s="4">
        <v>1832946</v>
      </c>
      <c r="E1755" s="4" t="s">
        <v>50</v>
      </c>
      <c r="F1755" s="4" t="s">
        <v>3646</v>
      </c>
      <c r="I1755" s="4" t="s">
        <v>52</v>
      </c>
      <c r="L1755" s="4" t="s">
        <v>4827</v>
      </c>
      <c r="M1755" s="4" t="s">
        <v>3646</v>
      </c>
      <c r="N1755" s="4">
        <v>289</v>
      </c>
      <c r="O1755" s="4" t="s">
        <v>4828</v>
      </c>
    </row>
    <row r="1756" spans="1:15" ht="15.75" customHeight="1">
      <c r="A1756" s="4" t="s">
        <v>49</v>
      </c>
      <c r="B1756" s="4">
        <v>1833183</v>
      </c>
      <c r="C1756" s="4">
        <v>1834112</v>
      </c>
      <c r="E1756" s="4" t="s">
        <v>50</v>
      </c>
      <c r="F1756" s="4" t="s">
        <v>4829</v>
      </c>
      <c r="G1756" s="4" t="s">
        <v>4830</v>
      </c>
      <c r="I1756" s="4" t="s">
        <v>52</v>
      </c>
      <c r="L1756" s="4" t="s">
        <v>4831</v>
      </c>
      <c r="M1756" s="4" t="s">
        <v>4829</v>
      </c>
      <c r="N1756" s="4">
        <v>309</v>
      </c>
      <c r="O1756" s="4" t="s">
        <v>4832</v>
      </c>
    </row>
    <row r="1757" spans="1:15" ht="15.75" customHeight="1">
      <c r="A1757" s="4" t="s">
        <v>49</v>
      </c>
      <c r="B1757" s="4">
        <v>1834099</v>
      </c>
      <c r="C1757" s="4">
        <v>1836090</v>
      </c>
      <c r="E1757" s="4" t="s">
        <v>50</v>
      </c>
      <c r="F1757" s="4" t="s">
        <v>4833</v>
      </c>
      <c r="I1757" s="4" t="s">
        <v>52</v>
      </c>
      <c r="L1757" s="4" t="s">
        <v>4834</v>
      </c>
      <c r="M1757" s="4" t="s">
        <v>4833</v>
      </c>
      <c r="N1757" s="4">
        <v>663</v>
      </c>
      <c r="O1757" s="4" t="s">
        <v>4835</v>
      </c>
    </row>
    <row r="1758" spans="1:15" ht="15.75" customHeight="1">
      <c r="A1758" s="4" t="s">
        <v>49</v>
      </c>
      <c r="B1758" s="4">
        <v>1836303</v>
      </c>
      <c r="C1758" s="4">
        <v>1836492</v>
      </c>
      <c r="E1758" s="4" t="s">
        <v>50</v>
      </c>
      <c r="F1758" s="4" t="s">
        <v>345</v>
      </c>
      <c r="I1758" s="4" t="s">
        <v>346</v>
      </c>
      <c r="O1758" s="4" t="s">
        <v>4836</v>
      </c>
    </row>
    <row r="1759" spans="1:15" ht="15.75" customHeight="1">
      <c r="A1759" s="4" t="s">
        <v>49</v>
      </c>
      <c r="B1759" s="4">
        <v>1836538</v>
      </c>
      <c r="C1759" s="4">
        <v>1837701</v>
      </c>
      <c r="E1759" s="4" t="s">
        <v>55</v>
      </c>
      <c r="F1759" s="4" t="s">
        <v>56</v>
      </c>
      <c r="I1759" s="4" t="s">
        <v>52</v>
      </c>
      <c r="L1759" s="4" t="s">
        <v>4837</v>
      </c>
      <c r="M1759" s="4" t="s">
        <v>56</v>
      </c>
      <c r="N1759" s="4">
        <v>387</v>
      </c>
      <c r="O1759" s="4" t="s">
        <v>4838</v>
      </c>
    </row>
    <row r="1760" spans="1:15" ht="15.75" customHeight="1">
      <c r="A1760" s="4" t="s">
        <v>49</v>
      </c>
      <c r="B1760" s="4">
        <v>1837767</v>
      </c>
      <c r="C1760" s="4">
        <v>1839155</v>
      </c>
      <c r="E1760" s="4" t="s">
        <v>55</v>
      </c>
      <c r="F1760" s="4" t="s">
        <v>4839</v>
      </c>
      <c r="G1760" s="4" t="s">
        <v>4840</v>
      </c>
      <c r="I1760" s="4" t="s">
        <v>52</v>
      </c>
      <c r="L1760" s="4" t="s">
        <v>4841</v>
      </c>
      <c r="M1760" s="4" t="s">
        <v>4839</v>
      </c>
      <c r="N1760" s="4">
        <v>462</v>
      </c>
      <c r="O1760" s="4" t="s">
        <v>4842</v>
      </c>
    </row>
    <row r="1761" spans="1:15" ht="15.75" customHeight="1">
      <c r="A1761" s="4" t="s">
        <v>49</v>
      </c>
      <c r="B1761" s="4">
        <v>1839474</v>
      </c>
      <c r="C1761" s="4">
        <v>1843754</v>
      </c>
      <c r="E1761" s="4" t="s">
        <v>55</v>
      </c>
      <c r="F1761" s="4" t="s">
        <v>56</v>
      </c>
      <c r="I1761" s="4" t="s">
        <v>52</v>
      </c>
      <c r="L1761" s="4" t="s">
        <v>4843</v>
      </c>
      <c r="M1761" s="4" t="s">
        <v>56</v>
      </c>
      <c r="N1761" s="4">
        <v>1426</v>
      </c>
      <c r="O1761" s="4" t="s">
        <v>4844</v>
      </c>
    </row>
    <row r="1762" spans="1:15" ht="15.75" customHeight="1">
      <c r="A1762" s="4" t="s">
        <v>49</v>
      </c>
      <c r="B1762" s="4">
        <v>1843827</v>
      </c>
      <c r="C1762" s="4">
        <v>1848113</v>
      </c>
      <c r="E1762" s="4" t="s">
        <v>55</v>
      </c>
      <c r="F1762" s="4" t="s">
        <v>56</v>
      </c>
      <c r="I1762" s="4" t="s">
        <v>52</v>
      </c>
      <c r="L1762" s="4" t="s">
        <v>4845</v>
      </c>
      <c r="M1762" s="4" t="s">
        <v>56</v>
      </c>
      <c r="N1762" s="4">
        <v>1428</v>
      </c>
      <c r="O1762" s="4" t="s">
        <v>4846</v>
      </c>
    </row>
    <row r="1763" spans="1:15" ht="15.75" customHeight="1">
      <c r="A1763" s="4" t="s">
        <v>49</v>
      </c>
      <c r="B1763" s="4">
        <v>1848348</v>
      </c>
      <c r="C1763" s="4">
        <v>1858313</v>
      </c>
      <c r="E1763" s="4" t="s">
        <v>55</v>
      </c>
      <c r="F1763" s="4" t="s">
        <v>4847</v>
      </c>
      <c r="I1763" s="4" t="s">
        <v>52</v>
      </c>
      <c r="L1763" s="4" t="s">
        <v>4848</v>
      </c>
      <c r="M1763" s="4" t="s">
        <v>4847</v>
      </c>
      <c r="N1763" s="4">
        <v>3321</v>
      </c>
      <c r="O1763" s="4" t="s">
        <v>4849</v>
      </c>
    </row>
    <row r="1764" spans="1:15" ht="15.75" customHeight="1">
      <c r="A1764" s="4" t="s">
        <v>49</v>
      </c>
      <c r="B1764" s="4">
        <v>1858412</v>
      </c>
      <c r="C1764" s="4">
        <v>1859332</v>
      </c>
      <c r="E1764" s="4" t="s">
        <v>50</v>
      </c>
      <c r="F1764" s="4" t="s">
        <v>674</v>
      </c>
      <c r="I1764" s="4" t="s">
        <v>52</v>
      </c>
      <c r="L1764" s="4" t="s">
        <v>675</v>
      </c>
      <c r="M1764" s="4" t="s">
        <v>674</v>
      </c>
      <c r="N1764" s="4">
        <v>306</v>
      </c>
      <c r="O1764" s="4" t="s">
        <v>4850</v>
      </c>
    </row>
    <row r="1765" spans="1:15" ht="15.75" customHeight="1">
      <c r="A1765" s="4" t="s">
        <v>49</v>
      </c>
      <c r="B1765" s="4">
        <v>1859338</v>
      </c>
      <c r="C1765" s="4">
        <v>1861230</v>
      </c>
      <c r="E1765" s="4" t="s">
        <v>55</v>
      </c>
      <c r="F1765" s="4" t="s">
        <v>2538</v>
      </c>
      <c r="I1765" s="4" t="s">
        <v>52</v>
      </c>
      <c r="L1765" s="4" t="s">
        <v>4851</v>
      </c>
      <c r="M1765" s="4" t="s">
        <v>2538</v>
      </c>
      <c r="N1765" s="4">
        <v>630</v>
      </c>
      <c r="O1765" s="4" t="s">
        <v>4852</v>
      </c>
    </row>
    <row r="1766" spans="1:15" ht="15.75" customHeight="1">
      <c r="A1766" s="4" t="s">
        <v>49</v>
      </c>
      <c r="B1766" s="4">
        <v>1861538</v>
      </c>
      <c r="C1766" s="4">
        <v>1861942</v>
      </c>
      <c r="E1766" s="4" t="s">
        <v>55</v>
      </c>
      <c r="F1766" s="4" t="s">
        <v>56</v>
      </c>
      <c r="I1766" s="4" t="s">
        <v>52</v>
      </c>
      <c r="L1766" s="4" t="s">
        <v>4853</v>
      </c>
      <c r="M1766" s="4" t="s">
        <v>56</v>
      </c>
      <c r="N1766" s="4">
        <v>134</v>
      </c>
      <c r="O1766" s="4" t="s">
        <v>4854</v>
      </c>
    </row>
    <row r="1767" spans="1:15" ht="15.75" customHeight="1">
      <c r="A1767" s="4" t="s">
        <v>49</v>
      </c>
      <c r="B1767" s="4">
        <v>1861992</v>
      </c>
      <c r="C1767" s="4">
        <v>1864784</v>
      </c>
      <c r="E1767" s="4" t="s">
        <v>55</v>
      </c>
      <c r="F1767" s="4" t="s">
        <v>56</v>
      </c>
      <c r="I1767" s="4" t="s">
        <v>52</v>
      </c>
      <c r="L1767" s="4" t="s">
        <v>4855</v>
      </c>
      <c r="M1767" s="4" t="s">
        <v>56</v>
      </c>
      <c r="N1767" s="4">
        <v>930</v>
      </c>
      <c r="O1767" s="4" t="s">
        <v>4856</v>
      </c>
    </row>
    <row r="1768" spans="1:15" ht="15.75" customHeight="1">
      <c r="A1768" s="4" t="s">
        <v>49</v>
      </c>
      <c r="B1768" s="4">
        <v>1864859</v>
      </c>
      <c r="C1768" s="4">
        <v>1865998</v>
      </c>
      <c r="E1768" s="4" t="s">
        <v>55</v>
      </c>
      <c r="F1768" s="4" t="s">
        <v>56</v>
      </c>
      <c r="I1768" s="4" t="s">
        <v>52</v>
      </c>
      <c r="L1768" s="4" t="s">
        <v>4857</v>
      </c>
      <c r="M1768" s="4" t="s">
        <v>56</v>
      </c>
      <c r="N1768" s="4">
        <v>379</v>
      </c>
      <c r="O1768" s="4" t="s">
        <v>4858</v>
      </c>
    </row>
    <row r="1769" spans="1:15" ht="15.75" customHeight="1">
      <c r="A1769" s="4" t="s">
        <v>49</v>
      </c>
      <c r="B1769" s="4">
        <v>1866003</v>
      </c>
      <c r="C1769" s="4">
        <v>1868036</v>
      </c>
      <c r="E1769" s="4" t="s">
        <v>55</v>
      </c>
      <c r="F1769" s="4" t="s">
        <v>56</v>
      </c>
      <c r="I1769" s="4" t="s">
        <v>52</v>
      </c>
      <c r="L1769" s="4" t="s">
        <v>4859</v>
      </c>
      <c r="M1769" s="4" t="s">
        <v>56</v>
      </c>
      <c r="N1769" s="4">
        <v>677</v>
      </c>
      <c r="O1769" s="4" t="s">
        <v>4860</v>
      </c>
    </row>
    <row r="1770" spans="1:15" ht="15.75" customHeight="1">
      <c r="A1770" s="4" t="s">
        <v>49</v>
      </c>
      <c r="B1770" s="4">
        <v>1868056</v>
      </c>
      <c r="C1770" s="4">
        <v>1869576</v>
      </c>
      <c r="E1770" s="4" t="s">
        <v>55</v>
      </c>
      <c r="F1770" s="4" t="s">
        <v>4861</v>
      </c>
      <c r="G1770" s="4" t="s">
        <v>4862</v>
      </c>
      <c r="I1770" s="4" t="s">
        <v>52</v>
      </c>
      <c r="L1770" s="4" t="s">
        <v>4863</v>
      </c>
      <c r="M1770" s="4" t="s">
        <v>4861</v>
      </c>
      <c r="N1770" s="4">
        <v>506</v>
      </c>
      <c r="O1770" s="4" t="s">
        <v>4864</v>
      </c>
    </row>
    <row r="1771" spans="1:15" ht="15.75" customHeight="1">
      <c r="A1771" s="4" t="s">
        <v>49</v>
      </c>
      <c r="B1771" s="4">
        <v>1869600</v>
      </c>
      <c r="C1771" s="4">
        <v>1871156</v>
      </c>
      <c r="E1771" s="4" t="s">
        <v>55</v>
      </c>
      <c r="F1771" s="4" t="s">
        <v>421</v>
      </c>
      <c r="I1771" s="4" t="s">
        <v>52</v>
      </c>
      <c r="L1771" s="4" t="s">
        <v>4865</v>
      </c>
      <c r="M1771" s="4" t="s">
        <v>421</v>
      </c>
      <c r="N1771" s="4">
        <v>518</v>
      </c>
      <c r="O1771" s="4" t="s">
        <v>4866</v>
      </c>
    </row>
    <row r="1772" spans="1:15" ht="15.75" customHeight="1">
      <c r="A1772" s="4" t="s">
        <v>49</v>
      </c>
      <c r="B1772" s="4">
        <v>1871178</v>
      </c>
      <c r="C1772" s="4">
        <v>1872692</v>
      </c>
      <c r="E1772" s="4" t="s">
        <v>55</v>
      </c>
      <c r="F1772" s="4" t="s">
        <v>56</v>
      </c>
      <c r="I1772" s="4" t="s">
        <v>52</v>
      </c>
      <c r="L1772" s="4" t="s">
        <v>4867</v>
      </c>
      <c r="M1772" s="4" t="s">
        <v>56</v>
      </c>
      <c r="N1772" s="4">
        <v>504</v>
      </c>
      <c r="O1772" s="4" t="s">
        <v>4868</v>
      </c>
    </row>
    <row r="1773" spans="1:15" ht="15.75" customHeight="1">
      <c r="A1773" s="4" t="s">
        <v>49</v>
      </c>
      <c r="B1773" s="4">
        <v>1872701</v>
      </c>
      <c r="C1773" s="4">
        <v>1873611</v>
      </c>
      <c r="E1773" s="4" t="s">
        <v>55</v>
      </c>
      <c r="F1773" s="4" t="s">
        <v>345</v>
      </c>
      <c r="I1773" s="4" t="s">
        <v>346</v>
      </c>
      <c r="O1773" s="4" t="s">
        <v>4869</v>
      </c>
    </row>
    <row r="1774" spans="1:15" ht="15.75" customHeight="1">
      <c r="A1774" s="4" t="s">
        <v>49</v>
      </c>
      <c r="B1774" s="4">
        <v>1873717</v>
      </c>
      <c r="C1774" s="4">
        <v>1874058</v>
      </c>
      <c r="E1774" s="4" t="s">
        <v>55</v>
      </c>
      <c r="F1774" s="4" t="s">
        <v>56</v>
      </c>
      <c r="I1774" s="4" t="s">
        <v>52</v>
      </c>
      <c r="L1774" s="4" t="s">
        <v>4870</v>
      </c>
      <c r="M1774" s="4" t="s">
        <v>56</v>
      </c>
      <c r="N1774" s="4">
        <v>113</v>
      </c>
      <c r="O1774" s="4" t="s">
        <v>4871</v>
      </c>
    </row>
    <row r="1775" spans="1:15" ht="15.75" customHeight="1">
      <c r="A1775" s="4" t="s">
        <v>49</v>
      </c>
      <c r="B1775" s="4">
        <v>1874840</v>
      </c>
      <c r="C1775" s="4">
        <v>1875295</v>
      </c>
      <c r="E1775" s="4" t="s">
        <v>55</v>
      </c>
      <c r="F1775" s="4" t="s">
        <v>4872</v>
      </c>
      <c r="G1775" s="4" t="s">
        <v>4873</v>
      </c>
      <c r="I1775" s="4" t="s">
        <v>52</v>
      </c>
      <c r="L1775" s="4" t="s">
        <v>4874</v>
      </c>
      <c r="M1775" s="4" t="s">
        <v>4872</v>
      </c>
      <c r="N1775" s="4">
        <v>151</v>
      </c>
      <c r="O1775" s="4" t="s">
        <v>4875</v>
      </c>
    </row>
    <row r="1776" spans="1:15" ht="15.75" customHeight="1">
      <c r="A1776" s="4" t="s">
        <v>49</v>
      </c>
      <c r="B1776" s="4">
        <v>1875311</v>
      </c>
      <c r="C1776" s="4">
        <v>1877317</v>
      </c>
      <c r="E1776" s="4" t="s">
        <v>55</v>
      </c>
      <c r="F1776" s="4" t="s">
        <v>4876</v>
      </c>
      <c r="I1776" s="4" t="s">
        <v>52</v>
      </c>
      <c r="L1776" s="4" t="s">
        <v>4877</v>
      </c>
      <c r="M1776" s="4" t="s">
        <v>4876</v>
      </c>
      <c r="N1776" s="4">
        <v>668</v>
      </c>
      <c r="O1776" s="4" t="s">
        <v>4878</v>
      </c>
    </row>
    <row r="1777" spans="1:15" ht="15.75" customHeight="1">
      <c r="A1777" s="4" t="s">
        <v>49</v>
      </c>
      <c r="B1777" s="4">
        <v>1877629</v>
      </c>
      <c r="C1777" s="4">
        <v>1877928</v>
      </c>
      <c r="E1777" s="4" t="s">
        <v>55</v>
      </c>
      <c r="F1777" s="4" t="s">
        <v>56</v>
      </c>
      <c r="I1777" s="4" t="s">
        <v>52</v>
      </c>
      <c r="L1777" s="4" t="s">
        <v>4879</v>
      </c>
      <c r="M1777" s="4" t="s">
        <v>56</v>
      </c>
      <c r="N1777" s="4">
        <v>99</v>
      </c>
      <c r="O1777" s="4" t="s">
        <v>4880</v>
      </c>
    </row>
    <row r="1778" spans="1:15" ht="15.75" customHeight="1">
      <c r="A1778" s="4" t="s">
        <v>49</v>
      </c>
      <c r="B1778" s="4">
        <v>1878014</v>
      </c>
      <c r="C1778" s="4">
        <v>1878601</v>
      </c>
      <c r="E1778" s="4" t="s">
        <v>55</v>
      </c>
      <c r="F1778" s="4" t="s">
        <v>4881</v>
      </c>
      <c r="I1778" s="4" t="s">
        <v>52</v>
      </c>
      <c r="L1778" s="4" t="s">
        <v>4882</v>
      </c>
      <c r="M1778" s="4" t="s">
        <v>4881</v>
      </c>
      <c r="N1778" s="4">
        <v>195</v>
      </c>
      <c r="O1778" s="4" t="s">
        <v>4883</v>
      </c>
    </row>
    <row r="1779" spans="1:15" ht="15.75" customHeight="1">
      <c r="A1779" s="4" t="s">
        <v>49</v>
      </c>
      <c r="B1779" s="4">
        <v>1878937</v>
      </c>
      <c r="C1779" s="4">
        <v>1879803</v>
      </c>
      <c r="E1779" s="4" t="s">
        <v>55</v>
      </c>
      <c r="F1779" s="4" t="s">
        <v>3345</v>
      </c>
      <c r="I1779" s="4" t="s">
        <v>52</v>
      </c>
      <c r="L1779" s="4" t="s">
        <v>4884</v>
      </c>
      <c r="M1779" s="4" t="s">
        <v>3345</v>
      </c>
      <c r="N1779" s="4">
        <v>288</v>
      </c>
      <c r="O1779" s="4" t="s">
        <v>4885</v>
      </c>
    </row>
    <row r="1780" spans="1:15" ht="15.75" customHeight="1">
      <c r="A1780" s="4" t="s">
        <v>49</v>
      </c>
      <c r="B1780" s="4">
        <v>1879796</v>
      </c>
      <c r="C1780" s="4">
        <v>1880209</v>
      </c>
      <c r="E1780" s="4" t="s">
        <v>55</v>
      </c>
      <c r="F1780" s="4" t="s">
        <v>4682</v>
      </c>
      <c r="I1780" s="4" t="s">
        <v>52</v>
      </c>
      <c r="L1780" s="4" t="s">
        <v>4886</v>
      </c>
      <c r="M1780" s="4" t="s">
        <v>4682</v>
      </c>
      <c r="N1780" s="4">
        <v>137</v>
      </c>
      <c r="O1780" s="4" t="s">
        <v>4887</v>
      </c>
    </row>
    <row r="1781" spans="1:15" ht="15.75" customHeight="1">
      <c r="A1781" s="4" t="s">
        <v>49</v>
      </c>
      <c r="B1781" s="4">
        <v>1880496</v>
      </c>
      <c r="C1781" s="4">
        <v>1880873</v>
      </c>
      <c r="E1781" s="4" t="s">
        <v>55</v>
      </c>
      <c r="F1781" s="4" t="s">
        <v>56</v>
      </c>
      <c r="I1781" s="4" t="s">
        <v>52</v>
      </c>
      <c r="L1781" s="4" t="s">
        <v>4888</v>
      </c>
      <c r="M1781" s="4" t="s">
        <v>56</v>
      </c>
      <c r="N1781" s="4">
        <v>125</v>
      </c>
      <c r="O1781" s="4" t="s">
        <v>4889</v>
      </c>
    </row>
    <row r="1782" spans="1:15" ht="15.75" customHeight="1">
      <c r="A1782" s="4" t="s">
        <v>49</v>
      </c>
      <c r="B1782" s="4">
        <v>1881069</v>
      </c>
      <c r="C1782" s="4">
        <v>1882127</v>
      </c>
      <c r="E1782" s="4" t="s">
        <v>55</v>
      </c>
      <c r="F1782" s="4" t="s">
        <v>4890</v>
      </c>
      <c r="I1782" s="4" t="s">
        <v>52</v>
      </c>
      <c r="L1782" s="4" t="s">
        <v>4891</v>
      </c>
      <c r="M1782" s="4" t="s">
        <v>4890</v>
      </c>
      <c r="N1782" s="4">
        <v>352</v>
      </c>
      <c r="O1782" s="4" t="s">
        <v>4892</v>
      </c>
    </row>
    <row r="1783" spans="1:15" ht="15.75" customHeight="1">
      <c r="A1783" s="4" t="s">
        <v>49</v>
      </c>
      <c r="B1783" s="4">
        <v>1882131</v>
      </c>
      <c r="C1783" s="4">
        <v>1883138</v>
      </c>
      <c r="E1783" s="4" t="s">
        <v>55</v>
      </c>
      <c r="F1783" s="4" t="s">
        <v>4893</v>
      </c>
      <c r="G1783" s="4" t="s">
        <v>4894</v>
      </c>
      <c r="I1783" s="4" t="s">
        <v>52</v>
      </c>
      <c r="L1783" s="4" t="s">
        <v>4895</v>
      </c>
      <c r="M1783" s="4" t="s">
        <v>4893</v>
      </c>
      <c r="N1783" s="4">
        <v>335</v>
      </c>
      <c r="O1783" s="4" t="s">
        <v>4896</v>
      </c>
    </row>
    <row r="1784" spans="1:15" ht="15.75" customHeight="1">
      <c r="A1784" s="4" t="s">
        <v>49</v>
      </c>
      <c r="B1784" s="4">
        <v>1883140</v>
      </c>
      <c r="C1784" s="4">
        <v>1884519</v>
      </c>
      <c r="E1784" s="4" t="s">
        <v>55</v>
      </c>
      <c r="F1784" s="4" t="s">
        <v>3215</v>
      </c>
      <c r="I1784" s="4" t="s">
        <v>52</v>
      </c>
      <c r="L1784" s="4" t="s">
        <v>4897</v>
      </c>
      <c r="M1784" s="4" t="s">
        <v>3215</v>
      </c>
      <c r="N1784" s="4">
        <v>459</v>
      </c>
      <c r="O1784" s="4" t="s">
        <v>4898</v>
      </c>
    </row>
    <row r="1785" spans="1:15" ht="15.75" customHeight="1">
      <c r="A1785" s="4" t="s">
        <v>49</v>
      </c>
      <c r="B1785" s="4">
        <v>1885233</v>
      </c>
      <c r="C1785" s="4">
        <v>1886579</v>
      </c>
      <c r="E1785" s="4" t="s">
        <v>50</v>
      </c>
      <c r="F1785" s="4" t="s">
        <v>4899</v>
      </c>
      <c r="G1785" s="4" t="s">
        <v>4900</v>
      </c>
      <c r="I1785" s="4" t="s">
        <v>52</v>
      </c>
      <c r="L1785" s="4" t="s">
        <v>4901</v>
      </c>
      <c r="M1785" s="4" t="s">
        <v>4899</v>
      </c>
      <c r="N1785" s="4">
        <v>448</v>
      </c>
      <c r="O1785" s="4" t="s">
        <v>4902</v>
      </c>
    </row>
    <row r="1786" spans="1:15" ht="15.75" customHeight="1">
      <c r="A1786" s="4" t="s">
        <v>49</v>
      </c>
      <c r="B1786" s="4">
        <v>1886590</v>
      </c>
      <c r="C1786" s="4">
        <v>1887294</v>
      </c>
      <c r="E1786" s="4" t="s">
        <v>50</v>
      </c>
      <c r="F1786" s="4" t="s">
        <v>4903</v>
      </c>
      <c r="G1786" s="4" t="s">
        <v>4904</v>
      </c>
      <c r="I1786" s="4" t="s">
        <v>52</v>
      </c>
      <c r="L1786" s="4" t="s">
        <v>4905</v>
      </c>
      <c r="M1786" s="4" t="s">
        <v>4903</v>
      </c>
      <c r="N1786" s="4">
        <v>234</v>
      </c>
      <c r="O1786" s="4" t="s">
        <v>4906</v>
      </c>
    </row>
    <row r="1787" spans="1:15" ht="15.75" customHeight="1">
      <c r="A1787" s="4" t="s">
        <v>49</v>
      </c>
      <c r="B1787" s="4">
        <v>1887302</v>
      </c>
      <c r="C1787" s="4">
        <v>1888453</v>
      </c>
      <c r="E1787" s="4" t="s">
        <v>50</v>
      </c>
      <c r="F1787" s="4" t="s">
        <v>4907</v>
      </c>
      <c r="I1787" s="4" t="s">
        <v>52</v>
      </c>
      <c r="L1787" s="4" t="s">
        <v>4908</v>
      </c>
      <c r="M1787" s="4" t="s">
        <v>4907</v>
      </c>
      <c r="N1787" s="4">
        <v>383</v>
      </c>
      <c r="O1787" s="4" t="s">
        <v>4909</v>
      </c>
    </row>
    <row r="1788" spans="1:15" ht="15.75" customHeight="1">
      <c r="A1788" s="4" t="s">
        <v>49</v>
      </c>
      <c r="B1788" s="4">
        <v>1888597</v>
      </c>
      <c r="C1788" s="4">
        <v>1889502</v>
      </c>
      <c r="E1788" s="4" t="s">
        <v>50</v>
      </c>
      <c r="F1788" s="4" t="s">
        <v>4910</v>
      </c>
      <c r="G1788" s="4" t="s">
        <v>4911</v>
      </c>
      <c r="I1788" s="4" t="s">
        <v>52</v>
      </c>
      <c r="L1788" s="4" t="s">
        <v>4912</v>
      </c>
      <c r="M1788" s="4" t="s">
        <v>4910</v>
      </c>
      <c r="N1788" s="4">
        <v>301</v>
      </c>
      <c r="O1788" s="4" t="s">
        <v>4913</v>
      </c>
    </row>
    <row r="1789" spans="1:15" ht="15.75" customHeight="1">
      <c r="A1789" s="4" t="s">
        <v>49</v>
      </c>
      <c r="B1789" s="4">
        <v>1889499</v>
      </c>
      <c r="C1789" s="4">
        <v>1890266</v>
      </c>
      <c r="E1789" s="4" t="s">
        <v>50</v>
      </c>
      <c r="F1789" s="4" t="s">
        <v>4914</v>
      </c>
      <c r="G1789" s="4" t="s">
        <v>4915</v>
      </c>
      <c r="I1789" s="4" t="s">
        <v>52</v>
      </c>
      <c r="L1789" s="4" t="s">
        <v>4916</v>
      </c>
      <c r="M1789" s="4" t="s">
        <v>4914</v>
      </c>
      <c r="N1789" s="4">
        <v>255</v>
      </c>
      <c r="O1789" s="4" t="s">
        <v>4917</v>
      </c>
    </row>
    <row r="1790" spans="1:15" ht="15.75" customHeight="1">
      <c r="A1790" s="4" t="s">
        <v>49</v>
      </c>
      <c r="B1790" s="4">
        <v>1890759</v>
      </c>
      <c r="C1790" s="4">
        <v>1891268</v>
      </c>
      <c r="E1790" s="4" t="s">
        <v>55</v>
      </c>
      <c r="F1790" s="4" t="s">
        <v>56</v>
      </c>
      <c r="I1790" s="4" t="s">
        <v>52</v>
      </c>
      <c r="L1790" s="4" t="s">
        <v>4918</v>
      </c>
      <c r="M1790" s="4" t="s">
        <v>56</v>
      </c>
      <c r="N1790" s="4">
        <v>169</v>
      </c>
      <c r="O1790" s="4" t="s">
        <v>4919</v>
      </c>
    </row>
    <row r="1791" spans="1:15" ht="15.75" customHeight="1">
      <c r="A1791" s="4" t="s">
        <v>49</v>
      </c>
      <c r="B1791" s="4">
        <v>1891487</v>
      </c>
      <c r="C1791" s="4">
        <v>1892209</v>
      </c>
      <c r="E1791" s="4" t="s">
        <v>50</v>
      </c>
      <c r="F1791" s="4" t="s">
        <v>56</v>
      </c>
      <c r="I1791" s="4" t="s">
        <v>52</v>
      </c>
      <c r="L1791" s="4" t="s">
        <v>4920</v>
      </c>
      <c r="M1791" s="4" t="s">
        <v>56</v>
      </c>
      <c r="N1791" s="4">
        <v>240</v>
      </c>
      <c r="O1791" s="4" t="s">
        <v>4921</v>
      </c>
    </row>
    <row r="1792" spans="1:15" ht="15.75" customHeight="1">
      <c r="A1792" s="4" t="s">
        <v>49</v>
      </c>
      <c r="B1792" s="4">
        <v>1892193</v>
      </c>
      <c r="C1792" s="4">
        <v>1892567</v>
      </c>
      <c r="E1792" s="4" t="s">
        <v>55</v>
      </c>
      <c r="F1792" s="4" t="s">
        <v>56</v>
      </c>
      <c r="I1792" s="4" t="s">
        <v>52</v>
      </c>
      <c r="L1792" s="4" t="s">
        <v>4922</v>
      </c>
      <c r="M1792" s="4" t="s">
        <v>56</v>
      </c>
      <c r="N1792" s="4">
        <v>124</v>
      </c>
      <c r="O1792" s="4" t="s">
        <v>4923</v>
      </c>
    </row>
    <row r="1793" spans="1:15" ht="15.75" customHeight="1">
      <c r="A1793" s="4" t="s">
        <v>49</v>
      </c>
      <c r="B1793" s="4">
        <v>1892689</v>
      </c>
      <c r="C1793" s="4">
        <v>1893267</v>
      </c>
      <c r="E1793" s="4" t="s">
        <v>55</v>
      </c>
      <c r="F1793" s="4" t="s">
        <v>111</v>
      </c>
      <c r="I1793" s="4" t="s">
        <v>52</v>
      </c>
      <c r="L1793" s="4" t="s">
        <v>4924</v>
      </c>
      <c r="M1793" s="4" t="s">
        <v>111</v>
      </c>
      <c r="N1793" s="4">
        <v>192</v>
      </c>
      <c r="O1793" s="4" t="s">
        <v>4925</v>
      </c>
    </row>
    <row r="1794" spans="1:15" ht="15.75" customHeight="1">
      <c r="A1794" s="4" t="s">
        <v>49</v>
      </c>
      <c r="B1794" s="4">
        <v>1893426</v>
      </c>
      <c r="C1794" s="4">
        <v>1895252</v>
      </c>
      <c r="E1794" s="4" t="s">
        <v>50</v>
      </c>
      <c r="F1794" s="4" t="s">
        <v>255</v>
      </c>
      <c r="I1794" s="4" t="s">
        <v>52</v>
      </c>
      <c r="L1794" s="4" t="s">
        <v>4926</v>
      </c>
      <c r="M1794" s="4" t="s">
        <v>255</v>
      </c>
      <c r="N1794" s="4">
        <v>608</v>
      </c>
      <c r="O1794" s="4" t="s">
        <v>4927</v>
      </c>
    </row>
    <row r="1795" spans="1:15" ht="15.75" customHeight="1">
      <c r="A1795" s="4" t="s">
        <v>49</v>
      </c>
      <c r="B1795" s="4">
        <v>1895384</v>
      </c>
      <c r="C1795" s="4">
        <v>1896523</v>
      </c>
      <c r="E1795" s="4" t="s">
        <v>55</v>
      </c>
      <c r="F1795" s="4" t="s">
        <v>56</v>
      </c>
      <c r="I1795" s="4" t="s">
        <v>52</v>
      </c>
      <c r="L1795" s="4" t="s">
        <v>4928</v>
      </c>
      <c r="M1795" s="4" t="s">
        <v>56</v>
      </c>
      <c r="N1795" s="4">
        <v>379</v>
      </c>
      <c r="O1795" s="4" t="s">
        <v>4929</v>
      </c>
    </row>
    <row r="1796" spans="1:15" ht="15.75" customHeight="1">
      <c r="A1796" s="4" t="s">
        <v>49</v>
      </c>
      <c r="B1796" s="4">
        <v>1896590</v>
      </c>
      <c r="C1796" s="4">
        <v>1896691</v>
      </c>
      <c r="E1796" s="4" t="s">
        <v>50</v>
      </c>
      <c r="F1796" s="4" t="s">
        <v>345</v>
      </c>
      <c r="I1796" s="4" t="s">
        <v>346</v>
      </c>
      <c r="O1796" s="4" t="s">
        <v>4930</v>
      </c>
    </row>
    <row r="1797" spans="1:15" ht="15.75" customHeight="1">
      <c r="A1797" s="4" t="s">
        <v>49</v>
      </c>
      <c r="B1797" s="4">
        <v>1897266</v>
      </c>
      <c r="C1797" s="4">
        <v>1898291</v>
      </c>
      <c r="E1797" s="4" t="s">
        <v>50</v>
      </c>
      <c r="F1797" s="4" t="s">
        <v>4931</v>
      </c>
      <c r="G1797" s="4" t="s">
        <v>4932</v>
      </c>
      <c r="I1797" s="4" t="s">
        <v>52</v>
      </c>
      <c r="L1797" s="4" t="s">
        <v>4933</v>
      </c>
      <c r="M1797" s="4" t="s">
        <v>4931</v>
      </c>
      <c r="N1797" s="4">
        <v>341</v>
      </c>
      <c r="O1797" s="4" t="s">
        <v>4934</v>
      </c>
    </row>
    <row r="1798" spans="1:15" ht="15.75" customHeight="1">
      <c r="A1798" s="4" t="s">
        <v>49</v>
      </c>
      <c r="B1798" s="4">
        <v>1898288</v>
      </c>
      <c r="C1798" s="4">
        <v>1899070</v>
      </c>
      <c r="E1798" s="4" t="s">
        <v>50</v>
      </c>
      <c r="F1798" s="4" t="s">
        <v>4935</v>
      </c>
      <c r="G1798" s="4" t="s">
        <v>4936</v>
      </c>
      <c r="I1798" s="4" t="s">
        <v>52</v>
      </c>
      <c r="L1798" s="4" t="s">
        <v>4937</v>
      </c>
      <c r="M1798" s="4" t="s">
        <v>4935</v>
      </c>
      <c r="N1798" s="4">
        <v>260</v>
      </c>
      <c r="O1798" s="4" t="s">
        <v>4938</v>
      </c>
    </row>
    <row r="1799" spans="1:15" ht="15.75" customHeight="1">
      <c r="A1799" s="4" t="s">
        <v>49</v>
      </c>
      <c r="B1799" s="4">
        <v>1899222</v>
      </c>
      <c r="C1799" s="4">
        <v>1899821</v>
      </c>
      <c r="E1799" s="4" t="s">
        <v>50</v>
      </c>
      <c r="F1799" s="4" t="s">
        <v>4939</v>
      </c>
      <c r="I1799" s="4" t="s">
        <v>52</v>
      </c>
      <c r="L1799" s="4" t="s">
        <v>4940</v>
      </c>
      <c r="M1799" s="4" t="s">
        <v>4939</v>
      </c>
      <c r="N1799" s="4">
        <v>199</v>
      </c>
      <c r="O1799" s="4" t="s">
        <v>4941</v>
      </c>
    </row>
    <row r="1800" spans="1:15" ht="15.75" customHeight="1">
      <c r="A1800" s="4" t="s">
        <v>49</v>
      </c>
      <c r="B1800" s="4">
        <v>1899805</v>
      </c>
      <c r="C1800" s="4">
        <v>1901025</v>
      </c>
      <c r="E1800" s="4" t="s">
        <v>50</v>
      </c>
      <c r="F1800" s="4" t="s">
        <v>4942</v>
      </c>
      <c r="G1800" s="4" t="s">
        <v>4943</v>
      </c>
      <c r="I1800" s="4" t="s">
        <v>52</v>
      </c>
      <c r="L1800" s="4" t="s">
        <v>4944</v>
      </c>
      <c r="M1800" s="4" t="s">
        <v>4942</v>
      </c>
      <c r="N1800" s="4">
        <v>406</v>
      </c>
      <c r="O1800" s="4" t="s">
        <v>4945</v>
      </c>
    </row>
    <row r="1801" spans="1:15" ht="15.75" customHeight="1">
      <c r="A1801" s="4" t="s">
        <v>49</v>
      </c>
      <c r="B1801" s="4">
        <v>1901018</v>
      </c>
      <c r="C1801" s="4">
        <v>1901812</v>
      </c>
      <c r="E1801" s="4" t="s">
        <v>50</v>
      </c>
      <c r="F1801" s="4" t="s">
        <v>4946</v>
      </c>
      <c r="G1801" s="4" t="s">
        <v>4947</v>
      </c>
      <c r="I1801" s="4" t="s">
        <v>52</v>
      </c>
      <c r="L1801" s="4" t="s">
        <v>4948</v>
      </c>
      <c r="M1801" s="4" t="s">
        <v>4946</v>
      </c>
      <c r="N1801" s="4">
        <v>264</v>
      </c>
      <c r="O1801" s="4" t="s">
        <v>4949</v>
      </c>
    </row>
    <row r="1802" spans="1:15" ht="15.75" customHeight="1">
      <c r="A1802" s="4" t="s">
        <v>49</v>
      </c>
      <c r="B1802" s="4">
        <v>1902426</v>
      </c>
      <c r="C1802" s="4">
        <v>1903085</v>
      </c>
      <c r="E1802" s="4" t="s">
        <v>55</v>
      </c>
      <c r="F1802" s="4" t="s">
        <v>4950</v>
      </c>
      <c r="I1802" s="4" t="s">
        <v>52</v>
      </c>
      <c r="L1802" s="4" t="s">
        <v>4951</v>
      </c>
      <c r="M1802" s="4" t="s">
        <v>4950</v>
      </c>
      <c r="N1802" s="4">
        <v>219</v>
      </c>
      <c r="O1802" s="4" t="s">
        <v>4952</v>
      </c>
    </row>
    <row r="1803" spans="1:15" ht="15.75" customHeight="1">
      <c r="A1803" s="4" t="s">
        <v>49</v>
      </c>
      <c r="B1803" s="4">
        <v>1903134</v>
      </c>
      <c r="C1803" s="4">
        <v>1903718</v>
      </c>
      <c r="E1803" s="4" t="s">
        <v>55</v>
      </c>
      <c r="F1803" s="4" t="s">
        <v>4953</v>
      </c>
      <c r="I1803" s="4" t="s">
        <v>52</v>
      </c>
      <c r="L1803" s="4" t="s">
        <v>4954</v>
      </c>
      <c r="M1803" s="4" t="s">
        <v>4953</v>
      </c>
      <c r="N1803" s="4">
        <v>194</v>
      </c>
      <c r="O1803" s="4" t="s">
        <v>4955</v>
      </c>
    </row>
    <row r="1804" spans="1:15" ht="15.75" customHeight="1">
      <c r="A1804" s="4" t="s">
        <v>49</v>
      </c>
      <c r="B1804" s="4">
        <v>1903866</v>
      </c>
      <c r="C1804" s="4">
        <v>1904093</v>
      </c>
      <c r="E1804" s="4" t="s">
        <v>55</v>
      </c>
      <c r="F1804" s="4" t="s">
        <v>4956</v>
      </c>
      <c r="I1804" s="4" t="s">
        <v>52</v>
      </c>
      <c r="L1804" s="4" t="s">
        <v>4957</v>
      </c>
      <c r="M1804" s="4" t="s">
        <v>4956</v>
      </c>
      <c r="N1804" s="4">
        <v>75</v>
      </c>
      <c r="O1804" s="4" t="s">
        <v>4958</v>
      </c>
    </row>
    <row r="1805" spans="1:15" ht="15.75" customHeight="1">
      <c r="A1805" s="4" t="s">
        <v>49</v>
      </c>
      <c r="B1805" s="4">
        <v>1904113</v>
      </c>
      <c r="C1805" s="4">
        <v>1905969</v>
      </c>
      <c r="E1805" s="4" t="s">
        <v>55</v>
      </c>
      <c r="F1805" s="4" t="s">
        <v>2300</v>
      </c>
      <c r="I1805" s="4" t="s">
        <v>52</v>
      </c>
      <c r="L1805" s="4" t="s">
        <v>4959</v>
      </c>
      <c r="M1805" s="4" t="s">
        <v>2300</v>
      </c>
      <c r="N1805" s="4">
        <v>618</v>
      </c>
      <c r="O1805" s="4" t="s">
        <v>4960</v>
      </c>
    </row>
    <row r="1806" spans="1:15" ht="15.75" customHeight="1">
      <c r="A1806" s="4" t="s">
        <v>49</v>
      </c>
      <c r="B1806" s="4">
        <v>1906006</v>
      </c>
      <c r="C1806" s="4">
        <v>1906191</v>
      </c>
      <c r="E1806" s="4" t="s">
        <v>50</v>
      </c>
      <c r="F1806" s="4" t="s">
        <v>56</v>
      </c>
      <c r="I1806" s="4" t="s">
        <v>52</v>
      </c>
      <c r="L1806" s="4" t="s">
        <v>4961</v>
      </c>
      <c r="M1806" s="4" t="s">
        <v>56</v>
      </c>
      <c r="N1806" s="4">
        <v>61</v>
      </c>
      <c r="O1806" s="4" t="s">
        <v>4962</v>
      </c>
    </row>
    <row r="1807" spans="1:15" ht="15.75" customHeight="1">
      <c r="A1807" s="4" t="s">
        <v>49</v>
      </c>
      <c r="B1807" s="4">
        <v>1906315</v>
      </c>
      <c r="C1807" s="4">
        <v>1906536</v>
      </c>
      <c r="E1807" s="4" t="s">
        <v>50</v>
      </c>
      <c r="F1807" s="4" t="s">
        <v>56</v>
      </c>
      <c r="I1807" s="4" t="s">
        <v>52</v>
      </c>
      <c r="L1807" s="4" t="s">
        <v>4963</v>
      </c>
      <c r="M1807" s="4" t="s">
        <v>56</v>
      </c>
      <c r="N1807" s="4">
        <v>73</v>
      </c>
      <c r="O1807" s="4" t="s">
        <v>4964</v>
      </c>
    </row>
    <row r="1808" spans="1:15" ht="15.75" customHeight="1">
      <c r="A1808" s="4" t="s">
        <v>49</v>
      </c>
      <c r="B1808" s="4">
        <v>1906602</v>
      </c>
      <c r="C1808" s="4">
        <v>1907255</v>
      </c>
      <c r="E1808" s="4" t="s">
        <v>50</v>
      </c>
      <c r="F1808" s="4" t="s">
        <v>3422</v>
      </c>
      <c r="I1808" s="4" t="s">
        <v>52</v>
      </c>
      <c r="L1808" s="4" t="s">
        <v>4965</v>
      </c>
      <c r="M1808" s="4" t="s">
        <v>3422</v>
      </c>
      <c r="N1808" s="4">
        <v>217</v>
      </c>
      <c r="O1808" s="4" t="s">
        <v>4966</v>
      </c>
    </row>
    <row r="1809" spans="1:15" ht="15.75" customHeight="1">
      <c r="A1809" s="4" t="s">
        <v>49</v>
      </c>
      <c r="B1809" s="4">
        <v>1907879</v>
      </c>
      <c r="C1809" s="4">
        <v>1909132</v>
      </c>
      <c r="E1809" s="4" t="s">
        <v>50</v>
      </c>
      <c r="F1809" s="4" t="s">
        <v>4967</v>
      </c>
      <c r="I1809" s="4" t="s">
        <v>52</v>
      </c>
      <c r="L1809" s="4" t="s">
        <v>4968</v>
      </c>
      <c r="M1809" s="4" t="s">
        <v>4967</v>
      </c>
      <c r="N1809" s="4">
        <v>417</v>
      </c>
      <c r="O1809" s="4" t="s">
        <v>4969</v>
      </c>
    </row>
    <row r="1810" spans="1:15" ht="15.75" customHeight="1">
      <c r="A1810" s="4" t="s">
        <v>49</v>
      </c>
      <c r="B1810" s="4">
        <v>1909135</v>
      </c>
      <c r="C1810" s="4">
        <v>1909764</v>
      </c>
      <c r="E1810" s="4" t="s">
        <v>50</v>
      </c>
      <c r="F1810" s="4" t="s">
        <v>76</v>
      </c>
      <c r="I1810" s="4" t="s">
        <v>52</v>
      </c>
      <c r="L1810" s="4" t="s">
        <v>4970</v>
      </c>
      <c r="M1810" s="4" t="s">
        <v>76</v>
      </c>
      <c r="N1810" s="4">
        <v>209</v>
      </c>
      <c r="O1810" s="4" t="s">
        <v>4971</v>
      </c>
    </row>
    <row r="1811" spans="1:15" ht="15.75" customHeight="1">
      <c r="A1811" s="4" t="s">
        <v>49</v>
      </c>
      <c r="B1811" s="4">
        <v>1909776</v>
      </c>
      <c r="C1811" s="4">
        <v>1910705</v>
      </c>
      <c r="E1811" s="4" t="s">
        <v>50</v>
      </c>
      <c r="F1811" s="4" t="s">
        <v>4972</v>
      </c>
      <c r="I1811" s="4" t="s">
        <v>52</v>
      </c>
      <c r="L1811" s="4" t="s">
        <v>4973</v>
      </c>
      <c r="M1811" s="4" t="s">
        <v>4972</v>
      </c>
      <c r="N1811" s="4">
        <v>309</v>
      </c>
      <c r="O1811" s="4" t="s">
        <v>4974</v>
      </c>
    </row>
    <row r="1812" spans="1:15" ht="15.75" customHeight="1">
      <c r="A1812" s="4" t="s">
        <v>49</v>
      </c>
      <c r="B1812" s="4">
        <v>1910705</v>
      </c>
      <c r="C1812" s="4">
        <v>1911367</v>
      </c>
      <c r="E1812" s="4" t="s">
        <v>50</v>
      </c>
      <c r="F1812" s="4" t="s">
        <v>76</v>
      </c>
      <c r="I1812" s="4" t="s">
        <v>52</v>
      </c>
      <c r="L1812" s="4" t="s">
        <v>4975</v>
      </c>
      <c r="M1812" s="4" t="s">
        <v>76</v>
      </c>
      <c r="N1812" s="4">
        <v>220</v>
      </c>
      <c r="O1812" s="4" t="s">
        <v>4976</v>
      </c>
    </row>
    <row r="1813" spans="1:15" ht="15.75" customHeight="1">
      <c r="A1813" s="4" t="s">
        <v>49</v>
      </c>
      <c r="B1813" s="4">
        <v>1911581</v>
      </c>
      <c r="C1813" s="4">
        <v>1911841</v>
      </c>
      <c r="E1813" s="4" t="s">
        <v>50</v>
      </c>
      <c r="F1813" s="4" t="s">
        <v>56</v>
      </c>
      <c r="I1813" s="4" t="s">
        <v>52</v>
      </c>
      <c r="L1813" s="4" t="s">
        <v>4977</v>
      </c>
      <c r="M1813" s="4" t="s">
        <v>56</v>
      </c>
      <c r="N1813" s="4">
        <v>86</v>
      </c>
      <c r="O1813" s="4" t="s">
        <v>4978</v>
      </c>
    </row>
    <row r="1814" spans="1:15" ht="15.75" customHeight="1">
      <c r="A1814" s="4" t="s">
        <v>49</v>
      </c>
      <c r="B1814" s="4">
        <v>1912092</v>
      </c>
      <c r="C1814" s="4">
        <v>1912694</v>
      </c>
      <c r="E1814" s="4" t="s">
        <v>50</v>
      </c>
      <c r="F1814" s="4" t="s">
        <v>111</v>
      </c>
      <c r="I1814" s="4" t="s">
        <v>52</v>
      </c>
      <c r="L1814" s="4" t="s">
        <v>4979</v>
      </c>
      <c r="M1814" s="4" t="s">
        <v>111</v>
      </c>
      <c r="N1814" s="4">
        <v>200</v>
      </c>
      <c r="O1814" s="4" t="s">
        <v>4980</v>
      </c>
    </row>
    <row r="1815" spans="1:15" ht="15.75" customHeight="1">
      <c r="A1815" s="4" t="s">
        <v>49</v>
      </c>
      <c r="B1815" s="4">
        <v>1912691</v>
      </c>
      <c r="C1815" s="4">
        <v>1916002</v>
      </c>
      <c r="E1815" s="4" t="s">
        <v>50</v>
      </c>
      <c r="F1815" s="4" t="s">
        <v>4981</v>
      </c>
      <c r="I1815" s="4" t="s">
        <v>52</v>
      </c>
      <c r="L1815" s="4" t="s">
        <v>4982</v>
      </c>
      <c r="M1815" s="4" t="s">
        <v>4981</v>
      </c>
      <c r="N1815" s="4">
        <v>1103</v>
      </c>
      <c r="O1815" s="4" t="s">
        <v>4983</v>
      </c>
    </row>
    <row r="1816" spans="1:15" ht="15.75" customHeight="1">
      <c r="A1816" s="4" t="s">
        <v>49</v>
      </c>
      <c r="B1816" s="4">
        <v>1916183</v>
      </c>
      <c r="C1816" s="4">
        <v>1916505</v>
      </c>
      <c r="E1816" s="4" t="s">
        <v>50</v>
      </c>
      <c r="F1816" s="4" t="s">
        <v>345</v>
      </c>
      <c r="I1816" s="4" t="s">
        <v>346</v>
      </c>
      <c r="O1816" s="4" t="s">
        <v>4984</v>
      </c>
    </row>
    <row r="1817" spans="1:15" ht="15.75" customHeight="1">
      <c r="A1817" s="4" t="s">
        <v>49</v>
      </c>
      <c r="B1817" s="4">
        <v>1916683</v>
      </c>
      <c r="C1817" s="4">
        <v>1918056</v>
      </c>
      <c r="E1817" s="4" t="s">
        <v>50</v>
      </c>
      <c r="F1817" s="4" t="s">
        <v>255</v>
      </c>
      <c r="I1817" s="4" t="s">
        <v>52</v>
      </c>
      <c r="L1817" s="4" t="s">
        <v>4985</v>
      </c>
      <c r="M1817" s="4" t="s">
        <v>255</v>
      </c>
      <c r="N1817" s="4">
        <v>457</v>
      </c>
      <c r="O1817" s="4" t="s">
        <v>4986</v>
      </c>
    </row>
    <row r="1818" spans="1:15" ht="15.75" customHeight="1">
      <c r="A1818" s="4" t="s">
        <v>49</v>
      </c>
      <c r="B1818" s="4">
        <v>1918394</v>
      </c>
      <c r="C1818" s="4">
        <v>1919986</v>
      </c>
      <c r="E1818" s="4" t="s">
        <v>55</v>
      </c>
      <c r="F1818" s="4" t="s">
        <v>73</v>
      </c>
      <c r="I1818" s="4" t="s">
        <v>52</v>
      </c>
      <c r="L1818" s="4" t="s">
        <v>4987</v>
      </c>
      <c r="M1818" s="4" t="s">
        <v>73</v>
      </c>
      <c r="N1818" s="4">
        <v>530</v>
      </c>
      <c r="O1818" s="4" t="s">
        <v>4988</v>
      </c>
    </row>
    <row r="1819" spans="1:15" ht="15.75" customHeight="1">
      <c r="A1819" s="4" t="s">
        <v>49</v>
      </c>
      <c r="B1819" s="4">
        <v>1920079</v>
      </c>
      <c r="C1819" s="4">
        <v>1920954</v>
      </c>
      <c r="E1819" s="4" t="s">
        <v>50</v>
      </c>
      <c r="F1819" s="4" t="s">
        <v>4989</v>
      </c>
      <c r="I1819" s="4" t="s">
        <v>52</v>
      </c>
      <c r="L1819" s="4" t="s">
        <v>4990</v>
      </c>
      <c r="M1819" s="4" t="s">
        <v>4989</v>
      </c>
      <c r="N1819" s="4">
        <v>291</v>
      </c>
      <c r="O1819" s="4" t="s">
        <v>4991</v>
      </c>
    </row>
    <row r="1820" spans="1:15" ht="15.75" customHeight="1">
      <c r="A1820" s="4" t="s">
        <v>49</v>
      </c>
      <c r="B1820" s="4">
        <v>1921143</v>
      </c>
      <c r="C1820" s="4">
        <v>1921463</v>
      </c>
      <c r="E1820" s="4" t="s">
        <v>55</v>
      </c>
      <c r="F1820" s="4" t="s">
        <v>56</v>
      </c>
      <c r="I1820" s="4" t="s">
        <v>52</v>
      </c>
      <c r="L1820" s="4" t="s">
        <v>4992</v>
      </c>
      <c r="M1820" s="4" t="s">
        <v>56</v>
      </c>
      <c r="N1820" s="4">
        <v>106</v>
      </c>
      <c r="O1820" s="4" t="s">
        <v>4993</v>
      </c>
    </row>
    <row r="1821" spans="1:15" ht="15.75" customHeight="1">
      <c r="A1821" s="4" t="s">
        <v>49</v>
      </c>
      <c r="B1821" s="4">
        <v>1921528</v>
      </c>
      <c r="C1821" s="4">
        <v>1921884</v>
      </c>
      <c r="E1821" s="4" t="s">
        <v>55</v>
      </c>
      <c r="F1821" s="4" t="s">
        <v>56</v>
      </c>
      <c r="I1821" s="4" t="s">
        <v>52</v>
      </c>
      <c r="L1821" s="4" t="s">
        <v>4994</v>
      </c>
      <c r="M1821" s="4" t="s">
        <v>56</v>
      </c>
      <c r="N1821" s="4">
        <v>118</v>
      </c>
      <c r="O1821" s="4" t="s">
        <v>4995</v>
      </c>
    </row>
    <row r="1822" spans="1:15" ht="15.75" customHeight="1">
      <c r="A1822" s="4" t="s">
        <v>49</v>
      </c>
      <c r="B1822" s="4">
        <v>1922161</v>
      </c>
      <c r="C1822" s="4">
        <v>1922853</v>
      </c>
      <c r="E1822" s="4" t="s">
        <v>55</v>
      </c>
      <c r="F1822" s="4" t="s">
        <v>2401</v>
      </c>
      <c r="I1822" s="4" t="s">
        <v>52</v>
      </c>
      <c r="L1822" s="4" t="s">
        <v>4996</v>
      </c>
      <c r="M1822" s="4" t="s">
        <v>2401</v>
      </c>
      <c r="N1822" s="4">
        <v>230</v>
      </c>
      <c r="O1822" s="4" t="s">
        <v>4997</v>
      </c>
    </row>
    <row r="1823" spans="1:15" ht="15.75" customHeight="1">
      <c r="A1823" s="4" t="s">
        <v>49</v>
      </c>
      <c r="B1823" s="4">
        <v>1923251</v>
      </c>
      <c r="C1823" s="4">
        <v>1923901</v>
      </c>
      <c r="E1823" s="4" t="s">
        <v>50</v>
      </c>
      <c r="F1823" s="4" t="s">
        <v>4998</v>
      </c>
      <c r="I1823" s="4" t="s">
        <v>52</v>
      </c>
      <c r="L1823" s="4" t="s">
        <v>4999</v>
      </c>
      <c r="M1823" s="4" t="s">
        <v>4998</v>
      </c>
      <c r="N1823" s="4">
        <v>216</v>
      </c>
      <c r="O1823" s="4" t="s">
        <v>5000</v>
      </c>
    </row>
    <row r="1824" spans="1:15" ht="15.75" customHeight="1">
      <c r="A1824" s="4" t="s">
        <v>49</v>
      </c>
      <c r="B1824" s="4">
        <v>1924018</v>
      </c>
      <c r="C1824" s="4">
        <v>1924938</v>
      </c>
      <c r="E1824" s="4" t="s">
        <v>50</v>
      </c>
      <c r="F1824" s="4" t="s">
        <v>674</v>
      </c>
      <c r="I1824" s="4" t="s">
        <v>52</v>
      </c>
      <c r="L1824" s="4" t="s">
        <v>675</v>
      </c>
      <c r="M1824" s="4" t="s">
        <v>674</v>
      </c>
      <c r="N1824" s="4">
        <v>306</v>
      </c>
      <c r="O1824" s="4" t="s">
        <v>5001</v>
      </c>
    </row>
    <row r="1825" spans="1:15" ht="15.75" customHeight="1">
      <c r="A1825" s="4" t="s">
        <v>49</v>
      </c>
      <c r="B1825" s="4">
        <v>1925302</v>
      </c>
      <c r="C1825" s="4">
        <v>1926177</v>
      </c>
      <c r="E1825" s="4" t="s">
        <v>50</v>
      </c>
      <c r="F1825" s="4" t="s">
        <v>3422</v>
      </c>
      <c r="I1825" s="4" t="s">
        <v>52</v>
      </c>
      <c r="L1825" s="4" t="s">
        <v>5002</v>
      </c>
      <c r="M1825" s="4" t="s">
        <v>3422</v>
      </c>
      <c r="N1825" s="4">
        <v>291</v>
      </c>
      <c r="O1825" s="4" t="s">
        <v>5003</v>
      </c>
    </row>
    <row r="1826" spans="1:15" ht="15.75" customHeight="1">
      <c r="A1826" s="4" t="s">
        <v>49</v>
      </c>
      <c r="B1826" s="4">
        <v>1926528</v>
      </c>
      <c r="C1826" s="4">
        <v>1926743</v>
      </c>
      <c r="E1826" s="4" t="s">
        <v>50</v>
      </c>
      <c r="F1826" s="4" t="s">
        <v>56</v>
      </c>
      <c r="I1826" s="4" t="s">
        <v>52</v>
      </c>
      <c r="L1826" s="4" t="s">
        <v>5004</v>
      </c>
      <c r="M1826" s="4" t="s">
        <v>56</v>
      </c>
      <c r="N1826" s="4">
        <v>71</v>
      </c>
      <c r="O1826" s="4" t="s">
        <v>5005</v>
      </c>
    </row>
    <row r="1827" spans="1:15" ht="15.75" customHeight="1">
      <c r="A1827" s="4" t="s">
        <v>49</v>
      </c>
      <c r="B1827" s="4">
        <v>1927096</v>
      </c>
      <c r="C1827" s="4">
        <v>1927386</v>
      </c>
      <c r="E1827" s="4" t="s">
        <v>50</v>
      </c>
      <c r="F1827" s="4" t="s">
        <v>56</v>
      </c>
      <c r="I1827" s="4" t="s">
        <v>52</v>
      </c>
      <c r="L1827" s="4" t="s">
        <v>5006</v>
      </c>
      <c r="M1827" s="4" t="s">
        <v>56</v>
      </c>
      <c r="N1827" s="4">
        <v>96</v>
      </c>
      <c r="O1827" s="4" t="s">
        <v>5007</v>
      </c>
    </row>
    <row r="1828" spans="1:15" ht="15.75" customHeight="1">
      <c r="A1828" s="4" t="s">
        <v>49</v>
      </c>
      <c r="B1828" s="4">
        <v>1927624</v>
      </c>
      <c r="C1828" s="4">
        <v>1927953</v>
      </c>
      <c r="E1828" s="4" t="s">
        <v>55</v>
      </c>
      <c r="F1828" s="4" t="s">
        <v>5008</v>
      </c>
      <c r="I1828" s="4" t="s">
        <v>52</v>
      </c>
      <c r="L1828" s="4" t="s">
        <v>5009</v>
      </c>
      <c r="M1828" s="4" t="s">
        <v>5008</v>
      </c>
      <c r="N1828" s="4">
        <v>109</v>
      </c>
      <c r="O1828" s="4" t="s">
        <v>5010</v>
      </c>
    </row>
    <row r="1829" spans="1:15" ht="15.75" customHeight="1">
      <c r="A1829" s="4" t="s">
        <v>49</v>
      </c>
      <c r="B1829" s="4">
        <v>1927940</v>
      </c>
      <c r="C1829" s="4">
        <v>1928650</v>
      </c>
      <c r="E1829" s="4" t="s">
        <v>55</v>
      </c>
      <c r="F1829" s="4" t="s">
        <v>5011</v>
      </c>
      <c r="I1829" s="4" t="s">
        <v>52</v>
      </c>
      <c r="L1829" s="4" t="s">
        <v>5012</v>
      </c>
      <c r="M1829" s="4" t="s">
        <v>5011</v>
      </c>
      <c r="N1829" s="4">
        <v>236</v>
      </c>
      <c r="O1829" s="4" t="s">
        <v>5013</v>
      </c>
    </row>
    <row r="1830" spans="1:15" ht="15.75" customHeight="1">
      <c r="A1830" s="4" t="s">
        <v>49</v>
      </c>
      <c r="B1830" s="4">
        <v>1929001</v>
      </c>
      <c r="C1830" s="4">
        <v>1931151</v>
      </c>
      <c r="E1830" s="4" t="s">
        <v>50</v>
      </c>
      <c r="F1830" s="4" t="s">
        <v>5014</v>
      </c>
      <c r="I1830" s="4" t="s">
        <v>52</v>
      </c>
      <c r="L1830" s="4" t="s">
        <v>5015</v>
      </c>
      <c r="M1830" s="4" t="s">
        <v>5014</v>
      </c>
      <c r="N1830" s="4">
        <v>716</v>
      </c>
      <c r="O1830" s="4" t="s">
        <v>5016</v>
      </c>
    </row>
    <row r="1831" spans="1:15" ht="15.75" customHeight="1">
      <c r="A1831" s="4" t="s">
        <v>49</v>
      </c>
      <c r="B1831" s="4">
        <v>1931396</v>
      </c>
      <c r="C1831" s="4">
        <v>1931869</v>
      </c>
      <c r="E1831" s="4" t="s">
        <v>55</v>
      </c>
      <c r="F1831" s="4" t="s">
        <v>56</v>
      </c>
      <c r="I1831" s="4" t="s">
        <v>52</v>
      </c>
      <c r="L1831" s="4" t="s">
        <v>5017</v>
      </c>
      <c r="M1831" s="4" t="s">
        <v>56</v>
      </c>
      <c r="N1831" s="4">
        <v>157</v>
      </c>
      <c r="O1831" s="4" t="s">
        <v>5018</v>
      </c>
    </row>
    <row r="1832" spans="1:15" ht="15.75" customHeight="1">
      <c r="A1832" s="4" t="s">
        <v>49</v>
      </c>
      <c r="B1832" s="4">
        <v>1932226</v>
      </c>
      <c r="C1832" s="4">
        <v>1932837</v>
      </c>
      <c r="E1832" s="4" t="s">
        <v>50</v>
      </c>
      <c r="F1832" s="4" t="s">
        <v>56</v>
      </c>
      <c r="I1832" s="4" t="s">
        <v>52</v>
      </c>
      <c r="L1832" s="4" t="s">
        <v>5019</v>
      </c>
      <c r="M1832" s="4" t="s">
        <v>56</v>
      </c>
      <c r="N1832" s="4">
        <v>203</v>
      </c>
      <c r="O1832" s="4" t="s">
        <v>5020</v>
      </c>
    </row>
    <row r="1833" spans="1:15" ht="15.75" customHeight="1">
      <c r="A1833" s="4" t="s">
        <v>49</v>
      </c>
      <c r="B1833" s="4">
        <v>1932969</v>
      </c>
      <c r="C1833" s="4">
        <v>1933157</v>
      </c>
      <c r="E1833" s="4" t="s">
        <v>55</v>
      </c>
      <c r="F1833" s="4" t="s">
        <v>56</v>
      </c>
      <c r="I1833" s="4" t="s">
        <v>52</v>
      </c>
      <c r="L1833" s="4" t="s">
        <v>5021</v>
      </c>
      <c r="M1833" s="4" t="s">
        <v>56</v>
      </c>
      <c r="N1833" s="4">
        <v>62</v>
      </c>
      <c r="O1833" s="4" t="s">
        <v>5022</v>
      </c>
    </row>
    <row r="1834" spans="1:15" ht="15.75" customHeight="1">
      <c r="A1834" s="4" t="s">
        <v>49</v>
      </c>
      <c r="B1834" s="4">
        <v>1933326</v>
      </c>
      <c r="C1834" s="4">
        <v>1933637</v>
      </c>
      <c r="E1834" s="4" t="s">
        <v>50</v>
      </c>
      <c r="F1834" s="4" t="s">
        <v>3757</v>
      </c>
      <c r="I1834" s="4" t="s">
        <v>52</v>
      </c>
      <c r="L1834" s="4" t="s">
        <v>5023</v>
      </c>
      <c r="M1834" s="4" t="s">
        <v>3757</v>
      </c>
      <c r="N1834" s="4">
        <v>103</v>
      </c>
      <c r="O1834" s="4" t="s">
        <v>5024</v>
      </c>
    </row>
    <row r="1835" spans="1:15" ht="15.75" customHeight="1">
      <c r="A1835" s="4" t="s">
        <v>49</v>
      </c>
      <c r="B1835" s="4">
        <v>1933687</v>
      </c>
      <c r="C1835" s="4">
        <v>1934322</v>
      </c>
      <c r="E1835" s="4" t="s">
        <v>55</v>
      </c>
      <c r="F1835" s="4" t="s">
        <v>934</v>
      </c>
      <c r="I1835" s="4" t="s">
        <v>52</v>
      </c>
      <c r="L1835" s="4" t="s">
        <v>5025</v>
      </c>
      <c r="M1835" s="4" t="s">
        <v>934</v>
      </c>
      <c r="N1835" s="4">
        <v>211</v>
      </c>
      <c r="O1835" s="4" t="s">
        <v>5026</v>
      </c>
    </row>
    <row r="1836" spans="1:15" ht="15.75" customHeight="1">
      <c r="A1836" s="4" t="s">
        <v>49</v>
      </c>
      <c r="B1836" s="4">
        <v>1934517</v>
      </c>
      <c r="C1836" s="4">
        <v>1935959</v>
      </c>
      <c r="E1836" s="4" t="s">
        <v>55</v>
      </c>
      <c r="F1836" s="4" t="s">
        <v>443</v>
      </c>
      <c r="I1836" s="4" t="s">
        <v>52</v>
      </c>
      <c r="L1836" s="4" t="s">
        <v>5027</v>
      </c>
      <c r="M1836" s="4" t="s">
        <v>443</v>
      </c>
      <c r="N1836" s="4">
        <v>480</v>
      </c>
      <c r="O1836" s="4" t="s">
        <v>5028</v>
      </c>
    </row>
    <row r="1837" spans="1:15" ht="15.75" customHeight="1">
      <c r="A1837" s="4" t="s">
        <v>49</v>
      </c>
      <c r="B1837" s="4">
        <v>1936200</v>
      </c>
      <c r="C1837" s="4">
        <v>1936559</v>
      </c>
      <c r="E1837" s="4" t="s">
        <v>50</v>
      </c>
      <c r="F1837" s="4" t="s">
        <v>56</v>
      </c>
      <c r="I1837" s="4" t="s">
        <v>52</v>
      </c>
      <c r="L1837" s="4" t="s">
        <v>5029</v>
      </c>
      <c r="M1837" s="4" t="s">
        <v>56</v>
      </c>
      <c r="N1837" s="4">
        <v>119</v>
      </c>
      <c r="O1837" s="4" t="s">
        <v>5030</v>
      </c>
    </row>
    <row r="1838" spans="1:15" ht="15.75" customHeight="1">
      <c r="A1838" s="4" t="s">
        <v>49</v>
      </c>
      <c r="B1838" s="4">
        <v>1936635</v>
      </c>
      <c r="C1838" s="4">
        <v>1936979</v>
      </c>
      <c r="E1838" s="4" t="s">
        <v>50</v>
      </c>
      <c r="F1838" s="4" t="s">
        <v>56</v>
      </c>
      <c r="I1838" s="4" t="s">
        <v>52</v>
      </c>
      <c r="L1838" s="4" t="s">
        <v>5031</v>
      </c>
      <c r="M1838" s="4" t="s">
        <v>56</v>
      </c>
      <c r="N1838" s="4">
        <v>114</v>
      </c>
      <c r="O1838" s="4" t="s">
        <v>5032</v>
      </c>
    </row>
    <row r="1839" spans="1:15" ht="15.75" customHeight="1">
      <c r="A1839" s="4" t="s">
        <v>49</v>
      </c>
      <c r="B1839" s="4">
        <v>1937202</v>
      </c>
      <c r="C1839" s="4">
        <v>1938578</v>
      </c>
      <c r="E1839" s="4" t="s">
        <v>55</v>
      </c>
      <c r="F1839" s="4" t="s">
        <v>2767</v>
      </c>
      <c r="I1839" s="4" t="s">
        <v>52</v>
      </c>
      <c r="L1839" s="4" t="s">
        <v>5033</v>
      </c>
      <c r="M1839" s="4" t="s">
        <v>2767</v>
      </c>
      <c r="N1839" s="4">
        <v>458</v>
      </c>
      <c r="O1839" s="4" t="s">
        <v>5034</v>
      </c>
    </row>
    <row r="1840" spans="1:15" ht="15.75" customHeight="1">
      <c r="A1840" s="4" t="s">
        <v>49</v>
      </c>
      <c r="B1840" s="4">
        <v>1939058</v>
      </c>
      <c r="C1840" s="4">
        <v>1939339</v>
      </c>
      <c r="E1840" s="4" t="s">
        <v>55</v>
      </c>
      <c r="F1840" s="4" t="s">
        <v>56</v>
      </c>
      <c r="I1840" s="4" t="s">
        <v>52</v>
      </c>
      <c r="L1840" s="4" t="s">
        <v>5035</v>
      </c>
      <c r="M1840" s="4" t="s">
        <v>56</v>
      </c>
      <c r="N1840" s="4">
        <v>93</v>
      </c>
      <c r="O1840" s="4" t="s">
        <v>5036</v>
      </c>
    </row>
    <row r="1841" spans="1:15" ht="15.75" customHeight="1">
      <c r="A1841" s="4" t="s">
        <v>49</v>
      </c>
      <c r="B1841" s="4">
        <v>1939358</v>
      </c>
      <c r="C1841" s="4">
        <v>1939801</v>
      </c>
      <c r="E1841" s="4" t="s">
        <v>55</v>
      </c>
      <c r="F1841" s="4" t="s">
        <v>56</v>
      </c>
      <c r="I1841" s="4" t="s">
        <v>52</v>
      </c>
      <c r="L1841" s="4" t="s">
        <v>5037</v>
      </c>
      <c r="M1841" s="4" t="s">
        <v>56</v>
      </c>
      <c r="N1841" s="4">
        <v>147</v>
      </c>
      <c r="O1841" s="4" t="s">
        <v>5038</v>
      </c>
    </row>
    <row r="1842" spans="1:15" ht="15.75" customHeight="1">
      <c r="A1842" s="4" t="s">
        <v>49</v>
      </c>
      <c r="B1842" s="4">
        <v>1940465</v>
      </c>
      <c r="C1842" s="4">
        <v>1941103</v>
      </c>
      <c r="E1842" s="4" t="s">
        <v>50</v>
      </c>
      <c r="F1842" s="4" t="s">
        <v>111</v>
      </c>
      <c r="I1842" s="4" t="s">
        <v>52</v>
      </c>
      <c r="L1842" s="4" t="s">
        <v>5039</v>
      </c>
      <c r="M1842" s="4" t="s">
        <v>111</v>
      </c>
      <c r="N1842" s="4">
        <v>212</v>
      </c>
      <c r="O1842" s="4" t="s">
        <v>5040</v>
      </c>
    </row>
    <row r="1843" spans="1:15" ht="15.75" customHeight="1">
      <c r="A1843" s="4" t="s">
        <v>49</v>
      </c>
      <c r="B1843" s="4">
        <v>1941152</v>
      </c>
      <c r="C1843" s="4">
        <v>1942045</v>
      </c>
      <c r="E1843" s="4" t="s">
        <v>50</v>
      </c>
      <c r="F1843" s="4" t="s">
        <v>5041</v>
      </c>
      <c r="I1843" s="4" t="s">
        <v>52</v>
      </c>
      <c r="L1843" s="4" t="s">
        <v>5042</v>
      </c>
      <c r="M1843" s="4" t="s">
        <v>5041</v>
      </c>
      <c r="N1843" s="4">
        <v>297</v>
      </c>
      <c r="O1843" s="4" t="s">
        <v>5043</v>
      </c>
    </row>
    <row r="1844" spans="1:15" ht="15.75" customHeight="1">
      <c r="A1844" s="4" t="s">
        <v>49</v>
      </c>
      <c r="B1844" s="4">
        <v>1942114</v>
      </c>
      <c r="C1844" s="4">
        <v>1942719</v>
      </c>
      <c r="E1844" s="4" t="s">
        <v>55</v>
      </c>
      <c r="F1844" s="4" t="s">
        <v>440</v>
      </c>
      <c r="I1844" s="4" t="s">
        <v>52</v>
      </c>
      <c r="L1844" s="4" t="s">
        <v>5044</v>
      </c>
      <c r="M1844" s="4" t="s">
        <v>440</v>
      </c>
      <c r="N1844" s="4">
        <v>201</v>
      </c>
      <c r="O1844" s="4" t="s">
        <v>5045</v>
      </c>
    </row>
    <row r="1845" spans="1:15" ht="15.75" customHeight="1">
      <c r="A1845" s="4" t="s">
        <v>49</v>
      </c>
      <c r="B1845" s="4">
        <v>1942897</v>
      </c>
      <c r="C1845" s="4">
        <v>1943670</v>
      </c>
      <c r="E1845" s="4" t="s">
        <v>50</v>
      </c>
      <c r="F1845" s="4" t="s">
        <v>2667</v>
      </c>
      <c r="I1845" s="4" t="s">
        <v>52</v>
      </c>
      <c r="L1845" s="4" t="s">
        <v>5046</v>
      </c>
      <c r="M1845" s="4" t="s">
        <v>2667</v>
      </c>
      <c r="N1845" s="4">
        <v>257</v>
      </c>
      <c r="O1845" s="4" t="s">
        <v>5047</v>
      </c>
    </row>
    <row r="1846" spans="1:15" ht="15.75" customHeight="1">
      <c r="A1846" s="4" t="s">
        <v>49</v>
      </c>
      <c r="B1846" s="4">
        <v>1944015</v>
      </c>
      <c r="C1846" s="4">
        <v>1946165</v>
      </c>
      <c r="E1846" s="4" t="s">
        <v>50</v>
      </c>
      <c r="F1846" s="4" t="s">
        <v>5014</v>
      </c>
      <c r="I1846" s="4" t="s">
        <v>52</v>
      </c>
      <c r="L1846" s="4" t="s">
        <v>5048</v>
      </c>
      <c r="M1846" s="4" t="s">
        <v>5014</v>
      </c>
      <c r="N1846" s="4">
        <v>716</v>
      </c>
      <c r="O1846" s="4" t="s">
        <v>5049</v>
      </c>
    </row>
    <row r="1847" spans="1:15" ht="15.75" customHeight="1">
      <c r="A1847" s="4" t="s">
        <v>49</v>
      </c>
      <c r="B1847" s="4">
        <v>1946185</v>
      </c>
      <c r="C1847" s="4">
        <v>1946688</v>
      </c>
      <c r="E1847" s="4" t="s">
        <v>50</v>
      </c>
      <c r="F1847" s="4" t="s">
        <v>56</v>
      </c>
      <c r="I1847" s="4" t="s">
        <v>52</v>
      </c>
      <c r="L1847" s="4" t="s">
        <v>5050</v>
      </c>
      <c r="M1847" s="4" t="s">
        <v>56</v>
      </c>
      <c r="N1847" s="4">
        <v>167</v>
      </c>
      <c r="O1847" s="4" t="s">
        <v>5051</v>
      </c>
    </row>
    <row r="1848" spans="1:15" ht="15.75" customHeight="1">
      <c r="A1848" s="4" t="s">
        <v>49</v>
      </c>
      <c r="B1848" s="4">
        <v>1946621</v>
      </c>
      <c r="C1848" s="4">
        <v>1947301</v>
      </c>
      <c r="E1848" s="4" t="s">
        <v>55</v>
      </c>
      <c r="F1848" s="4" t="s">
        <v>56</v>
      </c>
      <c r="I1848" s="4" t="s">
        <v>52</v>
      </c>
      <c r="L1848" s="4" t="s">
        <v>5052</v>
      </c>
      <c r="M1848" s="4" t="s">
        <v>56</v>
      </c>
      <c r="N1848" s="4">
        <v>226</v>
      </c>
      <c r="O1848" s="4" t="s">
        <v>5053</v>
      </c>
    </row>
    <row r="1849" spans="1:15" ht="15.75" customHeight="1">
      <c r="A1849" s="4" t="s">
        <v>49</v>
      </c>
      <c r="B1849" s="4">
        <v>1947527</v>
      </c>
      <c r="C1849" s="4">
        <v>1947847</v>
      </c>
      <c r="E1849" s="4" t="s">
        <v>55</v>
      </c>
      <c r="F1849" s="4" t="s">
        <v>56</v>
      </c>
      <c r="I1849" s="4" t="s">
        <v>52</v>
      </c>
      <c r="L1849" s="4" t="s">
        <v>5054</v>
      </c>
      <c r="M1849" s="4" t="s">
        <v>56</v>
      </c>
      <c r="N1849" s="4">
        <v>106</v>
      </c>
      <c r="O1849" s="4" t="s">
        <v>5055</v>
      </c>
    </row>
    <row r="1850" spans="1:15" ht="15.75" customHeight="1">
      <c r="A1850" s="4" t="s">
        <v>49</v>
      </c>
      <c r="B1850" s="4">
        <v>1947852</v>
      </c>
      <c r="C1850" s="4">
        <v>1948658</v>
      </c>
      <c r="E1850" s="4" t="s">
        <v>55</v>
      </c>
      <c r="F1850" s="4" t="s">
        <v>59</v>
      </c>
      <c r="I1850" s="4" t="s">
        <v>52</v>
      </c>
      <c r="L1850" s="4" t="s">
        <v>5056</v>
      </c>
      <c r="M1850" s="4" t="s">
        <v>59</v>
      </c>
      <c r="N1850" s="4">
        <v>268</v>
      </c>
      <c r="O1850" s="4" t="s">
        <v>5057</v>
      </c>
    </row>
    <row r="1851" spans="1:15" ht="15.75" customHeight="1">
      <c r="A1851" s="4" t="s">
        <v>49</v>
      </c>
      <c r="B1851" s="4">
        <v>1948669</v>
      </c>
      <c r="C1851" s="4">
        <v>1949253</v>
      </c>
      <c r="E1851" s="4" t="s">
        <v>55</v>
      </c>
      <c r="F1851" s="4" t="s">
        <v>111</v>
      </c>
      <c r="I1851" s="4" t="s">
        <v>52</v>
      </c>
      <c r="L1851" s="4" t="s">
        <v>5058</v>
      </c>
      <c r="M1851" s="4" t="s">
        <v>111</v>
      </c>
      <c r="N1851" s="4">
        <v>194</v>
      </c>
      <c r="O1851" s="4" t="s">
        <v>5059</v>
      </c>
    </row>
    <row r="1852" spans="1:15" ht="15.75" customHeight="1">
      <c r="A1852" s="4" t="s">
        <v>49</v>
      </c>
      <c r="B1852" s="4">
        <v>1949533</v>
      </c>
      <c r="C1852" s="4">
        <v>1950234</v>
      </c>
      <c r="E1852" s="4" t="s">
        <v>50</v>
      </c>
      <c r="F1852" s="4" t="s">
        <v>73</v>
      </c>
      <c r="I1852" s="4" t="s">
        <v>52</v>
      </c>
      <c r="L1852" s="4" t="s">
        <v>5060</v>
      </c>
      <c r="M1852" s="4" t="s">
        <v>73</v>
      </c>
      <c r="N1852" s="4">
        <v>233</v>
      </c>
      <c r="O1852" s="4" t="s">
        <v>5061</v>
      </c>
    </row>
    <row r="1853" spans="1:15" ht="15.75" customHeight="1">
      <c r="A1853" s="4" t="s">
        <v>49</v>
      </c>
      <c r="B1853" s="4">
        <v>1950247</v>
      </c>
      <c r="C1853" s="4">
        <v>1952820</v>
      </c>
      <c r="E1853" s="4" t="s">
        <v>50</v>
      </c>
      <c r="F1853" s="4" t="s">
        <v>76</v>
      </c>
      <c r="I1853" s="4" t="s">
        <v>52</v>
      </c>
      <c r="L1853" s="4" t="s">
        <v>5062</v>
      </c>
      <c r="M1853" s="4" t="s">
        <v>76</v>
      </c>
      <c r="N1853" s="4">
        <v>857</v>
      </c>
      <c r="O1853" s="4" t="s">
        <v>5063</v>
      </c>
    </row>
    <row r="1854" spans="1:15" ht="15.75" customHeight="1">
      <c r="A1854" s="4" t="s">
        <v>49</v>
      </c>
      <c r="B1854" s="4">
        <v>1953024</v>
      </c>
      <c r="C1854" s="4">
        <v>1954259</v>
      </c>
      <c r="E1854" s="4" t="s">
        <v>50</v>
      </c>
      <c r="F1854" s="4" t="s">
        <v>5064</v>
      </c>
      <c r="I1854" s="4" t="s">
        <v>52</v>
      </c>
      <c r="L1854" s="4" t="s">
        <v>5065</v>
      </c>
      <c r="M1854" s="4" t="s">
        <v>5064</v>
      </c>
      <c r="N1854" s="4">
        <v>411</v>
      </c>
      <c r="O1854" s="4" t="s">
        <v>5066</v>
      </c>
    </row>
    <row r="1855" spans="1:15" ht="15.75" customHeight="1">
      <c r="A1855" s="4" t="s">
        <v>49</v>
      </c>
      <c r="B1855" s="4">
        <v>1954757</v>
      </c>
      <c r="C1855" s="4">
        <v>1954936</v>
      </c>
      <c r="E1855" s="4" t="s">
        <v>50</v>
      </c>
      <c r="F1855" s="4" t="s">
        <v>56</v>
      </c>
      <c r="I1855" s="4" t="s">
        <v>52</v>
      </c>
      <c r="L1855" s="4" t="s">
        <v>5067</v>
      </c>
      <c r="M1855" s="4" t="s">
        <v>56</v>
      </c>
      <c r="N1855" s="4">
        <v>59</v>
      </c>
      <c r="O1855" s="4" t="s">
        <v>5068</v>
      </c>
    </row>
    <row r="1856" spans="1:15" ht="15.75" customHeight="1">
      <c r="A1856" s="4" t="s">
        <v>49</v>
      </c>
      <c r="B1856" s="4">
        <v>1954987</v>
      </c>
      <c r="C1856" s="4">
        <v>1955169</v>
      </c>
      <c r="E1856" s="4" t="s">
        <v>50</v>
      </c>
      <c r="F1856" s="4" t="s">
        <v>56</v>
      </c>
      <c r="I1856" s="4" t="s">
        <v>52</v>
      </c>
      <c r="L1856" s="4" t="s">
        <v>5069</v>
      </c>
      <c r="M1856" s="4" t="s">
        <v>56</v>
      </c>
      <c r="N1856" s="4">
        <v>60</v>
      </c>
      <c r="O1856" s="4" t="s">
        <v>5070</v>
      </c>
    </row>
    <row r="1857" spans="1:15" ht="15.75" customHeight="1">
      <c r="A1857" s="4" t="s">
        <v>49</v>
      </c>
      <c r="B1857" s="4">
        <v>1955249</v>
      </c>
      <c r="C1857" s="4">
        <v>1956106</v>
      </c>
      <c r="E1857" s="4" t="s">
        <v>50</v>
      </c>
      <c r="F1857" s="4" t="s">
        <v>3422</v>
      </c>
      <c r="I1857" s="4" t="s">
        <v>52</v>
      </c>
      <c r="L1857" s="4" t="s">
        <v>5071</v>
      </c>
      <c r="M1857" s="4" t="s">
        <v>3422</v>
      </c>
      <c r="N1857" s="4">
        <v>285</v>
      </c>
      <c r="O1857" s="4" t="s">
        <v>5072</v>
      </c>
    </row>
    <row r="1858" spans="1:15" ht="15.75" customHeight="1">
      <c r="A1858" s="4" t="s">
        <v>49</v>
      </c>
      <c r="B1858" s="4">
        <v>1956385</v>
      </c>
      <c r="C1858" s="4">
        <v>1956687</v>
      </c>
      <c r="E1858" s="4" t="s">
        <v>50</v>
      </c>
      <c r="F1858" s="4" t="s">
        <v>56</v>
      </c>
      <c r="I1858" s="4" t="s">
        <v>52</v>
      </c>
      <c r="L1858" s="4" t="s">
        <v>5073</v>
      </c>
      <c r="M1858" s="4" t="s">
        <v>56</v>
      </c>
      <c r="N1858" s="4">
        <v>100</v>
      </c>
      <c r="O1858" s="4" t="s">
        <v>5074</v>
      </c>
    </row>
    <row r="1859" spans="1:15" ht="15.75" customHeight="1">
      <c r="A1859" s="4" t="s">
        <v>49</v>
      </c>
      <c r="B1859" s="4">
        <v>1956900</v>
      </c>
      <c r="C1859" s="4">
        <v>1957295</v>
      </c>
      <c r="E1859" s="4" t="s">
        <v>50</v>
      </c>
      <c r="F1859" s="4" t="s">
        <v>56</v>
      </c>
      <c r="I1859" s="4" t="s">
        <v>52</v>
      </c>
      <c r="L1859" s="4" t="s">
        <v>5075</v>
      </c>
      <c r="M1859" s="4" t="s">
        <v>56</v>
      </c>
      <c r="N1859" s="4">
        <v>131</v>
      </c>
      <c r="O1859" s="4" t="s">
        <v>5076</v>
      </c>
    </row>
    <row r="1860" spans="1:15" ht="15.75" customHeight="1">
      <c r="A1860" s="4" t="s">
        <v>49</v>
      </c>
      <c r="B1860" s="4">
        <v>1957689</v>
      </c>
      <c r="C1860" s="4">
        <v>1958282</v>
      </c>
      <c r="E1860" s="4" t="s">
        <v>50</v>
      </c>
      <c r="F1860" s="4" t="s">
        <v>440</v>
      </c>
      <c r="I1860" s="4" t="s">
        <v>52</v>
      </c>
      <c r="L1860" s="4" t="s">
        <v>5077</v>
      </c>
      <c r="M1860" s="4" t="s">
        <v>440</v>
      </c>
      <c r="N1860" s="4">
        <v>197</v>
      </c>
      <c r="O1860" s="4" t="s">
        <v>5078</v>
      </c>
    </row>
    <row r="1861" spans="1:15" ht="15.75" customHeight="1">
      <c r="A1861" s="4" t="s">
        <v>49</v>
      </c>
      <c r="B1861" s="4">
        <v>1958355</v>
      </c>
      <c r="C1861" s="4">
        <v>1958549</v>
      </c>
      <c r="E1861" s="4" t="s">
        <v>55</v>
      </c>
      <c r="F1861" s="4" t="s">
        <v>56</v>
      </c>
      <c r="I1861" s="4" t="s">
        <v>52</v>
      </c>
      <c r="L1861" s="4" t="s">
        <v>5079</v>
      </c>
      <c r="M1861" s="4" t="s">
        <v>56</v>
      </c>
      <c r="N1861" s="4">
        <v>64</v>
      </c>
      <c r="O1861" s="4" t="s">
        <v>5080</v>
      </c>
    </row>
    <row r="1862" spans="1:15" ht="15.75" customHeight="1">
      <c r="A1862" s="4" t="s">
        <v>49</v>
      </c>
      <c r="B1862" s="4">
        <v>1958576</v>
      </c>
      <c r="C1862" s="4">
        <v>1959595</v>
      </c>
      <c r="E1862" s="4" t="s">
        <v>55</v>
      </c>
      <c r="F1862" s="4" t="s">
        <v>3325</v>
      </c>
      <c r="G1862" s="4" t="s">
        <v>3326</v>
      </c>
      <c r="I1862" s="4" t="s">
        <v>52</v>
      </c>
      <c r="L1862" s="4" t="s">
        <v>5081</v>
      </c>
      <c r="M1862" s="4" t="s">
        <v>3325</v>
      </c>
      <c r="N1862" s="4">
        <v>339</v>
      </c>
      <c r="O1862" s="4" t="s">
        <v>5082</v>
      </c>
    </row>
    <row r="1863" spans="1:15" ht="15.75" customHeight="1">
      <c r="A1863" s="4" t="s">
        <v>49</v>
      </c>
      <c r="B1863" s="4">
        <v>1959588</v>
      </c>
      <c r="C1863" s="4">
        <v>1961066</v>
      </c>
      <c r="E1863" s="4" t="s">
        <v>55</v>
      </c>
      <c r="F1863" s="4" t="s">
        <v>3329</v>
      </c>
      <c r="I1863" s="4" t="s">
        <v>52</v>
      </c>
      <c r="L1863" s="4" t="s">
        <v>5083</v>
      </c>
      <c r="M1863" s="4" t="s">
        <v>3329</v>
      </c>
      <c r="N1863" s="4">
        <v>492</v>
      </c>
      <c r="O1863" s="4" t="s">
        <v>5084</v>
      </c>
    </row>
    <row r="1864" spans="1:15" ht="15.75" customHeight="1">
      <c r="A1864" s="4" t="s">
        <v>49</v>
      </c>
      <c r="B1864" s="4">
        <v>1961508</v>
      </c>
      <c r="C1864" s="4">
        <v>1961744</v>
      </c>
      <c r="E1864" s="4" t="s">
        <v>55</v>
      </c>
      <c r="F1864" s="4" t="s">
        <v>5085</v>
      </c>
      <c r="G1864" s="4" t="s">
        <v>5086</v>
      </c>
      <c r="I1864" s="4" t="s">
        <v>52</v>
      </c>
      <c r="L1864" s="4" t="s">
        <v>5087</v>
      </c>
      <c r="M1864" s="4" t="s">
        <v>5085</v>
      </c>
      <c r="N1864" s="4">
        <v>78</v>
      </c>
      <c r="O1864" s="4" t="s">
        <v>5088</v>
      </c>
    </row>
    <row r="1865" spans="1:15" ht="15.75" customHeight="1">
      <c r="A1865" s="4" t="s">
        <v>49</v>
      </c>
      <c r="B1865" s="4">
        <v>1961831</v>
      </c>
      <c r="C1865" s="4">
        <v>1962427</v>
      </c>
      <c r="E1865" s="4" t="s">
        <v>55</v>
      </c>
      <c r="F1865" s="4" t="s">
        <v>5089</v>
      </c>
      <c r="G1865" s="4" t="s">
        <v>5090</v>
      </c>
      <c r="I1865" s="4" t="s">
        <v>52</v>
      </c>
      <c r="L1865" s="4" t="s">
        <v>5091</v>
      </c>
      <c r="M1865" s="4" t="s">
        <v>5089</v>
      </c>
      <c r="N1865" s="4">
        <v>198</v>
      </c>
      <c r="O1865" s="4" t="s">
        <v>5092</v>
      </c>
    </row>
    <row r="1866" spans="1:15" ht="15.75" customHeight="1">
      <c r="A1866" s="4" t="s">
        <v>49</v>
      </c>
      <c r="B1866" s="4">
        <v>1962458</v>
      </c>
      <c r="C1866" s="4">
        <v>1962754</v>
      </c>
      <c r="E1866" s="4" t="s">
        <v>55</v>
      </c>
      <c r="F1866" s="4" t="s">
        <v>5093</v>
      </c>
      <c r="G1866" s="4" t="s">
        <v>5094</v>
      </c>
      <c r="I1866" s="4" t="s">
        <v>52</v>
      </c>
      <c r="L1866" s="4" t="s">
        <v>5095</v>
      </c>
      <c r="M1866" s="4" t="s">
        <v>5093</v>
      </c>
      <c r="N1866" s="4">
        <v>98</v>
      </c>
      <c r="O1866" s="4" t="s">
        <v>5096</v>
      </c>
    </row>
    <row r="1867" spans="1:15" ht="15.75" customHeight="1">
      <c r="A1867" s="4" t="s">
        <v>49</v>
      </c>
      <c r="B1867" s="4">
        <v>1962882</v>
      </c>
      <c r="C1867" s="4">
        <v>1963313</v>
      </c>
      <c r="E1867" s="4" t="s">
        <v>55</v>
      </c>
      <c r="F1867" s="4" t="s">
        <v>5089</v>
      </c>
      <c r="G1867" s="4" t="s">
        <v>5090</v>
      </c>
      <c r="I1867" s="4" t="s">
        <v>52</v>
      </c>
      <c r="L1867" s="4" t="s">
        <v>5097</v>
      </c>
      <c r="M1867" s="4" t="s">
        <v>5089</v>
      </c>
      <c r="N1867" s="4">
        <v>143</v>
      </c>
      <c r="O1867" s="4" t="s">
        <v>5098</v>
      </c>
    </row>
    <row r="1868" spans="1:15" ht="15.75" customHeight="1">
      <c r="A1868" s="4" t="s">
        <v>49</v>
      </c>
      <c r="B1868" s="4">
        <v>1963496</v>
      </c>
      <c r="C1868" s="4">
        <v>1964200</v>
      </c>
      <c r="E1868" s="4" t="s">
        <v>50</v>
      </c>
      <c r="F1868" s="4" t="s">
        <v>4436</v>
      </c>
      <c r="G1868" s="4" t="s">
        <v>4437</v>
      </c>
      <c r="I1868" s="4" t="s">
        <v>52</v>
      </c>
      <c r="L1868" s="4" t="s">
        <v>5099</v>
      </c>
      <c r="M1868" s="4" t="s">
        <v>4436</v>
      </c>
      <c r="N1868" s="4">
        <v>234</v>
      </c>
      <c r="O1868" s="4" t="s">
        <v>5100</v>
      </c>
    </row>
    <row r="1869" spans="1:15" ht="15.75" customHeight="1">
      <c r="A1869" s="4" t="s">
        <v>49</v>
      </c>
      <c r="B1869" s="4">
        <v>1964305</v>
      </c>
      <c r="C1869" s="4">
        <v>1966926</v>
      </c>
      <c r="E1869" s="4" t="s">
        <v>55</v>
      </c>
      <c r="F1869" s="4" t="s">
        <v>5101</v>
      </c>
      <c r="G1869" s="4" t="s">
        <v>5102</v>
      </c>
      <c r="I1869" s="4" t="s">
        <v>52</v>
      </c>
      <c r="L1869" s="4" t="s">
        <v>5103</v>
      </c>
      <c r="M1869" s="4" t="s">
        <v>5101</v>
      </c>
      <c r="N1869" s="4">
        <v>873</v>
      </c>
      <c r="O1869" s="4" t="s">
        <v>5104</v>
      </c>
    </row>
    <row r="1870" spans="1:15" ht="15.75" customHeight="1">
      <c r="A1870" s="4" t="s">
        <v>49</v>
      </c>
      <c r="B1870" s="4">
        <v>1966988</v>
      </c>
      <c r="C1870" s="4">
        <v>1968949</v>
      </c>
      <c r="E1870" s="4" t="s">
        <v>55</v>
      </c>
      <c r="F1870" s="4" t="s">
        <v>5105</v>
      </c>
      <c r="G1870" s="4" t="s">
        <v>5106</v>
      </c>
      <c r="I1870" s="4" t="s">
        <v>52</v>
      </c>
      <c r="L1870" s="4" t="s">
        <v>5107</v>
      </c>
      <c r="M1870" s="4" t="s">
        <v>5105</v>
      </c>
      <c r="N1870" s="4">
        <v>653</v>
      </c>
      <c r="O1870" s="4" t="s">
        <v>5108</v>
      </c>
    </row>
    <row r="1871" spans="1:15" ht="15.75" customHeight="1">
      <c r="A1871" s="4" t="s">
        <v>49</v>
      </c>
      <c r="B1871" s="4">
        <v>1969202</v>
      </c>
      <c r="C1871" s="4">
        <v>1970317</v>
      </c>
      <c r="E1871" s="4" t="s">
        <v>55</v>
      </c>
      <c r="F1871" s="4" t="s">
        <v>5109</v>
      </c>
      <c r="G1871" s="4" t="s">
        <v>5110</v>
      </c>
      <c r="I1871" s="4" t="s">
        <v>52</v>
      </c>
      <c r="L1871" s="4" t="s">
        <v>5111</v>
      </c>
      <c r="M1871" s="4" t="s">
        <v>5109</v>
      </c>
      <c r="N1871" s="4">
        <v>371</v>
      </c>
      <c r="O1871" s="4" t="s">
        <v>5112</v>
      </c>
    </row>
    <row r="1872" spans="1:15" ht="15.75" customHeight="1">
      <c r="A1872" s="4" t="s">
        <v>49</v>
      </c>
      <c r="B1872" s="4">
        <v>1970314</v>
      </c>
      <c r="C1872" s="4">
        <v>1970526</v>
      </c>
      <c r="E1872" s="4" t="s">
        <v>55</v>
      </c>
      <c r="F1872" s="4" t="s">
        <v>5113</v>
      </c>
      <c r="G1872" s="4" t="s">
        <v>3038</v>
      </c>
      <c r="I1872" s="4" t="s">
        <v>52</v>
      </c>
      <c r="L1872" s="4" t="s">
        <v>5114</v>
      </c>
      <c r="M1872" s="4" t="s">
        <v>5113</v>
      </c>
      <c r="N1872" s="4">
        <v>70</v>
      </c>
      <c r="O1872" s="4" t="s">
        <v>5115</v>
      </c>
    </row>
    <row r="1873" spans="1:15" ht="15.75" customHeight="1">
      <c r="A1873" s="4" t="s">
        <v>49</v>
      </c>
      <c r="B1873" s="4">
        <v>1971379</v>
      </c>
      <c r="C1873" s="4">
        <v>1972518</v>
      </c>
      <c r="E1873" s="4" t="s">
        <v>55</v>
      </c>
      <c r="F1873" s="4" t="s">
        <v>5116</v>
      </c>
      <c r="G1873" s="4" t="s">
        <v>5117</v>
      </c>
      <c r="I1873" s="4" t="s">
        <v>52</v>
      </c>
      <c r="L1873" s="4" t="s">
        <v>5118</v>
      </c>
      <c r="M1873" s="4" t="s">
        <v>5116</v>
      </c>
      <c r="N1873" s="4">
        <v>379</v>
      </c>
      <c r="O1873" s="4" t="s">
        <v>5119</v>
      </c>
    </row>
    <row r="1874" spans="1:15" ht="15.75" customHeight="1">
      <c r="A1874" s="4" t="s">
        <v>49</v>
      </c>
      <c r="B1874" s="4">
        <v>1972691</v>
      </c>
      <c r="C1874" s="4">
        <v>1974040</v>
      </c>
      <c r="E1874" s="4" t="s">
        <v>55</v>
      </c>
      <c r="F1874" s="4" t="s">
        <v>5120</v>
      </c>
      <c r="G1874" s="4" t="s">
        <v>5121</v>
      </c>
      <c r="I1874" s="4" t="s">
        <v>52</v>
      </c>
      <c r="L1874" s="4" t="s">
        <v>5122</v>
      </c>
      <c r="M1874" s="4" t="s">
        <v>5120</v>
      </c>
      <c r="N1874" s="4">
        <v>449</v>
      </c>
      <c r="O1874" s="4" t="s">
        <v>5123</v>
      </c>
    </row>
    <row r="1875" spans="1:15" ht="15.75" customHeight="1">
      <c r="A1875" s="4" t="s">
        <v>49</v>
      </c>
      <c r="B1875" s="4">
        <v>1974848</v>
      </c>
      <c r="C1875" s="4">
        <v>1974988</v>
      </c>
      <c r="E1875" s="4" t="s">
        <v>50</v>
      </c>
      <c r="F1875" s="4" t="s">
        <v>5124</v>
      </c>
      <c r="G1875" s="4" t="s">
        <v>5125</v>
      </c>
      <c r="I1875" s="4" t="s">
        <v>52</v>
      </c>
      <c r="L1875" s="4" t="s">
        <v>5126</v>
      </c>
      <c r="M1875" s="4" t="s">
        <v>5124</v>
      </c>
      <c r="N1875" s="4">
        <v>46</v>
      </c>
      <c r="O1875" s="4" t="s">
        <v>5127</v>
      </c>
    </row>
    <row r="1876" spans="1:15" ht="15.75" customHeight="1">
      <c r="A1876" s="4" t="s">
        <v>49</v>
      </c>
      <c r="B1876" s="4">
        <v>1975317</v>
      </c>
      <c r="C1876" s="4">
        <v>1975673</v>
      </c>
      <c r="E1876" s="4" t="s">
        <v>50</v>
      </c>
      <c r="F1876" s="4" t="s">
        <v>5128</v>
      </c>
      <c r="G1876" s="4" t="s">
        <v>5129</v>
      </c>
      <c r="I1876" s="4" t="s">
        <v>52</v>
      </c>
      <c r="L1876" s="4" t="s">
        <v>5130</v>
      </c>
      <c r="M1876" s="4" t="s">
        <v>5128</v>
      </c>
      <c r="N1876" s="4">
        <v>118</v>
      </c>
      <c r="O1876" s="4" t="s">
        <v>5131</v>
      </c>
    </row>
    <row r="1877" spans="1:15" ht="15.75" customHeight="1">
      <c r="A1877" s="4" t="s">
        <v>49</v>
      </c>
      <c r="B1877" s="4">
        <v>1975818</v>
      </c>
      <c r="C1877" s="4">
        <v>1976654</v>
      </c>
      <c r="E1877" s="4" t="s">
        <v>50</v>
      </c>
      <c r="F1877" s="4" t="s">
        <v>2099</v>
      </c>
      <c r="G1877" s="4" t="s">
        <v>2100</v>
      </c>
      <c r="I1877" s="4" t="s">
        <v>52</v>
      </c>
      <c r="L1877" s="4" t="s">
        <v>5132</v>
      </c>
      <c r="M1877" s="4" t="s">
        <v>2099</v>
      </c>
      <c r="N1877" s="4">
        <v>278</v>
      </c>
      <c r="O1877" s="4" t="s">
        <v>5133</v>
      </c>
    </row>
    <row r="1878" spans="1:15" ht="15.75" customHeight="1">
      <c r="A1878" s="4" t="s">
        <v>49</v>
      </c>
      <c r="B1878" s="4">
        <v>1976672</v>
      </c>
      <c r="C1878" s="4">
        <v>1977436</v>
      </c>
      <c r="E1878" s="4" t="s">
        <v>50</v>
      </c>
      <c r="F1878" s="4" t="s">
        <v>5134</v>
      </c>
      <c r="G1878" s="4" t="s">
        <v>5135</v>
      </c>
      <c r="I1878" s="4" t="s">
        <v>52</v>
      </c>
      <c r="L1878" s="4" t="s">
        <v>5136</v>
      </c>
      <c r="M1878" s="4" t="s">
        <v>5134</v>
      </c>
      <c r="N1878" s="4">
        <v>254</v>
      </c>
      <c r="O1878" s="4" t="s">
        <v>5137</v>
      </c>
    </row>
    <row r="1879" spans="1:15" ht="15.75" customHeight="1">
      <c r="A1879" s="4" t="s">
        <v>49</v>
      </c>
      <c r="B1879" s="4">
        <v>1977854</v>
      </c>
      <c r="C1879" s="4">
        <v>1979242</v>
      </c>
      <c r="E1879" s="4" t="s">
        <v>50</v>
      </c>
      <c r="F1879" s="4" t="s">
        <v>5138</v>
      </c>
      <c r="G1879" s="4" t="s">
        <v>5139</v>
      </c>
      <c r="I1879" s="4" t="s">
        <v>52</v>
      </c>
      <c r="L1879" s="4" t="s">
        <v>5140</v>
      </c>
      <c r="M1879" s="4" t="s">
        <v>5138</v>
      </c>
      <c r="N1879" s="4">
        <v>462</v>
      </c>
      <c r="O1879" s="4" t="s">
        <v>5141</v>
      </c>
    </row>
    <row r="1880" spans="1:15" ht="15.75" customHeight="1">
      <c r="A1880" s="4" t="s">
        <v>49</v>
      </c>
      <c r="B1880" s="4">
        <v>1979284</v>
      </c>
      <c r="C1880" s="4">
        <v>1981185</v>
      </c>
      <c r="E1880" s="4" t="s">
        <v>50</v>
      </c>
      <c r="F1880" s="4" t="s">
        <v>5142</v>
      </c>
      <c r="G1880" s="4" t="s">
        <v>5143</v>
      </c>
      <c r="I1880" s="4" t="s">
        <v>52</v>
      </c>
      <c r="L1880" s="4" t="s">
        <v>5144</v>
      </c>
      <c r="M1880" s="4" t="s">
        <v>5142</v>
      </c>
      <c r="N1880" s="4">
        <v>633</v>
      </c>
      <c r="O1880" s="4" t="s">
        <v>5145</v>
      </c>
    </row>
    <row r="1881" spans="1:15" ht="15.75" customHeight="1">
      <c r="A1881" s="4" t="s">
        <v>49</v>
      </c>
      <c r="B1881" s="4">
        <v>1981448</v>
      </c>
      <c r="C1881" s="4">
        <v>1981657</v>
      </c>
      <c r="E1881" s="4" t="s">
        <v>50</v>
      </c>
      <c r="F1881" s="4" t="s">
        <v>56</v>
      </c>
      <c r="I1881" s="4" t="s">
        <v>52</v>
      </c>
      <c r="L1881" s="4" t="s">
        <v>5146</v>
      </c>
      <c r="M1881" s="4" t="s">
        <v>56</v>
      </c>
      <c r="N1881" s="4">
        <v>69</v>
      </c>
      <c r="O1881" s="4" t="s">
        <v>5147</v>
      </c>
    </row>
    <row r="1882" spans="1:15" ht="15.75" customHeight="1">
      <c r="A1882" s="4" t="s">
        <v>49</v>
      </c>
      <c r="B1882" s="4">
        <v>1981819</v>
      </c>
      <c r="C1882" s="4">
        <v>1982583</v>
      </c>
      <c r="E1882" s="4" t="s">
        <v>50</v>
      </c>
      <c r="F1882" s="4" t="s">
        <v>4459</v>
      </c>
      <c r="I1882" s="4" t="s">
        <v>52</v>
      </c>
      <c r="L1882" s="4" t="s">
        <v>5148</v>
      </c>
      <c r="M1882" s="4" t="s">
        <v>4459</v>
      </c>
      <c r="N1882" s="4">
        <v>254</v>
      </c>
      <c r="O1882" s="4" t="s">
        <v>5149</v>
      </c>
    </row>
    <row r="1883" spans="1:15" ht="15.75" customHeight="1">
      <c r="A1883" s="4" t="s">
        <v>49</v>
      </c>
      <c r="B1883" s="4">
        <v>1982585</v>
      </c>
      <c r="C1883" s="4">
        <v>1983073</v>
      </c>
      <c r="E1883" s="4" t="s">
        <v>50</v>
      </c>
      <c r="F1883" s="4" t="s">
        <v>4459</v>
      </c>
      <c r="I1883" s="4" t="s">
        <v>52</v>
      </c>
      <c r="L1883" s="4" t="s">
        <v>5150</v>
      </c>
      <c r="M1883" s="4" t="s">
        <v>4459</v>
      </c>
      <c r="N1883" s="4">
        <v>162</v>
      </c>
      <c r="O1883" s="4" t="s">
        <v>5151</v>
      </c>
    </row>
    <row r="1884" spans="1:15" ht="15.75" customHeight="1">
      <c r="A1884" s="4" t="s">
        <v>49</v>
      </c>
      <c r="B1884" s="4">
        <v>1983070</v>
      </c>
      <c r="C1884" s="4">
        <v>1984269</v>
      </c>
      <c r="E1884" s="4" t="s">
        <v>50</v>
      </c>
      <c r="F1884" s="4" t="s">
        <v>4020</v>
      </c>
      <c r="I1884" s="4" t="s">
        <v>52</v>
      </c>
      <c r="L1884" s="4" t="s">
        <v>5152</v>
      </c>
      <c r="M1884" s="4" t="s">
        <v>4020</v>
      </c>
      <c r="N1884" s="4">
        <v>399</v>
      </c>
      <c r="O1884" s="4" t="s">
        <v>5153</v>
      </c>
    </row>
    <row r="1885" spans="1:15" ht="15.75" customHeight="1">
      <c r="A1885" s="4" t="s">
        <v>49</v>
      </c>
      <c r="B1885" s="4">
        <v>1984413</v>
      </c>
      <c r="C1885" s="4">
        <v>1985498</v>
      </c>
      <c r="E1885" s="4" t="s">
        <v>55</v>
      </c>
      <c r="F1885" s="4" t="s">
        <v>5154</v>
      </c>
      <c r="I1885" s="4" t="s">
        <v>52</v>
      </c>
      <c r="L1885" s="4" t="s">
        <v>5155</v>
      </c>
      <c r="M1885" s="4" t="s">
        <v>5154</v>
      </c>
      <c r="N1885" s="4">
        <v>361</v>
      </c>
      <c r="O1885" s="4" t="s">
        <v>5156</v>
      </c>
    </row>
    <row r="1886" spans="1:15" ht="15.75" customHeight="1">
      <c r="A1886" s="4" t="s">
        <v>49</v>
      </c>
      <c r="B1886" s="4">
        <v>1986007</v>
      </c>
      <c r="C1886" s="4">
        <v>1986846</v>
      </c>
      <c r="E1886" s="4" t="s">
        <v>50</v>
      </c>
      <c r="F1886" s="4" t="s">
        <v>3294</v>
      </c>
      <c r="I1886" s="4" t="s">
        <v>52</v>
      </c>
      <c r="L1886" s="4" t="s">
        <v>5157</v>
      </c>
      <c r="M1886" s="4" t="s">
        <v>3294</v>
      </c>
      <c r="N1886" s="4">
        <v>279</v>
      </c>
      <c r="O1886" s="4" t="s">
        <v>5158</v>
      </c>
    </row>
    <row r="1887" spans="1:15" ht="15.75" customHeight="1">
      <c r="A1887" s="4" t="s">
        <v>49</v>
      </c>
      <c r="B1887" s="4">
        <v>1986967</v>
      </c>
      <c r="C1887" s="4">
        <v>1988871</v>
      </c>
      <c r="E1887" s="4" t="s">
        <v>50</v>
      </c>
      <c r="F1887" s="4" t="s">
        <v>3291</v>
      </c>
      <c r="I1887" s="4" t="s">
        <v>52</v>
      </c>
      <c r="L1887" s="4" t="s">
        <v>5159</v>
      </c>
      <c r="M1887" s="4" t="s">
        <v>3291</v>
      </c>
      <c r="N1887" s="4">
        <v>634</v>
      </c>
      <c r="O1887" s="4" t="s">
        <v>5160</v>
      </c>
    </row>
    <row r="1888" spans="1:15" ht="15.75" customHeight="1">
      <c r="A1888" s="4" t="s">
        <v>49</v>
      </c>
      <c r="B1888" s="4">
        <v>1988898</v>
      </c>
      <c r="C1888" s="4">
        <v>1990328</v>
      </c>
      <c r="E1888" s="4" t="s">
        <v>50</v>
      </c>
      <c r="F1888" s="4" t="s">
        <v>2404</v>
      </c>
      <c r="I1888" s="4" t="s">
        <v>52</v>
      </c>
      <c r="L1888" s="4" t="s">
        <v>5161</v>
      </c>
      <c r="M1888" s="4" t="s">
        <v>2404</v>
      </c>
      <c r="N1888" s="4">
        <v>476</v>
      </c>
      <c r="O1888" s="4" t="s">
        <v>5162</v>
      </c>
    </row>
    <row r="1889" spans="1:15" ht="15.75" customHeight="1">
      <c r="A1889" s="4" t="s">
        <v>49</v>
      </c>
      <c r="B1889" s="4">
        <v>1990911</v>
      </c>
      <c r="C1889" s="4">
        <v>1996862</v>
      </c>
      <c r="E1889" s="4" t="s">
        <v>50</v>
      </c>
      <c r="F1889" s="4" t="s">
        <v>5163</v>
      </c>
      <c r="I1889" s="4" t="s">
        <v>52</v>
      </c>
      <c r="L1889" s="4" t="s">
        <v>5164</v>
      </c>
      <c r="M1889" s="4" t="s">
        <v>5163</v>
      </c>
      <c r="N1889" s="4">
        <v>1983</v>
      </c>
      <c r="O1889" s="4" t="s">
        <v>5165</v>
      </c>
    </row>
    <row r="1890" spans="1:15" ht="15.75" customHeight="1">
      <c r="A1890" s="4" t="s">
        <v>49</v>
      </c>
      <c r="B1890" s="4">
        <v>1997018</v>
      </c>
      <c r="C1890" s="4">
        <v>1998208</v>
      </c>
      <c r="E1890" s="4" t="s">
        <v>55</v>
      </c>
      <c r="F1890" s="4" t="s">
        <v>76</v>
      </c>
      <c r="I1890" s="4" t="s">
        <v>52</v>
      </c>
      <c r="L1890" s="4" t="s">
        <v>5166</v>
      </c>
      <c r="M1890" s="4" t="s">
        <v>76</v>
      </c>
      <c r="N1890" s="4">
        <v>396</v>
      </c>
      <c r="O1890" s="4" t="s">
        <v>5167</v>
      </c>
    </row>
    <row r="1891" spans="1:15" ht="15.75" customHeight="1">
      <c r="A1891" s="4" t="s">
        <v>49</v>
      </c>
      <c r="B1891" s="4">
        <v>1998195</v>
      </c>
      <c r="C1891" s="4">
        <v>1998884</v>
      </c>
      <c r="E1891" s="4" t="s">
        <v>55</v>
      </c>
      <c r="F1891" s="4" t="s">
        <v>73</v>
      </c>
      <c r="I1891" s="4" t="s">
        <v>52</v>
      </c>
      <c r="L1891" s="4" t="s">
        <v>5168</v>
      </c>
      <c r="M1891" s="4" t="s">
        <v>73</v>
      </c>
      <c r="N1891" s="4">
        <v>229</v>
      </c>
      <c r="O1891" s="4" t="s">
        <v>5169</v>
      </c>
    </row>
    <row r="1892" spans="1:15" ht="15.75" customHeight="1">
      <c r="A1892" s="4" t="s">
        <v>49</v>
      </c>
      <c r="B1892" s="4">
        <v>1998877</v>
      </c>
      <c r="C1892" s="4">
        <v>1999941</v>
      </c>
      <c r="E1892" s="4" t="s">
        <v>55</v>
      </c>
      <c r="F1892" s="4" t="s">
        <v>5170</v>
      </c>
      <c r="I1892" s="4" t="s">
        <v>52</v>
      </c>
      <c r="L1892" s="4" t="s">
        <v>5171</v>
      </c>
      <c r="M1892" s="4" t="s">
        <v>5170</v>
      </c>
      <c r="N1892" s="4">
        <v>354</v>
      </c>
      <c r="O1892" s="4" t="s">
        <v>5172</v>
      </c>
    </row>
    <row r="1893" spans="1:15" ht="15.75" customHeight="1">
      <c r="A1893" s="4" t="s">
        <v>49</v>
      </c>
      <c r="B1893" s="4">
        <v>2000512</v>
      </c>
      <c r="C1893" s="4">
        <v>2000688</v>
      </c>
      <c r="E1893" s="4" t="s">
        <v>55</v>
      </c>
      <c r="F1893" s="4" t="s">
        <v>56</v>
      </c>
      <c r="I1893" s="4" t="s">
        <v>52</v>
      </c>
      <c r="L1893" s="4" t="s">
        <v>5173</v>
      </c>
      <c r="M1893" s="4" t="s">
        <v>56</v>
      </c>
      <c r="N1893" s="4">
        <v>58</v>
      </c>
      <c r="O1893" s="4" t="s">
        <v>5174</v>
      </c>
    </row>
    <row r="1894" spans="1:15" ht="15.75" customHeight="1">
      <c r="A1894" s="4" t="s">
        <v>49</v>
      </c>
      <c r="B1894" s="4">
        <v>2000699</v>
      </c>
      <c r="C1894" s="4">
        <v>2000959</v>
      </c>
      <c r="E1894" s="4" t="s">
        <v>55</v>
      </c>
      <c r="F1894" s="4" t="s">
        <v>56</v>
      </c>
      <c r="I1894" s="4" t="s">
        <v>52</v>
      </c>
      <c r="L1894" s="4" t="s">
        <v>5175</v>
      </c>
      <c r="M1894" s="4" t="s">
        <v>56</v>
      </c>
      <c r="N1894" s="4">
        <v>86</v>
      </c>
      <c r="O1894" s="4" t="s">
        <v>5176</v>
      </c>
    </row>
    <row r="1895" spans="1:15" ht="15.75" customHeight="1">
      <c r="A1895" s="4" t="s">
        <v>49</v>
      </c>
      <c r="B1895" s="4">
        <v>2001302</v>
      </c>
      <c r="C1895" s="4">
        <v>2002087</v>
      </c>
      <c r="E1895" s="4" t="s">
        <v>55</v>
      </c>
      <c r="F1895" s="4" t="s">
        <v>59</v>
      </c>
      <c r="I1895" s="4" t="s">
        <v>52</v>
      </c>
      <c r="L1895" s="4" t="s">
        <v>5177</v>
      </c>
      <c r="M1895" s="4" t="s">
        <v>59</v>
      </c>
      <c r="N1895" s="4">
        <v>261</v>
      </c>
      <c r="O1895" s="4" t="s">
        <v>5178</v>
      </c>
    </row>
    <row r="1896" spans="1:15" ht="15.75" customHeight="1">
      <c r="A1896" s="4" t="s">
        <v>49</v>
      </c>
      <c r="B1896" s="4">
        <v>2002385</v>
      </c>
      <c r="C1896" s="4">
        <v>2003095</v>
      </c>
      <c r="E1896" s="4" t="s">
        <v>55</v>
      </c>
      <c r="F1896" s="4" t="s">
        <v>5179</v>
      </c>
      <c r="G1896" s="4" t="s">
        <v>5180</v>
      </c>
      <c r="I1896" s="4" t="s">
        <v>52</v>
      </c>
      <c r="L1896" s="4" t="s">
        <v>5181</v>
      </c>
      <c r="M1896" s="4" t="s">
        <v>5179</v>
      </c>
      <c r="N1896" s="4">
        <v>236</v>
      </c>
      <c r="O1896" s="4" t="s">
        <v>5182</v>
      </c>
    </row>
    <row r="1897" spans="1:15" ht="15.75" customHeight="1">
      <c r="A1897" s="4" t="s">
        <v>49</v>
      </c>
      <c r="B1897" s="4">
        <v>2003497</v>
      </c>
      <c r="C1897" s="4">
        <v>2005323</v>
      </c>
      <c r="E1897" s="4" t="s">
        <v>50</v>
      </c>
      <c r="F1897" s="4" t="s">
        <v>4092</v>
      </c>
      <c r="I1897" s="4" t="s">
        <v>52</v>
      </c>
      <c r="L1897" s="4" t="s">
        <v>5183</v>
      </c>
      <c r="M1897" s="4" t="s">
        <v>4092</v>
      </c>
      <c r="N1897" s="4">
        <v>608</v>
      </c>
      <c r="O1897" s="4" t="s">
        <v>5184</v>
      </c>
    </row>
    <row r="1898" spans="1:15" ht="15.75" customHeight="1">
      <c r="A1898" s="4" t="s">
        <v>49</v>
      </c>
      <c r="B1898" s="4">
        <v>2005360</v>
      </c>
      <c r="C1898" s="4">
        <v>2007417</v>
      </c>
      <c r="E1898" s="4" t="s">
        <v>50</v>
      </c>
      <c r="F1898" s="4" t="s">
        <v>5185</v>
      </c>
      <c r="I1898" s="4" t="s">
        <v>52</v>
      </c>
      <c r="L1898" s="4" t="s">
        <v>5186</v>
      </c>
      <c r="M1898" s="4" t="s">
        <v>5185</v>
      </c>
      <c r="N1898" s="4">
        <v>685</v>
      </c>
      <c r="O1898" s="4" t="s">
        <v>5187</v>
      </c>
    </row>
    <row r="1899" spans="1:15" ht="15.75" customHeight="1">
      <c r="A1899" s="4" t="s">
        <v>49</v>
      </c>
      <c r="B1899" s="4">
        <v>2007422</v>
      </c>
      <c r="C1899" s="4">
        <v>2007865</v>
      </c>
      <c r="E1899" s="4" t="s">
        <v>50</v>
      </c>
      <c r="F1899" s="4" t="s">
        <v>4039</v>
      </c>
      <c r="I1899" s="4" t="s">
        <v>52</v>
      </c>
      <c r="L1899" s="4" t="s">
        <v>5188</v>
      </c>
      <c r="M1899" s="4" t="s">
        <v>4039</v>
      </c>
      <c r="N1899" s="4">
        <v>147</v>
      </c>
      <c r="O1899" s="4" t="s">
        <v>5189</v>
      </c>
    </row>
    <row r="1900" spans="1:15" ht="15.75" customHeight="1">
      <c r="A1900" s="4" t="s">
        <v>49</v>
      </c>
      <c r="B1900" s="4">
        <v>2007869</v>
      </c>
      <c r="C1900" s="4">
        <v>2009023</v>
      </c>
      <c r="E1900" s="4" t="s">
        <v>50</v>
      </c>
      <c r="F1900" s="4" t="s">
        <v>4089</v>
      </c>
      <c r="I1900" s="4" t="s">
        <v>52</v>
      </c>
      <c r="L1900" s="4" t="s">
        <v>5190</v>
      </c>
      <c r="M1900" s="4" t="s">
        <v>4089</v>
      </c>
      <c r="N1900" s="4">
        <v>384</v>
      </c>
      <c r="O1900" s="4" t="s">
        <v>5191</v>
      </c>
    </row>
    <row r="1901" spans="1:15" ht="15.75" customHeight="1">
      <c r="A1901" s="4" t="s">
        <v>49</v>
      </c>
      <c r="B1901" s="4">
        <v>2009141</v>
      </c>
      <c r="C1901" s="4">
        <v>2010097</v>
      </c>
      <c r="E1901" s="4" t="s">
        <v>50</v>
      </c>
      <c r="F1901" s="4" t="s">
        <v>2151</v>
      </c>
      <c r="I1901" s="4" t="s">
        <v>52</v>
      </c>
      <c r="L1901" s="4" t="s">
        <v>5192</v>
      </c>
      <c r="M1901" s="4" t="s">
        <v>2151</v>
      </c>
      <c r="N1901" s="4">
        <v>318</v>
      </c>
      <c r="O1901" s="4" t="s">
        <v>5193</v>
      </c>
    </row>
    <row r="1902" spans="1:15" ht="15.75" customHeight="1">
      <c r="A1902" s="4" t="s">
        <v>49</v>
      </c>
      <c r="B1902" s="4">
        <v>2010195</v>
      </c>
      <c r="C1902" s="4">
        <v>2011124</v>
      </c>
      <c r="E1902" s="4" t="s">
        <v>55</v>
      </c>
      <c r="F1902" s="4" t="s">
        <v>2151</v>
      </c>
      <c r="I1902" s="4" t="s">
        <v>52</v>
      </c>
      <c r="L1902" s="4" t="s">
        <v>5194</v>
      </c>
      <c r="M1902" s="4" t="s">
        <v>2151</v>
      </c>
      <c r="N1902" s="4">
        <v>309</v>
      </c>
      <c r="O1902" s="4" t="s">
        <v>5195</v>
      </c>
    </row>
    <row r="1903" spans="1:15" ht="15.75" customHeight="1">
      <c r="A1903" s="4" t="s">
        <v>49</v>
      </c>
      <c r="B1903" s="4">
        <v>2011324</v>
      </c>
      <c r="C1903" s="4">
        <v>2012244</v>
      </c>
      <c r="E1903" s="4" t="s">
        <v>50</v>
      </c>
      <c r="F1903" s="4" t="s">
        <v>5196</v>
      </c>
      <c r="I1903" s="4" t="s">
        <v>52</v>
      </c>
      <c r="L1903" s="4" t="s">
        <v>5197</v>
      </c>
      <c r="M1903" s="4" t="s">
        <v>5196</v>
      </c>
      <c r="N1903" s="4">
        <v>306</v>
      </c>
      <c r="O1903" s="4" t="s">
        <v>5198</v>
      </c>
    </row>
    <row r="1904" spans="1:15" ht="15.75" customHeight="1">
      <c r="A1904" s="4" t="s">
        <v>49</v>
      </c>
      <c r="B1904" s="4">
        <v>2012614</v>
      </c>
      <c r="C1904" s="4">
        <v>2012686</v>
      </c>
      <c r="E1904" s="4" t="s">
        <v>50</v>
      </c>
      <c r="F1904" s="4" t="s">
        <v>5199</v>
      </c>
      <c r="I1904" s="4" t="s">
        <v>302</v>
      </c>
      <c r="O1904" s="4" t="s">
        <v>5200</v>
      </c>
    </row>
    <row r="1905" spans="1:15" ht="15.75" customHeight="1">
      <c r="A1905" s="4" t="s">
        <v>49</v>
      </c>
      <c r="B1905" s="4">
        <v>2012917</v>
      </c>
      <c r="C1905" s="4">
        <v>2013846</v>
      </c>
      <c r="E1905" s="4" t="s">
        <v>50</v>
      </c>
      <c r="F1905" s="4" t="s">
        <v>5201</v>
      </c>
      <c r="I1905" s="4" t="s">
        <v>52</v>
      </c>
      <c r="L1905" s="4" t="s">
        <v>5202</v>
      </c>
      <c r="M1905" s="4" t="s">
        <v>5201</v>
      </c>
      <c r="N1905" s="4">
        <v>309</v>
      </c>
      <c r="O1905" s="4" t="s">
        <v>5203</v>
      </c>
    </row>
    <row r="1906" spans="1:15" ht="15.75" customHeight="1">
      <c r="A1906" s="4" t="s">
        <v>49</v>
      </c>
      <c r="B1906" s="4">
        <v>2013927</v>
      </c>
      <c r="C1906" s="4">
        <v>2015225</v>
      </c>
      <c r="E1906" s="4" t="s">
        <v>55</v>
      </c>
      <c r="F1906" s="4" t="s">
        <v>2780</v>
      </c>
      <c r="I1906" s="4" t="s">
        <v>52</v>
      </c>
      <c r="L1906" s="4" t="s">
        <v>5204</v>
      </c>
      <c r="M1906" s="4" t="s">
        <v>2780</v>
      </c>
      <c r="N1906" s="4">
        <v>432</v>
      </c>
      <c r="O1906" s="4" t="s">
        <v>5205</v>
      </c>
    </row>
    <row r="1907" spans="1:15" ht="15.75" customHeight="1">
      <c r="A1907" s="4" t="s">
        <v>49</v>
      </c>
      <c r="B1907" s="4">
        <v>2015416</v>
      </c>
      <c r="C1907" s="4">
        <v>2015814</v>
      </c>
      <c r="E1907" s="4" t="s">
        <v>50</v>
      </c>
      <c r="F1907" s="4" t="s">
        <v>56</v>
      </c>
      <c r="I1907" s="4" t="s">
        <v>52</v>
      </c>
      <c r="L1907" s="4" t="s">
        <v>5206</v>
      </c>
      <c r="M1907" s="4" t="s">
        <v>56</v>
      </c>
      <c r="N1907" s="4">
        <v>132</v>
      </c>
      <c r="O1907" s="4" t="s">
        <v>5207</v>
      </c>
    </row>
    <row r="1908" spans="1:15" ht="15.75" customHeight="1">
      <c r="A1908" s="4" t="s">
        <v>49</v>
      </c>
      <c r="B1908" s="4">
        <v>2016140</v>
      </c>
      <c r="C1908" s="4">
        <v>2017957</v>
      </c>
      <c r="E1908" s="4" t="s">
        <v>50</v>
      </c>
      <c r="F1908" s="4" t="s">
        <v>92</v>
      </c>
      <c r="I1908" s="4" t="s">
        <v>52</v>
      </c>
      <c r="L1908" s="4" t="s">
        <v>5208</v>
      </c>
      <c r="M1908" s="4" t="s">
        <v>92</v>
      </c>
      <c r="N1908" s="4">
        <v>605</v>
      </c>
      <c r="O1908" s="4" t="s">
        <v>5209</v>
      </c>
    </row>
    <row r="1909" spans="1:15" ht="15.75" customHeight="1">
      <c r="A1909" s="4" t="s">
        <v>49</v>
      </c>
      <c r="B1909" s="4">
        <v>2018126</v>
      </c>
      <c r="C1909" s="4">
        <v>2019937</v>
      </c>
      <c r="E1909" s="4" t="s">
        <v>55</v>
      </c>
      <c r="F1909" s="4" t="s">
        <v>478</v>
      </c>
      <c r="I1909" s="4" t="s">
        <v>52</v>
      </c>
      <c r="L1909" s="4" t="s">
        <v>5210</v>
      </c>
      <c r="M1909" s="4" t="s">
        <v>478</v>
      </c>
      <c r="N1909" s="4">
        <v>603</v>
      </c>
      <c r="O1909" s="4" t="s">
        <v>5211</v>
      </c>
    </row>
    <row r="1910" spans="1:15" ht="15.75" customHeight="1">
      <c r="A1910" s="4" t="s">
        <v>49</v>
      </c>
      <c r="B1910" s="4">
        <v>2020111</v>
      </c>
      <c r="C1910" s="4">
        <v>2020620</v>
      </c>
      <c r="E1910" s="4" t="s">
        <v>50</v>
      </c>
      <c r="F1910" s="4" t="s">
        <v>5212</v>
      </c>
      <c r="I1910" s="4" t="s">
        <v>52</v>
      </c>
      <c r="L1910" s="4" t="s">
        <v>5213</v>
      </c>
      <c r="M1910" s="4" t="s">
        <v>5212</v>
      </c>
      <c r="N1910" s="4">
        <v>169</v>
      </c>
      <c r="O1910" s="4" t="s">
        <v>5214</v>
      </c>
    </row>
    <row r="1911" spans="1:15" ht="15.75" customHeight="1">
      <c r="A1911" s="4" t="s">
        <v>49</v>
      </c>
      <c r="B1911" s="4">
        <v>2020878</v>
      </c>
      <c r="C1911" s="4">
        <v>2021735</v>
      </c>
      <c r="E1911" s="4" t="s">
        <v>50</v>
      </c>
      <c r="F1911" s="4" t="s">
        <v>2535</v>
      </c>
      <c r="I1911" s="4" t="s">
        <v>52</v>
      </c>
      <c r="L1911" s="4" t="s">
        <v>5215</v>
      </c>
      <c r="M1911" s="4" t="s">
        <v>2535</v>
      </c>
      <c r="N1911" s="4">
        <v>285</v>
      </c>
      <c r="O1911" s="4" t="s">
        <v>5216</v>
      </c>
    </row>
    <row r="1912" spans="1:15" ht="15.75" customHeight="1">
      <c r="A1912" s="4" t="s">
        <v>49</v>
      </c>
      <c r="B1912" s="4">
        <v>2021990</v>
      </c>
      <c r="C1912" s="4">
        <v>2022679</v>
      </c>
      <c r="E1912" s="4" t="s">
        <v>55</v>
      </c>
      <c r="F1912" s="4" t="s">
        <v>720</v>
      </c>
      <c r="I1912" s="4" t="s">
        <v>52</v>
      </c>
      <c r="L1912" s="4" t="s">
        <v>5217</v>
      </c>
      <c r="M1912" s="4" t="s">
        <v>720</v>
      </c>
      <c r="N1912" s="4">
        <v>229</v>
      </c>
      <c r="O1912" s="4" t="s">
        <v>5218</v>
      </c>
    </row>
    <row r="1913" spans="1:15" ht="15.75" customHeight="1">
      <c r="A1913" s="4" t="s">
        <v>49</v>
      </c>
      <c r="B1913" s="4">
        <v>2022657</v>
      </c>
      <c r="C1913" s="4">
        <v>2024201</v>
      </c>
      <c r="E1913" s="4" t="s">
        <v>55</v>
      </c>
      <c r="F1913" s="4" t="s">
        <v>714</v>
      </c>
      <c r="I1913" s="4" t="s">
        <v>52</v>
      </c>
      <c r="L1913" s="4" t="s">
        <v>5219</v>
      </c>
      <c r="M1913" s="4" t="s">
        <v>714</v>
      </c>
      <c r="N1913" s="4">
        <v>514</v>
      </c>
      <c r="O1913" s="4" t="s">
        <v>5220</v>
      </c>
    </row>
    <row r="1914" spans="1:15" ht="15.75" customHeight="1">
      <c r="A1914" s="4" t="s">
        <v>49</v>
      </c>
      <c r="B1914" s="4">
        <v>2024354</v>
      </c>
      <c r="C1914" s="4">
        <v>2025679</v>
      </c>
      <c r="E1914" s="4" t="s">
        <v>50</v>
      </c>
      <c r="F1914" s="4" t="s">
        <v>5221</v>
      </c>
      <c r="I1914" s="4" t="s">
        <v>52</v>
      </c>
      <c r="L1914" s="4" t="s">
        <v>5222</v>
      </c>
      <c r="M1914" s="4" t="s">
        <v>5221</v>
      </c>
      <c r="N1914" s="4">
        <v>441</v>
      </c>
      <c r="O1914" s="4" t="s">
        <v>5223</v>
      </c>
    </row>
    <row r="1915" spans="1:15" ht="15.75" customHeight="1">
      <c r="A1915" s="4" t="s">
        <v>49</v>
      </c>
      <c r="B1915" s="4">
        <v>2025749</v>
      </c>
      <c r="C1915" s="4">
        <v>2026927</v>
      </c>
      <c r="E1915" s="4" t="s">
        <v>50</v>
      </c>
      <c r="F1915" s="4" t="s">
        <v>5224</v>
      </c>
      <c r="I1915" s="4" t="s">
        <v>52</v>
      </c>
      <c r="L1915" s="4" t="s">
        <v>5225</v>
      </c>
      <c r="M1915" s="4" t="s">
        <v>5224</v>
      </c>
      <c r="N1915" s="4">
        <v>392</v>
      </c>
      <c r="O1915" s="4" t="s">
        <v>5226</v>
      </c>
    </row>
    <row r="1916" spans="1:15" ht="15.75" customHeight="1">
      <c r="A1916" s="4" t="s">
        <v>49</v>
      </c>
      <c r="B1916" s="4">
        <v>2027587</v>
      </c>
      <c r="C1916" s="4">
        <v>2028006</v>
      </c>
      <c r="E1916" s="4" t="s">
        <v>50</v>
      </c>
      <c r="F1916" s="4" t="s">
        <v>5227</v>
      </c>
      <c r="I1916" s="4" t="s">
        <v>52</v>
      </c>
      <c r="L1916" s="4" t="s">
        <v>5228</v>
      </c>
      <c r="M1916" s="4" t="s">
        <v>5227</v>
      </c>
      <c r="N1916" s="4">
        <v>139</v>
      </c>
      <c r="O1916" s="4" t="s">
        <v>5229</v>
      </c>
    </row>
    <row r="1917" spans="1:15" ht="15.75" customHeight="1">
      <c r="A1917" s="4" t="s">
        <v>49</v>
      </c>
      <c r="B1917" s="4">
        <v>2028118</v>
      </c>
      <c r="C1917" s="4">
        <v>2028702</v>
      </c>
      <c r="E1917" s="4" t="s">
        <v>50</v>
      </c>
      <c r="F1917" s="4" t="s">
        <v>5230</v>
      </c>
      <c r="I1917" s="4" t="s">
        <v>52</v>
      </c>
      <c r="L1917" s="4" t="s">
        <v>5231</v>
      </c>
      <c r="M1917" s="4" t="s">
        <v>5230</v>
      </c>
      <c r="N1917" s="4">
        <v>194</v>
      </c>
      <c r="O1917" s="4" t="s">
        <v>5232</v>
      </c>
    </row>
    <row r="1918" spans="1:15" ht="15.75" customHeight="1">
      <c r="A1918" s="4" t="s">
        <v>49</v>
      </c>
      <c r="B1918" s="4">
        <v>2028857</v>
      </c>
      <c r="C1918" s="4">
        <v>2030251</v>
      </c>
      <c r="E1918" s="4" t="s">
        <v>50</v>
      </c>
      <c r="F1918" s="4" t="s">
        <v>5233</v>
      </c>
      <c r="I1918" s="4" t="s">
        <v>52</v>
      </c>
      <c r="L1918" s="4" t="s">
        <v>5234</v>
      </c>
      <c r="M1918" s="4" t="s">
        <v>5233</v>
      </c>
      <c r="N1918" s="4">
        <v>464</v>
      </c>
      <c r="O1918" s="4" t="s">
        <v>5235</v>
      </c>
    </row>
    <row r="1919" spans="1:15" ht="15.75" customHeight="1">
      <c r="A1919" s="4" t="s">
        <v>49</v>
      </c>
      <c r="B1919" s="4">
        <v>2030391</v>
      </c>
      <c r="C1919" s="4">
        <v>2031161</v>
      </c>
      <c r="E1919" s="4" t="s">
        <v>55</v>
      </c>
      <c r="F1919" s="4" t="s">
        <v>59</v>
      </c>
      <c r="I1919" s="4" t="s">
        <v>52</v>
      </c>
      <c r="L1919" s="4" t="s">
        <v>5236</v>
      </c>
      <c r="M1919" s="4" t="s">
        <v>59</v>
      </c>
      <c r="N1919" s="4">
        <v>256</v>
      </c>
      <c r="O1919" s="4" t="s">
        <v>5237</v>
      </c>
    </row>
    <row r="1920" spans="1:15" ht="15.75" customHeight="1">
      <c r="A1920" s="4" t="s">
        <v>49</v>
      </c>
      <c r="B1920" s="4">
        <v>2031207</v>
      </c>
      <c r="C1920" s="4">
        <v>2031854</v>
      </c>
      <c r="E1920" s="4" t="s">
        <v>55</v>
      </c>
      <c r="F1920" s="4" t="s">
        <v>5238</v>
      </c>
      <c r="I1920" s="4" t="s">
        <v>52</v>
      </c>
      <c r="L1920" s="4" t="s">
        <v>5239</v>
      </c>
      <c r="M1920" s="4" t="s">
        <v>5238</v>
      </c>
      <c r="N1920" s="4">
        <v>215</v>
      </c>
      <c r="O1920" s="4" t="s">
        <v>5240</v>
      </c>
    </row>
    <row r="1921" spans="1:15" ht="15.75" customHeight="1">
      <c r="A1921" s="4" t="s">
        <v>49</v>
      </c>
      <c r="B1921" s="4">
        <v>2032020</v>
      </c>
      <c r="C1921" s="4">
        <v>2033129</v>
      </c>
      <c r="E1921" s="4" t="s">
        <v>55</v>
      </c>
      <c r="F1921" s="4" t="s">
        <v>5241</v>
      </c>
      <c r="I1921" s="4" t="s">
        <v>52</v>
      </c>
      <c r="L1921" s="4" t="s">
        <v>5242</v>
      </c>
      <c r="M1921" s="4" t="s">
        <v>5241</v>
      </c>
      <c r="N1921" s="4">
        <v>369</v>
      </c>
      <c r="O1921" s="4" t="s">
        <v>5243</v>
      </c>
    </row>
    <row r="1922" spans="1:15" ht="15.75" customHeight="1">
      <c r="A1922" s="4" t="s">
        <v>49</v>
      </c>
      <c r="B1922" s="4">
        <v>2033609</v>
      </c>
      <c r="C1922" s="4">
        <v>2035770</v>
      </c>
      <c r="E1922" s="4" t="s">
        <v>55</v>
      </c>
      <c r="F1922" s="4" t="s">
        <v>345</v>
      </c>
      <c r="I1922" s="4" t="s">
        <v>346</v>
      </c>
      <c r="O1922" s="4" t="s">
        <v>5244</v>
      </c>
    </row>
    <row r="1923" spans="1:15" ht="15.75" customHeight="1">
      <c r="A1923" s="4" t="s">
        <v>49</v>
      </c>
      <c r="B1923" s="4">
        <v>2035763</v>
      </c>
      <c r="C1923" s="4">
        <v>2036755</v>
      </c>
      <c r="E1923" s="4" t="s">
        <v>55</v>
      </c>
      <c r="F1923" s="4" t="s">
        <v>5245</v>
      </c>
      <c r="I1923" s="4" t="s">
        <v>52</v>
      </c>
      <c r="L1923" s="4" t="s">
        <v>5246</v>
      </c>
      <c r="M1923" s="4" t="s">
        <v>5245</v>
      </c>
      <c r="N1923" s="4">
        <v>330</v>
      </c>
      <c r="O1923" s="4" t="s">
        <v>5247</v>
      </c>
    </row>
    <row r="1924" spans="1:15" ht="15.75" customHeight="1">
      <c r="A1924" s="4" t="s">
        <v>49</v>
      </c>
      <c r="B1924" s="4">
        <v>2036760</v>
      </c>
      <c r="C1924" s="4">
        <v>2037695</v>
      </c>
      <c r="E1924" s="4" t="s">
        <v>55</v>
      </c>
      <c r="F1924" s="4" t="s">
        <v>5248</v>
      </c>
      <c r="I1924" s="4" t="s">
        <v>52</v>
      </c>
      <c r="L1924" s="4" t="s">
        <v>5249</v>
      </c>
      <c r="M1924" s="4" t="s">
        <v>5248</v>
      </c>
      <c r="N1924" s="4">
        <v>311</v>
      </c>
      <c r="O1924" s="4" t="s">
        <v>5250</v>
      </c>
    </row>
    <row r="1925" spans="1:15" ht="15.75" customHeight="1">
      <c r="A1925" s="4" t="s">
        <v>49</v>
      </c>
      <c r="B1925" s="4">
        <v>2038062</v>
      </c>
      <c r="C1925" s="4">
        <v>2038685</v>
      </c>
      <c r="E1925" s="4" t="s">
        <v>50</v>
      </c>
      <c r="F1925" s="4" t="s">
        <v>5251</v>
      </c>
      <c r="I1925" s="4" t="s">
        <v>52</v>
      </c>
      <c r="L1925" s="4" t="s">
        <v>5252</v>
      </c>
      <c r="M1925" s="4" t="s">
        <v>5251</v>
      </c>
      <c r="N1925" s="4">
        <v>207</v>
      </c>
      <c r="O1925" s="4" t="s">
        <v>5253</v>
      </c>
    </row>
    <row r="1926" spans="1:15" ht="15.75" customHeight="1">
      <c r="A1926" s="4" t="s">
        <v>49</v>
      </c>
      <c r="B1926" s="4">
        <v>2038793</v>
      </c>
      <c r="C1926" s="4">
        <v>2039341</v>
      </c>
      <c r="E1926" s="4" t="s">
        <v>55</v>
      </c>
      <c r="F1926" s="4" t="s">
        <v>51</v>
      </c>
      <c r="I1926" s="4" t="s">
        <v>52</v>
      </c>
      <c r="L1926" s="4" t="s">
        <v>5254</v>
      </c>
      <c r="M1926" s="4" t="s">
        <v>51</v>
      </c>
      <c r="N1926" s="4">
        <v>182</v>
      </c>
      <c r="O1926" s="4" t="s">
        <v>5255</v>
      </c>
    </row>
    <row r="1927" spans="1:15" ht="15.75" customHeight="1">
      <c r="A1927" s="4" t="s">
        <v>49</v>
      </c>
      <c r="B1927" s="4">
        <v>2039549</v>
      </c>
      <c r="C1927" s="4">
        <v>2041009</v>
      </c>
      <c r="E1927" s="4" t="s">
        <v>50</v>
      </c>
      <c r="F1927" s="4" t="s">
        <v>1078</v>
      </c>
      <c r="I1927" s="4" t="s">
        <v>52</v>
      </c>
      <c r="L1927" s="4" t="s">
        <v>5256</v>
      </c>
      <c r="M1927" s="4" t="s">
        <v>1078</v>
      </c>
      <c r="N1927" s="4">
        <v>486</v>
      </c>
      <c r="O1927" s="4" t="s">
        <v>5257</v>
      </c>
    </row>
    <row r="1928" spans="1:15" ht="15.75" customHeight="1">
      <c r="A1928" s="4" t="s">
        <v>49</v>
      </c>
      <c r="B1928" s="4">
        <v>2041253</v>
      </c>
      <c r="C1928" s="4">
        <v>2042662</v>
      </c>
      <c r="E1928" s="4" t="s">
        <v>50</v>
      </c>
      <c r="F1928" s="4" t="s">
        <v>5258</v>
      </c>
      <c r="I1928" s="4" t="s">
        <v>52</v>
      </c>
      <c r="L1928" s="4" t="s">
        <v>5259</v>
      </c>
      <c r="M1928" s="4" t="s">
        <v>5258</v>
      </c>
      <c r="N1928" s="4">
        <v>469</v>
      </c>
      <c r="O1928" s="4" t="s">
        <v>5260</v>
      </c>
    </row>
    <row r="1929" spans="1:15" ht="15.75" customHeight="1">
      <c r="A1929" s="4" t="s">
        <v>49</v>
      </c>
      <c r="B1929" s="4">
        <v>2042659</v>
      </c>
      <c r="C1929" s="4">
        <v>2043399</v>
      </c>
      <c r="E1929" s="4" t="s">
        <v>50</v>
      </c>
      <c r="F1929" s="4" t="s">
        <v>848</v>
      </c>
      <c r="I1929" s="4" t="s">
        <v>52</v>
      </c>
      <c r="L1929" s="4" t="s">
        <v>5261</v>
      </c>
      <c r="M1929" s="4" t="s">
        <v>848</v>
      </c>
      <c r="N1929" s="4">
        <v>246</v>
      </c>
      <c r="O1929" s="4" t="s">
        <v>5262</v>
      </c>
    </row>
    <row r="1930" spans="1:15" ht="15.75" customHeight="1">
      <c r="A1930" s="4" t="s">
        <v>49</v>
      </c>
      <c r="B1930" s="4">
        <v>2043516</v>
      </c>
      <c r="C1930" s="4">
        <v>2044385</v>
      </c>
      <c r="E1930" s="4" t="s">
        <v>55</v>
      </c>
      <c r="F1930" s="4" t="s">
        <v>5263</v>
      </c>
      <c r="I1930" s="4" t="s">
        <v>52</v>
      </c>
      <c r="L1930" s="4" t="s">
        <v>5264</v>
      </c>
      <c r="M1930" s="4" t="s">
        <v>5263</v>
      </c>
      <c r="N1930" s="4">
        <v>289</v>
      </c>
      <c r="O1930" s="4" t="s">
        <v>5265</v>
      </c>
    </row>
    <row r="1931" spans="1:15" ht="15.75" customHeight="1">
      <c r="A1931" s="4" t="s">
        <v>49</v>
      </c>
      <c r="B1931" s="4">
        <v>2044484</v>
      </c>
      <c r="C1931" s="4">
        <v>2045260</v>
      </c>
      <c r="E1931" s="4" t="s">
        <v>55</v>
      </c>
      <c r="F1931" s="4" t="s">
        <v>2933</v>
      </c>
      <c r="I1931" s="4" t="s">
        <v>52</v>
      </c>
      <c r="L1931" s="4" t="s">
        <v>5266</v>
      </c>
      <c r="M1931" s="4" t="s">
        <v>2933</v>
      </c>
      <c r="N1931" s="4">
        <v>258</v>
      </c>
      <c r="O1931" s="4" t="s">
        <v>5267</v>
      </c>
    </row>
    <row r="1932" spans="1:15" ht="15.75" customHeight="1">
      <c r="A1932" s="4" t="s">
        <v>49</v>
      </c>
      <c r="B1932" s="4">
        <v>2045250</v>
      </c>
      <c r="C1932" s="4">
        <v>2046815</v>
      </c>
      <c r="E1932" s="4" t="s">
        <v>55</v>
      </c>
      <c r="F1932" s="4" t="s">
        <v>5268</v>
      </c>
      <c r="I1932" s="4" t="s">
        <v>52</v>
      </c>
      <c r="L1932" s="4" t="s">
        <v>5269</v>
      </c>
      <c r="M1932" s="4" t="s">
        <v>5268</v>
      </c>
      <c r="N1932" s="4">
        <v>521</v>
      </c>
      <c r="O1932" s="4" t="s">
        <v>5270</v>
      </c>
    </row>
    <row r="1933" spans="1:15" ht="15.75" customHeight="1">
      <c r="A1933" s="4" t="s">
        <v>49</v>
      </c>
      <c r="B1933" s="4">
        <v>2046805</v>
      </c>
      <c r="C1933" s="4">
        <v>2047278</v>
      </c>
      <c r="E1933" s="4" t="s">
        <v>55</v>
      </c>
      <c r="F1933" s="4" t="s">
        <v>5268</v>
      </c>
      <c r="I1933" s="4" t="s">
        <v>52</v>
      </c>
      <c r="L1933" s="4" t="s">
        <v>5271</v>
      </c>
      <c r="M1933" s="4" t="s">
        <v>5268</v>
      </c>
      <c r="N1933" s="4">
        <v>157</v>
      </c>
      <c r="O1933" s="4" t="s">
        <v>5272</v>
      </c>
    </row>
    <row r="1934" spans="1:15" ht="15.75" customHeight="1">
      <c r="A1934" s="4" t="s">
        <v>49</v>
      </c>
      <c r="B1934" s="4">
        <v>2047460</v>
      </c>
      <c r="C1934" s="4">
        <v>2047783</v>
      </c>
      <c r="E1934" s="4" t="s">
        <v>55</v>
      </c>
      <c r="F1934" s="4" t="s">
        <v>56</v>
      </c>
      <c r="I1934" s="4" t="s">
        <v>52</v>
      </c>
      <c r="L1934" s="4" t="s">
        <v>5273</v>
      </c>
      <c r="M1934" s="4" t="s">
        <v>56</v>
      </c>
      <c r="N1934" s="4">
        <v>107</v>
      </c>
      <c r="O1934" s="4" t="s">
        <v>5274</v>
      </c>
    </row>
    <row r="1935" spans="1:15" ht="15.75" customHeight="1">
      <c r="A1935" s="4" t="s">
        <v>49</v>
      </c>
      <c r="B1935" s="4">
        <v>2047941</v>
      </c>
      <c r="C1935" s="4">
        <v>2048279</v>
      </c>
      <c r="E1935" s="4" t="s">
        <v>50</v>
      </c>
      <c r="F1935" s="4" t="s">
        <v>2710</v>
      </c>
      <c r="I1935" s="4" t="s">
        <v>52</v>
      </c>
      <c r="L1935" s="4" t="s">
        <v>5275</v>
      </c>
      <c r="M1935" s="4" t="s">
        <v>2710</v>
      </c>
      <c r="N1935" s="4">
        <v>112</v>
      </c>
      <c r="O1935" s="4" t="s">
        <v>5276</v>
      </c>
    </row>
    <row r="1936" spans="1:15" ht="15.75" customHeight="1">
      <c r="A1936" s="4" t="s">
        <v>49</v>
      </c>
      <c r="B1936" s="4">
        <v>2048352</v>
      </c>
      <c r="C1936" s="4">
        <v>2049062</v>
      </c>
      <c r="E1936" s="4" t="s">
        <v>50</v>
      </c>
      <c r="F1936" s="4" t="s">
        <v>4483</v>
      </c>
      <c r="I1936" s="4" t="s">
        <v>52</v>
      </c>
      <c r="L1936" s="4" t="s">
        <v>5277</v>
      </c>
      <c r="M1936" s="4" t="s">
        <v>4483</v>
      </c>
      <c r="N1936" s="4">
        <v>236</v>
      </c>
      <c r="O1936" s="4" t="s">
        <v>5278</v>
      </c>
    </row>
    <row r="1937" spans="1:15" ht="15.75" customHeight="1">
      <c r="A1937" s="4" t="s">
        <v>49</v>
      </c>
      <c r="B1937" s="4">
        <v>2049245</v>
      </c>
      <c r="C1937" s="4">
        <v>2050519</v>
      </c>
      <c r="E1937" s="4" t="s">
        <v>50</v>
      </c>
      <c r="F1937" s="4" t="s">
        <v>4407</v>
      </c>
      <c r="I1937" s="4" t="s">
        <v>52</v>
      </c>
      <c r="L1937" s="4" t="s">
        <v>5279</v>
      </c>
      <c r="M1937" s="4" t="s">
        <v>4407</v>
      </c>
      <c r="N1937" s="4">
        <v>424</v>
      </c>
      <c r="O1937" s="4" t="s">
        <v>5280</v>
      </c>
    </row>
    <row r="1938" spans="1:15" ht="15.75" customHeight="1">
      <c r="A1938" s="4" t="s">
        <v>49</v>
      </c>
      <c r="B1938" s="4">
        <v>2050545</v>
      </c>
      <c r="C1938" s="4">
        <v>2050799</v>
      </c>
      <c r="E1938" s="4" t="s">
        <v>50</v>
      </c>
      <c r="F1938" s="4" t="s">
        <v>56</v>
      </c>
      <c r="I1938" s="4" t="s">
        <v>52</v>
      </c>
      <c r="L1938" s="4" t="s">
        <v>5281</v>
      </c>
      <c r="M1938" s="4" t="s">
        <v>56</v>
      </c>
      <c r="N1938" s="4">
        <v>84</v>
      </c>
      <c r="O1938" s="4" t="s">
        <v>5282</v>
      </c>
    </row>
    <row r="1939" spans="1:15" ht="15.75" customHeight="1">
      <c r="A1939" s="4" t="s">
        <v>49</v>
      </c>
      <c r="B1939" s="4">
        <v>2050822</v>
      </c>
      <c r="C1939" s="4">
        <v>2051020</v>
      </c>
      <c r="E1939" s="4" t="s">
        <v>55</v>
      </c>
      <c r="F1939" s="4" t="s">
        <v>345</v>
      </c>
      <c r="I1939" s="4" t="s">
        <v>346</v>
      </c>
      <c r="O1939" s="4" t="s">
        <v>5283</v>
      </c>
    </row>
    <row r="1940" spans="1:15" ht="15.75" customHeight="1">
      <c r="A1940" s="4" t="s">
        <v>49</v>
      </c>
      <c r="B1940" s="4">
        <v>2051167</v>
      </c>
      <c r="C1940" s="4">
        <v>2051913</v>
      </c>
      <c r="E1940" s="4" t="s">
        <v>55</v>
      </c>
      <c r="F1940" s="4" t="s">
        <v>848</v>
      </c>
      <c r="I1940" s="4" t="s">
        <v>52</v>
      </c>
      <c r="L1940" s="4" t="s">
        <v>5284</v>
      </c>
      <c r="M1940" s="4" t="s">
        <v>848</v>
      </c>
      <c r="N1940" s="4">
        <v>248</v>
      </c>
      <c r="O1940" s="4" t="s">
        <v>5285</v>
      </c>
    </row>
    <row r="1941" spans="1:15" ht="15.75" customHeight="1">
      <c r="A1941" s="4" t="s">
        <v>49</v>
      </c>
      <c r="B1941" s="4">
        <v>2051917</v>
      </c>
      <c r="C1941" s="4">
        <v>2053524</v>
      </c>
      <c r="E1941" s="4" t="s">
        <v>55</v>
      </c>
      <c r="F1941" s="4" t="s">
        <v>5286</v>
      </c>
      <c r="I1941" s="4" t="s">
        <v>52</v>
      </c>
      <c r="L1941" s="4" t="s">
        <v>5287</v>
      </c>
      <c r="M1941" s="4" t="s">
        <v>5286</v>
      </c>
      <c r="N1941" s="4">
        <v>535</v>
      </c>
      <c r="O1941" s="4" t="s">
        <v>5288</v>
      </c>
    </row>
    <row r="1942" spans="1:15" ht="15.75" customHeight="1">
      <c r="A1942" s="4" t="s">
        <v>49</v>
      </c>
      <c r="B1942" s="4">
        <v>2054226</v>
      </c>
      <c r="C1942" s="4">
        <v>2055101</v>
      </c>
      <c r="E1942" s="4" t="s">
        <v>50</v>
      </c>
      <c r="F1942" s="4" t="s">
        <v>92</v>
      </c>
      <c r="I1942" s="4" t="s">
        <v>52</v>
      </c>
      <c r="L1942" s="4" t="s">
        <v>5289</v>
      </c>
      <c r="M1942" s="4" t="s">
        <v>92</v>
      </c>
      <c r="N1942" s="4">
        <v>291</v>
      </c>
      <c r="O1942" s="4" t="s">
        <v>5290</v>
      </c>
    </row>
    <row r="1943" spans="1:15" ht="15.75" customHeight="1">
      <c r="A1943" s="4" t="s">
        <v>49</v>
      </c>
      <c r="B1943" s="4">
        <v>2055098</v>
      </c>
      <c r="C1943" s="4">
        <v>2055946</v>
      </c>
      <c r="E1943" s="4" t="s">
        <v>50</v>
      </c>
      <c r="F1943" s="4" t="s">
        <v>478</v>
      </c>
      <c r="I1943" s="4" t="s">
        <v>52</v>
      </c>
      <c r="L1943" s="4" t="s">
        <v>5291</v>
      </c>
      <c r="M1943" s="4" t="s">
        <v>478</v>
      </c>
      <c r="N1943" s="4">
        <v>282</v>
      </c>
      <c r="O1943" s="4" t="s">
        <v>5292</v>
      </c>
    </row>
    <row r="1944" spans="1:15" ht="15.75" customHeight="1">
      <c r="A1944" s="4" t="s">
        <v>49</v>
      </c>
      <c r="B1944" s="4">
        <v>2056102</v>
      </c>
      <c r="C1944" s="4">
        <v>2056542</v>
      </c>
      <c r="E1944" s="4" t="s">
        <v>55</v>
      </c>
      <c r="F1944" s="4" t="s">
        <v>345</v>
      </c>
      <c r="I1944" s="4" t="s">
        <v>346</v>
      </c>
      <c r="O1944" s="4" t="s">
        <v>5293</v>
      </c>
    </row>
    <row r="1945" spans="1:15" ht="15.75" customHeight="1">
      <c r="A1945" s="4" t="s">
        <v>49</v>
      </c>
      <c r="B1945" s="4">
        <v>2056564</v>
      </c>
      <c r="C1945" s="4">
        <v>2057484</v>
      </c>
      <c r="E1945" s="4" t="s">
        <v>55</v>
      </c>
      <c r="F1945" s="4" t="s">
        <v>674</v>
      </c>
      <c r="I1945" s="4" t="s">
        <v>52</v>
      </c>
      <c r="L1945" s="4" t="s">
        <v>675</v>
      </c>
      <c r="M1945" s="4" t="s">
        <v>674</v>
      </c>
      <c r="N1945" s="4">
        <v>306</v>
      </c>
      <c r="O1945" s="4" t="s">
        <v>5294</v>
      </c>
    </row>
    <row r="1946" spans="1:15" ht="15.75" customHeight="1">
      <c r="A1946" s="4" t="s">
        <v>49</v>
      </c>
      <c r="B1946" s="4">
        <v>2057595</v>
      </c>
      <c r="C1946" s="4">
        <v>2058176</v>
      </c>
      <c r="E1946" s="4" t="s">
        <v>55</v>
      </c>
      <c r="F1946" s="4" t="s">
        <v>345</v>
      </c>
      <c r="I1946" s="4" t="s">
        <v>346</v>
      </c>
      <c r="O1946" s="4" t="s">
        <v>5295</v>
      </c>
    </row>
    <row r="1947" spans="1:15" ht="15.75" customHeight="1">
      <c r="A1947" s="4" t="s">
        <v>49</v>
      </c>
      <c r="B1947" s="4">
        <v>2058411</v>
      </c>
      <c r="C1947" s="4">
        <v>2059682</v>
      </c>
      <c r="E1947" s="4" t="s">
        <v>50</v>
      </c>
      <c r="F1947" s="4" t="s">
        <v>255</v>
      </c>
      <c r="I1947" s="4" t="s">
        <v>52</v>
      </c>
      <c r="L1947" s="4" t="s">
        <v>5296</v>
      </c>
      <c r="M1947" s="4" t="s">
        <v>255</v>
      </c>
      <c r="N1947" s="4">
        <v>423</v>
      </c>
      <c r="O1947" s="4" t="s">
        <v>5297</v>
      </c>
    </row>
    <row r="1948" spans="1:15" ht="15.75" customHeight="1">
      <c r="A1948" s="4" t="s">
        <v>49</v>
      </c>
      <c r="B1948" s="4">
        <v>2059917</v>
      </c>
      <c r="C1948" s="4">
        <v>2060891</v>
      </c>
      <c r="E1948" s="4" t="s">
        <v>50</v>
      </c>
      <c r="F1948" s="4" t="s">
        <v>5298</v>
      </c>
      <c r="I1948" s="4" t="s">
        <v>52</v>
      </c>
      <c r="L1948" s="4" t="s">
        <v>5299</v>
      </c>
      <c r="M1948" s="4" t="s">
        <v>5298</v>
      </c>
      <c r="N1948" s="4">
        <v>324</v>
      </c>
      <c r="O1948" s="4" t="s">
        <v>5300</v>
      </c>
    </row>
    <row r="1949" spans="1:15" ht="15.75" customHeight="1">
      <c r="A1949" s="4" t="s">
        <v>49</v>
      </c>
      <c r="B1949" s="4">
        <v>2060919</v>
      </c>
      <c r="C1949" s="4">
        <v>2061734</v>
      </c>
      <c r="E1949" s="4" t="s">
        <v>50</v>
      </c>
      <c r="F1949" s="4" t="s">
        <v>4167</v>
      </c>
      <c r="I1949" s="4" t="s">
        <v>52</v>
      </c>
      <c r="L1949" s="4" t="s">
        <v>5301</v>
      </c>
      <c r="M1949" s="4" t="s">
        <v>4167</v>
      </c>
      <c r="N1949" s="4">
        <v>271</v>
      </c>
      <c r="O1949" s="4" t="s">
        <v>5302</v>
      </c>
    </row>
    <row r="1950" spans="1:15" ht="15.75" customHeight="1">
      <c r="A1950" s="4" t="s">
        <v>49</v>
      </c>
      <c r="B1950" s="4">
        <v>2061752</v>
      </c>
      <c r="C1950" s="4">
        <v>2062663</v>
      </c>
      <c r="E1950" s="4" t="s">
        <v>50</v>
      </c>
      <c r="F1950" s="4" t="s">
        <v>4045</v>
      </c>
      <c r="I1950" s="4" t="s">
        <v>52</v>
      </c>
      <c r="L1950" s="4" t="s">
        <v>5303</v>
      </c>
      <c r="M1950" s="4" t="s">
        <v>4045</v>
      </c>
      <c r="N1950" s="4">
        <v>303</v>
      </c>
      <c r="O1950" s="4" t="s">
        <v>5304</v>
      </c>
    </row>
    <row r="1951" spans="1:15" ht="15.75" customHeight="1">
      <c r="A1951" s="4" t="s">
        <v>49</v>
      </c>
      <c r="B1951" s="4">
        <v>2063089</v>
      </c>
      <c r="C1951" s="4">
        <v>2063454</v>
      </c>
      <c r="E1951" s="4" t="s">
        <v>50</v>
      </c>
      <c r="F1951" s="4" t="s">
        <v>5305</v>
      </c>
      <c r="I1951" s="4" t="s">
        <v>52</v>
      </c>
      <c r="L1951" s="4" t="s">
        <v>5306</v>
      </c>
      <c r="M1951" s="4" t="s">
        <v>5305</v>
      </c>
      <c r="N1951" s="4">
        <v>121</v>
      </c>
      <c r="O1951" s="4" t="s">
        <v>5307</v>
      </c>
    </row>
    <row r="1952" spans="1:15" ht="15.75" customHeight="1">
      <c r="A1952" s="4" t="s">
        <v>49</v>
      </c>
      <c r="B1952" s="4">
        <v>2063580</v>
      </c>
      <c r="C1952" s="4">
        <v>2064509</v>
      </c>
      <c r="E1952" s="4" t="s">
        <v>55</v>
      </c>
      <c r="F1952" s="4" t="s">
        <v>3943</v>
      </c>
      <c r="I1952" s="4" t="s">
        <v>52</v>
      </c>
      <c r="L1952" s="4" t="s">
        <v>5308</v>
      </c>
      <c r="M1952" s="4" t="s">
        <v>3943</v>
      </c>
      <c r="N1952" s="4">
        <v>309</v>
      </c>
      <c r="O1952" s="4" t="s">
        <v>5309</v>
      </c>
    </row>
    <row r="1953" spans="1:15" ht="15.75" customHeight="1">
      <c r="A1953" s="4" t="s">
        <v>49</v>
      </c>
      <c r="B1953" s="4">
        <v>2064570</v>
      </c>
      <c r="C1953" s="4">
        <v>2065763</v>
      </c>
      <c r="E1953" s="4" t="s">
        <v>55</v>
      </c>
      <c r="F1953" s="4" t="s">
        <v>255</v>
      </c>
      <c r="I1953" s="4" t="s">
        <v>52</v>
      </c>
      <c r="L1953" s="4" t="s">
        <v>5310</v>
      </c>
      <c r="M1953" s="4" t="s">
        <v>255</v>
      </c>
      <c r="N1953" s="4">
        <v>397</v>
      </c>
      <c r="O1953" s="4" t="s">
        <v>5311</v>
      </c>
    </row>
    <row r="1954" spans="1:15" ht="15.75" customHeight="1">
      <c r="A1954" s="4" t="s">
        <v>49</v>
      </c>
      <c r="B1954" s="4">
        <v>2066041</v>
      </c>
      <c r="C1954" s="4">
        <v>2067462</v>
      </c>
      <c r="E1954" s="4" t="s">
        <v>55</v>
      </c>
      <c r="F1954" s="4" t="s">
        <v>255</v>
      </c>
      <c r="I1954" s="4" t="s">
        <v>52</v>
      </c>
      <c r="L1954" s="4" t="s">
        <v>5312</v>
      </c>
      <c r="M1954" s="4" t="s">
        <v>255</v>
      </c>
      <c r="N1954" s="4">
        <v>473</v>
      </c>
      <c r="O1954" s="4" t="s">
        <v>5313</v>
      </c>
    </row>
    <row r="1955" spans="1:15" ht="15.75" customHeight="1">
      <c r="A1955" s="4" t="s">
        <v>49</v>
      </c>
      <c r="B1955" s="4">
        <v>2067723</v>
      </c>
      <c r="C1955" s="4">
        <v>2068346</v>
      </c>
      <c r="E1955" s="4" t="s">
        <v>55</v>
      </c>
      <c r="F1955" s="4" t="s">
        <v>3380</v>
      </c>
      <c r="I1955" s="4" t="s">
        <v>52</v>
      </c>
      <c r="L1955" s="4" t="s">
        <v>5314</v>
      </c>
      <c r="M1955" s="4" t="s">
        <v>3380</v>
      </c>
      <c r="N1955" s="4">
        <v>207</v>
      </c>
      <c r="O1955" s="4" t="s">
        <v>5315</v>
      </c>
    </row>
    <row r="1956" spans="1:15" ht="15.75" customHeight="1">
      <c r="A1956" s="4" t="s">
        <v>49</v>
      </c>
      <c r="B1956" s="4">
        <v>2068655</v>
      </c>
      <c r="C1956" s="4">
        <v>2069176</v>
      </c>
      <c r="E1956" s="4" t="s">
        <v>55</v>
      </c>
      <c r="F1956" s="4" t="s">
        <v>5316</v>
      </c>
      <c r="I1956" s="4" t="s">
        <v>52</v>
      </c>
      <c r="L1956" s="4" t="s">
        <v>5317</v>
      </c>
      <c r="M1956" s="4" t="s">
        <v>5316</v>
      </c>
      <c r="N1956" s="4">
        <v>173</v>
      </c>
      <c r="O1956" s="4" t="s">
        <v>5318</v>
      </c>
    </row>
    <row r="1957" spans="1:15" ht="15.75" customHeight="1">
      <c r="A1957" s="4" t="s">
        <v>49</v>
      </c>
      <c r="B1957" s="4">
        <v>2069173</v>
      </c>
      <c r="C1957" s="4">
        <v>2069637</v>
      </c>
      <c r="E1957" s="4" t="s">
        <v>55</v>
      </c>
      <c r="F1957" s="4" t="s">
        <v>931</v>
      </c>
      <c r="I1957" s="4" t="s">
        <v>52</v>
      </c>
      <c r="L1957" s="4" t="s">
        <v>5319</v>
      </c>
      <c r="M1957" s="4" t="s">
        <v>931</v>
      </c>
      <c r="N1957" s="4">
        <v>154</v>
      </c>
      <c r="O1957" s="4" t="s">
        <v>5320</v>
      </c>
    </row>
    <row r="1958" spans="1:15" ht="15.75" customHeight="1">
      <c r="A1958" s="4" t="s">
        <v>49</v>
      </c>
      <c r="B1958" s="4">
        <v>2069775</v>
      </c>
      <c r="C1958" s="4">
        <v>2070326</v>
      </c>
      <c r="E1958" s="4" t="s">
        <v>50</v>
      </c>
      <c r="F1958" s="4" t="s">
        <v>51</v>
      </c>
      <c r="I1958" s="4" t="s">
        <v>52</v>
      </c>
      <c r="L1958" s="4" t="s">
        <v>5321</v>
      </c>
      <c r="M1958" s="4" t="s">
        <v>51</v>
      </c>
      <c r="N1958" s="4">
        <v>183</v>
      </c>
      <c r="O1958" s="4" t="s">
        <v>5322</v>
      </c>
    </row>
    <row r="1959" spans="1:15" ht="15.75" customHeight="1">
      <c r="A1959" s="4" t="s">
        <v>49</v>
      </c>
      <c r="B1959" s="4">
        <v>2070470</v>
      </c>
      <c r="C1959" s="4">
        <v>2070799</v>
      </c>
      <c r="E1959" s="4" t="s">
        <v>55</v>
      </c>
      <c r="F1959" s="4" t="s">
        <v>295</v>
      </c>
      <c r="I1959" s="4" t="s">
        <v>52</v>
      </c>
      <c r="L1959" s="4" t="s">
        <v>5323</v>
      </c>
      <c r="M1959" s="4" t="s">
        <v>295</v>
      </c>
      <c r="N1959" s="4">
        <v>109</v>
      </c>
      <c r="O1959" s="4" t="s">
        <v>5324</v>
      </c>
    </row>
    <row r="1960" spans="1:15" ht="15.75" customHeight="1">
      <c r="A1960" s="4" t="s">
        <v>49</v>
      </c>
      <c r="B1960" s="4">
        <v>2070799</v>
      </c>
      <c r="C1960" s="4">
        <v>2071131</v>
      </c>
      <c r="E1960" s="4" t="s">
        <v>55</v>
      </c>
      <c r="F1960" s="4" t="s">
        <v>2415</v>
      </c>
      <c r="I1960" s="4" t="s">
        <v>52</v>
      </c>
      <c r="L1960" s="4" t="s">
        <v>5325</v>
      </c>
      <c r="M1960" s="4" t="s">
        <v>2415</v>
      </c>
      <c r="N1960" s="4">
        <v>110</v>
      </c>
      <c r="O1960" s="4" t="s">
        <v>5326</v>
      </c>
    </row>
    <row r="1961" spans="1:15" ht="15.75" customHeight="1">
      <c r="A1961" s="4" t="s">
        <v>49</v>
      </c>
      <c r="B1961" s="4">
        <v>2071248</v>
      </c>
      <c r="C1961" s="4">
        <v>2071958</v>
      </c>
      <c r="E1961" s="4" t="s">
        <v>50</v>
      </c>
      <c r="F1961" s="4" t="s">
        <v>2401</v>
      </c>
      <c r="I1961" s="4" t="s">
        <v>52</v>
      </c>
      <c r="L1961" s="4" t="s">
        <v>5327</v>
      </c>
      <c r="M1961" s="4" t="s">
        <v>2401</v>
      </c>
      <c r="N1961" s="4">
        <v>236</v>
      </c>
      <c r="O1961" s="4" t="s">
        <v>5328</v>
      </c>
    </row>
    <row r="1962" spans="1:15" ht="15.75" customHeight="1">
      <c r="A1962" s="4" t="s">
        <v>49</v>
      </c>
      <c r="B1962" s="4">
        <v>2072127</v>
      </c>
      <c r="C1962" s="4">
        <v>2073485</v>
      </c>
      <c r="E1962" s="4" t="s">
        <v>50</v>
      </c>
      <c r="F1962" s="4" t="s">
        <v>1381</v>
      </c>
      <c r="I1962" s="4" t="s">
        <v>52</v>
      </c>
      <c r="L1962" s="4" t="s">
        <v>5329</v>
      </c>
      <c r="M1962" s="4" t="s">
        <v>1381</v>
      </c>
      <c r="N1962" s="4">
        <v>452</v>
      </c>
      <c r="O1962" s="4" t="s">
        <v>5330</v>
      </c>
    </row>
    <row r="1963" spans="1:15" ht="15.75" customHeight="1">
      <c r="A1963" s="4" t="s">
        <v>49</v>
      </c>
      <c r="B1963" s="4">
        <v>2073541</v>
      </c>
      <c r="C1963" s="4">
        <v>2073960</v>
      </c>
      <c r="E1963" s="4" t="s">
        <v>50</v>
      </c>
      <c r="F1963" s="4" t="s">
        <v>298</v>
      </c>
      <c r="I1963" s="4" t="s">
        <v>52</v>
      </c>
      <c r="L1963" s="4" t="s">
        <v>5331</v>
      </c>
      <c r="M1963" s="4" t="s">
        <v>298</v>
      </c>
      <c r="N1963" s="4">
        <v>139</v>
      </c>
      <c r="O1963" s="4" t="s">
        <v>5332</v>
      </c>
    </row>
    <row r="1964" spans="1:15" ht="15.75" customHeight="1">
      <c r="A1964" s="4" t="s">
        <v>49</v>
      </c>
      <c r="B1964" s="4">
        <v>2073973</v>
      </c>
      <c r="C1964" s="4">
        <v>2075073</v>
      </c>
      <c r="E1964" s="4" t="s">
        <v>50</v>
      </c>
      <c r="F1964" s="4" t="s">
        <v>5333</v>
      </c>
      <c r="I1964" s="4" t="s">
        <v>52</v>
      </c>
      <c r="L1964" s="4" t="s">
        <v>5334</v>
      </c>
      <c r="M1964" s="4" t="s">
        <v>5333</v>
      </c>
      <c r="N1964" s="4">
        <v>366</v>
      </c>
      <c r="O1964" s="4" t="s">
        <v>5335</v>
      </c>
    </row>
    <row r="1965" spans="1:15" ht="15.75" customHeight="1">
      <c r="A1965" s="4" t="s">
        <v>49</v>
      </c>
      <c r="B1965" s="4">
        <v>2075426</v>
      </c>
      <c r="C1965" s="4">
        <v>2076808</v>
      </c>
      <c r="E1965" s="4" t="s">
        <v>55</v>
      </c>
      <c r="F1965" s="4" t="s">
        <v>5336</v>
      </c>
      <c r="G1965" s="4" t="s">
        <v>5337</v>
      </c>
      <c r="I1965" s="4" t="s">
        <v>52</v>
      </c>
      <c r="L1965" s="4" t="s">
        <v>5338</v>
      </c>
      <c r="M1965" s="4" t="s">
        <v>5336</v>
      </c>
      <c r="N1965" s="4">
        <v>460</v>
      </c>
      <c r="O1965" s="4" t="s">
        <v>5339</v>
      </c>
    </row>
    <row r="1966" spans="1:15" ht="15.75" customHeight="1">
      <c r="A1966" s="4" t="s">
        <v>49</v>
      </c>
      <c r="B1966" s="4">
        <v>2076801</v>
      </c>
      <c r="C1966" s="4">
        <v>2078021</v>
      </c>
      <c r="E1966" s="4" t="s">
        <v>55</v>
      </c>
      <c r="F1966" s="4" t="s">
        <v>5340</v>
      </c>
      <c r="I1966" s="4" t="s">
        <v>52</v>
      </c>
      <c r="L1966" s="4" t="s">
        <v>5341</v>
      </c>
      <c r="M1966" s="4" t="s">
        <v>5340</v>
      </c>
      <c r="N1966" s="4">
        <v>406</v>
      </c>
      <c r="O1966" s="4" t="s">
        <v>5342</v>
      </c>
    </row>
    <row r="1967" spans="1:15" ht="15.75" customHeight="1">
      <c r="A1967" s="4" t="s">
        <v>49</v>
      </c>
      <c r="B1967" s="4">
        <v>2078074</v>
      </c>
      <c r="C1967" s="4">
        <v>2079522</v>
      </c>
      <c r="E1967" s="4" t="s">
        <v>55</v>
      </c>
      <c r="F1967" s="4" t="s">
        <v>1078</v>
      </c>
      <c r="I1967" s="4" t="s">
        <v>52</v>
      </c>
      <c r="L1967" s="4" t="s">
        <v>5343</v>
      </c>
      <c r="M1967" s="4" t="s">
        <v>1078</v>
      </c>
      <c r="N1967" s="4">
        <v>482</v>
      </c>
      <c r="O1967" s="4" t="s">
        <v>5344</v>
      </c>
    </row>
    <row r="1968" spans="1:15" ht="15.75" customHeight="1">
      <c r="A1968" s="4" t="s">
        <v>49</v>
      </c>
      <c r="B1968" s="4">
        <v>2079623</v>
      </c>
      <c r="C1968" s="4">
        <v>2080297</v>
      </c>
      <c r="E1968" s="4" t="s">
        <v>55</v>
      </c>
      <c r="F1968" s="4" t="s">
        <v>3138</v>
      </c>
      <c r="I1968" s="4" t="s">
        <v>52</v>
      </c>
      <c r="L1968" s="4" t="s">
        <v>5345</v>
      </c>
      <c r="M1968" s="4" t="s">
        <v>3138</v>
      </c>
      <c r="N1968" s="4">
        <v>224</v>
      </c>
      <c r="O1968" s="4" t="s">
        <v>5346</v>
      </c>
    </row>
    <row r="1969" spans="1:15" ht="15.75" customHeight="1">
      <c r="A1969" s="4" t="s">
        <v>49</v>
      </c>
      <c r="B1969" s="4">
        <v>2080876</v>
      </c>
      <c r="C1969" s="4">
        <v>2081589</v>
      </c>
      <c r="E1969" s="4" t="s">
        <v>50</v>
      </c>
      <c r="F1969" s="4" t="s">
        <v>5347</v>
      </c>
      <c r="G1969" s="4" t="s">
        <v>5348</v>
      </c>
      <c r="I1969" s="4" t="s">
        <v>52</v>
      </c>
      <c r="L1969" s="4" t="s">
        <v>5349</v>
      </c>
      <c r="M1969" s="4" t="s">
        <v>5347</v>
      </c>
      <c r="N1969" s="4">
        <v>237</v>
      </c>
      <c r="O1969" s="4" t="s">
        <v>5350</v>
      </c>
    </row>
    <row r="1970" spans="1:15" ht="15.75" customHeight="1">
      <c r="A1970" s="4" t="s">
        <v>49</v>
      </c>
      <c r="B1970" s="4">
        <v>2081605</v>
      </c>
      <c r="C1970" s="4">
        <v>2083515</v>
      </c>
      <c r="E1970" s="4" t="s">
        <v>50</v>
      </c>
      <c r="F1970" s="4" t="s">
        <v>197</v>
      </c>
      <c r="G1970" s="4" t="s">
        <v>5351</v>
      </c>
      <c r="I1970" s="4" t="s">
        <v>52</v>
      </c>
      <c r="L1970" s="4" t="s">
        <v>5352</v>
      </c>
      <c r="M1970" s="4" t="s">
        <v>197</v>
      </c>
      <c r="N1970" s="4">
        <v>636</v>
      </c>
      <c r="O1970" s="4" t="s">
        <v>5353</v>
      </c>
    </row>
    <row r="1971" spans="1:15" ht="15.75" customHeight="1">
      <c r="A1971" s="4" t="s">
        <v>49</v>
      </c>
      <c r="B1971" s="4">
        <v>2083505</v>
      </c>
      <c r="C1971" s="4">
        <v>2084932</v>
      </c>
      <c r="E1971" s="4" t="s">
        <v>50</v>
      </c>
      <c r="F1971" s="4" t="s">
        <v>5354</v>
      </c>
      <c r="I1971" s="4" t="s">
        <v>52</v>
      </c>
      <c r="L1971" s="4" t="s">
        <v>5355</v>
      </c>
      <c r="M1971" s="4" t="s">
        <v>5354</v>
      </c>
      <c r="N1971" s="4">
        <v>475</v>
      </c>
      <c r="O1971" s="4" t="s">
        <v>5356</v>
      </c>
    </row>
    <row r="1972" spans="1:15" ht="15.75" customHeight="1">
      <c r="A1972" s="4" t="s">
        <v>49</v>
      </c>
      <c r="B1972" s="4">
        <v>2084987</v>
      </c>
      <c r="C1972" s="4">
        <v>2085784</v>
      </c>
      <c r="E1972" s="4" t="s">
        <v>50</v>
      </c>
      <c r="F1972" s="4" t="s">
        <v>5357</v>
      </c>
      <c r="I1972" s="4" t="s">
        <v>52</v>
      </c>
      <c r="L1972" s="4" t="s">
        <v>5358</v>
      </c>
      <c r="M1972" s="4" t="s">
        <v>5357</v>
      </c>
      <c r="N1972" s="4">
        <v>265</v>
      </c>
      <c r="O1972" s="4" t="s">
        <v>5359</v>
      </c>
    </row>
    <row r="1973" spans="1:15" ht="15.75" customHeight="1">
      <c r="A1973" s="4" t="s">
        <v>49</v>
      </c>
      <c r="B1973" s="4">
        <v>2085854</v>
      </c>
      <c r="C1973" s="4">
        <v>2086672</v>
      </c>
      <c r="E1973" s="4" t="s">
        <v>50</v>
      </c>
      <c r="F1973" s="4" t="s">
        <v>2282</v>
      </c>
      <c r="I1973" s="4" t="s">
        <v>52</v>
      </c>
      <c r="L1973" s="4" t="s">
        <v>5360</v>
      </c>
      <c r="M1973" s="4" t="s">
        <v>2282</v>
      </c>
      <c r="N1973" s="4">
        <v>272</v>
      </c>
      <c r="O1973" s="4" t="s">
        <v>5361</v>
      </c>
    </row>
    <row r="1974" spans="1:15" ht="15.75" customHeight="1">
      <c r="A1974" s="4" t="s">
        <v>49</v>
      </c>
      <c r="B1974" s="4">
        <v>2087171</v>
      </c>
      <c r="C1974" s="4">
        <v>2088499</v>
      </c>
      <c r="E1974" s="4" t="s">
        <v>50</v>
      </c>
      <c r="F1974" s="4" t="s">
        <v>5362</v>
      </c>
      <c r="I1974" s="4" t="s">
        <v>52</v>
      </c>
      <c r="L1974" s="4" t="s">
        <v>5363</v>
      </c>
      <c r="M1974" s="4" t="s">
        <v>5362</v>
      </c>
      <c r="N1974" s="4">
        <v>442</v>
      </c>
      <c r="O1974" s="4" t="s">
        <v>5364</v>
      </c>
    </row>
    <row r="1975" spans="1:15" ht="15.75" customHeight="1">
      <c r="A1975" s="4" t="s">
        <v>49</v>
      </c>
      <c r="B1975" s="4">
        <v>2089112</v>
      </c>
      <c r="C1975" s="4">
        <v>2089516</v>
      </c>
      <c r="E1975" s="4" t="s">
        <v>50</v>
      </c>
      <c r="F1975" s="4" t="s">
        <v>2710</v>
      </c>
      <c r="I1975" s="4" t="s">
        <v>52</v>
      </c>
      <c r="L1975" s="4" t="s">
        <v>5365</v>
      </c>
      <c r="M1975" s="4" t="s">
        <v>2710</v>
      </c>
      <c r="N1975" s="4">
        <v>134</v>
      </c>
      <c r="O1975" s="4" t="s">
        <v>5366</v>
      </c>
    </row>
    <row r="1976" spans="1:15" ht="15.75" customHeight="1">
      <c r="A1976" s="4" t="s">
        <v>49</v>
      </c>
      <c r="B1976" s="4">
        <v>2089676</v>
      </c>
      <c r="C1976" s="4">
        <v>2090113</v>
      </c>
      <c r="E1976" s="4" t="s">
        <v>50</v>
      </c>
      <c r="F1976" s="4" t="s">
        <v>5367</v>
      </c>
      <c r="I1976" s="4" t="s">
        <v>52</v>
      </c>
      <c r="L1976" s="4" t="s">
        <v>5368</v>
      </c>
      <c r="M1976" s="4" t="s">
        <v>5367</v>
      </c>
      <c r="N1976" s="4">
        <v>145</v>
      </c>
      <c r="O1976" s="4" t="s">
        <v>5369</v>
      </c>
    </row>
    <row r="1977" spans="1:15" ht="15.75" customHeight="1">
      <c r="A1977" s="4" t="s">
        <v>49</v>
      </c>
      <c r="B1977" s="4">
        <v>2090525</v>
      </c>
      <c r="C1977" s="4">
        <v>2091955</v>
      </c>
      <c r="E1977" s="4" t="s">
        <v>50</v>
      </c>
      <c r="F1977" s="4" t="s">
        <v>5370</v>
      </c>
      <c r="I1977" s="4" t="s">
        <v>52</v>
      </c>
      <c r="L1977" s="4" t="s">
        <v>5371</v>
      </c>
      <c r="M1977" s="4" t="s">
        <v>5370</v>
      </c>
      <c r="N1977" s="4">
        <v>476</v>
      </c>
      <c r="O1977" s="4" t="s">
        <v>5372</v>
      </c>
    </row>
    <row r="1978" spans="1:15" ht="15.75" customHeight="1">
      <c r="A1978" s="4" t="s">
        <v>49</v>
      </c>
      <c r="B1978" s="4">
        <v>2092127</v>
      </c>
      <c r="C1978" s="4">
        <v>2093974</v>
      </c>
      <c r="E1978" s="4" t="s">
        <v>50</v>
      </c>
      <c r="F1978" s="4" t="s">
        <v>2300</v>
      </c>
      <c r="I1978" s="4" t="s">
        <v>52</v>
      </c>
      <c r="L1978" s="4" t="s">
        <v>5373</v>
      </c>
      <c r="M1978" s="4" t="s">
        <v>2300</v>
      </c>
      <c r="N1978" s="4">
        <v>615</v>
      </c>
      <c r="O1978" s="4" t="s">
        <v>5374</v>
      </c>
    </row>
    <row r="1979" spans="1:15" ht="15.75" customHeight="1">
      <c r="A1979" s="4" t="s">
        <v>49</v>
      </c>
      <c r="B1979" s="4">
        <v>2094135</v>
      </c>
      <c r="C1979" s="4">
        <v>2095307</v>
      </c>
      <c r="E1979" s="4" t="s">
        <v>55</v>
      </c>
      <c r="F1979" s="4" t="s">
        <v>56</v>
      </c>
      <c r="I1979" s="4" t="s">
        <v>52</v>
      </c>
      <c r="L1979" s="4" t="s">
        <v>5375</v>
      </c>
      <c r="M1979" s="4" t="s">
        <v>56</v>
      </c>
      <c r="N1979" s="4">
        <v>390</v>
      </c>
      <c r="O1979" s="4" t="s">
        <v>5376</v>
      </c>
    </row>
    <row r="1980" spans="1:15" ht="15.75" customHeight="1">
      <c r="A1980" s="4" t="s">
        <v>49</v>
      </c>
      <c r="B1980" s="4">
        <v>2096096</v>
      </c>
      <c r="C1980" s="4">
        <v>2097706</v>
      </c>
      <c r="E1980" s="4" t="s">
        <v>50</v>
      </c>
      <c r="F1980" s="4" t="s">
        <v>678</v>
      </c>
      <c r="I1980" s="4" t="s">
        <v>52</v>
      </c>
      <c r="L1980" s="4" t="s">
        <v>5377</v>
      </c>
      <c r="M1980" s="4" t="s">
        <v>678</v>
      </c>
      <c r="N1980" s="4">
        <v>536</v>
      </c>
      <c r="O1980" s="4" t="s">
        <v>5378</v>
      </c>
    </row>
    <row r="1981" spans="1:15" ht="15.75" customHeight="1">
      <c r="A1981" s="4" t="s">
        <v>49</v>
      </c>
      <c r="B1981" s="4">
        <v>2097731</v>
      </c>
      <c r="C1981" s="4">
        <v>2099074</v>
      </c>
      <c r="E1981" s="4" t="s">
        <v>50</v>
      </c>
      <c r="F1981" s="4" t="s">
        <v>4136</v>
      </c>
      <c r="I1981" s="4" t="s">
        <v>52</v>
      </c>
      <c r="L1981" s="4" t="s">
        <v>5379</v>
      </c>
      <c r="M1981" s="4" t="s">
        <v>4136</v>
      </c>
      <c r="N1981" s="4">
        <v>447</v>
      </c>
      <c r="O1981" s="4" t="s">
        <v>5380</v>
      </c>
    </row>
    <row r="1982" spans="1:15" ht="15.75" customHeight="1">
      <c r="A1982" s="4" t="s">
        <v>49</v>
      </c>
      <c r="B1982" s="4">
        <v>2099198</v>
      </c>
      <c r="C1982" s="4">
        <v>2100028</v>
      </c>
      <c r="E1982" s="4" t="s">
        <v>55</v>
      </c>
      <c r="F1982" s="4" t="s">
        <v>56</v>
      </c>
      <c r="I1982" s="4" t="s">
        <v>52</v>
      </c>
      <c r="L1982" s="4" t="s">
        <v>5381</v>
      </c>
      <c r="M1982" s="4" t="s">
        <v>56</v>
      </c>
      <c r="N1982" s="4">
        <v>276</v>
      </c>
      <c r="O1982" s="4" t="s">
        <v>5382</v>
      </c>
    </row>
    <row r="1983" spans="1:15" ht="15.75" customHeight="1">
      <c r="A1983" s="4" t="s">
        <v>49</v>
      </c>
      <c r="B1983" s="4">
        <v>2100403</v>
      </c>
      <c r="C1983" s="4">
        <v>2101503</v>
      </c>
      <c r="E1983" s="4" t="s">
        <v>55</v>
      </c>
      <c r="F1983" s="4" t="s">
        <v>4158</v>
      </c>
      <c r="I1983" s="4" t="s">
        <v>52</v>
      </c>
      <c r="L1983" s="4" t="s">
        <v>5383</v>
      </c>
      <c r="M1983" s="4" t="s">
        <v>4158</v>
      </c>
      <c r="N1983" s="4">
        <v>366</v>
      </c>
      <c r="O1983" s="4" t="s">
        <v>5384</v>
      </c>
    </row>
    <row r="1984" spans="1:15" ht="15.75" customHeight="1">
      <c r="A1984" s="4" t="s">
        <v>49</v>
      </c>
      <c r="B1984" s="4">
        <v>2101867</v>
      </c>
      <c r="C1984" s="4">
        <v>2102346</v>
      </c>
      <c r="E1984" s="4" t="s">
        <v>50</v>
      </c>
      <c r="F1984" s="4" t="s">
        <v>5385</v>
      </c>
      <c r="G1984" s="4" t="s">
        <v>5386</v>
      </c>
      <c r="I1984" s="4" t="s">
        <v>52</v>
      </c>
      <c r="L1984" s="4" t="s">
        <v>5387</v>
      </c>
      <c r="M1984" s="4" t="s">
        <v>5385</v>
      </c>
      <c r="N1984" s="4">
        <v>159</v>
      </c>
      <c r="O1984" s="4" t="s">
        <v>5388</v>
      </c>
    </row>
    <row r="1985" spans="1:15" ht="15.75" customHeight="1">
      <c r="A1985" s="4" t="s">
        <v>49</v>
      </c>
      <c r="B1985" s="4">
        <v>2102890</v>
      </c>
      <c r="C1985" s="4">
        <v>2103198</v>
      </c>
      <c r="E1985" s="4" t="s">
        <v>50</v>
      </c>
      <c r="F1985" s="4" t="s">
        <v>56</v>
      </c>
      <c r="I1985" s="4" t="s">
        <v>52</v>
      </c>
      <c r="L1985" s="4" t="s">
        <v>5389</v>
      </c>
      <c r="M1985" s="4" t="s">
        <v>56</v>
      </c>
      <c r="N1985" s="4">
        <v>102</v>
      </c>
      <c r="O1985" s="4" t="s">
        <v>5390</v>
      </c>
    </row>
    <row r="1986" spans="1:15" ht="15.75" customHeight="1">
      <c r="A1986" s="4" t="s">
        <v>49</v>
      </c>
      <c r="B1986" s="4">
        <v>2103515</v>
      </c>
      <c r="C1986" s="4">
        <v>2103796</v>
      </c>
      <c r="E1986" s="4" t="s">
        <v>50</v>
      </c>
      <c r="F1986" s="4" t="s">
        <v>56</v>
      </c>
      <c r="I1986" s="4" t="s">
        <v>52</v>
      </c>
      <c r="L1986" s="4" t="s">
        <v>5391</v>
      </c>
      <c r="M1986" s="4" t="s">
        <v>56</v>
      </c>
      <c r="N1986" s="4">
        <v>93</v>
      </c>
      <c r="O1986" s="4" t="s">
        <v>5392</v>
      </c>
    </row>
    <row r="1987" spans="1:15" ht="15.75" customHeight="1">
      <c r="A1987" s="4" t="s">
        <v>49</v>
      </c>
      <c r="B1987" s="4">
        <v>2104314</v>
      </c>
      <c r="C1987" s="4">
        <v>2104538</v>
      </c>
      <c r="E1987" s="4" t="s">
        <v>50</v>
      </c>
      <c r="F1987" s="4" t="s">
        <v>56</v>
      </c>
      <c r="I1987" s="4" t="s">
        <v>52</v>
      </c>
      <c r="L1987" s="4" t="s">
        <v>5393</v>
      </c>
      <c r="M1987" s="4" t="s">
        <v>56</v>
      </c>
      <c r="N1987" s="4">
        <v>74</v>
      </c>
      <c r="O1987" s="4" t="s">
        <v>5394</v>
      </c>
    </row>
    <row r="1988" spans="1:15" ht="15.75" customHeight="1">
      <c r="A1988" s="4" t="s">
        <v>49</v>
      </c>
      <c r="B1988" s="4">
        <v>2105363</v>
      </c>
      <c r="C1988" s="4">
        <v>2105599</v>
      </c>
      <c r="E1988" s="4" t="s">
        <v>55</v>
      </c>
      <c r="F1988" s="4" t="s">
        <v>56</v>
      </c>
      <c r="I1988" s="4" t="s">
        <v>52</v>
      </c>
      <c r="L1988" s="4" t="s">
        <v>5395</v>
      </c>
      <c r="M1988" s="4" t="s">
        <v>56</v>
      </c>
      <c r="N1988" s="4">
        <v>78</v>
      </c>
      <c r="O1988" s="4" t="s">
        <v>5396</v>
      </c>
    </row>
    <row r="1989" spans="1:15" ht="15.75" customHeight="1">
      <c r="A1989" s="4" t="s">
        <v>49</v>
      </c>
      <c r="B1989" s="4">
        <v>2105648</v>
      </c>
      <c r="C1989" s="4">
        <v>2105863</v>
      </c>
      <c r="E1989" s="4" t="s">
        <v>55</v>
      </c>
      <c r="F1989" s="4" t="s">
        <v>345</v>
      </c>
      <c r="I1989" s="4" t="s">
        <v>346</v>
      </c>
      <c r="O1989" s="4" t="s">
        <v>5397</v>
      </c>
    </row>
    <row r="1990" spans="1:15" ht="15.75" customHeight="1">
      <c r="A1990" s="4" t="s">
        <v>49</v>
      </c>
      <c r="B1990" s="4">
        <v>2105860</v>
      </c>
      <c r="C1990" s="4">
        <v>2106243</v>
      </c>
      <c r="E1990" s="4" t="s">
        <v>55</v>
      </c>
      <c r="F1990" s="4" t="s">
        <v>345</v>
      </c>
      <c r="I1990" s="4" t="s">
        <v>346</v>
      </c>
      <c r="O1990" s="4" t="s">
        <v>5398</v>
      </c>
    </row>
    <row r="1991" spans="1:15" ht="15.75" customHeight="1">
      <c r="A1991" s="4" t="s">
        <v>49</v>
      </c>
      <c r="B1991" s="4">
        <v>2106417</v>
      </c>
      <c r="C1991" s="4">
        <v>2106626</v>
      </c>
      <c r="E1991" s="4" t="s">
        <v>50</v>
      </c>
      <c r="F1991" s="4" t="s">
        <v>345</v>
      </c>
      <c r="I1991" s="4" t="s">
        <v>346</v>
      </c>
      <c r="O1991" s="4" t="s">
        <v>5399</v>
      </c>
    </row>
    <row r="1992" spans="1:15" ht="15.75" customHeight="1">
      <c r="A1992" s="4" t="s">
        <v>49</v>
      </c>
      <c r="B1992" s="4">
        <v>2106648</v>
      </c>
      <c r="C1992" s="4">
        <v>2107568</v>
      </c>
      <c r="E1992" s="4" t="s">
        <v>55</v>
      </c>
      <c r="F1992" s="4" t="s">
        <v>674</v>
      </c>
      <c r="I1992" s="4" t="s">
        <v>52</v>
      </c>
      <c r="L1992" s="4" t="s">
        <v>675</v>
      </c>
      <c r="M1992" s="4" t="s">
        <v>674</v>
      </c>
      <c r="N1992" s="4">
        <v>306</v>
      </c>
      <c r="O1992" s="4" t="s">
        <v>5400</v>
      </c>
    </row>
    <row r="1993" spans="1:15" ht="15.75" customHeight="1">
      <c r="A1993" s="4" t="s">
        <v>49</v>
      </c>
      <c r="B1993" s="4">
        <v>2107954</v>
      </c>
      <c r="C1993" s="4">
        <v>2110308</v>
      </c>
      <c r="E1993" s="4" t="s">
        <v>50</v>
      </c>
      <c r="F1993" s="4" t="s">
        <v>2933</v>
      </c>
      <c r="I1993" s="4" t="s">
        <v>52</v>
      </c>
      <c r="L1993" s="4" t="s">
        <v>5401</v>
      </c>
      <c r="M1993" s="4" t="s">
        <v>2933</v>
      </c>
      <c r="N1993" s="4">
        <v>784</v>
      </c>
      <c r="O1993" s="4" t="s">
        <v>5402</v>
      </c>
    </row>
    <row r="1994" spans="1:15" ht="15.75" customHeight="1">
      <c r="A1994" s="4" t="s">
        <v>49</v>
      </c>
      <c r="B1994" s="4">
        <v>2110574</v>
      </c>
      <c r="C1994" s="4">
        <v>2110738</v>
      </c>
      <c r="E1994" s="4" t="s">
        <v>50</v>
      </c>
      <c r="F1994" s="4" t="s">
        <v>56</v>
      </c>
      <c r="I1994" s="4" t="s">
        <v>52</v>
      </c>
      <c r="L1994" s="4" t="s">
        <v>5403</v>
      </c>
      <c r="M1994" s="4" t="s">
        <v>56</v>
      </c>
      <c r="N1994" s="4">
        <v>54</v>
      </c>
      <c r="O1994" s="4" t="s">
        <v>5404</v>
      </c>
    </row>
    <row r="1995" spans="1:15" ht="15.75" customHeight="1">
      <c r="A1995" s="4" t="s">
        <v>49</v>
      </c>
      <c r="B1995" s="4">
        <v>2110803</v>
      </c>
      <c r="C1995" s="4">
        <v>2112656</v>
      </c>
      <c r="E1995" s="4" t="s">
        <v>50</v>
      </c>
      <c r="F1995" s="4" t="s">
        <v>281</v>
      </c>
      <c r="I1995" s="4" t="s">
        <v>52</v>
      </c>
      <c r="L1995" s="4" t="s">
        <v>5405</v>
      </c>
      <c r="M1995" s="4" t="s">
        <v>281</v>
      </c>
      <c r="N1995" s="4">
        <v>617</v>
      </c>
      <c r="O1995" s="4" t="s">
        <v>5406</v>
      </c>
    </row>
    <row r="1996" spans="1:15" ht="15.75" customHeight="1">
      <c r="A1996" s="4" t="s">
        <v>49</v>
      </c>
      <c r="B1996" s="4">
        <v>2112772</v>
      </c>
      <c r="C1996" s="4">
        <v>2113455</v>
      </c>
      <c r="E1996" s="4" t="s">
        <v>55</v>
      </c>
      <c r="F1996" s="4" t="s">
        <v>5407</v>
      </c>
      <c r="I1996" s="4" t="s">
        <v>52</v>
      </c>
      <c r="L1996" s="4" t="s">
        <v>5408</v>
      </c>
      <c r="M1996" s="4" t="s">
        <v>5407</v>
      </c>
      <c r="N1996" s="4">
        <v>227</v>
      </c>
      <c r="O1996" s="4" t="s">
        <v>5409</v>
      </c>
    </row>
    <row r="1997" spans="1:15" ht="15.75" customHeight="1">
      <c r="A1997" s="4" t="s">
        <v>49</v>
      </c>
      <c r="B1997" s="4">
        <v>2113786</v>
      </c>
      <c r="C1997" s="4">
        <v>2115201</v>
      </c>
      <c r="E1997" s="4" t="s">
        <v>55</v>
      </c>
      <c r="F1997" s="4" t="s">
        <v>779</v>
      </c>
      <c r="I1997" s="4" t="s">
        <v>52</v>
      </c>
      <c r="L1997" s="4" t="s">
        <v>780</v>
      </c>
      <c r="M1997" s="4" t="s">
        <v>779</v>
      </c>
      <c r="N1997" s="4">
        <v>471</v>
      </c>
      <c r="O1997" s="4" t="s">
        <v>5410</v>
      </c>
    </row>
    <row r="1998" spans="1:15" ht="15.75" customHeight="1">
      <c r="A1998" s="4" t="s">
        <v>49</v>
      </c>
      <c r="B1998" s="4">
        <v>2115531</v>
      </c>
      <c r="C1998" s="4">
        <v>2116760</v>
      </c>
      <c r="E1998" s="4" t="s">
        <v>50</v>
      </c>
      <c r="F1998" s="4" t="s">
        <v>2942</v>
      </c>
      <c r="I1998" s="4" t="s">
        <v>52</v>
      </c>
      <c r="L1998" s="4" t="s">
        <v>5411</v>
      </c>
      <c r="M1998" s="4" t="s">
        <v>2942</v>
      </c>
      <c r="N1998" s="4">
        <v>409</v>
      </c>
      <c r="O1998" s="4" t="s">
        <v>5412</v>
      </c>
    </row>
    <row r="1999" spans="1:15" ht="15.75" customHeight="1">
      <c r="A1999" s="4" t="s">
        <v>49</v>
      </c>
      <c r="B1999" s="4">
        <v>2117015</v>
      </c>
      <c r="C1999" s="4">
        <v>2117476</v>
      </c>
      <c r="E1999" s="4" t="s">
        <v>50</v>
      </c>
      <c r="F1999" s="4" t="s">
        <v>345</v>
      </c>
      <c r="I1999" s="4" t="s">
        <v>346</v>
      </c>
      <c r="O1999" s="4" t="s">
        <v>5413</v>
      </c>
    </row>
    <row r="2000" spans="1:15" ht="15.75" customHeight="1">
      <c r="A2000" s="4" t="s">
        <v>49</v>
      </c>
      <c r="B2000" s="4">
        <v>2117518</v>
      </c>
      <c r="C2000" s="4">
        <v>2118018</v>
      </c>
      <c r="E2000" s="4" t="s">
        <v>50</v>
      </c>
      <c r="F2000" s="4" t="s">
        <v>51</v>
      </c>
      <c r="I2000" s="4" t="s">
        <v>52</v>
      </c>
      <c r="L2000" s="4" t="s">
        <v>5414</v>
      </c>
      <c r="M2000" s="4" t="s">
        <v>51</v>
      </c>
      <c r="N2000" s="4">
        <v>166</v>
      </c>
      <c r="O2000" s="4" t="s">
        <v>5415</v>
      </c>
    </row>
    <row r="2001" spans="1:15" ht="15.75" customHeight="1">
      <c r="A2001" s="4" t="s">
        <v>49</v>
      </c>
      <c r="B2001" s="4">
        <v>2118109</v>
      </c>
      <c r="C2001" s="4">
        <v>2118630</v>
      </c>
      <c r="E2001" s="4" t="s">
        <v>50</v>
      </c>
      <c r="F2001" s="4" t="s">
        <v>51</v>
      </c>
      <c r="I2001" s="4" t="s">
        <v>52</v>
      </c>
      <c r="L2001" s="4" t="s">
        <v>5416</v>
      </c>
      <c r="M2001" s="4" t="s">
        <v>51</v>
      </c>
      <c r="N2001" s="4">
        <v>173</v>
      </c>
      <c r="O2001" s="4" t="s">
        <v>5417</v>
      </c>
    </row>
    <row r="2002" spans="1:15" ht="15.75" customHeight="1">
      <c r="A2002" s="4" t="s">
        <v>49</v>
      </c>
      <c r="B2002" s="4">
        <v>2118627</v>
      </c>
      <c r="C2002" s="4">
        <v>2119382</v>
      </c>
      <c r="E2002" s="4" t="s">
        <v>50</v>
      </c>
      <c r="F2002" s="4" t="s">
        <v>2936</v>
      </c>
      <c r="I2002" s="4" t="s">
        <v>52</v>
      </c>
      <c r="L2002" s="4" t="s">
        <v>5418</v>
      </c>
      <c r="M2002" s="4" t="s">
        <v>2936</v>
      </c>
      <c r="N2002" s="4">
        <v>251</v>
      </c>
      <c r="O2002" s="4" t="s">
        <v>5419</v>
      </c>
    </row>
    <row r="2003" spans="1:15" ht="15.75" customHeight="1">
      <c r="A2003" s="4" t="s">
        <v>49</v>
      </c>
      <c r="B2003" s="4">
        <v>2119365</v>
      </c>
      <c r="C2003" s="4">
        <v>2120402</v>
      </c>
      <c r="E2003" s="4" t="s">
        <v>55</v>
      </c>
      <c r="F2003" s="4" t="s">
        <v>2154</v>
      </c>
      <c r="I2003" s="4" t="s">
        <v>52</v>
      </c>
      <c r="L2003" s="4" t="s">
        <v>5420</v>
      </c>
      <c r="M2003" s="4" t="s">
        <v>2154</v>
      </c>
      <c r="N2003" s="4">
        <v>345</v>
      </c>
      <c r="O2003" s="4" t="s">
        <v>5421</v>
      </c>
    </row>
    <row r="2004" spans="1:15" ht="15.75" customHeight="1">
      <c r="A2004" s="4" t="s">
        <v>49</v>
      </c>
      <c r="B2004" s="4">
        <v>2120634</v>
      </c>
      <c r="C2004" s="4">
        <v>2121155</v>
      </c>
      <c r="E2004" s="4" t="s">
        <v>50</v>
      </c>
      <c r="F2004" s="4" t="s">
        <v>5422</v>
      </c>
      <c r="I2004" s="4" t="s">
        <v>52</v>
      </c>
      <c r="L2004" s="4" t="s">
        <v>5423</v>
      </c>
      <c r="M2004" s="4" t="s">
        <v>5422</v>
      </c>
      <c r="N2004" s="4">
        <v>173</v>
      </c>
      <c r="O2004" s="4" t="s">
        <v>5424</v>
      </c>
    </row>
    <row r="2005" spans="1:15" ht="15.75" customHeight="1">
      <c r="A2005" s="4" t="s">
        <v>49</v>
      </c>
      <c r="B2005" s="4">
        <v>2121166</v>
      </c>
      <c r="C2005" s="4">
        <v>2121666</v>
      </c>
      <c r="E2005" s="4" t="s">
        <v>50</v>
      </c>
      <c r="F2005" s="4" t="s">
        <v>51</v>
      </c>
      <c r="I2005" s="4" t="s">
        <v>52</v>
      </c>
      <c r="L2005" s="4" t="s">
        <v>5425</v>
      </c>
      <c r="M2005" s="4" t="s">
        <v>51</v>
      </c>
      <c r="N2005" s="4">
        <v>166</v>
      </c>
      <c r="O2005" s="4" t="s">
        <v>5426</v>
      </c>
    </row>
    <row r="2006" spans="1:15" ht="15.75" customHeight="1">
      <c r="A2006" s="4" t="s">
        <v>49</v>
      </c>
      <c r="B2006" s="4">
        <v>2121703</v>
      </c>
      <c r="C2006" s="4">
        <v>2122434</v>
      </c>
      <c r="E2006" s="4" t="s">
        <v>50</v>
      </c>
      <c r="F2006" s="4" t="s">
        <v>51</v>
      </c>
      <c r="I2006" s="4" t="s">
        <v>52</v>
      </c>
      <c r="L2006" s="4" t="s">
        <v>5427</v>
      </c>
      <c r="M2006" s="4" t="s">
        <v>51</v>
      </c>
      <c r="N2006" s="4">
        <v>243</v>
      </c>
      <c r="O2006" s="4" t="s">
        <v>5428</v>
      </c>
    </row>
    <row r="2007" spans="1:15" ht="15.75" customHeight="1">
      <c r="A2007" s="4" t="s">
        <v>49</v>
      </c>
      <c r="B2007" s="4">
        <v>2122535</v>
      </c>
      <c r="C2007" s="4">
        <v>2122789</v>
      </c>
      <c r="E2007" s="4" t="s">
        <v>50</v>
      </c>
      <c r="F2007" s="4" t="s">
        <v>56</v>
      </c>
      <c r="I2007" s="4" t="s">
        <v>52</v>
      </c>
      <c r="L2007" s="4" t="s">
        <v>5429</v>
      </c>
      <c r="M2007" s="4" t="s">
        <v>56</v>
      </c>
      <c r="N2007" s="4">
        <v>84</v>
      </c>
      <c r="O2007" s="4" t="s">
        <v>5430</v>
      </c>
    </row>
    <row r="2008" spans="1:15" ht="15.75" customHeight="1">
      <c r="A2008" s="4" t="s">
        <v>49</v>
      </c>
      <c r="B2008" s="4">
        <v>2122979</v>
      </c>
      <c r="C2008" s="4">
        <v>2123299</v>
      </c>
      <c r="E2008" s="4" t="s">
        <v>50</v>
      </c>
      <c r="F2008" s="4" t="s">
        <v>5431</v>
      </c>
      <c r="I2008" s="4" t="s">
        <v>52</v>
      </c>
      <c r="L2008" s="4" t="s">
        <v>5432</v>
      </c>
      <c r="M2008" s="4" t="s">
        <v>5431</v>
      </c>
      <c r="N2008" s="4">
        <v>106</v>
      </c>
      <c r="O2008" s="4" t="s">
        <v>5433</v>
      </c>
    </row>
    <row r="2009" spans="1:15" ht="15.75" customHeight="1">
      <c r="A2009" s="4" t="s">
        <v>49</v>
      </c>
      <c r="B2009" s="4">
        <v>2123309</v>
      </c>
      <c r="C2009" s="4">
        <v>2123889</v>
      </c>
      <c r="E2009" s="4" t="s">
        <v>50</v>
      </c>
      <c r="F2009" s="4" t="s">
        <v>345</v>
      </c>
      <c r="I2009" s="4" t="s">
        <v>346</v>
      </c>
      <c r="O2009" s="4" t="s">
        <v>5434</v>
      </c>
    </row>
    <row r="2010" spans="1:15" ht="15.75" customHeight="1">
      <c r="A2010" s="4" t="s">
        <v>49</v>
      </c>
      <c r="B2010" s="4">
        <v>2124468</v>
      </c>
      <c r="C2010" s="4">
        <v>2125400</v>
      </c>
      <c r="E2010" s="4" t="s">
        <v>55</v>
      </c>
      <c r="F2010" s="4" t="s">
        <v>5435</v>
      </c>
      <c r="I2010" s="4" t="s">
        <v>52</v>
      </c>
      <c r="L2010" s="4" t="s">
        <v>5436</v>
      </c>
      <c r="M2010" s="4" t="s">
        <v>5435</v>
      </c>
      <c r="N2010" s="4">
        <v>310</v>
      </c>
      <c r="O2010" s="4" t="s">
        <v>5437</v>
      </c>
    </row>
    <row r="2011" spans="1:15" ht="15.75" customHeight="1">
      <c r="A2011" s="4" t="s">
        <v>49</v>
      </c>
      <c r="B2011" s="4">
        <v>2125503</v>
      </c>
      <c r="C2011" s="4">
        <v>2126570</v>
      </c>
      <c r="E2011" s="4" t="s">
        <v>50</v>
      </c>
      <c r="F2011" s="4" t="s">
        <v>5438</v>
      </c>
      <c r="I2011" s="4" t="s">
        <v>52</v>
      </c>
      <c r="L2011" s="4" t="s">
        <v>5439</v>
      </c>
      <c r="M2011" s="4" t="s">
        <v>5438</v>
      </c>
      <c r="N2011" s="4">
        <v>355</v>
      </c>
      <c r="O2011" s="4" t="s">
        <v>5440</v>
      </c>
    </row>
    <row r="2012" spans="1:15" ht="15.75" customHeight="1">
      <c r="A2012" s="4" t="s">
        <v>49</v>
      </c>
      <c r="B2012" s="4">
        <v>2126897</v>
      </c>
      <c r="C2012" s="4">
        <v>2127733</v>
      </c>
      <c r="E2012" s="4" t="s">
        <v>50</v>
      </c>
      <c r="F2012" s="4" t="s">
        <v>1381</v>
      </c>
      <c r="I2012" s="4" t="s">
        <v>52</v>
      </c>
      <c r="L2012" s="4" t="s">
        <v>5441</v>
      </c>
      <c r="M2012" s="4" t="s">
        <v>1381</v>
      </c>
      <c r="N2012" s="4">
        <v>278</v>
      </c>
      <c r="O2012" s="4" t="s">
        <v>5442</v>
      </c>
    </row>
    <row r="2013" spans="1:15" ht="15.75" customHeight="1">
      <c r="A2013" s="4" t="s">
        <v>49</v>
      </c>
      <c r="B2013" s="4">
        <v>2127726</v>
      </c>
      <c r="C2013" s="4">
        <v>2128562</v>
      </c>
      <c r="E2013" s="4" t="s">
        <v>50</v>
      </c>
      <c r="F2013" s="4" t="s">
        <v>4045</v>
      </c>
      <c r="I2013" s="4" t="s">
        <v>52</v>
      </c>
      <c r="L2013" s="4" t="s">
        <v>5443</v>
      </c>
      <c r="M2013" s="4" t="s">
        <v>4045</v>
      </c>
      <c r="N2013" s="4">
        <v>278</v>
      </c>
      <c r="O2013" s="4" t="s">
        <v>5444</v>
      </c>
    </row>
    <row r="2014" spans="1:15" ht="15.75" customHeight="1">
      <c r="A2014" s="4" t="s">
        <v>49</v>
      </c>
      <c r="B2014" s="4">
        <v>2128629</v>
      </c>
      <c r="C2014" s="4">
        <v>2129114</v>
      </c>
      <c r="E2014" s="4" t="s">
        <v>50</v>
      </c>
      <c r="F2014" s="4" t="s">
        <v>2415</v>
      </c>
      <c r="I2014" s="4" t="s">
        <v>52</v>
      </c>
      <c r="L2014" s="4" t="s">
        <v>5445</v>
      </c>
      <c r="M2014" s="4" t="s">
        <v>2415</v>
      </c>
      <c r="N2014" s="4">
        <v>161</v>
      </c>
      <c r="O2014" s="4" t="s">
        <v>5446</v>
      </c>
    </row>
    <row r="2015" spans="1:15" ht="15.75" customHeight="1">
      <c r="A2015" s="4" t="s">
        <v>49</v>
      </c>
      <c r="B2015" s="4">
        <v>2129111</v>
      </c>
      <c r="C2015" s="4">
        <v>2130043</v>
      </c>
      <c r="E2015" s="4" t="s">
        <v>50</v>
      </c>
      <c r="F2015" s="4" t="s">
        <v>3646</v>
      </c>
      <c r="I2015" s="4" t="s">
        <v>52</v>
      </c>
      <c r="L2015" s="4" t="s">
        <v>5447</v>
      </c>
      <c r="M2015" s="4" t="s">
        <v>3646</v>
      </c>
      <c r="N2015" s="4">
        <v>310</v>
      </c>
      <c r="O2015" s="4" t="s">
        <v>5448</v>
      </c>
    </row>
    <row r="2016" spans="1:15" ht="15.75" customHeight="1">
      <c r="A2016" s="4" t="s">
        <v>49</v>
      </c>
      <c r="B2016" s="4">
        <v>2129970</v>
      </c>
      <c r="C2016" s="4">
        <v>2130887</v>
      </c>
      <c r="E2016" s="4" t="s">
        <v>50</v>
      </c>
      <c r="F2016" s="4" t="s">
        <v>4829</v>
      </c>
      <c r="G2016" s="4" t="s">
        <v>4830</v>
      </c>
      <c r="I2016" s="4" t="s">
        <v>52</v>
      </c>
      <c r="L2016" s="4" t="s">
        <v>5449</v>
      </c>
      <c r="M2016" s="4" t="s">
        <v>4829</v>
      </c>
      <c r="N2016" s="4">
        <v>305</v>
      </c>
      <c r="O2016" s="4" t="s">
        <v>5450</v>
      </c>
    </row>
    <row r="2017" spans="1:15" ht="15.75" customHeight="1">
      <c r="A2017" s="4" t="s">
        <v>49</v>
      </c>
      <c r="B2017" s="4">
        <v>2130874</v>
      </c>
      <c r="C2017" s="4">
        <v>2131896</v>
      </c>
      <c r="E2017" s="4" t="s">
        <v>50</v>
      </c>
      <c r="F2017" s="4" t="s">
        <v>2472</v>
      </c>
      <c r="I2017" s="4" t="s">
        <v>52</v>
      </c>
      <c r="L2017" s="4" t="s">
        <v>5451</v>
      </c>
      <c r="M2017" s="4" t="s">
        <v>2472</v>
      </c>
      <c r="N2017" s="4">
        <v>340</v>
      </c>
      <c r="O2017" s="4" t="s">
        <v>5452</v>
      </c>
    </row>
    <row r="2018" spans="1:15" ht="15.75" customHeight="1">
      <c r="A2018" s="4" t="s">
        <v>49</v>
      </c>
      <c r="B2018" s="4">
        <v>2131884</v>
      </c>
      <c r="C2018" s="4">
        <v>2132951</v>
      </c>
      <c r="E2018" s="4" t="s">
        <v>50</v>
      </c>
      <c r="F2018" s="4" t="s">
        <v>5453</v>
      </c>
      <c r="I2018" s="4" t="s">
        <v>52</v>
      </c>
      <c r="L2018" s="4" t="s">
        <v>5454</v>
      </c>
      <c r="M2018" s="4" t="s">
        <v>5453</v>
      </c>
      <c r="N2018" s="4">
        <v>355</v>
      </c>
      <c r="O2018" s="4" t="s">
        <v>5455</v>
      </c>
    </row>
    <row r="2019" spans="1:15" ht="15.75" customHeight="1">
      <c r="A2019" s="4" t="s">
        <v>49</v>
      </c>
      <c r="B2019" s="4">
        <v>2132941</v>
      </c>
      <c r="C2019" s="4">
        <v>2133726</v>
      </c>
      <c r="E2019" s="4" t="s">
        <v>50</v>
      </c>
      <c r="F2019" s="4" t="s">
        <v>2472</v>
      </c>
      <c r="I2019" s="4" t="s">
        <v>52</v>
      </c>
      <c r="L2019" s="4" t="s">
        <v>5456</v>
      </c>
      <c r="M2019" s="4" t="s">
        <v>2472</v>
      </c>
      <c r="N2019" s="4">
        <v>261</v>
      </c>
      <c r="O2019" s="4" t="s">
        <v>5457</v>
      </c>
    </row>
    <row r="2020" spans="1:15" ht="15.75" customHeight="1">
      <c r="A2020" s="4" t="s">
        <v>49</v>
      </c>
      <c r="B2020" s="4">
        <v>2133879</v>
      </c>
      <c r="C2020" s="4">
        <v>2134610</v>
      </c>
      <c r="E2020" s="4" t="s">
        <v>50</v>
      </c>
      <c r="F2020" s="4" t="s">
        <v>4682</v>
      </c>
      <c r="I2020" s="4" t="s">
        <v>52</v>
      </c>
      <c r="L2020" s="4" t="s">
        <v>5458</v>
      </c>
      <c r="M2020" s="4" t="s">
        <v>4682</v>
      </c>
      <c r="N2020" s="4">
        <v>243</v>
      </c>
      <c r="O2020" s="4" t="s">
        <v>5459</v>
      </c>
    </row>
    <row r="2021" spans="1:15" ht="15.75" customHeight="1">
      <c r="A2021" s="4" t="s">
        <v>49</v>
      </c>
      <c r="B2021" s="4">
        <v>2134704</v>
      </c>
      <c r="C2021" s="4">
        <v>2135264</v>
      </c>
      <c r="E2021" s="4" t="s">
        <v>50</v>
      </c>
      <c r="F2021" s="4" t="s">
        <v>5460</v>
      </c>
      <c r="I2021" s="4" t="s">
        <v>52</v>
      </c>
      <c r="L2021" s="4" t="s">
        <v>5461</v>
      </c>
      <c r="M2021" s="4" t="s">
        <v>5460</v>
      </c>
      <c r="N2021" s="4">
        <v>186</v>
      </c>
      <c r="O2021" s="4" t="s">
        <v>5462</v>
      </c>
    </row>
    <row r="2022" spans="1:15" ht="15.75" customHeight="1">
      <c r="A2022" s="4" t="s">
        <v>49</v>
      </c>
      <c r="B2022" s="4">
        <v>2135298</v>
      </c>
      <c r="C2022" s="4">
        <v>2136734</v>
      </c>
      <c r="E2022" s="4" t="s">
        <v>50</v>
      </c>
      <c r="F2022" s="4" t="s">
        <v>2475</v>
      </c>
      <c r="I2022" s="4" t="s">
        <v>52</v>
      </c>
      <c r="L2022" s="4" t="s">
        <v>5463</v>
      </c>
      <c r="M2022" s="4" t="s">
        <v>2475</v>
      </c>
      <c r="N2022" s="4">
        <v>478</v>
      </c>
      <c r="O2022" s="4" t="s">
        <v>5464</v>
      </c>
    </row>
    <row r="2023" spans="1:15" ht="15.75" customHeight="1">
      <c r="A2023" s="4" t="s">
        <v>49</v>
      </c>
      <c r="B2023" s="4">
        <v>2136991</v>
      </c>
      <c r="C2023" s="4">
        <v>2138109</v>
      </c>
      <c r="E2023" s="4" t="s">
        <v>50</v>
      </c>
      <c r="F2023" s="4" t="s">
        <v>73</v>
      </c>
      <c r="I2023" s="4" t="s">
        <v>52</v>
      </c>
      <c r="L2023" s="4" t="s">
        <v>5465</v>
      </c>
      <c r="M2023" s="4" t="s">
        <v>73</v>
      </c>
      <c r="N2023" s="4">
        <v>372</v>
      </c>
      <c r="O2023" s="4" t="s">
        <v>5466</v>
      </c>
    </row>
    <row r="2024" spans="1:15" ht="15.75" customHeight="1">
      <c r="A2024" s="4" t="s">
        <v>49</v>
      </c>
      <c r="B2024" s="4">
        <v>2138099</v>
      </c>
      <c r="C2024" s="4">
        <v>2139031</v>
      </c>
      <c r="E2024" s="4" t="s">
        <v>50</v>
      </c>
      <c r="F2024" s="4" t="s">
        <v>5467</v>
      </c>
      <c r="I2024" s="4" t="s">
        <v>52</v>
      </c>
      <c r="L2024" s="4" t="s">
        <v>5468</v>
      </c>
      <c r="M2024" s="4" t="s">
        <v>5467</v>
      </c>
      <c r="N2024" s="4">
        <v>310</v>
      </c>
      <c r="O2024" s="4" t="s">
        <v>5469</v>
      </c>
    </row>
    <row r="2025" spans="1:15" ht="15.75" customHeight="1">
      <c r="A2025" s="4" t="s">
        <v>49</v>
      </c>
      <c r="B2025" s="4">
        <v>2139028</v>
      </c>
      <c r="C2025" s="4">
        <v>2139843</v>
      </c>
      <c r="E2025" s="4" t="s">
        <v>50</v>
      </c>
      <c r="F2025" s="4" t="s">
        <v>5467</v>
      </c>
      <c r="I2025" s="4" t="s">
        <v>52</v>
      </c>
      <c r="L2025" s="4" t="s">
        <v>5470</v>
      </c>
      <c r="M2025" s="4" t="s">
        <v>5467</v>
      </c>
      <c r="N2025" s="4">
        <v>271</v>
      </c>
      <c r="O2025" s="4" t="s">
        <v>5471</v>
      </c>
    </row>
    <row r="2026" spans="1:15" ht="15.75" customHeight="1">
      <c r="A2026" s="4" t="s">
        <v>49</v>
      </c>
      <c r="B2026" s="4">
        <v>2139840</v>
      </c>
      <c r="C2026" s="4">
        <v>2141216</v>
      </c>
      <c r="E2026" s="4" t="s">
        <v>50</v>
      </c>
      <c r="F2026" s="4" t="s">
        <v>4407</v>
      </c>
      <c r="I2026" s="4" t="s">
        <v>52</v>
      </c>
      <c r="L2026" s="4" t="s">
        <v>5472</v>
      </c>
      <c r="M2026" s="4" t="s">
        <v>4407</v>
      </c>
      <c r="N2026" s="4">
        <v>458</v>
      </c>
      <c r="O2026" s="4" t="s">
        <v>5473</v>
      </c>
    </row>
    <row r="2027" spans="1:15" ht="15.75" customHeight="1">
      <c r="A2027" s="4" t="s">
        <v>49</v>
      </c>
      <c r="B2027" s="4">
        <v>2141383</v>
      </c>
      <c r="C2027" s="4">
        <v>2141796</v>
      </c>
      <c r="E2027" s="4" t="s">
        <v>50</v>
      </c>
      <c r="F2027" s="4" t="s">
        <v>5474</v>
      </c>
      <c r="G2027" s="4" t="s">
        <v>5475</v>
      </c>
      <c r="I2027" s="4" t="s">
        <v>52</v>
      </c>
      <c r="L2027" s="4" t="s">
        <v>5476</v>
      </c>
      <c r="M2027" s="4" t="s">
        <v>5474</v>
      </c>
      <c r="N2027" s="4">
        <v>137</v>
      </c>
      <c r="O2027" s="4" t="s">
        <v>5477</v>
      </c>
    </row>
    <row r="2028" spans="1:15" ht="15.75" customHeight="1">
      <c r="A2028" s="4" t="s">
        <v>49</v>
      </c>
      <c r="B2028" s="4">
        <v>2141847</v>
      </c>
      <c r="C2028" s="4">
        <v>2142545</v>
      </c>
      <c r="E2028" s="4" t="s">
        <v>50</v>
      </c>
      <c r="F2028" s="4" t="s">
        <v>5478</v>
      </c>
      <c r="I2028" s="4" t="s">
        <v>52</v>
      </c>
      <c r="L2028" s="4" t="s">
        <v>5479</v>
      </c>
      <c r="M2028" s="4" t="s">
        <v>5478</v>
      </c>
      <c r="N2028" s="4">
        <v>232</v>
      </c>
      <c r="O2028" s="4" t="s">
        <v>5480</v>
      </c>
    </row>
    <row r="2029" spans="1:15" ht="15.75" customHeight="1">
      <c r="A2029" s="4" t="s">
        <v>49</v>
      </c>
      <c r="B2029" s="4">
        <v>2143299</v>
      </c>
      <c r="C2029" s="4">
        <v>2143856</v>
      </c>
      <c r="E2029" s="4" t="s">
        <v>50</v>
      </c>
      <c r="F2029" s="4" t="s">
        <v>478</v>
      </c>
      <c r="I2029" s="4" t="s">
        <v>52</v>
      </c>
      <c r="L2029" s="4" t="s">
        <v>5481</v>
      </c>
      <c r="M2029" s="4" t="s">
        <v>478</v>
      </c>
      <c r="N2029" s="4">
        <v>185</v>
      </c>
      <c r="O2029" s="4" t="s">
        <v>5482</v>
      </c>
    </row>
    <row r="2030" spans="1:15" ht="15.75" customHeight="1">
      <c r="A2030" s="4" t="s">
        <v>49</v>
      </c>
      <c r="B2030" s="4">
        <v>2143879</v>
      </c>
      <c r="C2030" s="4">
        <v>2144097</v>
      </c>
      <c r="E2030" s="4" t="s">
        <v>50</v>
      </c>
      <c r="F2030" s="4" t="s">
        <v>5483</v>
      </c>
      <c r="I2030" s="4" t="s">
        <v>52</v>
      </c>
      <c r="L2030" s="4" t="s">
        <v>5484</v>
      </c>
      <c r="M2030" s="4" t="s">
        <v>5483</v>
      </c>
      <c r="N2030" s="4">
        <v>72</v>
      </c>
      <c r="O2030" s="4" t="s">
        <v>5485</v>
      </c>
    </row>
    <row r="2031" spans="1:15" ht="15.75" customHeight="1">
      <c r="A2031" s="4" t="s">
        <v>49</v>
      </c>
      <c r="B2031" s="4">
        <v>2144316</v>
      </c>
      <c r="C2031" s="4">
        <v>2144633</v>
      </c>
      <c r="E2031" s="4" t="s">
        <v>55</v>
      </c>
      <c r="F2031" s="4" t="s">
        <v>56</v>
      </c>
      <c r="I2031" s="4" t="s">
        <v>52</v>
      </c>
      <c r="L2031" s="4" t="s">
        <v>5486</v>
      </c>
      <c r="M2031" s="4" t="s">
        <v>56</v>
      </c>
      <c r="N2031" s="4">
        <v>105</v>
      </c>
      <c r="O2031" s="4" t="s">
        <v>5487</v>
      </c>
    </row>
    <row r="2032" spans="1:15" ht="15.75" customHeight="1">
      <c r="A2032" s="4" t="s">
        <v>49</v>
      </c>
      <c r="B2032" s="4">
        <v>2144703</v>
      </c>
      <c r="C2032" s="4">
        <v>2145020</v>
      </c>
      <c r="E2032" s="4" t="s">
        <v>55</v>
      </c>
      <c r="F2032" s="4" t="s">
        <v>56</v>
      </c>
      <c r="I2032" s="4" t="s">
        <v>52</v>
      </c>
      <c r="L2032" s="4" t="s">
        <v>5488</v>
      </c>
      <c r="M2032" s="4" t="s">
        <v>56</v>
      </c>
      <c r="N2032" s="4">
        <v>105</v>
      </c>
      <c r="O2032" s="4" t="s">
        <v>5489</v>
      </c>
    </row>
    <row r="2033" spans="1:15" ht="15.75" customHeight="1">
      <c r="A2033" s="4" t="s">
        <v>49</v>
      </c>
      <c r="B2033" s="4">
        <v>2145233</v>
      </c>
      <c r="C2033" s="4">
        <v>2145736</v>
      </c>
      <c r="E2033" s="4" t="s">
        <v>55</v>
      </c>
      <c r="F2033" s="4" t="s">
        <v>5490</v>
      </c>
      <c r="I2033" s="4" t="s">
        <v>52</v>
      </c>
      <c r="L2033" s="4" t="s">
        <v>5491</v>
      </c>
      <c r="M2033" s="4" t="s">
        <v>5490</v>
      </c>
      <c r="N2033" s="4">
        <v>167</v>
      </c>
      <c r="O2033" s="4" t="s">
        <v>5492</v>
      </c>
    </row>
    <row r="2034" spans="1:15" ht="15.75" customHeight="1">
      <c r="A2034" s="4" t="s">
        <v>49</v>
      </c>
      <c r="B2034" s="4">
        <v>2145850</v>
      </c>
      <c r="C2034" s="4">
        <v>2146353</v>
      </c>
      <c r="E2034" s="4" t="s">
        <v>50</v>
      </c>
      <c r="F2034" s="4" t="s">
        <v>51</v>
      </c>
      <c r="I2034" s="4" t="s">
        <v>52</v>
      </c>
      <c r="L2034" s="4" t="s">
        <v>5493</v>
      </c>
      <c r="M2034" s="4" t="s">
        <v>51</v>
      </c>
      <c r="N2034" s="4">
        <v>167</v>
      </c>
      <c r="O2034" s="4" t="s">
        <v>5494</v>
      </c>
    </row>
    <row r="2035" spans="1:15" ht="15.75" customHeight="1">
      <c r="A2035" s="4" t="s">
        <v>49</v>
      </c>
      <c r="B2035" s="4">
        <v>2146593</v>
      </c>
      <c r="C2035" s="4">
        <v>2148167</v>
      </c>
      <c r="E2035" s="4" t="s">
        <v>55</v>
      </c>
      <c r="F2035" s="4" t="s">
        <v>255</v>
      </c>
      <c r="I2035" s="4" t="s">
        <v>52</v>
      </c>
      <c r="L2035" s="4" t="s">
        <v>5495</v>
      </c>
      <c r="M2035" s="4" t="s">
        <v>255</v>
      </c>
      <c r="N2035" s="4">
        <v>524</v>
      </c>
      <c r="O2035" s="4" t="s">
        <v>5496</v>
      </c>
    </row>
    <row r="2036" spans="1:15" ht="15.75" customHeight="1">
      <c r="A2036" s="4" t="s">
        <v>49</v>
      </c>
      <c r="B2036" s="4">
        <v>2148160</v>
      </c>
      <c r="C2036" s="4">
        <v>2148732</v>
      </c>
      <c r="E2036" s="4" t="s">
        <v>55</v>
      </c>
      <c r="F2036" s="4" t="s">
        <v>2651</v>
      </c>
      <c r="I2036" s="4" t="s">
        <v>52</v>
      </c>
      <c r="L2036" s="4" t="s">
        <v>5497</v>
      </c>
      <c r="M2036" s="4" t="s">
        <v>2651</v>
      </c>
      <c r="N2036" s="4">
        <v>190</v>
      </c>
      <c r="O2036" s="4" t="s">
        <v>5498</v>
      </c>
    </row>
    <row r="2037" spans="1:15" ht="15.75" customHeight="1">
      <c r="A2037" s="4" t="s">
        <v>49</v>
      </c>
      <c r="B2037" s="4">
        <v>2149096</v>
      </c>
      <c r="C2037" s="4">
        <v>2149593</v>
      </c>
      <c r="E2037" s="4" t="s">
        <v>50</v>
      </c>
      <c r="F2037" s="4" t="s">
        <v>51</v>
      </c>
      <c r="I2037" s="4" t="s">
        <v>52</v>
      </c>
      <c r="L2037" s="4" t="s">
        <v>5499</v>
      </c>
      <c r="M2037" s="4" t="s">
        <v>51</v>
      </c>
      <c r="N2037" s="4">
        <v>165</v>
      </c>
      <c r="O2037" s="4" t="s">
        <v>5500</v>
      </c>
    </row>
    <row r="2038" spans="1:15" ht="15.75" customHeight="1">
      <c r="A2038" s="4" t="s">
        <v>49</v>
      </c>
      <c r="B2038" s="4">
        <v>2149798</v>
      </c>
      <c r="C2038" s="4">
        <v>2150655</v>
      </c>
      <c r="E2038" s="4" t="s">
        <v>50</v>
      </c>
      <c r="F2038" s="4" t="s">
        <v>5501</v>
      </c>
      <c r="I2038" s="4" t="s">
        <v>52</v>
      </c>
      <c r="L2038" s="4" t="s">
        <v>5502</v>
      </c>
      <c r="M2038" s="4" t="s">
        <v>5501</v>
      </c>
      <c r="N2038" s="4">
        <v>285</v>
      </c>
      <c r="O2038" s="4" t="s">
        <v>5503</v>
      </c>
    </row>
    <row r="2039" spans="1:15" ht="15.75" customHeight="1">
      <c r="A2039" s="4" t="s">
        <v>49</v>
      </c>
      <c r="B2039" s="4">
        <v>2150675</v>
      </c>
      <c r="C2039" s="4">
        <v>2152558</v>
      </c>
      <c r="E2039" s="4" t="s">
        <v>50</v>
      </c>
      <c r="F2039" s="4" t="s">
        <v>3925</v>
      </c>
      <c r="I2039" s="4" t="s">
        <v>52</v>
      </c>
      <c r="L2039" s="4" t="s">
        <v>5504</v>
      </c>
      <c r="M2039" s="4" t="s">
        <v>3925</v>
      </c>
      <c r="N2039" s="4">
        <v>627</v>
      </c>
      <c r="O2039" s="4" t="s">
        <v>5505</v>
      </c>
    </row>
    <row r="2040" spans="1:15" ht="15.75" customHeight="1">
      <c r="A2040" s="4" t="s">
        <v>49</v>
      </c>
      <c r="B2040" s="4">
        <v>2152580</v>
      </c>
      <c r="C2040" s="4">
        <v>2152993</v>
      </c>
      <c r="E2040" s="4" t="s">
        <v>50</v>
      </c>
      <c r="F2040" s="4" t="s">
        <v>4039</v>
      </c>
      <c r="I2040" s="4" t="s">
        <v>52</v>
      </c>
      <c r="L2040" s="4" t="s">
        <v>5506</v>
      </c>
      <c r="M2040" s="4" t="s">
        <v>4039</v>
      </c>
      <c r="N2040" s="4">
        <v>137</v>
      </c>
      <c r="O2040" s="4" t="s">
        <v>5507</v>
      </c>
    </row>
    <row r="2041" spans="1:15" ht="15.75" customHeight="1">
      <c r="A2041" s="4" t="s">
        <v>49</v>
      </c>
      <c r="B2041" s="4">
        <v>2153052</v>
      </c>
      <c r="C2041" s="4">
        <v>2153528</v>
      </c>
      <c r="E2041" s="4" t="s">
        <v>50</v>
      </c>
      <c r="F2041" s="4" t="s">
        <v>2415</v>
      </c>
      <c r="I2041" s="4" t="s">
        <v>52</v>
      </c>
      <c r="L2041" s="4" t="s">
        <v>5508</v>
      </c>
      <c r="M2041" s="4" t="s">
        <v>2415</v>
      </c>
      <c r="N2041" s="4">
        <v>158</v>
      </c>
      <c r="O2041" s="4" t="s">
        <v>5509</v>
      </c>
    </row>
    <row r="2042" spans="1:15" ht="15.75" customHeight="1">
      <c r="A2042" s="4" t="s">
        <v>49</v>
      </c>
      <c r="B2042" s="4">
        <v>2153541</v>
      </c>
      <c r="C2042" s="4">
        <v>2154308</v>
      </c>
      <c r="E2042" s="4" t="s">
        <v>50</v>
      </c>
      <c r="F2042" s="4" t="s">
        <v>1381</v>
      </c>
      <c r="I2042" s="4" t="s">
        <v>52</v>
      </c>
      <c r="L2042" s="4" t="s">
        <v>5510</v>
      </c>
      <c r="M2042" s="4" t="s">
        <v>1381</v>
      </c>
      <c r="N2042" s="4">
        <v>255</v>
      </c>
      <c r="O2042" s="4" t="s">
        <v>5511</v>
      </c>
    </row>
    <row r="2043" spans="1:15" ht="15.75" customHeight="1">
      <c r="A2043" s="4" t="s">
        <v>49</v>
      </c>
      <c r="B2043" s="4">
        <v>2154301</v>
      </c>
      <c r="C2043" s="4">
        <v>2155155</v>
      </c>
      <c r="E2043" s="4" t="s">
        <v>50</v>
      </c>
      <c r="F2043" s="4" t="s">
        <v>4045</v>
      </c>
      <c r="I2043" s="4" t="s">
        <v>52</v>
      </c>
      <c r="L2043" s="4" t="s">
        <v>5512</v>
      </c>
      <c r="M2043" s="4" t="s">
        <v>4045</v>
      </c>
      <c r="N2043" s="4">
        <v>284</v>
      </c>
      <c r="O2043" s="4" t="s">
        <v>5513</v>
      </c>
    </row>
    <row r="2044" spans="1:15" ht="15.75" customHeight="1">
      <c r="A2044" s="4" t="s">
        <v>49</v>
      </c>
      <c r="B2044" s="4">
        <v>2155172</v>
      </c>
      <c r="C2044" s="4">
        <v>2156215</v>
      </c>
      <c r="E2044" s="4" t="s">
        <v>50</v>
      </c>
      <c r="F2044" s="4" t="s">
        <v>1637</v>
      </c>
      <c r="I2044" s="4" t="s">
        <v>52</v>
      </c>
      <c r="L2044" s="4" t="s">
        <v>5514</v>
      </c>
      <c r="M2044" s="4" t="s">
        <v>1637</v>
      </c>
      <c r="N2044" s="4">
        <v>347</v>
      </c>
      <c r="O2044" s="4" t="s">
        <v>5515</v>
      </c>
    </row>
    <row r="2045" spans="1:15" ht="15.75" customHeight="1">
      <c r="A2045" s="4" t="s">
        <v>49</v>
      </c>
      <c r="B2045" s="4">
        <v>2156240</v>
      </c>
      <c r="C2045" s="4">
        <v>2157718</v>
      </c>
      <c r="E2045" s="4" t="s">
        <v>50</v>
      </c>
      <c r="F2045" s="4" t="s">
        <v>5516</v>
      </c>
      <c r="I2045" s="4" t="s">
        <v>52</v>
      </c>
      <c r="L2045" s="4" t="s">
        <v>5517</v>
      </c>
      <c r="M2045" s="4" t="s">
        <v>5516</v>
      </c>
      <c r="N2045" s="4">
        <v>492</v>
      </c>
      <c r="O2045" s="4" t="s">
        <v>5518</v>
      </c>
    </row>
    <row r="2046" spans="1:15" ht="15.75" customHeight="1">
      <c r="A2046" s="4" t="s">
        <v>49</v>
      </c>
      <c r="B2046" s="4">
        <v>2157715</v>
      </c>
      <c r="C2046" s="4">
        <v>2157765</v>
      </c>
      <c r="E2046" s="4" t="s">
        <v>50</v>
      </c>
      <c r="F2046" s="4" t="s">
        <v>345</v>
      </c>
      <c r="I2046" s="4" t="s">
        <v>346</v>
      </c>
      <c r="O2046" s="4" t="s">
        <v>5519</v>
      </c>
    </row>
    <row r="2047" spans="1:15" ht="15.75" customHeight="1">
      <c r="A2047" s="4" t="s">
        <v>49</v>
      </c>
      <c r="B2047" s="4">
        <v>2157838</v>
      </c>
      <c r="C2047" s="4">
        <v>2158263</v>
      </c>
      <c r="E2047" s="4" t="s">
        <v>50</v>
      </c>
      <c r="F2047" s="4" t="s">
        <v>56</v>
      </c>
      <c r="I2047" s="4" t="s">
        <v>52</v>
      </c>
      <c r="L2047" s="4" t="s">
        <v>5520</v>
      </c>
      <c r="M2047" s="4" t="s">
        <v>56</v>
      </c>
      <c r="N2047" s="4">
        <v>141</v>
      </c>
      <c r="O2047" s="4" t="s">
        <v>5521</v>
      </c>
    </row>
    <row r="2048" spans="1:15" ht="15.75" customHeight="1">
      <c r="A2048" s="4" t="s">
        <v>49</v>
      </c>
      <c r="B2048" s="4">
        <v>2158535</v>
      </c>
      <c r="C2048" s="4">
        <v>2159569</v>
      </c>
      <c r="E2048" s="4" t="s">
        <v>55</v>
      </c>
      <c r="F2048" s="4" t="s">
        <v>2511</v>
      </c>
      <c r="I2048" s="4" t="s">
        <v>52</v>
      </c>
      <c r="L2048" s="4" t="s">
        <v>5522</v>
      </c>
      <c r="M2048" s="4" t="s">
        <v>2511</v>
      </c>
      <c r="N2048" s="4">
        <v>344</v>
      </c>
      <c r="O2048" s="4" t="s">
        <v>5523</v>
      </c>
    </row>
    <row r="2049" spans="1:15" ht="15.75" customHeight="1">
      <c r="A2049" s="4" t="s">
        <v>49</v>
      </c>
      <c r="B2049" s="4">
        <v>2159695</v>
      </c>
      <c r="C2049" s="4">
        <v>2160897</v>
      </c>
      <c r="E2049" s="4" t="s">
        <v>55</v>
      </c>
      <c r="F2049" s="4" t="s">
        <v>255</v>
      </c>
      <c r="I2049" s="4" t="s">
        <v>52</v>
      </c>
      <c r="L2049" s="4" t="s">
        <v>5524</v>
      </c>
      <c r="M2049" s="4" t="s">
        <v>255</v>
      </c>
      <c r="N2049" s="4">
        <v>400</v>
      </c>
      <c r="O2049" s="4" t="s">
        <v>5525</v>
      </c>
    </row>
    <row r="2050" spans="1:15" ht="15.75" customHeight="1">
      <c r="A2050" s="4" t="s">
        <v>49</v>
      </c>
      <c r="B2050" s="4">
        <v>2161251</v>
      </c>
      <c r="C2050" s="4">
        <v>2162834</v>
      </c>
      <c r="E2050" s="4" t="s">
        <v>50</v>
      </c>
      <c r="F2050" s="4" t="s">
        <v>5526</v>
      </c>
      <c r="G2050" s="4" t="s">
        <v>5527</v>
      </c>
      <c r="I2050" s="4" t="s">
        <v>52</v>
      </c>
      <c r="L2050" s="4" t="s">
        <v>5528</v>
      </c>
      <c r="M2050" s="4" t="s">
        <v>5526</v>
      </c>
      <c r="N2050" s="4">
        <v>527</v>
      </c>
      <c r="O2050" s="4" t="s">
        <v>5529</v>
      </c>
    </row>
    <row r="2051" spans="1:15" ht="15.75" customHeight="1">
      <c r="A2051" s="4" t="s">
        <v>49</v>
      </c>
      <c r="B2051" s="4">
        <v>2162835</v>
      </c>
      <c r="C2051" s="4">
        <v>2163554</v>
      </c>
      <c r="E2051" s="4" t="s">
        <v>50</v>
      </c>
      <c r="F2051" s="4" t="s">
        <v>5530</v>
      </c>
      <c r="I2051" s="4" t="s">
        <v>52</v>
      </c>
      <c r="L2051" s="4" t="s">
        <v>5531</v>
      </c>
      <c r="M2051" s="4" t="s">
        <v>5530</v>
      </c>
      <c r="N2051" s="4">
        <v>239</v>
      </c>
      <c r="O2051" s="4" t="s">
        <v>5532</v>
      </c>
    </row>
    <row r="2052" spans="1:15" ht="15.75" customHeight="1">
      <c r="A2052" s="4" t="s">
        <v>49</v>
      </c>
      <c r="B2052" s="4">
        <v>2163668</v>
      </c>
      <c r="C2052" s="4">
        <v>2165008</v>
      </c>
      <c r="E2052" s="4" t="s">
        <v>50</v>
      </c>
      <c r="F2052" s="4" t="s">
        <v>2442</v>
      </c>
      <c r="I2052" s="4" t="s">
        <v>52</v>
      </c>
      <c r="L2052" s="4" t="s">
        <v>5533</v>
      </c>
      <c r="M2052" s="4" t="s">
        <v>2442</v>
      </c>
      <c r="N2052" s="4">
        <v>446</v>
      </c>
      <c r="O2052" s="4" t="s">
        <v>5534</v>
      </c>
    </row>
    <row r="2053" spans="1:15" ht="15.75" customHeight="1">
      <c r="A2053" s="4" t="s">
        <v>49</v>
      </c>
      <c r="B2053" s="4">
        <v>2165106</v>
      </c>
      <c r="C2053" s="4">
        <v>2166068</v>
      </c>
      <c r="E2053" s="4" t="s">
        <v>50</v>
      </c>
      <c r="F2053" s="4" t="s">
        <v>5535</v>
      </c>
      <c r="I2053" s="4" t="s">
        <v>52</v>
      </c>
      <c r="L2053" s="4" t="s">
        <v>5536</v>
      </c>
      <c r="M2053" s="4" t="s">
        <v>5535</v>
      </c>
      <c r="N2053" s="4">
        <v>320</v>
      </c>
      <c r="O2053" s="4" t="s">
        <v>5537</v>
      </c>
    </row>
    <row r="2054" spans="1:15" ht="15.75" customHeight="1">
      <c r="A2054" s="4" t="s">
        <v>49</v>
      </c>
      <c r="B2054" s="4">
        <v>2166126</v>
      </c>
      <c r="C2054" s="4">
        <v>2167025</v>
      </c>
      <c r="E2054" s="4" t="s">
        <v>50</v>
      </c>
      <c r="F2054" s="4" t="s">
        <v>5538</v>
      </c>
      <c r="I2054" s="4" t="s">
        <v>52</v>
      </c>
      <c r="L2054" s="4" t="s">
        <v>5539</v>
      </c>
      <c r="M2054" s="4" t="s">
        <v>5538</v>
      </c>
      <c r="N2054" s="4">
        <v>299</v>
      </c>
      <c r="O2054" s="4" t="s">
        <v>5540</v>
      </c>
    </row>
    <row r="2055" spans="1:15" ht="15.75" customHeight="1">
      <c r="A2055" s="4" t="s">
        <v>49</v>
      </c>
      <c r="B2055" s="4">
        <v>2167149</v>
      </c>
      <c r="C2055" s="4">
        <v>2169536</v>
      </c>
      <c r="E2055" s="4" t="s">
        <v>55</v>
      </c>
      <c r="F2055" s="4" t="s">
        <v>4690</v>
      </c>
      <c r="I2055" s="4" t="s">
        <v>52</v>
      </c>
      <c r="L2055" s="4" t="s">
        <v>5541</v>
      </c>
      <c r="M2055" s="4" t="s">
        <v>4690</v>
      </c>
      <c r="N2055" s="4">
        <v>795</v>
      </c>
      <c r="O2055" s="4" t="s">
        <v>5542</v>
      </c>
    </row>
    <row r="2056" spans="1:15" ht="15.75" customHeight="1">
      <c r="A2056" s="4" t="s">
        <v>49</v>
      </c>
      <c r="B2056" s="4">
        <v>2169797</v>
      </c>
      <c r="C2056" s="4">
        <v>2170558</v>
      </c>
      <c r="E2056" s="4" t="s">
        <v>55</v>
      </c>
      <c r="F2056" s="4" t="s">
        <v>1094</v>
      </c>
      <c r="I2056" s="4" t="s">
        <v>52</v>
      </c>
      <c r="L2056" s="4" t="s">
        <v>5543</v>
      </c>
      <c r="M2056" s="4" t="s">
        <v>1094</v>
      </c>
      <c r="N2056" s="4">
        <v>253</v>
      </c>
      <c r="O2056" s="4" t="s">
        <v>5544</v>
      </c>
    </row>
    <row r="2057" spans="1:15" ht="15.75" customHeight="1">
      <c r="A2057" s="4" t="s">
        <v>49</v>
      </c>
      <c r="B2057" s="4">
        <v>2170780</v>
      </c>
      <c r="C2057" s="4">
        <v>2171871</v>
      </c>
      <c r="E2057" s="4" t="s">
        <v>50</v>
      </c>
      <c r="F2057" s="4" t="s">
        <v>1637</v>
      </c>
      <c r="I2057" s="4" t="s">
        <v>52</v>
      </c>
      <c r="L2057" s="4" t="s">
        <v>5545</v>
      </c>
      <c r="M2057" s="4" t="s">
        <v>1637</v>
      </c>
      <c r="N2057" s="4">
        <v>363</v>
      </c>
      <c r="O2057" s="4" t="s">
        <v>5546</v>
      </c>
    </row>
    <row r="2058" spans="1:15" ht="15.75" customHeight="1">
      <c r="A2058" s="4" t="s">
        <v>49</v>
      </c>
      <c r="B2058" s="4">
        <v>2171928</v>
      </c>
      <c r="C2058" s="4">
        <v>2172353</v>
      </c>
      <c r="E2058" s="4" t="s">
        <v>50</v>
      </c>
      <c r="F2058" s="4" t="s">
        <v>4039</v>
      </c>
      <c r="I2058" s="4" t="s">
        <v>52</v>
      </c>
      <c r="L2058" s="4" t="s">
        <v>5547</v>
      </c>
      <c r="M2058" s="4" t="s">
        <v>4039</v>
      </c>
      <c r="N2058" s="4">
        <v>141</v>
      </c>
      <c r="O2058" s="4" t="s">
        <v>5548</v>
      </c>
    </row>
    <row r="2059" spans="1:15" ht="15.75" customHeight="1">
      <c r="A2059" s="4" t="s">
        <v>49</v>
      </c>
      <c r="B2059" s="4">
        <v>2172373</v>
      </c>
      <c r="C2059" s="4">
        <v>2172849</v>
      </c>
      <c r="E2059" s="4" t="s">
        <v>50</v>
      </c>
      <c r="F2059" s="4" t="s">
        <v>2415</v>
      </c>
      <c r="I2059" s="4" t="s">
        <v>52</v>
      </c>
      <c r="L2059" s="4" t="s">
        <v>5549</v>
      </c>
      <c r="M2059" s="4" t="s">
        <v>2415</v>
      </c>
      <c r="N2059" s="4">
        <v>158</v>
      </c>
      <c r="O2059" s="4" t="s">
        <v>5550</v>
      </c>
    </row>
    <row r="2060" spans="1:15" ht="15.75" customHeight="1">
      <c r="A2060" s="4" t="s">
        <v>49</v>
      </c>
      <c r="B2060" s="4">
        <v>2172868</v>
      </c>
      <c r="C2060" s="4">
        <v>2173629</v>
      </c>
      <c r="E2060" s="4" t="s">
        <v>50</v>
      </c>
      <c r="F2060" s="4" t="s">
        <v>1381</v>
      </c>
      <c r="I2060" s="4" t="s">
        <v>52</v>
      </c>
      <c r="L2060" s="4" t="s">
        <v>5551</v>
      </c>
      <c r="M2060" s="4" t="s">
        <v>1381</v>
      </c>
      <c r="N2060" s="4">
        <v>253</v>
      </c>
      <c r="O2060" s="4" t="s">
        <v>5552</v>
      </c>
    </row>
    <row r="2061" spans="1:15" ht="15.75" customHeight="1">
      <c r="A2061" s="4" t="s">
        <v>49</v>
      </c>
      <c r="B2061" s="4">
        <v>2173626</v>
      </c>
      <c r="C2061" s="4">
        <v>2174504</v>
      </c>
      <c r="E2061" s="4" t="s">
        <v>50</v>
      </c>
      <c r="F2061" s="4" t="s">
        <v>4045</v>
      </c>
      <c r="I2061" s="4" t="s">
        <v>52</v>
      </c>
      <c r="L2061" s="4" t="s">
        <v>5553</v>
      </c>
      <c r="M2061" s="4" t="s">
        <v>4045</v>
      </c>
      <c r="N2061" s="4">
        <v>292</v>
      </c>
      <c r="O2061" s="4" t="s">
        <v>5554</v>
      </c>
    </row>
    <row r="2062" spans="1:15" ht="15.75" customHeight="1">
      <c r="A2062" s="4" t="s">
        <v>49</v>
      </c>
      <c r="B2062" s="4">
        <v>2174535</v>
      </c>
      <c r="C2062" s="4">
        <v>2175194</v>
      </c>
      <c r="E2062" s="4" t="s">
        <v>50</v>
      </c>
      <c r="F2062" s="4" t="s">
        <v>1918</v>
      </c>
      <c r="G2062" s="4" t="s">
        <v>1919</v>
      </c>
      <c r="I2062" s="4" t="s">
        <v>52</v>
      </c>
      <c r="L2062" s="4" t="s">
        <v>5555</v>
      </c>
      <c r="M2062" s="4" t="s">
        <v>1918</v>
      </c>
      <c r="N2062" s="4">
        <v>219</v>
      </c>
      <c r="O2062" s="4" t="s">
        <v>5556</v>
      </c>
    </row>
    <row r="2063" spans="1:15" ht="15.75" customHeight="1">
      <c r="A2063" s="4" t="s">
        <v>49</v>
      </c>
      <c r="B2063" s="4">
        <v>2175327</v>
      </c>
      <c r="C2063" s="4">
        <v>2176187</v>
      </c>
      <c r="E2063" s="4" t="s">
        <v>50</v>
      </c>
      <c r="F2063" s="4" t="s">
        <v>5557</v>
      </c>
      <c r="I2063" s="4" t="s">
        <v>52</v>
      </c>
      <c r="L2063" s="4" t="s">
        <v>5558</v>
      </c>
      <c r="M2063" s="4" t="s">
        <v>5557</v>
      </c>
      <c r="N2063" s="4">
        <v>286</v>
      </c>
      <c r="O2063" s="4" t="s">
        <v>5559</v>
      </c>
    </row>
    <row r="2064" spans="1:15" ht="15.75" customHeight="1">
      <c r="A2064" s="4" t="s">
        <v>49</v>
      </c>
      <c r="B2064" s="4">
        <v>2176206</v>
      </c>
      <c r="C2064" s="4">
        <v>2177258</v>
      </c>
      <c r="E2064" s="4" t="s">
        <v>50</v>
      </c>
      <c r="F2064" s="4" t="s">
        <v>1637</v>
      </c>
      <c r="I2064" s="4" t="s">
        <v>52</v>
      </c>
      <c r="L2064" s="4" t="s">
        <v>5560</v>
      </c>
      <c r="M2064" s="4" t="s">
        <v>1637</v>
      </c>
      <c r="N2064" s="4">
        <v>350</v>
      </c>
      <c r="O2064" s="4" t="s">
        <v>5561</v>
      </c>
    </row>
    <row r="2065" spans="1:15" ht="15.75" customHeight="1">
      <c r="A2065" s="4" t="s">
        <v>49</v>
      </c>
      <c r="B2065" s="4">
        <v>2177392</v>
      </c>
      <c r="C2065" s="4">
        <v>2178081</v>
      </c>
      <c r="E2065" s="4" t="s">
        <v>50</v>
      </c>
      <c r="F2065" s="4" t="s">
        <v>5562</v>
      </c>
      <c r="G2065" s="4" t="s">
        <v>5563</v>
      </c>
      <c r="I2065" s="4" t="s">
        <v>52</v>
      </c>
      <c r="L2065" s="4" t="s">
        <v>5564</v>
      </c>
      <c r="M2065" s="4" t="s">
        <v>5562</v>
      </c>
      <c r="N2065" s="4">
        <v>229</v>
      </c>
      <c r="O2065" s="4" t="s">
        <v>5565</v>
      </c>
    </row>
    <row r="2066" spans="1:15" ht="15.75" customHeight="1">
      <c r="A2066" s="4" t="s">
        <v>49</v>
      </c>
      <c r="B2066" s="4">
        <v>2178509</v>
      </c>
      <c r="C2066" s="4">
        <v>2179579</v>
      </c>
      <c r="E2066" s="4" t="s">
        <v>50</v>
      </c>
      <c r="F2066" s="4" t="s">
        <v>5566</v>
      </c>
      <c r="G2066" s="4" t="s">
        <v>5567</v>
      </c>
      <c r="I2066" s="4" t="s">
        <v>52</v>
      </c>
      <c r="L2066" s="4" t="s">
        <v>5568</v>
      </c>
      <c r="M2066" s="4" t="s">
        <v>5566</v>
      </c>
      <c r="N2066" s="4">
        <v>356</v>
      </c>
      <c r="O2066" s="4" t="s">
        <v>5569</v>
      </c>
    </row>
    <row r="2067" spans="1:15" ht="15.75" customHeight="1">
      <c r="A2067" s="4" t="s">
        <v>49</v>
      </c>
      <c r="B2067" s="4">
        <v>2179717</v>
      </c>
      <c r="C2067" s="4">
        <v>2180175</v>
      </c>
      <c r="E2067" s="4" t="s">
        <v>50</v>
      </c>
      <c r="F2067" s="4" t="s">
        <v>4039</v>
      </c>
      <c r="I2067" s="4" t="s">
        <v>52</v>
      </c>
      <c r="L2067" s="4" t="s">
        <v>5570</v>
      </c>
      <c r="M2067" s="4" t="s">
        <v>4039</v>
      </c>
      <c r="N2067" s="4">
        <v>152</v>
      </c>
      <c r="O2067" s="4" t="s">
        <v>5571</v>
      </c>
    </row>
    <row r="2068" spans="1:15" ht="15.75" customHeight="1">
      <c r="A2068" s="4" t="s">
        <v>49</v>
      </c>
      <c r="B2068" s="4">
        <v>2180195</v>
      </c>
      <c r="C2068" s="4">
        <v>2181715</v>
      </c>
      <c r="E2068" s="4" t="s">
        <v>50</v>
      </c>
      <c r="F2068" s="4" t="s">
        <v>5572</v>
      </c>
      <c r="I2068" s="4" t="s">
        <v>52</v>
      </c>
      <c r="L2068" s="4" t="s">
        <v>5573</v>
      </c>
      <c r="M2068" s="4" t="s">
        <v>5572</v>
      </c>
      <c r="N2068" s="4">
        <v>506</v>
      </c>
      <c r="O2068" s="4" t="s">
        <v>5574</v>
      </c>
    </row>
    <row r="2069" spans="1:15" ht="15.75" customHeight="1">
      <c r="A2069" s="4" t="s">
        <v>49</v>
      </c>
      <c r="B2069" s="4">
        <v>2181745</v>
      </c>
      <c r="C2069" s="4">
        <v>2182038</v>
      </c>
      <c r="E2069" s="4" t="s">
        <v>50</v>
      </c>
      <c r="F2069" s="4" t="s">
        <v>2415</v>
      </c>
      <c r="I2069" s="4" t="s">
        <v>52</v>
      </c>
      <c r="L2069" s="4" t="s">
        <v>5575</v>
      </c>
      <c r="M2069" s="4" t="s">
        <v>2415</v>
      </c>
      <c r="N2069" s="4">
        <v>97</v>
      </c>
      <c r="O2069" s="4" t="s">
        <v>5576</v>
      </c>
    </row>
    <row r="2070" spans="1:15" ht="15.75" customHeight="1">
      <c r="A2070" s="4" t="s">
        <v>49</v>
      </c>
      <c r="B2070" s="4">
        <v>2182155</v>
      </c>
      <c r="C2070" s="4">
        <v>2182796</v>
      </c>
      <c r="E2070" s="4" t="s">
        <v>50</v>
      </c>
      <c r="F2070" s="4" t="s">
        <v>5577</v>
      </c>
      <c r="I2070" s="4" t="s">
        <v>52</v>
      </c>
      <c r="L2070" s="4" t="s">
        <v>5578</v>
      </c>
      <c r="M2070" s="4" t="s">
        <v>5577</v>
      </c>
      <c r="N2070" s="4">
        <v>213</v>
      </c>
      <c r="O2070" s="4" t="s">
        <v>5579</v>
      </c>
    </row>
    <row r="2071" spans="1:15" ht="15.75" customHeight="1">
      <c r="A2071" s="4" t="s">
        <v>49</v>
      </c>
      <c r="B2071" s="4">
        <v>2182826</v>
      </c>
      <c r="C2071" s="4">
        <v>2183605</v>
      </c>
      <c r="E2071" s="4" t="s">
        <v>50</v>
      </c>
      <c r="F2071" s="4" t="s">
        <v>1094</v>
      </c>
      <c r="I2071" s="4" t="s">
        <v>52</v>
      </c>
      <c r="L2071" s="4" t="s">
        <v>5580</v>
      </c>
      <c r="M2071" s="4" t="s">
        <v>1094</v>
      </c>
      <c r="N2071" s="4">
        <v>259</v>
      </c>
      <c r="O2071" s="4" t="s">
        <v>5581</v>
      </c>
    </row>
    <row r="2072" spans="1:15" ht="15.75" customHeight="1">
      <c r="A2072" s="4" t="s">
        <v>49</v>
      </c>
      <c r="B2072" s="4">
        <v>2183796</v>
      </c>
      <c r="C2072" s="4">
        <v>2184665</v>
      </c>
      <c r="E2072" s="4" t="s">
        <v>50</v>
      </c>
      <c r="F2072" s="4" t="s">
        <v>5582</v>
      </c>
      <c r="I2072" s="4" t="s">
        <v>52</v>
      </c>
      <c r="L2072" s="4" t="s">
        <v>5583</v>
      </c>
      <c r="M2072" s="4" t="s">
        <v>5582</v>
      </c>
      <c r="N2072" s="4">
        <v>289</v>
      </c>
      <c r="O2072" s="4" t="s">
        <v>5584</v>
      </c>
    </row>
    <row r="2073" spans="1:15" ht="15.75" customHeight="1">
      <c r="A2073" s="4" t="s">
        <v>49</v>
      </c>
      <c r="B2073" s="4">
        <v>2184766</v>
      </c>
      <c r="C2073" s="4">
        <v>2185587</v>
      </c>
      <c r="E2073" s="4" t="s">
        <v>55</v>
      </c>
      <c r="F2073" s="4" t="s">
        <v>59</v>
      </c>
      <c r="I2073" s="4" t="s">
        <v>52</v>
      </c>
      <c r="L2073" s="4" t="s">
        <v>5585</v>
      </c>
      <c r="M2073" s="4" t="s">
        <v>59</v>
      </c>
      <c r="N2073" s="4">
        <v>273</v>
      </c>
      <c r="O2073" s="4" t="s">
        <v>5586</v>
      </c>
    </row>
    <row r="2074" spans="1:15" ht="15.75" customHeight="1">
      <c r="A2074" s="4" t="s">
        <v>49</v>
      </c>
      <c r="B2074" s="4">
        <v>2185786</v>
      </c>
      <c r="C2074" s="4">
        <v>2186514</v>
      </c>
      <c r="E2074" s="4" t="s">
        <v>50</v>
      </c>
      <c r="F2074" s="4" t="s">
        <v>5587</v>
      </c>
      <c r="I2074" s="4" t="s">
        <v>52</v>
      </c>
      <c r="L2074" s="4" t="s">
        <v>5588</v>
      </c>
      <c r="M2074" s="4" t="s">
        <v>5587</v>
      </c>
      <c r="N2074" s="4">
        <v>242</v>
      </c>
      <c r="O2074" s="4" t="s">
        <v>5589</v>
      </c>
    </row>
    <row r="2075" spans="1:15" ht="15.75" customHeight="1">
      <c r="A2075" s="4" t="s">
        <v>49</v>
      </c>
      <c r="B2075" s="4">
        <v>2186766</v>
      </c>
      <c r="C2075" s="4">
        <v>2187566</v>
      </c>
      <c r="E2075" s="4" t="s">
        <v>50</v>
      </c>
      <c r="F2075" s="4" t="s">
        <v>1108</v>
      </c>
      <c r="I2075" s="4" t="s">
        <v>52</v>
      </c>
      <c r="L2075" s="4" t="s">
        <v>5590</v>
      </c>
      <c r="M2075" s="4" t="s">
        <v>1108</v>
      </c>
      <c r="N2075" s="4">
        <v>266</v>
      </c>
      <c r="O2075" s="4" t="s">
        <v>5591</v>
      </c>
    </row>
    <row r="2076" spans="1:15" ht="15.75" customHeight="1">
      <c r="A2076" s="4" t="s">
        <v>49</v>
      </c>
      <c r="B2076" s="4">
        <v>2187593</v>
      </c>
      <c r="C2076" s="4">
        <v>2189461</v>
      </c>
      <c r="E2076" s="4" t="s">
        <v>50</v>
      </c>
      <c r="F2076" s="4" t="s">
        <v>5592</v>
      </c>
      <c r="I2076" s="4" t="s">
        <v>52</v>
      </c>
      <c r="L2076" s="4" t="s">
        <v>5593</v>
      </c>
      <c r="M2076" s="4" t="s">
        <v>5592</v>
      </c>
      <c r="N2076" s="4">
        <v>622</v>
      </c>
      <c r="O2076" s="4" t="s">
        <v>5594</v>
      </c>
    </row>
    <row r="2077" spans="1:15" ht="15.75" customHeight="1">
      <c r="A2077" s="4" t="s">
        <v>49</v>
      </c>
      <c r="B2077" s="4">
        <v>2189462</v>
      </c>
      <c r="C2077" s="4">
        <v>2189971</v>
      </c>
      <c r="E2077" s="4" t="s">
        <v>50</v>
      </c>
      <c r="F2077" s="4" t="s">
        <v>5595</v>
      </c>
      <c r="I2077" s="4" t="s">
        <v>52</v>
      </c>
      <c r="L2077" s="4" t="s">
        <v>5596</v>
      </c>
      <c r="M2077" s="4" t="s">
        <v>5595</v>
      </c>
      <c r="N2077" s="4">
        <v>169</v>
      </c>
      <c r="O2077" s="4" t="s">
        <v>5597</v>
      </c>
    </row>
    <row r="2078" spans="1:15" ht="15.75" customHeight="1">
      <c r="A2078" s="4" t="s">
        <v>49</v>
      </c>
      <c r="B2078" s="4">
        <v>2189989</v>
      </c>
      <c r="C2078" s="4">
        <v>2190558</v>
      </c>
      <c r="E2078" s="4" t="s">
        <v>50</v>
      </c>
      <c r="F2078" s="4" t="s">
        <v>5598</v>
      </c>
      <c r="I2078" s="4" t="s">
        <v>52</v>
      </c>
      <c r="L2078" s="4" t="s">
        <v>5599</v>
      </c>
      <c r="M2078" s="4" t="s">
        <v>5598</v>
      </c>
      <c r="N2078" s="4">
        <v>189</v>
      </c>
      <c r="O2078" s="4" t="s">
        <v>5600</v>
      </c>
    </row>
    <row r="2079" spans="1:15" ht="15.75" customHeight="1">
      <c r="A2079" s="4" t="s">
        <v>49</v>
      </c>
      <c r="B2079" s="4">
        <v>2190588</v>
      </c>
      <c r="C2079" s="4">
        <v>2191706</v>
      </c>
      <c r="E2079" s="4" t="s">
        <v>50</v>
      </c>
      <c r="F2079" s="4" t="s">
        <v>5601</v>
      </c>
      <c r="I2079" s="4" t="s">
        <v>52</v>
      </c>
      <c r="L2079" s="4" t="s">
        <v>5602</v>
      </c>
      <c r="M2079" s="4" t="s">
        <v>5601</v>
      </c>
      <c r="N2079" s="4">
        <v>372</v>
      </c>
      <c r="O2079" s="4" t="s">
        <v>5603</v>
      </c>
    </row>
    <row r="2080" spans="1:15" ht="15.75" customHeight="1">
      <c r="A2080" s="4" t="s">
        <v>49</v>
      </c>
      <c r="B2080" s="4">
        <v>2191733</v>
      </c>
      <c r="C2080" s="4">
        <v>2192113</v>
      </c>
      <c r="E2080" s="4" t="s">
        <v>50</v>
      </c>
      <c r="F2080" s="4" t="s">
        <v>5604</v>
      </c>
      <c r="I2080" s="4" t="s">
        <v>52</v>
      </c>
      <c r="L2080" s="4" t="s">
        <v>5605</v>
      </c>
      <c r="M2080" s="4" t="s">
        <v>5604</v>
      </c>
      <c r="N2080" s="4">
        <v>126</v>
      </c>
      <c r="O2080" s="4" t="s">
        <v>5606</v>
      </c>
    </row>
    <row r="2081" spans="1:15" ht="15.75" customHeight="1">
      <c r="A2081" s="4" t="s">
        <v>49</v>
      </c>
      <c r="B2081" s="4">
        <v>2192242</v>
      </c>
      <c r="C2081" s="4">
        <v>2192913</v>
      </c>
      <c r="E2081" s="4" t="s">
        <v>50</v>
      </c>
      <c r="F2081" s="4" t="s">
        <v>5607</v>
      </c>
      <c r="I2081" s="4" t="s">
        <v>52</v>
      </c>
      <c r="L2081" s="4" t="s">
        <v>5608</v>
      </c>
      <c r="M2081" s="4" t="s">
        <v>5607</v>
      </c>
      <c r="N2081" s="4">
        <v>223</v>
      </c>
      <c r="O2081" s="4" t="s">
        <v>5609</v>
      </c>
    </row>
    <row r="2082" spans="1:15" ht="15.75" customHeight="1">
      <c r="A2082" s="4" t="s">
        <v>49</v>
      </c>
      <c r="B2082" s="4">
        <v>2193435</v>
      </c>
      <c r="C2082" s="4">
        <v>2195306</v>
      </c>
      <c r="E2082" s="4" t="s">
        <v>50</v>
      </c>
      <c r="F2082" s="4" t="s">
        <v>3925</v>
      </c>
      <c r="I2082" s="4" t="s">
        <v>52</v>
      </c>
      <c r="L2082" s="4" t="s">
        <v>5610</v>
      </c>
      <c r="M2082" s="4" t="s">
        <v>3925</v>
      </c>
      <c r="N2082" s="4">
        <v>623</v>
      </c>
      <c r="O2082" s="4" t="s">
        <v>5611</v>
      </c>
    </row>
    <row r="2083" spans="1:15" ht="15.75" customHeight="1">
      <c r="A2083" s="4" t="s">
        <v>49</v>
      </c>
      <c r="B2083" s="4">
        <v>2195281</v>
      </c>
      <c r="C2083" s="4">
        <v>2195637</v>
      </c>
      <c r="E2083" s="4" t="s">
        <v>50</v>
      </c>
      <c r="F2083" s="4" t="s">
        <v>56</v>
      </c>
      <c r="I2083" s="4" t="s">
        <v>52</v>
      </c>
      <c r="L2083" s="4" t="s">
        <v>5612</v>
      </c>
      <c r="M2083" s="4" t="s">
        <v>56</v>
      </c>
      <c r="N2083" s="4">
        <v>118</v>
      </c>
      <c r="O2083" s="4" t="s">
        <v>5613</v>
      </c>
    </row>
    <row r="2084" spans="1:15" ht="15.75" customHeight="1">
      <c r="A2084" s="4" t="s">
        <v>49</v>
      </c>
      <c r="B2084" s="4">
        <v>2195817</v>
      </c>
      <c r="C2084" s="4">
        <v>2196176</v>
      </c>
      <c r="E2084" s="4" t="s">
        <v>50</v>
      </c>
      <c r="F2084" s="4" t="s">
        <v>5614</v>
      </c>
      <c r="I2084" s="4" t="s">
        <v>52</v>
      </c>
      <c r="L2084" s="4" t="s">
        <v>5615</v>
      </c>
      <c r="M2084" s="4" t="s">
        <v>5614</v>
      </c>
      <c r="N2084" s="4">
        <v>119</v>
      </c>
      <c r="O2084" s="4" t="s">
        <v>5616</v>
      </c>
    </row>
    <row r="2085" spans="1:15" ht="15.75" customHeight="1">
      <c r="A2085" s="4" t="s">
        <v>49</v>
      </c>
      <c r="B2085" s="4">
        <v>2196189</v>
      </c>
      <c r="C2085" s="4">
        <v>2196557</v>
      </c>
      <c r="E2085" s="4" t="s">
        <v>50</v>
      </c>
      <c r="F2085" s="4" t="s">
        <v>5617</v>
      </c>
      <c r="I2085" s="4" t="s">
        <v>52</v>
      </c>
      <c r="L2085" s="4" t="s">
        <v>5618</v>
      </c>
      <c r="M2085" s="4" t="s">
        <v>5617</v>
      </c>
      <c r="N2085" s="4">
        <v>122</v>
      </c>
      <c r="O2085" s="4" t="s">
        <v>5619</v>
      </c>
    </row>
    <row r="2086" spans="1:15" ht="15.75" customHeight="1">
      <c r="A2086" s="4" t="s">
        <v>49</v>
      </c>
      <c r="B2086" s="4">
        <v>2196559</v>
      </c>
      <c r="C2086" s="4">
        <v>2197338</v>
      </c>
      <c r="E2086" s="4" t="s">
        <v>50</v>
      </c>
      <c r="F2086" s="4" t="s">
        <v>5620</v>
      </c>
      <c r="I2086" s="4" t="s">
        <v>52</v>
      </c>
      <c r="L2086" s="4" t="s">
        <v>5621</v>
      </c>
      <c r="M2086" s="4" t="s">
        <v>5620</v>
      </c>
      <c r="N2086" s="4">
        <v>259</v>
      </c>
      <c r="O2086" s="4" t="s">
        <v>5622</v>
      </c>
    </row>
    <row r="2087" spans="1:15" ht="15.75" customHeight="1">
      <c r="A2087" s="4" t="s">
        <v>49</v>
      </c>
      <c r="B2087" s="4">
        <v>2197351</v>
      </c>
      <c r="C2087" s="4">
        <v>2198049</v>
      </c>
      <c r="E2087" s="4" t="s">
        <v>50</v>
      </c>
      <c r="F2087" s="4" t="s">
        <v>5623</v>
      </c>
      <c r="I2087" s="4" t="s">
        <v>52</v>
      </c>
      <c r="L2087" s="4" t="s">
        <v>5624</v>
      </c>
      <c r="M2087" s="4" t="s">
        <v>5623</v>
      </c>
      <c r="N2087" s="4">
        <v>232</v>
      </c>
      <c r="O2087" s="4" t="s">
        <v>5625</v>
      </c>
    </row>
    <row r="2088" spans="1:15" ht="15.75" customHeight="1">
      <c r="A2088" s="4" t="s">
        <v>49</v>
      </c>
      <c r="B2088" s="4">
        <v>2198342</v>
      </c>
      <c r="C2088" s="4">
        <v>2199463</v>
      </c>
      <c r="E2088" s="4" t="s">
        <v>50</v>
      </c>
      <c r="F2088" s="4" t="s">
        <v>5626</v>
      </c>
      <c r="I2088" s="4" t="s">
        <v>52</v>
      </c>
      <c r="L2088" s="4" t="s">
        <v>5627</v>
      </c>
      <c r="M2088" s="4" t="s">
        <v>5626</v>
      </c>
      <c r="N2088" s="4">
        <v>373</v>
      </c>
      <c r="O2088" s="4" t="s">
        <v>5628</v>
      </c>
    </row>
    <row r="2089" spans="1:15" ht="15.75" customHeight="1">
      <c r="A2089" s="4" t="s">
        <v>49</v>
      </c>
      <c r="B2089" s="4">
        <v>2199460</v>
      </c>
      <c r="C2089" s="4">
        <v>2200560</v>
      </c>
      <c r="E2089" s="4" t="s">
        <v>50</v>
      </c>
      <c r="F2089" s="4" t="s">
        <v>5629</v>
      </c>
      <c r="I2089" s="4" t="s">
        <v>52</v>
      </c>
      <c r="L2089" s="4" t="s">
        <v>5630</v>
      </c>
      <c r="M2089" s="4" t="s">
        <v>5629</v>
      </c>
      <c r="N2089" s="4">
        <v>366</v>
      </c>
      <c r="O2089" s="4" t="s">
        <v>5631</v>
      </c>
    </row>
    <row r="2090" spans="1:15" ht="15.75" customHeight="1">
      <c r="A2090" s="4" t="s">
        <v>49</v>
      </c>
      <c r="B2090" s="4">
        <v>2200575</v>
      </c>
      <c r="C2090" s="4">
        <v>2201339</v>
      </c>
      <c r="E2090" s="4" t="s">
        <v>50</v>
      </c>
      <c r="F2090" s="4" t="s">
        <v>5632</v>
      </c>
      <c r="I2090" s="4" t="s">
        <v>52</v>
      </c>
      <c r="L2090" s="4" t="s">
        <v>5633</v>
      </c>
      <c r="M2090" s="4" t="s">
        <v>5632</v>
      </c>
      <c r="N2090" s="4">
        <v>254</v>
      </c>
      <c r="O2090" s="4" t="s">
        <v>5634</v>
      </c>
    </row>
    <row r="2091" spans="1:15" ht="15.75" customHeight="1">
      <c r="A2091" s="4" t="s">
        <v>49</v>
      </c>
      <c r="B2091" s="4">
        <v>2201502</v>
      </c>
      <c r="C2091" s="4">
        <v>2203571</v>
      </c>
      <c r="E2091" s="4" t="s">
        <v>55</v>
      </c>
      <c r="F2091" s="4" t="s">
        <v>5185</v>
      </c>
      <c r="I2091" s="4" t="s">
        <v>52</v>
      </c>
      <c r="L2091" s="4" t="s">
        <v>5635</v>
      </c>
      <c r="M2091" s="4" t="s">
        <v>5185</v>
      </c>
      <c r="N2091" s="4">
        <v>689</v>
      </c>
      <c r="O2091" s="4" t="s">
        <v>5636</v>
      </c>
    </row>
    <row r="2092" spans="1:15" ht="15.75" customHeight="1">
      <c r="A2092" s="4" t="s">
        <v>49</v>
      </c>
      <c r="B2092" s="4">
        <v>2203690</v>
      </c>
      <c r="C2092" s="4">
        <v>2204322</v>
      </c>
      <c r="E2092" s="4" t="s">
        <v>55</v>
      </c>
      <c r="F2092" s="4" t="s">
        <v>5637</v>
      </c>
      <c r="I2092" s="4" t="s">
        <v>52</v>
      </c>
      <c r="L2092" s="4" t="s">
        <v>5638</v>
      </c>
      <c r="M2092" s="4" t="s">
        <v>5637</v>
      </c>
      <c r="N2092" s="4">
        <v>210</v>
      </c>
      <c r="O2092" s="4" t="s">
        <v>5639</v>
      </c>
    </row>
    <row r="2093" spans="1:15" ht="15.75" customHeight="1">
      <c r="A2093" s="4" t="s">
        <v>49</v>
      </c>
      <c r="B2093" s="4">
        <v>2204456</v>
      </c>
      <c r="C2093" s="4">
        <v>2205355</v>
      </c>
      <c r="E2093" s="4" t="s">
        <v>55</v>
      </c>
      <c r="F2093" s="4" t="s">
        <v>4910</v>
      </c>
      <c r="G2093" s="4" t="s">
        <v>4911</v>
      </c>
      <c r="I2093" s="4" t="s">
        <v>52</v>
      </c>
      <c r="L2093" s="4" t="s">
        <v>5640</v>
      </c>
      <c r="M2093" s="4" t="s">
        <v>4910</v>
      </c>
      <c r="N2093" s="4">
        <v>299</v>
      </c>
      <c r="O2093" s="4" t="s">
        <v>5641</v>
      </c>
    </row>
    <row r="2094" spans="1:15" ht="15.75" customHeight="1">
      <c r="A2094" s="4" t="s">
        <v>49</v>
      </c>
      <c r="B2094" s="4">
        <v>2205393</v>
      </c>
      <c r="C2094" s="4">
        <v>2206652</v>
      </c>
      <c r="E2094" s="4" t="s">
        <v>55</v>
      </c>
      <c r="F2094" s="4" t="s">
        <v>5572</v>
      </c>
      <c r="I2094" s="4" t="s">
        <v>52</v>
      </c>
      <c r="L2094" s="4" t="s">
        <v>5642</v>
      </c>
      <c r="M2094" s="4" t="s">
        <v>5572</v>
      </c>
      <c r="N2094" s="4">
        <v>419</v>
      </c>
      <c r="O2094" s="4" t="s">
        <v>5643</v>
      </c>
    </row>
    <row r="2095" spans="1:15" ht="15.75" customHeight="1">
      <c r="A2095" s="4" t="s">
        <v>49</v>
      </c>
      <c r="B2095" s="4">
        <v>2206685</v>
      </c>
      <c r="C2095" s="4">
        <v>2206981</v>
      </c>
      <c r="E2095" s="4" t="s">
        <v>55</v>
      </c>
      <c r="F2095" s="4" t="s">
        <v>2415</v>
      </c>
      <c r="I2095" s="4" t="s">
        <v>52</v>
      </c>
      <c r="L2095" s="4" t="s">
        <v>5644</v>
      </c>
      <c r="M2095" s="4" t="s">
        <v>2415</v>
      </c>
      <c r="N2095" s="4">
        <v>98</v>
      </c>
      <c r="O2095" s="4" t="s">
        <v>5645</v>
      </c>
    </row>
    <row r="2096" spans="1:15" ht="15.75" customHeight="1">
      <c r="A2096" s="4" t="s">
        <v>49</v>
      </c>
      <c r="B2096" s="4">
        <v>2206998</v>
      </c>
      <c r="C2096" s="4">
        <v>2207453</v>
      </c>
      <c r="E2096" s="4" t="s">
        <v>55</v>
      </c>
      <c r="F2096" s="4" t="s">
        <v>4039</v>
      </c>
      <c r="I2096" s="4" t="s">
        <v>52</v>
      </c>
      <c r="L2096" s="4" t="s">
        <v>5646</v>
      </c>
      <c r="M2096" s="4" t="s">
        <v>4039</v>
      </c>
      <c r="N2096" s="4">
        <v>151</v>
      </c>
      <c r="O2096" s="4" t="s">
        <v>5647</v>
      </c>
    </row>
    <row r="2097" spans="1:15" ht="15.75" customHeight="1">
      <c r="A2097" s="4" t="s">
        <v>49</v>
      </c>
      <c r="B2097" s="4">
        <v>2207733</v>
      </c>
      <c r="C2097" s="4">
        <v>2208338</v>
      </c>
      <c r="E2097" s="4" t="s">
        <v>50</v>
      </c>
      <c r="F2097" s="4" t="s">
        <v>4393</v>
      </c>
      <c r="I2097" s="4" t="s">
        <v>52</v>
      </c>
      <c r="L2097" s="4" t="s">
        <v>5648</v>
      </c>
      <c r="M2097" s="4" t="s">
        <v>4393</v>
      </c>
      <c r="N2097" s="4">
        <v>201</v>
      </c>
      <c r="O2097" s="4" t="s">
        <v>5649</v>
      </c>
    </row>
    <row r="2098" spans="1:15" ht="15.75" customHeight="1">
      <c r="A2098" s="4" t="s">
        <v>49</v>
      </c>
      <c r="B2098" s="4">
        <v>2208550</v>
      </c>
      <c r="C2098" s="4">
        <v>2210277</v>
      </c>
      <c r="E2098" s="4" t="s">
        <v>55</v>
      </c>
      <c r="F2098" s="4" t="s">
        <v>5650</v>
      </c>
      <c r="I2098" s="4" t="s">
        <v>52</v>
      </c>
      <c r="L2098" s="4" t="s">
        <v>5651</v>
      </c>
      <c r="M2098" s="4" t="s">
        <v>5650</v>
      </c>
      <c r="N2098" s="4">
        <v>575</v>
      </c>
      <c r="O2098" s="4" t="s">
        <v>5652</v>
      </c>
    </row>
    <row r="2099" spans="1:15" ht="15.75" customHeight="1">
      <c r="A2099" s="4" t="s">
        <v>49</v>
      </c>
      <c r="B2099" s="4">
        <v>2210435</v>
      </c>
      <c r="C2099" s="4">
        <v>2211436</v>
      </c>
      <c r="E2099" s="4" t="s">
        <v>50</v>
      </c>
      <c r="F2099" s="4" t="s">
        <v>5653</v>
      </c>
      <c r="I2099" s="4" t="s">
        <v>52</v>
      </c>
      <c r="L2099" s="4" t="s">
        <v>5654</v>
      </c>
      <c r="M2099" s="4" t="s">
        <v>5653</v>
      </c>
      <c r="N2099" s="4">
        <v>333</v>
      </c>
      <c r="O2099" s="4" t="s">
        <v>5655</v>
      </c>
    </row>
    <row r="2100" spans="1:15" ht="15.75" customHeight="1">
      <c r="A2100" s="4" t="s">
        <v>49</v>
      </c>
      <c r="B2100" s="4">
        <v>2211423</v>
      </c>
      <c r="C2100" s="4">
        <v>2212646</v>
      </c>
      <c r="E2100" s="4" t="s">
        <v>50</v>
      </c>
      <c r="F2100" s="4" t="s">
        <v>5656</v>
      </c>
      <c r="I2100" s="4" t="s">
        <v>52</v>
      </c>
      <c r="L2100" s="4" t="s">
        <v>5657</v>
      </c>
      <c r="M2100" s="4" t="s">
        <v>5656</v>
      </c>
      <c r="N2100" s="4">
        <v>407</v>
      </c>
      <c r="O2100" s="4" t="s">
        <v>5658</v>
      </c>
    </row>
    <row r="2101" spans="1:15" ht="15.75" customHeight="1">
      <c r="A2101" s="4" t="s">
        <v>49</v>
      </c>
      <c r="B2101" s="4">
        <v>2212649</v>
      </c>
      <c r="C2101" s="4">
        <v>2213629</v>
      </c>
      <c r="E2101" s="4" t="s">
        <v>50</v>
      </c>
      <c r="F2101" s="4" t="s">
        <v>5659</v>
      </c>
      <c r="G2101" s="4" t="s">
        <v>5660</v>
      </c>
      <c r="I2101" s="4" t="s">
        <v>52</v>
      </c>
      <c r="L2101" s="4" t="s">
        <v>5661</v>
      </c>
      <c r="M2101" s="4" t="s">
        <v>5659</v>
      </c>
      <c r="N2101" s="4">
        <v>326</v>
      </c>
      <c r="O2101" s="4" t="s">
        <v>5662</v>
      </c>
    </row>
    <row r="2102" spans="1:15" ht="15.75" customHeight="1">
      <c r="A2102" s="4" t="s">
        <v>49</v>
      </c>
      <c r="B2102" s="4">
        <v>2214006</v>
      </c>
      <c r="C2102" s="4">
        <v>2214926</v>
      </c>
      <c r="E2102" s="4" t="s">
        <v>55</v>
      </c>
      <c r="F2102" s="4" t="s">
        <v>674</v>
      </c>
      <c r="I2102" s="4" t="s">
        <v>52</v>
      </c>
      <c r="L2102" s="4" t="s">
        <v>675</v>
      </c>
      <c r="M2102" s="4" t="s">
        <v>674</v>
      </c>
      <c r="N2102" s="4">
        <v>306</v>
      </c>
      <c r="O2102" s="4" t="s">
        <v>5663</v>
      </c>
    </row>
    <row r="2103" spans="1:15" ht="15.75" customHeight="1">
      <c r="A2103" s="4" t="s">
        <v>49</v>
      </c>
      <c r="B2103" s="4">
        <v>2215045</v>
      </c>
      <c r="C2103" s="4">
        <v>2216097</v>
      </c>
      <c r="E2103" s="4" t="s">
        <v>50</v>
      </c>
      <c r="F2103" s="4" t="s">
        <v>5664</v>
      </c>
      <c r="I2103" s="4" t="s">
        <v>52</v>
      </c>
      <c r="L2103" s="4" t="s">
        <v>5665</v>
      </c>
      <c r="M2103" s="4" t="s">
        <v>5664</v>
      </c>
      <c r="N2103" s="4">
        <v>350</v>
      </c>
      <c r="O2103" s="4" t="s">
        <v>5666</v>
      </c>
    </row>
    <row r="2104" spans="1:15" ht="15.75" customHeight="1">
      <c r="A2104" s="4" t="s">
        <v>49</v>
      </c>
      <c r="B2104" s="4">
        <v>2216441</v>
      </c>
      <c r="C2104" s="4">
        <v>2217925</v>
      </c>
      <c r="E2104" s="4" t="s">
        <v>50</v>
      </c>
      <c r="F2104" s="4" t="s">
        <v>3294</v>
      </c>
      <c r="I2104" s="4" t="s">
        <v>52</v>
      </c>
      <c r="L2104" s="4" t="s">
        <v>5667</v>
      </c>
      <c r="M2104" s="4" t="s">
        <v>3294</v>
      </c>
      <c r="N2104" s="4">
        <v>494</v>
      </c>
      <c r="O2104" s="4" t="s">
        <v>5668</v>
      </c>
    </row>
    <row r="2105" spans="1:15" ht="15.75" customHeight="1">
      <c r="A2105" s="4" t="s">
        <v>49</v>
      </c>
      <c r="B2105" s="4">
        <v>2217903</v>
      </c>
      <c r="C2105" s="4">
        <v>2218316</v>
      </c>
      <c r="E2105" s="4" t="s">
        <v>50</v>
      </c>
      <c r="F2105" s="4" t="s">
        <v>4039</v>
      </c>
      <c r="I2105" s="4" t="s">
        <v>52</v>
      </c>
      <c r="L2105" s="4" t="s">
        <v>5669</v>
      </c>
      <c r="M2105" s="4" t="s">
        <v>4039</v>
      </c>
      <c r="N2105" s="4">
        <v>137</v>
      </c>
      <c r="O2105" s="4" t="s">
        <v>5670</v>
      </c>
    </row>
    <row r="2106" spans="1:15" ht="15.75" customHeight="1">
      <c r="A2106" s="4" t="s">
        <v>49</v>
      </c>
      <c r="B2106" s="4">
        <v>2218322</v>
      </c>
      <c r="C2106" s="4">
        <v>2218801</v>
      </c>
      <c r="E2106" s="4" t="s">
        <v>50</v>
      </c>
      <c r="F2106" s="4" t="s">
        <v>4039</v>
      </c>
      <c r="I2106" s="4" t="s">
        <v>52</v>
      </c>
      <c r="L2106" s="4" t="s">
        <v>5671</v>
      </c>
      <c r="M2106" s="4" t="s">
        <v>4039</v>
      </c>
      <c r="N2106" s="4">
        <v>159</v>
      </c>
      <c r="O2106" s="4" t="s">
        <v>5672</v>
      </c>
    </row>
    <row r="2107" spans="1:15" ht="15.75" customHeight="1">
      <c r="A2107" s="4" t="s">
        <v>49</v>
      </c>
      <c r="B2107" s="4">
        <v>2218914</v>
      </c>
      <c r="C2107" s="4">
        <v>2220251</v>
      </c>
      <c r="E2107" s="4" t="s">
        <v>50</v>
      </c>
      <c r="F2107" s="4" t="s">
        <v>5673</v>
      </c>
      <c r="I2107" s="4" t="s">
        <v>52</v>
      </c>
      <c r="L2107" s="4" t="s">
        <v>5674</v>
      </c>
      <c r="M2107" s="4" t="s">
        <v>5673</v>
      </c>
      <c r="N2107" s="4">
        <v>445</v>
      </c>
      <c r="O2107" s="4" t="s">
        <v>5675</v>
      </c>
    </row>
    <row r="2108" spans="1:15" ht="15.75" customHeight="1">
      <c r="A2108" s="4" t="s">
        <v>49</v>
      </c>
      <c r="B2108" s="4">
        <v>2220328</v>
      </c>
      <c r="C2108" s="4">
        <v>2220630</v>
      </c>
      <c r="E2108" s="4" t="s">
        <v>50</v>
      </c>
      <c r="F2108" s="4" t="s">
        <v>2415</v>
      </c>
      <c r="I2108" s="4" t="s">
        <v>52</v>
      </c>
      <c r="L2108" s="4" t="s">
        <v>5676</v>
      </c>
      <c r="M2108" s="4" t="s">
        <v>2415</v>
      </c>
      <c r="N2108" s="4">
        <v>100</v>
      </c>
      <c r="O2108" s="4" t="s">
        <v>5677</v>
      </c>
    </row>
    <row r="2109" spans="1:15" ht="15.75" customHeight="1">
      <c r="A2109" s="4" t="s">
        <v>49</v>
      </c>
      <c r="B2109" s="4">
        <v>2220630</v>
      </c>
      <c r="C2109" s="4">
        <v>2221493</v>
      </c>
      <c r="E2109" s="4" t="s">
        <v>50</v>
      </c>
      <c r="F2109" s="4" t="s">
        <v>4161</v>
      </c>
      <c r="I2109" s="4" t="s">
        <v>52</v>
      </c>
      <c r="L2109" s="4" t="s">
        <v>5678</v>
      </c>
      <c r="M2109" s="4" t="s">
        <v>4161</v>
      </c>
      <c r="N2109" s="4">
        <v>287</v>
      </c>
      <c r="O2109" s="4" t="s">
        <v>5679</v>
      </c>
    </row>
    <row r="2110" spans="1:15" ht="15.75" customHeight="1">
      <c r="A2110" s="4" t="s">
        <v>49</v>
      </c>
      <c r="B2110" s="4">
        <v>2221527</v>
      </c>
      <c r="C2110" s="4">
        <v>2222219</v>
      </c>
      <c r="E2110" s="4" t="s">
        <v>50</v>
      </c>
      <c r="F2110" s="4" t="s">
        <v>5680</v>
      </c>
      <c r="I2110" s="4" t="s">
        <v>52</v>
      </c>
      <c r="L2110" s="4" t="s">
        <v>5681</v>
      </c>
      <c r="M2110" s="4" t="s">
        <v>5680</v>
      </c>
      <c r="N2110" s="4">
        <v>230</v>
      </c>
      <c r="O2110" s="4" t="s">
        <v>5682</v>
      </c>
    </row>
    <row r="2111" spans="1:15" ht="15.75" customHeight="1">
      <c r="A2111" s="4" t="s">
        <v>49</v>
      </c>
      <c r="B2111" s="4">
        <v>2222216</v>
      </c>
      <c r="C2111" s="4">
        <v>2222737</v>
      </c>
      <c r="E2111" s="4" t="s">
        <v>50</v>
      </c>
      <c r="F2111" s="4" t="s">
        <v>5683</v>
      </c>
      <c r="I2111" s="4" t="s">
        <v>52</v>
      </c>
      <c r="L2111" s="4" t="s">
        <v>5684</v>
      </c>
      <c r="M2111" s="4" t="s">
        <v>5683</v>
      </c>
      <c r="N2111" s="4">
        <v>173</v>
      </c>
      <c r="O2111" s="4" t="s">
        <v>5685</v>
      </c>
    </row>
    <row r="2112" spans="1:15" ht="15.75" customHeight="1">
      <c r="A2112" s="4" t="s">
        <v>49</v>
      </c>
      <c r="B2112" s="4">
        <v>2222933</v>
      </c>
      <c r="C2112" s="4">
        <v>2223052</v>
      </c>
      <c r="E2112" s="4" t="s">
        <v>50</v>
      </c>
      <c r="F2112" s="4" t="s">
        <v>4030</v>
      </c>
      <c r="I2112" s="4" t="s">
        <v>52</v>
      </c>
      <c r="L2112" s="4" t="s">
        <v>5686</v>
      </c>
      <c r="M2112" s="4" t="s">
        <v>4030</v>
      </c>
      <c r="N2112" s="4">
        <v>39</v>
      </c>
      <c r="O2112" s="4" t="s">
        <v>5687</v>
      </c>
    </row>
    <row r="2113" spans="1:15" ht="15.75" customHeight="1">
      <c r="A2113" s="4" t="s">
        <v>49</v>
      </c>
      <c r="B2113" s="4">
        <v>2223549</v>
      </c>
      <c r="C2113" s="4">
        <v>2224034</v>
      </c>
      <c r="E2113" s="4" t="s">
        <v>50</v>
      </c>
      <c r="F2113" s="4" t="s">
        <v>5688</v>
      </c>
      <c r="I2113" s="4" t="s">
        <v>52</v>
      </c>
      <c r="L2113" s="4" t="s">
        <v>5689</v>
      </c>
      <c r="M2113" s="4" t="s">
        <v>5688</v>
      </c>
      <c r="N2113" s="4">
        <v>161</v>
      </c>
      <c r="O2113" s="4" t="s">
        <v>5690</v>
      </c>
    </row>
    <row r="2114" spans="1:15" ht="15.75" customHeight="1">
      <c r="A2114" s="4" t="s">
        <v>49</v>
      </c>
      <c r="B2114" s="4">
        <v>2224118</v>
      </c>
      <c r="C2114" s="4">
        <v>2224858</v>
      </c>
      <c r="E2114" s="4" t="s">
        <v>50</v>
      </c>
      <c r="F2114" s="4" t="s">
        <v>3646</v>
      </c>
      <c r="I2114" s="4" t="s">
        <v>52</v>
      </c>
      <c r="L2114" s="4" t="s">
        <v>5691</v>
      </c>
      <c r="M2114" s="4" t="s">
        <v>3646</v>
      </c>
      <c r="N2114" s="4">
        <v>246</v>
      </c>
      <c r="O2114" s="4" t="s">
        <v>5692</v>
      </c>
    </row>
    <row r="2115" spans="1:15" ht="15.75" customHeight="1">
      <c r="A2115" s="4" t="s">
        <v>49</v>
      </c>
      <c r="B2115" s="4">
        <v>2225004</v>
      </c>
      <c r="C2115" s="4">
        <v>2225738</v>
      </c>
      <c r="E2115" s="4" t="s">
        <v>55</v>
      </c>
      <c r="F2115" s="4" t="s">
        <v>345</v>
      </c>
      <c r="I2115" s="4" t="s">
        <v>346</v>
      </c>
      <c r="O2115" s="4" t="s">
        <v>5693</v>
      </c>
    </row>
    <row r="2116" spans="1:15" ht="15.75" customHeight="1">
      <c r="A2116" s="4" t="s">
        <v>49</v>
      </c>
      <c r="B2116" s="4">
        <v>2225785</v>
      </c>
      <c r="C2116" s="4">
        <v>2226663</v>
      </c>
      <c r="E2116" s="4" t="s">
        <v>55</v>
      </c>
      <c r="F2116" s="4" t="s">
        <v>348</v>
      </c>
      <c r="I2116" s="4" t="s">
        <v>52</v>
      </c>
      <c r="L2116" s="4" t="s">
        <v>760</v>
      </c>
      <c r="M2116" s="4" t="s">
        <v>348</v>
      </c>
      <c r="N2116" s="4">
        <v>292</v>
      </c>
      <c r="O2116" s="4" t="s">
        <v>5694</v>
      </c>
    </row>
    <row r="2117" spans="1:15" ht="15.75" customHeight="1">
      <c r="A2117" s="4" t="s">
        <v>49</v>
      </c>
      <c r="B2117" s="4">
        <v>2226660</v>
      </c>
      <c r="C2117" s="4">
        <v>2227388</v>
      </c>
      <c r="E2117" s="4" t="s">
        <v>55</v>
      </c>
      <c r="F2117" s="4" t="s">
        <v>92</v>
      </c>
      <c r="I2117" s="4" t="s">
        <v>52</v>
      </c>
      <c r="L2117" s="4" t="s">
        <v>2832</v>
      </c>
      <c r="M2117" s="4" t="s">
        <v>92</v>
      </c>
      <c r="N2117" s="4">
        <v>242</v>
      </c>
      <c r="O2117" s="4" t="s">
        <v>5695</v>
      </c>
    </row>
    <row r="2118" spans="1:15" ht="15.75" customHeight="1">
      <c r="A2118" s="4" t="s">
        <v>49</v>
      </c>
      <c r="B2118" s="4">
        <v>2227446</v>
      </c>
      <c r="C2118" s="4">
        <v>2228210</v>
      </c>
      <c r="E2118" s="4" t="s">
        <v>55</v>
      </c>
      <c r="F2118" s="4" t="s">
        <v>345</v>
      </c>
      <c r="I2118" s="4" t="s">
        <v>346</v>
      </c>
      <c r="O2118" s="4" t="s">
        <v>5696</v>
      </c>
    </row>
    <row r="2119" spans="1:15" ht="15.75" customHeight="1">
      <c r="A2119" s="4" t="s">
        <v>49</v>
      </c>
      <c r="B2119" s="4">
        <v>2228366</v>
      </c>
      <c r="C2119" s="4">
        <v>2228878</v>
      </c>
      <c r="E2119" s="4" t="s">
        <v>50</v>
      </c>
      <c r="F2119" s="4" t="s">
        <v>56</v>
      </c>
      <c r="I2119" s="4" t="s">
        <v>52</v>
      </c>
      <c r="L2119" s="4" t="s">
        <v>5697</v>
      </c>
      <c r="M2119" s="4" t="s">
        <v>56</v>
      </c>
      <c r="N2119" s="4">
        <v>170</v>
      </c>
      <c r="O2119" s="4" t="s">
        <v>5698</v>
      </c>
    </row>
    <row r="2120" spans="1:15" ht="15.75" customHeight="1">
      <c r="A2120" s="4" t="s">
        <v>49</v>
      </c>
      <c r="B2120" s="4">
        <v>2228921</v>
      </c>
      <c r="C2120" s="4">
        <v>2229541</v>
      </c>
      <c r="E2120" s="4" t="s">
        <v>50</v>
      </c>
      <c r="F2120" s="4" t="s">
        <v>56</v>
      </c>
      <c r="I2120" s="4" t="s">
        <v>52</v>
      </c>
      <c r="L2120" s="4" t="s">
        <v>5699</v>
      </c>
      <c r="M2120" s="4" t="s">
        <v>56</v>
      </c>
      <c r="N2120" s="4">
        <v>206</v>
      </c>
      <c r="O2120" s="4" t="s">
        <v>5700</v>
      </c>
    </row>
    <row r="2121" spans="1:15" ht="15.75" customHeight="1">
      <c r="A2121" s="4" t="s">
        <v>49</v>
      </c>
      <c r="B2121" s="4">
        <v>2229547</v>
      </c>
      <c r="C2121" s="4">
        <v>2229918</v>
      </c>
      <c r="E2121" s="4" t="s">
        <v>50</v>
      </c>
      <c r="F2121" s="4" t="s">
        <v>56</v>
      </c>
      <c r="I2121" s="4" t="s">
        <v>52</v>
      </c>
      <c r="L2121" s="4" t="s">
        <v>5701</v>
      </c>
      <c r="M2121" s="4" t="s">
        <v>56</v>
      </c>
      <c r="N2121" s="4">
        <v>123</v>
      </c>
      <c r="O2121" s="4" t="s">
        <v>5702</v>
      </c>
    </row>
    <row r="2122" spans="1:15" ht="15.75" customHeight="1">
      <c r="A2122" s="4" t="s">
        <v>49</v>
      </c>
      <c r="B2122" s="4">
        <v>2229991</v>
      </c>
      <c r="C2122" s="4">
        <v>2230443</v>
      </c>
      <c r="E2122" s="4" t="s">
        <v>50</v>
      </c>
      <c r="F2122" s="4" t="s">
        <v>56</v>
      </c>
      <c r="I2122" s="4" t="s">
        <v>52</v>
      </c>
      <c r="L2122" s="4" t="s">
        <v>5703</v>
      </c>
      <c r="M2122" s="4" t="s">
        <v>56</v>
      </c>
      <c r="N2122" s="4">
        <v>150</v>
      </c>
      <c r="O2122" s="4" t="s">
        <v>5704</v>
      </c>
    </row>
    <row r="2123" spans="1:15" ht="15.75" customHeight="1">
      <c r="A2123" s="4" t="s">
        <v>49</v>
      </c>
      <c r="B2123" s="4">
        <v>2230445</v>
      </c>
      <c r="C2123" s="4">
        <v>2231860</v>
      </c>
      <c r="E2123" s="4" t="s">
        <v>55</v>
      </c>
      <c r="F2123" s="4" t="s">
        <v>779</v>
      </c>
      <c r="I2123" s="4" t="s">
        <v>52</v>
      </c>
      <c r="L2123" s="4" t="s">
        <v>780</v>
      </c>
      <c r="M2123" s="4" t="s">
        <v>779</v>
      </c>
      <c r="N2123" s="4">
        <v>471</v>
      </c>
      <c r="O2123" s="4" t="s">
        <v>5705</v>
      </c>
    </row>
    <row r="2124" spans="1:15" ht="15.75" customHeight="1">
      <c r="A2124" s="4" t="s">
        <v>49</v>
      </c>
      <c r="B2124" s="4">
        <v>2231992</v>
      </c>
      <c r="C2124" s="4">
        <v>2234700</v>
      </c>
      <c r="E2124" s="4" t="s">
        <v>50</v>
      </c>
      <c r="F2124" s="4" t="s">
        <v>345</v>
      </c>
      <c r="I2124" s="4" t="s">
        <v>346</v>
      </c>
      <c r="O2124" s="4" t="s">
        <v>5706</v>
      </c>
    </row>
    <row r="2125" spans="1:15" ht="15.75" customHeight="1">
      <c r="A2125" s="4" t="s">
        <v>49</v>
      </c>
      <c r="B2125" s="4">
        <v>2234827</v>
      </c>
      <c r="C2125" s="4">
        <v>2235015</v>
      </c>
      <c r="E2125" s="4" t="s">
        <v>50</v>
      </c>
      <c r="F2125" s="4" t="s">
        <v>56</v>
      </c>
      <c r="I2125" s="4" t="s">
        <v>52</v>
      </c>
      <c r="L2125" s="4" t="s">
        <v>5707</v>
      </c>
      <c r="M2125" s="4" t="s">
        <v>56</v>
      </c>
      <c r="N2125" s="4">
        <v>62</v>
      </c>
      <c r="O2125" s="4" t="s">
        <v>5708</v>
      </c>
    </row>
    <row r="2126" spans="1:15" ht="15.75" customHeight="1">
      <c r="A2126" s="4" t="s">
        <v>49</v>
      </c>
      <c r="B2126" s="4">
        <v>2235143</v>
      </c>
      <c r="C2126" s="4">
        <v>2238232</v>
      </c>
      <c r="E2126" s="4" t="s">
        <v>50</v>
      </c>
      <c r="F2126" s="4" t="s">
        <v>5709</v>
      </c>
      <c r="I2126" s="4" t="s">
        <v>52</v>
      </c>
      <c r="L2126" s="4" t="s">
        <v>5710</v>
      </c>
      <c r="M2126" s="4" t="s">
        <v>5709</v>
      </c>
      <c r="N2126" s="4">
        <v>1029</v>
      </c>
      <c r="O2126" s="4" t="s">
        <v>5711</v>
      </c>
    </row>
    <row r="2127" spans="1:15" ht="15.75" customHeight="1">
      <c r="A2127" s="4" t="s">
        <v>49</v>
      </c>
      <c r="B2127" s="4">
        <v>2238489</v>
      </c>
      <c r="C2127" s="4">
        <v>2240093</v>
      </c>
      <c r="E2127" s="4" t="s">
        <v>50</v>
      </c>
      <c r="F2127" s="4" t="s">
        <v>5712</v>
      </c>
      <c r="I2127" s="4" t="s">
        <v>52</v>
      </c>
      <c r="L2127" s="4" t="s">
        <v>5713</v>
      </c>
      <c r="M2127" s="4" t="s">
        <v>5712</v>
      </c>
      <c r="N2127" s="4">
        <v>534</v>
      </c>
      <c r="O2127" s="4" t="s">
        <v>5714</v>
      </c>
    </row>
    <row r="2128" spans="1:15" ht="15.75" customHeight="1">
      <c r="A2128" s="4" t="s">
        <v>49</v>
      </c>
      <c r="B2128" s="4">
        <v>2240228</v>
      </c>
      <c r="C2128" s="4">
        <v>2241613</v>
      </c>
      <c r="E2128" s="4" t="s">
        <v>50</v>
      </c>
      <c r="F2128" s="4" t="s">
        <v>5715</v>
      </c>
      <c r="I2128" s="4" t="s">
        <v>52</v>
      </c>
      <c r="L2128" s="4" t="s">
        <v>5716</v>
      </c>
      <c r="M2128" s="4" t="s">
        <v>5715</v>
      </c>
      <c r="N2128" s="4">
        <v>461</v>
      </c>
      <c r="O2128" s="4" t="s">
        <v>5717</v>
      </c>
    </row>
    <row r="2129" spans="1:15" ht="15.75" customHeight="1">
      <c r="A2129" s="4" t="s">
        <v>49</v>
      </c>
      <c r="B2129" s="4">
        <v>2241691</v>
      </c>
      <c r="C2129" s="4">
        <v>2241864</v>
      </c>
      <c r="E2129" s="4" t="s">
        <v>55</v>
      </c>
      <c r="F2129" s="4" t="s">
        <v>56</v>
      </c>
      <c r="I2129" s="4" t="s">
        <v>52</v>
      </c>
      <c r="L2129" s="4" t="s">
        <v>5718</v>
      </c>
      <c r="M2129" s="4" t="s">
        <v>56</v>
      </c>
      <c r="N2129" s="4">
        <v>57</v>
      </c>
      <c r="O2129" s="4" t="s">
        <v>5719</v>
      </c>
    </row>
    <row r="2130" spans="1:15" ht="15.75" customHeight="1">
      <c r="A2130" s="4" t="s">
        <v>49</v>
      </c>
      <c r="B2130" s="4">
        <v>2241962</v>
      </c>
      <c r="C2130" s="4">
        <v>2242051</v>
      </c>
      <c r="E2130" s="4" t="s">
        <v>55</v>
      </c>
      <c r="F2130" s="4" t="s">
        <v>5720</v>
      </c>
      <c r="I2130" s="4" t="s">
        <v>52</v>
      </c>
      <c r="L2130" s="4" t="s">
        <v>5721</v>
      </c>
      <c r="M2130" s="4" t="s">
        <v>5720</v>
      </c>
      <c r="N2130" s="4">
        <v>29</v>
      </c>
      <c r="O2130" s="4" t="s">
        <v>5722</v>
      </c>
    </row>
    <row r="2131" spans="1:15" ht="15.75" customHeight="1">
      <c r="A2131" s="4" t="s">
        <v>49</v>
      </c>
      <c r="B2131" s="4">
        <v>2242661</v>
      </c>
      <c r="C2131" s="4">
        <v>2242972</v>
      </c>
      <c r="E2131" s="4" t="s">
        <v>50</v>
      </c>
      <c r="F2131" s="4" t="s">
        <v>56</v>
      </c>
      <c r="I2131" s="4" t="s">
        <v>52</v>
      </c>
      <c r="L2131" s="4" t="s">
        <v>5723</v>
      </c>
      <c r="M2131" s="4" t="s">
        <v>56</v>
      </c>
      <c r="N2131" s="4">
        <v>103</v>
      </c>
      <c r="O2131" s="4" t="s">
        <v>5724</v>
      </c>
    </row>
    <row r="2132" spans="1:15" ht="15.75" customHeight="1">
      <c r="A2132" s="4" t="s">
        <v>49</v>
      </c>
      <c r="B2132" s="4">
        <v>2243201</v>
      </c>
      <c r="C2132" s="4">
        <v>2243293</v>
      </c>
      <c r="E2132" s="4" t="s">
        <v>55</v>
      </c>
      <c r="F2132" s="4" t="s">
        <v>5720</v>
      </c>
      <c r="I2132" s="4" t="s">
        <v>52</v>
      </c>
      <c r="L2132" s="4" t="s">
        <v>5725</v>
      </c>
      <c r="M2132" s="4" t="s">
        <v>5720</v>
      </c>
      <c r="N2132" s="4">
        <v>30</v>
      </c>
      <c r="O2132" s="4" t="s">
        <v>5726</v>
      </c>
    </row>
    <row r="2133" spans="1:15" ht="15.75" customHeight="1">
      <c r="A2133" s="4" t="s">
        <v>49</v>
      </c>
      <c r="B2133" s="4">
        <v>2243863</v>
      </c>
      <c r="C2133" s="4">
        <v>2244564</v>
      </c>
      <c r="E2133" s="4" t="s">
        <v>50</v>
      </c>
      <c r="F2133" s="4" t="s">
        <v>194</v>
      </c>
      <c r="I2133" s="4" t="s">
        <v>52</v>
      </c>
      <c r="L2133" s="4" t="s">
        <v>5727</v>
      </c>
      <c r="M2133" s="4" t="s">
        <v>194</v>
      </c>
      <c r="N2133" s="4">
        <v>233</v>
      </c>
      <c r="O2133" s="4" t="s">
        <v>5728</v>
      </c>
    </row>
    <row r="2134" spans="1:15" ht="15.75" customHeight="1">
      <c r="A2134" s="4" t="s">
        <v>49</v>
      </c>
      <c r="B2134" s="4">
        <v>2244580</v>
      </c>
      <c r="C2134" s="4">
        <v>2245971</v>
      </c>
      <c r="E2134" s="4" t="s">
        <v>50</v>
      </c>
      <c r="F2134" s="4" t="s">
        <v>5729</v>
      </c>
      <c r="I2134" s="4" t="s">
        <v>52</v>
      </c>
      <c r="L2134" s="4" t="s">
        <v>5730</v>
      </c>
      <c r="M2134" s="4" t="s">
        <v>5729</v>
      </c>
      <c r="N2134" s="4">
        <v>463</v>
      </c>
      <c r="O2134" s="4" t="s">
        <v>5731</v>
      </c>
    </row>
    <row r="2135" spans="1:15" ht="15.75" customHeight="1">
      <c r="A2135" s="4" t="s">
        <v>49</v>
      </c>
      <c r="B2135" s="4">
        <v>2246181</v>
      </c>
      <c r="C2135" s="4">
        <v>2246834</v>
      </c>
      <c r="E2135" s="4" t="s">
        <v>50</v>
      </c>
      <c r="F2135" s="4" t="s">
        <v>5732</v>
      </c>
      <c r="I2135" s="4" t="s">
        <v>52</v>
      </c>
      <c r="L2135" s="4" t="s">
        <v>5733</v>
      </c>
      <c r="M2135" s="4" t="s">
        <v>5732</v>
      </c>
      <c r="N2135" s="4">
        <v>217</v>
      </c>
      <c r="O2135" s="4" t="s">
        <v>5734</v>
      </c>
    </row>
    <row r="2136" spans="1:15" ht="15.75" customHeight="1">
      <c r="A2136" s="4" t="s">
        <v>49</v>
      </c>
      <c r="B2136" s="4">
        <v>2246824</v>
      </c>
      <c r="C2136" s="4">
        <v>2247495</v>
      </c>
      <c r="E2136" s="4" t="s">
        <v>50</v>
      </c>
      <c r="F2136" s="4" t="s">
        <v>4775</v>
      </c>
      <c r="I2136" s="4" t="s">
        <v>52</v>
      </c>
      <c r="L2136" s="4" t="s">
        <v>5735</v>
      </c>
      <c r="M2136" s="4" t="s">
        <v>4775</v>
      </c>
      <c r="N2136" s="4">
        <v>223</v>
      </c>
      <c r="O2136" s="4" t="s">
        <v>5736</v>
      </c>
    </row>
    <row r="2137" spans="1:15" ht="15.75" customHeight="1">
      <c r="A2137" s="4" t="s">
        <v>49</v>
      </c>
      <c r="B2137" s="4">
        <v>2247497</v>
      </c>
      <c r="C2137" s="4">
        <v>2248438</v>
      </c>
      <c r="E2137" s="4" t="s">
        <v>50</v>
      </c>
      <c r="F2137" s="4" t="s">
        <v>328</v>
      </c>
      <c r="I2137" s="4" t="s">
        <v>52</v>
      </c>
      <c r="L2137" s="4" t="s">
        <v>5737</v>
      </c>
      <c r="M2137" s="4" t="s">
        <v>328</v>
      </c>
      <c r="N2137" s="4">
        <v>313</v>
      </c>
      <c r="O2137" s="4" t="s">
        <v>5738</v>
      </c>
    </row>
    <row r="2138" spans="1:15" ht="15.75" customHeight="1">
      <c r="A2138" s="4" t="s">
        <v>49</v>
      </c>
      <c r="B2138" s="4">
        <v>2248450</v>
      </c>
      <c r="C2138" s="4">
        <v>2250414</v>
      </c>
      <c r="E2138" s="4" t="s">
        <v>50</v>
      </c>
      <c r="F2138" s="4" t="s">
        <v>56</v>
      </c>
      <c r="I2138" s="4" t="s">
        <v>52</v>
      </c>
      <c r="L2138" s="4" t="s">
        <v>5739</v>
      </c>
      <c r="M2138" s="4" t="s">
        <v>56</v>
      </c>
      <c r="N2138" s="4">
        <v>654</v>
      </c>
      <c r="O2138" s="4" t="s">
        <v>5740</v>
      </c>
    </row>
    <row r="2139" spans="1:15" ht="15.75" customHeight="1">
      <c r="A2139" s="4" t="s">
        <v>49</v>
      </c>
      <c r="B2139" s="4">
        <v>2250572</v>
      </c>
      <c r="C2139" s="4">
        <v>2251261</v>
      </c>
      <c r="E2139" s="4" t="s">
        <v>50</v>
      </c>
      <c r="F2139" s="4" t="s">
        <v>5562</v>
      </c>
      <c r="G2139" s="4" t="s">
        <v>5563</v>
      </c>
      <c r="I2139" s="4" t="s">
        <v>52</v>
      </c>
      <c r="L2139" s="4" t="s">
        <v>5741</v>
      </c>
      <c r="M2139" s="4" t="s">
        <v>5562</v>
      </c>
      <c r="N2139" s="4">
        <v>229</v>
      </c>
      <c r="O2139" s="4" t="s">
        <v>5742</v>
      </c>
    </row>
    <row r="2140" spans="1:15" ht="15.75" customHeight="1">
      <c r="A2140" s="4" t="s">
        <v>49</v>
      </c>
      <c r="B2140" s="4">
        <v>2251330</v>
      </c>
      <c r="C2140" s="4">
        <v>2251974</v>
      </c>
      <c r="E2140" s="4" t="s">
        <v>50</v>
      </c>
      <c r="F2140" s="4" t="s">
        <v>5743</v>
      </c>
      <c r="I2140" s="4" t="s">
        <v>52</v>
      </c>
      <c r="L2140" s="4" t="s">
        <v>5744</v>
      </c>
      <c r="M2140" s="4" t="s">
        <v>5743</v>
      </c>
      <c r="N2140" s="4">
        <v>214</v>
      </c>
      <c r="O2140" s="4" t="s">
        <v>5745</v>
      </c>
    </row>
    <row r="2141" spans="1:15" ht="15.75" customHeight="1">
      <c r="A2141" s="4" t="s">
        <v>49</v>
      </c>
      <c r="B2141" s="4">
        <v>2252589</v>
      </c>
      <c r="C2141" s="4">
        <v>2253338</v>
      </c>
      <c r="E2141" s="4" t="s">
        <v>55</v>
      </c>
      <c r="F2141" s="4" t="s">
        <v>56</v>
      </c>
      <c r="I2141" s="4" t="s">
        <v>52</v>
      </c>
      <c r="L2141" s="4" t="s">
        <v>5746</v>
      </c>
      <c r="M2141" s="4" t="s">
        <v>56</v>
      </c>
      <c r="N2141" s="4">
        <v>249</v>
      </c>
      <c r="O2141" s="4" t="s">
        <v>5747</v>
      </c>
    </row>
    <row r="2142" spans="1:15" ht="15.75" customHeight="1">
      <c r="A2142" s="4" t="s">
        <v>49</v>
      </c>
      <c r="B2142" s="4">
        <v>2253799</v>
      </c>
      <c r="C2142" s="4">
        <v>2255481</v>
      </c>
      <c r="E2142" s="4" t="s">
        <v>55</v>
      </c>
      <c r="F2142" s="4" t="s">
        <v>3082</v>
      </c>
      <c r="I2142" s="4" t="s">
        <v>52</v>
      </c>
      <c r="L2142" s="4" t="s">
        <v>5748</v>
      </c>
      <c r="M2142" s="4" t="s">
        <v>3082</v>
      </c>
      <c r="N2142" s="4">
        <v>560</v>
      </c>
      <c r="O2142" s="4" t="s">
        <v>5749</v>
      </c>
    </row>
    <row r="2143" spans="1:15" ht="15.75" customHeight="1">
      <c r="A2143" s="4" t="s">
        <v>49</v>
      </c>
      <c r="B2143" s="4">
        <v>2255988</v>
      </c>
      <c r="C2143" s="4">
        <v>2256836</v>
      </c>
      <c r="E2143" s="4" t="s">
        <v>50</v>
      </c>
      <c r="F2143" s="4" t="s">
        <v>3377</v>
      </c>
      <c r="I2143" s="4" t="s">
        <v>52</v>
      </c>
      <c r="L2143" s="4" t="s">
        <v>5750</v>
      </c>
      <c r="M2143" s="4" t="s">
        <v>3377</v>
      </c>
      <c r="N2143" s="4">
        <v>282</v>
      </c>
      <c r="O2143" s="4" t="s">
        <v>5751</v>
      </c>
    </row>
    <row r="2144" spans="1:15" ht="15.75" customHeight="1">
      <c r="A2144" s="4" t="s">
        <v>49</v>
      </c>
      <c r="B2144" s="4">
        <v>2257092</v>
      </c>
      <c r="C2144" s="4">
        <v>2257889</v>
      </c>
      <c r="E2144" s="4" t="s">
        <v>55</v>
      </c>
      <c r="F2144" s="4" t="s">
        <v>1094</v>
      </c>
      <c r="I2144" s="4" t="s">
        <v>52</v>
      </c>
      <c r="L2144" s="4" t="s">
        <v>5752</v>
      </c>
      <c r="M2144" s="4" t="s">
        <v>1094</v>
      </c>
      <c r="N2144" s="4">
        <v>265</v>
      </c>
      <c r="O2144" s="4" t="s">
        <v>5753</v>
      </c>
    </row>
    <row r="2145" spans="1:15" ht="15.75" customHeight="1">
      <c r="A2145" s="4" t="s">
        <v>49</v>
      </c>
      <c r="B2145" s="4">
        <v>2258095</v>
      </c>
      <c r="C2145" s="4">
        <v>2258574</v>
      </c>
      <c r="E2145" s="4" t="s">
        <v>50</v>
      </c>
      <c r="F2145" s="4" t="s">
        <v>4039</v>
      </c>
      <c r="I2145" s="4" t="s">
        <v>52</v>
      </c>
      <c r="L2145" s="4" t="s">
        <v>5754</v>
      </c>
      <c r="M2145" s="4" t="s">
        <v>4039</v>
      </c>
      <c r="N2145" s="4">
        <v>159</v>
      </c>
      <c r="O2145" s="4" t="s">
        <v>5755</v>
      </c>
    </row>
    <row r="2146" spans="1:15" ht="15.75" customHeight="1">
      <c r="A2146" s="4" t="s">
        <v>49</v>
      </c>
      <c r="B2146" s="4">
        <v>2258607</v>
      </c>
      <c r="C2146" s="4">
        <v>2258927</v>
      </c>
      <c r="E2146" s="4" t="s">
        <v>50</v>
      </c>
      <c r="F2146" s="4" t="s">
        <v>5756</v>
      </c>
      <c r="I2146" s="4" t="s">
        <v>52</v>
      </c>
      <c r="L2146" s="4" t="s">
        <v>5757</v>
      </c>
      <c r="M2146" s="4" t="s">
        <v>5756</v>
      </c>
      <c r="N2146" s="4">
        <v>106</v>
      </c>
      <c r="O2146" s="4" t="s">
        <v>5758</v>
      </c>
    </row>
    <row r="2147" spans="1:15" ht="15.75" customHeight="1">
      <c r="A2147" s="4" t="s">
        <v>49</v>
      </c>
      <c r="B2147" s="4">
        <v>2258959</v>
      </c>
      <c r="C2147" s="4">
        <v>2260551</v>
      </c>
      <c r="E2147" s="4" t="s">
        <v>50</v>
      </c>
      <c r="F2147" s="4" t="s">
        <v>5673</v>
      </c>
      <c r="I2147" s="4" t="s">
        <v>52</v>
      </c>
      <c r="L2147" s="4" t="s">
        <v>5759</v>
      </c>
      <c r="M2147" s="4" t="s">
        <v>5673</v>
      </c>
      <c r="N2147" s="4">
        <v>530</v>
      </c>
      <c r="O2147" s="4" t="s">
        <v>5760</v>
      </c>
    </row>
    <row r="2148" spans="1:15" ht="15.75" customHeight="1">
      <c r="A2148" s="4" t="s">
        <v>49</v>
      </c>
      <c r="B2148" s="4">
        <v>2260544</v>
      </c>
      <c r="C2148" s="4">
        <v>2260780</v>
      </c>
      <c r="E2148" s="4" t="s">
        <v>50</v>
      </c>
      <c r="F2148" s="4" t="s">
        <v>56</v>
      </c>
      <c r="I2148" s="4" t="s">
        <v>52</v>
      </c>
      <c r="L2148" s="4" t="s">
        <v>5761</v>
      </c>
      <c r="M2148" s="4" t="s">
        <v>56</v>
      </c>
      <c r="N2148" s="4">
        <v>78</v>
      </c>
      <c r="O2148" s="4" t="s">
        <v>5762</v>
      </c>
    </row>
    <row r="2149" spans="1:15" ht="15.75" customHeight="1">
      <c r="A2149" s="4" t="s">
        <v>49</v>
      </c>
      <c r="B2149" s="4">
        <v>2260777</v>
      </c>
      <c r="C2149" s="4">
        <v>2261505</v>
      </c>
      <c r="E2149" s="4" t="s">
        <v>50</v>
      </c>
      <c r="F2149" s="4" t="s">
        <v>5763</v>
      </c>
      <c r="I2149" s="4" t="s">
        <v>52</v>
      </c>
      <c r="L2149" s="4" t="s">
        <v>5764</v>
      </c>
      <c r="M2149" s="4" t="s">
        <v>5763</v>
      </c>
      <c r="N2149" s="4">
        <v>242</v>
      </c>
      <c r="O2149" s="4" t="s">
        <v>5765</v>
      </c>
    </row>
    <row r="2150" spans="1:15" ht="15.75" customHeight="1">
      <c r="A2150" s="4" t="s">
        <v>49</v>
      </c>
      <c r="B2150" s="4">
        <v>2261699</v>
      </c>
      <c r="C2150" s="4">
        <v>2261905</v>
      </c>
      <c r="E2150" s="4" t="s">
        <v>50</v>
      </c>
      <c r="F2150" s="4" t="s">
        <v>56</v>
      </c>
      <c r="I2150" s="4" t="s">
        <v>52</v>
      </c>
      <c r="L2150" s="4" t="s">
        <v>5766</v>
      </c>
      <c r="M2150" s="4" t="s">
        <v>56</v>
      </c>
      <c r="N2150" s="4">
        <v>68</v>
      </c>
      <c r="O2150" s="4" t="s">
        <v>5767</v>
      </c>
    </row>
    <row r="2151" spans="1:15" ht="15.75" customHeight="1">
      <c r="A2151" s="4" t="s">
        <v>49</v>
      </c>
      <c r="B2151" s="4">
        <v>2261938</v>
      </c>
      <c r="C2151" s="4">
        <v>2262663</v>
      </c>
      <c r="E2151" s="4" t="s">
        <v>55</v>
      </c>
      <c r="F2151" s="4" t="s">
        <v>2401</v>
      </c>
      <c r="I2151" s="4" t="s">
        <v>52</v>
      </c>
      <c r="L2151" s="4" t="s">
        <v>5768</v>
      </c>
      <c r="M2151" s="4" t="s">
        <v>2401</v>
      </c>
      <c r="N2151" s="4">
        <v>241</v>
      </c>
      <c r="O2151" s="4" t="s">
        <v>5769</v>
      </c>
    </row>
    <row r="2152" spans="1:15" ht="15.75" customHeight="1">
      <c r="A2152" s="4" t="s">
        <v>49</v>
      </c>
      <c r="B2152" s="4">
        <v>2263074</v>
      </c>
      <c r="C2152" s="4">
        <v>2264504</v>
      </c>
      <c r="E2152" s="4" t="s">
        <v>55</v>
      </c>
      <c r="F2152" s="4" t="s">
        <v>5370</v>
      </c>
      <c r="I2152" s="4" t="s">
        <v>52</v>
      </c>
      <c r="L2152" s="4" t="s">
        <v>5371</v>
      </c>
      <c r="M2152" s="4" t="s">
        <v>5370</v>
      </c>
      <c r="N2152" s="4">
        <v>476</v>
      </c>
      <c r="O2152" s="4" t="s">
        <v>5770</v>
      </c>
    </row>
    <row r="2153" spans="1:15" ht="15.75" customHeight="1">
      <c r="A2153" s="4" t="s">
        <v>49</v>
      </c>
      <c r="B2153" s="4">
        <v>2264723</v>
      </c>
      <c r="C2153" s="4">
        <v>2266237</v>
      </c>
      <c r="E2153" s="4" t="s">
        <v>50</v>
      </c>
      <c r="F2153" s="4" t="s">
        <v>5771</v>
      </c>
      <c r="G2153" s="4" t="s">
        <v>5772</v>
      </c>
      <c r="I2153" s="4" t="s">
        <v>52</v>
      </c>
      <c r="L2153" s="4" t="s">
        <v>5773</v>
      </c>
      <c r="M2153" s="4" t="s">
        <v>5771</v>
      </c>
      <c r="N2153" s="4">
        <v>504</v>
      </c>
      <c r="O2153" s="4" t="s">
        <v>5774</v>
      </c>
    </row>
    <row r="2154" spans="1:15" ht="15.75" customHeight="1">
      <c r="A2154" s="4" t="s">
        <v>49</v>
      </c>
      <c r="B2154" s="4">
        <v>2266342</v>
      </c>
      <c r="C2154" s="4">
        <v>2267094</v>
      </c>
      <c r="E2154" s="4" t="s">
        <v>55</v>
      </c>
      <c r="F2154" s="4" t="s">
        <v>3646</v>
      </c>
      <c r="I2154" s="4" t="s">
        <v>52</v>
      </c>
      <c r="L2154" s="4" t="s">
        <v>5775</v>
      </c>
      <c r="M2154" s="4" t="s">
        <v>3646</v>
      </c>
      <c r="N2154" s="4">
        <v>250</v>
      </c>
      <c r="O2154" s="4" t="s">
        <v>5776</v>
      </c>
    </row>
    <row r="2155" spans="1:15" ht="15.75" customHeight="1">
      <c r="A2155" s="4" t="s">
        <v>49</v>
      </c>
      <c r="B2155" s="4">
        <v>2267220</v>
      </c>
      <c r="C2155" s="4">
        <v>2268149</v>
      </c>
      <c r="E2155" s="4" t="s">
        <v>50</v>
      </c>
      <c r="F2155" s="4" t="s">
        <v>1090</v>
      </c>
      <c r="G2155" s="4" t="s">
        <v>1091</v>
      </c>
      <c r="I2155" s="4" t="s">
        <v>52</v>
      </c>
      <c r="L2155" s="4" t="s">
        <v>5777</v>
      </c>
      <c r="M2155" s="4" t="s">
        <v>1090</v>
      </c>
      <c r="N2155" s="4">
        <v>309</v>
      </c>
      <c r="O2155" s="4" t="s">
        <v>5778</v>
      </c>
    </row>
    <row r="2156" spans="1:15" ht="15.75" customHeight="1">
      <c r="A2156" s="4" t="s">
        <v>49</v>
      </c>
      <c r="B2156" s="4">
        <v>2268153</v>
      </c>
      <c r="C2156" s="4">
        <v>2270135</v>
      </c>
      <c r="E2156" s="4" t="s">
        <v>50</v>
      </c>
      <c r="F2156" s="4" t="s">
        <v>1087</v>
      </c>
      <c r="I2156" s="4" t="s">
        <v>52</v>
      </c>
      <c r="L2156" s="4" t="s">
        <v>5779</v>
      </c>
      <c r="M2156" s="4" t="s">
        <v>1087</v>
      </c>
      <c r="N2156" s="4">
        <v>660</v>
      </c>
      <c r="O2156" s="4" t="s">
        <v>5780</v>
      </c>
    </row>
    <row r="2157" spans="1:15" ht="15.75" customHeight="1">
      <c r="A2157" s="4" t="s">
        <v>49</v>
      </c>
      <c r="B2157" s="4">
        <v>2270184</v>
      </c>
      <c r="C2157" s="4">
        <v>2270522</v>
      </c>
      <c r="E2157" s="4" t="s">
        <v>50</v>
      </c>
      <c r="F2157" s="4" t="s">
        <v>56</v>
      </c>
      <c r="I2157" s="4" t="s">
        <v>52</v>
      </c>
      <c r="L2157" s="4" t="s">
        <v>5781</v>
      </c>
      <c r="M2157" s="4" t="s">
        <v>56</v>
      </c>
      <c r="N2157" s="4">
        <v>112</v>
      </c>
      <c r="O2157" s="4" t="s">
        <v>5782</v>
      </c>
    </row>
    <row r="2158" spans="1:15" ht="15.75" customHeight="1">
      <c r="A2158" s="4" t="s">
        <v>49</v>
      </c>
      <c r="B2158" s="4">
        <v>2270717</v>
      </c>
      <c r="C2158" s="4">
        <v>2271190</v>
      </c>
      <c r="E2158" s="4" t="s">
        <v>50</v>
      </c>
      <c r="F2158" s="4" t="s">
        <v>56</v>
      </c>
      <c r="I2158" s="4" t="s">
        <v>52</v>
      </c>
      <c r="L2158" s="4" t="s">
        <v>5783</v>
      </c>
      <c r="M2158" s="4" t="s">
        <v>56</v>
      </c>
      <c r="N2158" s="4">
        <v>157</v>
      </c>
      <c r="O2158" s="4" t="s">
        <v>5784</v>
      </c>
    </row>
    <row r="2159" spans="1:15" ht="15.75" customHeight="1">
      <c r="A2159" s="4" t="s">
        <v>49</v>
      </c>
      <c r="B2159" s="4">
        <v>2271348</v>
      </c>
      <c r="C2159" s="4">
        <v>2272046</v>
      </c>
      <c r="E2159" s="4" t="s">
        <v>55</v>
      </c>
      <c r="F2159" s="4" t="s">
        <v>5785</v>
      </c>
      <c r="I2159" s="4" t="s">
        <v>52</v>
      </c>
      <c r="L2159" s="4" t="s">
        <v>5786</v>
      </c>
      <c r="M2159" s="4" t="s">
        <v>5785</v>
      </c>
      <c r="N2159" s="4">
        <v>232</v>
      </c>
      <c r="O2159" s="4" t="s">
        <v>5787</v>
      </c>
    </row>
    <row r="2160" spans="1:15" ht="15.75" customHeight="1">
      <c r="A2160" s="4" t="s">
        <v>49</v>
      </c>
      <c r="B2160" s="4">
        <v>2272447</v>
      </c>
      <c r="C2160" s="4">
        <v>2273640</v>
      </c>
      <c r="E2160" s="4" t="s">
        <v>50</v>
      </c>
      <c r="F2160" s="4" t="s">
        <v>5788</v>
      </c>
      <c r="G2160" s="4" t="s">
        <v>5789</v>
      </c>
      <c r="I2160" s="4" t="s">
        <v>52</v>
      </c>
      <c r="L2160" s="4" t="s">
        <v>5790</v>
      </c>
      <c r="M2160" s="4" t="s">
        <v>5788</v>
      </c>
      <c r="N2160" s="4">
        <v>397</v>
      </c>
      <c r="O2160" s="4" t="s">
        <v>5791</v>
      </c>
    </row>
    <row r="2161" spans="1:15" ht="15.75" customHeight="1">
      <c r="A2161" s="4" t="s">
        <v>49</v>
      </c>
      <c r="B2161" s="4">
        <v>2273945</v>
      </c>
      <c r="C2161" s="4">
        <v>2275147</v>
      </c>
      <c r="E2161" s="4" t="s">
        <v>55</v>
      </c>
      <c r="F2161" s="4" t="s">
        <v>5792</v>
      </c>
      <c r="I2161" s="4" t="s">
        <v>52</v>
      </c>
      <c r="L2161" s="4" t="s">
        <v>5793</v>
      </c>
      <c r="M2161" s="4" t="s">
        <v>5792</v>
      </c>
      <c r="N2161" s="4">
        <v>400</v>
      </c>
      <c r="O2161" s="4" t="s">
        <v>5794</v>
      </c>
    </row>
    <row r="2162" spans="1:15" ht="15.75" customHeight="1">
      <c r="A2162" s="4" t="s">
        <v>49</v>
      </c>
      <c r="B2162" s="4">
        <v>2275397</v>
      </c>
      <c r="C2162" s="4">
        <v>2276299</v>
      </c>
      <c r="E2162" s="4" t="s">
        <v>50</v>
      </c>
      <c r="F2162" s="4" t="s">
        <v>690</v>
      </c>
      <c r="I2162" s="4" t="s">
        <v>52</v>
      </c>
      <c r="L2162" s="4" t="s">
        <v>5795</v>
      </c>
      <c r="M2162" s="4" t="s">
        <v>690</v>
      </c>
      <c r="N2162" s="4">
        <v>300</v>
      </c>
      <c r="O2162" s="4" t="s">
        <v>5796</v>
      </c>
    </row>
    <row r="2163" spans="1:15" ht="15.75" customHeight="1">
      <c r="A2163" s="4" t="s">
        <v>49</v>
      </c>
      <c r="B2163" s="4">
        <v>2276305</v>
      </c>
      <c r="C2163" s="4">
        <v>2276787</v>
      </c>
      <c r="E2163" s="4" t="s">
        <v>55</v>
      </c>
      <c r="F2163" s="4" t="s">
        <v>5797</v>
      </c>
      <c r="I2163" s="4" t="s">
        <v>52</v>
      </c>
      <c r="L2163" s="4" t="s">
        <v>5798</v>
      </c>
      <c r="M2163" s="4" t="s">
        <v>5797</v>
      </c>
      <c r="N2163" s="4">
        <v>160</v>
      </c>
      <c r="O2163" s="4" t="s">
        <v>5799</v>
      </c>
    </row>
    <row r="2164" spans="1:15" ht="15.75" customHeight="1">
      <c r="A2164" s="4" t="s">
        <v>49</v>
      </c>
      <c r="B2164" s="4">
        <v>2276884</v>
      </c>
      <c r="C2164" s="4">
        <v>2277696</v>
      </c>
      <c r="E2164" s="4" t="s">
        <v>50</v>
      </c>
      <c r="F2164" s="4" t="s">
        <v>59</v>
      </c>
      <c r="I2164" s="4" t="s">
        <v>52</v>
      </c>
      <c r="L2164" s="4" t="s">
        <v>5800</v>
      </c>
      <c r="M2164" s="4" t="s">
        <v>59</v>
      </c>
      <c r="N2164" s="4">
        <v>270</v>
      </c>
      <c r="O2164" s="4" t="s">
        <v>5801</v>
      </c>
    </row>
    <row r="2165" spans="1:15" ht="15.75" customHeight="1">
      <c r="A2165" s="4" t="s">
        <v>49</v>
      </c>
      <c r="B2165" s="4">
        <v>2277741</v>
      </c>
      <c r="C2165" s="4">
        <v>2278427</v>
      </c>
      <c r="E2165" s="4" t="s">
        <v>50</v>
      </c>
      <c r="F2165" s="4" t="s">
        <v>656</v>
      </c>
      <c r="I2165" s="4" t="s">
        <v>52</v>
      </c>
      <c r="L2165" s="4" t="s">
        <v>5802</v>
      </c>
      <c r="M2165" s="4" t="s">
        <v>656</v>
      </c>
      <c r="N2165" s="4">
        <v>228</v>
      </c>
      <c r="O2165" s="4" t="s">
        <v>5803</v>
      </c>
    </row>
    <row r="2166" spans="1:15" ht="15.75" customHeight="1">
      <c r="A2166" s="4" t="s">
        <v>49</v>
      </c>
      <c r="B2166" s="4">
        <v>2278433</v>
      </c>
      <c r="C2166" s="4">
        <v>2279110</v>
      </c>
      <c r="E2166" s="4" t="s">
        <v>55</v>
      </c>
      <c r="F2166" s="4" t="s">
        <v>5804</v>
      </c>
      <c r="I2166" s="4" t="s">
        <v>52</v>
      </c>
      <c r="L2166" s="4" t="s">
        <v>5805</v>
      </c>
      <c r="M2166" s="4" t="s">
        <v>5804</v>
      </c>
      <c r="N2166" s="4">
        <v>225</v>
      </c>
      <c r="O2166" s="4" t="s">
        <v>5806</v>
      </c>
    </row>
    <row r="2167" spans="1:15" ht="15.75" customHeight="1">
      <c r="A2167" s="4" t="s">
        <v>49</v>
      </c>
      <c r="B2167" s="4">
        <v>2279109</v>
      </c>
      <c r="C2167" s="4">
        <v>2279315</v>
      </c>
      <c r="E2167" s="4" t="s">
        <v>50</v>
      </c>
      <c r="F2167" s="4" t="s">
        <v>56</v>
      </c>
      <c r="I2167" s="4" t="s">
        <v>52</v>
      </c>
      <c r="L2167" s="4" t="s">
        <v>5807</v>
      </c>
      <c r="M2167" s="4" t="s">
        <v>56</v>
      </c>
      <c r="N2167" s="4">
        <v>68</v>
      </c>
      <c r="O2167" s="4" t="s">
        <v>5808</v>
      </c>
    </row>
    <row r="2168" spans="1:15" ht="15.75" customHeight="1">
      <c r="A2168" s="4" t="s">
        <v>49</v>
      </c>
      <c r="B2168" s="4">
        <v>2279399</v>
      </c>
      <c r="C2168" s="4">
        <v>2279662</v>
      </c>
      <c r="E2168" s="4" t="s">
        <v>55</v>
      </c>
      <c r="F2168" s="4" t="s">
        <v>56</v>
      </c>
      <c r="I2168" s="4" t="s">
        <v>52</v>
      </c>
      <c r="L2168" s="4" t="s">
        <v>5809</v>
      </c>
      <c r="M2168" s="4" t="s">
        <v>56</v>
      </c>
      <c r="N2168" s="4">
        <v>87</v>
      </c>
      <c r="O2168" s="4" t="s">
        <v>5810</v>
      </c>
    </row>
    <row r="2169" spans="1:15" ht="15.75" customHeight="1">
      <c r="A2169" s="4" t="s">
        <v>49</v>
      </c>
      <c r="B2169" s="4">
        <v>2279970</v>
      </c>
      <c r="C2169" s="4">
        <v>2280314</v>
      </c>
      <c r="E2169" s="4" t="s">
        <v>50</v>
      </c>
      <c r="F2169" s="4" t="s">
        <v>56</v>
      </c>
      <c r="I2169" s="4" t="s">
        <v>52</v>
      </c>
      <c r="L2169" s="4" t="s">
        <v>5811</v>
      </c>
      <c r="M2169" s="4" t="s">
        <v>56</v>
      </c>
      <c r="N2169" s="4">
        <v>114</v>
      </c>
      <c r="O2169" s="4" t="s">
        <v>5812</v>
      </c>
    </row>
    <row r="2170" spans="1:15" ht="15.75" customHeight="1">
      <c r="A2170" s="4" t="s">
        <v>49</v>
      </c>
      <c r="B2170" s="4">
        <v>2280377</v>
      </c>
      <c r="C2170" s="4">
        <v>2281189</v>
      </c>
      <c r="E2170" s="4" t="s">
        <v>50</v>
      </c>
      <c r="F2170" s="4" t="s">
        <v>59</v>
      </c>
      <c r="I2170" s="4" t="s">
        <v>52</v>
      </c>
      <c r="L2170" s="4" t="s">
        <v>5813</v>
      </c>
      <c r="M2170" s="4" t="s">
        <v>59</v>
      </c>
      <c r="N2170" s="4">
        <v>270</v>
      </c>
      <c r="O2170" s="4" t="s">
        <v>5814</v>
      </c>
    </row>
    <row r="2171" spans="1:15" ht="15.75" customHeight="1">
      <c r="A2171" s="4" t="s">
        <v>49</v>
      </c>
      <c r="B2171" s="4">
        <v>2281491</v>
      </c>
      <c r="C2171" s="4">
        <v>2282495</v>
      </c>
      <c r="E2171" s="4" t="s">
        <v>50</v>
      </c>
      <c r="F2171" s="4" t="s">
        <v>3943</v>
      </c>
      <c r="I2171" s="4" t="s">
        <v>52</v>
      </c>
      <c r="L2171" s="4" t="s">
        <v>5815</v>
      </c>
      <c r="M2171" s="4" t="s">
        <v>3943</v>
      </c>
      <c r="N2171" s="4">
        <v>334</v>
      </c>
      <c r="O2171" s="4" t="s">
        <v>5816</v>
      </c>
    </row>
    <row r="2172" spans="1:15" ht="15.75" customHeight="1">
      <c r="A2172" s="4" t="s">
        <v>49</v>
      </c>
      <c r="B2172" s="4">
        <v>2282559</v>
      </c>
      <c r="C2172" s="4">
        <v>2285087</v>
      </c>
      <c r="E2172" s="4" t="s">
        <v>55</v>
      </c>
      <c r="F2172" s="4" t="s">
        <v>945</v>
      </c>
      <c r="I2172" s="4" t="s">
        <v>52</v>
      </c>
      <c r="L2172" s="4" t="s">
        <v>5817</v>
      </c>
      <c r="M2172" s="4" t="s">
        <v>945</v>
      </c>
      <c r="N2172" s="4">
        <v>842</v>
      </c>
      <c r="O2172" s="4" t="s">
        <v>5818</v>
      </c>
    </row>
    <row r="2173" spans="1:15" ht="15.75" customHeight="1">
      <c r="A2173" s="4" t="s">
        <v>49</v>
      </c>
      <c r="B2173" s="4">
        <v>2285300</v>
      </c>
      <c r="C2173" s="4">
        <v>2285716</v>
      </c>
      <c r="E2173" s="4" t="s">
        <v>55</v>
      </c>
      <c r="F2173" s="4" t="s">
        <v>5819</v>
      </c>
      <c r="I2173" s="4" t="s">
        <v>52</v>
      </c>
      <c r="L2173" s="4" t="s">
        <v>5820</v>
      </c>
      <c r="M2173" s="4" t="s">
        <v>5819</v>
      </c>
      <c r="N2173" s="4">
        <v>138</v>
      </c>
      <c r="O2173" s="4" t="s">
        <v>5821</v>
      </c>
    </row>
    <row r="2174" spans="1:15" ht="15.75" customHeight="1">
      <c r="A2174" s="4" t="s">
        <v>49</v>
      </c>
      <c r="B2174" s="4">
        <v>2285844</v>
      </c>
      <c r="C2174" s="4">
        <v>2286518</v>
      </c>
      <c r="E2174" s="4" t="s">
        <v>50</v>
      </c>
      <c r="F2174" s="4" t="s">
        <v>2090</v>
      </c>
      <c r="I2174" s="4" t="s">
        <v>52</v>
      </c>
      <c r="L2174" s="4" t="s">
        <v>5822</v>
      </c>
      <c r="M2174" s="4" t="s">
        <v>2090</v>
      </c>
      <c r="N2174" s="4">
        <v>224</v>
      </c>
      <c r="O2174" s="4" t="s">
        <v>5823</v>
      </c>
    </row>
    <row r="2175" spans="1:15" ht="15.75" customHeight="1">
      <c r="A2175" s="4" t="s">
        <v>49</v>
      </c>
      <c r="B2175" s="4">
        <v>2286683</v>
      </c>
      <c r="C2175" s="4">
        <v>2286755</v>
      </c>
      <c r="E2175" s="4" t="s">
        <v>50</v>
      </c>
      <c r="F2175" s="4" t="s">
        <v>2532</v>
      </c>
      <c r="I2175" s="4" t="s">
        <v>302</v>
      </c>
      <c r="O2175" s="4" t="s">
        <v>5824</v>
      </c>
    </row>
    <row r="2176" spans="1:15" ht="15.75" customHeight="1">
      <c r="A2176" s="4" t="s">
        <v>49</v>
      </c>
      <c r="B2176" s="4">
        <v>2287042</v>
      </c>
      <c r="C2176" s="4">
        <v>2287686</v>
      </c>
      <c r="E2176" s="4" t="s">
        <v>50</v>
      </c>
      <c r="F2176" s="4" t="s">
        <v>3422</v>
      </c>
      <c r="I2176" s="4" t="s">
        <v>52</v>
      </c>
      <c r="L2176" s="4" t="s">
        <v>5825</v>
      </c>
      <c r="M2176" s="4" t="s">
        <v>3422</v>
      </c>
      <c r="N2176" s="4">
        <v>214</v>
      </c>
      <c r="O2176" s="4" t="s">
        <v>5826</v>
      </c>
    </row>
    <row r="2177" spans="1:15" ht="15.75" customHeight="1">
      <c r="A2177" s="4" t="s">
        <v>49</v>
      </c>
      <c r="B2177" s="4">
        <v>2288123</v>
      </c>
      <c r="C2177" s="4">
        <v>2289094</v>
      </c>
      <c r="E2177" s="4" t="s">
        <v>50</v>
      </c>
      <c r="F2177" s="4" t="s">
        <v>5827</v>
      </c>
      <c r="I2177" s="4" t="s">
        <v>52</v>
      </c>
      <c r="L2177" s="4" t="s">
        <v>5828</v>
      </c>
      <c r="M2177" s="4" t="s">
        <v>5827</v>
      </c>
      <c r="N2177" s="4">
        <v>323</v>
      </c>
      <c r="O2177" s="4" t="s">
        <v>5829</v>
      </c>
    </row>
    <row r="2178" spans="1:15" ht="15.75" customHeight="1">
      <c r="A2178" s="4" t="s">
        <v>49</v>
      </c>
      <c r="B2178" s="4">
        <v>2289119</v>
      </c>
      <c r="C2178" s="4">
        <v>2289952</v>
      </c>
      <c r="E2178" s="4" t="s">
        <v>55</v>
      </c>
      <c r="F2178" s="4" t="s">
        <v>690</v>
      </c>
      <c r="I2178" s="4" t="s">
        <v>52</v>
      </c>
      <c r="L2178" s="4" t="s">
        <v>5830</v>
      </c>
      <c r="M2178" s="4" t="s">
        <v>690</v>
      </c>
      <c r="N2178" s="4">
        <v>277</v>
      </c>
      <c r="O2178" s="4" t="s">
        <v>5831</v>
      </c>
    </row>
    <row r="2179" spans="1:15" ht="15.75" customHeight="1">
      <c r="A2179" s="4" t="s">
        <v>49</v>
      </c>
      <c r="B2179" s="4">
        <v>2290087</v>
      </c>
      <c r="C2179" s="4">
        <v>2292375</v>
      </c>
      <c r="E2179" s="4" t="s">
        <v>55</v>
      </c>
      <c r="F2179" s="4" t="s">
        <v>2753</v>
      </c>
      <c r="G2179" s="4" t="s">
        <v>2754</v>
      </c>
      <c r="I2179" s="4" t="s">
        <v>52</v>
      </c>
      <c r="L2179" s="4" t="s">
        <v>5832</v>
      </c>
      <c r="M2179" s="4" t="s">
        <v>2753</v>
      </c>
      <c r="N2179" s="4">
        <v>762</v>
      </c>
      <c r="O2179" s="4" t="s">
        <v>5833</v>
      </c>
    </row>
    <row r="2180" spans="1:15" ht="15.75" customHeight="1">
      <c r="A2180" s="4" t="s">
        <v>49</v>
      </c>
      <c r="B2180" s="4">
        <v>2292724</v>
      </c>
      <c r="C2180" s="4">
        <v>2294256</v>
      </c>
      <c r="E2180" s="4" t="s">
        <v>50</v>
      </c>
      <c r="F2180" s="4" t="s">
        <v>5834</v>
      </c>
      <c r="I2180" s="4" t="s">
        <v>52</v>
      </c>
      <c r="L2180" s="4" t="s">
        <v>5835</v>
      </c>
      <c r="M2180" s="4" t="s">
        <v>5834</v>
      </c>
      <c r="N2180" s="4">
        <v>510</v>
      </c>
      <c r="O2180" s="4" t="s">
        <v>5836</v>
      </c>
    </row>
    <row r="2181" spans="1:15" ht="15.75" customHeight="1">
      <c r="A2181" s="4" t="s">
        <v>49</v>
      </c>
      <c r="B2181" s="4">
        <v>2294256</v>
      </c>
      <c r="C2181" s="4">
        <v>2295215</v>
      </c>
      <c r="E2181" s="4" t="s">
        <v>50</v>
      </c>
      <c r="F2181" s="4" t="s">
        <v>73</v>
      </c>
      <c r="I2181" s="4" t="s">
        <v>52</v>
      </c>
      <c r="L2181" s="4" t="s">
        <v>5837</v>
      </c>
      <c r="M2181" s="4" t="s">
        <v>73</v>
      </c>
      <c r="N2181" s="4">
        <v>319</v>
      </c>
      <c r="O2181" s="4" t="s">
        <v>5838</v>
      </c>
    </row>
    <row r="2182" spans="1:15" ht="15.75" customHeight="1">
      <c r="A2182" s="4" t="s">
        <v>49</v>
      </c>
      <c r="B2182" s="4">
        <v>2295221</v>
      </c>
      <c r="C2182" s="4">
        <v>2296546</v>
      </c>
      <c r="E2182" s="4" t="s">
        <v>50</v>
      </c>
      <c r="F2182" s="4" t="s">
        <v>3280</v>
      </c>
      <c r="I2182" s="4" t="s">
        <v>52</v>
      </c>
      <c r="L2182" s="4" t="s">
        <v>5839</v>
      </c>
      <c r="M2182" s="4" t="s">
        <v>3280</v>
      </c>
      <c r="N2182" s="4">
        <v>441</v>
      </c>
      <c r="O2182" s="4" t="s">
        <v>5840</v>
      </c>
    </row>
    <row r="2183" spans="1:15" ht="15.75" customHeight="1">
      <c r="A2183" s="4" t="s">
        <v>49</v>
      </c>
      <c r="B2183" s="4">
        <v>2296661</v>
      </c>
      <c r="C2183" s="4">
        <v>2298787</v>
      </c>
      <c r="E2183" s="4" t="s">
        <v>50</v>
      </c>
      <c r="F2183" s="4" t="s">
        <v>2499</v>
      </c>
      <c r="I2183" s="4" t="s">
        <v>52</v>
      </c>
      <c r="L2183" s="4" t="s">
        <v>5841</v>
      </c>
      <c r="M2183" s="4" t="s">
        <v>2499</v>
      </c>
      <c r="N2183" s="4">
        <v>708</v>
      </c>
      <c r="O2183" s="4" t="s">
        <v>5842</v>
      </c>
    </row>
    <row r="2184" spans="1:15" ht="15.75" customHeight="1">
      <c r="A2184" s="4" t="s">
        <v>49</v>
      </c>
      <c r="B2184" s="4">
        <v>2299415</v>
      </c>
      <c r="C2184" s="4">
        <v>2300431</v>
      </c>
      <c r="E2184" s="4" t="s">
        <v>50</v>
      </c>
      <c r="F2184" s="4" t="s">
        <v>5843</v>
      </c>
      <c r="G2184" s="4" t="s">
        <v>5844</v>
      </c>
      <c r="I2184" s="4" t="s">
        <v>52</v>
      </c>
      <c r="L2184" s="4" t="s">
        <v>5845</v>
      </c>
      <c r="M2184" s="4" t="s">
        <v>5843</v>
      </c>
      <c r="N2184" s="4">
        <v>338</v>
      </c>
      <c r="O2184" s="4" t="s">
        <v>5846</v>
      </c>
    </row>
    <row r="2185" spans="1:15" ht="15.75" customHeight="1">
      <c r="A2185" s="4" t="s">
        <v>49</v>
      </c>
      <c r="B2185" s="4">
        <v>2300617</v>
      </c>
      <c r="C2185" s="4">
        <v>2301225</v>
      </c>
      <c r="E2185" s="4" t="s">
        <v>50</v>
      </c>
      <c r="F2185" s="4" t="s">
        <v>5847</v>
      </c>
      <c r="I2185" s="4" t="s">
        <v>52</v>
      </c>
      <c r="L2185" s="4" t="s">
        <v>5848</v>
      </c>
      <c r="M2185" s="4" t="s">
        <v>5847</v>
      </c>
      <c r="N2185" s="4">
        <v>202</v>
      </c>
      <c r="O2185" s="4" t="s">
        <v>5849</v>
      </c>
    </row>
    <row r="2186" spans="1:15" ht="15.75" customHeight="1">
      <c r="A2186" s="4" t="s">
        <v>49</v>
      </c>
      <c r="B2186" s="4">
        <v>2301234</v>
      </c>
      <c r="C2186" s="4">
        <v>2302070</v>
      </c>
      <c r="E2186" s="4" t="s">
        <v>50</v>
      </c>
      <c r="F2186" s="4" t="s">
        <v>4665</v>
      </c>
      <c r="I2186" s="4" t="s">
        <v>52</v>
      </c>
      <c r="L2186" s="4" t="s">
        <v>5850</v>
      </c>
      <c r="M2186" s="4" t="s">
        <v>4665</v>
      </c>
      <c r="N2186" s="4">
        <v>278</v>
      </c>
      <c r="O2186" s="4" t="s">
        <v>5851</v>
      </c>
    </row>
    <row r="2187" spans="1:15" ht="15.75" customHeight="1">
      <c r="A2187" s="4" t="s">
        <v>49</v>
      </c>
      <c r="B2187" s="4">
        <v>2302285</v>
      </c>
      <c r="C2187" s="4">
        <v>2303640</v>
      </c>
      <c r="E2187" s="4" t="s">
        <v>50</v>
      </c>
      <c r="F2187" s="4" t="s">
        <v>5852</v>
      </c>
      <c r="I2187" s="4" t="s">
        <v>52</v>
      </c>
      <c r="L2187" s="4" t="s">
        <v>5853</v>
      </c>
      <c r="M2187" s="4" t="s">
        <v>5852</v>
      </c>
      <c r="N2187" s="4">
        <v>451</v>
      </c>
      <c r="O2187" s="4" t="s">
        <v>5854</v>
      </c>
    </row>
    <row r="2188" spans="1:15" ht="15.75" customHeight="1">
      <c r="A2188" s="4" t="s">
        <v>49</v>
      </c>
      <c r="B2188" s="4">
        <v>2303954</v>
      </c>
      <c r="C2188" s="4">
        <v>2304454</v>
      </c>
      <c r="E2188" s="4" t="s">
        <v>55</v>
      </c>
      <c r="F2188" s="4" t="s">
        <v>51</v>
      </c>
      <c r="I2188" s="4" t="s">
        <v>52</v>
      </c>
      <c r="L2188" s="4" t="s">
        <v>5855</v>
      </c>
      <c r="M2188" s="4" t="s">
        <v>51</v>
      </c>
      <c r="N2188" s="4">
        <v>166</v>
      </c>
      <c r="O2188" s="4" t="s">
        <v>5856</v>
      </c>
    </row>
    <row r="2189" spans="1:15" ht="15.75" customHeight="1">
      <c r="A2189" s="4" t="s">
        <v>49</v>
      </c>
      <c r="B2189" s="4">
        <v>2304477</v>
      </c>
      <c r="C2189" s="4">
        <v>2305301</v>
      </c>
      <c r="E2189" s="4" t="s">
        <v>55</v>
      </c>
      <c r="F2189" s="4" t="s">
        <v>161</v>
      </c>
      <c r="I2189" s="4" t="s">
        <v>52</v>
      </c>
      <c r="L2189" s="4" t="s">
        <v>5857</v>
      </c>
      <c r="M2189" s="4" t="s">
        <v>161</v>
      </c>
      <c r="N2189" s="4">
        <v>274</v>
      </c>
      <c r="O2189" s="4" t="s">
        <v>5858</v>
      </c>
    </row>
    <row r="2190" spans="1:15" ht="15.75" customHeight="1">
      <c r="A2190" s="4" t="s">
        <v>49</v>
      </c>
      <c r="B2190" s="4">
        <v>2305468</v>
      </c>
      <c r="C2190" s="4">
        <v>2306400</v>
      </c>
      <c r="E2190" s="4" t="s">
        <v>55</v>
      </c>
      <c r="F2190" s="4" t="s">
        <v>5859</v>
      </c>
      <c r="I2190" s="4" t="s">
        <v>52</v>
      </c>
      <c r="L2190" s="4" t="s">
        <v>5860</v>
      </c>
      <c r="M2190" s="4" t="s">
        <v>5859</v>
      </c>
      <c r="N2190" s="4">
        <v>310</v>
      </c>
      <c r="O2190" s="4" t="s">
        <v>5861</v>
      </c>
    </row>
    <row r="2191" spans="1:15" ht="15.75" customHeight="1">
      <c r="A2191" s="4" t="s">
        <v>49</v>
      </c>
      <c r="B2191" s="4">
        <v>2306787</v>
      </c>
      <c r="C2191" s="4">
        <v>2308316</v>
      </c>
      <c r="E2191" s="4" t="s">
        <v>50</v>
      </c>
      <c r="F2191" s="4" t="s">
        <v>5862</v>
      </c>
      <c r="I2191" s="4" t="s">
        <v>52</v>
      </c>
      <c r="L2191" s="4" t="s">
        <v>5863</v>
      </c>
      <c r="M2191" s="4" t="s">
        <v>5862</v>
      </c>
      <c r="N2191" s="4">
        <v>509</v>
      </c>
      <c r="O2191" s="4" t="s">
        <v>5864</v>
      </c>
    </row>
    <row r="2192" spans="1:15" ht="15.75" customHeight="1">
      <c r="A2192" s="4" t="s">
        <v>49</v>
      </c>
      <c r="B2192" s="4">
        <v>2308313</v>
      </c>
      <c r="C2192" s="4">
        <v>2310475</v>
      </c>
      <c r="E2192" s="4" t="s">
        <v>50</v>
      </c>
      <c r="F2192" s="4" t="s">
        <v>5865</v>
      </c>
      <c r="I2192" s="4" t="s">
        <v>52</v>
      </c>
      <c r="L2192" s="4" t="s">
        <v>5866</v>
      </c>
      <c r="M2192" s="4" t="s">
        <v>5865</v>
      </c>
      <c r="N2192" s="4">
        <v>720</v>
      </c>
      <c r="O2192" s="4" t="s">
        <v>5867</v>
      </c>
    </row>
    <row r="2193" spans="1:15" ht="15.75" customHeight="1">
      <c r="A2193" s="4" t="s">
        <v>49</v>
      </c>
      <c r="B2193" s="4">
        <v>2310472</v>
      </c>
      <c r="C2193" s="4">
        <v>2311413</v>
      </c>
      <c r="E2193" s="4" t="s">
        <v>50</v>
      </c>
      <c r="F2193" s="4" t="s">
        <v>5862</v>
      </c>
      <c r="G2193" s="4" t="s">
        <v>5868</v>
      </c>
      <c r="I2193" s="4" t="s">
        <v>52</v>
      </c>
      <c r="L2193" s="4" t="s">
        <v>5869</v>
      </c>
      <c r="M2193" s="4" t="s">
        <v>5862</v>
      </c>
      <c r="N2193" s="4">
        <v>313</v>
      </c>
      <c r="O2193" s="4" t="s">
        <v>5870</v>
      </c>
    </row>
    <row r="2194" spans="1:15" ht="15.75" customHeight="1">
      <c r="A2194" s="4" t="s">
        <v>49</v>
      </c>
      <c r="B2194" s="4">
        <v>2311631</v>
      </c>
      <c r="C2194" s="4">
        <v>2312614</v>
      </c>
      <c r="E2194" s="4" t="s">
        <v>50</v>
      </c>
      <c r="F2194" s="4" t="s">
        <v>5871</v>
      </c>
      <c r="I2194" s="4" t="s">
        <v>52</v>
      </c>
      <c r="L2194" s="4" t="s">
        <v>5872</v>
      </c>
      <c r="M2194" s="4" t="s">
        <v>5871</v>
      </c>
      <c r="N2194" s="4">
        <v>327</v>
      </c>
      <c r="O2194" s="4" t="s">
        <v>5873</v>
      </c>
    </row>
    <row r="2195" spans="1:15" ht="15.75" customHeight="1">
      <c r="A2195" s="4" t="s">
        <v>49</v>
      </c>
      <c r="B2195" s="4">
        <v>2312649</v>
      </c>
      <c r="C2195" s="4">
        <v>2312927</v>
      </c>
      <c r="E2195" s="4" t="s">
        <v>50</v>
      </c>
      <c r="F2195" s="4" t="s">
        <v>56</v>
      </c>
      <c r="I2195" s="4" t="s">
        <v>52</v>
      </c>
      <c r="L2195" s="4" t="s">
        <v>5874</v>
      </c>
      <c r="M2195" s="4" t="s">
        <v>56</v>
      </c>
      <c r="N2195" s="4">
        <v>92</v>
      </c>
      <c r="O2195" s="4" t="s">
        <v>5875</v>
      </c>
    </row>
    <row r="2196" spans="1:15" ht="15.75" customHeight="1">
      <c r="A2196" s="4" t="s">
        <v>49</v>
      </c>
      <c r="B2196" s="4">
        <v>2313003</v>
      </c>
      <c r="C2196" s="4">
        <v>2313512</v>
      </c>
      <c r="E2196" s="4" t="s">
        <v>55</v>
      </c>
      <c r="F2196" s="4" t="s">
        <v>5876</v>
      </c>
      <c r="I2196" s="4" t="s">
        <v>52</v>
      </c>
      <c r="L2196" s="4" t="s">
        <v>5877</v>
      </c>
      <c r="M2196" s="4" t="s">
        <v>5876</v>
      </c>
      <c r="N2196" s="4">
        <v>169</v>
      </c>
      <c r="O2196" s="4" t="s">
        <v>5878</v>
      </c>
    </row>
    <row r="2197" spans="1:15" ht="15.75" customHeight="1">
      <c r="A2197" s="4" t="s">
        <v>49</v>
      </c>
      <c r="B2197" s="4">
        <v>2313764</v>
      </c>
      <c r="C2197" s="4">
        <v>2314690</v>
      </c>
      <c r="E2197" s="4" t="s">
        <v>50</v>
      </c>
      <c r="F2197" s="4" t="s">
        <v>56</v>
      </c>
      <c r="I2197" s="4" t="s">
        <v>52</v>
      </c>
      <c r="L2197" s="4" t="s">
        <v>5879</v>
      </c>
      <c r="M2197" s="4" t="s">
        <v>56</v>
      </c>
      <c r="N2197" s="4">
        <v>308</v>
      </c>
      <c r="O2197" s="4" t="s">
        <v>5880</v>
      </c>
    </row>
    <row r="2198" spans="1:15" ht="15.75" customHeight="1">
      <c r="A2198" s="4" t="s">
        <v>49</v>
      </c>
      <c r="B2198" s="4">
        <v>2314687</v>
      </c>
      <c r="C2198" s="4">
        <v>2314833</v>
      </c>
      <c r="E2198" s="4" t="s">
        <v>55</v>
      </c>
      <c r="F2198" s="4" t="s">
        <v>56</v>
      </c>
      <c r="I2198" s="4" t="s">
        <v>52</v>
      </c>
      <c r="L2198" s="4" t="s">
        <v>5881</v>
      </c>
      <c r="M2198" s="4" t="s">
        <v>56</v>
      </c>
      <c r="N2198" s="4">
        <v>48</v>
      </c>
      <c r="O2198" s="4" t="s">
        <v>5882</v>
      </c>
    </row>
    <row r="2199" spans="1:15" ht="15.75" customHeight="1">
      <c r="A2199" s="4" t="s">
        <v>49</v>
      </c>
      <c r="B2199" s="4">
        <v>2315117</v>
      </c>
      <c r="C2199" s="4">
        <v>2315809</v>
      </c>
      <c r="E2199" s="4" t="s">
        <v>50</v>
      </c>
      <c r="F2199" s="4" t="s">
        <v>5883</v>
      </c>
      <c r="I2199" s="4" t="s">
        <v>52</v>
      </c>
      <c r="L2199" s="4" t="s">
        <v>5884</v>
      </c>
      <c r="M2199" s="4" t="s">
        <v>5883</v>
      </c>
      <c r="N2199" s="4">
        <v>230</v>
      </c>
      <c r="O2199" s="4" t="s">
        <v>5885</v>
      </c>
    </row>
    <row r="2200" spans="1:15" ht="15.75" customHeight="1">
      <c r="A2200" s="4" t="s">
        <v>49</v>
      </c>
      <c r="B2200" s="4">
        <v>2315901</v>
      </c>
      <c r="C2200" s="4">
        <v>2316509</v>
      </c>
      <c r="E2200" s="4" t="s">
        <v>50</v>
      </c>
      <c r="F2200" s="4" t="s">
        <v>440</v>
      </c>
      <c r="I2200" s="4" t="s">
        <v>52</v>
      </c>
      <c r="L2200" s="4" t="s">
        <v>5886</v>
      </c>
      <c r="M2200" s="4" t="s">
        <v>440</v>
      </c>
      <c r="N2200" s="4">
        <v>202</v>
      </c>
      <c r="O2200" s="4" t="s">
        <v>5887</v>
      </c>
    </row>
    <row r="2201" spans="1:15" ht="15.75" customHeight="1">
      <c r="A2201" s="4" t="s">
        <v>49</v>
      </c>
      <c r="B2201" s="4">
        <v>2316537</v>
      </c>
      <c r="C2201" s="4">
        <v>2317442</v>
      </c>
      <c r="E2201" s="4" t="s">
        <v>50</v>
      </c>
      <c r="F2201" s="4" t="s">
        <v>999</v>
      </c>
      <c r="I2201" s="4" t="s">
        <v>52</v>
      </c>
      <c r="L2201" s="4" t="s">
        <v>5888</v>
      </c>
      <c r="M2201" s="4" t="s">
        <v>999</v>
      </c>
      <c r="N2201" s="4">
        <v>301</v>
      </c>
      <c r="O2201" s="4" t="s">
        <v>5889</v>
      </c>
    </row>
    <row r="2202" spans="1:15" ht="15.75" customHeight="1">
      <c r="A2202" s="4" t="s">
        <v>49</v>
      </c>
      <c r="B2202" s="4">
        <v>2317588</v>
      </c>
      <c r="C2202" s="4">
        <v>2318067</v>
      </c>
      <c r="E2202" s="4" t="s">
        <v>50</v>
      </c>
      <c r="F2202" s="4" t="s">
        <v>5890</v>
      </c>
      <c r="I2202" s="4" t="s">
        <v>52</v>
      </c>
      <c r="L2202" s="4" t="s">
        <v>5891</v>
      </c>
      <c r="M2202" s="4" t="s">
        <v>5890</v>
      </c>
      <c r="N2202" s="4">
        <v>159</v>
      </c>
      <c r="O2202" s="4" t="s">
        <v>5892</v>
      </c>
    </row>
    <row r="2203" spans="1:15" ht="15.75" customHeight="1">
      <c r="A2203" s="4" t="s">
        <v>49</v>
      </c>
      <c r="B2203" s="4">
        <v>2318060</v>
      </c>
      <c r="C2203" s="4">
        <v>2318872</v>
      </c>
      <c r="E2203" s="4" t="s">
        <v>50</v>
      </c>
      <c r="F2203" s="4" t="s">
        <v>5893</v>
      </c>
      <c r="I2203" s="4" t="s">
        <v>52</v>
      </c>
      <c r="L2203" s="4" t="s">
        <v>5894</v>
      </c>
      <c r="M2203" s="4" t="s">
        <v>5893</v>
      </c>
      <c r="N2203" s="4">
        <v>270</v>
      </c>
      <c r="O2203" s="4" t="s">
        <v>5895</v>
      </c>
    </row>
    <row r="2204" spans="1:15" ht="15.75" customHeight="1">
      <c r="A2204" s="4" t="s">
        <v>49</v>
      </c>
      <c r="B2204" s="4">
        <v>2319081</v>
      </c>
      <c r="C2204" s="4">
        <v>2319959</v>
      </c>
      <c r="E2204" s="4" t="s">
        <v>50</v>
      </c>
      <c r="F2204" s="4" t="s">
        <v>5896</v>
      </c>
      <c r="G2204" s="4" t="s">
        <v>5897</v>
      </c>
      <c r="I2204" s="4" t="s">
        <v>52</v>
      </c>
      <c r="L2204" s="4" t="s">
        <v>5898</v>
      </c>
      <c r="M2204" s="4" t="s">
        <v>5896</v>
      </c>
      <c r="N2204" s="4">
        <v>292</v>
      </c>
      <c r="O2204" s="4" t="s">
        <v>5899</v>
      </c>
    </row>
    <row r="2205" spans="1:15" ht="15.75" customHeight="1">
      <c r="A2205" s="4" t="s">
        <v>49</v>
      </c>
      <c r="B2205" s="4">
        <v>2320038</v>
      </c>
      <c r="C2205" s="4">
        <v>2322020</v>
      </c>
      <c r="E2205" s="4" t="s">
        <v>50</v>
      </c>
      <c r="F2205" s="4" t="s">
        <v>5900</v>
      </c>
      <c r="G2205" s="4" t="s">
        <v>5901</v>
      </c>
      <c r="I2205" s="4" t="s">
        <v>52</v>
      </c>
      <c r="L2205" s="4" t="s">
        <v>5902</v>
      </c>
      <c r="M2205" s="4" t="s">
        <v>5900</v>
      </c>
      <c r="N2205" s="4">
        <v>660</v>
      </c>
      <c r="O2205" s="4" t="s">
        <v>5903</v>
      </c>
    </row>
    <row r="2206" spans="1:15" ht="15.75" customHeight="1">
      <c r="A2206" s="4" t="s">
        <v>49</v>
      </c>
      <c r="B2206" s="4">
        <v>2322138</v>
      </c>
      <c r="C2206" s="4">
        <v>2324054</v>
      </c>
      <c r="E2206" s="4" t="s">
        <v>55</v>
      </c>
      <c r="F2206" s="4" t="s">
        <v>345</v>
      </c>
      <c r="I2206" s="4" t="s">
        <v>346</v>
      </c>
      <c r="O2206" s="4" t="s">
        <v>5904</v>
      </c>
    </row>
    <row r="2207" spans="1:15" ht="15.75" customHeight="1">
      <c r="A2207" s="4" t="s">
        <v>49</v>
      </c>
      <c r="B2207" s="4">
        <v>2324041</v>
      </c>
      <c r="C2207" s="4">
        <v>2325867</v>
      </c>
      <c r="E2207" s="4" t="s">
        <v>55</v>
      </c>
      <c r="F2207" s="4" t="s">
        <v>73</v>
      </c>
      <c r="I2207" s="4" t="s">
        <v>52</v>
      </c>
      <c r="L2207" s="4" t="s">
        <v>5905</v>
      </c>
      <c r="M2207" s="4" t="s">
        <v>73</v>
      </c>
      <c r="N2207" s="4">
        <v>608</v>
      </c>
      <c r="O2207" s="4" t="s">
        <v>5906</v>
      </c>
    </row>
    <row r="2208" spans="1:15" ht="15.75" customHeight="1">
      <c r="A2208" s="4" t="s">
        <v>49</v>
      </c>
      <c r="B2208" s="4">
        <v>2325921</v>
      </c>
      <c r="C2208" s="4">
        <v>2326832</v>
      </c>
      <c r="E2208" s="4" t="s">
        <v>55</v>
      </c>
      <c r="F2208" s="4" t="s">
        <v>714</v>
      </c>
      <c r="I2208" s="4" t="s">
        <v>52</v>
      </c>
      <c r="L2208" s="4" t="s">
        <v>5907</v>
      </c>
      <c r="M2208" s="4" t="s">
        <v>714</v>
      </c>
      <c r="N2208" s="4">
        <v>303</v>
      </c>
      <c r="O2208" s="4" t="s">
        <v>5908</v>
      </c>
    </row>
    <row r="2209" spans="1:15" ht="15.75" customHeight="1">
      <c r="A2209" s="4" t="s">
        <v>49</v>
      </c>
      <c r="B2209" s="4">
        <v>2326819</v>
      </c>
      <c r="C2209" s="4">
        <v>2327523</v>
      </c>
      <c r="E2209" s="4" t="s">
        <v>55</v>
      </c>
      <c r="F2209" s="4" t="s">
        <v>3784</v>
      </c>
      <c r="I2209" s="4" t="s">
        <v>52</v>
      </c>
      <c r="L2209" s="4" t="s">
        <v>5909</v>
      </c>
      <c r="M2209" s="4" t="s">
        <v>3784</v>
      </c>
      <c r="N2209" s="4">
        <v>234</v>
      </c>
      <c r="O2209" s="4" t="s">
        <v>5910</v>
      </c>
    </row>
    <row r="2210" spans="1:15" ht="15.75" customHeight="1">
      <c r="A2210" s="4" t="s">
        <v>49</v>
      </c>
      <c r="B2210" s="4">
        <v>2327717</v>
      </c>
      <c r="C2210" s="4">
        <v>2328598</v>
      </c>
      <c r="E2210" s="4" t="s">
        <v>55</v>
      </c>
      <c r="F2210" s="4" t="s">
        <v>1278</v>
      </c>
      <c r="I2210" s="4" t="s">
        <v>52</v>
      </c>
      <c r="L2210" s="4" t="s">
        <v>5911</v>
      </c>
      <c r="M2210" s="4" t="s">
        <v>1278</v>
      </c>
      <c r="N2210" s="4">
        <v>293</v>
      </c>
      <c r="O2210" s="4" t="s">
        <v>5912</v>
      </c>
    </row>
    <row r="2211" spans="1:15" ht="15.75" customHeight="1">
      <c r="A2211" s="4" t="s">
        <v>49</v>
      </c>
      <c r="B2211" s="4">
        <v>2328790</v>
      </c>
      <c r="C2211" s="4">
        <v>2329788</v>
      </c>
      <c r="E2211" s="4" t="s">
        <v>55</v>
      </c>
      <c r="F2211" s="4" t="s">
        <v>5913</v>
      </c>
      <c r="I2211" s="4" t="s">
        <v>52</v>
      </c>
      <c r="L2211" s="4" t="s">
        <v>5914</v>
      </c>
      <c r="M2211" s="4" t="s">
        <v>5913</v>
      </c>
      <c r="N2211" s="4">
        <v>332</v>
      </c>
      <c r="O2211" s="4" t="s">
        <v>5915</v>
      </c>
    </row>
    <row r="2212" spans="1:15" ht="15.75" customHeight="1">
      <c r="A2212" s="4" t="s">
        <v>49</v>
      </c>
      <c r="B2212" s="4">
        <v>2330007</v>
      </c>
      <c r="C2212" s="4">
        <v>2330489</v>
      </c>
      <c r="E2212" s="4" t="s">
        <v>50</v>
      </c>
      <c r="F2212" s="4" t="s">
        <v>4039</v>
      </c>
      <c r="I2212" s="4" t="s">
        <v>52</v>
      </c>
      <c r="L2212" s="4" t="s">
        <v>5916</v>
      </c>
      <c r="M2212" s="4" t="s">
        <v>4039</v>
      </c>
      <c r="N2212" s="4">
        <v>160</v>
      </c>
      <c r="O2212" s="4" t="s">
        <v>5917</v>
      </c>
    </row>
    <row r="2213" spans="1:15" ht="15.75" customHeight="1">
      <c r="A2213" s="4" t="s">
        <v>49</v>
      </c>
      <c r="B2213" s="4">
        <v>2330507</v>
      </c>
      <c r="C2213" s="4">
        <v>2331286</v>
      </c>
      <c r="E2213" s="4" t="s">
        <v>50</v>
      </c>
      <c r="F2213" s="4" t="s">
        <v>5918</v>
      </c>
      <c r="I2213" s="4" t="s">
        <v>52</v>
      </c>
      <c r="L2213" s="4" t="s">
        <v>5919</v>
      </c>
      <c r="M2213" s="4" t="s">
        <v>5918</v>
      </c>
      <c r="N2213" s="4">
        <v>259</v>
      </c>
      <c r="O2213" s="4" t="s">
        <v>5920</v>
      </c>
    </row>
    <row r="2214" spans="1:15" ht="15.75" customHeight="1">
      <c r="A2214" s="4" t="s">
        <v>49</v>
      </c>
      <c r="B2214" s="4">
        <v>2331283</v>
      </c>
      <c r="C2214" s="4">
        <v>2331852</v>
      </c>
      <c r="E2214" s="4" t="s">
        <v>50</v>
      </c>
      <c r="F2214" s="4" t="s">
        <v>5921</v>
      </c>
      <c r="G2214" s="4" t="s">
        <v>5922</v>
      </c>
      <c r="I2214" s="4" t="s">
        <v>52</v>
      </c>
      <c r="L2214" s="4" t="s">
        <v>5923</v>
      </c>
      <c r="M2214" s="4" t="s">
        <v>5921</v>
      </c>
      <c r="N2214" s="4">
        <v>189</v>
      </c>
      <c r="O2214" s="4" t="s">
        <v>5924</v>
      </c>
    </row>
    <row r="2215" spans="1:15" ht="15.75" customHeight="1">
      <c r="A2215" s="4" t="s">
        <v>49</v>
      </c>
      <c r="B2215" s="4">
        <v>2331839</v>
      </c>
      <c r="C2215" s="4">
        <v>2332735</v>
      </c>
      <c r="E2215" s="4" t="s">
        <v>50</v>
      </c>
      <c r="F2215" s="4" t="s">
        <v>5925</v>
      </c>
      <c r="G2215" s="4" t="s">
        <v>5926</v>
      </c>
      <c r="I2215" s="4" t="s">
        <v>52</v>
      </c>
      <c r="L2215" s="4" t="s">
        <v>5927</v>
      </c>
      <c r="M2215" s="4" t="s">
        <v>5925</v>
      </c>
      <c r="N2215" s="4">
        <v>298</v>
      </c>
      <c r="O2215" s="4" t="s">
        <v>5928</v>
      </c>
    </row>
    <row r="2216" spans="1:15" ht="15.75" customHeight="1">
      <c r="A2216" s="4" t="s">
        <v>49</v>
      </c>
      <c r="B2216" s="4">
        <v>2332853</v>
      </c>
      <c r="C2216" s="4">
        <v>2333104</v>
      </c>
      <c r="E2216" s="4" t="s">
        <v>50</v>
      </c>
      <c r="F2216" s="4" t="s">
        <v>5929</v>
      </c>
      <c r="I2216" s="4" t="s">
        <v>52</v>
      </c>
      <c r="L2216" s="4" t="s">
        <v>5930</v>
      </c>
      <c r="M2216" s="4" t="s">
        <v>5929</v>
      </c>
      <c r="N2216" s="4">
        <v>83</v>
      </c>
      <c r="O2216" s="4" t="s">
        <v>5931</v>
      </c>
    </row>
    <row r="2217" spans="1:15" ht="15.75" customHeight="1">
      <c r="A2217" s="4" t="s">
        <v>49</v>
      </c>
      <c r="B2217" s="4">
        <v>2333360</v>
      </c>
      <c r="C2217" s="4">
        <v>2334238</v>
      </c>
      <c r="E2217" s="4" t="s">
        <v>50</v>
      </c>
      <c r="F2217" s="4" t="s">
        <v>5932</v>
      </c>
      <c r="G2217" s="4" t="s">
        <v>5933</v>
      </c>
      <c r="I2217" s="4" t="s">
        <v>52</v>
      </c>
      <c r="L2217" s="4" t="s">
        <v>5934</v>
      </c>
      <c r="M2217" s="4" t="s">
        <v>5932</v>
      </c>
      <c r="N2217" s="4">
        <v>292</v>
      </c>
      <c r="O2217" s="4" t="s">
        <v>5935</v>
      </c>
    </row>
    <row r="2218" spans="1:15" ht="15.75" customHeight="1">
      <c r="A2218" s="4" t="s">
        <v>49</v>
      </c>
      <c r="B2218" s="4">
        <v>2334293</v>
      </c>
      <c r="C2218" s="4">
        <v>2335171</v>
      </c>
      <c r="E2218" s="4" t="s">
        <v>50</v>
      </c>
      <c r="F2218" s="4" t="s">
        <v>2888</v>
      </c>
      <c r="I2218" s="4" t="s">
        <v>52</v>
      </c>
      <c r="L2218" s="4" t="s">
        <v>5936</v>
      </c>
      <c r="M2218" s="4" t="s">
        <v>2888</v>
      </c>
      <c r="N2218" s="4">
        <v>292</v>
      </c>
      <c r="O2218" s="4" t="s">
        <v>5937</v>
      </c>
    </row>
    <row r="2219" spans="1:15" ht="15.75" customHeight="1">
      <c r="A2219" s="4" t="s">
        <v>49</v>
      </c>
      <c r="B2219" s="4">
        <v>2335261</v>
      </c>
      <c r="C2219" s="4">
        <v>2336022</v>
      </c>
      <c r="E2219" s="4" t="s">
        <v>55</v>
      </c>
      <c r="F2219" s="4" t="s">
        <v>5938</v>
      </c>
      <c r="G2219" s="4" t="s">
        <v>5939</v>
      </c>
      <c r="I2219" s="4" t="s">
        <v>52</v>
      </c>
      <c r="L2219" s="4" t="s">
        <v>5940</v>
      </c>
      <c r="M2219" s="4" t="s">
        <v>5938</v>
      </c>
      <c r="N2219" s="4">
        <v>253</v>
      </c>
      <c r="O2219" s="4" t="s">
        <v>5941</v>
      </c>
    </row>
    <row r="2220" spans="1:15" ht="15.75" customHeight="1">
      <c r="A2220" s="4" t="s">
        <v>49</v>
      </c>
      <c r="B2220" s="4">
        <v>2336015</v>
      </c>
      <c r="C2220" s="4">
        <v>2336665</v>
      </c>
      <c r="E2220" s="4" t="s">
        <v>55</v>
      </c>
      <c r="F2220" s="4" t="s">
        <v>2499</v>
      </c>
      <c r="I2220" s="4" t="s">
        <v>52</v>
      </c>
      <c r="L2220" s="4" t="s">
        <v>5942</v>
      </c>
      <c r="M2220" s="4" t="s">
        <v>2499</v>
      </c>
      <c r="N2220" s="4">
        <v>216</v>
      </c>
      <c r="O2220" s="4" t="s">
        <v>5943</v>
      </c>
    </row>
    <row r="2221" spans="1:15" ht="15.75" customHeight="1">
      <c r="A2221" s="4" t="s">
        <v>49</v>
      </c>
      <c r="B2221" s="4">
        <v>2336899</v>
      </c>
      <c r="C2221" s="4">
        <v>2337747</v>
      </c>
      <c r="E2221" s="4" t="s">
        <v>50</v>
      </c>
      <c r="F2221" s="4" t="s">
        <v>5944</v>
      </c>
      <c r="G2221" s="4" t="s">
        <v>5945</v>
      </c>
      <c r="I2221" s="4" t="s">
        <v>52</v>
      </c>
      <c r="L2221" s="4" t="s">
        <v>5946</v>
      </c>
      <c r="M2221" s="4" t="s">
        <v>5944</v>
      </c>
      <c r="N2221" s="4">
        <v>282</v>
      </c>
      <c r="O2221" s="4" t="s">
        <v>5947</v>
      </c>
    </row>
    <row r="2222" spans="1:15" ht="15.75" customHeight="1">
      <c r="A2222" s="4" t="s">
        <v>49</v>
      </c>
      <c r="B2222" s="4">
        <v>2337744</v>
      </c>
      <c r="C2222" s="4">
        <v>2338937</v>
      </c>
      <c r="E2222" s="4" t="s">
        <v>50</v>
      </c>
      <c r="F2222" s="4" t="s">
        <v>138</v>
      </c>
      <c r="I2222" s="4" t="s">
        <v>52</v>
      </c>
      <c r="L2222" s="4" t="s">
        <v>5948</v>
      </c>
      <c r="M2222" s="4" t="s">
        <v>138</v>
      </c>
      <c r="N2222" s="4">
        <v>397</v>
      </c>
      <c r="O2222" s="4" t="s">
        <v>5949</v>
      </c>
    </row>
    <row r="2223" spans="1:15" ht="15.75" customHeight="1">
      <c r="A2223" s="4" t="s">
        <v>49</v>
      </c>
      <c r="B2223" s="4">
        <v>2339077</v>
      </c>
      <c r="C2223" s="4">
        <v>2340465</v>
      </c>
      <c r="E2223" s="4" t="s">
        <v>50</v>
      </c>
      <c r="F2223" s="4" t="s">
        <v>5950</v>
      </c>
      <c r="G2223" s="4" t="s">
        <v>5951</v>
      </c>
      <c r="I2223" s="4" t="s">
        <v>52</v>
      </c>
      <c r="L2223" s="4" t="s">
        <v>5952</v>
      </c>
      <c r="M2223" s="4" t="s">
        <v>5950</v>
      </c>
      <c r="N2223" s="4">
        <v>462</v>
      </c>
      <c r="O2223" s="4" t="s">
        <v>5953</v>
      </c>
    </row>
    <row r="2224" spans="1:15" ht="15.75" customHeight="1">
      <c r="A2224" s="4" t="s">
        <v>49</v>
      </c>
      <c r="B2224" s="4">
        <v>2340563</v>
      </c>
      <c r="C2224" s="4">
        <v>2341537</v>
      </c>
      <c r="E2224" s="4" t="s">
        <v>50</v>
      </c>
      <c r="F2224" s="4" t="s">
        <v>5954</v>
      </c>
      <c r="I2224" s="4" t="s">
        <v>52</v>
      </c>
      <c r="L2224" s="4" t="s">
        <v>5955</v>
      </c>
      <c r="M2224" s="4" t="s">
        <v>5954</v>
      </c>
      <c r="N2224" s="4">
        <v>324</v>
      </c>
      <c r="O2224" s="4" t="s">
        <v>5956</v>
      </c>
    </row>
    <row r="2225" spans="1:15" ht="15.75" customHeight="1">
      <c r="A2225" s="4" t="s">
        <v>49</v>
      </c>
      <c r="B2225" s="4">
        <v>2341833</v>
      </c>
      <c r="C2225" s="4">
        <v>2342171</v>
      </c>
      <c r="E2225" s="4" t="s">
        <v>50</v>
      </c>
      <c r="F2225" s="4" t="s">
        <v>1720</v>
      </c>
      <c r="I2225" s="4" t="s">
        <v>52</v>
      </c>
      <c r="L2225" s="4" t="s">
        <v>5957</v>
      </c>
      <c r="M2225" s="4" t="s">
        <v>1720</v>
      </c>
      <c r="N2225" s="4">
        <v>112</v>
      </c>
      <c r="O2225" s="4" t="s">
        <v>5958</v>
      </c>
    </row>
    <row r="2226" spans="1:15" ht="15.75" customHeight="1">
      <c r="A2226" s="4" t="s">
        <v>49</v>
      </c>
      <c r="B2226" s="4">
        <v>2342334</v>
      </c>
      <c r="C2226" s="4">
        <v>2342834</v>
      </c>
      <c r="E2226" s="4" t="s">
        <v>55</v>
      </c>
      <c r="F2226" s="4" t="s">
        <v>345</v>
      </c>
      <c r="I2226" s="4" t="s">
        <v>346</v>
      </c>
      <c r="O2226" s="4" t="s">
        <v>5959</v>
      </c>
    </row>
    <row r="2227" spans="1:15" ht="15.75" customHeight="1">
      <c r="A2227" s="4" t="s">
        <v>49</v>
      </c>
      <c r="B2227" s="4">
        <v>2343016</v>
      </c>
      <c r="C2227" s="4">
        <v>2343387</v>
      </c>
      <c r="E2227" s="4" t="s">
        <v>55</v>
      </c>
      <c r="F2227" s="4" t="s">
        <v>5960</v>
      </c>
      <c r="G2227" s="4" t="s">
        <v>5961</v>
      </c>
      <c r="I2227" s="4" t="s">
        <v>52</v>
      </c>
      <c r="L2227" s="4" t="s">
        <v>5962</v>
      </c>
      <c r="M2227" s="4" t="s">
        <v>5960</v>
      </c>
      <c r="N2227" s="4">
        <v>123</v>
      </c>
      <c r="O2227" s="4" t="s">
        <v>5963</v>
      </c>
    </row>
    <row r="2228" spans="1:15" ht="15.75" customHeight="1">
      <c r="A2228" s="4" t="s">
        <v>49</v>
      </c>
      <c r="B2228" s="4">
        <v>2343450</v>
      </c>
      <c r="C2228" s="4">
        <v>2344508</v>
      </c>
      <c r="E2228" s="4" t="s">
        <v>55</v>
      </c>
      <c r="F2228" s="4" t="s">
        <v>5964</v>
      </c>
      <c r="I2228" s="4" t="s">
        <v>52</v>
      </c>
      <c r="L2228" s="4" t="s">
        <v>5965</v>
      </c>
      <c r="M2228" s="4" t="s">
        <v>5964</v>
      </c>
      <c r="N2228" s="4">
        <v>352</v>
      </c>
      <c r="O2228" s="4" t="s">
        <v>5966</v>
      </c>
    </row>
    <row r="2229" spans="1:15" ht="15.75" customHeight="1">
      <c r="A2229" s="4" t="s">
        <v>49</v>
      </c>
      <c r="B2229" s="4">
        <v>2344580</v>
      </c>
      <c r="C2229" s="4">
        <v>2345032</v>
      </c>
      <c r="E2229" s="4" t="s">
        <v>50</v>
      </c>
      <c r="F2229" s="4" t="s">
        <v>931</v>
      </c>
      <c r="I2229" s="4" t="s">
        <v>52</v>
      </c>
      <c r="L2229" s="4" t="s">
        <v>5967</v>
      </c>
      <c r="M2229" s="4" t="s">
        <v>931</v>
      </c>
      <c r="N2229" s="4">
        <v>150</v>
      </c>
      <c r="O2229" s="4" t="s">
        <v>5968</v>
      </c>
    </row>
    <row r="2230" spans="1:15" ht="15.75" customHeight="1">
      <c r="A2230" s="4" t="s">
        <v>49</v>
      </c>
      <c r="B2230" s="4">
        <v>2345041</v>
      </c>
      <c r="C2230" s="4">
        <v>2346393</v>
      </c>
      <c r="E2230" s="4" t="s">
        <v>55</v>
      </c>
      <c r="F2230" s="4" t="s">
        <v>2090</v>
      </c>
      <c r="I2230" s="4" t="s">
        <v>52</v>
      </c>
      <c r="L2230" s="4" t="s">
        <v>5969</v>
      </c>
      <c r="M2230" s="4" t="s">
        <v>2090</v>
      </c>
      <c r="N2230" s="4">
        <v>450</v>
      </c>
      <c r="O2230" s="4" t="s">
        <v>5970</v>
      </c>
    </row>
    <row r="2231" spans="1:15" ht="15.75" customHeight="1">
      <c r="A2231" s="4" t="s">
        <v>49</v>
      </c>
      <c r="B2231" s="4">
        <v>2346383</v>
      </c>
      <c r="C2231" s="4">
        <v>2347231</v>
      </c>
      <c r="E2231" s="4" t="s">
        <v>55</v>
      </c>
      <c r="F2231" s="4" t="s">
        <v>5971</v>
      </c>
      <c r="I2231" s="4" t="s">
        <v>52</v>
      </c>
      <c r="L2231" s="4" t="s">
        <v>5972</v>
      </c>
      <c r="M2231" s="4" t="s">
        <v>5971</v>
      </c>
      <c r="N2231" s="4">
        <v>282</v>
      </c>
      <c r="O2231" s="4" t="s">
        <v>5973</v>
      </c>
    </row>
    <row r="2232" spans="1:15" ht="15.75" customHeight="1">
      <c r="A2232" s="4" t="s">
        <v>49</v>
      </c>
      <c r="B2232" s="4">
        <v>2347412</v>
      </c>
      <c r="C2232" s="4">
        <v>2347858</v>
      </c>
      <c r="E2232" s="4" t="s">
        <v>50</v>
      </c>
      <c r="F2232" s="4" t="s">
        <v>5974</v>
      </c>
      <c r="I2232" s="4" t="s">
        <v>52</v>
      </c>
      <c r="L2232" s="4" t="s">
        <v>5975</v>
      </c>
      <c r="M2232" s="4" t="s">
        <v>5974</v>
      </c>
      <c r="N2232" s="4">
        <v>148</v>
      </c>
      <c r="O2232" s="4" t="s">
        <v>5976</v>
      </c>
    </row>
    <row r="2233" spans="1:15" ht="15.75" customHeight="1">
      <c r="A2233" s="4" t="s">
        <v>49</v>
      </c>
      <c r="B2233" s="4">
        <v>2347911</v>
      </c>
      <c r="C2233" s="4">
        <v>2348582</v>
      </c>
      <c r="E2233" s="4" t="s">
        <v>50</v>
      </c>
      <c r="F2233" s="4" t="s">
        <v>5977</v>
      </c>
      <c r="G2233" s="4" t="s">
        <v>5978</v>
      </c>
      <c r="I2233" s="4" t="s">
        <v>52</v>
      </c>
      <c r="L2233" s="4" t="s">
        <v>5979</v>
      </c>
      <c r="M2233" s="4" t="s">
        <v>5977</v>
      </c>
      <c r="N2233" s="4">
        <v>223</v>
      </c>
      <c r="O2233" s="4" t="s">
        <v>5980</v>
      </c>
    </row>
    <row r="2234" spans="1:15" ht="15.75" customHeight="1">
      <c r="A2234" s="4" t="s">
        <v>49</v>
      </c>
      <c r="B2234" s="4">
        <v>2349000</v>
      </c>
      <c r="C2234" s="4">
        <v>2349881</v>
      </c>
      <c r="E2234" s="4" t="s">
        <v>50</v>
      </c>
      <c r="F2234" s="4" t="s">
        <v>440</v>
      </c>
      <c r="I2234" s="4" t="s">
        <v>52</v>
      </c>
      <c r="L2234" s="4" t="s">
        <v>5981</v>
      </c>
      <c r="M2234" s="4" t="s">
        <v>440</v>
      </c>
      <c r="N2234" s="4">
        <v>293</v>
      </c>
      <c r="O2234" s="4" t="s">
        <v>5982</v>
      </c>
    </row>
    <row r="2235" spans="1:15" ht="15.75" customHeight="1">
      <c r="A2235" s="4" t="s">
        <v>49</v>
      </c>
      <c r="B2235" s="4">
        <v>2350121</v>
      </c>
      <c r="C2235" s="4">
        <v>2351725</v>
      </c>
      <c r="E2235" s="4" t="s">
        <v>50</v>
      </c>
      <c r="F2235" s="4" t="s">
        <v>5983</v>
      </c>
      <c r="I2235" s="4" t="s">
        <v>52</v>
      </c>
      <c r="L2235" s="4" t="s">
        <v>5984</v>
      </c>
      <c r="M2235" s="4" t="s">
        <v>5983</v>
      </c>
      <c r="N2235" s="4">
        <v>534</v>
      </c>
      <c r="O2235" s="4" t="s">
        <v>5985</v>
      </c>
    </row>
    <row r="2236" spans="1:15" ht="15.75" customHeight="1">
      <c r="A2236" s="4" t="s">
        <v>49</v>
      </c>
      <c r="B2236" s="4">
        <v>2352364</v>
      </c>
      <c r="C2236" s="4">
        <v>2353623</v>
      </c>
      <c r="E2236" s="4" t="s">
        <v>50</v>
      </c>
      <c r="F2236" s="4" t="s">
        <v>5986</v>
      </c>
      <c r="I2236" s="4" t="s">
        <v>52</v>
      </c>
      <c r="L2236" s="4" t="s">
        <v>5987</v>
      </c>
      <c r="M2236" s="4" t="s">
        <v>5986</v>
      </c>
      <c r="N2236" s="4">
        <v>419</v>
      </c>
      <c r="O2236" s="4" t="s">
        <v>5988</v>
      </c>
    </row>
    <row r="2237" spans="1:15" ht="15.75" customHeight="1">
      <c r="A2237" s="4" t="s">
        <v>49</v>
      </c>
      <c r="B2237" s="4">
        <v>2353719</v>
      </c>
      <c r="C2237" s="4">
        <v>2353970</v>
      </c>
      <c r="E2237" s="4" t="s">
        <v>50</v>
      </c>
      <c r="F2237" s="4" t="s">
        <v>5989</v>
      </c>
      <c r="I2237" s="4" t="s">
        <v>52</v>
      </c>
      <c r="L2237" s="4" t="s">
        <v>5990</v>
      </c>
      <c r="M2237" s="4" t="s">
        <v>5989</v>
      </c>
      <c r="N2237" s="4">
        <v>83</v>
      </c>
      <c r="O2237" s="4" t="s">
        <v>5991</v>
      </c>
    </row>
    <row r="2238" spans="1:15" ht="15.75" customHeight="1">
      <c r="A2238" s="4" t="s">
        <v>49</v>
      </c>
      <c r="B2238" s="4">
        <v>2354351</v>
      </c>
      <c r="C2238" s="4">
        <v>2354779</v>
      </c>
      <c r="E2238" s="4" t="s">
        <v>55</v>
      </c>
      <c r="F2238" s="4" t="s">
        <v>56</v>
      </c>
      <c r="I2238" s="4" t="s">
        <v>52</v>
      </c>
      <c r="L2238" s="4" t="s">
        <v>5992</v>
      </c>
      <c r="M2238" s="4" t="s">
        <v>56</v>
      </c>
      <c r="N2238" s="4">
        <v>142</v>
      </c>
      <c r="O2238" s="4" t="s">
        <v>5993</v>
      </c>
    </row>
    <row r="2239" spans="1:15" ht="15.75" customHeight="1">
      <c r="A2239" s="4" t="s">
        <v>49</v>
      </c>
      <c r="B2239" s="4">
        <v>2354879</v>
      </c>
      <c r="C2239" s="4">
        <v>2355556</v>
      </c>
      <c r="E2239" s="4" t="s">
        <v>50</v>
      </c>
      <c r="F2239" s="4" t="s">
        <v>56</v>
      </c>
      <c r="I2239" s="4" t="s">
        <v>52</v>
      </c>
      <c r="L2239" s="4" t="s">
        <v>5994</v>
      </c>
      <c r="M2239" s="4" t="s">
        <v>56</v>
      </c>
      <c r="N2239" s="4">
        <v>225</v>
      </c>
      <c r="O2239" s="4" t="s">
        <v>5995</v>
      </c>
    </row>
    <row r="2240" spans="1:15" ht="15.75" customHeight="1">
      <c r="A2240" s="4" t="s">
        <v>49</v>
      </c>
      <c r="B2240" s="4">
        <v>2355553</v>
      </c>
      <c r="C2240" s="4">
        <v>2356200</v>
      </c>
      <c r="E2240" s="4" t="s">
        <v>55</v>
      </c>
      <c r="F2240" s="4" t="s">
        <v>56</v>
      </c>
      <c r="I2240" s="4" t="s">
        <v>52</v>
      </c>
      <c r="L2240" s="4" t="s">
        <v>5996</v>
      </c>
      <c r="M2240" s="4" t="s">
        <v>56</v>
      </c>
      <c r="N2240" s="4">
        <v>215</v>
      </c>
      <c r="O2240" s="4" t="s">
        <v>5997</v>
      </c>
    </row>
    <row r="2241" spans="1:15" ht="15.75" customHeight="1">
      <c r="A2241" s="4" t="s">
        <v>49</v>
      </c>
      <c r="B2241" s="4">
        <v>2356704</v>
      </c>
      <c r="C2241" s="4">
        <v>2357468</v>
      </c>
      <c r="E2241" s="4" t="s">
        <v>50</v>
      </c>
      <c r="F2241" s="4" t="s">
        <v>56</v>
      </c>
      <c r="I2241" s="4" t="s">
        <v>52</v>
      </c>
      <c r="L2241" s="4" t="s">
        <v>5998</v>
      </c>
      <c r="M2241" s="4" t="s">
        <v>56</v>
      </c>
      <c r="N2241" s="4">
        <v>254</v>
      </c>
      <c r="O2241" s="4" t="s">
        <v>5999</v>
      </c>
    </row>
    <row r="2242" spans="1:15" ht="15.75" customHeight="1">
      <c r="A2242" s="4" t="s">
        <v>49</v>
      </c>
      <c r="B2242" s="4">
        <v>2357529</v>
      </c>
      <c r="C2242" s="4">
        <v>2358917</v>
      </c>
      <c r="E2242" s="4" t="s">
        <v>50</v>
      </c>
      <c r="F2242" s="4" t="s">
        <v>6000</v>
      </c>
      <c r="G2242" s="4" t="s">
        <v>6001</v>
      </c>
      <c r="I2242" s="4" t="s">
        <v>52</v>
      </c>
      <c r="L2242" s="4" t="s">
        <v>6002</v>
      </c>
      <c r="M2242" s="4" t="s">
        <v>6000</v>
      </c>
      <c r="N2242" s="4">
        <v>462</v>
      </c>
      <c r="O2242" s="4" t="s">
        <v>6003</v>
      </c>
    </row>
    <row r="2243" spans="1:15" ht="15.75" customHeight="1">
      <c r="A2243" s="4" t="s">
        <v>49</v>
      </c>
      <c r="B2243" s="4">
        <v>2358948</v>
      </c>
      <c r="C2243" s="4">
        <v>2359091</v>
      </c>
      <c r="E2243" s="4" t="s">
        <v>50</v>
      </c>
      <c r="F2243" s="4" t="s">
        <v>56</v>
      </c>
      <c r="I2243" s="4" t="s">
        <v>52</v>
      </c>
      <c r="L2243" s="4" t="s">
        <v>6004</v>
      </c>
      <c r="M2243" s="4" t="s">
        <v>56</v>
      </c>
      <c r="N2243" s="4">
        <v>47</v>
      </c>
      <c r="O2243" s="4" t="s">
        <v>6005</v>
      </c>
    </row>
    <row r="2244" spans="1:15" ht="15.75" customHeight="1">
      <c r="A2244" s="4" t="s">
        <v>49</v>
      </c>
      <c r="B2244" s="4">
        <v>2359217</v>
      </c>
      <c r="C2244" s="4">
        <v>2360725</v>
      </c>
      <c r="E2244" s="4" t="s">
        <v>50</v>
      </c>
      <c r="F2244" s="4" t="s">
        <v>292</v>
      </c>
      <c r="I2244" s="4" t="s">
        <v>52</v>
      </c>
      <c r="L2244" s="4" t="s">
        <v>6006</v>
      </c>
      <c r="M2244" s="4" t="s">
        <v>292</v>
      </c>
      <c r="N2244" s="4">
        <v>502</v>
      </c>
      <c r="O2244" s="4" t="s">
        <v>6007</v>
      </c>
    </row>
    <row r="2245" spans="1:15" ht="15.75" customHeight="1">
      <c r="A2245" s="4" t="s">
        <v>49</v>
      </c>
      <c r="B2245" s="4">
        <v>2360895</v>
      </c>
      <c r="C2245" s="4">
        <v>2361269</v>
      </c>
      <c r="E2245" s="4" t="s">
        <v>50</v>
      </c>
      <c r="F2245" s="4" t="s">
        <v>6008</v>
      </c>
      <c r="G2245" s="4" t="s">
        <v>6009</v>
      </c>
      <c r="I2245" s="4" t="s">
        <v>52</v>
      </c>
      <c r="L2245" s="4" t="s">
        <v>6010</v>
      </c>
      <c r="M2245" s="4" t="s">
        <v>6008</v>
      </c>
      <c r="N2245" s="4">
        <v>124</v>
      </c>
      <c r="O2245" s="4" t="s">
        <v>6011</v>
      </c>
    </row>
    <row r="2246" spans="1:15" ht="15.75" customHeight="1">
      <c r="A2246" s="4" t="s">
        <v>49</v>
      </c>
      <c r="B2246" s="4">
        <v>2361256</v>
      </c>
      <c r="C2246" s="4">
        <v>2362392</v>
      </c>
      <c r="E2246" s="4" t="s">
        <v>50</v>
      </c>
      <c r="F2246" s="4" t="s">
        <v>6012</v>
      </c>
      <c r="G2246" s="4" t="s">
        <v>6013</v>
      </c>
      <c r="I2246" s="4" t="s">
        <v>52</v>
      </c>
      <c r="L2246" s="4" t="s">
        <v>6014</v>
      </c>
      <c r="M2246" s="4" t="s">
        <v>6012</v>
      </c>
      <c r="N2246" s="4">
        <v>378</v>
      </c>
      <c r="O2246" s="4" t="s">
        <v>6015</v>
      </c>
    </row>
    <row r="2247" spans="1:15" ht="15.75" customHeight="1">
      <c r="A2247" s="4" t="s">
        <v>49</v>
      </c>
      <c r="B2247" s="4">
        <v>2362460</v>
      </c>
      <c r="C2247" s="4">
        <v>2362708</v>
      </c>
      <c r="E2247" s="4" t="s">
        <v>50</v>
      </c>
      <c r="F2247" s="4" t="s">
        <v>6016</v>
      </c>
      <c r="I2247" s="4" t="s">
        <v>52</v>
      </c>
      <c r="L2247" s="4" t="s">
        <v>6017</v>
      </c>
      <c r="M2247" s="4" t="s">
        <v>6016</v>
      </c>
      <c r="N2247" s="4">
        <v>82</v>
      </c>
      <c r="O2247" s="4" t="s">
        <v>6018</v>
      </c>
    </row>
    <row r="2248" spans="1:15" ht="15.75" customHeight="1">
      <c r="A2248" s="4" t="s">
        <v>49</v>
      </c>
      <c r="B2248" s="4">
        <v>2362728</v>
      </c>
      <c r="C2248" s="4">
        <v>2363111</v>
      </c>
      <c r="E2248" s="4" t="s">
        <v>50</v>
      </c>
      <c r="F2248" s="4" t="s">
        <v>6019</v>
      </c>
      <c r="I2248" s="4" t="s">
        <v>52</v>
      </c>
      <c r="L2248" s="4" t="s">
        <v>6020</v>
      </c>
      <c r="M2248" s="4" t="s">
        <v>6019</v>
      </c>
      <c r="N2248" s="4">
        <v>127</v>
      </c>
      <c r="O2248" s="4" t="s">
        <v>6021</v>
      </c>
    </row>
    <row r="2249" spans="1:15" ht="15.75" customHeight="1">
      <c r="A2249" s="4" t="s">
        <v>49</v>
      </c>
      <c r="B2249" s="4">
        <v>2363295</v>
      </c>
      <c r="C2249" s="4">
        <v>2363816</v>
      </c>
      <c r="E2249" s="4" t="s">
        <v>50</v>
      </c>
      <c r="F2249" s="4" t="s">
        <v>2982</v>
      </c>
      <c r="I2249" s="4" t="s">
        <v>52</v>
      </c>
      <c r="L2249" s="4" t="s">
        <v>6022</v>
      </c>
      <c r="M2249" s="4" t="s">
        <v>2982</v>
      </c>
      <c r="N2249" s="4">
        <v>173</v>
      </c>
      <c r="O2249" s="4" t="s">
        <v>6023</v>
      </c>
    </row>
    <row r="2250" spans="1:15" ht="15.75" customHeight="1">
      <c r="A2250" s="4" t="s">
        <v>49</v>
      </c>
      <c r="B2250" s="4">
        <v>2364090</v>
      </c>
      <c r="C2250" s="4">
        <v>2368547</v>
      </c>
      <c r="E2250" s="4" t="s">
        <v>50</v>
      </c>
      <c r="F2250" s="4" t="s">
        <v>6024</v>
      </c>
      <c r="G2250" s="4" t="s">
        <v>6025</v>
      </c>
      <c r="I2250" s="4" t="s">
        <v>52</v>
      </c>
      <c r="L2250" s="4" t="s">
        <v>6026</v>
      </c>
      <c r="M2250" s="4" t="s">
        <v>6024</v>
      </c>
      <c r="N2250" s="4">
        <v>1485</v>
      </c>
      <c r="O2250" s="4" t="s">
        <v>6027</v>
      </c>
    </row>
    <row r="2251" spans="1:15" ht="15.75" customHeight="1">
      <c r="A2251" s="4" t="s">
        <v>49</v>
      </c>
      <c r="B2251" s="4">
        <v>2368683</v>
      </c>
      <c r="C2251" s="4">
        <v>2370116</v>
      </c>
      <c r="E2251" s="4" t="s">
        <v>50</v>
      </c>
      <c r="F2251" s="4" t="s">
        <v>6028</v>
      </c>
      <c r="I2251" s="4" t="s">
        <v>52</v>
      </c>
      <c r="L2251" s="4" t="s">
        <v>6029</v>
      </c>
      <c r="M2251" s="4" t="s">
        <v>6028</v>
      </c>
      <c r="N2251" s="4">
        <v>477</v>
      </c>
      <c r="O2251" s="4" t="s">
        <v>6030</v>
      </c>
    </row>
    <row r="2252" spans="1:15" ht="15.75" customHeight="1">
      <c r="A2252" s="4" t="s">
        <v>49</v>
      </c>
      <c r="B2252" s="4">
        <v>2370245</v>
      </c>
      <c r="C2252" s="4">
        <v>2370829</v>
      </c>
      <c r="E2252" s="4" t="s">
        <v>55</v>
      </c>
      <c r="F2252" s="4" t="s">
        <v>2828</v>
      </c>
      <c r="I2252" s="4" t="s">
        <v>52</v>
      </c>
      <c r="L2252" s="4" t="s">
        <v>6031</v>
      </c>
      <c r="M2252" s="4" t="s">
        <v>2828</v>
      </c>
      <c r="N2252" s="4">
        <v>194</v>
      </c>
      <c r="O2252" s="4" t="s">
        <v>6032</v>
      </c>
    </row>
    <row r="2253" spans="1:15" ht="15.75" customHeight="1">
      <c r="A2253" s="4" t="s">
        <v>49</v>
      </c>
      <c r="B2253" s="4">
        <v>2371224</v>
      </c>
      <c r="C2253" s="4">
        <v>2371889</v>
      </c>
      <c r="E2253" s="4" t="s">
        <v>55</v>
      </c>
      <c r="F2253" s="4" t="s">
        <v>6033</v>
      </c>
      <c r="G2253" s="4" t="s">
        <v>6034</v>
      </c>
      <c r="I2253" s="4" t="s">
        <v>52</v>
      </c>
      <c r="L2253" s="4" t="s">
        <v>6035</v>
      </c>
      <c r="M2253" s="4" t="s">
        <v>6033</v>
      </c>
      <c r="N2253" s="4">
        <v>221</v>
      </c>
      <c r="O2253" s="4" t="s">
        <v>6036</v>
      </c>
    </row>
    <row r="2254" spans="1:15" ht="15.75" customHeight="1">
      <c r="A2254" s="4" t="s">
        <v>49</v>
      </c>
      <c r="B2254" s="4">
        <v>2372058</v>
      </c>
      <c r="C2254" s="4">
        <v>2372216</v>
      </c>
      <c r="E2254" s="4" t="s">
        <v>55</v>
      </c>
      <c r="F2254" s="4" t="s">
        <v>345</v>
      </c>
      <c r="I2254" s="4" t="s">
        <v>346</v>
      </c>
      <c r="O2254" s="4" t="s">
        <v>6037</v>
      </c>
    </row>
    <row r="2255" spans="1:15" ht="15.75" customHeight="1">
      <c r="A2255" s="4" t="s">
        <v>49</v>
      </c>
      <c r="B2255" s="4">
        <v>2372391</v>
      </c>
      <c r="C2255" s="4">
        <v>2373761</v>
      </c>
      <c r="E2255" s="4" t="s">
        <v>55</v>
      </c>
      <c r="F2255" s="4" t="s">
        <v>6038</v>
      </c>
      <c r="I2255" s="4" t="s">
        <v>52</v>
      </c>
      <c r="L2255" s="4" t="s">
        <v>6039</v>
      </c>
      <c r="M2255" s="4" t="s">
        <v>6038</v>
      </c>
      <c r="N2255" s="4">
        <v>456</v>
      </c>
      <c r="O2255" s="4" t="s">
        <v>6040</v>
      </c>
    </row>
    <row r="2256" spans="1:15" ht="15.75" customHeight="1">
      <c r="A2256" s="4" t="s">
        <v>49</v>
      </c>
      <c r="B2256" s="4">
        <v>2374167</v>
      </c>
      <c r="C2256" s="4">
        <v>2375174</v>
      </c>
      <c r="E2256" s="4" t="s">
        <v>55</v>
      </c>
      <c r="F2256" s="4" t="s">
        <v>6041</v>
      </c>
      <c r="I2256" s="4" t="s">
        <v>52</v>
      </c>
      <c r="L2256" s="4" t="s">
        <v>6042</v>
      </c>
      <c r="M2256" s="4" t="s">
        <v>6041</v>
      </c>
      <c r="N2256" s="4">
        <v>335</v>
      </c>
      <c r="O2256" s="4" t="s">
        <v>6043</v>
      </c>
    </row>
    <row r="2257" spans="1:15" ht="15.75" customHeight="1">
      <c r="A2257" s="4" t="s">
        <v>49</v>
      </c>
      <c r="B2257" s="4">
        <v>2375709</v>
      </c>
      <c r="C2257" s="4">
        <v>2376266</v>
      </c>
      <c r="E2257" s="4" t="s">
        <v>50</v>
      </c>
      <c r="F2257" s="4" t="s">
        <v>6044</v>
      </c>
      <c r="G2257" s="4" t="s">
        <v>6045</v>
      </c>
      <c r="I2257" s="4" t="s">
        <v>52</v>
      </c>
      <c r="L2257" s="4" t="s">
        <v>6046</v>
      </c>
      <c r="M2257" s="4" t="s">
        <v>6044</v>
      </c>
      <c r="N2257" s="4">
        <v>185</v>
      </c>
      <c r="O2257" s="4" t="s">
        <v>6047</v>
      </c>
    </row>
    <row r="2258" spans="1:15" ht="15.75" customHeight="1">
      <c r="A2258" s="4" t="s">
        <v>49</v>
      </c>
      <c r="B2258" s="4">
        <v>2376339</v>
      </c>
      <c r="C2258" s="4">
        <v>2379863</v>
      </c>
      <c r="E2258" s="4" t="s">
        <v>50</v>
      </c>
      <c r="F2258" s="4" t="s">
        <v>6048</v>
      </c>
      <c r="G2258" s="4" t="s">
        <v>6049</v>
      </c>
      <c r="I2258" s="4" t="s">
        <v>52</v>
      </c>
      <c r="L2258" s="4" t="s">
        <v>6050</v>
      </c>
      <c r="M2258" s="4" t="s">
        <v>6048</v>
      </c>
      <c r="N2258" s="4">
        <v>1174</v>
      </c>
      <c r="O2258" s="4" t="s">
        <v>6051</v>
      </c>
    </row>
    <row r="2259" spans="1:15" ht="15.75" customHeight="1">
      <c r="A2259" s="4" t="s">
        <v>49</v>
      </c>
      <c r="B2259" s="4">
        <v>2379984</v>
      </c>
      <c r="C2259" s="4">
        <v>2381561</v>
      </c>
      <c r="E2259" s="4" t="s">
        <v>50</v>
      </c>
      <c r="F2259" s="4" t="s">
        <v>6052</v>
      </c>
      <c r="I2259" s="4" t="s">
        <v>52</v>
      </c>
      <c r="L2259" s="4" t="s">
        <v>6053</v>
      </c>
      <c r="M2259" s="4" t="s">
        <v>6052</v>
      </c>
      <c r="N2259" s="4">
        <v>525</v>
      </c>
      <c r="O2259" s="4" t="s">
        <v>6054</v>
      </c>
    </row>
    <row r="2260" spans="1:15" ht="15.75" customHeight="1">
      <c r="A2260" s="4" t="s">
        <v>49</v>
      </c>
      <c r="B2260" s="4">
        <v>2381565</v>
      </c>
      <c r="C2260" s="4">
        <v>2381828</v>
      </c>
      <c r="E2260" s="4" t="s">
        <v>50</v>
      </c>
      <c r="F2260" s="4" t="s">
        <v>6055</v>
      </c>
      <c r="I2260" s="4" t="s">
        <v>52</v>
      </c>
      <c r="L2260" s="4" t="s">
        <v>6056</v>
      </c>
      <c r="M2260" s="4" t="s">
        <v>6055</v>
      </c>
      <c r="N2260" s="4">
        <v>87</v>
      </c>
      <c r="O2260" s="4" t="s">
        <v>6057</v>
      </c>
    </row>
    <row r="2261" spans="1:15" ht="15.75" customHeight="1">
      <c r="A2261" s="4" t="s">
        <v>49</v>
      </c>
      <c r="B2261" s="4">
        <v>2381928</v>
      </c>
      <c r="C2261" s="4">
        <v>2382329</v>
      </c>
      <c r="E2261" s="4" t="s">
        <v>50</v>
      </c>
      <c r="F2261" s="4" t="s">
        <v>6058</v>
      </c>
      <c r="I2261" s="4" t="s">
        <v>52</v>
      </c>
      <c r="L2261" s="4" t="s">
        <v>6059</v>
      </c>
      <c r="M2261" s="4" t="s">
        <v>6058</v>
      </c>
      <c r="N2261" s="4">
        <v>133</v>
      </c>
      <c r="O2261" s="4" t="s">
        <v>6060</v>
      </c>
    </row>
    <row r="2262" spans="1:15" ht="15.75" customHeight="1">
      <c r="A2262" s="4" t="s">
        <v>49</v>
      </c>
      <c r="B2262" s="4">
        <v>2382685</v>
      </c>
      <c r="C2262" s="4">
        <v>2383170</v>
      </c>
      <c r="E2262" s="4" t="s">
        <v>50</v>
      </c>
      <c r="F2262" s="4" t="s">
        <v>6061</v>
      </c>
      <c r="I2262" s="4" t="s">
        <v>52</v>
      </c>
      <c r="L2262" s="4" t="s">
        <v>6062</v>
      </c>
      <c r="M2262" s="4" t="s">
        <v>6061</v>
      </c>
      <c r="N2262" s="4">
        <v>161</v>
      </c>
      <c r="O2262" s="4" t="s">
        <v>6063</v>
      </c>
    </row>
    <row r="2263" spans="1:15" ht="15.75" customHeight="1">
      <c r="A2263" s="4" t="s">
        <v>49</v>
      </c>
      <c r="B2263" s="4">
        <v>2383248</v>
      </c>
      <c r="C2263" s="4">
        <v>2384558</v>
      </c>
      <c r="E2263" s="4" t="s">
        <v>50</v>
      </c>
      <c r="F2263" s="4" t="s">
        <v>6064</v>
      </c>
      <c r="G2263" s="4" t="s">
        <v>6065</v>
      </c>
      <c r="I2263" s="4" t="s">
        <v>52</v>
      </c>
      <c r="L2263" s="4" t="s">
        <v>6066</v>
      </c>
      <c r="M2263" s="4" t="s">
        <v>6064</v>
      </c>
      <c r="N2263" s="4">
        <v>436</v>
      </c>
      <c r="O2263" s="4" t="s">
        <v>6067</v>
      </c>
    </row>
    <row r="2264" spans="1:15" ht="15.75" customHeight="1">
      <c r="A2264" s="4" t="s">
        <v>49</v>
      </c>
      <c r="B2264" s="4">
        <v>2384555</v>
      </c>
      <c r="C2264" s="4">
        <v>2385100</v>
      </c>
      <c r="E2264" s="4" t="s">
        <v>50</v>
      </c>
      <c r="F2264" s="4" t="s">
        <v>6068</v>
      </c>
      <c r="G2264" s="4" t="s">
        <v>6069</v>
      </c>
      <c r="I2264" s="4" t="s">
        <v>52</v>
      </c>
      <c r="L2264" s="4" t="s">
        <v>6070</v>
      </c>
      <c r="M2264" s="4" t="s">
        <v>6068</v>
      </c>
      <c r="N2264" s="4">
        <v>181</v>
      </c>
      <c r="O2264" s="4" t="s">
        <v>6071</v>
      </c>
    </row>
    <row r="2265" spans="1:15" ht="15.75" customHeight="1">
      <c r="A2265" s="4" t="s">
        <v>49</v>
      </c>
      <c r="B2265" s="4">
        <v>2385162</v>
      </c>
      <c r="C2265" s="4">
        <v>2387309</v>
      </c>
      <c r="E2265" s="4" t="s">
        <v>50</v>
      </c>
      <c r="F2265" s="4" t="s">
        <v>6072</v>
      </c>
      <c r="G2265" s="4" t="s">
        <v>6073</v>
      </c>
      <c r="I2265" s="4" t="s">
        <v>52</v>
      </c>
      <c r="L2265" s="4" t="s">
        <v>6074</v>
      </c>
      <c r="M2265" s="4" t="s">
        <v>6072</v>
      </c>
      <c r="N2265" s="4">
        <v>715</v>
      </c>
      <c r="O2265" s="4" t="s">
        <v>6075</v>
      </c>
    </row>
    <row r="2266" spans="1:15" ht="15.75" customHeight="1">
      <c r="A2266" s="4" t="s">
        <v>49</v>
      </c>
      <c r="B2266" s="4">
        <v>2387762</v>
      </c>
      <c r="C2266" s="4">
        <v>2390227</v>
      </c>
      <c r="E2266" s="4" t="s">
        <v>50</v>
      </c>
      <c r="F2266" s="4" t="s">
        <v>3049</v>
      </c>
      <c r="I2266" s="4" t="s">
        <v>52</v>
      </c>
      <c r="L2266" s="4" t="s">
        <v>6076</v>
      </c>
      <c r="M2266" s="4" t="s">
        <v>3049</v>
      </c>
      <c r="N2266" s="4">
        <v>821</v>
      </c>
      <c r="O2266" s="4" t="s">
        <v>6077</v>
      </c>
    </row>
    <row r="2267" spans="1:15" ht="15.75" customHeight="1">
      <c r="A2267" s="4" t="s">
        <v>49</v>
      </c>
      <c r="B2267" s="4">
        <v>2390240</v>
      </c>
      <c r="C2267" s="4">
        <v>2391271</v>
      </c>
      <c r="E2267" s="4" t="s">
        <v>50</v>
      </c>
      <c r="F2267" s="4" t="s">
        <v>4726</v>
      </c>
      <c r="I2267" s="4" t="s">
        <v>52</v>
      </c>
      <c r="L2267" s="4" t="s">
        <v>6078</v>
      </c>
      <c r="M2267" s="4" t="s">
        <v>4726</v>
      </c>
      <c r="N2267" s="4">
        <v>343</v>
      </c>
      <c r="O2267" s="4" t="s">
        <v>6079</v>
      </c>
    </row>
    <row r="2268" spans="1:15" ht="15.75" customHeight="1">
      <c r="A2268" s="4" t="s">
        <v>49</v>
      </c>
      <c r="B2268" s="4">
        <v>2391244</v>
      </c>
      <c r="C2268" s="4">
        <v>2392326</v>
      </c>
      <c r="E2268" s="4" t="s">
        <v>50</v>
      </c>
      <c r="F2268" s="4" t="s">
        <v>6080</v>
      </c>
      <c r="I2268" s="4" t="s">
        <v>52</v>
      </c>
      <c r="L2268" s="4" t="s">
        <v>6081</v>
      </c>
      <c r="M2268" s="4" t="s">
        <v>6080</v>
      </c>
      <c r="N2268" s="4">
        <v>360</v>
      </c>
      <c r="O2268" s="4" t="s">
        <v>6082</v>
      </c>
    </row>
    <row r="2269" spans="1:15" ht="15.75" customHeight="1">
      <c r="A2269" s="4" t="s">
        <v>49</v>
      </c>
      <c r="B2269" s="4">
        <v>2392546</v>
      </c>
      <c r="C2269" s="4">
        <v>2393445</v>
      </c>
      <c r="E2269" s="4" t="s">
        <v>50</v>
      </c>
      <c r="F2269" s="4" t="s">
        <v>3049</v>
      </c>
      <c r="I2269" s="4" t="s">
        <v>52</v>
      </c>
      <c r="L2269" s="4" t="s">
        <v>6083</v>
      </c>
      <c r="M2269" s="4" t="s">
        <v>3049</v>
      </c>
      <c r="N2269" s="4">
        <v>299</v>
      </c>
      <c r="O2269" s="4" t="s">
        <v>6084</v>
      </c>
    </row>
    <row r="2270" spans="1:15" ht="15.75" customHeight="1">
      <c r="A2270" s="4" t="s">
        <v>49</v>
      </c>
      <c r="B2270" s="4">
        <v>2393702</v>
      </c>
      <c r="C2270" s="4">
        <v>2394586</v>
      </c>
      <c r="E2270" s="4" t="s">
        <v>50</v>
      </c>
      <c r="F2270" s="4" t="s">
        <v>6085</v>
      </c>
      <c r="G2270" s="4" t="s">
        <v>6086</v>
      </c>
      <c r="I2270" s="4" t="s">
        <v>52</v>
      </c>
      <c r="L2270" s="4" t="s">
        <v>6087</v>
      </c>
      <c r="M2270" s="4" t="s">
        <v>6085</v>
      </c>
      <c r="N2270" s="4">
        <v>294</v>
      </c>
      <c r="O2270" s="4" t="s">
        <v>6088</v>
      </c>
    </row>
    <row r="2271" spans="1:15" ht="15.75" customHeight="1">
      <c r="A2271" s="4" t="s">
        <v>49</v>
      </c>
      <c r="B2271" s="4">
        <v>2394649</v>
      </c>
      <c r="C2271" s="4">
        <v>2395650</v>
      </c>
      <c r="E2271" s="4" t="s">
        <v>50</v>
      </c>
      <c r="F2271" s="4" t="s">
        <v>6089</v>
      </c>
      <c r="G2271" s="4" t="s">
        <v>6090</v>
      </c>
      <c r="I2271" s="4" t="s">
        <v>52</v>
      </c>
      <c r="L2271" s="4" t="s">
        <v>6091</v>
      </c>
      <c r="M2271" s="4" t="s">
        <v>6089</v>
      </c>
      <c r="N2271" s="4">
        <v>333</v>
      </c>
      <c r="O2271" s="4" t="s">
        <v>6092</v>
      </c>
    </row>
    <row r="2272" spans="1:15" ht="15.75" customHeight="1">
      <c r="A2272" s="4" t="s">
        <v>49</v>
      </c>
      <c r="B2272" s="4">
        <v>2395790</v>
      </c>
      <c r="C2272" s="4">
        <v>2397286</v>
      </c>
      <c r="E2272" s="4" t="s">
        <v>50</v>
      </c>
      <c r="F2272" s="4" t="s">
        <v>6093</v>
      </c>
      <c r="G2272" s="4" t="s">
        <v>6094</v>
      </c>
      <c r="I2272" s="4" t="s">
        <v>52</v>
      </c>
      <c r="L2272" s="4" t="s">
        <v>6095</v>
      </c>
      <c r="M2272" s="4" t="s">
        <v>6093</v>
      </c>
      <c r="N2272" s="4">
        <v>498</v>
      </c>
      <c r="O2272" s="4" t="s">
        <v>6096</v>
      </c>
    </row>
    <row r="2273" spans="1:15" ht="15.75" customHeight="1">
      <c r="A2273" s="4" t="s">
        <v>49</v>
      </c>
      <c r="B2273" s="4">
        <v>2397703</v>
      </c>
      <c r="C2273" s="4">
        <v>2399272</v>
      </c>
      <c r="E2273" s="4" t="s">
        <v>50</v>
      </c>
      <c r="F2273" s="4" t="s">
        <v>2555</v>
      </c>
      <c r="I2273" s="4" t="s">
        <v>2547</v>
      </c>
      <c r="O2273" s="4" t="s">
        <v>6097</v>
      </c>
    </row>
    <row r="2274" spans="1:15" ht="15.75" customHeight="1">
      <c r="A2274" s="4" t="s">
        <v>49</v>
      </c>
      <c r="B2274" s="4">
        <v>2399359</v>
      </c>
      <c r="C2274" s="4">
        <v>2399432</v>
      </c>
      <c r="E2274" s="4" t="s">
        <v>50</v>
      </c>
      <c r="F2274" s="4" t="s">
        <v>2553</v>
      </c>
      <c r="I2274" s="4" t="s">
        <v>302</v>
      </c>
      <c r="O2274" s="4" t="s">
        <v>6098</v>
      </c>
    </row>
    <row r="2275" spans="1:15" ht="15.75" customHeight="1">
      <c r="A2275" s="4" t="s">
        <v>49</v>
      </c>
      <c r="B2275" s="4">
        <v>2399467</v>
      </c>
      <c r="C2275" s="4">
        <v>2399539</v>
      </c>
      <c r="E2275" s="4" t="s">
        <v>50</v>
      </c>
      <c r="F2275" s="4" t="s">
        <v>2551</v>
      </c>
      <c r="I2275" s="4" t="s">
        <v>302</v>
      </c>
      <c r="O2275" s="4" t="s">
        <v>6099</v>
      </c>
    </row>
    <row r="2276" spans="1:15" ht="15.75" customHeight="1">
      <c r="A2276" s="4" t="s">
        <v>49</v>
      </c>
      <c r="B2276" s="4">
        <v>2399700</v>
      </c>
      <c r="C2276" s="4">
        <v>2402617</v>
      </c>
      <c r="E2276" s="4" t="s">
        <v>50</v>
      </c>
      <c r="F2276" s="4" t="s">
        <v>2549</v>
      </c>
      <c r="I2276" s="4" t="s">
        <v>2547</v>
      </c>
      <c r="O2276" s="4" t="s">
        <v>6100</v>
      </c>
    </row>
    <row r="2277" spans="1:15" ht="15.75" customHeight="1">
      <c r="A2277" s="4" t="s">
        <v>49</v>
      </c>
      <c r="B2277" s="4">
        <v>2402816</v>
      </c>
      <c r="C2277" s="4">
        <v>2402932</v>
      </c>
      <c r="E2277" s="4" t="s">
        <v>50</v>
      </c>
      <c r="F2277" s="4" t="s">
        <v>2545</v>
      </c>
      <c r="G2277" s="4" t="s">
        <v>2546</v>
      </c>
      <c r="I2277" s="4" t="s">
        <v>2547</v>
      </c>
      <c r="O2277" s="4" t="s">
        <v>6101</v>
      </c>
    </row>
    <row r="2278" spans="1:15" ht="15.75" customHeight="1">
      <c r="A2278" s="4" t="s">
        <v>49</v>
      </c>
      <c r="B2278" s="4">
        <v>2402941</v>
      </c>
      <c r="C2278" s="4">
        <v>2403013</v>
      </c>
      <c r="E2278" s="4" t="s">
        <v>50</v>
      </c>
      <c r="F2278" s="4" t="s">
        <v>6102</v>
      </c>
      <c r="I2278" s="4" t="s">
        <v>302</v>
      </c>
      <c r="O2278" s="4" t="s">
        <v>6103</v>
      </c>
    </row>
    <row r="2279" spans="1:15" ht="15.75" customHeight="1">
      <c r="A2279" s="4" t="s">
        <v>49</v>
      </c>
      <c r="B2279" s="4">
        <v>2403016</v>
      </c>
      <c r="C2279" s="4">
        <v>2403088</v>
      </c>
      <c r="E2279" s="4" t="s">
        <v>50</v>
      </c>
      <c r="F2279" s="4" t="s">
        <v>5199</v>
      </c>
      <c r="I2279" s="4" t="s">
        <v>302</v>
      </c>
      <c r="O2279" s="4" t="s">
        <v>6104</v>
      </c>
    </row>
    <row r="2280" spans="1:15" ht="15.75" customHeight="1">
      <c r="A2280" s="4" t="s">
        <v>49</v>
      </c>
      <c r="B2280" s="4">
        <v>2403106</v>
      </c>
      <c r="C2280" s="4">
        <v>2403188</v>
      </c>
      <c r="E2280" s="4" t="s">
        <v>50</v>
      </c>
      <c r="F2280" s="4" t="s">
        <v>2447</v>
      </c>
      <c r="I2280" s="4" t="s">
        <v>302</v>
      </c>
      <c r="O2280" s="4" t="s">
        <v>6105</v>
      </c>
    </row>
    <row r="2281" spans="1:15" ht="15.75" customHeight="1">
      <c r="A2281" s="4" t="s">
        <v>49</v>
      </c>
      <c r="B2281" s="4">
        <v>2403264</v>
      </c>
      <c r="C2281" s="4">
        <v>2403335</v>
      </c>
      <c r="E2281" s="4" t="s">
        <v>50</v>
      </c>
      <c r="F2281" s="4" t="s">
        <v>2261</v>
      </c>
      <c r="I2281" s="4" t="s">
        <v>302</v>
      </c>
      <c r="O2281" s="4" t="s">
        <v>6106</v>
      </c>
    </row>
    <row r="2282" spans="1:15" ht="15.75" customHeight="1">
      <c r="A2282" s="4" t="s">
        <v>49</v>
      </c>
      <c r="B2282" s="4">
        <v>2403347</v>
      </c>
      <c r="C2282" s="4">
        <v>2403432</v>
      </c>
      <c r="E2282" s="4" t="s">
        <v>50</v>
      </c>
      <c r="F2282" s="4" t="s">
        <v>2447</v>
      </c>
      <c r="I2282" s="4" t="s">
        <v>302</v>
      </c>
      <c r="O2282" s="4" t="s">
        <v>6107</v>
      </c>
    </row>
    <row r="2283" spans="1:15" ht="15.75" customHeight="1">
      <c r="A2283" s="4" t="s">
        <v>49</v>
      </c>
      <c r="B2283" s="4">
        <v>2403444</v>
      </c>
      <c r="C2283" s="4">
        <v>2403517</v>
      </c>
      <c r="E2283" s="4" t="s">
        <v>50</v>
      </c>
      <c r="F2283" s="4" t="s">
        <v>301</v>
      </c>
      <c r="I2283" s="4" t="s">
        <v>302</v>
      </c>
      <c r="O2283" s="4" t="s">
        <v>6108</v>
      </c>
    </row>
    <row r="2284" spans="1:15" ht="15.75" customHeight="1">
      <c r="A2284" s="4" t="s">
        <v>49</v>
      </c>
      <c r="B2284" s="4">
        <v>2403567</v>
      </c>
      <c r="C2284" s="4">
        <v>2403638</v>
      </c>
      <c r="E2284" s="4" t="s">
        <v>50</v>
      </c>
      <c r="F2284" s="4" t="s">
        <v>2261</v>
      </c>
      <c r="I2284" s="4" t="s">
        <v>302</v>
      </c>
      <c r="O2284" s="4" t="s">
        <v>6109</v>
      </c>
    </row>
    <row r="2285" spans="1:15" ht="15.75" customHeight="1">
      <c r="A2285" s="4" t="s">
        <v>49</v>
      </c>
      <c r="B2285" s="4">
        <v>2403643</v>
      </c>
      <c r="C2285" s="4">
        <v>2403716</v>
      </c>
      <c r="E2285" s="4" t="s">
        <v>50</v>
      </c>
      <c r="F2285" s="4" t="s">
        <v>6110</v>
      </c>
      <c r="I2285" s="4" t="s">
        <v>302</v>
      </c>
      <c r="O2285" s="4" t="s">
        <v>6111</v>
      </c>
    </row>
    <row r="2286" spans="1:15" ht="15.75" customHeight="1">
      <c r="A2286" s="4" t="s">
        <v>49</v>
      </c>
      <c r="B2286" s="4">
        <v>2403841</v>
      </c>
      <c r="C2286" s="4">
        <v>2404308</v>
      </c>
      <c r="E2286" s="4" t="s">
        <v>50</v>
      </c>
      <c r="F2286" s="4" t="s">
        <v>6112</v>
      </c>
      <c r="I2286" s="4" t="s">
        <v>52</v>
      </c>
      <c r="L2286" s="4" t="s">
        <v>6113</v>
      </c>
      <c r="M2286" s="4" t="s">
        <v>6112</v>
      </c>
      <c r="N2286" s="4">
        <v>155</v>
      </c>
      <c r="O2286" s="4" t="s">
        <v>6114</v>
      </c>
    </row>
    <row r="2287" spans="1:15" ht="15.75" customHeight="1">
      <c r="A2287" s="4" t="s">
        <v>49</v>
      </c>
      <c r="B2287" s="4">
        <v>2404348</v>
      </c>
      <c r="C2287" s="4">
        <v>2406855</v>
      </c>
      <c r="E2287" s="4" t="s">
        <v>50</v>
      </c>
      <c r="F2287" s="4" t="s">
        <v>2366</v>
      </c>
      <c r="I2287" s="4" t="s">
        <v>52</v>
      </c>
      <c r="L2287" s="4" t="s">
        <v>6115</v>
      </c>
      <c r="M2287" s="4" t="s">
        <v>2366</v>
      </c>
      <c r="N2287" s="4">
        <v>835</v>
      </c>
      <c r="O2287" s="4" t="s">
        <v>6116</v>
      </c>
    </row>
    <row r="2288" spans="1:15" ht="15.75" customHeight="1">
      <c r="A2288" s="4" t="s">
        <v>49</v>
      </c>
      <c r="B2288" s="4">
        <v>2407185</v>
      </c>
      <c r="C2288" s="4">
        <v>2410784</v>
      </c>
      <c r="E2288" s="4" t="s">
        <v>50</v>
      </c>
      <c r="F2288" s="4" t="s">
        <v>569</v>
      </c>
      <c r="I2288" s="4" t="s">
        <v>52</v>
      </c>
      <c r="L2288" s="4" t="s">
        <v>6117</v>
      </c>
      <c r="M2288" s="4" t="s">
        <v>569</v>
      </c>
      <c r="N2288" s="4">
        <v>1199</v>
      </c>
      <c r="O2288" s="4" t="s">
        <v>6118</v>
      </c>
    </row>
    <row r="2289" spans="1:15" ht="15.75" customHeight="1">
      <c r="A2289" s="4" t="s">
        <v>49</v>
      </c>
      <c r="B2289" s="4">
        <v>2410797</v>
      </c>
      <c r="C2289" s="4">
        <v>2414459</v>
      </c>
      <c r="E2289" s="4" t="s">
        <v>50</v>
      </c>
      <c r="F2289" s="4" t="s">
        <v>6119</v>
      </c>
      <c r="G2289" s="4" t="s">
        <v>6120</v>
      </c>
      <c r="I2289" s="4" t="s">
        <v>52</v>
      </c>
      <c r="L2289" s="4" t="s">
        <v>6121</v>
      </c>
      <c r="M2289" s="4" t="s">
        <v>6119</v>
      </c>
      <c r="N2289" s="4">
        <v>1220</v>
      </c>
      <c r="O2289" s="4" t="s">
        <v>6122</v>
      </c>
    </row>
    <row r="2290" spans="1:15" ht="15.75" customHeight="1">
      <c r="A2290" s="4" t="s">
        <v>49</v>
      </c>
      <c r="B2290" s="4">
        <v>2414650</v>
      </c>
      <c r="C2290" s="4">
        <v>2415144</v>
      </c>
      <c r="E2290" s="4" t="s">
        <v>55</v>
      </c>
      <c r="F2290" s="4" t="s">
        <v>6123</v>
      </c>
      <c r="I2290" s="4" t="s">
        <v>52</v>
      </c>
      <c r="L2290" s="4" t="s">
        <v>6124</v>
      </c>
      <c r="M2290" s="4" t="s">
        <v>6123</v>
      </c>
      <c r="N2290" s="4">
        <v>164</v>
      </c>
      <c r="O2290" s="4" t="s">
        <v>6125</v>
      </c>
    </row>
    <row r="2291" spans="1:15" ht="15.75" customHeight="1">
      <c r="A2291" s="4" t="s">
        <v>49</v>
      </c>
      <c r="B2291" s="4">
        <v>2415532</v>
      </c>
      <c r="C2291" s="4">
        <v>2418405</v>
      </c>
      <c r="E2291" s="4" t="s">
        <v>50</v>
      </c>
      <c r="F2291" s="4" t="s">
        <v>6126</v>
      </c>
      <c r="I2291" s="4" t="s">
        <v>52</v>
      </c>
      <c r="L2291" s="4" t="s">
        <v>6127</v>
      </c>
      <c r="M2291" s="4" t="s">
        <v>6126</v>
      </c>
      <c r="N2291" s="4">
        <v>957</v>
      </c>
      <c r="O2291" s="4" t="s">
        <v>6128</v>
      </c>
    </row>
    <row r="2292" spans="1:15" ht="15.75" customHeight="1">
      <c r="A2292" s="4" t="s">
        <v>49</v>
      </c>
      <c r="B2292" s="4">
        <v>2418751</v>
      </c>
      <c r="C2292" s="4">
        <v>2425062</v>
      </c>
      <c r="E2292" s="4" t="s">
        <v>50</v>
      </c>
      <c r="F2292" s="4" t="s">
        <v>6129</v>
      </c>
      <c r="I2292" s="4" t="s">
        <v>52</v>
      </c>
      <c r="L2292" s="4" t="s">
        <v>6130</v>
      </c>
      <c r="M2292" s="4" t="s">
        <v>6129</v>
      </c>
      <c r="N2292" s="4">
        <v>2103</v>
      </c>
      <c r="O2292" s="4" t="s">
        <v>6131</v>
      </c>
    </row>
    <row r="2293" spans="1:15" ht="15.75" customHeight="1">
      <c r="A2293" s="4" t="s">
        <v>49</v>
      </c>
      <c r="B2293" s="4">
        <v>2425795</v>
      </c>
      <c r="C2293" s="4">
        <v>2426211</v>
      </c>
      <c r="E2293" s="4" t="s">
        <v>50</v>
      </c>
      <c r="F2293" s="4" t="s">
        <v>6132</v>
      </c>
      <c r="G2293" s="4" t="s">
        <v>6133</v>
      </c>
      <c r="I2293" s="4" t="s">
        <v>52</v>
      </c>
      <c r="L2293" s="4" t="s">
        <v>6134</v>
      </c>
      <c r="M2293" s="4" t="s">
        <v>6132</v>
      </c>
      <c r="N2293" s="4">
        <v>138</v>
      </c>
      <c r="O2293" s="4" t="s">
        <v>6135</v>
      </c>
    </row>
    <row r="2294" spans="1:15" ht="15.75" customHeight="1">
      <c r="A2294" s="4" t="s">
        <v>49</v>
      </c>
      <c r="B2294" s="4">
        <v>2426409</v>
      </c>
      <c r="C2294" s="4">
        <v>2426879</v>
      </c>
      <c r="E2294" s="4" t="s">
        <v>50</v>
      </c>
      <c r="F2294" s="4" t="s">
        <v>6136</v>
      </c>
      <c r="G2294" s="4" t="s">
        <v>6137</v>
      </c>
      <c r="I2294" s="4" t="s">
        <v>52</v>
      </c>
      <c r="L2294" s="4" t="s">
        <v>6138</v>
      </c>
      <c r="M2294" s="4" t="s">
        <v>6136</v>
      </c>
      <c r="N2294" s="4">
        <v>156</v>
      </c>
      <c r="O2294" s="4" t="s">
        <v>6139</v>
      </c>
    </row>
    <row r="2295" spans="1:15" ht="15.75" customHeight="1">
      <c r="A2295" s="4" t="s">
        <v>49</v>
      </c>
      <c r="B2295" s="4">
        <v>2426969</v>
      </c>
      <c r="C2295" s="4">
        <v>2429071</v>
      </c>
      <c r="E2295" s="4" t="s">
        <v>50</v>
      </c>
      <c r="F2295" s="4" t="s">
        <v>6140</v>
      </c>
      <c r="G2295" s="4" t="s">
        <v>6141</v>
      </c>
      <c r="I2295" s="4" t="s">
        <v>52</v>
      </c>
      <c r="L2295" s="4" t="s">
        <v>6142</v>
      </c>
      <c r="M2295" s="4" t="s">
        <v>6140</v>
      </c>
      <c r="N2295" s="4">
        <v>700</v>
      </c>
      <c r="O2295" s="4" t="s">
        <v>6143</v>
      </c>
    </row>
    <row r="2296" spans="1:15" ht="15.75" customHeight="1">
      <c r="A2296" s="4" t="s">
        <v>49</v>
      </c>
      <c r="B2296" s="4">
        <v>2429253</v>
      </c>
      <c r="C2296" s="4">
        <v>2430287</v>
      </c>
      <c r="E2296" s="4" t="s">
        <v>50</v>
      </c>
      <c r="F2296" s="4" t="s">
        <v>6144</v>
      </c>
      <c r="I2296" s="4" t="s">
        <v>52</v>
      </c>
      <c r="L2296" s="4" t="s">
        <v>6145</v>
      </c>
      <c r="M2296" s="4" t="s">
        <v>6144</v>
      </c>
      <c r="N2296" s="4">
        <v>344</v>
      </c>
      <c r="O2296" s="4" t="s">
        <v>6146</v>
      </c>
    </row>
    <row r="2297" spans="1:15" ht="15.75" customHeight="1">
      <c r="A2297" s="4" t="s">
        <v>49</v>
      </c>
      <c r="B2297" s="4">
        <v>2430568</v>
      </c>
      <c r="C2297" s="4">
        <v>2431131</v>
      </c>
      <c r="E2297" s="4" t="s">
        <v>50</v>
      </c>
      <c r="F2297" s="4" t="s">
        <v>6147</v>
      </c>
      <c r="G2297" s="4" t="s">
        <v>6148</v>
      </c>
      <c r="I2297" s="4" t="s">
        <v>52</v>
      </c>
      <c r="L2297" s="4" t="s">
        <v>6149</v>
      </c>
      <c r="M2297" s="4" t="s">
        <v>6147</v>
      </c>
      <c r="N2297" s="4">
        <v>187</v>
      </c>
      <c r="O2297" s="4" t="s">
        <v>6150</v>
      </c>
    </row>
    <row r="2298" spans="1:15" ht="15.75" customHeight="1">
      <c r="A2298" s="4" t="s">
        <v>49</v>
      </c>
      <c r="B2298" s="4">
        <v>2431275</v>
      </c>
      <c r="C2298" s="4">
        <v>2431712</v>
      </c>
      <c r="E2298" s="4" t="s">
        <v>55</v>
      </c>
      <c r="F2298" s="4" t="s">
        <v>6151</v>
      </c>
      <c r="G2298" s="4" t="s">
        <v>6152</v>
      </c>
      <c r="I2298" s="4" t="s">
        <v>52</v>
      </c>
      <c r="L2298" s="4" t="s">
        <v>6153</v>
      </c>
      <c r="M2298" s="4" t="s">
        <v>6151</v>
      </c>
      <c r="N2298" s="4">
        <v>145</v>
      </c>
      <c r="O2298" s="4" t="s">
        <v>6154</v>
      </c>
    </row>
    <row r="2299" spans="1:15" ht="15.75" customHeight="1">
      <c r="A2299" s="4" t="s">
        <v>49</v>
      </c>
      <c r="B2299" s="4">
        <v>2432037</v>
      </c>
      <c r="C2299" s="4">
        <v>2432345</v>
      </c>
      <c r="E2299" s="4" t="s">
        <v>50</v>
      </c>
      <c r="F2299" s="4" t="s">
        <v>6155</v>
      </c>
      <c r="G2299" s="4" t="s">
        <v>6156</v>
      </c>
      <c r="I2299" s="4" t="s">
        <v>52</v>
      </c>
      <c r="L2299" s="4" t="s">
        <v>6157</v>
      </c>
      <c r="M2299" s="4" t="s">
        <v>6155</v>
      </c>
      <c r="N2299" s="4">
        <v>102</v>
      </c>
      <c r="O2299" s="4" t="s">
        <v>6158</v>
      </c>
    </row>
    <row r="2300" spans="1:15" ht="15.75" customHeight="1">
      <c r="A2300" s="4" t="s">
        <v>49</v>
      </c>
      <c r="B2300" s="4">
        <v>2432371</v>
      </c>
      <c r="C2300" s="4">
        <v>2433003</v>
      </c>
      <c r="E2300" s="4" t="s">
        <v>50</v>
      </c>
      <c r="F2300" s="4" t="s">
        <v>6159</v>
      </c>
      <c r="G2300" s="4" t="s">
        <v>6160</v>
      </c>
      <c r="I2300" s="4" t="s">
        <v>52</v>
      </c>
      <c r="L2300" s="4" t="s">
        <v>6161</v>
      </c>
      <c r="M2300" s="4" t="s">
        <v>6159</v>
      </c>
      <c r="N2300" s="4">
        <v>210</v>
      </c>
      <c r="O2300" s="4" t="s">
        <v>6162</v>
      </c>
    </row>
    <row r="2301" spans="1:15" ht="15.75" customHeight="1">
      <c r="A2301" s="4" t="s">
        <v>49</v>
      </c>
      <c r="B2301" s="4">
        <v>2433026</v>
      </c>
      <c r="C2301" s="4">
        <v>2433649</v>
      </c>
      <c r="E2301" s="4" t="s">
        <v>50</v>
      </c>
      <c r="F2301" s="4" t="s">
        <v>6163</v>
      </c>
      <c r="G2301" s="4" t="s">
        <v>6164</v>
      </c>
      <c r="I2301" s="4" t="s">
        <v>52</v>
      </c>
      <c r="L2301" s="4" t="s">
        <v>6165</v>
      </c>
      <c r="M2301" s="4" t="s">
        <v>6163</v>
      </c>
      <c r="N2301" s="4">
        <v>207</v>
      </c>
      <c r="O2301" s="4" t="s">
        <v>6166</v>
      </c>
    </row>
    <row r="2302" spans="1:15" ht="15.75" customHeight="1">
      <c r="A2302" s="4" t="s">
        <v>49</v>
      </c>
      <c r="B2302" s="4">
        <v>2433649</v>
      </c>
      <c r="C2302" s="4">
        <v>2433951</v>
      </c>
      <c r="E2302" s="4" t="s">
        <v>50</v>
      </c>
      <c r="F2302" s="4" t="s">
        <v>6167</v>
      </c>
      <c r="G2302" s="4" t="s">
        <v>6168</v>
      </c>
      <c r="I2302" s="4" t="s">
        <v>52</v>
      </c>
      <c r="L2302" s="4" t="s">
        <v>6169</v>
      </c>
      <c r="M2302" s="4" t="s">
        <v>6167</v>
      </c>
      <c r="N2302" s="4">
        <v>100</v>
      </c>
      <c r="O2302" s="4" t="s">
        <v>6170</v>
      </c>
    </row>
    <row r="2303" spans="1:15" ht="15.75" customHeight="1">
      <c r="A2303" s="4" t="s">
        <v>49</v>
      </c>
      <c r="B2303" s="4">
        <v>2433980</v>
      </c>
      <c r="C2303" s="4">
        <v>2434816</v>
      </c>
      <c r="E2303" s="4" t="s">
        <v>50</v>
      </c>
      <c r="F2303" s="4" t="s">
        <v>6171</v>
      </c>
      <c r="G2303" s="4" t="s">
        <v>6172</v>
      </c>
      <c r="I2303" s="4" t="s">
        <v>52</v>
      </c>
      <c r="L2303" s="4" t="s">
        <v>6173</v>
      </c>
      <c r="M2303" s="4" t="s">
        <v>6171</v>
      </c>
      <c r="N2303" s="4">
        <v>278</v>
      </c>
      <c r="O2303" s="4" t="s">
        <v>6174</v>
      </c>
    </row>
    <row r="2304" spans="1:15" ht="15.75" customHeight="1">
      <c r="A2304" s="4" t="s">
        <v>49</v>
      </c>
      <c r="B2304" s="4">
        <v>2434856</v>
      </c>
      <c r="C2304" s="4">
        <v>2435137</v>
      </c>
      <c r="E2304" s="4" t="s">
        <v>50</v>
      </c>
      <c r="F2304" s="4" t="s">
        <v>6175</v>
      </c>
      <c r="G2304" s="4" t="s">
        <v>6176</v>
      </c>
      <c r="I2304" s="4" t="s">
        <v>52</v>
      </c>
      <c r="L2304" s="4" t="s">
        <v>6177</v>
      </c>
      <c r="M2304" s="4" t="s">
        <v>6175</v>
      </c>
      <c r="N2304" s="4">
        <v>93</v>
      </c>
      <c r="O2304" s="4" t="s">
        <v>6178</v>
      </c>
    </row>
    <row r="2305" spans="1:15" ht="15.75" customHeight="1">
      <c r="A2305" s="4" t="s">
        <v>49</v>
      </c>
      <c r="B2305" s="4">
        <v>2435155</v>
      </c>
      <c r="C2305" s="4">
        <v>2435508</v>
      </c>
      <c r="E2305" s="4" t="s">
        <v>50</v>
      </c>
      <c r="F2305" s="4" t="s">
        <v>6179</v>
      </c>
      <c r="G2305" s="4" t="s">
        <v>6180</v>
      </c>
      <c r="I2305" s="4" t="s">
        <v>52</v>
      </c>
      <c r="L2305" s="4" t="s">
        <v>6181</v>
      </c>
      <c r="M2305" s="4" t="s">
        <v>6179</v>
      </c>
      <c r="N2305" s="4">
        <v>117</v>
      </c>
      <c r="O2305" s="4" t="s">
        <v>6182</v>
      </c>
    </row>
    <row r="2306" spans="1:15" ht="15.75" customHeight="1">
      <c r="A2306" s="4" t="s">
        <v>49</v>
      </c>
      <c r="B2306" s="4">
        <v>2435522</v>
      </c>
      <c r="C2306" s="4">
        <v>2436184</v>
      </c>
      <c r="E2306" s="4" t="s">
        <v>50</v>
      </c>
      <c r="F2306" s="4" t="s">
        <v>6183</v>
      </c>
      <c r="G2306" s="4" t="s">
        <v>6184</v>
      </c>
      <c r="I2306" s="4" t="s">
        <v>52</v>
      </c>
      <c r="L2306" s="4" t="s">
        <v>6185</v>
      </c>
      <c r="M2306" s="4" t="s">
        <v>6183</v>
      </c>
      <c r="N2306" s="4">
        <v>220</v>
      </c>
      <c r="O2306" s="4" t="s">
        <v>6186</v>
      </c>
    </row>
    <row r="2307" spans="1:15" ht="15.75" customHeight="1">
      <c r="A2307" s="4" t="s">
        <v>49</v>
      </c>
      <c r="B2307" s="4">
        <v>2436188</v>
      </c>
      <c r="C2307" s="4">
        <v>2436622</v>
      </c>
      <c r="E2307" s="4" t="s">
        <v>50</v>
      </c>
      <c r="F2307" s="4" t="s">
        <v>6187</v>
      </c>
      <c r="G2307" s="4" t="s">
        <v>6188</v>
      </c>
      <c r="I2307" s="4" t="s">
        <v>52</v>
      </c>
      <c r="L2307" s="4" t="s">
        <v>6189</v>
      </c>
      <c r="M2307" s="4" t="s">
        <v>6187</v>
      </c>
      <c r="N2307" s="4">
        <v>144</v>
      </c>
      <c r="O2307" s="4" t="s">
        <v>6190</v>
      </c>
    </row>
    <row r="2308" spans="1:15" ht="15.75" customHeight="1">
      <c r="A2308" s="4" t="s">
        <v>49</v>
      </c>
      <c r="B2308" s="4">
        <v>2436612</v>
      </c>
      <c r="C2308" s="4">
        <v>2436806</v>
      </c>
      <c r="E2308" s="4" t="s">
        <v>50</v>
      </c>
      <c r="F2308" s="4" t="s">
        <v>6191</v>
      </c>
      <c r="G2308" s="4" t="s">
        <v>6192</v>
      </c>
      <c r="I2308" s="4" t="s">
        <v>52</v>
      </c>
      <c r="L2308" s="4" t="s">
        <v>6193</v>
      </c>
      <c r="M2308" s="4" t="s">
        <v>6191</v>
      </c>
      <c r="N2308" s="4">
        <v>64</v>
      </c>
      <c r="O2308" s="4" t="s">
        <v>6194</v>
      </c>
    </row>
    <row r="2309" spans="1:15" ht="15.75" customHeight="1">
      <c r="A2309" s="4" t="s">
        <v>49</v>
      </c>
      <c r="B2309" s="4">
        <v>2436827</v>
      </c>
      <c r="C2309" s="4">
        <v>2437090</v>
      </c>
      <c r="E2309" s="4" t="s">
        <v>50</v>
      </c>
      <c r="F2309" s="4" t="s">
        <v>6195</v>
      </c>
      <c r="G2309" s="4" t="s">
        <v>6196</v>
      </c>
      <c r="I2309" s="4" t="s">
        <v>52</v>
      </c>
      <c r="L2309" s="4" t="s">
        <v>6197</v>
      </c>
      <c r="M2309" s="4" t="s">
        <v>6195</v>
      </c>
      <c r="N2309" s="4">
        <v>87</v>
      </c>
      <c r="O2309" s="4" t="s">
        <v>6198</v>
      </c>
    </row>
    <row r="2310" spans="1:15" ht="15.75" customHeight="1">
      <c r="A2310" s="4" t="s">
        <v>49</v>
      </c>
      <c r="B2310" s="4">
        <v>2437122</v>
      </c>
      <c r="C2310" s="4">
        <v>2437490</v>
      </c>
      <c r="E2310" s="4" t="s">
        <v>50</v>
      </c>
      <c r="F2310" s="4" t="s">
        <v>6199</v>
      </c>
      <c r="G2310" s="4" t="s">
        <v>6200</v>
      </c>
      <c r="I2310" s="4" t="s">
        <v>52</v>
      </c>
      <c r="L2310" s="4" t="s">
        <v>6201</v>
      </c>
      <c r="M2310" s="4" t="s">
        <v>6199</v>
      </c>
      <c r="N2310" s="4">
        <v>122</v>
      </c>
      <c r="O2310" s="4" t="s">
        <v>6202</v>
      </c>
    </row>
    <row r="2311" spans="1:15" ht="15.75" customHeight="1">
      <c r="A2311" s="4" t="s">
        <v>49</v>
      </c>
      <c r="B2311" s="4">
        <v>2437520</v>
      </c>
      <c r="C2311" s="4">
        <v>2437831</v>
      </c>
      <c r="E2311" s="4" t="s">
        <v>50</v>
      </c>
      <c r="F2311" s="4" t="s">
        <v>6203</v>
      </c>
      <c r="G2311" s="4" t="s">
        <v>6204</v>
      </c>
      <c r="I2311" s="4" t="s">
        <v>52</v>
      </c>
      <c r="L2311" s="4" t="s">
        <v>6205</v>
      </c>
      <c r="M2311" s="4" t="s">
        <v>6203</v>
      </c>
      <c r="N2311" s="4">
        <v>103</v>
      </c>
      <c r="O2311" s="4" t="s">
        <v>6206</v>
      </c>
    </row>
    <row r="2312" spans="1:15" ht="15.75" customHeight="1">
      <c r="A2312" s="4" t="s">
        <v>49</v>
      </c>
      <c r="B2312" s="4">
        <v>2437856</v>
      </c>
      <c r="C2312" s="4">
        <v>2438398</v>
      </c>
      <c r="E2312" s="4" t="s">
        <v>50</v>
      </c>
      <c r="F2312" s="4" t="s">
        <v>6207</v>
      </c>
      <c r="G2312" s="4" t="s">
        <v>6208</v>
      </c>
      <c r="I2312" s="4" t="s">
        <v>52</v>
      </c>
      <c r="L2312" s="4" t="s">
        <v>6209</v>
      </c>
      <c r="M2312" s="4" t="s">
        <v>6207</v>
      </c>
      <c r="N2312" s="4">
        <v>180</v>
      </c>
      <c r="O2312" s="4" t="s">
        <v>6210</v>
      </c>
    </row>
    <row r="2313" spans="1:15" ht="15.75" customHeight="1">
      <c r="A2313" s="4" t="s">
        <v>49</v>
      </c>
      <c r="B2313" s="4">
        <v>2438413</v>
      </c>
      <c r="C2313" s="4">
        <v>2438598</v>
      </c>
      <c r="E2313" s="4" t="s">
        <v>50</v>
      </c>
      <c r="F2313" s="4" t="s">
        <v>6211</v>
      </c>
      <c r="I2313" s="4" t="s">
        <v>52</v>
      </c>
      <c r="L2313" s="4" t="s">
        <v>6212</v>
      </c>
      <c r="M2313" s="4" t="s">
        <v>6211</v>
      </c>
      <c r="N2313" s="4">
        <v>61</v>
      </c>
      <c r="O2313" s="4" t="s">
        <v>6213</v>
      </c>
    </row>
    <row r="2314" spans="1:15" ht="15.75" customHeight="1">
      <c r="A2314" s="4" t="s">
        <v>49</v>
      </c>
      <c r="B2314" s="4">
        <v>2438624</v>
      </c>
      <c r="C2314" s="4">
        <v>2439022</v>
      </c>
      <c r="E2314" s="4" t="s">
        <v>50</v>
      </c>
      <c r="F2314" s="4" t="s">
        <v>6214</v>
      </c>
      <c r="G2314" s="4" t="s">
        <v>6215</v>
      </c>
      <c r="I2314" s="4" t="s">
        <v>52</v>
      </c>
      <c r="L2314" s="4" t="s">
        <v>6216</v>
      </c>
      <c r="M2314" s="4" t="s">
        <v>6214</v>
      </c>
      <c r="N2314" s="4">
        <v>132</v>
      </c>
      <c r="O2314" s="4" t="s">
        <v>6217</v>
      </c>
    </row>
    <row r="2315" spans="1:15" ht="15.75" customHeight="1">
      <c r="A2315" s="4" t="s">
        <v>49</v>
      </c>
      <c r="B2315" s="4">
        <v>2439053</v>
      </c>
      <c r="C2315" s="4">
        <v>2439583</v>
      </c>
      <c r="E2315" s="4" t="s">
        <v>50</v>
      </c>
      <c r="F2315" s="4" t="s">
        <v>6218</v>
      </c>
      <c r="G2315" s="4" t="s">
        <v>6219</v>
      </c>
      <c r="I2315" s="4" t="s">
        <v>52</v>
      </c>
      <c r="L2315" s="4" t="s">
        <v>6220</v>
      </c>
      <c r="M2315" s="4" t="s">
        <v>6218</v>
      </c>
      <c r="N2315" s="4">
        <v>176</v>
      </c>
      <c r="O2315" s="4" t="s">
        <v>6221</v>
      </c>
    </row>
    <row r="2316" spans="1:15" ht="15.75" customHeight="1">
      <c r="A2316" s="4" t="s">
        <v>49</v>
      </c>
      <c r="B2316" s="4">
        <v>2439621</v>
      </c>
      <c r="C2316" s="4">
        <v>2439980</v>
      </c>
      <c r="E2316" s="4" t="s">
        <v>50</v>
      </c>
      <c r="F2316" s="4" t="s">
        <v>6222</v>
      </c>
      <c r="G2316" s="4" t="s">
        <v>6223</v>
      </c>
      <c r="I2316" s="4" t="s">
        <v>52</v>
      </c>
      <c r="L2316" s="4" t="s">
        <v>6224</v>
      </c>
      <c r="M2316" s="4" t="s">
        <v>6222</v>
      </c>
      <c r="N2316" s="4">
        <v>119</v>
      </c>
      <c r="O2316" s="4" t="s">
        <v>6225</v>
      </c>
    </row>
    <row r="2317" spans="1:15" ht="15.75" customHeight="1">
      <c r="A2317" s="4" t="s">
        <v>49</v>
      </c>
      <c r="B2317" s="4">
        <v>2440003</v>
      </c>
      <c r="C2317" s="4">
        <v>2440506</v>
      </c>
      <c r="E2317" s="4" t="s">
        <v>50</v>
      </c>
      <c r="F2317" s="4" t="s">
        <v>6226</v>
      </c>
      <c r="G2317" s="4" t="s">
        <v>6227</v>
      </c>
      <c r="I2317" s="4" t="s">
        <v>52</v>
      </c>
      <c r="L2317" s="4" t="s">
        <v>6228</v>
      </c>
      <c r="M2317" s="4" t="s">
        <v>6226</v>
      </c>
      <c r="N2317" s="4">
        <v>167</v>
      </c>
      <c r="O2317" s="4" t="s">
        <v>6229</v>
      </c>
    </row>
    <row r="2318" spans="1:15" ht="15.75" customHeight="1">
      <c r="A2318" s="4" t="s">
        <v>49</v>
      </c>
      <c r="B2318" s="4">
        <v>2440518</v>
      </c>
      <c r="C2318" s="4">
        <v>2440703</v>
      </c>
      <c r="E2318" s="4" t="s">
        <v>50</v>
      </c>
      <c r="F2318" s="4" t="s">
        <v>6230</v>
      </c>
      <c r="G2318" s="4" t="s">
        <v>6231</v>
      </c>
      <c r="I2318" s="4" t="s">
        <v>52</v>
      </c>
      <c r="L2318" s="4" t="s">
        <v>6232</v>
      </c>
      <c r="M2318" s="4" t="s">
        <v>6230</v>
      </c>
      <c r="N2318" s="4">
        <v>61</v>
      </c>
      <c r="O2318" s="4" t="s">
        <v>6233</v>
      </c>
    </row>
    <row r="2319" spans="1:15" ht="15.75" customHeight="1">
      <c r="A2319" s="4" t="s">
        <v>49</v>
      </c>
      <c r="B2319" s="4">
        <v>2440737</v>
      </c>
      <c r="C2319" s="4">
        <v>2441177</v>
      </c>
      <c r="E2319" s="4" t="s">
        <v>50</v>
      </c>
      <c r="F2319" s="4" t="s">
        <v>6234</v>
      </c>
      <c r="G2319" s="4" t="s">
        <v>6235</v>
      </c>
      <c r="I2319" s="4" t="s">
        <v>52</v>
      </c>
      <c r="L2319" s="4" t="s">
        <v>6236</v>
      </c>
      <c r="M2319" s="4" t="s">
        <v>6234</v>
      </c>
      <c r="N2319" s="4">
        <v>146</v>
      </c>
      <c r="O2319" s="4" t="s">
        <v>6237</v>
      </c>
    </row>
    <row r="2320" spans="1:15" ht="15.75" customHeight="1">
      <c r="A2320" s="4" t="s">
        <v>49</v>
      </c>
      <c r="B2320" s="4">
        <v>2441177</v>
      </c>
      <c r="C2320" s="4">
        <v>2442502</v>
      </c>
      <c r="E2320" s="4" t="s">
        <v>50</v>
      </c>
      <c r="F2320" s="4" t="s">
        <v>6238</v>
      </c>
      <c r="G2320" s="4" t="s">
        <v>6239</v>
      </c>
      <c r="I2320" s="4" t="s">
        <v>52</v>
      </c>
      <c r="L2320" s="4" t="s">
        <v>6240</v>
      </c>
      <c r="M2320" s="4" t="s">
        <v>6238</v>
      </c>
      <c r="N2320" s="4">
        <v>441</v>
      </c>
      <c r="O2320" s="4" t="s">
        <v>6241</v>
      </c>
    </row>
    <row r="2321" spans="1:15" ht="15.75" customHeight="1">
      <c r="A2321" s="4" t="s">
        <v>49</v>
      </c>
      <c r="B2321" s="4">
        <v>2442650</v>
      </c>
      <c r="C2321" s="4">
        <v>2443306</v>
      </c>
      <c r="E2321" s="4" t="s">
        <v>50</v>
      </c>
      <c r="F2321" s="4" t="s">
        <v>6242</v>
      </c>
      <c r="I2321" s="4" t="s">
        <v>52</v>
      </c>
      <c r="L2321" s="4" t="s">
        <v>6243</v>
      </c>
      <c r="M2321" s="4" t="s">
        <v>6242</v>
      </c>
      <c r="N2321" s="4">
        <v>218</v>
      </c>
      <c r="O2321" s="4" t="s">
        <v>6244</v>
      </c>
    </row>
    <row r="2322" spans="1:15" ht="15.75" customHeight="1">
      <c r="A2322" s="4" t="s">
        <v>49</v>
      </c>
      <c r="B2322" s="4">
        <v>2443450</v>
      </c>
      <c r="C2322" s="4">
        <v>2443668</v>
      </c>
      <c r="E2322" s="4" t="s">
        <v>50</v>
      </c>
      <c r="F2322" s="4" t="s">
        <v>6245</v>
      </c>
      <c r="G2322" s="4" t="s">
        <v>6246</v>
      </c>
      <c r="I2322" s="4" t="s">
        <v>52</v>
      </c>
      <c r="L2322" s="4" t="s">
        <v>6247</v>
      </c>
      <c r="M2322" s="4" t="s">
        <v>6245</v>
      </c>
      <c r="N2322" s="4">
        <v>72</v>
      </c>
      <c r="O2322" s="4" t="s">
        <v>6248</v>
      </c>
    </row>
    <row r="2323" spans="1:15" ht="15.75" customHeight="1">
      <c r="A2323" s="4" t="s">
        <v>49</v>
      </c>
      <c r="B2323" s="4">
        <v>2443696</v>
      </c>
      <c r="C2323" s="4">
        <v>2443812</v>
      </c>
      <c r="E2323" s="4" t="s">
        <v>50</v>
      </c>
      <c r="F2323" s="4" t="s">
        <v>6249</v>
      </c>
      <c r="G2323" s="4" t="s">
        <v>6250</v>
      </c>
      <c r="I2323" s="4" t="s">
        <v>52</v>
      </c>
      <c r="L2323" s="4" t="s">
        <v>6251</v>
      </c>
      <c r="M2323" s="4" t="s">
        <v>6249</v>
      </c>
      <c r="N2323" s="4">
        <v>38</v>
      </c>
      <c r="O2323" s="4" t="s">
        <v>6252</v>
      </c>
    </row>
    <row r="2324" spans="1:15" ht="15.75" customHeight="1">
      <c r="A2324" s="4" t="s">
        <v>49</v>
      </c>
      <c r="B2324" s="4">
        <v>2443846</v>
      </c>
      <c r="C2324" s="4">
        <v>2444211</v>
      </c>
      <c r="E2324" s="4" t="s">
        <v>50</v>
      </c>
      <c r="F2324" s="4" t="s">
        <v>6253</v>
      </c>
      <c r="G2324" s="4" t="s">
        <v>6254</v>
      </c>
      <c r="I2324" s="4" t="s">
        <v>52</v>
      </c>
      <c r="L2324" s="4" t="s">
        <v>6255</v>
      </c>
      <c r="M2324" s="4" t="s">
        <v>6253</v>
      </c>
      <c r="N2324" s="4">
        <v>121</v>
      </c>
      <c r="O2324" s="4" t="s">
        <v>6256</v>
      </c>
    </row>
    <row r="2325" spans="1:15" ht="15.75" customHeight="1">
      <c r="A2325" s="4" t="s">
        <v>49</v>
      </c>
      <c r="B2325" s="4">
        <v>2444232</v>
      </c>
      <c r="C2325" s="4">
        <v>2444621</v>
      </c>
      <c r="E2325" s="4" t="s">
        <v>50</v>
      </c>
      <c r="F2325" s="4" t="s">
        <v>6257</v>
      </c>
      <c r="G2325" s="4" t="s">
        <v>6258</v>
      </c>
      <c r="I2325" s="4" t="s">
        <v>52</v>
      </c>
      <c r="L2325" s="4" t="s">
        <v>6259</v>
      </c>
      <c r="M2325" s="4" t="s">
        <v>6257</v>
      </c>
      <c r="N2325" s="4">
        <v>129</v>
      </c>
      <c r="O2325" s="4" t="s">
        <v>6260</v>
      </c>
    </row>
    <row r="2326" spans="1:15" ht="15.75" customHeight="1">
      <c r="A2326" s="4" t="s">
        <v>49</v>
      </c>
      <c r="B2326" s="4">
        <v>2444696</v>
      </c>
      <c r="C2326" s="4">
        <v>2445634</v>
      </c>
      <c r="E2326" s="4" t="s">
        <v>50</v>
      </c>
      <c r="F2326" s="4" t="s">
        <v>6261</v>
      </c>
      <c r="I2326" s="4" t="s">
        <v>52</v>
      </c>
      <c r="L2326" s="4" t="s">
        <v>6262</v>
      </c>
      <c r="M2326" s="4" t="s">
        <v>6261</v>
      </c>
      <c r="N2326" s="4">
        <v>312</v>
      </c>
      <c r="O2326" s="4" t="s">
        <v>6263</v>
      </c>
    </row>
    <row r="2327" spans="1:15" ht="15.75" customHeight="1">
      <c r="A2327" s="4" t="s">
        <v>49</v>
      </c>
      <c r="B2327" s="4">
        <v>2445656</v>
      </c>
      <c r="C2327" s="4">
        <v>2446039</v>
      </c>
      <c r="E2327" s="4" t="s">
        <v>50</v>
      </c>
      <c r="F2327" s="4" t="s">
        <v>6264</v>
      </c>
      <c r="G2327" s="4" t="s">
        <v>6265</v>
      </c>
      <c r="I2327" s="4" t="s">
        <v>52</v>
      </c>
      <c r="L2327" s="4" t="s">
        <v>6266</v>
      </c>
      <c r="M2327" s="4" t="s">
        <v>6264</v>
      </c>
      <c r="N2327" s="4">
        <v>127</v>
      </c>
      <c r="O2327" s="4" t="s">
        <v>6267</v>
      </c>
    </row>
    <row r="2328" spans="1:15" ht="15.75" customHeight="1">
      <c r="A2328" s="4" t="s">
        <v>49</v>
      </c>
      <c r="B2328" s="4">
        <v>2446456</v>
      </c>
      <c r="C2328" s="4">
        <v>2447127</v>
      </c>
      <c r="E2328" s="4" t="s">
        <v>50</v>
      </c>
      <c r="F2328" s="4" t="s">
        <v>56</v>
      </c>
      <c r="I2328" s="4" t="s">
        <v>52</v>
      </c>
      <c r="L2328" s="4" t="s">
        <v>6268</v>
      </c>
      <c r="M2328" s="4" t="s">
        <v>56</v>
      </c>
      <c r="N2328" s="4">
        <v>223</v>
      </c>
      <c r="O2328" s="4" t="s">
        <v>6269</v>
      </c>
    </row>
    <row r="2329" spans="1:15" ht="15.75" customHeight="1">
      <c r="A2329" s="4" t="s">
        <v>49</v>
      </c>
      <c r="B2329" s="4">
        <v>2447271</v>
      </c>
      <c r="C2329" s="4">
        <v>2448107</v>
      </c>
      <c r="E2329" s="4" t="s">
        <v>50</v>
      </c>
      <c r="F2329" s="4" t="s">
        <v>6270</v>
      </c>
      <c r="I2329" s="4" t="s">
        <v>52</v>
      </c>
      <c r="L2329" s="4" t="s">
        <v>6271</v>
      </c>
      <c r="M2329" s="4" t="s">
        <v>6270</v>
      </c>
      <c r="N2329" s="4">
        <v>278</v>
      </c>
      <c r="O2329" s="4" t="s">
        <v>6272</v>
      </c>
    </row>
    <row r="2330" spans="1:15" ht="15.75" customHeight="1">
      <c r="A2330" s="4" t="s">
        <v>49</v>
      </c>
      <c r="B2330" s="4">
        <v>2448083</v>
      </c>
      <c r="C2330" s="4">
        <v>2448949</v>
      </c>
      <c r="E2330" s="4" t="s">
        <v>50</v>
      </c>
      <c r="F2330" s="4" t="s">
        <v>6270</v>
      </c>
      <c r="I2330" s="4" t="s">
        <v>52</v>
      </c>
      <c r="L2330" s="4" t="s">
        <v>6273</v>
      </c>
      <c r="M2330" s="4" t="s">
        <v>6270</v>
      </c>
      <c r="N2330" s="4">
        <v>288</v>
      </c>
      <c r="O2330" s="4" t="s">
        <v>6274</v>
      </c>
    </row>
    <row r="2331" spans="1:15" ht="15.75" customHeight="1">
      <c r="A2331" s="4" t="s">
        <v>49</v>
      </c>
      <c r="B2331" s="4">
        <v>2448942</v>
      </c>
      <c r="C2331" s="4">
        <v>2449736</v>
      </c>
      <c r="E2331" s="4" t="s">
        <v>50</v>
      </c>
      <c r="F2331" s="4" t="s">
        <v>4145</v>
      </c>
      <c r="I2331" s="4" t="s">
        <v>52</v>
      </c>
      <c r="L2331" s="4" t="s">
        <v>6275</v>
      </c>
      <c r="M2331" s="4" t="s">
        <v>4145</v>
      </c>
      <c r="N2331" s="4">
        <v>264</v>
      </c>
      <c r="O2331" s="4" t="s">
        <v>6276</v>
      </c>
    </row>
    <row r="2332" spans="1:15" ht="15.75" customHeight="1">
      <c r="A2332" s="4" t="s">
        <v>49</v>
      </c>
      <c r="B2332" s="4">
        <v>2449750</v>
      </c>
      <c r="C2332" s="4">
        <v>2450493</v>
      </c>
      <c r="E2332" s="4" t="s">
        <v>50</v>
      </c>
      <c r="F2332" s="4" t="s">
        <v>6277</v>
      </c>
      <c r="G2332" s="4" t="s">
        <v>6278</v>
      </c>
      <c r="I2332" s="4" t="s">
        <v>52</v>
      </c>
      <c r="L2332" s="4" t="s">
        <v>6279</v>
      </c>
      <c r="M2332" s="4" t="s">
        <v>6277</v>
      </c>
      <c r="N2332" s="4">
        <v>247</v>
      </c>
      <c r="O2332" s="4" t="s">
        <v>6280</v>
      </c>
    </row>
    <row r="2333" spans="1:15" ht="15.75" customHeight="1">
      <c r="A2333" s="4" t="s">
        <v>49</v>
      </c>
      <c r="B2333" s="4">
        <v>2450588</v>
      </c>
      <c r="C2333" s="4">
        <v>2451349</v>
      </c>
      <c r="E2333" s="4" t="s">
        <v>55</v>
      </c>
      <c r="F2333" s="4" t="s">
        <v>743</v>
      </c>
      <c r="I2333" s="4" t="s">
        <v>52</v>
      </c>
      <c r="L2333" s="4" t="s">
        <v>6281</v>
      </c>
      <c r="M2333" s="4" t="s">
        <v>743</v>
      </c>
      <c r="N2333" s="4">
        <v>253</v>
      </c>
      <c r="O2333" s="4" t="s">
        <v>6282</v>
      </c>
    </row>
    <row r="2334" spans="1:15" ht="15.75" customHeight="1">
      <c r="A2334" s="4" t="s">
        <v>49</v>
      </c>
      <c r="B2334" s="4">
        <v>2451633</v>
      </c>
      <c r="C2334" s="4">
        <v>2451854</v>
      </c>
      <c r="E2334" s="4" t="s">
        <v>55</v>
      </c>
      <c r="F2334" s="4" t="s">
        <v>56</v>
      </c>
      <c r="I2334" s="4" t="s">
        <v>52</v>
      </c>
      <c r="L2334" s="4" t="s">
        <v>6283</v>
      </c>
      <c r="M2334" s="4" t="s">
        <v>56</v>
      </c>
      <c r="N2334" s="4">
        <v>73</v>
      </c>
      <c r="O2334" s="4" t="s">
        <v>6284</v>
      </c>
    </row>
    <row r="2335" spans="1:15" ht="15.75" customHeight="1">
      <c r="A2335" s="4" t="s">
        <v>49</v>
      </c>
      <c r="B2335" s="4">
        <v>2452027</v>
      </c>
      <c r="C2335" s="4">
        <v>2452737</v>
      </c>
      <c r="E2335" s="4" t="s">
        <v>55</v>
      </c>
      <c r="F2335" s="4" t="s">
        <v>73</v>
      </c>
      <c r="I2335" s="4" t="s">
        <v>52</v>
      </c>
      <c r="L2335" s="4" t="s">
        <v>6285</v>
      </c>
      <c r="M2335" s="4" t="s">
        <v>73</v>
      </c>
      <c r="N2335" s="4">
        <v>236</v>
      </c>
      <c r="O2335" s="4" t="s">
        <v>6286</v>
      </c>
    </row>
    <row r="2336" spans="1:15" ht="15.75" customHeight="1">
      <c r="A2336" s="4" t="s">
        <v>49</v>
      </c>
      <c r="B2336" s="4">
        <v>2452739</v>
      </c>
      <c r="C2336" s="4">
        <v>2453797</v>
      </c>
      <c r="E2336" s="4" t="s">
        <v>55</v>
      </c>
      <c r="F2336" s="4" t="s">
        <v>1312</v>
      </c>
      <c r="I2336" s="4" t="s">
        <v>52</v>
      </c>
      <c r="L2336" s="4" t="s">
        <v>6287</v>
      </c>
      <c r="M2336" s="4" t="s">
        <v>1312</v>
      </c>
      <c r="N2336" s="4">
        <v>352</v>
      </c>
      <c r="O2336" s="4" t="s">
        <v>6288</v>
      </c>
    </row>
    <row r="2337" spans="1:15" ht="15.75" customHeight="1">
      <c r="A2337" s="4" t="s">
        <v>49</v>
      </c>
      <c r="B2337" s="4">
        <v>2453878</v>
      </c>
      <c r="C2337" s="4">
        <v>2454489</v>
      </c>
      <c r="E2337" s="4" t="s">
        <v>50</v>
      </c>
      <c r="F2337" s="4" t="s">
        <v>111</v>
      </c>
      <c r="I2337" s="4" t="s">
        <v>52</v>
      </c>
      <c r="L2337" s="4" t="s">
        <v>6289</v>
      </c>
      <c r="M2337" s="4" t="s">
        <v>111</v>
      </c>
      <c r="N2337" s="4">
        <v>203</v>
      </c>
      <c r="O2337" s="4" t="s">
        <v>6290</v>
      </c>
    </row>
    <row r="2338" spans="1:15" ht="15.75" customHeight="1">
      <c r="A2338" s="4" t="s">
        <v>49</v>
      </c>
      <c r="B2338" s="4">
        <v>2454733</v>
      </c>
      <c r="C2338" s="4">
        <v>2455179</v>
      </c>
      <c r="E2338" s="4" t="s">
        <v>50</v>
      </c>
      <c r="F2338" s="4" t="s">
        <v>6291</v>
      </c>
      <c r="G2338" s="4" t="s">
        <v>6292</v>
      </c>
      <c r="I2338" s="4" t="s">
        <v>52</v>
      </c>
      <c r="L2338" s="4" t="s">
        <v>6293</v>
      </c>
      <c r="M2338" s="4" t="s">
        <v>6291</v>
      </c>
      <c r="N2338" s="4">
        <v>148</v>
      </c>
      <c r="O2338" s="4" t="s">
        <v>6294</v>
      </c>
    </row>
    <row r="2339" spans="1:15" ht="15.75" customHeight="1">
      <c r="A2339" s="4" t="s">
        <v>49</v>
      </c>
      <c r="B2339" s="4">
        <v>2455193</v>
      </c>
      <c r="C2339" s="4">
        <v>2455585</v>
      </c>
      <c r="E2339" s="4" t="s">
        <v>50</v>
      </c>
      <c r="F2339" s="4" t="s">
        <v>6295</v>
      </c>
      <c r="G2339" s="4" t="s">
        <v>6296</v>
      </c>
      <c r="I2339" s="4" t="s">
        <v>52</v>
      </c>
      <c r="L2339" s="4" t="s">
        <v>6297</v>
      </c>
      <c r="M2339" s="4" t="s">
        <v>6295</v>
      </c>
      <c r="N2339" s="4">
        <v>130</v>
      </c>
      <c r="O2339" s="4" t="s">
        <v>6298</v>
      </c>
    </row>
    <row r="2340" spans="1:15" ht="15.75" customHeight="1">
      <c r="A2340" s="4" t="s">
        <v>49</v>
      </c>
      <c r="B2340" s="4">
        <v>2455752</v>
      </c>
      <c r="C2340" s="4">
        <v>2456075</v>
      </c>
      <c r="E2340" s="4" t="s">
        <v>55</v>
      </c>
      <c r="F2340" s="4" t="s">
        <v>56</v>
      </c>
      <c r="I2340" s="4" t="s">
        <v>52</v>
      </c>
      <c r="L2340" s="4" t="s">
        <v>6299</v>
      </c>
      <c r="M2340" s="4" t="s">
        <v>56</v>
      </c>
      <c r="N2340" s="4">
        <v>107</v>
      </c>
      <c r="O2340" s="4" t="s">
        <v>6300</v>
      </c>
    </row>
    <row r="2341" spans="1:15" ht="15.75" customHeight="1">
      <c r="A2341" s="4" t="s">
        <v>49</v>
      </c>
      <c r="B2341" s="4">
        <v>2456440</v>
      </c>
      <c r="C2341" s="4">
        <v>2457399</v>
      </c>
      <c r="E2341" s="4" t="s">
        <v>50</v>
      </c>
      <c r="F2341" s="4" t="s">
        <v>56</v>
      </c>
      <c r="I2341" s="4" t="s">
        <v>52</v>
      </c>
      <c r="L2341" s="4" t="s">
        <v>6301</v>
      </c>
      <c r="M2341" s="4" t="s">
        <v>56</v>
      </c>
      <c r="N2341" s="4">
        <v>319</v>
      </c>
      <c r="O2341" s="4" t="s">
        <v>6302</v>
      </c>
    </row>
    <row r="2342" spans="1:15" ht="15.75" customHeight="1">
      <c r="A2342" s="4" t="s">
        <v>49</v>
      </c>
      <c r="B2342" s="4">
        <v>2457401</v>
      </c>
      <c r="C2342" s="4">
        <v>2457928</v>
      </c>
      <c r="E2342" s="4" t="s">
        <v>55</v>
      </c>
      <c r="F2342" s="4" t="s">
        <v>622</v>
      </c>
      <c r="I2342" s="4" t="s">
        <v>52</v>
      </c>
      <c r="L2342" s="4" t="s">
        <v>6303</v>
      </c>
      <c r="M2342" s="4" t="s">
        <v>622</v>
      </c>
      <c r="N2342" s="4">
        <v>175</v>
      </c>
      <c r="O2342" s="4" t="s">
        <v>6304</v>
      </c>
    </row>
    <row r="2343" spans="1:15" ht="15.75" customHeight="1">
      <c r="A2343" s="4" t="s">
        <v>49</v>
      </c>
      <c r="B2343" s="4">
        <v>2458325</v>
      </c>
      <c r="C2343" s="4">
        <v>2459275</v>
      </c>
      <c r="E2343" s="4" t="s">
        <v>50</v>
      </c>
      <c r="F2343" s="4" t="s">
        <v>2499</v>
      </c>
      <c r="I2343" s="4" t="s">
        <v>52</v>
      </c>
      <c r="L2343" s="4" t="s">
        <v>6305</v>
      </c>
      <c r="M2343" s="4" t="s">
        <v>2499</v>
      </c>
      <c r="N2343" s="4">
        <v>316</v>
      </c>
      <c r="O2343" s="4" t="s">
        <v>6306</v>
      </c>
    </row>
    <row r="2344" spans="1:15" ht="15.75" customHeight="1">
      <c r="A2344" s="4" t="s">
        <v>49</v>
      </c>
      <c r="B2344" s="4">
        <v>2459272</v>
      </c>
      <c r="C2344" s="4">
        <v>2460042</v>
      </c>
      <c r="E2344" s="4" t="s">
        <v>50</v>
      </c>
      <c r="F2344" s="4" t="s">
        <v>6307</v>
      </c>
      <c r="I2344" s="4" t="s">
        <v>52</v>
      </c>
      <c r="L2344" s="4" t="s">
        <v>6308</v>
      </c>
      <c r="M2344" s="4" t="s">
        <v>6307</v>
      </c>
      <c r="N2344" s="4">
        <v>256</v>
      </c>
      <c r="O2344" s="4" t="s">
        <v>6309</v>
      </c>
    </row>
    <row r="2345" spans="1:15" ht="15.75" customHeight="1">
      <c r="A2345" s="4" t="s">
        <v>49</v>
      </c>
      <c r="B2345" s="4">
        <v>2460046</v>
      </c>
      <c r="C2345" s="4">
        <v>2460825</v>
      </c>
      <c r="E2345" s="4" t="s">
        <v>50</v>
      </c>
      <c r="F2345" s="4" t="s">
        <v>76</v>
      </c>
      <c r="I2345" s="4" t="s">
        <v>52</v>
      </c>
      <c r="L2345" s="4" t="s">
        <v>6310</v>
      </c>
      <c r="M2345" s="4" t="s">
        <v>76</v>
      </c>
      <c r="N2345" s="4">
        <v>259</v>
      </c>
      <c r="O2345" s="4" t="s">
        <v>6311</v>
      </c>
    </row>
    <row r="2346" spans="1:15" ht="15.75" customHeight="1">
      <c r="A2346" s="4" t="s">
        <v>49</v>
      </c>
      <c r="B2346" s="4">
        <v>2461120</v>
      </c>
      <c r="C2346" s="4">
        <v>2461935</v>
      </c>
      <c r="E2346" s="4" t="s">
        <v>50</v>
      </c>
      <c r="F2346" s="4" t="s">
        <v>5286</v>
      </c>
      <c r="I2346" s="4" t="s">
        <v>52</v>
      </c>
      <c r="L2346" s="4" t="s">
        <v>6312</v>
      </c>
      <c r="M2346" s="4" t="s">
        <v>5286</v>
      </c>
      <c r="N2346" s="4">
        <v>271</v>
      </c>
      <c r="O2346" s="4" t="s">
        <v>6313</v>
      </c>
    </row>
    <row r="2347" spans="1:15" ht="15.75" customHeight="1">
      <c r="A2347" s="4" t="s">
        <v>49</v>
      </c>
      <c r="B2347" s="4">
        <v>2461932</v>
      </c>
      <c r="C2347" s="4">
        <v>2462633</v>
      </c>
      <c r="E2347" s="4" t="s">
        <v>50</v>
      </c>
      <c r="F2347" s="4" t="s">
        <v>73</v>
      </c>
      <c r="I2347" s="4" t="s">
        <v>52</v>
      </c>
      <c r="L2347" s="4" t="s">
        <v>6314</v>
      </c>
      <c r="M2347" s="4" t="s">
        <v>73</v>
      </c>
      <c r="N2347" s="4">
        <v>233</v>
      </c>
      <c r="O2347" s="4" t="s">
        <v>6315</v>
      </c>
    </row>
    <row r="2348" spans="1:15" ht="15.75" customHeight="1">
      <c r="A2348" s="4" t="s">
        <v>49</v>
      </c>
      <c r="B2348" s="4">
        <v>2462630</v>
      </c>
      <c r="C2348" s="4">
        <v>2463862</v>
      </c>
      <c r="E2348" s="4" t="s">
        <v>50</v>
      </c>
      <c r="F2348" s="4" t="s">
        <v>2529</v>
      </c>
      <c r="I2348" s="4" t="s">
        <v>52</v>
      </c>
      <c r="L2348" s="4" t="s">
        <v>6316</v>
      </c>
      <c r="M2348" s="4" t="s">
        <v>2529</v>
      </c>
      <c r="N2348" s="4">
        <v>410</v>
      </c>
      <c r="O2348" s="4" t="s">
        <v>6317</v>
      </c>
    </row>
    <row r="2349" spans="1:15" ht="15.75" customHeight="1">
      <c r="A2349" s="4" t="s">
        <v>49</v>
      </c>
      <c r="B2349" s="4">
        <v>2463819</v>
      </c>
      <c r="C2349" s="4">
        <v>2465351</v>
      </c>
      <c r="E2349" s="4" t="s">
        <v>50</v>
      </c>
      <c r="F2349" s="4" t="s">
        <v>6318</v>
      </c>
      <c r="I2349" s="4" t="s">
        <v>52</v>
      </c>
      <c r="L2349" s="4" t="s">
        <v>6319</v>
      </c>
      <c r="M2349" s="4" t="s">
        <v>6318</v>
      </c>
      <c r="N2349" s="4">
        <v>510</v>
      </c>
      <c r="O2349" s="4" t="s">
        <v>6320</v>
      </c>
    </row>
    <row r="2350" spans="1:15" ht="15.75" customHeight="1">
      <c r="A2350" s="4" t="s">
        <v>49</v>
      </c>
      <c r="B2350" s="4">
        <v>2465341</v>
      </c>
      <c r="C2350" s="4">
        <v>2466315</v>
      </c>
      <c r="E2350" s="4" t="s">
        <v>50</v>
      </c>
      <c r="F2350" s="4" t="s">
        <v>6321</v>
      </c>
      <c r="I2350" s="4" t="s">
        <v>52</v>
      </c>
      <c r="L2350" s="4" t="s">
        <v>6322</v>
      </c>
      <c r="M2350" s="4" t="s">
        <v>6321</v>
      </c>
      <c r="N2350" s="4">
        <v>324</v>
      </c>
      <c r="O2350" s="4" t="s">
        <v>6323</v>
      </c>
    </row>
    <row r="2351" spans="1:15" ht="15.75" customHeight="1">
      <c r="A2351" s="4" t="s">
        <v>49</v>
      </c>
      <c r="B2351" s="4">
        <v>2466695</v>
      </c>
      <c r="C2351" s="4">
        <v>2467498</v>
      </c>
      <c r="E2351" s="4" t="s">
        <v>55</v>
      </c>
      <c r="F2351" s="4" t="s">
        <v>6324</v>
      </c>
      <c r="G2351" s="4" t="s">
        <v>6325</v>
      </c>
      <c r="I2351" s="4" t="s">
        <v>52</v>
      </c>
      <c r="L2351" s="4" t="s">
        <v>6326</v>
      </c>
      <c r="M2351" s="4" t="s">
        <v>6324</v>
      </c>
      <c r="N2351" s="4">
        <v>267</v>
      </c>
      <c r="O2351" s="4" t="s">
        <v>6327</v>
      </c>
    </row>
    <row r="2352" spans="1:15" ht="15.75" customHeight="1">
      <c r="A2352" s="4" t="s">
        <v>49</v>
      </c>
      <c r="B2352" s="4">
        <v>2467495</v>
      </c>
      <c r="C2352" s="4">
        <v>2468277</v>
      </c>
      <c r="E2352" s="4" t="s">
        <v>55</v>
      </c>
      <c r="F2352" s="4" t="s">
        <v>6324</v>
      </c>
      <c r="G2352" s="4" t="s">
        <v>6325</v>
      </c>
      <c r="I2352" s="4" t="s">
        <v>52</v>
      </c>
      <c r="L2352" s="4" t="s">
        <v>6328</v>
      </c>
      <c r="M2352" s="4" t="s">
        <v>6324</v>
      </c>
      <c r="N2352" s="4">
        <v>260</v>
      </c>
      <c r="O2352" s="4" t="s">
        <v>6329</v>
      </c>
    </row>
    <row r="2353" spans="1:15" ht="15.75" customHeight="1">
      <c r="A2353" s="4" t="s">
        <v>49</v>
      </c>
      <c r="B2353" s="4">
        <v>2468277</v>
      </c>
      <c r="C2353" s="4">
        <v>2469050</v>
      </c>
      <c r="E2353" s="4" t="s">
        <v>55</v>
      </c>
      <c r="F2353" s="4" t="s">
        <v>6330</v>
      </c>
      <c r="G2353" s="4" t="s">
        <v>6331</v>
      </c>
      <c r="I2353" s="4" t="s">
        <v>52</v>
      </c>
      <c r="L2353" s="4" t="s">
        <v>6332</v>
      </c>
      <c r="M2353" s="4" t="s">
        <v>6330</v>
      </c>
      <c r="N2353" s="4">
        <v>257</v>
      </c>
      <c r="O2353" s="4" t="s">
        <v>6333</v>
      </c>
    </row>
    <row r="2354" spans="1:15" ht="15.75" customHeight="1">
      <c r="A2354" s="4" t="s">
        <v>49</v>
      </c>
      <c r="B2354" s="4">
        <v>2469110</v>
      </c>
      <c r="C2354" s="4">
        <v>2470057</v>
      </c>
      <c r="E2354" s="4" t="s">
        <v>55</v>
      </c>
      <c r="F2354" s="4" t="s">
        <v>6334</v>
      </c>
      <c r="I2354" s="4" t="s">
        <v>52</v>
      </c>
      <c r="L2354" s="4" t="s">
        <v>6335</v>
      </c>
      <c r="M2354" s="4" t="s">
        <v>6334</v>
      </c>
      <c r="N2354" s="4">
        <v>315</v>
      </c>
      <c r="O2354" s="4" t="s">
        <v>6336</v>
      </c>
    </row>
    <row r="2355" spans="1:15" ht="15.75" customHeight="1">
      <c r="A2355" s="4" t="s">
        <v>49</v>
      </c>
      <c r="B2355" s="4">
        <v>2470439</v>
      </c>
      <c r="C2355" s="4">
        <v>2470699</v>
      </c>
      <c r="E2355" s="4" t="s">
        <v>55</v>
      </c>
      <c r="F2355" s="4" t="s">
        <v>6337</v>
      </c>
      <c r="I2355" s="4" t="s">
        <v>52</v>
      </c>
      <c r="L2355" s="4" t="s">
        <v>6338</v>
      </c>
      <c r="M2355" s="4" t="s">
        <v>6337</v>
      </c>
      <c r="N2355" s="4">
        <v>86</v>
      </c>
      <c r="O2355" s="4" t="s">
        <v>6339</v>
      </c>
    </row>
    <row r="2356" spans="1:15" ht="15.75" customHeight="1">
      <c r="A2356" s="4" t="s">
        <v>49</v>
      </c>
      <c r="B2356" s="4">
        <v>2471753</v>
      </c>
      <c r="C2356" s="4">
        <v>2472163</v>
      </c>
      <c r="E2356" s="4" t="s">
        <v>50</v>
      </c>
      <c r="F2356" s="4" t="s">
        <v>6340</v>
      </c>
      <c r="I2356" s="4" t="s">
        <v>52</v>
      </c>
      <c r="L2356" s="4" t="s">
        <v>6341</v>
      </c>
      <c r="M2356" s="4" t="s">
        <v>6340</v>
      </c>
      <c r="N2356" s="4">
        <v>136</v>
      </c>
      <c r="O2356" s="4" t="s">
        <v>6342</v>
      </c>
    </row>
    <row r="2357" spans="1:15" ht="15.75" customHeight="1">
      <c r="A2357" s="4" t="s">
        <v>49</v>
      </c>
      <c r="B2357" s="4">
        <v>2472157</v>
      </c>
      <c r="C2357" s="4">
        <v>2472513</v>
      </c>
      <c r="E2357" s="4" t="s">
        <v>50</v>
      </c>
      <c r="F2357" s="4" t="s">
        <v>6340</v>
      </c>
      <c r="I2357" s="4" t="s">
        <v>52</v>
      </c>
      <c r="L2357" s="4" t="s">
        <v>6343</v>
      </c>
      <c r="M2357" s="4" t="s">
        <v>6340</v>
      </c>
      <c r="N2357" s="4">
        <v>118</v>
      </c>
      <c r="O2357" s="4" t="s">
        <v>6344</v>
      </c>
    </row>
    <row r="2358" spans="1:15" ht="15.75" customHeight="1">
      <c r="A2358" s="4" t="s">
        <v>49</v>
      </c>
      <c r="B2358" s="4">
        <v>2472898</v>
      </c>
      <c r="C2358" s="4">
        <v>2473062</v>
      </c>
      <c r="E2358" s="4" t="s">
        <v>55</v>
      </c>
      <c r="F2358" s="4" t="s">
        <v>56</v>
      </c>
      <c r="I2358" s="4" t="s">
        <v>52</v>
      </c>
      <c r="L2358" s="4" t="s">
        <v>6345</v>
      </c>
      <c r="M2358" s="4" t="s">
        <v>56</v>
      </c>
      <c r="N2358" s="4">
        <v>54</v>
      </c>
      <c r="O2358" s="4" t="s">
        <v>6346</v>
      </c>
    </row>
    <row r="2359" spans="1:15" ht="15.75" customHeight="1">
      <c r="A2359" s="4" t="s">
        <v>49</v>
      </c>
      <c r="B2359" s="4">
        <v>2473445</v>
      </c>
      <c r="C2359" s="4">
        <v>2473963</v>
      </c>
      <c r="E2359" s="4" t="s">
        <v>50</v>
      </c>
      <c r="F2359" s="4" t="s">
        <v>56</v>
      </c>
      <c r="I2359" s="4" t="s">
        <v>52</v>
      </c>
      <c r="L2359" s="4" t="s">
        <v>6347</v>
      </c>
      <c r="M2359" s="4" t="s">
        <v>56</v>
      </c>
      <c r="N2359" s="4">
        <v>172</v>
      </c>
      <c r="O2359" s="4" t="s">
        <v>6348</v>
      </c>
    </row>
    <row r="2360" spans="1:15" ht="15.75" customHeight="1">
      <c r="A2360" s="4" t="s">
        <v>49</v>
      </c>
      <c r="B2360" s="4">
        <v>2474055</v>
      </c>
      <c r="C2360" s="4">
        <v>2474927</v>
      </c>
      <c r="E2360" s="4" t="s">
        <v>55</v>
      </c>
      <c r="F2360" s="4" t="s">
        <v>3156</v>
      </c>
      <c r="I2360" s="4" t="s">
        <v>52</v>
      </c>
      <c r="L2360" s="4" t="s">
        <v>6349</v>
      </c>
      <c r="M2360" s="4" t="s">
        <v>3156</v>
      </c>
      <c r="N2360" s="4">
        <v>290</v>
      </c>
      <c r="O2360" s="4" t="s">
        <v>6350</v>
      </c>
    </row>
    <row r="2361" spans="1:15" ht="15.75" customHeight="1">
      <c r="A2361" s="4" t="s">
        <v>49</v>
      </c>
      <c r="B2361" s="4">
        <v>2475095</v>
      </c>
      <c r="C2361" s="4">
        <v>2475856</v>
      </c>
      <c r="E2361" s="4" t="s">
        <v>55</v>
      </c>
      <c r="F2361" s="4" t="s">
        <v>3156</v>
      </c>
      <c r="I2361" s="4" t="s">
        <v>52</v>
      </c>
      <c r="L2361" s="4" t="s">
        <v>6351</v>
      </c>
      <c r="M2361" s="4" t="s">
        <v>3156</v>
      </c>
      <c r="N2361" s="4">
        <v>253</v>
      </c>
      <c r="O2361" s="4" t="s">
        <v>6352</v>
      </c>
    </row>
    <row r="2362" spans="1:15" ht="15.75" customHeight="1">
      <c r="A2362" s="4" t="s">
        <v>49</v>
      </c>
      <c r="B2362" s="4">
        <v>2476192</v>
      </c>
      <c r="C2362" s="4">
        <v>2478777</v>
      </c>
      <c r="E2362" s="4" t="s">
        <v>50</v>
      </c>
      <c r="F2362" s="4" t="s">
        <v>6353</v>
      </c>
      <c r="I2362" s="4" t="s">
        <v>52</v>
      </c>
      <c r="L2362" s="4" t="s">
        <v>6354</v>
      </c>
      <c r="M2362" s="4" t="s">
        <v>6353</v>
      </c>
      <c r="N2362" s="4">
        <v>861</v>
      </c>
      <c r="O2362" s="4" t="s">
        <v>6355</v>
      </c>
    </row>
    <row r="2363" spans="1:15" ht="15.75" customHeight="1">
      <c r="A2363" s="4" t="s">
        <v>49</v>
      </c>
      <c r="B2363" s="4">
        <v>2479004</v>
      </c>
      <c r="C2363" s="4">
        <v>2480166</v>
      </c>
      <c r="E2363" s="4" t="s">
        <v>55</v>
      </c>
      <c r="F2363" s="4" t="s">
        <v>348</v>
      </c>
      <c r="I2363" s="4" t="s">
        <v>52</v>
      </c>
      <c r="L2363" s="4" t="s">
        <v>6356</v>
      </c>
      <c r="M2363" s="4" t="s">
        <v>348</v>
      </c>
      <c r="N2363" s="4">
        <v>387</v>
      </c>
      <c r="O2363" s="4" t="s">
        <v>6357</v>
      </c>
    </row>
    <row r="2364" spans="1:15" ht="15.75" customHeight="1">
      <c r="A2364" s="4" t="s">
        <v>49</v>
      </c>
      <c r="B2364" s="4">
        <v>2480820</v>
      </c>
      <c r="C2364" s="4">
        <v>2481500</v>
      </c>
      <c r="E2364" s="4" t="s">
        <v>50</v>
      </c>
      <c r="F2364" s="4" t="s">
        <v>56</v>
      </c>
      <c r="I2364" s="4" t="s">
        <v>52</v>
      </c>
      <c r="L2364" s="4" t="s">
        <v>6358</v>
      </c>
      <c r="M2364" s="4" t="s">
        <v>56</v>
      </c>
      <c r="N2364" s="4">
        <v>226</v>
      </c>
      <c r="O2364" s="4" t="s">
        <v>6359</v>
      </c>
    </row>
    <row r="2365" spans="1:15" ht="15.75" customHeight="1">
      <c r="A2365" s="4" t="s">
        <v>49</v>
      </c>
      <c r="B2365" s="4">
        <v>2481581</v>
      </c>
      <c r="C2365" s="4">
        <v>2482600</v>
      </c>
      <c r="E2365" s="4" t="s">
        <v>50</v>
      </c>
      <c r="F2365" s="4" t="s">
        <v>216</v>
      </c>
      <c r="I2365" s="4" t="s">
        <v>52</v>
      </c>
      <c r="L2365" s="4" t="s">
        <v>6360</v>
      </c>
      <c r="M2365" s="4" t="s">
        <v>216</v>
      </c>
      <c r="N2365" s="4">
        <v>339</v>
      </c>
      <c r="O2365" s="4" t="s">
        <v>6361</v>
      </c>
    </row>
    <row r="2366" spans="1:15" ht="15.75" customHeight="1">
      <c r="A2366" s="4" t="s">
        <v>49</v>
      </c>
      <c r="B2366" s="4">
        <v>2482745</v>
      </c>
      <c r="C2366" s="4">
        <v>2482894</v>
      </c>
      <c r="E2366" s="4" t="s">
        <v>55</v>
      </c>
      <c r="F2366" s="4" t="s">
        <v>56</v>
      </c>
      <c r="I2366" s="4" t="s">
        <v>52</v>
      </c>
      <c r="L2366" s="4" t="s">
        <v>6362</v>
      </c>
      <c r="M2366" s="4" t="s">
        <v>56</v>
      </c>
      <c r="N2366" s="4">
        <v>49</v>
      </c>
      <c r="O2366" s="4" t="s">
        <v>6363</v>
      </c>
    </row>
    <row r="2367" spans="1:15" ht="15.75" customHeight="1">
      <c r="A2367" s="4" t="s">
        <v>49</v>
      </c>
      <c r="B2367" s="4">
        <v>2483138</v>
      </c>
      <c r="C2367" s="4">
        <v>2484040</v>
      </c>
      <c r="E2367" s="4" t="s">
        <v>55</v>
      </c>
      <c r="F2367" s="4" t="s">
        <v>6364</v>
      </c>
      <c r="I2367" s="4" t="s">
        <v>52</v>
      </c>
      <c r="L2367" s="4" t="s">
        <v>6365</v>
      </c>
      <c r="M2367" s="4" t="s">
        <v>6364</v>
      </c>
      <c r="N2367" s="4">
        <v>300</v>
      </c>
      <c r="O2367" s="4" t="s">
        <v>6366</v>
      </c>
    </row>
    <row r="2368" spans="1:15" ht="15.75" customHeight="1">
      <c r="A2368" s="4" t="s">
        <v>49</v>
      </c>
      <c r="B2368" s="4">
        <v>2484191</v>
      </c>
      <c r="C2368" s="4">
        <v>2485987</v>
      </c>
      <c r="E2368" s="4" t="s">
        <v>55</v>
      </c>
      <c r="F2368" s="4" t="s">
        <v>3740</v>
      </c>
      <c r="I2368" s="4" t="s">
        <v>52</v>
      </c>
      <c r="L2368" s="4" t="s">
        <v>6367</v>
      </c>
      <c r="M2368" s="4" t="s">
        <v>3740</v>
      </c>
      <c r="N2368" s="4">
        <v>598</v>
      </c>
      <c r="O2368" s="4" t="s">
        <v>6368</v>
      </c>
    </row>
    <row r="2369" spans="1:15" ht="15.75" customHeight="1">
      <c r="A2369" s="4" t="s">
        <v>49</v>
      </c>
      <c r="B2369" s="4">
        <v>2486250</v>
      </c>
      <c r="C2369" s="4">
        <v>2486774</v>
      </c>
      <c r="E2369" s="4" t="s">
        <v>50</v>
      </c>
      <c r="F2369" s="4" t="s">
        <v>56</v>
      </c>
      <c r="I2369" s="4" t="s">
        <v>52</v>
      </c>
      <c r="L2369" s="4" t="s">
        <v>6369</v>
      </c>
      <c r="M2369" s="4" t="s">
        <v>56</v>
      </c>
      <c r="N2369" s="4">
        <v>174</v>
      </c>
      <c r="O2369" s="4" t="s">
        <v>6370</v>
      </c>
    </row>
    <row r="2370" spans="1:15" ht="15.75" customHeight="1">
      <c r="A2370" s="4" t="s">
        <v>49</v>
      </c>
      <c r="B2370" s="4">
        <v>2486931</v>
      </c>
      <c r="C2370" s="4">
        <v>2487563</v>
      </c>
      <c r="E2370" s="4" t="s">
        <v>50</v>
      </c>
      <c r="F2370" s="4" t="s">
        <v>345</v>
      </c>
      <c r="I2370" s="4" t="s">
        <v>346</v>
      </c>
      <c r="O2370" s="4" t="s">
        <v>6371</v>
      </c>
    </row>
    <row r="2371" spans="1:15" ht="15.75" customHeight="1">
      <c r="A2371" s="4" t="s">
        <v>49</v>
      </c>
      <c r="B2371" s="4">
        <v>2487681</v>
      </c>
      <c r="C2371" s="4">
        <v>2488322</v>
      </c>
      <c r="E2371" s="4" t="s">
        <v>55</v>
      </c>
      <c r="F2371" s="4" t="s">
        <v>1108</v>
      </c>
      <c r="I2371" s="4" t="s">
        <v>52</v>
      </c>
      <c r="L2371" s="4" t="s">
        <v>6372</v>
      </c>
      <c r="M2371" s="4" t="s">
        <v>1108</v>
      </c>
      <c r="N2371" s="4">
        <v>213</v>
      </c>
      <c r="O2371" s="4" t="s">
        <v>6373</v>
      </c>
    </row>
    <row r="2372" spans="1:15" ht="15.75" customHeight="1">
      <c r="A2372" s="4" t="s">
        <v>49</v>
      </c>
      <c r="B2372" s="4">
        <v>2488562</v>
      </c>
      <c r="C2372" s="4">
        <v>2489479</v>
      </c>
      <c r="E2372" s="4" t="s">
        <v>55</v>
      </c>
      <c r="F2372" s="4" t="s">
        <v>6364</v>
      </c>
      <c r="I2372" s="4" t="s">
        <v>52</v>
      </c>
      <c r="L2372" s="4" t="s">
        <v>6374</v>
      </c>
      <c r="M2372" s="4" t="s">
        <v>6364</v>
      </c>
      <c r="N2372" s="4">
        <v>305</v>
      </c>
      <c r="O2372" s="4" t="s">
        <v>6375</v>
      </c>
    </row>
    <row r="2373" spans="1:15" ht="15.75" customHeight="1">
      <c r="A2373" s="4" t="s">
        <v>49</v>
      </c>
      <c r="B2373" s="4">
        <v>2489680</v>
      </c>
      <c r="C2373" s="4">
        <v>2489799</v>
      </c>
      <c r="E2373" s="4" t="s">
        <v>50</v>
      </c>
      <c r="F2373" s="4" t="s">
        <v>2873</v>
      </c>
      <c r="I2373" s="4" t="s">
        <v>52</v>
      </c>
      <c r="L2373" s="4" t="s">
        <v>6376</v>
      </c>
      <c r="M2373" s="4" t="s">
        <v>2873</v>
      </c>
      <c r="N2373" s="4">
        <v>39</v>
      </c>
      <c r="O2373" s="4" t="s">
        <v>6377</v>
      </c>
    </row>
    <row r="2374" spans="1:15" ht="15.75" customHeight="1">
      <c r="A2374" s="4" t="s">
        <v>49</v>
      </c>
      <c r="B2374" s="4">
        <v>2489888</v>
      </c>
      <c r="C2374" s="4">
        <v>2490157</v>
      </c>
      <c r="E2374" s="4" t="s">
        <v>50</v>
      </c>
      <c r="F2374" s="4" t="s">
        <v>6378</v>
      </c>
      <c r="G2374" s="4" t="s">
        <v>6379</v>
      </c>
      <c r="I2374" s="4" t="s">
        <v>52</v>
      </c>
      <c r="L2374" s="4" t="s">
        <v>6380</v>
      </c>
      <c r="M2374" s="4" t="s">
        <v>6378</v>
      </c>
      <c r="N2374" s="4">
        <v>89</v>
      </c>
      <c r="O2374" s="4" t="s">
        <v>6381</v>
      </c>
    </row>
    <row r="2375" spans="1:15" ht="15.75" customHeight="1">
      <c r="A2375" s="4" t="s">
        <v>49</v>
      </c>
      <c r="B2375" s="4">
        <v>2490358</v>
      </c>
      <c r="C2375" s="4">
        <v>2491824</v>
      </c>
      <c r="E2375" s="4" t="s">
        <v>50</v>
      </c>
      <c r="F2375" s="4" t="s">
        <v>6382</v>
      </c>
      <c r="G2375" s="4" t="s">
        <v>6383</v>
      </c>
      <c r="I2375" s="4" t="s">
        <v>52</v>
      </c>
      <c r="L2375" s="4" t="s">
        <v>6384</v>
      </c>
      <c r="M2375" s="4" t="s">
        <v>6382</v>
      </c>
      <c r="N2375" s="4">
        <v>488</v>
      </c>
      <c r="O2375" s="4" t="s">
        <v>6385</v>
      </c>
    </row>
    <row r="2376" spans="1:15" ht="15.75" customHeight="1">
      <c r="A2376" s="4" t="s">
        <v>49</v>
      </c>
      <c r="B2376" s="4">
        <v>2492100</v>
      </c>
      <c r="C2376" s="4">
        <v>2492843</v>
      </c>
      <c r="E2376" s="4" t="s">
        <v>50</v>
      </c>
      <c r="F2376" s="4" t="s">
        <v>4509</v>
      </c>
      <c r="I2376" s="4" t="s">
        <v>52</v>
      </c>
      <c r="L2376" s="4" t="s">
        <v>6386</v>
      </c>
      <c r="M2376" s="4" t="s">
        <v>4509</v>
      </c>
      <c r="N2376" s="4">
        <v>247</v>
      </c>
      <c r="O2376" s="4" t="s">
        <v>6387</v>
      </c>
    </row>
    <row r="2377" spans="1:15" ht="15.75" customHeight="1">
      <c r="A2377" s="4" t="s">
        <v>49</v>
      </c>
      <c r="B2377" s="4">
        <v>2492840</v>
      </c>
      <c r="C2377" s="4">
        <v>2493736</v>
      </c>
      <c r="E2377" s="4" t="s">
        <v>50</v>
      </c>
      <c r="F2377" s="4" t="s">
        <v>4506</v>
      </c>
      <c r="I2377" s="4" t="s">
        <v>52</v>
      </c>
      <c r="L2377" s="4" t="s">
        <v>6388</v>
      </c>
      <c r="M2377" s="4" t="s">
        <v>4506</v>
      </c>
      <c r="N2377" s="4">
        <v>298</v>
      </c>
      <c r="O2377" s="4" t="s">
        <v>6389</v>
      </c>
    </row>
    <row r="2378" spans="1:15" ht="15.75" customHeight="1">
      <c r="A2378" s="4" t="s">
        <v>49</v>
      </c>
      <c r="B2378" s="4">
        <v>2493733</v>
      </c>
      <c r="C2378" s="4">
        <v>2494674</v>
      </c>
      <c r="E2378" s="4" t="s">
        <v>50</v>
      </c>
      <c r="F2378" s="4" t="s">
        <v>6390</v>
      </c>
      <c r="I2378" s="4" t="s">
        <v>52</v>
      </c>
      <c r="L2378" s="4" t="s">
        <v>6391</v>
      </c>
      <c r="M2378" s="4" t="s">
        <v>6390</v>
      </c>
      <c r="N2378" s="4">
        <v>313</v>
      </c>
      <c r="O2378" s="4" t="s">
        <v>6392</v>
      </c>
    </row>
    <row r="2379" spans="1:15" ht="15.75" customHeight="1">
      <c r="A2379" s="4" t="s">
        <v>49</v>
      </c>
      <c r="B2379" s="4">
        <v>2494795</v>
      </c>
      <c r="C2379" s="4">
        <v>2495127</v>
      </c>
      <c r="E2379" s="4" t="s">
        <v>55</v>
      </c>
      <c r="F2379" s="4" t="s">
        <v>478</v>
      </c>
      <c r="I2379" s="4" t="s">
        <v>52</v>
      </c>
      <c r="L2379" s="4" t="s">
        <v>6393</v>
      </c>
      <c r="M2379" s="4" t="s">
        <v>478</v>
      </c>
      <c r="N2379" s="4">
        <v>110</v>
      </c>
      <c r="O2379" s="4" t="s">
        <v>6394</v>
      </c>
    </row>
    <row r="2380" spans="1:15" ht="15.75" customHeight="1">
      <c r="A2380" s="4" t="s">
        <v>49</v>
      </c>
      <c r="B2380" s="4">
        <v>2495148</v>
      </c>
      <c r="C2380" s="4">
        <v>2495786</v>
      </c>
      <c r="E2380" s="4" t="s">
        <v>55</v>
      </c>
      <c r="F2380" s="4" t="s">
        <v>6395</v>
      </c>
      <c r="I2380" s="4" t="s">
        <v>52</v>
      </c>
      <c r="L2380" s="4" t="s">
        <v>6396</v>
      </c>
      <c r="M2380" s="4" t="s">
        <v>6395</v>
      </c>
      <c r="N2380" s="4">
        <v>212</v>
      </c>
      <c r="O2380" s="4" t="s">
        <v>6397</v>
      </c>
    </row>
    <row r="2381" spans="1:15" ht="15.75" customHeight="1">
      <c r="A2381" s="4" t="s">
        <v>49</v>
      </c>
      <c r="B2381" s="4">
        <v>2495915</v>
      </c>
      <c r="C2381" s="4">
        <v>2496106</v>
      </c>
      <c r="E2381" s="4" t="s">
        <v>55</v>
      </c>
      <c r="F2381" s="4" t="s">
        <v>56</v>
      </c>
      <c r="I2381" s="4" t="s">
        <v>52</v>
      </c>
      <c r="L2381" s="4" t="s">
        <v>6398</v>
      </c>
      <c r="M2381" s="4" t="s">
        <v>56</v>
      </c>
      <c r="N2381" s="4">
        <v>63</v>
      </c>
      <c r="O2381" s="4" t="s">
        <v>6399</v>
      </c>
    </row>
    <row r="2382" spans="1:15" ht="15.75" customHeight="1">
      <c r="A2382" s="4" t="s">
        <v>49</v>
      </c>
      <c r="B2382" s="4">
        <v>2496233</v>
      </c>
      <c r="C2382" s="4">
        <v>2497762</v>
      </c>
      <c r="E2382" s="4" t="s">
        <v>50</v>
      </c>
      <c r="F2382" s="4" t="s">
        <v>6400</v>
      </c>
      <c r="I2382" s="4" t="s">
        <v>52</v>
      </c>
      <c r="L2382" s="4" t="s">
        <v>6401</v>
      </c>
      <c r="M2382" s="4" t="s">
        <v>6400</v>
      </c>
      <c r="N2382" s="4">
        <v>509</v>
      </c>
      <c r="O2382" s="4" t="s">
        <v>6402</v>
      </c>
    </row>
    <row r="2383" spans="1:15" ht="15.75" customHeight="1">
      <c r="A2383" s="4" t="s">
        <v>49</v>
      </c>
      <c r="B2383" s="4">
        <v>2497802</v>
      </c>
      <c r="C2383" s="4">
        <v>2499175</v>
      </c>
      <c r="E2383" s="4" t="s">
        <v>50</v>
      </c>
      <c r="F2383" s="4" t="s">
        <v>345</v>
      </c>
      <c r="I2383" s="4" t="s">
        <v>346</v>
      </c>
      <c r="O2383" s="4" t="s">
        <v>6403</v>
      </c>
    </row>
    <row r="2384" spans="1:15" ht="15.75" customHeight="1">
      <c r="A2384" s="4" t="s">
        <v>49</v>
      </c>
      <c r="B2384" s="4">
        <v>2499329</v>
      </c>
      <c r="C2384" s="4">
        <v>2499694</v>
      </c>
      <c r="E2384" s="4" t="s">
        <v>55</v>
      </c>
      <c r="F2384" s="4" t="s">
        <v>56</v>
      </c>
      <c r="I2384" s="4" t="s">
        <v>52</v>
      </c>
      <c r="L2384" s="4" t="s">
        <v>6404</v>
      </c>
      <c r="M2384" s="4" t="s">
        <v>56</v>
      </c>
      <c r="N2384" s="4">
        <v>121</v>
      </c>
      <c r="O2384" s="4" t="s">
        <v>6405</v>
      </c>
    </row>
    <row r="2385" spans="1:15" ht="15.75" customHeight="1">
      <c r="A2385" s="4" t="s">
        <v>49</v>
      </c>
      <c r="B2385" s="4">
        <v>2499994</v>
      </c>
      <c r="C2385" s="4">
        <v>2502711</v>
      </c>
      <c r="E2385" s="4" t="s">
        <v>55</v>
      </c>
      <c r="F2385" s="4" t="s">
        <v>6406</v>
      </c>
      <c r="I2385" s="4" t="s">
        <v>52</v>
      </c>
      <c r="L2385" s="4" t="s">
        <v>6407</v>
      </c>
      <c r="M2385" s="4" t="s">
        <v>6406</v>
      </c>
      <c r="N2385" s="4">
        <v>905</v>
      </c>
      <c r="O2385" s="4" t="s">
        <v>6408</v>
      </c>
    </row>
    <row r="2386" spans="1:15" ht="15.75" customHeight="1">
      <c r="A2386" s="4" t="s">
        <v>49</v>
      </c>
      <c r="B2386" s="4">
        <v>2503099</v>
      </c>
      <c r="C2386" s="4">
        <v>2504706</v>
      </c>
      <c r="E2386" s="4" t="s">
        <v>50</v>
      </c>
      <c r="F2386" s="4" t="s">
        <v>2767</v>
      </c>
      <c r="I2386" s="4" t="s">
        <v>52</v>
      </c>
      <c r="L2386" s="4" t="s">
        <v>6409</v>
      </c>
      <c r="M2386" s="4" t="s">
        <v>2767</v>
      </c>
      <c r="N2386" s="4">
        <v>535</v>
      </c>
      <c r="O2386" s="4" t="s">
        <v>6410</v>
      </c>
    </row>
    <row r="2387" spans="1:15" ht="15.75" customHeight="1">
      <c r="A2387" s="4" t="s">
        <v>49</v>
      </c>
      <c r="B2387" s="4">
        <v>2504998</v>
      </c>
      <c r="C2387" s="4">
        <v>2505756</v>
      </c>
      <c r="E2387" s="4" t="s">
        <v>50</v>
      </c>
      <c r="F2387" s="4" t="s">
        <v>56</v>
      </c>
      <c r="I2387" s="4" t="s">
        <v>52</v>
      </c>
      <c r="L2387" s="4" t="s">
        <v>6411</v>
      </c>
      <c r="M2387" s="4" t="s">
        <v>56</v>
      </c>
      <c r="N2387" s="4">
        <v>252</v>
      </c>
      <c r="O2387" s="4" t="s">
        <v>6412</v>
      </c>
    </row>
    <row r="2388" spans="1:15" ht="15.75" customHeight="1">
      <c r="A2388" s="4" t="s">
        <v>49</v>
      </c>
      <c r="B2388" s="4">
        <v>2505889</v>
      </c>
      <c r="C2388" s="4">
        <v>2507265</v>
      </c>
      <c r="E2388" s="4" t="s">
        <v>50</v>
      </c>
      <c r="F2388" s="4" t="s">
        <v>6413</v>
      </c>
      <c r="I2388" s="4" t="s">
        <v>52</v>
      </c>
      <c r="L2388" s="4" t="s">
        <v>6414</v>
      </c>
      <c r="M2388" s="4" t="s">
        <v>6413</v>
      </c>
      <c r="N2388" s="4">
        <v>458</v>
      </c>
      <c r="O2388" s="4" t="s">
        <v>6415</v>
      </c>
    </row>
    <row r="2389" spans="1:15" ht="15.75" customHeight="1">
      <c r="A2389" s="4" t="s">
        <v>49</v>
      </c>
      <c r="B2389" s="4">
        <v>2507653</v>
      </c>
      <c r="C2389" s="4">
        <v>2508816</v>
      </c>
      <c r="E2389" s="4" t="s">
        <v>55</v>
      </c>
      <c r="F2389" s="4" t="s">
        <v>6416</v>
      </c>
      <c r="I2389" s="4" t="s">
        <v>52</v>
      </c>
      <c r="L2389" s="4" t="s">
        <v>6417</v>
      </c>
      <c r="M2389" s="4" t="s">
        <v>6416</v>
      </c>
      <c r="N2389" s="4">
        <v>387</v>
      </c>
      <c r="O2389" s="4" t="s">
        <v>6418</v>
      </c>
    </row>
    <row r="2390" spans="1:15" ht="15.75" customHeight="1">
      <c r="A2390" s="4" t="s">
        <v>49</v>
      </c>
      <c r="B2390" s="4">
        <v>2508842</v>
      </c>
      <c r="C2390" s="4">
        <v>2509576</v>
      </c>
      <c r="E2390" s="4" t="s">
        <v>55</v>
      </c>
      <c r="F2390" s="4" t="s">
        <v>1108</v>
      </c>
      <c r="I2390" s="4" t="s">
        <v>52</v>
      </c>
      <c r="L2390" s="4" t="s">
        <v>6419</v>
      </c>
      <c r="M2390" s="4" t="s">
        <v>1108</v>
      </c>
      <c r="N2390" s="4">
        <v>244</v>
      </c>
      <c r="O2390" s="4" t="s">
        <v>6420</v>
      </c>
    </row>
    <row r="2391" spans="1:15" ht="15.75" customHeight="1">
      <c r="A2391" s="4" t="s">
        <v>49</v>
      </c>
      <c r="B2391" s="4">
        <v>2509781</v>
      </c>
      <c r="C2391" s="4">
        <v>2510734</v>
      </c>
      <c r="E2391" s="4" t="s">
        <v>50</v>
      </c>
      <c r="F2391" s="4" t="s">
        <v>5859</v>
      </c>
      <c r="I2391" s="4" t="s">
        <v>52</v>
      </c>
      <c r="L2391" s="4" t="s">
        <v>6421</v>
      </c>
      <c r="M2391" s="4" t="s">
        <v>5859</v>
      </c>
      <c r="N2391" s="4">
        <v>317</v>
      </c>
      <c r="O2391" s="4" t="s">
        <v>6422</v>
      </c>
    </row>
    <row r="2392" spans="1:15" ht="15.75" customHeight="1">
      <c r="A2392" s="4" t="s">
        <v>49</v>
      </c>
      <c r="B2392" s="4">
        <v>2511006</v>
      </c>
      <c r="C2392" s="4">
        <v>2511239</v>
      </c>
      <c r="E2392" s="4" t="s">
        <v>50</v>
      </c>
      <c r="F2392" s="4" t="s">
        <v>6423</v>
      </c>
      <c r="I2392" s="4" t="s">
        <v>52</v>
      </c>
      <c r="L2392" s="4" t="s">
        <v>6424</v>
      </c>
      <c r="M2392" s="4" t="s">
        <v>6423</v>
      </c>
      <c r="N2392" s="4">
        <v>77</v>
      </c>
      <c r="O2392" s="4" t="s">
        <v>6425</v>
      </c>
    </row>
    <row r="2393" spans="1:15" ht="15.75" customHeight="1">
      <c r="A2393" s="4" t="s">
        <v>49</v>
      </c>
      <c r="B2393" s="4">
        <v>2511236</v>
      </c>
      <c r="C2393" s="4">
        <v>2511451</v>
      </c>
      <c r="E2393" s="4" t="s">
        <v>50</v>
      </c>
      <c r="F2393" s="4" t="s">
        <v>56</v>
      </c>
      <c r="I2393" s="4" t="s">
        <v>52</v>
      </c>
      <c r="L2393" s="4" t="s">
        <v>6426</v>
      </c>
      <c r="M2393" s="4" t="s">
        <v>56</v>
      </c>
      <c r="N2393" s="4">
        <v>71</v>
      </c>
      <c r="O2393" s="4" t="s">
        <v>6427</v>
      </c>
    </row>
    <row r="2394" spans="1:15" ht="15.75" customHeight="1">
      <c r="A2394" s="4" t="s">
        <v>49</v>
      </c>
      <c r="B2394" s="4">
        <v>2511587</v>
      </c>
      <c r="C2394" s="4">
        <v>2511895</v>
      </c>
      <c r="E2394" s="4" t="s">
        <v>50</v>
      </c>
      <c r="F2394" s="4" t="s">
        <v>56</v>
      </c>
      <c r="I2394" s="4" t="s">
        <v>52</v>
      </c>
      <c r="L2394" s="4" t="s">
        <v>6428</v>
      </c>
      <c r="M2394" s="4" t="s">
        <v>56</v>
      </c>
      <c r="N2394" s="4">
        <v>102</v>
      </c>
      <c r="O2394" s="4" t="s">
        <v>6429</v>
      </c>
    </row>
    <row r="2395" spans="1:15" ht="15.75" customHeight="1">
      <c r="A2395" s="4" t="s">
        <v>49</v>
      </c>
      <c r="B2395" s="4">
        <v>2512166</v>
      </c>
      <c r="C2395" s="4">
        <v>2512762</v>
      </c>
      <c r="E2395" s="4" t="s">
        <v>50</v>
      </c>
      <c r="F2395" s="4" t="s">
        <v>5238</v>
      </c>
      <c r="I2395" s="4" t="s">
        <v>52</v>
      </c>
      <c r="L2395" s="4" t="s">
        <v>6430</v>
      </c>
      <c r="M2395" s="4" t="s">
        <v>5238</v>
      </c>
      <c r="N2395" s="4">
        <v>198</v>
      </c>
      <c r="O2395" s="4" t="s">
        <v>6431</v>
      </c>
    </row>
    <row r="2396" spans="1:15" ht="15.75" customHeight="1">
      <c r="A2396" s="4" t="s">
        <v>49</v>
      </c>
      <c r="B2396" s="4">
        <v>2512881</v>
      </c>
      <c r="C2396" s="4">
        <v>2513216</v>
      </c>
      <c r="E2396" s="4" t="s">
        <v>50</v>
      </c>
      <c r="F2396" s="4" t="s">
        <v>3757</v>
      </c>
      <c r="I2396" s="4" t="s">
        <v>52</v>
      </c>
      <c r="L2396" s="4" t="s">
        <v>6432</v>
      </c>
      <c r="M2396" s="4" t="s">
        <v>3757</v>
      </c>
      <c r="N2396" s="4">
        <v>111</v>
      </c>
      <c r="O2396" s="4" t="s">
        <v>6433</v>
      </c>
    </row>
    <row r="2397" spans="1:15" ht="15.75" customHeight="1">
      <c r="A2397" s="4" t="s">
        <v>49</v>
      </c>
      <c r="B2397" s="4">
        <v>2513532</v>
      </c>
      <c r="C2397" s="4">
        <v>2513723</v>
      </c>
      <c r="E2397" s="4" t="s">
        <v>50</v>
      </c>
      <c r="F2397" s="4" t="s">
        <v>56</v>
      </c>
      <c r="I2397" s="4" t="s">
        <v>52</v>
      </c>
      <c r="L2397" s="4" t="s">
        <v>6434</v>
      </c>
      <c r="M2397" s="4" t="s">
        <v>56</v>
      </c>
      <c r="N2397" s="4">
        <v>63</v>
      </c>
      <c r="O2397" s="4" t="s">
        <v>6435</v>
      </c>
    </row>
    <row r="2398" spans="1:15" ht="15.75" customHeight="1">
      <c r="A2398" s="4" t="s">
        <v>49</v>
      </c>
      <c r="B2398" s="4">
        <v>2513932</v>
      </c>
      <c r="C2398" s="4">
        <v>2514852</v>
      </c>
      <c r="E2398" s="4" t="s">
        <v>55</v>
      </c>
      <c r="F2398" s="4" t="s">
        <v>674</v>
      </c>
      <c r="I2398" s="4" t="s">
        <v>52</v>
      </c>
      <c r="L2398" s="4" t="s">
        <v>6436</v>
      </c>
      <c r="M2398" s="4" t="s">
        <v>674</v>
      </c>
      <c r="N2398" s="4">
        <v>306</v>
      </c>
      <c r="O2398" s="4" t="s">
        <v>6437</v>
      </c>
    </row>
    <row r="2399" spans="1:15" ht="15.75" customHeight="1">
      <c r="A2399" s="4" t="s">
        <v>49</v>
      </c>
      <c r="B2399" s="4">
        <v>2515030</v>
      </c>
      <c r="C2399" s="4">
        <v>2515362</v>
      </c>
      <c r="E2399" s="4" t="s">
        <v>50</v>
      </c>
      <c r="F2399" s="4" t="s">
        <v>56</v>
      </c>
      <c r="I2399" s="4" t="s">
        <v>52</v>
      </c>
      <c r="L2399" s="4" t="s">
        <v>6438</v>
      </c>
      <c r="M2399" s="4" t="s">
        <v>56</v>
      </c>
      <c r="N2399" s="4">
        <v>110</v>
      </c>
      <c r="O2399" s="4" t="s">
        <v>6439</v>
      </c>
    </row>
    <row r="2400" spans="1:15" ht="15.75" customHeight="1">
      <c r="A2400" s="4" t="s">
        <v>49</v>
      </c>
      <c r="B2400" s="4">
        <v>2515478</v>
      </c>
      <c r="C2400" s="4">
        <v>2515636</v>
      </c>
      <c r="E2400" s="4" t="s">
        <v>50</v>
      </c>
      <c r="F2400" s="4" t="s">
        <v>56</v>
      </c>
      <c r="I2400" s="4" t="s">
        <v>52</v>
      </c>
      <c r="L2400" s="4" t="s">
        <v>6440</v>
      </c>
      <c r="M2400" s="4" t="s">
        <v>56</v>
      </c>
      <c r="N2400" s="4">
        <v>52</v>
      </c>
      <c r="O2400" s="4" t="s">
        <v>6441</v>
      </c>
    </row>
    <row r="2401" spans="1:15" ht="15.75" customHeight="1">
      <c r="A2401" s="4" t="s">
        <v>49</v>
      </c>
      <c r="B2401" s="4">
        <v>2515921</v>
      </c>
      <c r="C2401" s="4">
        <v>2516076</v>
      </c>
      <c r="E2401" s="4" t="s">
        <v>50</v>
      </c>
      <c r="F2401" s="4" t="s">
        <v>345</v>
      </c>
      <c r="I2401" s="4" t="s">
        <v>346</v>
      </c>
      <c r="O2401" s="4" t="s">
        <v>6442</v>
      </c>
    </row>
    <row r="2402" spans="1:15" ht="15.75" customHeight="1">
      <c r="A2402" s="4" t="s">
        <v>49</v>
      </c>
      <c r="B2402" s="4">
        <v>2516087</v>
      </c>
      <c r="C2402" s="4">
        <v>2517502</v>
      </c>
      <c r="E2402" s="4" t="s">
        <v>55</v>
      </c>
      <c r="F2402" s="4" t="s">
        <v>779</v>
      </c>
      <c r="I2402" s="4" t="s">
        <v>52</v>
      </c>
      <c r="L2402" s="4" t="s">
        <v>6443</v>
      </c>
      <c r="M2402" s="4" t="s">
        <v>779</v>
      </c>
      <c r="N2402" s="4">
        <v>471</v>
      </c>
      <c r="O2402" s="4" t="s">
        <v>6444</v>
      </c>
    </row>
    <row r="2403" spans="1:15" ht="15.75" customHeight="1">
      <c r="A2403" s="4" t="s">
        <v>49</v>
      </c>
      <c r="B2403" s="4">
        <v>2517784</v>
      </c>
      <c r="C2403" s="4">
        <v>2518035</v>
      </c>
      <c r="E2403" s="4" t="s">
        <v>50</v>
      </c>
      <c r="F2403" s="4" t="s">
        <v>348</v>
      </c>
      <c r="I2403" s="4" t="s">
        <v>52</v>
      </c>
      <c r="L2403" s="4" t="s">
        <v>767</v>
      </c>
      <c r="M2403" s="4" t="s">
        <v>348</v>
      </c>
      <c r="N2403" s="4">
        <v>83</v>
      </c>
      <c r="O2403" s="4" t="s">
        <v>6445</v>
      </c>
    </row>
    <row r="2404" spans="1:15" ht="15.75" customHeight="1">
      <c r="A2404" s="4" t="s">
        <v>49</v>
      </c>
      <c r="B2404" s="4">
        <v>2518089</v>
      </c>
      <c r="C2404" s="4">
        <v>2518931</v>
      </c>
      <c r="E2404" s="4" t="s">
        <v>50</v>
      </c>
      <c r="F2404" s="4" t="s">
        <v>348</v>
      </c>
      <c r="I2404" s="4" t="s">
        <v>52</v>
      </c>
      <c r="L2404" s="4" t="s">
        <v>765</v>
      </c>
      <c r="M2404" s="4" t="s">
        <v>348</v>
      </c>
      <c r="N2404" s="4">
        <v>280</v>
      </c>
      <c r="O2404" s="4" t="s">
        <v>6446</v>
      </c>
    </row>
    <row r="2405" spans="1:15" ht="15.75" customHeight="1">
      <c r="A2405" s="4" t="s">
        <v>49</v>
      </c>
      <c r="B2405" s="4">
        <v>2519265</v>
      </c>
      <c r="C2405" s="4">
        <v>2519732</v>
      </c>
      <c r="E2405" s="4" t="s">
        <v>50</v>
      </c>
      <c r="F2405" s="4" t="s">
        <v>6447</v>
      </c>
      <c r="I2405" s="4" t="s">
        <v>52</v>
      </c>
      <c r="L2405" s="4" t="s">
        <v>6448</v>
      </c>
      <c r="M2405" s="4" t="s">
        <v>6447</v>
      </c>
      <c r="N2405" s="4">
        <v>155</v>
      </c>
      <c r="O2405" s="4" t="s">
        <v>6449</v>
      </c>
    </row>
    <row r="2406" spans="1:15" ht="15.75" customHeight="1">
      <c r="A2406" s="4" t="s">
        <v>49</v>
      </c>
      <c r="B2406" s="4">
        <v>2519979</v>
      </c>
      <c r="C2406" s="4">
        <v>2520722</v>
      </c>
      <c r="E2406" s="4" t="s">
        <v>50</v>
      </c>
      <c r="F2406" s="4" t="s">
        <v>73</v>
      </c>
      <c r="I2406" s="4" t="s">
        <v>52</v>
      </c>
      <c r="L2406" s="4" t="s">
        <v>6450</v>
      </c>
      <c r="M2406" s="4" t="s">
        <v>73</v>
      </c>
      <c r="N2406" s="4">
        <v>247</v>
      </c>
      <c r="O2406" s="4" t="s">
        <v>6451</v>
      </c>
    </row>
    <row r="2407" spans="1:15" ht="15.75" customHeight="1">
      <c r="A2407" s="4" t="s">
        <v>49</v>
      </c>
      <c r="B2407" s="4">
        <v>2520700</v>
      </c>
      <c r="C2407" s="4">
        <v>2521947</v>
      </c>
      <c r="E2407" s="4" t="s">
        <v>50</v>
      </c>
      <c r="F2407" s="4" t="s">
        <v>76</v>
      </c>
      <c r="I2407" s="4" t="s">
        <v>52</v>
      </c>
      <c r="L2407" s="4" t="s">
        <v>6452</v>
      </c>
      <c r="M2407" s="4" t="s">
        <v>76</v>
      </c>
      <c r="N2407" s="4">
        <v>415</v>
      </c>
      <c r="O2407" s="4" t="s">
        <v>6453</v>
      </c>
    </row>
    <row r="2408" spans="1:15" ht="15.75" customHeight="1">
      <c r="A2408" s="4" t="s">
        <v>49</v>
      </c>
      <c r="B2408" s="4">
        <v>2521952</v>
      </c>
      <c r="C2408" s="4">
        <v>2522623</v>
      </c>
      <c r="E2408" s="4" t="s">
        <v>50</v>
      </c>
      <c r="F2408" s="4" t="s">
        <v>111</v>
      </c>
      <c r="I2408" s="4" t="s">
        <v>52</v>
      </c>
      <c r="L2408" s="4" t="s">
        <v>6454</v>
      </c>
      <c r="M2408" s="4" t="s">
        <v>111</v>
      </c>
      <c r="N2408" s="4">
        <v>223</v>
      </c>
      <c r="O2408" s="4" t="s">
        <v>6455</v>
      </c>
    </row>
    <row r="2409" spans="1:15" ht="15.75" customHeight="1">
      <c r="A2409" s="4" t="s">
        <v>49</v>
      </c>
      <c r="B2409" s="4">
        <v>2522727</v>
      </c>
      <c r="C2409" s="4">
        <v>2523461</v>
      </c>
      <c r="E2409" s="4" t="s">
        <v>55</v>
      </c>
      <c r="F2409" s="4" t="s">
        <v>345</v>
      </c>
      <c r="I2409" s="4" t="s">
        <v>346</v>
      </c>
      <c r="O2409" s="4" t="s">
        <v>6456</v>
      </c>
    </row>
    <row r="2410" spans="1:15" ht="15.75" customHeight="1">
      <c r="A2410" s="4" t="s">
        <v>49</v>
      </c>
      <c r="B2410" s="4">
        <v>2523527</v>
      </c>
      <c r="C2410" s="4">
        <v>2523933</v>
      </c>
      <c r="E2410" s="4" t="s">
        <v>50</v>
      </c>
      <c r="F2410" s="4" t="s">
        <v>345</v>
      </c>
      <c r="I2410" s="4" t="s">
        <v>346</v>
      </c>
      <c r="O2410" s="4" t="s">
        <v>6457</v>
      </c>
    </row>
    <row r="2411" spans="1:15" ht="15.75" customHeight="1">
      <c r="A2411" s="4" t="s">
        <v>49</v>
      </c>
      <c r="B2411" s="4">
        <v>2524036</v>
      </c>
      <c r="C2411" s="4">
        <v>2525052</v>
      </c>
      <c r="E2411" s="4" t="s">
        <v>50</v>
      </c>
      <c r="F2411" s="4" t="s">
        <v>674</v>
      </c>
      <c r="I2411" s="4" t="s">
        <v>52</v>
      </c>
      <c r="L2411" s="4" t="s">
        <v>6458</v>
      </c>
      <c r="M2411" s="4" t="s">
        <v>674</v>
      </c>
      <c r="N2411" s="4">
        <v>338</v>
      </c>
      <c r="O2411" s="4" t="s">
        <v>6459</v>
      </c>
    </row>
    <row r="2412" spans="1:15" ht="15.75" customHeight="1">
      <c r="A2412" s="4" t="s">
        <v>49</v>
      </c>
      <c r="B2412" s="4">
        <v>2525173</v>
      </c>
      <c r="C2412" s="4">
        <v>2525721</v>
      </c>
      <c r="E2412" s="4" t="s">
        <v>55</v>
      </c>
      <c r="F2412" s="4" t="s">
        <v>6460</v>
      </c>
      <c r="I2412" s="4" t="s">
        <v>52</v>
      </c>
      <c r="L2412" s="4" t="s">
        <v>6461</v>
      </c>
      <c r="M2412" s="4" t="s">
        <v>6460</v>
      </c>
      <c r="N2412" s="4">
        <v>182</v>
      </c>
      <c r="O2412" s="4" t="s">
        <v>6462</v>
      </c>
    </row>
    <row r="2413" spans="1:15" ht="15.75" customHeight="1">
      <c r="A2413" s="4" t="s">
        <v>49</v>
      </c>
      <c r="B2413" s="4">
        <v>2525731</v>
      </c>
      <c r="C2413" s="4">
        <v>2525952</v>
      </c>
      <c r="E2413" s="4" t="s">
        <v>55</v>
      </c>
      <c r="F2413" s="4" t="s">
        <v>4956</v>
      </c>
      <c r="I2413" s="4" t="s">
        <v>52</v>
      </c>
      <c r="L2413" s="4" t="s">
        <v>6463</v>
      </c>
      <c r="M2413" s="4" t="s">
        <v>4956</v>
      </c>
      <c r="N2413" s="4">
        <v>73</v>
      </c>
      <c r="O2413" s="4" t="s">
        <v>6464</v>
      </c>
    </row>
    <row r="2414" spans="1:15" ht="15.75" customHeight="1">
      <c r="A2414" s="4" t="s">
        <v>49</v>
      </c>
      <c r="B2414" s="4">
        <v>2525994</v>
      </c>
      <c r="C2414" s="4">
        <v>2527892</v>
      </c>
      <c r="E2414" s="4" t="s">
        <v>55</v>
      </c>
      <c r="F2414" s="4" t="s">
        <v>2300</v>
      </c>
      <c r="I2414" s="4" t="s">
        <v>52</v>
      </c>
      <c r="L2414" s="4" t="s">
        <v>6465</v>
      </c>
      <c r="M2414" s="4" t="s">
        <v>2300</v>
      </c>
      <c r="N2414" s="4">
        <v>632</v>
      </c>
      <c r="O2414" s="4" t="s">
        <v>6466</v>
      </c>
    </row>
    <row r="2415" spans="1:15" ht="15.75" customHeight="1">
      <c r="A2415" s="4" t="s">
        <v>49</v>
      </c>
      <c r="B2415" s="4">
        <v>2528127</v>
      </c>
      <c r="C2415" s="4">
        <v>2528429</v>
      </c>
      <c r="E2415" s="4" t="s">
        <v>55</v>
      </c>
      <c r="F2415" s="4" t="s">
        <v>345</v>
      </c>
      <c r="I2415" s="4" t="s">
        <v>346</v>
      </c>
      <c r="O2415" s="4" t="s">
        <v>6467</v>
      </c>
    </row>
    <row r="2416" spans="1:15" ht="15.75" customHeight="1">
      <c r="A2416" s="4" t="s">
        <v>49</v>
      </c>
      <c r="B2416" s="4">
        <v>2528438</v>
      </c>
      <c r="C2416" s="4">
        <v>2529192</v>
      </c>
      <c r="E2416" s="4" t="s">
        <v>55</v>
      </c>
      <c r="F2416" s="4" t="s">
        <v>717</v>
      </c>
      <c r="I2416" s="4" t="s">
        <v>52</v>
      </c>
      <c r="L2416" s="4" t="s">
        <v>6468</v>
      </c>
      <c r="M2416" s="4" t="s">
        <v>717</v>
      </c>
      <c r="N2416" s="4">
        <v>251</v>
      </c>
      <c r="O2416" s="4" t="s">
        <v>6469</v>
      </c>
    </row>
    <row r="2417" spans="1:15" ht="15.75" customHeight="1">
      <c r="A2417" s="4" t="s">
        <v>49</v>
      </c>
      <c r="B2417" s="4">
        <v>2529291</v>
      </c>
      <c r="C2417" s="4">
        <v>2530211</v>
      </c>
      <c r="E2417" s="4" t="s">
        <v>50</v>
      </c>
      <c r="F2417" s="4" t="s">
        <v>674</v>
      </c>
      <c r="I2417" s="4" t="s">
        <v>52</v>
      </c>
      <c r="L2417" s="4" t="s">
        <v>6436</v>
      </c>
      <c r="M2417" s="4" t="s">
        <v>674</v>
      </c>
      <c r="N2417" s="4">
        <v>306</v>
      </c>
      <c r="O2417" s="4" t="s">
        <v>6470</v>
      </c>
    </row>
    <row r="2418" spans="1:15" ht="15.75" customHeight="1">
      <c r="A2418" s="4" t="s">
        <v>49</v>
      </c>
      <c r="B2418" s="4">
        <v>2530561</v>
      </c>
      <c r="C2418" s="4">
        <v>2530992</v>
      </c>
      <c r="E2418" s="4" t="s">
        <v>50</v>
      </c>
      <c r="F2418" s="4" t="s">
        <v>2303</v>
      </c>
      <c r="I2418" s="4" t="s">
        <v>52</v>
      </c>
      <c r="L2418" s="4" t="s">
        <v>6471</v>
      </c>
      <c r="M2418" s="4" t="s">
        <v>2303</v>
      </c>
      <c r="N2418" s="4">
        <v>143</v>
      </c>
      <c r="O2418" s="4" t="s">
        <v>6472</v>
      </c>
    </row>
    <row r="2419" spans="1:15" ht="15.75" customHeight="1">
      <c r="A2419" s="4" t="s">
        <v>49</v>
      </c>
      <c r="B2419" s="4">
        <v>2531243</v>
      </c>
      <c r="C2419" s="4">
        <v>2533531</v>
      </c>
      <c r="E2419" s="4" t="s">
        <v>50</v>
      </c>
      <c r="F2419" s="4" t="s">
        <v>6473</v>
      </c>
      <c r="I2419" s="4" t="s">
        <v>52</v>
      </c>
      <c r="L2419" s="4" t="s">
        <v>6474</v>
      </c>
      <c r="M2419" s="4" t="s">
        <v>6473</v>
      </c>
      <c r="N2419" s="4">
        <v>762</v>
      </c>
      <c r="O2419" s="4" t="s">
        <v>6475</v>
      </c>
    </row>
    <row r="2420" spans="1:15" ht="15.75" customHeight="1">
      <c r="A2420" s="4" t="s">
        <v>49</v>
      </c>
      <c r="B2420" s="4">
        <v>2533606</v>
      </c>
      <c r="C2420" s="4">
        <v>2533932</v>
      </c>
      <c r="E2420" s="4" t="s">
        <v>55</v>
      </c>
      <c r="F2420" s="4" t="s">
        <v>345</v>
      </c>
      <c r="I2420" s="4" t="s">
        <v>346</v>
      </c>
      <c r="O2420" s="4" t="s">
        <v>6476</v>
      </c>
    </row>
    <row r="2421" spans="1:15" ht="15.75" customHeight="1">
      <c r="A2421" s="4" t="s">
        <v>49</v>
      </c>
      <c r="B2421" s="4">
        <v>2533954</v>
      </c>
      <c r="C2421" s="4">
        <v>2534243</v>
      </c>
      <c r="E2421" s="4" t="s">
        <v>55</v>
      </c>
      <c r="F2421" s="4" t="s">
        <v>345</v>
      </c>
      <c r="I2421" s="4" t="s">
        <v>346</v>
      </c>
      <c r="O2421" s="4" t="s">
        <v>6477</v>
      </c>
    </row>
    <row r="2422" spans="1:15" ht="15.75" customHeight="1">
      <c r="A2422" s="4" t="s">
        <v>49</v>
      </c>
      <c r="B2422" s="4">
        <v>2534198</v>
      </c>
      <c r="C2422" s="4">
        <v>2534524</v>
      </c>
      <c r="E2422" s="4" t="s">
        <v>55</v>
      </c>
      <c r="F2422" s="4" t="s">
        <v>351</v>
      </c>
      <c r="I2422" s="4" t="s">
        <v>52</v>
      </c>
      <c r="L2422" s="4" t="s">
        <v>6478</v>
      </c>
      <c r="M2422" s="4" t="s">
        <v>351</v>
      </c>
      <c r="N2422" s="4">
        <v>108</v>
      </c>
      <c r="O2422" s="4" t="s">
        <v>6479</v>
      </c>
    </row>
    <row r="2423" spans="1:15" ht="15.75" customHeight="1">
      <c r="A2423" s="4" t="s">
        <v>49</v>
      </c>
      <c r="B2423" s="4">
        <v>2534721</v>
      </c>
      <c r="C2423" s="4">
        <v>2536253</v>
      </c>
      <c r="E2423" s="4" t="s">
        <v>50</v>
      </c>
      <c r="F2423" s="4" t="s">
        <v>5834</v>
      </c>
      <c r="I2423" s="4" t="s">
        <v>52</v>
      </c>
      <c r="L2423" s="4" t="s">
        <v>6480</v>
      </c>
      <c r="M2423" s="4" t="s">
        <v>5834</v>
      </c>
      <c r="N2423" s="4">
        <v>510</v>
      </c>
      <c r="O2423" s="4" t="s">
        <v>6481</v>
      </c>
    </row>
    <row r="2424" spans="1:15" ht="15.75" customHeight="1">
      <c r="A2424" s="4" t="s">
        <v>49</v>
      </c>
      <c r="B2424" s="4">
        <v>2536253</v>
      </c>
      <c r="C2424" s="4">
        <v>2537191</v>
      </c>
      <c r="E2424" s="4" t="s">
        <v>50</v>
      </c>
      <c r="F2424" s="4" t="s">
        <v>73</v>
      </c>
      <c r="I2424" s="4" t="s">
        <v>52</v>
      </c>
      <c r="L2424" s="4" t="s">
        <v>6482</v>
      </c>
      <c r="M2424" s="4" t="s">
        <v>73</v>
      </c>
      <c r="N2424" s="4">
        <v>312</v>
      </c>
      <c r="O2424" s="4" t="s">
        <v>6483</v>
      </c>
    </row>
    <row r="2425" spans="1:15" ht="15.75" customHeight="1">
      <c r="A2425" s="4" t="s">
        <v>49</v>
      </c>
      <c r="B2425" s="4">
        <v>2537421</v>
      </c>
      <c r="C2425" s="4">
        <v>2538482</v>
      </c>
      <c r="E2425" s="4" t="s">
        <v>50</v>
      </c>
      <c r="F2425" s="4" t="s">
        <v>76</v>
      </c>
      <c r="I2425" s="4" t="s">
        <v>52</v>
      </c>
      <c r="L2425" s="4" t="s">
        <v>6484</v>
      </c>
      <c r="M2425" s="4" t="s">
        <v>76</v>
      </c>
      <c r="N2425" s="4">
        <v>353</v>
      </c>
      <c r="O2425" s="4" t="s">
        <v>6485</v>
      </c>
    </row>
    <row r="2426" spans="1:15" ht="15.75" customHeight="1">
      <c r="A2426" s="4" t="s">
        <v>49</v>
      </c>
      <c r="B2426" s="4">
        <v>2538487</v>
      </c>
      <c r="C2426" s="4">
        <v>2539158</v>
      </c>
      <c r="E2426" s="4" t="s">
        <v>50</v>
      </c>
      <c r="F2426" s="4" t="s">
        <v>73</v>
      </c>
      <c r="I2426" s="4" t="s">
        <v>52</v>
      </c>
      <c r="L2426" s="4" t="s">
        <v>6486</v>
      </c>
      <c r="M2426" s="4" t="s">
        <v>73</v>
      </c>
      <c r="N2426" s="4">
        <v>223</v>
      </c>
      <c r="O2426" s="4" t="s">
        <v>6487</v>
      </c>
    </row>
    <row r="2427" spans="1:15" ht="15.75" customHeight="1">
      <c r="A2427" s="4" t="s">
        <v>49</v>
      </c>
      <c r="B2427" s="4">
        <v>2539265</v>
      </c>
      <c r="C2427" s="4">
        <v>2539948</v>
      </c>
      <c r="E2427" s="4" t="s">
        <v>50</v>
      </c>
      <c r="F2427" s="4" t="s">
        <v>5407</v>
      </c>
      <c r="I2427" s="4" t="s">
        <v>52</v>
      </c>
      <c r="L2427" s="4" t="s">
        <v>6488</v>
      </c>
      <c r="M2427" s="4" t="s">
        <v>5407</v>
      </c>
      <c r="N2427" s="4">
        <v>227</v>
      </c>
      <c r="O2427" s="4" t="s">
        <v>6489</v>
      </c>
    </row>
    <row r="2428" spans="1:15" ht="15.75" customHeight="1">
      <c r="A2428" s="4" t="s">
        <v>49</v>
      </c>
      <c r="B2428" s="4">
        <v>2540191</v>
      </c>
      <c r="C2428" s="4">
        <v>2540619</v>
      </c>
      <c r="E2428" s="4" t="s">
        <v>55</v>
      </c>
      <c r="F2428" s="4" t="s">
        <v>56</v>
      </c>
      <c r="I2428" s="4" t="s">
        <v>52</v>
      </c>
      <c r="L2428" s="4" t="s">
        <v>6490</v>
      </c>
      <c r="M2428" s="4" t="s">
        <v>56</v>
      </c>
      <c r="N2428" s="4">
        <v>142</v>
      </c>
      <c r="O2428" s="4" t="s">
        <v>6491</v>
      </c>
    </row>
    <row r="2429" spans="1:15" ht="15.75" customHeight="1">
      <c r="A2429" s="4" t="s">
        <v>49</v>
      </c>
      <c r="B2429" s="4">
        <v>2540808</v>
      </c>
      <c r="C2429" s="4">
        <v>2541473</v>
      </c>
      <c r="E2429" s="4" t="s">
        <v>55</v>
      </c>
      <c r="F2429" s="4" t="s">
        <v>345</v>
      </c>
      <c r="I2429" s="4" t="s">
        <v>346</v>
      </c>
      <c r="O2429" s="4" t="s">
        <v>6492</v>
      </c>
    </row>
    <row r="2430" spans="1:15" ht="15.75" customHeight="1">
      <c r="A2430" s="4" t="s">
        <v>49</v>
      </c>
      <c r="B2430" s="4">
        <v>2541610</v>
      </c>
      <c r="C2430" s="4">
        <v>2543025</v>
      </c>
      <c r="E2430" s="4" t="s">
        <v>50</v>
      </c>
      <c r="F2430" s="4" t="s">
        <v>779</v>
      </c>
      <c r="I2430" s="4" t="s">
        <v>52</v>
      </c>
      <c r="L2430" s="4" t="s">
        <v>780</v>
      </c>
      <c r="M2430" s="4" t="s">
        <v>779</v>
      </c>
      <c r="N2430" s="4">
        <v>471</v>
      </c>
      <c r="O2430" s="4" t="s">
        <v>6493</v>
      </c>
    </row>
    <row r="2431" spans="1:15" ht="15.75" customHeight="1">
      <c r="A2431" s="4" t="s">
        <v>49</v>
      </c>
      <c r="B2431" s="4">
        <v>2543191</v>
      </c>
      <c r="C2431" s="4">
        <v>2545362</v>
      </c>
      <c r="E2431" s="4" t="s">
        <v>55</v>
      </c>
      <c r="F2431" s="4" t="s">
        <v>1464</v>
      </c>
      <c r="G2431" s="4" t="s">
        <v>1465</v>
      </c>
      <c r="I2431" s="4" t="s">
        <v>52</v>
      </c>
      <c r="L2431" s="4" t="s">
        <v>6494</v>
      </c>
      <c r="M2431" s="4" t="s">
        <v>1464</v>
      </c>
      <c r="N2431" s="4">
        <v>723</v>
      </c>
      <c r="O2431" s="4" t="s">
        <v>6495</v>
      </c>
    </row>
    <row r="2432" spans="1:15" ht="15.75" customHeight="1">
      <c r="A2432" s="4" t="s">
        <v>49</v>
      </c>
      <c r="B2432" s="4">
        <v>2545534</v>
      </c>
      <c r="C2432" s="4">
        <v>2546523</v>
      </c>
      <c r="E2432" s="4" t="s">
        <v>50</v>
      </c>
      <c r="F2432" s="4" t="s">
        <v>1468</v>
      </c>
      <c r="G2432" s="4" t="s">
        <v>1469</v>
      </c>
      <c r="I2432" s="4" t="s">
        <v>52</v>
      </c>
      <c r="L2432" s="4" t="s">
        <v>6496</v>
      </c>
      <c r="M2432" s="4" t="s">
        <v>1468</v>
      </c>
      <c r="N2432" s="4">
        <v>329</v>
      </c>
      <c r="O2432" s="4" t="s">
        <v>6497</v>
      </c>
    </row>
    <row r="2433" spans="1:15" ht="15.75" customHeight="1">
      <c r="A2433" s="4" t="s">
        <v>49</v>
      </c>
      <c r="B2433" s="4">
        <v>2546520</v>
      </c>
      <c r="C2433" s="4">
        <v>2547005</v>
      </c>
      <c r="E2433" s="4" t="s">
        <v>50</v>
      </c>
      <c r="F2433" s="4" t="s">
        <v>6498</v>
      </c>
      <c r="I2433" s="4" t="s">
        <v>52</v>
      </c>
      <c r="L2433" s="4" t="s">
        <v>6499</v>
      </c>
      <c r="M2433" s="4" t="s">
        <v>6498</v>
      </c>
      <c r="N2433" s="4">
        <v>161</v>
      </c>
      <c r="O2433" s="4" t="s">
        <v>6500</v>
      </c>
    </row>
    <row r="2434" spans="1:15" ht="15.75" customHeight="1">
      <c r="A2434" s="4" t="s">
        <v>49</v>
      </c>
      <c r="B2434" s="4">
        <v>2547737</v>
      </c>
      <c r="C2434" s="4">
        <v>2547979</v>
      </c>
      <c r="E2434" s="4" t="s">
        <v>50</v>
      </c>
      <c r="F2434" s="4" t="s">
        <v>6501</v>
      </c>
      <c r="I2434" s="4" t="s">
        <v>52</v>
      </c>
      <c r="L2434" s="4" t="s">
        <v>6502</v>
      </c>
      <c r="M2434" s="4" t="s">
        <v>6501</v>
      </c>
      <c r="N2434" s="4">
        <v>80</v>
      </c>
      <c r="O2434" s="4" t="s">
        <v>6503</v>
      </c>
    </row>
    <row r="2435" spans="1:15" ht="15.75" customHeight="1">
      <c r="A2435" s="4" t="s">
        <v>49</v>
      </c>
      <c r="B2435" s="4">
        <v>2547972</v>
      </c>
      <c r="C2435" s="4">
        <v>2548253</v>
      </c>
      <c r="E2435" s="4" t="s">
        <v>50</v>
      </c>
      <c r="F2435" s="4" t="s">
        <v>4054</v>
      </c>
      <c r="I2435" s="4" t="s">
        <v>52</v>
      </c>
      <c r="L2435" s="4" t="s">
        <v>6504</v>
      </c>
      <c r="M2435" s="4" t="s">
        <v>4054</v>
      </c>
      <c r="N2435" s="4">
        <v>93</v>
      </c>
      <c r="O2435" s="4" t="s">
        <v>6505</v>
      </c>
    </row>
    <row r="2436" spans="1:15" ht="15.75" customHeight="1">
      <c r="A2436" s="4" t="s">
        <v>49</v>
      </c>
      <c r="B2436" s="4">
        <v>2548453</v>
      </c>
      <c r="C2436" s="4">
        <v>2548851</v>
      </c>
      <c r="E2436" s="4" t="s">
        <v>50</v>
      </c>
      <c r="F2436" s="4" t="s">
        <v>6506</v>
      </c>
      <c r="I2436" s="4" t="s">
        <v>52</v>
      </c>
      <c r="L2436" s="4" t="s">
        <v>6507</v>
      </c>
      <c r="M2436" s="4" t="s">
        <v>6506</v>
      </c>
      <c r="N2436" s="4">
        <v>132</v>
      </c>
      <c r="O2436" s="4" t="s">
        <v>6508</v>
      </c>
    </row>
    <row r="2437" spans="1:15" ht="15.75" customHeight="1">
      <c r="A2437" s="4" t="s">
        <v>49</v>
      </c>
      <c r="B2437" s="4">
        <v>2549096</v>
      </c>
      <c r="C2437" s="4">
        <v>2550205</v>
      </c>
      <c r="E2437" s="4" t="s">
        <v>55</v>
      </c>
      <c r="F2437" s="4" t="s">
        <v>56</v>
      </c>
      <c r="I2437" s="4" t="s">
        <v>52</v>
      </c>
      <c r="L2437" s="4" t="s">
        <v>6509</v>
      </c>
      <c r="M2437" s="4" t="s">
        <v>56</v>
      </c>
      <c r="N2437" s="4">
        <v>369</v>
      </c>
      <c r="O2437" s="4" t="s">
        <v>6510</v>
      </c>
    </row>
    <row r="2438" spans="1:15" ht="15.75" customHeight="1">
      <c r="A2438" s="4" t="s">
        <v>49</v>
      </c>
      <c r="B2438" s="4">
        <v>2550207</v>
      </c>
      <c r="C2438" s="4">
        <v>2551649</v>
      </c>
      <c r="E2438" s="4" t="s">
        <v>55</v>
      </c>
      <c r="F2438" s="4" t="s">
        <v>56</v>
      </c>
      <c r="I2438" s="4" t="s">
        <v>52</v>
      </c>
      <c r="L2438" s="4" t="s">
        <v>6511</v>
      </c>
      <c r="M2438" s="4" t="s">
        <v>56</v>
      </c>
      <c r="N2438" s="4">
        <v>480</v>
      </c>
      <c r="O2438" s="4" t="s">
        <v>6512</v>
      </c>
    </row>
    <row r="2439" spans="1:15" ht="15.75" customHeight="1">
      <c r="A2439" s="4" t="s">
        <v>49</v>
      </c>
      <c r="B2439" s="4">
        <v>2551922</v>
      </c>
      <c r="C2439" s="4">
        <v>2552605</v>
      </c>
      <c r="E2439" s="4" t="s">
        <v>50</v>
      </c>
      <c r="F2439" s="4" t="s">
        <v>5407</v>
      </c>
      <c r="I2439" s="4" t="s">
        <v>52</v>
      </c>
      <c r="L2439" s="4" t="s">
        <v>6513</v>
      </c>
      <c r="M2439" s="4" t="s">
        <v>5407</v>
      </c>
      <c r="N2439" s="4">
        <v>227</v>
      </c>
      <c r="O2439" s="4" t="s">
        <v>6514</v>
      </c>
    </row>
    <row r="2440" spans="1:15" ht="15.75" customHeight="1">
      <c r="A2440" s="4" t="s">
        <v>49</v>
      </c>
      <c r="B2440" s="4">
        <v>2552938</v>
      </c>
      <c r="C2440" s="4">
        <v>2555706</v>
      </c>
      <c r="E2440" s="4" t="s">
        <v>50</v>
      </c>
      <c r="F2440" s="4" t="s">
        <v>6515</v>
      </c>
      <c r="I2440" s="4" t="s">
        <v>52</v>
      </c>
      <c r="L2440" s="4" t="s">
        <v>6516</v>
      </c>
      <c r="M2440" s="4" t="s">
        <v>6515</v>
      </c>
      <c r="N2440" s="4">
        <v>922</v>
      </c>
      <c r="O2440" s="4" t="s">
        <v>6517</v>
      </c>
    </row>
    <row r="2441" spans="1:15" ht="15.75" customHeight="1">
      <c r="A2441" s="4" t="s">
        <v>49</v>
      </c>
      <c r="B2441" s="4">
        <v>2555687</v>
      </c>
      <c r="C2441" s="4">
        <v>2557396</v>
      </c>
      <c r="E2441" s="4" t="s">
        <v>50</v>
      </c>
      <c r="F2441" s="4" t="s">
        <v>6518</v>
      </c>
      <c r="I2441" s="4" t="s">
        <v>52</v>
      </c>
      <c r="L2441" s="4" t="s">
        <v>6519</v>
      </c>
      <c r="M2441" s="4" t="s">
        <v>6518</v>
      </c>
      <c r="N2441" s="4">
        <v>569</v>
      </c>
      <c r="O2441" s="4" t="s">
        <v>6520</v>
      </c>
    </row>
    <row r="2442" spans="1:15" ht="15.75" customHeight="1">
      <c r="A2442" s="4" t="s">
        <v>49</v>
      </c>
      <c r="B2442" s="4">
        <v>2557393</v>
      </c>
      <c r="C2442" s="4">
        <v>2557995</v>
      </c>
      <c r="E2442" s="4" t="s">
        <v>50</v>
      </c>
      <c r="F2442" s="4" t="s">
        <v>6521</v>
      </c>
      <c r="G2442" s="4" t="s">
        <v>6522</v>
      </c>
      <c r="I2442" s="4" t="s">
        <v>52</v>
      </c>
      <c r="L2442" s="4" t="s">
        <v>6523</v>
      </c>
      <c r="M2442" s="4" t="s">
        <v>6521</v>
      </c>
      <c r="N2442" s="4">
        <v>200</v>
      </c>
      <c r="O2442" s="4" t="s">
        <v>6524</v>
      </c>
    </row>
    <row r="2443" spans="1:15" ht="15.75" customHeight="1">
      <c r="A2443" s="4" t="s">
        <v>49</v>
      </c>
      <c r="B2443" s="4">
        <v>2557988</v>
      </c>
      <c r="C2443" s="4">
        <v>2559073</v>
      </c>
      <c r="E2443" s="4" t="s">
        <v>50</v>
      </c>
      <c r="F2443" s="4" t="s">
        <v>6525</v>
      </c>
      <c r="G2443" s="4" t="s">
        <v>6526</v>
      </c>
      <c r="I2443" s="4" t="s">
        <v>52</v>
      </c>
      <c r="L2443" s="4" t="s">
        <v>6527</v>
      </c>
      <c r="M2443" s="4" t="s">
        <v>6525</v>
      </c>
      <c r="N2443" s="4">
        <v>361</v>
      </c>
      <c r="O2443" s="4" t="s">
        <v>6528</v>
      </c>
    </row>
    <row r="2444" spans="1:15" ht="15.75" customHeight="1">
      <c r="A2444" s="4" t="s">
        <v>49</v>
      </c>
      <c r="B2444" s="4">
        <v>2559045</v>
      </c>
      <c r="C2444" s="4">
        <v>2559755</v>
      </c>
      <c r="E2444" s="4" t="s">
        <v>50</v>
      </c>
      <c r="F2444" s="4" t="s">
        <v>6529</v>
      </c>
      <c r="G2444" s="4" t="s">
        <v>6530</v>
      </c>
      <c r="I2444" s="4" t="s">
        <v>52</v>
      </c>
      <c r="L2444" s="4" t="s">
        <v>6531</v>
      </c>
      <c r="M2444" s="4" t="s">
        <v>6529</v>
      </c>
      <c r="N2444" s="4">
        <v>236</v>
      </c>
      <c r="O2444" s="4" t="s">
        <v>6532</v>
      </c>
    </row>
    <row r="2445" spans="1:15" ht="15.75" customHeight="1">
      <c r="A2445" s="4" t="s">
        <v>49</v>
      </c>
      <c r="B2445" s="4">
        <v>2559771</v>
      </c>
      <c r="C2445" s="4">
        <v>2560418</v>
      </c>
      <c r="E2445" s="4" t="s">
        <v>50</v>
      </c>
      <c r="F2445" s="4" t="s">
        <v>6533</v>
      </c>
      <c r="G2445" s="4" t="s">
        <v>6534</v>
      </c>
      <c r="I2445" s="4" t="s">
        <v>52</v>
      </c>
      <c r="L2445" s="4" t="s">
        <v>6535</v>
      </c>
      <c r="M2445" s="4" t="s">
        <v>6533</v>
      </c>
      <c r="N2445" s="4">
        <v>215</v>
      </c>
      <c r="O2445" s="4" t="s">
        <v>6536</v>
      </c>
    </row>
    <row r="2446" spans="1:15" ht="15.75" customHeight="1">
      <c r="A2446" s="4" t="s">
        <v>49</v>
      </c>
      <c r="B2446" s="4">
        <v>2560423</v>
      </c>
      <c r="C2446" s="4">
        <v>2561370</v>
      </c>
      <c r="E2446" s="4" t="s">
        <v>50</v>
      </c>
      <c r="F2446" s="4" t="s">
        <v>6537</v>
      </c>
      <c r="G2446" s="4" t="s">
        <v>6538</v>
      </c>
      <c r="I2446" s="4" t="s">
        <v>52</v>
      </c>
      <c r="L2446" s="4" t="s">
        <v>6539</v>
      </c>
      <c r="M2446" s="4" t="s">
        <v>6537</v>
      </c>
      <c r="N2446" s="4">
        <v>315</v>
      </c>
      <c r="O2446" s="4" t="s">
        <v>6540</v>
      </c>
    </row>
    <row r="2447" spans="1:15" ht="15.75" customHeight="1">
      <c r="A2447" s="4" t="s">
        <v>49</v>
      </c>
      <c r="B2447" s="4">
        <v>2561367</v>
      </c>
      <c r="C2447" s="4">
        <v>2562272</v>
      </c>
      <c r="E2447" s="4" t="s">
        <v>50</v>
      </c>
      <c r="F2447" s="4" t="s">
        <v>6541</v>
      </c>
      <c r="G2447" s="4" t="s">
        <v>6542</v>
      </c>
      <c r="I2447" s="4" t="s">
        <v>52</v>
      </c>
      <c r="L2447" s="4" t="s">
        <v>6543</v>
      </c>
      <c r="M2447" s="4" t="s">
        <v>6541</v>
      </c>
      <c r="N2447" s="4">
        <v>301</v>
      </c>
      <c r="O2447" s="4" t="s">
        <v>6544</v>
      </c>
    </row>
    <row r="2448" spans="1:15" ht="15.75" customHeight="1">
      <c r="A2448" s="4" t="s">
        <v>49</v>
      </c>
      <c r="B2448" s="4">
        <v>2568048</v>
      </c>
      <c r="C2448" s="4">
        <v>2568731</v>
      </c>
      <c r="E2448" s="4" t="s">
        <v>50</v>
      </c>
      <c r="F2448" s="4" t="s">
        <v>5407</v>
      </c>
      <c r="I2448" s="4" t="s">
        <v>52</v>
      </c>
      <c r="L2448" s="4" t="s">
        <v>6513</v>
      </c>
      <c r="M2448" s="4" t="s">
        <v>5407</v>
      </c>
      <c r="N2448" s="4">
        <v>227</v>
      </c>
      <c r="O2448" s="4" t="s">
        <v>6545</v>
      </c>
    </row>
    <row r="2449" spans="1:15" ht="15.75" customHeight="1">
      <c r="A2449" s="4" t="s">
        <v>49</v>
      </c>
      <c r="B2449" s="4">
        <v>2568910</v>
      </c>
      <c r="C2449" s="4">
        <v>2570238</v>
      </c>
      <c r="E2449" s="4" t="s">
        <v>50</v>
      </c>
      <c r="F2449" s="4" t="s">
        <v>6546</v>
      </c>
      <c r="I2449" s="4" t="s">
        <v>52</v>
      </c>
      <c r="L2449" s="4" t="s">
        <v>6547</v>
      </c>
      <c r="M2449" s="4" t="s">
        <v>6546</v>
      </c>
      <c r="N2449" s="4">
        <v>442</v>
      </c>
      <c r="O2449" s="4" t="s">
        <v>6548</v>
      </c>
    </row>
    <row r="2450" spans="1:15" ht="15.75" customHeight="1">
      <c r="A2450" s="4" t="s">
        <v>49</v>
      </c>
      <c r="B2450" s="4">
        <v>2570439</v>
      </c>
      <c r="C2450" s="4">
        <v>2570996</v>
      </c>
      <c r="E2450" s="4" t="s">
        <v>50</v>
      </c>
      <c r="F2450" s="4" t="s">
        <v>56</v>
      </c>
      <c r="I2450" s="4" t="s">
        <v>52</v>
      </c>
      <c r="L2450" s="4" t="s">
        <v>6549</v>
      </c>
      <c r="M2450" s="4" t="s">
        <v>56</v>
      </c>
      <c r="N2450" s="4">
        <v>185</v>
      </c>
      <c r="O2450" s="4" t="s">
        <v>6550</v>
      </c>
    </row>
    <row r="2451" spans="1:15" ht="15.75" customHeight="1">
      <c r="A2451" s="4" t="s">
        <v>49</v>
      </c>
      <c r="B2451" s="4">
        <v>2571274</v>
      </c>
      <c r="C2451" s="4">
        <v>2571513</v>
      </c>
      <c r="E2451" s="4" t="s">
        <v>50</v>
      </c>
      <c r="F2451" s="4" t="s">
        <v>345</v>
      </c>
      <c r="I2451" s="4" t="s">
        <v>346</v>
      </c>
      <c r="O2451" s="4" t="s">
        <v>6551</v>
      </c>
    </row>
    <row r="2452" spans="1:15" ht="15.75" customHeight="1">
      <c r="A2452" s="4" t="s">
        <v>49</v>
      </c>
      <c r="B2452" s="4">
        <v>2571518</v>
      </c>
      <c r="C2452" s="4">
        <v>2572305</v>
      </c>
      <c r="E2452" s="4" t="s">
        <v>55</v>
      </c>
      <c r="F2452" s="4" t="s">
        <v>717</v>
      </c>
      <c r="I2452" s="4" t="s">
        <v>52</v>
      </c>
      <c r="L2452" s="4" t="s">
        <v>6552</v>
      </c>
      <c r="M2452" s="4" t="s">
        <v>717</v>
      </c>
      <c r="N2452" s="4">
        <v>262</v>
      </c>
      <c r="O2452" s="4" t="s">
        <v>6553</v>
      </c>
    </row>
    <row r="2453" spans="1:15" ht="15.75" customHeight="1">
      <c r="A2453" s="4" t="s">
        <v>49</v>
      </c>
      <c r="B2453" s="4">
        <v>2572355</v>
      </c>
      <c r="C2453" s="4">
        <v>2572747</v>
      </c>
      <c r="E2453" s="4" t="s">
        <v>55</v>
      </c>
      <c r="F2453" s="4" t="s">
        <v>6554</v>
      </c>
      <c r="I2453" s="4" t="s">
        <v>52</v>
      </c>
      <c r="L2453" s="4" t="s">
        <v>6555</v>
      </c>
      <c r="M2453" s="4" t="s">
        <v>6554</v>
      </c>
      <c r="N2453" s="4">
        <v>130</v>
      </c>
      <c r="O2453" s="4" t="s">
        <v>6556</v>
      </c>
    </row>
    <row r="2454" spans="1:15" ht="15.75" customHeight="1">
      <c r="A2454" s="4" t="s">
        <v>49</v>
      </c>
      <c r="B2454" s="4">
        <v>2572942</v>
      </c>
      <c r="C2454" s="4">
        <v>2573273</v>
      </c>
      <c r="E2454" s="4" t="s">
        <v>55</v>
      </c>
      <c r="F2454" s="4" t="s">
        <v>345</v>
      </c>
      <c r="I2454" s="4" t="s">
        <v>346</v>
      </c>
      <c r="O2454" s="4" t="s">
        <v>6557</v>
      </c>
    </row>
    <row r="2455" spans="1:15" ht="15.75" customHeight="1">
      <c r="A2455" s="4" t="s">
        <v>49</v>
      </c>
      <c r="B2455" s="4">
        <v>2573382</v>
      </c>
      <c r="C2455" s="4">
        <v>2574005</v>
      </c>
      <c r="E2455" s="4" t="s">
        <v>55</v>
      </c>
      <c r="F2455" s="4" t="s">
        <v>348</v>
      </c>
      <c r="I2455" s="4" t="s">
        <v>52</v>
      </c>
      <c r="L2455" s="4" t="s">
        <v>6558</v>
      </c>
      <c r="M2455" s="4" t="s">
        <v>348</v>
      </c>
      <c r="N2455" s="4">
        <v>207</v>
      </c>
      <c r="O2455" s="4" t="s">
        <v>6559</v>
      </c>
    </row>
    <row r="2456" spans="1:15" ht="15.75" customHeight="1">
      <c r="A2456" s="4" t="s">
        <v>49</v>
      </c>
      <c r="B2456" s="4">
        <v>2574021</v>
      </c>
      <c r="C2456" s="4">
        <v>2574224</v>
      </c>
      <c r="E2456" s="4" t="s">
        <v>55</v>
      </c>
      <c r="F2456" s="4" t="s">
        <v>348</v>
      </c>
      <c r="I2456" s="4" t="s">
        <v>52</v>
      </c>
      <c r="L2456" s="4" t="s">
        <v>6560</v>
      </c>
      <c r="M2456" s="4" t="s">
        <v>348</v>
      </c>
      <c r="N2456" s="4">
        <v>67</v>
      </c>
      <c r="O2456" s="4" t="s">
        <v>6561</v>
      </c>
    </row>
    <row r="2457" spans="1:15" ht="15.75" customHeight="1">
      <c r="A2457" s="4" t="s">
        <v>49</v>
      </c>
      <c r="B2457" s="4">
        <v>2574278</v>
      </c>
      <c r="C2457" s="4">
        <v>2574529</v>
      </c>
      <c r="E2457" s="4" t="s">
        <v>55</v>
      </c>
      <c r="F2457" s="4" t="s">
        <v>348</v>
      </c>
      <c r="I2457" s="4" t="s">
        <v>52</v>
      </c>
      <c r="L2457" s="4" t="s">
        <v>767</v>
      </c>
      <c r="M2457" s="4" t="s">
        <v>348</v>
      </c>
      <c r="N2457" s="4">
        <v>83</v>
      </c>
      <c r="O2457" s="4" t="s">
        <v>6562</v>
      </c>
    </row>
    <row r="2458" spans="1:15" ht="15.75" customHeight="1">
      <c r="A2458" s="4" t="s">
        <v>49</v>
      </c>
      <c r="B2458" s="4">
        <v>2574869</v>
      </c>
      <c r="C2458" s="4">
        <v>2575975</v>
      </c>
      <c r="E2458" s="4" t="s">
        <v>55</v>
      </c>
      <c r="F2458" s="4" t="s">
        <v>4158</v>
      </c>
      <c r="I2458" s="4" t="s">
        <v>52</v>
      </c>
      <c r="L2458" s="4" t="s">
        <v>6563</v>
      </c>
      <c r="M2458" s="4" t="s">
        <v>4158</v>
      </c>
      <c r="N2458" s="4">
        <v>368</v>
      </c>
      <c r="O2458" s="4" t="s">
        <v>6564</v>
      </c>
    </row>
    <row r="2459" spans="1:15" ht="15.75" customHeight="1">
      <c r="A2459" s="4" t="s">
        <v>49</v>
      </c>
      <c r="B2459" s="4">
        <v>2576150</v>
      </c>
      <c r="C2459" s="4">
        <v>2576773</v>
      </c>
      <c r="E2459" s="4" t="s">
        <v>55</v>
      </c>
      <c r="F2459" s="4" t="s">
        <v>348</v>
      </c>
      <c r="I2459" s="4" t="s">
        <v>52</v>
      </c>
      <c r="L2459" s="4" t="s">
        <v>6565</v>
      </c>
      <c r="M2459" s="4" t="s">
        <v>348</v>
      </c>
      <c r="N2459" s="4">
        <v>207</v>
      </c>
      <c r="O2459" s="4" t="s">
        <v>6566</v>
      </c>
    </row>
    <row r="2460" spans="1:15" ht="15.75" customHeight="1">
      <c r="A2460" s="4" t="s">
        <v>49</v>
      </c>
      <c r="B2460" s="4">
        <v>2576789</v>
      </c>
      <c r="C2460" s="4">
        <v>2576989</v>
      </c>
      <c r="E2460" s="4" t="s">
        <v>55</v>
      </c>
      <c r="F2460" s="4" t="s">
        <v>348</v>
      </c>
      <c r="I2460" s="4" t="s">
        <v>52</v>
      </c>
      <c r="L2460" s="4" t="s">
        <v>6567</v>
      </c>
      <c r="M2460" s="4" t="s">
        <v>348</v>
      </c>
      <c r="N2460" s="4">
        <v>66</v>
      </c>
      <c r="O2460" s="4" t="s">
        <v>6568</v>
      </c>
    </row>
    <row r="2461" spans="1:15" ht="15.75" customHeight="1">
      <c r="A2461" s="4" t="s">
        <v>49</v>
      </c>
      <c r="B2461" s="4">
        <v>2577144</v>
      </c>
      <c r="C2461" s="4">
        <v>2578064</v>
      </c>
      <c r="E2461" s="4" t="s">
        <v>50</v>
      </c>
      <c r="F2461" s="4" t="s">
        <v>674</v>
      </c>
      <c r="I2461" s="4" t="s">
        <v>52</v>
      </c>
      <c r="L2461" s="4" t="s">
        <v>675</v>
      </c>
      <c r="M2461" s="4" t="s">
        <v>674</v>
      </c>
      <c r="N2461" s="4">
        <v>306</v>
      </c>
      <c r="O2461" s="4" t="s">
        <v>6569</v>
      </c>
    </row>
    <row r="2462" spans="1:15" ht="15.75" customHeight="1">
      <c r="A2462" s="4" t="s">
        <v>49</v>
      </c>
      <c r="B2462" s="4">
        <v>2578080</v>
      </c>
      <c r="C2462" s="4">
        <v>2578352</v>
      </c>
      <c r="E2462" s="4" t="s">
        <v>55</v>
      </c>
      <c r="F2462" s="4" t="s">
        <v>351</v>
      </c>
      <c r="I2462" s="4" t="s">
        <v>52</v>
      </c>
      <c r="L2462" s="4" t="s">
        <v>6570</v>
      </c>
      <c r="M2462" s="4" t="s">
        <v>351</v>
      </c>
      <c r="N2462" s="4">
        <v>90</v>
      </c>
      <c r="O2462" s="4" t="s">
        <v>6571</v>
      </c>
    </row>
    <row r="2463" spans="1:15" ht="15.75" customHeight="1">
      <c r="A2463" s="4" t="s">
        <v>49</v>
      </c>
      <c r="B2463" s="4">
        <v>2578537</v>
      </c>
      <c r="C2463" s="4">
        <v>2579019</v>
      </c>
      <c r="E2463" s="4" t="s">
        <v>50</v>
      </c>
      <c r="F2463" s="4" t="s">
        <v>5688</v>
      </c>
      <c r="I2463" s="4" t="s">
        <v>52</v>
      </c>
      <c r="L2463" s="4" t="s">
        <v>6572</v>
      </c>
      <c r="M2463" s="4" t="s">
        <v>5688</v>
      </c>
      <c r="N2463" s="4">
        <v>160</v>
      </c>
      <c r="O2463" s="4" t="s">
        <v>6573</v>
      </c>
    </row>
    <row r="2464" spans="1:15" ht="15.75" customHeight="1">
      <c r="A2464" s="4" t="s">
        <v>49</v>
      </c>
      <c r="B2464" s="4">
        <v>2579101</v>
      </c>
      <c r="C2464" s="4">
        <v>2579409</v>
      </c>
      <c r="E2464" s="4" t="s">
        <v>50</v>
      </c>
      <c r="F2464" s="4" t="s">
        <v>351</v>
      </c>
      <c r="I2464" s="4" t="s">
        <v>52</v>
      </c>
      <c r="L2464" s="4" t="s">
        <v>762</v>
      </c>
      <c r="M2464" s="4" t="s">
        <v>351</v>
      </c>
      <c r="N2464" s="4">
        <v>102</v>
      </c>
      <c r="O2464" s="4" t="s">
        <v>6574</v>
      </c>
    </row>
    <row r="2465" spans="1:15" ht="15.75" customHeight="1">
      <c r="A2465" s="4" t="s">
        <v>49</v>
      </c>
      <c r="B2465" s="4">
        <v>2579419</v>
      </c>
      <c r="C2465" s="4">
        <v>2580297</v>
      </c>
      <c r="E2465" s="4" t="s">
        <v>55</v>
      </c>
      <c r="F2465" s="4" t="s">
        <v>348</v>
      </c>
      <c r="I2465" s="4" t="s">
        <v>52</v>
      </c>
      <c r="L2465" s="4" t="s">
        <v>760</v>
      </c>
      <c r="M2465" s="4" t="s">
        <v>348</v>
      </c>
      <c r="N2465" s="4">
        <v>292</v>
      </c>
      <c r="O2465" s="4" t="s">
        <v>6575</v>
      </c>
    </row>
    <row r="2466" spans="1:15" ht="15.75" customHeight="1">
      <c r="A2466" s="4" t="s">
        <v>49</v>
      </c>
      <c r="B2466" s="4">
        <v>2580294</v>
      </c>
      <c r="C2466" s="4">
        <v>2581022</v>
      </c>
      <c r="E2466" s="4" t="s">
        <v>55</v>
      </c>
      <c r="F2466" s="4" t="s">
        <v>92</v>
      </c>
      <c r="I2466" s="4" t="s">
        <v>52</v>
      </c>
      <c r="L2466" s="4" t="s">
        <v>2832</v>
      </c>
      <c r="M2466" s="4" t="s">
        <v>92</v>
      </c>
      <c r="N2466" s="4">
        <v>242</v>
      </c>
      <c r="O2466" s="4" t="s">
        <v>6576</v>
      </c>
    </row>
    <row r="2467" spans="1:15" ht="15.75" customHeight="1">
      <c r="A2467" s="4" t="s">
        <v>49</v>
      </c>
      <c r="B2467" s="4">
        <v>2581091</v>
      </c>
      <c r="C2467" s="4">
        <v>2581954</v>
      </c>
      <c r="E2467" s="4" t="s">
        <v>50</v>
      </c>
      <c r="F2467" s="4" t="s">
        <v>348</v>
      </c>
      <c r="I2467" s="4" t="s">
        <v>52</v>
      </c>
      <c r="L2467" s="4" t="s">
        <v>6577</v>
      </c>
      <c r="M2467" s="4" t="s">
        <v>348</v>
      </c>
      <c r="N2467" s="4">
        <v>287</v>
      </c>
      <c r="O2467" s="4" t="s">
        <v>6578</v>
      </c>
    </row>
    <row r="2468" spans="1:15" ht="15.75" customHeight="1">
      <c r="A2468" s="4" t="s">
        <v>49</v>
      </c>
      <c r="B2468" s="4">
        <v>2582141</v>
      </c>
      <c r="C2468" s="4">
        <v>2583085</v>
      </c>
      <c r="E2468" s="4" t="s">
        <v>50</v>
      </c>
      <c r="F2468" s="4" t="s">
        <v>345</v>
      </c>
      <c r="I2468" s="4" t="s">
        <v>346</v>
      </c>
      <c r="O2468" s="4" t="s">
        <v>6579</v>
      </c>
    </row>
    <row r="2469" spans="1:15" ht="15.75" customHeight="1">
      <c r="A2469" s="4" t="s">
        <v>49</v>
      </c>
      <c r="B2469" s="4">
        <v>2583790</v>
      </c>
      <c r="C2469" s="4">
        <v>2584929</v>
      </c>
      <c r="E2469" s="4" t="s">
        <v>55</v>
      </c>
      <c r="F2469" s="4" t="s">
        <v>6580</v>
      </c>
      <c r="I2469" s="4" t="s">
        <v>52</v>
      </c>
      <c r="L2469" s="4" t="s">
        <v>6581</v>
      </c>
      <c r="M2469" s="4" t="s">
        <v>6580</v>
      </c>
      <c r="N2469" s="4">
        <v>379</v>
      </c>
      <c r="O2469" s="4" t="s">
        <v>6582</v>
      </c>
    </row>
    <row r="2470" spans="1:15" ht="15.75" customHeight="1">
      <c r="A2470" s="4" t="s">
        <v>49</v>
      </c>
      <c r="B2470" s="4">
        <v>2585031</v>
      </c>
      <c r="C2470" s="4">
        <v>2585843</v>
      </c>
      <c r="E2470" s="4" t="s">
        <v>55</v>
      </c>
      <c r="F2470" s="4" t="s">
        <v>4081</v>
      </c>
      <c r="I2470" s="4" t="s">
        <v>52</v>
      </c>
      <c r="L2470" s="4" t="s">
        <v>6583</v>
      </c>
      <c r="M2470" s="4" t="s">
        <v>4081</v>
      </c>
      <c r="N2470" s="4">
        <v>270</v>
      </c>
      <c r="O2470" s="4" t="s">
        <v>6584</v>
      </c>
    </row>
    <row r="2471" spans="1:15" ht="15.75" customHeight="1">
      <c r="A2471" s="4" t="s">
        <v>49</v>
      </c>
      <c r="B2471" s="4">
        <v>2585874</v>
      </c>
      <c r="C2471" s="4">
        <v>2586587</v>
      </c>
      <c r="E2471" s="4" t="s">
        <v>55</v>
      </c>
      <c r="F2471" s="4" t="s">
        <v>845</v>
      </c>
      <c r="I2471" s="4" t="s">
        <v>52</v>
      </c>
      <c r="L2471" s="4" t="s">
        <v>6585</v>
      </c>
      <c r="M2471" s="4" t="s">
        <v>845</v>
      </c>
      <c r="N2471" s="4">
        <v>237</v>
      </c>
      <c r="O2471" s="4" t="s">
        <v>6586</v>
      </c>
    </row>
    <row r="2472" spans="1:15" ht="15.75" customHeight="1">
      <c r="A2472" s="4" t="s">
        <v>49</v>
      </c>
      <c r="B2472" s="4">
        <v>2587293</v>
      </c>
      <c r="C2472" s="4">
        <v>2588204</v>
      </c>
      <c r="E2472" s="4" t="s">
        <v>50</v>
      </c>
      <c r="F2472" s="4" t="s">
        <v>6587</v>
      </c>
      <c r="I2472" s="4" t="s">
        <v>52</v>
      </c>
      <c r="L2472" s="4" t="s">
        <v>6588</v>
      </c>
      <c r="M2472" s="4" t="s">
        <v>6587</v>
      </c>
      <c r="N2472" s="4">
        <v>303</v>
      </c>
      <c r="O2472" s="4" t="s">
        <v>6589</v>
      </c>
    </row>
    <row r="2473" spans="1:15" ht="15.75" customHeight="1">
      <c r="A2473" s="4" t="s">
        <v>49</v>
      </c>
      <c r="B2473" s="4">
        <v>2588477</v>
      </c>
      <c r="C2473" s="4">
        <v>2589865</v>
      </c>
      <c r="E2473" s="4" t="s">
        <v>55</v>
      </c>
      <c r="F2473" s="4" t="s">
        <v>4492</v>
      </c>
      <c r="G2473" s="4" t="s">
        <v>4493</v>
      </c>
      <c r="I2473" s="4" t="s">
        <v>52</v>
      </c>
      <c r="L2473" s="4" t="s">
        <v>6590</v>
      </c>
      <c r="M2473" s="4" t="s">
        <v>4492</v>
      </c>
      <c r="N2473" s="4">
        <v>462</v>
      </c>
      <c r="O2473" s="4" t="s">
        <v>6591</v>
      </c>
    </row>
    <row r="2474" spans="1:15" ht="15.75" customHeight="1">
      <c r="A2474" s="4" t="s">
        <v>49</v>
      </c>
      <c r="B2474" s="4">
        <v>2590956</v>
      </c>
      <c r="C2474" s="4">
        <v>2591624</v>
      </c>
      <c r="E2474" s="4" t="s">
        <v>50</v>
      </c>
      <c r="F2474" s="4" t="s">
        <v>3049</v>
      </c>
      <c r="I2474" s="4" t="s">
        <v>52</v>
      </c>
      <c r="L2474" s="4" t="s">
        <v>6592</v>
      </c>
      <c r="M2474" s="4" t="s">
        <v>3049</v>
      </c>
      <c r="N2474" s="4">
        <v>222</v>
      </c>
      <c r="O2474" s="4" t="s">
        <v>6593</v>
      </c>
    </row>
    <row r="2475" spans="1:15" ht="15.75" customHeight="1">
      <c r="A2475" s="4" t="s">
        <v>49</v>
      </c>
      <c r="B2475" s="4">
        <v>2591692</v>
      </c>
      <c r="C2475" s="4">
        <v>2591964</v>
      </c>
      <c r="E2475" s="4" t="s">
        <v>50</v>
      </c>
      <c r="F2475" s="4" t="s">
        <v>345</v>
      </c>
      <c r="I2475" s="4" t="s">
        <v>346</v>
      </c>
      <c r="O2475" s="4" t="s">
        <v>6594</v>
      </c>
    </row>
    <row r="2476" spans="1:15" ht="15.75" customHeight="1">
      <c r="A2476" s="4" t="s">
        <v>49</v>
      </c>
      <c r="B2476" s="4">
        <v>2592075</v>
      </c>
      <c r="C2476" s="4">
        <v>2592995</v>
      </c>
      <c r="E2476" s="4" t="s">
        <v>50</v>
      </c>
      <c r="F2476" s="4" t="s">
        <v>674</v>
      </c>
      <c r="I2476" s="4" t="s">
        <v>52</v>
      </c>
      <c r="L2476" s="4" t="s">
        <v>675</v>
      </c>
      <c r="M2476" s="4" t="s">
        <v>674</v>
      </c>
      <c r="N2476" s="4">
        <v>306</v>
      </c>
      <c r="O2476" s="4" t="s">
        <v>6595</v>
      </c>
    </row>
    <row r="2477" spans="1:15" ht="15.75" customHeight="1">
      <c r="A2477" s="4" t="s">
        <v>49</v>
      </c>
      <c r="B2477" s="4">
        <v>2593016</v>
      </c>
      <c r="C2477" s="4">
        <v>2593765</v>
      </c>
      <c r="E2477" s="4" t="s">
        <v>50</v>
      </c>
      <c r="F2477" s="4" t="s">
        <v>345</v>
      </c>
      <c r="I2477" s="4" t="s">
        <v>346</v>
      </c>
      <c r="O2477" s="4" t="s">
        <v>6596</v>
      </c>
    </row>
    <row r="2478" spans="1:15" ht="15.75" customHeight="1">
      <c r="A2478" s="4" t="s">
        <v>49</v>
      </c>
      <c r="B2478" s="4">
        <v>2593746</v>
      </c>
      <c r="C2478" s="4">
        <v>2594123</v>
      </c>
      <c r="E2478" s="4" t="s">
        <v>50</v>
      </c>
      <c r="F2478" s="4" t="s">
        <v>4847</v>
      </c>
      <c r="I2478" s="4" t="s">
        <v>52</v>
      </c>
      <c r="L2478" s="4" t="s">
        <v>6597</v>
      </c>
      <c r="M2478" s="4" t="s">
        <v>4847</v>
      </c>
      <c r="N2478" s="4">
        <v>125</v>
      </c>
      <c r="O2478" s="4" t="s">
        <v>6598</v>
      </c>
    </row>
    <row r="2479" spans="1:15" ht="15.75" customHeight="1">
      <c r="A2479" s="4" t="s">
        <v>49</v>
      </c>
      <c r="B2479" s="4">
        <v>2594120</v>
      </c>
      <c r="C2479" s="4">
        <v>2596117</v>
      </c>
      <c r="E2479" s="4" t="s">
        <v>50</v>
      </c>
      <c r="F2479" s="4" t="s">
        <v>3049</v>
      </c>
      <c r="I2479" s="4" t="s">
        <v>52</v>
      </c>
      <c r="L2479" s="4" t="s">
        <v>6599</v>
      </c>
      <c r="M2479" s="4" t="s">
        <v>3049</v>
      </c>
      <c r="N2479" s="4">
        <v>665</v>
      </c>
      <c r="O2479" s="4" t="s">
        <v>6600</v>
      </c>
    </row>
    <row r="2480" spans="1:15" ht="15.75" customHeight="1">
      <c r="A2480" s="4" t="s">
        <v>49</v>
      </c>
      <c r="B2480" s="4">
        <v>2596458</v>
      </c>
      <c r="C2480" s="4">
        <v>2597873</v>
      </c>
      <c r="E2480" s="4" t="s">
        <v>55</v>
      </c>
      <c r="F2480" s="4" t="s">
        <v>779</v>
      </c>
      <c r="I2480" s="4" t="s">
        <v>52</v>
      </c>
      <c r="L2480" s="4" t="s">
        <v>6443</v>
      </c>
      <c r="M2480" s="4" t="s">
        <v>779</v>
      </c>
      <c r="N2480" s="4">
        <v>471</v>
      </c>
      <c r="O2480" s="4" t="s">
        <v>6601</v>
      </c>
    </row>
    <row r="2481" spans="1:15" ht="15.75" customHeight="1">
      <c r="A2481" s="4" t="s">
        <v>49</v>
      </c>
      <c r="B2481" s="4">
        <v>2598527</v>
      </c>
      <c r="C2481" s="4">
        <v>2599228</v>
      </c>
      <c r="E2481" s="4" t="s">
        <v>50</v>
      </c>
      <c r="F2481" s="4" t="s">
        <v>3049</v>
      </c>
      <c r="I2481" s="4" t="s">
        <v>52</v>
      </c>
      <c r="L2481" s="4" t="s">
        <v>6602</v>
      </c>
      <c r="M2481" s="4" t="s">
        <v>3049</v>
      </c>
      <c r="N2481" s="4">
        <v>233</v>
      </c>
      <c r="O2481" s="4" t="s">
        <v>6603</v>
      </c>
    </row>
    <row r="2482" spans="1:15" ht="15.75" customHeight="1">
      <c r="A2482" s="4" t="s">
        <v>49</v>
      </c>
      <c r="B2482" s="4">
        <v>2599380</v>
      </c>
      <c r="C2482" s="4">
        <v>2599739</v>
      </c>
      <c r="E2482" s="4" t="s">
        <v>50</v>
      </c>
      <c r="F2482" s="4" t="s">
        <v>4847</v>
      </c>
      <c r="I2482" s="4" t="s">
        <v>52</v>
      </c>
      <c r="L2482" s="4" t="s">
        <v>6604</v>
      </c>
      <c r="M2482" s="4" t="s">
        <v>4847</v>
      </c>
      <c r="N2482" s="4">
        <v>119</v>
      </c>
      <c r="O2482" s="4" t="s">
        <v>6605</v>
      </c>
    </row>
    <row r="2483" spans="1:15" ht="15.75" customHeight="1">
      <c r="A2483" s="4" t="s">
        <v>49</v>
      </c>
      <c r="B2483" s="4">
        <v>2599723</v>
      </c>
      <c r="C2483" s="4">
        <v>2600424</v>
      </c>
      <c r="E2483" s="4" t="s">
        <v>50</v>
      </c>
      <c r="F2483" s="4" t="s">
        <v>3049</v>
      </c>
      <c r="I2483" s="4" t="s">
        <v>52</v>
      </c>
      <c r="L2483" s="4" t="s">
        <v>6606</v>
      </c>
      <c r="M2483" s="4" t="s">
        <v>3049</v>
      </c>
      <c r="N2483" s="4">
        <v>233</v>
      </c>
      <c r="O2483" s="4" t="s">
        <v>6607</v>
      </c>
    </row>
    <row r="2484" spans="1:15" ht="15.75" customHeight="1">
      <c r="A2484" s="4" t="s">
        <v>49</v>
      </c>
      <c r="B2484" s="4">
        <v>2600575</v>
      </c>
      <c r="C2484" s="4">
        <v>2602599</v>
      </c>
      <c r="E2484" s="4" t="s">
        <v>50</v>
      </c>
      <c r="F2484" s="4" t="s">
        <v>3049</v>
      </c>
      <c r="I2484" s="4" t="s">
        <v>52</v>
      </c>
      <c r="L2484" s="4" t="s">
        <v>6608</v>
      </c>
      <c r="M2484" s="4" t="s">
        <v>3049</v>
      </c>
      <c r="N2484" s="4">
        <v>674</v>
      </c>
      <c r="O2484" s="4" t="s">
        <v>6609</v>
      </c>
    </row>
    <row r="2485" spans="1:15" ht="15.75" customHeight="1">
      <c r="A2485" s="4" t="s">
        <v>49</v>
      </c>
      <c r="B2485" s="4">
        <v>2602676</v>
      </c>
      <c r="C2485" s="4">
        <v>2603650</v>
      </c>
      <c r="E2485" s="4" t="s">
        <v>55</v>
      </c>
      <c r="F2485" s="4" t="s">
        <v>3345</v>
      </c>
      <c r="I2485" s="4" t="s">
        <v>52</v>
      </c>
      <c r="L2485" s="4" t="s">
        <v>6610</v>
      </c>
      <c r="M2485" s="4" t="s">
        <v>3345</v>
      </c>
      <c r="N2485" s="4">
        <v>324</v>
      </c>
      <c r="O2485" s="4" t="s">
        <v>6611</v>
      </c>
    </row>
    <row r="2486" spans="1:15" ht="15.75" customHeight="1">
      <c r="A2486" s="4" t="s">
        <v>49</v>
      </c>
      <c r="B2486" s="4">
        <v>2603818</v>
      </c>
      <c r="C2486" s="4">
        <v>2605545</v>
      </c>
      <c r="E2486" s="4" t="s">
        <v>55</v>
      </c>
      <c r="F2486" s="4" t="s">
        <v>56</v>
      </c>
      <c r="I2486" s="4" t="s">
        <v>52</v>
      </c>
      <c r="L2486" s="4" t="s">
        <v>6612</v>
      </c>
      <c r="M2486" s="4" t="s">
        <v>56</v>
      </c>
      <c r="N2486" s="4">
        <v>575</v>
      </c>
      <c r="O2486" s="4" t="s">
        <v>6613</v>
      </c>
    </row>
    <row r="2487" spans="1:15" ht="15.75" customHeight="1">
      <c r="A2487" s="4" t="s">
        <v>49</v>
      </c>
      <c r="B2487" s="4">
        <v>2605532</v>
      </c>
      <c r="C2487" s="4">
        <v>2606326</v>
      </c>
      <c r="E2487" s="4" t="s">
        <v>55</v>
      </c>
      <c r="F2487" s="4" t="s">
        <v>73</v>
      </c>
      <c r="I2487" s="4" t="s">
        <v>52</v>
      </c>
      <c r="L2487" s="4" t="s">
        <v>6614</v>
      </c>
      <c r="M2487" s="4" t="s">
        <v>73</v>
      </c>
      <c r="N2487" s="4">
        <v>264</v>
      </c>
      <c r="O2487" s="4" t="s">
        <v>6615</v>
      </c>
    </row>
    <row r="2488" spans="1:15" ht="15.75" customHeight="1">
      <c r="A2488" s="4" t="s">
        <v>49</v>
      </c>
      <c r="B2488" s="4">
        <v>2606578</v>
      </c>
      <c r="C2488" s="4">
        <v>2607126</v>
      </c>
      <c r="E2488" s="4" t="s">
        <v>55</v>
      </c>
      <c r="F2488" s="4" t="s">
        <v>1167</v>
      </c>
      <c r="I2488" s="4" t="s">
        <v>52</v>
      </c>
      <c r="L2488" s="4" t="s">
        <v>6616</v>
      </c>
      <c r="M2488" s="4" t="s">
        <v>1167</v>
      </c>
      <c r="N2488" s="4">
        <v>182</v>
      </c>
      <c r="O2488" s="4" t="s">
        <v>6617</v>
      </c>
    </row>
    <row r="2489" spans="1:15" ht="15.75" customHeight="1">
      <c r="A2489" s="4" t="s">
        <v>49</v>
      </c>
      <c r="B2489" s="4">
        <v>2607174</v>
      </c>
      <c r="C2489" s="4">
        <v>2607998</v>
      </c>
      <c r="E2489" s="4" t="s">
        <v>55</v>
      </c>
      <c r="F2489" s="4" t="s">
        <v>3052</v>
      </c>
      <c r="I2489" s="4" t="s">
        <v>52</v>
      </c>
      <c r="L2489" s="4" t="s">
        <v>6618</v>
      </c>
      <c r="M2489" s="4" t="s">
        <v>3052</v>
      </c>
      <c r="N2489" s="4">
        <v>274</v>
      </c>
      <c r="O2489" s="4" t="s">
        <v>6619</v>
      </c>
    </row>
    <row r="2490" spans="1:15" ht="15.75" customHeight="1">
      <c r="A2490" s="4" t="s">
        <v>49</v>
      </c>
      <c r="B2490" s="4">
        <v>2608380</v>
      </c>
      <c r="C2490" s="4">
        <v>2609252</v>
      </c>
      <c r="E2490" s="4" t="s">
        <v>55</v>
      </c>
      <c r="F2490" s="4" t="s">
        <v>6620</v>
      </c>
      <c r="G2490" s="4" t="s">
        <v>6621</v>
      </c>
      <c r="I2490" s="4" t="s">
        <v>52</v>
      </c>
      <c r="L2490" s="4" t="s">
        <v>6622</v>
      </c>
      <c r="M2490" s="4" t="s">
        <v>6620</v>
      </c>
      <c r="N2490" s="4">
        <v>290</v>
      </c>
      <c r="O2490" s="4" t="s">
        <v>6623</v>
      </c>
    </row>
    <row r="2491" spans="1:15" ht="15.75" customHeight="1">
      <c r="A2491" s="4" t="s">
        <v>49</v>
      </c>
      <c r="B2491" s="4">
        <v>2609230</v>
      </c>
      <c r="C2491" s="4">
        <v>2611515</v>
      </c>
      <c r="E2491" s="4" t="s">
        <v>55</v>
      </c>
      <c r="F2491" s="4" t="s">
        <v>6624</v>
      </c>
      <c r="G2491" s="4" t="s">
        <v>6625</v>
      </c>
      <c r="I2491" s="4" t="s">
        <v>52</v>
      </c>
      <c r="L2491" s="4" t="s">
        <v>6626</v>
      </c>
      <c r="M2491" s="4" t="s">
        <v>6624</v>
      </c>
      <c r="N2491" s="4">
        <v>761</v>
      </c>
      <c r="O2491" s="4" t="s">
        <v>6627</v>
      </c>
    </row>
    <row r="2492" spans="1:15" ht="15.75" customHeight="1">
      <c r="A2492" s="4" t="s">
        <v>49</v>
      </c>
      <c r="B2492" s="4">
        <v>2612650</v>
      </c>
      <c r="C2492" s="4">
        <v>2614368</v>
      </c>
      <c r="E2492" s="4" t="s">
        <v>50</v>
      </c>
      <c r="F2492" s="4" t="s">
        <v>73</v>
      </c>
      <c r="I2492" s="4" t="s">
        <v>52</v>
      </c>
      <c r="L2492" s="4" t="s">
        <v>6628</v>
      </c>
      <c r="M2492" s="4" t="s">
        <v>73</v>
      </c>
      <c r="N2492" s="4">
        <v>572</v>
      </c>
      <c r="O2492" s="4" t="s">
        <v>6629</v>
      </c>
    </row>
    <row r="2493" spans="1:15" ht="15.75" customHeight="1">
      <c r="A2493" s="4" t="s">
        <v>49</v>
      </c>
      <c r="B2493" s="4">
        <v>2614373</v>
      </c>
      <c r="C2493" s="4">
        <v>2616154</v>
      </c>
      <c r="E2493" s="4" t="s">
        <v>50</v>
      </c>
      <c r="F2493" s="4" t="s">
        <v>73</v>
      </c>
      <c r="I2493" s="4" t="s">
        <v>52</v>
      </c>
      <c r="L2493" s="4" t="s">
        <v>6630</v>
      </c>
      <c r="M2493" s="4" t="s">
        <v>73</v>
      </c>
      <c r="N2493" s="4">
        <v>593</v>
      </c>
      <c r="O2493" s="4" t="s">
        <v>6631</v>
      </c>
    </row>
    <row r="2494" spans="1:15" ht="15.75" customHeight="1">
      <c r="A2494" s="4" t="s">
        <v>49</v>
      </c>
      <c r="B2494" s="4">
        <v>2616316</v>
      </c>
      <c r="C2494" s="4">
        <v>2617560</v>
      </c>
      <c r="E2494" s="4" t="s">
        <v>50</v>
      </c>
      <c r="F2494" s="4" t="s">
        <v>6632</v>
      </c>
      <c r="I2494" s="4" t="s">
        <v>52</v>
      </c>
      <c r="L2494" s="4" t="s">
        <v>6633</v>
      </c>
      <c r="M2494" s="4" t="s">
        <v>6632</v>
      </c>
      <c r="N2494" s="4">
        <v>414</v>
      </c>
      <c r="O2494" s="4" t="s">
        <v>6634</v>
      </c>
    </row>
    <row r="2495" spans="1:15" ht="15.75" customHeight="1">
      <c r="A2495" s="4" t="s">
        <v>49</v>
      </c>
      <c r="B2495" s="4">
        <v>2617847</v>
      </c>
      <c r="C2495" s="4">
        <v>2618563</v>
      </c>
      <c r="E2495" s="4" t="s">
        <v>50</v>
      </c>
      <c r="F2495" s="4" t="s">
        <v>6635</v>
      </c>
      <c r="G2495" s="4" t="s">
        <v>6636</v>
      </c>
      <c r="I2495" s="4" t="s">
        <v>52</v>
      </c>
      <c r="L2495" s="4" t="s">
        <v>6637</v>
      </c>
      <c r="M2495" s="4" t="s">
        <v>6635</v>
      </c>
      <c r="N2495" s="4">
        <v>238</v>
      </c>
      <c r="O2495" s="4" t="s">
        <v>6638</v>
      </c>
    </row>
    <row r="2496" spans="1:15" ht="15.75" customHeight="1">
      <c r="A2496" s="4" t="s">
        <v>49</v>
      </c>
      <c r="B2496" s="4">
        <v>2618789</v>
      </c>
      <c r="C2496" s="4">
        <v>2620435</v>
      </c>
      <c r="E2496" s="4" t="s">
        <v>50</v>
      </c>
      <c r="F2496" s="4" t="s">
        <v>6639</v>
      </c>
      <c r="G2496" s="4" t="s">
        <v>6640</v>
      </c>
      <c r="I2496" s="4" t="s">
        <v>52</v>
      </c>
      <c r="L2496" s="4" t="s">
        <v>6641</v>
      </c>
      <c r="M2496" s="4" t="s">
        <v>6639</v>
      </c>
      <c r="N2496" s="4">
        <v>548</v>
      </c>
      <c r="O2496" s="4" t="s">
        <v>6642</v>
      </c>
    </row>
    <row r="2497" spans="1:15" ht="15.75" customHeight="1">
      <c r="A2497" s="4" t="s">
        <v>49</v>
      </c>
      <c r="B2497" s="4">
        <v>2620526</v>
      </c>
      <c r="C2497" s="4">
        <v>2622529</v>
      </c>
      <c r="E2497" s="4" t="s">
        <v>50</v>
      </c>
      <c r="F2497" s="4" t="s">
        <v>6643</v>
      </c>
      <c r="I2497" s="4" t="s">
        <v>52</v>
      </c>
      <c r="L2497" s="4" t="s">
        <v>6644</v>
      </c>
      <c r="M2497" s="4" t="s">
        <v>6643</v>
      </c>
      <c r="N2497" s="4">
        <v>667</v>
      </c>
      <c r="O2497" s="4" t="s">
        <v>6645</v>
      </c>
    </row>
    <row r="2498" spans="1:15" ht="15.75" customHeight="1">
      <c r="A2498" s="4" t="s">
        <v>49</v>
      </c>
      <c r="B2498" s="4">
        <v>2622870</v>
      </c>
      <c r="C2498" s="4">
        <v>2624174</v>
      </c>
      <c r="E2498" s="4" t="s">
        <v>50</v>
      </c>
      <c r="F2498" s="4" t="s">
        <v>6646</v>
      </c>
      <c r="G2498" s="4" t="s">
        <v>6647</v>
      </c>
      <c r="I2498" s="4" t="s">
        <v>52</v>
      </c>
      <c r="L2498" s="4" t="s">
        <v>6648</v>
      </c>
      <c r="M2498" s="4" t="s">
        <v>6646</v>
      </c>
      <c r="N2498" s="4">
        <v>434</v>
      </c>
      <c r="O2498" s="4" t="s">
        <v>6649</v>
      </c>
    </row>
    <row r="2499" spans="1:15" ht="15.75" customHeight="1">
      <c r="A2499" s="4" t="s">
        <v>49</v>
      </c>
      <c r="B2499" s="4">
        <v>2624395</v>
      </c>
      <c r="C2499" s="4">
        <v>2625870</v>
      </c>
      <c r="E2499" s="4" t="s">
        <v>50</v>
      </c>
      <c r="F2499" s="4" t="s">
        <v>2780</v>
      </c>
      <c r="I2499" s="4" t="s">
        <v>52</v>
      </c>
      <c r="L2499" s="4" t="s">
        <v>6650</v>
      </c>
      <c r="M2499" s="4" t="s">
        <v>2780</v>
      </c>
      <c r="N2499" s="4">
        <v>491</v>
      </c>
      <c r="O2499" s="4" t="s">
        <v>6651</v>
      </c>
    </row>
    <row r="2500" spans="1:15" ht="15.75" customHeight="1">
      <c r="A2500" s="4" t="s">
        <v>49</v>
      </c>
      <c r="B2500" s="4">
        <v>2625996</v>
      </c>
      <c r="C2500" s="4">
        <v>2626934</v>
      </c>
      <c r="E2500" s="4" t="s">
        <v>55</v>
      </c>
      <c r="F2500" s="4" t="s">
        <v>6041</v>
      </c>
      <c r="I2500" s="4" t="s">
        <v>52</v>
      </c>
      <c r="L2500" s="4" t="s">
        <v>6652</v>
      </c>
      <c r="M2500" s="4" t="s">
        <v>6041</v>
      </c>
      <c r="N2500" s="4">
        <v>312</v>
      </c>
      <c r="O2500" s="4" t="s">
        <v>6653</v>
      </c>
    </row>
    <row r="2501" spans="1:15" ht="15.75" customHeight="1">
      <c r="A2501" s="4" t="s">
        <v>49</v>
      </c>
      <c r="B2501" s="4">
        <v>2627216</v>
      </c>
      <c r="C2501" s="4">
        <v>2628556</v>
      </c>
      <c r="E2501" s="4" t="s">
        <v>50</v>
      </c>
      <c r="F2501" s="4" t="s">
        <v>6654</v>
      </c>
      <c r="G2501" s="4" t="s">
        <v>6655</v>
      </c>
      <c r="I2501" s="4" t="s">
        <v>52</v>
      </c>
      <c r="L2501" s="4" t="s">
        <v>6656</v>
      </c>
      <c r="M2501" s="4" t="s">
        <v>6654</v>
      </c>
      <c r="N2501" s="4">
        <v>446</v>
      </c>
      <c r="O2501" s="4" t="s">
        <v>6657</v>
      </c>
    </row>
    <row r="2502" spans="1:15" ht="15.75" customHeight="1">
      <c r="A2502" s="4" t="s">
        <v>49</v>
      </c>
      <c r="B2502" s="4">
        <v>2628729</v>
      </c>
      <c r="C2502" s="4">
        <v>2628929</v>
      </c>
      <c r="E2502" s="4" t="s">
        <v>50</v>
      </c>
      <c r="F2502" s="4" t="s">
        <v>371</v>
      </c>
      <c r="I2502" s="4" t="s">
        <v>52</v>
      </c>
      <c r="L2502" s="4" t="s">
        <v>6658</v>
      </c>
      <c r="M2502" s="4" t="s">
        <v>371</v>
      </c>
      <c r="N2502" s="4">
        <v>66</v>
      </c>
      <c r="O2502" s="4" t="s">
        <v>6659</v>
      </c>
    </row>
    <row r="2503" spans="1:15" ht="15.75" customHeight="1">
      <c r="A2503" s="4" t="s">
        <v>49</v>
      </c>
      <c r="B2503" s="4">
        <v>2629094</v>
      </c>
      <c r="C2503" s="4">
        <v>2629531</v>
      </c>
      <c r="E2503" s="4" t="s">
        <v>55</v>
      </c>
      <c r="F2503" s="4" t="s">
        <v>56</v>
      </c>
      <c r="I2503" s="4" t="s">
        <v>52</v>
      </c>
      <c r="L2503" s="4" t="s">
        <v>6660</v>
      </c>
      <c r="M2503" s="4" t="s">
        <v>56</v>
      </c>
      <c r="N2503" s="4">
        <v>145</v>
      </c>
      <c r="O2503" s="4" t="s">
        <v>6661</v>
      </c>
    </row>
    <row r="2504" spans="1:15" ht="15.75" customHeight="1">
      <c r="A2504" s="4" t="s">
        <v>49</v>
      </c>
      <c r="B2504" s="4">
        <v>2629683</v>
      </c>
      <c r="C2504" s="4">
        <v>2630123</v>
      </c>
      <c r="E2504" s="4" t="s">
        <v>55</v>
      </c>
      <c r="F2504" s="4" t="s">
        <v>3988</v>
      </c>
      <c r="I2504" s="4" t="s">
        <v>52</v>
      </c>
      <c r="L2504" s="4" t="s">
        <v>6662</v>
      </c>
      <c r="M2504" s="4" t="s">
        <v>3988</v>
      </c>
      <c r="N2504" s="4">
        <v>146</v>
      </c>
      <c r="O2504" s="4" t="s">
        <v>6663</v>
      </c>
    </row>
    <row r="2505" spans="1:15" ht="15.75" customHeight="1">
      <c r="A2505" s="4" t="s">
        <v>49</v>
      </c>
      <c r="B2505" s="4">
        <v>2630323</v>
      </c>
      <c r="C2505" s="4">
        <v>2631804</v>
      </c>
      <c r="E2505" s="4" t="s">
        <v>55</v>
      </c>
      <c r="F2505" s="4" t="s">
        <v>6664</v>
      </c>
      <c r="G2505" s="4" t="s">
        <v>6665</v>
      </c>
      <c r="I2505" s="4" t="s">
        <v>52</v>
      </c>
      <c r="L2505" s="4" t="s">
        <v>6666</v>
      </c>
      <c r="M2505" s="4" t="s">
        <v>6664</v>
      </c>
      <c r="N2505" s="4">
        <v>493</v>
      </c>
      <c r="O2505" s="4" t="s">
        <v>6667</v>
      </c>
    </row>
    <row r="2506" spans="1:15" ht="15.75" customHeight="1">
      <c r="A2506" s="4" t="s">
        <v>49</v>
      </c>
      <c r="B2506" s="4">
        <v>2632155</v>
      </c>
      <c r="C2506" s="4">
        <v>2632778</v>
      </c>
      <c r="E2506" s="4" t="s">
        <v>55</v>
      </c>
      <c r="F2506" s="4" t="s">
        <v>1108</v>
      </c>
      <c r="I2506" s="4" t="s">
        <v>52</v>
      </c>
      <c r="L2506" s="4" t="s">
        <v>6668</v>
      </c>
      <c r="M2506" s="4" t="s">
        <v>1108</v>
      </c>
      <c r="N2506" s="4">
        <v>207</v>
      </c>
      <c r="O2506" s="4" t="s">
        <v>6669</v>
      </c>
    </row>
    <row r="2507" spans="1:15" ht="15.75" customHeight="1">
      <c r="A2507" s="4" t="s">
        <v>49</v>
      </c>
      <c r="B2507" s="4">
        <v>2632997</v>
      </c>
      <c r="C2507" s="4">
        <v>2633842</v>
      </c>
      <c r="E2507" s="4" t="s">
        <v>55</v>
      </c>
      <c r="F2507" s="4" t="s">
        <v>3943</v>
      </c>
      <c r="I2507" s="4" t="s">
        <v>52</v>
      </c>
      <c r="L2507" s="4" t="s">
        <v>6670</v>
      </c>
      <c r="M2507" s="4" t="s">
        <v>3943</v>
      </c>
      <c r="N2507" s="4">
        <v>281</v>
      </c>
      <c r="O2507" s="4" t="s">
        <v>6671</v>
      </c>
    </row>
    <row r="2508" spans="1:15" ht="15.75" customHeight="1">
      <c r="A2508" s="4" t="s">
        <v>49</v>
      </c>
      <c r="B2508" s="4">
        <v>2634021</v>
      </c>
      <c r="C2508" s="4">
        <v>2635403</v>
      </c>
      <c r="E2508" s="4" t="s">
        <v>55</v>
      </c>
      <c r="F2508" s="4" t="s">
        <v>166</v>
      </c>
      <c r="I2508" s="4" t="s">
        <v>52</v>
      </c>
      <c r="L2508" s="4" t="s">
        <v>6672</v>
      </c>
      <c r="M2508" s="4" t="s">
        <v>166</v>
      </c>
      <c r="N2508" s="4">
        <v>460</v>
      </c>
      <c r="O2508" s="4" t="s">
        <v>6673</v>
      </c>
    </row>
    <row r="2509" spans="1:15" ht="15.75" customHeight="1">
      <c r="A2509" s="4" t="s">
        <v>49</v>
      </c>
      <c r="B2509" s="4">
        <v>2635614</v>
      </c>
      <c r="C2509" s="4">
        <v>2637845</v>
      </c>
      <c r="E2509" s="4" t="s">
        <v>50</v>
      </c>
      <c r="F2509" s="4" t="s">
        <v>6674</v>
      </c>
      <c r="I2509" s="4" t="s">
        <v>52</v>
      </c>
      <c r="L2509" s="4" t="s">
        <v>6675</v>
      </c>
      <c r="M2509" s="4" t="s">
        <v>6674</v>
      </c>
      <c r="N2509" s="4">
        <v>743</v>
      </c>
      <c r="O2509" s="4" t="s">
        <v>6676</v>
      </c>
    </row>
    <row r="2510" spans="1:15" ht="15.75" customHeight="1">
      <c r="A2510" s="4" t="s">
        <v>49</v>
      </c>
      <c r="B2510" s="4">
        <v>2637937</v>
      </c>
      <c r="C2510" s="4">
        <v>2639919</v>
      </c>
      <c r="E2510" s="4" t="s">
        <v>55</v>
      </c>
      <c r="F2510" s="4" t="s">
        <v>89</v>
      </c>
      <c r="I2510" s="4" t="s">
        <v>52</v>
      </c>
      <c r="L2510" s="4" t="s">
        <v>6677</v>
      </c>
      <c r="M2510" s="4" t="s">
        <v>89</v>
      </c>
      <c r="N2510" s="4">
        <v>660</v>
      </c>
      <c r="O2510" s="4" t="s">
        <v>6678</v>
      </c>
    </row>
    <row r="2511" spans="1:15" ht="15.75" customHeight="1">
      <c r="A2511" s="4" t="s">
        <v>49</v>
      </c>
      <c r="B2511" s="4">
        <v>2640341</v>
      </c>
      <c r="C2511" s="4">
        <v>2640748</v>
      </c>
      <c r="E2511" s="4" t="s">
        <v>55</v>
      </c>
      <c r="F2511" s="4" t="s">
        <v>6679</v>
      </c>
      <c r="I2511" s="4" t="s">
        <v>52</v>
      </c>
      <c r="L2511" s="4" t="s">
        <v>6680</v>
      </c>
      <c r="M2511" s="4" t="s">
        <v>6679</v>
      </c>
      <c r="N2511" s="4">
        <v>135</v>
      </c>
      <c r="O2511" s="4" t="s">
        <v>6681</v>
      </c>
    </row>
    <row r="2512" spans="1:15" ht="15.75" customHeight="1">
      <c r="A2512" s="4" t="s">
        <v>49</v>
      </c>
      <c r="B2512" s="4">
        <v>2640759</v>
      </c>
      <c r="C2512" s="4">
        <v>2641211</v>
      </c>
      <c r="E2512" s="4" t="s">
        <v>55</v>
      </c>
      <c r="F2512" s="4" t="s">
        <v>3784</v>
      </c>
      <c r="I2512" s="4" t="s">
        <v>52</v>
      </c>
      <c r="L2512" s="4" t="s">
        <v>6682</v>
      </c>
      <c r="M2512" s="4" t="s">
        <v>3784</v>
      </c>
      <c r="N2512" s="4">
        <v>150</v>
      </c>
      <c r="O2512" s="4" t="s">
        <v>6683</v>
      </c>
    </row>
    <row r="2513" spans="1:15" ht="15.75" customHeight="1">
      <c r="A2513" s="4" t="s">
        <v>49</v>
      </c>
      <c r="B2513" s="4">
        <v>2641263</v>
      </c>
      <c r="C2513" s="4">
        <v>2642129</v>
      </c>
      <c r="E2513" s="4" t="s">
        <v>55</v>
      </c>
      <c r="F2513" s="4" t="s">
        <v>76</v>
      </c>
      <c r="I2513" s="4" t="s">
        <v>52</v>
      </c>
      <c r="L2513" s="4" t="s">
        <v>6684</v>
      </c>
      <c r="M2513" s="4" t="s">
        <v>76</v>
      </c>
      <c r="N2513" s="4">
        <v>288</v>
      </c>
      <c r="O2513" s="4" t="s">
        <v>6685</v>
      </c>
    </row>
    <row r="2514" spans="1:15" ht="15.75" customHeight="1">
      <c r="A2514" s="4" t="s">
        <v>49</v>
      </c>
      <c r="B2514" s="4">
        <v>2642129</v>
      </c>
      <c r="C2514" s="4">
        <v>2643022</v>
      </c>
      <c r="E2514" s="4" t="s">
        <v>55</v>
      </c>
      <c r="F2514" s="4" t="s">
        <v>73</v>
      </c>
      <c r="I2514" s="4" t="s">
        <v>52</v>
      </c>
      <c r="L2514" s="4" t="s">
        <v>6686</v>
      </c>
      <c r="M2514" s="4" t="s">
        <v>73</v>
      </c>
      <c r="N2514" s="4">
        <v>297</v>
      </c>
      <c r="O2514" s="4" t="s">
        <v>6687</v>
      </c>
    </row>
    <row r="2515" spans="1:15" ht="15.75" customHeight="1">
      <c r="A2515" s="4" t="s">
        <v>49</v>
      </c>
      <c r="B2515" s="4">
        <v>2643253</v>
      </c>
      <c r="C2515" s="4">
        <v>2644032</v>
      </c>
      <c r="E2515" s="4" t="s">
        <v>55</v>
      </c>
      <c r="F2515" s="4" t="s">
        <v>2151</v>
      </c>
      <c r="I2515" s="4" t="s">
        <v>52</v>
      </c>
      <c r="L2515" s="4" t="s">
        <v>6688</v>
      </c>
      <c r="M2515" s="4" t="s">
        <v>2151</v>
      </c>
      <c r="N2515" s="4">
        <v>259</v>
      </c>
      <c r="O2515" s="4" t="s">
        <v>6689</v>
      </c>
    </row>
    <row r="2516" spans="1:15" ht="15.75" customHeight="1">
      <c r="A2516" s="4" t="s">
        <v>49</v>
      </c>
      <c r="B2516" s="4">
        <v>2644025</v>
      </c>
      <c r="C2516" s="4">
        <v>2644693</v>
      </c>
      <c r="E2516" s="4" t="s">
        <v>55</v>
      </c>
      <c r="F2516" s="4" t="s">
        <v>6690</v>
      </c>
      <c r="I2516" s="4" t="s">
        <v>52</v>
      </c>
      <c r="L2516" s="4" t="s">
        <v>6691</v>
      </c>
      <c r="M2516" s="4" t="s">
        <v>6690</v>
      </c>
      <c r="N2516" s="4">
        <v>222</v>
      </c>
      <c r="O2516" s="4" t="s">
        <v>6692</v>
      </c>
    </row>
    <row r="2517" spans="1:15" ht="15.75" customHeight="1">
      <c r="A2517" s="4" t="s">
        <v>49</v>
      </c>
      <c r="B2517" s="4">
        <v>2644904</v>
      </c>
      <c r="C2517" s="4">
        <v>2645230</v>
      </c>
      <c r="E2517" s="4" t="s">
        <v>55</v>
      </c>
      <c r="F2517" s="4" t="s">
        <v>6693</v>
      </c>
      <c r="I2517" s="4" t="s">
        <v>52</v>
      </c>
      <c r="L2517" s="4" t="s">
        <v>6694</v>
      </c>
      <c r="M2517" s="4" t="s">
        <v>6693</v>
      </c>
      <c r="N2517" s="4">
        <v>108</v>
      </c>
      <c r="O2517" s="4" t="s">
        <v>6695</v>
      </c>
    </row>
    <row r="2518" spans="1:15" ht="15.75" customHeight="1">
      <c r="A2518" s="4" t="s">
        <v>49</v>
      </c>
      <c r="B2518" s="4">
        <v>2645456</v>
      </c>
      <c r="C2518" s="4">
        <v>2646364</v>
      </c>
      <c r="E2518" s="4" t="s">
        <v>55</v>
      </c>
      <c r="F2518" s="4" t="s">
        <v>2154</v>
      </c>
      <c r="I2518" s="4" t="s">
        <v>52</v>
      </c>
      <c r="L2518" s="4" t="s">
        <v>6696</v>
      </c>
      <c r="M2518" s="4" t="s">
        <v>2154</v>
      </c>
      <c r="N2518" s="4">
        <v>302</v>
      </c>
      <c r="O2518" s="4" t="s">
        <v>6697</v>
      </c>
    </row>
    <row r="2519" spans="1:15" ht="15.75" customHeight="1">
      <c r="A2519" s="4" t="s">
        <v>49</v>
      </c>
      <c r="B2519" s="4">
        <v>2646602</v>
      </c>
      <c r="C2519" s="4">
        <v>2647918</v>
      </c>
      <c r="E2519" s="4" t="s">
        <v>55</v>
      </c>
      <c r="F2519" s="4" t="s">
        <v>6698</v>
      </c>
      <c r="I2519" s="4" t="s">
        <v>52</v>
      </c>
      <c r="L2519" s="4" t="s">
        <v>6699</v>
      </c>
      <c r="M2519" s="4" t="s">
        <v>6698</v>
      </c>
      <c r="N2519" s="4">
        <v>438</v>
      </c>
      <c r="O2519" s="4" t="s">
        <v>6700</v>
      </c>
    </row>
    <row r="2520" spans="1:15" ht="15.75" customHeight="1">
      <c r="A2520" s="4" t="s">
        <v>49</v>
      </c>
      <c r="B2520" s="4">
        <v>2648322</v>
      </c>
      <c r="C2520" s="4">
        <v>2649263</v>
      </c>
      <c r="E2520" s="4" t="s">
        <v>55</v>
      </c>
      <c r="F2520" s="4" t="s">
        <v>6701</v>
      </c>
      <c r="I2520" s="4" t="s">
        <v>52</v>
      </c>
      <c r="L2520" s="4" t="s">
        <v>6702</v>
      </c>
      <c r="M2520" s="4" t="s">
        <v>6701</v>
      </c>
      <c r="N2520" s="4">
        <v>313</v>
      </c>
      <c r="O2520" s="4" t="s">
        <v>6703</v>
      </c>
    </row>
    <row r="2521" spans="1:15" ht="15.75" customHeight="1">
      <c r="A2521" s="4" t="s">
        <v>49</v>
      </c>
      <c r="B2521" s="4">
        <v>2649396</v>
      </c>
      <c r="C2521" s="4">
        <v>2650064</v>
      </c>
      <c r="E2521" s="4" t="s">
        <v>50</v>
      </c>
      <c r="F2521" s="4" t="s">
        <v>6704</v>
      </c>
      <c r="I2521" s="4" t="s">
        <v>52</v>
      </c>
      <c r="L2521" s="4" t="s">
        <v>6705</v>
      </c>
      <c r="M2521" s="4" t="s">
        <v>6704</v>
      </c>
      <c r="N2521" s="4">
        <v>222</v>
      </c>
      <c r="O2521" s="4" t="s">
        <v>6706</v>
      </c>
    </row>
    <row r="2522" spans="1:15" ht="15.75" customHeight="1">
      <c r="A2522" s="4" t="s">
        <v>49</v>
      </c>
      <c r="B2522" s="4">
        <v>2650072</v>
      </c>
      <c r="C2522" s="4">
        <v>2650890</v>
      </c>
      <c r="E2522" s="4" t="s">
        <v>55</v>
      </c>
      <c r="F2522" s="4" t="s">
        <v>416</v>
      </c>
      <c r="I2522" s="4" t="s">
        <v>52</v>
      </c>
      <c r="L2522" s="4" t="s">
        <v>6707</v>
      </c>
      <c r="M2522" s="4" t="s">
        <v>416</v>
      </c>
      <c r="N2522" s="4">
        <v>272</v>
      </c>
      <c r="O2522" s="4" t="s">
        <v>6708</v>
      </c>
    </row>
    <row r="2523" spans="1:15" ht="15.75" customHeight="1">
      <c r="A2523" s="4" t="s">
        <v>49</v>
      </c>
      <c r="B2523" s="4">
        <v>2651450</v>
      </c>
      <c r="C2523" s="4">
        <v>2651638</v>
      </c>
      <c r="E2523" s="4" t="s">
        <v>55</v>
      </c>
      <c r="F2523" s="4" t="s">
        <v>56</v>
      </c>
      <c r="I2523" s="4" t="s">
        <v>52</v>
      </c>
      <c r="L2523" s="4" t="s">
        <v>6709</v>
      </c>
      <c r="M2523" s="4" t="s">
        <v>56</v>
      </c>
      <c r="N2523" s="4">
        <v>62</v>
      </c>
      <c r="O2523" s="4" t="s">
        <v>6710</v>
      </c>
    </row>
    <row r="2524" spans="1:15" ht="15.75" customHeight="1">
      <c r="A2524" s="4" t="s">
        <v>49</v>
      </c>
      <c r="B2524" s="4">
        <v>2652374</v>
      </c>
      <c r="C2524" s="4">
        <v>2653585</v>
      </c>
      <c r="E2524" s="4" t="s">
        <v>55</v>
      </c>
      <c r="F2524" s="4" t="s">
        <v>56</v>
      </c>
      <c r="I2524" s="4" t="s">
        <v>52</v>
      </c>
      <c r="L2524" s="4" t="s">
        <v>6711</v>
      </c>
      <c r="M2524" s="4" t="s">
        <v>56</v>
      </c>
      <c r="N2524" s="4">
        <v>403</v>
      </c>
      <c r="O2524" s="4" t="s">
        <v>6712</v>
      </c>
    </row>
    <row r="2525" spans="1:15" ht="15.75" customHeight="1">
      <c r="A2525" s="4" t="s">
        <v>49</v>
      </c>
      <c r="B2525" s="4">
        <v>2653575</v>
      </c>
      <c r="C2525" s="4">
        <v>2654186</v>
      </c>
      <c r="E2525" s="4" t="s">
        <v>55</v>
      </c>
      <c r="F2525" s="4" t="s">
        <v>73</v>
      </c>
      <c r="I2525" s="4" t="s">
        <v>52</v>
      </c>
      <c r="L2525" s="4" t="s">
        <v>6713</v>
      </c>
      <c r="M2525" s="4" t="s">
        <v>73</v>
      </c>
      <c r="N2525" s="4">
        <v>203</v>
      </c>
      <c r="O2525" s="4" t="s">
        <v>6714</v>
      </c>
    </row>
    <row r="2526" spans="1:15" ht="15.75" customHeight="1">
      <c r="A2526" s="4" t="s">
        <v>49</v>
      </c>
      <c r="B2526" s="4">
        <v>2654264</v>
      </c>
      <c r="C2526" s="4">
        <v>2654542</v>
      </c>
      <c r="E2526" s="4" t="s">
        <v>55</v>
      </c>
      <c r="F2526" s="4" t="s">
        <v>56</v>
      </c>
      <c r="I2526" s="4" t="s">
        <v>52</v>
      </c>
      <c r="L2526" s="4" t="s">
        <v>6715</v>
      </c>
      <c r="M2526" s="4" t="s">
        <v>56</v>
      </c>
      <c r="N2526" s="4">
        <v>92</v>
      </c>
      <c r="O2526" s="4" t="s">
        <v>6716</v>
      </c>
    </row>
    <row r="2527" spans="1:15" ht="15.75" customHeight="1">
      <c r="A2527" s="4" t="s">
        <v>49</v>
      </c>
      <c r="B2527" s="4">
        <v>2655952</v>
      </c>
      <c r="C2527" s="4">
        <v>2657601</v>
      </c>
      <c r="E2527" s="4" t="s">
        <v>50</v>
      </c>
      <c r="F2527" s="4" t="s">
        <v>1207</v>
      </c>
      <c r="I2527" s="4" t="s">
        <v>52</v>
      </c>
      <c r="L2527" s="4" t="s">
        <v>6717</v>
      </c>
      <c r="M2527" s="4" t="s">
        <v>1207</v>
      </c>
      <c r="N2527" s="4">
        <v>549</v>
      </c>
      <c r="O2527" s="4" t="s">
        <v>6718</v>
      </c>
    </row>
    <row r="2528" spans="1:15" ht="15.75" customHeight="1">
      <c r="A2528" s="4" t="s">
        <v>49</v>
      </c>
      <c r="B2528" s="4">
        <v>2658047</v>
      </c>
      <c r="C2528" s="4">
        <v>2659723</v>
      </c>
      <c r="E2528" s="4" t="s">
        <v>50</v>
      </c>
      <c r="F2528" s="4" t="s">
        <v>6719</v>
      </c>
      <c r="I2528" s="4" t="s">
        <v>52</v>
      </c>
      <c r="L2528" s="4" t="s">
        <v>6720</v>
      </c>
      <c r="M2528" s="4" t="s">
        <v>6719</v>
      </c>
      <c r="N2528" s="4">
        <v>558</v>
      </c>
      <c r="O2528" s="4" t="s">
        <v>6721</v>
      </c>
    </row>
    <row r="2529" spans="1:15" ht="15.75" customHeight="1">
      <c r="A2529" s="4" t="s">
        <v>49</v>
      </c>
      <c r="B2529" s="4">
        <v>2659720</v>
      </c>
      <c r="C2529" s="4">
        <v>2660301</v>
      </c>
      <c r="E2529" s="4" t="s">
        <v>50</v>
      </c>
      <c r="F2529" s="4" t="s">
        <v>6722</v>
      </c>
      <c r="I2529" s="4" t="s">
        <v>52</v>
      </c>
      <c r="L2529" s="4" t="s">
        <v>6723</v>
      </c>
      <c r="M2529" s="4" t="s">
        <v>6722</v>
      </c>
      <c r="N2529" s="4">
        <v>193</v>
      </c>
      <c r="O2529" s="4" t="s">
        <v>6724</v>
      </c>
    </row>
    <row r="2530" spans="1:15" ht="15.75" customHeight="1">
      <c r="A2530" s="4" t="s">
        <v>49</v>
      </c>
      <c r="B2530" s="4">
        <v>2660826</v>
      </c>
      <c r="C2530" s="4">
        <v>2661533</v>
      </c>
      <c r="E2530" s="4" t="s">
        <v>55</v>
      </c>
      <c r="F2530" s="4" t="s">
        <v>6725</v>
      </c>
      <c r="I2530" s="4" t="s">
        <v>52</v>
      </c>
      <c r="L2530" s="4" t="s">
        <v>6726</v>
      </c>
      <c r="M2530" s="4" t="s">
        <v>6725</v>
      </c>
      <c r="N2530" s="4">
        <v>235</v>
      </c>
      <c r="O2530" s="4" t="s">
        <v>6727</v>
      </c>
    </row>
    <row r="2531" spans="1:15" ht="15.75" customHeight="1">
      <c r="A2531" s="4" t="s">
        <v>49</v>
      </c>
      <c r="B2531" s="4">
        <v>2661548</v>
      </c>
      <c r="C2531" s="4">
        <v>2663401</v>
      </c>
      <c r="E2531" s="4" t="s">
        <v>55</v>
      </c>
      <c r="F2531" s="4" t="s">
        <v>6728</v>
      </c>
      <c r="G2531" s="4" t="s">
        <v>6729</v>
      </c>
      <c r="I2531" s="4" t="s">
        <v>52</v>
      </c>
      <c r="L2531" s="4" t="s">
        <v>6730</v>
      </c>
      <c r="M2531" s="4" t="s">
        <v>6728</v>
      </c>
      <c r="N2531" s="4">
        <v>617</v>
      </c>
      <c r="O2531" s="4" t="s">
        <v>6731</v>
      </c>
    </row>
    <row r="2532" spans="1:15" ht="15.75" customHeight="1">
      <c r="A2532" s="4" t="s">
        <v>49</v>
      </c>
      <c r="B2532" s="4">
        <v>2663457</v>
      </c>
      <c r="C2532" s="4">
        <v>2664974</v>
      </c>
      <c r="E2532" s="4" t="s">
        <v>55</v>
      </c>
      <c r="F2532" s="4" t="s">
        <v>5771</v>
      </c>
      <c r="G2532" s="4" t="s">
        <v>5772</v>
      </c>
      <c r="I2532" s="4" t="s">
        <v>52</v>
      </c>
      <c r="L2532" s="4" t="s">
        <v>6732</v>
      </c>
      <c r="M2532" s="4" t="s">
        <v>5771</v>
      </c>
      <c r="N2532" s="4">
        <v>505</v>
      </c>
      <c r="O2532" s="4" t="s">
        <v>6733</v>
      </c>
    </row>
    <row r="2533" spans="1:15" ht="15.75" customHeight="1">
      <c r="A2533" s="4" t="s">
        <v>49</v>
      </c>
      <c r="B2533" s="4">
        <v>2665236</v>
      </c>
      <c r="C2533" s="4">
        <v>2665958</v>
      </c>
      <c r="E2533" s="4" t="s">
        <v>55</v>
      </c>
      <c r="F2533" s="4" t="s">
        <v>328</v>
      </c>
      <c r="I2533" s="4" t="s">
        <v>52</v>
      </c>
      <c r="L2533" s="4" t="s">
        <v>6734</v>
      </c>
      <c r="M2533" s="4" t="s">
        <v>328</v>
      </c>
      <c r="N2533" s="4">
        <v>240</v>
      </c>
      <c r="O2533" s="4" t="s">
        <v>6735</v>
      </c>
    </row>
    <row r="2534" spans="1:15" ht="15.75" customHeight="1">
      <c r="A2534" s="4" t="s">
        <v>49</v>
      </c>
      <c r="B2534" s="4">
        <v>2666281</v>
      </c>
      <c r="C2534" s="4">
        <v>2667447</v>
      </c>
      <c r="E2534" s="4" t="s">
        <v>50</v>
      </c>
      <c r="F2534" s="4" t="s">
        <v>6736</v>
      </c>
      <c r="I2534" s="4" t="s">
        <v>52</v>
      </c>
      <c r="L2534" s="4" t="s">
        <v>6737</v>
      </c>
      <c r="M2534" s="4" t="s">
        <v>6736</v>
      </c>
      <c r="N2534" s="4">
        <v>388</v>
      </c>
      <c r="O2534" s="4" t="s">
        <v>6738</v>
      </c>
    </row>
    <row r="2535" spans="1:15" ht="15.75" customHeight="1">
      <c r="A2535" s="4" t="s">
        <v>49</v>
      </c>
      <c r="B2535" s="4">
        <v>2667543</v>
      </c>
      <c r="C2535" s="4">
        <v>2668538</v>
      </c>
      <c r="E2535" s="4" t="s">
        <v>50</v>
      </c>
      <c r="F2535" s="4" t="s">
        <v>6739</v>
      </c>
      <c r="G2535" s="4" t="s">
        <v>6740</v>
      </c>
      <c r="I2535" s="4" t="s">
        <v>52</v>
      </c>
      <c r="L2535" s="4" t="s">
        <v>6741</v>
      </c>
      <c r="M2535" s="4" t="s">
        <v>6739</v>
      </c>
      <c r="N2535" s="4">
        <v>331</v>
      </c>
      <c r="O2535" s="4" t="s">
        <v>6742</v>
      </c>
    </row>
    <row r="2536" spans="1:15" ht="15.75" customHeight="1">
      <c r="A2536" s="4" t="s">
        <v>49</v>
      </c>
      <c r="B2536" s="4">
        <v>2668535</v>
      </c>
      <c r="C2536" s="4">
        <v>2669995</v>
      </c>
      <c r="E2536" s="4" t="s">
        <v>50</v>
      </c>
      <c r="F2536" s="4" t="s">
        <v>6743</v>
      </c>
      <c r="I2536" s="4" t="s">
        <v>52</v>
      </c>
      <c r="L2536" s="4" t="s">
        <v>6744</v>
      </c>
      <c r="M2536" s="4" t="s">
        <v>6743</v>
      </c>
      <c r="N2536" s="4">
        <v>486</v>
      </c>
      <c r="O2536" s="4" t="s">
        <v>6745</v>
      </c>
    </row>
    <row r="2537" spans="1:15" ht="15.75" customHeight="1">
      <c r="A2537" s="4" t="s">
        <v>49</v>
      </c>
      <c r="B2537" s="4">
        <v>2670031</v>
      </c>
      <c r="C2537" s="4">
        <v>2671044</v>
      </c>
      <c r="E2537" s="4" t="s">
        <v>50</v>
      </c>
      <c r="F2537" s="4" t="s">
        <v>3085</v>
      </c>
      <c r="I2537" s="4" t="s">
        <v>52</v>
      </c>
      <c r="L2537" s="4" t="s">
        <v>6746</v>
      </c>
      <c r="M2537" s="4" t="s">
        <v>3085</v>
      </c>
      <c r="N2537" s="4">
        <v>337</v>
      </c>
      <c r="O2537" s="4" t="s">
        <v>6747</v>
      </c>
    </row>
    <row r="2538" spans="1:15" ht="15.75" customHeight="1">
      <c r="A2538" s="4" t="s">
        <v>49</v>
      </c>
      <c r="B2538" s="4">
        <v>2671194</v>
      </c>
      <c r="C2538" s="4">
        <v>2672204</v>
      </c>
      <c r="E2538" s="4" t="s">
        <v>50</v>
      </c>
      <c r="F2538" s="4" t="s">
        <v>6748</v>
      </c>
      <c r="I2538" s="4" t="s">
        <v>52</v>
      </c>
      <c r="L2538" s="4" t="s">
        <v>6749</v>
      </c>
      <c r="M2538" s="4" t="s">
        <v>6748</v>
      </c>
      <c r="N2538" s="4">
        <v>336</v>
      </c>
      <c r="O2538" s="4" t="s">
        <v>6750</v>
      </c>
    </row>
    <row r="2539" spans="1:15" ht="15.75" customHeight="1">
      <c r="A2539" s="4" t="s">
        <v>49</v>
      </c>
      <c r="B2539" s="4">
        <v>2672431</v>
      </c>
      <c r="C2539" s="4">
        <v>2672700</v>
      </c>
      <c r="E2539" s="4" t="s">
        <v>50</v>
      </c>
      <c r="F2539" s="4" t="s">
        <v>345</v>
      </c>
      <c r="I2539" s="4" t="s">
        <v>346</v>
      </c>
      <c r="O2539" s="4" t="s">
        <v>6751</v>
      </c>
    </row>
    <row r="2540" spans="1:15" ht="15.75" customHeight="1">
      <c r="A2540" s="4" t="s">
        <v>49</v>
      </c>
      <c r="B2540" s="4">
        <v>2672824</v>
      </c>
      <c r="C2540" s="4">
        <v>2673666</v>
      </c>
      <c r="E2540" s="4" t="s">
        <v>55</v>
      </c>
      <c r="F2540" s="4" t="s">
        <v>348</v>
      </c>
      <c r="I2540" s="4" t="s">
        <v>52</v>
      </c>
      <c r="L2540" s="4" t="s">
        <v>765</v>
      </c>
      <c r="M2540" s="4" t="s">
        <v>348</v>
      </c>
      <c r="N2540" s="4">
        <v>280</v>
      </c>
      <c r="O2540" s="4" t="s">
        <v>6752</v>
      </c>
    </row>
    <row r="2541" spans="1:15" ht="15.75" customHeight="1">
      <c r="A2541" s="4" t="s">
        <v>49</v>
      </c>
      <c r="B2541" s="4">
        <v>2673720</v>
      </c>
      <c r="C2541" s="4">
        <v>2673971</v>
      </c>
      <c r="E2541" s="4" t="s">
        <v>55</v>
      </c>
      <c r="F2541" s="4" t="s">
        <v>348</v>
      </c>
      <c r="I2541" s="4" t="s">
        <v>52</v>
      </c>
      <c r="L2541" s="4" t="s">
        <v>767</v>
      </c>
      <c r="M2541" s="4" t="s">
        <v>348</v>
      </c>
      <c r="N2541" s="4">
        <v>83</v>
      </c>
      <c r="O2541" s="4" t="s">
        <v>6753</v>
      </c>
    </row>
    <row r="2542" spans="1:15" ht="15.75" customHeight="1">
      <c r="A2542" s="4" t="s">
        <v>49</v>
      </c>
      <c r="B2542" s="4">
        <v>2674053</v>
      </c>
      <c r="C2542" s="4">
        <v>2674166</v>
      </c>
      <c r="E2542" s="4" t="s">
        <v>50</v>
      </c>
      <c r="F2542" s="4" t="s">
        <v>345</v>
      </c>
      <c r="I2542" s="4" t="s">
        <v>346</v>
      </c>
      <c r="O2542" s="4" t="s">
        <v>6754</v>
      </c>
    </row>
    <row r="2543" spans="1:15" ht="15.75" customHeight="1">
      <c r="A2543" s="4" t="s">
        <v>49</v>
      </c>
      <c r="B2543" s="4">
        <v>2674181</v>
      </c>
      <c r="C2543" s="4">
        <v>2674489</v>
      </c>
      <c r="E2543" s="4" t="s">
        <v>50</v>
      </c>
      <c r="F2543" s="4" t="s">
        <v>6755</v>
      </c>
      <c r="I2543" s="4" t="s">
        <v>52</v>
      </c>
      <c r="L2543" s="4" t="s">
        <v>6756</v>
      </c>
      <c r="M2543" s="4" t="s">
        <v>6755</v>
      </c>
      <c r="N2543" s="4">
        <v>102</v>
      </c>
      <c r="O2543" s="4" t="s">
        <v>6757</v>
      </c>
    </row>
    <row r="2544" spans="1:15" ht="15.75" customHeight="1">
      <c r="A2544" s="4" t="s">
        <v>49</v>
      </c>
      <c r="B2544" s="4">
        <v>2674545</v>
      </c>
      <c r="C2544" s="4">
        <v>2675996</v>
      </c>
      <c r="E2544" s="4" t="s">
        <v>50</v>
      </c>
      <c r="F2544" s="4" t="s">
        <v>5673</v>
      </c>
      <c r="I2544" s="4" t="s">
        <v>52</v>
      </c>
      <c r="L2544" s="4" t="s">
        <v>6758</v>
      </c>
      <c r="M2544" s="4" t="s">
        <v>5673</v>
      </c>
      <c r="N2544" s="4">
        <v>483</v>
      </c>
      <c r="O2544" s="4" t="s">
        <v>6759</v>
      </c>
    </row>
    <row r="2545" spans="1:15" ht="15.75" customHeight="1">
      <c r="A2545" s="4" t="s">
        <v>49</v>
      </c>
      <c r="B2545" s="4">
        <v>2676207</v>
      </c>
      <c r="C2545" s="4">
        <v>2676401</v>
      </c>
      <c r="E2545" s="4" t="s">
        <v>55</v>
      </c>
      <c r="F2545" s="4" t="s">
        <v>56</v>
      </c>
      <c r="I2545" s="4" t="s">
        <v>52</v>
      </c>
      <c r="L2545" s="4" t="s">
        <v>6760</v>
      </c>
      <c r="M2545" s="4" t="s">
        <v>56</v>
      </c>
      <c r="N2545" s="4">
        <v>64</v>
      </c>
      <c r="O2545" s="4" t="s">
        <v>6761</v>
      </c>
    </row>
    <row r="2546" spans="1:15" ht="15.75" customHeight="1">
      <c r="A2546" s="4" t="s">
        <v>49</v>
      </c>
      <c r="B2546" s="4">
        <v>2676851</v>
      </c>
      <c r="C2546" s="4">
        <v>2677531</v>
      </c>
      <c r="E2546" s="4" t="s">
        <v>55</v>
      </c>
      <c r="F2546" s="4" t="s">
        <v>6762</v>
      </c>
      <c r="I2546" s="4" t="s">
        <v>52</v>
      </c>
      <c r="L2546" s="4" t="s">
        <v>6763</v>
      </c>
      <c r="M2546" s="4" t="s">
        <v>6762</v>
      </c>
      <c r="N2546" s="4">
        <v>226</v>
      </c>
      <c r="O2546" s="4" t="s">
        <v>6764</v>
      </c>
    </row>
    <row r="2547" spans="1:15" ht="15.75" customHeight="1">
      <c r="A2547" s="4" t="s">
        <v>49</v>
      </c>
      <c r="B2547" s="4">
        <v>2677553</v>
      </c>
      <c r="C2547" s="4">
        <v>2678491</v>
      </c>
      <c r="E2547" s="4" t="s">
        <v>55</v>
      </c>
      <c r="F2547" s="4" t="s">
        <v>6765</v>
      </c>
      <c r="G2547" s="4" t="s">
        <v>6766</v>
      </c>
      <c r="I2547" s="4" t="s">
        <v>52</v>
      </c>
      <c r="L2547" s="4" t="s">
        <v>6767</v>
      </c>
      <c r="M2547" s="4" t="s">
        <v>6765</v>
      </c>
      <c r="N2547" s="4">
        <v>312</v>
      </c>
      <c r="O2547" s="4" t="s">
        <v>6768</v>
      </c>
    </row>
    <row r="2548" spans="1:15" ht="15.75" customHeight="1">
      <c r="A2548" s="4" t="s">
        <v>49</v>
      </c>
      <c r="B2548" s="4">
        <v>2678606</v>
      </c>
      <c r="C2548" s="4">
        <v>2679607</v>
      </c>
      <c r="E2548" s="4" t="s">
        <v>55</v>
      </c>
      <c r="F2548" s="4" t="s">
        <v>6769</v>
      </c>
      <c r="I2548" s="4" t="s">
        <v>52</v>
      </c>
      <c r="L2548" s="4" t="s">
        <v>6770</v>
      </c>
      <c r="M2548" s="4" t="s">
        <v>6769</v>
      </c>
      <c r="N2548" s="4">
        <v>333</v>
      </c>
      <c r="O2548" s="4" t="s">
        <v>6771</v>
      </c>
    </row>
    <row r="2549" spans="1:15" ht="15.75" customHeight="1">
      <c r="A2549" s="4" t="s">
        <v>49</v>
      </c>
      <c r="B2549" s="4">
        <v>2679646</v>
      </c>
      <c r="C2549" s="4">
        <v>2680164</v>
      </c>
      <c r="E2549" s="4" t="s">
        <v>55</v>
      </c>
      <c r="F2549" s="4" t="s">
        <v>6772</v>
      </c>
      <c r="G2549" s="4" t="s">
        <v>6773</v>
      </c>
      <c r="I2549" s="4" t="s">
        <v>52</v>
      </c>
      <c r="L2549" s="4" t="s">
        <v>6774</v>
      </c>
      <c r="M2549" s="4" t="s">
        <v>6772</v>
      </c>
      <c r="N2549" s="4">
        <v>172</v>
      </c>
      <c r="O2549" s="4" t="s">
        <v>6775</v>
      </c>
    </row>
    <row r="2550" spans="1:15" ht="15.75" customHeight="1">
      <c r="A2550" s="4" t="s">
        <v>49</v>
      </c>
      <c r="B2550" s="4">
        <v>2680209</v>
      </c>
      <c r="C2550" s="4">
        <v>2680637</v>
      </c>
      <c r="E2550" s="4" t="s">
        <v>55</v>
      </c>
      <c r="F2550" s="4" t="s">
        <v>6776</v>
      </c>
      <c r="G2550" s="4" t="s">
        <v>6777</v>
      </c>
      <c r="I2550" s="4" t="s">
        <v>52</v>
      </c>
      <c r="L2550" s="4" t="s">
        <v>6778</v>
      </c>
      <c r="M2550" s="4" t="s">
        <v>6776</v>
      </c>
      <c r="N2550" s="4">
        <v>142</v>
      </c>
      <c r="O2550" s="4" t="s">
        <v>6779</v>
      </c>
    </row>
    <row r="2551" spans="1:15" ht="15.75" customHeight="1">
      <c r="A2551" s="4" t="s">
        <v>49</v>
      </c>
      <c r="B2551" s="4">
        <v>2680642</v>
      </c>
      <c r="C2551" s="4">
        <v>2681418</v>
      </c>
      <c r="E2551" s="4" t="s">
        <v>55</v>
      </c>
      <c r="F2551" s="4" t="s">
        <v>1094</v>
      </c>
      <c r="I2551" s="4" t="s">
        <v>52</v>
      </c>
      <c r="L2551" s="4" t="s">
        <v>6780</v>
      </c>
      <c r="M2551" s="4" t="s">
        <v>1094</v>
      </c>
      <c r="N2551" s="4">
        <v>258</v>
      </c>
      <c r="O2551" s="4" t="s">
        <v>6781</v>
      </c>
    </row>
    <row r="2552" spans="1:15" ht="15.75" customHeight="1">
      <c r="A2552" s="4" t="s">
        <v>49</v>
      </c>
      <c r="B2552" s="4">
        <v>2681863</v>
      </c>
      <c r="C2552" s="4">
        <v>2682489</v>
      </c>
      <c r="E2552" s="4" t="s">
        <v>55</v>
      </c>
      <c r="F2552" s="4" t="s">
        <v>1654</v>
      </c>
      <c r="I2552" s="4" t="s">
        <v>52</v>
      </c>
      <c r="L2552" s="4" t="s">
        <v>6782</v>
      </c>
      <c r="M2552" s="4" t="s">
        <v>1654</v>
      </c>
      <c r="N2552" s="4">
        <v>208</v>
      </c>
      <c r="O2552" s="4" t="s">
        <v>6783</v>
      </c>
    </row>
    <row r="2553" spans="1:15" ht="15.75" customHeight="1">
      <c r="A2553" s="4" t="s">
        <v>49</v>
      </c>
      <c r="B2553" s="4">
        <v>2682550</v>
      </c>
      <c r="C2553" s="4">
        <v>2683671</v>
      </c>
      <c r="E2553" s="4" t="s">
        <v>50</v>
      </c>
      <c r="F2553" s="4" t="s">
        <v>6784</v>
      </c>
      <c r="I2553" s="4" t="s">
        <v>52</v>
      </c>
      <c r="L2553" s="4" t="s">
        <v>6785</v>
      </c>
      <c r="M2553" s="4" t="s">
        <v>6784</v>
      </c>
      <c r="N2553" s="4">
        <v>373</v>
      </c>
      <c r="O2553" s="4" t="s">
        <v>6786</v>
      </c>
    </row>
    <row r="2554" spans="1:15" ht="15.75" customHeight="1">
      <c r="A2554" s="4" t="s">
        <v>49</v>
      </c>
      <c r="B2554" s="4">
        <v>2683671</v>
      </c>
      <c r="C2554" s="4">
        <v>2686796</v>
      </c>
      <c r="E2554" s="4" t="s">
        <v>50</v>
      </c>
      <c r="F2554" s="4" t="s">
        <v>2933</v>
      </c>
      <c r="I2554" s="4" t="s">
        <v>52</v>
      </c>
      <c r="L2554" s="4" t="s">
        <v>6787</v>
      </c>
      <c r="M2554" s="4" t="s">
        <v>2933</v>
      </c>
      <c r="N2554" s="4">
        <v>1041</v>
      </c>
      <c r="O2554" s="4" t="s">
        <v>6788</v>
      </c>
    </row>
    <row r="2555" spans="1:15" ht="15.75" customHeight="1">
      <c r="A2555" s="4" t="s">
        <v>49</v>
      </c>
      <c r="B2555" s="4">
        <v>2686895</v>
      </c>
      <c r="C2555" s="4">
        <v>2687038</v>
      </c>
      <c r="E2555" s="4" t="s">
        <v>50</v>
      </c>
      <c r="F2555" s="4" t="s">
        <v>56</v>
      </c>
      <c r="I2555" s="4" t="s">
        <v>52</v>
      </c>
      <c r="L2555" s="4" t="s">
        <v>6789</v>
      </c>
      <c r="M2555" s="4" t="s">
        <v>56</v>
      </c>
      <c r="N2555" s="4">
        <v>47</v>
      </c>
      <c r="O2555" s="4" t="s">
        <v>6790</v>
      </c>
    </row>
    <row r="2556" spans="1:15" ht="15.75" customHeight="1">
      <c r="A2556" s="4" t="s">
        <v>49</v>
      </c>
      <c r="B2556" s="4">
        <v>2687704</v>
      </c>
      <c r="C2556" s="4">
        <v>2688180</v>
      </c>
      <c r="E2556" s="4" t="s">
        <v>50</v>
      </c>
      <c r="F2556" s="4" t="s">
        <v>5367</v>
      </c>
      <c r="I2556" s="4" t="s">
        <v>52</v>
      </c>
      <c r="L2556" s="4" t="s">
        <v>6791</v>
      </c>
      <c r="M2556" s="4" t="s">
        <v>5367</v>
      </c>
      <c r="N2556" s="4">
        <v>158</v>
      </c>
      <c r="O2556" s="4" t="s">
        <v>6792</v>
      </c>
    </row>
    <row r="2557" spans="1:15" ht="15.75" customHeight="1">
      <c r="A2557" s="4" t="s">
        <v>49</v>
      </c>
      <c r="B2557" s="4">
        <v>2688174</v>
      </c>
      <c r="C2557" s="4">
        <v>2688408</v>
      </c>
      <c r="E2557" s="4" t="s">
        <v>55</v>
      </c>
      <c r="F2557" s="4" t="s">
        <v>345</v>
      </c>
      <c r="I2557" s="4" t="s">
        <v>346</v>
      </c>
      <c r="O2557" s="4" t="s">
        <v>6793</v>
      </c>
    </row>
    <row r="2558" spans="1:15" ht="15.75" customHeight="1">
      <c r="A2558" s="4" t="s">
        <v>49</v>
      </c>
      <c r="B2558" s="4">
        <v>2688753</v>
      </c>
      <c r="C2558" s="4">
        <v>2689856</v>
      </c>
      <c r="E2558" s="4" t="s">
        <v>50</v>
      </c>
      <c r="F2558" s="4" t="s">
        <v>6794</v>
      </c>
      <c r="G2558" s="4" t="s">
        <v>6795</v>
      </c>
      <c r="I2558" s="4" t="s">
        <v>52</v>
      </c>
      <c r="L2558" s="4" t="s">
        <v>6796</v>
      </c>
      <c r="M2558" s="4" t="s">
        <v>6794</v>
      </c>
      <c r="N2558" s="4">
        <v>367</v>
      </c>
      <c r="O2558" s="4" t="s">
        <v>6797</v>
      </c>
    </row>
    <row r="2559" spans="1:15" ht="15.75" customHeight="1">
      <c r="A2559" s="4" t="s">
        <v>49</v>
      </c>
      <c r="B2559" s="4">
        <v>2690067</v>
      </c>
      <c r="C2559" s="4">
        <v>2690852</v>
      </c>
      <c r="E2559" s="4" t="s">
        <v>50</v>
      </c>
      <c r="F2559" s="4" t="s">
        <v>2151</v>
      </c>
      <c r="I2559" s="4" t="s">
        <v>52</v>
      </c>
      <c r="L2559" s="4" t="s">
        <v>6798</v>
      </c>
      <c r="M2559" s="4" t="s">
        <v>2151</v>
      </c>
      <c r="N2559" s="4">
        <v>261</v>
      </c>
      <c r="O2559" s="4" t="s">
        <v>6799</v>
      </c>
    </row>
    <row r="2560" spans="1:15" ht="15.75" customHeight="1">
      <c r="A2560" s="4" t="s">
        <v>49</v>
      </c>
      <c r="B2560" s="4">
        <v>2690855</v>
      </c>
      <c r="C2560" s="4">
        <v>2691523</v>
      </c>
      <c r="E2560" s="4" t="s">
        <v>50</v>
      </c>
      <c r="F2560" s="4" t="s">
        <v>1696</v>
      </c>
      <c r="I2560" s="4" t="s">
        <v>52</v>
      </c>
      <c r="L2560" s="4" t="s">
        <v>6800</v>
      </c>
      <c r="M2560" s="4" t="s">
        <v>1696</v>
      </c>
      <c r="N2560" s="4">
        <v>222</v>
      </c>
      <c r="O2560" s="4" t="s">
        <v>6801</v>
      </c>
    </row>
    <row r="2561" spans="1:15" ht="15.75" customHeight="1">
      <c r="A2561" s="4" t="s">
        <v>49</v>
      </c>
      <c r="B2561" s="4">
        <v>2691520</v>
      </c>
      <c r="C2561" s="4">
        <v>2691699</v>
      </c>
      <c r="E2561" s="4" t="s">
        <v>50</v>
      </c>
      <c r="F2561" s="4" t="s">
        <v>56</v>
      </c>
      <c r="I2561" s="4" t="s">
        <v>52</v>
      </c>
      <c r="L2561" s="4" t="s">
        <v>6802</v>
      </c>
      <c r="M2561" s="4" t="s">
        <v>56</v>
      </c>
      <c r="N2561" s="4">
        <v>59</v>
      </c>
      <c r="O2561" s="4" t="s">
        <v>6803</v>
      </c>
    </row>
    <row r="2562" spans="1:15" ht="15.75" customHeight="1">
      <c r="A2562" s="4" t="s">
        <v>49</v>
      </c>
      <c r="B2562" s="4">
        <v>2691777</v>
      </c>
      <c r="C2562" s="4">
        <v>2692301</v>
      </c>
      <c r="E2562" s="4" t="s">
        <v>50</v>
      </c>
      <c r="F2562" s="4" t="s">
        <v>6804</v>
      </c>
      <c r="I2562" s="4" t="s">
        <v>52</v>
      </c>
      <c r="L2562" s="4" t="s">
        <v>6805</v>
      </c>
      <c r="M2562" s="4" t="s">
        <v>6804</v>
      </c>
      <c r="N2562" s="4">
        <v>174</v>
      </c>
      <c r="O2562" s="4" t="s">
        <v>6806</v>
      </c>
    </row>
    <row r="2563" spans="1:15" ht="15.75" customHeight="1">
      <c r="A2563" s="4" t="s">
        <v>49</v>
      </c>
      <c r="B2563" s="4">
        <v>2692534</v>
      </c>
      <c r="C2563" s="4">
        <v>2693166</v>
      </c>
      <c r="E2563" s="4" t="s">
        <v>50</v>
      </c>
      <c r="F2563" s="4" t="s">
        <v>56</v>
      </c>
      <c r="I2563" s="4" t="s">
        <v>52</v>
      </c>
      <c r="L2563" s="4" t="s">
        <v>6807</v>
      </c>
      <c r="M2563" s="4" t="s">
        <v>56</v>
      </c>
      <c r="N2563" s="4">
        <v>210</v>
      </c>
      <c r="O2563" s="4" t="s">
        <v>6808</v>
      </c>
    </row>
    <row r="2564" spans="1:15" ht="15.75" customHeight="1">
      <c r="A2564" s="4" t="s">
        <v>49</v>
      </c>
      <c r="B2564" s="4">
        <v>2693238</v>
      </c>
      <c r="C2564" s="4">
        <v>2694059</v>
      </c>
      <c r="E2564" s="4" t="s">
        <v>55</v>
      </c>
      <c r="F2564" s="4" t="s">
        <v>4324</v>
      </c>
      <c r="G2564" s="4" t="s">
        <v>4325</v>
      </c>
      <c r="I2564" s="4" t="s">
        <v>52</v>
      </c>
      <c r="L2564" s="4" t="s">
        <v>6809</v>
      </c>
      <c r="M2564" s="4" t="s">
        <v>4324</v>
      </c>
      <c r="N2564" s="4">
        <v>273</v>
      </c>
      <c r="O2564" s="4" t="s">
        <v>6810</v>
      </c>
    </row>
    <row r="2565" spans="1:15" ht="15.75" customHeight="1">
      <c r="A2565" s="4" t="s">
        <v>49</v>
      </c>
      <c r="B2565" s="4">
        <v>2694233</v>
      </c>
      <c r="C2565" s="4">
        <v>2695294</v>
      </c>
      <c r="E2565" s="4" t="s">
        <v>55</v>
      </c>
      <c r="F2565" s="4" t="s">
        <v>56</v>
      </c>
      <c r="I2565" s="4" t="s">
        <v>52</v>
      </c>
      <c r="L2565" s="4" t="s">
        <v>6811</v>
      </c>
      <c r="M2565" s="4" t="s">
        <v>56</v>
      </c>
      <c r="N2565" s="4">
        <v>353</v>
      </c>
      <c r="O2565" s="4" t="s">
        <v>6812</v>
      </c>
    </row>
    <row r="2566" spans="1:15" ht="15.75" customHeight="1">
      <c r="A2566" s="4" t="s">
        <v>49</v>
      </c>
      <c r="B2566" s="4">
        <v>2695287</v>
      </c>
      <c r="C2566" s="4">
        <v>2696117</v>
      </c>
      <c r="E2566" s="4" t="s">
        <v>55</v>
      </c>
      <c r="F2566" s="4" t="s">
        <v>6813</v>
      </c>
      <c r="I2566" s="4" t="s">
        <v>52</v>
      </c>
      <c r="L2566" s="4" t="s">
        <v>6814</v>
      </c>
      <c r="M2566" s="4" t="s">
        <v>6813</v>
      </c>
      <c r="N2566" s="4">
        <v>276</v>
      </c>
      <c r="O2566" s="4" t="s">
        <v>6815</v>
      </c>
    </row>
    <row r="2567" spans="1:15" ht="15.75" customHeight="1">
      <c r="A2567" s="4" t="s">
        <v>49</v>
      </c>
      <c r="B2567" s="4">
        <v>2696347</v>
      </c>
      <c r="C2567" s="4">
        <v>2696997</v>
      </c>
      <c r="E2567" s="4" t="s">
        <v>50</v>
      </c>
      <c r="F2567" s="4" t="s">
        <v>1108</v>
      </c>
      <c r="I2567" s="4" t="s">
        <v>52</v>
      </c>
      <c r="L2567" s="4" t="s">
        <v>6816</v>
      </c>
      <c r="M2567" s="4" t="s">
        <v>1108</v>
      </c>
      <c r="N2567" s="4">
        <v>216</v>
      </c>
      <c r="O2567" s="4" t="s">
        <v>6817</v>
      </c>
    </row>
    <row r="2568" spans="1:15" ht="15.75" customHeight="1">
      <c r="A2568" s="4" t="s">
        <v>49</v>
      </c>
      <c r="B2568" s="4">
        <v>2697708</v>
      </c>
      <c r="C2568" s="4">
        <v>2700095</v>
      </c>
      <c r="E2568" s="4" t="s">
        <v>50</v>
      </c>
      <c r="F2568" s="4" t="s">
        <v>6818</v>
      </c>
      <c r="I2568" s="4" t="s">
        <v>52</v>
      </c>
      <c r="L2568" s="4" t="s">
        <v>6819</v>
      </c>
      <c r="M2568" s="4" t="s">
        <v>6818</v>
      </c>
      <c r="N2568" s="4">
        <v>795</v>
      </c>
      <c r="O2568" s="4" t="s">
        <v>6820</v>
      </c>
    </row>
    <row r="2569" spans="1:15" ht="15.75" customHeight="1">
      <c r="A2569" s="4" t="s">
        <v>49</v>
      </c>
      <c r="B2569" s="4">
        <v>2700578</v>
      </c>
      <c r="C2569" s="4">
        <v>2701534</v>
      </c>
      <c r="E2569" s="4" t="s">
        <v>50</v>
      </c>
      <c r="F2569" s="4" t="s">
        <v>4407</v>
      </c>
      <c r="I2569" s="4" t="s">
        <v>52</v>
      </c>
      <c r="L2569" s="4" t="s">
        <v>6821</v>
      </c>
      <c r="M2569" s="4" t="s">
        <v>4407</v>
      </c>
      <c r="N2569" s="4">
        <v>318</v>
      </c>
      <c r="O2569" s="4" t="s">
        <v>6822</v>
      </c>
    </row>
    <row r="2570" spans="1:15" ht="15.75" customHeight="1">
      <c r="A2570" s="4" t="s">
        <v>49</v>
      </c>
      <c r="B2570" s="4">
        <v>2702094</v>
      </c>
      <c r="C2570" s="4">
        <v>2703062</v>
      </c>
      <c r="E2570" s="4" t="s">
        <v>50</v>
      </c>
      <c r="F2570" s="4" t="s">
        <v>4407</v>
      </c>
      <c r="I2570" s="4" t="s">
        <v>52</v>
      </c>
      <c r="L2570" s="4" t="s">
        <v>6823</v>
      </c>
      <c r="M2570" s="4" t="s">
        <v>4407</v>
      </c>
      <c r="N2570" s="4">
        <v>322</v>
      </c>
      <c r="O2570" s="4" t="s">
        <v>6824</v>
      </c>
    </row>
    <row r="2571" spans="1:15" ht="15.75" customHeight="1">
      <c r="A2571" s="4" t="s">
        <v>49</v>
      </c>
      <c r="B2571" s="4">
        <v>2703265</v>
      </c>
      <c r="C2571" s="4">
        <v>2704236</v>
      </c>
      <c r="E2571" s="4" t="s">
        <v>50</v>
      </c>
      <c r="F2571" s="4" t="s">
        <v>76</v>
      </c>
      <c r="I2571" s="4" t="s">
        <v>52</v>
      </c>
      <c r="L2571" s="4" t="s">
        <v>6825</v>
      </c>
      <c r="M2571" s="4" t="s">
        <v>76</v>
      </c>
      <c r="N2571" s="4">
        <v>323</v>
      </c>
      <c r="O2571" s="4" t="s">
        <v>6826</v>
      </c>
    </row>
    <row r="2572" spans="1:15" ht="15.75" customHeight="1">
      <c r="A2572" s="4" t="s">
        <v>49</v>
      </c>
      <c r="B2572" s="4">
        <v>2704239</v>
      </c>
      <c r="C2572" s="4">
        <v>2705042</v>
      </c>
      <c r="E2572" s="4" t="s">
        <v>50</v>
      </c>
      <c r="F2572" s="4" t="s">
        <v>73</v>
      </c>
      <c r="I2572" s="4" t="s">
        <v>52</v>
      </c>
      <c r="L2572" s="4" t="s">
        <v>6827</v>
      </c>
      <c r="M2572" s="4" t="s">
        <v>73</v>
      </c>
      <c r="N2572" s="4">
        <v>267</v>
      </c>
      <c r="O2572" s="4" t="s">
        <v>6828</v>
      </c>
    </row>
    <row r="2573" spans="1:15" ht="15.75" customHeight="1">
      <c r="A2573" s="4" t="s">
        <v>49</v>
      </c>
      <c r="B2573" s="4">
        <v>2705270</v>
      </c>
      <c r="C2573" s="4">
        <v>2706229</v>
      </c>
      <c r="E2573" s="4" t="s">
        <v>55</v>
      </c>
      <c r="F2573" s="4" t="s">
        <v>6829</v>
      </c>
      <c r="I2573" s="4" t="s">
        <v>52</v>
      </c>
      <c r="L2573" s="4" t="s">
        <v>6830</v>
      </c>
      <c r="M2573" s="4" t="s">
        <v>6829</v>
      </c>
      <c r="N2573" s="4">
        <v>319</v>
      </c>
      <c r="O2573" s="4" t="s">
        <v>6831</v>
      </c>
    </row>
    <row r="2574" spans="1:15" ht="15.75" customHeight="1">
      <c r="A2574" s="4" t="s">
        <v>49</v>
      </c>
      <c r="B2574" s="4">
        <v>2706339</v>
      </c>
      <c r="C2574" s="4">
        <v>2709002</v>
      </c>
      <c r="E2574" s="4" t="s">
        <v>55</v>
      </c>
      <c r="F2574" s="4" t="s">
        <v>2464</v>
      </c>
      <c r="I2574" s="4" t="s">
        <v>52</v>
      </c>
      <c r="L2574" s="4" t="s">
        <v>6832</v>
      </c>
      <c r="M2574" s="4" t="s">
        <v>2464</v>
      </c>
      <c r="N2574" s="4">
        <v>887</v>
      </c>
      <c r="O2574" s="4" t="s">
        <v>6833</v>
      </c>
    </row>
    <row r="2575" spans="1:15" ht="15.75" customHeight="1">
      <c r="A2575" s="4" t="s">
        <v>49</v>
      </c>
      <c r="B2575" s="4">
        <v>2709241</v>
      </c>
      <c r="C2575" s="4">
        <v>2710218</v>
      </c>
      <c r="E2575" s="4" t="s">
        <v>55</v>
      </c>
      <c r="F2575" s="4" t="s">
        <v>328</v>
      </c>
      <c r="I2575" s="4" t="s">
        <v>52</v>
      </c>
      <c r="L2575" s="4" t="s">
        <v>6834</v>
      </c>
      <c r="M2575" s="4" t="s">
        <v>328</v>
      </c>
      <c r="N2575" s="4">
        <v>325</v>
      </c>
      <c r="O2575" s="4" t="s">
        <v>6835</v>
      </c>
    </row>
    <row r="2576" spans="1:15" ht="15.75" customHeight="1">
      <c r="A2576" s="4" t="s">
        <v>49</v>
      </c>
      <c r="B2576" s="4">
        <v>2710254</v>
      </c>
      <c r="C2576" s="4">
        <v>2712404</v>
      </c>
      <c r="E2576" s="4" t="s">
        <v>55</v>
      </c>
      <c r="F2576" s="4" t="s">
        <v>2844</v>
      </c>
      <c r="I2576" s="4" t="s">
        <v>52</v>
      </c>
      <c r="L2576" s="4" t="s">
        <v>6836</v>
      </c>
      <c r="M2576" s="4" t="s">
        <v>2844</v>
      </c>
      <c r="N2576" s="4">
        <v>716</v>
      </c>
      <c r="O2576" s="4" t="s">
        <v>6837</v>
      </c>
    </row>
    <row r="2577" spans="1:15" ht="15.75" customHeight="1">
      <c r="A2577" s="4" t="s">
        <v>49</v>
      </c>
      <c r="B2577" s="4">
        <v>2712391</v>
      </c>
      <c r="C2577" s="4">
        <v>2712798</v>
      </c>
      <c r="E2577" s="4" t="s">
        <v>55</v>
      </c>
      <c r="F2577" s="4" t="s">
        <v>3179</v>
      </c>
      <c r="I2577" s="4" t="s">
        <v>52</v>
      </c>
      <c r="L2577" s="4" t="s">
        <v>6838</v>
      </c>
      <c r="M2577" s="4" t="s">
        <v>3179</v>
      </c>
      <c r="N2577" s="4">
        <v>135</v>
      </c>
      <c r="O2577" s="4" t="s">
        <v>6839</v>
      </c>
    </row>
    <row r="2578" spans="1:15" ht="15.75" customHeight="1">
      <c r="A2578" s="4" t="s">
        <v>49</v>
      </c>
      <c r="B2578" s="4">
        <v>2712956</v>
      </c>
      <c r="C2578" s="4">
        <v>2713651</v>
      </c>
      <c r="E2578" s="4" t="s">
        <v>50</v>
      </c>
      <c r="F2578" s="4" t="s">
        <v>194</v>
      </c>
      <c r="I2578" s="4" t="s">
        <v>52</v>
      </c>
      <c r="L2578" s="4" t="s">
        <v>6840</v>
      </c>
      <c r="M2578" s="4" t="s">
        <v>194</v>
      </c>
      <c r="N2578" s="4">
        <v>231</v>
      </c>
      <c r="O2578" s="4" t="s">
        <v>6841</v>
      </c>
    </row>
    <row r="2579" spans="1:15" ht="15.75" customHeight="1">
      <c r="A2579" s="4" t="s">
        <v>49</v>
      </c>
      <c r="B2579" s="4">
        <v>2713648</v>
      </c>
      <c r="C2579" s="4">
        <v>2714943</v>
      </c>
      <c r="E2579" s="4" t="s">
        <v>50</v>
      </c>
      <c r="F2579" s="4" t="s">
        <v>197</v>
      </c>
      <c r="I2579" s="4" t="s">
        <v>52</v>
      </c>
      <c r="L2579" s="4" t="s">
        <v>6842</v>
      </c>
      <c r="M2579" s="4" t="s">
        <v>197</v>
      </c>
      <c r="N2579" s="4">
        <v>431</v>
      </c>
      <c r="O2579" s="4" t="s">
        <v>6843</v>
      </c>
    </row>
    <row r="2580" spans="1:15" ht="15.75" customHeight="1">
      <c r="A2580" s="4" t="s">
        <v>49</v>
      </c>
      <c r="B2580" s="4">
        <v>2715059</v>
      </c>
      <c r="C2580" s="4">
        <v>2715439</v>
      </c>
      <c r="E2580" s="4" t="s">
        <v>55</v>
      </c>
      <c r="F2580" s="4" t="s">
        <v>2710</v>
      </c>
      <c r="I2580" s="4" t="s">
        <v>52</v>
      </c>
      <c r="L2580" s="4" t="s">
        <v>6844</v>
      </c>
      <c r="M2580" s="4" t="s">
        <v>2710</v>
      </c>
      <c r="N2580" s="4">
        <v>126</v>
      </c>
      <c r="O2580" s="4" t="s">
        <v>6845</v>
      </c>
    </row>
    <row r="2581" spans="1:15" ht="15.75" customHeight="1">
      <c r="A2581" s="4" t="s">
        <v>49</v>
      </c>
      <c r="B2581" s="4">
        <v>2715532</v>
      </c>
      <c r="C2581" s="4">
        <v>2717016</v>
      </c>
      <c r="E2581" s="4" t="s">
        <v>55</v>
      </c>
      <c r="F2581" s="4" t="s">
        <v>6846</v>
      </c>
      <c r="I2581" s="4" t="s">
        <v>52</v>
      </c>
      <c r="L2581" s="4" t="s">
        <v>6847</v>
      </c>
      <c r="M2581" s="4" t="s">
        <v>6846</v>
      </c>
      <c r="N2581" s="4">
        <v>494</v>
      </c>
      <c r="O2581" s="4" t="s">
        <v>6848</v>
      </c>
    </row>
    <row r="2582" spans="1:15" ht="15.75" customHeight="1">
      <c r="A2582" s="4" t="s">
        <v>49</v>
      </c>
      <c r="B2582" s="4">
        <v>2717217</v>
      </c>
      <c r="C2582" s="4">
        <v>2718077</v>
      </c>
      <c r="E2582" s="4" t="s">
        <v>50</v>
      </c>
      <c r="F2582" s="4" t="s">
        <v>663</v>
      </c>
      <c r="I2582" s="4" t="s">
        <v>52</v>
      </c>
      <c r="L2582" s="4" t="s">
        <v>6849</v>
      </c>
      <c r="M2582" s="4" t="s">
        <v>663</v>
      </c>
      <c r="N2582" s="4">
        <v>286</v>
      </c>
      <c r="O2582" s="4" t="s">
        <v>6850</v>
      </c>
    </row>
    <row r="2583" spans="1:15" ht="15.75" customHeight="1">
      <c r="A2583" s="4" t="s">
        <v>49</v>
      </c>
      <c r="B2583" s="4">
        <v>2718153</v>
      </c>
      <c r="C2583" s="4">
        <v>2718998</v>
      </c>
      <c r="E2583" s="4" t="s">
        <v>50</v>
      </c>
      <c r="F2583" s="4" t="s">
        <v>6851</v>
      </c>
      <c r="I2583" s="4" t="s">
        <v>52</v>
      </c>
      <c r="L2583" s="4" t="s">
        <v>6852</v>
      </c>
      <c r="M2583" s="4" t="s">
        <v>6851</v>
      </c>
      <c r="N2583" s="4">
        <v>281</v>
      </c>
      <c r="O2583" s="4" t="s">
        <v>6853</v>
      </c>
    </row>
    <row r="2584" spans="1:15" ht="15.75" customHeight="1">
      <c r="A2584" s="4" t="s">
        <v>49</v>
      </c>
      <c r="B2584" s="4">
        <v>2719043</v>
      </c>
      <c r="C2584" s="4">
        <v>2719702</v>
      </c>
      <c r="E2584" s="4" t="s">
        <v>50</v>
      </c>
      <c r="F2584" s="4" t="s">
        <v>1327</v>
      </c>
      <c r="I2584" s="4" t="s">
        <v>52</v>
      </c>
      <c r="L2584" s="4" t="s">
        <v>6854</v>
      </c>
      <c r="M2584" s="4" t="s">
        <v>1327</v>
      </c>
      <c r="N2584" s="4">
        <v>219</v>
      </c>
      <c r="O2584" s="4" t="s">
        <v>6855</v>
      </c>
    </row>
    <row r="2585" spans="1:15" ht="15.75" customHeight="1">
      <c r="A2585" s="4" t="s">
        <v>49</v>
      </c>
      <c r="B2585" s="4">
        <v>2719772</v>
      </c>
      <c r="C2585" s="4">
        <v>2720878</v>
      </c>
      <c r="E2585" s="4" t="s">
        <v>50</v>
      </c>
      <c r="F2585" s="4" t="s">
        <v>6856</v>
      </c>
      <c r="I2585" s="4" t="s">
        <v>52</v>
      </c>
      <c r="L2585" s="4" t="s">
        <v>6857</v>
      </c>
      <c r="M2585" s="4" t="s">
        <v>6856</v>
      </c>
      <c r="N2585" s="4">
        <v>368</v>
      </c>
      <c r="O2585" s="4" t="s">
        <v>6858</v>
      </c>
    </row>
    <row r="2586" spans="1:15" ht="15.75" customHeight="1">
      <c r="A2586" s="4" t="s">
        <v>49</v>
      </c>
      <c r="B2586" s="4">
        <v>2721122</v>
      </c>
      <c r="C2586" s="4">
        <v>2721194</v>
      </c>
      <c r="E2586" s="4" t="s">
        <v>55</v>
      </c>
      <c r="F2586" s="4" t="s">
        <v>2551</v>
      </c>
      <c r="I2586" s="4" t="s">
        <v>302</v>
      </c>
      <c r="O2586" s="4" t="s">
        <v>6859</v>
      </c>
    </row>
    <row r="2587" spans="1:15" ht="15.75" customHeight="1">
      <c r="A2587" s="4" t="s">
        <v>49</v>
      </c>
      <c r="B2587" s="4">
        <v>2721216</v>
      </c>
      <c r="C2587" s="4">
        <v>2721288</v>
      </c>
      <c r="E2587" s="4" t="s">
        <v>55</v>
      </c>
      <c r="F2587" s="4" t="s">
        <v>2551</v>
      </c>
      <c r="I2587" s="4" t="s">
        <v>302</v>
      </c>
      <c r="O2587" s="4" t="s">
        <v>6860</v>
      </c>
    </row>
    <row r="2588" spans="1:15" ht="15.75" customHeight="1">
      <c r="A2588" s="4" t="s">
        <v>49</v>
      </c>
      <c r="B2588" s="4">
        <v>2721400</v>
      </c>
      <c r="C2588" s="4">
        <v>2722440</v>
      </c>
      <c r="E2588" s="4" t="s">
        <v>55</v>
      </c>
      <c r="F2588" s="4" t="s">
        <v>6861</v>
      </c>
      <c r="I2588" s="4" t="s">
        <v>52</v>
      </c>
      <c r="L2588" s="4" t="s">
        <v>6862</v>
      </c>
      <c r="M2588" s="4" t="s">
        <v>6861</v>
      </c>
      <c r="N2588" s="4">
        <v>346</v>
      </c>
      <c r="O2588" s="4" t="s">
        <v>6863</v>
      </c>
    </row>
    <row r="2589" spans="1:15" ht="15.75" customHeight="1">
      <c r="A2589" s="4" t="s">
        <v>49</v>
      </c>
      <c r="B2589" s="4">
        <v>2722458</v>
      </c>
      <c r="C2589" s="4">
        <v>2722796</v>
      </c>
      <c r="E2589" s="4" t="s">
        <v>55</v>
      </c>
      <c r="F2589" s="4" t="s">
        <v>2651</v>
      </c>
      <c r="I2589" s="4" t="s">
        <v>52</v>
      </c>
      <c r="L2589" s="4" t="s">
        <v>6864</v>
      </c>
      <c r="M2589" s="4" t="s">
        <v>2651</v>
      </c>
      <c r="N2589" s="4">
        <v>112</v>
      </c>
      <c r="O2589" s="4" t="s">
        <v>6865</v>
      </c>
    </row>
    <row r="2590" spans="1:15" ht="15.75" customHeight="1">
      <c r="A2590" s="4" t="s">
        <v>49</v>
      </c>
      <c r="B2590" s="4">
        <v>2722957</v>
      </c>
      <c r="C2590" s="4">
        <v>2723262</v>
      </c>
      <c r="E2590" s="4" t="s">
        <v>55</v>
      </c>
      <c r="F2590" s="4" t="s">
        <v>6866</v>
      </c>
      <c r="I2590" s="4" t="s">
        <v>52</v>
      </c>
      <c r="L2590" s="4" t="s">
        <v>6867</v>
      </c>
      <c r="M2590" s="4" t="s">
        <v>6866</v>
      </c>
      <c r="N2590" s="4">
        <v>101</v>
      </c>
      <c r="O2590" s="4" t="s">
        <v>6868</v>
      </c>
    </row>
    <row r="2591" spans="1:15" ht="15.75" customHeight="1">
      <c r="A2591" s="4" t="s">
        <v>49</v>
      </c>
      <c r="B2591" s="4">
        <v>2723418</v>
      </c>
      <c r="C2591" s="4">
        <v>2723717</v>
      </c>
      <c r="E2591" s="4" t="s">
        <v>50</v>
      </c>
      <c r="F2591" s="4" t="s">
        <v>56</v>
      </c>
      <c r="I2591" s="4" t="s">
        <v>52</v>
      </c>
      <c r="L2591" s="4" t="s">
        <v>6869</v>
      </c>
      <c r="M2591" s="4" t="s">
        <v>56</v>
      </c>
      <c r="N2591" s="4">
        <v>99</v>
      </c>
      <c r="O2591" s="4" t="s">
        <v>6870</v>
      </c>
    </row>
    <row r="2592" spans="1:15" ht="15.75" customHeight="1">
      <c r="A2592" s="4" t="s">
        <v>49</v>
      </c>
      <c r="B2592" s="4">
        <v>2723777</v>
      </c>
      <c r="C2592" s="4">
        <v>2724799</v>
      </c>
      <c r="E2592" s="4" t="s">
        <v>55</v>
      </c>
      <c r="F2592" s="4" t="s">
        <v>4180</v>
      </c>
      <c r="I2592" s="4" t="s">
        <v>52</v>
      </c>
      <c r="L2592" s="4" t="s">
        <v>6871</v>
      </c>
      <c r="M2592" s="4" t="s">
        <v>4180</v>
      </c>
      <c r="N2592" s="4">
        <v>340</v>
      </c>
      <c r="O2592" s="4" t="s">
        <v>6872</v>
      </c>
    </row>
    <row r="2593" spans="1:15" ht="15.75" customHeight="1">
      <c r="A2593" s="4" t="s">
        <v>49</v>
      </c>
      <c r="B2593" s="4">
        <v>2725052</v>
      </c>
      <c r="C2593" s="4">
        <v>2725414</v>
      </c>
      <c r="E2593" s="4" t="s">
        <v>50</v>
      </c>
      <c r="F2593" s="4" t="s">
        <v>56</v>
      </c>
      <c r="I2593" s="4" t="s">
        <v>52</v>
      </c>
      <c r="L2593" s="4" t="s">
        <v>6873</v>
      </c>
      <c r="M2593" s="4" t="s">
        <v>56</v>
      </c>
      <c r="N2593" s="4">
        <v>120</v>
      </c>
      <c r="O2593" s="4" t="s">
        <v>6874</v>
      </c>
    </row>
    <row r="2594" spans="1:15" ht="15.75" customHeight="1">
      <c r="A2594" s="4" t="s">
        <v>49</v>
      </c>
      <c r="B2594" s="4">
        <v>2725552</v>
      </c>
      <c r="C2594" s="4">
        <v>2726031</v>
      </c>
      <c r="E2594" s="4" t="s">
        <v>55</v>
      </c>
      <c r="F2594" s="4" t="s">
        <v>56</v>
      </c>
      <c r="I2594" s="4" t="s">
        <v>52</v>
      </c>
      <c r="L2594" s="4" t="s">
        <v>6875</v>
      </c>
      <c r="M2594" s="4" t="s">
        <v>56</v>
      </c>
      <c r="N2594" s="4">
        <v>159</v>
      </c>
      <c r="O2594" s="4" t="s">
        <v>6876</v>
      </c>
    </row>
    <row r="2595" spans="1:15" ht="15.75" customHeight="1">
      <c r="A2595" s="4" t="s">
        <v>49</v>
      </c>
      <c r="B2595" s="4">
        <v>2726024</v>
      </c>
      <c r="C2595" s="4">
        <v>2727190</v>
      </c>
      <c r="E2595" s="4" t="s">
        <v>55</v>
      </c>
      <c r="F2595" s="4" t="s">
        <v>2378</v>
      </c>
      <c r="I2595" s="4" t="s">
        <v>52</v>
      </c>
      <c r="L2595" s="4" t="s">
        <v>6877</v>
      </c>
      <c r="M2595" s="4" t="s">
        <v>2378</v>
      </c>
      <c r="N2595" s="4">
        <v>388</v>
      </c>
      <c r="O2595" s="4" t="s">
        <v>6878</v>
      </c>
    </row>
    <row r="2596" spans="1:15" ht="15.75" customHeight="1">
      <c r="A2596" s="4" t="s">
        <v>49</v>
      </c>
      <c r="B2596" s="4">
        <v>2727695</v>
      </c>
      <c r="C2596" s="4">
        <v>2727889</v>
      </c>
      <c r="E2596" s="4" t="s">
        <v>50</v>
      </c>
      <c r="F2596" s="4" t="s">
        <v>56</v>
      </c>
      <c r="I2596" s="4" t="s">
        <v>52</v>
      </c>
      <c r="L2596" s="4" t="s">
        <v>6879</v>
      </c>
      <c r="M2596" s="4" t="s">
        <v>56</v>
      </c>
      <c r="N2596" s="4">
        <v>64</v>
      </c>
      <c r="O2596" s="4" t="s">
        <v>6880</v>
      </c>
    </row>
    <row r="2597" spans="1:15" ht="15.75" customHeight="1">
      <c r="A2597" s="4" t="s">
        <v>49</v>
      </c>
      <c r="B2597" s="4">
        <v>2728018</v>
      </c>
      <c r="C2597" s="4">
        <v>2728644</v>
      </c>
      <c r="E2597" s="4" t="s">
        <v>50</v>
      </c>
      <c r="F2597" s="4" t="s">
        <v>6881</v>
      </c>
      <c r="G2597" s="4" t="s">
        <v>6882</v>
      </c>
      <c r="I2597" s="4" t="s">
        <v>52</v>
      </c>
      <c r="L2597" s="4" t="s">
        <v>6883</v>
      </c>
      <c r="M2597" s="4" t="s">
        <v>6881</v>
      </c>
      <c r="N2597" s="4">
        <v>208</v>
      </c>
      <c r="O2597" s="4" t="s">
        <v>6884</v>
      </c>
    </row>
    <row r="2598" spans="1:15" ht="15.75" customHeight="1">
      <c r="A2598" s="4" t="s">
        <v>49</v>
      </c>
      <c r="B2598" s="4">
        <v>2728775</v>
      </c>
      <c r="C2598" s="4">
        <v>2729248</v>
      </c>
      <c r="E2598" s="4" t="s">
        <v>55</v>
      </c>
      <c r="F2598" s="4" t="s">
        <v>56</v>
      </c>
      <c r="I2598" s="4" t="s">
        <v>52</v>
      </c>
      <c r="L2598" s="4" t="s">
        <v>6885</v>
      </c>
      <c r="M2598" s="4" t="s">
        <v>56</v>
      </c>
      <c r="N2598" s="4">
        <v>157</v>
      </c>
      <c r="O2598" s="4" t="s">
        <v>6886</v>
      </c>
    </row>
    <row r="2599" spans="1:15" ht="15.75" customHeight="1">
      <c r="A2599" s="4" t="s">
        <v>49</v>
      </c>
      <c r="B2599" s="4">
        <v>2729262</v>
      </c>
      <c r="C2599" s="4">
        <v>2730209</v>
      </c>
      <c r="E2599" s="4" t="s">
        <v>55</v>
      </c>
      <c r="F2599" s="4" t="s">
        <v>6887</v>
      </c>
      <c r="I2599" s="4" t="s">
        <v>52</v>
      </c>
      <c r="L2599" s="4" t="s">
        <v>6888</v>
      </c>
      <c r="M2599" s="4" t="s">
        <v>6887</v>
      </c>
      <c r="N2599" s="4">
        <v>315</v>
      </c>
      <c r="O2599" s="4" t="s">
        <v>6889</v>
      </c>
    </row>
    <row r="2600" spans="1:15" ht="15.75" customHeight="1">
      <c r="A2600" s="4" t="s">
        <v>49</v>
      </c>
      <c r="B2600" s="4">
        <v>2730232</v>
      </c>
      <c r="C2600" s="4">
        <v>2730849</v>
      </c>
      <c r="E2600" s="4" t="s">
        <v>55</v>
      </c>
      <c r="F2600" s="4" t="s">
        <v>6890</v>
      </c>
      <c r="I2600" s="4" t="s">
        <v>52</v>
      </c>
      <c r="L2600" s="4" t="s">
        <v>6891</v>
      </c>
      <c r="M2600" s="4" t="s">
        <v>6890</v>
      </c>
      <c r="N2600" s="4">
        <v>205</v>
      </c>
      <c r="O2600" s="4" t="s">
        <v>6892</v>
      </c>
    </row>
    <row r="2601" spans="1:15" ht="15.75" customHeight="1">
      <c r="A2601" s="4" t="s">
        <v>49</v>
      </c>
      <c r="B2601" s="4">
        <v>2731111</v>
      </c>
      <c r="C2601" s="4">
        <v>2732019</v>
      </c>
      <c r="E2601" s="4" t="s">
        <v>55</v>
      </c>
      <c r="F2601" s="4" t="s">
        <v>56</v>
      </c>
      <c r="I2601" s="4" t="s">
        <v>52</v>
      </c>
      <c r="L2601" s="4" t="s">
        <v>6893</v>
      </c>
      <c r="M2601" s="4" t="s">
        <v>56</v>
      </c>
      <c r="N2601" s="4">
        <v>302</v>
      </c>
      <c r="O2601" s="4" t="s">
        <v>6894</v>
      </c>
    </row>
    <row r="2602" spans="1:15" ht="15.75" customHeight="1">
      <c r="A2602" s="4" t="s">
        <v>49</v>
      </c>
      <c r="B2602" s="4">
        <v>2732114</v>
      </c>
      <c r="C2602" s="4">
        <v>2732674</v>
      </c>
      <c r="E2602" s="4" t="s">
        <v>55</v>
      </c>
      <c r="F2602" s="4" t="s">
        <v>6895</v>
      </c>
      <c r="I2602" s="4" t="s">
        <v>52</v>
      </c>
      <c r="L2602" s="4" t="s">
        <v>6896</v>
      </c>
      <c r="M2602" s="4" t="s">
        <v>6895</v>
      </c>
      <c r="N2602" s="4">
        <v>186</v>
      </c>
      <c r="O2602" s="4" t="s">
        <v>6897</v>
      </c>
    </row>
    <row r="2603" spans="1:15" ht="15.75" customHeight="1">
      <c r="A2603" s="4" t="s">
        <v>49</v>
      </c>
      <c r="B2603" s="4">
        <v>2732682</v>
      </c>
      <c r="C2603" s="4">
        <v>2733038</v>
      </c>
      <c r="E2603" s="4" t="s">
        <v>55</v>
      </c>
      <c r="F2603" s="4" t="s">
        <v>6898</v>
      </c>
      <c r="I2603" s="4" t="s">
        <v>52</v>
      </c>
      <c r="L2603" s="4" t="s">
        <v>6899</v>
      </c>
      <c r="M2603" s="4" t="s">
        <v>6898</v>
      </c>
      <c r="N2603" s="4">
        <v>118</v>
      </c>
      <c r="O2603" s="4" t="s">
        <v>6900</v>
      </c>
    </row>
    <row r="2604" spans="1:15" ht="15.75" customHeight="1">
      <c r="A2604" s="4" t="s">
        <v>49</v>
      </c>
      <c r="B2604" s="4">
        <v>2733242</v>
      </c>
      <c r="C2604" s="4">
        <v>2734177</v>
      </c>
      <c r="E2604" s="4" t="s">
        <v>50</v>
      </c>
      <c r="F2604" s="4" t="s">
        <v>5041</v>
      </c>
      <c r="I2604" s="4" t="s">
        <v>52</v>
      </c>
      <c r="L2604" s="4" t="s">
        <v>6901</v>
      </c>
      <c r="M2604" s="4" t="s">
        <v>5041</v>
      </c>
      <c r="N2604" s="4">
        <v>311</v>
      </c>
      <c r="O2604" s="4" t="s">
        <v>6902</v>
      </c>
    </row>
    <row r="2605" spans="1:15" ht="15.75" customHeight="1">
      <c r="A2605" s="4" t="s">
        <v>49</v>
      </c>
      <c r="B2605" s="4">
        <v>2734402</v>
      </c>
      <c r="C2605" s="4">
        <v>2735277</v>
      </c>
      <c r="E2605" s="4" t="s">
        <v>55</v>
      </c>
      <c r="F2605" s="4" t="s">
        <v>6903</v>
      </c>
      <c r="I2605" s="4" t="s">
        <v>52</v>
      </c>
      <c r="L2605" s="4" t="s">
        <v>6904</v>
      </c>
      <c r="M2605" s="4" t="s">
        <v>6903</v>
      </c>
      <c r="N2605" s="4">
        <v>291</v>
      </c>
      <c r="O2605" s="4" t="s">
        <v>6905</v>
      </c>
    </row>
    <row r="2606" spans="1:15" ht="15.75" customHeight="1">
      <c r="A2606" s="4" t="s">
        <v>49</v>
      </c>
      <c r="B2606" s="4">
        <v>2735603</v>
      </c>
      <c r="C2606" s="4">
        <v>2737270</v>
      </c>
      <c r="E2606" s="4" t="s">
        <v>50</v>
      </c>
      <c r="F2606" s="4" t="s">
        <v>6906</v>
      </c>
      <c r="I2606" s="4" t="s">
        <v>52</v>
      </c>
      <c r="L2606" s="4" t="s">
        <v>6907</v>
      </c>
      <c r="M2606" s="4" t="s">
        <v>6906</v>
      </c>
      <c r="N2606" s="4">
        <v>555</v>
      </c>
      <c r="O2606" s="4" t="s">
        <v>6908</v>
      </c>
    </row>
    <row r="2607" spans="1:15" ht="15.75" customHeight="1">
      <c r="A2607" s="4" t="s">
        <v>49</v>
      </c>
      <c r="B2607" s="4">
        <v>2737274</v>
      </c>
      <c r="C2607" s="4">
        <v>2738260</v>
      </c>
      <c r="E2607" s="4" t="s">
        <v>50</v>
      </c>
      <c r="F2607" s="4" t="s">
        <v>6887</v>
      </c>
      <c r="I2607" s="4" t="s">
        <v>52</v>
      </c>
      <c r="L2607" s="4" t="s">
        <v>6909</v>
      </c>
      <c r="M2607" s="4" t="s">
        <v>6887</v>
      </c>
      <c r="N2607" s="4">
        <v>328</v>
      </c>
      <c r="O2607" s="4" t="s">
        <v>6910</v>
      </c>
    </row>
    <row r="2608" spans="1:15" ht="15.75" customHeight="1">
      <c r="A2608" s="4" t="s">
        <v>49</v>
      </c>
      <c r="B2608" s="4">
        <v>2738305</v>
      </c>
      <c r="C2608" s="4">
        <v>2738802</v>
      </c>
      <c r="E2608" s="4" t="s">
        <v>55</v>
      </c>
      <c r="F2608" s="4" t="s">
        <v>6911</v>
      </c>
      <c r="G2608" s="4" t="s">
        <v>6912</v>
      </c>
      <c r="I2608" s="4" t="s">
        <v>52</v>
      </c>
      <c r="L2608" s="4" t="s">
        <v>6913</v>
      </c>
      <c r="M2608" s="4" t="s">
        <v>6911</v>
      </c>
      <c r="N2608" s="4">
        <v>165</v>
      </c>
      <c r="O2608" s="4" t="s">
        <v>6914</v>
      </c>
    </row>
    <row r="2609" spans="1:15" ht="15.75" customHeight="1">
      <c r="A2609" s="4" t="s">
        <v>49</v>
      </c>
      <c r="B2609" s="4">
        <v>2739076</v>
      </c>
      <c r="C2609" s="4">
        <v>2739567</v>
      </c>
      <c r="E2609" s="4" t="s">
        <v>50</v>
      </c>
      <c r="F2609" s="4" t="s">
        <v>4649</v>
      </c>
      <c r="I2609" s="4" t="s">
        <v>52</v>
      </c>
      <c r="L2609" s="4" t="s">
        <v>6915</v>
      </c>
      <c r="M2609" s="4" t="s">
        <v>4649</v>
      </c>
      <c r="N2609" s="4">
        <v>163</v>
      </c>
      <c r="O2609" s="4" t="s">
        <v>6916</v>
      </c>
    </row>
    <row r="2610" spans="1:15" ht="15.75" customHeight="1">
      <c r="A2610" s="4" t="s">
        <v>49</v>
      </c>
      <c r="B2610" s="4">
        <v>2739647</v>
      </c>
      <c r="C2610" s="4">
        <v>2739811</v>
      </c>
      <c r="E2610" s="4" t="s">
        <v>50</v>
      </c>
      <c r="F2610" s="4" t="s">
        <v>345</v>
      </c>
      <c r="I2610" s="4" t="s">
        <v>346</v>
      </c>
      <c r="O2610" s="4" t="s">
        <v>6917</v>
      </c>
    </row>
    <row r="2611" spans="1:15" ht="15.75" customHeight="1">
      <c r="A2611" s="4" t="s">
        <v>49</v>
      </c>
      <c r="B2611" s="4">
        <v>2739974</v>
      </c>
      <c r="C2611" s="4">
        <v>2741785</v>
      </c>
      <c r="E2611" s="4" t="s">
        <v>55</v>
      </c>
      <c r="F2611" s="4" t="s">
        <v>4498</v>
      </c>
      <c r="G2611" s="4" t="s">
        <v>4499</v>
      </c>
      <c r="I2611" s="4" t="s">
        <v>52</v>
      </c>
      <c r="L2611" s="4" t="s">
        <v>6918</v>
      </c>
      <c r="M2611" s="4" t="s">
        <v>4498</v>
      </c>
      <c r="N2611" s="4">
        <v>603</v>
      </c>
      <c r="O2611" s="4" t="s">
        <v>6919</v>
      </c>
    </row>
    <row r="2612" spans="1:15" ht="15.75" customHeight="1">
      <c r="A2612" s="4" t="s">
        <v>49</v>
      </c>
      <c r="B2612" s="4">
        <v>2741929</v>
      </c>
      <c r="C2612" s="4">
        <v>2742279</v>
      </c>
      <c r="E2612" s="4" t="s">
        <v>50</v>
      </c>
      <c r="F2612" s="4" t="s">
        <v>56</v>
      </c>
      <c r="I2612" s="4" t="s">
        <v>52</v>
      </c>
      <c r="L2612" s="4" t="s">
        <v>6920</v>
      </c>
      <c r="M2612" s="4" t="s">
        <v>56</v>
      </c>
      <c r="N2612" s="4">
        <v>116</v>
      </c>
      <c r="O2612" s="4" t="s">
        <v>6921</v>
      </c>
    </row>
    <row r="2613" spans="1:15" ht="15.75" customHeight="1">
      <c r="A2613" s="4" t="s">
        <v>49</v>
      </c>
      <c r="B2613" s="4">
        <v>2742539</v>
      </c>
      <c r="C2613" s="4">
        <v>2743273</v>
      </c>
      <c r="E2613" s="4" t="s">
        <v>55</v>
      </c>
      <c r="F2613" s="4" t="s">
        <v>663</v>
      </c>
      <c r="I2613" s="4" t="s">
        <v>52</v>
      </c>
      <c r="L2613" s="4" t="s">
        <v>6922</v>
      </c>
      <c r="M2613" s="4" t="s">
        <v>663</v>
      </c>
      <c r="N2613" s="4">
        <v>244</v>
      </c>
      <c r="O2613" s="4" t="s">
        <v>6923</v>
      </c>
    </row>
    <row r="2614" spans="1:15" ht="15.75" customHeight="1">
      <c r="A2614" s="4" t="s">
        <v>49</v>
      </c>
      <c r="B2614" s="4">
        <v>2743301</v>
      </c>
      <c r="C2614" s="4">
        <v>2743750</v>
      </c>
      <c r="E2614" s="4" t="s">
        <v>55</v>
      </c>
      <c r="F2614" s="4" t="s">
        <v>6924</v>
      </c>
      <c r="G2614" s="4" t="s">
        <v>6925</v>
      </c>
      <c r="I2614" s="4" t="s">
        <v>52</v>
      </c>
      <c r="L2614" s="4" t="s">
        <v>6926</v>
      </c>
      <c r="M2614" s="4" t="s">
        <v>6924</v>
      </c>
      <c r="N2614" s="4">
        <v>149</v>
      </c>
      <c r="O2614" s="4" t="s">
        <v>6927</v>
      </c>
    </row>
    <row r="2615" spans="1:15" ht="15.75" customHeight="1">
      <c r="A2615" s="4" t="s">
        <v>49</v>
      </c>
      <c r="B2615" s="4">
        <v>2743855</v>
      </c>
      <c r="C2615" s="4">
        <v>2746203</v>
      </c>
      <c r="E2615" s="4" t="s">
        <v>55</v>
      </c>
      <c r="F2615" s="4" t="s">
        <v>2464</v>
      </c>
      <c r="I2615" s="4" t="s">
        <v>52</v>
      </c>
      <c r="L2615" s="4" t="s">
        <v>6928</v>
      </c>
      <c r="M2615" s="4" t="s">
        <v>2464</v>
      </c>
      <c r="N2615" s="4">
        <v>782</v>
      </c>
      <c r="O2615" s="4" t="s">
        <v>6929</v>
      </c>
    </row>
    <row r="2616" spans="1:15" ht="15.75" customHeight="1">
      <c r="A2616" s="4" t="s">
        <v>49</v>
      </c>
      <c r="B2616" s="4">
        <v>2746381</v>
      </c>
      <c r="C2616" s="4">
        <v>2747304</v>
      </c>
      <c r="E2616" s="4" t="s">
        <v>50</v>
      </c>
      <c r="F2616" s="4" t="s">
        <v>6930</v>
      </c>
      <c r="I2616" s="4" t="s">
        <v>52</v>
      </c>
      <c r="L2616" s="4" t="s">
        <v>6931</v>
      </c>
      <c r="M2616" s="4" t="s">
        <v>6930</v>
      </c>
      <c r="N2616" s="4">
        <v>307</v>
      </c>
      <c r="O2616" s="4" t="s">
        <v>6932</v>
      </c>
    </row>
    <row r="2617" spans="1:15" ht="15.75" customHeight="1">
      <c r="A2617" s="4" t="s">
        <v>49</v>
      </c>
      <c r="B2617" s="4">
        <v>2747356</v>
      </c>
      <c r="C2617" s="4">
        <v>2747703</v>
      </c>
      <c r="E2617" s="4" t="s">
        <v>50</v>
      </c>
      <c r="F2617" s="4" t="s">
        <v>56</v>
      </c>
      <c r="I2617" s="4" t="s">
        <v>52</v>
      </c>
      <c r="L2617" s="4" t="s">
        <v>6933</v>
      </c>
      <c r="M2617" s="4" t="s">
        <v>56</v>
      </c>
      <c r="N2617" s="4">
        <v>115</v>
      </c>
      <c r="O2617" s="4" t="s">
        <v>6934</v>
      </c>
    </row>
    <row r="2618" spans="1:15" ht="15.75" customHeight="1">
      <c r="A2618" s="4" t="s">
        <v>49</v>
      </c>
      <c r="B2618" s="4">
        <v>2747970</v>
      </c>
      <c r="C2618" s="4">
        <v>2748491</v>
      </c>
      <c r="E2618" s="4" t="s">
        <v>50</v>
      </c>
      <c r="F2618" s="4" t="s">
        <v>6935</v>
      </c>
      <c r="I2618" s="4" t="s">
        <v>52</v>
      </c>
      <c r="L2618" s="4" t="s">
        <v>6936</v>
      </c>
      <c r="M2618" s="4" t="s">
        <v>6935</v>
      </c>
      <c r="N2618" s="4">
        <v>173</v>
      </c>
      <c r="O2618" s="4" t="s">
        <v>6937</v>
      </c>
    </row>
    <row r="2619" spans="1:15" ht="15.75" customHeight="1">
      <c r="A2619" s="4" t="s">
        <v>49</v>
      </c>
      <c r="B2619" s="4">
        <v>2748521</v>
      </c>
      <c r="C2619" s="4">
        <v>2749675</v>
      </c>
      <c r="E2619" s="4" t="s">
        <v>50</v>
      </c>
      <c r="F2619" s="4" t="s">
        <v>6938</v>
      </c>
      <c r="I2619" s="4" t="s">
        <v>52</v>
      </c>
      <c r="L2619" s="4" t="s">
        <v>6939</v>
      </c>
      <c r="M2619" s="4" t="s">
        <v>6938</v>
      </c>
      <c r="N2619" s="4">
        <v>384</v>
      </c>
      <c r="O2619" s="4" t="s">
        <v>6940</v>
      </c>
    </row>
    <row r="2620" spans="1:15" ht="15.75" customHeight="1">
      <c r="A2620" s="4" t="s">
        <v>49</v>
      </c>
      <c r="B2620" s="4">
        <v>2749793</v>
      </c>
      <c r="C2620" s="4">
        <v>2750461</v>
      </c>
      <c r="E2620" s="4" t="s">
        <v>50</v>
      </c>
      <c r="F2620" s="4" t="s">
        <v>1654</v>
      </c>
      <c r="I2620" s="4" t="s">
        <v>52</v>
      </c>
      <c r="L2620" s="4" t="s">
        <v>6941</v>
      </c>
      <c r="M2620" s="4" t="s">
        <v>1654</v>
      </c>
      <c r="N2620" s="4">
        <v>222</v>
      </c>
      <c r="O2620" s="4" t="s">
        <v>6942</v>
      </c>
    </row>
    <row r="2621" spans="1:15" ht="15.75" customHeight="1">
      <c r="A2621" s="4" t="s">
        <v>49</v>
      </c>
      <c r="B2621" s="4">
        <v>2750549</v>
      </c>
      <c r="C2621" s="4">
        <v>2751007</v>
      </c>
      <c r="E2621" s="4" t="s">
        <v>55</v>
      </c>
      <c r="F2621" s="4" t="s">
        <v>3132</v>
      </c>
      <c r="I2621" s="4" t="s">
        <v>52</v>
      </c>
      <c r="L2621" s="4" t="s">
        <v>6943</v>
      </c>
      <c r="M2621" s="4" t="s">
        <v>3132</v>
      </c>
      <c r="N2621" s="4">
        <v>152</v>
      </c>
      <c r="O2621" s="4" t="s">
        <v>6944</v>
      </c>
    </row>
    <row r="2622" spans="1:15" ht="15.75" customHeight="1">
      <c r="A2622" s="4" t="s">
        <v>49</v>
      </c>
      <c r="B2622" s="4">
        <v>2751129</v>
      </c>
      <c r="C2622" s="4">
        <v>2752061</v>
      </c>
      <c r="E2622" s="4" t="s">
        <v>50</v>
      </c>
      <c r="F2622" s="4" t="s">
        <v>2151</v>
      </c>
      <c r="I2622" s="4" t="s">
        <v>52</v>
      </c>
      <c r="L2622" s="4" t="s">
        <v>6945</v>
      </c>
      <c r="M2622" s="4" t="s">
        <v>2151</v>
      </c>
      <c r="N2622" s="4">
        <v>310</v>
      </c>
      <c r="O2622" s="4" t="s">
        <v>6946</v>
      </c>
    </row>
    <row r="2623" spans="1:15" ht="15.75" customHeight="1">
      <c r="A2623" s="4" t="s">
        <v>49</v>
      </c>
      <c r="B2623" s="4">
        <v>2752071</v>
      </c>
      <c r="C2623" s="4">
        <v>2752544</v>
      </c>
      <c r="E2623" s="4" t="s">
        <v>55</v>
      </c>
      <c r="F2623" s="4" t="s">
        <v>6498</v>
      </c>
      <c r="G2623" s="4" t="s">
        <v>6947</v>
      </c>
      <c r="I2623" s="4" t="s">
        <v>52</v>
      </c>
      <c r="L2623" s="4" t="s">
        <v>6948</v>
      </c>
      <c r="M2623" s="4" t="s">
        <v>6498</v>
      </c>
      <c r="N2623" s="4">
        <v>157</v>
      </c>
      <c r="O2623" s="4" t="s">
        <v>6949</v>
      </c>
    </row>
    <row r="2624" spans="1:15" ht="15.75" customHeight="1">
      <c r="A2624" s="4" t="s">
        <v>49</v>
      </c>
      <c r="B2624" s="4">
        <v>2752688</v>
      </c>
      <c r="C2624" s="4">
        <v>2753512</v>
      </c>
      <c r="E2624" s="4" t="s">
        <v>55</v>
      </c>
      <c r="F2624" s="4" t="s">
        <v>3943</v>
      </c>
      <c r="I2624" s="4" t="s">
        <v>52</v>
      </c>
      <c r="L2624" s="4" t="s">
        <v>6950</v>
      </c>
      <c r="M2624" s="4" t="s">
        <v>3943</v>
      </c>
      <c r="N2624" s="4">
        <v>274</v>
      </c>
      <c r="O2624" s="4" t="s">
        <v>6951</v>
      </c>
    </row>
    <row r="2625" spans="1:15" ht="15.75" customHeight="1">
      <c r="A2625" s="4" t="s">
        <v>49</v>
      </c>
      <c r="B2625" s="4">
        <v>2753773</v>
      </c>
      <c r="C2625" s="4">
        <v>2754678</v>
      </c>
      <c r="E2625" s="4" t="s">
        <v>50</v>
      </c>
      <c r="F2625" s="4" t="s">
        <v>56</v>
      </c>
      <c r="I2625" s="4" t="s">
        <v>52</v>
      </c>
      <c r="L2625" s="4" t="s">
        <v>6952</v>
      </c>
      <c r="M2625" s="4" t="s">
        <v>56</v>
      </c>
      <c r="N2625" s="4">
        <v>301</v>
      </c>
      <c r="O2625" s="4" t="s">
        <v>6953</v>
      </c>
    </row>
    <row r="2626" spans="1:15" ht="15.75" customHeight="1">
      <c r="A2626" s="4" t="s">
        <v>49</v>
      </c>
      <c r="B2626" s="4">
        <v>2754675</v>
      </c>
      <c r="C2626" s="4">
        <v>2755520</v>
      </c>
      <c r="E2626" s="4" t="s">
        <v>50</v>
      </c>
      <c r="F2626" s="4" t="s">
        <v>2151</v>
      </c>
      <c r="I2626" s="4" t="s">
        <v>52</v>
      </c>
      <c r="L2626" s="4" t="s">
        <v>6954</v>
      </c>
      <c r="M2626" s="4" t="s">
        <v>2151</v>
      </c>
      <c r="N2626" s="4">
        <v>281</v>
      </c>
      <c r="O2626" s="4" t="s">
        <v>6955</v>
      </c>
    </row>
    <row r="2627" spans="1:15" ht="15.75" customHeight="1">
      <c r="A2627" s="4" t="s">
        <v>49</v>
      </c>
      <c r="B2627" s="4">
        <v>2755530</v>
      </c>
      <c r="C2627" s="4">
        <v>2756183</v>
      </c>
      <c r="E2627" s="4" t="s">
        <v>55</v>
      </c>
      <c r="F2627" s="4" t="s">
        <v>6956</v>
      </c>
      <c r="I2627" s="4" t="s">
        <v>52</v>
      </c>
      <c r="L2627" s="4" t="s">
        <v>6957</v>
      </c>
      <c r="M2627" s="4" t="s">
        <v>6956</v>
      </c>
      <c r="N2627" s="4">
        <v>217</v>
      </c>
      <c r="O2627" s="4" t="s">
        <v>6958</v>
      </c>
    </row>
    <row r="2628" spans="1:15" ht="15.75" customHeight="1">
      <c r="A2628" s="4" t="s">
        <v>49</v>
      </c>
      <c r="B2628" s="4">
        <v>2756193</v>
      </c>
      <c r="C2628" s="4">
        <v>2756654</v>
      </c>
      <c r="E2628" s="4" t="s">
        <v>55</v>
      </c>
      <c r="F2628" s="4" t="s">
        <v>6959</v>
      </c>
      <c r="I2628" s="4" t="s">
        <v>52</v>
      </c>
      <c r="L2628" s="4" t="s">
        <v>6960</v>
      </c>
      <c r="M2628" s="4" t="s">
        <v>6959</v>
      </c>
      <c r="N2628" s="4">
        <v>153</v>
      </c>
      <c r="O2628" s="4" t="s">
        <v>6961</v>
      </c>
    </row>
    <row r="2629" spans="1:15" ht="15.75" customHeight="1">
      <c r="A2629" s="4" t="s">
        <v>49</v>
      </c>
      <c r="B2629" s="4">
        <v>2756879</v>
      </c>
      <c r="C2629" s="4">
        <v>2757097</v>
      </c>
      <c r="E2629" s="4" t="s">
        <v>55</v>
      </c>
      <c r="F2629" s="4" t="s">
        <v>56</v>
      </c>
      <c r="I2629" s="4" t="s">
        <v>52</v>
      </c>
      <c r="L2629" s="4" t="s">
        <v>6962</v>
      </c>
      <c r="M2629" s="4" t="s">
        <v>56</v>
      </c>
      <c r="N2629" s="4">
        <v>72</v>
      </c>
      <c r="O2629" s="4" t="s">
        <v>6963</v>
      </c>
    </row>
    <row r="2630" spans="1:15" ht="15.75" customHeight="1">
      <c r="A2630" s="4" t="s">
        <v>49</v>
      </c>
      <c r="B2630" s="4">
        <v>2757263</v>
      </c>
      <c r="C2630" s="4">
        <v>2758396</v>
      </c>
      <c r="E2630" s="4" t="s">
        <v>50</v>
      </c>
      <c r="F2630" s="4" t="s">
        <v>345</v>
      </c>
      <c r="I2630" s="4" t="s">
        <v>346</v>
      </c>
      <c r="O2630" s="4" t="s">
        <v>6964</v>
      </c>
    </row>
    <row r="2631" spans="1:15" ht="15.75" customHeight="1">
      <c r="A2631" s="4" t="s">
        <v>49</v>
      </c>
      <c r="B2631" s="4">
        <v>2758522</v>
      </c>
      <c r="C2631" s="4">
        <v>2758995</v>
      </c>
      <c r="E2631" s="4" t="s">
        <v>50</v>
      </c>
      <c r="F2631" s="4" t="s">
        <v>6965</v>
      </c>
      <c r="I2631" s="4" t="s">
        <v>52</v>
      </c>
      <c r="L2631" s="4" t="s">
        <v>6966</v>
      </c>
      <c r="M2631" s="4" t="s">
        <v>6965</v>
      </c>
      <c r="N2631" s="4">
        <v>157</v>
      </c>
      <c r="O2631" s="4" t="s">
        <v>6967</v>
      </c>
    </row>
    <row r="2632" spans="1:15" ht="15.75" customHeight="1">
      <c r="A2632" s="4" t="s">
        <v>49</v>
      </c>
      <c r="B2632" s="4">
        <v>2759100</v>
      </c>
      <c r="C2632" s="4">
        <v>2759696</v>
      </c>
      <c r="E2632" s="4" t="s">
        <v>55</v>
      </c>
      <c r="F2632" s="4" t="s">
        <v>6968</v>
      </c>
      <c r="I2632" s="4" t="s">
        <v>52</v>
      </c>
      <c r="L2632" s="4" t="s">
        <v>6969</v>
      </c>
      <c r="M2632" s="4" t="s">
        <v>6968</v>
      </c>
      <c r="N2632" s="4">
        <v>198</v>
      </c>
      <c r="O2632" s="4" t="s">
        <v>6970</v>
      </c>
    </row>
    <row r="2633" spans="1:15" ht="15.75" customHeight="1">
      <c r="A2633" s="4" t="s">
        <v>49</v>
      </c>
      <c r="B2633" s="4">
        <v>2759789</v>
      </c>
      <c r="C2633" s="4">
        <v>2760385</v>
      </c>
      <c r="E2633" s="4" t="s">
        <v>50</v>
      </c>
      <c r="F2633" s="4" t="s">
        <v>6971</v>
      </c>
      <c r="G2633" s="4" t="s">
        <v>6972</v>
      </c>
      <c r="I2633" s="4" t="s">
        <v>52</v>
      </c>
      <c r="L2633" s="4" t="s">
        <v>6973</v>
      </c>
      <c r="M2633" s="4" t="s">
        <v>6971</v>
      </c>
      <c r="N2633" s="4">
        <v>198</v>
      </c>
      <c r="O2633" s="4" t="s">
        <v>6974</v>
      </c>
    </row>
    <row r="2634" spans="1:15" ht="15.75" customHeight="1">
      <c r="A2634" s="4" t="s">
        <v>49</v>
      </c>
      <c r="B2634" s="4">
        <v>2760496</v>
      </c>
      <c r="C2634" s="4">
        <v>2761512</v>
      </c>
      <c r="E2634" s="4" t="s">
        <v>50</v>
      </c>
      <c r="F2634" s="4" t="s">
        <v>6975</v>
      </c>
      <c r="G2634" s="4" t="s">
        <v>6976</v>
      </c>
      <c r="I2634" s="4" t="s">
        <v>52</v>
      </c>
      <c r="L2634" s="4" t="s">
        <v>6977</v>
      </c>
      <c r="M2634" s="4" t="s">
        <v>6975</v>
      </c>
      <c r="N2634" s="4">
        <v>338</v>
      </c>
      <c r="O2634" s="4" t="s">
        <v>6978</v>
      </c>
    </row>
    <row r="2635" spans="1:15" ht="15.75" customHeight="1">
      <c r="A2635" s="4" t="s">
        <v>49</v>
      </c>
      <c r="B2635" s="4">
        <v>2761819</v>
      </c>
      <c r="C2635" s="4">
        <v>2762892</v>
      </c>
      <c r="E2635" s="4" t="s">
        <v>50</v>
      </c>
      <c r="F2635" s="4" t="s">
        <v>6979</v>
      </c>
      <c r="G2635" s="4" t="s">
        <v>6980</v>
      </c>
      <c r="I2635" s="4" t="s">
        <v>52</v>
      </c>
      <c r="L2635" s="4" t="s">
        <v>6981</v>
      </c>
      <c r="M2635" s="4" t="s">
        <v>6979</v>
      </c>
      <c r="N2635" s="4">
        <v>357</v>
      </c>
      <c r="O2635" s="4" t="s">
        <v>6982</v>
      </c>
    </row>
    <row r="2636" spans="1:15" ht="15.75" customHeight="1">
      <c r="A2636" s="4" t="s">
        <v>49</v>
      </c>
      <c r="B2636" s="4">
        <v>2763413</v>
      </c>
      <c r="C2636" s="4">
        <v>2764555</v>
      </c>
      <c r="E2636" s="4" t="s">
        <v>50</v>
      </c>
      <c r="F2636" s="4" t="s">
        <v>6983</v>
      </c>
      <c r="G2636" s="4" t="s">
        <v>6984</v>
      </c>
      <c r="I2636" s="4" t="s">
        <v>52</v>
      </c>
      <c r="L2636" s="4" t="s">
        <v>6985</v>
      </c>
      <c r="M2636" s="4" t="s">
        <v>6983</v>
      </c>
      <c r="N2636" s="4">
        <v>380</v>
      </c>
      <c r="O2636" s="4" t="s">
        <v>6986</v>
      </c>
    </row>
    <row r="2637" spans="1:15" ht="15.75" customHeight="1">
      <c r="A2637" s="4" t="s">
        <v>49</v>
      </c>
      <c r="B2637" s="4">
        <v>2764626</v>
      </c>
      <c r="C2637" s="4">
        <v>2765045</v>
      </c>
      <c r="E2637" s="4" t="s">
        <v>50</v>
      </c>
      <c r="F2637" s="4" t="s">
        <v>6987</v>
      </c>
      <c r="G2637" s="4" t="s">
        <v>6988</v>
      </c>
      <c r="I2637" s="4" t="s">
        <v>52</v>
      </c>
      <c r="L2637" s="4" t="s">
        <v>6989</v>
      </c>
      <c r="M2637" s="4" t="s">
        <v>6987</v>
      </c>
      <c r="N2637" s="4">
        <v>139</v>
      </c>
      <c r="O2637" s="4" t="s">
        <v>6990</v>
      </c>
    </row>
    <row r="2638" spans="1:15" ht="15.75" customHeight="1">
      <c r="A2638" s="4" t="s">
        <v>49</v>
      </c>
      <c r="B2638" s="4">
        <v>2765410</v>
      </c>
      <c r="C2638" s="4">
        <v>2768016</v>
      </c>
      <c r="E2638" s="4" t="s">
        <v>50</v>
      </c>
      <c r="F2638" s="4" t="s">
        <v>6991</v>
      </c>
      <c r="G2638" s="4" t="s">
        <v>6992</v>
      </c>
      <c r="I2638" s="4" t="s">
        <v>52</v>
      </c>
      <c r="L2638" s="4" t="s">
        <v>6993</v>
      </c>
      <c r="M2638" s="4" t="s">
        <v>6991</v>
      </c>
      <c r="N2638" s="4">
        <v>868</v>
      </c>
      <c r="O2638" s="4" t="s">
        <v>6994</v>
      </c>
    </row>
    <row r="2639" spans="1:15" ht="15.75" customHeight="1">
      <c r="A2639" s="4" t="s">
        <v>49</v>
      </c>
      <c r="B2639" s="4">
        <v>2768180</v>
      </c>
      <c r="C2639" s="4">
        <v>2768824</v>
      </c>
      <c r="E2639" s="4" t="s">
        <v>50</v>
      </c>
      <c r="F2639" s="4" t="s">
        <v>6995</v>
      </c>
      <c r="I2639" s="4" t="s">
        <v>52</v>
      </c>
      <c r="L2639" s="4" t="s">
        <v>6996</v>
      </c>
      <c r="M2639" s="4" t="s">
        <v>6995</v>
      </c>
      <c r="N2639" s="4">
        <v>214</v>
      </c>
      <c r="O2639" s="4" t="s">
        <v>6997</v>
      </c>
    </row>
    <row r="2640" spans="1:15" ht="15.75" customHeight="1">
      <c r="A2640" s="4" t="s">
        <v>49</v>
      </c>
      <c r="B2640" s="4">
        <v>2768854</v>
      </c>
      <c r="C2640" s="4">
        <v>2770341</v>
      </c>
      <c r="E2640" s="4" t="s">
        <v>50</v>
      </c>
      <c r="F2640" s="4" t="s">
        <v>6998</v>
      </c>
      <c r="G2640" s="4" t="s">
        <v>6999</v>
      </c>
      <c r="I2640" s="4" t="s">
        <v>52</v>
      </c>
      <c r="L2640" s="4" t="s">
        <v>7000</v>
      </c>
      <c r="M2640" s="4" t="s">
        <v>6998</v>
      </c>
      <c r="N2640" s="4">
        <v>495</v>
      </c>
      <c r="O2640" s="4" t="s">
        <v>7001</v>
      </c>
    </row>
    <row r="2641" spans="1:15" ht="15.75" customHeight="1">
      <c r="A2641" s="4" t="s">
        <v>49</v>
      </c>
      <c r="B2641" s="4">
        <v>2770546</v>
      </c>
      <c r="C2641" s="4">
        <v>2771649</v>
      </c>
      <c r="E2641" s="4" t="s">
        <v>50</v>
      </c>
      <c r="F2641" s="4" t="s">
        <v>7002</v>
      </c>
      <c r="G2641" s="4" t="s">
        <v>7003</v>
      </c>
      <c r="I2641" s="4" t="s">
        <v>52</v>
      </c>
      <c r="L2641" s="4" t="s">
        <v>7004</v>
      </c>
      <c r="M2641" s="4" t="s">
        <v>7002</v>
      </c>
      <c r="N2641" s="4">
        <v>367</v>
      </c>
      <c r="O2641" s="4" t="s">
        <v>7005</v>
      </c>
    </row>
    <row r="2642" spans="1:15" ht="15.75" customHeight="1">
      <c r="A2642" s="4" t="s">
        <v>49</v>
      </c>
      <c r="B2642" s="4">
        <v>2771924</v>
      </c>
      <c r="C2642" s="4">
        <v>2773237</v>
      </c>
      <c r="E2642" s="4" t="s">
        <v>50</v>
      </c>
      <c r="F2642" s="4" t="s">
        <v>7006</v>
      </c>
      <c r="I2642" s="4" t="s">
        <v>52</v>
      </c>
      <c r="L2642" s="4" t="s">
        <v>7007</v>
      </c>
      <c r="M2642" s="4" t="s">
        <v>7006</v>
      </c>
      <c r="N2642" s="4">
        <v>437</v>
      </c>
      <c r="O2642" s="4" t="s">
        <v>7008</v>
      </c>
    </row>
    <row r="2643" spans="1:15" ht="15.75" customHeight="1">
      <c r="A2643" s="4" t="s">
        <v>49</v>
      </c>
      <c r="B2643" s="4">
        <v>2773244</v>
      </c>
      <c r="C2643" s="4">
        <v>2774200</v>
      </c>
      <c r="E2643" s="4" t="s">
        <v>50</v>
      </c>
      <c r="F2643" s="4" t="s">
        <v>5435</v>
      </c>
      <c r="I2643" s="4" t="s">
        <v>52</v>
      </c>
      <c r="L2643" s="4" t="s">
        <v>7009</v>
      </c>
      <c r="M2643" s="4" t="s">
        <v>5435</v>
      </c>
      <c r="N2643" s="4">
        <v>318</v>
      </c>
      <c r="O2643" s="4" t="s">
        <v>7010</v>
      </c>
    </row>
    <row r="2644" spans="1:15" ht="15.75" customHeight="1">
      <c r="A2644" s="4" t="s">
        <v>49</v>
      </c>
      <c r="B2644" s="4">
        <v>2774206</v>
      </c>
      <c r="C2644" s="4">
        <v>2775552</v>
      </c>
      <c r="E2644" s="4" t="s">
        <v>50</v>
      </c>
      <c r="F2644" s="4" t="s">
        <v>292</v>
      </c>
      <c r="I2644" s="4" t="s">
        <v>52</v>
      </c>
      <c r="L2644" s="4" t="s">
        <v>7011</v>
      </c>
      <c r="M2644" s="4" t="s">
        <v>292</v>
      </c>
      <c r="N2644" s="4">
        <v>448</v>
      </c>
      <c r="O2644" s="4" t="s">
        <v>7012</v>
      </c>
    </row>
    <row r="2645" spans="1:15" ht="15.75" customHeight="1">
      <c r="A2645" s="4" t="s">
        <v>49</v>
      </c>
      <c r="B2645" s="4">
        <v>2775557</v>
      </c>
      <c r="C2645" s="4">
        <v>2776492</v>
      </c>
      <c r="E2645" s="4" t="s">
        <v>50</v>
      </c>
      <c r="F2645" s="4" t="s">
        <v>56</v>
      </c>
      <c r="I2645" s="4" t="s">
        <v>52</v>
      </c>
      <c r="L2645" s="4" t="s">
        <v>7013</v>
      </c>
      <c r="M2645" s="4" t="s">
        <v>56</v>
      </c>
      <c r="N2645" s="4">
        <v>311</v>
      </c>
      <c r="O2645" s="4" t="s">
        <v>7014</v>
      </c>
    </row>
    <row r="2646" spans="1:15" ht="15.75" customHeight="1">
      <c r="A2646" s="4" t="s">
        <v>49</v>
      </c>
      <c r="B2646" s="4">
        <v>2776954</v>
      </c>
      <c r="C2646" s="4">
        <v>2779599</v>
      </c>
      <c r="E2646" s="4" t="s">
        <v>50</v>
      </c>
      <c r="F2646" s="4" t="s">
        <v>7015</v>
      </c>
      <c r="G2646" s="4" t="s">
        <v>7016</v>
      </c>
      <c r="I2646" s="4" t="s">
        <v>52</v>
      </c>
      <c r="L2646" s="4" t="s">
        <v>7017</v>
      </c>
      <c r="M2646" s="4" t="s">
        <v>7015</v>
      </c>
      <c r="N2646" s="4">
        <v>881</v>
      </c>
      <c r="O2646" s="4" t="s">
        <v>7018</v>
      </c>
    </row>
    <row r="2647" spans="1:15" ht="15.75" customHeight="1">
      <c r="A2647" s="4" t="s">
        <v>49</v>
      </c>
      <c r="B2647" s="4">
        <v>2779766</v>
      </c>
      <c r="C2647" s="4">
        <v>2780848</v>
      </c>
      <c r="E2647" s="4" t="s">
        <v>50</v>
      </c>
      <c r="F2647" s="4" t="s">
        <v>56</v>
      </c>
      <c r="I2647" s="4" t="s">
        <v>52</v>
      </c>
      <c r="L2647" s="4" t="s">
        <v>7019</v>
      </c>
      <c r="M2647" s="4" t="s">
        <v>56</v>
      </c>
      <c r="N2647" s="4">
        <v>360</v>
      </c>
      <c r="O2647" s="4" t="s">
        <v>7020</v>
      </c>
    </row>
    <row r="2648" spans="1:15" ht="15.75" customHeight="1">
      <c r="A2648" s="4" t="s">
        <v>49</v>
      </c>
      <c r="B2648" s="4">
        <v>2780959</v>
      </c>
      <c r="C2648" s="4">
        <v>2781219</v>
      </c>
      <c r="E2648" s="4" t="s">
        <v>50</v>
      </c>
      <c r="F2648" s="4" t="s">
        <v>7021</v>
      </c>
      <c r="I2648" s="4" t="s">
        <v>52</v>
      </c>
      <c r="L2648" s="4" t="s">
        <v>7022</v>
      </c>
      <c r="M2648" s="4" t="s">
        <v>7021</v>
      </c>
      <c r="N2648" s="4">
        <v>86</v>
      </c>
      <c r="O2648" s="4" t="s">
        <v>7023</v>
      </c>
    </row>
    <row r="2649" spans="1:15" ht="15.75" customHeight="1">
      <c r="A2649" s="4" t="s">
        <v>49</v>
      </c>
      <c r="B2649" s="4">
        <v>2781219</v>
      </c>
      <c r="C2649" s="4">
        <v>2781653</v>
      </c>
      <c r="E2649" s="4" t="s">
        <v>50</v>
      </c>
      <c r="F2649" s="4" t="s">
        <v>7024</v>
      </c>
      <c r="G2649" s="4" t="s">
        <v>7025</v>
      </c>
      <c r="I2649" s="4" t="s">
        <v>52</v>
      </c>
      <c r="L2649" s="4" t="s">
        <v>7026</v>
      </c>
      <c r="M2649" s="4" t="s">
        <v>7024</v>
      </c>
      <c r="N2649" s="4">
        <v>144</v>
      </c>
      <c r="O2649" s="4" t="s">
        <v>7027</v>
      </c>
    </row>
    <row r="2650" spans="1:15" ht="15.75" customHeight="1">
      <c r="A2650" s="4" t="s">
        <v>49</v>
      </c>
      <c r="B2650" s="4">
        <v>2781703</v>
      </c>
      <c r="C2650" s="4">
        <v>2782023</v>
      </c>
      <c r="E2650" s="4" t="s">
        <v>50</v>
      </c>
      <c r="F2650" s="4" t="s">
        <v>7028</v>
      </c>
      <c r="I2650" s="4" t="s">
        <v>52</v>
      </c>
      <c r="L2650" s="4" t="s">
        <v>7029</v>
      </c>
      <c r="M2650" s="4" t="s">
        <v>7028</v>
      </c>
      <c r="N2650" s="4">
        <v>106</v>
      </c>
      <c r="O2650" s="4" t="s">
        <v>7030</v>
      </c>
    </row>
    <row r="2651" spans="1:15" ht="15.75" customHeight="1">
      <c r="A2651" s="4" t="s">
        <v>49</v>
      </c>
      <c r="B2651" s="4">
        <v>2782399</v>
      </c>
      <c r="C2651" s="4">
        <v>2782644</v>
      </c>
      <c r="E2651" s="4" t="s">
        <v>50</v>
      </c>
      <c r="F2651" s="4" t="s">
        <v>7031</v>
      </c>
      <c r="I2651" s="4" t="s">
        <v>52</v>
      </c>
      <c r="L2651" s="4" t="s">
        <v>7032</v>
      </c>
      <c r="M2651" s="4" t="s">
        <v>7031</v>
      </c>
      <c r="N2651" s="4">
        <v>81</v>
      </c>
      <c r="O2651" s="4" t="s">
        <v>7033</v>
      </c>
    </row>
    <row r="2652" spans="1:15" ht="15.75" customHeight="1">
      <c r="A2652" s="4" t="s">
        <v>49</v>
      </c>
      <c r="B2652" s="4">
        <v>2782657</v>
      </c>
      <c r="C2652" s="4">
        <v>2783190</v>
      </c>
      <c r="E2652" s="4" t="s">
        <v>50</v>
      </c>
      <c r="F2652" s="4" t="s">
        <v>7034</v>
      </c>
      <c r="I2652" s="4" t="s">
        <v>52</v>
      </c>
      <c r="L2652" s="4" t="s">
        <v>7035</v>
      </c>
      <c r="M2652" s="4" t="s">
        <v>7034</v>
      </c>
      <c r="N2652" s="4">
        <v>177</v>
      </c>
      <c r="O2652" s="4" t="s">
        <v>7036</v>
      </c>
    </row>
    <row r="2653" spans="1:15" ht="15.75" customHeight="1">
      <c r="A2653" s="4" t="s">
        <v>49</v>
      </c>
      <c r="B2653" s="4">
        <v>2783259</v>
      </c>
      <c r="C2653" s="4">
        <v>2785619</v>
      </c>
      <c r="E2653" s="4" t="s">
        <v>50</v>
      </c>
      <c r="F2653" s="4" t="s">
        <v>7037</v>
      </c>
      <c r="I2653" s="4" t="s">
        <v>52</v>
      </c>
      <c r="L2653" s="4" t="s">
        <v>7038</v>
      </c>
      <c r="M2653" s="4" t="s">
        <v>7037</v>
      </c>
      <c r="N2653" s="4">
        <v>786</v>
      </c>
      <c r="O2653" s="4" t="s">
        <v>7039</v>
      </c>
    </row>
    <row r="2654" spans="1:15" ht="15.75" customHeight="1">
      <c r="A2654" s="4" t="s">
        <v>49</v>
      </c>
      <c r="B2654" s="4">
        <v>2785686</v>
      </c>
      <c r="C2654" s="4">
        <v>2785997</v>
      </c>
      <c r="E2654" s="4" t="s">
        <v>50</v>
      </c>
      <c r="F2654" s="4" t="s">
        <v>7040</v>
      </c>
      <c r="G2654" s="4" t="s">
        <v>7041</v>
      </c>
      <c r="I2654" s="4" t="s">
        <v>52</v>
      </c>
      <c r="L2654" s="4" t="s">
        <v>7042</v>
      </c>
      <c r="M2654" s="4" t="s">
        <v>7040</v>
      </c>
      <c r="N2654" s="4">
        <v>103</v>
      </c>
      <c r="O2654" s="4" t="s">
        <v>7043</v>
      </c>
    </row>
    <row r="2655" spans="1:15" ht="15.75" customHeight="1">
      <c r="A2655" s="4" t="s">
        <v>49</v>
      </c>
      <c r="B2655" s="4">
        <v>2786494</v>
      </c>
      <c r="C2655" s="4">
        <v>2786643</v>
      </c>
      <c r="E2655" s="4" t="s">
        <v>50</v>
      </c>
      <c r="F2655" s="4" t="s">
        <v>7044</v>
      </c>
      <c r="I2655" s="4" t="s">
        <v>52</v>
      </c>
      <c r="L2655" s="4" t="s">
        <v>7045</v>
      </c>
      <c r="M2655" s="4" t="s">
        <v>7044</v>
      </c>
      <c r="N2655" s="4">
        <v>49</v>
      </c>
      <c r="O2655" s="4" t="s">
        <v>7046</v>
      </c>
    </row>
    <row r="2656" spans="1:15" ht="15.75" customHeight="1">
      <c r="A2656" s="4" t="s">
        <v>49</v>
      </c>
      <c r="B2656" s="4">
        <v>2786711</v>
      </c>
      <c r="C2656" s="4">
        <v>2788231</v>
      </c>
      <c r="E2656" s="4" t="s">
        <v>50</v>
      </c>
      <c r="F2656" s="4" t="s">
        <v>7047</v>
      </c>
      <c r="G2656" s="4" t="s">
        <v>7048</v>
      </c>
      <c r="I2656" s="4" t="s">
        <v>52</v>
      </c>
      <c r="L2656" s="4" t="s">
        <v>7049</v>
      </c>
      <c r="M2656" s="4" t="s">
        <v>7047</v>
      </c>
      <c r="N2656" s="4">
        <v>506</v>
      </c>
      <c r="O2656" s="4" t="s">
        <v>7050</v>
      </c>
    </row>
    <row r="2657" spans="1:15" ht="15.75" customHeight="1">
      <c r="A2657" s="4" t="s">
        <v>49</v>
      </c>
      <c r="B2657" s="4">
        <v>2788231</v>
      </c>
      <c r="C2657" s="4">
        <v>2789448</v>
      </c>
      <c r="E2657" s="4" t="s">
        <v>50</v>
      </c>
      <c r="F2657" s="4" t="s">
        <v>7051</v>
      </c>
      <c r="G2657" s="4" t="s">
        <v>7052</v>
      </c>
      <c r="I2657" s="4" t="s">
        <v>52</v>
      </c>
      <c r="L2657" s="4" t="s">
        <v>7053</v>
      </c>
      <c r="M2657" s="4" t="s">
        <v>7051</v>
      </c>
      <c r="N2657" s="4">
        <v>405</v>
      </c>
      <c r="O2657" s="4" t="s">
        <v>7054</v>
      </c>
    </row>
    <row r="2658" spans="1:15" ht="15.75" customHeight="1">
      <c r="A2658" s="4" t="s">
        <v>49</v>
      </c>
      <c r="B2658" s="4">
        <v>2789517</v>
      </c>
      <c r="C2658" s="4">
        <v>2789762</v>
      </c>
      <c r="E2658" s="4" t="s">
        <v>50</v>
      </c>
      <c r="F2658" s="4" t="s">
        <v>7055</v>
      </c>
      <c r="G2658" s="4" t="s">
        <v>7056</v>
      </c>
      <c r="I2658" s="4" t="s">
        <v>52</v>
      </c>
      <c r="L2658" s="4" t="s">
        <v>7057</v>
      </c>
      <c r="M2658" s="4" t="s">
        <v>7055</v>
      </c>
      <c r="N2658" s="4">
        <v>81</v>
      </c>
      <c r="O2658" s="4" t="s">
        <v>7058</v>
      </c>
    </row>
    <row r="2659" spans="1:15" ht="15.75" customHeight="1">
      <c r="A2659" s="4" t="s">
        <v>49</v>
      </c>
      <c r="B2659" s="4">
        <v>2789759</v>
      </c>
      <c r="C2659" s="4">
        <v>2791030</v>
      </c>
      <c r="E2659" s="4" t="s">
        <v>50</v>
      </c>
      <c r="F2659" s="4" t="s">
        <v>7059</v>
      </c>
      <c r="G2659" s="4" t="s">
        <v>7060</v>
      </c>
      <c r="I2659" s="4" t="s">
        <v>52</v>
      </c>
      <c r="L2659" s="4" t="s">
        <v>7061</v>
      </c>
      <c r="M2659" s="4" t="s">
        <v>7059</v>
      </c>
      <c r="N2659" s="4">
        <v>423</v>
      </c>
      <c r="O2659" s="4" t="s">
        <v>7062</v>
      </c>
    </row>
    <row r="2660" spans="1:15" ht="15.75" customHeight="1">
      <c r="A2660" s="4" t="s">
        <v>49</v>
      </c>
      <c r="B2660" s="4">
        <v>2791172</v>
      </c>
      <c r="C2660" s="4">
        <v>2791666</v>
      </c>
      <c r="E2660" s="4" t="s">
        <v>55</v>
      </c>
      <c r="F2660" s="4" t="s">
        <v>7063</v>
      </c>
      <c r="I2660" s="4" t="s">
        <v>52</v>
      </c>
      <c r="L2660" s="4" t="s">
        <v>7064</v>
      </c>
      <c r="M2660" s="4" t="s">
        <v>7063</v>
      </c>
      <c r="N2660" s="4">
        <v>164</v>
      </c>
      <c r="O2660" s="4" t="s">
        <v>7065</v>
      </c>
    </row>
    <row r="2661" spans="1:15" ht="15.75" customHeight="1">
      <c r="A2661" s="4" t="s">
        <v>49</v>
      </c>
      <c r="B2661" s="4">
        <v>2792110</v>
      </c>
      <c r="C2661" s="4">
        <v>2793564</v>
      </c>
      <c r="E2661" s="4" t="s">
        <v>50</v>
      </c>
      <c r="F2661" s="4" t="s">
        <v>7066</v>
      </c>
      <c r="G2661" s="4" t="s">
        <v>7067</v>
      </c>
      <c r="I2661" s="4" t="s">
        <v>52</v>
      </c>
      <c r="L2661" s="4" t="s">
        <v>7068</v>
      </c>
      <c r="M2661" s="4" t="s">
        <v>7066</v>
      </c>
      <c r="N2661" s="4">
        <v>484</v>
      </c>
      <c r="O2661" s="4" t="s">
        <v>7069</v>
      </c>
    </row>
    <row r="2662" spans="1:15" ht="15.75" customHeight="1">
      <c r="A2662" s="4" t="s">
        <v>49</v>
      </c>
      <c r="B2662" s="4">
        <v>2793561</v>
      </c>
      <c r="C2662" s="4">
        <v>2794085</v>
      </c>
      <c r="E2662" s="4" t="s">
        <v>50</v>
      </c>
      <c r="F2662" s="4" t="s">
        <v>7070</v>
      </c>
      <c r="I2662" s="4" t="s">
        <v>52</v>
      </c>
      <c r="L2662" s="4" t="s">
        <v>7071</v>
      </c>
      <c r="M2662" s="4" t="s">
        <v>7070</v>
      </c>
      <c r="N2662" s="4">
        <v>174</v>
      </c>
      <c r="O2662" s="4" t="s">
        <v>7072</v>
      </c>
    </row>
    <row r="2663" spans="1:15" ht="15.75" customHeight="1">
      <c r="A2663" s="4" t="s">
        <v>49</v>
      </c>
      <c r="B2663" s="4">
        <v>2794148</v>
      </c>
      <c r="C2663" s="4">
        <v>2794885</v>
      </c>
      <c r="E2663" s="4" t="s">
        <v>55</v>
      </c>
      <c r="F2663" s="4" t="s">
        <v>6725</v>
      </c>
      <c r="I2663" s="4" t="s">
        <v>52</v>
      </c>
      <c r="L2663" s="4" t="s">
        <v>7073</v>
      </c>
      <c r="M2663" s="4" t="s">
        <v>6725</v>
      </c>
      <c r="N2663" s="4">
        <v>245</v>
      </c>
      <c r="O2663" s="4" t="s">
        <v>7074</v>
      </c>
    </row>
    <row r="2664" spans="1:15" ht="15.75" customHeight="1">
      <c r="A2664" s="4" t="s">
        <v>49</v>
      </c>
      <c r="B2664" s="4">
        <v>2795209</v>
      </c>
      <c r="C2664" s="4">
        <v>2795694</v>
      </c>
      <c r="E2664" s="4" t="s">
        <v>50</v>
      </c>
      <c r="F2664" s="4" t="s">
        <v>7075</v>
      </c>
      <c r="G2664" s="4" t="s">
        <v>7076</v>
      </c>
      <c r="I2664" s="4" t="s">
        <v>52</v>
      </c>
      <c r="L2664" s="4" t="s">
        <v>7077</v>
      </c>
      <c r="M2664" s="4" t="s">
        <v>7075</v>
      </c>
      <c r="N2664" s="4">
        <v>161</v>
      </c>
      <c r="O2664" s="4" t="s">
        <v>7078</v>
      </c>
    </row>
    <row r="2665" spans="1:15" ht="15.75" customHeight="1">
      <c r="A2665" s="4" t="s">
        <v>49</v>
      </c>
      <c r="B2665" s="4">
        <v>2795780</v>
      </c>
      <c r="C2665" s="4">
        <v>2796682</v>
      </c>
      <c r="E2665" s="4" t="s">
        <v>55</v>
      </c>
      <c r="F2665" s="4" t="s">
        <v>7079</v>
      </c>
      <c r="I2665" s="4" t="s">
        <v>52</v>
      </c>
      <c r="L2665" s="4" t="s">
        <v>7080</v>
      </c>
      <c r="M2665" s="4" t="s">
        <v>7079</v>
      </c>
      <c r="N2665" s="4">
        <v>300</v>
      </c>
      <c r="O2665" s="4" t="s">
        <v>7081</v>
      </c>
    </row>
    <row r="2666" spans="1:15" ht="15.75" customHeight="1">
      <c r="A2666" s="4" t="s">
        <v>49</v>
      </c>
      <c r="B2666" s="4">
        <v>2796743</v>
      </c>
      <c r="C2666" s="4">
        <v>2797618</v>
      </c>
      <c r="E2666" s="4" t="s">
        <v>55</v>
      </c>
      <c r="F2666" s="4" t="s">
        <v>7082</v>
      </c>
      <c r="I2666" s="4" t="s">
        <v>52</v>
      </c>
      <c r="L2666" s="4" t="s">
        <v>7083</v>
      </c>
      <c r="M2666" s="4" t="s">
        <v>7082</v>
      </c>
      <c r="N2666" s="4">
        <v>291</v>
      </c>
      <c r="O2666" s="4" t="s">
        <v>7084</v>
      </c>
    </row>
    <row r="2667" spans="1:15" ht="15.75" customHeight="1">
      <c r="A2667" s="4" t="s">
        <v>49</v>
      </c>
      <c r="B2667" s="4">
        <v>2798143</v>
      </c>
      <c r="C2667" s="4">
        <v>2798571</v>
      </c>
      <c r="E2667" s="4" t="s">
        <v>50</v>
      </c>
      <c r="F2667" s="4" t="s">
        <v>7085</v>
      </c>
      <c r="I2667" s="4" t="s">
        <v>52</v>
      </c>
      <c r="L2667" s="4" t="s">
        <v>7086</v>
      </c>
      <c r="M2667" s="4" t="s">
        <v>7085</v>
      </c>
      <c r="N2667" s="4">
        <v>142</v>
      </c>
      <c r="O2667" s="4" t="s">
        <v>7087</v>
      </c>
    </row>
    <row r="2668" spans="1:15" ht="15.75" customHeight="1">
      <c r="A2668" s="4" t="s">
        <v>49</v>
      </c>
      <c r="B2668" s="4">
        <v>2798586</v>
      </c>
      <c r="C2668" s="4">
        <v>2799113</v>
      </c>
      <c r="E2668" s="4" t="s">
        <v>50</v>
      </c>
      <c r="F2668" s="4" t="s">
        <v>2239</v>
      </c>
      <c r="I2668" s="4" t="s">
        <v>52</v>
      </c>
      <c r="L2668" s="4" t="s">
        <v>7088</v>
      </c>
      <c r="M2668" s="4" t="s">
        <v>2239</v>
      </c>
      <c r="N2668" s="4">
        <v>175</v>
      </c>
      <c r="O2668" s="4" t="s">
        <v>7089</v>
      </c>
    </row>
    <row r="2669" spans="1:15" ht="15.75" customHeight="1">
      <c r="A2669" s="4" t="s">
        <v>49</v>
      </c>
      <c r="B2669" s="4">
        <v>2799339</v>
      </c>
      <c r="C2669" s="4">
        <v>2799860</v>
      </c>
      <c r="E2669" s="4" t="s">
        <v>50</v>
      </c>
      <c r="F2669" s="4" t="s">
        <v>7090</v>
      </c>
      <c r="I2669" s="4" t="s">
        <v>52</v>
      </c>
      <c r="L2669" s="4" t="s">
        <v>7091</v>
      </c>
      <c r="M2669" s="4" t="s">
        <v>7090</v>
      </c>
      <c r="N2669" s="4">
        <v>173</v>
      </c>
      <c r="O2669" s="4" t="s">
        <v>7092</v>
      </c>
    </row>
    <row r="2670" spans="1:15" ht="15.75" customHeight="1">
      <c r="A2670" s="4" t="s">
        <v>49</v>
      </c>
      <c r="B2670" s="4">
        <v>2799954</v>
      </c>
      <c r="C2670" s="4">
        <v>2801057</v>
      </c>
      <c r="E2670" s="4" t="s">
        <v>55</v>
      </c>
      <c r="F2670" s="4" t="s">
        <v>1996</v>
      </c>
      <c r="I2670" s="4" t="s">
        <v>52</v>
      </c>
      <c r="L2670" s="4" t="s">
        <v>7093</v>
      </c>
      <c r="M2670" s="4" t="s">
        <v>1996</v>
      </c>
      <c r="N2670" s="4">
        <v>367</v>
      </c>
      <c r="O2670" s="4" t="s">
        <v>7094</v>
      </c>
    </row>
    <row r="2671" spans="1:15" ht="15.75" customHeight="1">
      <c r="A2671" s="4" t="s">
        <v>49</v>
      </c>
      <c r="B2671" s="4">
        <v>2801365</v>
      </c>
      <c r="C2671" s="4">
        <v>2802366</v>
      </c>
      <c r="E2671" s="4" t="s">
        <v>50</v>
      </c>
      <c r="F2671" s="4" t="s">
        <v>7095</v>
      </c>
      <c r="G2671" s="4" t="s">
        <v>7096</v>
      </c>
      <c r="I2671" s="4" t="s">
        <v>52</v>
      </c>
      <c r="L2671" s="4" t="s">
        <v>7097</v>
      </c>
      <c r="M2671" s="4" t="s">
        <v>7095</v>
      </c>
      <c r="N2671" s="4">
        <v>333</v>
      </c>
      <c r="O2671" s="4" t="s">
        <v>7098</v>
      </c>
    </row>
    <row r="2672" spans="1:15" ht="15.75" customHeight="1">
      <c r="A2672" s="4" t="s">
        <v>49</v>
      </c>
      <c r="B2672" s="4">
        <v>2802490</v>
      </c>
      <c r="C2672" s="4">
        <v>2805273</v>
      </c>
      <c r="E2672" s="4" t="s">
        <v>55</v>
      </c>
      <c r="F2672" s="4" t="s">
        <v>7099</v>
      </c>
      <c r="I2672" s="4" t="s">
        <v>52</v>
      </c>
      <c r="L2672" s="4" t="s">
        <v>7100</v>
      </c>
      <c r="M2672" s="4" t="s">
        <v>7099</v>
      </c>
      <c r="N2672" s="4">
        <v>927</v>
      </c>
      <c r="O2672" s="4" t="s">
        <v>7101</v>
      </c>
    </row>
    <row r="2673" spans="1:15" ht="15.75" customHeight="1">
      <c r="A2673" s="4" t="s">
        <v>49</v>
      </c>
      <c r="B2673" s="4">
        <v>2805575</v>
      </c>
      <c r="C2673" s="4">
        <v>2806258</v>
      </c>
      <c r="E2673" s="4" t="s">
        <v>50</v>
      </c>
      <c r="F2673" s="4" t="s">
        <v>7102</v>
      </c>
      <c r="I2673" s="4" t="s">
        <v>52</v>
      </c>
      <c r="L2673" s="4" t="s">
        <v>7103</v>
      </c>
      <c r="M2673" s="4" t="s">
        <v>7102</v>
      </c>
      <c r="N2673" s="4">
        <v>227</v>
      </c>
      <c r="O2673" s="4" t="s">
        <v>7104</v>
      </c>
    </row>
    <row r="2674" spans="1:15" ht="15.75" customHeight="1">
      <c r="A2674" s="4" t="s">
        <v>49</v>
      </c>
      <c r="B2674" s="4">
        <v>2806265</v>
      </c>
      <c r="C2674" s="4">
        <v>2807017</v>
      </c>
      <c r="E2674" s="4" t="s">
        <v>55</v>
      </c>
      <c r="F2674" s="4" t="s">
        <v>7105</v>
      </c>
      <c r="I2674" s="4" t="s">
        <v>52</v>
      </c>
      <c r="L2674" s="4" t="s">
        <v>7106</v>
      </c>
      <c r="M2674" s="4" t="s">
        <v>7105</v>
      </c>
      <c r="N2674" s="4">
        <v>250</v>
      </c>
      <c r="O2674" s="4" t="s">
        <v>7107</v>
      </c>
    </row>
    <row r="2675" spans="1:15" ht="15.75" customHeight="1">
      <c r="A2675" s="4" t="s">
        <v>49</v>
      </c>
      <c r="B2675" s="4">
        <v>2807130</v>
      </c>
      <c r="C2675" s="4">
        <v>2808533</v>
      </c>
      <c r="E2675" s="4" t="s">
        <v>55</v>
      </c>
      <c r="F2675" s="4" t="s">
        <v>7108</v>
      </c>
      <c r="G2675" s="4" t="s">
        <v>7109</v>
      </c>
      <c r="I2675" s="4" t="s">
        <v>52</v>
      </c>
      <c r="L2675" s="4" t="s">
        <v>7110</v>
      </c>
      <c r="M2675" s="4" t="s">
        <v>7108</v>
      </c>
      <c r="N2675" s="4">
        <v>467</v>
      </c>
      <c r="O2675" s="4" t="s">
        <v>7111</v>
      </c>
    </row>
    <row r="2676" spans="1:15" ht="15.75" customHeight="1">
      <c r="A2676" s="4" t="s">
        <v>49</v>
      </c>
      <c r="B2676" s="4">
        <v>2808672</v>
      </c>
      <c r="C2676" s="4">
        <v>2810012</v>
      </c>
      <c r="E2676" s="4" t="s">
        <v>55</v>
      </c>
      <c r="F2676" s="4" t="s">
        <v>7112</v>
      </c>
      <c r="I2676" s="4" t="s">
        <v>52</v>
      </c>
      <c r="L2676" s="4" t="s">
        <v>7113</v>
      </c>
      <c r="M2676" s="4" t="s">
        <v>7112</v>
      </c>
      <c r="N2676" s="4">
        <v>446</v>
      </c>
      <c r="O2676" s="4" t="s">
        <v>7114</v>
      </c>
    </row>
    <row r="2677" spans="1:15" ht="15.75" customHeight="1">
      <c r="A2677" s="4" t="s">
        <v>49</v>
      </c>
      <c r="B2677" s="4">
        <v>2810131</v>
      </c>
      <c r="C2677" s="4">
        <v>2810445</v>
      </c>
      <c r="E2677" s="4" t="s">
        <v>50</v>
      </c>
      <c r="F2677" s="4" t="s">
        <v>56</v>
      </c>
      <c r="I2677" s="4" t="s">
        <v>52</v>
      </c>
      <c r="L2677" s="4" t="s">
        <v>7115</v>
      </c>
      <c r="M2677" s="4" t="s">
        <v>56</v>
      </c>
      <c r="N2677" s="4">
        <v>104</v>
      </c>
      <c r="O2677" s="4" t="s">
        <v>7116</v>
      </c>
    </row>
    <row r="2678" spans="1:15" ht="15.75" customHeight="1">
      <c r="A2678" s="4" t="s">
        <v>49</v>
      </c>
      <c r="B2678" s="4">
        <v>2810749</v>
      </c>
      <c r="C2678" s="4">
        <v>2811816</v>
      </c>
      <c r="E2678" s="4" t="s">
        <v>50</v>
      </c>
      <c r="F2678" s="4" t="s">
        <v>7117</v>
      </c>
      <c r="I2678" s="4" t="s">
        <v>52</v>
      </c>
      <c r="L2678" s="4" t="s">
        <v>7118</v>
      </c>
      <c r="M2678" s="4" t="s">
        <v>7117</v>
      </c>
      <c r="N2678" s="4">
        <v>355</v>
      </c>
      <c r="O2678" s="4" t="s">
        <v>7119</v>
      </c>
    </row>
    <row r="2679" spans="1:15" ht="15.75" customHeight="1">
      <c r="A2679" s="4" t="s">
        <v>49</v>
      </c>
      <c r="B2679" s="4">
        <v>2811813</v>
      </c>
      <c r="C2679" s="4">
        <v>2812550</v>
      </c>
      <c r="E2679" s="4" t="s">
        <v>50</v>
      </c>
      <c r="F2679" s="4" t="s">
        <v>7117</v>
      </c>
      <c r="I2679" s="4" t="s">
        <v>52</v>
      </c>
      <c r="L2679" s="4" t="s">
        <v>7120</v>
      </c>
      <c r="M2679" s="4" t="s">
        <v>7117</v>
      </c>
      <c r="N2679" s="4">
        <v>245</v>
      </c>
      <c r="O2679" s="4" t="s">
        <v>7121</v>
      </c>
    </row>
    <row r="2680" spans="1:15" ht="15.75" customHeight="1">
      <c r="A2680" s="4" t="s">
        <v>49</v>
      </c>
      <c r="B2680" s="4">
        <v>2812552</v>
      </c>
      <c r="C2680" s="4">
        <v>2813154</v>
      </c>
      <c r="E2680" s="4" t="s">
        <v>50</v>
      </c>
      <c r="F2680" s="4" t="s">
        <v>2493</v>
      </c>
      <c r="I2680" s="4" t="s">
        <v>52</v>
      </c>
      <c r="L2680" s="4" t="s">
        <v>7122</v>
      </c>
      <c r="M2680" s="4" t="s">
        <v>2493</v>
      </c>
      <c r="N2680" s="4">
        <v>200</v>
      </c>
      <c r="O2680" s="4" t="s">
        <v>7123</v>
      </c>
    </row>
    <row r="2681" spans="1:15" ht="15.75" customHeight="1">
      <c r="A2681" s="4" t="s">
        <v>49</v>
      </c>
      <c r="B2681" s="4">
        <v>2813266</v>
      </c>
      <c r="C2681" s="4">
        <v>2814642</v>
      </c>
      <c r="E2681" s="4" t="s">
        <v>50</v>
      </c>
      <c r="F2681" s="4" t="s">
        <v>1125</v>
      </c>
      <c r="I2681" s="4" t="s">
        <v>52</v>
      </c>
      <c r="L2681" s="4" t="s">
        <v>7124</v>
      </c>
      <c r="M2681" s="4" t="s">
        <v>1125</v>
      </c>
      <c r="N2681" s="4">
        <v>458</v>
      </c>
      <c r="O2681" s="4" t="s">
        <v>7125</v>
      </c>
    </row>
    <row r="2682" spans="1:15" ht="15.75" customHeight="1">
      <c r="A2682" s="4" t="s">
        <v>49</v>
      </c>
      <c r="B2682" s="4">
        <v>2814692</v>
      </c>
      <c r="C2682" s="4">
        <v>2815336</v>
      </c>
      <c r="E2682" s="4" t="s">
        <v>50</v>
      </c>
      <c r="F2682" s="4" t="s">
        <v>7126</v>
      </c>
      <c r="I2682" s="4" t="s">
        <v>52</v>
      </c>
      <c r="L2682" s="4" t="s">
        <v>7127</v>
      </c>
      <c r="M2682" s="4" t="s">
        <v>7126</v>
      </c>
      <c r="N2682" s="4">
        <v>214</v>
      </c>
      <c r="O2682" s="4" t="s">
        <v>7128</v>
      </c>
    </row>
    <row r="2683" spans="1:15" ht="15.75" customHeight="1">
      <c r="A2683" s="4" t="s">
        <v>49</v>
      </c>
      <c r="B2683" s="4">
        <v>2815345</v>
      </c>
      <c r="C2683" s="4">
        <v>2816121</v>
      </c>
      <c r="E2683" s="4" t="s">
        <v>50</v>
      </c>
      <c r="F2683" s="4" t="s">
        <v>7129</v>
      </c>
      <c r="I2683" s="4" t="s">
        <v>52</v>
      </c>
      <c r="L2683" s="4" t="s">
        <v>7130</v>
      </c>
      <c r="M2683" s="4" t="s">
        <v>7129</v>
      </c>
      <c r="N2683" s="4">
        <v>258</v>
      </c>
      <c r="O2683" s="4" t="s">
        <v>7131</v>
      </c>
    </row>
    <row r="2684" spans="1:15" ht="15.75" customHeight="1">
      <c r="A2684" s="4" t="s">
        <v>49</v>
      </c>
      <c r="B2684" s="4">
        <v>2816127</v>
      </c>
      <c r="C2684" s="4">
        <v>2816750</v>
      </c>
      <c r="E2684" s="4" t="s">
        <v>50</v>
      </c>
      <c r="F2684" s="4" t="s">
        <v>7132</v>
      </c>
      <c r="I2684" s="4" t="s">
        <v>52</v>
      </c>
      <c r="L2684" s="4" t="s">
        <v>7133</v>
      </c>
      <c r="M2684" s="4" t="s">
        <v>7132</v>
      </c>
      <c r="N2684" s="4">
        <v>207</v>
      </c>
      <c r="O2684" s="4" t="s">
        <v>7134</v>
      </c>
    </row>
    <row r="2685" spans="1:15" ht="15.75" customHeight="1">
      <c r="A2685" s="4" t="s">
        <v>49</v>
      </c>
      <c r="B2685" s="4">
        <v>2816837</v>
      </c>
      <c r="C2685" s="4">
        <v>2817490</v>
      </c>
      <c r="E2685" s="4" t="s">
        <v>55</v>
      </c>
      <c r="F2685" s="4" t="s">
        <v>5732</v>
      </c>
      <c r="I2685" s="4" t="s">
        <v>52</v>
      </c>
      <c r="L2685" s="4" t="s">
        <v>7135</v>
      </c>
      <c r="M2685" s="4" t="s">
        <v>5732</v>
      </c>
      <c r="N2685" s="4">
        <v>217</v>
      </c>
      <c r="O2685" s="4" t="s">
        <v>7136</v>
      </c>
    </row>
    <row r="2686" spans="1:15" ht="15.75" customHeight="1">
      <c r="A2686" s="4" t="s">
        <v>49</v>
      </c>
      <c r="B2686" s="4">
        <v>2817576</v>
      </c>
      <c r="C2686" s="4">
        <v>2818079</v>
      </c>
      <c r="E2686" s="4" t="s">
        <v>55</v>
      </c>
      <c r="F2686" s="4" t="s">
        <v>7137</v>
      </c>
      <c r="I2686" s="4" t="s">
        <v>52</v>
      </c>
      <c r="L2686" s="4" t="s">
        <v>7138</v>
      </c>
      <c r="M2686" s="4" t="s">
        <v>7137</v>
      </c>
      <c r="N2686" s="4">
        <v>167</v>
      </c>
      <c r="O2686" s="4" t="s">
        <v>7139</v>
      </c>
    </row>
    <row r="2687" spans="1:15" ht="15.75" customHeight="1">
      <c r="A2687" s="4" t="s">
        <v>49</v>
      </c>
      <c r="B2687" s="4">
        <v>2818118</v>
      </c>
      <c r="C2687" s="4">
        <v>2819104</v>
      </c>
      <c r="E2687" s="4" t="s">
        <v>55</v>
      </c>
      <c r="F2687" s="4" t="s">
        <v>3280</v>
      </c>
      <c r="I2687" s="4" t="s">
        <v>52</v>
      </c>
      <c r="L2687" s="4" t="s">
        <v>7140</v>
      </c>
      <c r="M2687" s="4" t="s">
        <v>3280</v>
      </c>
      <c r="N2687" s="4">
        <v>328</v>
      </c>
      <c r="O2687" s="4" t="s">
        <v>7141</v>
      </c>
    </row>
    <row r="2688" spans="1:15" ht="15.75" customHeight="1">
      <c r="A2688" s="4" t="s">
        <v>49</v>
      </c>
      <c r="B2688" s="4">
        <v>2819328</v>
      </c>
      <c r="C2688" s="4">
        <v>2819912</v>
      </c>
      <c r="E2688" s="4" t="s">
        <v>50</v>
      </c>
      <c r="F2688" s="4" t="s">
        <v>2242</v>
      </c>
      <c r="I2688" s="4" t="s">
        <v>52</v>
      </c>
      <c r="L2688" s="4" t="s">
        <v>7142</v>
      </c>
      <c r="M2688" s="4" t="s">
        <v>2242</v>
      </c>
      <c r="N2688" s="4">
        <v>194</v>
      </c>
      <c r="O2688" s="4" t="s">
        <v>7143</v>
      </c>
    </row>
    <row r="2689" spans="1:15" ht="15.75" customHeight="1">
      <c r="A2689" s="4" t="s">
        <v>49</v>
      </c>
      <c r="B2689" s="4">
        <v>2819976</v>
      </c>
      <c r="C2689" s="4">
        <v>2820359</v>
      </c>
      <c r="E2689" s="4" t="s">
        <v>50</v>
      </c>
      <c r="F2689" s="4" t="s">
        <v>7144</v>
      </c>
      <c r="I2689" s="4" t="s">
        <v>52</v>
      </c>
      <c r="L2689" s="4" t="s">
        <v>7145</v>
      </c>
      <c r="M2689" s="4" t="s">
        <v>7144</v>
      </c>
      <c r="N2689" s="4">
        <v>127</v>
      </c>
      <c r="O2689" s="4" t="s">
        <v>7146</v>
      </c>
    </row>
    <row r="2690" spans="1:15" ht="15.75" customHeight="1">
      <c r="A2690" s="4" t="s">
        <v>49</v>
      </c>
      <c r="B2690" s="4">
        <v>2820836</v>
      </c>
      <c r="C2690" s="4">
        <v>2822405</v>
      </c>
      <c r="E2690" s="4" t="s">
        <v>50</v>
      </c>
      <c r="F2690" s="4" t="s">
        <v>2555</v>
      </c>
      <c r="I2690" s="4" t="s">
        <v>2547</v>
      </c>
      <c r="O2690" s="4" t="s">
        <v>7147</v>
      </c>
    </row>
    <row r="2691" spans="1:15" ht="15.75" customHeight="1">
      <c r="A2691" s="4" t="s">
        <v>49</v>
      </c>
      <c r="B2691" s="4">
        <v>2822625</v>
      </c>
      <c r="C2691" s="4">
        <v>2825542</v>
      </c>
      <c r="E2691" s="4" t="s">
        <v>50</v>
      </c>
      <c r="F2691" s="4" t="s">
        <v>2549</v>
      </c>
      <c r="I2691" s="4" t="s">
        <v>2547</v>
      </c>
      <c r="O2691" s="4" t="s">
        <v>7148</v>
      </c>
    </row>
    <row r="2692" spans="1:15" ht="15.75" customHeight="1">
      <c r="A2692" s="4" t="s">
        <v>49</v>
      </c>
      <c r="B2692" s="4">
        <v>2825741</v>
      </c>
      <c r="C2692" s="4">
        <v>2825857</v>
      </c>
      <c r="E2692" s="4" t="s">
        <v>50</v>
      </c>
      <c r="F2692" s="4" t="s">
        <v>2545</v>
      </c>
      <c r="G2692" s="4" t="s">
        <v>2546</v>
      </c>
      <c r="I2692" s="4" t="s">
        <v>2547</v>
      </c>
      <c r="O2692" s="4" t="s">
        <v>7149</v>
      </c>
    </row>
    <row r="2693" spans="1:15" ht="15.75" customHeight="1">
      <c r="A2693" s="4" t="s">
        <v>49</v>
      </c>
      <c r="B2693" s="4">
        <v>2825866</v>
      </c>
      <c r="C2693" s="4">
        <v>2825938</v>
      </c>
      <c r="E2693" s="4" t="s">
        <v>50</v>
      </c>
      <c r="F2693" s="4" t="s">
        <v>6102</v>
      </c>
      <c r="I2693" s="4" t="s">
        <v>302</v>
      </c>
      <c r="O2693" s="4" t="s">
        <v>7150</v>
      </c>
    </row>
    <row r="2694" spans="1:15" ht="15.75" customHeight="1">
      <c r="A2694" s="4" t="s">
        <v>49</v>
      </c>
      <c r="B2694" s="4">
        <v>2825941</v>
      </c>
      <c r="C2694" s="4">
        <v>2826013</v>
      </c>
      <c r="E2694" s="4" t="s">
        <v>50</v>
      </c>
      <c r="F2694" s="4" t="s">
        <v>5199</v>
      </c>
      <c r="I2694" s="4" t="s">
        <v>302</v>
      </c>
      <c r="O2694" s="4" t="s">
        <v>7151</v>
      </c>
    </row>
    <row r="2695" spans="1:15" ht="15.75" customHeight="1">
      <c r="A2695" s="4" t="s">
        <v>49</v>
      </c>
      <c r="B2695" s="4">
        <v>2826055</v>
      </c>
      <c r="C2695" s="4">
        <v>2826127</v>
      </c>
      <c r="E2695" s="4" t="s">
        <v>50</v>
      </c>
      <c r="F2695" s="4" t="s">
        <v>2532</v>
      </c>
      <c r="I2695" s="4" t="s">
        <v>302</v>
      </c>
      <c r="O2695" s="4" t="s">
        <v>7152</v>
      </c>
    </row>
    <row r="2696" spans="1:15" ht="15.75" customHeight="1">
      <c r="A2696" s="4" t="s">
        <v>49</v>
      </c>
      <c r="B2696" s="4">
        <v>2826161</v>
      </c>
      <c r="C2696" s="4">
        <v>2826232</v>
      </c>
      <c r="E2696" s="4" t="s">
        <v>50</v>
      </c>
      <c r="F2696" s="4" t="s">
        <v>2261</v>
      </c>
      <c r="I2696" s="4" t="s">
        <v>302</v>
      </c>
      <c r="O2696" s="4" t="s">
        <v>7153</v>
      </c>
    </row>
    <row r="2697" spans="1:15" ht="15.75" customHeight="1">
      <c r="A2697" s="4" t="s">
        <v>49</v>
      </c>
      <c r="B2697" s="4">
        <v>2826293</v>
      </c>
      <c r="C2697" s="4">
        <v>2826366</v>
      </c>
      <c r="E2697" s="4" t="s">
        <v>50</v>
      </c>
      <c r="F2697" s="4" t="s">
        <v>301</v>
      </c>
      <c r="I2697" s="4" t="s">
        <v>302</v>
      </c>
      <c r="O2697" s="4" t="s">
        <v>7154</v>
      </c>
    </row>
    <row r="2698" spans="1:15" ht="15.75" customHeight="1">
      <c r="A2698" s="4" t="s">
        <v>49</v>
      </c>
      <c r="B2698" s="4">
        <v>2826371</v>
      </c>
      <c r="C2698" s="4">
        <v>2826444</v>
      </c>
      <c r="E2698" s="4" t="s">
        <v>50</v>
      </c>
      <c r="F2698" s="4" t="s">
        <v>6110</v>
      </c>
      <c r="I2698" s="4" t="s">
        <v>302</v>
      </c>
      <c r="O2698" s="4" t="s">
        <v>7155</v>
      </c>
    </row>
    <row r="2699" spans="1:15" ht="15.75" customHeight="1">
      <c r="A2699" s="4" t="s">
        <v>49</v>
      </c>
      <c r="B2699" s="4">
        <v>2826471</v>
      </c>
      <c r="C2699" s="4">
        <v>2826544</v>
      </c>
      <c r="E2699" s="4" t="s">
        <v>50</v>
      </c>
      <c r="F2699" s="4" t="s">
        <v>7156</v>
      </c>
      <c r="I2699" s="4" t="s">
        <v>302</v>
      </c>
      <c r="O2699" s="4" t="s">
        <v>7157</v>
      </c>
    </row>
    <row r="2700" spans="1:15" ht="15.75" customHeight="1">
      <c r="A2700" s="4" t="s">
        <v>49</v>
      </c>
      <c r="B2700" s="4">
        <v>2826553</v>
      </c>
      <c r="C2700" s="4">
        <v>2826626</v>
      </c>
      <c r="E2700" s="4" t="s">
        <v>50</v>
      </c>
      <c r="F2700" s="4" t="s">
        <v>2553</v>
      </c>
      <c r="I2700" s="4" t="s">
        <v>302</v>
      </c>
      <c r="O2700" s="4" t="s">
        <v>7158</v>
      </c>
    </row>
    <row r="2701" spans="1:15" ht="15.75" customHeight="1">
      <c r="A2701" s="4" t="s">
        <v>49</v>
      </c>
      <c r="B2701" s="4">
        <v>2826675</v>
      </c>
      <c r="C2701" s="4">
        <v>2826748</v>
      </c>
      <c r="E2701" s="4" t="s">
        <v>50</v>
      </c>
      <c r="F2701" s="4" t="s">
        <v>7156</v>
      </c>
      <c r="I2701" s="4" t="s">
        <v>302</v>
      </c>
      <c r="O2701" s="4" t="s">
        <v>7159</v>
      </c>
    </row>
    <row r="2702" spans="1:15" ht="15.75" customHeight="1">
      <c r="A2702" s="4" t="s">
        <v>49</v>
      </c>
      <c r="B2702" s="4">
        <v>2826756</v>
      </c>
      <c r="C2702" s="4">
        <v>2826829</v>
      </c>
      <c r="E2702" s="4" t="s">
        <v>50</v>
      </c>
      <c r="F2702" s="4" t="s">
        <v>7160</v>
      </c>
      <c r="I2702" s="4" t="s">
        <v>302</v>
      </c>
      <c r="O2702" s="4" t="s">
        <v>7161</v>
      </c>
    </row>
    <row r="2703" spans="1:15" ht="15.75" customHeight="1">
      <c r="A2703" s="4" t="s">
        <v>49</v>
      </c>
      <c r="B2703" s="4">
        <v>2826835</v>
      </c>
      <c r="C2703" s="4">
        <v>2826907</v>
      </c>
      <c r="E2703" s="4" t="s">
        <v>50</v>
      </c>
      <c r="F2703" s="4" t="s">
        <v>7162</v>
      </c>
      <c r="I2703" s="4" t="s">
        <v>302</v>
      </c>
      <c r="O2703" s="4" t="s">
        <v>7163</v>
      </c>
    </row>
    <row r="2704" spans="1:15" ht="15.75" customHeight="1">
      <c r="A2704" s="4" t="s">
        <v>49</v>
      </c>
      <c r="B2704" s="4">
        <v>2826927</v>
      </c>
      <c r="C2704" s="4">
        <v>2826997</v>
      </c>
      <c r="E2704" s="4" t="s">
        <v>50</v>
      </c>
      <c r="F2704" s="4" t="s">
        <v>2261</v>
      </c>
      <c r="I2704" s="4" t="s">
        <v>302</v>
      </c>
      <c r="O2704" s="4" t="s">
        <v>7164</v>
      </c>
    </row>
    <row r="2705" spans="1:15" ht="15.75" customHeight="1">
      <c r="A2705" s="4" t="s">
        <v>49</v>
      </c>
      <c r="B2705" s="4">
        <v>2827012</v>
      </c>
      <c r="C2705" s="4">
        <v>2827085</v>
      </c>
      <c r="E2705" s="4" t="s">
        <v>50</v>
      </c>
      <c r="F2705" s="4" t="s">
        <v>2553</v>
      </c>
      <c r="I2705" s="4" t="s">
        <v>302</v>
      </c>
      <c r="O2705" s="4" t="s">
        <v>7165</v>
      </c>
    </row>
    <row r="2706" spans="1:15" ht="15.75" customHeight="1">
      <c r="A2706" s="4" t="s">
        <v>49</v>
      </c>
      <c r="B2706" s="4">
        <v>2827115</v>
      </c>
      <c r="C2706" s="4">
        <v>2827202</v>
      </c>
      <c r="E2706" s="4" t="s">
        <v>50</v>
      </c>
      <c r="F2706" s="4" t="s">
        <v>1694</v>
      </c>
      <c r="I2706" s="4" t="s">
        <v>302</v>
      </c>
      <c r="O2706" s="4" t="s">
        <v>7166</v>
      </c>
    </row>
    <row r="2707" spans="1:15" ht="15.75" customHeight="1">
      <c r="A2707" s="4" t="s">
        <v>49</v>
      </c>
      <c r="B2707" s="4">
        <v>2827207</v>
      </c>
      <c r="C2707" s="4">
        <v>2827278</v>
      </c>
      <c r="E2707" s="4" t="s">
        <v>50</v>
      </c>
      <c r="F2707" s="4" t="s">
        <v>429</v>
      </c>
      <c r="I2707" s="4" t="s">
        <v>302</v>
      </c>
      <c r="O2707" s="4" t="s">
        <v>7167</v>
      </c>
    </row>
    <row r="2708" spans="1:15" ht="15.75" customHeight="1">
      <c r="A2708" s="4" t="s">
        <v>49</v>
      </c>
      <c r="B2708" s="4">
        <v>2827288</v>
      </c>
      <c r="C2708" s="4">
        <v>2827379</v>
      </c>
      <c r="E2708" s="4" t="s">
        <v>50</v>
      </c>
      <c r="F2708" s="4" t="s">
        <v>1694</v>
      </c>
      <c r="I2708" s="4" t="s">
        <v>302</v>
      </c>
      <c r="O2708" s="4" t="s">
        <v>7168</v>
      </c>
    </row>
    <row r="2709" spans="1:15" ht="15.75" customHeight="1">
      <c r="A2709" s="4" t="s">
        <v>49</v>
      </c>
      <c r="B2709" s="4">
        <v>2827390</v>
      </c>
      <c r="C2709" s="4">
        <v>2827463</v>
      </c>
      <c r="E2709" s="4" t="s">
        <v>50</v>
      </c>
      <c r="F2709" s="4" t="s">
        <v>7156</v>
      </c>
      <c r="I2709" s="4" t="s">
        <v>302</v>
      </c>
      <c r="O2709" s="4" t="s">
        <v>7169</v>
      </c>
    </row>
    <row r="2710" spans="1:15" ht="15.75" customHeight="1">
      <c r="A2710" s="4" t="s">
        <v>49</v>
      </c>
      <c r="B2710" s="4">
        <v>2827471</v>
      </c>
      <c r="C2710" s="4">
        <v>2827544</v>
      </c>
      <c r="E2710" s="4" t="s">
        <v>50</v>
      </c>
      <c r="F2710" s="4" t="s">
        <v>7160</v>
      </c>
      <c r="I2710" s="4" t="s">
        <v>302</v>
      </c>
      <c r="O2710" s="4" t="s">
        <v>7170</v>
      </c>
    </row>
    <row r="2711" spans="1:15" ht="15.75" customHeight="1">
      <c r="A2711" s="4" t="s">
        <v>49</v>
      </c>
      <c r="B2711" s="4">
        <v>2827588</v>
      </c>
      <c r="C2711" s="4">
        <v>2827660</v>
      </c>
      <c r="E2711" s="4" t="s">
        <v>50</v>
      </c>
      <c r="F2711" s="4" t="s">
        <v>7162</v>
      </c>
      <c r="I2711" s="4" t="s">
        <v>302</v>
      </c>
      <c r="O2711" s="4" t="s">
        <v>7171</v>
      </c>
    </row>
    <row r="2712" spans="1:15" ht="15.75" customHeight="1">
      <c r="A2712" s="4" t="s">
        <v>49</v>
      </c>
      <c r="B2712" s="4">
        <v>2827665</v>
      </c>
      <c r="C2712" s="4">
        <v>2827745</v>
      </c>
      <c r="E2712" s="4" t="s">
        <v>50</v>
      </c>
      <c r="F2712" s="4" t="s">
        <v>2491</v>
      </c>
      <c r="I2712" s="4" t="s">
        <v>302</v>
      </c>
      <c r="O2712" s="4" t="s">
        <v>7172</v>
      </c>
    </row>
    <row r="2713" spans="1:15" ht="15.75" customHeight="1">
      <c r="A2713" s="4" t="s">
        <v>49</v>
      </c>
      <c r="B2713" s="4">
        <v>2827752</v>
      </c>
      <c r="C2713" s="4">
        <v>2827822</v>
      </c>
      <c r="E2713" s="4" t="s">
        <v>50</v>
      </c>
      <c r="F2713" s="4" t="s">
        <v>7173</v>
      </c>
      <c r="I2713" s="4" t="s">
        <v>302</v>
      </c>
      <c r="O2713" s="4" t="s">
        <v>7174</v>
      </c>
    </row>
    <row r="2714" spans="1:15" ht="15.75" customHeight="1">
      <c r="A2714" s="4" t="s">
        <v>49</v>
      </c>
      <c r="B2714" s="4">
        <v>2827834</v>
      </c>
      <c r="C2714" s="4">
        <v>2827906</v>
      </c>
      <c r="E2714" s="4" t="s">
        <v>50</v>
      </c>
      <c r="F2714" s="4" t="s">
        <v>7175</v>
      </c>
      <c r="I2714" s="4" t="s">
        <v>302</v>
      </c>
      <c r="O2714" s="4" t="s">
        <v>7176</v>
      </c>
    </row>
    <row r="2715" spans="1:15" ht="15.75" customHeight="1">
      <c r="A2715" s="4" t="s">
        <v>49</v>
      </c>
      <c r="B2715" s="4">
        <v>2827915</v>
      </c>
      <c r="C2715" s="4">
        <v>2827986</v>
      </c>
      <c r="E2715" s="4" t="s">
        <v>50</v>
      </c>
      <c r="F2715" s="4" t="s">
        <v>446</v>
      </c>
      <c r="I2715" s="4" t="s">
        <v>302</v>
      </c>
      <c r="O2715" s="4" t="s">
        <v>7177</v>
      </c>
    </row>
    <row r="2716" spans="1:15" ht="15.75" customHeight="1">
      <c r="A2716" s="4" t="s">
        <v>49</v>
      </c>
      <c r="B2716" s="4">
        <v>2828029</v>
      </c>
      <c r="C2716" s="4">
        <v>2828099</v>
      </c>
      <c r="E2716" s="4" t="s">
        <v>50</v>
      </c>
      <c r="F2716" s="4" t="s">
        <v>7178</v>
      </c>
      <c r="I2716" s="4" t="s">
        <v>302</v>
      </c>
      <c r="O2716" s="4" t="s">
        <v>7179</v>
      </c>
    </row>
    <row r="2717" spans="1:15" ht="15.75" customHeight="1">
      <c r="A2717" s="4" t="s">
        <v>49</v>
      </c>
      <c r="B2717" s="4">
        <v>2828146</v>
      </c>
      <c r="C2717" s="4">
        <v>2828229</v>
      </c>
      <c r="E2717" s="4" t="s">
        <v>50</v>
      </c>
      <c r="F2717" s="4" t="s">
        <v>2447</v>
      </c>
      <c r="I2717" s="4" t="s">
        <v>302</v>
      </c>
      <c r="O2717" s="4" t="s">
        <v>7180</v>
      </c>
    </row>
    <row r="2718" spans="1:15" ht="15.75" customHeight="1">
      <c r="A2718" s="4" t="s">
        <v>49</v>
      </c>
      <c r="B2718" s="4">
        <v>2828502</v>
      </c>
      <c r="C2718" s="4">
        <v>2829050</v>
      </c>
      <c r="E2718" s="4" t="s">
        <v>55</v>
      </c>
      <c r="F2718" s="4" t="s">
        <v>7181</v>
      </c>
      <c r="I2718" s="4" t="s">
        <v>52</v>
      </c>
      <c r="L2718" s="4" t="s">
        <v>7182</v>
      </c>
      <c r="M2718" s="4" t="s">
        <v>7181</v>
      </c>
      <c r="N2718" s="4">
        <v>182</v>
      </c>
      <c r="O2718" s="4" t="s">
        <v>7183</v>
      </c>
    </row>
    <row r="2719" spans="1:15" ht="15.75" customHeight="1">
      <c r="A2719" s="4" t="s">
        <v>49</v>
      </c>
      <c r="B2719" s="4">
        <v>2829582</v>
      </c>
      <c r="C2719" s="4">
        <v>2831144</v>
      </c>
      <c r="E2719" s="4" t="s">
        <v>50</v>
      </c>
      <c r="F2719" s="4" t="s">
        <v>2780</v>
      </c>
      <c r="I2719" s="4" t="s">
        <v>52</v>
      </c>
      <c r="L2719" s="4" t="s">
        <v>7184</v>
      </c>
      <c r="M2719" s="4" t="s">
        <v>2780</v>
      </c>
      <c r="N2719" s="4">
        <v>520</v>
      </c>
      <c r="O2719" s="4" t="s">
        <v>7185</v>
      </c>
    </row>
    <row r="2720" spans="1:15" ht="15.75" customHeight="1">
      <c r="A2720" s="4" t="s">
        <v>49</v>
      </c>
      <c r="B2720" s="4">
        <v>2831431</v>
      </c>
      <c r="C2720" s="4">
        <v>2832639</v>
      </c>
      <c r="E2720" s="4" t="s">
        <v>50</v>
      </c>
      <c r="F2720" s="4" t="s">
        <v>5241</v>
      </c>
      <c r="I2720" s="4" t="s">
        <v>52</v>
      </c>
      <c r="L2720" s="4" t="s">
        <v>7186</v>
      </c>
      <c r="M2720" s="4" t="s">
        <v>5241</v>
      </c>
      <c r="N2720" s="4">
        <v>402</v>
      </c>
      <c r="O2720" s="4" t="s">
        <v>7187</v>
      </c>
    </row>
    <row r="2721" spans="1:15" ht="15.75" customHeight="1">
      <c r="A2721" s="4" t="s">
        <v>49</v>
      </c>
      <c r="B2721" s="4">
        <v>2832642</v>
      </c>
      <c r="C2721" s="4">
        <v>2833670</v>
      </c>
      <c r="E2721" s="4" t="s">
        <v>50</v>
      </c>
      <c r="F2721" s="4" t="s">
        <v>5241</v>
      </c>
      <c r="I2721" s="4" t="s">
        <v>52</v>
      </c>
      <c r="L2721" s="4" t="s">
        <v>7188</v>
      </c>
      <c r="M2721" s="4" t="s">
        <v>5241</v>
      </c>
      <c r="N2721" s="4">
        <v>342</v>
      </c>
      <c r="O2721" s="4" t="s">
        <v>7189</v>
      </c>
    </row>
    <row r="2722" spans="1:15" ht="15.75" customHeight="1">
      <c r="A2722" s="4" t="s">
        <v>49</v>
      </c>
      <c r="B2722" s="4">
        <v>2833683</v>
      </c>
      <c r="C2722" s="4">
        <v>2834696</v>
      </c>
      <c r="E2722" s="4" t="s">
        <v>50</v>
      </c>
      <c r="F2722" s="4" t="s">
        <v>7190</v>
      </c>
      <c r="I2722" s="4" t="s">
        <v>52</v>
      </c>
      <c r="L2722" s="4" t="s">
        <v>7191</v>
      </c>
      <c r="M2722" s="4" t="s">
        <v>7190</v>
      </c>
      <c r="N2722" s="4">
        <v>337</v>
      </c>
      <c r="O2722" s="4" t="s">
        <v>7192</v>
      </c>
    </row>
    <row r="2723" spans="1:15" ht="15.75" customHeight="1">
      <c r="A2723" s="4" t="s">
        <v>49</v>
      </c>
      <c r="B2723" s="4">
        <v>2834732</v>
      </c>
      <c r="C2723" s="4">
        <v>2835085</v>
      </c>
      <c r="E2723" s="4" t="s">
        <v>50</v>
      </c>
      <c r="F2723" s="4" t="s">
        <v>56</v>
      </c>
      <c r="I2723" s="4" t="s">
        <v>52</v>
      </c>
      <c r="L2723" s="4" t="s">
        <v>7193</v>
      </c>
      <c r="M2723" s="4" t="s">
        <v>56</v>
      </c>
      <c r="N2723" s="4">
        <v>117</v>
      </c>
      <c r="O2723" s="4" t="s">
        <v>7194</v>
      </c>
    </row>
    <row r="2724" spans="1:15" ht="15.75" customHeight="1">
      <c r="A2724" s="4" t="s">
        <v>49</v>
      </c>
      <c r="B2724" s="4">
        <v>2835171</v>
      </c>
      <c r="C2724" s="4">
        <v>2836346</v>
      </c>
      <c r="E2724" s="4" t="s">
        <v>55</v>
      </c>
      <c r="F2724" s="4" t="s">
        <v>1519</v>
      </c>
      <c r="I2724" s="4" t="s">
        <v>52</v>
      </c>
      <c r="L2724" s="4" t="s">
        <v>7195</v>
      </c>
      <c r="M2724" s="4" t="s">
        <v>1519</v>
      </c>
      <c r="N2724" s="4">
        <v>391</v>
      </c>
      <c r="O2724" s="4" t="s">
        <v>7196</v>
      </c>
    </row>
    <row r="2725" spans="1:15" ht="15.75" customHeight="1">
      <c r="A2725" s="4" t="s">
        <v>49</v>
      </c>
      <c r="B2725" s="4">
        <v>2836592</v>
      </c>
      <c r="C2725" s="4">
        <v>2836870</v>
      </c>
      <c r="E2725" s="4" t="s">
        <v>50</v>
      </c>
      <c r="F2725" s="4" t="s">
        <v>7197</v>
      </c>
      <c r="I2725" s="4" t="s">
        <v>52</v>
      </c>
      <c r="L2725" s="4" t="s">
        <v>7198</v>
      </c>
      <c r="M2725" s="4" t="s">
        <v>7197</v>
      </c>
      <c r="N2725" s="4">
        <v>92</v>
      </c>
      <c r="O2725" s="4" t="s">
        <v>7199</v>
      </c>
    </row>
    <row r="2726" spans="1:15" ht="15.75" customHeight="1">
      <c r="A2726" s="4" t="s">
        <v>49</v>
      </c>
      <c r="B2726" s="4">
        <v>2837101</v>
      </c>
      <c r="C2726" s="4">
        <v>2839194</v>
      </c>
      <c r="E2726" s="4" t="s">
        <v>50</v>
      </c>
      <c r="F2726" s="4" t="s">
        <v>397</v>
      </c>
      <c r="I2726" s="4" t="s">
        <v>52</v>
      </c>
      <c r="L2726" s="4" t="s">
        <v>7200</v>
      </c>
      <c r="M2726" s="4" t="s">
        <v>397</v>
      </c>
      <c r="N2726" s="4">
        <v>697</v>
      </c>
      <c r="O2726" s="4" t="s">
        <v>7201</v>
      </c>
    </row>
    <row r="2727" spans="1:15" ht="15.75" customHeight="1">
      <c r="A2727" s="4" t="s">
        <v>49</v>
      </c>
      <c r="B2727" s="4">
        <v>2839387</v>
      </c>
      <c r="C2727" s="4">
        <v>2839827</v>
      </c>
      <c r="E2727" s="4" t="s">
        <v>50</v>
      </c>
      <c r="F2727" s="4" t="s">
        <v>2870</v>
      </c>
      <c r="I2727" s="4" t="s">
        <v>52</v>
      </c>
      <c r="L2727" s="4" t="s">
        <v>7202</v>
      </c>
      <c r="M2727" s="4" t="s">
        <v>2870</v>
      </c>
      <c r="N2727" s="4">
        <v>146</v>
      </c>
      <c r="O2727" s="4" t="s">
        <v>7203</v>
      </c>
    </row>
    <row r="2728" spans="1:15" ht="15.75" customHeight="1">
      <c r="A2728" s="4" t="s">
        <v>49</v>
      </c>
      <c r="B2728" s="4">
        <v>2840276</v>
      </c>
      <c r="C2728" s="4">
        <v>2841845</v>
      </c>
      <c r="E2728" s="4" t="s">
        <v>50</v>
      </c>
      <c r="F2728" s="4" t="s">
        <v>2555</v>
      </c>
      <c r="I2728" s="4" t="s">
        <v>2547</v>
      </c>
      <c r="O2728" s="4" t="s">
        <v>7204</v>
      </c>
    </row>
    <row r="2729" spans="1:15" ht="15.75" customHeight="1">
      <c r="A2729" s="4" t="s">
        <v>49</v>
      </c>
      <c r="B2729" s="4">
        <v>2842065</v>
      </c>
      <c r="C2729" s="4">
        <v>2844982</v>
      </c>
      <c r="E2729" s="4" t="s">
        <v>50</v>
      </c>
      <c r="F2729" s="4" t="s">
        <v>2549</v>
      </c>
      <c r="I2729" s="4" t="s">
        <v>2547</v>
      </c>
      <c r="O2729" s="4" t="s">
        <v>7205</v>
      </c>
    </row>
    <row r="2730" spans="1:15" ht="15.75" customHeight="1">
      <c r="A2730" s="4" t="s">
        <v>49</v>
      </c>
      <c r="B2730" s="4">
        <v>2845105</v>
      </c>
      <c r="C2730" s="4">
        <v>2845221</v>
      </c>
      <c r="E2730" s="4" t="s">
        <v>50</v>
      </c>
      <c r="F2730" s="4" t="s">
        <v>2545</v>
      </c>
      <c r="G2730" s="4" t="s">
        <v>2546</v>
      </c>
      <c r="I2730" s="4" t="s">
        <v>2547</v>
      </c>
      <c r="O2730" s="4" t="s">
        <v>7206</v>
      </c>
    </row>
    <row r="2731" spans="1:15" ht="15.75" customHeight="1">
      <c r="A2731" s="4" t="s">
        <v>49</v>
      </c>
      <c r="B2731" s="4">
        <v>2845231</v>
      </c>
      <c r="C2731" s="4">
        <v>2845303</v>
      </c>
      <c r="E2731" s="4" t="s">
        <v>50</v>
      </c>
      <c r="F2731" s="4" t="s">
        <v>2543</v>
      </c>
      <c r="I2731" s="4" t="s">
        <v>302</v>
      </c>
      <c r="O2731" s="4" t="s">
        <v>7207</v>
      </c>
    </row>
    <row r="2732" spans="1:15" ht="15.75" customHeight="1">
      <c r="A2732" s="4" t="s">
        <v>49</v>
      </c>
      <c r="B2732" s="4">
        <v>2845312</v>
      </c>
      <c r="C2732" s="4">
        <v>2845401</v>
      </c>
      <c r="E2732" s="4" t="s">
        <v>50</v>
      </c>
      <c r="F2732" s="4" t="s">
        <v>1694</v>
      </c>
      <c r="I2732" s="4" t="s">
        <v>302</v>
      </c>
      <c r="O2732" s="4" t="s">
        <v>7208</v>
      </c>
    </row>
    <row r="2733" spans="1:15" ht="15.75" customHeight="1">
      <c r="A2733" s="4" t="s">
        <v>49</v>
      </c>
      <c r="B2733" s="4">
        <v>2845656</v>
      </c>
      <c r="C2733" s="4">
        <v>2845728</v>
      </c>
      <c r="E2733" s="4" t="s">
        <v>50</v>
      </c>
      <c r="F2733" s="4" t="s">
        <v>6102</v>
      </c>
      <c r="I2733" s="4" t="s">
        <v>302</v>
      </c>
      <c r="O2733" s="4" t="s">
        <v>7209</v>
      </c>
    </row>
    <row r="2734" spans="1:15" ht="15.75" customHeight="1">
      <c r="A2734" s="4" t="s">
        <v>49</v>
      </c>
      <c r="B2734" s="4">
        <v>2845887</v>
      </c>
      <c r="C2734" s="4">
        <v>2846534</v>
      </c>
      <c r="E2734" s="4" t="s">
        <v>55</v>
      </c>
      <c r="F2734" s="4" t="s">
        <v>56</v>
      </c>
      <c r="I2734" s="4" t="s">
        <v>52</v>
      </c>
      <c r="L2734" s="4" t="s">
        <v>7210</v>
      </c>
      <c r="M2734" s="4" t="s">
        <v>56</v>
      </c>
      <c r="N2734" s="4">
        <v>215</v>
      </c>
      <c r="O2734" s="4" t="s">
        <v>7211</v>
      </c>
    </row>
    <row r="2735" spans="1:15" ht="15.75" customHeight="1">
      <c r="A2735" s="4" t="s">
        <v>49</v>
      </c>
      <c r="B2735" s="4">
        <v>2846715</v>
      </c>
      <c r="C2735" s="4">
        <v>2847899</v>
      </c>
      <c r="E2735" s="4" t="s">
        <v>50</v>
      </c>
      <c r="F2735" s="4" t="s">
        <v>7212</v>
      </c>
      <c r="G2735" s="4" t="s">
        <v>7213</v>
      </c>
      <c r="I2735" s="4" t="s">
        <v>52</v>
      </c>
      <c r="L2735" s="4" t="s">
        <v>7214</v>
      </c>
      <c r="M2735" s="4" t="s">
        <v>7212</v>
      </c>
      <c r="N2735" s="4">
        <v>394</v>
      </c>
      <c r="O2735" s="4" t="s">
        <v>7215</v>
      </c>
    </row>
    <row r="2736" spans="1:15" ht="15.75" customHeight="1">
      <c r="A2736" s="4" t="s">
        <v>49</v>
      </c>
      <c r="B2736" s="4">
        <v>2848013</v>
      </c>
      <c r="C2736" s="4">
        <v>2849506</v>
      </c>
      <c r="E2736" s="4" t="s">
        <v>50</v>
      </c>
      <c r="F2736" s="4" t="s">
        <v>3391</v>
      </c>
      <c r="I2736" s="4" t="s">
        <v>52</v>
      </c>
      <c r="L2736" s="4" t="s">
        <v>7216</v>
      </c>
      <c r="M2736" s="4" t="s">
        <v>3391</v>
      </c>
      <c r="N2736" s="4">
        <v>497</v>
      </c>
      <c r="O2736" s="4" t="s">
        <v>7217</v>
      </c>
    </row>
    <row r="2737" spans="1:15" ht="15.75" customHeight="1">
      <c r="A2737" s="4" t="s">
        <v>49</v>
      </c>
      <c r="B2737" s="4">
        <v>2849602</v>
      </c>
      <c r="C2737" s="4">
        <v>2850072</v>
      </c>
      <c r="E2737" s="4" t="s">
        <v>55</v>
      </c>
      <c r="F2737" s="4" t="s">
        <v>743</v>
      </c>
      <c r="I2737" s="4" t="s">
        <v>52</v>
      </c>
      <c r="L2737" s="4" t="s">
        <v>7218</v>
      </c>
      <c r="M2737" s="4" t="s">
        <v>743</v>
      </c>
      <c r="N2737" s="4">
        <v>156</v>
      </c>
      <c r="O2737" s="4" t="s">
        <v>7219</v>
      </c>
    </row>
    <row r="2738" spans="1:15" ht="15.75" customHeight="1">
      <c r="A2738" s="4" t="s">
        <v>49</v>
      </c>
      <c r="B2738" s="4">
        <v>2850316</v>
      </c>
      <c r="C2738" s="4">
        <v>2851794</v>
      </c>
      <c r="E2738" s="4" t="s">
        <v>50</v>
      </c>
      <c r="F2738" s="4" t="s">
        <v>3391</v>
      </c>
      <c r="I2738" s="4" t="s">
        <v>52</v>
      </c>
      <c r="L2738" s="4" t="s">
        <v>7220</v>
      </c>
      <c r="M2738" s="4" t="s">
        <v>3391</v>
      </c>
      <c r="N2738" s="4">
        <v>492</v>
      </c>
      <c r="O2738" s="4" t="s">
        <v>7221</v>
      </c>
    </row>
    <row r="2739" spans="1:15" ht="15.75" customHeight="1">
      <c r="A2739" s="4" t="s">
        <v>49</v>
      </c>
      <c r="B2739" s="4">
        <v>2851791</v>
      </c>
      <c r="C2739" s="4">
        <v>2852516</v>
      </c>
      <c r="E2739" s="4" t="s">
        <v>50</v>
      </c>
      <c r="F2739" s="4" t="s">
        <v>3394</v>
      </c>
      <c r="I2739" s="4" t="s">
        <v>52</v>
      </c>
      <c r="L2739" s="4" t="s">
        <v>7222</v>
      </c>
      <c r="M2739" s="4" t="s">
        <v>3394</v>
      </c>
      <c r="N2739" s="4">
        <v>241</v>
      </c>
      <c r="O2739" s="4" t="s">
        <v>7223</v>
      </c>
    </row>
    <row r="2740" spans="1:15" ht="15.75" customHeight="1">
      <c r="A2740" s="4" t="s">
        <v>49</v>
      </c>
      <c r="B2740" s="4">
        <v>2852617</v>
      </c>
      <c r="C2740" s="4">
        <v>2853300</v>
      </c>
      <c r="E2740" s="4" t="s">
        <v>55</v>
      </c>
      <c r="F2740" s="4" t="s">
        <v>4775</v>
      </c>
      <c r="I2740" s="4" t="s">
        <v>52</v>
      </c>
      <c r="L2740" s="4" t="s">
        <v>7224</v>
      </c>
      <c r="M2740" s="4" t="s">
        <v>4775</v>
      </c>
      <c r="N2740" s="4">
        <v>227</v>
      </c>
      <c r="O2740" s="4" t="s">
        <v>7225</v>
      </c>
    </row>
    <row r="2741" spans="1:15" ht="15.75" customHeight="1">
      <c r="A2741" s="4" t="s">
        <v>49</v>
      </c>
      <c r="B2741" s="4">
        <v>2853879</v>
      </c>
      <c r="C2741" s="4">
        <v>2856290</v>
      </c>
      <c r="E2741" s="4" t="s">
        <v>50</v>
      </c>
      <c r="F2741" s="4" t="s">
        <v>7226</v>
      </c>
      <c r="G2741" s="4" t="s">
        <v>7227</v>
      </c>
      <c r="I2741" s="4" t="s">
        <v>52</v>
      </c>
      <c r="L2741" s="4" t="s">
        <v>7228</v>
      </c>
      <c r="M2741" s="4" t="s">
        <v>7226</v>
      </c>
      <c r="N2741" s="4">
        <v>803</v>
      </c>
      <c r="O2741" s="4" t="s">
        <v>7229</v>
      </c>
    </row>
    <row r="2742" spans="1:15" ht="15.75" customHeight="1">
      <c r="A2742" s="4" t="s">
        <v>49</v>
      </c>
      <c r="B2742" s="4">
        <v>2856556</v>
      </c>
      <c r="C2742" s="4">
        <v>2858199</v>
      </c>
      <c r="E2742" s="4" t="s">
        <v>50</v>
      </c>
      <c r="F2742" s="4" t="s">
        <v>6052</v>
      </c>
      <c r="I2742" s="4" t="s">
        <v>52</v>
      </c>
      <c r="L2742" s="4" t="s">
        <v>7230</v>
      </c>
      <c r="M2742" s="4" t="s">
        <v>6052</v>
      </c>
      <c r="N2742" s="4">
        <v>547</v>
      </c>
      <c r="O2742" s="4" t="s">
        <v>7231</v>
      </c>
    </row>
    <row r="2743" spans="1:15" ht="15.75" customHeight="1">
      <c r="A2743" s="4" t="s">
        <v>49</v>
      </c>
      <c r="B2743" s="4">
        <v>2858204</v>
      </c>
      <c r="C2743" s="4">
        <v>2858914</v>
      </c>
      <c r="E2743" s="4" t="s">
        <v>50</v>
      </c>
      <c r="F2743" s="4" t="s">
        <v>1164</v>
      </c>
      <c r="I2743" s="4" t="s">
        <v>52</v>
      </c>
      <c r="L2743" s="4" t="s">
        <v>7232</v>
      </c>
      <c r="M2743" s="4" t="s">
        <v>1164</v>
      </c>
      <c r="N2743" s="4">
        <v>236</v>
      </c>
      <c r="O2743" s="4" t="s">
        <v>7233</v>
      </c>
    </row>
    <row r="2744" spans="1:15" ht="15.75" customHeight="1">
      <c r="A2744" s="4" t="s">
        <v>49</v>
      </c>
      <c r="B2744" s="4">
        <v>2859057</v>
      </c>
      <c r="C2744" s="4">
        <v>2859272</v>
      </c>
      <c r="E2744" s="4" t="s">
        <v>50</v>
      </c>
      <c r="F2744" s="4" t="s">
        <v>3156</v>
      </c>
      <c r="I2744" s="4" t="s">
        <v>52</v>
      </c>
      <c r="L2744" s="4" t="s">
        <v>7234</v>
      </c>
      <c r="M2744" s="4" t="s">
        <v>3156</v>
      </c>
      <c r="N2744" s="4">
        <v>71</v>
      </c>
      <c r="O2744" s="4" t="s">
        <v>7235</v>
      </c>
    </row>
    <row r="2745" spans="1:15" ht="15.75" customHeight="1">
      <c r="A2745" s="4" t="s">
        <v>49</v>
      </c>
      <c r="B2745" s="4">
        <v>2859388</v>
      </c>
      <c r="C2745" s="4">
        <v>2860209</v>
      </c>
      <c r="E2745" s="4" t="s">
        <v>55</v>
      </c>
      <c r="F2745" s="4" t="s">
        <v>7236</v>
      </c>
      <c r="I2745" s="4" t="s">
        <v>52</v>
      </c>
      <c r="L2745" s="4" t="s">
        <v>7237</v>
      </c>
      <c r="M2745" s="4" t="s">
        <v>7236</v>
      </c>
      <c r="N2745" s="4">
        <v>273</v>
      </c>
      <c r="O2745" s="4" t="s">
        <v>7238</v>
      </c>
    </row>
    <row r="2746" spans="1:15" ht="15.75" customHeight="1">
      <c r="A2746" s="4" t="s">
        <v>49</v>
      </c>
      <c r="B2746" s="4">
        <v>2860206</v>
      </c>
      <c r="C2746" s="4">
        <v>2860709</v>
      </c>
      <c r="E2746" s="4" t="s">
        <v>55</v>
      </c>
      <c r="F2746" s="4" t="s">
        <v>931</v>
      </c>
      <c r="I2746" s="4" t="s">
        <v>52</v>
      </c>
      <c r="L2746" s="4" t="s">
        <v>7239</v>
      </c>
      <c r="M2746" s="4" t="s">
        <v>931</v>
      </c>
      <c r="N2746" s="4">
        <v>167</v>
      </c>
      <c r="O2746" s="4" t="s">
        <v>7240</v>
      </c>
    </row>
    <row r="2747" spans="1:15" ht="15.75" customHeight="1">
      <c r="A2747" s="4" t="s">
        <v>49</v>
      </c>
      <c r="B2747" s="4">
        <v>2860827</v>
      </c>
      <c r="C2747" s="4">
        <v>2860910</v>
      </c>
      <c r="E2747" s="4" t="s">
        <v>50</v>
      </c>
      <c r="F2747" s="4" t="s">
        <v>2447</v>
      </c>
      <c r="I2747" s="4" t="s">
        <v>302</v>
      </c>
      <c r="O2747" s="4" t="s">
        <v>7241</v>
      </c>
    </row>
    <row r="2748" spans="1:15" ht="15.75" customHeight="1">
      <c r="A2748" s="4" t="s">
        <v>49</v>
      </c>
      <c r="B2748" s="4">
        <v>2861033</v>
      </c>
      <c r="C2748" s="4">
        <v>2862172</v>
      </c>
      <c r="E2748" s="4" t="s">
        <v>55</v>
      </c>
      <c r="F2748" s="4" t="s">
        <v>483</v>
      </c>
      <c r="I2748" s="4" t="s">
        <v>52</v>
      </c>
      <c r="L2748" s="4" t="s">
        <v>7242</v>
      </c>
      <c r="M2748" s="4" t="s">
        <v>483</v>
      </c>
      <c r="N2748" s="4">
        <v>379</v>
      </c>
      <c r="O2748" s="4" t="s">
        <v>7243</v>
      </c>
    </row>
    <row r="2749" spans="1:15" ht="15.75" customHeight="1">
      <c r="A2749" s="4" t="s">
        <v>49</v>
      </c>
      <c r="B2749" s="4">
        <v>2862310</v>
      </c>
      <c r="C2749" s="4">
        <v>2863056</v>
      </c>
      <c r="E2749" s="4" t="s">
        <v>55</v>
      </c>
      <c r="F2749" s="4" t="s">
        <v>56</v>
      </c>
      <c r="I2749" s="4" t="s">
        <v>52</v>
      </c>
      <c r="L2749" s="4" t="s">
        <v>7244</v>
      </c>
      <c r="M2749" s="4" t="s">
        <v>56</v>
      </c>
      <c r="N2749" s="4">
        <v>248</v>
      </c>
      <c r="O2749" s="4" t="s">
        <v>7245</v>
      </c>
    </row>
    <row r="2750" spans="1:15" ht="15.75" customHeight="1">
      <c r="A2750" s="4" t="s">
        <v>49</v>
      </c>
      <c r="B2750" s="4">
        <v>2863454</v>
      </c>
      <c r="C2750" s="4">
        <v>2864374</v>
      </c>
      <c r="E2750" s="4" t="s">
        <v>55</v>
      </c>
      <c r="F2750" s="4" t="s">
        <v>6019</v>
      </c>
      <c r="I2750" s="4" t="s">
        <v>52</v>
      </c>
      <c r="L2750" s="4" t="s">
        <v>7246</v>
      </c>
      <c r="M2750" s="4" t="s">
        <v>6019</v>
      </c>
      <c r="N2750" s="4">
        <v>306</v>
      </c>
      <c r="O2750" s="4" t="s">
        <v>7247</v>
      </c>
    </row>
    <row r="2751" spans="1:15" ht="15.75" customHeight="1">
      <c r="A2751" s="4" t="s">
        <v>49</v>
      </c>
      <c r="B2751" s="4">
        <v>2864476</v>
      </c>
      <c r="C2751" s="4">
        <v>2864619</v>
      </c>
      <c r="E2751" s="4" t="s">
        <v>55</v>
      </c>
      <c r="F2751" s="4" t="s">
        <v>345</v>
      </c>
      <c r="I2751" s="4" t="s">
        <v>346</v>
      </c>
      <c r="O2751" s="4" t="s">
        <v>7248</v>
      </c>
    </row>
    <row r="2752" spans="1:15" ht="15.75" customHeight="1">
      <c r="A2752" s="4" t="s">
        <v>49</v>
      </c>
      <c r="B2752" s="4">
        <v>2864768</v>
      </c>
      <c r="C2752" s="4">
        <v>2865532</v>
      </c>
      <c r="E2752" s="4" t="s">
        <v>55</v>
      </c>
      <c r="F2752" s="4" t="s">
        <v>7249</v>
      </c>
      <c r="I2752" s="4" t="s">
        <v>52</v>
      </c>
      <c r="L2752" s="4" t="s">
        <v>7250</v>
      </c>
      <c r="M2752" s="4" t="s">
        <v>7249</v>
      </c>
      <c r="N2752" s="4">
        <v>254</v>
      </c>
      <c r="O2752" s="4" t="s">
        <v>7251</v>
      </c>
    </row>
    <row r="2753" spans="1:15" ht="15.75" customHeight="1">
      <c r="A2753" s="4" t="s">
        <v>49</v>
      </c>
      <c r="B2753" s="4">
        <v>2865546</v>
      </c>
      <c r="C2753" s="4">
        <v>2865956</v>
      </c>
      <c r="E2753" s="4" t="s">
        <v>55</v>
      </c>
      <c r="F2753" s="4" t="s">
        <v>56</v>
      </c>
      <c r="I2753" s="4" t="s">
        <v>52</v>
      </c>
      <c r="L2753" s="4" t="s">
        <v>7252</v>
      </c>
      <c r="M2753" s="4" t="s">
        <v>56</v>
      </c>
      <c r="N2753" s="4">
        <v>136</v>
      </c>
      <c r="O2753" s="4" t="s">
        <v>7253</v>
      </c>
    </row>
    <row r="2754" spans="1:15" ht="15.75" customHeight="1">
      <c r="A2754" s="4" t="s">
        <v>49</v>
      </c>
      <c r="B2754" s="4">
        <v>2865958</v>
      </c>
      <c r="C2754" s="4">
        <v>2866287</v>
      </c>
      <c r="E2754" s="4" t="s">
        <v>55</v>
      </c>
      <c r="F2754" s="4" t="s">
        <v>92</v>
      </c>
      <c r="I2754" s="4" t="s">
        <v>52</v>
      </c>
      <c r="L2754" s="4" t="s">
        <v>7254</v>
      </c>
      <c r="M2754" s="4" t="s">
        <v>92</v>
      </c>
      <c r="N2754" s="4">
        <v>109</v>
      </c>
      <c r="O2754" s="4" t="s">
        <v>7255</v>
      </c>
    </row>
    <row r="2755" spans="1:15" ht="15.75" customHeight="1">
      <c r="A2755" s="4" t="s">
        <v>49</v>
      </c>
      <c r="B2755" s="4">
        <v>2866561</v>
      </c>
      <c r="C2755" s="4">
        <v>2866758</v>
      </c>
      <c r="E2755" s="4" t="s">
        <v>50</v>
      </c>
      <c r="F2755" s="4" t="s">
        <v>56</v>
      </c>
      <c r="I2755" s="4" t="s">
        <v>52</v>
      </c>
      <c r="L2755" s="4" t="s">
        <v>7256</v>
      </c>
      <c r="M2755" s="4" t="s">
        <v>56</v>
      </c>
      <c r="N2755" s="4">
        <v>65</v>
      </c>
      <c r="O2755" s="4" t="s">
        <v>7257</v>
      </c>
    </row>
    <row r="2756" spans="1:15" ht="15.75" customHeight="1">
      <c r="A2756" s="4" t="s">
        <v>49</v>
      </c>
      <c r="B2756" s="4">
        <v>2866755</v>
      </c>
      <c r="C2756" s="4">
        <v>2867477</v>
      </c>
      <c r="E2756" s="4" t="s">
        <v>50</v>
      </c>
      <c r="F2756" s="4" t="s">
        <v>475</v>
      </c>
      <c r="I2756" s="4" t="s">
        <v>52</v>
      </c>
      <c r="L2756" s="4" t="s">
        <v>7258</v>
      </c>
      <c r="M2756" s="4" t="s">
        <v>475</v>
      </c>
      <c r="N2756" s="4">
        <v>240</v>
      </c>
      <c r="O2756" s="4" t="s">
        <v>7259</v>
      </c>
    </row>
    <row r="2757" spans="1:15" ht="15.75" customHeight="1">
      <c r="A2757" s="4" t="s">
        <v>49</v>
      </c>
      <c r="B2757" s="4">
        <v>2867485</v>
      </c>
      <c r="C2757" s="4">
        <v>2867670</v>
      </c>
      <c r="E2757" s="4" t="s">
        <v>50</v>
      </c>
      <c r="F2757" s="4" t="s">
        <v>56</v>
      </c>
      <c r="I2757" s="4" t="s">
        <v>52</v>
      </c>
      <c r="L2757" s="4" t="s">
        <v>7260</v>
      </c>
      <c r="M2757" s="4" t="s">
        <v>56</v>
      </c>
      <c r="N2757" s="4">
        <v>61</v>
      </c>
      <c r="O2757" s="4" t="s">
        <v>7261</v>
      </c>
    </row>
    <row r="2758" spans="1:15" ht="15.75" customHeight="1">
      <c r="A2758" s="4" t="s">
        <v>49</v>
      </c>
      <c r="B2758" s="4">
        <v>2867806</v>
      </c>
      <c r="C2758" s="4">
        <v>2868030</v>
      </c>
      <c r="E2758" s="4" t="s">
        <v>50</v>
      </c>
      <c r="F2758" s="4" t="s">
        <v>3829</v>
      </c>
      <c r="I2758" s="4" t="s">
        <v>52</v>
      </c>
      <c r="L2758" s="4" t="s">
        <v>7262</v>
      </c>
      <c r="M2758" s="4" t="s">
        <v>3829</v>
      </c>
      <c r="N2758" s="4">
        <v>74</v>
      </c>
      <c r="O2758" s="4" t="s">
        <v>7263</v>
      </c>
    </row>
    <row r="2759" spans="1:15" ht="15.75" customHeight="1">
      <c r="A2759" s="4" t="s">
        <v>49</v>
      </c>
      <c r="B2759" s="4">
        <v>2868119</v>
      </c>
      <c r="C2759" s="4">
        <v>2868331</v>
      </c>
      <c r="E2759" s="4" t="s">
        <v>50</v>
      </c>
      <c r="F2759" s="4" t="s">
        <v>56</v>
      </c>
      <c r="I2759" s="4" t="s">
        <v>52</v>
      </c>
      <c r="L2759" s="4" t="s">
        <v>7264</v>
      </c>
      <c r="M2759" s="4" t="s">
        <v>56</v>
      </c>
      <c r="N2759" s="4">
        <v>70</v>
      </c>
      <c r="O2759" s="4" t="s">
        <v>7265</v>
      </c>
    </row>
    <row r="2760" spans="1:15" ht="15.75" customHeight="1">
      <c r="A2760" s="4" t="s">
        <v>49</v>
      </c>
      <c r="B2760" s="4">
        <v>2868341</v>
      </c>
      <c r="C2760" s="4">
        <v>2869216</v>
      </c>
      <c r="E2760" s="4" t="s">
        <v>50</v>
      </c>
      <c r="F2760" s="4" t="s">
        <v>7266</v>
      </c>
      <c r="I2760" s="4" t="s">
        <v>52</v>
      </c>
      <c r="L2760" s="4" t="s">
        <v>7267</v>
      </c>
      <c r="M2760" s="4" t="s">
        <v>7266</v>
      </c>
      <c r="N2760" s="4">
        <v>291</v>
      </c>
      <c r="O2760" s="4" t="s">
        <v>7268</v>
      </c>
    </row>
    <row r="2761" spans="1:15" ht="15.75" customHeight="1">
      <c r="A2761" s="4" t="s">
        <v>49</v>
      </c>
      <c r="B2761" s="4">
        <v>2869219</v>
      </c>
      <c r="C2761" s="4">
        <v>2869413</v>
      </c>
      <c r="E2761" s="4" t="s">
        <v>50</v>
      </c>
      <c r="F2761" s="4" t="s">
        <v>56</v>
      </c>
      <c r="I2761" s="4" t="s">
        <v>52</v>
      </c>
      <c r="L2761" s="4" t="s">
        <v>7269</v>
      </c>
      <c r="M2761" s="4" t="s">
        <v>56</v>
      </c>
      <c r="N2761" s="4">
        <v>64</v>
      </c>
      <c r="O2761" s="4" t="s">
        <v>7270</v>
      </c>
    </row>
    <row r="2762" spans="1:15" ht="15.75" customHeight="1">
      <c r="A2762" s="4" t="s">
        <v>49</v>
      </c>
      <c r="B2762" s="4">
        <v>2869413</v>
      </c>
      <c r="C2762" s="4">
        <v>2870300</v>
      </c>
      <c r="E2762" s="4" t="s">
        <v>50</v>
      </c>
      <c r="F2762" s="4" t="s">
        <v>7271</v>
      </c>
      <c r="I2762" s="4" t="s">
        <v>52</v>
      </c>
      <c r="L2762" s="4" t="s">
        <v>7272</v>
      </c>
      <c r="M2762" s="4" t="s">
        <v>7271</v>
      </c>
      <c r="N2762" s="4">
        <v>295</v>
      </c>
      <c r="O2762" s="4" t="s">
        <v>7273</v>
      </c>
    </row>
    <row r="2763" spans="1:15" ht="15.75" customHeight="1">
      <c r="A2763" s="4" t="s">
        <v>49</v>
      </c>
      <c r="B2763" s="4">
        <v>2870309</v>
      </c>
      <c r="C2763" s="4">
        <v>2870554</v>
      </c>
      <c r="E2763" s="4" t="s">
        <v>50</v>
      </c>
      <c r="F2763" s="4" t="s">
        <v>478</v>
      </c>
      <c r="I2763" s="4" t="s">
        <v>52</v>
      </c>
      <c r="L2763" s="4" t="s">
        <v>7274</v>
      </c>
      <c r="M2763" s="4" t="s">
        <v>478</v>
      </c>
      <c r="N2763" s="4">
        <v>81</v>
      </c>
      <c r="O2763" s="4" t="s">
        <v>7275</v>
      </c>
    </row>
    <row r="2764" spans="1:15" ht="15.75" customHeight="1">
      <c r="A2764" s="4" t="s">
        <v>49</v>
      </c>
      <c r="B2764" s="4">
        <v>2870559</v>
      </c>
      <c r="C2764" s="4">
        <v>2871404</v>
      </c>
      <c r="E2764" s="4" t="s">
        <v>50</v>
      </c>
      <c r="F2764" s="4" t="s">
        <v>7276</v>
      </c>
      <c r="I2764" s="4" t="s">
        <v>52</v>
      </c>
      <c r="L2764" s="4" t="s">
        <v>7277</v>
      </c>
      <c r="M2764" s="4" t="s">
        <v>7276</v>
      </c>
      <c r="N2764" s="4">
        <v>281</v>
      </c>
      <c r="O2764" s="4" t="s">
        <v>7278</v>
      </c>
    </row>
    <row r="2765" spans="1:15" ht="15.75" customHeight="1">
      <c r="A2765" s="4" t="s">
        <v>49</v>
      </c>
      <c r="B2765" s="4">
        <v>2871442</v>
      </c>
      <c r="C2765" s="4">
        <v>2872263</v>
      </c>
      <c r="E2765" s="4" t="s">
        <v>50</v>
      </c>
      <c r="F2765" s="4" t="s">
        <v>2942</v>
      </c>
      <c r="I2765" s="4" t="s">
        <v>52</v>
      </c>
      <c r="L2765" s="4" t="s">
        <v>7279</v>
      </c>
      <c r="M2765" s="4" t="s">
        <v>2942</v>
      </c>
      <c r="N2765" s="4">
        <v>273</v>
      </c>
      <c r="O2765" s="4" t="s">
        <v>7280</v>
      </c>
    </row>
    <row r="2766" spans="1:15" ht="15.75" customHeight="1">
      <c r="A2766" s="4" t="s">
        <v>49</v>
      </c>
      <c r="B2766" s="4">
        <v>2872260</v>
      </c>
      <c r="C2766" s="4">
        <v>2872559</v>
      </c>
      <c r="E2766" s="4" t="s">
        <v>50</v>
      </c>
      <c r="F2766" s="4" t="s">
        <v>56</v>
      </c>
      <c r="I2766" s="4" t="s">
        <v>52</v>
      </c>
      <c r="L2766" s="4" t="s">
        <v>7281</v>
      </c>
      <c r="M2766" s="4" t="s">
        <v>56</v>
      </c>
      <c r="N2766" s="4">
        <v>99</v>
      </c>
      <c r="O2766" s="4" t="s">
        <v>7282</v>
      </c>
    </row>
    <row r="2767" spans="1:15" ht="15.75" customHeight="1">
      <c r="A2767" s="4" t="s">
        <v>49</v>
      </c>
      <c r="B2767" s="4">
        <v>2872522</v>
      </c>
      <c r="C2767" s="4">
        <v>2872806</v>
      </c>
      <c r="E2767" s="4" t="s">
        <v>50</v>
      </c>
      <c r="F2767" s="4" t="s">
        <v>56</v>
      </c>
      <c r="I2767" s="4" t="s">
        <v>52</v>
      </c>
      <c r="L2767" s="4" t="s">
        <v>7283</v>
      </c>
      <c r="M2767" s="4" t="s">
        <v>56</v>
      </c>
      <c r="N2767" s="4">
        <v>94</v>
      </c>
      <c r="O2767" s="4" t="s">
        <v>7284</v>
      </c>
    </row>
    <row r="2768" spans="1:15" ht="15.75" customHeight="1">
      <c r="A2768" s="4" t="s">
        <v>49</v>
      </c>
      <c r="B2768" s="4">
        <v>2873115</v>
      </c>
      <c r="C2768" s="4">
        <v>2873693</v>
      </c>
      <c r="E2768" s="4" t="s">
        <v>50</v>
      </c>
      <c r="F2768" s="4" t="s">
        <v>7285</v>
      </c>
      <c r="I2768" s="4" t="s">
        <v>52</v>
      </c>
      <c r="L2768" s="4" t="s">
        <v>7286</v>
      </c>
      <c r="M2768" s="4" t="s">
        <v>7285</v>
      </c>
      <c r="N2768" s="4">
        <v>192</v>
      </c>
      <c r="O2768" s="4" t="s">
        <v>7287</v>
      </c>
    </row>
    <row r="2769" spans="1:15" ht="15.75" customHeight="1">
      <c r="A2769" s="4" t="s">
        <v>49</v>
      </c>
      <c r="B2769" s="4">
        <v>2873710</v>
      </c>
      <c r="C2769" s="4">
        <v>2874129</v>
      </c>
      <c r="E2769" s="4" t="s">
        <v>50</v>
      </c>
      <c r="F2769" s="4" t="s">
        <v>7288</v>
      </c>
      <c r="I2769" s="4" t="s">
        <v>52</v>
      </c>
      <c r="L2769" s="4" t="s">
        <v>7289</v>
      </c>
      <c r="M2769" s="4" t="s">
        <v>7288</v>
      </c>
      <c r="N2769" s="4">
        <v>139</v>
      </c>
      <c r="O2769" s="4" t="s">
        <v>7290</v>
      </c>
    </row>
    <row r="2770" spans="1:15" ht="15.75" customHeight="1">
      <c r="A2770" s="4" t="s">
        <v>49</v>
      </c>
      <c r="B2770" s="4">
        <v>2874134</v>
      </c>
      <c r="C2770" s="4">
        <v>2874397</v>
      </c>
      <c r="E2770" s="4" t="s">
        <v>50</v>
      </c>
      <c r="F2770" s="4" t="s">
        <v>56</v>
      </c>
      <c r="I2770" s="4" t="s">
        <v>52</v>
      </c>
      <c r="L2770" s="4" t="s">
        <v>7291</v>
      </c>
      <c r="M2770" s="4" t="s">
        <v>56</v>
      </c>
      <c r="N2770" s="4">
        <v>87</v>
      </c>
      <c r="O2770" s="4" t="s">
        <v>7292</v>
      </c>
    </row>
    <row r="2771" spans="1:15" ht="15.75" customHeight="1">
      <c r="A2771" s="4" t="s">
        <v>49</v>
      </c>
      <c r="B2771" s="4">
        <v>2874421</v>
      </c>
      <c r="C2771" s="4">
        <v>2874744</v>
      </c>
      <c r="E2771" s="4" t="s">
        <v>50</v>
      </c>
      <c r="F2771" s="4" t="s">
        <v>56</v>
      </c>
      <c r="I2771" s="4" t="s">
        <v>52</v>
      </c>
      <c r="L2771" s="4" t="s">
        <v>7293</v>
      </c>
      <c r="M2771" s="4" t="s">
        <v>56</v>
      </c>
      <c r="N2771" s="4">
        <v>107</v>
      </c>
      <c r="O2771" s="4" t="s">
        <v>7294</v>
      </c>
    </row>
    <row r="2772" spans="1:15" ht="15.75" customHeight="1">
      <c r="A2772" s="4" t="s">
        <v>49</v>
      </c>
      <c r="B2772" s="4">
        <v>2874814</v>
      </c>
      <c r="C2772" s="4">
        <v>2875272</v>
      </c>
      <c r="E2772" s="4" t="s">
        <v>50</v>
      </c>
      <c r="F2772" s="4" t="s">
        <v>7295</v>
      </c>
      <c r="I2772" s="4" t="s">
        <v>52</v>
      </c>
      <c r="L2772" s="4" t="s">
        <v>7296</v>
      </c>
      <c r="M2772" s="4" t="s">
        <v>7295</v>
      </c>
      <c r="N2772" s="4">
        <v>152</v>
      </c>
      <c r="O2772" s="4" t="s">
        <v>7297</v>
      </c>
    </row>
    <row r="2773" spans="1:15" ht="15.75" customHeight="1">
      <c r="A2773" s="4" t="s">
        <v>49</v>
      </c>
      <c r="B2773" s="4">
        <v>2875496</v>
      </c>
      <c r="C2773" s="4">
        <v>2876032</v>
      </c>
      <c r="E2773" s="4" t="s">
        <v>50</v>
      </c>
      <c r="F2773" s="4" t="s">
        <v>56</v>
      </c>
      <c r="I2773" s="4" t="s">
        <v>52</v>
      </c>
      <c r="L2773" s="4" t="s">
        <v>7298</v>
      </c>
      <c r="M2773" s="4" t="s">
        <v>56</v>
      </c>
      <c r="N2773" s="4">
        <v>178</v>
      </c>
      <c r="O2773" s="4" t="s">
        <v>7299</v>
      </c>
    </row>
    <row r="2774" spans="1:15" ht="15.75" customHeight="1">
      <c r="A2774" s="4" t="s">
        <v>49</v>
      </c>
      <c r="B2774" s="4">
        <v>2876232</v>
      </c>
      <c r="C2774" s="4">
        <v>2876612</v>
      </c>
      <c r="E2774" s="4" t="s">
        <v>50</v>
      </c>
      <c r="F2774" s="4" t="s">
        <v>7300</v>
      </c>
      <c r="I2774" s="4" t="s">
        <v>52</v>
      </c>
      <c r="L2774" s="4" t="s">
        <v>7301</v>
      </c>
      <c r="M2774" s="4" t="s">
        <v>7300</v>
      </c>
      <c r="N2774" s="4">
        <v>126</v>
      </c>
      <c r="O2774" s="4" t="s">
        <v>7302</v>
      </c>
    </row>
    <row r="2775" spans="1:15" ht="15.75" customHeight="1">
      <c r="A2775" s="4" t="s">
        <v>49</v>
      </c>
      <c r="B2775" s="4">
        <v>2876682</v>
      </c>
      <c r="C2775" s="4">
        <v>2877056</v>
      </c>
      <c r="E2775" s="4" t="s">
        <v>50</v>
      </c>
      <c r="F2775" s="4" t="s">
        <v>56</v>
      </c>
      <c r="I2775" s="4" t="s">
        <v>52</v>
      </c>
      <c r="L2775" s="4" t="s">
        <v>7303</v>
      </c>
      <c r="M2775" s="4" t="s">
        <v>56</v>
      </c>
      <c r="N2775" s="4">
        <v>124</v>
      </c>
      <c r="O2775" s="4" t="s">
        <v>7304</v>
      </c>
    </row>
    <row r="2776" spans="1:15" ht="15.75" customHeight="1">
      <c r="A2776" s="4" t="s">
        <v>49</v>
      </c>
      <c r="B2776" s="4">
        <v>2877059</v>
      </c>
      <c r="C2776" s="4">
        <v>2878789</v>
      </c>
      <c r="E2776" s="4" t="s">
        <v>50</v>
      </c>
      <c r="F2776" s="4" t="s">
        <v>7305</v>
      </c>
      <c r="I2776" s="4" t="s">
        <v>52</v>
      </c>
      <c r="L2776" s="4" t="s">
        <v>7306</v>
      </c>
      <c r="M2776" s="4" t="s">
        <v>7305</v>
      </c>
      <c r="N2776" s="4">
        <v>576</v>
      </c>
      <c r="O2776" s="4" t="s">
        <v>7307</v>
      </c>
    </row>
    <row r="2777" spans="1:15" ht="15.75" customHeight="1">
      <c r="A2777" s="4" t="s">
        <v>49</v>
      </c>
      <c r="B2777" s="4">
        <v>2878808</v>
      </c>
      <c r="C2777" s="4">
        <v>2880043</v>
      </c>
      <c r="E2777" s="4" t="s">
        <v>50</v>
      </c>
      <c r="F2777" s="4" t="s">
        <v>7308</v>
      </c>
      <c r="I2777" s="4" t="s">
        <v>52</v>
      </c>
      <c r="L2777" s="4" t="s">
        <v>7309</v>
      </c>
      <c r="M2777" s="4" t="s">
        <v>7308</v>
      </c>
      <c r="N2777" s="4">
        <v>411</v>
      </c>
      <c r="O2777" s="4" t="s">
        <v>7310</v>
      </c>
    </row>
    <row r="2778" spans="1:15" ht="15.75" customHeight="1">
      <c r="A2778" s="4" t="s">
        <v>49</v>
      </c>
      <c r="B2778" s="4">
        <v>2880021</v>
      </c>
      <c r="C2778" s="4">
        <v>2880728</v>
      </c>
      <c r="E2778" s="4" t="s">
        <v>50</v>
      </c>
      <c r="F2778" s="4" t="s">
        <v>7311</v>
      </c>
      <c r="I2778" s="4" t="s">
        <v>52</v>
      </c>
      <c r="L2778" s="4" t="s">
        <v>7312</v>
      </c>
      <c r="M2778" s="4" t="s">
        <v>7311</v>
      </c>
      <c r="N2778" s="4">
        <v>235</v>
      </c>
      <c r="O2778" s="4" t="s">
        <v>7313</v>
      </c>
    </row>
    <row r="2779" spans="1:15" ht="15.75" customHeight="1">
      <c r="A2779" s="4" t="s">
        <v>49</v>
      </c>
      <c r="B2779" s="4">
        <v>2880733</v>
      </c>
      <c r="C2779" s="4">
        <v>2881962</v>
      </c>
      <c r="E2779" s="4" t="s">
        <v>50</v>
      </c>
      <c r="F2779" s="4" t="s">
        <v>7314</v>
      </c>
      <c r="I2779" s="4" t="s">
        <v>52</v>
      </c>
      <c r="L2779" s="4" t="s">
        <v>7315</v>
      </c>
      <c r="M2779" s="4" t="s">
        <v>7314</v>
      </c>
      <c r="N2779" s="4">
        <v>409</v>
      </c>
      <c r="O2779" s="4" t="s">
        <v>7316</v>
      </c>
    </row>
    <row r="2780" spans="1:15" ht="15.75" customHeight="1">
      <c r="A2780" s="4" t="s">
        <v>49</v>
      </c>
      <c r="B2780" s="4">
        <v>2882036</v>
      </c>
      <c r="C2780" s="4">
        <v>2882284</v>
      </c>
      <c r="E2780" s="4" t="s">
        <v>50</v>
      </c>
      <c r="F2780" s="4" t="s">
        <v>56</v>
      </c>
      <c r="I2780" s="4" t="s">
        <v>52</v>
      </c>
      <c r="L2780" s="4" t="s">
        <v>7317</v>
      </c>
      <c r="M2780" s="4" t="s">
        <v>56</v>
      </c>
      <c r="N2780" s="4">
        <v>82</v>
      </c>
      <c r="O2780" s="4" t="s">
        <v>7318</v>
      </c>
    </row>
    <row r="2781" spans="1:15" ht="15.75" customHeight="1">
      <c r="A2781" s="4" t="s">
        <v>49</v>
      </c>
      <c r="B2781" s="4">
        <v>2882298</v>
      </c>
      <c r="C2781" s="4">
        <v>2882624</v>
      </c>
      <c r="E2781" s="4" t="s">
        <v>50</v>
      </c>
      <c r="F2781" s="4" t="s">
        <v>7319</v>
      </c>
      <c r="I2781" s="4" t="s">
        <v>52</v>
      </c>
      <c r="L2781" s="4" t="s">
        <v>7320</v>
      </c>
      <c r="M2781" s="4" t="s">
        <v>7319</v>
      </c>
      <c r="N2781" s="4">
        <v>108</v>
      </c>
      <c r="O2781" s="4" t="s">
        <v>7321</v>
      </c>
    </row>
    <row r="2782" spans="1:15" ht="15.75" customHeight="1">
      <c r="A2782" s="4" t="s">
        <v>49</v>
      </c>
      <c r="B2782" s="4">
        <v>2882563</v>
      </c>
      <c r="C2782" s="4">
        <v>2882901</v>
      </c>
      <c r="E2782" s="4" t="s">
        <v>50</v>
      </c>
      <c r="F2782" s="4" t="s">
        <v>7322</v>
      </c>
      <c r="I2782" s="4" t="s">
        <v>52</v>
      </c>
      <c r="L2782" s="4" t="s">
        <v>7323</v>
      </c>
      <c r="M2782" s="4" t="s">
        <v>7322</v>
      </c>
      <c r="N2782" s="4">
        <v>112</v>
      </c>
      <c r="O2782" s="4" t="s">
        <v>7324</v>
      </c>
    </row>
    <row r="2783" spans="1:15" ht="15.75" customHeight="1">
      <c r="A2783" s="4" t="s">
        <v>49</v>
      </c>
      <c r="B2783" s="4">
        <v>2882885</v>
      </c>
      <c r="C2783" s="4">
        <v>2883214</v>
      </c>
      <c r="E2783" s="4" t="s">
        <v>50</v>
      </c>
      <c r="F2783" s="4" t="s">
        <v>56</v>
      </c>
      <c r="I2783" s="4" t="s">
        <v>52</v>
      </c>
      <c r="L2783" s="4" t="s">
        <v>7325</v>
      </c>
      <c r="M2783" s="4" t="s">
        <v>56</v>
      </c>
      <c r="N2783" s="4">
        <v>109</v>
      </c>
      <c r="O2783" s="4" t="s">
        <v>7326</v>
      </c>
    </row>
    <row r="2784" spans="1:15" ht="15.75" customHeight="1">
      <c r="A2784" s="4" t="s">
        <v>49</v>
      </c>
      <c r="B2784" s="4">
        <v>2883204</v>
      </c>
      <c r="C2784" s="4">
        <v>2883587</v>
      </c>
      <c r="E2784" s="4" t="s">
        <v>50</v>
      </c>
      <c r="F2784" s="4" t="s">
        <v>7327</v>
      </c>
      <c r="I2784" s="4" t="s">
        <v>52</v>
      </c>
      <c r="L2784" s="4" t="s">
        <v>7328</v>
      </c>
      <c r="M2784" s="4" t="s">
        <v>7327</v>
      </c>
      <c r="N2784" s="4">
        <v>127</v>
      </c>
      <c r="O2784" s="4" t="s">
        <v>7329</v>
      </c>
    </row>
    <row r="2785" spans="1:15" ht="15.75" customHeight="1">
      <c r="A2785" s="4" t="s">
        <v>49</v>
      </c>
      <c r="B2785" s="4">
        <v>2883599</v>
      </c>
      <c r="C2785" s="4">
        <v>2884246</v>
      </c>
      <c r="E2785" s="4" t="s">
        <v>50</v>
      </c>
      <c r="F2785" s="4" t="s">
        <v>2764</v>
      </c>
      <c r="I2785" s="4" t="s">
        <v>52</v>
      </c>
      <c r="L2785" s="4" t="s">
        <v>7330</v>
      </c>
      <c r="M2785" s="4" t="s">
        <v>2764</v>
      </c>
      <c r="N2785" s="4">
        <v>215</v>
      </c>
      <c r="O2785" s="4" t="s">
        <v>7331</v>
      </c>
    </row>
    <row r="2786" spans="1:15" ht="15.75" customHeight="1">
      <c r="A2786" s="4" t="s">
        <v>49</v>
      </c>
      <c r="B2786" s="4">
        <v>2884323</v>
      </c>
      <c r="C2786" s="4">
        <v>2884688</v>
      </c>
      <c r="E2786" s="4" t="s">
        <v>50</v>
      </c>
      <c r="F2786" s="4" t="s">
        <v>56</v>
      </c>
      <c r="I2786" s="4" t="s">
        <v>52</v>
      </c>
      <c r="L2786" s="4" t="s">
        <v>7332</v>
      </c>
      <c r="M2786" s="4" t="s">
        <v>56</v>
      </c>
      <c r="N2786" s="4">
        <v>121</v>
      </c>
      <c r="O2786" s="4" t="s">
        <v>7333</v>
      </c>
    </row>
    <row r="2787" spans="1:15" ht="15.75" customHeight="1">
      <c r="A2787" s="4" t="s">
        <v>49</v>
      </c>
      <c r="B2787" s="4">
        <v>2884950</v>
      </c>
      <c r="C2787" s="4">
        <v>2888122</v>
      </c>
      <c r="E2787" s="4" t="s">
        <v>50</v>
      </c>
      <c r="F2787" s="4" t="s">
        <v>345</v>
      </c>
      <c r="I2787" s="4" t="s">
        <v>346</v>
      </c>
      <c r="O2787" s="4" t="s">
        <v>7334</v>
      </c>
    </row>
    <row r="2788" spans="1:15" ht="15.75" customHeight="1">
      <c r="A2788" s="4" t="s">
        <v>49</v>
      </c>
      <c r="B2788" s="4">
        <v>2888129</v>
      </c>
      <c r="C2788" s="4">
        <v>2888824</v>
      </c>
      <c r="E2788" s="4" t="s">
        <v>50</v>
      </c>
      <c r="F2788" s="4" t="s">
        <v>2764</v>
      </c>
      <c r="I2788" s="4" t="s">
        <v>52</v>
      </c>
      <c r="L2788" s="4" t="s">
        <v>7335</v>
      </c>
      <c r="M2788" s="4" t="s">
        <v>2764</v>
      </c>
      <c r="N2788" s="4">
        <v>231</v>
      </c>
      <c r="O2788" s="4" t="s">
        <v>7336</v>
      </c>
    </row>
    <row r="2789" spans="1:15" ht="15.75" customHeight="1">
      <c r="A2789" s="4" t="s">
        <v>49</v>
      </c>
      <c r="B2789" s="4">
        <v>2888821</v>
      </c>
      <c r="C2789" s="4">
        <v>2892945</v>
      </c>
      <c r="E2789" s="4" t="s">
        <v>50</v>
      </c>
      <c r="F2789" s="4" t="s">
        <v>7337</v>
      </c>
      <c r="I2789" s="4" t="s">
        <v>52</v>
      </c>
      <c r="L2789" s="4" t="s">
        <v>7338</v>
      </c>
      <c r="M2789" s="4" t="s">
        <v>7337</v>
      </c>
      <c r="N2789" s="4">
        <v>1374</v>
      </c>
      <c r="O2789" s="4" t="s">
        <v>7339</v>
      </c>
    </row>
    <row r="2790" spans="1:15" ht="15.75" customHeight="1">
      <c r="A2790" s="4" t="s">
        <v>49</v>
      </c>
      <c r="B2790" s="4">
        <v>2892974</v>
      </c>
      <c r="C2790" s="4">
        <v>2893399</v>
      </c>
      <c r="E2790" s="4" t="s">
        <v>50</v>
      </c>
      <c r="F2790" s="4" t="s">
        <v>7340</v>
      </c>
      <c r="I2790" s="4" t="s">
        <v>52</v>
      </c>
      <c r="L2790" s="4" t="s">
        <v>7341</v>
      </c>
      <c r="M2790" s="4" t="s">
        <v>7340</v>
      </c>
      <c r="N2790" s="4">
        <v>141</v>
      </c>
      <c r="O2790" s="4" t="s">
        <v>7342</v>
      </c>
    </row>
    <row r="2791" spans="1:15" ht="15.75" customHeight="1">
      <c r="A2791" s="4" t="s">
        <v>49</v>
      </c>
      <c r="B2791" s="4">
        <v>2893402</v>
      </c>
      <c r="C2791" s="4">
        <v>2893671</v>
      </c>
      <c r="E2791" s="4" t="s">
        <v>50</v>
      </c>
      <c r="F2791" s="4" t="s">
        <v>56</v>
      </c>
      <c r="I2791" s="4" t="s">
        <v>52</v>
      </c>
      <c r="L2791" s="4" t="s">
        <v>7343</v>
      </c>
      <c r="M2791" s="4" t="s">
        <v>56</v>
      </c>
      <c r="N2791" s="4">
        <v>89</v>
      </c>
      <c r="O2791" s="4" t="s">
        <v>7344</v>
      </c>
    </row>
    <row r="2792" spans="1:15" ht="15.75" customHeight="1">
      <c r="A2792" s="4" t="s">
        <v>49</v>
      </c>
      <c r="B2792" s="4">
        <v>2893717</v>
      </c>
      <c r="C2792" s="4">
        <v>2894010</v>
      </c>
      <c r="E2792" s="4" t="s">
        <v>50</v>
      </c>
      <c r="F2792" s="4" t="s">
        <v>56</v>
      </c>
      <c r="I2792" s="4" t="s">
        <v>52</v>
      </c>
      <c r="L2792" s="4" t="s">
        <v>7345</v>
      </c>
      <c r="M2792" s="4" t="s">
        <v>56</v>
      </c>
      <c r="N2792" s="4">
        <v>97</v>
      </c>
      <c r="O2792" s="4" t="s">
        <v>7346</v>
      </c>
    </row>
    <row r="2793" spans="1:15" ht="15.75" customHeight="1">
      <c r="A2793" s="4" t="s">
        <v>49</v>
      </c>
      <c r="B2793" s="4">
        <v>2894000</v>
      </c>
      <c r="C2793" s="4">
        <v>2894407</v>
      </c>
      <c r="E2793" s="4" t="s">
        <v>50</v>
      </c>
      <c r="F2793" s="4" t="s">
        <v>7347</v>
      </c>
      <c r="I2793" s="4" t="s">
        <v>52</v>
      </c>
      <c r="L2793" s="4" t="s">
        <v>7348</v>
      </c>
      <c r="M2793" s="4" t="s">
        <v>7347</v>
      </c>
      <c r="N2793" s="4">
        <v>135</v>
      </c>
      <c r="O2793" s="4" t="s">
        <v>7349</v>
      </c>
    </row>
    <row r="2794" spans="1:15" ht="15.75" customHeight="1">
      <c r="A2794" s="4" t="s">
        <v>49</v>
      </c>
      <c r="B2794" s="4">
        <v>2894418</v>
      </c>
      <c r="C2794" s="4">
        <v>2895566</v>
      </c>
      <c r="E2794" s="4" t="s">
        <v>50</v>
      </c>
      <c r="F2794" s="4" t="s">
        <v>278</v>
      </c>
      <c r="I2794" s="4" t="s">
        <v>52</v>
      </c>
      <c r="L2794" s="4" t="s">
        <v>7350</v>
      </c>
      <c r="M2794" s="4" t="s">
        <v>278</v>
      </c>
      <c r="N2794" s="4">
        <v>382</v>
      </c>
      <c r="O2794" s="4" t="s">
        <v>7351</v>
      </c>
    </row>
    <row r="2795" spans="1:15" ht="15.75" customHeight="1">
      <c r="A2795" s="4" t="s">
        <v>49</v>
      </c>
      <c r="B2795" s="4">
        <v>2896079</v>
      </c>
      <c r="C2795" s="4">
        <v>2897590</v>
      </c>
      <c r="E2795" s="4" t="s">
        <v>50</v>
      </c>
      <c r="F2795" s="4" t="s">
        <v>421</v>
      </c>
      <c r="I2795" s="4" t="s">
        <v>52</v>
      </c>
      <c r="L2795" s="4" t="s">
        <v>7352</v>
      </c>
      <c r="M2795" s="4" t="s">
        <v>421</v>
      </c>
      <c r="N2795" s="4">
        <v>503</v>
      </c>
      <c r="O2795" s="4" t="s">
        <v>7353</v>
      </c>
    </row>
    <row r="2796" spans="1:15" ht="15.75" customHeight="1">
      <c r="A2796" s="4" t="s">
        <v>49</v>
      </c>
      <c r="B2796" s="4">
        <v>2897618</v>
      </c>
      <c r="C2796" s="4">
        <v>2899177</v>
      </c>
      <c r="E2796" s="4" t="s">
        <v>50</v>
      </c>
      <c r="F2796" s="4" t="s">
        <v>421</v>
      </c>
      <c r="I2796" s="4" t="s">
        <v>52</v>
      </c>
      <c r="L2796" s="4" t="s">
        <v>7354</v>
      </c>
      <c r="M2796" s="4" t="s">
        <v>421</v>
      </c>
      <c r="N2796" s="4">
        <v>519</v>
      </c>
      <c r="O2796" s="4" t="s">
        <v>7355</v>
      </c>
    </row>
    <row r="2797" spans="1:15" ht="15.75" customHeight="1">
      <c r="A2797" s="4" t="s">
        <v>49</v>
      </c>
      <c r="B2797" s="4">
        <v>2899274</v>
      </c>
      <c r="C2797" s="4">
        <v>2899747</v>
      </c>
      <c r="E2797" s="4" t="s">
        <v>50</v>
      </c>
      <c r="F2797" s="4" t="s">
        <v>7356</v>
      </c>
      <c r="I2797" s="4" t="s">
        <v>52</v>
      </c>
      <c r="L2797" s="4" t="s">
        <v>7357</v>
      </c>
      <c r="M2797" s="4" t="s">
        <v>7356</v>
      </c>
      <c r="N2797" s="4">
        <v>157</v>
      </c>
      <c r="O2797" s="4" t="s">
        <v>7358</v>
      </c>
    </row>
    <row r="2798" spans="1:15" ht="15.75" customHeight="1">
      <c r="A2798" s="4" t="s">
        <v>49</v>
      </c>
      <c r="B2798" s="4">
        <v>2900093</v>
      </c>
      <c r="C2798" s="4">
        <v>2901298</v>
      </c>
      <c r="E2798" s="4" t="s">
        <v>50</v>
      </c>
      <c r="F2798" s="4" t="s">
        <v>4374</v>
      </c>
      <c r="I2798" s="4" t="s">
        <v>52</v>
      </c>
      <c r="L2798" s="4" t="s">
        <v>7359</v>
      </c>
      <c r="M2798" s="4" t="s">
        <v>4374</v>
      </c>
      <c r="N2798" s="4">
        <v>401</v>
      </c>
      <c r="O2798" s="4" t="s">
        <v>7360</v>
      </c>
    </row>
    <row r="2799" spans="1:15" ht="15.75" customHeight="1">
      <c r="A2799" s="4" t="s">
        <v>49</v>
      </c>
      <c r="B2799" s="4">
        <v>2901432</v>
      </c>
      <c r="C2799" s="4">
        <v>2902760</v>
      </c>
      <c r="E2799" s="4" t="s">
        <v>55</v>
      </c>
      <c r="F2799" s="4" t="s">
        <v>2493</v>
      </c>
      <c r="I2799" s="4" t="s">
        <v>52</v>
      </c>
      <c r="L2799" s="4" t="s">
        <v>7361</v>
      </c>
      <c r="M2799" s="4" t="s">
        <v>2493</v>
      </c>
      <c r="N2799" s="4">
        <v>442</v>
      </c>
      <c r="O2799" s="4" t="s">
        <v>7362</v>
      </c>
    </row>
    <row r="2800" spans="1:15" ht="15.75" customHeight="1">
      <c r="A2800" s="4" t="s">
        <v>49</v>
      </c>
      <c r="B2800" s="4">
        <v>2902951</v>
      </c>
      <c r="C2800" s="4">
        <v>2903217</v>
      </c>
      <c r="E2800" s="4" t="s">
        <v>50</v>
      </c>
      <c r="F2800" s="4" t="s">
        <v>204</v>
      </c>
      <c r="I2800" s="4" t="s">
        <v>52</v>
      </c>
      <c r="L2800" s="4" t="s">
        <v>7363</v>
      </c>
      <c r="M2800" s="4" t="s">
        <v>204</v>
      </c>
      <c r="N2800" s="4">
        <v>88</v>
      </c>
      <c r="O2800" s="4" t="s">
        <v>7364</v>
      </c>
    </row>
    <row r="2801" spans="1:15" ht="15.75" customHeight="1">
      <c r="A2801" s="4" t="s">
        <v>49</v>
      </c>
      <c r="B2801" s="4">
        <v>2903266</v>
      </c>
      <c r="C2801" s="4">
        <v>2904609</v>
      </c>
      <c r="E2801" s="4" t="s">
        <v>50</v>
      </c>
      <c r="F2801" s="4" t="s">
        <v>7365</v>
      </c>
      <c r="I2801" s="4" t="s">
        <v>52</v>
      </c>
      <c r="L2801" s="4" t="s">
        <v>7366</v>
      </c>
      <c r="M2801" s="4" t="s">
        <v>7365</v>
      </c>
      <c r="N2801" s="4">
        <v>447</v>
      </c>
      <c r="O2801" s="4" t="s">
        <v>7367</v>
      </c>
    </row>
    <row r="2802" spans="1:15" ht="15.75" customHeight="1">
      <c r="A2802" s="4" t="s">
        <v>49</v>
      </c>
      <c r="B2802" s="4">
        <v>2904719</v>
      </c>
      <c r="C2802" s="4">
        <v>2905774</v>
      </c>
      <c r="E2802" s="4" t="s">
        <v>50</v>
      </c>
      <c r="F2802" s="4" t="s">
        <v>7368</v>
      </c>
      <c r="I2802" s="4" t="s">
        <v>52</v>
      </c>
      <c r="L2802" s="4" t="s">
        <v>7369</v>
      </c>
      <c r="M2802" s="4" t="s">
        <v>7368</v>
      </c>
      <c r="N2802" s="4">
        <v>351</v>
      </c>
      <c r="O2802" s="4" t="s">
        <v>7370</v>
      </c>
    </row>
    <row r="2803" spans="1:15" ht="15.75" customHeight="1">
      <c r="A2803" s="4" t="s">
        <v>49</v>
      </c>
      <c r="B2803" s="4">
        <v>2905964</v>
      </c>
      <c r="C2803" s="4">
        <v>2906599</v>
      </c>
      <c r="E2803" s="4" t="s">
        <v>55</v>
      </c>
      <c r="F2803" s="4" t="s">
        <v>7371</v>
      </c>
      <c r="I2803" s="4" t="s">
        <v>52</v>
      </c>
      <c r="L2803" s="4" t="s">
        <v>7372</v>
      </c>
      <c r="M2803" s="4" t="s">
        <v>7371</v>
      </c>
      <c r="N2803" s="4">
        <v>211</v>
      </c>
      <c r="O2803" s="4" t="s">
        <v>7373</v>
      </c>
    </row>
    <row r="2804" spans="1:15" ht="15.75" customHeight="1">
      <c r="A2804" s="4" t="s">
        <v>49</v>
      </c>
      <c r="B2804" s="4">
        <v>2906669</v>
      </c>
      <c r="C2804" s="4">
        <v>2907262</v>
      </c>
      <c r="E2804" s="4" t="s">
        <v>55</v>
      </c>
      <c r="F2804" s="4" t="s">
        <v>7374</v>
      </c>
      <c r="I2804" s="4" t="s">
        <v>52</v>
      </c>
      <c r="L2804" s="4" t="s">
        <v>7375</v>
      </c>
      <c r="M2804" s="4" t="s">
        <v>7374</v>
      </c>
      <c r="N2804" s="4">
        <v>197</v>
      </c>
      <c r="O2804" s="4" t="s">
        <v>7376</v>
      </c>
    </row>
    <row r="2805" spans="1:15" ht="15.75" customHeight="1">
      <c r="A2805" s="4" t="s">
        <v>49</v>
      </c>
      <c r="B2805" s="4">
        <v>2907456</v>
      </c>
      <c r="C2805" s="4">
        <v>2908127</v>
      </c>
      <c r="E2805" s="4" t="s">
        <v>50</v>
      </c>
      <c r="F2805" s="4" t="s">
        <v>7377</v>
      </c>
      <c r="I2805" s="4" t="s">
        <v>52</v>
      </c>
      <c r="L2805" s="4" t="s">
        <v>7378</v>
      </c>
      <c r="M2805" s="4" t="s">
        <v>7377</v>
      </c>
      <c r="N2805" s="4">
        <v>223</v>
      </c>
      <c r="O2805" s="4" t="s">
        <v>7379</v>
      </c>
    </row>
    <row r="2806" spans="1:15" ht="15.75" customHeight="1">
      <c r="A2806" s="4" t="s">
        <v>49</v>
      </c>
      <c r="B2806" s="4">
        <v>2908129</v>
      </c>
      <c r="C2806" s="4">
        <v>2908926</v>
      </c>
      <c r="E2806" s="4" t="s">
        <v>50</v>
      </c>
      <c r="F2806" s="4" t="s">
        <v>7380</v>
      </c>
      <c r="I2806" s="4" t="s">
        <v>52</v>
      </c>
      <c r="L2806" s="4" t="s">
        <v>7381</v>
      </c>
      <c r="M2806" s="4" t="s">
        <v>7380</v>
      </c>
      <c r="N2806" s="4">
        <v>265</v>
      </c>
      <c r="O2806" s="4" t="s">
        <v>7382</v>
      </c>
    </row>
    <row r="2807" spans="1:15" ht="15.75" customHeight="1">
      <c r="A2807" s="4" t="s">
        <v>49</v>
      </c>
      <c r="B2807" s="4">
        <v>2908926</v>
      </c>
      <c r="C2807" s="4">
        <v>2909828</v>
      </c>
      <c r="E2807" s="4" t="s">
        <v>50</v>
      </c>
      <c r="F2807" s="4" t="s">
        <v>1434</v>
      </c>
      <c r="I2807" s="4" t="s">
        <v>52</v>
      </c>
      <c r="L2807" s="4" t="s">
        <v>7383</v>
      </c>
      <c r="M2807" s="4" t="s">
        <v>1434</v>
      </c>
      <c r="N2807" s="4">
        <v>300</v>
      </c>
      <c r="O2807" s="4" t="s">
        <v>7384</v>
      </c>
    </row>
    <row r="2808" spans="1:15" ht="15.75" customHeight="1">
      <c r="A2808" s="4" t="s">
        <v>49</v>
      </c>
      <c r="B2808" s="4">
        <v>2909937</v>
      </c>
      <c r="C2808" s="4">
        <v>2910995</v>
      </c>
      <c r="E2808" s="4" t="s">
        <v>55</v>
      </c>
      <c r="F2808" s="4" t="s">
        <v>2893</v>
      </c>
      <c r="I2808" s="4" t="s">
        <v>52</v>
      </c>
      <c r="L2808" s="4" t="s">
        <v>7385</v>
      </c>
      <c r="M2808" s="4" t="s">
        <v>2893</v>
      </c>
      <c r="N2808" s="4">
        <v>352</v>
      </c>
      <c r="O2808" s="4" t="s">
        <v>7386</v>
      </c>
    </row>
    <row r="2809" spans="1:15" ht="15.75" customHeight="1">
      <c r="A2809" s="4" t="s">
        <v>49</v>
      </c>
      <c r="B2809" s="4">
        <v>2911152</v>
      </c>
      <c r="C2809" s="4">
        <v>2911787</v>
      </c>
      <c r="E2809" s="4" t="s">
        <v>55</v>
      </c>
      <c r="F2809" s="4" t="s">
        <v>7387</v>
      </c>
      <c r="I2809" s="4" t="s">
        <v>52</v>
      </c>
      <c r="L2809" s="4" t="s">
        <v>7388</v>
      </c>
      <c r="M2809" s="4" t="s">
        <v>7387</v>
      </c>
      <c r="N2809" s="4">
        <v>211</v>
      </c>
      <c r="O2809" s="4" t="s">
        <v>7389</v>
      </c>
    </row>
    <row r="2810" spans="1:15" ht="15.75" customHeight="1">
      <c r="A2810" s="4" t="s">
        <v>49</v>
      </c>
      <c r="B2810" s="4">
        <v>2911809</v>
      </c>
      <c r="C2810" s="4">
        <v>2912627</v>
      </c>
      <c r="E2810" s="4" t="s">
        <v>55</v>
      </c>
      <c r="F2810" s="4" t="s">
        <v>7390</v>
      </c>
      <c r="I2810" s="4" t="s">
        <v>52</v>
      </c>
      <c r="L2810" s="4" t="s">
        <v>7391</v>
      </c>
      <c r="M2810" s="4" t="s">
        <v>7390</v>
      </c>
      <c r="N2810" s="4">
        <v>272</v>
      </c>
      <c r="O2810" s="4" t="s">
        <v>7392</v>
      </c>
    </row>
    <row r="2811" spans="1:15" ht="15.75" customHeight="1">
      <c r="A2811" s="4" t="s">
        <v>49</v>
      </c>
      <c r="B2811" s="4">
        <v>2912830</v>
      </c>
      <c r="C2811" s="4">
        <v>2913870</v>
      </c>
      <c r="E2811" s="4" t="s">
        <v>55</v>
      </c>
      <c r="F2811" s="4" t="s">
        <v>7393</v>
      </c>
      <c r="I2811" s="4" t="s">
        <v>52</v>
      </c>
      <c r="L2811" s="4" t="s">
        <v>7394</v>
      </c>
      <c r="M2811" s="4" t="s">
        <v>7393</v>
      </c>
      <c r="N2811" s="4">
        <v>346</v>
      </c>
      <c r="O2811" s="4" t="s">
        <v>7395</v>
      </c>
    </row>
    <row r="2812" spans="1:15" ht="15.75" customHeight="1">
      <c r="A2812" s="4" t="s">
        <v>49</v>
      </c>
      <c r="B2812" s="4">
        <v>2914142</v>
      </c>
      <c r="C2812" s="4">
        <v>2914519</v>
      </c>
      <c r="E2812" s="4" t="s">
        <v>50</v>
      </c>
      <c r="F2812" s="4" t="s">
        <v>5604</v>
      </c>
      <c r="I2812" s="4" t="s">
        <v>52</v>
      </c>
      <c r="L2812" s="4" t="s">
        <v>7396</v>
      </c>
      <c r="M2812" s="4" t="s">
        <v>5604</v>
      </c>
      <c r="N2812" s="4">
        <v>125</v>
      </c>
      <c r="O2812" s="4" t="s">
        <v>7397</v>
      </c>
    </row>
    <row r="2813" spans="1:15" ht="15.75" customHeight="1">
      <c r="A2813" s="4" t="s">
        <v>49</v>
      </c>
      <c r="B2813" s="4">
        <v>2914631</v>
      </c>
      <c r="C2813" s="4">
        <v>2914900</v>
      </c>
      <c r="E2813" s="4" t="s">
        <v>55</v>
      </c>
      <c r="F2813" s="4" t="s">
        <v>6378</v>
      </c>
      <c r="G2813" s="4" t="s">
        <v>6379</v>
      </c>
      <c r="I2813" s="4" t="s">
        <v>52</v>
      </c>
      <c r="L2813" s="4" t="s">
        <v>7398</v>
      </c>
      <c r="M2813" s="4" t="s">
        <v>6378</v>
      </c>
      <c r="N2813" s="4">
        <v>89</v>
      </c>
      <c r="O2813" s="4" t="s">
        <v>7399</v>
      </c>
    </row>
    <row r="2814" spans="1:15" ht="15.75" customHeight="1">
      <c r="A2814" s="4" t="s">
        <v>49</v>
      </c>
      <c r="B2814" s="4">
        <v>2915028</v>
      </c>
      <c r="C2814" s="4">
        <v>2916005</v>
      </c>
      <c r="E2814" s="4" t="s">
        <v>55</v>
      </c>
      <c r="F2814" s="4" t="s">
        <v>7400</v>
      </c>
      <c r="I2814" s="4" t="s">
        <v>52</v>
      </c>
      <c r="L2814" s="4" t="s">
        <v>7401</v>
      </c>
      <c r="M2814" s="4" t="s">
        <v>7400</v>
      </c>
      <c r="N2814" s="4">
        <v>325</v>
      </c>
      <c r="O2814" s="4" t="s">
        <v>7402</v>
      </c>
    </row>
    <row r="2815" spans="1:15" ht="15.75" customHeight="1">
      <c r="A2815" s="4" t="s">
        <v>49</v>
      </c>
      <c r="B2815" s="4">
        <v>2916245</v>
      </c>
      <c r="C2815" s="4">
        <v>2917192</v>
      </c>
      <c r="E2815" s="4" t="s">
        <v>55</v>
      </c>
      <c r="F2815" s="4" t="s">
        <v>5041</v>
      </c>
      <c r="I2815" s="4" t="s">
        <v>52</v>
      </c>
      <c r="L2815" s="4" t="s">
        <v>7403</v>
      </c>
      <c r="M2815" s="4" t="s">
        <v>5041</v>
      </c>
      <c r="N2815" s="4">
        <v>315</v>
      </c>
      <c r="O2815" s="4" t="s">
        <v>7404</v>
      </c>
    </row>
    <row r="2816" spans="1:15" ht="15.75" customHeight="1">
      <c r="A2816" s="4" t="s">
        <v>49</v>
      </c>
      <c r="B2816" s="4">
        <v>2917258</v>
      </c>
      <c r="C2816" s="4">
        <v>2918100</v>
      </c>
      <c r="E2816" s="4" t="s">
        <v>50</v>
      </c>
      <c r="F2816" s="4" t="s">
        <v>7405</v>
      </c>
      <c r="I2816" s="4" t="s">
        <v>52</v>
      </c>
      <c r="L2816" s="4" t="s">
        <v>7406</v>
      </c>
      <c r="M2816" s="4" t="s">
        <v>7405</v>
      </c>
      <c r="N2816" s="4">
        <v>280</v>
      </c>
      <c r="O2816" s="4" t="s">
        <v>7407</v>
      </c>
    </row>
    <row r="2817" spans="1:15" ht="15.75" customHeight="1">
      <c r="A2817" s="4" t="s">
        <v>49</v>
      </c>
      <c r="B2817" s="4">
        <v>2918355</v>
      </c>
      <c r="C2817" s="4">
        <v>2918864</v>
      </c>
      <c r="E2817" s="4" t="s">
        <v>50</v>
      </c>
      <c r="F2817" s="4" t="s">
        <v>7408</v>
      </c>
      <c r="G2817" s="4" t="s">
        <v>7409</v>
      </c>
      <c r="I2817" s="4" t="s">
        <v>52</v>
      </c>
      <c r="L2817" s="4" t="s">
        <v>7410</v>
      </c>
      <c r="M2817" s="4" t="s">
        <v>7408</v>
      </c>
      <c r="N2817" s="4">
        <v>169</v>
      </c>
      <c r="O2817" s="4" t="s">
        <v>7411</v>
      </c>
    </row>
    <row r="2818" spans="1:15" ht="15.75" customHeight="1">
      <c r="A2818" s="4" t="s">
        <v>49</v>
      </c>
      <c r="B2818" s="4">
        <v>2918991</v>
      </c>
      <c r="C2818" s="4">
        <v>2919401</v>
      </c>
      <c r="E2818" s="4" t="s">
        <v>50</v>
      </c>
      <c r="F2818" s="4" t="s">
        <v>7412</v>
      </c>
      <c r="I2818" s="4" t="s">
        <v>52</v>
      </c>
      <c r="L2818" s="4" t="s">
        <v>7413</v>
      </c>
      <c r="M2818" s="4" t="s">
        <v>7412</v>
      </c>
      <c r="N2818" s="4">
        <v>136</v>
      </c>
      <c r="O2818" s="4" t="s">
        <v>7414</v>
      </c>
    </row>
    <row r="2819" spans="1:15" ht="15.75" customHeight="1">
      <c r="A2819" s="4" t="s">
        <v>49</v>
      </c>
      <c r="B2819" s="4">
        <v>2919574</v>
      </c>
      <c r="C2819" s="4">
        <v>2921895</v>
      </c>
      <c r="E2819" s="4" t="s">
        <v>50</v>
      </c>
      <c r="F2819" s="4" t="s">
        <v>2214</v>
      </c>
      <c r="I2819" s="4" t="s">
        <v>52</v>
      </c>
      <c r="L2819" s="4" t="s">
        <v>7415</v>
      </c>
      <c r="M2819" s="4" t="s">
        <v>2214</v>
      </c>
      <c r="N2819" s="4">
        <v>773</v>
      </c>
      <c r="O2819" s="4" t="s">
        <v>7416</v>
      </c>
    </row>
    <row r="2820" spans="1:15" ht="15.75" customHeight="1">
      <c r="A2820" s="4" t="s">
        <v>49</v>
      </c>
      <c r="B2820" s="4">
        <v>2921904</v>
      </c>
      <c r="C2820" s="4">
        <v>2923166</v>
      </c>
      <c r="E2820" s="4" t="s">
        <v>50</v>
      </c>
      <c r="F2820" s="4" t="s">
        <v>7417</v>
      </c>
      <c r="G2820" s="4" t="s">
        <v>7418</v>
      </c>
      <c r="I2820" s="4" t="s">
        <v>52</v>
      </c>
      <c r="L2820" s="4" t="s">
        <v>7419</v>
      </c>
      <c r="M2820" s="4" t="s">
        <v>7417</v>
      </c>
      <c r="N2820" s="4">
        <v>420</v>
      </c>
      <c r="O2820" s="4" t="s">
        <v>7420</v>
      </c>
    </row>
    <row r="2821" spans="1:15" ht="15.75" customHeight="1">
      <c r="A2821" s="4" t="s">
        <v>49</v>
      </c>
      <c r="B2821" s="4">
        <v>2923163</v>
      </c>
      <c r="C2821" s="4">
        <v>2924455</v>
      </c>
      <c r="E2821" s="4" t="s">
        <v>50</v>
      </c>
      <c r="F2821" s="4" t="s">
        <v>7421</v>
      </c>
      <c r="G2821" s="4" t="s">
        <v>7422</v>
      </c>
      <c r="I2821" s="4" t="s">
        <v>52</v>
      </c>
      <c r="L2821" s="4" t="s">
        <v>7423</v>
      </c>
      <c r="M2821" s="4" t="s">
        <v>7421</v>
      </c>
      <c r="N2821" s="4">
        <v>430</v>
      </c>
      <c r="O2821" s="4" t="s">
        <v>7424</v>
      </c>
    </row>
    <row r="2822" spans="1:15" ht="15.75" customHeight="1">
      <c r="A2822" s="4" t="s">
        <v>49</v>
      </c>
      <c r="B2822" s="4">
        <v>2924455</v>
      </c>
      <c r="C2822" s="4">
        <v>2925183</v>
      </c>
      <c r="E2822" s="4" t="s">
        <v>50</v>
      </c>
      <c r="F2822" s="4" t="s">
        <v>7425</v>
      </c>
      <c r="G2822" s="4" t="s">
        <v>7426</v>
      </c>
      <c r="I2822" s="4" t="s">
        <v>52</v>
      </c>
      <c r="L2822" s="4" t="s">
        <v>7427</v>
      </c>
      <c r="M2822" s="4" t="s">
        <v>7425</v>
      </c>
      <c r="N2822" s="4">
        <v>242</v>
      </c>
      <c r="O2822" s="4" t="s">
        <v>7428</v>
      </c>
    </row>
    <row r="2823" spans="1:15" ht="15.75" customHeight="1">
      <c r="A2823" s="4" t="s">
        <v>49</v>
      </c>
      <c r="B2823" s="4">
        <v>2925270</v>
      </c>
      <c r="C2823" s="4">
        <v>2926199</v>
      </c>
      <c r="E2823" s="4" t="s">
        <v>50</v>
      </c>
      <c r="F2823" s="4" t="s">
        <v>92</v>
      </c>
      <c r="I2823" s="4" t="s">
        <v>52</v>
      </c>
      <c r="L2823" s="4" t="s">
        <v>7429</v>
      </c>
      <c r="M2823" s="4" t="s">
        <v>92</v>
      </c>
      <c r="N2823" s="4">
        <v>309</v>
      </c>
      <c r="O2823" s="4" t="s">
        <v>7430</v>
      </c>
    </row>
    <row r="2824" spans="1:15" ht="15.75" customHeight="1">
      <c r="A2824" s="4" t="s">
        <v>49</v>
      </c>
      <c r="B2824" s="4">
        <v>2926196</v>
      </c>
      <c r="C2824" s="4">
        <v>2926789</v>
      </c>
      <c r="E2824" s="4" t="s">
        <v>50</v>
      </c>
      <c r="F2824" s="4" t="s">
        <v>7431</v>
      </c>
      <c r="G2824" s="4" t="s">
        <v>7432</v>
      </c>
      <c r="I2824" s="4" t="s">
        <v>52</v>
      </c>
      <c r="L2824" s="4" t="s">
        <v>7433</v>
      </c>
      <c r="M2824" s="4" t="s">
        <v>7431</v>
      </c>
      <c r="N2824" s="4">
        <v>197</v>
      </c>
      <c r="O2824" s="4" t="s">
        <v>7434</v>
      </c>
    </row>
    <row r="2825" spans="1:15" ht="15.75" customHeight="1">
      <c r="A2825" s="4" t="s">
        <v>49</v>
      </c>
      <c r="B2825" s="4">
        <v>2927163</v>
      </c>
      <c r="C2825" s="4">
        <v>2928404</v>
      </c>
      <c r="E2825" s="4" t="s">
        <v>50</v>
      </c>
      <c r="F2825" s="4" t="s">
        <v>7435</v>
      </c>
      <c r="I2825" s="4" t="s">
        <v>52</v>
      </c>
      <c r="L2825" s="4" t="s">
        <v>7436</v>
      </c>
      <c r="M2825" s="4" t="s">
        <v>7435</v>
      </c>
      <c r="N2825" s="4">
        <v>413</v>
      </c>
      <c r="O2825" s="4" t="s">
        <v>7437</v>
      </c>
    </row>
    <row r="2826" spans="1:15" ht="15.75" customHeight="1">
      <c r="A2826" s="4" t="s">
        <v>49</v>
      </c>
      <c r="B2826" s="4">
        <v>2928461</v>
      </c>
      <c r="C2826" s="4">
        <v>2929522</v>
      </c>
      <c r="E2826" s="4" t="s">
        <v>50</v>
      </c>
      <c r="F2826" s="4" t="s">
        <v>5788</v>
      </c>
      <c r="G2826" s="4" t="s">
        <v>5789</v>
      </c>
      <c r="I2826" s="4" t="s">
        <v>52</v>
      </c>
      <c r="L2826" s="4" t="s">
        <v>7438</v>
      </c>
      <c r="M2826" s="4" t="s">
        <v>5788</v>
      </c>
      <c r="N2826" s="4">
        <v>353</v>
      </c>
      <c r="O2826" s="4" t="s">
        <v>7439</v>
      </c>
    </row>
    <row r="2827" spans="1:15" ht="15.75" customHeight="1">
      <c r="A2827" s="4" t="s">
        <v>49</v>
      </c>
      <c r="B2827" s="4">
        <v>2929817</v>
      </c>
      <c r="C2827" s="4">
        <v>2931388</v>
      </c>
      <c r="E2827" s="4" t="s">
        <v>50</v>
      </c>
      <c r="F2827" s="4" t="s">
        <v>7440</v>
      </c>
      <c r="G2827" s="4" t="s">
        <v>7441</v>
      </c>
      <c r="I2827" s="4" t="s">
        <v>52</v>
      </c>
      <c r="L2827" s="4" t="s">
        <v>7442</v>
      </c>
      <c r="M2827" s="4" t="s">
        <v>7440</v>
      </c>
      <c r="N2827" s="4">
        <v>523</v>
      </c>
      <c r="O2827" s="4" t="s">
        <v>7443</v>
      </c>
    </row>
    <row r="2828" spans="1:15" ht="15.75" customHeight="1">
      <c r="A2828" s="4" t="s">
        <v>49</v>
      </c>
      <c r="B2828" s="4">
        <v>2931482</v>
      </c>
      <c r="C2828" s="4">
        <v>2932132</v>
      </c>
      <c r="E2828" s="4" t="s">
        <v>55</v>
      </c>
      <c r="F2828" s="4" t="s">
        <v>7444</v>
      </c>
      <c r="I2828" s="4" t="s">
        <v>52</v>
      </c>
      <c r="L2828" s="4" t="s">
        <v>7445</v>
      </c>
      <c r="M2828" s="4" t="s">
        <v>7444</v>
      </c>
      <c r="N2828" s="4">
        <v>216</v>
      </c>
      <c r="O2828" s="4" t="s">
        <v>7446</v>
      </c>
    </row>
    <row r="2829" spans="1:15" ht="15.75" customHeight="1">
      <c r="A2829" s="4" t="s">
        <v>49</v>
      </c>
      <c r="B2829" s="4">
        <v>2932160</v>
      </c>
      <c r="C2829" s="4">
        <v>2933422</v>
      </c>
      <c r="E2829" s="4" t="s">
        <v>50</v>
      </c>
      <c r="F2829" s="4" t="s">
        <v>7447</v>
      </c>
      <c r="I2829" s="4" t="s">
        <v>52</v>
      </c>
      <c r="L2829" s="4" t="s">
        <v>7448</v>
      </c>
      <c r="M2829" s="4" t="s">
        <v>7447</v>
      </c>
      <c r="N2829" s="4">
        <v>420</v>
      </c>
      <c r="O2829" s="4" t="s">
        <v>7449</v>
      </c>
    </row>
    <row r="2830" spans="1:15" ht="15.75" customHeight="1">
      <c r="A2830" s="4" t="s">
        <v>49</v>
      </c>
      <c r="B2830" s="4">
        <v>2933635</v>
      </c>
      <c r="C2830" s="4">
        <v>2934096</v>
      </c>
      <c r="E2830" s="4" t="s">
        <v>50</v>
      </c>
      <c r="F2830" s="4" t="s">
        <v>345</v>
      </c>
      <c r="I2830" s="4" t="s">
        <v>346</v>
      </c>
      <c r="O2830" s="4" t="s">
        <v>7450</v>
      </c>
    </row>
    <row r="2831" spans="1:15" ht="15.75" customHeight="1">
      <c r="A2831" s="4" t="s">
        <v>49</v>
      </c>
      <c r="B2831" s="4">
        <v>2934220</v>
      </c>
      <c r="C2831" s="4">
        <v>2934777</v>
      </c>
      <c r="E2831" s="4" t="s">
        <v>50</v>
      </c>
      <c r="F2831" s="4" t="s">
        <v>7451</v>
      </c>
      <c r="G2831" s="4" t="s">
        <v>7452</v>
      </c>
      <c r="I2831" s="4" t="s">
        <v>52</v>
      </c>
      <c r="L2831" s="4" t="s">
        <v>7453</v>
      </c>
      <c r="M2831" s="4" t="s">
        <v>7451</v>
      </c>
      <c r="N2831" s="4">
        <v>185</v>
      </c>
      <c r="O2831" s="4" t="s">
        <v>7454</v>
      </c>
    </row>
    <row r="2832" spans="1:15" ht="15.75" customHeight="1">
      <c r="A2832" s="4" t="s">
        <v>49</v>
      </c>
      <c r="B2832" s="4">
        <v>2935111</v>
      </c>
      <c r="C2832" s="4">
        <v>2937474</v>
      </c>
      <c r="E2832" s="4" t="s">
        <v>50</v>
      </c>
      <c r="F2832" s="4" t="s">
        <v>7455</v>
      </c>
      <c r="G2832" s="4" t="s">
        <v>7456</v>
      </c>
      <c r="I2832" s="4" t="s">
        <v>52</v>
      </c>
      <c r="L2832" s="4" t="s">
        <v>7457</v>
      </c>
      <c r="M2832" s="4" t="s">
        <v>7455</v>
      </c>
      <c r="N2832" s="4">
        <v>787</v>
      </c>
      <c r="O2832" s="4" t="s">
        <v>7458</v>
      </c>
    </row>
    <row r="2833" spans="1:15" ht="15.75" customHeight="1">
      <c r="A2833" s="4" t="s">
        <v>49</v>
      </c>
      <c r="B2833" s="4">
        <v>2937598</v>
      </c>
      <c r="C2833" s="4">
        <v>2938714</v>
      </c>
      <c r="E2833" s="4" t="s">
        <v>50</v>
      </c>
      <c r="F2833" s="4" t="s">
        <v>7459</v>
      </c>
      <c r="G2833" s="4" t="s">
        <v>7460</v>
      </c>
      <c r="I2833" s="4" t="s">
        <v>52</v>
      </c>
      <c r="L2833" s="4" t="s">
        <v>7461</v>
      </c>
      <c r="M2833" s="4" t="s">
        <v>7459</v>
      </c>
      <c r="N2833" s="4">
        <v>371</v>
      </c>
      <c r="O2833" s="4" t="s">
        <v>7462</v>
      </c>
    </row>
    <row r="2834" spans="1:15" ht="15.75" customHeight="1">
      <c r="A2834" s="4" t="s">
        <v>49</v>
      </c>
      <c r="B2834" s="4">
        <v>2938791</v>
      </c>
      <c r="C2834" s="4">
        <v>2939477</v>
      </c>
      <c r="E2834" s="4" t="s">
        <v>50</v>
      </c>
      <c r="F2834" s="4" t="s">
        <v>7463</v>
      </c>
      <c r="G2834" s="4" t="s">
        <v>7464</v>
      </c>
      <c r="I2834" s="4" t="s">
        <v>52</v>
      </c>
      <c r="L2834" s="4" t="s">
        <v>7465</v>
      </c>
      <c r="M2834" s="4" t="s">
        <v>7463</v>
      </c>
      <c r="N2834" s="4">
        <v>228</v>
      </c>
      <c r="O2834" s="4" t="s">
        <v>7466</v>
      </c>
    </row>
    <row r="2835" spans="1:15" ht="15.75" customHeight="1">
      <c r="A2835" s="4" t="s">
        <v>49</v>
      </c>
      <c r="B2835" s="4">
        <v>2939467</v>
      </c>
      <c r="C2835" s="4">
        <v>2940354</v>
      </c>
      <c r="E2835" s="4" t="s">
        <v>50</v>
      </c>
      <c r="F2835" s="4" t="s">
        <v>7467</v>
      </c>
      <c r="G2835" s="4" t="s">
        <v>7468</v>
      </c>
      <c r="I2835" s="4" t="s">
        <v>52</v>
      </c>
      <c r="L2835" s="4" t="s">
        <v>7469</v>
      </c>
      <c r="M2835" s="4" t="s">
        <v>7467</v>
      </c>
      <c r="N2835" s="4">
        <v>295</v>
      </c>
      <c r="O2835" s="4" t="s">
        <v>7470</v>
      </c>
    </row>
    <row r="2836" spans="1:15" ht="15.75" customHeight="1">
      <c r="A2836" s="4" t="s">
        <v>49</v>
      </c>
      <c r="B2836" s="4">
        <v>2940678</v>
      </c>
      <c r="C2836" s="4">
        <v>2941781</v>
      </c>
      <c r="E2836" s="4" t="s">
        <v>50</v>
      </c>
      <c r="F2836" s="4" t="s">
        <v>7471</v>
      </c>
      <c r="I2836" s="4" t="s">
        <v>52</v>
      </c>
      <c r="L2836" s="4" t="s">
        <v>7472</v>
      </c>
      <c r="M2836" s="4" t="s">
        <v>7471</v>
      </c>
      <c r="N2836" s="4">
        <v>367</v>
      </c>
      <c r="O2836" s="4" t="s">
        <v>7473</v>
      </c>
    </row>
    <row r="2837" spans="1:15" ht="15.75" customHeight="1">
      <c r="A2837" s="4" t="s">
        <v>49</v>
      </c>
      <c r="B2837" s="4">
        <v>2941778</v>
      </c>
      <c r="C2837" s="4">
        <v>2942485</v>
      </c>
      <c r="E2837" s="4" t="s">
        <v>50</v>
      </c>
      <c r="F2837" s="4" t="s">
        <v>194</v>
      </c>
      <c r="I2837" s="4" t="s">
        <v>52</v>
      </c>
      <c r="L2837" s="4" t="s">
        <v>7474</v>
      </c>
      <c r="M2837" s="4" t="s">
        <v>194</v>
      </c>
      <c r="N2837" s="4">
        <v>235</v>
      </c>
      <c r="O2837" s="4" t="s">
        <v>7475</v>
      </c>
    </row>
    <row r="2838" spans="1:15" ht="15.75" customHeight="1">
      <c r="A2838" s="4" t="s">
        <v>49</v>
      </c>
      <c r="B2838" s="4">
        <v>2942478</v>
      </c>
      <c r="C2838" s="4">
        <v>2944145</v>
      </c>
      <c r="E2838" s="4" t="s">
        <v>50</v>
      </c>
      <c r="F2838" s="4" t="s">
        <v>7476</v>
      </c>
      <c r="G2838" s="4" t="s">
        <v>7477</v>
      </c>
      <c r="I2838" s="4" t="s">
        <v>52</v>
      </c>
      <c r="L2838" s="4" t="s">
        <v>7478</v>
      </c>
      <c r="M2838" s="4" t="s">
        <v>7476</v>
      </c>
      <c r="N2838" s="4">
        <v>555</v>
      </c>
      <c r="O2838" s="4" t="s">
        <v>7479</v>
      </c>
    </row>
    <row r="2839" spans="1:15" ht="15.75" customHeight="1">
      <c r="A2839" s="4" t="s">
        <v>49</v>
      </c>
      <c r="B2839" s="4">
        <v>2944248</v>
      </c>
      <c r="C2839" s="4">
        <v>2945108</v>
      </c>
      <c r="E2839" s="4" t="s">
        <v>50</v>
      </c>
      <c r="F2839" s="4" t="s">
        <v>920</v>
      </c>
      <c r="I2839" s="4" t="s">
        <v>52</v>
      </c>
      <c r="L2839" s="4" t="s">
        <v>7480</v>
      </c>
      <c r="M2839" s="4" t="s">
        <v>920</v>
      </c>
      <c r="N2839" s="4">
        <v>286</v>
      </c>
      <c r="O2839" s="4" t="s">
        <v>7481</v>
      </c>
    </row>
    <row r="2840" spans="1:15" ht="15.75" customHeight="1">
      <c r="A2840" s="4" t="s">
        <v>49</v>
      </c>
      <c r="B2840" s="4">
        <v>2945249</v>
      </c>
      <c r="C2840" s="4">
        <v>2946172</v>
      </c>
      <c r="E2840" s="4" t="s">
        <v>50</v>
      </c>
      <c r="F2840" s="4" t="s">
        <v>7482</v>
      </c>
      <c r="G2840" s="4" t="s">
        <v>7483</v>
      </c>
      <c r="I2840" s="4" t="s">
        <v>52</v>
      </c>
      <c r="L2840" s="4" t="s">
        <v>7484</v>
      </c>
      <c r="M2840" s="4" t="s">
        <v>7482</v>
      </c>
      <c r="N2840" s="4">
        <v>307</v>
      </c>
      <c r="O2840" s="4" t="s">
        <v>7485</v>
      </c>
    </row>
    <row r="2841" spans="1:15" ht="15.75" customHeight="1">
      <c r="A2841" s="4" t="s">
        <v>49</v>
      </c>
      <c r="B2841" s="4">
        <v>2946169</v>
      </c>
      <c r="C2841" s="4">
        <v>2947053</v>
      </c>
      <c r="E2841" s="4" t="s">
        <v>50</v>
      </c>
      <c r="F2841" s="4" t="s">
        <v>7486</v>
      </c>
      <c r="G2841" s="4" t="s">
        <v>7487</v>
      </c>
      <c r="I2841" s="4" t="s">
        <v>52</v>
      </c>
      <c r="L2841" s="4" t="s">
        <v>7488</v>
      </c>
      <c r="M2841" s="4" t="s">
        <v>7486</v>
      </c>
      <c r="N2841" s="4">
        <v>294</v>
      </c>
      <c r="O2841" s="4" t="s">
        <v>7489</v>
      </c>
    </row>
    <row r="2842" spans="1:15" ht="15.75" customHeight="1">
      <c r="A2842" s="4" t="s">
        <v>49</v>
      </c>
      <c r="B2842" s="4">
        <v>2947133</v>
      </c>
      <c r="C2842" s="4">
        <v>2947951</v>
      </c>
      <c r="E2842" s="4" t="s">
        <v>50</v>
      </c>
      <c r="F2842" s="4" t="s">
        <v>7490</v>
      </c>
      <c r="G2842" s="4" t="s">
        <v>7491</v>
      </c>
      <c r="I2842" s="4" t="s">
        <v>52</v>
      </c>
      <c r="L2842" s="4" t="s">
        <v>7492</v>
      </c>
      <c r="M2842" s="4" t="s">
        <v>7490</v>
      </c>
      <c r="N2842" s="4">
        <v>272</v>
      </c>
      <c r="O2842" s="4" t="s">
        <v>7493</v>
      </c>
    </row>
    <row r="2843" spans="1:15" ht="15.75" customHeight="1">
      <c r="A2843" s="4" t="s">
        <v>49</v>
      </c>
      <c r="B2843" s="4">
        <v>2947961</v>
      </c>
      <c r="C2843" s="4">
        <v>2948725</v>
      </c>
      <c r="E2843" s="4" t="s">
        <v>50</v>
      </c>
      <c r="F2843" s="4" t="s">
        <v>7490</v>
      </c>
      <c r="G2843" s="4" t="s">
        <v>7491</v>
      </c>
      <c r="I2843" s="4" t="s">
        <v>52</v>
      </c>
      <c r="L2843" s="4" t="s">
        <v>7494</v>
      </c>
      <c r="M2843" s="4" t="s">
        <v>7490</v>
      </c>
      <c r="N2843" s="4">
        <v>254</v>
      </c>
      <c r="O2843" s="4" t="s">
        <v>7495</v>
      </c>
    </row>
    <row r="2844" spans="1:15" ht="15.75" customHeight="1">
      <c r="A2844" s="4" t="s">
        <v>49</v>
      </c>
      <c r="B2844" s="4">
        <v>2948736</v>
      </c>
      <c r="C2844" s="4">
        <v>2949413</v>
      </c>
      <c r="E2844" s="4" t="s">
        <v>50</v>
      </c>
      <c r="F2844" s="4" t="s">
        <v>7496</v>
      </c>
      <c r="G2844" s="4" t="s">
        <v>7497</v>
      </c>
      <c r="I2844" s="4" t="s">
        <v>52</v>
      </c>
      <c r="L2844" s="4" t="s">
        <v>7498</v>
      </c>
      <c r="M2844" s="4" t="s">
        <v>7496</v>
      </c>
      <c r="N2844" s="4">
        <v>225</v>
      </c>
      <c r="O2844" s="4" t="s">
        <v>7499</v>
      </c>
    </row>
    <row r="2845" spans="1:15" ht="15.75" customHeight="1">
      <c r="A2845" s="4" t="s">
        <v>49</v>
      </c>
      <c r="B2845" s="4">
        <v>2949832</v>
      </c>
      <c r="C2845" s="4">
        <v>2951313</v>
      </c>
      <c r="E2845" s="4" t="s">
        <v>50</v>
      </c>
      <c r="F2845" s="4" t="s">
        <v>7500</v>
      </c>
      <c r="G2845" s="4" t="s">
        <v>7501</v>
      </c>
      <c r="I2845" s="4" t="s">
        <v>52</v>
      </c>
      <c r="L2845" s="4" t="s">
        <v>7502</v>
      </c>
      <c r="M2845" s="4" t="s">
        <v>7500</v>
      </c>
      <c r="N2845" s="4">
        <v>493</v>
      </c>
      <c r="O2845" s="4" t="s">
        <v>7503</v>
      </c>
    </row>
    <row r="2846" spans="1:15" ht="15.75" customHeight="1">
      <c r="A2846" s="4" t="s">
        <v>49</v>
      </c>
      <c r="B2846" s="4">
        <v>2951325</v>
      </c>
      <c r="C2846" s="4">
        <v>2951594</v>
      </c>
      <c r="E2846" s="4" t="s">
        <v>50</v>
      </c>
      <c r="F2846" s="4" t="s">
        <v>56</v>
      </c>
      <c r="I2846" s="4" t="s">
        <v>52</v>
      </c>
      <c r="L2846" s="4" t="s">
        <v>7504</v>
      </c>
      <c r="M2846" s="4" t="s">
        <v>56</v>
      </c>
      <c r="N2846" s="4">
        <v>89</v>
      </c>
      <c r="O2846" s="4" t="s">
        <v>7505</v>
      </c>
    </row>
    <row r="2847" spans="1:15" ht="15.75" customHeight="1">
      <c r="A2847" s="4" t="s">
        <v>49</v>
      </c>
      <c r="B2847" s="4">
        <v>2951594</v>
      </c>
      <c r="C2847" s="4">
        <v>2951929</v>
      </c>
      <c r="E2847" s="4" t="s">
        <v>50</v>
      </c>
      <c r="F2847" s="4" t="s">
        <v>7506</v>
      </c>
      <c r="I2847" s="4" t="s">
        <v>52</v>
      </c>
      <c r="L2847" s="4" t="s">
        <v>7507</v>
      </c>
      <c r="M2847" s="4" t="s">
        <v>7506</v>
      </c>
      <c r="N2847" s="4">
        <v>111</v>
      </c>
      <c r="O2847" s="4" t="s">
        <v>7508</v>
      </c>
    </row>
    <row r="2848" spans="1:15" ht="15.75" customHeight="1">
      <c r="A2848" s="4" t="s">
        <v>49</v>
      </c>
      <c r="B2848" s="4">
        <v>2952121</v>
      </c>
      <c r="C2848" s="4">
        <v>2953080</v>
      </c>
      <c r="E2848" s="4" t="s">
        <v>50</v>
      </c>
      <c r="F2848" s="4" t="s">
        <v>7509</v>
      </c>
      <c r="G2848" s="4" t="s">
        <v>7510</v>
      </c>
      <c r="I2848" s="4" t="s">
        <v>52</v>
      </c>
      <c r="L2848" s="4" t="s">
        <v>7511</v>
      </c>
      <c r="M2848" s="4" t="s">
        <v>7509</v>
      </c>
      <c r="N2848" s="4">
        <v>319</v>
      </c>
      <c r="O2848" s="4" t="s">
        <v>7512</v>
      </c>
    </row>
    <row r="2849" spans="1:15" ht="15.75" customHeight="1">
      <c r="A2849" s="4" t="s">
        <v>49</v>
      </c>
      <c r="B2849" s="4">
        <v>2953082</v>
      </c>
      <c r="C2849" s="4">
        <v>2953909</v>
      </c>
      <c r="E2849" s="4" t="s">
        <v>50</v>
      </c>
      <c r="F2849" s="4" t="s">
        <v>7513</v>
      </c>
      <c r="G2849" s="4" t="s">
        <v>7514</v>
      </c>
      <c r="I2849" s="4" t="s">
        <v>52</v>
      </c>
      <c r="L2849" s="4" t="s">
        <v>7515</v>
      </c>
      <c r="M2849" s="4" t="s">
        <v>7513</v>
      </c>
      <c r="N2849" s="4">
        <v>275</v>
      </c>
      <c r="O2849" s="4" t="s">
        <v>7516</v>
      </c>
    </row>
    <row r="2850" spans="1:15" ht="15.75" customHeight="1">
      <c r="A2850" s="4" t="s">
        <v>49</v>
      </c>
      <c r="B2850" s="4">
        <v>2953920</v>
      </c>
      <c r="C2850" s="4">
        <v>2954975</v>
      </c>
      <c r="E2850" s="4" t="s">
        <v>50</v>
      </c>
      <c r="F2850" s="4" t="s">
        <v>7517</v>
      </c>
      <c r="I2850" s="4" t="s">
        <v>52</v>
      </c>
      <c r="L2850" s="4" t="s">
        <v>7518</v>
      </c>
      <c r="M2850" s="4" t="s">
        <v>7517</v>
      </c>
      <c r="N2850" s="4">
        <v>351</v>
      </c>
      <c r="O2850" s="4" t="s">
        <v>7519</v>
      </c>
    </row>
    <row r="2851" spans="1:15" ht="15.75" customHeight="1">
      <c r="A2851" s="4" t="s">
        <v>49</v>
      </c>
      <c r="B2851" s="4">
        <v>2955041</v>
      </c>
      <c r="C2851" s="4">
        <v>2955988</v>
      </c>
      <c r="E2851" s="4" t="s">
        <v>50</v>
      </c>
      <c r="F2851" s="4" t="s">
        <v>7520</v>
      </c>
      <c r="G2851" s="4" t="s">
        <v>7521</v>
      </c>
      <c r="I2851" s="4" t="s">
        <v>52</v>
      </c>
      <c r="L2851" s="4" t="s">
        <v>7522</v>
      </c>
      <c r="M2851" s="4" t="s">
        <v>7520</v>
      </c>
      <c r="N2851" s="4">
        <v>315</v>
      </c>
      <c r="O2851" s="4" t="s">
        <v>7523</v>
      </c>
    </row>
    <row r="2852" spans="1:15" ht="15.75" customHeight="1">
      <c r="A2852" s="4" t="s">
        <v>49</v>
      </c>
      <c r="B2852" s="4">
        <v>2956136</v>
      </c>
      <c r="C2852" s="4">
        <v>2956375</v>
      </c>
      <c r="E2852" s="4" t="s">
        <v>50</v>
      </c>
      <c r="F2852" s="4" t="s">
        <v>56</v>
      </c>
      <c r="I2852" s="4" t="s">
        <v>52</v>
      </c>
      <c r="L2852" s="4" t="s">
        <v>7524</v>
      </c>
      <c r="M2852" s="4" t="s">
        <v>56</v>
      </c>
      <c r="N2852" s="4">
        <v>79</v>
      </c>
      <c r="O2852" s="4" t="s">
        <v>7525</v>
      </c>
    </row>
    <row r="2853" spans="1:15" ht="15.75" customHeight="1">
      <c r="A2853" s="4" t="s">
        <v>49</v>
      </c>
      <c r="B2853" s="4">
        <v>2956495</v>
      </c>
      <c r="C2853" s="4">
        <v>2958222</v>
      </c>
      <c r="E2853" s="4" t="s">
        <v>50</v>
      </c>
      <c r="F2853" s="4" t="s">
        <v>7526</v>
      </c>
      <c r="I2853" s="4" t="s">
        <v>52</v>
      </c>
      <c r="L2853" s="4" t="s">
        <v>7527</v>
      </c>
      <c r="M2853" s="4" t="s">
        <v>7526</v>
      </c>
      <c r="N2853" s="4">
        <v>575</v>
      </c>
      <c r="O2853" s="4" t="s">
        <v>7528</v>
      </c>
    </row>
    <row r="2854" spans="1:15" ht="15.75" customHeight="1">
      <c r="A2854" s="4" t="s">
        <v>49</v>
      </c>
      <c r="B2854" s="4">
        <v>2958457</v>
      </c>
      <c r="C2854" s="4">
        <v>2959104</v>
      </c>
      <c r="E2854" s="4" t="s">
        <v>50</v>
      </c>
      <c r="F2854" s="4" t="s">
        <v>194</v>
      </c>
      <c r="I2854" s="4" t="s">
        <v>52</v>
      </c>
      <c r="L2854" s="4" t="s">
        <v>7529</v>
      </c>
      <c r="M2854" s="4" t="s">
        <v>194</v>
      </c>
      <c r="N2854" s="4">
        <v>215</v>
      </c>
      <c r="O2854" s="4" t="s">
        <v>7530</v>
      </c>
    </row>
    <row r="2855" spans="1:15" ht="15.75" customHeight="1">
      <c r="A2855" s="4" t="s">
        <v>49</v>
      </c>
      <c r="B2855" s="4">
        <v>2959097</v>
      </c>
      <c r="C2855" s="4">
        <v>2960107</v>
      </c>
      <c r="E2855" s="4" t="s">
        <v>50</v>
      </c>
      <c r="F2855" s="4" t="s">
        <v>5729</v>
      </c>
      <c r="I2855" s="4" t="s">
        <v>52</v>
      </c>
      <c r="L2855" s="4" t="s">
        <v>7531</v>
      </c>
      <c r="M2855" s="4" t="s">
        <v>5729</v>
      </c>
      <c r="N2855" s="4">
        <v>336</v>
      </c>
      <c r="O2855" s="4" t="s">
        <v>7532</v>
      </c>
    </row>
    <row r="2856" spans="1:15" ht="15.75" customHeight="1">
      <c r="A2856" s="4" t="s">
        <v>49</v>
      </c>
      <c r="B2856" s="4">
        <v>2960207</v>
      </c>
      <c r="C2856" s="4">
        <v>2960872</v>
      </c>
      <c r="E2856" s="4" t="s">
        <v>50</v>
      </c>
      <c r="F2856" s="4" t="s">
        <v>73</v>
      </c>
      <c r="I2856" s="4" t="s">
        <v>52</v>
      </c>
      <c r="L2856" s="4" t="s">
        <v>7533</v>
      </c>
      <c r="M2856" s="4" t="s">
        <v>73</v>
      </c>
      <c r="N2856" s="4">
        <v>221</v>
      </c>
      <c r="O2856" s="4" t="s">
        <v>7534</v>
      </c>
    </row>
    <row r="2857" spans="1:15" ht="15.75" customHeight="1">
      <c r="A2857" s="4" t="s">
        <v>49</v>
      </c>
      <c r="B2857" s="4">
        <v>2960878</v>
      </c>
      <c r="C2857" s="4">
        <v>2963244</v>
      </c>
      <c r="E2857" s="4" t="s">
        <v>50</v>
      </c>
      <c r="F2857" s="4" t="s">
        <v>76</v>
      </c>
      <c r="I2857" s="4" t="s">
        <v>52</v>
      </c>
      <c r="L2857" s="4" t="s">
        <v>7535</v>
      </c>
      <c r="M2857" s="4" t="s">
        <v>76</v>
      </c>
      <c r="N2857" s="4">
        <v>788</v>
      </c>
      <c r="O2857" s="4" t="s">
        <v>7536</v>
      </c>
    </row>
    <row r="2858" spans="1:15" ht="15.75" customHeight="1">
      <c r="A2858" s="4" t="s">
        <v>49</v>
      </c>
      <c r="B2858" s="4">
        <v>2963402</v>
      </c>
      <c r="C2858" s="4">
        <v>2964049</v>
      </c>
      <c r="E2858" s="4" t="s">
        <v>50</v>
      </c>
      <c r="F2858" s="4" t="s">
        <v>7537</v>
      </c>
      <c r="I2858" s="4" t="s">
        <v>52</v>
      </c>
      <c r="L2858" s="4" t="s">
        <v>7538</v>
      </c>
      <c r="M2858" s="4" t="s">
        <v>7537</v>
      </c>
      <c r="N2858" s="4">
        <v>215</v>
      </c>
      <c r="O2858" s="4" t="s">
        <v>7539</v>
      </c>
    </row>
    <row r="2859" spans="1:15" ht="15.75" customHeight="1">
      <c r="A2859" s="4" t="s">
        <v>49</v>
      </c>
      <c r="B2859" s="4">
        <v>2964255</v>
      </c>
      <c r="C2859" s="4">
        <v>2966270</v>
      </c>
      <c r="E2859" s="4" t="s">
        <v>50</v>
      </c>
      <c r="F2859" s="4" t="s">
        <v>7540</v>
      </c>
      <c r="G2859" s="4" t="s">
        <v>7541</v>
      </c>
      <c r="I2859" s="4" t="s">
        <v>52</v>
      </c>
      <c r="L2859" s="4" t="s">
        <v>7542</v>
      </c>
      <c r="M2859" s="4" t="s">
        <v>7540</v>
      </c>
      <c r="N2859" s="4">
        <v>671</v>
      </c>
      <c r="O2859" s="4" t="s">
        <v>7543</v>
      </c>
    </row>
    <row r="2860" spans="1:15" ht="15.75" customHeight="1">
      <c r="A2860" s="4" t="s">
        <v>49</v>
      </c>
      <c r="B2860" s="4">
        <v>2966538</v>
      </c>
      <c r="C2860" s="4">
        <v>2969429</v>
      </c>
      <c r="E2860" s="4" t="s">
        <v>50</v>
      </c>
      <c r="F2860" s="4" t="s">
        <v>945</v>
      </c>
      <c r="G2860" s="4" t="s">
        <v>7544</v>
      </c>
      <c r="I2860" s="4" t="s">
        <v>52</v>
      </c>
      <c r="L2860" s="4" t="s">
        <v>7545</v>
      </c>
      <c r="M2860" s="4" t="s">
        <v>945</v>
      </c>
      <c r="N2860" s="4">
        <v>963</v>
      </c>
      <c r="O2860" s="4" t="s">
        <v>7546</v>
      </c>
    </row>
    <row r="2861" spans="1:15" ht="15.75" customHeight="1">
      <c r="A2861" s="4" t="s">
        <v>49</v>
      </c>
      <c r="B2861" s="4">
        <v>2969781</v>
      </c>
      <c r="C2861" s="4">
        <v>2970320</v>
      </c>
      <c r="E2861" s="4" t="s">
        <v>50</v>
      </c>
      <c r="F2861" s="4" t="s">
        <v>6804</v>
      </c>
      <c r="I2861" s="4" t="s">
        <v>52</v>
      </c>
      <c r="L2861" s="4" t="s">
        <v>7547</v>
      </c>
      <c r="M2861" s="4" t="s">
        <v>6804</v>
      </c>
      <c r="N2861" s="4">
        <v>179</v>
      </c>
      <c r="O2861" s="4" t="s">
        <v>7548</v>
      </c>
    </row>
    <row r="2862" spans="1:15" ht="15.75" customHeight="1">
      <c r="A2862" s="4" t="s">
        <v>49</v>
      </c>
      <c r="B2862" s="4">
        <v>2970483</v>
      </c>
      <c r="C2862" s="4">
        <v>2971370</v>
      </c>
      <c r="E2862" s="4" t="s">
        <v>50</v>
      </c>
      <c r="F2862" s="4" t="s">
        <v>7549</v>
      </c>
      <c r="G2862" s="4" t="s">
        <v>7550</v>
      </c>
      <c r="I2862" s="4" t="s">
        <v>52</v>
      </c>
      <c r="L2862" s="4" t="s">
        <v>7551</v>
      </c>
      <c r="M2862" s="4" t="s">
        <v>7549</v>
      </c>
      <c r="N2862" s="4">
        <v>295</v>
      </c>
      <c r="O2862" s="4" t="s">
        <v>7552</v>
      </c>
    </row>
    <row r="2863" spans="1:15" ht="15.75" customHeight="1">
      <c r="A2863" s="4" t="s">
        <v>49</v>
      </c>
      <c r="B2863" s="4">
        <v>2971367</v>
      </c>
      <c r="C2863" s="4">
        <v>2972395</v>
      </c>
      <c r="E2863" s="4" t="s">
        <v>50</v>
      </c>
      <c r="F2863" s="4" t="s">
        <v>7553</v>
      </c>
      <c r="G2863" s="4" t="s">
        <v>7554</v>
      </c>
      <c r="I2863" s="4" t="s">
        <v>52</v>
      </c>
      <c r="L2863" s="4" t="s">
        <v>7555</v>
      </c>
      <c r="M2863" s="4" t="s">
        <v>7553</v>
      </c>
      <c r="N2863" s="4">
        <v>342</v>
      </c>
      <c r="O2863" s="4" t="s">
        <v>7556</v>
      </c>
    </row>
    <row r="2864" spans="1:15" ht="15.75" customHeight="1">
      <c r="A2864" s="4" t="s">
        <v>49</v>
      </c>
      <c r="B2864" s="4">
        <v>2972400</v>
      </c>
      <c r="C2864" s="4">
        <v>2973332</v>
      </c>
      <c r="E2864" s="4" t="s">
        <v>50</v>
      </c>
      <c r="F2864" s="4" t="s">
        <v>7557</v>
      </c>
      <c r="G2864" s="4" t="s">
        <v>7558</v>
      </c>
      <c r="I2864" s="4" t="s">
        <v>52</v>
      </c>
      <c r="L2864" s="4" t="s">
        <v>7559</v>
      </c>
      <c r="M2864" s="4" t="s">
        <v>7557</v>
      </c>
      <c r="N2864" s="4">
        <v>310</v>
      </c>
      <c r="O2864" s="4" t="s">
        <v>7560</v>
      </c>
    </row>
    <row r="2865" spans="1:15" ht="15.75" customHeight="1">
      <c r="A2865" s="4" t="s">
        <v>49</v>
      </c>
      <c r="B2865" s="4">
        <v>2973733</v>
      </c>
      <c r="C2865" s="4">
        <v>2974188</v>
      </c>
      <c r="E2865" s="4" t="s">
        <v>50</v>
      </c>
      <c r="F2865" s="4" t="s">
        <v>3132</v>
      </c>
      <c r="I2865" s="4" t="s">
        <v>52</v>
      </c>
      <c r="L2865" s="4" t="s">
        <v>7561</v>
      </c>
      <c r="M2865" s="4" t="s">
        <v>3132</v>
      </c>
      <c r="N2865" s="4">
        <v>151</v>
      </c>
      <c r="O2865" s="4" t="s">
        <v>7562</v>
      </c>
    </row>
    <row r="2866" spans="1:15" ht="15.75" customHeight="1">
      <c r="A2866" s="4" t="s">
        <v>49</v>
      </c>
      <c r="B2866" s="4">
        <v>2974305</v>
      </c>
      <c r="C2866" s="4">
        <v>2974895</v>
      </c>
      <c r="E2866" s="4" t="s">
        <v>50</v>
      </c>
      <c r="F2866" s="4" t="s">
        <v>7563</v>
      </c>
      <c r="G2866" s="4" t="s">
        <v>7564</v>
      </c>
      <c r="I2866" s="4" t="s">
        <v>52</v>
      </c>
      <c r="L2866" s="4" t="s">
        <v>7565</v>
      </c>
      <c r="M2866" s="4" t="s">
        <v>7563</v>
      </c>
      <c r="N2866" s="4">
        <v>196</v>
      </c>
      <c r="O2866" s="4" t="s">
        <v>7566</v>
      </c>
    </row>
    <row r="2867" spans="1:15" ht="15.75" customHeight="1">
      <c r="A2867" s="4" t="s">
        <v>49</v>
      </c>
      <c r="B2867" s="4">
        <v>2974999</v>
      </c>
      <c r="C2867" s="4">
        <v>2975070</v>
      </c>
      <c r="E2867" s="4" t="s">
        <v>50</v>
      </c>
      <c r="F2867" s="4" t="s">
        <v>301</v>
      </c>
      <c r="I2867" s="4" t="s">
        <v>302</v>
      </c>
      <c r="O2867" s="4" t="s">
        <v>7567</v>
      </c>
    </row>
    <row r="2868" spans="1:15" ht="15.75" customHeight="1">
      <c r="A2868" s="4" t="s">
        <v>49</v>
      </c>
      <c r="B2868" s="4">
        <v>2975217</v>
      </c>
      <c r="C2868" s="4">
        <v>2975879</v>
      </c>
      <c r="E2868" s="4" t="s">
        <v>55</v>
      </c>
      <c r="F2868" s="4" t="s">
        <v>7568</v>
      </c>
      <c r="I2868" s="4" t="s">
        <v>52</v>
      </c>
      <c r="L2868" s="4" t="s">
        <v>7569</v>
      </c>
      <c r="M2868" s="4" t="s">
        <v>7568</v>
      </c>
      <c r="N2868" s="4">
        <v>220</v>
      </c>
      <c r="O2868" s="4" t="s">
        <v>7570</v>
      </c>
    </row>
    <row r="2869" spans="1:15" ht="15.75" customHeight="1">
      <c r="A2869" s="4" t="s">
        <v>49</v>
      </c>
      <c r="B2869" s="4">
        <v>2976541</v>
      </c>
      <c r="C2869" s="4">
        <v>2977578</v>
      </c>
      <c r="E2869" s="4" t="s">
        <v>50</v>
      </c>
      <c r="F2869" s="4" t="s">
        <v>4177</v>
      </c>
      <c r="I2869" s="4" t="s">
        <v>52</v>
      </c>
      <c r="L2869" s="4" t="s">
        <v>7571</v>
      </c>
      <c r="M2869" s="4" t="s">
        <v>4177</v>
      </c>
      <c r="N2869" s="4">
        <v>345</v>
      </c>
      <c r="O2869" s="4" t="s">
        <v>7572</v>
      </c>
    </row>
    <row r="2870" spans="1:15" ht="15.75" customHeight="1">
      <c r="A2870" s="4" t="s">
        <v>49</v>
      </c>
      <c r="B2870" s="4">
        <v>2977615</v>
      </c>
      <c r="C2870" s="4">
        <v>2978637</v>
      </c>
      <c r="E2870" s="4" t="s">
        <v>50</v>
      </c>
      <c r="F2870" s="4" t="s">
        <v>1239</v>
      </c>
      <c r="G2870" s="4" t="s">
        <v>1240</v>
      </c>
      <c r="I2870" s="4" t="s">
        <v>52</v>
      </c>
      <c r="L2870" s="4" t="s">
        <v>7573</v>
      </c>
      <c r="M2870" s="4" t="s">
        <v>1239</v>
      </c>
      <c r="N2870" s="4">
        <v>340</v>
      </c>
      <c r="O2870" s="4" t="s">
        <v>7574</v>
      </c>
    </row>
    <row r="2871" spans="1:15" ht="15.75" customHeight="1">
      <c r="A2871" s="4" t="s">
        <v>49</v>
      </c>
      <c r="B2871" s="4">
        <v>2978828</v>
      </c>
      <c r="C2871" s="4">
        <v>2980018</v>
      </c>
      <c r="E2871" s="4" t="s">
        <v>50</v>
      </c>
      <c r="F2871" s="4" t="s">
        <v>7575</v>
      </c>
      <c r="G2871" s="4" t="s">
        <v>7576</v>
      </c>
      <c r="I2871" s="4" t="s">
        <v>52</v>
      </c>
      <c r="L2871" s="4" t="s">
        <v>7577</v>
      </c>
      <c r="M2871" s="4" t="s">
        <v>7575</v>
      </c>
      <c r="N2871" s="4">
        <v>396</v>
      </c>
      <c r="O2871" s="4" t="s">
        <v>7578</v>
      </c>
    </row>
    <row r="2872" spans="1:15" ht="15.75" customHeight="1">
      <c r="A2872" s="4" t="s">
        <v>49</v>
      </c>
      <c r="B2872" s="4">
        <v>2980093</v>
      </c>
      <c r="C2872" s="4">
        <v>2980848</v>
      </c>
      <c r="E2872" s="4" t="s">
        <v>50</v>
      </c>
      <c r="F2872" s="4" t="s">
        <v>5680</v>
      </c>
      <c r="G2872" s="4" t="s">
        <v>7579</v>
      </c>
      <c r="I2872" s="4" t="s">
        <v>52</v>
      </c>
      <c r="L2872" s="4" t="s">
        <v>7580</v>
      </c>
      <c r="M2872" s="4" t="s">
        <v>5680</v>
      </c>
      <c r="N2872" s="4">
        <v>251</v>
      </c>
      <c r="O2872" s="4" t="s">
        <v>7581</v>
      </c>
    </row>
    <row r="2873" spans="1:15" ht="15.75" customHeight="1">
      <c r="A2873" s="4" t="s">
        <v>49</v>
      </c>
      <c r="B2873" s="4">
        <v>2980897</v>
      </c>
      <c r="C2873" s="4">
        <v>2982201</v>
      </c>
      <c r="E2873" s="4" t="s">
        <v>50</v>
      </c>
      <c r="F2873" s="4" t="s">
        <v>7582</v>
      </c>
      <c r="G2873" s="4" t="s">
        <v>7583</v>
      </c>
      <c r="I2873" s="4" t="s">
        <v>52</v>
      </c>
      <c r="L2873" s="4" t="s">
        <v>7584</v>
      </c>
      <c r="M2873" s="4" t="s">
        <v>7582</v>
      </c>
      <c r="N2873" s="4">
        <v>434</v>
      </c>
      <c r="O2873" s="4" t="s">
        <v>7585</v>
      </c>
    </row>
    <row r="2874" spans="1:15" ht="15.75" customHeight="1">
      <c r="A2874" s="4" t="s">
        <v>49</v>
      </c>
      <c r="B2874" s="4">
        <v>2982531</v>
      </c>
      <c r="C2874" s="4">
        <v>2983793</v>
      </c>
      <c r="E2874" s="4" t="s">
        <v>50</v>
      </c>
      <c r="F2874" s="4" t="s">
        <v>255</v>
      </c>
      <c r="I2874" s="4" t="s">
        <v>52</v>
      </c>
      <c r="L2874" s="4" t="s">
        <v>7586</v>
      </c>
      <c r="M2874" s="4" t="s">
        <v>255</v>
      </c>
      <c r="N2874" s="4">
        <v>420</v>
      </c>
      <c r="O2874" s="4" t="s">
        <v>7587</v>
      </c>
    </row>
    <row r="2875" spans="1:15" ht="15.75" customHeight="1">
      <c r="A2875" s="4" t="s">
        <v>49</v>
      </c>
      <c r="B2875" s="4">
        <v>2983799</v>
      </c>
      <c r="C2875" s="4">
        <v>2984155</v>
      </c>
      <c r="E2875" s="4" t="s">
        <v>50</v>
      </c>
      <c r="F2875" s="4" t="s">
        <v>56</v>
      </c>
      <c r="I2875" s="4" t="s">
        <v>52</v>
      </c>
      <c r="L2875" s="4" t="s">
        <v>7588</v>
      </c>
      <c r="M2875" s="4" t="s">
        <v>56</v>
      </c>
      <c r="N2875" s="4">
        <v>118</v>
      </c>
      <c r="O2875" s="4" t="s">
        <v>7589</v>
      </c>
    </row>
    <row r="2876" spans="1:15" ht="15.75" customHeight="1">
      <c r="A2876" s="4" t="s">
        <v>49</v>
      </c>
      <c r="B2876" s="4">
        <v>2984244</v>
      </c>
      <c r="C2876" s="4">
        <v>2985815</v>
      </c>
      <c r="E2876" s="4" t="s">
        <v>50</v>
      </c>
      <c r="F2876" s="4" t="s">
        <v>7590</v>
      </c>
      <c r="I2876" s="4" t="s">
        <v>52</v>
      </c>
      <c r="L2876" s="4" t="s">
        <v>7591</v>
      </c>
      <c r="M2876" s="4" t="s">
        <v>7590</v>
      </c>
      <c r="N2876" s="4">
        <v>523</v>
      </c>
      <c r="O2876" s="4" t="s">
        <v>7592</v>
      </c>
    </row>
    <row r="2877" spans="1:15" ht="15.75" customHeight="1">
      <c r="A2877" s="4" t="s">
        <v>49</v>
      </c>
      <c r="B2877" s="4">
        <v>2986001</v>
      </c>
      <c r="C2877" s="4">
        <v>2986237</v>
      </c>
      <c r="E2877" s="4" t="s">
        <v>50</v>
      </c>
      <c r="F2877" s="4" t="s">
        <v>7593</v>
      </c>
      <c r="G2877" s="4" t="s">
        <v>7594</v>
      </c>
      <c r="I2877" s="4" t="s">
        <v>52</v>
      </c>
      <c r="L2877" s="4" t="s">
        <v>7595</v>
      </c>
      <c r="M2877" s="4" t="s">
        <v>7593</v>
      </c>
      <c r="N2877" s="4">
        <v>78</v>
      </c>
      <c r="O2877" s="4" t="s">
        <v>7596</v>
      </c>
    </row>
    <row r="2878" spans="1:15" ht="15.75" customHeight="1">
      <c r="A2878" s="4" t="s">
        <v>49</v>
      </c>
      <c r="B2878" s="4">
        <v>2986482</v>
      </c>
      <c r="C2878" s="4">
        <v>2987216</v>
      </c>
      <c r="E2878" s="4" t="s">
        <v>50</v>
      </c>
      <c r="F2878" s="4" t="s">
        <v>7597</v>
      </c>
      <c r="I2878" s="4" t="s">
        <v>52</v>
      </c>
      <c r="L2878" s="4" t="s">
        <v>7598</v>
      </c>
      <c r="M2878" s="4" t="s">
        <v>7597</v>
      </c>
      <c r="N2878" s="4">
        <v>244</v>
      </c>
      <c r="O2878" s="4" t="s">
        <v>7599</v>
      </c>
    </row>
    <row r="2879" spans="1:15" ht="15.75" customHeight="1">
      <c r="A2879" s="4" t="s">
        <v>49</v>
      </c>
      <c r="B2879" s="4">
        <v>2987218</v>
      </c>
      <c r="C2879" s="4">
        <v>2989587</v>
      </c>
      <c r="E2879" s="4" t="s">
        <v>50</v>
      </c>
      <c r="F2879" s="4" t="s">
        <v>7600</v>
      </c>
      <c r="G2879" s="4" t="s">
        <v>7601</v>
      </c>
      <c r="I2879" s="4" t="s">
        <v>52</v>
      </c>
      <c r="L2879" s="4" t="s">
        <v>7602</v>
      </c>
      <c r="M2879" s="4" t="s">
        <v>7600</v>
      </c>
      <c r="N2879" s="4">
        <v>789</v>
      </c>
      <c r="O2879" s="4" t="s">
        <v>7603</v>
      </c>
    </row>
    <row r="2880" spans="1:15" ht="15.75" customHeight="1">
      <c r="A2880" s="4" t="s">
        <v>49</v>
      </c>
      <c r="B2880" s="4">
        <v>2989619</v>
      </c>
      <c r="C2880" s="4">
        <v>2990092</v>
      </c>
      <c r="E2880" s="4" t="s">
        <v>50</v>
      </c>
      <c r="F2880" s="4" t="s">
        <v>7604</v>
      </c>
      <c r="G2880" s="4" t="s">
        <v>7605</v>
      </c>
      <c r="I2880" s="4" t="s">
        <v>52</v>
      </c>
      <c r="L2880" s="4" t="s">
        <v>7606</v>
      </c>
      <c r="M2880" s="4" t="s">
        <v>7604</v>
      </c>
      <c r="N2880" s="4">
        <v>157</v>
      </c>
      <c r="O2880" s="4" t="s">
        <v>7607</v>
      </c>
    </row>
    <row r="2881" spans="1:15" ht="15.75" customHeight="1">
      <c r="A2881" s="4" t="s">
        <v>49</v>
      </c>
      <c r="B2881" s="4">
        <v>2990498</v>
      </c>
      <c r="C2881" s="4">
        <v>2991451</v>
      </c>
      <c r="E2881" s="4" t="s">
        <v>50</v>
      </c>
      <c r="F2881" s="4" t="s">
        <v>3085</v>
      </c>
      <c r="I2881" s="4" t="s">
        <v>52</v>
      </c>
      <c r="L2881" s="4" t="s">
        <v>7608</v>
      </c>
      <c r="M2881" s="4" t="s">
        <v>3085</v>
      </c>
      <c r="N2881" s="4">
        <v>317</v>
      </c>
      <c r="O2881" s="4" t="s">
        <v>7609</v>
      </c>
    </row>
    <row r="2882" spans="1:15" ht="15.75" customHeight="1">
      <c r="A2882" s="4" t="s">
        <v>49</v>
      </c>
      <c r="B2882" s="4">
        <v>2991655</v>
      </c>
      <c r="C2882" s="4">
        <v>2993331</v>
      </c>
      <c r="E2882" s="4" t="s">
        <v>50</v>
      </c>
      <c r="F2882" s="4" t="s">
        <v>3082</v>
      </c>
      <c r="I2882" s="4" t="s">
        <v>52</v>
      </c>
      <c r="L2882" s="4" t="s">
        <v>7610</v>
      </c>
      <c r="M2882" s="4" t="s">
        <v>3082</v>
      </c>
      <c r="N2882" s="4">
        <v>558</v>
      </c>
      <c r="O2882" s="4" t="s">
        <v>7611</v>
      </c>
    </row>
    <row r="2883" spans="1:15" ht="15.75" customHeight="1">
      <c r="A2883" s="4" t="s">
        <v>49</v>
      </c>
      <c r="B2883" s="4">
        <v>2993328</v>
      </c>
      <c r="C2883" s="4">
        <v>2995073</v>
      </c>
      <c r="E2883" s="4" t="s">
        <v>50</v>
      </c>
      <c r="F2883" s="4" t="s">
        <v>2896</v>
      </c>
      <c r="I2883" s="4" t="s">
        <v>52</v>
      </c>
      <c r="L2883" s="4" t="s">
        <v>7612</v>
      </c>
      <c r="M2883" s="4" t="s">
        <v>2896</v>
      </c>
      <c r="N2883" s="4">
        <v>581</v>
      </c>
      <c r="O2883" s="4" t="s">
        <v>7613</v>
      </c>
    </row>
    <row r="2884" spans="1:15" ht="15.75" customHeight="1">
      <c r="A2884" s="4" t="s">
        <v>49</v>
      </c>
      <c r="B2884" s="4">
        <v>2995203</v>
      </c>
      <c r="C2884" s="4">
        <v>2997464</v>
      </c>
      <c r="E2884" s="4" t="s">
        <v>50</v>
      </c>
      <c r="F2884" s="4" t="s">
        <v>7614</v>
      </c>
      <c r="I2884" s="4" t="s">
        <v>52</v>
      </c>
      <c r="L2884" s="4" t="s">
        <v>7615</v>
      </c>
      <c r="M2884" s="4" t="s">
        <v>7614</v>
      </c>
      <c r="N2884" s="4">
        <v>753</v>
      </c>
      <c r="O2884" s="4" t="s">
        <v>7616</v>
      </c>
    </row>
    <row r="2885" spans="1:15" ht="15.75" customHeight="1">
      <c r="A2885" s="4" t="s">
        <v>49</v>
      </c>
      <c r="B2885" s="4">
        <v>2997457</v>
      </c>
      <c r="C2885" s="4">
        <v>2998149</v>
      </c>
      <c r="E2885" s="4" t="s">
        <v>50</v>
      </c>
      <c r="F2885" s="4" t="s">
        <v>7617</v>
      </c>
      <c r="G2885" s="4" t="s">
        <v>7618</v>
      </c>
      <c r="I2885" s="4" t="s">
        <v>52</v>
      </c>
      <c r="L2885" s="4" t="s">
        <v>7619</v>
      </c>
      <c r="M2885" s="4" t="s">
        <v>7617</v>
      </c>
      <c r="N2885" s="4">
        <v>230</v>
      </c>
      <c r="O2885" s="4" t="s">
        <v>7620</v>
      </c>
    </row>
    <row r="2886" spans="1:15" ht="15.75" customHeight="1">
      <c r="A2886" s="4" t="s">
        <v>49</v>
      </c>
      <c r="B2886" s="4">
        <v>2998154</v>
      </c>
      <c r="C2886" s="4">
        <v>2999284</v>
      </c>
      <c r="E2886" s="4" t="s">
        <v>50</v>
      </c>
      <c r="F2886" s="4" t="s">
        <v>73</v>
      </c>
      <c r="I2886" s="4" t="s">
        <v>52</v>
      </c>
      <c r="L2886" s="4" t="s">
        <v>7621</v>
      </c>
      <c r="M2886" s="4" t="s">
        <v>73</v>
      </c>
      <c r="N2886" s="4">
        <v>376</v>
      </c>
      <c r="O2886" s="4" t="s">
        <v>7622</v>
      </c>
    </row>
    <row r="2887" spans="1:15" ht="15.75" customHeight="1">
      <c r="A2887" s="4" t="s">
        <v>49</v>
      </c>
      <c r="B2887" s="4">
        <v>2999312</v>
      </c>
      <c r="C2887" s="4">
        <v>3000937</v>
      </c>
      <c r="E2887" s="4" t="s">
        <v>50</v>
      </c>
      <c r="F2887" s="4" t="s">
        <v>3082</v>
      </c>
      <c r="I2887" s="4" t="s">
        <v>52</v>
      </c>
      <c r="L2887" s="4" t="s">
        <v>7623</v>
      </c>
      <c r="M2887" s="4" t="s">
        <v>3082</v>
      </c>
      <c r="N2887" s="4">
        <v>541</v>
      </c>
      <c r="O2887" s="4" t="s">
        <v>7624</v>
      </c>
    </row>
    <row r="2888" spans="1:15" ht="15.75" customHeight="1">
      <c r="A2888" s="4" t="s">
        <v>49</v>
      </c>
      <c r="B2888" s="4">
        <v>3000977</v>
      </c>
      <c r="C2888" s="4">
        <v>3002209</v>
      </c>
      <c r="E2888" s="4" t="s">
        <v>50</v>
      </c>
      <c r="F2888" s="4" t="s">
        <v>723</v>
      </c>
      <c r="I2888" s="4" t="s">
        <v>52</v>
      </c>
      <c r="L2888" s="4" t="s">
        <v>7625</v>
      </c>
      <c r="M2888" s="4" t="s">
        <v>723</v>
      </c>
      <c r="N2888" s="4">
        <v>410</v>
      </c>
      <c r="O2888" s="4" t="s">
        <v>7626</v>
      </c>
    </row>
    <row r="2889" spans="1:15" ht="15.75" customHeight="1">
      <c r="A2889" s="4" t="s">
        <v>49</v>
      </c>
      <c r="B2889" s="4">
        <v>3002279</v>
      </c>
      <c r="C2889" s="4">
        <v>3003637</v>
      </c>
      <c r="E2889" s="4" t="s">
        <v>50</v>
      </c>
      <c r="F2889" s="4" t="s">
        <v>5467</v>
      </c>
      <c r="I2889" s="4" t="s">
        <v>52</v>
      </c>
      <c r="L2889" s="4" t="s">
        <v>7627</v>
      </c>
      <c r="M2889" s="4" t="s">
        <v>5467</v>
      </c>
      <c r="N2889" s="4">
        <v>452</v>
      </c>
      <c r="O2889" s="4" t="s">
        <v>7628</v>
      </c>
    </row>
    <row r="2890" spans="1:15" ht="15.75" customHeight="1">
      <c r="A2890" s="4" t="s">
        <v>49</v>
      </c>
      <c r="B2890" s="4">
        <v>3003643</v>
      </c>
      <c r="C2890" s="4">
        <v>3004500</v>
      </c>
      <c r="E2890" s="4" t="s">
        <v>50</v>
      </c>
      <c r="F2890" s="4" t="s">
        <v>7629</v>
      </c>
      <c r="I2890" s="4" t="s">
        <v>52</v>
      </c>
      <c r="L2890" s="4" t="s">
        <v>7630</v>
      </c>
      <c r="M2890" s="4" t="s">
        <v>7629</v>
      </c>
      <c r="N2890" s="4">
        <v>285</v>
      </c>
      <c r="O2890" s="4" t="s">
        <v>7631</v>
      </c>
    </row>
    <row r="2891" spans="1:15" ht="15.75" customHeight="1">
      <c r="A2891" s="4" t="s">
        <v>49</v>
      </c>
      <c r="B2891" s="4">
        <v>3004975</v>
      </c>
      <c r="C2891" s="4">
        <v>3005277</v>
      </c>
      <c r="E2891" s="4" t="s">
        <v>50</v>
      </c>
      <c r="F2891" s="4" t="s">
        <v>56</v>
      </c>
      <c r="I2891" s="4" t="s">
        <v>52</v>
      </c>
      <c r="L2891" s="4" t="s">
        <v>7632</v>
      </c>
      <c r="M2891" s="4" t="s">
        <v>56</v>
      </c>
      <c r="N2891" s="4">
        <v>100</v>
      </c>
      <c r="O2891" s="4" t="s">
        <v>7633</v>
      </c>
    </row>
    <row r="2892" spans="1:15" ht="15.75" customHeight="1">
      <c r="A2892" s="4" t="s">
        <v>49</v>
      </c>
      <c r="B2892" s="4">
        <v>3005267</v>
      </c>
      <c r="C2892" s="4">
        <v>3005455</v>
      </c>
      <c r="E2892" s="4" t="s">
        <v>50</v>
      </c>
      <c r="F2892" s="4" t="s">
        <v>478</v>
      </c>
      <c r="I2892" s="4" t="s">
        <v>52</v>
      </c>
      <c r="L2892" s="4" t="s">
        <v>7634</v>
      </c>
      <c r="M2892" s="4" t="s">
        <v>478</v>
      </c>
      <c r="N2892" s="4">
        <v>62</v>
      </c>
      <c r="O2892" s="4" t="s">
        <v>7635</v>
      </c>
    </row>
    <row r="2893" spans="1:15" ht="15.75" customHeight="1">
      <c r="A2893" s="4" t="s">
        <v>49</v>
      </c>
      <c r="B2893" s="4">
        <v>3005849</v>
      </c>
      <c r="C2893" s="4">
        <v>3007090</v>
      </c>
      <c r="E2893" s="4" t="s">
        <v>55</v>
      </c>
      <c r="F2893" s="4" t="s">
        <v>2282</v>
      </c>
      <c r="I2893" s="4" t="s">
        <v>52</v>
      </c>
      <c r="L2893" s="4" t="s">
        <v>7636</v>
      </c>
      <c r="M2893" s="4" t="s">
        <v>2282</v>
      </c>
      <c r="N2893" s="4">
        <v>413</v>
      </c>
      <c r="O2893" s="4" t="s">
        <v>7637</v>
      </c>
    </row>
    <row r="2894" spans="1:15" ht="15.75" customHeight="1">
      <c r="A2894" s="4" t="s">
        <v>49</v>
      </c>
      <c r="B2894" s="4">
        <v>3007219</v>
      </c>
      <c r="C2894" s="4">
        <v>3008532</v>
      </c>
      <c r="E2894" s="4" t="s">
        <v>55</v>
      </c>
      <c r="F2894" s="4" t="s">
        <v>4407</v>
      </c>
      <c r="I2894" s="4" t="s">
        <v>52</v>
      </c>
      <c r="L2894" s="4" t="s">
        <v>7638</v>
      </c>
      <c r="M2894" s="4" t="s">
        <v>4407</v>
      </c>
      <c r="N2894" s="4">
        <v>437</v>
      </c>
      <c r="O2894" s="4" t="s">
        <v>7639</v>
      </c>
    </row>
    <row r="2895" spans="1:15" ht="15.75" customHeight="1">
      <c r="A2895" s="4" t="s">
        <v>49</v>
      </c>
      <c r="B2895" s="4">
        <v>3008542</v>
      </c>
      <c r="C2895" s="4">
        <v>3009363</v>
      </c>
      <c r="E2895" s="4" t="s">
        <v>55</v>
      </c>
      <c r="F2895" s="4" t="s">
        <v>5467</v>
      </c>
      <c r="I2895" s="4" t="s">
        <v>52</v>
      </c>
      <c r="L2895" s="4" t="s">
        <v>7640</v>
      </c>
      <c r="M2895" s="4" t="s">
        <v>5467</v>
      </c>
      <c r="N2895" s="4">
        <v>273</v>
      </c>
      <c r="O2895" s="4" t="s">
        <v>7641</v>
      </c>
    </row>
    <row r="2896" spans="1:15" ht="15.75" customHeight="1">
      <c r="A2896" s="4" t="s">
        <v>49</v>
      </c>
      <c r="B2896" s="4">
        <v>3009379</v>
      </c>
      <c r="C2896" s="4">
        <v>3010272</v>
      </c>
      <c r="E2896" s="4" t="s">
        <v>55</v>
      </c>
      <c r="F2896" s="4" t="s">
        <v>5467</v>
      </c>
      <c r="I2896" s="4" t="s">
        <v>52</v>
      </c>
      <c r="L2896" s="4" t="s">
        <v>7642</v>
      </c>
      <c r="M2896" s="4" t="s">
        <v>5467</v>
      </c>
      <c r="N2896" s="4">
        <v>297</v>
      </c>
      <c r="O2896" s="4" t="s">
        <v>7643</v>
      </c>
    </row>
    <row r="2897" spans="1:15" ht="15.75" customHeight="1">
      <c r="A2897" s="4" t="s">
        <v>49</v>
      </c>
      <c r="B2897" s="4">
        <v>3010262</v>
      </c>
      <c r="C2897" s="4">
        <v>338</v>
      </c>
      <c r="E2897" s="4" t="s">
        <v>55</v>
      </c>
      <c r="F2897" s="4" t="s">
        <v>345</v>
      </c>
      <c r="I2897" s="4" t="s">
        <v>346</v>
      </c>
      <c r="O2897" s="4" t="s">
        <v>7644</v>
      </c>
    </row>
    <row r="2898" spans="1:15" ht="15.75" customHeight="1">
      <c r="A2898" s="4" t="s">
        <v>7645</v>
      </c>
      <c r="B2898" s="4">
        <v>1139</v>
      </c>
      <c r="C2898" s="4">
        <v>2050</v>
      </c>
      <c r="D2898" s="4" t="s">
        <v>7646</v>
      </c>
      <c r="E2898" s="4" t="s">
        <v>55</v>
      </c>
      <c r="F2898" s="4" t="s">
        <v>7647</v>
      </c>
      <c r="I2898" s="4" t="s">
        <v>52</v>
      </c>
      <c r="L2898" s="4" t="s">
        <v>7648</v>
      </c>
      <c r="M2898" s="4" t="s">
        <v>7647</v>
      </c>
      <c r="N2898" s="4">
        <v>303</v>
      </c>
      <c r="O2898" s="4" t="s">
        <v>7649</v>
      </c>
    </row>
    <row r="2899" spans="1:15" ht="15.75" customHeight="1">
      <c r="A2899" s="4" t="s">
        <v>7645</v>
      </c>
      <c r="B2899" s="4">
        <v>2789</v>
      </c>
      <c r="C2899" s="4">
        <v>3709</v>
      </c>
      <c r="D2899" s="4" t="s">
        <v>7646</v>
      </c>
      <c r="E2899" s="4" t="s">
        <v>55</v>
      </c>
      <c r="F2899" s="4" t="s">
        <v>674</v>
      </c>
      <c r="I2899" s="4" t="s">
        <v>52</v>
      </c>
      <c r="L2899" s="4" t="s">
        <v>675</v>
      </c>
      <c r="M2899" s="4" t="s">
        <v>674</v>
      </c>
      <c r="N2899" s="4">
        <v>306</v>
      </c>
      <c r="O2899" s="4" t="s">
        <v>7650</v>
      </c>
    </row>
    <row r="2900" spans="1:15" ht="15.75" customHeight="1">
      <c r="A2900" s="4" t="s">
        <v>7645</v>
      </c>
      <c r="B2900" s="4">
        <v>3808</v>
      </c>
      <c r="C2900" s="4">
        <v>4401</v>
      </c>
      <c r="D2900" s="4" t="s">
        <v>7646</v>
      </c>
      <c r="E2900" s="4" t="s">
        <v>50</v>
      </c>
      <c r="F2900" s="4" t="s">
        <v>56</v>
      </c>
      <c r="I2900" s="4" t="s">
        <v>52</v>
      </c>
      <c r="L2900" s="4" t="s">
        <v>7651</v>
      </c>
      <c r="M2900" s="4" t="s">
        <v>56</v>
      </c>
      <c r="N2900" s="4">
        <v>197</v>
      </c>
      <c r="O2900" s="4" t="s">
        <v>7652</v>
      </c>
    </row>
    <row r="2901" spans="1:15" ht="15.75" customHeight="1">
      <c r="A2901" s="4" t="s">
        <v>7645</v>
      </c>
      <c r="B2901" s="4">
        <v>4605</v>
      </c>
      <c r="C2901" s="4">
        <v>4718</v>
      </c>
      <c r="D2901" s="4" t="s">
        <v>7646</v>
      </c>
      <c r="E2901" s="4" t="s">
        <v>50</v>
      </c>
      <c r="F2901" s="4" t="s">
        <v>56</v>
      </c>
      <c r="I2901" s="4" t="s">
        <v>52</v>
      </c>
      <c r="L2901" s="4" t="s">
        <v>7653</v>
      </c>
      <c r="M2901" s="4" t="s">
        <v>56</v>
      </c>
      <c r="N2901" s="4">
        <v>37</v>
      </c>
      <c r="O2901" s="4" t="s">
        <v>7654</v>
      </c>
    </row>
    <row r="2902" spans="1:15" ht="15.75" customHeight="1">
      <c r="A2902" s="4" t="s">
        <v>7645</v>
      </c>
      <c r="B2902" s="4">
        <v>4820</v>
      </c>
      <c r="C2902" s="4">
        <v>5662</v>
      </c>
      <c r="D2902" s="4" t="s">
        <v>7646</v>
      </c>
      <c r="E2902" s="4" t="s">
        <v>55</v>
      </c>
      <c r="F2902" s="4" t="s">
        <v>348</v>
      </c>
      <c r="I2902" s="4" t="s">
        <v>52</v>
      </c>
      <c r="L2902" s="4" t="s">
        <v>765</v>
      </c>
      <c r="M2902" s="4" t="s">
        <v>348</v>
      </c>
      <c r="N2902" s="4">
        <v>280</v>
      </c>
      <c r="O2902" s="4" t="s">
        <v>7655</v>
      </c>
    </row>
    <row r="2903" spans="1:15" ht="15.75" customHeight="1">
      <c r="A2903" s="4" t="s">
        <v>7645</v>
      </c>
      <c r="B2903" s="4">
        <v>5716</v>
      </c>
      <c r="C2903" s="4">
        <v>5967</v>
      </c>
      <c r="D2903" s="4" t="s">
        <v>7646</v>
      </c>
      <c r="E2903" s="4" t="s">
        <v>55</v>
      </c>
      <c r="F2903" s="4" t="s">
        <v>348</v>
      </c>
      <c r="I2903" s="4" t="s">
        <v>52</v>
      </c>
      <c r="L2903" s="4" t="s">
        <v>767</v>
      </c>
      <c r="M2903" s="4" t="s">
        <v>348</v>
      </c>
      <c r="N2903" s="4">
        <v>83</v>
      </c>
      <c r="O2903" s="4" t="s">
        <v>7656</v>
      </c>
    </row>
    <row r="2904" spans="1:15" ht="15.75" customHeight="1">
      <c r="A2904" s="4" t="s">
        <v>7645</v>
      </c>
      <c r="B2904" s="4">
        <v>6263</v>
      </c>
      <c r="C2904" s="4">
        <v>7006</v>
      </c>
      <c r="D2904" s="4" t="s">
        <v>7646</v>
      </c>
      <c r="E2904" s="4" t="s">
        <v>55</v>
      </c>
      <c r="F2904" s="4" t="s">
        <v>56</v>
      </c>
      <c r="I2904" s="4" t="s">
        <v>52</v>
      </c>
      <c r="L2904" s="4" t="s">
        <v>7657</v>
      </c>
      <c r="M2904" s="4" t="s">
        <v>56</v>
      </c>
      <c r="N2904" s="4">
        <v>247</v>
      </c>
      <c r="O2904" s="4" t="s">
        <v>7658</v>
      </c>
    </row>
    <row r="2905" spans="1:15" ht="15.75" customHeight="1">
      <c r="A2905" s="4" t="s">
        <v>7645</v>
      </c>
      <c r="B2905" s="4">
        <v>6999</v>
      </c>
      <c r="C2905" s="4">
        <v>7283</v>
      </c>
      <c r="D2905" s="4" t="s">
        <v>7646</v>
      </c>
      <c r="E2905" s="4" t="s">
        <v>55</v>
      </c>
      <c r="F2905" s="4" t="s">
        <v>345</v>
      </c>
      <c r="I2905" s="4" t="s">
        <v>346</v>
      </c>
      <c r="O2905" s="4" t="s">
        <v>7659</v>
      </c>
    </row>
    <row r="2906" spans="1:15" ht="15.75" customHeight="1">
      <c r="A2906" s="4" t="s">
        <v>7645</v>
      </c>
      <c r="B2906" s="4">
        <v>7393</v>
      </c>
      <c r="C2906" s="4">
        <v>8313</v>
      </c>
      <c r="D2906" s="4" t="s">
        <v>7646</v>
      </c>
      <c r="E2906" s="4" t="s">
        <v>50</v>
      </c>
      <c r="F2906" s="4" t="s">
        <v>674</v>
      </c>
      <c r="I2906" s="4" t="s">
        <v>52</v>
      </c>
      <c r="L2906" s="4" t="s">
        <v>7660</v>
      </c>
      <c r="M2906" s="4" t="s">
        <v>674</v>
      </c>
      <c r="N2906" s="4">
        <v>306</v>
      </c>
      <c r="O2906" s="4" t="s">
        <v>7661</v>
      </c>
    </row>
    <row r="2907" spans="1:15" ht="15.75" customHeight="1">
      <c r="A2907" s="4" t="s">
        <v>7645</v>
      </c>
      <c r="B2907" s="4">
        <v>8303</v>
      </c>
      <c r="C2907" s="4">
        <v>8503</v>
      </c>
      <c r="D2907" s="4" t="s">
        <v>7646</v>
      </c>
      <c r="E2907" s="4" t="s">
        <v>55</v>
      </c>
      <c r="F2907" s="4" t="s">
        <v>56</v>
      </c>
      <c r="I2907" s="4" t="s">
        <v>52</v>
      </c>
      <c r="L2907" s="4" t="s">
        <v>7662</v>
      </c>
      <c r="M2907" s="4" t="s">
        <v>56</v>
      </c>
      <c r="N2907" s="4">
        <v>66</v>
      </c>
      <c r="O2907" s="4" t="s">
        <v>7663</v>
      </c>
    </row>
    <row r="2908" spans="1:15" ht="15.75" customHeight="1">
      <c r="A2908" s="4" t="s">
        <v>7645</v>
      </c>
      <c r="B2908" s="4">
        <v>8516</v>
      </c>
      <c r="C2908" s="4">
        <v>8962</v>
      </c>
      <c r="D2908" s="4" t="s">
        <v>7646</v>
      </c>
      <c r="E2908" s="4" t="s">
        <v>55</v>
      </c>
      <c r="F2908" s="4" t="s">
        <v>56</v>
      </c>
      <c r="I2908" s="4" t="s">
        <v>52</v>
      </c>
      <c r="L2908" s="4" t="s">
        <v>7664</v>
      </c>
      <c r="M2908" s="4" t="s">
        <v>56</v>
      </c>
      <c r="N2908" s="4">
        <v>148</v>
      </c>
      <c r="O2908" s="4" t="s">
        <v>7665</v>
      </c>
    </row>
    <row r="2909" spans="1:15" ht="15.75" customHeight="1">
      <c r="A2909" s="4" t="s">
        <v>7645</v>
      </c>
      <c r="B2909" s="4">
        <v>9627</v>
      </c>
      <c r="C2909" s="4">
        <v>9995</v>
      </c>
      <c r="D2909" s="4" t="s">
        <v>7646</v>
      </c>
      <c r="E2909" s="4" t="s">
        <v>50</v>
      </c>
      <c r="F2909" s="4" t="s">
        <v>7666</v>
      </c>
      <c r="I2909" s="4" t="s">
        <v>52</v>
      </c>
      <c r="L2909" s="4" t="s">
        <v>7667</v>
      </c>
      <c r="M2909" s="4" t="s">
        <v>7666</v>
      </c>
      <c r="N2909" s="4">
        <v>122</v>
      </c>
      <c r="O2909" s="4" t="s">
        <v>7668</v>
      </c>
    </row>
    <row r="2910" spans="1:15" ht="15.75" customHeight="1">
      <c r="A2910" s="4" t="s">
        <v>7645</v>
      </c>
      <c r="B2910" s="4">
        <v>10219</v>
      </c>
      <c r="C2910" s="4">
        <v>10665</v>
      </c>
      <c r="D2910" s="4" t="s">
        <v>7646</v>
      </c>
      <c r="E2910" s="4" t="s">
        <v>50</v>
      </c>
      <c r="F2910" s="4" t="s">
        <v>7669</v>
      </c>
      <c r="I2910" s="4" t="s">
        <v>52</v>
      </c>
      <c r="L2910" s="4" t="s">
        <v>7670</v>
      </c>
      <c r="M2910" s="4" t="s">
        <v>7669</v>
      </c>
      <c r="N2910" s="4">
        <v>148</v>
      </c>
      <c r="O2910" s="4" t="s">
        <v>7671</v>
      </c>
    </row>
    <row r="2911" spans="1:15" ht="15.75" customHeight="1">
      <c r="A2911" s="4" t="s">
        <v>7645</v>
      </c>
      <c r="B2911" s="4">
        <v>10662</v>
      </c>
      <c r="C2911" s="4">
        <v>13358</v>
      </c>
      <c r="D2911" s="4" t="s">
        <v>7646</v>
      </c>
      <c r="E2911" s="4" t="s">
        <v>50</v>
      </c>
      <c r="F2911" s="4" t="s">
        <v>3740</v>
      </c>
      <c r="I2911" s="4" t="s">
        <v>52</v>
      </c>
      <c r="L2911" s="4" t="s">
        <v>7672</v>
      </c>
      <c r="M2911" s="4" t="s">
        <v>3740</v>
      </c>
      <c r="N2911" s="4">
        <v>898</v>
      </c>
      <c r="O2911" s="4" t="s">
        <v>7673</v>
      </c>
    </row>
    <row r="2912" spans="1:15" ht="15.75" customHeight="1">
      <c r="A2912" s="4" t="s">
        <v>7645</v>
      </c>
      <c r="B2912" s="4">
        <v>13351</v>
      </c>
      <c r="C2912" s="4">
        <v>14076</v>
      </c>
      <c r="D2912" s="4" t="s">
        <v>7646</v>
      </c>
      <c r="E2912" s="4" t="s">
        <v>50</v>
      </c>
      <c r="F2912" s="4" t="s">
        <v>3737</v>
      </c>
      <c r="I2912" s="4" t="s">
        <v>52</v>
      </c>
      <c r="L2912" s="4" t="s">
        <v>7674</v>
      </c>
      <c r="M2912" s="4" t="s">
        <v>3737</v>
      </c>
      <c r="N2912" s="4">
        <v>241</v>
      </c>
      <c r="O2912" s="4" t="s">
        <v>7675</v>
      </c>
    </row>
    <row r="2913" spans="1:15" ht="15.75" customHeight="1">
      <c r="A2913" s="4" t="s">
        <v>7645</v>
      </c>
      <c r="B2913" s="4">
        <v>14079</v>
      </c>
      <c r="C2913" s="4">
        <v>15083</v>
      </c>
      <c r="D2913" s="4" t="s">
        <v>7646</v>
      </c>
      <c r="E2913" s="4" t="s">
        <v>50</v>
      </c>
      <c r="F2913" s="4" t="s">
        <v>3740</v>
      </c>
      <c r="I2913" s="4" t="s">
        <v>52</v>
      </c>
      <c r="L2913" s="4" t="s">
        <v>7676</v>
      </c>
      <c r="M2913" s="4" t="s">
        <v>3740</v>
      </c>
      <c r="N2913" s="4">
        <v>334</v>
      </c>
      <c r="O2913" s="4" t="s">
        <v>7677</v>
      </c>
    </row>
    <row r="2914" spans="1:15" ht="15.75" customHeight="1">
      <c r="A2914" s="4" t="s">
        <v>7645</v>
      </c>
      <c r="B2914" s="4">
        <v>15157</v>
      </c>
      <c r="C2914" s="4">
        <v>16236</v>
      </c>
      <c r="D2914" s="4" t="s">
        <v>7646</v>
      </c>
      <c r="E2914" s="4" t="s">
        <v>50</v>
      </c>
      <c r="F2914" s="4" t="s">
        <v>3731</v>
      </c>
      <c r="I2914" s="4" t="s">
        <v>52</v>
      </c>
      <c r="L2914" s="4" t="s">
        <v>7678</v>
      </c>
      <c r="M2914" s="4" t="s">
        <v>3731</v>
      </c>
      <c r="N2914" s="4">
        <v>359</v>
      </c>
      <c r="O2914" s="4" t="s">
        <v>7679</v>
      </c>
    </row>
    <row r="2915" spans="1:15" ht="15.75" customHeight="1">
      <c r="A2915" s="4" t="s">
        <v>7645</v>
      </c>
      <c r="B2915" s="4">
        <v>16696</v>
      </c>
      <c r="C2915" s="4">
        <v>16947</v>
      </c>
      <c r="D2915" s="4" t="s">
        <v>7646</v>
      </c>
      <c r="E2915" s="4" t="s">
        <v>50</v>
      </c>
      <c r="F2915" s="4" t="s">
        <v>348</v>
      </c>
      <c r="I2915" s="4" t="s">
        <v>52</v>
      </c>
      <c r="L2915" s="4" t="s">
        <v>767</v>
      </c>
      <c r="M2915" s="4" t="s">
        <v>348</v>
      </c>
      <c r="N2915" s="4">
        <v>83</v>
      </c>
      <c r="O2915" s="4" t="s">
        <v>7680</v>
      </c>
    </row>
    <row r="2916" spans="1:15" ht="15.75" customHeight="1">
      <c r="A2916" s="4" t="s">
        <v>7645</v>
      </c>
      <c r="B2916" s="4">
        <v>17001</v>
      </c>
      <c r="C2916" s="4">
        <v>17843</v>
      </c>
      <c r="D2916" s="4" t="s">
        <v>7646</v>
      </c>
      <c r="E2916" s="4" t="s">
        <v>50</v>
      </c>
      <c r="F2916" s="4" t="s">
        <v>348</v>
      </c>
      <c r="I2916" s="4" t="s">
        <v>52</v>
      </c>
      <c r="L2916" s="4" t="s">
        <v>765</v>
      </c>
      <c r="M2916" s="4" t="s">
        <v>348</v>
      </c>
      <c r="N2916" s="4">
        <v>280</v>
      </c>
      <c r="O2916" s="4" t="s">
        <v>7681</v>
      </c>
    </row>
    <row r="2917" spans="1:15" ht="15.75" customHeight="1">
      <c r="A2917" s="4" t="s">
        <v>7645</v>
      </c>
      <c r="B2917" s="4">
        <v>18064</v>
      </c>
      <c r="C2917" s="4">
        <v>18462</v>
      </c>
      <c r="D2917" s="4" t="s">
        <v>7646</v>
      </c>
      <c r="E2917" s="4" t="s">
        <v>55</v>
      </c>
      <c r="F2917" s="4" t="s">
        <v>4639</v>
      </c>
      <c r="I2917" s="4" t="s">
        <v>52</v>
      </c>
      <c r="L2917" s="4" t="s">
        <v>7682</v>
      </c>
      <c r="M2917" s="4" t="s">
        <v>4639</v>
      </c>
      <c r="N2917" s="4">
        <v>132</v>
      </c>
      <c r="O2917" s="4" t="s">
        <v>7683</v>
      </c>
    </row>
    <row r="2918" spans="1:15" ht="15.75" customHeight="1">
      <c r="A2918" s="4" t="s">
        <v>7645</v>
      </c>
      <c r="B2918" s="4">
        <v>18575</v>
      </c>
      <c r="C2918" s="4">
        <v>18946</v>
      </c>
      <c r="D2918" s="4" t="s">
        <v>7646</v>
      </c>
      <c r="E2918" s="4" t="s">
        <v>55</v>
      </c>
      <c r="F2918" s="4" t="s">
        <v>7684</v>
      </c>
      <c r="I2918" s="4" t="s">
        <v>52</v>
      </c>
      <c r="L2918" s="4" t="s">
        <v>7685</v>
      </c>
      <c r="M2918" s="4" t="s">
        <v>7684</v>
      </c>
      <c r="N2918" s="4">
        <v>123</v>
      </c>
      <c r="O2918" s="4" t="s">
        <v>7686</v>
      </c>
    </row>
    <row r="2919" spans="1:15" ht="15.75" customHeight="1">
      <c r="A2919" s="4" t="s">
        <v>7645</v>
      </c>
      <c r="B2919" s="4">
        <v>19627</v>
      </c>
      <c r="C2919" s="4">
        <v>19911</v>
      </c>
      <c r="D2919" s="4" t="s">
        <v>7646</v>
      </c>
      <c r="E2919" s="4" t="s">
        <v>55</v>
      </c>
      <c r="F2919" s="4" t="s">
        <v>7687</v>
      </c>
      <c r="I2919" s="4" t="s">
        <v>52</v>
      </c>
      <c r="L2919" s="4" t="s">
        <v>7688</v>
      </c>
      <c r="M2919" s="4" t="s">
        <v>7687</v>
      </c>
      <c r="N2919" s="4">
        <v>94</v>
      </c>
      <c r="O2919" s="4" t="s">
        <v>7689</v>
      </c>
    </row>
    <row r="2920" spans="1:15" ht="15.75" customHeight="1">
      <c r="A2920" s="4" t="s">
        <v>7645</v>
      </c>
      <c r="B2920" s="4">
        <v>19917</v>
      </c>
      <c r="C2920" s="4">
        <v>20567</v>
      </c>
      <c r="D2920" s="4" t="s">
        <v>7646</v>
      </c>
      <c r="E2920" s="4" t="s">
        <v>55</v>
      </c>
      <c r="F2920" s="4" t="s">
        <v>7690</v>
      </c>
      <c r="I2920" s="4" t="s">
        <v>52</v>
      </c>
      <c r="L2920" s="4" t="s">
        <v>7691</v>
      </c>
      <c r="M2920" s="4" t="s">
        <v>7690</v>
      </c>
      <c r="N2920" s="4">
        <v>216</v>
      </c>
      <c r="O2920" s="4" t="s">
        <v>7692</v>
      </c>
    </row>
    <row r="2921" spans="1:15" ht="15.75" customHeight="1">
      <c r="A2921" s="4" t="s">
        <v>7645</v>
      </c>
      <c r="B2921" s="4">
        <v>20909</v>
      </c>
      <c r="C2921" s="4">
        <v>21820</v>
      </c>
      <c r="D2921" s="4" t="s">
        <v>7646</v>
      </c>
      <c r="E2921" s="4" t="s">
        <v>50</v>
      </c>
      <c r="F2921" s="4" t="s">
        <v>674</v>
      </c>
      <c r="I2921" s="4" t="s">
        <v>52</v>
      </c>
      <c r="L2921" s="4" t="s">
        <v>7693</v>
      </c>
      <c r="M2921" s="4" t="s">
        <v>674</v>
      </c>
      <c r="N2921" s="4">
        <v>303</v>
      </c>
      <c r="O2921" s="4" t="s">
        <v>7694</v>
      </c>
    </row>
    <row r="2922" spans="1:15" ht="15.75" customHeight="1">
      <c r="A2922" s="4" t="s">
        <v>7645</v>
      </c>
      <c r="B2922" s="4">
        <v>21833</v>
      </c>
      <c r="C2922" s="4">
        <v>22142</v>
      </c>
      <c r="D2922" s="4" t="s">
        <v>7646</v>
      </c>
      <c r="E2922" s="4" t="s">
        <v>50</v>
      </c>
      <c r="F2922" s="4" t="s">
        <v>345</v>
      </c>
      <c r="I2922" s="4" t="s">
        <v>346</v>
      </c>
      <c r="O2922" s="4" t="s">
        <v>7695</v>
      </c>
    </row>
    <row r="2923" spans="1:15" ht="15.75" customHeight="1">
      <c r="A2923" s="4" t="s">
        <v>7645</v>
      </c>
      <c r="B2923" s="4">
        <v>22290</v>
      </c>
      <c r="C2923" s="4">
        <v>24104</v>
      </c>
      <c r="D2923" s="4" t="s">
        <v>7646</v>
      </c>
      <c r="E2923" s="4" t="s">
        <v>55</v>
      </c>
      <c r="F2923" s="4" t="s">
        <v>7696</v>
      </c>
      <c r="I2923" s="4" t="s">
        <v>52</v>
      </c>
      <c r="L2923" s="4" t="s">
        <v>7697</v>
      </c>
      <c r="M2923" s="4" t="s">
        <v>7696</v>
      </c>
      <c r="N2923" s="4">
        <v>604</v>
      </c>
      <c r="O2923" s="4" t="s">
        <v>7698</v>
      </c>
    </row>
    <row r="2924" spans="1:15" ht="15.75" customHeight="1">
      <c r="A2924" s="4" t="s">
        <v>7645</v>
      </c>
      <c r="B2924" s="4">
        <v>24946</v>
      </c>
      <c r="C2924" s="4">
        <v>25317</v>
      </c>
      <c r="D2924" s="4" t="s">
        <v>7646</v>
      </c>
      <c r="E2924" s="4" t="s">
        <v>50</v>
      </c>
      <c r="F2924" s="4" t="s">
        <v>345</v>
      </c>
      <c r="I2924" s="4" t="s">
        <v>346</v>
      </c>
      <c r="O2924" s="4" t="s">
        <v>7699</v>
      </c>
    </row>
    <row r="2925" spans="1:15" ht="15.75" customHeight="1">
      <c r="A2925" s="4" t="s">
        <v>7645</v>
      </c>
      <c r="B2925" s="4">
        <v>25310</v>
      </c>
      <c r="C2925" s="4">
        <v>25647</v>
      </c>
      <c r="D2925" s="4" t="s">
        <v>7646</v>
      </c>
      <c r="E2925" s="4" t="s">
        <v>50</v>
      </c>
      <c r="F2925" s="4" t="s">
        <v>345</v>
      </c>
      <c r="I2925" s="4" t="s">
        <v>346</v>
      </c>
      <c r="O2925" s="4" t="s">
        <v>7700</v>
      </c>
    </row>
    <row r="2926" spans="1:15" ht="15.75" customHeight="1">
      <c r="A2926" s="4" t="s">
        <v>7645</v>
      </c>
      <c r="B2926" s="4">
        <v>25676</v>
      </c>
      <c r="C2926" s="4">
        <v>26074</v>
      </c>
      <c r="D2926" s="4" t="s">
        <v>7646</v>
      </c>
      <c r="E2926" s="4" t="s">
        <v>55</v>
      </c>
      <c r="F2926" s="4" t="s">
        <v>7701</v>
      </c>
      <c r="I2926" s="4" t="s">
        <v>52</v>
      </c>
      <c r="L2926" s="4" t="s">
        <v>7702</v>
      </c>
      <c r="M2926" s="4" t="s">
        <v>7701</v>
      </c>
      <c r="N2926" s="4">
        <v>132</v>
      </c>
      <c r="O2926" s="4" t="s">
        <v>7703</v>
      </c>
    </row>
    <row r="2927" spans="1:15" ht="15.75" customHeight="1">
      <c r="A2927" s="4" t="s">
        <v>7645</v>
      </c>
      <c r="B2927" s="4">
        <v>26076</v>
      </c>
      <c r="C2927" s="4">
        <v>26885</v>
      </c>
      <c r="D2927" s="4" t="s">
        <v>7646</v>
      </c>
      <c r="E2927" s="4" t="s">
        <v>55</v>
      </c>
      <c r="F2927" s="4" t="s">
        <v>4599</v>
      </c>
      <c r="I2927" s="4" t="s">
        <v>52</v>
      </c>
      <c r="L2927" s="4" t="s">
        <v>7704</v>
      </c>
      <c r="M2927" s="4" t="s">
        <v>4599</v>
      </c>
      <c r="N2927" s="4">
        <v>269</v>
      </c>
      <c r="O2927" s="4" t="s">
        <v>7705</v>
      </c>
    </row>
    <row r="2928" spans="1:15" ht="15.75" customHeight="1">
      <c r="A2928" s="4" t="s">
        <v>7645</v>
      </c>
      <c r="B2928" s="4">
        <v>27431</v>
      </c>
      <c r="C2928" s="4">
        <v>28489</v>
      </c>
      <c r="D2928" s="4" t="s">
        <v>7646</v>
      </c>
      <c r="E2928" s="4" t="s">
        <v>50</v>
      </c>
      <c r="F2928" s="4" t="s">
        <v>7706</v>
      </c>
      <c r="I2928" s="4" t="s">
        <v>52</v>
      </c>
      <c r="L2928" s="4" t="s">
        <v>7707</v>
      </c>
      <c r="M2928" s="4" t="s">
        <v>7706</v>
      </c>
      <c r="N2928" s="4">
        <v>352</v>
      </c>
      <c r="O2928" s="4" t="s">
        <v>7708</v>
      </c>
    </row>
    <row r="2929" spans="1:15" ht="15.75" customHeight="1">
      <c r="A2929" s="4" t="s">
        <v>7645</v>
      </c>
      <c r="B2929" s="4">
        <v>28479</v>
      </c>
      <c r="C2929" s="4">
        <v>29048</v>
      </c>
      <c r="D2929" s="4" t="s">
        <v>7646</v>
      </c>
      <c r="E2929" s="4" t="s">
        <v>50</v>
      </c>
      <c r="F2929" s="4" t="s">
        <v>345</v>
      </c>
      <c r="I2929" s="4" t="s">
        <v>346</v>
      </c>
      <c r="O2929" s="4" t="s">
        <v>7709</v>
      </c>
    </row>
    <row r="2930" spans="1:15" ht="15.75" customHeight="1">
      <c r="A2930" s="4" t="s">
        <v>7645</v>
      </c>
      <c r="B2930" s="4">
        <v>29091</v>
      </c>
      <c r="C2930" s="4">
        <v>29777</v>
      </c>
      <c r="D2930" s="4" t="s">
        <v>7646</v>
      </c>
      <c r="E2930" s="4" t="s">
        <v>50</v>
      </c>
      <c r="F2930" s="4" t="s">
        <v>3740</v>
      </c>
      <c r="I2930" s="4" t="s">
        <v>52</v>
      </c>
      <c r="L2930" s="4" t="s">
        <v>7710</v>
      </c>
      <c r="M2930" s="4" t="s">
        <v>3740</v>
      </c>
      <c r="N2930" s="4">
        <v>228</v>
      </c>
      <c r="O2930" s="4" t="s">
        <v>7711</v>
      </c>
    </row>
    <row r="2931" spans="1:15" ht="15.75" customHeight="1">
      <c r="A2931" s="4" t="s">
        <v>7645</v>
      </c>
      <c r="B2931" s="4">
        <v>29870</v>
      </c>
      <c r="C2931" s="4">
        <v>30790</v>
      </c>
      <c r="D2931" s="4" t="s">
        <v>7646</v>
      </c>
      <c r="E2931" s="4" t="s">
        <v>50</v>
      </c>
      <c r="F2931" s="4" t="s">
        <v>674</v>
      </c>
      <c r="I2931" s="4" t="s">
        <v>52</v>
      </c>
      <c r="L2931" s="4" t="s">
        <v>675</v>
      </c>
      <c r="M2931" s="4" t="s">
        <v>674</v>
      </c>
      <c r="N2931" s="4">
        <v>306</v>
      </c>
      <c r="O2931" s="4" t="s">
        <v>7712</v>
      </c>
    </row>
    <row r="2932" spans="1:15" ht="15.75" customHeight="1">
      <c r="A2932" s="4" t="s">
        <v>7645</v>
      </c>
      <c r="B2932" s="4">
        <v>30905</v>
      </c>
      <c r="C2932" s="4">
        <v>31285</v>
      </c>
      <c r="D2932" s="4" t="s">
        <v>7646</v>
      </c>
      <c r="E2932" s="4" t="s">
        <v>50</v>
      </c>
      <c r="F2932" s="4" t="s">
        <v>3740</v>
      </c>
      <c r="I2932" s="4" t="s">
        <v>52</v>
      </c>
      <c r="L2932" s="4" t="s">
        <v>7713</v>
      </c>
      <c r="M2932" s="4" t="s">
        <v>3740</v>
      </c>
      <c r="N2932" s="4">
        <v>126</v>
      </c>
      <c r="O2932" s="4" t="s">
        <v>7714</v>
      </c>
    </row>
    <row r="2933" spans="1:15" ht="15.75" customHeight="1">
      <c r="A2933" s="4" t="s">
        <v>7645</v>
      </c>
      <c r="B2933" s="4">
        <v>31275</v>
      </c>
      <c r="C2933" s="4">
        <v>31994</v>
      </c>
      <c r="D2933" s="4" t="s">
        <v>7646</v>
      </c>
      <c r="E2933" s="4" t="s">
        <v>50</v>
      </c>
      <c r="F2933" s="4" t="s">
        <v>56</v>
      </c>
      <c r="I2933" s="4" t="s">
        <v>52</v>
      </c>
      <c r="L2933" s="4" t="s">
        <v>7715</v>
      </c>
      <c r="M2933" s="4" t="s">
        <v>56</v>
      </c>
      <c r="N2933" s="4">
        <v>239</v>
      </c>
      <c r="O2933" s="4" t="s">
        <v>7716</v>
      </c>
    </row>
    <row r="2934" spans="1:15" ht="15.75" customHeight="1">
      <c r="A2934" s="4" t="s">
        <v>7645</v>
      </c>
      <c r="B2934" s="4">
        <v>32597</v>
      </c>
      <c r="C2934" s="4">
        <v>32797</v>
      </c>
      <c r="D2934" s="4" t="s">
        <v>7646</v>
      </c>
      <c r="E2934" s="4" t="s">
        <v>50</v>
      </c>
      <c r="F2934" s="4" t="s">
        <v>56</v>
      </c>
      <c r="I2934" s="4" t="s">
        <v>52</v>
      </c>
      <c r="L2934" s="4" t="s">
        <v>7717</v>
      </c>
      <c r="M2934" s="4" t="s">
        <v>56</v>
      </c>
      <c r="N2934" s="4">
        <v>66</v>
      </c>
      <c r="O2934" s="4" t="s">
        <v>7718</v>
      </c>
    </row>
    <row r="2935" spans="1:15" ht="15.75" customHeight="1">
      <c r="A2935" s="4" t="s">
        <v>7645</v>
      </c>
      <c r="B2935" s="4">
        <v>32794</v>
      </c>
      <c r="C2935" s="4">
        <v>33066</v>
      </c>
      <c r="D2935" s="4" t="s">
        <v>7646</v>
      </c>
      <c r="E2935" s="4" t="s">
        <v>50</v>
      </c>
      <c r="F2935" s="4" t="s">
        <v>56</v>
      </c>
      <c r="I2935" s="4" t="s">
        <v>52</v>
      </c>
      <c r="L2935" s="4" t="s">
        <v>7719</v>
      </c>
      <c r="M2935" s="4" t="s">
        <v>56</v>
      </c>
      <c r="N2935" s="4">
        <v>90</v>
      </c>
      <c r="O2935" s="4" t="s">
        <v>7720</v>
      </c>
    </row>
    <row r="2936" spans="1:15" ht="15.75" customHeight="1">
      <c r="A2936" s="4" t="s">
        <v>7645</v>
      </c>
      <c r="B2936" s="4">
        <v>33056</v>
      </c>
      <c r="C2936" s="4">
        <v>33493</v>
      </c>
      <c r="D2936" s="4" t="s">
        <v>7646</v>
      </c>
      <c r="E2936" s="4" t="s">
        <v>50</v>
      </c>
      <c r="F2936" s="4" t="s">
        <v>56</v>
      </c>
      <c r="I2936" s="4" t="s">
        <v>52</v>
      </c>
      <c r="L2936" s="4" t="s">
        <v>7721</v>
      </c>
      <c r="M2936" s="4" t="s">
        <v>56</v>
      </c>
      <c r="N2936" s="4">
        <v>145</v>
      </c>
      <c r="O2936" s="4" t="s">
        <v>7722</v>
      </c>
    </row>
    <row r="2937" spans="1:15" ht="15.75" customHeight="1">
      <c r="A2937" s="4" t="s">
        <v>7645</v>
      </c>
      <c r="B2937" s="4">
        <v>33486</v>
      </c>
      <c r="C2937" s="4">
        <v>33989</v>
      </c>
      <c r="D2937" s="4" t="s">
        <v>7646</v>
      </c>
      <c r="E2937" s="4" t="s">
        <v>50</v>
      </c>
      <c r="F2937" s="4" t="s">
        <v>345</v>
      </c>
      <c r="G2937" s="4" t="s">
        <v>7723</v>
      </c>
      <c r="I2937" s="4" t="s">
        <v>346</v>
      </c>
      <c r="O2937" s="4" t="s">
        <v>7724</v>
      </c>
    </row>
    <row r="2938" spans="1:15" ht="15.75" customHeight="1">
      <c r="A2938" s="4" t="s">
        <v>7645</v>
      </c>
      <c r="B2938" s="4">
        <v>34008</v>
      </c>
      <c r="C2938" s="4">
        <v>34927</v>
      </c>
      <c r="D2938" s="4" t="s">
        <v>7646</v>
      </c>
      <c r="E2938" s="4" t="s">
        <v>55</v>
      </c>
      <c r="F2938" s="4" t="s">
        <v>345</v>
      </c>
      <c r="I2938" s="4" t="s">
        <v>346</v>
      </c>
      <c r="O2938" s="4" t="s">
        <v>7725</v>
      </c>
    </row>
    <row r="2939" spans="1:15" ht="15.75" customHeight="1">
      <c r="A2939" s="4" t="s">
        <v>7645</v>
      </c>
      <c r="B2939" s="4">
        <v>35038</v>
      </c>
      <c r="C2939" s="4">
        <v>35784</v>
      </c>
      <c r="D2939" s="4" t="s">
        <v>7646</v>
      </c>
      <c r="E2939" s="4" t="s">
        <v>50</v>
      </c>
      <c r="F2939" s="4" t="s">
        <v>345</v>
      </c>
      <c r="G2939" s="4" t="s">
        <v>7726</v>
      </c>
      <c r="I2939" s="4" t="s">
        <v>346</v>
      </c>
      <c r="O2939" s="4" t="s">
        <v>7727</v>
      </c>
    </row>
    <row r="2940" spans="1:15" ht="15.75" customHeight="1">
      <c r="A2940" s="4" t="s">
        <v>7645</v>
      </c>
      <c r="B2940" s="4">
        <v>35826</v>
      </c>
      <c r="C2940" s="4">
        <v>36071</v>
      </c>
      <c r="D2940" s="4" t="s">
        <v>7646</v>
      </c>
      <c r="E2940" s="4" t="s">
        <v>50</v>
      </c>
      <c r="F2940" s="4" t="s">
        <v>56</v>
      </c>
      <c r="I2940" s="4" t="s">
        <v>52</v>
      </c>
      <c r="L2940" s="4" t="s">
        <v>7728</v>
      </c>
      <c r="M2940" s="4" t="s">
        <v>56</v>
      </c>
      <c r="N2940" s="4">
        <v>81</v>
      </c>
      <c r="O2940" s="4" t="s">
        <v>7729</v>
      </c>
    </row>
    <row r="2941" spans="1:15" ht="15.75" customHeight="1">
      <c r="A2941" s="4" t="s">
        <v>7645</v>
      </c>
      <c r="B2941" s="4">
        <v>36058</v>
      </c>
      <c r="C2941" s="4">
        <v>38595</v>
      </c>
      <c r="D2941" s="4" t="s">
        <v>7646</v>
      </c>
      <c r="E2941" s="4" t="s">
        <v>50</v>
      </c>
      <c r="F2941" s="4" t="s">
        <v>7730</v>
      </c>
      <c r="I2941" s="4" t="s">
        <v>52</v>
      </c>
      <c r="L2941" s="4" t="s">
        <v>7731</v>
      </c>
      <c r="M2941" s="4" t="s">
        <v>7730</v>
      </c>
      <c r="N2941" s="4">
        <v>845</v>
      </c>
      <c r="O2941" s="4" t="s">
        <v>7732</v>
      </c>
    </row>
    <row r="2942" spans="1:15" ht="15.75" customHeight="1">
      <c r="A2942" s="4" t="s">
        <v>7645</v>
      </c>
      <c r="B2942" s="4">
        <v>39309</v>
      </c>
      <c r="C2942" s="4">
        <v>39707</v>
      </c>
      <c r="D2942" s="4" t="s">
        <v>7646</v>
      </c>
      <c r="E2942" s="4" t="s">
        <v>50</v>
      </c>
      <c r="F2942" s="4" t="s">
        <v>7733</v>
      </c>
      <c r="I2942" s="4" t="s">
        <v>52</v>
      </c>
      <c r="L2942" s="4" t="s">
        <v>7734</v>
      </c>
      <c r="M2942" s="4" t="s">
        <v>7733</v>
      </c>
      <c r="N2942" s="4">
        <v>132</v>
      </c>
      <c r="O2942" s="4" t="s">
        <v>7735</v>
      </c>
    </row>
    <row r="2943" spans="1:15" ht="15.75" customHeight="1">
      <c r="A2943" s="4" t="s">
        <v>7645</v>
      </c>
      <c r="B2943" s="4">
        <v>40045</v>
      </c>
      <c r="C2943" s="4">
        <v>40134</v>
      </c>
      <c r="D2943" s="4" t="s">
        <v>7646</v>
      </c>
      <c r="E2943" s="4" t="s">
        <v>55</v>
      </c>
      <c r="F2943" s="4" t="s">
        <v>4030</v>
      </c>
      <c r="I2943" s="4" t="s">
        <v>52</v>
      </c>
      <c r="L2943" s="4" t="s">
        <v>7736</v>
      </c>
      <c r="M2943" s="4" t="s">
        <v>4030</v>
      </c>
      <c r="N2943" s="4">
        <v>29</v>
      </c>
      <c r="O2943" s="4" t="s">
        <v>7737</v>
      </c>
    </row>
    <row r="2944" spans="1:15" ht="15.75" customHeight="1">
      <c r="A2944" s="4" t="s">
        <v>7645</v>
      </c>
      <c r="B2944" s="4">
        <v>40601</v>
      </c>
      <c r="C2944" s="4">
        <v>41950</v>
      </c>
      <c r="D2944" s="4" t="s">
        <v>7646</v>
      </c>
      <c r="E2944" s="4" t="s">
        <v>50</v>
      </c>
      <c r="F2944" s="4" t="s">
        <v>4059</v>
      </c>
      <c r="I2944" s="4" t="s">
        <v>52</v>
      </c>
      <c r="L2944" s="4" t="s">
        <v>7738</v>
      </c>
      <c r="M2944" s="4" t="s">
        <v>4059</v>
      </c>
      <c r="N2944" s="4">
        <v>449</v>
      </c>
      <c r="O2944" s="4" t="s">
        <v>7739</v>
      </c>
    </row>
    <row r="2945" spans="1:15" ht="15.75" customHeight="1">
      <c r="A2945" s="4" t="s">
        <v>7645</v>
      </c>
      <c r="B2945" s="4">
        <v>42025</v>
      </c>
      <c r="C2945" s="4">
        <v>42186</v>
      </c>
      <c r="D2945" s="4" t="s">
        <v>7646</v>
      </c>
      <c r="E2945" s="4" t="s">
        <v>50</v>
      </c>
      <c r="F2945" s="4" t="s">
        <v>351</v>
      </c>
      <c r="I2945" s="4" t="s">
        <v>52</v>
      </c>
      <c r="L2945" s="4" t="s">
        <v>7740</v>
      </c>
      <c r="M2945" s="4" t="s">
        <v>351</v>
      </c>
      <c r="N2945" s="4">
        <v>53</v>
      </c>
      <c r="O2945" s="4" t="s">
        <v>7741</v>
      </c>
    </row>
    <row r="2946" spans="1:15" ht="15.75" customHeight="1">
      <c r="A2946" s="4" t="s">
        <v>7645</v>
      </c>
      <c r="B2946" s="4">
        <v>42534</v>
      </c>
      <c r="C2946" s="4">
        <v>43321</v>
      </c>
      <c r="D2946" s="4" t="s">
        <v>7646</v>
      </c>
      <c r="E2946" s="4" t="s">
        <v>50</v>
      </c>
      <c r="F2946" s="4" t="s">
        <v>717</v>
      </c>
      <c r="I2946" s="4" t="s">
        <v>52</v>
      </c>
      <c r="L2946" s="4" t="s">
        <v>7742</v>
      </c>
      <c r="M2946" s="4" t="s">
        <v>717</v>
      </c>
      <c r="N2946" s="4">
        <v>262</v>
      </c>
      <c r="O2946" s="4" t="s">
        <v>7743</v>
      </c>
    </row>
    <row r="2947" spans="1:15" ht="15.75" customHeight="1">
      <c r="A2947" s="4" t="s">
        <v>7645</v>
      </c>
      <c r="B2947" s="4">
        <v>43329</v>
      </c>
      <c r="C2947" s="4">
        <v>43631</v>
      </c>
      <c r="D2947" s="4" t="s">
        <v>7646</v>
      </c>
      <c r="E2947" s="4" t="s">
        <v>55</v>
      </c>
      <c r="F2947" s="4" t="s">
        <v>345</v>
      </c>
      <c r="I2947" s="4" t="s">
        <v>346</v>
      </c>
      <c r="O2947" s="4" t="s">
        <v>7744</v>
      </c>
    </row>
    <row r="2948" spans="1:15" ht="15.75" customHeight="1">
      <c r="A2948" s="4" t="s">
        <v>7645</v>
      </c>
      <c r="B2948" s="4">
        <v>43975</v>
      </c>
      <c r="C2948" s="4">
        <v>44853</v>
      </c>
      <c r="D2948" s="4" t="s">
        <v>7646</v>
      </c>
      <c r="E2948" s="4" t="s">
        <v>50</v>
      </c>
      <c r="F2948" s="4" t="s">
        <v>7745</v>
      </c>
      <c r="G2948" s="4" t="s">
        <v>7746</v>
      </c>
      <c r="I2948" s="4" t="s">
        <v>52</v>
      </c>
      <c r="L2948" s="4" t="s">
        <v>7747</v>
      </c>
      <c r="M2948" s="4" t="s">
        <v>7745</v>
      </c>
      <c r="N2948" s="4">
        <v>292</v>
      </c>
      <c r="O2948" s="4" t="s">
        <v>7748</v>
      </c>
    </row>
    <row r="2949" spans="1:15" ht="15.75" customHeight="1">
      <c r="A2949" s="4" t="s">
        <v>7645</v>
      </c>
      <c r="B2949" s="4">
        <v>44974</v>
      </c>
      <c r="C2949" s="4">
        <v>46707</v>
      </c>
      <c r="D2949" s="4" t="s">
        <v>7646</v>
      </c>
      <c r="E2949" s="4" t="s">
        <v>50</v>
      </c>
      <c r="F2949" s="4" t="s">
        <v>7749</v>
      </c>
      <c r="I2949" s="4" t="s">
        <v>52</v>
      </c>
      <c r="L2949" s="4" t="s">
        <v>7750</v>
      </c>
      <c r="M2949" s="4" t="s">
        <v>7749</v>
      </c>
      <c r="N2949" s="4">
        <v>577</v>
      </c>
      <c r="O2949" s="4" t="s">
        <v>7751</v>
      </c>
    </row>
    <row r="2950" spans="1:15" ht="15.75" customHeight="1">
      <c r="A2950" s="4" t="s">
        <v>7645</v>
      </c>
      <c r="B2950" s="4">
        <v>46734</v>
      </c>
      <c r="C2950" s="4">
        <v>48158</v>
      </c>
      <c r="D2950" s="4" t="s">
        <v>7646</v>
      </c>
      <c r="E2950" s="4" t="s">
        <v>50</v>
      </c>
      <c r="F2950" s="4" t="s">
        <v>7752</v>
      </c>
      <c r="G2950" s="4" t="s">
        <v>7753</v>
      </c>
      <c r="I2950" s="4" t="s">
        <v>52</v>
      </c>
      <c r="L2950" s="4" t="s">
        <v>7754</v>
      </c>
      <c r="M2950" s="4" t="s">
        <v>7752</v>
      </c>
      <c r="N2950" s="4">
        <v>474</v>
      </c>
      <c r="O2950" s="4" t="s">
        <v>7755</v>
      </c>
    </row>
    <row r="2951" spans="1:15" ht="15.75" customHeight="1">
      <c r="A2951" s="4" t="s">
        <v>7645</v>
      </c>
      <c r="B2951" s="4">
        <v>48207</v>
      </c>
      <c r="C2951" s="4">
        <v>48542</v>
      </c>
      <c r="D2951" s="4" t="s">
        <v>7646</v>
      </c>
      <c r="E2951" s="4" t="s">
        <v>50</v>
      </c>
      <c r="F2951" s="4" t="s">
        <v>295</v>
      </c>
      <c r="I2951" s="4" t="s">
        <v>52</v>
      </c>
      <c r="L2951" s="4" t="s">
        <v>7756</v>
      </c>
      <c r="M2951" s="4" t="s">
        <v>295</v>
      </c>
      <c r="N2951" s="4">
        <v>111</v>
      </c>
      <c r="O2951" s="4" t="s">
        <v>7757</v>
      </c>
    </row>
    <row r="2952" spans="1:15" ht="15.75" customHeight="1">
      <c r="A2952" s="4" t="s">
        <v>7645</v>
      </c>
      <c r="B2952" s="4">
        <v>48873</v>
      </c>
      <c r="C2952" s="4">
        <v>49066</v>
      </c>
      <c r="D2952" s="4" t="s">
        <v>7646</v>
      </c>
      <c r="E2952" s="4" t="s">
        <v>55</v>
      </c>
      <c r="F2952" s="4" t="s">
        <v>345</v>
      </c>
      <c r="I2952" s="4" t="s">
        <v>346</v>
      </c>
      <c r="O2952" s="4" t="s">
        <v>7758</v>
      </c>
    </row>
    <row r="2953" spans="1:15" ht="15.75" customHeight="1">
      <c r="A2953" s="4" t="s">
        <v>7645</v>
      </c>
      <c r="B2953" s="4">
        <v>49076</v>
      </c>
      <c r="C2953" s="4">
        <v>49863</v>
      </c>
      <c r="D2953" s="4" t="s">
        <v>7646</v>
      </c>
      <c r="E2953" s="4" t="s">
        <v>55</v>
      </c>
      <c r="F2953" s="4" t="s">
        <v>717</v>
      </c>
      <c r="I2953" s="4" t="s">
        <v>52</v>
      </c>
      <c r="L2953" s="4" t="s">
        <v>7759</v>
      </c>
      <c r="M2953" s="4" t="s">
        <v>717</v>
      </c>
      <c r="N2953" s="4">
        <v>262</v>
      </c>
      <c r="O2953" s="4" t="s">
        <v>7760</v>
      </c>
    </row>
    <row r="2954" spans="1:15" ht="15.75" customHeight="1">
      <c r="A2954" s="4" t="s">
        <v>7645</v>
      </c>
      <c r="B2954" s="4">
        <v>50050</v>
      </c>
      <c r="C2954" s="4">
        <v>50607</v>
      </c>
      <c r="D2954" s="4" t="s">
        <v>7646</v>
      </c>
      <c r="E2954" s="4" t="s">
        <v>55</v>
      </c>
      <c r="F2954" s="4" t="s">
        <v>7761</v>
      </c>
      <c r="G2954" s="4" t="s">
        <v>7762</v>
      </c>
      <c r="I2954" s="4" t="s">
        <v>52</v>
      </c>
      <c r="L2954" s="4" t="s">
        <v>7763</v>
      </c>
      <c r="M2954" s="4" t="s">
        <v>7761</v>
      </c>
      <c r="N2954" s="4">
        <v>185</v>
      </c>
      <c r="O2954" s="4" t="s">
        <v>7764</v>
      </c>
    </row>
    <row r="2955" spans="1:15" ht="15.75" customHeight="1">
      <c r="A2955" s="4" t="s">
        <v>7645</v>
      </c>
      <c r="B2955" s="4">
        <v>50573</v>
      </c>
      <c r="C2955" s="4">
        <v>1097</v>
      </c>
      <c r="D2955" s="4" t="s">
        <v>7646</v>
      </c>
      <c r="E2955" s="4" t="s">
        <v>55</v>
      </c>
      <c r="F2955" s="4" t="s">
        <v>6580</v>
      </c>
      <c r="I2955" s="4" t="s">
        <v>52</v>
      </c>
      <c r="L2955" s="4" t="s">
        <v>7765</v>
      </c>
      <c r="M2955" s="4" t="s">
        <v>6580</v>
      </c>
      <c r="N2955" s="4">
        <v>384</v>
      </c>
      <c r="O2955" s="4" t="s">
        <v>7766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518"/>
  <sheetViews>
    <sheetView workbookViewId="0">
      <pane ySplit="1" topLeftCell="A2" activePane="bottomLeft" state="frozen"/>
      <selection pane="bottomLeft"/>
    </sheetView>
  </sheetViews>
  <sheetFormatPr defaultColWidth="12.6328125" defaultRowHeight="15" customHeight="1"/>
  <cols>
    <col min="1" max="1" width="14.36328125" customWidth="1"/>
    <col min="2" max="3" width="13.36328125" customWidth="1"/>
    <col min="4" max="4" width="13.453125" customWidth="1"/>
    <col min="5" max="5" width="29.36328125" customWidth="1"/>
    <col min="6" max="6" width="28.26953125" customWidth="1"/>
    <col min="7" max="7" width="34.453125" customWidth="1"/>
    <col min="8" max="8" width="32.6328125" customWidth="1"/>
    <col min="9" max="9" width="6.453125" customWidth="1"/>
    <col min="10" max="10" width="7.26953125" customWidth="1"/>
    <col min="11" max="11" width="12.6328125" customWidth="1"/>
    <col min="12" max="12" width="17" customWidth="1"/>
    <col min="13" max="13" width="13" customWidth="1"/>
    <col min="14" max="14" width="81.26953125" customWidth="1"/>
    <col min="15" max="15" width="11.26953125" customWidth="1"/>
  </cols>
  <sheetData>
    <row r="1" spans="1:15" ht="15.75" customHeight="1">
      <c r="A1" s="4" t="s">
        <v>45</v>
      </c>
      <c r="B1" s="4" t="s">
        <v>48</v>
      </c>
      <c r="C1" s="4" t="s">
        <v>7767</v>
      </c>
      <c r="D1" s="4" t="s">
        <v>7768</v>
      </c>
      <c r="E1" s="4" t="s">
        <v>7769</v>
      </c>
      <c r="F1" s="4" t="s">
        <v>7770</v>
      </c>
      <c r="G1" s="4" t="s">
        <v>7771</v>
      </c>
      <c r="H1" s="4" t="s">
        <v>7772</v>
      </c>
      <c r="I1" s="4"/>
      <c r="J1" s="4"/>
      <c r="K1" s="4"/>
      <c r="L1" s="4"/>
      <c r="M1" s="4"/>
      <c r="N1" s="4" t="s">
        <v>46</v>
      </c>
      <c r="O1" s="4" t="s">
        <v>47</v>
      </c>
    </row>
    <row r="2" spans="1:15" ht="15.75" customHeight="1">
      <c r="A2" s="4" t="s">
        <v>6996</v>
      </c>
      <c r="B2" s="4" t="s">
        <v>6997</v>
      </c>
      <c r="C2" s="18" t="s">
        <v>7774</v>
      </c>
      <c r="D2" s="20"/>
      <c r="E2" s="2" t="s">
        <v>7775</v>
      </c>
      <c r="F2" s="2" t="s">
        <v>7776</v>
      </c>
      <c r="G2" s="21" t="s">
        <v>8304</v>
      </c>
      <c r="H2" s="22" t="s">
        <v>8305</v>
      </c>
      <c r="K2" s="4"/>
      <c r="N2" s="4" t="s">
        <v>76</v>
      </c>
      <c r="O2" s="4">
        <v>274</v>
      </c>
    </row>
    <row r="3" spans="1:15" ht="15.75" customHeight="1">
      <c r="A3" s="4" t="s">
        <v>6996</v>
      </c>
      <c r="B3" s="4" t="s">
        <v>6997</v>
      </c>
      <c r="C3" s="18" t="s">
        <v>7774</v>
      </c>
      <c r="D3" s="20"/>
      <c r="E3" s="2" t="s">
        <v>7775</v>
      </c>
      <c r="F3" s="2" t="s">
        <v>7777</v>
      </c>
      <c r="G3" s="21" t="s">
        <v>8306</v>
      </c>
      <c r="H3" s="22" t="s">
        <v>8307</v>
      </c>
      <c r="K3" s="4"/>
      <c r="N3" s="4" t="s">
        <v>76</v>
      </c>
      <c r="O3" s="4">
        <v>274</v>
      </c>
    </row>
    <row r="4" spans="1:15" ht="15.75" customHeight="1">
      <c r="A4" s="4" t="s">
        <v>6996</v>
      </c>
      <c r="B4" s="4" t="s">
        <v>6997</v>
      </c>
      <c r="C4" s="18" t="s">
        <v>7774</v>
      </c>
      <c r="D4" s="20"/>
      <c r="E4" s="2" t="s">
        <v>7775</v>
      </c>
      <c r="F4" s="2" t="s">
        <v>7778</v>
      </c>
      <c r="G4" s="21" t="s">
        <v>8308</v>
      </c>
      <c r="H4" s="22" t="s">
        <v>8309</v>
      </c>
      <c r="K4" s="4"/>
      <c r="N4" s="4" t="s">
        <v>76</v>
      </c>
      <c r="O4" s="4">
        <v>274</v>
      </c>
    </row>
    <row r="5" spans="1:15" ht="15.75" customHeight="1">
      <c r="A5" s="4" t="s">
        <v>6996</v>
      </c>
      <c r="B5" s="4" t="s">
        <v>6997</v>
      </c>
      <c r="C5" s="18" t="s">
        <v>7774</v>
      </c>
      <c r="D5" s="20"/>
      <c r="E5" s="2" t="s">
        <v>7775</v>
      </c>
      <c r="F5" s="2" t="s">
        <v>7779</v>
      </c>
      <c r="G5" s="21" t="s">
        <v>8310</v>
      </c>
      <c r="H5" s="22" t="s">
        <v>8311</v>
      </c>
      <c r="K5" s="4"/>
      <c r="N5" s="4" t="s">
        <v>76</v>
      </c>
      <c r="O5" s="4">
        <v>274</v>
      </c>
    </row>
    <row r="6" spans="1:15" ht="15.75" customHeight="1">
      <c r="A6" s="4" t="s">
        <v>6996</v>
      </c>
      <c r="B6" s="4" t="s">
        <v>6997</v>
      </c>
      <c r="C6" s="18" t="s">
        <v>7774</v>
      </c>
      <c r="D6" s="20"/>
      <c r="E6" s="2" t="s">
        <v>7775</v>
      </c>
      <c r="F6" s="2" t="s">
        <v>7780</v>
      </c>
      <c r="G6" s="22" t="s">
        <v>8312</v>
      </c>
      <c r="H6" s="22" t="s">
        <v>8313</v>
      </c>
      <c r="K6" s="4"/>
      <c r="N6" s="4" t="s">
        <v>76</v>
      </c>
      <c r="O6" s="4">
        <v>274</v>
      </c>
    </row>
    <row r="7" spans="1:15" ht="15.75" customHeight="1">
      <c r="A7" s="4" t="s">
        <v>6996</v>
      </c>
      <c r="B7" s="4" t="s">
        <v>6997</v>
      </c>
      <c r="C7" s="18" t="s">
        <v>7774</v>
      </c>
      <c r="D7" s="20"/>
      <c r="E7" s="2" t="s">
        <v>7775</v>
      </c>
      <c r="F7" s="2" t="s">
        <v>7781</v>
      </c>
      <c r="G7" s="22" t="s">
        <v>8314</v>
      </c>
      <c r="H7" s="22" t="s">
        <v>8315</v>
      </c>
      <c r="K7" s="4"/>
      <c r="N7" s="4" t="s">
        <v>76</v>
      </c>
      <c r="O7" s="4">
        <v>274</v>
      </c>
    </row>
    <row r="8" spans="1:15" ht="15.75" customHeight="1">
      <c r="A8" s="4" t="s">
        <v>6996</v>
      </c>
      <c r="B8" s="4" t="s">
        <v>6997</v>
      </c>
      <c r="C8" s="18" t="s">
        <v>7774</v>
      </c>
      <c r="D8" s="20"/>
      <c r="E8" s="2" t="s">
        <v>7775</v>
      </c>
      <c r="F8" s="2" t="s">
        <v>7782</v>
      </c>
      <c r="G8" s="22" t="s">
        <v>8316</v>
      </c>
      <c r="H8" s="22" t="s">
        <v>8317</v>
      </c>
      <c r="K8" s="4"/>
      <c r="N8" s="4" t="s">
        <v>76</v>
      </c>
      <c r="O8" s="4">
        <v>274</v>
      </c>
    </row>
    <row r="9" spans="1:15" ht="15.75" customHeight="1">
      <c r="A9" s="4" t="s">
        <v>6996</v>
      </c>
      <c r="B9" s="4" t="s">
        <v>6997</v>
      </c>
      <c r="C9" s="18" t="s">
        <v>7774</v>
      </c>
      <c r="D9" s="20"/>
      <c r="E9" s="2" t="s">
        <v>7775</v>
      </c>
      <c r="F9" s="2" t="s">
        <v>7783</v>
      </c>
      <c r="G9" s="21" t="s">
        <v>8318</v>
      </c>
      <c r="H9" s="22" t="s">
        <v>8319</v>
      </c>
      <c r="K9" s="4"/>
      <c r="N9" s="4" t="s">
        <v>76</v>
      </c>
      <c r="O9" s="4">
        <v>274</v>
      </c>
    </row>
    <row r="10" spans="1:15" ht="15.75" customHeight="1">
      <c r="A10" s="4" t="s">
        <v>6996</v>
      </c>
      <c r="B10" s="4" t="s">
        <v>6997</v>
      </c>
      <c r="C10" s="18" t="s">
        <v>7774</v>
      </c>
      <c r="D10" s="20"/>
      <c r="E10" s="2" t="s">
        <v>7775</v>
      </c>
      <c r="F10" s="2" t="s">
        <v>7784</v>
      </c>
      <c r="G10" s="21" t="s">
        <v>8320</v>
      </c>
      <c r="H10" s="22" t="s">
        <v>8321</v>
      </c>
      <c r="K10" s="4"/>
      <c r="N10" s="4" t="s">
        <v>76</v>
      </c>
      <c r="O10" s="4">
        <v>274</v>
      </c>
    </row>
    <row r="11" spans="1:15" ht="15.75" customHeight="1">
      <c r="A11" s="4" t="s">
        <v>6996</v>
      </c>
      <c r="B11" s="4" t="s">
        <v>6997</v>
      </c>
      <c r="C11" s="18" t="s">
        <v>7774</v>
      </c>
      <c r="D11" s="20"/>
      <c r="E11" s="2" t="s">
        <v>7775</v>
      </c>
      <c r="F11" s="2" t="s">
        <v>7785</v>
      </c>
      <c r="G11" s="22" t="s">
        <v>8322</v>
      </c>
      <c r="H11" s="22" t="s">
        <v>8323</v>
      </c>
      <c r="K11" s="4"/>
      <c r="N11" s="4" t="s">
        <v>76</v>
      </c>
      <c r="O11" s="4">
        <v>274</v>
      </c>
    </row>
    <row r="12" spans="1:15" ht="15.75" customHeight="1">
      <c r="A12" s="4" t="s">
        <v>6996</v>
      </c>
      <c r="B12" s="4" t="s">
        <v>6997</v>
      </c>
      <c r="C12" s="18" t="s">
        <v>7774</v>
      </c>
      <c r="D12" s="20"/>
      <c r="E12" s="2" t="s">
        <v>7775</v>
      </c>
      <c r="F12" s="2" t="s">
        <v>7786</v>
      </c>
      <c r="G12" s="22" t="s">
        <v>8324</v>
      </c>
      <c r="H12" s="22" t="s">
        <v>8325</v>
      </c>
      <c r="K12" s="4"/>
      <c r="N12" s="4" t="s">
        <v>76</v>
      </c>
      <c r="O12" s="4">
        <v>274</v>
      </c>
    </row>
    <row r="13" spans="1:15" ht="15.75" customHeight="1">
      <c r="A13" s="4" t="s">
        <v>6996</v>
      </c>
      <c r="B13" s="4" t="s">
        <v>6997</v>
      </c>
      <c r="C13" s="18" t="s">
        <v>7774</v>
      </c>
      <c r="D13" s="20"/>
      <c r="E13" s="2" t="s">
        <v>7775</v>
      </c>
      <c r="F13" s="23" t="s">
        <v>7787</v>
      </c>
      <c r="G13" s="22" t="s">
        <v>8326</v>
      </c>
      <c r="H13" s="22" t="s">
        <v>8327</v>
      </c>
      <c r="K13" s="4"/>
      <c r="N13" s="4" t="s">
        <v>76</v>
      </c>
      <c r="O13" s="4">
        <v>274</v>
      </c>
    </row>
    <row r="14" spans="1:15" ht="15.75" customHeight="1">
      <c r="A14" s="4" t="s">
        <v>6996</v>
      </c>
      <c r="B14" s="4" t="s">
        <v>6997</v>
      </c>
      <c r="C14" s="18" t="s">
        <v>7774</v>
      </c>
      <c r="D14" s="20"/>
      <c r="E14" s="2" t="s">
        <v>7775</v>
      </c>
      <c r="F14" s="23" t="s">
        <v>7788</v>
      </c>
      <c r="G14" s="22" t="s">
        <v>8328</v>
      </c>
      <c r="H14" s="22" t="s">
        <v>8329</v>
      </c>
      <c r="K14" s="4"/>
      <c r="N14" s="4" t="s">
        <v>76</v>
      </c>
      <c r="O14" s="4">
        <v>274</v>
      </c>
    </row>
    <row r="15" spans="1:15" ht="15.75" customHeight="1">
      <c r="A15" s="4" t="s">
        <v>6996</v>
      </c>
      <c r="B15" s="4" t="s">
        <v>6997</v>
      </c>
      <c r="C15" s="18" t="s">
        <v>7774</v>
      </c>
      <c r="D15" s="20"/>
      <c r="E15" s="2" t="s">
        <v>7775</v>
      </c>
      <c r="F15" s="23" t="s">
        <v>7789</v>
      </c>
      <c r="G15" s="22" t="s">
        <v>8330</v>
      </c>
      <c r="H15" s="22" t="s">
        <v>8331</v>
      </c>
      <c r="K15" s="4"/>
      <c r="N15" s="4" t="s">
        <v>76</v>
      </c>
      <c r="O15" s="4">
        <v>274</v>
      </c>
    </row>
    <row r="16" spans="1:15" ht="15.75" customHeight="1">
      <c r="A16" s="4" t="s">
        <v>6996</v>
      </c>
      <c r="B16" s="4" t="s">
        <v>6997</v>
      </c>
      <c r="C16" s="18" t="s">
        <v>7774</v>
      </c>
      <c r="D16" s="20"/>
      <c r="E16" s="2" t="s">
        <v>7775</v>
      </c>
      <c r="F16" s="23" t="s">
        <v>7790</v>
      </c>
      <c r="G16" s="22" t="s">
        <v>8332</v>
      </c>
      <c r="H16" s="22" t="s">
        <v>8333</v>
      </c>
      <c r="K16" s="4"/>
      <c r="N16" s="4" t="s">
        <v>76</v>
      </c>
      <c r="O16" s="4">
        <v>274</v>
      </c>
    </row>
    <row r="17" spans="1:15" ht="15.75" customHeight="1">
      <c r="A17" s="4" t="s">
        <v>6996</v>
      </c>
      <c r="B17" s="4" t="s">
        <v>6997</v>
      </c>
      <c r="C17" s="18" t="s">
        <v>7774</v>
      </c>
      <c r="D17" s="20"/>
      <c r="E17" s="2" t="s">
        <v>7775</v>
      </c>
      <c r="F17" s="23" t="s">
        <v>7791</v>
      </c>
      <c r="G17" s="22" t="s">
        <v>8334</v>
      </c>
      <c r="H17" s="22" t="s">
        <v>8335</v>
      </c>
      <c r="K17" s="4"/>
      <c r="N17" s="4" t="s">
        <v>76</v>
      </c>
      <c r="O17" s="4">
        <v>274</v>
      </c>
    </row>
    <row r="18" spans="1:15" ht="15.75" customHeight="1">
      <c r="A18" s="4" t="s">
        <v>6996</v>
      </c>
      <c r="B18" s="4" t="s">
        <v>6997</v>
      </c>
      <c r="C18" s="18" t="s">
        <v>7774</v>
      </c>
      <c r="D18" s="20"/>
      <c r="E18" s="2" t="s">
        <v>7775</v>
      </c>
      <c r="F18" s="23" t="s">
        <v>7792</v>
      </c>
      <c r="G18" s="22" t="s">
        <v>8336</v>
      </c>
      <c r="H18" s="22" t="s">
        <v>8337</v>
      </c>
      <c r="K18" s="4"/>
      <c r="N18" s="4" t="s">
        <v>76</v>
      </c>
      <c r="O18" s="4">
        <v>274</v>
      </c>
    </row>
    <row r="19" spans="1:15" ht="15.75" customHeight="1">
      <c r="A19" s="4" t="s">
        <v>6996</v>
      </c>
      <c r="B19" s="4" t="s">
        <v>6997</v>
      </c>
      <c r="C19" s="18" t="s">
        <v>7774</v>
      </c>
      <c r="D19" s="20"/>
      <c r="E19" s="2" t="s">
        <v>7775</v>
      </c>
      <c r="F19" s="23" t="s">
        <v>7793</v>
      </c>
      <c r="G19" s="22" t="s">
        <v>8338</v>
      </c>
      <c r="H19" s="22" t="s">
        <v>8339</v>
      </c>
      <c r="K19" s="4"/>
      <c r="N19" s="4" t="s">
        <v>76</v>
      </c>
      <c r="O19" s="4">
        <v>274</v>
      </c>
    </row>
    <row r="20" spans="1:15" ht="15.75" customHeight="1">
      <c r="A20" s="4" t="s">
        <v>6996</v>
      </c>
      <c r="B20" s="4" t="s">
        <v>6997</v>
      </c>
      <c r="C20" s="18" t="s">
        <v>7774</v>
      </c>
      <c r="D20" s="20"/>
      <c r="E20" s="2" t="s">
        <v>7775</v>
      </c>
      <c r="F20" s="23" t="s">
        <v>7794</v>
      </c>
      <c r="G20" s="22" t="s">
        <v>8340</v>
      </c>
      <c r="H20" s="22" t="s">
        <v>8341</v>
      </c>
      <c r="K20" s="4"/>
      <c r="N20" s="4" t="s">
        <v>76</v>
      </c>
      <c r="O20" s="4">
        <v>274</v>
      </c>
    </row>
    <row r="21" spans="1:15" ht="15.75" customHeight="1">
      <c r="A21" s="4" t="s">
        <v>2986</v>
      </c>
      <c r="B21" s="4" t="s">
        <v>2987</v>
      </c>
      <c r="C21" s="18" t="s">
        <v>7795</v>
      </c>
      <c r="D21" s="4"/>
      <c r="E21" s="23" t="s">
        <v>7796</v>
      </c>
      <c r="F21" s="2" t="s">
        <v>7797</v>
      </c>
      <c r="G21" s="22" t="s">
        <v>8342</v>
      </c>
      <c r="H21" s="22" t="s">
        <v>8343</v>
      </c>
      <c r="K21" s="4"/>
      <c r="N21" s="4" t="s">
        <v>76</v>
      </c>
      <c r="O21" s="4">
        <v>279</v>
      </c>
    </row>
    <row r="22" spans="1:15" ht="15.75" customHeight="1">
      <c r="A22" s="4" t="s">
        <v>2986</v>
      </c>
      <c r="B22" s="4" t="s">
        <v>2987</v>
      </c>
      <c r="C22" s="18" t="s">
        <v>7795</v>
      </c>
      <c r="D22" s="4"/>
      <c r="E22" s="2" t="s">
        <v>7796</v>
      </c>
      <c r="F22" s="2" t="s">
        <v>7798</v>
      </c>
      <c r="G22" s="22" t="s">
        <v>8344</v>
      </c>
      <c r="H22" s="22" t="s">
        <v>8345</v>
      </c>
      <c r="K22" s="4"/>
      <c r="N22" s="4" t="s">
        <v>76</v>
      </c>
      <c r="O22" s="4">
        <v>279</v>
      </c>
    </row>
    <row r="23" spans="1:15" ht="15.75" customHeight="1">
      <c r="A23" s="4" t="s">
        <v>2986</v>
      </c>
      <c r="B23" s="4" t="s">
        <v>2987</v>
      </c>
      <c r="C23" s="18" t="s">
        <v>7795</v>
      </c>
      <c r="D23" s="4"/>
      <c r="E23" s="2" t="s">
        <v>7796</v>
      </c>
      <c r="F23" s="2" t="s">
        <v>7799</v>
      </c>
      <c r="G23" s="22" t="s">
        <v>8346</v>
      </c>
      <c r="H23" s="22" t="s">
        <v>8347</v>
      </c>
      <c r="K23" s="4"/>
      <c r="N23" s="4" t="s">
        <v>76</v>
      </c>
      <c r="O23" s="4">
        <v>279</v>
      </c>
    </row>
    <row r="24" spans="1:15" ht="15.75" customHeight="1">
      <c r="A24" s="4" t="s">
        <v>2986</v>
      </c>
      <c r="B24" s="4" t="s">
        <v>2987</v>
      </c>
      <c r="C24" s="18" t="s">
        <v>7795</v>
      </c>
      <c r="D24" s="4"/>
      <c r="E24" s="2" t="s">
        <v>7796</v>
      </c>
      <c r="F24" s="2" t="s">
        <v>7800</v>
      </c>
      <c r="G24" s="22" t="s">
        <v>8348</v>
      </c>
      <c r="H24" s="22" t="s">
        <v>8349</v>
      </c>
      <c r="K24" s="4"/>
      <c r="N24" s="4" t="s">
        <v>76</v>
      </c>
      <c r="O24" s="4">
        <v>279</v>
      </c>
    </row>
    <row r="25" spans="1:15" ht="15.75" customHeight="1">
      <c r="A25" s="4" t="s">
        <v>2986</v>
      </c>
      <c r="B25" s="4" t="s">
        <v>2987</v>
      </c>
      <c r="C25" s="18" t="s">
        <v>7795</v>
      </c>
      <c r="D25" s="4"/>
      <c r="E25" s="2" t="s">
        <v>7796</v>
      </c>
      <c r="F25" s="2" t="s">
        <v>7801</v>
      </c>
      <c r="G25" s="22" t="s">
        <v>8350</v>
      </c>
      <c r="H25" s="22" t="s">
        <v>8351</v>
      </c>
      <c r="K25" s="4"/>
      <c r="N25" s="4" t="s">
        <v>76</v>
      </c>
      <c r="O25" s="4">
        <v>279</v>
      </c>
    </row>
    <row r="26" spans="1:15" ht="15.75" customHeight="1">
      <c r="A26" s="4" t="s">
        <v>2986</v>
      </c>
      <c r="B26" s="4" t="s">
        <v>2987</v>
      </c>
      <c r="C26" s="18" t="s">
        <v>7795</v>
      </c>
      <c r="D26" s="4"/>
      <c r="E26" s="2" t="s">
        <v>7796</v>
      </c>
      <c r="F26" s="2" t="s">
        <v>7802</v>
      </c>
      <c r="G26" s="22" t="s">
        <v>8352</v>
      </c>
      <c r="H26" s="22" t="s">
        <v>8353</v>
      </c>
      <c r="K26" s="4"/>
      <c r="N26" s="4" t="s">
        <v>76</v>
      </c>
      <c r="O26" s="4">
        <v>279</v>
      </c>
    </row>
    <row r="27" spans="1:15" ht="15.75" customHeight="1">
      <c r="A27" s="4" t="s">
        <v>2986</v>
      </c>
      <c r="B27" s="4" t="s">
        <v>2987</v>
      </c>
      <c r="C27" s="18" t="s">
        <v>7795</v>
      </c>
      <c r="D27" s="4"/>
      <c r="E27" s="2" t="s">
        <v>7796</v>
      </c>
      <c r="F27" s="2" t="s">
        <v>7803</v>
      </c>
      <c r="G27" s="22" t="s">
        <v>8354</v>
      </c>
      <c r="H27" s="22" t="s">
        <v>8355</v>
      </c>
      <c r="K27" s="4"/>
      <c r="N27" s="4" t="s">
        <v>76</v>
      </c>
      <c r="O27" s="4">
        <v>279</v>
      </c>
    </row>
    <row r="28" spans="1:15" ht="15.75" customHeight="1">
      <c r="A28" s="4" t="s">
        <v>2986</v>
      </c>
      <c r="B28" s="4" t="s">
        <v>2987</v>
      </c>
      <c r="C28" s="18" t="s">
        <v>7795</v>
      </c>
      <c r="D28" s="4"/>
      <c r="E28" s="2" t="s">
        <v>7796</v>
      </c>
      <c r="F28" s="2" t="s">
        <v>7804</v>
      </c>
      <c r="G28" s="22" t="s">
        <v>8356</v>
      </c>
      <c r="H28" s="22" t="s">
        <v>8357</v>
      </c>
      <c r="K28" s="4"/>
      <c r="N28" s="4" t="s">
        <v>76</v>
      </c>
      <c r="O28" s="4">
        <v>279</v>
      </c>
    </row>
    <row r="29" spans="1:15" ht="15.75" customHeight="1">
      <c r="A29" s="4" t="s">
        <v>2986</v>
      </c>
      <c r="B29" s="4" t="s">
        <v>2987</v>
      </c>
      <c r="C29" s="18" t="s">
        <v>7795</v>
      </c>
      <c r="D29" s="4"/>
      <c r="E29" s="2" t="s">
        <v>7796</v>
      </c>
      <c r="F29" s="2" t="s">
        <v>7805</v>
      </c>
      <c r="G29" s="4" t="s">
        <v>7806</v>
      </c>
      <c r="H29" s="22" t="s">
        <v>8358</v>
      </c>
      <c r="K29" s="4"/>
      <c r="N29" s="4" t="s">
        <v>76</v>
      </c>
      <c r="O29" s="4">
        <v>279</v>
      </c>
    </row>
    <row r="30" spans="1:15" ht="15.75" customHeight="1">
      <c r="A30" s="4" t="s">
        <v>2986</v>
      </c>
      <c r="B30" s="4" t="s">
        <v>2987</v>
      </c>
      <c r="C30" s="18" t="s">
        <v>7795</v>
      </c>
      <c r="D30" s="4"/>
      <c r="E30" s="2" t="s">
        <v>7796</v>
      </c>
      <c r="F30" s="2" t="s">
        <v>7807</v>
      </c>
      <c r="G30" s="22" t="s">
        <v>8359</v>
      </c>
      <c r="H30" s="22" t="s">
        <v>8360</v>
      </c>
      <c r="K30" s="4"/>
      <c r="N30" s="4" t="s">
        <v>76</v>
      </c>
      <c r="O30" s="4">
        <v>279</v>
      </c>
    </row>
    <row r="31" spans="1:15" ht="15.75" customHeight="1">
      <c r="A31" s="4" t="s">
        <v>2986</v>
      </c>
      <c r="B31" s="4" t="s">
        <v>2987</v>
      </c>
      <c r="C31" s="18" t="s">
        <v>7795</v>
      </c>
      <c r="D31" s="4"/>
      <c r="E31" s="2" t="s">
        <v>7796</v>
      </c>
      <c r="F31" s="2" t="s">
        <v>7808</v>
      </c>
      <c r="G31" s="22" t="s">
        <v>8361</v>
      </c>
      <c r="H31" s="22" t="s">
        <v>8362</v>
      </c>
      <c r="K31" s="4"/>
      <c r="N31" s="4" t="s">
        <v>76</v>
      </c>
      <c r="O31" s="4">
        <v>279</v>
      </c>
    </row>
    <row r="32" spans="1:15" ht="15.75" customHeight="1">
      <c r="A32" s="4" t="s">
        <v>1385</v>
      </c>
      <c r="B32" s="4" t="s">
        <v>1386</v>
      </c>
      <c r="C32" s="18" t="s">
        <v>7809</v>
      </c>
      <c r="D32" s="4"/>
      <c r="E32" s="2" t="s">
        <v>7810</v>
      </c>
      <c r="F32" s="2" t="s">
        <v>7811</v>
      </c>
      <c r="G32" s="22" t="s">
        <v>8363</v>
      </c>
      <c r="H32" s="22" t="s">
        <v>8364</v>
      </c>
      <c r="K32" s="4"/>
      <c r="N32" s="4" t="s">
        <v>101</v>
      </c>
      <c r="O32" s="4">
        <v>357</v>
      </c>
    </row>
    <row r="33" spans="1:15" ht="15.75" customHeight="1">
      <c r="A33" s="4" t="s">
        <v>4093</v>
      </c>
      <c r="B33" s="4" t="s">
        <v>4094</v>
      </c>
      <c r="C33" s="18" t="s">
        <v>7812</v>
      </c>
      <c r="D33" s="4"/>
      <c r="E33" s="2" t="s">
        <v>7813</v>
      </c>
      <c r="F33" s="2" t="s">
        <v>7814</v>
      </c>
      <c r="G33" s="22" t="s">
        <v>8365</v>
      </c>
      <c r="H33" s="22" t="s">
        <v>8366</v>
      </c>
      <c r="K33" s="4"/>
      <c r="N33" s="4" t="s">
        <v>56</v>
      </c>
      <c r="O33" s="4">
        <v>64</v>
      </c>
    </row>
    <row r="34" spans="1:15" ht="15.75" customHeight="1">
      <c r="A34" s="4" t="s">
        <v>4093</v>
      </c>
      <c r="B34" s="4" t="s">
        <v>4094</v>
      </c>
      <c r="C34" s="18" t="s">
        <v>7812</v>
      </c>
      <c r="D34" s="4"/>
      <c r="E34" s="2" t="s">
        <v>7813</v>
      </c>
      <c r="F34" s="2" t="s">
        <v>7815</v>
      </c>
      <c r="G34" s="22" t="s">
        <v>8367</v>
      </c>
      <c r="H34" s="22" t="s">
        <v>8368</v>
      </c>
      <c r="K34" s="4"/>
      <c r="N34" s="4" t="s">
        <v>56</v>
      </c>
      <c r="O34" s="4">
        <v>64</v>
      </c>
    </row>
    <row r="35" spans="1:15" ht="15.75" customHeight="1">
      <c r="A35" s="4" t="s">
        <v>5192</v>
      </c>
      <c r="B35" s="4" t="s">
        <v>5193</v>
      </c>
      <c r="C35" s="19" t="s">
        <v>8369</v>
      </c>
      <c r="D35" s="4"/>
      <c r="E35" s="2" t="s">
        <v>7813</v>
      </c>
      <c r="F35" s="2" t="s">
        <v>7814</v>
      </c>
      <c r="G35" s="22" t="s">
        <v>8370</v>
      </c>
      <c r="H35" s="22" t="s">
        <v>8371</v>
      </c>
      <c r="K35" s="4"/>
      <c r="N35" s="4" t="s">
        <v>56</v>
      </c>
      <c r="O35" s="4">
        <v>64</v>
      </c>
    </row>
    <row r="36" spans="1:15" ht="15.75" customHeight="1">
      <c r="A36" s="4" t="s">
        <v>5192</v>
      </c>
      <c r="B36" s="4" t="s">
        <v>5193</v>
      </c>
      <c r="C36" s="19" t="s">
        <v>8372</v>
      </c>
      <c r="D36" s="4"/>
      <c r="E36" s="2" t="s">
        <v>7813</v>
      </c>
      <c r="F36" s="2" t="s">
        <v>7815</v>
      </c>
      <c r="G36" s="22" t="s">
        <v>8373</v>
      </c>
      <c r="H36" s="22" t="s">
        <v>8374</v>
      </c>
      <c r="K36" s="4"/>
      <c r="N36" s="4" t="s">
        <v>56</v>
      </c>
      <c r="O36" s="4">
        <v>64</v>
      </c>
    </row>
    <row r="37" spans="1:15" ht="15.75" customHeight="1">
      <c r="B37" s="4" t="s">
        <v>4541</v>
      </c>
      <c r="C37" s="19" t="s">
        <v>8375</v>
      </c>
      <c r="D37" s="4"/>
      <c r="E37" s="2" t="s">
        <v>7816</v>
      </c>
      <c r="F37" s="2" t="s">
        <v>7817</v>
      </c>
      <c r="G37" s="21" t="s">
        <v>8376</v>
      </c>
      <c r="H37" s="22" t="s">
        <v>8377</v>
      </c>
      <c r="K37" s="4"/>
      <c r="N37" s="4" t="s">
        <v>56</v>
      </c>
      <c r="O37" s="4">
        <v>64</v>
      </c>
    </row>
    <row r="38" spans="1:15" ht="15.75" customHeight="1">
      <c r="A38" s="4" t="s">
        <v>4587</v>
      </c>
      <c r="B38" s="4" t="s">
        <v>4588</v>
      </c>
      <c r="C38" s="19" t="s">
        <v>8378</v>
      </c>
      <c r="D38" s="4"/>
      <c r="E38" s="2" t="s">
        <v>7818</v>
      </c>
      <c r="F38" s="2" t="s">
        <v>7819</v>
      </c>
      <c r="G38" s="22" t="s">
        <v>8379</v>
      </c>
      <c r="H38" s="22" t="s">
        <v>8380</v>
      </c>
      <c r="K38" s="4"/>
      <c r="N38" s="4" t="s">
        <v>108</v>
      </c>
      <c r="O38" s="4">
        <v>930</v>
      </c>
    </row>
    <row r="39" spans="1:15" ht="15.75" customHeight="1">
      <c r="A39" s="4" t="s">
        <v>4587</v>
      </c>
      <c r="B39" s="4" t="s">
        <v>4588</v>
      </c>
      <c r="C39" s="19" t="s">
        <v>8381</v>
      </c>
      <c r="D39" s="4"/>
      <c r="E39" s="2" t="s">
        <v>7818</v>
      </c>
      <c r="F39" s="2" t="s">
        <v>7820</v>
      </c>
      <c r="G39" s="22" t="s">
        <v>8382</v>
      </c>
      <c r="H39" s="22" t="s">
        <v>8383</v>
      </c>
      <c r="K39" s="4"/>
      <c r="N39" s="4" t="s">
        <v>108</v>
      </c>
      <c r="O39" s="4">
        <v>930</v>
      </c>
    </row>
    <row r="40" spans="1:15" ht="15.75" customHeight="1">
      <c r="A40" s="4" t="s">
        <v>1360</v>
      </c>
      <c r="B40" s="4" t="s">
        <v>1361</v>
      </c>
      <c r="C40" s="18" t="s">
        <v>7821</v>
      </c>
      <c r="D40" s="4"/>
      <c r="E40" s="2" t="s">
        <v>7822</v>
      </c>
      <c r="F40" s="2" t="s">
        <v>7823</v>
      </c>
      <c r="G40" s="22" t="s">
        <v>8384</v>
      </c>
      <c r="H40" s="22" t="s">
        <v>8385</v>
      </c>
      <c r="K40" s="4"/>
      <c r="N40" s="4" t="s">
        <v>111</v>
      </c>
      <c r="O40" s="4">
        <v>214</v>
      </c>
    </row>
    <row r="41" spans="1:15" ht="15.75" customHeight="1">
      <c r="A41" s="4" t="s">
        <v>1360</v>
      </c>
      <c r="B41" s="4" t="s">
        <v>1361</v>
      </c>
      <c r="C41" s="18" t="s">
        <v>7821</v>
      </c>
      <c r="D41" s="4"/>
      <c r="E41" s="2" t="s">
        <v>7822</v>
      </c>
      <c r="F41" s="2" t="s">
        <v>7824</v>
      </c>
      <c r="G41" s="22" t="s">
        <v>8386</v>
      </c>
      <c r="H41" s="22" t="s">
        <v>8387</v>
      </c>
      <c r="K41" s="4"/>
      <c r="N41" s="4" t="s">
        <v>111</v>
      </c>
      <c r="O41" s="4">
        <v>214</v>
      </c>
    </row>
    <row r="42" spans="1:15" ht="15.75" customHeight="1">
      <c r="A42" s="4" t="s">
        <v>1360</v>
      </c>
      <c r="B42" s="4" t="s">
        <v>1361</v>
      </c>
      <c r="C42" s="18" t="s">
        <v>7821</v>
      </c>
      <c r="D42" s="4"/>
      <c r="E42" s="2" t="s">
        <v>7822</v>
      </c>
      <c r="F42" s="2" t="s">
        <v>7825</v>
      </c>
      <c r="G42" s="22" t="s">
        <v>8388</v>
      </c>
      <c r="H42" s="22" t="s">
        <v>8389</v>
      </c>
      <c r="K42" s="4"/>
      <c r="N42" s="4" t="s">
        <v>111</v>
      </c>
      <c r="O42" s="4">
        <v>214</v>
      </c>
    </row>
    <row r="43" spans="1:15" ht="15.75" customHeight="1">
      <c r="A43" s="4" t="s">
        <v>3874</v>
      </c>
      <c r="B43" s="4" t="s">
        <v>3875</v>
      </c>
      <c r="C43" s="18" t="s">
        <v>7826</v>
      </c>
      <c r="D43" s="4"/>
      <c r="E43" s="2" t="s">
        <v>7827</v>
      </c>
      <c r="F43" s="2" t="s">
        <v>7828</v>
      </c>
      <c r="G43" s="22" t="s">
        <v>8390</v>
      </c>
      <c r="H43" s="22" t="s">
        <v>8391</v>
      </c>
      <c r="K43" s="4"/>
      <c r="N43" s="4" t="s">
        <v>76</v>
      </c>
      <c r="O43" s="4">
        <v>379</v>
      </c>
    </row>
    <row r="44" spans="1:15" ht="15.75" customHeight="1">
      <c r="A44" s="4" t="s">
        <v>3874</v>
      </c>
      <c r="B44" s="4" t="s">
        <v>3875</v>
      </c>
      <c r="C44" s="18" t="s">
        <v>7826</v>
      </c>
      <c r="D44" s="4"/>
      <c r="E44" s="2" t="s">
        <v>7827</v>
      </c>
      <c r="F44" s="2" t="s">
        <v>7829</v>
      </c>
      <c r="G44" s="22" t="s">
        <v>8392</v>
      </c>
      <c r="H44" s="22" t="s">
        <v>8393</v>
      </c>
      <c r="K44" s="4"/>
      <c r="N44" s="4" t="s">
        <v>76</v>
      </c>
      <c r="O44" s="4">
        <v>379</v>
      </c>
    </row>
    <row r="45" spans="1:15" ht="15.75" customHeight="1">
      <c r="A45" s="4" t="s">
        <v>3879</v>
      </c>
      <c r="B45" s="4" t="s">
        <v>3880</v>
      </c>
      <c r="C45" s="19" t="s">
        <v>8394</v>
      </c>
      <c r="D45" s="4"/>
      <c r="E45" s="2" t="s">
        <v>7827</v>
      </c>
      <c r="F45" s="2" t="s">
        <v>7828</v>
      </c>
      <c r="G45" s="22" t="s">
        <v>8395</v>
      </c>
      <c r="H45" s="22" t="s">
        <v>8396</v>
      </c>
      <c r="K45" s="4"/>
      <c r="N45" s="4" t="s">
        <v>73</v>
      </c>
      <c r="O45" s="4">
        <v>244</v>
      </c>
    </row>
    <row r="46" spans="1:15" ht="15.75" customHeight="1">
      <c r="A46" s="4" t="s">
        <v>3879</v>
      </c>
      <c r="B46" s="4" t="s">
        <v>3880</v>
      </c>
      <c r="C46" s="19" t="s">
        <v>8397</v>
      </c>
      <c r="D46" s="4"/>
      <c r="E46" s="2" t="s">
        <v>7827</v>
      </c>
      <c r="F46" s="2" t="s">
        <v>7829</v>
      </c>
      <c r="G46" s="22" t="s">
        <v>8398</v>
      </c>
      <c r="H46" s="22" t="s">
        <v>8399</v>
      </c>
      <c r="K46" s="4"/>
      <c r="N46" s="4" t="s">
        <v>73</v>
      </c>
      <c r="O46" s="4">
        <v>244</v>
      </c>
    </row>
    <row r="47" spans="1:15" ht="15.75" customHeight="1">
      <c r="A47" s="4" t="s">
        <v>675</v>
      </c>
      <c r="B47" s="4" t="s">
        <v>5663</v>
      </c>
      <c r="C47" s="19" t="s">
        <v>8400</v>
      </c>
      <c r="D47" s="4"/>
      <c r="E47" s="2" t="s">
        <v>7830</v>
      </c>
      <c r="F47" s="2" t="s">
        <v>7831</v>
      </c>
      <c r="G47" s="22" t="s">
        <v>8401</v>
      </c>
      <c r="H47" s="22" t="s">
        <v>8402</v>
      </c>
      <c r="I47" s="4"/>
      <c r="K47" s="4"/>
      <c r="N47" s="4" t="s">
        <v>118</v>
      </c>
      <c r="O47" s="4">
        <v>285</v>
      </c>
    </row>
    <row r="48" spans="1:15" ht="15.75" customHeight="1">
      <c r="A48" s="4" t="s">
        <v>675</v>
      </c>
      <c r="B48" s="4" t="s">
        <v>5663</v>
      </c>
      <c r="C48" s="19" t="s">
        <v>8403</v>
      </c>
      <c r="D48" s="4"/>
      <c r="E48" s="2" t="s">
        <v>7830</v>
      </c>
      <c r="F48" s="2" t="s">
        <v>7832</v>
      </c>
      <c r="G48" s="22" t="s">
        <v>8404</v>
      </c>
      <c r="H48" s="22" t="s">
        <v>8405</v>
      </c>
      <c r="I48" s="4"/>
      <c r="K48" s="4"/>
      <c r="N48" s="4" t="s">
        <v>118</v>
      </c>
      <c r="O48" s="4">
        <v>285</v>
      </c>
    </row>
    <row r="49" spans="1:15" ht="15.75" customHeight="1">
      <c r="A49" s="4" t="s">
        <v>675</v>
      </c>
      <c r="B49" s="4" t="s">
        <v>5663</v>
      </c>
      <c r="C49" s="19" t="s">
        <v>8406</v>
      </c>
      <c r="D49" s="4"/>
      <c r="E49" s="2" t="s">
        <v>7830</v>
      </c>
      <c r="F49" s="2" t="s">
        <v>7833</v>
      </c>
      <c r="G49" s="2" t="s">
        <v>8407</v>
      </c>
      <c r="H49" s="22" t="s">
        <v>8408</v>
      </c>
      <c r="I49" s="4"/>
      <c r="K49" s="4"/>
      <c r="N49" s="4" t="s">
        <v>118</v>
      </c>
      <c r="O49" s="4">
        <v>285</v>
      </c>
    </row>
    <row r="50" spans="1:15" ht="15.75" customHeight="1">
      <c r="A50" s="4" t="s">
        <v>6046</v>
      </c>
      <c r="B50" s="4" t="s">
        <v>6047</v>
      </c>
      <c r="C50" s="18" t="s">
        <v>7834</v>
      </c>
      <c r="D50" s="4"/>
      <c r="E50" s="2" t="s">
        <v>7835</v>
      </c>
      <c r="F50" s="2" t="s">
        <v>7836</v>
      </c>
      <c r="G50" s="22" t="s">
        <v>8409</v>
      </c>
      <c r="H50" s="22" t="s">
        <v>8410</v>
      </c>
      <c r="K50" s="4"/>
      <c r="N50" s="4" t="s">
        <v>122</v>
      </c>
      <c r="O50" s="4">
        <v>362</v>
      </c>
    </row>
    <row r="51" spans="1:15" ht="15.75" customHeight="1">
      <c r="A51" s="4" t="s">
        <v>6046</v>
      </c>
      <c r="B51" s="4" t="s">
        <v>6047</v>
      </c>
      <c r="C51" s="18" t="s">
        <v>7834</v>
      </c>
      <c r="D51" s="4"/>
      <c r="E51" s="2" t="s">
        <v>7835</v>
      </c>
      <c r="F51" s="2" t="s">
        <v>7837</v>
      </c>
      <c r="G51" s="22" t="s">
        <v>8411</v>
      </c>
      <c r="H51" s="22" t="s">
        <v>8412</v>
      </c>
      <c r="K51" s="4"/>
      <c r="N51" s="4" t="s">
        <v>122</v>
      </c>
      <c r="O51" s="4">
        <v>362</v>
      </c>
    </row>
    <row r="52" spans="1:15" ht="15.75" customHeight="1">
      <c r="A52" s="4" t="s">
        <v>6046</v>
      </c>
      <c r="B52" s="4" t="s">
        <v>6047</v>
      </c>
      <c r="C52" s="18" t="s">
        <v>7834</v>
      </c>
      <c r="D52" s="4"/>
      <c r="E52" s="2" t="s">
        <v>7835</v>
      </c>
      <c r="F52" s="2" t="s">
        <v>7838</v>
      </c>
      <c r="G52" s="22" t="s">
        <v>8413</v>
      </c>
      <c r="H52" s="22" t="s">
        <v>8414</v>
      </c>
      <c r="K52" s="4"/>
      <c r="N52" s="4" t="s">
        <v>122</v>
      </c>
      <c r="O52" s="4">
        <v>362</v>
      </c>
    </row>
    <row r="53" spans="1:15" ht="15.75" customHeight="1">
      <c r="A53" s="4" t="s">
        <v>6656</v>
      </c>
      <c r="B53" s="4" t="s">
        <v>6657</v>
      </c>
      <c r="C53" s="19" t="s">
        <v>8415</v>
      </c>
      <c r="D53" s="4"/>
      <c r="E53" s="2" t="s">
        <v>7835</v>
      </c>
      <c r="F53" s="2" t="s">
        <v>7836</v>
      </c>
      <c r="G53" s="22" t="s">
        <v>8416</v>
      </c>
      <c r="H53" s="22" t="s">
        <v>8417</v>
      </c>
      <c r="I53" s="4"/>
      <c r="K53" s="4"/>
      <c r="N53" s="4" t="s">
        <v>125</v>
      </c>
      <c r="O53" s="4">
        <v>454</v>
      </c>
    </row>
    <row r="54" spans="1:15" ht="15.75" customHeight="1">
      <c r="A54" s="4" t="s">
        <v>6656</v>
      </c>
      <c r="B54" s="4" t="s">
        <v>6657</v>
      </c>
      <c r="C54" s="19" t="s">
        <v>8418</v>
      </c>
      <c r="D54" s="4"/>
      <c r="E54" s="2" t="s">
        <v>7835</v>
      </c>
      <c r="F54" s="2" t="s">
        <v>7837</v>
      </c>
      <c r="G54" s="22" t="s">
        <v>8419</v>
      </c>
      <c r="H54" s="22" t="s">
        <v>8420</v>
      </c>
      <c r="I54" s="4"/>
      <c r="K54" s="4"/>
      <c r="N54" s="4" t="s">
        <v>125</v>
      </c>
      <c r="O54" s="4">
        <v>454</v>
      </c>
    </row>
    <row r="55" spans="1:15" ht="15.75" customHeight="1">
      <c r="A55" s="4" t="s">
        <v>6656</v>
      </c>
      <c r="B55" s="4" t="s">
        <v>6657</v>
      </c>
      <c r="C55" s="19" t="s">
        <v>8421</v>
      </c>
      <c r="D55" s="4"/>
      <c r="E55" s="2" t="s">
        <v>7835</v>
      </c>
      <c r="F55" s="2" t="s">
        <v>7838</v>
      </c>
      <c r="G55" s="22" t="s">
        <v>8422</v>
      </c>
      <c r="H55" s="22" t="s">
        <v>8423</v>
      </c>
      <c r="I55" s="4"/>
      <c r="K55" s="4"/>
      <c r="N55" s="4" t="s">
        <v>125</v>
      </c>
      <c r="O55" s="4">
        <v>454</v>
      </c>
    </row>
    <row r="56" spans="1:15" ht="15.75" customHeight="1">
      <c r="A56" s="4" t="s">
        <v>3213</v>
      </c>
      <c r="B56" s="4" t="s">
        <v>3214</v>
      </c>
      <c r="C56" s="18" t="s">
        <v>7839</v>
      </c>
      <c r="D56" s="4"/>
      <c r="E56" s="2" t="s">
        <v>7840</v>
      </c>
      <c r="F56" s="23" t="s">
        <v>7841</v>
      </c>
      <c r="G56" s="22" t="s">
        <v>8424</v>
      </c>
      <c r="H56" s="22" t="s">
        <v>8425</v>
      </c>
      <c r="I56" s="4"/>
      <c r="K56" s="4"/>
      <c r="N56" s="4" t="s">
        <v>129</v>
      </c>
      <c r="O56" s="4">
        <v>603</v>
      </c>
    </row>
    <row r="57" spans="1:15" ht="15.75" customHeight="1">
      <c r="A57" s="4" t="s">
        <v>3213</v>
      </c>
      <c r="B57" s="4" t="s">
        <v>3214</v>
      </c>
      <c r="C57" s="18" t="s">
        <v>7839</v>
      </c>
      <c r="D57" s="4"/>
      <c r="E57" s="2" t="s">
        <v>7840</v>
      </c>
      <c r="F57" s="23" t="s">
        <v>7842</v>
      </c>
      <c r="G57" s="22" t="s">
        <v>8426</v>
      </c>
      <c r="H57" s="22" t="s">
        <v>8427</v>
      </c>
      <c r="I57" s="4"/>
      <c r="K57" s="4"/>
      <c r="N57" s="4" t="s">
        <v>129</v>
      </c>
      <c r="O57" s="4">
        <v>603</v>
      </c>
    </row>
    <row r="58" spans="1:15" ht="15.75" customHeight="1">
      <c r="A58" s="4" t="s">
        <v>4525</v>
      </c>
      <c r="B58" s="4" t="s">
        <v>4526</v>
      </c>
      <c r="C58" s="18" t="s">
        <v>7843</v>
      </c>
      <c r="D58" s="4"/>
      <c r="E58" s="2" t="s">
        <v>7844</v>
      </c>
      <c r="F58" s="2" t="s">
        <v>7845</v>
      </c>
      <c r="G58" s="22" t="s">
        <v>8428</v>
      </c>
      <c r="H58" s="4" t="s">
        <v>7846</v>
      </c>
      <c r="K58" s="4"/>
      <c r="N58" s="4" t="s">
        <v>56</v>
      </c>
      <c r="O58" s="4">
        <v>46</v>
      </c>
    </row>
    <row r="59" spans="1:15" ht="15.75" customHeight="1">
      <c r="A59" s="4" t="s">
        <v>2110</v>
      </c>
      <c r="B59" s="4" t="s">
        <v>2111</v>
      </c>
      <c r="C59" s="4" t="s">
        <v>7847</v>
      </c>
      <c r="D59" s="4"/>
      <c r="E59" s="2" t="s">
        <v>7848</v>
      </c>
      <c r="F59" s="2" t="s">
        <v>7849</v>
      </c>
      <c r="G59" s="22" t="s">
        <v>8429</v>
      </c>
      <c r="H59" s="22" t="s">
        <v>8430</v>
      </c>
      <c r="K59" s="4"/>
      <c r="N59" s="4" t="s">
        <v>135</v>
      </c>
      <c r="O59" s="4">
        <v>601</v>
      </c>
    </row>
    <row r="60" spans="1:15" ht="15.75" customHeight="1">
      <c r="A60" s="4" t="s">
        <v>7004</v>
      </c>
      <c r="B60" s="4" t="s">
        <v>7005</v>
      </c>
      <c r="C60" s="18" t="s">
        <v>7850</v>
      </c>
      <c r="D60" s="4"/>
      <c r="E60" s="2" t="s">
        <v>7851</v>
      </c>
      <c r="F60" s="2" t="s">
        <v>7852</v>
      </c>
      <c r="G60" s="4" t="s">
        <v>7853</v>
      </c>
      <c r="H60" s="22" t="s">
        <v>8431</v>
      </c>
      <c r="K60" s="4"/>
      <c r="N60" s="4" t="s">
        <v>138</v>
      </c>
      <c r="O60" s="4">
        <v>163</v>
      </c>
    </row>
    <row r="61" spans="1:15" ht="15.75" customHeight="1">
      <c r="A61" s="4" t="s">
        <v>7004</v>
      </c>
      <c r="B61" s="4" t="s">
        <v>7005</v>
      </c>
      <c r="C61" s="18" t="s">
        <v>7850</v>
      </c>
      <c r="D61" s="4"/>
      <c r="E61" s="2" t="s">
        <v>7851</v>
      </c>
      <c r="F61" s="2" t="s">
        <v>7854</v>
      </c>
      <c r="G61" s="22" t="s">
        <v>8432</v>
      </c>
      <c r="H61" s="22" t="s">
        <v>8433</v>
      </c>
      <c r="K61" s="4"/>
      <c r="N61" s="4" t="s">
        <v>138</v>
      </c>
      <c r="O61" s="4">
        <v>163</v>
      </c>
    </row>
    <row r="62" spans="1:15" ht="15.75" customHeight="1">
      <c r="A62" s="4" t="s">
        <v>2426</v>
      </c>
      <c r="B62" s="4" t="s">
        <v>2427</v>
      </c>
      <c r="C62" s="18" t="s">
        <v>7855</v>
      </c>
      <c r="D62" s="4"/>
      <c r="E62" s="23" t="s">
        <v>7856</v>
      </c>
      <c r="F62" s="2" t="s">
        <v>7857</v>
      </c>
      <c r="G62" s="22" t="s">
        <v>8434</v>
      </c>
      <c r="H62" s="22" t="s">
        <v>8435</v>
      </c>
      <c r="K62" s="4"/>
      <c r="N62" s="4" t="s">
        <v>141</v>
      </c>
      <c r="O62" s="4">
        <v>243</v>
      </c>
    </row>
    <row r="63" spans="1:15" ht="15.75" customHeight="1">
      <c r="A63" s="4" t="s">
        <v>7524</v>
      </c>
      <c r="B63" s="4" t="s">
        <v>7525</v>
      </c>
      <c r="C63" s="18" t="s">
        <v>7858</v>
      </c>
      <c r="D63" s="4"/>
      <c r="E63" s="2" t="s">
        <v>7859</v>
      </c>
      <c r="F63" s="2" t="s">
        <v>7860</v>
      </c>
      <c r="G63" s="22" t="s">
        <v>8436</v>
      </c>
      <c r="H63" s="22" t="s">
        <v>8437</v>
      </c>
      <c r="K63" s="4"/>
      <c r="N63" s="4" t="s">
        <v>144</v>
      </c>
      <c r="O63" s="4">
        <v>288</v>
      </c>
    </row>
    <row r="64" spans="1:15" ht="15.75" customHeight="1">
      <c r="A64" s="4" t="s">
        <v>7524</v>
      </c>
      <c r="B64" s="4" t="s">
        <v>7525</v>
      </c>
      <c r="C64" s="18" t="s">
        <v>7858</v>
      </c>
      <c r="D64" s="4"/>
      <c r="E64" s="2" t="s">
        <v>7859</v>
      </c>
      <c r="F64" s="2" t="s">
        <v>7861</v>
      </c>
      <c r="G64" s="22" t="s">
        <v>8438</v>
      </c>
      <c r="H64" s="22" t="s">
        <v>8439</v>
      </c>
      <c r="K64" s="4"/>
      <c r="N64" s="4" t="s">
        <v>144</v>
      </c>
      <c r="O64" s="4">
        <v>288</v>
      </c>
    </row>
    <row r="65" spans="1:15" ht="15.75" customHeight="1">
      <c r="A65" s="4" t="s">
        <v>6153</v>
      </c>
      <c r="B65" s="4" t="s">
        <v>6154</v>
      </c>
      <c r="C65" s="19" t="s">
        <v>8440</v>
      </c>
      <c r="D65" s="4"/>
      <c r="E65" s="2" t="s">
        <v>7862</v>
      </c>
      <c r="F65" s="2" t="s">
        <v>7863</v>
      </c>
      <c r="G65" s="24" t="s">
        <v>7864</v>
      </c>
      <c r="H65" s="4" t="s">
        <v>7865</v>
      </c>
      <c r="K65" s="4"/>
      <c r="N65" s="4" t="s">
        <v>56</v>
      </c>
      <c r="O65" s="4">
        <v>146</v>
      </c>
    </row>
    <row r="66" spans="1:15" ht="15.75" customHeight="1">
      <c r="A66" s="4" t="s">
        <v>2589</v>
      </c>
      <c r="B66" s="4" t="s">
        <v>2590</v>
      </c>
      <c r="C66" s="19" t="s">
        <v>8441</v>
      </c>
      <c r="D66" s="4"/>
      <c r="E66" s="2" t="s">
        <v>7866</v>
      </c>
      <c r="F66" s="2" t="s">
        <v>7867</v>
      </c>
      <c r="G66" s="22" t="s">
        <v>8442</v>
      </c>
      <c r="H66" s="22" t="s">
        <v>8443</v>
      </c>
      <c r="K66" s="4"/>
      <c r="N66" s="4" t="s">
        <v>56</v>
      </c>
      <c r="O66" s="4">
        <v>78</v>
      </c>
    </row>
    <row r="67" spans="1:15" ht="15.75" customHeight="1">
      <c r="A67" s="4" t="s">
        <v>4918</v>
      </c>
      <c r="B67" s="4" t="s">
        <v>4919</v>
      </c>
      <c r="C67" s="19" t="s">
        <v>8444</v>
      </c>
      <c r="D67" s="4"/>
      <c r="E67" s="2" t="s">
        <v>7868</v>
      </c>
      <c r="F67" s="2" t="s">
        <v>7869</v>
      </c>
      <c r="G67" s="22" t="s">
        <v>8445</v>
      </c>
      <c r="H67" s="22" t="s">
        <v>8446</v>
      </c>
      <c r="K67" s="4"/>
      <c r="N67" s="4" t="s">
        <v>150</v>
      </c>
      <c r="O67" s="4">
        <v>153</v>
      </c>
    </row>
    <row r="68" spans="1:15" ht="15.75" customHeight="1">
      <c r="A68" s="4" t="s">
        <v>4918</v>
      </c>
      <c r="B68" s="4" t="s">
        <v>4919</v>
      </c>
      <c r="C68" s="19" t="s">
        <v>8447</v>
      </c>
      <c r="D68" s="4"/>
      <c r="E68" s="2" t="s">
        <v>7868</v>
      </c>
      <c r="F68" s="2" t="s">
        <v>7870</v>
      </c>
      <c r="G68" s="22" t="s">
        <v>8448</v>
      </c>
      <c r="H68" s="22" t="s">
        <v>8449</v>
      </c>
      <c r="K68" s="4"/>
      <c r="N68" s="4" t="s">
        <v>150</v>
      </c>
      <c r="O68" s="4">
        <v>153</v>
      </c>
    </row>
    <row r="69" spans="1:15" ht="15.75" customHeight="1">
      <c r="A69" s="4" t="s">
        <v>1466</v>
      </c>
      <c r="B69" s="4" t="s">
        <v>1467</v>
      </c>
      <c r="C69" s="19" t="s">
        <v>8450</v>
      </c>
      <c r="D69" s="4"/>
      <c r="E69" s="2" t="s">
        <v>7871</v>
      </c>
      <c r="F69" s="2" t="s">
        <v>7872</v>
      </c>
      <c r="G69" s="22" t="s">
        <v>8451</v>
      </c>
      <c r="H69" s="22" t="s">
        <v>8452</v>
      </c>
      <c r="K69" s="4"/>
      <c r="N69" s="4" t="s">
        <v>56</v>
      </c>
      <c r="O69" s="4">
        <v>110</v>
      </c>
    </row>
    <row r="70" spans="1:15" ht="15.75" customHeight="1">
      <c r="A70" s="4" t="s">
        <v>1466</v>
      </c>
      <c r="B70" s="4" t="s">
        <v>1467</v>
      </c>
      <c r="C70" s="19" t="s">
        <v>8453</v>
      </c>
      <c r="D70" s="4"/>
      <c r="E70" s="2" t="s">
        <v>7871</v>
      </c>
      <c r="F70" s="2" t="s">
        <v>7873</v>
      </c>
      <c r="G70" s="22" t="s">
        <v>8454</v>
      </c>
      <c r="H70" s="22" t="s">
        <v>8455</v>
      </c>
      <c r="K70" s="4"/>
      <c r="N70" s="4" t="s">
        <v>56</v>
      </c>
      <c r="O70" s="4">
        <v>110</v>
      </c>
    </row>
    <row r="71" spans="1:15" ht="15.75" customHeight="1">
      <c r="A71" s="4" t="s">
        <v>1466</v>
      </c>
      <c r="B71" s="4" t="s">
        <v>1467</v>
      </c>
      <c r="C71" s="19" t="s">
        <v>8456</v>
      </c>
      <c r="D71" s="4"/>
      <c r="E71" s="2" t="s">
        <v>7871</v>
      </c>
      <c r="F71" s="2" t="s">
        <v>7874</v>
      </c>
      <c r="G71" s="22" t="s">
        <v>8457</v>
      </c>
      <c r="H71" s="22" t="s">
        <v>8458</v>
      </c>
      <c r="K71" s="4"/>
      <c r="N71" s="4" t="s">
        <v>56</v>
      </c>
      <c r="O71" s="4">
        <v>110</v>
      </c>
    </row>
    <row r="72" spans="1:15" ht="15.75" customHeight="1">
      <c r="A72" s="4" t="s">
        <v>1466</v>
      </c>
      <c r="B72" s="4" t="s">
        <v>1467</v>
      </c>
      <c r="C72" s="19" t="s">
        <v>8459</v>
      </c>
      <c r="D72" s="4"/>
      <c r="E72" s="2" t="s">
        <v>7871</v>
      </c>
      <c r="F72" s="2" t="s">
        <v>7875</v>
      </c>
      <c r="G72" s="22" t="s">
        <v>8460</v>
      </c>
      <c r="H72" s="22" t="s">
        <v>8461</v>
      </c>
      <c r="K72" s="4"/>
      <c r="N72" s="4" t="s">
        <v>56</v>
      </c>
      <c r="O72" s="4">
        <v>110</v>
      </c>
    </row>
    <row r="73" spans="1:15" ht="15.75" customHeight="1">
      <c r="A73" s="4" t="s">
        <v>1466</v>
      </c>
      <c r="B73" s="4" t="s">
        <v>1467</v>
      </c>
      <c r="C73" s="19" t="s">
        <v>8462</v>
      </c>
      <c r="D73" s="4"/>
      <c r="E73" s="2" t="s">
        <v>7871</v>
      </c>
      <c r="F73" s="2" t="s">
        <v>7876</v>
      </c>
      <c r="G73" s="22" t="s">
        <v>8463</v>
      </c>
      <c r="H73" s="22" t="s">
        <v>8464</v>
      </c>
      <c r="K73" s="4"/>
      <c r="N73" s="4" t="s">
        <v>56</v>
      </c>
      <c r="O73" s="4">
        <v>110</v>
      </c>
    </row>
    <row r="74" spans="1:15" ht="15.75" customHeight="1">
      <c r="A74" s="4" t="s">
        <v>1466</v>
      </c>
      <c r="B74" s="4" t="s">
        <v>1467</v>
      </c>
      <c r="C74" s="19" t="s">
        <v>8465</v>
      </c>
      <c r="D74" s="4"/>
      <c r="E74" s="2" t="s">
        <v>7871</v>
      </c>
      <c r="F74" s="2" t="s">
        <v>7877</v>
      </c>
      <c r="G74" s="22" t="s">
        <v>8466</v>
      </c>
      <c r="H74" s="22" t="s">
        <v>8467</v>
      </c>
      <c r="K74" s="4"/>
      <c r="N74" s="4" t="s">
        <v>56</v>
      </c>
      <c r="O74" s="4">
        <v>110</v>
      </c>
    </row>
    <row r="75" spans="1:15" ht="15.75" customHeight="1">
      <c r="A75" s="4" t="s">
        <v>1466</v>
      </c>
      <c r="B75" s="4" t="s">
        <v>1467</v>
      </c>
      <c r="C75" s="19" t="s">
        <v>8468</v>
      </c>
      <c r="D75" s="4"/>
      <c r="E75" s="2" t="s">
        <v>7871</v>
      </c>
      <c r="F75" s="2" t="s">
        <v>7878</v>
      </c>
      <c r="G75" s="22" t="s">
        <v>8469</v>
      </c>
      <c r="H75" s="22" t="s">
        <v>8470</v>
      </c>
      <c r="K75" s="4"/>
      <c r="N75" s="4" t="s">
        <v>56</v>
      </c>
      <c r="O75" s="4">
        <v>110</v>
      </c>
    </row>
    <row r="76" spans="1:15" ht="15.75" customHeight="1">
      <c r="A76" s="4" t="s">
        <v>1466</v>
      </c>
      <c r="B76" s="4" t="s">
        <v>1467</v>
      </c>
      <c r="C76" s="19" t="s">
        <v>8471</v>
      </c>
      <c r="D76" s="4"/>
      <c r="E76" s="2" t="s">
        <v>7871</v>
      </c>
      <c r="F76" s="2" t="s">
        <v>7879</v>
      </c>
      <c r="G76" s="22" t="s">
        <v>8472</v>
      </c>
      <c r="H76" s="22" t="s">
        <v>8473</v>
      </c>
      <c r="K76" s="4"/>
      <c r="N76" s="4" t="s">
        <v>56</v>
      </c>
      <c r="O76" s="4">
        <v>110</v>
      </c>
    </row>
    <row r="77" spans="1:15" ht="15.75" customHeight="1">
      <c r="A77" s="4" t="s">
        <v>1470</v>
      </c>
      <c r="B77" s="4" t="s">
        <v>1471</v>
      </c>
      <c r="C77" s="4" t="s">
        <v>7880</v>
      </c>
      <c r="D77" s="4"/>
      <c r="E77" s="2" t="s">
        <v>7871</v>
      </c>
      <c r="F77" s="2" t="s">
        <v>7872</v>
      </c>
      <c r="G77" s="22" t="s">
        <v>8474</v>
      </c>
      <c r="H77" s="22" t="s">
        <v>8475</v>
      </c>
      <c r="K77" s="4"/>
      <c r="N77" s="4" t="s">
        <v>161</v>
      </c>
      <c r="O77" s="4">
        <v>336</v>
      </c>
    </row>
    <row r="78" spans="1:15" ht="15.75" customHeight="1">
      <c r="A78" s="4" t="s">
        <v>1470</v>
      </c>
      <c r="B78" s="4" t="s">
        <v>1471</v>
      </c>
      <c r="C78" s="4" t="s">
        <v>7880</v>
      </c>
      <c r="D78" s="4"/>
      <c r="E78" s="2" t="s">
        <v>7871</v>
      </c>
      <c r="F78" s="2" t="s">
        <v>7873</v>
      </c>
      <c r="G78" s="22" t="s">
        <v>8476</v>
      </c>
      <c r="H78" s="22" t="s">
        <v>8477</v>
      </c>
      <c r="K78" s="4"/>
      <c r="N78" s="4" t="s">
        <v>161</v>
      </c>
      <c r="O78" s="4">
        <v>336</v>
      </c>
    </row>
    <row r="79" spans="1:15" ht="15.75" customHeight="1">
      <c r="A79" s="4" t="s">
        <v>1470</v>
      </c>
      <c r="B79" s="4" t="s">
        <v>1471</v>
      </c>
      <c r="C79" s="4" t="s">
        <v>7880</v>
      </c>
      <c r="D79" s="4"/>
      <c r="E79" s="2" t="s">
        <v>7871</v>
      </c>
      <c r="F79" s="2" t="s">
        <v>7874</v>
      </c>
      <c r="G79" s="22" t="s">
        <v>8478</v>
      </c>
      <c r="H79" s="22" t="s">
        <v>8479</v>
      </c>
      <c r="K79" s="4"/>
      <c r="N79" s="4" t="s">
        <v>161</v>
      </c>
      <c r="O79" s="4">
        <v>336</v>
      </c>
    </row>
    <row r="80" spans="1:15" ht="15.75" customHeight="1">
      <c r="A80" s="4" t="s">
        <v>1470</v>
      </c>
      <c r="B80" s="4" t="s">
        <v>1471</v>
      </c>
      <c r="C80" s="4" t="s">
        <v>7880</v>
      </c>
      <c r="D80" s="4"/>
      <c r="E80" s="2" t="s">
        <v>7871</v>
      </c>
      <c r="F80" s="2" t="s">
        <v>7875</v>
      </c>
      <c r="G80" s="22" t="s">
        <v>8480</v>
      </c>
      <c r="H80" s="22" t="s">
        <v>8481</v>
      </c>
      <c r="K80" s="4"/>
      <c r="N80" s="4" t="s">
        <v>161</v>
      </c>
      <c r="O80" s="4">
        <v>336</v>
      </c>
    </row>
    <row r="81" spans="1:15" ht="15.75" customHeight="1">
      <c r="A81" s="4" t="s">
        <v>1470</v>
      </c>
      <c r="B81" s="4" t="s">
        <v>1471</v>
      </c>
      <c r="C81" s="4" t="s">
        <v>7880</v>
      </c>
      <c r="D81" s="4"/>
      <c r="E81" s="2" t="s">
        <v>7871</v>
      </c>
      <c r="F81" s="2" t="s">
        <v>7876</v>
      </c>
      <c r="G81" s="22" t="s">
        <v>8482</v>
      </c>
      <c r="H81" s="22" t="s">
        <v>8483</v>
      </c>
      <c r="K81" s="4"/>
      <c r="N81" s="4" t="s">
        <v>161</v>
      </c>
      <c r="O81" s="4">
        <v>336</v>
      </c>
    </row>
    <row r="82" spans="1:15" ht="15.75" customHeight="1">
      <c r="A82" s="4" t="s">
        <v>1470</v>
      </c>
      <c r="B82" s="4" t="s">
        <v>1471</v>
      </c>
      <c r="C82" s="4" t="s">
        <v>7880</v>
      </c>
      <c r="D82" s="4"/>
      <c r="E82" s="2" t="s">
        <v>7871</v>
      </c>
      <c r="F82" s="2" t="s">
        <v>7877</v>
      </c>
      <c r="G82" s="22" t="s">
        <v>8484</v>
      </c>
      <c r="H82" s="22" t="s">
        <v>8485</v>
      </c>
      <c r="K82" s="4"/>
      <c r="N82" s="4" t="s">
        <v>161</v>
      </c>
      <c r="O82" s="4">
        <v>336</v>
      </c>
    </row>
    <row r="83" spans="1:15" ht="15.75" customHeight="1">
      <c r="A83" s="4" t="s">
        <v>1470</v>
      </c>
      <c r="B83" s="4" t="s">
        <v>1471</v>
      </c>
      <c r="C83" s="4" t="s">
        <v>7880</v>
      </c>
      <c r="D83" s="4"/>
      <c r="E83" s="2" t="s">
        <v>7871</v>
      </c>
      <c r="F83" s="2" t="s">
        <v>7878</v>
      </c>
      <c r="G83" s="22" t="s">
        <v>8486</v>
      </c>
      <c r="H83" s="22" t="s">
        <v>8487</v>
      </c>
      <c r="K83" s="4"/>
      <c r="N83" s="4" t="s">
        <v>161</v>
      </c>
      <c r="O83" s="4">
        <v>336</v>
      </c>
    </row>
    <row r="84" spans="1:15" ht="15.75" customHeight="1">
      <c r="A84" s="4" t="s">
        <v>1470</v>
      </c>
      <c r="B84" s="4" t="s">
        <v>1471</v>
      </c>
      <c r="C84" s="4" t="s">
        <v>7880</v>
      </c>
      <c r="D84" s="4"/>
      <c r="E84" s="2" t="s">
        <v>7871</v>
      </c>
      <c r="F84" s="2" t="s">
        <v>7879</v>
      </c>
      <c r="G84" s="22" t="s">
        <v>8488</v>
      </c>
      <c r="H84" s="22" t="s">
        <v>8489</v>
      </c>
      <c r="K84" s="4"/>
      <c r="N84" s="4" t="s">
        <v>161</v>
      </c>
      <c r="O84" s="4">
        <v>336</v>
      </c>
    </row>
    <row r="85" spans="1:15" ht="15.75" customHeight="1">
      <c r="A85" s="4" t="s">
        <v>6496</v>
      </c>
      <c r="B85" s="4" t="s">
        <v>6497</v>
      </c>
      <c r="C85" s="19" t="s">
        <v>8490</v>
      </c>
      <c r="D85" s="4"/>
      <c r="E85" s="2" t="s">
        <v>7871</v>
      </c>
      <c r="F85" s="2" t="s">
        <v>7872</v>
      </c>
      <c r="G85" s="22" t="s">
        <v>8491</v>
      </c>
      <c r="H85" s="22" t="s">
        <v>8492</v>
      </c>
      <c r="K85" s="4"/>
      <c r="N85" s="4" t="s">
        <v>56</v>
      </c>
      <c r="O85" s="4">
        <v>152</v>
      </c>
    </row>
    <row r="86" spans="1:15" ht="15.75" customHeight="1">
      <c r="A86" s="4" t="s">
        <v>6496</v>
      </c>
      <c r="B86" s="4" t="s">
        <v>6497</v>
      </c>
      <c r="C86" s="19" t="s">
        <v>8493</v>
      </c>
      <c r="D86" s="4"/>
      <c r="E86" s="2" t="s">
        <v>7871</v>
      </c>
      <c r="F86" s="2" t="s">
        <v>7873</v>
      </c>
      <c r="G86" s="22" t="s">
        <v>8494</v>
      </c>
      <c r="H86" s="22" t="s">
        <v>8495</v>
      </c>
      <c r="K86" s="4"/>
      <c r="N86" s="4" t="s">
        <v>56</v>
      </c>
      <c r="O86" s="4">
        <v>152</v>
      </c>
    </row>
    <row r="87" spans="1:15" ht="15.75" customHeight="1">
      <c r="A87" s="4" t="s">
        <v>6496</v>
      </c>
      <c r="B87" s="4" t="s">
        <v>6497</v>
      </c>
      <c r="C87" s="19" t="s">
        <v>8496</v>
      </c>
      <c r="D87" s="4"/>
      <c r="E87" s="2" t="s">
        <v>7871</v>
      </c>
      <c r="F87" s="2" t="s">
        <v>7874</v>
      </c>
      <c r="G87" s="22" t="s">
        <v>8497</v>
      </c>
      <c r="H87" s="22" t="s">
        <v>8498</v>
      </c>
      <c r="K87" s="4"/>
      <c r="N87" s="4" t="s">
        <v>56</v>
      </c>
      <c r="O87" s="4">
        <v>152</v>
      </c>
    </row>
    <row r="88" spans="1:15" ht="15.75" customHeight="1">
      <c r="A88" s="4" t="s">
        <v>6496</v>
      </c>
      <c r="B88" s="4" t="s">
        <v>6497</v>
      </c>
      <c r="C88" s="19" t="s">
        <v>8499</v>
      </c>
      <c r="D88" s="4"/>
      <c r="E88" s="2" t="s">
        <v>7871</v>
      </c>
      <c r="F88" s="2" t="s">
        <v>7875</v>
      </c>
      <c r="G88" s="22" t="s">
        <v>8500</v>
      </c>
      <c r="H88" s="22" t="s">
        <v>8501</v>
      </c>
      <c r="K88" s="4"/>
      <c r="N88" s="4" t="s">
        <v>56</v>
      </c>
      <c r="O88" s="4">
        <v>152</v>
      </c>
    </row>
    <row r="89" spans="1:15" ht="15.75" customHeight="1">
      <c r="A89" s="4" t="s">
        <v>6496</v>
      </c>
      <c r="B89" s="4" t="s">
        <v>6497</v>
      </c>
      <c r="C89" s="19" t="s">
        <v>8502</v>
      </c>
      <c r="D89" s="4"/>
      <c r="E89" s="2" t="s">
        <v>7871</v>
      </c>
      <c r="F89" s="2" t="s">
        <v>7876</v>
      </c>
      <c r="G89" s="22" t="s">
        <v>8503</v>
      </c>
      <c r="H89" s="22" t="s">
        <v>8504</v>
      </c>
      <c r="K89" s="4"/>
      <c r="N89" s="4" t="s">
        <v>56</v>
      </c>
      <c r="O89" s="4">
        <v>152</v>
      </c>
    </row>
    <row r="90" spans="1:15" ht="15.75" customHeight="1">
      <c r="A90" s="4" t="s">
        <v>6496</v>
      </c>
      <c r="B90" s="4" t="s">
        <v>6497</v>
      </c>
      <c r="C90" s="19" t="s">
        <v>8505</v>
      </c>
      <c r="D90" s="4"/>
      <c r="E90" s="2" t="s">
        <v>7871</v>
      </c>
      <c r="F90" s="2" t="s">
        <v>7877</v>
      </c>
      <c r="G90" s="22" t="s">
        <v>8506</v>
      </c>
      <c r="H90" s="22" t="s">
        <v>8507</v>
      </c>
      <c r="K90" s="4"/>
      <c r="N90" s="4" t="s">
        <v>56</v>
      </c>
      <c r="O90" s="4">
        <v>152</v>
      </c>
    </row>
    <row r="91" spans="1:15" ht="15.75" customHeight="1">
      <c r="A91" s="4" t="s">
        <v>6496</v>
      </c>
      <c r="B91" s="4" t="s">
        <v>6497</v>
      </c>
      <c r="C91" s="19" t="s">
        <v>8508</v>
      </c>
      <c r="D91" s="4"/>
      <c r="E91" s="2" t="s">
        <v>7871</v>
      </c>
      <c r="F91" s="2" t="s">
        <v>7878</v>
      </c>
      <c r="G91" s="22" t="s">
        <v>8509</v>
      </c>
      <c r="H91" s="22" t="s">
        <v>8510</v>
      </c>
      <c r="K91" s="4"/>
      <c r="N91" s="4" t="s">
        <v>56</v>
      </c>
      <c r="O91" s="4">
        <v>152</v>
      </c>
    </row>
    <row r="92" spans="1:15" ht="15.75" customHeight="1">
      <c r="A92" s="4" t="s">
        <v>6496</v>
      </c>
      <c r="B92" s="4" t="s">
        <v>6497</v>
      </c>
      <c r="C92" s="19" t="s">
        <v>8511</v>
      </c>
      <c r="D92" s="4"/>
      <c r="E92" s="2" t="s">
        <v>7871</v>
      </c>
      <c r="F92" s="2" t="s">
        <v>7879</v>
      </c>
      <c r="G92" s="22" t="s">
        <v>8512</v>
      </c>
      <c r="H92" s="22" t="s">
        <v>8513</v>
      </c>
      <c r="K92" s="4"/>
      <c r="N92" s="4" t="s">
        <v>56</v>
      </c>
      <c r="O92" s="4">
        <v>152</v>
      </c>
    </row>
    <row r="93" spans="1:15" ht="15.75" customHeight="1">
      <c r="A93" s="4" t="s">
        <v>6499</v>
      </c>
      <c r="B93" s="4" t="s">
        <v>6500</v>
      </c>
      <c r="C93" s="19" t="s">
        <v>8514</v>
      </c>
      <c r="D93" s="4"/>
      <c r="E93" s="2" t="s">
        <v>7871</v>
      </c>
      <c r="F93" s="2" t="s">
        <v>7872</v>
      </c>
      <c r="G93" s="22" t="s">
        <v>8515</v>
      </c>
      <c r="H93" s="22" t="s">
        <v>8516</v>
      </c>
      <c r="K93" s="4"/>
      <c r="N93" s="4" t="s">
        <v>166</v>
      </c>
      <c r="O93" s="4">
        <v>462</v>
      </c>
    </row>
    <row r="94" spans="1:15" ht="15.75" customHeight="1">
      <c r="A94" s="4" t="s">
        <v>6499</v>
      </c>
      <c r="B94" s="4" t="s">
        <v>6500</v>
      </c>
      <c r="C94" s="19" t="s">
        <v>8517</v>
      </c>
      <c r="D94" s="4"/>
      <c r="E94" s="2" t="s">
        <v>7871</v>
      </c>
      <c r="F94" s="2" t="s">
        <v>7873</v>
      </c>
      <c r="G94" s="22" t="s">
        <v>8518</v>
      </c>
      <c r="H94" s="22" t="s">
        <v>8519</v>
      </c>
      <c r="K94" s="4"/>
      <c r="N94" s="4" t="s">
        <v>166</v>
      </c>
      <c r="O94" s="4">
        <v>462</v>
      </c>
    </row>
    <row r="95" spans="1:15" ht="15.75" customHeight="1">
      <c r="A95" s="4" t="s">
        <v>6499</v>
      </c>
      <c r="B95" s="4" t="s">
        <v>6500</v>
      </c>
      <c r="C95" s="19" t="s">
        <v>8520</v>
      </c>
      <c r="D95" s="4"/>
      <c r="E95" s="2" t="s">
        <v>7871</v>
      </c>
      <c r="F95" s="2" t="s">
        <v>7874</v>
      </c>
      <c r="G95" s="22" t="s">
        <v>8521</v>
      </c>
      <c r="H95" s="22" t="s">
        <v>8522</v>
      </c>
      <c r="K95" s="4"/>
      <c r="N95" s="4" t="s">
        <v>166</v>
      </c>
      <c r="O95" s="4">
        <v>462</v>
      </c>
    </row>
    <row r="96" spans="1:15" ht="15.75" customHeight="1">
      <c r="A96" s="4" t="s">
        <v>6499</v>
      </c>
      <c r="B96" s="4" t="s">
        <v>6500</v>
      </c>
      <c r="C96" s="19" t="s">
        <v>8523</v>
      </c>
      <c r="D96" s="4"/>
      <c r="E96" s="2" t="s">
        <v>7871</v>
      </c>
      <c r="F96" s="2" t="s">
        <v>7875</v>
      </c>
      <c r="G96" s="22" t="s">
        <v>8524</v>
      </c>
      <c r="H96" s="22" t="s">
        <v>8525</v>
      </c>
      <c r="K96" s="4"/>
      <c r="N96" s="4" t="s">
        <v>166</v>
      </c>
      <c r="O96" s="4">
        <v>462</v>
      </c>
    </row>
    <row r="97" spans="1:15" ht="15.75" customHeight="1">
      <c r="A97" s="4" t="s">
        <v>6499</v>
      </c>
      <c r="B97" s="4" t="s">
        <v>6500</v>
      </c>
      <c r="C97" s="19" t="s">
        <v>8526</v>
      </c>
      <c r="D97" s="4"/>
      <c r="E97" s="2" t="s">
        <v>7871</v>
      </c>
      <c r="F97" s="2" t="s">
        <v>7876</v>
      </c>
      <c r="G97" s="22" t="s">
        <v>8527</v>
      </c>
      <c r="H97" s="22" t="s">
        <v>8528</v>
      </c>
      <c r="K97" s="4"/>
      <c r="N97" s="4" t="s">
        <v>166</v>
      </c>
      <c r="O97" s="4">
        <v>462</v>
      </c>
    </row>
    <row r="98" spans="1:15" ht="15.75" customHeight="1">
      <c r="A98" s="4" t="s">
        <v>6499</v>
      </c>
      <c r="B98" s="4" t="s">
        <v>6500</v>
      </c>
      <c r="C98" s="19" t="s">
        <v>8529</v>
      </c>
      <c r="D98" s="4"/>
      <c r="E98" s="2" t="s">
        <v>7871</v>
      </c>
      <c r="F98" s="2" t="s">
        <v>7877</v>
      </c>
      <c r="G98" s="22" t="s">
        <v>8530</v>
      </c>
      <c r="H98" s="22" t="s">
        <v>8531</v>
      </c>
      <c r="K98" s="4"/>
      <c r="N98" s="4" t="s">
        <v>166</v>
      </c>
      <c r="O98" s="4">
        <v>462</v>
      </c>
    </row>
    <row r="99" spans="1:15" ht="15.75" customHeight="1">
      <c r="A99" s="4" t="s">
        <v>6499</v>
      </c>
      <c r="B99" s="4" t="s">
        <v>6500</v>
      </c>
      <c r="C99" s="19" t="s">
        <v>8532</v>
      </c>
      <c r="D99" s="4"/>
      <c r="E99" s="2" t="s">
        <v>7871</v>
      </c>
      <c r="F99" s="2" t="s">
        <v>7878</v>
      </c>
      <c r="G99" s="22" t="s">
        <v>8533</v>
      </c>
      <c r="H99" s="22" t="s">
        <v>8534</v>
      </c>
      <c r="K99" s="4"/>
      <c r="N99" s="4" t="s">
        <v>166</v>
      </c>
      <c r="O99" s="4">
        <v>462</v>
      </c>
    </row>
    <row r="100" spans="1:15" ht="15.75" customHeight="1">
      <c r="A100" s="4" t="s">
        <v>6499</v>
      </c>
      <c r="B100" s="4" t="s">
        <v>6500</v>
      </c>
      <c r="C100" s="19" t="s">
        <v>8535</v>
      </c>
      <c r="D100" s="4"/>
      <c r="E100" s="2" t="s">
        <v>7871</v>
      </c>
      <c r="F100" s="2" t="s">
        <v>7879</v>
      </c>
      <c r="G100" s="22" t="s">
        <v>8536</v>
      </c>
      <c r="H100" s="22" t="s">
        <v>8537</v>
      </c>
      <c r="K100" s="4"/>
      <c r="N100" s="4" t="s">
        <v>166</v>
      </c>
      <c r="O100" s="4">
        <v>462</v>
      </c>
    </row>
    <row r="101" spans="1:15" ht="15.75" customHeight="1">
      <c r="A101" s="4" t="s">
        <v>3570</v>
      </c>
      <c r="B101" s="4" t="s">
        <v>3571</v>
      </c>
      <c r="C101" s="19" t="s">
        <v>8538</v>
      </c>
      <c r="D101" s="4"/>
      <c r="E101" s="2" t="s">
        <v>7881</v>
      </c>
      <c r="F101" s="2" t="s">
        <v>7882</v>
      </c>
      <c r="G101" s="22" t="s">
        <v>8539</v>
      </c>
      <c r="H101" s="22" t="s">
        <v>8540</v>
      </c>
      <c r="K101" s="4"/>
      <c r="N101" s="4" t="s">
        <v>169</v>
      </c>
      <c r="O101" s="4">
        <v>254</v>
      </c>
    </row>
    <row r="102" spans="1:15" ht="15.75" customHeight="1">
      <c r="A102" s="4" t="s">
        <v>3570</v>
      </c>
      <c r="B102" s="4" t="s">
        <v>3571</v>
      </c>
      <c r="C102" s="19" t="s">
        <v>8541</v>
      </c>
      <c r="D102" s="4"/>
      <c r="E102" s="2" t="s">
        <v>7881</v>
      </c>
      <c r="F102" s="2" t="s">
        <v>7883</v>
      </c>
      <c r="G102" s="22" t="s">
        <v>8542</v>
      </c>
      <c r="H102" s="22" t="s">
        <v>8543</v>
      </c>
      <c r="K102" s="4"/>
      <c r="N102" s="4" t="s">
        <v>169</v>
      </c>
      <c r="O102" s="4">
        <v>254</v>
      </c>
    </row>
    <row r="103" spans="1:15" ht="15.75" customHeight="1">
      <c r="A103" s="4" t="s">
        <v>3570</v>
      </c>
      <c r="B103" s="4" t="s">
        <v>3571</v>
      </c>
      <c r="C103" s="19" t="s">
        <v>8544</v>
      </c>
      <c r="D103" s="4"/>
      <c r="E103" s="2" t="s">
        <v>7881</v>
      </c>
      <c r="F103" s="2" t="s">
        <v>7884</v>
      </c>
      <c r="G103" s="21" t="s">
        <v>8545</v>
      </c>
      <c r="H103" s="22" t="s">
        <v>8546</v>
      </c>
      <c r="K103" s="4"/>
      <c r="N103" s="4" t="s">
        <v>169</v>
      </c>
      <c r="O103" s="4">
        <v>254</v>
      </c>
    </row>
    <row r="104" spans="1:15" ht="15.75" customHeight="1">
      <c r="A104" s="4" t="s">
        <v>3570</v>
      </c>
      <c r="B104" s="4" t="s">
        <v>3571</v>
      </c>
      <c r="C104" s="19" t="s">
        <v>8547</v>
      </c>
      <c r="D104" s="4"/>
      <c r="E104" s="2" t="s">
        <v>7881</v>
      </c>
      <c r="F104" s="2" t="s">
        <v>7885</v>
      </c>
      <c r="G104" s="22" t="s">
        <v>8548</v>
      </c>
      <c r="H104" s="22" t="s">
        <v>8549</v>
      </c>
      <c r="K104" s="4"/>
      <c r="N104" s="4" t="s">
        <v>169</v>
      </c>
      <c r="O104" s="4">
        <v>254</v>
      </c>
    </row>
    <row r="105" spans="1:15" ht="15.75" customHeight="1">
      <c r="A105" s="4" t="s">
        <v>3570</v>
      </c>
      <c r="B105" s="4" t="s">
        <v>3571</v>
      </c>
      <c r="C105" s="19" t="s">
        <v>8550</v>
      </c>
      <c r="D105" s="4"/>
      <c r="E105" s="2" t="s">
        <v>7881</v>
      </c>
      <c r="F105" s="2" t="s">
        <v>7886</v>
      </c>
      <c r="G105" s="22" t="s">
        <v>8551</v>
      </c>
      <c r="H105" s="22" t="s">
        <v>8552</v>
      </c>
      <c r="K105" s="4"/>
      <c r="N105" s="4" t="s">
        <v>169</v>
      </c>
      <c r="O105" s="4">
        <v>254</v>
      </c>
    </row>
    <row r="106" spans="1:15" ht="15.75" customHeight="1">
      <c r="A106" s="4" t="s">
        <v>4797</v>
      </c>
      <c r="B106" s="4" t="s">
        <v>4798</v>
      </c>
      <c r="C106" s="19" t="s">
        <v>8553</v>
      </c>
      <c r="D106" s="4"/>
      <c r="E106" s="2" t="s">
        <v>7881</v>
      </c>
      <c r="F106" s="2" t="s">
        <v>7882</v>
      </c>
      <c r="G106" s="22" t="s">
        <v>8554</v>
      </c>
      <c r="H106" s="22" t="s">
        <v>8555</v>
      </c>
      <c r="K106" s="4"/>
      <c r="N106" s="4" t="s">
        <v>172</v>
      </c>
      <c r="O106" s="4">
        <v>279</v>
      </c>
    </row>
    <row r="107" spans="1:15" ht="15.75" customHeight="1">
      <c r="A107" s="4" t="s">
        <v>4797</v>
      </c>
      <c r="B107" s="4" t="s">
        <v>4798</v>
      </c>
      <c r="C107" s="19" t="s">
        <v>8556</v>
      </c>
      <c r="D107" s="4"/>
      <c r="E107" s="2" t="s">
        <v>7881</v>
      </c>
      <c r="F107" s="2" t="s">
        <v>7883</v>
      </c>
      <c r="G107" s="22" t="s">
        <v>8557</v>
      </c>
      <c r="H107" s="22" t="s">
        <v>8558</v>
      </c>
      <c r="K107" s="4"/>
      <c r="N107" s="4" t="s">
        <v>172</v>
      </c>
      <c r="O107" s="4">
        <v>279</v>
      </c>
    </row>
    <row r="108" spans="1:15" ht="15.75" customHeight="1">
      <c r="A108" s="4" t="s">
        <v>4797</v>
      </c>
      <c r="B108" s="4" t="s">
        <v>4798</v>
      </c>
      <c r="C108" s="19" t="s">
        <v>8559</v>
      </c>
      <c r="D108" s="4"/>
      <c r="E108" s="2" t="s">
        <v>7881</v>
      </c>
      <c r="F108" s="2" t="s">
        <v>7884</v>
      </c>
      <c r="G108" s="21" t="s">
        <v>8560</v>
      </c>
      <c r="H108" s="22" t="s">
        <v>8561</v>
      </c>
      <c r="K108" s="4"/>
      <c r="N108" s="4" t="s">
        <v>172</v>
      </c>
      <c r="O108" s="4">
        <v>279</v>
      </c>
    </row>
    <row r="109" spans="1:15" ht="15.75" customHeight="1">
      <c r="A109" s="4" t="s">
        <v>4797</v>
      </c>
      <c r="B109" s="4" t="s">
        <v>4798</v>
      </c>
      <c r="C109" s="19" t="s">
        <v>8562</v>
      </c>
      <c r="D109" s="4"/>
      <c r="E109" s="2" t="s">
        <v>7881</v>
      </c>
      <c r="F109" s="2" t="s">
        <v>7885</v>
      </c>
      <c r="G109" s="22" t="s">
        <v>8563</v>
      </c>
      <c r="H109" s="22" t="s">
        <v>8564</v>
      </c>
      <c r="K109" s="4"/>
      <c r="N109" s="4" t="s">
        <v>172</v>
      </c>
      <c r="O109" s="4">
        <v>279</v>
      </c>
    </row>
    <row r="110" spans="1:15" ht="15.75" customHeight="1">
      <c r="A110" s="4" t="s">
        <v>4797</v>
      </c>
      <c r="B110" s="4" t="s">
        <v>4798</v>
      </c>
      <c r="C110" s="19" t="s">
        <v>8565</v>
      </c>
      <c r="D110" s="4"/>
      <c r="E110" s="2" t="s">
        <v>7881</v>
      </c>
      <c r="F110" s="2" t="s">
        <v>7886</v>
      </c>
      <c r="G110" s="22" t="s">
        <v>8566</v>
      </c>
      <c r="H110" s="22" t="s">
        <v>8567</v>
      </c>
      <c r="K110" s="4"/>
      <c r="N110" s="4" t="s">
        <v>172</v>
      </c>
      <c r="O110" s="4">
        <v>279</v>
      </c>
    </row>
    <row r="111" spans="1:15" ht="15.75" customHeight="1">
      <c r="A111" s="4" t="s">
        <v>3359</v>
      </c>
      <c r="B111" s="4" t="s">
        <v>3360</v>
      </c>
      <c r="C111" s="19" t="s">
        <v>8568</v>
      </c>
      <c r="D111" s="4"/>
      <c r="E111" s="2" t="s">
        <v>7887</v>
      </c>
      <c r="F111" s="2" t="s">
        <v>7888</v>
      </c>
      <c r="G111" s="22" t="s">
        <v>8569</v>
      </c>
      <c r="H111" s="22" t="s">
        <v>8570</v>
      </c>
      <c r="K111" s="4"/>
      <c r="N111" s="4" t="s">
        <v>172</v>
      </c>
      <c r="O111" s="4">
        <v>318</v>
      </c>
    </row>
    <row r="112" spans="1:15" ht="15.75" customHeight="1">
      <c r="A112" s="4" t="s">
        <v>6996</v>
      </c>
      <c r="B112" s="4" t="s">
        <v>6997</v>
      </c>
      <c r="C112" s="20" t="s">
        <v>7889</v>
      </c>
      <c r="D112" s="20"/>
      <c r="E112" s="2" t="s">
        <v>7890</v>
      </c>
      <c r="F112" s="2" t="s">
        <v>7891</v>
      </c>
      <c r="G112" s="4" t="s">
        <v>7892</v>
      </c>
      <c r="H112" s="22" t="s">
        <v>8571</v>
      </c>
      <c r="K112" s="4"/>
      <c r="N112" s="4" t="s">
        <v>56</v>
      </c>
      <c r="O112" s="4">
        <v>40</v>
      </c>
    </row>
    <row r="113" spans="1:15" ht="15.75" customHeight="1">
      <c r="A113" s="4" t="s">
        <v>6996</v>
      </c>
      <c r="B113" s="4" t="s">
        <v>6997</v>
      </c>
      <c r="C113" s="20" t="s">
        <v>7889</v>
      </c>
      <c r="D113" s="20"/>
      <c r="E113" s="2" t="s">
        <v>7890</v>
      </c>
      <c r="F113" s="2" t="s">
        <v>7893</v>
      </c>
      <c r="G113" s="22" t="s">
        <v>8572</v>
      </c>
      <c r="H113" s="22" t="s">
        <v>8573</v>
      </c>
      <c r="K113" s="4"/>
      <c r="N113" s="4" t="s">
        <v>56</v>
      </c>
      <c r="O113" s="4">
        <v>40</v>
      </c>
    </row>
    <row r="114" spans="1:15" ht="15.75" customHeight="1">
      <c r="A114" s="4" t="s">
        <v>4895</v>
      </c>
      <c r="B114" s="4" t="s">
        <v>4896</v>
      </c>
      <c r="C114" s="19" t="s">
        <v>8574</v>
      </c>
      <c r="D114" s="4"/>
      <c r="E114" s="2" t="s">
        <v>7894</v>
      </c>
      <c r="F114" s="2" t="s">
        <v>7895</v>
      </c>
      <c r="G114" s="22" t="s">
        <v>8575</v>
      </c>
      <c r="H114" s="22" t="s">
        <v>8576</v>
      </c>
      <c r="K114" s="4"/>
      <c r="N114" s="4" t="s">
        <v>56</v>
      </c>
      <c r="O114" s="4">
        <v>102</v>
      </c>
    </row>
    <row r="115" spans="1:15" ht="15.75" customHeight="1">
      <c r="A115" s="4" t="s">
        <v>3719</v>
      </c>
      <c r="B115" s="4" t="s">
        <v>3720</v>
      </c>
      <c r="C115" s="19" t="s">
        <v>8577</v>
      </c>
      <c r="D115" s="4"/>
      <c r="E115" s="2" t="s">
        <v>7896</v>
      </c>
      <c r="F115" s="2" t="s">
        <v>7897</v>
      </c>
      <c r="G115" s="22" t="s">
        <v>8578</v>
      </c>
      <c r="H115" s="22" t="s">
        <v>8579</v>
      </c>
      <c r="I115" s="4"/>
      <c r="K115" s="4"/>
    </row>
    <row r="116" spans="1:15" ht="15.75" customHeight="1">
      <c r="A116" s="4" t="s">
        <v>2420</v>
      </c>
      <c r="B116" s="4" t="s">
        <v>2421</v>
      </c>
      <c r="C116" s="19" t="s">
        <v>8580</v>
      </c>
      <c r="D116" s="4"/>
      <c r="E116" s="2" t="s">
        <v>7898</v>
      </c>
      <c r="F116" s="23" t="s">
        <v>7899</v>
      </c>
      <c r="G116" s="22" t="s">
        <v>8581</v>
      </c>
      <c r="H116" s="22" t="s">
        <v>8582</v>
      </c>
      <c r="K116" s="4"/>
      <c r="N116" s="4" t="s">
        <v>191</v>
      </c>
      <c r="O116" s="4">
        <v>131</v>
      </c>
    </row>
    <row r="117" spans="1:15" ht="15.75" customHeight="1">
      <c r="A117" s="4" t="s">
        <v>3184</v>
      </c>
      <c r="B117" s="4" t="s">
        <v>3185</v>
      </c>
      <c r="C117" s="19" t="s">
        <v>8583</v>
      </c>
      <c r="D117" s="4"/>
      <c r="E117" s="2" t="s">
        <v>7898</v>
      </c>
      <c r="F117" s="2" t="s">
        <v>7899</v>
      </c>
      <c r="G117" s="22" t="s">
        <v>8584</v>
      </c>
      <c r="H117" s="22" t="s">
        <v>8585</v>
      </c>
      <c r="K117" s="4"/>
      <c r="N117" s="4" t="s">
        <v>194</v>
      </c>
      <c r="O117" s="4">
        <v>242</v>
      </c>
    </row>
    <row r="118" spans="1:15" ht="15.75" customHeight="1">
      <c r="A118" s="4" t="s">
        <v>3966</v>
      </c>
      <c r="B118" s="4" t="s">
        <v>3967</v>
      </c>
      <c r="C118" s="19" t="s">
        <v>8586</v>
      </c>
      <c r="D118" s="4"/>
      <c r="E118" s="2" t="s">
        <v>7898</v>
      </c>
      <c r="F118" s="2" t="s">
        <v>7899</v>
      </c>
      <c r="G118" s="22" t="s">
        <v>8587</v>
      </c>
      <c r="H118" s="22" t="s">
        <v>8588</v>
      </c>
      <c r="K118" s="4"/>
      <c r="N118" s="4" t="s">
        <v>197</v>
      </c>
      <c r="O118" s="4">
        <v>491</v>
      </c>
    </row>
    <row r="119" spans="1:15" ht="15.75" customHeight="1">
      <c r="A119" s="4" t="s">
        <v>5479</v>
      </c>
      <c r="B119" s="4" t="s">
        <v>5480</v>
      </c>
      <c r="C119" s="19" t="s">
        <v>8589</v>
      </c>
      <c r="D119" s="4"/>
      <c r="E119" s="2" t="s">
        <v>7900</v>
      </c>
      <c r="F119" s="2" t="s">
        <v>7901</v>
      </c>
      <c r="G119" s="22" t="s">
        <v>8590</v>
      </c>
      <c r="H119" s="22" t="s">
        <v>8591</v>
      </c>
      <c r="K119" s="4"/>
      <c r="N119" s="4" t="s">
        <v>204</v>
      </c>
      <c r="O119" s="4">
        <v>144</v>
      </c>
    </row>
    <row r="120" spans="1:15" ht="15" customHeight="1">
      <c r="A120" s="4" t="s">
        <v>1412</v>
      </c>
      <c r="B120" s="4" t="s">
        <v>1413</v>
      </c>
      <c r="C120" s="19" t="s">
        <v>8592</v>
      </c>
      <c r="D120" s="4"/>
      <c r="E120" s="2" t="s">
        <v>7902</v>
      </c>
      <c r="F120" s="2" t="s">
        <v>7903</v>
      </c>
      <c r="G120" s="22" t="s">
        <v>8593</v>
      </c>
      <c r="H120" s="22" t="s">
        <v>8594</v>
      </c>
      <c r="K120" s="4"/>
      <c r="N120" s="4" t="s">
        <v>56</v>
      </c>
      <c r="O120" s="4">
        <v>106</v>
      </c>
    </row>
    <row r="121" spans="1:15" ht="15" customHeight="1">
      <c r="A121" s="4" t="s">
        <v>6832</v>
      </c>
      <c r="B121" s="4" t="s">
        <v>6833</v>
      </c>
      <c r="C121" s="19" t="s">
        <v>8595</v>
      </c>
      <c r="D121" s="4"/>
      <c r="E121" s="2" t="s">
        <v>7904</v>
      </c>
      <c r="F121" s="2" t="s">
        <v>7905</v>
      </c>
      <c r="G121" s="22" t="s">
        <v>8596</v>
      </c>
      <c r="H121" s="22" t="s">
        <v>8597</v>
      </c>
      <c r="K121" s="4"/>
      <c r="N121" s="4" t="s">
        <v>211</v>
      </c>
      <c r="O121" s="4">
        <v>435</v>
      </c>
    </row>
    <row r="122" spans="1:15" ht="15" customHeight="1">
      <c r="A122" s="4" t="s">
        <v>87</v>
      </c>
      <c r="B122" s="4" t="s">
        <v>88</v>
      </c>
      <c r="C122" s="19" t="s">
        <v>8598</v>
      </c>
      <c r="D122" s="4"/>
      <c r="E122" s="2" t="s">
        <v>7906</v>
      </c>
      <c r="F122" s="23" t="s">
        <v>7907</v>
      </c>
      <c r="G122" s="22" t="s">
        <v>8599</v>
      </c>
      <c r="H122" s="22" t="s">
        <v>8600</v>
      </c>
      <c r="K122" s="4"/>
      <c r="N122" s="4" t="s">
        <v>56</v>
      </c>
      <c r="O122" s="4">
        <v>58</v>
      </c>
    </row>
    <row r="123" spans="1:15" ht="15" customHeight="1">
      <c r="A123" s="4" t="s">
        <v>87</v>
      </c>
      <c r="B123" s="4" t="s">
        <v>88</v>
      </c>
      <c r="C123" s="19" t="s">
        <v>8601</v>
      </c>
      <c r="D123" s="4"/>
      <c r="E123" s="2" t="s">
        <v>7906</v>
      </c>
      <c r="F123" s="2" t="s">
        <v>7908</v>
      </c>
      <c r="G123" s="22" t="s">
        <v>8602</v>
      </c>
      <c r="H123" s="22" t="s">
        <v>8603</v>
      </c>
      <c r="K123" s="4"/>
      <c r="N123" s="4" t="s">
        <v>56</v>
      </c>
      <c r="O123" s="4">
        <v>58</v>
      </c>
    </row>
    <row r="124" spans="1:15" ht="15" customHeight="1">
      <c r="A124" s="4" t="s">
        <v>2268</v>
      </c>
      <c r="B124" s="4" t="s">
        <v>2269</v>
      </c>
      <c r="C124" s="19" t="s">
        <v>8604</v>
      </c>
      <c r="D124" s="4"/>
      <c r="E124" s="2" t="s">
        <v>7909</v>
      </c>
      <c r="F124" s="2" t="s">
        <v>7910</v>
      </c>
      <c r="G124" s="22" t="s">
        <v>8605</v>
      </c>
      <c r="H124" s="22" t="s">
        <v>8606</v>
      </c>
      <c r="K124" s="4"/>
      <c r="N124" s="4" t="s">
        <v>216</v>
      </c>
      <c r="O124" s="4">
        <v>397</v>
      </c>
    </row>
    <row r="125" spans="1:15" ht="15.75" customHeight="1">
      <c r="A125" s="4" t="s">
        <v>6029</v>
      </c>
      <c r="B125" s="4" t="s">
        <v>6030</v>
      </c>
      <c r="C125" s="19" t="s">
        <v>8607</v>
      </c>
      <c r="D125" s="4"/>
      <c r="E125" s="2" t="s">
        <v>7911</v>
      </c>
      <c r="F125" s="2" t="s">
        <v>7912</v>
      </c>
      <c r="G125" s="22" t="s">
        <v>8608</v>
      </c>
      <c r="H125" s="22" t="s">
        <v>8609</v>
      </c>
      <c r="K125" s="4"/>
      <c r="N125" s="4" t="s">
        <v>219</v>
      </c>
      <c r="O125" s="4">
        <v>263</v>
      </c>
    </row>
    <row r="126" spans="1:15" ht="15.75" customHeight="1">
      <c r="A126" s="4" t="s">
        <v>6029</v>
      </c>
      <c r="B126" s="4" t="s">
        <v>6030</v>
      </c>
      <c r="C126" s="19" t="s">
        <v>8610</v>
      </c>
      <c r="D126" s="4"/>
      <c r="E126" s="2" t="s">
        <v>7911</v>
      </c>
      <c r="F126" s="2" t="s">
        <v>7913</v>
      </c>
      <c r="G126" s="22" t="s">
        <v>8611</v>
      </c>
      <c r="H126" s="22" t="s">
        <v>8612</v>
      </c>
      <c r="K126" s="4"/>
      <c r="N126" s="4" t="s">
        <v>219</v>
      </c>
      <c r="O126" s="4">
        <v>263</v>
      </c>
    </row>
    <row r="127" spans="1:15" ht="15.75" customHeight="1">
      <c r="A127" s="4" t="s">
        <v>6029</v>
      </c>
      <c r="B127" s="4" t="s">
        <v>6030</v>
      </c>
      <c r="C127" s="19" t="s">
        <v>8613</v>
      </c>
      <c r="D127" s="4"/>
      <c r="E127" s="2" t="s">
        <v>7911</v>
      </c>
      <c r="F127" s="2" t="s">
        <v>7914</v>
      </c>
      <c r="G127" s="22" t="s">
        <v>8614</v>
      </c>
      <c r="H127" s="22" t="s">
        <v>8615</v>
      </c>
      <c r="K127" s="4"/>
      <c r="N127" s="4" t="s">
        <v>219</v>
      </c>
      <c r="O127" s="4">
        <v>263</v>
      </c>
    </row>
    <row r="128" spans="1:15" ht="15.75" customHeight="1">
      <c r="A128" s="4" t="s">
        <v>6658</v>
      </c>
      <c r="B128" s="4" t="s">
        <v>6659</v>
      </c>
      <c r="C128" s="19" t="s">
        <v>8616</v>
      </c>
      <c r="D128" s="4"/>
      <c r="E128" s="2" t="s">
        <v>7915</v>
      </c>
      <c r="F128" s="2" t="s">
        <v>7913</v>
      </c>
      <c r="G128" s="22" t="s">
        <v>8617</v>
      </c>
      <c r="H128" s="22" t="s">
        <v>8618</v>
      </c>
      <c r="K128" s="4"/>
      <c r="N128" s="4" t="s">
        <v>222</v>
      </c>
      <c r="O128" s="4">
        <v>106</v>
      </c>
    </row>
    <row r="129" spans="1:15" ht="15.75" customHeight="1">
      <c r="A129" s="4" t="s">
        <v>6658</v>
      </c>
      <c r="B129" s="4" t="s">
        <v>6659</v>
      </c>
      <c r="C129" s="19" t="s">
        <v>8619</v>
      </c>
      <c r="D129" s="4"/>
      <c r="E129" s="2" t="s">
        <v>7915</v>
      </c>
      <c r="F129" s="2" t="s">
        <v>7916</v>
      </c>
      <c r="G129" s="22" t="s">
        <v>8620</v>
      </c>
      <c r="H129" s="22" t="s">
        <v>8621</v>
      </c>
      <c r="K129" s="4"/>
      <c r="N129" s="4" t="s">
        <v>222</v>
      </c>
      <c r="O129" s="4">
        <v>106</v>
      </c>
    </row>
    <row r="130" spans="1:15" ht="15.75" customHeight="1">
      <c r="A130" s="4" t="s">
        <v>6658</v>
      </c>
      <c r="B130" s="4" t="s">
        <v>6659</v>
      </c>
      <c r="C130" s="19" t="s">
        <v>8622</v>
      </c>
      <c r="D130" s="4"/>
      <c r="E130" s="2" t="s">
        <v>7915</v>
      </c>
      <c r="F130" s="2" t="s">
        <v>7917</v>
      </c>
      <c r="G130" s="22" t="s">
        <v>8623</v>
      </c>
      <c r="H130" s="22" t="s">
        <v>8624</v>
      </c>
      <c r="K130" s="4"/>
      <c r="N130" s="4" t="s">
        <v>222</v>
      </c>
      <c r="O130" s="4">
        <v>106</v>
      </c>
    </row>
    <row r="131" spans="1:15" ht="15.75" customHeight="1">
      <c r="A131" s="4" t="s">
        <v>4643</v>
      </c>
      <c r="B131" s="4" t="s">
        <v>4644</v>
      </c>
      <c r="C131" s="20" t="s">
        <v>7918</v>
      </c>
      <c r="D131" s="18"/>
      <c r="E131" s="2" t="s">
        <v>7919</v>
      </c>
      <c r="F131" s="2" t="s">
        <v>7920</v>
      </c>
      <c r="G131" s="22" t="s">
        <v>8625</v>
      </c>
      <c r="H131" s="22" t="s">
        <v>8626</v>
      </c>
      <c r="I131" s="4"/>
      <c r="K131" s="4"/>
      <c r="N131" s="4" t="s">
        <v>225</v>
      </c>
      <c r="O131" s="4">
        <v>751</v>
      </c>
    </row>
    <row r="132" spans="1:15" ht="15.75" customHeight="1">
      <c r="A132" s="4" t="s">
        <v>4643</v>
      </c>
      <c r="B132" s="4" t="s">
        <v>4644</v>
      </c>
      <c r="C132" s="20" t="s">
        <v>7918</v>
      </c>
      <c r="D132" s="18"/>
      <c r="E132" s="2" t="s">
        <v>7919</v>
      </c>
      <c r="F132" s="2" t="s">
        <v>7921</v>
      </c>
      <c r="G132" s="22" t="s">
        <v>8627</v>
      </c>
      <c r="H132" s="22" t="s">
        <v>8628</v>
      </c>
      <c r="I132" s="4"/>
      <c r="K132" s="4"/>
      <c r="N132" s="4" t="s">
        <v>225</v>
      </c>
      <c r="O132" s="4">
        <v>751</v>
      </c>
    </row>
    <row r="133" spans="1:15" ht="15.75" customHeight="1">
      <c r="A133" s="4" t="s">
        <v>4643</v>
      </c>
      <c r="B133" s="4" t="s">
        <v>4644</v>
      </c>
      <c r="C133" s="20" t="s">
        <v>7918</v>
      </c>
      <c r="D133" s="18"/>
      <c r="E133" s="2" t="s">
        <v>7919</v>
      </c>
      <c r="F133" s="2" t="s">
        <v>7922</v>
      </c>
      <c r="G133" s="4" t="s">
        <v>7923</v>
      </c>
      <c r="H133" s="22" t="s">
        <v>8629</v>
      </c>
      <c r="I133" s="4"/>
      <c r="K133" s="4"/>
      <c r="N133" s="4" t="s">
        <v>225</v>
      </c>
      <c r="O133" s="4">
        <v>751</v>
      </c>
    </row>
    <row r="134" spans="1:15" ht="15.75" customHeight="1">
      <c r="A134" s="4" t="s">
        <v>4643</v>
      </c>
      <c r="B134" s="4" t="s">
        <v>4644</v>
      </c>
      <c r="C134" s="20" t="s">
        <v>7918</v>
      </c>
      <c r="D134" s="18"/>
      <c r="E134" s="2" t="s">
        <v>7919</v>
      </c>
      <c r="F134" s="2" t="s">
        <v>7924</v>
      </c>
      <c r="G134" s="22" t="s">
        <v>8630</v>
      </c>
      <c r="H134" s="22" t="s">
        <v>8631</v>
      </c>
      <c r="I134" s="4"/>
      <c r="K134" s="4"/>
      <c r="N134" s="4" t="s">
        <v>225</v>
      </c>
      <c r="O134" s="4">
        <v>751</v>
      </c>
    </row>
    <row r="135" spans="1:15" ht="15.75" customHeight="1">
      <c r="A135" s="4" t="s">
        <v>2486</v>
      </c>
      <c r="B135" s="4" t="s">
        <v>2487</v>
      </c>
      <c r="C135" s="19" t="s">
        <v>8632</v>
      </c>
      <c r="D135" s="4"/>
      <c r="E135" s="2" t="s">
        <v>7925</v>
      </c>
      <c r="F135" s="2" t="s">
        <v>7926</v>
      </c>
      <c r="G135" s="21" t="s">
        <v>8633</v>
      </c>
      <c r="H135" s="22" t="s">
        <v>8634</v>
      </c>
      <c r="K135" s="4"/>
      <c r="N135" s="4" t="s">
        <v>233</v>
      </c>
      <c r="O135" s="4">
        <v>383</v>
      </c>
    </row>
    <row r="136" spans="1:15" ht="15.75" customHeight="1">
      <c r="A136" s="4" t="s">
        <v>2486</v>
      </c>
      <c r="B136" s="4" t="s">
        <v>2487</v>
      </c>
      <c r="C136" s="19" t="s">
        <v>8635</v>
      </c>
      <c r="D136" s="4"/>
      <c r="E136" s="2" t="s">
        <v>7925</v>
      </c>
      <c r="F136" s="2" t="s">
        <v>7927</v>
      </c>
      <c r="G136" s="22" t="s">
        <v>8636</v>
      </c>
      <c r="H136" s="22" t="s">
        <v>8637</v>
      </c>
      <c r="K136" s="4"/>
      <c r="N136" s="4" t="s">
        <v>233</v>
      </c>
      <c r="O136" s="4">
        <v>383</v>
      </c>
    </row>
    <row r="137" spans="1:15" ht="15.75" customHeight="1">
      <c r="A137" s="4" t="s">
        <v>2486</v>
      </c>
      <c r="B137" s="4" t="s">
        <v>2487</v>
      </c>
      <c r="C137" s="19" t="s">
        <v>8638</v>
      </c>
      <c r="D137" s="4"/>
      <c r="E137" s="2" t="s">
        <v>7925</v>
      </c>
      <c r="F137" s="2" t="s">
        <v>7928</v>
      </c>
      <c r="G137" s="22" t="s">
        <v>8639</v>
      </c>
      <c r="H137" s="22" t="s">
        <v>8640</v>
      </c>
      <c r="K137" s="4"/>
      <c r="N137" s="4" t="s">
        <v>233</v>
      </c>
      <c r="O137" s="4">
        <v>383</v>
      </c>
    </row>
    <row r="138" spans="1:15" ht="15.75" customHeight="1">
      <c r="A138" s="4" t="s">
        <v>2486</v>
      </c>
      <c r="B138" s="4" t="s">
        <v>2487</v>
      </c>
      <c r="C138" s="19" t="s">
        <v>8641</v>
      </c>
      <c r="D138" s="4"/>
      <c r="E138" s="2" t="s">
        <v>7925</v>
      </c>
      <c r="F138" s="2" t="s">
        <v>7929</v>
      </c>
      <c r="G138" s="22" t="s">
        <v>8642</v>
      </c>
      <c r="H138" s="22" t="s">
        <v>8643</v>
      </c>
      <c r="K138" s="4"/>
      <c r="N138" s="4" t="s">
        <v>233</v>
      </c>
      <c r="O138" s="4">
        <v>383</v>
      </c>
    </row>
    <row r="139" spans="1:15" ht="15.75" customHeight="1">
      <c r="A139" s="4" t="s">
        <v>6626</v>
      </c>
      <c r="B139" s="4" t="s">
        <v>6627</v>
      </c>
      <c r="C139" s="19" t="s">
        <v>8644</v>
      </c>
      <c r="D139" s="4"/>
      <c r="E139" s="2" t="s">
        <v>7930</v>
      </c>
      <c r="F139" s="2" t="s">
        <v>7931</v>
      </c>
      <c r="G139" s="4" t="s">
        <v>7932</v>
      </c>
      <c r="H139" s="22" t="s">
        <v>8645</v>
      </c>
      <c r="I139" s="4"/>
      <c r="K139" s="4"/>
      <c r="N139" s="4" t="s">
        <v>236</v>
      </c>
      <c r="O139" s="4">
        <v>98</v>
      </c>
    </row>
    <row r="140" spans="1:15" ht="15.75" customHeight="1">
      <c r="A140" s="4" t="s">
        <v>6626</v>
      </c>
      <c r="B140" s="4" t="s">
        <v>6627</v>
      </c>
      <c r="C140" s="19" t="s">
        <v>8646</v>
      </c>
      <c r="D140" s="4"/>
      <c r="E140" s="2" t="s">
        <v>7930</v>
      </c>
      <c r="F140" s="2" t="s">
        <v>7933</v>
      </c>
      <c r="G140" s="22" t="s">
        <v>8647</v>
      </c>
      <c r="H140" s="22" t="s">
        <v>8648</v>
      </c>
      <c r="I140" s="4"/>
      <c r="K140" s="4"/>
      <c r="N140" s="4" t="s">
        <v>236</v>
      </c>
      <c r="O140" s="4">
        <v>98</v>
      </c>
    </row>
    <row r="141" spans="1:15" ht="15.75" customHeight="1">
      <c r="A141" s="4" t="s">
        <v>1214</v>
      </c>
      <c r="B141" s="4" t="s">
        <v>1215</v>
      </c>
      <c r="C141" s="19" t="s">
        <v>8649</v>
      </c>
      <c r="D141" s="4"/>
      <c r="E141" s="2" t="s">
        <v>7934</v>
      </c>
      <c r="F141" s="2" t="s">
        <v>7935</v>
      </c>
      <c r="G141" s="22" t="s">
        <v>8650</v>
      </c>
      <c r="H141" s="22" t="s">
        <v>8651</v>
      </c>
      <c r="I141" s="4"/>
      <c r="K141" s="4"/>
      <c r="N141" s="4" t="s">
        <v>240</v>
      </c>
      <c r="O141" s="4">
        <v>484</v>
      </c>
    </row>
    <row r="142" spans="1:15" ht="15.75" customHeight="1">
      <c r="A142" s="4" t="s">
        <v>1214</v>
      </c>
      <c r="B142" s="4" t="s">
        <v>1215</v>
      </c>
      <c r="C142" s="19" t="s">
        <v>8652</v>
      </c>
      <c r="D142" s="4"/>
      <c r="E142" s="2" t="s">
        <v>7934</v>
      </c>
      <c r="F142" s="2" t="s">
        <v>7936</v>
      </c>
      <c r="G142" s="22" t="s">
        <v>8653</v>
      </c>
      <c r="H142" s="22" t="s">
        <v>8654</v>
      </c>
      <c r="I142" s="4"/>
      <c r="K142" s="4"/>
      <c r="N142" s="4" t="s">
        <v>240</v>
      </c>
      <c r="O142" s="4">
        <v>484</v>
      </c>
    </row>
    <row r="143" spans="1:15" ht="15.75" customHeight="1">
      <c r="A143" s="4" t="s">
        <v>1214</v>
      </c>
      <c r="B143" s="4" t="s">
        <v>1215</v>
      </c>
      <c r="C143" s="19" t="s">
        <v>8655</v>
      </c>
      <c r="D143" s="4"/>
      <c r="E143" s="2" t="s">
        <v>7934</v>
      </c>
      <c r="F143" s="2" t="s">
        <v>7937</v>
      </c>
      <c r="G143" s="22" t="s">
        <v>8656</v>
      </c>
      <c r="H143" s="22" t="s">
        <v>8657</v>
      </c>
      <c r="I143" s="4"/>
      <c r="K143" s="4"/>
      <c r="N143" s="4" t="s">
        <v>240</v>
      </c>
      <c r="O143" s="4">
        <v>484</v>
      </c>
    </row>
    <row r="144" spans="1:15" ht="15.75" customHeight="1">
      <c r="A144" s="4" t="s">
        <v>1214</v>
      </c>
      <c r="B144" s="4" t="s">
        <v>1215</v>
      </c>
      <c r="C144" s="19" t="s">
        <v>8658</v>
      </c>
      <c r="D144" s="4"/>
      <c r="E144" s="2" t="s">
        <v>7934</v>
      </c>
      <c r="F144" s="2" t="s">
        <v>7938</v>
      </c>
      <c r="G144" s="22" t="s">
        <v>8659</v>
      </c>
      <c r="H144" s="22" t="s">
        <v>8660</v>
      </c>
      <c r="I144" s="4"/>
      <c r="K144" s="4"/>
      <c r="N144" s="4" t="s">
        <v>240</v>
      </c>
      <c r="O144" s="4">
        <v>484</v>
      </c>
    </row>
    <row r="145" spans="1:15" ht="15.75" customHeight="1">
      <c r="A145" s="4" t="s">
        <v>1214</v>
      </c>
      <c r="B145" s="4" t="s">
        <v>1215</v>
      </c>
      <c r="C145" s="19" t="s">
        <v>8661</v>
      </c>
      <c r="D145" s="4"/>
      <c r="E145" s="2" t="s">
        <v>7934</v>
      </c>
      <c r="F145" s="2" t="s">
        <v>7939</v>
      </c>
      <c r="G145" s="22" t="s">
        <v>8662</v>
      </c>
      <c r="H145" s="22" t="s">
        <v>8663</v>
      </c>
      <c r="I145" s="4"/>
      <c r="K145" s="4"/>
      <c r="N145" s="4" t="s">
        <v>240</v>
      </c>
      <c r="O145" s="4">
        <v>484</v>
      </c>
    </row>
    <row r="146" spans="1:15" ht="15.75" customHeight="1">
      <c r="A146" s="4" t="s">
        <v>1214</v>
      </c>
      <c r="B146" s="4" t="s">
        <v>1215</v>
      </c>
      <c r="C146" s="19" t="s">
        <v>8664</v>
      </c>
      <c r="D146" s="4"/>
      <c r="E146" s="2" t="s">
        <v>7934</v>
      </c>
      <c r="F146" s="2" t="s">
        <v>7940</v>
      </c>
      <c r="G146" s="22" t="s">
        <v>8665</v>
      </c>
      <c r="H146" s="22" t="s">
        <v>8666</v>
      </c>
      <c r="I146" s="4"/>
      <c r="K146" s="4"/>
      <c r="N146" s="4" t="s">
        <v>240</v>
      </c>
      <c r="O146" s="4">
        <v>484</v>
      </c>
    </row>
    <row r="147" spans="1:15" ht="15.75" customHeight="1">
      <c r="A147" s="4" t="s">
        <v>1214</v>
      </c>
      <c r="B147" s="4" t="s">
        <v>1215</v>
      </c>
      <c r="C147" s="19" t="s">
        <v>8667</v>
      </c>
      <c r="D147" s="4"/>
      <c r="E147" s="2" t="s">
        <v>7934</v>
      </c>
      <c r="F147" s="2" t="s">
        <v>7941</v>
      </c>
      <c r="G147" s="22" t="s">
        <v>8668</v>
      </c>
      <c r="H147" s="22" t="s">
        <v>8669</v>
      </c>
      <c r="I147" s="4"/>
      <c r="K147" s="4"/>
      <c r="N147" s="4" t="s">
        <v>240</v>
      </c>
      <c r="O147" s="4">
        <v>484</v>
      </c>
    </row>
    <row r="148" spans="1:15" ht="15.75" customHeight="1">
      <c r="A148" s="4" t="s">
        <v>1984</v>
      </c>
      <c r="B148" s="4" t="s">
        <v>1985</v>
      </c>
      <c r="C148" s="19" t="s">
        <v>8670</v>
      </c>
      <c r="D148" s="20"/>
      <c r="E148" s="2" t="s">
        <v>7942</v>
      </c>
      <c r="F148" s="2" t="s">
        <v>7943</v>
      </c>
      <c r="G148" s="22" t="s">
        <v>8671</v>
      </c>
      <c r="H148" s="22" t="s">
        <v>8672</v>
      </c>
      <c r="I148" s="4"/>
      <c r="K148" s="4"/>
      <c r="N148" s="4" t="s">
        <v>244</v>
      </c>
      <c r="O148" s="4">
        <v>476</v>
      </c>
    </row>
    <row r="149" spans="1:15" ht="15.75" customHeight="1">
      <c r="A149" s="4" t="s">
        <v>7406</v>
      </c>
      <c r="B149" s="4" t="s">
        <v>7407</v>
      </c>
      <c r="C149" s="19" t="s">
        <v>8673</v>
      </c>
      <c r="D149" s="4"/>
      <c r="E149" s="2" t="s">
        <v>7944</v>
      </c>
      <c r="F149" s="2" t="s">
        <v>7945</v>
      </c>
      <c r="G149" s="22" t="s">
        <v>8674</v>
      </c>
      <c r="H149" s="22" t="s">
        <v>8675</v>
      </c>
      <c r="K149" s="4"/>
      <c r="N149" s="4" t="s">
        <v>255</v>
      </c>
      <c r="O149" s="4">
        <v>403</v>
      </c>
    </row>
    <row r="150" spans="1:15" ht="15.75" customHeight="1">
      <c r="A150" s="4" t="s">
        <v>997</v>
      </c>
      <c r="B150" s="4" t="s">
        <v>998</v>
      </c>
      <c r="C150" s="18" t="s">
        <v>7946</v>
      </c>
      <c r="D150" s="4"/>
      <c r="E150" s="2" t="s">
        <v>7947</v>
      </c>
      <c r="F150" s="2" t="s">
        <v>7948</v>
      </c>
      <c r="G150" s="22" t="s">
        <v>8676</v>
      </c>
      <c r="H150" s="22" t="s">
        <v>8677</v>
      </c>
      <c r="K150" s="4"/>
      <c r="N150" s="4" t="s">
        <v>59</v>
      </c>
      <c r="O150" s="4">
        <v>278</v>
      </c>
    </row>
    <row r="151" spans="1:15" ht="15.75" customHeight="1">
      <c r="A151" s="4" t="s">
        <v>997</v>
      </c>
      <c r="B151" s="4" t="s">
        <v>998</v>
      </c>
      <c r="C151" s="18" t="s">
        <v>7946</v>
      </c>
      <c r="D151" s="4"/>
      <c r="E151" s="2" t="s">
        <v>7947</v>
      </c>
      <c r="F151" s="2" t="s">
        <v>7949</v>
      </c>
      <c r="G151" s="22" t="s">
        <v>8678</v>
      </c>
      <c r="H151" s="22" t="s">
        <v>8679</v>
      </c>
      <c r="K151" s="4"/>
      <c r="N151" s="4" t="s">
        <v>59</v>
      </c>
      <c r="O151" s="4">
        <v>278</v>
      </c>
    </row>
    <row r="152" spans="1:15" ht="15.75" customHeight="1">
      <c r="A152" s="4" t="s">
        <v>997</v>
      </c>
      <c r="B152" s="4" t="s">
        <v>998</v>
      </c>
      <c r="C152" s="18" t="s">
        <v>7946</v>
      </c>
      <c r="D152" s="4"/>
      <c r="E152" s="2" t="s">
        <v>7947</v>
      </c>
      <c r="F152" s="2" t="s">
        <v>7950</v>
      </c>
      <c r="G152" s="22" t="s">
        <v>8680</v>
      </c>
      <c r="H152" s="22" t="s">
        <v>8681</v>
      </c>
      <c r="K152" s="4"/>
      <c r="N152" s="4" t="s">
        <v>59</v>
      </c>
      <c r="O152" s="4">
        <v>278</v>
      </c>
    </row>
    <row r="153" spans="1:15" ht="15.75" customHeight="1">
      <c r="A153" s="4" t="s">
        <v>997</v>
      </c>
      <c r="B153" s="4" t="s">
        <v>998</v>
      </c>
      <c r="C153" s="18" t="s">
        <v>7946</v>
      </c>
      <c r="D153" s="4"/>
      <c r="E153" s="2" t="s">
        <v>7947</v>
      </c>
      <c r="F153" s="2" t="s">
        <v>7951</v>
      </c>
      <c r="G153" s="22" t="s">
        <v>8682</v>
      </c>
      <c r="H153" s="22" t="s">
        <v>8683</v>
      </c>
      <c r="K153" s="4"/>
      <c r="N153" s="4" t="s">
        <v>59</v>
      </c>
      <c r="O153" s="4">
        <v>278</v>
      </c>
    </row>
    <row r="154" spans="1:15" ht="15.75" customHeight="1">
      <c r="A154" s="4" t="s">
        <v>1394</v>
      </c>
      <c r="B154" s="4" t="s">
        <v>1395</v>
      </c>
      <c r="C154" s="19" t="s">
        <v>8684</v>
      </c>
      <c r="D154" s="4"/>
      <c r="E154" s="2" t="s">
        <v>7947</v>
      </c>
      <c r="F154" s="2" t="s">
        <v>7948</v>
      </c>
      <c r="G154" s="22" t="s">
        <v>8685</v>
      </c>
      <c r="H154" s="22" t="s">
        <v>8686</v>
      </c>
      <c r="K154" s="4"/>
      <c r="N154" s="4" t="s">
        <v>260</v>
      </c>
      <c r="O154" s="4">
        <v>291</v>
      </c>
    </row>
    <row r="155" spans="1:15" ht="15.75" customHeight="1">
      <c r="A155" s="4" t="s">
        <v>1394</v>
      </c>
      <c r="B155" s="4" t="s">
        <v>1395</v>
      </c>
      <c r="C155" s="19" t="s">
        <v>8687</v>
      </c>
      <c r="D155" s="4"/>
      <c r="E155" s="2" t="s">
        <v>7947</v>
      </c>
      <c r="F155" s="2" t="s">
        <v>7949</v>
      </c>
      <c r="G155" s="22" t="s">
        <v>8688</v>
      </c>
      <c r="H155" s="22" t="s">
        <v>8689</v>
      </c>
      <c r="K155" s="4"/>
      <c r="N155" s="4" t="s">
        <v>260</v>
      </c>
      <c r="O155" s="4">
        <v>291</v>
      </c>
    </row>
    <row r="156" spans="1:15" ht="15.75" customHeight="1">
      <c r="A156" s="4" t="s">
        <v>1394</v>
      </c>
      <c r="B156" s="4" t="s">
        <v>1395</v>
      </c>
      <c r="C156" s="19" t="s">
        <v>8690</v>
      </c>
      <c r="D156" s="4"/>
      <c r="E156" s="2" t="s">
        <v>7947</v>
      </c>
      <c r="F156" s="2" t="s">
        <v>7950</v>
      </c>
      <c r="G156" s="22" t="s">
        <v>8691</v>
      </c>
      <c r="H156" s="22" t="s">
        <v>8692</v>
      </c>
      <c r="K156" s="4"/>
      <c r="N156" s="4" t="s">
        <v>260</v>
      </c>
      <c r="O156" s="4">
        <v>291</v>
      </c>
    </row>
    <row r="157" spans="1:15" ht="15.75" customHeight="1">
      <c r="A157" s="4" t="s">
        <v>1394</v>
      </c>
      <c r="B157" s="4" t="s">
        <v>1395</v>
      </c>
      <c r="C157" s="19" t="s">
        <v>8693</v>
      </c>
      <c r="D157" s="4"/>
      <c r="E157" s="2" t="s">
        <v>7947</v>
      </c>
      <c r="F157" s="2" t="s">
        <v>7951</v>
      </c>
      <c r="G157" s="22" t="s">
        <v>8694</v>
      </c>
      <c r="H157" s="22" t="s">
        <v>8695</v>
      </c>
      <c r="K157" s="4"/>
      <c r="N157" s="4" t="s">
        <v>260</v>
      </c>
      <c r="O157" s="4">
        <v>291</v>
      </c>
    </row>
    <row r="158" spans="1:15" ht="15.75" customHeight="1">
      <c r="A158" s="4" t="s">
        <v>7527</v>
      </c>
      <c r="B158" s="4" t="s">
        <v>7528</v>
      </c>
      <c r="C158" s="19" t="s">
        <v>8696</v>
      </c>
      <c r="D158" s="4"/>
      <c r="E158" s="2" t="s">
        <v>7952</v>
      </c>
      <c r="F158" s="2" t="s">
        <v>7953</v>
      </c>
      <c r="G158" s="22" t="s">
        <v>8697</v>
      </c>
      <c r="H158" s="22" t="s">
        <v>8698</v>
      </c>
      <c r="K158" s="4"/>
      <c r="N158" s="4" t="s">
        <v>263</v>
      </c>
      <c r="O158" s="4">
        <v>634</v>
      </c>
    </row>
    <row r="159" spans="1:15" ht="15.75" customHeight="1">
      <c r="A159" s="4" t="s">
        <v>7527</v>
      </c>
      <c r="B159" s="4" t="s">
        <v>7528</v>
      </c>
      <c r="C159" s="19" t="s">
        <v>8699</v>
      </c>
      <c r="D159" s="4"/>
      <c r="E159" s="2" t="s">
        <v>7952</v>
      </c>
      <c r="F159" s="2" t="s">
        <v>7953</v>
      </c>
      <c r="G159" s="22" t="s">
        <v>8700</v>
      </c>
      <c r="H159" s="22" t="s">
        <v>8701</v>
      </c>
      <c r="K159" s="4"/>
      <c r="N159" s="4" t="s">
        <v>263</v>
      </c>
      <c r="O159" s="4">
        <v>634</v>
      </c>
    </row>
    <row r="160" spans="1:15" ht="15.75" customHeight="1">
      <c r="A160" s="4" t="s">
        <v>7527</v>
      </c>
      <c r="B160" s="4" t="s">
        <v>7528</v>
      </c>
      <c r="C160" s="19" t="s">
        <v>8702</v>
      </c>
      <c r="D160" s="4"/>
      <c r="E160" s="2" t="s">
        <v>7952</v>
      </c>
      <c r="F160" s="2" t="s">
        <v>7953</v>
      </c>
      <c r="G160" s="22" t="s">
        <v>8703</v>
      </c>
      <c r="H160" s="22" t="s">
        <v>8704</v>
      </c>
      <c r="K160" s="4"/>
      <c r="N160" s="4" t="s">
        <v>263</v>
      </c>
      <c r="O160" s="4">
        <v>634</v>
      </c>
    </row>
    <row r="161" spans="1:15" ht="15.75" customHeight="1">
      <c r="A161" s="4" t="s">
        <v>7527</v>
      </c>
      <c r="B161" s="4" t="s">
        <v>7528</v>
      </c>
      <c r="C161" s="19" t="s">
        <v>8705</v>
      </c>
      <c r="D161" s="4"/>
      <c r="E161" s="2" t="s">
        <v>7952</v>
      </c>
      <c r="F161" s="2" t="s">
        <v>7953</v>
      </c>
      <c r="G161" s="22" t="s">
        <v>8706</v>
      </c>
      <c r="H161" s="22" t="s">
        <v>8707</v>
      </c>
      <c r="K161" s="4"/>
      <c r="N161" s="4" t="s">
        <v>263</v>
      </c>
      <c r="O161" s="4">
        <v>634</v>
      </c>
    </row>
    <row r="162" spans="1:15" ht="15.75" customHeight="1">
      <c r="A162" s="4" t="s">
        <v>661</v>
      </c>
      <c r="B162" s="4" t="s">
        <v>662</v>
      </c>
      <c r="C162" s="19" t="s">
        <v>8708</v>
      </c>
      <c r="D162" s="4"/>
      <c r="E162" s="2" t="s">
        <v>7954</v>
      </c>
      <c r="F162" s="2" t="s">
        <v>7955</v>
      </c>
      <c r="G162" s="22" t="s">
        <v>8709</v>
      </c>
      <c r="H162" s="22" t="s">
        <v>8710</v>
      </c>
      <c r="K162" s="4"/>
      <c r="N162" s="4" t="s">
        <v>255</v>
      </c>
      <c r="O162" s="4">
        <v>474</v>
      </c>
    </row>
    <row r="163" spans="1:15" ht="15.75" customHeight="1">
      <c r="A163" s="4" t="s">
        <v>661</v>
      </c>
      <c r="B163" s="4" t="s">
        <v>662</v>
      </c>
      <c r="C163" s="19" t="s">
        <v>8711</v>
      </c>
      <c r="D163" s="4"/>
      <c r="E163" s="2" t="s">
        <v>7954</v>
      </c>
      <c r="F163" s="2" t="s">
        <v>7956</v>
      </c>
      <c r="G163" s="22" t="s">
        <v>8712</v>
      </c>
      <c r="H163" s="22" t="s">
        <v>8713</v>
      </c>
      <c r="K163" s="4"/>
      <c r="N163" s="4" t="s">
        <v>255</v>
      </c>
      <c r="O163" s="4">
        <v>474</v>
      </c>
    </row>
    <row r="164" spans="1:15" ht="15.75" customHeight="1">
      <c r="A164" s="4" t="s">
        <v>1226</v>
      </c>
      <c r="B164" s="4" t="s">
        <v>1227</v>
      </c>
      <c r="C164" s="19" t="s">
        <v>8714</v>
      </c>
      <c r="D164" s="4"/>
      <c r="E164" s="2" t="s">
        <v>7954</v>
      </c>
      <c r="F164" s="2" t="s">
        <v>7955</v>
      </c>
      <c r="G164" s="22" t="s">
        <v>8715</v>
      </c>
      <c r="H164" s="22" t="s">
        <v>8716</v>
      </c>
      <c r="K164" s="4"/>
      <c r="N164" s="4" t="s">
        <v>51</v>
      </c>
      <c r="O164" s="4">
        <v>150</v>
      </c>
    </row>
    <row r="165" spans="1:15" ht="15.75" customHeight="1">
      <c r="A165" s="4" t="s">
        <v>1226</v>
      </c>
      <c r="B165" s="4" t="s">
        <v>1227</v>
      </c>
      <c r="C165" s="19" t="s">
        <v>8717</v>
      </c>
      <c r="D165" s="4"/>
      <c r="E165" s="2" t="s">
        <v>7954</v>
      </c>
      <c r="F165" s="2" t="s">
        <v>7956</v>
      </c>
      <c r="G165" s="22" t="s">
        <v>8718</v>
      </c>
      <c r="H165" s="22" t="s">
        <v>8719</v>
      </c>
      <c r="K165" s="4"/>
      <c r="N165" s="4" t="s">
        <v>51</v>
      </c>
      <c r="O165" s="4">
        <v>150</v>
      </c>
    </row>
    <row r="166" spans="1:15" ht="15.75" customHeight="1">
      <c r="A166" s="4" t="s">
        <v>1624</v>
      </c>
      <c r="B166" s="4" t="s">
        <v>1625</v>
      </c>
      <c r="C166" s="19" t="s">
        <v>8720</v>
      </c>
      <c r="D166" s="4"/>
      <c r="E166" s="2" t="s">
        <v>7957</v>
      </c>
      <c r="F166" s="2" t="s">
        <v>7958</v>
      </c>
      <c r="G166" s="22" t="s">
        <v>8721</v>
      </c>
      <c r="H166" s="22" t="s">
        <v>8722</v>
      </c>
      <c r="K166" s="4"/>
      <c r="N166" s="4" t="s">
        <v>270</v>
      </c>
      <c r="O166" s="4">
        <v>290</v>
      </c>
    </row>
    <row r="167" spans="1:15" ht="15.75" customHeight="1">
      <c r="A167" s="4" t="s">
        <v>1299</v>
      </c>
      <c r="B167" s="4" t="s">
        <v>1300</v>
      </c>
      <c r="C167" s="19" t="s">
        <v>8723</v>
      </c>
      <c r="D167" s="4"/>
      <c r="E167" s="2" t="s">
        <v>7959</v>
      </c>
      <c r="F167" s="2" t="s">
        <v>7960</v>
      </c>
      <c r="G167" s="22" t="s">
        <v>8724</v>
      </c>
      <c r="H167" s="22" t="s">
        <v>8725</v>
      </c>
      <c r="K167" s="4"/>
      <c r="N167" s="4" t="s">
        <v>273</v>
      </c>
      <c r="O167" s="4">
        <v>308</v>
      </c>
    </row>
    <row r="168" spans="1:15" ht="15.75" customHeight="1">
      <c r="A168" s="4" t="s">
        <v>6628</v>
      </c>
      <c r="B168" s="4" t="s">
        <v>6629</v>
      </c>
      <c r="C168" s="19" t="s">
        <v>8726</v>
      </c>
      <c r="D168" s="4"/>
      <c r="E168" s="2" t="s">
        <v>7961</v>
      </c>
      <c r="F168" s="2" t="s">
        <v>7962</v>
      </c>
      <c r="G168" s="22" t="s">
        <v>8727</v>
      </c>
      <c r="H168" s="22" t="s">
        <v>8728</v>
      </c>
      <c r="K168" s="4"/>
      <c r="N168" s="4" t="s">
        <v>56</v>
      </c>
      <c r="O168" s="4">
        <v>240</v>
      </c>
    </row>
    <row r="169" spans="1:15" ht="15.75" customHeight="1">
      <c r="A169" s="4" t="s">
        <v>6628</v>
      </c>
      <c r="B169" s="4" t="s">
        <v>6629</v>
      </c>
      <c r="C169" s="19" t="s">
        <v>8729</v>
      </c>
      <c r="D169" s="4"/>
      <c r="E169" s="2" t="s">
        <v>7961</v>
      </c>
      <c r="F169" s="2" t="s">
        <v>7963</v>
      </c>
      <c r="G169" s="22" t="s">
        <v>8730</v>
      </c>
      <c r="H169" s="22" t="s">
        <v>8731</v>
      </c>
      <c r="K169" s="4"/>
      <c r="N169" s="4" t="s">
        <v>56</v>
      </c>
      <c r="O169" s="4">
        <v>240</v>
      </c>
    </row>
    <row r="170" spans="1:15" ht="15.75" customHeight="1">
      <c r="A170" s="4" t="s">
        <v>4610</v>
      </c>
      <c r="B170" s="4" t="s">
        <v>4611</v>
      </c>
      <c r="C170" s="19" t="s">
        <v>8732</v>
      </c>
      <c r="D170" s="4"/>
      <c r="E170" s="2" t="s">
        <v>7964</v>
      </c>
      <c r="F170" s="4"/>
      <c r="G170" s="25" t="s">
        <v>7965</v>
      </c>
      <c r="H170" s="25" t="s">
        <v>7966</v>
      </c>
      <c r="I170" s="4"/>
      <c r="K170" s="4"/>
      <c r="N170" s="4" t="s">
        <v>306</v>
      </c>
      <c r="O170" s="4">
        <v>592</v>
      </c>
    </row>
    <row r="171" spans="1:15" ht="15.75" customHeight="1">
      <c r="A171" s="4" t="s">
        <v>1022</v>
      </c>
      <c r="B171" s="4" t="s">
        <v>1023</v>
      </c>
      <c r="C171" s="19" t="s">
        <v>8733</v>
      </c>
      <c r="D171" s="4"/>
      <c r="E171" s="2" t="s">
        <v>7967</v>
      </c>
      <c r="F171" s="2" t="s">
        <v>7968</v>
      </c>
      <c r="G171" s="22" t="s">
        <v>8734</v>
      </c>
      <c r="H171" s="22" t="s">
        <v>8735</v>
      </c>
      <c r="K171" s="4"/>
      <c r="N171" s="4" t="s">
        <v>310</v>
      </c>
      <c r="O171" s="4">
        <v>411</v>
      </c>
    </row>
    <row r="172" spans="1:15" ht="15.75" customHeight="1">
      <c r="A172" s="4" t="s">
        <v>3505</v>
      </c>
      <c r="B172" s="4" t="s">
        <v>3506</v>
      </c>
      <c r="C172" s="19" t="s">
        <v>8736</v>
      </c>
      <c r="D172" s="20"/>
      <c r="E172" s="2" t="s">
        <v>7969</v>
      </c>
      <c r="F172" s="2" t="s">
        <v>7968</v>
      </c>
      <c r="G172" s="22" t="s">
        <v>8737</v>
      </c>
      <c r="H172" s="22" t="s">
        <v>8738</v>
      </c>
      <c r="K172" s="4"/>
      <c r="N172" s="4" t="s">
        <v>111</v>
      </c>
      <c r="O172" s="4">
        <v>202</v>
      </c>
    </row>
    <row r="173" spans="1:15" ht="15.75" customHeight="1">
      <c r="A173" s="4" t="s">
        <v>3505</v>
      </c>
      <c r="B173" s="4" t="s">
        <v>3506</v>
      </c>
      <c r="C173" s="20" t="s">
        <v>7970</v>
      </c>
      <c r="D173" s="20"/>
      <c r="E173" s="2" t="s">
        <v>7971</v>
      </c>
      <c r="F173" s="2" t="s">
        <v>7968</v>
      </c>
      <c r="G173" s="22" t="s">
        <v>8739</v>
      </c>
      <c r="H173" s="22" t="s">
        <v>8740</v>
      </c>
      <c r="K173" s="4"/>
      <c r="N173" s="4" t="s">
        <v>315</v>
      </c>
      <c r="O173" s="4">
        <v>457</v>
      </c>
    </row>
    <row r="174" spans="1:15" ht="15.75" customHeight="1">
      <c r="A174" s="4" t="s">
        <v>1935</v>
      </c>
      <c r="B174" s="4" t="s">
        <v>1936</v>
      </c>
      <c r="C174" s="19" t="s">
        <v>8741</v>
      </c>
      <c r="D174" s="4"/>
      <c r="E174" s="2" t="s">
        <v>7972</v>
      </c>
      <c r="G174" s="25" t="s">
        <v>7965</v>
      </c>
      <c r="H174" s="25" t="s">
        <v>7966</v>
      </c>
      <c r="K174" s="4"/>
      <c r="N174" s="4" t="s">
        <v>315</v>
      </c>
      <c r="O174" s="4">
        <v>457</v>
      </c>
    </row>
    <row r="175" spans="1:15" ht="15.75" customHeight="1">
      <c r="A175" s="4" t="s">
        <v>5389</v>
      </c>
      <c r="B175" s="4" t="s">
        <v>5390</v>
      </c>
      <c r="C175" s="19" t="s">
        <v>8742</v>
      </c>
      <c r="D175" s="4"/>
      <c r="E175" s="2" t="s">
        <v>7973</v>
      </c>
      <c r="G175" s="2" t="s">
        <v>8743</v>
      </c>
      <c r="H175" s="2" t="s">
        <v>8744</v>
      </c>
      <c r="K175" s="4"/>
      <c r="N175" s="4" t="s">
        <v>318</v>
      </c>
      <c r="O175" s="4">
        <v>335</v>
      </c>
    </row>
    <row r="176" spans="1:15" ht="15.75" customHeight="1">
      <c r="A176" s="4" t="s">
        <v>5930</v>
      </c>
      <c r="B176" s="4" t="s">
        <v>5931</v>
      </c>
      <c r="C176" s="19" t="s">
        <v>8745</v>
      </c>
      <c r="D176" s="4"/>
      <c r="E176" s="2" t="s">
        <v>7974</v>
      </c>
      <c r="F176" s="2" t="s">
        <v>7975</v>
      </c>
      <c r="G176" s="22" t="s">
        <v>8746</v>
      </c>
      <c r="H176" s="22" t="s">
        <v>8747</v>
      </c>
      <c r="K176" s="4"/>
      <c r="N176" s="4" t="s">
        <v>321</v>
      </c>
      <c r="O176" s="4">
        <v>153</v>
      </c>
    </row>
    <row r="177" spans="1:15" ht="15.75" customHeight="1">
      <c r="A177" s="4" t="s">
        <v>253</v>
      </c>
      <c r="B177" s="4" t="s">
        <v>254</v>
      </c>
      <c r="C177" s="19" t="s">
        <v>8748</v>
      </c>
      <c r="D177" s="4"/>
      <c r="E177" s="2" t="s">
        <v>7976</v>
      </c>
      <c r="G177" s="2" t="s">
        <v>8749</v>
      </c>
      <c r="H177" s="2" t="s">
        <v>8750</v>
      </c>
      <c r="I177" s="4"/>
      <c r="K177" s="4"/>
      <c r="N177" s="4" t="s">
        <v>324</v>
      </c>
      <c r="O177" s="4">
        <v>274</v>
      </c>
    </row>
    <row r="178" spans="1:15" ht="15.75" customHeight="1">
      <c r="A178" s="4" t="s">
        <v>2396</v>
      </c>
      <c r="B178" s="4" t="s">
        <v>2397</v>
      </c>
      <c r="C178" s="19" t="s">
        <v>8751</v>
      </c>
      <c r="D178" s="4"/>
      <c r="E178" s="2" t="s">
        <v>7976</v>
      </c>
      <c r="G178" s="2" t="s">
        <v>8752</v>
      </c>
      <c r="H178" s="2" t="s">
        <v>8753</v>
      </c>
      <c r="K178" s="4"/>
      <c r="N178" s="4" t="s">
        <v>328</v>
      </c>
      <c r="O178" s="4">
        <v>353</v>
      </c>
    </row>
    <row r="179" spans="1:15" ht="15.75" customHeight="1">
      <c r="A179" s="4" t="s">
        <v>3466</v>
      </c>
      <c r="B179" s="4" t="s">
        <v>3467</v>
      </c>
      <c r="C179" s="19" t="s">
        <v>8754</v>
      </c>
      <c r="D179" s="4"/>
      <c r="E179" s="2" t="s">
        <v>7977</v>
      </c>
      <c r="G179" s="2" t="s">
        <v>8755</v>
      </c>
      <c r="H179" s="2" t="s">
        <v>8756</v>
      </c>
      <c r="K179" s="4"/>
      <c r="N179" s="4" t="s">
        <v>331</v>
      </c>
      <c r="O179" s="4">
        <v>85</v>
      </c>
    </row>
    <row r="180" spans="1:15" ht="15.75" customHeight="1">
      <c r="A180" s="4" t="s">
        <v>869</v>
      </c>
      <c r="B180" s="4" t="s">
        <v>870</v>
      </c>
      <c r="C180" s="19" t="s">
        <v>8757</v>
      </c>
      <c r="D180" s="4"/>
      <c r="E180" s="2" t="s">
        <v>7978</v>
      </c>
      <c r="G180" s="2" t="s">
        <v>8758</v>
      </c>
      <c r="H180" s="2" t="s">
        <v>8759</v>
      </c>
      <c r="K180" s="4"/>
      <c r="N180" s="4" t="s">
        <v>56</v>
      </c>
      <c r="O180" s="4">
        <v>69</v>
      </c>
    </row>
    <row r="181" spans="1:15" ht="15.75" customHeight="1">
      <c r="A181" s="4" t="s">
        <v>7415</v>
      </c>
      <c r="B181" s="4" t="s">
        <v>7416</v>
      </c>
      <c r="C181" s="19" t="s">
        <v>8760</v>
      </c>
      <c r="D181" s="4"/>
      <c r="E181" s="2" t="s">
        <v>7979</v>
      </c>
      <c r="G181" s="2" t="s">
        <v>8761</v>
      </c>
      <c r="H181" s="2" t="s">
        <v>8762</v>
      </c>
      <c r="K181" s="4"/>
      <c r="N181" s="4" t="s">
        <v>336</v>
      </c>
      <c r="O181" s="4">
        <v>357</v>
      </c>
    </row>
    <row r="182" spans="1:15" ht="15.75" customHeight="1">
      <c r="A182" s="4" t="s">
        <v>3378</v>
      </c>
      <c r="B182" s="4" t="s">
        <v>3379</v>
      </c>
      <c r="C182" s="19" t="s">
        <v>8763</v>
      </c>
      <c r="D182" s="20"/>
      <c r="E182" s="2" t="s">
        <v>7980</v>
      </c>
      <c r="F182" s="23" t="s">
        <v>7981</v>
      </c>
      <c r="G182" s="22" t="s">
        <v>8764</v>
      </c>
      <c r="H182" s="22" t="s">
        <v>8765</v>
      </c>
      <c r="I182" s="4"/>
      <c r="K182" s="4"/>
      <c r="N182" s="4" t="s">
        <v>339</v>
      </c>
      <c r="O182" s="4">
        <v>304</v>
      </c>
    </row>
    <row r="183" spans="1:15" ht="15.75" customHeight="1">
      <c r="A183" s="4" t="s">
        <v>3378</v>
      </c>
      <c r="B183" s="4" t="s">
        <v>3379</v>
      </c>
      <c r="C183" s="19" t="s">
        <v>8766</v>
      </c>
      <c r="D183" s="20"/>
      <c r="E183" s="2" t="s">
        <v>7980</v>
      </c>
      <c r="F183" s="2" t="s">
        <v>7982</v>
      </c>
      <c r="G183" s="22" t="s">
        <v>8767</v>
      </c>
      <c r="H183" s="22" t="s">
        <v>8768</v>
      </c>
      <c r="I183" s="4"/>
      <c r="K183" s="4"/>
      <c r="N183" s="4" t="s">
        <v>339</v>
      </c>
      <c r="O183" s="4">
        <v>304</v>
      </c>
    </row>
    <row r="184" spans="1:15" ht="15.75" customHeight="1">
      <c r="A184" s="4" t="s">
        <v>3959</v>
      </c>
      <c r="B184" s="4" t="s">
        <v>3960</v>
      </c>
      <c r="C184" s="19" t="s">
        <v>8769</v>
      </c>
      <c r="D184" s="20"/>
      <c r="E184" s="2" t="s">
        <v>7980</v>
      </c>
      <c r="F184" s="23" t="s">
        <v>7981</v>
      </c>
      <c r="G184" s="22" t="s">
        <v>8770</v>
      </c>
      <c r="H184" s="22" t="s">
        <v>8771</v>
      </c>
      <c r="K184" s="4"/>
      <c r="N184" s="4" t="s">
        <v>56</v>
      </c>
      <c r="O184" s="4">
        <v>432</v>
      </c>
    </row>
    <row r="185" spans="1:15" ht="15.75" customHeight="1">
      <c r="A185" s="4" t="s">
        <v>3959</v>
      </c>
      <c r="B185" s="4" t="s">
        <v>3960</v>
      </c>
      <c r="C185" s="19" t="s">
        <v>8772</v>
      </c>
      <c r="D185" s="20"/>
      <c r="E185" s="2" t="s">
        <v>7980</v>
      </c>
      <c r="F185" s="2" t="s">
        <v>7982</v>
      </c>
      <c r="G185" s="22" t="s">
        <v>8773</v>
      </c>
      <c r="H185" s="22" t="s">
        <v>8774</v>
      </c>
      <c r="K185" s="4"/>
      <c r="N185" s="4" t="s">
        <v>56</v>
      </c>
      <c r="O185" s="4">
        <v>432</v>
      </c>
    </row>
    <row r="186" spans="1:15" ht="15.75" customHeight="1">
      <c r="A186" s="4" t="s">
        <v>5752</v>
      </c>
      <c r="B186" s="4" t="s">
        <v>5753</v>
      </c>
      <c r="C186" s="19" t="s">
        <v>8775</v>
      </c>
      <c r="D186" s="26"/>
      <c r="E186" s="2" t="s">
        <v>7980</v>
      </c>
      <c r="F186" s="23" t="s">
        <v>7981</v>
      </c>
      <c r="G186" s="22" t="s">
        <v>8776</v>
      </c>
      <c r="H186" s="22" t="s">
        <v>8777</v>
      </c>
      <c r="K186" s="4"/>
      <c r="N186" s="4" t="s">
        <v>56</v>
      </c>
      <c r="O186" s="4">
        <v>432</v>
      </c>
    </row>
    <row r="187" spans="1:15" ht="15.75" customHeight="1">
      <c r="A187" s="4" t="s">
        <v>5752</v>
      </c>
      <c r="B187" s="4" t="s">
        <v>5753</v>
      </c>
      <c r="C187" s="19" t="s">
        <v>8778</v>
      </c>
      <c r="D187" s="26"/>
      <c r="E187" s="2" t="s">
        <v>7980</v>
      </c>
      <c r="F187" s="2" t="s">
        <v>7982</v>
      </c>
      <c r="G187" s="22" t="s">
        <v>8779</v>
      </c>
      <c r="H187" s="22" t="s">
        <v>8780</v>
      </c>
      <c r="K187" s="4"/>
      <c r="N187" s="4" t="s">
        <v>56</v>
      </c>
      <c r="O187" s="4">
        <v>432</v>
      </c>
    </row>
    <row r="188" spans="1:15" ht="15.75" customHeight="1">
      <c r="A188" s="4" t="s">
        <v>1819</v>
      </c>
      <c r="B188" s="4" t="s">
        <v>1820</v>
      </c>
      <c r="C188" s="19" t="s">
        <v>8781</v>
      </c>
      <c r="D188" s="4"/>
      <c r="E188" s="2" t="s">
        <v>7983</v>
      </c>
      <c r="G188" s="2" t="s">
        <v>8782</v>
      </c>
      <c r="H188" s="2" t="s">
        <v>8783</v>
      </c>
      <c r="K188" s="4"/>
    </row>
    <row r="189" spans="1:15" ht="15.75" customHeight="1">
      <c r="A189" s="4" t="s">
        <v>1846</v>
      </c>
      <c r="B189" s="4" t="s">
        <v>1847</v>
      </c>
      <c r="C189" s="19" t="s">
        <v>8784</v>
      </c>
      <c r="D189" s="4"/>
      <c r="E189" s="2" t="s">
        <v>7984</v>
      </c>
      <c r="F189" s="2" t="s">
        <v>7985</v>
      </c>
      <c r="G189" s="22" t="s">
        <v>8785</v>
      </c>
      <c r="H189" s="22" t="s">
        <v>8786</v>
      </c>
      <c r="K189" s="4"/>
    </row>
    <row r="190" spans="1:15" ht="15.75" customHeight="1">
      <c r="A190" s="4" t="s">
        <v>520</v>
      </c>
      <c r="B190" s="4" t="s">
        <v>521</v>
      </c>
      <c r="C190" s="19" t="s">
        <v>8787</v>
      </c>
      <c r="D190" s="4"/>
      <c r="E190" s="2" t="s">
        <v>7986</v>
      </c>
      <c r="F190" s="2" t="s">
        <v>7987</v>
      </c>
      <c r="G190" s="22" t="s">
        <v>8788</v>
      </c>
      <c r="H190" s="22" t="s">
        <v>8789</v>
      </c>
      <c r="K190" s="4"/>
      <c r="N190" s="4" t="s">
        <v>348</v>
      </c>
      <c r="O190" s="4">
        <v>280</v>
      </c>
    </row>
    <row r="191" spans="1:15" ht="15.75" customHeight="1">
      <c r="A191" s="4" t="s">
        <v>2228</v>
      </c>
      <c r="B191" s="4" t="s">
        <v>2229</v>
      </c>
      <c r="C191" s="4" t="s">
        <v>7988</v>
      </c>
      <c r="D191" s="4"/>
      <c r="E191" s="2" t="s">
        <v>7989</v>
      </c>
      <c r="F191" s="2" t="s">
        <v>7990</v>
      </c>
      <c r="G191" s="22" t="s">
        <v>8790</v>
      </c>
      <c r="H191" s="22" t="s">
        <v>8791</v>
      </c>
      <c r="K191" s="4"/>
      <c r="N191" s="4" t="s">
        <v>348</v>
      </c>
      <c r="O191" s="4">
        <v>280</v>
      </c>
    </row>
    <row r="192" spans="1:15" ht="15.75" customHeight="1">
      <c r="A192" s="4" t="s">
        <v>1211</v>
      </c>
      <c r="B192" s="4" t="s">
        <v>1212</v>
      </c>
      <c r="C192" s="19" t="s">
        <v>8792</v>
      </c>
      <c r="D192" s="4"/>
      <c r="E192" s="2" t="s">
        <v>7991</v>
      </c>
      <c r="F192" s="2" t="s">
        <v>7992</v>
      </c>
      <c r="G192" s="22" t="s">
        <v>8793</v>
      </c>
      <c r="H192" s="22" t="s">
        <v>8794</v>
      </c>
      <c r="K192" s="4"/>
      <c r="N192" s="4" t="s">
        <v>351</v>
      </c>
      <c r="O192" s="4">
        <v>83</v>
      </c>
    </row>
    <row r="193" spans="1:15" ht="15.75" customHeight="1">
      <c r="A193" s="4" t="s">
        <v>4768</v>
      </c>
      <c r="B193" s="4" t="s">
        <v>4769</v>
      </c>
      <c r="C193" s="19" t="s">
        <v>8795</v>
      </c>
      <c r="D193" s="4"/>
      <c r="E193" s="2" t="s">
        <v>7993</v>
      </c>
      <c r="F193" s="2" t="s">
        <v>7994</v>
      </c>
      <c r="G193" s="22" t="s">
        <v>8796</v>
      </c>
      <c r="H193" s="22" t="s">
        <v>8797</v>
      </c>
      <c r="K193" s="4"/>
      <c r="N193" s="4" t="s">
        <v>354</v>
      </c>
      <c r="O193" s="4">
        <v>887</v>
      </c>
    </row>
    <row r="194" spans="1:15" ht="15.75" customHeight="1">
      <c r="A194" s="4" t="s">
        <v>3378</v>
      </c>
      <c r="B194" s="4" t="s">
        <v>3379</v>
      </c>
      <c r="C194" s="20" t="s">
        <v>7995</v>
      </c>
      <c r="D194" s="20"/>
      <c r="E194" s="2" t="s">
        <v>7996</v>
      </c>
      <c r="F194" s="2" t="s">
        <v>7997</v>
      </c>
      <c r="G194" s="22" t="s">
        <v>8798</v>
      </c>
      <c r="H194" s="22" t="s">
        <v>8799</v>
      </c>
      <c r="K194" s="4"/>
      <c r="N194" s="4" t="s">
        <v>56</v>
      </c>
      <c r="O194" s="4">
        <v>579</v>
      </c>
    </row>
    <row r="195" spans="1:15" ht="15.75" customHeight="1">
      <c r="A195" s="4" t="s">
        <v>3378</v>
      </c>
      <c r="B195" s="4" t="s">
        <v>3379</v>
      </c>
      <c r="C195" s="20" t="s">
        <v>7995</v>
      </c>
      <c r="D195" s="20"/>
      <c r="E195" s="2" t="s">
        <v>7996</v>
      </c>
      <c r="F195" s="2" t="s">
        <v>7998</v>
      </c>
      <c r="G195" s="22" t="s">
        <v>8800</v>
      </c>
      <c r="H195" s="22" t="s">
        <v>8801</v>
      </c>
      <c r="K195" s="4"/>
      <c r="N195" s="4" t="s">
        <v>56</v>
      </c>
      <c r="O195" s="4">
        <v>579</v>
      </c>
    </row>
    <row r="196" spans="1:15" ht="15.75" customHeight="1">
      <c r="A196" s="4" t="s">
        <v>3959</v>
      </c>
      <c r="B196" s="4" t="s">
        <v>3960</v>
      </c>
      <c r="C196" s="20" t="s">
        <v>7995</v>
      </c>
      <c r="D196" s="20"/>
      <c r="E196" s="2" t="s">
        <v>7996</v>
      </c>
      <c r="F196" s="2" t="s">
        <v>7997</v>
      </c>
      <c r="G196" s="22" t="s">
        <v>8802</v>
      </c>
      <c r="H196" s="22" t="s">
        <v>8803</v>
      </c>
      <c r="K196" s="4"/>
      <c r="N196" s="4" t="s">
        <v>328</v>
      </c>
      <c r="O196" s="4">
        <v>309</v>
      </c>
    </row>
    <row r="197" spans="1:15" ht="15.75" customHeight="1">
      <c r="A197" s="4" t="s">
        <v>3959</v>
      </c>
      <c r="B197" s="4" t="s">
        <v>3960</v>
      </c>
      <c r="C197" s="20" t="s">
        <v>7995</v>
      </c>
      <c r="D197" s="20"/>
      <c r="E197" s="2" t="s">
        <v>7996</v>
      </c>
      <c r="F197" s="2" t="s">
        <v>7998</v>
      </c>
      <c r="G197" s="22" t="s">
        <v>8804</v>
      </c>
      <c r="H197" s="22" t="s">
        <v>8805</v>
      </c>
      <c r="K197" s="4"/>
      <c r="N197" s="4" t="s">
        <v>328</v>
      </c>
      <c r="O197" s="4">
        <v>309</v>
      </c>
    </row>
    <row r="198" spans="1:15" ht="15.75" customHeight="1">
      <c r="A198" s="4" t="s">
        <v>5752</v>
      </c>
      <c r="B198" s="4" t="s">
        <v>5753</v>
      </c>
      <c r="C198" s="20" t="s">
        <v>7995</v>
      </c>
      <c r="D198" s="26"/>
      <c r="E198" s="2" t="s">
        <v>7996</v>
      </c>
      <c r="F198" s="2" t="s">
        <v>7997</v>
      </c>
      <c r="G198" s="22" t="s">
        <v>8806</v>
      </c>
      <c r="H198" s="22" t="s">
        <v>8807</v>
      </c>
      <c r="K198" s="4"/>
      <c r="N198" s="4" t="s">
        <v>361</v>
      </c>
      <c r="O198" s="4">
        <v>212</v>
      </c>
    </row>
    <row r="199" spans="1:15" ht="15.75" customHeight="1">
      <c r="A199" s="4" t="s">
        <v>5752</v>
      </c>
      <c r="B199" s="4" t="s">
        <v>5753</v>
      </c>
      <c r="C199" s="20" t="s">
        <v>7995</v>
      </c>
      <c r="D199" s="26"/>
      <c r="E199" s="2" t="s">
        <v>7996</v>
      </c>
      <c r="F199" s="2" t="s">
        <v>7998</v>
      </c>
      <c r="G199" s="22" t="s">
        <v>8808</v>
      </c>
      <c r="H199" s="22" t="s">
        <v>8809</v>
      </c>
      <c r="K199" s="4"/>
      <c r="N199" s="4" t="s">
        <v>361</v>
      </c>
      <c r="O199" s="4">
        <v>212</v>
      </c>
    </row>
    <row r="200" spans="1:15" ht="15.75" customHeight="1">
      <c r="A200" s="4" t="s">
        <v>3069</v>
      </c>
      <c r="B200" s="4" t="s">
        <v>3070</v>
      </c>
      <c r="C200" s="19" t="s">
        <v>8810</v>
      </c>
      <c r="D200" s="4"/>
      <c r="E200" s="2" t="s">
        <v>7999</v>
      </c>
      <c r="F200" s="2" t="s">
        <v>8000</v>
      </c>
      <c r="G200" s="22" t="s">
        <v>8811</v>
      </c>
      <c r="H200" s="22" t="s">
        <v>8812</v>
      </c>
      <c r="K200" s="4"/>
      <c r="N200" s="4" t="s">
        <v>364</v>
      </c>
      <c r="O200" s="4">
        <v>321</v>
      </c>
    </row>
    <row r="201" spans="1:15" ht="15.75" customHeight="1">
      <c r="A201" s="4" t="s">
        <v>527</v>
      </c>
      <c r="B201" s="4" t="s">
        <v>528</v>
      </c>
      <c r="C201" s="19" t="s">
        <v>8813</v>
      </c>
      <c r="D201" s="4"/>
      <c r="E201" s="2" t="s">
        <v>8001</v>
      </c>
      <c r="F201" s="2" t="s">
        <v>8002</v>
      </c>
      <c r="G201" s="22" t="s">
        <v>8814</v>
      </c>
      <c r="H201" s="22" t="s">
        <v>8815</v>
      </c>
      <c r="I201" s="4"/>
      <c r="K201" s="4"/>
      <c r="N201" s="4" t="s">
        <v>367</v>
      </c>
      <c r="O201" s="4">
        <v>70</v>
      </c>
    </row>
    <row r="202" spans="1:15" ht="15.75" customHeight="1">
      <c r="A202" s="4" t="s">
        <v>527</v>
      </c>
      <c r="B202" s="4" t="s">
        <v>528</v>
      </c>
      <c r="C202" s="19" t="s">
        <v>8816</v>
      </c>
      <c r="D202" s="4"/>
      <c r="E202" s="2" t="s">
        <v>8001</v>
      </c>
      <c r="F202" s="2" t="s">
        <v>8003</v>
      </c>
      <c r="G202" s="22" t="s">
        <v>8817</v>
      </c>
      <c r="H202" s="22" t="s">
        <v>8818</v>
      </c>
      <c r="I202" s="4"/>
      <c r="K202" s="4"/>
      <c r="N202" s="4" t="s">
        <v>367</v>
      </c>
      <c r="O202" s="4">
        <v>70</v>
      </c>
    </row>
    <row r="203" spans="1:15" ht="15.75" customHeight="1">
      <c r="A203" s="4" t="s">
        <v>2316</v>
      </c>
      <c r="B203" s="4" t="s">
        <v>2317</v>
      </c>
      <c r="C203" s="19" t="s">
        <v>8819</v>
      </c>
      <c r="D203" s="4"/>
      <c r="E203" s="2" t="s">
        <v>8004</v>
      </c>
      <c r="F203" s="2" t="s">
        <v>8005</v>
      </c>
      <c r="G203" s="22" t="s">
        <v>8820</v>
      </c>
      <c r="H203" s="22" t="s">
        <v>8821</v>
      </c>
      <c r="K203" s="4"/>
      <c r="N203" s="4" t="s">
        <v>371</v>
      </c>
      <c r="O203" s="4">
        <v>66</v>
      </c>
    </row>
    <row r="204" spans="1:15" ht="15.75" customHeight="1">
      <c r="A204" s="4" t="s">
        <v>2316</v>
      </c>
      <c r="B204" s="4" t="s">
        <v>2317</v>
      </c>
      <c r="C204" s="19" t="s">
        <v>8822</v>
      </c>
      <c r="D204" s="4"/>
      <c r="E204" s="2" t="s">
        <v>8004</v>
      </c>
      <c r="F204" s="2" t="s">
        <v>8006</v>
      </c>
      <c r="G204" s="22" t="s">
        <v>8823</v>
      </c>
      <c r="H204" s="22" t="s">
        <v>8824</v>
      </c>
      <c r="K204" s="4"/>
      <c r="N204" s="4" t="s">
        <v>371</v>
      </c>
      <c r="O204" s="4">
        <v>66</v>
      </c>
    </row>
    <row r="205" spans="1:15" ht="15.75" customHeight="1">
      <c r="A205" s="4" t="s">
        <v>2312</v>
      </c>
      <c r="B205" s="4" t="s">
        <v>2313</v>
      </c>
      <c r="C205" s="19" t="s">
        <v>8825</v>
      </c>
      <c r="D205" s="20"/>
      <c r="E205" s="2" t="s">
        <v>8007</v>
      </c>
      <c r="F205" s="2" t="s">
        <v>8008</v>
      </c>
      <c r="G205" s="22" t="s">
        <v>8826</v>
      </c>
      <c r="H205" s="22" t="s">
        <v>8827</v>
      </c>
      <c r="K205" s="4"/>
      <c r="N205" s="4" t="s">
        <v>51</v>
      </c>
      <c r="O205" s="4">
        <v>160</v>
      </c>
    </row>
    <row r="206" spans="1:15" ht="15.75" customHeight="1">
      <c r="A206" s="4" t="s">
        <v>1939</v>
      </c>
      <c r="B206" s="4" t="s">
        <v>1940</v>
      </c>
      <c r="C206" s="19" t="s">
        <v>8828</v>
      </c>
      <c r="D206" s="4"/>
      <c r="E206" s="2" t="s">
        <v>8009</v>
      </c>
      <c r="F206" s="2" t="s">
        <v>8010</v>
      </c>
      <c r="G206" s="22" t="s">
        <v>8829</v>
      </c>
      <c r="H206" s="22" t="s">
        <v>8830</v>
      </c>
      <c r="K206" s="4"/>
      <c r="N206" s="4" t="s">
        <v>376</v>
      </c>
      <c r="O206" s="4">
        <v>213</v>
      </c>
    </row>
    <row r="207" spans="1:15" ht="15.75" customHeight="1">
      <c r="A207" s="4" t="s">
        <v>1425</v>
      </c>
      <c r="B207" s="4" t="s">
        <v>1426</v>
      </c>
      <c r="C207" s="19" t="s">
        <v>8831</v>
      </c>
      <c r="D207" s="4"/>
      <c r="E207" s="2" t="s">
        <v>8011</v>
      </c>
      <c r="F207" s="2" t="s">
        <v>8012</v>
      </c>
      <c r="G207" s="22" t="s">
        <v>8832</v>
      </c>
      <c r="H207" s="22" t="s">
        <v>8833</v>
      </c>
      <c r="K207" s="4"/>
      <c r="N207" s="4" t="s">
        <v>376</v>
      </c>
      <c r="O207" s="4">
        <v>213</v>
      </c>
    </row>
    <row r="208" spans="1:15" ht="15.75" customHeight="1">
      <c r="A208" s="4" t="s">
        <v>5610</v>
      </c>
      <c r="B208" s="4" t="s">
        <v>5611</v>
      </c>
      <c r="C208" s="4" t="s">
        <v>8013</v>
      </c>
      <c r="D208" s="4"/>
      <c r="E208" s="2" t="s">
        <v>8014</v>
      </c>
      <c r="F208" s="2" t="s">
        <v>8015</v>
      </c>
      <c r="G208" s="22" t="s">
        <v>8834</v>
      </c>
      <c r="H208" s="22" t="s">
        <v>8835</v>
      </c>
      <c r="K208" s="4"/>
      <c r="N208" s="4" t="s">
        <v>379</v>
      </c>
      <c r="O208" s="4">
        <v>192</v>
      </c>
    </row>
    <row r="209" spans="1:15" ht="15.75" customHeight="1">
      <c r="A209" s="4" t="s">
        <v>2573</v>
      </c>
      <c r="B209" s="4" t="s">
        <v>2574</v>
      </c>
      <c r="C209" s="19" t="s">
        <v>8836</v>
      </c>
      <c r="D209" s="4"/>
      <c r="E209" s="2" t="s">
        <v>8016</v>
      </c>
      <c r="F209" s="2" t="s">
        <v>8017</v>
      </c>
      <c r="G209" s="22" t="s">
        <v>8837</v>
      </c>
      <c r="H209" s="22" t="s">
        <v>8838</v>
      </c>
      <c r="K209" s="4"/>
      <c r="N209" s="4" t="s">
        <v>382</v>
      </c>
      <c r="O209" s="4">
        <v>442</v>
      </c>
    </row>
    <row r="210" spans="1:15" ht="15.75" customHeight="1">
      <c r="A210" s="4" t="s">
        <v>2573</v>
      </c>
      <c r="B210" s="4" t="s">
        <v>2574</v>
      </c>
      <c r="C210" s="19" t="s">
        <v>8839</v>
      </c>
      <c r="D210" s="4"/>
      <c r="E210" s="2" t="s">
        <v>8016</v>
      </c>
      <c r="F210" s="2" t="s">
        <v>8018</v>
      </c>
      <c r="G210" s="22" t="s">
        <v>8840</v>
      </c>
      <c r="H210" s="22" t="s">
        <v>8841</v>
      </c>
      <c r="K210" s="4"/>
      <c r="N210" s="4" t="s">
        <v>382</v>
      </c>
      <c r="O210" s="4">
        <v>442</v>
      </c>
    </row>
    <row r="211" spans="1:15" ht="15.75" customHeight="1">
      <c r="A211" s="4" t="s">
        <v>2573</v>
      </c>
      <c r="B211" s="4" t="s">
        <v>2574</v>
      </c>
      <c r="C211" s="19" t="s">
        <v>8842</v>
      </c>
      <c r="D211" s="4"/>
      <c r="E211" s="2" t="s">
        <v>8016</v>
      </c>
      <c r="F211" s="2" t="s">
        <v>8019</v>
      </c>
      <c r="G211" s="22" t="s">
        <v>8843</v>
      </c>
      <c r="H211" s="22" t="s">
        <v>8844</v>
      </c>
      <c r="K211" s="4"/>
      <c r="N211" s="4" t="s">
        <v>382</v>
      </c>
      <c r="O211" s="4">
        <v>442</v>
      </c>
    </row>
    <row r="212" spans="1:15" ht="15.75" customHeight="1">
      <c r="A212" s="4" t="s">
        <v>2573</v>
      </c>
      <c r="B212" s="4" t="s">
        <v>2574</v>
      </c>
      <c r="C212" s="19" t="s">
        <v>8845</v>
      </c>
      <c r="D212" s="4"/>
      <c r="E212" s="2" t="s">
        <v>8016</v>
      </c>
      <c r="F212" s="2" t="s">
        <v>8020</v>
      </c>
      <c r="G212" s="22" t="s">
        <v>8846</v>
      </c>
      <c r="H212" s="22" t="s">
        <v>8847</v>
      </c>
      <c r="K212" s="4"/>
      <c r="N212" s="4" t="s">
        <v>382</v>
      </c>
      <c r="O212" s="4">
        <v>442</v>
      </c>
    </row>
    <row r="213" spans="1:15" ht="15.75" customHeight="1">
      <c r="A213" s="4" t="s">
        <v>2573</v>
      </c>
      <c r="B213" s="4" t="s">
        <v>2574</v>
      </c>
      <c r="C213" s="19" t="s">
        <v>8848</v>
      </c>
      <c r="D213" s="4"/>
      <c r="E213" s="2" t="s">
        <v>8016</v>
      </c>
      <c r="F213" s="2" t="s">
        <v>8021</v>
      </c>
      <c r="G213" s="22" t="s">
        <v>8849</v>
      </c>
      <c r="H213" s="22" t="s">
        <v>8850</v>
      </c>
      <c r="K213" s="4"/>
      <c r="N213" s="4" t="s">
        <v>382</v>
      </c>
      <c r="O213" s="4">
        <v>442</v>
      </c>
    </row>
    <row r="214" spans="1:15" ht="15.75" customHeight="1">
      <c r="A214" s="4" t="s">
        <v>2573</v>
      </c>
      <c r="B214" s="4" t="s">
        <v>2574</v>
      </c>
      <c r="C214" s="19" t="s">
        <v>8851</v>
      </c>
      <c r="D214" s="4"/>
      <c r="E214" s="2" t="s">
        <v>8016</v>
      </c>
      <c r="F214" s="2" t="s">
        <v>8022</v>
      </c>
      <c r="G214" s="22" t="s">
        <v>8852</v>
      </c>
      <c r="H214" s="22" t="s">
        <v>8853</v>
      </c>
      <c r="K214" s="4"/>
      <c r="N214" s="4" t="s">
        <v>382</v>
      </c>
      <c r="O214" s="4">
        <v>442</v>
      </c>
    </row>
    <row r="215" spans="1:15" ht="15.75" customHeight="1">
      <c r="A215" s="4" t="s">
        <v>2573</v>
      </c>
      <c r="B215" s="4" t="s">
        <v>2574</v>
      </c>
      <c r="C215" s="19" t="s">
        <v>8854</v>
      </c>
      <c r="D215" s="4"/>
      <c r="E215" s="2" t="s">
        <v>8016</v>
      </c>
      <c r="F215" s="2" t="s">
        <v>8023</v>
      </c>
      <c r="G215" s="22" t="s">
        <v>8855</v>
      </c>
      <c r="H215" s="22" t="s">
        <v>8856</v>
      </c>
      <c r="K215" s="4"/>
      <c r="N215" s="4" t="s">
        <v>382</v>
      </c>
      <c r="O215" s="4">
        <v>442</v>
      </c>
    </row>
    <row r="216" spans="1:15" ht="15.75" customHeight="1">
      <c r="A216" s="4" t="s">
        <v>1283</v>
      </c>
      <c r="B216" s="4" t="s">
        <v>1284</v>
      </c>
      <c r="C216" s="19" t="s">
        <v>8857</v>
      </c>
      <c r="D216" s="4"/>
      <c r="E216" s="2" t="s">
        <v>8024</v>
      </c>
      <c r="F216" s="2" t="s">
        <v>8025</v>
      </c>
      <c r="G216" s="22" t="s">
        <v>8858</v>
      </c>
      <c r="H216" s="22" t="s">
        <v>8859</v>
      </c>
      <c r="K216" s="4"/>
      <c r="N216" s="4" t="s">
        <v>440</v>
      </c>
      <c r="O216" s="4">
        <v>200</v>
      </c>
    </row>
    <row r="217" spans="1:15" ht="15.75" customHeight="1">
      <c r="A217" s="4" t="s">
        <v>1283</v>
      </c>
      <c r="B217" s="4" t="s">
        <v>1284</v>
      </c>
      <c r="C217" s="19" t="s">
        <v>8860</v>
      </c>
      <c r="D217" s="4"/>
      <c r="E217" s="2" t="s">
        <v>8024</v>
      </c>
      <c r="F217" s="2" t="s">
        <v>8026</v>
      </c>
      <c r="G217" s="22" t="s">
        <v>8861</v>
      </c>
      <c r="H217" s="22" t="s">
        <v>8862</v>
      </c>
      <c r="K217" s="4"/>
      <c r="N217" s="4" t="s">
        <v>440</v>
      </c>
      <c r="O217" s="4">
        <v>200</v>
      </c>
    </row>
    <row r="218" spans="1:15" ht="15.75" customHeight="1">
      <c r="A218" s="4" t="s">
        <v>1283</v>
      </c>
      <c r="B218" s="4" t="s">
        <v>1284</v>
      </c>
      <c r="C218" s="19" t="s">
        <v>8863</v>
      </c>
      <c r="D218" s="4"/>
      <c r="E218" s="2" t="s">
        <v>8024</v>
      </c>
      <c r="F218" s="2" t="s">
        <v>8027</v>
      </c>
      <c r="G218" s="22" t="s">
        <v>8864</v>
      </c>
      <c r="H218" s="22" t="s">
        <v>8865</v>
      </c>
      <c r="K218" s="4"/>
      <c r="N218" s="4" t="s">
        <v>440</v>
      </c>
      <c r="O218" s="4">
        <v>200</v>
      </c>
    </row>
    <row r="219" spans="1:15" ht="15.75" customHeight="1">
      <c r="A219" s="4" t="s">
        <v>5955</v>
      </c>
      <c r="B219" s="4" t="s">
        <v>5956</v>
      </c>
      <c r="C219" s="19" t="s">
        <v>8866</v>
      </c>
      <c r="D219" s="20"/>
      <c r="E219" s="2" t="s">
        <v>8028</v>
      </c>
      <c r="F219" s="2" t="s">
        <v>8029</v>
      </c>
      <c r="G219" s="22" t="s">
        <v>8867</v>
      </c>
      <c r="H219" s="22" t="s">
        <v>8868</v>
      </c>
      <c r="K219" s="4"/>
      <c r="N219" s="4" t="s">
        <v>443</v>
      </c>
      <c r="O219" s="4">
        <v>476</v>
      </c>
    </row>
    <row r="220" spans="1:15" ht="15.75" customHeight="1">
      <c r="A220" s="4" t="s">
        <v>2429</v>
      </c>
      <c r="B220" s="4" t="s">
        <v>2430</v>
      </c>
      <c r="C220" s="19" t="s">
        <v>8869</v>
      </c>
      <c r="D220" s="4"/>
      <c r="E220" s="2" t="s">
        <v>8030</v>
      </c>
      <c r="F220" s="2" t="s">
        <v>8031</v>
      </c>
      <c r="G220" s="22" t="s">
        <v>8870</v>
      </c>
      <c r="H220" s="22" t="s">
        <v>8871</v>
      </c>
      <c r="K220" s="4"/>
    </row>
    <row r="221" spans="1:15" ht="15.75" customHeight="1">
      <c r="A221" s="4" t="s">
        <v>2429</v>
      </c>
      <c r="B221" s="4" t="s">
        <v>2430</v>
      </c>
      <c r="C221" s="19" t="s">
        <v>8872</v>
      </c>
      <c r="D221" s="4"/>
      <c r="E221" s="2" t="s">
        <v>8030</v>
      </c>
      <c r="F221" s="2" t="s">
        <v>8032</v>
      </c>
      <c r="G221" s="27" t="s">
        <v>8873</v>
      </c>
      <c r="H221" s="22" t="s">
        <v>8874</v>
      </c>
      <c r="K221" s="4"/>
    </row>
    <row r="222" spans="1:15" ht="15.75" customHeight="1">
      <c r="A222" s="4" t="s">
        <v>2429</v>
      </c>
      <c r="B222" s="4" t="s">
        <v>2430</v>
      </c>
      <c r="C222" s="19" t="s">
        <v>8875</v>
      </c>
      <c r="D222" s="4"/>
      <c r="E222" s="2" t="s">
        <v>8030</v>
      </c>
      <c r="F222" s="2" t="s">
        <v>8033</v>
      </c>
      <c r="G222" s="22" t="s">
        <v>8876</v>
      </c>
      <c r="H222" s="22" t="s">
        <v>8877</v>
      </c>
      <c r="K222" s="4"/>
    </row>
    <row r="223" spans="1:15" ht="15.75" customHeight="1">
      <c r="A223" s="4" t="s">
        <v>2429</v>
      </c>
      <c r="B223" s="4" t="s">
        <v>2430</v>
      </c>
      <c r="C223" s="19" t="s">
        <v>8878</v>
      </c>
      <c r="D223" s="4"/>
      <c r="E223" s="2" t="s">
        <v>8030</v>
      </c>
      <c r="F223" s="2" t="s">
        <v>8034</v>
      </c>
      <c r="G223" s="22" t="s">
        <v>8879</v>
      </c>
      <c r="H223" s="22" t="s">
        <v>8880</v>
      </c>
      <c r="K223" s="4"/>
    </row>
    <row r="224" spans="1:15" ht="15.75" customHeight="1">
      <c r="A224" s="4" t="s">
        <v>2429</v>
      </c>
      <c r="B224" s="4" t="s">
        <v>2430</v>
      </c>
      <c r="C224" s="19" t="s">
        <v>8881</v>
      </c>
      <c r="D224" s="4"/>
      <c r="E224" s="2" t="s">
        <v>8030</v>
      </c>
      <c r="F224" s="2" t="s">
        <v>8035</v>
      </c>
      <c r="G224" s="22" t="s">
        <v>8882</v>
      </c>
      <c r="H224" s="22" t="s">
        <v>8883</v>
      </c>
      <c r="K224" s="4"/>
    </row>
    <row r="225" spans="1:11" ht="15.75" customHeight="1">
      <c r="A225" s="4" t="s">
        <v>2429</v>
      </c>
      <c r="B225" s="4" t="s">
        <v>2430</v>
      </c>
      <c r="C225" s="19" t="s">
        <v>8884</v>
      </c>
      <c r="D225" s="4"/>
      <c r="E225" s="2" t="s">
        <v>8030</v>
      </c>
      <c r="F225" s="2" t="s">
        <v>8036</v>
      </c>
      <c r="G225" s="22" t="s">
        <v>8885</v>
      </c>
      <c r="H225" s="22" t="s">
        <v>8886</v>
      </c>
      <c r="K225" s="4"/>
    </row>
    <row r="226" spans="1:11" ht="15.75" customHeight="1">
      <c r="A226" s="4" t="s">
        <v>2429</v>
      </c>
      <c r="B226" s="4" t="s">
        <v>2430</v>
      </c>
      <c r="C226" s="19" t="s">
        <v>8887</v>
      </c>
      <c r="D226" s="4"/>
      <c r="E226" s="2" t="s">
        <v>8030</v>
      </c>
      <c r="F226" s="2" t="s">
        <v>8037</v>
      </c>
      <c r="G226" s="22" t="s">
        <v>8888</v>
      </c>
      <c r="H226" s="22" t="s">
        <v>8889</v>
      </c>
      <c r="K226" s="4"/>
    </row>
    <row r="227" spans="1:11" ht="15.75" customHeight="1">
      <c r="A227" s="4" t="s">
        <v>2429</v>
      </c>
      <c r="B227" s="4" t="s">
        <v>2430</v>
      </c>
      <c r="C227" s="19" t="s">
        <v>8890</v>
      </c>
      <c r="D227" s="4"/>
      <c r="E227" s="2" t="s">
        <v>8030</v>
      </c>
      <c r="F227" s="2" t="s">
        <v>8038</v>
      </c>
      <c r="G227" s="22" t="s">
        <v>8891</v>
      </c>
      <c r="H227" s="22" t="s">
        <v>8892</v>
      </c>
      <c r="K227" s="4"/>
    </row>
    <row r="228" spans="1:11" ht="15.75" customHeight="1">
      <c r="A228" s="4" t="s">
        <v>2429</v>
      </c>
      <c r="B228" s="4" t="s">
        <v>2430</v>
      </c>
      <c r="C228" s="19" t="s">
        <v>8893</v>
      </c>
      <c r="D228" s="4"/>
      <c r="E228" s="2" t="s">
        <v>8030</v>
      </c>
      <c r="F228" s="2" t="s">
        <v>8039</v>
      </c>
      <c r="G228" s="22" t="s">
        <v>8894</v>
      </c>
      <c r="H228" s="22" t="s">
        <v>8895</v>
      </c>
      <c r="K228" s="4"/>
    </row>
    <row r="229" spans="1:11" ht="15.75" customHeight="1">
      <c r="A229" s="4" t="s">
        <v>2429</v>
      </c>
      <c r="B229" s="4" t="s">
        <v>2430</v>
      </c>
      <c r="C229" s="19" t="s">
        <v>8896</v>
      </c>
      <c r="D229" s="4"/>
      <c r="E229" s="2" t="s">
        <v>8030</v>
      </c>
      <c r="F229" s="2" t="s">
        <v>8040</v>
      </c>
      <c r="G229" s="22" t="s">
        <v>8897</v>
      </c>
      <c r="H229" s="22" t="s">
        <v>8898</v>
      </c>
      <c r="K229" s="4"/>
    </row>
    <row r="230" spans="1:11" ht="15.75" customHeight="1">
      <c r="A230" s="4" t="s">
        <v>2429</v>
      </c>
      <c r="B230" s="4" t="s">
        <v>2430</v>
      </c>
      <c r="C230" s="19" t="s">
        <v>8899</v>
      </c>
      <c r="D230" s="4"/>
      <c r="E230" s="2" t="s">
        <v>8030</v>
      </c>
      <c r="F230" s="2" t="s">
        <v>8041</v>
      </c>
      <c r="G230" s="22" t="s">
        <v>8900</v>
      </c>
      <c r="H230" s="22" t="s">
        <v>8901</v>
      </c>
      <c r="K230" s="4"/>
    </row>
    <row r="231" spans="1:11" ht="15.75" customHeight="1">
      <c r="A231" s="4" t="s">
        <v>2429</v>
      </c>
      <c r="B231" s="4" t="s">
        <v>2430</v>
      </c>
      <c r="C231" s="19" t="s">
        <v>8902</v>
      </c>
      <c r="D231" s="4"/>
      <c r="E231" s="2" t="s">
        <v>8030</v>
      </c>
      <c r="F231" s="23" t="s">
        <v>8042</v>
      </c>
      <c r="G231" s="22" t="s">
        <v>8903</v>
      </c>
      <c r="H231" s="22" t="s">
        <v>8904</v>
      </c>
      <c r="K231" s="4"/>
    </row>
    <row r="232" spans="1:11" ht="15.75" customHeight="1">
      <c r="A232" s="4" t="s">
        <v>2429</v>
      </c>
      <c r="B232" s="4" t="s">
        <v>2430</v>
      </c>
      <c r="C232" s="19" t="s">
        <v>8905</v>
      </c>
      <c r="D232" s="4"/>
      <c r="E232" s="2" t="s">
        <v>8030</v>
      </c>
      <c r="F232" s="2" t="s">
        <v>8043</v>
      </c>
      <c r="G232" s="22" t="s">
        <v>8906</v>
      </c>
      <c r="H232" s="22" t="s">
        <v>8907</v>
      </c>
      <c r="K232" s="4"/>
    </row>
    <row r="233" spans="1:11" ht="15.75" customHeight="1">
      <c r="A233" s="4" t="s">
        <v>2429</v>
      </c>
      <c r="B233" s="4" t="s">
        <v>2430</v>
      </c>
      <c r="C233" s="19" t="s">
        <v>8908</v>
      </c>
      <c r="D233" s="4"/>
      <c r="E233" s="2" t="s">
        <v>8030</v>
      </c>
      <c r="F233" s="2" t="s">
        <v>8044</v>
      </c>
      <c r="G233" s="22" t="s">
        <v>8909</v>
      </c>
      <c r="H233" s="22" t="s">
        <v>8910</v>
      </c>
      <c r="K233" s="4"/>
    </row>
    <row r="234" spans="1:11" ht="15.75" customHeight="1">
      <c r="A234" s="4" t="s">
        <v>2429</v>
      </c>
      <c r="B234" s="4" t="s">
        <v>2430</v>
      </c>
      <c r="C234" s="19" t="s">
        <v>8911</v>
      </c>
      <c r="D234" s="4"/>
      <c r="E234" s="2" t="s">
        <v>8030</v>
      </c>
      <c r="F234" s="2" t="s">
        <v>8045</v>
      </c>
      <c r="G234" s="22" t="s">
        <v>8912</v>
      </c>
      <c r="H234" s="22" t="s">
        <v>8913</v>
      </c>
      <c r="K234" s="4"/>
    </row>
    <row r="235" spans="1:11" ht="15.75" customHeight="1">
      <c r="A235" s="4" t="s">
        <v>2429</v>
      </c>
      <c r="B235" s="4" t="s">
        <v>2430</v>
      </c>
      <c r="C235" s="19" t="s">
        <v>8914</v>
      </c>
      <c r="D235" s="4"/>
      <c r="E235" s="2" t="s">
        <v>8030</v>
      </c>
      <c r="F235" s="2" t="s">
        <v>8046</v>
      </c>
      <c r="G235" s="22" t="s">
        <v>8915</v>
      </c>
      <c r="H235" s="22" t="s">
        <v>8916</v>
      </c>
      <c r="K235" s="4"/>
    </row>
    <row r="236" spans="1:11" ht="15.75" customHeight="1">
      <c r="A236" s="4" t="s">
        <v>2429</v>
      </c>
      <c r="B236" s="4" t="s">
        <v>2430</v>
      </c>
      <c r="C236" s="19" t="s">
        <v>8917</v>
      </c>
      <c r="D236" s="4"/>
      <c r="E236" s="2" t="s">
        <v>8030</v>
      </c>
      <c r="F236" s="2" t="s">
        <v>8047</v>
      </c>
      <c r="G236" s="22" t="s">
        <v>8918</v>
      </c>
      <c r="H236" s="22" t="s">
        <v>8919</v>
      </c>
      <c r="K236" s="4"/>
    </row>
    <row r="237" spans="1:11" ht="15.75" customHeight="1">
      <c r="A237" s="4" t="s">
        <v>2429</v>
      </c>
      <c r="B237" s="4" t="s">
        <v>2430</v>
      </c>
      <c r="C237" s="19" t="s">
        <v>8920</v>
      </c>
      <c r="D237" s="4"/>
      <c r="E237" s="2" t="s">
        <v>8030</v>
      </c>
      <c r="F237" s="2" t="s">
        <v>8048</v>
      </c>
      <c r="G237" s="22" t="s">
        <v>8921</v>
      </c>
      <c r="H237" s="22" t="s">
        <v>8922</v>
      </c>
      <c r="K237" s="4"/>
    </row>
    <row r="238" spans="1:11" ht="15.75" customHeight="1">
      <c r="A238" s="4" t="s">
        <v>2429</v>
      </c>
      <c r="B238" s="4" t="s">
        <v>2430</v>
      </c>
      <c r="C238" s="19" t="s">
        <v>8923</v>
      </c>
      <c r="D238" s="4"/>
      <c r="E238" s="2" t="s">
        <v>8030</v>
      </c>
      <c r="F238" s="2" t="s">
        <v>8049</v>
      </c>
      <c r="G238" s="22" t="s">
        <v>8924</v>
      </c>
      <c r="H238" s="22" t="s">
        <v>8925</v>
      </c>
      <c r="K238" s="4"/>
    </row>
    <row r="239" spans="1:11" ht="15.75" customHeight="1">
      <c r="A239" s="4" t="s">
        <v>2429</v>
      </c>
      <c r="B239" s="4" t="s">
        <v>2430</v>
      </c>
      <c r="C239" s="19" t="s">
        <v>8926</v>
      </c>
      <c r="D239" s="4"/>
      <c r="E239" s="2" t="s">
        <v>8030</v>
      </c>
      <c r="F239" s="2" t="s">
        <v>8050</v>
      </c>
      <c r="G239" s="22" t="s">
        <v>8927</v>
      </c>
      <c r="H239" s="22" t="s">
        <v>8928</v>
      </c>
      <c r="K239" s="4"/>
    </row>
    <row r="240" spans="1:11" ht="15.75" customHeight="1">
      <c r="A240" s="4" t="s">
        <v>2429</v>
      </c>
      <c r="B240" s="4" t="s">
        <v>2430</v>
      </c>
      <c r="C240" s="19" t="s">
        <v>8929</v>
      </c>
      <c r="D240" s="4"/>
      <c r="E240" s="2" t="s">
        <v>8030</v>
      </c>
      <c r="F240" s="2" t="s">
        <v>8051</v>
      </c>
      <c r="G240" s="22" t="s">
        <v>8930</v>
      </c>
      <c r="H240" s="22" t="s">
        <v>8931</v>
      </c>
      <c r="K240" s="4"/>
    </row>
    <row r="241" spans="1:15" ht="15.75" customHeight="1">
      <c r="A241" s="4" t="s">
        <v>2429</v>
      </c>
      <c r="B241" s="4" t="s">
        <v>2430</v>
      </c>
      <c r="C241" s="19" t="s">
        <v>8932</v>
      </c>
      <c r="D241" s="4"/>
      <c r="E241" s="2" t="s">
        <v>8030</v>
      </c>
      <c r="F241" s="2" t="s">
        <v>8052</v>
      </c>
      <c r="G241" s="22" t="s">
        <v>8933</v>
      </c>
      <c r="H241" s="22" t="s">
        <v>8934</v>
      </c>
      <c r="K241" s="4"/>
    </row>
    <row r="242" spans="1:15" ht="15.75" customHeight="1">
      <c r="A242" s="4" t="s">
        <v>2429</v>
      </c>
      <c r="B242" s="4" t="s">
        <v>2430</v>
      </c>
      <c r="C242" s="19" t="s">
        <v>8935</v>
      </c>
      <c r="D242" s="4"/>
      <c r="E242" s="2" t="s">
        <v>8030</v>
      </c>
      <c r="F242" s="2" t="s">
        <v>8053</v>
      </c>
      <c r="G242" s="22" t="s">
        <v>8936</v>
      </c>
      <c r="H242" s="22" t="s">
        <v>8937</v>
      </c>
      <c r="K242" s="4"/>
    </row>
    <row r="243" spans="1:15" ht="15.75" customHeight="1">
      <c r="A243" s="4" t="s">
        <v>3116</v>
      </c>
      <c r="B243" s="4" t="s">
        <v>3117</v>
      </c>
      <c r="C243" s="19" t="s">
        <v>8938</v>
      </c>
      <c r="D243" s="4"/>
      <c r="E243" s="2" t="s">
        <v>8054</v>
      </c>
      <c r="F243" s="2" t="s">
        <v>8055</v>
      </c>
      <c r="G243" s="22" t="s">
        <v>8939</v>
      </c>
      <c r="H243" s="22" t="s">
        <v>8940</v>
      </c>
      <c r="K243" s="4"/>
      <c r="N243" s="4" t="s">
        <v>448</v>
      </c>
      <c r="O243" s="4">
        <v>323</v>
      </c>
    </row>
    <row r="244" spans="1:15" ht="15.75" customHeight="1">
      <c r="A244" s="4" t="s">
        <v>3116</v>
      </c>
      <c r="B244" s="4" t="s">
        <v>3117</v>
      </c>
      <c r="C244" s="19" t="s">
        <v>8941</v>
      </c>
      <c r="D244" s="4"/>
      <c r="E244" s="2" t="s">
        <v>8054</v>
      </c>
      <c r="F244" s="2" t="s">
        <v>8056</v>
      </c>
      <c r="G244" s="22" t="s">
        <v>8942</v>
      </c>
      <c r="H244" s="22" t="s">
        <v>8943</v>
      </c>
      <c r="K244" s="4"/>
      <c r="N244" s="4" t="s">
        <v>448</v>
      </c>
      <c r="O244" s="4">
        <v>323</v>
      </c>
    </row>
    <row r="245" spans="1:15" ht="15.75" customHeight="1">
      <c r="A245" s="4" t="s">
        <v>3116</v>
      </c>
      <c r="B245" s="4" t="s">
        <v>3117</v>
      </c>
      <c r="C245" s="19" t="s">
        <v>8944</v>
      </c>
      <c r="D245" s="4"/>
      <c r="E245" s="2" t="s">
        <v>8054</v>
      </c>
      <c r="F245" s="2" t="s">
        <v>8057</v>
      </c>
      <c r="G245" s="4" t="s">
        <v>8058</v>
      </c>
      <c r="H245" s="22" t="s">
        <v>8945</v>
      </c>
      <c r="K245" s="4"/>
      <c r="N245" s="4" t="s">
        <v>448</v>
      </c>
      <c r="O245" s="4">
        <v>323</v>
      </c>
    </row>
    <row r="246" spans="1:15" ht="15.75" customHeight="1">
      <c r="A246" s="4" t="s">
        <v>3116</v>
      </c>
      <c r="B246" s="4" t="s">
        <v>3117</v>
      </c>
      <c r="C246" s="19" t="s">
        <v>8946</v>
      </c>
      <c r="D246" s="4"/>
      <c r="E246" s="2" t="s">
        <v>8054</v>
      </c>
      <c r="F246" s="2" t="s">
        <v>8059</v>
      </c>
      <c r="G246" s="22" t="s">
        <v>8947</v>
      </c>
      <c r="H246" s="22" t="s">
        <v>8948</v>
      </c>
      <c r="K246" s="4"/>
      <c r="N246" s="4" t="s">
        <v>448</v>
      </c>
      <c r="O246" s="4">
        <v>323</v>
      </c>
    </row>
    <row r="247" spans="1:15" ht="15.75" customHeight="1">
      <c r="A247" s="4" t="s">
        <v>3116</v>
      </c>
      <c r="B247" s="4" t="s">
        <v>3117</v>
      </c>
      <c r="C247" s="19" t="s">
        <v>8949</v>
      </c>
      <c r="D247" s="4"/>
      <c r="E247" s="2" t="s">
        <v>8054</v>
      </c>
      <c r="F247" s="2" t="s">
        <v>8060</v>
      </c>
      <c r="G247" s="22" t="s">
        <v>8950</v>
      </c>
      <c r="H247" s="22" t="s">
        <v>8951</v>
      </c>
      <c r="K247" s="4"/>
      <c r="N247" s="4" t="s">
        <v>448</v>
      </c>
      <c r="O247" s="4">
        <v>323</v>
      </c>
    </row>
    <row r="248" spans="1:15" ht="15.75" customHeight="1">
      <c r="A248" s="4" t="s">
        <v>3116</v>
      </c>
      <c r="B248" s="4" t="s">
        <v>3117</v>
      </c>
      <c r="C248" s="19" t="s">
        <v>8952</v>
      </c>
      <c r="D248" s="4"/>
      <c r="E248" s="2" t="s">
        <v>8054</v>
      </c>
      <c r="F248" s="2" t="s">
        <v>8061</v>
      </c>
      <c r="G248" s="22" t="s">
        <v>8953</v>
      </c>
      <c r="H248" s="22" t="s">
        <v>8954</v>
      </c>
      <c r="K248" s="4"/>
      <c r="N248" s="4" t="s">
        <v>448</v>
      </c>
      <c r="O248" s="4">
        <v>323</v>
      </c>
    </row>
    <row r="249" spans="1:15" ht="15.75" customHeight="1">
      <c r="A249" s="4" t="s">
        <v>3116</v>
      </c>
      <c r="B249" s="4" t="s">
        <v>3117</v>
      </c>
      <c r="C249" s="19" t="s">
        <v>8955</v>
      </c>
      <c r="D249" s="4"/>
      <c r="E249" s="2" t="s">
        <v>8054</v>
      </c>
      <c r="F249" s="2" t="s">
        <v>8062</v>
      </c>
      <c r="G249" s="22" t="s">
        <v>8956</v>
      </c>
      <c r="H249" s="22" t="s">
        <v>8957</v>
      </c>
      <c r="K249" s="4"/>
      <c r="N249" s="4" t="s">
        <v>448</v>
      </c>
      <c r="O249" s="4">
        <v>323</v>
      </c>
    </row>
    <row r="250" spans="1:15" ht="15.75" customHeight="1">
      <c r="A250" s="4" t="s">
        <v>3116</v>
      </c>
      <c r="B250" s="4" t="s">
        <v>3117</v>
      </c>
      <c r="C250" s="19" t="s">
        <v>8958</v>
      </c>
      <c r="D250" s="4"/>
      <c r="E250" s="2" t="s">
        <v>8054</v>
      </c>
      <c r="F250" s="2" t="s">
        <v>8063</v>
      </c>
      <c r="G250" s="22" t="s">
        <v>8959</v>
      </c>
      <c r="H250" s="22" t="s">
        <v>8960</v>
      </c>
      <c r="K250" s="4"/>
      <c r="N250" s="4" t="s">
        <v>448</v>
      </c>
      <c r="O250" s="4">
        <v>323</v>
      </c>
    </row>
    <row r="251" spans="1:15" ht="15.75" customHeight="1">
      <c r="A251" s="4" t="s">
        <v>3116</v>
      </c>
      <c r="B251" s="4" t="s">
        <v>3117</v>
      </c>
      <c r="C251" s="19" t="s">
        <v>8961</v>
      </c>
      <c r="D251" s="4"/>
      <c r="E251" s="2" t="s">
        <v>8054</v>
      </c>
      <c r="F251" s="2" t="s">
        <v>8064</v>
      </c>
      <c r="G251" s="22" t="s">
        <v>8962</v>
      </c>
      <c r="H251" s="22" t="s">
        <v>8963</v>
      </c>
      <c r="K251" s="4"/>
      <c r="N251" s="4" t="s">
        <v>448</v>
      </c>
      <c r="O251" s="4">
        <v>323</v>
      </c>
    </row>
    <row r="252" spans="1:15" ht="15.75" customHeight="1">
      <c r="A252" s="4" t="s">
        <v>3116</v>
      </c>
      <c r="B252" s="4" t="s">
        <v>3117</v>
      </c>
      <c r="C252" s="19" t="s">
        <v>8964</v>
      </c>
      <c r="D252" s="4"/>
      <c r="E252" s="2" t="s">
        <v>8054</v>
      </c>
      <c r="F252" s="2" t="s">
        <v>8065</v>
      </c>
      <c r="G252" s="22" t="s">
        <v>8965</v>
      </c>
      <c r="H252" s="22" t="s">
        <v>8966</v>
      </c>
      <c r="K252" s="4"/>
      <c r="N252" s="4" t="s">
        <v>448</v>
      </c>
      <c r="O252" s="4">
        <v>323</v>
      </c>
    </row>
    <row r="253" spans="1:15" ht="15.75" customHeight="1">
      <c r="A253" s="4" t="s">
        <v>3116</v>
      </c>
      <c r="B253" s="4" t="s">
        <v>3117</v>
      </c>
      <c r="C253" s="19" t="s">
        <v>8967</v>
      </c>
      <c r="D253" s="4"/>
      <c r="E253" s="2" t="s">
        <v>8054</v>
      </c>
      <c r="F253" s="2" t="s">
        <v>8066</v>
      </c>
      <c r="G253" s="22" t="s">
        <v>8968</v>
      </c>
      <c r="H253" s="22" t="s">
        <v>8969</v>
      </c>
      <c r="K253" s="4"/>
      <c r="N253" s="4" t="s">
        <v>448</v>
      </c>
      <c r="O253" s="4">
        <v>323</v>
      </c>
    </row>
    <row r="254" spans="1:15" ht="15.75" customHeight="1">
      <c r="A254" s="4" t="s">
        <v>3130</v>
      </c>
      <c r="B254" s="4" t="s">
        <v>3131</v>
      </c>
      <c r="C254" s="19" t="s">
        <v>8970</v>
      </c>
      <c r="D254" s="4"/>
      <c r="E254" s="2" t="s">
        <v>8067</v>
      </c>
      <c r="F254" s="2" t="s">
        <v>8068</v>
      </c>
      <c r="G254" s="22" t="s">
        <v>8971</v>
      </c>
      <c r="H254" s="22" t="s">
        <v>8972</v>
      </c>
      <c r="K254" s="4"/>
      <c r="N254" s="4" t="s">
        <v>448</v>
      </c>
      <c r="O254" s="4">
        <v>323</v>
      </c>
    </row>
    <row r="255" spans="1:15" ht="15.75" customHeight="1">
      <c r="A255" s="4" t="s">
        <v>3443</v>
      </c>
      <c r="B255" s="4" t="s">
        <v>3444</v>
      </c>
      <c r="C255" s="19" t="s">
        <v>8973</v>
      </c>
      <c r="D255" s="4"/>
      <c r="E255" s="2" t="s">
        <v>8069</v>
      </c>
      <c r="F255" s="23" t="s">
        <v>8070</v>
      </c>
      <c r="G255" s="22" t="s">
        <v>8974</v>
      </c>
      <c r="H255" s="22" t="s">
        <v>8975</v>
      </c>
      <c r="K255" s="4"/>
      <c r="N255" s="4" t="s">
        <v>56</v>
      </c>
      <c r="O255" s="4">
        <v>188</v>
      </c>
    </row>
    <row r="256" spans="1:15" ht="15.75" customHeight="1">
      <c r="A256" s="4" t="s">
        <v>3451</v>
      </c>
      <c r="B256" s="4" t="s">
        <v>3452</v>
      </c>
      <c r="C256" s="19" t="s">
        <v>8976</v>
      </c>
      <c r="D256" s="4"/>
      <c r="E256" s="2" t="s">
        <v>8069</v>
      </c>
      <c r="F256" s="2" t="s">
        <v>8070</v>
      </c>
      <c r="G256" s="22" t="s">
        <v>8977</v>
      </c>
      <c r="H256" s="22" t="s">
        <v>8978</v>
      </c>
      <c r="K256" s="4"/>
      <c r="N256" s="4" t="s">
        <v>56</v>
      </c>
      <c r="O256" s="4">
        <v>66</v>
      </c>
    </row>
    <row r="257" spans="1:15" ht="15.75" customHeight="1">
      <c r="A257" s="4" t="s">
        <v>3447</v>
      </c>
      <c r="B257" s="4" t="s">
        <v>3448</v>
      </c>
      <c r="C257" s="19" t="s">
        <v>8979</v>
      </c>
      <c r="D257" s="4"/>
      <c r="E257" s="2" t="s">
        <v>8071</v>
      </c>
      <c r="F257" s="2" t="s">
        <v>8072</v>
      </c>
      <c r="G257" s="22" t="s">
        <v>8980</v>
      </c>
      <c r="H257" s="22" t="s">
        <v>8981</v>
      </c>
      <c r="K257" s="4"/>
      <c r="N257" s="4" t="s">
        <v>56</v>
      </c>
      <c r="O257" s="4">
        <v>184</v>
      </c>
    </row>
    <row r="258" spans="1:15" ht="15.75" customHeight="1">
      <c r="A258" s="4" t="s">
        <v>1899</v>
      </c>
      <c r="B258" s="4" t="s">
        <v>1900</v>
      </c>
      <c r="C258" s="4" t="s">
        <v>8073</v>
      </c>
      <c r="D258" s="4"/>
      <c r="E258" s="2" t="s">
        <v>8074</v>
      </c>
      <c r="F258" s="2" t="s">
        <v>8075</v>
      </c>
      <c r="G258" s="22" t="s">
        <v>8982</v>
      </c>
      <c r="H258" s="22" t="s">
        <v>8983</v>
      </c>
      <c r="K258" s="4"/>
      <c r="N258" s="4" t="s">
        <v>56</v>
      </c>
      <c r="O258" s="4">
        <v>103</v>
      </c>
    </row>
    <row r="259" spans="1:15" ht="15.75" customHeight="1">
      <c r="A259" s="4" t="s">
        <v>5886</v>
      </c>
      <c r="B259" s="4" t="s">
        <v>5887</v>
      </c>
      <c r="C259" s="19" t="s">
        <v>8984</v>
      </c>
      <c r="D259" s="4"/>
      <c r="E259" s="2" t="s">
        <v>8076</v>
      </c>
      <c r="F259" s="2" t="s">
        <v>8077</v>
      </c>
      <c r="G259" s="22" t="s">
        <v>8985</v>
      </c>
      <c r="H259" s="22" t="s">
        <v>8986</v>
      </c>
      <c r="K259" s="4"/>
      <c r="N259" s="4" t="s">
        <v>459</v>
      </c>
      <c r="O259" s="4">
        <v>468</v>
      </c>
    </row>
    <row r="260" spans="1:15" ht="15.75" customHeight="1">
      <c r="A260" s="4" t="s">
        <v>5886</v>
      </c>
      <c r="B260" s="4" t="s">
        <v>5887</v>
      </c>
      <c r="C260" s="19" t="s">
        <v>8987</v>
      </c>
      <c r="D260" s="4"/>
      <c r="E260" s="2" t="s">
        <v>8076</v>
      </c>
      <c r="F260" s="2" t="s">
        <v>8078</v>
      </c>
      <c r="G260" s="22" t="s">
        <v>8988</v>
      </c>
      <c r="H260" s="22" t="s">
        <v>8989</v>
      </c>
      <c r="K260" s="4"/>
      <c r="N260" s="4" t="s">
        <v>459</v>
      </c>
      <c r="O260" s="4">
        <v>468</v>
      </c>
    </row>
    <row r="261" spans="1:15" ht="15.75" customHeight="1">
      <c r="A261" s="4" t="s">
        <v>3122</v>
      </c>
      <c r="B261" s="4" t="s">
        <v>3123</v>
      </c>
      <c r="C261" s="19" t="s">
        <v>8990</v>
      </c>
      <c r="D261" s="4"/>
      <c r="E261" s="2" t="s">
        <v>8079</v>
      </c>
      <c r="F261" s="2" t="s">
        <v>8080</v>
      </c>
      <c r="G261" s="22" t="s">
        <v>8991</v>
      </c>
      <c r="H261" s="22" t="s">
        <v>8992</v>
      </c>
      <c r="K261" s="4"/>
      <c r="N261" s="4" t="s">
        <v>462</v>
      </c>
      <c r="O261" s="4">
        <v>273</v>
      </c>
    </row>
    <row r="262" spans="1:15" ht="15.75" customHeight="1">
      <c r="A262" s="4" t="s">
        <v>1295</v>
      </c>
      <c r="B262" s="4" t="s">
        <v>1296</v>
      </c>
      <c r="C262" s="19" t="s">
        <v>8993</v>
      </c>
      <c r="D262" s="4"/>
      <c r="E262" s="2" t="s">
        <v>8081</v>
      </c>
      <c r="F262" s="2" t="s">
        <v>8082</v>
      </c>
      <c r="G262" s="22" t="s">
        <v>8994</v>
      </c>
      <c r="H262" s="22" t="s">
        <v>8995</v>
      </c>
      <c r="K262" s="4"/>
      <c r="N262" s="4" t="s">
        <v>56</v>
      </c>
      <c r="O262" s="4">
        <v>78</v>
      </c>
    </row>
    <row r="263" spans="1:15" ht="15.75" customHeight="1">
      <c r="A263" s="4" t="s">
        <v>1295</v>
      </c>
      <c r="B263" s="4" t="s">
        <v>1296</v>
      </c>
      <c r="C263" s="19" t="s">
        <v>8996</v>
      </c>
      <c r="D263" s="4"/>
      <c r="E263" s="2" t="s">
        <v>8081</v>
      </c>
      <c r="F263" s="2" t="s">
        <v>8083</v>
      </c>
      <c r="G263" s="22" t="s">
        <v>8997</v>
      </c>
      <c r="H263" s="22" t="s">
        <v>8998</v>
      </c>
      <c r="K263" s="4"/>
      <c r="N263" s="4" t="s">
        <v>56</v>
      </c>
      <c r="O263" s="4">
        <v>78</v>
      </c>
    </row>
    <row r="264" spans="1:15" ht="15.75" customHeight="1">
      <c r="A264" s="4" t="s">
        <v>67</v>
      </c>
      <c r="B264" s="4" t="s">
        <v>68</v>
      </c>
      <c r="C264" s="19" t="s">
        <v>8999</v>
      </c>
      <c r="D264" s="4"/>
      <c r="E264" s="2" t="s">
        <v>8084</v>
      </c>
      <c r="F264" s="2" t="s">
        <v>8085</v>
      </c>
      <c r="G264" s="22" t="s">
        <v>9000</v>
      </c>
      <c r="H264" s="22" t="s">
        <v>9001</v>
      </c>
      <c r="K264" s="4"/>
      <c r="N264" s="4" t="s">
        <v>56</v>
      </c>
      <c r="O264" s="4">
        <v>87</v>
      </c>
    </row>
    <row r="265" spans="1:15" ht="15.75" customHeight="1">
      <c r="A265" s="4" t="s">
        <v>67</v>
      </c>
      <c r="B265" s="4" t="s">
        <v>68</v>
      </c>
      <c r="C265" s="19" t="s">
        <v>9002</v>
      </c>
      <c r="D265" s="4"/>
      <c r="E265" s="2" t="s">
        <v>8084</v>
      </c>
      <c r="F265" s="2" t="s">
        <v>8086</v>
      </c>
      <c r="G265" s="22" t="s">
        <v>9003</v>
      </c>
      <c r="H265" s="22" t="s">
        <v>9004</v>
      </c>
      <c r="K265" s="4"/>
      <c r="N265" s="4" t="s">
        <v>56</v>
      </c>
      <c r="O265" s="4">
        <v>87</v>
      </c>
    </row>
    <row r="266" spans="1:15" ht="15.75" customHeight="1">
      <c r="A266" s="4" t="s">
        <v>4908</v>
      </c>
      <c r="B266" s="4" t="s">
        <v>4909</v>
      </c>
      <c r="C266" s="19" t="s">
        <v>9005</v>
      </c>
      <c r="D266" s="4"/>
      <c r="E266" s="2" t="s">
        <v>8087</v>
      </c>
      <c r="F266" s="2" t="s">
        <v>8088</v>
      </c>
      <c r="G266" s="22" t="s">
        <v>9006</v>
      </c>
      <c r="H266" s="22" t="s">
        <v>9007</v>
      </c>
      <c r="K266" s="4"/>
      <c r="N266" s="4" t="s">
        <v>56</v>
      </c>
      <c r="O266" s="4">
        <v>75</v>
      </c>
    </row>
    <row r="267" spans="1:15" ht="15.75" customHeight="1">
      <c r="A267" s="4" t="s">
        <v>2423</v>
      </c>
      <c r="B267" s="4" t="s">
        <v>2424</v>
      </c>
      <c r="C267" s="19" t="s">
        <v>9008</v>
      </c>
      <c r="D267" s="4"/>
      <c r="E267" s="2" t="s">
        <v>8089</v>
      </c>
      <c r="F267" s="2" t="s">
        <v>8090</v>
      </c>
      <c r="G267" s="22" t="s">
        <v>9009</v>
      </c>
      <c r="H267" s="22" t="s">
        <v>9010</v>
      </c>
      <c r="K267" s="4"/>
      <c r="N267" s="4" t="s">
        <v>56</v>
      </c>
      <c r="O267" s="4">
        <v>48</v>
      </c>
    </row>
    <row r="268" spans="1:15" ht="15.75" customHeight="1">
      <c r="A268" s="4" t="s">
        <v>2900</v>
      </c>
      <c r="B268" s="4" t="s">
        <v>2901</v>
      </c>
      <c r="C268" s="19" t="s">
        <v>9011</v>
      </c>
      <c r="D268" s="4"/>
      <c r="E268" s="2" t="s">
        <v>8091</v>
      </c>
      <c r="F268" s="2" t="s">
        <v>8092</v>
      </c>
      <c r="G268" s="22" t="s">
        <v>9012</v>
      </c>
      <c r="H268" s="22" t="s">
        <v>9013</v>
      </c>
      <c r="K268" s="4"/>
      <c r="N268" s="4" t="s">
        <v>508</v>
      </c>
      <c r="O268" s="4">
        <v>450</v>
      </c>
    </row>
    <row r="269" spans="1:15" ht="15.75" customHeight="1">
      <c r="A269" s="4" t="s">
        <v>2900</v>
      </c>
      <c r="B269" s="4" t="s">
        <v>2901</v>
      </c>
      <c r="C269" s="19" t="s">
        <v>9014</v>
      </c>
      <c r="D269" s="4"/>
      <c r="E269" s="2" t="s">
        <v>8091</v>
      </c>
      <c r="F269" s="2" t="s">
        <v>8093</v>
      </c>
      <c r="G269" s="22" t="s">
        <v>9015</v>
      </c>
      <c r="H269" s="22" t="s">
        <v>9016</v>
      </c>
      <c r="K269" s="4"/>
      <c r="N269" s="4" t="s">
        <v>508</v>
      </c>
      <c r="O269" s="4">
        <v>450</v>
      </c>
    </row>
    <row r="270" spans="1:15" ht="15.75" customHeight="1">
      <c r="A270" s="4" t="s">
        <v>2900</v>
      </c>
      <c r="B270" s="4" t="s">
        <v>2901</v>
      </c>
      <c r="C270" s="19" t="s">
        <v>9017</v>
      </c>
      <c r="D270" s="4"/>
      <c r="E270" s="2" t="s">
        <v>8091</v>
      </c>
      <c r="F270" s="2" t="s">
        <v>8094</v>
      </c>
      <c r="G270" s="22" t="s">
        <v>9018</v>
      </c>
      <c r="H270" s="22" t="s">
        <v>9019</v>
      </c>
      <c r="K270" s="4"/>
      <c r="N270" s="4" t="s">
        <v>508</v>
      </c>
      <c r="O270" s="4">
        <v>450</v>
      </c>
    </row>
    <row r="271" spans="1:15" ht="15.75" customHeight="1">
      <c r="A271" s="4" t="s">
        <v>2900</v>
      </c>
      <c r="B271" s="4" t="s">
        <v>2901</v>
      </c>
      <c r="C271" s="19" t="s">
        <v>9020</v>
      </c>
      <c r="D271" s="4"/>
      <c r="E271" s="2" t="s">
        <v>8091</v>
      </c>
      <c r="F271" s="2" t="s">
        <v>8095</v>
      </c>
      <c r="G271" s="22" t="s">
        <v>9021</v>
      </c>
      <c r="H271" s="22" t="s">
        <v>9022</v>
      </c>
      <c r="K271" s="4"/>
      <c r="N271" s="4" t="s">
        <v>508</v>
      </c>
      <c r="O271" s="4">
        <v>450</v>
      </c>
    </row>
    <row r="272" spans="1:15" ht="15.75" customHeight="1">
      <c r="A272" s="4" t="s">
        <v>2904</v>
      </c>
      <c r="B272" s="4" t="s">
        <v>2905</v>
      </c>
      <c r="C272" s="19" t="s">
        <v>9023</v>
      </c>
      <c r="D272" s="4"/>
      <c r="E272" s="2" t="s">
        <v>8096</v>
      </c>
      <c r="F272" s="2" t="s">
        <v>8097</v>
      </c>
      <c r="G272" s="4" t="s">
        <v>8098</v>
      </c>
      <c r="H272" s="22" t="s">
        <v>9024</v>
      </c>
      <c r="K272" s="4"/>
      <c r="N272" s="4" t="s">
        <v>511</v>
      </c>
      <c r="O272" s="4">
        <v>196</v>
      </c>
    </row>
    <row r="273" spans="1:15" ht="15.75" customHeight="1">
      <c r="A273" s="4" t="s">
        <v>2904</v>
      </c>
      <c r="B273" s="4" t="s">
        <v>2905</v>
      </c>
      <c r="C273" s="19" t="s">
        <v>9025</v>
      </c>
      <c r="D273" s="4"/>
      <c r="E273" s="2" t="s">
        <v>8096</v>
      </c>
      <c r="F273" s="2" t="s">
        <v>8099</v>
      </c>
      <c r="G273" s="4" t="s">
        <v>8100</v>
      </c>
      <c r="H273" s="22" t="s">
        <v>9026</v>
      </c>
      <c r="K273" s="4"/>
      <c r="N273" s="4" t="s">
        <v>511</v>
      </c>
      <c r="O273" s="4">
        <v>196</v>
      </c>
    </row>
    <row r="274" spans="1:15" ht="15.75" customHeight="1">
      <c r="A274" s="4" t="s">
        <v>888</v>
      </c>
      <c r="B274" s="4" t="s">
        <v>889</v>
      </c>
      <c r="C274" s="18" t="s">
        <v>8101</v>
      </c>
      <c r="D274" s="4"/>
      <c r="E274" s="23" t="s">
        <v>8102</v>
      </c>
      <c r="F274" s="2" t="s">
        <v>8103</v>
      </c>
      <c r="G274" s="4" t="s">
        <v>8104</v>
      </c>
      <c r="H274" s="22" t="s">
        <v>9027</v>
      </c>
      <c r="I274" s="4"/>
      <c r="K274" s="4"/>
      <c r="N274" s="4" t="s">
        <v>514</v>
      </c>
      <c r="O274" s="4">
        <v>359</v>
      </c>
    </row>
    <row r="275" spans="1:15" ht="15.75" customHeight="1">
      <c r="A275" s="4" t="s">
        <v>888</v>
      </c>
      <c r="B275" s="4" t="s">
        <v>889</v>
      </c>
      <c r="C275" s="18" t="s">
        <v>8101</v>
      </c>
      <c r="D275" s="4"/>
      <c r="E275" s="23" t="s">
        <v>8102</v>
      </c>
      <c r="F275" s="23" t="s">
        <v>8105</v>
      </c>
      <c r="G275" s="4" t="s">
        <v>8106</v>
      </c>
      <c r="H275" s="22" t="s">
        <v>9028</v>
      </c>
      <c r="I275" s="4"/>
      <c r="K275" s="4"/>
      <c r="N275" s="4" t="s">
        <v>514</v>
      </c>
      <c r="O275" s="4">
        <v>359</v>
      </c>
    </row>
    <row r="276" spans="1:15" ht="15.75" customHeight="1">
      <c r="A276" s="4" t="s">
        <v>888</v>
      </c>
      <c r="B276" s="4" t="s">
        <v>889</v>
      </c>
      <c r="C276" s="18" t="s">
        <v>8101</v>
      </c>
      <c r="D276" s="4"/>
      <c r="E276" s="23" t="s">
        <v>8102</v>
      </c>
      <c r="F276" s="2" t="s">
        <v>8107</v>
      </c>
      <c r="G276" s="4" t="s">
        <v>8108</v>
      </c>
      <c r="H276" s="22" t="s">
        <v>9029</v>
      </c>
      <c r="I276" s="4"/>
      <c r="K276" s="4"/>
      <c r="N276" s="4" t="s">
        <v>514</v>
      </c>
      <c r="O276" s="4">
        <v>359</v>
      </c>
    </row>
    <row r="277" spans="1:15" ht="15.75" customHeight="1">
      <c r="A277" s="4" t="s">
        <v>888</v>
      </c>
      <c r="B277" s="4" t="s">
        <v>889</v>
      </c>
      <c r="C277" s="18" t="s">
        <v>8101</v>
      </c>
      <c r="D277" s="4"/>
      <c r="E277" s="23" t="s">
        <v>8102</v>
      </c>
      <c r="F277" s="2" t="s">
        <v>8109</v>
      </c>
      <c r="G277" s="4" t="s">
        <v>8110</v>
      </c>
      <c r="H277" s="22" t="s">
        <v>9030</v>
      </c>
      <c r="I277" s="4"/>
      <c r="K277" s="4"/>
      <c r="N277" s="4" t="s">
        <v>514</v>
      </c>
      <c r="O277" s="4">
        <v>359</v>
      </c>
    </row>
    <row r="278" spans="1:15" ht="15.75" customHeight="1">
      <c r="A278" s="4" t="s">
        <v>888</v>
      </c>
      <c r="B278" s="4" t="s">
        <v>889</v>
      </c>
      <c r="C278" s="18" t="s">
        <v>8101</v>
      </c>
      <c r="D278" s="4"/>
      <c r="E278" s="23" t="s">
        <v>8102</v>
      </c>
      <c r="F278" s="2" t="s">
        <v>8111</v>
      </c>
      <c r="G278" s="4" t="s">
        <v>8112</v>
      </c>
      <c r="H278" s="4" t="s">
        <v>8113</v>
      </c>
      <c r="I278" s="4"/>
      <c r="K278" s="4"/>
      <c r="N278" s="4" t="s">
        <v>514</v>
      </c>
      <c r="O278" s="4">
        <v>359</v>
      </c>
    </row>
    <row r="279" spans="1:15" ht="15.75" customHeight="1">
      <c r="A279" s="4" t="s">
        <v>2324</v>
      </c>
      <c r="B279" s="4" t="s">
        <v>2325</v>
      </c>
      <c r="C279" s="18" t="s">
        <v>8114</v>
      </c>
      <c r="D279" s="4"/>
      <c r="E279" s="23" t="s">
        <v>8115</v>
      </c>
      <c r="F279" s="2" t="s">
        <v>8116</v>
      </c>
      <c r="G279" s="22" t="s">
        <v>9031</v>
      </c>
      <c r="H279" s="4" t="s">
        <v>8117</v>
      </c>
      <c r="K279" s="4"/>
      <c r="N279" s="4" t="s">
        <v>522</v>
      </c>
      <c r="O279" s="4">
        <v>333</v>
      </c>
    </row>
    <row r="280" spans="1:15" ht="15.75" customHeight="1">
      <c r="A280" s="4" t="s">
        <v>1364</v>
      </c>
      <c r="B280" s="4" t="s">
        <v>1365</v>
      </c>
      <c r="C280" s="19" t="s">
        <v>9032</v>
      </c>
      <c r="D280" s="4"/>
      <c r="E280" s="23" t="s">
        <v>8118</v>
      </c>
      <c r="F280" s="2" t="s">
        <v>8119</v>
      </c>
      <c r="G280" s="22" t="s">
        <v>9033</v>
      </c>
      <c r="H280" s="4" t="s">
        <v>8120</v>
      </c>
      <c r="I280" s="4"/>
      <c r="K280" s="4"/>
      <c r="N280" s="4" t="s">
        <v>525</v>
      </c>
      <c r="O280" s="4">
        <v>410</v>
      </c>
    </row>
    <row r="281" spans="1:15" ht="15.75" customHeight="1">
      <c r="A281" s="4" t="s">
        <v>4937</v>
      </c>
      <c r="B281" s="4" t="s">
        <v>4938</v>
      </c>
      <c r="C281" s="19" t="s">
        <v>9034</v>
      </c>
      <c r="D281" s="4"/>
      <c r="E281" s="2" t="s">
        <v>8121</v>
      </c>
      <c r="F281" s="2" t="s">
        <v>8122</v>
      </c>
      <c r="G281" s="22" t="s">
        <v>9035</v>
      </c>
      <c r="H281" s="22" t="s">
        <v>9036</v>
      </c>
      <c r="I281" s="4"/>
      <c r="K281" s="4"/>
      <c r="N281" s="4" t="s">
        <v>529</v>
      </c>
      <c r="O281" s="4">
        <v>209</v>
      </c>
    </row>
    <row r="282" spans="1:15" ht="15.75" customHeight="1">
      <c r="A282" s="4" t="s">
        <v>3333</v>
      </c>
      <c r="B282" s="4" t="s">
        <v>3334</v>
      </c>
      <c r="C282" s="18" t="s">
        <v>8123</v>
      </c>
      <c r="D282" s="4"/>
      <c r="E282" s="23" t="s">
        <v>8124</v>
      </c>
      <c r="F282" s="2" t="s">
        <v>8125</v>
      </c>
      <c r="G282" s="22" t="s">
        <v>9037</v>
      </c>
      <c r="H282" s="22" t="s">
        <v>9038</v>
      </c>
      <c r="I282" s="4"/>
      <c r="K282" s="4"/>
      <c r="N282" s="4" t="s">
        <v>533</v>
      </c>
      <c r="O282" s="4">
        <v>236</v>
      </c>
    </row>
    <row r="283" spans="1:15" ht="15.75" customHeight="1">
      <c r="A283" s="4" t="s">
        <v>3333</v>
      </c>
      <c r="B283" s="4" t="s">
        <v>3334</v>
      </c>
      <c r="C283" s="18" t="s">
        <v>8123</v>
      </c>
      <c r="D283" s="4"/>
      <c r="E283" s="23" t="s">
        <v>8124</v>
      </c>
      <c r="F283" s="2" t="s">
        <v>8126</v>
      </c>
      <c r="G283" s="4" t="s">
        <v>8127</v>
      </c>
      <c r="H283" s="4" t="s">
        <v>8128</v>
      </c>
      <c r="I283" s="4"/>
      <c r="K283" s="4"/>
      <c r="N283" s="4" t="s">
        <v>533</v>
      </c>
      <c r="O283" s="4">
        <v>236</v>
      </c>
    </row>
    <row r="284" spans="1:15" ht="15.75" customHeight="1">
      <c r="A284" s="4" t="s">
        <v>3333</v>
      </c>
      <c r="B284" s="4" t="s">
        <v>3334</v>
      </c>
      <c r="C284" s="18" t="s">
        <v>8123</v>
      </c>
      <c r="D284" s="4"/>
      <c r="E284" s="23" t="s">
        <v>8124</v>
      </c>
      <c r="F284" s="2" t="s">
        <v>8129</v>
      </c>
      <c r="G284" s="4" t="s">
        <v>8130</v>
      </c>
      <c r="H284" s="4" t="s">
        <v>8131</v>
      </c>
      <c r="I284" s="4"/>
      <c r="K284" s="4"/>
      <c r="N284" s="4" t="s">
        <v>533</v>
      </c>
      <c r="O284" s="4">
        <v>236</v>
      </c>
    </row>
    <row r="285" spans="1:15" ht="15.75" customHeight="1">
      <c r="A285" s="4" t="s">
        <v>3333</v>
      </c>
      <c r="B285" s="4" t="s">
        <v>3334</v>
      </c>
      <c r="C285" s="18" t="s">
        <v>8123</v>
      </c>
      <c r="D285" s="4"/>
      <c r="E285" s="23" t="s">
        <v>8124</v>
      </c>
      <c r="F285" s="2" t="s">
        <v>8132</v>
      </c>
      <c r="G285" s="4" t="s">
        <v>8133</v>
      </c>
      <c r="H285" s="4" t="s">
        <v>8134</v>
      </c>
      <c r="I285" s="4"/>
      <c r="K285" s="4"/>
      <c r="N285" s="4" t="s">
        <v>533</v>
      </c>
      <c r="O285" s="4">
        <v>236</v>
      </c>
    </row>
    <row r="286" spans="1:15" ht="15.75" customHeight="1">
      <c r="A286" s="4" t="s">
        <v>3333</v>
      </c>
      <c r="B286" s="4" t="s">
        <v>3334</v>
      </c>
      <c r="C286" s="18" t="s">
        <v>8123</v>
      </c>
      <c r="D286" s="4"/>
      <c r="E286" s="23" t="s">
        <v>8124</v>
      </c>
      <c r="F286" s="2" t="s">
        <v>8135</v>
      </c>
      <c r="G286" s="4" t="s">
        <v>8136</v>
      </c>
      <c r="H286" s="4" t="s">
        <v>8137</v>
      </c>
      <c r="I286" s="4"/>
      <c r="K286" s="4"/>
      <c r="N286" s="4" t="s">
        <v>533</v>
      </c>
      <c r="O286" s="4">
        <v>236</v>
      </c>
    </row>
    <row r="287" spans="1:15" ht="15.75" customHeight="1">
      <c r="A287" s="4" t="s">
        <v>380</v>
      </c>
      <c r="B287" s="4" t="s">
        <v>381</v>
      </c>
      <c r="C287" s="18" t="s">
        <v>8138</v>
      </c>
      <c r="D287" s="4"/>
      <c r="E287" s="23" t="s">
        <v>8139</v>
      </c>
      <c r="F287" s="2" t="s">
        <v>8140</v>
      </c>
      <c r="G287" s="22" t="s">
        <v>9039</v>
      </c>
      <c r="H287" s="22" t="s">
        <v>9040</v>
      </c>
      <c r="I287" s="4"/>
      <c r="K287" s="4"/>
      <c r="N287" s="4" t="s">
        <v>537</v>
      </c>
      <c r="O287" s="4">
        <v>70</v>
      </c>
    </row>
    <row r="288" spans="1:15" ht="15.75" customHeight="1">
      <c r="A288" s="4" t="s">
        <v>380</v>
      </c>
      <c r="B288" s="4" t="s">
        <v>381</v>
      </c>
      <c r="C288" s="18" t="s">
        <v>8138</v>
      </c>
      <c r="D288" s="4"/>
      <c r="E288" s="23" t="s">
        <v>8139</v>
      </c>
      <c r="F288" s="2" t="s">
        <v>8141</v>
      </c>
      <c r="G288" s="4" t="s">
        <v>8142</v>
      </c>
      <c r="H288" s="4" t="s">
        <v>8143</v>
      </c>
      <c r="I288" s="4"/>
      <c r="K288" s="4"/>
      <c r="N288" s="4" t="s">
        <v>537</v>
      </c>
      <c r="O288" s="4">
        <v>70</v>
      </c>
    </row>
    <row r="289" spans="1:15" ht="15.75" customHeight="1">
      <c r="A289" s="4" t="s">
        <v>6989</v>
      </c>
      <c r="B289" s="4" t="s">
        <v>6990</v>
      </c>
      <c r="C289" s="18" t="s">
        <v>8144</v>
      </c>
      <c r="D289" s="4"/>
      <c r="E289" s="23" t="s">
        <v>8145</v>
      </c>
      <c r="F289" s="2" t="s">
        <v>8146</v>
      </c>
      <c r="G289" s="22" t="s">
        <v>9041</v>
      </c>
      <c r="H289" s="22" t="s">
        <v>9042</v>
      </c>
      <c r="I289" s="4"/>
      <c r="K289" s="4"/>
      <c r="N289" s="4" t="s">
        <v>541</v>
      </c>
      <c r="O289" s="4">
        <v>162</v>
      </c>
    </row>
    <row r="290" spans="1:15" ht="15.75" customHeight="1">
      <c r="A290" s="4" t="s">
        <v>2601</v>
      </c>
      <c r="B290" s="4" t="s">
        <v>2602</v>
      </c>
      <c r="C290" s="18" t="s">
        <v>8147</v>
      </c>
      <c r="D290" s="4"/>
      <c r="E290" s="23" t="s">
        <v>8148</v>
      </c>
      <c r="F290" s="2" t="s">
        <v>8149</v>
      </c>
      <c r="G290" s="22" t="s">
        <v>9043</v>
      </c>
      <c r="H290" s="22" t="s">
        <v>9044</v>
      </c>
      <c r="I290" s="4"/>
      <c r="K290" s="4"/>
      <c r="N290" s="4" t="s">
        <v>545</v>
      </c>
      <c r="O290" s="4">
        <v>181</v>
      </c>
    </row>
    <row r="291" spans="1:15" ht="15.75" customHeight="1">
      <c r="A291" s="4" t="s">
        <v>1712</v>
      </c>
      <c r="B291" s="4" t="s">
        <v>1713</v>
      </c>
      <c r="C291" s="18" t="s">
        <v>8150</v>
      </c>
      <c r="D291" s="4"/>
      <c r="E291" s="23" t="s">
        <v>8151</v>
      </c>
      <c r="F291" s="2" t="s">
        <v>8152</v>
      </c>
      <c r="G291" s="22" t="s">
        <v>9045</v>
      </c>
      <c r="H291" s="4" t="s">
        <v>8153</v>
      </c>
      <c r="I291" s="4"/>
      <c r="K291" s="4"/>
      <c r="N291" s="4" t="s">
        <v>549</v>
      </c>
      <c r="O291" s="4">
        <v>509</v>
      </c>
    </row>
    <row r="292" spans="1:15" ht="15.75" customHeight="1">
      <c r="A292" s="4" t="s">
        <v>1712</v>
      </c>
      <c r="B292" s="4" t="s">
        <v>1713</v>
      </c>
      <c r="C292" s="18" t="s">
        <v>8150</v>
      </c>
      <c r="D292" s="4"/>
      <c r="E292" s="23" t="s">
        <v>8151</v>
      </c>
      <c r="F292" s="2" t="s">
        <v>8154</v>
      </c>
      <c r="G292" s="4" t="s">
        <v>8155</v>
      </c>
      <c r="H292" s="4" t="s">
        <v>8156</v>
      </c>
      <c r="I292" s="4"/>
      <c r="K292" s="4"/>
      <c r="N292" s="4" t="s">
        <v>549</v>
      </c>
      <c r="O292" s="4">
        <v>509</v>
      </c>
    </row>
    <row r="293" spans="1:15" ht="15.75" customHeight="1">
      <c r="A293" s="4" t="s">
        <v>6074</v>
      </c>
      <c r="B293" s="4" t="s">
        <v>6075</v>
      </c>
      <c r="C293" s="19" t="s">
        <v>9046</v>
      </c>
      <c r="D293" s="4"/>
      <c r="E293" s="2" t="s">
        <v>8157</v>
      </c>
      <c r="F293" s="2" t="s">
        <v>8152</v>
      </c>
      <c r="G293" s="4" t="s">
        <v>8158</v>
      </c>
      <c r="H293" s="22" t="s">
        <v>9047</v>
      </c>
      <c r="K293" s="4"/>
      <c r="N293" s="4" t="s">
        <v>553</v>
      </c>
      <c r="O293" s="4">
        <v>308</v>
      </c>
    </row>
    <row r="294" spans="1:15" ht="15.75" customHeight="1">
      <c r="A294" s="4" t="s">
        <v>6074</v>
      </c>
      <c r="B294" s="4" t="s">
        <v>6075</v>
      </c>
      <c r="C294" s="19" t="s">
        <v>9048</v>
      </c>
      <c r="D294" s="4"/>
      <c r="E294" s="2" t="s">
        <v>8157</v>
      </c>
      <c r="F294" s="2" t="s">
        <v>8154</v>
      </c>
      <c r="G294" s="4" t="s">
        <v>8155</v>
      </c>
      <c r="H294" s="4" t="s">
        <v>8156</v>
      </c>
      <c r="K294" s="4"/>
      <c r="N294" s="4" t="s">
        <v>553</v>
      </c>
      <c r="O294" s="4">
        <v>308</v>
      </c>
    </row>
    <row r="295" spans="1:15" ht="15.75" customHeight="1">
      <c r="A295" s="4" t="s">
        <v>531</v>
      </c>
      <c r="B295" s="4" t="s">
        <v>532</v>
      </c>
      <c r="C295" s="18" t="s">
        <v>8159</v>
      </c>
      <c r="D295" s="4"/>
      <c r="E295" s="2" t="s">
        <v>8160</v>
      </c>
      <c r="F295" s="2" t="s">
        <v>8161</v>
      </c>
      <c r="G295" s="22" t="s">
        <v>9049</v>
      </c>
      <c r="H295" s="22" t="s">
        <v>9050</v>
      </c>
      <c r="I295" s="4"/>
      <c r="K295" s="4"/>
      <c r="N295" s="4" t="s">
        <v>556</v>
      </c>
      <c r="O295" s="4">
        <v>488</v>
      </c>
    </row>
    <row r="296" spans="1:15" ht="15.75" customHeight="1">
      <c r="A296" s="4" t="s">
        <v>1432</v>
      </c>
      <c r="B296" s="4" t="s">
        <v>1433</v>
      </c>
      <c r="C296" s="19" t="s">
        <v>9051</v>
      </c>
      <c r="D296" s="4"/>
      <c r="E296" s="2" t="s">
        <v>8160</v>
      </c>
      <c r="F296" s="2" t="s">
        <v>8161</v>
      </c>
      <c r="G296" s="22" t="s">
        <v>9052</v>
      </c>
      <c r="H296" s="22" t="s">
        <v>9053</v>
      </c>
      <c r="K296" s="4"/>
      <c r="N296" s="4" t="s">
        <v>560</v>
      </c>
      <c r="O296" s="4">
        <v>143</v>
      </c>
    </row>
    <row r="297" spans="1:15" ht="15.75" customHeight="1">
      <c r="A297" s="4" t="s">
        <v>6985</v>
      </c>
      <c r="B297" s="4" t="s">
        <v>6986</v>
      </c>
      <c r="C297" s="18" t="s">
        <v>8162</v>
      </c>
      <c r="D297" s="4"/>
      <c r="E297" s="23" t="s">
        <v>8163</v>
      </c>
      <c r="F297" s="2" t="s">
        <v>8164</v>
      </c>
      <c r="G297" s="22" t="s">
        <v>9054</v>
      </c>
      <c r="H297" s="22" t="s">
        <v>9055</v>
      </c>
      <c r="K297" s="4"/>
      <c r="N297" s="4" t="s">
        <v>563</v>
      </c>
      <c r="O297" s="4">
        <v>78</v>
      </c>
    </row>
    <row r="298" spans="1:15" ht="15.75" customHeight="1">
      <c r="A298" s="4" t="s">
        <v>7522</v>
      </c>
      <c r="B298" s="4" t="s">
        <v>7523</v>
      </c>
      <c r="C298" s="18" t="s">
        <v>8165</v>
      </c>
      <c r="D298" s="4"/>
      <c r="E298" s="23" t="s">
        <v>8166</v>
      </c>
      <c r="G298" s="4"/>
      <c r="H298" s="4"/>
      <c r="K298" s="4"/>
      <c r="N298" s="4" t="s">
        <v>576</v>
      </c>
      <c r="O298" s="4">
        <v>73</v>
      </c>
    </row>
    <row r="299" spans="1:15" ht="15.75" customHeight="1">
      <c r="A299" s="4" t="s">
        <v>3561</v>
      </c>
      <c r="B299" s="4" t="s">
        <v>3562</v>
      </c>
      <c r="C299" s="18" t="s">
        <v>8167</v>
      </c>
      <c r="D299" s="4"/>
      <c r="E299" s="2" t="s">
        <v>8168</v>
      </c>
      <c r="F299" s="2" t="s">
        <v>8169</v>
      </c>
      <c r="G299" s="4" t="s">
        <v>8170</v>
      </c>
      <c r="H299" s="4" t="s">
        <v>8171</v>
      </c>
      <c r="K299" s="4"/>
      <c r="N299" s="4" t="s">
        <v>579</v>
      </c>
      <c r="O299" s="4">
        <v>401</v>
      </c>
    </row>
    <row r="300" spans="1:15" ht="15.75" customHeight="1">
      <c r="A300" s="4" t="s">
        <v>3561</v>
      </c>
      <c r="B300" s="4" t="s">
        <v>3562</v>
      </c>
      <c r="C300" s="18" t="s">
        <v>8167</v>
      </c>
      <c r="D300" s="4"/>
      <c r="E300" s="2" t="s">
        <v>8168</v>
      </c>
      <c r="F300" s="2" t="s">
        <v>8172</v>
      </c>
      <c r="G300" s="4" t="s">
        <v>8173</v>
      </c>
      <c r="H300" s="4" t="s">
        <v>8174</v>
      </c>
      <c r="K300" s="4"/>
      <c r="N300" s="4" t="s">
        <v>579</v>
      </c>
      <c r="O300" s="4">
        <v>401</v>
      </c>
    </row>
    <row r="301" spans="1:15" ht="15.75" customHeight="1">
      <c r="A301" s="4" t="s">
        <v>3561</v>
      </c>
      <c r="B301" s="4" t="s">
        <v>3562</v>
      </c>
      <c r="C301" s="18" t="s">
        <v>8167</v>
      </c>
      <c r="D301" s="4"/>
      <c r="E301" s="2" t="s">
        <v>8168</v>
      </c>
      <c r="F301" s="2" t="s">
        <v>8175</v>
      </c>
      <c r="G301" s="4" t="s">
        <v>8176</v>
      </c>
      <c r="H301" s="4" t="s">
        <v>8177</v>
      </c>
      <c r="K301" s="4"/>
      <c r="N301" s="4" t="s">
        <v>579</v>
      </c>
      <c r="O301" s="4">
        <v>401</v>
      </c>
    </row>
    <row r="302" spans="1:15" ht="15.75" customHeight="1">
      <c r="A302" s="4" t="s">
        <v>3561</v>
      </c>
      <c r="B302" s="4" t="s">
        <v>3562</v>
      </c>
      <c r="C302" s="18" t="s">
        <v>8167</v>
      </c>
      <c r="D302" s="4"/>
      <c r="E302" s="2" t="s">
        <v>8168</v>
      </c>
      <c r="F302" s="2" t="s">
        <v>8178</v>
      </c>
      <c r="G302" s="4" t="s">
        <v>8179</v>
      </c>
      <c r="H302" s="4" t="s">
        <v>8180</v>
      </c>
      <c r="K302" s="4"/>
      <c r="N302" s="4" t="s">
        <v>579</v>
      </c>
      <c r="O302" s="4">
        <v>401</v>
      </c>
    </row>
    <row r="303" spans="1:15" ht="15.75" customHeight="1">
      <c r="A303" s="4" t="s">
        <v>3561</v>
      </c>
      <c r="B303" s="4" t="s">
        <v>3562</v>
      </c>
      <c r="C303" s="18" t="s">
        <v>8167</v>
      </c>
      <c r="D303" s="4"/>
      <c r="E303" s="2" t="s">
        <v>8168</v>
      </c>
      <c r="F303" s="2" t="s">
        <v>8181</v>
      </c>
      <c r="G303" s="4" t="s">
        <v>8182</v>
      </c>
      <c r="H303" s="22" t="s">
        <v>9056</v>
      </c>
      <c r="K303" s="4"/>
      <c r="N303" s="4" t="s">
        <v>579</v>
      </c>
      <c r="O303" s="4">
        <v>401</v>
      </c>
    </row>
    <row r="304" spans="1:15" ht="15.75" customHeight="1">
      <c r="A304" s="4" t="s">
        <v>4333</v>
      </c>
      <c r="B304" s="4" t="s">
        <v>4334</v>
      </c>
      <c r="C304" s="18" t="s">
        <v>8183</v>
      </c>
      <c r="D304" s="4"/>
      <c r="E304" s="23" t="s">
        <v>8184</v>
      </c>
      <c r="F304" s="2" t="s">
        <v>8185</v>
      </c>
      <c r="G304" s="22" t="s">
        <v>9057</v>
      </c>
      <c r="H304" s="22" t="s">
        <v>9058</v>
      </c>
      <c r="K304" s="4"/>
      <c r="N304" s="4" t="s">
        <v>582</v>
      </c>
      <c r="O304" s="4">
        <v>99</v>
      </c>
    </row>
    <row r="305" spans="1:15" ht="15.75" customHeight="1">
      <c r="A305" s="4" t="s">
        <v>4333</v>
      </c>
      <c r="B305" s="4" t="s">
        <v>4334</v>
      </c>
      <c r="C305" s="18" t="s">
        <v>8183</v>
      </c>
      <c r="D305" s="4"/>
      <c r="E305" s="23" t="s">
        <v>8184</v>
      </c>
      <c r="F305" s="2" t="s">
        <v>8186</v>
      </c>
      <c r="G305" s="4" t="s">
        <v>8187</v>
      </c>
      <c r="H305" s="4" t="s">
        <v>8188</v>
      </c>
      <c r="K305" s="4"/>
      <c r="N305" s="4" t="s">
        <v>582</v>
      </c>
      <c r="O305" s="4">
        <v>99</v>
      </c>
    </row>
    <row r="306" spans="1:15" ht="15.75" customHeight="1">
      <c r="A306" s="4" t="s">
        <v>4333</v>
      </c>
      <c r="B306" s="4" t="s">
        <v>4334</v>
      </c>
      <c r="C306" s="18" t="s">
        <v>8183</v>
      </c>
      <c r="D306" s="4"/>
      <c r="E306" s="23" t="s">
        <v>8184</v>
      </c>
      <c r="F306" s="2" t="s">
        <v>8189</v>
      </c>
      <c r="G306" s="4" t="s">
        <v>8190</v>
      </c>
      <c r="H306" s="22" t="s">
        <v>9059</v>
      </c>
      <c r="K306" s="4"/>
      <c r="N306" s="4" t="s">
        <v>582</v>
      </c>
      <c r="O306" s="4">
        <v>99</v>
      </c>
    </row>
    <row r="307" spans="1:15" ht="15.75" customHeight="1">
      <c r="A307" s="4" t="s">
        <v>3868</v>
      </c>
      <c r="B307" s="4" t="s">
        <v>3869</v>
      </c>
      <c r="C307" s="18" t="s">
        <v>8191</v>
      </c>
      <c r="D307" s="4"/>
      <c r="E307" s="23" t="s">
        <v>8192</v>
      </c>
      <c r="F307" s="2" t="s">
        <v>8193</v>
      </c>
      <c r="G307" s="4" t="s">
        <v>8194</v>
      </c>
      <c r="H307" s="22" t="s">
        <v>9060</v>
      </c>
      <c r="K307" s="4"/>
      <c r="N307" s="4" t="s">
        <v>585</v>
      </c>
      <c r="O307" s="4">
        <v>374</v>
      </c>
    </row>
    <row r="308" spans="1:15" ht="15.75" customHeight="1">
      <c r="A308" s="4" t="s">
        <v>3868</v>
      </c>
      <c r="B308" s="4" t="s">
        <v>3869</v>
      </c>
      <c r="C308" s="18" t="s">
        <v>8191</v>
      </c>
      <c r="D308" s="4"/>
      <c r="E308" s="23" t="s">
        <v>8192</v>
      </c>
      <c r="F308" s="2" t="s">
        <v>8195</v>
      </c>
      <c r="G308" s="4" t="s">
        <v>8196</v>
      </c>
      <c r="H308" s="4" t="s">
        <v>8197</v>
      </c>
      <c r="K308" s="4"/>
      <c r="N308" s="4" t="s">
        <v>585</v>
      </c>
      <c r="O308" s="4">
        <v>374</v>
      </c>
    </row>
    <row r="309" spans="1:15" ht="15.75" customHeight="1">
      <c r="A309" s="4" t="s">
        <v>3868</v>
      </c>
      <c r="B309" s="4" t="s">
        <v>3869</v>
      </c>
      <c r="C309" s="18" t="s">
        <v>8191</v>
      </c>
      <c r="D309" s="4"/>
      <c r="E309" s="23" t="s">
        <v>8192</v>
      </c>
      <c r="F309" s="2" t="s">
        <v>8198</v>
      </c>
      <c r="G309" s="4" t="s">
        <v>8199</v>
      </c>
      <c r="H309" s="22" t="s">
        <v>9061</v>
      </c>
      <c r="K309" s="4"/>
      <c r="N309" s="4" t="s">
        <v>585</v>
      </c>
      <c r="O309" s="4">
        <v>374</v>
      </c>
    </row>
    <row r="310" spans="1:15" ht="15.75" customHeight="1">
      <c r="A310" s="4" t="s">
        <v>3868</v>
      </c>
      <c r="B310" s="4" t="s">
        <v>3869</v>
      </c>
      <c r="C310" s="18" t="s">
        <v>8191</v>
      </c>
      <c r="D310" s="4"/>
      <c r="E310" s="23" t="s">
        <v>8192</v>
      </c>
      <c r="F310" s="2" t="s">
        <v>8200</v>
      </c>
      <c r="G310" s="22" t="s">
        <v>9062</v>
      </c>
      <c r="H310" s="4" t="s">
        <v>8201</v>
      </c>
      <c r="K310" s="4"/>
      <c r="N310" s="4" t="s">
        <v>585</v>
      </c>
      <c r="O310" s="4">
        <v>374</v>
      </c>
    </row>
    <row r="311" spans="1:15" ht="15.75" customHeight="1">
      <c r="A311" s="4" t="s">
        <v>7216</v>
      </c>
      <c r="B311" s="4" t="s">
        <v>7217</v>
      </c>
      <c r="C311" s="18" t="s">
        <v>8202</v>
      </c>
      <c r="D311" s="4"/>
      <c r="E311" s="23" t="s">
        <v>8203</v>
      </c>
      <c r="F311" s="2" t="s">
        <v>8204</v>
      </c>
      <c r="G311" s="4" t="s">
        <v>8205</v>
      </c>
      <c r="H311" s="22" t="s">
        <v>9063</v>
      </c>
      <c r="K311" s="4"/>
      <c r="N311" s="4" t="s">
        <v>588</v>
      </c>
      <c r="O311" s="4">
        <v>276</v>
      </c>
    </row>
    <row r="312" spans="1:15" ht="15.75" customHeight="1">
      <c r="A312" s="4" t="s">
        <v>7216</v>
      </c>
      <c r="B312" s="4" t="s">
        <v>7217</v>
      </c>
      <c r="C312" s="18" t="s">
        <v>8202</v>
      </c>
      <c r="D312" s="4"/>
      <c r="E312" s="23" t="s">
        <v>8203</v>
      </c>
      <c r="F312" s="2" t="s">
        <v>8206</v>
      </c>
      <c r="G312" s="4" t="s">
        <v>8207</v>
      </c>
      <c r="H312" s="22" t="s">
        <v>9064</v>
      </c>
      <c r="K312" s="4"/>
      <c r="N312" s="4" t="s">
        <v>588</v>
      </c>
      <c r="O312" s="4">
        <v>276</v>
      </c>
    </row>
    <row r="313" spans="1:15" ht="15.75" customHeight="1">
      <c r="A313" s="4" t="s">
        <v>5990</v>
      </c>
      <c r="B313" s="4" t="s">
        <v>5991</v>
      </c>
      <c r="C313" s="18" t="s">
        <v>8208</v>
      </c>
      <c r="D313" s="4"/>
      <c r="E313" s="23" t="s">
        <v>8209</v>
      </c>
      <c r="F313" s="2" t="s">
        <v>8210</v>
      </c>
      <c r="G313" s="22" t="s">
        <v>9065</v>
      </c>
      <c r="H313" s="22" t="s">
        <v>9066</v>
      </c>
      <c r="K313" s="4"/>
      <c r="N313" s="4" t="s">
        <v>588</v>
      </c>
      <c r="O313" s="4">
        <v>275</v>
      </c>
    </row>
    <row r="314" spans="1:15" ht="15.75" customHeight="1">
      <c r="A314" s="4" t="s">
        <v>3245</v>
      </c>
      <c r="B314" s="4" t="s">
        <v>3246</v>
      </c>
      <c r="C314" s="19" t="s">
        <v>9067</v>
      </c>
      <c r="D314" s="4"/>
      <c r="E314" s="23" t="s">
        <v>8211</v>
      </c>
      <c r="F314" s="2" t="s">
        <v>8212</v>
      </c>
      <c r="G314" s="22" t="s">
        <v>9068</v>
      </c>
      <c r="H314" s="22" t="s">
        <v>9069</v>
      </c>
      <c r="K314" s="4"/>
      <c r="N314" s="4" t="s">
        <v>593</v>
      </c>
      <c r="O314" s="4">
        <v>350</v>
      </c>
    </row>
    <row r="315" spans="1:15" ht="15.75" customHeight="1">
      <c r="A315" s="4" t="s">
        <v>3589</v>
      </c>
      <c r="B315" s="4" t="s">
        <v>3590</v>
      </c>
      <c r="C315" s="19" t="s">
        <v>9070</v>
      </c>
      <c r="D315" s="4"/>
      <c r="E315" s="23" t="s">
        <v>8211</v>
      </c>
      <c r="F315" s="2" t="s">
        <v>8212</v>
      </c>
      <c r="G315" s="22" t="s">
        <v>9071</v>
      </c>
      <c r="H315" s="22" t="s">
        <v>9072</v>
      </c>
      <c r="K315" s="4"/>
      <c r="N315" s="4" t="s">
        <v>596</v>
      </c>
      <c r="O315" s="4">
        <v>229</v>
      </c>
    </row>
    <row r="316" spans="1:15" ht="15.75" customHeight="1">
      <c r="A316" s="4" t="s">
        <v>2035</v>
      </c>
      <c r="B316" s="4" t="s">
        <v>2036</v>
      </c>
      <c r="C316" s="19" t="s">
        <v>9073</v>
      </c>
      <c r="D316" s="4"/>
      <c r="E316" s="2" t="s">
        <v>8213</v>
      </c>
      <c r="F316" s="2" t="s">
        <v>8214</v>
      </c>
      <c r="G316" s="22" t="s">
        <v>9074</v>
      </c>
      <c r="H316" s="4" t="s">
        <v>8215</v>
      </c>
      <c r="I316" s="4"/>
      <c r="K316" s="4"/>
      <c r="N316" s="4" t="s">
        <v>599</v>
      </c>
      <c r="O316" s="4">
        <v>255</v>
      </c>
    </row>
    <row r="317" spans="1:15" ht="15.75" customHeight="1">
      <c r="A317" s="4" t="s">
        <v>131</v>
      </c>
      <c r="B317" s="4" t="s">
        <v>132</v>
      </c>
      <c r="C317" s="28" t="s">
        <v>8216</v>
      </c>
      <c r="D317" s="4"/>
      <c r="E317" s="2" t="s">
        <v>8217</v>
      </c>
      <c r="F317" s="2" t="s">
        <v>8218</v>
      </c>
      <c r="G317" s="22" t="s">
        <v>9075</v>
      </c>
      <c r="H317" s="4" t="s">
        <v>8219</v>
      </c>
      <c r="I317" s="4"/>
      <c r="K317" s="4"/>
      <c r="N317" s="4" t="s">
        <v>609</v>
      </c>
      <c r="O317" s="4">
        <v>148</v>
      </c>
    </row>
    <row r="318" spans="1:15" ht="15.75" customHeight="1">
      <c r="A318" s="4" t="s">
        <v>2918</v>
      </c>
      <c r="B318" s="4" t="s">
        <v>2919</v>
      </c>
      <c r="C318" s="18" t="s">
        <v>8220</v>
      </c>
      <c r="D318" s="4"/>
      <c r="E318" s="2" t="s">
        <v>8221</v>
      </c>
      <c r="F318" s="2" t="s">
        <v>8222</v>
      </c>
      <c r="G318" s="4" t="s">
        <v>8223</v>
      </c>
      <c r="H318" s="4" t="s">
        <v>8224</v>
      </c>
      <c r="I318" s="4"/>
      <c r="K318" s="4"/>
      <c r="N318" s="4" t="s">
        <v>613</v>
      </c>
      <c r="O318" s="4">
        <v>478</v>
      </c>
    </row>
    <row r="319" spans="1:15" ht="15.75" customHeight="1">
      <c r="A319" s="4" t="s">
        <v>2918</v>
      </c>
      <c r="B319" s="4" t="s">
        <v>2919</v>
      </c>
      <c r="C319" s="18" t="s">
        <v>8220</v>
      </c>
      <c r="D319" s="4"/>
      <c r="E319" s="2" t="s">
        <v>8221</v>
      </c>
      <c r="F319" s="2" t="s">
        <v>8225</v>
      </c>
      <c r="G319" s="4" t="s">
        <v>8226</v>
      </c>
      <c r="H319" s="4" t="s">
        <v>8227</v>
      </c>
      <c r="I319" s="4"/>
      <c r="K319" s="4"/>
      <c r="N319" s="4" t="s">
        <v>613</v>
      </c>
      <c r="O319" s="4">
        <v>478</v>
      </c>
    </row>
    <row r="320" spans="1:15" ht="15.75" customHeight="1">
      <c r="A320" s="4" t="s">
        <v>2918</v>
      </c>
      <c r="B320" s="4" t="s">
        <v>2919</v>
      </c>
      <c r="C320" s="18" t="s">
        <v>8220</v>
      </c>
      <c r="D320" s="4"/>
      <c r="E320" s="2" t="s">
        <v>8221</v>
      </c>
      <c r="F320" s="2" t="s">
        <v>8228</v>
      </c>
      <c r="G320" s="4" t="s">
        <v>8229</v>
      </c>
      <c r="H320" s="4" t="s">
        <v>8230</v>
      </c>
      <c r="I320" s="4"/>
      <c r="K320" s="4"/>
      <c r="N320" s="4" t="s">
        <v>613</v>
      </c>
      <c r="O320" s="4">
        <v>478</v>
      </c>
    </row>
    <row r="321" spans="1:15" ht="15.75" customHeight="1">
      <c r="A321" s="4" t="s">
        <v>2918</v>
      </c>
      <c r="B321" s="4" t="s">
        <v>2919</v>
      </c>
      <c r="C321" s="18" t="s">
        <v>8220</v>
      </c>
      <c r="D321" s="4"/>
      <c r="E321" s="2" t="s">
        <v>8221</v>
      </c>
      <c r="F321" s="2" t="s">
        <v>8231</v>
      </c>
      <c r="G321" s="4" t="s">
        <v>8232</v>
      </c>
      <c r="H321" s="4" t="s">
        <v>8233</v>
      </c>
      <c r="I321" s="4"/>
      <c r="K321" s="4"/>
      <c r="N321" s="4" t="s">
        <v>613</v>
      </c>
      <c r="O321" s="4">
        <v>478</v>
      </c>
    </row>
    <row r="322" spans="1:15" ht="15.75" customHeight="1">
      <c r="A322" s="4" t="s">
        <v>1332</v>
      </c>
      <c r="B322" s="4" t="s">
        <v>1333</v>
      </c>
      <c r="C322" s="19" t="s">
        <v>9076</v>
      </c>
      <c r="D322" s="4"/>
      <c r="E322" s="23" t="s">
        <v>8234</v>
      </c>
      <c r="F322" s="2" t="s">
        <v>8235</v>
      </c>
      <c r="G322" s="22" t="s">
        <v>9077</v>
      </c>
      <c r="H322" s="22" t="s">
        <v>9078</v>
      </c>
      <c r="K322" s="4"/>
      <c r="N322" s="4" t="s">
        <v>56</v>
      </c>
      <c r="O322" s="4">
        <v>60</v>
      </c>
    </row>
    <row r="323" spans="1:15" ht="15.75" customHeight="1">
      <c r="A323" s="4" t="s">
        <v>1332</v>
      </c>
      <c r="B323" s="4" t="s">
        <v>1333</v>
      </c>
      <c r="C323" s="19" t="s">
        <v>9079</v>
      </c>
      <c r="D323" s="4"/>
      <c r="E323" s="23" t="s">
        <v>8234</v>
      </c>
      <c r="F323" s="2" t="s">
        <v>8236</v>
      </c>
      <c r="G323" s="4" t="s">
        <v>8237</v>
      </c>
      <c r="H323" s="22" t="s">
        <v>9080</v>
      </c>
      <c r="K323" s="4"/>
      <c r="N323" s="4" t="s">
        <v>56</v>
      </c>
      <c r="O323" s="4">
        <v>60</v>
      </c>
    </row>
    <row r="324" spans="1:15" ht="15.75" customHeight="1">
      <c r="A324" s="4" t="s">
        <v>1332</v>
      </c>
      <c r="B324" s="4" t="s">
        <v>1333</v>
      </c>
      <c r="C324" s="19" t="s">
        <v>9081</v>
      </c>
      <c r="D324" s="4"/>
      <c r="E324" s="23" t="s">
        <v>8234</v>
      </c>
      <c r="F324" s="2" t="s">
        <v>8238</v>
      </c>
      <c r="G324" s="4" t="s">
        <v>8239</v>
      </c>
      <c r="H324" s="4" t="s">
        <v>8240</v>
      </c>
      <c r="K324" s="4"/>
      <c r="N324" s="4" t="s">
        <v>56</v>
      </c>
      <c r="O324" s="4">
        <v>60</v>
      </c>
    </row>
    <row r="325" spans="1:15" ht="15.75" customHeight="1">
      <c r="A325" s="4" t="s">
        <v>1369</v>
      </c>
      <c r="B325" s="4" t="s">
        <v>1370</v>
      </c>
      <c r="C325" s="19" t="s">
        <v>9082</v>
      </c>
      <c r="D325" s="4"/>
      <c r="E325" s="23" t="s">
        <v>8234</v>
      </c>
      <c r="F325" s="2" t="s">
        <v>8235</v>
      </c>
      <c r="G325" s="22" t="s">
        <v>9083</v>
      </c>
      <c r="H325" s="22" t="s">
        <v>9084</v>
      </c>
      <c r="K325" s="4"/>
      <c r="N325" s="4" t="s">
        <v>619</v>
      </c>
      <c r="O325" s="4">
        <v>126</v>
      </c>
    </row>
    <row r="326" spans="1:15" ht="15.75" customHeight="1">
      <c r="A326" s="4" t="s">
        <v>1369</v>
      </c>
      <c r="B326" s="4" t="s">
        <v>1370</v>
      </c>
      <c r="C326" s="19" t="s">
        <v>9085</v>
      </c>
      <c r="D326" s="4"/>
      <c r="E326" s="23" t="s">
        <v>8234</v>
      </c>
      <c r="F326" s="2" t="s">
        <v>8236</v>
      </c>
      <c r="G326" s="4" t="s">
        <v>8237</v>
      </c>
      <c r="H326" s="22" t="s">
        <v>9086</v>
      </c>
      <c r="K326" s="4"/>
      <c r="N326" s="4" t="s">
        <v>619</v>
      </c>
      <c r="O326" s="4">
        <v>126</v>
      </c>
    </row>
    <row r="327" spans="1:15" ht="15.75" customHeight="1">
      <c r="A327" s="4" t="s">
        <v>1369</v>
      </c>
      <c r="B327" s="4" t="s">
        <v>1370</v>
      </c>
      <c r="C327" s="19" t="s">
        <v>9087</v>
      </c>
      <c r="D327" s="4"/>
      <c r="E327" s="23" t="s">
        <v>8234</v>
      </c>
      <c r="F327" s="2" t="s">
        <v>8238</v>
      </c>
      <c r="G327" s="4" t="s">
        <v>8239</v>
      </c>
      <c r="H327" s="4" t="s">
        <v>8240</v>
      </c>
      <c r="K327" s="4"/>
      <c r="N327" s="4" t="s">
        <v>619</v>
      </c>
      <c r="O327" s="4">
        <v>126</v>
      </c>
    </row>
    <row r="328" spans="1:15" ht="15.75" customHeight="1">
      <c r="A328" s="4" t="s">
        <v>249</v>
      </c>
      <c r="B328" s="4" t="s">
        <v>250</v>
      </c>
      <c r="C328" s="18" t="s">
        <v>8241</v>
      </c>
      <c r="D328" s="4"/>
      <c r="E328" s="23" t="s">
        <v>8242</v>
      </c>
      <c r="F328" s="2" t="s">
        <v>8243</v>
      </c>
      <c r="G328" s="22" t="s">
        <v>9088</v>
      </c>
      <c r="H328" s="4" t="s">
        <v>8244</v>
      </c>
      <c r="K328" s="4"/>
      <c r="N328" s="4" t="s">
        <v>674</v>
      </c>
      <c r="O328" s="4">
        <v>306</v>
      </c>
    </row>
    <row r="329" spans="1:15" ht="15.75" customHeight="1">
      <c r="A329" s="4" t="s">
        <v>1139</v>
      </c>
      <c r="B329" s="4" t="s">
        <v>1140</v>
      </c>
      <c r="C329" s="19" t="s">
        <v>9089</v>
      </c>
      <c r="D329" s="4"/>
      <c r="E329" s="2" t="s">
        <v>8245</v>
      </c>
      <c r="F329" s="2" t="s">
        <v>8246</v>
      </c>
      <c r="G329" s="22" t="s">
        <v>9090</v>
      </c>
      <c r="H329" s="4" t="s">
        <v>8247</v>
      </c>
      <c r="K329" s="4"/>
    </row>
    <row r="330" spans="1:15" ht="15.75" customHeight="1">
      <c r="A330" s="4" t="s">
        <v>1139</v>
      </c>
      <c r="B330" s="4" t="s">
        <v>1140</v>
      </c>
      <c r="C330" s="19" t="s">
        <v>9091</v>
      </c>
      <c r="D330" s="4"/>
      <c r="E330" s="2" t="s">
        <v>8245</v>
      </c>
      <c r="F330" s="2" t="s">
        <v>8248</v>
      </c>
      <c r="G330" s="22" t="s">
        <v>9092</v>
      </c>
      <c r="H330" s="4" t="s">
        <v>8249</v>
      </c>
      <c r="K330" s="4"/>
    </row>
    <row r="331" spans="1:15" ht="15.75" customHeight="1">
      <c r="A331" s="4" t="s">
        <v>1139</v>
      </c>
      <c r="B331" s="4" t="s">
        <v>1140</v>
      </c>
      <c r="C331" s="19" t="s">
        <v>9093</v>
      </c>
      <c r="D331" s="4"/>
      <c r="E331" s="2" t="s">
        <v>8245</v>
      </c>
      <c r="F331" s="2" t="s">
        <v>8250</v>
      </c>
      <c r="G331" s="4" t="s">
        <v>8251</v>
      </c>
      <c r="H331" s="4" t="s">
        <v>8252</v>
      </c>
      <c r="K331" s="4"/>
    </row>
    <row r="332" spans="1:15" ht="15.75" customHeight="1">
      <c r="A332" s="4" t="s">
        <v>1139</v>
      </c>
      <c r="B332" s="4" t="s">
        <v>1140</v>
      </c>
      <c r="C332" s="19" t="s">
        <v>9094</v>
      </c>
      <c r="D332" s="4"/>
      <c r="E332" s="2" t="s">
        <v>8245</v>
      </c>
      <c r="F332" s="2" t="s">
        <v>8253</v>
      </c>
      <c r="G332" s="4" t="s">
        <v>8254</v>
      </c>
      <c r="H332" s="4" t="s">
        <v>8255</v>
      </c>
      <c r="K332" s="4"/>
    </row>
    <row r="333" spans="1:15" ht="15.75" customHeight="1">
      <c r="A333" s="4" t="s">
        <v>1139</v>
      </c>
      <c r="B333" s="4" t="s">
        <v>1140</v>
      </c>
      <c r="C333" s="19" t="s">
        <v>9095</v>
      </c>
      <c r="D333" s="4"/>
      <c r="E333" s="2" t="s">
        <v>8245</v>
      </c>
      <c r="F333" s="2" t="s">
        <v>8256</v>
      </c>
      <c r="G333" s="4" t="s">
        <v>8257</v>
      </c>
      <c r="H333" s="22" t="s">
        <v>9096</v>
      </c>
      <c r="K333" s="4"/>
    </row>
    <row r="334" spans="1:15" ht="15.75" customHeight="1">
      <c r="A334" s="4" t="s">
        <v>1139</v>
      </c>
      <c r="B334" s="4" t="s">
        <v>1140</v>
      </c>
      <c r="C334" s="19" t="s">
        <v>9097</v>
      </c>
      <c r="D334" s="4"/>
      <c r="E334" s="2" t="s">
        <v>8245</v>
      </c>
      <c r="F334" s="2" t="s">
        <v>8258</v>
      </c>
      <c r="G334" s="22" t="s">
        <v>9098</v>
      </c>
      <c r="H334" s="22" t="s">
        <v>9099</v>
      </c>
      <c r="K334" s="4"/>
    </row>
    <row r="335" spans="1:15" ht="15.75" customHeight="1">
      <c r="A335" s="4" t="s">
        <v>1139</v>
      </c>
      <c r="B335" s="4" t="s">
        <v>1140</v>
      </c>
      <c r="C335" s="19" t="s">
        <v>9100</v>
      </c>
      <c r="D335" s="4"/>
      <c r="E335" s="2" t="s">
        <v>8245</v>
      </c>
      <c r="F335" s="2" t="s">
        <v>8259</v>
      </c>
      <c r="G335" s="22" t="s">
        <v>9101</v>
      </c>
      <c r="H335" s="4" t="s">
        <v>8260</v>
      </c>
      <c r="K335" s="4"/>
    </row>
    <row r="336" spans="1:15" ht="15.75" customHeight="1">
      <c r="A336" s="4" t="s">
        <v>1139</v>
      </c>
      <c r="B336" s="4" t="s">
        <v>1140</v>
      </c>
      <c r="C336" s="19" t="s">
        <v>9102</v>
      </c>
      <c r="D336" s="4"/>
      <c r="E336" s="2" t="s">
        <v>8245</v>
      </c>
      <c r="F336" s="2" t="s">
        <v>8261</v>
      </c>
      <c r="G336" s="22" t="s">
        <v>9103</v>
      </c>
      <c r="H336" s="4" t="s">
        <v>8262</v>
      </c>
      <c r="K336" s="4"/>
    </row>
    <row r="337" spans="1:15" ht="15.75" customHeight="1">
      <c r="A337" s="4" t="s">
        <v>1139</v>
      </c>
      <c r="B337" s="4" t="s">
        <v>1140</v>
      </c>
      <c r="C337" s="19" t="s">
        <v>9104</v>
      </c>
      <c r="D337" s="4"/>
      <c r="E337" s="2" t="s">
        <v>8245</v>
      </c>
      <c r="F337" s="2" t="s">
        <v>8263</v>
      </c>
      <c r="G337" s="4" t="s">
        <v>8264</v>
      </c>
      <c r="H337" s="4" t="s">
        <v>8265</v>
      </c>
      <c r="K337" s="4"/>
    </row>
    <row r="338" spans="1:15" ht="15.75" customHeight="1">
      <c r="A338" s="4" t="s">
        <v>1139</v>
      </c>
      <c r="B338" s="4" t="s">
        <v>1140</v>
      </c>
      <c r="C338" s="19" t="s">
        <v>9105</v>
      </c>
      <c r="D338" s="4"/>
      <c r="E338" s="2" t="s">
        <v>8245</v>
      </c>
      <c r="F338" s="2" t="s">
        <v>8246</v>
      </c>
      <c r="G338" s="22" t="s">
        <v>9106</v>
      </c>
      <c r="H338" s="4" t="s">
        <v>8266</v>
      </c>
      <c r="K338" s="4"/>
    </row>
    <row r="339" spans="1:15" ht="15.75" customHeight="1">
      <c r="A339" s="4" t="s">
        <v>4523</v>
      </c>
      <c r="B339" s="4" t="s">
        <v>4524</v>
      </c>
      <c r="C339" s="19" t="s">
        <v>9107</v>
      </c>
      <c r="D339" s="4"/>
      <c r="E339" s="2" t="s">
        <v>8267</v>
      </c>
      <c r="F339" s="2" t="s">
        <v>8268</v>
      </c>
      <c r="G339" s="22" t="s">
        <v>9108</v>
      </c>
      <c r="H339" s="4" t="s">
        <v>8269</v>
      </c>
      <c r="K339" s="4"/>
      <c r="N339" s="4" t="s">
        <v>678</v>
      </c>
      <c r="O339" s="4">
        <v>546</v>
      </c>
    </row>
    <row r="340" spans="1:15" ht="15.75" customHeight="1">
      <c r="A340" s="4" t="s">
        <v>3997</v>
      </c>
      <c r="B340" s="4" t="s">
        <v>3998</v>
      </c>
      <c r="C340" s="19" t="s">
        <v>9109</v>
      </c>
      <c r="D340" s="4"/>
      <c r="E340" s="2" t="s">
        <v>8270</v>
      </c>
      <c r="F340" s="2" t="s">
        <v>8271</v>
      </c>
      <c r="G340" s="22" t="s">
        <v>9110</v>
      </c>
      <c r="H340" s="22" t="s">
        <v>9111</v>
      </c>
      <c r="K340" s="4"/>
      <c r="N340" s="4" t="s">
        <v>681</v>
      </c>
      <c r="O340" s="4">
        <v>298</v>
      </c>
    </row>
    <row r="341" spans="1:15" ht="15.75" customHeight="1">
      <c r="A341" s="4" t="s">
        <v>4001</v>
      </c>
      <c r="B341" s="4" t="s">
        <v>4002</v>
      </c>
      <c r="C341" s="19" t="s">
        <v>9112</v>
      </c>
      <c r="D341" s="4"/>
      <c r="E341" s="2" t="s">
        <v>8270</v>
      </c>
      <c r="F341" s="2" t="s">
        <v>8271</v>
      </c>
      <c r="G341" s="22" t="s">
        <v>9113</v>
      </c>
      <c r="H341" s="22" t="s">
        <v>9114</v>
      </c>
      <c r="K341" s="4"/>
      <c r="N341" s="4" t="s">
        <v>194</v>
      </c>
      <c r="O341" s="4">
        <v>225</v>
      </c>
    </row>
    <row r="342" spans="1:15" ht="15.75" customHeight="1">
      <c r="A342" s="4" t="s">
        <v>4004</v>
      </c>
      <c r="B342" s="4" t="s">
        <v>4005</v>
      </c>
      <c r="C342" s="19" t="s">
        <v>9115</v>
      </c>
      <c r="D342" s="4"/>
      <c r="E342" s="2" t="s">
        <v>8270</v>
      </c>
      <c r="F342" s="2" t="s">
        <v>8271</v>
      </c>
      <c r="G342" s="22" t="s">
        <v>9116</v>
      </c>
      <c r="H342" s="22" t="s">
        <v>9117</v>
      </c>
      <c r="K342" s="4"/>
      <c r="N342" s="4" t="s">
        <v>73</v>
      </c>
      <c r="O342" s="4">
        <v>309</v>
      </c>
    </row>
    <row r="343" spans="1:15" ht="15.75" customHeight="1">
      <c r="A343" s="4" t="s">
        <v>4193</v>
      </c>
      <c r="B343" s="4" t="s">
        <v>4194</v>
      </c>
      <c r="C343" s="19" t="s">
        <v>9118</v>
      </c>
      <c r="D343" s="4"/>
      <c r="E343" s="2" t="s">
        <v>8270</v>
      </c>
      <c r="F343" s="2" t="s">
        <v>8271</v>
      </c>
      <c r="G343" s="22" t="s">
        <v>9119</v>
      </c>
      <c r="H343" s="22" t="s">
        <v>9120</v>
      </c>
      <c r="K343" s="4"/>
      <c r="N343" s="4" t="s">
        <v>76</v>
      </c>
      <c r="O343" s="4">
        <v>256</v>
      </c>
    </row>
    <row r="344" spans="1:15" ht="15.75" customHeight="1">
      <c r="A344" s="4" t="s">
        <v>6770</v>
      </c>
      <c r="B344" s="4" t="s">
        <v>6771</v>
      </c>
      <c r="C344" s="19" t="s">
        <v>9121</v>
      </c>
      <c r="D344" s="4"/>
      <c r="E344" s="2" t="s">
        <v>8272</v>
      </c>
      <c r="F344" s="2" t="s">
        <v>8259</v>
      </c>
      <c r="G344" s="22" t="s">
        <v>9122</v>
      </c>
      <c r="H344" s="22" t="s">
        <v>9123</v>
      </c>
      <c r="K344" s="4"/>
      <c r="N344" s="4" t="s">
        <v>690</v>
      </c>
      <c r="O344" s="4">
        <v>292</v>
      </c>
    </row>
    <row r="345" spans="1:15" ht="15.75" customHeight="1">
      <c r="A345" s="4" t="s">
        <v>5936</v>
      </c>
      <c r="B345" s="4" t="s">
        <v>5937</v>
      </c>
      <c r="C345" s="19" t="s">
        <v>9124</v>
      </c>
      <c r="D345" s="4"/>
      <c r="E345" s="23" t="s">
        <v>8273</v>
      </c>
      <c r="F345" s="2" t="s">
        <v>8274</v>
      </c>
      <c r="G345" s="22" t="s">
        <v>9125</v>
      </c>
      <c r="H345" s="4" t="s">
        <v>8275</v>
      </c>
      <c r="K345" s="4"/>
      <c r="N345" s="4" t="s">
        <v>693</v>
      </c>
      <c r="O345" s="4">
        <v>138</v>
      </c>
    </row>
    <row r="346" spans="1:15" ht="15.75" customHeight="1">
      <c r="A346" s="4" t="s">
        <v>4303</v>
      </c>
      <c r="B346" s="4" t="s">
        <v>4304</v>
      </c>
      <c r="C346" s="18" t="s">
        <v>8276</v>
      </c>
      <c r="D346" s="4"/>
      <c r="E346" s="2" t="s">
        <v>8277</v>
      </c>
      <c r="F346" s="2" t="s">
        <v>8278</v>
      </c>
      <c r="G346" s="22" t="s">
        <v>9126</v>
      </c>
      <c r="H346" s="22" t="s">
        <v>9127</v>
      </c>
      <c r="K346" s="4"/>
      <c r="N346" s="4" t="s">
        <v>696</v>
      </c>
      <c r="O346" s="4">
        <v>105</v>
      </c>
    </row>
    <row r="347" spans="1:15" ht="15.75" customHeight="1">
      <c r="A347" s="4" t="s">
        <v>4303</v>
      </c>
      <c r="B347" s="4" t="s">
        <v>4304</v>
      </c>
      <c r="C347" s="18" t="s">
        <v>8276</v>
      </c>
      <c r="D347" s="4"/>
      <c r="E347" s="2" t="s">
        <v>8277</v>
      </c>
      <c r="F347" s="2" t="s">
        <v>8279</v>
      </c>
      <c r="G347" s="22" t="s">
        <v>9128</v>
      </c>
      <c r="H347" s="22" t="s">
        <v>9129</v>
      </c>
      <c r="K347" s="4"/>
      <c r="N347" s="4" t="s">
        <v>696</v>
      </c>
      <c r="O347" s="4">
        <v>105</v>
      </c>
    </row>
    <row r="348" spans="1:15" ht="15.75" customHeight="1">
      <c r="B348" s="4" t="s">
        <v>5519</v>
      </c>
      <c r="C348" s="19" t="s">
        <v>9130</v>
      </c>
      <c r="D348" s="4"/>
      <c r="E348" s="2" t="s">
        <v>8280</v>
      </c>
      <c r="F348" s="2" t="s">
        <v>8281</v>
      </c>
      <c r="G348" s="21" t="s">
        <v>9131</v>
      </c>
      <c r="H348" s="22" t="s">
        <v>9132</v>
      </c>
      <c r="K348" s="4"/>
      <c r="N348" s="4" t="s">
        <v>699</v>
      </c>
      <c r="O348" s="4">
        <v>211</v>
      </c>
    </row>
    <row r="349" spans="1:15" ht="15.75" customHeight="1">
      <c r="A349" s="4" t="s">
        <v>4097</v>
      </c>
      <c r="B349" s="4" t="s">
        <v>4098</v>
      </c>
      <c r="C349" s="18" t="s">
        <v>8282</v>
      </c>
      <c r="D349" s="4"/>
      <c r="E349" s="23" t="s">
        <v>8283</v>
      </c>
      <c r="F349" s="2" t="s">
        <v>8284</v>
      </c>
      <c r="G349" s="22" t="s">
        <v>9133</v>
      </c>
      <c r="H349" s="22" t="s">
        <v>9134</v>
      </c>
      <c r="K349" s="4"/>
      <c r="N349" s="4" t="s">
        <v>478</v>
      </c>
      <c r="O349" s="4">
        <v>94</v>
      </c>
    </row>
    <row r="350" spans="1:15" ht="15.75" customHeight="1">
      <c r="A350" s="4" t="s">
        <v>5186</v>
      </c>
      <c r="B350" s="4" t="s">
        <v>5187</v>
      </c>
      <c r="C350" s="18" t="s">
        <v>8282</v>
      </c>
      <c r="D350" s="4"/>
      <c r="E350" s="23" t="s">
        <v>8283</v>
      </c>
      <c r="F350" s="2" t="s">
        <v>8284</v>
      </c>
      <c r="G350" s="22" t="s">
        <v>9135</v>
      </c>
      <c r="H350" s="22" t="s">
        <v>9136</v>
      </c>
      <c r="K350" s="4"/>
      <c r="N350" s="4" t="s">
        <v>704</v>
      </c>
      <c r="O350" s="4">
        <v>209</v>
      </c>
    </row>
    <row r="351" spans="1:15" ht="15.75" customHeight="1">
      <c r="A351" s="4" t="s">
        <v>2044</v>
      </c>
      <c r="B351" s="4" t="s">
        <v>2045</v>
      </c>
      <c r="C351" s="19" t="s">
        <v>9137</v>
      </c>
      <c r="D351" s="4"/>
      <c r="E351" s="4" t="str">
        <f t="shared" ref="E351:E605" si="0">$P$2&amp;C351</f>
        <v>2.7.1.2</v>
      </c>
      <c r="F351" s="4" t="str">
        <f>$P$3&amp;"R00299"</f>
        <v>R00299</v>
      </c>
      <c r="G351" s="22" t="s">
        <v>9138</v>
      </c>
      <c r="H351" s="22" t="s">
        <v>9139</v>
      </c>
      <c r="K351" s="4"/>
      <c r="N351" s="4" t="s">
        <v>707</v>
      </c>
      <c r="O351" s="4">
        <v>212</v>
      </c>
    </row>
    <row r="352" spans="1:15" ht="15.75" customHeight="1">
      <c r="A352" s="4" t="s">
        <v>2044</v>
      </c>
      <c r="B352" s="4" t="s">
        <v>2045</v>
      </c>
      <c r="C352" s="19" t="s">
        <v>9140</v>
      </c>
      <c r="D352" s="4"/>
      <c r="E352" s="4" t="str">
        <f t="shared" si="0"/>
        <v>2.7.1.2</v>
      </c>
      <c r="F352" s="4" t="str">
        <f>$P$3&amp;"R01600"</f>
        <v>R01600</v>
      </c>
      <c r="G352" s="22" t="s">
        <v>9141</v>
      </c>
      <c r="H352" s="22" t="s">
        <v>9142</v>
      </c>
      <c r="K352" s="4"/>
      <c r="N352" s="4" t="s">
        <v>707</v>
      </c>
      <c r="O352" s="4">
        <v>212</v>
      </c>
    </row>
    <row r="353" spans="1:16" ht="15.75" customHeight="1">
      <c r="A353" s="4" t="s">
        <v>2044</v>
      </c>
      <c r="B353" s="4" t="s">
        <v>2045</v>
      </c>
      <c r="C353" s="19" t="s">
        <v>9143</v>
      </c>
      <c r="D353" s="4"/>
      <c r="E353" s="4" t="str">
        <f t="shared" si="0"/>
        <v>2.7.1.2</v>
      </c>
      <c r="F353" s="4" t="str">
        <f>$P$3&amp;"R01786"</f>
        <v>R01786</v>
      </c>
      <c r="G353" s="22" t="s">
        <v>9144</v>
      </c>
      <c r="H353" s="22" t="s">
        <v>9145</v>
      </c>
      <c r="K353" s="4"/>
      <c r="N353" s="4" t="s">
        <v>707</v>
      </c>
      <c r="O353" s="4">
        <v>212</v>
      </c>
    </row>
    <row r="354" spans="1:16" ht="15.75" customHeight="1">
      <c r="A354" s="4" t="s">
        <v>512</v>
      </c>
      <c r="B354" s="4" t="s">
        <v>513</v>
      </c>
      <c r="C354" s="19" t="s">
        <v>9146</v>
      </c>
      <c r="D354" s="4"/>
      <c r="E354" s="4" t="str">
        <f t="shared" si="0"/>
        <v>2.7.1.21</v>
      </c>
      <c r="F354" s="4" t="str">
        <f>$P$3&amp;"R01567"</f>
        <v>R01567</v>
      </c>
      <c r="G354" s="22" t="s">
        <v>9147</v>
      </c>
      <c r="H354" s="22" t="s">
        <v>9148</v>
      </c>
      <c r="K354" s="4"/>
      <c r="N354" s="4" t="s">
        <v>51</v>
      </c>
      <c r="O354" s="4">
        <v>297</v>
      </c>
    </row>
    <row r="355" spans="1:16" ht="15.75" customHeight="1">
      <c r="A355" s="29" t="s">
        <v>512</v>
      </c>
      <c r="B355" s="29" t="s">
        <v>513</v>
      </c>
      <c r="C355" s="30" t="s">
        <v>9149</v>
      </c>
      <c r="D355" s="29"/>
      <c r="E355" s="31" t="str">
        <f t="shared" si="0"/>
        <v>2.7.1.21</v>
      </c>
      <c r="F355" s="32" t="str">
        <f>$P$3&amp;"R02099"</f>
        <v>R02099</v>
      </c>
      <c r="G355" s="22" t="s">
        <v>9150</v>
      </c>
      <c r="H355" s="22" t="s">
        <v>9151</v>
      </c>
      <c r="I355" s="29"/>
      <c r="J355" s="29"/>
      <c r="K355" s="29"/>
      <c r="L355" s="29"/>
      <c r="M355" s="29"/>
      <c r="N355" s="29" t="s">
        <v>51</v>
      </c>
      <c r="O355" s="33">
        <v>297</v>
      </c>
      <c r="P355" s="29"/>
    </row>
    <row r="356" spans="1:16" ht="15.75" customHeight="1">
      <c r="A356" s="29" t="s">
        <v>512</v>
      </c>
      <c r="B356" s="29" t="s">
        <v>513</v>
      </c>
      <c r="C356" s="30" t="s">
        <v>9152</v>
      </c>
      <c r="D356" s="29"/>
      <c r="E356" s="31" t="str">
        <f t="shared" si="0"/>
        <v>2.7.1.21</v>
      </c>
      <c r="F356" s="32" t="str">
        <f>$P$3&amp;"R08233"</f>
        <v>R08233</v>
      </c>
      <c r="G356" s="22" t="s">
        <v>9153</v>
      </c>
      <c r="H356" s="22" t="s">
        <v>9154</v>
      </c>
      <c r="I356" s="29"/>
      <c r="J356" s="29"/>
      <c r="K356" s="29"/>
      <c r="L356" s="29"/>
      <c r="M356" s="29"/>
      <c r="N356" s="29" t="s">
        <v>51</v>
      </c>
      <c r="O356" s="33">
        <v>297</v>
      </c>
      <c r="P356" s="29"/>
    </row>
    <row r="357" spans="1:16" ht="15.75" customHeight="1">
      <c r="A357" s="4" t="s">
        <v>7385</v>
      </c>
      <c r="B357" s="4" t="s">
        <v>7386</v>
      </c>
      <c r="C357" s="19" t="s">
        <v>9155</v>
      </c>
      <c r="D357" s="4"/>
      <c r="E357" s="4" t="str">
        <f t="shared" si="0"/>
        <v>2.7.1.23</v>
      </c>
      <c r="F357" s="4" t="str">
        <f>$P$3&amp;"R00104"</f>
        <v>R00104</v>
      </c>
      <c r="G357" s="22" t="s">
        <v>9156</v>
      </c>
      <c r="H357" s="22" t="s">
        <v>9157</v>
      </c>
      <c r="K357" s="4"/>
      <c r="N357" s="4" t="s">
        <v>51</v>
      </c>
      <c r="O357" s="4">
        <v>157</v>
      </c>
    </row>
    <row r="358" spans="1:16" ht="15.75" customHeight="1">
      <c r="A358" s="4" t="s">
        <v>2197</v>
      </c>
      <c r="B358" s="4" t="s">
        <v>2198</v>
      </c>
      <c r="C358" s="19" t="s">
        <v>9158</v>
      </c>
      <c r="D358" s="4"/>
      <c r="E358" s="4" t="str">
        <f t="shared" si="0"/>
        <v>2.7.1.24</v>
      </c>
      <c r="F358" s="4" t="str">
        <f>$P$3&amp;"R00130"</f>
        <v>R00130</v>
      </c>
      <c r="G358" s="22" t="s">
        <v>9159</v>
      </c>
      <c r="H358" s="22" t="s">
        <v>9160</v>
      </c>
      <c r="K358" s="4"/>
      <c r="N358" s="4" t="s">
        <v>714</v>
      </c>
      <c r="O358" s="4">
        <v>533</v>
      </c>
    </row>
    <row r="359" spans="1:16" ht="15.75" customHeight="1">
      <c r="A359" s="4" t="s">
        <v>1751</v>
      </c>
      <c r="B359" s="4" t="s">
        <v>1752</v>
      </c>
      <c r="C359" s="19" t="s">
        <v>9161</v>
      </c>
      <c r="D359" s="20"/>
      <c r="E359" s="4" t="str">
        <f t="shared" si="0"/>
        <v>2.7.1.26</v>
      </c>
      <c r="F359" s="4" t="str">
        <f>$P$3&amp;"R00549"</f>
        <v>R00549</v>
      </c>
      <c r="G359" s="22" t="s">
        <v>9162</v>
      </c>
      <c r="H359" s="22" t="s">
        <v>9163</v>
      </c>
      <c r="K359" s="4"/>
      <c r="N359" s="4" t="s">
        <v>717</v>
      </c>
      <c r="O359" s="4">
        <v>262</v>
      </c>
    </row>
    <row r="360" spans="1:16" ht="15.75" customHeight="1">
      <c r="A360" s="4" t="s">
        <v>5775</v>
      </c>
      <c r="B360" s="4" t="s">
        <v>5776</v>
      </c>
      <c r="C360" s="19" t="s">
        <v>9164</v>
      </c>
      <c r="D360" s="4"/>
      <c r="E360" s="4" t="str">
        <f t="shared" si="0"/>
        <v>2.7.1.30</v>
      </c>
      <c r="F360" s="4" t="str">
        <f t="shared" ref="F360:F361" si="1">$P$3&amp;"R00847"</f>
        <v>R00847</v>
      </c>
      <c r="G360" s="22" t="s">
        <v>9165</v>
      </c>
      <c r="H360" s="22" t="s">
        <v>9166</v>
      </c>
      <c r="K360" s="4"/>
      <c r="N360" s="4" t="s">
        <v>720</v>
      </c>
      <c r="O360" s="4">
        <v>254</v>
      </c>
    </row>
    <row r="361" spans="1:16" ht="15.75" customHeight="1">
      <c r="A361" s="4" t="s">
        <v>6734</v>
      </c>
      <c r="B361" s="4" t="s">
        <v>6735</v>
      </c>
      <c r="C361" s="19" t="s">
        <v>9167</v>
      </c>
      <c r="D361" s="4"/>
      <c r="E361" s="4" t="str">
        <f t="shared" si="0"/>
        <v>2.7.1.30</v>
      </c>
      <c r="F361" s="4" t="str">
        <f t="shared" si="1"/>
        <v>R00847</v>
      </c>
      <c r="G361" s="22" t="s">
        <v>9168</v>
      </c>
      <c r="H361" s="22" t="s">
        <v>9169</v>
      </c>
      <c r="K361" s="4"/>
      <c r="N361" s="4" t="s">
        <v>723</v>
      </c>
      <c r="O361" s="4">
        <v>352</v>
      </c>
    </row>
    <row r="362" spans="1:16" ht="15.75" customHeight="1">
      <c r="A362" s="4" t="s">
        <v>2742</v>
      </c>
      <c r="B362" s="4" t="s">
        <v>2743</v>
      </c>
      <c r="C362" s="19" t="s">
        <v>9170</v>
      </c>
      <c r="D362" s="4"/>
      <c r="E362" s="4" t="str">
        <f t="shared" si="0"/>
        <v>2.7.1.33</v>
      </c>
      <c r="F362" s="4" t="str">
        <f>$P$3&amp;"R03018"</f>
        <v>R03018</v>
      </c>
      <c r="G362" s="4" t="s">
        <v>8285</v>
      </c>
      <c r="H362" s="22" t="s">
        <v>9171</v>
      </c>
      <c r="K362" s="4"/>
      <c r="N362" s="4" t="s">
        <v>73</v>
      </c>
      <c r="O362" s="4">
        <v>359</v>
      </c>
    </row>
    <row r="363" spans="1:16" ht="15.75" customHeight="1">
      <c r="A363" s="4" t="s">
        <v>2742</v>
      </c>
      <c r="B363" s="4" t="s">
        <v>2743</v>
      </c>
      <c r="C363" s="19" t="s">
        <v>9172</v>
      </c>
      <c r="D363" s="4"/>
      <c r="E363" s="4" t="str">
        <f t="shared" si="0"/>
        <v>2.7.1.33</v>
      </c>
      <c r="F363" s="4" t="str">
        <f>$P$3&amp;"R02971"</f>
        <v>R02971</v>
      </c>
      <c r="G363" s="22" t="s">
        <v>9173</v>
      </c>
      <c r="H363" s="22" t="s">
        <v>9174</v>
      </c>
      <c r="K363" s="4"/>
      <c r="N363" s="4" t="s">
        <v>73</v>
      </c>
      <c r="O363" s="4">
        <v>359</v>
      </c>
    </row>
    <row r="364" spans="1:16" ht="15.75" customHeight="1">
      <c r="A364" s="4" t="s">
        <v>2742</v>
      </c>
      <c r="B364" s="4" t="s">
        <v>2743</v>
      </c>
      <c r="C364" s="19" t="s">
        <v>9175</v>
      </c>
      <c r="D364" s="4"/>
      <c r="E364" s="4" t="str">
        <f t="shared" si="0"/>
        <v>2.7.1.33</v>
      </c>
      <c r="F364" s="4" t="str">
        <f>$P$3&amp;"R04391"</f>
        <v>R04391</v>
      </c>
      <c r="G364" s="22" t="s">
        <v>9176</v>
      </c>
      <c r="H364" s="22" t="s">
        <v>9177</v>
      </c>
      <c r="K364" s="4"/>
      <c r="N364" s="4" t="s">
        <v>73</v>
      </c>
      <c r="O364" s="4">
        <v>359</v>
      </c>
    </row>
    <row r="365" spans="1:16" ht="15.75" customHeight="1">
      <c r="A365" s="4" t="s">
        <v>1537</v>
      </c>
      <c r="B365" s="4" t="s">
        <v>1538</v>
      </c>
      <c r="C365" s="19" t="s">
        <v>9178</v>
      </c>
      <c r="D365" s="4"/>
      <c r="E365" s="4" t="str">
        <f t="shared" si="0"/>
        <v>2.7.1.36</v>
      </c>
      <c r="F365" s="4" t="str">
        <f>$P$3&amp;"R02245"</f>
        <v>R02245</v>
      </c>
      <c r="G365" s="22" t="s">
        <v>9179</v>
      </c>
      <c r="H365" s="22" t="s">
        <v>9180</v>
      </c>
      <c r="K365" s="4"/>
      <c r="N365" s="4" t="s">
        <v>73</v>
      </c>
      <c r="O365" s="4">
        <v>359</v>
      </c>
    </row>
    <row r="366" spans="1:16" ht="15.75" customHeight="1">
      <c r="A366" s="4" t="s">
        <v>3206</v>
      </c>
      <c r="B366" s="4" t="s">
        <v>3207</v>
      </c>
      <c r="C366" s="19" t="s">
        <v>9181</v>
      </c>
      <c r="D366" s="4"/>
      <c r="E366" s="4" t="str">
        <f t="shared" si="0"/>
        <v>2.7.1.39</v>
      </c>
      <c r="F366" s="4" t="str">
        <f>$P$3&amp;"R01771"</f>
        <v>R01771</v>
      </c>
      <c r="G366" s="22" t="s">
        <v>9182</v>
      </c>
      <c r="H366" s="22" t="s">
        <v>9183</v>
      </c>
      <c r="K366" s="4"/>
      <c r="N366" s="4" t="s">
        <v>728</v>
      </c>
      <c r="O366" s="4">
        <v>554</v>
      </c>
    </row>
    <row r="367" spans="1:16" ht="15.75" customHeight="1">
      <c r="A367" s="4" t="s">
        <v>1143</v>
      </c>
      <c r="B367" s="4" t="s">
        <v>1144</v>
      </c>
      <c r="C367" s="19" t="s">
        <v>9184</v>
      </c>
      <c r="D367" s="4"/>
      <c r="E367" s="4" t="str">
        <f t="shared" si="0"/>
        <v>2.7.1.40</v>
      </c>
      <c r="F367" s="4" t="str">
        <f>$P$3&amp;"R00200"</f>
        <v>R00200</v>
      </c>
      <c r="G367" s="22" t="s">
        <v>9185</v>
      </c>
      <c r="H367" s="22" t="s">
        <v>9186</v>
      </c>
      <c r="K367" s="4"/>
      <c r="N367" s="4" t="s">
        <v>270</v>
      </c>
      <c r="O367" s="4">
        <v>285</v>
      </c>
    </row>
    <row r="368" spans="1:16" ht="15.75" customHeight="1">
      <c r="A368" s="4" t="s">
        <v>1143</v>
      </c>
      <c r="B368" s="4" t="s">
        <v>1144</v>
      </c>
      <c r="C368" s="19" t="s">
        <v>9187</v>
      </c>
      <c r="D368" s="4"/>
      <c r="E368" s="4" t="str">
        <f t="shared" si="0"/>
        <v>2.7.1.40</v>
      </c>
      <c r="F368" s="4" t="str">
        <f>$P$3&amp;"R00430"</f>
        <v>R00430</v>
      </c>
      <c r="G368" s="22" t="s">
        <v>9188</v>
      </c>
      <c r="H368" s="22" t="s">
        <v>9189</v>
      </c>
      <c r="K368" s="4"/>
      <c r="N368" s="4" t="s">
        <v>270</v>
      </c>
      <c r="O368" s="4">
        <v>285</v>
      </c>
    </row>
    <row r="369" spans="1:15" ht="15.75" customHeight="1">
      <c r="A369" s="4" t="s">
        <v>1143</v>
      </c>
      <c r="B369" s="4" t="s">
        <v>1144</v>
      </c>
      <c r="C369" s="19" t="s">
        <v>9190</v>
      </c>
      <c r="D369" s="4"/>
      <c r="E369" s="4" t="str">
        <f t="shared" si="0"/>
        <v>2.7.1.40</v>
      </c>
      <c r="F369" s="4" t="str">
        <f>$P$3&amp;"R00572"</f>
        <v>R00572</v>
      </c>
      <c r="G369" s="22" t="s">
        <v>9191</v>
      </c>
      <c r="H369" s="22" t="s">
        <v>9192</v>
      </c>
      <c r="K369" s="4"/>
      <c r="N369" s="4" t="s">
        <v>270</v>
      </c>
      <c r="O369" s="4">
        <v>285</v>
      </c>
    </row>
    <row r="370" spans="1:15" ht="15.75" customHeight="1">
      <c r="A370" s="4" t="s">
        <v>1143</v>
      </c>
      <c r="B370" s="4" t="s">
        <v>1144</v>
      </c>
      <c r="C370" s="19" t="s">
        <v>9193</v>
      </c>
      <c r="D370" s="4"/>
      <c r="E370" s="4" t="str">
        <f t="shared" si="0"/>
        <v>2.7.1.40</v>
      </c>
      <c r="F370" s="4" t="str">
        <f>$P$3&amp;"R00659"</f>
        <v>R00659</v>
      </c>
      <c r="G370" s="22" t="s">
        <v>9194</v>
      </c>
      <c r="H370" s="22" t="s">
        <v>9195</v>
      </c>
      <c r="K370" s="4"/>
      <c r="N370" s="4" t="s">
        <v>270</v>
      </c>
      <c r="O370" s="4">
        <v>285</v>
      </c>
    </row>
    <row r="371" spans="1:15" ht="15.75" customHeight="1">
      <c r="A371" s="4" t="s">
        <v>1143</v>
      </c>
      <c r="B371" s="4" t="s">
        <v>1144</v>
      </c>
      <c r="C371" s="19" t="s">
        <v>9196</v>
      </c>
      <c r="D371" s="4"/>
      <c r="E371" s="4" t="str">
        <f t="shared" si="0"/>
        <v>2.7.1.40</v>
      </c>
      <c r="F371" s="4" t="str">
        <f>$P$3&amp;"R00724"</f>
        <v>R00724</v>
      </c>
      <c r="G371" s="22" t="s">
        <v>9197</v>
      </c>
      <c r="H371" s="22" t="s">
        <v>9198</v>
      </c>
      <c r="K371" s="4"/>
      <c r="N371" s="4" t="s">
        <v>270</v>
      </c>
      <c r="O371" s="4">
        <v>285</v>
      </c>
    </row>
    <row r="372" spans="1:15" ht="15.75" customHeight="1">
      <c r="A372" s="4" t="s">
        <v>1143</v>
      </c>
      <c r="B372" s="4" t="s">
        <v>1144</v>
      </c>
      <c r="C372" s="19" t="s">
        <v>9199</v>
      </c>
      <c r="D372" s="4"/>
      <c r="E372" s="4" t="str">
        <f t="shared" si="0"/>
        <v>2.7.1.40</v>
      </c>
      <c r="F372" s="4" t="str">
        <f>$P$3&amp;"R01138"</f>
        <v>R01138</v>
      </c>
      <c r="G372" s="22" t="s">
        <v>9200</v>
      </c>
      <c r="H372" s="22" t="s">
        <v>9201</v>
      </c>
      <c r="K372" s="4"/>
      <c r="N372" s="4" t="s">
        <v>270</v>
      </c>
      <c r="O372" s="4">
        <v>285</v>
      </c>
    </row>
    <row r="373" spans="1:15" ht="15.75" customHeight="1">
      <c r="A373" s="4" t="s">
        <v>1143</v>
      </c>
      <c r="B373" s="4" t="s">
        <v>1144</v>
      </c>
      <c r="C373" s="19" t="s">
        <v>9202</v>
      </c>
      <c r="D373" s="4"/>
      <c r="E373" s="4" t="str">
        <f t="shared" si="0"/>
        <v>2.7.1.40</v>
      </c>
      <c r="F373" s="4" t="str">
        <f>$P$3&amp;"R01858"</f>
        <v>R01858</v>
      </c>
      <c r="G373" s="22" t="s">
        <v>9203</v>
      </c>
      <c r="H373" s="22" t="s">
        <v>9204</v>
      </c>
      <c r="K373" s="4"/>
      <c r="N373" s="4" t="s">
        <v>270</v>
      </c>
      <c r="O373" s="4">
        <v>285</v>
      </c>
    </row>
    <row r="374" spans="1:15" ht="15.75" customHeight="1">
      <c r="A374" s="4" t="s">
        <v>1143</v>
      </c>
      <c r="B374" s="4" t="s">
        <v>1144</v>
      </c>
      <c r="C374" s="19" t="s">
        <v>9205</v>
      </c>
      <c r="D374" s="4"/>
      <c r="E374" s="4" t="str">
        <f t="shared" si="0"/>
        <v>2.7.1.40</v>
      </c>
      <c r="F374" s="4" t="str">
        <f>$P$3&amp;"R02320"</f>
        <v>R02320</v>
      </c>
      <c r="G374" s="22" t="s">
        <v>9206</v>
      </c>
      <c r="H374" s="22" t="s">
        <v>9207</v>
      </c>
      <c r="K374" s="4"/>
      <c r="N374" s="4" t="s">
        <v>270</v>
      </c>
      <c r="O374" s="4">
        <v>285</v>
      </c>
    </row>
    <row r="375" spans="1:15" ht="15.75" customHeight="1">
      <c r="A375" s="4" t="s">
        <v>2074</v>
      </c>
      <c r="B375" s="4" t="s">
        <v>2075</v>
      </c>
      <c r="C375" s="19" t="s">
        <v>9208</v>
      </c>
      <c r="D375" s="4"/>
      <c r="E375" s="4" t="str">
        <f t="shared" si="0"/>
        <v>2.7.1.48</v>
      </c>
      <c r="F375" s="4" t="str">
        <f>$P$3&amp;"R00513"</f>
        <v>R00513</v>
      </c>
      <c r="G375" s="22" t="s">
        <v>9209</v>
      </c>
      <c r="H375" s="22" t="s">
        <v>9210</v>
      </c>
      <c r="K375" s="4"/>
      <c r="N375" s="4" t="s">
        <v>194</v>
      </c>
      <c r="O375" s="4">
        <v>202</v>
      </c>
    </row>
    <row r="376" spans="1:15" ht="15.75" customHeight="1">
      <c r="A376" s="4" t="s">
        <v>2074</v>
      </c>
      <c r="B376" s="4" t="s">
        <v>2075</v>
      </c>
      <c r="C376" s="19" t="s">
        <v>9211</v>
      </c>
      <c r="D376" s="4"/>
      <c r="E376" s="4" t="str">
        <f t="shared" si="0"/>
        <v>2.7.1.48</v>
      </c>
      <c r="F376" s="4" t="str">
        <f>$P$3&amp;"R00964"</f>
        <v>R00964</v>
      </c>
      <c r="G376" s="22" t="s">
        <v>9212</v>
      </c>
      <c r="H376" s="22" t="s">
        <v>9213</v>
      </c>
      <c r="K376" s="4"/>
      <c r="N376" s="4" t="s">
        <v>194</v>
      </c>
      <c r="O376" s="4">
        <v>202</v>
      </c>
    </row>
    <row r="377" spans="1:15" ht="15.75" customHeight="1">
      <c r="A377" s="4" t="s">
        <v>2074</v>
      </c>
      <c r="B377" s="4" t="s">
        <v>2075</v>
      </c>
      <c r="C377" s="19" t="s">
        <v>9214</v>
      </c>
      <c r="D377" s="4"/>
      <c r="E377" s="4" t="str">
        <f t="shared" si="0"/>
        <v>2.7.1.48</v>
      </c>
      <c r="F377" s="4" t="str">
        <f>$P$3&amp;"R00517"</f>
        <v>R00517</v>
      </c>
      <c r="G377" s="22" t="s">
        <v>9215</v>
      </c>
      <c r="H377" s="22" t="s">
        <v>9216</v>
      </c>
      <c r="K377" s="4"/>
      <c r="N377" s="4" t="s">
        <v>194</v>
      </c>
      <c r="O377" s="4">
        <v>202</v>
      </c>
    </row>
    <row r="378" spans="1:15" ht="15.75" customHeight="1">
      <c r="A378" s="4" t="s">
        <v>2074</v>
      </c>
      <c r="B378" s="4" t="s">
        <v>2075</v>
      </c>
      <c r="C378" s="19" t="s">
        <v>9217</v>
      </c>
      <c r="D378" s="4"/>
      <c r="E378" s="4" t="str">
        <f t="shared" si="0"/>
        <v>2.7.1.48</v>
      </c>
      <c r="F378" s="4" t="str">
        <f>$P$3&amp;"R00968"</f>
        <v>R00968</v>
      </c>
      <c r="G378" s="22" t="s">
        <v>9218</v>
      </c>
      <c r="H378" s="22" t="s">
        <v>9219</v>
      </c>
      <c r="K378" s="4"/>
      <c r="N378" s="4" t="s">
        <v>194</v>
      </c>
      <c r="O378" s="4">
        <v>202</v>
      </c>
    </row>
    <row r="379" spans="1:15" ht="15.75" customHeight="1">
      <c r="A379" s="4" t="s">
        <v>2074</v>
      </c>
      <c r="B379" s="4" t="s">
        <v>2075</v>
      </c>
      <c r="C379" s="19" t="s">
        <v>9220</v>
      </c>
      <c r="D379" s="4"/>
      <c r="E379" s="4" t="str">
        <f t="shared" si="0"/>
        <v>2.7.1.48</v>
      </c>
      <c r="F379" s="4" t="str">
        <f>$P$3&amp;"R08232"</f>
        <v>R08232</v>
      </c>
      <c r="G379" s="22" t="s">
        <v>9221</v>
      </c>
      <c r="H379" s="22" t="s">
        <v>9222</v>
      </c>
      <c r="K379" s="4"/>
      <c r="N379" s="4" t="s">
        <v>194</v>
      </c>
      <c r="O379" s="4">
        <v>202</v>
      </c>
    </row>
    <row r="380" spans="1:15" ht="15.75" customHeight="1">
      <c r="A380" s="4" t="s">
        <v>4330</v>
      </c>
      <c r="B380" s="4" t="s">
        <v>4331</v>
      </c>
      <c r="C380" s="19" t="s">
        <v>9223</v>
      </c>
      <c r="D380" s="20"/>
      <c r="E380" s="4" t="str">
        <f t="shared" si="0"/>
        <v>2.7.1.49</v>
      </c>
      <c r="F380" s="4" t="str">
        <f t="shared" ref="F380:F381" si="2">$P$3&amp;"R03471"</f>
        <v>R03471</v>
      </c>
      <c r="G380" s="22" t="s">
        <v>9224</v>
      </c>
      <c r="H380" s="22" t="s">
        <v>9225</v>
      </c>
      <c r="K380" s="4"/>
      <c r="N380" s="4" t="s">
        <v>714</v>
      </c>
      <c r="O380" s="4">
        <v>344</v>
      </c>
    </row>
    <row r="381" spans="1:15" ht="15.75" customHeight="1">
      <c r="A381" s="4" t="s">
        <v>6811</v>
      </c>
      <c r="B381" s="4" t="s">
        <v>6812</v>
      </c>
      <c r="C381" s="19" t="s">
        <v>9226</v>
      </c>
      <c r="D381" s="20"/>
      <c r="E381" s="4" t="str">
        <f t="shared" si="0"/>
        <v>2.7.1.49</v>
      </c>
      <c r="F381" s="4" t="str">
        <f t="shared" si="2"/>
        <v>R03471</v>
      </c>
      <c r="G381" s="22" t="s">
        <v>9227</v>
      </c>
      <c r="H381" s="22" t="s">
        <v>9228</v>
      </c>
      <c r="K381" s="4"/>
      <c r="N381" s="4" t="s">
        <v>76</v>
      </c>
      <c r="O381" s="4">
        <v>254</v>
      </c>
    </row>
    <row r="382" spans="1:15" ht="15.75" customHeight="1">
      <c r="A382" s="4" t="s">
        <v>1092</v>
      </c>
      <c r="B382" s="4" t="s">
        <v>1093</v>
      </c>
      <c r="C382" s="19" t="s">
        <v>9229</v>
      </c>
      <c r="D382" s="4"/>
      <c r="E382" s="4" t="str">
        <f t="shared" si="0"/>
        <v>2.7.1.56</v>
      </c>
      <c r="F382" s="4" t="str">
        <f>$P$3&amp;"R13203"</f>
        <v>R13203</v>
      </c>
      <c r="G382" s="22" t="s">
        <v>9230</v>
      </c>
      <c r="H382" s="22" t="s">
        <v>9231</v>
      </c>
      <c r="K382" s="4"/>
      <c r="N382" s="4" t="s">
        <v>73</v>
      </c>
      <c r="O382" s="4">
        <v>295</v>
      </c>
    </row>
    <row r="383" spans="1:15" ht="15.75" customHeight="1">
      <c r="A383" s="4" t="s">
        <v>1092</v>
      </c>
      <c r="B383" s="4" t="s">
        <v>1093</v>
      </c>
      <c r="C383" s="19" t="s">
        <v>9232</v>
      </c>
      <c r="D383" s="4"/>
      <c r="E383" s="4" t="str">
        <f t="shared" si="0"/>
        <v>2.7.1.56</v>
      </c>
      <c r="F383" s="4" t="str">
        <f>$P$3&amp;"R02071"</f>
        <v>R02071</v>
      </c>
      <c r="G383" s="22" t="s">
        <v>9233</v>
      </c>
      <c r="H383" s="22" t="s">
        <v>9234</v>
      </c>
      <c r="K383" s="4"/>
      <c r="N383" s="4" t="s">
        <v>73</v>
      </c>
      <c r="O383" s="4">
        <v>295</v>
      </c>
    </row>
    <row r="384" spans="1:15" ht="15.75" customHeight="1">
      <c r="A384" s="4" t="s">
        <v>1092</v>
      </c>
      <c r="B384" s="4" t="s">
        <v>1093</v>
      </c>
      <c r="C384" s="19" t="s">
        <v>9235</v>
      </c>
      <c r="D384" s="4"/>
      <c r="E384" s="4" t="str">
        <f t="shared" si="0"/>
        <v>2.7.1.56</v>
      </c>
      <c r="F384" s="4" t="str">
        <f>$P$3&amp;"R03236"</f>
        <v>R03236</v>
      </c>
      <c r="G384" s="22" t="s">
        <v>9236</v>
      </c>
      <c r="H384" s="22" t="s">
        <v>9237</v>
      </c>
      <c r="K384" s="4"/>
      <c r="N384" s="4" t="s">
        <v>73</v>
      </c>
      <c r="O384" s="4">
        <v>295</v>
      </c>
    </row>
    <row r="385" spans="1:15" ht="15.75" customHeight="1">
      <c r="A385" s="4" t="s">
        <v>5779</v>
      </c>
      <c r="B385" s="4" t="s">
        <v>5780</v>
      </c>
      <c r="C385" s="19" t="s">
        <v>9238</v>
      </c>
      <c r="D385" s="4"/>
      <c r="E385" s="4" t="str">
        <f t="shared" si="0"/>
        <v>2.7.1.56</v>
      </c>
      <c r="F385" s="4" t="str">
        <f>$P$3&amp;"R13203"</f>
        <v>R13203</v>
      </c>
      <c r="G385" s="22" t="s">
        <v>9239</v>
      </c>
      <c r="H385" s="22" t="s">
        <v>9240</v>
      </c>
      <c r="K385" s="4"/>
      <c r="N385" s="4" t="s">
        <v>56</v>
      </c>
      <c r="O385" s="4">
        <v>408</v>
      </c>
    </row>
    <row r="386" spans="1:15" ht="15.75" customHeight="1">
      <c r="A386" s="4" t="s">
        <v>5779</v>
      </c>
      <c r="B386" s="4" t="s">
        <v>5780</v>
      </c>
      <c r="C386" s="19" t="s">
        <v>9241</v>
      </c>
      <c r="D386" s="4"/>
      <c r="E386" s="4" t="str">
        <f t="shared" si="0"/>
        <v>2.7.1.56</v>
      </c>
      <c r="F386" s="4" t="str">
        <f>$P$3&amp;"R02071"</f>
        <v>R02071</v>
      </c>
      <c r="G386" s="22" t="s">
        <v>9242</v>
      </c>
      <c r="H386" s="22" t="s">
        <v>9243</v>
      </c>
      <c r="K386" s="4"/>
      <c r="N386" s="4" t="s">
        <v>56</v>
      </c>
      <c r="O386" s="4">
        <v>408</v>
      </c>
    </row>
    <row r="387" spans="1:15" ht="15.75" customHeight="1">
      <c r="A387" s="4" t="s">
        <v>5779</v>
      </c>
      <c r="B387" s="4" t="s">
        <v>5780</v>
      </c>
      <c r="C387" s="19" t="s">
        <v>9244</v>
      </c>
      <c r="D387" s="4"/>
      <c r="E387" s="4" t="str">
        <f t="shared" si="0"/>
        <v>2.7.1.56</v>
      </c>
      <c r="F387" s="4" t="str">
        <f>$P$3&amp;"R03236"</f>
        <v>R03236</v>
      </c>
      <c r="G387" s="22" t="s">
        <v>9245</v>
      </c>
      <c r="H387" s="22" t="s">
        <v>9246</v>
      </c>
      <c r="K387" s="4"/>
      <c r="N387" s="4" t="s">
        <v>56</v>
      </c>
      <c r="O387" s="4">
        <v>408</v>
      </c>
    </row>
    <row r="388" spans="1:15" ht="15.75" customHeight="1">
      <c r="A388" s="4" t="s">
        <v>6741</v>
      </c>
      <c r="B388" s="4" t="s">
        <v>6742</v>
      </c>
      <c r="C388" s="19" t="s">
        <v>9247</v>
      </c>
      <c r="D388" s="4"/>
      <c r="E388" s="4" t="str">
        <f t="shared" si="0"/>
        <v>2.7.1.6</v>
      </c>
      <c r="F388" s="4" t="str">
        <f>$P$3&amp;"R01092"</f>
        <v>R01092</v>
      </c>
      <c r="G388" s="22" t="s">
        <v>9248</v>
      </c>
      <c r="H388" s="22" t="s">
        <v>9249</v>
      </c>
      <c r="K388" s="4"/>
      <c r="N388" s="4" t="s">
        <v>743</v>
      </c>
      <c r="O388" s="4">
        <v>134</v>
      </c>
    </row>
    <row r="389" spans="1:15" ht="15.75" customHeight="1">
      <c r="A389" s="4" t="s">
        <v>4554</v>
      </c>
      <c r="B389" s="4" t="s">
        <v>4555</v>
      </c>
      <c r="C389" s="19" t="s">
        <v>9250</v>
      </c>
      <c r="D389" s="4"/>
      <c r="E389" s="4" t="str">
        <f t="shared" si="0"/>
        <v>2.7.1.92</v>
      </c>
      <c r="F389" s="4" t="str">
        <f>$P$3&amp;"R05661"</f>
        <v>R05661</v>
      </c>
      <c r="G389" s="22" t="s">
        <v>9251</v>
      </c>
      <c r="H389" s="22" t="s">
        <v>9252</v>
      </c>
      <c r="K389" s="4"/>
      <c r="N389" s="4" t="s">
        <v>743</v>
      </c>
      <c r="O389" s="4">
        <v>134</v>
      </c>
    </row>
    <row r="390" spans="1:15" ht="15.75" customHeight="1">
      <c r="A390" s="4" t="s">
        <v>2973</v>
      </c>
      <c r="B390" s="4" t="s">
        <v>2974</v>
      </c>
      <c r="C390" s="19" t="s">
        <v>9253</v>
      </c>
      <c r="D390" s="4"/>
      <c r="E390" s="4" t="str">
        <f t="shared" si="0"/>
        <v>2.7.10.2</v>
      </c>
      <c r="F390" s="4" t="str">
        <f>$P$3&amp;"R02584"</f>
        <v>R02584</v>
      </c>
      <c r="G390" s="22" t="s">
        <v>9254</v>
      </c>
      <c r="H390" s="22" t="s">
        <v>9255</v>
      </c>
      <c r="K390" s="4"/>
      <c r="N390" s="4" t="s">
        <v>746</v>
      </c>
      <c r="O390" s="4">
        <v>108</v>
      </c>
    </row>
    <row r="391" spans="1:15" ht="15.75" customHeight="1">
      <c r="A391" s="4" t="s">
        <v>1615</v>
      </c>
      <c r="B391" s="4" t="s">
        <v>1616</v>
      </c>
      <c r="C391" s="19" t="s">
        <v>9256</v>
      </c>
      <c r="D391" s="20"/>
      <c r="E391" s="4" t="str">
        <f t="shared" si="0"/>
        <v>2.7.11.33</v>
      </c>
      <c r="G391" s="4"/>
      <c r="H391" s="4"/>
      <c r="K391" s="4"/>
      <c r="N391" s="4" t="s">
        <v>746</v>
      </c>
      <c r="O391" s="4">
        <v>108</v>
      </c>
    </row>
    <row r="392" spans="1:15" ht="15.75" customHeight="1">
      <c r="A392" s="4" t="s">
        <v>715</v>
      </c>
      <c r="B392" s="4" t="s">
        <v>716</v>
      </c>
      <c r="C392" s="19" t="s">
        <v>9257</v>
      </c>
      <c r="D392" s="4"/>
      <c r="E392" s="4" t="str">
        <f t="shared" si="0"/>
        <v>2.7.13.3</v>
      </c>
      <c r="G392" s="4"/>
      <c r="H392" s="4"/>
      <c r="K392" s="4"/>
      <c r="N392" s="4" t="s">
        <v>749</v>
      </c>
      <c r="O392" s="4">
        <v>725</v>
      </c>
    </row>
    <row r="393" spans="1:15" ht="15.75" customHeight="1">
      <c r="A393" s="4" t="s">
        <v>5355</v>
      </c>
      <c r="B393" s="4" t="s">
        <v>5356</v>
      </c>
      <c r="C393" s="19" t="s">
        <v>9258</v>
      </c>
      <c r="D393" s="4"/>
      <c r="E393" s="4" t="str">
        <f t="shared" si="0"/>
        <v>2.7.13.3</v>
      </c>
      <c r="G393" s="4"/>
      <c r="H393" s="4"/>
      <c r="K393" s="4"/>
      <c r="N393" s="4" t="s">
        <v>56</v>
      </c>
      <c r="O393" s="4">
        <v>145</v>
      </c>
    </row>
    <row r="394" spans="1:15" ht="15.75" customHeight="1">
      <c r="A394" s="4" t="s">
        <v>5909</v>
      </c>
      <c r="B394" s="4" t="s">
        <v>5910</v>
      </c>
      <c r="C394" s="19" t="s">
        <v>9259</v>
      </c>
      <c r="D394" s="4"/>
      <c r="E394" s="4" t="str">
        <f t="shared" si="0"/>
        <v>2.7.13.3</v>
      </c>
      <c r="G394" s="4"/>
      <c r="H394" s="4"/>
      <c r="K394" s="4"/>
      <c r="N394" s="4" t="s">
        <v>56</v>
      </c>
      <c r="O394" s="4">
        <v>560</v>
      </c>
    </row>
    <row r="395" spans="1:15" ht="15.75" customHeight="1">
      <c r="A395" s="4" t="s">
        <v>3250</v>
      </c>
      <c r="B395" s="4" t="s">
        <v>3251</v>
      </c>
      <c r="C395" s="19" t="s">
        <v>9260</v>
      </c>
      <c r="D395" s="4"/>
      <c r="E395" s="4" t="str">
        <f t="shared" si="0"/>
        <v>2.7.2.1</v>
      </c>
      <c r="F395" s="4" t="str">
        <f>$P$3&amp;"R00315"</f>
        <v>R00315</v>
      </c>
      <c r="G395" s="22" t="s">
        <v>9261</v>
      </c>
      <c r="H395" s="22" t="s">
        <v>9262</v>
      </c>
      <c r="K395" s="4"/>
      <c r="N395" s="4" t="s">
        <v>348</v>
      </c>
      <c r="O395" s="4">
        <v>287</v>
      </c>
    </row>
    <row r="396" spans="1:15" ht="15.75" customHeight="1">
      <c r="A396" s="4" t="s">
        <v>3250</v>
      </c>
      <c r="B396" s="4" t="s">
        <v>3251</v>
      </c>
      <c r="C396" s="19" t="s">
        <v>9263</v>
      </c>
      <c r="D396" s="4"/>
      <c r="E396" s="4" t="str">
        <f t="shared" si="0"/>
        <v>2.7.2.1</v>
      </c>
      <c r="F396" s="4" t="str">
        <f>$P$3&amp;"R01353"</f>
        <v>R01353</v>
      </c>
      <c r="G396" s="22" t="s">
        <v>9264</v>
      </c>
      <c r="H396" s="22" t="s">
        <v>9265</v>
      </c>
      <c r="K396" s="4"/>
      <c r="N396" s="4" t="s">
        <v>348</v>
      </c>
      <c r="O396" s="4">
        <v>287</v>
      </c>
    </row>
    <row r="397" spans="1:15" ht="15.75" customHeight="1">
      <c r="A397" s="4" t="s">
        <v>4716</v>
      </c>
      <c r="B397" s="4" t="s">
        <v>4717</v>
      </c>
      <c r="C397" s="19" t="s">
        <v>9266</v>
      </c>
      <c r="D397" s="4"/>
      <c r="E397" s="4" t="str">
        <f t="shared" si="0"/>
        <v>2.7.2.1</v>
      </c>
      <c r="F397" s="4" t="str">
        <f>$P$3&amp;"R00315"</f>
        <v>R00315</v>
      </c>
      <c r="G397" s="22" t="s">
        <v>9267</v>
      </c>
      <c r="H397" s="22" t="s">
        <v>9268</v>
      </c>
      <c r="K397" s="4"/>
      <c r="N397" s="4" t="s">
        <v>92</v>
      </c>
      <c r="O397" s="4">
        <v>242</v>
      </c>
    </row>
    <row r="398" spans="1:15" ht="15.75" customHeight="1">
      <c r="A398" s="4" t="s">
        <v>4716</v>
      </c>
      <c r="B398" s="4" t="s">
        <v>4717</v>
      </c>
      <c r="C398" s="19" t="s">
        <v>9269</v>
      </c>
      <c r="D398" s="4"/>
      <c r="E398" s="4" t="str">
        <f t="shared" si="0"/>
        <v>2.7.2.1</v>
      </c>
      <c r="F398" s="4" t="str">
        <f>$P$3&amp;"R01353"</f>
        <v>R01353</v>
      </c>
      <c r="G398" s="22" t="s">
        <v>9270</v>
      </c>
      <c r="H398" s="22" t="s">
        <v>9271</v>
      </c>
      <c r="K398" s="4"/>
      <c r="N398" s="4" t="s">
        <v>92</v>
      </c>
      <c r="O398" s="4">
        <v>242</v>
      </c>
    </row>
    <row r="399" spans="1:15" ht="15.75" customHeight="1">
      <c r="A399" s="4" t="s">
        <v>3723</v>
      </c>
      <c r="B399" s="4" t="s">
        <v>3724</v>
      </c>
      <c r="C399" s="19" t="s">
        <v>9272</v>
      </c>
      <c r="D399" s="4"/>
      <c r="E399" s="4" t="str">
        <f t="shared" si="0"/>
        <v>2.7.2.11</v>
      </c>
      <c r="F399" s="4" t="str">
        <f>$P$3&amp;"R00239"</f>
        <v>R00239</v>
      </c>
      <c r="G399" s="22" t="s">
        <v>9273</v>
      </c>
      <c r="H399" s="22" t="s">
        <v>9274</v>
      </c>
      <c r="K399" s="4"/>
      <c r="N399" s="4" t="s">
        <v>348</v>
      </c>
      <c r="O399" s="4">
        <v>292</v>
      </c>
    </row>
    <row r="400" spans="1:15" ht="15.75" customHeight="1">
      <c r="A400" s="4" t="s">
        <v>3216</v>
      </c>
      <c r="B400" s="4" t="s">
        <v>3217</v>
      </c>
      <c r="C400" s="19" t="s">
        <v>9275</v>
      </c>
      <c r="D400" s="4"/>
      <c r="E400" s="4" t="str">
        <f t="shared" si="0"/>
        <v>2.7.2.4</v>
      </c>
      <c r="F400" s="4" t="str">
        <f t="shared" ref="F400:F401" si="3">$P$3&amp;"R00480"</f>
        <v>R00480</v>
      </c>
      <c r="G400" s="22" t="s">
        <v>9276</v>
      </c>
      <c r="H400" s="22" t="s">
        <v>9277</v>
      </c>
      <c r="K400" s="4"/>
      <c r="N400" s="4" t="s">
        <v>348</v>
      </c>
      <c r="O400" s="4">
        <v>292</v>
      </c>
    </row>
    <row r="401" spans="1:15" ht="15.75" customHeight="1">
      <c r="A401" s="4" t="s">
        <v>4901</v>
      </c>
      <c r="B401" s="4" t="s">
        <v>4902</v>
      </c>
      <c r="C401" s="19" t="s">
        <v>9278</v>
      </c>
      <c r="D401" s="4"/>
      <c r="E401" s="4" t="str">
        <f t="shared" si="0"/>
        <v>2.7.2.4</v>
      </c>
      <c r="F401" s="4" t="str">
        <f t="shared" si="3"/>
        <v>R00480</v>
      </c>
      <c r="G401" s="22" t="s">
        <v>9279</v>
      </c>
      <c r="H401" s="22" t="s">
        <v>9280</v>
      </c>
      <c r="K401" s="4"/>
      <c r="N401" s="4" t="s">
        <v>351</v>
      </c>
      <c r="O401" s="4">
        <v>102</v>
      </c>
    </row>
    <row r="402" spans="1:15" ht="15.75" customHeight="1">
      <c r="A402" s="4" t="s">
        <v>1398</v>
      </c>
      <c r="B402" s="4" t="s">
        <v>1399</v>
      </c>
      <c r="C402" s="19" t="s">
        <v>9281</v>
      </c>
      <c r="D402" s="4"/>
      <c r="E402" s="4" t="str">
        <f t="shared" si="0"/>
        <v>2.7.2.7</v>
      </c>
      <c r="F402" s="4" t="str">
        <f>$P$3&amp;"R01688"</f>
        <v>R01688</v>
      </c>
      <c r="G402" s="22" t="s">
        <v>9282</v>
      </c>
      <c r="H402" s="22" t="s">
        <v>9283</v>
      </c>
      <c r="K402" s="4"/>
    </row>
    <row r="403" spans="1:15" ht="15.75" customHeight="1">
      <c r="A403" s="4" t="s">
        <v>2359</v>
      </c>
      <c r="B403" s="4" t="s">
        <v>2360</v>
      </c>
      <c r="C403" s="19" t="s">
        <v>9284</v>
      </c>
      <c r="D403" s="4"/>
      <c r="E403" s="4" t="str">
        <f t="shared" si="0"/>
        <v>2.7.3.9</v>
      </c>
      <c r="F403" s="4" t="str">
        <f>$P$3&amp;"R02628"</f>
        <v>R02628</v>
      </c>
      <c r="G403" s="22" t="s">
        <v>9285</v>
      </c>
      <c r="H403" s="22" t="s">
        <v>9286</v>
      </c>
      <c r="K403" s="4"/>
      <c r="N403" s="4" t="s">
        <v>348</v>
      </c>
      <c r="O403" s="4">
        <v>280</v>
      </c>
    </row>
    <row r="404" spans="1:15" ht="15.75" customHeight="1">
      <c r="A404" s="4" t="s">
        <v>5869</v>
      </c>
      <c r="B404" s="4" t="s">
        <v>5870</v>
      </c>
      <c r="C404" s="19" t="s">
        <v>9287</v>
      </c>
      <c r="D404" s="4"/>
      <c r="E404" s="4" t="str">
        <f t="shared" si="0"/>
        <v>2.7.4.1</v>
      </c>
      <c r="F404" s="4" t="str">
        <f>$P$3&amp;"R02184"</f>
        <v>R02184</v>
      </c>
      <c r="G404" s="22" t="s">
        <v>9288</v>
      </c>
      <c r="H404" s="22" t="s">
        <v>9289</v>
      </c>
      <c r="K404" s="4"/>
      <c r="N404" s="4" t="s">
        <v>348</v>
      </c>
      <c r="O404" s="4">
        <v>83</v>
      </c>
    </row>
    <row r="405" spans="1:15" ht="15.75" customHeight="1">
      <c r="A405" s="4" t="s">
        <v>337</v>
      </c>
      <c r="B405" s="4" t="s">
        <v>338</v>
      </c>
      <c r="C405" s="19" t="s">
        <v>9290</v>
      </c>
      <c r="D405" s="4"/>
      <c r="E405" s="4" t="str">
        <f t="shared" si="0"/>
        <v>2.7.4.2</v>
      </c>
      <c r="F405" s="4" t="str">
        <f>$P$3&amp;"R03245"</f>
        <v>R03245</v>
      </c>
      <c r="G405" s="22" t="s">
        <v>9291</v>
      </c>
      <c r="H405" s="22" t="s">
        <v>9292</v>
      </c>
      <c r="K405" s="4"/>
      <c r="N405" s="4" t="s">
        <v>769</v>
      </c>
      <c r="O405" s="4">
        <v>81</v>
      </c>
    </row>
    <row r="406" spans="1:15" ht="15.75" customHeight="1">
      <c r="A406" s="4" t="s">
        <v>1805</v>
      </c>
      <c r="B406" s="4" t="s">
        <v>1806</v>
      </c>
      <c r="C406" s="19" t="s">
        <v>9293</v>
      </c>
      <c r="D406" s="4"/>
      <c r="E406" s="4" t="str">
        <f t="shared" si="0"/>
        <v>2.7.4.22</v>
      </c>
      <c r="F406" s="4" t="str">
        <f>$P$3&amp;"R00158"</f>
        <v>R00158</v>
      </c>
      <c r="G406" s="22" t="s">
        <v>9294</v>
      </c>
      <c r="H406" s="22" t="s">
        <v>9295</v>
      </c>
      <c r="K406" s="4"/>
    </row>
    <row r="407" spans="1:15" ht="15.75" customHeight="1">
      <c r="A407" s="4" t="s">
        <v>1183</v>
      </c>
      <c r="B407" s="4" t="s">
        <v>1184</v>
      </c>
      <c r="C407" s="19" t="s">
        <v>9296</v>
      </c>
      <c r="D407" s="4"/>
      <c r="E407" s="4" t="str">
        <f t="shared" si="0"/>
        <v>2.7.4.25</v>
      </c>
      <c r="F407" s="4" t="str">
        <f>$P$3&amp;"R00512"</f>
        <v>R00512</v>
      </c>
      <c r="G407" s="22" t="s">
        <v>9297</v>
      </c>
      <c r="H407" s="22" t="s">
        <v>9298</v>
      </c>
      <c r="K407" s="4"/>
      <c r="N407" s="4" t="s">
        <v>56</v>
      </c>
      <c r="O407" s="4">
        <v>62</v>
      </c>
    </row>
    <row r="408" spans="1:15" ht="15.75" customHeight="1">
      <c r="A408" s="4" t="s">
        <v>1183</v>
      </c>
      <c r="B408" s="4" t="s">
        <v>1184</v>
      </c>
      <c r="C408" s="19" t="s">
        <v>9299</v>
      </c>
      <c r="D408" s="4"/>
      <c r="E408" s="4" t="str">
        <f t="shared" si="0"/>
        <v>2.7.4.25</v>
      </c>
      <c r="F408" s="4" t="str">
        <f>$P$3&amp;"R01665"</f>
        <v>R01665</v>
      </c>
      <c r="G408" s="22" t="s">
        <v>9300</v>
      </c>
      <c r="H408" s="22" t="s">
        <v>9301</v>
      </c>
      <c r="K408" s="4"/>
      <c r="N408" s="4" t="s">
        <v>56</v>
      </c>
      <c r="O408" s="4">
        <v>62</v>
      </c>
    </row>
    <row r="409" spans="1:15" ht="15.75" customHeight="1">
      <c r="A409" s="4" t="s">
        <v>1615</v>
      </c>
      <c r="B409" s="4" t="s">
        <v>1616</v>
      </c>
      <c r="C409" s="19" t="s">
        <v>9302</v>
      </c>
      <c r="E409" s="4" t="str">
        <f t="shared" si="0"/>
        <v>2.7.4.28</v>
      </c>
      <c r="G409" s="4"/>
      <c r="H409" s="4"/>
      <c r="I409" s="4"/>
      <c r="K409" s="4"/>
      <c r="N409" s="4" t="s">
        <v>775</v>
      </c>
      <c r="O409" s="4">
        <v>123</v>
      </c>
    </row>
    <row r="410" spans="1:15" ht="15.75" customHeight="1">
      <c r="A410" s="4" t="s">
        <v>6247</v>
      </c>
      <c r="B410" s="4" t="s">
        <v>6248</v>
      </c>
      <c r="C410" s="19" t="s">
        <v>9303</v>
      </c>
      <c r="D410" s="4"/>
      <c r="E410" s="4" t="str">
        <f t="shared" si="0"/>
        <v>2.7.4.3</v>
      </c>
      <c r="F410" s="4" t="str">
        <f>$P$3&amp;"R00127"</f>
        <v>R00127</v>
      </c>
      <c r="G410" s="22" t="s">
        <v>9304</v>
      </c>
      <c r="H410" s="27" t="s">
        <v>9305</v>
      </c>
      <c r="K410" s="4"/>
      <c r="N410" s="4" t="s">
        <v>779</v>
      </c>
      <c r="O410" s="4">
        <v>471</v>
      </c>
    </row>
    <row r="411" spans="1:15" ht="15.75" customHeight="1">
      <c r="A411" s="4" t="s">
        <v>6247</v>
      </c>
      <c r="B411" s="4" t="s">
        <v>6248</v>
      </c>
      <c r="C411" s="19" t="s">
        <v>9306</v>
      </c>
      <c r="D411" s="4"/>
      <c r="E411" s="4" t="str">
        <f t="shared" si="0"/>
        <v>2.7.4.3</v>
      </c>
      <c r="F411" s="4" t="str">
        <f>$P$3&amp;"R01547"</f>
        <v>R01547</v>
      </c>
      <c r="G411" s="22" t="s">
        <v>9307</v>
      </c>
      <c r="H411" s="22" t="s">
        <v>9308</v>
      </c>
      <c r="K411" s="4"/>
      <c r="N411" s="4" t="s">
        <v>779</v>
      </c>
      <c r="O411" s="4">
        <v>471</v>
      </c>
    </row>
    <row r="412" spans="1:15" ht="15.75" customHeight="1">
      <c r="A412" s="4" t="s">
        <v>6247</v>
      </c>
      <c r="B412" s="4" t="s">
        <v>6248</v>
      </c>
      <c r="C412" s="19" t="s">
        <v>9309</v>
      </c>
      <c r="D412" s="4"/>
      <c r="E412" s="4" t="str">
        <f t="shared" si="0"/>
        <v>2.7.4.3</v>
      </c>
      <c r="F412" s="4" t="str">
        <f>$P$3&amp;"R11319"</f>
        <v>R11319</v>
      </c>
      <c r="G412" s="22" t="s">
        <v>9310</v>
      </c>
      <c r="H412" s="22" t="s">
        <v>9311</v>
      </c>
      <c r="K412" s="4"/>
      <c r="N412" s="4" t="s">
        <v>779</v>
      </c>
      <c r="O412" s="4">
        <v>471</v>
      </c>
    </row>
    <row r="413" spans="1:15" ht="15.75" customHeight="1">
      <c r="A413" s="4" t="s">
        <v>6928</v>
      </c>
      <c r="B413" s="4" t="s">
        <v>6929</v>
      </c>
      <c r="C413" s="19" t="s">
        <v>9312</v>
      </c>
      <c r="D413" s="4"/>
      <c r="E413" s="4" t="str">
        <f t="shared" si="0"/>
        <v>2.7.4.6</v>
      </c>
      <c r="F413" s="4" t="str">
        <f>$P$3&amp;"R00331"</f>
        <v>R00331</v>
      </c>
      <c r="G413" s="22" t="s">
        <v>9313</v>
      </c>
      <c r="H413" s="22" t="s">
        <v>9314</v>
      </c>
      <c r="K413" s="4"/>
      <c r="N413" s="4" t="s">
        <v>56</v>
      </c>
      <c r="O413" s="4">
        <v>222</v>
      </c>
    </row>
    <row r="414" spans="1:15" ht="15.75" customHeight="1">
      <c r="A414" s="4" t="s">
        <v>6928</v>
      </c>
      <c r="B414" s="4" t="s">
        <v>6929</v>
      </c>
      <c r="C414" s="19" t="s">
        <v>9315</v>
      </c>
      <c r="D414" s="4"/>
      <c r="E414" s="4" t="str">
        <f t="shared" si="0"/>
        <v>2.7.4.6</v>
      </c>
      <c r="F414" s="4" t="str">
        <f>$P$3&amp;"R00124"</f>
        <v>R00124</v>
      </c>
      <c r="G414" s="22" t="s">
        <v>9316</v>
      </c>
      <c r="H414" s="22" t="s">
        <v>9317</v>
      </c>
      <c r="K414" s="4"/>
      <c r="N414" s="4" t="s">
        <v>56</v>
      </c>
      <c r="O414" s="4">
        <v>222</v>
      </c>
    </row>
    <row r="415" spans="1:15" ht="15.75" customHeight="1">
      <c r="A415" s="4" t="s">
        <v>6928</v>
      </c>
      <c r="B415" s="4" t="s">
        <v>6929</v>
      </c>
      <c r="C415" s="19" t="s">
        <v>9318</v>
      </c>
      <c r="D415" s="4"/>
      <c r="E415" s="4" t="str">
        <f t="shared" si="0"/>
        <v>2.7.4.6</v>
      </c>
      <c r="F415" s="4" t="str">
        <f>$P$3&amp;"R00139"</f>
        <v>R00139</v>
      </c>
      <c r="G415" s="22" t="s">
        <v>9319</v>
      </c>
      <c r="H415" s="22" t="s">
        <v>9320</v>
      </c>
      <c r="K415" s="4"/>
      <c r="N415" s="4" t="s">
        <v>56</v>
      </c>
      <c r="O415" s="4">
        <v>222</v>
      </c>
    </row>
    <row r="416" spans="1:15" ht="15.75" customHeight="1">
      <c r="A416" s="4" t="s">
        <v>6928</v>
      </c>
      <c r="B416" s="4" t="s">
        <v>6929</v>
      </c>
      <c r="C416" s="19" t="s">
        <v>9321</v>
      </c>
      <c r="D416" s="4"/>
      <c r="E416" s="4" t="str">
        <f t="shared" si="0"/>
        <v>2.7.4.6</v>
      </c>
      <c r="F416" s="4" t="str">
        <f>$P$3&amp;"R00156"</f>
        <v>R00156</v>
      </c>
      <c r="G416" s="22" t="s">
        <v>9322</v>
      </c>
      <c r="H416" s="22" t="s">
        <v>9323</v>
      </c>
      <c r="K416" s="4"/>
      <c r="N416" s="4" t="s">
        <v>56</v>
      </c>
      <c r="O416" s="4">
        <v>222</v>
      </c>
    </row>
    <row r="417" spans="1:15" ht="15.75" customHeight="1">
      <c r="A417" s="4" t="s">
        <v>6928</v>
      </c>
      <c r="B417" s="4" t="s">
        <v>6929</v>
      </c>
      <c r="C417" s="19" t="s">
        <v>9324</v>
      </c>
      <c r="D417" s="4"/>
      <c r="E417" s="4" t="str">
        <f t="shared" si="0"/>
        <v>2.7.4.6</v>
      </c>
      <c r="F417" s="4" t="str">
        <f>$P$3&amp;"R00330"</f>
        <v>R00330</v>
      </c>
      <c r="G417" s="22" t="s">
        <v>9325</v>
      </c>
      <c r="H417" s="22" t="s">
        <v>9326</v>
      </c>
      <c r="K417" s="4"/>
      <c r="N417" s="4" t="s">
        <v>56</v>
      </c>
      <c r="O417" s="4">
        <v>222</v>
      </c>
    </row>
    <row r="418" spans="1:15" ht="15.75" customHeight="1">
      <c r="A418" s="4" t="s">
        <v>6928</v>
      </c>
      <c r="B418" s="4" t="s">
        <v>6929</v>
      </c>
      <c r="C418" s="19" t="s">
        <v>9327</v>
      </c>
      <c r="D418" s="4"/>
      <c r="E418" s="4" t="str">
        <f t="shared" si="0"/>
        <v>2.7.4.6</v>
      </c>
      <c r="F418" s="4" t="str">
        <f>$P$3&amp;"R00570"</f>
        <v>R00570</v>
      </c>
      <c r="G418" s="22" t="s">
        <v>9328</v>
      </c>
      <c r="H418" s="22" t="s">
        <v>9329</v>
      </c>
      <c r="K418" s="4"/>
      <c r="N418" s="4" t="s">
        <v>56</v>
      </c>
      <c r="O418" s="4">
        <v>222</v>
      </c>
    </row>
    <row r="419" spans="1:15" ht="15.75" customHeight="1">
      <c r="A419" s="4" t="s">
        <v>6928</v>
      </c>
      <c r="B419" s="4" t="s">
        <v>6929</v>
      </c>
      <c r="C419" s="19" t="s">
        <v>9330</v>
      </c>
      <c r="D419" s="4"/>
      <c r="E419" s="4" t="str">
        <f t="shared" si="0"/>
        <v>2.7.4.6</v>
      </c>
      <c r="F419" s="4" t="str">
        <f>$P$3&amp;"R00722"</f>
        <v>R00722</v>
      </c>
      <c r="G419" s="22" t="s">
        <v>9331</v>
      </c>
      <c r="H419" s="22" t="s">
        <v>9332</v>
      </c>
      <c r="K419" s="4"/>
      <c r="N419" s="4" t="s">
        <v>56</v>
      </c>
      <c r="O419" s="4">
        <v>222</v>
      </c>
    </row>
    <row r="420" spans="1:15" ht="15.75" customHeight="1">
      <c r="A420" s="4" t="s">
        <v>6928</v>
      </c>
      <c r="B420" s="4" t="s">
        <v>6929</v>
      </c>
      <c r="C420" s="19" t="s">
        <v>9333</v>
      </c>
      <c r="D420" s="4"/>
      <c r="E420" s="4" t="str">
        <f t="shared" si="0"/>
        <v>2.7.4.6</v>
      </c>
      <c r="F420" s="4" t="str">
        <f>$P$3&amp;"R01137"</f>
        <v>R01137</v>
      </c>
      <c r="G420" s="22" t="s">
        <v>9334</v>
      </c>
      <c r="H420" s="22" t="s">
        <v>9335</v>
      </c>
      <c r="K420" s="4"/>
      <c r="N420" s="4" t="s">
        <v>56</v>
      </c>
      <c r="O420" s="4">
        <v>222</v>
      </c>
    </row>
    <row r="421" spans="1:15" ht="15.75" customHeight="1">
      <c r="A421" s="4" t="s">
        <v>6928</v>
      </c>
      <c r="B421" s="4" t="s">
        <v>6929</v>
      </c>
      <c r="C421" s="19" t="s">
        <v>9336</v>
      </c>
      <c r="D421" s="4"/>
      <c r="E421" s="4" t="str">
        <f t="shared" si="0"/>
        <v>2.7.4.6</v>
      </c>
      <c r="F421" s="4" t="str">
        <f>$P$3&amp;"R01857"</f>
        <v>R01857</v>
      </c>
      <c r="G421" s="22" t="s">
        <v>9337</v>
      </c>
      <c r="H421" s="22" t="s">
        <v>9338</v>
      </c>
      <c r="K421" s="4"/>
      <c r="N421" s="4" t="s">
        <v>56</v>
      </c>
      <c r="O421" s="4">
        <v>222</v>
      </c>
    </row>
    <row r="422" spans="1:15" ht="15.75" customHeight="1">
      <c r="A422" s="4" t="s">
        <v>6928</v>
      </c>
      <c r="B422" s="4" t="s">
        <v>6929</v>
      </c>
      <c r="C422" s="19" t="s">
        <v>9339</v>
      </c>
      <c r="D422" s="4"/>
      <c r="E422" s="4" t="str">
        <f t="shared" si="0"/>
        <v>2.7.4.6</v>
      </c>
      <c r="F422" s="4" t="str">
        <f>$P$3&amp;"R02093"</f>
        <v>R02093</v>
      </c>
      <c r="G422" s="22" t="s">
        <v>9340</v>
      </c>
      <c r="H422" s="22" t="s">
        <v>9341</v>
      </c>
      <c r="K422" s="4"/>
      <c r="N422" s="4" t="s">
        <v>56</v>
      </c>
      <c r="O422" s="4">
        <v>222</v>
      </c>
    </row>
    <row r="423" spans="1:15" ht="15.75" customHeight="1">
      <c r="A423" s="4" t="s">
        <v>6928</v>
      </c>
      <c r="B423" s="4" t="s">
        <v>6929</v>
      </c>
      <c r="C423" s="19" t="s">
        <v>9342</v>
      </c>
      <c r="D423" s="4"/>
      <c r="E423" s="4" t="str">
        <f t="shared" si="0"/>
        <v>2.7.4.6</v>
      </c>
      <c r="F423" s="4" t="str">
        <f>$P$3&amp;"R02326"</f>
        <v>R02326</v>
      </c>
      <c r="G423" s="22" t="s">
        <v>9343</v>
      </c>
      <c r="H423" s="22" t="s">
        <v>9344</v>
      </c>
      <c r="K423" s="4"/>
      <c r="N423" s="4" t="s">
        <v>56</v>
      </c>
      <c r="O423" s="4">
        <v>222</v>
      </c>
    </row>
    <row r="424" spans="1:15" ht="15.75" customHeight="1">
      <c r="A424" s="4" t="s">
        <v>6928</v>
      </c>
      <c r="B424" s="4" t="s">
        <v>6929</v>
      </c>
      <c r="C424" s="19" t="s">
        <v>9345</v>
      </c>
      <c r="D424" s="4"/>
      <c r="E424" s="4" t="str">
        <f t="shared" si="0"/>
        <v>2.7.4.6</v>
      </c>
      <c r="F424" s="4" t="str">
        <f>$P$3&amp;"R02331"</f>
        <v>R02331</v>
      </c>
      <c r="G424" s="22" t="s">
        <v>9346</v>
      </c>
      <c r="H424" s="22" t="s">
        <v>9347</v>
      </c>
      <c r="K424" s="4"/>
      <c r="N424" s="4" t="s">
        <v>56</v>
      </c>
      <c r="O424" s="4">
        <v>222</v>
      </c>
    </row>
    <row r="425" spans="1:15" ht="15.75" customHeight="1">
      <c r="A425" s="4" t="s">
        <v>6928</v>
      </c>
      <c r="B425" s="4" t="s">
        <v>6929</v>
      </c>
      <c r="C425" s="19" t="s">
        <v>9348</v>
      </c>
      <c r="D425" s="4"/>
      <c r="E425" s="4" t="str">
        <f t="shared" si="0"/>
        <v>2.7.4.6</v>
      </c>
      <c r="F425" s="4" t="str">
        <f>$P$3&amp;"R03530"</f>
        <v>R03530</v>
      </c>
      <c r="G425" s="22" t="s">
        <v>9349</v>
      </c>
      <c r="H425" s="22" t="s">
        <v>9350</v>
      </c>
      <c r="K425" s="4"/>
      <c r="N425" s="4" t="s">
        <v>56</v>
      </c>
      <c r="O425" s="4">
        <v>222</v>
      </c>
    </row>
    <row r="426" spans="1:15" ht="15.75" customHeight="1">
      <c r="A426" s="4" t="s">
        <v>6928</v>
      </c>
      <c r="B426" s="4" t="s">
        <v>6929</v>
      </c>
      <c r="C426" s="19" t="s">
        <v>9351</v>
      </c>
      <c r="D426" s="4"/>
      <c r="E426" s="4" t="str">
        <f t="shared" si="0"/>
        <v>2.7.4.6</v>
      </c>
      <c r="F426" s="4" t="str">
        <f>$P$3&amp;"R12853"</f>
        <v>R12853</v>
      </c>
      <c r="G426" s="22" t="s">
        <v>9352</v>
      </c>
      <c r="H426" s="22" t="s">
        <v>9353</v>
      </c>
      <c r="K426" s="4"/>
      <c r="N426" s="4" t="s">
        <v>56</v>
      </c>
      <c r="O426" s="4">
        <v>222</v>
      </c>
    </row>
    <row r="427" spans="1:15" ht="15.75" customHeight="1">
      <c r="A427" s="4" t="s">
        <v>6928</v>
      </c>
      <c r="B427" s="4" t="s">
        <v>6929</v>
      </c>
      <c r="C427" s="19" t="s">
        <v>9354</v>
      </c>
      <c r="D427" s="4"/>
      <c r="E427" s="4" t="str">
        <f t="shared" si="0"/>
        <v>2.7.4.6</v>
      </c>
      <c r="F427" s="4" t="str">
        <f>$P$3&amp;"R11894"</f>
        <v>R11894</v>
      </c>
      <c r="G427" s="22" t="s">
        <v>9355</v>
      </c>
      <c r="H427" s="22" t="s">
        <v>9356</v>
      </c>
      <c r="K427" s="4"/>
      <c r="N427" s="4" t="s">
        <v>56</v>
      </c>
      <c r="O427" s="4">
        <v>222</v>
      </c>
    </row>
    <row r="428" spans="1:15" ht="15.75" customHeight="1">
      <c r="A428" s="4" t="s">
        <v>6928</v>
      </c>
      <c r="B428" s="4" t="s">
        <v>6929</v>
      </c>
      <c r="C428" s="19" t="s">
        <v>9357</v>
      </c>
      <c r="D428" s="4"/>
      <c r="E428" s="4" t="str">
        <f t="shared" si="0"/>
        <v>2.7.4.6</v>
      </c>
      <c r="F428" s="4" t="str">
        <f>$P$3&amp;"R11895"</f>
        <v>R11895</v>
      </c>
      <c r="G428" s="22" t="s">
        <v>9358</v>
      </c>
      <c r="H428" s="22" t="s">
        <v>9359</v>
      </c>
      <c r="K428" s="4"/>
      <c r="N428" s="4" t="s">
        <v>56</v>
      </c>
      <c r="O428" s="4">
        <v>222</v>
      </c>
    </row>
    <row r="429" spans="1:15" ht="15.75" customHeight="1">
      <c r="A429" s="4" t="s">
        <v>4330</v>
      </c>
      <c r="B429" s="4" t="s">
        <v>4331</v>
      </c>
      <c r="C429" s="28" t="s">
        <v>8286</v>
      </c>
      <c r="D429" s="20"/>
      <c r="E429" s="4" t="str">
        <f t="shared" si="0"/>
        <v>2.7.4.7</v>
      </c>
      <c r="F429" s="4" t="str">
        <f t="shared" ref="F429:F430" si="4">$P$3&amp;"R04509"</f>
        <v>R04509</v>
      </c>
      <c r="G429" s="21" t="s">
        <v>9360</v>
      </c>
      <c r="H429" s="22" t="s">
        <v>9361</v>
      </c>
      <c r="K429" s="4"/>
      <c r="N429" s="4" t="s">
        <v>348</v>
      </c>
      <c r="O429" s="4">
        <v>280</v>
      </c>
    </row>
    <row r="430" spans="1:15" ht="15.75" customHeight="1">
      <c r="A430" s="4" t="s">
        <v>6811</v>
      </c>
      <c r="B430" s="4" t="s">
        <v>6812</v>
      </c>
      <c r="C430" s="20" t="s">
        <v>8286</v>
      </c>
      <c r="D430" s="20"/>
      <c r="E430" s="4" t="str">
        <f t="shared" si="0"/>
        <v>2.7.4.7</v>
      </c>
      <c r="F430" s="4" t="str">
        <f t="shared" si="4"/>
        <v>R04509</v>
      </c>
      <c r="G430" s="21" t="s">
        <v>9362</v>
      </c>
      <c r="H430" s="22" t="s">
        <v>9363</v>
      </c>
      <c r="K430" s="4"/>
      <c r="N430" s="4" t="s">
        <v>348</v>
      </c>
      <c r="O430" s="4">
        <v>83</v>
      </c>
    </row>
    <row r="431" spans="1:15" ht="15.75" customHeight="1">
      <c r="A431" s="4" t="s">
        <v>1955</v>
      </c>
      <c r="B431" s="4" t="s">
        <v>1956</v>
      </c>
      <c r="C431" s="19" t="s">
        <v>9364</v>
      </c>
      <c r="D431" s="4"/>
      <c r="E431" s="4" t="str">
        <f t="shared" si="0"/>
        <v>2.7.4.8</v>
      </c>
      <c r="F431" s="4" t="str">
        <f>$P$3&amp;"R00332"</f>
        <v>R00332</v>
      </c>
      <c r="G431" s="22" t="s">
        <v>9365</v>
      </c>
      <c r="H431" s="22" t="s">
        <v>9366</v>
      </c>
      <c r="K431" s="4"/>
      <c r="N431" s="4" t="s">
        <v>56</v>
      </c>
      <c r="O431" s="4">
        <v>414</v>
      </c>
    </row>
    <row r="432" spans="1:15" ht="15.75" customHeight="1">
      <c r="A432" s="4" t="s">
        <v>1955</v>
      </c>
      <c r="B432" s="4" t="s">
        <v>1956</v>
      </c>
      <c r="C432" s="19" t="s">
        <v>9367</v>
      </c>
      <c r="D432" s="4"/>
      <c r="E432" s="4" t="str">
        <f t="shared" si="0"/>
        <v>2.7.4.8</v>
      </c>
      <c r="F432" s="4" t="str">
        <f>$P$3&amp;"R02090"</f>
        <v>R02090</v>
      </c>
      <c r="G432" s="22" t="s">
        <v>9368</v>
      </c>
      <c r="H432" s="22" t="s">
        <v>9369</v>
      </c>
      <c r="K432" s="4"/>
      <c r="N432" s="4" t="s">
        <v>56</v>
      </c>
      <c r="O432" s="4">
        <v>414</v>
      </c>
    </row>
    <row r="433" spans="1:15" ht="15.75" customHeight="1">
      <c r="A433" s="4" t="s">
        <v>1955</v>
      </c>
      <c r="B433" s="4" t="s">
        <v>1956</v>
      </c>
      <c r="C433" s="19" t="s">
        <v>9370</v>
      </c>
      <c r="D433" s="4"/>
      <c r="E433" s="4" t="str">
        <f t="shared" si="0"/>
        <v>2.7.4.8</v>
      </c>
      <c r="F433" s="4" t="str">
        <f>$P$3&amp;"R12852"</f>
        <v>R12852</v>
      </c>
      <c r="G433" s="22" t="s">
        <v>9371</v>
      </c>
      <c r="H433" s="22" t="s">
        <v>9372</v>
      </c>
      <c r="K433" s="4"/>
      <c r="N433" s="4" t="s">
        <v>56</v>
      </c>
      <c r="O433" s="4">
        <v>414</v>
      </c>
    </row>
    <row r="434" spans="1:15" ht="15.75" customHeight="1">
      <c r="A434" s="4" t="s">
        <v>3480</v>
      </c>
      <c r="B434" s="4" t="s">
        <v>3481</v>
      </c>
      <c r="C434" s="19" t="s">
        <v>9373</v>
      </c>
      <c r="D434" s="4"/>
      <c r="E434" s="4" t="str">
        <f t="shared" si="0"/>
        <v>2.7.4.9</v>
      </c>
      <c r="F434" s="4" t="str">
        <f>$P$3&amp;"R02094"</f>
        <v>R02094</v>
      </c>
      <c r="G434" s="22" t="s">
        <v>9374</v>
      </c>
      <c r="H434" s="22" t="s">
        <v>9375</v>
      </c>
      <c r="K434" s="4"/>
      <c r="N434" s="4" t="s">
        <v>56</v>
      </c>
      <c r="O434" s="4">
        <v>70</v>
      </c>
    </row>
    <row r="435" spans="1:15" ht="15.75" customHeight="1">
      <c r="A435" s="4" t="s">
        <v>3480</v>
      </c>
      <c r="B435" s="4" t="s">
        <v>3481</v>
      </c>
      <c r="C435" s="19" t="s">
        <v>9376</v>
      </c>
      <c r="D435" s="4"/>
      <c r="E435" s="4" t="str">
        <f t="shared" si="0"/>
        <v>2.7.4.9</v>
      </c>
      <c r="F435" s="4" t="str">
        <f>$P$3&amp;"R02098"</f>
        <v>R02098</v>
      </c>
      <c r="G435" s="22" t="s">
        <v>9377</v>
      </c>
      <c r="H435" s="22" t="s">
        <v>9378</v>
      </c>
      <c r="K435" s="4"/>
      <c r="N435" s="4" t="s">
        <v>56</v>
      </c>
      <c r="O435" s="4">
        <v>70</v>
      </c>
    </row>
    <row r="436" spans="1:15" ht="15.75" customHeight="1">
      <c r="B436" s="4" t="s">
        <v>5200</v>
      </c>
      <c r="C436" s="19" t="s">
        <v>9379</v>
      </c>
      <c r="D436" s="4"/>
      <c r="E436" s="4" t="str">
        <f t="shared" si="0"/>
        <v>2.7.6.1</v>
      </c>
      <c r="F436" s="4" t="str">
        <f t="shared" ref="F436:F437" si="5">$P$3&amp;"R01049"</f>
        <v>R01049</v>
      </c>
      <c r="G436" s="22" t="s">
        <v>9380</v>
      </c>
      <c r="H436" s="22" t="s">
        <v>9381</v>
      </c>
      <c r="K436" s="4"/>
      <c r="N436" s="4" t="s">
        <v>92</v>
      </c>
      <c r="O436" s="4">
        <v>185</v>
      </c>
    </row>
    <row r="437" spans="1:15" ht="15.75" customHeight="1">
      <c r="A437" s="4" t="s">
        <v>5957</v>
      </c>
      <c r="B437" s="4" t="s">
        <v>5958</v>
      </c>
      <c r="C437" s="19" t="s">
        <v>9382</v>
      </c>
      <c r="D437" s="4"/>
      <c r="E437" s="4" t="str">
        <f t="shared" si="0"/>
        <v>2.7.6.1</v>
      </c>
      <c r="F437" s="4" t="str">
        <f t="shared" si="5"/>
        <v>R01049</v>
      </c>
      <c r="G437" s="22" t="s">
        <v>9383</v>
      </c>
      <c r="H437" s="22" t="s">
        <v>9384</v>
      </c>
      <c r="I437" s="4"/>
      <c r="K437" s="4"/>
      <c r="N437" s="4" t="s">
        <v>792</v>
      </c>
      <c r="O437" s="4">
        <v>203</v>
      </c>
    </row>
    <row r="438" spans="1:15" ht="15.75" customHeight="1">
      <c r="A438" s="4" t="s">
        <v>1916</v>
      </c>
      <c r="B438" s="4" t="s">
        <v>1917</v>
      </c>
      <c r="C438" s="4" t="s">
        <v>8287</v>
      </c>
      <c r="D438" s="4"/>
      <c r="E438" s="4" t="str">
        <f t="shared" si="0"/>
        <v>2.7.6.2</v>
      </c>
      <c r="F438" s="4" t="str">
        <f>$P$3&amp;"R00619"</f>
        <v>R00619</v>
      </c>
      <c r="G438" s="22" t="s">
        <v>9385</v>
      </c>
      <c r="H438" s="22" t="s">
        <v>9386</v>
      </c>
      <c r="K438" s="4"/>
      <c r="N438" s="4" t="s">
        <v>796</v>
      </c>
      <c r="O438" s="4">
        <v>160</v>
      </c>
    </row>
    <row r="439" spans="1:15" ht="15.75" customHeight="1">
      <c r="A439" s="4" t="s">
        <v>1662</v>
      </c>
      <c r="B439" s="4" t="s">
        <v>1663</v>
      </c>
      <c r="C439" s="19" t="s">
        <v>9387</v>
      </c>
      <c r="D439" s="4"/>
      <c r="E439" s="4" t="str">
        <f t="shared" si="0"/>
        <v>2.7.6.5</v>
      </c>
      <c r="F439" s="4" t="str">
        <f>$P$3&amp;"R00429"</f>
        <v>R00429</v>
      </c>
      <c r="G439" s="22" t="s">
        <v>9388</v>
      </c>
      <c r="H439" s="22" t="s">
        <v>9389</v>
      </c>
      <c r="I439" s="4"/>
      <c r="K439" s="4"/>
      <c r="N439" s="4" t="s">
        <v>799</v>
      </c>
      <c r="O439" s="4">
        <v>567</v>
      </c>
    </row>
    <row r="440" spans="1:15" ht="15.75" customHeight="1">
      <c r="A440" s="4" t="s">
        <v>6746</v>
      </c>
      <c r="B440" s="4" t="s">
        <v>6747</v>
      </c>
      <c r="C440" s="19" t="s">
        <v>9390</v>
      </c>
      <c r="D440" s="4"/>
      <c r="E440" s="4" t="str">
        <f t="shared" si="0"/>
        <v>2.7.7.12</v>
      </c>
      <c r="F440" s="4" t="str">
        <f>$P$3&amp;"R00955"</f>
        <v>R00955</v>
      </c>
      <c r="G440" s="22" t="s">
        <v>9391</v>
      </c>
      <c r="H440" s="22" t="s">
        <v>9392</v>
      </c>
      <c r="K440" s="4"/>
      <c r="N440" s="4" t="s">
        <v>803</v>
      </c>
      <c r="O440" s="4">
        <v>414</v>
      </c>
    </row>
    <row r="441" spans="1:15" ht="15.75" customHeight="1">
      <c r="A441" s="4" t="s">
        <v>2132</v>
      </c>
      <c r="B441" s="4" t="s">
        <v>2133</v>
      </c>
      <c r="C441" s="19" t="s">
        <v>9393</v>
      </c>
      <c r="D441" s="4"/>
      <c r="E441" s="4" t="str">
        <f t="shared" si="0"/>
        <v>2.7.7.18</v>
      </c>
      <c r="F441" s="4" t="str">
        <f>$P$3&amp;"R03005"</f>
        <v>R03005</v>
      </c>
      <c r="G441" s="22" t="s">
        <v>9394</v>
      </c>
      <c r="H441" s="22" t="s">
        <v>9395</v>
      </c>
      <c r="K441" s="4"/>
      <c r="N441" s="4" t="s">
        <v>806</v>
      </c>
      <c r="O441" s="4">
        <v>385</v>
      </c>
    </row>
    <row r="442" spans="1:15" ht="15.75" customHeight="1">
      <c r="A442" s="4" t="s">
        <v>2132</v>
      </c>
      <c r="B442" s="4" t="s">
        <v>2133</v>
      </c>
      <c r="C442" s="19" t="s">
        <v>9396</v>
      </c>
      <c r="D442" s="4"/>
      <c r="E442" s="4" t="str">
        <f t="shared" si="0"/>
        <v>2.7.7.18</v>
      </c>
      <c r="F442" s="4" t="str">
        <f>$P$3&amp;"R00137"</f>
        <v>R00137</v>
      </c>
      <c r="G442" s="22" t="s">
        <v>9397</v>
      </c>
      <c r="H442" s="22" t="s">
        <v>9398</v>
      </c>
      <c r="K442" s="4"/>
      <c r="N442" s="4" t="s">
        <v>806</v>
      </c>
      <c r="O442" s="4">
        <v>385</v>
      </c>
    </row>
    <row r="443" spans="1:15" ht="15.75" customHeight="1">
      <c r="A443" s="4" t="s">
        <v>1751</v>
      </c>
      <c r="B443" s="4" t="s">
        <v>1752</v>
      </c>
      <c r="C443" s="20" t="s">
        <v>8288</v>
      </c>
      <c r="D443" s="20"/>
      <c r="E443" s="4" t="str">
        <f t="shared" si="0"/>
        <v>2.7.7.2</v>
      </c>
      <c r="F443" s="4" t="str">
        <f>$P$3&amp;"R00161"</f>
        <v>R00161</v>
      </c>
      <c r="G443" s="22" t="s">
        <v>9399</v>
      </c>
      <c r="H443" s="22" t="s">
        <v>9400</v>
      </c>
      <c r="I443" s="4"/>
      <c r="K443" s="4"/>
      <c r="N443" s="4" t="s">
        <v>809</v>
      </c>
      <c r="O443" s="4">
        <v>405</v>
      </c>
    </row>
    <row r="444" spans="1:15" ht="15.75" customHeight="1">
      <c r="A444" s="4" t="s">
        <v>5955</v>
      </c>
      <c r="B444" s="4" t="s">
        <v>5956</v>
      </c>
      <c r="C444" s="20" t="s">
        <v>8289</v>
      </c>
      <c r="D444" s="20"/>
      <c r="E444" s="4" t="str">
        <f t="shared" si="0"/>
        <v>2.7.7.23</v>
      </c>
      <c r="F444" s="4" t="str">
        <f>$P$3&amp;"R00416"</f>
        <v>R00416</v>
      </c>
      <c r="G444" s="22" t="s">
        <v>9401</v>
      </c>
      <c r="H444" s="22" t="s">
        <v>9402</v>
      </c>
      <c r="K444" s="4"/>
      <c r="N444" s="4" t="s">
        <v>813</v>
      </c>
      <c r="O444" s="4">
        <v>217</v>
      </c>
    </row>
    <row r="445" spans="1:15" ht="15.75" customHeight="1">
      <c r="A445" s="4" t="s">
        <v>2908</v>
      </c>
      <c r="B445" s="4" t="s">
        <v>2909</v>
      </c>
      <c r="C445" s="19" t="s">
        <v>9403</v>
      </c>
      <c r="D445" s="4"/>
      <c r="E445" s="4" t="str">
        <f t="shared" si="0"/>
        <v>2.7.7.27</v>
      </c>
      <c r="F445" s="4" t="str">
        <f t="shared" ref="F445:F446" si="6">$P$3&amp;"R00948"</f>
        <v>R00948</v>
      </c>
      <c r="G445" s="22" t="s">
        <v>9404</v>
      </c>
      <c r="H445" s="22" t="s">
        <v>9405</v>
      </c>
      <c r="K445" s="4"/>
      <c r="N445" s="4" t="s">
        <v>816</v>
      </c>
      <c r="O445" s="4">
        <v>880</v>
      </c>
    </row>
    <row r="446" spans="1:15" ht="15.75" customHeight="1">
      <c r="A446" s="4" t="s">
        <v>2911</v>
      </c>
      <c r="B446" s="4" t="s">
        <v>2912</v>
      </c>
      <c r="C446" s="19" t="s">
        <v>9406</v>
      </c>
      <c r="D446" s="4"/>
      <c r="E446" s="4" t="str">
        <f t="shared" si="0"/>
        <v>2.7.7.27</v>
      </c>
      <c r="F446" s="4" t="str">
        <f t="shared" si="6"/>
        <v>R00948</v>
      </c>
      <c r="G446" s="22" t="s">
        <v>9407</v>
      </c>
      <c r="H446" s="22" t="s">
        <v>9408</v>
      </c>
      <c r="K446" s="4"/>
      <c r="N446" s="4" t="s">
        <v>819</v>
      </c>
      <c r="O446" s="4">
        <v>425</v>
      </c>
    </row>
    <row r="447" spans="1:15" ht="15.75" customHeight="1">
      <c r="A447" s="4" t="s">
        <v>1026</v>
      </c>
      <c r="B447" s="4" t="s">
        <v>1027</v>
      </c>
      <c r="C447" s="19" t="s">
        <v>9409</v>
      </c>
      <c r="D447" s="4"/>
      <c r="E447" s="4" t="str">
        <f t="shared" si="0"/>
        <v>2.7.7.3</v>
      </c>
      <c r="F447" s="4" t="str">
        <f>$P$3&amp;"R03035"</f>
        <v>R03035</v>
      </c>
      <c r="G447" s="22" t="s">
        <v>9410</v>
      </c>
      <c r="H447" s="22" t="s">
        <v>9411</v>
      </c>
      <c r="K447" s="4"/>
      <c r="N447" s="4" t="s">
        <v>625</v>
      </c>
      <c r="O447" s="4">
        <v>214</v>
      </c>
    </row>
    <row r="448" spans="1:15" ht="15.75" customHeight="1">
      <c r="A448" s="4" t="s">
        <v>570</v>
      </c>
      <c r="B448" s="4" t="s">
        <v>571</v>
      </c>
      <c r="C448" s="19" t="s">
        <v>9412</v>
      </c>
      <c r="D448" s="4"/>
      <c r="E448" s="4" t="str">
        <f t="shared" si="0"/>
        <v>2.7.7.6</v>
      </c>
      <c r="F448" s="4" t="str">
        <f>$P$3&amp;"R00444"</f>
        <v>R00444</v>
      </c>
      <c r="G448" s="22" t="s">
        <v>9413</v>
      </c>
      <c r="H448" s="22" t="s">
        <v>9414</v>
      </c>
      <c r="I448" s="4"/>
      <c r="K448" s="4"/>
      <c r="N448" s="4" t="s">
        <v>824</v>
      </c>
      <c r="O448" s="4">
        <v>222</v>
      </c>
    </row>
    <row r="449" spans="1:15" ht="15.75" customHeight="1">
      <c r="A449" s="4" t="s">
        <v>570</v>
      </c>
      <c r="B449" s="4" t="s">
        <v>571</v>
      </c>
      <c r="C449" s="19" t="s">
        <v>9415</v>
      </c>
      <c r="D449" s="4"/>
      <c r="E449" s="4" t="str">
        <f t="shared" si="0"/>
        <v>2.7.7.6</v>
      </c>
      <c r="F449" s="4" t="str">
        <f>$P$3&amp;"R00435"</f>
        <v>R00435</v>
      </c>
      <c r="G449" s="22" t="s">
        <v>9416</v>
      </c>
      <c r="H449" s="22" t="s">
        <v>9417</v>
      </c>
      <c r="I449" s="4"/>
      <c r="K449" s="4"/>
      <c r="N449" s="4" t="s">
        <v>824</v>
      </c>
      <c r="O449" s="4">
        <v>222</v>
      </c>
    </row>
    <row r="450" spans="1:15" ht="15.75" customHeight="1">
      <c r="A450" s="4" t="s">
        <v>570</v>
      </c>
      <c r="B450" s="4" t="s">
        <v>571</v>
      </c>
      <c r="C450" s="19" t="s">
        <v>9418</v>
      </c>
      <c r="D450" s="4"/>
      <c r="E450" s="4" t="str">
        <f t="shared" si="0"/>
        <v>2.7.7.6</v>
      </c>
      <c r="F450" s="4" t="str">
        <f>$P$3&amp;"R00441"</f>
        <v>R00441</v>
      </c>
      <c r="G450" s="22" t="s">
        <v>9419</v>
      </c>
      <c r="H450" s="22" t="s">
        <v>9420</v>
      </c>
      <c r="I450" s="4"/>
      <c r="K450" s="4"/>
      <c r="N450" s="4" t="s">
        <v>824</v>
      </c>
      <c r="O450" s="4">
        <v>222</v>
      </c>
    </row>
    <row r="451" spans="1:15" ht="15.75" customHeight="1">
      <c r="A451" s="4" t="s">
        <v>570</v>
      </c>
      <c r="B451" s="4" t="s">
        <v>571</v>
      </c>
      <c r="C451" s="19" t="s">
        <v>9421</v>
      </c>
      <c r="D451" s="4"/>
      <c r="E451" s="4" t="str">
        <f t="shared" si="0"/>
        <v>2.7.7.6</v>
      </c>
      <c r="F451" s="4" t="str">
        <f>$P$3&amp;"R00442"</f>
        <v>R00442</v>
      </c>
      <c r="G451" s="22" t="s">
        <v>9422</v>
      </c>
      <c r="H451" s="22" t="s">
        <v>9423</v>
      </c>
      <c r="I451" s="4"/>
      <c r="K451" s="4"/>
      <c r="N451" s="4" t="s">
        <v>824</v>
      </c>
      <c r="O451" s="4">
        <v>222</v>
      </c>
    </row>
    <row r="452" spans="1:15" ht="15.75" customHeight="1">
      <c r="A452" s="4" t="s">
        <v>570</v>
      </c>
      <c r="B452" s="4" t="s">
        <v>571</v>
      </c>
      <c r="C452" s="19" t="s">
        <v>9424</v>
      </c>
      <c r="D452" s="4"/>
      <c r="E452" s="4" t="str">
        <f t="shared" si="0"/>
        <v>2.7.7.6</v>
      </c>
      <c r="F452" s="4" t="str">
        <f>$P$3&amp;"R00443"</f>
        <v>R00443</v>
      </c>
      <c r="G452" s="22" t="s">
        <v>9425</v>
      </c>
      <c r="H452" s="22" t="s">
        <v>9426</v>
      </c>
      <c r="I452" s="4"/>
      <c r="K452" s="4"/>
      <c r="N452" s="4" t="s">
        <v>824</v>
      </c>
      <c r="O452" s="4">
        <v>222</v>
      </c>
    </row>
    <row r="453" spans="1:15" ht="15.75" customHeight="1">
      <c r="A453" s="4" t="s">
        <v>570</v>
      </c>
      <c r="B453" s="4" t="s">
        <v>571</v>
      </c>
      <c r="C453" s="19" t="s">
        <v>9427</v>
      </c>
      <c r="D453" s="4"/>
      <c r="E453" s="4" t="str">
        <f t="shared" si="0"/>
        <v>2.7.7.6</v>
      </c>
      <c r="F453" s="4" t="str">
        <f>$P$3&amp;"R10813"</f>
        <v>R10813</v>
      </c>
      <c r="G453" s="27" t="s">
        <v>9428</v>
      </c>
      <c r="H453" s="22" t="s">
        <v>9429</v>
      </c>
      <c r="I453" s="4"/>
      <c r="K453" s="4"/>
      <c r="N453" s="4" t="s">
        <v>824</v>
      </c>
      <c r="O453" s="4">
        <v>222</v>
      </c>
    </row>
    <row r="454" spans="1:15" ht="15.75" customHeight="1">
      <c r="A454" s="4" t="s">
        <v>972</v>
      </c>
      <c r="B454" s="4" t="s">
        <v>973</v>
      </c>
      <c r="C454" s="19" t="s">
        <v>9430</v>
      </c>
      <c r="D454" s="4"/>
      <c r="E454" s="4" t="str">
        <f t="shared" si="0"/>
        <v>2.7.7.6</v>
      </c>
      <c r="F454" s="4" t="str">
        <f>$P$3&amp;"R00444"</f>
        <v>R00444</v>
      </c>
      <c r="G454" s="22" t="s">
        <v>9431</v>
      </c>
      <c r="H454" s="22" t="s">
        <v>9432</v>
      </c>
      <c r="K454" s="4"/>
      <c r="N454" s="4" t="s">
        <v>566</v>
      </c>
      <c r="O454" s="4">
        <v>333</v>
      </c>
    </row>
    <row r="455" spans="1:15" ht="15.75" customHeight="1">
      <c r="A455" s="4" t="s">
        <v>972</v>
      </c>
      <c r="B455" s="4" t="s">
        <v>973</v>
      </c>
      <c r="C455" s="19" t="s">
        <v>9433</v>
      </c>
      <c r="D455" s="4"/>
      <c r="E455" s="4" t="str">
        <f t="shared" si="0"/>
        <v>2.7.7.6</v>
      </c>
      <c r="F455" s="4" t="str">
        <f>$P$3&amp;"R00435"</f>
        <v>R00435</v>
      </c>
      <c r="G455" s="22" t="s">
        <v>9434</v>
      </c>
      <c r="H455" s="22" t="s">
        <v>9435</v>
      </c>
      <c r="K455" s="4"/>
      <c r="N455" s="4" t="s">
        <v>566</v>
      </c>
      <c r="O455" s="4">
        <v>333</v>
      </c>
    </row>
    <row r="456" spans="1:15" ht="15.75" customHeight="1">
      <c r="A456" s="4" t="s">
        <v>972</v>
      </c>
      <c r="B456" s="4" t="s">
        <v>973</v>
      </c>
      <c r="C456" s="19" t="s">
        <v>9436</v>
      </c>
      <c r="D456" s="4"/>
      <c r="E456" s="4" t="str">
        <f t="shared" si="0"/>
        <v>2.7.7.6</v>
      </c>
      <c r="F456" s="4" t="str">
        <f>$P$3&amp;"R00441"</f>
        <v>R00441</v>
      </c>
      <c r="G456" s="22" t="s">
        <v>9437</v>
      </c>
      <c r="H456" s="22" t="s">
        <v>9438</v>
      </c>
      <c r="K456" s="4"/>
      <c r="N456" s="4" t="s">
        <v>566</v>
      </c>
      <c r="O456" s="4">
        <v>333</v>
      </c>
    </row>
    <row r="457" spans="1:15" ht="15.75" customHeight="1">
      <c r="A457" s="4" t="s">
        <v>972</v>
      </c>
      <c r="B457" s="4" t="s">
        <v>973</v>
      </c>
      <c r="C457" s="19" t="s">
        <v>9439</v>
      </c>
      <c r="D457" s="4"/>
      <c r="E457" s="4" t="str">
        <f t="shared" si="0"/>
        <v>2.7.7.6</v>
      </c>
      <c r="F457" s="4" t="str">
        <f>$P$3&amp;"R00442"</f>
        <v>R00442</v>
      </c>
      <c r="G457" s="22" t="s">
        <v>9440</v>
      </c>
      <c r="H457" s="22" t="s">
        <v>9441</v>
      </c>
      <c r="K457" s="4"/>
      <c r="N457" s="4" t="s">
        <v>566</v>
      </c>
      <c r="O457" s="4">
        <v>333</v>
      </c>
    </row>
    <row r="458" spans="1:15" ht="15.75" customHeight="1">
      <c r="A458" s="4" t="s">
        <v>972</v>
      </c>
      <c r="B458" s="4" t="s">
        <v>973</v>
      </c>
      <c r="C458" s="19" t="s">
        <v>9442</v>
      </c>
      <c r="D458" s="4"/>
      <c r="E458" s="4" t="str">
        <f t="shared" si="0"/>
        <v>2.7.7.6</v>
      </c>
      <c r="F458" s="4" t="str">
        <f>$P$3&amp;"R00443"</f>
        <v>R00443</v>
      </c>
      <c r="G458" s="22" t="s">
        <v>9443</v>
      </c>
      <c r="H458" s="22" t="s">
        <v>9444</v>
      </c>
      <c r="K458" s="4"/>
      <c r="N458" s="4" t="s">
        <v>566</v>
      </c>
      <c r="O458" s="4">
        <v>333</v>
      </c>
    </row>
    <row r="459" spans="1:15" ht="15.75" customHeight="1">
      <c r="A459" s="4" t="s">
        <v>972</v>
      </c>
      <c r="B459" s="4" t="s">
        <v>973</v>
      </c>
      <c r="C459" s="19" t="s">
        <v>9445</v>
      </c>
      <c r="D459" s="4"/>
      <c r="E459" s="4" t="str">
        <f t="shared" si="0"/>
        <v>2.7.7.6</v>
      </c>
      <c r="F459" s="4" t="str">
        <f>$P$3&amp;"R10813"</f>
        <v>R10813</v>
      </c>
      <c r="G459" s="27" t="s">
        <v>9446</v>
      </c>
      <c r="H459" s="22" t="s">
        <v>9447</v>
      </c>
      <c r="K459" s="4"/>
      <c r="N459" s="4" t="s">
        <v>566</v>
      </c>
      <c r="O459" s="4">
        <v>333</v>
      </c>
    </row>
    <row r="460" spans="1:15" ht="15.75" customHeight="1">
      <c r="A460" s="4" t="s">
        <v>1951</v>
      </c>
      <c r="B460" s="4" t="s">
        <v>1952</v>
      </c>
      <c r="C460" s="19" t="s">
        <v>9448</v>
      </c>
      <c r="D460" s="4"/>
      <c r="E460" s="4" t="str">
        <f t="shared" si="0"/>
        <v>2.7.7.6</v>
      </c>
      <c r="F460" s="4" t="str">
        <f>$P$3&amp;"R00444"</f>
        <v>R00444</v>
      </c>
      <c r="G460" s="22" t="s">
        <v>9449</v>
      </c>
      <c r="H460" s="22" t="s">
        <v>9450</v>
      </c>
      <c r="I460" s="4"/>
      <c r="K460" s="4"/>
      <c r="N460" s="4" t="s">
        <v>830</v>
      </c>
      <c r="O460" s="4">
        <v>286</v>
      </c>
    </row>
    <row r="461" spans="1:15" ht="15.75" customHeight="1">
      <c r="A461" s="4" t="s">
        <v>1951</v>
      </c>
      <c r="B461" s="4" t="s">
        <v>1952</v>
      </c>
      <c r="C461" s="19" t="s">
        <v>9451</v>
      </c>
      <c r="D461" s="4"/>
      <c r="E461" s="4" t="str">
        <f t="shared" si="0"/>
        <v>2.7.7.6</v>
      </c>
      <c r="F461" s="4" t="str">
        <f>$P$3&amp;"R00435"</f>
        <v>R00435</v>
      </c>
      <c r="G461" s="22" t="s">
        <v>9452</v>
      </c>
      <c r="H461" s="22" t="s">
        <v>9453</v>
      </c>
      <c r="I461" s="4"/>
      <c r="K461" s="4"/>
      <c r="N461" s="4" t="s">
        <v>830</v>
      </c>
      <c r="O461" s="4">
        <v>286</v>
      </c>
    </row>
    <row r="462" spans="1:15" ht="15.75" customHeight="1">
      <c r="A462" s="4" t="s">
        <v>1951</v>
      </c>
      <c r="B462" s="4" t="s">
        <v>1952</v>
      </c>
      <c r="C462" s="19" t="s">
        <v>9454</v>
      </c>
      <c r="D462" s="4"/>
      <c r="E462" s="4" t="str">
        <f t="shared" si="0"/>
        <v>2.7.7.6</v>
      </c>
      <c r="F462" s="4" t="str">
        <f>$P$3&amp;"R00441"</f>
        <v>R00441</v>
      </c>
      <c r="G462" s="22" t="s">
        <v>9455</v>
      </c>
      <c r="H462" s="22" t="s">
        <v>9456</v>
      </c>
      <c r="I462" s="4"/>
      <c r="K462" s="4"/>
      <c r="N462" s="4" t="s">
        <v>830</v>
      </c>
      <c r="O462" s="4">
        <v>286</v>
      </c>
    </row>
    <row r="463" spans="1:15" ht="15.75" customHeight="1">
      <c r="A463" s="4" t="s">
        <v>1951</v>
      </c>
      <c r="B463" s="4" t="s">
        <v>1952</v>
      </c>
      <c r="C463" s="19" t="s">
        <v>9457</v>
      </c>
      <c r="D463" s="4"/>
      <c r="E463" s="4" t="str">
        <f t="shared" si="0"/>
        <v>2.7.7.6</v>
      </c>
      <c r="F463" s="4" t="str">
        <f>$P$3&amp;"R00442"</f>
        <v>R00442</v>
      </c>
      <c r="G463" s="22" t="s">
        <v>9458</v>
      </c>
      <c r="H463" s="22" t="s">
        <v>9459</v>
      </c>
      <c r="I463" s="4"/>
      <c r="K463" s="4"/>
      <c r="N463" s="4" t="s">
        <v>830</v>
      </c>
      <c r="O463" s="4">
        <v>286</v>
      </c>
    </row>
    <row r="464" spans="1:15" ht="15.75" customHeight="1">
      <c r="A464" s="4" t="s">
        <v>1951</v>
      </c>
      <c r="B464" s="4" t="s">
        <v>1952</v>
      </c>
      <c r="C464" s="19" t="s">
        <v>9460</v>
      </c>
      <c r="D464" s="4"/>
      <c r="E464" s="4" t="str">
        <f t="shared" si="0"/>
        <v>2.7.7.6</v>
      </c>
      <c r="F464" s="4" t="str">
        <f>$P$3&amp;"R00443"</f>
        <v>R00443</v>
      </c>
      <c r="G464" s="22" t="s">
        <v>9461</v>
      </c>
      <c r="H464" s="22" t="s">
        <v>9462</v>
      </c>
      <c r="I464" s="4"/>
      <c r="K464" s="4"/>
      <c r="N464" s="4" t="s">
        <v>830</v>
      </c>
      <c r="O464" s="4">
        <v>286</v>
      </c>
    </row>
    <row r="465" spans="1:15" ht="15.75" customHeight="1">
      <c r="A465" s="4" t="s">
        <v>1951</v>
      </c>
      <c r="B465" s="4" t="s">
        <v>1952</v>
      </c>
      <c r="C465" s="19" t="s">
        <v>9463</v>
      </c>
      <c r="D465" s="4"/>
      <c r="E465" s="4" t="str">
        <f t="shared" si="0"/>
        <v>2.7.7.6</v>
      </c>
      <c r="F465" s="4" t="str">
        <f>$P$3&amp;"R10813"</f>
        <v>R10813</v>
      </c>
      <c r="G465" s="27" t="s">
        <v>9464</v>
      </c>
      <c r="H465" s="22" t="s">
        <v>9465</v>
      </c>
      <c r="I465" s="4"/>
      <c r="K465" s="4"/>
      <c r="N465" s="4" t="s">
        <v>830</v>
      </c>
      <c r="O465" s="4">
        <v>286</v>
      </c>
    </row>
    <row r="466" spans="1:15" ht="15.75" customHeight="1">
      <c r="A466" s="4" t="s">
        <v>5981</v>
      </c>
      <c r="B466" s="4" t="s">
        <v>5982</v>
      </c>
      <c r="C466" s="19" t="s">
        <v>9466</v>
      </c>
      <c r="D466" s="4"/>
      <c r="E466" s="4" t="str">
        <f t="shared" si="0"/>
        <v>2.7.7.6</v>
      </c>
      <c r="F466" s="4" t="str">
        <f>$P$3&amp;"R00444"</f>
        <v>R00444</v>
      </c>
      <c r="G466" s="22" t="s">
        <v>9467</v>
      </c>
      <c r="H466" s="22" t="s">
        <v>9468</v>
      </c>
      <c r="I466" s="4"/>
      <c r="K466" s="4"/>
      <c r="N466" s="4" t="s">
        <v>834</v>
      </c>
      <c r="O466" s="4">
        <v>176</v>
      </c>
    </row>
    <row r="467" spans="1:15" ht="15.75" customHeight="1">
      <c r="A467" s="4" t="s">
        <v>5981</v>
      </c>
      <c r="B467" s="4" t="s">
        <v>5982</v>
      </c>
      <c r="C467" s="19" t="s">
        <v>9469</v>
      </c>
      <c r="D467" s="4"/>
      <c r="E467" s="4" t="str">
        <f t="shared" si="0"/>
        <v>2.7.7.6</v>
      </c>
      <c r="F467" s="4" t="str">
        <f>$P$3&amp;"R00435"</f>
        <v>R00435</v>
      </c>
      <c r="G467" s="22" t="s">
        <v>9470</v>
      </c>
      <c r="H467" s="22" t="s">
        <v>9471</v>
      </c>
      <c r="I467" s="4"/>
      <c r="K467" s="4"/>
      <c r="N467" s="4" t="s">
        <v>834</v>
      </c>
      <c r="O467" s="4">
        <v>176</v>
      </c>
    </row>
    <row r="468" spans="1:15" ht="15.75" customHeight="1">
      <c r="A468" s="4" t="s">
        <v>5981</v>
      </c>
      <c r="B468" s="4" t="s">
        <v>5982</v>
      </c>
      <c r="C468" s="19" t="s">
        <v>9472</v>
      </c>
      <c r="D468" s="4"/>
      <c r="E468" s="4" t="str">
        <f t="shared" si="0"/>
        <v>2.7.7.6</v>
      </c>
      <c r="F468" s="4" t="str">
        <f>$P$3&amp;"R00441"</f>
        <v>R00441</v>
      </c>
      <c r="G468" s="22" t="s">
        <v>9473</v>
      </c>
      <c r="H468" s="22" t="s">
        <v>9474</v>
      </c>
      <c r="I468" s="4"/>
      <c r="K468" s="4"/>
      <c r="N468" s="4" t="s">
        <v>834</v>
      </c>
      <c r="O468" s="4">
        <v>176</v>
      </c>
    </row>
    <row r="469" spans="1:15" ht="15.75" customHeight="1">
      <c r="A469" s="4" t="s">
        <v>5981</v>
      </c>
      <c r="B469" s="4" t="s">
        <v>5982</v>
      </c>
      <c r="C469" s="19" t="s">
        <v>9475</v>
      </c>
      <c r="D469" s="4"/>
      <c r="E469" s="4" t="str">
        <f t="shared" si="0"/>
        <v>2.7.7.6</v>
      </c>
      <c r="F469" s="4" t="str">
        <f>$P$3&amp;"R00442"</f>
        <v>R00442</v>
      </c>
      <c r="G469" s="22" t="s">
        <v>9476</v>
      </c>
      <c r="H469" s="22" t="s">
        <v>9477</v>
      </c>
      <c r="I469" s="4"/>
      <c r="K469" s="4"/>
      <c r="N469" s="4" t="s">
        <v>834</v>
      </c>
      <c r="O469" s="4">
        <v>176</v>
      </c>
    </row>
    <row r="470" spans="1:15" ht="15.75" customHeight="1">
      <c r="A470" s="4" t="s">
        <v>5981</v>
      </c>
      <c r="B470" s="4" t="s">
        <v>5982</v>
      </c>
      <c r="C470" s="19" t="s">
        <v>9478</v>
      </c>
      <c r="D470" s="4"/>
      <c r="E470" s="4" t="str">
        <f t="shared" si="0"/>
        <v>2.7.7.6</v>
      </c>
      <c r="F470" s="4" t="str">
        <f>$P$3&amp;"R00443"</f>
        <v>R00443</v>
      </c>
      <c r="G470" s="22" t="s">
        <v>9479</v>
      </c>
      <c r="H470" s="22" t="s">
        <v>9480</v>
      </c>
      <c r="I470" s="4"/>
      <c r="K470" s="4"/>
      <c r="N470" s="4" t="s">
        <v>834</v>
      </c>
      <c r="O470" s="4">
        <v>176</v>
      </c>
    </row>
    <row r="471" spans="1:15" ht="15.75" customHeight="1">
      <c r="A471" s="4" t="s">
        <v>5981</v>
      </c>
      <c r="B471" s="4" t="s">
        <v>5982</v>
      </c>
      <c r="C471" s="19" t="s">
        <v>9481</v>
      </c>
      <c r="D471" s="4"/>
      <c r="E471" s="4" t="str">
        <f t="shared" si="0"/>
        <v>2.7.7.6</v>
      </c>
      <c r="F471" s="4" t="str">
        <f>$P$3&amp;"R10813"</f>
        <v>R10813</v>
      </c>
      <c r="G471" s="27" t="s">
        <v>9482</v>
      </c>
      <c r="H471" s="22" t="s">
        <v>9483</v>
      </c>
      <c r="I471" s="4"/>
      <c r="K471" s="4"/>
      <c r="N471" s="4" t="s">
        <v>834</v>
      </c>
      <c r="O471" s="4">
        <v>176</v>
      </c>
    </row>
    <row r="472" spans="1:15" ht="15.75" customHeight="1">
      <c r="A472" s="4" t="s">
        <v>6121</v>
      </c>
      <c r="B472" s="4" t="s">
        <v>6122</v>
      </c>
      <c r="C472" s="19" t="s">
        <v>9484</v>
      </c>
      <c r="D472" s="4"/>
      <c r="E472" s="4" t="str">
        <f t="shared" si="0"/>
        <v>2.7.7.6</v>
      </c>
      <c r="F472" s="4" t="str">
        <f>$P$3&amp;"R00444"</f>
        <v>R00444</v>
      </c>
      <c r="G472" s="22" t="s">
        <v>9485</v>
      </c>
      <c r="H472" s="22" t="s">
        <v>9486</v>
      </c>
      <c r="K472" s="4"/>
      <c r="N472" s="4" t="s">
        <v>838</v>
      </c>
      <c r="O472" s="4">
        <v>218</v>
      </c>
    </row>
    <row r="473" spans="1:15" ht="15.75" customHeight="1">
      <c r="A473" s="4" t="s">
        <v>6121</v>
      </c>
      <c r="B473" s="4" t="s">
        <v>6122</v>
      </c>
      <c r="C473" s="19" t="s">
        <v>9487</v>
      </c>
      <c r="D473" s="4"/>
      <c r="E473" s="4" t="str">
        <f t="shared" si="0"/>
        <v>2.7.7.6</v>
      </c>
      <c r="F473" s="4" t="str">
        <f>$P$3&amp;"R00435"</f>
        <v>R00435</v>
      </c>
      <c r="G473" s="22" t="s">
        <v>9488</v>
      </c>
      <c r="H473" s="22" t="s">
        <v>9489</v>
      </c>
      <c r="K473" s="4"/>
      <c r="N473" s="4" t="s">
        <v>838</v>
      </c>
      <c r="O473" s="4">
        <v>218</v>
      </c>
    </row>
    <row r="474" spans="1:15" ht="15.75" customHeight="1">
      <c r="A474" s="4" t="s">
        <v>6121</v>
      </c>
      <c r="B474" s="4" t="s">
        <v>6122</v>
      </c>
      <c r="C474" s="19" t="s">
        <v>9490</v>
      </c>
      <c r="D474" s="4"/>
      <c r="E474" s="4" t="str">
        <f t="shared" si="0"/>
        <v>2.7.7.6</v>
      </c>
      <c r="F474" s="4" t="str">
        <f>$P$3&amp;"R00441"</f>
        <v>R00441</v>
      </c>
      <c r="G474" s="22" t="s">
        <v>9491</v>
      </c>
      <c r="H474" s="22" t="s">
        <v>9492</v>
      </c>
      <c r="K474" s="4"/>
      <c r="N474" s="4" t="s">
        <v>838</v>
      </c>
      <c r="O474" s="4">
        <v>218</v>
      </c>
    </row>
    <row r="475" spans="1:15" ht="15.75" customHeight="1">
      <c r="A475" s="4" t="s">
        <v>6121</v>
      </c>
      <c r="B475" s="4" t="s">
        <v>6122</v>
      </c>
      <c r="C475" s="19" t="s">
        <v>9493</v>
      </c>
      <c r="D475" s="4"/>
      <c r="E475" s="4" t="str">
        <f t="shared" si="0"/>
        <v>2.7.7.6</v>
      </c>
      <c r="F475" s="4" t="str">
        <f>$P$3&amp;"R00442"</f>
        <v>R00442</v>
      </c>
      <c r="G475" s="22" t="s">
        <v>9494</v>
      </c>
      <c r="H475" s="22" t="s">
        <v>9495</v>
      </c>
      <c r="K475" s="4"/>
      <c r="N475" s="4" t="s">
        <v>838</v>
      </c>
      <c r="O475" s="4">
        <v>218</v>
      </c>
    </row>
    <row r="476" spans="1:15" ht="15.75" customHeight="1">
      <c r="A476" s="4" t="s">
        <v>6121</v>
      </c>
      <c r="B476" s="4" t="s">
        <v>6122</v>
      </c>
      <c r="C476" s="19" t="s">
        <v>9496</v>
      </c>
      <c r="D476" s="4"/>
      <c r="E476" s="4" t="str">
        <f t="shared" si="0"/>
        <v>2.7.7.6</v>
      </c>
      <c r="F476" s="4" t="str">
        <f>$P$3&amp;"R00443"</f>
        <v>R00443</v>
      </c>
      <c r="G476" s="22" t="s">
        <v>9497</v>
      </c>
      <c r="H476" s="22" t="s">
        <v>9498</v>
      </c>
      <c r="K476" s="4"/>
      <c r="N476" s="4" t="s">
        <v>838</v>
      </c>
      <c r="O476" s="4">
        <v>218</v>
      </c>
    </row>
    <row r="477" spans="1:15" ht="15.75" customHeight="1">
      <c r="A477" s="4" t="s">
        <v>6121</v>
      </c>
      <c r="B477" s="4" t="s">
        <v>6122</v>
      </c>
      <c r="C477" s="19" t="s">
        <v>9499</v>
      </c>
      <c r="D477" s="4"/>
      <c r="E477" s="4" t="str">
        <f t="shared" si="0"/>
        <v>2.7.7.6</v>
      </c>
      <c r="F477" s="4" t="str">
        <f>$P$3&amp;"R10813"</f>
        <v>R10813</v>
      </c>
      <c r="G477" s="27" t="s">
        <v>9500</v>
      </c>
      <c r="H477" s="22" t="s">
        <v>9501</v>
      </c>
      <c r="K477" s="4"/>
      <c r="N477" s="4" t="s">
        <v>838</v>
      </c>
      <c r="O477" s="4">
        <v>218</v>
      </c>
    </row>
    <row r="478" spans="1:15" ht="15.75" customHeight="1">
      <c r="A478" s="4" t="s">
        <v>6124</v>
      </c>
      <c r="B478" s="4" t="s">
        <v>6125</v>
      </c>
      <c r="C478" s="19" t="s">
        <v>9502</v>
      </c>
      <c r="D478" s="4"/>
      <c r="E478" s="4" t="str">
        <f t="shared" si="0"/>
        <v>2.7.7.6</v>
      </c>
      <c r="F478" s="4" t="str">
        <f>$P$3&amp;"R00444"</f>
        <v>R00444</v>
      </c>
      <c r="G478" s="22" t="s">
        <v>9503</v>
      </c>
      <c r="H478" s="22" t="s">
        <v>9504</v>
      </c>
      <c r="I478" s="4"/>
      <c r="K478" s="4"/>
      <c r="N478" s="4" t="s">
        <v>841</v>
      </c>
      <c r="O478" s="4">
        <v>265</v>
      </c>
    </row>
    <row r="479" spans="1:15" ht="15.75" customHeight="1">
      <c r="A479" s="4" t="s">
        <v>6124</v>
      </c>
      <c r="B479" s="4" t="s">
        <v>6125</v>
      </c>
      <c r="C479" s="19" t="s">
        <v>9505</v>
      </c>
      <c r="D479" s="4"/>
      <c r="E479" s="4" t="str">
        <f t="shared" si="0"/>
        <v>2.7.7.6</v>
      </c>
      <c r="F479" s="4" t="str">
        <f>$P$3&amp;"R00435"</f>
        <v>R00435</v>
      </c>
      <c r="G479" s="22" t="s">
        <v>9506</v>
      </c>
      <c r="H479" s="22" t="s">
        <v>9507</v>
      </c>
      <c r="I479" s="4"/>
      <c r="K479" s="4"/>
      <c r="N479" s="4" t="s">
        <v>841</v>
      </c>
      <c r="O479" s="4">
        <v>265</v>
      </c>
    </row>
    <row r="480" spans="1:15" ht="15.75" customHeight="1">
      <c r="A480" s="4" t="s">
        <v>6124</v>
      </c>
      <c r="B480" s="4" t="s">
        <v>6125</v>
      </c>
      <c r="C480" s="19" t="s">
        <v>9508</v>
      </c>
      <c r="D480" s="4"/>
      <c r="E480" s="4" t="str">
        <f t="shared" si="0"/>
        <v>2.7.7.6</v>
      </c>
      <c r="F480" s="4" t="str">
        <f>$P$3&amp;"R00441"</f>
        <v>R00441</v>
      </c>
      <c r="G480" s="22" t="s">
        <v>9509</v>
      </c>
      <c r="H480" s="22" t="s">
        <v>9510</v>
      </c>
      <c r="I480" s="4"/>
      <c r="K480" s="4"/>
      <c r="N480" s="4" t="s">
        <v>841</v>
      </c>
      <c r="O480" s="4">
        <v>265</v>
      </c>
    </row>
    <row r="481" spans="1:15" ht="15.75" customHeight="1">
      <c r="A481" s="4" t="s">
        <v>6124</v>
      </c>
      <c r="B481" s="4" t="s">
        <v>6125</v>
      </c>
      <c r="C481" s="19" t="s">
        <v>9511</v>
      </c>
      <c r="D481" s="4"/>
      <c r="E481" s="4" t="str">
        <f t="shared" si="0"/>
        <v>2.7.7.6</v>
      </c>
      <c r="F481" s="4" t="str">
        <f>$P$3&amp;"R00442"</f>
        <v>R00442</v>
      </c>
      <c r="G481" s="22" t="s">
        <v>9512</v>
      </c>
      <c r="H481" s="22" t="s">
        <v>9513</v>
      </c>
      <c r="I481" s="4"/>
      <c r="K481" s="4"/>
      <c r="N481" s="4" t="s">
        <v>841</v>
      </c>
      <c r="O481" s="4">
        <v>265</v>
      </c>
    </row>
    <row r="482" spans="1:15" ht="15.75" customHeight="1">
      <c r="A482" s="4" t="s">
        <v>6124</v>
      </c>
      <c r="B482" s="4" t="s">
        <v>6125</v>
      </c>
      <c r="C482" s="19" t="s">
        <v>9514</v>
      </c>
      <c r="D482" s="4"/>
      <c r="E482" s="4" t="str">
        <f t="shared" si="0"/>
        <v>2.7.7.6</v>
      </c>
      <c r="F482" s="4" t="str">
        <f>$P$3&amp;"R00443"</f>
        <v>R00443</v>
      </c>
      <c r="G482" s="22" t="s">
        <v>9515</v>
      </c>
      <c r="H482" s="22" t="s">
        <v>9516</v>
      </c>
      <c r="I482" s="4"/>
      <c r="K482" s="4"/>
      <c r="N482" s="4" t="s">
        <v>841</v>
      </c>
      <c r="O482" s="4">
        <v>265</v>
      </c>
    </row>
    <row r="483" spans="1:15" ht="15.75" customHeight="1">
      <c r="A483" s="4" t="s">
        <v>6124</v>
      </c>
      <c r="B483" s="4" t="s">
        <v>6125</v>
      </c>
      <c r="C483" s="19" t="s">
        <v>9517</v>
      </c>
      <c r="D483" s="4"/>
      <c r="E483" s="4" t="str">
        <f t="shared" si="0"/>
        <v>2.7.7.6</v>
      </c>
      <c r="F483" s="4" t="str">
        <f>$P$3&amp;"R10813"</f>
        <v>R10813</v>
      </c>
      <c r="G483" s="27" t="s">
        <v>9518</v>
      </c>
      <c r="H483" s="22" t="s">
        <v>9519</v>
      </c>
      <c r="I483" s="4"/>
      <c r="K483" s="4"/>
      <c r="N483" s="4" t="s">
        <v>841</v>
      </c>
      <c r="O483" s="4">
        <v>265</v>
      </c>
    </row>
    <row r="484" spans="1:15" ht="15.75" customHeight="1">
      <c r="A484" s="4" t="s">
        <v>6266</v>
      </c>
      <c r="B484" s="4" t="s">
        <v>6267</v>
      </c>
      <c r="C484" s="19" t="s">
        <v>9520</v>
      </c>
      <c r="D484" s="4"/>
      <c r="E484" s="4" t="str">
        <f t="shared" si="0"/>
        <v>2.7.7.6</v>
      </c>
      <c r="F484" s="4" t="str">
        <f>$P$3&amp;"R00444"</f>
        <v>R00444</v>
      </c>
      <c r="G484" s="22" t="s">
        <v>9521</v>
      </c>
      <c r="H484" s="22" t="s">
        <v>9522</v>
      </c>
      <c r="K484" s="4"/>
      <c r="N484" s="4" t="s">
        <v>845</v>
      </c>
      <c r="O484" s="4">
        <v>218</v>
      </c>
    </row>
    <row r="485" spans="1:15" ht="15.75" customHeight="1">
      <c r="A485" s="4" t="s">
        <v>6266</v>
      </c>
      <c r="B485" s="4" t="s">
        <v>6267</v>
      </c>
      <c r="C485" s="19" t="s">
        <v>9523</v>
      </c>
      <c r="D485" s="4"/>
      <c r="E485" s="4" t="str">
        <f t="shared" si="0"/>
        <v>2.7.7.6</v>
      </c>
      <c r="F485" s="4" t="str">
        <f>$P$3&amp;"R00435"</f>
        <v>R00435</v>
      </c>
      <c r="G485" s="22" t="s">
        <v>9524</v>
      </c>
      <c r="H485" s="22" t="s">
        <v>9525</v>
      </c>
      <c r="K485" s="4"/>
      <c r="N485" s="4" t="s">
        <v>845</v>
      </c>
      <c r="O485" s="4">
        <v>218</v>
      </c>
    </row>
    <row r="486" spans="1:15" ht="15.75" customHeight="1">
      <c r="A486" s="4" t="s">
        <v>6266</v>
      </c>
      <c r="B486" s="4" t="s">
        <v>6267</v>
      </c>
      <c r="C486" s="19" t="s">
        <v>9526</v>
      </c>
      <c r="D486" s="4"/>
      <c r="E486" s="4" t="str">
        <f t="shared" si="0"/>
        <v>2.7.7.6</v>
      </c>
      <c r="F486" s="4" t="str">
        <f>$P$3&amp;"R00441"</f>
        <v>R00441</v>
      </c>
      <c r="G486" s="22" t="s">
        <v>9527</v>
      </c>
      <c r="H486" s="22" t="s">
        <v>9528</v>
      </c>
      <c r="K486" s="4"/>
      <c r="N486" s="4" t="s">
        <v>845</v>
      </c>
      <c r="O486" s="4">
        <v>218</v>
      </c>
    </row>
    <row r="487" spans="1:15" ht="15.75" customHeight="1">
      <c r="A487" s="4" t="s">
        <v>6266</v>
      </c>
      <c r="B487" s="4" t="s">
        <v>6267</v>
      </c>
      <c r="C487" s="19" t="s">
        <v>9529</v>
      </c>
      <c r="D487" s="4"/>
      <c r="E487" s="4" t="str">
        <f t="shared" si="0"/>
        <v>2.7.7.6</v>
      </c>
      <c r="F487" s="4" t="str">
        <f>$P$3&amp;"R00442"</f>
        <v>R00442</v>
      </c>
      <c r="G487" s="22" t="s">
        <v>9530</v>
      </c>
      <c r="H487" s="22" t="s">
        <v>9531</v>
      </c>
      <c r="K487" s="4"/>
      <c r="N487" s="4" t="s">
        <v>845</v>
      </c>
      <c r="O487" s="4">
        <v>218</v>
      </c>
    </row>
    <row r="488" spans="1:15" ht="15.75" customHeight="1">
      <c r="A488" s="4" t="s">
        <v>6266</v>
      </c>
      <c r="B488" s="4" t="s">
        <v>6267</v>
      </c>
      <c r="C488" s="19" t="s">
        <v>9532</v>
      </c>
      <c r="D488" s="4"/>
      <c r="E488" s="4" t="str">
        <f t="shared" si="0"/>
        <v>2.7.7.6</v>
      </c>
      <c r="F488" s="4" t="str">
        <f>$P$3&amp;"R00443"</f>
        <v>R00443</v>
      </c>
      <c r="G488" s="22" t="s">
        <v>9533</v>
      </c>
      <c r="H488" s="22" t="s">
        <v>9534</v>
      </c>
      <c r="K488" s="4"/>
      <c r="N488" s="4" t="s">
        <v>845</v>
      </c>
      <c r="O488" s="4">
        <v>218</v>
      </c>
    </row>
    <row r="489" spans="1:15" ht="15.75" customHeight="1">
      <c r="A489" s="4" t="s">
        <v>6266</v>
      </c>
      <c r="B489" s="4" t="s">
        <v>6267</v>
      </c>
      <c r="C489" s="19" t="s">
        <v>9535</v>
      </c>
      <c r="D489" s="4"/>
      <c r="E489" s="4" t="str">
        <f t="shared" si="0"/>
        <v>2.7.7.6</v>
      </c>
      <c r="F489" s="4" t="str">
        <f>$P$3&amp;"R10813"</f>
        <v>R10813</v>
      </c>
      <c r="G489" s="27" t="s">
        <v>9536</v>
      </c>
      <c r="H489" s="22" t="s">
        <v>9537</v>
      </c>
      <c r="K489" s="4"/>
      <c r="N489" s="4" t="s">
        <v>845</v>
      </c>
      <c r="O489" s="4">
        <v>218</v>
      </c>
    </row>
    <row r="490" spans="1:15" ht="15.75" customHeight="1">
      <c r="A490" s="4" t="s">
        <v>2610</v>
      </c>
      <c r="B490" s="4" t="s">
        <v>2611</v>
      </c>
      <c r="C490" s="19" t="s">
        <v>9538</v>
      </c>
      <c r="D490" s="4"/>
      <c r="E490" s="4" t="str">
        <f t="shared" si="0"/>
        <v>2.7.7.61</v>
      </c>
      <c r="F490" s="4" t="str">
        <f>$P$3&amp;"R10706"</f>
        <v>R10706</v>
      </c>
      <c r="G490" s="22" t="s">
        <v>9539</v>
      </c>
      <c r="H490" s="22" t="s">
        <v>9540</v>
      </c>
      <c r="K490" s="4"/>
      <c r="N490" s="4" t="s">
        <v>848</v>
      </c>
      <c r="O490" s="4">
        <v>212</v>
      </c>
    </row>
    <row r="491" spans="1:15" ht="15.75" customHeight="1">
      <c r="A491" s="4" t="s">
        <v>1037</v>
      </c>
      <c r="B491" s="4" t="s">
        <v>1038</v>
      </c>
      <c r="C491" s="19" t="s">
        <v>9541</v>
      </c>
      <c r="D491" s="4"/>
      <c r="E491" s="4" t="str">
        <f t="shared" si="0"/>
        <v>2.7.7.7</v>
      </c>
      <c r="F491" s="4" t="str">
        <f>$P$3&amp;"R00379"</f>
        <v>R00379</v>
      </c>
      <c r="G491" s="22" t="s">
        <v>9542</v>
      </c>
      <c r="H491" s="22" t="s">
        <v>9543</v>
      </c>
      <c r="K491" s="4"/>
      <c r="N491" s="4" t="s">
        <v>851</v>
      </c>
      <c r="O491" s="4">
        <v>270</v>
      </c>
    </row>
    <row r="492" spans="1:15" ht="15.75" customHeight="1">
      <c r="A492" s="4" t="s">
        <v>1037</v>
      </c>
      <c r="B492" s="4" t="s">
        <v>1038</v>
      </c>
      <c r="C492" s="19" t="s">
        <v>9544</v>
      </c>
      <c r="D492" s="4"/>
      <c r="E492" s="4" t="str">
        <f t="shared" si="0"/>
        <v>2.7.7.7</v>
      </c>
      <c r="F492" s="4" t="str">
        <f>$P$3&amp;"R00375"</f>
        <v>R00375</v>
      </c>
      <c r="G492" s="22" t="s">
        <v>9545</v>
      </c>
      <c r="H492" s="22" t="s">
        <v>9546</v>
      </c>
      <c r="K492" s="4"/>
      <c r="N492" s="4" t="s">
        <v>851</v>
      </c>
      <c r="O492" s="4">
        <v>270</v>
      </c>
    </row>
    <row r="493" spans="1:15" ht="15.75" customHeight="1">
      <c r="A493" s="4" t="s">
        <v>1037</v>
      </c>
      <c r="B493" s="4" t="s">
        <v>1038</v>
      </c>
      <c r="C493" s="19" t="s">
        <v>9547</v>
      </c>
      <c r="D493" s="4"/>
      <c r="E493" s="4" t="str">
        <f t="shared" si="0"/>
        <v>2.7.7.7</v>
      </c>
      <c r="F493" s="4" t="str">
        <f>$P$3&amp;"R00376"</f>
        <v>R00376</v>
      </c>
      <c r="G493" s="22" t="s">
        <v>9548</v>
      </c>
      <c r="H493" s="22" t="s">
        <v>9549</v>
      </c>
      <c r="K493" s="4"/>
      <c r="N493" s="4" t="s">
        <v>851</v>
      </c>
      <c r="O493" s="4">
        <v>270</v>
      </c>
    </row>
    <row r="494" spans="1:15" ht="15.75" customHeight="1">
      <c r="A494" s="4" t="s">
        <v>1037</v>
      </c>
      <c r="B494" s="4" t="s">
        <v>1038</v>
      </c>
      <c r="C494" s="19" t="s">
        <v>9550</v>
      </c>
      <c r="D494" s="4"/>
      <c r="E494" s="4" t="str">
        <f t="shared" si="0"/>
        <v>2.7.7.7</v>
      </c>
      <c r="F494" s="4" t="str">
        <f>$P$3&amp;"R00377"</f>
        <v>R00377</v>
      </c>
      <c r="G494" s="22" t="s">
        <v>9551</v>
      </c>
      <c r="H494" s="22" t="s">
        <v>9552</v>
      </c>
      <c r="K494" s="4"/>
      <c r="N494" s="4" t="s">
        <v>851</v>
      </c>
      <c r="O494" s="4">
        <v>270</v>
      </c>
    </row>
    <row r="495" spans="1:15" ht="15.75" customHeight="1">
      <c r="A495" s="4" t="s">
        <v>1037</v>
      </c>
      <c r="B495" s="4" t="s">
        <v>1038</v>
      </c>
      <c r="C495" s="19" t="s">
        <v>9553</v>
      </c>
      <c r="D495" s="4"/>
      <c r="E495" s="4" t="str">
        <f t="shared" si="0"/>
        <v>2.7.7.7</v>
      </c>
      <c r="F495" s="4" t="str">
        <f>$P$3&amp;"R00378"</f>
        <v>R00378</v>
      </c>
      <c r="G495" s="22" t="s">
        <v>9554</v>
      </c>
      <c r="H495" s="22" t="s">
        <v>9555</v>
      </c>
      <c r="K495" s="4"/>
      <c r="N495" s="4" t="s">
        <v>851</v>
      </c>
      <c r="O495" s="4">
        <v>270</v>
      </c>
    </row>
    <row r="496" spans="1:15" ht="15.75" customHeight="1">
      <c r="A496" s="4" t="s">
        <v>1037</v>
      </c>
      <c r="B496" s="4" t="s">
        <v>1038</v>
      </c>
      <c r="C496" s="19" t="s">
        <v>9556</v>
      </c>
      <c r="D496" s="4"/>
      <c r="E496" s="4" t="str">
        <f t="shared" si="0"/>
        <v>2.7.7.7</v>
      </c>
      <c r="F496" s="4" t="str">
        <f>$P$3&amp;"R11029"</f>
        <v>R11029</v>
      </c>
      <c r="G496" s="2" t="s">
        <v>9557</v>
      </c>
      <c r="H496" s="2" t="s">
        <v>9558</v>
      </c>
      <c r="K496" s="4"/>
      <c r="N496" s="4" t="s">
        <v>851</v>
      </c>
      <c r="O496" s="4">
        <v>270</v>
      </c>
    </row>
    <row r="497" spans="1:15" ht="15.75" customHeight="1">
      <c r="A497" s="4" t="s">
        <v>1135</v>
      </c>
      <c r="B497" s="4" t="s">
        <v>1136</v>
      </c>
      <c r="C497" s="19" t="s">
        <v>9559</v>
      </c>
      <c r="D497" s="4"/>
      <c r="E497" s="4" t="str">
        <f t="shared" si="0"/>
        <v>2.7.7.7</v>
      </c>
      <c r="F497" s="4" t="str">
        <f>$P$3&amp;"R00379"</f>
        <v>R00379</v>
      </c>
      <c r="G497" s="22" t="s">
        <v>9560</v>
      </c>
      <c r="H497" s="22" t="s">
        <v>9561</v>
      </c>
      <c r="I497" s="4"/>
      <c r="K497" s="4"/>
      <c r="N497" s="4" t="s">
        <v>854</v>
      </c>
      <c r="O497" s="4">
        <v>477</v>
      </c>
    </row>
    <row r="498" spans="1:15" ht="15.75" customHeight="1">
      <c r="A498" s="4" t="s">
        <v>1135</v>
      </c>
      <c r="B498" s="4" t="s">
        <v>1136</v>
      </c>
      <c r="C498" s="19" t="s">
        <v>9562</v>
      </c>
      <c r="D498" s="4"/>
      <c r="E498" s="4" t="str">
        <f t="shared" si="0"/>
        <v>2.7.7.7</v>
      </c>
      <c r="F498" s="4" t="str">
        <f>$P$3&amp;"R00375"</f>
        <v>R00375</v>
      </c>
      <c r="G498" s="22" t="s">
        <v>9563</v>
      </c>
      <c r="H498" s="22" t="s">
        <v>9564</v>
      </c>
      <c r="I498" s="4"/>
      <c r="K498" s="4"/>
      <c r="N498" s="4" t="s">
        <v>854</v>
      </c>
      <c r="O498" s="4">
        <v>477</v>
      </c>
    </row>
    <row r="499" spans="1:15" ht="15.75" customHeight="1">
      <c r="A499" s="4" t="s">
        <v>1135</v>
      </c>
      <c r="B499" s="4" t="s">
        <v>1136</v>
      </c>
      <c r="C499" s="19" t="s">
        <v>9565</v>
      </c>
      <c r="D499" s="4"/>
      <c r="E499" s="4" t="str">
        <f t="shared" si="0"/>
        <v>2.7.7.7</v>
      </c>
      <c r="F499" s="4" t="str">
        <f>$P$3&amp;"R00376"</f>
        <v>R00376</v>
      </c>
      <c r="G499" s="22" t="s">
        <v>9566</v>
      </c>
      <c r="H499" s="22" t="s">
        <v>9567</v>
      </c>
      <c r="I499" s="4"/>
      <c r="K499" s="4"/>
      <c r="N499" s="4" t="s">
        <v>854</v>
      </c>
      <c r="O499" s="4">
        <v>477</v>
      </c>
    </row>
    <row r="500" spans="1:15" ht="15.75" customHeight="1">
      <c r="A500" s="4" t="s">
        <v>1135</v>
      </c>
      <c r="B500" s="4" t="s">
        <v>1136</v>
      </c>
      <c r="C500" s="19" t="s">
        <v>9568</v>
      </c>
      <c r="D500" s="4"/>
      <c r="E500" s="4" t="str">
        <f t="shared" si="0"/>
        <v>2.7.7.7</v>
      </c>
      <c r="F500" s="4" t="str">
        <f>$P$3&amp;"R00377"</f>
        <v>R00377</v>
      </c>
      <c r="G500" s="22" t="s">
        <v>9569</v>
      </c>
      <c r="H500" s="22" t="s">
        <v>9570</v>
      </c>
      <c r="I500" s="4"/>
      <c r="K500" s="4"/>
      <c r="N500" s="4" t="s">
        <v>854</v>
      </c>
      <c r="O500" s="4">
        <v>477</v>
      </c>
    </row>
    <row r="501" spans="1:15" ht="15.75" customHeight="1">
      <c r="A501" s="4" t="s">
        <v>1135</v>
      </c>
      <c r="B501" s="4" t="s">
        <v>1136</v>
      </c>
      <c r="C501" s="19" t="s">
        <v>9571</v>
      </c>
      <c r="D501" s="4"/>
      <c r="E501" s="4" t="str">
        <f t="shared" si="0"/>
        <v>2.7.7.7</v>
      </c>
      <c r="F501" s="4" t="str">
        <f>$P$3&amp;"R00378"</f>
        <v>R00378</v>
      </c>
      <c r="G501" s="22" t="s">
        <v>9572</v>
      </c>
      <c r="H501" s="22" t="s">
        <v>9573</v>
      </c>
      <c r="I501" s="4"/>
      <c r="K501" s="4"/>
      <c r="N501" s="4" t="s">
        <v>854</v>
      </c>
      <c r="O501" s="4">
        <v>477</v>
      </c>
    </row>
    <row r="502" spans="1:15" ht="15.75" customHeight="1">
      <c r="A502" s="4" t="s">
        <v>1135</v>
      </c>
      <c r="B502" s="4" t="s">
        <v>1136</v>
      </c>
      <c r="C502" s="19" t="s">
        <v>9574</v>
      </c>
      <c r="D502" s="4"/>
      <c r="E502" s="4" t="str">
        <f t="shared" si="0"/>
        <v>2.7.7.7</v>
      </c>
      <c r="F502" s="4" t="str">
        <f>$P$3&amp;"R11029"</f>
        <v>R11029</v>
      </c>
      <c r="G502" s="2" t="s">
        <v>9575</v>
      </c>
      <c r="H502" s="2" t="s">
        <v>9576</v>
      </c>
      <c r="I502" s="4"/>
      <c r="K502" s="4"/>
      <c r="N502" s="4" t="s">
        <v>854</v>
      </c>
      <c r="O502" s="4">
        <v>477</v>
      </c>
    </row>
    <row r="503" spans="1:15" ht="15.75" customHeight="1">
      <c r="A503" s="4" t="s">
        <v>1784</v>
      </c>
      <c r="B503" s="4" t="s">
        <v>1785</v>
      </c>
      <c r="C503" s="19" t="s">
        <v>9577</v>
      </c>
      <c r="D503" s="4"/>
      <c r="E503" s="4" t="str">
        <f t="shared" si="0"/>
        <v>2.7.7.7</v>
      </c>
      <c r="F503" s="4" t="str">
        <f>$P$3&amp;"R00379"</f>
        <v>R00379</v>
      </c>
      <c r="G503" s="22" t="s">
        <v>9578</v>
      </c>
      <c r="H503" s="22" t="s">
        <v>9579</v>
      </c>
      <c r="K503" s="4"/>
      <c r="N503" s="4" t="s">
        <v>858</v>
      </c>
      <c r="O503" s="4">
        <v>39</v>
      </c>
    </row>
    <row r="504" spans="1:15" ht="15.75" customHeight="1">
      <c r="A504" s="4" t="s">
        <v>1784</v>
      </c>
      <c r="B504" s="4" t="s">
        <v>1785</v>
      </c>
      <c r="C504" s="19" t="s">
        <v>9580</v>
      </c>
      <c r="D504" s="4"/>
      <c r="E504" s="4" t="str">
        <f t="shared" si="0"/>
        <v>2.7.7.7</v>
      </c>
      <c r="F504" s="4" t="str">
        <f>$P$3&amp;"R00375"</f>
        <v>R00375</v>
      </c>
      <c r="G504" s="22" t="s">
        <v>9581</v>
      </c>
      <c r="H504" s="22" t="s">
        <v>9582</v>
      </c>
      <c r="K504" s="4"/>
      <c r="N504" s="4" t="s">
        <v>858</v>
      </c>
      <c r="O504" s="4">
        <v>39</v>
      </c>
    </row>
    <row r="505" spans="1:15" ht="15.75" customHeight="1">
      <c r="A505" s="4" t="s">
        <v>1784</v>
      </c>
      <c r="B505" s="4" t="s">
        <v>1785</v>
      </c>
      <c r="C505" s="19" t="s">
        <v>9583</v>
      </c>
      <c r="D505" s="4"/>
      <c r="E505" s="4" t="str">
        <f t="shared" si="0"/>
        <v>2.7.7.7</v>
      </c>
      <c r="F505" s="4" t="str">
        <f>$P$3&amp;"R00376"</f>
        <v>R00376</v>
      </c>
      <c r="G505" s="22" t="s">
        <v>9584</v>
      </c>
      <c r="H505" s="22" t="s">
        <v>9585</v>
      </c>
      <c r="K505" s="4"/>
      <c r="N505" s="4" t="s">
        <v>858</v>
      </c>
      <c r="O505" s="4">
        <v>39</v>
      </c>
    </row>
    <row r="506" spans="1:15" ht="15.75" customHeight="1">
      <c r="A506" s="4" t="s">
        <v>1784</v>
      </c>
      <c r="B506" s="4" t="s">
        <v>1785</v>
      </c>
      <c r="C506" s="19" t="s">
        <v>9586</v>
      </c>
      <c r="D506" s="4"/>
      <c r="E506" s="4" t="str">
        <f t="shared" si="0"/>
        <v>2.7.7.7</v>
      </c>
      <c r="F506" s="4" t="str">
        <f>$P$3&amp;"R00377"</f>
        <v>R00377</v>
      </c>
      <c r="G506" s="22" t="s">
        <v>9587</v>
      </c>
      <c r="H506" s="22" t="s">
        <v>9588</v>
      </c>
      <c r="K506" s="4"/>
      <c r="N506" s="4" t="s">
        <v>858</v>
      </c>
      <c r="O506" s="4">
        <v>39</v>
      </c>
    </row>
    <row r="507" spans="1:15" ht="15.75" customHeight="1">
      <c r="A507" s="4" t="s">
        <v>1784</v>
      </c>
      <c r="B507" s="4" t="s">
        <v>1785</v>
      </c>
      <c r="C507" s="19" t="s">
        <v>9589</v>
      </c>
      <c r="D507" s="4"/>
      <c r="E507" s="4" t="str">
        <f t="shared" si="0"/>
        <v>2.7.7.7</v>
      </c>
      <c r="F507" s="4" t="str">
        <f>$P$3&amp;"R00378"</f>
        <v>R00378</v>
      </c>
      <c r="G507" s="22" t="s">
        <v>9590</v>
      </c>
      <c r="H507" s="22" t="s">
        <v>9591</v>
      </c>
      <c r="K507" s="4"/>
      <c r="N507" s="4" t="s">
        <v>858</v>
      </c>
      <c r="O507" s="4">
        <v>39</v>
      </c>
    </row>
    <row r="508" spans="1:15" ht="15.75" customHeight="1">
      <c r="A508" s="4" t="s">
        <v>1784</v>
      </c>
      <c r="B508" s="4" t="s">
        <v>1785</v>
      </c>
      <c r="C508" s="19" t="s">
        <v>9592</v>
      </c>
      <c r="D508" s="4"/>
      <c r="E508" s="4" t="str">
        <f t="shared" si="0"/>
        <v>2.7.7.7</v>
      </c>
      <c r="F508" s="4" t="str">
        <f>$P$3&amp;"R11029"</f>
        <v>R11029</v>
      </c>
      <c r="G508" s="2" t="s">
        <v>9593</v>
      </c>
      <c r="H508" s="2" t="s">
        <v>9594</v>
      </c>
      <c r="K508" s="4"/>
      <c r="N508" s="4" t="s">
        <v>858</v>
      </c>
      <c r="O508" s="4">
        <v>39</v>
      </c>
    </row>
    <row r="509" spans="1:15" ht="15.75" customHeight="1">
      <c r="A509" s="4" t="s">
        <v>2205</v>
      </c>
      <c r="B509" s="4" t="s">
        <v>2206</v>
      </c>
      <c r="C509" s="19" t="s">
        <v>9595</v>
      </c>
      <c r="D509" s="4"/>
      <c r="E509" s="4" t="str">
        <f t="shared" si="0"/>
        <v>2.7.7.7</v>
      </c>
      <c r="F509" s="4" t="str">
        <f>$P$3&amp;"R00379"</f>
        <v>R00379</v>
      </c>
      <c r="G509" s="22" t="s">
        <v>9596</v>
      </c>
      <c r="H509" s="22" t="s">
        <v>9597</v>
      </c>
      <c r="K509" s="4"/>
      <c r="N509" s="4" t="s">
        <v>56</v>
      </c>
      <c r="O509" s="4">
        <v>110</v>
      </c>
    </row>
    <row r="510" spans="1:15" ht="15.75" customHeight="1">
      <c r="A510" s="4" t="s">
        <v>2205</v>
      </c>
      <c r="B510" s="4" t="s">
        <v>2206</v>
      </c>
      <c r="C510" s="19" t="s">
        <v>9598</v>
      </c>
      <c r="D510" s="4"/>
      <c r="E510" s="4" t="str">
        <f t="shared" si="0"/>
        <v>2.7.7.7</v>
      </c>
      <c r="F510" s="4" t="str">
        <f>$P$3&amp;"R00375"</f>
        <v>R00375</v>
      </c>
      <c r="G510" s="22" t="s">
        <v>9599</v>
      </c>
      <c r="H510" s="22" t="s">
        <v>9600</v>
      </c>
      <c r="K510" s="4"/>
      <c r="N510" s="4" t="s">
        <v>56</v>
      </c>
      <c r="O510" s="4">
        <v>110</v>
      </c>
    </row>
    <row r="511" spans="1:15" ht="15.75" customHeight="1">
      <c r="A511" s="4" t="s">
        <v>2205</v>
      </c>
      <c r="B511" s="4" t="s">
        <v>2206</v>
      </c>
      <c r="C511" s="19" t="s">
        <v>9601</v>
      </c>
      <c r="D511" s="4"/>
      <c r="E511" s="4" t="str">
        <f t="shared" si="0"/>
        <v>2.7.7.7</v>
      </c>
      <c r="F511" s="4" t="str">
        <f>$P$3&amp;"R00376"</f>
        <v>R00376</v>
      </c>
      <c r="G511" s="22" t="s">
        <v>9602</v>
      </c>
      <c r="H511" s="22" t="s">
        <v>9603</v>
      </c>
      <c r="K511" s="4"/>
      <c r="N511" s="4" t="s">
        <v>56</v>
      </c>
      <c r="O511" s="4">
        <v>110</v>
      </c>
    </row>
    <row r="512" spans="1:15" ht="15.75" customHeight="1">
      <c r="A512" s="4" t="s">
        <v>2205</v>
      </c>
      <c r="B512" s="4" t="s">
        <v>2206</v>
      </c>
      <c r="C512" s="19" t="s">
        <v>9604</v>
      </c>
      <c r="D512" s="4"/>
      <c r="E512" s="4" t="str">
        <f t="shared" si="0"/>
        <v>2.7.7.7</v>
      </c>
      <c r="F512" s="4" t="str">
        <f>$P$3&amp;"R00377"</f>
        <v>R00377</v>
      </c>
      <c r="G512" s="22" t="s">
        <v>9605</v>
      </c>
      <c r="H512" s="22" t="s">
        <v>9606</v>
      </c>
      <c r="K512" s="4"/>
      <c r="N512" s="4" t="s">
        <v>56</v>
      </c>
      <c r="O512" s="4">
        <v>110</v>
      </c>
    </row>
    <row r="513" spans="1:15" ht="15.75" customHeight="1">
      <c r="A513" s="4" t="s">
        <v>2205</v>
      </c>
      <c r="B513" s="4" t="s">
        <v>2206</v>
      </c>
      <c r="C513" s="19" t="s">
        <v>9607</v>
      </c>
      <c r="D513" s="4"/>
      <c r="E513" s="4" t="str">
        <f t="shared" si="0"/>
        <v>2.7.7.7</v>
      </c>
      <c r="F513" s="4" t="str">
        <f>$P$3&amp;"R00378"</f>
        <v>R00378</v>
      </c>
      <c r="G513" s="22" t="s">
        <v>9608</v>
      </c>
      <c r="H513" s="22" t="s">
        <v>9609</v>
      </c>
      <c r="K513" s="4"/>
      <c r="N513" s="4" t="s">
        <v>56</v>
      </c>
      <c r="O513" s="4">
        <v>110</v>
      </c>
    </row>
    <row r="514" spans="1:15" ht="15.75" customHeight="1">
      <c r="A514" s="4" t="s">
        <v>2205</v>
      </c>
      <c r="B514" s="4" t="s">
        <v>2206</v>
      </c>
      <c r="C514" s="19" t="s">
        <v>9610</v>
      </c>
      <c r="D514" s="4"/>
      <c r="E514" s="4" t="str">
        <f t="shared" si="0"/>
        <v>2.7.7.7</v>
      </c>
      <c r="F514" s="4" t="str">
        <f>$P$3&amp;"R11029"</f>
        <v>R11029</v>
      </c>
      <c r="G514" s="2" t="s">
        <v>9611</v>
      </c>
      <c r="H514" s="2" t="s">
        <v>9612</v>
      </c>
      <c r="K514" s="4"/>
      <c r="N514" s="4" t="s">
        <v>56</v>
      </c>
      <c r="O514" s="4">
        <v>110</v>
      </c>
    </row>
    <row r="515" spans="1:15" ht="15.75" customHeight="1">
      <c r="A515" s="4" t="s">
        <v>3473</v>
      </c>
      <c r="B515" s="4" t="s">
        <v>3474</v>
      </c>
      <c r="C515" s="19" t="s">
        <v>9613</v>
      </c>
      <c r="D515" s="4"/>
      <c r="E515" s="4" t="str">
        <f t="shared" si="0"/>
        <v>2.7.7.7</v>
      </c>
      <c r="F515" s="4" t="str">
        <f>$P$3&amp;"R00379"</f>
        <v>R00379</v>
      </c>
      <c r="G515" s="22" t="s">
        <v>9614</v>
      </c>
      <c r="H515" s="22" t="s">
        <v>9615</v>
      </c>
      <c r="I515" s="4"/>
      <c r="K515" s="4"/>
      <c r="N515" s="4" t="s">
        <v>863</v>
      </c>
      <c r="O515" s="4">
        <v>143</v>
      </c>
    </row>
    <row r="516" spans="1:15" ht="15.75" customHeight="1">
      <c r="A516" s="4" t="s">
        <v>3473</v>
      </c>
      <c r="B516" s="4" t="s">
        <v>3474</v>
      </c>
      <c r="C516" s="19" t="s">
        <v>9616</v>
      </c>
      <c r="D516" s="4"/>
      <c r="E516" s="4" t="str">
        <f t="shared" si="0"/>
        <v>2.7.7.7</v>
      </c>
      <c r="F516" s="4" t="str">
        <f>$P$3&amp;"R00375"</f>
        <v>R00375</v>
      </c>
      <c r="G516" s="22" t="s">
        <v>9617</v>
      </c>
      <c r="H516" s="22" t="s">
        <v>9618</v>
      </c>
      <c r="I516" s="4"/>
      <c r="K516" s="4"/>
      <c r="N516" s="4" t="s">
        <v>863</v>
      </c>
      <c r="O516" s="4">
        <v>143</v>
      </c>
    </row>
    <row r="517" spans="1:15" ht="15.75" customHeight="1">
      <c r="A517" s="4" t="s">
        <v>3473</v>
      </c>
      <c r="B517" s="4" t="s">
        <v>3474</v>
      </c>
      <c r="C517" s="19" t="s">
        <v>9619</v>
      </c>
      <c r="D517" s="4"/>
      <c r="E517" s="4" t="str">
        <f t="shared" si="0"/>
        <v>2.7.7.7</v>
      </c>
      <c r="F517" s="4" t="str">
        <f>$P$3&amp;"R00376"</f>
        <v>R00376</v>
      </c>
      <c r="G517" s="22" t="s">
        <v>9620</v>
      </c>
      <c r="H517" s="22" t="s">
        <v>9621</v>
      </c>
      <c r="I517" s="4"/>
      <c r="K517" s="4"/>
      <c r="N517" s="4" t="s">
        <v>863</v>
      </c>
      <c r="O517" s="4">
        <v>143</v>
      </c>
    </row>
    <row r="518" spans="1:15" ht="15.75" customHeight="1">
      <c r="A518" s="4" t="s">
        <v>3473</v>
      </c>
      <c r="B518" s="4" t="s">
        <v>3474</v>
      </c>
      <c r="C518" s="19" t="s">
        <v>9622</v>
      </c>
      <c r="D518" s="4"/>
      <c r="E518" s="4" t="str">
        <f t="shared" si="0"/>
        <v>2.7.7.7</v>
      </c>
      <c r="F518" s="4" t="str">
        <f>$P$3&amp;"R00377"</f>
        <v>R00377</v>
      </c>
      <c r="G518" s="22" t="s">
        <v>9623</v>
      </c>
      <c r="H518" s="22" t="s">
        <v>9624</v>
      </c>
      <c r="I518" s="4"/>
      <c r="K518" s="4"/>
      <c r="N518" s="4" t="s">
        <v>863</v>
      </c>
      <c r="O518" s="4">
        <v>143</v>
      </c>
    </row>
    <row r="519" spans="1:15" ht="15.75" customHeight="1">
      <c r="A519" s="4" t="s">
        <v>3473</v>
      </c>
      <c r="B519" s="4" t="s">
        <v>3474</v>
      </c>
      <c r="C519" s="19" t="s">
        <v>9625</v>
      </c>
      <c r="D519" s="4"/>
      <c r="E519" s="4" t="str">
        <f t="shared" si="0"/>
        <v>2.7.7.7</v>
      </c>
      <c r="F519" s="4" t="str">
        <f>$P$3&amp;"R00378"</f>
        <v>R00378</v>
      </c>
      <c r="G519" s="22" t="s">
        <v>9626</v>
      </c>
      <c r="H519" s="22" t="s">
        <v>9627</v>
      </c>
      <c r="I519" s="4"/>
      <c r="K519" s="4"/>
      <c r="N519" s="4" t="s">
        <v>863</v>
      </c>
      <c r="O519" s="4">
        <v>143</v>
      </c>
    </row>
    <row r="520" spans="1:15" ht="15.75" customHeight="1">
      <c r="A520" s="4" t="s">
        <v>3473</v>
      </c>
      <c r="B520" s="4" t="s">
        <v>3474</v>
      </c>
      <c r="C520" s="19" t="s">
        <v>9628</v>
      </c>
      <c r="D520" s="4"/>
      <c r="E520" s="4" t="str">
        <f t="shared" si="0"/>
        <v>2.7.7.7</v>
      </c>
      <c r="F520" s="4" t="str">
        <f>$P$3&amp;"R11029"</f>
        <v>R11029</v>
      </c>
      <c r="G520" s="2" t="s">
        <v>9629</v>
      </c>
      <c r="H520" s="2" t="s">
        <v>9630</v>
      </c>
      <c r="I520" s="4"/>
      <c r="K520" s="4"/>
      <c r="N520" s="4" t="s">
        <v>863</v>
      </c>
      <c r="O520" s="4">
        <v>143</v>
      </c>
    </row>
    <row r="521" spans="1:15" ht="15.75" customHeight="1">
      <c r="A521" s="4" t="s">
        <v>3494</v>
      </c>
      <c r="B521" s="4" t="s">
        <v>3495</v>
      </c>
      <c r="C521" s="19" t="s">
        <v>9631</v>
      </c>
      <c r="D521" s="4"/>
      <c r="E521" s="4" t="str">
        <f t="shared" si="0"/>
        <v>2.7.7.7</v>
      </c>
      <c r="F521" s="4" t="str">
        <f>$P$3&amp;"R00379"</f>
        <v>R00379</v>
      </c>
      <c r="G521" s="22" t="s">
        <v>9632</v>
      </c>
      <c r="H521" s="22" t="s">
        <v>9633</v>
      </c>
      <c r="I521" s="4"/>
      <c r="K521" s="4"/>
      <c r="N521" s="4" t="s">
        <v>867</v>
      </c>
      <c r="O521" s="4">
        <v>313</v>
      </c>
    </row>
    <row r="522" spans="1:15" ht="15.75" customHeight="1">
      <c r="A522" s="4" t="s">
        <v>3494</v>
      </c>
      <c r="B522" s="4" t="s">
        <v>3495</v>
      </c>
      <c r="C522" s="19" t="s">
        <v>9634</v>
      </c>
      <c r="D522" s="4"/>
      <c r="E522" s="4" t="str">
        <f t="shared" si="0"/>
        <v>2.7.7.7</v>
      </c>
      <c r="F522" s="4" t="str">
        <f>$P$3&amp;"R00375"</f>
        <v>R00375</v>
      </c>
      <c r="G522" s="22" t="s">
        <v>9635</v>
      </c>
      <c r="H522" s="22" t="s">
        <v>9636</v>
      </c>
      <c r="I522" s="4"/>
      <c r="K522" s="4"/>
      <c r="N522" s="4" t="s">
        <v>867</v>
      </c>
      <c r="O522" s="4">
        <v>313</v>
      </c>
    </row>
    <row r="523" spans="1:15" ht="15.75" customHeight="1">
      <c r="A523" s="4" t="s">
        <v>3494</v>
      </c>
      <c r="B523" s="4" t="s">
        <v>3495</v>
      </c>
      <c r="C523" s="19" t="s">
        <v>9637</v>
      </c>
      <c r="D523" s="4"/>
      <c r="E523" s="4" t="str">
        <f t="shared" si="0"/>
        <v>2.7.7.7</v>
      </c>
      <c r="F523" s="4" t="str">
        <f>$P$3&amp;"R00376"</f>
        <v>R00376</v>
      </c>
      <c r="G523" s="22" t="s">
        <v>9638</v>
      </c>
      <c r="H523" s="22" t="s">
        <v>9639</v>
      </c>
      <c r="I523" s="4"/>
      <c r="K523" s="4"/>
      <c r="N523" s="4" t="s">
        <v>867</v>
      </c>
      <c r="O523" s="4">
        <v>313</v>
      </c>
    </row>
    <row r="524" spans="1:15" ht="15.75" customHeight="1">
      <c r="A524" s="4" t="s">
        <v>3494</v>
      </c>
      <c r="B524" s="4" t="s">
        <v>3495</v>
      </c>
      <c r="C524" s="19" t="s">
        <v>9640</v>
      </c>
      <c r="D524" s="4"/>
      <c r="E524" s="4" t="str">
        <f t="shared" si="0"/>
        <v>2.7.7.7</v>
      </c>
      <c r="F524" s="4" t="str">
        <f>$P$3&amp;"R00377"</f>
        <v>R00377</v>
      </c>
      <c r="G524" s="22" t="s">
        <v>9641</v>
      </c>
      <c r="H524" s="22" t="s">
        <v>9642</v>
      </c>
      <c r="I524" s="4"/>
      <c r="K524" s="4"/>
      <c r="N524" s="4" t="s">
        <v>867</v>
      </c>
      <c r="O524" s="4">
        <v>313</v>
      </c>
    </row>
    <row r="525" spans="1:15" ht="15.75" customHeight="1">
      <c r="A525" s="4" t="s">
        <v>3494</v>
      </c>
      <c r="B525" s="4" t="s">
        <v>3495</v>
      </c>
      <c r="C525" s="19" t="s">
        <v>9643</v>
      </c>
      <c r="D525" s="4"/>
      <c r="E525" s="4" t="str">
        <f t="shared" si="0"/>
        <v>2.7.7.7</v>
      </c>
      <c r="F525" s="4" t="str">
        <f>$P$3&amp;"R00378"</f>
        <v>R00378</v>
      </c>
      <c r="G525" s="22" t="s">
        <v>9644</v>
      </c>
      <c r="H525" s="22" t="s">
        <v>9645</v>
      </c>
      <c r="I525" s="4"/>
      <c r="K525" s="4"/>
      <c r="N525" s="4" t="s">
        <v>867</v>
      </c>
      <c r="O525" s="4">
        <v>313</v>
      </c>
    </row>
    <row r="526" spans="1:15" ht="15.75" customHeight="1">
      <c r="A526" s="4" t="s">
        <v>3494</v>
      </c>
      <c r="B526" s="4" t="s">
        <v>3495</v>
      </c>
      <c r="C526" s="19" t="s">
        <v>9646</v>
      </c>
      <c r="D526" s="4"/>
      <c r="E526" s="4" t="str">
        <f t="shared" si="0"/>
        <v>2.7.7.7</v>
      </c>
      <c r="F526" s="4" t="str">
        <f>$P$3&amp;"R11029"</f>
        <v>R11029</v>
      </c>
      <c r="G526" s="2" t="s">
        <v>9647</v>
      </c>
      <c r="H526" s="2" t="s">
        <v>9648</v>
      </c>
      <c r="I526" s="4"/>
      <c r="K526" s="4"/>
      <c r="N526" s="4" t="s">
        <v>867</v>
      </c>
      <c r="O526" s="4">
        <v>313</v>
      </c>
    </row>
    <row r="527" spans="1:15" ht="15.75" customHeight="1">
      <c r="A527" s="4" t="s">
        <v>5122</v>
      </c>
      <c r="B527" s="4" t="s">
        <v>5123</v>
      </c>
      <c r="C527" s="19" t="s">
        <v>9649</v>
      </c>
      <c r="D527" s="4"/>
      <c r="E527" s="4" t="str">
        <f t="shared" si="0"/>
        <v>2.7.7.7</v>
      </c>
      <c r="F527" s="4" t="str">
        <f>$P$3&amp;"R00379"</f>
        <v>R00379</v>
      </c>
      <c r="G527" s="22" t="s">
        <v>9650</v>
      </c>
      <c r="H527" s="22" t="s">
        <v>9651</v>
      </c>
      <c r="I527" s="4"/>
      <c r="K527" s="4"/>
      <c r="N527" s="4" t="s">
        <v>871</v>
      </c>
      <c r="O527" s="4">
        <v>121</v>
      </c>
    </row>
    <row r="528" spans="1:15" ht="15.75" customHeight="1">
      <c r="A528" s="4" t="s">
        <v>5122</v>
      </c>
      <c r="B528" s="4" t="s">
        <v>5123</v>
      </c>
      <c r="C528" s="19" t="s">
        <v>9652</v>
      </c>
      <c r="D528" s="4"/>
      <c r="E528" s="4" t="str">
        <f t="shared" si="0"/>
        <v>2.7.7.7</v>
      </c>
      <c r="F528" s="4" t="str">
        <f>$P$3&amp;"R00375"</f>
        <v>R00375</v>
      </c>
      <c r="G528" s="22" t="s">
        <v>9653</v>
      </c>
      <c r="H528" s="22" t="s">
        <v>9654</v>
      </c>
      <c r="I528" s="4"/>
      <c r="K528" s="4"/>
      <c r="N528" s="4" t="s">
        <v>871</v>
      </c>
      <c r="O528" s="4">
        <v>121</v>
      </c>
    </row>
    <row r="529" spans="1:15" ht="15.75" customHeight="1">
      <c r="A529" s="4" t="s">
        <v>5122</v>
      </c>
      <c r="B529" s="4" t="s">
        <v>5123</v>
      </c>
      <c r="C529" s="19" t="s">
        <v>9655</v>
      </c>
      <c r="D529" s="4"/>
      <c r="E529" s="4" t="str">
        <f t="shared" si="0"/>
        <v>2.7.7.7</v>
      </c>
      <c r="F529" s="4" t="str">
        <f>$P$3&amp;"R00376"</f>
        <v>R00376</v>
      </c>
      <c r="G529" s="22" t="s">
        <v>9656</v>
      </c>
      <c r="H529" s="22" t="s">
        <v>9657</v>
      </c>
      <c r="I529" s="4"/>
      <c r="K529" s="4"/>
      <c r="N529" s="4" t="s">
        <v>871</v>
      </c>
      <c r="O529" s="4">
        <v>121</v>
      </c>
    </row>
    <row r="530" spans="1:15" ht="15.75" customHeight="1">
      <c r="A530" s="4" t="s">
        <v>5122</v>
      </c>
      <c r="B530" s="4" t="s">
        <v>5123</v>
      </c>
      <c r="C530" s="19" t="s">
        <v>9658</v>
      </c>
      <c r="D530" s="4"/>
      <c r="E530" s="4" t="str">
        <f t="shared" si="0"/>
        <v>2.7.7.7</v>
      </c>
      <c r="F530" s="4" t="str">
        <f>$P$3&amp;"R00377"</f>
        <v>R00377</v>
      </c>
      <c r="G530" s="22" t="s">
        <v>9659</v>
      </c>
      <c r="H530" s="22" t="s">
        <v>9660</v>
      </c>
      <c r="I530" s="4"/>
      <c r="K530" s="4"/>
      <c r="N530" s="4" t="s">
        <v>871</v>
      </c>
      <c r="O530" s="4">
        <v>121</v>
      </c>
    </row>
    <row r="531" spans="1:15" ht="15.75" customHeight="1">
      <c r="A531" s="4" t="s">
        <v>5122</v>
      </c>
      <c r="B531" s="4" t="s">
        <v>5123</v>
      </c>
      <c r="C531" s="19" t="s">
        <v>9661</v>
      </c>
      <c r="D531" s="4"/>
      <c r="E531" s="4" t="str">
        <f t="shared" si="0"/>
        <v>2.7.7.7</v>
      </c>
      <c r="F531" s="4" t="str">
        <f>$P$3&amp;"R00378"</f>
        <v>R00378</v>
      </c>
      <c r="G531" s="22" t="s">
        <v>9662</v>
      </c>
      <c r="H531" s="22" t="s">
        <v>9663</v>
      </c>
      <c r="I531" s="4"/>
      <c r="K531" s="4"/>
      <c r="N531" s="4" t="s">
        <v>871</v>
      </c>
      <c r="O531" s="4">
        <v>121</v>
      </c>
    </row>
    <row r="532" spans="1:15" ht="15.75" customHeight="1">
      <c r="A532" s="4" t="s">
        <v>5122</v>
      </c>
      <c r="B532" s="4" t="s">
        <v>5123</v>
      </c>
      <c r="C532" s="19" t="s">
        <v>9664</v>
      </c>
      <c r="D532" s="4"/>
      <c r="E532" s="4" t="str">
        <f t="shared" si="0"/>
        <v>2.7.7.7</v>
      </c>
      <c r="F532" s="4" t="str">
        <f>$P$3&amp;"R11029"</f>
        <v>R11029</v>
      </c>
      <c r="G532" s="2" t="s">
        <v>9665</v>
      </c>
      <c r="H532" s="2" t="s">
        <v>9666</v>
      </c>
      <c r="I532" s="4"/>
      <c r="K532" s="4"/>
      <c r="N532" s="4" t="s">
        <v>871</v>
      </c>
      <c r="O532" s="4">
        <v>121</v>
      </c>
    </row>
    <row r="533" spans="1:15" ht="15.75" customHeight="1">
      <c r="A533" s="4" t="s">
        <v>7007</v>
      </c>
      <c r="B533" s="4" t="s">
        <v>7008</v>
      </c>
      <c r="C533" s="19" t="s">
        <v>9667</v>
      </c>
      <c r="D533" s="4"/>
      <c r="E533" s="4" t="str">
        <f t="shared" si="0"/>
        <v>2.7.7.7</v>
      </c>
      <c r="F533" s="4" t="str">
        <f>$P$3&amp;"R00379"</f>
        <v>R00379</v>
      </c>
      <c r="G533" s="22" t="s">
        <v>9668</v>
      </c>
      <c r="H533" s="22" t="s">
        <v>9669</v>
      </c>
      <c r="K533" s="4"/>
      <c r="N533" s="4" t="s">
        <v>875</v>
      </c>
      <c r="O533" s="4">
        <v>715</v>
      </c>
    </row>
    <row r="534" spans="1:15" ht="15.75" customHeight="1">
      <c r="A534" s="4" t="s">
        <v>7007</v>
      </c>
      <c r="B534" s="4" t="s">
        <v>7008</v>
      </c>
      <c r="C534" s="19" t="s">
        <v>9670</v>
      </c>
      <c r="D534" s="4"/>
      <c r="E534" s="4" t="str">
        <f t="shared" si="0"/>
        <v>2.7.7.7</v>
      </c>
      <c r="F534" s="4" t="str">
        <f>$P$3&amp;"R00375"</f>
        <v>R00375</v>
      </c>
      <c r="G534" s="22" t="s">
        <v>9671</v>
      </c>
      <c r="H534" s="22" t="s">
        <v>9672</v>
      </c>
      <c r="K534" s="4"/>
      <c r="N534" s="4" t="s">
        <v>875</v>
      </c>
      <c r="O534" s="4">
        <v>715</v>
      </c>
    </row>
    <row r="535" spans="1:15" ht="15.75" customHeight="1">
      <c r="A535" s="4" t="s">
        <v>7007</v>
      </c>
      <c r="B535" s="4" t="s">
        <v>7008</v>
      </c>
      <c r="C535" s="19" t="s">
        <v>9673</v>
      </c>
      <c r="D535" s="4"/>
      <c r="E535" s="4" t="str">
        <f t="shared" si="0"/>
        <v>2.7.7.7</v>
      </c>
      <c r="F535" s="4" t="str">
        <f>$P$3&amp;"R00376"</f>
        <v>R00376</v>
      </c>
      <c r="G535" s="22" t="s">
        <v>9674</v>
      </c>
      <c r="H535" s="22" t="s">
        <v>9675</v>
      </c>
      <c r="K535" s="4"/>
      <c r="N535" s="4" t="s">
        <v>875</v>
      </c>
      <c r="O535" s="4">
        <v>715</v>
      </c>
    </row>
    <row r="536" spans="1:15" ht="15.75" customHeight="1">
      <c r="A536" s="4" t="s">
        <v>7007</v>
      </c>
      <c r="B536" s="4" t="s">
        <v>7008</v>
      </c>
      <c r="C536" s="19" t="s">
        <v>9676</v>
      </c>
      <c r="D536" s="4"/>
      <c r="E536" s="4" t="str">
        <f t="shared" si="0"/>
        <v>2.7.7.7</v>
      </c>
      <c r="F536" s="4" t="str">
        <f>$P$3&amp;"R00377"</f>
        <v>R00377</v>
      </c>
      <c r="G536" s="22" t="s">
        <v>9677</v>
      </c>
      <c r="H536" s="22" t="s">
        <v>9678</v>
      </c>
      <c r="K536" s="4"/>
      <c r="N536" s="4" t="s">
        <v>875</v>
      </c>
      <c r="O536" s="4">
        <v>715</v>
      </c>
    </row>
    <row r="537" spans="1:15" ht="15.75" customHeight="1">
      <c r="A537" s="4" t="s">
        <v>7007</v>
      </c>
      <c r="B537" s="4" t="s">
        <v>7008</v>
      </c>
      <c r="C537" s="19" t="s">
        <v>9679</v>
      </c>
      <c r="D537" s="4"/>
      <c r="E537" s="4" t="str">
        <f t="shared" si="0"/>
        <v>2.7.7.7</v>
      </c>
      <c r="F537" s="4" t="str">
        <f>$P$3&amp;"R00378"</f>
        <v>R00378</v>
      </c>
      <c r="G537" s="22" t="s">
        <v>9680</v>
      </c>
      <c r="H537" s="22" t="s">
        <v>9681</v>
      </c>
      <c r="K537" s="4"/>
      <c r="N537" s="4" t="s">
        <v>875</v>
      </c>
      <c r="O537" s="4">
        <v>715</v>
      </c>
    </row>
    <row r="538" spans="1:15" ht="15.75" customHeight="1">
      <c r="A538" s="4" t="s">
        <v>7007</v>
      </c>
      <c r="B538" s="4" t="s">
        <v>7008</v>
      </c>
      <c r="C538" s="19" t="s">
        <v>9682</v>
      </c>
      <c r="D538" s="4"/>
      <c r="E538" s="4" t="str">
        <f t="shared" si="0"/>
        <v>2.7.7.7</v>
      </c>
      <c r="F538" s="4" t="str">
        <f>$P$3&amp;"R11029"</f>
        <v>R11029</v>
      </c>
      <c r="G538" s="2" t="s">
        <v>9683</v>
      </c>
      <c r="H538" s="2" t="s">
        <v>9684</v>
      </c>
      <c r="K538" s="4"/>
      <c r="N538" s="4" t="s">
        <v>875</v>
      </c>
      <c r="O538" s="4">
        <v>715</v>
      </c>
    </row>
    <row r="539" spans="1:15" ht="15.75" customHeight="1">
      <c r="A539" s="4" t="s">
        <v>1203</v>
      </c>
      <c r="B539" s="4" t="s">
        <v>1204</v>
      </c>
      <c r="C539" s="19" t="s">
        <v>9685</v>
      </c>
      <c r="D539" s="4"/>
      <c r="E539" s="4" t="str">
        <f t="shared" si="0"/>
        <v>2.7.7.72</v>
      </c>
      <c r="F539" s="4" t="str">
        <f>$P$3&amp;"R09382"</f>
        <v>R09382</v>
      </c>
      <c r="G539" s="22" t="s">
        <v>9686</v>
      </c>
      <c r="H539" s="22" t="s">
        <v>9687</v>
      </c>
      <c r="I539" s="4"/>
      <c r="K539" s="4"/>
      <c r="N539" s="4" t="s">
        <v>878</v>
      </c>
      <c r="O539" s="4">
        <v>321</v>
      </c>
    </row>
    <row r="540" spans="1:15" ht="15.75" customHeight="1">
      <c r="A540" s="4" t="s">
        <v>1203</v>
      </c>
      <c r="B540" s="4" t="s">
        <v>1204</v>
      </c>
      <c r="C540" s="19" t="s">
        <v>9688</v>
      </c>
      <c r="D540" s="4"/>
      <c r="E540" s="4" t="str">
        <f t="shared" si="0"/>
        <v>2.7.7.72</v>
      </c>
      <c r="F540" s="4" t="str">
        <f>$P$3&amp;"R09383"</f>
        <v>R09383</v>
      </c>
      <c r="G540" s="22" t="s">
        <v>9689</v>
      </c>
      <c r="H540" s="22" t="s">
        <v>9690</v>
      </c>
      <c r="I540" s="4"/>
      <c r="K540" s="4"/>
      <c r="N540" s="4" t="s">
        <v>878</v>
      </c>
      <c r="O540" s="4">
        <v>321</v>
      </c>
    </row>
    <row r="541" spans="1:15" ht="15.75" customHeight="1">
      <c r="A541" s="4" t="s">
        <v>1203</v>
      </c>
      <c r="B541" s="4" t="s">
        <v>1204</v>
      </c>
      <c r="C541" s="19" t="s">
        <v>9691</v>
      </c>
      <c r="D541" s="4"/>
      <c r="E541" s="4" t="str">
        <f t="shared" si="0"/>
        <v>2.7.7.72</v>
      </c>
      <c r="F541" s="4" t="str">
        <f>$P$3&amp;"R09384"</f>
        <v>R09384</v>
      </c>
      <c r="G541" s="22" t="s">
        <v>9692</v>
      </c>
      <c r="H541" s="22" t="s">
        <v>9693</v>
      </c>
      <c r="I541" s="4"/>
      <c r="K541" s="4"/>
      <c r="N541" s="4" t="s">
        <v>878</v>
      </c>
      <c r="O541" s="4">
        <v>321</v>
      </c>
    </row>
    <row r="542" spans="1:15" ht="15.75" customHeight="1">
      <c r="A542" s="4" t="s">
        <v>1203</v>
      </c>
      <c r="B542" s="4" t="s">
        <v>1204</v>
      </c>
      <c r="C542" s="19" t="s">
        <v>9694</v>
      </c>
      <c r="D542" s="4"/>
      <c r="E542" s="4" t="str">
        <f t="shared" si="0"/>
        <v>2.7.7.72</v>
      </c>
      <c r="F542" s="4" t="str">
        <f>$P$3&amp;"R09386"</f>
        <v>R09386</v>
      </c>
      <c r="G542" s="22" t="s">
        <v>9695</v>
      </c>
      <c r="H542" s="22" t="s">
        <v>9696</v>
      </c>
      <c r="I542" s="4"/>
      <c r="K542" s="4"/>
      <c r="N542" s="4" t="s">
        <v>878</v>
      </c>
      <c r="O542" s="4">
        <v>321</v>
      </c>
    </row>
    <row r="543" spans="1:15" ht="15.75" customHeight="1">
      <c r="A543" s="4" t="s">
        <v>120</v>
      </c>
      <c r="B543" s="4" t="s">
        <v>121</v>
      </c>
      <c r="C543" s="18" t="s">
        <v>8290</v>
      </c>
      <c r="D543" s="4"/>
      <c r="E543" s="4" t="str">
        <f t="shared" si="0"/>
        <v>2.7.7.85</v>
      </c>
      <c r="F543" s="4" t="str">
        <f>$P$3&amp;"R10342"</f>
        <v>R10342</v>
      </c>
      <c r="G543" s="27" t="s">
        <v>9697</v>
      </c>
      <c r="H543" s="22" t="s">
        <v>9698</v>
      </c>
      <c r="I543" s="4"/>
      <c r="K543" s="4"/>
      <c r="N543" s="4" t="s">
        <v>882</v>
      </c>
      <c r="O543" s="4">
        <v>459</v>
      </c>
    </row>
    <row r="544" spans="1:15" ht="15.75" customHeight="1">
      <c r="A544" s="4" t="s">
        <v>523</v>
      </c>
      <c r="B544" s="4" t="s">
        <v>524</v>
      </c>
      <c r="C544" s="19" t="s">
        <v>9699</v>
      </c>
      <c r="D544" s="4"/>
      <c r="E544" s="4" t="str">
        <f t="shared" si="0"/>
        <v>2.7.7.87</v>
      </c>
      <c r="F544" s="4" t="str">
        <f>$P$3&amp;"R10463"</f>
        <v>R10463</v>
      </c>
      <c r="G544" s="22" t="s">
        <v>9700</v>
      </c>
      <c r="H544" s="22" t="s">
        <v>9701</v>
      </c>
      <c r="I544" s="4"/>
      <c r="K544" s="4"/>
      <c r="N544" s="4" t="s">
        <v>886</v>
      </c>
      <c r="O544" s="4">
        <v>363</v>
      </c>
    </row>
    <row r="545" spans="1:15" ht="15.75" customHeight="1">
      <c r="A545" s="4" t="s">
        <v>341</v>
      </c>
      <c r="B545" s="4" t="s">
        <v>342</v>
      </c>
      <c r="C545" s="19" t="s">
        <v>9702</v>
      </c>
      <c r="D545" s="4"/>
      <c r="E545" s="4" t="str">
        <f t="shared" si="0"/>
        <v>2.7.7.9</v>
      </c>
      <c r="F545" s="4" t="str">
        <f>$P$3&amp;"R00289"</f>
        <v>R00289</v>
      </c>
      <c r="G545" s="22" t="s">
        <v>9703</v>
      </c>
      <c r="H545" s="22" t="s">
        <v>9704</v>
      </c>
      <c r="K545" s="4"/>
      <c r="N545" s="4" t="s">
        <v>890</v>
      </c>
      <c r="O545" s="4">
        <v>284</v>
      </c>
    </row>
    <row r="546" spans="1:15" ht="15.75" customHeight="1">
      <c r="A546" s="4" t="s">
        <v>880</v>
      </c>
      <c r="B546" s="4" t="s">
        <v>881</v>
      </c>
      <c r="C546" s="19" t="s">
        <v>9705</v>
      </c>
      <c r="D546" s="4"/>
      <c r="E546" s="4" t="str">
        <f t="shared" si="0"/>
        <v>2.7.8.13</v>
      </c>
      <c r="F546" s="4" t="str">
        <f>$P$3&amp;"R05629"</f>
        <v>R05629</v>
      </c>
      <c r="G546" s="22" t="s">
        <v>9706</v>
      </c>
      <c r="H546" s="22" t="s">
        <v>9707</v>
      </c>
      <c r="K546" s="4"/>
      <c r="N546" s="4" t="s">
        <v>904</v>
      </c>
      <c r="O546" s="4">
        <v>97</v>
      </c>
    </row>
    <row r="547" spans="1:15" ht="15.75" customHeight="1">
      <c r="A547" s="4" t="s">
        <v>880</v>
      </c>
      <c r="B547" s="4" t="s">
        <v>881</v>
      </c>
      <c r="C547" s="19" t="s">
        <v>9708</v>
      </c>
      <c r="D547" s="4"/>
      <c r="E547" s="4" t="str">
        <f t="shared" si="0"/>
        <v>2.7.8.13</v>
      </c>
      <c r="F547" s="4" t="str">
        <f>$P$3&amp;"R05630"</f>
        <v>R05630</v>
      </c>
      <c r="G547" s="22" t="s">
        <v>9709</v>
      </c>
      <c r="H547" s="22" t="s">
        <v>9710</v>
      </c>
      <c r="K547" s="4"/>
      <c r="N547" s="4" t="s">
        <v>904</v>
      </c>
      <c r="O547" s="4">
        <v>97</v>
      </c>
    </row>
    <row r="548" spans="1:15" ht="15.75" customHeight="1">
      <c r="A548" s="4" t="s">
        <v>7438</v>
      </c>
      <c r="B548" s="4" t="s">
        <v>7439</v>
      </c>
      <c r="C548" s="19" t="s">
        <v>9711</v>
      </c>
      <c r="D548" s="4"/>
      <c r="E548" s="4" t="str">
        <f t="shared" si="0"/>
        <v>2.7.8.5</v>
      </c>
      <c r="F548" s="4" t="str">
        <f>$P$3&amp;"R01801"</f>
        <v>R01801</v>
      </c>
      <c r="G548" s="22" t="s">
        <v>9712</v>
      </c>
      <c r="H548" s="22" t="s">
        <v>9713</v>
      </c>
      <c r="K548" s="4"/>
      <c r="N548" s="4" t="s">
        <v>907</v>
      </c>
      <c r="O548" s="4">
        <v>259</v>
      </c>
    </row>
    <row r="549" spans="1:15" ht="15.75" customHeight="1">
      <c r="A549" s="4" t="s">
        <v>6014</v>
      </c>
      <c r="B549" s="4" t="s">
        <v>6015</v>
      </c>
      <c r="C549" s="19" t="s">
        <v>9714</v>
      </c>
      <c r="D549" s="4"/>
      <c r="E549" s="4" t="str">
        <f t="shared" si="0"/>
        <v>2.7.8.7</v>
      </c>
      <c r="F549" s="4" t="str">
        <f>$P$3&amp;"R01625"</f>
        <v>R01625</v>
      </c>
      <c r="G549" s="22" t="s">
        <v>9715</v>
      </c>
      <c r="H549" s="22" t="s">
        <v>9716</v>
      </c>
      <c r="K549" s="4"/>
      <c r="N549" s="4" t="s">
        <v>910</v>
      </c>
      <c r="O549" s="4">
        <v>261</v>
      </c>
    </row>
    <row r="550" spans="1:15" ht="15.75" customHeight="1">
      <c r="A550" s="4" t="s">
        <v>3691</v>
      </c>
      <c r="B550" s="4" t="s">
        <v>3692</v>
      </c>
      <c r="C550" s="19" t="s">
        <v>9717</v>
      </c>
      <c r="D550" s="4"/>
      <c r="E550" s="4" t="str">
        <f t="shared" si="0"/>
        <v>2.7.9.1</v>
      </c>
      <c r="F550" s="4" t="str">
        <f>$P$3&amp;"R00206"</f>
        <v>R00206</v>
      </c>
      <c r="G550" s="22" t="s">
        <v>9718</v>
      </c>
      <c r="H550" s="22" t="s">
        <v>9719</v>
      </c>
      <c r="I550" s="4"/>
      <c r="K550" s="4"/>
      <c r="N550" s="4" t="s">
        <v>913</v>
      </c>
      <c r="O550" s="4">
        <v>928</v>
      </c>
    </row>
    <row r="551" spans="1:15" ht="15.75" customHeight="1">
      <c r="A551" s="4" t="s">
        <v>950</v>
      </c>
      <c r="B551" s="4" t="s">
        <v>951</v>
      </c>
      <c r="C551" s="19" t="s">
        <v>9720</v>
      </c>
      <c r="D551" s="4"/>
      <c r="E551" s="4" t="str">
        <f t="shared" si="0"/>
        <v>2.8.1.13</v>
      </c>
      <c r="F551" s="4" t="str">
        <f>$P$3&amp;"R08700"</f>
        <v>R08700</v>
      </c>
      <c r="G551" s="22" t="s">
        <v>9721</v>
      </c>
      <c r="H551" s="22" t="s">
        <v>9722</v>
      </c>
      <c r="K551" s="4"/>
      <c r="N551" s="4" t="s">
        <v>917</v>
      </c>
      <c r="O551" s="4">
        <v>73</v>
      </c>
    </row>
    <row r="552" spans="1:15" ht="15.75" customHeight="1">
      <c r="A552" s="4" t="s">
        <v>811</v>
      </c>
      <c r="B552" s="4" t="s">
        <v>812</v>
      </c>
      <c r="C552" s="19" t="s">
        <v>9723</v>
      </c>
      <c r="D552" s="4"/>
      <c r="E552" s="4" t="str">
        <f t="shared" si="0"/>
        <v>2.8.1.4</v>
      </c>
      <c r="F552" s="4" t="str">
        <f>$P$3&amp;"R03923"</f>
        <v>R03923</v>
      </c>
      <c r="G552" s="22" t="s">
        <v>9724</v>
      </c>
      <c r="H552" s="22" t="s">
        <v>9725</v>
      </c>
      <c r="K552" s="4"/>
      <c r="N552" s="4" t="s">
        <v>920</v>
      </c>
      <c r="O552" s="4">
        <v>301</v>
      </c>
    </row>
    <row r="553" spans="1:15" ht="15.75" customHeight="1">
      <c r="A553" s="4" t="s">
        <v>811</v>
      </c>
      <c r="B553" s="4" t="s">
        <v>812</v>
      </c>
      <c r="C553" s="19" t="s">
        <v>9726</v>
      </c>
      <c r="D553" s="4"/>
      <c r="E553" s="4" t="str">
        <f t="shared" si="0"/>
        <v>2.8.1.4</v>
      </c>
      <c r="F553" s="4" t="str">
        <f>$P$3&amp;"R07461"</f>
        <v>R07461</v>
      </c>
      <c r="G553" s="22" t="s">
        <v>9727</v>
      </c>
      <c r="H553" s="22" t="s">
        <v>9728</v>
      </c>
      <c r="K553" s="4"/>
      <c r="N553" s="4" t="s">
        <v>920</v>
      </c>
      <c r="O553" s="4">
        <v>301</v>
      </c>
    </row>
    <row r="554" spans="1:15" ht="15.75" customHeight="1">
      <c r="A554" s="4" t="s">
        <v>2614</v>
      </c>
      <c r="B554" s="4" t="s">
        <v>2615</v>
      </c>
      <c r="C554" s="4" t="s">
        <v>8291</v>
      </c>
      <c r="D554" s="20"/>
      <c r="E554" s="4" t="str">
        <f t="shared" si="0"/>
        <v>2.8.3.10</v>
      </c>
      <c r="F554" s="4" t="str">
        <f>$P$3&amp;"R01323"</f>
        <v>R01323</v>
      </c>
      <c r="G554" s="22" t="s">
        <v>9729</v>
      </c>
      <c r="H554" s="22" t="s">
        <v>9730</v>
      </c>
      <c r="K554" s="4"/>
      <c r="N554" s="4" t="s">
        <v>255</v>
      </c>
      <c r="O554" s="4">
        <v>478</v>
      </c>
    </row>
    <row r="555" spans="1:15" ht="15.75" customHeight="1">
      <c r="A555" s="4" t="s">
        <v>6050</v>
      </c>
      <c r="B555" s="4" t="s">
        <v>6051</v>
      </c>
      <c r="C555" s="19" t="s">
        <v>9731</v>
      </c>
      <c r="D555" s="4"/>
      <c r="E555" s="4" t="str">
        <f t="shared" si="0"/>
        <v>3.1.1.29</v>
      </c>
      <c r="F555" s="4" t="str">
        <f>$P$3&amp;"R04238"</f>
        <v>R04238</v>
      </c>
      <c r="G555" s="22" t="s">
        <v>9732</v>
      </c>
      <c r="H555" s="22" t="s">
        <v>9733</v>
      </c>
      <c r="K555" s="4"/>
      <c r="N555" s="4" t="s">
        <v>56</v>
      </c>
      <c r="O555" s="4">
        <v>149</v>
      </c>
    </row>
    <row r="556" spans="1:15" ht="15.75" customHeight="1">
      <c r="A556" s="4" t="s">
        <v>1659</v>
      </c>
      <c r="B556" s="4" t="s">
        <v>1660</v>
      </c>
      <c r="C556" s="19" t="s">
        <v>9734</v>
      </c>
      <c r="D556" s="4"/>
      <c r="E556" s="4" t="str">
        <f t="shared" si="0"/>
        <v>3.1.1.96</v>
      </c>
      <c r="G556" s="4"/>
      <c r="H556" s="4"/>
      <c r="K556" s="4"/>
      <c r="N556" s="4" t="s">
        <v>56</v>
      </c>
      <c r="O556" s="4">
        <v>97</v>
      </c>
    </row>
    <row r="557" spans="1:15" ht="15.75" customHeight="1">
      <c r="A557" s="4" t="s">
        <v>83</v>
      </c>
      <c r="B557" s="4" t="s">
        <v>84</v>
      </c>
      <c r="C557" s="19" t="s">
        <v>9735</v>
      </c>
      <c r="D557" s="4"/>
      <c r="E557" s="4" t="str">
        <f t="shared" si="0"/>
        <v>3.1.11.2</v>
      </c>
      <c r="G557" s="4"/>
      <c r="H557" s="4"/>
      <c r="I557" s="4"/>
      <c r="K557" s="4"/>
      <c r="N557" s="4" t="s">
        <v>978</v>
      </c>
      <c r="O557" s="4">
        <v>184</v>
      </c>
    </row>
    <row r="558" spans="1:15" ht="15.75" customHeight="1">
      <c r="A558" s="4" t="s">
        <v>1976</v>
      </c>
      <c r="B558" s="4" t="s">
        <v>1977</v>
      </c>
      <c r="C558" s="19" t="s">
        <v>9736</v>
      </c>
      <c r="D558" s="4"/>
      <c r="E558" s="4" t="str">
        <f t="shared" si="0"/>
        <v>3.1.11.6</v>
      </c>
      <c r="G558" s="4"/>
      <c r="H558" s="4"/>
      <c r="K558" s="4"/>
      <c r="N558" s="4" t="s">
        <v>982</v>
      </c>
      <c r="O558" s="4">
        <v>271</v>
      </c>
    </row>
    <row r="559" spans="1:15" ht="15.75" customHeight="1">
      <c r="A559" s="4" t="s">
        <v>1980</v>
      </c>
      <c r="B559" s="4" t="s">
        <v>1981</v>
      </c>
      <c r="C559" s="19" t="s">
        <v>9737</v>
      </c>
      <c r="D559" s="4"/>
      <c r="E559" s="4" t="str">
        <f t="shared" si="0"/>
        <v>3.1.11.6</v>
      </c>
      <c r="G559" s="4"/>
      <c r="H559" s="4"/>
      <c r="I559" s="4"/>
      <c r="K559" s="4"/>
      <c r="N559" s="4" t="s">
        <v>985</v>
      </c>
      <c r="O559" s="4">
        <v>370</v>
      </c>
    </row>
    <row r="560" spans="1:15" ht="15.75" customHeight="1">
      <c r="A560" s="4" t="s">
        <v>7608</v>
      </c>
      <c r="B560" s="4" t="s">
        <v>7609</v>
      </c>
      <c r="C560" s="19" t="s">
        <v>9738</v>
      </c>
      <c r="D560" s="4"/>
      <c r="E560" s="4" t="str">
        <f t="shared" si="0"/>
        <v>3.1.13.1</v>
      </c>
      <c r="G560" s="4"/>
      <c r="H560" s="4"/>
      <c r="K560" s="4"/>
      <c r="N560" s="4" t="s">
        <v>989</v>
      </c>
      <c r="O560" s="4">
        <v>325</v>
      </c>
    </row>
    <row r="561" spans="1:15" ht="15.75" customHeight="1">
      <c r="A561" s="4" t="s">
        <v>2751</v>
      </c>
      <c r="B561" s="4" t="s">
        <v>2752</v>
      </c>
      <c r="C561" s="19" t="s">
        <v>9739</v>
      </c>
      <c r="D561" s="4"/>
      <c r="E561" s="4" t="str">
        <f t="shared" si="0"/>
        <v>3.1.2.20</v>
      </c>
      <c r="F561" s="4" t="str">
        <f>$P$3&amp;"R00383"</f>
        <v>R00383</v>
      </c>
      <c r="G561" s="22" t="s">
        <v>9740</v>
      </c>
      <c r="H561" s="22" t="s">
        <v>9741</v>
      </c>
      <c r="K561" s="4"/>
      <c r="N561" s="4" t="s">
        <v>992</v>
      </c>
      <c r="O561" s="4">
        <v>554</v>
      </c>
    </row>
    <row r="562" spans="1:15" ht="15.75" customHeight="1">
      <c r="A562" s="4" t="s">
        <v>1618</v>
      </c>
      <c r="B562" s="4" t="s">
        <v>1619</v>
      </c>
      <c r="C562" s="19" t="s">
        <v>9742</v>
      </c>
      <c r="D562" s="4"/>
      <c r="E562" s="4" t="str">
        <f t="shared" si="0"/>
        <v>3.1.21.2</v>
      </c>
      <c r="G562" s="4"/>
      <c r="H562" s="4"/>
      <c r="K562" s="4"/>
      <c r="N562" s="4" t="s">
        <v>1002</v>
      </c>
      <c r="O562" s="4">
        <v>93</v>
      </c>
    </row>
    <row r="563" spans="1:15" ht="15.75" customHeight="1">
      <c r="A563" s="4" t="s">
        <v>3072</v>
      </c>
      <c r="B563" s="4" t="s">
        <v>3073</v>
      </c>
      <c r="C563" s="19" t="s">
        <v>9743</v>
      </c>
      <c r="D563" s="4"/>
      <c r="E563" s="4" t="str">
        <f t="shared" si="0"/>
        <v>3.1.21.3</v>
      </c>
      <c r="G563" s="4"/>
      <c r="H563" s="4"/>
      <c r="K563" s="4"/>
      <c r="N563" s="4" t="s">
        <v>1005</v>
      </c>
      <c r="O563" s="4">
        <v>263</v>
      </c>
    </row>
    <row r="564" spans="1:15" ht="15.75" customHeight="1">
      <c r="A564" s="4" t="s">
        <v>1106</v>
      </c>
      <c r="B564" s="4" t="s">
        <v>1107</v>
      </c>
      <c r="C564" s="19" t="s">
        <v>9744</v>
      </c>
      <c r="D564" s="4"/>
      <c r="E564" s="4" t="str">
        <f t="shared" si="0"/>
        <v>3.1.26.11</v>
      </c>
      <c r="G564" s="4"/>
      <c r="H564" s="4"/>
      <c r="K564" s="4"/>
      <c r="N564" s="4" t="s">
        <v>1014</v>
      </c>
      <c r="O564" s="4">
        <v>1145</v>
      </c>
    </row>
    <row r="565" spans="1:15" ht="15.75" customHeight="1">
      <c r="A565" s="4" t="s">
        <v>1878</v>
      </c>
      <c r="B565" s="4" t="s">
        <v>1879</v>
      </c>
      <c r="C565" s="4" t="s">
        <v>8292</v>
      </c>
      <c r="D565" s="4"/>
      <c r="E565" s="4" t="str">
        <f t="shared" si="0"/>
        <v>3.1.26.3</v>
      </c>
      <c r="G565" s="4"/>
      <c r="H565" s="4"/>
      <c r="K565" s="4"/>
      <c r="N565" s="4" t="s">
        <v>1017</v>
      </c>
      <c r="O565" s="4">
        <v>118</v>
      </c>
    </row>
    <row r="566" spans="1:15" ht="15.75" customHeight="1">
      <c r="A566" s="4" t="s">
        <v>1252</v>
      </c>
      <c r="B566" s="4" t="s">
        <v>1253</v>
      </c>
      <c r="C566" s="19" t="s">
        <v>9745</v>
      </c>
      <c r="D566" s="4"/>
      <c r="E566" s="4" t="str">
        <f t="shared" si="0"/>
        <v>3.1.26.4</v>
      </c>
      <c r="G566" s="4"/>
      <c r="H566" s="4"/>
      <c r="I566" s="4"/>
      <c r="K566" s="4"/>
      <c r="N566" s="4" t="s">
        <v>1020</v>
      </c>
      <c r="O566" s="4">
        <v>188</v>
      </c>
    </row>
    <row r="567" spans="1:15" ht="15.75" customHeight="1">
      <c r="A567" s="4" t="s">
        <v>1448</v>
      </c>
      <c r="B567" s="4" t="s">
        <v>1449</v>
      </c>
      <c r="C567" s="19" t="s">
        <v>9746</v>
      </c>
      <c r="D567" s="4"/>
      <c r="E567" s="4" t="str">
        <f t="shared" si="0"/>
        <v>3.1.26.4</v>
      </c>
      <c r="G567" s="4"/>
      <c r="H567" s="4"/>
      <c r="I567" s="4"/>
      <c r="K567" s="4"/>
      <c r="N567" s="4" t="s">
        <v>1024</v>
      </c>
      <c r="O567" s="4">
        <v>167</v>
      </c>
    </row>
    <row r="568" spans="1:15" ht="15.75" customHeight="1">
      <c r="A568" s="4" t="s">
        <v>5800</v>
      </c>
      <c r="B568" s="4" t="s">
        <v>5801</v>
      </c>
      <c r="C568" s="19" t="s">
        <v>9747</v>
      </c>
      <c r="D568" s="4"/>
      <c r="E568" s="4" t="str">
        <f t="shared" si="0"/>
        <v>3.1.26.4</v>
      </c>
      <c r="G568" s="4"/>
      <c r="H568" s="4"/>
      <c r="K568" s="4"/>
      <c r="N568" s="4" t="s">
        <v>1028</v>
      </c>
      <c r="O568" s="4">
        <v>360</v>
      </c>
    </row>
    <row r="569" spans="1:15" ht="15.75" customHeight="1">
      <c r="A569" s="4" t="s">
        <v>5132</v>
      </c>
      <c r="B569" s="4" t="s">
        <v>5133</v>
      </c>
      <c r="C569" s="19" t="s">
        <v>9748</v>
      </c>
      <c r="D569" s="4"/>
      <c r="E569" s="4" t="str">
        <f t="shared" si="0"/>
        <v>3.1.26.5</v>
      </c>
      <c r="G569" s="4"/>
      <c r="H569" s="4"/>
      <c r="K569" s="4"/>
    </row>
    <row r="570" spans="1:15" ht="15.75" customHeight="1">
      <c r="A570" s="4" t="s">
        <v>5927</v>
      </c>
      <c r="B570" s="4" t="s">
        <v>5928</v>
      </c>
      <c r="C570" s="19" t="s">
        <v>9749</v>
      </c>
      <c r="D570" s="4"/>
      <c r="E570" s="4" t="str">
        <f t="shared" si="0"/>
        <v>3.1.26.8</v>
      </c>
      <c r="G570" s="4"/>
      <c r="H570" s="4"/>
      <c r="K570" s="4"/>
      <c r="N570" s="4" t="s">
        <v>1032</v>
      </c>
      <c r="O570" s="4">
        <v>734</v>
      </c>
    </row>
    <row r="571" spans="1:15" ht="15.75" customHeight="1">
      <c r="A571" s="4" t="s">
        <v>2928</v>
      </c>
      <c r="B571" s="4" t="s">
        <v>2929</v>
      </c>
      <c r="C571" s="19" t="s">
        <v>9750</v>
      </c>
      <c r="D571" s="4"/>
      <c r="E571" s="4" t="str">
        <f t="shared" si="0"/>
        <v>3.1.3.11</v>
      </c>
      <c r="F571" s="4" t="str">
        <f>$P$3&amp;"R00762"</f>
        <v>R00762</v>
      </c>
      <c r="G571" s="22" t="s">
        <v>9751</v>
      </c>
      <c r="H571" s="22" t="s">
        <v>9752</v>
      </c>
      <c r="I571" s="4"/>
      <c r="K571" s="4"/>
      <c r="N571" s="4" t="s">
        <v>1060</v>
      </c>
      <c r="O571" s="4">
        <v>445</v>
      </c>
    </row>
    <row r="572" spans="1:15" ht="15.75" customHeight="1">
      <c r="A572" s="4" t="s">
        <v>2928</v>
      </c>
      <c r="B572" s="4" t="s">
        <v>2929</v>
      </c>
      <c r="C572" s="19" t="s">
        <v>9753</v>
      </c>
      <c r="D572" s="4"/>
      <c r="E572" s="4" t="str">
        <f t="shared" si="0"/>
        <v>3.1.3.11</v>
      </c>
      <c r="F572" s="4" t="str">
        <f>$P$3&amp;"R04780"</f>
        <v>R04780</v>
      </c>
      <c r="G572" s="22" t="s">
        <v>9754</v>
      </c>
      <c r="H572" s="22" t="s">
        <v>9755</v>
      </c>
      <c r="I572" s="4"/>
      <c r="K572" s="4"/>
      <c r="N572" s="4" t="s">
        <v>1060</v>
      </c>
      <c r="O572" s="4">
        <v>445</v>
      </c>
    </row>
    <row r="573" spans="1:15" ht="15.75" customHeight="1">
      <c r="A573" s="4" t="s">
        <v>2928</v>
      </c>
      <c r="B573" s="4" t="s">
        <v>2929</v>
      </c>
      <c r="C573" s="19" t="s">
        <v>9756</v>
      </c>
      <c r="D573" s="4"/>
      <c r="E573" s="4" t="str">
        <f t="shared" si="0"/>
        <v>3.1.3.11</v>
      </c>
      <c r="F573" s="4" t="str">
        <f>$P$3&amp;"R01845"</f>
        <v>R01845</v>
      </c>
      <c r="G573" s="22" t="s">
        <v>9757</v>
      </c>
      <c r="H573" s="22" t="s">
        <v>9758</v>
      </c>
      <c r="I573" s="4"/>
      <c r="K573" s="4"/>
      <c r="N573" s="4" t="s">
        <v>1060</v>
      </c>
      <c r="O573" s="4">
        <v>445</v>
      </c>
    </row>
    <row r="574" spans="1:15" ht="15.75" customHeight="1">
      <c r="A574" s="4" t="s">
        <v>7140</v>
      </c>
      <c r="B574" s="4" t="s">
        <v>7141</v>
      </c>
      <c r="C574" s="19" t="s">
        <v>9759</v>
      </c>
      <c r="D574" s="4"/>
      <c r="E574" s="4" t="str">
        <f t="shared" si="0"/>
        <v>3.1.3.27</v>
      </c>
      <c r="F574" s="4" t="str">
        <f>$P$3&amp;"R02029"</f>
        <v>R02029</v>
      </c>
      <c r="G574" s="22" t="s">
        <v>9760</v>
      </c>
      <c r="H574" s="22" t="s">
        <v>9761</v>
      </c>
      <c r="I574" s="4"/>
      <c r="K574" s="4"/>
      <c r="N574" s="4" t="s">
        <v>1064</v>
      </c>
      <c r="O574" s="4">
        <v>416</v>
      </c>
    </row>
    <row r="575" spans="1:15" ht="15.75" customHeight="1">
      <c r="A575" s="4" t="s">
        <v>7106</v>
      </c>
      <c r="B575" s="4" t="s">
        <v>7107</v>
      </c>
      <c r="C575" s="19" t="s">
        <v>9762</v>
      </c>
      <c r="D575" s="4"/>
      <c r="E575" s="4" t="str">
        <f t="shared" si="0"/>
        <v>3.1.3.5</v>
      </c>
      <c r="F575" s="4" t="str">
        <f>$P$3&amp;"R07297"</f>
        <v>R07297</v>
      </c>
      <c r="G575" s="22" t="s">
        <v>9763</v>
      </c>
      <c r="H575" s="22" t="s">
        <v>9764</v>
      </c>
      <c r="I575" s="4"/>
      <c r="K575" s="4"/>
      <c r="N575" s="4" t="s">
        <v>1068</v>
      </c>
      <c r="O575" s="4">
        <v>198</v>
      </c>
    </row>
    <row r="576" spans="1:15" ht="15.75" customHeight="1">
      <c r="A576" s="4" t="s">
        <v>7106</v>
      </c>
      <c r="B576" s="4" t="s">
        <v>7107</v>
      </c>
      <c r="C576" s="19" t="s">
        <v>9765</v>
      </c>
      <c r="D576" s="4"/>
      <c r="E576" s="4" t="str">
        <f t="shared" si="0"/>
        <v>3.1.3.5</v>
      </c>
      <c r="F576" s="4" t="str">
        <f>$P$3&amp;"R00183"</f>
        <v>R00183</v>
      </c>
      <c r="G576" s="22" t="s">
        <v>9766</v>
      </c>
      <c r="H576" s="22" t="s">
        <v>9767</v>
      </c>
      <c r="I576" s="4"/>
      <c r="K576" s="4"/>
      <c r="N576" s="4" t="s">
        <v>1068</v>
      </c>
      <c r="O576" s="4">
        <v>198</v>
      </c>
    </row>
    <row r="577" spans="1:15" ht="15.75" customHeight="1">
      <c r="A577" s="4" t="s">
        <v>7106</v>
      </c>
      <c r="B577" s="4" t="s">
        <v>7107</v>
      </c>
      <c r="C577" s="19" t="s">
        <v>9768</v>
      </c>
      <c r="D577" s="4"/>
      <c r="E577" s="4" t="str">
        <f t="shared" si="0"/>
        <v>3.1.3.5</v>
      </c>
      <c r="F577" s="4" t="str">
        <f>$P$3&amp;"R00511"</f>
        <v>R00511</v>
      </c>
      <c r="G577" s="22" t="s">
        <v>9769</v>
      </c>
      <c r="H577" s="22" t="s">
        <v>9770</v>
      </c>
      <c r="I577" s="4"/>
      <c r="K577" s="4"/>
      <c r="N577" s="4" t="s">
        <v>1068</v>
      </c>
      <c r="O577" s="4">
        <v>198</v>
      </c>
    </row>
    <row r="578" spans="1:15" ht="15.75" customHeight="1">
      <c r="A578" s="4" t="s">
        <v>7106</v>
      </c>
      <c r="B578" s="4" t="s">
        <v>7107</v>
      </c>
      <c r="C578" s="19" t="s">
        <v>9771</v>
      </c>
      <c r="D578" s="4"/>
      <c r="E578" s="4" t="str">
        <f t="shared" si="0"/>
        <v>3.1.3.5</v>
      </c>
      <c r="F578" s="4" t="str">
        <f>$P$3&amp;"R00963"</f>
        <v>R00963</v>
      </c>
      <c r="G578" s="22" t="s">
        <v>9772</v>
      </c>
      <c r="H578" s="22" t="s">
        <v>9773</v>
      </c>
      <c r="I578" s="4"/>
      <c r="K578" s="4"/>
      <c r="N578" s="4" t="s">
        <v>1068</v>
      </c>
      <c r="O578" s="4">
        <v>198</v>
      </c>
    </row>
    <row r="579" spans="1:15" ht="15.75" customHeight="1">
      <c r="A579" s="4" t="s">
        <v>7106</v>
      </c>
      <c r="B579" s="4" t="s">
        <v>7107</v>
      </c>
      <c r="C579" s="19" t="s">
        <v>9774</v>
      </c>
      <c r="D579" s="4"/>
      <c r="E579" s="4" t="str">
        <f t="shared" si="0"/>
        <v>3.1.3.5</v>
      </c>
      <c r="F579" s="4" t="str">
        <f>$P$3&amp;"R01126"</f>
        <v>R01126</v>
      </c>
      <c r="G579" s="22" t="s">
        <v>9775</v>
      </c>
      <c r="H579" s="22" t="s">
        <v>9776</v>
      </c>
      <c r="I579" s="4"/>
      <c r="K579" s="4"/>
      <c r="N579" s="4" t="s">
        <v>1068</v>
      </c>
      <c r="O579" s="4">
        <v>198</v>
      </c>
    </row>
    <row r="580" spans="1:15" ht="15.75" customHeight="1">
      <c r="A580" s="4" t="s">
        <v>7106</v>
      </c>
      <c r="B580" s="4" t="s">
        <v>7107</v>
      </c>
      <c r="C580" s="19" t="s">
        <v>9777</v>
      </c>
      <c r="D580" s="4"/>
      <c r="E580" s="4" t="str">
        <f t="shared" si="0"/>
        <v>3.1.3.5</v>
      </c>
      <c r="F580" s="4" t="str">
        <f>$P$3&amp;"R01227"</f>
        <v>R01227</v>
      </c>
      <c r="G580" s="22" t="s">
        <v>9778</v>
      </c>
      <c r="H580" s="22" t="s">
        <v>9779</v>
      </c>
      <c r="I580" s="4"/>
      <c r="K580" s="4"/>
      <c r="N580" s="4" t="s">
        <v>1068</v>
      </c>
      <c r="O580" s="4">
        <v>198</v>
      </c>
    </row>
    <row r="581" spans="1:15" ht="15.75" customHeight="1">
      <c r="A581" s="4" t="s">
        <v>7106</v>
      </c>
      <c r="B581" s="4" t="s">
        <v>7107</v>
      </c>
      <c r="C581" s="19" t="s">
        <v>9780</v>
      </c>
      <c r="D581" s="4"/>
      <c r="E581" s="4" t="str">
        <f t="shared" si="0"/>
        <v>3.1.3.5</v>
      </c>
      <c r="F581" s="4" t="str">
        <f>$P$3&amp;"R02323"</f>
        <v>R02323</v>
      </c>
      <c r="G581" s="22" t="s">
        <v>9781</v>
      </c>
      <c r="H581" s="22" t="s">
        <v>9782</v>
      </c>
      <c r="I581" s="4"/>
      <c r="K581" s="4"/>
      <c r="N581" s="4" t="s">
        <v>1068</v>
      </c>
      <c r="O581" s="4">
        <v>198</v>
      </c>
    </row>
    <row r="582" spans="1:15" ht="15.75" customHeight="1">
      <c r="A582" s="4" t="s">
        <v>7106</v>
      </c>
      <c r="B582" s="4" t="s">
        <v>7107</v>
      </c>
      <c r="C582" s="19" t="s">
        <v>9783</v>
      </c>
      <c r="D582" s="4"/>
      <c r="E582" s="4" t="str">
        <f t="shared" si="0"/>
        <v>3.1.3.5</v>
      </c>
      <c r="F582" s="4" t="str">
        <f>$P$3&amp;"R02719"</f>
        <v>R02719</v>
      </c>
      <c r="G582" s="22" t="s">
        <v>9784</v>
      </c>
      <c r="H582" s="22" t="s">
        <v>9785</v>
      </c>
      <c r="I582" s="4"/>
      <c r="K582" s="4"/>
      <c r="N582" s="4" t="s">
        <v>1068</v>
      </c>
      <c r="O582" s="4">
        <v>198</v>
      </c>
    </row>
    <row r="583" spans="1:15" ht="15.75" customHeight="1">
      <c r="A583" s="4" t="s">
        <v>7106</v>
      </c>
      <c r="B583" s="4" t="s">
        <v>7107</v>
      </c>
      <c r="C583" s="19" t="s">
        <v>9786</v>
      </c>
      <c r="D583" s="4"/>
      <c r="E583" s="4" t="str">
        <f t="shared" si="0"/>
        <v>3.1.3.5</v>
      </c>
      <c r="F583" s="4" t="str">
        <f>$P$3&amp;"R03346"</f>
        <v>R03346</v>
      </c>
      <c r="G583" s="22" t="s">
        <v>9787</v>
      </c>
      <c r="H583" s="22" t="s">
        <v>9788</v>
      </c>
      <c r="I583" s="4"/>
      <c r="K583" s="4"/>
      <c r="N583" s="4" t="s">
        <v>1068</v>
      </c>
      <c r="O583" s="4">
        <v>198</v>
      </c>
    </row>
    <row r="584" spans="1:15" ht="15.75" customHeight="1">
      <c r="A584" s="4" t="s">
        <v>7106</v>
      </c>
      <c r="B584" s="4" t="s">
        <v>7107</v>
      </c>
      <c r="C584" s="19" t="s">
        <v>9789</v>
      </c>
      <c r="D584" s="4"/>
      <c r="E584" s="4" t="str">
        <f t="shared" si="0"/>
        <v>3.1.3.5</v>
      </c>
      <c r="F584" s="4" t="str">
        <f>$P$3&amp;"R01569"</f>
        <v>R01569</v>
      </c>
      <c r="G584" s="22" t="s">
        <v>9790</v>
      </c>
      <c r="H584" s="22" t="s">
        <v>9791</v>
      </c>
      <c r="I584" s="4"/>
      <c r="K584" s="4"/>
      <c r="N584" s="4" t="s">
        <v>1068</v>
      </c>
      <c r="O584" s="4">
        <v>198</v>
      </c>
    </row>
    <row r="585" spans="1:15" ht="15.75" customHeight="1">
      <c r="A585" s="4" t="s">
        <v>7106</v>
      </c>
      <c r="B585" s="4" t="s">
        <v>7107</v>
      </c>
      <c r="C585" s="19" t="s">
        <v>9792</v>
      </c>
      <c r="D585" s="4"/>
      <c r="E585" s="4" t="str">
        <f t="shared" si="0"/>
        <v>3.1.3.5</v>
      </c>
      <c r="F585" s="4" t="str">
        <f>$P$3&amp;"R01664"</f>
        <v>R01664</v>
      </c>
      <c r="G585" s="22" t="s">
        <v>9793</v>
      </c>
      <c r="H585" s="22" t="s">
        <v>9794</v>
      </c>
      <c r="I585" s="4"/>
      <c r="K585" s="4"/>
      <c r="N585" s="4" t="s">
        <v>1068</v>
      </c>
      <c r="O585" s="4">
        <v>198</v>
      </c>
    </row>
    <row r="586" spans="1:15" ht="15.75" customHeight="1">
      <c r="A586" s="4" t="s">
        <v>7106</v>
      </c>
      <c r="B586" s="4" t="s">
        <v>7107</v>
      </c>
      <c r="C586" s="19" t="s">
        <v>9795</v>
      </c>
      <c r="D586" s="4"/>
      <c r="E586" s="4" t="str">
        <f t="shared" si="0"/>
        <v>3.1.3.5</v>
      </c>
      <c r="F586" s="4" t="str">
        <f>$P$3&amp;"R01968"</f>
        <v>R01968</v>
      </c>
      <c r="G586" s="22" t="s">
        <v>9796</v>
      </c>
      <c r="H586" s="22" t="s">
        <v>9797</v>
      </c>
      <c r="I586" s="4"/>
      <c r="K586" s="4"/>
      <c r="N586" s="4" t="s">
        <v>1068</v>
      </c>
      <c r="O586" s="4">
        <v>198</v>
      </c>
    </row>
    <row r="587" spans="1:15" ht="15.75" customHeight="1">
      <c r="A587" s="4" t="s">
        <v>7106</v>
      </c>
      <c r="B587" s="4" t="s">
        <v>7107</v>
      </c>
      <c r="C587" s="19" t="s">
        <v>9798</v>
      </c>
      <c r="D587" s="4"/>
      <c r="E587" s="4" t="str">
        <f t="shared" si="0"/>
        <v>3.1.3.5</v>
      </c>
      <c r="F587" s="4" t="str">
        <f>$P$3&amp;"R02088"</f>
        <v>R02088</v>
      </c>
      <c r="G587" s="22" t="s">
        <v>9799</v>
      </c>
      <c r="H587" s="22" t="s">
        <v>9800</v>
      </c>
      <c r="I587" s="4"/>
      <c r="K587" s="4"/>
      <c r="N587" s="4" t="s">
        <v>1068</v>
      </c>
      <c r="O587" s="4">
        <v>198</v>
      </c>
    </row>
    <row r="588" spans="1:15" ht="15.75" customHeight="1">
      <c r="A588" s="4" t="s">
        <v>7106</v>
      </c>
      <c r="B588" s="4" t="s">
        <v>7107</v>
      </c>
      <c r="C588" s="19" t="s">
        <v>9801</v>
      </c>
      <c r="D588" s="4"/>
      <c r="E588" s="4" t="str">
        <f t="shared" si="0"/>
        <v>3.1.3.5</v>
      </c>
      <c r="F588" s="4" t="str">
        <f>$P$3&amp;"R02102"</f>
        <v>R02102</v>
      </c>
      <c r="G588" s="22" t="s">
        <v>9802</v>
      </c>
      <c r="H588" s="22" t="s">
        <v>9803</v>
      </c>
      <c r="I588" s="4"/>
      <c r="K588" s="4"/>
      <c r="N588" s="4" t="s">
        <v>1068</v>
      </c>
      <c r="O588" s="4">
        <v>198</v>
      </c>
    </row>
    <row r="589" spans="1:15" ht="15.75" customHeight="1">
      <c r="A589" s="4" t="s">
        <v>7106</v>
      </c>
      <c r="B589" s="4" t="s">
        <v>7107</v>
      </c>
      <c r="C589" s="19" t="s">
        <v>9804</v>
      </c>
      <c r="D589" s="4"/>
      <c r="E589" s="4" t="str">
        <f t="shared" si="0"/>
        <v>3.1.3.5</v>
      </c>
      <c r="F589" s="4" t="str">
        <f>$P$3&amp;"R12958"</f>
        <v>R12958</v>
      </c>
      <c r="G589" s="22" t="s">
        <v>9805</v>
      </c>
      <c r="H589" s="22" t="s">
        <v>9806</v>
      </c>
      <c r="I589" s="4"/>
      <c r="K589" s="4"/>
      <c r="N589" s="4" t="s">
        <v>1068</v>
      </c>
      <c r="O589" s="4">
        <v>198</v>
      </c>
    </row>
    <row r="590" spans="1:15" ht="15.75" customHeight="1">
      <c r="A590" s="4" t="s">
        <v>5439</v>
      </c>
      <c r="B590" s="4" t="s">
        <v>5440</v>
      </c>
      <c r="C590" s="19" t="s">
        <v>9807</v>
      </c>
      <c r="D590" s="4"/>
      <c r="E590" s="4" t="str">
        <f t="shared" si="0"/>
        <v>3.1.3.7</v>
      </c>
      <c r="F590" s="4" t="str">
        <f>$P$3&amp;"R00188"</f>
        <v>R00188</v>
      </c>
      <c r="G590" s="22" t="s">
        <v>9808</v>
      </c>
      <c r="H590" s="22" t="s">
        <v>9809</v>
      </c>
      <c r="K590" s="4"/>
      <c r="N590" s="4" t="s">
        <v>1072</v>
      </c>
      <c r="O590" s="4">
        <v>96</v>
      </c>
    </row>
    <row r="591" spans="1:15" ht="15.75" customHeight="1">
      <c r="A591" s="4" t="s">
        <v>5439</v>
      </c>
      <c r="B591" s="4" t="s">
        <v>5440</v>
      </c>
      <c r="C591" s="19" t="s">
        <v>9810</v>
      </c>
      <c r="D591" s="4"/>
      <c r="E591" s="4" t="str">
        <f t="shared" si="0"/>
        <v>3.1.3.7</v>
      </c>
      <c r="F591" s="4" t="str">
        <f>$P$3&amp;"R00508"</f>
        <v>R00508</v>
      </c>
      <c r="G591" s="22" t="s">
        <v>9811</v>
      </c>
      <c r="H591" s="22" t="s">
        <v>9812</v>
      </c>
      <c r="K591" s="4"/>
      <c r="N591" s="4" t="s">
        <v>1072</v>
      </c>
      <c r="O591" s="4">
        <v>96</v>
      </c>
    </row>
    <row r="592" spans="1:15" ht="15.75" customHeight="1">
      <c r="A592" s="4" t="s">
        <v>7011</v>
      </c>
      <c r="B592" s="4" t="s">
        <v>7012</v>
      </c>
      <c r="C592" s="19" t="s">
        <v>9813</v>
      </c>
      <c r="D592" s="4"/>
      <c r="E592" s="4" t="str">
        <f t="shared" si="0"/>
        <v>3.1.3.7</v>
      </c>
      <c r="F592" s="4" t="str">
        <f>$P$3&amp;"R00188"</f>
        <v>R00188</v>
      </c>
      <c r="G592" s="22" t="s">
        <v>9814</v>
      </c>
      <c r="H592" s="22" t="s">
        <v>9815</v>
      </c>
      <c r="K592" s="4"/>
      <c r="N592" s="4" t="s">
        <v>1075</v>
      </c>
      <c r="O592" s="4">
        <v>53</v>
      </c>
    </row>
    <row r="593" spans="1:15" ht="15.75" customHeight="1">
      <c r="A593" s="4" t="s">
        <v>7011</v>
      </c>
      <c r="B593" s="4" t="s">
        <v>7012</v>
      </c>
      <c r="C593" s="19" t="s">
        <v>9816</v>
      </c>
      <c r="D593" s="4"/>
      <c r="E593" s="4" t="str">
        <f t="shared" si="0"/>
        <v>3.1.3.7</v>
      </c>
      <c r="F593" s="4" t="str">
        <f>$P$3&amp;"R00508"</f>
        <v>R00508</v>
      </c>
      <c r="G593" s="22" t="s">
        <v>9817</v>
      </c>
      <c r="H593" s="22" t="s">
        <v>9818</v>
      </c>
      <c r="K593" s="4"/>
      <c r="N593" s="4" t="s">
        <v>1075</v>
      </c>
      <c r="O593" s="4">
        <v>53</v>
      </c>
    </row>
    <row r="594" spans="1:15" ht="15.75" customHeight="1">
      <c r="A594" s="4" t="s">
        <v>4239</v>
      </c>
      <c r="B594" s="4" t="s">
        <v>4240</v>
      </c>
      <c r="C594" s="19" t="s">
        <v>9819</v>
      </c>
      <c r="D594" s="4"/>
      <c r="E594" s="4" t="str">
        <f t="shared" si="0"/>
        <v>3.1.6.1</v>
      </c>
      <c r="F594" s="4" t="str">
        <f>$P$3&amp;"R01243"</f>
        <v>R01243</v>
      </c>
      <c r="G594" s="22" t="s">
        <v>9820</v>
      </c>
      <c r="H594" s="22" t="s">
        <v>9821</v>
      </c>
      <c r="K594" s="4"/>
      <c r="N594" s="4" t="s">
        <v>1078</v>
      </c>
      <c r="O594" s="4">
        <v>485</v>
      </c>
    </row>
    <row r="595" spans="1:15" ht="15.75" customHeight="1">
      <c r="A595" s="4" t="s">
        <v>4239</v>
      </c>
      <c r="B595" s="4" t="s">
        <v>4240</v>
      </c>
      <c r="C595" s="19" t="s">
        <v>9822</v>
      </c>
      <c r="D595" s="4"/>
      <c r="E595" s="4" t="str">
        <f t="shared" si="0"/>
        <v>3.1.6.1</v>
      </c>
      <c r="F595" s="4" t="str">
        <f>$P$3&amp;"R03980"</f>
        <v>R03980</v>
      </c>
      <c r="G595" s="22" t="s">
        <v>9823</v>
      </c>
      <c r="H595" s="22" t="s">
        <v>9824</v>
      </c>
      <c r="K595" s="4"/>
      <c r="N595" s="4" t="s">
        <v>1078</v>
      </c>
      <c r="O595" s="4">
        <v>485</v>
      </c>
    </row>
    <row r="596" spans="1:15" ht="15.75" customHeight="1">
      <c r="A596" s="4" t="s">
        <v>4239</v>
      </c>
      <c r="B596" s="4" t="s">
        <v>4240</v>
      </c>
      <c r="C596" s="19" t="s">
        <v>9825</v>
      </c>
      <c r="D596" s="4"/>
      <c r="E596" s="4" t="str">
        <f t="shared" si="0"/>
        <v>3.1.6.1</v>
      </c>
      <c r="F596" s="4" t="str">
        <f>$P$3&amp;"R04856"</f>
        <v>R04856</v>
      </c>
      <c r="G596" s="22" t="s">
        <v>9826</v>
      </c>
      <c r="H596" s="22" t="s">
        <v>9827</v>
      </c>
      <c r="K596" s="4"/>
      <c r="N596" s="4" t="s">
        <v>1078</v>
      </c>
      <c r="O596" s="4">
        <v>485</v>
      </c>
    </row>
    <row r="597" spans="1:15" ht="15.75" customHeight="1">
      <c r="A597" s="4" t="s">
        <v>4239</v>
      </c>
      <c r="B597" s="4" t="s">
        <v>4240</v>
      </c>
      <c r="C597" s="19" t="s">
        <v>9828</v>
      </c>
      <c r="D597" s="4"/>
      <c r="E597" s="4" t="str">
        <f t="shared" si="0"/>
        <v>3.1.6.1</v>
      </c>
      <c r="F597" s="4" t="str">
        <f>$P$3&amp;"R06280"</f>
        <v>R06280</v>
      </c>
      <c r="G597" s="22" t="s">
        <v>9829</v>
      </c>
      <c r="H597" s="22" t="s">
        <v>9830</v>
      </c>
      <c r="K597" s="4"/>
      <c r="N597" s="4" t="s">
        <v>1078</v>
      </c>
      <c r="O597" s="4">
        <v>485</v>
      </c>
    </row>
    <row r="598" spans="1:15" ht="15.75" customHeight="1">
      <c r="A598" s="4" t="s">
        <v>7615</v>
      </c>
      <c r="B598" s="4" t="s">
        <v>7616</v>
      </c>
      <c r="C598" s="19" t="s">
        <v>9831</v>
      </c>
      <c r="D598" s="4"/>
      <c r="E598" s="4" t="str">
        <f t="shared" si="0"/>
        <v>3.2.1.20</v>
      </c>
      <c r="F598" s="4" t="str">
        <f>$P$3&amp;"R00028"</f>
        <v>R00028</v>
      </c>
      <c r="G598" s="22" t="s">
        <v>9832</v>
      </c>
      <c r="H598" s="27" t="s">
        <v>9833</v>
      </c>
      <c r="K598" s="4"/>
      <c r="N598" s="4" t="s">
        <v>1094</v>
      </c>
      <c r="O598" s="4">
        <v>249</v>
      </c>
    </row>
    <row r="599" spans="1:15" ht="15.75" customHeight="1">
      <c r="A599" s="4" t="s">
        <v>7615</v>
      </c>
      <c r="B599" s="4" t="s">
        <v>7616</v>
      </c>
      <c r="C599" s="19" t="s">
        <v>9834</v>
      </c>
      <c r="D599" s="4"/>
      <c r="E599" s="4" t="str">
        <f t="shared" si="0"/>
        <v>3.2.1.20</v>
      </c>
      <c r="F599" s="4" t="str">
        <f>$P$3&amp;"R00801"</f>
        <v>R00801</v>
      </c>
      <c r="G599" s="22" t="s">
        <v>9835</v>
      </c>
      <c r="H599" s="22" t="s">
        <v>9836</v>
      </c>
      <c r="K599" s="4"/>
      <c r="N599" s="4" t="s">
        <v>1094</v>
      </c>
      <c r="O599" s="4">
        <v>249</v>
      </c>
    </row>
    <row r="600" spans="1:15" ht="15.75" customHeight="1">
      <c r="A600" s="4" t="s">
        <v>7615</v>
      </c>
      <c r="B600" s="4" t="s">
        <v>7616</v>
      </c>
      <c r="C600" s="19" t="s">
        <v>9837</v>
      </c>
      <c r="D600" s="4"/>
      <c r="E600" s="4" t="str">
        <f t="shared" si="0"/>
        <v>3.2.1.20</v>
      </c>
      <c r="F600" s="4" t="str">
        <f>$P$3&amp;"R00802"</f>
        <v>R00802</v>
      </c>
      <c r="G600" s="22" t="s">
        <v>9838</v>
      </c>
      <c r="H600" s="22" t="s">
        <v>9839</v>
      </c>
      <c r="K600" s="4"/>
      <c r="N600" s="4" t="s">
        <v>1094</v>
      </c>
      <c r="O600" s="4">
        <v>249</v>
      </c>
    </row>
    <row r="601" spans="1:15" ht="15.75" customHeight="1">
      <c r="A601" s="4" t="s">
        <v>7615</v>
      </c>
      <c r="B601" s="4" t="s">
        <v>7616</v>
      </c>
      <c r="C601" s="19" t="s">
        <v>9840</v>
      </c>
      <c r="D601" s="4"/>
      <c r="E601" s="4" t="str">
        <f t="shared" si="0"/>
        <v>3.2.1.20</v>
      </c>
      <c r="F601" s="4" t="str">
        <f>$P$3&amp;"R06084"</f>
        <v>R06084</v>
      </c>
      <c r="G601" s="22" t="s">
        <v>9841</v>
      </c>
      <c r="H601" s="27" t="s">
        <v>9842</v>
      </c>
      <c r="K601" s="4"/>
      <c r="N601" s="4" t="s">
        <v>1094</v>
      </c>
      <c r="O601" s="4">
        <v>249</v>
      </c>
    </row>
    <row r="602" spans="1:15" ht="15.75" customHeight="1">
      <c r="A602" s="4" t="s">
        <v>7615</v>
      </c>
      <c r="B602" s="4" t="s">
        <v>7616</v>
      </c>
      <c r="C602" s="19" t="s">
        <v>9843</v>
      </c>
      <c r="D602" s="4"/>
      <c r="E602" s="4" t="str">
        <f t="shared" si="0"/>
        <v>3.2.1.20</v>
      </c>
      <c r="F602" s="4" t="str">
        <f>$P$3&amp;"R06087"</f>
        <v>R06087</v>
      </c>
      <c r="G602" s="22" t="s">
        <v>9844</v>
      </c>
      <c r="H602" s="22" t="s">
        <v>9845</v>
      </c>
      <c r="K602" s="4"/>
      <c r="N602" s="4" t="s">
        <v>1094</v>
      </c>
      <c r="O602" s="4">
        <v>249</v>
      </c>
    </row>
    <row r="603" spans="1:15" ht="15.75" customHeight="1">
      <c r="A603" s="4" t="s">
        <v>7615</v>
      </c>
      <c r="B603" s="4" t="s">
        <v>7616</v>
      </c>
      <c r="C603" s="19" t="s">
        <v>9846</v>
      </c>
      <c r="D603" s="4"/>
      <c r="E603" s="4" t="str">
        <f t="shared" si="0"/>
        <v>3.2.1.20</v>
      </c>
      <c r="F603" s="4" t="str">
        <f>$P$3&amp;"R06088"</f>
        <v>R06088</v>
      </c>
      <c r="G603" s="22" t="s">
        <v>9847</v>
      </c>
      <c r="H603" s="22" t="s">
        <v>9848</v>
      </c>
      <c r="K603" s="4"/>
      <c r="N603" s="4" t="s">
        <v>1094</v>
      </c>
      <c r="O603" s="4">
        <v>249</v>
      </c>
    </row>
    <row r="604" spans="1:15" ht="15.75" customHeight="1">
      <c r="A604" s="4" t="s">
        <v>181</v>
      </c>
      <c r="B604" s="4" t="s">
        <v>182</v>
      </c>
      <c r="C604" s="19" t="s">
        <v>9849</v>
      </c>
      <c r="D604" s="4"/>
      <c r="E604" s="4" t="str">
        <f t="shared" si="0"/>
        <v>3.2.1.22</v>
      </c>
      <c r="F604" s="4" t="str">
        <f>$P$3&amp;"R01101"</f>
        <v>R01101</v>
      </c>
      <c r="G604" s="22" t="s">
        <v>9850</v>
      </c>
      <c r="H604" s="22" t="s">
        <v>9851</v>
      </c>
      <c r="I604" s="4"/>
      <c r="K604" s="4"/>
      <c r="N604" s="4" t="s">
        <v>1097</v>
      </c>
      <c r="O604" s="4">
        <v>428</v>
      </c>
    </row>
    <row r="605" spans="1:15" ht="15.75" customHeight="1">
      <c r="A605" s="4" t="s">
        <v>181</v>
      </c>
      <c r="B605" s="4" t="s">
        <v>182</v>
      </c>
      <c r="C605" s="19" t="s">
        <v>9852</v>
      </c>
      <c r="D605" s="4"/>
      <c r="E605" s="4" t="str">
        <f t="shared" si="0"/>
        <v>3.2.1.22</v>
      </c>
      <c r="F605" s="4" t="str">
        <f>$P$3&amp;"R01103"</f>
        <v>R01103</v>
      </c>
      <c r="G605" s="22" t="s">
        <v>9853</v>
      </c>
      <c r="H605" s="22" t="s">
        <v>9854</v>
      </c>
      <c r="I605" s="4"/>
      <c r="K605" s="4"/>
      <c r="N605" s="4" t="s">
        <v>1097</v>
      </c>
      <c r="O605" s="4">
        <v>428</v>
      </c>
    </row>
    <row r="606" spans="1:15" ht="15.75" customHeight="1">
      <c r="A606" s="4" t="s">
        <v>181</v>
      </c>
      <c r="B606" s="4" t="s">
        <v>182</v>
      </c>
      <c r="C606" s="19" t="s">
        <v>9855</v>
      </c>
      <c r="D606" s="4"/>
      <c r="E606" s="4" t="str">
        <f t="shared" ref="E606:E860" si="7">$P$2&amp;C606</f>
        <v>3.2.1.22</v>
      </c>
      <c r="F606" s="4" t="str">
        <f>$P$3&amp;"R01104"</f>
        <v>R01104</v>
      </c>
      <c r="G606" s="22" t="s">
        <v>9856</v>
      </c>
      <c r="H606" s="22" t="s">
        <v>9857</v>
      </c>
      <c r="I606" s="4"/>
      <c r="K606" s="4"/>
      <c r="N606" s="4" t="s">
        <v>1097</v>
      </c>
      <c r="O606" s="4">
        <v>428</v>
      </c>
    </row>
    <row r="607" spans="1:15" ht="15.75" customHeight="1">
      <c r="A607" s="4" t="s">
        <v>181</v>
      </c>
      <c r="B607" s="4" t="s">
        <v>182</v>
      </c>
      <c r="C607" s="19" t="s">
        <v>9858</v>
      </c>
      <c r="D607" s="4"/>
      <c r="E607" s="4" t="str">
        <f t="shared" si="7"/>
        <v>3.2.1.22</v>
      </c>
      <c r="F607" s="4" t="str">
        <f>$P$3&amp;"R01194"</f>
        <v>R01194</v>
      </c>
      <c r="G607" s="22" t="s">
        <v>9859</v>
      </c>
      <c r="H607" s="22" t="s">
        <v>9860</v>
      </c>
      <c r="I607" s="4"/>
      <c r="K607" s="4"/>
      <c r="N607" s="4" t="s">
        <v>1097</v>
      </c>
      <c r="O607" s="4">
        <v>428</v>
      </c>
    </row>
    <row r="608" spans="1:15" ht="15.75" customHeight="1">
      <c r="A608" s="4" t="s">
        <v>181</v>
      </c>
      <c r="B608" s="4" t="s">
        <v>182</v>
      </c>
      <c r="C608" s="19" t="s">
        <v>9861</v>
      </c>
      <c r="D608" s="4"/>
      <c r="E608" s="4" t="str">
        <f t="shared" si="7"/>
        <v>3.2.1.22</v>
      </c>
      <c r="F608" s="4" t="str">
        <f>$P$3&amp;"R01329"</f>
        <v>R01329</v>
      </c>
      <c r="G608" s="22" t="s">
        <v>9862</v>
      </c>
      <c r="H608" s="22" t="s">
        <v>9863</v>
      </c>
      <c r="I608" s="4"/>
      <c r="K608" s="4"/>
      <c r="N608" s="4" t="s">
        <v>1097</v>
      </c>
      <c r="O608" s="4">
        <v>428</v>
      </c>
    </row>
    <row r="609" spans="1:15" ht="15.75" customHeight="1">
      <c r="A609" s="4" t="s">
        <v>181</v>
      </c>
      <c r="B609" s="4" t="s">
        <v>182</v>
      </c>
      <c r="C609" s="19" t="s">
        <v>9864</v>
      </c>
      <c r="D609" s="4"/>
      <c r="E609" s="4" t="str">
        <f t="shared" si="7"/>
        <v>3.2.1.22</v>
      </c>
      <c r="F609" s="4" t="str">
        <f>$P$3&amp;"R02926"</f>
        <v>R02926</v>
      </c>
      <c r="G609" s="22" t="s">
        <v>9865</v>
      </c>
      <c r="H609" s="22" t="s">
        <v>9866</v>
      </c>
      <c r="I609" s="4"/>
      <c r="K609" s="4"/>
      <c r="N609" s="4" t="s">
        <v>1097</v>
      </c>
      <c r="O609" s="4">
        <v>428</v>
      </c>
    </row>
    <row r="610" spans="1:15" ht="15.75" customHeight="1">
      <c r="A610" s="4" t="s">
        <v>181</v>
      </c>
      <c r="B610" s="4" t="s">
        <v>182</v>
      </c>
      <c r="C610" s="19" t="s">
        <v>9867</v>
      </c>
      <c r="D610" s="4"/>
      <c r="E610" s="4" t="str">
        <f t="shared" si="7"/>
        <v>3.2.1.22</v>
      </c>
      <c r="F610" s="4" t="str">
        <f>$P$3&amp;"R03618"</f>
        <v>R03618</v>
      </c>
      <c r="G610" s="22" t="s">
        <v>9868</v>
      </c>
      <c r="H610" s="22" t="s">
        <v>9869</v>
      </c>
      <c r="I610" s="4"/>
      <c r="K610" s="4"/>
      <c r="N610" s="4" t="s">
        <v>1097</v>
      </c>
      <c r="O610" s="4">
        <v>428</v>
      </c>
    </row>
    <row r="611" spans="1:15" ht="15.75" customHeight="1">
      <c r="A611" s="4" t="s">
        <v>181</v>
      </c>
      <c r="B611" s="4" t="s">
        <v>182</v>
      </c>
      <c r="C611" s="19" t="s">
        <v>9870</v>
      </c>
      <c r="D611" s="4"/>
      <c r="E611" s="4" t="str">
        <f t="shared" si="7"/>
        <v>3.2.1.22</v>
      </c>
      <c r="F611" s="4" t="str">
        <f>$P$3&amp;"R03634"</f>
        <v>R03634</v>
      </c>
      <c r="G611" s="22" t="s">
        <v>9871</v>
      </c>
      <c r="H611" s="22" t="s">
        <v>9872</v>
      </c>
      <c r="I611" s="4"/>
      <c r="K611" s="4"/>
      <c r="N611" s="4" t="s">
        <v>1097</v>
      </c>
      <c r="O611" s="4">
        <v>428</v>
      </c>
    </row>
    <row r="612" spans="1:15" ht="15.75" customHeight="1">
      <c r="A612" s="4" t="s">
        <v>181</v>
      </c>
      <c r="B612" s="4" t="s">
        <v>182</v>
      </c>
      <c r="C612" s="19" t="s">
        <v>9873</v>
      </c>
      <c r="D612" s="4"/>
      <c r="E612" s="4" t="str">
        <f t="shared" si="7"/>
        <v>3.2.1.22</v>
      </c>
      <c r="F612" s="4" t="str">
        <f>$P$3&amp;"R04019"</f>
        <v>R04019</v>
      </c>
      <c r="G612" s="22" t="s">
        <v>9874</v>
      </c>
      <c r="H612" s="22" t="s">
        <v>9875</v>
      </c>
      <c r="I612" s="4"/>
      <c r="K612" s="4"/>
      <c r="N612" s="4" t="s">
        <v>1097</v>
      </c>
      <c r="O612" s="4">
        <v>428</v>
      </c>
    </row>
    <row r="613" spans="1:15" ht="15.75" customHeight="1">
      <c r="A613" s="4" t="s">
        <v>181</v>
      </c>
      <c r="B613" s="4" t="s">
        <v>182</v>
      </c>
      <c r="C613" s="19" t="s">
        <v>9876</v>
      </c>
      <c r="D613" s="4"/>
      <c r="E613" s="4" t="str">
        <f t="shared" si="7"/>
        <v>3.2.1.22</v>
      </c>
      <c r="F613" s="4" t="str">
        <f>$P$3&amp;"R04470"</f>
        <v>R04470</v>
      </c>
      <c r="G613" s="22" t="s">
        <v>9877</v>
      </c>
      <c r="H613" s="22" t="s">
        <v>9878</v>
      </c>
      <c r="I613" s="4"/>
      <c r="K613" s="4"/>
      <c r="N613" s="4" t="s">
        <v>1097</v>
      </c>
      <c r="O613" s="4">
        <v>428</v>
      </c>
    </row>
    <row r="614" spans="1:15" ht="15.75" customHeight="1">
      <c r="A614" s="4" t="s">
        <v>181</v>
      </c>
      <c r="B614" s="4" t="s">
        <v>182</v>
      </c>
      <c r="C614" s="19" t="s">
        <v>9879</v>
      </c>
      <c r="D614" s="4"/>
      <c r="E614" s="4" t="str">
        <f t="shared" si="7"/>
        <v>3.2.1.22</v>
      </c>
      <c r="F614" s="4" t="str">
        <f>$P$3&amp;"R05549"</f>
        <v>R05549</v>
      </c>
      <c r="G614" s="22" t="s">
        <v>9880</v>
      </c>
      <c r="H614" s="22" t="s">
        <v>9881</v>
      </c>
      <c r="I614" s="4"/>
      <c r="K614" s="4"/>
      <c r="N614" s="4" t="s">
        <v>1097</v>
      </c>
      <c r="O614" s="4">
        <v>428</v>
      </c>
    </row>
    <row r="615" spans="1:15" ht="15.75" customHeight="1">
      <c r="A615" s="4" t="s">
        <v>181</v>
      </c>
      <c r="B615" s="4" t="s">
        <v>182</v>
      </c>
      <c r="C615" s="19" t="s">
        <v>9882</v>
      </c>
      <c r="D615" s="4"/>
      <c r="E615" s="4" t="str">
        <f t="shared" si="7"/>
        <v>3.2.1.22</v>
      </c>
      <c r="F615" s="4" t="str">
        <f>$P$3&amp;"R05961"</f>
        <v>R05961</v>
      </c>
      <c r="G615" s="22" t="s">
        <v>9883</v>
      </c>
      <c r="H615" s="22" t="s">
        <v>9884</v>
      </c>
      <c r="I615" s="4"/>
      <c r="K615" s="4"/>
      <c r="N615" s="4" t="s">
        <v>1097</v>
      </c>
      <c r="O615" s="4">
        <v>428</v>
      </c>
    </row>
    <row r="616" spans="1:15" ht="15.75" customHeight="1">
      <c r="A616" s="4" t="s">
        <v>181</v>
      </c>
      <c r="B616" s="4" t="s">
        <v>182</v>
      </c>
      <c r="C616" s="19" t="s">
        <v>9885</v>
      </c>
      <c r="D616" s="4"/>
      <c r="E616" s="4" t="str">
        <f t="shared" si="7"/>
        <v>3.2.1.22</v>
      </c>
      <c r="F616" s="4" t="str">
        <f>$P$3&amp;"R06070"</f>
        <v>R06070</v>
      </c>
      <c r="G616" s="22" t="s">
        <v>9886</v>
      </c>
      <c r="H616" s="22" t="s">
        <v>9887</v>
      </c>
      <c r="I616" s="4"/>
      <c r="K616" s="4"/>
      <c r="N616" s="4" t="s">
        <v>1097</v>
      </c>
      <c r="O616" s="4">
        <v>428</v>
      </c>
    </row>
    <row r="617" spans="1:15" ht="15.75" customHeight="1">
      <c r="A617" s="4" t="s">
        <v>181</v>
      </c>
      <c r="B617" s="4" t="s">
        <v>182</v>
      </c>
      <c r="C617" s="19" t="s">
        <v>9888</v>
      </c>
      <c r="D617" s="4"/>
      <c r="E617" s="4" t="str">
        <f t="shared" si="7"/>
        <v>3.2.1.22</v>
      </c>
      <c r="F617" s="4" t="str">
        <f>$P$3&amp;"R06091"</f>
        <v>R06091</v>
      </c>
      <c r="G617" s="22" t="s">
        <v>9889</v>
      </c>
      <c r="H617" s="22" t="s">
        <v>9890</v>
      </c>
      <c r="I617" s="4"/>
      <c r="K617" s="4"/>
      <c r="N617" s="4" t="s">
        <v>1097</v>
      </c>
      <c r="O617" s="4">
        <v>428</v>
      </c>
    </row>
    <row r="618" spans="1:15" ht="15.75" customHeight="1">
      <c r="A618" s="4" t="s">
        <v>181</v>
      </c>
      <c r="B618" s="4" t="s">
        <v>182</v>
      </c>
      <c r="C618" s="19" t="s">
        <v>9891</v>
      </c>
      <c r="D618" s="4"/>
      <c r="E618" s="4" t="str">
        <f t="shared" si="7"/>
        <v>3.2.1.22</v>
      </c>
      <c r="F618" s="4" t="str">
        <f>$P$3&amp;"R06093"</f>
        <v>R06093</v>
      </c>
      <c r="G618" s="22" t="s">
        <v>9892</v>
      </c>
      <c r="H618" s="22" t="s">
        <v>9893</v>
      </c>
      <c r="I618" s="4"/>
      <c r="K618" s="4"/>
      <c r="N618" s="4" t="s">
        <v>1097</v>
      </c>
      <c r="O618" s="4">
        <v>428</v>
      </c>
    </row>
    <row r="619" spans="1:15" ht="15.75" customHeight="1">
      <c r="A619" s="4" t="s">
        <v>181</v>
      </c>
      <c r="B619" s="4" t="s">
        <v>182</v>
      </c>
      <c r="C619" s="19" t="s">
        <v>9894</v>
      </c>
      <c r="D619" s="4"/>
      <c r="E619" s="4" t="str">
        <f t="shared" si="7"/>
        <v>3.2.1.22</v>
      </c>
      <c r="F619" s="4" t="str">
        <f>$P$3&amp;"R06094"</f>
        <v>R06094</v>
      </c>
      <c r="G619" s="22" t="s">
        <v>9895</v>
      </c>
      <c r="H619" s="22" t="s">
        <v>9896</v>
      </c>
      <c r="I619" s="4"/>
      <c r="K619" s="4"/>
      <c r="N619" s="4" t="s">
        <v>1097</v>
      </c>
      <c r="O619" s="4">
        <v>428</v>
      </c>
    </row>
    <row r="620" spans="1:15" ht="15.75" customHeight="1">
      <c r="A620" s="4" t="s">
        <v>181</v>
      </c>
      <c r="B620" s="4" t="s">
        <v>182</v>
      </c>
      <c r="C620" s="19" t="s">
        <v>9897</v>
      </c>
      <c r="D620" s="4"/>
      <c r="E620" s="4" t="str">
        <f t="shared" si="7"/>
        <v>3.2.1.22</v>
      </c>
      <c r="F620" s="4" t="str">
        <f>$P$3&amp;"R06096"</f>
        <v>R06096</v>
      </c>
      <c r="G620" s="22" t="s">
        <v>9898</v>
      </c>
      <c r="H620" s="22" t="s">
        <v>9899</v>
      </c>
      <c r="I620" s="4"/>
      <c r="K620" s="4"/>
      <c r="N620" s="4" t="s">
        <v>1097</v>
      </c>
      <c r="O620" s="4">
        <v>428</v>
      </c>
    </row>
    <row r="621" spans="1:15" ht="15.75" customHeight="1">
      <c r="A621" s="4" t="s">
        <v>181</v>
      </c>
      <c r="B621" s="4" t="s">
        <v>182</v>
      </c>
      <c r="C621" s="19" t="s">
        <v>9900</v>
      </c>
      <c r="D621" s="4"/>
      <c r="E621" s="4" t="str">
        <f t="shared" si="7"/>
        <v>3.2.1.22</v>
      </c>
      <c r="F621" s="4" t="str">
        <f>$P$3&amp;"R06142"</f>
        <v>R06142</v>
      </c>
      <c r="G621" s="22" t="s">
        <v>9901</v>
      </c>
      <c r="H621" s="22" t="s">
        <v>9902</v>
      </c>
      <c r="I621" s="4"/>
      <c r="K621" s="4"/>
      <c r="N621" s="4" t="s">
        <v>1097</v>
      </c>
      <c r="O621" s="4">
        <v>428</v>
      </c>
    </row>
    <row r="622" spans="1:15" ht="15.75" customHeight="1">
      <c r="A622" s="4" t="s">
        <v>181</v>
      </c>
      <c r="B622" s="4" t="s">
        <v>182</v>
      </c>
      <c r="C622" s="19" t="s">
        <v>9903</v>
      </c>
      <c r="D622" s="4"/>
      <c r="E622" s="4" t="str">
        <f t="shared" si="7"/>
        <v>3.2.1.22</v>
      </c>
      <c r="F622" s="4" t="str">
        <f>$P$3&amp;"R06152"</f>
        <v>R06152</v>
      </c>
      <c r="G622" s="22" t="s">
        <v>9904</v>
      </c>
      <c r="H622" s="22" t="s">
        <v>9905</v>
      </c>
      <c r="I622" s="4"/>
      <c r="K622" s="4"/>
      <c r="N622" s="4" t="s">
        <v>1097</v>
      </c>
      <c r="O622" s="4">
        <v>428</v>
      </c>
    </row>
    <row r="623" spans="1:15" ht="15.75" customHeight="1">
      <c r="A623" s="4" t="s">
        <v>3035</v>
      </c>
      <c r="B623" s="4" t="s">
        <v>3036</v>
      </c>
      <c r="C623" s="19" t="s">
        <v>9906</v>
      </c>
      <c r="D623" s="4"/>
      <c r="E623" s="4" t="str">
        <f t="shared" si="7"/>
        <v>3.2.1.22</v>
      </c>
      <c r="F623" s="4" t="str">
        <f>$P$3&amp;"R01101"</f>
        <v>R01101</v>
      </c>
      <c r="G623" s="22" t="s">
        <v>9907</v>
      </c>
      <c r="H623" s="22" t="s">
        <v>9908</v>
      </c>
      <c r="K623" s="4"/>
      <c r="N623" s="4" t="s">
        <v>1101</v>
      </c>
      <c r="O623" s="4">
        <v>664</v>
      </c>
    </row>
    <row r="624" spans="1:15" ht="15.75" customHeight="1">
      <c r="A624" s="4" t="s">
        <v>3035</v>
      </c>
      <c r="B624" s="4" t="s">
        <v>3036</v>
      </c>
      <c r="C624" s="19" t="s">
        <v>9909</v>
      </c>
      <c r="D624" s="4"/>
      <c r="E624" s="4" t="str">
        <f t="shared" si="7"/>
        <v>3.2.1.22</v>
      </c>
      <c r="F624" s="4" t="str">
        <f>$P$3&amp;"R01103"</f>
        <v>R01103</v>
      </c>
      <c r="G624" s="22" t="s">
        <v>9910</v>
      </c>
      <c r="H624" s="22" t="s">
        <v>9911</v>
      </c>
      <c r="K624" s="4"/>
      <c r="N624" s="4" t="s">
        <v>1101</v>
      </c>
      <c r="O624" s="4">
        <v>664</v>
      </c>
    </row>
    <row r="625" spans="1:15" ht="15.75" customHeight="1">
      <c r="A625" s="4" t="s">
        <v>3035</v>
      </c>
      <c r="B625" s="4" t="s">
        <v>3036</v>
      </c>
      <c r="C625" s="19" t="s">
        <v>9912</v>
      </c>
      <c r="D625" s="4"/>
      <c r="E625" s="4" t="str">
        <f t="shared" si="7"/>
        <v>3.2.1.22</v>
      </c>
      <c r="F625" s="4" t="str">
        <f>$P$3&amp;"R01104"</f>
        <v>R01104</v>
      </c>
      <c r="G625" s="22" t="s">
        <v>9913</v>
      </c>
      <c r="H625" s="22" t="s">
        <v>9914</v>
      </c>
      <c r="K625" s="4"/>
      <c r="N625" s="4" t="s">
        <v>1101</v>
      </c>
      <c r="O625" s="4">
        <v>664</v>
      </c>
    </row>
    <row r="626" spans="1:15" ht="15.75" customHeight="1">
      <c r="A626" s="4" t="s">
        <v>3035</v>
      </c>
      <c r="B626" s="4" t="s">
        <v>3036</v>
      </c>
      <c r="C626" s="19" t="s">
        <v>9915</v>
      </c>
      <c r="D626" s="4"/>
      <c r="E626" s="4" t="str">
        <f t="shared" si="7"/>
        <v>3.2.1.22</v>
      </c>
      <c r="F626" s="4" t="str">
        <f>$P$3&amp;"R01194"</f>
        <v>R01194</v>
      </c>
      <c r="G626" s="22" t="s">
        <v>9916</v>
      </c>
      <c r="H626" s="22" t="s">
        <v>9917</v>
      </c>
      <c r="K626" s="4"/>
      <c r="N626" s="4" t="s">
        <v>1101</v>
      </c>
      <c r="O626" s="4">
        <v>664</v>
      </c>
    </row>
    <row r="627" spans="1:15" ht="15.75" customHeight="1">
      <c r="A627" s="4" t="s">
        <v>3035</v>
      </c>
      <c r="B627" s="4" t="s">
        <v>3036</v>
      </c>
      <c r="C627" s="19" t="s">
        <v>9918</v>
      </c>
      <c r="D627" s="4"/>
      <c r="E627" s="4" t="str">
        <f t="shared" si="7"/>
        <v>3.2.1.22</v>
      </c>
      <c r="F627" s="4" t="str">
        <f>$P$3&amp;"R01329"</f>
        <v>R01329</v>
      </c>
      <c r="G627" s="22" t="s">
        <v>9919</v>
      </c>
      <c r="H627" s="22" t="s">
        <v>9920</v>
      </c>
      <c r="K627" s="4"/>
      <c r="N627" s="4" t="s">
        <v>1101</v>
      </c>
      <c r="O627" s="4">
        <v>664</v>
      </c>
    </row>
    <row r="628" spans="1:15" ht="15.75" customHeight="1">
      <c r="A628" s="4" t="s">
        <v>3035</v>
      </c>
      <c r="B628" s="4" t="s">
        <v>3036</v>
      </c>
      <c r="C628" s="19" t="s">
        <v>9921</v>
      </c>
      <c r="D628" s="4"/>
      <c r="E628" s="4" t="str">
        <f t="shared" si="7"/>
        <v>3.2.1.22</v>
      </c>
      <c r="F628" s="4" t="str">
        <f>$P$3&amp;"R02926"</f>
        <v>R02926</v>
      </c>
      <c r="G628" s="22" t="s">
        <v>9922</v>
      </c>
      <c r="H628" s="22" t="s">
        <v>9923</v>
      </c>
      <c r="K628" s="4"/>
      <c r="N628" s="4" t="s">
        <v>1101</v>
      </c>
      <c r="O628" s="4">
        <v>664</v>
      </c>
    </row>
    <row r="629" spans="1:15" ht="15.75" customHeight="1">
      <c r="A629" s="4" t="s">
        <v>3035</v>
      </c>
      <c r="B629" s="4" t="s">
        <v>3036</v>
      </c>
      <c r="C629" s="19" t="s">
        <v>9924</v>
      </c>
      <c r="D629" s="4"/>
      <c r="E629" s="4" t="str">
        <f t="shared" si="7"/>
        <v>3.2.1.22</v>
      </c>
      <c r="F629" s="4" t="str">
        <f>$P$3&amp;"R03618"</f>
        <v>R03618</v>
      </c>
      <c r="G629" s="22" t="s">
        <v>9925</v>
      </c>
      <c r="H629" s="22" t="s">
        <v>9926</v>
      </c>
      <c r="K629" s="4"/>
      <c r="N629" s="4" t="s">
        <v>1101</v>
      </c>
      <c r="O629" s="4">
        <v>664</v>
      </c>
    </row>
    <row r="630" spans="1:15" ht="15.75" customHeight="1">
      <c r="A630" s="4" t="s">
        <v>3035</v>
      </c>
      <c r="B630" s="4" t="s">
        <v>3036</v>
      </c>
      <c r="C630" s="19" t="s">
        <v>9927</v>
      </c>
      <c r="D630" s="4"/>
      <c r="E630" s="4" t="str">
        <f t="shared" si="7"/>
        <v>3.2.1.22</v>
      </c>
      <c r="F630" s="4" t="str">
        <f>$P$3&amp;"R03634"</f>
        <v>R03634</v>
      </c>
      <c r="G630" s="22" t="s">
        <v>9928</v>
      </c>
      <c r="H630" s="22" t="s">
        <v>9929</v>
      </c>
      <c r="K630" s="4"/>
      <c r="N630" s="4" t="s">
        <v>1101</v>
      </c>
      <c r="O630" s="4">
        <v>664</v>
      </c>
    </row>
    <row r="631" spans="1:15" ht="15.75" customHeight="1">
      <c r="A631" s="4" t="s">
        <v>3035</v>
      </c>
      <c r="B631" s="4" t="s">
        <v>3036</v>
      </c>
      <c r="C631" s="19" t="s">
        <v>9930</v>
      </c>
      <c r="D631" s="4"/>
      <c r="E631" s="4" t="str">
        <f t="shared" si="7"/>
        <v>3.2.1.22</v>
      </c>
      <c r="F631" s="4" t="str">
        <f>$P$3&amp;"R04019"</f>
        <v>R04019</v>
      </c>
      <c r="G631" s="22" t="s">
        <v>9931</v>
      </c>
      <c r="H631" s="22" t="s">
        <v>9932</v>
      </c>
      <c r="K631" s="4"/>
      <c r="N631" s="4" t="s">
        <v>1101</v>
      </c>
      <c r="O631" s="4">
        <v>664</v>
      </c>
    </row>
    <row r="632" spans="1:15" ht="15.75" customHeight="1">
      <c r="A632" s="4" t="s">
        <v>3035</v>
      </c>
      <c r="B632" s="4" t="s">
        <v>3036</v>
      </c>
      <c r="C632" s="19" t="s">
        <v>9933</v>
      </c>
      <c r="D632" s="4"/>
      <c r="E632" s="4" t="str">
        <f t="shared" si="7"/>
        <v>3.2.1.22</v>
      </c>
      <c r="F632" s="4" t="str">
        <f>$P$3&amp;"R04470"</f>
        <v>R04470</v>
      </c>
      <c r="G632" s="22" t="s">
        <v>9934</v>
      </c>
      <c r="H632" s="22" t="s">
        <v>9935</v>
      </c>
      <c r="K632" s="4"/>
      <c r="N632" s="4" t="s">
        <v>1101</v>
      </c>
      <c r="O632" s="4">
        <v>664</v>
      </c>
    </row>
    <row r="633" spans="1:15" ht="15.75" customHeight="1">
      <c r="A633" s="4" t="s">
        <v>3035</v>
      </c>
      <c r="B633" s="4" t="s">
        <v>3036</v>
      </c>
      <c r="C633" s="19" t="s">
        <v>9936</v>
      </c>
      <c r="D633" s="4"/>
      <c r="E633" s="4" t="str">
        <f t="shared" si="7"/>
        <v>3.2.1.22</v>
      </c>
      <c r="F633" s="4" t="str">
        <f>$P$3&amp;"R05549"</f>
        <v>R05549</v>
      </c>
      <c r="G633" s="22" t="s">
        <v>9937</v>
      </c>
      <c r="H633" s="22" t="s">
        <v>9938</v>
      </c>
      <c r="K633" s="4"/>
      <c r="N633" s="4" t="s">
        <v>1101</v>
      </c>
      <c r="O633" s="4">
        <v>664</v>
      </c>
    </row>
    <row r="634" spans="1:15" ht="15.75" customHeight="1">
      <c r="A634" s="4" t="s">
        <v>3035</v>
      </c>
      <c r="B634" s="4" t="s">
        <v>3036</v>
      </c>
      <c r="C634" s="19" t="s">
        <v>9939</v>
      </c>
      <c r="D634" s="4"/>
      <c r="E634" s="4" t="str">
        <f t="shared" si="7"/>
        <v>3.2.1.22</v>
      </c>
      <c r="F634" s="4" t="str">
        <f>$P$3&amp;"R05961"</f>
        <v>R05961</v>
      </c>
      <c r="G634" s="22" t="s">
        <v>9940</v>
      </c>
      <c r="H634" s="22" t="s">
        <v>9941</v>
      </c>
      <c r="K634" s="4"/>
      <c r="N634" s="4" t="s">
        <v>1101</v>
      </c>
      <c r="O634" s="4">
        <v>664</v>
      </c>
    </row>
    <row r="635" spans="1:15" ht="15.75" customHeight="1">
      <c r="A635" s="4" t="s">
        <v>3035</v>
      </c>
      <c r="B635" s="4" t="s">
        <v>3036</v>
      </c>
      <c r="C635" s="19" t="s">
        <v>9942</v>
      </c>
      <c r="D635" s="4"/>
      <c r="E635" s="4" t="str">
        <f t="shared" si="7"/>
        <v>3.2.1.22</v>
      </c>
      <c r="F635" s="4" t="str">
        <f>$P$3&amp;"R06070"</f>
        <v>R06070</v>
      </c>
      <c r="G635" s="22" t="s">
        <v>9943</v>
      </c>
      <c r="H635" s="22" t="s">
        <v>9944</v>
      </c>
      <c r="K635" s="4"/>
      <c r="N635" s="4" t="s">
        <v>1101</v>
      </c>
      <c r="O635" s="4">
        <v>664</v>
      </c>
    </row>
    <row r="636" spans="1:15" ht="15.75" customHeight="1">
      <c r="A636" s="4" t="s">
        <v>3035</v>
      </c>
      <c r="B636" s="4" t="s">
        <v>3036</v>
      </c>
      <c r="C636" s="19" t="s">
        <v>9945</v>
      </c>
      <c r="D636" s="4"/>
      <c r="E636" s="4" t="str">
        <f t="shared" si="7"/>
        <v>3.2.1.22</v>
      </c>
      <c r="F636" s="4" t="str">
        <f>$P$3&amp;"R06091"</f>
        <v>R06091</v>
      </c>
      <c r="G636" s="22" t="s">
        <v>9946</v>
      </c>
      <c r="H636" s="22" t="s">
        <v>9947</v>
      </c>
      <c r="K636" s="4"/>
      <c r="N636" s="4" t="s">
        <v>1101</v>
      </c>
      <c r="O636" s="4">
        <v>664</v>
      </c>
    </row>
    <row r="637" spans="1:15" ht="15.75" customHeight="1">
      <c r="A637" s="4" t="s">
        <v>3035</v>
      </c>
      <c r="B637" s="4" t="s">
        <v>3036</v>
      </c>
      <c r="C637" s="19" t="s">
        <v>9948</v>
      </c>
      <c r="D637" s="4"/>
      <c r="E637" s="4" t="str">
        <f t="shared" si="7"/>
        <v>3.2.1.22</v>
      </c>
      <c r="F637" s="4" t="str">
        <f>$P$3&amp;"R06093"</f>
        <v>R06093</v>
      </c>
      <c r="G637" s="22" t="s">
        <v>9949</v>
      </c>
      <c r="H637" s="22" t="s">
        <v>9950</v>
      </c>
      <c r="K637" s="4"/>
      <c r="N637" s="4" t="s">
        <v>1101</v>
      </c>
      <c r="O637" s="4">
        <v>664</v>
      </c>
    </row>
    <row r="638" spans="1:15" ht="15.75" customHeight="1">
      <c r="A638" s="4" t="s">
        <v>3035</v>
      </c>
      <c r="B638" s="4" t="s">
        <v>3036</v>
      </c>
      <c r="C638" s="19" t="s">
        <v>9951</v>
      </c>
      <c r="D638" s="4"/>
      <c r="E638" s="4" t="str">
        <f t="shared" si="7"/>
        <v>3.2.1.22</v>
      </c>
      <c r="F638" s="4" t="str">
        <f>$P$3&amp;"R06094"</f>
        <v>R06094</v>
      </c>
      <c r="G638" s="22" t="s">
        <v>9952</v>
      </c>
      <c r="H638" s="22" t="s">
        <v>9953</v>
      </c>
      <c r="K638" s="4"/>
      <c r="N638" s="4" t="s">
        <v>1101</v>
      </c>
      <c r="O638" s="4">
        <v>664</v>
      </c>
    </row>
    <row r="639" spans="1:15" ht="15.75" customHeight="1">
      <c r="A639" s="4" t="s">
        <v>3035</v>
      </c>
      <c r="B639" s="4" t="s">
        <v>3036</v>
      </c>
      <c r="C639" s="19" t="s">
        <v>9954</v>
      </c>
      <c r="D639" s="4"/>
      <c r="E639" s="4" t="str">
        <f t="shared" si="7"/>
        <v>3.2.1.22</v>
      </c>
      <c r="F639" s="4" t="str">
        <f>$P$3&amp;"R06096"</f>
        <v>R06096</v>
      </c>
      <c r="G639" s="22" t="s">
        <v>9955</v>
      </c>
      <c r="H639" s="22" t="s">
        <v>9956</v>
      </c>
      <c r="K639" s="4"/>
      <c r="N639" s="4" t="s">
        <v>1101</v>
      </c>
      <c r="O639" s="4">
        <v>664</v>
      </c>
    </row>
    <row r="640" spans="1:15" ht="15.75" customHeight="1">
      <c r="A640" s="4" t="s">
        <v>3035</v>
      </c>
      <c r="B640" s="4" t="s">
        <v>3036</v>
      </c>
      <c r="C640" s="19" t="s">
        <v>9957</v>
      </c>
      <c r="D640" s="4"/>
      <c r="E640" s="4" t="str">
        <f t="shared" si="7"/>
        <v>3.2.1.22</v>
      </c>
      <c r="F640" s="4" t="str">
        <f>$P$3&amp;"R06142"</f>
        <v>R06142</v>
      </c>
      <c r="G640" s="22" t="s">
        <v>9958</v>
      </c>
      <c r="H640" s="22" t="s">
        <v>9959</v>
      </c>
      <c r="K640" s="4"/>
      <c r="N640" s="4" t="s">
        <v>1101</v>
      </c>
      <c r="O640" s="4">
        <v>664</v>
      </c>
    </row>
    <row r="641" spans="1:15" ht="15.75" customHeight="1">
      <c r="A641" s="4" t="s">
        <v>3035</v>
      </c>
      <c r="B641" s="4" t="s">
        <v>3036</v>
      </c>
      <c r="C641" s="19" t="s">
        <v>9960</v>
      </c>
      <c r="D641" s="4"/>
      <c r="E641" s="4" t="str">
        <f t="shared" si="7"/>
        <v>3.2.1.22</v>
      </c>
      <c r="F641" s="4" t="str">
        <f>$P$3&amp;"R06152"</f>
        <v>R06152</v>
      </c>
      <c r="G641" s="22" t="s">
        <v>9961</v>
      </c>
      <c r="H641" s="22" t="s">
        <v>9962</v>
      </c>
      <c r="K641" s="4"/>
      <c r="N641" s="4" t="s">
        <v>1101</v>
      </c>
      <c r="O641" s="4">
        <v>664</v>
      </c>
    </row>
    <row r="642" spans="1:15" ht="15.75" customHeight="1">
      <c r="A642" s="4" t="s">
        <v>4134</v>
      </c>
      <c r="B642" s="4" t="s">
        <v>4135</v>
      </c>
      <c r="C642" s="19" t="s">
        <v>9963</v>
      </c>
      <c r="D642" s="4"/>
      <c r="E642" s="4" t="str">
        <f t="shared" si="7"/>
        <v>3.2.1.23</v>
      </c>
      <c r="F642" s="4" t="str">
        <f>$P$3&amp;"R01100"</f>
        <v>R01100</v>
      </c>
      <c r="G642" s="22" t="s">
        <v>9964</v>
      </c>
      <c r="H642" s="22" t="s">
        <v>9965</v>
      </c>
      <c r="I642" s="4"/>
      <c r="K642" s="4"/>
      <c r="N642" s="4" t="s">
        <v>1104</v>
      </c>
      <c r="O642" s="4">
        <v>320</v>
      </c>
    </row>
    <row r="643" spans="1:15" ht="15.75" customHeight="1">
      <c r="A643" s="4" t="s">
        <v>4134</v>
      </c>
      <c r="B643" s="4" t="s">
        <v>4135</v>
      </c>
      <c r="C643" s="19" t="s">
        <v>9966</v>
      </c>
      <c r="D643" s="4"/>
      <c r="E643" s="4" t="str">
        <f t="shared" si="7"/>
        <v>3.2.1.23</v>
      </c>
      <c r="F643" s="4" t="str">
        <f>$P$3&amp;"R01105"</f>
        <v>R01105</v>
      </c>
      <c r="G643" s="22" t="s">
        <v>9967</v>
      </c>
      <c r="H643" s="22" t="s">
        <v>9968</v>
      </c>
      <c r="I643" s="4"/>
      <c r="K643" s="4"/>
      <c r="N643" s="4" t="s">
        <v>1104</v>
      </c>
      <c r="O643" s="4">
        <v>320</v>
      </c>
    </row>
    <row r="644" spans="1:15" ht="15.75" customHeight="1">
      <c r="A644" s="4" t="s">
        <v>4134</v>
      </c>
      <c r="B644" s="4" t="s">
        <v>4135</v>
      </c>
      <c r="C644" s="19" t="s">
        <v>9969</v>
      </c>
      <c r="D644" s="4"/>
      <c r="E644" s="4" t="str">
        <f t="shared" si="7"/>
        <v>3.2.1.23</v>
      </c>
      <c r="F644" s="4" t="str">
        <f>$P$3&amp;"R01678"</f>
        <v>R01678</v>
      </c>
      <c r="G644" s="22" t="s">
        <v>9970</v>
      </c>
      <c r="H644" s="22" t="s">
        <v>9971</v>
      </c>
      <c r="I644" s="4"/>
      <c r="K644" s="4"/>
      <c r="N644" s="4" t="s">
        <v>1104</v>
      </c>
      <c r="O644" s="4">
        <v>320</v>
      </c>
    </row>
    <row r="645" spans="1:15" ht="15.75" customHeight="1">
      <c r="A645" s="4" t="s">
        <v>4134</v>
      </c>
      <c r="B645" s="4" t="s">
        <v>4135</v>
      </c>
      <c r="C645" s="19" t="s">
        <v>9972</v>
      </c>
      <c r="D645" s="4"/>
      <c r="E645" s="4" t="str">
        <f t="shared" si="7"/>
        <v>3.2.1.23</v>
      </c>
      <c r="F645" s="4" t="str">
        <f>$P$3&amp;"R03355"</f>
        <v>R03355</v>
      </c>
      <c r="G645" s="22" t="s">
        <v>9973</v>
      </c>
      <c r="H645" s="22" t="s">
        <v>9974</v>
      </c>
      <c r="I645" s="4"/>
      <c r="K645" s="4"/>
      <c r="N645" s="4" t="s">
        <v>1104</v>
      </c>
      <c r="O645" s="4">
        <v>320</v>
      </c>
    </row>
    <row r="646" spans="1:15" ht="15.75" customHeight="1">
      <c r="A646" s="4" t="s">
        <v>4134</v>
      </c>
      <c r="B646" s="4" t="s">
        <v>4135</v>
      </c>
      <c r="C646" s="19" t="s">
        <v>9975</v>
      </c>
      <c r="D646" s="4"/>
      <c r="E646" s="4" t="str">
        <f t="shared" si="7"/>
        <v>3.2.1.23</v>
      </c>
      <c r="F646" s="4" t="str">
        <f>$P$3&amp;"R04633"</f>
        <v>R04633</v>
      </c>
      <c r="G646" s="22" t="s">
        <v>9976</v>
      </c>
      <c r="H646" s="22" t="s">
        <v>9977</v>
      </c>
      <c r="I646" s="4"/>
      <c r="K646" s="4"/>
      <c r="N646" s="4" t="s">
        <v>1104</v>
      </c>
      <c r="O646" s="4">
        <v>320</v>
      </c>
    </row>
    <row r="647" spans="1:15" ht="15.75" customHeight="1">
      <c r="A647" s="4" t="s">
        <v>4134</v>
      </c>
      <c r="B647" s="4" t="s">
        <v>4135</v>
      </c>
      <c r="C647" s="19" t="s">
        <v>9978</v>
      </c>
      <c r="D647" s="4"/>
      <c r="E647" s="4" t="str">
        <f t="shared" si="7"/>
        <v>3.2.1.23</v>
      </c>
      <c r="F647" s="4" t="str">
        <f>$P$3&amp;"R04783"</f>
        <v>R04783</v>
      </c>
      <c r="G647" s="22" t="s">
        <v>9979</v>
      </c>
      <c r="H647" s="22" t="s">
        <v>9980</v>
      </c>
      <c r="I647" s="4"/>
      <c r="K647" s="4"/>
      <c r="N647" s="4" t="s">
        <v>1104</v>
      </c>
      <c r="O647" s="4">
        <v>320</v>
      </c>
    </row>
    <row r="648" spans="1:15" ht="15.75" customHeight="1">
      <c r="A648" s="4" t="s">
        <v>4134</v>
      </c>
      <c r="B648" s="4" t="s">
        <v>4135</v>
      </c>
      <c r="C648" s="19" t="s">
        <v>9981</v>
      </c>
      <c r="D648" s="4"/>
      <c r="E648" s="4" t="str">
        <f t="shared" si="7"/>
        <v>3.2.1.23</v>
      </c>
      <c r="F648" s="4" t="str">
        <f>$P$3&amp;"R05112"</f>
        <v>R05112</v>
      </c>
      <c r="G648" s="22" t="s">
        <v>9982</v>
      </c>
      <c r="H648" s="22" t="s">
        <v>9983</v>
      </c>
      <c r="I648" s="4"/>
      <c r="K648" s="4"/>
      <c r="N648" s="4" t="s">
        <v>1104</v>
      </c>
      <c r="O648" s="4">
        <v>320</v>
      </c>
    </row>
    <row r="649" spans="1:15" ht="15.75" customHeight="1">
      <c r="A649" s="4" t="s">
        <v>4134</v>
      </c>
      <c r="B649" s="4" t="s">
        <v>4135</v>
      </c>
      <c r="C649" s="19" t="s">
        <v>9984</v>
      </c>
      <c r="D649" s="4"/>
      <c r="E649" s="4" t="str">
        <f t="shared" si="7"/>
        <v>3.2.1.23</v>
      </c>
      <c r="F649" s="4" t="str">
        <f>$P$3&amp;"R05994"</f>
        <v>R05994</v>
      </c>
      <c r="G649" s="22" t="s">
        <v>9985</v>
      </c>
      <c r="H649" s="22" t="s">
        <v>9986</v>
      </c>
      <c r="I649" s="4"/>
      <c r="K649" s="4"/>
      <c r="N649" s="4" t="s">
        <v>1104</v>
      </c>
      <c r="O649" s="4">
        <v>320</v>
      </c>
    </row>
    <row r="650" spans="1:15" ht="15.75" customHeight="1">
      <c r="A650" s="4" t="s">
        <v>4134</v>
      </c>
      <c r="B650" s="4" t="s">
        <v>4135</v>
      </c>
      <c r="C650" s="19" t="s">
        <v>9987</v>
      </c>
      <c r="D650" s="4"/>
      <c r="E650" s="4" t="str">
        <f t="shared" si="7"/>
        <v>3.2.1.23</v>
      </c>
      <c r="F650" s="4" t="str">
        <f>$P$3&amp;"R06010"</f>
        <v>R06010</v>
      </c>
      <c r="G650" s="22" t="s">
        <v>9988</v>
      </c>
      <c r="H650" s="22" t="s">
        <v>9989</v>
      </c>
      <c r="I650" s="4"/>
      <c r="K650" s="4"/>
      <c r="N650" s="4" t="s">
        <v>1104</v>
      </c>
      <c r="O650" s="4">
        <v>320</v>
      </c>
    </row>
    <row r="651" spans="1:15" ht="15.75" customHeight="1">
      <c r="A651" s="4" t="s">
        <v>4134</v>
      </c>
      <c r="B651" s="4" t="s">
        <v>4135</v>
      </c>
      <c r="C651" s="19" t="s">
        <v>9990</v>
      </c>
      <c r="D651" s="4"/>
      <c r="E651" s="4" t="str">
        <f t="shared" si="7"/>
        <v>3.2.1.23</v>
      </c>
      <c r="F651" s="4" t="str">
        <f>$P$3&amp;"R06098"</f>
        <v>R06098</v>
      </c>
      <c r="G651" s="22" t="s">
        <v>9991</v>
      </c>
      <c r="H651" s="22" t="s">
        <v>9992</v>
      </c>
      <c r="I651" s="4"/>
      <c r="K651" s="4"/>
      <c r="N651" s="4" t="s">
        <v>1104</v>
      </c>
      <c r="O651" s="4">
        <v>320</v>
      </c>
    </row>
    <row r="652" spans="1:15" ht="15.75" customHeight="1">
      <c r="A652" s="4" t="s">
        <v>4134</v>
      </c>
      <c r="B652" s="4" t="s">
        <v>4135</v>
      </c>
      <c r="C652" s="19" t="s">
        <v>9993</v>
      </c>
      <c r="D652" s="4"/>
      <c r="E652" s="4" t="str">
        <f t="shared" si="7"/>
        <v>3.2.1.23</v>
      </c>
      <c r="F652" s="4" t="str">
        <f>$P$3&amp;"R06099"</f>
        <v>R06099</v>
      </c>
      <c r="G652" s="22" t="s">
        <v>9994</v>
      </c>
      <c r="H652" s="22" t="s">
        <v>9995</v>
      </c>
      <c r="I652" s="4"/>
      <c r="K652" s="4"/>
      <c r="N652" s="4" t="s">
        <v>1104</v>
      </c>
      <c r="O652" s="4">
        <v>320</v>
      </c>
    </row>
    <row r="653" spans="1:15" ht="15.75" customHeight="1">
      <c r="A653" s="4" t="s">
        <v>4134</v>
      </c>
      <c r="B653" s="4" t="s">
        <v>4135</v>
      </c>
      <c r="C653" s="19" t="s">
        <v>9996</v>
      </c>
      <c r="D653" s="4"/>
      <c r="E653" s="4" t="str">
        <f t="shared" si="7"/>
        <v>3.2.1.23</v>
      </c>
      <c r="F653" s="4" t="str">
        <f>$P$3&amp;"R06114"</f>
        <v>R06114</v>
      </c>
      <c r="G653" s="22" t="s">
        <v>9997</v>
      </c>
      <c r="H653" s="22" t="s">
        <v>9998</v>
      </c>
      <c r="I653" s="4"/>
      <c r="K653" s="4"/>
      <c r="N653" s="4" t="s">
        <v>1104</v>
      </c>
      <c r="O653" s="4">
        <v>320</v>
      </c>
    </row>
    <row r="654" spans="1:15" ht="15.75" customHeight="1">
      <c r="A654" s="4" t="s">
        <v>4134</v>
      </c>
      <c r="B654" s="4" t="s">
        <v>4135</v>
      </c>
      <c r="C654" s="19" t="s">
        <v>9999</v>
      </c>
      <c r="D654" s="4"/>
      <c r="E654" s="4" t="str">
        <f t="shared" si="7"/>
        <v>3.2.1.23</v>
      </c>
      <c r="F654" s="4" t="str">
        <f>$P$3&amp;"R06144"</f>
        <v>R06144</v>
      </c>
      <c r="G654" s="22" t="s">
        <v>10000</v>
      </c>
      <c r="H654" s="22" t="s">
        <v>10001</v>
      </c>
      <c r="I654" s="4"/>
      <c r="K654" s="4"/>
      <c r="N654" s="4" t="s">
        <v>1104</v>
      </c>
      <c r="O654" s="4">
        <v>320</v>
      </c>
    </row>
    <row r="655" spans="1:15" ht="15.75" customHeight="1">
      <c r="A655" s="4" t="s">
        <v>4134</v>
      </c>
      <c r="B655" s="4" t="s">
        <v>4135</v>
      </c>
      <c r="C655" s="19" t="s">
        <v>10002</v>
      </c>
      <c r="D655" s="4"/>
      <c r="E655" s="4" t="str">
        <f t="shared" si="7"/>
        <v>3.2.1.23</v>
      </c>
      <c r="F655" s="4" t="str">
        <f>$P$3&amp;"R06202"</f>
        <v>R06202</v>
      </c>
      <c r="G655" s="22" t="s">
        <v>10003</v>
      </c>
      <c r="H655" s="22" t="s">
        <v>10004</v>
      </c>
      <c r="I655" s="4"/>
      <c r="K655" s="4"/>
      <c r="N655" s="4" t="s">
        <v>1104</v>
      </c>
      <c r="O655" s="4">
        <v>320</v>
      </c>
    </row>
    <row r="656" spans="1:15" ht="15.75" customHeight="1">
      <c r="A656" s="4" t="s">
        <v>4134</v>
      </c>
      <c r="B656" s="4" t="s">
        <v>4135</v>
      </c>
      <c r="C656" s="19" t="s">
        <v>10005</v>
      </c>
      <c r="D656" s="4"/>
      <c r="E656" s="4" t="str">
        <f t="shared" si="7"/>
        <v>3.2.1.23</v>
      </c>
      <c r="F656" s="4" t="str">
        <f>$P$3&amp;"R07807"</f>
        <v>R07807</v>
      </c>
      <c r="G656" s="22" t="s">
        <v>10006</v>
      </c>
      <c r="H656" s="22" t="s">
        <v>10007</v>
      </c>
      <c r="I656" s="4"/>
      <c r="K656" s="4"/>
      <c r="N656" s="4" t="s">
        <v>1104</v>
      </c>
      <c r="O656" s="4">
        <v>320</v>
      </c>
    </row>
    <row r="657" spans="1:15" ht="15.75" customHeight="1">
      <c r="A657" s="4" t="s">
        <v>3089</v>
      </c>
      <c r="B657" s="4" t="s">
        <v>3090</v>
      </c>
      <c r="C657" s="19" t="s">
        <v>10008</v>
      </c>
      <c r="D657" s="4"/>
      <c r="E657" s="4" t="str">
        <f t="shared" si="7"/>
        <v>3.2.1.26</v>
      </c>
      <c r="F657" s="4" t="str">
        <f>$P$3&amp;"R00801"</f>
        <v>R00801</v>
      </c>
      <c r="G657" s="22" t="s">
        <v>10009</v>
      </c>
      <c r="H657" s="22" t="s">
        <v>10010</v>
      </c>
      <c r="K657" s="4"/>
      <c r="N657" s="4" t="s">
        <v>1108</v>
      </c>
      <c r="O657" s="4">
        <v>261</v>
      </c>
    </row>
    <row r="658" spans="1:15" ht="15.75" customHeight="1">
      <c r="A658" s="4" t="s">
        <v>3089</v>
      </c>
      <c r="B658" s="4" t="s">
        <v>3090</v>
      </c>
      <c r="C658" s="19" t="s">
        <v>10011</v>
      </c>
      <c r="D658" s="4"/>
      <c r="E658" s="4" t="str">
        <f t="shared" si="7"/>
        <v>3.2.1.26</v>
      </c>
      <c r="F658" s="4" t="str">
        <f>$P$3&amp;"R00802"</f>
        <v>R00802</v>
      </c>
      <c r="G658" s="22" t="s">
        <v>10012</v>
      </c>
      <c r="H658" s="22" t="s">
        <v>10013</v>
      </c>
      <c r="K658" s="4"/>
      <c r="N658" s="4" t="s">
        <v>1108</v>
      </c>
      <c r="O658" s="4">
        <v>261</v>
      </c>
    </row>
    <row r="659" spans="1:15" ht="15.75" customHeight="1">
      <c r="A659" s="4" t="s">
        <v>3089</v>
      </c>
      <c r="B659" s="4" t="s">
        <v>3090</v>
      </c>
      <c r="C659" s="19" t="s">
        <v>10014</v>
      </c>
      <c r="D659" s="4"/>
      <c r="E659" s="4" t="str">
        <f t="shared" si="7"/>
        <v>3.2.1.26</v>
      </c>
      <c r="F659" s="4" t="str">
        <f>$P$3&amp;"R02410"</f>
        <v>R02410</v>
      </c>
      <c r="G659" s="22" t="s">
        <v>10015</v>
      </c>
      <c r="H659" s="22" t="s">
        <v>10016</v>
      </c>
      <c r="K659" s="4"/>
      <c r="N659" s="4" t="s">
        <v>1108</v>
      </c>
      <c r="O659" s="4">
        <v>261</v>
      </c>
    </row>
    <row r="660" spans="1:15" ht="15.75" customHeight="1">
      <c r="A660" s="4" t="s">
        <v>3089</v>
      </c>
      <c r="B660" s="4" t="s">
        <v>3090</v>
      </c>
      <c r="C660" s="19" t="s">
        <v>10017</v>
      </c>
      <c r="D660" s="4"/>
      <c r="E660" s="4" t="str">
        <f t="shared" si="7"/>
        <v>3.2.1.26</v>
      </c>
      <c r="F660" s="4" t="str">
        <f>$P$3&amp;"R03635"</f>
        <v>R03635</v>
      </c>
      <c r="G660" s="22" t="s">
        <v>10018</v>
      </c>
      <c r="H660" s="22" t="s">
        <v>10019</v>
      </c>
      <c r="K660" s="4"/>
      <c r="N660" s="4" t="s">
        <v>1108</v>
      </c>
      <c r="O660" s="4">
        <v>261</v>
      </c>
    </row>
    <row r="661" spans="1:15" ht="15.75" customHeight="1">
      <c r="A661" s="4" t="s">
        <v>3089</v>
      </c>
      <c r="B661" s="4" t="s">
        <v>3090</v>
      </c>
      <c r="C661" s="19" t="s">
        <v>10020</v>
      </c>
      <c r="D661" s="4"/>
      <c r="E661" s="4" t="str">
        <f t="shared" si="7"/>
        <v>3.2.1.26</v>
      </c>
      <c r="F661" s="4" t="str">
        <f>$P$3&amp;"R03921"</f>
        <v>R03921</v>
      </c>
      <c r="G661" s="22" t="s">
        <v>10021</v>
      </c>
      <c r="H661" s="22" t="s">
        <v>10022</v>
      </c>
      <c r="K661" s="4"/>
      <c r="N661" s="4" t="s">
        <v>1108</v>
      </c>
      <c r="O661" s="4">
        <v>261</v>
      </c>
    </row>
    <row r="662" spans="1:15" ht="15.75" customHeight="1">
      <c r="A662" s="4" t="s">
        <v>3089</v>
      </c>
      <c r="B662" s="4" t="s">
        <v>3090</v>
      </c>
      <c r="C662" s="19" t="s">
        <v>10023</v>
      </c>
      <c r="D662" s="4"/>
      <c r="E662" s="4" t="str">
        <f t="shared" si="7"/>
        <v>3.2.1.26</v>
      </c>
      <c r="F662" s="4" t="str">
        <f>$P$3&amp;"R06087"</f>
        <v>R06087</v>
      </c>
      <c r="G662" s="22" t="s">
        <v>10024</v>
      </c>
      <c r="H662" s="22" t="s">
        <v>10025</v>
      </c>
      <c r="K662" s="4"/>
      <c r="N662" s="4" t="s">
        <v>1108</v>
      </c>
      <c r="O662" s="4">
        <v>261</v>
      </c>
    </row>
    <row r="663" spans="1:15" ht="15.75" customHeight="1">
      <c r="A663" s="4" t="s">
        <v>3089</v>
      </c>
      <c r="B663" s="4" t="s">
        <v>3090</v>
      </c>
      <c r="C663" s="19" t="s">
        <v>10026</v>
      </c>
      <c r="D663" s="4"/>
      <c r="E663" s="4" t="str">
        <f t="shared" si="7"/>
        <v>3.2.1.26</v>
      </c>
      <c r="F663" s="4" t="str">
        <f>$P$3&amp;"R06088"</f>
        <v>R06088</v>
      </c>
      <c r="G663" s="22" t="s">
        <v>10027</v>
      </c>
      <c r="H663" s="22" t="s">
        <v>10028</v>
      </c>
      <c r="K663" s="4"/>
      <c r="N663" s="4" t="s">
        <v>1108</v>
      </c>
      <c r="O663" s="4">
        <v>261</v>
      </c>
    </row>
    <row r="664" spans="1:15" ht="15.75" customHeight="1">
      <c r="A664" s="4" t="s">
        <v>3089</v>
      </c>
      <c r="B664" s="4" t="s">
        <v>3090</v>
      </c>
      <c r="C664" s="19" t="s">
        <v>10029</v>
      </c>
      <c r="D664" s="4"/>
      <c r="E664" s="4" t="str">
        <f t="shared" si="7"/>
        <v>3.2.1.26</v>
      </c>
      <c r="F664" s="4" t="str">
        <f>$P$3&amp;"R06100"</f>
        <v>R06100</v>
      </c>
      <c r="G664" s="22" t="s">
        <v>10030</v>
      </c>
      <c r="H664" s="22" t="s">
        <v>10031</v>
      </c>
      <c r="K664" s="4"/>
      <c r="N664" s="4" t="s">
        <v>1108</v>
      </c>
      <c r="O664" s="4">
        <v>261</v>
      </c>
    </row>
    <row r="665" spans="1:15" ht="15.75" customHeight="1">
      <c r="A665" s="4" t="s">
        <v>3089</v>
      </c>
      <c r="B665" s="4" t="s">
        <v>3090</v>
      </c>
      <c r="C665" s="19" t="s">
        <v>10032</v>
      </c>
      <c r="D665" s="4"/>
      <c r="E665" s="4" t="str">
        <f t="shared" si="7"/>
        <v>3.2.1.26</v>
      </c>
      <c r="F665" s="4" t="str">
        <f>$P$3&amp;"R06101"</f>
        <v>R06101</v>
      </c>
      <c r="G665" s="22" t="s">
        <v>10033</v>
      </c>
      <c r="H665" s="22" t="s">
        <v>10034</v>
      </c>
      <c r="K665" s="4"/>
      <c r="N665" s="4" t="s">
        <v>1108</v>
      </c>
      <c r="O665" s="4">
        <v>261</v>
      </c>
    </row>
    <row r="666" spans="1:15" ht="15.75" customHeight="1">
      <c r="A666" s="4" t="s">
        <v>3089</v>
      </c>
      <c r="B666" s="4" t="s">
        <v>3090</v>
      </c>
      <c r="C666" s="19" t="s">
        <v>10035</v>
      </c>
      <c r="D666" s="4"/>
      <c r="E666" s="4" t="str">
        <f t="shared" si="7"/>
        <v>3.2.1.26</v>
      </c>
      <c r="F666" s="4" t="str">
        <f>$P$3&amp;"R06102"</f>
        <v>R06102</v>
      </c>
      <c r="G666" s="22" t="s">
        <v>10036</v>
      </c>
      <c r="H666" s="22" t="s">
        <v>10037</v>
      </c>
      <c r="K666" s="4"/>
      <c r="N666" s="4" t="s">
        <v>1108</v>
      </c>
      <c r="O666" s="4">
        <v>261</v>
      </c>
    </row>
    <row r="667" spans="1:15" ht="15.75" customHeight="1">
      <c r="A667" s="4" t="s">
        <v>2405</v>
      </c>
      <c r="B667" s="4" t="s">
        <v>2406</v>
      </c>
      <c r="C667" s="19" t="s">
        <v>10038</v>
      </c>
      <c r="D667" s="4"/>
      <c r="E667" s="4" t="str">
        <f t="shared" si="7"/>
        <v>3.2.1.86</v>
      </c>
      <c r="F667" s="4" t="str">
        <f>$P$3&amp;"R00839"</f>
        <v>R00839</v>
      </c>
      <c r="G667" s="22" t="s">
        <v>10039</v>
      </c>
      <c r="H667" s="22" t="s">
        <v>10040</v>
      </c>
      <c r="K667" s="4"/>
      <c r="N667" s="4" t="s">
        <v>1111</v>
      </c>
      <c r="O667" s="4">
        <v>111</v>
      </c>
    </row>
    <row r="668" spans="1:15" ht="15.75" customHeight="1">
      <c r="A668" s="4" t="s">
        <v>2405</v>
      </c>
      <c r="B668" s="4" t="s">
        <v>2406</v>
      </c>
      <c r="C668" s="19" t="s">
        <v>10041</v>
      </c>
      <c r="D668" s="4"/>
      <c r="E668" s="4" t="str">
        <f t="shared" si="7"/>
        <v>3.2.1.86</v>
      </c>
      <c r="F668" s="4" t="str">
        <f>$P$3&amp;"R06112"</f>
        <v>R06112</v>
      </c>
      <c r="G668" s="22" t="s">
        <v>10042</v>
      </c>
      <c r="H668" s="22" t="s">
        <v>10043</v>
      </c>
      <c r="K668" s="4"/>
      <c r="N668" s="4" t="s">
        <v>1111</v>
      </c>
      <c r="O668" s="4">
        <v>111</v>
      </c>
    </row>
    <row r="669" spans="1:15" ht="15.75" customHeight="1">
      <c r="A669" s="4" t="s">
        <v>2405</v>
      </c>
      <c r="B669" s="4" t="s">
        <v>2406</v>
      </c>
      <c r="C669" s="19" t="s">
        <v>10044</v>
      </c>
      <c r="D669" s="4"/>
      <c r="E669" s="4" t="str">
        <f t="shared" si="7"/>
        <v>3.2.1.86</v>
      </c>
      <c r="F669" s="4" t="str">
        <f>$P$3&amp;"R05133"</f>
        <v>R05133</v>
      </c>
      <c r="G669" s="22" t="s">
        <v>10045</v>
      </c>
      <c r="H669" s="22" t="s">
        <v>10046</v>
      </c>
      <c r="K669" s="4"/>
      <c r="N669" s="4" t="s">
        <v>1111</v>
      </c>
      <c r="O669" s="4">
        <v>111</v>
      </c>
    </row>
    <row r="670" spans="1:15" ht="15.75" customHeight="1">
      <c r="A670" s="4" t="s">
        <v>2405</v>
      </c>
      <c r="B670" s="4" t="s">
        <v>2406</v>
      </c>
      <c r="C670" s="19" t="s">
        <v>10047</v>
      </c>
      <c r="D670" s="4"/>
      <c r="E670" s="4" t="str">
        <f t="shared" si="7"/>
        <v>3.2.1.86</v>
      </c>
      <c r="F670" s="4" t="str">
        <f>$P$3&amp;"R05134"</f>
        <v>R05134</v>
      </c>
      <c r="G670" s="22" t="s">
        <v>10048</v>
      </c>
      <c r="H670" s="22" t="s">
        <v>10049</v>
      </c>
      <c r="K670" s="4"/>
      <c r="N670" s="4" t="s">
        <v>1111</v>
      </c>
      <c r="O670" s="4">
        <v>111</v>
      </c>
    </row>
    <row r="671" spans="1:15" ht="15.75" customHeight="1">
      <c r="A671" s="4" t="s">
        <v>5164</v>
      </c>
      <c r="B671" s="4" t="s">
        <v>5165</v>
      </c>
      <c r="C671" s="19" t="s">
        <v>10050</v>
      </c>
      <c r="D671" s="4"/>
      <c r="E671" s="4" t="str">
        <f t="shared" si="7"/>
        <v>3.2.1.86</v>
      </c>
      <c r="F671" s="4" t="str">
        <f>$P$3&amp;"R00839"</f>
        <v>R00839</v>
      </c>
      <c r="G671" s="22" t="s">
        <v>10051</v>
      </c>
      <c r="H671" s="22" t="s">
        <v>10052</v>
      </c>
      <c r="I671" s="4"/>
      <c r="K671" s="4"/>
      <c r="N671" s="4" t="s">
        <v>1114</v>
      </c>
      <c r="O671" s="4">
        <v>868</v>
      </c>
    </row>
    <row r="672" spans="1:15" ht="15.75" customHeight="1">
      <c r="A672" s="4" t="s">
        <v>5164</v>
      </c>
      <c r="B672" s="4" t="s">
        <v>5165</v>
      </c>
      <c r="C672" s="19" t="s">
        <v>10053</v>
      </c>
      <c r="D672" s="4"/>
      <c r="E672" s="4" t="str">
        <f t="shared" si="7"/>
        <v>3.2.1.86</v>
      </c>
      <c r="F672" s="4" t="str">
        <f>$P$3&amp;"R06112"</f>
        <v>R06112</v>
      </c>
      <c r="G672" s="22" t="s">
        <v>10054</v>
      </c>
      <c r="H672" s="22" t="s">
        <v>10055</v>
      </c>
      <c r="I672" s="4"/>
      <c r="K672" s="4"/>
      <c r="N672" s="4" t="s">
        <v>1114</v>
      </c>
      <c r="O672" s="4">
        <v>868</v>
      </c>
    </row>
    <row r="673" spans="1:15" ht="15.75" customHeight="1">
      <c r="A673" s="4" t="s">
        <v>5164</v>
      </c>
      <c r="B673" s="4" t="s">
        <v>5165</v>
      </c>
      <c r="C673" s="19" t="s">
        <v>10056</v>
      </c>
      <c r="D673" s="4"/>
      <c r="E673" s="4" t="str">
        <f t="shared" si="7"/>
        <v>3.2.1.86</v>
      </c>
      <c r="F673" s="4" t="str">
        <f>$P$3&amp;"R05133"</f>
        <v>R05133</v>
      </c>
      <c r="G673" s="22" t="s">
        <v>10057</v>
      </c>
      <c r="H673" s="22" t="s">
        <v>10058</v>
      </c>
      <c r="I673" s="4"/>
      <c r="K673" s="4"/>
      <c r="N673" s="4" t="s">
        <v>1114</v>
      </c>
      <c r="O673" s="4">
        <v>868</v>
      </c>
    </row>
    <row r="674" spans="1:15" ht="15.75" customHeight="1">
      <c r="A674" s="4" t="s">
        <v>5164</v>
      </c>
      <c r="B674" s="4" t="s">
        <v>5165</v>
      </c>
      <c r="C674" s="19" t="s">
        <v>10059</v>
      </c>
      <c r="D674" s="4"/>
      <c r="E674" s="4" t="str">
        <f t="shared" si="7"/>
        <v>3.2.1.86</v>
      </c>
      <c r="F674" s="4" t="str">
        <f>$P$3&amp;"R05134"</f>
        <v>R05134</v>
      </c>
      <c r="G674" s="22" t="s">
        <v>10060</v>
      </c>
      <c r="H674" s="22" t="s">
        <v>10061</v>
      </c>
      <c r="I674" s="4"/>
      <c r="K674" s="4"/>
      <c r="N674" s="4" t="s">
        <v>1114</v>
      </c>
      <c r="O674" s="4">
        <v>868</v>
      </c>
    </row>
    <row r="675" spans="1:15" ht="15.75" customHeight="1">
      <c r="A675" s="4" t="s">
        <v>6644</v>
      </c>
      <c r="B675" s="4" t="s">
        <v>6645</v>
      </c>
      <c r="C675" s="19" t="s">
        <v>10062</v>
      </c>
      <c r="D675" s="4"/>
      <c r="E675" s="4" t="str">
        <f t="shared" si="7"/>
        <v>3.2.1.93</v>
      </c>
      <c r="F675" s="4" t="str">
        <f>$P$3&amp;"R00837"</f>
        <v>R00837</v>
      </c>
      <c r="G675" s="22" t="s">
        <v>10063</v>
      </c>
      <c r="H675" s="22" t="s">
        <v>10064</v>
      </c>
      <c r="I675" s="4"/>
      <c r="K675" s="4"/>
      <c r="N675" s="4" t="s">
        <v>1118</v>
      </c>
      <c r="O675" s="4">
        <v>63</v>
      </c>
    </row>
    <row r="676" spans="1:15" ht="15.75" customHeight="1">
      <c r="A676" s="4" t="s">
        <v>6644</v>
      </c>
      <c r="B676" s="4" t="s">
        <v>6645</v>
      </c>
      <c r="C676" s="19" t="s">
        <v>10065</v>
      </c>
      <c r="D676" s="4"/>
      <c r="E676" s="4" t="str">
        <f t="shared" si="7"/>
        <v>3.2.1.93</v>
      </c>
      <c r="F676" s="4" t="str">
        <f>$P$3&amp;"R06113"</f>
        <v>R06113</v>
      </c>
      <c r="G676" s="22" t="s">
        <v>10066</v>
      </c>
      <c r="H676" s="22" t="s">
        <v>10067</v>
      </c>
      <c r="I676" s="4"/>
      <c r="K676" s="4"/>
      <c r="N676" s="4" t="s">
        <v>1118</v>
      </c>
      <c r="O676" s="4">
        <v>63</v>
      </c>
    </row>
    <row r="677" spans="1:15" ht="15.75" customHeight="1">
      <c r="A677" s="4" t="s">
        <v>2201</v>
      </c>
      <c r="B677" s="4" t="s">
        <v>2202</v>
      </c>
      <c r="C677" s="19" t="s">
        <v>10068</v>
      </c>
      <c r="D677" s="4"/>
      <c r="E677" s="4" t="str">
        <f t="shared" si="7"/>
        <v>3.2.2.23</v>
      </c>
      <c r="G677" s="4"/>
      <c r="H677" s="4"/>
      <c r="K677" s="4"/>
      <c r="N677" s="4" t="s">
        <v>1122</v>
      </c>
      <c r="O677" s="4">
        <v>183</v>
      </c>
    </row>
    <row r="678" spans="1:15" ht="15.75" customHeight="1">
      <c r="A678" s="4" t="s">
        <v>63</v>
      </c>
      <c r="B678" s="4" t="s">
        <v>64</v>
      </c>
      <c r="C678" s="19" t="s">
        <v>10069</v>
      </c>
      <c r="D678" s="4"/>
      <c r="E678" s="4" t="str">
        <f t="shared" si="7"/>
        <v>3.2.2.27</v>
      </c>
      <c r="G678" s="4"/>
      <c r="H678" s="4"/>
      <c r="K678" s="4"/>
      <c r="N678" s="4" t="s">
        <v>1125</v>
      </c>
      <c r="O678" s="4">
        <v>517</v>
      </c>
    </row>
    <row r="679" spans="1:15" ht="15.75" customHeight="1">
      <c r="A679" s="4" t="s">
        <v>6798</v>
      </c>
      <c r="B679" s="4" t="s">
        <v>6799</v>
      </c>
      <c r="C679" s="19" t="s">
        <v>10070</v>
      </c>
      <c r="D679" s="4"/>
      <c r="E679" s="4" t="str">
        <f t="shared" si="7"/>
        <v>3.2.2.31</v>
      </c>
      <c r="G679" s="4"/>
      <c r="H679" s="4"/>
      <c r="K679" s="4"/>
      <c r="N679" s="4" t="s">
        <v>56</v>
      </c>
      <c r="O679" s="4">
        <v>286</v>
      </c>
    </row>
    <row r="680" spans="1:15" ht="15.75" customHeight="1">
      <c r="A680" s="4" t="s">
        <v>938</v>
      </c>
      <c r="B680" s="4" t="s">
        <v>939</v>
      </c>
      <c r="C680" s="19" t="s">
        <v>10071</v>
      </c>
      <c r="D680" s="4"/>
      <c r="E680" s="4" t="str">
        <f t="shared" si="7"/>
        <v>3.2.2.9</v>
      </c>
      <c r="F680" s="4" t="str">
        <f>$P$3&amp;"R00194"</f>
        <v>R00194</v>
      </c>
      <c r="G680" s="22" t="s">
        <v>10072</v>
      </c>
      <c r="H680" s="22" t="s">
        <v>10073</v>
      </c>
      <c r="K680" s="4"/>
      <c r="N680" s="4" t="s">
        <v>1130</v>
      </c>
      <c r="O680" s="4">
        <v>64</v>
      </c>
    </row>
    <row r="681" spans="1:15" ht="15.75" customHeight="1">
      <c r="A681" s="4" t="s">
        <v>938</v>
      </c>
      <c r="B681" s="4" t="s">
        <v>939</v>
      </c>
      <c r="C681" s="19" t="s">
        <v>10074</v>
      </c>
      <c r="D681" s="4"/>
      <c r="E681" s="4" t="str">
        <f t="shared" si="7"/>
        <v>3.2.2.9</v>
      </c>
      <c r="F681" s="4" t="str">
        <f>$P$3&amp;"R01401"</f>
        <v>R01401</v>
      </c>
      <c r="G681" s="22" t="s">
        <v>10075</v>
      </c>
      <c r="H681" s="22" t="s">
        <v>10076</v>
      </c>
      <c r="K681" s="4"/>
      <c r="N681" s="4" t="s">
        <v>1130</v>
      </c>
      <c r="O681" s="4">
        <v>64</v>
      </c>
    </row>
    <row r="682" spans="1:15" ht="15.75" customHeight="1">
      <c r="A682" s="4" t="s">
        <v>938</v>
      </c>
      <c r="B682" s="4" t="s">
        <v>939</v>
      </c>
      <c r="C682" s="19" t="s">
        <v>10077</v>
      </c>
      <c r="D682" s="4"/>
      <c r="E682" s="4" t="str">
        <f t="shared" si="7"/>
        <v>3.2.2.9</v>
      </c>
      <c r="F682" s="4" t="str">
        <f>$P$3&amp;"R12621"</f>
        <v>R12621</v>
      </c>
      <c r="G682" s="22" t="s">
        <v>10078</v>
      </c>
      <c r="H682" s="22" t="s">
        <v>10079</v>
      </c>
      <c r="K682" s="4"/>
      <c r="N682" s="4" t="s">
        <v>1130</v>
      </c>
      <c r="O682" s="4">
        <v>64</v>
      </c>
    </row>
    <row r="683" spans="1:15" ht="15.75" customHeight="1">
      <c r="A683" s="4" t="s">
        <v>326</v>
      </c>
      <c r="B683" s="4" t="s">
        <v>327</v>
      </c>
      <c r="C683" s="19" t="s">
        <v>10080</v>
      </c>
      <c r="D683" s="4"/>
      <c r="E683" s="4" t="str">
        <f t="shared" si="7"/>
        <v>3.4.11.18</v>
      </c>
      <c r="G683" s="4"/>
      <c r="H683" s="4"/>
      <c r="K683" s="4"/>
      <c r="N683" s="4" t="s">
        <v>1148</v>
      </c>
      <c r="O683" s="4">
        <v>292</v>
      </c>
    </row>
    <row r="684" spans="1:15" ht="15.75" customHeight="1">
      <c r="B684" s="4" t="s">
        <v>4360</v>
      </c>
      <c r="C684" s="19" t="s">
        <v>10081</v>
      </c>
      <c r="D684" s="4"/>
      <c r="E684" s="4" t="str">
        <f t="shared" si="7"/>
        <v>3.4.11.4</v>
      </c>
      <c r="G684" s="4"/>
      <c r="H684" s="4"/>
      <c r="I684" s="4"/>
      <c r="K684" s="4"/>
      <c r="N684" s="4" t="s">
        <v>1151</v>
      </c>
      <c r="O684" s="4">
        <v>293</v>
      </c>
    </row>
    <row r="685" spans="1:15" ht="15.75" customHeight="1">
      <c r="A685" s="4" t="s">
        <v>5902</v>
      </c>
      <c r="B685" s="4" t="s">
        <v>5903</v>
      </c>
      <c r="C685" s="19" t="s">
        <v>10082</v>
      </c>
      <c r="D685" s="4"/>
      <c r="E685" s="4" t="str">
        <f t="shared" si="7"/>
        <v>3.4.11.5</v>
      </c>
      <c r="F685" s="4" t="str">
        <f>$P$3&amp;"R00135"</f>
        <v>R00135</v>
      </c>
      <c r="G685" s="22" t="s">
        <v>10083</v>
      </c>
      <c r="H685" s="22" t="s">
        <v>10084</v>
      </c>
      <c r="K685" s="4"/>
      <c r="N685" s="4" t="s">
        <v>56</v>
      </c>
      <c r="O685" s="4">
        <v>128</v>
      </c>
    </row>
    <row r="686" spans="1:15" ht="15.75" customHeight="1">
      <c r="A686" s="4" t="s">
        <v>2019</v>
      </c>
      <c r="B686" s="4" t="s">
        <v>2020</v>
      </c>
      <c r="C686" s="19" t="s">
        <v>10085</v>
      </c>
      <c r="D686" s="4"/>
      <c r="E686" s="4" t="str">
        <f t="shared" si="7"/>
        <v>3.4.14.11</v>
      </c>
      <c r="G686" s="4"/>
      <c r="H686" s="4"/>
      <c r="K686" s="4"/>
      <c r="N686" s="4" t="s">
        <v>92</v>
      </c>
      <c r="O686" s="4">
        <v>326</v>
      </c>
    </row>
    <row r="687" spans="1:15" ht="15.75" customHeight="1">
      <c r="A687" s="4" t="s">
        <v>4621</v>
      </c>
      <c r="B687" s="4" t="s">
        <v>4622</v>
      </c>
      <c r="C687" s="19" t="s">
        <v>10086</v>
      </c>
      <c r="D687" s="4"/>
      <c r="E687" s="4" t="str">
        <f t="shared" si="7"/>
        <v>3.4.19.3</v>
      </c>
      <c r="G687" s="4"/>
      <c r="H687" s="4"/>
      <c r="K687" s="4"/>
      <c r="N687" s="4" t="s">
        <v>1175</v>
      </c>
      <c r="O687" s="4">
        <v>469</v>
      </c>
    </row>
    <row r="688" spans="1:15" ht="15.75" customHeight="1">
      <c r="A688" s="4" t="s">
        <v>4280</v>
      </c>
      <c r="B688" s="4" t="s">
        <v>4281</v>
      </c>
      <c r="C688" s="19" t="s">
        <v>10087</v>
      </c>
      <c r="D688" s="4"/>
      <c r="E688" s="4" t="str">
        <f t="shared" si="7"/>
        <v>3.4.21.105</v>
      </c>
      <c r="G688" s="4"/>
      <c r="H688" s="4"/>
      <c r="K688" s="4"/>
      <c r="N688" s="4" t="s">
        <v>1193</v>
      </c>
      <c r="O688" s="4">
        <v>91</v>
      </c>
    </row>
    <row r="689" spans="1:15" ht="15.75" customHeight="1">
      <c r="A689" s="4" t="s">
        <v>6885</v>
      </c>
      <c r="B689" s="4" t="s">
        <v>6886</v>
      </c>
      <c r="C689" s="19" t="s">
        <v>10088</v>
      </c>
      <c r="D689" s="4"/>
      <c r="E689" s="4" t="str">
        <f t="shared" si="7"/>
        <v>3.4.21.88</v>
      </c>
      <c r="G689" s="4"/>
      <c r="H689" s="4"/>
      <c r="K689" s="4"/>
      <c r="N689" s="4" t="s">
        <v>1196</v>
      </c>
      <c r="O689" s="4">
        <v>422</v>
      </c>
    </row>
    <row r="690" spans="1:15" ht="15.75" customHeight="1">
      <c r="A690" s="4" t="s">
        <v>4481</v>
      </c>
      <c r="B690" s="4" t="s">
        <v>4482</v>
      </c>
      <c r="C690" s="19" t="s">
        <v>10089</v>
      </c>
      <c r="D690" s="4"/>
      <c r="E690" s="4" t="str">
        <f t="shared" si="7"/>
        <v>3.4.21.89</v>
      </c>
      <c r="G690" s="4"/>
      <c r="H690" s="4"/>
      <c r="K690" s="4"/>
      <c r="N690" s="4" t="s">
        <v>1199</v>
      </c>
      <c r="O690" s="4">
        <v>292</v>
      </c>
    </row>
    <row r="691" spans="1:15" ht="15.75" customHeight="1">
      <c r="A691" s="4" t="s">
        <v>7569</v>
      </c>
      <c r="B691" s="4" t="s">
        <v>7570</v>
      </c>
      <c r="C691" s="19" t="s">
        <v>10090</v>
      </c>
      <c r="D691" s="4"/>
      <c r="E691" s="4" t="str">
        <f t="shared" si="7"/>
        <v>3.4.21.92</v>
      </c>
      <c r="G691" s="4"/>
      <c r="H691" s="4"/>
      <c r="K691" s="4"/>
      <c r="N691" s="4" t="s">
        <v>1202</v>
      </c>
      <c r="O691" s="4">
        <v>398</v>
      </c>
    </row>
    <row r="692" spans="1:15" ht="15.75" customHeight="1">
      <c r="A692" s="4" t="s">
        <v>3517</v>
      </c>
      <c r="B692" s="4" t="s">
        <v>3518</v>
      </c>
      <c r="C692" s="19" t="s">
        <v>10091</v>
      </c>
      <c r="D692" s="4"/>
      <c r="E692" s="4" t="str">
        <f t="shared" si="7"/>
        <v>3.4.21.96</v>
      </c>
      <c r="G692" s="4"/>
      <c r="H692" s="4"/>
      <c r="K692" s="4"/>
      <c r="N692" s="4" t="s">
        <v>56</v>
      </c>
      <c r="O692" s="4">
        <v>151</v>
      </c>
    </row>
    <row r="693" spans="1:15" ht="15.75" customHeight="1">
      <c r="A693" s="4" t="s">
        <v>1439</v>
      </c>
      <c r="B693" s="4" t="s">
        <v>1440</v>
      </c>
      <c r="C693" s="19" t="s">
        <v>10092</v>
      </c>
      <c r="D693" s="4"/>
      <c r="E693" s="4" t="str">
        <f t="shared" si="7"/>
        <v>3.4.23.36</v>
      </c>
      <c r="G693" s="4"/>
      <c r="H693" s="4"/>
      <c r="K693" s="4"/>
      <c r="N693" s="4" t="s">
        <v>1207</v>
      </c>
      <c r="O693" s="4">
        <v>630</v>
      </c>
    </row>
    <row r="694" spans="1:15" ht="15.75" customHeight="1">
      <c r="A694" s="4" t="s">
        <v>1272</v>
      </c>
      <c r="B694" s="4" t="s">
        <v>1273</v>
      </c>
      <c r="C694" s="19" t="s">
        <v>10093</v>
      </c>
      <c r="D694" s="4"/>
      <c r="E694" s="4" t="str">
        <f t="shared" si="7"/>
        <v>3.4.25.2</v>
      </c>
      <c r="G694" s="4"/>
      <c r="H694" s="4"/>
      <c r="K694" s="4"/>
      <c r="N694" s="4" t="s">
        <v>1213</v>
      </c>
      <c r="O694" s="4">
        <v>163</v>
      </c>
    </row>
    <row r="695" spans="1:15" ht="15.75" customHeight="1">
      <c r="A695" s="4" t="s">
        <v>1276</v>
      </c>
      <c r="B695" s="4" t="s">
        <v>1277</v>
      </c>
      <c r="C695" s="19" t="s">
        <v>10094</v>
      </c>
      <c r="D695" s="4"/>
      <c r="E695" s="4" t="str">
        <f t="shared" si="7"/>
        <v>3.4.25.2</v>
      </c>
      <c r="G695" s="4"/>
      <c r="H695" s="4"/>
      <c r="K695" s="4"/>
      <c r="N695" s="4" t="s">
        <v>1216</v>
      </c>
      <c r="O695" s="4">
        <v>213</v>
      </c>
    </row>
    <row r="696" spans="1:15" ht="15.75" customHeight="1">
      <c r="A696" s="4" t="s">
        <v>2332</v>
      </c>
      <c r="B696" s="4" t="s">
        <v>2333</v>
      </c>
      <c r="C696" s="19" t="s">
        <v>10095</v>
      </c>
      <c r="D696" s="20"/>
      <c r="E696" s="4" t="str">
        <f t="shared" si="7"/>
        <v>3.5.1.2</v>
      </c>
      <c r="F696" s="4" t="str">
        <f>$P$3&amp;"R00256"</f>
        <v>R00256</v>
      </c>
      <c r="G696" s="22" t="s">
        <v>10096</v>
      </c>
      <c r="H696" s="22" t="s">
        <v>10097</v>
      </c>
      <c r="K696" s="4"/>
      <c r="N696" s="4" t="s">
        <v>270</v>
      </c>
      <c r="O696" s="4">
        <v>280</v>
      </c>
    </row>
    <row r="697" spans="1:15" ht="15.75" customHeight="1">
      <c r="A697" s="4" t="s">
        <v>2332</v>
      </c>
      <c r="B697" s="4" t="s">
        <v>2333</v>
      </c>
      <c r="C697" s="19" t="s">
        <v>10098</v>
      </c>
      <c r="D697" s="20"/>
      <c r="E697" s="4" t="str">
        <f t="shared" si="7"/>
        <v>3.5.1.2</v>
      </c>
      <c r="F697" s="4" t="str">
        <f>$P$3&amp;"R01579"</f>
        <v>R01579</v>
      </c>
      <c r="G697" s="22" t="s">
        <v>10099</v>
      </c>
      <c r="H697" s="22" t="s">
        <v>10100</v>
      </c>
      <c r="K697" s="4"/>
      <c r="N697" s="4" t="s">
        <v>270</v>
      </c>
      <c r="O697" s="4">
        <v>280</v>
      </c>
    </row>
    <row r="698" spans="1:15" ht="15.75" customHeight="1">
      <c r="A698" s="4" t="s">
        <v>2332</v>
      </c>
      <c r="B698" s="4" t="s">
        <v>2333</v>
      </c>
      <c r="C698" s="19" t="s">
        <v>10101</v>
      </c>
      <c r="D698" s="20"/>
      <c r="E698" s="4" t="str">
        <f t="shared" si="7"/>
        <v>3.5.1.2</v>
      </c>
      <c r="F698" s="4" t="str">
        <f>$P$3&amp;"R06134"</f>
        <v>R06134</v>
      </c>
      <c r="G698" s="22" t="s">
        <v>10102</v>
      </c>
      <c r="H698" s="22" t="s">
        <v>10103</v>
      </c>
      <c r="K698" s="4"/>
      <c r="N698" s="4" t="s">
        <v>270</v>
      </c>
      <c r="O698" s="4">
        <v>280</v>
      </c>
    </row>
    <row r="699" spans="1:15" ht="15.75" customHeight="1">
      <c r="A699" s="4" t="s">
        <v>2482</v>
      </c>
      <c r="B699" s="4" t="s">
        <v>2483</v>
      </c>
      <c r="C699" s="19" t="s">
        <v>10104</v>
      </c>
      <c r="D699" s="4"/>
      <c r="E699" s="4" t="str">
        <f t="shared" si="7"/>
        <v>3.5.1.25</v>
      </c>
      <c r="F699" s="4" t="str">
        <f t="shared" ref="F699:F700" si="8">$P$3&amp;"R02059"</f>
        <v>R02059</v>
      </c>
      <c r="G699" s="22" t="s">
        <v>10105</v>
      </c>
      <c r="H699" s="22" t="s">
        <v>10106</v>
      </c>
      <c r="K699" s="4"/>
      <c r="N699" s="4" t="s">
        <v>219</v>
      </c>
      <c r="O699" s="4">
        <v>281</v>
      </c>
    </row>
    <row r="700" spans="1:15" ht="15.75" customHeight="1">
      <c r="A700" s="4" t="s">
        <v>4394</v>
      </c>
      <c r="B700" s="4" t="s">
        <v>4395</v>
      </c>
      <c r="C700" s="19" t="s">
        <v>10107</v>
      </c>
      <c r="D700" s="4"/>
      <c r="E700" s="4" t="str">
        <f t="shared" si="7"/>
        <v>3.5.1.25</v>
      </c>
      <c r="F700" s="4" t="str">
        <f t="shared" si="8"/>
        <v>R02059</v>
      </c>
      <c r="G700" s="22" t="s">
        <v>10108</v>
      </c>
      <c r="H700" s="22" t="s">
        <v>10109</v>
      </c>
      <c r="K700" s="4"/>
      <c r="N700" s="4" t="s">
        <v>1223</v>
      </c>
      <c r="O700" s="4">
        <v>209</v>
      </c>
    </row>
    <row r="701" spans="1:15" ht="15.75" customHeight="1">
      <c r="A701" s="4" t="s">
        <v>1652</v>
      </c>
      <c r="B701" s="4" t="s">
        <v>1653</v>
      </c>
      <c r="C701" s="19" t="s">
        <v>10110</v>
      </c>
      <c r="D701" s="4"/>
      <c r="E701" s="4" t="str">
        <f t="shared" si="7"/>
        <v>3.5.1.28</v>
      </c>
      <c r="F701" s="4" t="str">
        <f>$P$3&amp;"R04112"</f>
        <v>R04112</v>
      </c>
      <c r="G701" s="22" t="s">
        <v>10111</v>
      </c>
      <c r="H701" s="22" t="s">
        <v>10112</v>
      </c>
      <c r="I701" s="4"/>
      <c r="K701" s="4"/>
      <c r="N701" s="4" t="s">
        <v>659</v>
      </c>
      <c r="O701" s="4">
        <v>173</v>
      </c>
    </row>
    <row r="702" spans="1:15" ht="15.75" customHeight="1">
      <c r="A702" s="4" t="s">
        <v>3555</v>
      </c>
      <c r="B702" s="4" t="s">
        <v>3556</v>
      </c>
      <c r="C702" s="19" t="s">
        <v>10113</v>
      </c>
      <c r="D702" s="4"/>
      <c r="E702" s="4" t="str">
        <f t="shared" si="7"/>
        <v>3.5.1.4</v>
      </c>
      <c r="F702" s="4" t="str">
        <f>$P$3&amp;"R03909"</f>
        <v>R03909</v>
      </c>
      <c r="G702" s="22" t="s">
        <v>10114</v>
      </c>
      <c r="H702" s="22" t="s">
        <v>10115</v>
      </c>
      <c r="I702" s="4"/>
      <c r="K702" s="4"/>
      <c r="N702" s="4" t="s">
        <v>659</v>
      </c>
      <c r="O702" s="4">
        <v>173</v>
      </c>
    </row>
    <row r="703" spans="1:15" ht="15.75" customHeight="1">
      <c r="A703" s="4" t="s">
        <v>3555</v>
      </c>
      <c r="B703" s="4" t="s">
        <v>3556</v>
      </c>
      <c r="C703" s="19" t="s">
        <v>10116</v>
      </c>
      <c r="D703" s="4"/>
      <c r="E703" s="4" t="str">
        <f t="shared" si="7"/>
        <v>3.5.1.4</v>
      </c>
      <c r="F703" s="4" t="str">
        <f>$P$3&amp;"R00321"</f>
        <v>R00321</v>
      </c>
      <c r="G703" s="22" t="s">
        <v>10117</v>
      </c>
      <c r="H703" s="22" t="s">
        <v>10118</v>
      </c>
      <c r="I703" s="4"/>
      <c r="K703" s="4"/>
      <c r="N703" s="4" t="s">
        <v>659</v>
      </c>
      <c r="O703" s="4">
        <v>173</v>
      </c>
    </row>
    <row r="704" spans="1:15" ht="15.75" customHeight="1">
      <c r="A704" s="4" t="s">
        <v>3555</v>
      </c>
      <c r="B704" s="4" t="s">
        <v>3556</v>
      </c>
      <c r="C704" s="19" t="s">
        <v>10119</v>
      </c>
      <c r="D704" s="4"/>
      <c r="E704" s="4" t="str">
        <f t="shared" si="7"/>
        <v>3.5.1.4</v>
      </c>
      <c r="F704" s="4" t="str">
        <f>$P$3&amp;"R02540"</f>
        <v>R02540</v>
      </c>
      <c r="G704" s="22" t="s">
        <v>10120</v>
      </c>
      <c r="H704" s="22" t="s">
        <v>10121</v>
      </c>
      <c r="I704" s="4"/>
      <c r="K704" s="4"/>
      <c r="N704" s="4" t="s">
        <v>659</v>
      </c>
      <c r="O704" s="4">
        <v>173</v>
      </c>
    </row>
    <row r="705" spans="1:15" ht="15.75" customHeight="1">
      <c r="A705" s="4" t="s">
        <v>3555</v>
      </c>
      <c r="B705" s="4" t="s">
        <v>3556</v>
      </c>
      <c r="C705" s="19" t="s">
        <v>10122</v>
      </c>
      <c r="D705" s="4"/>
      <c r="E705" s="4" t="str">
        <f t="shared" si="7"/>
        <v>3.5.1.4</v>
      </c>
      <c r="F705" s="4" t="str">
        <f>$P$3&amp;"R03096"</f>
        <v>R03096</v>
      </c>
      <c r="G705" s="22" t="s">
        <v>10123</v>
      </c>
      <c r="H705" s="22" t="s">
        <v>10124</v>
      </c>
      <c r="I705" s="4"/>
      <c r="K705" s="4"/>
      <c r="N705" s="4" t="s">
        <v>659</v>
      </c>
      <c r="O705" s="4">
        <v>173</v>
      </c>
    </row>
    <row r="706" spans="1:15" ht="15.75" customHeight="1">
      <c r="A706" s="4" t="s">
        <v>3555</v>
      </c>
      <c r="B706" s="4" t="s">
        <v>3556</v>
      </c>
      <c r="C706" s="19" t="s">
        <v>10125</v>
      </c>
      <c r="D706" s="4"/>
      <c r="E706" s="4" t="str">
        <f t="shared" si="7"/>
        <v>3.5.1.4</v>
      </c>
      <c r="F706" s="4" t="str">
        <f>$P$3&amp;"R03180"</f>
        <v>R03180</v>
      </c>
      <c r="G706" s="22" t="s">
        <v>10126</v>
      </c>
      <c r="H706" s="22" t="s">
        <v>10127</v>
      </c>
      <c r="I706" s="4"/>
      <c r="K706" s="4"/>
      <c r="N706" s="4" t="s">
        <v>659</v>
      </c>
      <c r="O706" s="4">
        <v>173</v>
      </c>
    </row>
    <row r="707" spans="1:15" ht="15.75" customHeight="1">
      <c r="A707" s="4" t="s">
        <v>3555</v>
      </c>
      <c r="B707" s="4" t="s">
        <v>3556</v>
      </c>
      <c r="C707" s="19" t="s">
        <v>10128</v>
      </c>
      <c r="D707" s="4"/>
      <c r="E707" s="4" t="str">
        <f t="shared" si="7"/>
        <v>3.5.1.4</v>
      </c>
      <c r="F707" s="4" t="str">
        <f>$P$3&amp;"R05551"</f>
        <v>R05551</v>
      </c>
      <c r="G707" s="22" t="s">
        <v>10129</v>
      </c>
      <c r="H707" s="22" t="s">
        <v>10130</v>
      </c>
      <c r="I707" s="4"/>
      <c r="K707" s="4"/>
      <c r="N707" s="4" t="s">
        <v>659</v>
      </c>
      <c r="O707" s="4">
        <v>173</v>
      </c>
    </row>
    <row r="708" spans="1:15" ht="15.75" customHeight="1">
      <c r="A708" s="4" t="s">
        <v>3555</v>
      </c>
      <c r="B708" s="4" t="s">
        <v>3556</v>
      </c>
      <c r="C708" s="19" t="s">
        <v>10131</v>
      </c>
      <c r="D708" s="4"/>
      <c r="E708" s="4" t="str">
        <f t="shared" si="7"/>
        <v>3.5.1.4</v>
      </c>
      <c r="F708" s="4" t="str">
        <f>$P$3&amp;"R05590"</f>
        <v>R05590</v>
      </c>
      <c r="G708" s="22" t="s">
        <v>10132</v>
      </c>
      <c r="H708" s="22" t="s">
        <v>10133</v>
      </c>
      <c r="I708" s="4"/>
      <c r="K708" s="4"/>
      <c r="N708" s="4" t="s">
        <v>659</v>
      </c>
      <c r="O708" s="4">
        <v>173</v>
      </c>
    </row>
    <row r="709" spans="1:15" ht="15.75" customHeight="1">
      <c r="A709" s="4" t="s">
        <v>3555</v>
      </c>
      <c r="B709" s="4" t="s">
        <v>3556</v>
      </c>
      <c r="C709" s="19" t="s">
        <v>10134</v>
      </c>
      <c r="D709" s="4"/>
      <c r="E709" s="4" t="str">
        <f t="shared" si="7"/>
        <v>3.5.1.4</v>
      </c>
      <c r="F709" s="4" t="str">
        <f>$P$3&amp;"R06134"</f>
        <v>R06134</v>
      </c>
      <c r="G709" s="22" t="s">
        <v>10135</v>
      </c>
      <c r="H709" s="22" t="s">
        <v>10136</v>
      </c>
      <c r="I709" s="4"/>
      <c r="K709" s="4"/>
      <c r="N709" s="4" t="s">
        <v>659</v>
      </c>
      <c r="O709" s="4">
        <v>173</v>
      </c>
    </row>
    <row r="710" spans="1:15" ht="15.75" customHeight="1">
      <c r="A710" s="4" t="s">
        <v>980</v>
      </c>
      <c r="B710" s="4" t="s">
        <v>981</v>
      </c>
      <c r="C710" s="19" t="s">
        <v>10137</v>
      </c>
      <c r="D710" s="4"/>
      <c r="E710" s="4" t="str">
        <f t="shared" si="7"/>
        <v>3.5.1.88</v>
      </c>
      <c r="F710" s="4" t="str">
        <f>$P$3&amp;"R05635"</f>
        <v>R05635</v>
      </c>
      <c r="G710" s="22" t="s">
        <v>10138</v>
      </c>
      <c r="H710" s="22" t="s">
        <v>10139</v>
      </c>
      <c r="K710" s="4"/>
      <c r="N710" s="4" t="s">
        <v>1228</v>
      </c>
      <c r="O710" s="4">
        <v>80</v>
      </c>
    </row>
    <row r="711" spans="1:15" ht="15.75" customHeight="1">
      <c r="A711" s="4" t="s">
        <v>980</v>
      </c>
      <c r="B711" s="4" t="s">
        <v>981</v>
      </c>
      <c r="C711" s="19" t="s">
        <v>10140</v>
      </c>
      <c r="D711" s="4"/>
      <c r="E711" s="4" t="str">
        <f t="shared" si="7"/>
        <v>3.5.1.88</v>
      </c>
      <c r="F711" s="4" t="str">
        <f>$P$3&amp;"R04268"</f>
        <v>R04268</v>
      </c>
      <c r="G711" s="22" t="s">
        <v>10141</v>
      </c>
      <c r="H711" s="22" t="s">
        <v>10142</v>
      </c>
      <c r="K711" s="4"/>
      <c r="N711" s="4" t="s">
        <v>1228</v>
      </c>
      <c r="O711" s="4">
        <v>80</v>
      </c>
    </row>
    <row r="712" spans="1:15" ht="15.75" customHeight="1">
      <c r="A712" s="4" t="s">
        <v>1422</v>
      </c>
      <c r="B712" s="4" t="s">
        <v>1423</v>
      </c>
      <c r="C712" s="19" t="s">
        <v>10143</v>
      </c>
      <c r="D712" s="4"/>
      <c r="E712" s="4" t="str">
        <f t="shared" si="7"/>
        <v>3.5.2.3</v>
      </c>
      <c r="F712" s="4" t="str">
        <f t="shared" ref="F712:F713" si="9">$P$3&amp;"R01993"</f>
        <v>R01993</v>
      </c>
      <c r="G712" s="22" t="s">
        <v>10144</v>
      </c>
      <c r="H712" s="2" t="s">
        <v>10145</v>
      </c>
      <c r="K712" s="4"/>
      <c r="N712" s="4" t="s">
        <v>1231</v>
      </c>
      <c r="O712" s="4">
        <v>461</v>
      </c>
    </row>
    <row r="713" spans="1:15" ht="15.75" customHeight="1">
      <c r="A713" s="4" t="s">
        <v>5630</v>
      </c>
      <c r="B713" s="4" t="s">
        <v>5631</v>
      </c>
      <c r="C713" s="19" t="s">
        <v>10146</v>
      </c>
      <c r="D713" s="4"/>
      <c r="E713" s="4" t="str">
        <f t="shared" si="7"/>
        <v>3.5.2.3</v>
      </c>
      <c r="F713" s="4" t="str">
        <f t="shared" si="9"/>
        <v>R01993</v>
      </c>
      <c r="G713" s="22" t="s">
        <v>10147</v>
      </c>
      <c r="H713" s="2" t="s">
        <v>10148</v>
      </c>
      <c r="K713" s="4"/>
      <c r="N713" s="4" t="s">
        <v>1234</v>
      </c>
      <c r="O713" s="4">
        <v>106</v>
      </c>
    </row>
    <row r="714" spans="1:15" ht="15.75" customHeight="1">
      <c r="A714" s="4" t="s">
        <v>2312</v>
      </c>
      <c r="B714" s="4" t="s">
        <v>2313</v>
      </c>
      <c r="C714" s="20" t="s">
        <v>8293</v>
      </c>
      <c r="D714" s="20"/>
      <c r="E714" s="4" t="str">
        <f t="shared" si="7"/>
        <v>3.5.4.10</v>
      </c>
      <c r="F714" s="4" t="str">
        <f>$P$3&amp;"R01127"</f>
        <v>R01127</v>
      </c>
      <c r="G714" s="22" t="s">
        <v>10149</v>
      </c>
      <c r="H714" s="2" t="s">
        <v>10150</v>
      </c>
      <c r="K714" s="4"/>
      <c r="N714" s="4" t="s">
        <v>56</v>
      </c>
      <c r="O714" s="4">
        <v>250</v>
      </c>
    </row>
    <row r="715" spans="1:15" ht="15.75" customHeight="1">
      <c r="A715" s="4" t="s">
        <v>1340</v>
      </c>
      <c r="B715" s="4" t="s">
        <v>1341</v>
      </c>
      <c r="C715" s="19" t="s">
        <v>10151</v>
      </c>
      <c r="D715" s="4"/>
      <c r="E715" s="4" t="str">
        <f t="shared" si="7"/>
        <v>3.5.4.19</v>
      </c>
      <c r="F715" s="4" t="str">
        <f>$P$3&amp;"R04037"</f>
        <v>R04037</v>
      </c>
      <c r="G715" s="22" t="s">
        <v>10152</v>
      </c>
      <c r="H715" s="2" t="s">
        <v>10153</v>
      </c>
      <c r="I715" s="4"/>
      <c r="K715" s="4"/>
      <c r="N715" s="4" t="s">
        <v>1239</v>
      </c>
      <c r="O715" s="4">
        <v>341</v>
      </c>
    </row>
    <row r="716" spans="1:15" ht="15.75" customHeight="1">
      <c r="A716" s="4" t="s">
        <v>427</v>
      </c>
      <c r="B716" s="4" t="s">
        <v>428</v>
      </c>
      <c r="C716" s="19" t="s">
        <v>10154</v>
      </c>
      <c r="D716" s="4"/>
      <c r="E716" s="4" t="str">
        <f t="shared" si="7"/>
        <v>3.5.4.33</v>
      </c>
      <c r="F716" s="4" t="str">
        <f t="shared" ref="F716:F717" si="10">$P$3&amp;"R10223"</f>
        <v>R10223</v>
      </c>
      <c r="G716" s="22" t="s">
        <v>10155</v>
      </c>
      <c r="H716" s="22" t="s">
        <v>10156</v>
      </c>
      <c r="K716" s="4"/>
      <c r="N716" s="4" t="s">
        <v>478</v>
      </c>
      <c r="O716" s="4">
        <v>266</v>
      </c>
    </row>
    <row r="717" spans="1:15" ht="15.75" customHeight="1">
      <c r="A717" s="4" t="s">
        <v>3501</v>
      </c>
      <c r="B717" s="4" t="s">
        <v>3502</v>
      </c>
      <c r="C717" s="19" t="s">
        <v>10157</v>
      </c>
      <c r="D717" s="4"/>
      <c r="E717" s="4" t="str">
        <f t="shared" si="7"/>
        <v>3.5.4.33</v>
      </c>
      <c r="F717" s="4" t="str">
        <f t="shared" si="10"/>
        <v>R10223</v>
      </c>
      <c r="G717" s="22" t="s">
        <v>10158</v>
      </c>
      <c r="H717" s="22" t="s">
        <v>10159</v>
      </c>
      <c r="K717" s="4"/>
      <c r="N717" s="4" t="s">
        <v>56</v>
      </c>
      <c r="O717" s="4">
        <v>91</v>
      </c>
    </row>
    <row r="718" spans="1:15" ht="15.75" customHeight="1">
      <c r="A718" s="4" t="s">
        <v>3337</v>
      </c>
      <c r="B718" s="4" t="s">
        <v>3338</v>
      </c>
      <c r="C718" s="19" t="s">
        <v>10160</v>
      </c>
      <c r="D718" s="4"/>
      <c r="E718" s="4" t="str">
        <f t="shared" si="7"/>
        <v>3.5.4.4</v>
      </c>
      <c r="F718" s="4" t="str">
        <f>$P$3&amp;"R01560"</f>
        <v>R01560</v>
      </c>
      <c r="G718" s="22" t="s">
        <v>10161</v>
      </c>
      <c r="H718" s="22" t="s">
        <v>10162</v>
      </c>
      <c r="I718" s="4"/>
      <c r="K718" s="4"/>
      <c r="N718" s="4" t="s">
        <v>1247</v>
      </c>
      <c r="O718" s="4">
        <v>286</v>
      </c>
    </row>
    <row r="719" spans="1:15" ht="15.75" customHeight="1">
      <c r="A719" s="4" t="s">
        <v>3337</v>
      </c>
      <c r="B719" s="4" t="s">
        <v>3338</v>
      </c>
      <c r="C719" s="19" t="s">
        <v>10163</v>
      </c>
      <c r="D719" s="4"/>
      <c r="E719" s="4" t="str">
        <f t="shared" si="7"/>
        <v>3.5.4.4</v>
      </c>
      <c r="F719" s="4" t="str">
        <f>$P$3&amp;"R02556"</f>
        <v>R02556</v>
      </c>
      <c r="G719" s="22" t="s">
        <v>10164</v>
      </c>
      <c r="H719" s="22" t="s">
        <v>10165</v>
      </c>
      <c r="I719" s="4"/>
      <c r="K719" s="4"/>
      <c r="N719" s="4" t="s">
        <v>1247</v>
      </c>
      <c r="O719" s="4">
        <v>286</v>
      </c>
    </row>
    <row r="720" spans="1:15" ht="15.75" customHeight="1">
      <c r="A720" s="4" t="s">
        <v>1596</v>
      </c>
      <c r="B720" s="4" t="s">
        <v>1597</v>
      </c>
      <c r="C720" s="19" t="s">
        <v>10166</v>
      </c>
      <c r="D720" s="4"/>
      <c r="E720" s="4" t="str">
        <f t="shared" si="7"/>
        <v>3.5.4.5</v>
      </c>
      <c r="F720" s="4" t="str">
        <f>$P$3&amp;"R01878"</f>
        <v>R01878</v>
      </c>
      <c r="G720" s="22" t="s">
        <v>10167</v>
      </c>
      <c r="H720" s="22" t="s">
        <v>10168</v>
      </c>
      <c r="K720" s="4"/>
      <c r="N720" s="4" t="s">
        <v>1251</v>
      </c>
      <c r="O720" s="4">
        <v>252</v>
      </c>
    </row>
    <row r="721" spans="1:15" ht="15.75" customHeight="1">
      <c r="A721" s="4" t="s">
        <v>1596</v>
      </c>
      <c r="B721" s="4" t="s">
        <v>1597</v>
      </c>
      <c r="C721" s="19" t="s">
        <v>10169</v>
      </c>
      <c r="D721" s="4"/>
      <c r="E721" s="4" t="str">
        <f t="shared" si="7"/>
        <v>3.5.4.5</v>
      </c>
      <c r="F721" s="4" t="str">
        <f>$P$3&amp;"R02485"</f>
        <v>R02485</v>
      </c>
      <c r="G721" s="22" t="s">
        <v>10170</v>
      </c>
      <c r="H721" s="22" t="s">
        <v>10171</v>
      </c>
      <c r="K721" s="4"/>
      <c r="N721" s="4" t="s">
        <v>1251</v>
      </c>
      <c r="O721" s="4">
        <v>252</v>
      </c>
    </row>
    <row r="722" spans="1:15" ht="15.75" customHeight="1">
      <c r="A722" s="4" t="s">
        <v>1596</v>
      </c>
      <c r="B722" s="4" t="s">
        <v>1597</v>
      </c>
      <c r="C722" s="19" t="s">
        <v>10172</v>
      </c>
      <c r="D722" s="4"/>
      <c r="E722" s="4" t="str">
        <f t="shared" si="7"/>
        <v>3.5.4.5</v>
      </c>
      <c r="F722" s="4" t="str">
        <f>$P$3&amp;"R08221"</f>
        <v>R08221</v>
      </c>
      <c r="G722" s="22" t="s">
        <v>10173</v>
      </c>
      <c r="H722" s="22" t="s">
        <v>10174</v>
      </c>
      <c r="K722" s="4"/>
      <c r="N722" s="4" t="s">
        <v>1251</v>
      </c>
      <c r="O722" s="4">
        <v>252</v>
      </c>
    </row>
    <row r="723" spans="1:15" ht="15.75" customHeight="1">
      <c r="A723" s="4" t="s">
        <v>1984</v>
      </c>
      <c r="B723" s="4" t="s">
        <v>1985</v>
      </c>
      <c r="C723" s="20" t="s">
        <v>8294</v>
      </c>
      <c r="D723" s="20"/>
      <c r="E723" s="4" t="str">
        <f t="shared" si="7"/>
        <v>3.5.4.9</v>
      </c>
      <c r="F723" s="4" t="str">
        <f>$P$3&amp;"R01655"</f>
        <v>R01655</v>
      </c>
      <c r="G723" s="22" t="s">
        <v>10175</v>
      </c>
      <c r="H723" s="22" t="s">
        <v>10176</v>
      </c>
      <c r="I723" s="4"/>
      <c r="K723" s="4"/>
      <c r="N723" s="4" t="s">
        <v>1254</v>
      </c>
      <c r="O723" s="4">
        <v>271</v>
      </c>
    </row>
    <row r="724" spans="1:15" ht="15.75" customHeight="1">
      <c r="A724" s="4" t="s">
        <v>4344</v>
      </c>
      <c r="B724" s="4" t="s">
        <v>4345</v>
      </c>
      <c r="C724" s="19" t="s">
        <v>10177</v>
      </c>
      <c r="D724" s="4"/>
      <c r="E724" s="4" t="str">
        <f t="shared" si="7"/>
        <v>3.5.99.2</v>
      </c>
      <c r="F724" s="4" t="str">
        <f>$P$3&amp;"R02133"</f>
        <v>R02133</v>
      </c>
      <c r="G724" s="22" t="s">
        <v>10178</v>
      </c>
      <c r="H724" s="22" t="s">
        <v>10179</v>
      </c>
      <c r="I724" s="4"/>
      <c r="K724" s="4"/>
      <c r="N724" s="4" t="s">
        <v>1258</v>
      </c>
      <c r="O724" s="4">
        <v>694</v>
      </c>
    </row>
    <row r="725" spans="1:15" ht="15.75" customHeight="1">
      <c r="A725" s="4" t="s">
        <v>4344</v>
      </c>
      <c r="B725" s="4" t="s">
        <v>4345</v>
      </c>
      <c r="C725" s="19" t="s">
        <v>10180</v>
      </c>
      <c r="D725" s="4"/>
      <c r="E725" s="4" t="str">
        <f t="shared" si="7"/>
        <v>3.5.99.2</v>
      </c>
      <c r="F725" s="4" t="str">
        <f>$P$3&amp;"R09993"</f>
        <v>R09993</v>
      </c>
      <c r="G725" s="22" t="s">
        <v>10181</v>
      </c>
      <c r="H725" s="22" t="s">
        <v>10182</v>
      </c>
      <c r="I725" s="4"/>
      <c r="K725" s="4"/>
      <c r="N725" s="4" t="s">
        <v>1258</v>
      </c>
      <c r="O725" s="4">
        <v>694</v>
      </c>
    </row>
    <row r="726" spans="1:15" ht="15.75" customHeight="1">
      <c r="A726" s="4" t="s">
        <v>5183</v>
      </c>
      <c r="B726" s="4" t="s">
        <v>5184</v>
      </c>
      <c r="C726" s="19" t="s">
        <v>10183</v>
      </c>
      <c r="D726" s="4"/>
      <c r="E726" s="4" t="str">
        <f t="shared" si="7"/>
        <v>3.5.99.6</v>
      </c>
      <c r="F726" s="4" t="str">
        <f>$P$3&amp;"R00765"</f>
        <v>R00765</v>
      </c>
      <c r="G726" s="22" t="s">
        <v>10184</v>
      </c>
      <c r="H726" s="22" t="s">
        <v>10185</v>
      </c>
      <c r="I726" s="4"/>
      <c r="K726" s="4"/>
      <c r="N726" s="4" t="s">
        <v>1262</v>
      </c>
      <c r="O726" s="4">
        <v>439</v>
      </c>
    </row>
    <row r="727" spans="1:15" ht="15.75" customHeight="1">
      <c r="A727" s="4" t="s">
        <v>1304</v>
      </c>
      <c r="B727" s="4" t="s">
        <v>1305</v>
      </c>
      <c r="C727" s="19" t="s">
        <v>10186</v>
      </c>
      <c r="D727" s="4"/>
      <c r="E727" s="4" t="str">
        <f t="shared" si="7"/>
        <v>3.6.1.1</v>
      </c>
      <c r="F727" s="4" t="str">
        <f>$P$3&amp;"R00004"</f>
        <v>R00004</v>
      </c>
      <c r="G727" s="22" t="s">
        <v>10187</v>
      </c>
      <c r="H727" s="27" t="s">
        <v>10188</v>
      </c>
      <c r="I727" s="4"/>
      <c r="K727" s="4"/>
      <c r="N727" s="4" t="s">
        <v>1285</v>
      </c>
      <c r="O727" s="4">
        <v>670</v>
      </c>
    </row>
    <row r="728" spans="1:15" ht="15.75" customHeight="1">
      <c r="A728" s="4" t="s">
        <v>5872</v>
      </c>
      <c r="B728" s="4" t="s">
        <v>5873</v>
      </c>
      <c r="C728" s="18" t="s">
        <v>8295</v>
      </c>
      <c r="D728" s="4"/>
      <c r="E728" s="4" t="str">
        <f t="shared" si="7"/>
        <v>3.6.1.11</v>
      </c>
      <c r="F728" s="4" t="str">
        <f>$P$3&amp;"R03042"</f>
        <v>R03042</v>
      </c>
      <c r="G728" s="22" t="s">
        <v>10189</v>
      </c>
      <c r="H728" s="22" t="s">
        <v>10190</v>
      </c>
      <c r="I728" s="4"/>
      <c r="K728" s="4"/>
      <c r="N728" s="4" t="s">
        <v>1289</v>
      </c>
      <c r="O728" s="4">
        <v>814</v>
      </c>
    </row>
    <row r="729" spans="1:15" ht="15.75" customHeight="1">
      <c r="A729" s="4" t="s">
        <v>5872</v>
      </c>
      <c r="B729" s="4" t="s">
        <v>5873</v>
      </c>
      <c r="C729" s="18" t="s">
        <v>8295</v>
      </c>
      <c r="D729" s="4"/>
      <c r="E729" s="4" t="str">
        <f t="shared" si="7"/>
        <v>3.6.1.11</v>
      </c>
      <c r="F729" s="4" t="str">
        <f>$P$3&amp;"R03409"</f>
        <v>R03409</v>
      </c>
      <c r="G729" s="22" t="s">
        <v>10191</v>
      </c>
      <c r="H729" s="22" t="s">
        <v>10192</v>
      </c>
      <c r="I729" s="4"/>
      <c r="K729" s="4"/>
      <c r="N729" s="4" t="s">
        <v>1289</v>
      </c>
      <c r="O729" s="4">
        <v>814</v>
      </c>
    </row>
    <row r="730" spans="1:15" ht="15.75" customHeight="1">
      <c r="A730" s="4" t="s">
        <v>7396</v>
      </c>
      <c r="B730" s="4" t="s">
        <v>7397</v>
      </c>
      <c r="C730" s="19" t="s">
        <v>10193</v>
      </c>
      <c r="D730" s="4"/>
      <c r="E730" s="4" t="str">
        <f t="shared" si="7"/>
        <v>3.6.1.27</v>
      </c>
      <c r="F730" s="4" t="str">
        <f>$P$3&amp;"R05627"</f>
        <v>R05627</v>
      </c>
      <c r="G730" s="22" t="s">
        <v>10194</v>
      </c>
      <c r="H730" s="22" t="s">
        <v>10195</v>
      </c>
      <c r="I730" s="4"/>
      <c r="K730" s="4"/>
      <c r="N730" s="4" t="s">
        <v>1293</v>
      </c>
      <c r="O730" s="4">
        <v>753</v>
      </c>
    </row>
    <row r="731" spans="1:15" ht="15.75" customHeight="1">
      <c r="A731" s="4" t="s">
        <v>1336</v>
      </c>
      <c r="B731" s="4" t="s">
        <v>1337</v>
      </c>
      <c r="C731" s="19" t="s">
        <v>10196</v>
      </c>
      <c r="D731" s="4"/>
      <c r="E731" s="4" t="str">
        <f t="shared" si="7"/>
        <v>3.6.1.31</v>
      </c>
      <c r="F731" s="4" t="str">
        <f>$P$3&amp;"R04035"</f>
        <v>R04035</v>
      </c>
      <c r="G731" s="22" t="s">
        <v>10197</v>
      </c>
      <c r="H731" s="22" t="s">
        <v>10198</v>
      </c>
      <c r="I731" s="4"/>
      <c r="K731" s="4"/>
      <c r="N731" s="4" t="s">
        <v>1297</v>
      </c>
      <c r="O731" s="4">
        <v>283</v>
      </c>
    </row>
    <row r="732" spans="1:15" ht="15.75" customHeight="1">
      <c r="A732" s="4" t="s">
        <v>2129</v>
      </c>
      <c r="B732" s="4" t="s">
        <v>2130</v>
      </c>
      <c r="C732" s="19" t="s">
        <v>10199</v>
      </c>
      <c r="D732" s="4"/>
      <c r="E732" s="4" t="str">
        <f t="shared" si="7"/>
        <v>3.6.1.41</v>
      </c>
      <c r="F732" s="4" t="str">
        <f>$P$3&amp;"R00125"</f>
        <v>R00125</v>
      </c>
      <c r="G732" s="22" t="s">
        <v>10200</v>
      </c>
      <c r="H732" s="27" t="s">
        <v>10201</v>
      </c>
      <c r="K732" s="4"/>
      <c r="N732" s="4" t="s">
        <v>690</v>
      </c>
      <c r="O732" s="4">
        <v>322</v>
      </c>
    </row>
    <row r="733" spans="1:15" ht="15.75" customHeight="1">
      <c r="A733" s="4" t="s">
        <v>227</v>
      </c>
      <c r="B733" s="4" t="s">
        <v>228</v>
      </c>
      <c r="C733" s="19" t="s">
        <v>10202</v>
      </c>
      <c r="D733" s="4"/>
      <c r="E733" s="4" t="str">
        <f t="shared" si="7"/>
        <v>3.6.4.12</v>
      </c>
      <c r="G733" s="4"/>
      <c r="H733" s="4"/>
      <c r="K733" s="4"/>
      <c r="N733" s="4" t="s">
        <v>681</v>
      </c>
      <c r="O733" s="4">
        <v>318</v>
      </c>
    </row>
    <row r="734" spans="1:15" ht="15.75" customHeight="1">
      <c r="A734" s="4" t="s">
        <v>1176</v>
      </c>
      <c r="B734" s="4" t="s">
        <v>1177</v>
      </c>
      <c r="C734" s="19" t="s">
        <v>10203</v>
      </c>
      <c r="D734" s="4"/>
      <c r="E734" s="4" t="str">
        <f t="shared" si="7"/>
        <v>3.6.4.12</v>
      </c>
      <c r="G734" s="4"/>
      <c r="H734" s="4"/>
      <c r="K734" s="4"/>
      <c r="N734" s="4" t="s">
        <v>194</v>
      </c>
      <c r="O734" s="4">
        <v>230</v>
      </c>
    </row>
    <row r="735" spans="1:15" ht="15.75" customHeight="1">
      <c r="A735" s="4" t="s">
        <v>1530</v>
      </c>
      <c r="B735" s="4" t="s">
        <v>1531</v>
      </c>
      <c r="C735" s="19" t="s">
        <v>10204</v>
      </c>
      <c r="D735" s="4"/>
      <c r="E735" s="4" t="str">
        <f t="shared" si="7"/>
        <v>3.6.4.12</v>
      </c>
      <c r="G735" s="4"/>
      <c r="H735" s="4"/>
      <c r="K735" s="4"/>
      <c r="N735" s="4" t="s">
        <v>255</v>
      </c>
      <c r="O735" s="4">
        <v>400</v>
      </c>
    </row>
    <row r="736" spans="1:15" ht="15.75" customHeight="1">
      <c r="A736" s="4" t="s">
        <v>1903</v>
      </c>
      <c r="B736" s="4" t="s">
        <v>1904</v>
      </c>
      <c r="C736" s="19" t="s">
        <v>10205</v>
      </c>
      <c r="D736" s="4"/>
      <c r="E736" s="4" t="str">
        <f t="shared" si="7"/>
        <v>3.6.4.12</v>
      </c>
      <c r="G736" s="4"/>
      <c r="H736" s="4"/>
      <c r="K736" s="4"/>
      <c r="N736" s="4" t="s">
        <v>51</v>
      </c>
      <c r="O736" s="4">
        <v>131</v>
      </c>
    </row>
    <row r="737" spans="1:15" ht="15.75" customHeight="1">
      <c r="A737" s="4" t="s">
        <v>4843</v>
      </c>
      <c r="B737" s="4" t="s">
        <v>4844</v>
      </c>
      <c r="C737" s="19" t="s">
        <v>10206</v>
      </c>
      <c r="D737" s="4"/>
      <c r="E737" s="4" t="str">
        <f t="shared" si="7"/>
        <v>3.6.4.12</v>
      </c>
      <c r="G737" s="4"/>
      <c r="H737" s="4"/>
      <c r="K737" s="4"/>
      <c r="N737" s="4" t="s">
        <v>51</v>
      </c>
      <c r="O737" s="4">
        <v>132</v>
      </c>
    </row>
    <row r="738" spans="1:15" ht="15.75" customHeight="1">
      <c r="A738" s="4" t="s">
        <v>6977</v>
      </c>
      <c r="B738" s="4" t="s">
        <v>6978</v>
      </c>
      <c r="C738" s="19" t="s">
        <v>10207</v>
      </c>
      <c r="D738" s="4"/>
      <c r="E738" s="4" t="str">
        <f t="shared" si="7"/>
        <v>3.6.4.12</v>
      </c>
      <c r="G738" s="4"/>
      <c r="H738" s="4"/>
      <c r="K738" s="4"/>
      <c r="N738" s="4" t="s">
        <v>1327</v>
      </c>
      <c r="O738" s="4">
        <v>211</v>
      </c>
    </row>
    <row r="739" spans="1:15" ht="15.75" customHeight="1">
      <c r="A739" s="4" t="s">
        <v>6981</v>
      </c>
      <c r="B739" s="4" t="s">
        <v>6982</v>
      </c>
      <c r="C739" s="19" t="s">
        <v>10208</v>
      </c>
      <c r="D739" s="4"/>
      <c r="E739" s="4" t="str">
        <f t="shared" si="7"/>
        <v>3.6.4.12</v>
      </c>
      <c r="G739" s="4"/>
      <c r="H739" s="4"/>
      <c r="I739" s="4"/>
      <c r="K739" s="4"/>
      <c r="N739" s="4" t="s">
        <v>1330</v>
      </c>
      <c r="O739" s="4">
        <v>363</v>
      </c>
    </row>
    <row r="740" spans="1:15" ht="15.75" customHeight="1">
      <c r="A740" s="4" t="s">
        <v>4550</v>
      </c>
      <c r="B740" s="4" t="s">
        <v>4551</v>
      </c>
      <c r="C740" s="19" t="s">
        <v>10209</v>
      </c>
      <c r="D740" s="4"/>
      <c r="E740" s="4" t="str">
        <f t="shared" si="7"/>
        <v>3.7.1.22</v>
      </c>
      <c r="F740" s="4" t="str">
        <f>$P$3&amp;"R08603"</f>
        <v>R08603</v>
      </c>
      <c r="G740" s="22" t="s">
        <v>10210</v>
      </c>
      <c r="H740" s="2" t="s">
        <v>10211</v>
      </c>
      <c r="I740" s="4"/>
      <c r="K740" s="4"/>
      <c r="N740" s="4" t="s">
        <v>1342</v>
      </c>
      <c r="O740" s="4">
        <v>252</v>
      </c>
    </row>
    <row r="741" spans="1:15" ht="15.75" customHeight="1">
      <c r="A741" s="4" t="s">
        <v>6909</v>
      </c>
      <c r="B741" s="4" t="s">
        <v>6910</v>
      </c>
      <c r="C741" s="19" t="s">
        <v>10212</v>
      </c>
      <c r="D741" s="4"/>
      <c r="E741" s="4" t="str">
        <f t="shared" si="7"/>
        <v>4.1.1.101</v>
      </c>
      <c r="F741" s="4" t="str">
        <f>$P$3&amp;"R11074"</f>
        <v>R11074</v>
      </c>
      <c r="G741" s="2" t="s">
        <v>10213</v>
      </c>
      <c r="H741" s="22" t="s">
        <v>10214</v>
      </c>
      <c r="I741" s="4"/>
      <c r="K741" s="4"/>
      <c r="N741" s="4" t="s">
        <v>1346</v>
      </c>
      <c r="O741" s="4">
        <v>238</v>
      </c>
    </row>
    <row r="742" spans="1:15" ht="15.75" customHeight="1">
      <c r="A742" s="4" t="s">
        <v>2606</v>
      </c>
      <c r="B742" s="4" t="s">
        <v>2607</v>
      </c>
      <c r="C742" s="19" t="s">
        <v>10215</v>
      </c>
      <c r="D742" s="4"/>
      <c r="E742" s="4" t="str">
        <f t="shared" si="7"/>
        <v>4.1.1.112</v>
      </c>
      <c r="F742" s="4" t="str">
        <f>$P$3&amp;"R00217"</f>
        <v>R00217</v>
      </c>
      <c r="G742" s="2" t="s">
        <v>10216</v>
      </c>
      <c r="H742" s="22" t="s">
        <v>10217</v>
      </c>
      <c r="I742" s="4"/>
      <c r="K742" s="4"/>
      <c r="N742" s="4" t="s">
        <v>1350</v>
      </c>
      <c r="O742" s="4">
        <v>208</v>
      </c>
    </row>
    <row r="743" spans="1:15" ht="15.75" customHeight="1">
      <c r="A743" s="4" t="s">
        <v>2606</v>
      </c>
      <c r="B743" s="4" t="s">
        <v>2607</v>
      </c>
      <c r="C743" s="19" t="s">
        <v>10218</v>
      </c>
      <c r="D743" s="4"/>
      <c r="E743" s="4" t="str">
        <f t="shared" si="7"/>
        <v>4.1.1.112</v>
      </c>
      <c r="F743" s="4" t="str">
        <f>$P$3&amp;"R00995"</f>
        <v>R00995</v>
      </c>
      <c r="G743" s="2" t="s">
        <v>10219</v>
      </c>
      <c r="H743" s="22" t="s">
        <v>10220</v>
      </c>
      <c r="I743" s="4"/>
      <c r="K743" s="4"/>
      <c r="N743" s="4" t="s">
        <v>1350</v>
      </c>
      <c r="O743" s="4">
        <v>208</v>
      </c>
    </row>
    <row r="744" spans="1:15" ht="15.75" customHeight="1">
      <c r="A744" s="4" t="s">
        <v>5531</v>
      </c>
      <c r="B744" s="4" t="s">
        <v>5532</v>
      </c>
      <c r="C744" s="19" t="s">
        <v>10221</v>
      </c>
      <c r="D744" s="4"/>
      <c r="E744" s="4" t="str">
        <f t="shared" si="7"/>
        <v>4.1.1.12</v>
      </c>
      <c r="F744" s="4" t="str">
        <f>$P$3&amp;"R00397"</f>
        <v>R00397</v>
      </c>
      <c r="G744" s="2" t="s">
        <v>10222</v>
      </c>
      <c r="H744" s="22" t="s">
        <v>10223</v>
      </c>
      <c r="I744" s="4"/>
      <c r="K744" s="4"/>
      <c r="N744" s="4" t="s">
        <v>1354</v>
      </c>
      <c r="O744" s="4">
        <v>194</v>
      </c>
    </row>
    <row r="745" spans="1:15" ht="15.75" customHeight="1">
      <c r="A745" s="4" t="s">
        <v>5531</v>
      </c>
      <c r="B745" s="4" t="s">
        <v>5532</v>
      </c>
      <c r="C745" s="19" t="s">
        <v>10224</v>
      </c>
      <c r="D745" s="4"/>
      <c r="E745" s="4" t="str">
        <f t="shared" si="7"/>
        <v>4.1.1.12</v>
      </c>
      <c r="F745" s="4" t="str">
        <f>$P$3&amp;"R00863"</f>
        <v>R00863</v>
      </c>
      <c r="G745" s="2" t="s">
        <v>10225</v>
      </c>
      <c r="H745" s="22" t="s">
        <v>10226</v>
      </c>
      <c r="I745" s="4"/>
      <c r="K745" s="4"/>
      <c r="N745" s="4" t="s">
        <v>1354</v>
      </c>
      <c r="O745" s="4">
        <v>194</v>
      </c>
    </row>
    <row r="746" spans="1:15" ht="15.75" customHeight="1">
      <c r="A746" s="4" t="s">
        <v>4905</v>
      </c>
      <c r="B746" s="4" t="s">
        <v>4906</v>
      </c>
      <c r="C746" s="19" t="s">
        <v>10227</v>
      </c>
      <c r="D746" s="4"/>
      <c r="E746" s="4" t="str">
        <f t="shared" si="7"/>
        <v>4.1.1.20</v>
      </c>
      <c r="F746" s="4" t="str">
        <f>$P$3&amp;"R00451"</f>
        <v>R00451</v>
      </c>
      <c r="G746" s="2" t="s">
        <v>10228</v>
      </c>
      <c r="H746" s="22" t="s">
        <v>10229</v>
      </c>
      <c r="I746" s="4"/>
      <c r="K746" s="4"/>
      <c r="N746" s="4" t="s">
        <v>1358</v>
      </c>
      <c r="O746" s="4">
        <v>430</v>
      </c>
    </row>
    <row r="747" spans="1:15" ht="15.75" customHeight="1">
      <c r="A747" s="4" t="s">
        <v>2348</v>
      </c>
      <c r="B747" s="4" t="s">
        <v>2349</v>
      </c>
      <c r="C747" s="19" t="s">
        <v>10230</v>
      </c>
      <c r="D747" s="20"/>
      <c r="E747" s="4" t="str">
        <f t="shared" si="7"/>
        <v>4.1.1.21</v>
      </c>
      <c r="F747" s="4" t="str">
        <f>$P$3&amp;"R04209"</f>
        <v>R04209</v>
      </c>
      <c r="G747" s="2" t="s">
        <v>10231</v>
      </c>
      <c r="H747" s="22" t="s">
        <v>10232</v>
      </c>
      <c r="I747" s="4"/>
      <c r="K747" s="4"/>
      <c r="N747" s="4" t="s">
        <v>1362</v>
      </c>
      <c r="O747" s="4">
        <v>211</v>
      </c>
    </row>
    <row r="748" spans="1:15" ht="15.75" customHeight="1">
      <c r="A748" s="4" t="s">
        <v>1409</v>
      </c>
      <c r="B748" s="4" t="s">
        <v>1410</v>
      </c>
      <c r="C748" s="19" t="s">
        <v>10233</v>
      </c>
      <c r="D748" s="4"/>
      <c r="E748" s="4" t="str">
        <f t="shared" si="7"/>
        <v>4.1.1.23</v>
      </c>
      <c r="F748" s="4" t="str">
        <f>$P$3&amp;"R00965"</f>
        <v>R00965</v>
      </c>
      <c r="G748" s="2" t="s">
        <v>10234</v>
      </c>
      <c r="H748" s="22" t="s">
        <v>10235</v>
      </c>
      <c r="K748" s="4"/>
      <c r="N748" s="4" t="s">
        <v>1366</v>
      </c>
      <c r="O748" s="4">
        <v>382</v>
      </c>
    </row>
    <row r="749" spans="1:15" ht="15.75" customHeight="1">
      <c r="A749" s="4" t="s">
        <v>1541</v>
      </c>
      <c r="B749" s="4" t="s">
        <v>1542</v>
      </c>
      <c r="C749" s="19" t="s">
        <v>10236</v>
      </c>
      <c r="D749" s="4"/>
      <c r="E749" s="4" t="str">
        <f t="shared" si="7"/>
        <v>4.1.1.33</v>
      </c>
      <c r="F749" s="4" t="str">
        <f>$P$3&amp;"R01121"</f>
        <v>R01121</v>
      </c>
      <c r="G749" s="22" t="s">
        <v>10237</v>
      </c>
      <c r="H749" s="22" t="s">
        <v>10238</v>
      </c>
      <c r="I749" s="4"/>
      <c r="K749" s="4"/>
      <c r="N749" s="4" t="s">
        <v>1330</v>
      </c>
      <c r="O749" s="4">
        <v>365</v>
      </c>
    </row>
    <row r="750" spans="1:15" ht="15.75" customHeight="1">
      <c r="A750" s="4" t="s">
        <v>1947</v>
      </c>
      <c r="B750" s="4" t="s">
        <v>1948</v>
      </c>
      <c r="C750" s="19" t="s">
        <v>10239</v>
      </c>
      <c r="D750" s="20"/>
      <c r="E750" s="4" t="str">
        <f t="shared" si="7"/>
        <v>4.1.1.36</v>
      </c>
      <c r="F750" s="4" t="str">
        <f>$P$3&amp;"R03269"</f>
        <v>R03269</v>
      </c>
      <c r="G750" s="2" t="s">
        <v>10240</v>
      </c>
      <c r="H750" s="22" t="s">
        <v>10241</v>
      </c>
      <c r="I750" s="4"/>
      <c r="K750" s="4"/>
      <c r="N750" s="4" t="s">
        <v>1330</v>
      </c>
      <c r="O750" s="4">
        <v>365</v>
      </c>
    </row>
    <row r="751" spans="1:15" ht="15.75" customHeight="1">
      <c r="A751" s="4" t="s">
        <v>4940</v>
      </c>
      <c r="B751" s="4" t="s">
        <v>4941</v>
      </c>
      <c r="C751" s="19" t="s">
        <v>10242</v>
      </c>
      <c r="D751" s="4"/>
      <c r="E751" s="4" t="str">
        <f t="shared" si="7"/>
        <v>4.1.1.48</v>
      </c>
      <c r="F751" s="4" t="str">
        <f>$P$3&amp;"R03508"</f>
        <v>R03508</v>
      </c>
      <c r="G751" s="2" t="s">
        <v>10243</v>
      </c>
      <c r="H751" s="22" t="s">
        <v>10244</v>
      </c>
      <c r="K751" s="4"/>
      <c r="N751" s="4" t="s">
        <v>931</v>
      </c>
      <c r="O751" s="4">
        <v>186</v>
      </c>
    </row>
    <row r="752" spans="1:15" ht="15.75" customHeight="1">
      <c r="A752" s="4" t="s">
        <v>2517</v>
      </c>
      <c r="B752" s="4" t="s">
        <v>2518</v>
      </c>
      <c r="C752" s="19" t="s">
        <v>10245</v>
      </c>
      <c r="D752" s="4"/>
      <c r="E752" s="4" t="str">
        <f t="shared" si="7"/>
        <v>4.1.1.49</v>
      </c>
      <c r="F752" s="4" t="str">
        <f>$P$3&amp;"R00341"</f>
        <v>R00341</v>
      </c>
      <c r="G752" s="22" t="s">
        <v>10246</v>
      </c>
      <c r="H752" s="22" t="s">
        <v>10247</v>
      </c>
      <c r="K752" s="4"/>
      <c r="N752" s="4" t="s">
        <v>270</v>
      </c>
      <c r="O752" s="4">
        <v>288</v>
      </c>
    </row>
    <row r="753" spans="1:15" ht="15.75" customHeight="1">
      <c r="A753" s="4" t="s">
        <v>2569</v>
      </c>
      <c r="B753" s="4" t="s">
        <v>2570</v>
      </c>
      <c r="C753" s="19" t="s">
        <v>10248</v>
      </c>
      <c r="D753" s="4"/>
      <c r="E753" s="4" t="str">
        <f t="shared" si="7"/>
        <v>4.1.1.5</v>
      </c>
      <c r="F753" s="4" t="str">
        <f>$P$3&amp;"R02948"</f>
        <v>R02948</v>
      </c>
      <c r="G753" s="2" t="s">
        <v>10249</v>
      </c>
      <c r="H753" s="22" t="s">
        <v>10250</v>
      </c>
      <c r="K753" s="4"/>
      <c r="N753" s="4" t="s">
        <v>1375</v>
      </c>
      <c r="O753" s="4">
        <v>567</v>
      </c>
    </row>
    <row r="754" spans="1:15" ht="15.75" customHeight="1">
      <c r="A754" s="4" t="s">
        <v>5580</v>
      </c>
      <c r="B754" s="4" t="s">
        <v>5581</v>
      </c>
      <c r="C754" s="19" t="s">
        <v>10251</v>
      </c>
      <c r="D754" s="4"/>
      <c r="E754" s="4" t="str">
        <f t="shared" si="7"/>
        <v>4.1.1.85</v>
      </c>
      <c r="F754" s="4" t="str">
        <f>$P$3&amp;"R07125"</f>
        <v>R07125</v>
      </c>
      <c r="G754" s="22" t="s">
        <v>10252</v>
      </c>
      <c r="H754" s="22" t="s">
        <v>10253</v>
      </c>
      <c r="K754" s="4"/>
      <c r="N754" s="4" t="s">
        <v>1375</v>
      </c>
      <c r="O754" s="4">
        <v>567</v>
      </c>
    </row>
    <row r="755" spans="1:15" ht="15.75" customHeight="1">
      <c r="A755" s="4" t="s">
        <v>3971</v>
      </c>
      <c r="B755" s="4" t="s">
        <v>3972</v>
      </c>
      <c r="C755" s="19" t="s">
        <v>10254</v>
      </c>
      <c r="D755" s="4"/>
      <c r="E755" s="4" t="str">
        <f t="shared" si="7"/>
        <v>4.1.2.13</v>
      </c>
      <c r="F755" s="4" t="str">
        <f>$P$3&amp;"R01068"</f>
        <v>R01068</v>
      </c>
      <c r="G755" s="2" t="s">
        <v>10255</v>
      </c>
      <c r="H755" s="22" t="s">
        <v>10256</v>
      </c>
      <c r="K755" s="4"/>
      <c r="N755" s="4" t="s">
        <v>1378</v>
      </c>
      <c r="O755" s="4">
        <v>103</v>
      </c>
    </row>
    <row r="756" spans="1:15" ht="15.75" customHeight="1">
      <c r="A756" s="4" t="s">
        <v>3971</v>
      </c>
      <c r="B756" s="4" t="s">
        <v>3972</v>
      </c>
      <c r="C756" s="19" t="s">
        <v>10257</v>
      </c>
      <c r="D756" s="4"/>
      <c r="E756" s="4" t="str">
        <f t="shared" si="7"/>
        <v>4.1.2.13</v>
      </c>
      <c r="F756" s="4" t="str">
        <f>$P$3&amp;"R01070"</f>
        <v>R01070</v>
      </c>
      <c r="G756" s="2" t="s">
        <v>10258</v>
      </c>
      <c r="H756" s="22" t="s">
        <v>10259</v>
      </c>
      <c r="K756" s="4"/>
      <c r="N756" s="4" t="s">
        <v>1378</v>
      </c>
      <c r="O756" s="4">
        <v>103</v>
      </c>
    </row>
    <row r="757" spans="1:15" ht="15.75" customHeight="1">
      <c r="A757" s="4" t="s">
        <v>3971</v>
      </c>
      <c r="B757" s="4" t="s">
        <v>3972</v>
      </c>
      <c r="C757" s="19" t="s">
        <v>10260</v>
      </c>
      <c r="D757" s="4"/>
      <c r="E757" s="4" t="str">
        <f t="shared" si="7"/>
        <v>4.1.2.13</v>
      </c>
      <c r="F757" s="4" t="str">
        <f>$P$3&amp;"R01829"</f>
        <v>R01829</v>
      </c>
      <c r="G757" s="2" t="s">
        <v>10261</v>
      </c>
      <c r="H757" s="22" t="s">
        <v>10262</v>
      </c>
      <c r="K757" s="4"/>
      <c r="N757" s="4" t="s">
        <v>1378</v>
      </c>
      <c r="O757" s="4">
        <v>103</v>
      </c>
    </row>
    <row r="758" spans="1:15" ht="15.75" customHeight="1">
      <c r="A758" s="4" t="s">
        <v>3971</v>
      </c>
      <c r="B758" s="4" t="s">
        <v>3972</v>
      </c>
      <c r="C758" s="19" t="s">
        <v>10263</v>
      </c>
      <c r="D758" s="4"/>
      <c r="E758" s="4" t="str">
        <f t="shared" si="7"/>
        <v>4.1.2.13</v>
      </c>
      <c r="F758" s="4" t="str">
        <f>$P$3&amp;"R02568"</f>
        <v>R02568</v>
      </c>
      <c r="G758" s="2" t="s">
        <v>10264</v>
      </c>
      <c r="H758" s="22" t="s">
        <v>10265</v>
      </c>
      <c r="K758" s="4"/>
      <c r="N758" s="4" t="s">
        <v>1378</v>
      </c>
      <c r="O758" s="4">
        <v>103</v>
      </c>
    </row>
    <row r="759" spans="1:15" ht="15.75" customHeight="1">
      <c r="A759" s="4" t="s">
        <v>4165</v>
      </c>
      <c r="B759" s="4" t="s">
        <v>4166</v>
      </c>
      <c r="C759" s="19" t="s">
        <v>10266</v>
      </c>
      <c r="D759" s="4"/>
      <c r="E759" s="4" t="str">
        <f t="shared" si="7"/>
        <v>4.1.2.13</v>
      </c>
      <c r="F759" s="4" t="str">
        <f>$P$3&amp;"R01068"</f>
        <v>R01068</v>
      </c>
      <c r="G759" s="2" t="s">
        <v>10267</v>
      </c>
      <c r="H759" s="22" t="s">
        <v>10268</v>
      </c>
      <c r="K759" s="4"/>
      <c r="N759" s="4" t="s">
        <v>1381</v>
      </c>
      <c r="O759" s="4">
        <v>382</v>
      </c>
    </row>
    <row r="760" spans="1:15" ht="15.75" customHeight="1">
      <c r="A760" s="4" t="s">
        <v>4165</v>
      </c>
      <c r="B760" s="4" t="s">
        <v>4166</v>
      </c>
      <c r="C760" s="19" t="s">
        <v>10269</v>
      </c>
      <c r="D760" s="4"/>
      <c r="E760" s="4" t="str">
        <f t="shared" si="7"/>
        <v>4.1.2.13</v>
      </c>
      <c r="F760" s="4" t="str">
        <f>$P$3&amp;"R01070"</f>
        <v>R01070</v>
      </c>
      <c r="G760" s="2" t="s">
        <v>10270</v>
      </c>
      <c r="H760" s="22" t="s">
        <v>10271</v>
      </c>
      <c r="K760" s="4"/>
      <c r="N760" s="4" t="s">
        <v>1381</v>
      </c>
      <c r="O760" s="4">
        <v>382</v>
      </c>
    </row>
    <row r="761" spans="1:15" ht="15.75" customHeight="1">
      <c r="A761" s="4" t="s">
        <v>4165</v>
      </c>
      <c r="B761" s="4" t="s">
        <v>4166</v>
      </c>
      <c r="C761" s="19" t="s">
        <v>10272</v>
      </c>
      <c r="D761" s="4"/>
      <c r="E761" s="4" t="str">
        <f t="shared" si="7"/>
        <v>4.1.2.13</v>
      </c>
      <c r="F761" s="4" t="str">
        <f>$P$3&amp;"R01829"</f>
        <v>R01829</v>
      </c>
      <c r="G761" s="2" t="s">
        <v>10273</v>
      </c>
      <c r="H761" s="22" t="s">
        <v>10274</v>
      </c>
      <c r="K761" s="4"/>
      <c r="N761" s="4" t="s">
        <v>1381</v>
      </c>
      <c r="O761" s="4">
        <v>382</v>
      </c>
    </row>
    <row r="762" spans="1:15" ht="15.75" customHeight="1">
      <c r="A762" s="4" t="s">
        <v>4165</v>
      </c>
      <c r="B762" s="4" t="s">
        <v>4166</v>
      </c>
      <c r="C762" s="19" t="s">
        <v>10275</v>
      </c>
      <c r="D762" s="4"/>
      <c r="E762" s="4" t="str">
        <f t="shared" si="7"/>
        <v>4.1.2.13</v>
      </c>
      <c r="F762" s="4" t="str">
        <f>$P$3&amp;"R02568"</f>
        <v>R02568</v>
      </c>
      <c r="G762" s="2" t="s">
        <v>10276</v>
      </c>
      <c r="H762" s="22" t="s">
        <v>10277</v>
      </c>
      <c r="K762" s="4"/>
      <c r="N762" s="4" t="s">
        <v>1381</v>
      </c>
      <c r="O762" s="4">
        <v>382</v>
      </c>
    </row>
    <row r="763" spans="1:15" ht="15.75" customHeight="1">
      <c r="A763" s="4" t="s">
        <v>5504</v>
      </c>
      <c r="B763" s="4" t="s">
        <v>5505</v>
      </c>
      <c r="C763" s="19" t="s">
        <v>10278</v>
      </c>
      <c r="D763" s="4"/>
      <c r="E763" s="4" t="str">
        <f t="shared" si="7"/>
        <v>4.1.2.13</v>
      </c>
      <c r="F763" s="4" t="str">
        <f>$P$3&amp;"R01068"</f>
        <v>R01068</v>
      </c>
      <c r="G763" s="2" t="s">
        <v>10279</v>
      </c>
      <c r="H763" s="22" t="s">
        <v>10280</v>
      </c>
      <c r="K763" s="4"/>
      <c r="N763" s="4" t="s">
        <v>1384</v>
      </c>
      <c r="O763" s="4">
        <v>314</v>
      </c>
    </row>
    <row r="764" spans="1:15" ht="15.75" customHeight="1">
      <c r="A764" s="4" t="s">
        <v>5504</v>
      </c>
      <c r="B764" s="4" t="s">
        <v>5505</v>
      </c>
      <c r="C764" s="19" t="s">
        <v>10281</v>
      </c>
      <c r="D764" s="4"/>
      <c r="E764" s="4" t="str">
        <f t="shared" si="7"/>
        <v>4.1.2.13</v>
      </c>
      <c r="F764" s="4" t="str">
        <f>$P$3&amp;"R01070"</f>
        <v>R01070</v>
      </c>
      <c r="G764" s="2" t="s">
        <v>10282</v>
      </c>
      <c r="H764" s="22" t="s">
        <v>10283</v>
      </c>
      <c r="K764" s="4"/>
      <c r="N764" s="4" t="s">
        <v>1384</v>
      </c>
      <c r="O764" s="4">
        <v>314</v>
      </c>
    </row>
    <row r="765" spans="1:15" ht="15.75" customHeight="1">
      <c r="A765" s="4" t="s">
        <v>5504</v>
      </c>
      <c r="B765" s="4" t="s">
        <v>5505</v>
      </c>
      <c r="C765" s="19" t="s">
        <v>10284</v>
      </c>
      <c r="D765" s="4"/>
      <c r="E765" s="4" t="str">
        <f t="shared" si="7"/>
        <v>4.1.2.13</v>
      </c>
      <c r="F765" s="4" t="str">
        <f>$P$3&amp;"R01829"</f>
        <v>R01829</v>
      </c>
      <c r="G765" s="2" t="s">
        <v>10285</v>
      </c>
      <c r="H765" s="22" t="s">
        <v>10286</v>
      </c>
      <c r="K765" s="4"/>
      <c r="N765" s="4" t="s">
        <v>1384</v>
      </c>
      <c r="O765" s="4">
        <v>314</v>
      </c>
    </row>
    <row r="766" spans="1:15" ht="15.75" customHeight="1">
      <c r="A766" s="4" t="s">
        <v>5504</v>
      </c>
      <c r="B766" s="4" t="s">
        <v>5505</v>
      </c>
      <c r="C766" s="19" t="s">
        <v>10287</v>
      </c>
      <c r="D766" s="4"/>
      <c r="E766" s="4" t="str">
        <f t="shared" si="7"/>
        <v>4.1.2.13</v>
      </c>
      <c r="F766" s="4" t="str">
        <f>$P$3&amp;"R02568"</f>
        <v>R02568</v>
      </c>
      <c r="G766" s="2" t="s">
        <v>10288</v>
      </c>
      <c r="H766" s="22" t="s">
        <v>10289</v>
      </c>
      <c r="K766" s="4"/>
      <c r="N766" s="4" t="s">
        <v>1384</v>
      </c>
      <c r="O766" s="4">
        <v>314</v>
      </c>
    </row>
    <row r="767" spans="1:15" ht="15.75" customHeight="1">
      <c r="A767" s="4" t="s">
        <v>4440</v>
      </c>
      <c r="B767" s="4" t="s">
        <v>4441</v>
      </c>
      <c r="C767" s="19" t="s">
        <v>10290</v>
      </c>
      <c r="D767" s="4"/>
      <c r="E767" s="4" t="str">
        <f t="shared" si="7"/>
        <v>4.1.2.4</v>
      </c>
      <c r="F767" s="4" t="str">
        <f t="shared" ref="F767:F768" si="11">$P$3&amp;"R01066"</f>
        <v>R01066</v>
      </c>
      <c r="G767" s="2" t="s">
        <v>10291</v>
      </c>
      <c r="H767" s="22" t="s">
        <v>10292</v>
      </c>
      <c r="K767" s="4"/>
    </row>
    <row r="768" spans="1:15" ht="15.75" customHeight="1">
      <c r="A768" s="4" t="s">
        <v>5103</v>
      </c>
      <c r="B768" s="4" t="s">
        <v>5104</v>
      </c>
      <c r="C768" s="19" t="s">
        <v>10293</v>
      </c>
      <c r="D768" s="4"/>
      <c r="E768" s="4" t="str">
        <f t="shared" si="7"/>
        <v>4.1.2.4</v>
      </c>
      <c r="F768" s="4" t="str">
        <f t="shared" si="11"/>
        <v>R01066</v>
      </c>
      <c r="G768" s="2" t="s">
        <v>10294</v>
      </c>
      <c r="H768" s="22" t="s">
        <v>10295</v>
      </c>
      <c r="K768" s="4"/>
    </row>
    <row r="769" spans="1:15" ht="15.75" customHeight="1">
      <c r="A769" s="4" t="s">
        <v>4103</v>
      </c>
      <c r="B769" s="4" t="s">
        <v>4104</v>
      </c>
      <c r="C769" s="19" t="s">
        <v>10296</v>
      </c>
      <c r="D769" s="4"/>
      <c r="E769" s="4" t="str">
        <f t="shared" si="7"/>
        <v>4.1.2.43</v>
      </c>
      <c r="F769" s="4" t="str">
        <f t="shared" ref="F769:F770" si="12">$P$3&amp;"R05338"</f>
        <v>R05338</v>
      </c>
      <c r="G769" s="22" t="s">
        <v>10297</v>
      </c>
      <c r="H769" s="2" t="s">
        <v>10298</v>
      </c>
      <c r="K769" s="4"/>
      <c r="N769" s="4" t="s">
        <v>989</v>
      </c>
      <c r="O769" s="4">
        <v>328</v>
      </c>
    </row>
    <row r="770" spans="1:15" ht="15.75" customHeight="1">
      <c r="A770" s="4" t="s">
        <v>4189</v>
      </c>
      <c r="B770" s="4" t="s">
        <v>4190</v>
      </c>
      <c r="C770" s="19" t="s">
        <v>10299</v>
      </c>
      <c r="D770" s="4"/>
      <c r="E770" s="4" t="str">
        <f t="shared" si="7"/>
        <v>4.1.2.43</v>
      </c>
      <c r="F770" s="4" t="str">
        <f t="shared" si="12"/>
        <v>R05338</v>
      </c>
      <c r="G770" s="22" t="s">
        <v>10300</v>
      </c>
      <c r="H770" s="2" t="s">
        <v>10301</v>
      </c>
      <c r="K770" s="4"/>
      <c r="N770" s="4" t="s">
        <v>1391</v>
      </c>
      <c r="O770" s="4">
        <v>334</v>
      </c>
    </row>
    <row r="771" spans="1:15" ht="15.75" customHeight="1">
      <c r="A771" s="4" t="s">
        <v>2614</v>
      </c>
      <c r="B771" s="4" t="s">
        <v>2615</v>
      </c>
      <c r="C771" s="19" t="s">
        <v>10302</v>
      </c>
      <c r="E771" s="4" t="str">
        <f t="shared" si="7"/>
        <v>4.1.3.6</v>
      </c>
      <c r="F771" s="4" t="str">
        <f t="shared" ref="F771:F772" si="13">$P$3&amp;"R00362"</f>
        <v>R00362</v>
      </c>
      <c r="G771" s="2" t="s">
        <v>10303</v>
      </c>
      <c r="H771" s="22" t="s">
        <v>10304</v>
      </c>
      <c r="I771" s="4"/>
      <c r="K771" s="4"/>
      <c r="N771" s="4" t="s">
        <v>995</v>
      </c>
      <c r="O771" s="4">
        <v>471</v>
      </c>
    </row>
    <row r="772" spans="1:15" ht="15.75" customHeight="1">
      <c r="A772" s="4" t="s">
        <v>2621</v>
      </c>
      <c r="B772" s="4" t="s">
        <v>2622</v>
      </c>
      <c r="C772" s="19" t="s">
        <v>10305</v>
      </c>
      <c r="D772" s="4"/>
      <c r="E772" s="4" t="str">
        <f t="shared" si="7"/>
        <v>4.1.3.6</v>
      </c>
      <c r="F772" s="4" t="str">
        <f t="shared" si="13"/>
        <v>R00362</v>
      </c>
      <c r="G772" s="2" t="s">
        <v>10306</v>
      </c>
      <c r="H772" s="22" t="s">
        <v>10307</v>
      </c>
      <c r="I772" s="4"/>
      <c r="K772" s="4"/>
      <c r="N772" s="4" t="s">
        <v>1396</v>
      </c>
      <c r="O772" s="4">
        <v>373</v>
      </c>
    </row>
    <row r="773" spans="1:15" ht="15.75" customHeight="1">
      <c r="A773" s="4" t="s">
        <v>7588</v>
      </c>
      <c r="B773" s="4" t="s">
        <v>7589</v>
      </c>
      <c r="C773" s="19" t="s">
        <v>10308</v>
      </c>
      <c r="D773" s="4"/>
      <c r="E773" s="4" t="str">
        <f t="shared" si="7"/>
        <v>4.2.1.11</v>
      </c>
      <c r="F773" s="4" t="str">
        <f>$P$3&amp;"R00658"</f>
        <v>R00658</v>
      </c>
      <c r="G773" s="2" t="s">
        <v>10309</v>
      </c>
      <c r="H773" s="22" t="s">
        <v>10310</v>
      </c>
      <c r="I773" s="4"/>
      <c r="K773" s="4"/>
      <c r="N773" s="4" t="s">
        <v>1403</v>
      </c>
      <c r="O773" s="4">
        <v>213</v>
      </c>
    </row>
    <row r="774" spans="1:15" ht="15.75" customHeight="1">
      <c r="A774" s="4" t="s">
        <v>7588</v>
      </c>
      <c r="B774" s="4" t="s">
        <v>7589</v>
      </c>
      <c r="C774" s="19" t="s">
        <v>10311</v>
      </c>
      <c r="D774" s="4"/>
      <c r="E774" s="4" t="str">
        <f t="shared" si="7"/>
        <v>4.2.1.11</v>
      </c>
      <c r="F774" s="4" t="str">
        <f>$P$3&amp;"R04206"</f>
        <v>R04206</v>
      </c>
      <c r="G774" s="2" t="s">
        <v>10312</v>
      </c>
      <c r="H774" s="22" t="s">
        <v>10313</v>
      </c>
      <c r="I774" s="4"/>
      <c r="K774" s="4"/>
      <c r="N774" s="4" t="s">
        <v>1403</v>
      </c>
      <c r="O774" s="4">
        <v>213</v>
      </c>
    </row>
    <row r="775" spans="1:15" ht="15.75" customHeight="1">
      <c r="A775" s="4" t="s">
        <v>4146</v>
      </c>
      <c r="B775" s="4" t="s">
        <v>4147</v>
      </c>
      <c r="C775" s="19" t="s">
        <v>10314</v>
      </c>
      <c r="D775" s="4"/>
      <c r="E775" s="4" t="str">
        <f t="shared" si="7"/>
        <v>4.2.1.113</v>
      </c>
      <c r="F775" s="4" t="str">
        <f>$P$3&amp;"R04031"</f>
        <v>R04031</v>
      </c>
      <c r="G775" s="22" t="s">
        <v>10315</v>
      </c>
      <c r="H775" s="2" t="s">
        <v>10316</v>
      </c>
      <c r="I775" s="4"/>
      <c r="K775" s="4"/>
      <c r="N775" s="4" t="s">
        <v>1407</v>
      </c>
      <c r="O775" s="4">
        <v>239</v>
      </c>
    </row>
    <row r="776" spans="1:15" ht="15.75" customHeight="1">
      <c r="A776" s="4" t="s">
        <v>4834</v>
      </c>
      <c r="B776" s="4" t="s">
        <v>4835</v>
      </c>
      <c r="C776" s="19" t="s">
        <v>10317</v>
      </c>
      <c r="D776" s="4"/>
      <c r="E776" s="4" t="str">
        <f t="shared" si="7"/>
        <v>4.2.1.126</v>
      </c>
      <c r="F776" s="4" t="str">
        <f t="shared" ref="F776:F777" si="14">$P$3&amp;"R08555"</f>
        <v>R08555</v>
      </c>
      <c r="G776" s="22" t="s">
        <v>10318</v>
      </c>
      <c r="H776" s="22" t="s">
        <v>10319</v>
      </c>
      <c r="K776" s="4"/>
      <c r="N776" s="4" t="s">
        <v>1411</v>
      </c>
      <c r="O776" s="4">
        <v>291</v>
      </c>
    </row>
    <row r="777" spans="1:15" ht="15.75" customHeight="1">
      <c r="A777" s="4" t="s">
        <v>5451</v>
      </c>
      <c r="B777" s="4" t="s">
        <v>5452</v>
      </c>
      <c r="C777" s="19" t="s">
        <v>10320</v>
      </c>
      <c r="D777" s="4"/>
      <c r="E777" s="4" t="str">
        <f t="shared" si="7"/>
        <v>4.2.1.126</v>
      </c>
      <c r="F777" s="4" t="str">
        <f t="shared" si="14"/>
        <v>R08555</v>
      </c>
      <c r="G777" s="22" t="s">
        <v>10321</v>
      </c>
      <c r="H777" s="22" t="s">
        <v>10322</v>
      </c>
      <c r="I777" s="4"/>
      <c r="K777" s="4"/>
      <c r="N777" s="4" t="s">
        <v>1414</v>
      </c>
      <c r="O777" s="4">
        <v>1060</v>
      </c>
    </row>
    <row r="778" spans="1:15" ht="15.75" customHeight="1">
      <c r="A778" s="4" t="s">
        <v>1356</v>
      </c>
      <c r="B778" s="4" t="s">
        <v>1357</v>
      </c>
      <c r="C778" s="19" t="s">
        <v>10323</v>
      </c>
      <c r="D778" s="4"/>
      <c r="E778" s="4" t="str">
        <f t="shared" si="7"/>
        <v>4.2.1.19</v>
      </c>
      <c r="F778" s="4" t="str">
        <f>$P$3&amp;"R03457"</f>
        <v>R03457</v>
      </c>
      <c r="G778" s="2" t="s">
        <v>10324</v>
      </c>
      <c r="H778" s="22" t="s">
        <v>10325</v>
      </c>
      <c r="K778" s="4"/>
      <c r="N778" s="4" t="s">
        <v>1418</v>
      </c>
      <c r="O778" s="4">
        <v>360</v>
      </c>
    </row>
    <row r="779" spans="1:15" ht="15.75" customHeight="1">
      <c r="A779" s="4" t="s">
        <v>6417</v>
      </c>
      <c r="B779" s="4" t="s">
        <v>6418</v>
      </c>
      <c r="C779" s="19" t="s">
        <v>10326</v>
      </c>
      <c r="D779" s="4"/>
      <c r="E779" s="4" t="str">
        <f t="shared" si="7"/>
        <v>4.2.1.2</v>
      </c>
      <c r="F779" s="4" t="str">
        <f>$P$3&amp;"R01082"</f>
        <v>R01082</v>
      </c>
      <c r="G779" s="2" t="s">
        <v>10327</v>
      </c>
      <c r="H779" s="2" t="s">
        <v>10328</v>
      </c>
      <c r="K779" s="4"/>
      <c r="N779" s="4" t="s">
        <v>1421</v>
      </c>
      <c r="O779" s="4">
        <v>421</v>
      </c>
    </row>
    <row r="780" spans="1:15" ht="15.75" customHeight="1">
      <c r="A780" s="4" t="s">
        <v>4948</v>
      </c>
      <c r="B780" s="4" t="s">
        <v>4949</v>
      </c>
      <c r="C780" s="19" t="s">
        <v>10329</v>
      </c>
      <c r="D780" s="4"/>
      <c r="E780" s="4" t="str">
        <f t="shared" si="7"/>
        <v>4.2.1.20</v>
      </c>
      <c r="F780" s="4" t="str">
        <f>$P$3&amp;"R00674"</f>
        <v>R00674</v>
      </c>
      <c r="G780" s="22" t="s">
        <v>10330</v>
      </c>
      <c r="H780" s="22" t="s">
        <v>10331</v>
      </c>
      <c r="K780" s="4"/>
      <c r="N780" s="4" t="s">
        <v>1424</v>
      </c>
      <c r="O780" s="4">
        <v>313</v>
      </c>
    </row>
    <row r="781" spans="1:15" ht="15.75" customHeight="1">
      <c r="A781" s="4" t="s">
        <v>4948</v>
      </c>
      <c r="B781" s="4" t="s">
        <v>4949</v>
      </c>
      <c r="C781" s="19" t="s">
        <v>10332</v>
      </c>
      <c r="D781" s="4"/>
      <c r="E781" s="4" t="str">
        <f t="shared" si="7"/>
        <v>4.2.1.20</v>
      </c>
      <c r="F781" s="4" t="str">
        <f>$P$3&amp;"R02340"</f>
        <v>R02340</v>
      </c>
      <c r="G781" s="2" t="s">
        <v>10333</v>
      </c>
      <c r="H781" s="22" t="s">
        <v>10334</v>
      </c>
      <c r="K781" s="4"/>
      <c r="N781" s="4" t="s">
        <v>1424</v>
      </c>
      <c r="O781" s="4">
        <v>313</v>
      </c>
    </row>
    <row r="782" spans="1:15" ht="15.75" customHeight="1">
      <c r="A782" s="4" t="s">
        <v>4948</v>
      </c>
      <c r="B782" s="4" t="s">
        <v>4949</v>
      </c>
      <c r="C782" s="19" t="s">
        <v>10335</v>
      </c>
      <c r="D782" s="4"/>
      <c r="E782" s="4" t="str">
        <f t="shared" si="7"/>
        <v>4.2.1.20</v>
      </c>
      <c r="F782" s="4" t="str">
        <f>$P$3&amp;"R02722"</f>
        <v>R02722</v>
      </c>
      <c r="G782" s="22" t="s">
        <v>10336</v>
      </c>
      <c r="H782" s="22" t="s">
        <v>10337</v>
      </c>
      <c r="K782" s="4"/>
      <c r="N782" s="4" t="s">
        <v>1424</v>
      </c>
      <c r="O782" s="4">
        <v>313</v>
      </c>
    </row>
    <row r="783" spans="1:15" ht="15.75" customHeight="1">
      <c r="A783" s="4" t="s">
        <v>4951</v>
      </c>
      <c r="B783" s="4" t="s">
        <v>4952</v>
      </c>
      <c r="C783" s="19" t="s">
        <v>10338</v>
      </c>
      <c r="D783" s="4"/>
      <c r="E783" s="4" t="str">
        <f t="shared" si="7"/>
        <v>4.2.1.20</v>
      </c>
      <c r="F783" s="4" t="str">
        <f>$P$3&amp;"R00674"</f>
        <v>R00674</v>
      </c>
      <c r="G783" s="22" t="s">
        <v>10339</v>
      </c>
      <c r="H783" s="22" t="s">
        <v>10340</v>
      </c>
      <c r="K783" s="4"/>
      <c r="N783" s="4" t="s">
        <v>1427</v>
      </c>
      <c r="O783" s="4">
        <v>435</v>
      </c>
    </row>
    <row r="784" spans="1:15" ht="15.75" customHeight="1">
      <c r="A784" s="4" t="s">
        <v>4951</v>
      </c>
      <c r="B784" s="4" t="s">
        <v>4952</v>
      </c>
      <c r="C784" s="19" t="s">
        <v>10341</v>
      </c>
      <c r="D784" s="4"/>
      <c r="E784" s="4" t="str">
        <f t="shared" si="7"/>
        <v>4.2.1.20</v>
      </c>
      <c r="F784" s="4" t="str">
        <f>$P$3&amp;"R02340"</f>
        <v>R02340</v>
      </c>
      <c r="G784" s="2" t="s">
        <v>10342</v>
      </c>
      <c r="H784" s="22" t="s">
        <v>10343</v>
      </c>
      <c r="K784" s="4"/>
      <c r="N784" s="4" t="s">
        <v>1427</v>
      </c>
      <c r="O784" s="4">
        <v>435</v>
      </c>
    </row>
    <row r="785" spans="1:16" ht="15.75" customHeight="1">
      <c r="A785" s="4" t="s">
        <v>4951</v>
      </c>
      <c r="B785" s="4" t="s">
        <v>4952</v>
      </c>
      <c r="C785" s="19" t="s">
        <v>10344</v>
      </c>
      <c r="D785" s="4"/>
      <c r="E785" s="4" t="str">
        <f t="shared" si="7"/>
        <v>4.2.1.20</v>
      </c>
      <c r="F785" s="4" t="str">
        <f>$P$3&amp;"R02722"</f>
        <v>R02722</v>
      </c>
      <c r="G785" s="22" t="s">
        <v>10345</v>
      </c>
      <c r="H785" s="22" t="s">
        <v>10346</v>
      </c>
      <c r="K785" s="4"/>
      <c r="N785" s="4" t="s">
        <v>1427</v>
      </c>
      <c r="O785" s="4">
        <v>435</v>
      </c>
    </row>
    <row r="786" spans="1:16" ht="15.75" customHeight="1">
      <c r="A786" s="4" t="s">
        <v>4539</v>
      </c>
      <c r="B786" s="4" t="s">
        <v>4540</v>
      </c>
      <c r="C786" s="19" t="s">
        <v>10347</v>
      </c>
      <c r="D786" s="4"/>
      <c r="E786" s="4" t="str">
        <f t="shared" si="7"/>
        <v>4.2.1.44</v>
      </c>
      <c r="F786" s="4" t="str">
        <f>$P$3&amp;"R02782"</f>
        <v>R02782</v>
      </c>
      <c r="G786" s="2" t="s">
        <v>10348</v>
      </c>
      <c r="H786" s="22" t="s">
        <v>10349</v>
      </c>
      <c r="I786" s="4"/>
      <c r="K786" s="4"/>
      <c r="N786" s="4" t="s">
        <v>1430</v>
      </c>
      <c r="O786" s="4">
        <v>182</v>
      </c>
    </row>
    <row r="787" spans="1:16" ht="15.75" customHeight="1">
      <c r="A787" s="4" t="s">
        <v>4011</v>
      </c>
      <c r="B787" s="4" t="s">
        <v>4012</v>
      </c>
      <c r="C787" s="19" t="s">
        <v>10350</v>
      </c>
      <c r="D787" s="4"/>
      <c r="E787" s="4" t="str">
        <f t="shared" si="7"/>
        <v>4.2.1.53</v>
      </c>
      <c r="F787" s="4" t="str">
        <f>$P$3&amp;"R02813"</f>
        <v>R02813</v>
      </c>
      <c r="G787" s="2" t="s">
        <v>10351</v>
      </c>
      <c r="H787" s="22" t="s">
        <v>10352</v>
      </c>
      <c r="K787" s="4"/>
      <c r="N787" s="4" t="s">
        <v>1434</v>
      </c>
      <c r="O787" s="4">
        <v>306</v>
      </c>
    </row>
    <row r="788" spans="1:16" ht="15.75" customHeight="1">
      <c r="A788" s="4" t="s">
        <v>3108</v>
      </c>
      <c r="B788" s="4" t="s">
        <v>3109</v>
      </c>
      <c r="C788" s="4" t="s">
        <v>8296</v>
      </c>
      <c r="D788" s="4"/>
      <c r="E788" s="4" t="str">
        <f t="shared" si="7"/>
        <v>4.2.1.59</v>
      </c>
      <c r="F788" s="4" t="str">
        <f>$P$3&amp;"R10208"</f>
        <v>R10208</v>
      </c>
      <c r="G788" s="2" t="s">
        <v>10353</v>
      </c>
      <c r="H788" s="22" t="s">
        <v>10354</v>
      </c>
      <c r="I788" s="4"/>
      <c r="K788" s="4"/>
      <c r="N788" s="4" t="s">
        <v>1437</v>
      </c>
      <c r="O788" s="4">
        <v>154</v>
      </c>
    </row>
    <row r="789" spans="1:16" ht="15.75" customHeight="1">
      <c r="A789" s="4" t="s">
        <v>3108</v>
      </c>
      <c r="B789" s="4" t="s">
        <v>3109</v>
      </c>
      <c r="C789" s="4" t="s">
        <v>8296</v>
      </c>
      <c r="D789" s="4"/>
      <c r="E789" s="4" t="str">
        <f t="shared" si="7"/>
        <v>4.2.1.59</v>
      </c>
      <c r="F789" s="4" t="str">
        <f>$P$3&amp;"R04428"</f>
        <v>R04428</v>
      </c>
      <c r="G789" s="2" t="s">
        <v>10355</v>
      </c>
      <c r="H789" s="22" t="s">
        <v>10356</v>
      </c>
      <c r="I789" s="4"/>
      <c r="K789" s="4"/>
      <c r="N789" s="4" t="s">
        <v>1437</v>
      </c>
      <c r="O789" s="4">
        <v>154</v>
      </c>
    </row>
    <row r="790" spans="1:16" ht="15.75" customHeight="1">
      <c r="A790" s="4" t="s">
        <v>3108</v>
      </c>
      <c r="B790" s="4" t="s">
        <v>3109</v>
      </c>
      <c r="C790" s="4" t="s">
        <v>8296</v>
      </c>
      <c r="D790" s="4"/>
      <c r="E790" s="4" t="str">
        <f t="shared" si="7"/>
        <v>4.2.1.59</v>
      </c>
      <c r="F790" s="4" t="str">
        <f>$P$3&amp;"R04535"</f>
        <v>R04535</v>
      </c>
      <c r="G790" s="2" t="s">
        <v>10357</v>
      </c>
      <c r="H790" s="22" t="s">
        <v>10358</v>
      </c>
      <c r="I790" s="4"/>
      <c r="K790" s="4"/>
      <c r="N790" s="4" t="s">
        <v>1437</v>
      </c>
      <c r="O790" s="4">
        <v>154</v>
      </c>
    </row>
    <row r="791" spans="1:16" ht="15.75" customHeight="1">
      <c r="A791" s="4" t="s">
        <v>3108</v>
      </c>
      <c r="B791" s="4" t="s">
        <v>3109</v>
      </c>
      <c r="C791" s="4" t="s">
        <v>8296</v>
      </c>
      <c r="D791" s="4"/>
      <c r="E791" s="4" t="str">
        <f t="shared" si="7"/>
        <v>4.2.1.59</v>
      </c>
      <c r="F791" s="4" t="str">
        <f>$P$3&amp;"R04537"</f>
        <v>R04537</v>
      </c>
      <c r="G791" s="2" t="s">
        <v>10359</v>
      </c>
      <c r="H791" s="22" t="s">
        <v>10360</v>
      </c>
      <c r="I791" s="4"/>
      <c r="K791" s="4"/>
      <c r="N791" s="4" t="s">
        <v>1437</v>
      </c>
      <c r="O791" s="4">
        <v>154</v>
      </c>
    </row>
    <row r="792" spans="1:16" ht="15.75" customHeight="1">
      <c r="A792" s="4" t="s">
        <v>3108</v>
      </c>
      <c r="B792" s="4" t="s">
        <v>3109</v>
      </c>
      <c r="C792" s="4" t="s">
        <v>8296</v>
      </c>
      <c r="D792" s="4"/>
      <c r="E792" s="4" t="str">
        <f t="shared" si="7"/>
        <v>4.2.1.59</v>
      </c>
      <c r="F792" s="4" t="str">
        <f>$P$3&amp;"R04544"</f>
        <v>R04544</v>
      </c>
      <c r="G792" s="2" t="s">
        <v>10361</v>
      </c>
      <c r="H792" s="22" t="s">
        <v>10362</v>
      </c>
      <c r="I792" s="4"/>
      <c r="K792" s="4"/>
      <c r="N792" s="4" t="s">
        <v>1437</v>
      </c>
      <c r="O792" s="4">
        <v>154</v>
      </c>
    </row>
    <row r="793" spans="1:16" ht="15.75" customHeight="1">
      <c r="A793" s="4" t="s">
        <v>3108</v>
      </c>
      <c r="B793" s="4" t="s">
        <v>3109</v>
      </c>
      <c r="C793" s="4" t="s">
        <v>8296</v>
      </c>
      <c r="D793" s="4"/>
      <c r="E793" s="4" t="str">
        <f t="shared" si="7"/>
        <v>4.2.1.59</v>
      </c>
      <c r="F793" s="4" t="str">
        <f>$P$3&amp;"R04568"</f>
        <v>R04568</v>
      </c>
      <c r="G793" s="2" t="s">
        <v>10363</v>
      </c>
      <c r="H793" s="22" t="s">
        <v>10364</v>
      </c>
      <c r="I793" s="4"/>
      <c r="K793" s="4"/>
      <c r="N793" s="4" t="s">
        <v>1437</v>
      </c>
      <c r="O793" s="4">
        <v>154</v>
      </c>
    </row>
    <row r="794" spans="1:16" ht="15.75" customHeight="1">
      <c r="A794" s="4" t="s">
        <v>3108</v>
      </c>
      <c r="B794" s="4" t="s">
        <v>3109</v>
      </c>
      <c r="C794" s="4" t="s">
        <v>8296</v>
      </c>
      <c r="D794" s="4"/>
      <c r="E794" s="4" t="str">
        <f t="shared" si="7"/>
        <v>4.2.1.59</v>
      </c>
      <c r="F794" s="4" t="str">
        <f>$P$3&amp;"R04954"</f>
        <v>R04954</v>
      </c>
      <c r="G794" s="2" t="s">
        <v>10365</v>
      </c>
      <c r="H794" s="22" t="s">
        <v>10366</v>
      </c>
      <c r="I794" s="4"/>
      <c r="K794" s="4"/>
      <c r="N794" s="4" t="s">
        <v>1437</v>
      </c>
      <c r="O794" s="4">
        <v>154</v>
      </c>
    </row>
    <row r="795" spans="1:16" ht="15.75" customHeight="1">
      <c r="A795" s="4" t="s">
        <v>3108</v>
      </c>
      <c r="B795" s="4" t="s">
        <v>3109</v>
      </c>
      <c r="C795" s="4" t="s">
        <v>8296</v>
      </c>
      <c r="D795" s="4"/>
      <c r="E795" s="4" t="str">
        <f t="shared" si="7"/>
        <v>4.2.1.59</v>
      </c>
      <c r="F795" s="4" t="str">
        <f>$P$3&amp;"R04965"</f>
        <v>R04965</v>
      </c>
      <c r="G795" s="2" t="s">
        <v>10367</v>
      </c>
      <c r="H795" s="22" t="s">
        <v>10368</v>
      </c>
      <c r="I795" s="4"/>
      <c r="K795" s="4"/>
      <c r="N795" s="4" t="s">
        <v>1437</v>
      </c>
      <c r="O795" s="4">
        <v>154</v>
      </c>
    </row>
    <row r="796" spans="1:16" ht="15.75" customHeight="1">
      <c r="A796" s="4" t="s">
        <v>3108</v>
      </c>
      <c r="B796" s="4" t="s">
        <v>3109</v>
      </c>
      <c r="C796" s="4" t="s">
        <v>8296</v>
      </c>
      <c r="D796" s="4"/>
      <c r="E796" s="4" t="str">
        <f t="shared" si="7"/>
        <v>4.2.1.59</v>
      </c>
      <c r="F796" s="4" t="str">
        <f>$P$3&amp;"R10117"</f>
        <v>R10117</v>
      </c>
      <c r="G796" s="2" t="s">
        <v>10369</v>
      </c>
      <c r="H796" s="22" t="s">
        <v>10370</v>
      </c>
      <c r="I796" s="4"/>
      <c r="K796" s="4"/>
      <c r="N796" s="4" t="s">
        <v>1437</v>
      </c>
      <c r="O796" s="4">
        <v>154</v>
      </c>
    </row>
    <row r="797" spans="1:16" ht="15.75" customHeight="1">
      <c r="A797" s="4" t="s">
        <v>3108</v>
      </c>
      <c r="B797" s="4" t="s">
        <v>3109</v>
      </c>
      <c r="C797" s="4" t="s">
        <v>8296</v>
      </c>
      <c r="D797" s="4"/>
      <c r="E797" s="4" t="str">
        <f t="shared" si="7"/>
        <v>4.2.1.59</v>
      </c>
      <c r="F797" s="4" t="str">
        <f>$P$3&amp;"R10121"</f>
        <v>R10121</v>
      </c>
      <c r="G797" s="2" t="s">
        <v>10371</v>
      </c>
      <c r="H797" s="22" t="s">
        <v>10372</v>
      </c>
      <c r="I797" s="4"/>
      <c r="K797" s="4"/>
      <c r="N797" s="4" t="s">
        <v>1437</v>
      </c>
      <c r="O797" s="4">
        <v>154</v>
      </c>
    </row>
    <row r="798" spans="1:16" ht="15.75" customHeight="1">
      <c r="A798" s="4" t="s">
        <v>3210</v>
      </c>
      <c r="B798" s="4" t="s">
        <v>3211</v>
      </c>
      <c r="C798" s="19" t="s">
        <v>10373</v>
      </c>
      <c r="D798" s="4"/>
      <c r="E798" s="4" t="str">
        <f t="shared" si="7"/>
        <v>4.2.3.1</v>
      </c>
      <c r="F798" s="4" t="str">
        <f>$P$3&amp;"R01466"</f>
        <v>R01466</v>
      </c>
      <c r="G798" s="22" t="s">
        <v>10374</v>
      </c>
      <c r="H798" s="22" t="s">
        <v>10375</v>
      </c>
      <c r="K798" s="4"/>
      <c r="N798" s="4" t="s">
        <v>1441</v>
      </c>
      <c r="O798" s="4">
        <v>557</v>
      </c>
    </row>
    <row r="799" spans="1:16" ht="15.75" customHeight="1">
      <c r="A799" s="29" t="s">
        <v>3210</v>
      </c>
      <c r="B799" s="29" t="s">
        <v>3211</v>
      </c>
      <c r="C799" s="30" t="s">
        <v>10376</v>
      </c>
      <c r="D799" s="29"/>
      <c r="E799" s="31" t="str">
        <f t="shared" si="7"/>
        <v>4.2.3.1</v>
      </c>
      <c r="F799" s="32" t="str">
        <f>$P$3&amp;"R05086"</f>
        <v>R05086</v>
      </c>
      <c r="G799" s="22" t="s">
        <v>10377</v>
      </c>
      <c r="H799" s="22" t="s">
        <v>10378</v>
      </c>
      <c r="I799" s="29"/>
      <c r="J799" s="29"/>
      <c r="K799" s="29"/>
      <c r="L799" s="29"/>
      <c r="M799" s="29"/>
      <c r="N799" s="29" t="s">
        <v>1441</v>
      </c>
      <c r="O799" s="33">
        <v>557</v>
      </c>
      <c r="P799" s="29"/>
    </row>
    <row r="800" spans="1:16" ht="15.75" customHeight="1">
      <c r="A800" s="4" t="s">
        <v>1510</v>
      </c>
      <c r="B800" s="4" t="s">
        <v>1511</v>
      </c>
      <c r="C800" s="19" t="s">
        <v>10379</v>
      </c>
      <c r="D800" s="4"/>
      <c r="E800" s="4" t="str">
        <f t="shared" si="7"/>
        <v>4.2.99.18</v>
      </c>
      <c r="G800" s="4"/>
      <c r="H800" s="4"/>
      <c r="K800" s="4"/>
      <c r="N800" s="4" t="s">
        <v>1444</v>
      </c>
      <c r="O800" s="4">
        <v>134</v>
      </c>
    </row>
    <row r="801" spans="1:15" ht="15.75" customHeight="1">
      <c r="A801" s="4" t="s">
        <v>650</v>
      </c>
      <c r="B801" s="4" t="s">
        <v>651</v>
      </c>
      <c r="C801" s="19" t="s">
        <v>10380</v>
      </c>
      <c r="D801" s="4"/>
      <c r="E801" s="4" t="str">
        <f t="shared" si="7"/>
        <v>4.3.1.17</v>
      </c>
      <c r="F801" s="4" t="str">
        <f>$P$3&amp;"R00220"</f>
        <v>R00220</v>
      </c>
      <c r="G801" s="2" t="s">
        <v>10381</v>
      </c>
      <c r="H801" s="22" t="s">
        <v>10382</v>
      </c>
      <c r="K801" s="4"/>
      <c r="N801" s="4" t="s">
        <v>1447</v>
      </c>
      <c r="O801" s="4">
        <v>132</v>
      </c>
    </row>
    <row r="802" spans="1:15" ht="15.75" customHeight="1">
      <c r="A802" s="4" t="s">
        <v>650</v>
      </c>
      <c r="B802" s="4" t="s">
        <v>651</v>
      </c>
      <c r="C802" s="19" t="s">
        <v>10383</v>
      </c>
      <c r="D802" s="4"/>
      <c r="E802" s="4" t="str">
        <f t="shared" si="7"/>
        <v>4.3.1.17</v>
      </c>
      <c r="F802" s="4" t="str">
        <f>$P$3&amp;"R00590"</f>
        <v>R00590</v>
      </c>
      <c r="G802" s="34" t="s">
        <v>10384</v>
      </c>
      <c r="H802" s="22" t="s">
        <v>10385</v>
      </c>
      <c r="K802" s="4"/>
      <c r="N802" s="4" t="s">
        <v>1447</v>
      </c>
      <c r="O802" s="4">
        <v>132</v>
      </c>
    </row>
    <row r="803" spans="1:15" ht="15.75" customHeight="1">
      <c r="A803" s="4" t="s">
        <v>650</v>
      </c>
      <c r="B803" s="4" t="s">
        <v>651</v>
      </c>
      <c r="C803" s="19" t="s">
        <v>10386</v>
      </c>
      <c r="D803" s="4"/>
      <c r="E803" s="4" t="str">
        <f t="shared" si="7"/>
        <v>4.3.1.17</v>
      </c>
      <c r="F803" s="4" t="str">
        <f>$P$3&amp;"R11099"</f>
        <v>R11099</v>
      </c>
      <c r="G803" s="22" t="s">
        <v>10387</v>
      </c>
      <c r="H803" s="22" t="s">
        <v>10388</v>
      </c>
      <c r="K803" s="4"/>
      <c r="N803" s="4" t="s">
        <v>1447</v>
      </c>
      <c r="O803" s="4">
        <v>132</v>
      </c>
    </row>
    <row r="804" spans="1:15" ht="15.75" customHeight="1">
      <c r="A804" s="4" t="s">
        <v>650</v>
      </c>
      <c r="B804" s="4" t="s">
        <v>651</v>
      </c>
      <c r="C804" s="19" t="s">
        <v>10389</v>
      </c>
      <c r="D804" s="4"/>
      <c r="E804" s="4" t="str">
        <f t="shared" si="7"/>
        <v>4.3.1.17</v>
      </c>
      <c r="F804" s="4" t="str">
        <f>$P$3&amp;"R11100"</f>
        <v>R11100</v>
      </c>
      <c r="G804" s="2" t="s">
        <v>10390</v>
      </c>
      <c r="H804" s="2" t="s">
        <v>10391</v>
      </c>
      <c r="K804" s="4"/>
      <c r="N804" s="4" t="s">
        <v>1447</v>
      </c>
      <c r="O804" s="4">
        <v>132</v>
      </c>
    </row>
    <row r="805" spans="1:15" ht="15.75" customHeight="1">
      <c r="A805" s="4" t="s">
        <v>650</v>
      </c>
      <c r="B805" s="4" t="s">
        <v>651</v>
      </c>
      <c r="C805" s="19" t="s">
        <v>10392</v>
      </c>
      <c r="D805" s="4"/>
      <c r="E805" s="4" t="str">
        <f t="shared" si="7"/>
        <v>4.3.1.17</v>
      </c>
      <c r="F805" s="4" t="str">
        <f>$P$3&amp;"R06131"</f>
        <v>R06131</v>
      </c>
      <c r="G805" s="2" t="s">
        <v>10393</v>
      </c>
      <c r="H805" s="22" t="s">
        <v>10394</v>
      </c>
      <c r="K805" s="4"/>
      <c r="N805" s="4" t="s">
        <v>1447</v>
      </c>
      <c r="O805" s="4">
        <v>132</v>
      </c>
    </row>
    <row r="806" spans="1:15" ht="15.75" customHeight="1">
      <c r="A806" s="4" t="s">
        <v>654</v>
      </c>
      <c r="B806" s="4" t="s">
        <v>655</v>
      </c>
      <c r="C806" s="19" t="s">
        <v>10395</v>
      </c>
      <c r="D806" s="4"/>
      <c r="E806" s="4" t="str">
        <f t="shared" si="7"/>
        <v>4.3.1.17</v>
      </c>
      <c r="F806" s="4" t="str">
        <f>$P$3&amp;"R00220"</f>
        <v>R00220</v>
      </c>
      <c r="G806" s="2" t="s">
        <v>10396</v>
      </c>
      <c r="H806" s="22" t="s">
        <v>10397</v>
      </c>
      <c r="K806" s="4"/>
      <c r="N806" s="4" t="s">
        <v>1327</v>
      </c>
      <c r="O806" s="4">
        <v>200</v>
      </c>
    </row>
    <row r="807" spans="1:15" ht="15.75" customHeight="1">
      <c r="A807" s="4" t="s">
        <v>654</v>
      </c>
      <c r="B807" s="4" t="s">
        <v>655</v>
      </c>
      <c r="C807" s="19" t="s">
        <v>10398</v>
      </c>
      <c r="D807" s="4"/>
      <c r="E807" s="4" t="str">
        <f t="shared" si="7"/>
        <v>4.3.1.17</v>
      </c>
      <c r="F807" s="4" t="str">
        <f>$P$3&amp;"R00590"</f>
        <v>R00590</v>
      </c>
      <c r="G807" s="34" t="s">
        <v>10399</v>
      </c>
      <c r="H807" s="22" t="s">
        <v>10400</v>
      </c>
      <c r="K807" s="4"/>
      <c r="N807" s="4" t="s">
        <v>1327</v>
      </c>
      <c r="O807" s="4">
        <v>200</v>
      </c>
    </row>
    <row r="808" spans="1:15" ht="15.75" customHeight="1">
      <c r="A808" s="4" t="s">
        <v>654</v>
      </c>
      <c r="B808" s="4" t="s">
        <v>655</v>
      </c>
      <c r="C808" s="19" t="s">
        <v>10401</v>
      </c>
      <c r="D808" s="4"/>
      <c r="E808" s="4" t="str">
        <f t="shared" si="7"/>
        <v>4.3.1.17</v>
      </c>
      <c r="F808" s="4" t="str">
        <f>$P$3&amp;"R11099"</f>
        <v>R11099</v>
      </c>
      <c r="G808" s="22" t="s">
        <v>10402</v>
      </c>
      <c r="H808" s="22" t="s">
        <v>10403</v>
      </c>
      <c r="K808" s="4"/>
      <c r="N808" s="4" t="s">
        <v>1327</v>
      </c>
      <c r="O808" s="4">
        <v>200</v>
      </c>
    </row>
    <row r="809" spans="1:15" ht="15.75" customHeight="1">
      <c r="A809" s="4" t="s">
        <v>654</v>
      </c>
      <c r="B809" s="4" t="s">
        <v>655</v>
      </c>
      <c r="C809" s="19" t="s">
        <v>10404</v>
      </c>
      <c r="D809" s="4"/>
      <c r="E809" s="4" t="str">
        <f t="shared" si="7"/>
        <v>4.3.1.17</v>
      </c>
      <c r="F809" s="4" t="str">
        <f>$P$3&amp;"R11100"</f>
        <v>R11100</v>
      </c>
      <c r="G809" s="2" t="s">
        <v>10405</v>
      </c>
      <c r="H809" s="2" t="s">
        <v>10406</v>
      </c>
      <c r="K809" s="4"/>
      <c r="N809" s="4" t="s">
        <v>1327</v>
      </c>
      <c r="O809" s="4">
        <v>200</v>
      </c>
    </row>
    <row r="810" spans="1:15" ht="15.75" customHeight="1">
      <c r="A810" s="4" t="s">
        <v>654</v>
      </c>
      <c r="B810" s="4" t="s">
        <v>655</v>
      </c>
      <c r="C810" s="19" t="s">
        <v>10407</v>
      </c>
      <c r="D810" s="4"/>
      <c r="E810" s="4" t="str">
        <f t="shared" si="7"/>
        <v>4.3.1.17</v>
      </c>
      <c r="F810" s="4" t="str">
        <f>$P$3&amp;"R06131"</f>
        <v>R06131</v>
      </c>
      <c r="G810" s="2" t="s">
        <v>10408</v>
      </c>
      <c r="H810" s="22" t="s">
        <v>10409</v>
      </c>
      <c r="K810" s="4"/>
      <c r="N810" s="4" t="s">
        <v>1327</v>
      </c>
      <c r="O810" s="4">
        <v>200</v>
      </c>
    </row>
    <row r="811" spans="1:15" ht="15.75" customHeight="1">
      <c r="A811" s="4" t="s">
        <v>5341</v>
      </c>
      <c r="B811" s="4" t="s">
        <v>5342</v>
      </c>
      <c r="C811" s="19" t="s">
        <v>10410</v>
      </c>
      <c r="D811" s="4"/>
      <c r="E811" s="4" t="str">
        <f t="shared" si="7"/>
        <v>4.3.2.1</v>
      </c>
      <c r="F811" s="4" t="str">
        <f>$P$3&amp;"R01086"</f>
        <v>R01086</v>
      </c>
      <c r="G811" s="2" t="s">
        <v>10411</v>
      </c>
      <c r="H811" s="22" t="s">
        <v>10412</v>
      </c>
      <c r="K811" s="4"/>
      <c r="N811" s="4" t="s">
        <v>56</v>
      </c>
      <c r="O811" s="4">
        <v>61</v>
      </c>
    </row>
    <row r="812" spans="1:15" ht="15.75" customHeight="1">
      <c r="A812" s="4" t="s">
        <v>1344</v>
      </c>
      <c r="B812" s="4" t="s">
        <v>1345</v>
      </c>
      <c r="C812" s="19" t="s">
        <v>10413</v>
      </c>
      <c r="D812" s="4"/>
      <c r="E812" s="4" t="str">
        <f t="shared" si="7"/>
        <v>4.3.2.10</v>
      </c>
      <c r="F812" s="4" t="str">
        <f>$P$3&amp;"R00256"</f>
        <v>R00256</v>
      </c>
      <c r="G812" s="22" t="s">
        <v>10414</v>
      </c>
      <c r="H812" s="22" t="s">
        <v>10415</v>
      </c>
      <c r="I812" s="4"/>
      <c r="K812" s="4"/>
      <c r="N812" s="4" t="s">
        <v>854</v>
      </c>
      <c r="O812" s="4">
        <v>489</v>
      </c>
    </row>
    <row r="813" spans="1:15" ht="15.75" customHeight="1">
      <c r="A813" s="4" t="s">
        <v>1344</v>
      </c>
      <c r="B813" s="4" t="s">
        <v>1345</v>
      </c>
      <c r="C813" s="19" t="s">
        <v>10416</v>
      </c>
      <c r="D813" s="4"/>
      <c r="E813" s="4" t="str">
        <f t="shared" si="7"/>
        <v>4.3.2.10</v>
      </c>
      <c r="F813" s="4" t="str">
        <f>$P$3&amp;"R04558"</f>
        <v>R04558</v>
      </c>
      <c r="G813" s="22" t="s">
        <v>10417</v>
      </c>
      <c r="H813" s="22" t="s">
        <v>10418</v>
      </c>
      <c r="I813" s="4"/>
      <c r="K813" s="4"/>
      <c r="N813" s="4" t="s">
        <v>854</v>
      </c>
      <c r="O813" s="4">
        <v>489</v>
      </c>
    </row>
    <row r="814" spans="1:15" ht="15.75" customHeight="1">
      <c r="A814" s="4" t="s">
        <v>1344</v>
      </c>
      <c r="B814" s="4" t="s">
        <v>1345</v>
      </c>
      <c r="C814" s="19" t="s">
        <v>10419</v>
      </c>
      <c r="D814" s="4"/>
      <c r="E814" s="4" t="str">
        <f t="shared" si="7"/>
        <v>4.3.2.10</v>
      </c>
      <c r="F814" s="4" t="str">
        <f>$P$3&amp;"R12152"</f>
        <v>R12152</v>
      </c>
      <c r="G814" s="22" t="s">
        <v>10420</v>
      </c>
      <c r="H814" s="22" t="s">
        <v>10421</v>
      </c>
      <c r="I814" s="4"/>
      <c r="K814" s="4"/>
      <c r="N814" s="4" t="s">
        <v>854</v>
      </c>
      <c r="O814" s="4">
        <v>489</v>
      </c>
    </row>
    <row r="815" spans="1:15" ht="15.75" customHeight="1">
      <c r="A815" s="4" t="s">
        <v>1352</v>
      </c>
      <c r="B815" s="4" t="s">
        <v>1353</v>
      </c>
      <c r="C815" s="19" t="s">
        <v>10422</v>
      </c>
      <c r="D815" s="4"/>
      <c r="E815" s="4" t="str">
        <f t="shared" si="7"/>
        <v>4.3.2.10</v>
      </c>
      <c r="F815" s="4" t="str">
        <f>$P$3&amp;"R00256"</f>
        <v>R00256</v>
      </c>
      <c r="G815" s="22" t="s">
        <v>10423</v>
      </c>
      <c r="H815" s="22" t="s">
        <v>10424</v>
      </c>
      <c r="K815" s="4"/>
      <c r="N815" s="4" t="s">
        <v>56</v>
      </c>
      <c r="O815" s="4">
        <v>108</v>
      </c>
    </row>
    <row r="816" spans="1:15" ht="15.75" customHeight="1">
      <c r="A816" s="4" t="s">
        <v>1352</v>
      </c>
      <c r="B816" s="4" t="s">
        <v>1353</v>
      </c>
      <c r="C816" s="19" t="s">
        <v>10425</v>
      </c>
      <c r="D816" s="4"/>
      <c r="E816" s="4" t="str">
        <f t="shared" si="7"/>
        <v>4.3.2.10</v>
      </c>
      <c r="F816" s="4" t="str">
        <f>$P$3&amp;"R04558"</f>
        <v>R04558</v>
      </c>
      <c r="G816" s="22" t="s">
        <v>10426</v>
      </c>
      <c r="H816" s="22" t="s">
        <v>10427</v>
      </c>
      <c r="K816" s="4"/>
      <c r="N816" s="4" t="s">
        <v>56</v>
      </c>
      <c r="O816" s="4">
        <v>108</v>
      </c>
    </row>
    <row r="817" spans="1:15" ht="15.75" customHeight="1">
      <c r="A817" s="4" t="s">
        <v>1352</v>
      </c>
      <c r="B817" s="4" t="s">
        <v>1353</v>
      </c>
      <c r="C817" s="19" t="s">
        <v>10428</v>
      </c>
      <c r="D817" s="4"/>
      <c r="E817" s="4" t="str">
        <f t="shared" si="7"/>
        <v>4.3.2.10</v>
      </c>
      <c r="F817" s="4" t="str">
        <f>$P$3&amp;"R12152"</f>
        <v>R12152</v>
      </c>
      <c r="G817" s="22" t="s">
        <v>10429</v>
      </c>
      <c r="H817" s="22" t="s">
        <v>10430</v>
      </c>
      <c r="K817" s="4"/>
      <c r="N817" s="4" t="s">
        <v>56</v>
      </c>
      <c r="O817" s="4">
        <v>108</v>
      </c>
    </row>
    <row r="818" spans="1:15" ht="15.75" customHeight="1">
      <c r="A818" s="4" t="s">
        <v>390</v>
      </c>
      <c r="B818" s="4" t="s">
        <v>391</v>
      </c>
      <c r="C818" s="19" t="s">
        <v>10431</v>
      </c>
      <c r="D818" s="4"/>
      <c r="E818" s="4" t="str">
        <f t="shared" si="7"/>
        <v>4.3.2.2</v>
      </c>
      <c r="F818" s="4" t="str">
        <f>$P$3&amp;"R01083"</f>
        <v>R01083</v>
      </c>
      <c r="G818" s="2" t="s">
        <v>10432</v>
      </c>
      <c r="H818" s="22" t="s">
        <v>10433</v>
      </c>
      <c r="K818" s="4"/>
      <c r="N818" s="4" t="s">
        <v>92</v>
      </c>
      <c r="O818" s="4">
        <v>483</v>
      </c>
    </row>
    <row r="819" spans="1:15" ht="15.75" customHeight="1">
      <c r="A819" s="4" t="s">
        <v>390</v>
      </c>
      <c r="B819" s="4" t="s">
        <v>391</v>
      </c>
      <c r="C819" s="19" t="s">
        <v>10434</v>
      </c>
      <c r="D819" s="4"/>
      <c r="E819" s="4" t="str">
        <f t="shared" si="7"/>
        <v>4.3.2.2</v>
      </c>
      <c r="F819" s="4" t="str">
        <f>$P$3&amp;"R04559"</f>
        <v>R04559</v>
      </c>
      <c r="G819" s="2" t="s">
        <v>10435</v>
      </c>
      <c r="H819" s="22" t="s">
        <v>10436</v>
      </c>
      <c r="K819" s="4"/>
      <c r="N819" s="4" t="s">
        <v>92</v>
      </c>
      <c r="O819" s="4">
        <v>483</v>
      </c>
    </row>
    <row r="820" spans="1:15" ht="15.75" customHeight="1">
      <c r="A820" s="4" t="s">
        <v>390</v>
      </c>
      <c r="B820" s="4" t="s">
        <v>391</v>
      </c>
      <c r="C820" s="19" t="s">
        <v>10437</v>
      </c>
      <c r="D820" s="4"/>
      <c r="E820" s="4" t="str">
        <f t="shared" si="7"/>
        <v>4.3.2.2</v>
      </c>
      <c r="F820" s="4" t="str">
        <f>$P$3&amp;"R12851"</f>
        <v>R12851</v>
      </c>
      <c r="G820" s="2" t="s">
        <v>10438</v>
      </c>
      <c r="H820" s="22" t="s">
        <v>10439</v>
      </c>
      <c r="K820" s="4"/>
      <c r="N820" s="4" t="s">
        <v>92</v>
      </c>
      <c r="O820" s="4">
        <v>483</v>
      </c>
    </row>
    <row r="821" spans="1:15" ht="15.75" customHeight="1">
      <c r="A821" s="4" t="s">
        <v>4916</v>
      </c>
      <c r="B821" s="4" t="s">
        <v>4917</v>
      </c>
      <c r="C821" s="19" t="s">
        <v>10440</v>
      </c>
      <c r="D821" s="4"/>
      <c r="E821" s="4" t="str">
        <f t="shared" si="7"/>
        <v>4.3.3.7</v>
      </c>
      <c r="F821" s="4" t="str">
        <f t="shared" ref="F821:F822" si="15">$P$3&amp;"R10147"</f>
        <v>R10147</v>
      </c>
      <c r="G821" s="22" t="s">
        <v>10441</v>
      </c>
      <c r="H821" s="22" t="s">
        <v>10442</v>
      </c>
      <c r="I821" s="4"/>
      <c r="K821" s="4"/>
      <c r="N821" s="4" t="s">
        <v>1460</v>
      </c>
      <c r="O821" s="4">
        <v>76</v>
      </c>
    </row>
    <row r="822" spans="1:15" ht="15.75" customHeight="1">
      <c r="A822" s="4" t="s">
        <v>5642</v>
      </c>
      <c r="B822" s="4" t="s">
        <v>5643</v>
      </c>
      <c r="C822" s="19" t="s">
        <v>10443</v>
      </c>
      <c r="D822" s="4"/>
      <c r="E822" s="4" t="str">
        <f t="shared" si="7"/>
        <v>4.3.3.7</v>
      </c>
      <c r="F822" s="4" t="str">
        <f t="shared" si="15"/>
        <v>R10147</v>
      </c>
      <c r="G822" s="22" t="s">
        <v>10444</v>
      </c>
      <c r="H822" s="22" t="s">
        <v>10445</v>
      </c>
      <c r="I822" s="4"/>
      <c r="K822" s="4"/>
      <c r="N822" s="4" t="s">
        <v>1464</v>
      </c>
      <c r="O822" s="4">
        <v>723</v>
      </c>
    </row>
    <row r="823" spans="1:15" ht="15.75" customHeight="1">
      <c r="A823" s="4" t="s">
        <v>4378</v>
      </c>
      <c r="B823" s="4" t="s">
        <v>4379</v>
      </c>
      <c r="C823" s="19" t="s">
        <v>10446</v>
      </c>
      <c r="D823" s="4"/>
      <c r="E823" s="4" t="str">
        <f t="shared" si="7"/>
        <v>4.4.1.13</v>
      </c>
      <c r="F823" s="4" t="str">
        <f>$P$3&amp;"R12188"</f>
        <v>R12188</v>
      </c>
      <c r="G823" s="22" t="s">
        <v>10447</v>
      </c>
      <c r="H823" s="22" t="s">
        <v>10448</v>
      </c>
      <c r="I823" s="4"/>
      <c r="K823" s="4"/>
      <c r="N823" s="4" t="s">
        <v>1468</v>
      </c>
      <c r="O823" s="4">
        <v>326</v>
      </c>
    </row>
    <row r="824" spans="1:15" ht="15.75" customHeight="1">
      <c r="A824" s="4" t="s">
        <v>4378</v>
      </c>
      <c r="B824" s="4" t="s">
        <v>4379</v>
      </c>
      <c r="C824" s="19" t="s">
        <v>10449</v>
      </c>
      <c r="D824" s="4"/>
      <c r="E824" s="4" t="str">
        <f t="shared" si="7"/>
        <v>4.4.1.13</v>
      </c>
      <c r="F824" s="4" t="str">
        <f>$P$3&amp;"R01286"</f>
        <v>R01286</v>
      </c>
      <c r="G824" s="22" t="s">
        <v>10450</v>
      </c>
      <c r="H824" s="22" t="s">
        <v>10451</v>
      </c>
      <c r="I824" s="4"/>
      <c r="K824" s="4"/>
      <c r="N824" s="4" t="s">
        <v>1468</v>
      </c>
      <c r="O824" s="4">
        <v>326</v>
      </c>
    </row>
    <row r="825" spans="1:15" ht="15.75" customHeight="1">
      <c r="A825" s="4" t="s">
        <v>4378</v>
      </c>
      <c r="B825" s="4" t="s">
        <v>4379</v>
      </c>
      <c r="C825" s="19" t="s">
        <v>10452</v>
      </c>
      <c r="D825" s="4"/>
      <c r="E825" s="4" t="str">
        <f t="shared" si="7"/>
        <v>4.4.1.13</v>
      </c>
      <c r="F825" s="4" t="str">
        <f>$P$3&amp;"R02408"</f>
        <v>R02408</v>
      </c>
      <c r="G825" s="22" t="s">
        <v>10453</v>
      </c>
      <c r="H825" s="22" t="s">
        <v>10454</v>
      </c>
      <c r="I825" s="4"/>
      <c r="K825" s="4"/>
      <c r="N825" s="4" t="s">
        <v>1468</v>
      </c>
      <c r="O825" s="4">
        <v>326</v>
      </c>
    </row>
    <row r="826" spans="1:15" ht="15.75" customHeight="1">
      <c r="A826" s="4" t="s">
        <v>4378</v>
      </c>
      <c r="B826" s="4" t="s">
        <v>4379</v>
      </c>
      <c r="C826" s="19" t="s">
        <v>10455</v>
      </c>
      <c r="D826" s="4"/>
      <c r="E826" s="4" t="str">
        <f t="shared" si="7"/>
        <v>4.4.1.13</v>
      </c>
      <c r="F826" s="4" t="str">
        <f>$P$3&amp;"R02953"</f>
        <v>R02953</v>
      </c>
      <c r="G826" s="22" t="s">
        <v>10456</v>
      </c>
      <c r="H826" s="22" t="s">
        <v>10457</v>
      </c>
      <c r="I826" s="4"/>
      <c r="K826" s="4"/>
      <c r="N826" s="4" t="s">
        <v>1468</v>
      </c>
      <c r="O826" s="4">
        <v>326</v>
      </c>
    </row>
    <row r="827" spans="1:15" ht="15.75" customHeight="1">
      <c r="A827" s="4" t="s">
        <v>4378</v>
      </c>
      <c r="B827" s="4" t="s">
        <v>4379</v>
      </c>
      <c r="C827" s="19" t="s">
        <v>10458</v>
      </c>
      <c r="D827" s="4"/>
      <c r="E827" s="4" t="str">
        <f t="shared" si="7"/>
        <v>4.4.1.13</v>
      </c>
      <c r="F827" s="4" t="str">
        <f>$P$3&amp;"R03528"</f>
        <v>R03528</v>
      </c>
      <c r="G827" s="22" t="s">
        <v>10459</v>
      </c>
      <c r="H827" s="22" t="s">
        <v>10460</v>
      </c>
      <c r="I827" s="4"/>
      <c r="K827" s="4"/>
      <c r="N827" s="4" t="s">
        <v>1468</v>
      </c>
      <c r="O827" s="4">
        <v>326</v>
      </c>
    </row>
    <row r="828" spans="1:15" ht="15.75" customHeight="1">
      <c r="A828" s="4" t="s">
        <v>4378</v>
      </c>
      <c r="B828" s="4" t="s">
        <v>4379</v>
      </c>
      <c r="C828" s="19" t="s">
        <v>10461</v>
      </c>
      <c r="D828" s="4"/>
      <c r="E828" s="4" t="str">
        <f t="shared" si="7"/>
        <v>4.4.1.13</v>
      </c>
      <c r="F828" s="4" t="str">
        <f>$P$3&amp;"R00782"</f>
        <v>R00782</v>
      </c>
      <c r="G828" s="22" t="s">
        <v>10462</v>
      </c>
      <c r="H828" s="22" t="s">
        <v>10463</v>
      </c>
      <c r="I828" s="4"/>
      <c r="K828" s="4"/>
      <c r="N828" s="4" t="s">
        <v>1468</v>
      </c>
      <c r="O828" s="4">
        <v>326</v>
      </c>
    </row>
    <row r="829" spans="1:15" ht="15.75" customHeight="1">
      <c r="A829" s="4" t="s">
        <v>4378</v>
      </c>
      <c r="B829" s="4" t="s">
        <v>4379</v>
      </c>
      <c r="C829" s="19" t="s">
        <v>10464</v>
      </c>
      <c r="D829" s="4"/>
      <c r="E829" s="4" t="str">
        <f t="shared" si="7"/>
        <v>4.4.1.13</v>
      </c>
      <c r="F829" s="4" t="str">
        <f>$P$3&amp;"R04941"</f>
        <v>R04941</v>
      </c>
      <c r="G829" s="22" t="s">
        <v>10465</v>
      </c>
      <c r="H829" s="22" t="s">
        <v>10466</v>
      </c>
      <c r="I829" s="4"/>
      <c r="K829" s="4"/>
      <c r="N829" s="4" t="s">
        <v>1468</v>
      </c>
      <c r="O829" s="4">
        <v>326</v>
      </c>
    </row>
    <row r="830" spans="1:15" ht="15.75" customHeight="1">
      <c r="A830" s="4" t="s">
        <v>4378</v>
      </c>
      <c r="B830" s="4" t="s">
        <v>4379</v>
      </c>
      <c r="C830" s="19" t="s">
        <v>10467</v>
      </c>
      <c r="D830" s="4"/>
      <c r="E830" s="4" t="str">
        <f t="shared" si="7"/>
        <v>4.4.1.13</v>
      </c>
      <c r="F830" s="4" t="str">
        <f>$P$3&amp;"R09366"</f>
        <v>R09366</v>
      </c>
      <c r="G830" s="22" t="s">
        <v>10468</v>
      </c>
      <c r="H830" s="22" t="s">
        <v>10469</v>
      </c>
      <c r="I830" s="4"/>
      <c r="K830" s="4"/>
      <c r="N830" s="4" t="s">
        <v>1468</v>
      </c>
      <c r="O830" s="4">
        <v>326</v>
      </c>
    </row>
    <row r="831" spans="1:15" ht="15.75" customHeight="1">
      <c r="A831" s="4" t="s">
        <v>7363</v>
      </c>
      <c r="B831" s="4" t="s">
        <v>7364</v>
      </c>
      <c r="C831" s="19" t="s">
        <v>10470</v>
      </c>
      <c r="D831" s="4"/>
      <c r="E831" s="4" t="str">
        <f t="shared" si="7"/>
        <v>4.4.1.13</v>
      </c>
      <c r="F831" s="4" t="str">
        <f>$P$3&amp;"R12188"</f>
        <v>R12188</v>
      </c>
      <c r="G831" s="22" t="s">
        <v>10471</v>
      </c>
      <c r="H831" s="22" t="s">
        <v>10472</v>
      </c>
      <c r="K831" s="4"/>
      <c r="N831" s="4" t="s">
        <v>690</v>
      </c>
      <c r="O831" s="4">
        <v>293</v>
      </c>
    </row>
    <row r="832" spans="1:15" ht="15.75" customHeight="1">
      <c r="A832" s="4" t="s">
        <v>7363</v>
      </c>
      <c r="B832" s="4" t="s">
        <v>7364</v>
      </c>
      <c r="C832" s="19" t="s">
        <v>10473</v>
      </c>
      <c r="D832" s="4"/>
      <c r="E832" s="4" t="str">
        <f t="shared" si="7"/>
        <v>4.4.1.13</v>
      </c>
      <c r="F832" s="4" t="str">
        <f>$P$3&amp;"R01286"</f>
        <v>R01286</v>
      </c>
      <c r="G832" s="22" t="s">
        <v>10474</v>
      </c>
      <c r="H832" s="22" t="s">
        <v>10475</v>
      </c>
      <c r="K832" s="4"/>
      <c r="N832" s="4" t="s">
        <v>690</v>
      </c>
      <c r="O832" s="4">
        <v>293</v>
      </c>
    </row>
    <row r="833" spans="1:15" ht="15.75" customHeight="1">
      <c r="A833" s="4" t="s">
        <v>7363</v>
      </c>
      <c r="B833" s="4" t="s">
        <v>7364</v>
      </c>
      <c r="C833" s="19" t="s">
        <v>10476</v>
      </c>
      <c r="D833" s="4"/>
      <c r="E833" s="4" t="str">
        <f t="shared" si="7"/>
        <v>4.4.1.13</v>
      </c>
      <c r="F833" s="4" t="str">
        <f>$P$3&amp;"R02408"</f>
        <v>R02408</v>
      </c>
      <c r="G833" s="22" t="s">
        <v>10477</v>
      </c>
      <c r="H833" s="22" t="s">
        <v>10478</v>
      </c>
      <c r="K833" s="4"/>
      <c r="N833" s="4" t="s">
        <v>690</v>
      </c>
      <c r="O833" s="4">
        <v>293</v>
      </c>
    </row>
    <row r="834" spans="1:15" ht="15.75" customHeight="1">
      <c r="A834" s="4" t="s">
        <v>7363</v>
      </c>
      <c r="B834" s="4" t="s">
        <v>7364</v>
      </c>
      <c r="C834" s="19" t="s">
        <v>10479</v>
      </c>
      <c r="D834" s="4"/>
      <c r="E834" s="4" t="str">
        <f t="shared" si="7"/>
        <v>4.4.1.13</v>
      </c>
      <c r="F834" s="4" t="str">
        <f>$P$3&amp;"R02953"</f>
        <v>R02953</v>
      </c>
      <c r="G834" s="22" t="s">
        <v>10480</v>
      </c>
      <c r="H834" s="22" t="s">
        <v>10481</v>
      </c>
      <c r="K834" s="4"/>
      <c r="N834" s="4" t="s">
        <v>690</v>
      </c>
      <c r="O834" s="4">
        <v>293</v>
      </c>
    </row>
    <row r="835" spans="1:15" ht="15.75" customHeight="1">
      <c r="A835" s="4" t="s">
        <v>7363</v>
      </c>
      <c r="B835" s="4" t="s">
        <v>7364</v>
      </c>
      <c r="C835" s="19" t="s">
        <v>10482</v>
      </c>
      <c r="D835" s="4"/>
      <c r="E835" s="4" t="str">
        <f t="shared" si="7"/>
        <v>4.4.1.13</v>
      </c>
      <c r="F835" s="4" t="str">
        <f>$P$3&amp;"R03528"</f>
        <v>R03528</v>
      </c>
      <c r="G835" s="22" t="s">
        <v>10483</v>
      </c>
      <c r="H835" s="22" t="s">
        <v>10484</v>
      </c>
      <c r="K835" s="4"/>
      <c r="N835" s="4" t="s">
        <v>690</v>
      </c>
      <c r="O835" s="4">
        <v>293</v>
      </c>
    </row>
    <row r="836" spans="1:15" ht="15.75" customHeight="1">
      <c r="A836" s="4" t="s">
        <v>7363</v>
      </c>
      <c r="B836" s="4" t="s">
        <v>7364</v>
      </c>
      <c r="C836" s="19" t="s">
        <v>10485</v>
      </c>
      <c r="D836" s="4"/>
      <c r="E836" s="4" t="str">
        <f t="shared" si="7"/>
        <v>4.4.1.13</v>
      </c>
      <c r="F836" s="4" t="str">
        <f>$P$3&amp;"R00782"</f>
        <v>R00782</v>
      </c>
      <c r="G836" s="22" t="s">
        <v>10486</v>
      </c>
      <c r="H836" s="22" t="s">
        <v>10487</v>
      </c>
      <c r="K836" s="4"/>
      <c r="N836" s="4" t="s">
        <v>690</v>
      </c>
      <c r="O836" s="4">
        <v>293</v>
      </c>
    </row>
    <row r="837" spans="1:15" ht="15.75" customHeight="1">
      <c r="A837" s="4" t="s">
        <v>7363</v>
      </c>
      <c r="B837" s="4" t="s">
        <v>7364</v>
      </c>
      <c r="C837" s="19" t="s">
        <v>10488</v>
      </c>
      <c r="D837" s="4"/>
      <c r="E837" s="4" t="str">
        <f t="shared" si="7"/>
        <v>4.4.1.13</v>
      </c>
      <c r="F837" s="4" t="str">
        <f>$P$3&amp;"R04941"</f>
        <v>R04941</v>
      </c>
      <c r="G837" s="22" t="s">
        <v>10489</v>
      </c>
      <c r="H837" s="22" t="s">
        <v>10490</v>
      </c>
      <c r="K837" s="4"/>
      <c r="N837" s="4" t="s">
        <v>690</v>
      </c>
      <c r="O837" s="4">
        <v>293</v>
      </c>
    </row>
    <row r="838" spans="1:15" ht="15.75" customHeight="1">
      <c r="A838" s="4" t="s">
        <v>7363</v>
      </c>
      <c r="B838" s="4" t="s">
        <v>7364</v>
      </c>
      <c r="C838" s="19" t="s">
        <v>10491</v>
      </c>
      <c r="D838" s="4"/>
      <c r="E838" s="4" t="str">
        <f t="shared" si="7"/>
        <v>4.4.1.13</v>
      </c>
      <c r="F838" s="4" t="str">
        <f>$P$3&amp;"R09366"</f>
        <v>R09366</v>
      </c>
      <c r="G838" s="22" t="s">
        <v>10492</v>
      </c>
      <c r="H838" s="22" t="s">
        <v>10493</v>
      </c>
      <c r="K838" s="4"/>
      <c r="N838" s="4" t="s">
        <v>690</v>
      </c>
      <c r="O838" s="4">
        <v>293</v>
      </c>
    </row>
    <row r="839" spans="1:15" ht="15.75" customHeight="1">
      <c r="A839" s="4" t="s">
        <v>6969</v>
      </c>
      <c r="B839" s="4" t="s">
        <v>6970</v>
      </c>
      <c r="C839" s="19" t="s">
        <v>10494</v>
      </c>
      <c r="D839" s="4"/>
      <c r="E839" s="4" t="str">
        <f t="shared" si="7"/>
        <v>4.4.1.21</v>
      </c>
      <c r="F839" s="4" t="str">
        <f>$P$3&amp;"R01291"</f>
        <v>R01291</v>
      </c>
      <c r="G839" s="2" t="s">
        <v>10495</v>
      </c>
      <c r="H839" s="22" t="s">
        <v>10496</v>
      </c>
      <c r="K839" s="4"/>
      <c r="N839" s="4" t="s">
        <v>263</v>
      </c>
      <c r="O839" s="4">
        <v>634</v>
      </c>
    </row>
    <row r="840" spans="1:15" ht="15.75" customHeight="1">
      <c r="A840" s="4" t="s">
        <v>6017</v>
      </c>
      <c r="B840" s="4" t="s">
        <v>6018</v>
      </c>
      <c r="C840" s="19" t="s">
        <v>10497</v>
      </c>
      <c r="D840" s="4"/>
      <c r="E840" s="4" t="str">
        <f t="shared" si="7"/>
        <v>5.1.1.1</v>
      </c>
      <c r="F840" s="4" t="str">
        <f>$P$3&amp;"R00401"</f>
        <v>R00401</v>
      </c>
      <c r="G840" s="23" t="s">
        <v>8297</v>
      </c>
      <c r="H840" s="2" t="s">
        <v>10498</v>
      </c>
      <c r="K840" s="4"/>
      <c r="N840" s="4" t="s">
        <v>1476</v>
      </c>
      <c r="O840" s="4">
        <v>337</v>
      </c>
    </row>
    <row r="841" spans="1:15" ht="15.75" customHeight="1">
      <c r="A841" s="4" t="s">
        <v>7071</v>
      </c>
      <c r="B841" s="4" t="s">
        <v>7072</v>
      </c>
      <c r="C841" s="19" t="s">
        <v>10499</v>
      </c>
      <c r="D841" s="4"/>
      <c r="E841" s="4" t="str">
        <f t="shared" si="7"/>
        <v>5.1.1.3</v>
      </c>
      <c r="F841" s="4" t="str">
        <f>$P$3&amp;"R00260"</f>
        <v>R00260</v>
      </c>
      <c r="G841" s="2" t="s">
        <v>10500</v>
      </c>
      <c r="H841" s="2" t="s">
        <v>10501</v>
      </c>
      <c r="K841" s="4"/>
      <c r="N841" s="4" t="s">
        <v>56</v>
      </c>
      <c r="O841" s="4">
        <v>75</v>
      </c>
    </row>
    <row r="842" spans="1:15" ht="15.75" customHeight="1">
      <c r="A842" s="4" t="s">
        <v>4897</v>
      </c>
      <c r="B842" s="4" t="s">
        <v>4898</v>
      </c>
      <c r="C842" s="19" t="s">
        <v>10502</v>
      </c>
      <c r="D842" s="4"/>
      <c r="E842" s="4" t="str">
        <f t="shared" si="7"/>
        <v>5.1.1.7</v>
      </c>
      <c r="F842" s="4" t="str">
        <f>$P$3&amp;"R02735"</f>
        <v>R02735</v>
      </c>
      <c r="G842" s="2" t="s">
        <v>10503</v>
      </c>
      <c r="H842" s="2" t="s">
        <v>10504</v>
      </c>
      <c r="K842" s="4"/>
      <c r="N842" s="4" t="s">
        <v>1481</v>
      </c>
      <c r="O842" s="4">
        <v>312</v>
      </c>
    </row>
    <row r="843" spans="1:15" ht="15.75" customHeight="1">
      <c r="A843" s="4" t="s">
        <v>1920</v>
      </c>
      <c r="B843" s="4" t="s">
        <v>1921</v>
      </c>
      <c r="C843" s="19" t="s">
        <v>10505</v>
      </c>
      <c r="D843" s="4"/>
      <c r="E843" s="4" t="str">
        <f t="shared" si="7"/>
        <v>5.1.3.1</v>
      </c>
      <c r="F843" s="4" t="str">
        <f t="shared" ref="F843:F844" si="16">$P$3&amp;"R01529"</f>
        <v>R01529</v>
      </c>
      <c r="G843" s="2" t="s">
        <v>10506</v>
      </c>
      <c r="H843" s="2" t="s">
        <v>10507</v>
      </c>
      <c r="I843" s="4"/>
      <c r="K843" s="4"/>
    </row>
    <row r="844" spans="1:15" ht="15.75" customHeight="1">
      <c r="A844" s="4" t="s">
        <v>5558</v>
      </c>
      <c r="B844" s="4" t="s">
        <v>5559</v>
      </c>
      <c r="C844" s="19" t="s">
        <v>10508</v>
      </c>
      <c r="D844" s="4"/>
      <c r="E844" s="4" t="str">
        <f t="shared" si="7"/>
        <v>5.1.3.1</v>
      </c>
      <c r="F844" s="4" t="str">
        <f t="shared" si="16"/>
        <v>R01529</v>
      </c>
      <c r="G844" s="2" t="s">
        <v>10509</v>
      </c>
      <c r="H844" s="2" t="s">
        <v>10510</v>
      </c>
      <c r="I844" s="4"/>
      <c r="K844" s="4"/>
      <c r="N844" s="4" t="s">
        <v>1491</v>
      </c>
      <c r="O844" s="4">
        <v>131</v>
      </c>
    </row>
    <row r="845" spans="1:15" ht="15.75" customHeight="1">
      <c r="A845" s="4" t="s">
        <v>6744</v>
      </c>
      <c r="B845" s="4" t="s">
        <v>6745</v>
      </c>
      <c r="C845" s="19" t="s">
        <v>10511</v>
      </c>
      <c r="D845" s="4"/>
      <c r="E845" s="4" t="str">
        <f t="shared" si="7"/>
        <v>5.1.3.2</v>
      </c>
      <c r="F845" s="4" t="str">
        <f>$P$3&amp;"R00291"</f>
        <v>R00291</v>
      </c>
      <c r="G845" s="2" t="s">
        <v>10512</v>
      </c>
      <c r="H845" s="2" t="s">
        <v>10513</v>
      </c>
      <c r="K845" s="4"/>
      <c r="N845" s="4" t="s">
        <v>1495</v>
      </c>
      <c r="O845" s="4">
        <v>191</v>
      </c>
    </row>
    <row r="846" spans="1:15" ht="15.75" customHeight="1">
      <c r="A846" s="4" t="s">
        <v>6744</v>
      </c>
      <c r="B846" s="4" t="s">
        <v>6745</v>
      </c>
      <c r="C846" s="19" t="s">
        <v>10514</v>
      </c>
      <c r="D846" s="4"/>
      <c r="E846" s="4" t="str">
        <f t="shared" si="7"/>
        <v>5.1.3.2</v>
      </c>
      <c r="F846" s="4" t="str">
        <f>$P$3&amp;"R00418"</f>
        <v>R00418</v>
      </c>
      <c r="G846" s="2" t="s">
        <v>10515</v>
      </c>
      <c r="H846" s="2" t="s">
        <v>10516</v>
      </c>
      <c r="K846" s="4"/>
      <c r="N846" s="4" t="s">
        <v>1495</v>
      </c>
      <c r="O846" s="4">
        <v>191</v>
      </c>
    </row>
    <row r="847" spans="1:15" ht="15.75" customHeight="1">
      <c r="A847" s="4" t="s">
        <v>6744</v>
      </c>
      <c r="B847" s="4" t="s">
        <v>6745</v>
      </c>
      <c r="C847" s="19" t="s">
        <v>10517</v>
      </c>
      <c r="D847" s="4"/>
      <c r="E847" s="4" t="str">
        <f t="shared" si="7"/>
        <v>5.1.3.2</v>
      </c>
      <c r="F847" s="4" t="str">
        <f>$P$3&amp;"R02984"</f>
        <v>R02984</v>
      </c>
      <c r="G847" s="2" t="s">
        <v>10518</v>
      </c>
      <c r="H847" s="2" t="s">
        <v>10519</v>
      </c>
      <c r="K847" s="4"/>
      <c r="N847" s="4" t="s">
        <v>1495</v>
      </c>
      <c r="O847" s="4">
        <v>191</v>
      </c>
    </row>
    <row r="848" spans="1:15" ht="15.75" customHeight="1">
      <c r="A848" s="4" t="s">
        <v>5590</v>
      </c>
      <c r="B848" s="4" t="s">
        <v>5591</v>
      </c>
      <c r="C848" s="19" t="s">
        <v>10520</v>
      </c>
      <c r="D848" s="4"/>
      <c r="E848" s="4" t="str">
        <f t="shared" si="7"/>
        <v>5.1.3.4</v>
      </c>
      <c r="F848" s="4" t="str">
        <f>$P$3&amp;"R05850"</f>
        <v>R05850</v>
      </c>
      <c r="G848" s="2" t="s">
        <v>10521</v>
      </c>
      <c r="H848" s="2" t="s">
        <v>10522</v>
      </c>
      <c r="I848" s="4"/>
      <c r="K848" s="4"/>
      <c r="N848" s="4" t="s">
        <v>1498</v>
      </c>
      <c r="O848" s="4">
        <v>208</v>
      </c>
    </row>
    <row r="849" spans="1:15" ht="15.75" customHeight="1">
      <c r="A849" s="4" t="s">
        <v>1062</v>
      </c>
      <c r="B849" s="4" t="s">
        <v>1063</v>
      </c>
      <c r="C849" s="19" t="s">
        <v>10523</v>
      </c>
      <c r="D849" s="4"/>
      <c r="E849" s="4" t="str">
        <f t="shared" si="7"/>
        <v>5.2.1.8</v>
      </c>
      <c r="F849" s="4" t="str">
        <f t="shared" ref="F849:F852" si="17">$P$3&amp;"R04273"</f>
        <v>R04273</v>
      </c>
      <c r="G849" s="2" t="s">
        <v>10524</v>
      </c>
      <c r="H849" s="2" t="s">
        <v>10525</v>
      </c>
      <c r="K849" s="4"/>
      <c r="N849" s="4" t="s">
        <v>1502</v>
      </c>
      <c r="O849" s="4">
        <v>768</v>
      </c>
    </row>
    <row r="850" spans="1:15" ht="15.75" customHeight="1">
      <c r="A850" s="4" t="s">
        <v>2243</v>
      </c>
      <c r="B850" s="4" t="s">
        <v>2244</v>
      </c>
      <c r="C850" s="19" t="s">
        <v>10526</v>
      </c>
      <c r="D850" s="4"/>
      <c r="E850" s="4" t="str">
        <f t="shared" si="7"/>
        <v>5.2.1.8</v>
      </c>
      <c r="F850" s="4" t="str">
        <f t="shared" si="17"/>
        <v>R04273</v>
      </c>
      <c r="G850" s="2" t="s">
        <v>10527</v>
      </c>
      <c r="H850" s="2" t="s">
        <v>10528</v>
      </c>
      <c r="K850" s="4"/>
      <c r="N850" s="4" t="s">
        <v>1505</v>
      </c>
      <c r="O850" s="4">
        <v>153</v>
      </c>
    </row>
    <row r="851" spans="1:15" ht="15.75" customHeight="1">
      <c r="A851" s="4" t="s">
        <v>3520</v>
      </c>
      <c r="B851" s="4" t="s">
        <v>3521</v>
      </c>
      <c r="C851" s="19" t="s">
        <v>10529</v>
      </c>
      <c r="D851" s="4"/>
      <c r="E851" s="4" t="str">
        <f t="shared" si="7"/>
        <v>5.2.1.8</v>
      </c>
      <c r="F851" s="4" t="str">
        <f t="shared" si="17"/>
        <v>R04273</v>
      </c>
      <c r="G851" s="2" t="s">
        <v>10530</v>
      </c>
      <c r="H851" s="2" t="s">
        <v>10531</v>
      </c>
      <c r="I851" s="4"/>
      <c r="K851" s="4"/>
      <c r="N851" s="4" t="s">
        <v>1508</v>
      </c>
      <c r="O851" s="4">
        <v>229</v>
      </c>
    </row>
    <row r="852" spans="1:15" ht="15.75" customHeight="1">
      <c r="A852" s="4" t="s">
        <v>7145</v>
      </c>
      <c r="B852" s="4" t="s">
        <v>7146</v>
      </c>
      <c r="C852" s="19" t="s">
        <v>10532</v>
      </c>
      <c r="D852" s="4"/>
      <c r="E852" s="4" t="str">
        <f t="shared" si="7"/>
        <v>5.2.1.8</v>
      </c>
      <c r="F852" s="4" t="str">
        <f t="shared" si="17"/>
        <v>R04273</v>
      </c>
      <c r="G852" s="2" t="s">
        <v>10533</v>
      </c>
      <c r="H852" s="2" t="s">
        <v>10534</v>
      </c>
      <c r="K852" s="4"/>
      <c r="N852" s="4" t="s">
        <v>1512</v>
      </c>
      <c r="O852" s="4">
        <v>207</v>
      </c>
    </row>
    <row r="853" spans="1:15" ht="15.75" customHeight="1">
      <c r="A853" s="4" t="s">
        <v>5684</v>
      </c>
      <c r="B853" s="4" t="s">
        <v>5685</v>
      </c>
      <c r="C853" s="19" t="s">
        <v>10535</v>
      </c>
      <c r="D853" s="4"/>
      <c r="E853" s="4" t="str">
        <f t="shared" si="7"/>
        <v>5.3.1.1</v>
      </c>
      <c r="F853" s="4" t="str">
        <f t="shared" ref="F853:F854" si="18">$P$3&amp;"R01015"</f>
        <v>R01015</v>
      </c>
      <c r="G853" s="2" t="s">
        <v>10536</v>
      </c>
      <c r="H853" s="2" t="s">
        <v>10537</v>
      </c>
      <c r="I853" s="4"/>
      <c r="K853" s="4"/>
      <c r="N853" s="4" t="s">
        <v>1515</v>
      </c>
      <c r="O853" s="4">
        <v>432</v>
      </c>
    </row>
    <row r="854" spans="1:15" ht="15.75" customHeight="1">
      <c r="A854" s="4" t="s">
        <v>7586</v>
      </c>
      <c r="B854" s="4" t="s">
        <v>7587</v>
      </c>
      <c r="C854" s="19" t="s">
        <v>10538</v>
      </c>
      <c r="D854" s="4"/>
      <c r="E854" s="4" t="str">
        <f t="shared" si="7"/>
        <v>5.3.1.1</v>
      </c>
      <c r="F854" s="4" t="str">
        <f t="shared" si="18"/>
        <v>R01015</v>
      </c>
      <c r="G854" s="2" t="s">
        <v>10539</v>
      </c>
      <c r="H854" s="2" t="s">
        <v>10540</v>
      </c>
      <c r="K854" s="4"/>
      <c r="N854" s="4" t="s">
        <v>1519</v>
      </c>
      <c r="O854" s="4">
        <v>391</v>
      </c>
    </row>
    <row r="855" spans="1:15" ht="15.75" customHeight="1">
      <c r="A855" s="4" t="s">
        <v>1348</v>
      </c>
      <c r="B855" s="4" t="s">
        <v>1349</v>
      </c>
      <c r="C855" s="19" t="s">
        <v>10541</v>
      </c>
      <c r="D855" s="4"/>
      <c r="E855" s="4" t="str">
        <f t="shared" si="7"/>
        <v>5.3.1.16</v>
      </c>
      <c r="F855" s="4" t="str">
        <f>$P$3&amp;"R04640"</f>
        <v>R04640</v>
      </c>
      <c r="G855" s="2" t="s">
        <v>10542</v>
      </c>
      <c r="H855" s="2" t="s">
        <v>10543</v>
      </c>
      <c r="K855" s="4"/>
      <c r="N855" s="4" t="s">
        <v>1522</v>
      </c>
      <c r="O855" s="4">
        <v>162</v>
      </c>
    </row>
    <row r="856" spans="1:15" ht="15.75" customHeight="1">
      <c r="A856" s="4" t="s">
        <v>6778</v>
      </c>
      <c r="B856" s="4" t="s">
        <v>6779</v>
      </c>
      <c r="C856" s="19" t="s">
        <v>10544</v>
      </c>
      <c r="D856" s="4"/>
      <c r="E856" s="4" t="str">
        <f t="shared" si="7"/>
        <v>5.3.1.26</v>
      </c>
      <c r="F856" s="4" t="str">
        <f t="shared" ref="F856:F857" si="19">$P$3&amp;"R03240"</f>
        <v>R03240</v>
      </c>
      <c r="G856" s="2" t="s">
        <v>10545</v>
      </c>
      <c r="H856" s="2" t="s">
        <v>10546</v>
      </c>
      <c r="K856" s="4"/>
      <c r="N856" s="4" t="s">
        <v>1525</v>
      </c>
      <c r="O856" s="4">
        <v>928</v>
      </c>
    </row>
    <row r="857" spans="1:15" ht="15.75" customHeight="1">
      <c r="A857" s="4" t="s">
        <v>6780</v>
      </c>
      <c r="B857" s="4" t="s">
        <v>6781</v>
      </c>
      <c r="C857" s="19" t="s">
        <v>10547</v>
      </c>
      <c r="D857" s="4"/>
      <c r="E857" s="4" t="str">
        <f t="shared" si="7"/>
        <v>5.3.1.26</v>
      </c>
      <c r="F857" s="4" t="str">
        <f t="shared" si="19"/>
        <v>R03240</v>
      </c>
      <c r="G857" s="2" t="s">
        <v>10548</v>
      </c>
      <c r="H857" s="2" t="s">
        <v>10549</v>
      </c>
      <c r="I857" s="4"/>
      <c r="K857" s="4"/>
      <c r="N857" s="4" t="s">
        <v>1528</v>
      </c>
      <c r="O857" s="4">
        <v>1234</v>
      </c>
    </row>
    <row r="858" spans="1:15" ht="15.75" customHeight="1">
      <c r="A858" s="4" t="s">
        <v>4101</v>
      </c>
      <c r="B858" s="4" t="s">
        <v>4102</v>
      </c>
      <c r="C858" s="19" t="s">
        <v>10550</v>
      </c>
      <c r="D858" s="4"/>
      <c r="E858" s="4" t="str">
        <f t="shared" si="7"/>
        <v>5.3.1.27</v>
      </c>
      <c r="F858" s="4" t="str">
        <f>$P$3&amp;"R05339"</f>
        <v>R05339</v>
      </c>
      <c r="G858" s="2" t="s">
        <v>10551</v>
      </c>
      <c r="H858" s="2" t="s">
        <v>10552</v>
      </c>
      <c r="K858" s="4"/>
      <c r="N858" s="4" t="s">
        <v>1532</v>
      </c>
      <c r="O858" s="4">
        <v>1179</v>
      </c>
    </row>
    <row r="859" spans="1:15" ht="15.75" customHeight="1">
      <c r="A859" s="4" t="s">
        <v>4101</v>
      </c>
      <c r="B859" s="4" t="s">
        <v>4102</v>
      </c>
      <c r="C859" s="19" t="s">
        <v>10553</v>
      </c>
      <c r="D859" s="4"/>
      <c r="E859" s="4" t="str">
        <f t="shared" si="7"/>
        <v>5.3.1.27</v>
      </c>
      <c r="F859" s="4" t="str">
        <f>$P$3&amp;"R09780"</f>
        <v>R09780</v>
      </c>
      <c r="G859" s="2" t="s">
        <v>10554</v>
      </c>
      <c r="H859" s="2" t="s">
        <v>10555</v>
      </c>
      <c r="K859" s="4"/>
      <c r="N859" s="4" t="s">
        <v>1532</v>
      </c>
      <c r="O859" s="4">
        <v>1179</v>
      </c>
    </row>
    <row r="860" spans="1:15" ht="15.75" customHeight="1">
      <c r="A860" s="4" t="s">
        <v>4187</v>
      </c>
      <c r="B860" s="4" t="s">
        <v>4188</v>
      </c>
      <c r="C860" s="19" t="s">
        <v>10556</v>
      </c>
      <c r="D860" s="4"/>
      <c r="E860" s="4" t="str">
        <f t="shared" si="7"/>
        <v>5.3.1.27</v>
      </c>
      <c r="F860" s="4" t="str">
        <f>$P$3&amp;"R05339"</f>
        <v>R05339</v>
      </c>
      <c r="G860" s="2" t="s">
        <v>10557</v>
      </c>
      <c r="H860" s="2" t="s">
        <v>10558</v>
      </c>
      <c r="I860" s="4"/>
      <c r="K860" s="4"/>
      <c r="N860" s="4" t="s">
        <v>1535</v>
      </c>
      <c r="O860" s="4">
        <v>311</v>
      </c>
    </row>
    <row r="861" spans="1:15" ht="15.75" customHeight="1">
      <c r="A861" s="4" t="s">
        <v>4187</v>
      </c>
      <c r="B861" s="4" t="s">
        <v>4188</v>
      </c>
      <c r="C861" s="19" t="s">
        <v>10559</v>
      </c>
      <c r="D861" s="4"/>
      <c r="E861" s="4" t="str">
        <f t="shared" ref="E861:E1004" si="20">$P$2&amp;C861</f>
        <v>5.3.1.27</v>
      </c>
      <c r="F861" s="4" t="str">
        <f>$P$3&amp;"R09780"</f>
        <v>R09780</v>
      </c>
      <c r="G861" s="2" t="s">
        <v>10560</v>
      </c>
      <c r="H861" s="2" t="s">
        <v>10561</v>
      </c>
      <c r="I861" s="4"/>
      <c r="K861" s="4"/>
      <c r="N861" s="4" t="s">
        <v>1535</v>
      </c>
      <c r="O861" s="4">
        <v>311</v>
      </c>
    </row>
    <row r="862" spans="1:15" ht="15.75" customHeight="1">
      <c r="A862" s="4" t="s">
        <v>4557</v>
      </c>
      <c r="B862" s="4" t="s">
        <v>4558</v>
      </c>
      <c r="C862" s="19" t="s">
        <v>10562</v>
      </c>
      <c r="D862" s="4"/>
      <c r="E862" s="4" t="str">
        <f t="shared" si="20"/>
        <v>5.3.1.30</v>
      </c>
      <c r="F862" s="4" t="str">
        <f>$P$3&amp;"R08503"</f>
        <v>R08503</v>
      </c>
      <c r="G862" s="2" t="s">
        <v>10563</v>
      </c>
      <c r="H862" s="2" t="s">
        <v>10564</v>
      </c>
      <c r="I862" s="4"/>
      <c r="K862" s="4"/>
      <c r="N862" s="4" t="s">
        <v>1539</v>
      </c>
      <c r="O862" s="4">
        <v>334</v>
      </c>
    </row>
    <row r="863" spans="1:15" ht="15.75" customHeight="1">
      <c r="A863" s="4" t="s">
        <v>5568</v>
      </c>
      <c r="B863" s="4" t="s">
        <v>5569</v>
      </c>
      <c r="C863" s="19" t="s">
        <v>10565</v>
      </c>
      <c r="D863" s="4"/>
      <c r="E863" s="4" t="str">
        <f t="shared" si="20"/>
        <v>5.3.1.6</v>
      </c>
      <c r="F863" s="4" t="str">
        <f>$P$3&amp;"R01056"</f>
        <v>R01056</v>
      </c>
      <c r="G863" s="2" t="s">
        <v>10566</v>
      </c>
      <c r="H863" s="2" t="s">
        <v>10567</v>
      </c>
      <c r="I863" s="4"/>
      <c r="K863" s="4"/>
      <c r="N863" s="4" t="s">
        <v>1543</v>
      </c>
      <c r="O863" s="4">
        <v>344</v>
      </c>
    </row>
    <row r="864" spans="1:15" ht="15.75" customHeight="1">
      <c r="A864" s="4" t="s">
        <v>5568</v>
      </c>
      <c r="B864" s="4" t="s">
        <v>5569</v>
      </c>
      <c r="C864" s="19" t="s">
        <v>10568</v>
      </c>
      <c r="D864" s="4"/>
      <c r="E864" s="4" t="str">
        <f t="shared" si="20"/>
        <v>5.3.1.6</v>
      </c>
      <c r="F864" s="4" t="str">
        <f>$P$3&amp;"R09030"</f>
        <v>R09030</v>
      </c>
      <c r="G864" s="2" t="s">
        <v>10569</v>
      </c>
      <c r="H864" s="2" t="s">
        <v>10570</v>
      </c>
      <c r="I864" s="4"/>
      <c r="K864" s="4"/>
      <c r="N864" s="4" t="s">
        <v>1543</v>
      </c>
      <c r="O864" s="4">
        <v>344</v>
      </c>
    </row>
    <row r="865" spans="1:15" ht="15.75" customHeight="1">
      <c r="A865" s="4" t="s">
        <v>5744</v>
      </c>
      <c r="B865" s="4" t="s">
        <v>5745</v>
      </c>
      <c r="C865" s="19" t="s">
        <v>10571</v>
      </c>
      <c r="D865" s="4"/>
      <c r="E865" s="4" t="str">
        <f t="shared" si="20"/>
        <v>5.3.1.6</v>
      </c>
      <c r="F865" s="4" t="str">
        <f>$P$3&amp;"R01056"</f>
        <v>R01056</v>
      </c>
      <c r="G865" s="2" t="s">
        <v>10572</v>
      </c>
      <c r="H865" s="2" t="s">
        <v>10573</v>
      </c>
      <c r="K865" s="4"/>
      <c r="N865" s="4" t="s">
        <v>1547</v>
      </c>
      <c r="O865" s="4">
        <v>443</v>
      </c>
    </row>
    <row r="866" spans="1:15" ht="15.75" customHeight="1">
      <c r="A866" s="4" t="s">
        <v>5744</v>
      </c>
      <c r="B866" s="4" t="s">
        <v>5745</v>
      </c>
      <c r="C866" s="19" t="s">
        <v>10574</v>
      </c>
      <c r="D866" s="4"/>
      <c r="E866" s="4" t="str">
        <f t="shared" si="20"/>
        <v>5.3.1.6</v>
      </c>
      <c r="F866" s="4" t="str">
        <f>$P$3&amp;"R09030"</f>
        <v>R09030</v>
      </c>
      <c r="G866" s="2" t="s">
        <v>10575</v>
      </c>
      <c r="H866" s="2" t="s">
        <v>10576</v>
      </c>
      <c r="K866" s="4"/>
      <c r="N866" s="4" t="s">
        <v>1547</v>
      </c>
      <c r="O866" s="4">
        <v>443</v>
      </c>
    </row>
    <row r="867" spans="1:15" ht="15.75" customHeight="1">
      <c r="A867" s="4" t="s">
        <v>4403</v>
      </c>
      <c r="B867" s="4" t="s">
        <v>4404</v>
      </c>
      <c r="C867" s="19" t="s">
        <v>10577</v>
      </c>
      <c r="D867" s="4"/>
      <c r="E867" s="4" t="str">
        <f t="shared" si="20"/>
        <v>5.3.1.8</v>
      </c>
      <c r="F867" s="4" t="str">
        <f>$P$3&amp;"R00772"</f>
        <v>R00772</v>
      </c>
      <c r="G867" s="2" t="s">
        <v>10578</v>
      </c>
      <c r="H867" s="2" t="s">
        <v>10579</v>
      </c>
      <c r="K867" s="4"/>
      <c r="N867" s="4" t="s">
        <v>76</v>
      </c>
      <c r="O867" s="4">
        <v>318</v>
      </c>
    </row>
    <row r="868" spans="1:15" ht="15.75" customHeight="1">
      <c r="A868" s="4" t="s">
        <v>4403</v>
      </c>
      <c r="B868" s="4" t="s">
        <v>4404</v>
      </c>
      <c r="C868" s="19" t="s">
        <v>10580</v>
      </c>
      <c r="D868" s="4"/>
      <c r="E868" s="4" t="str">
        <f t="shared" si="20"/>
        <v>5.3.1.8</v>
      </c>
      <c r="F868" s="4" t="str">
        <f>$P$3&amp;"R01819"</f>
        <v>R01819</v>
      </c>
      <c r="G868" s="2" t="s">
        <v>10581</v>
      </c>
      <c r="H868" s="2" t="s">
        <v>10582</v>
      </c>
      <c r="K868" s="4"/>
      <c r="N868" s="4" t="s">
        <v>76</v>
      </c>
      <c r="O868" s="4">
        <v>318</v>
      </c>
    </row>
    <row r="869" spans="1:15" ht="15.75" customHeight="1">
      <c r="A869" s="4" t="s">
        <v>406</v>
      </c>
      <c r="B869" s="4" t="s">
        <v>407</v>
      </c>
      <c r="C869" s="19" t="s">
        <v>10583</v>
      </c>
      <c r="D869" s="4"/>
      <c r="E869" s="4" t="str">
        <f t="shared" si="20"/>
        <v>5.3.1.9</v>
      </c>
      <c r="F869" s="4" t="str">
        <f>$P$3&amp;"R02740"</f>
        <v>R02740</v>
      </c>
      <c r="G869" s="2" t="s">
        <v>10584</v>
      </c>
      <c r="H869" s="2" t="s">
        <v>10585</v>
      </c>
      <c r="K869" s="4"/>
      <c r="N869" s="4" t="s">
        <v>56</v>
      </c>
      <c r="O869" s="4">
        <v>247</v>
      </c>
    </row>
    <row r="870" spans="1:15" ht="15.75" customHeight="1">
      <c r="A870" s="4" t="s">
        <v>406</v>
      </c>
      <c r="B870" s="4" t="s">
        <v>407</v>
      </c>
      <c r="C870" s="19" t="s">
        <v>10586</v>
      </c>
      <c r="D870" s="4"/>
      <c r="E870" s="4" t="str">
        <f t="shared" si="20"/>
        <v>5.3.1.9</v>
      </c>
      <c r="F870" s="4" t="str">
        <f>$P$3&amp;"R00771"</f>
        <v>R00771</v>
      </c>
      <c r="G870" s="2" t="s">
        <v>10587</v>
      </c>
      <c r="H870" s="2" t="s">
        <v>10588</v>
      </c>
      <c r="K870" s="4"/>
      <c r="N870" s="4" t="s">
        <v>56</v>
      </c>
      <c r="O870" s="4">
        <v>247</v>
      </c>
    </row>
    <row r="871" spans="1:15" ht="15.75" customHeight="1">
      <c r="A871" s="4" t="s">
        <v>406</v>
      </c>
      <c r="B871" s="4" t="s">
        <v>407</v>
      </c>
      <c r="C871" s="19" t="s">
        <v>10589</v>
      </c>
      <c r="D871" s="4"/>
      <c r="E871" s="4" t="str">
        <f t="shared" si="20"/>
        <v>5.3.1.9</v>
      </c>
      <c r="F871" s="4" t="str">
        <f>$P$3&amp;"R02739"</f>
        <v>R02739</v>
      </c>
      <c r="G871" s="2" t="s">
        <v>10590</v>
      </c>
      <c r="H871" s="2" t="s">
        <v>10591</v>
      </c>
      <c r="K871" s="4"/>
      <c r="N871" s="4" t="s">
        <v>56</v>
      </c>
      <c r="O871" s="4">
        <v>247</v>
      </c>
    </row>
    <row r="872" spans="1:15" ht="15.75" customHeight="1">
      <c r="A872" s="4" t="s">
        <v>406</v>
      </c>
      <c r="B872" s="4" t="s">
        <v>407</v>
      </c>
      <c r="C872" s="19" t="s">
        <v>10592</v>
      </c>
      <c r="D872" s="4"/>
      <c r="E872" s="4" t="str">
        <f t="shared" si="20"/>
        <v>5.3.1.9</v>
      </c>
      <c r="F872" s="4" t="str">
        <f>$P$3&amp;"R03321"</f>
        <v>R03321</v>
      </c>
      <c r="G872" s="2" t="s">
        <v>10593</v>
      </c>
      <c r="H872" s="2" t="s">
        <v>10594</v>
      </c>
      <c r="K872" s="4"/>
      <c r="N872" s="4" t="s">
        <v>56</v>
      </c>
      <c r="O872" s="4">
        <v>247</v>
      </c>
    </row>
    <row r="873" spans="1:15" ht="15.75" customHeight="1">
      <c r="A873" s="4" t="s">
        <v>406</v>
      </c>
      <c r="B873" s="4" t="s">
        <v>407</v>
      </c>
      <c r="C873" s="19" t="s">
        <v>10595</v>
      </c>
      <c r="D873" s="4"/>
      <c r="E873" s="4" t="str">
        <f t="shared" si="20"/>
        <v>5.3.1.9</v>
      </c>
      <c r="F873" s="4" t="str">
        <f>$P$3&amp;"R13199"</f>
        <v>R13199</v>
      </c>
      <c r="G873" s="2" t="s">
        <v>10596</v>
      </c>
      <c r="H873" s="2" t="s">
        <v>10597</v>
      </c>
      <c r="K873" s="4"/>
      <c r="N873" s="4" t="s">
        <v>56</v>
      </c>
      <c r="O873" s="4">
        <v>247</v>
      </c>
    </row>
    <row r="874" spans="1:15" ht="15.75" customHeight="1">
      <c r="A874" s="4" t="s">
        <v>1558</v>
      </c>
      <c r="B874" s="4" t="s">
        <v>1559</v>
      </c>
      <c r="C874" s="4" t="s">
        <v>8298</v>
      </c>
      <c r="D874" s="4"/>
      <c r="E874" s="4" t="str">
        <f t="shared" si="20"/>
        <v>5.3.2.6</v>
      </c>
      <c r="F874" s="4" t="str">
        <f>$P$3&amp;"R03966"</f>
        <v>R03966</v>
      </c>
      <c r="G874" s="2" t="s">
        <v>10598</v>
      </c>
      <c r="H874" s="2" t="s">
        <v>10599</v>
      </c>
      <c r="K874" s="4"/>
      <c r="N874" s="4" t="s">
        <v>1554</v>
      </c>
      <c r="O874" s="4">
        <v>116</v>
      </c>
    </row>
    <row r="875" spans="1:15" ht="15.75" customHeight="1">
      <c r="A875" s="4" t="s">
        <v>1558</v>
      </c>
      <c r="B875" s="4" t="s">
        <v>1559</v>
      </c>
      <c r="C875" s="4" t="s">
        <v>8298</v>
      </c>
      <c r="D875" s="4"/>
      <c r="E875" s="4" t="str">
        <f t="shared" si="20"/>
        <v>5.3.2.6</v>
      </c>
      <c r="F875" s="4" t="str">
        <f>$P$3&amp;"R05389"</f>
        <v>R05389</v>
      </c>
      <c r="G875" s="2" t="s">
        <v>10600</v>
      </c>
      <c r="H875" s="2" t="s">
        <v>10601</v>
      </c>
      <c r="K875" s="4"/>
      <c r="N875" s="4" t="s">
        <v>1554</v>
      </c>
      <c r="O875" s="4">
        <v>116</v>
      </c>
    </row>
    <row r="876" spans="1:15" ht="15.75" customHeight="1">
      <c r="A876" s="4" t="s">
        <v>1545</v>
      </c>
      <c r="B876" s="4" t="s">
        <v>1546</v>
      </c>
      <c r="C876" s="19" t="s">
        <v>10602</v>
      </c>
      <c r="D876" s="4"/>
      <c r="E876" s="4" t="str">
        <f t="shared" si="20"/>
        <v>5.3.3.2</v>
      </c>
      <c r="F876" s="4" t="str">
        <f>$P$3&amp;"R01123"</f>
        <v>R01123</v>
      </c>
      <c r="G876" s="2" t="s">
        <v>10603</v>
      </c>
      <c r="H876" s="2" t="s">
        <v>10604</v>
      </c>
      <c r="K876" s="4"/>
      <c r="N876" s="4" t="s">
        <v>1557</v>
      </c>
      <c r="O876" s="4">
        <v>62</v>
      </c>
    </row>
    <row r="877" spans="1:15" ht="15.75" customHeight="1">
      <c r="A877" s="4" t="s">
        <v>127</v>
      </c>
      <c r="B877" s="4" t="s">
        <v>128</v>
      </c>
      <c r="C877" s="19" t="s">
        <v>10605</v>
      </c>
      <c r="D877" s="4"/>
      <c r="E877" s="4" t="str">
        <f t="shared" si="20"/>
        <v>5.4.2.10</v>
      </c>
      <c r="F877" s="4" t="str">
        <f>$P$3&amp;"R02060"</f>
        <v>R02060</v>
      </c>
      <c r="G877" s="2" t="s">
        <v>10606</v>
      </c>
      <c r="H877" s="2" t="s">
        <v>10607</v>
      </c>
      <c r="K877" s="4"/>
      <c r="N877" s="4" t="s">
        <v>1563</v>
      </c>
      <c r="O877" s="4">
        <v>236</v>
      </c>
    </row>
    <row r="878" spans="1:15" ht="15.75" customHeight="1">
      <c r="A878" s="4" t="s">
        <v>3166</v>
      </c>
      <c r="B878" s="4" t="s">
        <v>3167</v>
      </c>
      <c r="C878" s="19" t="s">
        <v>10608</v>
      </c>
      <c r="D878" s="4"/>
      <c r="E878" s="4" t="str">
        <f t="shared" si="20"/>
        <v>5.4.2.11</v>
      </c>
      <c r="F878" s="4" t="str">
        <f>$P$3&amp;"R01516"</f>
        <v>R01516</v>
      </c>
      <c r="G878" s="22" t="s">
        <v>10609</v>
      </c>
      <c r="H878" s="22" t="s">
        <v>10610</v>
      </c>
      <c r="I878" s="4"/>
      <c r="K878" s="4"/>
      <c r="N878" s="4" t="s">
        <v>1566</v>
      </c>
      <c r="O878" s="4">
        <v>422</v>
      </c>
    </row>
    <row r="879" spans="1:15" ht="15.75" customHeight="1">
      <c r="A879" s="4" t="s">
        <v>3166</v>
      </c>
      <c r="B879" s="4" t="s">
        <v>3167</v>
      </c>
      <c r="C879" s="19" t="s">
        <v>10611</v>
      </c>
      <c r="D879" s="4"/>
      <c r="E879" s="4" t="str">
        <f t="shared" si="20"/>
        <v>5.4.2.11</v>
      </c>
      <c r="F879" s="4" t="str">
        <f>$P$3&amp;"R01518"</f>
        <v>R01518</v>
      </c>
      <c r="G879" s="2" t="s">
        <v>10612</v>
      </c>
      <c r="H879" s="2" t="s">
        <v>10613</v>
      </c>
      <c r="I879" s="4"/>
      <c r="K879" s="4"/>
      <c r="N879" s="4" t="s">
        <v>1566</v>
      </c>
      <c r="O879" s="4">
        <v>422</v>
      </c>
    </row>
    <row r="880" spans="1:15" ht="15.75" customHeight="1">
      <c r="A880" s="4" t="s">
        <v>7623</v>
      </c>
      <c r="B880" s="4" t="s">
        <v>7624</v>
      </c>
      <c r="C880" s="19" t="s">
        <v>10614</v>
      </c>
      <c r="D880" s="4"/>
      <c r="E880" s="4" t="str">
        <f t="shared" si="20"/>
        <v>5.4.2.6</v>
      </c>
      <c r="F880" s="4" t="str">
        <f>$P$3&amp;"R02728"</f>
        <v>R02728</v>
      </c>
      <c r="G880" s="2" t="s">
        <v>10615</v>
      </c>
      <c r="H880" s="2" t="s">
        <v>10616</v>
      </c>
      <c r="I880" s="4"/>
      <c r="K880" s="4"/>
      <c r="N880" s="4" t="s">
        <v>1570</v>
      </c>
      <c r="O880" s="4">
        <v>599</v>
      </c>
    </row>
    <row r="881" spans="1:15" ht="15.75" customHeight="1">
      <c r="A881" s="4" t="s">
        <v>7623</v>
      </c>
      <c r="B881" s="4" t="s">
        <v>7624</v>
      </c>
      <c r="C881" s="19" t="s">
        <v>10617</v>
      </c>
      <c r="D881" s="4"/>
      <c r="E881" s="4" t="str">
        <f t="shared" si="20"/>
        <v>5.4.2.6</v>
      </c>
      <c r="F881" s="4" t="str">
        <f>$P$3&amp;"R11310"</f>
        <v>R11310</v>
      </c>
      <c r="G881" s="2" t="s">
        <v>10618</v>
      </c>
      <c r="H881" s="2" t="s">
        <v>10619</v>
      </c>
      <c r="I881" s="4"/>
      <c r="K881" s="4"/>
      <c r="N881" s="4" t="s">
        <v>1570</v>
      </c>
      <c r="O881" s="4">
        <v>599</v>
      </c>
    </row>
    <row r="882" spans="1:15" ht="15.75" customHeight="1">
      <c r="A882" s="4" t="s">
        <v>4438</v>
      </c>
      <c r="B882" s="4" t="s">
        <v>4439</v>
      </c>
      <c r="C882" s="19" t="s">
        <v>10620</v>
      </c>
      <c r="D882" s="4"/>
      <c r="E882" s="4" t="str">
        <f t="shared" si="20"/>
        <v>5.4.2.7</v>
      </c>
      <c r="F882" s="4" t="str">
        <f>$P$3&amp;"R01057"</f>
        <v>R01057</v>
      </c>
      <c r="G882" s="2" t="s">
        <v>10621</v>
      </c>
      <c r="H882" s="2" t="s">
        <v>10622</v>
      </c>
      <c r="K882" s="4"/>
      <c r="N882" s="4" t="s">
        <v>779</v>
      </c>
      <c r="O882" s="4">
        <v>471</v>
      </c>
    </row>
    <row r="883" spans="1:15" ht="15.75" customHeight="1">
      <c r="A883" s="4" t="s">
        <v>4438</v>
      </c>
      <c r="B883" s="4" t="s">
        <v>4439</v>
      </c>
      <c r="C883" s="19" t="s">
        <v>10623</v>
      </c>
      <c r="D883" s="4"/>
      <c r="E883" s="4" t="str">
        <f t="shared" si="20"/>
        <v>5.4.2.7</v>
      </c>
      <c r="F883" s="4" t="str">
        <f>$P$3&amp;"R02749"</f>
        <v>R02749</v>
      </c>
      <c r="G883" s="2" t="s">
        <v>10624</v>
      </c>
      <c r="H883" s="2" t="s">
        <v>10625</v>
      </c>
      <c r="K883" s="4"/>
      <c r="N883" s="4" t="s">
        <v>779</v>
      </c>
      <c r="O883" s="4">
        <v>471</v>
      </c>
    </row>
    <row r="884" spans="1:15" ht="15.75" customHeight="1">
      <c r="A884" s="4" t="s">
        <v>6281</v>
      </c>
      <c r="B884" s="4" t="s">
        <v>6282</v>
      </c>
      <c r="C884" s="19" t="s">
        <v>10626</v>
      </c>
      <c r="D884" s="4"/>
      <c r="E884" s="4" t="str">
        <f t="shared" si="20"/>
        <v>5.4.99.12</v>
      </c>
      <c r="F884" s="4" t="str">
        <f>$P$3&amp;"R03020"</f>
        <v>R03020</v>
      </c>
      <c r="G884" s="2" t="s">
        <v>10627</v>
      </c>
      <c r="H884" s="2" t="s">
        <v>10628</v>
      </c>
      <c r="K884" s="4"/>
      <c r="N884" s="4" t="s">
        <v>1595</v>
      </c>
      <c r="O884" s="4">
        <v>129</v>
      </c>
    </row>
    <row r="885" spans="1:15" ht="15.75" customHeight="1">
      <c r="A885" s="4" t="s">
        <v>2348</v>
      </c>
      <c r="B885" s="4" t="s">
        <v>2349</v>
      </c>
      <c r="C885" s="19" t="s">
        <v>10629</v>
      </c>
      <c r="E885" s="4" t="str">
        <f t="shared" si="20"/>
        <v>5.4.99.18</v>
      </c>
      <c r="F885" s="4" t="str">
        <f>$P$3&amp;"R07405"</f>
        <v>R07405</v>
      </c>
      <c r="G885" s="2" t="s">
        <v>10630</v>
      </c>
      <c r="H885" s="2" t="s">
        <v>10631</v>
      </c>
      <c r="K885" s="4"/>
      <c r="N885" s="4" t="s">
        <v>248</v>
      </c>
      <c r="O885" s="4">
        <v>132</v>
      </c>
    </row>
    <row r="886" spans="1:15" ht="15.75" customHeight="1">
      <c r="A886" s="4" t="s">
        <v>1755</v>
      </c>
      <c r="B886" s="4" t="s">
        <v>1756</v>
      </c>
      <c r="C886" s="19" t="s">
        <v>10632</v>
      </c>
      <c r="D886" s="4"/>
      <c r="E886" s="4" t="str">
        <f t="shared" si="20"/>
        <v>5.4.99.25</v>
      </c>
      <c r="G886" s="4"/>
      <c r="H886" s="4"/>
      <c r="I886" s="4"/>
      <c r="K886" s="4"/>
      <c r="N886" s="4" t="s">
        <v>1600</v>
      </c>
      <c r="O886" s="4">
        <v>152</v>
      </c>
    </row>
    <row r="887" spans="1:15" ht="15.75" customHeight="1">
      <c r="A887" s="4" t="s">
        <v>4318</v>
      </c>
      <c r="B887" s="4" t="s">
        <v>4319</v>
      </c>
      <c r="C887" s="19" t="s">
        <v>10633</v>
      </c>
      <c r="D887" s="4"/>
      <c r="E887" s="4" t="str">
        <f t="shared" si="20"/>
        <v>5.4.99.62</v>
      </c>
      <c r="F887" s="4" t="str">
        <f>$P$3&amp;"R08247"</f>
        <v>R08247</v>
      </c>
      <c r="G887" s="2" t="s">
        <v>10634</v>
      </c>
      <c r="H887" s="2" t="s">
        <v>10635</v>
      </c>
      <c r="K887" s="4"/>
      <c r="N887" s="4" t="s">
        <v>1604</v>
      </c>
      <c r="O887" s="4">
        <v>328</v>
      </c>
    </row>
    <row r="888" spans="1:15" ht="15.75" customHeight="1">
      <c r="A888" s="4" t="s">
        <v>2949</v>
      </c>
      <c r="B888" s="4" t="s">
        <v>2950</v>
      </c>
      <c r="C888" s="19" t="s">
        <v>10636</v>
      </c>
      <c r="D888" s="4"/>
      <c r="E888" s="4" t="str">
        <f t="shared" si="20"/>
        <v>5.4.99.9</v>
      </c>
      <c r="F888" s="4" t="str">
        <f>$P$3&amp;"R00505"</f>
        <v>R00505</v>
      </c>
      <c r="G888" s="2" t="s">
        <v>10637</v>
      </c>
      <c r="H888" s="2" t="s">
        <v>10638</v>
      </c>
      <c r="K888" s="4"/>
      <c r="N888" s="4" t="s">
        <v>1607</v>
      </c>
      <c r="O888" s="4">
        <v>144</v>
      </c>
    </row>
    <row r="889" spans="1:15" ht="15.75" customHeight="1">
      <c r="A889" s="4" t="s">
        <v>2949</v>
      </c>
      <c r="B889" s="4" t="s">
        <v>2950</v>
      </c>
      <c r="C889" s="19" t="s">
        <v>10639</v>
      </c>
      <c r="D889" s="4"/>
      <c r="E889" s="4" t="str">
        <f t="shared" si="20"/>
        <v>5.4.99.9</v>
      </c>
      <c r="F889" s="4" t="str">
        <f>$P$3&amp;"R09009"</f>
        <v>R09009</v>
      </c>
      <c r="G889" s="2" t="s">
        <v>10640</v>
      </c>
      <c r="H889" s="2" t="s">
        <v>10641</v>
      </c>
      <c r="K889" s="4"/>
      <c r="N889" s="4" t="s">
        <v>1607</v>
      </c>
      <c r="O889" s="4">
        <v>144</v>
      </c>
    </row>
    <row r="890" spans="1:15" ht="15.75" customHeight="1">
      <c r="A890" s="4" t="s">
        <v>1260</v>
      </c>
      <c r="B890" s="4" t="s">
        <v>1261</v>
      </c>
      <c r="C890" s="19" t="s">
        <v>10642</v>
      </c>
      <c r="D890" s="4"/>
      <c r="E890" s="4" t="str">
        <f t="shared" si="20"/>
        <v>5.6.2.1</v>
      </c>
      <c r="G890" s="4"/>
      <c r="H890" s="4"/>
      <c r="I890" s="4"/>
      <c r="K890" s="4"/>
      <c r="N890" s="4" t="s">
        <v>1610</v>
      </c>
      <c r="O890" s="4">
        <v>58</v>
      </c>
    </row>
    <row r="891" spans="1:15" ht="15.75" customHeight="1">
      <c r="A891" s="4" t="s">
        <v>1287</v>
      </c>
      <c r="B891" s="4" t="s">
        <v>1288</v>
      </c>
      <c r="C891" s="19" t="s">
        <v>10643</v>
      </c>
      <c r="D891" s="4"/>
      <c r="E891" s="4" t="str">
        <f t="shared" si="20"/>
        <v>5.6.2.2</v>
      </c>
      <c r="G891" s="4"/>
      <c r="H891" s="4"/>
      <c r="K891" s="4"/>
      <c r="N891" s="4" t="s">
        <v>1614</v>
      </c>
      <c r="O891" s="4">
        <v>276</v>
      </c>
    </row>
    <row r="892" spans="1:15" ht="15.75" customHeight="1">
      <c r="A892" s="4" t="s">
        <v>1291</v>
      </c>
      <c r="B892" s="4" t="s">
        <v>1292</v>
      </c>
      <c r="C892" s="19" t="s">
        <v>10644</v>
      </c>
      <c r="D892" s="4"/>
      <c r="E892" s="4" t="str">
        <f t="shared" si="20"/>
        <v>5.6.2.2</v>
      </c>
      <c r="G892" s="4"/>
      <c r="H892" s="4"/>
      <c r="K892" s="4"/>
      <c r="N892" s="4" t="s">
        <v>1617</v>
      </c>
      <c r="O892" s="4">
        <v>295</v>
      </c>
    </row>
    <row r="893" spans="1:15" ht="15.75" customHeight="1">
      <c r="A893" s="4" t="s">
        <v>5107</v>
      </c>
      <c r="B893" s="4" t="s">
        <v>5108</v>
      </c>
      <c r="C893" s="19" t="s">
        <v>10645</v>
      </c>
      <c r="D893" s="4"/>
      <c r="E893" s="4" t="str">
        <f t="shared" si="20"/>
        <v>5.6.2.2</v>
      </c>
      <c r="G893" s="4"/>
      <c r="H893" s="4"/>
      <c r="K893" s="4"/>
      <c r="N893" s="4" t="s">
        <v>1199</v>
      </c>
      <c r="O893" s="4">
        <v>306</v>
      </c>
    </row>
    <row r="894" spans="1:15" ht="15.75" customHeight="1">
      <c r="A894" s="4" t="s">
        <v>5111</v>
      </c>
      <c r="B894" s="4" t="s">
        <v>5112</v>
      </c>
      <c r="C894" s="19" t="s">
        <v>10646</v>
      </c>
      <c r="D894" s="4"/>
      <c r="E894" s="4" t="str">
        <f t="shared" si="20"/>
        <v>5.6.2.2</v>
      </c>
      <c r="G894" s="4"/>
      <c r="H894" s="4"/>
      <c r="I894" s="4"/>
      <c r="K894" s="4"/>
      <c r="N894" s="4" t="s">
        <v>1622</v>
      </c>
      <c r="O894" s="4">
        <v>150</v>
      </c>
    </row>
    <row r="895" spans="1:15" ht="15.75" customHeight="1">
      <c r="A895" s="4" t="s">
        <v>2886</v>
      </c>
      <c r="B895" s="4" t="s">
        <v>2887</v>
      </c>
      <c r="C895" s="19" t="s">
        <v>10647</v>
      </c>
      <c r="D895" s="4"/>
      <c r="E895" s="4" t="str">
        <f t="shared" si="20"/>
        <v>6.1.1.1</v>
      </c>
      <c r="F895" s="4" t="str">
        <f>$P$3&amp;"R02918"</f>
        <v>R02918</v>
      </c>
      <c r="G895" s="22" t="s">
        <v>10648</v>
      </c>
      <c r="H895" s="22" t="s">
        <v>10649</v>
      </c>
      <c r="I895" s="4"/>
      <c r="K895" s="4"/>
      <c r="N895" s="4" t="s">
        <v>1626</v>
      </c>
      <c r="O895" s="4">
        <v>601</v>
      </c>
    </row>
    <row r="896" spans="1:15" ht="15.75" customHeight="1">
      <c r="B896" s="4" t="s">
        <v>5904</v>
      </c>
      <c r="C896" s="19" t="s">
        <v>10650</v>
      </c>
      <c r="D896" s="4"/>
      <c r="E896" s="4" t="str">
        <f t="shared" si="20"/>
        <v>6.1.1.10</v>
      </c>
      <c r="F896" s="4" t="str">
        <f>$P$3&amp;"R03659"</f>
        <v>R03659</v>
      </c>
      <c r="G896" s="22" t="s">
        <v>10651</v>
      </c>
      <c r="H896" s="22" t="s">
        <v>10652</v>
      </c>
      <c r="I896" s="4"/>
      <c r="K896" s="4"/>
      <c r="N896" s="4" t="s">
        <v>1630</v>
      </c>
      <c r="O896" s="4">
        <v>427</v>
      </c>
    </row>
    <row r="897" spans="1:15" ht="15.75" customHeight="1">
      <c r="B897" s="4" t="s">
        <v>5904</v>
      </c>
      <c r="C897" s="19" t="s">
        <v>10653</v>
      </c>
      <c r="D897" s="4"/>
      <c r="E897" s="4" t="str">
        <f t="shared" si="20"/>
        <v>6.1.1.10</v>
      </c>
      <c r="F897" s="4" t="str">
        <f>$P$3&amp;"R04773"</f>
        <v>R04773</v>
      </c>
      <c r="G897" s="22" t="s">
        <v>10654</v>
      </c>
      <c r="H897" s="22" t="s">
        <v>10655</v>
      </c>
      <c r="I897" s="4"/>
      <c r="K897" s="4"/>
      <c r="N897" s="4" t="s">
        <v>1630</v>
      </c>
      <c r="O897" s="4">
        <v>427</v>
      </c>
    </row>
    <row r="898" spans="1:15" ht="15.75" customHeight="1">
      <c r="A898" s="4" t="s">
        <v>2559</v>
      </c>
      <c r="B898" s="4" t="s">
        <v>2560</v>
      </c>
      <c r="C898" s="19" t="s">
        <v>10656</v>
      </c>
      <c r="D898" s="4"/>
      <c r="E898" s="4" t="str">
        <f t="shared" si="20"/>
        <v>6.1.1.11</v>
      </c>
      <c r="F898" s="4" t="str">
        <f>$P$3&amp;"R03662"</f>
        <v>R03662</v>
      </c>
      <c r="G898" s="22" t="s">
        <v>10657</v>
      </c>
      <c r="H898" s="22" t="s">
        <v>10658</v>
      </c>
      <c r="K898" s="4"/>
      <c r="N898" s="4" t="s">
        <v>1634</v>
      </c>
      <c r="O898" s="4">
        <v>108</v>
      </c>
    </row>
    <row r="899" spans="1:15" ht="15.75" customHeight="1">
      <c r="A899" s="4" t="s">
        <v>2559</v>
      </c>
      <c r="B899" s="4" t="s">
        <v>2560</v>
      </c>
      <c r="C899" s="19" t="s">
        <v>10659</v>
      </c>
      <c r="D899" s="4"/>
      <c r="E899" s="4" t="str">
        <f t="shared" si="20"/>
        <v>6.1.1.11</v>
      </c>
      <c r="F899" s="4" t="str">
        <f>$P$3&amp;"R08218"</f>
        <v>R08218</v>
      </c>
      <c r="G899" s="22" t="s">
        <v>10660</v>
      </c>
      <c r="H899" s="22" t="s">
        <v>10661</v>
      </c>
      <c r="K899" s="4"/>
      <c r="N899" s="4" t="s">
        <v>1634</v>
      </c>
      <c r="O899" s="4">
        <v>108</v>
      </c>
    </row>
    <row r="900" spans="1:15" ht="15.75" customHeight="1">
      <c r="A900" s="4" t="s">
        <v>1628</v>
      </c>
      <c r="B900" s="4" t="s">
        <v>1629</v>
      </c>
      <c r="C900" s="19" t="s">
        <v>10662</v>
      </c>
      <c r="D900" s="4"/>
      <c r="E900" s="4" t="str">
        <f t="shared" si="20"/>
        <v>6.1.1.12</v>
      </c>
      <c r="F900" s="4" t="str">
        <f>$P$3&amp;"R05577"</f>
        <v>R05577</v>
      </c>
      <c r="G900" s="22" t="s">
        <v>10663</v>
      </c>
      <c r="H900" s="22" t="s">
        <v>10664</v>
      </c>
      <c r="K900" s="4"/>
      <c r="N900" s="4" t="s">
        <v>1637</v>
      </c>
      <c r="O900" s="4">
        <v>305</v>
      </c>
    </row>
    <row r="901" spans="1:15" ht="15.75" customHeight="1">
      <c r="A901" s="4" t="s">
        <v>7053</v>
      </c>
      <c r="B901" s="4" t="s">
        <v>7054</v>
      </c>
      <c r="C901" s="19" t="s">
        <v>10665</v>
      </c>
      <c r="D901" s="4"/>
      <c r="E901" s="4" t="str">
        <f t="shared" si="20"/>
        <v>6.1.1.13</v>
      </c>
      <c r="F901" s="4" t="str">
        <f>$P$3&amp;"R02718"</f>
        <v>R02718</v>
      </c>
      <c r="G901" s="22" t="s">
        <v>10666</v>
      </c>
      <c r="H901" s="22" t="s">
        <v>10667</v>
      </c>
      <c r="K901" s="4"/>
      <c r="N901" s="4" t="s">
        <v>56</v>
      </c>
      <c r="O901" s="4">
        <v>147</v>
      </c>
    </row>
    <row r="902" spans="1:15" ht="15.75" customHeight="1">
      <c r="A902" s="4" t="s">
        <v>7053</v>
      </c>
      <c r="B902" s="4" t="s">
        <v>7054</v>
      </c>
      <c r="C902" s="19" t="s">
        <v>10668</v>
      </c>
      <c r="D902" s="4"/>
      <c r="E902" s="4" t="str">
        <f t="shared" si="20"/>
        <v>6.1.1.13</v>
      </c>
      <c r="F902" s="4" t="str">
        <f>$P$3&amp;"R12812"</f>
        <v>R12812</v>
      </c>
      <c r="G902" s="22" t="s">
        <v>10669</v>
      </c>
      <c r="H902" s="22" t="s">
        <v>10670</v>
      </c>
      <c r="K902" s="4"/>
      <c r="N902" s="4" t="s">
        <v>56</v>
      </c>
      <c r="O902" s="4">
        <v>147</v>
      </c>
    </row>
    <row r="903" spans="1:15" ht="15.75" customHeight="1">
      <c r="A903" s="4" t="s">
        <v>7053</v>
      </c>
      <c r="B903" s="4" t="s">
        <v>7054</v>
      </c>
      <c r="C903" s="19" t="s">
        <v>10671</v>
      </c>
      <c r="D903" s="4"/>
      <c r="E903" s="4" t="str">
        <f t="shared" si="20"/>
        <v>6.1.1.13</v>
      </c>
      <c r="F903" s="4" t="str">
        <f>$P$3&amp;"R12863"</f>
        <v>R12863</v>
      </c>
      <c r="G903" s="22" t="s">
        <v>10672</v>
      </c>
      <c r="H903" s="22" t="s">
        <v>10673</v>
      </c>
      <c r="K903" s="4"/>
      <c r="N903" s="4" t="s">
        <v>56</v>
      </c>
      <c r="O903" s="4">
        <v>147</v>
      </c>
    </row>
    <row r="904" spans="1:15" ht="15.75" customHeight="1">
      <c r="A904" s="4" t="s">
        <v>7053</v>
      </c>
      <c r="B904" s="4" t="s">
        <v>7054</v>
      </c>
      <c r="C904" s="19" t="s">
        <v>10674</v>
      </c>
      <c r="D904" s="4"/>
      <c r="E904" s="4" t="str">
        <f t="shared" si="20"/>
        <v>6.1.1.13</v>
      </c>
      <c r="F904" s="4" t="str">
        <f>$P$3&amp;"R12867"</f>
        <v>R12867</v>
      </c>
      <c r="G904" s="22" t="s">
        <v>10675</v>
      </c>
      <c r="H904" s="22" t="s">
        <v>10676</v>
      </c>
      <c r="K904" s="4"/>
      <c r="N904" s="4" t="s">
        <v>56</v>
      </c>
      <c r="O904" s="4">
        <v>147</v>
      </c>
    </row>
    <row r="905" spans="1:15" ht="15.75" customHeight="1">
      <c r="A905" s="4" t="s">
        <v>7053</v>
      </c>
      <c r="B905" s="4" t="s">
        <v>7054</v>
      </c>
      <c r="C905" s="19" t="s">
        <v>10677</v>
      </c>
      <c r="D905" s="4"/>
      <c r="E905" s="4" t="str">
        <f t="shared" si="20"/>
        <v>6.1.1.13</v>
      </c>
      <c r="F905" s="4" t="str">
        <f>$P$3&amp;"R12871"</f>
        <v>R12871</v>
      </c>
      <c r="G905" s="22" t="s">
        <v>10678</v>
      </c>
      <c r="H905" s="22" t="s">
        <v>10679</v>
      </c>
      <c r="K905" s="4"/>
      <c r="N905" s="4" t="s">
        <v>56</v>
      </c>
      <c r="O905" s="4">
        <v>147</v>
      </c>
    </row>
    <row r="906" spans="1:15" ht="15.75" customHeight="1">
      <c r="A906" s="4" t="s">
        <v>7053</v>
      </c>
      <c r="B906" s="4" t="s">
        <v>7054</v>
      </c>
      <c r="C906" s="19" t="s">
        <v>10680</v>
      </c>
      <c r="D906" s="4"/>
      <c r="E906" s="4" t="str">
        <f t="shared" si="20"/>
        <v>6.1.1.13</v>
      </c>
      <c r="F906" s="4" t="str">
        <f>$P$3&amp;"R12873"</f>
        <v>R12873</v>
      </c>
      <c r="G906" s="22" t="s">
        <v>10681</v>
      </c>
      <c r="H906" s="22" t="s">
        <v>10682</v>
      </c>
      <c r="K906" s="4"/>
      <c r="N906" s="4" t="s">
        <v>56</v>
      </c>
      <c r="O906" s="4">
        <v>147</v>
      </c>
    </row>
    <row r="907" spans="1:15" ht="15.75" customHeight="1">
      <c r="A907" s="4" t="s">
        <v>7053</v>
      </c>
      <c r="B907" s="4" t="s">
        <v>7054</v>
      </c>
      <c r="C907" s="19" t="s">
        <v>10683</v>
      </c>
      <c r="D907" s="4"/>
      <c r="E907" s="4" t="str">
        <f t="shared" si="20"/>
        <v>6.1.1.13</v>
      </c>
      <c r="F907" s="4" t="str">
        <f>$P$3&amp;"R12875"</f>
        <v>R12875</v>
      </c>
      <c r="G907" s="22" t="s">
        <v>10684</v>
      </c>
      <c r="H907" s="22" t="s">
        <v>10685</v>
      </c>
      <c r="K907" s="4"/>
      <c r="N907" s="4" t="s">
        <v>56</v>
      </c>
      <c r="O907" s="4">
        <v>147</v>
      </c>
    </row>
    <row r="908" spans="1:15" ht="15.75" customHeight="1">
      <c r="A908" s="4" t="s">
        <v>7053</v>
      </c>
      <c r="B908" s="4" t="s">
        <v>7054</v>
      </c>
      <c r="C908" s="19" t="s">
        <v>10686</v>
      </c>
      <c r="D908" s="4"/>
      <c r="E908" s="4" t="str">
        <f t="shared" si="20"/>
        <v>6.1.1.13</v>
      </c>
      <c r="F908" s="4" t="str">
        <f>$P$3&amp;"R12904"</f>
        <v>R12904</v>
      </c>
      <c r="G908" s="22" t="s">
        <v>10687</v>
      </c>
      <c r="H908" s="22" t="s">
        <v>10688</v>
      </c>
      <c r="K908" s="4"/>
      <c r="N908" s="4" t="s">
        <v>56</v>
      </c>
      <c r="O908" s="4">
        <v>147</v>
      </c>
    </row>
    <row r="909" spans="1:15" ht="15.75" customHeight="1">
      <c r="A909" s="4" t="s">
        <v>7061</v>
      </c>
      <c r="B909" s="4" t="s">
        <v>7062</v>
      </c>
      <c r="C909" s="19" t="s">
        <v>10689</v>
      </c>
      <c r="D909" s="4"/>
      <c r="E909" s="4" t="str">
        <f t="shared" si="20"/>
        <v>6.1.1.13</v>
      </c>
      <c r="F909" s="4" t="str">
        <f>$P$3&amp;"R02718"</f>
        <v>R02718</v>
      </c>
      <c r="G909" s="22" t="s">
        <v>10690</v>
      </c>
      <c r="H909" s="22" t="s">
        <v>10691</v>
      </c>
      <c r="K909" s="4"/>
      <c r="N909" s="4" t="s">
        <v>92</v>
      </c>
      <c r="O909" s="4">
        <v>279</v>
      </c>
    </row>
    <row r="910" spans="1:15" ht="15.75" customHeight="1">
      <c r="A910" s="4" t="s">
        <v>7061</v>
      </c>
      <c r="B910" s="4" t="s">
        <v>7062</v>
      </c>
      <c r="C910" s="19" t="s">
        <v>10692</v>
      </c>
      <c r="D910" s="4"/>
      <c r="E910" s="4" t="str">
        <f t="shared" si="20"/>
        <v>6.1.1.13</v>
      </c>
      <c r="F910" s="4" t="str">
        <f>$P$3&amp;"R12812"</f>
        <v>R12812</v>
      </c>
      <c r="G910" s="22" t="s">
        <v>10693</v>
      </c>
      <c r="H910" s="22" t="s">
        <v>10694</v>
      </c>
      <c r="K910" s="4"/>
      <c r="N910" s="4" t="s">
        <v>92</v>
      </c>
      <c r="O910" s="4">
        <v>279</v>
      </c>
    </row>
    <row r="911" spans="1:15" ht="15.75" customHeight="1">
      <c r="A911" s="4" t="s">
        <v>7061</v>
      </c>
      <c r="B911" s="4" t="s">
        <v>7062</v>
      </c>
      <c r="C911" s="19" t="s">
        <v>10695</v>
      </c>
      <c r="D911" s="4"/>
      <c r="E911" s="4" t="str">
        <f t="shared" si="20"/>
        <v>6.1.1.13</v>
      </c>
      <c r="F911" s="4" t="str">
        <f>$P$3&amp;"R12863"</f>
        <v>R12863</v>
      </c>
      <c r="G911" s="22" t="s">
        <v>10696</v>
      </c>
      <c r="H911" s="22" t="s">
        <v>10697</v>
      </c>
      <c r="K911" s="4"/>
      <c r="N911" s="4" t="s">
        <v>92</v>
      </c>
      <c r="O911" s="4">
        <v>279</v>
      </c>
    </row>
    <row r="912" spans="1:15" ht="15.75" customHeight="1">
      <c r="A912" s="4" t="s">
        <v>7061</v>
      </c>
      <c r="B912" s="4" t="s">
        <v>7062</v>
      </c>
      <c r="C912" s="19" t="s">
        <v>10698</v>
      </c>
      <c r="D912" s="4"/>
      <c r="E912" s="4" t="str">
        <f t="shared" si="20"/>
        <v>6.1.1.13</v>
      </c>
      <c r="F912" s="4" t="str">
        <f>$P$3&amp;"R12867"</f>
        <v>R12867</v>
      </c>
      <c r="G912" s="22" t="s">
        <v>10699</v>
      </c>
      <c r="H912" s="22" t="s">
        <v>10700</v>
      </c>
      <c r="K912" s="4"/>
      <c r="N912" s="4" t="s">
        <v>92</v>
      </c>
      <c r="O912" s="4">
        <v>279</v>
      </c>
    </row>
    <row r="913" spans="1:15" ht="15.75" customHeight="1">
      <c r="A913" s="4" t="s">
        <v>7061</v>
      </c>
      <c r="B913" s="4" t="s">
        <v>7062</v>
      </c>
      <c r="C913" s="19" t="s">
        <v>10701</v>
      </c>
      <c r="D913" s="4"/>
      <c r="E913" s="4" t="str">
        <f t="shared" si="20"/>
        <v>6.1.1.13</v>
      </c>
      <c r="F913" s="4" t="str">
        <f>$P$3&amp;"R12871"</f>
        <v>R12871</v>
      </c>
      <c r="G913" s="22" t="s">
        <v>10702</v>
      </c>
      <c r="H913" s="22" t="s">
        <v>10703</v>
      </c>
      <c r="K913" s="4"/>
      <c r="N913" s="4" t="s">
        <v>92</v>
      </c>
      <c r="O913" s="4">
        <v>279</v>
      </c>
    </row>
    <row r="914" spans="1:15" ht="15.75" customHeight="1">
      <c r="A914" s="4" t="s">
        <v>7061</v>
      </c>
      <c r="B914" s="4" t="s">
        <v>7062</v>
      </c>
      <c r="C914" s="19" t="s">
        <v>10704</v>
      </c>
      <c r="D914" s="4"/>
      <c r="E914" s="4" t="str">
        <f t="shared" si="20"/>
        <v>6.1.1.13</v>
      </c>
      <c r="F914" s="4" t="str">
        <f>$P$3&amp;"R12873"</f>
        <v>R12873</v>
      </c>
      <c r="G914" s="22" t="s">
        <v>10705</v>
      </c>
      <c r="H914" s="22" t="s">
        <v>10706</v>
      </c>
      <c r="K914" s="4"/>
      <c r="N914" s="4" t="s">
        <v>92</v>
      </c>
      <c r="O914" s="4">
        <v>279</v>
      </c>
    </row>
    <row r="915" spans="1:15" ht="15.75" customHeight="1">
      <c r="A915" s="4" t="s">
        <v>7061</v>
      </c>
      <c r="B915" s="4" t="s">
        <v>7062</v>
      </c>
      <c r="C915" s="19" t="s">
        <v>10707</v>
      </c>
      <c r="D915" s="4"/>
      <c r="E915" s="4" t="str">
        <f t="shared" si="20"/>
        <v>6.1.1.13</v>
      </c>
      <c r="F915" s="4" t="str">
        <f>$P$3&amp;"R12875"</f>
        <v>R12875</v>
      </c>
      <c r="G915" s="22" t="s">
        <v>10708</v>
      </c>
      <c r="H915" s="22" t="s">
        <v>10709</v>
      </c>
      <c r="K915" s="4"/>
      <c r="N915" s="4" t="s">
        <v>92</v>
      </c>
      <c r="O915" s="4">
        <v>279</v>
      </c>
    </row>
    <row r="916" spans="1:15" ht="15.75" customHeight="1">
      <c r="A916" s="4" t="s">
        <v>7061</v>
      </c>
      <c r="B916" s="4" t="s">
        <v>7062</v>
      </c>
      <c r="C916" s="19" t="s">
        <v>10710</v>
      </c>
      <c r="D916" s="4"/>
      <c r="E916" s="4" t="str">
        <f t="shared" si="20"/>
        <v>6.1.1.13</v>
      </c>
      <c r="F916" s="4" t="str">
        <f>$P$3&amp;"R12904"</f>
        <v>R12904</v>
      </c>
      <c r="G916" s="22" t="s">
        <v>10711</v>
      </c>
      <c r="H916" s="22" t="s">
        <v>10712</v>
      </c>
      <c r="K916" s="4"/>
      <c r="N916" s="4" t="s">
        <v>92</v>
      </c>
      <c r="O916" s="4">
        <v>279</v>
      </c>
    </row>
    <row r="917" spans="1:15" ht="15.75" customHeight="1">
      <c r="A917" s="4" t="s">
        <v>1577</v>
      </c>
      <c r="B917" s="4" t="s">
        <v>1578</v>
      </c>
      <c r="C917" s="19" t="s">
        <v>10713</v>
      </c>
      <c r="D917" s="4"/>
      <c r="E917" s="4" t="str">
        <f t="shared" si="20"/>
        <v>6.1.1.14</v>
      </c>
      <c r="F917" s="4" t="str">
        <f t="shared" ref="F917:F918" si="21">$P$3&amp;"R03654"</f>
        <v>R03654</v>
      </c>
      <c r="G917" s="22" t="s">
        <v>10714</v>
      </c>
      <c r="H917" s="22" t="s">
        <v>10715</v>
      </c>
      <c r="K917" s="4"/>
      <c r="N917" s="4" t="s">
        <v>76</v>
      </c>
      <c r="O917" s="4">
        <v>501</v>
      </c>
    </row>
    <row r="918" spans="1:15" ht="15.75" customHeight="1">
      <c r="A918" s="4" t="s">
        <v>1581</v>
      </c>
      <c r="B918" s="4" t="s">
        <v>1582</v>
      </c>
      <c r="C918" s="19" t="s">
        <v>10716</v>
      </c>
      <c r="D918" s="4"/>
      <c r="E918" s="4" t="str">
        <f t="shared" si="20"/>
        <v>6.1.1.14</v>
      </c>
      <c r="F918" s="4" t="str">
        <f t="shared" si="21"/>
        <v>R03654</v>
      </c>
      <c r="G918" s="22" t="s">
        <v>10717</v>
      </c>
      <c r="H918" s="22" t="s">
        <v>10718</v>
      </c>
      <c r="K918" s="4"/>
      <c r="N918" s="4" t="s">
        <v>73</v>
      </c>
      <c r="O918" s="4">
        <v>291</v>
      </c>
    </row>
    <row r="919" spans="1:15" ht="15.75" customHeight="1">
      <c r="A919" s="4" t="s">
        <v>1787</v>
      </c>
      <c r="B919" s="4" t="s">
        <v>1788</v>
      </c>
      <c r="C919" s="19" t="s">
        <v>10719</v>
      </c>
      <c r="D919" s="4"/>
      <c r="E919" s="4" t="str">
        <f t="shared" si="20"/>
        <v>6.1.1.15</v>
      </c>
      <c r="F919" s="4" t="str">
        <f>$P$3&amp;"R03661"</f>
        <v>R03661</v>
      </c>
      <c r="G919" s="22" t="s">
        <v>10720</v>
      </c>
      <c r="H919" s="22" t="s">
        <v>10721</v>
      </c>
      <c r="K919" s="4"/>
      <c r="N919" s="4" t="s">
        <v>1648</v>
      </c>
      <c r="O919" s="4">
        <v>146</v>
      </c>
    </row>
    <row r="920" spans="1:15" ht="15.75" customHeight="1">
      <c r="A920" s="4" t="s">
        <v>3627</v>
      </c>
      <c r="B920" s="4" t="s">
        <v>3628</v>
      </c>
      <c r="C920" s="19" t="s">
        <v>10722</v>
      </c>
      <c r="D920" s="4"/>
      <c r="E920" s="4" t="str">
        <f t="shared" si="20"/>
        <v>6.1.1.16</v>
      </c>
      <c r="F920" s="4" t="str">
        <f>$P$3&amp;"R03650"</f>
        <v>R03650</v>
      </c>
      <c r="G920" s="22" t="s">
        <v>10723</v>
      </c>
      <c r="H920" s="22" t="s">
        <v>10724</v>
      </c>
      <c r="K920" s="4"/>
      <c r="N920" s="4" t="s">
        <v>1651</v>
      </c>
      <c r="O920" s="4">
        <v>440</v>
      </c>
    </row>
    <row r="921" spans="1:15" ht="15.75" customHeight="1">
      <c r="A921" s="4" t="s">
        <v>3639</v>
      </c>
      <c r="B921" s="4" t="s">
        <v>3640</v>
      </c>
      <c r="C921" s="19" t="s">
        <v>10725</v>
      </c>
      <c r="D921" s="4"/>
      <c r="E921" s="4" t="str">
        <f t="shared" si="20"/>
        <v>6.1.1.17</v>
      </c>
      <c r="F921" s="4" t="str">
        <f>$P$3&amp;"R05578"</f>
        <v>R05578</v>
      </c>
      <c r="G921" s="22" t="s">
        <v>10726</v>
      </c>
      <c r="H921" s="22" t="s">
        <v>10727</v>
      </c>
      <c r="K921" s="4"/>
      <c r="N921" s="4" t="s">
        <v>1654</v>
      </c>
      <c r="O921" s="4">
        <v>208</v>
      </c>
    </row>
    <row r="922" spans="1:15" ht="15.75" customHeight="1">
      <c r="A922" s="4" t="s">
        <v>2259</v>
      </c>
      <c r="B922" s="4" t="s">
        <v>2260</v>
      </c>
      <c r="C922" s="28" t="s">
        <v>8299</v>
      </c>
      <c r="D922" s="4"/>
      <c r="E922" s="4" t="str">
        <f t="shared" si="20"/>
        <v>6.1.1.19</v>
      </c>
      <c r="F922" s="4" t="str">
        <f>$P$3&amp;"R03646"</f>
        <v>R03646</v>
      </c>
      <c r="G922" s="22" t="s">
        <v>10728</v>
      </c>
      <c r="H922" s="22" t="s">
        <v>10729</v>
      </c>
      <c r="I922" s="4"/>
      <c r="K922" s="4"/>
      <c r="N922" s="4" t="s">
        <v>1657</v>
      </c>
      <c r="O922" s="4">
        <v>148</v>
      </c>
    </row>
    <row r="923" spans="1:15" ht="15.75" customHeight="1">
      <c r="A923" s="4" t="s">
        <v>5848</v>
      </c>
      <c r="B923" s="4" t="s">
        <v>5849</v>
      </c>
      <c r="C923" s="19" t="s">
        <v>10730</v>
      </c>
      <c r="D923" s="4"/>
      <c r="E923" s="4" t="str">
        <f t="shared" si="20"/>
        <v>6.1.1.2</v>
      </c>
      <c r="F923" s="4" t="str">
        <f>$P$3&amp;"R03664"</f>
        <v>R03664</v>
      </c>
      <c r="G923" s="22" t="s">
        <v>10731</v>
      </c>
      <c r="H923" s="22" t="s">
        <v>10732</v>
      </c>
      <c r="K923" s="4"/>
      <c r="N923" s="4" t="s">
        <v>1661</v>
      </c>
      <c r="O923" s="4">
        <v>742</v>
      </c>
    </row>
    <row r="924" spans="1:15" ht="15.75" customHeight="1">
      <c r="A924" s="4" t="s">
        <v>2082</v>
      </c>
      <c r="B924" s="4" t="s">
        <v>2083</v>
      </c>
      <c r="C924" s="19" t="s">
        <v>10733</v>
      </c>
      <c r="D924" s="4"/>
      <c r="E924" s="4" t="str">
        <f t="shared" si="20"/>
        <v>6.1.1.20</v>
      </c>
      <c r="F924" s="4" t="str">
        <f t="shared" ref="F924:F925" si="22">$P$3&amp;"R03660"</f>
        <v>R03660</v>
      </c>
      <c r="G924" s="22" t="s">
        <v>10734</v>
      </c>
      <c r="H924" s="22" t="s">
        <v>10735</v>
      </c>
      <c r="K924" s="4"/>
      <c r="N924" s="4" t="s">
        <v>56</v>
      </c>
      <c r="O924" s="4">
        <v>107</v>
      </c>
    </row>
    <row r="925" spans="1:15" ht="15.75" customHeight="1">
      <c r="A925" s="4" t="s">
        <v>2086</v>
      </c>
      <c r="B925" s="4" t="s">
        <v>2087</v>
      </c>
      <c r="C925" s="19" t="s">
        <v>10736</v>
      </c>
      <c r="D925" s="4"/>
      <c r="E925" s="4" t="str">
        <f t="shared" si="20"/>
        <v>6.1.1.20</v>
      </c>
      <c r="F925" s="4" t="str">
        <f t="shared" si="22"/>
        <v>R03660</v>
      </c>
      <c r="G925" s="22" t="s">
        <v>10737</v>
      </c>
      <c r="H925" s="22" t="s">
        <v>10738</v>
      </c>
      <c r="K925" s="4"/>
      <c r="N925" s="4" t="s">
        <v>1666</v>
      </c>
      <c r="O925" s="4">
        <v>246</v>
      </c>
    </row>
    <row r="926" spans="1:15" ht="15.75" customHeight="1">
      <c r="A926" s="4" t="s">
        <v>1632</v>
      </c>
      <c r="B926" s="4" t="s">
        <v>1633</v>
      </c>
      <c r="C926" s="19" t="s">
        <v>10739</v>
      </c>
      <c r="D926" s="4"/>
      <c r="E926" s="4" t="str">
        <f t="shared" si="20"/>
        <v>6.1.1.21</v>
      </c>
      <c r="F926" s="4" t="str">
        <f>$P$3&amp;"R03655"</f>
        <v>R03655</v>
      </c>
      <c r="G926" s="22" t="s">
        <v>10740</v>
      </c>
      <c r="H926" s="22" t="s">
        <v>10741</v>
      </c>
      <c r="I926" s="4"/>
      <c r="K926" s="4"/>
      <c r="N926" s="4" t="s">
        <v>1669</v>
      </c>
      <c r="O926" s="4">
        <v>315</v>
      </c>
    </row>
    <row r="927" spans="1:15" ht="15.75" customHeight="1">
      <c r="A927" s="4" t="s">
        <v>1517</v>
      </c>
      <c r="B927" s="4" t="s">
        <v>1518</v>
      </c>
      <c r="C927" s="19" t="s">
        <v>10742</v>
      </c>
      <c r="D927" s="4"/>
      <c r="E927" s="4" t="str">
        <f t="shared" si="20"/>
        <v>6.1.1.22</v>
      </c>
      <c r="F927" s="4" t="str">
        <f>$P$3&amp;"R03648"</f>
        <v>R03648</v>
      </c>
      <c r="G927" s="22" t="s">
        <v>10743</v>
      </c>
      <c r="H927" s="22" t="s">
        <v>10744</v>
      </c>
      <c r="K927" s="4"/>
      <c r="N927" s="4" t="s">
        <v>1673</v>
      </c>
      <c r="O927" s="4">
        <v>164</v>
      </c>
    </row>
    <row r="928" spans="1:15" ht="15.75" customHeight="1">
      <c r="B928" s="4" t="s">
        <v>2177</v>
      </c>
      <c r="C928" s="19" t="s">
        <v>10745</v>
      </c>
      <c r="D928" s="4"/>
      <c r="E928" s="4" t="str">
        <f t="shared" si="20"/>
        <v>6.1.1.3</v>
      </c>
      <c r="F928" s="4" t="str">
        <f>$P$3&amp;"R03663"</f>
        <v>R03663</v>
      </c>
      <c r="G928" s="22" t="s">
        <v>10746</v>
      </c>
      <c r="H928" s="22" t="s">
        <v>10747</v>
      </c>
      <c r="K928" s="4"/>
      <c r="N928" s="4" t="s">
        <v>1676</v>
      </c>
      <c r="O928" s="4">
        <v>201</v>
      </c>
    </row>
    <row r="929" spans="1:15" ht="15.75" customHeight="1">
      <c r="A929" s="4" t="s">
        <v>7230</v>
      </c>
      <c r="B929" s="4" t="s">
        <v>7231</v>
      </c>
      <c r="C929" s="19" t="s">
        <v>10748</v>
      </c>
      <c r="D929" s="4"/>
      <c r="E929" s="4" t="str">
        <f t="shared" si="20"/>
        <v>6.1.1.4</v>
      </c>
      <c r="F929" s="4" t="str">
        <f>$P$3&amp;"R03657"</f>
        <v>R03657</v>
      </c>
      <c r="G929" s="22" t="s">
        <v>10749</v>
      </c>
      <c r="H929" s="22" t="s">
        <v>10750</v>
      </c>
      <c r="K929" s="4"/>
      <c r="N929" s="4" t="s">
        <v>56</v>
      </c>
      <c r="O929" s="4">
        <v>82</v>
      </c>
    </row>
    <row r="930" spans="1:15" ht="15.75" customHeight="1">
      <c r="A930" s="4" t="s">
        <v>915</v>
      </c>
      <c r="B930" s="4" t="s">
        <v>916</v>
      </c>
      <c r="C930" s="19" t="s">
        <v>10751</v>
      </c>
      <c r="D930" s="4"/>
      <c r="E930" s="4" t="str">
        <f t="shared" si="20"/>
        <v>6.1.1.5</v>
      </c>
      <c r="F930" s="4" t="str">
        <f>$P$3&amp;"R03656"</f>
        <v>R03656</v>
      </c>
      <c r="G930" s="22" t="s">
        <v>10752</v>
      </c>
      <c r="H930" s="22" t="s">
        <v>10753</v>
      </c>
      <c r="K930" s="4"/>
      <c r="N930" s="4" t="s">
        <v>1681</v>
      </c>
      <c r="O930" s="4">
        <v>128</v>
      </c>
    </row>
    <row r="931" spans="1:15" ht="15.75" customHeight="1">
      <c r="B931" s="4" t="s">
        <v>6097</v>
      </c>
      <c r="C931" s="19" t="s">
        <v>10754</v>
      </c>
      <c r="D931" s="4"/>
      <c r="E931" s="4" t="str">
        <f t="shared" si="20"/>
        <v>6.1.1.6</v>
      </c>
      <c r="F931" s="4" t="str">
        <f>$P$3&amp;"R03658"</f>
        <v>R03658</v>
      </c>
      <c r="G931" s="22" t="s">
        <v>10755</v>
      </c>
      <c r="H931" s="22" t="s">
        <v>10756</v>
      </c>
      <c r="K931" s="4"/>
      <c r="N931" s="4" t="s">
        <v>779</v>
      </c>
      <c r="O931" s="4">
        <v>471</v>
      </c>
    </row>
    <row r="932" spans="1:15" ht="15.75" customHeight="1">
      <c r="A932" s="4" t="s">
        <v>7019</v>
      </c>
      <c r="B932" s="4" t="s">
        <v>7020</v>
      </c>
      <c r="C932" s="19" t="s">
        <v>10757</v>
      </c>
      <c r="D932" s="4"/>
      <c r="E932" s="4" t="str">
        <f t="shared" si="20"/>
        <v>6.1.1.7</v>
      </c>
      <c r="F932" s="4" t="str">
        <f>$P$3&amp;"R03038"</f>
        <v>R03038</v>
      </c>
      <c r="G932" s="22" t="s">
        <v>10758</v>
      </c>
      <c r="H932" s="22" t="s">
        <v>10759</v>
      </c>
      <c r="K932" s="4"/>
      <c r="N932" s="4" t="s">
        <v>779</v>
      </c>
      <c r="O932" s="4">
        <v>471</v>
      </c>
    </row>
    <row r="933" spans="1:15" ht="15.75" customHeight="1">
      <c r="A933" s="4" t="s">
        <v>817</v>
      </c>
      <c r="B933" s="4" t="s">
        <v>818</v>
      </c>
      <c r="C933" s="19" t="s">
        <v>10760</v>
      </c>
      <c r="D933" s="4"/>
      <c r="E933" s="4" t="str">
        <f t="shared" si="20"/>
        <v>6.1.1.9</v>
      </c>
      <c r="F933" s="4" t="str">
        <f>$P$3&amp;"R03665"</f>
        <v>R03665</v>
      </c>
      <c r="G933" s="22" t="s">
        <v>10761</v>
      </c>
      <c r="H933" s="22" t="s">
        <v>10762</v>
      </c>
      <c r="K933" s="4"/>
      <c r="N933" s="4" t="s">
        <v>56</v>
      </c>
      <c r="O933" s="4">
        <v>60</v>
      </c>
    </row>
    <row r="934" spans="1:15" ht="15.75" customHeight="1">
      <c r="A934" s="4" t="s">
        <v>2625</v>
      </c>
      <c r="B934" s="4" t="s">
        <v>2626</v>
      </c>
      <c r="C934" s="19" t="s">
        <v>10763</v>
      </c>
      <c r="D934" s="4"/>
      <c r="E934" s="4" t="str">
        <f t="shared" si="20"/>
        <v>6.2.1.22</v>
      </c>
      <c r="F934" s="4" t="str">
        <f>$P$3&amp;"R04449"</f>
        <v>R04449</v>
      </c>
      <c r="G934" s="22" t="s">
        <v>10764</v>
      </c>
      <c r="H934" s="22" t="s">
        <v>10765</v>
      </c>
      <c r="K934" s="4"/>
      <c r="N934" s="4" t="s">
        <v>56</v>
      </c>
      <c r="O934" s="4">
        <v>128</v>
      </c>
    </row>
    <row r="935" spans="1:15" ht="15.75" customHeight="1">
      <c r="A935" s="4" t="s">
        <v>2023</v>
      </c>
      <c r="B935" s="4" t="s">
        <v>2024</v>
      </c>
      <c r="C935" s="19" t="s">
        <v>10766</v>
      </c>
      <c r="D935" s="4"/>
      <c r="E935" s="4" t="str">
        <f t="shared" si="20"/>
        <v>6.3.1.2</v>
      </c>
      <c r="F935" s="4" t="str">
        <f>$P$3&amp;"R00253"</f>
        <v>R00253</v>
      </c>
      <c r="G935" s="22" t="s">
        <v>10767</v>
      </c>
      <c r="H935" s="22" t="s">
        <v>10768</v>
      </c>
      <c r="K935" s="4"/>
    </row>
    <row r="936" spans="1:15" ht="15.75" customHeight="1">
      <c r="A936" s="4" t="s">
        <v>1477</v>
      </c>
      <c r="B936" s="4" t="s">
        <v>1478</v>
      </c>
      <c r="C936" s="19" t="s">
        <v>10769</v>
      </c>
      <c r="D936" s="4"/>
      <c r="E936" s="4" t="str">
        <f t="shared" si="20"/>
        <v>6.3.1.20</v>
      </c>
      <c r="F936" s="4" t="str">
        <f>$P$3&amp;"R11143"</f>
        <v>R11143</v>
      </c>
      <c r="G936" s="22" t="s">
        <v>10770</v>
      </c>
      <c r="H936" s="22" t="s">
        <v>10771</v>
      </c>
      <c r="K936" s="4"/>
      <c r="N936" s="4" t="s">
        <v>1696</v>
      </c>
      <c r="O936" s="4">
        <v>196</v>
      </c>
    </row>
    <row r="937" spans="1:15" ht="15.75" customHeight="1">
      <c r="A937" s="4" t="s">
        <v>1477</v>
      </c>
      <c r="B937" s="4" t="s">
        <v>1478</v>
      </c>
      <c r="C937" s="19" t="s">
        <v>10772</v>
      </c>
      <c r="D937" s="4"/>
      <c r="E937" s="4" t="str">
        <f t="shared" si="20"/>
        <v>6.3.1.20</v>
      </c>
      <c r="F937" s="4" t="str">
        <f>$P$3&amp;"R12433"</f>
        <v>R12433</v>
      </c>
      <c r="G937" s="22" t="s">
        <v>10773</v>
      </c>
      <c r="H937" s="22" t="s">
        <v>10774</v>
      </c>
      <c r="K937" s="4"/>
      <c r="N937" s="4" t="s">
        <v>1696</v>
      </c>
      <c r="O937" s="4">
        <v>196</v>
      </c>
    </row>
    <row r="938" spans="1:15" ht="15.75" customHeight="1">
      <c r="A938" s="4" t="s">
        <v>1477</v>
      </c>
      <c r="B938" s="4" t="s">
        <v>1478</v>
      </c>
      <c r="C938" s="19" t="s">
        <v>10775</v>
      </c>
      <c r="D938" s="4"/>
      <c r="E938" s="4" t="str">
        <f t="shared" si="20"/>
        <v>6.3.1.20</v>
      </c>
      <c r="F938" s="4" t="str">
        <f>$P$3&amp;"R12449"</f>
        <v>R12449</v>
      </c>
      <c r="G938" s="22" t="s">
        <v>10776</v>
      </c>
      <c r="H938" s="22" t="s">
        <v>10777</v>
      </c>
      <c r="K938" s="4"/>
      <c r="N938" s="4" t="s">
        <v>1696</v>
      </c>
      <c r="O938" s="4">
        <v>196</v>
      </c>
    </row>
    <row r="939" spans="1:15" ht="15.75" customHeight="1">
      <c r="A939" s="4" t="s">
        <v>1477</v>
      </c>
      <c r="B939" s="4" t="s">
        <v>1478</v>
      </c>
      <c r="C939" s="19" t="s">
        <v>10778</v>
      </c>
      <c r="D939" s="4"/>
      <c r="E939" s="4" t="str">
        <f t="shared" si="20"/>
        <v>6.3.1.20</v>
      </c>
      <c r="F939" s="4" t="str">
        <f>$P$3&amp;"R07770"</f>
        <v>R07770</v>
      </c>
      <c r="G939" s="22" t="s">
        <v>10779</v>
      </c>
      <c r="H939" s="22" t="s">
        <v>10780</v>
      </c>
      <c r="K939" s="4"/>
      <c r="N939" s="4" t="s">
        <v>1696</v>
      </c>
      <c r="O939" s="4">
        <v>196</v>
      </c>
    </row>
    <row r="940" spans="1:15" ht="15.75" customHeight="1">
      <c r="A940" s="4" t="s">
        <v>1477</v>
      </c>
      <c r="B940" s="4" t="s">
        <v>1478</v>
      </c>
      <c r="C940" s="19" t="s">
        <v>10781</v>
      </c>
      <c r="D940" s="4"/>
      <c r="E940" s="4" t="str">
        <f t="shared" si="20"/>
        <v>6.3.1.20</v>
      </c>
      <c r="F940" s="4" t="str">
        <f>$P$3&amp;"R07771"</f>
        <v>R07771</v>
      </c>
      <c r="G940" s="22" t="s">
        <v>10782</v>
      </c>
      <c r="H940" s="22" t="s">
        <v>10783</v>
      </c>
      <c r="K940" s="4"/>
      <c r="N940" s="4" t="s">
        <v>1696</v>
      </c>
      <c r="O940" s="4">
        <v>196</v>
      </c>
    </row>
    <row r="941" spans="1:15" ht="15.75" customHeight="1">
      <c r="A941" s="4" t="s">
        <v>1477</v>
      </c>
      <c r="B941" s="4" t="s">
        <v>1478</v>
      </c>
      <c r="C941" s="19" t="s">
        <v>10784</v>
      </c>
      <c r="D941" s="4"/>
      <c r="E941" s="4" t="str">
        <f t="shared" si="20"/>
        <v>6.3.1.20</v>
      </c>
      <c r="F941" s="4" t="str">
        <f>$P$3&amp;"R12429"</f>
        <v>R12429</v>
      </c>
      <c r="G941" s="22" t="s">
        <v>10785</v>
      </c>
      <c r="H941" s="22" t="s">
        <v>10786</v>
      </c>
      <c r="K941" s="4"/>
      <c r="N941" s="4" t="s">
        <v>1696</v>
      </c>
      <c r="O941" s="4">
        <v>196</v>
      </c>
    </row>
    <row r="942" spans="1:15" ht="15.75" customHeight="1">
      <c r="A942" s="4" t="s">
        <v>2470</v>
      </c>
      <c r="B942" s="4" t="s">
        <v>2471</v>
      </c>
      <c r="C942" s="19" t="s">
        <v>10787</v>
      </c>
      <c r="D942" s="4"/>
      <c r="E942" s="4" t="str">
        <f t="shared" si="20"/>
        <v>6.3.1.5</v>
      </c>
      <c r="F942" s="4" t="str">
        <f>$P$3&amp;"R00189"</f>
        <v>R00189</v>
      </c>
      <c r="G942" s="22" t="s">
        <v>10788</v>
      </c>
      <c r="H942" s="22" t="s">
        <v>10789</v>
      </c>
      <c r="K942" s="4"/>
      <c r="N942" s="4" t="s">
        <v>111</v>
      </c>
      <c r="O942" s="4">
        <v>188</v>
      </c>
    </row>
    <row r="943" spans="1:15" ht="15.75" customHeight="1">
      <c r="A943" s="4" t="s">
        <v>6004</v>
      </c>
      <c r="B943" s="4" t="s">
        <v>6005</v>
      </c>
      <c r="C943" s="19" t="s">
        <v>10790</v>
      </c>
      <c r="D943" s="4"/>
      <c r="E943" s="4" t="str">
        <f t="shared" si="20"/>
        <v>6.3.2.10</v>
      </c>
      <c r="F943" s="4" t="str">
        <f>$P$3&amp;"R04573"</f>
        <v>R04573</v>
      </c>
      <c r="G943" s="22" t="s">
        <v>10791</v>
      </c>
      <c r="H943" s="22" t="s">
        <v>10792</v>
      </c>
      <c r="K943" s="4"/>
      <c r="N943" s="4" t="s">
        <v>1704</v>
      </c>
      <c r="O943" s="4">
        <v>104</v>
      </c>
    </row>
    <row r="944" spans="1:15" ht="15.75" customHeight="1">
      <c r="A944" s="4" t="s">
        <v>6004</v>
      </c>
      <c r="B944" s="4" t="s">
        <v>6005</v>
      </c>
      <c r="C944" s="19" t="s">
        <v>10793</v>
      </c>
      <c r="D944" s="4"/>
      <c r="E944" s="4" t="str">
        <f t="shared" si="20"/>
        <v>6.3.2.10</v>
      </c>
      <c r="F944" s="4" t="str">
        <f>$P$3&amp;"R04617"</f>
        <v>R04617</v>
      </c>
      <c r="G944" s="22" t="s">
        <v>10794</v>
      </c>
      <c r="H944" s="22" t="s">
        <v>10795</v>
      </c>
      <c r="K944" s="4"/>
      <c r="N944" s="4" t="s">
        <v>1704</v>
      </c>
      <c r="O944" s="4">
        <v>104</v>
      </c>
    </row>
    <row r="945" spans="1:15" ht="15.75" customHeight="1">
      <c r="A945" s="4" t="s">
        <v>4571</v>
      </c>
      <c r="B945" s="4" t="s">
        <v>4572</v>
      </c>
      <c r="C945" s="19" t="s">
        <v>10796</v>
      </c>
      <c r="D945" s="4"/>
      <c r="E945" s="4" t="str">
        <f t="shared" si="20"/>
        <v>6.3.2.13</v>
      </c>
      <c r="F945" s="4" t="str">
        <f>$P$3&amp;"R02788"</f>
        <v>R02788</v>
      </c>
      <c r="G945" s="22" t="s">
        <v>10797</v>
      </c>
      <c r="H945" s="22" t="s">
        <v>10798</v>
      </c>
      <c r="I945" s="4"/>
      <c r="K945" s="4"/>
      <c r="N945" s="4" t="s">
        <v>1707</v>
      </c>
      <c r="O945" s="4">
        <v>167</v>
      </c>
    </row>
    <row r="946" spans="1:15" ht="15.75" customHeight="1">
      <c r="A946" s="4" t="s">
        <v>4770</v>
      </c>
      <c r="B946" s="4" t="s">
        <v>4771</v>
      </c>
      <c r="C946" s="19" t="s">
        <v>10799</v>
      </c>
      <c r="D946" s="4"/>
      <c r="E946" s="4" t="str">
        <f t="shared" si="20"/>
        <v>6.3.2.4</v>
      </c>
      <c r="F946" s="4" t="str">
        <f>$P$3&amp;"R01150"</f>
        <v>R01150</v>
      </c>
      <c r="G946" s="22" t="s">
        <v>10800</v>
      </c>
      <c r="H946" s="22" t="s">
        <v>10801</v>
      </c>
      <c r="K946" s="4"/>
      <c r="N946" s="4" t="s">
        <v>1711</v>
      </c>
      <c r="O946" s="4">
        <v>175</v>
      </c>
    </row>
    <row r="947" spans="1:15" ht="15.75" customHeight="1">
      <c r="A947" s="4" t="s">
        <v>1947</v>
      </c>
      <c r="B947" s="4" t="s">
        <v>1948</v>
      </c>
      <c r="C947" s="19" t="s">
        <v>10802</v>
      </c>
      <c r="E947" s="4" t="str">
        <f t="shared" si="20"/>
        <v>6.3.2.5</v>
      </c>
      <c r="F947" s="4" t="str">
        <f>$P$3&amp;"R04231"</f>
        <v>R04231</v>
      </c>
      <c r="G947" s="22" t="s">
        <v>10803</v>
      </c>
      <c r="H947" s="22" t="s">
        <v>10804</v>
      </c>
      <c r="I947" s="4"/>
      <c r="K947" s="4"/>
      <c r="N947" s="4" t="s">
        <v>1714</v>
      </c>
      <c r="O947" s="4">
        <v>764</v>
      </c>
    </row>
    <row r="948" spans="1:15" ht="15.75" customHeight="1">
      <c r="A948" s="4" t="s">
        <v>2340</v>
      </c>
      <c r="B948" s="4" t="s">
        <v>2341</v>
      </c>
      <c r="C948" s="19" t="s">
        <v>10805</v>
      </c>
      <c r="D948" s="4"/>
      <c r="E948" s="4" t="str">
        <f t="shared" si="20"/>
        <v>6.3.2.6</v>
      </c>
      <c r="F948" s="4" t="str">
        <f>$P$3&amp;"R04591"</f>
        <v>R04591</v>
      </c>
      <c r="G948" s="22" t="s">
        <v>10806</v>
      </c>
      <c r="H948" s="22" t="s">
        <v>10807</v>
      </c>
      <c r="K948" s="4"/>
      <c r="N948" s="4" t="s">
        <v>56</v>
      </c>
      <c r="O948" s="4">
        <v>123</v>
      </c>
    </row>
    <row r="949" spans="1:15" ht="15.75" customHeight="1">
      <c r="A949" s="4" t="s">
        <v>2212</v>
      </c>
      <c r="B949" s="4" t="s">
        <v>2213</v>
      </c>
      <c r="C949" s="19" t="s">
        <v>10808</v>
      </c>
      <c r="D949" s="4"/>
      <c r="E949" s="4" t="str">
        <f t="shared" si="20"/>
        <v>6.3.2.8</v>
      </c>
      <c r="F949" s="4" t="str">
        <f>$P$3&amp;"R03193"</f>
        <v>R03193</v>
      </c>
      <c r="G949" s="22" t="s">
        <v>10809</v>
      </c>
      <c r="H949" s="22" t="s">
        <v>10810</v>
      </c>
      <c r="K949" s="4"/>
      <c r="N949" s="4" t="s">
        <v>1720</v>
      </c>
      <c r="O949" s="4">
        <v>158</v>
      </c>
    </row>
    <row r="950" spans="1:15" ht="15.75" customHeight="1">
      <c r="A950" s="4" t="s">
        <v>884</v>
      </c>
      <c r="B950" s="4" t="s">
        <v>885</v>
      </c>
      <c r="C950" s="19" t="s">
        <v>10811</v>
      </c>
      <c r="D950" s="4"/>
      <c r="E950" s="4" t="str">
        <f t="shared" si="20"/>
        <v>6.3.2.9</v>
      </c>
      <c r="F950" s="4" t="str">
        <f>$P$3&amp;"R02783"</f>
        <v>R02783</v>
      </c>
      <c r="G950" s="22" t="s">
        <v>10812</v>
      </c>
      <c r="H950" s="22" t="s">
        <v>10813</v>
      </c>
      <c r="K950" s="4"/>
      <c r="N950" s="4" t="s">
        <v>56</v>
      </c>
      <c r="O950" s="4">
        <v>77</v>
      </c>
    </row>
    <row r="951" spans="1:15" ht="15.75" customHeight="1">
      <c r="A951" s="4" t="s">
        <v>2320</v>
      </c>
      <c r="B951" s="4" t="s">
        <v>2321</v>
      </c>
      <c r="C951" s="19" t="s">
        <v>10814</v>
      </c>
      <c r="D951" s="4"/>
      <c r="E951" s="4" t="str">
        <f t="shared" si="20"/>
        <v>6.3.3.1</v>
      </c>
      <c r="F951" s="4" t="str">
        <f>$P$3&amp;"R04208"</f>
        <v>R04208</v>
      </c>
      <c r="G951" s="22" t="s">
        <v>10815</v>
      </c>
      <c r="H951" s="22" t="s">
        <v>10816</v>
      </c>
      <c r="I951" s="4"/>
      <c r="K951" s="4"/>
      <c r="N951" s="4" t="s">
        <v>1725</v>
      </c>
      <c r="O951" s="4">
        <v>612</v>
      </c>
    </row>
    <row r="952" spans="1:15" ht="15.75" customHeight="1">
      <c r="A952" s="4" t="s">
        <v>6899</v>
      </c>
      <c r="B952" s="4" t="s">
        <v>6900</v>
      </c>
      <c r="C952" s="19" t="s">
        <v>10817</v>
      </c>
      <c r="D952" s="4"/>
      <c r="E952" s="4" t="str">
        <f t="shared" si="20"/>
        <v>6.3.3.2</v>
      </c>
      <c r="F952" s="4" t="str">
        <f>$P$3&amp;"R02301"</f>
        <v>R02301</v>
      </c>
      <c r="G952" s="22" t="s">
        <v>10818</v>
      </c>
      <c r="H952" s="22" t="s">
        <v>10819</v>
      </c>
      <c r="I952" s="4"/>
      <c r="K952" s="4"/>
      <c r="N952" s="4" t="s">
        <v>1729</v>
      </c>
      <c r="O952" s="4">
        <v>387</v>
      </c>
    </row>
    <row r="953" spans="1:15" ht="15.75" customHeight="1">
      <c r="A953" s="4" t="s">
        <v>2308</v>
      </c>
      <c r="B953" s="4" t="s">
        <v>2309</v>
      </c>
      <c r="C953" s="19" t="s">
        <v>10820</v>
      </c>
      <c r="D953" s="4"/>
      <c r="E953" s="4" t="str">
        <f t="shared" si="20"/>
        <v>6.3.4.13</v>
      </c>
      <c r="F953" s="4" t="str">
        <f>$P$3&amp;"R04144"</f>
        <v>R04144</v>
      </c>
      <c r="G953" s="22" t="s">
        <v>10821</v>
      </c>
      <c r="H953" s="22" t="s">
        <v>10822</v>
      </c>
      <c r="I953" s="4"/>
      <c r="K953" s="4"/>
      <c r="N953" s="4" t="s">
        <v>1733</v>
      </c>
      <c r="O953" s="4">
        <v>624</v>
      </c>
    </row>
    <row r="954" spans="1:15" ht="15.75" customHeight="1">
      <c r="A954" s="4" t="s">
        <v>7110</v>
      </c>
      <c r="B954" s="4" t="s">
        <v>7111</v>
      </c>
      <c r="C954" s="19" t="s">
        <v>10823</v>
      </c>
      <c r="D954" s="4"/>
      <c r="E954" s="4" t="str">
        <f t="shared" si="20"/>
        <v>6.3.4.15</v>
      </c>
      <c r="F954" s="4" t="str">
        <f>$P$3&amp;"R04562"</f>
        <v>R04562</v>
      </c>
      <c r="G954" s="22" t="s">
        <v>10824</v>
      </c>
      <c r="H954" s="22" t="s">
        <v>10825</v>
      </c>
      <c r="I954" s="4"/>
      <c r="K954" s="4"/>
      <c r="N954" s="4" t="s">
        <v>1737</v>
      </c>
      <c r="O954" s="4">
        <v>196</v>
      </c>
    </row>
    <row r="955" spans="1:15" ht="15.75" customHeight="1">
      <c r="A955" s="4" t="s">
        <v>7110</v>
      </c>
      <c r="B955" s="4" t="s">
        <v>7111</v>
      </c>
      <c r="C955" s="19" t="s">
        <v>10826</v>
      </c>
      <c r="D955" s="4"/>
      <c r="E955" s="4" t="str">
        <f t="shared" si="20"/>
        <v>6.3.4.15</v>
      </c>
      <c r="F955" s="4" t="str">
        <f>$P$3&amp;"R01074"</f>
        <v>R01074</v>
      </c>
      <c r="G955" s="22" t="s">
        <v>10827</v>
      </c>
      <c r="H955" s="22" t="s">
        <v>10828</v>
      </c>
      <c r="I955" s="4"/>
      <c r="K955" s="4"/>
      <c r="N955" s="4" t="s">
        <v>1737</v>
      </c>
      <c r="O955" s="4">
        <v>196</v>
      </c>
    </row>
    <row r="956" spans="1:15" ht="15.75" customHeight="1">
      <c r="A956" s="4" t="s">
        <v>7110</v>
      </c>
      <c r="B956" s="4" t="s">
        <v>7111</v>
      </c>
      <c r="C956" s="19" t="s">
        <v>10829</v>
      </c>
      <c r="D956" s="4"/>
      <c r="E956" s="4" t="str">
        <f t="shared" si="20"/>
        <v>6.3.4.15</v>
      </c>
      <c r="F956" s="4" t="str">
        <f>$P$3&amp;"R05145"</f>
        <v>R05145</v>
      </c>
      <c r="G956" s="22" t="s">
        <v>10830</v>
      </c>
      <c r="H956" s="22" t="s">
        <v>10831</v>
      </c>
      <c r="I956" s="4"/>
      <c r="K956" s="4"/>
      <c r="N956" s="4" t="s">
        <v>1737</v>
      </c>
      <c r="O956" s="4">
        <v>196</v>
      </c>
    </row>
    <row r="957" spans="1:15" ht="15.75" customHeight="1">
      <c r="A957" s="4" t="s">
        <v>2344</v>
      </c>
      <c r="B957" s="4" t="s">
        <v>2345</v>
      </c>
      <c r="C957" s="19" t="s">
        <v>10832</v>
      </c>
      <c r="D957" s="4"/>
      <c r="E957" s="4" t="str">
        <f t="shared" si="20"/>
        <v>6.3.4.18</v>
      </c>
      <c r="F957" s="4" t="str">
        <f>$P$3&amp;"R07404"</f>
        <v>R07404</v>
      </c>
      <c r="G957" s="22" t="s">
        <v>10833</v>
      </c>
      <c r="H957" s="22" t="s">
        <v>10834</v>
      </c>
      <c r="I957" s="4"/>
      <c r="K957" s="4"/>
      <c r="N957" s="4" t="s">
        <v>1741</v>
      </c>
      <c r="O957" s="4">
        <v>348</v>
      </c>
    </row>
    <row r="958" spans="1:15" ht="15.75" customHeight="1">
      <c r="A958" s="4" t="s">
        <v>6070</v>
      </c>
      <c r="B958" s="4" t="s">
        <v>6071</v>
      </c>
      <c r="C958" s="19" t="s">
        <v>10835</v>
      </c>
      <c r="D958" s="4"/>
      <c r="E958" s="4" t="str">
        <f t="shared" si="20"/>
        <v>6.3.4.19</v>
      </c>
      <c r="F958" s="4" t="str">
        <f>$P$3&amp;"R09597"</f>
        <v>R09597</v>
      </c>
      <c r="G958" s="22" t="s">
        <v>10836</v>
      </c>
      <c r="H958" s="22" t="s">
        <v>10837</v>
      </c>
      <c r="I958" s="4"/>
      <c r="K958" s="4"/>
      <c r="N958" s="4" t="s">
        <v>1745</v>
      </c>
      <c r="O958" s="4">
        <v>381</v>
      </c>
    </row>
    <row r="959" spans="1:15" ht="15.75" customHeight="1">
      <c r="A959" s="4" t="s">
        <v>5987</v>
      </c>
      <c r="B959" s="4" t="s">
        <v>5988</v>
      </c>
      <c r="C959" s="19" t="s">
        <v>10838</v>
      </c>
      <c r="D959" s="4"/>
      <c r="E959" s="4" t="str">
        <f t="shared" si="20"/>
        <v>6.3.4.2</v>
      </c>
      <c r="F959" s="4" t="str">
        <f>$P$3&amp;"R00256"</f>
        <v>R00256</v>
      </c>
      <c r="G959" s="22" t="s">
        <v>10839</v>
      </c>
      <c r="H959" s="22" t="s">
        <v>10840</v>
      </c>
      <c r="I959" s="4"/>
      <c r="K959" s="4"/>
      <c r="N959" s="4" t="s">
        <v>1749</v>
      </c>
      <c r="O959" s="4">
        <v>315</v>
      </c>
    </row>
    <row r="960" spans="1:15" ht="15.75" customHeight="1">
      <c r="A960" s="4" t="s">
        <v>5987</v>
      </c>
      <c r="B960" s="4" t="s">
        <v>5988</v>
      </c>
      <c r="C960" s="19" t="s">
        <v>10841</v>
      </c>
      <c r="D960" s="4"/>
      <c r="E960" s="4" t="str">
        <f t="shared" si="20"/>
        <v>6.3.4.2</v>
      </c>
      <c r="F960" s="4" t="str">
        <f>$P$3&amp;"R00571"</f>
        <v>R00571</v>
      </c>
      <c r="G960" s="22" t="s">
        <v>10842</v>
      </c>
      <c r="H960" s="22" t="s">
        <v>10843</v>
      </c>
      <c r="I960" s="4"/>
      <c r="K960" s="4"/>
      <c r="N960" s="4" t="s">
        <v>1749</v>
      </c>
      <c r="O960" s="4">
        <v>315</v>
      </c>
    </row>
    <row r="961" spans="1:15" ht="15.75" customHeight="1">
      <c r="A961" s="4" t="s">
        <v>5987</v>
      </c>
      <c r="B961" s="4" t="s">
        <v>5988</v>
      </c>
      <c r="C961" s="19" t="s">
        <v>10844</v>
      </c>
      <c r="D961" s="4"/>
      <c r="E961" s="4" t="str">
        <f t="shared" si="20"/>
        <v>6.3.4.2</v>
      </c>
      <c r="F961" s="4" t="str">
        <f>$P$3&amp;"R00573"</f>
        <v>R00573</v>
      </c>
      <c r="G961" s="22" t="s">
        <v>10845</v>
      </c>
      <c r="H961" s="22" t="s">
        <v>10846</v>
      </c>
      <c r="I961" s="4"/>
      <c r="K961" s="4"/>
      <c r="N961" s="4" t="s">
        <v>1749</v>
      </c>
      <c r="O961" s="4">
        <v>315</v>
      </c>
    </row>
    <row r="962" spans="1:15" ht="15.75" customHeight="1">
      <c r="A962" s="4" t="s">
        <v>2476</v>
      </c>
      <c r="B962" s="4" t="s">
        <v>2477</v>
      </c>
      <c r="C962" s="19" t="s">
        <v>10847</v>
      </c>
      <c r="D962" s="4"/>
      <c r="E962" s="4" t="str">
        <f t="shared" si="20"/>
        <v>6.3.4.21</v>
      </c>
      <c r="F962" s="4" t="str">
        <f t="shared" ref="F962:F963" si="23">$P$3&amp;"R01724"</f>
        <v>R01724</v>
      </c>
      <c r="G962" s="22" t="s">
        <v>10848</v>
      </c>
      <c r="H962" s="22" t="s">
        <v>10849</v>
      </c>
      <c r="I962" s="4"/>
      <c r="K962" s="4"/>
      <c r="N962" s="4" t="s">
        <v>1753</v>
      </c>
      <c r="O962" s="4">
        <v>301</v>
      </c>
    </row>
    <row r="963" spans="1:15" ht="15.75" customHeight="1">
      <c r="A963" s="4" t="s">
        <v>5465</v>
      </c>
      <c r="B963" s="4" t="s">
        <v>5466</v>
      </c>
      <c r="C963" s="19" t="s">
        <v>10850</v>
      </c>
      <c r="D963" s="4"/>
      <c r="E963" s="4" t="str">
        <f t="shared" si="20"/>
        <v>6.3.4.21</v>
      </c>
      <c r="F963" s="4" t="str">
        <f t="shared" si="23"/>
        <v>R01724</v>
      </c>
      <c r="G963" s="22" t="s">
        <v>10851</v>
      </c>
      <c r="H963" s="22" t="s">
        <v>10852</v>
      </c>
      <c r="K963" s="4"/>
      <c r="N963" s="4" t="s">
        <v>1757</v>
      </c>
      <c r="O963" s="4">
        <v>263</v>
      </c>
    </row>
    <row r="964" spans="1:15" ht="15.75" customHeight="1">
      <c r="A964" s="4" t="s">
        <v>1442</v>
      </c>
      <c r="B964" s="4" t="s">
        <v>1443</v>
      </c>
      <c r="C964" s="19" t="s">
        <v>10853</v>
      </c>
      <c r="D964" s="4"/>
      <c r="E964" s="4" t="str">
        <f t="shared" si="20"/>
        <v>6.3.4.3</v>
      </c>
      <c r="F964" s="4" t="str">
        <f>$P$3&amp;"R00943"</f>
        <v>R00943</v>
      </c>
      <c r="G964" s="22" t="s">
        <v>10854</v>
      </c>
      <c r="H964" s="22" t="s">
        <v>10855</v>
      </c>
      <c r="I964" s="4"/>
      <c r="K964" s="4"/>
      <c r="N964" s="4" t="s">
        <v>1760</v>
      </c>
      <c r="O964" s="4">
        <v>117</v>
      </c>
    </row>
    <row r="965" spans="1:15" ht="15.75" customHeight="1">
      <c r="A965" s="4" t="s">
        <v>4819</v>
      </c>
      <c r="B965" s="4" t="s">
        <v>4820</v>
      </c>
      <c r="C965" s="19" t="s">
        <v>10856</v>
      </c>
      <c r="D965" s="4"/>
      <c r="E965" s="4" t="str">
        <f t="shared" si="20"/>
        <v>6.3.4.4</v>
      </c>
      <c r="F965" s="4" t="str">
        <f>$P$3&amp;"R01135"</f>
        <v>R01135</v>
      </c>
      <c r="G965" s="22" t="s">
        <v>10857</v>
      </c>
      <c r="H965" s="22" t="s">
        <v>10858</v>
      </c>
      <c r="I965" s="4"/>
      <c r="K965" s="4"/>
      <c r="N965" s="4" t="s">
        <v>1764</v>
      </c>
      <c r="O965" s="4">
        <v>943</v>
      </c>
    </row>
    <row r="966" spans="1:15" ht="15.75" customHeight="1">
      <c r="A966" s="4" t="s">
        <v>5343</v>
      </c>
      <c r="B966" s="4" t="s">
        <v>5344</v>
      </c>
      <c r="C966" s="19" t="s">
        <v>10859</v>
      </c>
      <c r="D966" s="4"/>
      <c r="E966" s="4" t="str">
        <f t="shared" si="20"/>
        <v>6.3.4.5</v>
      </c>
      <c r="F966" s="4" t="str">
        <f>$P$3&amp;"R01954"</f>
        <v>R01954</v>
      </c>
      <c r="G966" s="22" t="s">
        <v>10860</v>
      </c>
      <c r="H966" s="22" t="s">
        <v>10861</v>
      </c>
      <c r="K966" s="4"/>
      <c r="N966" s="4" t="s">
        <v>1768</v>
      </c>
      <c r="O966" s="4">
        <v>99</v>
      </c>
    </row>
    <row r="967" spans="1:15" ht="15.75" customHeight="1">
      <c r="A967" s="4" t="s">
        <v>2738</v>
      </c>
      <c r="B967" s="4" t="s">
        <v>2739</v>
      </c>
      <c r="C967" s="19" t="s">
        <v>10862</v>
      </c>
      <c r="D967" s="4"/>
      <c r="E967" s="4" t="str">
        <f t="shared" si="20"/>
        <v>6.3.5.2</v>
      </c>
      <c r="F967" s="4" t="str">
        <f>$P$3&amp;"R00256"</f>
        <v>R00256</v>
      </c>
      <c r="G967" s="22" t="s">
        <v>10863</v>
      </c>
      <c r="H967" s="22" t="s">
        <v>10864</v>
      </c>
      <c r="I967" s="4"/>
      <c r="K967" s="4"/>
      <c r="N967" s="4" t="s">
        <v>1775</v>
      </c>
      <c r="O967" s="4">
        <v>417</v>
      </c>
    </row>
    <row r="968" spans="1:15" ht="15.75" customHeight="1">
      <c r="A968" s="4" t="s">
        <v>2738</v>
      </c>
      <c r="B968" s="4" t="s">
        <v>2739</v>
      </c>
      <c r="C968" s="19" t="s">
        <v>10865</v>
      </c>
      <c r="D968" s="4"/>
      <c r="E968" s="4" t="str">
        <f t="shared" si="20"/>
        <v>6.3.5.2</v>
      </c>
      <c r="F968" s="4" t="str">
        <f>$P$3&amp;"R01230"</f>
        <v>R01230</v>
      </c>
      <c r="G968" s="22" t="s">
        <v>10866</v>
      </c>
      <c r="H968" s="22" t="s">
        <v>10867</v>
      </c>
      <c r="I968" s="4"/>
      <c r="K968" s="4"/>
      <c r="N968" s="4" t="s">
        <v>1775</v>
      </c>
      <c r="O968" s="4">
        <v>417</v>
      </c>
    </row>
    <row r="969" spans="1:15" ht="15.75" customHeight="1">
      <c r="A969" s="4" t="s">
        <v>2738</v>
      </c>
      <c r="B969" s="4" t="s">
        <v>2739</v>
      </c>
      <c r="C969" s="19" t="s">
        <v>10868</v>
      </c>
      <c r="D969" s="4"/>
      <c r="E969" s="4" t="str">
        <f t="shared" si="20"/>
        <v>6.3.5.2</v>
      </c>
      <c r="F969" s="4" t="str">
        <f>$P$3&amp;"R01231"</f>
        <v>R01231</v>
      </c>
      <c r="G969" s="22" t="s">
        <v>10869</v>
      </c>
      <c r="H969" s="22" t="s">
        <v>10870</v>
      </c>
      <c r="I969" s="4"/>
      <c r="K969" s="4"/>
      <c r="N969" s="4" t="s">
        <v>1775</v>
      </c>
      <c r="O969" s="4">
        <v>417</v>
      </c>
    </row>
    <row r="970" spans="1:15" ht="15.75" customHeight="1">
      <c r="A970" s="4" t="s">
        <v>2738</v>
      </c>
      <c r="B970" s="4" t="s">
        <v>2739</v>
      </c>
      <c r="C970" s="19" t="s">
        <v>10871</v>
      </c>
      <c r="D970" s="4"/>
      <c r="E970" s="4" t="str">
        <f t="shared" si="20"/>
        <v>6.3.5.2</v>
      </c>
      <c r="F970" s="4" t="str">
        <f>$P$3&amp;"R08244"</f>
        <v>R08244</v>
      </c>
      <c r="G970" s="22" t="s">
        <v>10872</v>
      </c>
      <c r="H970" s="22" t="s">
        <v>10873</v>
      </c>
      <c r="I970" s="4"/>
      <c r="K970" s="4"/>
      <c r="N970" s="4" t="s">
        <v>1775</v>
      </c>
      <c r="O970" s="4">
        <v>417</v>
      </c>
    </row>
    <row r="971" spans="1:15" ht="15.75" customHeight="1">
      <c r="A971" s="4" t="s">
        <v>2332</v>
      </c>
      <c r="B971" s="4" t="s">
        <v>2333</v>
      </c>
      <c r="C971" s="19" t="s">
        <v>10874</v>
      </c>
      <c r="E971" s="4" t="str">
        <f t="shared" si="20"/>
        <v>6.3.5.3</v>
      </c>
      <c r="F971" s="4" t="str">
        <f t="shared" ref="F971:F973" si="24">$P$3&amp;"R04463"</f>
        <v>R04463</v>
      </c>
      <c r="G971" s="22" t="s">
        <v>10875</v>
      </c>
      <c r="H971" s="22" t="s">
        <v>10876</v>
      </c>
      <c r="I971" s="4"/>
      <c r="K971" s="4"/>
      <c r="N971" s="4" t="s">
        <v>1779</v>
      </c>
      <c r="O971" s="4">
        <v>159</v>
      </c>
    </row>
    <row r="972" spans="1:15" ht="15.75" customHeight="1">
      <c r="A972" s="4" t="s">
        <v>2328</v>
      </c>
      <c r="B972" s="4" t="s">
        <v>2329</v>
      </c>
      <c r="C972" s="19" t="s">
        <v>10877</v>
      </c>
      <c r="D972" s="4"/>
      <c r="E972" s="4" t="str">
        <f t="shared" si="20"/>
        <v>6.3.5.3</v>
      </c>
      <c r="F972" s="4" t="str">
        <f t="shared" si="24"/>
        <v>R04463</v>
      </c>
      <c r="G972" s="22" t="s">
        <v>10878</v>
      </c>
      <c r="H972" s="22" t="s">
        <v>10879</v>
      </c>
      <c r="K972" s="4"/>
      <c r="N972" s="4" t="s">
        <v>1783</v>
      </c>
      <c r="O972" s="4">
        <v>1444</v>
      </c>
    </row>
    <row r="973" spans="1:15" ht="15.75" customHeight="1">
      <c r="A973" s="4" t="s">
        <v>2336</v>
      </c>
      <c r="B973" s="4" t="s">
        <v>2337</v>
      </c>
      <c r="C973" s="19" t="s">
        <v>10880</v>
      </c>
      <c r="D973" s="4"/>
      <c r="E973" s="4" t="str">
        <f t="shared" si="20"/>
        <v>6.3.5.3</v>
      </c>
      <c r="F973" s="4" t="str">
        <f t="shared" si="24"/>
        <v>R04463</v>
      </c>
      <c r="G973" s="22" t="s">
        <v>10881</v>
      </c>
      <c r="H973" s="22" t="s">
        <v>10882</v>
      </c>
      <c r="K973" s="4"/>
      <c r="N973" s="4" t="s">
        <v>1786</v>
      </c>
      <c r="O973" s="4">
        <v>575</v>
      </c>
    </row>
    <row r="974" spans="1:15" ht="15.75" customHeight="1">
      <c r="A974" s="4" t="s">
        <v>3240</v>
      </c>
      <c r="B974" s="4" t="s">
        <v>3241</v>
      </c>
      <c r="C974" s="19" t="s">
        <v>10883</v>
      </c>
      <c r="D974" s="4"/>
      <c r="E974" s="4" t="str">
        <f t="shared" si="20"/>
        <v>6.3.5.4</v>
      </c>
      <c r="F974" s="4" t="str">
        <f>$P$3&amp;"R00256"</f>
        <v>R00256</v>
      </c>
      <c r="G974" s="22" t="s">
        <v>10884</v>
      </c>
      <c r="H974" s="22" t="s">
        <v>10885</v>
      </c>
      <c r="I974" s="4"/>
      <c r="K974" s="4"/>
      <c r="N974" s="4" t="s">
        <v>1789</v>
      </c>
      <c r="O974" s="4">
        <v>413</v>
      </c>
    </row>
    <row r="975" spans="1:15" ht="15.75" customHeight="1">
      <c r="A975" s="4" t="s">
        <v>3240</v>
      </c>
      <c r="B975" s="4" t="s">
        <v>3241</v>
      </c>
      <c r="C975" s="19" t="s">
        <v>10886</v>
      </c>
      <c r="D975" s="4"/>
      <c r="E975" s="4" t="str">
        <f t="shared" si="20"/>
        <v>6.3.5.4</v>
      </c>
      <c r="F975" s="4" t="str">
        <f>$P$3&amp;"R00483"</f>
        <v>R00483</v>
      </c>
      <c r="G975" s="22" t="s">
        <v>10887</v>
      </c>
      <c r="H975" s="22" t="s">
        <v>10888</v>
      </c>
      <c r="I975" s="4"/>
      <c r="K975" s="4"/>
      <c r="N975" s="4" t="s">
        <v>1789</v>
      </c>
      <c r="O975" s="4">
        <v>413</v>
      </c>
    </row>
    <row r="976" spans="1:15" ht="15.75" customHeight="1">
      <c r="A976" s="4" t="s">
        <v>3240</v>
      </c>
      <c r="B976" s="4" t="s">
        <v>3241</v>
      </c>
      <c r="C976" s="19" t="s">
        <v>10889</v>
      </c>
      <c r="D976" s="4"/>
      <c r="E976" s="4" t="str">
        <f t="shared" si="20"/>
        <v>6.3.5.4</v>
      </c>
      <c r="F976" s="4" t="str">
        <f>$P$3&amp;"R00578"</f>
        <v>R00578</v>
      </c>
      <c r="G976" s="22" t="s">
        <v>10890</v>
      </c>
      <c r="H976" s="22" t="s">
        <v>10891</v>
      </c>
      <c r="I976" s="4"/>
      <c r="K976" s="4"/>
      <c r="N976" s="4" t="s">
        <v>1789</v>
      </c>
      <c r="O976" s="4">
        <v>413</v>
      </c>
    </row>
    <row r="977" spans="1:15" ht="15.75" customHeight="1">
      <c r="A977" s="4" t="s">
        <v>1416</v>
      </c>
      <c r="B977" s="4" t="s">
        <v>1417</v>
      </c>
      <c r="C977" s="19" t="s">
        <v>10892</v>
      </c>
      <c r="D977" s="4"/>
      <c r="E977" s="4" t="str">
        <f t="shared" si="20"/>
        <v>6.3.5.5</v>
      </c>
      <c r="F977" s="4" t="str">
        <f>$P$3&amp;"R00256"</f>
        <v>R00256</v>
      </c>
      <c r="G977" s="22" t="s">
        <v>10893</v>
      </c>
      <c r="H977" s="22" t="s">
        <v>10894</v>
      </c>
      <c r="K977" s="4"/>
      <c r="N977" s="4" t="s">
        <v>1793</v>
      </c>
      <c r="O977" s="4">
        <v>262</v>
      </c>
    </row>
    <row r="978" spans="1:15" ht="15.75" customHeight="1">
      <c r="A978" s="4" t="s">
        <v>1416</v>
      </c>
      <c r="B978" s="4" t="s">
        <v>1417</v>
      </c>
      <c r="C978" s="19" t="s">
        <v>10895</v>
      </c>
      <c r="D978" s="4"/>
      <c r="E978" s="4" t="str">
        <f t="shared" si="20"/>
        <v>6.3.5.5</v>
      </c>
      <c r="F978" s="4" t="str">
        <f>$P$3&amp;"R00575"</f>
        <v>R00575</v>
      </c>
      <c r="G978" s="22" t="s">
        <v>10896</v>
      </c>
      <c r="H978" s="22" t="s">
        <v>10897</v>
      </c>
      <c r="K978" s="4"/>
      <c r="N978" s="4" t="s">
        <v>1793</v>
      </c>
      <c r="O978" s="4">
        <v>262</v>
      </c>
    </row>
    <row r="979" spans="1:15" ht="15.75" customHeight="1">
      <c r="A979" s="4" t="s">
        <v>1416</v>
      </c>
      <c r="B979" s="4" t="s">
        <v>1417</v>
      </c>
      <c r="C979" s="19" t="s">
        <v>10898</v>
      </c>
      <c r="D979" s="4"/>
      <c r="E979" s="4" t="str">
        <f t="shared" si="20"/>
        <v>6.3.5.5</v>
      </c>
      <c r="F979" s="4" t="str">
        <f>$P$3&amp;"R01395"</f>
        <v>R01395</v>
      </c>
      <c r="G979" s="22" t="s">
        <v>10899</v>
      </c>
      <c r="H979" s="22" t="s">
        <v>10900</v>
      </c>
      <c r="K979" s="4"/>
      <c r="N979" s="4" t="s">
        <v>1793</v>
      </c>
      <c r="O979" s="4">
        <v>262</v>
      </c>
    </row>
    <row r="980" spans="1:15" ht="15.75" customHeight="1">
      <c r="A980" s="4" t="s">
        <v>1416</v>
      </c>
      <c r="B980" s="4" t="s">
        <v>1417</v>
      </c>
      <c r="C980" s="19" t="s">
        <v>10901</v>
      </c>
      <c r="D980" s="4"/>
      <c r="E980" s="4" t="str">
        <f t="shared" si="20"/>
        <v>6.3.5.5</v>
      </c>
      <c r="F980" s="4" t="str">
        <f>$P$3&amp;"R10948"</f>
        <v>R10948</v>
      </c>
      <c r="G980" s="22" t="s">
        <v>10902</v>
      </c>
      <c r="H980" s="22" t="s">
        <v>10903</v>
      </c>
      <c r="K980" s="4"/>
      <c r="N980" s="4" t="s">
        <v>1793</v>
      </c>
      <c r="O980" s="4">
        <v>262</v>
      </c>
    </row>
    <row r="981" spans="1:15" ht="15.75" customHeight="1">
      <c r="A981" s="4" t="s">
        <v>1416</v>
      </c>
      <c r="B981" s="4" t="s">
        <v>1417</v>
      </c>
      <c r="C981" s="19" t="s">
        <v>10904</v>
      </c>
      <c r="D981" s="4"/>
      <c r="E981" s="4" t="str">
        <f t="shared" si="20"/>
        <v>6.3.5.5</v>
      </c>
      <c r="F981" s="4" t="str">
        <f>$P$3&amp;"R10949"</f>
        <v>R10949</v>
      </c>
      <c r="G981" s="22" t="s">
        <v>10905</v>
      </c>
      <c r="H981" s="22" t="s">
        <v>10906</v>
      </c>
      <c r="K981" s="4"/>
      <c r="N981" s="4" t="s">
        <v>1793</v>
      </c>
      <c r="O981" s="4">
        <v>262</v>
      </c>
    </row>
    <row r="982" spans="1:15" ht="15.75" customHeight="1">
      <c r="A982" s="4" t="s">
        <v>1416</v>
      </c>
      <c r="B982" s="4" t="s">
        <v>1417</v>
      </c>
      <c r="C982" s="19" t="s">
        <v>10907</v>
      </c>
      <c r="D982" s="4"/>
      <c r="E982" s="4" t="str">
        <f t="shared" si="20"/>
        <v>6.3.5.5</v>
      </c>
      <c r="F982" s="4" t="str">
        <f>$P$3&amp;"R07641"</f>
        <v>R07641</v>
      </c>
      <c r="G982" s="22" t="s">
        <v>10908</v>
      </c>
      <c r="H982" s="22" t="s">
        <v>10909</v>
      </c>
      <c r="K982" s="4"/>
      <c r="N982" s="4" t="s">
        <v>1793</v>
      </c>
      <c r="O982" s="4">
        <v>262</v>
      </c>
    </row>
    <row r="983" spans="1:15" ht="15.75" customHeight="1">
      <c r="A983" s="4" t="s">
        <v>1015</v>
      </c>
      <c r="B983" s="4" t="s">
        <v>1016</v>
      </c>
      <c r="C983" s="19" t="s">
        <v>10910</v>
      </c>
      <c r="D983" s="4"/>
      <c r="E983" s="4" t="str">
        <f t="shared" si="20"/>
        <v>6.4.1.1</v>
      </c>
      <c r="F983" s="4" t="str">
        <f>$P$3&amp;"R00344"</f>
        <v>R00344</v>
      </c>
      <c r="G983" s="22" t="s">
        <v>10911</v>
      </c>
      <c r="H983" s="22" t="s">
        <v>10912</v>
      </c>
      <c r="K983" s="4"/>
      <c r="N983" s="4" t="s">
        <v>1796</v>
      </c>
      <c r="O983" s="4">
        <v>250</v>
      </c>
    </row>
    <row r="984" spans="1:15" ht="15.75" customHeight="1">
      <c r="A984" s="4" t="s">
        <v>3101</v>
      </c>
      <c r="B984" s="4" t="s">
        <v>3102</v>
      </c>
      <c r="C984" s="19" t="s">
        <v>10913</v>
      </c>
      <c r="D984" s="4"/>
      <c r="E984" s="4" t="str">
        <f t="shared" si="20"/>
        <v>6.4.1.2</v>
      </c>
      <c r="F984" s="4" t="str">
        <f t="shared" ref="F984:F985" si="25">$P$3&amp;"R00742"</f>
        <v>R00742</v>
      </c>
      <c r="G984" s="22" t="s">
        <v>10914</v>
      </c>
      <c r="H984" s="22" t="s">
        <v>10915</v>
      </c>
      <c r="I984" s="4"/>
      <c r="K984" s="4"/>
      <c r="N984" s="4" t="s">
        <v>1799</v>
      </c>
      <c r="O984" s="4">
        <v>185</v>
      </c>
    </row>
    <row r="985" spans="1:15" ht="15.75" customHeight="1">
      <c r="A985" s="4" t="s">
        <v>3112</v>
      </c>
      <c r="B985" s="4" t="s">
        <v>3113</v>
      </c>
      <c r="C985" s="19" t="s">
        <v>10916</v>
      </c>
      <c r="D985" s="4"/>
      <c r="E985" s="4" t="str">
        <f t="shared" si="20"/>
        <v>6.4.1.2</v>
      </c>
      <c r="F985" s="4" t="str">
        <f t="shared" si="25"/>
        <v>R00742</v>
      </c>
      <c r="G985" s="22" t="s">
        <v>10917</v>
      </c>
      <c r="H985" s="22" t="s">
        <v>10918</v>
      </c>
      <c r="I985" s="4"/>
      <c r="K985" s="4"/>
      <c r="N985" s="4" t="s">
        <v>1803</v>
      </c>
      <c r="O985" s="4">
        <v>239</v>
      </c>
    </row>
    <row r="986" spans="1:15" ht="15.75" customHeight="1">
      <c r="A986" s="4" t="s">
        <v>231</v>
      </c>
      <c r="B986" s="4" t="s">
        <v>232</v>
      </c>
      <c r="C986" s="19" t="s">
        <v>10919</v>
      </c>
      <c r="D986" s="4"/>
      <c r="E986" s="4" t="str">
        <f t="shared" si="20"/>
        <v>6.5.1.2</v>
      </c>
      <c r="F986" s="4" t="str">
        <f>$P$3&amp;" "</f>
        <v xml:space="preserve"> </v>
      </c>
      <c r="G986" s="22" t="s">
        <v>10920</v>
      </c>
      <c r="H986" s="22" t="s">
        <v>10921</v>
      </c>
      <c r="I986" s="4"/>
      <c r="K986" s="4"/>
      <c r="N986" s="4" t="s">
        <v>1807</v>
      </c>
      <c r="O986" s="4">
        <v>293</v>
      </c>
    </row>
    <row r="987" spans="1:15" ht="15.75" customHeight="1">
      <c r="A987" s="4" t="s">
        <v>4812</v>
      </c>
      <c r="B987" s="4" t="s">
        <v>4813</v>
      </c>
      <c r="C987" s="19" t="s">
        <v>10922</v>
      </c>
      <c r="D987" s="4"/>
      <c r="E987" s="4" t="str">
        <f t="shared" si="20"/>
        <v>7.1.2.1</v>
      </c>
      <c r="G987" s="4"/>
      <c r="H987" s="4"/>
      <c r="I987" s="4"/>
      <c r="K987" s="4"/>
      <c r="N987" s="4" t="s">
        <v>1859</v>
      </c>
      <c r="O987" s="4">
        <v>478</v>
      </c>
    </row>
    <row r="988" spans="1:15" ht="15.75" customHeight="1">
      <c r="A988" s="4" t="s">
        <v>535</v>
      </c>
      <c r="B988" s="4" t="s">
        <v>536</v>
      </c>
      <c r="C988" s="19" t="s">
        <v>10923</v>
      </c>
      <c r="D988" s="4"/>
      <c r="E988" s="4" t="str">
        <f t="shared" si="20"/>
        <v>7.1.2.2</v>
      </c>
      <c r="F988" s="4" t="str">
        <f t="shared" ref="F988:F995" si="26">$P$3&amp;"R00086"</f>
        <v>R00086</v>
      </c>
      <c r="G988" s="22" t="s">
        <v>10924</v>
      </c>
      <c r="H988" s="22" t="s">
        <v>10925</v>
      </c>
      <c r="K988" s="4"/>
      <c r="N988" s="4" t="s">
        <v>1863</v>
      </c>
      <c r="O988" s="4">
        <v>113</v>
      </c>
    </row>
    <row r="989" spans="1:15" ht="15.75" customHeight="1">
      <c r="A989" s="4" t="s">
        <v>539</v>
      </c>
      <c r="B989" s="4" t="s">
        <v>540</v>
      </c>
      <c r="C989" s="19" t="s">
        <v>10926</v>
      </c>
      <c r="D989" s="4"/>
      <c r="E989" s="4" t="str">
        <f t="shared" si="20"/>
        <v>7.1.2.2</v>
      </c>
      <c r="F989" s="4" t="str">
        <f t="shared" si="26"/>
        <v>R00086</v>
      </c>
      <c r="G989" s="22" t="s">
        <v>10927</v>
      </c>
      <c r="H989" s="22" t="s">
        <v>10928</v>
      </c>
      <c r="K989" s="4"/>
      <c r="N989" s="4" t="s">
        <v>56</v>
      </c>
      <c r="O989" s="4">
        <v>104</v>
      </c>
    </row>
    <row r="990" spans="1:15" ht="15.75" customHeight="1">
      <c r="A990" s="4" t="s">
        <v>543</v>
      </c>
      <c r="B990" s="4" t="s">
        <v>544</v>
      </c>
      <c r="C990" s="19" t="s">
        <v>10929</v>
      </c>
      <c r="D990" s="4"/>
      <c r="E990" s="4" t="str">
        <f t="shared" si="20"/>
        <v>7.1.2.2</v>
      </c>
      <c r="F990" s="4" t="str">
        <f t="shared" si="26"/>
        <v>R00086</v>
      </c>
      <c r="G990" s="22" t="s">
        <v>10930</v>
      </c>
      <c r="H990" s="22" t="s">
        <v>10931</v>
      </c>
      <c r="I990" s="4"/>
      <c r="K990" s="4"/>
      <c r="N990" s="4" t="s">
        <v>1868</v>
      </c>
      <c r="O990" s="4">
        <v>331</v>
      </c>
    </row>
    <row r="991" spans="1:15" ht="15.75" customHeight="1">
      <c r="A991" s="4" t="s">
        <v>547</v>
      </c>
      <c r="B991" s="4" t="s">
        <v>548</v>
      </c>
      <c r="C991" s="19" t="s">
        <v>10932</v>
      </c>
      <c r="D991" s="4"/>
      <c r="E991" s="4" t="str">
        <f t="shared" si="20"/>
        <v>7.1.2.2</v>
      </c>
      <c r="F991" s="4" t="str">
        <f t="shared" si="26"/>
        <v>R00086</v>
      </c>
      <c r="G991" s="22" t="s">
        <v>10933</v>
      </c>
      <c r="H991" s="22" t="s">
        <v>10934</v>
      </c>
      <c r="I991" s="4"/>
      <c r="K991" s="4"/>
      <c r="N991" s="4" t="s">
        <v>1872</v>
      </c>
      <c r="O991" s="4">
        <v>1184</v>
      </c>
    </row>
    <row r="992" spans="1:15" ht="15.75" customHeight="1">
      <c r="A992" s="4" t="s">
        <v>551</v>
      </c>
      <c r="B992" s="4" t="s">
        <v>552</v>
      </c>
      <c r="C992" s="19" t="s">
        <v>10935</v>
      </c>
      <c r="D992" s="4"/>
      <c r="E992" s="4" t="str">
        <f t="shared" si="20"/>
        <v>7.1.2.2</v>
      </c>
      <c r="F992" s="4" t="str">
        <f t="shared" si="26"/>
        <v>R00086</v>
      </c>
      <c r="G992" s="22" t="s">
        <v>10936</v>
      </c>
      <c r="H992" s="22" t="s">
        <v>10937</v>
      </c>
      <c r="I992" s="4"/>
      <c r="K992" s="4"/>
      <c r="N992" s="4" t="s">
        <v>1876</v>
      </c>
      <c r="O992" s="4">
        <v>231</v>
      </c>
    </row>
    <row r="993" spans="1:16" ht="15.75" customHeight="1">
      <c r="A993" s="4" t="s">
        <v>554</v>
      </c>
      <c r="B993" s="4" t="s">
        <v>555</v>
      </c>
      <c r="C993" s="19" t="s">
        <v>10938</v>
      </c>
      <c r="D993" s="4"/>
      <c r="E993" s="4" t="str">
        <f t="shared" si="20"/>
        <v>7.1.2.2</v>
      </c>
      <c r="F993" s="4" t="str">
        <f t="shared" si="26"/>
        <v>R00086</v>
      </c>
      <c r="G993" s="22" t="s">
        <v>10939</v>
      </c>
      <c r="H993" s="22" t="s">
        <v>10940</v>
      </c>
      <c r="K993" s="4"/>
      <c r="N993" s="4" t="s">
        <v>1880</v>
      </c>
      <c r="O993" s="4">
        <v>596</v>
      </c>
    </row>
    <row r="994" spans="1:16" ht="15.75" customHeight="1">
      <c r="A994" s="4" t="s">
        <v>558</v>
      </c>
      <c r="B994" s="4" t="s">
        <v>559</v>
      </c>
      <c r="C994" s="19" t="s">
        <v>10941</v>
      </c>
      <c r="D994" s="4"/>
      <c r="E994" s="4" t="str">
        <f t="shared" si="20"/>
        <v>7.1.2.2</v>
      </c>
      <c r="F994" s="4" t="str">
        <f t="shared" si="26"/>
        <v>R00086</v>
      </c>
      <c r="G994" s="22" t="s">
        <v>10942</v>
      </c>
      <c r="H994" s="22" t="s">
        <v>10943</v>
      </c>
      <c r="K994" s="4"/>
      <c r="N994" s="4" t="s">
        <v>76</v>
      </c>
      <c r="O994" s="4">
        <v>302</v>
      </c>
    </row>
    <row r="995" spans="1:16" ht="15.75" customHeight="1">
      <c r="A995" s="4" t="s">
        <v>561</v>
      </c>
      <c r="B995" s="4" t="s">
        <v>562</v>
      </c>
      <c r="C995" s="19" t="s">
        <v>10944</v>
      </c>
      <c r="D995" s="4"/>
      <c r="E995" s="4" t="str">
        <f t="shared" si="20"/>
        <v>7.1.2.2</v>
      </c>
      <c r="F995" s="4" t="str">
        <f t="shared" si="26"/>
        <v>R00086</v>
      </c>
      <c r="G995" s="22" t="s">
        <v>10945</v>
      </c>
      <c r="H995" s="22" t="s">
        <v>10946</v>
      </c>
      <c r="I995" s="4"/>
      <c r="K995" s="4"/>
      <c r="N995" s="4" t="s">
        <v>1885</v>
      </c>
      <c r="O995" s="4">
        <v>320</v>
      </c>
    </row>
    <row r="996" spans="1:16" ht="15.75" customHeight="1">
      <c r="A996" s="4" t="s">
        <v>3552</v>
      </c>
      <c r="B996" s="4" t="s">
        <v>3553</v>
      </c>
      <c r="C996" s="19" t="s">
        <v>10947</v>
      </c>
      <c r="D996" s="4"/>
      <c r="E996" s="4" t="str">
        <f t="shared" si="20"/>
        <v>7.2.2.14</v>
      </c>
      <c r="G996" s="4"/>
      <c r="H996" s="4"/>
      <c r="I996" s="4"/>
      <c r="K996" s="4"/>
      <c r="N996" s="4" t="s">
        <v>1897</v>
      </c>
      <c r="O996" s="4">
        <v>341</v>
      </c>
    </row>
    <row r="997" spans="1:16" ht="15.75" customHeight="1">
      <c r="A997" s="4" t="s">
        <v>7498</v>
      </c>
      <c r="B997" s="4" t="s">
        <v>7499</v>
      </c>
      <c r="C997" s="19" t="s">
        <v>10948</v>
      </c>
      <c r="D997" s="4"/>
      <c r="E997" s="4" t="str">
        <f t="shared" si="20"/>
        <v>7.3.2.1</v>
      </c>
      <c r="G997" s="4"/>
      <c r="H997" s="4"/>
      <c r="I997" s="4"/>
      <c r="K997" s="4"/>
      <c r="N997" s="4" t="s">
        <v>1901</v>
      </c>
      <c r="O997" s="4">
        <v>679</v>
      </c>
    </row>
    <row r="998" spans="1:16" ht="15.75" customHeight="1">
      <c r="A998" s="4" t="s">
        <v>7502</v>
      </c>
      <c r="B998" s="4" t="s">
        <v>7503</v>
      </c>
      <c r="C998" s="19" t="s">
        <v>10949</v>
      </c>
      <c r="D998" s="4"/>
      <c r="E998" s="4" t="str">
        <f t="shared" si="20"/>
        <v>7.3.2.1</v>
      </c>
      <c r="G998" s="4"/>
      <c r="H998" s="4"/>
      <c r="K998" s="4"/>
      <c r="N998" s="4" t="s">
        <v>1905</v>
      </c>
      <c r="O998" s="4">
        <v>558</v>
      </c>
    </row>
    <row r="999" spans="1:16" ht="15.75" customHeight="1">
      <c r="A999" s="4" t="s">
        <v>6328</v>
      </c>
      <c r="B999" s="4" t="s">
        <v>6329</v>
      </c>
      <c r="C999" s="19" t="s">
        <v>10950</v>
      </c>
      <c r="D999" s="4"/>
      <c r="E999" s="4" t="str">
        <f t="shared" si="20"/>
        <v>7.3.2.2</v>
      </c>
      <c r="G999" s="4"/>
      <c r="H999" s="4"/>
      <c r="K999" s="4"/>
      <c r="N999" s="4" t="s">
        <v>1908</v>
      </c>
      <c r="O999" s="4">
        <v>120</v>
      </c>
    </row>
    <row r="1000" spans="1:16" ht="15.75" customHeight="1">
      <c r="A1000" s="4" t="s">
        <v>6332</v>
      </c>
      <c r="B1000" s="4" t="s">
        <v>6333</v>
      </c>
      <c r="C1000" s="19" t="s">
        <v>10951</v>
      </c>
      <c r="D1000" s="4"/>
      <c r="E1000" s="4" t="str">
        <f t="shared" si="20"/>
        <v>7.3.2.2</v>
      </c>
      <c r="G1000" s="4"/>
      <c r="H1000" s="4"/>
      <c r="I1000" s="4"/>
      <c r="K1000" s="4"/>
      <c r="N1000" s="4" t="s">
        <v>1911</v>
      </c>
      <c r="O1000" s="4">
        <v>61</v>
      </c>
    </row>
    <row r="1001" spans="1:16" ht="15.75" customHeight="1">
      <c r="A1001" s="4" t="s">
        <v>6335</v>
      </c>
      <c r="B1001" s="4" t="s">
        <v>6336</v>
      </c>
      <c r="C1001" s="19" t="s">
        <v>10952</v>
      </c>
      <c r="D1001" s="4"/>
      <c r="E1001" s="4" t="str">
        <f t="shared" si="20"/>
        <v>7.3.2.2</v>
      </c>
      <c r="G1001" s="4"/>
      <c r="H1001" s="4"/>
      <c r="K1001" s="4"/>
      <c r="N1001" s="4" t="s">
        <v>1915</v>
      </c>
      <c r="O1001" s="4">
        <v>222</v>
      </c>
    </row>
    <row r="1002" spans="1:16" ht="15.75" customHeight="1">
      <c r="A1002" s="4" t="s">
        <v>594</v>
      </c>
      <c r="B1002" s="4" t="s">
        <v>595</v>
      </c>
      <c r="C1002" s="19" t="s">
        <v>10953</v>
      </c>
      <c r="D1002" s="4"/>
      <c r="E1002" s="4" t="str">
        <f t="shared" si="20"/>
        <v>7.4.2.11</v>
      </c>
      <c r="G1002" s="4"/>
      <c r="H1002" s="4"/>
      <c r="I1002" s="4"/>
      <c r="K1002" s="4"/>
      <c r="N1002" s="4" t="s">
        <v>1918</v>
      </c>
      <c r="O1002" s="4">
        <v>216</v>
      </c>
    </row>
    <row r="1003" spans="1:16" ht="15.75" customHeight="1">
      <c r="A1003" s="4" t="s">
        <v>597</v>
      </c>
      <c r="B1003" s="4" t="s">
        <v>598</v>
      </c>
      <c r="C1003" s="19" t="s">
        <v>10954</v>
      </c>
      <c r="D1003" s="4"/>
      <c r="E1003" s="4" t="str">
        <f t="shared" si="20"/>
        <v>7.4.2.11</v>
      </c>
      <c r="G1003" s="4"/>
      <c r="H1003" s="4"/>
      <c r="I1003" s="4"/>
      <c r="K1003" s="4"/>
      <c r="N1003" s="4" t="s">
        <v>1922</v>
      </c>
      <c r="O1003" s="4">
        <v>301</v>
      </c>
    </row>
    <row r="1004" spans="1:16" ht="15.75" customHeight="1">
      <c r="A1004" s="4" t="s">
        <v>6316</v>
      </c>
      <c r="B1004" s="4" t="s">
        <v>6317</v>
      </c>
      <c r="C1004" s="19" t="s">
        <v>10955</v>
      </c>
      <c r="D1004" s="4"/>
      <c r="E1004" s="4" t="str">
        <f t="shared" si="20"/>
        <v>7.6.2.14</v>
      </c>
      <c r="G1004" s="4"/>
      <c r="H1004" s="4"/>
      <c r="K1004" s="4"/>
      <c r="N1004" s="4" t="s">
        <v>1930</v>
      </c>
      <c r="O1004" s="4">
        <v>247</v>
      </c>
    </row>
    <row r="1005" spans="1:16" ht="15.75" customHeight="1">
      <c r="A1005" s="4"/>
      <c r="B1005" s="4"/>
      <c r="C1005" s="18"/>
      <c r="D1005" s="4"/>
      <c r="E1005" s="4"/>
      <c r="G1005" s="4"/>
      <c r="H1005" s="4"/>
      <c r="K1005" s="4"/>
      <c r="N1005" s="4" t="s">
        <v>51</v>
      </c>
      <c r="O1005" s="4">
        <v>193</v>
      </c>
      <c r="P1005" s="2" t="s">
        <v>7773</v>
      </c>
    </row>
    <row r="1006" spans="1:16" ht="15.75" customHeight="1">
      <c r="A1006" s="4"/>
      <c r="B1006" s="4"/>
      <c r="C1006" s="20"/>
      <c r="D1006" s="4"/>
      <c r="E1006" s="4"/>
      <c r="G1006" s="4"/>
      <c r="H1006" s="4"/>
      <c r="K1006" s="4"/>
      <c r="N1006" s="4" t="s">
        <v>56</v>
      </c>
      <c r="O1006" s="4">
        <v>168</v>
      </c>
      <c r="P1006" s="2" t="s">
        <v>7773</v>
      </c>
    </row>
    <row r="1007" spans="1:16" ht="15.75" customHeight="1">
      <c r="A1007" s="4"/>
      <c r="B1007" s="4"/>
      <c r="C1007" s="20"/>
      <c r="D1007" s="20"/>
      <c r="E1007" s="4"/>
      <c r="G1007" s="4"/>
      <c r="H1007" s="4"/>
      <c r="K1007" s="4"/>
      <c r="N1007" s="4" t="s">
        <v>59</v>
      </c>
      <c r="O1007" s="4">
        <v>297</v>
      </c>
    </row>
    <row r="1008" spans="1:16" ht="15.75" customHeight="1">
      <c r="A1008" s="4"/>
      <c r="B1008" s="4"/>
      <c r="C1008" s="20"/>
      <c r="D1008" s="4"/>
      <c r="E1008" s="4"/>
      <c r="G1008" s="4"/>
      <c r="H1008" s="4"/>
      <c r="K1008" s="4"/>
      <c r="N1008" s="4" t="s">
        <v>59</v>
      </c>
      <c r="O1008" s="4">
        <v>297</v>
      </c>
    </row>
    <row r="1009" spans="1:15" ht="15.75" customHeight="1">
      <c r="A1009" s="4"/>
      <c r="B1009" s="4"/>
      <c r="C1009" s="20"/>
      <c r="D1009" s="4"/>
      <c r="E1009" s="4"/>
      <c r="G1009" s="4"/>
      <c r="H1009" s="4"/>
      <c r="K1009" s="4"/>
      <c r="N1009" s="4" t="s">
        <v>62</v>
      </c>
      <c r="O1009" s="4">
        <v>228</v>
      </c>
    </row>
    <row r="1010" spans="1:15" ht="15.75" customHeight="1">
      <c r="A1010" s="4"/>
      <c r="B1010" s="4"/>
      <c r="C1010" s="20"/>
      <c r="D1010" s="4"/>
      <c r="E1010" s="4"/>
      <c r="G1010" s="4"/>
      <c r="H1010" s="4"/>
      <c r="I1010" s="4"/>
      <c r="K1010" s="4"/>
      <c r="N1010" s="4" t="s">
        <v>65</v>
      </c>
      <c r="O1010" s="4">
        <v>325</v>
      </c>
    </row>
    <row r="1011" spans="1:15" ht="15.75" customHeight="1">
      <c r="A1011" s="4"/>
      <c r="B1011" s="4"/>
      <c r="C1011" s="26"/>
      <c r="D1011" s="20"/>
      <c r="E1011" s="4"/>
      <c r="G1011" s="4"/>
      <c r="H1011" s="4"/>
      <c r="I1011" s="4"/>
      <c r="K1011" s="4"/>
      <c r="N1011" s="4" t="s">
        <v>69</v>
      </c>
      <c r="O1011" s="4">
        <v>153</v>
      </c>
    </row>
    <row r="1012" spans="1:15" ht="15.75" customHeight="1">
      <c r="A1012" s="4"/>
      <c r="B1012" s="4"/>
      <c r="C1012" s="20"/>
      <c r="D1012" s="4"/>
      <c r="E1012" s="4"/>
      <c r="G1012" s="4"/>
      <c r="H1012" s="4"/>
      <c r="K1012" s="4"/>
      <c r="N1012" s="4" t="s">
        <v>73</v>
      </c>
      <c r="O1012" s="4">
        <v>298</v>
      </c>
    </row>
    <row r="1013" spans="1:15" ht="15.75" customHeight="1">
      <c r="A1013" s="4"/>
      <c r="B1013" s="4"/>
      <c r="C1013" s="20"/>
      <c r="D1013" s="4"/>
      <c r="E1013" s="4"/>
      <c r="G1013" s="4"/>
      <c r="H1013" s="4"/>
      <c r="K1013" s="4"/>
      <c r="N1013" s="4" t="s">
        <v>73</v>
      </c>
      <c r="O1013" s="4">
        <v>298</v>
      </c>
    </row>
    <row r="1014" spans="1:15" ht="15.75" customHeight="1">
      <c r="A1014" s="4"/>
      <c r="B1014" s="4"/>
      <c r="C1014" s="20"/>
      <c r="D1014" s="4"/>
      <c r="E1014" s="4"/>
      <c r="G1014" s="4"/>
      <c r="H1014" s="4"/>
      <c r="K1014" s="4"/>
      <c r="N1014" s="4" t="s">
        <v>76</v>
      </c>
      <c r="O1014" s="4">
        <v>419</v>
      </c>
    </row>
    <row r="1015" spans="1:15" ht="15.75" customHeight="1">
      <c r="A1015" s="4"/>
      <c r="B1015" s="4"/>
      <c r="C1015" s="20"/>
      <c r="D1015" s="4"/>
      <c r="E1015" s="4"/>
      <c r="G1015" s="4"/>
      <c r="H1015" s="4"/>
      <c r="K1015" s="4"/>
      <c r="N1015" s="4" t="s">
        <v>79</v>
      </c>
      <c r="O1015" s="4">
        <v>180</v>
      </c>
    </row>
    <row r="1016" spans="1:15" ht="15.75" customHeight="1">
      <c r="A1016" s="4"/>
      <c r="B1016" s="4"/>
      <c r="C1016" s="20"/>
      <c r="D1016" s="4"/>
      <c r="E1016" s="4"/>
      <c r="G1016" s="4"/>
      <c r="H1016" s="4"/>
      <c r="K1016" s="4"/>
      <c r="N1016" s="4" t="s">
        <v>82</v>
      </c>
      <c r="O1016" s="4">
        <v>252</v>
      </c>
    </row>
    <row r="1017" spans="1:15" ht="15.75" customHeight="1">
      <c r="A1017" s="4"/>
      <c r="B1017" s="4"/>
      <c r="C1017" s="20"/>
      <c r="D1017" s="20"/>
      <c r="E1017" s="4"/>
      <c r="G1017" s="4"/>
      <c r="H1017" s="4"/>
      <c r="I1017" s="4"/>
      <c r="K1017" s="4"/>
      <c r="N1017" s="4" t="s">
        <v>85</v>
      </c>
      <c r="O1017" s="4">
        <v>301</v>
      </c>
    </row>
    <row r="1018" spans="1:15" ht="15.75" customHeight="1">
      <c r="A1018" s="4"/>
      <c r="B1018" s="4"/>
      <c r="C1018" s="20"/>
      <c r="D1018" s="4"/>
      <c r="E1018" s="4"/>
      <c r="G1018" s="4"/>
      <c r="H1018" s="4"/>
      <c r="K1018" s="4"/>
      <c r="N1018" s="4" t="s">
        <v>89</v>
      </c>
      <c r="O1018" s="4">
        <v>702</v>
      </c>
    </row>
    <row r="1019" spans="1:15" ht="15.75" customHeight="1">
      <c r="A1019" s="4"/>
      <c r="B1019" s="4"/>
      <c r="C1019" s="20"/>
      <c r="D1019" s="4"/>
      <c r="E1019" s="4"/>
      <c r="G1019" s="4"/>
      <c r="H1019" s="4"/>
      <c r="K1019" s="4"/>
      <c r="N1019" s="4" t="s">
        <v>92</v>
      </c>
      <c r="O1019" s="4">
        <v>179</v>
      </c>
    </row>
    <row r="1020" spans="1:15" ht="15.75" customHeight="1">
      <c r="A1020" s="4"/>
      <c r="B1020" s="4"/>
      <c r="C1020" s="20"/>
      <c r="D1020" s="4"/>
      <c r="E1020" s="4"/>
      <c r="G1020" s="4"/>
      <c r="H1020" s="4"/>
      <c r="K1020" s="4"/>
      <c r="N1020" s="4" t="s">
        <v>92</v>
      </c>
      <c r="O1020" s="4">
        <v>179</v>
      </c>
    </row>
    <row r="1021" spans="1:15" ht="15.75" customHeight="1">
      <c r="A1021" s="4"/>
      <c r="B1021" s="4"/>
      <c r="C1021" s="20"/>
      <c r="D1021" s="4"/>
      <c r="E1021" s="4"/>
      <c r="G1021" s="4"/>
      <c r="H1021" s="4"/>
      <c r="K1021" s="4"/>
      <c r="N1021" s="4" t="s">
        <v>73</v>
      </c>
      <c r="O1021" s="4">
        <v>362</v>
      </c>
    </row>
    <row r="1022" spans="1:15" ht="15.75" customHeight="1">
      <c r="A1022" s="4"/>
      <c r="B1022" s="4"/>
      <c r="C1022" s="20"/>
      <c r="D1022" s="4"/>
      <c r="E1022" s="4"/>
      <c r="G1022" s="4"/>
      <c r="H1022" s="4"/>
      <c r="K1022" s="4"/>
      <c r="N1022" s="4" t="s">
        <v>147</v>
      </c>
      <c r="O1022" s="4">
        <v>317</v>
      </c>
    </row>
    <row r="1023" spans="1:15" ht="15.75" customHeight="1">
      <c r="A1023" s="4"/>
      <c r="B1023" s="4"/>
      <c r="C1023" s="20"/>
      <c r="D1023" s="4"/>
      <c r="E1023" s="4"/>
      <c r="G1023" s="4"/>
      <c r="H1023" s="4"/>
      <c r="K1023" s="4"/>
      <c r="N1023" s="4" t="s">
        <v>150</v>
      </c>
      <c r="O1023" s="4">
        <v>107</v>
      </c>
    </row>
    <row r="1024" spans="1:15" ht="15.75" customHeight="1">
      <c r="A1024" s="4"/>
      <c r="B1024" s="4"/>
      <c r="C1024" s="20"/>
      <c r="D1024" s="4"/>
      <c r="E1024" s="4"/>
      <c r="G1024" s="4"/>
      <c r="H1024" s="4"/>
      <c r="K1024" s="4"/>
      <c r="N1024" s="4" t="s">
        <v>177</v>
      </c>
      <c r="O1024" s="4">
        <v>289</v>
      </c>
    </row>
    <row r="1025" spans="1:15" ht="15.75" customHeight="1">
      <c r="A1025" s="4"/>
      <c r="B1025" s="4"/>
      <c r="C1025" s="20"/>
      <c r="D1025" s="4"/>
      <c r="E1025" s="4"/>
      <c r="G1025" s="4"/>
      <c r="H1025" s="4"/>
      <c r="K1025" s="4"/>
      <c r="N1025" s="4" t="s">
        <v>180</v>
      </c>
      <c r="O1025" s="4">
        <v>763</v>
      </c>
    </row>
    <row r="1026" spans="1:15" ht="15.75" customHeight="1">
      <c r="A1026" s="4"/>
      <c r="B1026" s="4"/>
      <c r="C1026" s="20"/>
      <c r="D1026" s="4"/>
      <c r="E1026" s="4"/>
      <c r="G1026" s="4"/>
      <c r="H1026" s="4"/>
      <c r="K1026" s="4"/>
      <c r="N1026" s="4" t="s">
        <v>51</v>
      </c>
      <c r="O1026" s="4">
        <v>177</v>
      </c>
    </row>
    <row r="1027" spans="1:15" ht="15.75" customHeight="1">
      <c r="A1027" s="4"/>
      <c r="B1027" s="4"/>
      <c r="C1027" s="20"/>
      <c r="D1027" s="4"/>
      <c r="E1027" s="4"/>
      <c r="G1027" s="4"/>
      <c r="H1027" s="4"/>
      <c r="K1027" s="4"/>
      <c r="N1027" s="4" t="s">
        <v>56</v>
      </c>
      <c r="O1027" s="4">
        <v>69</v>
      </c>
    </row>
    <row r="1028" spans="1:15" ht="15.75" customHeight="1">
      <c r="A1028" s="4"/>
      <c r="B1028" s="4"/>
      <c r="C1028" s="20"/>
      <c r="D1028" s="4"/>
      <c r="E1028" s="4"/>
      <c r="G1028" s="4"/>
      <c r="H1028" s="4"/>
      <c r="K1028" s="4"/>
      <c r="N1028" s="4" t="s">
        <v>56</v>
      </c>
      <c r="O1028" s="4">
        <v>167</v>
      </c>
    </row>
    <row r="1029" spans="1:15" ht="15.75" customHeight="1">
      <c r="A1029" s="4"/>
      <c r="B1029" s="4"/>
      <c r="C1029" s="20"/>
      <c r="D1029" s="4"/>
      <c r="E1029" s="4"/>
      <c r="G1029" s="4"/>
      <c r="H1029" s="4"/>
      <c r="I1029" s="4"/>
      <c r="K1029" s="4"/>
      <c r="N1029" s="4" t="s">
        <v>229</v>
      </c>
      <c r="O1029" s="4">
        <v>674</v>
      </c>
    </row>
    <row r="1030" spans="1:15" ht="15.75" customHeight="1">
      <c r="A1030" s="4"/>
      <c r="B1030" s="4"/>
      <c r="C1030" s="20"/>
      <c r="D1030" s="18"/>
      <c r="E1030" s="4"/>
      <c r="G1030" s="4"/>
      <c r="H1030" s="4"/>
      <c r="K1030" s="4"/>
      <c r="N1030" s="4" t="s">
        <v>248</v>
      </c>
      <c r="O1030" s="4">
        <v>344</v>
      </c>
    </row>
    <row r="1031" spans="1:15" ht="15.75" customHeight="1">
      <c r="A1031" s="4"/>
      <c r="B1031" s="4"/>
      <c r="C1031" s="20"/>
      <c r="D1031" s="20"/>
      <c r="E1031" s="4"/>
      <c r="G1031" s="4"/>
      <c r="H1031" s="4"/>
      <c r="I1031" s="4"/>
      <c r="K1031" s="4"/>
      <c r="N1031" s="4" t="s">
        <v>251</v>
      </c>
      <c r="O1031" s="4">
        <v>457</v>
      </c>
    </row>
    <row r="1032" spans="1:15" ht="15.75" customHeight="1">
      <c r="A1032" s="4"/>
      <c r="B1032" s="4"/>
      <c r="C1032" s="20"/>
      <c r="D1032" s="4"/>
      <c r="E1032" s="4"/>
      <c r="G1032" s="4"/>
      <c r="H1032" s="4"/>
      <c r="I1032" s="4"/>
      <c r="K1032" s="4"/>
      <c r="N1032" s="4" t="s">
        <v>251</v>
      </c>
      <c r="O1032" s="4">
        <v>457</v>
      </c>
    </row>
    <row r="1033" spans="1:15" ht="15.75" customHeight="1">
      <c r="A1033" s="4"/>
      <c r="B1033" s="4"/>
      <c r="C1033" s="20"/>
      <c r="D1033" s="4"/>
      <c r="E1033" s="4"/>
      <c r="G1033" s="4"/>
      <c r="H1033" s="4"/>
      <c r="K1033" s="4"/>
      <c r="N1033" s="4" t="s">
        <v>56</v>
      </c>
      <c r="O1033" s="4">
        <v>64</v>
      </c>
    </row>
    <row r="1034" spans="1:15" ht="15.75" customHeight="1">
      <c r="A1034" s="4"/>
      <c r="B1034" s="4"/>
      <c r="C1034" s="20"/>
      <c r="D1034" s="4"/>
      <c r="E1034" s="4"/>
      <c r="G1034" s="4"/>
      <c r="H1034" s="4"/>
      <c r="K1034" s="4"/>
      <c r="N1034" s="4" t="s">
        <v>278</v>
      </c>
      <c r="O1034" s="4">
        <v>245</v>
      </c>
    </row>
    <row r="1035" spans="1:15" ht="15.75" customHeight="1">
      <c r="A1035" s="4"/>
      <c r="B1035" s="4"/>
      <c r="D1035" s="4"/>
      <c r="E1035" s="4"/>
      <c r="G1035" s="4"/>
      <c r="H1035" s="4"/>
      <c r="K1035" s="4"/>
      <c r="N1035" s="4" t="s">
        <v>281</v>
      </c>
      <c r="O1035" s="4">
        <v>118</v>
      </c>
    </row>
    <row r="1036" spans="1:15" ht="15.75" customHeight="1">
      <c r="A1036" s="4"/>
      <c r="B1036" s="4"/>
      <c r="C1036" s="20"/>
      <c r="D1036" s="4"/>
      <c r="E1036" s="4"/>
      <c r="G1036" s="4"/>
      <c r="H1036" s="4"/>
      <c r="K1036" s="4"/>
      <c r="N1036" s="4" t="s">
        <v>56</v>
      </c>
      <c r="O1036" s="4">
        <v>69</v>
      </c>
    </row>
    <row r="1037" spans="1:15" ht="15.75" customHeight="1">
      <c r="A1037" s="4"/>
      <c r="B1037" s="4"/>
      <c r="C1037" s="20"/>
      <c r="D1037" s="4"/>
      <c r="E1037" s="4"/>
      <c r="G1037" s="4"/>
      <c r="H1037" s="4"/>
      <c r="K1037" s="4"/>
      <c r="N1037" s="4" t="s">
        <v>286</v>
      </c>
      <c r="O1037" s="4">
        <v>118</v>
      </c>
    </row>
    <row r="1038" spans="1:15" ht="15.75" customHeight="1">
      <c r="A1038" s="4"/>
      <c r="B1038" s="4"/>
      <c r="C1038" s="20"/>
      <c r="D1038" s="4"/>
      <c r="E1038" s="4"/>
      <c r="G1038" s="4"/>
      <c r="H1038" s="4"/>
      <c r="K1038" s="4"/>
      <c r="N1038" s="4" t="s">
        <v>289</v>
      </c>
      <c r="O1038" s="4">
        <v>317</v>
      </c>
    </row>
    <row r="1039" spans="1:15" ht="15.75" customHeight="1">
      <c r="A1039" s="4"/>
      <c r="B1039" s="4"/>
      <c r="C1039" s="20"/>
      <c r="D1039" s="4"/>
      <c r="E1039" s="4"/>
      <c r="G1039" s="4"/>
      <c r="H1039" s="4"/>
      <c r="K1039" s="4"/>
      <c r="N1039" s="4" t="s">
        <v>292</v>
      </c>
      <c r="O1039" s="4">
        <v>428</v>
      </c>
    </row>
    <row r="1040" spans="1:15" ht="15.75" customHeight="1">
      <c r="A1040" s="4"/>
      <c r="B1040" s="4"/>
      <c r="C1040" s="20"/>
      <c r="D1040" s="4"/>
      <c r="E1040" s="4"/>
      <c r="G1040" s="4"/>
      <c r="H1040" s="4"/>
      <c r="K1040" s="4"/>
      <c r="N1040" s="4" t="s">
        <v>295</v>
      </c>
      <c r="O1040" s="4">
        <v>122</v>
      </c>
    </row>
    <row r="1041" spans="1:15" ht="15.75" customHeight="1">
      <c r="A1041" s="4"/>
      <c r="B1041" s="4"/>
      <c r="C1041" s="20"/>
      <c r="D1041" s="4"/>
      <c r="E1041" s="4"/>
      <c r="G1041" s="4"/>
      <c r="H1041" s="4"/>
      <c r="K1041" s="4"/>
      <c r="N1041" s="4" t="s">
        <v>298</v>
      </c>
      <c r="O1041" s="4">
        <v>140</v>
      </c>
    </row>
    <row r="1042" spans="1:15" ht="15.75" customHeight="1">
      <c r="A1042" s="4"/>
      <c r="B1042" s="4"/>
      <c r="C1042" s="20"/>
      <c r="D1042" s="4"/>
      <c r="E1042" s="4"/>
      <c r="G1042" s="4"/>
      <c r="H1042" s="4"/>
      <c r="K1042" s="4"/>
    </row>
    <row r="1043" spans="1:15" ht="15.75" customHeight="1">
      <c r="A1043" s="4"/>
      <c r="B1043" s="4"/>
      <c r="C1043" s="20"/>
      <c r="D1043" s="4"/>
      <c r="E1043" s="4"/>
      <c r="G1043" s="4"/>
      <c r="H1043" s="4"/>
      <c r="K1043" s="4"/>
      <c r="N1043" s="4" t="s">
        <v>385</v>
      </c>
      <c r="O1043" s="4">
        <v>369</v>
      </c>
    </row>
    <row r="1044" spans="1:15" ht="15.75" customHeight="1">
      <c r="A1044" s="4"/>
      <c r="B1044" s="4"/>
      <c r="C1044" s="20"/>
      <c r="D1044" s="4"/>
      <c r="E1044" s="4"/>
      <c r="G1044" s="4"/>
      <c r="H1044" s="4"/>
      <c r="I1044" s="4"/>
      <c r="K1044" s="4"/>
      <c r="N1044" s="4" t="s">
        <v>388</v>
      </c>
      <c r="O1044" s="4">
        <v>431</v>
      </c>
    </row>
    <row r="1045" spans="1:15" ht="15.75" customHeight="1">
      <c r="A1045" s="4"/>
      <c r="B1045" s="4"/>
      <c r="C1045" s="20"/>
      <c r="D1045" s="4"/>
      <c r="E1045" s="4"/>
      <c r="G1045" s="4"/>
      <c r="H1045" s="4"/>
      <c r="K1045" s="4"/>
      <c r="N1045" s="4" t="s">
        <v>392</v>
      </c>
      <c r="O1045" s="4">
        <v>189</v>
      </c>
    </row>
    <row r="1046" spans="1:15" ht="15.75" customHeight="1">
      <c r="A1046" s="4"/>
      <c r="B1046" s="4"/>
      <c r="C1046" s="20"/>
      <c r="D1046" s="4"/>
      <c r="E1046" s="4"/>
      <c r="G1046" s="4"/>
      <c r="H1046" s="4"/>
      <c r="K1046" s="4"/>
      <c r="N1046" s="4" t="s">
        <v>56</v>
      </c>
      <c r="O1046" s="4">
        <v>248</v>
      </c>
    </row>
    <row r="1047" spans="1:15" ht="15.75" customHeight="1">
      <c r="A1047" s="4"/>
      <c r="B1047" s="4"/>
      <c r="C1047" s="20"/>
      <c r="D1047" s="4"/>
      <c r="E1047" s="4"/>
      <c r="G1047" s="4"/>
      <c r="H1047" s="4"/>
      <c r="K1047" s="4"/>
      <c r="N1047" s="4" t="s">
        <v>397</v>
      </c>
      <c r="O1047" s="4">
        <v>751</v>
      </c>
    </row>
    <row r="1048" spans="1:15" ht="15.75" customHeight="1">
      <c r="A1048" s="4"/>
      <c r="B1048" s="4"/>
      <c r="C1048" s="20"/>
      <c r="D1048" s="4"/>
      <c r="E1048" s="4"/>
      <c r="G1048" s="4"/>
      <c r="H1048" s="4"/>
      <c r="K1048" s="4"/>
      <c r="N1048" s="4" t="s">
        <v>138</v>
      </c>
      <c r="O1048" s="4">
        <v>201</v>
      </c>
    </row>
    <row r="1049" spans="1:15" ht="15.75" customHeight="1">
      <c r="A1049" s="4"/>
      <c r="B1049" s="4"/>
      <c r="C1049" s="20"/>
      <c r="D1049" s="4"/>
      <c r="E1049" s="4"/>
      <c r="G1049" s="4"/>
      <c r="H1049" s="4"/>
      <c r="K1049" s="4"/>
      <c r="N1049" s="4" t="s">
        <v>402</v>
      </c>
      <c r="O1049" s="4">
        <v>285</v>
      </c>
    </row>
    <row r="1050" spans="1:15" ht="15.75" customHeight="1">
      <c r="A1050" s="4"/>
      <c r="B1050" s="4"/>
      <c r="C1050" s="20"/>
      <c r="D1050" s="4"/>
      <c r="E1050" s="4"/>
      <c r="G1050" s="4"/>
      <c r="H1050" s="4"/>
      <c r="K1050" s="4"/>
      <c r="N1050" s="4" t="s">
        <v>405</v>
      </c>
      <c r="O1050" s="4">
        <v>446</v>
      </c>
    </row>
    <row r="1051" spans="1:15" ht="15.75" customHeight="1">
      <c r="A1051" s="4"/>
      <c r="B1051" s="4"/>
      <c r="C1051" s="20"/>
      <c r="D1051" s="4"/>
      <c r="E1051" s="4"/>
      <c r="G1051" s="4"/>
      <c r="H1051" s="4"/>
      <c r="K1051" s="4"/>
      <c r="N1051" s="4" t="s">
        <v>408</v>
      </c>
      <c r="O1051" s="4">
        <v>259</v>
      </c>
    </row>
    <row r="1052" spans="1:15" ht="15.75" customHeight="1">
      <c r="A1052" s="4"/>
      <c r="B1052" s="4"/>
      <c r="C1052" s="20"/>
      <c r="D1052" s="4"/>
      <c r="E1052" s="4"/>
      <c r="G1052" s="4"/>
      <c r="H1052" s="4"/>
      <c r="K1052" s="4"/>
      <c r="N1052" s="4" t="s">
        <v>411</v>
      </c>
      <c r="O1052" s="4">
        <v>95</v>
      </c>
    </row>
    <row r="1053" spans="1:15" ht="15.75" customHeight="1">
      <c r="A1053" s="4"/>
      <c r="B1053" s="4"/>
      <c r="C1053" s="20"/>
      <c r="D1053" s="4"/>
      <c r="E1053" s="4"/>
      <c r="G1053" s="4"/>
      <c r="H1053" s="4"/>
      <c r="K1053" s="4"/>
      <c r="N1053" s="4" t="s">
        <v>56</v>
      </c>
      <c r="O1053" s="4">
        <v>176</v>
      </c>
    </row>
    <row r="1054" spans="1:15" ht="15.75" customHeight="1">
      <c r="A1054" s="4"/>
      <c r="B1054" s="4"/>
      <c r="C1054" s="20"/>
      <c r="D1054" s="4"/>
      <c r="E1054" s="4"/>
      <c r="G1054" s="4"/>
      <c r="H1054" s="4"/>
      <c r="K1054" s="4"/>
      <c r="N1054" s="4" t="s">
        <v>416</v>
      </c>
      <c r="O1054" s="4">
        <v>283</v>
      </c>
    </row>
    <row r="1055" spans="1:15" ht="15.75" customHeight="1">
      <c r="A1055" s="4"/>
      <c r="B1055" s="4"/>
      <c r="C1055" s="20"/>
      <c r="D1055" s="4"/>
      <c r="E1055" s="4"/>
      <c r="G1055" s="4"/>
      <c r="H1055" s="4"/>
      <c r="K1055" s="4"/>
      <c r="N1055" s="4" t="s">
        <v>56</v>
      </c>
      <c r="O1055" s="4">
        <v>249</v>
      </c>
    </row>
    <row r="1056" spans="1:15" ht="15.75" customHeight="1">
      <c r="A1056" s="4"/>
      <c r="B1056" s="4"/>
      <c r="C1056" s="20"/>
      <c r="D1056" s="4"/>
      <c r="E1056" s="4"/>
      <c r="G1056" s="4"/>
      <c r="H1056" s="4"/>
      <c r="K1056" s="4"/>
      <c r="N1056" s="4" t="s">
        <v>421</v>
      </c>
      <c r="O1056" s="4">
        <v>387</v>
      </c>
    </row>
    <row r="1057" spans="1:15" ht="15.75" customHeight="1">
      <c r="A1057" s="4"/>
      <c r="B1057" s="4"/>
      <c r="C1057" s="20"/>
      <c r="D1057" s="4"/>
      <c r="E1057" s="4"/>
      <c r="G1057" s="4"/>
      <c r="H1057" s="4"/>
      <c r="K1057" s="4"/>
      <c r="N1057" s="4" t="s">
        <v>289</v>
      </c>
      <c r="O1057" s="4">
        <v>305</v>
      </c>
    </row>
    <row r="1058" spans="1:15" ht="15.75" customHeight="1">
      <c r="A1058" s="4"/>
      <c r="B1058" s="4"/>
      <c r="C1058" s="20"/>
      <c r="D1058" s="4"/>
      <c r="E1058" s="4"/>
      <c r="G1058" s="4"/>
      <c r="H1058" s="4"/>
      <c r="K1058" s="4"/>
      <c r="N1058" s="4" t="s">
        <v>426</v>
      </c>
      <c r="O1058" s="4">
        <v>155</v>
      </c>
    </row>
    <row r="1059" spans="1:15" ht="15.75" customHeight="1">
      <c r="A1059" s="4"/>
      <c r="B1059" s="4"/>
      <c r="C1059" s="20"/>
      <c r="D1059" s="4"/>
      <c r="E1059" s="4"/>
      <c r="G1059" s="4"/>
      <c r="H1059" s="4"/>
      <c r="K1059" s="4"/>
    </row>
    <row r="1060" spans="1:15" ht="15.75" customHeight="1">
      <c r="A1060" s="4"/>
      <c r="B1060" s="4"/>
      <c r="C1060" s="20"/>
      <c r="D1060" s="4"/>
      <c r="E1060" s="4"/>
      <c r="G1060" s="4"/>
      <c r="H1060" s="4"/>
      <c r="K1060" s="4"/>
      <c r="N1060" s="4" t="s">
        <v>56</v>
      </c>
      <c r="O1060" s="4">
        <v>57</v>
      </c>
    </row>
    <row r="1061" spans="1:15" ht="15.75" customHeight="1">
      <c r="A1061" s="4"/>
      <c r="B1061" s="4"/>
      <c r="C1061" s="20"/>
      <c r="D1061" s="4"/>
      <c r="E1061" s="4"/>
      <c r="G1061" s="4"/>
      <c r="H1061" s="4"/>
      <c r="K1061" s="4"/>
      <c r="N1061" s="4" t="s">
        <v>433</v>
      </c>
      <c r="O1061" s="4">
        <v>160</v>
      </c>
    </row>
    <row r="1062" spans="1:15" ht="15.75" customHeight="1">
      <c r="A1062" s="4"/>
      <c r="B1062" s="4"/>
      <c r="C1062" s="20"/>
      <c r="D1062" s="4"/>
      <c r="E1062" s="4"/>
      <c r="G1062" s="4"/>
      <c r="H1062" s="4"/>
      <c r="K1062" s="4"/>
      <c r="N1062" s="4" t="s">
        <v>56</v>
      </c>
      <c r="O1062" s="4">
        <v>48</v>
      </c>
    </row>
    <row r="1063" spans="1:15" ht="15.75" customHeight="1">
      <c r="A1063" s="4"/>
      <c r="B1063" s="4"/>
      <c r="C1063" s="20"/>
      <c r="D1063" s="4"/>
      <c r="E1063" s="4"/>
      <c r="G1063" s="4"/>
      <c r="H1063" s="4"/>
      <c r="K1063" s="4"/>
      <c r="N1063" s="4" t="s">
        <v>255</v>
      </c>
      <c r="O1063" s="4">
        <v>397</v>
      </c>
    </row>
    <row r="1064" spans="1:15" ht="15.75" customHeight="1">
      <c r="A1064" s="4"/>
      <c r="B1064" s="4"/>
      <c r="C1064" s="20"/>
      <c r="D1064" s="4"/>
      <c r="E1064" s="4"/>
      <c r="G1064" s="4"/>
      <c r="H1064" s="4"/>
      <c r="K1064" s="4"/>
      <c r="N1064" s="4" t="s">
        <v>92</v>
      </c>
      <c r="O1064" s="4">
        <v>91</v>
      </c>
    </row>
    <row r="1065" spans="1:15" ht="15.75" customHeight="1">
      <c r="A1065" s="4"/>
      <c r="B1065" s="4"/>
      <c r="C1065" s="20"/>
      <c r="D1065" s="4"/>
      <c r="E1065" s="4"/>
      <c r="G1065" s="4"/>
      <c r="H1065" s="4"/>
      <c r="K1065" s="4"/>
      <c r="N1065" s="4" t="s">
        <v>475</v>
      </c>
      <c r="O1065" s="4">
        <v>306</v>
      </c>
    </row>
    <row r="1066" spans="1:15" ht="15.75" customHeight="1">
      <c r="A1066" s="4"/>
      <c r="B1066" s="4"/>
      <c r="C1066" s="20"/>
      <c r="D1066" s="4"/>
      <c r="E1066" s="4"/>
      <c r="G1066" s="4"/>
      <c r="H1066" s="4"/>
      <c r="K1066" s="4"/>
      <c r="N1066" s="4" t="s">
        <v>478</v>
      </c>
      <c r="O1066" s="4">
        <v>67</v>
      </c>
    </row>
    <row r="1067" spans="1:15" ht="15.75" customHeight="1">
      <c r="A1067" s="4"/>
      <c r="B1067" s="4"/>
      <c r="C1067" s="20"/>
      <c r="D1067" s="4"/>
      <c r="E1067" s="4"/>
      <c r="G1067" s="4"/>
      <c r="H1067" s="4"/>
      <c r="K1067" s="4"/>
      <c r="N1067" s="4" t="s">
        <v>92</v>
      </c>
      <c r="O1067" s="4">
        <v>190</v>
      </c>
    </row>
    <row r="1068" spans="1:15" ht="15.75" customHeight="1">
      <c r="A1068" s="4"/>
      <c r="B1068" s="4"/>
      <c r="C1068" s="20"/>
      <c r="D1068" s="4"/>
      <c r="E1068" s="4"/>
      <c r="G1068" s="4"/>
      <c r="H1068" s="4"/>
      <c r="K1068" s="4"/>
      <c r="N1068" s="4" t="s">
        <v>483</v>
      </c>
      <c r="O1068" s="4">
        <v>383</v>
      </c>
    </row>
    <row r="1069" spans="1:15" ht="15.75" customHeight="1">
      <c r="A1069" s="4"/>
      <c r="B1069" s="4"/>
      <c r="C1069" s="20"/>
      <c r="D1069" s="4"/>
      <c r="E1069" s="4"/>
      <c r="G1069" s="4"/>
      <c r="H1069" s="4"/>
      <c r="K1069" s="4"/>
      <c r="N1069" s="4" t="s">
        <v>56</v>
      </c>
      <c r="O1069" s="4">
        <v>81</v>
      </c>
    </row>
    <row r="1070" spans="1:15" ht="15.75" customHeight="1">
      <c r="A1070" s="4"/>
      <c r="B1070" s="4"/>
      <c r="C1070" s="20"/>
      <c r="D1070" s="4"/>
      <c r="E1070" s="4"/>
      <c r="G1070" s="4"/>
      <c r="H1070" s="4"/>
      <c r="K1070" s="4"/>
      <c r="N1070" s="4" t="s">
        <v>56</v>
      </c>
      <c r="O1070" s="4">
        <v>61</v>
      </c>
    </row>
    <row r="1071" spans="1:15" ht="15.75" customHeight="1">
      <c r="A1071" s="4"/>
      <c r="B1071" s="4"/>
      <c r="C1071" s="20"/>
      <c r="D1071" s="4"/>
      <c r="E1071" s="4"/>
      <c r="G1071" s="4"/>
      <c r="H1071" s="4"/>
      <c r="K1071" s="4"/>
      <c r="N1071" s="4" t="s">
        <v>56</v>
      </c>
      <c r="O1071" s="4">
        <v>111</v>
      </c>
    </row>
    <row r="1072" spans="1:15" ht="15.75" customHeight="1">
      <c r="A1072" s="4"/>
      <c r="B1072" s="4"/>
      <c r="C1072" s="20"/>
      <c r="D1072" s="4"/>
      <c r="E1072" s="4"/>
      <c r="G1072" s="4"/>
      <c r="H1072" s="4"/>
      <c r="K1072" s="4"/>
    </row>
    <row r="1073" spans="1:15" ht="15.75" customHeight="1">
      <c r="B1073" s="4"/>
      <c r="C1073" s="20"/>
      <c r="D1073" s="4"/>
      <c r="E1073" s="4"/>
      <c r="G1073" s="4"/>
      <c r="H1073" s="4"/>
      <c r="K1073" s="4"/>
      <c r="N1073" s="4" t="s">
        <v>493</v>
      </c>
      <c r="O1073" s="4">
        <v>216</v>
      </c>
    </row>
    <row r="1074" spans="1:15" ht="15.75" customHeight="1">
      <c r="A1074" s="4"/>
      <c r="B1074" s="4"/>
      <c r="C1074" s="20"/>
      <c r="D1074" s="4"/>
      <c r="E1074" s="4"/>
      <c r="G1074" s="4"/>
      <c r="H1074" s="4"/>
      <c r="K1074" s="4"/>
      <c r="N1074" s="4" t="s">
        <v>73</v>
      </c>
      <c r="O1074" s="4">
        <v>576</v>
      </c>
    </row>
    <row r="1075" spans="1:15" ht="15.75" customHeight="1">
      <c r="A1075" s="4"/>
      <c r="B1075" s="4"/>
      <c r="C1075" s="20"/>
      <c r="D1075" s="4"/>
      <c r="E1075" s="4"/>
      <c r="G1075" s="4"/>
      <c r="H1075" s="4"/>
      <c r="K1075" s="4"/>
      <c r="N1075" s="4" t="s">
        <v>73</v>
      </c>
      <c r="O1075" s="4">
        <v>628</v>
      </c>
    </row>
    <row r="1076" spans="1:15" ht="15.75" customHeight="1">
      <c r="A1076" s="4"/>
      <c r="B1076" s="4"/>
      <c r="C1076" s="20"/>
      <c r="D1076" s="4"/>
      <c r="E1076" s="4"/>
      <c r="G1076" s="4"/>
      <c r="H1076" s="4"/>
      <c r="K1076" s="4"/>
      <c r="N1076" s="4" t="s">
        <v>500</v>
      </c>
      <c r="O1076" s="4">
        <v>252</v>
      </c>
    </row>
    <row r="1077" spans="1:15" ht="15.75" customHeight="1">
      <c r="A1077" s="4"/>
      <c r="B1077" s="4"/>
      <c r="C1077" s="20"/>
      <c r="D1077" s="4"/>
      <c r="E1077" s="4"/>
      <c r="G1077" s="4"/>
      <c r="H1077" s="4"/>
      <c r="K1077" s="4"/>
      <c r="N1077" s="4" t="s">
        <v>56</v>
      </c>
      <c r="O1077" s="4">
        <v>288</v>
      </c>
    </row>
    <row r="1078" spans="1:15" ht="15.75" customHeight="1">
      <c r="A1078" s="4"/>
      <c r="B1078" s="4"/>
      <c r="C1078" s="20"/>
      <c r="D1078" s="4"/>
      <c r="E1078" s="4"/>
      <c r="G1078" s="4"/>
      <c r="H1078" s="4"/>
      <c r="K1078" s="4"/>
      <c r="N1078" s="4" t="s">
        <v>505</v>
      </c>
      <c r="O1078" s="4">
        <v>335</v>
      </c>
    </row>
    <row r="1079" spans="1:15" ht="15.75" customHeight="1">
      <c r="A1079" s="4"/>
      <c r="B1079" s="4"/>
      <c r="C1079" s="26"/>
      <c r="D1079" s="4"/>
      <c r="E1079" s="4"/>
      <c r="G1079" s="4"/>
      <c r="H1079" s="4"/>
      <c r="K1079" s="4"/>
      <c r="N1079" s="4" t="s">
        <v>566</v>
      </c>
      <c r="O1079" s="4">
        <v>329</v>
      </c>
    </row>
    <row r="1080" spans="1:15" ht="15.75" customHeight="1">
      <c r="A1080" s="4"/>
      <c r="B1080" s="4"/>
      <c r="C1080" s="20"/>
      <c r="D1080" s="4"/>
      <c r="E1080" s="4"/>
      <c r="G1080" s="4"/>
      <c r="H1080" s="4"/>
      <c r="K1080" s="4"/>
      <c r="N1080" s="4" t="s">
        <v>569</v>
      </c>
      <c r="O1080" s="4">
        <v>56</v>
      </c>
    </row>
    <row r="1081" spans="1:15" ht="15.75" customHeight="1">
      <c r="A1081" s="4"/>
      <c r="B1081" s="4"/>
      <c r="C1081" s="20"/>
      <c r="D1081" s="4"/>
      <c r="E1081" s="4"/>
      <c r="G1081" s="4"/>
      <c r="H1081" s="4"/>
      <c r="I1081" s="4"/>
      <c r="K1081" s="4"/>
      <c r="N1081" s="4" t="s">
        <v>572</v>
      </c>
      <c r="O1081" s="4">
        <v>101</v>
      </c>
    </row>
    <row r="1082" spans="1:15" ht="15.75" customHeight="1">
      <c r="A1082" s="4"/>
      <c r="B1082" s="4"/>
      <c r="C1082" s="26"/>
      <c r="D1082" s="4"/>
      <c r="E1082" s="4"/>
      <c r="G1082" s="4"/>
      <c r="H1082" s="4"/>
      <c r="K1082" s="4"/>
      <c r="N1082" s="4" t="s">
        <v>603</v>
      </c>
      <c r="O1082" s="4">
        <v>343</v>
      </c>
    </row>
    <row r="1083" spans="1:15" ht="15.75" customHeight="1">
      <c r="A1083" s="4"/>
      <c r="B1083" s="4"/>
      <c r="C1083" s="20"/>
      <c r="D1083" s="4"/>
      <c r="E1083" s="4"/>
      <c r="G1083" s="4"/>
      <c r="H1083" s="4"/>
      <c r="K1083" s="4"/>
      <c r="N1083" s="4" t="s">
        <v>606</v>
      </c>
      <c r="O1083" s="4">
        <v>398</v>
      </c>
    </row>
    <row r="1084" spans="1:15" ht="15.75" customHeight="1">
      <c r="A1084" s="4"/>
      <c r="B1084" s="4"/>
      <c r="C1084" s="20"/>
      <c r="D1084" s="4"/>
      <c r="E1084" s="4"/>
      <c r="G1084" s="4"/>
      <c r="H1084" s="4"/>
      <c r="K1084" s="4"/>
      <c r="N1084" s="4" t="s">
        <v>622</v>
      </c>
      <c r="O1084" s="4">
        <v>322</v>
      </c>
    </row>
    <row r="1085" spans="1:15" ht="15.75" customHeight="1">
      <c r="A1085" s="4"/>
      <c r="B1085" s="4"/>
      <c r="C1085" s="20"/>
      <c r="D1085" s="4"/>
      <c r="E1085" s="4"/>
      <c r="G1085" s="4"/>
      <c r="H1085" s="4"/>
      <c r="K1085" s="4"/>
      <c r="N1085" s="4" t="s">
        <v>625</v>
      </c>
      <c r="O1085" s="4">
        <v>217</v>
      </c>
    </row>
    <row r="1086" spans="1:15" ht="15.75" customHeight="1">
      <c r="A1086" s="4"/>
      <c r="B1086" s="4"/>
      <c r="C1086" s="20"/>
      <c r="D1086" s="4"/>
      <c r="E1086" s="4"/>
      <c r="G1086" s="4"/>
      <c r="H1086" s="4"/>
      <c r="K1086" s="4"/>
      <c r="N1086" s="4" t="s">
        <v>92</v>
      </c>
      <c r="O1086" s="4">
        <v>295</v>
      </c>
    </row>
    <row r="1087" spans="1:15" ht="15.75" customHeight="1">
      <c r="A1087" s="4"/>
      <c r="B1087" s="4"/>
      <c r="C1087" s="20"/>
      <c r="D1087" s="4"/>
      <c r="E1087" s="4"/>
      <c r="G1087" s="4"/>
      <c r="H1087" s="4"/>
      <c r="K1087" s="4"/>
      <c r="N1087" s="4" t="s">
        <v>630</v>
      </c>
      <c r="O1087" s="4">
        <v>165</v>
      </c>
    </row>
    <row r="1088" spans="1:15" ht="15.75" customHeight="1">
      <c r="A1088" s="4"/>
      <c r="B1088" s="4"/>
      <c r="C1088" s="20"/>
      <c r="D1088" s="4"/>
      <c r="E1088" s="4"/>
      <c r="G1088" s="4"/>
      <c r="H1088" s="4"/>
      <c r="K1088" s="4"/>
      <c r="N1088" s="4" t="s">
        <v>56</v>
      </c>
      <c r="O1088" s="4">
        <v>92</v>
      </c>
    </row>
    <row r="1089" spans="1:15" ht="15.75" customHeight="1">
      <c r="A1089" s="4"/>
      <c r="B1089" s="4"/>
      <c r="C1089" s="20"/>
      <c r="D1089" s="4"/>
      <c r="E1089" s="4"/>
      <c r="G1089" s="4"/>
      <c r="H1089" s="4"/>
      <c r="K1089" s="4"/>
      <c r="N1089" s="4" t="s">
        <v>56</v>
      </c>
      <c r="O1089" s="4">
        <v>63</v>
      </c>
    </row>
    <row r="1090" spans="1:15" ht="15.75" customHeight="1">
      <c r="A1090" s="4"/>
      <c r="B1090" s="4"/>
      <c r="C1090" s="20"/>
      <c r="D1090" s="4"/>
      <c r="E1090" s="4"/>
      <c r="G1090" s="4"/>
      <c r="H1090" s="4"/>
      <c r="K1090" s="4"/>
      <c r="N1090" s="4" t="s">
        <v>637</v>
      </c>
      <c r="O1090" s="4">
        <v>431</v>
      </c>
    </row>
    <row r="1091" spans="1:15" ht="15.75" customHeight="1">
      <c r="A1091" s="4"/>
      <c r="B1091" s="4"/>
      <c r="C1091" s="20"/>
      <c r="D1091" s="4"/>
      <c r="E1091" s="4"/>
      <c r="G1091" s="4"/>
      <c r="H1091" s="4"/>
      <c r="K1091" s="4"/>
      <c r="N1091" s="4" t="s">
        <v>56</v>
      </c>
      <c r="O1091" s="4">
        <v>654</v>
      </c>
    </row>
    <row r="1092" spans="1:15" ht="15.75" customHeight="1">
      <c r="A1092" s="4"/>
      <c r="B1092" s="4"/>
      <c r="C1092" s="20"/>
      <c r="D1092" s="4"/>
      <c r="E1092" s="4"/>
      <c r="G1092" s="4"/>
      <c r="H1092" s="4"/>
      <c r="K1092" s="4"/>
      <c r="N1092" s="4" t="s">
        <v>642</v>
      </c>
      <c r="O1092" s="4">
        <v>146</v>
      </c>
    </row>
    <row r="1093" spans="1:15" ht="15.75" customHeight="1">
      <c r="A1093" s="4"/>
      <c r="B1093" s="4"/>
      <c r="C1093" s="20"/>
      <c r="D1093" s="4"/>
      <c r="E1093" s="4"/>
      <c r="G1093" s="4"/>
      <c r="H1093" s="4"/>
      <c r="K1093" s="4"/>
      <c r="N1093" s="4" t="s">
        <v>645</v>
      </c>
      <c r="O1093" s="4">
        <v>200</v>
      </c>
    </row>
    <row r="1094" spans="1:15" ht="15.75" customHeight="1">
      <c r="A1094" s="4"/>
      <c r="B1094" s="4"/>
      <c r="C1094" s="20"/>
      <c r="D1094" s="4"/>
      <c r="E1094" s="4"/>
      <c r="G1094" s="4"/>
      <c r="H1094" s="4"/>
      <c r="I1094" s="4"/>
      <c r="K1094" s="4"/>
      <c r="N1094" s="4" t="s">
        <v>648</v>
      </c>
      <c r="O1094" s="4">
        <v>221</v>
      </c>
    </row>
    <row r="1095" spans="1:15" ht="15.75" customHeight="1">
      <c r="A1095" s="4"/>
      <c r="B1095" s="4"/>
      <c r="C1095" s="20"/>
      <c r="D1095" s="4"/>
      <c r="E1095" s="4"/>
      <c r="G1095" s="4"/>
      <c r="H1095" s="4"/>
      <c r="I1095" s="4"/>
      <c r="K1095" s="4"/>
      <c r="N1095" s="4" t="s">
        <v>652</v>
      </c>
      <c r="O1095" s="4">
        <v>288</v>
      </c>
    </row>
    <row r="1096" spans="1:15" ht="15.75" customHeight="1">
      <c r="A1096" s="4"/>
      <c r="B1096" s="4"/>
      <c r="C1096" s="26"/>
      <c r="D1096" s="4"/>
      <c r="E1096" s="4"/>
      <c r="G1096" s="4"/>
      <c r="H1096" s="4"/>
      <c r="K1096" s="4"/>
      <c r="N1096" s="4" t="s">
        <v>656</v>
      </c>
      <c r="O1096" s="4">
        <v>227</v>
      </c>
    </row>
    <row r="1097" spans="1:15" ht="15.75" customHeight="1">
      <c r="A1097" s="4"/>
      <c r="B1097" s="4"/>
      <c r="C1097" s="20"/>
      <c r="D1097" s="4"/>
      <c r="E1097" s="4"/>
      <c r="G1097" s="4"/>
      <c r="H1097" s="4"/>
      <c r="I1097" s="4"/>
      <c r="K1097" s="4"/>
      <c r="N1097" s="4" t="s">
        <v>659</v>
      </c>
      <c r="O1097" s="4">
        <v>276</v>
      </c>
    </row>
    <row r="1098" spans="1:15" ht="15.75" customHeight="1">
      <c r="A1098" s="4"/>
      <c r="B1098" s="4"/>
      <c r="C1098" s="20"/>
      <c r="D1098" s="4"/>
      <c r="E1098" s="4"/>
      <c r="G1098" s="4"/>
      <c r="H1098" s="4"/>
      <c r="K1098" s="4"/>
      <c r="N1098" s="4" t="s">
        <v>663</v>
      </c>
      <c r="O1098" s="4">
        <v>311</v>
      </c>
    </row>
    <row r="1099" spans="1:15" ht="15.75" customHeight="1">
      <c r="A1099" s="4"/>
      <c r="B1099" s="4"/>
      <c r="C1099" s="20"/>
      <c r="D1099" s="4"/>
      <c r="E1099" s="4"/>
      <c r="G1099" s="4"/>
      <c r="H1099" s="4"/>
      <c r="I1099" s="4"/>
      <c r="K1099" s="4"/>
      <c r="N1099" s="4" t="s">
        <v>666</v>
      </c>
      <c r="O1099" s="4">
        <v>243</v>
      </c>
    </row>
    <row r="1100" spans="1:15" ht="15.75" customHeight="1">
      <c r="A1100" s="4"/>
      <c r="B1100" s="4"/>
      <c r="C1100" s="20"/>
      <c r="D1100" s="4"/>
      <c r="E1100" s="4"/>
      <c r="G1100" s="4"/>
      <c r="H1100" s="4"/>
      <c r="K1100" s="4"/>
      <c r="N1100" s="4" t="s">
        <v>670</v>
      </c>
      <c r="O1100" s="4">
        <v>242</v>
      </c>
    </row>
    <row r="1101" spans="1:15" ht="15.75" customHeight="1">
      <c r="A1101" s="4"/>
      <c r="B1101" s="4"/>
      <c r="C1101" s="20"/>
      <c r="D1101" s="4"/>
      <c r="E1101" s="4"/>
      <c r="G1101" s="4"/>
      <c r="H1101" s="4"/>
      <c r="K1101" s="4"/>
    </row>
    <row r="1102" spans="1:15" ht="15.75" customHeight="1">
      <c r="A1102" s="4"/>
      <c r="B1102" s="4"/>
      <c r="C1102" s="20"/>
      <c r="D1102" s="4"/>
      <c r="E1102" s="4"/>
      <c r="G1102" s="4"/>
      <c r="H1102" s="4"/>
      <c r="I1102" s="4"/>
      <c r="K1102" s="4"/>
      <c r="N1102" s="4" t="s">
        <v>893</v>
      </c>
      <c r="O1102" s="4">
        <v>448</v>
      </c>
    </row>
    <row r="1103" spans="1:15" ht="15.75" customHeight="1">
      <c r="A1103" s="4"/>
      <c r="B1103" s="4"/>
      <c r="C1103" s="20"/>
      <c r="D1103" s="4"/>
      <c r="E1103" s="4"/>
      <c r="G1103" s="4"/>
      <c r="H1103" s="4"/>
      <c r="I1103" s="4"/>
      <c r="K1103" s="4"/>
      <c r="N1103" s="4" t="s">
        <v>897</v>
      </c>
      <c r="O1103" s="4">
        <v>419</v>
      </c>
    </row>
    <row r="1104" spans="1:15" ht="15.75" customHeight="1">
      <c r="A1104" s="4"/>
      <c r="B1104" s="4"/>
      <c r="C1104" s="20"/>
      <c r="D1104" s="4"/>
      <c r="E1104" s="4"/>
      <c r="G1104" s="4"/>
      <c r="H1104" s="4"/>
      <c r="K1104" s="4"/>
      <c r="N1104" s="4" t="s">
        <v>901</v>
      </c>
      <c r="O1104" s="4">
        <v>151</v>
      </c>
    </row>
    <row r="1105" spans="1:15" ht="15.75" customHeight="1">
      <c r="A1105" s="4"/>
      <c r="B1105" s="4"/>
      <c r="C1105" s="20"/>
      <c r="D1105" s="4"/>
      <c r="E1105" s="4"/>
      <c r="G1105" s="4"/>
      <c r="H1105" s="4"/>
      <c r="K1105" s="4"/>
      <c r="N1105" s="4" t="s">
        <v>925</v>
      </c>
      <c r="O1105" s="4">
        <v>403</v>
      </c>
    </row>
    <row r="1106" spans="1:15" ht="15.75" customHeight="1">
      <c r="A1106" s="4"/>
      <c r="B1106" s="4"/>
      <c r="C1106" s="20"/>
      <c r="D1106" s="4"/>
      <c r="E1106" s="4"/>
      <c r="G1106" s="4"/>
      <c r="H1106" s="4"/>
      <c r="K1106" s="4"/>
      <c r="N1106" s="4" t="s">
        <v>928</v>
      </c>
      <c r="O1106" s="4">
        <v>220</v>
      </c>
    </row>
    <row r="1107" spans="1:15" ht="15.75" customHeight="1">
      <c r="A1107" s="4"/>
      <c r="B1107" s="4"/>
      <c r="C1107" s="20"/>
      <c r="D1107" s="4"/>
      <c r="E1107" s="4"/>
      <c r="G1107" s="4"/>
      <c r="H1107" s="4"/>
      <c r="K1107" s="4"/>
      <c r="N1107" s="4" t="s">
        <v>928</v>
      </c>
      <c r="O1107" s="4">
        <v>220</v>
      </c>
    </row>
    <row r="1108" spans="1:15" ht="15.75" customHeight="1">
      <c r="A1108" s="4"/>
      <c r="B1108" s="4"/>
      <c r="C1108" s="20"/>
      <c r="D1108" s="4"/>
      <c r="E1108" s="4"/>
      <c r="G1108" s="4"/>
      <c r="H1108" s="4"/>
      <c r="K1108" s="4"/>
      <c r="N1108" s="4" t="s">
        <v>931</v>
      </c>
      <c r="O1108" s="4">
        <v>178</v>
      </c>
    </row>
    <row r="1109" spans="1:15" ht="15.75" customHeight="1">
      <c r="A1109" s="4"/>
      <c r="B1109" s="4"/>
      <c r="C1109" s="20"/>
      <c r="D1109" s="4"/>
      <c r="E1109" s="4"/>
      <c r="G1109" s="4"/>
      <c r="H1109" s="4"/>
      <c r="K1109" s="4"/>
      <c r="N1109" s="4" t="s">
        <v>934</v>
      </c>
      <c r="O1109" s="4">
        <v>86</v>
      </c>
    </row>
    <row r="1110" spans="1:15" ht="15.75" customHeight="1">
      <c r="A1110" s="4"/>
      <c r="B1110" s="4"/>
      <c r="C1110" s="20"/>
      <c r="D1110" s="4"/>
      <c r="E1110" s="4"/>
      <c r="G1110" s="4"/>
      <c r="H1110" s="4"/>
      <c r="K1110" s="4"/>
      <c r="N1110" s="4" t="s">
        <v>937</v>
      </c>
      <c r="O1110" s="4">
        <v>236</v>
      </c>
    </row>
    <row r="1111" spans="1:15" ht="15.75" customHeight="1">
      <c r="A1111" s="4"/>
      <c r="B1111" s="4"/>
      <c r="C1111" s="20"/>
      <c r="D1111" s="4"/>
      <c r="E1111" s="4"/>
      <c r="G1111" s="4"/>
      <c r="H1111" s="4"/>
      <c r="K1111" s="4"/>
      <c r="N1111" s="4" t="s">
        <v>806</v>
      </c>
      <c r="O1111" s="4">
        <v>387</v>
      </c>
    </row>
    <row r="1112" spans="1:15" ht="15.75" customHeight="1">
      <c r="A1112" s="4"/>
      <c r="B1112" s="4"/>
      <c r="C1112" s="20"/>
      <c r="D1112" s="4"/>
      <c r="E1112" s="4"/>
      <c r="G1112" s="4"/>
      <c r="H1112" s="4"/>
      <c r="K1112" s="4"/>
      <c r="N1112" s="4" t="s">
        <v>942</v>
      </c>
      <c r="O1112" s="4">
        <v>113</v>
      </c>
    </row>
    <row r="1113" spans="1:15" ht="15.75" customHeight="1">
      <c r="A1113" s="4"/>
      <c r="B1113" s="4"/>
      <c r="C1113" s="20"/>
      <c r="D1113" s="4"/>
      <c r="E1113" s="4"/>
      <c r="G1113" s="4"/>
      <c r="H1113" s="4"/>
      <c r="K1113" s="4"/>
      <c r="N1113" s="4" t="s">
        <v>945</v>
      </c>
      <c r="O1113" s="4">
        <v>760</v>
      </c>
    </row>
    <row r="1114" spans="1:15" ht="15.75" customHeight="1">
      <c r="A1114" s="4"/>
      <c r="B1114" s="4"/>
      <c r="D1114" s="4"/>
      <c r="E1114" s="4"/>
      <c r="G1114" s="4"/>
      <c r="H1114" s="4"/>
      <c r="I1114" s="4"/>
      <c r="K1114" s="4"/>
      <c r="N1114" s="4" t="s">
        <v>948</v>
      </c>
      <c r="O1114" s="4">
        <v>377</v>
      </c>
    </row>
    <row r="1115" spans="1:15" ht="15.75" customHeight="1">
      <c r="A1115" s="4"/>
      <c r="B1115" s="4"/>
      <c r="C1115" s="20"/>
      <c r="D1115" s="4"/>
      <c r="E1115" s="4"/>
      <c r="G1115" s="4"/>
      <c r="H1115" s="4"/>
      <c r="K1115" s="4"/>
      <c r="N1115" s="4" t="s">
        <v>656</v>
      </c>
      <c r="O1115" s="4">
        <v>220</v>
      </c>
    </row>
    <row r="1116" spans="1:15" ht="15.75" customHeight="1">
      <c r="A1116" s="4"/>
      <c r="B1116" s="4"/>
      <c r="C1116" s="20"/>
      <c r="D1116" s="4"/>
      <c r="E1116" s="4"/>
      <c r="G1116" s="4"/>
      <c r="H1116" s="4"/>
      <c r="K1116" s="4"/>
      <c r="N1116" s="4" t="s">
        <v>954</v>
      </c>
      <c r="O1116" s="4">
        <v>222</v>
      </c>
    </row>
    <row r="1117" spans="1:15" ht="15.75" customHeight="1">
      <c r="A1117" s="4"/>
      <c r="B1117" s="4"/>
      <c r="C1117" s="20"/>
      <c r="D1117" s="4"/>
      <c r="E1117" s="4"/>
      <c r="G1117" s="4"/>
      <c r="H1117" s="4"/>
      <c r="K1117" s="4"/>
      <c r="N1117" s="4" t="s">
        <v>957</v>
      </c>
      <c r="O1117" s="4">
        <v>822</v>
      </c>
    </row>
    <row r="1118" spans="1:15" ht="15.75" customHeight="1">
      <c r="A1118" s="4"/>
      <c r="B1118" s="4"/>
      <c r="C1118" s="20"/>
      <c r="D1118" s="4"/>
      <c r="E1118" s="4"/>
      <c r="G1118" s="4"/>
      <c r="H1118" s="4"/>
      <c r="I1118" s="4"/>
      <c r="K1118" s="4"/>
      <c r="N1118" s="4" t="s">
        <v>960</v>
      </c>
      <c r="O1118" s="4">
        <v>405</v>
      </c>
    </row>
    <row r="1119" spans="1:15" ht="15.75" customHeight="1">
      <c r="A1119" s="4"/>
      <c r="B1119" s="4"/>
      <c r="C1119" s="20"/>
      <c r="D1119" s="4"/>
      <c r="E1119" s="4"/>
      <c r="G1119" s="4"/>
      <c r="H1119" s="4"/>
      <c r="K1119" s="4"/>
      <c r="N1119" s="4" t="s">
        <v>964</v>
      </c>
      <c r="O1119" s="4">
        <v>316</v>
      </c>
    </row>
    <row r="1120" spans="1:15" ht="15.75" customHeight="1">
      <c r="A1120" s="4"/>
      <c r="B1120" s="4"/>
      <c r="C1120" s="20"/>
      <c r="D1120" s="4"/>
      <c r="E1120" s="4"/>
      <c r="G1120" s="4"/>
      <c r="H1120" s="4"/>
      <c r="I1120" s="4"/>
      <c r="K1120" s="4"/>
      <c r="N1120" s="4" t="s">
        <v>967</v>
      </c>
      <c r="O1120" s="4">
        <v>560</v>
      </c>
    </row>
    <row r="1121" spans="1:15" ht="15.75" customHeight="1">
      <c r="A1121" s="4"/>
      <c r="B1121" s="4"/>
      <c r="C1121" s="20"/>
      <c r="D1121" s="4"/>
      <c r="E1121" s="4"/>
      <c r="G1121" s="4"/>
      <c r="H1121" s="4"/>
      <c r="K1121" s="4"/>
      <c r="N1121" s="4" t="s">
        <v>971</v>
      </c>
      <c r="O1121" s="4">
        <v>70</v>
      </c>
    </row>
    <row r="1122" spans="1:15" ht="15.75" customHeight="1">
      <c r="A1122" s="4"/>
      <c r="B1122" s="4"/>
      <c r="C1122" s="20"/>
      <c r="D1122" s="4"/>
      <c r="E1122" s="4"/>
      <c r="G1122" s="4"/>
      <c r="H1122" s="4"/>
      <c r="I1122" s="4"/>
      <c r="K1122" s="4"/>
      <c r="N1122" s="4" t="s">
        <v>995</v>
      </c>
      <c r="O1122" s="4">
        <v>467</v>
      </c>
    </row>
    <row r="1123" spans="1:15" ht="15.75" customHeight="1">
      <c r="A1123" s="4"/>
      <c r="B1123" s="4"/>
      <c r="C1123" s="20"/>
      <c r="D1123" s="4"/>
      <c r="E1123" s="4"/>
      <c r="G1123" s="4"/>
      <c r="H1123" s="4"/>
      <c r="K1123" s="4"/>
      <c r="N1123" s="4" t="s">
        <v>999</v>
      </c>
      <c r="O1123" s="4">
        <v>296</v>
      </c>
    </row>
    <row r="1124" spans="1:15" ht="15.75" customHeight="1">
      <c r="A1124" s="4"/>
      <c r="B1124" s="4"/>
      <c r="C1124" s="20"/>
      <c r="D1124" s="4"/>
      <c r="E1124" s="4"/>
      <c r="G1124" s="4"/>
      <c r="H1124" s="4"/>
      <c r="I1124" s="4"/>
      <c r="K1124" s="4"/>
      <c r="N1124" s="4" t="s">
        <v>1008</v>
      </c>
      <c r="O1124" s="4">
        <v>614</v>
      </c>
    </row>
    <row r="1125" spans="1:15" ht="15.75" customHeight="1">
      <c r="A1125" s="4"/>
      <c r="B1125" s="4"/>
      <c r="C1125" s="20"/>
      <c r="D1125" s="4"/>
      <c r="E1125" s="4"/>
      <c r="G1125" s="4"/>
      <c r="H1125" s="4"/>
      <c r="K1125" s="4"/>
      <c r="N1125" s="4" t="s">
        <v>579</v>
      </c>
      <c r="O1125" s="4">
        <v>389</v>
      </c>
    </row>
    <row r="1126" spans="1:15" ht="15.75" customHeight="1">
      <c r="A1126" s="4"/>
      <c r="B1126" s="4"/>
      <c r="C1126" s="20"/>
      <c r="D1126" s="4"/>
      <c r="E1126" s="4"/>
      <c r="G1126" s="4"/>
      <c r="H1126" s="4"/>
      <c r="I1126" s="4"/>
      <c r="K1126" s="4"/>
      <c r="N1126" s="4" t="s">
        <v>1035</v>
      </c>
      <c r="O1126" s="4">
        <v>347</v>
      </c>
    </row>
    <row r="1127" spans="1:15" ht="15.75" customHeight="1">
      <c r="A1127" s="4"/>
      <c r="B1127" s="4"/>
      <c r="C1127" s="20"/>
      <c r="D1127" s="4"/>
      <c r="E1127" s="4"/>
      <c r="G1127" s="4"/>
      <c r="H1127" s="4"/>
      <c r="I1127" s="4"/>
      <c r="K1127" s="4"/>
      <c r="N1127" s="4" t="s">
        <v>1039</v>
      </c>
      <c r="O1127" s="4">
        <v>84</v>
      </c>
    </row>
    <row r="1128" spans="1:15" ht="15.75" customHeight="1">
      <c r="A1128" s="4"/>
      <c r="B1128" s="4"/>
      <c r="C1128" s="20"/>
      <c r="D1128" s="4"/>
      <c r="E1128" s="4"/>
      <c r="G1128" s="4"/>
      <c r="H1128" s="4"/>
      <c r="I1128" s="4"/>
      <c r="K1128" s="4"/>
      <c r="N1128" s="4" t="s">
        <v>1043</v>
      </c>
      <c r="O1128" s="4">
        <v>89</v>
      </c>
    </row>
    <row r="1129" spans="1:15" ht="15.75" customHeight="1">
      <c r="A1129" s="4"/>
      <c r="B1129" s="4"/>
      <c r="C1129" s="20"/>
      <c r="D1129" s="4"/>
      <c r="E1129" s="4"/>
      <c r="G1129" s="4"/>
      <c r="H1129" s="4"/>
      <c r="K1129" s="4"/>
      <c r="N1129" s="4" t="s">
        <v>56</v>
      </c>
      <c r="O1129" s="4">
        <v>231</v>
      </c>
    </row>
    <row r="1130" spans="1:15" ht="15.75" customHeight="1">
      <c r="A1130" s="4"/>
      <c r="B1130" s="4"/>
      <c r="C1130" s="20"/>
      <c r="D1130" s="4"/>
      <c r="E1130" s="4"/>
      <c r="G1130" s="4"/>
      <c r="H1130" s="4"/>
      <c r="K1130" s="4"/>
      <c r="N1130" s="4" t="s">
        <v>1049</v>
      </c>
      <c r="O1130" s="4">
        <v>560</v>
      </c>
    </row>
    <row r="1131" spans="1:15" ht="15.75" customHeight="1">
      <c r="A1131" s="4"/>
      <c r="B1131" s="4"/>
      <c r="C1131" s="20"/>
      <c r="D1131" s="4"/>
      <c r="E1131" s="4"/>
      <c r="G1131" s="4"/>
      <c r="H1131" s="4"/>
      <c r="K1131" s="4"/>
      <c r="N1131" s="4" t="s">
        <v>56</v>
      </c>
      <c r="O1131" s="4">
        <v>303</v>
      </c>
    </row>
    <row r="1132" spans="1:15" ht="15.75" customHeight="1">
      <c r="A1132" s="4"/>
      <c r="B1132" s="4"/>
      <c r="C1132" s="20"/>
      <c r="D1132" s="4"/>
      <c r="E1132" s="4"/>
      <c r="G1132" s="4"/>
      <c r="H1132" s="4"/>
      <c r="I1132" s="4"/>
      <c r="K1132" s="4"/>
      <c r="N1132" s="4" t="s">
        <v>1054</v>
      </c>
      <c r="O1132" s="4">
        <v>396</v>
      </c>
    </row>
    <row r="1133" spans="1:15" ht="15.75" customHeight="1">
      <c r="A1133" s="4"/>
      <c r="B1133" s="4"/>
      <c r="C1133" s="20"/>
      <c r="D1133" s="4"/>
      <c r="E1133" s="4"/>
      <c r="G1133" s="4"/>
      <c r="H1133" s="4"/>
      <c r="K1133" s="4"/>
      <c r="N1133" s="4" t="s">
        <v>73</v>
      </c>
      <c r="O1133" s="4">
        <v>578</v>
      </c>
    </row>
    <row r="1134" spans="1:15" ht="15.75" customHeight="1">
      <c r="A1134" s="4"/>
      <c r="B1134" s="4"/>
      <c r="C1134" s="20"/>
      <c r="D1134" s="4"/>
      <c r="E1134" s="4"/>
      <c r="G1134" s="4"/>
      <c r="H1134" s="4"/>
      <c r="K1134" s="4"/>
      <c r="N1134" s="4" t="s">
        <v>848</v>
      </c>
      <c r="O1134" s="4">
        <v>248</v>
      </c>
    </row>
    <row r="1135" spans="1:15" ht="15.75" customHeight="1">
      <c r="A1135" s="4"/>
      <c r="B1135" s="4"/>
      <c r="C1135" s="20"/>
      <c r="D1135" s="4"/>
      <c r="E1135" s="4"/>
      <c r="G1135" s="4"/>
      <c r="H1135" s="4"/>
      <c r="I1135" s="4"/>
      <c r="K1135" s="4"/>
      <c r="N1135" s="4" t="s">
        <v>1083</v>
      </c>
      <c r="O1135" s="4">
        <v>602</v>
      </c>
    </row>
    <row r="1136" spans="1:15" ht="15.75" customHeight="1">
      <c r="A1136" s="4"/>
      <c r="B1136" s="4"/>
      <c r="C1136" s="20"/>
      <c r="D1136" s="4"/>
      <c r="E1136" s="4"/>
      <c r="G1136" s="4"/>
      <c r="H1136" s="4"/>
      <c r="K1136" s="4"/>
      <c r="N1136" s="4" t="s">
        <v>1087</v>
      </c>
      <c r="O1136" s="4">
        <v>656</v>
      </c>
    </row>
    <row r="1137" spans="1:15" ht="15.75" customHeight="1">
      <c r="A1137" s="4"/>
      <c r="B1137" s="4"/>
      <c r="C1137" s="20"/>
      <c r="D1137" s="4"/>
      <c r="E1137" s="4"/>
      <c r="G1137" s="4"/>
      <c r="H1137" s="4"/>
      <c r="I1137" s="4"/>
      <c r="K1137" s="4"/>
      <c r="N1137" s="4" t="s">
        <v>1090</v>
      </c>
      <c r="O1137" s="4">
        <v>304</v>
      </c>
    </row>
    <row r="1138" spans="1:15" ht="15.75" customHeight="1">
      <c r="A1138" s="4"/>
      <c r="B1138" s="4"/>
      <c r="C1138" s="20"/>
      <c r="D1138" s="4"/>
      <c r="E1138" s="4"/>
      <c r="G1138" s="4"/>
      <c r="H1138" s="4"/>
      <c r="I1138" s="4"/>
      <c r="K1138" s="4"/>
      <c r="N1138" s="4" t="s">
        <v>1133</v>
      </c>
      <c r="O1138" s="4">
        <v>1098</v>
      </c>
    </row>
    <row r="1139" spans="1:15" ht="15.75" customHeight="1">
      <c r="A1139" s="4"/>
      <c r="B1139" s="4"/>
      <c r="C1139" s="20"/>
      <c r="D1139" s="4"/>
      <c r="E1139" s="4"/>
      <c r="G1139" s="4"/>
      <c r="H1139" s="4"/>
      <c r="I1139" s="4"/>
      <c r="K1139" s="4"/>
      <c r="N1139" s="4" t="s">
        <v>1137</v>
      </c>
      <c r="O1139" s="4">
        <v>319</v>
      </c>
    </row>
    <row r="1140" spans="1:15" ht="15.75" customHeight="1">
      <c r="A1140" s="4"/>
      <c r="B1140" s="4"/>
      <c r="C1140" s="20"/>
      <c r="D1140" s="4"/>
      <c r="E1140" s="4"/>
      <c r="G1140" s="4"/>
      <c r="H1140" s="4"/>
      <c r="I1140" s="4"/>
      <c r="K1140" s="4"/>
      <c r="N1140" s="4" t="s">
        <v>1141</v>
      </c>
      <c r="O1140" s="4">
        <v>588</v>
      </c>
    </row>
    <row r="1141" spans="1:15" ht="15.75" customHeight="1">
      <c r="A1141" s="4"/>
      <c r="B1141" s="4"/>
      <c r="C1141" s="20"/>
      <c r="D1141" s="4"/>
      <c r="E1141" s="4"/>
      <c r="G1141" s="4"/>
      <c r="H1141" s="4"/>
      <c r="K1141" s="4"/>
      <c r="N1141" s="4" t="s">
        <v>1145</v>
      </c>
      <c r="O1141" s="4">
        <v>153</v>
      </c>
    </row>
    <row r="1142" spans="1:15" ht="15.75" customHeight="1">
      <c r="A1142" s="4"/>
      <c r="B1142" s="4"/>
      <c r="C1142" s="20"/>
      <c r="D1142" s="4"/>
      <c r="E1142" s="4"/>
      <c r="G1142" s="4"/>
      <c r="H1142" s="4"/>
      <c r="K1142" s="4"/>
      <c r="N1142" s="4" t="s">
        <v>1157</v>
      </c>
      <c r="O1142" s="4">
        <v>241</v>
      </c>
    </row>
    <row r="1143" spans="1:15" ht="15.75" customHeight="1">
      <c r="A1143" s="4"/>
      <c r="B1143" s="4"/>
      <c r="C1143" s="20"/>
      <c r="D1143" s="4"/>
      <c r="E1143" s="4"/>
      <c r="G1143" s="4"/>
      <c r="H1143" s="4"/>
      <c r="I1143" s="4"/>
      <c r="K1143" s="4"/>
      <c r="N1143" s="4" t="s">
        <v>1160</v>
      </c>
      <c r="O1143" s="4">
        <v>206</v>
      </c>
    </row>
    <row r="1144" spans="1:15" ht="15.75" customHeight="1">
      <c r="A1144" s="4"/>
      <c r="B1144" s="4"/>
      <c r="C1144" s="20"/>
      <c r="D1144" s="4"/>
      <c r="E1144" s="4"/>
      <c r="G1144" s="4"/>
      <c r="H1144" s="4"/>
      <c r="K1144" s="4"/>
      <c r="N1144" s="4" t="s">
        <v>1164</v>
      </c>
      <c r="O1144" s="4">
        <v>247</v>
      </c>
    </row>
    <row r="1145" spans="1:15" ht="15.75" customHeight="1">
      <c r="A1145" s="4"/>
      <c r="B1145" s="4"/>
      <c r="C1145" s="20"/>
      <c r="D1145" s="4"/>
      <c r="E1145" s="4"/>
      <c r="G1145" s="4"/>
      <c r="H1145" s="4"/>
      <c r="K1145" s="4"/>
      <c r="N1145" s="4" t="s">
        <v>1167</v>
      </c>
      <c r="O1145" s="4">
        <v>192</v>
      </c>
    </row>
    <row r="1146" spans="1:15" ht="15.75" customHeight="1">
      <c r="A1146" s="4"/>
      <c r="B1146" s="4"/>
      <c r="C1146" s="20"/>
      <c r="D1146" s="4"/>
      <c r="E1146" s="4"/>
      <c r="G1146" s="4"/>
      <c r="H1146" s="4"/>
      <c r="K1146" s="4"/>
      <c r="N1146" s="4" t="s">
        <v>1170</v>
      </c>
      <c r="O1146" s="4">
        <v>85</v>
      </c>
    </row>
    <row r="1147" spans="1:15" ht="15.75" customHeight="1">
      <c r="A1147" s="4"/>
      <c r="B1147" s="4"/>
      <c r="C1147" s="20"/>
      <c r="D1147" s="4"/>
      <c r="E1147" s="4"/>
      <c r="G1147" s="4"/>
      <c r="H1147" s="4"/>
      <c r="K1147" s="4"/>
      <c r="N1147" s="4" t="s">
        <v>1178</v>
      </c>
      <c r="O1147" s="4">
        <v>206</v>
      </c>
    </row>
    <row r="1148" spans="1:15" ht="15.75" customHeight="1">
      <c r="A1148" s="4"/>
      <c r="B1148" s="4"/>
      <c r="C1148" s="20"/>
      <c r="D1148" s="4"/>
      <c r="E1148" s="4"/>
      <c r="G1148" s="4"/>
      <c r="H1148" s="4"/>
      <c r="I1148" s="4"/>
      <c r="K1148" s="4"/>
      <c r="N1148" s="4" t="s">
        <v>1181</v>
      </c>
      <c r="O1148" s="4">
        <v>221</v>
      </c>
    </row>
    <row r="1149" spans="1:15" ht="15.75" customHeight="1">
      <c r="A1149" s="4"/>
      <c r="B1149" s="4"/>
      <c r="C1149" s="20"/>
      <c r="D1149" s="4"/>
      <c r="E1149" s="4"/>
      <c r="G1149" s="4"/>
      <c r="H1149" s="4"/>
      <c r="I1149" s="4"/>
      <c r="K1149" s="4"/>
      <c r="N1149" s="4" t="s">
        <v>1185</v>
      </c>
      <c r="O1149" s="4">
        <v>439</v>
      </c>
    </row>
    <row r="1150" spans="1:15" ht="15.75" customHeight="1">
      <c r="A1150" s="4"/>
      <c r="B1150" s="4"/>
      <c r="C1150" s="20"/>
      <c r="D1150" s="4"/>
      <c r="E1150" s="4"/>
      <c r="G1150" s="4"/>
      <c r="H1150" s="4"/>
      <c r="I1150" s="4"/>
      <c r="K1150" s="4"/>
      <c r="N1150" s="4" t="s">
        <v>1189</v>
      </c>
      <c r="O1150" s="4">
        <v>435</v>
      </c>
    </row>
    <row r="1151" spans="1:15" ht="15.75" customHeight="1">
      <c r="A1151" s="4"/>
      <c r="B1151" s="4"/>
      <c r="C1151" s="20"/>
      <c r="D1151" s="4"/>
      <c r="E1151" s="4"/>
      <c r="G1151" s="4"/>
      <c r="H1151" s="4"/>
      <c r="K1151" s="4"/>
      <c r="N1151" s="4" t="s">
        <v>1210</v>
      </c>
      <c r="O1151" s="4">
        <v>316</v>
      </c>
    </row>
    <row r="1152" spans="1:15" ht="15.75" customHeight="1">
      <c r="A1152" s="4"/>
      <c r="B1152" s="4"/>
      <c r="C1152" s="20"/>
      <c r="D1152" s="4"/>
      <c r="E1152" s="4"/>
      <c r="G1152" s="4"/>
      <c r="H1152" s="4"/>
      <c r="I1152" s="4"/>
      <c r="K1152" s="4"/>
      <c r="N1152" s="4" t="s">
        <v>1266</v>
      </c>
      <c r="O1152" s="4">
        <v>298</v>
      </c>
    </row>
    <row r="1153" spans="1:15" ht="15.75" customHeight="1">
      <c r="A1153" s="4"/>
      <c r="B1153" s="4"/>
      <c r="C1153" s="20"/>
      <c r="D1153" s="4"/>
      <c r="E1153" s="4"/>
      <c r="G1153" s="4"/>
      <c r="H1153" s="4"/>
      <c r="I1153" s="4"/>
      <c r="K1153" s="4"/>
      <c r="N1153" s="4" t="s">
        <v>1270</v>
      </c>
      <c r="O1153" s="4">
        <v>174</v>
      </c>
    </row>
    <row r="1154" spans="1:15" ht="15.75" customHeight="1">
      <c r="B1154" s="4"/>
      <c r="C1154" s="20"/>
      <c r="D1154" s="4"/>
      <c r="E1154" s="4"/>
      <c r="G1154" s="4"/>
      <c r="H1154" s="4"/>
      <c r="I1154" s="4"/>
      <c r="K1154" s="4"/>
      <c r="N1154" s="4" t="s">
        <v>1274</v>
      </c>
      <c r="O1154" s="4">
        <v>469</v>
      </c>
    </row>
    <row r="1155" spans="1:15" ht="15.75" customHeight="1">
      <c r="A1155" s="4"/>
      <c r="B1155" s="4"/>
      <c r="C1155" s="20"/>
      <c r="D1155" s="4"/>
      <c r="E1155" s="4"/>
      <c r="G1155" s="4"/>
      <c r="H1155" s="4"/>
      <c r="K1155" s="4"/>
      <c r="N1155" s="4" t="s">
        <v>1278</v>
      </c>
      <c r="O1155" s="4">
        <v>292</v>
      </c>
    </row>
    <row r="1156" spans="1:15" ht="15.75" customHeight="1">
      <c r="A1156" s="4"/>
      <c r="B1156" s="4"/>
      <c r="C1156" s="20"/>
      <c r="D1156" s="4"/>
      <c r="E1156" s="4"/>
      <c r="G1156" s="4"/>
      <c r="H1156" s="4"/>
      <c r="I1156" s="4"/>
      <c r="K1156" s="4"/>
      <c r="N1156" s="4" t="s">
        <v>1281</v>
      </c>
      <c r="O1156" s="4">
        <v>207</v>
      </c>
    </row>
    <row r="1157" spans="1:15" ht="15.75" customHeight="1">
      <c r="A1157" s="4"/>
      <c r="B1157" s="4"/>
      <c r="C1157" s="20"/>
      <c r="D1157" s="4"/>
      <c r="E1157" s="4"/>
      <c r="G1157" s="4"/>
      <c r="H1157" s="4"/>
      <c r="K1157" s="4"/>
      <c r="N1157" s="4" t="s">
        <v>1303</v>
      </c>
      <c r="O1157" s="4">
        <v>310</v>
      </c>
    </row>
    <row r="1158" spans="1:15" ht="15.75" customHeight="1">
      <c r="B1158" s="4"/>
      <c r="C1158" s="20"/>
      <c r="D1158" s="4"/>
      <c r="E1158" s="4"/>
      <c r="G1158" s="4"/>
      <c r="H1158" s="4"/>
      <c r="I1158" s="4"/>
      <c r="K1158" s="4"/>
      <c r="N1158" s="4" t="s">
        <v>1306</v>
      </c>
      <c r="O1158" s="4">
        <v>370</v>
      </c>
    </row>
    <row r="1159" spans="1:15" ht="15.75" customHeight="1">
      <c r="A1159" s="4"/>
      <c r="B1159" s="4"/>
      <c r="C1159" s="20"/>
      <c r="D1159" s="4"/>
      <c r="E1159" s="4"/>
      <c r="G1159" s="4"/>
      <c r="H1159" s="4"/>
      <c r="K1159" s="4"/>
      <c r="N1159" s="4" t="s">
        <v>56</v>
      </c>
      <c r="O1159" s="4">
        <v>117</v>
      </c>
    </row>
    <row r="1160" spans="1:15" ht="15.75" customHeight="1">
      <c r="A1160" s="4"/>
      <c r="B1160" s="4"/>
      <c r="C1160" s="20"/>
      <c r="D1160" s="4"/>
      <c r="E1160" s="4"/>
      <c r="G1160" s="4"/>
      <c r="H1160" s="4"/>
      <c r="K1160" s="4"/>
      <c r="N1160" s="4" t="s">
        <v>1312</v>
      </c>
      <c r="O1160" s="4">
        <v>663</v>
      </c>
    </row>
    <row r="1161" spans="1:15" ht="15.75" customHeight="1">
      <c r="A1161" s="4"/>
      <c r="B1161" s="4"/>
      <c r="C1161" s="20"/>
      <c r="D1161" s="4"/>
      <c r="E1161" s="4"/>
      <c r="G1161" s="4"/>
      <c r="H1161" s="4"/>
      <c r="K1161" s="4"/>
      <c r="N1161" s="4" t="s">
        <v>73</v>
      </c>
      <c r="O1161" s="4">
        <v>256</v>
      </c>
    </row>
    <row r="1162" spans="1:15" ht="15.75" customHeight="1">
      <c r="A1162" s="4"/>
      <c r="B1162" s="4"/>
      <c r="C1162" s="20"/>
      <c r="D1162" s="4"/>
      <c r="E1162" s="4"/>
      <c r="G1162" s="4"/>
      <c r="H1162" s="4"/>
      <c r="I1162" s="4"/>
      <c r="K1162" s="4"/>
      <c r="N1162" s="4" t="s">
        <v>1334</v>
      </c>
      <c r="O1162" s="4">
        <v>110</v>
      </c>
    </row>
    <row r="1163" spans="1:15" ht="15.75" customHeight="1">
      <c r="A1163" s="4"/>
      <c r="B1163" s="4"/>
      <c r="C1163" s="20"/>
      <c r="D1163" s="4"/>
      <c r="E1163" s="4"/>
      <c r="G1163" s="4"/>
      <c r="H1163" s="4"/>
      <c r="I1163" s="4"/>
      <c r="K1163" s="4"/>
      <c r="N1163" s="4" t="s">
        <v>1338</v>
      </c>
      <c r="O1163" s="4">
        <v>110</v>
      </c>
    </row>
    <row r="1164" spans="1:15" ht="15.75" customHeight="1">
      <c r="A1164" s="4"/>
      <c r="B1164" s="4"/>
      <c r="C1164" s="20"/>
      <c r="D1164" s="4"/>
      <c r="E1164" s="4"/>
      <c r="G1164" s="4"/>
      <c r="H1164" s="4"/>
      <c r="K1164" s="4"/>
      <c r="N1164" s="4" t="s">
        <v>1400</v>
      </c>
      <c r="O1164" s="4">
        <v>283</v>
      </c>
    </row>
    <row r="1165" spans="1:15" ht="15.75" customHeight="1">
      <c r="B1165" s="4"/>
      <c r="C1165" s="20"/>
      <c r="D1165" s="4"/>
      <c r="E1165" s="4"/>
      <c r="G1165" s="4"/>
      <c r="H1165" s="4"/>
      <c r="K1165" s="4"/>
      <c r="N1165" s="4" t="s">
        <v>1484</v>
      </c>
      <c r="O1165" s="4">
        <v>380</v>
      </c>
    </row>
    <row r="1166" spans="1:15" ht="15.75" customHeight="1">
      <c r="A1166" s="4"/>
      <c r="B1166" s="4"/>
      <c r="C1166" s="20"/>
      <c r="D1166" s="4"/>
      <c r="E1166" s="4"/>
      <c r="G1166" s="4"/>
      <c r="H1166" s="4"/>
      <c r="K1166" s="4"/>
      <c r="N1166" s="4" t="s">
        <v>1560</v>
      </c>
      <c r="O1166" s="4">
        <v>264</v>
      </c>
    </row>
    <row r="1167" spans="1:15" ht="15.75" customHeight="1">
      <c r="A1167" s="4"/>
      <c r="B1167" s="4"/>
      <c r="C1167" s="20"/>
      <c r="D1167" s="4"/>
      <c r="E1167" s="4"/>
      <c r="G1167" s="4"/>
      <c r="H1167" s="4"/>
      <c r="I1167" s="4"/>
      <c r="K1167" s="4"/>
      <c r="N1167" s="4" t="s">
        <v>1575</v>
      </c>
      <c r="O1167" s="4">
        <v>689</v>
      </c>
    </row>
    <row r="1168" spans="1:15" ht="15.75" customHeight="1">
      <c r="A1168" s="4"/>
      <c r="B1168" s="4"/>
      <c r="C1168" s="20"/>
      <c r="D1168" s="4"/>
      <c r="E1168" s="4"/>
      <c r="G1168" s="4"/>
      <c r="H1168" s="4"/>
      <c r="I1168" s="4"/>
      <c r="K1168" s="4"/>
      <c r="N1168" s="4" t="s">
        <v>1579</v>
      </c>
      <c r="O1168" s="4">
        <v>298</v>
      </c>
    </row>
    <row r="1169" spans="1:15" ht="15.75" customHeight="1">
      <c r="A1169" s="4"/>
      <c r="B1169" s="4"/>
      <c r="C1169" s="20"/>
      <c r="D1169" s="4"/>
      <c r="E1169" s="4"/>
      <c r="G1169" s="4"/>
      <c r="H1169" s="4"/>
      <c r="K1169" s="4"/>
      <c r="N1169" s="4" t="s">
        <v>56</v>
      </c>
      <c r="O1169" s="4">
        <v>102</v>
      </c>
    </row>
    <row r="1170" spans="1:15" ht="15.75" customHeight="1">
      <c r="A1170" s="4"/>
      <c r="B1170" s="4"/>
      <c r="C1170" s="20"/>
      <c r="D1170" s="4"/>
      <c r="E1170" s="4"/>
      <c r="G1170" s="4"/>
      <c r="H1170" s="4"/>
      <c r="K1170" s="4"/>
      <c r="N1170" s="4" t="s">
        <v>56</v>
      </c>
      <c r="O1170" s="4">
        <v>103</v>
      </c>
    </row>
    <row r="1171" spans="1:15" ht="15.75" customHeight="1">
      <c r="A1171" s="4"/>
      <c r="B1171" s="4"/>
      <c r="C1171" s="20"/>
      <c r="D1171" s="4"/>
      <c r="E1171" s="4"/>
      <c r="G1171" s="4"/>
      <c r="H1171" s="4"/>
      <c r="I1171" s="4"/>
      <c r="K1171" s="4"/>
      <c r="N1171" s="4" t="s">
        <v>1587</v>
      </c>
      <c r="O1171" s="4">
        <v>259</v>
      </c>
    </row>
    <row r="1172" spans="1:15" ht="15.75" customHeight="1">
      <c r="A1172" s="4"/>
      <c r="B1172" s="4"/>
      <c r="C1172" s="20"/>
      <c r="D1172" s="4"/>
      <c r="E1172" s="4"/>
      <c r="G1172" s="4"/>
      <c r="H1172" s="4"/>
      <c r="I1172" s="4"/>
      <c r="K1172" s="4"/>
      <c r="N1172" s="4" t="s">
        <v>1591</v>
      </c>
      <c r="O1172" s="4">
        <v>300</v>
      </c>
    </row>
    <row r="1173" spans="1:15" ht="15.75" customHeight="1">
      <c r="A1173" s="4"/>
      <c r="B1173" s="4"/>
      <c r="C1173" s="20"/>
      <c r="D1173" s="4"/>
      <c r="E1173" s="4"/>
      <c r="G1173" s="4"/>
      <c r="H1173" s="4"/>
      <c r="K1173" s="4"/>
      <c r="N1173" s="4" t="s">
        <v>51</v>
      </c>
      <c r="O1173" s="4">
        <v>162</v>
      </c>
    </row>
    <row r="1174" spans="1:15" ht="15.75" customHeight="1">
      <c r="A1174" s="4"/>
      <c r="B1174" s="4"/>
      <c r="C1174" s="20"/>
      <c r="D1174" s="4"/>
      <c r="E1174" s="4"/>
      <c r="G1174" s="4"/>
      <c r="H1174" s="4"/>
      <c r="K1174" s="4"/>
      <c r="N1174" s="4" t="s">
        <v>1701</v>
      </c>
      <c r="O1174" s="4">
        <v>267</v>
      </c>
    </row>
    <row r="1175" spans="1:15" ht="15.75" customHeight="1">
      <c r="A1175" s="4"/>
      <c r="B1175" s="4"/>
      <c r="C1175" s="20"/>
      <c r="D1175" s="4"/>
      <c r="E1175" s="4"/>
      <c r="G1175" s="4"/>
      <c r="H1175" s="4"/>
      <c r="I1175" s="4"/>
      <c r="K1175" s="4"/>
      <c r="N1175" s="4" t="s">
        <v>1771</v>
      </c>
      <c r="O1175" s="4">
        <v>97</v>
      </c>
    </row>
    <row r="1176" spans="1:15" ht="15.75" customHeight="1">
      <c r="A1176" s="4"/>
      <c r="B1176" s="4"/>
      <c r="C1176" s="20"/>
      <c r="D1176" s="4"/>
      <c r="E1176" s="4"/>
      <c r="G1176" s="4"/>
      <c r="H1176" s="4"/>
      <c r="I1176" s="4"/>
      <c r="K1176" s="4"/>
      <c r="N1176" s="4" t="s">
        <v>1811</v>
      </c>
      <c r="O1176" s="4">
        <v>262</v>
      </c>
    </row>
    <row r="1177" spans="1:15" ht="15.75" customHeight="1">
      <c r="A1177" s="4"/>
      <c r="B1177" s="4"/>
      <c r="C1177" s="20"/>
      <c r="D1177" s="4"/>
      <c r="E1177" s="4"/>
      <c r="G1177" s="4"/>
      <c r="H1177" s="4"/>
      <c r="K1177" s="4"/>
      <c r="N1177" s="4" t="s">
        <v>1815</v>
      </c>
      <c r="O1177" s="4">
        <v>89</v>
      </c>
    </row>
    <row r="1178" spans="1:15" ht="15.75" customHeight="1">
      <c r="A1178" s="4"/>
      <c r="B1178" s="4"/>
      <c r="C1178" s="20"/>
      <c r="D1178" s="4"/>
      <c r="E1178" s="4"/>
      <c r="G1178" s="4"/>
      <c r="H1178" s="4"/>
      <c r="K1178" s="4"/>
      <c r="N1178" s="4" t="s">
        <v>1818</v>
      </c>
      <c r="O1178" s="4">
        <v>244</v>
      </c>
    </row>
    <row r="1179" spans="1:15" ht="15.75" customHeight="1">
      <c r="A1179" s="4"/>
      <c r="B1179" s="4"/>
      <c r="C1179" s="20"/>
      <c r="D1179" s="4"/>
      <c r="E1179" s="4"/>
      <c r="G1179" s="4"/>
      <c r="H1179" s="4"/>
      <c r="K1179" s="4"/>
      <c r="N1179" s="4" t="s">
        <v>169</v>
      </c>
      <c r="O1179" s="4">
        <v>216</v>
      </c>
    </row>
    <row r="1180" spans="1:15" ht="15.75" customHeight="1">
      <c r="A1180" s="4"/>
      <c r="B1180" s="4"/>
      <c r="C1180" s="20"/>
      <c r="D1180" s="4"/>
      <c r="E1180" s="4"/>
      <c r="G1180" s="4"/>
      <c r="H1180" s="4"/>
      <c r="K1180" s="4"/>
      <c r="N1180" s="4" t="s">
        <v>166</v>
      </c>
      <c r="O1180" s="4">
        <v>464</v>
      </c>
    </row>
    <row r="1181" spans="1:15" ht="15.75" customHeight="1">
      <c r="A1181" s="4"/>
      <c r="B1181" s="4"/>
      <c r="C1181" s="20"/>
      <c r="D1181" s="4"/>
      <c r="E1181" s="4"/>
      <c r="G1181" s="4"/>
      <c r="H1181" s="4"/>
      <c r="K1181" s="4"/>
      <c r="N1181" s="4" t="s">
        <v>1825</v>
      </c>
      <c r="O1181" s="4">
        <v>263</v>
      </c>
    </row>
    <row r="1182" spans="1:15" ht="15.75" customHeight="1">
      <c r="A1182" s="4"/>
      <c r="B1182" s="4"/>
      <c r="C1182" s="20"/>
      <c r="D1182" s="4"/>
      <c r="E1182" s="4"/>
      <c r="G1182" s="4"/>
      <c r="H1182" s="4"/>
      <c r="K1182" s="4"/>
      <c r="N1182" s="4" t="s">
        <v>73</v>
      </c>
      <c r="O1182" s="4">
        <v>597</v>
      </c>
    </row>
    <row r="1183" spans="1:15" ht="15.75" customHeight="1">
      <c r="A1183" s="4"/>
      <c r="B1183" s="4"/>
      <c r="C1183" s="20"/>
      <c r="D1183" s="4"/>
      <c r="E1183" s="4"/>
      <c r="G1183" s="4"/>
      <c r="H1183" s="4"/>
      <c r="K1183" s="4"/>
      <c r="N1183" s="4" t="s">
        <v>73</v>
      </c>
      <c r="O1183" s="4">
        <v>585</v>
      </c>
    </row>
    <row r="1184" spans="1:15" ht="15.75" customHeight="1">
      <c r="A1184" s="4"/>
      <c r="B1184" s="4"/>
      <c r="C1184" s="20"/>
      <c r="D1184" s="4"/>
      <c r="E1184" s="4"/>
      <c r="G1184" s="4"/>
      <c r="H1184" s="4"/>
      <c r="K1184" s="4"/>
      <c r="N1184" s="4" t="s">
        <v>1832</v>
      </c>
      <c r="O1184" s="4">
        <v>73</v>
      </c>
    </row>
    <row r="1185" spans="1:15" ht="15.75" customHeight="1">
      <c r="A1185" s="4"/>
      <c r="B1185" s="4"/>
      <c r="D1185" s="4"/>
      <c r="E1185" s="4"/>
      <c r="G1185" s="4"/>
      <c r="H1185" s="4"/>
      <c r="K1185" s="4"/>
      <c r="N1185" s="4" t="s">
        <v>1835</v>
      </c>
      <c r="O1185" s="4">
        <v>81</v>
      </c>
    </row>
    <row r="1186" spans="1:15" ht="15.75" customHeight="1">
      <c r="A1186" s="4"/>
      <c r="B1186" s="4"/>
      <c r="C1186" s="20"/>
      <c r="D1186" s="4"/>
      <c r="E1186" s="4"/>
      <c r="G1186" s="4"/>
      <c r="H1186" s="4"/>
      <c r="K1186" s="4"/>
      <c r="N1186" s="4" t="s">
        <v>56</v>
      </c>
      <c r="O1186" s="4">
        <v>58</v>
      </c>
    </row>
    <row r="1187" spans="1:15" ht="15.75" customHeight="1">
      <c r="A1187" s="4"/>
      <c r="B1187" s="4"/>
      <c r="C1187" s="20"/>
      <c r="D1187" s="4"/>
      <c r="E1187" s="4"/>
      <c r="G1187" s="4"/>
      <c r="H1187" s="4"/>
      <c r="I1187" s="4"/>
      <c r="K1187" s="4"/>
      <c r="N1187" s="4" t="s">
        <v>1840</v>
      </c>
      <c r="O1187" s="4">
        <v>115</v>
      </c>
    </row>
    <row r="1188" spans="1:15" ht="15.75" customHeight="1">
      <c r="A1188" s="4"/>
      <c r="B1188" s="4"/>
      <c r="C1188" s="20"/>
      <c r="D1188" s="4"/>
      <c r="E1188" s="4"/>
      <c r="G1188" s="4"/>
      <c r="H1188" s="4"/>
      <c r="I1188" s="4"/>
      <c r="K1188" s="4"/>
      <c r="N1188" s="4" t="s">
        <v>1844</v>
      </c>
      <c r="O1188" s="4">
        <v>255</v>
      </c>
    </row>
    <row r="1189" spans="1:15" ht="15.75" customHeight="1">
      <c r="A1189" s="4"/>
      <c r="B1189" s="4"/>
      <c r="C1189" s="20"/>
      <c r="D1189" s="4"/>
      <c r="E1189" s="4"/>
      <c r="G1189" s="4"/>
      <c r="H1189" s="4"/>
      <c r="I1189" s="4"/>
      <c r="K1189" s="4"/>
      <c r="N1189" s="4" t="s">
        <v>1848</v>
      </c>
      <c r="O1189" s="4">
        <v>172</v>
      </c>
    </row>
    <row r="1190" spans="1:15" ht="15.75" customHeight="1">
      <c r="A1190" s="4"/>
      <c r="B1190" s="4"/>
      <c r="C1190" s="20"/>
      <c r="D1190" s="4"/>
      <c r="E1190" s="4"/>
      <c r="G1190" s="4"/>
      <c r="H1190" s="4"/>
      <c r="K1190" s="4"/>
      <c r="N1190" s="4" t="s">
        <v>1852</v>
      </c>
      <c r="O1190" s="4">
        <v>84</v>
      </c>
    </row>
    <row r="1191" spans="1:15" ht="15.75" customHeight="1">
      <c r="A1191" s="4"/>
      <c r="B1191" s="4"/>
      <c r="C1191" s="20"/>
      <c r="D1191" s="4"/>
      <c r="E1191" s="4"/>
      <c r="G1191" s="4"/>
      <c r="H1191" s="4"/>
      <c r="I1191" s="4"/>
      <c r="K1191" s="4"/>
      <c r="N1191" s="4" t="s">
        <v>1855</v>
      </c>
      <c r="O1191" s="4">
        <v>91</v>
      </c>
    </row>
    <row r="1192" spans="1:15" ht="15.75" customHeight="1">
      <c r="A1192" s="4"/>
      <c r="B1192" s="4"/>
      <c r="C1192" s="20"/>
      <c r="D1192" s="4"/>
      <c r="E1192" s="4"/>
      <c r="G1192" s="4"/>
      <c r="H1192" s="4"/>
      <c r="K1192" s="4"/>
      <c r="N1192" s="4" t="s">
        <v>73</v>
      </c>
      <c r="O1192" s="4">
        <v>317</v>
      </c>
    </row>
    <row r="1193" spans="1:15" ht="15.75" customHeight="1">
      <c r="A1193" s="4"/>
      <c r="B1193" s="4"/>
      <c r="C1193" s="20"/>
      <c r="D1193" s="4"/>
      <c r="E1193" s="4"/>
      <c r="G1193" s="4"/>
      <c r="H1193" s="4"/>
      <c r="K1193" s="4"/>
      <c r="N1193" s="4" t="s">
        <v>73</v>
      </c>
      <c r="O1193" s="4">
        <v>340</v>
      </c>
    </row>
    <row r="1194" spans="1:15" ht="15.75" customHeight="1">
      <c r="B1194" s="4"/>
      <c r="C1194" s="20"/>
      <c r="D1194" s="4"/>
      <c r="E1194" s="4"/>
      <c r="G1194" s="4"/>
      <c r="H1194" s="4"/>
      <c r="I1194" s="4"/>
      <c r="K1194" s="4"/>
      <c r="N1194" s="4" t="s">
        <v>1893</v>
      </c>
      <c r="O1194" s="4">
        <v>80</v>
      </c>
    </row>
    <row r="1195" spans="1:15" ht="15.75" customHeight="1">
      <c r="A1195" s="4"/>
      <c r="B1195" s="4"/>
      <c r="C1195" s="20"/>
      <c r="D1195" s="4"/>
      <c r="E1195" s="4"/>
      <c r="G1195" s="4"/>
      <c r="H1195" s="4"/>
      <c r="I1195" s="4"/>
      <c r="K1195" s="4"/>
      <c r="N1195" s="4" t="s">
        <v>1926</v>
      </c>
      <c r="O1195" s="4">
        <v>666</v>
      </c>
    </row>
    <row r="1196" spans="1:15" ht="15.75" customHeight="1">
      <c r="A1196" s="4"/>
      <c r="B1196" s="4"/>
      <c r="C1196" s="4"/>
      <c r="D1196" s="4"/>
      <c r="E1196" s="4"/>
      <c r="G1196" s="4"/>
      <c r="H1196" s="4"/>
      <c r="I1196" s="4"/>
      <c r="K1196" s="4"/>
      <c r="N1196" s="4" t="s">
        <v>1933</v>
      </c>
      <c r="O1196" s="4">
        <v>446</v>
      </c>
    </row>
    <row r="1197" spans="1:15" ht="15.75" customHeight="1">
      <c r="A1197" s="4"/>
      <c r="B1197" s="4"/>
      <c r="C1197" s="4"/>
      <c r="D1197" s="4"/>
      <c r="E1197" s="4"/>
      <c r="G1197" s="4"/>
      <c r="H1197" s="4"/>
      <c r="I1197" s="4"/>
      <c r="K1197" s="4"/>
      <c r="N1197" s="4" t="s">
        <v>1937</v>
      </c>
      <c r="O1197" s="4">
        <v>318</v>
      </c>
    </row>
    <row r="1198" spans="1:15" ht="15.75" customHeight="1">
      <c r="A1198" s="4"/>
      <c r="B1198" s="4"/>
      <c r="C1198" s="4"/>
      <c r="D1198" s="4"/>
      <c r="E1198" s="4"/>
      <c r="G1198" s="4"/>
      <c r="H1198" s="4"/>
      <c r="I1198" s="4"/>
      <c r="K1198" s="4"/>
      <c r="N1198" s="4" t="s">
        <v>1941</v>
      </c>
      <c r="O1198" s="4">
        <v>805</v>
      </c>
    </row>
    <row r="1199" spans="1:15" ht="15.75" customHeight="1">
      <c r="A1199" s="4"/>
      <c r="B1199" s="4"/>
      <c r="C1199" s="4"/>
      <c r="D1199" s="4"/>
      <c r="E1199" s="4"/>
      <c r="G1199" s="4"/>
      <c r="H1199" s="4"/>
      <c r="I1199" s="4"/>
      <c r="K1199" s="4"/>
      <c r="N1199" s="4" t="s">
        <v>1945</v>
      </c>
      <c r="O1199" s="4">
        <v>399</v>
      </c>
    </row>
    <row r="1200" spans="1:15" ht="15.75" customHeight="1">
      <c r="A1200" s="4"/>
      <c r="B1200" s="4"/>
      <c r="C1200" s="4"/>
      <c r="D1200" s="4"/>
      <c r="E1200" s="4"/>
      <c r="G1200" s="4"/>
      <c r="H1200" s="4"/>
      <c r="I1200" s="4"/>
      <c r="K1200" s="4"/>
      <c r="N1200" s="4" t="s">
        <v>1949</v>
      </c>
      <c r="O1200" s="4">
        <v>82</v>
      </c>
    </row>
    <row r="1201" spans="1:15" ht="15.75" customHeight="1">
      <c r="A1201" s="4"/>
      <c r="B1201" s="4"/>
      <c r="C1201" s="4"/>
      <c r="D1201" s="4"/>
      <c r="E1201" s="4"/>
      <c r="G1201" s="4"/>
      <c r="H1201" s="4"/>
      <c r="I1201" s="4"/>
      <c r="K1201" s="4"/>
      <c r="N1201" s="4" t="s">
        <v>1953</v>
      </c>
      <c r="O1201" s="4">
        <v>208</v>
      </c>
    </row>
    <row r="1202" spans="1:15" ht="15.75" customHeight="1">
      <c r="A1202" s="4"/>
      <c r="B1202" s="4"/>
      <c r="C1202" s="4"/>
      <c r="D1202" s="4"/>
      <c r="E1202" s="4"/>
      <c r="G1202" s="4"/>
      <c r="H1202" s="4"/>
      <c r="K1202" s="4"/>
      <c r="N1202" s="4" t="s">
        <v>1957</v>
      </c>
      <c r="O1202" s="4">
        <v>228</v>
      </c>
    </row>
    <row r="1203" spans="1:15" ht="15.75" customHeight="1">
      <c r="A1203" s="4"/>
      <c r="B1203" s="4"/>
      <c r="C1203" s="4"/>
      <c r="D1203" s="4"/>
      <c r="E1203" s="4"/>
      <c r="G1203" s="4"/>
      <c r="H1203" s="4"/>
      <c r="K1203" s="4"/>
      <c r="N1203" s="4" t="s">
        <v>56</v>
      </c>
      <c r="O1203" s="4">
        <v>100</v>
      </c>
    </row>
    <row r="1204" spans="1:15" ht="15.75" customHeight="1">
      <c r="A1204" s="4"/>
      <c r="B1204" s="4"/>
      <c r="C1204" s="4"/>
      <c r="D1204" s="4"/>
      <c r="E1204" s="4"/>
      <c r="G1204" s="4"/>
      <c r="H1204" s="4"/>
      <c r="I1204" s="4"/>
      <c r="K1204" s="4"/>
      <c r="N1204" s="4" t="s">
        <v>1962</v>
      </c>
      <c r="O1204" s="4">
        <v>566</v>
      </c>
    </row>
    <row r="1205" spans="1:15" ht="15.75" customHeight="1">
      <c r="A1205" s="4"/>
      <c r="B1205" s="4"/>
      <c r="C1205" s="4"/>
      <c r="D1205" s="4"/>
      <c r="E1205" s="4"/>
      <c r="G1205" s="4"/>
      <c r="H1205" s="4"/>
      <c r="K1205" s="4"/>
      <c r="N1205" s="4" t="s">
        <v>1966</v>
      </c>
      <c r="O1205" s="4">
        <v>150</v>
      </c>
    </row>
    <row r="1206" spans="1:15" ht="15.75" customHeight="1">
      <c r="A1206" s="4"/>
      <c r="B1206" s="4"/>
      <c r="C1206" s="4"/>
      <c r="D1206" s="4"/>
      <c r="E1206" s="4"/>
      <c r="G1206" s="4"/>
      <c r="H1206" s="4"/>
      <c r="K1206" s="4"/>
      <c r="N1206" s="4" t="s">
        <v>1969</v>
      </c>
      <c r="O1206" s="4">
        <v>276</v>
      </c>
    </row>
    <row r="1207" spans="1:15" ht="15.75" customHeight="1">
      <c r="A1207" s="4"/>
      <c r="B1207" s="4"/>
      <c r="C1207" s="4"/>
      <c r="D1207" s="4"/>
      <c r="E1207" s="4"/>
      <c r="G1207" s="4"/>
      <c r="H1207" s="4"/>
      <c r="K1207" s="4"/>
      <c r="N1207" s="4" t="s">
        <v>1972</v>
      </c>
      <c r="O1207" s="4">
        <v>283</v>
      </c>
    </row>
    <row r="1208" spans="1:15" ht="15.75" customHeight="1">
      <c r="A1208" s="4"/>
      <c r="B1208" s="4"/>
      <c r="C1208" s="4"/>
      <c r="D1208" s="4"/>
      <c r="E1208" s="4"/>
      <c r="G1208" s="4"/>
      <c r="H1208" s="4"/>
      <c r="K1208" s="4"/>
      <c r="N1208" s="4" t="s">
        <v>1975</v>
      </c>
      <c r="O1208" s="4">
        <v>75</v>
      </c>
    </row>
    <row r="1209" spans="1:15" ht="15.75" customHeight="1">
      <c r="A1209" s="4"/>
      <c r="B1209" s="4"/>
      <c r="C1209" s="4"/>
      <c r="D1209" s="4"/>
      <c r="E1209" s="4"/>
      <c r="G1209" s="4"/>
      <c r="H1209" s="4"/>
      <c r="I1209" s="4"/>
      <c r="K1209" s="4"/>
      <c r="N1209" s="4" t="s">
        <v>1978</v>
      </c>
      <c r="O1209" s="4">
        <v>449</v>
      </c>
    </row>
    <row r="1210" spans="1:15" ht="15.75" customHeight="1">
      <c r="A1210" s="4"/>
      <c r="B1210" s="4"/>
      <c r="C1210" s="4"/>
      <c r="D1210" s="4"/>
      <c r="E1210" s="4"/>
      <c r="G1210" s="4"/>
      <c r="H1210" s="4"/>
      <c r="I1210" s="4"/>
      <c r="K1210" s="4"/>
      <c r="N1210" s="4" t="s">
        <v>1982</v>
      </c>
      <c r="O1210" s="4">
        <v>283</v>
      </c>
    </row>
    <row r="1211" spans="1:15" ht="15.75" customHeight="1">
      <c r="A1211" s="4"/>
      <c r="B1211" s="4"/>
      <c r="C1211" s="4"/>
      <c r="D1211" s="4"/>
      <c r="E1211" s="4"/>
      <c r="G1211" s="4"/>
      <c r="H1211" s="4"/>
      <c r="I1211" s="4"/>
      <c r="K1211" s="4"/>
      <c r="N1211" s="4" t="s">
        <v>1986</v>
      </c>
      <c r="O1211" s="4">
        <v>135</v>
      </c>
    </row>
    <row r="1212" spans="1:15" ht="15.75" customHeight="1">
      <c r="A1212" s="4"/>
      <c r="B1212" s="4"/>
      <c r="C1212" s="4"/>
      <c r="D1212" s="4"/>
      <c r="E1212" s="4"/>
      <c r="G1212" s="4"/>
      <c r="H1212" s="4"/>
      <c r="K1212" s="4"/>
      <c r="N1212" s="4" t="s">
        <v>1908</v>
      </c>
      <c r="O1212" s="4">
        <v>153</v>
      </c>
    </row>
    <row r="1213" spans="1:15" ht="15.75" customHeight="1">
      <c r="A1213" s="4"/>
      <c r="B1213" s="4"/>
      <c r="C1213" s="4"/>
      <c r="D1213" s="4"/>
      <c r="E1213" s="4"/>
      <c r="G1213" s="4"/>
      <c r="H1213" s="4"/>
      <c r="I1213" s="4"/>
      <c r="K1213" s="4"/>
      <c r="N1213" s="4" t="s">
        <v>1992</v>
      </c>
      <c r="O1213" s="4">
        <v>187</v>
      </c>
    </row>
    <row r="1214" spans="1:15" ht="15.75" customHeight="1">
      <c r="A1214" s="4"/>
      <c r="B1214" s="4"/>
      <c r="C1214" s="4"/>
      <c r="D1214" s="4"/>
      <c r="E1214" s="4"/>
      <c r="G1214" s="4"/>
      <c r="H1214" s="4"/>
      <c r="K1214" s="4"/>
      <c r="N1214" s="4" t="s">
        <v>1996</v>
      </c>
      <c r="O1214" s="4">
        <v>355</v>
      </c>
    </row>
    <row r="1215" spans="1:15" ht="15.75" customHeight="1">
      <c r="A1215" s="4"/>
      <c r="B1215" s="4"/>
      <c r="C1215" s="4"/>
      <c r="D1215" s="4"/>
      <c r="E1215" s="4"/>
      <c r="G1215" s="4"/>
      <c r="H1215" s="4"/>
      <c r="I1215" s="4"/>
      <c r="K1215" s="4"/>
      <c r="N1215" s="4" t="s">
        <v>1999</v>
      </c>
      <c r="O1215" s="4">
        <v>96</v>
      </c>
    </row>
    <row r="1216" spans="1:15" ht="15.75" customHeight="1">
      <c r="A1216" s="4"/>
      <c r="B1216" s="4"/>
      <c r="C1216" s="4"/>
      <c r="D1216" s="4"/>
      <c r="E1216" s="4"/>
      <c r="G1216" s="4"/>
      <c r="H1216" s="4"/>
      <c r="K1216" s="4"/>
      <c r="N1216" s="4" t="s">
        <v>2003</v>
      </c>
      <c r="O1216" s="4">
        <v>116</v>
      </c>
    </row>
    <row r="1217" spans="1:15" ht="15.75" customHeight="1">
      <c r="A1217" s="4"/>
      <c r="B1217" s="4"/>
      <c r="C1217" s="4"/>
      <c r="D1217" s="4"/>
      <c r="E1217" s="4"/>
      <c r="G1217" s="4"/>
      <c r="H1217" s="4"/>
      <c r="I1217" s="4"/>
      <c r="K1217" s="4"/>
      <c r="N1217" s="4" t="s">
        <v>2006</v>
      </c>
      <c r="O1217" s="4">
        <v>103</v>
      </c>
    </row>
    <row r="1218" spans="1:15" ht="15.75" customHeight="1">
      <c r="A1218" s="4"/>
      <c r="B1218" s="4"/>
      <c r="C1218" s="4"/>
      <c r="D1218" s="4"/>
      <c r="E1218" s="4"/>
      <c r="G1218" s="4"/>
      <c r="H1218" s="4"/>
      <c r="K1218" s="4"/>
      <c r="N1218" s="4" t="s">
        <v>56</v>
      </c>
      <c r="O1218" s="4">
        <v>66</v>
      </c>
    </row>
    <row r="1219" spans="1:15" ht="15.75" customHeight="1">
      <c r="A1219" s="4"/>
      <c r="B1219" s="4"/>
      <c r="C1219" s="4"/>
      <c r="D1219" s="4"/>
      <c r="E1219" s="4"/>
      <c r="G1219" s="4"/>
      <c r="H1219" s="4"/>
      <c r="K1219" s="4"/>
      <c r="N1219" s="4" t="s">
        <v>803</v>
      </c>
      <c r="O1219" s="4">
        <v>414</v>
      </c>
    </row>
    <row r="1220" spans="1:15" ht="15.75" customHeight="1">
      <c r="A1220" s="4"/>
      <c r="B1220" s="4"/>
      <c r="C1220" s="4"/>
      <c r="D1220" s="4"/>
      <c r="E1220" s="4"/>
      <c r="G1220" s="4"/>
      <c r="H1220" s="4"/>
      <c r="K1220" s="4"/>
      <c r="N1220" s="4" t="s">
        <v>56</v>
      </c>
      <c r="O1220" s="4">
        <v>40</v>
      </c>
    </row>
    <row r="1221" spans="1:15" ht="15.75" customHeight="1">
      <c r="A1221" s="4"/>
      <c r="B1221" s="4"/>
      <c r="C1221" s="4"/>
      <c r="D1221" s="4"/>
      <c r="E1221" s="4"/>
      <c r="G1221" s="4"/>
      <c r="H1221" s="4"/>
      <c r="K1221" s="4"/>
    </row>
    <row r="1222" spans="1:15" ht="15.75" customHeight="1">
      <c r="A1222" s="4"/>
      <c r="B1222" s="4"/>
      <c r="C1222" s="4"/>
      <c r="D1222" s="4"/>
      <c r="E1222" s="4"/>
      <c r="G1222" s="4"/>
      <c r="H1222" s="4"/>
      <c r="K1222" s="4"/>
    </row>
    <row r="1223" spans="1:15" ht="15.75" customHeight="1">
      <c r="A1223" s="4"/>
      <c r="B1223" s="4"/>
      <c r="C1223" s="4"/>
      <c r="D1223" s="4"/>
      <c r="E1223" s="4"/>
      <c r="G1223" s="4"/>
      <c r="H1223" s="4"/>
      <c r="K1223" s="4"/>
      <c r="N1223" s="4" t="s">
        <v>2018</v>
      </c>
      <c r="O1223" s="4">
        <v>797</v>
      </c>
    </row>
    <row r="1224" spans="1:15" ht="15.75" customHeight="1">
      <c r="A1224" s="4"/>
      <c r="B1224" s="4"/>
      <c r="C1224" s="4"/>
      <c r="D1224" s="4"/>
      <c r="E1224" s="4"/>
      <c r="G1224" s="4"/>
      <c r="H1224" s="4"/>
      <c r="I1224" s="4"/>
      <c r="K1224" s="4"/>
      <c r="N1224" s="4" t="s">
        <v>2021</v>
      </c>
      <c r="O1224" s="4">
        <v>446</v>
      </c>
    </row>
    <row r="1225" spans="1:15" ht="15.75" customHeight="1">
      <c r="A1225" s="4"/>
      <c r="B1225" s="4"/>
      <c r="C1225" s="4"/>
      <c r="D1225" s="4"/>
      <c r="E1225" s="4"/>
      <c r="G1225" s="4"/>
      <c r="H1225" s="4"/>
      <c r="K1225" s="4"/>
      <c r="N1225" s="4" t="s">
        <v>743</v>
      </c>
      <c r="O1225" s="4">
        <v>120</v>
      </c>
    </row>
    <row r="1226" spans="1:15" ht="15.75" customHeight="1">
      <c r="A1226" s="4"/>
      <c r="B1226" s="4"/>
      <c r="C1226" s="4"/>
      <c r="D1226" s="4"/>
      <c r="E1226" s="4"/>
      <c r="G1226" s="4"/>
      <c r="H1226" s="4"/>
      <c r="K1226" s="4"/>
      <c r="N1226" s="4" t="s">
        <v>2027</v>
      </c>
      <c r="O1226" s="4">
        <v>696</v>
      </c>
    </row>
    <row r="1227" spans="1:15" ht="15.75" customHeight="1">
      <c r="A1227" s="4"/>
      <c r="B1227" s="4"/>
      <c r="C1227" s="4"/>
      <c r="D1227" s="4"/>
      <c r="E1227" s="4"/>
      <c r="G1227" s="4"/>
      <c r="H1227" s="4"/>
      <c r="K1227" s="4"/>
      <c r="N1227" s="4" t="s">
        <v>2030</v>
      </c>
      <c r="O1227" s="4">
        <v>418</v>
      </c>
    </row>
    <row r="1228" spans="1:15" ht="15.75" customHeight="1">
      <c r="A1228" s="4"/>
      <c r="B1228" s="4"/>
      <c r="C1228" s="4"/>
      <c r="D1228" s="4"/>
      <c r="E1228" s="4"/>
      <c r="G1228" s="4"/>
      <c r="H1228" s="4"/>
      <c r="I1228" s="4"/>
      <c r="K1228" s="4"/>
      <c r="N1228" s="4" t="s">
        <v>2033</v>
      </c>
      <c r="O1228" s="4">
        <v>309</v>
      </c>
    </row>
    <row r="1229" spans="1:15" ht="15.75" customHeight="1">
      <c r="B1229" s="4"/>
      <c r="C1229" s="4"/>
      <c r="D1229" s="4"/>
      <c r="E1229" s="4"/>
      <c r="G1229" s="4"/>
      <c r="H1229" s="4"/>
      <c r="K1229" s="4"/>
      <c r="N1229" s="4" t="s">
        <v>2037</v>
      </c>
      <c r="O1229" s="4">
        <v>59</v>
      </c>
    </row>
    <row r="1230" spans="1:15" ht="15.75" customHeight="1">
      <c r="A1230" s="4"/>
      <c r="B1230" s="4"/>
      <c r="C1230" s="4"/>
      <c r="D1230" s="4"/>
      <c r="E1230" s="4"/>
      <c r="G1230" s="4"/>
      <c r="H1230" s="4"/>
      <c r="K1230" s="4"/>
      <c r="N1230" s="4" t="s">
        <v>2040</v>
      </c>
      <c r="O1230" s="4">
        <v>135</v>
      </c>
    </row>
    <row r="1231" spans="1:15" ht="15.75" customHeight="1">
      <c r="A1231" s="4"/>
      <c r="B1231" s="4"/>
      <c r="C1231" s="4"/>
      <c r="D1231" s="4"/>
      <c r="E1231" s="4"/>
      <c r="G1231" s="4"/>
      <c r="H1231" s="4"/>
      <c r="K1231" s="4"/>
      <c r="N1231" s="4" t="s">
        <v>2043</v>
      </c>
      <c r="O1231" s="4">
        <v>320</v>
      </c>
    </row>
    <row r="1232" spans="1:15" ht="15.75" customHeight="1">
      <c r="A1232" s="4"/>
      <c r="B1232" s="4"/>
      <c r="C1232" s="4"/>
      <c r="D1232" s="4"/>
      <c r="E1232" s="4"/>
      <c r="G1232" s="4"/>
      <c r="H1232" s="4"/>
      <c r="K1232" s="4"/>
      <c r="N1232" s="4" t="s">
        <v>2046</v>
      </c>
      <c r="O1232" s="4">
        <v>84</v>
      </c>
    </row>
    <row r="1233" spans="1:15" ht="15.75" customHeight="1">
      <c r="A1233" s="4"/>
      <c r="B1233" s="4"/>
      <c r="C1233" s="4"/>
      <c r="D1233" s="4"/>
      <c r="E1233" s="4"/>
      <c r="G1233" s="4"/>
      <c r="H1233" s="4"/>
      <c r="K1233" s="4"/>
      <c r="N1233" s="4" t="s">
        <v>2049</v>
      </c>
      <c r="O1233" s="4">
        <v>227</v>
      </c>
    </row>
    <row r="1234" spans="1:15" ht="15.75" customHeight="1">
      <c r="A1234" s="4"/>
      <c r="B1234" s="4"/>
      <c r="C1234" s="4"/>
      <c r="D1234" s="4"/>
      <c r="E1234" s="4"/>
      <c r="G1234" s="4"/>
      <c r="H1234" s="4"/>
      <c r="K1234" s="4"/>
      <c r="N1234" s="4" t="s">
        <v>2052</v>
      </c>
      <c r="O1234" s="4">
        <v>708</v>
      </c>
    </row>
    <row r="1235" spans="1:15" ht="15.75" customHeight="1">
      <c r="A1235" s="4"/>
      <c r="B1235" s="4"/>
      <c r="C1235" s="4"/>
      <c r="D1235" s="4"/>
      <c r="E1235" s="4"/>
      <c r="G1235" s="4"/>
      <c r="H1235" s="4"/>
      <c r="K1235" s="4"/>
      <c r="N1235" s="4" t="s">
        <v>354</v>
      </c>
      <c r="O1235" s="4">
        <v>868</v>
      </c>
    </row>
    <row r="1236" spans="1:15" ht="15.75" customHeight="1">
      <c r="A1236" s="4"/>
      <c r="B1236" s="4"/>
      <c r="C1236" s="4"/>
      <c r="D1236" s="4"/>
      <c r="E1236" s="4"/>
      <c r="G1236" s="4"/>
      <c r="H1236" s="4"/>
      <c r="K1236" s="4"/>
      <c r="N1236" s="4" t="s">
        <v>2057</v>
      </c>
      <c r="O1236" s="4">
        <v>99</v>
      </c>
    </row>
    <row r="1237" spans="1:15" ht="15.75" customHeight="1">
      <c r="A1237" s="4"/>
      <c r="B1237" s="4"/>
      <c r="C1237" s="4"/>
      <c r="D1237" s="4"/>
      <c r="E1237" s="4"/>
      <c r="G1237" s="4"/>
      <c r="H1237" s="4"/>
      <c r="K1237" s="4"/>
      <c r="N1237" s="4" t="s">
        <v>194</v>
      </c>
      <c r="O1237" s="4">
        <v>221</v>
      </c>
    </row>
    <row r="1238" spans="1:15" ht="15.75" customHeight="1">
      <c r="A1238" s="4"/>
      <c r="B1238" s="4"/>
      <c r="C1238" s="4"/>
      <c r="D1238" s="4"/>
      <c r="E1238" s="4"/>
      <c r="G1238" s="4"/>
      <c r="H1238" s="4"/>
      <c r="K1238" s="4"/>
      <c r="N1238" s="4" t="s">
        <v>714</v>
      </c>
      <c r="O1238" s="4">
        <v>354</v>
      </c>
    </row>
    <row r="1239" spans="1:15" ht="15.75" customHeight="1">
      <c r="A1239" s="4"/>
      <c r="B1239" s="4"/>
      <c r="C1239" s="4"/>
      <c r="D1239" s="4"/>
      <c r="E1239" s="4"/>
      <c r="G1239" s="4"/>
      <c r="H1239" s="4"/>
      <c r="I1239" s="4"/>
      <c r="K1239" s="4"/>
      <c r="N1239" s="4" t="s">
        <v>2064</v>
      </c>
      <c r="O1239" s="4">
        <v>234</v>
      </c>
    </row>
    <row r="1240" spans="1:15" ht="15.75" customHeight="1">
      <c r="A1240" s="4"/>
      <c r="B1240" s="4"/>
      <c r="C1240" s="4"/>
      <c r="D1240" s="4"/>
      <c r="E1240" s="4"/>
      <c r="G1240" s="4"/>
      <c r="H1240" s="4"/>
      <c r="I1240" s="4"/>
      <c r="K1240" s="4"/>
      <c r="N1240" s="4" t="s">
        <v>2068</v>
      </c>
      <c r="O1240" s="4">
        <v>156</v>
      </c>
    </row>
    <row r="1241" spans="1:15" ht="15.75" customHeight="1">
      <c r="A1241" s="4"/>
      <c r="B1241" s="4"/>
      <c r="C1241" s="4"/>
      <c r="D1241" s="4"/>
      <c r="E1241" s="4"/>
      <c r="G1241" s="4"/>
      <c r="H1241" s="4"/>
      <c r="I1241" s="4"/>
      <c r="K1241" s="4"/>
      <c r="N1241" s="4" t="s">
        <v>2072</v>
      </c>
      <c r="O1241" s="4">
        <v>212</v>
      </c>
    </row>
    <row r="1242" spans="1:15" ht="15.75" customHeight="1">
      <c r="A1242" s="4"/>
      <c r="B1242" s="4"/>
      <c r="C1242" s="4"/>
      <c r="D1242" s="4"/>
      <c r="E1242" s="4"/>
      <c r="G1242" s="4"/>
      <c r="H1242" s="4"/>
      <c r="I1242" s="4"/>
      <c r="K1242" s="4"/>
      <c r="N1242" s="4" t="s">
        <v>2076</v>
      </c>
      <c r="O1242" s="4">
        <v>383</v>
      </c>
    </row>
    <row r="1243" spans="1:15" ht="15.75" customHeight="1">
      <c r="A1243" s="4"/>
      <c r="B1243" s="4"/>
      <c r="C1243" s="4"/>
      <c r="D1243" s="4"/>
      <c r="E1243" s="4"/>
      <c r="G1243" s="4"/>
      <c r="H1243" s="4"/>
      <c r="I1243" s="4"/>
      <c r="K1243" s="4"/>
      <c r="N1243" s="4" t="s">
        <v>2080</v>
      </c>
      <c r="O1243" s="4">
        <v>803</v>
      </c>
    </row>
    <row r="1244" spans="1:15" ht="15.75" customHeight="1">
      <c r="A1244" s="4"/>
      <c r="B1244" s="4"/>
      <c r="C1244" s="4"/>
      <c r="D1244" s="4"/>
      <c r="E1244" s="4"/>
      <c r="G1244" s="4"/>
      <c r="H1244" s="4"/>
      <c r="I1244" s="4"/>
      <c r="K1244" s="4"/>
      <c r="N1244" s="4" t="s">
        <v>2084</v>
      </c>
      <c r="O1244" s="4">
        <v>348</v>
      </c>
    </row>
    <row r="1245" spans="1:15" ht="15.75" customHeight="1">
      <c r="A1245" s="4"/>
      <c r="B1245" s="4"/>
      <c r="C1245" s="4"/>
      <c r="D1245" s="4"/>
      <c r="E1245" s="4"/>
      <c r="G1245" s="4"/>
      <c r="H1245" s="4"/>
      <c r="K1245" s="4"/>
      <c r="N1245" s="4" t="s">
        <v>92</v>
      </c>
      <c r="O1245" s="4">
        <v>124</v>
      </c>
    </row>
    <row r="1246" spans="1:15" ht="15.75" customHeight="1">
      <c r="A1246" s="4"/>
      <c r="B1246" s="4"/>
      <c r="C1246" s="4"/>
      <c r="D1246" s="4"/>
      <c r="E1246" s="4"/>
      <c r="G1246" s="4"/>
      <c r="H1246" s="4"/>
      <c r="K1246" s="4"/>
      <c r="N1246" s="4" t="s">
        <v>2090</v>
      </c>
      <c r="O1246" s="4">
        <v>167</v>
      </c>
    </row>
    <row r="1247" spans="1:15" ht="15.75" customHeight="1">
      <c r="A1247" s="4"/>
      <c r="B1247" s="4"/>
      <c r="C1247" s="4"/>
      <c r="D1247" s="4"/>
      <c r="E1247" s="4"/>
      <c r="G1247" s="4"/>
      <c r="H1247" s="4"/>
      <c r="K1247" s="4"/>
      <c r="N1247" s="4" t="s">
        <v>2093</v>
      </c>
      <c r="O1247" s="4">
        <v>253</v>
      </c>
    </row>
    <row r="1248" spans="1:15" ht="15.75" customHeight="1">
      <c r="A1248" s="4"/>
      <c r="B1248" s="4"/>
      <c r="C1248" s="4"/>
      <c r="D1248" s="4"/>
      <c r="E1248" s="4"/>
      <c r="G1248" s="4"/>
      <c r="H1248" s="4"/>
      <c r="K1248" s="4"/>
      <c r="N1248" s="4" t="s">
        <v>2096</v>
      </c>
      <c r="O1248" s="4">
        <v>93</v>
      </c>
    </row>
    <row r="1249" spans="1:15" ht="15.75" customHeight="1">
      <c r="A1249" s="4"/>
      <c r="B1249" s="4"/>
      <c r="C1249" s="4"/>
      <c r="D1249" s="4"/>
      <c r="E1249" s="4"/>
      <c r="G1249" s="4"/>
      <c r="H1249" s="4"/>
      <c r="I1249" s="4"/>
      <c r="K1249" s="4"/>
      <c r="N1249" s="4" t="s">
        <v>2099</v>
      </c>
      <c r="O1249" s="4">
        <v>332</v>
      </c>
    </row>
    <row r="1250" spans="1:15" ht="15.75" customHeight="1">
      <c r="A1250" s="4"/>
      <c r="B1250" s="4"/>
      <c r="C1250" s="4"/>
      <c r="D1250" s="4"/>
      <c r="E1250" s="4"/>
      <c r="G1250" s="4"/>
      <c r="H1250" s="4"/>
      <c r="K1250" s="4"/>
      <c r="N1250" s="4" t="s">
        <v>2103</v>
      </c>
      <c r="O1250" s="4">
        <v>528</v>
      </c>
    </row>
    <row r="1251" spans="1:15" ht="15.75" customHeight="1">
      <c r="A1251" s="4"/>
      <c r="B1251" s="4"/>
      <c r="C1251" s="4"/>
      <c r="D1251" s="4"/>
      <c r="E1251" s="4"/>
      <c r="G1251" s="4"/>
      <c r="H1251" s="4"/>
      <c r="K1251" s="4"/>
      <c r="N1251" s="4" t="s">
        <v>194</v>
      </c>
      <c r="O1251" s="4">
        <v>228</v>
      </c>
    </row>
    <row r="1252" spans="1:15" ht="15.75" customHeight="1">
      <c r="A1252" s="4"/>
      <c r="B1252" s="4"/>
      <c r="C1252" s="4"/>
      <c r="D1252" s="4"/>
      <c r="E1252" s="4"/>
      <c r="G1252" s="4"/>
      <c r="H1252" s="4"/>
      <c r="I1252" s="4"/>
      <c r="K1252" s="4"/>
      <c r="N1252" s="4" t="s">
        <v>2108</v>
      </c>
      <c r="O1252" s="4">
        <v>472</v>
      </c>
    </row>
    <row r="1253" spans="1:15" ht="15.75" customHeight="1">
      <c r="A1253" s="4"/>
      <c r="B1253" s="4"/>
      <c r="C1253" s="4"/>
      <c r="D1253" s="4"/>
      <c r="E1253" s="4"/>
      <c r="G1253" s="4"/>
      <c r="H1253" s="4"/>
      <c r="K1253" s="4"/>
      <c r="N1253" s="4" t="s">
        <v>2112</v>
      </c>
      <c r="O1253" s="4">
        <v>82</v>
      </c>
    </row>
    <row r="1254" spans="1:15" ht="15.75" customHeight="1">
      <c r="A1254" s="4"/>
      <c r="B1254" s="4"/>
      <c r="C1254" s="4"/>
      <c r="D1254" s="4"/>
      <c r="E1254" s="4"/>
      <c r="G1254" s="4"/>
      <c r="H1254" s="4"/>
      <c r="K1254" s="4"/>
      <c r="N1254" s="4" t="s">
        <v>2115</v>
      </c>
      <c r="O1254" s="4">
        <v>182</v>
      </c>
    </row>
    <row r="1255" spans="1:15" ht="15.75" customHeight="1">
      <c r="A1255" s="4"/>
      <c r="B1255" s="4"/>
      <c r="C1255" s="4"/>
      <c r="D1255" s="4"/>
      <c r="E1255" s="4"/>
      <c r="G1255" s="4"/>
      <c r="H1255" s="4"/>
      <c r="K1255" s="4"/>
      <c r="N1255" s="4" t="s">
        <v>2118</v>
      </c>
      <c r="O1255" s="4">
        <v>378</v>
      </c>
    </row>
    <row r="1256" spans="1:15" ht="15.75" customHeight="1">
      <c r="A1256" s="4"/>
      <c r="B1256" s="4"/>
      <c r="C1256" s="4"/>
      <c r="D1256" s="4"/>
      <c r="E1256" s="4"/>
      <c r="G1256" s="4"/>
      <c r="H1256" s="4"/>
      <c r="K1256" s="4"/>
      <c r="N1256" s="4" t="s">
        <v>161</v>
      </c>
      <c r="O1256" s="4">
        <v>245</v>
      </c>
    </row>
    <row r="1257" spans="1:15" ht="15.75" customHeight="1">
      <c r="A1257" s="4"/>
      <c r="B1257" s="4"/>
      <c r="C1257" s="4"/>
      <c r="D1257" s="4"/>
      <c r="E1257" s="4"/>
      <c r="G1257" s="4"/>
      <c r="H1257" s="4"/>
      <c r="I1257" s="4"/>
      <c r="K1257" s="4"/>
      <c r="N1257" s="4" t="s">
        <v>2123</v>
      </c>
      <c r="O1257" s="4">
        <v>119</v>
      </c>
    </row>
    <row r="1258" spans="1:15" ht="15.75" customHeight="1">
      <c r="A1258" s="4"/>
      <c r="B1258" s="4"/>
      <c r="C1258" s="4"/>
      <c r="D1258" s="4"/>
      <c r="E1258" s="4"/>
      <c r="G1258" s="4"/>
      <c r="H1258" s="4"/>
      <c r="I1258" s="4"/>
      <c r="K1258" s="4"/>
      <c r="N1258" s="4" t="s">
        <v>2127</v>
      </c>
      <c r="O1258" s="4">
        <v>199</v>
      </c>
    </row>
    <row r="1259" spans="1:15" ht="15.75" customHeight="1">
      <c r="A1259" s="4"/>
      <c r="B1259" s="4"/>
      <c r="C1259" s="4"/>
      <c r="D1259" s="4"/>
      <c r="E1259" s="4"/>
      <c r="G1259" s="4"/>
      <c r="H1259" s="4"/>
      <c r="K1259" s="4"/>
      <c r="N1259" s="4" t="s">
        <v>2131</v>
      </c>
      <c r="O1259" s="4">
        <v>216</v>
      </c>
    </row>
    <row r="1260" spans="1:15" ht="15.75" customHeight="1">
      <c r="B1260" s="4"/>
      <c r="C1260" s="4"/>
      <c r="D1260" s="4"/>
      <c r="E1260" s="4"/>
      <c r="G1260" s="4"/>
      <c r="H1260" s="4"/>
      <c r="I1260" s="4"/>
      <c r="K1260" s="4"/>
      <c r="N1260" s="4" t="s">
        <v>2134</v>
      </c>
      <c r="O1260" s="4">
        <v>103</v>
      </c>
    </row>
    <row r="1261" spans="1:15" ht="15.75" customHeight="1">
      <c r="A1261" s="4"/>
      <c r="B1261" s="4"/>
      <c r="C1261" s="4"/>
      <c r="D1261" s="4"/>
      <c r="E1261" s="4"/>
      <c r="G1261" s="4"/>
      <c r="H1261" s="4"/>
      <c r="I1261" s="4"/>
      <c r="K1261" s="4"/>
      <c r="N1261" s="4" t="s">
        <v>2138</v>
      </c>
      <c r="O1261" s="4">
        <v>374</v>
      </c>
    </row>
    <row r="1262" spans="1:15" ht="15.75" customHeight="1">
      <c r="A1262" s="4"/>
      <c r="B1262" s="4"/>
      <c r="C1262" s="4"/>
      <c r="D1262" s="4"/>
      <c r="E1262" s="4"/>
      <c r="G1262" s="4"/>
      <c r="H1262" s="4"/>
      <c r="K1262" s="4"/>
      <c r="N1262" s="4" t="s">
        <v>2142</v>
      </c>
      <c r="O1262" s="4">
        <v>178</v>
      </c>
    </row>
    <row r="1263" spans="1:15" ht="15.75" customHeight="1">
      <c r="A1263" s="4"/>
      <c r="B1263" s="4"/>
      <c r="C1263" s="4"/>
      <c r="D1263" s="4"/>
      <c r="E1263" s="4"/>
      <c r="G1263" s="4"/>
      <c r="H1263" s="4"/>
      <c r="K1263" s="4"/>
      <c r="N1263" s="4" t="s">
        <v>2145</v>
      </c>
      <c r="O1263" s="4">
        <v>299</v>
      </c>
    </row>
    <row r="1264" spans="1:15" ht="15.75" customHeight="1">
      <c r="A1264" s="4"/>
      <c r="B1264" s="4"/>
      <c r="C1264" s="4"/>
      <c r="D1264" s="4"/>
      <c r="E1264" s="4"/>
      <c r="G1264" s="4"/>
      <c r="H1264" s="4"/>
      <c r="K1264" s="4"/>
      <c r="N1264" s="4" t="s">
        <v>2148</v>
      </c>
      <c r="O1264" s="4">
        <v>322</v>
      </c>
    </row>
    <row r="1265" spans="1:15" ht="15.75" customHeight="1">
      <c r="A1265" s="4"/>
      <c r="B1265" s="4"/>
      <c r="C1265" s="4"/>
      <c r="D1265" s="4"/>
      <c r="E1265" s="4"/>
      <c r="G1265" s="4"/>
      <c r="H1265" s="4"/>
      <c r="K1265" s="4"/>
      <c r="N1265" s="4" t="s">
        <v>2151</v>
      </c>
      <c r="O1265" s="4">
        <v>213</v>
      </c>
    </row>
    <row r="1266" spans="1:15" ht="15.75" customHeight="1">
      <c r="A1266" s="4"/>
      <c r="B1266" s="4"/>
      <c r="C1266" s="4"/>
      <c r="D1266" s="4"/>
      <c r="E1266" s="4"/>
      <c r="G1266" s="4"/>
      <c r="H1266" s="4"/>
      <c r="K1266" s="4"/>
      <c r="N1266" s="4" t="s">
        <v>2154</v>
      </c>
      <c r="O1266" s="4">
        <v>322</v>
      </c>
    </row>
    <row r="1267" spans="1:15" ht="15.75" customHeight="1">
      <c r="A1267" s="4"/>
      <c r="B1267" s="4"/>
      <c r="C1267" s="4"/>
      <c r="D1267" s="4"/>
      <c r="E1267" s="4"/>
      <c r="G1267" s="4"/>
      <c r="H1267" s="4"/>
      <c r="K1267" s="4"/>
      <c r="N1267" s="4" t="s">
        <v>2157</v>
      </c>
      <c r="O1267" s="4">
        <v>187</v>
      </c>
    </row>
    <row r="1268" spans="1:15" ht="15.75" customHeight="1">
      <c r="A1268" s="4"/>
      <c r="B1268" s="4"/>
      <c r="C1268" s="4"/>
      <c r="D1268" s="4"/>
      <c r="E1268" s="4"/>
      <c r="G1268" s="4"/>
      <c r="H1268" s="4"/>
      <c r="I1268" s="4"/>
      <c r="K1268" s="4"/>
      <c r="N1268" s="4" t="s">
        <v>2160</v>
      </c>
      <c r="O1268" s="4">
        <v>118</v>
      </c>
    </row>
    <row r="1269" spans="1:15" ht="15.75" customHeight="1">
      <c r="A1269" s="4"/>
      <c r="B1269" s="4"/>
      <c r="C1269" s="4"/>
      <c r="D1269" s="4"/>
      <c r="E1269" s="4"/>
      <c r="G1269" s="4"/>
      <c r="H1269" s="4"/>
      <c r="I1269" s="4"/>
      <c r="K1269" s="4"/>
      <c r="N1269" s="4" t="s">
        <v>2164</v>
      </c>
      <c r="O1269" s="4">
        <v>66</v>
      </c>
    </row>
    <row r="1270" spans="1:15" ht="15.75" customHeight="1">
      <c r="A1270" s="4"/>
      <c r="B1270" s="4"/>
      <c r="C1270" s="4"/>
      <c r="D1270" s="4"/>
      <c r="E1270" s="4"/>
      <c r="G1270" s="4"/>
      <c r="H1270" s="4"/>
      <c r="I1270" s="4"/>
      <c r="K1270" s="4"/>
      <c r="N1270" s="4" t="s">
        <v>2168</v>
      </c>
      <c r="O1270" s="4">
        <v>171</v>
      </c>
    </row>
    <row r="1271" spans="1:15" ht="15.75" customHeight="1">
      <c r="A1271" s="4"/>
      <c r="B1271" s="4"/>
      <c r="C1271" s="4"/>
      <c r="D1271" s="4"/>
      <c r="E1271" s="4"/>
      <c r="G1271" s="4"/>
      <c r="H1271" s="4"/>
      <c r="K1271" s="4"/>
      <c r="N1271" s="4" t="s">
        <v>2172</v>
      </c>
      <c r="O1271" s="4">
        <v>231</v>
      </c>
    </row>
    <row r="1272" spans="1:15" ht="15.75" customHeight="1">
      <c r="B1272" s="4"/>
      <c r="C1272" s="4"/>
      <c r="D1272" s="4"/>
      <c r="E1272" s="4"/>
      <c r="G1272" s="4"/>
      <c r="H1272" s="4"/>
      <c r="K1272" s="4"/>
      <c r="N1272" s="4" t="s">
        <v>56</v>
      </c>
      <c r="O1272" s="4">
        <v>129</v>
      </c>
    </row>
    <row r="1273" spans="1:15" ht="15.75" customHeight="1">
      <c r="A1273" s="4"/>
      <c r="B1273" s="4"/>
      <c r="C1273" s="4"/>
      <c r="D1273" s="4"/>
      <c r="E1273" s="4"/>
      <c r="G1273" s="4"/>
      <c r="H1273" s="4"/>
      <c r="K1273" s="4"/>
    </row>
    <row r="1274" spans="1:15" ht="15.75" customHeight="1">
      <c r="A1274" s="4"/>
      <c r="B1274" s="4"/>
      <c r="C1274" s="4"/>
      <c r="D1274" s="4"/>
      <c r="E1274" s="4"/>
      <c r="G1274" s="4"/>
      <c r="H1274" s="4"/>
      <c r="I1274" s="4"/>
      <c r="K1274" s="4"/>
      <c r="N1274" s="4" t="s">
        <v>2178</v>
      </c>
      <c r="O1274" s="4">
        <v>657</v>
      </c>
    </row>
    <row r="1275" spans="1:15" ht="15.75" customHeight="1">
      <c r="A1275" s="4"/>
      <c r="B1275" s="4"/>
      <c r="C1275" s="4"/>
      <c r="D1275" s="4"/>
      <c r="E1275" s="4"/>
      <c r="G1275" s="4"/>
      <c r="H1275" s="4"/>
      <c r="K1275" s="4"/>
      <c r="N1275" s="4" t="s">
        <v>56</v>
      </c>
      <c r="O1275" s="4">
        <v>126</v>
      </c>
    </row>
    <row r="1276" spans="1:15" ht="15.75" customHeight="1">
      <c r="A1276" s="4"/>
      <c r="B1276" s="4"/>
      <c r="C1276" s="4"/>
      <c r="D1276" s="4"/>
      <c r="E1276" s="4"/>
      <c r="G1276" s="4"/>
      <c r="H1276" s="4"/>
      <c r="I1276" s="4"/>
      <c r="K1276" s="4"/>
      <c r="N1276" s="4" t="s">
        <v>2184</v>
      </c>
      <c r="O1276" s="4">
        <v>311</v>
      </c>
    </row>
    <row r="1277" spans="1:15" ht="15.75" customHeight="1">
      <c r="A1277" s="4"/>
      <c r="B1277" s="4"/>
      <c r="C1277" s="4"/>
      <c r="D1277" s="4"/>
      <c r="E1277" s="4"/>
      <c r="G1277" s="4"/>
      <c r="H1277" s="4"/>
      <c r="K1277" s="4"/>
      <c r="N1277" s="4" t="s">
        <v>2188</v>
      </c>
      <c r="O1277" s="4">
        <v>448</v>
      </c>
    </row>
    <row r="1278" spans="1:15" ht="15.75" customHeight="1">
      <c r="A1278" s="4"/>
      <c r="B1278" s="4"/>
      <c r="C1278" s="4"/>
      <c r="D1278" s="4"/>
      <c r="E1278" s="4"/>
      <c r="G1278" s="4"/>
      <c r="H1278" s="4"/>
      <c r="I1278" s="4"/>
      <c r="K1278" s="4"/>
      <c r="N1278" s="4" t="s">
        <v>2191</v>
      </c>
      <c r="O1278" s="4">
        <v>155</v>
      </c>
    </row>
    <row r="1279" spans="1:15" ht="15.75" customHeight="1">
      <c r="A1279" s="4"/>
      <c r="B1279" s="4"/>
      <c r="C1279" s="4"/>
      <c r="D1279" s="4"/>
      <c r="E1279" s="4"/>
      <c r="G1279" s="4"/>
      <c r="H1279" s="4"/>
      <c r="I1279" s="4"/>
      <c r="K1279" s="4"/>
      <c r="N1279" s="4" t="s">
        <v>2195</v>
      </c>
      <c r="O1279" s="4">
        <v>200</v>
      </c>
    </row>
    <row r="1280" spans="1:15" ht="15.75" customHeight="1">
      <c r="A1280" s="4"/>
      <c r="B1280" s="4"/>
      <c r="C1280" s="4"/>
      <c r="D1280" s="4"/>
      <c r="E1280" s="4"/>
      <c r="G1280" s="4"/>
      <c r="H1280" s="4"/>
      <c r="I1280" s="4"/>
      <c r="K1280" s="4"/>
      <c r="N1280" s="4" t="s">
        <v>2199</v>
      </c>
      <c r="O1280" s="4">
        <v>282</v>
      </c>
    </row>
    <row r="1281" spans="1:15" ht="15.75" customHeight="1">
      <c r="A1281" s="4"/>
      <c r="B1281" s="4"/>
      <c r="C1281" s="4"/>
      <c r="D1281" s="4"/>
      <c r="E1281" s="4"/>
      <c r="G1281" s="4"/>
      <c r="H1281" s="4"/>
      <c r="I1281" s="4"/>
      <c r="K1281" s="4"/>
      <c r="N1281" s="4" t="s">
        <v>2203</v>
      </c>
      <c r="O1281" s="4">
        <v>881</v>
      </c>
    </row>
    <row r="1282" spans="1:15" ht="15.75" customHeight="1">
      <c r="A1282" s="4"/>
      <c r="B1282" s="4"/>
      <c r="C1282" s="4"/>
      <c r="D1282" s="4"/>
      <c r="E1282" s="4"/>
      <c r="G1282" s="4"/>
      <c r="H1282" s="4"/>
      <c r="K1282" s="4"/>
      <c r="N1282" s="4" t="s">
        <v>2207</v>
      </c>
      <c r="O1282" s="4">
        <v>236</v>
      </c>
    </row>
    <row r="1283" spans="1:15" ht="15.75" customHeight="1">
      <c r="A1283" s="4"/>
      <c r="B1283" s="4"/>
      <c r="C1283" s="4"/>
      <c r="D1283" s="4"/>
      <c r="E1283" s="4"/>
      <c r="G1283" s="4"/>
      <c r="H1283" s="4"/>
      <c r="I1283" s="4"/>
      <c r="K1283" s="4"/>
      <c r="N1283" s="4" t="s">
        <v>2210</v>
      </c>
      <c r="O1283" s="4">
        <v>436</v>
      </c>
    </row>
    <row r="1284" spans="1:15" ht="15.75" customHeight="1">
      <c r="A1284" s="4"/>
      <c r="B1284" s="4"/>
      <c r="C1284" s="4"/>
      <c r="D1284" s="4"/>
      <c r="E1284" s="4"/>
      <c r="G1284" s="4"/>
      <c r="H1284" s="4"/>
      <c r="K1284" s="4"/>
      <c r="N1284" s="4" t="s">
        <v>2214</v>
      </c>
      <c r="O1284" s="4">
        <v>836</v>
      </c>
    </row>
    <row r="1285" spans="1:15" ht="15.75" customHeight="1">
      <c r="A1285" s="4"/>
      <c r="B1285" s="4"/>
      <c r="C1285" s="4"/>
      <c r="D1285" s="4"/>
      <c r="E1285" s="4"/>
      <c r="G1285" s="4"/>
      <c r="H1285" s="4"/>
      <c r="I1285" s="4"/>
      <c r="K1285" s="4"/>
      <c r="N1285" s="4" t="s">
        <v>2217</v>
      </c>
      <c r="O1285" s="4">
        <v>213</v>
      </c>
    </row>
    <row r="1286" spans="1:15" ht="15.75" customHeight="1">
      <c r="A1286" s="4"/>
      <c r="B1286" s="4"/>
      <c r="C1286" s="4"/>
      <c r="D1286" s="4"/>
      <c r="E1286" s="4"/>
      <c r="G1286" s="4"/>
      <c r="H1286" s="4"/>
      <c r="K1286" s="4"/>
      <c r="N1286" s="4" t="s">
        <v>2221</v>
      </c>
      <c r="O1286" s="4">
        <v>105</v>
      </c>
    </row>
    <row r="1287" spans="1:15" ht="15.75" customHeight="1">
      <c r="A1287" s="4"/>
      <c r="B1287" s="4"/>
      <c r="C1287" s="4"/>
      <c r="D1287" s="4"/>
      <c r="E1287" s="4"/>
      <c r="G1287" s="4"/>
      <c r="H1287" s="4"/>
      <c r="K1287" s="4"/>
      <c r="N1287" s="4" t="s">
        <v>56</v>
      </c>
      <c r="O1287" s="4">
        <v>113</v>
      </c>
    </row>
    <row r="1288" spans="1:15" ht="15.75" customHeight="1">
      <c r="A1288" s="4"/>
      <c r="B1288" s="4"/>
      <c r="C1288" s="4"/>
      <c r="D1288" s="4"/>
      <c r="E1288" s="4"/>
      <c r="G1288" s="4"/>
      <c r="H1288" s="4"/>
      <c r="I1288" s="4"/>
      <c r="K1288" s="4"/>
      <c r="N1288" s="4" t="s">
        <v>2226</v>
      </c>
      <c r="O1288" s="4">
        <v>214</v>
      </c>
    </row>
    <row r="1289" spans="1:15" ht="15.75" customHeight="1">
      <c r="A1289" s="4"/>
      <c r="B1289" s="4"/>
      <c r="C1289" s="4"/>
      <c r="D1289" s="4"/>
      <c r="E1289" s="4"/>
      <c r="G1289" s="4"/>
      <c r="H1289" s="4"/>
      <c r="K1289" s="4"/>
      <c r="N1289" s="4" t="s">
        <v>2230</v>
      </c>
      <c r="O1289" s="4">
        <v>257</v>
      </c>
    </row>
    <row r="1290" spans="1:15" ht="15.75" customHeight="1">
      <c r="A1290" s="4"/>
      <c r="B1290" s="4"/>
      <c r="C1290" s="4"/>
      <c r="D1290" s="4"/>
      <c r="E1290" s="4"/>
      <c r="G1290" s="4"/>
      <c r="H1290" s="4"/>
      <c r="K1290" s="4"/>
      <c r="N1290" s="4" t="s">
        <v>76</v>
      </c>
      <c r="O1290" s="4">
        <v>404</v>
      </c>
    </row>
    <row r="1291" spans="1:15" ht="15.75" customHeight="1">
      <c r="A1291" s="4"/>
      <c r="B1291" s="4"/>
      <c r="C1291" s="4"/>
      <c r="D1291" s="4"/>
      <c r="E1291" s="4"/>
      <c r="G1291" s="4"/>
      <c r="H1291" s="4"/>
      <c r="K1291" s="4"/>
      <c r="N1291" s="4" t="s">
        <v>73</v>
      </c>
      <c r="O1291" s="4">
        <v>242</v>
      </c>
    </row>
    <row r="1292" spans="1:15" ht="15.75" customHeight="1">
      <c r="A1292" s="4"/>
      <c r="B1292" s="4"/>
      <c r="C1292" s="4"/>
      <c r="D1292" s="4"/>
      <c r="E1292" s="4"/>
      <c r="G1292" s="4"/>
      <c r="H1292" s="4"/>
      <c r="K1292" s="4"/>
      <c r="N1292" s="4" t="s">
        <v>1648</v>
      </c>
      <c r="O1292" s="4">
        <v>144</v>
      </c>
    </row>
    <row r="1293" spans="1:15" ht="15.75" customHeight="1">
      <c r="A1293" s="4"/>
      <c r="B1293" s="4"/>
      <c r="C1293" s="4"/>
      <c r="D1293" s="4"/>
      <c r="E1293" s="4"/>
      <c r="G1293" s="4"/>
      <c r="H1293" s="4"/>
      <c r="K1293" s="4"/>
      <c r="N1293" s="4" t="s">
        <v>2239</v>
      </c>
      <c r="O1293" s="4">
        <v>123</v>
      </c>
    </row>
    <row r="1294" spans="1:15" ht="15.75" customHeight="1">
      <c r="B1294" s="4"/>
      <c r="C1294" s="4"/>
      <c r="D1294" s="4"/>
      <c r="E1294" s="4"/>
      <c r="G1294" s="4"/>
      <c r="H1294" s="4"/>
      <c r="K1294" s="4"/>
      <c r="N1294" s="4" t="s">
        <v>2242</v>
      </c>
      <c r="O1294" s="4">
        <v>300</v>
      </c>
    </row>
    <row r="1295" spans="1:15" ht="15.75" customHeight="1">
      <c r="A1295" s="4"/>
      <c r="B1295" s="4"/>
      <c r="C1295" s="4"/>
      <c r="D1295" s="4"/>
      <c r="E1295" s="4"/>
      <c r="G1295" s="4"/>
      <c r="H1295" s="4"/>
      <c r="K1295" s="4"/>
      <c r="N1295" s="4" t="s">
        <v>2245</v>
      </c>
      <c r="O1295" s="4">
        <v>322</v>
      </c>
    </row>
    <row r="1296" spans="1:15" ht="15.75" customHeight="1">
      <c r="A1296" s="4"/>
      <c r="B1296" s="4"/>
      <c r="C1296" s="4"/>
      <c r="D1296" s="4"/>
      <c r="E1296" s="4"/>
      <c r="G1296" s="4"/>
      <c r="H1296" s="4"/>
      <c r="K1296" s="4"/>
      <c r="N1296" s="4" t="s">
        <v>2248</v>
      </c>
      <c r="O1296" s="4">
        <v>114</v>
      </c>
    </row>
    <row r="1297" spans="1:15" ht="15.75" customHeight="1">
      <c r="A1297" s="4"/>
      <c r="B1297" s="4"/>
      <c r="C1297" s="4"/>
      <c r="D1297" s="4"/>
      <c r="E1297" s="4"/>
      <c r="G1297" s="4"/>
      <c r="H1297" s="4"/>
      <c r="K1297" s="4"/>
      <c r="N1297" s="4" t="s">
        <v>1502</v>
      </c>
      <c r="O1297" s="4">
        <v>680</v>
      </c>
    </row>
    <row r="1298" spans="1:15" ht="15.75" customHeight="1">
      <c r="A1298" s="4"/>
      <c r="B1298" s="4"/>
      <c r="C1298" s="4"/>
      <c r="D1298" s="4"/>
      <c r="E1298" s="4"/>
      <c r="G1298" s="4"/>
      <c r="H1298" s="4"/>
      <c r="K1298" s="4"/>
      <c r="N1298" s="4" t="s">
        <v>1434</v>
      </c>
      <c r="O1298" s="4">
        <v>277</v>
      </c>
    </row>
    <row r="1299" spans="1:15" ht="15.75" customHeight="1">
      <c r="A1299" s="4"/>
      <c r="B1299" s="4"/>
      <c r="C1299" s="4"/>
      <c r="D1299" s="4"/>
      <c r="E1299" s="4"/>
      <c r="G1299" s="4"/>
      <c r="H1299" s="4"/>
      <c r="K1299" s="4"/>
      <c r="N1299" s="4" t="s">
        <v>1966</v>
      </c>
      <c r="O1299" s="4">
        <v>151</v>
      </c>
    </row>
    <row r="1300" spans="1:15" ht="15.75" customHeight="1">
      <c r="B1300" s="4"/>
      <c r="C1300" s="4"/>
      <c r="D1300" s="4"/>
      <c r="E1300" s="4"/>
      <c r="G1300" s="4"/>
      <c r="H1300" s="4"/>
      <c r="I1300" s="4"/>
      <c r="K1300" s="4"/>
      <c r="N1300" s="4" t="s">
        <v>2257</v>
      </c>
      <c r="O1300" s="4">
        <v>560</v>
      </c>
    </row>
    <row r="1301" spans="1:15" ht="15.75" customHeight="1">
      <c r="A1301" s="4"/>
      <c r="B1301" s="4"/>
      <c r="C1301" s="4"/>
      <c r="D1301" s="4"/>
      <c r="E1301" s="4"/>
      <c r="G1301" s="4"/>
      <c r="H1301" s="4"/>
      <c r="K1301" s="4"/>
    </row>
    <row r="1302" spans="1:15" ht="15.75" customHeight="1">
      <c r="A1302" s="4"/>
      <c r="B1302" s="4"/>
      <c r="C1302" s="4"/>
      <c r="D1302" s="4"/>
      <c r="E1302" s="4"/>
      <c r="G1302" s="4"/>
      <c r="H1302" s="4"/>
      <c r="K1302" s="4"/>
      <c r="N1302" s="4" t="s">
        <v>56</v>
      </c>
      <c r="O1302" s="4">
        <v>128</v>
      </c>
    </row>
    <row r="1303" spans="1:15" ht="15.75" customHeight="1">
      <c r="A1303" s="4"/>
      <c r="B1303" s="4"/>
      <c r="C1303" s="4"/>
      <c r="D1303" s="4"/>
      <c r="E1303" s="4"/>
      <c r="G1303" s="4"/>
      <c r="H1303" s="4"/>
      <c r="K1303" s="4"/>
      <c r="N1303" s="4" t="s">
        <v>56</v>
      </c>
      <c r="O1303" s="4">
        <v>60</v>
      </c>
    </row>
    <row r="1304" spans="1:15" ht="15.75" customHeight="1">
      <c r="A1304" s="4"/>
      <c r="B1304" s="4"/>
      <c r="C1304" s="4"/>
      <c r="D1304" s="4"/>
      <c r="E1304" s="4"/>
      <c r="G1304" s="4"/>
      <c r="H1304" s="4"/>
      <c r="K1304" s="4"/>
      <c r="N1304" s="4" t="s">
        <v>2267</v>
      </c>
      <c r="O1304" s="4">
        <v>312</v>
      </c>
    </row>
    <row r="1305" spans="1:15" ht="15.75" customHeight="1">
      <c r="A1305" s="4"/>
      <c r="B1305" s="4"/>
      <c r="C1305" s="4"/>
      <c r="D1305" s="4"/>
      <c r="E1305" s="4"/>
      <c r="G1305" s="4"/>
      <c r="H1305" s="4"/>
      <c r="K1305" s="4"/>
      <c r="N1305" s="4" t="s">
        <v>2270</v>
      </c>
      <c r="O1305" s="4">
        <v>604</v>
      </c>
    </row>
    <row r="1306" spans="1:15" ht="15.75" customHeight="1">
      <c r="A1306" s="4"/>
      <c r="B1306" s="4"/>
      <c r="C1306" s="4"/>
      <c r="D1306" s="4"/>
      <c r="E1306" s="4"/>
      <c r="G1306" s="4"/>
      <c r="H1306" s="4"/>
      <c r="K1306" s="4"/>
      <c r="N1306" s="4" t="s">
        <v>2273</v>
      </c>
      <c r="O1306" s="4">
        <v>228</v>
      </c>
    </row>
    <row r="1307" spans="1:15" ht="15.75" customHeight="1">
      <c r="A1307" s="4"/>
      <c r="B1307" s="4"/>
      <c r="C1307" s="4"/>
      <c r="D1307" s="4"/>
      <c r="E1307" s="4"/>
      <c r="G1307" s="4"/>
      <c r="H1307" s="4"/>
      <c r="K1307" s="4"/>
      <c r="N1307" s="4" t="s">
        <v>56</v>
      </c>
      <c r="O1307" s="4">
        <v>48</v>
      </c>
    </row>
    <row r="1308" spans="1:15" ht="15.75" customHeight="1">
      <c r="A1308" s="4"/>
      <c r="B1308" s="4"/>
      <c r="C1308" s="4"/>
      <c r="D1308" s="4"/>
      <c r="E1308" s="4"/>
      <c r="G1308" s="4"/>
      <c r="H1308" s="4"/>
      <c r="I1308" s="4"/>
      <c r="K1308" s="4"/>
      <c r="N1308" s="4" t="s">
        <v>2278</v>
      </c>
      <c r="O1308" s="4">
        <v>132</v>
      </c>
    </row>
    <row r="1309" spans="1:15" ht="15.75" customHeight="1">
      <c r="A1309" s="4"/>
      <c r="B1309" s="4"/>
      <c r="C1309" s="4"/>
      <c r="D1309" s="4"/>
      <c r="E1309" s="4"/>
      <c r="G1309" s="4"/>
      <c r="H1309" s="4"/>
      <c r="K1309" s="4"/>
      <c r="N1309" s="4" t="s">
        <v>2282</v>
      </c>
      <c r="O1309" s="4">
        <v>245</v>
      </c>
    </row>
    <row r="1310" spans="1:15" ht="15.75" customHeight="1">
      <c r="A1310" s="4"/>
      <c r="B1310" s="4"/>
      <c r="C1310" s="4"/>
      <c r="D1310" s="4"/>
      <c r="E1310" s="4"/>
      <c r="G1310" s="4"/>
      <c r="H1310" s="4"/>
      <c r="K1310" s="4"/>
      <c r="N1310" s="4" t="s">
        <v>2285</v>
      </c>
      <c r="O1310" s="4">
        <v>168</v>
      </c>
    </row>
    <row r="1311" spans="1:15" ht="15.75" customHeight="1">
      <c r="A1311" s="4"/>
      <c r="B1311" s="4"/>
      <c r="C1311" s="4"/>
      <c r="D1311" s="4"/>
      <c r="E1311" s="4"/>
      <c r="G1311" s="4"/>
      <c r="H1311" s="4"/>
      <c r="K1311" s="4"/>
      <c r="N1311" s="4" t="s">
        <v>1312</v>
      </c>
      <c r="O1311" s="4">
        <v>691</v>
      </c>
    </row>
    <row r="1312" spans="1:15" ht="15.75" customHeight="1">
      <c r="A1312" s="4"/>
      <c r="B1312" s="4"/>
      <c r="C1312" s="4"/>
      <c r="D1312" s="4"/>
      <c r="E1312" s="4"/>
      <c r="G1312" s="4"/>
      <c r="H1312" s="4"/>
      <c r="K1312" s="4"/>
      <c r="N1312" s="4" t="s">
        <v>73</v>
      </c>
      <c r="O1312" s="4">
        <v>256</v>
      </c>
    </row>
    <row r="1313" spans="1:15" ht="15.75" customHeight="1">
      <c r="A1313" s="4"/>
      <c r="B1313" s="4"/>
      <c r="C1313" s="4"/>
      <c r="D1313" s="4"/>
      <c r="E1313" s="4"/>
      <c r="G1313" s="4"/>
      <c r="H1313" s="4"/>
      <c r="K1313" s="4"/>
      <c r="N1313" s="4" t="s">
        <v>194</v>
      </c>
      <c r="O1313" s="4">
        <v>224</v>
      </c>
    </row>
    <row r="1314" spans="1:15" ht="15.75" customHeight="1">
      <c r="A1314" s="4"/>
      <c r="B1314" s="4"/>
      <c r="C1314" s="4"/>
      <c r="D1314" s="4"/>
      <c r="E1314" s="4"/>
      <c r="G1314" s="4"/>
      <c r="H1314" s="4"/>
      <c r="K1314" s="4"/>
      <c r="N1314" s="4" t="s">
        <v>681</v>
      </c>
      <c r="O1314" s="4">
        <v>366</v>
      </c>
    </row>
    <row r="1315" spans="1:15" ht="15.75" customHeight="1">
      <c r="A1315" s="4"/>
      <c r="B1315" s="4"/>
      <c r="C1315" s="4"/>
      <c r="D1315" s="4"/>
      <c r="E1315" s="4"/>
      <c r="G1315" s="4"/>
      <c r="H1315" s="4"/>
      <c r="I1315" s="4"/>
      <c r="K1315" s="4"/>
      <c r="N1315" s="4" t="s">
        <v>2296</v>
      </c>
      <c r="O1315" s="4">
        <v>192</v>
      </c>
    </row>
    <row r="1316" spans="1:15" ht="15.75" customHeight="1">
      <c r="A1316" s="4"/>
      <c r="B1316" s="4"/>
      <c r="C1316" s="4"/>
      <c r="D1316" s="4"/>
      <c r="E1316" s="4"/>
      <c r="G1316" s="4"/>
      <c r="H1316" s="4"/>
      <c r="K1316" s="4"/>
      <c r="N1316" s="4" t="s">
        <v>2300</v>
      </c>
      <c r="O1316" s="4">
        <v>748</v>
      </c>
    </row>
    <row r="1317" spans="1:15" ht="15.75" customHeight="1">
      <c r="A1317" s="4"/>
      <c r="B1317" s="4"/>
      <c r="C1317" s="4"/>
      <c r="D1317" s="4"/>
      <c r="E1317" s="4"/>
      <c r="G1317" s="4"/>
      <c r="H1317" s="4"/>
      <c r="K1317" s="4"/>
      <c r="N1317" s="4" t="s">
        <v>2303</v>
      </c>
      <c r="O1317" s="4">
        <v>146</v>
      </c>
    </row>
    <row r="1318" spans="1:15" ht="15.75" customHeight="1">
      <c r="A1318" s="4"/>
      <c r="B1318" s="4"/>
      <c r="C1318" s="4"/>
      <c r="D1318" s="4"/>
      <c r="E1318" s="4"/>
      <c r="G1318" s="4"/>
      <c r="H1318" s="4"/>
      <c r="I1318" s="4"/>
      <c r="K1318" s="4"/>
      <c r="N1318" s="4" t="s">
        <v>2306</v>
      </c>
      <c r="O1318" s="4">
        <v>412</v>
      </c>
    </row>
    <row r="1319" spans="1:15" ht="15.75" customHeight="1">
      <c r="A1319" s="4"/>
      <c r="B1319" s="4"/>
      <c r="C1319" s="4"/>
      <c r="D1319" s="4"/>
      <c r="E1319" s="4"/>
      <c r="G1319" s="4"/>
      <c r="H1319" s="4"/>
      <c r="I1319" s="4"/>
      <c r="K1319" s="4"/>
      <c r="N1319" s="4" t="s">
        <v>2310</v>
      </c>
      <c r="O1319" s="4">
        <v>507</v>
      </c>
    </row>
    <row r="1320" spans="1:15" ht="15.75" customHeight="1">
      <c r="B1320" s="4"/>
      <c r="C1320" s="4"/>
      <c r="D1320" s="4"/>
      <c r="E1320" s="4"/>
      <c r="G1320" s="4"/>
      <c r="H1320" s="4"/>
      <c r="I1320" s="4"/>
      <c r="K1320" s="4"/>
      <c r="N1320" s="4" t="s">
        <v>2314</v>
      </c>
      <c r="O1320" s="4">
        <v>189</v>
      </c>
    </row>
    <row r="1321" spans="1:15" ht="15.75" customHeight="1">
      <c r="A1321" s="4"/>
      <c r="B1321" s="4"/>
      <c r="C1321" s="4"/>
      <c r="D1321" s="4"/>
      <c r="E1321" s="4"/>
      <c r="G1321" s="4"/>
      <c r="H1321" s="4"/>
      <c r="I1321" s="4"/>
      <c r="K1321" s="4"/>
      <c r="N1321" s="4" t="s">
        <v>2318</v>
      </c>
      <c r="O1321" s="4">
        <v>336</v>
      </c>
    </row>
    <row r="1322" spans="1:15" ht="15.75" customHeight="1">
      <c r="A1322" s="4"/>
      <c r="B1322" s="4"/>
      <c r="C1322" s="4"/>
      <c r="D1322" s="4"/>
      <c r="E1322" s="4"/>
      <c r="G1322" s="4"/>
      <c r="H1322" s="4"/>
      <c r="I1322" s="4"/>
      <c r="K1322" s="4"/>
      <c r="N1322" s="4" t="s">
        <v>2322</v>
      </c>
      <c r="O1322" s="4">
        <v>484</v>
      </c>
    </row>
    <row r="1323" spans="1:15" ht="15.75" customHeight="1">
      <c r="A1323" s="4"/>
      <c r="B1323" s="4"/>
      <c r="C1323" s="4"/>
      <c r="D1323" s="4"/>
      <c r="E1323" s="4"/>
      <c r="G1323" s="4"/>
      <c r="H1323" s="4"/>
      <c r="I1323" s="4"/>
      <c r="K1323" s="4"/>
      <c r="N1323" s="4" t="s">
        <v>2326</v>
      </c>
      <c r="O1323" s="4">
        <v>738</v>
      </c>
    </row>
    <row r="1324" spans="1:15" ht="15.75" customHeight="1">
      <c r="A1324" s="4"/>
      <c r="B1324" s="4"/>
      <c r="C1324" s="4"/>
      <c r="D1324" s="4"/>
      <c r="E1324" s="4"/>
      <c r="G1324" s="4"/>
      <c r="H1324" s="4"/>
      <c r="I1324" s="4"/>
      <c r="K1324" s="4"/>
      <c r="N1324" s="4" t="s">
        <v>2330</v>
      </c>
      <c r="O1324" s="4">
        <v>228</v>
      </c>
    </row>
    <row r="1325" spans="1:15" ht="15.75" customHeight="1">
      <c r="A1325" s="4"/>
      <c r="B1325" s="4"/>
      <c r="C1325" s="4"/>
      <c r="D1325" s="4"/>
      <c r="E1325" s="4"/>
      <c r="G1325" s="4"/>
      <c r="H1325" s="4"/>
      <c r="I1325" s="4"/>
      <c r="K1325" s="4"/>
      <c r="N1325" s="4" t="s">
        <v>2334</v>
      </c>
      <c r="O1325" s="4">
        <v>86</v>
      </c>
    </row>
    <row r="1326" spans="1:15" ht="15.75" customHeight="1">
      <c r="A1326" s="4"/>
      <c r="B1326" s="4"/>
      <c r="C1326" s="4"/>
      <c r="D1326" s="4"/>
      <c r="E1326" s="4"/>
      <c r="G1326" s="4"/>
      <c r="H1326" s="4"/>
      <c r="I1326" s="4"/>
      <c r="K1326" s="4"/>
      <c r="N1326" s="4" t="s">
        <v>2338</v>
      </c>
      <c r="O1326" s="4">
        <v>242</v>
      </c>
    </row>
    <row r="1327" spans="1:15" ht="15.75" customHeight="1">
      <c r="A1327" s="4"/>
      <c r="B1327" s="4"/>
      <c r="C1327" s="4"/>
      <c r="D1327" s="4"/>
      <c r="E1327" s="4"/>
      <c r="G1327" s="4"/>
      <c r="H1327" s="4"/>
      <c r="I1327" s="4"/>
      <c r="K1327" s="4"/>
      <c r="N1327" s="4" t="s">
        <v>2342</v>
      </c>
      <c r="O1327" s="4">
        <v>371</v>
      </c>
    </row>
    <row r="1328" spans="1:15" ht="15.75" customHeight="1">
      <c r="A1328" s="4"/>
      <c r="B1328" s="4"/>
      <c r="C1328" s="4"/>
      <c r="D1328" s="4"/>
      <c r="E1328" s="4"/>
      <c r="G1328" s="4"/>
      <c r="H1328" s="4"/>
      <c r="I1328" s="4"/>
      <c r="K1328" s="4"/>
      <c r="N1328" s="4" t="s">
        <v>2346</v>
      </c>
      <c r="O1328" s="4">
        <v>161</v>
      </c>
    </row>
    <row r="1329" spans="1:15" ht="15.75" customHeight="1">
      <c r="A1329" s="4"/>
      <c r="B1329" s="4"/>
      <c r="C1329" s="4"/>
      <c r="D1329" s="4"/>
      <c r="E1329" s="4"/>
      <c r="G1329" s="4"/>
      <c r="H1329" s="4"/>
      <c r="I1329" s="4"/>
      <c r="K1329" s="4"/>
      <c r="N1329" s="4" t="s">
        <v>2350</v>
      </c>
      <c r="O1329" s="4">
        <v>201</v>
      </c>
    </row>
    <row r="1330" spans="1:15" ht="15.75" customHeight="1">
      <c r="A1330" s="4"/>
      <c r="B1330" s="4"/>
      <c r="C1330" s="4"/>
      <c r="D1330" s="4"/>
      <c r="E1330" s="4"/>
      <c r="G1330" s="4"/>
      <c r="H1330" s="4"/>
      <c r="K1330" s="4"/>
      <c r="N1330" s="4" t="s">
        <v>2354</v>
      </c>
      <c r="O1330" s="4">
        <v>470</v>
      </c>
    </row>
    <row r="1331" spans="1:15" ht="15.75" customHeight="1">
      <c r="A1331" s="4"/>
      <c r="B1331" s="4"/>
      <c r="C1331" s="4"/>
      <c r="D1331" s="4"/>
      <c r="E1331" s="4"/>
      <c r="G1331" s="4"/>
      <c r="H1331" s="4"/>
      <c r="I1331" s="4"/>
      <c r="K1331" s="4"/>
      <c r="N1331" s="4" t="s">
        <v>2357</v>
      </c>
      <c r="O1331" s="4">
        <v>575</v>
      </c>
    </row>
    <row r="1332" spans="1:15" ht="15.75" customHeight="1">
      <c r="A1332" s="4"/>
      <c r="B1332" s="4"/>
      <c r="C1332" s="4"/>
      <c r="D1332" s="4"/>
      <c r="E1332" s="4"/>
      <c r="G1332" s="4"/>
      <c r="H1332" s="4"/>
      <c r="K1332" s="4"/>
      <c r="N1332" s="4" t="s">
        <v>2361</v>
      </c>
      <c r="O1332" s="4">
        <v>88</v>
      </c>
    </row>
    <row r="1333" spans="1:15" ht="15.75" customHeight="1">
      <c r="A1333" s="4"/>
      <c r="B1333" s="4"/>
      <c r="C1333" s="4"/>
      <c r="D1333" s="4"/>
      <c r="E1333" s="4"/>
      <c r="G1333" s="4"/>
      <c r="H1333" s="4"/>
      <c r="K1333" s="4"/>
      <c r="N1333" s="4" t="s">
        <v>56</v>
      </c>
      <c r="O1333" s="4">
        <v>63</v>
      </c>
    </row>
    <row r="1334" spans="1:15" ht="15.75" customHeight="1">
      <c r="A1334" s="4"/>
      <c r="B1334" s="4"/>
      <c r="C1334" s="4"/>
      <c r="D1334" s="4"/>
      <c r="E1334" s="4"/>
      <c r="G1334" s="4"/>
      <c r="H1334" s="4"/>
      <c r="K1334" s="4"/>
      <c r="N1334" s="4" t="s">
        <v>2366</v>
      </c>
      <c r="O1334" s="4">
        <v>741</v>
      </c>
    </row>
    <row r="1335" spans="1:15" ht="15.75" customHeight="1">
      <c r="A1335" s="4"/>
      <c r="B1335" s="4"/>
      <c r="C1335" s="4"/>
      <c r="D1335" s="4"/>
      <c r="E1335" s="4"/>
      <c r="G1335" s="4"/>
      <c r="H1335" s="4"/>
      <c r="K1335" s="4"/>
      <c r="N1335" s="4" t="s">
        <v>2369</v>
      </c>
      <c r="O1335" s="4">
        <v>97</v>
      </c>
    </row>
    <row r="1336" spans="1:15" ht="15.75" customHeight="1">
      <c r="A1336" s="4"/>
      <c r="B1336" s="4"/>
      <c r="C1336" s="4"/>
      <c r="D1336" s="4"/>
      <c r="E1336" s="4"/>
      <c r="G1336" s="4"/>
      <c r="H1336" s="4"/>
      <c r="K1336" s="4"/>
      <c r="N1336" s="4" t="s">
        <v>2372</v>
      </c>
      <c r="O1336" s="4">
        <v>524</v>
      </c>
    </row>
    <row r="1337" spans="1:15" ht="15.75" customHeight="1">
      <c r="A1337" s="4"/>
      <c r="B1337" s="4"/>
      <c r="C1337" s="4"/>
      <c r="D1337" s="4"/>
      <c r="E1337" s="4"/>
      <c r="G1337" s="4"/>
      <c r="H1337" s="4"/>
      <c r="K1337" s="4"/>
      <c r="N1337" s="4" t="s">
        <v>2375</v>
      </c>
      <c r="O1337" s="4">
        <v>448</v>
      </c>
    </row>
    <row r="1338" spans="1:15" ht="15.75" customHeight="1">
      <c r="A1338" s="4"/>
      <c r="B1338" s="4"/>
      <c r="C1338" s="4"/>
      <c r="D1338" s="4"/>
      <c r="E1338" s="4"/>
      <c r="G1338" s="4"/>
      <c r="H1338" s="4"/>
      <c r="K1338" s="4"/>
      <c r="N1338" s="4" t="s">
        <v>2378</v>
      </c>
      <c r="O1338" s="4">
        <v>392</v>
      </c>
    </row>
    <row r="1339" spans="1:15" ht="15.75" customHeight="1">
      <c r="A1339" s="4"/>
      <c r="B1339" s="4"/>
      <c r="C1339" s="4"/>
      <c r="D1339" s="4"/>
      <c r="E1339" s="4"/>
      <c r="G1339" s="4"/>
      <c r="H1339" s="4"/>
      <c r="K1339" s="4"/>
      <c r="N1339" s="4" t="s">
        <v>51</v>
      </c>
      <c r="O1339" s="4">
        <v>144</v>
      </c>
    </row>
    <row r="1340" spans="1:15" ht="15.75" customHeight="1">
      <c r="A1340" s="4"/>
      <c r="B1340" s="4"/>
      <c r="C1340" s="4"/>
      <c r="D1340" s="4"/>
      <c r="E1340" s="4"/>
      <c r="G1340" s="4"/>
      <c r="H1340" s="4"/>
      <c r="K1340" s="4"/>
      <c r="N1340" s="4" t="s">
        <v>56</v>
      </c>
      <c r="O1340" s="4">
        <v>172</v>
      </c>
    </row>
    <row r="1341" spans="1:15" ht="15.75" customHeight="1">
      <c r="A1341" s="4"/>
      <c r="B1341" s="4"/>
      <c r="C1341" s="4"/>
      <c r="D1341" s="4"/>
      <c r="E1341" s="4"/>
      <c r="G1341" s="4"/>
      <c r="H1341" s="4"/>
      <c r="K1341" s="4"/>
      <c r="N1341" s="4" t="s">
        <v>2385</v>
      </c>
      <c r="O1341" s="4">
        <v>178</v>
      </c>
    </row>
    <row r="1342" spans="1:15" ht="15.75" customHeight="1">
      <c r="A1342" s="4"/>
      <c r="B1342" s="4"/>
      <c r="C1342" s="4"/>
      <c r="D1342" s="4"/>
      <c r="E1342" s="4"/>
      <c r="G1342" s="4"/>
      <c r="H1342" s="4"/>
      <c r="I1342" s="4"/>
      <c r="K1342" s="4"/>
      <c r="N1342" s="4" t="s">
        <v>2388</v>
      </c>
      <c r="O1342" s="4">
        <v>264</v>
      </c>
    </row>
    <row r="1343" spans="1:15" ht="15.75" customHeight="1">
      <c r="A1343" s="4"/>
      <c r="B1343" s="4"/>
      <c r="C1343" s="4"/>
      <c r="D1343" s="4"/>
      <c r="E1343" s="4"/>
      <c r="G1343" s="4"/>
      <c r="H1343" s="4"/>
      <c r="K1343" s="4"/>
      <c r="N1343" s="4" t="s">
        <v>92</v>
      </c>
      <c r="O1343" s="4">
        <v>511</v>
      </c>
    </row>
    <row r="1344" spans="1:15" ht="15.75" customHeight="1">
      <c r="A1344" s="4"/>
      <c r="B1344" s="4"/>
      <c r="C1344" s="4"/>
      <c r="D1344" s="4"/>
      <c r="E1344" s="4"/>
      <c r="G1344" s="4"/>
      <c r="H1344" s="4"/>
      <c r="K1344" s="4"/>
      <c r="N1344" s="4" t="s">
        <v>56</v>
      </c>
      <c r="O1344" s="4">
        <v>124</v>
      </c>
    </row>
    <row r="1345" spans="1:15" ht="15.75" customHeight="1">
      <c r="A1345" s="4"/>
      <c r="B1345" s="4"/>
      <c r="C1345" s="4"/>
      <c r="D1345" s="4"/>
      <c r="E1345" s="4"/>
      <c r="G1345" s="4"/>
      <c r="H1345" s="4"/>
      <c r="I1345" s="4"/>
      <c r="K1345" s="4"/>
      <c r="N1345" s="4" t="s">
        <v>251</v>
      </c>
      <c r="O1345" s="4">
        <v>455</v>
      </c>
    </row>
    <row r="1346" spans="1:15" ht="15.75" customHeight="1">
      <c r="A1346" s="4"/>
      <c r="B1346" s="4"/>
      <c r="C1346" s="4"/>
      <c r="D1346" s="4"/>
      <c r="E1346" s="4"/>
      <c r="G1346" s="4"/>
      <c r="H1346" s="4"/>
      <c r="K1346" s="4"/>
      <c r="N1346" s="4" t="s">
        <v>2398</v>
      </c>
      <c r="O1346" s="4">
        <v>157</v>
      </c>
    </row>
    <row r="1347" spans="1:15" ht="15.75" customHeight="1">
      <c r="A1347" s="4"/>
      <c r="B1347" s="4"/>
      <c r="C1347" s="4"/>
      <c r="D1347" s="4"/>
      <c r="E1347" s="4"/>
      <c r="G1347" s="4"/>
      <c r="H1347" s="4"/>
      <c r="K1347" s="4"/>
      <c r="N1347" s="4" t="s">
        <v>2401</v>
      </c>
      <c r="O1347" s="4">
        <v>245</v>
      </c>
    </row>
    <row r="1348" spans="1:15" ht="15.75" customHeight="1">
      <c r="A1348" s="4"/>
      <c r="B1348" s="4"/>
      <c r="C1348" s="4"/>
      <c r="D1348" s="4"/>
      <c r="E1348" s="4"/>
      <c r="G1348" s="4"/>
      <c r="H1348" s="4"/>
      <c r="K1348" s="4"/>
      <c r="N1348" s="4" t="s">
        <v>2404</v>
      </c>
      <c r="O1348" s="4">
        <v>478</v>
      </c>
    </row>
    <row r="1349" spans="1:15" ht="15.75" customHeight="1">
      <c r="A1349" s="4"/>
      <c r="B1349" s="4"/>
      <c r="C1349" s="4"/>
      <c r="D1349" s="4"/>
      <c r="E1349" s="4"/>
      <c r="G1349" s="4"/>
      <c r="H1349" s="4"/>
      <c r="I1349" s="4"/>
      <c r="K1349" s="4"/>
      <c r="N1349" s="4" t="s">
        <v>2407</v>
      </c>
      <c r="O1349" s="4">
        <v>454</v>
      </c>
    </row>
    <row r="1350" spans="1:15" ht="15.75" customHeight="1">
      <c r="A1350" s="4"/>
      <c r="B1350" s="4"/>
      <c r="C1350" s="4"/>
      <c r="D1350" s="4"/>
      <c r="E1350" s="4"/>
      <c r="G1350" s="4"/>
      <c r="H1350" s="4"/>
      <c r="K1350" s="4"/>
      <c r="N1350" s="4" t="s">
        <v>56</v>
      </c>
      <c r="O1350" s="4">
        <v>164</v>
      </c>
    </row>
    <row r="1351" spans="1:15" ht="15.75" customHeight="1">
      <c r="A1351" s="4"/>
      <c r="B1351" s="4"/>
      <c r="C1351" s="4"/>
      <c r="D1351" s="4"/>
      <c r="E1351" s="4"/>
      <c r="G1351" s="4"/>
      <c r="H1351" s="4"/>
      <c r="K1351" s="4"/>
      <c r="N1351" s="4" t="s">
        <v>295</v>
      </c>
      <c r="O1351" s="4">
        <v>105</v>
      </c>
    </row>
    <row r="1352" spans="1:15" ht="15.75" customHeight="1">
      <c r="A1352" s="4"/>
      <c r="B1352" s="4"/>
      <c r="C1352" s="4"/>
      <c r="D1352" s="4"/>
      <c r="E1352" s="4"/>
      <c r="G1352" s="4"/>
      <c r="H1352" s="4"/>
      <c r="K1352" s="4"/>
      <c r="N1352" s="4" t="s">
        <v>2415</v>
      </c>
      <c r="O1352" s="4">
        <v>104</v>
      </c>
    </row>
    <row r="1353" spans="1:15" ht="15.75" customHeight="1">
      <c r="A1353" s="4"/>
      <c r="B1353" s="4"/>
      <c r="C1353" s="4"/>
      <c r="D1353" s="4"/>
      <c r="E1353" s="4"/>
      <c r="G1353" s="4"/>
      <c r="H1353" s="4"/>
      <c r="I1353" s="4"/>
      <c r="K1353" s="4"/>
      <c r="N1353" s="4" t="s">
        <v>2418</v>
      </c>
      <c r="O1353" s="4">
        <v>584</v>
      </c>
    </row>
    <row r="1354" spans="1:15" ht="15.75" customHeight="1">
      <c r="A1354" s="4"/>
      <c r="B1354" s="4"/>
      <c r="C1354" s="4"/>
      <c r="D1354" s="4"/>
      <c r="E1354" s="4"/>
      <c r="G1354" s="4"/>
      <c r="H1354" s="4"/>
      <c r="K1354" s="4"/>
      <c r="N1354" s="4" t="s">
        <v>2422</v>
      </c>
      <c r="O1354" s="4">
        <v>388</v>
      </c>
    </row>
    <row r="1355" spans="1:15" ht="15.75" customHeight="1">
      <c r="B1355" s="4"/>
      <c r="C1355" s="4"/>
      <c r="D1355" s="4"/>
      <c r="E1355" s="4"/>
      <c r="G1355" s="4"/>
      <c r="H1355" s="4"/>
      <c r="K1355" s="4"/>
      <c r="N1355" s="4" t="s">
        <v>2425</v>
      </c>
      <c r="O1355" s="4">
        <v>426</v>
      </c>
    </row>
    <row r="1356" spans="1:15" ht="15.75" customHeight="1">
      <c r="A1356" s="4"/>
      <c r="B1356" s="4"/>
      <c r="C1356" s="4"/>
      <c r="D1356" s="4"/>
      <c r="E1356" s="4"/>
      <c r="G1356" s="4"/>
      <c r="H1356" s="4"/>
      <c r="K1356" s="4"/>
      <c r="N1356" s="4" t="s">
        <v>2428</v>
      </c>
      <c r="O1356" s="4">
        <v>393</v>
      </c>
    </row>
    <row r="1357" spans="1:15" ht="15.75" customHeight="1">
      <c r="B1357" s="4"/>
      <c r="C1357" s="4"/>
      <c r="D1357" s="4"/>
      <c r="E1357" s="4"/>
      <c r="G1357" s="4"/>
      <c r="H1357" s="4"/>
      <c r="K1357" s="4"/>
      <c r="N1357" s="4" t="s">
        <v>56</v>
      </c>
      <c r="O1357" s="4">
        <v>99</v>
      </c>
    </row>
    <row r="1358" spans="1:15" ht="15.75" customHeight="1">
      <c r="A1358" s="4"/>
      <c r="B1358" s="4"/>
      <c r="C1358" s="4"/>
      <c r="D1358" s="4"/>
      <c r="E1358" s="4"/>
      <c r="G1358" s="4"/>
      <c r="H1358" s="4"/>
      <c r="K1358" s="4"/>
      <c r="N1358" s="4" t="s">
        <v>2433</v>
      </c>
      <c r="O1358" s="4">
        <v>276</v>
      </c>
    </row>
    <row r="1359" spans="1:15" ht="15.75" customHeight="1">
      <c r="A1359" s="4"/>
      <c r="B1359" s="4"/>
      <c r="C1359" s="4"/>
      <c r="D1359" s="4"/>
      <c r="E1359" s="4"/>
      <c r="G1359" s="4"/>
      <c r="H1359" s="4"/>
      <c r="K1359" s="4"/>
      <c r="N1359" s="4" t="s">
        <v>2436</v>
      </c>
      <c r="O1359" s="4">
        <v>187</v>
      </c>
    </row>
    <row r="1360" spans="1:15" ht="15.75" customHeight="1">
      <c r="A1360" s="4"/>
      <c r="B1360" s="4"/>
      <c r="C1360" s="4"/>
      <c r="D1360" s="4"/>
      <c r="E1360" s="4"/>
      <c r="G1360" s="4"/>
      <c r="H1360" s="4"/>
      <c r="K1360" s="4"/>
      <c r="N1360" s="4" t="s">
        <v>2439</v>
      </c>
      <c r="O1360" s="4">
        <v>272</v>
      </c>
    </row>
    <row r="1361" spans="1:15" ht="15.75" customHeight="1">
      <c r="A1361" s="4"/>
      <c r="B1361" s="4"/>
      <c r="C1361" s="4"/>
      <c r="D1361" s="4"/>
      <c r="E1361" s="4"/>
      <c r="G1361" s="4"/>
      <c r="H1361" s="4"/>
      <c r="K1361" s="4"/>
      <c r="N1361" s="4" t="s">
        <v>2442</v>
      </c>
      <c r="O1361" s="4">
        <v>379</v>
      </c>
    </row>
    <row r="1362" spans="1:15" ht="15.75" customHeight="1">
      <c r="A1362" s="4"/>
      <c r="B1362" s="4"/>
      <c r="C1362" s="4"/>
      <c r="D1362" s="4"/>
      <c r="E1362" s="4"/>
      <c r="G1362" s="4"/>
      <c r="H1362" s="4"/>
      <c r="K1362" s="4"/>
      <c r="N1362" s="4" t="s">
        <v>1167</v>
      </c>
      <c r="O1362" s="4">
        <v>201</v>
      </c>
    </row>
    <row r="1363" spans="1:15" ht="15.75" customHeight="1">
      <c r="A1363" s="4"/>
      <c r="B1363" s="4"/>
      <c r="C1363" s="4"/>
      <c r="D1363" s="4"/>
      <c r="E1363" s="4"/>
      <c r="G1363" s="4"/>
      <c r="H1363" s="4"/>
      <c r="K1363" s="4"/>
    </row>
    <row r="1364" spans="1:15" ht="15.75" customHeight="1">
      <c r="A1364" s="4"/>
      <c r="B1364" s="4"/>
      <c r="C1364" s="4"/>
      <c r="D1364" s="4"/>
      <c r="E1364" s="4"/>
      <c r="G1364" s="4"/>
      <c r="H1364" s="4"/>
      <c r="K1364" s="4"/>
      <c r="N1364" s="4" t="s">
        <v>51</v>
      </c>
      <c r="O1364" s="4">
        <v>154</v>
      </c>
    </row>
    <row r="1365" spans="1:15" ht="15.75" customHeight="1">
      <c r="A1365" s="4"/>
      <c r="B1365" s="4"/>
      <c r="C1365" s="4"/>
      <c r="D1365" s="4"/>
      <c r="E1365" s="4"/>
      <c r="G1365" s="4"/>
      <c r="H1365" s="4"/>
      <c r="K1365" s="4"/>
      <c r="N1365" s="4" t="s">
        <v>2451</v>
      </c>
      <c r="O1365" s="4">
        <v>150</v>
      </c>
    </row>
    <row r="1366" spans="1:15" ht="15.75" customHeight="1">
      <c r="A1366" s="4"/>
      <c r="B1366" s="4"/>
      <c r="C1366" s="4"/>
      <c r="D1366" s="4"/>
      <c r="E1366" s="4"/>
      <c r="G1366" s="4"/>
      <c r="H1366" s="4"/>
      <c r="K1366" s="4"/>
      <c r="N1366" s="4" t="s">
        <v>73</v>
      </c>
      <c r="O1366" s="4">
        <v>250</v>
      </c>
    </row>
    <row r="1367" spans="1:15" ht="15.75" customHeight="1">
      <c r="A1367" s="4"/>
      <c r="B1367" s="4"/>
      <c r="C1367" s="4"/>
      <c r="D1367" s="4"/>
      <c r="E1367" s="4"/>
      <c r="G1367" s="4"/>
      <c r="H1367" s="4"/>
      <c r="K1367" s="4"/>
      <c r="N1367" s="4" t="s">
        <v>76</v>
      </c>
      <c r="O1367" s="4">
        <v>299</v>
      </c>
    </row>
    <row r="1368" spans="1:15" ht="15.75" customHeight="1">
      <c r="A1368" s="4"/>
      <c r="B1368" s="4"/>
      <c r="C1368" s="4"/>
      <c r="D1368" s="4"/>
      <c r="E1368" s="4"/>
      <c r="G1368" s="4"/>
      <c r="H1368" s="4"/>
      <c r="I1368" s="4"/>
      <c r="K1368" s="4"/>
      <c r="N1368" s="4" t="s">
        <v>2458</v>
      </c>
      <c r="O1368" s="4">
        <v>331</v>
      </c>
    </row>
    <row r="1369" spans="1:15" ht="15.75" customHeight="1">
      <c r="A1369" s="4"/>
      <c r="B1369" s="4"/>
      <c r="C1369" s="4"/>
      <c r="D1369" s="4"/>
      <c r="E1369" s="4"/>
      <c r="G1369" s="4"/>
      <c r="H1369" s="4"/>
      <c r="K1369" s="4"/>
      <c r="N1369" s="4" t="s">
        <v>56</v>
      </c>
      <c r="O1369" s="4">
        <v>145</v>
      </c>
    </row>
    <row r="1370" spans="1:15" ht="15.75" customHeight="1">
      <c r="A1370" s="4"/>
      <c r="B1370" s="4"/>
      <c r="C1370" s="4"/>
      <c r="D1370" s="4"/>
      <c r="E1370" s="4"/>
      <c r="G1370" s="4"/>
      <c r="H1370" s="4"/>
      <c r="K1370" s="4"/>
      <c r="N1370" s="4" t="s">
        <v>2464</v>
      </c>
      <c r="O1370" s="4">
        <v>886</v>
      </c>
    </row>
    <row r="1371" spans="1:15" ht="15.75" customHeight="1">
      <c r="A1371" s="4"/>
      <c r="B1371" s="4"/>
      <c r="C1371" s="4"/>
      <c r="D1371" s="4"/>
      <c r="E1371" s="4"/>
      <c r="G1371" s="4"/>
      <c r="H1371" s="4"/>
      <c r="K1371" s="4"/>
    </row>
    <row r="1372" spans="1:15" ht="15.75" customHeight="1">
      <c r="A1372" s="4"/>
      <c r="B1372" s="4"/>
      <c r="C1372" s="4"/>
      <c r="D1372" s="4"/>
      <c r="E1372" s="4"/>
      <c r="G1372" s="4"/>
      <c r="H1372" s="4"/>
      <c r="I1372" s="4"/>
      <c r="K1372" s="4"/>
      <c r="N1372" s="4" t="s">
        <v>8300</v>
      </c>
      <c r="O1372" s="4">
        <v>275</v>
      </c>
    </row>
    <row r="1373" spans="1:15" ht="15.75" customHeight="1">
      <c r="A1373" s="4"/>
      <c r="B1373" s="4"/>
      <c r="C1373" s="4"/>
      <c r="D1373" s="4"/>
      <c r="E1373" s="4"/>
      <c r="G1373" s="4"/>
      <c r="H1373" s="4"/>
      <c r="K1373" s="4"/>
      <c r="N1373" s="4" t="s">
        <v>2472</v>
      </c>
      <c r="O1373" s="4">
        <v>397</v>
      </c>
    </row>
    <row r="1374" spans="1:15" ht="15.75" customHeight="1">
      <c r="A1374" s="4"/>
      <c r="B1374" s="4"/>
      <c r="C1374" s="4"/>
      <c r="D1374" s="4"/>
      <c r="E1374" s="4"/>
      <c r="G1374" s="4"/>
      <c r="H1374" s="4"/>
      <c r="K1374" s="4"/>
      <c r="N1374" s="4" t="s">
        <v>2475</v>
      </c>
      <c r="O1374" s="4">
        <v>487</v>
      </c>
    </row>
    <row r="1375" spans="1:15" ht="15.75" customHeight="1">
      <c r="A1375" s="4"/>
      <c r="B1375" s="4"/>
      <c r="C1375" s="4"/>
      <c r="D1375" s="4"/>
      <c r="E1375" s="4"/>
      <c r="G1375" s="4"/>
      <c r="H1375" s="4"/>
      <c r="K1375" s="4"/>
      <c r="N1375" s="4" t="s">
        <v>2401</v>
      </c>
      <c r="O1375" s="4">
        <v>233</v>
      </c>
    </row>
    <row r="1376" spans="1:15" ht="15.75" customHeight="1">
      <c r="A1376" s="4"/>
      <c r="B1376" s="4"/>
      <c r="C1376" s="4"/>
      <c r="D1376" s="4"/>
      <c r="E1376" s="4"/>
      <c r="G1376" s="4"/>
      <c r="H1376" s="4"/>
      <c r="I1376" s="4"/>
      <c r="K1376" s="4"/>
      <c r="N1376" s="4" t="s">
        <v>2480</v>
      </c>
      <c r="O1376" s="4">
        <v>381</v>
      </c>
    </row>
    <row r="1377" spans="1:15" ht="15.75" customHeight="1">
      <c r="A1377" s="4"/>
      <c r="B1377" s="4"/>
      <c r="C1377" s="4"/>
      <c r="D1377" s="4"/>
      <c r="E1377" s="4"/>
      <c r="G1377" s="4"/>
      <c r="H1377" s="4"/>
      <c r="I1377" s="4"/>
      <c r="K1377" s="4"/>
      <c r="N1377" s="4" t="s">
        <v>2484</v>
      </c>
      <c r="O1377" s="4">
        <v>265</v>
      </c>
    </row>
    <row r="1378" spans="1:15" ht="15.75" customHeight="1">
      <c r="A1378" s="4"/>
      <c r="B1378" s="4"/>
      <c r="C1378" s="4"/>
      <c r="D1378" s="4"/>
      <c r="E1378" s="4"/>
      <c r="G1378" s="4"/>
      <c r="H1378" s="4"/>
      <c r="K1378" s="4"/>
      <c r="N1378" s="4" t="s">
        <v>2488</v>
      </c>
      <c r="O1378" s="4">
        <v>658</v>
      </c>
    </row>
    <row r="1379" spans="1:15" ht="15.75" customHeight="1">
      <c r="A1379" s="4"/>
      <c r="B1379" s="4"/>
      <c r="C1379" s="4"/>
      <c r="D1379" s="4"/>
      <c r="E1379" s="4"/>
      <c r="G1379" s="4"/>
      <c r="H1379" s="4"/>
      <c r="K1379" s="4"/>
    </row>
    <row r="1380" spans="1:15" ht="15.75" customHeight="1">
      <c r="A1380" s="4"/>
      <c r="B1380" s="4"/>
      <c r="C1380" s="4"/>
      <c r="D1380" s="4"/>
      <c r="E1380" s="4"/>
      <c r="G1380" s="4"/>
      <c r="H1380" s="4"/>
      <c r="K1380" s="4"/>
      <c r="N1380" s="4" t="s">
        <v>2493</v>
      </c>
      <c r="O1380" s="4">
        <v>275</v>
      </c>
    </row>
    <row r="1381" spans="1:15" ht="15.75" customHeight="1">
      <c r="A1381" s="4"/>
      <c r="B1381" s="4"/>
      <c r="C1381" s="4"/>
      <c r="D1381" s="4"/>
      <c r="E1381" s="4"/>
      <c r="G1381" s="4"/>
      <c r="H1381" s="4"/>
      <c r="K1381" s="4"/>
      <c r="N1381" s="4" t="s">
        <v>2496</v>
      </c>
      <c r="O1381" s="4">
        <v>488</v>
      </c>
    </row>
    <row r="1382" spans="1:15" ht="15.75" customHeight="1">
      <c r="A1382" s="4"/>
      <c r="B1382" s="4"/>
      <c r="C1382" s="4"/>
      <c r="D1382" s="4"/>
      <c r="E1382" s="4"/>
      <c r="G1382" s="4"/>
      <c r="H1382" s="4"/>
      <c r="K1382" s="4"/>
      <c r="N1382" s="4" t="s">
        <v>2499</v>
      </c>
      <c r="O1382" s="4">
        <v>772</v>
      </c>
    </row>
    <row r="1383" spans="1:15" ht="15.75" customHeight="1">
      <c r="A1383" s="4"/>
      <c r="B1383" s="4"/>
      <c r="C1383" s="4"/>
      <c r="D1383" s="4"/>
      <c r="E1383" s="4"/>
      <c r="G1383" s="4"/>
      <c r="H1383" s="4"/>
      <c r="K1383" s="4"/>
      <c r="N1383" s="4" t="s">
        <v>56</v>
      </c>
      <c r="O1383" s="4">
        <v>124</v>
      </c>
    </row>
    <row r="1384" spans="1:15" ht="15.75" customHeight="1">
      <c r="A1384" s="4"/>
      <c r="B1384" s="4"/>
      <c r="C1384" s="4"/>
      <c r="D1384" s="4"/>
      <c r="E1384" s="4"/>
      <c r="G1384" s="4"/>
      <c r="H1384" s="4"/>
      <c r="K1384" s="4"/>
      <c r="N1384" s="4" t="s">
        <v>56</v>
      </c>
      <c r="O1384" s="4">
        <v>140</v>
      </c>
    </row>
    <row r="1385" spans="1:15" ht="15.75" customHeight="1">
      <c r="A1385" s="4"/>
      <c r="B1385" s="4"/>
      <c r="C1385" s="4"/>
      <c r="D1385" s="4"/>
      <c r="E1385" s="4"/>
      <c r="G1385" s="4"/>
      <c r="H1385" s="4"/>
      <c r="K1385" s="4"/>
      <c r="N1385" s="4" t="s">
        <v>56</v>
      </c>
      <c r="O1385" s="4">
        <v>44</v>
      </c>
    </row>
    <row r="1386" spans="1:15" ht="15.75" customHeight="1">
      <c r="A1386" s="4"/>
      <c r="B1386" s="4"/>
      <c r="C1386" s="4"/>
      <c r="D1386" s="4"/>
      <c r="E1386" s="4"/>
      <c r="G1386" s="4"/>
      <c r="H1386" s="4"/>
      <c r="K1386" s="4"/>
      <c r="N1386" s="4" t="s">
        <v>674</v>
      </c>
      <c r="O1386" s="4">
        <v>306</v>
      </c>
    </row>
    <row r="1387" spans="1:15" ht="15.75" customHeight="1">
      <c r="A1387" s="4"/>
      <c r="B1387" s="4"/>
      <c r="C1387" s="4"/>
      <c r="D1387" s="4"/>
      <c r="E1387" s="4"/>
      <c r="G1387" s="4"/>
      <c r="H1387" s="4"/>
      <c r="K1387" s="4"/>
      <c r="N1387" s="4" t="s">
        <v>255</v>
      </c>
      <c r="O1387" s="4">
        <v>437</v>
      </c>
    </row>
    <row r="1388" spans="1:15" ht="15.75" customHeight="1">
      <c r="A1388" s="4"/>
      <c r="B1388" s="4"/>
      <c r="C1388" s="4"/>
      <c r="D1388" s="4"/>
      <c r="E1388" s="4"/>
      <c r="G1388" s="4"/>
      <c r="H1388" s="4"/>
      <c r="K1388" s="4"/>
      <c r="N1388" s="4" t="s">
        <v>2511</v>
      </c>
      <c r="O1388" s="4">
        <v>378</v>
      </c>
    </row>
    <row r="1389" spans="1:15" ht="15.75" customHeight="1">
      <c r="A1389" s="4"/>
      <c r="B1389" s="4"/>
      <c r="C1389" s="4"/>
      <c r="D1389" s="4"/>
      <c r="E1389" s="4"/>
      <c r="G1389" s="4"/>
      <c r="H1389" s="4"/>
      <c r="K1389" s="4"/>
      <c r="N1389" s="4" t="s">
        <v>56</v>
      </c>
      <c r="O1389" s="4">
        <v>105</v>
      </c>
    </row>
    <row r="1390" spans="1:15" ht="15.75" customHeight="1">
      <c r="B1390" s="4"/>
      <c r="C1390" s="4"/>
      <c r="D1390" s="4"/>
      <c r="E1390" s="4"/>
      <c r="G1390" s="4"/>
      <c r="H1390" s="4"/>
      <c r="K1390" s="4"/>
      <c r="N1390" s="4" t="s">
        <v>2516</v>
      </c>
      <c r="O1390" s="4">
        <v>555</v>
      </c>
    </row>
    <row r="1391" spans="1:15" ht="15.75" customHeight="1">
      <c r="A1391" s="4"/>
      <c r="B1391" s="4"/>
      <c r="C1391" s="4"/>
      <c r="D1391" s="4"/>
      <c r="E1391" s="4"/>
      <c r="G1391" s="4"/>
      <c r="H1391" s="4"/>
      <c r="K1391" s="4"/>
      <c r="N1391" s="4" t="s">
        <v>2519</v>
      </c>
      <c r="O1391" s="4">
        <v>55</v>
      </c>
    </row>
    <row r="1392" spans="1:15" ht="15.75" customHeight="1">
      <c r="A1392" s="4"/>
      <c r="B1392" s="4"/>
      <c r="C1392" s="4"/>
      <c r="D1392" s="4"/>
      <c r="E1392" s="4"/>
      <c r="G1392" s="4"/>
      <c r="H1392" s="4"/>
      <c r="I1392" s="4"/>
      <c r="K1392" s="4"/>
      <c r="N1392" s="4" t="s">
        <v>2522</v>
      </c>
      <c r="O1392" s="4">
        <v>703</v>
      </c>
    </row>
    <row r="1393" spans="1:15" ht="15.75" customHeight="1">
      <c r="A1393" s="4"/>
      <c r="B1393" s="4"/>
      <c r="C1393" s="4"/>
      <c r="D1393" s="4"/>
      <c r="E1393" s="4"/>
      <c r="G1393" s="4"/>
      <c r="H1393" s="4"/>
      <c r="K1393" s="4"/>
      <c r="N1393" s="4" t="s">
        <v>2526</v>
      </c>
      <c r="O1393" s="4">
        <v>163</v>
      </c>
    </row>
    <row r="1394" spans="1:15" ht="15.75" customHeight="1">
      <c r="B1394" s="4"/>
      <c r="C1394" s="4"/>
      <c r="D1394" s="4"/>
      <c r="E1394" s="4"/>
      <c r="G1394" s="4"/>
      <c r="H1394" s="4"/>
      <c r="K1394" s="4"/>
      <c r="N1394" s="4" t="s">
        <v>2529</v>
      </c>
      <c r="O1394" s="4">
        <v>250</v>
      </c>
    </row>
    <row r="1395" spans="1:15" ht="15.75" customHeight="1">
      <c r="A1395" s="4"/>
      <c r="B1395" s="4"/>
      <c r="C1395" s="4"/>
      <c r="D1395" s="4"/>
      <c r="E1395" s="4"/>
      <c r="G1395" s="4"/>
      <c r="H1395" s="4"/>
      <c r="K1395" s="4"/>
    </row>
    <row r="1396" spans="1:15" ht="15.75" customHeight="1">
      <c r="A1396" s="4"/>
      <c r="B1396" s="4"/>
      <c r="C1396" s="4"/>
      <c r="D1396" s="4"/>
      <c r="E1396" s="4"/>
      <c r="G1396" s="4"/>
      <c r="H1396" s="4"/>
      <c r="K1396" s="4"/>
    </row>
    <row r="1397" spans="1:15" ht="15.75" customHeight="1">
      <c r="A1397" s="4"/>
      <c r="B1397" s="4"/>
      <c r="C1397" s="4"/>
      <c r="D1397" s="4"/>
      <c r="E1397" s="4"/>
      <c r="G1397" s="4"/>
      <c r="H1397" s="4"/>
      <c r="K1397" s="4"/>
      <c r="N1397" s="4" t="s">
        <v>2535</v>
      </c>
      <c r="O1397" s="4">
        <v>212</v>
      </c>
    </row>
    <row r="1398" spans="1:15" ht="15.75" customHeight="1">
      <c r="A1398" s="4"/>
      <c r="B1398" s="4"/>
      <c r="C1398" s="4"/>
      <c r="D1398" s="4"/>
      <c r="E1398" s="4"/>
      <c r="G1398" s="4"/>
      <c r="H1398" s="4"/>
      <c r="K1398" s="4"/>
      <c r="N1398" s="4" t="s">
        <v>2538</v>
      </c>
      <c r="O1398" s="4">
        <v>170</v>
      </c>
    </row>
    <row r="1399" spans="1:15" ht="15.75" customHeight="1">
      <c r="A1399" s="4"/>
      <c r="B1399" s="4"/>
      <c r="C1399" s="4"/>
      <c r="D1399" s="4"/>
      <c r="E1399" s="4"/>
      <c r="G1399" s="4"/>
      <c r="H1399" s="4"/>
      <c r="K1399" s="4"/>
      <c r="N1399" s="4" t="s">
        <v>56</v>
      </c>
      <c r="O1399" s="4">
        <v>174</v>
      </c>
    </row>
    <row r="1400" spans="1:15" ht="15.75" customHeight="1">
      <c r="A1400" s="4"/>
      <c r="B1400" s="4"/>
      <c r="C1400" s="4"/>
      <c r="D1400" s="4"/>
      <c r="E1400" s="4"/>
      <c r="G1400" s="4"/>
      <c r="H1400" s="4"/>
      <c r="K1400" s="4"/>
    </row>
    <row r="1401" spans="1:15" ht="15.75" customHeight="1">
      <c r="A1401" s="4"/>
      <c r="B1401" s="4"/>
      <c r="C1401" s="4"/>
      <c r="D1401" s="4"/>
      <c r="E1401" s="4"/>
      <c r="G1401" s="4"/>
      <c r="H1401" s="4"/>
      <c r="I1401" s="4"/>
      <c r="K1401" s="4"/>
    </row>
    <row r="1402" spans="1:15" ht="15.75" customHeight="1">
      <c r="A1402" s="4"/>
      <c r="B1402" s="4"/>
      <c r="C1402" s="4"/>
      <c r="D1402" s="4"/>
      <c r="E1402" s="4"/>
      <c r="G1402" s="4"/>
      <c r="H1402" s="4"/>
      <c r="K1402" s="4"/>
    </row>
    <row r="1403" spans="1:15" ht="15.75" customHeight="1">
      <c r="A1403" s="4"/>
      <c r="B1403" s="4"/>
      <c r="C1403" s="4"/>
      <c r="D1403" s="4"/>
      <c r="E1403" s="4"/>
      <c r="G1403" s="4"/>
      <c r="H1403" s="4"/>
      <c r="K1403" s="4"/>
    </row>
    <row r="1404" spans="1:15" ht="15.75" customHeight="1">
      <c r="A1404" s="4"/>
      <c r="B1404" s="4"/>
      <c r="C1404" s="4"/>
      <c r="D1404" s="4"/>
      <c r="E1404" s="4"/>
      <c r="G1404" s="4"/>
      <c r="H1404" s="4"/>
      <c r="K1404" s="4"/>
    </row>
    <row r="1405" spans="1:15" ht="15.75" customHeight="1">
      <c r="A1405" s="4"/>
      <c r="B1405" s="4"/>
      <c r="C1405" s="4"/>
      <c r="D1405" s="4"/>
      <c r="E1405" s="4"/>
      <c r="G1405" s="4"/>
      <c r="H1405" s="4"/>
      <c r="K1405" s="4"/>
    </row>
    <row r="1406" spans="1:15" ht="15.75" customHeight="1">
      <c r="A1406" s="4"/>
      <c r="B1406" s="4"/>
      <c r="C1406" s="4"/>
      <c r="D1406" s="4"/>
      <c r="E1406" s="4"/>
      <c r="G1406" s="4"/>
      <c r="H1406" s="4"/>
      <c r="I1406" s="4"/>
      <c r="K1406" s="4"/>
      <c r="N1406" s="4" t="s">
        <v>2557</v>
      </c>
      <c r="O1406" s="4">
        <v>427</v>
      </c>
    </row>
    <row r="1407" spans="1:15" ht="15.75" customHeight="1">
      <c r="A1407" s="4"/>
      <c r="B1407" s="4"/>
      <c r="C1407" s="4"/>
      <c r="D1407" s="4"/>
      <c r="E1407" s="4"/>
      <c r="G1407" s="4"/>
      <c r="H1407" s="4"/>
      <c r="K1407" s="4"/>
      <c r="N1407" s="4" t="s">
        <v>92</v>
      </c>
      <c r="O1407" s="4">
        <v>525</v>
      </c>
    </row>
    <row r="1408" spans="1:15" ht="15.75" customHeight="1">
      <c r="A1408" s="4"/>
      <c r="B1408" s="4"/>
      <c r="C1408" s="4"/>
      <c r="D1408" s="4"/>
      <c r="E1408" s="4"/>
      <c r="G1408" s="4"/>
      <c r="H1408" s="4"/>
      <c r="K1408" s="4"/>
      <c r="N1408" s="4" t="s">
        <v>92</v>
      </c>
      <c r="O1408" s="4">
        <v>509</v>
      </c>
    </row>
    <row r="1409" spans="1:15" ht="15.75" customHeight="1">
      <c r="A1409" s="4"/>
      <c r="B1409" s="4"/>
      <c r="C1409" s="4"/>
      <c r="D1409" s="4"/>
      <c r="E1409" s="4"/>
      <c r="G1409" s="4"/>
      <c r="H1409" s="4"/>
      <c r="K1409" s="4"/>
      <c r="N1409" s="4" t="s">
        <v>166</v>
      </c>
      <c r="O1409" s="4">
        <v>484</v>
      </c>
    </row>
    <row r="1410" spans="1:15" ht="15.75" customHeight="1">
      <c r="A1410" s="4"/>
      <c r="B1410" s="4"/>
      <c r="C1410" s="4"/>
      <c r="D1410" s="4"/>
      <c r="E1410" s="4"/>
      <c r="G1410" s="4"/>
      <c r="H1410" s="4"/>
      <c r="I1410" s="4"/>
      <c r="K1410" s="4"/>
      <c r="N1410" s="4" t="s">
        <v>2567</v>
      </c>
      <c r="O1410" s="4">
        <v>236</v>
      </c>
    </row>
    <row r="1411" spans="1:15" ht="15.75" customHeight="1">
      <c r="A1411" s="4"/>
      <c r="B1411" s="4"/>
      <c r="C1411" s="4"/>
      <c r="D1411" s="4"/>
      <c r="E1411" s="4"/>
      <c r="G1411" s="4"/>
      <c r="H1411" s="4"/>
      <c r="I1411" s="4"/>
      <c r="K1411" s="4"/>
      <c r="N1411" s="4" t="s">
        <v>2571</v>
      </c>
      <c r="O1411" s="4">
        <v>558</v>
      </c>
    </row>
    <row r="1412" spans="1:15" ht="15.75" customHeight="1">
      <c r="A1412" s="4"/>
      <c r="B1412" s="4"/>
      <c r="C1412" s="4"/>
      <c r="D1412" s="4"/>
      <c r="E1412" s="4"/>
      <c r="G1412" s="4"/>
      <c r="H1412" s="4"/>
      <c r="K1412" s="4"/>
      <c r="N1412" s="4" t="s">
        <v>56</v>
      </c>
      <c r="O1412" s="4">
        <v>183</v>
      </c>
    </row>
    <row r="1413" spans="1:15" ht="15.75" customHeight="1">
      <c r="A1413" s="4"/>
      <c r="B1413" s="4"/>
      <c r="C1413" s="4"/>
      <c r="D1413" s="4"/>
      <c r="E1413" s="4"/>
      <c r="G1413" s="4"/>
      <c r="H1413" s="4"/>
      <c r="K1413" s="4"/>
      <c r="N1413" s="4" t="s">
        <v>51</v>
      </c>
      <c r="O1413" s="4">
        <v>174</v>
      </c>
    </row>
    <row r="1414" spans="1:15" ht="15.75" customHeight="1">
      <c r="A1414" s="4"/>
      <c r="B1414" s="4"/>
      <c r="C1414" s="4"/>
      <c r="D1414" s="4"/>
      <c r="E1414" s="4"/>
      <c r="G1414" s="4"/>
      <c r="H1414" s="4"/>
      <c r="K1414" s="4"/>
      <c r="N1414" s="4" t="s">
        <v>2579</v>
      </c>
      <c r="O1414" s="4">
        <v>344</v>
      </c>
    </row>
    <row r="1415" spans="1:15" ht="15.75" customHeight="1">
      <c r="A1415" s="4"/>
      <c r="B1415" s="4"/>
      <c r="C1415" s="4"/>
      <c r="D1415" s="4"/>
      <c r="E1415" s="4"/>
      <c r="G1415" s="4"/>
      <c r="H1415" s="4"/>
      <c r="K1415" s="4"/>
      <c r="N1415" s="4" t="s">
        <v>56</v>
      </c>
      <c r="O1415" s="4">
        <v>191</v>
      </c>
    </row>
    <row r="1416" spans="1:15" ht="15.75" customHeight="1">
      <c r="A1416" s="4"/>
      <c r="B1416" s="4"/>
      <c r="C1416" s="4"/>
      <c r="D1416" s="4"/>
      <c r="E1416" s="4"/>
      <c r="G1416" s="4"/>
      <c r="H1416" s="4"/>
      <c r="I1416" s="4"/>
      <c r="K1416" s="4"/>
      <c r="N1416" s="4" t="s">
        <v>2584</v>
      </c>
      <c r="O1416" s="4">
        <v>49</v>
      </c>
    </row>
    <row r="1417" spans="1:15" ht="15.75" customHeight="1">
      <c r="A1417" s="4"/>
      <c r="B1417" s="4"/>
      <c r="C1417" s="4"/>
      <c r="D1417" s="4"/>
      <c r="E1417" s="4"/>
      <c r="G1417" s="4"/>
      <c r="H1417" s="4"/>
      <c r="K1417" s="4"/>
      <c r="N1417" s="4" t="s">
        <v>2588</v>
      </c>
      <c r="O1417" s="4">
        <v>205</v>
      </c>
    </row>
    <row r="1418" spans="1:15" ht="15.75" customHeight="1">
      <c r="A1418" s="4"/>
      <c r="B1418" s="4"/>
      <c r="C1418" s="4"/>
      <c r="D1418" s="4"/>
      <c r="E1418" s="4"/>
      <c r="G1418" s="4"/>
      <c r="H1418" s="4"/>
      <c r="K1418" s="4"/>
      <c r="N1418" s="4" t="s">
        <v>1434</v>
      </c>
      <c r="O1418" s="4">
        <v>293</v>
      </c>
    </row>
    <row r="1419" spans="1:15" ht="15.75" customHeight="1">
      <c r="A1419" s="4"/>
      <c r="B1419" s="4"/>
      <c r="C1419" s="4"/>
      <c r="D1419" s="4"/>
      <c r="E1419" s="4"/>
      <c r="G1419" s="4"/>
      <c r="H1419" s="4"/>
      <c r="K1419" s="4"/>
      <c r="N1419" s="4" t="s">
        <v>2151</v>
      </c>
      <c r="O1419" s="4">
        <v>269</v>
      </c>
    </row>
    <row r="1420" spans="1:15" ht="15.75" customHeight="1">
      <c r="A1420" s="4"/>
      <c r="B1420" s="4"/>
      <c r="C1420" s="4"/>
      <c r="D1420" s="4"/>
      <c r="E1420" s="4"/>
      <c r="G1420" s="4"/>
      <c r="H1420" s="4"/>
      <c r="K1420" s="4"/>
      <c r="N1420" s="4" t="s">
        <v>56</v>
      </c>
      <c r="O1420" s="4">
        <v>193</v>
      </c>
    </row>
    <row r="1421" spans="1:15" ht="15.75" customHeight="1">
      <c r="A1421" s="4"/>
      <c r="B1421" s="4"/>
      <c r="C1421" s="4"/>
      <c r="D1421" s="4"/>
      <c r="E1421" s="4"/>
      <c r="G1421" s="4"/>
      <c r="H1421" s="4"/>
      <c r="K1421" s="4"/>
      <c r="N1421" s="4" t="s">
        <v>56</v>
      </c>
      <c r="O1421" s="4">
        <v>141</v>
      </c>
    </row>
    <row r="1422" spans="1:15" ht="15.75" customHeight="1">
      <c r="A1422" s="4"/>
      <c r="B1422" s="4"/>
      <c r="C1422" s="4"/>
      <c r="D1422" s="4"/>
      <c r="E1422" s="4"/>
      <c r="G1422" s="4"/>
      <c r="H1422" s="4"/>
      <c r="I1422" s="4"/>
      <c r="K1422" s="4"/>
      <c r="N1422" s="4" t="s">
        <v>2599</v>
      </c>
      <c r="O1422" s="4">
        <v>280</v>
      </c>
    </row>
    <row r="1423" spans="1:15" ht="15.75" customHeight="1">
      <c r="A1423" s="4"/>
      <c r="B1423" s="4"/>
      <c r="C1423" s="4"/>
      <c r="D1423" s="4"/>
      <c r="E1423" s="4"/>
      <c r="G1423" s="4"/>
      <c r="H1423" s="4"/>
      <c r="K1423" s="4"/>
      <c r="N1423" s="4" t="s">
        <v>2401</v>
      </c>
      <c r="O1423" s="4">
        <v>231</v>
      </c>
    </row>
    <row r="1424" spans="1:15" ht="15.75" customHeight="1">
      <c r="A1424" s="4"/>
      <c r="B1424" s="4"/>
      <c r="C1424" s="4"/>
      <c r="D1424" s="4"/>
      <c r="E1424" s="4"/>
      <c r="G1424" s="4"/>
      <c r="H1424" s="4"/>
      <c r="K1424" s="4"/>
      <c r="N1424" s="4" t="s">
        <v>2605</v>
      </c>
      <c r="O1424" s="4">
        <v>467</v>
      </c>
    </row>
    <row r="1425" spans="1:15" ht="15.75" customHeight="1">
      <c r="A1425" s="4"/>
      <c r="B1425" s="4"/>
      <c r="C1425" s="4"/>
      <c r="D1425" s="4"/>
      <c r="E1425" s="4"/>
      <c r="G1425" s="4"/>
      <c r="H1425" s="4"/>
      <c r="I1425" s="4"/>
      <c r="K1425" s="4"/>
      <c r="N1425" s="4" t="s">
        <v>2608</v>
      </c>
      <c r="O1425" s="4">
        <v>182</v>
      </c>
    </row>
    <row r="1426" spans="1:15" ht="15.75" customHeight="1">
      <c r="A1426" s="4"/>
      <c r="B1426" s="4"/>
      <c r="C1426" s="4"/>
      <c r="D1426" s="4"/>
      <c r="E1426" s="4"/>
      <c r="G1426" s="4"/>
      <c r="H1426" s="4"/>
      <c r="I1426" s="4"/>
      <c r="K1426" s="4"/>
      <c r="N1426" s="4" t="s">
        <v>2612</v>
      </c>
      <c r="O1426" s="4">
        <v>510</v>
      </c>
    </row>
    <row r="1427" spans="1:15" ht="15.75" customHeight="1">
      <c r="A1427" s="4"/>
      <c r="B1427" s="4"/>
      <c r="C1427" s="4"/>
      <c r="D1427" s="4"/>
      <c r="E1427" s="4"/>
      <c r="G1427" s="4"/>
      <c r="H1427" s="4"/>
      <c r="K1427" s="4"/>
      <c r="N1427" s="4" t="s">
        <v>2616</v>
      </c>
      <c r="O1427" s="4">
        <v>292</v>
      </c>
    </row>
    <row r="1428" spans="1:15" ht="15.75" customHeight="1">
      <c r="A1428" s="4"/>
      <c r="B1428" s="4"/>
      <c r="C1428" s="4"/>
      <c r="D1428" s="4"/>
      <c r="E1428" s="4"/>
      <c r="G1428" s="4"/>
      <c r="H1428" s="4"/>
      <c r="I1428" s="4"/>
      <c r="K1428" s="4"/>
      <c r="N1428" s="4" t="s">
        <v>2619</v>
      </c>
      <c r="O1428" s="4">
        <v>101</v>
      </c>
    </row>
    <row r="1429" spans="1:15" ht="15.75" customHeight="1">
      <c r="A1429" s="4"/>
      <c r="B1429" s="4"/>
      <c r="C1429" s="4"/>
      <c r="D1429" s="4"/>
      <c r="E1429" s="4"/>
      <c r="G1429" s="4"/>
      <c r="H1429" s="4"/>
      <c r="I1429" s="4"/>
      <c r="K1429" s="4"/>
      <c r="N1429" s="4" t="s">
        <v>2623</v>
      </c>
      <c r="O1429" s="4">
        <v>334</v>
      </c>
    </row>
    <row r="1430" spans="1:15" ht="15.75" customHeight="1">
      <c r="A1430" s="4"/>
      <c r="B1430" s="4"/>
      <c r="C1430" s="4"/>
      <c r="D1430" s="4"/>
      <c r="E1430" s="4"/>
      <c r="G1430" s="4"/>
      <c r="H1430" s="4"/>
      <c r="K1430" s="4"/>
      <c r="N1430" s="4" t="s">
        <v>2627</v>
      </c>
      <c r="O1430" s="4">
        <v>47</v>
      </c>
    </row>
    <row r="1431" spans="1:15" ht="15.75" customHeight="1">
      <c r="A1431" s="4"/>
      <c r="B1431" s="4"/>
      <c r="C1431" s="4"/>
      <c r="D1431" s="4"/>
      <c r="E1431" s="4"/>
      <c r="G1431" s="4"/>
      <c r="H1431" s="4"/>
      <c r="K1431" s="4"/>
      <c r="N1431" s="4" t="s">
        <v>2630</v>
      </c>
      <c r="O1431" s="4">
        <v>374</v>
      </c>
    </row>
    <row r="1432" spans="1:15" ht="15.75" customHeight="1">
      <c r="A1432" s="4"/>
      <c r="B1432" s="4"/>
      <c r="C1432" s="4"/>
      <c r="D1432" s="4"/>
      <c r="E1432" s="4"/>
      <c r="G1432" s="4"/>
      <c r="H1432" s="4"/>
      <c r="K1432" s="4"/>
      <c r="N1432" s="4" t="s">
        <v>2633</v>
      </c>
      <c r="O1432" s="4">
        <v>132</v>
      </c>
    </row>
    <row r="1433" spans="1:15" ht="15.75" customHeight="1">
      <c r="A1433" s="4"/>
      <c r="B1433" s="4"/>
      <c r="C1433" s="4"/>
      <c r="D1433" s="4"/>
      <c r="E1433" s="4"/>
      <c r="G1433" s="4"/>
      <c r="H1433" s="4"/>
      <c r="K1433" s="4"/>
      <c r="N1433" s="4" t="s">
        <v>56</v>
      </c>
      <c r="O1433" s="4">
        <v>108</v>
      </c>
    </row>
    <row r="1434" spans="1:15" ht="15.75" customHeight="1">
      <c r="A1434" s="4"/>
      <c r="B1434" s="4"/>
      <c r="C1434" s="4"/>
      <c r="D1434" s="4"/>
      <c r="E1434" s="4"/>
      <c r="G1434" s="4"/>
      <c r="H1434" s="4"/>
      <c r="K1434" s="4"/>
      <c r="N1434" s="4" t="s">
        <v>2638</v>
      </c>
      <c r="O1434" s="4">
        <v>449</v>
      </c>
    </row>
    <row r="1435" spans="1:15" ht="15.75" customHeight="1">
      <c r="A1435" s="4"/>
      <c r="B1435" s="4"/>
      <c r="C1435" s="4"/>
      <c r="D1435" s="4"/>
      <c r="E1435" s="4"/>
      <c r="G1435" s="4"/>
      <c r="H1435" s="4"/>
      <c r="K1435" s="4"/>
      <c r="N1435" s="4" t="s">
        <v>56</v>
      </c>
      <c r="O1435" s="4">
        <v>85</v>
      </c>
    </row>
    <row r="1436" spans="1:15" ht="15.75" customHeight="1">
      <c r="A1436" s="4"/>
      <c r="B1436" s="4"/>
      <c r="C1436" s="4"/>
      <c r="D1436" s="4"/>
      <c r="E1436" s="4"/>
      <c r="G1436" s="4"/>
      <c r="H1436" s="4"/>
      <c r="K1436" s="4"/>
      <c r="N1436" s="4" t="s">
        <v>2643</v>
      </c>
      <c r="O1436" s="4">
        <v>188</v>
      </c>
    </row>
    <row r="1437" spans="1:15" ht="15.75" customHeight="1">
      <c r="A1437" s="4"/>
      <c r="B1437" s="4"/>
      <c r="C1437" s="4"/>
      <c r="D1437" s="4"/>
      <c r="E1437" s="4"/>
      <c r="G1437" s="4"/>
      <c r="H1437" s="4"/>
      <c r="K1437" s="4"/>
      <c r="N1437" s="4" t="s">
        <v>51</v>
      </c>
      <c r="O1437" s="4">
        <v>164</v>
      </c>
    </row>
    <row r="1438" spans="1:15" ht="15.75" customHeight="1">
      <c r="A1438" s="4"/>
      <c r="B1438" s="4"/>
      <c r="C1438" s="4"/>
      <c r="D1438" s="4"/>
      <c r="E1438" s="4"/>
      <c r="G1438" s="4"/>
      <c r="H1438" s="4"/>
      <c r="K1438" s="4"/>
      <c r="N1438" s="4" t="s">
        <v>2648</v>
      </c>
      <c r="O1438" s="4">
        <v>205</v>
      </c>
    </row>
    <row r="1439" spans="1:15" ht="15.75" customHeight="1">
      <c r="A1439" s="4"/>
      <c r="B1439" s="4"/>
      <c r="C1439" s="4"/>
      <c r="D1439" s="4"/>
      <c r="E1439" s="4"/>
      <c r="G1439" s="4"/>
      <c r="H1439" s="4"/>
      <c r="K1439" s="4"/>
      <c r="N1439" s="4" t="s">
        <v>2651</v>
      </c>
      <c r="O1439" s="4">
        <v>112</v>
      </c>
    </row>
    <row r="1440" spans="1:15" ht="15.75" customHeight="1">
      <c r="A1440" s="4"/>
      <c r="B1440" s="4"/>
      <c r="C1440" s="4"/>
      <c r="D1440" s="4"/>
      <c r="E1440" s="4"/>
      <c r="G1440" s="4"/>
      <c r="H1440" s="4"/>
      <c r="K1440" s="4"/>
      <c r="N1440" s="4" t="s">
        <v>56</v>
      </c>
      <c r="O1440" s="4">
        <v>285</v>
      </c>
    </row>
    <row r="1441" spans="1:15" ht="15.75" customHeight="1">
      <c r="A1441" s="4"/>
      <c r="B1441" s="4"/>
      <c r="C1441" s="4"/>
      <c r="D1441" s="4"/>
      <c r="E1441" s="4"/>
      <c r="G1441" s="4"/>
      <c r="H1441" s="4"/>
      <c r="K1441" s="4"/>
      <c r="N1441" s="4" t="s">
        <v>2656</v>
      </c>
      <c r="O1441" s="4">
        <v>251</v>
      </c>
    </row>
    <row r="1442" spans="1:15" ht="15.75" customHeight="1">
      <c r="A1442" s="4"/>
      <c r="B1442" s="4"/>
      <c r="C1442" s="4"/>
      <c r="D1442" s="4"/>
      <c r="E1442" s="4"/>
      <c r="G1442" s="4"/>
      <c r="H1442" s="4"/>
      <c r="K1442" s="4"/>
      <c r="N1442" s="4" t="s">
        <v>73</v>
      </c>
      <c r="O1442" s="4">
        <v>305</v>
      </c>
    </row>
    <row r="1443" spans="1:15" ht="15.75" customHeight="1">
      <c r="A1443" s="4"/>
      <c r="B1443" s="4"/>
      <c r="C1443" s="4"/>
      <c r="D1443" s="4"/>
      <c r="E1443" s="4"/>
      <c r="G1443" s="4"/>
      <c r="H1443" s="4"/>
      <c r="K1443" s="4"/>
      <c r="N1443" s="4" t="s">
        <v>76</v>
      </c>
      <c r="O1443" s="4">
        <v>538</v>
      </c>
    </row>
    <row r="1444" spans="1:15" ht="15.75" customHeight="1">
      <c r="A1444" s="4"/>
      <c r="B1444" s="4"/>
      <c r="C1444" s="4"/>
      <c r="D1444" s="4"/>
      <c r="E1444" s="4"/>
      <c r="G1444" s="4"/>
      <c r="H1444" s="4"/>
      <c r="K1444" s="4"/>
      <c r="N1444" s="4" t="s">
        <v>111</v>
      </c>
      <c r="O1444" s="4">
        <v>212</v>
      </c>
    </row>
    <row r="1445" spans="1:15" ht="15.75" customHeight="1">
      <c r="A1445" s="4"/>
      <c r="B1445" s="4"/>
      <c r="C1445" s="4"/>
      <c r="D1445" s="4"/>
      <c r="E1445" s="4"/>
      <c r="G1445" s="4"/>
      <c r="H1445" s="4"/>
      <c r="K1445" s="4"/>
      <c r="N1445" s="4" t="s">
        <v>255</v>
      </c>
      <c r="O1445" s="4">
        <v>469</v>
      </c>
    </row>
    <row r="1446" spans="1:15" ht="15.75" customHeight="1">
      <c r="A1446" s="4"/>
      <c r="B1446" s="4"/>
      <c r="C1446" s="4"/>
      <c r="D1446" s="4"/>
      <c r="E1446" s="4"/>
      <c r="G1446" s="4"/>
      <c r="H1446" s="4"/>
      <c r="K1446" s="4"/>
      <c r="N1446" s="4" t="s">
        <v>2667</v>
      </c>
      <c r="O1446" s="4">
        <v>245</v>
      </c>
    </row>
    <row r="1447" spans="1:15" ht="15.75" customHeight="1">
      <c r="A1447" s="4"/>
      <c r="B1447" s="4"/>
      <c r="C1447" s="4"/>
      <c r="D1447" s="4"/>
      <c r="E1447" s="4"/>
      <c r="G1447" s="4"/>
      <c r="H1447" s="4"/>
      <c r="K1447" s="4"/>
      <c r="N1447" s="4" t="s">
        <v>92</v>
      </c>
      <c r="O1447" s="4">
        <v>344</v>
      </c>
    </row>
    <row r="1448" spans="1:15" ht="15.75" customHeight="1">
      <c r="A1448" s="4"/>
      <c r="B1448" s="4"/>
      <c r="C1448" s="4"/>
      <c r="D1448" s="4"/>
      <c r="E1448" s="4"/>
      <c r="G1448" s="4"/>
      <c r="H1448" s="4"/>
      <c r="K1448" s="4"/>
      <c r="N1448" s="4" t="s">
        <v>2151</v>
      </c>
      <c r="O1448" s="4">
        <v>285</v>
      </c>
    </row>
    <row r="1449" spans="1:15" ht="15.75" customHeight="1">
      <c r="A1449" s="4"/>
      <c r="B1449" s="4"/>
      <c r="C1449" s="4"/>
      <c r="D1449" s="4"/>
      <c r="E1449" s="4"/>
      <c r="G1449" s="4"/>
      <c r="H1449" s="4"/>
      <c r="K1449" s="4"/>
      <c r="N1449" s="4" t="s">
        <v>2401</v>
      </c>
      <c r="O1449" s="4">
        <v>125</v>
      </c>
    </row>
    <row r="1450" spans="1:15" ht="15.75" customHeight="1">
      <c r="A1450" s="4"/>
      <c r="B1450" s="4"/>
      <c r="C1450" s="4"/>
      <c r="D1450" s="4"/>
      <c r="E1450" s="4"/>
      <c r="G1450" s="4"/>
      <c r="H1450" s="4"/>
      <c r="K1450" s="4"/>
      <c r="N1450" s="4" t="s">
        <v>73</v>
      </c>
      <c r="O1450" s="4">
        <v>237</v>
      </c>
    </row>
    <row r="1451" spans="1:15" ht="15.75" customHeight="1">
      <c r="A1451" s="4"/>
      <c r="B1451" s="4"/>
      <c r="C1451" s="4"/>
      <c r="D1451" s="4"/>
      <c r="E1451" s="4"/>
      <c r="G1451" s="4"/>
      <c r="H1451" s="4"/>
      <c r="K1451" s="4"/>
      <c r="N1451" s="4" t="s">
        <v>56</v>
      </c>
      <c r="O1451" s="4">
        <v>246</v>
      </c>
    </row>
    <row r="1452" spans="1:15" ht="15.75" customHeight="1">
      <c r="A1452" s="4"/>
      <c r="B1452" s="4"/>
      <c r="C1452" s="4"/>
      <c r="D1452" s="4"/>
      <c r="E1452" s="4"/>
      <c r="G1452" s="4"/>
      <c r="H1452" s="4"/>
      <c r="K1452" s="4"/>
      <c r="N1452" s="4" t="s">
        <v>1312</v>
      </c>
      <c r="O1452" s="4">
        <v>458</v>
      </c>
    </row>
    <row r="1453" spans="1:15" ht="15.75" customHeight="1">
      <c r="A1453" s="4"/>
      <c r="B1453" s="4"/>
      <c r="C1453" s="4"/>
      <c r="D1453" s="4"/>
      <c r="E1453" s="4"/>
      <c r="G1453" s="4"/>
      <c r="H1453" s="4"/>
      <c r="K1453" s="4"/>
      <c r="N1453" s="4" t="s">
        <v>73</v>
      </c>
      <c r="O1453" s="4">
        <v>235</v>
      </c>
    </row>
    <row r="1454" spans="1:15" ht="15.75" customHeight="1">
      <c r="A1454" s="4"/>
      <c r="B1454" s="4"/>
      <c r="C1454" s="4"/>
      <c r="D1454" s="4"/>
      <c r="E1454" s="4"/>
      <c r="G1454" s="4"/>
      <c r="H1454" s="4"/>
      <c r="K1454" s="4"/>
      <c r="N1454" s="4" t="s">
        <v>51</v>
      </c>
      <c r="O1454" s="4">
        <v>186</v>
      </c>
    </row>
    <row r="1455" spans="1:15" ht="15.75" customHeight="1">
      <c r="A1455" s="4"/>
      <c r="B1455" s="4"/>
      <c r="C1455" s="4"/>
      <c r="D1455" s="4"/>
      <c r="E1455" s="4"/>
      <c r="G1455" s="4"/>
      <c r="H1455" s="4"/>
      <c r="K1455" s="4"/>
      <c r="N1455" s="4" t="s">
        <v>2499</v>
      </c>
      <c r="O1455" s="4">
        <v>271</v>
      </c>
    </row>
    <row r="1456" spans="1:15" ht="15.75" customHeight="1">
      <c r="B1456" s="4"/>
      <c r="C1456" s="4"/>
      <c r="D1456" s="4"/>
      <c r="E1456" s="4"/>
      <c r="G1456" s="4"/>
      <c r="H1456" s="4"/>
      <c r="K1456" s="4"/>
      <c r="N1456" s="4" t="s">
        <v>73</v>
      </c>
      <c r="O1456" s="4">
        <v>362</v>
      </c>
    </row>
    <row r="1457" spans="1:15" ht="15.75" customHeight="1">
      <c r="A1457" s="4"/>
      <c r="B1457" s="4"/>
      <c r="C1457" s="4"/>
      <c r="D1457" s="4"/>
      <c r="E1457" s="4"/>
      <c r="G1457" s="4"/>
      <c r="H1457" s="4"/>
      <c r="K1457" s="4"/>
      <c r="N1457" s="4" t="s">
        <v>56</v>
      </c>
      <c r="O1457" s="4">
        <v>103</v>
      </c>
    </row>
    <row r="1458" spans="1:15" ht="15.75" customHeight="1">
      <c r="A1458" s="4"/>
      <c r="B1458" s="4"/>
      <c r="C1458" s="4"/>
      <c r="D1458" s="4"/>
      <c r="E1458" s="4"/>
      <c r="G1458" s="4"/>
      <c r="H1458" s="4"/>
      <c r="K1458" s="4"/>
      <c r="N1458" s="4" t="s">
        <v>76</v>
      </c>
      <c r="O1458" s="4">
        <v>327</v>
      </c>
    </row>
    <row r="1459" spans="1:15" ht="15.75" customHeight="1">
      <c r="A1459" s="4"/>
      <c r="B1459" s="4"/>
      <c r="C1459" s="4"/>
      <c r="D1459" s="4"/>
      <c r="E1459" s="4"/>
      <c r="G1459" s="4"/>
      <c r="H1459" s="4"/>
      <c r="K1459" s="4"/>
    </row>
    <row r="1460" spans="1:15" ht="15.75" customHeight="1">
      <c r="A1460" s="4"/>
      <c r="B1460" s="4"/>
      <c r="C1460" s="4"/>
      <c r="D1460" s="4"/>
      <c r="E1460" s="4"/>
      <c r="G1460" s="4"/>
      <c r="H1460" s="4"/>
      <c r="K1460" s="4"/>
      <c r="N1460" s="4" t="s">
        <v>717</v>
      </c>
      <c r="O1460" s="4">
        <v>262</v>
      </c>
    </row>
    <row r="1461" spans="1:15" ht="15.75" customHeight="1">
      <c r="A1461" s="4"/>
      <c r="B1461" s="4"/>
      <c r="C1461" s="4"/>
      <c r="D1461" s="4"/>
      <c r="E1461" s="4"/>
      <c r="G1461" s="4"/>
      <c r="H1461" s="4"/>
      <c r="K1461" s="4"/>
    </row>
    <row r="1462" spans="1:15" ht="15.75" customHeight="1">
      <c r="A1462" s="4"/>
      <c r="B1462" s="4"/>
      <c r="C1462" s="4"/>
      <c r="D1462" s="4"/>
      <c r="E1462" s="4"/>
      <c r="G1462" s="4"/>
      <c r="H1462" s="4"/>
      <c r="K1462" s="4"/>
      <c r="N1462" s="4" t="s">
        <v>678</v>
      </c>
      <c r="O1462" s="4">
        <v>556</v>
      </c>
    </row>
    <row r="1463" spans="1:15" ht="15.75" customHeight="1">
      <c r="A1463" s="4"/>
      <c r="B1463" s="4"/>
      <c r="C1463" s="4"/>
      <c r="D1463" s="4"/>
      <c r="E1463" s="4"/>
      <c r="G1463" s="4"/>
      <c r="H1463" s="4"/>
      <c r="K1463" s="4"/>
      <c r="N1463" s="4" t="s">
        <v>2699</v>
      </c>
      <c r="O1463" s="4">
        <v>226</v>
      </c>
    </row>
    <row r="1464" spans="1:15" ht="15.75" customHeight="1">
      <c r="A1464" s="4"/>
      <c r="B1464" s="4"/>
      <c r="C1464" s="4"/>
      <c r="D1464" s="4"/>
      <c r="E1464" s="4"/>
      <c r="G1464" s="4"/>
      <c r="H1464" s="4"/>
      <c r="K1464" s="4"/>
      <c r="N1464" s="4" t="s">
        <v>478</v>
      </c>
      <c r="O1464" s="4">
        <v>110</v>
      </c>
    </row>
    <row r="1465" spans="1:15" ht="15.75" customHeight="1">
      <c r="A1465" s="4"/>
      <c r="B1465" s="4"/>
      <c r="C1465" s="4"/>
      <c r="D1465" s="4"/>
      <c r="E1465" s="4"/>
      <c r="G1465" s="4"/>
      <c r="H1465" s="4"/>
      <c r="K1465" s="4"/>
      <c r="N1465" s="4" t="s">
        <v>56</v>
      </c>
      <c r="O1465" s="4">
        <v>87</v>
      </c>
    </row>
    <row r="1466" spans="1:15" ht="15.75" customHeight="1">
      <c r="A1466" s="4"/>
      <c r="B1466" s="4"/>
      <c r="C1466" s="4"/>
      <c r="D1466" s="4"/>
      <c r="E1466" s="4"/>
      <c r="G1466" s="4"/>
      <c r="H1466" s="4"/>
      <c r="K1466" s="4"/>
      <c r="N1466" s="4" t="s">
        <v>2499</v>
      </c>
      <c r="O1466" s="4">
        <v>551</v>
      </c>
    </row>
    <row r="1467" spans="1:15" ht="15.75" customHeight="1">
      <c r="A1467" s="4"/>
      <c r="B1467" s="4"/>
      <c r="C1467" s="4"/>
      <c r="D1467" s="4"/>
      <c r="E1467" s="4"/>
      <c r="G1467" s="4"/>
      <c r="H1467" s="4"/>
      <c r="K1467" s="4"/>
      <c r="N1467" s="4" t="s">
        <v>73</v>
      </c>
      <c r="O1467" s="4">
        <v>533</v>
      </c>
    </row>
    <row r="1468" spans="1:15" ht="15.75" customHeight="1">
      <c r="A1468" s="4"/>
      <c r="B1468" s="4"/>
      <c r="C1468" s="4"/>
      <c r="D1468" s="4"/>
      <c r="E1468" s="4"/>
      <c r="G1468" s="4"/>
      <c r="H1468" s="4"/>
      <c r="K1468" s="4"/>
      <c r="N1468" s="4" t="s">
        <v>2710</v>
      </c>
      <c r="O1468" s="4">
        <v>132</v>
      </c>
    </row>
    <row r="1469" spans="1:15" ht="15.75" customHeight="1">
      <c r="A1469" s="4"/>
      <c r="B1469" s="4"/>
      <c r="C1469" s="4"/>
      <c r="D1469" s="4"/>
      <c r="E1469" s="4"/>
      <c r="G1469" s="4"/>
      <c r="H1469" s="4"/>
      <c r="K1469" s="4"/>
      <c r="N1469" s="4" t="s">
        <v>56</v>
      </c>
      <c r="O1469" s="4">
        <v>97</v>
      </c>
    </row>
    <row r="1470" spans="1:15" ht="15.75" customHeight="1">
      <c r="A1470" s="4"/>
      <c r="B1470" s="4"/>
      <c r="C1470" s="4"/>
      <c r="D1470" s="4"/>
      <c r="E1470" s="4"/>
      <c r="G1470" s="4"/>
      <c r="H1470" s="4"/>
      <c r="K1470" s="4"/>
      <c r="N1470" s="4" t="s">
        <v>2715</v>
      </c>
      <c r="O1470" s="4">
        <v>1194</v>
      </c>
    </row>
    <row r="1471" spans="1:15" ht="15.75" customHeight="1">
      <c r="A1471" s="4"/>
      <c r="B1471" s="4"/>
      <c r="C1471" s="4"/>
      <c r="D1471" s="4"/>
      <c r="E1471" s="4"/>
      <c r="G1471" s="4"/>
      <c r="H1471" s="4"/>
      <c r="K1471" s="4"/>
      <c r="N1471" s="4" t="s">
        <v>2718</v>
      </c>
      <c r="O1471" s="4">
        <v>253</v>
      </c>
    </row>
    <row r="1472" spans="1:15" ht="15.75" customHeight="1">
      <c r="A1472" s="4"/>
      <c r="B1472" s="4"/>
      <c r="C1472" s="4"/>
      <c r="D1472" s="4"/>
      <c r="E1472" s="4"/>
      <c r="G1472" s="4"/>
      <c r="H1472" s="4"/>
      <c r="K1472" s="4"/>
      <c r="N1472" s="4" t="s">
        <v>56</v>
      </c>
      <c r="O1472" s="4">
        <v>68</v>
      </c>
    </row>
    <row r="1473" spans="1:15" ht="15.75" customHeight="1">
      <c r="A1473" s="4"/>
      <c r="B1473" s="4"/>
      <c r="C1473" s="4"/>
      <c r="D1473" s="4"/>
      <c r="E1473" s="4"/>
      <c r="G1473" s="4"/>
      <c r="H1473" s="4"/>
      <c r="K1473" s="4"/>
      <c r="N1473" s="4" t="s">
        <v>1094</v>
      </c>
      <c r="O1473" s="4">
        <v>255</v>
      </c>
    </row>
    <row r="1474" spans="1:15" ht="15.75" customHeight="1">
      <c r="A1474" s="4"/>
      <c r="B1474" s="4"/>
      <c r="C1474" s="4"/>
      <c r="D1474" s="4"/>
      <c r="E1474" s="4"/>
      <c r="G1474" s="4"/>
      <c r="H1474" s="4"/>
      <c r="K1474" s="4"/>
      <c r="N1474" s="4" t="s">
        <v>2725</v>
      </c>
      <c r="O1474" s="4">
        <v>531</v>
      </c>
    </row>
    <row r="1475" spans="1:15" ht="15.75" customHeight="1">
      <c r="A1475" s="4"/>
      <c r="B1475" s="4"/>
      <c r="C1475" s="4"/>
      <c r="D1475" s="4"/>
      <c r="E1475" s="4"/>
      <c r="G1475" s="4"/>
      <c r="H1475" s="4"/>
      <c r="K1475" s="4"/>
      <c r="N1475" s="4" t="s">
        <v>92</v>
      </c>
      <c r="O1475" s="4">
        <v>109</v>
      </c>
    </row>
    <row r="1476" spans="1:15" ht="15.75" customHeight="1">
      <c r="A1476" s="4"/>
      <c r="B1476" s="4"/>
      <c r="C1476" s="4"/>
      <c r="D1476" s="4"/>
      <c r="E1476" s="4"/>
      <c r="G1476" s="4"/>
      <c r="H1476" s="4"/>
      <c r="K1476" s="4"/>
      <c r="N1476" s="4" t="s">
        <v>2730</v>
      </c>
      <c r="O1476" s="4">
        <v>214</v>
      </c>
    </row>
    <row r="1477" spans="1:15" ht="15.75" customHeight="1">
      <c r="A1477" s="4"/>
      <c r="B1477" s="4"/>
      <c r="C1477" s="4"/>
      <c r="D1477" s="4"/>
      <c r="E1477" s="4"/>
      <c r="G1477" s="4"/>
      <c r="H1477" s="4"/>
      <c r="K1477" s="4"/>
      <c r="N1477" s="4" t="s">
        <v>674</v>
      </c>
      <c r="O1477" s="4">
        <v>306</v>
      </c>
    </row>
    <row r="1478" spans="1:15" ht="15.75" customHeight="1">
      <c r="A1478" s="4"/>
      <c r="B1478" s="4"/>
      <c r="C1478" s="4"/>
      <c r="D1478" s="4"/>
      <c r="E1478" s="4"/>
      <c r="G1478" s="4"/>
      <c r="H1478" s="4"/>
      <c r="K1478" s="4"/>
      <c r="N1478" s="4" t="s">
        <v>56</v>
      </c>
      <c r="O1478" s="4">
        <v>66</v>
      </c>
    </row>
    <row r="1479" spans="1:15" ht="15.75" customHeight="1">
      <c r="A1479" s="4"/>
      <c r="B1479" s="4"/>
      <c r="C1479" s="4"/>
      <c r="D1479" s="4"/>
      <c r="E1479" s="4"/>
      <c r="G1479" s="4"/>
      <c r="H1479" s="4"/>
      <c r="I1479" s="4"/>
      <c r="K1479" s="4"/>
      <c r="N1479" s="4" t="s">
        <v>2736</v>
      </c>
      <c r="O1479" s="4">
        <v>517</v>
      </c>
    </row>
    <row r="1480" spans="1:15" ht="15.75" customHeight="1">
      <c r="A1480" s="4"/>
      <c r="B1480" s="4"/>
      <c r="C1480" s="4"/>
      <c r="D1480" s="4"/>
      <c r="E1480" s="4"/>
      <c r="G1480" s="4"/>
      <c r="H1480" s="4"/>
      <c r="I1480" s="4"/>
      <c r="K1480" s="4"/>
      <c r="N1480" s="4" t="s">
        <v>2740</v>
      </c>
      <c r="O1480" s="4">
        <v>308</v>
      </c>
    </row>
    <row r="1481" spans="1:15" ht="15.75" customHeight="1">
      <c r="A1481" s="4"/>
      <c r="B1481" s="4"/>
      <c r="C1481" s="4"/>
      <c r="D1481" s="4"/>
      <c r="E1481" s="4"/>
      <c r="G1481" s="4"/>
      <c r="H1481" s="4"/>
      <c r="K1481" s="4"/>
      <c r="N1481" s="4" t="s">
        <v>56</v>
      </c>
      <c r="O1481" s="4">
        <v>120</v>
      </c>
    </row>
    <row r="1482" spans="1:15" ht="15.75" customHeight="1">
      <c r="A1482" s="4"/>
      <c r="B1482" s="4"/>
      <c r="C1482" s="4"/>
      <c r="D1482" s="4"/>
      <c r="E1482" s="4"/>
      <c r="G1482" s="4"/>
      <c r="H1482" s="4"/>
      <c r="K1482" s="4"/>
      <c r="N1482" s="4" t="s">
        <v>56</v>
      </c>
      <c r="O1482" s="4">
        <v>96</v>
      </c>
    </row>
    <row r="1483" spans="1:15" ht="15.75" customHeight="1">
      <c r="A1483" s="4"/>
      <c r="B1483" s="4"/>
      <c r="C1483" s="4"/>
      <c r="D1483" s="4"/>
      <c r="E1483" s="4"/>
      <c r="G1483" s="4"/>
      <c r="H1483" s="4"/>
      <c r="K1483" s="4"/>
      <c r="N1483" s="4" t="s">
        <v>443</v>
      </c>
      <c r="O1483" s="4">
        <v>469</v>
      </c>
    </row>
    <row r="1484" spans="1:15" ht="15.75" customHeight="1">
      <c r="A1484" s="4"/>
      <c r="B1484" s="4"/>
      <c r="C1484" s="4"/>
      <c r="D1484" s="4"/>
      <c r="E1484" s="4"/>
      <c r="G1484" s="4"/>
      <c r="H1484" s="4"/>
      <c r="K1484" s="4"/>
      <c r="N1484" s="4" t="s">
        <v>2750</v>
      </c>
      <c r="O1484" s="4">
        <v>158</v>
      </c>
    </row>
    <row r="1485" spans="1:15" ht="15.75" customHeight="1">
      <c r="A1485" s="4"/>
      <c r="B1485" s="4"/>
      <c r="C1485" s="4"/>
      <c r="D1485" s="4"/>
      <c r="E1485" s="4"/>
      <c r="G1485" s="4"/>
      <c r="H1485" s="4"/>
      <c r="I1485" s="4"/>
      <c r="K1485" s="4"/>
      <c r="N1485" s="4" t="s">
        <v>2753</v>
      </c>
      <c r="O1485" s="4">
        <v>763</v>
      </c>
    </row>
    <row r="1486" spans="1:15" ht="15.75" customHeight="1">
      <c r="A1486" s="4"/>
      <c r="B1486" s="4"/>
      <c r="C1486" s="4"/>
      <c r="D1486" s="4"/>
      <c r="E1486" s="4"/>
      <c r="G1486" s="4"/>
      <c r="H1486" s="4"/>
      <c r="K1486" s="4"/>
    </row>
    <row r="1487" spans="1:15" ht="15.75" customHeight="1">
      <c r="A1487" s="4"/>
      <c r="B1487" s="4"/>
      <c r="C1487" s="4"/>
      <c r="D1487" s="4"/>
      <c r="E1487" s="4"/>
      <c r="G1487" s="4"/>
      <c r="H1487" s="4"/>
      <c r="K1487" s="4"/>
      <c r="N1487" s="4" t="s">
        <v>2758</v>
      </c>
      <c r="O1487" s="4">
        <v>609</v>
      </c>
    </row>
    <row r="1488" spans="1:15" ht="15.75" customHeight="1">
      <c r="A1488" s="4"/>
      <c r="B1488" s="4"/>
      <c r="C1488" s="4"/>
      <c r="D1488" s="4"/>
      <c r="E1488" s="4"/>
      <c r="G1488" s="4"/>
      <c r="H1488" s="4"/>
      <c r="K1488" s="4"/>
      <c r="N1488" s="4" t="s">
        <v>2761</v>
      </c>
      <c r="O1488" s="4">
        <v>301</v>
      </c>
    </row>
    <row r="1489" spans="1:15" ht="15.75" customHeight="1">
      <c r="A1489" s="4"/>
      <c r="B1489" s="4"/>
      <c r="C1489" s="4"/>
      <c r="D1489" s="4"/>
      <c r="E1489" s="4"/>
      <c r="G1489" s="4"/>
      <c r="H1489" s="4"/>
      <c r="K1489" s="4"/>
      <c r="N1489" s="4" t="s">
        <v>2764</v>
      </c>
      <c r="O1489" s="4">
        <v>153</v>
      </c>
    </row>
    <row r="1490" spans="1:15" ht="15.75" customHeight="1">
      <c r="A1490" s="4"/>
      <c r="B1490" s="4"/>
      <c r="C1490" s="4"/>
      <c r="D1490" s="4"/>
      <c r="E1490" s="4"/>
      <c r="G1490" s="4"/>
      <c r="H1490" s="4"/>
      <c r="K1490" s="4"/>
      <c r="N1490" s="4" t="s">
        <v>2767</v>
      </c>
      <c r="O1490" s="4">
        <v>450</v>
      </c>
    </row>
    <row r="1491" spans="1:15" ht="15.75" customHeight="1">
      <c r="A1491" s="4"/>
      <c r="B1491" s="4"/>
      <c r="C1491" s="4"/>
      <c r="D1491" s="4"/>
      <c r="E1491" s="4"/>
      <c r="G1491" s="4"/>
      <c r="H1491" s="4"/>
      <c r="I1491" s="4"/>
      <c r="K1491" s="4"/>
      <c r="N1491" s="4" t="s">
        <v>2770</v>
      </c>
      <c r="O1491" s="4">
        <v>321</v>
      </c>
    </row>
    <row r="1492" spans="1:15" ht="15.75" customHeight="1">
      <c r="A1492" s="4"/>
      <c r="B1492" s="4"/>
      <c r="C1492" s="4"/>
      <c r="D1492" s="4"/>
      <c r="E1492" s="4"/>
      <c r="G1492" s="4"/>
      <c r="H1492" s="4"/>
      <c r="K1492" s="4"/>
      <c r="N1492" s="4" t="s">
        <v>656</v>
      </c>
      <c r="O1492" s="4">
        <v>219</v>
      </c>
    </row>
    <row r="1493" spans="1:15" ht="15.75" customHeight="1">
      <c r="A1493" s="4"/>
      <c r="B1493" s="4"/>
      <c r="C1493" s="4"/>
      <c r="D1493" s="4"/>
      <c r="E1493" s="4"/>
      <c r="G1493" s="4"/>
      <c r="H1493" s="4"/>
      <c r="K1493" s="4"/>
      <c r="N1493" s="4" t="s">
        <v>1312</v>
      </c>
      <c r="O1493" s="4">
        <v>602</v>
      </c>
    </row>
    <row r="1494" spans="1:15" ht="15.75" customHeight="1">
      <c r="A1494" s="4"/>
      <c r="B1494" s="4"/>
      <c r="C1494" s="4"/>
      <c r="D1494" s="4"/>
      <c r="E1494" s="4"/>
      <c r="G1494" s="4"/>
      <c r="H1494" s="4"/>
      <c r="K1494" s="4"/>
      <c r="N1494" s="4" t="s">
        <v>73</v>
      </c>
      <c r="O1494" s="4">
        <v>252</v>
      </c>
    </row>
    <row r="1495" spans="1:15" ht="15.75" customHeight="1">
      <c r="A1495" s="4"/>
      <c r="B1495" s="4"/>
      <c r="C1495" s="4"/>
      <c r="D1495" s="4"/>
      <c r="E1495" s="4"/>
      <c r="G1495" s="4"/>
      <c r="H1495" s="4"/>
      <c r="K1495" s="4"/>
      <c r="N1495" s="4" t="s">
        <v>2780</v>
      </c>
      <c r="O1495" s="4">
        <v>551</v>
      </c>
    </row>
    <row r="1496" spans="1:15" ht="15.75" customHeight="1">
      <c r="A1496" s="4"/>
      <c r="B1496" s="4"/>
      <c r="C1496" s="4"/>
      <c r="D1496" s="4"/>
      <c r="E1496" s="4"/>
      <c r="G1496" s="4"/>
      <c r="H1496" s="4"/>
      <c r="K1496" s="4"/>
      <c r="N1496" s="4" t="s">
        <v>964</v>
      </c>
      <c r="O1496" s="4">
        <v>293</v>
      </c>
    </row>
    <row r="1497" spans="1:15" ht="15.75" customHeight="1">
      <c r="A1497" s="4"/>
      <c r="B1497" s="4"/>
      <c r="C1497" s="4"/>
      <c r="D1497" s="4"/>
      <c r="E1497" s="4"/>
      <c r="G1497" s="4"/>
      <c r="H1497" s="4"/>
      <c r="I1497" s="4"/>
      <c r="K1497" s="4"/>
      <c r="N1497" s="4" t="s">
        <v>2785</v>
      </c>
      <c r="O1497" s="4">
        <v>431</v>
      </c>
    </row>
    <row r="1498" spans="1:15" ht="15.75" customHeight="1">
      <c r="A1498" s="4"/>
      <c r="B1498" s="4"/>
      <c r="C1498" s="4"/>
      <c r="D1498" s="4"/>
      <c r="E1498" s="4"/>
      <c r="G1498" s="4"/>
      <c r="H1498" s="4"/>
      <c r="K1498" s="4"/>
      <c r="N1498" s="4" t="s">
        <v>2789</v>
      </c>
      <c r="O1498" s="4">
        <v>318</v>
      </c>
    </row>
    <row r="1499" spans="1:15" ht="15.75" customHeight="1">
      <c r="A1499" s="4"/>
      <c r="B1499" s="4"/>
      <c r="C1499" s="4"/>
      <c r="D1499" s="4"/>
      <c r="E1499" s="4"/>
      <c r="G1499" s="4"/>
      <c r="H1499" s="4"/>
      <c r="K1499" s="4"/>
      <c r="N1499" s="4" t="s">
        <v>2529</v>
      </c>
      <c r="O1499" s="4">
        <v>350</v>
      </c>
    </row>
    <row r="1500" spans="1:15" ht="15.75" customHeight="1">
      <c r="A1500" s="4"/>
      <c r="B1500" s="4"/>
      <c r="C1500" s="4"/>
      <c r="D1500" s="4"/>
      <c r="E1500" s="4"/>
      <c r="G1500" s="4"/>
      <c r="H1500" s="4"/>
      <c r="K1500" s="4"/>
      <c r="N1500" s="4" t="s">
        <v>2794</v>
      </c>
      <c r="O1500" s="4">
        <v>452</v>
      </c>
    </row>
    <row r="1501" spans="1:15" ht="15.75" customHeight="1">
      <c r="A1501" s="4"/>
      <c r="B1501" s="4"/>
      <c r="C1501" s="4"/>
      <c r="D1501" s="4"/>
      <c r="E1501" s="4"/>
      <c r="G1501" s="4"/>
      <c r="H1501" s="4"/>
      <c r="K1501" s="4"/>
      <c r="N1501" s="4" t="s">
        <v>779</v>
      </c>
      <c r="O1501" s="4">
        <v>471</v>
      </c>
    </row>
    <row r="1502" spans="1:15" ht="15.75" customHeight="1">
      <c r="A1502" s="4"/>
      <c r="B1502" s="4"/>
      <c r="C1502" s="4"/>
      <c r="D1502" s="4"/>
      <c r="E1502" s="4"/>
      <c r="G1502" s="4"/>
      <c r="H1502" s="4"/>
      <c r="K1502" s="4"/>
      <c r="N1502" s="4" t="s">
        <v>56</v>
      </c>
      <c r="O1502" s="4">
        <v>483</v>
      </c>
    </row>
    <row r="1503" spans="1:15" ht="15.75" customHeight="1">
      <c r="A1503" s="4"/>
      <c r="B1503" s="4"/>
      <c r="C1503" s="4"/>
      <c r="D1503" s="4"/>
      <c r="E1503" s="4"/>
      <c r="G1503" s="4"/>
      <c r="H1503" s="4"/>
      <c r="K1503" s="4"/>
      <c r="N1503" s="4" t="s">
        <v>278</v>
      </c>
      <c r="O1503" s="4">
        <v>651</v>
      </c>
    </row>
    <row r="1504" spans="1:15" ht="15.75" customHeight="1">
      <c r="A1504" s="4"/>
      <c r="B1504" s="4"/>
      <c r="C1504" s="4"/>
      <c r="D1504" s="4"/>
      <c r="E1504" s="4"/>
      <c r="G1504" s="4"/>
      <c r="H1504" s="4"/>
      <c r="K1504" s="4"/>
      <c r="N1504" s="4" t="s">
        <v>2802</v>
      </c>
      <c r="O1504" s="4">
        <v>463</v>
      </c>
    </row>
    <row r="1505" spans="1:15" ht="15.75" customHeight="1">
      <c r="A1505" s="4"/>
      <c r="B1505" s="4"/>
      <c r="C1505" s="4"/>
      <c r="D1505" s="4"/>
      <c r="E1505" s="4"/>
      <c r="G1505" s="4"/>
      <c r="H1505" s="4"/>
      <c r="K1505" s="4"/>
      <c r="N1505" s="4" t="s">
        <v>421</v>
      </c>
      <c r="O1505" s="4">
        <v>356</v>
      </c>
    </row>
    <row r="1506" spans="1:15" ht="15.75" customHeight="1">
      <c r="A1506" s="4"/>
      <c r="B1506" s="4"/>
      <c r="C1506" s="4"/>
      <c r="D1506" s="4"/>
      <c r="E1506" s="4"/>
      <c r="G1506" s="4"/>
      <c r="H1506" s="4"/>
      <c r="K1506" s="4"/>
      <c r="N1506" s="4" t="s">
        <v>2807</v>
      </c>
      <c r="O1506" s="4">
        <v>514</v>
      </c>
    </row>
    <row r="1507" spans="1:15" ht="15.75" customHeight="1">
      <c r="A1507" s="4"/>
      <c r="B1507" s="4"/>
      <c r="C1507" s="4"/>
      <c r="D1507" s="4"/>
      <c r="E1507" s="4"/>
      <c r="G1507" s="4"/>
      <c r="H1507" s="4"/>
      <c r="K1507" s="4"/>
      <c r="N1507" s="4" t="s">
        <v>421</v>
      </c>
      <c r="O1507" s="4">
        <v>322</v>
      </c>
    </row>
    <row r="1508" spans="1:15" ht="15.75" customHeight="1">
      <c r="A1508" s="4"/>
      <c r="B1508" s="4"/>
      <c r="C1508" s="4"/>
      <c r="D1508" s="4"/>
      <c r="E1508" s="4"/>
      <c r="G1508" s="4"/>
      <c r="H1508" s="4"/>
      <c r="K1508" s="4"/>
      <c r="N1508" s="4" t="s">
        <v>2812</v>
      </c>
      <c r="O1508" s="4">
        <v>350</v>
      </c>
    </row>
    <row r="1509" spans="1:15" ht="15.75" customHeight="1">
      <c r="A1509" s="4"/>
      <c r="B1509" s="4"/>
      <c r="C1509" s="4"/>
      <c r="D1509" s="4"/>
      <c r="E1509" s="4"/>
      <c r="G1509" s="4"/>
      <c r="H1509" s="4"/>
      <c r="K1509" s="4"/>
      <c r="N1509" s="4" t="s">
        <v>2815</v>
      </c>
      <c r="O1509" s="4">
        <v>234</v>
      </c>
    </row>
    <row r="1510" spans="1:15" ht="15.75" customHeight="1">
      <c r="A1510" s="4"/>
      <c r="B1510" s="4"/>
      <c r="C1510" s="4"/>
      <c r="D1510" s="4"/>
      <c r="E1510" s="4"/>
      <c r="G1510" s="4"/>
      <c r="H1510" s="4"/>
      <c r="K1510" s="4"/>
      <c r="N1510" s="4" t="s">
        <v>2818</v>
      </c>
      <c r="O1510" s="4">
        <v>288</v>
      </c>
    </row>
    <row r="1511" spans="1:15" ht="15.75" customHeight="1">
      <c r="A1511" s="4"/>
      <c r="B1511" s="4"/>
      <c r="C1511" s="4"/>
      <c r="D1511" s="4"/>
      <c r="E1511" s="4"/>
      <c r="G1511" s="4"/>
      <c r="H1511" s="4"/>
      <c r="K1511" s="4"/>
      <c r="N1511" s="4" t="s">
        <v>421</v>
      </c>
      <c r="O1511" s="4">
        <v>272</v>
      </c>
    </row>
    <row r="1512" spans="1:15" ht="15.75" customHeight="1">
      <c r="A1512" s="4"/>
      <c r="B1512" s="4"/>
      <c r="C1512" s="4"/>
      <c r="D1512" s="4"/>
      <c r="E1512" s="4"/>
      <c r="G1512" s="4"/>
      <c r="H1512" s="4"/>
      <c r="K1512" s="4"/>
      <c r="N1512" s="4" t="s">
        <v>2823</v>
      </c>
      <c r="O1512" s="4">
        <v>466</v>
      </c>
    </row>
    <row r="1513" spans="1:15" ht="15.75" customHeight="1">
      <c r="A1513" s="4"/>
      <c r="B1513" s="4"/>
      <c r="C1513" s="4"/>
      <c r="D1513" s="4"/>
      <c r="E1513" s="4"/>
      <c r="G1513" s="4"/>
      <c r="H1513" s="4"/>
      <c r="K1513" s="4"/>
      <c r="N1513" s="4" t="s">
        <v>56</v>
      </c>
      <c r="O1513" s="4">
        <v>203</v>
      </c>
    </row>
    <row r="1514" spans="1:15" ht="15.75" customHeight="1">
      <c r="A1514" s="4"/>
      <c r="B1514" s="4"/>
      <c r="C1514" s="4"/>
      <c r="D1514" s="4"/>
      <c r="E1514" s="4"/>
      <c r="G1514" s="4"/>
      <c r="H1514" s="4"/>
      <c r="K1514" s="4"/>
      <c r="N1514" s="4" t="s">
        <v>2828</v>
      </c>
      <c r="O1514" s="4">
        <v>432</v>
      </c>
    </row>
    <row r="1515" spans="1:15" ht="15.75" customHeight="1">
      <c r="A1515" s="4"/>
      <c r="B1515" s="4"/>
      <c r="C1515" s="4"/>
      <c r="D1515" s="4"/>
      <c r="E1515" s="4"/>
      <c r="G1515" s="4"/>
      <c r="H1515" s="4"/>
      <c r="K1515" s="4"/>
      <c r="N1515" s="4" t="s">
        <v>348</v>
      </c>
      <c r="O1515" s="4">
        <v>287</v>
      </c>
    </row>
    <row r="1516" spans="1:15" ht="15.75" customHeight="1">
      <c r="A1516" s="4"/>
      <c r="B1516" s="4"/>
      <c r="C1516" s="4"/>
      <c r="D1516" s="4"/>
      <c r="E1516" s="4"/>
      <c r="G1516" s="4"/>
      <c r="H1516" s="4"/>
      <c r="K1516" s="4"/>
      <c r="N1516" s="4" t="s">
        <v>92</v>
      </c>
      <c r="O1516" s="4">
        <v>242</v>
      </c>
    </row>
    <row r="1517" spans="1:15" ht="15.75" customHeight="1">
      <c r="A1517" s="4"/>
      <c r="B1517" s="4"/>
      <c r="C1517" s="4"/>
      <c r="D1517" s="4"/>
      <c r="E1517" s="4"/>
      <c r="G1517" s="4"/>
      <c r="H1517" s="4"/>
      <c r="K1517" s="4"/>
      <c r="N1517" s="4" t="s">
        <v>348</v>
      </c>
      <c r="O1517" s="4">
        <v>292</v>
      </c>
    </row>
    <row r="1518" spans="1:15" ht="15.75" customHeight="1">
      <c r="A1518" s="4"/>
      <c r="B1518" s="4"/>
      <c r="C1518" s="4"/>
      <c r="D1518" s="4"/>
      <c r="E1518" s="4"/>
      <c r="G1518" s="4"/>
      <c r="H1518" s="4"/>
      <c r="K1518" s="4"/>
      <c r="N1518" s="4" t="s">
        <v>351</v>
      </c>
      <c r="O1518" s="4">
        <v>102</v>
      </c>
    </row>
    <row r="1519" spans="1:15" ht="15.75" customHeight="1">
      <c r="A1519" s="4"/>
      <c r="B1519" s="4"/>
      <c r="C1519" s="4"/>
      <c r="D1519" s="4"/>
      <c r="E1519" s="4"/>
      <c r="G1519" s="4"/>
      <c r="H1519" s="4"/>
      <c r="K1519" s="4"/>
      <c r="N1519" s="4" t="s">
        <v>56</v>
      </c>
      <c r="O1519" s="4">
        <v>473</v>
      </c>
    </row>
    <row r="1520" spans="1:15" ht="15.75" customHeight="1">
      <c r="A1520" s="4"/>
      <c r="B1520" s="4"/>
      <c r="C1520" s="4"/>
      <c r="D1520" s="4"/>
      <c r="E1520" s="4"/>
      <c r="G1520" s="4"/>
      <c r="H1520" s="4"/>
      <c r="K1520" s="4"/>
      <c r="N1520" s="4" t="s">
        <v>56</v>
      </c>
      <c r="O1520" s="4">
        <v>260</v>
      </c>
    </row>
    <row r="1521" spans="1:15" ht="15.75" customHeight="1">
      <c r="A1521" s="4"/>
      <c r="B1521" s="4"/>
      <c r="C1521" s="4"/>
      <c r="D1521" s="4"/>
      <c r="E1521" s="4"/>
      <c r="G1521" s="4"/>
      <c r="H1521" s="4"/>
      <c r="K1521" s="4"/>
      <c r="N1521" s="4" t="s">
        <v>1101</v>
      </c>
      <c r="O1521" s="4">
        <v>348</v>
      </c>
    </row>
    <row r="1522" spans="1:15" ht="15.75" customHeight="1">
      <c r="A1522" s="4"/>
      <c r="B1522" s="4"/>
      <c r="C1522" s="4"/>
      <c r="D1522" s="4"/>
      <c r="E1522" s="4"/>
      <c r="G1522" s="4"/>
      <c r="H1522" s="4"/>
      <c r="K1522" s="4"/>
      <c r="N1522" s="4" t="s">
        <v>674</v>
      </c>
      <c r="O1522" s="4">
        <v>292</v>
      </c>
    </row>
    <row r="1523" spans="1:15" ht="15.75" customHeight="1">
      <c r="A1523" s="4"/>
      <c r="B1523" s="4"/>
      <c r="C1523" s="4"/>
      <c r="D1523" s="4"/>
      <c r="E1523" s="4"/>
      <c r="G1523" s="4"/>
      <c r="H1523" s="4"/>
      <c r="K1523" s="4"/>
      <c r="N1523" s="4" t="s">
        <v>2844</v>
      </c>
      <c r="O1523" s="4">
        <v>529</v>
      </c>
    </row>
    <row r="1524" spans="1:15" ht="15.75" customHeight="1">
      <c r="A1524" s="4"/>
      <c r="B1524" s="4"/>
      <c r="C1524" s="4"/>
      <c r="D1524" s="4"/>
      <c r="E1524" s="4"/>
      <c r="G1524" s="4"/>
      <c r="H1524" s="4"/>
      <c r="K1524" s="4"/>
      <c r="N1524" s="4" t="s">
        <v>2472</v>
      </c>
      <c r="O1524" s="4">
        <v>68</v>
      </c>
    </row>
    <row r="1525" spans="1:15" ht="15.75" customHeight="1">
      <c r="A1525" s="4"/>
      <c r="B1525" s="4"/>
      <c r="C1525" s="4"/>
      <c r="D1525" s="4"/>
      <c r="E1525" s="4"/>
      <c r="G1525" s="4"/>
      <c r="H1525" s="4"/>
      <c r="K1525" s="4"/>
      <c r="N1525" s="4" t="s">
        <v>56</v>
      </c>
      <c r="O1525" s="4">
        <v>580</v>
      </c>
    </row>
    <row r="1526" spans="1:15" ht="15.75" customHeight="1">
      <c r="A1526" s="4"/>
      <c r="B1526" s="4"/>
      <c r="C1526" s="4"/>
      <c r="D1526" s="4"/>
      <c r="E1526" s="4"/>
      <c r="G1526" s="4"/>
      <c r="H1526" s="4"/>
      <c r="K1526" s="4"/>
      <c r="N1526" s="4" t="s">
        <v>2472</v>
      </c>
      <c r="O1526" s="4">
        <v>401</v>
      </c>
    </row>
    <row r="1527" spans="1:15" ht="15.75" customHeight="1">
      <c r="B1527" s="4"/>
      <c r="C1527" s="4"/>
      <c r="D1527" s="4"/>
      <c r="E1527" s="4"/>
      <c r="G1527" s="4"/>
      <c r="H1527" s="4"/>
      <c r="K1527" s="4"/>
      <c r="N1527" s="4" t="s">
        <v>2812</v>
      </c>
      <c r="O1527" s="4">
        <v>319</v>
      </c>
    </row>
    <row r="1528" spans="1:15" ht="15.75" customHeight="1">
      <c r="B1528" s="4"/>
      <c r="C1528" s="4"/>
      <c r="D1528" s="4"/>
      <c r="E1528" s="4"/>
      <c r="G1528" s="4"/>
      <c r="H1528" s="4"/>
      <c r="K1528" s="4"/>
      <c r="N1528" s="4" t="s">
        <v>845</v>
      </c>
      <c r="O1528" s="4">
        <v>220</v>
      </c>
    </row>
    <row r="1529" spans="1:15" ht="15.75" customHeight="1">
      <c r="A1529" s="4"/>
      <c r="B1529" s="4"/>
      <c r="C1529" s="4"/>
      <c r="D1529" s="4"/>
      <c r="E1529" s="4"/>
      <c r="G1529" s="4"/>
      <c r="H1529" s="4"/>
      <c r="K1529" s="4"/>
      <c r="N1529" s="4" t="s">
        <v>845</v>
      </c>
      <c r="O1529" s="4">
        <v>214</v>
      </c>
    </row>
    <row r="1530" spans="1:15" ht="15.75" customHeight="1">
      <c r="A1530" s="4"/>
      <c r="B1530" s="4"/>
      <c r="C1530" s="4"/>
      <c r="D1530" s="4"/>
      <c r="E1530" s="4"/>
      <c r="G1530" s="4"/>
      <c r="H1530" s="4"/>
      <c r="K1530" s="4"/>
      <c r="N1530" s="4" t="s">
        <v>2859</v>
      </c>
      <c r="O1530" s="4">
        <v>274</v>
      </c>
    </row>
    <row r="1531" spans="1:15" ht="15.75" customHeight="1">
      <c r="A1531" s="4"/>
      <c r="B1531" s="4"/>
      <c r="C1531" s="4"/>
      <c r="D1531" s="4"/>
      <c r="E1531" s="4"/>
      <c r="G1531" s="4"/>
      <c r="H1531" s="4"/>
      <c r="K1531" s="4"/>
      <c r="N1531" s="4" t="s">
        <v>848</v>
      </c>
      <c r="O1531" s="4">
        <v>245</v>
      </c>
    </row>
    <row r="1532" spans="1:15" ht="15.75" customHeight="1">
      <c r="A1532" s="4"/>
      <c r="B1532" s="4"/>
      <c r="C1532" s="4"/>
      <c r="D1532" s="4"/>
      <c r="E1532" s="4"/>
      <c r="G1532" s="4"/>
      <c r="H1532" s="4"/>
      <c r="K1532" s="4"/>
      <c r="N1532" s="4" t="s">
        <v>803</v>
      </c>
      <c r="O1532" s="4">
        <v>414</v>
      </c>
    </row>
    <row r="1533" spans="1:15" ht="15.75" customHeight="1">
      <c r="A1533" s="4"/>
      <c r="B1533" s="4"/>
      <c r="C1533" s="4"/>
      <c r="D1533" s="4"/>
      <c r="E1533" s="4"/>
      <c r="G1533" s="4"/>
      <c r="H1533" s="4"/>
      <c r="K1533" s="4"/>
      <c r="N1533" s="4" t="s">
        <v>2865</v>
      </c>
      <c r="O1533" s="4">
        <v>328</v>
      </c>
    </row>
    <row r="1534" spans="1:15" ht="15.75" customHeight="1">
      <c r="A1534" s="4"/>
      <c r="B1534" s="4"/>
      <c r="C1534" s="4"/>
      <c r="D1534" s="4"/>
      <c r="E1534" s="4"/>
      <c r="G1534" s="4"/>
      <c r="H1534" s="4"/>
      <c r="K1534" s="4"/>
      <c r="N1534" s="4" t="s">
        <v>56</v>
      </c>
      <c r="O1534" s="4">
        <v>146</v>
      </c>
    </row>
    <row r="1535" spans="1:15" ht="15.75" customHeight="1">
      <c r="A1535" s="4"/>
      <c r="B1535" s="4"/>
      <c r="C1535" s="4"/>
      <c r="D1535" s="4"/>
      <c r="E1535" s="4"/>
      <c r="G1535" s="4"/>
      <c r="H1535" s="4"/>
      <c r="K1535" s="4"/>
      <c r="N1535" s="4" t="s">
        <v>2870</v>
      </c>
      <c r="O1535" s="4">
        <v>148</v>
      </c>
    </row>
    <row r="1536" spans="1:15" ht="15.75" customHeight="1">
      <c r="A1536" s="4"/>
      <c r="B1536" s="4"/>
      <c r="C1536" s="4"/>
      <c r="D1536" s="4"/>
      <c r="E1536" s="4"/>
      <c r="G1536" s="4"/>
      <c r="H1536" s="4"/>
      <c r="K1536" s="4"/>
      <c r="N1536" s="4" t="s">
        <v>2873</v>
      </c>
      <c r="O1536" s="4">
        <v>37</v>
      </c>
    </row>
    <row r="1537" spans="1:15" ht="15.75" customHeight="1">
      <c r="A1537" s="4"/>
      <c r="B1537" s="4"/>
      <c r="C1537" s="4"/>
      <c r="D1537" s="4"/>
      <c r="E1537" s="4"/>
      <c r="G1537" s="4"/>
      <c r="H1537" s="4"/>
      <c r="K1537" s="4"/>
      <c r="N1537" s="4" t="s">
        <v>1953</v>
      </c>
      <c r="O1537" s="4">
        <v>200</v>
      </c>
    </row>
    <row r="1538" spans="1:15" ht="15.75" customHeight="1">
      <c r="A1538" s="4"/>
      <c r="B1538" s="4"/>
      <c r="C1538" s="4"/>
      <c r="D1538" s="4"/>
      <c r="E1538" s="4"/>
      <c r="G1538" s="4"/>
      <c r="H1538" s="4"/>
      <c r="K1538" s="4"/>
      <c r="N1538" s="4" t="s">
        <v>51</v>
      </c>
      <c r="O1538" s="4">
        <v>135</v>
      </c>
    </row>
    <row r="1539" spans="1:15" ht="15.75" customHeight="1">
      <c r="A1539" s="4"/>
      <c r="B1539" s="4"/>
      <c r="C1539" s="4"/>
      <c r="D1539" s="4"/>
      <c r="E1539" s="4"/>
      <c r="G1539" s="4"/>
      <c r="H1539" s="4"/>
      <c r="K1539" s="4"/>
      <c r="N1539" s="4" t="s">
        <v>2880</v>
      </c>
      <c r="O1539" s="4">
        <v>400</v>
      </c>
    </row>
    <row r="1540" spans="1:15" ht="15.75" customHeight="1">
      <c r="A1540" s="4"/>
      <c r="B1540" s="4"/>
      <c r="C1540" s="4"/>
      <c r="D1540" s="4"/>
      <c r="E1540" s="4"/>
      <c r="G1540" s="4"/>
      <c r="H1540" s="4"/>
      <c r="K1540" s="4"/>
      <c r="N1540" s="4" t="s">
        <v>674</v>
      </c>
      <c r="O1540" s="4">
        <v>306</v>
      </c>
    </row>
    <row r="1541" spans="1:15" ht="15.75" customHeight="1">
      <c r="A1541" s="4"/>
      <c r="B1541" s="4"/>
      <c r="C1541" s="4"/>
      <c r="D1541" s="4"/>
      <c r="E1541" s="4"/>
      <c r="G1541" s="4"/>
      <c r="H1541" s="4"/>
      <c r="I1541" s="4"/>
      <c r="K1541" s="4"/>
      <c r="N1541" s="4" t="s">
        <v>2884</v>
      </c>
      <c r="O1541" s="4">
        <v>424</v>
      </c>
    </row>
    <row r="1542" spans="1:15" ht="15.75" customHeight="1">
      <c r="A1542" s="4"/>
      <c r="B1542" s="4"/>
      <c r="C1542" s="4"/>
      <c r="D1542" s="4"/>
      <c r="E1542" s="4"/>
      <c r="G1542" s="4"/>
      <c r="H1542" s="4"/>
      <c r="K1542" s="4"/>
      <c r="N1542" s="4" t="s">
        <v>2888</v>
      </c>
      <c r="O1542" s="4">
        <v>314</v>
      </c>
    </row>
    <row r="1543" spans="1:15" ht="15.75" customHeight="1">
      <c r="A1543" s="4"/>
      <c r="B1543" s="4"/>
      <c r="C1543" s="4"/>
      <c r="D1543" s="4"/>
      <c r="E1543" s="4"/>
      <c r="G1543" s="4"/>
      <c r="H1543" s="4"/>
      <c r="K1543" s="4"/>
      <c r="N1543" s="4" t="s">
        <v>478</v>
      </c>
      <c r="O1543" s="4">
        <v>111</v>
      </c>
    </row>
    <row r="1544" spans="1:15" ht="15.75" customHeight="1">
      <c r="A1544" s="4"/>
      <c r="B1544" s="4"/>
      <c r="C1544" s="4"/>
      <c r="D1544" s="4"/>
      <c r="E1544" s="4"/>
      <c r="G1544" s="4"/>
      <c r="H1544" s="4"/>
      <c r="K1544" s="4"/>
      <c r="N1544" s="4" t="s">
        <v>2893</v>
      </c>
      <c r="O1544" s="4">
        <v>309</v>
      </c>
    </row>
    <row r="1545" spans="1:15" ht="15.75" customHeight="1">
      <c r="A1545" s="4"/>
      <c r="B1545" s="4"/>
      <c r="C1545" s="4"/>
      <c r="D1545" s="4"/>
      <c r="E1545" s="4"/>
      <c r="G1545" s="4"/>
      <c r="H1545" s="4"/>
      <c r="K1545" s="4"/>
      <c r="N1545" s="4" t="s">
        <v>2896</v>
      </c>
      <c r="O1545" s="4">
        <v>592</v>
      </c>
    </row>
    <row r="1546" spans="1:15" ht="15.75" customHeight="1">
      <c r="B1546" s="4"/>
      <c r="C1546" s="4"/>
      <c r="D1546" s="4"/>
      <c r="E1546" s="4"/>
      <c r="G1546" s="4"/>
      <c r="H1546" s="4"/>
      <c r="K1546" s="4"/>
      <c r="N1546" s="4" t="s">
        <v>2899</v>
      </c>
      <c r="O1546" s="4">
        <v>802</v>
      </c>
    </row>
    <row r="1547" spans="1:15" ht="15.75" customHeight="1">
      <c r="A1547" s="4"/>
      <c r="B1547" s="4"/>
      <c r="C1547" s="4"/>
      <c r="D1547" s="4"/>
      <c r="E1547" s="4"/>
      <c r="G1547" s="4"/>
      <c r="H1547" s="4"/>
      <c r="I1547" s="4"/>
      <c r="K1547" s="4"/>
      <c r="N1547" s="4" t="s">
        <v>2902</v>
      </c>
      <c r="O1547" s="4">
        <v>481</v>
      </c>
    </row>
    <row r="1548" spans="1:15" ht="15.75" customHeight="1">
      <c r="A1548" s="4"/>
      <c r="B1548" s="4"/>
      <c r="C1548" s="4"/>
      <c r="D1548" s="4"/>
      <c r="E1548" s="4"/>
      <c r="G1548" s="4"/>
      <c r="H1548" s="4"/>
      <c r="I1548" s="4"/>
      <c r="K1548" s="4"/>
      <c r="N1548" s="4" t="s">
        <v>2906</v>
      </c>
      <c r="O1548" s="4">
        <v>389</v>
      </c>
    </row>
    <row r="1549" spans="1:15" ht="15.75" customHeight="1">
      <c r="A1549" s="4"/>
      <c r="B1549" s="4"/>
      <c r="C1549" s="4"/>
      <c r="D1549" s="4"/>
      <c r="E1549" s="4"/>
      <c r="G1549" s="4"/>
      <c r="H1549" s="4"/>
      <c r="K1549" s="4"/>
      <c r="N1549" s="4" t="s">
        <v>2910</v>
      </c>
      <c r="O1549" s="4">
        <v>380</v>
      </c>
    </row>
    <row r="1550" spans="1:15" ht="15.75" customHeight="1">
      <c r="A1550" s="4"/>
      <c r="B1550" s="4"/>
      <c r="C1550" s="4"/>
      <c r="D1550" s="4"/>
      <c r="E1550" s="4"/>
      <c r="G1550" s="4"/>
      <c r="H1550" s="4"/>
      <c r="I1550" s="4"/>
      <c r="K1550" s="4"/>
      <c r="N1550" s="4" t="s">
        <v>2913</v>
      </c>
      <c r="O1550" s="4">
        <v>699</v>
      </c>
    </row>
    <row r="1551" spans="1:15" ht="15.75" customHeight="1">
      <c r="A1551" s="4"/>
      <c r="B1551" s="4"/>
      <c r="C1551" s="4"/>
      <c r="D1551" s="4"/>
      <c r="E1551" s="4"/>
      <c r="G1551" s="4"/>
      <c r="H1551" s="4"/>
      <c r="K1551" s="4"/>
      <c r="N1551" s="4" t="s">
        <v>2917</v>
      </c>
      <c r="O1551" s="4">
        <v>343</v>
      </c>
    </row>
    <row r="1552" spans="1:15" ht="15.75" customHeight="1">
      <c r="A1552" s="4"/>
      <c r="B1552" s="4"/>
      <c r="C1552" s="4"/>
      <c r="D1552" s="4"/>
      <c r="E1552" s="4"/>
      <c r="G1552" s="4"/>
      <c r="H1552" s="4"/>
      <c r="K1552" s="4"/>
      <c r="N1552" s="4" t="s">
        <v>2920</v>
      </c>
      <c r="O1552" s="4">
        <v>300</v>
      </c>
    </row>
    <row r="1553" spans="1:15" ht="15.75" customHeight="1">
      <c r="A1553" s="4"/>
      <c r="B1553" s="4"/>
      <c r="C1553" s="4"/>
      <c r="D1553" s="4"/>
      <c r="E1553" s="4"/>
      <c r="G1553" s="4"/>
      <c r="H1553" s="4"/>
      <c r="K1553" s="4"/>
      <c r="N1553" s="4" t="s">
        <v>1199</v>
      </c>
      <c r="O1553" s="4">
        <v>276</v>
      </c>
    </row>
    <row r="1554" spans="1:15" ht="15.75" customHeight="1">
      <c r="A1554" s="4"/>
      <c r="B1554" s="4"/>
      <c r="C1554" s="4"/>
      <c r="D1554" s="4"/>
      <c r="E1554" s="4"/>
      <c r="G1554" s="4"/>
      <c r="H1554" s="4"/>
      <c r="K1554" s="4"/>
      <c r="N1554" s="4" t="s">
        <v>56</v>
      </c>
      <c r="O1554" s="4">
        <v>86</v>
      </c>
    </row>
    <row r="1555" spans="1:15" ht="15.75" customHeight="1">
      <c r="A1555" s="4"/>
      <c r="B1555" s="4"/>
      <c r="C1555" s="4"/>
      <c r="D1555" s="4"/>
      <c r="E1555" s="4"/>
      <c r="G1555" s="4"/>
      <c r="H1555" s="4"/>
      <c r="K1555" s="4"/>
      <c r="N1555" s="4" t="s">
        <v>2927</v>
      </c>
      <c r="O1555" s="4">
        <v>643</v>
      </c>
    </row>
    <row r="1556" spans="1:15" ht="15.75" customHeight="1">
      <c r="A1556" s="4"/>
      <c r="B1556" s="4"/>
      <c r="C1556" s="4"/>
      <c r="D1556" s="4"/>
      <c r="E1556" s="4"/>
      <c r="G1556" s="4"/>
      <c r="H1556" s="4"/>
      <c r="K1556" s="4"/>
      <c r="N1556" s="4" t="s">
        <v>2930</v>
      </c>
      <c r="O1556" s="4">
        <v>133</v>
      </c>
    </row>
    <row r="1557" spans="1:15" ht="15.75" customHeight="1">
      <c r="A1557" s="4"/>
      <c r="B1557" s="4"/>
      <c r="C1557" s="4"/>
      <c r="D1557" s="4"/>
      <c r="E1557" s="4"/>
      <c r="G1557" s="4"/>
      <c r="H1557" s="4"/>
      <c r="K1557" s="4"/>
      <c r="N1557" s="4" t="s">
        <v>2933</v>
      </c>
      <c r="O1557" s="4">
        <v>716</v>
      </c>
    </row>
    <row r="1558" spans="1:15" ht="15.75" customHeight="1">
      <c r="A1558" s="4"/>
      <c r="B1558" s="4"/>
      <c r="C1558" s="4"/>
      <c r="D1558" s="4"/>
      <c r="E1558" s="4"/>
      <c r="G1558" s="4"/>
      <c r="H1558" s="4"/>
      <c r="K1558" s="4"/>
      <c r="N1558" s="4" t="s">
        <v>2936</v>
      </c>
      <c r="O1558" s="4">
        <v>254</v>
      </c>
    </row>
    <row r="1559" spans="1:15" ht="15.75" customHeight="1">
      <c r="A1559" s="4"/>
      <c r="B1559" s="4"/>
      <c r="C1559" s="4"/>
      <c r="D1559" s="4"/>
      <c r="E1559" s="4"/>
      <c r="G1559" s="4"/>
      <c r="H1559" s="4"/>
      <c r="K1559" s="4"/>
      <c r="N1559" s="4" t="s">
        <v>2939</v>
      </c>
      <c r="O1559" s="4">
        <v>297</v>
      </c>
    </row>
    <row r="1560" spans="1:15" ht="15.75" customHeight="1">
      <c r="A1560" s="4"/>
      <c r="B1560" s="4"/>
      <c r="C1560" s="4"/>
      <c r="D1560" s="4"/>
      <c r="E1560" s="4"/>
      <c r="G1560" s="4"/>
      <c r="H1560" s="4"/>
      <c r="K1560" s="4"/>
      <c r="N1560" s="4" t="s">
        <v>2942</v>
      </c>
      <c r="O1560" s="4">
        <v>250</v>
      </c>
    </row>
    <row r="1561" spans="1:15" ht="15.75" customHeight="1">
      <c r="A1561" s="4"/>
      <c r="B1561" s="4"/>
      <c r="C1561" s="4"/>
      <c r="D1561" s="4"/>
      <c r="E1561" s="4"/>
      <c r="G1561" s="4"/>
      <c r="H1561" s="4"/>
      <c r="K1561" s="4"/>
      <c r="N1561" s="4" t="s">
        <v>1101</v>
      </c>
      <c r="O1561" s="4">
        <v>265</v>
      </c>
    </row>
    <row r="1562" spans="1:15" ht="15.75" customHeight="1">
      <c r="A1562" s="4"/>
      <c r="B1562" s="4"/>
      <c r="C1562" s="4"/>
      <c r="D1562" s="4"/>
      <c r="E1562" s="4"/>
      <c r="G1562" s="4"/>
      <c r="H1562" s="4"/>
      <c r="I1562" s="4"/>
      <c r="K1562" s="4"/>
      <c r="N1562" s="4" t="s">
        <v>2947</v>
      </c>
      <c r="O1562" s="4">
        <v>374</v>
      </c>
    </row>
    <row r="1563" spans="1:15" ht="15.75" customHeight="1">
      <c r="A1563" s="4"/>
      <c r="B1563" s="4"/>
      <c r="C1563" s="4"/>
      <c r="D1563" s="4"/>
      <c r="E1563" s="4"/>
      <c r="G1563" s="4"/>
      <c r="H1563" s="4"/>
      <c r="K1563" s="4"/>
      <c r="N1563" s="4" t="s">
        <v>2823</v>
      </c>
      <c r="O1563" s="4">
        <v>222</v>
      </c>
    </row>
    <row r="1564" spans="1:15" ht="15.75" customHeight="1">
      <c r="A1564" s="4"/>
      <c r="B1564" s="4"/>
      <c r="C1564" s="4"/>
      <c r="D1564" s="4"/>
      <c r="E1564" s="4"/>
      <c r="G1564" s="4"/>
      <c r="H1564" s="4"/>
      <c r="K1564" s="4"/>
      <c r="N1564" s="4" t="s">
        <v>2953</v>
      </c>
      <c r="O1564" s="4">
        <v>264</v>
      </c>
    </row>
    <row r="1565" spans="1:15" ht="15.75" customHeight="1">
      <c r="A1565" s="4"/>
      <c r="B1565" s="4"/>
      <c r="C1565" s="4"/>
      <c r="D1565" s="4"/>
      <c r="E1565" s="4"/>
      <c r="G1565" s="4"/>
      <c r="H1565" s="4"/>
      <c r="K1565" s="4"/>
      <c r="N1565" s="4" t="s">
        <v>2807</v>
      </c>
      <c r="O1565" s="4">
        <v>499</v>
      </c>
    </row>
    <row r="1566" spans="1:15" ht="15.75" customHeight="1">
      <c r="A1566" s="4"/>
      <c r="B1566" s="4"/>
      <c r="C1566" s="4"/>
      <c r="D1566" s="4"/>
      <c r="E1566" s="4"/>
      <c r="G1566" s="4"/>
      <c r="H1566" s="4"/>
      <c r="K1566" s="4"/>
      <c r="N1566" s="4" t="s">
        <v>2958</v>
      </c>
      <c r="O1566" s="4">
        <v>346</v>
      </c>
    </row>
    <row r="1567" spans="1:15" ht="15.75" customHeight="1">
      <c r="A1567" s="4"/>
      <c r="B1567" s="4"/>
      <c r="C1567" s="4"/>
      <c r="D1567" s="4"/>
      <c r="E1567" s="4"/>
      <c r="G1567" s="4"/>
      <c r="H1567" s="4"/>
      <c r="K1567" s="4"/>
      <c r="N1567" s="4" t="s">
        <v>421</v>
      </c>
      <c r="O1567" s="4">
        <v>331</v>
      </c>
    </row>
    <row r="1568" spans="1:15" ht="15.75" customHeight="1">
      <c r="A1568" s="4"/>
      <c r="B1568" s="4"/>
      <c r="C1568" s="4"/>
      <c r="D1568" s="4"/>
      <c r="E1568" s="4"/>
      <c r="G1568" s="4"/>
      <c r="H1568" s="4"/>
      <c r="K1568" s="4"/>
      <c r="N1568" s="4" t="s">
        <v>421</v>
      </c>
      <c r="O1568" s="4">
        <v>357</v>
      </c>
    </row>
    <row r="1569" spans="1:15" ht="15.75" customHeight="1">
      <c r="A1569" s="4"/>
      <c r="B1569" s="4"/>
      <c r="C1569" s="4"/>
      <c r="D1569" s="4"/>
      <c r="E1569" s="4"/>
      <c r="G1569" s="4"/>
      <c r="H1569" s="4"/>
      <c r="K1569" s="4"/>
      <c r="N1569" s="4" t="s">
        <v>328</v>
      </c>
      <c r="O1569" s="4">
        <v>330</v>
      </c>
    </row>
    <row r="1570" spans="1:15" ht="15.75" customHeight="1">
      <c r="A1570" s="4"/>
      <c r="B1570" s="4"/>
      <c r="C1570" s="4"/>
      <c r="D1570" s="4"/>
      <c r="E1570" s="4"/>
      <c r="G1570" s="4"/>
      <c r="H1570" s="4"/>
      <c r="K1570" s="4"/>
      <c r="N1570" s="4" t="s">
        <v>2967</v>
      </c>
      <c r="O1570" s="4">
        <v>406</v>
      </c>
    </row>
    <row r="1571" spans="1:15" ht="15.75" customHeight="1">
      <c r="A1571" s="4"/>
      <c r="B1571" s="4"/>
      <c r="C1571" s="4"/>
      <c r="D1571" s="4"/>
      <c r="E1571" s="4"/>
      <c r="G1571" s="4"/>
      <c r="H1571" s="4"/>
      <c r="K1571" s="4"/>
      <c r="N1571" s="4" t="s">
        <v>328</v>
      </c>
      <c r="O1571" s="4">
        <v>344</v>
      </c>
    </row>
    <row r="1572" spans="1:15" ht="15.75" customHeight="1">
      <c r="A1572" s="4"/>
      <c r="B1572" s="4"/>
      <c r="C1572" s="4"/>
      <c r="D1572" s="4"/>
      <c r="E1572" s="4"/>
      <c r="G1572" s="4"/>
      <c r="H1572" s="4"/>
      <c r="K1572" s="4"/>
      <c r="N1572" s="4" t="s">
        <v>2972</v>
      </c>
      <c r="O1572" s="4">
        <v>249</v>
      </c>
    </row>
    <row r="1573" spans="1:15" ht="15.75" customHeight="1">
      <c r="A1573" s="4"/>
      <c r="B1573" s="4"/>
      <c r="C1573" s="4"/>
      <c r="D1573" s="4"/>
      <c r="E1573" s="4"/>
      <c r="G1573" s="4"/>
      <c r="H1573" s="4"/>
      <c r="K1573" s="4"/>
      <c r="N1573" s="4" t="s">
        <v>2975</v>
      </c>
      <c r="O1573" s="4">
        <v>304</v>
      </c>
    </row>
    <row r="1574" spans="1:15" ht="15.75" customHeight="1">
      <c r="A1574" s="4"/>
      <c r="B1574" s="4"/>
      <c r="C1574" s="4"/>
      <c r="D1574" s="4"/>
      <c r="E1574" s="4"/>
      <c r="G1574" s="4"/>
      <c r="H1574" s="4"/>
      <c r="K1574" s="4"/>
      <c r="N1574" s="4" t="s">
        <v>2529</v>
      </c>
      <c r="O1574" s="4">
        <v>239</v>
      </c>
    </row>
    <row r="1575" spans="1:15" ht="15.75" customHeight="1">
      <c r="A1575" s="4"/>
      <c r="B1575" s="4"/>
      <c r="C1575" s="4"/>
      <c r="D1575" s="4"/>
      <c r="E1575" s="4"/>
      <c r="G1575" s="4"/>
      <c r="H1575" s="4"/>
      <c r="K1575" s="4"/>
      <c r="N1575" s="4" t="s">
        <v>803</v>
      </c>
      <c r="O1575" s="4">
        <v>414</v>
      </c>
    </row>
    <row r="1576" spans="1:15" ht="15.75" customHeight="1">
      <c r="A1576" s="4"/>
      <c r="B1576" s="4"/>
      <c r="C1576" s="4"/>
      <c r="D1576" s="4"/>
      <c r="E1576" s="4"/>
      <c r="G1576" s="4"/>
      <c r="H1576" s="4"/>
      <c r="K1576" s="4"/>
      <c r="N1576" s="4" t="s">
        <v>2982</v>
      </c>
      <c r="O1576" s="4">
        <v>166</v>
      </c>
    </row>
    <row r="1577" spans="1:15" ht="15.75" customHeight="1">
      <c r="A1577" s="4"/>
      <c r="B1577" s="4"/>
      <c r="C1577" s="4"/>
      <c r="D1577" s="4"/>
      <c r="E1577" s="4"/>
      <c r="G1577" s="4"/>
      <c r="H1577" s="4"/>
      <c r="K1577" s="4"/>
      <c r="N1577" s="4" t="s">
        <v>2985</v>
      </c>
      <c r="O1577" s="4">
        <v>237</v>
      </c>
    </row>
    <row r="1578" spans="1:15" ht="15.75" customHeight="1">
      <c r="A1578" s="4"/>
      <c r="B1578" s="4"/>
      <c r="C1578" s="4"/>
      <c r="D1578" s="4"/>
      <c r="E1578" s="4"/>
      <c r="G1578" s="4"/>
      <c r="H1578" s="4"/>
      <c r="K1578" s="4"/>
      <c r="N1578" s="4" t="s">
        <v>2988</v>
      </c>
      <c r="O1578" s="4">
        <v>74</v>
      </c>
    </row>
    <row r="1579" spans="1:15" ht="15.75" customHeight="1">
      <c r="A1579" s="4"/>
      <c r="B1579" s="4"/>
      <c r="C1579" s="4"/>
      <c r="D1579" s="4"/>
      <c r="E1579" s="4"/>
      <c r="G1579" s="4"/>
      <c r="H1579" s="4"/>
      <c r="K1579" s="4"/>
      <c r="N1579" s="4" t="s">
        <v>92</v>
      </c>
      <c r="O1579" s="4">
        <v>103</v>
      </c>
    </row>
    <row r="1580" spans="1:15" ht="15.75" customHeight="1">
      <c r="A1580" s="4"/>
      <c r="B1580" s="4"/>
      <c r="C1580" s="4"/>
      <c r="D1580" s="4"/>
      <c r="E1580" s="4"/>
      <c r="G1580" s="4"/>
      <c r="H1580" s="4"/>
      <c r="K1580" s="4"/>
      <c r="N1580" s="4" t="s">
        <v>656</v>
      </c>
      <c r="O1580" s="4">
        <v>212</v>
      </c>
    </row>
    <row r="1581" spans="1:15" ht="15.75" customHeight="1">
      <c r="A1581" s="4"/>
      <c r="B1581" s="4"/>
      <c r="C1581" s="4"/>
      <c r="D1581" s="4"/>
      <c r="E1581" s="4"/>
      <c r="G1581" s="4"/>
      <c r="H1581" s="4"/>
      <c r="K1581" s="4"/>
      <c r="N1581" s="4" t="s">
        <v>73</v>
      </c>
      <c r="O1581" s="4">
        <v>325</v>
      </c>
    </row>
    <row r="1582" spans="1:15" ht="15.75" customHeight="1">
      <c r="A1582" s="4"/>
      <c r="B1582" s="4"/>
      <c r="C1582" s="4"/>
      <c r="D1582" s="4"/>
      <c r="E1582" s="4"/>
      <c r="G1582" s="4"/>
      <c r="H1582" s="4"/>
      <c r="K1582" s="4"/>
      <c r="N1582" s="4" t="s">
        <v>73</v>
      </c>
      <c r="O1582" s="4">
        <v>350</v>
      </c>
    </row>
    <row r="1583" spans="1:15" ht="15.75" customHeight="1">
      <c r="A1583" s="4"/>
      <c r="B1583" s="4"/>
      <c r="C1583" s="4"/>
      <c r="D1583" s="4"/>
      <c r="E1583" s="4"/>
      <c r="G1583" s="4"/>
      <c r="H1583" s="4"/>
      <c r="K1583" s="4"/>
      <c r="N1583" s="4" t="s">
        <v>76</v>
      </c>
      <c r="O1583" s="4">
        <v>332</v>
      </c>
    </row>
    <row r="1584" spans="1:15" ht="15.75" customHeight="1">
      <c r="A1584" s="4"/>
      <c r="B1584" s="4"/>
      <c r="C1584" s="4"/>
      <c r="D1584" s="4"/>
      <c r="E1584" s="4"/>
      <c r="G1584" s="4"/>
      <c r="H1584" s="4"/>
      <c r="I1584" s="4"/>
      <c r="K1584" s="4"/>
      <c r="N1584" s="4" t="s">
        <v>1885</v>
      </c>
      <c r="O1584" s="4">
        <v>307</v>
      </c>
    </row>
    <row r="1585" spans="1:15" ht="15.75" customHeight="1">
      <c r="A1585" s="4"/>
      <c r="B1585" s="4"/>
      <c r="C1585" s="4"/>
      <c r="D1585" s="4"/>
      <c r="E1585" s="4"/>
      <c r="G1585" s="4"/>
      <c r="H1585" s="4"/>
      <c r="K1585" s="4"/>
      <c r="N1585" s="4" t="s">
        <v>678</v>
      </c>
      <c r="O1585" s="4">
        <v>540</v>
      </c>
    </row>
    <row r="1586" spans="1:15" ht="15.75" customHeight="1">
      <c r="A1586" s="4"/>
      <c r="B1586" s="4"/>
      <c r="C1586" s="4"/>
      <c r="D1586" s="4"/>
      <c r="E1586" s="4"/>
      <c r="G1586" s="4"/>
      <c r="H1586" s="4"/>
      <c r="K1586" s="4"/>
    </row>
    <row r="1587" spans="1:15" ht="15.75" customHeight="1">
      <c r="A1587" s="4"/>
      <c r="B1587" s="4"/>
      <c r="C1587" s="4"/>
      <c r="D1587" s="4"/>
      <c r="E1587" s="4"/>
      <c r="G1587" s="4"/>
      <c r="H1587" s="4"/>
      <c r="K1587" s="4"/>
      <c r="N1587" s="4" t="s">
        <v>348</v>
      </c>
      <c r="O1587" s="4">
        <v>251</v>
      </c>
    </row>
    <row r="1588" spans="1:15" ht="15.75" customHeight="1">
      <c r="A1588" s="4"/>
      <c r="B1588" s="4"/>
      <c r="C1588" s="4"/>
      <c r="D1588" s="4"/>
      <c r="E1588" s="4"/>
      <c r="G1588" s="4"/>
      <c r="H1588" s="4"/>
      <c r="K1588" s="4"/>
      <c r="N1588" s="4" t="s">
        <v>348</v>
      </c>
      <c r="O1588" s="4">
        <v>83</v>
      </c>
    </row>
    <row r="1589" spans="1:15" ht="15.75" customHeight="1">
      <c r="A1589" s="4"/>
      <c r="B1589" s="4"/>
      <c r="C1589" s="4"/>
      <c r="D1589" s="4"/>
      <c r="E1589" s="4"/>
      <c r="G1589" s="4"/>
      <c r="H1589" s="4"/>
      <c r="K1589" s="4"/>
    </row>
    <row r="1590" spans="1:15" ht="15.75" customHeight="1">
      <c r="A1590" s="4"/>
      <c r="B1590" s="4"/>
      <c r="C1590" s="4"/>
      <c r="D1590" s="4"/>
      <c r="E1590" s="4"/>
      <c r="G1590" s="4"/>
      <c r="H1590" s="4"/>
      <c r="K1590" s="4"/>
    </row>
    <row r="1591" spans="1:15" ht="15.75" customHeight="1">
      <c r="A1591" s="4"/>
      <c r="B1591" s="4"/>
      <c r="C1591" s="4"/>
      <c r="D1591" s="4"/>
      <c r="E1591" s="4"/>
      <c r="G1591" s="4"/>
      <c r="H1591" s="4"/>
      <c r="I1591" s="4"/>
      <c r="K1591" s="4"/>
      <c r="N1591" s="4" t="s">
        <v>1992</v>
      </c>
      <c r="O1591" s="4">
        <v>187</v>
      </c>
    </row>
    <row r="1592" spans="1:15" ht="15.75" customHeight="1">
      <c r="A1592" s="4"/>
      <c r="B1592" s="4"/>
      <c r="C1592" s="4"/>
      <c r="D1592" s="4"/>
      <c r="E1592" s="4"/>
      <c r="G1592" s="4"/>
      <c r="H1592" s="4"/>
      <c r="K1592" s="4"/>
      <c r="N1592" s="4" t="s">
        <v>3015</v>
      </c>
      <c r="O1592" s="4">
        <v>235</v>
      </c>
    </row>
    <row r="1593" spans="1:15" ht="15.75" customHeight="1">
      <c r="A1593" s="4"/>
      <c r="B1593" s="4"/>
      <c r="C1593" s="4"/>
      <c r="D1593" s="4"/>
      <c r="E1593" s="4"/>
      <c r="G1593" s="4"/>
      <c r="H1593" s="4"/>
      <c r="K1593" s="4"/>
      <c r="N1593" s="4" t="s">
        <v>3018</v>
      </c>
      <c r="O1593" s="4">
        <v>494</v>
      </c>
    </row>
    <row r="1594" spans="1:15" ht="15.75" customHeight="1">
      <c r="B1594" s="4"/>
      <c r="C1594" s="4"/>
      <c r="D1594" s="4"/>
      <c r="E1594" s="4"/>
      <c r="G1594" s="4"/>
      <c r="H1594" s="4"/>
      <c r="K1594" s="4"/>
      <c r="N1594" s="4" t="s">
        <v>3021</v>
      </c>
      <c r="O1594" s="4">
        <v>260</v>
      </c>
    </row>
    <row r="1595" spans="1:15" ht="15.75" customHeight="1">
      <c r="A1595" s="4"/>
      <c r="B1595" s="4"/>
      <c r="C1595" s="4"/>
      <c r="D1595" s="4"/>
      <c r="E1595" s="4"/>
      <c r="G1595" s="4"/>
      <c r="H1595" s="4"/>
      <c r="K1595" s="4"/>
      <c r="N1595" s="4" t="s">
        <v>56</v>
      </c>
      <c r="O1595" s="4">
        <v>188</v>
      </c>
    </row>
    <row r="1596" spans="1:15" ht="15.75" customHeight="1">
      <c r="A1596" s="4"/>
      <c r="B1596" s="4"/>
      <c r="C1596" s="4"/>
      <c r="D1596" s="4"/>
      <c r="E1596" s="4"/>
      <c r="G1596" s="4"/>
      <c r="H1596" s="4"/>
      <c r="K1596" s="4"/>
      <c r="N1596" s="4" t="s">
        <v>295</v>
      </c>
      <c r="O1596" s="4">
        <v>111</v>
      </c>
    </row>
    <row r="1597" spans="1:15" ht="15.75" customHeight="1">
      <c r="A1597" s="4"/>
      <c r="B1597" s="4"/>
      <c r="C1597" s="4"/>
      <c r="D1597" s="4"/>
      <c r="E1597" s="4"/>
      <c r="G1597" s="4"/>
      <c r="H1597" s="4"/>
      <c r="K1597" s="4"/>
    </row>
    <row r="1598" spans="1:15" ht="15.75" customHeight="1">
      <c r="A1598" s="4"/>
      <c r="B1598" s="4"/>
      <c r="C1598" s="4"/>
      <c r="D1598" s="4"/>
      <c r="E1598" s="4"/>
      <c r="G1598" s="4"/>
      <c r="H1598" s="4"/>
      <c r="K1598" s="4"/>
      <c r="N1598" s="4" t="s">
        <v>298</v>
      </c>
      <c r="O1598" s="4">
        <v>136</v>
      </c>
    </row>
    <row r="1599" spans="1:15" ht="15.75" customHeight="1">
      <c r="A1599" s="4"/>
      <c r="B1599" s="4"/>
      <c r="C1599" s="4"/>
      <c r="D1599" s="4"/>
      <c r="E1599" s="4"/>
      <c r="G1599" s="4"/>
      <c r="H1599" s="4"/>
      <c r="K1599" s="4"/>
      <c r="N1599" s="4" t="s">
        <v>56</v>
      </c>
      <c r="O1599" s="4">
        <v>68</v>
      </c>
    </row>
    <row r="1600" spans="1:15" ht="15.75" customHeight="1">
      <c r="A1600" s="4"/>
      <c r="B1600" s="4"/>
      <c r="C1600" s="4"/>
      <c r="D1600" s="4"/>
      <c r="E1600" s="4"/>
      <c r="G1600" s="4"/>
      <c r="H1600" s="4"/>
      <c r="K1600" s="4"/>
      <c r="N1600" s="4" t="s">
        <v>1381</v>
      </c>
      <c r="O1600" s="4">
        <v>474</v>
      </c>
    </row>
    <row r="1601" spans="1:15" ht="15.75" customHeight="1">
      <c r="A1601" s="4"/>
      <c r="B1601" s="4"/>
      <c r="C1601" s="4"/>
      <c r="D1601" s="4"/>
      <c r="E1601" s="4"/>
      <c r="G1601" s="4"/>
      <c r="H1601" s="4"/>
      <c r="K1601" s="4"/>
      <c r="N1601" s="4" t="s">
        <v>180</v>
      </c>
      <c r="O1601" s="4">
        <v>740</v>
      </c>
    </row>
    <row r="1602" spans="1:15" ht="15.75" customHeight="1">
      <c r="A1602" s="4"/>
      <c r="B1602" s="4"/>
      <c r="C1602" s="4"/>
      <c r="D1602" s="4"/>
      <c r="E1602" s="4"/>
      <c r="G1602" s="4"/>
      <c r="H1602" s="4"/>
      <c r="I1602" s="4"/>
      <c r="K1602" s="4"/>
      <c r="N1602" s="4" t="s">
        <v>3037</v>
      </c>
      <c r="O1602" s="4">
        <v>247</v>
      </c>
    </row>
    <row r="1603" spans="1:15" ht="15.75" customHeight="1">
      <c r="A1603" s="4"/>
      <c r="B1603" s="4"/>
      <c r="C1603" s="4"/>
      <c r="D1603" s="4"/>
      <c r="E1603" s="4"/>
      <c r="G1603" s="4"/>
      <c r="H1603" s="4"/>
      <c r="K1603" s="4"/>
      <c r="N1603" s="4" t="s">
        <v>3041</v>
      </c>
      <c r="O1603" s="4">
        <v>248</v>
      </c>
    </row>
    <row r="1604" spans="1:15" ht="15.75" customHeight="1">
      <c r="A1604" s="4"/>
      <c r="B1604" s="4"/>
      <c r="C1604" s="4"/>
      <c r="D1604" s="4"/>
      <c r="E1604" s="4"/>
      <c r="G1604" s="4"/>
      <c r="H1604" s="4"/>
      <c r="K1604" s="4"/>
    </row>
    <row r="1605" spans="1:15" ht="15.75" customHeight="1">
      <c r="A1605" s="4"/>
      <c r="B1605" s="4"/>
      <c r="C1605" s="4"/>
      <c r="D1605" s="4"/>
      <c r="E1605" s="4"/>
      <c r="G1605" s="4"/>
      <c r="H1605" s="4"/>
      <c r="K1605" s="4"/>
      <c r="N1605" s="4" t="s">
        <v>957</v>
      </c>
      <c r="O1605" s="4">
        <v>860</v>
      </c>
    </row>
    <row r="1606" spans="1:15" ht="15.75" customHeight="1">
      <c r="A1606" s="4"/>
      <c r="B1606" s="4"/>
      <c r="C1606" s="4"/>
      <c r="D1606" s="4"/>
      <c r="E1606" s="4"/>
      <c r="G1606" s="4"/>
      <c r="H1606" s="4"/>
      <c r="K1606" s="4"/>
      <c r="N1606" s="4" t="s">
        <v>56</v>
      </c>
      <c r="O1606" s="4">
        <v>196</v>
      </c>
    </row>
    <row r="1607" spans="1:15" ht="15.75" customHeight="1">
      <c r="A1607" s="4"/>
      <c r="B1607" s="4"/>
      <c r="C1607" s="4"/>
      <c r="D1607" s="4"/>
      <c r="E1607" s="4"/>
      <c r="G1607" s="4"/>
      <c r="H1607" s="4"/>
      <c r="K1607" s="4"/>
      <c r="N1607" s="4" t="s">
        <v>3049</v>
      </c>
      <c r="O1607" s="4">
        <v>201</v>
      </c>
    </row>
    <row r="1608" spans="1:15" ht="15.75" customHeight="1">
      <c r="A1608" s="4"/>
      <c r="B1608" s="4"/>
      <c r="C1608" s="4"/>
      <c r="D1608" s="4"/>
      <c r="E1608" s="4"/>
      <c r="G1608" s="4"/>
      <c r="H1608" s="4"/>
      <c r="K1608" s="4"/>
      <c r="N1608" s="4" t="s">
        <v>3052</v>
      </c>
      <c r="O1608" s="4">
        <v>270</v>
      </c>
    </row>
    <row r="1609" spans="1:15" ht="15.75" customHeight="1">
      <c r="A1609" s="4"/>
      <c r="B1609" s="4"/>
      <c r="C1609" s="4"/>
      <c r="D1609" s="4"/>
      <c r="E1609" s="4"/>
      <c r="G1609" s="4"/>
      <c r="H1609" s="4"/>
      <c r="K1609" s="4"/>
    </row>
    <row r="1610" spans="1:15" ht="15.75" customHeight="1">
      <c r="A1610" s="4"/>
      <c r="B1610" s="4"/>
      <c r="C1610" s="4"/>
      <c r="D1610" s="4"/>
      <c r="E1610" s="4"/>
      <c r="G1610" s="4"/>
      <c r="H1610" s="4"/>
      <c r="K1610" s="4"/>
      <c r="N1610" s="4" t="s">
        <v>56</v>
      </c>
      <c r="O1610" s="4">
        <v>268</v>
      </c>
    </row>
    <row r="1611" spans="1:15" ht="15.75" customHeight="1">
      <c r="A1611" s="4"/>
      <c r="B1611" s="4"/>
      <c r="C1611" s="4"/>
      <c r="D1611" s="4"/>
      <c r="E1611" s="4"/>
      <c r="G1611" s="4"/>
      <c r="H1611" s="4"/>
      <c r="K1611" s="4"/>
      <c r="N1611" s="4" t="s">
        <v>3058</v>
      </c>
      <c r="O1611" s="4">
        <v>711</v>
      </c>
    </row>
    <row r="1612" spans="1:15" ht="15.75" customHeight="1">
      <c r="A1612" s="4"/>
      <c r="B1612" s="4"/>
      <c r="C1612" s="4"/>
      <c r="D1612" s="4"/>
      <c r="E1612" s="4"/>
      <c r="G1612" s="4"/>
      <c r="H1612" s="4"/>
      <c r="K1612" s="4"/>
      <c r="N1612" s="4" t="s">
        <v>3061</v>
      </c>
      <c r="O1612" s="4">
        <v>379</v>
      </c>
    </row>
    <row r="1613" spans="1:15" ht="15.75" customHeight="1">
      <c r="A1613" s="4"/>
      <c r="B1613" s="4"/>
      <c r="C1613" s="4"/>
      <c r="D1613" s="4"/>
      <c r="E1613" s="4"/>
      <c r="G1613" s="4"/>
      <c r="H1613" s="4"/>
      <c r="K1613" s="4"/>
      <c r="N1613" s="4" t="s">
        <v>483</v>
      </c>
      <c r="O1613" s="4">
        <v>308</v>
      </c>
    </row>
    <row r="1614" spans="1:15" ht="15.75" customHeight="1">
      <c r="A1614" s="4"/>
      <c r="B1614" s="4"/>
      <c r="C1614" s="4"/>
      <c r="D1614" s="4"/>
      <c r="E1614" s="4"/>
      <c r="G1614" s="4"/>
      <c r="H1614" s="4"/>
      <c r="K1614" s="4"/>
      <c r="N1614" s="4" t="s">
        <v>3061</v>
      </c>
      <c r="O1614" s="4">
        <v>408</v>
      </c>
    </row>
    <row r="1615" spans="1:15" ht="15.75" customHeight="1">
      <c r="A1615" s="4"/>
      <c r="B1615" s="4"/>
      <c r="C1615" s="4"/>
      <c r="D1615" s="4"/>
      <c r="E1615" s="4"/>
      <c r="G1615" s="4"/>
      <c r="H1615" s="4"/>
      <c r="K1615" s="4"/>
      <c r="N1615" s="4" t="s">
        <v>3068</v>
      </c>
      <c r="O1615" s="4">
        <v>532</v>
      </c>
    </row>
    <row r="1616" spans="1:15" ht="15.75" customHeight="1">
      <c r="A1616" s="4"/>
      <c r="B1616" s="4"/>
      <c r="C1616" s="4"/>
      <c r="D1616" s="4"/>
      <c r="E1616" s="4"/>
      <c r="G1616" s="4"/>
      <c r="H1616" s="4"/>
      <c r="K1616" s="4"/>
      <c r="N1616" s="4" t="s">
        <v>3071</v>
      </c>
      <c r="O1616" s="4">
        <v>1016</v>
      </c>
    </row>
    <row r="1617" spans="1:15" ht="15.75" customHeight="1">
      <c r="A1617" s="4"/>
      <c r="B1617" s="4"/>
      <c r="C1617" s="4"/>
      <c r="D1617" s="4"/>
      <c r="E1617" s="4"/>
      <c r="G1617" s="4"/>
      <c r="H1617" s="4"/>
      <c r="K1617" s="4"/>
      <c r="N1617" s="4" t="s">
        <v>56</v>
      </c>
      <c r="O1617" s="4">
        <v>188</v>
      </c>
    </row>
    <row r="1618" spans="1:15" ht="15.75" customHeight="1">
      <c r="A1618" s="4"/>
      <c r="B1618" s="4"/>
      <c r="C1618" s="4"/>
      <c r="D1618" s="4"/>
      <c r="E1618" s="4"/>
      <c r="G1618" s="4"/>
      <c r="H1618" s="4"/>
      <c r="K1618" s="4"/>
      <c r="N1618" s="4" t="s">
        <v>3076</v>
      </c>
      <c r="O1618" s="4">
        <v>394</v>
      </c>
    </row>
    <row r="1619" spans="1:15" ht="15.75" customHeight="1">
      <c r="A1619" s="4"/>
      <c r="B1619" s="4"/>
      <c r="C1619" s="4"/>
      <c r="D1619" s="4"/>
      <c r="E1619" s="4"/>
      <c r="G1619" s="4"/>
      <c r="H1619" s="4"/>
      <c r="K1619" s="4"/>
      <c r="N1619" s="4" t="s">
        <v>3079</v>
      </c>
      <c r="O1619" s="4">
        <v>653</v>
      </c>
    </row>
    <row r="1620" spans="1:15" ht="15.75" customHeight="1">
      <c r="A1620" s="4"/>
      <c r="B1620" s="4"/>
      <c r="C1620" s="4"/>
      <c r="D1620" s="4"/>
      <c r="E1620" s="4"/>
      <c r="G1620" s="4"/>
      <c r="H1620" s="4"/>
      <c r="K1620" s="4"/>
      <c r="N1620" s="4" t="s">
        <v>3082</v>
      </c>
      <c r="O1620" s="4">
        <v>555</v>
      </c>
    </row>
    <row r="1621" spans="1:15" ht="15.75" customHeight="1">
      <c r="A1621" s="4"/>
      <c r="B1621" s="4"/>
      <c r="C1621" s="4"/>
      <c r="D1621" s="4"/>
      <c r="E1621" s="4"/>
      <c r="G1621" s="4"/>
      <c r="H1621" s="4"/>
      <c r="K1621" s="4"/>
      <c r="N1621" s="4" t="s">
        <v>3085</v>
      </c>
      <c r="O1621" s="4">
        <v>333</v>
      </c>
    </row>
    <row r="1622" spans="1:15" ht="15.75" customHeight="1">
      <c r="A1622" s="4"/>
      <c r="B1622" s="4"/>
      <c r="C1622" s="4"/>
      <c r="D1622" s="4"/>
      <c r="E1622" s="4"/>
      <c r="G1622" s="4"/>
      <c r="H1622" s="4"/>
      <c r="K1622" s="4"/>
      <c r="N1622" s="4" t="s">
        <v>3088</v>
      </c>
      <c r="O1622" s="4">
        <v>492</v>
      </c>
    </row>
    <row r="1623" spans="1:15" ht="15.75" customHeight="1">
      <c r="A1623" s="4"/>
      <c r="B1623" s="4"/>
      <c r="C1623" s="4"/>
      <c r="D1623" s="4"/>
      <c r="E1623" s="4"/>
      <c r="G1623" s="4"/>
      <c r="H1623" s="4"/>
      <c r="K1623" s="4"/>
    </row>
    <row r="1624" spans="1:15" ht="15.75" customHeight="1">
      <c r="A1624" s="4"/>
      <c r="B1624" s="4"/>
      <c r="C1624" s="4"/>
      <c r="D1624" s="4"/>
      <c r="E1624" s="4"/>
      <c r="G1624" s="4"/>
      <c r="H1624" s="4"/>
      <c r="K1624" s="4"/>
      <c r="N1624" s="4" t="s">
        <v>3092</v>
      </c>
      <c r="O1624" s="4">
        <v>393</v>
      </c>
    </row>
    <row r="1625" spans="1:15" ht="15.75" customHeight="1">
      <c r="A1625" s="4"/>
      <c r="B1625" s="4"/>
      <c r="C1625" s="4"/>
      <c r="D1625" s="4"/>
      <c r="E1625" s="4"/>
      <c r="G1625" s="4"/>
      <c r="H1625" s="4"/>
      <c r="I1625" s="4"/>
      <c r="K1625" s="4"/>
      <c r="N1625" s="4" t="s">
        <v>3095</v>
      </c>
      <c r="O1625" s="4">
        <v>257</v>
      </c>
    </row>
    <row r="1626" spans="1:15" ht="15.75" customHeight="1">
      <c r="A1626" s="4"/>
      <c r="B1626" s="4"/>
      <c r="C1626" s="4"/>
      <c r="D1626" s="4"/>
      <c r="E1626" s="4"/>
      <c r="G1626" s="4"/>
      <c r="H1626" s="4"/>
      <c r="I1626" s="4"/>
      <c r="K1626" s="4"/>
      <c r="N1626" s="4" t="s">
        <v>3099</v>
      </c>
      <c r="O1626" s="4">
        <v>271</v>
      </c>
    </row>
    <row r="1627" spans="1:15" ht="15.75" customHeight="1">
      <c r="A1627" s="4"/>
      <c r="B1627" s="4"/>
      <c r="C1627" s="4"/>
      <c r="D1627" s="4"/>
      <c r="E1627" s="4"/>
      <c r="G1627" s="4"/>
      <c r="H1627" s="4"/>
      <c r="K1627" s="4"/>
      <c r="N1627" s="4" t="s">
        <v>3103</v>
      </c>
      <c r="O1627" s="4">
        <v>454</v>
      </c>
    </row>
    <row r="1628" spans="1:15" ht="15.75" customHeight="1">
      <c r="A1628" s="4"/>
      <c r="B1628" s="4"/>
      <c r="C1628" s="4"/>
      <c r="D1628" s="4"/>
      <c r="E1628" s="4"/>
      <c r="G1628" s="4"/>
      <c r="H1628" s="4"/>
      <c r="I1628" s="4"/>
      <c r="K1628" s="4"/>
      <c r="N1628" s="4" t="s">
        <v>3106</v>
      </c>
      <c r="O1628" s="4">
        <v>146</v>
      </c>
    </row>
    <row r="1629" spans="1:15" ht="15.75" customHeight="1">
      <c r="A1629" s="4"/>
      <c r="B1629" s="4"/>
      <c r="C1629" s="4"/>
      <c r="D1629" s="4"/>
      <c r="E1629" s="4"/>
      <c r="G1629" s="4"/>
      <c r="H1629" s="4"/>
      <c r="I1629" s="4"/>
      <c r="K1629" s="4"/>
      <c r="N1629" s="4" t="s">
        <v>3110</v>
      </c>
      <c r="O1629" s="4">
        <v>149</v>
      </c>
    </row>
    <row r="1630" spans="1:15" ht="15.75" customHeight="1">
      <c r="A1630" s="4"/>
      <c r="B1630" s="4"/>
      <c r="C1630" s="4"/>
      <c r="D1630" s="4"/>
      <c r="E1630" s="4"/>
      <c r="G1630" s="4"/>
      <c r="H1630" s="4"/>
      <c r="I1630" s="4"/>
      <c r="K1630" s="4"/>
      <c r="N1630" s="4" t="s">
        <v>3114</v>
      </c>
      <c r="O1630" s="4">
        <v>406</v>
      </c>
    </row>
    <row r="1631" spans="1:15" ht="15.75" customHeight="1">
      <c r="A1631" s="4"/>
      <c r="B1631" s="4"/>
      <c r="C1631" s="4"/>
      <c r="D1631" s="4"/>
      <c r="E1631" s="4"/>
      <c r="G1631" s="4"/>
      <c r="H1631" s="4"/>
      <c r="K1631" s="4"/>
      <c r="N1631" s="4" t="s">
        <v>3118</v>
      </c>
      <c r="O1631" s="4">
        <v>242</v>
      </c>
    </row>
    <row r="1632" spans="1:15" ht="15.75" customHeight="1">
      <c r="A1632" s="4"/>
      <c r="B1632" s="4"/>
      <c r="C1632" s="4"/>
      <c r="D1632" s="4"/>
      <c r="E1632" s="4"/>
      <c r="G1632" s="4"/>
      <c r="H1632" s="4"/>
      <c r="K1632" s="4"/>
      <c r="N1632" s="4" t="s">
        <v>3121</v>
      </c>
      <c r="O1632" s="4">
        <v>307</v>
      </c>
    </row>
    <row r="1633" spans="1:15" ht="15.75" customHeight="1">
      <c r="A1633" s="4"/>
      <c r="B1633" s="4"/>
      <c r="C1633" s="4"/>
      <c r="D1633" s="4"/>
      <c r="E1633" s="4"/>
      <c r="G1633" s="4"/>
      <c r="H1633" s="4"/>
      <c r="K1633" s="4"/>
      <c r="N1633" s="4" t="s">
        <v>3124</v>
      </c>
      <c r="O1633" s="4">
        <v>328</v>
      </c>
    </row>
    <row r="1634" spans="1:15" ht="15.75" customHeight="1">
      <c r="A1634" s="4"/>
      <c r="B1634" s="4"/>
      <c r="C1634" s="4"/>
      <c r="D1634" s="4"/>
      <c r="E1634" s="4"/>
      <c r="G1634" s="4"/>
      <c r="H1634" s="4"/>
      <c r="K1634" s="4"/>
      <c r="N1634" s="4" t="s">
        <v>1893</v>
      </c>
      <c r="O1634" s="4">
        <v>79</v>
      </c>
    </row>
    <row r="1635" spans="1:15" ht="15.75" customHeight="1">
      <c r="A1635" s="4"/>
      <c r="B1635" s="4"/>
      <c r="C1635" s="4"/>
      <c r="D1635" s="4"/>
      <c r="E1635" s="4"/>
      <c r="G1635" s="4"/>
      <c r="H1635" s="4"/>
      <c r="K1635" s="4"/>
      <c r="N1635" s="4" t="s">
        <v>3129</v>
      </c>
      <c r="O1635" s="4">
        <v>320</v>
      </c>
    </row>
    <row r="1636" spans="1:15" ht="15.75" customHeight="1">
      <c r="A1636" s="4"/>
      <c r="B1636" s="4"/>
      <c r="C1636" s="4"/>
      <c r="D1636" s="4"/>
      <c r="E1636" s="4"/>
      <c r="G1636" s="4"/>
      <c r="H1636" s="4"/>
      <c r="K1636" s="4"/>
      <c r="N1636" s="4" t="s">
        <v>3132</v>
      </c>
      <c r="O1636" s="4">
        <v>149</v>
      </c>
    </row>
    <row r="1637" spans="1:15" ht="15.75" customHeight="1">
      <c r="A1637" s="4"/>
      <c r="B1637" s="4"/>
      <c r="C1637" s="4"/>
      <c r="D1637" s="4"/>
      <c r="E1637" s="4"/>
      <c r="G1637" s="4"/>
      <c r="H1637" s="4"/>
      <c r="K1637" s="4"/>
      <c r="N1637" s="4" t="s">
        <v>3135</v>
      </c>
      <c r="O1637" s="4">
        <v>145</v>
      </c>
    </row>
    <row r="1638" spans="1:15" ht="15.75" customHeight="1">
      <c r="A1638" s="4"/>
      <c r="B1638" s="4"/>
      <c r="C1638" s="4"/>
      <c r="D1638" s="4"/>
      <c r="E1638" s="4"/>
      <c r="G1638" s="4"/>
      <c r="H1638" s="4"/>
      <c r="K1638" s="4"/>
      <c r="N1638" s="4" t="s">
        <v>3138</v>
      </c>
      <c r="O1638" s="4">
        <v>327</v>
      </c>
    </row>
    <row r="1639" spans="1:15" ht="15.75" customHeight="1">
      <c r="A1639" s="4"/>
      <c r="B1639" s="4"/>
      <c r="C1639" s="4"/>
      <c r="D1639" s="4"/>
      <c r="E1639" s="4"/>
      <c r="G1639" s="4"/>
      <c r="H1639" s="4"/>
      <c r="K1639" s="4"/>
      <c r="N1639" s="4" t="s">
        <v>3141</v>
      </c>
      <c r="O1639" s="4">
        <v>397</v>
      </c>
    </row>
    <row r="1640" spans="1:15" ht="15.75" customHeight="1">
      <c r="A1640" s="4"/>
      <c r="B1640" s="4"/>
      <c r="C1640" s="4"/>
      <c r="D1640" s="4"/>
      <c r="E1640" s="4"/>
      <c r="G1640" s="4"/>
      <c r="H1640" s="4"/>
      <c r="K1640" s="4"/>
      <c r="N1640" s="4" t="s">
        <v>56</v>
      </c>
      <c r="O1640" s="4">
        <v>63</v>
      </c>
    </row>
    <row r="1641" spans="1:15" ht="15.75" customHeight="1">
      <c r="A1641" s="4"/>
      <c r="B1641" s="4"/>
      <c r="C1641" s="4"/>
      <c r="D1641" s="4"/>
      <c r="E1641" s="4"/>
      <c r="G1641" s="4"/>
      <c r="H1641" s="4"/>
      <c r="K1641" s="4"/>
      <c r="N1641" s="4" t="s">
        <v>3146</v>
      </c>
      <c r="O1641" s="4">
        <v>99</v>
      </c>
    </row>
    <row r="1642" spans="1:15" ht="15.75" customHeight="1">
      <c r="A1642" s="4"/>
      <c r="B1642" s="4"/>
      <c r="C1642" s="4"/>
      <c r="D1642" s="4"/>
      <c r="E1642" s="4"/>
      <c r="G1642" s="4"/>
      <c r="H1642" s="4"/>
      <c r="K1642" s="4"/>
      <c r="N1642" s="4" t="s">
        <v>3132</v>
      </c>
      <c r="O1642" s="4">
        <v>137</v>
      </c>
    </row>
    <row r="1643" spans="1:15" ht="15.75" customHeight="1">
      <c r="A1643" s="4"/>
      <c r="B1643" s="4"/>
      <c r="C1643" s="4"/>
      <c r="D1643" s="4"/>
      <c r="E1643" s="4"/>
      <c r="G1643" s="4"/>
      <c r="H1643" s="4"/>
      <c r="K1643" s="4"/>
      <c r="N1643" s="4" t="s">
        <v>216</v>
      </c>
      <c r="O1643" s="4">
        <v>262</v>
      </c>
    </row>
    <row r="1644" spans="1:15" ht="15.75" customHeight="1">
      <c r="A1644" s="4"/>
      <c r="B1644" s="4"/>
      <c r="C1644" s="4"/>
      <c r="D1644" s="4"/>
      <c r="E1644" s="4"/>
      <c r="G1644" s="4"/>
      <c r="H1644" s="4"/>
      <c r="K1644" s="4"/>
      <c r="N1644" s="4" t="s">
        <v>3153</v>
      </c>
      <c r="O1644" s="4">
        <v>335</v>
      </c>
    </row>
    <row r="1645" spans="1:15" ht="15.75" customHeight="1">
      <c r="A1645" s="4"/>
      <c r="B1645" s="4"/>
      <c r="C1645" s="4"/>
      <c r="D1645" s="4"/>
      <c r="E1645" s="4"/>
      <c r="G1645" s="4"/>
      <c r="H1645" s="4"/>
      <c r="K1645" s="4"/>
      <c r="N1645" s="4" t="s">
        <v>3156</v>
      </c>
      <c r="O1645" s="4">
        <v>365</v>
      </c>
    </row>
    <row r="1646" spans="1:15" ht="15.75" customHeight="1">
      <c r="A1646" s="4"/>
      <c r="B1646" s="4"/>
      <c r="C1646" s="4"/>
      <c r="D1646" s="4"/>
      <c r="E1646" s="4"/>
      <c r="G1646" s="4"/>
      <c r="H1646" s="4"/>
      <c r="K1646" s="4"/>
      <c r="N1646" s="4" t="s">
        <v>3132</v>
      </c>
      <c r="O1646" s="4">
        <v>195</v>
      </c>
    </row>
    <row r="1647" spans="1:15" ht="15.75" customHeight="1">
      <c r="A1647" s="4"/>
      <c r="B1647" s="4"/>
      <c r="C1647" s="4"/>
      <c r="D1647" s="4"/>
      <c r="E1647" s="4"/>
      <c r="G1647" s="4"/>
      <c r="H1647" s="4"/>
      <c r="K1647" s="4"/>
      <c r="N1647" s="4" t="s">
        <v>73</v>
      </c>
      <c r="O1647" s="4">
        <v>591</v>
      </c>
    </row>
    <row r="1648" spans="1:15" ht="15.75" customHeight="1">
      <c r="A1648" s="4"/>
      <c r="B1648" s="4"/>
      <c r="C1648" s="4"/>
      <c r="D1648" s="4"/>
      <c r="E1648" s="4"/>
      <c r="G1648" s="4"/>
      <c r="H1648" s="4"/>
      <c r="K1648" s="4"/>
      <c r="N1648" s="4" t="s">
        <v>931</v>
      </c>
      <c r="O1648" s="4">
        <v>152</v>
      </c>
    </row>
    <row r="1649" spans="1:15" ht="15.75" customHeight="1">
      <c r="A1649" s="4"/>
      <c r="B1649" s="4"/>
      <c r="C1649" s="4"/>
      <c r="D1649" s="4"/>
      <c r="E1649" s="4"/>
      <c r="G1649" s="4"/>
      <c r="H1649" s="4"/>
      <c r="K1649" s="4"/>
      <c r="N1649" s="4" t="s">
        <v>3165</v>
      </c>
      <c r="O1649" s="4">
        <v>229</v>
      </c>
    </row>
    <row r="1650" spans="1:15" ht="15.75" customHeight="1">
      <c r="A1650" s="4"/>
      <c r="B1650" s="4"/>
      <c r="C1650" s="4"/>
      <c r="D1650" s="4"/>
      <c r="E1650" s="4"/>
      <c r="G1650" s="4"/>
      <c r="H1650" s="4"/>
      <c r="K1650" s="4"/>
      <c r="N1650" s="4" t="s">
        <v>56</v>
      </c>
      <c r="O1650" s="4">
        <v>68</v>
      </c>
    </row>
    <row r="1651" spans="1:15" ht="15.75" customHeight="1">
      <c r="A1651" s="4"/>
      <c r="B1651" s="4"/>
      <c r="C1651" s="4"/>
      <c r="D1651" s="4"/>
      <c r="E1651" s="4"/>
      <c r="G1651" s="4"/>
      <c r="H1651" s="4"/>
      <c r="K1651" s="4"/>
      <c r="N1651" s="4" t="s">
        <v>3156</v>
      </c>
      <c r="O1651" s="4">
        <v>359</v>
      </c>
    </row>
    <row r="1652" spans="1:15" ht="15.75" customHeight="1">
      <c r="A1652" s="4"/>
      <c r="B1652" s="4"/>
      <c r="C1652" s="4"/>
      <c r="D1652" s="4"/>
      <c r="E1652" s="4"/>
      <c r="G1652" s="4"/>
      <c r="H1652" s="4"/>
      <c r="K1652" s="4"/>
      <c r="N1652" s="4" t="s">
        <v>2472</v>
      </c>
      <c r="O1652" s="4">
        <v>364</v>
      </c>
    </row>
    <row r="1653" spans="1:15" ht="15.75" customHeight="1">
      <c r="A1653" s="4"/>
      <c r="B1653" s="4"/>
      <c r="C1653" s="4"/>
      <c r="D1653" s="4"/>
      <c r="E1653" s="4"/>
      <c r="G1653" s="4"/>
      <c r="H1653" s="4"/>
      <c r="K1653" s="4"/>
      <c r="N1653" s="4" t="s">
        <v>2378</v>
      </c>
      <c r="O1653" s="4">
        <v>357</v>
      </c>
    </row>
    <row r="1654" spans="1:15" ht="15.75" customHeight="1">
      <c r="A1654" s="4"/>
      <c r="B1654" s="4"/>
      <c r="C1654" s="4"/>
      <c r="D1654" s="4"/>
      <c r="E1654" s="4"/>
      <c r="G1654" s="4"/>
      <c r="H1654" s="4"/>
      <c r="K1654" s="4"/>
      <c r="N1654" s="4" t="s">
        <v>3176</v>
      </c>
      <c r="O1654" s="4">
        <v>233</v>
      </c>
    </row>
    <row r="1655" spans="1:15" ht="15.75" customHeight="1">
      <c r="A1655" s="4"/>
      <c r="B1655" s="4"/>
      <c r="C1655" s="4"/>
      <c r="D1655" s="4"/>
      <c r="E1655" s="4"/>
      <c r="G1655" s="4"/>
      <c r="H1655" s="4"/>
      <c r="K1655" s="4"/>
      <c r="N1655" s="4" t="s">
        <v>3179</v>
      </c>
      <c r="O1655" s="4">
        <v>136</v>
      </c>
    </row>
    <row r="1656" spans="1:15" ht="15.75" customHeight="1">
      <c r="A1656" s="4"/>
      <c r="B1656" s="4"/>
      <c r="C1656" s="4"/>
      <c r="D1656" s="4"/>
      <c r="E1656" s="4"/>
      <c r="G1656" s="4"/>
      <c r="H1656" s="4"/>
      <c r="K1656" s="4"/>
      <c r="N1656" s="4" t="s">
        <v>964</v>
      </c>
      <c r="O1656" s="4">
        <v>310</v>
      </c>
    </row>
    <row r="1657" spans="1:15" ht="15.75" customHeight="1">
      <c r="A1657" s="4"/>
      <c r="B1657" s="4"/>
      <c r="C1657" s="4"/>
      <c r="D1657" s="4"/>
      <c r="E1657" s="4"/>
      <c r="G1657" s="4"/>
      <c r="H1657" s="4"/>
      <c r="I1657" s="4"/>
      <c r="K1657" s="4"/>
      <c r="N1657" s="4" t="s">
        <v>2418</v>
      </c>
      <c r="O1657" s="4">
        <v>586</v>
      </c>
    </row>
    <row r="1658" spans="1:15" ht="15.75" customHeight="1">
      <c r="A1658" s="4"/>
      <c r="B1658" s="4"/>
      <c r="C1658" s="4"/>
      <c r="D1658" s="4"/>
      <c r="E1658" s="4"/>
      <c r="G1658" s="4"/>
      <c r="H1658" s="4"/>
      <c r="K1658" s="4"/>
      <c r="N1658" s="4" t="s">
        <v>3186</v>
      </c>
      <c r="O1658" s="4">
        <v>300</v>
      </c>
    </row>
    <row r="1659" spans="1:15" ht="15.75" customHeight="1">
      <c r="A1659" s="4"/>
      <c r="B1659" s="4"/>
      <c r="C1659" s="4"/>
      <c r="D1659" s="4"/>
      <c r="E1659" s="4"/>
      <c r="G1659" s="4"/>
      <c r="H1659" s="4"/>
      <c r="K1659" s="4"/>
      <c r="N1659" s="4" t="s">
        <v>3189</v>
      </c>
      <c r="O1659" s="4">
        <v>283</v>
      </c>
    </row>
    <row r="1660" spans="1:15" ht="15.75" customHeight="1">
      <c r="A1660" s="4"/>
      <c r="B1660" s="4"/>
      <c r="C1660" s="4"/>
      <c r="D1660" s="4"/>
      <c r="E1660" s="4"/>
      <c r="G1660" s="4"/>
      <c r="H1660" s="4"/>
      <c r="K1660" s="4"/>
      <c r="N1660" s="4" t="s">
        <v>3192</v>
      </c>
      <c r="O1660" s="4">
        <v>407</v>
      </c>
    </row>
    <row r="1661" spans="1:15" ht="15.75" customHeight="1">
      <c r="A1661" s="4"/>
      <c r="B1661" s="4"/>
      <c r="C1661" s="4"/>
      <c r="D1661" s="4"/>
      <c r="E1661" s="4"/>
      <c r="G1661" s="4"/>
      <c r="H1661" s="4"/>
      <c r="I1661" s="4"/>
      <c r="K1661" s="4"/>
      <c r="N1661" s="4" t="s">
        <v>3195</v>
      </c>
      <c r="O1661" s="4">
        <v>243</v>
      </c>
    </row>
    <row r="1662" spans="1:15" ht="15.75" customHeight="1">
      <c r="A1662" s="4"/>
      <c r="B1662" s="4"/>
      <c r="C1662" s="4"/>
      <c r="D1662" s="4"/>
      <c r="E1662" s="4"/>
      <c r="G1662" s="4"/>
      <c r="H1662" s="4"/>
      <c r="K1662" s="4"/>
      <c r="N1662" s="4" t="s">
        <v>630</v>
      </c>
      <c r="O1662" s="4">
        <v>153</v>
      </c>
    </row>
    <row r="1663" spans="1:15" ht="15.75" customHeight="1">
      <c r="A1663" s="4"/>
      <c r="B1663" s="4"/>
      <c r="C1663" s="4"/>
      <c r="D1663" s="4"/>
      <c r="E1663" s="4"/>
      <c r="G1663" s="4"/>
      <c r="H1663" s="4"/>
      <c r="K1663" s="4"/>
      <c r="N1663" s="4" t="s">
        <v>3201</v>
      </c>
      <c r="O1663" s="4">
        <v>419</v>
      </c>
    </row>
    <row r="1664" spans="1:15" ht="15.75" customHeight="1">
      <c r="B1664" s="4"/>
      <c r="C1664" s="4"/>
      <c r="D1664" s="4"/>
      <c r="E1664" s="4"/>
      <c r="G1664" s="4"/>
      <c r="H1664" s="4"/>
      <c r="I1664" s="4"/>
      <c r="K1664" s="4"/>
      <c r="N1664" s="4" t="s">
        <v>3204</v>
      </c>
      <c r="O1664" s="4">
        <v>293</v>
      </c>
    </row>
    <row r="1665" spans="1:15" ht="15.75" customHeight="1">
      <c r="B1665" s="4"/>
      <c r="C1665" s="4"/>
      <c r="D1665" s="4"/>
      <c r="E1665" s="4"/>
      <c r="G1665" s="4"/>
      <c r="H1665" s="4"/>
      <c r="I1665" s="4"/>
      <c r="K1665" s="4"/>
      <c r="N1665" s="4" t="s">
        <v>3208</v>
      </c>
      <c r="O1665" s="4">
        <v>504</v>
      </c>
    </row>
    <row r="1666" spans="1:15" ht="15.75" customHeight="1">
      <c r="A1666" s="4"/>
      <c r="B1666" s="4"/>
      <c r="C1666" s="4"/>
      <c r="D1666" s="4"/>
      <c r="E1666" s="4"/>
      <c r="G1666" s="4"/>
      <c r="H1666" s="4"/>
      <c r="K1666" s="4"/>
      <c r="N1666" s="4" t="s">
        <v>3212</v>
      </c>
      <c r="O1666" s="4">
        <v>399</v>
      </c>
    </row>
    <row r="1667" spans="1:15" ht="15.75" customHeight="1">
      <c r="A1667" s="4"/>
      <c r="B1667" s="4"/>
      <c r="C1667" s="4"/>
      <c r="D1667" s="4"/>
      <c r="E1667" s="4"/>
      <c r="G1667" s="4"/>
      <c r="H1667" s="4"/>
      <c r="K1667" s="4"/>
      <c r="N1667" s="4" t="s">
        <v>3215</v>
      </c>
      <c r="O1667" s="4">
        <v>448</v>
      </c>
    </row>
    <row r="1668" spans="1:15" ht="15.75" customHeight="1">
      <c r="A1668" s="4"/>
      <c r="B1668" s="4"/>
      <c r="C1668" s="4"/>
      <c r="D1668" s="4"/>
      <c r="E1668" s="4"/>
      <c r="G1668" s="4"/>
      <c r="H1668" s="4"/>
      <c r="K1668" s="4"/>
      <c r="N1668" s="4" t="s">
        <v>3218</v>
      </c>
      <c r="O1668" s="4">
        <v>505</v>
      </c>
    </row>
    <row r="1669" spans="1:15" ht="15.75" customHeight="1">
      <c r="A1669" s="4"/>
      <c r="B1669" s="4"/>
      <c r="C1669" s="4"/>
      <c r="D1669" s="4"/>
      <c r="E1669" s="4"/>
      <c r="G1669" s="4"/>
      <c r="H1669" s="4"/>
      <c r="K1669" s="4"/>
      <c r="N1669" s="4" t="s">
        <v>56</v>
      </c>
      <c r="O1669" s="4">
        <v>126</v>
      </c>
    </row>
    <row r="1670" spans="1:15" ht="15.75" customHeight="1">
      <c r="A1670" s="4"/>
      <c r="B1670" s="4"/>
      <c r="C1670" s="4"/>
      <c r="D1670" s="4"/>
      <c r="E1670" s="4"/>
      <c r="G1670" s="4"/>
      <c r="H1670" s="4"/>
      <c r="K1670" s="4"/>
      <c r="N1670" s="4" t="s">
        <v>3223</v>
      </c>
      <c r="O1670" s="4">
        <v>347</v>
      </c>
    </row>
    <row r="1671" spans="1:15" ht="15.75" customHeight="1">
      <c r="A1671" s="4"/>
      <c r="B1671" s="4"/>
      <c r="C1671" s="4"/>
      <c r="D1671" s="4"/>
      <c r="E1671" s="4"/>
      <c r="G1671" s="4"/>
      <c r="H1671" s="4"/>
      <c r="K1671" s="4"/>
      <c r="N1671" s="4" t="s">
        <v>3226</v>
      </c>
      <c r="O1671" s="4">
        <v>330</v>
      </c>
    </row>
    <row r="1672" spans="1:15" ht="15.75" customHeight="1">
      <c r="A1672" s="4"/>
      <c r="B1672" s="4"/>
      <c r="C1672" s="4"/>
      <c r="D1672" s="4"/>
      <c r="E1672" s="4"/>
      <c r="G1672" s="4"/>
      <c r="H1672" s="4"/>
      <c r="K1672" s="4"/>
      <c r="N1672" s="4" t="s">
        <v>2030</v>
      </c>
      <c r="O1672" s="4">
        <v>387</v>
      </c>
    </row>
    <row r="1673" spans="1:15" ht="15.75" customHeight="1">
      <c r="A1673" s="4"/>
      <c r="B1673" s="4"/>
      <c r="C1673" s="4"/>
      <c r="D1673" s="4"/>
      <c r="E1673" s="4"/>
      <c r="G1673" s="4"/>
      <c r="H1673" s="4"/>
      <c r="K1673" s="4"/>
      <c r="N1673" s="4" t="s">
        <v>56</v>
      </c>
      <c r="O1673" s="4">
        <v>106</v>
      </c>
    </row>
    <row r="1674" spans="1:15" ht="15.75" customHeight="1">
      <c r="A1674" s="4"/>
      <c r="B1674" s="4"/>
      <c r="C1674" s="4"/>
      <c r="D1674" s="4"/>
      <c r="E1674" s="4"/>
      <c r="G1674" s="4"/>
      <c r="H1674" s="4"/>
      <c r="K1674" s="4"/>
      <c r="N1674" s="4" t="s">
        <v>3233</v>
      </c>
      <c r="O1674" s="4">
        <v>234</v>
      </c>
    </row>
    <row r="1675" spans="1:15" ht="15.75" customHeight="1">
      <c r="A1675" s="4"/>
      <c r="B1675" s="4"/>
      <c r="C1675" s="4"/>
      <c r="D1675" s="4"/>
      <c r="E1675" s="4"/>
      <c r="G1675" s="4"/>
      <c r="H1675" s="4"/>
      <c r="K1675" s="4"/>
      <c r="N1675" s="4" t="s">
        <v>1648</v>
      </c>
      <c r="O1675" s="4">
        <v>126</v>
      </c>
    </row>
    <row r="1676" spans="1:15" ht="15.75" customHeight="1">
      <c r="A1676" s="4"/>
      <c r="B1676" s="4"/>
      <c r="C1676" s="4"/>
      <c r="D1676" s="4"/>
      <c r="E1676" s="4"/>
      <c r="G1676" s="4"/>
      <c r="H1676" s="4"/>
      <c r="I1676" s="4"/>
      <c r="K1676" s="4"/>
      <c r="N1676" s="4" t="s">
        <v>3238</v>
      </c>
      <c r="O1676" s="4">
        <v>634</v>
      </c>
    </row>
    <row r="1677" spans="1:15" ht="15.75" customHeight="1">
      <c r="A1677" s="4"/>
      <c r="B1677" s="4"/>
      <c r="C1677" s="4"/>
      <c r="D1677" s="4"/>
      <c r="E1677" s="4"/>
      <c r="G1677" s="4"/>
      <c r="H1677" s="4"/>
      <c r="K1677" s="4"/>
      <c r="N1677" s="4" t="s">
        <v>2493</v>
      </c>
      <c r="O1677" s="4">
        <v>356</v>
      </c>
    </row>
    <row r="1678" spans="1:15" ht="15.75" customHeight="1">
      <c r="A1678" s="4"/>
      <c r="B1678" s="4"/>
      <c r="C1678" s="4"/>
      <c r="D1678" s="4"/>
      <c r="E1678" s="4"/>
      <c r="G1678" s="4"/>
      <c r="H1678" s="4"/>
      <c r="K1678" s="4"/>
      <c r="N1678" s="4" t="s">
        <v>3244</v>
      </c>
      <c r="O1678" s="4">
        <v>304</v>
      </c>
    </row>
    <row r="1679" spans="1:15" ht="15.75" customHeight="1">
      <c r="A1679" s="4"/>
      <c r="B1679" s="4"/>
      <c r="C1679" s="4"/>
      <c r="D1679" s="4"/>
      <c r="E1679" s="4"/>
      <c r="G1679" s="4"/>
      <c r="H1679" s="4"/>
      <c r="K1679" s="4"/>
      <c r="N1679" s="4" t="s">
        <v>1972</v>
      </c>
      <c r="O1679" s="4">
        <v>322</v>
      </c>
    </row>
    <row r="1680" spans="1:15" ht="15.75" customHeight="1">
      <c r="A1680" s="4"/>
      <c r="B1680" s="4"/>
      <c r="C1680" s="4"/>
      <c r="D1680" s="4"/>
      <c r="E1680" s="4"/>
      <c r="G1680" s="4"/>
      <c r="H1680" s="4"/>
      <c r="K1680" s="4"/>
      <c r="N1680" s="4" t="s">
        <v>3249</v>
      </c>
      <c r="O1680" s="4">
        <v>401</v>
      </c>
    </row>
    <row r="1681" spans="1:15" ht="15.75" customHeight="1">
      <c r="A1681" s="4"/>
      <c r="B1681" s="4"/>
      <c r="C1681" s="4"/>
      <c r="D1681" s="4"/>
      <c r="E1681" s="4"/>
      <c r="G1681" s="4"/>
      <c r="H1681" s="4"/>
      <c r="K1681" s="4"/>
      <c r="N1681" s="4" t="s">
        <v>73</v>
      </c>
      <c r="O1681" s="4">
        <v>295</v>
      </c>
    </row>
    <row r="1682" spans="1:15" ht="15.75" customHeight="1">
      <c r="A1682" s="4"/>
      <c r="B1682" s="4"/>
      <c r="C1682" s="4"/>
      <c r="D1682" s="4"/>
      <c r="E1682" s="4"/>
      <c r="G1682" s="4"/>
      <c r="H1682" s="4"/>
      <c r="K1682" s="4"/>
      <c r="N1682" s="4" t="s">
        <v>76</v>
      </c>
      <c r="O1682" s="4">
        <v>423</v>
      </c>
    </row>
    <row r="1683" spans="1:15" ht="15.75" customHeight="1">
      <c r="A1683" s="4"/>
      <c r="B1683" s="4"/>
      <c r="C1683" s="4"/>
      <c r="D1683" s="4"/>
      <c r="E1683" s="4"/>
      <c r="G1683" s="4"/>
      <c r="H1683" s="4"/>
      <c r="K1683" s="4"/>
      <c r="N1683" s="4" t="s">
        <v>2401</v>
      </c>
      <c r="O1683" s="4">
        <v>131</v>
      </c>
    </row>
    <row r="1684" spans="1:15" ht="15.75" customHeight="1">
      <c r="A1684" s="4"/>
      <c r="B1684" s="4"/>
      <c r="C1684" s="4"/>
      <c r="D1684" s="4"/>
      <c r="E1684" s="4"/>
      <c r="G1684" s="4"/>
      <c r="H1684" s="4"/>
      <c r="K1684" s="4"/>
      <c r="N1684" s="4" t="s">
        <v>73</v>
      </c>
      <c r="O1684" s="4">
        <v>288</v>
      </c>
    </row>
    <row r="1685" spans="1:15" ht="15.75" customHeight="1">
      <c r="A1685" s="4"/>
      <c r="B1685" s="4"/>
      <c r="C1685" s="4"/>
      <c r="D1685" s="4"/>
      <c r="E1685" s="4"/>
      <c r="G1685" s="4"/>
      <c r="H1685" s="4"/>
      <c r="K1685" s="4"/>
      <c r="N1685" s="4" t="s">
        <v>3260</v>
      </c>
      <c r="O1685" s="4">
        <v>214</v>
      </c>
    </row>
    <row r="1686" spans="1:15" ht="15.75" customHeight="1">
      <c r="A1686" s="4"/>
      <c r="B1686" s="4"/>
      <c r="C1686" s="4"/>
      <c r="D1686" s="4"/>
      <c r="E1686" s="4"/>
      <c r="G1686" s="4"/>
      <c r="H1686" s="4"/>
      <c r="K1686" s="4"/>
    </row>
    <row r="1687" spans="1:15" ht="15.75" customHeight="1">
      <c r="A1687" s="4"/>
      <c r="B1687" s="4"/>
      <c r="C1687" s="4"/>
      <c r="D1687" s="4"/>
      <c r="E1687" s="4"/>
      <c r="G1687" s="4"/>
      <c r="H1687" s="4"/>
      <c r="K1687" s="4"/>
      <c r="N1687" s="4" t="s">
        <v>674</v>
      </c>
      <c r="O1687" s="4">
        <v>306</v>
      </c>
    </row>
    <row r="1688" spans="1:15" ht="15.75" customHeight="1">
      <c r="A1688" s="4"/>
      <c r="B1688" s="4"/>
      <c r="C1688" s="4"/>
      <c r="D1688" s="4"/>
      <c r="E1688" s="4"/>
      <c r="G1688" s="4"/>
      <c r="H1688" s="4"/>
      <c r="K1688" s="4"/>
    </row>
    <row r="1689" spans="1:15" ht="15.75" customHeight="1">
      <c r="A1689" s="4"/>
      <c r="B1689" s="4"/>
      <c r="C1689" s="4"/>
      <c r="D1689" s="4"/>
      <c r="E1689" s="4"/>
      <c r="G1689" s="4"/>
      <c r="H1689" s="4"/>
      <c r="K1689" s="4"/>
      <c r="N1689" s="4" t="s">
        <v>3266</v>
      </c>
      <c r="O1689" s="4">
        <v>373</v>
      </c>
    </row>
    <row r="1690" spans="1:15" ht="15.75" customHeight="1">
      <c r="A1690" s="4"/>
      <c r="B1690" s="4"/>
      <c r="C1690" s="4"/>
      <c r="D1690" s="4"/>
      <c r="E1690" s="4"/>
      <c r="G1690" s="4"/>
      <c r="H1690" s="4"/>
      <c r="I1690" s="4"/>
      <c r="K1690" s="4"/>
      <c r="N1690" s="4" t="s">
        <v>3269</v>
      </c>
      <c r="O1690" s="4">
        <v>339</v>
      </c>
    </row>
    <row r="1691" spans="1:15" ht="15.75" customHeight="1">
      <c r="A1691" s="4"/>
      <c r="B1691" s="4"/>
      <c r="C1691" s="4"/>
      <c r="D1691" s="4"/>
      <c r="E1691" s="4"/>
      <c r="G1691" s="4"/>
      <c r="H1691" s="4"/>
      <c r="K1691" s="4"/>
      <c r="N1691" s="4" t="s">
        <v>3273</v>
      </c>
      <c r="O1691" s="4">
        <v>641</v>
      </c>
    </row>
    <row r="1692" spans="1:15" ht="15.75" customHeight="1">
      <c r="A1692" s="4"/>
      <c r="B1692" s="4"/>
      <c r="C1692" s="4"/>
      <c r="D1692" s="4"/>
      <c r="E1692" s="4"/>
      <c r="G1692" s="4"/>
      <c r="H1692" s="4"/>
      <c r="K1692" s="4"/>
      <c r="N1692" s="4" t="s">
        <v>56</v>
      </c>
      <c r="O1692" s="4">
        <v>118</v>
      </c>
    </row>
    <row r="1693" spans="1:15" ht="15.75" customHeight="1">
      <c r="A1693" s="4"/>
      <c r="B1693" s="4"/>
      <c r="C1693" s="4"/>
      <c r="D1693" s="4"/>
      <c r="E1693" s="4"/>
      <c r="G1693" s="4"/>
      <c r="H1693" s="4"/>
      <c r="K1693" s="4"/>
      <c r="N1693" s="4" t="s">
        <v>443</v>
      </c>
      <c r="O1693" s="4">
        <v>475</v>
      </c>
    </row>
    <row r="1694" spans="1:15" ht="15.75" customHeight="1">
      <c r="A1694" s="4"/>
      <c r="B1694" s="4"/>
      <c r="C1694" s="4"/>
      <c r="D1694" s="4"/>
      <c r="E1694" s="4"/>
      <c r="G1694" s="4"/>
      <c r="H1694" s="4"/>
      <c r="K1694" s="4"/>
      <c r="N1694" s="4" t="s">
        <v>3280</v>
      </c>
      <c r="O1694" s="4">
        <v>443</v>
      </c>
    </row>
    <row r="1695" spans="1:15" ht="15.75" customHeight="1">
      <c r="A1695" s="4"/>
      <c r="B1695" s="4"/>
      <c r="C1695" s="4"/>
      <c r="D1695" s="4"/>
      <c r="E1695" s="4"/>
      <c r="G1695" s="4"/>
      <c r="H1695" s="4"/>
      <c r="K1695" s="4"/>
      <c r="N1695" s="4" t="s">
        <v>3283</v>
      </c>
      <c r="O1695" s="4">
        <v>472</v>
      </c>
    </row>
    <row r="1696" spans="1:15" ht="15.75" customHeight="1">
      <c r="A1696" s="4"/>
      <c r="B1696" s="4"/>
      <c r="C1696" s="4"/>
      <c r="D1696" s="4"/>
      <c r="E1696" s="4"/>
      <c r="G1696" s="4"/>
      <c r="H1696" s="4"/>
      <c r="K1696" s="4"/>
      <c r="N1696" s="4" t="s">
        <v>111</v>
      </c>
      <c r="O1696" s="4">
        <v>188</v>
      </c>
    </row>
    <row r="1697" spans="1:15" ht="15.75" customHeight="1">
      <c r="A1697" s="4"/>
      <c r="B1697" s="4"/>
      <c r="C1697" s="4"/>
      <c r="D1697" s="4"/>
      <c r="E1697" s="4"/>
      <c r="G1697" s="4"/>
      <c r="H1697" s="4"/>
      <c r="K1697" s="4"/>
      <c r="N1697" s="4" t="s">
        <v>3288</v>
      </c>
      <c r="O1697" s="4">
        <v>482</v>
      </c>
    </row>
    <row r="1698" spans="1:15" ht="15.75" customHeight="1">
      <c r="A1698" s="4"/>
      <c r="B1698" s="4"/>
      <c r="C1698" s="4"/>
      <c r="D1698" s="4"/>
      <c r="E1698" s="4"/>
      <c r="G1698" s="4"/>
      <c r="H1698" s="4"/>
      <c r="K1698" s="4"/>
      <c r="N1698" s="4" t="s">
        <v>3291</v>
      </c>
      <c r="O1698" s="4">
        <v>612</v>
      </c>
    </row>
    <row r="1699" spans="1:15" ht="15.75" customHeight="1">
      <c r="A1699" s="4"/>
      <c r="B1699" s="4"/>
      <c r="C1699" s="4"/>
      <c r="D1699" s="4"/>
      <c r="E1699" s="4"/>
      <c r="G1699" s="4"/>
      <c r="H1699" s="4"/>
      <c r="K1699" s="4"/>
      <c r="N1699" s="4" t="s">
        <v>3294</v>
      </c>
      <c r="O1699" s="4">
        <v>285</v>
      </c>
    </row>
    <row r="1700" spans="1:15" ht="15.75" customHeight="1">
      <c r="A1700" s="4"/>
      <c r="B1700" s="4"/>
      <c r="C1700" s="4"/>
      <c r="D1700" s="4"/>
      <c r="E1700" s="4"/>
      <c r="G1700" s="4"/>
      <c r="H1700" s="4"/>
      <c r="K1700" s="4"/>
      <c r="N1700" s="4" t="s">
        <v>3297</v>
      </c>
      <c r="O1700" s="4">
        <v>546</v>
      </c>
    </row>
    <row r="1701" spans="1:15" ht="15.75" customHeight="1">
      <c r="A1701" s="4"/>
      <c r="B1701" s="4"/>
      <c r="C1701" s="4"/>
      <c r="D1701" s="4"/>
      <c r="E1701" s="4"/>
      <c r="G1701" s="4"/>
      <c r="H1701" s="4"/>
      <c r="K1701" s="4"/>
      <c r="N1701" s="4" t="s">
        <v>3300</v>
      </c>
      <c r="O1701" s="4">
        <v>563</v>
      </c>
    </row>
    <row r="1702" spans="1:15" ht="15.75" customHeight="1">
      <c r="A1702" s="4"/>
      <c r="B1702" s="4"/>
      <c r="C1702" s="4"/>
      <c r="D1702" s="4"/>
      <c r="E1702" s="4"/>
      <c r="G1702" s="4"/>
      <c r="H1702" s="4"/>
      <c r="K1702" s="4"/>
      <c r="N1702" s="4" t="s">
        <v>3303</v>
      </c>
      <c r="O1702" s="4">
        <v>141</v>
      </c>
    </row>
    <row r="1703" spans="1:15" ht="15.75" customHeight="1">
      <c r="A1703" s="4"/>
      <c r="B1703" s="4"/>
      <c r="C1703" s="4"/>
      <c r="D1703" s="4"/>
      <c r="E1703" s="4"/>
      <c r="G1703" s="4"/>
      <c r="H1703" s="4"/>
      <c r="K1703" s="4"/>
      <c r="N1703" s="4" t="s">
        <v>56</v>
      </c>
      <c r="O1703" s="4">
        <v>366</v>
      </c>
    </row>
    <row r="1704" spans="1:15" ht="15.75" customHeight="1">
      <c r="A1704" s="4"/>
      <c r="B1704" s="4"/>
      <c r="C1704" s="4"/>
      <c r="D1704" s="4"/>
      <c r="E1704" s="4"/>
      <c r="G1704" s="4"/>
      <c r="H1704" s="4"/>
      <c r="K1704" s="4"/>
      <c r="N1704" s="4" t="s">
        <v>56</v>
      </c>
      <c r="O1704" s="4">
        <v>264</v>
      </c>
    </row>
    <row r="1705" spans="1:15" ht="15.75" customHeight="1">
      <c r="A1705" s="4"/>
      <c r="B1705" s="4"/>
      <c r="C1705" s="4"/>
      <c r="D1705" s="4"/>
      <c r="E1705" s="4"/>
      <c r="G1705" s="4"/>
      <c r="H1705" s="4"/>
      <c r="K1705" s="4"/>
      <c r="N1705" s="4" t="s">
        <v>56</v>
      </c>
      <c r="O1705" s="4">
        <v>388</v>
      </c>
    </row>
    <row r="1706" spans="1:15" ht="15.75" customHeight="1">
      <c r="A1706" s="4"/>
      <c r="B1706" s="4"/>
      <c r="C1706" s="4"/>
      <c r="D1706" s="4"/>
      <c r="E1706" s="4"/>
      <c r="G1706" s="4"/>
      <c r="H1706" s="4"/>
      <c r="K1706" s="4"/>
      <c r="N1706" s="4" t="s">
        <v>281</v>
      </c>
      <c r="O1706" s="4">
        <v>124</v>
      </c>
    </row>
    <row r="1707" spans="1:15" ht="15.75" customHeight="1">
      <c r="A1707" s="4"/>
      <c r="B1707" s="4"/>
      <c r="C1707" s="4"/>
      <c r="D1707" s="4"/>
      <c r="E1707" s="4"/>
      <c r="G1707" s="4"/>
      <c r="H1707" s="4"/>
      <c r="K1707" s="4"/>
      <c r="N1707" s="4" t="s">
        <v>3314</v>
      </c>
      <c r="O1707" s="4">
        <v>107</v>
      </c>
    </row>
    <row r="1708" spans="1:15" ht="15.75" customHeight="1">
      <c r="A1708" s="4"/>
      <c r="B1708" s="4"/>
      <c r="C1708" s="4"/>
      <c r="D1708" s="4"/>
      <c r="E1708" s="4"/>
      <c r="G1708" s="4"/>
      <c r="H1708" s="4"/>
      <c r="I1708" s="4"/>
      <c r="K1708" s="4"/>
      <c r="N1708" s="4" t="s">
        <v>3317</v>
      </c>
      <c r="O1708" s="4">
        <v>575</v>
      </c>
    </row>
    <row r="1709" spans="1:15" ht="15.75" customHeight="1">
      <c r="A1709" s="4"/>
      <c r="B1709" s="4"/>
      <c r="C1709" s="4"/>
      <c r="D1709" s="4"/>
      <c r="E1709" s="4"/>
      <c r="G1709" s="4"/>
      <c r="H1709" s="4"/>
      <c r="I1709" s="4"/>
      <c r="K1709" s="4"/>
      <c r="N1709" s="4" t="s">
        <v>3321</v>
      </c>
      <c r="O1709" s="4">
        <v>580</v>
      </c>
    </row>
    <row r="1710" spans="1:15" ht="15.75" customHeight="1">
      <c r="A1710" s="4"/>
      <c r="B1710" s="4"/>
      <c r="C1710" s="4"/>
      <c r="D1710" s="4"/>
      <c r="E1710" s="4"/>
      <c r="G1710" s="4"/>
      <c r="H1710" s="4"/>
      <c r="I1710" s="4"/>
      <c r="K1710" s="4"/>
      <c r="N1710" s="4" t="s">
        <v>3325</v>
      </c>
      <c r="O1710" s="4">
        <v>337</v>
      </c>
    </row>
    <row r="1711" spans="1:15" ht="15.75" customHeight="1">
      <c r="A1711" s="4"/>
      <c r="B1711" s="4"/>
      <c r="C1711" s="4"/>
      <c r="D1711" s="4"/>
      <c r="E1711" s="4"/>
      <c r="G1711" s="4"/>
      <c r="H1711" s="4"/>
      <c r="K1711" s="4"/>
      <c r="N1711" s="4" t="s">
        <v>3329</v>
      </c>
      <c r="O1711" s="4">
        <v>474</v>
      </c>
    </row>
    <row r="1712" spans="1:15" ht="15.75" customHeight="1">
      <c r="A1712" s="4"/>
      <c r="B1712" s="4"/>
      <c r="C1712" s="4"/>
      <c r="D1712" s="4"/>
      <c r="E1712" s="4"/>
      <c r="G1712" s="4"/>
      <c r="H1712" s="4"/>
      <c r="K1712" s="4"/>
      <c r="N1712" s="4" t="s">
        <v>3332</v>
      </c>
      <c r="O1712" s="4">
        <v>434</v>
      </c>
    </row>
    <row r="1713" spans="1:15" ht="15.75" customHeight="1">
      <c r="A1713" s="4"/>
      <c r="B1713" s="4"/>
      <c r="C1713" s="4"/>
      <c r="D1713" s="4"/>
      <c r="E1713" s="4"/>
      <c r="G1713" s="4"/>
      <c r="H1713" s="4"/>
      <c r="I1713" s="4"/>
      <c r="K1713" s="4"/>
      <c r="N1713" s="4" t="s">
        <v>3335</v>
      </c>
      <c r="O1713" s="4">
        <v>339</v>
      </c>
    </row>
    <row r="1714" spans="1:15" ht="15.75" customHeight="1">
      <c r="A1714" s="4"/>
      <c r="B1714" s="4"/>
      <c r="C1714" s="4"/>
      <c r="D1714" s="4"/>
      <c r="E1714" s="4"/>
      <c r="G1714" s="4"/>
      <c r="H1714" s="4"/>
      <c r="K1714" s="4"/>
      <c r="N1714" s="4" t="s">
        <v>56</v>
      </c>
      <c r="O1714" s="4">
        <v>80</v>
      </c>
    </row>
    <row r="1715" spans="1:15" ht="15.75" customHeight="1">
      <c r="A1715" s="4"/>
      <c r="B1715" s="4"/>
      <c r="C1715" s="4"/>
      <c r="D1715" s="4"/>
      <c r="E1715" s="4"/>
      <c r="G1715" s="4"/>
      <c r="H1715" s="4"/>
      <c r="K1715" s="4"/>
      <c r="N1715" s="4" t="s">
        <v>56</v>
      </c>
      <c r="O1715" s="4">
        <v>162</v>
      </c>
    </row>
    <row r="1716" spans="1:15" ht="15.75" customHeight="1">
      <c r="A1716" s="4"/>
      <c r="B1716" s="4"/>
      <c r="C1716" s="4"/>
      <c r="D1716" s="4"/>
      <c r="E1716" s="4"/>
      <c r="G1716" s="4"/>
      <c r="H1716" s="4"/>
      <c r="K1716" s="4"/>
      <c r="N1716" s="4" t="s">
        <v>56</v>
      </c>
      <c r="O1716" s="4">
        <v>57</v>
      </c>
    </row>
    <row r="1717" spans="1:15" ht="15.75" customHeight="1">
      <c r="A1717" s="4"/>
      <c r="B1717" s="4"/>
      <c r="C1717" s="4"/>
      <c r="D1717" s="4"/>
      <c r="E1717" s="4"/>
      <c r="G1717" s="4"/>
      <c r="H1717" s="4"/>
      <c r="K1717" s="4"/>
      <c r="N1717" s="4" t="s">
        <v>3345</v>
      </c>
      <c r="O1717" s="4">
        <v>306</v>
      </c>
    </row>
    <row r="1718" spans="1:15" ht="15.75" customHeight="1">
      <c r="A1718" s="4"/>
      <c r="B1718" s="4"/>
      <c r="C1718" s="4"/>
      <c r="D1718" s="4"/>
      <c r="E1718" s="4"/>
      <c r="G1718" s="4"/>
      <c r="H1718" s="4"/>
      <c r="K1718" s="4"/>
      <c r="N1718" s="4" t="s">
        <v>3348</v>
      </c>
      <c r="O1718" s="4">
        <v>204</v>
      </c>
    </row>
    <row r="1719" spans="1:15" ht="15.75" customHeight="1">
      <c r="A1719" s="4"/>
      <c r="B1719" s="4"/>
      <c r="C1719" s="4"/>
      <c r="D1719" s="4"/>
      <c r="E1719" s="4"/>
      <c r="G1719" s="4"/>
      <c r="H1719" s="4"/>
      <c r="K1719" s="4"/>
      <c r="N1719" s="4" t="s">
        <v>630</v>
      </c>
      <c r="O1719" s="4">
        <v>148</v>
      </c>
    </row>
    <row r="1720" spans="1:15" ht="15.75" customHeight="1">
      <c r="A1720" s="4"/>
      <c r="B1720" s="4"/>
      <c r="C1720" s="4"/>
      <c r="D1720" s="4"/>
      <c r="E1720" s="4"/>
      <c r="G1720" s="4"/>
      <c r="H1720" s="4"/>
      <c r="K1720" s="4"/>
      <c r="N1720" s="4" t="s">
        <v>92</v>
      </c>
      <c r="O1720" s="4">
        <v>129</v>
      </c>
    </row>
    <row r="1721" spans="1:15" ht="15.75" customHeight="1">
      <c r="A1721" s="4"/>
      <c r="B1721" s="4"/>
      <c r="C1721" s="4"/>
      <c r="D1721" s="4"/>
      <c r="E1721" s="4"/>
      <c r="G1721" s="4"/>
      <c r="H1721" s="4"/>
      <c r="K1721" s="4"/>
      <c r="N1721" s="4" t="s">
        <v>2936</v>
      </c>
      <c r="O1721" s="4">
        <v>262</v>
      </c>
    </row>
    <row r="1722" spans="1:15" ht="15.75" customHeight="1">
      <c r="B1722" s="4"/>
      <c r="C1722" s="4"/>
      <c r="D1722" s="4"/>
      <c r="E1722" s="4"/>
      <c r="G1722" s="4"/>
      <c r="H1722" s="4"/>
      <c r="I1722" s="4"/>
      <c r="K1722" s="4"/>
      <c r="N1722" s="4" t="s">
        <v>3357</v>
      </c>
      <c r="O1722" s="4">
        <v>380</v>
      </c>
    </row>
    <row r="1723" spans="1:15" ht="15.75" customHeight="1">
      <c r="A1723" s="4"/>
      <c r="B1723" s="4"/>
      <c r="C1723" s="4"/>
      <c r="D1723" s="4"/>
      <c r="E1723" s="4"/>
      <c r="G1723" s="4"/>
      <c r="H1723" s="4"/>
      <c r="K1723" s="4"/>
      <c r="N1723" s="4" t="s">
        <v>56</v>
      </c>
      <c r="O1723" s="4">
        <v>121</v>
      </c>
    </row>
    <row r="1724" spans="1:15" ht="15.75" customHeight="1">
      <c r="A1724" s="4"/>
      <c r="B1724" s="4"/>
      <c r="C1724" s="4"/>
      <c r="D1724" s="4"/>
      <c r="E1724" s="4"/>
      <c r="G1724" s="4"/>
      <c r="H1724" s="4"/>
      <c r="K1724" s="4"/>
      <c r="N1724" s="4" t="s">
        <v>3363</v>
      </c>
      <c r="O1724" s="4">
        <v>178</v>
      </c>
    </row>
    <row r="1725" spans="1:15" ht="15.75" customHeight="1">
      <c r="A1725" s="4"/>
      <c r="B1725" s="4"/>
      <c r="C1725" s="4"/>
      <c r="D1725" s="4"/>
      <c r="E1725" s="4"/>
      <c r="G1725" s="4"/>
      <c r="H1725" s="4"/>
      <c r="K1725" s="4"/>
      <c r="N1725" s="4" t="s">
        <v>743</v>
      </c>
      <c r="O1725" s="4">
        <v>134</v>
      </c>
    </row>
    <row r="1726" spans="1:15" ht="15.75" customHeight="1">
      <c r="A1726" s="4"/>
      <c r="B1726" s="4"/>
      <c r="C1726" s="4"/>
      <c r="D1726" s="4"/>
      <c r="E1726" s="4"/>
      <c r="G1726" s="4"/>
      <c r="H1726" s="4"/>
      <c r="K1726" s="4"/>
      <c r="N1726" s="4" t="s">
        <v>321</v>
      </c>
      <c r="O1726" s="4">
        <v>157</v>
      </c>
    </row>
    <row r="1727" spans="1:15" ht="15.75" customHeight="1">
      <c r="A1727" s="4"/>
      <c r="B1727" s="4"/>
      <c r="C1727" s="4"/>
      <c r="D1727" s="4"/>
      <c r="E1727" s="4"/>
      <c r="G1727" s="4"/>
      <c r="H1727" s="4"/>
      <c r="K1727" s="4"/>
      <c r="N1727" s="4" t="s">
        <v>1637</v>
      </c>
      <c r="O1727" s="4">
        <v>346</v>
      </c>
    </row>
    <row r="1728" spans="1:15" ht="15.75" customHeight="1">
      <c r="A1728" s="4"/>
      <c r="B1728" s="4"/>
      <c r="C1728" s="4"/>
      <c r="D1728" s="4"/>
      <c r="E1728" s="4"/>
      <c r="G1728" s="4"/>
      <c r="H1728" s="4"/>
      <c r="K1728" s="4"/>
      <c r="N1728" s="4" t="s">
        <v>1108</v>
      </c>
      <c r="O1728" s="4">
        <v>217</v>
      </c>
    </row>
    <row r="1729" spans="1:15" ht="15.75" customHeight="1">
      <c r="A1729" s="4"/>
      <c r="B1729" s="4"/>
      <c r="C1729" s="4"/>
      <c r="D1729" s="4"/>
      <c r="E1729" s="4"/>
      <c r="G1729" s="4"/>
      <c r="H1729" s="4"/>
      <c r="K1729" s="4"/>
      <c r="N1729" s="4" t="s">
        <v>440</v>
      </c>
      <c r="O1729" s="4">
        <v>186</v>
      </c>
    </row>
    <row r="1730" spans="1:15" ht="15.75" customHeight="1">
      <c r="A1730" s="4"/>
      <c r="B1730" s="4"/>
      <c r="C1730" s="4"/>
      <c r="D1730" s="4"/>
      <c r="E1730" s="4"/>
      <c r="G1730" s="4"/>
      <c r="H1730" s="4"/>
      <c r="K1730" s="4"/>
    </row>
    <row r="1731" spans="1:15" ht="15.75" customHeight="1">
      <c r="A1731" s="4"/>
      <c r="B1731" s="4"/>
      <c r="C1731" s="4"/>
      <c r="D1731" s="4"/>
      <c r="E1731" s="4"/>
      <c r="G1731" s="4"/>
      <c r="H1731" s="4"/>
      <c r="K1731" s="4"/>
      <c r="N1731" s="4" t="s">
        <v>3377</v>
      </c>
      <c r="O1731" s="4">
        <v>186</v>
      </c>
    </row>
    <row r="1732" spans="1:15" ht="15.75" customHeight="1">
      <c r="A1732" s="4"/>
      <c r="B1732" s="4"/>
      <c r="C1732" s="4"/>
      <c r="D1732" s="4"/>
      <c r="E1732" s="4"/>
      <c r="G1732" s="4"/>
      <c r="H1732" s="4"/>
      <c r="K1732" s="4"/>
      <c r="N1732" s="4" t="s">
        <v>3380</v>
      </c>
      <c r="O1732" s="4">
        <v>349</v>
      </c>
    </row>
    <row r="1733" spans="1:15" ht="15.75" customHeight="1">
      <c r="A1733" s="4"/>
      <c r="B1733" s="4"/>
      <c r="C1733" s="4"/>
      <c r="D1733" s="4"/>
      <c r="E1733" s="4"/>
      <c r="G1733" s="4"/>
      <c r="H1733" s="4"/>
      <c r="K1733" s="4"/>
      <c r="N1733" s="4" t="s">
        <v>3383</v>
      </c>
      <c r="O1733" s="4">
        <v>206</v>
      </c>
    </row>
    <row r="1734" spans="1:15" ht="15.75" customHeight="1">
      <c r="A1734" s="4"/>
      <c r="B1734" s="4"/>
      <c r="C1734" s="4"/>
      <c r="D1734" s="4"/>
      <c r="E1734" s="4"/>
      <c r="G1734" s="4"/>
      <c r="H1734" s="4"/>
      <c r="K1734" s="4"/>
      <c r="N1734" s="4" t="s">
        <v>3386</v>
      </c>
      <c r="O1734" s="4">
        <v>247</v>
      </c>
    </row>
    <row r="1735" spans="1:15" ht="15.75" customHeight="1">
      <c r="A1735" s="4"/>
      <c r="B1735" s="4"/>
      <c r="C1735" s="4"/>
      <c r="D1735" s="4"/>
      <c r="E1735" s="4"/>
      <c r="G1735" s="4"/>
      <c r="H1735" s="4"/>
      <c r="K1735" s="4"/>
      <c r="N1735" s="4" t="s">
        <v>2375</v>
      </c>
      <c r="O1735" s="4">
        <v>463</v>
      </c>
    </row>
    <row r="1736" spans="1:15" ht="15.75" customHeight="1">
      <c r="A1736" s="4"/>
      <c r="B1736" s="4"/>
      <c r="C1736" s="4"/>
      <c r="D1736" s="4"/>
      <c r="E1736" s="4"/>
      <c r="G1736" s="4"/>
      <c r="H1736" s="4"/>
      <c r="K1736" s="4"/>
      <c r="N1736" s="4" t="s">
        <v>3391</v>
      </c>
      <c r="O1736" s="4">
        <v>485</v>
      </c>
    </row>
    <row r="1737" spans="1:15" ht="15.75" customHeight="1">
      <c r="A1737" s="4"/>
      <c r="B1737" s="4"/>
      <c r="C1737" s="4"/>
      <c r="D1737" s="4"/>
      <c r="E1737" s="4"/>
      <c r="G1737" s="4"/>
      <c r="H1737" s="4"/>
      <c r="K1737" s="4"/>
      <c r="N1737" s="4" t="s">
        <v>3394</v>
      </c>
      <c r="O1737" s="4">
        <v>164</v>
      </c>
    </row>
    <row r="1738" spans="1:15" ht="15.75" customHeight="1">
      <c r="A1738" s="4"/>
      <c r="B1738" s="4"/>
      <c r="C1738" s="4"/>
      <c r="D1738" s="4"/>
      <c r="E1738" s="4"/>
      <c r="G1738" s="4"/>
      <c r="H1738" s="4"/>
      <c r="K1738" s="4"/>
      <c r="N1738" s="4" t="s">
        <v>56</v>
      </c>
      <c r="O1738" s="4">
        <v>61</v>
      </c>
    </row>
    <row r="1739" spans="1:15" ht="15.75" customHeight="1">
      <c r="A1739" s="4"/>
      <c r="B1739" s="4"/>
      <c r="C1739" s="4"/>
      <c r="D1739" s="4"/>
      <c r="E1739" s="4"/>
      <c r="G1739" s="4"/>
      <c r="H1739" s="4"/>
      <c r="K1739" s="4"/>
      <c r="N1739" s="4" t="s">
        <v>3399</v>
      </c>
      <c r="O1739" s="4">
        <v>185</v>
      </c>
    </row>
    <row r="1740" spans="1:15" ht="15.75" customHeight="1">
      <c r="A1740" s="4"/>
      <c r="B1740" s="4"/>
      <c r="C1740" s="4"/>
      <c r="D1740" s="4"/>
      <c r="E1740" s="4"/>
      <c r="G1740" s="4"/>
      <c r="H1740" s="4"/>
      <c r="I1740" s="4"/>
      <c r="K1740" s="4"/>
      <c r="N1740" s="4" t="s">
        <v>3402</v>
      </c>
      <c r="O1740" s="4">
        <v>651</v>
      </c>
    </row>
    <row r="1741" spans="1:15" ht="15.75" customHeight="1">
      <c r="A1741" s="4"/>
      <c r="B1741" s="4"/>
      <c r="C1741" s="4"/>
      <c r="D1741" s="4"/>
      <c r="E1741" s="4"/>
      <c r="G1741" s="4"/>
      <c r="H1741" s="4"/>
      <c r="I1741" s="4"/>
      <c r="K1741" s="4"/>
      <c r="N1741" s="4" t="s">
        <v>3406</v>
      </c>
      <c r="O1741" s="4">
        <v>857</v>
      </c>
    </row>
    <row r="1742" spans="1:15" ht="15.75" customHeight="1">
      <c r="A1742" s="4"/>
      <c r="B1742" s="4"/>
      <c r="C1742" s="4"/>
      <c r="D1742" s="4"/>
      <c r="E1742" s="4"/>
      <c r="G1742" s="4"/>
      <c r="H1742" s="4"/>
      <c r="K1742" s="4"/>
      <c r="N1742" s="4" t="s">
        <v>2780</v>
      </c>
      <c r="O1742" s="4">
        <v>609</v>
      </c>
    </row>
    <row r="1743" spans="1:15" ht="15.75" customHeight="1">
      <c r="A1743" s="4"/>
      <c r="B1743" s="4"/>
      <c r="C1743" s="4"/>
      <c r="D1743" s="4"/>
      <c r="E1743" s="4"/>
      <c r="G1743" s="4"/>
      <c r="H1743" s="4"/>
      <c r="K1743" s="4"/>
      <c r="N1743" s="4" t="s">
        <v>2369</v>
      </c>
      <c r="O1743" s="4">
        <v>114</v>
      </c>
    </row>
    <row r="1744" spans="1:15" ht="15.75" customHeight="1">
      <c r="A1744" s="4"/>
      <c r="B1744" s="4"/>
      <c r="C1744" s="4"/>
      <c r="D1744" s="4"/>
      <c r="E1744" s="4"/>
      <c r="G1744" s="4"/>
      <c r="H1744" s="4"/>
      <c r="I1744" s="4"/>
      <c r="K1744" s="4"/>
      <c r="N1744" s="4" t="s">
        <v>3414</v>
      </c>
      <c r="O1744" s="4">
        <v>544</v>
      </c>
    </row>
    <row r="1745" spans="1:15" ht="15.75" customHeight="1">
      <c r="A1745" s="4"/>
      <c r="B1745" s="4"/>
      <c r="C1745" s="4"/>
      <c r="D1745" s="4"/>
      <c r="E1745" s="4"/>
      <c r="G1745" s="4"/>
      <c r="H1745" s="4"/>
      <c r="I1745" s="4"/>
      <c r="K1745" s="4"/>
      <c r="N1745" s="4" t="s">
        <v>3418</v>
      </c>
      <c r="O1745" s="4">
        <v>93</v>
      </c>
    </row>
    <row r="1746" spans="1:15" ht="15.75" customHeight="1">
      <c r="A1746" s="4"/>
      <c r="B1746" s="4"/>
      <c r="C1746" s="4"/>
      <c r="D1746" s="4"/>
      <c r="E1746" s="4"/>
      <c r="G1746" s="4"/>
      <c r="H1746" s="4"/>
      <c r="K1746" s="4"/>
      <c r="N1746" s="4" t="s">
        <v>3422</v>
      </c>
      <c r="O1746" s="4">
        <v>214</v>
      </c>
    </row>
    <row r="1747" spans="1:15" ht="15.75" customHeight="1">
      <c r="A1747" s="4"/>
      <c r="B1747" s="4"/>
      <c r="C1747" s="4"/>
      <c r="D1747" s="4"/>
      <c r="E1747" s="4"/>
      <c r="G1747" s="4"/>
      <c r="H1747" s="4"/>
      <c r="K1747" s="4"/>
      <c r="N1747" s="4" t="s">
        <v>2939</v>
      </c>
      <c r="O1747" s="4">
        <v>352</v>
      </c>
    </row>
    <row r="1748" spans="1:15" ht="15.75" customHeight="1">
      <c r="A1748" s="4"/>
      <c r="B1748" s="4"/>
      <c r="C1748" s="4"/>
      <c r="D1748" s="4"/>
      <c r="E1748" s="4"/>
      <c r="G1748" s="4"/>
      <c r="H1748" s="4"/>
      <c r="K1748" s="4"/>
      <c r="N1748" s="4" t="s">
        <v>56</v>
      </c>
      <c r="O1748" s="4">
        <v>342</v>
      </c>
    </row>
    <row r="1749" spans="1:15" ht="15.75" customHeight="1">
      <c r="A1749" s="4"/>
      <c r="B1749" s="4"/>
      <c r="C1749" s="4"/>
      <c r="D1749" s="4"/>
      <c r="E1749" s="4"/>
      <c r="G1749" s="4"/>
      <c r="H1749" s="4"/>
      <c r="K1749" s="4"/>
      <c r="N1749" s="4" t="s">
        <v>2499</v>
      </c>
      <c r="O1749" s="4">
        <v>295</v>
      </c>
    </row>
    <row r="1750" spans="1:15" ht="15.75" customHeight="1">
      <c r="A1750" s="4"/>
      <c r="B1750" s="4"/>
      <c r="C1750" s="4"/>
      <c r="D1750" s="4"/>
      <c r="E1750" s="4"/>
      <c r="G1750" s="4"/>
      <c r="H1750" s="4"/>
      <c r="K1750" s="4"/>
      <c r="N1750" s="4" t="s">
        <v>2401</v>
      </c>
      <c r="O1750" s="4">
        <v>121</v>
      </c>
    </row>
    <row r="1751" spans="1:15" ht="15.75" customHeight="1">
      <c r="A1751" s="4"/>
      <c r="B1751" s="4"/>
      <c r="C1751" s="4"/>
      <c r="D1751" s="4"/>
      <c r="E1751" s="4"/>
      <c r="G1751" s="4"/>
      <c r="H1751" s="4"/>
      <c r="K1751" s="4"/>
      <c r="N1751" s="4" t="s">
        <v>803</v>
      </c>
      <c r="O1751" s="4">
        <v>414</v>
      </c>
    </row>
    <row r="1752" spans="1:15" ht="15.75" customHeight="1">
      <c r="A1752" s="4"/>
      <c r="B1752" s="4"/>
      <c r="C1752" s="4"/>
      <c r="D1752" s="4"/>
      <c r="E1752" s="4"/>
      <c r="G1752" s="4"/>
      <c r="H1752" s="4"/>
      <c r="K1752" s="4"/>
      <c r="N1752" s="4" t="s">
        <v>813</v>
      </c>
      <c r="O1752" s="4">
        <v>217</v>
      </c>
    </row>
    <row r="1753" spans="1:15" ht="15.75" customHeight="1">
      <c r="A1753" s="4"/>
      <c r="B1753" s="4"/>
      <c r="C1753" s="4"/>
      <c r="D1753" s="4"/>
      <c r="E1753" s="4"/>
      <c r="G1753" s="4"/>
      <c r="H1753" s="4"/>
      <c r="K1753" s="4"/>
      <c r="N1753" s="4" t="s">
        <v>1207</v>
      </c>
      <c r="O1753" s="4">
        <v>650</v>
      </c>
    </row>
    <row r="1754" spans="1:15" ht="15.75" customHeight="1">
      <c r="A1754" s="4"/>
      <c r="B1754" s="4"/>
      <c r="C1754" s="4"/>
      <c r="D1754" s="4"/>
      <c r="E1754" s="4"/>
      <c r="G1754" s="4"/>
      <c r="H1754" s="4"/>
      <c r="K1754" s="4"/>
      <c r="N1754" s="4" t="s">
        <v>2415</v>
      </c>
      <c r="O1754" s="4">
        <v>111</v>
      </c>
    </row>
    <row r="1755" spans="1:15" ht="15.75" customHeight="1">
      <c r="A1755" s="4"/>
      <c r="B1755" s="4"/>
      <c r="C1755" s="4"/>
      <c r="D1755" s="4"/>
      <c r="E1755" s="4"/>
      <c r="G1755" s="4"/>
      <c r="H1755" s="4"/>
      <c r="I1755" s="4"/>
      <c r="K1755" s="4"/>
      <c r="N1755" s="4" t="s">
        <v>3441</v>
      </c>
      <c r="O1755" s="4">
        <v>341</v>
      </c>
    </row>
    <row r="1756" spans="1:15" ht="15.75" customHeight="1">
      <c r="A1756" s="4"/>
      <c r="B1756" s="4"/>
      <c r="C1756" s="4"/>
      <c r="D1756" s="4"/>
      <c r="E1756" s="4"/>
      <c r="G1756" s="4"/>
      <c r="H1756" s="4"/>
      <c r="I1756" s="4"/>
      <c r="K1756" s="4"/>
      <c r="N1756" s="4" t="s">
        <v>3445</v>
      </c>
      <c r="O1756" s="4">
        <v>177</v>
      </c>
    </row>
    <row r="1757" spans="1:15" ht="15.75" customHeight="1">
      <c r="A1757" s="4"/>
      <c r="B1757" s="4"/>
      <c r="C1757" s="4"/>
      <c r="D1757" s="4"/>
      <c r="E1757" s="4"/>
      <c r="G1757" s="4"/>
      <c r="H1757" s="4"/>
      <c r="I1757" s="4"/>
      <c r="K1757" s="4"/>
      <c r="N1757" s="4" t="s">
        <v>3449</v>
      </c>
      <c r="O1757" s="4">
        <v>240</v>
      </c>
    </row>
    <row r="1758" spans="1:15" ht="15.75" customHeight="1">
      <c r="A1758" s="4"/>
      <c r="B1758" s="4"/>
      <c r="C1758" s="4"/>
      <c r="D1758" s="4"/>
      <c r="E1758" s="4"/>
      <c r="G1758" s="4"/>
      <c r="H1758" s="4"/>
      <c r="K1758" s="4"/>
      <c r="N1758" s="4" t="s">
        <v>56</v>
      </c>
      <c r="O1758" s="4">
        <v>201</v>
      </c>
    </row>
    <row r="1759" spans="1:15" ht="15.75" customHeight="1">
      <c r="A1759" s="4"/>
      <c r="B1759" s="4"/>
      <c r="C1759" s="4"/>
      <c r="D1759" s="4"/>
      <c r="E1759" s="4"/>
      <c r="G1759" s="4"/>
      <c r="H1759" s="4"/>
      <c r="K1759" s="4"/>
      <c r="N1759" s="4" t="s">
        <v>3455</v>
      </c>
      <c r="O1759" s="4">
        <v>172</v>
      </c>
    </row>
    <row r="1760" spans="1:15" ht="15.75" customHeight="1">
      <c r="A1760" s="4"/>
      <c r="B1760" s="4"/>
      <c r="C1760" s="4"/>
      <c r="D1760" s="4"/>
      <c r="E1760" s="4"/>
      <c r="G1760" s="4"/>
      <c r="H1760" s="4"/>
      <c r="K1760" s="4"/>
      <c r="N1760" s="4" t="s">
        <v>3458</v>
      </c>
      <c r="O1760" s="4">
        <v>326</v>
      </c>
    </row>
    <row r="1761" spans="1:15" ht="15.75" customHeight="1">
      <c r="A1761" s="4"/>
      <c r="B1761" s="4"/>
      <c r="C1761" s="4"/>
      <c r="D1761" s="4"/>
      <c r="E1761" s="4"/>
      <c r="G1761" s="4"/>
      <c r="H1761" s="4"/>
      <c r="K1761" s="4"/>
      <c r="N1761" s="4" t="s">
        <v>3461</v>
      </c>
      <c r="O1761" s="4">
        <v>247</v>
      </c>
    </row>
    <row r="1762" spans="1:15" ht="15.75" customHeight="1">
      <c r="A1762" s="4"/>
      <c r="B1762" s="4"/>
      <c r="C1762" s="4"/>
      <c r="D1762" s="4"/>
      <c r="E1762" s="4"/>
      <c r="G1762" s="4"/>
      <c r="H1762" s="4"/>
      <c r="I1762" s="4"/>
      <c r="K1762" s="4"/>
      <c r="N1762" s="4" t="s">
        <v>3464</v>
      </c>
      <c r="O1762" s="4">
        <v>285</v>
      </c>
    </row>
    <row r="1763" spans="1:15" ht="15.75" customHeight="1">
      <c r="B1763" s="4"/>
      <c r="C1763" s="4"/>
      <c r="D1763" s="4"/>
      <c r="E1763" s="4"/>
      <c r="G1763" s="4"/>
      <c r="H1763" s="4"/>
      <c r="K1763" s="4"/>
      <c r="N1763" s="4" t="s">
        <v>3468</v>
      </c>
      <c r="O1763" s="4">
        <v>112</v>
      </c>
    </row>
    <row r="1764" spans="1:15" ht="15.75" customHeight="1">
      <c r="A1764" s="4"/>
      <c r="B1764" s="4"/>
      <c r="C1764" s="4"/>
      <c r="D1764" s="4"/>
      <c r="E1764" s="4"/>
      <c r="G1764" s="4"/>
      <c r="H1764" s="4"/>
      <c r="I1764" s="4"/>
      <c r="K1764" s="4"/>
      <c r="N1764" s="4" t="s">
        <v>3471</v>
      </c>
      <c r="O1764" s="4">
        <v>325</v>
      </c>
    </row>
    <row r="1765" spans="1:15" ht="15.75" customHeight="1">
      <c r="A1765" s="4"/>
      <c r="B1765" s="4"/>
      <c r="C1765" s="4"/>
      <c r="D1765" s="4"/>
      <c r="E1765" s="4"/>
      <c r="G1765" s="4"/>
      <c r="H1765" s="4"/>
      <c r="K1765" s="4"/>
      <c r="N1765" s="4" t="s">
        <v>3475</v>
      </c>
      <c r="O1765" s="4">
        <v>109</v>
      </c>
    </row>
    <row r="1766" spans="1:15" ht="15.75" customHeight="1">
      <c r="A1766" s="4"/>
      <c r="B1766" s="4"/>
      <c r="C1766" s="4"/>
      <c r="D1766" s="4"/>
      <c r="E1766" s="4"/>
      <c r="G1766" s="4"/>
      <c r="H1766" s="4"/>
      <c r="I1766" s="4"/>
      <c r="K1766" s="4"/>
      <c r="N1766" s="4" t="s">
        <v>3478</v>
      </c>
      <c r="O1766" s="4">
        <v>214</v>
      </c>
    </row>
    <row r="1767" spans="1:15" ht="15.75" customHeight="1">
      <c r="A1767" s="4"/>
      <c r="B1767" s="4"/>
      <c r="C1767" s="4"/>
      <c r="D1767" s="4"/>
      <c r="E1767" s="4"/>
      <c r="G1767" s="4"/>
      <c r="H1767" s="4"/>
      <c r="K1767" s="4"/>
      <c r="N1767" s="4" t="s">
        <v>3482</v>
      </c>
      <c r="O1767" s="4">
        <v>87</v>
      </c>
    </row>
    <row r="1768" spans="1:15" ht="15.75" customHeight="1">
      <c r="A1768" s="4"/>
      <c r="B1768" s="4"/>
      <c r="C1768" s="4"/>
      <c r="D1768" s="4"/>
      <c r="E1768" s="4"/>
      <c r="G1768" s="4"/>
      <c r="H1768" s="4"/>
      <c r="I1768" s="4"/>
      <c r="K1768" s="4"/>
      <c r="N1768" s="4" t="s">
        <v>3485</v>
      </c>
      <c r="O1768" s="4">
        <v>199</v>
      </c>
    </row>
    <row r="1769" spans="1:15" ht="15.75" customHeight="1">
      <c r="A1769" s="4"/>
      <c r="B1769" s="4"/>
      <c r="C1769" s="4"/>
      <c r="D1769" s="4"/>
      <c r="E1769" s="4"/>
      <c r="G1769" s="4"/>
      <c r="H1769" s="4"/>
      <c r="K1769" s="4"/>
      <c r="N1769" s="4" t="s">
        <v>3489</v>
      </c>
      <c r="O1769" s="4">
        <v>102</v>
      </c>
    </row>
    <row r="1770" spans="1:15" ht="15.75" customHeight="1">
      <c r="A1770" s="4"/>
      <c r="B1770" s="4"/>
      <c r="C1770" s="4"/>
      <c r="D1770" s="4"/>
      <c r="E1770" s="4"/>
      <c r="G1770" s="4"/>
      <c r="H1770" s="4"/>
      <c r="I1770" s="4"/>
      <c r="K1770" s="4"/>
      <c r="N1770" s="4" t="s">
        <v>3492</v>
      </c>
      <c r="O1770" s="4">
        <v>565</v>
      </c>
    </row>
    <row r="1771" spans="1:15" ht="15.75" customHeight="1">
      <c r="B1771" s="4"/>
      <c r="C1771" s="4"/>
      <c r="D1771" s="4"/>
      <c r="E1771" s="4"/>
      <c r="G1771" s="4"/>
      <c r="H1771" s="4"/>
      <c r="I1771" s="4"/>
      <c r="K1771" s="4"/>
    </row>
    <row r="1772" spans="1:15" ht="15.75" customHeight="1">
      <c r="A1772" s="4"/>
      <c r="B1772" s="4"/>
      <c r="C1772" s="4"/>
      <c r="D1772" s="4"/>
      <c r="E1772" s="4"/>
      <c r="G1772" s="4"/>
      <c r="H1772" s="4"/>
      <c r="I1772" s="4"/>
      <c r="K1772" s="4"/>
      <c r="N1772" s="4" t="s">
        <v>3499</v>
      </c>
      <c r="O1772" s="4">
        <v>168</v>
      </c>
    </row>
    <row r="1773" spans="1:15" ht="15.75" customHeight="1">
      <c r="A1773" s="4"/>
      <c r="B1773" s="4"/>
      <c r="C1773" s="4"/>
      <c r="D1773" s="4"/>
      <c r="E1773" s="4"/>
      <c r="G1773" s="4"/>
      <c r="H1773" s="4"/>
      <c r="K1773" s="4"/>
      <c r="N1773" s="4" t="s">
        <v>56</v>
      </c>
      <c r="O1773" s="4">
        <v>109</v>
      </c>
    </row>
    <row r="1774" spans="1:15" ht="15.75" customHeight="1">
      <c r="B1774" s="4"/>
      <c r="C1774" s="4"/>
      <c r="D1774" s="4"/>
      <c r="E1774" s="4"/>
      <c r="G1774" s="4"/>
      <c r="H1774" s="4"/>
      <c r="K1774" s="4"/>
      <c r="N1774" s="4" t="s">
        <v>161</v>
      </c>
      <c r="O1774" s="4">
        <v>198</v>
      </c>
    </row>
    <row r="1775" spans="1:15" ht="15.75" customHeight="1">
      <c r="A1775" s="4"/>
      <c r="B1775" s="4"/>
      <c r="C1775" s="4"/>
      <c r="D1775" s="4"/>
      <c r="E1775" s="4"/>
      <c r="G1775" s="4"/>
      <c r="H1775" s="4"/>
      <c r="I1775" s="4"/>
      <c r="K1775" s="4"/>
      <c r="N1775" s="4" t="s">
        <v>3507</v>
      </c>
      <c r="O1775" s="4">
        <v>869</v>
      </c>
    </row>
    <row r="1776" spans="1:15" ht="15.75" customHeight="1">
      <c r="A1776" s="4"/>
      <c r="B1776" s="4"/>
      <c r="C1776" s="4"/>
      <c r="D1776" s="4"/>
      <c r="E1776" s="4"/>
      <c r="G1776" s="4"/>
      <c r="H1776" s="4"/>
      <c r="K1776" s="4"/>
      <c r="N1776" s="4" t="s">
        <v>56</v>
      </c>
      <c r="O1776" s="4">
        <v>137</v>
      </c>
    </row>
    <row r="1777" spans="1:15" ht="15.75" customHeight="1">
      <c r="A1777" s="4"/>
      <c r="B1777" s="4"/>
      <c r="C1777" s="4"/>
      <c r="D1777" s="4"/>
      <c r="E1777" s="4"/>
      <c r="G1777" s="4"/>
      <c r="H1777" s="4"/>
      <c r="K1777" s="4"/>
      <c r="N1777" s="4" t="s">
        <v>3085</v>
      </c>
      <c r="O1777" s="4">
        <v>310</v>
      </c>
    </row>
    <row r="1778" spans="1:15" ht="15.75" customHeight="1">
      <c r="A1778" s="4"/>
      <c r="B1778" s="4"/>
      <c r="C1778" s="4"/>
      <c r="D1778" s="4"/>
      <c r="E1778" s="4"/>
      <c r="G1778" s="4"/>
      <c r="H1778" s="4"/>
      <c r="I1778" s="4"/>
      <c r="K1778" s="4"/>
      <c r="N1778" s="4" t="s">
        <v>3515</v>
      </c>
      <c r="O1778" s="4">
        <v>1902</v>
      </c>
    </row>
    <row r="1779" spans="1:15" ht="15.75" customHeight="1">
      <c r="A1779" s="4"/>
      <c r="B1779" s="4"/>
      <c r="C1779" s="4"/>
      <c r="D1779" s="4"/>
      <c r="E1779" s="4"/>
      <c r="G1779" s="4"/>
      <c r="H1779" s="4"/>
      <c r="K1779" s="4"/>
      <c r="N1779" s="4" t="s">
        <v>3519</v>
      </c>
      <c r="O1779" s="4">
        <v>299</v>
      </c>
    </row>
    <row r="1780" spans="1:15" ht="15.75" customHeight="1">
      <c r="A1780" s="4"/>
      <c r="B1780" s="4"/>
      <c r="C1780" s="4"/>
      <c r="D1780" s="4"/>
      <c r="E1780" s="4"/>
      <c r="G1780" s="4"/>
      <c r="H1780" s="4"/>
      <c r="I1780" s="4"/>
      <c r="K1780" s="4"/>
      <c r="N1780" s="4" t="s">
        <v>3522</v>
      </c>
      <c r="O1780" s="4">
        <v>122</v>
      </c>
    </row>
    <row r="1781" spans="1:15" ht="15.75" customHeight="1">
      <c r="A1781" s="4"/>
      <c r="B1781" s="4"/>
      <c r="C1781" s="4"/>
      <c r="D1781" s="4"/>
      <c r="E1781" s="4"/>
      <c r="G1781" s="4"/>
      <c r="H1781" s="4"/>
      <c r="I1781" s="4"/>
      <c r="K1781" s="4"/>
      <c r="N1781" s="4" t="s">
        <v>3526</v>
      </c>
      <c r="O1781" s="4">
        <v>168</v>
      </c>
    </row>
    <row r="1782" spans="1:15" ht="15.75" customHeight="1">
      <c r="A1782" s="4"/>
      <c r="B1782" s="4"/>
      <c r="C1782" s="4"/>
      <c r="D1782" s="4"/>
      <c r="E1782" s="4"/>
      <c r="G1782" s="4"/>
      <c r="H1782" s="4"/>
      <c r="K1782" s="4"/>
      <c r="N1782" s="4" t="s">
        <v>255</v>
      </c>
      <c r="O1782" s="4">
        <v>410</v>
      </c>
    </row>
    <row r="1783" spans="1:15" ht="15.75" customHeight="1">
      <c r="A1783" s="4"/>
      <c r="B1783" s="4"/>
      <c r="C1783" s="4"/>
      <c r="D1783" s="4"/>
      <c r="E1783" s="4"/>
      <c r="G1783" s="4"/>
      <c r="H1783" s="4"/>
      <c r="K1783" s="4"/>
      <c r="N1783" s="4" t="s">
        <v>56</v>
      </c>
      <c r="O1783" s="4">
        <v>277</v>
      </c>
    </row>
    <row r="1784" spans="1:15" ht="15.75" customHeight="1">
      <c r="A1784" s="4"/>
      <c r="B1784" s="4"/>
      <c r="C1784" s="4"/>
      <c r="D1784" s="4"/>
      <c r="E1784" s="4"/>
      <c r="G1784" s="4"/>
      <c r="H1784" s="4"/>
      <c r="K1784" s="4"/>
      <c r="N1784" s="4" t="s">
        <v>3534</v>
      </c>
      <c r="O1784" s="4">
        <v>176</v>
      </c>
    </row>
    <row r="1785" spans="1:15" ht="15.75" customHeight="1">
      <c r="A1785" s="4"/>
      <c r="B1785" s="4"/>
      <c r="C1785" s="4"/>
      <c r="D1785" s="4"/>
      <c r="E1785" s="4"/>
      <c r="G1785" s="4"/>
      <c r="H1785" s="4"/>
      <c r="K1785" s="4"/>
      <c r="N1785" s="4" t="s">
        <v>255</v>
      </c>
      <c r="O1785" s="4">
        <v>401</v>
      </c>
    </row>
    <row r="1786" spans="1:15" ht="15.75" customHeight="1">
      <c r="A1786" s="4"/>
      <c r="B1786" s="4"/>
      <c r="C1786" s="4"/>
      <c r="D1786" s="4"/>
      <c r="E1786" s="4"/>
      <c r="G1786" s="4"/>
      <c r="H1786" s="4"/>
      <c r="K1786" s="4"/>
      <c r="N1786" s="4" t="s">
        <v>3539</v>
      </c>
      <c r="O1786" s="4">
        <v>457</v>
      </c>
    </row>
    <row r="1787" spans="1:15" ht="15.75" customHeight="1">
      <c r="A1787" s="4"/>
      <c r="B1787" s="4"/>
      <c r="C1787" s="4"/>
      <c r="D1787" s="4"/>
      <c r="E1787" s="4"/>
      <c r="G1787" s="4"/>
      <c r="H1787" s="4"/>
      <c r="I1787" s="4"/>
      <c r="K1787" s="4"/>
      <c r="N1787" s="4" t="s">
        <v>3542</v>
      </c>
      <c r="O1787" s="4">
        <v>229</v>
      </c>
    </row>
    <row r="1788" spans="1:15" ht="15.75" customHeight="1">
      <c r="A1788" s="4"/>
      <c r="B1788" s="4"/>
      <c r="C1788" s="4"/>
      <c r="D1788" s="4"/>
      <c r="E1788" s="4"/>
      <c r="G1788" s="4"/>
      <c r="H1788" s="4"/>
      <c r="I1788" s="4"/>
      <c r="K1788" s="4"/>
      <c r="N1788" s="4" t="s">
        <v>3546</v>
      </c>
      <c r="O1788" s="4">
        <v>141</v>
      </c>
    </row>
    <row r="1789" spans="1:15" ht="15.75" customHeight="1">
      <c r="B1789" s="4"/>
      <c r="C1789" s="4"/>
      <c r="D1789" s="4"/>
      <c r="E1789" s="4"/>
      <c r="G1789" s="4"/>
      <c r="H1789" s="4"/>
      <c r="I1789" s="4"/>
      <c r="K1789" s="4"/>
      <c r="N1789" s="4" t="s">
        <v>3550</v>
      </c>
      <c r="O1789" s="4">
        <v>876</v>
      </c>
    </row>
    <row r="1790" spans="1:15" ht="15.75" customHeight="1">
      <c r="B1790" s="4"/>
      <c r="C1790" s="4"/>
      <c r="D1790" s="4"/>
      <c r="E1790" s="4"/>
      <c r="G1790" s="4"/>
      <c r="H1790" s="4"/>
      <c r="K1790" s="4"/>
      <c r="N1790" s="4" t="s">
        <v>3554</v>
      </c>
      <c r="O1790" s="4">
        <v>487</v>
      </c>
    </row>
    <row r="1791" spans="1:15" ht="15.75" customHeight="1">
      <c r="A1791" s="4"/>
      <c r="B1791" s="4"/>
      <c r="C1791" s="4"/>
      <c r="D1791" s="4"/>
      <c r="E1791" s="4"/>
      <c r="G1791" s="4"/>
      <c r="H1791" s="4"/>
      <c r="K1791" s="4"/>
      <c r="N1791" s="4" t="s">
        <v>3557</v>
      </c>
      <c r="O1791" s="4">
        <v>122</v>
      </c>
    </row>
    <row r="1792" spans="1:15" ht="15.75" customHeight="1">
      <c r="A1792" s="4"/>
      <c r="B1792" s="4"/>
      <c r="C1792" s="4"/>
      <c r="D1792" s="4"/>
      <c r="E1792" s="4"/>
      <c r="G1792" s="4"/>
      <c r="H1792" s="4"/>
      <c r="K1792" s="4"/>
      <c r="N1792" s="4" t="s">
        <v>3560</v>
      </c>
      <c r="O1792" s="4">
        <v>178</v>
      </c>
    </row>
    <row r="1793" spans="1:15" ht="15.75" customHeight="1">
      <c r="A1793" s="4"/>
      <c r="B1793" s="4"/>
      <c r="C1793" s="4"/>
      <c r="D1793" s="4"/>
      <c r="E1793" s="4"/>
      <c r="G1793" s="4"/>
      <c r="H1793" s="4"/>
      <c r="K1793" s="4"/>
      <c r="N1793" s="4" t="s">
        <v>1167</v>
      </c>
      <c r="O1793" s="4">
        <v>190</v>
      </c>
    </row>
    <row r="1794" spans="1:15" ht="15.75" customHeight="1">
      <c r="B1794" s="4"/>
      <c r="C1794" s="4"/>
      <c r="D1794" s="4"/>
      <c r="E1794" s="4"/>
      <c r="G1794" s="4"/>
      <c r="H1794" s="4"/>
      <c r="K1794" s="4"/>
      <c r="N1794" s="4" t="s">
        <v>3565</v>
      </c>
      <c r="O1794" s="4">
        <v>128</v>
      </c>
    </row>
    <row r="1795" spans="1:15" ht="15.75" customHeight="1">
      <c r="B1795" s="4"/>
      <c r="C1795" s="4"/>
      <c r="D1795" s="4"/>
      <c r="E1795" s="4"/>
      <c r="G1795" s="4"/>
      <c r="H1795" s="4"/>
      <c r="I1795" s="4"/>
      <c r="K1795" s="4"/>
      <c r="N1795" s="4" t="s">
        <v>3568</v>
      </c>
      <c r="O1795" s="4">
        <v>748</v>
      </c>
    </row>
    <row r="1796" spans="1:15" ht="15.75" customHeight="1">
      <c r="B1796" s="4"/>
      <c r="C1796" s="4"/>
      <c r="D1796" s="4"/>
      <c r="E1796" s="4"/>
      <c r="G1796" s="4"/>
      <c r="H1796" s="4"/>
      <c r="K1796" s="4"/>
      <c r="N1796" s="4" t="s">
        <v>2398</v>
      </c>
      <c r="O1796" s="4">
        <v>147</v>
      </c>
    </row>
    <row r="1797" spans="1:15" ht="15.75" customHeight="1">
      <c r="B1797" s="4"/>
      <c r="C1797" s="4"/>
      <c r="D1797" s="4"/>
      <c r="E1797" s="4"/>
      <c r="G1797" s="4"/>
      <c r="H1797" s="4"/>
      <c r="K1797" s="4"/>
      <c r="N1797" s="4" t="s">
        <v>3138</v>
      </c>
      <c r="O1797" s="4">
        <v>281</v>
      </c>
    </row>
    <row r="1798" spans="1:15" ht="15.75" customHeight="1">
      <c r="B1798" s="4"/>
      <c r="C1798" s="4"/>
      <c r="D1798" s="4"/>
      <c r="E1798" s="4"/>
      <c r="G1798" s="4"/>
      <c r="H1798" s="4"/>
      <c r="I1798" s="4"/>
      <c r="K1798" s="4"/>
      <c r="N1798" s="4" t="s">
        <v>3576</v>
      </c>
      <c r="O1798" s="4">
        <v>184</v>
      </c>
    </row>
    <row r="1799" spans="1:15" ht="15.75" customHeight="1">
      <c r="B1799" s="4"/>
      <c r="C1799" s="4"/>
      <c r="D1799" s="4"/>
      <c r="E1799" s="4"/>
      <c r="G1799" s="4"/>
      <c r="H1799" s="4"/>
      <c r="I1799" s="4"/>
      <c r="K1799" s="4"/>
      <c r="N1799" s="4" t="s">
        <v>3580</v>
      </c>
      <c r="O1799" s="4">
        <v>56</v>
      </c>
    </row>
    <row r="1800" spans="1:15" ht="15.75" customHeight="1">
      <c r="A1800" s="4"/>
      <c r="B1800" s="4"/>
      <c r="C1800" s="4"/>
      <c r="D1800" s="4"/>
      <c r="E1800" s="4"/>
      <c r="G1800" s="4"/>
      <c r="H1800" s="4"/>
      <c r="I1800" s="4"/>
      <c r="K1800" s="4"/>
      <c r="N1800" s="4" t="s">
        <v>2584</v>
      </c>
      <c r="O1800" s="4">
        <v>49</v>
      </c>
    </row>
    <row r="1801" spans="1:15" ht="15.75" customHeight="1">
      <c r="A1801" s="4"/>
      <c r="B1801" s="4"/>
      <c r="C1801" s="4"/>
      <c r="D1801" s="4"/>
      <c r="E1801" s="4"/>
      <c r="G1801" s="4"/>
      <c r="H1801" s="4"/>
      <c r="K1801" s="4"/>
      <c r="N1801" s="4" t="s">
        <v>3586</v>
      </c>
      <c r="O1801" s="4">
        <v>319</v>
      </c>
    </row>
    <row r="1802" spans="1:15" ht="15.75" customHeight="1">
      <c r="A1802" s="4"/>
      <c r="B1802" s="4"/>
      <c r="C1802" s="4"/>
      <c r="D1802" s="4"/>
      <c r="E1802" s="4"/>
      <c r="G1802" s="4"/>
      <c r="H1802" s="4"/>
      <c r="K1802" s="4"/>
      <c r="N1802" s="4" t="s">
        <v>3244</v>
      </c>
      <c r="O1802" s="4">
        <v>312</v>
      </c>
    </row>
    <row r="1803" spans="1:15" ht="15.75" customHeight="1">
      <c r="A1803" s="4"/>
      <c r="B1803" s="4"/>
      <c r="C1803" s="4"/>
      <c r="D1803" s="4"/>
      <c r="E1803" s="4"/>
      <c r="G1803" s="4"/>
      <c r="H1803" s="4"/>
      <c r="K1803" s="4"/>
      <c r="N1803" s="4" t="s">
        <v>2893</v>
      </c>
      <c r="O1803" s="4">
        <v>355</v>
      </c>
    </row>
    <row r="1804" spans="1:15" ht="15.75" customHeight="1">
      <c r="A1804" s="4"/>
      <c r="B1804" s="4"/>
      <c r="C1804" s="4"/>
      <c r="D1804" s="4"/>
      <c r="E1804" s="4"/>
      <c r="G1804" s="4"/>
      <c r="H1804" s="4"/>
      <c r="I1804" s="4"/>
      <c r="K1804" s="4"/>
      <c r="N1804" s="4" t="s">
        <v>3593</v>
      </c>
      <c r="O1804" s="4">
        <v>304</v>
      </c>
    </row>
    <row r="1805" spans="1:15" ht="15.75" customHeight="1">
      <c r="A1805" s="4"/>
      <c r="B1805" s="4"/>
      <c r="C1805" s="4"/>
      <c r="D1805" s="4"/>
      <c r="E1805" s="4"/>
      <c r="G1805" s="4"/>
      <c r="H1805" s="4"/>
      <c r="K1805" s="4"/>
      <c r="N1805" s="4" t="s">
        <v>3280</v>
      </c>
      <c r="O1805" s="4">
        <v>632</v>
      </c>
    </row>
    <row r="1806" spans="1:15" ht="15.75" customHeight="1">
      <c r="A1806" s="4"/>
      <c r="B1806" s="4"/>
      <c r="C1806" s="4"/>
      <c r="D1806" s="4"/>
      <c r="E1806" s="4"/>
      <c r="G1806" s="4"/>
      <c r="H1806" s="4"/>
      <c r="K1806" s="4"/>
      <c r="N1806" s="4" t="s">
        <v>3303</v>
      </c>
      <c r="O1806" s="4">
        <v>147</v>
      </c>
    </row>
    <row r="1807" spans="1:15" ht="15.75" customHeight="1">
      <c r="A1807" s="4"/>
      <c r="B1807" s="4"/>
      <c r="C1807" s="4"/>
      <c r="D1807" s="4"/>
      <c r="E1807" s="4"/>
      <c r="G1807" s="4"/>
      <c r="H1807" s="4"/>
      <c r="K1807" s="4"/>
      <c r="N1807" s="4" t="s">
        <v>3601</v>
      </c>
      <c r="O1807" s="4">
        <v>195</v>
      </c>
    </row>
    <row r="1808" spans="1:15" ht="15.75" customHeight="1">
      <c r="A1808" s="4"/>
      <c r="B1808" s="4"/>
      <c r="C1808" s="4"/>
      <c r="D1808" s="4"/>
      <c r="E1808" s="4"/>
      <c r="G1808" s="4"/>
      <c r="H1808" s="4"/>
      <c r="K1808" s="4"/>
      <c r="N1808" s="4" t="s">
        <v>1972</v>
      </c>
      <c r="O1808" s="4">
        <v>325</v>
      </c>
    </row>
    <row r="1809" spans="1:15" ht="15.75" customHeight="1">
      <c r="A1809" s="4"/>
      <c r="B1809" s="4"/>
      <c r="C1809" s="4"/>
      <c r="D1809" s="4"/>
      <c r="E1809" s="4"/>
      <c r="G1809" s="4"/>
      <c r="H1809" s="4"/>
      <c r="K1809" s="4"/>
      <c r="N1809" s="4" t="s">
        <v>56</v>
      </c>
      <c r="O1809" s="4">
        <v>80</v>
      </c>
    </row>
    <row r="1810" spans="1:15" ht="15.75" customHeight="1">
      <c r="A1810" s="4"/>
      <c r="B1810" s="4"/>
      <c r="C1810" s="4"/>
      <c r="D1810" s="4"/>
      <c r="E1810" s="4"/>
      <c r="G1810" s="4"/>
      <c r="H1810" s="4"/>
      <c r="K1810" s="4"/>
      <c r="N1810" s="4" t="s">
        <v>2648</v>
      </c>
      <c r="O1810" s="4">
        <v>227</v>
      </c>
    </row>
    <row r="1811" spans="1:15" ht="15.75" customHeight="1">
      <c r="A1811" s="4"/>
      <c r="B1811" s="4"/>
      <c r="C1811" s="4"/>
      <c r="D1811" s="4"/>
      <c r="E1811" s="4"/>
      <c r="G1811" s="4"/>
      <c r="H1811" s="4"/>
      <c r="K1811" s="4"/>
      <c r="N1811" s="4" t="s">
        <v>3610</v>
      </c>
      <c r="O1811" s="4">
        <v>351</v>
      </c>
    </row>
    <row r="1812" spans="1:15" ht="15.75" customHeight="1">
      <c r="A1812" s="4"/>
      <c r="B1812" s="4"/>
      <c r="C1812" s="4"/>
      <c r="D1812" s="4"/>
      <c r="E1812" s="4"/>
      <c r="G1812" s="4"/>
      <c r="H1812" s="4"/>
      <c r="K1812" s="4"/>
      <c r="N1812" s="4" t="s">
        <v>56</v>
      </c>
      <c r="O1812" s="4">
        <v>113</v>
      </c>
    </row>
    <row r="1813" spans="1:15" ht="15.75" customHeight="1">
      <c r="A1813" s="4"/>
      <c r="B1813" s="4"/>
      <c r="C1813" s="4"/>
      <c r="D1813" s="4"/>
      <c r="E1813" s="4"/>
      <c r="G1813" s="4"/>
      <c r="H1813" s="4"/>
      <c r="K1813" s="4"/>
      <c r="N1813" s="4" t="s">
        <v>3615</v>
      </c>
      <c r="O1813" s="4">
        <v>179</v>
      </c>
    </row>
    <row r="1814" spans="1:15" ht="15.75" customHeight="1">
      <c r="A1814" s="4"/>
      <c r="B1814" s="4"/>
      <c r="C1814" s="4"/>
      <c r="D1814" s="4"/>
      <c r="E1814" s="4"/>
      <c r="G1814" s="4"/>
      <c r="H1814" s="4"/>
      <c r="I1814" s="4"/>
      <c r="K1814" s="4"/>
      <c r="N1814" s="4" t="s">
        <v>3618</v>
      </c>
      <c r="O1814" s="4">
        <v>259</v>
      </c>
    </row>
    <row r="1815" spans="1:15" ht="15.75" customHeight="1">
      <c r="A1815" s="4"/>
      <c r="B1815" s="4"/>
      <c r="C1815" s="4"/>
      <c r="D1815" s="4"/>
      <c r="E1815" s="4"/>
      <c r="G1815" s="4"/>
      <c r="H1815" s="4"/>
      <c r="K1815" s="4"/>
      <c r="N1815" s="4" t="s">
        <v>3622</v>
      </c>
      <c r="O1815" s="4">
        <v>142</v>
      </c>
    </row>
    <row r="1816" spans="1:15" ht="15.75" customHeight="1">
      <c r="A1816" s="4"/>
      <c r="B1816" s="4"/>
      <c r="C1816" s="4"/>
      <c r="D1816" s="4"/>
      <c r="E1816" s="4"/>
      <c r="G1816" s="4"/>
      <c r="H1816" s="4"/>
      <c r="I1816" s="4"/>
      <c r="K1816" s="4"/>
      <c r="N1816" s="4" t="s">
        <v>3625</v>
      </c>
      <c r="O1816" s="4">
        <v>468</v>
      </c>
    </row>
    <row r="1817" spans="1:15" ht="15.75" customHeight="1">
      <c r="A1817" s="4"/>
      <c r="B1817" s="4"/>
      <c r="C1817" s="4"/>
      <c r="D1817" s="4"/>
      <c r="E1817" s="4"/>
      <c r="G1817" s="4"/>
      <c r="H1817" s="4"/>
      <c r="K1817" s="4"/>
      <c r="N1817" s="4" t="s">
        <v>3629</v>
      </c>
      <c r="O1817" s="4">
        <v>464</v>
      </c>
    </row>
    <row r="1818" spans="1:15" ht="15.75" customHeight="1">
      <c r="A1818" s="4"/>
      <c r="B1818" s="4"/>
      <c r="C1818" s="4"/>
      <c r="D1818" s="4"/>
      <c r="E1818" s="4"/>
      <c r="G1818" s="4"/>
      <c r="H1818" s="4"/>
      <c r="K1818" s="4"/>
      <c r="N1818" s="4" t="s">
        <v>56</v>
      </c>
      <c r="O1818" s="4">
        <v>195</v>
      </c>
    </row>
    <row r="1819" spans="1:15" ht="15.75" customHeight="1">
      <c r="A1819" s="4"/>
      <c r="B1819" s="4"/>
      <c r="C1819" s="4"/>
      <c r="D1819" s="4"/>
      <c r="E1819" s="4"/>
      <c r="G1819" s="4"/>
      <c r="H1819" s="4"/>
      <c r="K1819" s="4"/>
      <c r="N1819" s="4" t="s">
        <v>56</v>
      </c>
      <c r="O1819" s="4">
        <v>63</v>
      </c>
    </row>
    <row r="1820" spans="1:15" ht="15.75" customHeight="1">
      <c r="A1820" s="4"/>
      <c r="B1820" s="4"/>
      <c r="C1820" s="4"/>
      <c r="D1820" s="4"/>
      <c r="E1820" s="4"/>
      <c r="G1820" s="4"/>
      <c r="H1820" s="4"/>
      <c r="K1820" s="4"/>
    </row>
    <row r="1821" spans="1:15" ht="15.75" customHeight="1">
      <c r="A1821" s="4"/>
      <c r="B1821" s="4"/>
      <c r="C1821" s="4"/>
      <c r="D1821" s="4"/>
      <c r="E1821" s="4"/>
      <c r="G1821" s="4"/>
      <c r="H1821" s="4"/>
      <c r="I1821" s="4"/>
      <c r="K1821" s="4"/>
      <c r="N1821" s="4" t="s">
        <v>3637</v>
      </c>
      <c r="O1821" s="4">
        <v>497</v>
      </c>
    </row>
    <row r="1822" spans="1:15" ht="15.75" customHeight="1">
      <c r="A1822" s="4"/>
      <c r="B1822" s="4"/>
      <c r="C1822" s="4"/>
      <c r="D1822" s="4"/>
      <c r="E1822" s="4"/>
      <c r="G1822" s="4"/>
      <c r="H1822" s="4"/>
      <c r="K1822" s="4"/>
      <c r="N1822" s="4" t="s">
        <v>289</v>
      </c>
      <c r="O1822" s="4">
        <v>326</v>
      </c>
    </row>
    <row r="1823" spans="1:15" ht="15.75" customHeight="1">
      <c r="A1823" s="4"/>
      <c r="B1823" s="4"/>
      <c r="C1823" s="4"/>
      <c r="D1823" s="4"/>
      <c r="E1823" s="4"/>
      <c r="G1823" s="4"/>
      <c r="H1823" s="4"/>
      <c r="K1823" s="4"/>
      <c r="N1823" s="4" t="s">
        <v>3643</v>
      </c>
      <c r="O1823" s="4">
        <v>223</v>
      </c>
    </row>
    <row r="1824" spans="1:15" ht="15.75" customHeight="1">
      <c r="A1824" s="4"/>
      <c r="B1824" s="4"/>
      <c r="C1824" s="4"/>
      <c r="D1824" s="4"/>
      <c r="E1824" s="4"/>
      <c r="G1824" s="4"/>
      <c r="H1824" s="4"/>
      <c r="K1824" s="4"/>
      <c r="N1824" s="4" t="s">
        <v>3646</v>
      </c>
      <c r="O1824" s="4">
        <v>276</v>
      </c>
    </row>
    <row r="1825" spans="1:15" ht="15.75" customHeight="1">
      <c r="A1825" s="4"/>
      <c r="B1825" s="4"/>
      <c r="C1825" s="4"/>
      <c r="D1825" s="4"/>
      <c r="E1825" s="4"/>
      <c r="G1825" s="4"/>
      <c r="H1825" s="4"/>
      <c r="K1825" s="4"/>
      <c r="N1825" s="4" t="s">
        <v>3649</v>
      </c>
      <c r="O1825" s="4">
        <v>279</v>
      </c>
    </row>
    <row r="1826" spans="1:15" ht="15.75" customHeight="1">
      <c r="A1826" s="4"/>
      <c r="B1826" s="4"/>
      <c r="C1826" s="4"/>
      <c r="D1826" s="4"/>
      <c r="E1826" s="4"/>
      <c r="G1826" s="4"/>
      <c r="H1826" s="4"/>
      <c r="K1826" s="4"/>
      <c r="N1826" s="4" t="s">
        <v>3652</v>
      </c>
      <c r="O1826" s="4">
        <v>338</v>
      </c>
    </row>
    <row r="1827" spans="1:15" ht="15.75" customHeight="1">
      <c r="A1827" s="4"/>
      <c r="B1827" s="4"/>
      <c r="C1827" s="4"/>
      <c r="D1827" s="4"/>
      <c r="E1827" s="4"/>
      <c r="G1827" s="4"/>
      <c r="H1827" s="4"/>
      <c r="K1827" s="4"/>
      <c r="N1827" s="4" t="s">
        <v>2401</v>
      </c>
      <c r="O1827" s="4">
        <v>124</v>
      </c>
    </row>
    <row r="1828" spans="1:15" ht="15.75" customHeight="1">
      <c r="A1828" s="4"/>
      <c r="B1828" s="4"/>
      <c r="C1828" s="4"/>
      <c r="D1828" s="4"/>
      <c r="E1828" s="4"/>
      <c r="G1828" s="4"/>
      <c r="H1828" s="4"/>
      <c r="K1828" s="4"/>
      <c r="N1828" s="4" t="s">
        <v>2538</v>
      </c>
      <c r="O1828" s="4">
        <v>423</v>
      </c>
    </row>
    <row r="1829" spans="1:15" ht="15.75" customHeight="1">
      <c r="A1829" s="4"/>
      <c r="B1829" s="4"/>
      <c r="C1829" s="4"/>
      <c r="D1829" s="4"/>
      <c r="E1829" s="4"/>
      <c r="G1829" s="4"/>
      <c r="H1829" s="4"/>
      <c r="K1829" s="4"/>
    </row>
    <row r="1830" spans="1:15" ht="15.75" customHeight="1">
      <c r="A1830" s="4"/>
      <c r="B1830" s="4"/>
      <c r="C1830" s="4"/>
      <c r="D1830" s="4"/>
      <c r="E1830" s="4"/>
      <c r="G1830" s="4"/>
      <c r="H1830" s="4"/>
      <c r="K1830" s="4"/>
      <c r="N1830" s="4" t="s">
        <v>3660</v>
      </c>
      <c r="O1830" s="4">
        <v>371</v>
      </c>
    </row>
    <row r="1831" spans="1:15" ht="15.75" customHeight="1">
      <c r="A1831" s="4"/>
      <c r="B1831" s="4"/>
      <c r="C1831" s="4"/>
      <c r="D1831" s="4"/>
      <c r="E1831" s="4"/>
      <c r="G1831" s="4"/>
      <c r="H1831" s="4"/>
      <c r="I1831" s="4"/>
      <c r="K1831" s="4"/>
      <c r="N1831" s="4" t="s">
        <v>3663</v>
      </c>
      <c r="O1831" s="4">
        <v>454</v>
      </c>
    </row>
    <row r="1832" spans="1:15" ht="15.75" customHeight="1">
      <c r="A1832" s="4"/>
      <c r="B1832" s="4"/>
      <c r="C1832" s="4"/>
      <c r="D1832" s="4"/>
      <c r="E1832" s="4"/>
      <c r="G1832" s="4"/>
      <c r="H1832" s="4"/>
      <c r="K1832" s="4"/>
      <c r="N1832" s="4" t="s">
        <v>3667</v>
      </c>
      <c r="O1832" s="4">
        <v>180</v>
      </c>
    </row>
    <row r="1833" spans="1:15" ht="15.75" customHeight="1">
      <c r="A1833" s="4"/>
      <c r="B1833" s="4"/>
      <c r="C1833" s="4"/>
      <c r="D1833" s="4"/>
      <c r="E1833" s="4"/>
      <c r="G1833" s="4"/>
      <c r="H1833" s="4"/>
      <c r="K1833" s="4"/>
      <c r="N1833" s="4" t="s">
        <v>51</v>
      </c>
      <c r="O1833" s="4">
        <v>96</v>
      </c>
    </row>
    <row r="1834" spans="1:15" ht="15.75" customHeight="1">
      <c r="A1834" s="4"/>
      <c r="B1834" s="4"/>
      <c r="C1834" s="4"/>
      <c r="D1834" s="4"/>
      <c r="E1834" s="4"/>
      <c r="G1834" s="4"/>
      <c r="H1834" s="4"/>
      <c r="K1834" s="4"/>
      <c r="N1834" s="4" t="s">
        <v>3672</v>
      </c>
      <c r="O1834" s="4">
        <v>125</v>
      </c>
    </row>
    <row r="1835" spans="1:15" ht="15.75" customHeight="1">
      <c r="A1835" s="4"/>
      <c r="B1835" s="4"/>
      <c r="C1835" s="4"/>
      <c r="D1835" s="4"/>
      <c r="E1835" s="4"/>
      <c r="G1835" s="4"/>
      <c r="H1835" s="4"/>
      <c r="K1835" s="4"/>
      <c r="N1835" s="4" t="s">
        <v>674</v>
      </c>
      <c r="O1835" s="4">
        <v>306</v>
      </c>
    </row>
    <row r="1836" spans="1:15" ht="15.75" customHeight="1">
      <c r="A1836" s="4"/>
      <c r="B1836" s="4"/>
      <c r="C1836" s="4"/>
      <c r="D1836" s="4"/>
      <c r="E1836" s="4"/>
      <c r="G1836" s="4"/>
      <c r="H1836" s="4"/>
      <c r="K1836" s="4"/>
      <c r="N1836" s="4" t="s">
        <v>3676</v>
      </c>
      <c r="O1836" s="4">
        <v>439</v>
      </c>
    </row>
    <row r="1837" spans="1:15" ht="15.75" customHeight="1">
      <c r="A1837" s="4"/>
      <c r="B1837" s="4"/>
      <c r="C1837" s="4"/>
      <c r="D1837" s="4"/>
      <c r="E1837" s="4"/>
      <c r="G1837" s="4"/>
      <c r="H1837" s="4"/>
      <c r="K1837" s="4"/>
      <c r="N1837" s="4" t="s">
        <v>3676</v>
      </c>
      <c r="O1837" s="4">
        <v>448</v>
      </c>
    </row>
    <row r="1838" spans="1:15" ht="15.75" customHeight="1">
      <c r="A1838" s="4"/>
      <c r="B1838" s="4"/>
      <c r="C1838" s="4"/>
      <c r="D1838" s="4"/>
      <c r="E1838" s="4"/>
      <c r="G1838" s="4"/>
      <c r="H1838" s="4"/>
      <c r="K1838" s="4"/>
      <c r="N1838" s="4" t="s">
        <v>76</v>
      </c>
      <c r="O1838" s="4">
        <v>366</v>
      </c>
    </row>
    <row r="1839" spans="1:15" ht="15.75" customHeight="1">
      <c r="B1839" s="4"/>
      <c r="C1839" s="4"/>
      <c r="D1839" s="4"/>
      <c r="E1839" s="4"/>
      <c r="G1839" s="4"/>
      <c r="H1839" s="4"/>
      <c r="K1839" s="4"/>
      <c r="N1839" s="4" t="s">
        <v>56</v>
      </c>
      <c r="O1839" s="4">
        <v>398</v>
      </c>
    </row>
    <row r="1840" spans="1:15" ht="15.75" customHeight="1">
      <c r="A1840" s="4"/>
      <c r="B1840" s="4"/>
      <c r="C1840" s="4"/>
      <c r="D1840" s="4"/>
      <c r="E1840" s="4"/>
      <c r="G1840" s="4"/>
      <c r="H1840" s="4"/>
      <c r="K1840" s="4"/>
    </row>
    <row r="1841" spans="1:15" ht="15.75" customHeight="1">
      <c r="B1841" s="4"/>
      <c r="C1841" s="4"/>
      <c r="D1841" s="4"/>
      <c r="E1841" s="4"/>
      <c r="G1841" s="4"/>
      <c r="H1841" s="4"/>
      <c r="K1841" s="4"/>
      <c r="N1841" s="4" t="s">
        <v>3686</v>
      </c>
      <c r="O1841" s="4">
        <v>684</v>
      </c>
    </row>
    <row r="1842" spans="1:15" ht="15.75" customHeight="1">
      <c r="A1842" s="4"/>
      <c r="B1842" s="4"/>
      <c r="C1842" s="4"/>
      <c r="D1842" s="4"/>
      <c r="E1842" s="4"/>
      <c r="G1842" s="4"/>
      <c r="H1842" s="4"/>
      <c r="I1842" s="4"/>
      <c r="K1842" s="4"/>
      <c r="N1842" s="4" t="s">
        <v>3689</v>
      </c>
      <c r="O1842" s="4">
        <v>876</v>
      </c>
    </row>
    <row r="1843" spans="1:15" ht="15.75" customHeight="1">
      <c r="A1843" s="4"/>
      <c r="B1843" s="4"/>
      <c r="C1843" s="4"/>
      <c r="D1843" s="4"/>
      <c r="E1843" s="4"/>
      <c r="G1843" s="4"/>
      <c r="H1843" s="4"/>
      <c r="K1843" s="4"/>
      <c r="N1843" s="4" t="s">
        <v>3693</v>
      </c>
      <c r="O1843" s="4">
        <v>207</v>
      </c>
    </row>
    <row r="1844" spans="1:15" ht="15.75" customHeight="1">
      <c r="A1844" s="4"/>
      <c r="B1844" s="4"/>
      <c r="C1844" s="4"/>
      <c r="D1844" s="4"/>
      <c r="E1844" s="4"/>
      <c r="G1844" s="4"/>
      <c r="H1844" s="4"/>
      <c r="K1844" s="4"/>
      <c r="N1844" s="4" t="s">
        <v>3165</v>
      </c>
      <c r="O1844" s="4">
        <v>223</v>
      </c>
    </row>
    <row r="1845" spans="1:15" ht="15.75" customHeight="1">
      <c r="A1845" s="4"/>
      <c r="B1845" s="4"/>
      <c r="C1845" s="4"/>
      <c r="D1845" s="4"/>
      <c r="E1845" s="4"/>
      <c r="G1845" s="4"/>
      <c r="H1845" s="4"/>
      <c r="K1845" s="4"/>
      <c r="N1845" s="4" t="s">
        <v>3698</v>
      </c>
      <c r="O1845" s="4">
        <v>373</v>
      </c>
    </row>
    <row r="1846" spans="1:15" ht="15.75" customHeight="1">
      <c r="A1846" s="4"/>
      <c r="B1846" s="4"/>
      <c r="C1846" s="4"/>
      <c r="D1846" s="4"/>
      <c r="E1846" s="4"/>
      <c r="G1846" s="4"/>
      <c r="H1846" s="4"/>
      <c r="K1846" s="4"/>
      <c r="N1846" s="4" t="s">
        <v>3701</v>
      </c>
      <c r="O1846" s="4">
        <v>94</v>
      </c>
    </row>
    <row r="1847" spans="1:15" ht="15.75" customHeight="1">
      <c r="A1847" s="4"/>
      <c r="B1847" s="4"/>
      <c r="C1847" s="4"/>
      <c r="D1847" s="4"/>
      <c r="E1847" s="4"/>
      <c r="G1847" s="4"/>
      <c r="H1847" s="4"/>
      <c r="K1847" s="4"/>
      <c r="N1847" s="4" t="s">
        <v>3704</v>
      </c>
      <c r="O1847" s="4">
        <v>371</v>
      </c>
    </row>
    <row r="1848" spans="1:15" ht="15.75" customHeight="1">
      <c r="A1848" s="4"/>
      <c r="B1848" s="4"/>
      <c r="C1848" s="4"/>
      <c r="D1848" s="4"/>
      <c r="E1848" s="4"/>
      <c r="G1848" s="4"/>
      <c r="H1848" s="4"/>
      <c r="K1848" s="4"/>
      <c r="N1848" s="4" t="s">
        <v>3707</v>
      </c>
      <c r="O1848" s="4">
        <v>68</v>
      </c>
    </row>
    <row r="1849" spans="1:15" ht="15.75" customHeight="1">
      <c r="A1849" s="4"/>
      <c r="B1849" s="4"/>
      <c r="C1849" s="4"/>
      <c r="D1849" s="4"/>
      <c r="E1849" s="4"/>
      <c r="G1849" s="4"/>
      <c r="H1849" s="4"/>
      <c r="K1849" s="4"/>
      <c r="N1849" s="4" t="s">
        <v>56</v>
      </c>
      <c r="O1849" s="4">
        <v>85</v>
      </c>
    </row>
    <row r="1850" spans="1:15" ht="15.75" customHeight="1">
      <c r="A1850" s="4"/>
      <c r="B1850" s="4"/>
      <c r="C1850" s="4"/>
      <c r="D1850" s="4"/>
      <c r="E1850" s="4"/>
      <c r="G1850" s="4"/>
      <c r="H1850" s="4"/>
      <c r="K1850" s="4"/>
      <c r="N1850" s="4" t="s">
        <v>56</v>
      </c>
      <c r="O1850" s="4">
        <v>68</v>
      </c>
    </row>
    <row r="1851" spans="1:15" ht="15.75" customHeight="1">
      <c r="A1851" s="4"/>
      <c r="B1851" s="4"/>
      <c r="C1851" s="4"/>
      <c r="D1851" s="4"/>
      <c r="E1851" s="4"/>
      <c r="G1851" s="4"/>
      <c r="H1851" s="4"/>
      <c r="K1851" s="4"/>
      <c r="N1851" s="4" t="s">
        <v>56</v>
      </c>
      <c r="O1851" s="4">
        <v>83</v>
      </c>
    </row>
    <row r="1852" spans="1:15" ht="15.75" customHeight="1">
      <c r="A1852" s="4"/>
      <c r="B1852" s="4"/>
      <c r="C1852" s="4"/>
      <c r="D1852" s="4"/>
      <c r="E1852" s="4"/>
      <c r="G1852" s="4"/>
      <c r="H1852" s="4"/>
      <c r="K1852" s="4"/>
      <c r="N1852" s="4" t="s">
        <v>255</v>
      </c>
      <c r="O1852" s="4">
        <v>410</v>
      </c>
    </row>
    <row r="1853" spans="1:15" ht="15.75" customHeight="1">
      <c r="A1853" s="4"/>
      <c r="B1853" s="4"/>
      <c r="C1853" s="4"/>
      <c r="D1853" s="4"/>
      <c r="E1853" s="4"/>
      <c r="G1853" s="4"/>
      <c r="H1853" s="4"/>
      <c r="K1853" s="4"/>
      <c r="N1853" s="4" t="s">
        <v>3718</v>
      </c>
      <c r="O1853" s="4">
        <v>418</v>
      </c>
    </row>
    <row r="1854" spans="1:15" ht="15.75" customHeight="1">
      <c r="A1854" s="4"/>
      <c r="B1854" s="4"/>
      <c r="C1854" s="4"/>
      <c r="D1854" s="4"/>
      <c r="E1854" s="4"/>
      <c r="G1854" s="4"/>
      <c r="H1854" s="4"/>
      <c r="I1854" s="4"/>
      <c r="K1854" s="4"/>
      <c r="N1854" s="4" t="s">
        <v>3721</v>
      </c>
      <c r="O1854" s="4">
        <v>277</v>
      </c>
    </row>
    <row r="1855" spans="1:15" ht="15.75" customHeight="1">
      <c r="A1855" s="4"/>
      <c r="B1855" s="4"/>
      <c r="C1855" s="4"/>
      <c r="D1855" s="4"/>
      <c r="E1855" s="4"/>
      <c r="G1855" s="4"/>
      <c r="H1855" s="4"/>
      <c r="K1855" s="4"/>
      <c r="N1855" s="4" t="s">
        <v>56</v>
      </c>
      <c r="O1855" s="4">
        <v>64</v>
      </c>
    </row>
    <row r="1856" spans="1:15" ht="15.75" customHeight="1">
      <c r="A1856" s="4"/>
      <c r="B1856" s="4"/>
      <c r="C1856" s="4"/>
      <c r="D1856" s="4"/>
      <c r="E1856" s="4"/>
      <c r="G1856" s="4"/>
      <c r="H1856" s="4"/>
      <c r="K1856" s="4"/>
      <c r="N1856" s="4" t="s">
        <v>56</v>
      </c>
      <c r="O1856" s="4">
        <v>178</v>
      </c>
    </row>
    <row r="1857" spans="1:15" ht="15.75" customHeight="1">
      <c r="A1857" s="4"/>
      <c r="B1857" s="4"/>
      <c r="C1857" s="4"/>
      <c r="D1857" s="4"/>
      <c r="E1857" s="4"/>
      <c r="G1857" s="4"/>
      <c r="H1857" s="4"/>
      <c r="K1857" s="4"/>
      <c r="N1857" s="4" t="s">
        <v>56</v>
      </c>
      <c r="O1857" s="4">
        <v>407</v>
      </c>
    </row>
    <row r="1858" spans="1:15" ht="15.75" customHeight="1">
      <c r="A1858" s="4"/>
      <c r="B1858" s="4"/>
      <c r="C1858" s="4"/>
      <c r="D1858" s="4"/>
      <c r="E1858" s="4"/>
      <c r="G1858" s="4"/>
      <c r="H1858" s="4"/>
      <c r="K1858" s="4"/>
      <c r="N1858" s="4" t="s">
        <v>3731</v>
      </c>
      <c r="O1858" s="4">
        <v>275</v>
      </c>
    </row>
    <row r="1859" spans="1:15" ht="15.75" customHeight="1">
      <c r="A1859" s="4"/>
      <c r="B1859" s="4"/>
      <c r="C1859" s="4"/>
      <c r="D1859" s="4"/>
      <c r="E1859" s="4"/>
      <c r="G1859" s="4"/>
      <c r="H1859" s="4"/>
      <c r="K1859" s="4"/>
      <c r="N1859" s="4" t="s">
        <v>3734</v>
      </c>
      <c r="O1859" s="4">
        <v>519</v>
      </c>
    </row>
    <row r="1860" spans="1:15" ht="15.75" customHeight="1">
      <c r="A1860" s="4"/>
      <c r="B1860" s="4"/>
      <c r="C1860" s="4"/>
      <c r="D1860" s="4"/>
      <c r="E1860" s="4"/>
      <c r="G1860" s="4"/>
      <c r="H1860" s="4"/>
      <c r="K1860" s="4"/>
      <c r="N1860" s="4" t="s">
        <v>3737</v>
      </c>
      <c r="O1860" s="4">
        <v>440</v>
      </c>
    </row>
    <row r="1861" spans="1:15" ht="15.75" customHeight="1">
      <c r="B1861" s="4"/>
      <c r="C1861" s="4"/>
      <c r="D1861" s="4"/>
      <c r="E1861" s="4"/>
      <c r="G1861" s="4"/>
      <c r="H1861" s="4"/>
      <c r="K1861" s="4"/>
      <c r="N1861" s="4" t="s">
        <v>3740</v>
      </c>
      <c r="O1861" s="4">
        <v>1001</v>
      </c>
    </row>
    <row r="1862" spans="1:15" ht="15.75" customHeight="1">
      <c r="A1862" s="4"/>
      <c r="B1862" s="4"/>
      <c r="C1862" s="4"/>
      <c r="D1862" s="4"/>
      <c r="E1862" s="4"/>
      <c r="G1862" s="4"/>
      <c r="H1862" s="4"/>
      <c r="K1862" s="4"/>
      <c r="N1862" s="4" t="s">
        <v>56</v>
      </c>
      <c r="O1862" s="4">
        <v>185</v>
      </c>
    </row>
    <row r="1863" spans="1:15" ht="15.75" customHeight="1">
      <c r="A1863" s="4"/>
      <c r="B1863" s="4"/>
      <c r="C1863" s="4"/>
      <c r="D1863" s="4"/>
      <c r="E1863" s="4"/>
      <c r="G1863" s="4"/>
      <c r="H1863" s="4"/>
      <c r="K1863" s="4"/>
    </row>
    <row r="1864" spans="1:15" ht="15.75" customHeight="1">
      <c r="A1864" s="4"/>
      <c r="B1864" s="4"/>
      <c r="C1864" s="4"/>
      <c r="D1864" s="4"/>
      <c r="E1864" s="4"/>
      <c r="G1864" s="4"/>
      <c r="H1864" s="4"/>
      <c r="K1864" s="4"/>
      <c r="N1864" s="4" t="s">
        <v>3746</v>
      </c>
      <c r="O1864" s="4">
        <v>351</v>
      </c>
    </row>
    <row r="1865" spans="1:15" ht="15.75" customHeight="1">
      <c r="A1865" s="4"/>
      <c r="B1865" s="4"/>
      <c r="C1865" s="4"/>
      <c r="D1865" s="4"/>
      <c r="E1865" s="4"/>
      <c r="G1865" s="4"/>
      <c r="H1865" s="4"/>
      <c r="K1865" s="4"/>
      <c r="N1865" s="4" t="s">
        <v>92</v>
      </c>
      <c r="O1865" s="4">
        <v>209</v>
      </c>
    </row>
    <row r="1866" spans="1:15" ht="15.75" customHeight="1">
      <c r="A1866" s="4"/>
      <c r="B1866" s="4"/>
      <c r="C1866" s="4"/>
      <c r="D1866" s="4"/>
      <c r="E1866" s="4"/>
      <c r="G1866" s="4"/>
      <c r="H1866" s="4"/>
      <c r="K1866" s="4"/>
      <c r="N1866" s="4" t="s">
        <v>2651</v>
      </c>
      <c r="O1866" s="4">
        <v>109</v>
      </c>
    </row>
    <row r="1867" spans="1:15" ht="15.75" customHeight="1">
      <c r="A1867" s="4"/>
      <c r="B1867" s="4"/>
      <c r="C1867" s="4"/>
      <c r="D1867" s="4"/>
      <c r="E1867" s="4"/>
      <c r="G1867" s="4"/>
      <c r="H1867" s="4"/>
      <c r="K1867" s="4"/>
      <c r="N1867" s="4" t="s">
        <v>56</v>
      </c>
      <c r="O1867" s="4">
        <v>262</v>
      </c>
    </row>
    <row r="1868" spans="1:15" ht="15.75" customHeight="1">
      <c r="A1868" s="4"/>
      <c r="B1868" s="4"/>
      <c r="C1868" s="4"/>
      <c r="D1868" s="4"/>
      <c r="E1868" s="4"/>
      <c r="G1868" s="4"/>
      <c r="H1868" s="4"/>
      <c r="K1868" s="4"/>
      <c r="N1868" s="4" t="s">
        <v>56</v>
      </c>
      <c r="O1868" s="4">
        <v>262</v>
      </c>
    </row>
    <row r="1869" spans="1:15" ht="15.75" customHeight="1">
      <c r="A1869" s="4"/>
      <c r="B1869" s="4"/>
      <c r="C1869" s="4"/>
      <c r="D1869" s="4"/>
      <c r="E1869" s="4"/>
      <c r="G1869" s="4"/>
      <c r="H1869" s="4"/>
      <c r="K1869" s="4"/>
      <c r="N1869" s="4" t="s">
        <v>3757</v>
      </c>
      <c r="O1869" s="4">
        <v>73</v>
      </c>
    </row>
    <row r="1870" spans="1:15" ht="15.75" customHeight="1">
      <c r="A1870" s="4"/>
      <c r="B1870" s="4"/>
      <c r="C1870" s="4"/>
      <c r="D1870" s="4"/>
      <c r="E1870" s="4"/>
      <c r="G1870" s="4"/>
      <c r="H1870" s="4"/>
      <c r="K1870" s="4"/>
      <c r="N1870" s="4" t="s">
        <v>3757</v>
      </c>
      <c r="O1870" s="4">
        <v>94</v>
      </c>
    </row>
    <row r="1871" spans="1:15" ht="15.75" customHeight="1">
      <c r="A1871" s="4"/>
      <c r="B1871" s="4"/>
      <c r="C1871" s="4"/>
      <c r="D1871" s="4"/>
      <c r="E1871" s="4"/>
      <c r="G1871" s="4"/>
      <c r="H1871" s="4"/>
      <c r="K1871" s="4"/>
      <c r="N1871" s="4" t="s">
        <v>3757</v>
      </c>
      <c r="O1871" s="4">
        <v>98</v>
      </c>
    </row>
    <row r="1872" spans="1:15" ht="15.75" customHeight="1">
      <c r="A1872" s="4"/>
      <c r="B1872" s="4"/>
      <c r="C1872" s="4"/>
      <c r="D1872" s="4"/>
      <c r="E1872" s="4"/>
      <c r="G1872" s="4"/>
      <c r="H1872" s="4"/>
      <c r="K1872" s="4"/>
      <c r="N1872" s="4" t="s">
        <v>3764</v>
      </c>
      <c r="O1872" s="4">
        <v>451</v>
      </c>
    </row>
    <row r="1873" spans="1:15" ht="15.75" customHeight="1">
      <c r="A1873" s="4"/>
      <c r="B1873" s="4"/>
      <c r="C1873" s="4"/>
      <c r="D1873" s="4"/>
      <c r="E1873" s="4"/>
      <c r="G1873" s="4"/>
      <c r="H1873" s="4"/>
      <c r="K1873" s="4"/>
      <c r="N1873" s="4" t="s">
        <v>56</v>
      </c>
      <c r="O1873" s="4">
        <v>103</v>
      </c>
    </row>
    <row r="1874" spans="1:15" ht="15.75" customHeight="1">
      <c r="A1874" s="4"/>
      <c r="B1874" s="4"/>
      <c r="C1874" s="4"/>
      <c r="D1874" s="4"/>
      <c r="E1874" s="4"/>
      <c r="G1874" s="4"/>
      <c r="H1874" s="4"/>
      <c r="K1874" s="4"/>
      <c r="N1874" s="4" t="s">
        <v>56</v>
      </c>
      <c r="O1874" s="4">
        <v>116</v>
      </c>
    </row>
    <row r="1875" spans="1:15" ht="15.75" customHeight="1">
      <c r="A1875" s="4"/>
      <c r="B1875" s="4"/>
      <c r="C1875" s="4"/>
      <c r="D1875" s="4"/>
      <c r="E1875" s="4"/>
      <c r="G1875" s="4"/>
      <c r="H1875" s="4"/>
      <c r="K1875" s="4"/>
    </row>
    <row r="1876" spans="1:15" ht="15.75" customHeight="1">
      <c r="A1876" s="4"/>
      <c r="B1876" s="4"/>
      <c r="C1876" s="4"/>
      <c r="D1876" s="4"/>
      <c r="E1876" s="4"/>
      <c r="G1876" s="4"/>
      <c r="H1876" s="4"/>
      <c r="K1876" s="4"/>
      <c r="N1876" s="4" t="s">
        <v>779</v>
      </c>
      <c r="O1876" s="4">
        <v>471</v>
      </c>
    </row>
    <row r="1877" spans="1:15" ht="15.75" customHeight="1">
      <c r="A1877" s="4"/>
      <c r="B1877" s="4"/>
      <c r="C1877" s="4"/>
      <c r="D1877" s="4"/>
      <c r="E1877" s="4"/>
      <c r="G1877" s="4"/>
      <c r="H1877" s="4"/>
      <c r="K1877" s="4"/>
      <c r="N1877" s="4" t="s">
        <v>674</v>
      </c>
      <c r="O1877" s="4">
        <v>306</v>
      </c>
    </row>
    <row r="1878" spans="1:15" ht="15.75" customHeight="1">
      <c r="A1878" s="4"/>
      <c r="B1878" s="4"/>
      <c r="C1878" s="4"/>
      <c r="D1878" s="4"/>
      <c r="E1878" s="4"/>
      <c r="G1878" s="4"/>
      <c r="H1878" s="4"/>
      <c r="K1878" s="4"/>
    </row>
    <row r="1879" spans="1:15" ht="15.75" customHeight="1">
      <c r="A1879" s="4"/>
      <c r="B1879" s="4"/>
      <c r="C1879" s="4"/>
      <c r="D1879" s="4"/>
      <c r="E1879" s="4"/>
      <c r="G1879" s="4"/>
      <c r="H1879" s="4"/>
      <c r="K1879" s="4"/>
      <c r="N1879" s="4" t="s">
        <v>3775</v>
      </c>
      <c r="O1879" s="4">
        <v>730</v>
      </c>
    </row>
    <row r="1880" spans="1:15" ht="15.75" customHeight="1">
      <c r="A1880" s="4"/>
      <c r="B1880" s="4"/>
      <c r="C1880" s="4"/>
      <c r="D1880" s="4"/>
      <c r="E1880" s="4"/>
      <c r="G1880" s="4"/>
      <c r="H1880" s="4"/>
      <c r="K1880" s="4"/>
      <c r="N1880" s="4" t="s">
        <v>3778</v>
      </c>
      <c r="O1880" s="4">
        <v>45</v>
      </c>
    </row>
    <row r="1881" spans="1:15" ht="15.75" customHeight="1">
      <c r="A1881" s="4"/>
      <c r="B1881" s="4"/>
      <c r="C1881" s="4"/>
      <c r="D1881" s="4"/>
      <c r="E1881" s="4"/>
      <c r="G1881" s="4"/>
      <c r="H1881" s="4"/>
      <c r="K1881" s="4"/>
      <c r="N1881" s="4" t="s">
        <v>3781</v>
      </c>
      <c r="O1881" s="4">
        <v>432</v>
      </c>
    </row>
    <row r="1882" spans="1:15" ht="15.75" customHeight="1">
      <c r="A1882" s="4"/>
      <c r="B1882" s="4"/>
      <c r="C1882" s="4"/>
      <c r="D1882" s="4"/>
      <c r="E1882" s="4"/>
      <c r="G1882" s="4"/>
      <c r="H1882" s="4"/>
      <c r="K1882" s="4"/>
      <c r="N1882" s="4" t="s">
        <v>3784</v>
      </c>
      <c r="O1882" s="4">
        <v>268</v>
      </c>
    </row>
    <row r="1883" spans="1:15" ht="15.75" customHeight="1">
      <c r="A1883" s="4"/>
      <c r="B1883" s="4"/>
      <c r="C1883" s="4"/>
      <c r="D1883" s="4"/>
      <c r="E1883" s="4"/>
      <c r="G1883" s="4"/>
      <c r="H1883" s="4"/>
      <c r="K1883" s="4"/>
      <c r="N1883" s="4" t="s">
        <v>348</v>
      </c>
      <c r="O1883" s="4">
        <v>83</v>
      </c>
    </row>
    <row r="1884" spans="1:15" ht="15.75" customHeight="1">
      <c r="A1884" s="4"/>
      <c r="B1884" s="4"/>
      <c r="C1884" s="4"/>
      <c r="D1884" s="4"/>
      <c r="E1884" s="4"/>
      <c r="G1884" s="4"/>
      <c r="H1884" s="4"/>
      <c r="K1884" s="4"/>
      <c r="N1884" s="4" t="s">
        <v>348</v>
      </c>
      <c r="O1884" s="4">
        <v>280</v>
      </c>
    </row>
    <row r="1885" spans="1:15" ht="15.75" customHeight="1">
      <c r="A1885" s="4"/>
      <c r="B1885" s="4"/>
      <c r="C1885" s="4"/>
      <c r="D1885" s="4"/>
      <c r="E1885" s="4"/>
      <c r="G1885" s="4"/>
      <c r="H1885" s="4"/>
      <c r="K1885" s="4"/>
    </row>
    <row r="1886" spans="1:15" ht="15.75" customHeight="1">
      <c r="A1886" s="4"/>
      <c r="B1886" s="4"/>
      <c r="C1886" s="4"/>
      <c r="D1886" s="4"/>
      <c r="E1886" s="4"/>
      <c r="G1886" s="4"/>
      <c r="H1886" s="4"/>
      <c r="K1886" s="4"/>
      <c r="N1886" s="4" t="s">
        <v>108</v>
      </c>
      <c r="O1886" s="4">
        <v>940</v>
      </c>
    </row>
    <row r="1887" spans="1:15" ht="15.75" customHeight="1">
      <c r="A1887" s="4"/>
      <c r="B1887" s="4"/>
      <c r="C1887" s="4"/>
      <c r="D1887" s="4"/>
      <c r="E1887" s="4"/>
      <c r="G1887" s="4"/>
      <c r="H1887" s="4"/>
      <c r="K1887" s="4"/>
      <c r="N1887" s="4" t="s">
        <v>56</v>
      </c>
      <c r="O1887" s="4">
        <v>87</v>
      </c>
    </row>
    <row r="1888" spans="1:15" ht="15.75" customHeight="1">
      <c r="A1888" s="4"/>
      <c r="B1888" s="4"/>
      <c r="C1888" s="4"/>
      <c r="D1888" s="4"/>
      <c r="E1888" s="4"/>
      <c r="G1888" s="4"/>
      <c r="H1888" s="4"/>
      <c r="K1888" s="4"/>
      <c r="N1888" s="4" t="s">
        <v>92</v>
      </c>
      <c r="O1888" s="4">
        <v>141</v>
      </c>
    </row>
    <row r="1889" spans="1:15" ht="15.75" customHeight="1">
      <c r="A1889" s="4"/>
      <c r="B1889" s="4"/>
      <c r="C1889" s="4"/>
      <c r="D1889" s="4"/>
      <c r="E1889" s="4"/>
      <c r="G1889" s="4"/>
      <c r="H1889" s="4"/>
      <c r="K1889" s="4"/>
      <c r="N1889" s="4" t="s">
        <v>348</v>
      </c>
      <c r="O1889" s="4">
        <v>251</v>
      </c>
    </row>
    <row r="1890" spans="1:15" ht="15.75" customHeight="1">
      <c r="A1890" s="4"/>
      <c r="B1890" s="4"/>
      <c r="C1890" s="4"/>
      <c r="D1890" s="4"/>
      <c r="E1890" s="4"/>
      <c r="G1890" s="4"/>
      <c r="H1890" s="4"/>
      <c r="K1890" s="4"/>
      <c r="N1890" s="4" t="s">
        <v>348</v>
      </c>
      <c r="O1890" s="4">
        <v>83</v>
      </c>
    </row>
    <row r="1891" spans="1:15" ht="15.75" customHeight="1">
      <c r="A1891" s="4"/>
      <c r="B1891" s="4"/>
      <c r="C1891" s="4"/>
      <c r="D1891" s="4"/>
      <c r="E1891" s="4"/>
      <c r="G1891" s="4"/>
      <c r="H1891" s="4"/>
      <c r="K1891" s="4"/>
    </row>
    <row r="1892" spans="1:15" ht="15.75" customHeight="1">
      <c r="A1892" s="4"/>
      <c r="B1892" s="4"/>
      <c r="C1892" s="4"/>
      <c r="D1892" s="4"/>
      <c r="E1892" s="4"/>
      <c r="G1892" s="4"/>
      <c r="H1892" s="4"/>
      <c r="K1892" s="4"/>
      <c r="N1892" s="4" t="s">
        <v>3707</v>
      </c>
      <c r="O1892" s="4">
        <v>72</v>
      </c>
    </row>
    <row r="1893" spans="1:15" ht="15.75" customHeight="1">
      <c r="A1893" s="4"/>
      <c r="B1893" s="4"/>
      <c r="C1893" s="4"/>
      <c r="D1893" s="4"/>
      <c r="E1893" s="4"/>
      <c r="G1893" s="4"/>
      <c r="H1893" s="4"/>
      <c r="K1893" s="4"/>
      <c r="N1893" s="4" t="s">
        <v>674</v>
      </c>
      <c r="O1893" s="4">
        <v>332</v>
      </c>
    </row>
    <row r="1894" spans="1:15" ht="15.75" customHeight="1">
      <c r="A1894" s="4"/>
      <c r="B1894" s="4"/>
      <c r="C1894" s="4"/>
      <c r="D1894" s="4"/>
      <c r="E1894" s="4"/>
      <c r="G1894" s="4"/>
      <c r="H1894" s="4"/>
      <c r="K1894" s="4"/>
      <c r="N1894" s="4" t="s">
        <v>56</v>
      </c>
      <c r="O1894" s="4">
        <v>217</v>
      </c>
    </row>
    <row r="1895" spans="1:15" ht="15.75" customHeight="1">
      <c r="A1895" s="4"/>
      <c r="B1895" s="4"/>
      <c r="C1895" s="4"/>
      <c r="D1895" s="4"/>
      <c r="E1895" s="4"/>
      <c r="G1895" s="4"/>
      <c r="H1895" s="4"/>
      <c r="K1895" s="4"/>
      <c r="N1895" s="4" t="s">
        <v>3806</v>
      </c>
      <c r="O1895" s="4">
        <v>147</v>
      </c>
    </row>
    <row r="1896" spans="1:15" ht="15.75" customHeight="1">
      <c r="A1896" s="4"/>
      <c r="B1896" s="4"/>
      <c r="C1896" s="4"/>
      <c r="D1896" s="4"/>
      <c r="E1896" s="4"/>
      <c r="G1896" s="4"/>
      <c r="H1896" s="4"/>
      <c r="K1896" s="4"/>
      <c r="N1896" s="4" t="s">
        <v>56</v>
      </c>
      <c r="O1896" s="4">
        <v>110</v>
      </c>
    </row>
    <row r="1897" spans="1:15" ht="15.75" customHeight="1">
      <c r="A1897" s="4"/>
      <c r="B1897" s="4"/>
      <c r="C1897" s="4"/>
      <c r="D1897" s="4"/>
      <c r="E1897" s="4"/>
      <c r="G1897" s="4"/>
      <c r="H1897" s="4"/>
      <c r="K1897" s="4"/>
      <c r="N1897" s="4" t="s">
        <v>56</v>
      </c>
      <c r="O1897" s="4">
        <v>95</v>
      </c>
    </row>
    <row r="1898" spans="1:15" ht="15.75" customHeight="1">
      <c r="A1898" s="4"/>
      <c r="B1898" s="4"/>
      <c r="C1898" s="4"/>
      <c r="D1898" s="4"/>
      <c r="E1898" s="4"/>
      <c r="G1898" s="4"/>
      <c r="H1898" s="4"/>
      <c r="K1898" s="4"/>
      <c r="N1898" s="4" t="s">
        <v>56</v>
      </c>
      <c r="O1898" s="4">
        <v>245</v>
      </c>
    </row>
    <row r="1899" spans="1:15" ht="15.75" customHeight="1">
      <c r="A1899" s="4"/>
      <c r="B1899" s="4"/>
      <c r="C1899" s="4"/>
      <c r="D1899" s="4"/>
      <c r="E1899" s="4"/>
      <c r="G1899" s="4"/>
      <c r="H1899" s="4"/>
      <c r="K1899" s="4"/>
      <c r="N1899" s="4" t="s">
        <v>56</v>
      </c>
      <c r="O1899" s="4">
        <v>140</v>
      </c>
    </row>
    <row r="1900" spans="1:15" ht="15.75" customHeight="1">
      <c r="A1900" s="4"/>
      <c r="B1900" s="4"/>
      <c r="C1900" s="4"/>
      <c r="D1900" s="4"/>
      <c r="E1900" s="4"/>
      <c r="G1900" s="4"/>
      <c r="H1900" s="4"/>
      <c r="K1900" s="4"/>
      <c r="N1900" s="4" t="s">
        <v>79</v>
      </c>
      <c r="O1900" s="4">
        <v>172</v>
      </c>
    </row>
    <row r="1901" spans="1:15" ht="15.75" customHeight="1">
      <c r="A1901" s="4"/>
      <c r="B1901" s="4"/>
      <c r="C1901" s="4"/>
      <c r="D1901" s="4"/>
      <c r="E1901" s="4"/>
      <c r="G1901" s="4"/>
      <c r="H1901" s="4"/>
      <c r="K1901" s="4"/>
      <c r="N1901" s="4" t="s">
        <v>2942</v>
      </c>
      <c r="O1901" s="4">
        <v>274</v>
      </c>
    </row>
    <row r="1902" spans="1:15" ht="15.75" customHeight="1">
      <c r="A1902" s="4"/>
      <c r="B1902" s="4"/>
      <c r="C1902" s="4"/>
      <c r="D1902" s="4"/>
      <c r="E1902" s="4"/>
      <c r="G1902" s="4"/>
      <c r="H1902" s="4"/>
      <c r="K1902" s="4"/>
      <c r="N1902" s="4" t="s">
        <v>1512</v>
      </c>
      <c r="O1902" s="4">
        <v>248</v>
      </c>
    </row>
    <row r="1903" spans="1:15" ht="15.75" customHeight="1">
      <c r="A1903" s="4"/>
      <c r="B1903" s="4"/>
      <c r="C1903" s="4"/>
      <c r="D1903" s="4"/>
      <c r="E1903" s="4"/>
      <c r="G1903" s="4"/>
      <c r="H1903" s="4"/>
      <c r="K1903" s="4"/>
      <c r="N1903" s="4" t="s">
        <v>56</v>
      </c>
      <c r="O1903" s="4">
        <v>104</v>
      </c>
    </row>
    <row r="1904" spans="1:15" ht="15.75" customHeight="1">
      <c r="A1904" s="4"/>
      <c r="B1904" s="4"/>
      <c r="C1904" s="4"/>
      <c r="D1904" s="4"/>
      <c r="E1904" s="4"/>
      <c r="G1904" s="4"/>
      <c r="H1904" s="4"/>
      <c r="K1904" s="4"/>
      <c r="N1904" s="4" t="s">
        <v>56</v>
      </c>
      <c r="O1904" s="4">
        <v>181</v>
      </c>
    </row>
    <row r="1905" spans="1:15" ht="15.75" customHeight="1">
      <c r="A1905" s="4"/>
      <c r="B1905" s="4"/>
      <c r="C1905" s="4"/>
      <c r="D1905" s="4"/>
      <c r="E1905" s="4"/>
      <c r="G1905" s="4"/>
      <c r="H1905" s="4"/>
      <c r="K1905" s="4"/>
      <c r="N1905" s="4" t="s">
        <v>56</v>
      </c>
      <c r="O1905" s="4">
        <v>67</v>
      </c>
    </row>
    <row r="1906" spans="1:15" ht="15.75" customHeight="1">
      <c r="A1906" s="4"/>
      <c r="B1906" s="4"/>
      <c r="C1906" s="4"/>
      <c r="D1906" s="4"/>
      <c r="E1906" s="4"/>
      <c r="G1906" s="4"/>
      <c r="H1906" s="4"/>
      <c r="K1906" s="4"/>
      <c r="N1906" s="4" t="s">
        <v>3829</v>
      </c>
      <c r="O1906" s="4">
        <v>118</v>
      </c>
    </row>
    <row r="1907" spans="1:15" ht="15.75" customHeight="1">
      <c r="A1907" s="4"/>
      <c r="B1907" s="4"/>
      <c r="C1907" s="4"/>
      <c r="D1907" s="4"/>
      <c r="E1907" s="4"/>
      <c r="G1907" s="4"/>
      <c r="H1907" s="4"/>
      <c r="K1907" s="4"/>
      <c r="N1907" s="4" t="s">
        <v>3832</v>
      </c>
      <c r="O1907" s="4">
        <v>83</v>
      </c>
    </row>
    <row r="1908" spans="1:15" ht="15.75" customHeight="1">
      <c r="A1908" s="4"/>
      <c r="B1908" s="4"/>
      <c r="C1908" s="4"/>
      <c r="D1908" s="4"/>
      <c r="E1908" s="4"/>
      <c r="G1908" s="4"/>
      <c r="H1908" s="4"/>
      <c r="K1908" s="4"/>
      <c r="N1908" s="4" t="s">
        <v>56</v>
      </c>
      <c r="O1908" s="4">
        <v>59</v>
      </c>
    </row>
    <row r="1909" spans="1:15" ht="15.75" customHeight="1">
      <c r="A1909" s="4"/>
      <c r="B1909" s="4"/>
      <c r="C1909" s="4"/>
      <c r="D1909" s="4"/>
      <c r="E1909" s="4"/>
      <c r="G1909" s="4"/>
      <c r="H1909" s="4"/>
      <c r="K1909" s="4"/>
      <c r="N1909" s="4" t="s">
        <v>3837</v>
      </c>
      <c r="O1909" s="4">
        <v>252</v>
      </c>
    </row>
    <row r="1910" spans="1:15" ht="15.75" customHeight="1">
      <c r="A1910" s="4"/>
      <c r="B1910" s="4"/>
      <c r="C1910" s="4"/>
      <c r="D1910" s="4"/>
      <c r="E1910" s="4"/>
      <c r="G1910" s="4"/>
      <c r="H1910" s="4"/>
      <c r="K1910" s="4"/>
      <c r="N1910" s="4" t="s">
        <v>3840</v>
      </c>
      <c r="O1910" s="4">
        <v>277</v>
      </c>
    </row>
    <row r="1911" spans="1:15" ht="15.75" customHeight="1">
      <c r="A1911" s="4"/>
      <c r="B1911" s="4"/>
      <c r="C1911" s="4"/>
      <c r="D1911" s="4"/>
      <c r="E1911" s="4"/>
      <c r="G1911" s="4"/>
      <c r="H1911" s="4"/>
      <c r="K1911" s="4"/>
      <c r="N1911" s="4" t="s">
        <v>56</v>
      </c>
      <c r="O1911" s="4">
        <v>66</v>
      </c>
    </row>
    <row r="1912" spans="1:15" ht="15.75" customHeight="1">
      <c r="A1912" s="4"/>
      <c r="B1912" s="4"/>
      <c r="C1912" s="4"/>
      <c r="D1912" s="4"/>
      <c r="E1912" s="4"/>
      <c r="G1912" s="4"/>
      <c r="H1912" s="4"/>
      <c r="K1912" s="4"/>
      <c r="N1912" s="4" t="s">
        <v>56</v>
      </c>
      <c r="O1912" s="4">
        <v>82</v>
      </c>
    </row>
    <row r="1913" spans="1:15" ht="15.75" customHeight="1">
      <c r="A1913" s="4"/>
      <c r="B1913" s="4"/>
      <c r="C1913" s="4"/>
      <c r="D1913" s="4"/>
      <c r="E1913" s="4"/>
      <c r="G1913" s="4"/>
      <c r="H1913" s="4"/>
      <c r="K1913" s="4"/>
      <c r="N1913" s="4" t="s">
        <v>92</v>
      </c>
      <c r="O1913" s="4">
        <v>117</v>
      </c>
    </row>
    <row r="1914" spans="1:15" ht="15.75" customHeight="1">
      <c r="A1914" s="4"/>
      <c r="B1914" s="4"/>
      <c r="C1914" s="4"/>
      <c r="D1914" s="4"/>
      <c r="E1914" s="4"/>
      <c r="G1914" s="4"/>
      <c r="H1914" s="4"/>
      <c r="K1914" s="4"/>
      <c r="N1914" s="4" t="s">
        <v>3849</v>
      </c>
      <c r="O1914" s="4">
        <v>140</v>
      </c>
    </row>
    <row r="1915" spans="1:15" ht="15.75" customHeight="1">
      <c r="A1915" s="4"/>
      <c r="B1915" s="4"/>
      <c r="C1915" s="4"/>
      <c r="D1915" s="4"/>
      <c r="E1915" s="4"/>
      <c r="G1915" s="4"/>
      <c r="H1915" s="4"/>
      <c r="K1915" s="4"/>
      <c r="N1915" s="4" t="s">
        <v>3156</v>
      </c>
      <c r="O1915" s="4">
        <v>235</v>
      </c>
    </row>
    <row r="1916" spans="1:15" ht="15.75" customHeight="1">
      <c r="A1916" s="4"/>
      <c r="B1916" s="4"/>
      <c r="C1916" s="4"/>
      <c r="D1916" s="4"/>
      <c r="E1916" s="4"/>
      <c r="G1916" s="4"/>
      <c r="H1916" s="4"/>
      <c r="K1916" s="4"/>
      <c r="N1916" s="4" t="s">
        <v>56</v>
      </c>
      <c r="O1916" s="4">
        <v>59</v>
      </c>
    </row>
    <row r="1917" spans="1:15" ht="15.75" customHeight="1">
      <c r="A1917" s="4"/>
      <c r="B1917" s="4"/>
      <c r="C1917" s="4"/>
      <c r="D1917" s="4"/>
      <c r="E1917" s="4"/>
      <c r="G1917" s="4"/>
      <c r="H1917" s="4"/>
      <c r="K1917" s="4"/>
      <c r="N1917" s="4" t="s">
        <v>56</v>
      </c>
      <c r="O1917" s="4">
        <v>206</v>
      </c>
    </row>
    <row r="1918" spans="1:15" ht="15.75" customHeight="1">
      <c r="A1918" s="4"/>
      <c r="B1918" s="4"/>
      <c r="C1918" s="4"/>
      <c r="D1918" s="4"/>
      <c r="E1918" s="4"/>
      <c r="G1918" s="4"/>
      <c r="H1918" s="4"/>
      <c r="K1918" s="4"/>
      <c r="N1918" s="4" t="s">
        <v>674</v>
      </c>
      <c r="O1918" s="4">
        <v>306</v>
      </c>
    </row>
    <row r="1919" spans="1:15" ht="15.75" customHeight="1">
      <c r="A1919" s="4"/>
      <c r="B1919" s="4"/>
      <c r="C1919" s="4"/>
      <c r="D1919" s="4"/>
      <c r="E1919" s="4"/>
      <c r="G1919" s="4"/>
      <c r="H1919" s="4"/>
      <c r="K1919" s="4"/>
      <c r="N1919" s="4" t="s">
        <v>56</v>
      </c>
      <c r="O1919" s="4">
        <v>86</v>
      </c>
    </row>
    <row r="1920" spans="1:15" ht="15.75" customHeight="1">
      <c r="A1920" s="4"/>
      <c r="B1920" s="4"/>
      <c r="C1920" s="4"/>
      <c r="D1920" s="4"/>
      <c r="E1920" s="4"/>
      <c r="G1920" s="4"/>
      <c r="H1920" s="4"/>
      <c r="K1920" s="4"/>
      <c r="N1920" s="4" t="s">
        <v>483</v>
      </c>
      <c r="O1920" s="4">
        <v>389</v>
      </c>
    </row>
    <row r="1921" spans="1:15" ht="15.75" customHeight="1">
      <c r="A1921" s="4"/>
      <c r="B1921" s="4"/>
      <c r="C1921" s="4"/>
      <c r="D1921" s="4"/>
      <c r="E1921" s="4"/>
      <c r="G1921" s="4"/>
      <c r="H1921" s="4"/>
      <c r="K1921" s="4"/>
    </row>
    <row r="1922" spans="1:15" ht="15.75" customHeight="1">
      <c r="A1922" s="4"/>
      <c r="B1922" s="4"/>
      <c r="C1922" s="4"/>
      <c r="D1922" s="4"/>
      <c r="E1922" s="4"/>
      <c r="G1922" s="4"/>
      <c r="H1922" s="4"/>
      <c r="K1922" s="4"/>
      <c r="N1922" s="4" t="s">
        <v>56</v>
      </c>
      <c r="O1922" s="4">
        <v>181</v>
      </c>
    </row>
    <row r="1923" spans="1:15" ht="15.75" customHeight="1">
      <c r="A1923" s="4"/>
      <c r="B1923" s="4"/>
      <c r="C1923" s="4"/>
      <c r="D1923" s="4"/>
      <c r="E1923" s="4"/>
      <c r="G1923" s="4"/>
      <c r="H1923" s="4"/>
      <c r="I1923" s="4"/>
      <c r="K1923" s="4"/>
      <c r="N1923" s="4" t="s">
        <v>3866</v>
      </c>
      <c r="O1923" s="4">
        <v>309</v>
      </c>
    </row>
    <row r="1924" spans="1:15" ht="15.75" customHeight="1">
      <c r="A1924" s="4"/>
      <c r="B1924" s="4"/>
      <c r="C1924" s="4"/>
      <c r="D1924" s="4"/>
      <c r="E1924" s="4"/>
      <c r="G1924" s="4"/>
      <c r="H1924" s="4"/>
      <c r="K1924" s="4"/>
      <c r="N1924" s="4" t="s">
        <v>3870</v>
      </c>
      <c r="O1924" s="4">
        <v>271</v>
      </c>
    </row>
    <row r="1925" spans="1:15" ht="15.75" customHeight="1">
      <c r="A1925" s="4"/>
      <c r="B1925" s="4"/>
      <c r="C1925" s="4"/>
      <c r="D1925" s="4"/>
      <c r="E1925" s="4"/>
      <c r="G1925" s="4"/>
      <c r="H1925" s="4"/>
      <c r="K1925" s="4"/>
      <c r="N1925" s="4" t="s">
        <v>3873</v>
      </c>
      <c r="O1925" s="4">
        <v>299</v>
      </c>
    </row>
    <row r="1926" spans="1:15" ht="15.75" customHeight="1">
      <c r="A1926" s="4"/>
      <c r="B1926" s="4"/>
      <c r="C1926" s="4"/>
      <c r="D1926" s="4"/>
      <c r="E1926" s="4"/>
      <c r="G1926" s="4"/>
      <c r="H1926" s="4"/>
      <c r="K1926" s="4"/>
      <c r="N1926" s="4" t="s">
        <v>255</v>
      </c>
      <c r="O1926" s="4">
        <v>405</v>
      </c>
    </row>
    <row r="1927" spans="1:15" ht="15.75" customHeight="1">
      <c r="A1927" s="4"/>
      <c r="B1927" s="4"/>
      <c r="C1927" s="4"/>
      <c r="D1927" s="4"/>
      <c r="E1927" s="4"/>
      <c r="G1927" s="4"/>
      <c r="H1927" s="4"/>
      <c r="I1927" s="4"/>
      <c r="K1927" s="4"/>
      <c r="N1927" s="4" t="s">
        <v>3873</v>
      </c>
      <c r="O1927" s="4">
        <v>298</v>
      </c>
    </row>
    <row r="1928" spans="1:15" ht="15.75" customHeight="1">
      <c r="A1928" s="4"/>
      <c r="B1928" s="4"/>
      <c r="C1928" s="4"/>
      <c r="D1928" s="4"/>
      <c r="E1928" s="4"/>
      <c r="G1928" s="4"/>
      <c r="H1928" s="4"/>
      <c r="K1928" s="4"/>
      <c r="N1928" s="4" t="s">
        <v>663</v>
      </c>
      <c r="O1928" s="4">
        <v>277</v>
      </c>
    </row>
    <row r="1929" spans="1:15" ht="15.75" customHeight="1">
      <c r="A1929" s="4"/>
      <c r="B1929" s="4"/>
      <c r="C1929" s="4"/>
      <c r="D1929" s="4"/>
      <c r="E1929" s="4"/>
      <c r="G1929" s="4"/>
      <c r="H1929" s="4"/>
      <c r="K1929" s="4"/>
      <c r="N1929" s="4" t="s">
        <v>3883</v>
      </c>
      <c r="O1929" s="4">
        <v>288</v>
      </c>
    </row>
    <row r="1930" spans="1:15" ht="15.75" customHeight="1">
      <c r="A1930" s="4"/>
      <c r="B1930" s="4"/>
      <c r="C1930" s="4"/>
      <c r="D1930" s="4"/>
      <c r="E1930" s="4"/>
      <c r="G1930" s="4"/>
      <c r="H1930" s="4"/>
      <c r="K1930" s="4"/>
      <c r="N1930" s="4" t="s">
        <v>690</v>
      </c>
      <c r="O1930" s="4">
        <v>297</v>
      </c>
    </row>
    <row r="1931" spans="1:15" ht="15.75" customHeight="1">
      <c r="A1931" s="4"/>
      <c r="B1931" s="4"/>
      <c r="C1931" s="4"/>
      <c r="D1931" s="4"/>
      <c r="E1931" s="4"/>
      <c r="G1931" s="4"/>
      <c r="H1931" s="4"/>
      <c r="K1931" s="4"/>
      <c r="N1931" s="4" t="s">
        <v>3888</v>
      </c>
      <c r="O1931" s="4">
        <v>167</v>
      </c>
    </row>
    <row r="1932" spans="1:15" ht="15.75" customHeight="1">
      <c r="A1932" s="4"/>
      <c r="B1932" s="4"/>
      <c r="C1932" s="4"/>
      <c r="D1932" s="4"/>
      <c r="E1932" s="4"/>
      <c r="G1932" s="4"/>
      <c r="H1932" s="4"/>
      <c r="K1932" s="4"/>
      <c r="N1932" s="4" t="s">
        <v>166</v>
      </c>
      <c r="O1932" s="4">
        <v>480</v>
      </c>
    </row>
    <row r="1933" spans="1:15" ht="15.75" customHeight="1">
      <c r="A1933" s="4"/>
      <c r="B1933" s="4"/>
      <c r="C1933" s="4"/>
      <c r="D1933" s="4"/>
      <c r="E1933" s="4"/>
      <c r="G1933" s="4"/>
      <c r="H1933" s="4"/>
      <c r="K1933" s="4"/>
      <c r="N1933" s="4" t="s">
        <v>3893</v>
      </c>
      <c r="O1933" s="4">
        <v>844</v>
      </c>
    </row>
    <row r="1934" spans="1:15" ht="15.75" customHeight="1">
      <c r="A1934" s="4"/>
      <c r="B1934" s="4"/>
      <c r="C1934" s="4"/>
      <c r="D1934" s="4"/>
      <c r="E1934" s="4"/>
      <c r="G1934" s="4"/>
      <c r="H1934" s="4"/>
      <c r="K1934" s="4"/>
      <c r="N1934" s="4" t="s">
        <v>3896</v>
      </c>
      <c r="O1934" s="4">
        <v>1806</v>
      </c>
    </row>
    <row r="1935" spans="1:15" ht="15.75" customHeight="1">
      <c r="A1935" s="4"/>
      <c r="B1935" s="4"/>
      <c r="C1935" s="4"/>
      <c r="D1935" s="4"/>
      <c r="E1935" s="4"/>
      <c r="G1935" s="4"/>
      <c r="H1935" s="4"/>
      <c r="K1935" s="4"/>
      <c r="N1935" s="4" t="s">
        <v>3899</v>
      </c>
      <c r="O1935" s="4">
        <v>2231</v>
      </c>
    </row>
    <row r="1936" spans="1:15" ht="15.75" customHeight="1">
      <c r="A1936" s="4"/>
      <c r="B1936" s="4"/>
      <c r="C1936" s="4"/>
      <c r="D1936" s="4"/>
      <c r="E1936" s="4"/>
      <c r="G1936" s="4"/>
      <c r="H1936" s="4"/>
      <c r="K1936" s="4"/>
      <c r="N1936" s="4" t="s">
        <v>56</v>
      </c>
      <c r="O1936" s="4">
        <v>179</v>
      </c>
    </row>
    <row r="1937" spans="1:15" ht="15.75" customHeight="1">
      <c r="A1937" s="4"/>
      <c r="B1937" s="4"/>
      <c r="C1937" s="4"/>
      <c r="D1937" s="4"/>
      <c r="E1937" s="4"/>
      <c r="G1937" s="4"/>
      <c r="H1937" s="4"/>
      <c r="K1937" s="4"/>
      <c r="N1937" s="4" t="s">
        <v>56</v>
      </c>
      <c r="O1937" s="4">
        <v>382</v>
      </c>
    </row>
    <row r="1938" spans="1:15" ht="15.75" customHeight="1">
      <c r="A1938" s="4"/>
      <c r="B1938" s="4"/>
      <c r="C1938" s="4"/>
      <c r="D1938" s="4"/>
      <c r="E1938" s="4"/>
      <c r="G1938" s="4"/>
      <c r="H1938" s="4"/>
      <c r="K1938" s="4"/>
      <c r="N1938" s="4" t="s">
        <v>73</v>
      </c>
      <c r="O1938" s="4">
        <v>293</v>
      </c>
    </row>
    <row r="1939" spans="1:15" ht="15.75" customHeight="1">
      <c r="A1939" s="4"/>
      <c r="B1939" s="4"/>
      <c r="C1939" s="4"/>
      <c r="D1939" s="4"/>
      <c r="E1939" s="4"/>
      <c r="G1939" s="4"/>
      <c r="H1939" s="4"/>
      <c r="K1939" s="4"/>
    </row>
    <row r="1940" spans="1:15" ht="15.75" customHeight="1">
      <c r="B1940" s="4"/>
      <c r="C1940" s="4"/>
      <c r="D1940" s="4"/>
      <c r="E1940" s="4"/>
      <c r="G1940" s="4"/>
      <c r="H1940" s="4"/>
      <c r="K1940" s="4"/>
      <c r="N1940" s="4" t="s">
        <v>194</v>
      </c>
      <c r="O1940" s="4">
        <v>232</v>
      </c>
    </row>
    <row r="1941" spans="1:15" ht="15.75" customHeight="1">
      <c r="A1941" s="4"/>
      <c r="B1941" s="4"/>
      <c r="C1941" s="4"/>
      <c r="D1941" s="4"/>
      <c r="E1941" s="4"/>
      <c r="G1941" s="4"/>
      <c r="H1941" s="4"/>
      <c r="K1941" s="4"/>
      <c r="N1941" s="4" t="s">
        <v>56</v>
      </c>
      <c r="O1941" s="4">
        <v>538</v>
      </c>
    </row>
    <row r="1942" spans="1:15" ht="15.75" customHeight="1">
      <c r="A1942" s="4"/>
      <c r="B1942" s="4"/>
      <c r="C1942" s="4"/>
      <c r="D1942" s="4"/>
      <c r="E1942" s="4"/>
      <c r="G1942" s="4"/>
      <c r="H1942" s="4"/>
      <c r="K1942" s="4"/>
      <c r="N1942" s="4" t="s">
        <v>2499</v>
      </c>
      <c r="O1942" s="4">
        <v>244</v>
      </c>
    </row>
    <row r="1943" spans="1:15" ht="15.75" customHeight="1">
      <c r="B1943" s="4"/>
      <c r="C1943" s="4"/>
      <c r="D1943" s="4"/>
      <c r="E1943" s="4"/>
      <c r="G1943" s="4"/>
      <c r="H1943" s="4"/>
      <c r="K1943" s="4"/>
      <c r="N1943" s="4" t="s">
        <v>3731</v>
      </c>
      <c r="O1943" s="4">
        <v>358</v>
      </c>
    </row>
    <row r="1944" spans="1:15" ht="15.75" customHeight="1">
      <c r="B1944" s="4"/>
      <c r="C1944" s="4"/>
      <c r="D1944" s="4"/>
      <c r="E1944" s="4"/>
      <c r="G1944" s="4"/>
      <c r="H1944" s="4"/>
      <c r="K1944" s="4"/>
      <c r="N1944" s="4" t="s">
        <v>3737</v>
      </c>
      <c r="O1944" s="4">
        <v>334</v>
      </c>
    </row>
    <row r="1945" spans="1:15" ht="15.75" customHeight="1">
      <c r="A1945" s="4"/>
      <c r="B1945" s="4"/>
      <c r="C1945" s="4"/>
      <c r="D1945" s="4"/>
      <c r="E1945" s="4"/>
      <c r="G1945" s="4"/>
      <c r="H1945" s="4"/>
      <c r="K1945" s="4"/>
      <c r="N1945" s="4" t="s">
        <v>3737</v>
      </c>
      <c r="O1945" s="4">
        <v>238</v>
      </c>
    </row>
    <row r="1946" spans="1:15" ht="15.75" customHeight="1">
      <c r="A1946" s="4"/>
      <c r="B1946" s="4"/>
      <c r="C1946" s="4"/>
      <c r="D1946" s="4"/>
      <c r="E1946" s="4"/>
      <c r="G1946" s="4"/>
      <c r="H1946" s="4"/>
      <c r="K1946" s="4"/>
      <c r="N1946" s="4" t="s">
        <v>3740</v>
      </c>
      <c r="O1946" s="4">
        <v>909</v>
      </c>
    </row>
    <row r="1947" spans="1:15" ht="15.75" customHeight="1">
      <c r="A1947" s="4"/>
      <c r="B1947" s="4"/>
      <c r="C1947" s="4"/>
      <c r="D1947" s="4"/>
      <c r="E1947" s="4"/>
      <c r="G1947" s="4"/>
      <c r="H1947" s="4"/>
      <c r="K1947" s="4"/>
      <c r="N1947" s="4" t="s">
        <v>674</v>
      </c>
      <c r="O1947" s="4">
        <v>306</v>
      </c>
    </row>
    <row r="1948" spans="1:15" ht="15.75" customHeight="1">
      <c r="A1948" s="4"/>
      <c r="B1948" s="4"/>
      <c r="C1948" s="4"/>
      <c r="D1948" s="4"/>
      <c r="E1948" s="4"/>
      <c r="G1948" s="4"/>
      <c r="H1948" s="4"/>
      <c r="K1948" s="4"/>
    </row>
    <row r="1949" spans="1:15" ht="15.75" customHeight="1">
      <c r="A1949" s="4"/>
      <c r="B1949" s="4"/>
      <c r="C1949" s="4"/>
      <c r="D1949" s="4"/>
      <c r="E1949" s="4"/>
      <c r="G1949" s="4"/>
      <c r="H1949" s="4"/>
      <c r="K1949" s="4"/>
      <c r="N1949" s="4" t="s">
        <v>3925</v>
      </c>
      <c r="O1949" s="4">
        <v>636</v>
      </c>
    </row>
    <row r="1950" spans="1:15" ht="15.75" customHeight="1">
      <c r="A1950" s="4"/>
      <c r="B1950" s="4"/>
      <c r="C1950" s="4"/>
      <c r="D1950" s="4"/>
      <c r="E1950" s="4"/>
      <c r="G1950" s="4"/>
      <c r="H1950" s="4"/>
      <c r="K1950" s="4"/>
      <c r="N1950" s="4" t="s">
        <v>2415</v>
      </c>
      <c r="O1950" s="4">
        <v>103</v>
      </c>
    </row>
    <row r="1951" spans="1:15" ht="15.75" customHeight="1">
      <c r="B1951" s="4"/>
      <c r="C1951" s="4"/>
      <c r="D1951" s="4"/>
      <c r="E1951" s="4"/>
      <c r="G1951" s="4"/>
      <c r="H1951" s="4"/>
      <c r="K1951" s="4"/>
      <c r="N1951" s="4" t="s">
        <v>1381</v>
      </c>
      <c r="O1951" s="4">
        <v>412</v>
      </c>
    </row>
    <row r="1952" spans="1:15" ht="15.75" customHeight="1">
      <c r="A1952" s="4"/>
      <c r="B1952" s="4"/>
      <c r="C1952" s="4"/>
      <c r="D1952" s="4"/>
      <c r="E1952" s="4"/>
      <c r="G1952" s="4"/>
      <c r="H1952" s="4"/>
      <c r="K1952" s="4"/>
      <c r="N1952" s="4" t="s">
        <v>295</v>
      </c>
      <c r="O1952" s="4">
        <v>121</v>
      </c>
    </row>
    <row r="1953" spans="1:15" ht="15.75" customHeight="1">
      <c r="A1953" s="4"/>
      <c r="B1953" s="4"/>
      <c r="C1953" s="4"/>
      <c r="D1953" s="4"/>
      <c r="E1953" s="4"/>
      <c r="G1953" s="4"/>
      <c r="H1953" s="4"/>
      <c r="K1953" s="4"/>
      <c r="N1953" s="4" t="s">
        <v>3288</v>
      </c>
      <c r="O1953" s="4">
        <v>476</v>
      </c>
    </row>
    <row r="1954" spans="1:15" ht="15.75" customHeight="1">
      <c r="A1954" s="4"/>
      <c r="B1954" s="4"/>
      <c r="C1954" s="4"/>
      <c r="D1954" s="4"/>
      <c r="E1954" s="4"/>
      <c r="G1954" s="4"/>
      <c r="H1954" s="4"/>
      <c r="K1954" s="4"/>
      <c r="N1954" s="4" t="s">
        <v>56</v>
      </c>
      <c r="O1954" s="4">
        <v>200</v>
      </c>
    </row>
    <row r="1955" spans="1:15" ht="15.75" customHeight="1">
      <c r="A1955" s="4"/>
      <c r="B1955" s="4"/>
      <c r="C1955" s="4"/>
      <c r="D1955" s="4"/>
      <c r="E1955" s="4"/>
      <c r="G1955" s="4"/>
      <c r="H1955" s="4"/>
      <c r="K1955" s="4"/>
      <c r="N1955" s="4" t="s">
        <v>92</v>
      </c>
      <c r="O1955" s="4">
        <v>114</v>
      </c>
    </row>
    <row r="1956" spans="1:15" ht="15.75" customHeight="1">
      <c r="A1956" s="4"/>
      <c r="B1956" s="4"/>
      <c r="C1956" s="4"/>
      <c r="D1956" s="4"/>
      <c r="E1956" s="4"/>
      <c r="G1956" s="4"/>
      <c r="H1956" s="4"/>
      <c r="K1956" s="4"/>
      <c r="N1956" s="4" t="s">
        <v>3940</v>
      </c>
      <c r="O1956" s="4">
        <v>340</v>
      </c>
    </row>
    <row r="1957" spans="1:15" ht="15.75" customHeight="1">
      <c r="B1957" s="4"/>
      <c r="C1957" s="4"/>
      <c r="D1957" s="4"/>
      <c r="E1957" s="4"/>
      <c r="G1957" s="4"/>
      <c r="H1957" s="4"/>
      <c r="K1957" s="4"/>
      <c r="N1957" s="4" t="s">
        <v>3943</v>
      </c>
      <c r="O1957" s="4">
        <v>290</v>
      </c>
    </row>
    <row r="1958" spans="1:15" ht="15.75" customHeight="1">
      <c r="A1958" s="4"/>
      <c r="B1958" s="4"/>
      <c r="C1958" s="4"/>
      <c r="D1958" s="4"/>
      <c r="E1958" s="4"/>
      <c r="G1958" s="4"/>
      <c r="H1958" s="4"/>
      <c r="K1958" s="4"/>
      <c r="N1958" s="4" t="s">
        <v>743</v>
      </c>
      <c r="O1958" s="4">
        <v>142</v>
      </c>
    </row>
    <row r="1959" spans="1:15" ht="15.75" customHeight="1">
      <c r="A1959" s="4"/>
      <c r="B1959" s="4"/>
      <c r="C1959" s="4"/>
      <c r="D1959" s="4"/>
      <c r="E1959" s="4"/>
      <c r="G1959" s="4"/>
      <c r="H1959" s="4"/>
      <c r="K1959" s="4"/>
      <c r="N1959" s="4" t="s">
        <v>2780</v>
      </c>
      <c r="O1959" s="4">
        <v>451</v>
      </c>
    </row>
    <row r="1960" spans="1:15" ht="15.75" customHeight="1">
      <c r="A1960" s="4"/>
      <c r="B1960" s="4"/>
      <c r="C1960" s="4"/>
      <c r="D1960" s="4"/>
      <c r="E1960" s="4"/>
      <c r="G1960" s="4"/>
      <c r="H1960" s="4"/>
      <c r="K1960" s="4"/>
      <c r="N1960" s="4" t="s">
        <v>3950</v>
      </c>
      <c r="O1960" s="4">
        <v>375</v>
      </c>
    </row>
    <row r="1961" spans="1:15" ht="15.75" customHeight="1">
      <c r="A1961" s="4"/>
      <c r="B1961" s="4"/>
      <c r="C1961" s="4"/>
      <c r="D1961" s="4"/>
      <c r="E1961" s="4"/>
      <c r="G1961" s="4"/>
      <c r="H1961" s="4"/>
      <c r="K1961" s="4"/>
      <c r="N1961" s="4" t="s">
        <v>3953</v>
      </c>
      <c r="O1961" s="4">
        <v>447</v>
      </c>
    </row>
    <row r="1962" spans="1:15" ht="15.75" customHeight="1">
      <c r="B1962" s="4"/>
      <c r="C1962" s="4"/>
      <c r="D1962" s="4"/>
      <c r="E1962" s="4"/>
      <c r="G1962" s="4"/>
      <c r="H1962" s="4"/>
      <c r="K1962" s="4"/>
      <c r="N1962" s="4" t="s">
        <v>3956</v>
      </c>
      <c r="O1962" s="4">
        <v>250</v>
      </c>
    </row>
    <row r="1963" spans="1:15" ht="15.75" customHeight="1">
      <c r="A1963" s="4"/>
      <c r="B1963" s="4"/>
      <c r="C1963" s="4"/>
      <c r="D1963" s="4"/>
      <c r="E1963" s="4"/>
      <c r="G1963" s="4"/>
      <c r="H1963" s="4"/>
      <c r="K1963" s="4"/>
      <c r="N1963" s="4" t="s">
        <v>3377</v>
      </c>
      <c r="O1963" s="4">
        <v>249</v>
      </c>
    </row>
    <row r="1964" spans="1:15" ht="15.75" customHeight="1">
      <c r="A1964" s="4"/>
      <c r="B1964" s="4"/>
      <c r="C1964" s="4"/>
      <c r="D1964" s="4"/>
      <c r="E1964" s="4"/>
      <c r="G1964" s="4"/>
      <c r="H1964" s="4"/>
      <c r="K1964" s="4"/>
      <c r="N1964" s="4" t="s">
        <v>3961</v>
      </c>
      <c r="O1964" s="4">
        <v>355</v>
      </c>
    </row>
    <row r="1965" spans="1:15" ht="15.75" customHeight="1">
      <c r="A1965" s="4"/>
      <c r="B1965" s="4"/>
      <c r="C1965" s="4"/>
      <c r="D1965" s="4"/>
      <c r="E1965" s="4"/>
      <c r="G1965" s="4"/>
      <c r="H1965" s="4"/>
      <c r="K1965" s="4"/>
      <c r="N1965" s="4" t="s">
        <v>2472</v>
      </c>
      <c r="O1965" s="4">
        <v>337</v>
      </c>
    </row>
    <row r="1966" spans="1:15" ht="15.75" customHeight="1">
      <c r="A1966" s="4"/>
      <c r="B1966" s="4"/>
      <c r="C1966" s="4"/>
      <c r="D1966" s="4"/>
      <c r="E1966" s="4"/>
      <c r="G1966" s="4"/>
      <c r="H1966" s="4"/>
      <c r="K1966" s="4"/>
      <c r="N1966" s="4" t="s">
        <v>2418</v>
      </c>
      <c r="O1966" s="4">
        <v>577</v>
      </c>
    </row>
    <row r="1967" spans="1:15" ht="15.75" customHeight="1">
      <c r="A1967" s="4"/>
      <c r="B1967" s="4"/>
      <c r="C1967" s="4"/>
      <c r="D1967" s="4"/>
      <c r="E1967" s="4"/>
      <c r="G1967" s="4"/>
      <c r="H1967" s="4"/>
      <c r="K1967" s="4"/>
      <c r="N1967" s="4" t="s">
        <v>779</v>
      </c>
      <c r="O1967" s="4">
        <v>471</v>
      </c>
    </row>
    <row r="1968" spans="1:15" ht="15.75" customHeight="1">
      <c r="A1968" s="4"/>
      <c r="B1968" s="4"/>
      <c r="C1968" s="4"/>
      <c r="D1968" s="4"/>
      <c r="E1968" s="4"/>
      <c r="G1968" s="4"/>
      <c r="H1968" s="4"/>
      <c r="I1968" s="4"/>
      <c r="K1968" s="4"/>
      <c r="N1968" s="4" t="s">
        <v>3969</v>
      </c>
      <c r="O1968" s="4">
        <v>293</v>
      </c>
    </row>
    <row r="1969" spans="1:15" ht="15.75" customHeight="1">
      <c r="A1969" s="4"/>
      <c r="B1969" s="4"/>
      <c r="C1969" s="4"/>
      <c r="D1969" s="4"/>
      <c r="E1969" s="4"/>
      <c r="G1969" s="4"/>
      <c r="H1969" s="4"/>
      <c r="K1969" s="4"/>
      <c r="N1969" s="4" t="s">
        <v>3348</v>
      </c>
      <c r="O1969" s="4">
        <v>191</v>
      </c>
    </row>
    <row r="1970" spans="1:15" ht="15.75" customHeight="1">
      <c r="A1970" s="4"/>
      <c r="B1970" s="4"/>
      <c r="C1970" s="4"/>
      <c r="D1970" s="4"/>
      <c r="E1970" s="4"/>
      <c r="G1970" s="4"/>
      <c r="H1970" s="4"/>
      <c r="K1970" s="4"/>
      <c r="N1970" s="4" t="s">
        <v>56</v>
      </c>
      <c r="O1970" s="4">
        <v>203</v>
      </c>
    </row>
    <row r="1971" spans="1:15" ht="15.75" customHeight="1">
      <c r="B1971" s="4"/>
      <c r="C1971" s="4"/>
      <c r="D1971" s="4"/>
      <c r="E1971" s="4"/>
      <c r="G1971" s="4"/>
      <c r="H1971" s="4"/>
      <c r="K1971" s="4"/>
      <c r="N1971" s="4" t="s">
        <v>255</v>
      </c>
      <c r="O1971" s="4">
        <v>387</v>
      </c>
    </row>
    <row r="1972" spans="1:15" ht="15.75" customHeight="1">
      <c r="A1972" s="4"/>
      <c r="B1972" s="4"/>
      <c r="C1972" s="4"/>
      <c r="D1972" s="4"/>
      <c r="E1972" s="4"/>
      <c r="G1972" s="4"/>
      <c r="H1972" s="4"/>
      <c r="K1972" s="4"/>
      <c r="N1972" s="4" t="s">
        <v>478</v>
      </c>
      <c r="O1972" s="4">
        <v>97</v>
      </c>
    </row>
    <row r="1973" spans="1:15" ht="15.75" customHeight="1">
      <c r="A1973" s="4"/>
      <c r="B1973" s="4"/>
      <c r="C1973" s="4"/>
      <c r="D1973" s="4"/>
      <c r="E1973" s="4"/>
      <c r="G1973" s="4"/>
      <c r="H1973" s="4"/>
      <c r="K1973" s="4"/>
      <c r="N1973" s="4" t="s">
        <v>79</v>
      </c>
      <c r="O1973" s="4">
        <v>470</v>
      </c>
    </row>
    <row r="1974" spans="1:15" ht="15.75" customHeight="1">
      <c r="A1974" s="4"/>
      <c r="B1974" s="4"/>
      <c r="C1974" s="4"/>
      <c r="D1974" s="4"/>
      <c r="E1974" s="4"/>
      <c r="G1974" s="4"/>
      <c r="H1974" s="4"/>
      <c r="K1974" s="4"/>
      <c r="N1974" s="4" t="s">
        <v>3983</v>
      </c>
      <c r="O1974" s="4">
        <v>290</v>
      </c>
    </row>
    <row r="1975" spans="1:15" ht="15.75" customHeight="1">
      <c r="A1975" s="4"/>
      <c r="B1975" s="4"/>
      <c r="C1975" s="4"/>
      <c r="D1975" s="4"/>
      <c r="E1975" s="4"/>
      <c r="G1975" s="4"/>
      <c r="H1975" s="4"/>
      <c r="K1975" s="4"/>
      <c r="N1975" s="4" t="s">
        <v>56</v>
      </c>
      <c r="O1975" s="4">
        <v>59</v>
      </c>
    </row>
    <row r="1976" spans="1:15" ht="15.75" customHeight="1">
      <c r="A1976" s="4"/>
      <c r="B1976" s="4"/>
      <c r="C1976" s="4"/>
      <c r="D1976" s="4"/>
      <c r="E1976" s="4"/>
      <c r="G1976" s="4"/>
      <c r="H1976" s="4"/>
      <c r="K1976" s="4"/>
      <c r="N1976" s="4" t="s">
        <v>3988</v>
      </c>
      <c r="O1976" s="4">
        <v>142</v>
      </c>
    </row>
    <row r="1977" spans="1:15" ht="15.75" customHeight="1">
      <c r="A1977" s="4"/>
      <c r="B1977" s="4"/>
      <c r="C1977" s="4"/>
      <c r="D1977" s="4"/>
      <c r="E1977" s="4"/>
      <c r="G1977" s="4"/>
      <c r="H1977" s="4"/>
      <c r="I1977" s="4"/>
      <c r="K1977" s="4"/>
      <c r="N1977" s="4" t="s">
        <v>3991</v>
      </c>
      <c r="O1977" s="4">
        <v>339</v>
      </c>
    </row>
    <row r="1978" spans="1:15" ht="15.75" customHeight="1">
      <c r="A1978" s="4"/>
      <c r="B1978" s="4"/>
      <c r="C1978" s="4"/>
      <c r="D1978" s="4"/>
      <c r="E1978" s="4"/>
      <c r="G1978" s="4"/>
      <c r="H1978" s="4"/>
      <c r="I1978" s="4"/>
      <c r="K1978" s="4"/>
      <c r="N1978" s="4" t="s">
        <v>3995</v>
      </c>
      <c r="O1978" s="4">
        <v>193</v>
      </c>
    </row>
    <row r="1979" spans="1:15" ht="15.75" customHeight="1">
      <c r="A1979" s="4"/>
      <c r="B1979" s="4"/>
      <c r="C1979" s="4"/>
      <c r="D1979" s="4"/>
      <c r="E1979" s="4"/>
      <c r="G1979" s="4"/>
      <c r="H1979" s="4"/>
      <c r="I1979" s="4"/>
      <c r="K1979" s="4"/>
      <c r="N1979" s="4" t="s">
        <v>3999</v>
      </c>
      <c r="O1979" s="4">
        <v>122</v>
      </c>
    </row>
    <row r="1980" spans="1:15" ht="15.75" customHeight="1">
      <c r="A1980" s="4"/>
      <c r="B1980" s="4"/>
      <c r="C1980" s="4"/>
      <c r="D1980" s="4"/>
      <c r="E1980" s="4"/>
      <c r="G1980" s="4"/>
      <c r="H1980" s="4"/>
      <c r="K1980" s="4"/>
      <c r="N1980" s="4" t="s">
        <v>4003</v>
      </c>
      <c r="O1980" s="4">
        <v>187</v>
      </c>
    </row>
    <row r="1981" spans="1:15" ht="15.75" customHeight="1">
      <c r="A1981" s="4"/>
      <c r="B1981" s="4"/>
      <c r="C1981" s="4"/>
      <c r="D1981" s="4"/>
      <c r="E1981" s="4"/>
      <c r="G1981" s="4"/>
      <c r="H1981" s="4"/>
      <c r="K1981" s="4"/>
      <c r="N1981" s="4" t="s">
        <v>56</v>
      </c>
      <c r="O1981" s="4">
        <v>42</v>
      </c>
    </row>
    <row r="1982" spans="1:15" ht="15.75" customHeight="1">
      <c r="A1982" s="4"/>
      <c r="B1982" s="4"/>
      <c r="C1982" s="4"/>
      <c r="D1982" s="4"/>
      <c r="E1982" s="4"/>
      <c r="G1982" s="4"/>
      <c r="H1982" s="4"/>
      <c r="K1982" s="4"/>
      <c r="N1982" s="4" t="s">
        <v>4008</v>
      </c>
      <c r="O1982" s="4">
        <v>564</v>
      </c>
    </row>
    <row r="1983" spans="1:15" ht="15.75" customHeight="1">
      <c r="A1983" s="4"/>
      <c r="B1983" s="4"/>
      <c r="C1983" s="4"/>
      <c r="D1983" s="4"/>
      <c r="E1983" s="4"/>
      <c r="G1983" s="4"/>
      <c r="H1983" s="4"/>
      <c r="K1983" s="4"/>
      <c r="N1983" s="4" t="s">
        <v>56</v>
      </c>
      <c r="O1983" s="4">
        <v>326</v>
      </c>
    </row>
    <row r="1984" spans="1:15" ht="15.75" customHeight="1">
      <c r="A1984" s="4"/>
      <c r="B1984" s="4"/>
      <c r="C1984" s="4"/>
      <c r="D1984" s="4"/>
      <c r="E1984" s="4"/>
      <c r="G1984" s="4"/>
      <c r="H1984" s="4"/>
      <c r="K1984" s="4"/>
      <c r="N1984" s="4" t="s">
        <v>4013</v>
      </c>
      <c r="O1984" s="4">
        <v>338</v>
      </c>
    </row>
    <row r="1985" spans="1:15" ht="15.75" customHeight="1">
      <c r="A1985" s="4"/>
      <c r="B1985" s="4"/>
      <c r="C1985" s="4"/>
      <c r="D1985" s="4"/>
      <c r="E1985" s="4"/>
      <c r="G1985" s="4"/>
      <c r="H1985" s="4"/>
      <c r="K1985" s="4"/>
      <c r="N1985" s="4" t="s">
        <v>588</v>
      </c>
      <c r="O1985" s="4">
        <v>288</v>
      </c>
    </row>
    <row r="1986" spans="1:15" ht="15.75" customHeight="1">
      <c r="A1986" s="4"/>
      <c r="B1986" s="4"/>
      <c r="C1986" s="4"/>
      <c r="D1986" s="4"/>
      <c r="E1986" s="4"/>
      <c r="G1986" s="4"/>
      <c r="H1986" s="4"/>
      <c r="K1986" s="4"/>
      <c r="N1986" s="4" t="s">
        <v>56</v>
      </c>
      <c r="O1986" s="4">
        <v>62</v>
      </c>
    </row>
    <row r="1987" spans="1:15" ht="15.75" customHeight="1">
      <c r="A1987" s="4"/>
      <c r="B1987" s="4"/>
      <c r="C1987" s="4"/>
      <c r="D1987" s="4"/>
      <c r="E1987" s="4"/>
      <c r="G1987" s="4"/>
      <c r="H1987" s="4"/>
      <c r="K1987" s="4"/>
      <c r="N1987" s="4" t="s">
        <v>4020</v>
      </c>
      <c r="O1987" s="4">
        <v>476</v>
      </c>
    </row>
    <row r="1988" spans="1:15" ht="15.75" customHeight="1">
      <c r="A1988" s="4"/>
      <c r="B1988" s="4"/>
      <c r="C1988" s="4"/>
      <c r="D1988" s="4"/>
      <c r="E1988" s="4"/>
      <c r="G1988" s="4"/>
      <c r="H1988" s="4"/>
      <c r="K1988" s="4"/>
      <c r="N1988" s="4" t="s">
        <v>255</v>
      </c>
      <c r="O1988" s="4">
        <v>399</v>
      </c>
    </row>
    <row r="1989" spans="1:15" ht="15.75" customHeight="1">
      <c r="A1989" s="4"/>
      <c r="B1989" s="4"/>
      <c r="C1989" s="4"/>
      <c r="D1989" s="4"/>
      <c r="E1989" s="4"/>
      <c r="G1989" s="4"/>
      <c r="H1989" s="4"/>
      <c r="K1989" s="4"/>
      <c r="N1989" s="4" t="s">
        <v>92</v>
      </c>
      <c r="O1989" s="4">
        <v>741</v>
      </c>
    </row>
    <row r="1990" spans="1:15" ht="15.75" customHeight="1">
      <c r="A1990" s="4"/>
      <c r="B1990" s="4"/>
      <c r="C1990" s="4"/>
      <c r="D1990" s="4"/>
      <c r="E1990" s="4"/>
      <c r="G1990" s="4"/>
      <c r="H1990" s="4"/>
      <c r="K1990" s="4"/>
      <c r="N1990" s="4" t="s">
        <v>4027</v>
      </c>
      <c r="O1990" s="4">
        <v>910</v>
      </c>
    </row>
    <row r="1991" spans="1:15" ht="15.75" customHeight="1">
      <c r="A1991" s="4"/>
      <c r="B1991" s="4"/>
      <c r="C1991" s="4"/>
      <c r="D1991" s="4"/>
      <c r="E1991" s="4"/>
      <c r="G1991" s="4"/>
      <c r="H1991" s="4"/>
      <c r="K1991" s="4"/>
      <c r="N1991" s="4" t="s">
        <v>4030</v>
      </c>
      <c r="O1991" s="4">
        <v>30</v>
      </c>
    </row>
    <row r="1992" spans="1:15" ht="15.75" customHeight="1">
      <c r="A1992" s="4"/>
      <c r="B1992" s="4"/>
      <c r="C1992" s="4"/>
      <c r="D1992" s="4"/>
      <c r="E1992" s="4"/>
      <c r="G1992" s="4"/>
      <c r="H1992" s="4"/>
      <c r="K1992" s="4"/>
      <c r="N1992" s="4" t="s">
        <v>73</v>
      </c>
      <c r="O1992" s="4">
        <v>569</v>
      </c>
    </row>
    <row r="1993" spans="1:15" ht="15.75" customHeight="1">
      <c r="A1993" s="4"/>
      <c r="B1993" s="4"/>
      <c r="C1993" s="4"/>
      <c r="D1993" s="4"/>
      <c r="E1993" s="4"/>
      <c r="G1993" s="4"/>
      <c r="H1993" s="4"/>
      <c r="K1993" s="4"/>
      <c r="N1993" s="4" t="s">
        <v>73</v>
      </c>
      <c r="O1993" s="4">
        <v>603</v>
      </c>
    </row>
    <row r="1994" spans="1:15" ht="15.75" customHeight="1">
      <c r="A1994" s="4"/>
      <c r="B1994" s="4"/>
      <c r="C1994" s="4"/>
      <c r="D1994" s="4"/>
      <c r="E1994" s="4"/>
      <c r="G1994" s="4"/>
      <c r="H1994" s="4"/>
      <c r="K1994" s="4"/>
      <c r="N1994" s="4" t="s">
        <v>3082</v>
      </c>
      <c r="O1994" s="4">
        <v>561</v>
      </c>
    </row>
    <row r="1995" spans="1:15" ht="15.75" customHeight="1">
      <c r="A1995" s="4"/>
      <c r="B1995" s="4"/>
      <c r="C1995" s="4"/>
      <c r="D1995" s="4"/>
      <c r="E1995" s="4"/>
      <c r="G1995" s="4"/>
      <c r="H1995" s="4"/>
      <c r="K1995" s="4"/>
      <c r="N1995" s="4" t="s">
        <v>4039</v>
      </c>
      <c r="O1995" s="4">
        <v>138</v>
      </c>
    </row>
    <row r="1996" spans="1:15" ht="15.75" customHeight="1">
      <c r="A1996" s="4"/>
      <c r="B1996" s="4"/>
      <c r="C1996" s="4"/>
      <c r="D1996" s="4"/>
      <c r="E1996" s="4"/>
      <c r="G1996" s="4"/>
      <c r="H1996" s="4"/>
      <c r="K1996" s="4"/>
      <c r="N1996" s="4" t="s">
        <v>4042</v>
      </c>
      <c r="O1996" s="4">
        <v>747</v>
      </c>
    </row>
    <row r="1997" spans="1:15" ht="15.75" customHeight="1">
      <c r="A1997" s="4"/>
      <c r="B1997" s="4"/>
      <c r="C1997" s="4"/>
      <c r="D1997" s="4"/>
      <c r="E1997" s="4"/>
      <c r="G1997" s="4"/>
      <c r="H1997" s="4"/>
      <c r="K1997" s="4"/>
      <c r="N1997" s="4" t="s">
        <v>4045</v>
      </c>
      <c r="O1997" s="4">
        <v>283</v>
      </c>
    </row>
    <row r="1998" spans="1:15" ht="15.75" customHeight="1">
      <c r="A1998" s="4"/>
      <c r="B1998" s="4"/>
      <c r="C1998" s="4"/>
      <c r="D1998" s="4"/>
      <c r="E1998" s="4"/>
      <c r="G1998" s="4"/>
      <c r="H1998" s="4"/>
      <c r="K1998" s="4"/>
      <c r="N1998" s="4" t="s">
        <v>1381</v>
      </c>
      <c r="O1998" s="4">
        <v>269</v>
      </c>
    </row>
    <row r="1999" spans="1:15" ht="15.75" customHeight="1">
      <c r="A1999" s="4"/>
      <c r="B1999" s="4"/>
      <c r="C1999" s="4"/>
      <c r="D1999" s="4"/>
      <c r="E1999" s="4"/>
      <c r="G1999" s="4"/>
      <c r="H1999" s="4"/>
      <c r="K1999" s="4"/>
      <c r="N1999" s="4" t="s">
        <v>2415</v>
      </c>
      <c r="O1999" s="4">
        <v>163</v>
      </c>
    </row>
    <row r="2000" spans="1:15" ht="15.75" customHeight="1">
      <c r="A2000" s="4"/>
      <c r="B2000" s="4"/>
      <c r="C2000" s="4"/>
      <c r="D2000" s="4"/>
      <c r="E2000" s="4"/>
      <c r="G2000" s="4"/>
      <c r="H2000" s="4"/>
      <c r="K2000" s="4"/>
      <c r="N2000" s="4" t="s">
        <v>3085</v>
      </c>
      <c r="O2000" s="4">
        <v>335</v>
      </c>
    </row>
    <row r="2001" spans="1:15" ht="15.75" customHeight="1">
      <c r="A2001" s="4"/>
      <c r="B2001" s="4"/>
      <c r="C2001" s="4"/>
      <c r="D2001" s="4"/>
      <c r="E2001" s="4"/>
      <c r="G2001" s="4"/>
      <c r="H2001" s="4"/>
      <c r="K2001" s="4"/>
      <c r="N2001" s="4" t="s">
        <v>4054</v>
      </c>
      <c r="O2001" s="4">
        <v>89</v>
      </c>
    </row>
    <row r="2002" spans="1:15" ht="15.75" customHeight="1">
      <c r="A2002" s="4"/>
      <c r="B2002" s="4"/>
      <c r="C2002" s="4"/>
      <c r="D2002" s="4"/>
      <c r="E2002" s="4"/>
      <c r="G2002" s="4"/>
      <c r="H2002" s="4"/>
      <c r="K2002" s="4"/>
      <c r="N2002" s="4" t="s">
        <v>59</v>
      </c>
      <c r="O2002" s="4">
        <v>272</v>
      </c>
    </row>
    <row r="2003" spans="1:15" ht="15.75" customHeight="1">
      <c r="A2003" s="4"/>
      <c r="B2003" s="4"/>
      <c r="C2003" s="4"/>
      <c r="D2003" s="4"/>
      <c r="E2003" s="4"/>
      <c r="G2003" s="4"/>
      <c r="H2003" s="4"/>
      <c r="K2003" s="4"/>
      <c r="N2003" s="4" t="s">
        <v>4059</v>
      </c>
      <c r="O2003" s="4">
        <v>456</v>
      </c>
    </row>
    <row r="2004" spans="1:15" ht="15.75" customHeight="1">
      <c r="A2004" s="4"/>
      <c r="B2004" s="4"/>
      <c r="C2004" s="4"/>
      <c r="D2004" s="4"/>
      <c r="E2004" s="4"/>
      <c r="G2004" s="4"/>
      <c r="H2004" s="4"/>
      <c r="K2004" s="4"/>
      <c r="N2004" s="4" t="s">
        <v>73</v>
      </c>
      <c r="O2004" s="4">
        <v>229</v>
      </c>
    </row>
    <row r="2005" spans="1:15" ht="15.75" customHeight="1">
      <c r="A2005" s="4"/>
      <c r="B2005" s="4"/>
      <c r="C2005" s="4"/>
      <c r="D2005" s="4"/>
      <c r="E2005" s="4"/>
      <c r="G2005" s="4"/>
      <c r="H2005" s="4"/>
      <c r="K2005" s="4"/>
      <c r="N2005" s="4" t="s">
        <v>76</v>
      </c>
      <c r="O2005" s="4">
        <v>353</v>
      </c>
    </row>
    <row r="2006" spans="1:15" ht="15.75" customHeight="1">
      <c r="A2006" s="4"/>
      <c r="B2006" s="4"/>
      <c r="C2006" s="4"/>
      <c r="D2006" s="4"/>
      <c r="E2006" s="4"/>
      <c r="G2006" s="4"/>
      <c r="H2006" s="4"/>
      <c r="K2006" s="4"/>
      <c r="N2006" s="4" t="s">
        <v>111</v>
      </c>
      <c r="O2006" s="4">
        <v>167</v>
      </c>
    </row>
    <row r="2007" spans="1:15" ht="15.75" customHeight="1">
      <c r="A2007" s="4"/>
      <c r="B2007" s="4"/>
      <c r="C2007" s="4"/>
      <c r="D2007" s="4"/>
      <c r="E2007" s="4"/>
      <c r="G2007" s="4"/>
      <c r="H2007" s="4"/>
      <c r="K2007" s="4"/>
      <c r="N2007" s="4" t="s">
        <v>278</v>
      </c>
      <c r="O2007" s="4">
        <v>254</v>
      </c>
    </row>
    <row r="2008" spans="1:15" ht="15.75" customHeight="1">
      <c r="A2008" s="4"/>
      <c r="B2008" s="4"/>
      <c r="C2008" s="4"/>
      <c r="D2008" s="4"/>
      <c r="E2008" s="4"/>
      <c r="G2008" s="4"/>
      <c r="H2008" s="4"/>
      <c r="K2008" s="4"/>
      <c r="N2008" s="4" t="s">
        <v>4070</v>
      </c>
      <c r="O2008" s="4">
        <v>50</v>
      </c>
    </row>
    <row r="2009" spans="1:15" ht="15.75" customHeight="1">
      <c r="A2009" s="4"/>
      <c r="B2009" s="4"/>
      <c r="C2009" s="4"/>
      <c r="D2009" s="4"/>
      <c r="E2009" s="4"/>
      <c r="G2009" s="4"/>
      <c r="H2009" s="4"/>
      <c r="K2009" s="4"/>
      <c r="N2009" s="4" t="s">
        <v>56</v>
      </c>
      <c r="O2009" s="4">
        <v>176</v>
      </c>
    </row>
    <row r="2010" spans="1:15" ht="15.75" customHeight="1">
      <c r="A2010" s="4"/>
      <c r="B2010" s="4"/>
      <c r="C2010" s="4"/>
      <c r="D2010" s="4"/>
      <c r="E2010" s="4"/>
      <c r="G2010" s="4"/>
      <c r="H2010" s="4"/>
      <c r="K2010" s="4"/>
      <c r="N2010" s="4" t="s">
        <v>255</v>
      </c>
      <c r="O2010" s="4">
        <v>422</v>
      </c>
    </row>
    <row r="2011" spans="1:15" ht="15.75" customHeight="1">
      <c r="B2011" s="4"/>
      <c r="C2011" s="4"/>
      <c r="D2011" s="4"/>
      <c r="E2011" s="4"/>
      <c r="G2011" s="4"/>
      <c r="H2011" s="4"/>
      <c r="K2011" s="4"/>
      <c r="N2011" s="4" t="s">
        <v>845</v>
      </c>
      <c r="O2011" s="4">
        <v>228</v>
      </c>
    </row>
    <row r="2012" spans="1:15" ht="15.75" customHeight="1">
      <c r="A2012" s="4"/>
      <c r="B2012" s="4"/>
      <c r="C2012" s="4"/>
      <c r="D2012" s="4"/>
      <c r="E2012" s="4"/>
      <c r="G2012" s="4"/>
      <c r="H2012" s="4"/>
      <c r="K2012" s="4"/>
      <c r="N2012" s="4" t="s">
        <v>845</v>
      </c>
      <c r="O2012" s="4">
        <v>222</v>
      </c>
    </row>
    <row r="2013" spans="1:15" ht="15.75" customHeight="1">
      <c r="B2013" s="4"/>
      <c r="C2013" s="4"/>
      <c r="D2013" s="4"/>
      <c r="E2013" s="4"/>
      <c r="G2013" s="4"/>
      <c r="H2013" s="4"/>
      <c r="K2013" s="4"/>
      <c r="N2013" s="4" t="s">
        <v>4081</v>
      </c>
      <c r="O2013" s="4">
        <v>292</v>
      </c>
    </row>
    <row r="2014" spans="1:15" ht="15.75" customHeight="1">
      <c r="A2014" s="4"/>
      <c r="B2014" s="4"/>
      <c r="C2014" s="4"/>
      <c r="D2014" s="4"/>
      <c r="E2014" s="4"/>
      <c r="G2014" s="4"/>
      <c r="H2014" s="4"/>
      <c r="K2014" s="4"/>
      <c r="N2014" s="4" t="s">
        <v>848</v>
      </c>
      <c r="O2014" s="4">
        <v>249</v>
      </c>
    </row>
    <row r="2015" spans="1:15" ht="15.75" customHeight="1">
      <c r="A2015" s="4"/>
      <c r="B2015" s="4"/>
      <c r="C2015" s="4"/>
      <c r="D2015" s="4"/>
      <c r="E2015" s="4"/>
      <c r="G2015" s="4"/>
      <c r="H2015" s="4"/>
      <c r="K2015" s="4"/>
      <c r="N2015" s="4" t="s">
        <v>4086</v>
      </c>
      <c r="O2015" s="4">
        <v>349</v>
      </c>
    </row>
    <row r="2016" spans="1:15" ht="15.75" customHeight="1">
      <c r="A2016" s="4"/>
      <c r="B2016" s="4"/>
      <c r="C2016" s="4"/>
      <c r="D2016" s="4"/>
      <c r="E2016" s="4"/>
      <c r="G2016" s="4"/>
      <c r="H2016" s="4"/>
      <c r="K2016" s="4"/>
      <c r="N2016" s="4" t="s">
        <v>4089</v>
      </c>
      <c r="O2016" s="4">
        <v>394</v>
      </c>
    </row>
    <row r="2017" spans="1:15" ht="15.75" customHeight="1">
      <c r="A2017" s="4"/>
      <c r="B2017" s="4"/>
      <c r="C2017" s="4"/>
      <c r="D2017" s="4"/>
      <c r="E2017" s="4"/>
      <c r="G2017" s="4"/>
      <c r="H2017" s="4"/>
      <c r="K2017" s="4"/>
      <c r="N2017" s="4" t="s">
        <v>4092</v>
      </c>
      <c r="O2017" s="4">
        <v>654</v>
      </c>
    </row>
    <row r="2018" spans="1:15" ht="15.75" customHeight="1">
      <c r="A2018" s="4"/>
      <c r="B2018" s="4"/>
      <c r="C2018" s="4"/>
      <c r="D2018" s="4"/>
      <c r="E2018" s="4"/>
      <c r="G2018" s="4"/>
      <c r="H2018" s="4"/>
      <c r="I2018" s="4"/>
      <c r="K2018" s="4"/>
      <c r="N2018" s="4" t="s">
        <v>4095</v>
      </c>
      <c r="O2018" s="4">
        <v>187</v>
      </c>
    </row>
    <row r="2019" spans="1:15" ht="15.75" customHeight="1">
      <c r="A2019" s="4"/>
      <c r="B2019" s="4"/>
      <c r="C2019" s="4"/>
      <c r="D2019" s="4"/>
      <c r="E2019" s="4"/>
      <c r="G2019" s="4"/>
      <c r="H2019" s="4"/>
      <c r="I2019" s="4"/>
      <c r="K2019" s="4"/>
      <c r="N2019" s="4" t="s">
        <v>4099</v>
      </c>
      <c r="O2019" s="4">
        <v>215</v>
      </c>
    </row>
    <row r="2020" spans="1:15" ht="15.75" customHeight="1">
      <c r="A2020" s="4"/>
      <c r="B2020" s="4"/>
      <c r="C2020" s="4"/>
      <c r="D2020" s="4"/>
      <c r="E2020" s="4"/>
      <c r="G2020" s="4"/>
      <c r="H2020" s="4"/>
      <c r="K2020" s="4"/>
      <c r="N2020" s="4" t="s">
        <v>1094</v>
      </c>
      <c r="O2020" s="4">
        <v>253</v>
      </c>
    </row>
    <row r="2021" spans="1:15" ht="15.75" customHeight="1">
      <c r="A2021" s="4"/>
      <c r="B2021" s="4"/>
      <c r="C2021" s="4"/>
      <c r="D2021" s="4"/>
      <c r="E2021" s="4"/>
      <c r="G2021" s="4"/>
      <c r="H2021" s="4"/>
      <c r="K2021" s="4"/>
      <c r="N2021" s="4" t="s">
        <v>625</v>
      </c>
      <c r="O2021" s="4">
        <v>220</v>
      </c>
    </row>
    <row r="2022" spans="1:15" ht="15.75" customHeight="1">
      <c r="A2022" s="4"/>
      <c r="B2022" s="4"/>
      <c r="C2022" s="4"/>
      <c r="D2022" s="4"/>
      <c r="E2022" s="4"/>
      <c r="G2022" s="4"/>
      <c r="H2022" s="4"/>
      <c r="K2022" s="4"/>
      <c r="N2022" s="4" t="s">
        <v>4107</v>
      </c>
      <c r="O2022" s="4">
        <v>1296</v>
      </c>
    </row>
    <row r="2023" spans="1:15" ht="15.75" customHeight="1">
      <c r="A2023" s="4"/>
      <c r="B2023" s="4"/>
      <c r="C2023" s="4"/>
      <c r="D2023" s="4"/>
      <c r="E2023" s="4"/>
      <c r="G2023" s="4"/>
      <c r="H2023" s="4"/>
      <c r="K2023" s="4"/>
      <c r="N2023" s="4" t="s">
        <v>56</v>
      </c>
      <c r="O2023" s="4">
        <v>110</v>
      </c>
    </row>
    <row r="2024" spans="1:15" ht="15.75" customHeight="1">
      <c r="A2024" s="4"/>
      <c r="B2024" s="4"/>
      <c r="C2024" s="4"/>
      <c r="D2024" s="4"/>
      <c r="E2024" s="4"/>
      <c r="G2024" s="4"/>
      <c r="H2024" s="4"/>
      <c r="K2024" s="4"/>
      <c r="N2024" s="4" t="s">
        <v>4045</v>
      </c>
      <c r="O2024" s="4">
        <v>281</v>
      </c>
    </row>
    <row r="2025" spans="1:15" ht="15.75" customHeight="1">
      <c r="A2025" s="4"/>
      <c r="B2025" s="4"/>
      <c r="C2025" s="4"/>
      <c r="D2025" s="4"/>
      <c r="E2025" s="4"/>
      <c r="G2025" s="4"/>
      <c r="H2025" s="4"/>
      <c r="K2025" s="4"/>
      <c r="N2025" s="4" t="s">
        <v>1381</v>
      </c>
      <c r="O2025" s="4">
        <v>287</v>
      </c>
    </row>
    <row r="2026" spans="1:15" ht="15.75" customHeight="1">
      <c r="A2026" s="4"/>
      <c r="B2026" s="4"/>
      <c r="C2026" s="4"/>
      <c r="D2026" s="4"/>
      <c r="E2026" s="4"/>
      <c r="G2026" s="4"/>
      <c r="H2026" s="4"/>
      <c r="K2026" s="4"/>
      <c r="N2026" s="4" t="s">
        <v>2415</v>
      </c>
      <c r="O2026" s="4">
        <v>164</v>
      </c>
    </row>
    <row r="2027" spans="1:15" ht="15.75" customHeight="1">
      <c r="A2027" s="4"/>
      <c r="B2027" s="4"/>
      <c r="C2027" s="4"/>
      <c r="D2027" s="4"/>
      <c r="E2027" s="4"/>
      <c r="G2027" s="4"/>
      <c r="H2027" s="4"/>
      <c r="K2027" s="4"/>
      <c r="N2027" s="4" t="s">
        <v>4118</v>
      </c>
      <c r="O2027" s="4">
        <v>145</v>
      </c>
    </row>
    <row r="2028" spans="1:15" ht="15.75" customHeight="1">
      <c r="A2028" s="4"/>
      <c r="B2028" s="4"/>
      <c r="C2028" s="4"/>
      <c r="D2028" s="4"/>
      <c r="E2028" s="4"/>
      <c r="G2028" s="4"/>
      <c r="H2028" s="4"/>
      <c r="K2028" s="4"/>
      <c r="N2028" s="4" t="s">
        <v>3294</v>
      </c>
      <c r="O2028" s="4">
        <v>844</v>
      </c>
    </row>
    <row r="2029" spans="1:15" ht="15.75" customHeight="1">
      <c r="A2029" s="4"/>
      <c r="B2029" s="4"/>
      <c r="C2029" s="4"/>
      <c r="D2029" s="4"/>
      <c r="E2029" s="4"/>
      <c r="G2029" s="4"/>
      <c r="H2029" s="4"/>
      <c r="K2029" s="4"/>
      <c r="N2029" s="4" t="s">
        <v>4123</v>
      </c>
      <c r="O2029" s="4">
        <v>284</v>
      </c>
    </row>
    <row r="2030" spans="1:15" ht="15.75" customHeight="1">
      <c r="A2030" s="4"/>
      <c r="B2030" s="4"/>
      <c r="C2030" s="4"/>
      <c r="D2030" s="4"/>
      <c r="E2030" s="4"/>
      <c r="G2030" s="4"/>
      <c r="H2030" s="4"/>
      <c r="K2030" s="4"/>
      <c r="N2030" s="4" t="s">
        <v>166</v>
      </c>
      <c r="O2030" s="4">
        <v>484</v>
      </c>
    </row>
    <row r="2031" spans="1:15" ht="15.75" customHeight="1">
      <c r="A2031" s="4"/>
      <c r="B2031" s="4"/>
      <c r="C2031" s="4"/>
      <c r="D2031" s="4"/>
      <c r="E2031" s="4"/>
      <c r="G2031" s="4"/>
      <c r="H2031" s="4"/>
      <c r="K2031" s="4"/>
      <c r="N2031" s="4" t="s">
        <v>166</v>
      </c>
      <c r="O2031" s="4">
        <v>493</v>
      </c>
    </row>
    <row r="2032" spans="1:15" ht="15.75" customHeight="1">
      <c r="A2032" s="4"/>
      <c r="B2032" s="4"/>
      <c r="C2032" s="4"/>
      <c r="D2032" s="4"/>
      <c r="E2032" s="4"/>
      <c r="G2032" s="4"/>
      <c r="H2032" s="4"/>
      <c r="I2032" s="4"/>
      <c r="K2032" s="4"/>
      <c r="N2032" s="4" t="s">
        <v>4130</v>
      </c>
      <c r="O2032" s="4">
        <v>992</v>
      </c>
    </row>
    <row r="2033" spans="1:15" ht="15.75" customHeight="1">
      <c r="A2033" s="4"/>
      <c r="B2033" s="4"/>
      <c r="C2033" s="4"/>
      <c r="D2033" s="4"/>
      <c r="E2033" s="4"/>
      <c r="G2033" s="4"/>
      <c r="H2033" s="4"/>
      <c r="K2033" s="4"/>
      <c r="N2033" s="4" t="s">
        <v>690</v>
      </c>
      <c r="O2033" s="4">
        <v>289</v>
      </c>
    </row>
    <row r="2034" spans="1:15" ht="15.75" customHeight="1">
      <c r="A2034" s="4"/>
      <c r="B2034" s="4"/>
      <c r="C2034" s="4"/>
      <c r="D2034" s="4"/>
      <c r="E2034" s="4"/>
      <c r="G2034" s="4"/>
      <c r="H2034" s="4"/>
      <c r="K2034" s="4"/>
      <c r="N2034" s="4" t="s">
        <v>4136</v>
      </c>
      <c r="O2034" s="4">
        <v>445</v>
      </c>
    </row>
    <row r="2035" spans="1:15" ht="15.75" customHeight="1">
      <c r="A2035" s="4"/>
      <c r="B2035" s="4"/>
      <c r="C2035" s="4"/>
      <c r="D2035" s="4"/>
      <c r="E2035" s="4"/>
      <c r="G2035" s="4"/>
      <c r="H2035" s="4"/>
      <c r="K2035" s="4"/>
      <c r="N2035" s="4" t="s">
        <v>255</v>
      </c>
      <c r="O2035" s="4">
        <v>417</v>
      </c>
    </row>
    <row r="2036" spans="1:15" ht="15.75" customHeight="1">
      <c r="A2036" s="4"/>
      <c r="B2036" s="4"/>
      <c r="C2036" s="4"/>
      <c r="D2036" s="4"/>
      <c r="E2036" s="4"/>
      <c r="G2036" s="4"/>
      <c r="H2036" s="4"/>
      <c r="I2036" s="4"/>
      <c r="K2036" s="4"/>
      <c r="N2036" s="4" t="s">
        <v>4141</v>
      </c>
      <c r="O2036" s="4">
        <v>375</v>
      </c>
    </row>
    <row r="2037" spans="1:15" ht="15.75" customHeight="1">
      <c r="A2037" s="4"/>
      <c r="B2037" s="4"/>
      <c r="C2037" s="4"/>
      <c r="D2037" s="4"/>
      <c r="E2037" s="4"/>
      <c r="G2037" s="4"/>
      <c r="H2037" s="4"/>
      <c r="K2037" s="4"/>
      <c r="N2037" s="4" t="s">
        <v>4145</v>
      </c>
      <c r="O2037" s="4">
        <v>275</v>
      </c>
    </row>
    <row r="2038" spans="1:15" ht="15.75" customHeight="1">
      <c r="A2038" s="4"/>
      <c r="B2038" s="4"/>
      <c r="C2038" s="4"/>
      <c r="D2038" s="4"/>
      <c r="E2038" s="4"/>
      <c r="G2038" s="4"/>
      <c r="H2038" s="4"/>
      <c r="K2038" s="4"/>
      <c r="N2038" s="4" t="s">
        <v>73</v>
      </c>
      <c r="O2038" s="4">
        <v>566</v>
      </c>
    </row>
    <row r="2039" spans="1:15" ht="15.75" customHeight="1">
      <c r="A2039" s="4"/>
      <c r="B2039" s="4"/>
      <c r="C2039" s="4"/>
      <c r="D2039" s="4"/>
      <c r="E2039" s="4"/>
      <c r="G2039" s="4"/>
      <c r="H2039" s="4"/>
      <c r="K2039" s="4"/>
      <c r="N2039" s="4" t="s">
        <v>4150</v>
      </c>
      <c r="O2039" s="4">
        <v>186</v>
      </c>
    </row>
    <row r="2040" spans="1:15" ht="15.75" customHeight="1">
      <c r="A2040" s="4"/>
      <c r="B2040" s="4"/>
      <c r="C2040" s="4"/>
      <c r="D2040" s="4"/>
      <c r="E2040" s="4"/>
      <c r="G2040" s="4"/>
      <c r="H2040" s="4"/>
      <c r="K2040" s="4"/>
    </row>
    <row r="2041" spans="1:15" ht="15.75" customHeight="1">
      <c r="A2041" s="4"/>
      <c r="B2041" s="4"/>
      <c r="C2041" s="4"/>
      <c r="D2041" s="4"/>
      <c r="E2041" s="4"/>
      <c r="G2041" s="4"/>
      <c r="H2041" s="4"/>
      <c r="K2041" s="4"/>
      <c r="N2041" s="4" t="s">
        <v>690</v>
      </c>
      <c r="O2041" s="4">
        <v>295</v>
      </c>
    </row>
    <row r="2042" spans="1:15" ht="15.75" customHeight="1">
      <c r="A2042" s="4"/>
      <c r="B2042" s="4"/>
      <c r="C2042" s="4"/>
      <c r="D2042" s="4"/>
      <c r="E2042" s="4"/>
      <c r="G2042" s="4"/>
      <c r="H2042" s="4"/>
      <c r="K2042" s="4"/>
      <c r="N2042" s="4" t="s">
        <v>4059</v>
      </c>
      <c r="O2042" s="4">
        <v>425</v>
      </c>
    </row>
    <row r="2043" spans="1:15" ht="15.75" customHeight="1">
      <c r="A2043" s="4"/>
      <c r="B2043" s="4"/>
      <c r="C2043" s="4"/>
      <c r="D2043" s="4"/>
      <c r="E2043" s="4"/>
      <c r="G2043" s="4"/>
      <c r="H2043" s="4"/>
      <c r="K2043" s="4"/>
      <c r="N2043" s="4" t="s">
        <v>4158</v>
      </c>
      <c r="O2043" s="4">
        <v>494</v>
      </c>
    </row>
    <row r="2044" spans="1:15" ht="15.75" customHeight="1">
      <c r="A2044" s="4"/>
      <c r="B2044" s="4"/>
      <c r="C2044" s="4"/>
      <c r="D2044" s="4"/>
      <c r="E2044" s="4"/>
      <c r="G2044" s="4"/>
      <c r="H2044" s="4"/>
      <c r="K2044" s="4"/>
      <c r="N2044" s="4" t="s">
        <v>4161</v>
      </c>
      <c r="O2044" s="4">
        <v>297</v>
      </c>
    </row>
    <row r="2045" spans="1:15" ht="15.75" customHeight="1">
      <c r="A2045" s="4"/>
      <c r="B2045" s="4"/>
      <c r="C2045" s="4"/>
      <c r="D2045" s="4"/>
      <c r="E2045" s="4"/>
      <c r="G2045" s="4"/>
      <c r="H2045" s="4"/>
      <c r="K2045" s="4"/>
      <c r="N2045" s="4" t="s">
        <v>4164</v>
      </c>
      <c r="O2045" s="4">
        <v>282</v>
      </c>
    </row>
    <row r="2046" spans="1:15" ht="15.75" customHeight="1">
      <c r="A2046" s="4"/>
      <c r="B2046" s="4"/>
      <c r="C2046" s="4"/>
      <c r="D2046" s="4"/>
      <c r="E2046" s="4"/>
      <c r="G2046" s="4"/>
      <c r="H2046" s="4"/>
      <c r="K2046" s="4"/>
      <c r="N2046" s="4" t="s">
        <v>4167</v>
      </c>
      <c r="O2046" s="4">
        <v>277</v>
      </c>
    </row>
    <row r="2047" spans="1:15" ht="15.75" customHeight="1">
      <c r="B2047" s="4"/>
      <c r="C2047" s="4"/>
      <c r="D2047" s="4"/>
      <c r="E2047" s="4"/>
      <c r="G2047" s="4"/>
      <c r="H2047" s="4"/>
      <c r="K2047" s="4"/>
      <c r="N2047" s="4" t="s">
        <v>4170</v>
      </c>
      <c r="O2047" s="4">
        <v>164</v>
      </c>
    </row>
    <row r="2048" spans="1:15" ht="15.75" customHeight="1">
      <c r="A2048" s="4"/>
      <c r="B2048" s="4"/>
      <c r="C2048" s="4"/>
      <c r="D2048" s="4"/>
      <c r="E2048" s="4"/>
      <c r="G2048" s="4"/>
      <c r="H2048" s="4"/>
      <c r="K2048" s="4"/>
      <c r="N2048" s="4" t="s">
        <v>4039</v>
      </c>
      <c r="O2048" s="4">
        <v>138</v>
      </c>
    </row>
    <row r="2049" spans="1:15" ht="15.75" customHeight="1">
      <c r="A2049" s="4"/>
      <c r="B2049" s="4"/>
      <c r="C2049" s="4"/>
      <c r="D2049" s="4"/>
      <c r="E2049" s="4"/>
      <c r="G2049" s="4"/>
      <c r="H2049" s="4"/>
      <c r="K2049" s="4"/>
      <c r="N2049" s="4" t="s">
        <v>1108</v>
      </c>
      <c r="O2049" s="4">
        <v>266</v>
      </c>
    </row>
    <row r="2050" spans="1:15" ht="15.75" customHeight="1">
      <c r="A2050" s="4"/>
      <c r="B2050" s="4"/>
      <c r="C2050" s="4"/>
      <c r="D2050" s="4"/>
      <c r="E2050" s="4"/>
      <c r="G2050" s="4"/>
      <c r="H2050" s="4"/>
      <c r="K2050" s="4"/>
      <c r="N2050" s="4" t="s">
        <v>4177</v>
      </c>
      <c r="O2050" s="4">
        <v>318</v>
      </c>
    </row>
    <row r="2051" spans="1:15" ht="15.75" customHeight="1">
      <c r="A2051" s="4"/>
      <c r="B2051" s="4"/>
      <c r="C2051" s="4"/>
      <c r="D2051" s="4"/>
      <c r="E2051" s="4"/>
      <c r="G2051" s="4"/>
      <c r="H2051" s="4"/>
      <c r="K2051" s="4"/>
      <c r="N2051" s="4" t="s">
        <v>4180</v>
      </c>
      <c r="O2051" s="4">
        <v>412</v>
      </c>
    </row>
    <row r="2052" spans="1:15" ht="15.75" customHeight="1">
      <c r="A2052" s="4"/>
      <c r="B2052" s="4"/>
      <c r="C2052" s="4"/>
      <c r="D2052" s="4"/>
      <c r="E2052" s="4"/>
      <c r="G2052" s="4"/>
      <c r="H2052" s="4"/>
      <c r="K2052" s="4"/>
      <c r="N2052" s="4" t="s">
        <v>2401</v>
      </c>
      <c r="O2052" s="4">
        <v>246</v>
      </c>
    </row>
    <row r="2053" spans="1:15" ht="15.75" customHeight="1">
      <c r="A2053" s="4"/>
      <c r="B2053" s="4"/>
      <c r="C2053" s="4"/>
      <c r="D2053" s="4"/>
      <c r="E2053" s="4"/>
      <c r="G2053" s="4"/>
      <c r="H2053" s="4"/>
      <c r="I2053" s="4"/>
      <c r="K2053" s="4"/>
      <c r="N2053" s="4" t="s">
        <v>4095</v>
      </c>
      <c r="O2053" s="4">
        <v>187</v>
      </c>
    </row>
    <row r="2054" spans="1:15" ht="15.75" customHeight="1">
      <c r="A2054" s="4"/>
      <c r="B2054" s="4"/>
      <c r="C2054" s="4"/>
      <c r="D2054" s="4"/>
      <c r="E2054" s="4"/>
      <c r="G2054" s="4"/>
      <c r="H2054" s="4"/>
      <c r="I2054" s="4"/>
      <c r="K2054" s="4"/>
      <c r="N2054" s="4" t="s">
        <v>4099</v>
      </c>
      <c r="O2054" s="4">
        <v>220</v>
      </c>
    </row>
    <row r="2055" spans="1:15" ht="15.75" customHeight="1">
      <c r="A2055" s="4"/>
      <c r="B2055" s="4"/>
      <c r="C2055" s="4"/>
      <c r="D2055" s="4"/>
      <c r="E2055" s="4"/>
      <c r="G2055" s="4"/>
      <c r="H2055" s="4"/>
      <c r="K2055" s="4"/>
      <c r="N2055" s="4" t="s">
        <v>3991</v>
      </c>
      <c r="O2055" s="4">
        <v>336</v>
      </c>
    </row>
    <row r="2056" spans="1:15" ht="15.75" customHeight="1">
      <c r="A2056" s="4"/>
      <c r="B2056" s="4"/>
      <c r="C2056" s="4"/>
      <c r="D2056" s="4"/>
      <c r="E2056" s="4"/>
      <c r="G2056" s="4"/>
      <c r="H2056" s="4"/>
      <c r="I2056" s="4"/>
      <c r="K2056" s="4"/>
      <c r="N2056" s="4" t="s">
        <v>3995</v>
      </c>
      <c r="O2056" s="4">
        <v>214</v>
      </c>
    </row>
    <row r="2057" spans="1:15" ht="15.75" customHeight="1">
      <c r="A2057" s="4"/>
      <c r="B2057" s="4"/>
      <c r="C2057" s="4"/>
      <c r="D2057" s="4"/>
      <c r="E2057" s="4"/>
      <c r="G2057" s="4"/>
      <c r="H2057" s="4"/>
      <c r="K2057" s="4"/>
      <c r="N2057" s="4" t="s">
        <v>4089</v>
      </c>
      <c r="O2057" s="4">
        <v>391</v>
      </c>
    </row>
    <row r="2058" spans="1:15" ht="15.75" customHeight="1">
      <c r="A2058" s="4"/>
      <c r="B2058" s="4"/>
      <c r="C2058" s="4"/>
      <c r="D2058" s="4"/>
      <c r="E2058" s="4"/>
      <c r="G2058" s="4"/>
      <c r="H2058" s="4"/>
      <c r="K2058" s="4"/>
    </row>
    <row r="2059" spans="1:15" ht="15.75" customHeight="1">
      <c r="A2059" s="4"/>
      <c r="B2059" s="4"/>
      <c r="C2059" s="4"/>
      <c r="D2059" s="4"/>
      <c r="E2059" s="4"/>
      <c r="G2059" s="4"/>
      <c r="H2059" s="4"/>
      <c r="K2059" s="4"/>
      <c r="N2059" s="4" t="s">
        <v>348</v>
      </c>
      <c r="O2059" s="4">
        <v>83</v>
      </c>
    </row>
    <row r="2060" spans="1:15" ht="15.75" customHeight="1">
      <c r="A2060" s="4"/>
      <c r="B2060" s="4"/>
      <c r="C2060" s="4"/>
      <c r="D2060" s="4"/>
      <c r="E2060" s="4"/>
      <c r="G2060" s="4"/>
      <c r="H2060" s="4"/>
      <c r="K2060" s="4"/>
      <c r="N2060" s="4" t="s">
        <v>348</v>
      </c>
      <c r="O2060" s="4">
        <v>280</v>
      </c>
    </row>
    <row r="2061" spans="1:15" ht="15.75" customHeight="1">
      <c r="A2061" s="4"/>
      <c r="B2061" s="4"/>
      <c r="C2061" s="4"/>
      <c r="D2061" s="4"/>
      <c r="E2061" s="4"/>
      <c r="G2061" s="4"/>
      <c r="H2061" s="4"/>
      <c r="K2061" s="4"/>
    </row>
    <row r="2062" spans="1:15" ht="15.75" customHeight="1">
      <c r="A2062" s="4"/>
      <c r="B2062" s="4"/>
      <c r="C2062" s="4"/>
      <c r="D2062" s="4"/>
      <c r="E2062" s="4"/>
      <c r="G2062" s="4"/>
      <c r="H2062" s="4"/>
      <c r="I2062" s="4"/>
      <c r="K2062" s="4"/>
      <c r="N2062" s="4" t="s">
        <v>4199</v>
      </c>
      <c r="O2062" s="4">
        <v>431</v>
      </c>
    </row>
    <row r="2063" spans="1:15" ht="15.75" customHeight="1">
      <c r="A2063" s="4"/>
      <c r="B2063" s="4"/>
      <c r="C2063" s="4"/>
      <c r="D2063" s="4"/>
      <c r="E2063" s="4"/>
      <c r="G2063" s="4"/>
      <c r="H2063" s="4"/>
      <c r="K2063" s="4"/>
      <c r="N2063" s="4" t="s">
        <v>4203</v>
      </c>
      <c r="O2063" s="4">
        <v>912</v>
      </c>
    </row>
    <row r="2064" spans="1:15" ht="15.75" customHeight="1">
      <c r="A2064" s="4"/>
      <c r="B2064" s="4"/>
      <c r="C2064" s="4"/>
      <c r="D2064" s="4"/>
      <c r="E2064" s="4"/>
      <c r="G2064" s="4"/>
      <c r="H2064" s="4"/>
      <c r="K2064" s="4"/>
      <c r="N2064" s="4" t="s">
        <v>4039</v>
      </c>
      <c r="O2064" s="4">
        <v>135</v>
      </c>
    </row>
    <row r="2065" spans="1:15" ht="15.75" customHeight="1">
      <c r="A2065" s="4"/>
      <c r="B2065" s="4"/>
      <c r="C2065" s="4"/>
      <c r="D2065" s="4"/>
      <c r="E2065" s="4"/>
      <c r="G2065" s="4"/>
      <c r="H2065" s="4"/>
      <c r="K2065" s="4"/>
      <c r="N2065" s="4" t="s">
        <v>2415</v>
      </c>
      <c r="O2065" s="4">
        <v>169</v>
      </c>
    </row>
    <row r="2066" spans="1:15" ht="15.75" customHeight="1">
      <c r="A2066" s="4"/>
      <c r="B2066" s="4"/>
      <c r="C2066" s="4"/>
      <c r="D2066" s="4"/>
      <c r="E2066" s="4"/>
      <c r="G2066" s="4"/>
      <c r="H2066" s="4"/>
      <c r="K2066" s="4"/>
      <c r="N2066" s="4" t="s">
        <v>1381</v>
      </c>
      <c r="O2066" s="4">
        <v>255</v>
      </c>
    </row>
    <row r="2067" spans="1:15" ht="15.75" customHeight="1">
      <c r="A2067" s="4"/>
      <c r="B2067" s="4"/>
      <c r="C2067" s="4"/>
      <c r="D2067" s="4"/>
      <c r="E2067" s="4"/>
      <c r="G2067" s="4"/>
      <c r="H2067" s="4"/>
      <c r="K2067" s="4"/>
      <c r="N2067" s="4" t="s">
        <v>4045</v>
      </c>
      <c r="O2067" s="4">
        <v>280</v>
      </c>
    </row>
    <row r="2068" spans="1:15" ht="15.75" customHeight="1">
      <c r="A2068" s="4"/>
      <c r="B2068" s="4"/>
      <c r="C2068" s="4"/>
      <c r="D2068" s="4"/>
      <c r="E2068" s="4"/>
      <c r="G2068" s="4"/>
      <c r="H2068" s="4"/>
      <c r="K2068" s="4"/>
      <c r="N2068" s="4" t="s">
        <v>3153</v>
      </c>
      <c r="O2068" s="4">
        <v>265</v>
      </c>
    </row>
    <row r="2069" spans="1:15" ht="15.75" customHeight="1">
      <c r="A2069" s="4"/>
      <c r="B2069" s="4"/>
      <c r="C2069" s="4"/>
      <c r="D2069" s="4"/>
      <c r="E2069" s="4"/>
      <c r="G2069" s="4"/>
      <c r="H2069" s="4"/>
      <c r="K2069" s="4"/>
      <c r="N2069" s="4" t="s">
        <v>4216</v>
      </c>
      <c r="O2069" s="4">
        <v>246</v>
      </c>
    </row>
    <row r="2070" spans="1:15" ht="15.75" customHeight="1">
      <c r="A2070" s="4"/>
      <c r="B2070" s="4"/>
      <c r="C2070" s="4"/>
      <c r="D2070" s="4"/>
      <c r="E2070" s="4"/>
      <c r="G2070" s="4"/>
      <c r="H2070" s="4"/>
      <c r="K2070" s="4"/>
      <c r="N2070" s="4" t="s">
        <v>51</v>
      </c>
      <c r="O2070" s="4">
        <v>165</v>
      </c>
    </row>
    <row r="2071" spans="1:15" ht="15.75" customHeight="1">
      <c r="A2071" s="4"/>
      <c r="B2071" s="4"/>
      <c r="C2071" s="4"/>
      <c r="D2071" s="4"/>
      <c r="E2071" s="4"/>
      <c r="G2071" s="4"/>
      <c r="H2071" s="4"/>
      <c r="I2071" s="4"/>
      <c r="K2071" s="4"/>
      <c r="N2071" s="4" t="s">
        <v>4221</v>
      </c>
      <c r="O2071" s="4">
        <v>468</v>
      </c>
    </row>
    <row r="2072" spans="1:15" ht="15.75" customHeight="1">
      <c r="A2072" s="4"/>
      <c r="B2072" s="4"/>
      <c r="C2072" s="4"/>
      <c r="D2072" s="4"/>
      <c r="E2072" s="4"/>
      <c r="G2072" s="4"/>
      <c r="H2072" s="4"/>
      <c r="K2072" s="4"/>
      <c r="N2072" s="4" t="s">
        <v>4225</v>
      </c>
      <c r="O2072" s="4">
        <v>311</v>
      </c>
    </row>
    <row r="2073" spans="1:15" ht="15.75" customHeight="1">
      <c r="A2073" s="4"/>
      <c r="B2073" s="4"/>
      <c r="C2073" s="4"/>
      <c r="D2073" s="4"/>
      <c r="E2073" s="4"/>
      <c r="G2073" s="4"/>
      <c r="H2073" s="4"/>
      <c r="K2073" s="4"/>
      <c r="N2073" s="4" t="s">
        <v>4228</v>
      </c>
      <c r="O2073" s="4">
        <v>374</v>
      </c>
    </row>
    <row r="2074" spans="1:15" ht="15.75" customHeight="1">
      <c r="A2074" s="4"/>
      <c r="B2074" s="4"/>
      <c r="C2074" s="4"/>
      <c r="D2074" s="4"/>
      <c r="E2074" s="4"/>
      <c r="G2074" s="4"/>
      <c r="H2074" s="4"/>
      <c r="K2074" s="4"/>
      <c r="N2074" s="4" t="s">
        <v>2667</v>
      </c>
      <c r="O2074" s="4">
        <v>259</v>
      </c>
    </row>
    <row r="2075" spans="1:15" ht="15.75" customHeight="1">
      <c r="A2075" s="4"/>
      <c r="B2075" s="4"/>
      <c r="C2075" s="4"/>
      <c r="D2075" s="4"/>
      <c r="E2075" s="4"/>
      <c r="G2075" s="4"/>
      <c r="H2075" s="4"/>
      <c r="K2075" s="4"/>
      <c r="N2075" s="4" t="s">
        <v>4233</v>
      </c>
      <c r="O2075" s="4">
        <v>284</v>
      </c>
    </row>
    <row r="2076" spans="1:15" ht="15.75" customHeight="1">
      <c r="A2076" s="4"/>
      <c r="B2076" s="4"/>
      <c r="C2076" s="4"/>
      <c r="D2076" s="4"/>
      <c r="E2076" s="4"/>
      <c r="G2076" s="4"/>
      <c r="H2076" s="4"/>
      <c r="K2076" s="4"/>
      <c r="N2076" s="4" t="s">
        <v>4236</v>
      </c>
      <c r="O2076" s="4">
        <v>495</v>
      </c>
    </row>
    <row r="2077" spans="1:15" ht="15.75" customHeight="1">
      <c r="A2077" s="4"/>
      <c r="B2077" s="4"/>
      <c r="C2077" s="4"/>
      <c r="D2077" s="4"/>
      <c r="E2077" s="4"/>
      <c r="G2077" s="4"/>
      <c r="H2077" s="4"/>
      <c r="K2077" s="4"/>
      <c r="N2077" s="4" t="s">
        <v>4045</v>
      </c>
      <c r="O2077" s="4">
        <v>278</v>
      </c>
    </row>
    <row r="2078" spans="1:15" ht="15.75" customHeight="1">
      <c r="B2078" s="4"/>
      <c r="C2078" s="4"/>
      <c r="D2078" s="4"/>
      <c r="E2078" s="4"/>
      <c r="G2078" s="4"/>
      <c r="H2078" s="4"/>
      <c r="K2078" s="4"/>
      <c r="N2078" s="4" t="s">
        <v>1381</v>
      </c>
      <c r="O2078" s="4">
        <v>274</v>
      </c>
    </row>
    <row r="2079" spans="1:15" ht="15.75" customHeight="1">
      <c r="A2079" s="4"/>
      <c r="B2079" s="4"/>
      <c r="C2079" s="4"/>
      <c r="D2079" s="4"/>
      <c r="E2079" s="4"/>
      <c r="G2079" s="4"/>
      <c r="H2079" s="4"/>
      <c r="K2079" s="4"/>
      <c r="N2079" s="4" t="s">
        <v>3085</v>
      </c>
      <c r="O2079" s="4">
        <v>327</v>
      </c>
    </row>
    <row r="2080" spans="1:15" ht="15.75" customHeight="1">
      <c r="A2080" s="4"/>
      <c r="B2080" s="4"/>
      <c r="C2080" s="4"/>
      <c r="D2080" s="4"/>
      <c r="E2080" s="4"/>
      <c r="G2080" s="4"/>
      <c r="H2080" s="4"/>
      <c r="K2080" s="4"/>
      <c r="N2080" s="4" t="s">
        <v>56</v>
      </c>
      <c r="O2080" s="4">
        <v>236</v>
      </c>
    </row>
    <row r="2081" spans="1:15" ht="15.75" customHeight="1">
      <c r="A2081" s="4"/>
      <c r="B2081" s="4"/>
      <c r="C2081" s="4"/>
      <c r="D2081" s="4"/>
      <c r="E2081" s="4"/>
      <c r="G2081" s="4"/>
      <c r="H2081" s="4"/>
      <c r="K2081" s="4"/>
      <c r="N2081" s="4" t="s">
        <v>2472</v>
      </c>
      <c r="O2081" s="4">
        <v>280</v>
      </c>
    </row>
    <row r="2082" spans="1:15" ht="15.75" customHeight="1">
      <c r="A2082" s="4"/>
      <c r="B2082" s="4"/>
      <c r="C2082" s="4"/>
      <c r="D2082" s="4"/>
      <c r="E2082" s="4"/>
      <c r="G2082" s="4"/>
      <c r="H2082" s="4"/>
      <c r="K2082" s="4"/>
      <c r="N2082" s="4" t="s">
        <v>779</v>
      </c>
      <c r="O2082" s="4">
        <v>471</v>
      </c>
    </row>
    <row r="2083" spans="1:15" ht="15.75" customHeight="1">
      <c r="A2083" s="4"/>
      <c r="B2083" s="4"/>
      <c r="C2083" s="4"/>
      <c r="D2083" s="4"/>
      <c r="E2083" s="4"/>
      <c r="G2083" s="4"/>
      <c r="H2083" s="4"/>
      <c r="K2083" s="4"/>
      <c r="N2083" s="4" t="s">
        <v>4250</v>
      </c>
      <c r="O2083" s="4">
        <v>213</v>
      </c>
    </row>
    <row r="2084" spans="1:15" ht="15.75" customHeight="1">
      <c r="A2084" s="4"/>
      <c r="B2084" s="4"/>
      <c r="C2084" s="4"/>
      <c r="D2084" s="4"/>
      <c r="E2084" s="4"/>
      <c r="G2084" s="4"/>
      <c r="H2084" s="4"/>
      <c r="K2084" s="4"/>
      <c r="N2084" s="4" t="s">
        <v>4161</v>
      </c>
      <c r="O2084" s="4">
        <v>286</v>
      </c>
    </row>
    <row r="2085" spans="1:15" ht="15.75" customHeight="1">
      <c r="A2085" s="4"/>
      <c r="B2085" s="4"/>
      <c r="C2085" s="4"/>
      <c r="D2085" s="4"/>
      <c r="E2085" s="4"/>
      <c r="G2085" s="4"/>
      <c r="H2085" s="4"/>
      <c r="K2085" s="4"/>
      <c r="N2085" s="4" t="s">
        <v>56</v>
      </c>
      <c r="O2085" s="4">
        <v>140</v>
      </c>
    </row>
    <row r="2086" spans="1:15" ht="15.75" customHeight="1">
      <c r="A2086" s="4"/>
      <c r="B2086" s="4"/>
      <c r="C2086" s="4"/>
      <c r="D2086" s="4"/>
      <c r="E2086" s="4"/>
      <c r="G2086" s="4"/>
      <c r="H2086" s="4"/>
      <c r="K2086" s="4"/>
      <c r="N2086" s="4" t="s">
        <v>1381</v>
      </c>
      <c r="O2086" s="4">
        <v>428</v>
      </c>
    </row>
    <row r="2087" spans="1:15" ht="15.75" customHeight="1">
      <c r="A2087" s="4"/>
      <c r="B2087" s="4"/>
      <c r="C2087" s="4"/>
      <c r="D2087" s="4"/>
      <c r="E2087" s="4"/>
      <c r="G2087" s="4"/>
      <c r="H2087" s="4"/>
      <c r="K2087" s="4"/>
      <c r="N2087" s="4" t="s">
        <v>2415</v>
      </c>
      <c r="O2087" s="4">
        <v>103</v>
      </c>
    </row>
    <row r="2088" spans="1:15" ht="15.75" customHeight="1">
      <c r="A2088" s="4"/>
      <c r="B2088" s="4"/>
      <c r="C2088" s="4"/>
      <c r="D2088" s="4"/>
      <c r="E2088" s="4"/>
      <c r="G2088" s="4"/>
      <c r="H2088" s="4"/>
      <c r="K2088" s="4"/>
      <c r="N2088" s="4" t="s">
        <v>3925</v>
      </c>
      <c r="O2088" s="4">
        <v>698</v>
      </c>
    </row>
    <row r="2089" spans="1:15" ht="15.75" customHeight="1">
      <c r="A2089" s="4"/>
      <c r="B2089" s="4"/>
      <c r="C2089" s="4"/>
      <c r="D2089" s="4"/>
      <c r="E2089" s="4"/>
      <c r="G2089" s="4"/>
      <c r="H2089" s="4"/>
      <c r="K2089" s="4"/>
      <c r="N2089" s="4" t="s">
        <v>4263</v>
      </c>
      <c r="O2089" s="4">
        <v>508</v>
      </c>
    </row>
    <row r="2090" spans="1:15" ht="15.75" customHeight="1">
      <c r="A2090" s="4"/>
      <c r="B2090" s="4"/>
      <c r="C2090" s="4"/>
      <c r="D2090" s="4"/>
      <c r="E2090" s="4"/>
      <c r="G2090" s="4"/>
      <c r="H2090" s="4"/>
      <c r="K2090" s="4"/>
      <c r="N2090" s="4" t="s">
        <v>56</v>
      </c>
      <c r="O2090" s="4">
        <v>262</v>
      </c>
    </row>
    <row r="2091" spans="1:15" ht="15.75" customHeight="1">
      <c r="A2091" s="4"/>
      <c r="B2091" s="4"/>
      <c r="C2091" s="4"/>
      <c r="D2091" s="4"/>
      <c r="E2091" s="4"/>
      <c r="G2091" s="4"/>
      <c r="H2091" s="4"/>
      <c r="K2091" s="4"/>
      <c r="N2091" s="4" t="s">
        <v>56</v>
      </c>
      <c r="O2091" s="4">
        <v>226</v>
      </c>
    </row>
    <row r="2092" spans="1:15" ht="15.75" customHeight="1">
      <c r="A2092" s="4"/>
      <c r="B2092" s="4"/>
      <c r="C2092" s="4"/>
      <c r="D2092" s="4"/>
      <c r="E2092" s="4"/>
      <c r="G2092" s="4"/>
      <c r="H2092" s="4"/>
      <c r="K2092" s="4"/>
      <c r="N2092" s="4" t="s">
        <v>56</v>
      </c>
      <c r="O2092" s="4">
        <v>241</v>
      </c>
    </row>
    <row r="2093" spans="1:15" ht="15.75" customHeight="1">
      <c r="A2093" s="4"/>
      <c r="B2093" s="4"/>
      <c r="C2093" s="4"/>
      <c r="D2093" s="4"/>
      <c r="E2093" s="4"/>
      <c r="G2093" s="4"/>
      <c r="H2093" s="4"/>
      <c r="K2093" s="4"/>
      <c r="N2093" s="4" t="s">
        <v>2499</v>
      </c>
      <c r="O2093" s="4">
        <v>211</v>
      </c>
    </row>
    <row r="2094" spans="1:15" ht="15.75" customHeight="1">
      <c r="A2094" s="4"/>
      <c r="B2094" s="4"/>
      <c r="C2094" s="4"/>
      <c r="D2094" s="4"/>
      <c r="E2094" s="4"/>
      <c r="G2094" s="4"/>
      <c r="H2094" s="4"/>
      <c r="K2094" s="4"/>
      <c r="N2094" s="4" t="s">
        <v>56</v>
      </c>
      <c r="O2094" s="4">
        <v>174</v>
      </c>
    </row>
    <row r="2095" spans="1:15" ht="15.75" customHeight="1">
      <c r="A2095" s="4"/>
      <c r="B2095" s="4"/>
      <c r="C2095" s="4"/>
      <c r="D2095" s="4"/>
      <c r="E2095" s="4"/>
      <c r="G2095" s="4"/>
      <c r="H2095" s="4"/>
      <c r="K2095" s="4"/>
      <c r="N2095" s="4" t="s">
        <v>281</v>
      </c>
      <c r="O2095" s="4">
        <v>129</v>
      </c>
    </row>
    <row r="2096" spans="1:15" ht="15.75" customHeight="1">
      <c r="A2096" s="4"/>
      <c r="B2096" s="4"/>
      <c r="C2096" s="4"/>
      <c r="D2096" s="4"/>
      <c r="E2096" s="4"/>
      <c r="G2096" s="4"/>
      <c r="H2096" s="4"/>
      <c r="K2096" s="4"/>
      <c r="N2096" s="4" t="s">
        <v>2049</v>
      </c>
      <c r="O2096" s="4">
        <v>228</v>
      </c>
    </row>
    <row r="2097" spans="1:15" ht="15.75" customHeight="1">
      <c r="A2097" s="4"/>
      <c r="B2097" s="4"/>
      <c r="C2097" s="4"/>
      <c r="D2097" s="4"/>
      <c r="E2097" s="4"/>
      <c r="G2097" s="4"/>
      <c r="H2097" s="4"/>
      <c r="K2097" s="4"/>
      <c r="N2097" s="4" t="s">
        <v>2049</v>
      </c>
      <c r="O2097" s="4">
        <v>229</v>
      </c>
    </row>
    <row r="2098" spans="1:15" ht="15.75" customHeight="1">
      <c r="A2098" s="4"/>
      <c r="B2098" s="4"/>
      <c r="C2098" s="4"/>
      <c r="D2098" s="4"/>
      <c r="E2098" s="4"/>
      <c r="G2098" s="4"/>
      <c r="H2098" s="4"/>
      <c r="K2098" s="4"/>
      <c r="N2098" s="4" t="s">
        <v>674</v>
      </c>
      <c r="O2098" s="4">
        <v>306</v>
      </c>
    </row>
    <row r="2099" spans="1:15" ht="15.75" customHeight="1">
      <c r="A2099" s="4"/>
      <c r="B2099" s="4"/>
      <c r="C2099" s="4"/>
      <c r="D2099" s="4"/>
      <c r="E2099" s="4"/>
      <c r="G2099" s="4"/>
      <c r="H2099" s="4"/>
      <c r="K2099" s="4"/>
      <c r="N2099" s="4" t="s">
        <v>56</v>
      </c>
      <c r="O2099" s="4">
        <v>65</v>
      </c>
    </row>
    <row r="2100" spans="1:15" ht="15.75" customHeight="1">
      <c r="A2100" s="4"/>
      <c r="B2100" s="4"/>
      <c r="C2100" s="4"/>
      <c r="D2100" s="4"/>
      <c r="E2100" s="4"/>
      <c r="G2100" s="4"/>
      <c r="H2100" s="4"/>
      <c r="K2100" s="4"/>
      <c r="N2100" s="4" t="s">
        <v>56</v>
      </c>
      <c r="O2100" s="4">
        <v>71</v>
      </c>
    </row>
    <row r="2101" spans="1:15" ht="15.75" customHeight="1">
      <c r="A2101" s="4"/>
      <c r="B2101" s="4"/>
      <c r="C2101" s="4"/>
      <c r="D2101" s="4"/>
      <c r="E2101" s="4"/>
      <c r="G2101" s="4"/>
      <c r="H2101" s="4"/>
      <c r="K2101" s="4"/>
      <c r="N2101" s="4" t="s">
        <v>56</v>
      </c>
      <c r="O2101" s="4">
        <v>187</v>
      </c>
    </row>
    <row r="2102" spans="1:15" ht="15.75" customHeight="1">
      <c r="A2102" s="4"/>
      <c r="B2102" s="4"/>
      <c r="C2102" s="4"/>
      <c r="D2102" s="4"/>
      <c r="E2102" s="4"/>
      <c r="G2102" s="4"/>
      <c r="H2102" s="4"/>
      <c r="K2102" s="4"/>
      <c r="N2102" s="4" t="s">
        <v>3132</v>
      </c>
      <c r="O2102" s="4">
        <v>144</v>
      </c>
    </row>
    <row r="2103" spans="1:15" ht="15.75" customHeight="1">
      <c r="A2103" s="4"/>
      <c r="B2103" s="4"/>
      <c r="C2103" s="4"/>
      <c r="D2103" s="4"/>
      <c r="E2103" s="4"/>
      <c r="G2103" s="4"/>
      <c r="H2103" s="4"/>
      <c r="K2103" s="4"/>
      <c r="N2103" s="4" t="s">
        <v>255</v>
      </c>
      <c r="O2103" s="4">
        <v>460</v>
      </c>
    </row>
    <row r="2104" spans="1:15" ht="15.75" customHeight="1">
      <c r="A2104" s="4"/>
      <c r="B2104" s="4"/>
      <c r="C2104" s="4"/>
      <c r="D2104" s="4"/>
      <c r="E2104" s="4"/>
      <c r="G2104" s="4"/>
      <c r="H2104" s="4"/>
      <c r="K2104" s="4"/>
      <c r="N2104" s="4" t="s">
        <v>875</v>
      </c>
      <c r="O2104" s="4">
        <v>663</v>
      </c>
    </row>
    <row r="2105" spans="1:15" ht="15.75" customHeight="1">
      <c r="A2105" s="4"/>
      <c r="B2105" s="4"/>
      <c r="C2105" s="4"/>
      <c r="D2105" s="4"/>
      <c r="E2105" s="4"/>
      <c r="G2105" s="4"/>
      <c r="H2105" s="4"/>
      <c r="K2105" s="4"/>
      <c r="N2105" s="4" t="s">
        <v>4295</v>
      </c>
      <c r="O2105" s="4">
        <v>85</v>
      </c>
    </row>
    <row r="2106" spans="1:15" ht="15.75" customHeight="1">
      <c r="A2106" s="4"/>
      <c r="B2106" s="4"/>
      <c r="C2106" s="4"/>
      <c r="D2106" s="4"/>
      <c r="E2106" s="4"/>
      <c r="G2106" s="4"/>
      <c r="H2106" s="4"/>
      <c r="I2106" s="4"/>
      <c r="K2106" s="4"/>
      <c r="N2106" s="4" t="s">
        <v>4298</v>
      </c>
      <c r="O2106" s="4">
        <v>309</v>
      </c>
    </row>
    <row r="2107" spans="1:15" ht="15.75" customHeight="1">
      <c r="A2107" s="4"/>
      <c r="B2107" s="4"/>
      <c r="C2107" s="4"/>
      <c r="D2107" s="4"/>
      <c r="E2107" s="4"/>
      <c r="G2107" s="4"/>
      <c r="H2107" s="4"/>
      <c r="K2107" s="4"/>
      <c r="N2107" s="4" t="s">
        <v>4302</v>
      </c>
      <c r="O2107" s="4">
        <v>319</v>
      </c>
    </row>
    <row r="2108" spans="1:15" ht="15.75" customHeight="1">
      <c r="A2108" s="4"/>
      <c r="B2108" s="4"/>
      <c r="C2108" s="4"/>
      <c r="D2108" s="4"/>
      <c r="E2108" s="4"/>
      <c r="G2108" s="4"/>
      <c r="H2108" s="4"/>
      <c r="I2108" s="4"/>
      <c r="K2108" s="4"/>
      <c r="N2108" s="4" t="s">
        <v>4305</v>
      </c>
      <c r="O2108" s="4">
        <v>326</v>
      </c>
    </row>
    <row r="2109" spans="1:15" ht="15.75" customHeight="1">
      <c r="A2109" s="4"/>
      <c r="B2109" s="4"/>
      <c r="C2109" s="4"/>
      <c r="D2109" s="4"/>
      <c r="E2109" s="4"/>
      <c r="G2109" s="4"/>
      <c r="H2109" s="4"/>
      <c r="K2109" s="4"/>
      <c r="N2109" s="4" t="s">
        <v>4309</v>
      </c>
      <c r="O2109" s="4">
        <v>500</v>
      </c>
    </row>
    <row r="2110" spans="1:15" ht="15.75" customHeight="1">
      <c r="A2110" s="4"/>
      <c r="B2110" s="4"/>
      <c r="C2110" s="4"/>
      <c r="D2110" s="4"/>
      <c r="E2110" s="4"/>
      <c r="G2110" s="4"/>
      <c r="H2110" s="4"/>
      <c r="I2110" s="4"/>
      <c r="K2110" s="4"/>
      <c r="N2110" s="4" t="s">
        <v>4312</v>
      </c>
      <c r="O2110" s="4">
        <v>130</v>
      </c>
    </row>
    <row r="2111" spans="1:15" ht="15.75" customHeight="1">
      <c r="A2111" s="4"/>
      <c r="B2111" s="4"/>
      <c r="C2111" s="4"/>
      <c r="D2111" s="4"/>
      <c r="E2111" s="4"/>
      <c r="G2111" s="4"/>
      <c r="H2111" s="4"/>
      <c r="I2111" s="4"/>
      <c r="K2111" s="4"/>
      <c r="N2111" s="4" t="s">
        <v>4316</v>
      </c>
      <c r="O2111" s="4">
        <v>335</v>
      </c>
    </row>
    <row r="2112" spans="1:15" ht="15.75" customHeight="1">
      <c r="A2112" s="4"/>
      <c r="B2112" s="4"/>
      <c r="C2112" s="4"/>
      <c r="D2112" s="4"/>
      <c r="E2112" s="4"/>
      <c r="G2112" s="4"/>
      <c r="H2112" s="4"/>
      <c r="K2112" s="4"/>
      <c r="N2112" s="4" t="s">
        <v>56</v>
      </c>
      <c r="O2112" s="4">
        <v>81</v>
      </c>
    </row>
    <row r="2113" spans="1:15" ht="15.75" customHeight="1">
      <c r="A2113" s="4"/>
      <c r="B2113" s="4"/>
      <c r="C2113" s="4"/>
      <c r="D2113" s="4"/>
      <c r="E2113" s="4"/>
      <c r="G2113" s="4"/>
      <c r="H2113" s="4"/>
      <c r="K2113" s="4"/>
      <c r="N2113" s="4" t="s">
        <v>2780</v>
      </c>
      <c r="O2113" s="4">
        <v>482</v>
      </c>
    </row>
    <row r="2114" spans="1:15" ht="15.75" customHeight="1">
      <c r="A2114" s="4"/>
      <c r="B2114" s="4"/>
      <c r="C2114" s="4"/>
      <c r="D2114" s="4"/>
      <c r="E2114" s="4"/>
      <c r="G2114" s="4"/>
      <c r="H2114" s="4"/>
      <c r="I2114" s="4"/>
      <c r="K2114" s="4"/>
      <c r="N2114" s="4" t="s">
        <v>4324</v>
      </c>
      <c r="O2114" s="4">
        <v>275</v>
      </c>
    </row>
    <row r="2115" spans="1:15" ht="15.75" customHeight="1">
      <c r="B2115" s="4"/>
      <c r="C2115" s="4"/>
      <c r="D2115" s="4"/>
      <c r="E2115" s="4"/>
      <c r="G2115" s="4"/>
      <c r="H2115" s="4"/>
      <c r="I2115" s="4"/>
      <c r="K2115" s="4"/>
      <c r="N2115" s="4" t="s">
        <v>4328</v>
      </c>
      <c r="O2115" s="4">
        <v>213</v>
      </c>
    </row>
    <row r="2116" spans="1:15" ht="15.75" customHeight="1">
      <c r="A2116" s="4"/>
      <c r="B2116" s="4"/>
      <c r="C2116" s="4"/>
      <c r="D2116" s="4"/>
      <c r="E2116" s="4"/>
      <c r="G2116" s="4"/>
      <c r="H2116" s="4"/>
      <c r="K2116" s="4"/>
      <c r="N2116" s="4" t="s">
        <v>4332</v>
      </c>
      <c r="O2116" s="4">
        <v>280</v>
      </c>
    </row>
    <row r="2117" spans="1:15" ht="15.75" customHeight="1">
      <c r="A2117" s="4"/>
      <c r="B2117" s="4"/>
      <c r="C2117" s="4"/>
      <c r="D2117" s="4"/>
      <c r="E2117" s="4"/>
      <c r="G2117" s="4"/>
      <c r="H2117" s="4"/>
      <c r="I2117" s="4"/>
      <c r="K2117" s="4"/>
      <c r="N2117" s="4" t="s">
        <v>4335</v>
      </c>
      <c r="O2117" s="4">
        <v>166</v>
      </c>
    </row>
    <row r="2118" spans="1:15" ht="15.75" customHeight="1">
      <c r="A2118" s="4"/>
      <c r="B2118" s="4"/>
      <c r="C2118" s="4"/>
      <c r="D2118" s="4"/>
      <c r="E2118" s="4"/>
      <c r="G2118" s="4"/>
      <c r="H2118" s="4"/>
      <c r="I2118" s="4"/>
      <c r="K2118" s="4"/>
      <c r="N2118" s="4" t="s">
        <v>4339</v>
      </c>
      <c r="O2118" s="4">
        <v>230</v>
      </c>
    </row>
    <row r="2119" spans="1:15" ht="15.75" customHeight="1">
      <c r="A2119" s="4"/>
      <c r="B2119" s="4"/>
      <c r="C2119" s="4"/>
      <c r="D2119" s="4"/>
      <c r="E2119" s="4"/>
      <c r="G2119" s="4"/>
      <c r="H2119" s="4"/>
      <c r="K2119" s="4"/>
      <c r="N2119" s="4" t="s">
        <v>4343</v>
      </c>
      <c r="O2119" s="4">
        <v>215</v>
      </c>
    </row>
    <row r="2120" spans="1:15" ht="15.75" customHeight="1">
      <c r="A2120" s="4"/>
      <c r="B2120" s="4"/>
      <c r="C2120" s="4"/>
      <c r="D2120" s="4"/>
      <c r="E2120" s="4"/>
      <c r="G2120" s="4"/>
      <c r="H2120" s="4"/>
      <c r="K2120" s="4"/>
      <c r="N2120" s="4" t="s">
        <v>73</v>
      </c>
      <c r="O2120" s="4">
        <v>447</v>
      </c>
    </row>
    <row r="2121" spans="1:15" ht="15.75" customHeight="1">
      <c r="A2121" s="4"/>
      <c r="B2121" s="4"/>
      <c r="C2121" s="4"/>
      <c r="D2121" s="4"/>
      <c r="E2121" s="4"/>
      <c r="G2121" s="4"/>
      <c r="H2121" s="4"/>
      <c r="K2121" s="4"/>
      <c r="N2121" s="4" t="s">
        <v>1167</v>
      </c>
      <c r="O2121" s="4">
        <v>188</v>
      </c>
    </row>
    <row r="2122" spans="1:15" ht="15.75" customHeight="1">
      <c r="A2122" s="4"/>
      <c r="B2122" s="4"/>
      <c r="C2122" s="4"/>
      <c r="D2122" s="4"/>
      <c r="E2122" s="4"/>
      <c r="G2122" s="4"/>
      <c r="H2122" s="4"/>
      <c r="K2122" s="4"/>
      <c r="N2122" s="4" t="s">
        <v>56</v>
      </c>
      <c r="O2122" s="4">
        <v>82</v>
      </c>
    </row>
    <row r="2123" spans="1:15" ht="15.75" customHeight="1">
      <c r="B2123" s="4"/>
      <c r="C2123" s="4"/>
      <c r="D2123" s="4"/>
      <c r="E2123" s="4"/>
      <c r="G2123" s="4"/>
      <c r="H2123" s="4"/>
      <c r="K2123" s="4"/>
      <c r="N2123" s="4" t="s">
        <v>51</v>
      </c>
      <c r="O2123" s="4">
        <v>213</v>
      </c>
    </row>
    <row r="2124" spans="1:15" ht="15.75" customHeight="1">
      <c r="A2124" s="4"/>
      <c r="B2124" s="4"/>
      <c r="C2124" s="4"/>
      <c r="D2124" s="4"/>
      <c r="E2124" s="4"/>
      <c r="G2124" s="4"/>
      <c r="H2124" s="4"/>
      <c r="K2124" s="4"/>
      <c r="N2124" s="4" t="s">
        <v>678</v>
      </c>
      <c r="O2124" s="4">
        <v>546</v>
      </c>
    </row>
    <row r="2125" spans="1:15" ht="15.75" customHeight="1">
      <c r="A2125" s="4"/>
      <c r="B2125" s="4"/>
      <c r="C2125" s="4"/>
      <c r="D2125" s="4"/>
      <c r="E2125" s="4"/>
      <c r="G2125" s="4"/>
      <c r="H2125" s="4"/>
      <c r="I2125" s="4"/>
      <c r="K2125" s="4"/>
      <c r="N2125" s="4" t="s">
        <v>4356</v>
      </c>
      <c r="O2125" s="4">
        <v>415</v>
      </c>
    </row>
    <row r="2126" spans="1:15" ht="15.75" customHeight="1">
      <c r="A2126" s="4"/>
      <c r="B2126" s="4"/>
      <c r="C2126" s="4"/>
      <c r="D2126" s="4"/>
      <c r="E2126" s="4"/>
      <c r="G2126" s="4"/>
      <c r="H2126" s="4"/>
      <c r="K2126" s="4"/>
    </row>
    <row r="2127" spans="1:15" ht="15.75" customHeight="1">
      <c r="A2127" s="4"/>
      <c r="B2127" s="4"/>
      <c r="C2127" s="4"/>
      <c r="D2127" s="4"/>
      <c r="E2127" s="4"/>
      <c r="G2127" s="4"/>
      <c r="H2127" s="4"/>
      <c r="K2127" s="4"/>
      <c r="N2127" s="4" t="s">
        <v>779</v>
      </c>
      <c r="O2127" s="4">
        <v>471</v>
      </c>
    </row>
    <row r="2128" spans="1:15" ht="15.75" customHeight="1">
      <c r="A2128" s="4"/>
      <c r="B2128" s="4"/>
      <c r="C2128" s="4"/>
      <c r="D2128" s="4"/>
      <c r="E2128" s="4"/>
      <c r="G2128" s="4"/>
      <c r="H2128" s="4"/>
      <c r="K2128" s="4"/>
    </row>
    <row r="2129" spans="1:15" ht="15.75" customHeight="1">
      <c r="A2129" s="4"/>
      <c r="B2129" s="4"/>
      <c r="C2129" s="4"/>
      <c r="D2129" s="4"/>
      <c r="E2129" s="4"/>
      <c r="G2129" s="4"/>
      <c r="H2129" s="4"/>
      <c r="K2129" s="4"/>
      <c r="N2129" s="4" t="s">
        <v>4136</v>
      </c>
      <c r="O2129" s="4">
        <v>346</v>
      </c>
    </row>
    <row r="2130" spans="1:15" ht="15.75" customHeight="1">
      <c r="A2130" s="4"/>
      <c r="B2130" s="4"/>
      <c r="C2130" s="4"/>
      <c r="D2130" s="4"/>
      <c r="E2130" s="4"/>
      <c r="G2130" s="4"/>
      <c r="H2130" s="4"/>
      <c r="K2130" s="4"/>
      <c r="N2130" s="4" t="s">
        <v>295</v>
      </c>
      <c r="O2130" s="4">
        <v>110</v>
      </c>
    </row>
    <row r="2131" spans="1:15" ht="15.75" customHeight="1">
      <c r="A2131" s="4"/>
      <c r="B2131" s="4"/>
      <c r="C2131" s="4"/>
      <c r="D2131" s="4"/>
      <c r="E2131" s="4"/>
      <c r="G2131" s="4"/>
      <c r="H2131" s="4"/>
      <c r="K2131" s="4"/>
      <c r="N2131" s="4" t="s">
        <v>2415</v>
      </c>
      <c r="O2131" s="4">
        <v>112</v>
      </c>
    </row>
    <row r="2132" spans="1:15" ht="15.75" customHeight="1">
      <c r="A2132" s="4"/>
      <c r="B2132" s="4"/>
      <c r="C2132" s="4"/>
      <c r="D2132" s="4"/>
      <c r="E2132" s="4"/>
      <c r="G2132" s="4"/>
      <c r="H2132" s="4"/>
      <c r="K2132" s="4"/>
      <c r="N2132" s="4" t="s">
        <v>1381</v>
      </c>
      <c r="O2132" s="4">
        <v>452</v>
      </c>
    </row>
    <row r="2133" spans="1:15" ht="15.75" customHeight="1">
      <c r="B2133" s="4"/>
      <c r="C2133" s="4"/>
      <c r="D2133" s="4"/>
      <c r="E2133" s="4"/>
      <c r="G2133" s="4"/>
      <c r="H2133" s="4"/>
      <c r="K2133" s="4"/>
      <c r="N2133" s="4" t="s">
        <v>4371</v>
      </c>
      <c r="O2133" s="4">
        <v>359</v>
      </c>
    </row>
    <row r="2134" spans="1:15" ht="15.75" customHeight="1">
      <c r="A2134" s="4"/>
      <c r="B2134" s="4"/>
      <c r="C2134" s="4"/>
      <c r="D2134" s="4"/>
      <c r="E2134" s="4"/>
      <c r="G2134" s="4"/>
      <c r="H2134" s="4"/>
      <c r="K2134" s="4"/>
      <c r="N2134" s="4" t="s">
        <v>4374</v>
      </c>
      <c r="O2134" s="4">
        <v>400</v>
      </c>
    </row>
    <row r="2135" spans="1:15" ht="15.75" customHeight="1">
      <c r="A2135" s="4"/>
      <c r="B2135" s="4"/>
      <c r="C2135" s="4"/>
      <c r="D2135" s="4"/>
      <c r="E2135" s="4"/>
      <c r="G2135" s="4"/>
      <c r="H2135" s="4"/>
      <c r="K2135" s="4"/>
      <c r="N2135" s="4" t="s">
        <v>4377</v>
      </c>
      <c r="O2135" s="4">
        <v>413</v>
      </c>
    </row>
    <row r="2136" spans="1:15" ht="15.75" customHeight="1">
      <c r="A2136" s="4"/>
      <c r="B2136" s="4"/>
      <c r="C2136" s="4"/>
      <c r="D2136" s="4"/>
      <c r="E2136" s="4"/>
      <c r="G2136" s="4"/>
      <c r="H2136" s="4"/>
      <c r="K2136" s="4"/>
      <c r="N2136" s="4" t="s">
        <v>4039</v>
      </c>
      <c r="O2136" s="4">
        <v>126</v>
      </c>
    </row>
    <row r="2137" spans="1:15" ht="15.75" customHeight="1">
      <c r="A2137" s="4"/>
      <c r="B2137" s="4"/>
      <c r="C2137" s="4"/>
      <c r="D2137" s="4"/>
      <c r="E2137" s="4"/>
      <c r="G2137" s="4"/>
      <c r="H2137" s="4"/>
      <c r="K2137" s="4"/>
      <c r="N2137" s="4" t="s">
        <v>4045</v>
      </c>
      <c r="O2137" s="4">
        <v>273</v>
      </c>
    </row>
    <row r="2138" spans="1:15" ht="15.75" customHeight="1">
      <c r="A2138" s="4"/>
      <c r="B2138" s="4"/>
      <c r="C2138" s="4"/>
      <c r="D2138" s="4"/>
      <c r="E2138" s="4"/>
      <c r="G2138" s="4"/>
      <c r="H2138" s="4"/>
      <c r="K2138" s="4"/>
      <c r="N2138" s="4" t="s">
        <v>1381</v>
      </c>
      <c r="O2138" s="4">
        <v>305</v>
      </c>
    </row>
    <row r="2139" spans="1:15" ht="15.75" customHeight="1">
      <c r="A2139" s="4"/>
      <c r="B2139" s="4"/>
      <c r="C2139" s="4"/>
      <c r="D2139" s="4"/>
      <c r="E2139" s="4"/>
      <c r="G2139" s="4"/>
      <c r="H2139" s="4"/>
      <c r="K2139" s="4"/>
      <c r="N2139" s="4" t="s">
        <v>2415</v>
      </c>
      <c r="O2139" s="4">
        <v>160</v>
      </c>
    </row>
    <row r="2140" spans="1:15" ht="15.75" customHeight="1">
      <c r="A2140" s="4"/>
      <c r="B2140" s="4"/>
      <c r="C2140" s="4"/>
      <c r="D2140" s="4"/>
      <c r="E2140" s="4"/>
      <c r="G2140" s="4"/>
      <c r="H2140" s="4"/>
      <c r="K2140" s="4"/>
      <c r="N2140" s="4" t="s">
        <v>4388</v>
      </c>
      <c r="O2140" s="4">
        <v>598</v>
      </c>
    </row>
    <row r="2141" spans="1:15" ht="15.75" customHeight="1">
      <c r="A2141" s="4"/>
      <c r="B2141" s="4"/>
      <c r="C2141" s="4"/>
      <c r="D2141" s="4"/>
      <c r="E2141" s="4"/>
      <c r="G2141" s="4"/>
      <c r="H2141" s="4"/>
      <c r="I2141" s="4"/>
      <c r="K2141" s="4"/>
      <c r="N2141" s="4" t="s">
        <v>2480</v>
      </c>
      <c r="O2141" s="4">
        <v>386</v>
      </c>
    </row>
    <row r="2142" spans="1:15" ht="15.75" customHeight="1">
      <c r="A2142" s="4"/>
      <c r="B2142" s="4"/>
      <c r="C2142" s="4"/>
      <c r="D2142" s="4"/>
      <c r="E2142" s="4"/>
      <c r="G2142" s="4"/>
      <c r="H2142" s="4"/>
      <c r="K2142" s="4"/>
      <c r="N2142" s="4" t="s">
        <v>4393</v>
      </c>
      <c r="O2142" s="4">
        <v>393</v>
      </c>
    </row>
    <row r="2143" spans="1:15" ht="15.75" customHeight="1">
      <c r="A2143" s="4"/>
      <c r="B2143" s="4"/>
      <c r="C2143" s="4"/>
      <c r="D2143" s="4"/>
      <c r="E2143" s="4"/>
      <c r="G2143" s="4"/>
      <c r="H2143" s="4"/>
      <c r="K2143" s="4"/>
      <c r="N2143" s="4" t="s">
        <v>2401</v>
      </c>
      <c r="O2143" s="4">
        <v>238</v>
      </c>
    </row>
    <row r="2144" spans="1:15" ht="15.75" customHeight="1">
      <c r="A2144" s="4"/>
      <c r="B2144" s="4"/>
      <c r="C2144" s="4"/>
      <c r="D2144" s="4"/>
      <c r="E2144" s="4"/>
      <c r="G2144" s="4"/>
      <c r="H2144" s="4"/>
      <c r="I2144" s="4"/>
      <c r="K2144" s="4"/>
      <c r="N2144" s="4" t="s">
        <v>4398</v>
      </c>
      <c r="O2144" s="4">
        <v>339</v>
      </c>
    </row>
    <row r="2145" spans="1:15" ht="15.75" customHeight="1">
      <c r="A2145" s="4"/>
      <c r="B2145" s="4"/>
      <c r="C2145" s="4"/>
      <c r="D2145" s="4"/>
      <c r="E2145" s="4"/>
      <c r="G2145" s="4"/>
      <c r="H2145" s="4"/>
      <c r="K2145" s="4"/>
      <c r="N2145" s="4" t="s">
        <v>4402</v>
      </c>
      <c r="O2145" s="4">
        <v>569</v>
      </c>
    </row>
    <row r="2146" spans="1:15" ht="15.75" customHeight="1">
      <c r="A2146" s="4"/>
      <c r="B2146" s="4"/>
      <c r="C2146" s="4"/>
      <c r="D2146" s="4"/>
      <c r="E2146" s="4"/>
      <c r="G2146" s="4"/>
      <c r="H2146" s="4"/>
      <c r="K2146" s="4"/>
      <c r="N2146" s="4" t="s">
        <v>56</v>
      </c>
      <c r="O2146" s="4">
        <v>231</v>
      </c>
    </row>
    <row r="2147" spans="1:15" ht="15.75" customHeight="1">
      <c r="A2147" s="4"/>
      <c r="B2147" s="4"/>
      <c r="C2147" s="4"/>
      <c r="D2147" s="4"/>
      <c r="E2147" s="4"/>
      <c r="G2147" s="4"/>
      <c r="H2147" s="4"/>
      <c r="K2147" s="4"/>
      <c r="N2147" s="4" t="s">
        <v>4407</v>
      </c>
      <c r="O2147" s="4">
        <v>429</v>
      </c>
    </row>
    <row r="2148" spans="1:15" ht="15.75" customHeight="1">
      <c r="A2148" s="4"/>
      <c r="B2148" s="4"/>
      <c r="C2148" s="4"/>
      <c r="D2148" s="4"/>
      <c r="E2148" s="4"/>
      <c r="G2148" s="4"/>
      <c r="H2148" s="4"/>
      <c r="K2148" s="4"/>
      <c r="N2148" s="4" t="s">
        <v>1525</v>
      </c>
      <c r="O2148" s="4">
        <v>794</v>
      </c>
    </row>
    <row r="2149" spans="1:15" ht="15.75" customHeight="1">
      <c r="A2149" s="4"/>
      <c r="B2149" s="4"/>
      <c r="C2149" s="4"/>
      <c r="D2149" s="4"/>
      <c r="E2149" s="4"/>
      <c r="G2149" s="4"/>
      <c r="H2149" s="4"/>
      <c r="K2149" s="4"/>
      <c r="N2149" s="4" t="s">
        <v>56</v>
      </c>
      <c r="O2149" s="4">
        <v>226</v>
      </c>
    </row>
    <row r="2150" spans="1:15" ht="15.75" customHeight="1">
      <c r="A2150" s="4"/>
      <c r="B2150" s="4"/>
      <c r="C2150" s="4"/>
      <c r="D2150" s="4"/>
      <c r="E2150" s="4"/>
      <c r="G2150" s="4"/>
      <c r="H2150" s="4"/>
      <c r="K2150" s="4"/>
      <c r="N2150" s="4" t="s">
        <v>4414</v>
      </c>
      <c r="O2150" s="4">
        <v>282</v>
      </c>
    </row>
    <row r="2151" spans="1:15" ht="15.75" customHeight="1">
      <c r="A2151" s="4"/>
      <c r="B2151" s="4"/>
      <c r="C2151" s="4"/>
      <c r="D2151" s="4"/>
      <c r="E2151" s="4"/>
      <c r="G2151" s="4"/>
      <c r="H2151" s="4"/>
      <c r="K2151" s="4"/>
      <c r="N2151" s="4" t="s">
        <v>4059</v>
      </c>
      <c r="O2151" s="4">
        <v>454</v>
      </c>
    </row>
    <row r="2152" spans="1:15" ht="15.75" customHeight="1">
      <c r="A2152" s="4"/>
      <c r="B2152" s="4"/>
      <c r="C2152" s="4"/>
      <c r="D2152" s="4"/>
      <c r="E2152" s="4"/>
      <c r="G2152" s="4"/>
      <c r="H2152" s="4"/>
      <c r="K2152" s="4"/>
      <c r="N2152" s="4" t="s">
        <v>56</v>
      </c>
      <c r="O2152" s="4">
        <v>60</v>
      </c>
    </row>
    <row r="2153" spans="1:15" ht="15.75" customHeight="1">
      <c r="B2153" s="4"/>
      <c r="C2153" s="4"/>
      <c r="D2153" s="4"/>
      <c r="E2153" s="4"/>
      <c r="G2153" s="4"/>
      <c r="H2153" s="4"/>
      <c r="K2153" s="4"/>
      <c r="N2153" s="4" t="s">
        <v>56</v>
      </c>
      <c r="O2153" s="4">
        <v>62</v>
      </c>
    </row>
    <row r="2154" spans="1:15" ht="15.75" customHeight="1">
      <c r="A2154" s="4"/>
      <c r="B2154" s="4"/>
      <c r="C2154" s="4"/>
      <c r="D2154" s="4"/>
      <c r="E2154" s="4"/>
      <c r="G2154" s="4"/>
      <c r="H2154" s="4"/>
      <c r="K2154" s="4"/>
      <c r="N2154" s="4" t="s">
        <v>56</v>
      </c>
      <c r="O2154" s="4">
        <v>54</v>
      </c>
    </row>
    <row r="2155" spans="1:15" ht="15.75" customHeight="1">
      <c r="A2155" s="4"/>
      <c r="B2155" s="4"/>
      <c r="C2155" s="4"/>
      <c r="D2155" s="4"/>
      <c r="E2155" s="4"/>
      <c r="G2155" s="4"/>
      <c r="H2155" s="4"/>
      <c r="I2155" s="4"/>
      <c r="K2155" s="4"/>
      <c r="N2155" s="4" t="s">
        <v>4425</v>
      </c>
      <c r="O2155" s="4">
        <v>486</v>
      </c>
    </row>
    <row r="2156" spans="1:15" ht="15.75" customHeight="1">
      <c r="A2156" s="4"/>
      <c r="B2156" s="4"/>
      <c r="C2156" s="4"/>
      <c r="D2156" s="4"/>
      <c r="E2156" s="4"/>
      <c r="G2156" s="4"/>
      <c r="H2156" s="4"/>
      <c r="I2156" s="4"/>
      <c r="K2156" s="4"/>
      <c r="N2156" s="4" t="s">
        <v>4429</v>
      </c>
      <c r="O2156" s="4">
        <v>238</v>
      </c>
    </row>
    <row r="2157" spans="1:15" ht="15.75" customHeight="1">
      <c r="A2157" s="4"/>
      <c r="B2157" s="4"/>
      <c r="C2157" s="4"/>
      <c r="D2157" s="4"/>
      <c r="E2157" s="4"/>
      <c r="G2157" s="4"/>
      <c r="H2157" s="4"/>
      <c r="K2157" s="4"/>
      <c r="N2157" s="4" t="s">
        <v>4433</v>
      </c>
      <c r="O2157" s="4">
        <v>396</v>
      </c>
    </row>
    <row r="2158" spans="1:15" ht="15.75" customHeight="1">
      <c r="A2158" s="4"/>
      <c r="B2158" s="4"/>
      <c r="C2158" s="4"/>
      <c r="D2158" s="4"/>
      <c r="E2158" s="4"/>
      <c r="G2158" s="4"/>
      <c r="H2158" s="4"/>
      <c r="I2158" s="4"/>
      <c r="K2158" s="4"/>
      <c r="N2158" s="4" t="s">
        <v>4436</v>
      </c>
      <c r="O2158" s="4">
        <v>221</v>
      </c>
    </row>
    <row r="2159" spans="1:15" ht="15.75" customHeight="1">
      <c r="A2159" s="4"/>
      <c r="B2159" s="4"/>
      <c r="C2159" s="4"/>
      <c r="D2159" s="4"/>
      <c r="E2159" s="4"/>
      <c r="G2159" s="4"/>
      <c r="H2159" s="4"/>
      <c r="K2159" s="4"/>
      <c r="N2159" s="4" t="s">
        <v>3380</v>
      </c>
      <c r="O2159" s="4">
        <v>227</v>
      </c>
    </row>
    <row r="2160" spans="1:15" ht="15.75" customHeight="1">
      <c r="A2160" s="4"/>
      <c r="B2160" s="4"/>
      <c r="C2160" s="4"/>
      <c r="D2160" s="4"/>
      <c r="E2160" s="4"/>
      <c r="G2160" s="4"/>
      <c r="H2160" s="4"/>
      <c r="K2160" s="4"/>
      <c r="N2160" s="4" t="s">
        <v>1381</v>
      </c>
      <c r="O2160" s="4">
        <v>438</v>
      </c>
    </row>
    <row r="2161" spans="1:15" ht="15.75" customHeight="1">
      <c r="A2161" s="4"/>
      <c r="B2161" s="4"/>
      <c r="C2161" s="4"/>
      <c r="D2161" s="4"/>
      <c r="E2161" s="4"/>
      <c r="G2161" s="4"/>
      <c r="H2161" s="4"/>
      <c r="K2161" s="4"/>
      <c r="N2161" s="4" t="s">
        <v>2151</v>
      </c>
      <c r="O2161" s="4">
        <v>300</v>
      </c>
    </row>
    <row r="2162" spans="1:15" ht="15.75" customHeight="1">
      <c r="A2162" s="4"/>
      <c r="B2162" s="4"/>
      <c r="C2162" s="4"/>
      <c r="D2162" s="4"/>
      <c r="E2162" s="4"/>
      <c r="G2162" s="4"/>
      <c r="H2162" s="4"/>
      <c r="K2162" s="4"/>
      <c r="N2162" s="4" t="s">
        <v>73</v>
      </c>
      <c r="O2162" s="4">
        <v>237</v>
      </c>
    </row>
    <row r="2163" spans="1:15" ht="15.75" customHeight="1">
      <c r="A2163" s="4"/>
      <c r="B2163" s="4"/>
      <c r="C2163" s="4"/>
      <c r="D2163" s="4"/>
      <c r="E2163" s="4"/>
      <c r="G2163" s="4"/>
      <c r="H2163" s="4"/>
      <c r="K2163" s="4"/>
      <c r="N2163" s="4" t="s">
        <v>73</v>
      </c>
      <c r="O2163" s="4">
        <v>261</v>
      </c>
    </row>
    <row r="2164" spans="1:15" ht="15.75" customHeight="1">
      <c r="A2164" s="4"/>
      <c r="B2164" s="4"/>
      <c r="C2164" s="4"/>
      <c r="D2164" s="4"/>
      <c r="E2164" s="4"/>
      <c r="G2164" s="4"/>
      <c r="H2164" s="4"/>
      <c r="K2164" s="4"/>
      <c r="N2164" s="4" t="s">
        <v>4450</v>
      </c>
      <c r="O2164" s="4">
        <v>316</v>
      </c>
    </row>
    <row r="2165" spans="1:15" ht="15.75" customHeight="1">
      <c r="B2165" s="4"/>
      <c r="C2165" s="4"/>
      <c r="D2165" s="4"/>
      <c r="E2165" s="4"/>
      <c r="G2165" s="4"/>
      <c r="H2165" s="4"/>
      <c r="K2165" s="4"/>
      <c r="N2165" s="4" t="s">
        <v>4450</v>
      </c>
      <c r="O2165" s="4">
        <v>292</v>
      </c>
    </row>
    <row r="2166" spans="1:15" ht="15.75" customHeight="1">
      <c r="A2166" s="4"/>
      <c r="B2166" s="4"/>
      <c r="C2166" s="4"/>
      <c r="D2166" s="4"/>
      <c r="E2166" s="4"/>
      <c r="G2166" s="4"/>
      <c r="H2166" s="4"/>
      <c r="K2166" s="4"/>
      <c r="N2166" s="4" t="s">
        <v>4407</v>
      </c>
      <c r="O2166" s="4">
        <v>397</v>
      </c>
    </row>
    <row r="2167" spans="1:15" ht="15.75" customHeight="1">
      <c r="A2167" s="4"/>
      <c r="B2167" s="4"/>
      <c r="C2167" s="4"/>
      <c r="D2167" s="4"/>
      <c r="E2167" s="4"/>
      <c r="G2167" s="4"/>
      <c r="H2167" s="4"/>
      <c r="K2167" s="4"/>
      <c r="N2167" s="4" t="s">
        <v>56</v>
      </c>
      <c r="O2167" s="4">
        <v>85</v>
      </c>
    </row>
    <row r="2168" spans="1:15" ht="15.75" customHeight="1">
      <c r="B2168" s="4"/>
      <c r="C2168" s="4"/>
      <c r="D2168" s="4"/>
      <c r="E2168" s="4"/>
      <c r="G2168" s="4"/>
      <c r="H2168" s="4"/>
      <c r="K2168" s="4"/>
      <c r="N2168" s="4" t="s">
        <v>4459</v>
      </c>
      <c r="O2168" s="4">
        <v>152</v>
      </c>
    </row>
    <row r="2169" spans="1:15" ht="15.75" customHeight="1">
      <c r="A2169" s="4"/>
      <c r="B2169" s="4"/>
      <c r="C2169" s="4"/>
      <c r="D2169" s="4"/>
      <c r="E2169" s="4"/>
      <c r="G2169" s="4"/>
      <c r="H2169" s="4"/>
      <c r="K2169" s="4"/>
      <c r="N2169" s="4" t="s">
        <v>4459</v>
      </c>
      <c r="O2169" s="4">
        <v>258</v>
      </c>
    </row>
    <row r="2170" spans="1:15" ht="15.75" customHeight="1">
      <c r="A2170" s="4"/>
      <c r="B2170" s="4"/>
      <c r="C2170" s="4"/>
      <c r="D2170" s="4"/>
      <c r="E2170" s="4"/>
      <c r="G2170" s="4"/>
      <c r="H2170" s="4"/>
      <c r="K2170" s="4"/>
      <c r="N2170" s="4" t="s">
        <v>4464</v>
      </c>
      <c r="O2170" s="4">
        <v>104</v>
      </c>
    </row>
    <row r="2171" spans="1:15" ht="15.75" customHeight="1">
      <c r="A2171" s="4"/>
      <c r="B2171" s="4"/>
      <c r="C2171" s="4"/>
      <c r="D2171" s="4"/>
      <c r="E2171" s="4"/>
      <c r="G2171" s="4"/>
      <c r="H2171" s="4"/>
      <c r="I2171" s="4"/>
      <c r="K2171" s="4"/>
    </row>
    <row r="2172" spans="1:15" ht="15.75" customHeight="1">
      <c r="A2172" s="4"/>
      <c r="B2172" s="4"/>
      <c r="C2172" s="4"/>
      <c r="D2172" s="4"/>
      <c r="E2172" s="4"/>
      <c r="G2172" s="4"/>
      <c r="H2172" s="4"/>
      <c r="K2172" s="4"/>
    </row>
    <row r="2173" spans="1:15" ht="15.75" customHeight="1">
      <c r="A2173" s="4"/>
      <c r="B2173" s="4"/>
      <c r="C2173" s="4"/>
      <c r="D2173" s="4"/>
      <c r="E2173" s="4"/>
      <c r="G2173" s="4"/>
      <c r="H2173" s="4"/>
      <c r="K2173" s="4"/>
    </row>
    <row r="2174" spans="1:15" ht="15.75" customHeight="1">
      <c r="A2174" s="4"/>
      <c r="B2174" s="4"/>
      <c r="C2174" s="4"/>
      <c r="D2174" s="4"/>
      <c r="E2174" s="4"/>
      <c r="G2174" s="4"/>
      <c r="H2174" s="4"/>
      <c r="K2174" s="4"/>
      <c r="N2174" s="4" t="s">
        <v>161</v>
      </c>
      <c r="O2174" s="4">
        <v>246</v>
      </c>
    </row>
    <row r="2175" spans="1:15" ht="15.75" customHeight="1">
      <c r="B2175" s="4"/>
      <c r="C2175" s="4"/>
      <c r="D2175" s="4"/>
      <c r="E2175" s="4"/>
      <c r="G2175" s="4"/>
      <c r="H2175" s="4"/>
      <c r="K2175" s="4"/>
      <c r="N2175" s="4" t="s">
        <v>1207</v>
      </c>
      <c r="O2175" s="4">
        <v>515</v>
      </c>
    </row>
    <row r="2176" spans="1:15" ht="15.75" customHeight="1">
      <c r="A2176" s="4"/>
      <c r="B2176" s="4"/>
      <c r="C2176" s="4"/>
      <c r="D2176" s="4"/>
      <c r="E2176" s="4"/>
      <c r="G2176" s="4"/>
      <c r="H2176" s="4"/>
      <c r="K2176" s="4"/>
      <c r="N2176" s="4" t="s">
        <v>4474</v>
      </c>
      <c r="O2176" s="4">
        <v>312</v>
      </c>
    </row>
    <row r="2177" spans="1:15" ht="15.75" customHeight="1">
      <c r="A2177" s="4"/>
      <c r="B2177" s="4"/>
      <c r="C2177" s="4"/>
      <c r="D2177" s="4"/>
      <c r="E2177" s="4"/>
      <c r="G2177" s="4"/>
      <c r="H2177" s="4"/>
      <c r="I2177" s="4"/>
      <c r="K2177" s="4"/>
      <c r="N2177" s="4" t="s">
        <v>4477</v>
      </c>
      <c r="O2177" s="4">
        <v>199</v>
      </c>
    </row>
    <row r="2178" spans="1:15" ht="15.75" customHeight="1">
      <c r="A2178" s="4"/>
      <c r="B2178" s="4"/>
      <c r="C2178" s="4"/>
      <c r="D2178" s="4"/>
      <c r="E2178" s="4"/>
      <c r="G2178" s="4"/>
      <c r="H2178" s="4"/>
      <c r="K2178" s="4"/>
      <c r="N2178" s="4" t="s">
        <v>56</v>
      </c>
      <c r="O2178" s="4">
        <v>110</v>
      </c>
    </row>
    <row r="2179" spans="1:15" ht="15.75" customHeight="1">
      <c r="A2179" s="4"/>
      <c r="B2179" s="4"/>
      <c r="C2179" s="4"/>
      <c r="D2179" s="4"/>
      <c r="E2179" s="4"/>
      <c r="G2179" s="4"/>
      <c r="H2179" s="4"/>
      <c r="K2179" s="4"/>
      <c r="N2179" s="4" t="s">
        <v>4483</v>
      </c>
      <c r="O2179" s="4">
        <v>247</v>
      </c>
    </row>
    <row r="2180" spans="1:15" ht="15.75" customHeight="1">
      <c r="A2180" s="4"/>
      <c r="B2180" s="4"/>
      <c r="C2180" s="4"/>
      <c r="D2180" s="4"/>
      <c r="E2180" s="4"/>
      <c r="G2180" s="4"/>
      <c r="H2180" s="4"/>
      <c r="K2180" s="4"/>
      <c r="N2180" s="4" t="s">
        <v>328</v>
      </c>
      <c r="O2180" s="4">
        <v>260</v>
      </c>
    </row>
    <row r="2181" spans="1:15" ht="15.75" customHeight="1">
      <c r="B2181" s="4"/>
      <c r="C2181" s="4"/>
      <c r="D2181" s="4"/>
      <c r="E2181" s="4"/>
      <c r="G2181" s="4"/>
      <c r="H2181" s="4"/>
      <c r="K2181" s="4"/>
      <c r="N2181" s="4" t="s">
        <v>1094</v>
      </c>
      <c r="O2181" s="4">
        <v>252</v>
      </c>
    </row>
    <row r="2182" spans="1:15" ht="15.75" customHeight="1">
      <c r="A2182" s="4"/>
      <c r="B2182" s="4"/>
      <c r="C2182" s="4"/>
      <c r="D2182" s="4"/>
      <c r="E2182" s="4"/>
      <c r="G2182" s="4"/>
      <c r="H2182" s="4"/>
      <c r="K2182" s="4"/>
      <c r="N2182" s="4" t="s">
        <v>3380</v>
      </c>
      <c r="O2182" s="4">
        <v>228</v>
      </c>
    </row>
    <row r="2183" spans="1:15" ht="15.75" customHeight="1">
      <c r="A2183" s="4"/>
      <c r="B2183" s="4"/>
      <c r="C2183" s="4"/>
      <c r="D2183" s="4"/>
      <c r="E2183" s="4"/>
      <c r="G2183" s="4"/>
      <c r="H2183" s="4"/>
      <c r="I2183" s="4"/>
      <c r="K2183" s="4"/>
      <c r="N2183" s="4" t="s">
        <v>4492</v>
      </c>
      <c r="O2183" s="4">
        <v>459</v>
      </c>
    </row>
    <row r="2184" spans="1:15" ht="15.75" customHeight="1">
      <c r="A2184" s="4"/>
      <c r="B2184" s="4"/>
      <c r="C2184" s="4"/>
      <c r="D2184" s="4"/>
      <c r="E2184" s="4"/>
      <c r="G2184" s="4"/>
      <c r="H2184" s="4"/>
      <c r="K2184" s="4"/>
      <c r="N2184" s="4" t="s">
        <v>2939</v>
      </c>
      <c r="O2184" s="4">
        <v>364</v>
      </c>
    </row>
    <row r="2185" spans="1:15" ht="15.75" customHeight="1">
      <c r="A2185" s="4"/>
      <c r="B2185" s="4"/>
      <c r="C2185" s="4"/>
      <c r="D2185" s="4"/>
      <c r="E2185" s="4"/>
      <c r="G2185" s="4"/>
      <c r="H2185" s="4"/>
      <c r="I2185" s="4"/>
      <c r="K2185" s="4"/>
      <c r="N2185" s="4" t="s">
        <v>4498</v>
      </c>
      <c r="O2185" s="4">
        <v>599</v>
      </c>
    </row>
    <row r="2186" spans="1:15" ht="15.75" customHeight="1">
      <c r="A2186" s="4"/>
      <c r="B2186" s="4"/>
      <c r="C2186" s="4"/>
      <c r="D2186" s="4"/>
      <c r="E2186" s="4"/>
      <c r="G2186" s="4"/>
      <c r="H2186" s="4"/>
      <c r="K2186" s="4"/>
      <c r="N2186" s="4" t="s">
        <v>2535</v>
      </c>
      <c r="O2186" s="4">
        <v>293</v>
      </c>
    </row>
    <row r="2187" spans="1:15" ht="15.75" customHeight="1">
      <c r="A2187" s="4"/>
      <c r="B2187" s="4"/>
      <c r="C2187" s="4"/>
      <c r="D2187" s="4"/>
      <c r="E2187" s="4"/>
      <c r="G2187" s="4"/>
      <c r="H2187" s="4"/>
      <c r="K2187" s="4"/>
      <c r="N2187" s="4" t="s">
        <v>2493</v>
      </c>
      <c r="O2187" s="4">
        <v>283</v>
      </c>
    </row>
    <row r="2188" spans="1:15" ht="15.75" customHeight="1">
      <c r="A2188" s="4"/>
      <c r="B2188" s="4"/>
      <c r="C2188" s="4"/>
      <c r="D2188" s="4"/>
      <c r="E2188" s="4"/>
      <c r="G2188" s="4"/>
      <c r="H2188" s="4"/>
      <c r="K2188" s="4"/>
      <c r="N2188" s="4" t="s">
        <v>4506</v>
      </c>
      <c r="O2188" s="4">
        <v>265</v>
      </c>
    </row>
    <row r="2189" spans="1:15" ht="15.75" customHeight="1">
      <c r="A2189" s="4"/>
      <c r="B2189" s="4"/>
      <c r="C2189" s="4"/>
      <c r="D2189" s="4"/>
      <c r="E2189" s="4"/>
      <c r="G2189" s="4"/>
      <c r="H2189" s="4"/>
      <c r="K2189" s="4"/>
      <c r="N2189" s="4" t="s">
        <v>4509</v>
      </c>
      <c r="O2189" s="4">
        <v>239</v>
      </c>
    </row>
    <row r="2190" spans="1:15" ht="15.75" customHeight="1">
      <c r="A2190" s="4"/>
      <c r="B2190" s="4"/>
      <c r="C2190" s="4"/>
      <c r="D2190" s="4"/>
      <c r="E2190" s="4"/>
      <c r="G2190" s="4"/>
      <c r="H2190" s="4"/>
      <c r="K2190" s="4"/>
      <c r="N2190" s="4" t="s">
        <v>56</v>
      </c>
      <c r="O2190" s="4">
        <v>114</v>
      </c>
    </row>
    <row r="2191" spans="1:15" ht="15.75" customHeight="1">
      <c r="A2191" s="4"/>
      <c r="B2191" s="4"/>
      <c r="C2191" s="4"/>
      <c r="D2191" s="4"/>
      <c r="E2191" s="4"/>
      <c r="G2191" s="4"/>
      <c r="H2191" s="4"/>
      <c r="K2191" s="4"/>
      <c r="N2191" s="4" t="s">
        <v>8301</v>
      </c>
      <c r="O2191" s="4">
        <v>450</v>
      </c>
    </row>
    <row r="2192" spans="1:15" ht="15.75" customHeight="1">
      <c r="A2192" s="4"/>
      <c r="B2192" s="4"/>
      <c r="C2192" s="4"/>
      <c r="D2192" s="4"/>
      <c r="E2192" s="4"/>
      <c r="G2192" s="4"/>
      <c r="H2192" s="4"/>
      <c r="I2192" s="4"/>
      <c r="K2192" s="4"/>
      <c r="N2192" s="4" t="s">
        <v>4517</v>
      </c>
      <c r="O2192" s="4">
        <v>522</v>
      </c>
    </row>
    <row r="2193" spans="1:15" ht="15.75" customHeight="1">
      <c r="A2193" s="4"/>
      <c r="B2193" s="4"/>
      <c r="C2193" s="4"/>
      <c r="D2193" s="4"/>
      <c r="E2193" s="4"/>
      <c r="G2193" s="4"/>
      <c r="H2193" s="4"/>
      <c r="I2193" s="4"/>
      <c r="K2193" s="4"/>
      <c r="N2193" s="4" t="s">
        <v>8302</v>
      </c>
      <c r="O2193" s="4">
        <v>301</v>
      </c>
    </row>
    <row r="2194" spans="1:15" ht="15.75" customHeight="1">
      <c r="A2194" s="4"/>
      <c r="B2194" s="4"/>
      <c r="C2194" s="4"/>
      <c r="D2194" s="4"/>
      <c r="E2194" s="4"/>
      <c r="G2194" s="4"/>
      <c r="H2194" s="4"/>
      <c r="K2194" s="4"/>
      <c r="N2194" s="4" t="s">
        <v>3646</v>
      </c>
      <c r="O2194" s="4">
        <v>280</v>
      </c>
    </row>
    <row r="2195" spans="1:15" ht="15.75" customHeight="1">
      <c r="A2195" s="4"/>
      <c r="B2195" s="4"/>
      <c r="C2195" s="4"/>
      <c r="D2195" s="4"/>
      <c r="E2195" s="4"/>
      <c r="G2195" s="4"/>
      <c r="H2195" s="4"/>
      <c r="K2195" s="4"/>
      <c r="N2195" s="4" t="s">
        <v>4527</v>
      </c>
      <c r="O2195" s="4">
        <v>129</v>
      </c>
    </row>
    <row r="2196" spans="1:15" ht="15.75" customHeight="1">
      <c r="A2196" s="4"/>
      <c r="B2196" s="4"/>
      <c r="C2196" s="4"/>
      <c r="D2196" s="4"/>
      <c r="E2196" s="4"/>
      <c r="G2196" s="4"/>
      <c r="H2196" s="4"/>
      <c r="K2196" s="4"/>
      <c r="N2196" s="4" t="s">
        <v>4530</v>
      </c>
      <c r="O2196" s="4">
        <v>290</v>
      </c>
    </row>
    <row r="2197" spans="1:15" ht="15.75" customHeight="1">
      <c r="A2197" s="4"/>
      <c r="B2197" s="4"/>
      <c r="C2197" s="4"/>
      <c r="D2197" s="4"/>
      <c r="E2197" s="4"/>
      <c r="G2197" s="4"/>
      <c r="H2197" s="4"/>
      <c r="I2197" s="4"/>
      <c r="K2197" s="4"/>
      <c r="N2197" s="4" t="s">
        <v>4533</v>
      </c>
      <c r="O2197" s="4">
        <v>298</v>
      </c>
    </row>
    <row r="2198" spans="1:15" ht="15.75" customHeight="1">
      <c r="A2198" s="4"/>
      <c r="B2198" s="4"/>
      <c r="C2198" s="4"/>
      <c r="D2198" s="4"/>
      <c r="E2198" s="4"/>
      <c r="G2198" s="4"/>
      <c r="H2198" s="4"/>
      <c r="I2198" s="4"/>
      <c r="K2198" s="4"/>
      <c r="N2198" s="4" t="s">
        <v>4537</v>
      </c>
      <c r="O2198" s="4">
        <v>350</v>
      </c>
    </row>
    <row r="2199" spans="1:15" ht="15.75" customHeight="1">
      <c r="A2199" s="4"/>
      <c r="B2199" s="4"/>
      <c r="C2199" s="4"/>
      <c r="D2199" s="4"/>
      <c r="E2199" s="4"/>
      <c r="G2199" s="4"/>
      <c r="H2199" s="4"/>
      <c r="K2199" s="4"/>
    </row>
    <row r="2200" spans="1:15" ht="15.75" customHeight="1">
      <c r="A2200" s="4"/>
      <c r="B2200" s="4"/>
      <c r="C2200" s="4"/>
      <c r="D2200" s="4"/>
      <c r="E2200" s="4"/>
      <c r="G2200" s="4"/>
      <c r="H2200" s="4"/>
      <c r="K2200" s="4"/>
      <c r="N2200" s="4" t="s">
        <v>674</v>
      </c>
      <c r="O2200" s="4">
        <v>306</v>
      </c>
    </row>
    <row r="2201" spans="1:15" ht="15.75" customHeight="1">
      <c r="A2201" s="4"/>
      <c r="B2201" s="4"/>
      <c r="C2201" s="4"/>
      <c r="D2201" s="4"/>
      <c r="E2201" s="4"/>
      <c r="G2201" s="4"/>
      <c r="H2201" s="4"/>
      <c r="K2201" s="4"/>
    </row>
    <row r="2202" spans="1:15" ht="15.75" customHeight="1">
      <c r="A2202" s="4"/>
      <c r="B2202" s="4"/>
      <c r="C2202" s="4"/>
      <c r="D2202" s="4"/>
      <c r="E2202" s="4"/>
      <c r="G2202" s="4"/>
      <c r="H2202" s="4"/>
      <c r="I2202" s="4"/>
      <c r="K2202" s="4"/>
      <c r="N2202" s="4" t="s">
        <v>4544</v>
      </c>
      <c r="O2202" s="4">
        <v>651</v>
      </c>
    </row>
    <row r="2203" spans="1:15" ht="15.75" customHeight="1">
      <c r="A2203" s="4"/>
      <c r="B2203" s="4"/>
      <c r="C2203" s="4"/>
      <c r="D2203" s="4"/>
      <c r="E2203" s="4"/>
      <c r="G2203" s="4"/>
      <c r="H2203" s="4"/>
      <c r="I2203" s="4"/>
      <c r="K2203" s="4"/>
      <c r="N2203" s="4" t="s">
        <v>4548</v>
      </c>
      <c r="O2203" s="4">
        <v>326</v>
      </c>
    </row>
    <row r="2204" spans="1:15" ht="15.75" customHeight="1">
      <c r="A2204" s="4"/>
      <c r="B2204" s="4"/>
      <c r="C2204" s="4"/>
      <c r="D2204" s="4"/>
      <c r="E2204" s="4"/>
      <c r="G2204" s="4"/>
      <c r="H2204" s="4"/>
      <c r="I2204" s="4"/>
      <c r="K2204" s="4"/>
      <c r="N2204" s="4" t="s">
        <v>4552</v>
      </c>
      <c r="O2204" s="4">
        <v>271</v>
      </c>
    </row>
    <row r="2205" spans="1:15" ht="15.75" customHeight="1">
      <c r="A2205" s="4"/>
      <c r="B2205" s="4"/>
      <c r="C2205" s="4"/>
      <c r="D2205" s="4"/>
      <c r="E2205" s="4"/>
      <c r="G2205" s="4"/>
      <c r="H2205" s="4"/>
      <c r="K2205" s="4"/>
      <c r="N2205" s="4" t="s">
        <v>4556</v>
      </c>
      <c r="O2205" s="4">
        <v>492</v>
      </c>
    </row>
    <row r="2206" spans="1:15" ht="15.75" customHeight="1">
      <c r="A2206" s="4"/>
      <c r="B2206" s="4"/>
      <c r="C2206" s="4"/>
      <c r="D2206" s="4"/>
      <c r="E2206" s="4"/>
      <c r="G2206" s="4"/>
      <c r="H2206" s="4"/>
      <c r="K2206" s="4"/>
      <c r="N2206" s="4" t="s">
        <v>2354</v>
      </c>
      <c r="O2206" s="4">
        <v>496</v>
      </c>
    </row>
    <row r="2207" spans="1:15" ht="15.75" customHeight="1">
      <c r="A2207" s="4"/>
      <c r="B2207" s="4"/>
      <c r="C2207" s="4"/>
      <c r="D2207" s="4"/>
      <c r="E2207" s="4"/>
      <c r="G2207" s="4"/>
      <c r="H2207" s="4"/>
      <c r="K2207" s="4"/>
      <c r="N2207" s="4" t="s">
        <v>1094</v>
      </c>
      <c r="O2207" s="4">
        <v>268</v>
      </c>
    </row>
    <row r="2208" spans="1:15" ht="15.75" customHeight="1">
      <c r="A2208" s="4"/>
      <c r="B2208" s="4"/>
      <c r="C2208" s="4"/>
      <c r="D2208" s="4"/>
      <c r="E2208" s="4"/>
      <c r="G2208" s="4"/>
      <c r="H2208" s="4"/>
      <c r="K2208" s="4"/>
      <c r="N2208" s="4" t="s">
        <v>3943</v>
      </c>
      <c r="O2208" s="4">
        <v>286</v>
      </c>
    </row>
    <row r="2209" spans="1:15" ht="15.75" customHeight="1">
      <c r="A2209" s="4"/>
      <c r="B2209" s="4"/>
      <c r="C2209" s="4"/>
      <c r="D2209" s="4"/>
      <c r="E2209" s="4"/>
      <c r="G2209" s="4"/>
      <c r="H2209" s="4"/>
      <c r="K2209" s="4"/>
      <c r="N2209" s="4" t="s">
        <v>4565</v>
      </c>
      <c r="O2209" s="4">
        <v>250</v>
      </c>
    </row>
    <row r="2210" spans="1:15" ht="15.75" customHeight="1">
      <c r="B2210" s="4"/>
      <c r="C2210" s="4"/>
      <c r="D2210" s="4"/>
      <c r="E2210" s="4"/>
      <c r="G2210" s="4"/>
      <c r="H2210" s="4"/>
      <c r="K2210" s="4"/>
      <c r="N2210" s="4" t="s">
        <v>4568</v>
      </c>
      <c r="O2210" s="4">
        <v>517</v>
      </c>
    </row>
    <row r="2211" spans="1:15" ht="15.75" customHeight="1">
      <c r="A2211" s="4"/>
      <c r="B2211" s="4"/>
      <c r="C2211" s="4"/>
      <c r="D2211" s="4"/>
      <c r="E2211" s="4"/>
      <c r="G2211" s="4"/>
      <c r="H2211" s="4"/>
      <c r="I2211" s="4"/>
      <c r="K2211" s="4"/>
      <c r="N2211" s="4" t="s">
        <v>2068</v>
      </c>
      <c r="O2211" s="4">
        <v>155</v>
      </c>
    </row>
    <row r="2212" spans="1:15" ht="15.75" customHeight="1">
      <c r="A2212" s="4"/>
      <c r="B2212" s="4"/>
      <c r="C2212" s="4"/>
      <c r="D2212" s="4"/>
      <c r="E2212" s="4"/>
      <c r="G2212" s="4"/>
      <c r="H2212" s="4"/>
      <c r="K2212" s="4"/>
      <c r="N2212" s="4" t="s">
        <v>4573</v>
      </c>
      <c r="O2212" s="4">
        <v>436</v>
      </c>
    </row>
    <row r="2213" spans="1:15" ht="15.75" customHeight="1">
      <c r="A2213" s="4"/>
      <c r="B2213" s="4"/>
      <c r="C2213" s="4"/>
      <c r="D2213" s="4"/>
      <c r="E2213" s="4"/>
      <c r="G2213" s="4"/>
      <c r="H2213" s="4"/>
      <c r="K2213" s="4"/>
      <c r="N2213" s="4" t="s">
        <v>197</v>
      </c>
      <c r="O2213" s="4">
        <v>396</v>
      </c>
    </row>
    <row r="2214" spans="1:15" ht="15.75" customHeight="1">
      <c r="A2214" s="4"/>
      <c r="B2214" s="4"/>
      <c r="C2214" s="4"/>
      <c r="D2214" s="4"/>
      <c r="E2214" s="4"/>
      <c r="G2214" s="4"/>
      <c r="H2214" s="4"/>
      <c r="K2214" s="4"/>
      <c r="N2214" s="4" t="s">
        <v>194</v>
      </c>
      <c r="O2214" s="4">
        <v>228</v>
      </c>
    </row>
    <row r="2215" spans="1:15" ht="15.75" customHeight="1">
      <c r="A2215" s="4"/>
      <c r="B2215" s="4"/>
      <c r="C2215" s="4"/>
      <c r="D2215" s="4"/>
      <c r="E2215" s="4"/>
      <c r="G2215" s="4"/>
      <c r="H2215" s="4"/>
      <c r="K2215" s="4"/>
      <c r="N2215" s="4" t="s">
        <v>56</v>
      </c>
      <c r="O2215" s="4">
        <v>226</v>
      </c>
    </row>
    <row r="2216" spans="1:15" ht="15.75" customHeight="1">
      <c r="A2216" s="4"/>
      <c r="B2216" s="4"/>
      <c r="C2216" s="4"/>
      <c r="D2216" s="4"/>
      <c r="E2216" s="4"/>
      <c r="G2216" s="4"/>
      <c r="H2216" s="4"/>
      <c r="I2216" s="4"/>
      <c r="K2216" s="4"/>
      <c r="N2216" s="4" t="s">
        <v>4582</v>
      </c>
      <c r="O2216" s="4">
        <v>495</v>
      </c>
    </row>
    <row r="2217" spans="1:15" ht="15.75" customHeight="1">
      <c r="A2217" s="4"/>
      <c r="B2217" s="4"/>
      <c r="C2217" s="4"/>
      <c r="D2217" s="4"/>
      <c r="E2217" s="4"/>
      <c r="G2217" s="4"/>
      <c r="H2217" s="4"/>
      <c r="K2217" s="4"/>
      <c r="N2217" s="4" t="s">
        <v>4586</v>
      </c>
      <c r="O2217" s="4">
        <v>273</v>
      </c>
    </row>
    <row r="2218" spans="1:15" ht="15.75" customHeight="1">
      <c r="A2218" s="4"/>
      <c r="B2218" s="4"/>
      <c r="C2218" s="4"/>
      <c r="D2218" s="4"/>
      <c r="E2218" s="4"/>
      <c r="G2218" s="4"/>
      <c r="H2218" s="4"/>
      <c r="I2218" s="4"/>
      <c r="K2218" s="4"/>
      <c r="N2218" s="4" t="s">
        <v>4589</v>
      </c>
      <c r="O2218" s="4">
        <v>368</v>
      </c>
    </row>
    <row r="2219" spans="1:15" ht="15.75" customHeight="1">
      <c r="A2219" s="4"/>
      <c r="B2219" s="4"/>
      <c r="C2219" s="4"/>
      <c r="D2219" s="4"/>
      <c r="E2219" s="4"/>
      <c r="G2219" s="4"/>
      <c r="H2219" s="4"/>
      <c r="K2219" s="4"/>
      <c r="N2219" s="4" t="s">
        <v>4593</v>
      </c>
      <c r="O2219" s="4">
        <v>60</v>
      </c>
    </row>
    <row r="2220" spans="1:15" ht="15.75" customHeight="1">
      <c r="A2220" s="4"/>
      <c r="B2220" s="4"/>
      <c r="C2220" s="4"/>
      <c r="D2220" s="4"/>
      <c r="E2220" s="4"/>
      <c r="G2220" s="4"/>
      <c r="H2220" s="4"/>
      <c r="K2220" s="4"/>
      <c r="N2220" s="4" t="s">
        <v>4596</v>
      </c>
      <c r="O2220" s="4">
        <v>290</v>
      </c>
    </row>
    <row r="2221" spans="1:15" ht="15.75" customHeight="1">
      <c r="A2221" s="4"/>
      <c r="B2221" s="4"/>
      <c r="C2221" s="4"/>
      <c r="D2221" s="4"/>
      <c r="E2221" s="4"/>
      <c r="G2221" s="4"/>
      <c r="H2221" s="4"/>
      <c r="K2221" s="4"/>
      <c r="N2221" s="4" t="s">
        <v>4599</v>
      </c>
      <c r="O2221" s="4">
        <v>255</v>
      </c>
    </row>
    <row r="2222" spans="1:15" ht="15.75" customHeight="1">
      <c r="A2222" s="4"/>
      <c r="B2222" s="4"/>
      <c r="C2222" s="4"/>
      <c r="D2222" s="4"/>
      <c r="E2222" s="4"/>
      <c r="G2222" s="4"/>
      <c r="H2222" s="4"/>
      <c r="I2222" s="4"/>
      <c r="K2222" s="4"/>
      <c r="N2222" s="4" t="s">
        <v>4602</v>
      </c>
      <c r="O2222" s="4">
        <v>276</v>
      </c>
    </row>
    <row r="2223" spans="1:15" ht="15.75" customHeight="1">
      <c r="B2223" s="4"/>
      <c r="C2223" s="4"/>
      <c r="D2223" s="4"/>
      <c r="E2223" s="4"/>
      <c r="G2223" s="4"/>
      <c r="H2223" s="4"/>
      <c r="I2223" s="4"/>
      <c r="K2223" s="4"/>
      <c r="N2223" s="4" t="s">
        <v>4606</v>
      </c>
      <c r="O2223" s="4">
        <v>243</v>
      </c>
    </row>
    <row r="2224" spans="1:15" ht="15.75" customHeight="1">
      <c r="A2224" s="4"/>
      <c r="B2224" s="4"/>
      <c r="C2224" s="4"/>
      <c r="D2224" s="4"/>
      <c r="E2224" s="4"/>
      <c r="G2224" s="4"/>
      <c r="H2224" s="4"/>
      <c r="K2224" s="4"/>
      <c r="N2224" s="4" t="s">
        <v>56</v>
      </c>
      <c r="O2224" s="4">
        <v>126</v>
      </c>
    </row>
    <row r="2225" spans="1:15" ht="15.75" customHeight="1">
      <c r="A2225" s="4"/>
      <c r="B2225" s="4"/>
      <c r="C2225" s="4"/>
      <c r="D2225" s="4"/>
      <c r="E2225" s="4"/>
      <c r="G2225" s="4"/>
      <c r="H2225" s="4"/>
      <c r="K2225" s="4"/>
      <c r="N2225" s="4" t="s">
        <v>3383</v>
      </c>
      <c r="O2225" s="4">
        <v>223</v>
      </c>
    </row>
    <row r="2226" spans="1:15" ht="15.75" customHeight="1">
      <c r="A2226" s="4"/>
      <c r="B2226" s="4"/>
      <c r="C2226" s="4"/>
      <c r="D2226" s="4"/>
      <c r="E2226" s="4"/>
      <c r="G2226" s="4"/>
      <c r="H2226" s="4"/>
      <c r="K2226" s="4"/>
      <c r="N2226" s="4" t="s">
        <v>2648</v>
      </c>
      <c r="O2226" s="4">
        <v>206</v>
      </c>
    </row>
    <row r="2227" spans="1:15" ht="15.75" customHeight="1">
      <c r="A2227" s="4"/>
      <c r="B2227" s="4"/>
      <c r="C2227" s="4"/>
      <c r="D2227" s="4"/>
      <c r="E2227" s="4"/>
      <c r="G2227" s="4"/>
      <c r="H2227" s="4"/>
      <c r="I2227" s="4"/>
      <c r="K2227" s="4"/>
      <c r="N2227" s="4" t="s">
        <v>4616</v>
      </c>
      <c r="O2227" s="4">
        <v>215</v>
      </c>
    </row>
    <row r="2228" spans="1:15" ht="15.75" customHeight="1">
      <c r="A2228" s="4"/>
      <c r="B2228" s="4"/>
      <c r="C2228" s="4"/>
      <c r="D2228" s="4"/>
      <c r="E2228" s="4"/>
      <c r="G2228" s="4"/>
      <c r="H2228" s="4"/>
      <c r="K2228" s="4"/>
      <c r="N2228" s="4" t="s">
        <v>4620</v>
      </c>
      <c r="O2228" s="4">
        <v>304</v>
      </c>
    </row>
    <row r="2229" spans="1:15" ht="15.75" customHeight="1">
      <c r="A2229" s="4"/>
      <c r="B2229" s="4"/>
      <c r="C2229" s="4"/>
      <c r="D2229" s="4"/>
      <c r="E2229" s="4"/>
      <c r="G2229" s="4"/>
      <c r="H2229" s="4"/>
      <c r="K2229" s="4"/>
      <c r="N2229" s="4" t="s">
        <v>4623</v>
      </c>
      <c r="O2229" s="4">
        <v>225</v>
      </c>
    </row>
    <row r="2230" spans="1:15" ht="15.75" customHeight="1">
      <c r="A2230" s="4"/>
      <c r="B2230" s="4"/>
      <c r="C2230" s="4"/>
      <c r="D2230" s="4"/>
      <c r="E2230" s="4"/>
      <c r="G2230" s="4"/>
      <c r="H2230" s="4"/>
      <c r="K2230" s="4"/>
      <c r="N2230" s="4" t="s">
        <v>1908</v>
      </c>
      <c r="O2230" s="4">
        <v>141</v>
      </c>
    </row>
    <row r="2231" spans="1:15" ht="15.75" customHeight="1">
      <c r="A2231" s="4"/>
      <c r="B2231" s="4"/>
      <c r="C2231" s="4"/>
      <c r="D2231" s="4"/>
      <c r="E2231" s="4"/>
      <c r="G2231" s="4"/>
      <c r="H2231" s="4"/>
      <c r="K2231" s="4"/>
      <c r="N2231" s="4" t="s">
        <v>1908</v>
      </c>
      <c r="O2231" s="4">
        <v>137</v>
      </c>
    </row>
    <row r="2232" spans="1:15" ht="15.75" customHeight="1">
      <c r="B2232" s="4"/>
      <c r="C2232" s="4"/>
      <c r="D2232" s="4"/>
      <c r="E2232" s="4"/>
      <c r="G2232" s="4"/>
      <c r="H2232" s="4"/>
      <c r="K2232" s="4"/>
      <c r="N2232" s="4" t="s">
        <v>56</v>
      </c>
      <c r="O2232" s="4">
        <v>65</v>
      </c>
    </row>
    <row r="2233" spans="1:15" ht="15.75" customHeight="1">
      <c r="A2233" s="4"/>
      <c r="B2233" s="4"/>
      <c r="C2233" s="4"/>
      <c r="D2233" s="4"/>
      <c r="E2233" s="4"/>
      <c r="G2233" s="4"/>
      <c r="H2233" s="4"/>
      <c r="I2233" s="4"/>
      <c r="K2233" s="4"/>
      <c r="N2233" s="4" t="s">
        <v>4632</v>
      </c>
      <c r="O2233" s="4">
        <v>179</v>
      </c>
    </row>
    <row r="2234" spans="1:15" ht="15.75" customHeight="1">
      <c r="A2234" s="4"/>
      <c r="B2234" s="4"/>
      <c r="C2234" s="4"/>
      <c r="D2234" s="4"/>
      <c r="E2234" s="4"/>
      <c r="G2234" s="4"/>
      <c r="H2234" s="4"/>
      <c r="K2234" s="4"/>
      <c r="N2234" s="4" t="s">
        <v>4636</v>
      </c>
      <c r="O2234" s="4">
        <v>85</v>
      </c>
    </row>
    <row r="2235" spans="1:15" ht="15.75" customHeight="1">
      <c r="A2235" s="4"/>
      <c r="B2235" s="4"/>
      <c r="C2235" s="4"/>
      <c r="D2235" s="4"/>
      <c r="E2235" s="4"/>
      <c r="G2235" s="4"/>
      <c r="H2235" s="4"/>
      <c r="K2235" s="4"/>
      <c r="N2235" s="4" t="s">
        <v>4639</v>
      </c>
      <c r="O2235" s="4">
        <v>133</v>
      </c>
    </row>
    <row r="2236" spans="1:15" ht="15.75" customHeight="1">
      <c r="A2236" s="4"/>
      <c r="B2236" s="4"/>
      <c r="C2236" s="4"/>
      <c r="D2236" s="4"/>
      <c r="E2236" s="4"/>
      <c r="G2236" s="4"/>
      <c r="H2236" s="4"/>
      <c r="K2236" s="4"/>
      <c r="N2236" s="4" t="s">
        <v>4642</v>
      </c>
      <c r="O2236" s="4">
        <v>320</v>
      </c>
    </row>
    <row r="2237" spans="1:15" ht="15.75" customHeight="1">
      <c r="A2237" s="4"/>
      <c r="B2237" s="4"/>
      <c r="C2237" s="4"/>
      <c r="D2237" s="4"/>
      <c r="E2237" s="4"/>
      <c r="G2237" s="4"/>
      <c r="H2237" s="4"/>
      <c r="K2237" s="4"/>
      <c r="N2237" s="4" t="s">
        <v>56</v>
      </c>
      <c r="O2237" s="4">
        <v>64</v>
      </c>
    </row>
    <row r="2238" spans="1:15" ht="15.75" customHeight="1">
      <c r="A2238" s="4"/>
      <c r="B2238" s="4"/>
      <c r="C2238" s="4"/>
      <c r="D2238" s="4"/>
      <c r="E2238" s="4"/>
      <c r="G2238" s="4"/>
      <c r="H2238" s="4"/>
      <c r="K2238" s="4"/>
      <c r="N2238" s="4" t="s">
        <v>56</v>
      </c>
      <c r="O2238" s="4">
        <v>80</v>
      </c>
    </row>
    <row r="2239" spans="1:15" ht="15.75" customHeight="1">
      <c r="A2239" s="4"/>
      <c r="B2239" s="4"/>
      <c r="C2239" s="4"/>
      <c r="D2239" s="4"/>
      <c r="E2239" s="4"/>
      <c r="G2239" s="4"/>
      <c r="H2239" s="4"/>
      <c r="K2239" s="4"/>
      <c r="N2239" s="4" t="s">
        <v>4649</v>
      </c>
      <c r="O2239" s="4">
        <v>155</v>
      </c>
    </row>
    <row r="2240" spans="1:15" ht="15.75" customHeight="1">
      <c r="A2240" s="4"/>
      <c r="B2240" s="4"/>
      <c r="C2240" s="4"/>
      <c r="D2240" s="4"/>
      <c r="E2240" s="4"/>
      <c r="G2240" s="4"/>
      <c r="H2240" s="4"/>
      <c r="K2240" s="4"/>
      <c r="N2240" s="4" t="s">
        <v>56</v>
      </c>
      <c r="O2240" s="4">
        <v>101</v>
      </c>
    </row>
    <row r="2241" spans="1:15" ht="15.75" customHeight="1">
      <c r="A2241" s="4"/>
      <c r="B2241" s="4"/>
      <c r="C2241" s="4"/>
      <c r="D2241" s="4"/>
      <c r="E2241" s="4"/>
      <c r="G2241" s="4"/>
      <c r="H2241" s="4"/>
      <c r="K2241" s="4"/>
      <c r="N2241" s="4" t="s">
        <v>56</v>
      </c>
      <c r="O2241" s="4">
        <v>168</v>
      </c>
    </row>
    <row r="2242" spans="1:15" ht="15.75" customHeight="1">
      <c r="A2242" s="4"/>
      <c r="B2242" s="4"/>
      <c r="C2242" s="4"/>
      <c r="D2242" s="4"/>
      <c r="E2242" s="4"/>
      <c r="G2242" s="4"/>
      <c r="H2242" s="4"/>
      <c r="K2242" s="4"/>
      <c r="N2242" s="4" t="s">
        <v>4656</v>
      </c>
      <c r="O2242" s="4">
        <v>68</v>
      </c>
    </row>
    <row r="2243" spans="1:15" ht="15.75" customHeight="1">
      <c r="A2243" s="4"/>
      <c r="B2243" s="4"/>
      <c r="C2243" s="4"/>
      <c r="D2243" s="4"/>
      <c r="E2243" s="4"/>
      <c r="G2243" s="4"/>
      <c r="H2243" s="4"/>
      <c r="K2243" s="4"/>
    </row>
    <row r="2244" spans="1:15" ht="15.75" customHeight="1">
      <c r="A2244" s="4"/>
      <c r="B2244" s="4"/>
      <c r="C2244" s="4"/>
      <c r="D2244" s="4"/>
      <c r="E2244" s="4"/>
      <c r="G2244" s="4"/>
      <c r="H2244" s="4"/>
      <c r="K2244" s="4"/>
      <c r="N2244" s="4" t="s">
        <v>4660</v>
      </c>
      <c r="O2244" s="4">
        <v>124</v>
      </c>
    </row>
    <row r="2245" spans="1:15" ht="15.75" customHeight="1">
      <c r="A2245" s="4"/>
      <c r="B2245" s="4"/>
      <c r="C2245" s="4"/>
      <c r="D2245" s="4"/>
      <c r="E2245" s="4"/>
      <c r="G2245" s="4"/>
      <c r="H2245" s="4"/>
      <c r="K2245" s="4"/>
      <c r="N2245" s="4" t="s">
        <v>2667</v>
      </c>
      <c r="O2245" s="4">
        <v>280</v>
      </c>
    </row>
    <row r="2246" spans="1:15" ht="15.75" customHeight="1">
      <c r="A2246" s="4"/>
      <c r="B2246" s="4"/>
      <c r="C2246" s="4"/>
      <c r="D2246" s="4"/>
      <c r="E2246" s="4"/>
      <c r="G2246" s="4"/>
      <c r="H2246" s="4"/>
      <c r="K2246" s="4"/>
      <c r="N2246" s="4" t="s">
        <v>4665</v>
      </c>
      <c r="O2246" s="4">
        <v>437</v>
      </c>
    </row>
    <row r="2247" spans="1:15" ht="15.75" customHeight="1">
      <c r="A2247" s="4"/>
      <c r="B2247" s="4"/>
      <c r="C2247" s="4"/>
      <c r="D2247" s="4"/>
      <c r="E2247" s="4"/>
      <c r="G2247" s="4"/>
      <c r="H2247" s="4"/>
      <c r="K2247" s="4"/>
      <c r="N2247" s="4" t="s">
        <v>4668</v>
      </c>
      <c r="O2247" s="4">
        <v>210</v>
      </c>
    </row>
    <row r="2248" spans="1:15" ht="15.75" customHeight="1">
      <c r="A2248" s="4"/>
      <c r="B2248" s="4"/>
      <c r="C2248" s="4"/>
      <c r="D2248" s="4"/>
      <c r="E2248" s="4"/>
      <c r="G2248" s="4"/>
      <c r="H2248" s="4"/>
      <c r="K2248" s="4"/>
      <c r="N2248" s="4" t="s">
        <v>4059</v>
      </c>
      <c r="O2248" s="4">
        <v>453</v>
      </c>
    </row>
    <row r="2249" spans="1:15" ht="15.75" customHeight="1">
      <c r="A2249" s="4"/>
      <c r="B2249" s="4"/>
      <c r="C2249" s="4"/>
      <c r="D2249" s="4"/>
      <c r="E2249" s="4"/>
      <c r="G2249" s="4"/>
      <c r="H2249" s="4"/>
      <c r="K2249" s="4"/>
      <c r="N2249" s="4" t="s">
        <v>4673</v>
      </c>
      <c r="O2249" s="4">
        <v>613</v>
      </c>
    </row>
    <row r="2250" spans="1:15" ht="15.75" customHeight="1">
      <c r="A2250" s="4"/>
      <c r="B2250" s="4"/>
      <c r="C2250" s="4"/>
      <c r="D2250" s="4"/>
      <c r="E2250" s="4"/>
      <c r="G2250" s="4"/>
      <c r="H2250" s="4"/>
      <c r="K2250" s="4"/>
      <c r="N2250" s="4" t="s">
        <v>92</v>
      </c>
      <c r="O2250" s="4">
        <v>297</v>
      </c>
    </row>
    <row r="2251" spans="1:15" ht="15.75" customHeight="1">
      <c r="A2251" s="4"/>
      <c r="B2251" s="4"/>
      <c r="C2251" s="4"/>
      <c r="D2251" s="4"/>
      <c r="E2251" s="4"/>
      <c r="G2251" s="4"/>
      <c r="H2251" s="4"/>
      <c r="K2251" s="4"/>
      <c r="N2251" s="4" t="s">
        <v>73</v>
      </c>
      <c r="O2251" s="4">
        <v>526</v>
      </c>
    </row>
    <row r="2252" spans="1:15" ht="15.75" customHeight="1">
      <c r="A2252" s="4"/>
      <c r="B2252" s="4"/>
      <c r="C2252" s="4"/>
      <c r="D2252" s="4"/>
      <c r="E2252" s="4"/>
      <c r="G2252" s="4"/>
      <c r="H2252" s="4"/>
      <c r="K2252" s="4"/>
      <c r="N2252" s="4" t="s">
        <v>56</v>
      </c>
      <c r="O2252" s="4">
        <v>377</v>
      </c>
    </row>
    <row r="2253" spans="1:15" ht="15.75" customHeight="1">
      <c r="A2253" s="4"/>
      <c r="B2253" s="4"/>
      <c r="C2253" s="4"/>
      <c r="D2253" s="4"/>
      <c r="E2253" s="4"/>
      <c r="G2253" s="4"/>
      <c r="H2253" s="4"/>
      <c r="K2253" s="4"/>
      <c r="N2253" s="4" t="s">
        <v>4682</v>
      </c>
      <c r="O2253" s="4">
        <v>155</v>
      </c>
    </row>
    <row r="2254" spans="1:15" ht="15.75" customHeight="1">
      <c r="A2254" s="4"/>
      <c r="B2254" s="4"/>
      <c r="C2254" s="4"/>
      <c r="D2254" s="4"/>
      <c r="E2254" s="4"/>
      <c r="G2254" s="4"/>
      <c r="H2254" s="4"/>
      <c r="K2254" s="4"/>
    </row>
    <row r="2255" spans="1:15" ht="15.75" customHeight="1">
      <c r="A2255" s="4"/>
      <c r="B2255" s="4"/>
      <c r="C2255" s="4"/>
      <c r="D2255" s="4"/>
      <c r="E2255" s="4"/>
      <c r="G2255" s="4"/>
      <c r="H2255" s="4"/>
      <c r="K2255" s="4"/>
      <c r="N2255" s="4" t="s">
        <v>56</v>
      </c>
      <c r="O2255" s="4">
        <v>91</v>
      </c>
    </row>
    <row r="2256" spans="1:15" ht="15.75" customHeight="1">
      <c r="A2256" s="4"/>
      <c r="B2256" s="4"/>
      <c r="C2256" s="4"/>
      <c r="D2256" s="4"/>
      <c r="E2256" s="4"/>
      <c r="G2256" s="4"/>
      <c r="H2256" s="4"/>
      <c r="K2256" s="4"/>
      <c r="N2256" s="4" t="s">
        <v>678</v>
      </c>
      <c r="O2256" s="4">
        <v>541</v>
      </c>
    </row>
    <row r="2257" spans="1:15" ht="15.75" customHeight="1">
      <c r="A2257" s="4"/>
      <c r="B2257" s="4"/>
      <c r="C2257" s="4"/>
      <c r="D2257" s="4"/>
      <c r="E2257" s="4"/>
      <c r="G2257" s="4"/>
      <c r="H2257" s="4"/>
      <c r="K2257" s="4"/>
      <c r="N2257" s="4" t="s">
        <v>4690</v>
      </c>
      <c r="O2257" s="4">
        <v>793</v>
      </c>
    </row>
    <row r="2258" spans="1:15" ht="15.75" customHeight="1">
      <c r="A2258" s="4"/>
      <c r="B2258" s="4"/>
      <c r="C2258" s="4"/>
      <c r="D2258" s="4"/>
      <c r="E2258" s="4"/>
      <c r="G2258" s="4"/>
      <c r="H2258" s="4"/>
      <c r="K2258" s="4"/>
      <c r="N2258" s="4" t="s">
        <v>56</v>
      </c>
      <c r="O2258" s="4">
        <v>48</v>
      </c>
    </row>
    <row r="2259" spans="1:15" ht="15.75" customHeight="1">
      <c r="A2259" s="4"/>
      <c r="B2259" s="4"/>
      <c r="C2259" s="4"/>
      <c r="D2259" s="4"/>
      <c r="E2259" s="4"/>
      <c r="G2259" s="4"/>
      <c r="H2259" s="4"/>
      <c r="K2259" s="4"/>
      <c r="N2259" s="4" t="s">
        <v>255</v>
      </c>
      <c r="O2259" s="4">
        <v>482</v>
      </c>
    </row>
    <row r="2260" spans="1:15" ht="15.75" customHeight="1">
      <c r="A2260" s="4"/>
      <c r="B2260" s="4"/>
      <c r="C2260" s="4"/>
      <c r="D2260" s="4"/>
      <c r="E2260" s="4"/>
      <c r="G2260" s="4"/>
      <c r="H2260" s="4"/>
      <c r="K2260" s="4"/>
      <c r="N2260" s="4" t="s">
        <v>111</v>
      </c>
      <c r="O2260" s="4">
        <v>189</v>
      </c>
    </row>
    <row r="2261" spans="1:15" ht="15.75" customHeight="1">
      <c r="A2261" s="4"/>
      <c r="B2261" s="4"/>
      <c r="C2261" s="4"/>
      <c r="D2261" s="4"/>
      <c r="E2261" s="4"/>
      <c r="G2261" s="4"/>
      <c r="H2261" s="4"/>
      <c r="K2261" s="4"/>
      <c r="N2261" s="4" t="s">
        <v>4027</v>
      </c>
      <c r="O2261" s="4">
        <v>855</v>
      </c>
    </row>
    <row r="2262" spans="1:15" ht="15.75" customHeight="1">
      <c r="A2262" s="4"/>
      <c r="B2262" s="4"/>
      <c r="C2262" s="4"/>
      <c r="D2262" s="4"/>
      <c r="E2262" s="4"/>
      <c r="G2262" s="4"/>
      <c r="H2262" s="4"/>
      <c r="K2262" s="4"/>
      <c r="N2262" s="4" t="s">
        <v>76</v>
      </c>
      <c r="O2262" s="4">
        <v>391</v>
      </c>
    </row>
    <row r="2263" spans="1:15" ht="15.75" customHeight="1">
      <c r="A2263" s="4"/>
      <c r="B2263" s="4"/>
      <c r="C2263" s="4"/>
      <c r="D2263" s="4"/>
      <c r="E2263" s="4"/>
      <c r="G2263" s="4"/>
      <c r="H2263" s="4"/>
      <c r="K2263" s="4"/>
      <c r="N2263" s="4" t="s">
        <v>2499</v>
      </c>
      <c r="O2263" s="4">
        <v>119</v>
      </c>
    </row>
    <row r="2264" spans="1:15" ht="15.75" customHeight="1">
      <c r="A2264" s="4"/>
      <c r="B2264" s="4"/>
      <c r="C2264" s="4"/>
      <c r="D2264" s="4"/>
      <c r="E2264" s="4"/>
      <c r="G2264" s="4"/>
      <c r="H2264" s="4"/>
      <c r="K2264" s="4"/>
      <c r="N2264" s="4" t="s">
        <v>674</v>
      </c>
      <c r="O2264" s="4">
        <v>306</v>
      </c>
    </row>
    <row r="2265" spans="1:15" ht="15.75" customHeight="1">
      <c r="A2265" s="4"/>
      <c r="B2265" s="4"/>
      <c r="C2265" s="4"/>
      <c r="D2265" s="4"/>
      <c r="E2265" s="4"/>
      <c r="G2265" s="4"/>
      <c r="H2265" s="4"/>
      <c r="K2265" s="4"/>
      <c r="N2265" s="4" t="s">
        <v>2499</v>
      </c>
      <c r="O2265" s="4">
        <v>103</v>
      </c>
    </row>
    <row r="2266" spans="1:15" ht="15.75" customHeight="1">
      <c r="A2266" s="4"/>
      <c r="B2266" s="4"/>
      <c r="C2266" s="4"/>
      <c r="D2266" s="4"/>
      <c r="E2266" s="4"/>
      <c r="G2266" s="4"/>
      <c r="H2266" s="4"/>
      <c r="K2266" s="4"/>
      <c r="N2266" s="4" t="s">
        <v>4708</v>
      </c>
      <c r="O2266" s="4">
        <v>242</v>
      </c>
    </row>
    <row r="2267" spans="1:15" ht="15.75" customHeight="1">
      <c r="A2267" s="4"/>
      <c r="B2267" s="4"/>
      <c r="C2267" s="4"/>
      <c r="D2267" s="4"/>
      <c r="E2267" s="4"/>
      <c r="G2267" s="4"/>
      <c r="H2267" s="4"/>
      <c r="K2267" s="4"/>
      <c r="N2267" s="4" t="s">
        <v>4711</v>
      </c>
      <c r="O2267" s="4">
        <v>274</v>
      </c>
    </row>
    <row r="2268" spans="1:15" ht="15.75" customHeight="1">
      <c r="A2268" s="4"/>
      <c r="B2268" s="4"/>
      <c r="C2268" s="4"/>
      <c r="D2268" s="4"/>
      <c r="E2268" s="4"/>
      <c r="G2268" s="4"/>
      <c r="H2268" s="4"/>
      <c r="K2268" s="4"/>
      <c r="N2268" s="4" t="s">
        <v>3249</v>
      </c>
      <c r="O2268" s="4">
        <v>396</v>
      </c>
    </row>
    <row r="2269" spans="1:15" ht="15.75" customHeight="1">
      <c r="A2269" s="4"/>
      <c r="B2269" s="4"/>
      <c r="C2269" s="4"/>
      <c r="D2269" s="4"/>
      <c r="E2269" s="4"/>
      <c r="G2269" s="4"/>
      <c r="H2269" s="4"/>
      <c r="K2269" s="4"/>
      <c r="N2269" s="4" t="s">
        <v>637</v>
      </c>
      <c r="O2269" s="4">
        <v>448</v>
      </c>
    </row>
    <row r="2270" spans="1:15" ht="15.75" customHeight="1">
      <c r="A2270" s="4"/>
      <c r="B2270" s="4"/>
      <c r="C2270" s="4"/>
      <c r="D2270" s="4"/>
      <c r="E2270" s="4"/>
      <c r="G2270" s="4"/>
      <c r="H2270" s="4"/>
      <c r="K2270" s="4"/>
      <c r="N2270" s="4" t="s">
        <v>56</v>
      </c>
      <c r="O2270" s="4">
        <v>109</v>
      </c>
    </row>
    <row r="2271" spans="1:15" ht="15.75" customHeight="1">
      <c r="A2271" s="4"/>
      <c r="B2271" s="4"/>
      <c r="C2271" s="4"/>
      <c r="D2271" s="4"/>
      <c r="E2271" s="4"/>
      <c r="G2271" s="4"/>
      <c r="H2271" s="4"/>
      <c r="K2271" s="4"/>
      <c r="N2271" s="4" t="s">
        <v>3672</v>
      </c>
      <c r="O2271" s="4">
        <v>328</v>
      </c>
    </row>
    <row r="2272" spans="1:15" ht="15.75" customHeight="1">
      <c r="A2272" s="4"/>
      <c r="B2272" s="4"/>
      <c r="C2272" s="4"/>
      <c r="D2272" s="4"/>
      <c r="E2272" s="4"/>
      <c r="G2272" s="4"/>
      <c r="H2272" s="4"/>
      <c r="K2272" s="4"/>
      <c r="N2272" s="4" t="s">
        <v>92</v>
      </c>
      <c r="O2272" s="4">
        <v>486</v>
      </c>
    </row>
    <row r="2273" spans="1:15" ht="15.75" customHeight="1">
      <c r="A2273" s="4"/>
      <c r="B2273" s="4"/>
      <c r="C2273" s="4"/>
      <c r="D2273" s="4"/>
      <c r="E2273" s="4"/>
      <c r="G2273" s="4"/>
      <c r="H2273" s="4"/>
      <c r="K2273" s="4"/>
      <c r="N2273" s="4" t="s">
        <v>56</v>
      </c>
      <c r="O2273" s="4">
        <v>77</v>
      </c>
    </row>
    <row r="2274" spans="1:15" ht="15.75" customHeight="1">
      <c r="A2274" s="4"/>
      <c r="B2274" s="4"/>
      <c r="C2274" s="4"/>
      <c r="D2274" s="4"/>
      <c r="E2274" s="4"/>
      <c r="G2274" s="4"/>
      <c r="H2274" s="4"/>
      <c r="K2274" s="4"/>
      <c r="N2274" s="4" t="s">
        <v>4726</v>
      </c>
      <c r="O2274" s="4">
        <v>359</v>
      </c>
    </row>
    <row r="2275" spans="1:15" ht="15.75" customHeight="1">
      <c r="A2275" s="4"/>
      <c r="B2275" s="4"/>
      <c r="C2275" s="4"/>
      <c r="D2275" s="4"/>
      <c r="E2275" s="4"/>
      <c r="G2275" s="4"/>
      <c r="H2275" s="4"/>
      <c r="K2275" s="4"/>
      <c r="N2275" s="4" t="s">
        <v>3049</v>
      </c>
      <c r="O2275" s="4">
        <v>247</v>
      </c>
    </row>
    <row r="2276" spans="1:15" ht="15.75" customHeight="1">
      <c r="A2276" s="4"/>
      <c r="B2276" s="4"/>
      <c r="C2276" s="4"/>
      <c r="D2276" s="4"/>
      <c r="E2276" s="4"/>
      <c r="G2276" s="4"/>
      <c r="H2276" s="4"/>
      <c r="K2276" s="4"/>
      <c r="N2276" s="4" t="s">
        <v>3049</v>
      </c>
      <c r="O2276" s="4">
        <v>257</v>
      </c>
    </row>
    <row r="2277" spans="1:15" ht="15.75" customHeight="1">
      <c r="A2277" s="4"/>
      <c r="B2277" s="4"/>
      <c r="C2277" s="4"/>
      <c r="D2277" s="4"/>
      <c r="E2277" s="4"/>
      <c r="G2277" s="4"/>
      <c r="H2277" s="4"/>
      <c r="K2277" s="4"/>
      <c r="N2277" s="4" t="s">
        <v>56</v>
      </c>
      <c r="O2277" s="4">
        <v>119</v>
      </c>
    </row>
    <row r="2278" spans="1:15" ht="15.75" customHeight="1">
      <c r="A2278" s="4"/>
      <c r="B2278" s="4"/>
      <c r="C2278" s="4"/>
      <c r="D2278" s="4"/>
      <c r="E2278" s="4"/>
      <c r="G2278" s="4"/>
      <c r="H2278" s="4"/>
      <c r="K2278" s="4"/>
      <c r="N2278" s="4" t="s">
        <v>3049</v>
      </c>
      <c r="O2278" s="4">
        <v>684</v>
      </c>
    </row>
    <row r="2279" spans="1:15" ht="15.75" customHeight="1">
      <c r="A2279" s="4"/>
      <c r="B2279" s="4"/>
      <c r="C2279" s="4"/>
      <c r="D2279" s="4"/>
      <c r="E2279" s="4"/>
      <c r="G2279" s="4"/>
      <c r="H2279" s="4"/>
      <c r="K2279" s="4"/>
      <c r="N2279" s="4" t="s">
        <v>51</v>
      </c>
      <c r="O2279" s="4">
        <v>191</v>
      </c>
    </row>
    <row r="2280" spans="1:15" ht="15.75" customHeight="1">
      <c r="A2280" s="4"/>
      <c r="B2280" s="4"/>
      <c r="C2280" s="4"/>
      <c r="D2280" s="4"/>
      <c r="E2280" s="4"/>
      <c r="G2280" s="4"/>
      <c r="H2280" s="4"/>
      <c r="K2280" s="4"/>
      <c r="N2280" s="4" t="s">
        <v>56</v>
      </c>
      <c r="O2280" s="4">
        <v>98</v>
      </c>
    </row>
    <row r="2281" spans="1:15" ht="15.75" customHeight="1">
      <c r="A2281" s="4"/>
      <c r="B2281" s="4"/>
      <c r="C2281" s="4"/>
      <c r="D2281" s="4"/>
      <c r="E2281" s="4"/>
      <c r="G2281" s="4"/>
      <c r="H2281" s="4"/>
      <c r="K2281" s="4"/>
      <c r="N2281" s="4" t="s">
        <v>2148</v>
      </c>
      <c r="O2281" s="4">
        <v>324</v>
      </c>
    </row>
    <row r="2282" spans="1:15" ht="15.75" customHeight="1">
      <c r="A2282" s="4"/>
      <c r="B2282" s="4"/>
      <c r="C2282" s="4"/>
      <c r="D2282" s="4"/>
      <c r="E2282" s="4"/>
      <c r="G2282" s="4"/>
      <c r="H2282" s="4"/>
      <c r="K2282" s="4"/>
      <c r="N2282" s="4" t="s">
        <v>4743</v>
      </c>
      <c r="O2282" s="4">
        <v>107</v>
      </c>
    </row>
    <row r="2283" spans="1:15" ht="15.75" customHeight="1">
      <c r="A2283" s="4"/>
      <c r="B2283" s="4"/>
      <c r="C2283" s="4"/>
      <c r="D2283" s="4"/>
      <c r="E2283" s="4"/>
      <c r="G2283" s="4"/>
      <c r="H2283" s="4"/>
      <c r="K2283" s="4"/>
      <c r="N2283" s="4" t="s">
        <v>4746</v>
      </c>
      <c r="O2283" s="4">
        <v>485</v>
      </c>
    </row>
    <row r="2284" spans="1:15" ht="15.75" customHeight="1">
      <c r="A2284" s="4"/>
      <c r="B2284" s="4"/>
      <c r="C2284" s="4"/>
      <c r="D2284" s="4"/>
      <c r="E2284" s="4"/>
      <c r="G2284" s="4"/>
      <c r="H2284" s="4"/>
      <c r="K2284" s="4"/>
      <c r="N2284" s="4" t="s">
        <v>4749</v>
      </c>
      <c r="O2284" s="4">
        <v>116</v>
      </c>
    </row>
    <row r="2285" spans="1:15" ht="15.75" customHeight="1">
      <c r="A2285" s="4"/>
      <c r="B2285" s="4"/>
      <c r="C2285" s="4"/>
      <c r="D2285" s="4"/>
      <c r="E2285" s="4"/>
      <c r="G2285" s="4"/>
      <c r="H2285" s="4"/>
      <c r="K2285" s="4"/>
      <c r="N2285" s="4" t="s">
        <v>4752</v>
      </c>
      <c r="O2285" s="4">
        <v>120</v>
      </c>
    </row>
    <row r="2286" spans="1:15" ht="15.75" customHeight="1">
      <c r="A2286" s="4"/>
      <c r="B2286" s="4"/>
      <c r="C2286" s="4"/>
      <c r="D2286" s="4"/>
      <c r="E2286" s="4"/>
      <c r="G2286" s="4"/>
      <c r="H2286" s="4"/>
      <c r="K2286" s="4"/>
      <c r="N2286" s="4" t="s">
        <v>3940</v>
      </c>
      <c r="O2286" s="4">
        <v>310</v>
      </c>
    </row>
    <row r="2287" spans="1:15" ht="15.75" customHeight="1">
      <c r="A2287" s="4"/>
      <c r="B2287" s="4"/>
      <c r="C2287" s="4"/>
      <c r="D2287" s="4"/>
      <c r="E2287" s="4"/>
      <c r="G2287" s="4"/>
      <c r="H2287" s="4"/>
      <c r="K2287" s="4"/>
      <c r="N2287" s="4" t="s">
        <v>3132</v>
      </c>
      <c r="O2287" s="4">
        <v>168</v>
      </c>
    </row>
    <row r="2288" spans="1:15" ht="15.75" customHeight="1">
      <c r="A2288" s="4"/>
      <c r="B2288" s="4"/>
      <c r="C2288" s="4"/>
      <c r="D2288" s="4"/>
      <c r="E2288" s="4"/>
      <c r="G2288" s="4"/>
      <c r="H2288" s="4"/>
      <c r="K2288" s="4"/>
      <c r="N2288" s="4" t="s">
        <v>56</v>
      </c>
      <c r="O2288" s="4">
        <v>98</v>
      </c>
    </row>
    <row r="2289" spans="1:15" ht="15.75" customHeight="1">
      <c r="A2289" s="4"/>
      <c r="B2289" s="4"/>
      <c r="C2289" s="4"/>
      <c r="D2289" s="4"/>
      <c r="E2289" s="4"/>
      <c r="G2289" s="4"/>
      <c r="H2289" s="4"/>
      <c r="K2289" s="4"/>
      <c r="N2289" s="4" t="s">
        <v>4761</v>
      </c>
      <c r="O2289" s="4">
        <v>333</v>
      </c>
    </row>
    <row r="2290" spans="1:15" ht="15.75" customHeight="1">
      <c r="A2290" s="4"/>
      <c r="B2290" s="4"/>
      <c r="C2290" s="4"/>
      <c r="D2290" s="4"/>
      <c r="E2290" s="4"/>
      <c r="G2290" s="4"/>
      <c r="H2290" s="4"/>
      <c r="K2290" s="4"/>
      <c r="N2290" s="4" t="s">
        <v>4764</v>
      </c>
      <c r="O2290" s="4">
        <v>163</v>
      </c>
    </row>
    <row r="2291" spans="1:15" ht="15.75" customHeight="1">
      <c r="A2291" s="4"/>
      <c r="B2291" s="4"/>
      <c r="C2291" s="4"/>
      <c r="D2291" s="4"/>
      <c r="E2291" s="4"/>
      <c r="G2291" s="4"/>
      <c r="H2291" s="4"/>
      <c r="K2291" s="4"/>
      <c r="N2291" s="4" t="s">
        <v>4767</v>
      </c>
      <c r="O2291" s="4">
        <v>357</v>
      </c>
    </row>
    <row r="2292" spans="1:15" ht="15.75" customHeight="1">
      <c r="A2292" s="4"/>
      <c r="B2292" s="4"/>
      <c r="C2292" s="4"/>
      <c r="D2292" s="4"/>
      <c r="E2292" s="4"/>
      <c r="G2292" s="4"/>
      <c r="H2292" s="4"/>
      <c r="K2292" s="4"/>
      <c r="N2292" s="4" t="s">
        <v>56</v>
      </c>
      <c r="O2292" s="4">
        <v>83</v>
      </c>
    </row>
    <row r="2293" spans="1:15" ht="15.75" customHeight="1">
      <c r="A2293" s="4"/>
      <c r="B2293" s="4"/>
      <c r="C2293" s="4"/>
      <c r="D2293" s="4"/>
      <c r="E2293" s="4"/>
      <c r="G2293" s="4"/>
      <c r="H2293" s="4"/>
      <c r="K2293" s="4"/>
      <c r="N2293" s="4" t="s">
        <v>4772</v>
      </c>
      <c r="O2293" s="4">
        <v>358</v>
      </c>
    </row>
    <row r="2294" spans="1:15" ht="15.75" customHeight="1">
      <c r="A2294" s="4"/>
      <c r="B2294" s="4"/>
      <c r="C2294" s="4"/>
      <c r="D2294" s="4"/>
      <c r="E2294" s="4"/>
      <c r="G2294" s="4"/>
      <c r="H2294" s="4"/>
      <c r="K2294" s="4"/>
      <c r="N2294" s="4" t="s">
        <v>4775</v>
      </c>
      <c r="O2294" s="4">
        <v>326</v>
      </c>
    </row>
    <row r="2295" spans="1:15" ht="15.75" customHeight="1">
      <c r="A2295" s="4"/>
      <c r="B2295" s="4"/>
      <c r="C2295" s="4"/>
      <c r="D2295" s="4"/>
      <c r="E2295" s="4"/>
      <c r="G2295" s="4"/>
      <c r="H2295" s="4"/>
      <c r="K2295" s="4"/>
      <c r="N2295" s="4" t="s">
        <v>4778</v>
      </c>
      <c r="O2295" s="4">
        <v>92</v>
      </c>
    </row>
    <row r="2296" spans="1:15" ht="15.75" customHeight="1">
      <c r="A2296" s="4"/>
      <c r="B2296" s="4"/>
      <c r="C2296" s="4"/>
      <c r="D2296" s="4"/>
      <c r="E2296" s="4"/>
      <c r="G2296" s="4"/>
      <c r="H2296" s="4"/>
      <c r="K2296" s="4"/>
      <c r="N2296" s="4" t="s">
        <v>56</v>
      </c>
      <c r="O2296" s="4">
        <v>94</v>
      </c>
    </row>
    <row r="2297" spans="1:15" ht="15.75" customHeight="1">
      <c r="A2297" s="4"/>
      <c r="B2297" s="4"/>
      <c r="C2297" s="4"/>
      <c r="D2297" s="4"/>
      <c r="E2297" s="4"/>
      <c r="G2297" s="4"/>
      <c r="H2297" s="4"/>
      <c r="K2297" s="4"/>
    </row>
    <row r="2298" spans="1:15" ht="15.75" customHeight="1">
      <c r="A2298" s="4"/>
      <c r="B2298" s="4"/>
      <c r="C2298" s="4"/>
      <c r="D2298" s="4"/>
      <c r="E2298" s="4"/>
      <c r="G2298" s="4"/>
      <c r="H2298" s="4"/>
      <c r="K2298" s="4"/>
      <c r="N2298" s="4" t="s">
        <v>3629</v>
      </c>
      <c r="O2298" s="4">
        <v>453</v>
      </c>
    </row>
    <row r="2299" spans="1:15" ht="15.75" customHeight="1">
      <c r="A2299" s="4"/>
      <c r="B2299" s="4"/>
      <c r="C2299" s="4"/>
      <c r="D2299" s="4"/>
      <c r="E2299" s="4"/>
      <c r="G2299" s="4"/>
      <c r="H2299" s="4"/>
      <c r="K2299" s="4"/>
    </row>
    <row r="2300" spans="1:15" ht="15.75" customHeight="1">
      <c r="A2300" s="4"/>
      <c r="B2300" s="4"/>
      <c r="C2300" s="4"/>
      <c r="D2300" s="4"/>
      <c r="E2300" s="4"/>
      <c r="G2300" s="4"/>
      <c r="H2300" s="4"/>
      <c r="K2300" s="4"/>
      <c r="N2300" s="4" t="s">
        <v>779</v>
      </c>
      <c r="O2300" s="4">
        <v>471</v>
      </c>
    </row>
    <row r="2301" spans="1:15" ht="15.75" customHeight="1">
      <c r="A2301" s="4"/>
      <c r="B2301" s="4"/>
      <c r="C2301" s="4"/>
      <c r="D2301" s="4"/>
      <c r="E2301" s="4"/>
      <c r="G2301" s="4"/>
      <c r="H2301" s="4"/>
      <c r="K2301" s="4"/>
    </row>
    <row r="2302" spans="1:15" ht="15.75" customHeight="1">
      <c r="A2302" s="4"/>
      <c r="B2302" s="4"/>
      <c r="C2302" s="4"/>
      <c r="D2302" s="4"/>
      <c r="E2302" s="4"/>
      <c r="G2302" s="4"/>
      <c r="H2302" s="4"/>
      <c r="K2302" s="4"/>
      <c r="N2302" s="4" t="s">
        <v>56</v>
      </c>
      <c r="O2302" s="4">
        <v>449</v>
      </c>
    </row>
    <row r="2303" spans="1:15" ht="15.75" customHeight="1">
      <c r="A2303" s="4"/>
      <c r="B2303" s="4"/>
      <c r="C2303" s="4"/>
      <c r="D2303" s="4"/>
      <c r="E2303" s="4"/>
      <c r="G2303" s="4"/>
      <c r="H2303" s="4"/>
      <c r="K2303" s="4"/>
      <c r="N2303" s="4" t="s">
        <v>478</v>
      </c>
      <c r="O2303" s="4">
        <v>202</v>
      </c>
    </row>
    <row r="2304" spans="1:15" ht="15.75" customHeight="1">
      <c r="B2304" s="4"/>
      <c r="C2304" s="4"/>
      <c r="D2304" s="4"/>
      <c r="E2304" s="4"/>
      <c r="G2304" s="4"/>
      <c r="H2304" s="4"/>
      <c r="I2304" s="4"/>
      <c r="K2304" s="4"/>
      <c r="N2304" s="4" t="s">
        <v>4793</v>
      </c>
      <c r="O2304" s="4">
        <v>727</v>
      </c>
    </row>
    <row r="2305" spans="1:15" ht="15.75" customHeight="1">
      <c r="A2305" s="4"/>
      <c r="B2305" s="4"/>
      <c r="C2305" s="4"/>
      <c r="D2305" s="4"/>
      <c r="E2305" s="4"/>
      <c r="G2305" s="4"/>
      <c r="H2305" s="4"/>
      <c r="K2305" s="4"/>
      <c r="N2305" s="4" t="s">
        <v>76</v>
      </c>
      <c r="O2305" s="4">
        <v>253</v>
      </c>
    </row>
    <row r="2306" spans="1:15" ht="15.75" customHeight="1">
      <c r="A2306" s="4"/>
      <c r="B2306" s="4"/>
      <c r="C2306" s="4"/>
      <c r="D2306" s="4"/>
      <c r="E2306" s="4"/>
      <c r="G2306" s="4"/>
      <c r="H2306" s="4"/>
      <c r="K2306" s="4"/>
      <c r="N2306" s="4" t="s">
        <v>73</v>
      </c>
      <c r="O2306" s="4">
        <v>309</v>
      </c>
    </row>
    <row r="2307" spans="1:15" ht="15.75" customHeight="1">
      <c r="A2307" s="4"/>
      <c r="B2307" s="4"/>
      <c r="C2307" s="4"/>
      <c r="D2307" s="4"/>
      <c r="E2307" s="4"/>
      <c r="G2307" s="4"/>
      <c r="H2307" s="4"/>
      <c r="K2307" s="4"/>
      <c r="N2307" s="4" t="s">
        <v>4801</v>
      </c>
      <c r="O2307" s="4">
        <v>71</v>
      </c>
    </row>
    <row r="2308" spans="1:15" ht="15.75" customHeight="1">
      <c r="A2308" s="4"/>
      <c r="B2308" s="4"/>
      <c r="C2308" s="4"/>
      <c r="D2308" s="4"/>
      <c r="E2308" s="4"/>
      <c r="G2308" s="4"/>
      <c r="H2308" s="4"/>
      <c r="K2308" s="4"/>
      <c r="N2308" s="4" t="s">
        <v>478</v>
      </c>
      <c r="O2308" s="4">
        <v>373</v>
      </c>
    </row>
    <row r="2309" spans="1:15" ht="15.75" customHeight="1">
      <c r="A2309" s="4"/>
      <c r="B2309" s="4"/>
      <c r="C2309" s="4"/>
      <c r="D2309" s="4"/>
      <c r="E2309" s="4"/>
      <c r="G2309" s="4"/>
      <c r="H2309" s="4"/>
      <c r="K2309" s="4"/>
      <c r="N2309" s="4" t="s">
        <v>690</v>
      </c>
      <c r="O2309" s="4">
        <v>292</v>
      </c>
    </row>
    <row r="2310" spans="1:15" ht="15.75" customHeight="1">
      <c r="A2310" s="4"/>
      <c r="B2310" s="4"/>
      <c r="C2310" s="4"/>
      <c r="D2310" s="4"/>
      <c r="E2310" s="4"/>
      <c r="G2310" s="4"/>
      <c r="H2310" s="4"/>
      <c r="K2310" s="4"/>
      <c r="N2310" s="4" t="s">
        <v>4808</v>
      </c>
      <c r="O2310" s="4">
        <v>806</v>
      </c>
    </row>
    <row r="2311" spans="1:15" ht="15.75" customHeight="1">
      <c r="A2311" s="4"/>
      <c r="B2311" s="4"/>
      <c r="C2311" s="4"/>
      <c r="D2311" s="4"/>
      <c r="E2311" s="4"/>
      <c r="G2311" s="4"/>
      <c r="H2311" s="4"/>
      <c r="K2311" s="4"/>
      <c r="N2311" s="4" t="s">
        <v>4811</v>
      </c>
      <c r="O2311" s="4">
        <v>116</v>
      </c>
    </row>
    <row r="2312" spans="1:15" ht="15.75" customHeight="1">
      <c r="A2312" s="4"/>
      <c r="B2312" s="4"/>
      <c r="C2312" s="4"/>
      <c r="D2312" s="4"/>
      <c r="E2312" s="4"/>
      <c r="G2312" s="4"/>
      <c r="H2312" s="4"/>
      <c r="K2312" s="4"/>
      <c r="N2312" s="4" t="s">
        <v>2300</v>
      </c>
      <c r="O2312" s="4">
        <v>619</v>
      </c>
    </row>
    <row r="2313" spans="1:15" ht="15.75" customHeight="1">
      <c r="A2313" s="4"/>
      <c r="B2313" s="4"/>
      <c r="C2313" s="4"/>
      <c r="D2313" s="4"/>
      <c r="E2313" s="4"/>
      <c r="G2313" s="4"/>
      <c r="H2313" s="4"/>
      <c r="K2313" s="4"/>
      <c r="N2313" s="4" t="s">
        <v>4816</v>
      </c>
      <c r="O2313" s="4">
        <v>431</v>
      </c>
    </row>
    <row r="2314" spans="1:15" ht="15.75" customHeight="1">
      <c r="A2314" s="4"/>
      <c r="B2314" s="4"/>
      <c r="C2314" s="4"/>
      <c r="D2314" s="4"/>
      <c r="E2314" s="4"/>
      <c r="G2314" s="4"/>
      <c r="H2314" s="4"/>
      <c r="K2314" s="4"/>
      <c r="N2314" s="4" t="s">
        <v>3950</v>
      </c>
      <c r="O2314" s="4">
        <v>351</v>
      </c>
    </row>
    <row r="2315" spans="1:15" ht="15.75" customHeight="1">
      <c r="A2315" s="4"/>
      <c r="B2315" s="4"/>
      <c r="C2315" s="4"/>
      <c r="D2315" s="4"/>
      <c r="E2315" s="4"/>
      <c r="G2315" s="4"/>
      <c r="H2315" s="4"/>
      <c r="K2315" s="4"/>
      <c r="N2315" s="4" t="s">
        <v>76</v>
      </c>
      <c r="O2315" s="4">
        <v>1185</v>
      </c>
    </row>
    <row r="2316" spans="1:15" ht="15.75" customHeight="1">
      <c r="A2316" s="4"/>
      <c r="B2316" s="4"/>
      <c r="C2316" s="4"/>
      <c r="D2316" s="4"/>
      <c r="E2316" s="4"/>
      <c r="G2316" s="4"/>
      <c r="H2316" s="4"/>
      <c r="K2316" s="4"/>
      <c r="N2316" s="4" t="s">
        <v>73</v>
      </c>
      <c r="O2316" s="4">
        <v>234</v>
      </c>
    </row>
    <row r="2317" spans="1:15" ht="15.75" customHeight="1">
      <c r="B2317" s="4"/>
      <c r="C2317" s="4"/>
      <c r="D2317" s="4"/>
      <c r="E2317" s="4"/>
      <c r="G2317" s="4"/>
      <c r="H2317" s="4"/>
      <c r="K2317" s="4"/>
      <c r="N2317" s="4" t="s">
        <v>111</v>
      </c>
      <c r="O2317" s="4">
        <v>201</v>
      </c>
    </row>
    <row r="2318" spans="1:15" ht="15.75" customHeight="1">
      <c r="A2318" s="4"/>
      <c r="B2318" s="4"/>
      <c r="C2318" s="4"/>
      <c r="D2318" s="4"/>
      <c r="E2318" s="4"/>
      <c r="G2318" s="4"/>
      <c r="H2318" s="4"/>
      <c r="K2318" s="4"/>
      <c r="N2318" s="4" t="s">
        <v>3646</v>
      </c>
      <c r="O2318" s="4">
        <v>289</v>
      </c>
    </row>
    <row r="2319" spans="1:15" ht="15.75" customHeight="1">
      <c r="A2319" s="4"/>
      <c r="B2319" s="4"/>
      <c r="C2319" s="4"/>
      <c r="D2319" s="4"/>
      <c r="E2319" s="4"/>
      <c r="G2319" s="4"/>
      <c r="H2319" s="4"/>
      <c r="I2319" s="4"/>
      <c r="K2319" s="4"/>
      <c r="N2319" s="4" t="s">
        <v>4829</v>
      </c>
      <c r="O2319" s="4">
        <v>309</v>
      </c>
    </row>
    <row r="2320" spans="1:15" ht="15.75" customHeight="1">
      <c r="B2320" s="4"/>
      <c r="C2320" s="4"/>
      <c r="D2320" s="4"/>
      <c r="E2320" s="4"/>
      <c r="G2320" s="4"/>
      <c r="H2320" s="4"/>
      <c r="K2320" s="4"/>
      <c r="N2320" s="4" t="s">
        <v>4833</v>
      </c>
      <c r="O2320" s="4">
        <v>663</v>
      </c>
    </row>
    <row r="2321" spans="1:15" ht="15.75" customHeight="1">
      <c r="A2321" s="4"/>
      <c r="B2321" s="4"/>
      <c r="C2321" s="4"/>
      <c r="D2321" s="4"/>
      <c r="E2321" s="4"/>
      <c r="G2321" s="4"/>
      <c r="H2321" s="4"/>
      <c r="K2321" s="4"/>
    </row>
    <row r="2322" spans="1:15" ht="15.75" customHeight="1">
      <c r="A2322" s="4"/>
      <c r="B2322" s="4"/>
      <c r="C2322" s="4"/>
      <c r="D2322" s="4"/>
      <c r="E2322" s="4"/>
      <c r="G2322" s="4"/>
      <c r="H2322" s="4"/>
      <c r="K2322" s="4"/>
      <c r="N2322" s="4" t="s">
        <v>56</v>
      </c>
      <c r="O2322" s="4">
        <v>387</v>
      </c>
    </row>
    <row r="2323" spans="1:15" ht="15.75" customHeight="1">
      <c r="A2323" s="4"/>
      <c r="B2323" s="4"/>
      <c r="C2323" s="4"/>
      <c r="D2323" s="4"/>
      <c r="E2323" s="4"/>
      <c r="G2323" s="4"/>
      <c r="H2323" s="4"/>
      <c r="I2323" s="4"/>
      <c r="K2323" s="4"/>
      <c r="N2323" s="4" t="s">
        <v>4839</v>
      </c>
      <c r="O2323" s="4">
        <v>462</v>
      </c>
    </row>
    <row r="2324" spans="1:15" ht="15.75" customHeight="1">
      <c r="A2324" s="4"/>
      <c r="B2324" s="4"/>
      <c r="C2324" s="4"/>
      <c r="D2324" s="4"/>
      <c r="E2324" s="4"/>
      <c r="G2324" s="4"/>
      <c r="H2324" s="4"/>
      <c r="K2324" s="4"/>
      <c r="N2324" s="4" t="s">
        <v>56</v>
      </c>
      <c r="O2324" s="4">
        <v>1426</v>
      </c>
    </row>
    <row r="2325" spans="1:15" ht="15.75" customHeight="1">
      <c r="A2325" s="4"/>
      <c r="B2325" s="4"/>
      <c r="C2325" s="4"/>
      <c r="D2325" s="4"/>
      <c r="E2325" s="4"/>
      <c r="G2325" s="4"/>
      <c r="H2325" s="4"/>
      <c r="K2325" s="4"/>
      <c r="N2325" s="4" t="s">
        <v>56</v>
      </c>
      <c r="O2325" s="4">
        <v>1428</v>
      </c>
    </row>
    <row r="2326" spans="1:15" ht="15.75" customHeight="1">
      <c r="A2326" s="4"/>
      <c r="B2326" s="4"/>
      <c r="C2326" s="4"/>
      <c r="D2326" s="4"/>
      <c r="E2326" s="4"/>
      <c r="G2326" s="4"/>
      <c r="H2326" s="4"/>
      <c r="K2326" s="4"/>
      <c r="N2326" s="4" t="s">
        <v>4847</v>
      </c>
      <c r="O2326" s="4">
        <v>3321</v>
      </c>
    </row>
    <row r="2327" spans="1:15" ht="15.75" customHeight="1">
      <c r="A2327" s="4"/>
      <c r="B2327" s="4"/>
      <c r="C2327" s="4"/>
      <c r="D2327" s="4"/>
      <c r="E2327" s="4"/>
      <c r="G2327" s="4"/>
      <c r="H2327" s="4"/>
      <c r="K2327" s="4"/>
      <c r="N2327" s="4" t="s">
        <v>674</v>
      </c>
      <c r="O2327" s="4">
        <v>306</v>
      </c>
    </row>
    <row r="2328" spans="1:15" ht="15.75" customHeight="1">
      <c r="A2328" s="4"/>
      <c r="B2328" s="4"/>
      <c r="C2328" s="4"/>
      <c r="D2328" s="4"/>
      <c r="E2328" s="4"/>
      <c r="G2328" s="4"/>
      <c r="H2328" s="4"/>
      <c r="K2328" s="4"/>
      <c r="N2328" s="4" t="s">
        <v>2538</v>
      </c>
      <c r="O2328" s="4">
        <v>630</v>
      </c>
    </row>
    <row r="2329" spans="1:15" ht="15.75" customHeight="1">
      <c r="A2329" s="4"/>
      <c r="B2329" s="4"/>
      <c r="C2329" s="4"/>
      <c r="D2329" s="4"/>
      <c r="E2329" s="4"/>
      <c r="G2329" s="4"/>
      <c r="H2329" s="4"/>
      <c r="K2329" s="4"/>
      <c r="N2329" s="4" t="s">
        <v>56</v>
      </c>
      <c r="O2329" s="4">
        <v>134</v>
      </c>
    </row>
    <row r="2330" spans="1:15" ht="15.75" customHeight="1">
      <c r="A2330" s="4"/>
      <c r="B2330" s="4"/>
      <c r="C2330" s="4"/>
      <c r="D2330" s="4"/>
      <c r="E2330" s="4"/>
      <c r="G2330" s="4"/>
      <c r="H2330" s="4"/>
      <c r="K2330" s="4"/>
      <c r="N2330" s="4" t="s">
        <v>56</v>
      </c>
      <c r="O2330" s="4">
        <v>930</v>
      </c>
    </row>
    <row r="2331" spans="1:15" ht="15.75" customHeight="1">
      <c r="A2331" s="4"/>
      <c r="B2331" s="4"/>
      <c r="C2331" s="4"/>
      <c r="D2331" s="4"/>
      <c r="E2331" s="4"/>
      <c r="G2331" s="4"/>
      <c r="H2331" s="4"/>
      <c r="K2331" s="4"/>
      <c r="N2331" s="4" t="s">
        <v>56</v>
      </c>
      <c r="O2331" s="4">
        <v>379</v>
      </c>
    </row>
    <row r="2332" spans="1:15" ht="15.75" customHeight="1">
      <c r="A2332" s="4"/>
      <c r="B2332" s="4"/>
      <c r="C2332" s="4"/>
      <c r="D2332" s="4"/>
      <c r="E2332" s="4"/>
      <c r="G2332" s="4"/>
      <c r="H2332" s="4"/>
      <c r="K2332" s="4"/>
      <c r="N2332" s="4" t="s">
        <v>56</v>
      </c>
      <c r="O2332" s="4">
        <v>677</v>
      </c>
    </row>
    <row r="2333" spans="1:15" ht="15.75" customHeight="1">
      <c r="A2333" s="4"/>
      <c r="B2333" s="4"/>
      <c r="C2333" s="4"/>
      <c r="D2333" s="4"/>
      <c r="E2333" s="4"/>
      <c r="G2333" s="4"/>
      <c r="H2333" s="4"/>
      <c r="I2333" s="4"/>
      <c r="K2333" s="4"/>
      <c r="N2333" s="4" t="s">
        <v>4861</v>
      </c>
      <c r="O2333" s="4">
        <v>506</v>
      </c>
    </row>
    <row r="2334" spans="1:15" ht="15.75" customHeight="1">
      <c r="A2334" s="4"/>
      <c r="B2334" s="4"/>
      <c r="C2334" s="4"/>
      <c r="D2334" s="4"/>
      <c r="E2334" s="4"/>
      <c r="G2334" s="4"/>
      <c r="H2334" s="4"/>
      <c r="K2334" s="4"/>
      <c r="N2334" s="4" t="s">
        <v>421</v>
      </c>
      <c r="O2334" s="4">
        <v>518</v>
      </c>
    </row>
    <row r="2335" spans="1:15" ht="15.75" customHeight="1">
      <c r="A2335" s="4"/>
      <c r="B2335" s="4"/>
      <c r="C2335" s="4"/>
      <c r="D2335" s="4"/>
      <c r="E2335" s="4"/>
      <c r="G2335" s="4"/>
      <c r="H2335" s="4"/>
      <c r="K2335" s="4"/>
      <c r="N2335" s="4" t="s">
        <v>56</v>
      </c>
      <c r="O2335" s="4">
        <v>504</v>
      </c>
    </row>
    <row r="2336" spans="1:15" ht="15.75" customHeight="1">
      <c r="A2336" s="4"/>
      <c r="B2336" s="4"/>
      <c r="C2336" s="4"/>
      <c r="D2336" s="4"/>
      <c r="E2336" s="4"/>
      <c r="G2336" s="4"/>
      <c r="H2336" s="4"/>
      <c r="K2336" s="4"/>
    </row>
    <row r="2337" spans="1:15" ht="15.75" customHeight="1">
      <c r="A2337" s="4"/>
      <c r="B2337" s="4"/>
      <c r="C2337" s="4"/>
      <c r="D2337" s="4"/>
      <c r="E2337" s="4"/>
      <c r="G2337" s="4"/>
      <c r="H2337" s="4"/>
      <c r="K2337" s="4"/>
      <c r="N2337" s="4" t="s">
        <v>56</v>
      </c>
      <c r="O2337" s="4">
        <v>113</v>
      </c>
    </row>
    <row r="2338" spans="1:15" ht="15.75" customHeight="1">
      <c r="A2338" s="4"/>
      <c r="B2338" s="4"/>
      <c r="C2338" s="4"/>
      <c r="D2338" s="4"/>
      <c r="E2338" s="4"/>
      <c r="G2338" s="4"/>
      <c r="H2338" s="4"/>
      <c r="I2338" s="4"/>
      <c r="K2338" s="4"/>
      <c r="N2338" s="4" t="s">
        <v>4872</v>
      </c>
      <c r="O2338" s="4">
        <v>151</v>
      </c>
    </row>
    <row r="2339" spans="1:15" ht="15.75" customHeight="1">
      <c r="A2339" s="4"/>
      <c r="B2339" s="4"/>
      <c r="C2339" s="4"/>
      <c r="D2339" s="4"/>
      <c r="E2339" s="4"/>
      <c r="G2339" s="4"/>
      <c r="H2339" s="4"/>
      <c r="K2339" s="4"/>
      <c r="N2339" s="4" t="s">
        <v>4876</v>
      </c>
      <c r="O2339" s="4">
        <v>668</v>
      </c>
    </row>
    <row r="2340" spans="1:15" ht="15.75" customHeight="1">
      <c r="A2340" s="4"/>
      <c r="B2340" s="4"/>
      <c r="C2340" s="4"/>
      <c r="D2340" s="4"/>
      <c r="E2340" s="4"/>
      <c r="G2340" s="4"/>
      <c r="H2340" s="4"/>
      <c r="K2340" s="4"/>
      <c r="N2340" s="4" t="s">
        <v>56</v>
      </c>
      <c r="O2340" s="4">
        <v>99</v>
      </c>
    </row>
    <row r="2341" spans="1:15" ht="15.75" customHeight="1">
      <c r="A2341" s="4"/>
      <c r="B2341" s="4"/>
      <c r="C2341" s="4"/>
      <c r="D2341" s="4"/>
      <c r="E2341" s="4"/>
      <c r="G2341" s="4"/>
      <c r="H2341" s="4"/>
      <c r="K2341" s="4"/>
      <c r="N2341" s="4" t="s">
        <v>4881</v>
      </c>
      <c r="O2341" s="4">
        <v>195</v>
      </c>
    </row>
    <row r="2342" spans="1:15" ht="15.75" customHeight="1">
      <c r="A2342" s="4"/>
      <c r="B2342" s="4"/>
      <c r="C2342" s="4"/>
      <c r="D2342" s="4"/>
      <c r="E2342" s="4"/>
      <c r="G2342" s="4"/>
      <c r="H2342" s="4"/>
      <c r="K2342" s="4"/>
      <c r="N2342" s="4" t="s">
        <v>3345</v>
      </c>
      <c r="O2342" s="4">
        <v>288</v>
      </c>
    </row>
    <row r="2343" spans="1:15" ht="15.75" customHeight="1">
      <c r="A2343" s="4"/>
      <c r="B2343" s="4"/>
      <c r="C2343" s="4"/>
      <c r="D2343" s="4"/>
      <c r="E2343" s="4"/>
      <c r="G2343" s="4"/>
      <c r="H2343" s="4"/>
      <c r="K2343" s="4"/>
      <c r="N2343" s="4" t="s">
        <v>4682</v>
      </c>
      <c r="O2343" s="4">
        <v>137</v>
      </c>
    </row>
    <row r="2344" spans="1:15" ht="15.75" customHeight="1">
      <c r="A2344" s="4"/>
      <c r="B2344" s="4"/>
      <c r="C2344" s="4"/>
      <c r="D2344" s="4"/>
      <c r="E2344" s="4"/>
      <c r="G2344" s="4"/>
      <c r="H2344" s="4"/>
      <c r="K2344" s="4"/>
      <c r="N2344" s="4" t="s">
        <v>56</v>
      </c>
      <c r="O2344" s="4">
        <v>125</v>
      </c>
    </row>
    <row r="2345" spans="1:15" ht="15.75" customHeight="1">
      <c r="A2345" s="4"/>
      <c r="B2345" s="4"/>
      <c r="C2345" s="4"/>
      <c r="D2345" s="4"/>
      <c r="E2345" s="4"/>
      <c r="G2345" s="4"/>
      <c r="H2345" s="4"/>
      <c r="K2345" s="4"/>
      <c r="N2345" s="4" t="s">
        <v>4890</v>
      </c>
      <c r="O2345" s="4">
        <v>352</v>
      </c>
    </row>
    <row r="2346" spans="1:15" ht="15.75" customHeight="1">
      <c r="A2346" s="4"/>
      <c r="B2346" s="4"/>
      <c r="C2346" s="4"/>
      <c r="D2346" s="4"/>
      <c r="E2346" s="4"/>
      <c r="G2346" s="4"/>
      <c r="H2346" s="4"/>
      <c r="I2346" s="4"/>
      <c r="K2346" s="4"/>
      <c r="N2346" s="4" t="s">
        <v>4893</v>
      </c>
      <c r="O2346" s="4">
        <v>335</v>
      </c>
    </row>
    <row r="2347" spans="1:15" ht="15.75" customHeight="1">
      <c r="A2347" s="4"/>
      <c r="B2347" s="4"/>
      <c r="C2347" s="4"/>
      <c r="D2347" s="4"/>
      <c r="E2347" s="4"/>
      <c r="G2347" s="4"/>
      <c r="H2347" s="4"/>
      <c r="K2347" s="4"/>
      <c r="N2347" s="4" t="s">
        <v>3215</v>
      </c>
      <c r="O2347" s="4">
        <v>459</v>
      </c>
    </row>
    <row r="2348" spans="1:15" ht="15.75" customHeight="1">
      <c r="A2348" s="4"/>
      <c r="B2348" s="4"/>
      <c r="C2348" s="4"/>
      <c r="D2348" s="4"/>
      <c r="E2348" s="4"/>
      <c r="G2348" s="4"/>
      <c r="H2348" s="4"/>
      <c r="I2348" s="4"/>
      <c r="K2348" s="4"/>
      <c r="N2348" s="4" t="s">
        <v>4899</v>
      </c>
      <c r="O2348" s="4">
        <v>448</v>
      </c>
    </row>
    <row r="2349" spans="1:15" ht="15.75" customHeight="1">
      <c r="A2349" s="4"/>
      <c r="B2349" s="4"/>
      <c r="C2349" s="4"/>
      <c r="D2349" s="4"/>
      <c r="E2349" s="4"/>
      <c r="G2349" s="4"/>
      <c r="H2349" s="4"/>
      <c r="I2349" s="4"/>
      <c r="K2349" s="4"/>
      <c r="N2349" s="4" t="s">
        <v>4903</v>
      </c>
      <c r="O2349" s="4">
        <v>234</v>
      </c>
    </row>
    <row r="2350" spans="1:15" ht="15.75" customHeight="1">
      <c r="A2350" s="4"/>
      <c r="B2350" s="4"/>
      <c r="C2350" s="4"/>
      <c r="D2350" s="4"/>
      <c r="E2350" s="4"/>
      <c r="G2350" s="4"/>
      <c r="H2350" s="4"/>
      <c r="K2350" s="4"/>
      <c r="N2350" s="4" t="s">
        <v>4907</v>
      </c>
      <c r="O2350" s="4">
        <v>383</v>
      </c>
    </row>
    <row r="2351" spans="1:15" ht="15.75" customHeight="1">
      <c r="A2351" s="4"/>
      <c r="B2351" s="4"/>
      <c r="C2351" s="4"/>
      <c r="D2351" s="4"/>
      <c r="E2351" s="4"/>
      <c r="G2351" s="4"/>
      <c r="H2351" s="4"/>
      <c r="I2351" s="4"/>
      <c r="K2351" s="4"/>
      <c r="N2351" s="4" t="s">
        <v>4910</v>
      </c>
      <c r="O2351" s="4">
        <v>301</v>
      </c>
    </row>
    <row r="2352" spans="1:15" ht="15.75" customHeight="1">
      <c r="A2352" s="4"/>
      <c r="B2352" s="4"/>
      <c r="C2352" s="4"/>
      <c r="D2352" s="4"/>
      <c r="E2352" s="4"/>
      <c r="G2352" s="4"/>
      <c r="H2352" s="4"/>
      <c r="I2352" s="4"/>
      <c r="K2352" s="4"/>
      <c r="N2352" s="4" t="s">
        <v>4914</v>
      </c>
      <c r="O2352" s="4">
        <v>255</v>
      </c>
    </row>
    <row r="2353" spans="1:15" ht="15.75" customHeight="1">
      <c r="A2353" s="4"/>
      <c r="B2353" s="4"/>
      <c r="C2353" s="4"/>
      <c r="D2353" s="4"/>
      <c r="E2353" s="4"/>
      <c r="G2353" s="4"/>
      <c r="H2353" s="4"/>
      <c r="K2353" s="4"/>
      <c r="N2353" s="4" t="s">
        <v>56</v>
      </c>
      <c r="O2353" s="4">
        <v>169</v>
      </c>
    </row>
    <row r="2354" spans="1:15" ht="15.75" customHeight="1">
      <c r="A2354" s="4"/>
      <c r="B2354" s="4"/>
      <c r="C2354" s="4"/>
      <c r="D2354" s="4"/>
      <c r="E2354" s="4"/>
      <c r="G2354" s="4"/>
      <c r="H2354" s="4"/>
      <c r="K2354" s="4"/>
      <c r="N2354" s="4" t="s">
        <v>56</v>
      </c>
      <c r="O2354" s="4">
        <v>240</v>
      </c>
    </row>
    <row r="2355" spans="1:15" ht="15.75" customHeight="1">
      <c r="A2355" s="4"/>
      <c r="B2355" s="4"/>
      <c r="C2355" s="4"/>
      <c r="D2355" s="4"/>
      <c r="E2355" s="4"/>
      <c r="G2355" s="4"/>
      <c r="H2355" s="4"/>
      <c r="K2355" s="4"/>
      <c r="N2355" s="4" t="s">
        <v>56</v>
      </c>
      <c r="O2355" s="4">
        <v>124</v>
      </c>
    </row>
    <row r="2356" spans="1:15" ht="15.75" customHeight="1">
      <c r="A2356" s="4"/>
      <c r="B2356" s="4"/>
      <c r="C2356" s="4"/>
      <c r="D2356" s="4"/>
      <c r="E2356" s="4"/>
      <c r="G2356" s="4"/>
      <c r="H2356" s="4"/>
      <c r="K2356" s="4"/>
      <c r="N2356" s="4" t="s">
        <v>111</v>
      </c>
      <c r="O2356" s="4">
        <v>192</v>
      </c>
    </row>
    <row r="2357" spans="1:15" ht="15.75" customHeight="1">
      <c r="A2357" s="4"/>
      <c r="B2357" s="4"/>
      <c r="C2357" s="4"/>
      <c r="D2357" s="4"/>
      <c r="E2357" s="4"/>
      <c r="G2357" s="4"/>
      <c r="H2357" s="4"/>
      <c r="K2357" s="4"/>
      <c r="N2357" s="4" t="s">
        <v>255</v>
      </c>
      <c r="O2357" s="4">
        <v>608</v>
      </c>
    </row>
    <row r="2358" spans="1:15" ht="15.75" customHeight="1">
      <c r="A2358" s="4"/>
      <c r="B2358" s="4"/>
      <c r="C2358" s="4"/>
      <c r="D2358" s="4"/>
      <c r="E2358" s="4"/>
      <c r="G2358" s="4"/>
      <c r="H2358" s="4"/>
      <c r="K2358" s="4"/>
      <c r="N2358" s="4" t="s">
        <v>56</v>
      </c>
      <c r="O2358" s="4">
        <v>379</v>
      </c>
    </row>
    <row r="2359" spans="1:15" ht="15.75" customHeight="1">
      <c r="A2359" s="4"/>
      <c r="B2359" s="4"/>
      <c r="C2359" s="4"/>
      <c r="D2359" s="4"/>
      <c r="E2359" s="4"/>
      <c r="G2359" s="4"/>
      <c r="H2359" s="4"/>
      <c r="K2359" s="4"/>
    </row>
    <row r="2360" spans="1:15" ht="15.75" customHeight="1">
      <c r="A2360" s="4"/>
      <c r="B2360" s="4"/>
      <c r="C2360" s="4"/>
      <c r="D2360" s="4"/>
      <c r="E2360" s="4"/>
      <c r="G2360" s="4"/>
      <c r="H2360" s="4"/>
      <c r="I2360" s="4"/>
      <c r="K2360" s="4"/>
      <c r="N2360" s="4" t="s">
        <v>4931</v>
      </c>
      <c r="O2360" s="4">
        <v>341</v>
      </c>
    </row>
    <row r="2361" spans="1:15" ht="15.75" customHeight="1">
      <c r="A2361" s="4"/>
      <c r="B2361" s="4"/>
      <c r="C2361" s="4"/>
      <c r="D2361" s="4"/>
      <c r="E2361" s="4"/>
      <c r="G2361" s="4"/>
      <c r="H2361" s="4"/>
      <c r="I2361" s="4"/>
      <c r="K2361" s="4"/>
      <c r="N2361" s="4" t="s">
        <v>4935</v>
      </c>
      <c r="O2361" s="4">
        <v>260</v>
      </c>
    </row>
    <row r="2362" spans="1:15" ht="15.75" customHeight="1">
      <c r="A2362" s="4"/>
      <c r="B2362" s="4"/>
      <c r="C2362" s="4"/>
      <c r="D2362" s="4"/>
      <c r="E2362" s="4"/>
      <c r="G2362" s="4"/>
      <c r="H2362" s="4"/>
      <c r="K2362" s="4"/>
      <c r="N2362" s="4" t="s">
        <v>4939</v>
      </c>
      <c r="O2362" s="4">
        <v>199</v>
      </c>
    </row>
    <row r="2363" spans="1:15" ht="15.75" customHeight="1">
      <c r="A2363" s="4"/>
      <c r="B2363" s="4"/>
      <c r="C2363" s="4"/>
      <c r="D2363" s="4"/>
      <c r="E2363" s="4"/>
      <c r="G2363" s="4"/>
      <c r="H2363" s="4"/>
      <c r="I2363" s="4"/>
      <c r="K2363" s="4"/>
      <c r="N2363" s="4" t="s">
        <v>4942</v>
      </c>
      <c r="O2363" s="4">
        <v>406</v>
      </c>
    </row>
    <row r="2364" spans="1:15" ht="15.75" customHeight="1">
      <c r="A2364" s="4"/>
      <c r="B2364" s="4"/>
      <c r="C2364" s="4"/>
      <c r="D2364" s="4"/>
      <c r="E2364" s="4"/>
      <c r="G2364" s="4"/>
      <c r="H2364" s="4"/>
      <c r="I2364" s="4"/>
      <c r="K2364" s="4"/>
      <c r="N2364" s="4" t="s">
        <v>4946</v>
      </c>
      <c r="O2364" s="4">
        <v>264</v>
      </c>
    </row>
    <row r="2365" spans="1:15" ht="15.75" customHeight="1">
      <c r="A2365" s="4"/>
      <c r="B2365" s="4"/>
      <c r="C2365" s="4"/>
      <c r="D2365" s="4"/>
      <c r="E2365" s="4"/>
      <c r="G2365" s="4"/>
      <c r="H2365" s="4"/>
      <c r="K2365" s="4"/>
      <c r="N2365" s="4" t="s">
        <v>4950</v>
      </c>
      <c r="O2365" s="4">
        <v>219</v>
      </c>
    </row>
    <row r="2366" spans="1:15" ht="15.75" customHeight="1">
      <c r="A2366" s="4"/>
      <c r="B2366" s="4"/>
      <c r="C2366" s="4"/>
      <c r="D2366" s="4"/>
      <c r="E2366" s="4"/>
      <c r="G2366" s="4"/>
      <c r="H2366" s="4"/>
      <c r="K2366" s="4"/>
      <c r="N2366" s="4" t="s">
        <v>4953</v>
      </c>
      <c r="O2366" s="4">
        <v>194</v>
      </c>
    </row>
    <row r="2367" spans="1:15" ht="15.75" customHeight="1">
      <c r="A2367" s="4"/>
      <c r="B2367" s="4"/>
      <c r="C2367" s="4"/>
      <c r="D2367" s="4"/>
      <c r="E2367" s="4"/>
      <c r="G2367" s="4"/>
      <c r="H2367" s="4"/>
      <c r="K2367" s="4"/>
      <c r="N2367" s="4" t="s">
        <v>4956</v>
      </c>
      <c r="O2367" s="4">
        <v>75</v>
      </c>
    </row>
    <row r="2368" spans="1:15" ht="15.75" customHeight="1">
      <c r="A2368" s="4"/>
      <c r="B2368" s="4"/>
      <c r="C2368" s="4"/>
      <c r="D2368" s="4"/>
      <c r="E2368" s="4"/>
      <c r="G2368" s="4"/>
      <c r="H2368" s="4"/>
      <c r="K2368" s="4"/>
      <c r="N2368" s="4" t="s">
        <v>2300</v>
      </c>
      <c r="O2368" s="4">
        <v>618</v>
      </c>
    </row>
    <row r="2369" spans="1:15" ht="15.75" customHeight="1">
      <c r="A2369" s="4"/>
      <c r="B2369" s="4"/>
      <c r="C2369" s="4"/>
      <c r="D2369" s="4"/>
      <c r="E2369" s="4"/>
      <c r="G2369" s="4"/>
      <c r="H2369" s="4"/>
      <c r="K2369" s="4"/>
      <c r="N2369" s="4" t="s">
        <v>56</v>
      </c>
      <c r="O2369" s="4">
        <v>61</v>
      </c>
    </row>
    <row r="2370" spans="1:15" ht="15.75" customHeight="1">
      <c r="A2370" s="4"/>
      <c r="B2370" s="4"/>
      <c r="C2370" s="4"/>
      <c r="D2370" s="4"/>
      <c r="E2370" s="4"/>
      <c r="G2370" s="4"/>
      <c r="H2370" s="4"/>
      <c r="K2370" s="4"/>
      <c r="N2370" s="4" t="s">
        <v>56</v>
      </c>
      <c r="O2370" s="4">
        <v>73</v>
      </c>
    </row>
    <row r="2371" spans="1:15" ht="15.75" customHeight="1">
      <c r="A2371" s="4"/>
      <c r="B2371" s="4"/>
      <c r="C2371" s="4"/>
      <c r="D2371" s="4"/>
      <c r="E2371" s="4"/>
      <c r="G2371" s="4"/>
      <c r="H2371" s="4"/>
      <c r="K2371" s="4"/>
      <c r="N2371" s="4" t="s">
        <v>3422</v>
      </c>
      <c r="O2371" s="4">
        <v>217</v>
      </c>
    </row>
    <row r="2372" spans="1:15" ht="15.75" customHeight="1">
      <c r="A2372" s="4"/>
      <c r="B2372" s="4"/>
      <c r="C2372" s="4"/>
      <c r="D2372" s="4"/>
      <c r="E2372" s="4"/>
      <c r="G2372" s="4"/>
      <c r="H2372" s="4"/>
      <c r="K2372" s="4"/>
      <c r="N2372" s="4" t="s">
        <v>4967</v>
      </c>
      <c r="O2372" s="4">
        <v>417</v>
      </c>
    </row>
    <row r="2373" spans="1:15" ht="15.75" customHeight="1">
      <c r="A2373" s="4"/>
      <c r="B2373" s="4"/>
      <c r="C2373" s="4"/>
      <c r="D2373" s="4"/>
      <c r="E2373" s="4"/>
      <c r="G2373" s="4"/>
      <c r="H2373" s="4"/>
      <c r="K2373" s="4"/>
      <c r="N2373" s="4" t="s">
        <v>76</v>
      </c>
      <c r="O2373" s="4">
        <v>209</v>
      </c>
    </row>
    <row r="2374" spans="1:15" ht="15.75" customHeight="1">
      <c r="B2374" s="4"/>
      <c r="C2374" s="4"/>
      <c r="D2374" s="4"/>
      <c r="E2374" s="4"/>
      <c r="G2374" s="4"/>
      <c r="H2374" s="4"/>
      <c r="K2374" s="4"/>
      <c r="N2374" s="4" t="s">
        <v>4972</v>
      </c>
      <c r="O2374" s="4">
        <v>309</v>
      </c>
    </row>
    <row r="2375" spans="1:15" ht="15.75" customHeight="1">
      <c r="A2375" s="4"/>
      <c r="B2375" s="4"/>
      <c r="C2375" s="4"/>
      <c r="D2375" s="4"/>
      <c r="E2375" s="4"/>
      <c r="G2375" s="4"/>
      <c r="H2375" s="4"/>
      <c r="K2375" s="4"/>
      <c r="N2375" s="4" t="s">
        <v>76</v>
      </c>
      <c r="O2375" s="4">
        <v>220</v>
      </c>
    </row>
    <row r="2376" spans="1:15" ht="15.75" customHeight="1">
      <c r="A2376" s="4"/>
      <c r="B2376" s="4"/>
      <c r="C2376" s="4"/>
      <c r="D2376" s="4"/>
      <c r="E2376" s="4"/>
      <c r="G2376" s="4"/>
      <c r="H2376" s="4"/>
      <c r="K2376" s="4"/>
      <c r="N2376" s="4" t="s">
        <v>56</v>
      </c>
      <c r="O2376" s="4">
        <v>86</v>
      </c>
    </row>
    <row r="2377" spans="1:15" ht="15.75" customHeight="1">
      <c r="A2377" s="4"/>
      <c r="B2377" s="4"/>
      <c r="C2377" s="4"/>
      <c r="D2377" s="4"/>
      <c r="E2377" s="4"/>
      <c r="G2377" s="4"/>
      <c r="H2377" s="4"/>
      <c r="K2377" s="4"/>
      <c r="N2377" s="4" t="s">
        <v>111</v>
      </c>
      <c r="O2377" s="4">
        <v>200</v>
      </c>
    </row>
    <row r="2378" spans="1:15" ht="15.75" customHeight="1">
      <c r="A2378" s="4"/>
      <c r="B2378" s="4"/>
      <c r="C2378" s="4"/>
      <c r="D2378" s="4"/>
      <c r="E2378" s="4"/>
      <c r="G2378" s="4"/>
      <c r="H2378" s="4"/>
      <c r="K2378" s="4"/>
      <c r="N2378" s="4" t="s">
        <v>4981</v>
      </c>
      <c r="O2378" s="4">
        <v>1103</v>
      </c>
    </row>
    <row r="2379" spans="1:15" ht="15.75" customHeight="1">
      <c r="A2379" s="4"/>
      <c r="B2379" s="4"/>
      <c r="C2379" s="4"/>
      <c r="D2379" s="4"/>
      <c r="E2379" s="4"/>
      <c r="G2379" s="4"/>
      <c r="H2379" s="4"/>
      <c r="K2379" s="4"/>
    </row>
    <row r="2380" spans="1:15" ht="15.75" customHeight="1">
      <c r="A2380" s="4"/>
      <c r="B2380" s="4"/>
      <c r="C2380" s="4"/>
      <c r="D2380" s="4"/>
      <c r="E2380" s="4"/>
      <c r="G2380" s="4"/>
      <c r="H2380" s="4"/>
      <c r="K2380" s="4"/>
      <c r="N2380" s="4" t="s">
        <v>255</v>
      </c>
      <c r="O2380" s="4">
        <v>457</v>
      </c>
    </row>
    <row r="2381" spans="1:15" ht="15.75" customHeight="1">
      <c r="A2381" s="4"/>
      <c r="B2381" s="4"/>
      <c r="C2381" s="4"/>
      <c r="D2381" s="4"/>
      <c r="E2381" s="4"/>
      <c r="G2381" s="4"/>
      <c r="H2381" s="4"/>
      <c r="K2381" s="4"/>
      <c r="N2381" s="4" t="s">
        <v>73</v>
      </c>
      <c r="O2381" s="4">
        <v>530</v>
      </c>
    </row>
    <row r="2382" spans="1:15" ht="15.75" customHeight="1">
      <c r="A2382" s="4"/>
      <c r="B2382" s="4"/>
      <c r="C2382" s="4"/>
      <c r="D2382" s="4"/>
      <c r="E2382" s="4"/>
      <c r="G2382" s="4"/>
      <c r="H2382" s="4"/>
      <c r="K2382" s="4"/>
      <c r="N2382" s="4" t="s">
        <v>4989</v>
      </c>
      <c r="O2382" s="4">
        <v>291</v>
      </c>
    </row>
    <row r="2383" spans="1:15" ht="15.75" customHeight="1">
      <c r="A2383" s="4"/>
      <c r="B2383" s="4"/>
      <c r="C2383" s="4"/>
      <c r="D2383" s="4"/>
      <c r="E2383" s="4"/>
      <c r="G2383" s="4"/>
      <c r="H2383" s="4"/>
      <c r="K2383" s="4"/>
      <c r="N2383" s="4" t="s">
        <v>56</v>
      </c>
      <c r="O2383" s="4">
        <v>106</v>
      </c>
    </row>
    <row r="2384" spans="1:15" ht="15.75" customHeight="1">
      <c r="A2384" s="4"/>
      <c r="B2384" s="4"/>
      <c r="C2384" s="4"/>
      <c r="D2384" s="4"/>
      <c r="E2384" s="4"/>
      <c r="G2384" s="4"/>
      <c r="H2384" s="4"/>
      <c r="K2384" s="4"/>
      <c r="N2384" s="4" t="s">
        <v>56</v>
      </c>
      <c r="O2384" s="4">
        <v>118</v>
      </c>
    </row>
    <row r="2385" spans="1:15" ht="15.75" customHeight="1">
      <c r="A2385" s="4"/>
      <c r="B2385" s="4"/>
      <c r="C2385" s="4"/>
      <c r="D2385" s="4"/>
      <c r="E2385" s="4"/>
      <c r="G2385" s="4"/>
      <c r="H2385" s="4"/>
      <c r="K2385" s="4"/>
      <c r="N2385" s="4" t="s">
        <v>2401</v>
      </c>
      <c r="O2385" s="4">
        <v>230</v>
      </c>
    </row>
    <row r="2386" spans="1:15" ht="15.75" customHeight="1">
      <c r="A2386" s="4"/>
      <c r="B2386" s="4"/>
      <c r="C2386" s="4"/>
      <c r="D2386" s="4"/>
      <c r="E2386" s="4"/>
      <c r="G2386" s="4"/>
      <c r="H2386" s="4"/>
      <c r="K2386" s="4"/>
      <c r="N2386" s="4" t="s">
        <v>4998</v>
      </c>
      <c r="O2386" s="4">
        <v>216</v>
      </c>
    </row>
    <row r="2387" spans="1:15" ht="15.75" customHeight="1">
      <c r="A2387" s="4"/>
      <c r="B2387" s="4"/>
      <c r="C2387" s="4"/>
      <c r="D2387" s="4"/>
      <c r="E2387" s="4"/>
      <c r="G2387" s="4"/>
      <c r="H2387" s="4"/>
      <c r="K2387" s="4"/>
      <c r="N2387" s="4" t="s">
        <v>674</v>
      </c>
      <c r="O2387" s="4">
        <v>306</v>
      </c>
    </row>
    <row r="2388" spans="1:15" ht="15.75" customHeight="1">
      <c r="A2388" s="4"/>
      <c r="B2388" s="4"/>
      <c r="C2388" s="4"/>
      <c r="D2388" s="4"/>
      <c r="E2388" s="4"/>
      <c r="G2388" s="4"/>
      <c r="H2388" s="4"/>
      <c r="K2388" s="4"/>
      <c r="N2388" s="4" t="s">
        <v>3422</v>
      </c>
      <c r="O2388" s="4">
        <v>291</v>
      </c>
    </row>
    <row r="2389" spans="1:15" ht="15.75" customHeight="1">
      <c r="A2389" s="4"/>
      <c r="B2389" s="4"/>
      <c r="C2389" s="4"/>
      <c r="D2389" s="4"/>
      <c r="E2389" s="4"/>
      <c r="G2389" s="4"/>
      <c r="H2389" s="4"/>
      <c r="K2389" s="4"/>
      <c r="N2389" s="4" t="s">
        <v>56</v>
      </c>
      <c r="O2389" s="4">
        <v>71</v>
      </c>
    </row>
    <row r="2390" spans="1:15" ht="15.75" customHeight="1">
      <c r="A2390" s="4"/>
      <c r="B2390" s="4"/>
      <c r="C2390" s="4"/>
      <c r="D2390" s="4"/>
      <c r="E2390" s="4"/>
      <c r="G2390" s="4"/>
      <c r="H2390" s="4"/>
      <c r="K2390" s="4"/>
      <c r="N2390" s="4" t="s">
        <v>56</v>
      </c>
      <c r="O2390" s="4">
        <v>96</v>
      </c>
    </row>
    <row r="2391" spans="1:15" ht="15.75" customHeight="1">
      <c r="A2391" s="4"/>
      <c r="B2391" s="4"/>
      <c r="C2391" s="4"/>
      <c r="D2391" s="4"/>
      <c r="E2391" s="4"/>
      <c r="G2391" s="4"/>
      <c r="H2391" s="4"/>
      <c r="K2391" s="4"/>
      <c r="N2391" s="4" t="s">
        <v>5008</v>
      </c>
      <c r="O2391" s="4">
        <v>109</v>
      </c>
    </row>
    <row r="2392" spans="1:15" ht="15.75" customHeight="1">
      <c r="A2392" s="4"/>
      <c r="B2392" s="4"/>
      <c r="C2392" s="4"/>
      <c r="D2392" s="4"/>
      <c r="E2392" s="4"/>
      <c r="G2392" s="4"/>
      <c r="H2392" s="4"/>
      <c r="K2392" s="4"/>
      <c r="N2392" s="4" t="s">
        <v>5011</v>
      </c>
      <c r="O2392" s="4">
        <v>236</v>
      </c>
    </row>
    <row r="2393" spans="1:15" ht="15.75" customHeight="1">
      <c r="A2393" s="4"/>
      <c r="B2393" s="4"/>
      <c r="C2393" s="4"/>
      <c r="D2393" s="4"/>
      <c r="E2393" s="4"/>
      <c r="G2393" s="4"/>
      <c r="H2393" s="4"/>
      <c r="K2393" s="4"/>
      <c r="N2393" s="4" t="s">
        <v>5014</v>
      </c>
      <c r="O2393" s="4">
        <v>716</v>
      </c>
    </row>
    <row r="2394" spans="1:15" ht="15.75" customHeight="1">
      <c r="A2394" s="4"/>
      <c r="B2394" s="4"/>
      <c r="C2394" s="4"/>
      <c r="D2394" s="4"/>
      <c r="E2394" s="4"/>
      <c r="G2394" s="4"/>
      <c r="H2394" s="4"/>
      <c r="K2394" s="4"/>
      <c r="N2394" s="4" t="s">
        <v>56</v>
      </c>
      <c r="O2394" s="4">
        <v>157</v>
      </c>
    </row>
    <row r="2395" spans="1:15" ht="15.75" customHeight="1">
      <c r="A2395" s="4"/>
      <c r="B2395" s="4"/>
      <c r="C2395" s="4"/>
      <c r="D2395" s="4"/>
      <c r="E2395" s="4"/>
      <c r="G2395" s="4"/>
      <c r="H2395" s="4"/>
      <c r="K2395" s="4"/>
      <c r="N2395" s="4" t="s">
        <v>56</v>
      </c>
      <c r="O2395" s="4">
        <v>203</v>
      </c>
    </row>
    <row r="2396" spans="1:15" ht="15.75" customHeight="1">
      <c r="A2396" s="4"/>
      <c r="B2396" s="4"/>
      <c r="C2396" s="4"/>
      <c r="D2396" s="4"/>
      <c r="E2396" s="4"/>
      <c r="G2396" s="4"/>
      <c r="H2396" s="4"/>
      <c r="K2396" s="4"/>
      <c r="N2396" s="4" t="s">
        <v>56</v>
      </c>
      <c r="O2396" s="4">
        <v>62</v>
      </c>
    </row>
    <row r="2397" spans="1:15" ht="15.75" customHeight="1">
      <c r="A2397" s="4"/>
      <c r="B2397" s="4"/>
      <c r="C2397" s="4"/>
      <c r="D2397" s="4"/>
      <c r="E2397" s="4"/>
      <c r="G2397" s="4"/>
      <c r="H2397" s="4"/>
      <c r="K2397" s="4"/>
      <c r="N2397" s="4" t="s">
        <v>3757</v>
      </c>
      <c r="O2397" s="4">
        <v>103</v>
      </c>
    </row>
    <row r="2398" spans="1:15" ht="15.75" customHeight="1">
      <c r="A2398" s="4"/>
      <c r="B2398" s="4"/>
      <c r="C2398" s="4"/>
      <c r="D2398" s="4"/>
      <c r="E2398" s="4"/>
      <c r="G2398" s="4"/>
      <c r="H2398" s="4"/>
      <c r="K2398" s="4"/>
      <c r="N2398" s="4" t="s">
        <v>934</v>
      </c>
      <c r="O2398" s="4">
        <v>211</v>
      </c>
    </row>
    <row r="2399" spans="1:15" ht="15.75" customHeight="1">
      <c r="A2399" s="4"/>
      <c r="B2399" s="4"/>
      <c r="C2399" s="4"/>
      <c r="D2399" s="4"/>
      <c r="E2399" s="4"/>
      <c r="G2399" s="4"/>
      <c r="H2399" s="4"/>
      <c r="K2399" s="4"/>
      <c r="N2399" s="4" t="s">
        <v>443</v>
      </c>
      <c r="O2399" s="4">
        <v>480</v>
      </c>
    </row>
    <row r="2400" spans="1:15" ht="15.75" customHeight="1">
      <c r="A2400" s="4"/>
      <c r="B2400" s="4"/>
      <c r="C2400" s="4"/>
      <c r="D2400" s="4"/>
      <c r="E2400" s="4"/>
      <c r="G2400" s="4"/>
      <c r="H2400" s="4"/>
      <c r="K2400" s="4"/>
      <c r="N2400" s="4" t="s">
        <v>56</v>
      </c>
      <c r="O2400" s="4">
        <v>119</v>
      </c>
    </row>
    <row r="2401" spans="1:15" ht="15.75" customHeight="1">
      <c r="A2401" s="4"/>
      <c r="B2401" s="4"/>
      <c r="C2401" s="4"/>
      <c r="D2401" s="4"/>
      <c r="E2401" s="4"/>
      <c r="G2401" s="4"/>
      <c r="H2401" s="4"/>
      <c r="K2401" s="4"/>
      <c r="N2401" s="4" t="s">
        <v>56</v>
      </c>
      <c r="O2401" s="4">
        <v>114</v>
      </c>
    </row>
    <row r="2402" spans="1:15" ht="15.75" customHeight="1">
      <c r="A2402" s="4"/>
      <c r="B2402" s="4"/>
      <c r="C2402" s="4"/>
      <c r="D2402" s="4"/>
      <c r="E2402" s="4"/>
      <c r="G2402" s="4"/>
      <c r="H2402" s="4"/>
      <c r="K2402" s="4"/>
      <c r="N2402" s="4" t="s">
        <v>2767</v>
      </c>
      <c r="O2402" s="4">
        <v>458</v>
      </c>
    </row>
    <row r="2403" spans="1:15" ht="15.75" customHeight="1">
      <c r="A2403" s="4"/>
      <c r="B2403" s="4"/>
      <c r="C2403" s="4"/>
      <c r="D2403" s="4"/>
      <c r="E2403" s="4"/>
      <c r="G2403" s="4"/>
      <c r="H2403" s="4"/>
      <c r="K2403" s="4"/>
      <c r="N2403" s="4" t="s">
        <v>56</v>
      </c>
      <c r="O2403" s="4">
        <v>93</v>
      </c>
    </row>
    <row r="2404" spans="1:15" ht="15.75" customHeight="1">
      <c r="A2404" s="4"/>
      <c r="B2404" s="4"/>
      <c r="C2404" s="4"/>
      <c r="D2404" s="4"/>
      <c r="E2404" s="4"/>
      <c r="G2404" s="4"/>
      <c r="H2404" s="4"/>
      <c r="K2404" s="4"/>
      <c r="N2404" s="4" t="s">
        <v>56</v>
      </c>
      <c r="O2404" s="4">
        <v>147</v>
      </c>
    </row>
    <row r="2405" spans="1:15" ht="15.75" customHeight="1">
      <c r="A2405" s="4"/>
      <c r="B2405" s="4"/>
      <c r="C2405" s="4"/>
      <c r="D2405" s="4"/>
      <c r="E2405" s="4"/>
      <c r="G2405" s="4"/>
      <c r="H2405" s="4"/>
      <c r="K2405" s="4"/>
      <c r="N2405" s="4" t="s">
        <v>111</v>
      </c>
      <c r="O2405" s="4">
        <v>212</v>
      </c>
    </row>
    <row r="2406" spans="1:15" ht="15.75" customHeight="1">
      <c r="A2406" s="4"/>
      <c r="B2406" s="4"/>
      <c r="C2406" s="4"/>
      <c r="D2406" s="4"/>
      <c r="E2406" s="4"/>
      <c r="G2406" s="4"/>
      <c r="H2406" s="4"/>
      <c r="K2406" s="4"/>
      <c r="N2406" s="4" t="s">
        <v>5041</v>
      </c>
      <c r="O2406" s="4">
        <v>297</v>
      </c>
    </row>
    <row r="2407" spans="1:15" ht="15.75" customHeight="1">
      <c r="A2407" s="4"/>
      <c r="B2407" s="4"/>
      <c r="C2407" s="4"/>
      <c r="D2407" s="4"/>
      <c r="E2407" s="4"/>
      <c r="G2407" s="4"/>
      <c r="H2407" s="4"/>
      <c r="K2407" s="4"/>
      <c r="N2407" s="4" t="s">
        <v>440</v>
      </c>
      <c r="O2407" s="4">
        <v>201</v>
      </c>
    </row>
    <row r="2408" spans="1:15" ht="15.75" customHeight="1">
      <c r="A2408" s="4"/>
      <c r="B2408" s="4"/>
      <c r="C2408" s="4"/>
      <c r="D2408" s="4"/>
      <c r="E2408" s="4"/>
      <c r="G2408" s="4"/>
      <c r="H2408" s="4"/>
      <c r="K2408" s="4"/>
      <c r="N2408" s="4" t="s">
        <v>2667</v>
      </c>
      <c r="O2408" s="4">
        <v>257</v>
      </c>
    </row>
    <row r="2409" spans="1:15" ht="15.75" customHeight="1">
      <c r="A2409" s="4"/>
      <c r="B2409" s="4"/>
      <c r="C2409" s="4"/>
      <c r="D2409" s="4"/>
      <c r="E2409" s="4"/>
      <c r="G2409" s="4"/>
      <c r="H2409" s="4"/>
      <c r="K2409" s="4"/>
      <c r="N2409" s="4" t="s">
        <v>5014</v>
      </c>
      <c r="O2409" s="4">
        <v>716</v>
      </c>
    </row>
    <row r="2410" spans="1:15" ht="15.75" customHeight="1">
      <c r="B2410" s="4"/>
      <c r="C2410" s="4"/>
      <c r="D2410" s="4"/>
      <c r="E2410" s="4"/>
      <c r="G2410" s="4"/>
      <c r="H2410" s="4"/>
      <c r="K2410" s="4"/>
      <c r="N2410" s="4" t="s">
        <v>56</v>
      </c>
      <c r="O2410" s="4">
        <v>167</v>
      </c>
    </row>
    <row r="2411" spans="1:15" ht="15.75" customHeight="1">
      <c r="B2411" s="4"/>
      <c r="C2411" s="4"/>
      <c r="D2411" s="4"/>
      <c r="E2411" s="4"/>
      <c r="G2411" s="4"/>
      <c r="H2411" s="4"/>
      <c r="K2411" s="4"/>
      <c r="N2411" s="4" t="s">
        <v>56</v>
      </c>
      <c r="O2411" s="4">
        <v>226</v>
      </c>
    </row>
    <row r="2412" spans="1:15" ht="15.75" customHeight="1">
      <c r="B2412" s="4"/>
      <c r="C2412" s="4"/>
      <c r="D2412" s="4"/>
      <c r="E2412" s="4"/>
      <c r="G2412" s="4"/>
      <c r="H2412" s="4"/>
      <c r="K2412" s="4"/>
      <c r="N2412" s="4" t="s">
        <v>56</v>
      </c>
      <c r="O2412" s="4">
        <v>106</v>
      </c>
    </row>
    <row r="2413" spans="1:15" ht="15.75" customHeight="1">
      <c r="A2413" s="4"/>
      <c r="B2413" s="4"/>
      <c r="C2413" s="4"/>
      <c r="D2413" s="4"/>
      <c r="E2413" s="4"/>
      <c r="G2413" s="4"/>
      <c r="H2413" s="4"/>
      <c r="K2413" s="4"/>
      <c r="N2413" s="4" t="s">
        <v>59</v>
      </c>
      <c r="O2413" s="4">
        <v>268</v>
      </c>
    </row>
    <row r="2414" spans="1:15" ht="15.75" customHeight="1">
      <c r="A2414" s="4"/>
      <c r="B2414" s="4"/>
      <c r="C2414" s="4"/>
      <c r="D2414" s="4"/>
      <c r="E2414" s="4"/>
      <c r="G2414" s="4"/>
      <c r="H2414" s="4"/>
      <c r="K2414" s="4"/>
      <c r="N2414" s="4" t="s">
        <v>111</v>
      </c>
      <c r="O2414" s="4">
        <v>194</v>
      </c>
    </row>
    <row r="2415" spans="1:15" ht="15.75" customHeight="1">
      <c r="A2415" s="4"/>
      <c r="B2415" s="4"/>
      <c r="C2415" s="4"/>
      <c r="D2415" s="4"/>
      <c r="E2415" s="4"/>
      <c r="G2415" s="4"/>
      <c r="H2415" s="4"/>
      <c r="K2415" s="4"/>
      <c r="N2415" s="4" t="s">
        <v>73</v>
      </c>
      <c r="O2415" s="4">
        <v>233</v>
      </c>
    </row>
    <row r="2416" spans="1:15" ht="15.75" customHeight="1">
      <c r="A2416" s="4"/>
      <c r="B2416" s="4"/>
      <c r="C2416" s="4"/>
      <c r="D2416" s="4"/>
      <c r="E2416" s="4"/>
      <c r="G2416" s="4"/>
      <c r="H2416" s="4"/>
      <c r="K2416" s="4"/>
      <c r="N2416" s="4" t="s">
        <v>76</v>
      </c>
      <c r="O2416" s="4">
        <v>857</v>
      </c>
    </row>
    <row r="2417" spans="1:15" ht="15.75" customHeight="1">
      <c r="A2417" s="4"/>
      <c r="B2417" s="4"/>
      <c r="C2417" s="4"/>
      <c r="D2417" s="4"/>
      <c r="E2417" s="4"/>
      <c r="G2417" s="4"/>
      <c r="H2417" s="4"/>
      <c r="K2417" s="4"/>
      <c r="N2417" s="4" t="s">
        <v>5064</v>
      </c>
      <c r="O2417" s="4">
        <v>411</v>
      </c>
    </row>
    <row r="2418" spans="1:15" ht="15.75" customHeight="1">
      <c r="A2418" s="4"/>
      <c r="B2418" s="4"/>
      <c r="C2418" s="4"/>
      <c r="D2418" s="4"/>
      <c r="E2418" s="4"/>
      <c r="G2418" s="4"/>
      <c r="H2418" s="4"/>
      <c r="K2418" s="4"/>
      <c r="N2418" s="4" t="s">
        <v>56</v>
      </c>
      <c r="O2418" s="4">
        <v>59</v>
      </c>
    </row>
    <row r="2419" spans="1:15" ht="15.75" customHeight="1">
      <c r="A2419" s="4"/>
      <c r="B2419" s="4"/>
      <c r="C2419" s="4"/>
      <c r="D2419" s="4"/>
      <c r="E2419" s="4"/>
      <c r="G2419" s="4"/>
      <c r="H2419" s="4"/>
      <c r="K2419" s="4"/>
      <c r="N2419" s="4" t="s">
        <v>56</v>
      </c>
      <c r="O2419" s="4">
        <v>60</v>
      </c>
    </row>
    <row r="2420" spans="1:15" ht="15.75" customHeight="1">
      <c r="A2420" s="4"/>
      <c r="B2420" s="4"/>
      <c r="C2420" s="4"/>
      <c r="D2420" s="4"/>
      <c r="E2420" s="4"/>
      <c r="G2420" s="4"/>
      <c r="H2420" s="4"/>
      <c r="K2420" s="4"/>
      <c r="N2420" s="4" t="s">
        <v>3422</v>
      </c>
      <c r="O2420" s="4">
        <v>285</v>
      </c>
    </row>
    <row r="2421" spans="1:15" ht="15.75" customHeight="1">
      <c r="A2421" s="4"/>
      <c r="B2421" s="4"/>
      <c r="C2421" s="4"/>
      <c r="D2421" s="4"/>
      <c r="E2421" s="4"/>
      <c r="G2421" s="4"/>
      <c r="H2421" s="4"/>
      <c r="K2421" s="4"/>
      <c r="N2421" s="4" t="s">
        <v>56</v>
      </c>
      <c r="O2421" s="4">
        <v>100</v>
      </c>
    </row>
    <row r="2422" spans="1:15" ht="15.75" customHeight="1">
      <c r="A2422" s="4"/>
      <c r="B2422" s="4"/>
      <c r="C2422" s="4"/>
      <c r="D2422" s="4"/>
      <c r="E2422" s="4"/>
      <c r="G2422" s="4"/>
      <c r="H2422" s="4"/>
      <c r="K2422" s="4"/>
      <c r="N2422" s="4" t="s">
        <v>56</v>
      </c>
      <c r="O2422" s="4">
        <v>131</v>
      </c>
    </row>
    <row r="2423" spans="1:15" ht="15.75" customHeight="1">
      <c r="A2423" s="4"/>
      <c r="B2423" s="4"/>
      <c r="C2423" s="4"/>
      <c r="D2423" s="4"/>
      <c r="E2423" s="4"/>
      <c r="G2423" s="4"/>
      <c r="H2423" s="4"/>
      <c r="K2423" s="4"/>
      <c r="N2423" s="4" t="s">
        <v>440</v>
      </c>
      <c r="O2423" s="4">
        <v>197</v>
      </c>
    </row>
    <row r="2424" spans="1:15" ht="15.75" customHeight="1">
      <c r="A2424" s="4"/>
      <c r="B2424" s="4"/>
      <c r="C2424" s="4"/>
      <c r="D2424" s="4"/>
      <c r="E2424" s="4"/>
      <c r="G2424" s="4"/>
      <c r="H2424" s="4"/>
      <c r="K2424" s="4"/>
      <c r="N2424" s="4" t="s">
        <v>56</v>
      </c>
      <c r="O2424" s="4">
        <v>64</v>
      </c>
    </row>
    <row r="2425" spans="1:15" ht="15.75" customHeight="1">
      <c r="A2425" s="4"/>
      <c r="B2425" s="4"/>
      <c r="C2425" s="4"/>
      <c r="D2425" s="4"/>
      <c r="E2425" s="4"/>
      <c r="G2425" s="4"/>
      <c r="H2425" s="4"/>
      <c r="I2425" s="4"/>
      <c r="K2425" s="4"/>
      <c r="N2425" s="4" t="s">
        <v>3325</v>
      </c>
      <c r="O2425" s="4">
        <v>339</v>
      </c>
    </row>
    <row r="2426" spans="1:15" ht="15.75" customHeight="1">
      <c r="A2426" s="4"/>
      <c r="B2426" s="4"/>
      <c r="C2426" s="4"/>
      <c r="D2426" s="4"/>
      <c r="E2426" s="4"/>
      <c r="G2426" s="4"/>
      <c r="H2426" s="4"/>
      <c r="K2426" s="4"/>
      <c r="N2426" s="4" t="s">
        <v>3329</v>
      </c>
      <c r="O2426" s="4">
        <v>492</v>
      </c>
    </row>
    <row r="2427" spans="1:15" ht="15.75" customHeight="1">
      <c r="A2427" s="4"/>
      <c r="B2427" s="4"/>
      <c r="C2427" s="4"/>
      <c r="D2427" s="4"/>
      <c r="E2427" s="4"/>
      <c r="G2427" s="4"/>
      <c r="H2427" s="4"/>
      <c r="I2427" s="4"/>
      <c r="K2427" s="4"/>
      <c r="N2427" s="4" t="s">
        <v>5085</v>
      </c>
      <c r="O2427" s="4">
        <v>78</v>
      </c>
    </row>
    <row r="2428" spans="1:15" ht="15.75" customHeight="1">
      <c r="A2428" s="4"/>
      <c r="B2428" s="4"/>
      <c r="C2428" s="4"/>
      <c r="D2428" s="4"/>
      <c r="E2428" s="4"/>
      <c r="G2428" s="4"/>
      <c r="H2428" s="4"/>
      <c r="I2428" s="4"/>
      <c r="K2428" s="4"/>
      <c r="N2428" s="4" t="s">
        <v>5089</v>
      </c>
      <c r="O2428" s="4">
        <v>198</v>
      </c>
    </row>
    <row r="2429" spans="1:15" ht="15.75" customHeight="1">
      <c r="A2429" s="4"/>
      <c r="B2429" s="4"/>
      <c r="C2429" s="4"/>
      <c r="D2429" s="4"/>
      <c r="E2429" s="4"/>
      <c r="G2429" s="4"/>
      <c r="H2429" s="4"/>
      <c r="I2429" s="4"/>
      <c r="K2429" s="4"/>
      <c r="N2429" s="4" t="s">
        <v>5093</v>
      </c>
      <c r="O2429" s="4">
        <v>98</v>
      </c>
    </row>
    <row r="2430" spans="1:15" ht="15.75" customHeight="1">
      <c r="A2430" s="4"/>
      <c r="B2430" s="4"/>
      <c r="C2430" s="4"/>
      <c r="D2430" s="4"/>
      <c r="E2430" s="4"/>
      <c r="G2430" s="4"/>
      <c r="H2430" s="4"/>
      <c r="I2430" s="4"/>
      <c r="K2430" s="4"/>
      <c r="N2430" s="4" t="s">
        <v>5089</v>
      </c>
      <c r="O2430" s="4">
        <v>143</v>
      </c>
    </row>
    <row r="2431" spans="1:15" ht="15.75" customHeight="1">
      <c r="A2431" s="4"/>
      <c r="B2431" s="4"/>
      <c r="C2431" s="4"/>
      <c r="D2431" s="4"/>
      <c r="E2431" s="4"/>
      <c r="G2431" s="4"/>
      <c r="H2431" s="4"/>
      <c r="I2431" s="4"/>
      <c r="K2431" s="4"/>
      <c r="N2431" s="4" t="s">
        <v>4436</v>
      </c>
      <c r="O2431" s="4">
        <v>234</v>
      </c>
    </row>
    <row r="2432" spans="1:15" ht="15.75" customHeight="1">
      <c r="A2432" s="4"/>
      <c r="B2432" s="4"/>
      <c r="C2432" s="4"/>
      <c r="D2432" s="4"/>
      <c r="E2432" s="4"/>
      <c r="G2432" s="4"/>
      <c r="H2432" s="4"/>
      <c r="I2432" s="4"/>
      <c r="K2432" s="4"/>
      <c r="N2432" s="4" t="s">
        <v>5101</v>
      </c>
      <c r="O2432" s="4">
        <v>873</v>
      </c>
    </row>
    <row r="2433" spans="1:15" ht="15.75" customHeight="1">
      <c r="B2433" s="4"/>
      <c r="C2433" s="4"/>
      <c r="D2433" s="4"/>
      <c r="E2433" s="4"/>
      <c r="G2433" s="4"/>
      <c r="H2433" s="4"/>
      <c r="I2433" s="4"/>
      <c r="K2433" s="4"/>
      <c r="N2433" s="4" t="s">
        <v>5105</v>
      </c>
      <c r="O2433" s="4">
        <v>653</v>
      </c>
    </row>
    <row r="2434" spans="1:15" ht="15.75" customHeight="1">
      <c r="A2434" s="4"/>
      <c r="B2434" s="4"/>
      <c r="C2434" s="4"/>
      <c r="D2434" s="4"/>
      <c r="E2434" s="4"/>
      <c r="G2434" s="4"/>
      <c r="H2434" s="4"/>
      <c r="I2434" s="4"/>
      <c r="K2434" s="4"/>
      <c r="N2434" s="4" t="s">
        <v>5109</v>
      </c>
      <c r="O2434" s="4">
        <v>371</v>
      </c>
    </row>
    <row r="2435" spans="1:15" ht="15.75" customHeight="1">
      <c r="A2435" s="4"/>
      <c r="B2435" s="4"/>
      <c r="C2435" s="4"/>
      <c r="D2435" s="4"/>
      <c r="E2435" s="4"/>
      <c r="G2435" s="4"/>
      <c r="H2435" s="4"/>
      <c r="I2435" s="4"/>
      <c r="K2435" s="4"/>
      <c r="N2435" s="4" t="s">
        <v>5113</v>
      </c>
      <c r="O2435" s="4">
        <v>70</v>
      </c>
    </row>
    <row r="2436" spans="1:15" ht="15.75" customHeight="1">
      <c r="A2436" s="4"/>
      <c r="B2436" s="4"/>
      <c r="C2436" s="4"/>
      <c r="D2436" s="4"/>
      <c r="E2436" s="4"/>
      <c r="G2436" s="4"/>
      <c r="H2436" s="4"/>
      <c r="I2436" s="4"/>
      <c r="K2436" s="4"/>
      <c r="N2436" s="4" t="s">
        <v>5116</v>
      </c>
      <c r="O2436" s="4">
        <v>379</v>
      </c>
    </row>
    <row r="2437" spans="1:15" ht="15.75" customHeight="1">
      <c r="A2437" s="4"/>
      <c r="B2437" s="4"/>
      <c r="C2437" s="4"/>
      <c r="D2437" s="4"/>
      <c r="E2437" s="4"/>
      <c r="G2437" s="4"/>
      <c r="H2437" s="4"/>
      <c r="I2437" s="4"/>
      <c r="K2437" s="4"/>
      <c r="N2437" s="4" t="s">
        <v>5120</v>
      </c>
      <c r="O2437" s="4">
        <v>449</v>
      </c>
    </row>
    <row r="2438" spans="1:15" ht="15.75" customHeight="1">
      <c r="A2438" s="4"/>
      <c r="B2438" s="4"/>
      <c r="C2438" s="4"/>
      <c r="D2438" s="4"/>
      <c r="E2438" s="4"/>
      <c r="G2438" s="4"/>
      <c r="H2438" s="4"/>
      <c r="I2438" s="4"/>
      <c r="K2438" s="4"/>
      <c r="N2438" s="4" t="s">
        <v>5124</v>
      </c>
      <c r="O2438" s="4">
        <v>46</v>
      </c>
    </row>
    <row r="2439" spans="1:15" ht="15.75" customHeight="1">
      <c r="A2439" s="4"/>
      <c r="B2439" s="4"/>
      <c r="C2439" s="4"/>
      <c r="D2439" s="4"/>
      <c r="E2439" s="4"/>
      <c r="G2439" s="4"/>
      <c r="H2439" s="4"/>
      <c r="I2439" s="4"/>
      <c r="K2439" s="4"/>
      <c r="N2439" s="4" t="s">
        <v>5128</v>
      </c>
      <c r="O2439" s="4">
        <v>118</v>
      </c>
    </row>
    <row r="2440" spans="1:15" ht="15.75" customHeight="1">
      <c r="A2440" s="4"/>
      <c r="B2440" s="4"/>
      <c r="C2440" s="4"/>
      <c r="D2440" s="4"/>
      <c r="E2440" s="4"/>
      <c r="G2440" s="4"/>
      <c r="H2440" s="4"/>
      <c r="I2440" s="4"/>
      <c r="K2440" s="4"/>
      <c r="N2440" s="4" t="s">
        <v>2099</v>
      </c>
      <c r="O2440" s="4">
        <v>278</v>
      </c>
    </row>
    <row r="2441" spans="1:15" ht="15.75" customHeight="1">
      <c r="A2441" s="4"/>
      <c r="B2441" s="4"/>
      <c r="C2441" s="4"/>
      <c r="D2441" s="4"/>
      <c r="E2441" s="4"/>
      <c r="G2441" s="4"/>
      <c r="H2441" s="4"/>
      <c r="I2441" s="4"/>
      <c r="K2441" s="4"/>
      <c r="N2441" s="4" t="s">
        <v>5134</v>
      </c>
      <c r="O2441" s="4">
        <v>254</v>
      </c>
    </row>
    <row r="2442" spans="1:15" ht="15.75" customHeight="1">
      <c r="A2442" s="4"/>
      <c r="B2442" s="4"/>
      <c r="C2442" s="4"/>
      <c r="D2442" s="4"/>
      <c r="E2442" s="4"/>
      <c r="G2442" s="4"/>
      <c r="H2442" s="4"/>
      <c r="I2442" s="4"/>
      <c r="K2442" s="4"/>
      <c r="N2442" s="4" t="s">
        <v>5138</v>
      </c>
      <c r="O2442" s="4">
        <v>462</v>
      </c>
    </row>
    <row r="2443" spans="1:15" ht="15.75" customHeight="1">
      <c r="A2443" s="4"/>
      <c r="B2443" s="4"/>
      <c r="C2443" s="4"/>
      <c r="D2443" s="4"/>
      <c r="E2443" s="4"/>
      <c r="G2443" s="4"/>
      <c r="H2443" s="4"/>
      <c r="I2443" s="4"/>
      <c r="K2443" s="4"/>
      <c r="N2443" s="4" t="s">
        <v>5142</v>
      </c>
      <c r="O2443" s="4">
        <v>633</v>
      </c>
    </row>
    <row r="2444" spans="1:15" ht="15.75" customHeight="1">
      <c r="A2444" s="4"/>
      <c r="B2444" s="4"/>
      <c r="C2444" s="4"/>
      <c r="D2444" s="4"/>
      <c r="E2444" s="4"/>
      <c r="G2444" s="4"/>
      <c r="H2444" s="4"/>
      <c r="K2444" s="4"/>
      <c r="N2444" s="4" t="s">
        <v>56</v>
      </c>
      <c r="O2444" s="4">
        <v>69</v>
      </c>
    </row>
    <row r="2445" spans="1:15" ht="15.75" customHeight="1">
      <c r="A2445" s="4"/>
      <c r="B2445" s="4"/>
      <c r="C2445" s="4"/>
      <c r="D2445" s="4"/>
      <c r="E2445" s="4"/>
      <c r="G2445" s="4"/>
      <c r="H2445" s="4"/>
      <c r="K2445" s="4"/>
      <c r="N2445" s="4" t="s">
        <v>4459</v>
      </c>
      <c r="O2445" s="4">
        <v>254</v>
      </c>
    </row>
    <row r="2446" spans="1:15" ht="15.75" customHeight="1">
      <c r="A2446" s="4"/>
      <c r="B2446" s="4"/>
      <c r="C2446" s="4"/>
      <c r="D2446" s="4"/>
      <c r="E2446" s="4"/>
      <c r="G2446" s="4"/>
      <c r="H2446" s="4"/>
      <c r="K2446" s="4"/>
      <c r="N2446" s="4" t="s">
        <v>4459</v>
      </c>
      <c r="O2446" s="4">
        <v>162</v>
      </c>
    </row>
    <row r="2447" spans="1:15" ht="15.75" customHeight="1">
      <c r="A2447" s="4"/>
      <c r="B2447" s="4"/>
      <c r="C2447" s="4"/>
      <c r="D2447" s="4"/>
      <c r="E2447" s="4"/>
      <c r="G2447" s="4"/>
      <c r="H2447" s="4"/>
      <c r="K2447" s="4"/>
      <c r="N2447" s="4" t="s">
        <v>4020</v>
      </c>
      <c r="O2447" s="4">
        <v>399</v>
      </c>
    </row>
    <row r="2448" spans="1:15" ht="15.75" customHeight="1">
      <c r="A2448" s="4"/>
      <c r="B2448" s="4"/>
      <c r="C2448" s="4"/>
      <c r="D2448" s="4"/>
      <c r="E2448" s="4"/>
      <c r="G2448" s="4"/>
      <c r="H2448" s="4"/>
      <c r="K2448" s="4"/>
      <c r="N2448" s="4" t="s">
        <v>5154</v>
      </c>
      <c r="O2448" s="4">
        <v>361</v>
      </c>
    </row>
    <row r="2449" spans="1:15" ht="15.75" customHeight="1">
      <c r="A2449" s="4"/>
      <c r="B2449" s="4"/>
      <c r="C2449" s="4"/>
      <c r="D2449" s="4"/>
      <c r="E2449" s="4"/>
      <c r="G2449" s="4"/>
      <c r="H2449" s="4"/>
      <c r="K2449" s="4"/>
      <c r="N2449" s="4" t="s">
        <v>3294</v>
      </c>
      <c r="O2449" s="4">
        <v>279</v>
      </c>
    </row>
    <row r="2450" spans="1:15" ht="15.75" customHeight="1">
      <c r="A2450" s="4"/>
      <c r="B2450" s="4"/>
      <c r="C2450" s="4"/>
      <c r="D2450" s="4"/>
      <c r="E2450" s="4"/>
      <c r="G2450" s="4"/>
      <c r="H2450" s="4"/>
      <c r="K2450" s="4"/>
      <c r="N2450" s="4" t="s">
        <v>3291</v>
      </c>
      <c r="O2450" s="4">
        <v>634</v>
      </c>
    </row>
    <row r="2451" spans="1:15" ht="15.75" customHeight="1">
      <c r="A2451" s="4"/>
      <c r="B2451" s="4"/>
      <c r="C2451" s="4"/>
      <c r="D2451" s="4"/>
      <c r="E2451" s="4"/>
      <c r="G2451" s="4"/>
      <c r="H2451" s="4"/>
      <c r="K2451" s="4"/>
      <c r="N2451" s="4" t="s">
        <v>2404</v>
      </c>
      <c r="O2451" s="4">
        <v>476</v>
      </c>
    </row>
    <row r="2452" spans="1:15" ht="15.75" customHeight="1">
      <c r="A2452" s="4"/>
      <c r="B2452" s="4"/>
      <c r="C2452" s="4"/>
      <c r="D2452" s="4"/>
      <c r="E2452" s="4"/>
      <c r="G2452" s="4"/>
      <c r="H2452" s="4"/>
      <c r="K2452" s="4"/>
      <c r="N2452" s="4" t="s">
        <v>5163</v>
      </c>
      <c r="O2452" s="4">
        <v>1983</v>
      </c>
    </row>
    <row r="2453" spans="1:15" ht="15.75" customHeight="1">
      <c r="A2453" s="4"/>
      <c r="B2453" s="4"/>
      <c r="C2453" s="4"/>
      <c r="D2453" s="4"/>
      <c r="E2453" s="4"/>
      <c r="G2453" s="4"/>
      <c r="H2453" s="4"/>
      <c r="K2453" s="4"/>
      <c r="N2453" s="4" t="s">
        <v>76</v>
      </c>
      <c r="O2453" s="4">
        <v>396</v>
      </c>
    </row>
    <row r="2454" spans="1:15" ht="15.75" customHeight="1">
      <c r="A2454" s="4"/>
      <c r="B2454" s="4"/>
      <c r="C2454" s="4"/>
      <c r="D2454" s="4"/>
      <c r="E2454" s="4"/>
      <c r="G2454" s="4"/>
      <c r="H2454" s="4"/>
      <c r="K2454" s="4"/>
      <c r="N2454" s="4" t="s">
        <v>73</v>
      </c>
      <c r="O2454" s="4">
        <v>229</v>
      </c>
    </row>
    <row r="2455" spans="1:15" ht="15.75" customHeight="1">
      <c r="A2455" s="4"/>
      <c r="B2455" s="4"/>
      <c r="C2455" s="4"/>
      <c r="D2455" s="4"/>
      <c r="E2455" s="4"/>
      <c r="G2455" s="4"/>
      <c r="H2455" s="4"/>
      <c r="K2455" s="4"/>
      <c r="N2455" s="4" t="s">
        <v>5170</v>
      </c>
      <c r="O2455" s="4">
        <v>354</v>
      </c>
    </row>
    <row r="2456" spans="1:15" ht="15.75" customHeight="1">
      <c r="A2456" s="4"/>
      <c r="B2456" s="4"/>
      <c r="C2456" s="4"/>
      <c r="D2456" s="4"/>
      <c r="E2456" s="4"/>
      <c r="G2456" s="4"/>
      <c r="H2456" s="4"/>
      <c r="K2456" s="4"/>
      <c r="N2456" s="4" t="s">
        <v>56</v>
      </c>
      <c r="O2456" s="4">
        <v>58</v>
      </c>
    </row>
    <row r="2457" spans="1:15" ht="15.75" customHeight="1">
      <c r="A2457" s="4"/>
      <c r="B2457" s="4"/>
      <c r="C2457" s="4"/>
      <c r="D2457" s="4"/>
      <c r="E2457" s="4"/>
      <c r="G2457" s="4"/>
      <c r="H2457" s="4"/>
      <c r="K2457" s="4"/>
      <c r="N2457" s="4" t="s">
        <v>56</v>
      </c>
      <c r="O2457" s="4">
        <v>86</v>
      </c>
    </row>
    <row r="2458" spans="1:15" ht="15.75" customHeight="1">
      <c r="A2458" s="4"/>
      <c r="B2458" s="4"/>
      <c r="C2458" s="4"/>
      <c r="D2458" s="4"/>
      <c r="E2458" s="4"/>
      <c r="G2458" s="4"/>
      <c r="H2458" s="4"/>
      <c r="K2458" s="4"/>
      <c r="N2458" s="4" t="s">
        <v>59</v>
      </c>
      <c r="O2458" s="4">
        <v>261</v>
      </c>
    </row>
    <row r="2459" spans="1:15" ht="15.75" customHeight="1">
      <c r="A2459" s="4"/>
      <c r="B2459" s="4"/>
      <c r="C2459" s="4"/>
      <c r="D2459" s="4"/>
      <c r="E2459" s="4"/>
      <c r="G2459" s="4"/>
      <c r="H2459" s="4"/>
      <c r="I2459" s="4"/>
      <c r="K2459" s="4"/>
      <c r="N2459" s="4" t="s">
        <v>5179</v>
      </c>
      <c r="O2459" s="4">
        <v>236</v>
      </c>
    </row>
    <row r="2460" spans="1:15" ht="15.75" customHeight="1">
      <c r="A2460" s="4"/>
      <c r="B2460" s="4"/>
      <c r="C2460" s="4"/>
      <c r="D2460" s="4"/>
      <c r="E2460" s="4"/>
      <c r="G2460" s="4"/>
      <c r="H2460" s="4"/>
      <c r="K2460" s="4"/>
      <c r="N2460" s="4" t="s">
        <v>4092</v>
      </c>
      <c r="O2460" s="4">
        <v>608</v>
      </c>
    </row>
    <row r="2461" spans="1:15" ht="15.75" customHeight="1">
      <c r="A2461" s="4"/>
      <c r="B2461" s="4"/>
      <c r="C2461" s="4"/>
      <c r="D2461" s="4"/>
      <c r="E2461" s="4"/>
      <c r="G2461" s="4"/>
      <c r="H2461" s="4"/>
      <c r="K2461" s="4"/>
      <c r="N2461" s="4" t="s">
        <v>5185</v>
      </c>
      <c r="O2461" s="4">
        <v>685</v>
      </c>
    </row>
    <row r="2462" spans="1:15" ht="15.75" customHeight="1">
      <c r="A2462" s="4"/>
      <c r="B2462" s="4"/>
      <c r="C2462" s="4"/>
      <c r="D2462" s="4"/>
      <c r="E2462" s="4"/>
      <c r="G2462" s="4"/>
      <c r="H2462" s="4"/>
      <c r="K2462" s="4"/>
      <c r="N2462" s="4" t="s">
        <v>4039</v>
      </c>
      <c r="O2462" s="4">
        <v>147</v>
      </c>
    </row>
    <row r="2463" spans="1:15" ht="15.75" customHeight="1">
      <c r="A2463" s="4"/>
      <c r="B2463" s="4"/>
      <c r="C2463" s="4"/>
      <c r="D2463" s="4"/>
      <c r="E2463" s="4"/>
      <c r="G2463" s="4"/>
      <c r="H2463" s="4"/>
      <c r="K2463" s="4"/>
      <c r="N2463" s="4" t="s">
        <v>4089</v>
      </c>
      <c r="O2463" s="4">
        <v>384</v>
      </c>
    </row>
    <row r="2464" spans="1:15" ht="15.75" customHeight="1">
      <c r="A2464" s="4"/>
      <c r="B2464" s="4"/>
      <c r="C2464" s="4"/>
      <c r="D2464" s="4"/>
      <c r="E2464" s="4"/>
      <c r="G2464" s="4"/>
      <c r="H2464" s="4"/>
      <c r="K2464" s="4"/>
      <c r="N2464" s="4" t="s">
        <v>2151</v>
      </c>
      <c r="O2464" s="4">
        <v>318</v>
      </c>
    </row>
    <row r="2465" spans="1:15" ht="15.75" customHeight="1">
      <c r="B2465" s="4"/>
      <c r="C2465" s="4"/>
      <c r="D2465" s="4"/>
      <c r="E2465" s="4"/>
      <c r="G2465" s="4"/>
      <c r="H2465" s="4"/>
      <c r="K2465" s="4"/>
      <c r="N2465" s="4" t="s">
        <v>2151</v>
      </c>
      <c r="O2465" s="4">
        <v>309</v>
      </c>
    </row>
    <row r="2466" spans="1:15" ht="15.75" customHeight="1">
      <c r="A2466" s="4"/>
      <c r="B2466" s="4"/>
      <c r="C2466" s="4"/>
      <c r="D2466" s="4"/>
      <c r="E2466" s="4"/>
      <c r="G2466" s="4"/>
      <c r="H2466" s="4"/>
      <c r="K2466" s="4"/>
      <c r="N2466" s="4" t="s">
        <v>5196</v>
      </c>
      <c r="O2466" s="4">
        <v>306</v>
      </c>
    </row>
    <row r="2467" spans="1:15" ht="15.75" customHeight="1">
      <c r="A2467" s="4"/>
      <c r="B2467" s="4"/>
      <c r="C2467" s="4"/>
      <c r="D2467" s="4"/>
      <c r="E2467" s="4"/>
      <c r="G2467" s="4"/>
      <c r="H2467" s="4"/>
      <c r="K2467" s="4"/>
    </row>
    <row r="2468" spans="1:15" ht="15.75" customHeight="1">
      <c r="A2468" s="4"/>
      <c r="B2468" s="4"/>
      <c r="C2468" s="4"/>
      <c r="D2468" s="4"/>
      <c r="E2468" s="4"/>
      <c r="G2468" s="4"/>
      <c r="H2468" s="4"/>
      <c r="K2468" s="4"/>
      <c r="N2468" s="4" t="s">
        <v>5201</v>
      </c>
      <c r="O2468" s="4">
        <v>309</v>
      </c>
    </row>
    <row r="2469" spans="1:15" ht="15.75" customHeight="1">
      <c r="A2469" s="4"/>
      <c r="B2469" s="4"/>
      <c r="C2469" s="4"/>
      <c r="D2469" s="4"/>
      <c r="E2469" s="4"/>
      <c r="G2469" s="4"/>
      <c r="H2469" s="4"/>
      <c r="K2469" s="4"/>
      <c r="N2469" s="4" t="s">
        <v>2780</v>
      </c>
      <c r="O2469" s="4">
        <v>432</v>
      </c>
    </row>
    <row r="2470" spans="1:15" ht="15.75" customHeight="1">
      <c r="A2470" s="4"/>
      <c r="B2470" s="4"/>
      <c r="C2470" s="4"/>
      <c r="D2470" s="4"/>
      <c r="E2470" s="4"/>
      <c r="G2470" s="4"/>
      <c r="H2470" s="4"/>
      <c r="K2470" s="4"/>
      <c r="N2470" s="4" t="s">
        <v>56</v>
      </c>
      <c r="O2470" s="4">
        <v>132</v>
      </c>
    </row>
    <row r="2471" spans="1:15" ht="15.75" customHeight="1">
      <c r="A2471" s="4"/>
      <c r="B2471" s="4"/>
      <c r="C2471" s="4"/>
      <c r="D2471" s="4"/>
      <c r="E2471" s="4"/>
      <c r="G2471" s="4"/>
      <c r="H2471" s="4"/>
      <c r="K2471" s="4"/>
      <c r="N2471" s="4" t="s">
        <v>92</v>
      </c>
      <c r="O2471" s="4">
        <v>605</v>
      </c>
    </row>
    <row r="2472" spans="1:15" ht="15.75" customHeight="1">
      <c r="A2472" s="4"/>
      <c r="B2472" s="4"/>
      <c r="C2472" s="4"/>
      <c r="D2472" s="4"/>
      <c r="E2472" s="4"/>
      <c r="G2472" s="4"/>
      <c r="H2472" s="4"/>
      <c r="K2472" s="4"/>
      <c r="N2472" s="4" t="s">
        <v>478</v>
      </c>
      <c r="O2472" s="4">
        <v>603</v>
      </c>
    </row>
    <row r="2473" spans="1:15" ht="15.75" customHeight="1">
      <c r="A2473" s="4"/>
      <c r="B2473" s="4"/>
      <c r="C2473" s="4"/>
      <c r="D2473" s="4"/>
      <c r="E2473" s="4"/>
      <c r="G2473" s="4"/>
      <c r="H2473" s="4"/>
      <c r="K2473" s="4"/>
      <c r="N2473" s="4" t="s">
        <v>5212</v>
      </c>
      <c r="O2473" s="4">
        <v>169</v>
      </c>
    </row>
    <row r="2474" spans="1:15" ht="15.75" customHeight="1">
      <c r="A2474" s="4"/>
      <c r="B2474" s="4"/>
      <c r="C2474" s="4"/>
      <c r="D2474" s="4"/>
      <c r="E2474" s="4"/>
      <c r="G2474" s="4"/>
      <c r="H2474" s="4"/>
      <c r="K2474" s="4"/>
      <c r="N2474" s="4" t="s">
        <v>2535</v>
      </c>
      <c r="O2474" s="4">
        <v>285</v>
      </c>
    </row>
    <row r="2475" spans="1:15" ht="15.75" customHeight="1">
      <c r="B2475" s="4"/>
      <c r="C2475" s="4"/>
      <c r="D2475" s="4"/>
      <c r="E2475" s="4"/>
      <c r="G2475" s="4"/>
      <c r="H2475" s="4"/>
      <c r="K2475" s="4"/>
      <c r="N2475" s="4" t="s">
        <v>720</v>
      </c>
      <c r="O2475" s="4">
        <v>229</v>
      </c>
    </row>
    <row r="2476" spans="1:15" ht="15.75" customHeight="1">
      <c r="A2476" s="4"/>
      <c r="B2476" s="4"/>
      <c r="C2476" s="4"/>
      <c r="D2476" s="4"/>
      <c r="E2476" s="4"/>
      <c r="G2476" s="4"/>
      <c r="H2476" s="4"/>
      <c r="K2476" s="4"/>
      <c r="N2476" s="4" t="s">
        <v>714</v>
      </c>
      <c r="O2476" s="4">
        <v>514</v>
      </c>
    </row>
    <row r="2477" spans="1:15" ht="15.75" customHeight="1">
      <c r="A2477" s="4"/>
      <c r="B2477" s="4"/>
      <c r="C2477" s="4"/>
      <c r="D2477" s="4"/>
      <c r="E2477" s="4"/>
      <c r="G2477" s="4"/>
      <c r="H2477" s="4"/>
      <c r="K2477" s="4"/>
      <c r="N2477" s="4" t="s">
        <v>5221</v>
      </c>
      <c r="O2477" s="4">
        <v>441</v>
      </c>
    </row>
    <row r="2478" spans="1:15" ht="15.75" customHeight="1">
      <c r="A2478" s="4"/>
      <c r="B2478" s="4"/>
      <c r="C2478" s="4"/>
      <c r="D2478" s="4"/>
      <c r="E2478" s="4"/>
      <c r="G2478" s="4"/>
      <c r="H2478" s="4"/>
      <c r="K2478" s="4"/>
      <c r="N2478" s="4" t="s">
        <v>5224</v>
      </c>
      <c r="O2478" s="4">
        <v>392</v>
      </c>
    </row>
    <row r="2479" spans="1:15" ht="15.75" customHeight="1">
      <c r="A2479" s="4"/>
      <c r="B2479" s="4"/>
      <c r="C2479" s="4"/>
      <c r="D2479" s="4"/>
      <c r="E2479" s="4"/>
      <c r="G2479" s="4"/>
      <c r="H2479" s="4"/>
      <c r="K2479" s="4"/>
      <c r="N2479" s="4" t="s">
        <v>5227</v>
      </c>
      <c r="O2479" s="4">
        <v>139</v>
      </c>
    </row>
    <row r="2480" spans="1:15" ht="15.75" customHeight="1">
      <c r="A2480" s="4"/>
      <c r="B2480" s="4"/>
      <c r="C2480" s="4"/>
      <c r="D2480" s="4"/>
      <c r="E2480" s="4"/>
      <c r="G2480" s="4"/>
      <c r="H2480" s="4"/>
      <c r="K2480" s="4"/>
      <c r="N2480" s="4" t="s">
        <v>5230</v>
      </c>
      <c r="O2480" s="4">
        <v>194</v>
      </c>
    </row>
    <row r="2481" spans="1:15" ht="15.75" customHeight="1">
      <c r="A2481" s="4"/>
      <c r="B2481" s="4"/>
      <c r="C2481" s="4"/>
      <c r="D2481" s="4"/>
      <c r="E2481" s="4"/>
      <c r="G2481" s="4"/>
      <c r="H2481" s="4"/>
      <c r="K2481" s="4"/>
      <c r="N2481" s="4" t="s">
        <v>5233</v>
      </c>
      <c r="O2481" s="4">
        <v>464</v>
      </c>
    </row>
    <row r="2482" spans="1:15" ht="15.75" customHeight="1">
      <c r="A2482" s="4"/>
      <c r="B2482" s="4"/>
      <c r="C2482" s="4"/>
      <c r="D2482" s="4"/>
      <c r="E2482" s="4"/>
      <c r="G2482" s="4"/>
      <c r="H2482" s="4"/>
      <c r="K2482" s="4"/>
      <c r="N2482" s="4" t="s">
        <v>59</v>
      </c>
      <c r="O2482" s="4">
        <v>256</v>
      </c>
    </row>
    <row r="2483" spans="1:15" ht="15.75" customHeight="1">
      <c r="A2483" s="4"/>
      <c r="B2483" s="4"/>
      <c r="C2483" s="4"/>
      <c r="D2483" s="4"/>
      <c r="E2483" s="4"/>
      <c r="G2483" s="4"/>
      <c r="H2483" s="4"/>
      <c r="K2483" s="4"/>
      <c r="N2483" s="4" t="s">
        <v>5238</v>
      </c>
      <c r="O2483" s="4">
        <v>215</v>
      </c>
    </row>
    <row r="2484" spans="1:15" ht="15.75" customHeight="1">
      <c r="A2484" s="4"/>
      <c r="B2484" s="4"/>
      <c r="C2484" s="4"/>
      <c r="D2484" s="4"/>
      <c r="E2484" s="4"/>
      <c r="G2484" s="4"/>
      <c r="H2484" s="4"/>
      <c r="K2484" s="4"/>
      <c r="N2484" s="4" t="s">
        <v>5241</v>
      </c>
      <c r="O2484" s="4">
        <v>369</v>
      </c>
    </row>
    <row r="2485" spans="1:15" ht="15.75" customHeight="1">
      <c r="A2485" s="4"/>
      <c r="B2485" s="4"/>
      <c r="C2485" s="4"/>
      <c r="D2485" s="4"/>
      <c r="E2485" s="4"/>
      <c r="G2485" s="4"/>
      <c r="H2485" s="4"/>
      <c r="K2485" s="4"/>
    </row>
    <row r="2486" spans="1:15" ht="15.75" customHeight="1">
      <c r="A2486" s="4"/>
      <c r="B2486" s="4"/>
      <c r="C2486" s="4"/>
      <c r="D2486" s="4"/>
      <c r="E2486" s="4"/>
      <c r="G2486" s="4"/>
      <c r="H2486" s="4"/>
      <c r="K2486" s="4"/>
      <c r="N2486" s="4" t="s">
        <v>5245</v>
      </c>
      <c r="O2486" s="4">
        <v>330</v>
      </c>
    </row>
    <row r="2487" spans="1:15" ht="15.75" customHeight="1">
      <c r="A2487" s="4"/>
      <c r="B2487" s="4"/>
      <c r="C2487" s="4"/>
      <c r="D2487" s="4"/>
      <c r="E2487" s="4"/>
      <c r="G2487" s="4"/>
      <c r="H2487" s="4"/>
      <c r="K2487" s="4"/>
      <c r="N2487" s="4" t="s">
        <v>5248</v>
      </c>
      <c r="O2487" s="4">
        <v>311</v>
      </c>
    </row>
    <row r="2488" spans="1:15" ht="15.75" customHeight="1">
      <c r="A2488" s="4"/>
      <c r="B2488" s="4"/>
      <c r="C2488" s="4"/>
      <c r="D2488" s="4"/>
      <c r="E2488" s="4"/>
      <c r="G2488" s="4"/>
      <c r="H2488" s="4"/>
      <c r="K2488" s="4"/>
      <c r="N2488" s="4" t="s">
        <v>5251</v>
      </c>
      <c r="O2488" s="4">
        <v>207</v>
      </c>
    </row>
    <row r="2489" spans="1:15" ht="15.75" customHeight="1">
      <c r="A2489" s="4"/>
      <c r="B2489" s="4"/>
      <c r="C2489" s="4"/>
      <c r="D2489" s="4"/>
      <c r="E2489" s="4"/>
      <c r="G2489" s="4"/>
      <c r="H2489" s="4"/>
      <c r="K2489" s="4"/>
      <c r="N2489" s="4" t="s">
        <v>51</v>
      </c>
      <c r="O2489" s="4">
        <v>182</v>
      </c>
    </row>
    <row r="2490" spans="1:15" ht="15.75" customHeight="1">
      <c r="A2490" s="4"/>
      <c r="B2490" s="4"/>
      <c r="C2490" s="4"/>
      <c r="D2490" s="4"/>
      <c r="E2490" s="4"/>
      <c r="G2490" s="4"/>
      <c r="H2490" s="4"/>
      <c r="K2490" s="4"/>
      <c r="N2490" s="4" t="s">
        <v>1078</v>
      </c>
      <c r="O2490" s="4">
        <v>486</v>
      </c>
    </row>
    <row r="2491" spans="1:15" ht="15.75" customHeight="1">
      <c r="A2491" s="4"/>
      <c r="B2491" s="4"/>
      <c r="C2491" s="4"/>
      <c r="D2491" s="4"/>
      <c r="E2491" s="4"/>
      <c r="G2491" s="4"/>
      <c r="H2491" s="4"/>
      <c r="K2491" s="4"/>
      <c r="N2491" s="4" t="s">
        <v>5258</v>
      </c>
      <c r="O2491" s="4">
        <v>469</v>
      </c>
    </row>
    <row r="2492" spans="1:15" ht="15.75" customHeight="1">
      <c r="A2492" s="4"/>
      <c r="B2492" s="4"/>
      <c r="C2492" s="4"/>
      <c r="D2492" s="4"/>
      <c r="E2492" s="4"/>
      <c r="G2492" s="4"/>
      <c r="H2492" s="4"/>
      <c r="K2492" s="4"/>
      <c r="N2492" s="4" t="s">
        <v>848</v>
      </c>
      <c r="O2492" s="4">
        <v>246</v>
      </c>
    </row>
    <row r="2493" spans="1:15" ht="15.75" customHeight="1">
      <c r="A2493" s="4"/>
      <c r="B2493" s="4"/>
      <c r="C2493" s="4"/>
      <c r="D2493" s="4"/>
      <c r="E2493" s="4"/>
      <c r="G2493" s="4"/>
      <c r="H2493" s="4"/>
      <c r="K2493" s="4"/>
      <c r="N2493" s="4" t="s">
        <v>5263</v>
      </c>
      <c r="O2493" s="4">
        <v>289</v>
      </c>
    </row>
    <row r="2494" spans="1:15" ht="15.75" customHeight="1">
      <c r="A2494" s="4"/>
      <c r="B2494" s="4"/>
      <c r="C2494" s="4"/>
      <c r="D2494" s="4"/>
      <c r="E2494" s="4"/>
      <c r="G2494" s="4"/>
      <c r="H2494" s="4"/>
      <c r="K2494" s="4"/>
      <c r="N2494" s="4" t="s">
        <v>2933</v>
      </c>
      <c r="O2494" s="4">
        <v>258</v>
      </c>
    </row>
    <row r="2495" spans="1:15" ht="15.75" customHeight="1">
      <c r="A2495" s="4"/>
      <c r="B2495" s="4"/>
      <c r="C2495" s="4"/>
      <c r="D2495" s="4"/>
      <c r="E2495" s="4"/>
      <c r="G2495" s="4"/>
      <c r="H2495" s="4"/>
      <c r="K2495" s="4"/>
      <c r="N2495" s="4" t="s">
        <v>5268</v>
      </c>
      <c r="O2495" s="4">
        <v>521</v>
      </c>
    </row>
    <row r="2496" spans="1:15" ht="15.75" customHeight="1">
      <c r="A2496" s="4"/>
      <c r="B2496" s="4"/>
      <c r="C2496" s="4"/>
      <c r="D2496" s="4"/>
      <c r="E2496" s="4"/>
      <c r="G2496" s="4"/>
      <c r="H2496" s="4"/>
      <c r="K2496" s="4"/>
      <c r="N2496" s="4" t="s">
        <v>5268</v>
      </c>
      <c r="O2496" s="4">
        <v>157</v>
      </c>
    </row>
    <row r="2497" spans="1:15" ht="15.75" customHeight="1">
      <c r="A2497" s="4"/>
      <c r="B2497" s="4"/>
      <c r="C2497" s="4"/>
      <c r="D2497" s="4"/>
      <c r="E2497" s="4"/>
      <c r="G2497" s="4"/>
      <c r="H2497" s="4"/>
      <c r="K2497" s="4"/>
      <c r="N2497" s="4" t="s">
        <v>56</v>
      </c>
      <c r="O2497" s="4">
        <v>107</v>
      </c>
    </row>
    <row r="2498" spans="1:15" ht="15.75" customHeight="1">
      <c r="A2498" s="4"/>
      <c r="B2498" s="4"/>
      <c r="C2498" s="4"/>
      <c r="D2498" s="4"/>
      <c r="E2498" s="4"/>
      <c r="G2498" s="4"/>
      <c r="H2498" s="4"/>
      <c r="K2498" s="4"/>
      <c r="N2498" s="4" t="s">
        <v>2710</v>
      </c>
      <c r="O2498" s="4">
        <v>112</v>
      </c>
    </row>
    <row r="2499" spans="1:15" ht="15.75" customHeight="1">
      <c r="A2499" s="4"/>
      <c r="B2499" s="4"/>
      <c r="C2499" s="4"/>
      <c r="D2499" s="4"/>
      <c r="E2499" s="4"/>
      <c r="G2499" s="4"/>
      <c r="H2499" s="4"/>
      <c r="K2499" s="4"/>
      <c r="N2499" s="4" t="s">
        <v>4483</v>
      </c>
      <c r="O2499" s="4">
        <v>236</v>
      </c>
    </row>
    <row r="2500" spans="1:15" ht="15.75" customHeight="1">
      <c r="A2500" s="4"/>
      <c r="B2500" s="4"/>
      <c r="C2500" s="4"/>
      <c r="D2500" s="4"/>
      <c r="E2500" s="4"/>
      <c r="G2500" s="4"/>
      <c r="H2500" s="4"/>
      <c r="K2500" s="4"/>
      <c r="N2500" s="4" t="s">
        <v>4407</v>
      </c>
      <c r="O2500" s="4">
        <v>424</v>
      </c>
    </row>
    <row r="2501" spans="1:15" ht="15.75" customHeight="1">
      <c r="A2501" s="4"/>
      <c r="B2501" s="4"/>
      <c r="C2501" s="4"/>
      <c r="D2501" s="4"/>
      <c r="E2501" s="4"/>
      <c r="G2501" s="4"/>
      <c r="H2501" s="4"/>
      <c r="K2501" s="4"/>
      <c r="N2501" s="4" t="s">
        <v>56</v>
      </c>
      <c r="O2501" s="4">
        <v>84</v>
      </c>
    </row>
    <row r="2502" spans="1:15" ht="15.75" customHeight="1">
      <c r="A2502" s="4"/>
      <c r="B2502" s="4"/>
      <c r="C2502" s="4"/>
      <c r="D2502" s="4"/>
      <c r="E2502" s="4"/>
      <c r="G2502" s="4"/>
      <c r="H2502" s="4"/>
      <c r="K2502" s="4"/>
    </row>
    <row r="2503" spans="1:15" ht="15.75" customHeight="1">
      <c r="A2503" s="4"/>
      <c r="B2503" s="4"/>
      <c r="C2503" s="4"/>
      <c r="D2503" s="4"/>
      <c r="E2503" s="4"/>
      <c r="G2503" s="4"/>
      <c r="H2503" s="4"/>
      <c r="K2503" s="4"/>
      <c r="N2503" s="4" t="s">
        <v>848</v>
      </c>
      <c r="O2503" s="4">
        <v>248</v>
      </c>
    </row>
    <row r="2504" spans="1:15" ht="15.75" customHeight="1">
      <c r="A2504" s="4"/>
      <c r="B2504" s="4"/>
      <c r="C2504" s="4"/>
      <c r="D2504" s="4"/>
      <c r="E2504" s="4"/>
      <c r="G2504" s="4"/>
      <c r="H2504" s="4"/>
      <c r="K2504" s="4"/>
      <c r="N2504" s="4" t="s">
        <v>5286</v>
      </c>
      <c r="O2504" s="4">
        <v>535</v>
      </c>
    </row>
    <row r="2505" spans="1:15" ht="15.75" customHeight="1">
      <c r="A2505" s="4"/>
      <c r="B2505" s="4"/>
      <c r="C2505" s="4"/>
      <c r="D2505" s="4"/>
      <c r="E2505" s="4"/>
      <c r="G2505" s="4"/>
      <c r="H2505" s="4"/>
      <c r="K2505" s="4"/>
      <c r="N2505" s="4" t="s">
        <v>92</v>
      </c>
      <c r="O2505" s="4">
        <v>291</v>
      </c>
    </row>
    <row r="2506" spans="1:15" ht="15.75" customHeight="1">
      <c r="A2506" s="4"/>
      <c r="B2506" s="4"/>
      <c r="C2506" s="4"/>
      <c r="D2506" s="4"/>
      <c r="E2506" s="4"/>
      <c r="G2506" s="4"/>
      <c r="H2506" s="4"/>
      <c r="K2506" s="4"/>
      <c r="N2506" s="4" t="s">
        <v>478</v>
      </c>
      <c r="O2506" s="4">
        <v>282</v>
      </c>
    </row>
    <row r="2507" spans="1:15" ht="15.75" customHeight="1">
      <c r="A2507" s="4"/>
      <c r="B2507" s="4"/>
      <c r="C2507" s="4"/>
      <c r="D2507" s="4"/>
      <c r="E2507" s="4"/>
      <c r="G2507" s="4"/>
      <c r="H2507" s="4"/>
      <c r="K2507" s="4"/>
    </row>
    <row r="2508" spans="1:15" ht="15.75" customHeight="1">
      <c r="A2508" s="4"/>
      <c r="B2508" s="4"/>
      <c r="C2508" s="4"/>
      <c r="D2508" s="4"/>
      <c r="E2508" s="4"/>
      <c r="G2508" s="4"/>
      <c r="H2508" s="4"/>
      <c r="K2508" s="4"/>
      <c r="N2508" s="4" t="s">
        <v>674</v>
      </c>
      <c r="O2508" s="4">
        <v>306</v>
      </c>
    </row>
    <row r="2509" spans="1:15" ht="15.75" customHeight="1">
      <c r="A2509" s="4"/>
      <c r="B2509" s="4"/>
      <c r="C2509" s="4"/>
      <c r="D2509" s="4"/>
      <c r="E2509" s="4"/>
      <c r="G2509" s="4"/>
      <c r="H2509" s="4"/>
      <c r="K2509" s="4"/>
    </row>
    <row r="2510" spans="1:15" ht="15.75" customHeight="1">
      <c r="A2510" s="4"/>
      <c r="B2510" s="4"/>
      <c r="C2510" s="4"/>
      <c r="D2510" s="4"/>
      <c r="E2510" s="4"/>
      <c r="G2510" s="4"/>
      <c r="H2510" s="4"/>
      <c r="K2510" s="4"/>
      <c r="N2510" s="4" t="s">
        <v>255</v>
      </c>
      <c r="O2510" s="4">
        <v>423</v>
      </c>
    </row>
    <row r="2511" spans="1:15" ht="15.75" customHeight="1">
      <c r="B2511" s="4"/>
      <c r="C2511" s="4"/>
      <c r="D2511" s="4"/>
      <c r="E2511" s="4"/>
      <c r="G2511" s="4"/>
      <c r="H2511" s="4"/>
      <c r="K2511" s="4"/>
      <c r="N2511" s="4" t="s">
        <v>5298</v>
      </c>
      <c r="O2511" s="4">
        <v>324</v>
      </c>
    </row>
    <row r="2512" spans="1:15" ht="15.75" customHeight="1">
      <c r="A2512" s="4"/>
      <c r="B2512" s="4"/>
      <c r="C2512" s="4"/>
      <c r="D2512" s="4"/>
      <c r="E2512" s="4"/>
      <c r="G2512" s="4"/>
      <c r="H2512" s="4"/>
      <c r="K2512" s="4"/>
      <c r="N2512" s="4" t="s">
        <v>4167</v>
      </c>
      <c r="O2512" s="4">
        <v>271</v>
      </c>
    </row>
    <row r="2513" spans="1:15" ht="15.75" customHeight="1">
      <c r="B2513" s="4"/>
      <c r="C2513" s="4"/>
      <c r="D2513" s="4"/>
      <c r="E2513" s="4"/>
      <c r="G2513" s="4"/>
      <c r="H2513" s="4"/>
      <c r="K2513" s="4"/>
      <c r="N2513" s="4" t="s">
        <v>4045</v>
      </c>
      <c r="O2513" s="4">
        <v>303</v>
      </c>
    </row>
    <row r="2514" spans="1:15" ht="15.75" customHeight="1">
      <c r="A2514" s="4"/>
      <c r="B2514" s="4"/>
      <c r="C2514" s="4"/>
      <c r="D2514" s="4"/>
      <c r="E2514" s="4"/>
      <c r="G2514" s="4"/>
      <c r="H2514" s="4"/>
      <c r="K2514" s="4"/>
      <c r="N2514" s="4" t="s">
        <v>5305</v>
      </c>
      <c r="O2514" s="4">
        <v>121</v>
      </c>
    </row>
    <row r="2515" spans="1:15" ht="15.75" customHeight="1">
      <c r="B2515" s="4"/>
      <c r="C2515" s="4"/>
      <c r="D2515" s="4"/>
      <c r="E2515" s="4"/>
      <c r="G2515" s="4"/>
      <c r="H2515" s="4"/>
      <c r="K2515" s="4"/>
      <c r="N2515" s="4" t="s">
        <v>3943</v>
      </c>
      <c r="O2515" s="4">
        <v>309</v>
      </c>
    </row>
    <row r="2516" spans="1:15" ht="15.75" customHeight="1">
      <c r="A2516" s="4"/>
      <c r="B2516" s="4"/>
      <c r="C2516" s="4"/>
      <c r="D2516" s="4"/>
      <c r="E2516" s="4"/>
      <c r="G2516" s="4"/>
      <c r="H2516" s="4"/>
      <c r="K2516" s="4"/>
      <c r="N2516" s="4" t="s">
        <v>255</v>
      </c>
      <c r="O2516" s="4">
        <v>397</v>
      </c>
    </row>
    <row r="2517" spans="1:15" ht="15.75" customHeight="1">
      <c r="A2517" s="4"/>
      <c r="B2517" s="4"/>
      <c r="C2517" s="4"/>
      <c r="D2517" s="4"/>
      <c r="E2517" s="4"/>
      <c r="G2517" s="4"/>
      <c r="H2517" s="4"/>
      <c r="K2517" s="4"/>
      <c r="N2517" s="4" t="s">
        <v>255</v>
      </c>
      <c r="O2517" s="4">
        <v>473</v>
      </c>
    </row>
    <row r="2518" spans="1:15" ht="15.75" customHeight="1">
      <c r="A2518" s="4"/>
      <c r="B2518" s="4"/>
      <c r="C2518" s="4"/>
      <c r="D2518" s="4"/>
      <c r="E2518" s="4"/>
      <c r="G2518" s="4"/>
      <c r="H2518" s="4"/>
      <c r="K2518" s="4"/>
      <c r="N2518" s="4" t="s">
        <v>3380</v>
      </c>
      <c r="O2518" s="4">
        <v>207</v>
      </c>
    </row>
    <row r="2519" spans="1:15" ht="15.75" customHeight="1">
      <c r="A2519" s="4"/>
      <c r="B2519" s="4"/>
      <c r="C2519" s="4"/>
      <c r="D2519" s="4"/>
      <c r="E2519" s="4"/>
      <c r="G2519" s="4"/>
      <c r="H2519" s="4"/>
      <c r="K2519" s="4"/>
      <c r="N2519" s="4" t="s">
        <v>5316</v>
      </c>
      <c r="O2519" s="4">
        <v>173</v>
      </c>
    </row>
    <row r="2520" spans="1:15" ht="15.75" customHeight="1">
      <c r="A2520" s="4"/>
      <c r="B2520" s="4"/>
      <c r="C2520" s="4"/>
      <c r="D2520" s="4"/>
      <c r="E2520" s="4"/>
      <c r="G2520" s="4"/>
      <c r="H2520" s="4"/>
      <c r="K2520" s="4"/>
      <c r="N2520" s="4" t="s">
        <v>931</v>
      </c>
      <c r="O2520" s="4">
        <v>154</v>
      </c>
    </row>
    <row r="2521" spans="1:15" ht="15.75" customHeight="1">
      <c r="A2521" s="4"/>
      <c r="B2521" s="4"/>
      <c r="C2521" s="4"/>
      <c r="D2521" s="4"/>
      <c r="E2521" s="4"/>
      <c r="G2521" s="4"/>
      <c r="H2521" s="4"/>
      <c r="K2521" s="4"/>
      <c r="N2521" s="4" t="s">
        <v>51</v>
      </c>
      <c r="O2521" s="4">
        <v>183</v>
      </c>
    </row>
    <row r="2522" spans="1:15" ht="15.75" customHeight="1">
      <c r="A2522" s="4"/>
      <c r="B2522" s="4"/>
      <c r="C2522" s="4"/>
      <c r="D2522" s="4"/>
      <c r="E2522" s="4"/>
      <c r="G2522" s="4"/>
      <c r="H2522" s="4"/>
      <c r="K2522" s="4"/>
      <c r="N2522" s="4" t="s">
        <v>295</v>
      </c>
      <c r="O2522" s="4">
        <v>109</v>
      </c>
    </row>
    <row r="2523" spans="1:15" ht="15.75" customHeight="1">
      <c r="A2523" s="4"/>
      <c r="B2523" s="4"/>
      <c r="C2523" s="4"/>
      <c r="D2523" s="4"/>
      <c r="E2523" s="4"/>
      <c r="G2523" s="4"/>
      <c r="H2523" s="4"/>
      <c r="K2523" s="4"/>
      <c r="N2523" s="4" t="s">
        <v>2415</v>
      </c>
      <c r="O2523" s="4">
        <v>110</v>
      </c>
    </row>
    <row r="2524" spans="1:15" ht="15.75" customHeight="1">
      <c r="A2524" s="4"/>
      <c r="B2524" s="4"/>
      <c r="C2524" s="4"/>
      <c r="D2524" s="4"/>
      <c r="E2524" s="4"/>
      <c r="G2524" s="4"/>
      <c r="H2524" s="4"/>
      <c r="K2524" s="4"/>
      <c r="N2524" s="4" t="s">
        <v>2401</v>
      </c>
      <c r="O2524" s="4">
        <v>236</v>
      </c>
    </row>
    <row r="2525" spans="1:15" ht="15.75" customHeight="1">
      <c r="A2525" s="4"/>
      <c r="B2525" s="4"/>
      <c r="C2525" s="4"/>
      <c r="D2525" s="4"/>
      <c r="E2525" s="4"/>
      <c r="G2525" s="4"/>
      <c r="H2525" s="4"/>
      <c r="K2525" s="4"/>
      <c r="N2525" s="4" t="s">
        <v>1381</v>
      </c>
      <c r="O2525" s="4">
        <v>452</v>
      </c>
    </row>
    <row r="2526" spans="1:15" ht="15.75" customHeight="1">
      <c r="A2526" s="4"/>
      <c r="B2526" s="4"/>
      <c r="C2526" s="4"/>
      <c r="D2526" s="4"/>
      <c r="E2526" s="4"/>
      <c r="G2526" s="4"/>
      <c r="H2526" s="4"/>
      <c r="K2526" s="4"/>
      <c r="N2526" s="4" t="s">
        <v>298</v>
      </c>
      <c r="O2526" s="4">
        <v>139</v>
      </c>
    </row>
    <row r="2527" spans="1:15" ht="15.75" customHeight="1">
      <c r="A2527" s="4"/>
      <c r="B2527" s="4"/>
      <c r="C2527" s="4"/>
      <c r="D2527" s="4"/>
      <c r="E2527" s="4"/>
      <c r="G2527" s="4"/>
      <c r="H2527" s="4"/>
      <c r="K2527" s="4"/>
      <c r="N2527" s="4" t="s">
        <v>5333</v>
      </c>
      <c r="O2527" s="4">
        <v>366</v>
      </c>
    </row>
    <row r="2528" spans="1:15" ht="15.75" customHeight="1">
      <c r="A2528" s="4"/>
      <c r="B2528" s="4"/>
      <c r="C2528" s="4"/>
      <c r="D2528" s="4"/>
      <c r="E2528" s="4"/>
      <c r="G2528" s="4"/>
      <c r="H2528" s="4"/>
      <c r="I2528" s="4"/>
      <c r="K2528" s="4"/>
      <c r="N2528" s="4" t="s">
        <v>5336</v>
      </c>
      <c r="O2528" s="4">
        <v>460</v>
      </c>
    </row>
    <row r="2529" spans="1:15" ht="15.75" customHeight="1">
      <c r="A2529" s="4"/>
      <c r="B2529" s="4"/>
      <c r="C2529" s="4"/>
      <c r="D2529" s="4"/>
      <c r="E2529" s="4"/>
      <c r="G2529" s="4"/>
      <c r="H2529" s="4"/>
      <c r="K2529" s="4"/>
      <c r="N2529" s="4" t="s">
        <v>5340</v>
      </c>
      <c r="O2529" s="4">
        <v>406</v>
      </c>
    </row>
    <row r="2530" spans="1:15" ht="15.75" customHeight="1">
      <c r="B2530" s="4"/>
      <c r="C2530" s="4"/>
      <c r="D2530" s="4"/>
      <c r="E2530" s="4"/>
      <c r="G2530" s="4"/>
      <c r="H2530" s="4"/>
      <c r="K2530" s="4"/>
      <c r="N2530" s="4" t="s">
        <v>1078</v>
      </c>
      <c r="O2530" s="4">
        <v>482</v>
      </c>
    </row>
    <row r="2531" spans="1:15" ht="15.75" customHeight="1">
      <c r="A2531" s="4"/>
      <c r="B2531" s="4"/>
      <c r="C2531" s="4"/>
      <c r="D2531" s="4"/>
      <c r="E2531" s="4"/>
      <c r="G2531" s="4"/>
      <c r="H2531" s="4"/>
      <c r="K2531" s="4"/>
      <c r="N2531" s="4" t="s">
        <v>3138</v>
      </c>
      <c r="O2531" s="4">
        <v>224</v>
      </c>
    </row>
    <row r="2532" spans="1:15" ht="15.75" customHeight="1">
      <c r="A2532" s="4"/>
      <c r="B2532" s="4"/>
      <c r="C2532" s="4"/>
      <c r="D2532" s="4"/>
      <c r="E2532" s="4"/>
      <c r="G2532" s="4"/>
      <c r="H2532" s="4"/>
      <c r="I2532" s="4"/>
      <c r="K2532" s="4"/>
      <c r="N2532" s="4" t="s">
        <v>5347</v>
      </c>
      <c r="O2532" s="4">
        <v>237</v>
      </c>
    </row>
    <row r="2533" spans="1:15" ht="15.75" customHeight="1">
      <c r="A2533" s="4"/>
      <c r="B2533" s="4"/>
      <c r="C2533" s="4"/>
      <c r="D2533" s="4"/>
      <c r="E2533" s="4"/>
      <c r="G2533" s="4"/>
      <c r="H2533" s="4"/>
      <c r="I2533" s="4"/>
      <c r="K2533" s="4"/>
      <c r="N2533" s="4" t="s">
        <v>197</v>
      </c>
      <c r="O2533" s="4">
        <v>636</v>
      </c>
    </row>
    <row r="2534" spans="1:15" ht="15.75" customHeight="1">
      <c r="A2534" s="4"/>
      <c r="B2534" s="4"/>
      <c r="C2534" s="4"/>
      <c r="D2534" s="4"/>
      <c r="E2534" s="4"/>
      <c r="G2534" s="4"/>
      <c r="H2534" s="4"/>
      <c r="K2534" s="4"/>
      <c r="N2534" s="4" t="s">
        <v>5354</v>
      </c>
      <c r="O2534" s="4">
        <v>475</v>
      </c>
    </row>
    <row r="2535" spans="1:15" ht="15.75" customHeight="1">
      <c r="A2535" s="4"/>
      <c r="B2535" s="4"/>
      <c r="C2535" s="4"/>
      <c r="D2535" s="4"/>
      <c r="E2535" s="4"/>
      <c r="G2535" s="4"/>
      <c r="H2535" s="4"/>
      <c r="K2535" s="4"/>
      <c r="N2535" s="4" t="s">
        <v>5357</v>
      </c>
      <c r="O2535" s="4">
        <v>265</v>
      </c>
    </row>
    <row r="2536" spans="1:15" ht="15.75" customHeight="1">
      <c r="A2536" s="4"/>
      <c r="B2536" s="4"/>
      <c r="C2536" s="4"/>
      <c r="D2536" s="4"/>
      <c r="E2536" s="4"/>
      <c r="G2536" s="4"/>
      <c r="H2536" s="4"/>
      <c r="K2536" s="4"/>
      <c r="N2536" s="4" t="s">
        <v>2282</v>
      </c>
      <c r="O2536" s="4">
        <v>272</v>
      </c>
    </row>
    <row r="2537" spans="1:15" ht="15.75" customHeight="1">
      <c r="A2537" s="4"/>
      <c r="B2537" s="4"/>
      <c r="C2537" s="4"/>
      <c r="D2537" s="4"/>
      <c r="E2537" s="4"/>
      <c r="G2537" s="4"/>
      <c r="H2537" s="4"/>
      <c r="K2537" s="4"/>
      <c r="N2537" s="4" t="s">
        <v>5362</v>
      </c>
      <c r="O2537" s="4">
        <v>442</v>
      </c>
    </row>
    <row r="2538" spans="1:15" ht="15.75" customHeight="1">
      <c r="A2538" s="4"/>
      <c r="B2538" s="4"/>
      <c r="C2538" s="4"/>
      <c r="D2538" s="4"/>
      <c r="E2538" s="4"/>
      <c r="G2538" s="4"/>
      <c r="H2538" s="4"/>
      <c r="K2538" s="4"/>
      <c r="N2538" s="4" t="s">
        <v>2710</v>
      </c>
      <c r="O2538" s="4">
        <v>134</v>
      </c>
    </row>
    <row r="2539" spans="1:15" ht="15.75" customHeight="1">
      <c r="A2539" s="4"/>
      <c r="B2539" s="4"/>
      <c r="C2539" s="4"/>
      <c r="D2539" s="4"/>
      <c r="E2539" s="4"/>
      <c r="G2539" s="4"/>
      <c r="H2539" s="4"/>
      <c r="K2539" s="4"/>
      <c r="N2539" s="4" t="s">
        <v>5367</v>
      </c>
      <c r="O2539" s="4">
        <v>145</v>
      </c>
    </row>
    <row r="2540" spans="1:15" ht="15.75" customHeight="1">
      <c r="A2540" s="4"/>
      <c r="B2540" s="4"/>
      <c r="C2540" s="4"/>
      <c r="D2540" s="4"/>
      <c r="E2540" s="4"/>
      <c r="G2540" s="4"/>
      <c r="H2540" s="4"/>
      <c r="K2540" s="4"/>
      <c r="N2540" s="4" t="s">
        <v>5370</v>
      </c>
      <c r="O2540" s="4">
        <v>476</v>
      </c>
    </row>
    <row r="2541" spans="1:15" ht="15.75" customHeight="1">
      <c r="A2541" s="4"/>
      <c r="B2541" s="4"/>
      <c r="C2541" s="4"/>
      <c r="D2541" s="4"/>
      <c r="E2541" s="4"/>
      <c r="G2541" s="4"/>
      <c r="H2541" s="4"/>
      <c r="K2541" s="4"/>
      <c r="N2541" s="4" t="s">
        <v>2300</v>
      </c>
      <c r="O2541" s="4">
        <v>615</v>
      </c>
    </row>
    <row r="2542" spans="1:15" ht="15.75" customHeight="1">
      <c r="A2542" s="4"/>
      <c r="B2542" s="4"/>
      <c r="C2542" s="4"/>
      <c r="D2542" s="4"/>
      <c r="E2542" s="4"/>
      <c r="G2542" s="4"/>
      <c r="H2542" s="4"/>
      <c r="K2542" s="4"/>
      <c r="N2542" s="4" t="s">
        <v>56</v>
      </c>
      <c r="O2542" s="4">
        <v>390</v>
      </c>
    </row>
    <row r="2543" spans="1:15" ht="15.75" customHeight="1">
      <c r="B2543" s="4"/>
      <c r="C2543" s="4"/>
      <c r="D2543" s="4"/>
      <c r="E2543" s="4"/>
      <c r="G2543" s="4"/>
      <c r="H2543" s="4"/>
      <c r="K2543" s="4"/>
      <c r="N2543" s="4" t="s">
        <v>678</v>
      </c>
      <c r="O2543" s="4">
        <v>536</v>
      </c>
    </row>
    <row r="2544" spans="1:15" ht="15.75" customHeight="1">
      <c r="A2544" s="4"/>
      <c r="B2544" s="4"/>
      <c r="C2544" s="4"/>
      <c r="D2544" s="4"/>
      <c r="E2544" s="4"/>
      <c r="G2544" s="4"/>
      <c r="H2544" s="4"/>
      <c r="K2544" s="4"/>
      <c r="N2544" s="4" t="s">
        <v>4136</v>
      </c>
      <c r="O2544" s="4">
        <v>447</v>
      </c>
    </row>
    <row r="2545" spans="1:15" ht="15.75" customHeight="1">
      <c r="A2545" s="4"/>
      <c r="B2545" s="4"/>
      <c r="C2545" s="4"/>
      <c r="D2545" s="4"/>
      <c r="E2545" s="4"/>
      <c r="G2545" s="4"/>
      <c r="H2545" s="4"/>
      <c r="K2545" s="4"/>
      <c r="N2545" s="4" t="s">
        <v>56</v>
      </c>
      <c r="O2545" s="4">
        <v>276</v>
      </c>
    </row>
    <row r="2546" spans="1:15" ht="15.75" customHeight="1">
      <c r="A2546" s="4"/>
      <c r="B2546" s="4"/>
      <c r="C2546" s="4"/>
      <c r="D2546" s="4"/>
      <c r="E2546" s="4"/>
      <c r="G2546" s="4"/>
      <c r="H2546" s="4"/>
      <c r="K2546" s="4"/>
      <c r="N2546" s="4" t="s">
        <v>4158</v>
      </c>
      <c r="O2546" s="4">
        <v>366</v>
      </c>
    </row>
    <row r="2547" spans="1:15" ht="15.75" customHeight="1">
      <c r="A2547" s="4"/>
      <c r="B2547" s="4"/>
      <c r="C2547" s="4"/>
      <c r="D2547" s="4"/>
      <c r="E2547" s="4"/>
      <c r="G2547" s="4"/>
      <c r="H2547" s="4"/>
      <c r="I2547" s="4"/>
      <c r="K2547" s="4"/>
      <c r="N2547" s="4" t="s">
        <v>5385</v>
      </c>
      <c r="O2547" s="4">
        <v>159</v>
      </c>
    </row>
    <row r="2548" spans="1:15" ht="15.75" customHeight="1">
      <c r="A2548" s="4"/>
      <c r="B2548" s="4"/>
      <c r="C2548" s="4"/>
      <c r="D2548" s="4"/>
      <c r="E2548" s="4"/>
      <c r="G2548" s="4"/>
      <c r="H2548" s="4"/>
      <c r="K2548" s="4"/>
      <c r="N2548" s="4" t="s">
        <v>56</v>
      </c>
      <c r="O2548" s="4">
        <v>102</v>
      </c>
    </row>
    <row r="2549" spans="1:15" ht="15.75" customHeight="1">
      <c r="A2549" s="4"/>
      <c r="B2549" s="4"/>
      <c r="C2549" s="4"/>
      <c r="D2549" s="4"/>
      <c r="E2549" s="4"/>
      <c r="G2549" s="4"/>
      <c r="H2549" s="4"/>
      <c r="K2549" s="4"/>
      <c r="N2549" s="4" t="s">
        <v>56</v>
      </c>
      <c r="O2549" s="4">
        <v>93</v>
      </c>
    </row>
    <row r="2550" spans="1:15" ht="15.75" customHeight="1">
      <c r="A2550" s="4"/>
      <c r="B2550" s="4"/>
      <c r="C2550" s="4"/>
      <c r="D2550" s="4"/>
      <c r="E2550" s="4"/>
      <c r="G2550" s="4"/>
      <c r="H2550" s="4"/>
      <c r="K2550" s="4"/>
      <c r="N2550" s="4" t="s">
        <v>56</v>
      </c>
      <c r="O2550" s="4">
        <v>74</v>
      </c>
    </row>
    <row r="2551" spans="1:15" ht="15.75" customHeight="1">
      <c r="A2551" s="4"/>
      <c r="B2551" s="4"/>
      <c r="C2551" s="4"/>
      <c r="D2551" s="4"/>
      <c r="E2551" s="4"/>
      <c r="G2551" s="4"/>
      <c r="H2551" s="4"/>
      <c r="K2551" s="4"/>
      <c r="N2551" s="4" t="s">
        <v>56</v>
      </c>
      <c r="O2551" s="4">
        <v>78</v>
      </c>
    </row>
    <row r="2552" spans="1:15" ht="15.75" customHeight="1">
      <c r="A2552" s="4"/>
      <c r="B2552" s="4"/>
      <c r="C2552" s="4"/>
      <c r="D2552" s="4"/>
      <c r="E2552" s="4"/>
      <c r="G2552" s="4"/>
      <c r="H2552" s="4"/>
      <c r="K2552" s="4"/>
    </row>
    <row r="2553" spans="1:15" ht="15.75" customHeight="1">
      <c r="A2553" s="4"/>
      <c r="B2553" s="4"/>
      <c r="C2553" s="4"/>
      <c r="D2553" s="4"/>
      <c r="E2553" s="4"/>
      <c r="G2553" s="4"/>
      <c r="H2553" s="4"/>
      <c r="K2553" s="4"/>
    </row>
    <row r="2554" spans="1:15" ht="15.75" customHeight="1">
      <c r="A2554" s="4"/>
      <c r="B2554" s="4"/>
      <c r="C2554" s="4"/>
      <c r="D2554" s="4"/>
      <c r="E2554" s="4"/>
      <c r="G2554" s="4"/>
      <c r="H2554" s="4"/>
      <c r="K2554" s="4"/>
    </row>
    <row r="2555" spans="1:15" ht="15.75" customHeight="1">
      <c r="A2555" s="4"/>
      <c r="B2555" s="4"/>
      <c r="C2555" s="4"/>
      <c r="D2555" s="4"/>
      <c r="E2555" s="4"/>
      <c r="G2555" s="4"/>
      <c r="H2555" s="4"/>
      <c r="K2555" s="4"/>
      <c r="N2555" s="4" t="s">
        <v>674</v>
      </c>
      <c r="O2555" s="4">
        <v>306</v>
      </c>
    </row>
    <row r="2556" spans="1:15" ht="15.75" customHeight="1">
      <c r="A2556" s="4"/>
      <c r="B2556" s="4"/>
      <c r="C2556" s="4"/>
      <c r="D2556" s="4"/>
      <c r="E2556" s="4"/>
      <c r="G2556" s="4"/>
      <c r="H2556" s="4"/>
      <c r="K2556" s="4"/>
      <c r="N2556" s="4" t="s">
        <v>2933</v>
      </c>
      <c r="O2556" s="4">
        <v>784</v>
      </c>
    </row>
    <row r="2557" spans="1:15" ht="15.75" customHeight="1">
      <c r="A2557" s="4"/>
      <c r="B2557" s="4"/>
      <c r="C2557" s="4"/>
      <c r="D2557" s="4"/>
      <c r="E2557" s="4"/>
      <c r="G2557" s="4"/>
      <c r="H2557" s="4"/>
      <c r="K2557" s="4"/>
      <c r="N2557" s="4" t="s">
        <v>56</v>
      </c>
      <c r="O2557" s="4">
        <v>54</v>
      </c>
    </row>
    <row r="2558" spans="1:15" ht="15.75" customHeight="1">
      <c r="A2558" s="4"/>
      <c r="B2558" s="4"/>
      <c r="C2558" s="4"/>
      <c r="D2558" s="4"/>
      <c r="E2558" s="4"/>
      <c r="G2558" s="4"/>
      <c r="H2558" s="4"/>
      <c r="K2558" s="4"/>
      <c r="N2558" s="4" t="s">
        <v>281</v>
      </c>
      <c r="O2558" s="4">
        <v>617</v>
      </c>
    </row>
    <row r="2559" spans="1:15" ht="15.75" customHeight="1">
      <c r="B2559" s="4"/>
      <c r="C2559" s="4"/>
      <c r="D2559" s="4"/>
      <c r="E2559" s="4"/>
      <c r="G2559" s="4"/>
      <c r="H2559" s="4"/>
      <c r="K2559" s="4"/>
      <c r="N2559" s="4" t="s">
        <v>5407</v>
      </c>
      <c r="O2559" s="4">
        <v>227</v>
      </c>
    </row>
    <row r="2560" spans="1:15" ht="15.75" customHeight="1">
      <c r="A2560" s="4"/>
      <c r="B2560" s="4"/>
      <c r="C2560" s="4"/>
      <c r="D2560" s="4"/>
      <c r="E2560" s="4"/>
      <c r="G2560" s="4"/>
      <c r="H2560" s="4"/>
      <c r="K2560" s="4"/>
      <c r="N2560" s="4" t="s">
        <v>779</v>
      </c>
      <c r="O2560" s="4">
        <v>471</v>
      </c>
    </row>
    <row r="2561" spans="1:15" ht="15.75" customHeight="1">
      <c r="A2561" s="4"/>
      <c r="B2561" s="4"/>
      <c r="C2561" s="4"/>
      <c r="D2561" s="4"/>
      <c r="E2561" s="4"/>
      <c r="G2561" s="4"/>
      <c r="H2561" s="4"/>
      <c r="K2561" s="4"/>
      <c r="N2561" s="4" t="s">
        <v>2942</v>
      </c>
      <c r="O2561" s="4">
        <v>409</v>
      </c>
    </row>
    <row r="2562" spans="1:15" ht="15.75" customHeight="1">
      <c r="A2562" s="4"/>
      <c r="B2562" s="4"/>
      <c r="C2562" s="4"/>
      <c r="D2562" s="4"/>
      <c r="E2562" s="4"/>
      <c r="G2562" s="4"/>
      <c r="H2562" s="4"/>
      <c r="K2562" s="4"/>
    </row>
    <row r="2563" spans="1:15" ht="15.75" customHeight="1">
      <c r="A2563" s="4"/>
      <c r="B2563" s="4"/>
      <c r="C2563" s="4"/>
      <c r="D2563" s="4"/>
      <c r="E2563" s="4"/>
      <c r="G2563" s="4"/>
      <c r="H2563" s="4"/>
      <c r="K2563" s="4"/>
      <c r="N2563" s="4" t="s">
        <v>51</v>
      </c>
      <c r="O2563" s="4">
        <v>166</v>
      </c>
    </row>
    <row r="2564" spans="1:15" ht="15.75" customHeight="1">
      <c r="A2564" s="4"/>
      <c r="B2564" s="4"/>
      <c r="C2564" s="4"/>
      <c r="D2564" s="4"/>
      <c r="E2564" s="4"/>
      <c r="G2564" s="4"/>
      <c r="H2564" s="4"/>
      <c r="K2564" s="4"/>
      <c r="N2564" s="4" t="s">
        <v>51</v>
      </c>
      <c r="O2564" s="4">
        <v>173</v>
      </c>
    </row>
    <row r="2565" spans="1:15" ht="15.75" customHeight="1">
      <c r="A2565" s="4"/>
      <c r="B2565" s="4"/>
      <c r="C2565" s="4"/>
      <c r="D2565" s="4"/>
      <c r="E2565" s="4"/>
      <c r="G2565" s="4"/>
      <c r="H2565" s="4"/>
      <c r="K2565" s="4"/>
      <c r="N2565" s="4" t="s">
        <v>2936</v>
      </c>
      <c r="O2565" s="4">
        <v>251</v>
      </c>
    </row>
    <row r="2566" spans="1:15" ht="15.75" customHeight="1">
      <c r="A2566" s="4"/>
      <c r="B2566" s="4"/>
      <c r="C2566" s="4"/>
      <c r="D2566" s="4"/>
      <c r="E2566" s="4"/>
      <c r="G2566" s="4"/>
      <c r="H2566" s="4"/>
      <c r="K2566" s="4"/>
      <c r="N2566" s="4" t="s">
        <v>2154</v>
      </c>
      <c r="O2566" s="4">
        <v>345</v>
      </c>
    </row>
    <row r="2567" spans="1:15" ht="15.75" customHeight="1">
      <c r="A2567" s="4"/>
      <c r="B2567" s="4"/>
      <c r="C2567" s="4"/>
      <c r="D2567" s="4"/>
      <c r="E2567" s="4"/>
      <c r="G2567" s="4"/>
      <c r="H2567" s="4"/>
      <c r="K2567" s="4"/>
      <c r="N2567" s="4" t="s">
        <v>5422</v>
      </c>
      <c r="O2567" s="4">
        <v>173</v>
      </c>
    </row>
    <row r="2568" spans="1:15" ht="15.75" customHeight="1">
      <c r="A2568" s="4"/>
      <c r="B2568" s="4"/>
      <c r="C2568" s="4"/>
      <c r="D2568" s="4"/>
      <c r="E2568" s="4"/>
      <c r="G2568" s="4"/>
      <c r="H2568" s="4"/>
      <c r="K2568" s="4"/>
      <c r="N2568" s="4" t="s">
        <v>51</v>
      </c>
      <c r="O2568" s="4">
        <v>166</v>
      </c>
    </row>
    <row r="2569" spans="1:15" ht="15.75" customHeight="1">
      <c r="A2569" s="4"/>
      <c r="B2569" s="4"/>
      <c r="C2569" s="4"/>
      <c r="D2569" s="4"/>
      <c r="E2569" s="4"/>
      <c r="G2569" s="4"/>
      <c r="H2569" s="4"/>
      <c r="K2569" s="4"/>
      <c r="N2569" s="4" t="s">
        <v>51</v>
      </c>
      <c r="O2569" s="4">
        <v>243</v>
      </c>
    </row>
    <row r="2570" spans="1:15" ht="15.75" customHeight="1">
      <c r="A2570" s="4"/>
      <c r="B2570" s="4"/>
      <c r="C2570" s="4"/>
      <c r="D2570" s="4"/>
      <c r="E2570" s="4"/>
      <c r="G2570" s="4"/>
      <c r="H2570" s="4"/>
      <c r="K2570" s="4"/>
      <c r="N2570" s="4" t="s">
        <v>56</v>
      </c>
      <c r="O2570" s="4">
        <v>84</v>
      </c>
    </row>
    <row r="2571" spans="1:15" ht="15.75" customHeight="1">
      <c r="A2571" s="4"/>
      <c r="B2571" s="4"/>
      <c r="C2571" s="4"/>
      <c r="D2571" s="4"/>
      <c r="E2571" s="4"/>
      <c r="G2571" s="4"/>
      <c r="H2571" s="4"/>
      <c r="K2571" s="4"/>
      <c r="N2571" s="4" t="s">
        <v>5431</v>
      </c>
      <c r="O2571" s="4">
        <v>106</v>
      </c>
    </row>
    <row r="2572" spans="1:15" ht="15.75" customHeight="1">
      <c r="A2572" s="4"/>
      <c r="B2572" s="4"/>
      <c r="C2572" s="4"/>
      <c r="D2572" s="4"/>
      <c r="E2572" s="4"/>
      <c r="G2572" s="4"/>
      <c r="H2572" s="4"/>
      <c r="K2572" s="4"/>
    </row>
    <row r="2573" spans="1:15" ht="15.75" customHeight="1">
      <c r="A2573" s="4"/>
      <c r="B2573" s="4"/>
      <c r="C2573" s="4"/>
      <c r="D2573" s="4"/>
      <c r="E2573" s="4"/>
      <c r="G2573" s="4"/>
      <c r="H2573" s="4"/>
      <c r="K2573" s="4"/>
      <c r="N2573" s="4" t="s">
        <v>5435</v>
      </c>
      <c r="O2573" s="4">
        <v>310</v>
      </c>
    </row>
    <row r="2574" spans="1:15" ht="15.75" customHeight="1">
      <c r="B2574" s="4"/>
      <c r="C2574" s="4"/>
      <c r="D2574" s="4"/>
      <c r="E2574" s="4"/>
      <c r="G2574" s="4"/>
      <c r="H2574" s="4"/>
      <c r="K2574" s="4"/>
      <c r="N2574" s="4" t="s">
        <v>5438</v>
      </c>
      <c r="O2574" s="4">
        <v>355</v>
      </c>
    </row>
    <row r="2575" spans="1:15" ht="15.75" customHeight="1">
      <c r="A2575" s="4"/>
      <c r="B2575" s="4"/>
      <c r="C2575" s="4"/>
      <c r="D2575" s="4"/>
      <c r="E2575" s="4"/>
      <c r="G2575" s="4"/>
      <c r="H2575" s="4"/>
      <c r="K2575" s="4"/>
      <c r="N2575" s="4" t="s">
        <v>1381</v>
      </c>
      <c r="O2575" s="4">
        <v>278</v>
      </c>
    </row>
    <row r="2576" spans="1:15" ht="15.75" customHeight="1">
      <c r="A2576" s="4"/>
      <c r="B2576" s="4"/>
      <c r="C2576" s="4"/>
      <c r="D2576" s="4"/>
      <c r="E2576" s="4"/>
      <c r="G2576" s="4"/>
      <c r="H2576" s="4"/>
      <c r="K2576" s="4"/>
      <c r="N2576" s="4" t="s">
        <v>4045</v>
      </c>
      <c r="O2576" s="4">
        <v>278</v>
      </c>
    </row>
    <row r="2577" spans="1:15" ht="15.75" customHeight="1">
      <c r="A2577" s="4"/>
      <c r="B2577" s="4"/>
      <c r="C2577" s="4"/>
      <c r="D2577" s="4"/>
      <c r="E2577" s="4"/>
      <c r="G2577" s="4"/>
      <c r="H2577" s="4"/>
      <c r="K2577" s="4"/>
      <c r="N2577" s="4" t="s">
        <v>2415</v>
      </c>
      <c r="O2577" s="4">
        <v>161</v>
      </c>
    </row>
    <row r="2578" spans="1:15" ht="15.75" customHeight="1">
      <c r="A2578" s="4"/>
      <c r="B2578" s="4"/>
      <c r="C2578" s="4"/>
      <c r="D2578" s="4"/>
      <c r="E2578" s="4"/>
      <c r="G2578" s="4"/>
      <c r="H2578" s="4"/>
      <c r="K2578" s="4"/>
      <c r="N2578" s="4" t="s">
        <v>3646</v>
      </c>
      <c r="O2578" s="4">
        <v>310</v>
      </c>
    </row>
    <row r="2579" spans="1:15" ht="15.75" customHeight="1">
      <c r="A2579" s="4"/>
      <c r="B2579" s="4"/>
      <c r="C2579" s="4"/>
      <c r="D2579" s="4"/>
      <c r="E2579" s="4"/>
      <c r="G2579" s="4"/>
      <c r="H2579" s="4"/>
      <c r="I2579" s="4"/>
      <c r="K2579" s="4"/>
      <c r="N2579" s="4" t="s">
        <v>4829</v>
      </c>
      <c r="O2579" s="4">
        <v>305</v>
      </c>
    </row>
    <row r="2580" spans="1:15" ht="15.75" customHeight="1">
      <c r="A2580" s="4"/>
      <c r="B2580" s="4"/>
      <c r="C2580" s="4"/>
      <c r="D2580" s="4"/>
      <c r="E2580" s="4"/>
      <c r="G2580" s="4"/>
      <c r="H2580" s="4"/>
      <c r="K2580" s="4"/>
      <c r="N2580" s="4" t="s">
        <v>2472</v>
      </c>
      <c r="O2580" s="4">
        <v>340</v>
      </c>
    </row>
    <row r="2581" spans="1:15" ht="15.75" customHeight="1">
      <c r="A2581" s="4"/>
      <c r="B2581" s="4"/>
      <c r="C2581" s="4"/>
      <c r="D2581" s="4"/>
      <c r="E2581" s="4"/>
      <c r="G2581" s="4"/>
      <c r="H2581" s="4"/>
      <c r="K2581" s="4"/>
      <c r="N2581" s="4" t="s">
        <v>5453</v>
      </c>
      <c r="O2581" s="4">
        <v>355</v>
      </c>
    </row>
    <row r="2582" spans="1:15" ht="15.75" customHeight="1">
      <c r="A2582" s="4"/>
      <c r="B2582" s="4"/>
      <c r="C2582" s="4"/>
      <c r="D2582" s="4"/>
      <c r="E2582" s="4"/>
      <c r="G2582" s="4"/>
      <c r="H2582" s="4"/>
      <c r="K2582" s="4"/>
      <c r="N2582" s="4" t="s">
        <v>2472</v>
      </c>
      <c r="O2582" s="4">
        <v>261</v>
      </c>
    </row>
    <row r="2583" spans="1:15" ht="15.75" customHeight="1">
      <c r="A2583" s="4"/>
      <c r="B2583" s="4"/>
      <c r="C2583" s="4"/>
      <c r="D2583" s="4"/>
      <c r="E2583" s="4"/>
      <c r="G2583" s="4"/>
      <c r="H2583" s="4"/>
      <c r="K2583" s="4"/>
      <c r="N2583" s="4" t="s">
        <v>4682</v>
      </c>
      <c r="O2583" s="4">
        <v>243</v>
      </c>
    </row>
    <row r="2584" spans="1:15" ht="15.75" customHeight="1">
      <c r="A2584" s="4"/>
      <c r="B2584" s="4"/>
      <c r="C2584" s="4"/>
      <c r="D2584" s="4"/>
      <c r="E2584" s="4"/>
      <c r="G2584" s="4"/>
      <c r="H2584" s="4"/>
      <c r="K2584" s="4"/>
      <c r="N2584" s="4" t="s">
        <v>5460</v>
      </c>
      <c r="O2584" s="4">
        <v>186</v>
      </c>
    </row>
    <row r="2585" spans="1:15" ht="15.75" customHeight="1">
      <c r="A2585" s="4"/>
      <c r="B2585" s="4"/>
      <c r="C2585" s="4"/>
      <c r="D2585" s="4"/>
      <c r="E2585" s="4"/>
      <c r="G2585" s="4"/>
      <c r="H2585" s="4"/>
      <c r="K2585" s="4"/>
      <c r="N2585" s="4" t="s">
        <v>2475</v>
      </c>
      <c r="O2585" s="4">
        <v>478</v>
      </c>
    </row>
    <row r="2586" spans="1:15" ht="15.75" customHeight="1">
      <c r="A2586" s="4"/>
      <c r="B2586" s="4"/>
      <c r="C2586" s="4"/>
      <c r="D2586" s="4"/>
      <c r="E2586" s="4"/>
      <c r="G2586" s="4"/>
      <c r="H2586" s="4"/>
      <c r="K2586" s="4"/>
      <c r="N2586" s="4" t="s">
        <v>73</v>
      </c>
      <c r="O2586" s="4">
        <v>372</v>
      </c>
    </row>
    <row r="2587" spans="1:15" ht="15.75" customHeight="1">
      <c r="A2587" s="4"/>
      <c r="B2587" s="4"/>
      <c r="C2587" s="4"/>
      <c r="D2587" s="4"/>
      <c r="E2587" s="4"/>
      <c r="G2587" s="4"/>
      <c r="H2587" s="4"/>
      <c r="K2587" s="4"/>
      <c r="N2587" s="4" t="s">
        <v>5467</v>
      </c>
      <c r="O2587" s="4">
        <v>310</v>
      </c>
    </row>
    <row r="2588" spans="1:15" ht="15.75" customHeight="1">
      <c r="A2588" s="4"/>
      <c r="B2588" s="4"/>
      <c r="C2588" s="4"/>
      <c r="D2588" s="4"/>
      <c r="E2588" s="4"/>
      <c r="G2588" s="4"/>
      <c r="H2588" s="4"/>
      <c r="K2588" s="4"/>
      <c r="N2588" s="4" t="s">
        <v>5467</v>
      </c>
      <c r="O2588" s="4">
        <v>271</v>
      </c>
    </row>
    <row r="2589" spans="1:15" ht="15.75" customHeight="1">
      <c r="A2589" s="4"/>
      <c r="B2589" s="4"/>
      <c r="C2589" s="4"/>
      <c r="D2589" s="4"/>
      <c r="E2589" s="4"/>
      <c r="G2589" s="4"/>
      <c r="H2589" s="4"/>
      <c r="K2589" s="4"/>
      <c r="N2589" s="4" t="s">
        <v>4407</v>
      </c>
      <c r="O2589" s="4">
        <v>458</v>
      </c>
    </row>
    <row r="2590" spans="1:15" ht="15.75" customHeight="1">
      <c r="A2590" s="4"/>
      <c r="B2590" s="4"/>
      <c r="C2590" s="4"/>
      <c r="D2590" s="4"/>
      <c r="E2590" s="4"/>
      <c r="G2590" s="4"/>
      <c r="H2590" s="4"/>
      <c r="I2590" s="4"/>
      <c r="K2590" s="4"/>
      <c r="N2590" s="4" t="s">
        <v>5474</v>
      </c>
      <c r="O2590" s="4">
        <v>137</v>
      </c>
    </row>
    <row r="2591" spans="1:15" ht="15.75" customHeight="1">
      <c r="A2591" s="4"/>
      <c r="B2591" s="4"/>
      <c r="C2591" s="4"/>
      <c r="D2591" s="4"/>
      <c r="E2591" s="4"/>
      <c r="G2591" s="4"/>
      <c r="H2591" s="4"/>
      <c r="K2591" s="4"/>
      <c r="N2591" s="4" t="s">
        <v>5478</v>
      </c>
      <c r="O2591" s="4">
        <v>232</v>
      </c>
    </row>
    <row r="2592" spans="1:15" ht="15.75" customHeight="1">
      <c r="A2592" s="4"/>
      <c r="B2592" s="4"/>
      <c r="C2592" s="4"/>
      <c r="D2592" s="4"/>
      <c r="E2592" s="4"/>
      <c r="G2592" s="4"/>
      <c r="H2592" s="4"/>
      <c r="K2592" s="4"/>
      <c r="N2592" s="4" t="s">
        <v>478</v>
      </c>
      <c r="O2592" s="4">
        <v>185</v>
      </c>
    </row>
    <row r="2593" spans="1:15" ht="15.75" customHeight="1">
      <c r="A2593" s="4"/>
      <c r="B2593" s="4"/>
      <c r="C2593" s="4"/>
      <c r="D2593" s="4"/>
      <c r="E2593" s="4"/>
      <c r="G2593" s="4"/>
      <c r="H2593" s="4"/>
      <c r="K2593" s="4"/>
      <c r="N2593" s="4" t="s">
        <v>5483</v>
      </c>
      <c r="O2593" s="4">
        <v>72</v>
      </c>
    </row>
    <row r="2594" spans="1:15" ht="15.75" customHeight="1">
      <c r="A2594" s="4"/>
      <c r="B2594" s="4"/>
      <c r="C2594" s="4"/>
      <c r="D2594" s="4"/>
      <c r="E2594" s="4"/>
      <c r="G2594" s="4"/>
      <c r="H2594" s="4"/>
      <c r="K2594" s="4"/>
      <c r="N2594" s="4" t="s">
        <v>56</v>
      </c>
      <c r="O2594" s="4">
        <v>105</v>
      </c>
    </row>
    <row r="2595" spans="1:15" ht="15.75" customHeight="1">
      <c r="A2595" s="4"/>
      <c r="B2595" s="4"/>
      <c r="C2595" s="4"/>
      <c r="D2595" s="4"/>
      <c r="E2595" s="4"/>
      <c r="G2595" s="4"/>
      <c r="H2595" s="4"/>
      <c r="K2595" s="4"/>
      <c r="N2595" s="4" t="s">
        <v>56</v>
      </c>
      <c r="O2595" s="4">
        <v>105</v>
      </c>
    </row>
    <row r="2596" spans="1:15" ht="15.75" customHeight="1">
      <c r="A2596" s="4"/>
      <c r="B2596" s="4"/>
      <c r="C2596" s="4"/>
      <c r="D2596" s="4"/>
      <c r="E2596" s="4"/>
      <c r="G2596" s="4"/>
      <c r="H2596" s="4"/>
      <c r="K2596" s="4"/>
      <c r="N2596" s="4" t="s">
        <v>5490</v>
      </c>
      <c r="O2596" s="4">
        <v>167</v>
      </c>
    </row>
    <row r="2597" spans="1:15" ht="15.75" customHeight="1">
      <c r="A2597" s="4"/>
      <c r="B2597" s="4"/>
      <c r="C2597" s="4"/>
      <c r="D2597" s="4"/>
      <c r="E2597" s="4"/>
      <c r="G2597" s="4"/>
      <c r="H2597" s="4"/>
      <c r="K2597" s="4"/>
      <c r="N2597" s="4" t="s">
        <v>51</v>
      </c>
      <c r="O2597" s="4">
        <v>167</v>
      </c>
    </row>
    <row r="2598" spans="1:15" ht="15.75" customHeight="1">
      <c r="A2598" s="4"/>
      <c r="B2598" s="4"/>
      <c r="C2598" s="4"/>
      <c r="D2598" s="4"/>
      <c r="E2598" s="4"/>
      <c r="G2598" s="4"/>
      <c r="H2598" s="4"/>
      <c r="K2598" s="4"/>
      <c r="N2598" s="4" t="s">
        <v>255</v>
      </c>
      <c r="O2598" s="4">
        <v>524</v>
      </c>
    </row>
    <row r="2599" spans="1:15" ht="15.75" customHeight="1">
      <c r="A2599" s="4"/>
      <c r="B2599" s="4"/>
      <c r="C2599" s="4"/>
      <c r="D2599" s="4"/>
      <c r="E2599" s="4"/>
      <c r="G2599" s="4"/>
      <c r="H2599" s="4"/>
      <c r="K2599" s="4"/>
      <c r="N2599" s="4" t="s">
        <v>2651</v>
      </c>
      <c r="O2599" s="4">
        <v>190</v>
      </c>
    </row>
    <row r="2600" spans="1:15" ht="15.75" customHeight="1">
      <c r="A2600" s="4"/>
      <c r="B2600" s="4"/>
      <c r="C2600" s="4"/>
      <c r="D2600" s="4"/>
      <c r="E2600" s="4"/>
      <c r="G2600" s="4"/>
      <c r="H2600" s="4"/>
      <c r="K2600" s="4"/>
      <c r="N2600" s="4" t="s">
        <v>51</v>
      </c>
      <c r="O2600" s="4">
        <v>165</v>
      </c>
    </row>
    <row r="2601" spans="1:15" ht="15.75" customHeight="1">
      <c r="A2601" s="4"/>
      <c r="B2601" s="4"/>
      <c r="C2601" s="4"/>
      <c r="D2601" s="4"/>
      <c r="E2601" s="4"/>
      <c r="G2601" s="4"/>
      <c r="H2601" s="4"/>
      <c r="K2601" s="4"/>
      <c r="N2601" s="4" t="s">
        <v>5501</v>
      </c>
      <c r="O2601" s="4">
        <v>285</v>
      </c>
    </row>
    <row r="2602" spans="1:15" ht="15.75" customHeight="1">
      <c r="A2602" s="4"/>
      <c r="B2602" s="4"/>
      <c r="C2602" s="4"/>
      <c r="D2602" s="4"/>
      <c r="E2602" s="4"/>
      <c r="G2602" s="4"/>
      <c r="H2602" s="4"/>
      <c r="K2602" s="4"/>
      <c r="N2602" s="4" t="s">
        <v>3925</v>
      </c>
      <c r="O2602" s="4">
        <v>627</v>
      </c>
    </row>
    <row r="2603" spans="1:15" ht="15.75" customHeight="1">
      <c r="A2603" s="4"/>
      <c r="B2603" s="4"/>
      <c r="C2603" s="4"/>
      <c r="D2603" s="4"/>
      <c r="E2603" s="4"/>
      <c r="G2603" s="4"/>
      <c r="H2603" s="4"/>
      <c r="K2603" s="4"/>
      <c r="N2603" s="4" t="s">
        <v>4039</v>
      </c>
      <c r="O2603" s="4">
        <v>137</v>
      </c>
    </row>
    <row r="2604" spans="1:15" ht="15.75" customHeight="1">
      <c r="A2604" s="4"/>
      <c r="B2604" s="4"/>
      <c r="C2604" s="4"/>
      <c r="D2604" s="4"/>
      <c r="E2604" s="4"/>
      <c r="G2604" s="4"/>
      <c r="H2604" s="4"/>
      <c r="K2604" s="4"/>
      <c r="N2604" s="4" t="s">
        <v>2415</v>
      </c>
      <c r="O2604" s="4">
        <v>158</v>
      </c>
    </row>
    <row r="2605" spans="1:15" ht="15.75" customHeight="1">
      <c r="A2605" s="4"/>
      <c r="B2605" s="4"/>
      <c r="C2605" s="4"/>
      <c r="D2605" s="4"/>
      <c r="E2605" s="4"/>
      <c r="G2605" s="4"/>
      <c r="H2605" s="4"/>
      <c r="K2605" s="4"/>
      <c r="N2605" s="4" t="s">
        <v>1381</v>
      </c>
      <c r="O2605" s="4">
        <v>255</v>
      </c>
    </row>
    <row r="2606" spans="1:15" ht="15.75" customHeight="1">
      <c r="A2606" s="4"/>
      <c r="B2606" s="4"/>
      <c r="C2606" s="4"/>
      <c r="D2606" s="4"/>
      <c r="E2606" s="4"/>
      <c r="G2606" s="4"/>
      <c r="H2606" s="4"/>
      <c r="K2606" s="4"/>
      <c r="N2606" s="4" t="s">
        <v>4045</v>
      </c>
      <c r="O2606" s="4">
        <v>284</v>
      </c>
    </row>
    <row r="2607" spans="1:15" ht="15.75" customHeight="1">
      <c r="A2607" s="4"/>
      <c r="B2607" s="4"/>
      <c r="C2607" s="4"/>
      <c r="D2607" s="4"/>
      <c r="E2607" s="4"/>
      <c r="G2607" s="4"/>
      <c r="H2607" s="4"/>
      <c r="K2607" s="4"/>
      <c r="N2607" s="4" t="s">
        <v>1637</v>
      </c>
      <c r="O2607" s="4">
        <v>347</v>
      </c>
    </row>
    <row r="2608" spans="1:15" ht="15.75" customHeight="1">
      <c r="A2608" s="4"/>
      <c r="B2608" s="4"/>
      <c r="C2608" s="4"/>
      <c r="D2608" s="4"/>
      <c r="E2608" s="4"/>
      <c r="G2608" s="4"/>
      <c r="H2608" s="4"/>
      <c r="K2608" s="4"/>
      <c r="N2608" s="4" t="s">
        <v>5516</v>
      </c>
      <c r="O2608" s="4">
        <v>492</v>
      </c>
    </row>
    <row r="2609" spans="1:15" ht="15.75" customHeight="1">
      <c r="A2609" s="4"/>
      <c r="B2609" s="4"/>
      <c r="C2609" s="4"/>
      <c r="D2609" s="4"/>
      <c r="E2609" s="4"/>
      <c r="G2609" s="4"/>
      <c r="H2609" s="4"/>
      <c r="K2609" s="4"/>
    </row>
    <row r="2610" spans="1:15" ht="15.75" customHeight="1">
      <c r="A2610" s="4"/>
      <c r="B2610" s="4"/>
      <c r="C2610" s="4"/>
      <c r="D2610" s="4"/>
      <c r="E2610" s="4"/>
      <c r="G2610" s="4"/>
      <c r="H2610" s="4"/>
      <c r="K2610" s="4"/>
      <c r="N2610" s="4" t="s">
        <v>56</v>
      </c>
      <c r="O2610" s="4">
        <v>141</v>
      </c>
    </row>
    <row r="2611" spans="1:15" ht="15.75" customHeight="1">
      <c r="A2611" s="4"/>
      <c r="B2611" s="4"/>
      <c r="C2611" s="4"/>
      <c r="D2611" s="4"/>
      <c r="E2611" s="4"/>
      <c r="G2611" s="4"/>
      <c r="H2611" s="4"/>
      <c r="K2611" s="4"/>
      <c r="N2611" s="4" t="s">
        <v>2511</v>
      </c>
      <c r="O2611" s="4">
        <v>344</v>
      </c>
    </row>
    <row r="2612" spans="1:15" ht="15.75" customHeight="1">
      <c r="A2612" s="4"/>
      <c r="B2612" s="4"/>
      <c r="C2612" s="4"/>
      <c r="D2612" s="4"/>
      <c r="E2612" s="4"/>
      <c r="G2612" s="4"/>
      <c r="H2612" s="4"/>
      <c r="K2612" s="4"/>
      <c r="N2612" s="4" t="s">
        <v>255</v>
      </c>
      <c r="O2612" s="4">
        <v>400</v>
      </c>
    </row>
    <row r="2613" spans="1:15" ht="15.75" customHeight="1">
      <c r="A2613" s="4"/>
      <c r="B2613" s="4"/>
      <c r="C2613" s="4"/>
      <c r="D2613" s="4"/>
      <c r="E2613" s="4"/>
      <c r="G2613" s="4"/>
      <c r="H2613" s="4"/>
      <c r="I2613" s="4"/>
      <c r="K2613" s="4"/>
      <c r="N2613" s="4" t="s">
        <v>5526</v>
      </c>
      <c r="O2613" s="4">
        <v>527</v>
      </c>
    </row>
    <row r="2614" spans="1:15" ht="15.75" customHeight="1">
      <c r="A2614" s="4"/>
      <c r="B2614" s="4"/>
      <c r="C2614" s="4"/>
      <c r="D2614" s="4"/>
      <c r="E2614" s="4"/>
      <c r="G2614" s="4"/>
      <c r="H2614" s="4"/>
      <c r="K2614" s="4"/>
      <c r="N2614" s="4" t="s">
        <v>5530</v>
      </c>
      <c r="O2614" s="4">
        <v>239</v>
      </c>
    </row>
    <row r="2615" spans="1:15" ht="15.75" customHeight="1">
      <c r="A2615" s="4"/>
      <c r="B2615" s="4"/>
      <c r="C2615" s="4"/>
      <c r="D2615" s="4"/>
      <c r="E2615" s="4"/>
      <c r="G2615" s="4"/>
      <c r="H2615" s="4"/>
      <c r="K2615" s="4"/>
      <c r="N2615" s="4" t="s">
        <v>2442</v>
      </c>
      <c r="O2615" s="4">
        <v>446</v>
      </c>
    </row>
    <row r="2616" spans="1:15" ht="15.75" customHeight="1">
      <c r="A2616" s="4"/>
      <c r="B2616" s="4"/>
      <c r="C2616" s="4"/>
      <c r="D2616" s="4"/>
      <c r="E2616" s="4"/>
      <c r="G2616" s="4"/>
      <c r="H2616" s="4"/>
      <c r="K2616" s="4"/>
      <c r="N2616" s="4" t="s">
        <v>5535</v>
      </c>
      <c r="O2616" s="4">
        <v>320</v>
      </c>
    </row>
    <row r="2617" spans="1:15" ht="15.75" customHeight="1">
      <c r="A2617" s="4"/>
      <c r="B2617" s="4"/>
      <c r="C2617" s="4"/>
      <c r="D2617" s="4"/>
      <c r="E2617" s="4"/>
      <c r="G2617" s="4"/>
      <c r="H2617" s="4"/>
      <c r="K2617" s="4"/>
      <c r="N2617" s="4" t="s">
        <v>5538</v>
      </c>
      <c r="O2617" s="4">
        <v>299</v>
      </c>
    </row>
    <row r="2618" spans="1:15" ht="15.75" customHeight="1">
      <c r="A2618" s="4"/>
      <c r="B2618" s="4"/>
      <c r="C2618" s="4"/>
      <c r="D2618" s="4"/>
      <c r="E2618" s="4"/>
      <c r="G2618" s="4"/>
      <c r="H2618" s="4"/>
      <c r="K2618" s="4"/>
      <c r="N2618" s="4" t="s">
        <v>4690</v>
      </c>
      <c r="O2618" s="4">
        <v>795</v>
      </c>
    </row>
    <row r="2619" spans="1:15" ht="15.75" customHeight="1">
      <c r="A2619" s="4"/>
      <c r="B2619" s="4"/>
      <c r="C2619" s="4"/>
      <c r="D2619" s="4"/>
      <c r="E2619" s="4"/>
      <c r="G2619" s="4"/>
      <c r="H2619" s="4"/>
      <c r="K2619" s="4"/>
      <c r="N2619" s="4" t="s">
        <v>1094</v>
      </c>
      <c r="O2619" s="4">
        <v>253</v>
      </c>
    </row>
    <row r="2620" spans="1:15" ht="15.75" customHeight="1">
      <c r="A2620" s="4"/>
      <c r="B2620" s="4"/>
      <c r="C2620" s="4"/>
      <c r="D2620" s="4"/>
      <c r="E2620" s="4"/>
      <c r="G2620" s="4"/>
      <c r="H2620" s="4"/>
      <c r="K2620" s="4"/>
      <c r="N2620" s="4" t="s">
        <v>1637</v>
      </c>
      <c r="O2620" s="4">
        <v>363</v>
      </c>
    </row>
    <row r="2621" spans="1:15" ht="15.75" customHeight="1">
      <c r="A2621" s="4"/>
      <c r="B2621" s="4"/>
      <c r="C2621" s="4"/>
      <c r="D2621" s="4"/>
      <c r="E2621" s="4"/>
      <c r="G2621" s="4"/>
      <c r="H2621" s="4"/>
      <c r="K2621" s="4"/>
      <c r="N2621" s="4" t="s">
        <v>4039</v>
      </c>
      <c r="O2621" s="4">
        <v>141</v>
      </c>
    </row>
    <row r="2622" spans="1:15" ht="15.75" customHeight="1">
      <c r="A2622" s="4"/>
      <c r="B2622" s="4"/>
      <c r="C2622" s="4"/>
      <c r="D2622" s="4"/>
      <c r="E2622" s="4"/>
      <c r="G2622" s="4"/>
      <c r="H2622" s="4"/>
      <c r="K2622" s="4"/>
      <c r="N2622" s="4" t="s">
        <v>2415</v>
      </c>
      <c r="O2622" s="4">
        <v>158</v>
      </c>
    </row>
    <row r="2623" spans="1:15" ht="15.75" customHeight="1">
      <c r="A2623" s="4"/>
      <c r="B2623" s="4"/>
      <c r="C2623" s="4"/>
      <c r="D2623" s="4"/>
      <c r="E2623" s="4"/>
      <c r="G2623" s="4"/>
      <c r="H2623" s="4"/>
      <c r="K2623" s="4"/>
      <c r="N2623" s="4" t="s">
        <v>1381</v>
      </c>
      <c r="O2623" s="4">
        <v>253</v>
      </c>
    </row>
    <row r="2624" spans="1:15" ht="15.75" customHeight="1">
      <c r="A2624" s="4"/>
      <c r="B2624" s="4"/>
      <c r="C2624" s="4"/>
      <c r="D2624" s="4"/>
      <c r="E2624" s="4"/>
      <c r="G2624" s="4"/>
      <c r="H2624" s="4"/>
      <c r="K2624" s="4"/>
      <c r="N2624" s="4" t="s">
        <v>4045</v>
      </c>
      <c r="O2624" s="4">
        <v>292</v>
      </c>
    </row>
    <row r="2625" spans="1:15" ht="15.75" customHeight="1">
      <c r="A2625" s="4"/>
      <c r="B2625" s="4"/>
      <c r="C2625" s="4"/>
      <c r="D2625" s="4"/>
      <c r="E2625" s="4"/>
      <c r="G2625" s="4"/>
      <c r="H2625" s="4"/>
      <c r="I2625" s="4"/>
      <c r="K2625" s="4"/>
      <c r="N2625" s="4" t="s">
        <v>1918</v>
      </c>
      <c r="O2625" s="4">
        <v>219</v>
      </c>
    </row>
    <row r="2626" spans="1:15" ht="15.75" customHeight="1">
      <c r="A2626" s="4"/>
      <c r="B2626" s="4"/>
      <c r="C2626" s="4"/>
      <c r="D2626" s="4"/>
      <c r="E2626" s="4"/>
      <c r="G2626" s="4"/>
      <c r="H2626" s="4"/>
      <c r="K2626" s="4"/>
      <c r="N2626" s="4" t="s">
        <v>5557</v>
      </c>
      <c r="O2626" s="4">
        <v>286</v>
      </c>
    </row>
    <row r="2627" spans="1:15" ht="15.75" customHeight="1">
      <c r="A2627" s="4"/>
      <c r="B2627" s="4"/>
      <c r="C2627" s="4"/>
      <c r="D2627" s="4"/>
      <c r="E2627" s="4"/>
      <c r="G2627" s="4"/>
      <c r="H2627" s="4"/>
      <c r="K2627" s="4"/>
      <c r="N2627" s="4" t="s">
        <v>1637</v>
      </c>
      <c r="O2627" s="4">
        <v>350</v>
      </c>
    </row>
    <row r="2628" spans="1:15" ht="15.75" customHeight="1">
      <c r="A2628" s="4"/>
      <c r="B2628" s="4"/>
      <c r="C2628" s="4"/>
      <c r="D2628" s="4"/>
      <c r="E2628" s="4"/>
      <c r="G2628" s="4"/>
      <c r="H2628" s="4"/>
      <c r="I2628" s="4"/>
      <c r="K2628" s="4"/>
      <c r="N2628" s="4" t="s">
        <v>5562</v>
      </c>
      <c r="O2628" s="4">
        <v>229</v>
      </c>
    </row>
    <row r="2629" spans="1:15" ht="15.75" customHeight="1">
      <c r="A2629" s="4"/>
      <c r="B2629" s="4"/>
      <c r="C2629" s="4"/>
      <c r="D2629" s="4"/>
      <c r="E2629" s="4"/>
      <c r="G2629" s="4"/>
      <c r="H2629" s="4"/>
      <c r="I2629" s="4"/>
      <c r="K2629" s="4"/>
      <c r="N2629" s="4" t="s">
        <v>5566</v>
      </c>
      <c r="O2629" s="4">
        <v>356</v>
      </c>
    </row>
    <row r="2630" spans="1:15" ht="15.75" customHeight="1">
      <c r="A2630" s="4"/>
      <c r="B2630" s="4"/>
      <c r="C2630" s="4"/>
      <c r="D2630" s="4"/>
      <c r="E2630" s="4"/>
      <c r="G2630" s="4"/>
      <c r="H2630" s="4"/>
      <c r="K2630" s="4"/>
      <c r="N2630" s="4" t="s">
        <v>4039</v>
      </c>
      <c r="O2630" s="4">
        <v>152</v>
      </c>
    </row>
    <row r="2631" spans="1:15" ht="15.75" customHeight="1">
      <c r="A2631" s="4"/>
      <c r="B2631" s="4"/>
      <c r="C2631" s="4"/>
      <c r="D2631" s="4"/>
      <c r="E2631" s="4"/>
      <c r="G2631" s="4"/>
      <c r="H2631" s="4"/>
      <c r="K2631" s="4"/>
      <c r="N2631" s="4" t="s">
        <v>5572</v>
      </c>
      <c r="O2631" s="4">
        <v>506</v>
      </c>
    </row>
    <row r="2632" spans="1:15" ht="15.75" customHeight="1">
      <c r="A2632" s="4"/>
      <c r="B2632" s="4"/>
      <c r="C2632" s="4"/>
      <c r="D2632" s="4"/>
      <c r="E2632" s="4"/>
      <c r="G2632" s="4"/>
      <c r="H2632" s="4"/>
      <c r="K2632" s="4"/>
      <c r="N2632" s="4" t="s">
        <v>2415</v>
      </c>
      <c r="O2632" s="4">
        <v>97</v>
      </c>
    </row>
    <row r="2633" spans="1:15" ht="15.75" customHeight="1">
      <c r="A2633" s="4"/>
      <c r="B2633" s="4"/>
      <c r="C2633" s="4"/>
      <c r="D2633" s="4"/>
      <c r="E2633" s="4"/>
      <c r="G2633" s="4"/>
      <c r="H2633" s="4"/>
      <c r="K2633" s="4"/>
      <c r="N2633" s="4" t="s">
        <v>5577</v>
      </c>
      <c r="O2633" s="4">
        <v>213</v>
      </c>
    </row>
    <row r="2634" spans="1:15" ht="15.75" customHeight="1">
      <c r="A2634" s="4"/>
      <c r="B2634" s="4"/>
      <c r="C2634" s="4"/>
      <c r="D2634" s="4"/>
      <c r="E2634" s="4"/>
      <c r="G2634" s="4"/>
      <c r="H2634" s="4"/>
      <c r="K2634" s="4"/>
      <c r="N2634" s="4" t="s">
        <v>1094</v>
      </c>
      <c r="O2634" s="4">
        <v>259</v>
      </c>
    </row>
    <row r="2635" spans="1:15" ht="15.75" customHeight="1">
      <c r="A2635" s="4"/>
      <c r="B2635" s="4"/>
      <c r="C2635" s="4"/>
      <c r="D2635" s="4"/>
      <c r="E2635" s="4"/>
      <c r="G2635" s="4"/>
      <c r="H2635" s="4"/>
      <c r="K2635" s="4"/>
      <c r="N2635" s="4" t="s">
        <v>5582</v>
      </c>
      <c r="O2635" s="4">
        <v>289</v>
      </c>
    </row>
    <row r="2636" spans="1:15" ht="15.75" customHeight="1">
      <c r="A2636" s="4"/>
      <c r="B2636" s="4"/>
      <c r="C2636" s="4"/>
      <c r="D2636" s="4"/>
      <c r="E2636" s="4"/>
      <c r="G2636" s="4"/>
      <c r="H2636" s="4"/>
      <c r="K2636" s="4"/>
      <c r="N2636" s="4" t="s">
        <v>59</v>
      </c>
      <c r="O2636" s="4">
        <v>273</v>
      </c>
    </row>
    <row r="2637" spans="1:15" ht="15.75" customHeight="1">
      <c r="A2637" s="4"/>
      <c r="B2637" s="4"/>
      <c r="C2637" s="4"/>
      <c r="D2637" s="4"/>
      <c r="E2637" s="4"/>
      <c r="G2637" s="4"/>
      <c r="H2637" s="4"/>
      <c r="K2637" s="4"/>
      <c r="N2637" s="4" t="s">
        <v>5587</v>
      </c>
      <c r="O2637" s="4">
        <v>242</v>
      </c>
    </row>
    <row r="2638" spans="1:15" ht="15.75" customHeight="1">
      <c r="A2638" s="4"/>
      <c r="B2638" s="4"/>
      <c r="C2638" s="4"/>
      <c r="D2638" s="4"/>
      <c r="E2638" s="4"/>
      <c r="G2638" s="4"/>
      <c r="H2638" s="4"/>
      <c r="K2638" s="4"/>
      <c r="N2638" s="4" t="s">
        <v>1108</v>
      </c>
      <c r="O2638" s="4">
        <v>266</v>
      </c>
    </row>
    <row r="2639" spans="1:15" ht="15.75" customHeight="1">
      <c r="A2639" s="4"/>
      <c r="B2639" s="4"/>
      <c r="C2639" s="4"/>
      <c r="D2639" s="4"/>
      <c r="E2639" s="4"/>
      <c r="G2639" s="4"/>
      <c r="H2639" s="4"/>
      <c r="K2639" s="4"/>
      <c r="N2639" s="4" t="s">
        <v>5592</v>
      </c>
      <c r="O2639" s="4">
        <v>622</v>
      </c>
    </row>
    <row r="2640" spans="1:15" ht="15.75" customHeight="1">
      <c r="A2640" s="4"/>
      <c r="B2640" s="4"/>
      <c r="C2640" s="4"/>
      <c r="D2640" s="4"/>
      <c r="E2640" s="4"/>
      <c r="G2640" s="4"/>
      <c r="H2640" s="4"/>
      <c r="K2640" s="4"/>
      <c r="N2640" s="4" t="s">
        <v>5595</v>
      </c>
      <c r="O2640" s="4">
        <v>169</v>
      </c>
    </row>
    <row r="2641" spans="1:15" ht="15.75" customHeight="1">
      <c r="A2641" s="4"/>
      <c r="B2641" s="4"/>
      <c r="C2641" s="4"/>
      <c r="D2641" s="4"/>
      <c r="E2641" s="4"/>
      <c r="G2641" s="4"/>
      <c r="H2641" s="4"/>
      <c r="K2641" s="4"/>
      <c r="N2641" s="4" t="s">
        <v>5598</v>
      </c>
      <c r="O2641" s="4">
        <v>189</v>
      </c>
    </row>
    <row r="2642" spans="1:15" ht="15.75" customHeight="1">
      <c r="A2642" s="4"/>
      <c r="B2642" s="4"/>
      <c r="C2642" s="4"/>
      <c r="D2642" s="4"/>
      <c r="E2642" s="4"/>
      <c r="G2642" s="4"/>
      <c r="H2642" s="4"/>
      <c r="K2642" s="4"/>
      <c r="N2642" s="4" t="s">
        <v>5601</v>
      </c>
      <c r="O2642" s="4">
        <v>372</v>
      </c>
    </row>
    <row r="2643" spans="1:15" ht="15.75" customHeight="1">
      <c r="A2643" s="4"/>
      <c r="B2643" s="4"/>
      <c r="C2643" s="4"/>
      <c r="D2643" s="4"/>
      <c r="E2643" s="4"/>
      <c r="G2643" s="4"/>
      <c r="H2643" s="4"/>
      <c r="K2643" s="4"/>
      <c r="N2643" s="4" t="s">
        <v>5604</v>
      </c>
      <c r="O2643" s="4">
        <v>126</v>
      </c>
    </row>
    <row r="2644" spans="1:15" ht="15.75" customHeight="1">
      <c r="A2644" s="4"/>
      <c r="B2644" s="4"/>
      <c r="C2644" s="4"/>
      <c r="D2644" s="4"/>
      <c r="E2644" s="4"/>
      <c r="G2644" s="4"/>
      <c r="H2644" s="4"/>
      <c r="K2644" s="4"/>
      <c r="N2644" s="4" t="s">
        <v>5607</v>
      </c>
      <c r="O2644" s="4">
        <v>223</v>
      </c>
    </row>
    <row r="2645" spans="1:15" ht="15.75" customHeight="1">
      <c r="A2645" s="4"/>
      <c r="B2645" s="4"/>
      <c r="C2645" s="4"/>
      <c r="D2645" s="4"/>
      <c r="E2645" s="4"/>
      <c r="G2645" s="4"/>
      <c r="H2645" s="4"/>
      <c r="K2645" s="4"/>
      <c r="N2645" s="4" t="s">
        <v>3925</v>
      </c>
      <c r="O2645" s="4">
        <v>623</v>
      </c>
    </row>
    <row r="2646" spans="1:15" ht="15.75" customHeight="1">
      <c r="A2646" s="4"/>
      <c r="B2646" s="4"/>
      <c r="C2646" s="4"/>
      <c r="D2646" s="4"/>
      <c r="E2646" s="4"/>
      <c r="G2646" s="4"/>
      <c r="H2646" s="4"/>
      <c r="K2646" s="4"/>
      <c r="N2646" s="4" t="s">
        <v>56</v>
      </c>
      <c r="O2646" s="4">
        <v>118</v>
      </c>
    </row>
    <row r="2647" spans="1:15" ht="15.75" customHeight="1">
      <c r="A2647" s="4"/>
      <c r="B2647" s="4"/>
      <c r="C2647" s="4"/>
      <c r="D2647" s="4"/>
      <c r="E2647" s="4"/>
      <c r="G2647" s="4"/>
      <c r="H2647" s="4"/>
      <c r="K2647" s="4"/>
      <c r="N2647" s="4" t="s">
        <v>5614</v>
      </c>
      <c r="O2647" s="4">
        <v>119</v>
      </c>
    </row>
    <row r="2648" spans="1:15" ht="15.75" customHeight="1">
      <c r="A2648" s="4"/>
      <c r="B2648" s="4"/>
      <c r="C2648" s="4"/>
      <c r="D2648" s="4"/>
      <c r="E2648" s="4"/>
      <c r="G2648" s="4"/>
      <c r="H2648" s="4"/>
      <c r="K2648" s="4"/>
      <c r="N2648" s="4" t="s">
        <v>5617</v>
      </c>
      <c r="O2648" s="4">
        <v>122</v>
      </c>
    </row>
    <row r="2649" spans="1:15" ht="15.75" customHeight="1">
      <c r="A2649" s="4"/>
      <c r="B2649" s="4"/>
      <c r="C2649" s="4"/>
      <c r="D2649" s="4"/>
      <c r="E2649" s="4"/>
      <c r="G2649" s="4"/>
      <c r="H2649" s="4"/>
      <c r="K2649" s="4"/>
      <c r="N2649" s="4" t="s">
        <v>5620</v>
      </c>
      <c r="O2649" s="4">
        <v>259</v>
      </c>
    </row>
    <row r="2650" spans="1:15" ht="15.75" customHeight="1">
      <c r="A2650" s="4"/>
      <c r="B2650" s="4"/>
      <c r="C2650" s="4"/>
      <c r="D2650" s="4"/>
      <c r="E2650" s="4"/>
      <c r="G2650" s="4"/>
      <c r="H2650" s="4"/>
      <c r="K2650" s="4"/>
      <c r="N2650" s="4" t="s">
        <v>5623</v>
      </c>
      <c r="O2650" s="4">
        <v>232</v>
      </c>
    </row>
    <row r="2651" spans="1:15" ht="15.75" customHeight="1">
      <c r="A2651" s="4"/>
      <c r="B2651" s="4"/>
      <c r="C2651" s="4"/>
      <c r="D2651" s="4"/>
      <c r="E2651" s="4"/>
      <c r="G2651" s="4"/>
      <c r="H2651" s="4"/>
      <c r="K2651" s="4"/>
      <c r="N2651" s="4" t="s">
        <v>5626</v>
      </c>
      <c r="O2651" s="4">
        <v>373</v>
      </c>
    </row>
    <row r="2652" spans="1:15" ht="15.75" customHeight="1">
      <c r="A2652" s="4"/>
      <c r="B2652" s="4"/>
      <c r="C2652" s="4"/>
      <c r="D2652" s="4"/>
      <c r="E2652" s="4"/>
      <c r="G2652" s="4"/>
      <c r="H2652" s="4"/>
      <c r="K2652" s="4"/>
      <c r="N2652" s="4" t="s">
        <v>5629</v>
      </c>
      <c r="O2652" s="4">
        <v>366</v>
      </c>
    </row>
    <row r="2653" spans="1:15" ht="15.75" customHeight="1">
      <c r="A2653" s="4"/>
      <c r="B2653" s="4"/>
      <c r="C2653" s="4"/>
      <c r="D2653" s="4"/>
      <c r="E2653" s="4"/>
      <c r="G2653" s="4"/>
      <c r="H2653" s="4"/>
      <c r="K2653" s="4"/>
      <c r="N2653" s="4" t="s">
        <v>5632</v>
      </c>
      <c r="O2653" s="4">
        <v>254</v>
      </c>
    </row>
    <row r="2654" spans="1:15" ht="15.75" customHeight="1">
      <c r="A2654" s="4"/>
      <c r="B2654" s="4"/>
      <c r="C2654" s="4"/>
      <c r="D2654" s="4"/>
      <c r="E2654" s="4"/>
      <c r="G2654" s="4"/>
      <c r="H2654" s="4"/>
      <c r="K2654" s="4"/>
      <c r="N2654" s="4" t="s">
        <v>5185</v>
      </c>
      <c r="O2654" s="4">
        <v>689</v>
      </c>
    </row>
    <row r="2655" spans="1:15" ht="15.75" customHeight="1">
      <c r="A2655" s="4"/>
      <c r="B2655" s="4"/>
      <c r="C2655" s="4"/>
      <c r="D2655" s="4"/>
      <c r="E2655" s="4"/>
      <c r="G2655" s="4"/>
      <c r="H2655" s="4"/>
      <c r="K2655" s="4"/>
      <c r="N2655" s="4" t="s">
        <v>5637</v>
      </c>
      <c r="O2655" s="4">
        <v>210</v>
      </c>
    </row>
    <row r="2656" spans="1:15" ht="15.75" customHeight="1">
      <c r="A2656" s="4"/>
      <c r="B2656" s="4"/>
      <c r="C2656" s="4"/>
      <c r="D2656" s="4"/>
      <c r="E2656" s="4"/>
      <c r="G2656" s="4"/>
      <c r="H2656" s="4"/>
      <c r="I2656" s="4"/>
      <c r="K2656" s="4"/>
      <c r="N2656" s="4" t="s">
        <v>4910</v>
      </c>
      <c r="O2656" s="4">
        <v>299</v>
      </c>
    </row>
    <row r="2657" spans="1:15" ht="15.75" customHeight="1">
      <c r="A2657" s="4"/>
      <c r="B2657" s="4"/>
      <c r="C2657" s="4"/>
      <c r="D2657" s="4"/>
      <c r="E2657" s="4"/>
      <c r="G2657" s="4"/>
      <c r="H2657" s="4"/>
      <c r="K2657" s="4"/>
      <c r="N2657" s="4" t="s">
        <v>5572</v>
      </c>
      <c r="O2657" s="4">
        <v>419</v>
      </c>
    </row>
    <row r="2658" spans="1:15" ht="15.75" customHeight="1">
      <c r="A2658" s="4"/>
      <c r="B2658" s="4"/>
      <c r="C2658" s="4"/>
      <c r="D2658" s="4"/>
      <c r="E2658" s="4"/>
      <c r="G2658" s="4"/>
      <c r="H2658" s="4"/>
      <c r="K2658" s="4"/>
      <c r="N2658" s="4" t="s">
        <v>2415</v>
      </c>
      <c r="O2658" s="4">
        <v>98</v>
      </c>
    </row>
    <row r="2659" spans="1:15" ht="15.75" customHeight="1">
      <c r="A2659" s="4"/>
      <c r="B2659" s="4"/>
      <c r="C2659" s="4"/>
      <c r="D2659" s="4"/>
      <c r="E2659" s="4"/>
      <c r="G2659" s="4"/>
      <c r="H2659" s="4"/>
      <c r="K2659" s="4"/>
      <c r="N2659" s="4" t="s">
        <v>4039</v>
      </c>
      <c r="O2659" s="4">
        <v>151</v>
      </c>
    </row>
    <row r="2660" spans="1:15" ht="15.75" customHeight="1">
      <c r="A2660" s="4"/>
      <c r="B2660" s="4"/>
      <c r="C2660" s="4"/>
      <c r="D2660" s="4"/>
      <c r="E2660" s="4"/>
      <c r="G2660" s="4"/>
      <c r="H2660" s="4"/>
      <c r="K2660" s="4"/>
      <c r="N2660" s="4" t="s">
        <v>4393</v>
      </c>
      <c r="O2660" s="4">
        <v>201</v>
      </c>
    </row>
    <row r="2661" spans="1:15" ht="15.75" customHeight="1">
      <c r="A2661" s="4"/>
      <c r="B2661" s="4"/>
      <c r="C2661" s="4"/>
      <c r="D2661" s="4"/>
      <c r="E2661" s="4"/>
      <c r="G2661" s="4"/>
      <c r="H2661" s="4"/>
      <c r="K2661" s="4"/>
      <c r="N2661" s="4" t="s">
        <v>5650</v>
      </c>
      <c r="O2661" s="4">
        <v>575</v>
      </c>
    </row>
    <row r="2662" spans="1:15" ht="15.75" customHeight="1">
      <c r="A2662" s="4"/>
      <c r="B2662" s="4"/>
      <c r="C2662" s="4"/>
      <c r="D2662" s="4"/>
      <c r="E2662" s="4"/>
      <c r="G2662" s="4"/>
      <c r="H2662" s="4"/>
      <c r="K2662" s="4"/>
      <c r="N2662" s="4" t="s">
        <v>5653</v>
      </c>
      <c r="O2662" s="4">
        <v>333</v>
      </c>
    </row>
    <row r="2663" spans="1:15" ht="15.75" customHeight="1">
      <c r="A2663" s="4"/>
      <c r="B2663" s="4"/>
      <c r="C2663" s="4"/>
      <c r="D2663" s="4"/>
      <c r="E2663" s="4"/>
      <c r="G2663" s="4"/>
      <c r="H2663" s="4"/>
      <c r="K2663" s="4"/>
      <c r="N2663" s="4" t="s">
        <v>5656</v>
      </c>
      <c r="O2663" s="4">
        <v>407</v>
      </c>
    </row>
    <row r="2664" spans="1:15" ht="15.75" customHeight="1">
      <c r="A2664" s="4"/>
      <c r="B2664" s="4"/>
      <c r="C2664" s="4"/>
      <c r="D2664" s="4"/>
      <c r="E2664" s="4"/>
      <c r="G2664" s="4"/>
      <c r="H2664" s="4"/>
      <c r="I2664" s="4"/>
      <c r="K2664" s="4"/>
      <c r="N2664" s="4" t="s">
        <v>5659</v>
      </c>
      <c r="O2664" s="4">
        <v>326</v>
      </c>
    </row>
    <row r="2665" spans="1:15" ht="15.75" customHeight="1">
      <c r="A2665" s="4"/>
      <c r="B2665" s="4"/>
      <c r="C2665" s="4"/>
      <c r="D2665" s="4"/>
      <c r="E2665" s="4"/>
      <c r="G2665" s="4"/>
      <c r="H2665" s="4"/>
      <c r="K2665" s="4"/>
      <c r="N2665" s="4" t="s">
        <v>674</v>
      </c>
      <c r="O2665" s="4">
        <v>306</v>
      </c>
    </row>
    <row r="2666" spans="1:15" ht="15.75" customHeight="1">
      <c r="A2666" s="4"/>
      <c r="B2666" s="4"/>
      <c r="C2666" s="4"/>
      <c r="D2666" s="4"/>
      <c r="E2666" s="4"/>
      <c r="G2666" s="4"/>
      <c r="H2666" s="4"/>
      <c r="K2666" s="4"/>
      <c r="N2666" s="4" t="s">
        <v>5664</v>
      </c>
      <c r="O2666" s="4">
        <v>350</v>
      </c>
    </row>
    <row r="2667" spans="1:15" ht="15.75" customHeight="1">
      <c r="A2667" s="4"/>
      <c r="B2667" s="4"/>
      <c r="C2667" s="4"/>
      <c r="D2667" s="4"/>
      <c r="E2667" s="4"/>
      <c r="G2667" s="4"/>
      <c r="H2667" s="4"/>
      <c r="K2667" s="4"/>
      <c r="N2667" s="4" t="s">
        <v>3294</v>
      </c>
      <c r="O2667" s="4">
        <v>494</v>
      </c>
    </row>
    <row r="2668" spans="1:15" ht="15.75" customHeight="1">
      <c r="A2668" s="4"/>
      <c r="B2668" s="4"/>
      <c r="C2668" s="4"/>
      <c r="D2668" s="4"/>
      <c r="E2668" s="4"/>
      <c r="G2668" s="4"/>
      <c r="H2668" s="4"/>
      <c r="K2668" s="4"/>
      <c r="N2668" s="4" t="s">
        <v>4039</v>
      </c>
      <c r="O2668" s="4">
        <v>137</v>
      </c>
    </row>
    <row r="2669" spans="1:15" ht="15.75" customHeight="1">
      <c r="A2669" s="4"/>
      <c r="B2669" s="4"/>
      <c r="C2669" s="4"/>
      <c r="D2669" s="4"/>
      <c r="E2669" s="4"/>
      <c r="G2669" s="4"/>
      <c r="H2669" s="4"/>
      <c r="K2669" s="4"/>
      <c r="N2669" s="4" t="s">
        <v>4039</v>
      </c>
      <c r="O2669" s="4">
        <v>159</v>
      </c>
    </row>
    <row r="2670" spans="1:15" ht="15.75" customHeight="1">
      <c r="A2670" s="4"/>
      <c r="B2670" s="4"/>
      <c r="C2670" s="4"/>
      <c r="D2670" s="4"/>
      <c r="E2670" s="4"/>
      <c r="G2670" s="4"/>
      <c r="H2670" s="4"/>
      <c r="K2670" s="4"/>
      <c r="N2670" s="4" t="s">
        <v>5673</v>
      </c>
      <c r="O2670" s="4">
        <v>445</v>
      </c>
    </row>
    <row r="2671" spans="1:15" ht="15.75" customHeight="1">
      <c r="A2671" s="4"/>
      <c r="B2671" s="4"/>
      <c r="C2671" s="4"/>
      <c r="D2671" s="4"/>
      <c r="E2671" s="4"/>
      <c r="G2671" s="4"/>
      <c r="H2671" s="4"/>
      <c r="K2671" s="4"/>
      <c r="N2671" s="4" t="s">
        <v>2415</v>
      </c>
      <c r="O2671" s="4">
        <v>100</v>
      </c>
    </row>
    <row r="2672" spans="1:15" ht="15.75" customHeight="1">
      <c r="A2672" s="4"/>
      <c r="B2672" s="4"/>
      <c r="C2672" s="4"/>
      <c r="D2672" s="4"/>
      <c r="E2672" s="4"/>
      <c r="G2672" s="4"/>
      <c r="H2672" s="4"/>
      <c r="K2672" s="4"/>
      <c r="N2672" s="4" t="s">
        <v>4161</v>
      </c>
      <c r="O2672" s="4">
        <v>287</v>
      </c>
    </row>
    <row r="2673" spans="1:15" ht="15.75" customHeight="1">
      <c r="A2673" s="4"/>
      <c r="B2673" s="4"/>
      <c r="C2673" s="4"/>
      <c r="D2673" s="4"/>
      <c r="E2673" s="4"/>
      <c r="G2673" s="4"/>
      <c r="H2673" s="4"/>
      <c r="K2673" s="4"/>
      <c r="N2673" s="4" t="s">
        <v>5680</v>
      </c>
      <c r="O2673" s="4">
        <v>230</v>
      </c>
    </row>
    <row r="2674" spans="1:15" ht="15.75" customHeight="1">
      <c r="A2674" s="4"/>
      <c r="B2674" s="4"/>
      <c r="C2674" s="4"/>
      <c r="D2674" s="4"/>
      <c r="E2674" s="4"/>
      <c r="G2674" s="4"/>
      <c r="H2674" s="4"/>
      <c r="K2674" s="4"/>
      <c r="N2674" s="4" t="s">
        <v>5683</v>
      </c>
      <c r="O2674" s="4">
        <v>173</v>
      </c>
    </row>
    <row r="2675" spans="1:15" ht="15.75" customHeight="1">
      <c r="A2675" s="4"/>
      <c r="B2675" s="4"/>
      <c r="C2675" s="4"/>
      <c r="D2675" s="4"/>
      <c r="E2675" s="4"/>
      <c r="G2675" s="4"/>
      <c r="H2675" s="4"/>
      <c r="K2675" s="4"/>
      <c r="N2675" s="4" t="s">
        <v>4030</v>
      </c>
      <c r="O2675" s="4">
        <v>39</v>
      </c>
    </row>
    <row r="2676" spans="1:15" ht="15.75" customHeight="1">
      <c r="A2676" s="4"/>
      <c r="B2676" s="4"/>
      <c r="C2676" s="4"/>
      <c r="D2676" s="4"/>
      <c r="E2676" s="4"/>
      <c r="G2676" s="4"/>
      <c r="H2676" s="4"/>
      <c r="K2676" s="4"/>
      <c r="N2676" s="4" t="s">
        <v>5688</v>
      </c>
      <c r="O2676" s="4">
        <v>161</v>
      </c>
    </row>
    <row r="2677" spans="1:15" ht="15.75" customHeight="1">
      <c r="A2677" s="4"/>
      <c r="B2677" s="4"/>
      <c r="C2677" s="4"/>
      <c r="D2677" s="4"/>
      <c r="E2677" s="4"/>
      <c r="G2677" s="4"/>
      <c r="H2677" s="4"/>
      <c r="K2677" s="4"/>
      <c r="N2677" s="4" t="s">
        <v>3646</v>
      </c>
      <c r="O2677" s="4">
        <v>246</v>
      </c>
    </row>
    <row r="2678" spans="1:15" ht="15.75" customHeight="1">
      <c r="A2678" s="4"/>
      <c r="B2678" s="4"/>
      <c r="C2678" s="4"/>
      <c r="D2678" s="4"/>
      <c r="E2678" s="4"/>
      <c r="G2678" s="4"/>
      <c r="H2678" s="4"/>
      <c r="K2678" s="4"/>
    </row>
    <row r="2679" spans="1:15" ht="15.75" customHeight="1">
      <c r="B2679" s="4"/>
      <c r="C2679" s="4"/>
      <c r="D2679" s="4"/>
      <c r="E2679" s="4"/>
      <c r="G2679" s="4"/>
      <c r="H2679" s="4"/>
      <c r="K2679" s="4"/>
      <c r="N2679" s="4" t="s">
        <v>348</v>
      </c>
      <c r="O2679" s="4">
        <v>292</v>
      </c>
    </row>
    <row r="2680" spans="1:15" ht="15.75" customHeight="1">
      <c r="A2680" s="4"/>
      <c r="B2680" s="4"/>
      <c r="C2680" s="4"/>
      <c r="D2680" s="4"/>
      <c r="E2680" s="4"/>
      <c r="G2680" s="4"/>
      <c r="H2680" s="4"/>
      <c r="K2680" s="4"/>
      <c r="N2680" s="4" t="s">
        <v>92</v>
      </c>
      <c r="O2680" s="4">
        <v>242</v>
      </c>
    </row>
    <row r="2681" spans="1:15" ht="15.75" customHeight="1">
      <c r="A2681" s="4"/>
      <c r="B2681" s="4"/>
      <c r="C2681" s="4"/>
      <c r="D2681" s="4"/>
      <c r="E2681" s="4"/>
      <c r="G2681" s="4"/>
      <c r="H2681" s="4"/>
      <c r="K2681" s="4"/>
    </row>
    <row r="2682" spans="1:15" ht="15.75" customHeight="1">
      <c r="A2682" s="4"/>
      <c r="B2682" s="4"/>
      <c r="C2682" s="4"/>
      <c r="D2682" s="4"/>
      <c r="E2682" s="4"/>
      <c r="G2682" s="4"/>
      <c r="H2682" s="4"/>
      <c r="K2682" s="4"/>
      <c r="N2682" s="4" t="s">
        <v>56</v>
      </c>
      <c r="O2682" s="4">
        <v>170</v>
      </c>
    </row>
    <row r="2683" spans="1:15" ht="15.75" customHeight="1">
      <c r="A2683" s="4"/>
      <c r="B2683" s="4"/>
      <c r="C2683" s="4"/>
      <c r="D2683" s="4"/>
      <c r="E2683" s="4"/>
      <c r="G2683" s="4"/>
      <c r="H2683" s="4"/>
      <c r="K2683" s="4"/>
      <c r="N2683" s="4" t="s">
        <v>56</v>
      </c>
      <c r="O2683" s="4">
        <v>206</v>
      </c>
    </row>
    <row r="2684" spans="1:15" ht="15.75" customHeight="1">
      <c r="B2684" s="4"/>
      <c r="C2684" s="4"/>
      <c r="D2684" s="4"/>
      <c r="E2684" s="4"/>
      <c r="G2684" s="4"/>
      <c r="H2684" s="4"/>
      <c r="K2684" s="4"/>
      <c r="N2684" s="4" t="s">
        <v>56</v>
      </c>
      <c r="O2684" s="4">
        <v>123</v>
      </c>
    </row>
    <row r="2685" spans="1:15" ht="15.75" customHeight="1">
      <c r="A2685" s="4"/>
      <c r="B2685" s="4"/>
      <c r="C2685" s="4"/>
      <c r="D2685" s="4"/>
      <c r="E2685" s="4"/>
      <c r="G2685" s="4"/>
      <c r="H2685" s="4"/>
      <c r="K2685" s="4"/>
      <c r="N2685" s="4" t="s">
        <v>56</v>
      </c>
      <c r="O2685" s="4">
        <v>150</v>
      </c>
    </row>
    <row r="2686" spans="1:15" ht="15.75" customHeight="1">
      <c r="B2686" s="4"/>
      <c r="C2686" s="4"/>
      <c r="D2686" s="4"/>
      <c r="E2686" s="4"/>
      <c r="G2686" s="4"/>
      <c r="H2686" s="4"/>
      <c r="K2686" s="4"/>
      <c r="N2686" s="4" t="s">
        <v>779</v>
      </c>
      <c r="O2686" s="4">
        <v>471</v>
      </c>
    </row>
    <row r="2687" spans="1:15" ht="15.75" customHeight="1">
      <c r="A2687" s="4"/>
      <c r="B2687" s="4"/>
      <c r="C2687" s="4"/>
      <c r="D2687" s="4"/>
      <c r="E2687" s="4"/>
      <c r="G2687" s="4"/>
      <c r="H2687" s="4"/>
      <c r="K2687" s="4"/>
    </row>
    <row r="2688" spans="1:15" ht="15.75" customHeight="1">
      <c r="A2688" s="4"/>
      <c r="B2688" s="4"/>
      <c r="C2688" s="4"/>
      <c r="D2688" s="4"/>
      <c r="E2688" s="4"/>
      <c r="G2688" s="4"/>
      <c r="H2688" s="4"/>
      <c r="K2688" s="4"/>
      <c r="N2688" s="4" t="s">
        <v>56</v>
      </c>
      <c r="O2688" s="4">
        <v>62</v>
      </c>
    </row>
    <row r="2689" spans="1:15" ht="15.75" customHeight="1">
      <c r="A2689" s="4"/>
      <c r="B2689" s="4"/>
      <c r="C2689" s="4"/>
      <c r="D2689" s="4"/>
      <c r="E2689" s="4"/>
      <c r="G2689" s="4"/>
      <c r="H2689" s="4"/>
      <c r="K2689" s="4"/>
      <c r="N2689" s="4" t="s">
        <v>5709</v>
      </c>
      <c r="O2689" s="4">
        <v>1029</v>
      </c>
    </row>
    <row r="2690" spans="1:15" ht="15.75" customHeight="1">
      <c r="A2690" s="4"/>
      <c r="B2690" s="4"/>
      <c r="C2690" s="4"/>
      <c r="D2690" s="4"/>
      <c r="E2690" s="4"/>
      <c r="G2690" s="4"/>
      <c r="H2690" s="4"/>
      <c r="K2690" s="4"/>
      <c r="N2690" s="4" t="s">
        <v>5712</v>
      </c>
      <c r="O2690" s="4">
        <v>534</v>
      </c>
    </row>
    <row r="2691" spans="1:15" ht="15.75" customHeight="1">
      <c r="A2691" s="4"/>
      <c r="B2691" s="4"/>
      <c r="C2691" s="4"/>
      <c r="D2691" s="4"/>
      <c r="E2691" s="4"/>
      <c r="G2691" s="4"/>
      <c r="H2691" s="4"/>
      <c r="K2691" s="4"/>
      <c r="N2691" s="4" t="s">
        <v>5715</v>
      </c>
      <c r="O2691" s="4">
        <v>461</v>
      </c>
    </row>
    <row r="2692" spans="1:15" ht="15.75" customHeight="1">
      <c r="A2692" s="4"/>
      <c r="B2692" s="4"/>
      <c r="C2692" s="4"/>
      <c r="D2692" s="4"/>
      <c r="E2692" s="4"/>
      <c r="G2692" s="4"/>
      <c r="H2692" s="4"/>
      <c r="K2692" s="4"/>
      <c r="N2692" s="4" t="s">
        <v>56</v>
      </c>
      <c r="O2692" s="4">
        <v>57</v>
      </c>
    </row>
    <row r="2693" spans="1:15" ht="15.75" customHeight="1">
      <c r="A2693" s="4"/>
      <c r="B2693" s="4"/>
      <c r="C2693" s="4"/>
      <c r="D2693" s="4"/>
      <c r="E2693" s="4"/>
      <c r="G2693" s="4"/>
      <c r="H2693" s="4"/>
      <c r="K2693" s="4"/>
      <c r="N2693" s="4" t="s">
        <v>5720</v>
      </c>
      <c r="O2693" s="4">
        <v>29</v>
      </c>
    </row>
    <row r="2694" spans="1:15" ht="15.75" customHeight="1">
      <c r="A2694" s="4"/>
      <c r="B2694" s="4"/>
      <c r="C2694" s="4"/>
      <c r="D2694" s="4"/>
      <c r="E2694" s="4"/>
      <c r="G2694" s="4"/>
      <c r="H2694" s="4"/>
      <c r="K2694" s="4"/>
      <c r="N2694" s="4" t="s">
        <v>56</v>
      </c>
      <c r="O2694" s="4">
        <v>103</v>
      </c>
    </row>
    <row r="2695" spans="1:15" ht="15.75" customHeight="1">
      <c r="A2695" s="4"/>
      <c r="B2695" s="4"/>
      <c r="C2695" s="4"/>
      <c r="D2695" s="4"/>
      <c r="E2695" s="4"/>
      <c r="G2695" s="4"/>
      <c r="H2695" s="4"/>
      <c r="K2695" s="4"/>
      <c r="N2695" s="4" t="s">
        <v>5720</v>
      </c>
      <c r="O2695" s="4">
        <v>30</v>
      </c>
    </row>
    <row r="2696" spans="1:15" ht="15.75" customHeight="1">
      <c r="A2696" s="4"/>
      <c r="B2696" s="4"/>
      <c r="C2696" s="4"/>
      <c r="D2696" s="4"/>
      <c r="E2696" s="4"/>
      <c r="G2696" s="4"/>
      <c r="H2696" s="4"/>
      <c r="K2696" s="4"/>
      <c r="N2696" s="4" t="s">
        <v>194</v>
      </c>
      <c r="O2696" s="4">
        <v>233</v>
      </c>
    </row>
    <row r="2697" spans="1:15" ht="15.75" customHeight="1">
      <c r="A2697" s="4"/>
      <c r="B2697" s="4"/>
      <c r="C2697" s="4"/>
      <c r="D2697" s="4"/>
      <c r="E2697" s="4"/>
      <c r="G2697" s="4"/>
      <c r="H2697" s="4"/>
      <c r="K2697" s="4"/>
      <c r="N2697" s="4" t="s">
        <v>5729</v>
      </c>
      <c r="O2697" s="4">
        <v>463</v>
      </c>
    </row>
    <row r="2698" spans="1:15" ht="15.75" customHeight="1">
      <c r="A2698" s="4"/>
      <c r="B2698" s="4"/>
      <c r="C2698" s="4"/>
      <c r="D2698" s="4"/>
      <c r="E2698" s="4"/>
      <c r="G2698" s="4"/>
      <c r="H2698" s="4"/>
      <c r="K2698" s="4"/>
      <c r="N2698" s="4" t="s">
        <v>5732</v>
      </c>
      <c r="O2698" s="4">
        <v>217</v>
      </c>
    </row>
    <row r="2699" spans="1:15" ht="15.75" customHeight="1">
      <c r="A2699" s="4"/>
      <c r="B2699" s="4"/>
      <c r="C2699" s="4"/>
      <c r="D2699" s="4"/>
      <c r="E2699" s="4"/>
      <c r="G2699" s="4"/>
      <c r="H2699" s="4"/>
      <c r="K2699" s="4"/>
      <c r="N2699" s="4" t="s">
        <v>4775</v>
      </c>
      <c r="O2699" s="4">
        <v>223</v>
      </c>
    </row>
    <row r="2700" spans="1:15" ht="15.75" customHeight="1">
      <c r="A2700" s="4"/>
      <c r="B2700" s="4"/>
      <c r="C2700" s="4"/>
      <c r="D2700" s="4"/>
      <c r="E2700" s="4"/>
      <c r="G2700" s="4"/>
      <c r="H2700" s="4"/>
      <c r="K2700" s="4"/>
      <c r="N2700" s="4" t="s">
        <v>328</v>
      </c>
      <c r="O2700" s="4">
        <v>313</v>
      </c>
    </row>
    <row r="2701" spans="1:15" ht="15.75" customHeight="1">
      <c r="A2701" s="4"/>
      <c r="B2701" s="4"/>
      <c r="C2701" s="4"/>
      <c r="D2701" s="4"/>
      <c r="E2701" s="4"/>
      <c r="G2701" s="4"/>
      <c r="H2701" s="4"/>
      <c r="K2701" s="4"/>
      <c r="N2701" s="4" t="s">
        <v>56</v>
      </c>
      <c r="O2701" s="4">
        <v>654</v>
      </c>
    </row>
    <row r="2702" spans="1:15" ht="15.75" customHeight="1">
      <c r="A2702" s="4"/>
      <c r="B2702" s="4"/>
      <c r="C2702" s="4"/>
      <c r="D2702" s="4"/>
      <c r="E2702" s="4"/>
      <c r="G2702" s="4"/>
      <c r="H2702" s="4"/>
      <c r="I2702" s="4"/>
      <c r="K2702" s="4"/>
      <c r="N2702" s="4" t="s">
        <v>5562</v>
      </c>
      <c r="O2702" s="4">
        <v>229</v>
      </c>
    </row>
    <row r="2703" spans="1:15" ht="15.75" customHeight="1">
      <c r="A2703" s="4"/>
      <c r="B2703" s="4"/>
      <c r="C2703" s="4"/>
      <c r="D2703" s="4"/>
      <c r="E2703" s="4"/>
      <c r="G2703" s="4"/>
      <c r="H2703" s="4"/>
      <c r="K2703" s="4"/>
      <c r="N2703" s="4" t="s">
        <v>5743</v>
      </c>
      <c r="O2703" s="4">
        <v>214</v>
      </c>
    </row>
    <row r="2704" spans="1:15" ht="15.75" customHeight="1">
      <c r="A2704" s="4"/>
      <c r="B2704" s="4"/>
      <c r="C2704" s="4"/>
      <c r="D2704" s="4"/>
      <c r="E2704" s="4"/>
      <c r="G2704" s="4"/>
      <c r="H2704" s="4"/>
      <c r="K2704" s="4"/>
      <c r="N2704" s="4" t="s">
        <v>56</v>
      </c>
      <c r="O2704" s="4">
        <v>249</v>
      </c>
    </row>
    <row r="2705" spans="1:15" ht="15.75" customHeight="1">
      <c r="A2705" s="4"/>
      <c r="B2705" s="4"/>
      <c r="C2705" s="4"/>
      <c r="D2705" s="4"/>
      <c r="E2705" s="4"/>
      <c r="G2705" s="4"/>
      <c r="H2705" s="4"/>
      <c r="K2705" s="4"/>
      <c r="N2705" s="4" t="s">
        <v>3082</v>
      </c>
      <c r="O2705" s="4">
        <v>560</v>
      </c>
    </row>
    <row r="2706" spans="1:15" ht="15.75" customHeight="1">
      <c r="A2706" s="4"/>
      <c r="B2706" s="4"/>
      <c r="C2706" s="4"/>
      <c r="D2706" s="4"/>
      <c r="E2706" s="4"/>
      <c r="G2706" s="4"/>
      <c r="H2706" s="4"/>
      <c r="K2706" s="4"/>
      <c r="N2706" s="4" t="s">
        <v>3377</v>
      </c>
      <c r="O2706" s="4">
        <v>282</v>
      </c>
    </row>
    <row r="2707" spans="1:15" ht="15.75" customHeight="1">
      <c r="A2707" s="4"/>
      <c r="B2707" s="4"/>
      <c r="C2707" s="4"/>
      <c r="D2707" s="4"/>
      <c r="E2707" s="4"/>
      <c r="G2707" s="4"/>
      <c r="H2707" s="4"/>
      <c r="K2707" s="4"/>
      <c r="N2707" s="4" t="s">
        <v>1094</v>
      </c>
      <c r="O2707" s="4">
        <v>265</v>
      </c>
    </row>
    <row r="2708" spans="1:15" ht="15.75" customHeight="1">
      <c r="A2708" s="4"/>
      <c r="B2708" s="4"/>
      <c r="C2708" s="4"/>
      <c r="D2708" s="4"/>
      <c r="E2708" s="4"/>
      <c r="G2708" s="4"/>
      <c r="H2708" s="4"/>
      <c r="K2708" s="4"/>
      <c r="N2708" s="4" t="s">
        <v>4039</v>
      </c>
      <c r="O2708" s="4">
        <v>159</v>
      </c>
    </row>
    <row r="2709" spans="1:15" ht="15.75" customHeight="1">
      <c r="A2709" s="4"/>
      <c r="B2709" s="4"/>
      <c r="C2709" s="4"/>
      <c r="D2709" s="4"/>
      <c r="E2709" s="4"/>
      <c r="G2709" s="4"/>
      <c r="H2709" s="4"/>
      <c r="K2709" s="4"/>
      <c r="N2709" s="4" t="s">
        <v>5756</v>
      </c>
      <c r="O2709" s="4">
        <v>106</v>
      </c>
    </row>
    <row r="2710" spans="1:15" ht="15.75" customHeight="1">
      <c r="A2710" s="4"/>
      <c r="B2710" s="4"/>
      <c r="C2710" s="4"/>
      <c r="D2710" s="4"/>
      <c r="E2710" s="4"/>
      <c r="G2710" s="4"/>
      <c r="H2710" s="4"/>
      <c r="K2710" s="4"/>
      <c r="N2710" s="4" t="s">
        <v>5673</v>
      </c>
      <c r="O2710" s="4">
        <v>530</v>
      </c>
    </row>
    <row r="2711" spans="1:15" ht="15.75" customHeight="1">
      <c r="A2711" s="4"/>
      <c r="B2711" s="4"/>
      <c r="C2711" s="4"/>
      <c r="D2711" s="4"/>
      <c r="E2711" s="4"/>
      <c r="G2711" s="4"/>
      <c r="H2711" s="4"/>
      <c r="K2711" s="4"/>
      <c r="N2711" s="4" t="s">
        <v>56</v>
      </c>
      <c r="O2711" s="4">
        <v>78</v>
      </c>
    </row>
    <row r="2712" spans="1:15" ht="15.75" customHeight="1">
      <c r="A2712" s="4"/>
      <c r="B2712" s="4"/>
      <c r="C2712" s="4"/>
      <c r="D2712" s="4"/>
      <c r="E2712" s="4"/>
      <c r="G2712" s="4"/>
      <c r="H2712" s="4"/>
      <c r="K2712" s="4"/>
      <c r="N2712" s="4" t="s">
        <v>5763</v>
      </c>
      <c r="O2712" s="4">
        <v>242</v>
      </c>
    </row>
    <row r="2713" spans="1:15" ht="15.75" customHeight="1">
      <c r="A2713" s="4"/>
      <c r="B2713" s="4"/>
      <c r="C2713" s="4"/>
      <c r="D2713" s="4"/>
      <c r="E2713" s="4"/>
      <c r="G2713" s="4"/>
      <c r="H2713" s="4"/>
      <c r="K2713" s="4"/>
      <c r="N2713" s="4" t="s">
        <v>56</v>
      </c>
      <c r="O2713" s="4">
        <v>68</v>
      </c>
    </row>
    <row r="2714" spans="1:15" ht="15.75" customHeight="1">
      <c r="A2714" s="4"/>
      <c r="B2714" s="4"/>
      <c r="C2714" s="4"/>
      <c r="D2714" s="4"/>
      <c r="E2714" s="4"/>
      <c r="G2714" s="4"/>
      <c r="H2714" s="4"/>
      <c r="K2714" s="4"/>
      <c r="N2714" s="4" t="s">
        <v>2401</v>
      </c>
      <c r="O2714" s="4">
        <v>241</v>
      </c>
    </row>
    <row r="2715" spans="1:15" ht="15.75" customHeight="1">
      <c r="A2715" s="4"/>
      <c r="B2715" s="4"/>
      <c r="C2715" s="4"/>
      <c r="D2715" s="4"/>
      <c r="E2715" s="4"/>
      <c r="G2715" s="4"/>
      <c r="H2715" s="4"/>
      <c r="K2715" s="4"/>
      <c r="N2715" s="4" t="s">
        <v>5370</v>
      </c>
      <c r="O2715" s="4">
        <v>476</v>
      </c>
    </row>
    <row r="2716" spans="1:15" ht="15.75" customHeight="1">
      <c r="A2716" s="4"/>
      <c r="B2716" s="4"/>
      <c r="C2716" s="4"/>
      <c r="D2716" s="4"/>
      <c r="E2716" s="4"/>
      <c r="G2716" s="4"/>
      <c r="H2716" s="4"/>
      <c r="I2716" s="4"/>
      <c r="K2716" s="4"/>
      <c r="N2716" s="4" t="s">
        <v>5771</v>
      </c>
      <c r="O2716" s="4">
        <v>504</v>
      </c>
    </row>
    <row r="2717" spans="1:15" ht="15.75" customHeight="1">
      <c r="A2717" s="4"/>
      <c r="B2717" s="4"/>
      <c r="C2717" s="4"/>
      <c r="D2717" s="4"/>
      <c r="E2717" s="4"/>
      <c r="G2717" s="4"/>
      <c r="H2717" s="4"/>
      <c r="K2717" s="4"/>
      <c r="N2717" s="4" t="s">
        <v>3646</v>
      </c>
      <c r="O2717" s="4">
        <v>250</v>
      </c>
    </row>
    <row r="2718" spans="1:15" ht="15.75" customHeight="1">
      <c r="A2718" s="4"/>
      <c r="B2718" s="4"/>
      <c r="C2718" s="4"/>
      <c r="D2718" s="4"/>
      <c r="E2718" s="4"/>
      <c r="G2718" s="4"/>
      <c r="H2718" s="4"/>
      <c r="I2718" s="4"/>
      <c r="K2718" s="4"/>
      <c r="N2718" s="4" t="s">
        <v>1090</v>
      </c>
      <c r="O2718" s="4">
        <v>309</v>
      </c>
    </row>
    <row r="2719" spans="1:15" ht="15.75" customHeight="1">
      <c r="A2719" s="4"/>
      <c r="B2719" s="4"/>
      <c r="C2719" s="4"/>
      <c r="D2719" s="4"/>
      <c r="E2719" s="4"/>
      <c r="G2719" s="4"/>
      <c r="H2719" s="4"/>
      <c r="K2719" s="4"/>
      <c r="N2719" s="4" t="s">
        <v>1087</v>
      </c>
      <c r="O2719" s="4">
        <v>660</v>
      </c>
    </row>
    <row r="2720" spans="1:15" ht="15.75" customHeight="1">
      <c r="A2720" s="4"/>
      <c r="B2720" s="4"/>
      <c r="C2720" s="4"/>
      <c r="D2720" s="4"/>
      <c r="E2720" s="4"/>
      <c r="G2720" s="4"/>
      <c r="H2720" s="4"/>
      <c r="K2720" s="4"/>
      <c r="N2720" s="4" t="s">
        <v>56</v>
      </c>
      <c r="O2720" s="4">
        <v>112</v>
      </c>
    </row>
    <row r="2721" spans="1:15" ht="15.75" customHeight="1">
      <c r="B2721" s="4"/>
      <c r="C2721" s="4"/>
      <c r="D2721" s="4"/>
      <c r="E2721" s="4"/>
      <c r="G2721" s="4"/>
      <c r="H2721" s="4"/>
      <c r="K2721" s="4"/>
      <c r="N2721" s="4" t="s">
        <v>56</v>
      </c>
      <c r="O2721" s="4">
        <v>157</v>
      </c>
    </row>
    <row r="2722" spans="1:15" ht="15.75" customHeight="1">
      <c r="B2722" s="4"/>
      <c r="C2722" s="4"/>
      <c r="D2722" s="4"/>
      <c r="E2722" s="4"/>
      <c r="G2722" s="4"/>
      <c r="H2722" s="4"/>
      <c r="K2722" s="4"/>
      <c r="N2722" s="4" t="s">
        <v>5785</v>
      </c>
      <c r="O2722" s="4">
        <v>232</v>
      </c>
    </row>
    <row r="2723" spans="1:15" ht="15.75" customHeight="1">
      <c r="B2723" s="4"/>
      <c r="C2723" s="4"/>
      <c r="D2723" s="4"/>
      <c r="E2723" s="4"/>
      <c r="G2723" s="4"/>
      <c r="H2723" s="4"/>
      <c r="I2723" s="4"/>
      <c r="K2723" s="4"/>
      <c r="N2723" s="4" t="s">
        <v>5788</v>
      </c>
      <c r="O2723" s="4">
        <v>397</v>
      </c>
    </row>
    <row r="2724" spans="1:15" ht="15.75" customHeight="1">
      <c r="A2724" s="4"/>
      <c r="B2724" s="4"/>
      <c r="C2724" s="4"/>
      <c r="D2724" s="4"/>
      <c r="E2724" s="4"/>
      <c r="G2724" s="4"/>
      <c r="H2724" s="4"/>
      <c r="K2724" s="4"/>
      <c r="N2724" s="4" t="s">
        <v>5792</v>
      </c>
      <c r="O2724" s="4">
        <v>400</v>
      </c>
    </row>
    <row r="2725" spans="1:15" ht="15.75" customHeight="1">
      <c r="A2725" s="4"/>
      <c r="B2725" s="4"/>
      <c r="C2725" s="4"/>
      <c r="D2725" s="4"/>
      <c r="E2725" s="4"/>
      <c r="G2725" s="4"/>
      <c r="H2725" s="4"/>
      <c r="K2725" s="4"/>
      <c r="N2725" s="4" t="s">
        <v>690</v>
      </c>
      <c r="O2725" s="4">
        <v>300</v>
      </c>
    </row>
    <row r="2726" spans="1:15" ht="15.75" customHeight="1">
      <c r="A2726" s="4"/>
      <c r="B2726" s="4"/>
      <c r="C2726" s="4"/>
      <c r="D2726" s="4"/>
      <c r="E2726" s="4"/>
      <c r="G2726" s="4"/>
      <c r="H2726" s="4"/>
      <c r="K2726" s="4"/>
      <c r="N2726" s="4" t="s">
        <v>5797</v>
      </c>
      <c r="O2726" s="4">
        <v>160</v>
      </c>
    </row>
    <row r="2727" spans="1:15" ht="15.75" customHeight="1">
      <c r="A2727" s="4"/>
      <c r="B2727" s="4"/>
      <c r="C2727" s="4"/>
      <c r="D2727" s="4"/>
      <c r="E2727" s="4"/>
      <c r="G2727" s="4"/>
      <c r="H2727" s="4"/>
      <c r="K2727" s="4"/>
      <c r="N2727" s="4" t="s">
        <v>59</v>
      </c>
      <c r="O2727" s="4">
        <v>270</v>
      </c>
    </row>
    <row r="2728" spans="1:15" ht="15.75" customHeight="1">
      <c r="A2728" s="4"/>
      <c r="B2728" s="4"/>
      <c r="C2728" s="4"/>
      <c r="D2728" s="4"/>
      <c r="E2728" s="4"/>
      <c r="G2728" s="4"/>
      <c r="H2728" s="4"/>
      <c r="K2728" s="4"/>
      <c r="N2728" s="4" t="s">
        <v>656</v>
      </c>
      <c r="O2728" s="4">
        <v>228</v>
      </c>
    </row>
    <row r="2729" spans="1:15" ht="15.75" customHeight="1">
      <c r="A2729" s="4"/>
      <c r="B2729" s="4"/>
      <c r="C2729" s="4"/>
      <c r="D2729" s="4"/>
      <c r="E2729" s="4"/>
      <c r="G2729" s="4"/>
      <c r="H2729" s="4"/>
      <c r="K2729" s="4"/>
      <c r="N2729" s="4" t="s">
        <v>5804</v>
      </c>
      <c r="O2729" s="4">
        <v>225</v>
      </c>
    </row>
    <row r="2730" spans="1:15" ht="15.75" customHeight="1">
      <c r="A2730" s="4"/>
      <c r="B2730" s="4"/>
      <c r="C2730" s="4"/>
      <c r="D2730" s="4"/>
      <c r="E2730" s="4"/>
      <c r="G2730" s="4"/>
      <c r="H2730" s="4"/>
      <c r="K2730" s="4"/>
      <c r="N2730" s="4" t="s">
        <v>56</v>
      </c>
      <c r="O2730" s="4">
        <v>68</v>
      </c>
    </row>
    <row r="2731" spans="1:15" ht="15.75" customHeight="1">
      <c r="B2731" s="4"/>
      <c r="C2731" s="4"/>
      <c r="D2731" s="4"/>
      <c r="E2731" s="4"/>
      <c r="G2731" s="4"/>
      <c r="H2731" s="4"/>
      <c r="K2731" s="4"/>
      <c r="N2731" s="4" t="s">
        <v>56</v>
      </c>
      <c r="O2731" s="4">
        <v>87</v>
      </c>
    </row>
    <row r="2732" spans="1:15" ht="15.75" customHeight="1">
      <c r="A2732" s="4"/>
      <c r="B2732" s="4"/>
      <c r="C2732" s="4"/>
      <c r="D2732" s="4"/>
      <c r="E2732" s="4"/>
      <c r="G2732" s="4"/>
      <c r="H2732" s="4"/>
      <c r="K2732" s="4"/>
      <c r="N2732" s="4" t="s">
        <v>56</v>
      </c>
      <c r="O2732" s="4">
        <v>114</v>
      </c>
    </row>
    <row r="2733" spans="1:15" ht="15.75" customHeight="1">
      <c r="A2733" s="4"/>
      <c r="B2733" s="4"/>
      <c r="C2733" s="4"/>
      <c r="D2733" s="4"/>
      <c r="E2733" s="4"/>
      <c r="G2733" s="4"/>
      <c r="H2733" s="4"/>
      <c r="K2733" s="4"/>
      <c r="N2733" s="4" t="s">
        <v>59</v>
      </c>
      <c r="O2733" s="4">
        <v>270</v>
      </c>
    </row>
    <row r="2734" spans="1:15" ht="15.75" customHeight="1">
      <c r="A2734" s="4"/>
      <c r="B2734" s="4"/>
      <c r="C2734" s="4"/>
      <c r="D2734" s="4"/>
      <c r="E2734" s="4"/>
      <c r="G2734" s="4"/>
      <c r="H2734" s="4"/>
      <c r="K2734" s="4"/>
      <c r="N2734" s="4" t="s">
        <v>3943</v>
      </c>
      <c r="O2734" s="4">
        <v>334</v>
      </c>
    </row>
    <row r="2735" spans="1:15" ht="15.75" customHeight="1">
      <c r="A2735" s="4"/>
      <c r="B2735" s="4"/>
      <c r="C2735" s="4"/>
      <c r="D2735" s="4"/>
      <c r="E2735" s="4"/>
      <c r="G2735" s="4"/>
      <c r="H2735" s="4"/>
      <c r="K2735" s="4"/>
      <c r="N2735" s="4" t="s">
        <v>945</v>
      </c>
      <c r="O2735" s="4">
        <v>842</v>
      </c>
    </row>
    <row r="2736" spans="1:15" ht="15.75" customHeight="1">
      <c r="A2736" s="4"/>
      <c r="B2736" s="4"/>
      <c r="C2736" s="4"/>
      <c r="D2736" s="4"/>
      <c r="E2736" s="4"/>
      <c r="G2736" s="4"/>
      <c r="H2736" s="4"/>
      <c r="K2736" s="4"/>
      <c r="N2736" s="4" t="s">
        <v>5819</v>
      </c>
      <c r="O2736" s="4">
        <v>138</v>
      </c>
    </row>
    <row r="2737" spans="1:15" ht="15.75" customHeight="1">
      <c r="A2737" s="4"/>
      <c r="B2737" s="4"/>
      <c r="C2737" s="4"/>
      <c r="D2737" s="4"/>
      <c r="E2737" s="4"/>
      <c r="G2737" s="4"/>
      <c r="H2737" s="4"/>
      <c r="K2737" s="4"/>
      <c r="N2737" s="4" t="s">
        <v>2090</v>
      </c>
      <c r="O2737" s="4">
        <v>224</v>
      </c>
    </row>
    <row r="2738" spans="1:15" ht="15.75" customHeight="1">
      <c r="B2738" s="4"/>
      <c r="C2738" s="4"/>
      <c r="D2738" s="4"/>
      <c r="E2738" s="4"/>
      <c r="G2738" s="4"/>
      <c r="H2738" s="4"/>
      <c r="K2738" s="4"/>
    </row>
    <row r="2739" spans="1:15" ht="15.75" customHeight="1">
      <c r="A2739" s="4"/>
      <c r="B2739" s="4"/>
      <c r="C2739" s="4"/>
      <c r="D2739" s="4"/>
      <c r="E2739" s="4"/>
      <c r="G2739" s="4"/>
      <c r="H2739" s="4"/>
      <c r="K2739" s="4"/>
      <c r="N2739" s="4" t="s">
        <v>3422</v>
      </c>
      <c r="O2739" s="4">
        <v>214</v>
      </c>
    </row>
    <row r="2740" spans="1:15" ht="15.75" customHeight="1">
      <c r="A2740" s="4"/>
      <c r="B2740" s="4"/>
      <c r="C2740" s="4"/>
      <c r="D2740" s="4"/>
      <c r="E2740" s="4"/>
      <c r="G2740" s="4"/>
      <c r="H2740" s="4"/>
      <c r="K2740" s="4"/>
      <c r="N2740" s="4" t="s">
        <v>5827</v>
      </c>
      <c r="O2740" s="4">
        <v>323</v>
      </c>
    </row>
    <row r="2741" spans="1:15" ht="15.75" customHeight="1">
      <c r="A2741" s="4"/>
      <c r="B2741" s="4"/>
      <c r="C2741" s="4"/>
      <c r="D2741" s="4"/>
      <c r="E2741" s="4"/>
      <c r="G2741" s="4"/>
      <c r="H2741" s="4"/>
      <c r="K2741" s="4"/>
      <c r="N2741" s="4" t="s">
        <v>690</v>
      </c>
      <c r="O2741" s="4">
        <v>277</v>
      </c>
    </row>
    <row r="2742" spans="1:15" ht="15.75" customHeight="1">
      <c r="A2742" s="4"/>
      <c r="B2742" s="4"/>
      <c r="C2742" s="4"/>
      <c r="D2742" s="4"/>
      <c r="E2742" s="4"/>
      <c r="G2742" s="4"/>
      <c r="H2742" s="4"/>
      <c r="I2742" s="4"/>
      <c r="K2742" s="4"/>
      <c r="N2742" s="4" t="s">
        <v>2753</v>
      </c>
      <c r="O2742" s="4">
        <v>762</v>
      </c>
    </row>
    <row r="2743" spans="1:15" ht="15.75" customHeight="1">
      <c r="A2743" s="4"/>
      <c r="B2743" s="4"/>
      <c r="C2743" s="4"/>
      <c r="D2743" s="4"/>
      <c r="E2743" s="4"/>
      <c r="G2743" s="4"/>
      <c r="H2743" s="4"/>
      <c r="K2743" s="4"/>
      <c r="N2743" s="4" t="s">
        <v>5834</v>
      </c>
      <c r="O2743" s="4">
        <v>510</v>
      </c>
    </row>
    <row r="2744" spans="1:15" ht="15.75" customHeight="1">
      <c r="A2744" s="4"/>
      <c r="B2744" s="4"/>
      <c r="C2744" s="4"/>
      <c r="D2744" s="4"/>
      <c r="E2744" s="4"/>
      <c r="G2744" s="4"/>
      <c r="H2744" s="4"/>
      <c r="K2744" s="4"/>
      <c r="N2744" s="4" t="s">
        <v>73</v>
      </c>
      <c r="O2744" s="4">
        <v>319</v>
      </c>
    </row>
    <row r="2745" spans="1:15" ht="15.75" customHeight="1">
      <c r="A2745" s="4"/>
      <c r="B2745" s="4"/>
      <c r="C2745" s="4"/>
      <c r="D2745" s="4"/>
      <c r="E2745" s="4"/>
      <c r="G2745" s="4"/>
      <c r="H2745" s="4"/>
      <c r="K2745" s="4"/>
      <c r="N2745" s="4" t="s">
        <v>3280</v>
      </c>
      <c r="O2745" s="4">
        <v>441</v>
      </c>
    </row>
    <row r="2746" spans="1:15" ht="15.75" customHeight="1">
      <c r="A2746" s="4"/>
      <c r="B2746" s="4"/>
      <c r="C2746" s="4"/>
      <c r="D2746" s="4"/>
      <c r="E2746" s="4"/>
      <c r="G2746" s="4"/>
      <c r="H2746" s="4"/>
      <c r="K2746" s="4"/>
      <c r="N2746" s="4" t="s">
        <v>2499</v>
      </c>
      <c r="O2746" s="4">
        <v>708</v>
      </c>
    </row>
    <row r="2747" spans="1:15" ht="15.75" customHeight="1">
      <c r="A2747" s="4"/>
      <c r="B2747" s="4"/>
      <c r="C2747" s="4"/>
      <c r="D2747" s="4"/>
      <c r="E2747" s="4"/>
      <c r="G2747" s="4"/>
      <c r="H2747" s="4"/>
      <c r="I2747" s="4"/>
      <c r="K2747" s="4"/>
      <c r="N2747" s="4" t="s">
        <v>5843</v>
      </c>
      <c r="O2747" s="4">
        <v>338</v>
      </c>
    </row>
    <row r="2748" spans="1:15" ht="15.75" customHeight="1">
      <c r="A2748" s="4"/>
      <c r="B2748" s="4"/>
      <c r="C2748" s="4"/>
      <c r="D2748" s="4"/>
      <c r="E2748" s="4"/>
      <c r="G2748" s="4"/>
      <c r="H2748" s="4"/>
      <c r="K2748" s="4"/>
      <c r="N2748" s="4" t="s">
        <v>5847</v>
      </c>
      <c r="O2748" s="4">
        <v>202</v>
      </c>
    </row>
    <row r="2749" spans="1:15" ht="15.75" customHeight="1">
      <c r="A2749" s="4"/>
      <c r="B2749" s="4"/>
      <c r="C2749" s="4"/>
      <c r="D2749" s="4"/>
      <c r="E2749" s="4"/>
      <c r="G2749" s="4"/>
      <c r="H2749" s="4"/>
      <c r="K2749" s="4"/>
      <c r="N2749" s="4" t="s">
        <v>4665</v>
      </c>
      <c r="O2749" s="4">
        <v>278</v>
      </c>
    </row>
    <row r="2750" spans="1:15" ht="15.75" customHeight="1">
      <c r="A2750" s="4"/>
      <c r="B2750" s="4"/>
      <c r="C2750" s="4"/>
      <c r="D2750" s="4"/>
      <c r="E2750" s="4"/>
      <c r="G2750" s="4"/>
      <c r="H2750" s="4"/>
      <c r="K2750" s="4"/>
      <c r="N2750" s="4" t="s">
        <v>5852</v>
      </c>
      <c r="O2750" s="4">
        <v>451</v>
      </c>
    </row>
    <row r="2751" spans="1:15" ht="15.75" customHeight="1">
      <c r="A2751" s="4"/>
      <c r="B2751" s="4"/>
      <c r="C2751" s="4"/>
      <c r="D2751" s="4"/>
      <c r="E2751" s="4"/>
      <c r="G2751" s="4"/>
      <c r="H2751" s="4"/>
      <c r="K2751" s="4"/>
      <c r="N2751" s="4" t="s">
        <v>51</v>
      </c>
      <c r="O2751" s="4">
        <v>166</v>
      </c>
    </row>
    <row r="2752" spans="1:15" ht="15.75" customHeight="1">
      <c r="A2752" s="4"/>
      <c r="B2752" s="4"/>
      <c r="C2752" s="4"/>
      <c r="D2752" s="4"/>
      <c r="E2752" s="4"/>
      <c r="G2752" s="4"/>
      <c r="H2752" s="4"/>
      <c r="K2752" s="4"/>
      <c r="N2752" s="4" t="s">
        <v>161</v>
      </c>
      <c r="O2752" s="4">
        <v>274</v>
      </c>
    </row>
    <row r="2753" spans="1:15" ht="15.75" customHeight="1">
      <c r="A2753" s="4"/>
      <c r="B2753" s="4"/>
      <c r="C2753" s="4"/>
      <c r="D2753" s="4"/>
      <c r="E2753" s="4"/>
      <c r="G2753" s="4"/>
      <c r="H2753" s="4"/>
      <c r="K2753" s="4"/>
      <c r="N2753" s="4" t="s">
        <v>5859</v>
      </c>
      <c r="O2753" s="4">
        <v>310</v>
      </c>
    </row>
    <row r="2754" spans="1:15" ht="15.75" customHeight="1">
      <c r="A2754" s="4"/>
      <c r="B2754" s="4"/>
      <c r="C2754" s="4"/>
      <c r="D2754" s="4"/>
      <c r="E2754" s="4"/>
      <c r="G2754" s="4"/>
      <c r="H2754" s="4"/>
      <c r="K2754" s="4"/>
      <c r="N2754" s="4" t="s">
        <v>5862</v>
      </c>
      <c r="O2754" s="4">
        <v>509</v>
      </c>
    </row>
    <row r="2755" spans="1:15" ht="15.75" customHeight="1">
      <c r="A2755" s="4"/>
      <c r="B2755" s="4"/>
      <c r="C2755" s="4"/>
      <c r="D2755" s="4"/>
      <c r="E2755" s="4"/>
      <c r="G2755" s="4"/>
      <c r="H2755" s="4"/>
      <c r="K2755" s="4"/>
      <c r="N2755" s="4" t="s">
        <v>5865</v>
      </c>
      <c r="O2755" s="4">
        <v>720</v>
      </c>
    </row>
    <row r="2756" spans="1:15" ht="15.75" customHeight="1">
      <c r="A2756" s="4"/>
      <c r="B2756" s="4"/>
      <c r="C2756" s="4"/>
      <c r="D2756" s="4"/>
      <c r="E2756" s="4"/>
      <c r="G2756" s="4"/>
      <c r="H2756" s="4"/>
      <c r="I2756" s="4"/>
      <c r="K2756" s="4"/>
      <c r="N2756" s="4" t="s">
        <v>5862</v>
      </c>
      <c r="O2756" s="4">
        <v>313</v>
      </c>
    </row>
    <row r="2757" spans="1:15" ht="15.75" customHeight="1">
      <c r="A2757" s="4"/>
      <c r="B2757" s="4"/>
      <c r="C2757" s="4"/>
      <c r="D2757" s="4"/>
      <c r="E2757" s="4"/>
      <c r="G2757" s="4"/>
      <c r="H2757" s="4"/>
      <c r="K2757" s="4"/>
      <c r="N2757" s="4" t="s">
        <v>5871</v>
      </c>
      <c r="O2757" s="4">
        <v>327</v>
      </c>
    </row>
    <row r="2758" spans="1:15" ht="15.75" customHeight="1">
      <c r="A2758" s="4"/>
      <c r="B2758" s="4"/>
      <c r="C2758" s="4"/>
      <c r="D2758" s="4"/>
      <c r="E2758" s="4"/>
      <c r="G2758" s="4"/>
      <c r="H2758" s="4"/>
      <c r="K2758" s="4"/>
      <c r="N2758" s="4" t="s">
        <v>56</v>
      </c>
      <c r="O2758" s="4">
        <v>92</v>
      </c>
    </row>
    <row r="2759" spans="1:15" ht="15.75" customHeight="1">
      <c r="A2759" s="4"/>
      <c r="B2759" s="4"/>
      <c r="C2759" s="4"/>
      <c r="D2759" s="4"/>
      <c r="E2759" s="4"/>
      <c r="G2759" s="4"/>
      <c r="H2759" s="4"/>
      <c r="K2759" s="4"/>
      <c r="N2759" s="4" t="s">
        <v>5876</v>
      </c>
      <c r="O2759" s="4">
        <v>169</v>
      </c>
    </row>
    <row r="2760" spans="1:15" ht="15.75" customHeight="1">
      <c r="A2760" s="4"/>
      <c r="B2760" s="4"/>
      <c r="C2760" s="4"/>
      <c r="D2760" s="4"/>
      <c r="E2760" s="4"/>
      <c r="G2760" s="4"/>
      <c r="H2760" s="4"/>
      <c r="K2760" s="4"/>
      <c r="N2760" s="4" t="s">
        <v>56</v>
      </c>
      <c r="O2760" s="4">
        <v>308</v>
      </c>
    </row>
    <row r="2761" spans="1:15" ht="15.75" customHeight="1">
      <c r="A2761" s="4"/>
      <c r="B2761" s="4"/>
      <c r="C2761" s="4"/>
      <c r="D2761" s="4"/>
      <c r="E2761" s="4"/>
      <c r="G2761" s="4"/>
      <c r="H2761" s="4"/>
      <c r="K2761" s="4"/>
      <c r="N2761" s="4" t="s">
        <v>56</v>
      </c>
      <c r="O2761" s="4">
        <v>48</v>
      </c>
    </row>
    <row r="2762" spans="1:15" ht="15.75" customHeight="1">
      <c r="A2762" s="4"/>
      <c r="B2762" s="4"/>
      <c r="C2762" s="4"/>
      <c r="D2762" s="4"/>
      <c r="E2762" s="4"/>
      <c r="G2762" s="4"/>
      <c r="H2762" s="4"/>
      <c r="K2762" s="4"/>
      <c r="N2762" s="4" t="s">
        <v>5883</v>
      </c>
      <c r="O2762" s="4">
        <v>230</v>
      </c>
    </row>
    <row r="2763" spans="1:15" ht="15.75" customHeight="1">
      <c r="A2763" s="4"/>
      <c r="B2763" s="4"/>
      <c r="C2763" s="4"/>
      <c r="D2763" s="4"/>
      <c r="E2763" s="4"/>
      <c r="G2763" s="4"/>
      <c r="H2763" s="4"/>
      <c r="K2763" s="4"/>
      <c r="N2763" s="4" t="s">
        <v>440</v>
      </c>
      <c r="O2763" s="4">
        <v>202</v>
      </c>
    </row>
    <row r="2764" spans="1:15" ht="15.75" customHeight="1">
      <c r="A2764" s="4"/>
      <c r="B2764" s="4"/>
      <c r="C2764" s="4"/>
      <c r="D2764" s="4"/>
      <c r="E2764" s="4"/>
      <c r="G2764" s="4"/>
      <c r="H2764" s="4"/>
      <c r="K2764" s="4"/>
      <c r="N2764" s="4" t="s">
        <v>999</v>
      </c>
      <c r="O2764" s="4">
        <v>301</v>
      </c>
    </row>
    <row r="2765" spans="1:15" ht="15.75" customHeight="1">
      <c r="A2765" s="4"/>
      <c r="B2765" s="4"/>
      <c r="C2765" s="4"/>
      <c r="D2765" s="4"/>
      <c r="E2765" s="4"/>
      <c r="G2765" s="4"/>
      <c r="H2765" s="4"/>
      <c r="K2765" s="4"/>
      <c r="N2765" s="4" t="s">
        <v>5890</v>
      </c>
      <c r="O2765" s="4">
        <v>159</v>
      </c>
    </row>
    <row r="2766" spans="1:15" ht="15.75" customHeight="1">
      <c r="A2766" s="4"/>
      <c r="B2766" s="4"/>
      <c r="C2766" s="4"/>
      <c r="D2766" s="4"/>
      <c r="E2766" s="4"/>
      <c r="G2766" s="4"/>
      <c r="H2766" s="4"/>
      <c r="K2766" s="4"/>
      <c r="N2766" s="4" t="s">
        <v>5893</v>
      </c>
      <c r="O2766" s="4">
        <v>270</v>
      </c>
    </row>
    <row r="2767" spans="1:15" ht="15.75" customHeight="1">
      <c r="A2767" s="4"/>
      <c r="B2767" s="4"/>
      <c r="C2767" s="4"/>
      <c r="D2767" s="4"/>
      <c r="E2767" s="4"/>
      <c r="G2767" s="4"/>
      <c r="H2767" s="4"/>
      <c r="I2767" s="4"/>
      <c r="K2767" s="4"/>
      <c r="N2767" s="4" t="s">
        <v>5896</v>
      </c>
      <c r="O2767" s="4">
        <v>292</v>
      </c>
    </row>
    <row r="2768" spans="1:15" ht="15.75" customHeight="1">
      <c r="A2768" s="4"/>
      <c r="B2768" s="4"/>
      <c r="C2768" s="4"/>
      <c r="D2768" s="4"/>
      <c r="E2768" s="4"/>
      <c r="G2768" s="4"/>
      <c r="H2768" s="4"/>
      <c r="I2768" s="4"/>
      <c r="K2768" s="4"/>
      <c r="N2768" s="4" t="s">
        <v>5900</v>
      </c>
      <c r="O2768" s="4">
        <v>660</v>
      </c>
    </row>
    <row r="2769" spans="1:15" ht="15.75" customHeight="1">
      <c r="A2769" s="4"/>
      <c r="B2769" s="4"/>
      <c r="C2769" s="4"/>
      <c r="D2769" s="4"/>
      <c r="E2769" s="4"/>
      <c r="G2769" s="4"/>
      <c r="H2769" s="4"/>
      <c r="K2769" s="4"/>
    </row>
    <row r="2770" spans="1:15" ht="15.75" customHeight="1">
      <c r="A2770" s="4"/>
      <c r="B2770" s="4"/>
      <c r="C2770" s="4"/>
      <c r="D2770" s="4"/>
      <c r="E2770" s="4"/>
      <c r="G2770" s="4"/>
      <c r="H2770" s="4"/>
      <c r="K2770" s="4"/>
      <c r="N2770" s="4" t="s">
        <v>73</v>
      </c>
      <c r="O2770" s="4">
        <v>608</v>
      </c>
    </row>
    <row r="2771" spans="1:15" ht="15.75" customHeight="1">
      <c r="A2771" s="4"/>
      <c r="B2771" s="4"/>
      <c r="C2771" s="4"/>
      <c r="D2771" s="4"/>
      <c r="E2771" s="4"/>
      <c r="G2771" s="4"/>
      <c r="H2771" s="4"/>
      <c r="K2771" s="4"/>
      <c r="N2771" s="4" t="s">
        <v>714</v>
      </c>
      <c r="O2771" s="4">
        <v>303</v>
      </c>
    </row>
    <row r="2772" spans="1:15" ht="15.75" customHeight="1">
      <c r="A2772" s="4"/>
      <c r="B2772" s="4"/>
      <c r="C2772" s="4"/>
      <c r="D2772" s="4"/>
      <c r="E2772" s="4"/>
      <c r="G2772" s="4"/>
      <c r="H2772" s="4"/>
      <c r="K2772" s="4"/>
      <c r="N2772" s="4" t="s">
        <v>3784</v>
      </c>
      <c r="O2772" s="4">
        <v>234</v>
      </c>
    </row>
    <row r="2773" spans="1:15" ht="15.75" customHeight="1">
      <c r="A2773" s="4"/>
      <c r="B2773" s="4"/>
      <c r="C2773" s="4"/>
      <c r="D2773" s="4"/>
      <c r="E2773" s="4"/>
      <c r="G2773" s="4"/>
      <c r="H2773" s="4"/>
      <c r="K2773" s="4"/>
      <c r="N2773" s="4" t="s">
        <v>1278</v>
      </c>
      <c r="O2773" s="4">
        <v>293</v>
      </c>
    </row>
    <row r="2774" spans="1:15" ht="15.75" customHeight="1">
      <c r="A2774" s="4"/>
      <c r="B2774" s="4"/>
      <c r="C2774" s="4"/>
      <c r="D2774" s="4"/>
      <c r="E2774" s="4"/>
      <c r="G2774" s="4"/>
      <c r="H2774" s="4"/>
      <c r="K2774" s="4"/>
      <c r="N2774" s="4" t="s">
        <v>5913</v>
      </c>
      <c r="O2774" s="4">
        <v>332</v>
      </c>
    </row>
    <row r="2775" spans="1:15" ht="15.75" customHeight="1">
      <c r="A2775" s="4"/>
      <c r="B2775" s="4"/>
      <c r="C2775" s="4"/>
      <c r="D2775" s="4"/>
      <c r="E2775" s="4"/>
      <c r="G2775" s="4"/>
      <c r="H2775" s="4"/>
      <c r="K2775" s="4"/>
      <c r="N2775" s="4" t="s">
        <v>4039</v>
      </c>
      <c r="O2775" s="4">
        <v>160</v>
      </c>
    </row>
    <row r="2776" spans="1:15" ht="15.75" customHeight="1">
      <c r="A2776" s="4"/>
      <c r="B2776" s="4"/>
      <c r="C2776" s="4"/>
      <c r="D2776" s="4"/>
      <c r="E2776" s="4"/>
      <c r="G2776" s="4"/>
      <c r="H2776" s="4"/>
      <c r="K2776" s="4"/>
      <c r="N2776" s="4" t="s">
        <v>5918</v>
      </c>
      <c r="O2776" s="4">
        <v>259</v>
      </c>
    </row>
    <row r="2777" spans="1:15" ht="15.75" customHeight="1">
      <c r="A2777" s="4"/>
      <c r="B2777" s="4"/>
      <c r="C2777" s="4"/>
      <c r="D2777" s="4"/>
      <c r="E2777" s="4"/>
      <c r="G2777" s="4"/>
      <c r="H2777" s="4"/>
      <c r="I2777" s="4"/>
      <c r="K2777" s="4"/>
      <c r="N2777" s="4" t="s">
        <v>5921</v>
      </c>
      <c r="O2777" s="4">
        <v>189</v>
      </c>
    </row>
    <row r="2778" spans="1:15" ht="15.75" customHeight="1">
      <c r="A2778" s="4"/>
      <c r="B2778" s="4"/>
      <c r="C2778" s="4"/>
      <c r="D2778" s="4"/>
      <c r="E2778" s="4"/>
      <c r="G2778" s="4"/>
      <c r="H2778" s="4"/>
      <c r="I2778" s="4"/>
      <c r="K2778" s="4"/>
      <c r="N2778" s="4" t="s">
        <v>5925</v>
      </c>
      <c r="O2778" s="4">
        <v>298</v>
      </c>
    </row>
    <row r="2779" spans="1:15" ht="15.75" customHeight="1">
      <c r="A2779" s="4"/>
      <c r="B2779" s="4"/>
      <c r="C2779" s="4"/>
      <c r="D2779" s="4"/>
      <c r="E2779" s="4"/>
      <c r="G2779" s="4"/>
      <c r="H2779" s="4"/>
      <c r="K2779" s="4"/>
      <c r="N2779" s="4" t="s">
        <v>5929</v>
      </c>
      <c r="O2779" s="4">
        <v>83</v>
      </c>
    </row>
    <row r="2780" spans="1:15" ht="15.75" customHeight="1">
      <c r="A2780" s="4"/>
      <c r="B2780" s="4"/>
      <c r="C2780" s="4"/>
      <c r="D2780" s="4"/>
      <c r="E2780" s="4"/>
      <c r="G2780" s="4"/>
      <c r="H2780" s="4"/>
      <c r="I2780" s="4"/>
      <c r="K2780" s="4"/>
      <c r="N2780" s="4" t="s">
        <v>5932</v>
      </c>
      <c r="O2780" s="4">
        <v>292</v>
      </c>
    </row>
    <row r="2781" spans="1:15" ht="15.75" customHeight="1">
      <c r="A2781" s="4"/>
      <c r="B2781" s="4"/>
      <c r="C2781" s="4"/>
      <c r="D2781" s="4"/>
      <c r="E2781" s="4"/>
      <c r="G2781" s="4"/>
      <c r="H2781" s="4"/>
      <c r="K2781" s="4"/>
      <c r="N2781" s="4" t="s">
        <v>2888</v>
      </c>
      <c r="O2781" s="4">
        <v>292</v>
      </c>
    </row>
    <row r="2782" spans="1:15" ht="15.75" customHeight="1">
      <c r="A2782" s="4"/>
      <c r="B2782" s="4"/>
      <c r="C2782" s="4"/>
      <c r="D2782" s="4"/>
      <c r="E2782" s="4"/>
      <c r="G2782" s="4"/>
      <c r="H2782" s="4"/>
      <c r="I2782" s="4"/>
      <c r="K2782" s="4"/>
      <c r="N2782" s="4" t="s">
        <v>5938</v>
      </c>
      <c r="O2782" s="4">
        <v>253</v>
      </c>
    </row>
    <row r="2783" spans="1:15" ht="15.75" customHeight="1">
      <c r="A2783" s="4"/>
      <c r="B2783" s="4"/>
      <c r="C2783" s="4"/>
      <c r="D2783" s="4"/>
      <c r="E2783" s="4"/>
      <c r="G2783" s="4"/>
      <c r="H2783" s="4"/>
      <c r="K2783" s="4"/>
      <c r="N2783" s="4" t="s">
        <v>2499</v>
      </c>
      <c r="O2783" s="4">
        <v>216</v>
      </c>
    </row>
    <row r="2784" spans="1:15" ht="15.75" customHeight="1">
      <c r="A2784" s="4"/>
      <c r="B2784" s="4"/>
      <c r="C2784" s="4"/>
      <c r="D2784" s="4"/>
      <c r="E2784" s="4"/>
      <c r="G2784" s="4"/>
      <c r="H2784" s="4"/>
      <c r="I2784" s="4"/>
      <c r="K2784" s="4"/>
      <c r="N2784" s="4" t="s">
        <v>5944</v>
      </c>
      <c r="O2784" s="4">
        <v>282</v>
      </c>
    </row>
    <row r="2785" spans="1:15" ht="15.75" customHeight="1">
      <c r="A2785" s="4"/>
      <c r="B2785" s="4"/>
      <c r="C2785" s="4"/>
      <c r="D2785" s="4"/>
      <c r="E2785" s="4"/>
      <c r="G2785" s="4"/>
      <c r="H2785" s="4"/>
      <c r="K2785" s="4"/>
      <c r="N2785" s="4" t="s">
        <v>138</v>
      </c>
      <c r="O2785" s="4">
        <v>397</v>
      </c>
    </row>
    <row r="2786" spans="1:15" ht="15.75" customHeight="1">
      <c r="A2786" s="4"/>
      <c r="B2786" s="4"/>
      <c r="C2786" s="4"/>
      <c r="D2786" s="4"/>
      <c r="E2786" s="4"/>
      <c r="G2786" s="4"/>
      <c r="H2786" s="4"/>
      <c r="I2786" s="4"/>
      <c r="K2786" s="4"/>
      <c r="N2786" s="4" t="s">
        <v>5950</v>
      </c>
      <c r="O2786" s="4">
        <v>462</v>
      </c>
    </row>
    <row r="2787" spans="1:15" ht="15.75" customHeight="1">
      <c r="A2787" s="4"/>
      <c r="B2787" s="4"/>
      <c r="C2787" s="4"/>
      <c r="D2787" s="4"/>
      <c r="E2787" s="4"/>
      <c r="G2787" s="4"/>
      <c r="H2787" s="4"/>
      <c r="K2787" s="4"/>
      <c r="N2787" s="4" t="s">
        <v>5954</v>
      </c>
      <c r="O2787" s="4">
        <v>324</v>
      </c>
    </row>
    <row r="2788" spans="1:15" ht="15.75" customHeight="1">
      <c r="A2788" s="4"/>
      <c r="B2788" s="4"/>
      <c r="C2788" s="4"/>
      <c r="D2788" s="4"/>
      <c r="E2788" s="4"/>
      <c r="G2788" s="4"/>
      <c r="H2788" s="4"/>
      <c r="K2788" s="4"/>
      <c r="N2788" s="4" t="s">
        <v>1720</v>
      </c>
      <c r="O2788" s="4">
        <v>112</v>
      </c>
    </row>
    <row r="2789" spans="1:15" ht="15.75" customHeight="1">
      <c r="A2789" s="4"/>
      <c r="B2789" s="4"/>
      <c r="C2789" s="4"/>
      <c r="D2789" s="4"/>
      <c r="E2789" s="4"/>
      <c r="G2789" s="4"/>
      <c r="H2789" s="4"/>
      <c r="K2789" s="4"/>
    </row>
    <row r="2790" spans="1:15" ht="15.75" customHeight="1">
      <c r="A2790" s="4"/>
      <c r="B2790" s="4"/>
      <c r="C2790" s="4"/>
      <c r="D2790" s="4"/>
      <c r="E2790" s="4"/>
      <c r="G2790" s="4"/>
      <c r="H2790" s="4"/>
      <c r="I2790" s="4"/>
      <c r="K2790" s="4"/>
      <c r="N2790" s="4" t="s">
        <v>5960</v>
      </c>
      <c r="O2790" s="4">
        <v>123</v>
      </c>
    </row>
    <row r="2791" spans="1:15" ht="15.75" customHeight="1">
      <c r="A2791" s="4"/>
      <c r="B2791" s="4"/>
      <c r="C2791" s="4"/>
      <c r="D2791" s="4"/>
      <c r="E2791" s="4"/>
      <c r="G2791" s="4"/>
      <c r="H2791" s="4"/>
      <c r="K2791" s="4"/>
      <c r="N2791" s="4" t="s">
        <v>5964</v>
      </c>
      <c r="O2791" s="4">
        <v>352</v>
      </c>
    </row>
    <row r="2792" spans="1:15" ht="15.75" customHeight="1">
      <c r="A2792" s="4"/>
      <c r="B2792" s="4"/>
      <c r="C2792" s="4"/>
      <c r="D2792" s="4"/>
      <c r="E2792" s="4"/>
      <c r="G2792" s="4"/>
      <c r="H2792" s="4"/>
      <c r="K2792" s="4"/>
      <c r="N2792" s="4" t="s">
        <v>931</v>
      </c>
      <c r="O2792" s="4">
        <v>150</v>
      </c>
    </row>
    <row r="2793" spans="1:15" ht="15.75" customHeight="1">
      <c r="A2793" s="4"/>
      <c r="B2793" s="4"/>
      <c r="C2793" s="4"/>
      <c r="D2793" s="4"/>
      <c r="E2793" s="4"/>
      <c r="G2793" s="4"/>
      <c r="H2793" s="4"/>
      <c r="K2793" s="4"/>
      <c r="N2793" s="4" t="s">
        <v>2090</v>
      </c>
      <c r="O2793" s="4">
        <v>450</v>
      </c>
    </row>
    <row r="2794" spans="1:15" ht="15.75" customHeight="1">
      <c r="A2794" s="4"/>
      <c r="B2794" s="4"/>
      <c r="C2794" s="4"/>
      <c r="D2794" s="4"/>
      <c r="E2794" s="4"/>
      <c r="G2794" s="4"/>
      <c r="H2794" s="4"/>
      <c r="K2794" s="4"/>
      <c r="N2794" s="4" t="s">
        <v>5971</v>
      </c>
      <c r="O2794" s="4">
        <v>282</v>
      </c>
    </row>
    <row r="2795" spans="1:15" ht="15.75" customHeight="1">
      <c r="A2795" s="4"/>
      <c r="B2795" s="4"/>
      <c r="C2795" s="4"/>
      <c r="D2795" s="4"/>
      <c r="E2795" s="4"/>
      <c r="G2795" s="4"/>
      <c r="H2795" s="4"/>
      <c r="K2795" s="4"/>
      <c r="N2795" s="4" t="s">
        <v>5974</v>
      </c>
      <c r="O2795" s="4">
        <v>148</v>
      </c>
    </row>
    <row r="2796" spans="1:15" ht="15.75" customHeight="1">
      <c r="A2796" s="4"/>
      <c r="B2796" s="4"/>
      <c r="C2796" s="4"/>
      <c r="D2796" s="4"/>
      <c r="E2796" s="4"/>
      <c r="G2796" s="4"/>
      <c r="H2796" s="4"/>
      <c r="I2796" s="4"/>
      <c r="K2796" s="4"/>
      <c r="N2796" s="4" t="s">
        <v>5977</v>
      </c>
      <c r="O2796" s="4">
        <v>223</v>
      </c>
    </row>
    <row r="2797" spans="1:15" ht="15.75" customHeight="1">
      <c r="A2797" s="4"/>
      <c r="B2797" s="4"/>
      <c r="C2797" s="4"/>
      <c r="D2797" s="4"/>
      <c r="E2797" s="4"/>
      <c r="G2797" s="4"/>
      <c r="H2797" s="4"/>
      <c r="K2797" s="4"/>
      <c r="N2797" s="4" t="s">
        <v>440</v>
      </c>
      <c r="O2797" s="4">
        <v>293</v>
      </c>
    </row>
    <row r="2798" spans="1:15" ht="15.75" customHeight="1">
      <c r="A2798" s="4"/>
      <c r="B2798" s="4"/>
      <c r="C2798" s="4"/>
      <c r="D2798" s="4"/>
      <c r="E2798" s="4"/>
      <c r="G2798" s="4"/>
      <c r="H2798" s="4"/>
      <c r="K2798" s="4"/>
      <c r="N2798" s="4" t="s">
        <v>5983</v>
      </c>
      <c r="O2798" s="4">
        <v>534</v>
      </c>
    </row>
    <row r="2799" spans="1:15" ht="15.75" customHeight="1">
      <c r="A2799" s="4"/>
      <c r="B2799" s="4"/>
      <c r="C2799" s="4"/>
      <c r="D2799" s="4"/>
      <c r="E2799" s="4"/>
      <c r="G2799" s="4"/>
      <c r="H2799" s="4"/>
      <c r="K2799" s="4"/>
      <c r="N2799" s="4" t="s">
        <v>5986</v>
      </c>
      <c r="O2799" s="4">
        <v>419</v>
      </c>
    </row>
    <row r="2800" spans="1:15" ht="15.75" customHeight="1">
      <c r="A2800" s="4"/>
      <c r="B2800" s="4"/>
      <c r="C2800" s="4"/>
      <c r="D2800" s="4"/>
      <c r="E2800" s="4"/>
      <c r="G2800" s="4"/>
      <c r="H2800" s="4"/>
      <c r="K2800" s="4"/>
      <c r="N2800" s="4" t="s">
        <v>5989</v>
      </c>
      <c r="O2800" s="4">
        <v>83</v>
      </c>
    </row>
    <row r="2801" spans="1:15" ht="15.75" customHeight="1">
      <c r="A2801" s="4"/>
      <c r="B2801" s="4"/>
      <c r="C2801" s="4"/>
      <c r="D2801" s="4"/>
      <c r="E2801" s="4"/>
      <c r="G2801" s="4"/>
      <c r="H2801" s="4"/>
      <c r="K2801" s="4"/>
      <c r="N2801" s="4" t="s">
        <v>56</v>
      </c>
      <c r="O2801" s="4">
        <v>142</v>
      </c>
    </row>
    <row r="2802" spans="1:15" ht="15.75" customHeight="1">
      <c r="A2802" s="4"/>
      <c r="B2802" s="4"/>
      <c r="C2802" s="4"/>
      <c r="D2802" s="4"/>
      <c r="E2802" s="4"/>
      <c r="G2802" s="4"/>
      <c r="H2802" s="4"/>
      <c r="K2802" s="4"/>
      <c r="N2802" s="4" t="s">
        <v>56</v>
      </c>
      <c r="O2802" s="4">
        <v>225</v>
      </c>
    </row>
    <row r="2803" spans="1:15" ht="15.75" customHeight="1">
      <c r="A2803" s="4"/>
      <c r="B2803" s="4"/>
      <c r="C2803" s="4"/>
      <c r="D2803" s="4"/>
      <c r="E2803" s="4"/>
      <c r="G2803" s="4"/>
      <c r="H2803" s="4"/>
      <c r="K2803" s="4"/>
      <c r="N2803" s="4" t="s">
        <v>56</v>
      </c>
      <c r="O2803" s="4">
        <v>215</v>
      </c>
    </row>
    <row r="2804" spans="1:15" ht="15.75" customHeight="1">
      <c r="A2804" s="4"/>
      <c r="B2804" s="4"/>
      <c r="C2804" s="4"/>
      <c r="D2804" s="4"/>
      <c r="E2804" s="4"/>
      <c r="G2804" s="4"/>
      <c r="H2804" s="4"/>
      <c r="K2804" s="4"/>
      <c r="N2804" s="4" t="s">
        <v>56</v>
      </c>
      <c r="O2804" s="4">
        <v>254</v>
      </c>
    </row>
    <row r="2805" spans="1:15" ht="15.75" customHeight="1">
      <c r="A2805" s="4"/>
      <c r="B2805" s="4"/>
      <c r="C2805" s="4"/>
      <c r="D2805" s="4"/>
      <c r="E2805" s="4"/>
      <c r="G2805" s="4"/>
      <c r="H2805" s="4"/>
      <c r="I2805" s="4"/>
      <c r="K2805" s="4"/>
      <c r="N2805" s="4" t="s">
        <v>6000</v>
      </c>
      <c r="O2805" s="4">
        <v>462</v>
      </c>
    </row>
    <row r="2806" spans="1:15" ht="15.75" customHeight="1">
      <c r="A2806" s="4"/>
      <c r="B2806" s="4"/>
      <c r="C2806" s="4"/>
      <c r="D2806" s="4"/>
      <c r="E2806" s="4"/>
      <c r="G2806" s="4"/>
      <c r="H2806" s="4"/>
      <c r="K2806" s="4"/>
      <c r="N2806" s="4" t="s">
        <v>56</v>
      </c>
      <c r="O2806" s="4">
        <v>47</v>
      </c>
    </row>
    <row r="2807" spans="1:15" ht="15.75" customHeight="1">
      <c r="A2807" s="4"/>
      <c r="B2807" s="4"/>
      <c r="C2807" s="4"/>
      <c r="D2807" s="4"/>
      <c r="E2807" s="4"/>
      <c r="G2807" s="4"/>
      <c r="H2807" s="4"/>
      <c r="K2807" s="4"/>
      <c r="N2807" s="4" t="s">
        <v>292</v>
      </c>
      <c r="O2807" s="4">
        <v>502</v>
      </c>
    </row>
    <row r="2808" spans="1:15" ht="15.75" customHeight="1">
      <c r="A2808" s="4"/>
      <c r="B2808" s="4"/>
      <c r="C2808" s="4"/>
      <c r="D2808" s="4"/>
      <c r="E2808" s="4"/>
      <c r="G2808" s="4"/>
      <c r="H2808" s="4"/>
      <c r="I2808" s="4"/>
      <c r="K2808" s="4"/>
      <c r="N2808" s="4" t="s">
        <v>6008</v>
      </c>
      <c r="O2808" s="4">
        <v>124</v>
      </c>
    </row>
    <row r="2809" spans="1:15" ht="15.75" customHeight="1">
      <c r="A2809" s="4"/>
      <c r="B2809" s="4"/>
      <c r="C2809" s="4"/>
      <c r="D2809" s="4"/>
      <c r="E2809" s="4"/>
      <c r="G2809" s="4"/>
      <c r="H2809" s="4"/>
      <c r="I2809" s="4"/>
      <c r="K2809" s="4"/>
      <c r="N2809" s="4" t="s">
        <v>6012</v>
      </c>
      <c r="O2809" s="4">
        <v>378</v>
      </c>
    </row>
    <row r="2810" spans="1:15" ht="15.75" customHeight="1">
      <c r="A2810" s="4"/>
      <c r="B2810" s="4"/>
      <c r="C2810" s="4"/>
      <c r="D2810" s="4"/>
      <c r="E2810" s="4"/>
      <c r="G2810" s="4"/>
      <c r="H2810" s="4"/>
      <c r="K2810" s="4"/>
      <c r="N2810" s="4" t="s">
        <v>6016</v>
      </c>
      <c r="O2810" s="4">
        <v>82</v>
      </c>
    </row>
    <row r="2811" spans="1:15" ht="15.75" customHeight="1">
      <c r="A2811" s="4"/>
      <c r="B2811" s="4"/>
      <c r="C2811" s="4"/>
      <c r="D2811" s="4"/>
      <c r="E2811" s="4"/>
      <c r="G2811" s="4"/>
      <c r="H2811" s="4"/>
      <c r="K2811" s="4"/>
      <c r="N2811" s="4" t="s">
        <v>6019</v>
      </c>
      <c r="O2811" s="4">
        <v>127</v>
      </c>
    </row>
    <row r="2812" spans="1:15" ht="15.75" customHeight="1">
      <c r="A2812" s="4"/>
      <c r="B2812" s="4"/>
      <c r="C2812" s="4"/>
      <c r="D2812" s="4"/>
      <c r="E2812" s="4"/>
      <c r="G2812" s="4"/>
      <c r="H2812" s="4"/>
      <c r="K2812" s="4"/>
      <c r="N2812" s="4" t="s">
        <v>2982</v>
      </c>
      <c r="O2812" s="4">
        <v>173</v>
      </c>
    </row>
    <row r="2813" spans="1:15" ht="15.75" customHeight="1">
      <c r="A2813" s="4"/>
      <c r="B2813" s="4"/>
      <c r="C2813" s="4"/>
      <c r="D2813" s="4"/>
      <c r="E2813" s="4"/>
      <c r="G2813" s="4"/>
      <c r="H2813" s="4"/>
      <c r="I2813" s="4"/>
      <c r="K2813" s="4"/>
      <c r="N2813" s="4" t="s">
        <v>6024</v>
      </c>
      <c r="O2813" s="4">
        <v>1485</v>
      </c>
    </row>
    <row r="2814" spans="1:15" ht="15.75" customHeight="1">
      <c r="A2814" s="4"/>
      <c r="B2814" s="4"/>
      <c r="C2814" s="4"/>
      <c r="D2814" s="4"/>
      <c r="E2814" s="4"/>
      <c r="G2814" s="4"/>
      <c r="H2814" s="4"/>
      <c r="K2814" s="4"/>
      <c r="N2814" s="4" t="s">
        <v>6028</v>
      </c>
      <c r="O2814" s="4">
        <v>477</v>
      </c>
    </row>
    <row r="2815" spans="1:15" ht="15.75" customHeight="1">
      <c r="A2815" s="4"/>
      <c r="B2815" s="4"/>
      <c r="C2815" s="4"/>
      <c r="D2815" s="4"/>
      <c r="E2815" s="4"/>
      <c r="G2815" s="4"/>
      <c r="H2815" s="4"/>
      <c r="K2815" s="4"/>
      <c r="N2815" s="4" t="s">
        <v>2828</v>
      </c>
      <c r="O2815" s="4">
        <v>194</v>
      </c>
    </row>
    <row r="2816" spans="1:15" ht="15.75" customHeight="1">
      <c r="A2816" s="4"/>
      <c r="B2816" s="4"/>
      <c r="C2816" s="4"/>
      <c r="D2816" s="4"/>
      <c r="E2816" s="4"/>
      <c r="G2816" s="4"/>
      <c r="H2816" s="4"/>
      <c r="I2816" s="4"/>
      <c r="K2816" s="4"/>
      <c r="N2816" s="4" t="s">
        <v>6033</v>
      </c>
      <c r="O2816" s="4">
        <v>221</v>
      </c>
    </row>
    <row r="2817" spans="1:15" ht="15.75" customHeight="1">
      <c r="A2817" s="4"/>
      <c r="B2817" s="4"/>
      <c r="C2817" s="4"/>
      <c r="D2817" s="4"/>
      <c r="E2817" s="4"/>
      <c r="G2817" s="4"/>
      <c r="H2817" s="4"/>
      <c r="K2817" s="4"/>
    </row>
    <row r="2818" spans="1:15" ht="15.75" customHeight="1">
      <c r="A2818" s="4"/>
      <c r="B2818" s="4"/>
      <c r="C2818" s="4"/>
      <c r="D2818" s="4"/>
      <c r="E2818" s="4"/>
      <c r="G2818" s="4"/>
      <c r="H2818" s="4"/>
      <c r="K2818" s="4"/>
      <c r="N2818" s="4" t="s">
        <v>6038</v>
      </c>
      <c r="O2818" s="4">
        <v>456</v>
      </c>
    </row>
    <row r="2819" spans="1:15" ht="15.75" customHeight="1">
      <c r="B2819" s="4"/>
      <c r="C2819" s="4"/>
      <c r="D2819" s="4"/>
      <c r="E2819" s="4"/>
      <c r="G2819" s="4"/>
      <c r="H2819" s="4"/>
      <c r="K2819" s="4"/>
      <c r="N2819" s="4" t="s">
        <v>6041</v>
      </c>
      <c r="O2819" s="4">
        <v>335</v>
      </c>
    </row>
    <row r="2820" spans="1:15" ht="15.75" customHeight="1">
      <c r="A2820" s="4"/>
      <c r="B2820" s="4"/>
      <c r="C2820" s="4"/>
      <c r="D2820" s="4"/>
      <c r="E2820" s="4"/>
      <c r="G2820" s="4"/>
      <c r="H2820" s="4"/>
      <c r="I2820" s="4"/>
      <c r="K2820" s="4"/>
      <c r="N2820" s="4" t="s">
        <v>6044</v>
      </c>
      <c r="O2820" s="4">
        <v>185</v>
      </c>
    </row>
    <row r="2821" spans="1:15" ht="15.75" customHeight="1">
      <c r="A2821" s="4"/>
      <c r="B2821" s="4"/>
      <c r="C2821" s="4"/>
      <c r="D2821" s="4"/>
      <c r="E2821" s="4"/>
      <c r="G2821" s="4"/>
      <c r="H2821" s="4"/>
      <c r="I2821" s="4"/>
      <c r="K2821" s="4"/>
      <c r="N2821" s="4" t="s">
        <v>6048</v>
      </c>
      <c r="O2821" s="4">
        <v>1174</v>
      </c>
    </row>
    <row r="2822" spans="1:15" ht="15.75" customHeight="1">
      <c r="B2822" s="4"/>
      <c r="C2822" s="4"/>
      <c r="D2822" s="4"/>
      <c r="E2822" s="4"/>
      <c r="G2822" s="4"/>
      <c r="H2822" s="4"/>
      <c r="K2822" s="4"/>
      <c r="N2822" s="4" t="s">
        <v>6052</v>
      </c>
      <c r="O2822" s="4">
        <v>525</v>
      </c>
    </row>
    <row r="2823" spans="1:15" ht="15.75" customHeight="1">
      <c r="A2823" s="4"/>
      <c r="B2823" s="4"/>
      <c r="C2823" s="4"/>
      <c r="D2823" s="4"/>
      <c r="E2823" s="4"/>
      <c r="G2823" s="4"/>
      <c r="H2823" s="4"/>
      <c r="K2823" s="4"/>
      <c r="N2823" s="4" t="s">
        <v>6055</v>
      </c>
      <c r="O2823" s="4">
        <v>87</v>
      </c>
    </row>
    <row r="2824" spans="1:15" ht="15.75" customHeight="1">
      <c r="A2824" s="4"/>
      <c r="B2824" s="4"/>
      <c r="C2824" s="4"/>
      <c r="D2824" s="4"/>
      <c r="E2824" s="4"/>
      <c r="G2824" s="4"/>
      <c r="H2824" s="4"/>
      <c r="K2824" s="4"/>
      <c r="N2824" s="4" t="s">
        <v>6058</v>
      </c>
      <c r="O2824" s="4">
        <v>133</v>
      </c>
    </row>
    <row r="2825" spans="1:15" ht="15.75" customHeight="1">
      <c r="A2825" s="4"/>
      <c r="B2825" s="4"/>
      <c r="C2825" s="4"/>
      <c r="D2825" s="4"/>
      <c r="E2825" s="4"/>
      <c r="G2825" s="4"/>
      <c r="H2825" s="4"/>
      <c r="K2825" s="4"/>
      <c r="N2825" s="4" t="s">
        <v>6061</v>
      </c>
      <c r="O2825" s="4">
        <v>161</v>
      </c>
    </row>
    <row r="2826" spans="1:15" ht="15.75" customHeight="1">
      <c r="A2826" s="4"/>
      <c r="B2826" s="4"/>
      <c r="C2826" s="4"/>
      <c r="D2826" s="4"/>
      <c r="E2826" s="4"/>
      <c r="G2826" s="4"/>
      <c r="H2826" s="4"/>
      <c r="I2826" s="4"/>
      <c r="K2826" s="4"/>
      <c r="N2826" s="4" t="s">
        <v>6064</v>
      </c>
      <c r="O2826" s="4">
        <v>436</v>
      </c>
    </row>
    <row r="2827" spans="1:15" ht="15.75" customHeight="1">
      <c r="A2827" s="4"/>
      <c r="B2827" s="4"/>
      <c r="C2827" s="4"/>
      <c r="D2827" s="4"/>
      <c r="E2827" s="4"/>
      <c r="G2827" s="4"/>
      <c r="H2827" s="4"/>
      <c r="I2827" s="4"/>
      <c r="K2827" s="4"/>
      <c r="N2827" s="4" t="s">
        <v>6068</v>
      </c>
      <c r="O2827" s="4">
        <v>181</v>
      </c>
    </row>
    <row r="2828" spans="1:15" ht="15.75" customHeight="1">
      <c r="B2828" s="4"/>
      <c r="C2828" s="4"/>
      <c r="D2828" s="4"/>
      <c r="E2828" s="4"/>
      <c r="G2828" s="4"/>
      <c r="H2828" s="4"/>
      <c r="I2828" s="4"/>
      <c r="K2828" s="4"/>
      <c r="N2828" s="4" t="s">
        <v>6072</v>
      </c>
      <c r="O2828" s="4">
        <v>715</v>
      </c>
    </row>
    <row r="2829" spans="1:15" ht="15.75" customHeight="1">
      <c r="A2829" s="4"/>
      <c r="B2829" s="4"/>
      <c r="C2829" s="4"/>
      <c r="D2829" s="4"/>
      <c r="E2829" s="4"/>
      <c r="G2829" s="4"/>
      <c r="H2829" s="4"/>
      <c r="K2829" s="4"/>
      <c r="N2829" s="4" t="s">
        <v>3049</v>
      </c>
      <c r="O2829" s="4">
        <v>821</v>
      </c>
    </row>
    <row r="2830" spans="1:15" ht="15.75" customHeight="1">
      <c r="A2830" s="4"/>
      <c r="B2830" s="4"/>
      <c r="C2830" s="4"/>
      <c r="D2830" s="4"/>
      <c r="E2830" s="4"/>
      <c r="G2830" s="4"/>
      <c r="H2830" s="4"/>
      <c r="K2830" s="4"/>
      <c r="N2830" s="4" t="s">
        <v>4726</v>
      </c>
      <c r="O2830" s="4">
        <v>343</v>
      </c>
    </row>
    <row r="2831" spans="1:15" ht="15.75" customHeight="1">
      <c r="A2831" s="4"/>
      <c r="B2831" s="4"/>
      <c r="C2831" s="4"/>
      <c r="D2831" s="4"/>
      <c r="E2831" s="4"/>
      <c r="G2831" s="4"/>
      <c r="H2831" s="4"/>
      <c r="K2831" s="4"/>
      <c r="N2831" s="4" t="s">
        <v>6080</v>
      </c>
      <c r="O2831" s="4">
        <v>360</v>
      </c>
    </row>
    <row r="2832" spans="1:15" ht="15.75" customHeight="1">
      <c r="A2832" s="4"/>
      <c r="B2832" s="4"/>
      <c r="C2832" s="4"/>
      <c r="D2832" s="4"/>
      <c r="E2832" s="4"/>
      <c r="G2832" s="4"/>
      <c r="H2832" s="4"/>
      <c r="K2832" s="4"/>
      <c r="N2832" s="4" t="s">
        <v>3049</v>
      </c>
      <c r="O2832" s="4">
        <v>299</v>
      </c>
    </row>
    <row r="2833" spans="1:15" ht="15.75" customHeight="1">
      <c r="A2833" s="4"/>
      <c r="B2833" s="4"/>
      <c r="C2833" s="4"/>
      <c r="D2833" s="4"/>
      <c r="E2833" s="4"/>
      <c r="G2833" s="4"/>
      <c r="H2833" s="4"/>
      <c r="I2833" s="4"/>
      <c r="K2833" s="4"/>
      <c r="N2833" s="4" t="s">
        <v>6085</v>
      </c>
      <c r="O2833" s="4">
        <v>294</v>
      </c>
    </row>
    <row r="2834" spans="1:15" ht="15.75" customHeight="1">
      <c r="A2834" s="4"/>
      <c r="B2834" s="4"/>
      <c r="C2834" s="4"/>
      <c r="D2834" s="4"/>
      <c r="E2834" s="4"/>
      <c r="G2834" s="4"/>
      <c r="H2834" s="4"/>
      <c r="I2834" s="4"/>
      <c r="K2834" s="4"/>
      <c r="N2834" s="4" t="s">
        <v>6089</v>
      </c>
      <c r="O2834" s="4">
        <v>333</v>
      </c>
    </row>
    <row r="2835" spans="1:15" ht="15.75" customHeight="1">
      <c r="A2835" s="4"/>
      <c r="B2835" s="4"/>
      <c r="C2835" s="4"/>
      <c r="D2835" s="4"/>
      <c r="E2835" s="4"/>
      <c r="G2835" s="4"/>
      <c r="H2835" s="4"/>
      <c r="I2835" s="4"/>
      <c r="K2835" s="4"/>
      <c r="N2835" s="4" t="s">
        <v>6093</v>
      </c>
      <c r="O2835" s="4">
        <v>498</v>
      </c>
    </row>
    <row r="2836" spans="1:15" ht="15.75" customHeight="1">
      <c r="A2836" s="4"/>
      <c r="B2836" s="4"/>
      <c r="C2836" s="4"/>
      <c r="D2836" s="4"/>
      <c r="E2836" s="4"/>
      <c r="G2836" s="4"/>
      <c r="H2836" s="4"/>
      <c r="K2836" s="4"/>
    </row>
    <row r="2837" spans="1:15" ht="15.75" customHeight="1">
      <c r="A2837" s="4"/>
      <c r="B2837" s="4"/>
      <c r="C2837" s="4"/>
      <c r="D2837" s="4"/>
      <c r="E2837" s="4"/>
      <c r="G2837" s="4"/>
      <c r="H2837" s="4"/>
      <c r="K2837" s="4"/>
    </row>
    <row r="2838" spans="1:15" ht="15.75" customHeight="1">
      <c r="A2838" s="4"/>
      <c r="B2838" s="4"/>
      <c r="C2838" s="4"/>
      <c r="D2838" s="4"/>
      <c r="E2838" s="4"/>
      <c r="G2838" s="4"/>
      <c r="H2838" s="4"/>
      <c r="K2838" s="4"/>
    </row>
    <row r="2839" spans="1:15" ht="15.75" customHeight="1">
      <c r="A2839" s="4"/>
      <c r="B2839" s="4"/>
      <c r="C2839" s="4"/>
      <c r="D2839" s="4"/>
      <c r="E2839" s="4"/>
      <c r="G2839" s="4"/>
      <c r="H2839" s="4"/>
      <c r="K2839" s="4"/>
    </row>
    <row r="2840" spans="1:15" ht="15.75" customHeight="1">
      <c r="A2840" s="4"/>
      <c r="B2840" s="4"/>
      <c r="C2840" s="4"/>
      <c r="D2840" s="4"/>
      <c r="E2840" s="4"/>
      <c r="G2840" s="4"/>
      <c r="H2840" s="4"/>
      <c r="I2840" s="4"/>
      <c r="K2840" s="4"/>
    </row>
    <row r="2841" spans="1:15" ht="15.75" customHeight="1">
      <c r="A2841" s="4"/>
      <c r="B2841" s="4"/>
      <c r="C2841" s="4"/>
      <c r="D2841" s="4"/>
      <c r="E2841" s="4"/>
      <c r="G2841" s="4"/>
      <c r="H2841" s="4"/>
      <c r="K2841" s="4"/>
    </row>
    <row r="2842" spans="1:15" ht="15.75" customHeight="1">
      <c r="A2842" s="4"/>
      <c r="B2842" s="4"/>
      <c r="C2842" s="4"/>
      <c r="D2842" s="4"/>
      <c r="E2842" s="4"/>
      <c r="G2842" s="4"/>
      <c r="H2842" s="4"/>
      <c r="K2842" s="4"/>
    </row>
    <row r="2843" spans="1:15" ht="15.75" customHeight="1">
      <c r="A2843" s="4"/>
      <c r="B2843" s="4"/>
      <c r="C2843" s="4"/>
      <c r="D2843" s="4"/>
      <c r="E2843" s="4"/>
      <c r="G2843" s="4"/>
      <c r="H2843" s="4"/>
      <c r="K2843" s="4"/>
    </row>
    <row r="2844" spans="1:15" ht="15.75" customHeight="1">
      <c r="A2844" s="4"/>
      <c r="B2844" s="4"/>
      <c r="C2844" s="4"/>
      <c r="D2844" s="4"/>
      <c r="E2844" s="4"/>
      <c r="G2844" s="4"/>
      <c r="H2844" s="4"/>
      <c r="K2844" s="4"/>
    </row>
    <row r="2845" spans="1:15" ht="15.75" customHeight="1">
      <c r="A2845" s="4"/>
      <c r="B2845" s="4"/>
      <c r="C2845" s="4"/>
      <c r="D2845" s="4"/>
      <c r="E2845" s="4"/>
      <c r="G2845" s="4"/>
      <c r="H2845" s="4"/>
      <c r="K2845" s="4"/>
    </row>
    <row r="2846" spans="1:15" ht="15.75" customHeight="1">
      <c r="A2846" s="4"/>
      <c r="B2846" s="4"/>
      <c r="C2846" s="4"/>
      <c r="D2846" s="4"/>
      <c r="E2846" s="4"/>
      <c r="G2846" s="4"/>
      <c r="H2846" s="4"/>
      <c r="K2846" s="4"/>
    </row>
    <row r="2847" spans="1:15" ht="15.75" customHeight="1">
      <c r="A2847" s="4"/>
      <c r="B2847" s="4"/>
      <c r="C2847" s="4"/>
      <c r="D2847" s="4"/>
      <c r="E2847" s="4"/>
      <c r="G2847" s="4"/>
      <c r="H2847" s="4"/>
      <c r="K2847" s="4"/>
    </row>
    <row r="2848" spans="1:15" ht="15.75" customHeight="1">
      <c r="A2848" s="4"/>
      <c r="B2848" s="4"/>
      <c r="C2848" s="4"/>
      <c r="D2848" s="4"/>
      <c r="E2848" s="4"/>
      <c r="G2848" s="4"/>
      <c r="H2848" s="4"/>
      <c r="K2848" s="4"/>
    </row>
    <row r="2849" spans="1:15" ht="15.75" customHeight="1">
      <c r="A2849" s="4"/>
      <c r="B2849" s="4"/>
      <c r="C2849" s="4"/>
      <c r="D2849" s="4"/>
      <c r="E2849" s="4"/>
      <c r="G2849" s="4"/>
      <c r="H2849" s="4"/>
      <c r="K2849" s="4"/>
      <c r="N2849" s="4" t="s">
        <v>6112</v>
      </c>
      <c r="O2849" s="4">
        <v>155</v>
      </c>
    </row>
    <row r="2850" spans="1:15" ht="15.75" customHeight="1">
      <c r="A2850" s="4"/>
      <c r="B2850" s="4"/>
      <c r="C2850" s="4"/>
      <c r="D2850" s="4"/>
      <c r="E2850" s="4"/>
      <c r="G2850" s="4"/>
      <c r="H2850" s="4"/>
      <c r="K2850" s="4"/>
      <c r="N2850" s="4" t="s">
        <v>2366</v>
      </c>
      <c r="O2850" s="4">
        <v>835</v>
      </c>
    </row>
    <row r="2851" spans="1:15" ht="15.75" customHeight="1">
      <c r="A2851" s="4"/>
      <c r="B2851" s="4"/>
      <c r="C2851" s="4"/>
      <c r="D2851" s="4"/>
      <c r="E2851" s="4"/>
      <c r="G2851" s="4"/>
      <c r="H2851" s="4"/>
      <c r="K2851" s="4"/>
      <c r="N2851" s="4" t="s">
        <v>569</v>
      </c>
      <c r="O2851" s="4">
        <v>1199</v>
      </c>
    </row>
    <row r="2852" spans="1:15" ht="15.75" customHeight="1">
      <c r="A2852" s="4"/>
      <c r="B2852" s="4"/>
      <c r="C2852" s="4"/>
      <c r="D2852" s="4"/>
      <c r="E2852" s="4"/>
      <c r="G2852" s="4"/>
      <c r="H2852" s="4"/>
      <c r="I2852" s="4"/>
      <c r="K2852" s="4"/>
      <c r="N2852" s="4" t="s">
        <v>6119</v>
      </c>
      <c r="O2852" s="4">
        <v>1220</v>
      </c>
    </row>
    <row r="2853" spans="1:15" ht="15.75" customHeight="1">
      <c r="A2853" s="4"/>
      <c r="B2853" s="4"/>
      <c r="C2853" s="4"/>
      <c r="D2853" s="4"/>
      <c r="E2853" s="4"/>
      <c r="G2853" s="4"/>
      <c r="H2853" s="4"/>
      <c r="K2853" s="4"/>
      <c r="N2853" s="4" t="s">
        <v>6123</v>
      </c>
      <c r="O2853" s="4">
        <v>164</v>
      </c>
    </row>
    <row r="2854" spans="1:15" ht="15.75" customHeight="1">
      <c r="A2854" s="4"/>
      <c r="B2854" s="4"/>
      <c r="C2854" s="4"/>
      <c r="D2854" s="4"/>
      <c r="E2854" s="4"/>
      <c r="G2854" s="4"/>
      <c r="H2854" s="4"/>
      <c r="K2854" s="4"/>
      <c r="N2854" s="4" t="s">
        <v>6126</v>
      </c>
      <c r="O2854" s="4">
        <v>957</v>
      </c>
    </row>
    <row r="2855" spans="1:15" ht="15.75" customHeight="1">
      <c r="A2855" s="4"/>
      <c r="B2855" s="4"/>
      <c r="C2855" s="4"/>
      <c r="D2855" s="4"/>
      <c r="E2855" s="4"/>
      <c r="G2855" s="4"/>
      <c r="H2855" s="4"/>
      <c r="K2855" s="4"/>
      <c r="N2855" s="4" t="s">
        <v>6129</v>
      </c>
      <c r="O2855" s="4">
        <v>2103</v>
      </c>
    </row>
    <row r="2856" spans="1:15" ht="15.75" customHeight="1">
      <c r="A2856" s="4"/>
      <c r="B2856" s="4"/>
      <c r="C2856" s="4"/>
      <c r="D2856" s="4"/>
      <c r="E2856" s="4"/>
      <c r="G2856" s="4"/>
      <c r="H2856" s="4"/>
      <c r="I2856" s="4"/>
      <c r="K2856" s="4"/>
      <c r="N2856" s="4" t="s">
        <v>6132</v>
      </c>
      <c r="O2856" s="4">
        <v>138</v>
      </c>
    </row>
    <row r="2857" spans="1:15" ht="15.75" customHeight="1">
      <c r="A2857" s="4"/>
      <c r="B2857" s="4"/>
      <c r="C2857" s="4"/>
      <c r="D2857" s="4"/>
      <c r="E2857" s="4"/>
      <c r="G2857" s="4"/>
      <c r="H2857" s="4"/>
      <c r="I2857" s="4"/>
      <c r="K2857" s="4"/>
      <c r="N2857" s="4" t="s">
        <v>6136</v>
      </c>
      <c r="O2857" s="4">
        <v>156</v>
      </c>
    </row>
    <row r="2858" spans="1:15" ht="15.75" customHeight="1">
      <c r="A2858" s="4"/>
      <c r="B2858" s="4"/>
      <c r="C2858" s="4"/>
      <c r="D2858" s="4"/>
      <c r="E2858" s="4"/>
      <c r="G2858" s="4"/>
      <c r="H2858" s="4"/>
      <c r="I2858" s="4"/>
      <c r="K2858" s="4"/>
      <c r="N2858" s="4" t="s">
        <v>6140</v>
      </c>
      <c r="O2858" s="4">
        <v>700</v>
      </c>
    </row>
    <row r="2859" spans="1:15" ht="15.75" customHeight="1">
      <c r="A2859" s="4"/>
      <c r="B2859" s="4"/>
      <c r="C2859" s="4"/>
      <c r="D2859" s="4"/>
      <c r="E2859" s="4"/>
      <c r="G2859" s="4"/>
      <c r="H2859" s="4"/>
      <c r="K2859" s="4"/>
      <c r="N2859" s="4" t="s">
        <v>6144</v>
      </c>
      <c r="O2859" s="4">
        <v>344</v>
      </c>
    </row>
    <row r="2860" spans="1:15" ht="15.75" customHeight="1">
      <c r="A2860" s="4"/>
      <c r="B2860" s="4"/>
      <c r="C2860" s="4"/>
      <c r="D2860" s="4"/>
      <c r="E2860" s="4"/>
      <c r="G2860" s="4"/>
      <c r="H2860" s="4"/>
      <c r="I2860" s="4"/>
      <c r="K2860" s="4"/>
      <c r="N2860" s="4" t="s">
        <v>6147</v>
      </c>
      <c r="O2860" s="4">
        <v>187</v>
      </c>
    </row>
    <row r="2861" spans="1:15" ht="15.75" customHeight="1">
      <c r="A2861" s="4"/>
      <c r="B2861" s="4"/>
      <c r="C2861" s="4"/>
      <c r="D2861" s="4"/>
      <c r="E2861" s="4"/>
      <c r="G2861" s="4"/>
      <c r="H2861" s="4"/>
      <c r="I2861" s="4"/>
      <c r="K2861" s="4"/>
      <c r="N2861" s="4" t="s">
        <v>6151</v>
      </c>
      <c r="O2861" s="4">
        <v>145</v>
      </c>
    </row>
    <row r="2862" spans="1:15" ht="15.75" customHeight="1">
      <c r="A2862" s="4"/>
      <c r="B2862" s="4"/>
      <c r="C2862" s="4"/>
      <c r="D2862" s="4"/>
      <c r="E2862" s="4"/>
      <c r="G2862" s="4"/>
      <c r="H2862" s="4"/>
      <c r="I2862" s="4"/>
      <c r="K2862" s="4"/>
      <c r="N2862" s="4" t="s">
        <v>6155</v>
      </c>
      <c r="O2862" s="4">
        <v>102</v>
      </c>
    </row>
    <row r="2863" spans="1:15" ht="15.75" customHeight="1">
      <c r="A2863" s="4"/>
      <c r="B2863" s="4"/>
      <c r="C2863" s="4"/>
      <c r="D2863" s="4"/>
      <c r="E2863" s="4"/>
      <c r="G2863" s="4"/>
      <c r="H2863" s="4"/>
      <c r="I2863" s="4"/>
      <c r="K2863" s="4"/>
      <c r="N2863" s="4" t="s">
        <v>6159</v>
      </c>
      <c r="O2863" s="4">
        <v>210</v>
      </c>
    </row>
    <row r="2864" spans="1:15" ht="15.75" customHeight="1">
      <c r="A2864" s="4"/>
      <c r="B2864" s="4"/>
      <c r="C2864" s="4"/>
      <c r="D2864" s="4"/>
      <c r="E2864" s="4"/>
      <c r="G2864" s="4"/>
      <c r="H2864" s="4"/>
      <c r="I2864" s="4"/>
      <c r="K2864" s="4"/>
      <c r="N2864" s="4" t="s">
        <v>6163</v>
      </c>
      <c r="O2864" s="4">
        <v>207</v>
      </c>
    </row>
    <row r="2865" spans="1:15" ht="15.75" customHeight="1">
      <c r="A2865" s="4"/>
      <c r="B2865" s="4"/>
      <c r="C2865" s="4"/>
      <c r="D2865" s="4"/>
      <c r="E2865" s="4"/>
      <c r="G2865" s="4"/>
      <c r="H2865" s="4"/>
      <c r="I2865" s="4"/>
      <c r="K2865" s="4"/>
      <c r="N2865" s="4" t="s">
        <v>6167</v>
      </c>
      <c r="O2865" s="4">
        <v>100</v>
      </c>
    </row>
    <row r="2866" spans="1:15" ht="15.75" customHeight="1">
      <c r="A2866" s="4"/>
      <c r="B2866" s="4"/>
      <c r="C2866" s="4"/>
      <c r="D2866" s="4"/>
      <c r="E2866" s="4"/>
      <c r="G2866" s="4"/>
      <c r="H2866" s="4"/>
      <c r="I2866" s="4"/>
      <c r="K2866" s="4"/>
      <c r="N2866" s="4" t="s">
        <v>6171</v>
      </c>
      <c r="O2866" s="4">
        <v>278</v>
      </c>
    </row>
    <row r="2867" spans="1:15" ht="15.75" customHeight="1">
      <c r="A2867" s="4"/>
      <c r="B2867" s="4"/>
      <c r="C2867" s="4"/>
      <c r="D2867" s="4"/>
      <c r="E2867" s="4"/>
      <c r="G2867" s="4"/>
      <c r="H2867" s="4"/>
      <c r="I2867" s="4"/>
      <c r="K2867" s="4"/>
      <c r="N2867" s="4" t="s">
        <v>6175</v>
      </c>
      <c r="O2867" s="4">
        <v>93</v>
      </c>
    </row>
    <row r="2868" spans="1:15" ht="15.75" customHeight="1">
      <c r="A2868" s="4"/>
      <c r="B2868" s="4"/>
      <c r="C2868" s="4"/>
      <c r="D2868" s="4"/>
      <c r="E2868" s="4"/>
      <c r="G2868" s="4"/>
      <c r="H2868" s="4"/>
      <c r="I2868" s="4"/>
      <c r="K2868" s="4"/>
      <c r="N2868" s="4" t="s">
        <v>6179</v>
      </c>
      <c r="O2868" s="4">
        <v>117</v>
      </c>
    </row>
    <row r="2869" spans="1:15" ht="15.75" customHeight="1">
      <c r="A2869" s="4"/>
      <c r="B2869" s="4"/>
      <c r="C2869" s="4"/>
      <c r="D2869" s="4"/>
      <c r="E2869" s="4"/>
      <c r="G2869" s="4"/>
      <c r="H2869" s="4"/>
      <c r="I2869" s="4"/>
      <c r="K2869" s="4"/>
      <c r="N2869" s="4" t="s">
        <v>6183</v>
      </c>
      <c r="O2869" s="4">
        <v>220</v>
      </c>
    </row>
    <row r="2870" spans="1:15" ht="15.75" customHeight="1">
      <c r="A2870" s="4"/>
      <c r="B2870" s="4"/>
      <c r="C2870" s="4"/>
      <c r="D2870" s="4"/>
      <c r="E2870" s="4"/>
      <c r="G2870" s="4"/>
      <c r="H2870" s="4"/>
      <c r="I2870" s="4"/>
      <c r="K2870" s="4"/>
      <c r="N2870" s="4" t="s">
        <v>6187</v>
      </c>
      <c r="O2870" s="4">
        <v>144</v>
      </c>
    </row>
    <row r="2871" spans="1:15" ht="15.75" customHeight="1">
      <c r="A2871" s="4"/>
      <c r="B2871" s="4"/>
      <c r="C2871" s="4"/>
      <c r="D2871" s="4"/>
      <c r="E2871" s="4"/>
      <c r="G2871" s="4"/>
      <c r="H2871" s="4"/>
      <c r="I2871" s="4"/>
      <c r="K2871" s="4"/>
      <c r="N2871" s="4" t="s">
        <v>6191</v>
      </c>
      <c r="O2871" s="4">
        <v>64</v>
      </c>
    </row>
    <row r="2872" spans="1:15" ht="15.75" customHeight="1">
      <c r="B2872" s="4"/>
      <c r="C2872" s="4"/>
      <c r="D2872" s="4"/>
      <c r="E2872" s="4"/>
      <c r="G2872" s="4"/>
      <c r="H2872" s="4"/>
      <c r="I2872" s="4"/>
      <c r="K2872" s="4"/>
      <c r="N2872" s="4" t="s">
        <v>6195</v>
      </c>
      <c r="O2872" s="4">
        <v>87</v>
      </c>
    </row>
    <row r="2873" spans="1:15" ht="15.75" customHeight="1">
      <c r="A2873" s="4"/>
      <c r="B2873" s="4"/>
      <c r="C2873" s="4"/>
      <c r="D2873" s="4"/>
      <c r="E2873" s="4"/>
      <c r="G2873" s="4"/>
      <c r="H2873" s="4"/>
      <c r="I2873" s="4"/>
      <c r="K2873" s="4"/>
      <c r="N2873" s="4" t="s">
        <v>6199</v>
      </c>
      <c r="O2873" s="4">
        <v>122</v>
      </c>
    </row>
    <row r="2874" spans="1:15" ht="15.75" customHeight="1">
      <c r="A2874" s="4"/>
      <c r="B2874" s="4"/>
      <c r="C2874" s="4"/>
      <c r="D2874" s="4"/>
      <c r="E2874" s="4"/>
      <c r="G2874" s="4"/>
      <c r="H2874" s="4"/>
      <c r="I2874" s="4"/>
      <c r="K2874" s="4"/>
      <c r="N2874" s="4" t="s">
        <v>6203</v>
      </c>
      <c r="O2874" s="4">
        <v>103</v>
      </c>
    </row>
    <row r="2875" spans="1:15" ht="15.75" customHeight="1">
      <c r="A2875" s="4"/>
      <c r="B2875" s="4"/>
      <c r="C2875" s="4"/>
      <c r="D2875" s="4"/>
      <c r="E2875" s="4"/>
      <c r="G2875" s="4"/>
      <c r="H2875" s="4"/>
      <c r="I2875" s="4"/>
      <c r="K2875" s="4"/>
      <c r="N2875" s="4" t="s">
        <v>6207</v>
      </c>
      <c r="O2875" s="4">
        <v>180</v>
      </c>
    </row>
    <row r="2876" spans="1:15" ht="15.75" customHeight="1">
      <c r="A2876" s="4"/>
      <c r="B2876" s="4"/>
      <c r="C2876" s="4"/>
      <c r="D2876" s="4"/>
      <c r="E2876" s="4"/>
      <c r="G2876" s="4"/>
      <c r="H2876" s="4"/>
      <c r="K2876" s="4"/>
      <c r="N2876" s="4" t="s">
        <v>6211</v>
      </c>
      <c r="O2876" s="4">
        <v>61</v>
      </c>
    </row>
    <row r="2877" spans="1:15" ht="15.75" customHeight="1">
      <c r="A2877" s="4"/>
      <c r="B2877" s="4"/>
      <c r="C2877" s="4"/>
      <c r="D2877" s="4"/>
      <c r="E2877" s="4"/>
      <c r="G2877" s="4"/>
      <c r="H2877" s="4"/>
      <c r="I2877" s="4"/>
      <c r="K2877" s="4"/>
      <c r="N2877" s="4" t="s">
        <v>6214</v>
      </c>
      <c r="O2877" s="4">
        <v>132</v>
      </c>
    </row>
    <row r="2878" spans="1:15" ht="15.75" customHeight="1">
      <c r="A2878" s="4"/>
      <c r="B2878" s="4"/>
      <c r="C2878" s="4"/>
      <c r="D2878" s="4"/>
      <c r="E2878" s="4"/>
      <c r="G2878" s="4"/>
      <c r="H2878" s="4"/>
      <c r="I2878" s="4"/>
      <c r="K2878" s="4"/>
      <c r="N2878" s="4" t="s">
        <v>6218</v>
      </c>
      <c r="O2878" s="4">
        <v>176</v>
      </c>
    </row>
    <row r="2879" spans="1:15" ht="15.75" customHeight="1">
      <c r="A2879" s="4"/>
      <c r="B2879" s="4"/>
      <c r="C2879" s="4"/>
      <c r="D2879" s="4"/>
      <c r="E2879" s="4"/>
      <c r="G2879" s="4"/>
      <c r="H2879" s="4"/>
      <c r="I2879" s="4"/>
      <c r="K2879" s="4"/>
      <c r="N2879" s="4" t="s">
        <v>6222</v>
      </c>
      <c r="O2879" s="4">
        <v>119</v>
      </c>
    </row>
    <row r="2880" spans="1:15" ht="15.75" customHeight="1">
      <c r="A2880" s="4"/>
      <c r="B2880" s="4"/>
      <c r="C2880" s="4"/>
      <c r="D2880" s="4"/>
      <c r="E2880" s="4"/>
      <c r="G2880" s="4"/>
      <c r="H2880" s="4"/>
      <c r="I2880" s="4"/>
      <c r="K2880" s="4"/>
      <c r="N2880" s="4" t="s">
        <v>6226</v>
      </c>
      <c r="O2880" s="4">
        <v>167</v>
      </c>
    </row>
    <row r="2881" spans="1:15" ht="15.75" customHeight="1">
      <c r="A2881" s="4"/>
      <c r="B2881" s="4"/>
      <c r="C2881" s="4"/>
      <c r="D2881" s="4"/>
      <c r="E2881" s="4"/>
      <c r="G2881" s="4"/>
      <c r="H2881" s="4"/>
      <c r="I2881" s="4"/>
      <c r="K2881" s="4"/>
      <c r="N2881" s="4" t="s">
        <v>6230</v>
      </c>
      <c r="O2881" s="4">
        <v>61</v>
      </c>
    </row>
    <row r="2882" spans="1:15" ht="15.75" customHeight="1">
      <c r="A2882" s="4"/>
      <c r="B2882" s="4"/>
      <c r="C2882" s="4"/>
      <c r="D2882" s="4"/>
      <c r="E2882" s="4"/>
      <c r="G2882" s="4"/>
      <c r="H2882" s="4"/>
      <c r="I2882" s="4"/>
      <c r="K2882" s="4"/>
      <c r="N2882" s="4" t="s">
        <v>6234</v>
      </c>
      <c r="O2882" s="4">
        <v>146</v>
      </c>
    </row>
    <row r="2883" spans="1:15" ht="15.75" customHeight="1">
      <c r="A2883" s="4"/>
      <c r="B2883" s="4"/>
      <c r="C2883" s="4"/>
      <c r="D2883" s="4"/>
      <c r="E2883" s="4"/>
      <c r="G2883" s="4"/>
      <c r="H2883" s="4"/>
      <c r="I2883" s="4"/>
      <c r="K2883" s="4"/>
      <c r="N2883" s="4" t="s">
        <v>6238</v>
      </c>
      <c r="O2883" s="4">
        <v>441</v>
      </c>
    </row>
    <row r="2884" spans="1:15" ht="15.75" customHeight="1">
      <c r="A2884" s="4"/>
      <c r="B2884" s="4"/>
      <c r="C2884" s="4"/>
      <c r="D2884" s="4"/>
      <c r="E2884" s="4"/>
      <c r="G2884" s="4"/>
      <c r="H2884" s="4"/>
      <c r="K2884" s="4"/>
      <c r="N2884" s="4" t="s">
        <v>6242</v>
      </c>
      <c r="O2884" s="4">
        <v>218</v>
      </c>
    </row>
    <row r="2885" spans="1:15" ht="15.75" customHeight="1">
      <c r="A2885" s="4"/>
      <c r="B2885" s="4"/>
      <c r="C2885" s="4"/>
      <c r="D2885" s="4"/>
      <c r="E2885" s="4"/>
      <c r="G2885" s="4"/>
      <c r="H2885" s="4"/>
      <c r="I2885" s="4"/>
      <c r="K2885" s="4"/>
      <c r="N2885" s="4" t="s">
        <v>6245</v>
      </c>
      <c r="O2885" s="4">
        <v>72</v>
      </c>
    </row>
    <row r="2886" spans="1:15" ht="15.75" customHeight="1">
      <c r="A2886" s="4"/>
      <c r="B2886" s="4"/>
      <c r="C2886" s="4"/>
      <c r="D2886" s="4"/>
      <c r="E2886" s="4"/>
      <c r="G2886" s="4"/>
      <c r="H2886" s="4"/>
      <c r="I2886" s="4"/>
      <c r="K2886" s="4"/>
      <c r="N2886" s="4" t="s">
        <v>6249</v>
      </c>
      <c r="O2886" s="4">
        <v>38</v>
      </c>
    </row>
    <row r="2887" spans="1:15" ht="15.75" customHeight="1">
      <c r="A2887" s="4"/>
      <c r="B2887" s="4"/>
      <c r="C2887" s="4"/>
      <c r="D2887" s="4"/>
      <c r="E2887" s="4"/>
      <c r="G2887" s="4"/>
      <c r="H2887" s="4"/>
      <c r="I2887" s="4"/>
      <c r="K2887" s="4"/>
      <c r="N2887" s="4" t="s">
        <v>6253</v>
      </c>
      <c r="O2887" s="4">
        <v>121</v>
      </c>
    </row>
    <row r="2888" spans="1:15" ht="15.75" customHeight="1">
      <c r="A2888" s="4"/>
      <c r="B2888" s="4"/>
      <c r="C2888" s="4"/>
      <c r="D2888" s="4"/>
      <c r="E2888" s="4"/>
      <c r="G2888" s="4"/>
      <c r="H2888" s="4"/>
      <c r="I2888" s="4"/>
      <c r="K2888" s="4"/>
      <c r="N2888" s="4" t="s">
        <v>6257</v>
      </c>
      <c r="O2888" s="4">
        <v>129</v>
      </c>
    </row>
    <row r="2889" spans="1:15" ht="15.75" customHeight="1">
      <c r="A2889" s="4"/>
      <c r="B2889" s="4"/>
      <c r="C2889" s="4"/>
      <c r="D2889" s="4"/>
      <c r="E2889" s="4"/>
      <c r="G2889" s="4"/>
      <c r="H2889" s="4"/>
      <c r="K2889" s="4"/>
      <c r="N2889" s="4" t="s">
        <v>6261</v>
      </c>
      <c r="O2889" s="4">
        <v>312</v>
      </c>
    </row>
    <row r="2890" spans="1:15" ht="15.75" customHeight="1">
      <c r="A2890" s="4"/>
      <c r="B2890" s="4"/>
      <c r="C2890" s="4"/>
      <c r="D2890" s="4"/>
      <c r="E2890" s="4"/>
      <c r="G2890" s="4"/>
      <c r="H2890" s="4"/>
      <c r="I2890" s="4"/>
      <c r="K2890" s="4"/>
      <c r="N2890" s="4" t="s">
        <v>6264</v>
      </c>
      <c r="O2890" s="4">
        <v>127</v>
      </c>
    </row>
    <row r="2891" spans="1:15" ht="15.75" customHeight="1">
      <c r="A2891" s="4"/>
      <c r="B2891" s="4"/>
      <c r="C2891" s="4"/>
      <c r="D2891" s="4"/>
      <c r="E2891" s="4"/>
      <c r="G2891" s="4"/>
      <c r="H2891" s="4"/>
      <c r="K2891" s="4"/>
      <c r="N2891" s="4" t="s">
        <v>56</v>
      </c>
      <c r="O2891" s="4">
        <v>223</v>
      </c>
    </row>
    <row r="2892" spans="1:15" ht="15.75" customHeight="1">
      <c r="A2892" s="4"/>
      <c r="B2892" s="4"/>
      <c r="C2892" s="4"/>
      <c r="D2892" s="4"/>
      <c r="E2892" s="4"/>
      <c r="G2892" s="4"/>
      <c r="H2892" s="4"/>
      <c r="K2892" s="4"/>
      <c r="N2892" s="4" t="s">
        <v>6270</v>
      </c>
      <c r="O2892" s="4">
        <v>278</v>
      </c>
    </row>
    <row r="2893" spans="1:15" ht="15.75" customHeight="1">
      <c r="A2893" s="4"/>
      <c r="B2893" s="4"/>
      <c r="C2893" s="4"/>
      <c r="D2893" s="4"/>
      <c r="E2893" s="4"/>
      <c r="G2893" s="4"/>
      <c r="H2893" s="4"/>
      <c r="K2893" s="4"/>
      <c r="N2893" s="4" t="s">
        <v>6270</v>
      </c>
      <c r="O2893" s="4">
        <v>288</v>
      </c>
    </row>
    <row r="2894" spans="1:15" ht="15.75" customHeight="1">
      <c r="A2894" s="4"/>
      <c r="B2894" s="4"/>
      <c r="C2894" s="4"/>
      <c r="D2894" s="4"/>
      <c r="E2894" s="4"/>
      <c r="G2894" s="4"/>
      <c r="H2894" s="4"/>
      <c r="K2894" s="4"/>
      <c r="N2894" s="4" t="s">
        <v>4145</v>
      </c>
      <c r="O2894" s="4">
        <v>264</v>
      </c>
    </row>
    <row r="2895" spans="1:15" ht="15.75" customHeight="1">
      <c r="A2895" s="4"/>
      <c r="B2895" s="4"/>
      <c r="C2895" s="4"/>
      <c r="D2895" s="4"/>
      <c r="E2895" s="4"/>
      <c r="G2895" s="4"/>
      <c r="H2895" s="4"/>
      <c r="I2895" s="4"/>
      <c r="K2895" s="4"/>
      <c r="N2895" s="4" t="s">
        <v>6277</v>
      </c>
      <c r="O2895" s="4">
        <v>247</v>
      </c>
    </row>
    <row r="2896" spans="1:15" ht="15.75" customHeight="1">
      <c r="A2896" s="4"/>
      <c r="B2896" s="4"/>
      <c r="C2896" s="4"/>
      <c r="D2896" s="4"/>
      <c r="E2896" s="4"/>
      <c r="G2896" s="4"/>
      <c r="H2896" s="4"/>
      <c r="K2896" s="4"/>
      <c r="N2896" s="4" t="s">
        <v>743</v>
      </c>
      <c r="O2896" s="4">
        <v>253</v>
      </c>
    </row>
    <row r="2897" spans="1:15" ht="15.75" customHeight="1">
      <c r="A2897" s="4"/>
      <c r="B2897" s="4"/>
      <c r="C2897" s="4"/>
      <c r="D2897" s="4"/>
      <c r="E2897" s="4"/>
      <c r="G2897" s="4"/>
      <c r="H2897" s="4"/>
      <c r="K2897" s="4"/>
      <c r="N2897" s="4" t="s">
        <v>56</v>
      </c>
      <c r="O2897" s="4">
        <v>73</v>
      </c>
    </row>
    <row r="2898" spans="1:15" ht="15.75" customHeight="1">
      <c r="A2898" s="4"/>
      <c r="B2898" s="4"/>
      <c r="C2898" s="4"/>
      <c r="D2898" s="4"/>
      <c r="E2898" s="4"/>
      <c r="G2898" s="4"/>
      <c r="H2898" s="4"/>
      <c r="K2898" s="4"/>
      <c r="N2898" s="4" t="s">
        <v>73</v>
      </c>
      <c r="O2898" s="4">
        <v>236</v>
      </c>
    </row>
    <row r="2899" spans="1:15" ht="15.75" customHeight="1">
      <c r="A2899" s="4"/>
      <c r="B2899" s="4"/>
      <c r="C2899" s="4"/>
      <c r="D2899" s="4"/>
      <c r="E2899" s="4"/>
      <c r="G2899" s="4"/>
      <c r="H2899" s="4"/>
      <c r="K2899" s="4"/>
      <c r="N2899" s="4" t="s">
        <v>1312</v>
      </c>
      <c r="O2899" s="4">
        <v>352</v>
      </c>
    </row>
    <row r="2900" spans="1:15" ht="15.75" customHeight="1">
      <c r="A2900" s="4"/>
      <c r="B2900" s="4"/>
      <c r="C2900" s="4"/>
      <c r="D2900" s="4"/>
      <c r="E2900" s="4"/>
      <c r="G2900" s="4"/>
      <c r="H2900" s="4"/>
      <c r="K2900" s="4"/>
      <c r="N2900" s="4" t="s">
        <v>111</v>
      </c>
      <c r="O2900" s="4">
        <v>203</v>
      </c>
    </row>
    <row r="2901" spans="1:15" ht="15.75" customHeight="1">
      <c r="A2901" s="4"/>
      <c r="B2901" s="4"/>
      <c r="C2901" s="4"/>
      <c r="D2901" s="4"/>
      <c r="E2901" s="4"/>
      <c r="G2901" s="4"/>
      <c r="H2901" s="4"/>
      <c r="I2901" s="4"/>
      <c r="K2901" s="4"/>
      <c r="N2901" s="4" t="s">
        <v>6291</v>
      </c>
      <c r="O2901" s="4">
        <v>148</v>
      </c>
    </row>
    <row r="2902" spans="1:15" ht="15.75" customHeight="1">
      <c r="A2902" s="4"/>
      <c r="B2902" s="4"/>
      <c r="C2902" s="4"/>
      <c r="D2902" s="4"/>
      <c r="E2902" s="4"/>
      <c r="G2902" s="4"/>
      <c r="H2902" s="4"/>
      <c r="I2902" s="4"/>
      <c r="K2902" s="4"/>
      <c r="N2902" s="4" t="s">
        <v>6295</v>
      </c>
      <c r="O2902" s="4">
        <v>130</v>
      </c>
    </row>
    <row r="2903" spans="1:15" ht="15.75" customHeight="1">
      <c r="A2903" s="4"/>
      <c r="B2903" s="4"/>
      <c r="C2903" s="4"/>
      <c r="D2903" s="4"/>
      <c r="E2903" s="4"/>
      <c r="G2903" s="4"/>
      <c r="H2903" s="4"/>
      <c r="K2903" s="4"/>
      <c r="N2903" s="4" t="s">
        <v>56</v>
      </c>
      <c r="O2903" s="4">
        <v>107</v>
      </c>
    </row>
    <row r="2904" spans="1:15" ht="15.75" customHeight="1">
      <c r="A2904" s="4"/>
      <c r="B2904" s="4"/>
      <c r="C2904" s="4"/>
      <c r="D2904" s="4"/>
      <c r="E2904" s="4"/>
      <c r="G2904" s="4"/>
      <c r="H2904" s="4"/>
      <c r="K2904" s="4"/>
      <c r="N2904" s="4" t="s">
        <v>56</v>
      </c>
      <c r="O2904" s="4">
        <v>319</v>
      </c>
    </row>
    <row r="2905" spans="1:15" ht="15.75" customHeight="1">
      <c r="A2905" s="4"/>
      <c r="B2905" s="4"/>
      <c r="C2905" s="4"/>
      <c r="D2905" s="4"/>
      <c r="E2905" s="4"/>
      <c r="G2905" s="4"/>
      <c r="H2905" s="4"/>
      <c r="K2905" s="4"/>
      <c r="N2905" s="4" t="s">
        <v>622</v>
      </c>
      <c r="O2905" s="4">
        <v>175</v>
      </c>
    </row>
    <row r="2906" spans="1:15" ht="15.75" customHeight="1">
      <c r="B2906" s="4"/>
      <c r="C2906" s="4"/>
      <c r="D2906" s="4"/>
      <c r="E2906" s="4"/>
      <c r="G2906" s="4"/>
      <c r="H2906" s="4"/>
      <c r="K2906" s="4"/>
      <c r="N2906" s="4" t="s">
        <v>2499</v>
      </c>
      <c r="O2906" s="4">
        <v>316</v>
      </c>
    </row>
    <row r="2907" spans="1:15" ht="15.75" customHeight="1">
      <c r="A2907" s="4"/>
      <c r="B2907" s="4"/>
      <c r="C2907" s="4"/>
      <c r="D2907" s="4"/>
      <c r="E2907" s="4"/>
      <c r="G2907" s="4"/>
      <c r="H2907" s="4"/>
      <c r="K2907" s="4"/>
      <c r="N2907" s="4" t="s">
        <v>6307</v>
      </c>
      <c r="O2907" s="4">
        <v>256</v>
      </c>
    </row>
    <row r="2908" spans="1:15" ht="15.75" customHeight="1">
      <c r="A2908" s="4"/>
      <c r="B2908" s="4"/>
      <c r="C2908" s="4"/>
      <c r="D2908" s="4"/>
      <c r="E2908" s="4"/>
      <c r="G2908" s="4"/>
      <c r="H2908" s="4"/>
      <c r="K2908" s="4"/>
      <c r="N2908" s="4" t="s">
        <v>76</v>
      </c>
      <c r="O2908" s="4">
        <v>259</v>
      </c>
    </row>
    <row r="2909" spans="1:15" ht="15.75" customHeight="1">
      <c r="A2909" s="4"/>
      <c r="B2909" s="4"/>
      <c r="C2909" s="4"/>
      <c r="D2909" s="4"/>
      <c r="E2909" s="4"/>
      <c r="G2909" s="4"/>
      <c r="H2909" s="4"/>
      <c r="K2909" s="4"/>
      <c r="N2909" s="4" t="s">
        <v>5286</v>
      </c>
      <c r="O2909" s="4">
        <v>271</v>
      </c>
    </row>
    <row r="2910" spans="1:15" ht="15.75" customHeight="1">
      <c r="A2910" s="4"/>
      <c r="B2910" s="4"/>
      <c r="C2910" s="4"/>
      <c r="D2910" s="4"/>
      <c r="E2910" s="4"/>
      <c r="G2910" s="4"/>
      <c r="H2910" s="4"/>
      <c r="K2910" s="4"/>
      <c r="N2910" s="4" t="s">
        <v>73</v>
      </c>
      <c r="O2910" s="4">
        <v>233</v>
      </c>
    </row>
    <row r="2911" spans="1:15" ht="15.75" customHeight="1">
      <c r="A2911" s="4"/>
      <c r="B2911" s="4"/>
      <c r="C2911" s="4"/>
      <c r="D2911" s="4"/>
      <c r="E2911" s="4"/>
      <c r="G2911" s="4"/>
      <c r="H2911" s="4"/>
      <c r="K2911" s="4"/>
      <c r="N2911" s="4" t="s">
        <v>2529</v>
      </c>
      <c r="O2911" s="4">
        <v>410</v>
      </c>
    </row>
    <row r="2912" spans="1:15" ht="15.75" customHeight="1">
      <c r="A2912" s="4"/>
      <c r="B2912" s="4"/>
      <c r="C2912" s="4"/>
      <c r="D2912" s="4"/>
      <c r="E2912" s="4"/>
      <c r="G2912" s="4"/>
      <c r="H2912" s="4"/>
      <c r="K2912" s="4"/>
      <c r="N2912" s="4" t="s">
        <v>6318</v>
      </c>
      <c r="O2912" s="4">
        <v>510</v>
      </c>
    </row>
    <row r="2913" spans="1:15" ht="15.75" customHeight="1">
      <c r="A2913" s="4"/>
      <c r="B2913" s="4"/>
      <c r="C2913" s="4"/>
      <c r="D2913" s="4"/>
      <c r="E2913" s="4"/>
      <c r="G2913" s="4"/>
      <c r="H2913" s="4"/>
      <c r="K2913" s="4"/>
      <c r="N2913" s="4" t="s">
        <v>6321</v>
      </c>
      <c r="O2913" s="4">
        <v>324</v>
      </c>
    </row>
    <row r="2914" spans="1:15" ht="15.75" customHeight="1">
      <c r="A2914" s="4"/>
      <c r="B2914" s="4"/>
      <c r="C2914" s="4"/>
      <c r="D2914" s="4"/>
      <c r="E2914" s="4"/>
      <c r="G2914" s="4"/>
      <c r="H2914" s="4"/>
      <c r="I2914" s="4"/>
      <c r="K2914" s="4"/>
      <c r="N2914" s="4" t="s">
        <v>6324</v>
      </c>
      <c r="O2914" s="4">
        <v>267</v>
      </c>
    </row>
    <row r="2915" spans="1:15" ht="15.75" customHeight="1">
      <c r="A2915" s="4"/>
      <c r="B2915" s="4"/>
      <c r="C2915" s="4"/>
      <c r="D2915" s="4"/>
      <c r="E2915" s="4"/>
      <c r="G2915" s="4"/>
      <c r="H2915" s="4"/>
      <c r="I2915" s="4"/>
      <c r="K2915" s="4"/>
      <c r="N2915" s="4" t="s">
        <v>6324</v>
      </c>
      <c r="O2915" s="4">
        <v>260</v>
      </c>
    </row>
    <row r="2916" spans="1:15" ht="15.75" customHeight="1">
      <c r="A2916" s="4"/>
      <c r="B2916" s="4"/>
      <c r="C2916" s="4"/>
      <c r="D2916" s="4"/>
      <c r="E2916" s="4"/>
      <c r="G2916" s="4"/>
      <c r="H2916" s="4"/>
      <c r="I2916" s="4"/>
      <c r="K2916" s="4"/>
      <c r="N2916" s="4" t="s">
        <v>6330</v>
      </c>
      <c r="O2916" s="4">
        <v>257</v>
      </c>
    </row>
    <row r="2917" spans="1:15" ht="15.75" customHeight="1">
      <c r="A2917" s="4"/>
      <c r="B2917" s="4"/>
      <c r="C2917" s="4"/>
      <c r="D2917" s="4"/>
      <c r="E2917" s="4"/>
      <c r="G2917" s="4"/>
      <c r="H2917" s="4"/>
      <c r="K2917" s="4"/>
      <c r="N2917" s="4" t="s">
        <v>6334</v>
      </c>
      <c r="O2917" s="4">
        <v>315</v>
      </c>
    </row>
    <row r="2918" spans="1:15" ht="15.75" customHeight="1">
      <c r="A2918" s="4"/>
      <c r="B2918" s="4"/>
      <c r="C2918" s="4"/>
      <c r="D2918" s="4"/>
      <c r="E2918" s="4"/>
      <c r="G2918" s="4"/>
      <c r="H2918" s="4"/>
      <c r="K2918" s="4"/>
      <c r="N2918" s="4" t="s">
        <v>6337</v>
      </c>
      <c r="O2918" s="4">
        <v>86</v>
      </c>
    </row>
    <row r="2919" spans="1:15" ht="15.75" customHeight="1">
      <c r="A2919" s="4"/>
      <c r="B2919" s="4"/>
      <c r="C2919" s="4"/>
      <c r="D2919" s="4"/>
      <c r="E2919" s="4"/>
      <c r="G2919" s="4"/>
      <c r="H2919" s="4"/>
      <c r="K2919" s="4"/>
      <c r="N2919" s="4" t="s">
        <v>6340</v>
      </c>
      <c r="O2919" s="4">
        <v>136</v>
      </c>
    </row>
    <row r="2920" spans="1:15" ht="15.75" customHeight="1">
      <c r="A2920" s="4"/>
      <c r="B2920" s="4"/>
      <c r="C2920" s="4"/>
      <c r="D2920" s="4"/>
      <c r="E2920" s="4"/>
      <c r="G2920" s="4"/>
      <c r="H2920" s="4"/>
      <c r="K2920" s="4"/>
      <c r="N2920" s="4" t="s">
        <v>6340</v>
      </c>
      <c r="O2920" s="4">
        <v>118</v>
      </c>
    </row>
    <row r="2921" spans="1:15" ht="15.75" customHeight="1">
      <c r="A2921" s="4"/>
      <c r="B2921" s="4"/>
      <c r="C2921" s="4"/>
      <c r="D2921" s="4"/>
      <c r="E2921" s="4"/>
      <c r="G2921" s="4"/>
      <c r="H2921" s="4"/>
      <c r="K2921" s="4"/>
      <c r="N2921" s="4" t="s">
        <v>56</v>
      </c>
      <c r="O2921" s="4">
        <v>54</v>
      </c>
    </row>
    <row r="2922" spans="1:15" ht="15.75" customHeight="1">
      <c r="A2922" s="4"/>
      <c r="B2922" s="4"/>
      <c r="C2922" s="4"/>
      <c r="D2922" s="4"/>
      <c r="E2922" s="4"/>
      <c r="G2922" s="4"/>
      <c r="H2922" s="4"/>
      <c r="K2922" s="4"/>
      <c r="N2922" s="4" t="s">
        <v>56</v>
      </c>
      <c r="O2922" s="4">
        <v>172</v>
      </c>
    </row>
    <row r="2923" spans="1:15" ht="15.75" customHeight="1">
      <c r="A2923" s="4"/>
      <c r="B2923" s="4"/>
      <c r="C2923" s="4"/>
      <c r="D2923" s="4"/>
      <c r="E2923" s="4"/>
      <c r="G2923" s="4"/>
      <c r="H2923" s="4"/>
      <c r="K2923" s="4"/>
      <c r="N2923" s="4" t="s">
        <v>3156</v>
      </c>
      <c r="O2923" s="4">
        <v>290</v>
      </c>
    </row>
    <row r="2924" spans="1:15" ht="15.75" customHeight="1">
      <c r="A2924" s="4"/>
      <c r="B2924" s="4"/>
      <c r="C2924" s="4"/>
      <c r="D2924" s="4"/>
      <c r="E2924" s="4"/>
      <c r="G2924" s="4"/>
      <c r="H2924" s="4"/>
      <c r="K2924" s="4"/>
      <c r="N2924" s="4" t="s">
        <v>3156</v>
      </c>
      <c r="O2924" s="4">
        <v>253</v>
      </c>
    </row>
    <row r="2925" spans="1:15" ht="15.75" customHeight="1">
      <c r="B2925" s="4"/>
      <c r="C2925" s="4"/>
      <c r="D2925" s="4"/>
      <c r="E2925" s="4"/>
      <c r="G2925" s="4"/>
      <c r="H2925" s="4"/>
      <c r="K2925" s="4"/>
      <c r="N2925" s="4" t="s">
        <v>6353</v>
      </c>
      <c r="O2925" s="4">
        <v>861</v>
      </c>
    </row>
    <row r="2926" spans="1:15" ht="15.75" customHeight="1">
      <c r="A2926" s="4"/>
      <c r="B2926" s="4"/>
      <c r="C2926" s="4"/>
      <c r="D2926" s="4"/>
      <c r="E2926" s="4"/>
      <c r="G2926" s="4"/>
      <c r="H2926" s="4"/>
      <c r="K2926" s="4"/>
      <c r="N2926" s="4" t="s">
        <v>348</v>
      </c>
      <c r="O2926" s="4">
        <v>387</v>
      </c>
    </row>
    <row r="2927" spans="1:15" ht="15.75" customHeight="1">
      <c r="A2927" s="4"/>
      <c r="B2927" s="4"/>
      <c r="C2927" s="4"/>
      <c r="D2927" s="4"/>
      <c r="E2927" s="4"/>
      <c r="G2927" s="4"/>
      <c r="H2927" s="4"/>
      <c r="K2927" s="4"/>
      <c r="N2927" s="4" t="s">
        <v>56</v>
      </c>
      <c r="O2927" s="4">
        <v>226</v>
      </c>
    </row>
    <row r="2928" spans="1:15" ht="15.75" customHeight="1">
      <c r="A2928" s="4"/>
      <c r="B2928" s="4"/>
      <c r="C2928" s="4"/>
      <c r="D2928" s="4"/>
      <c r="E2928" s="4"/>
      <c r="G2928" s="4"/>
      <c r="H2928" s="4"/>
      <c r="K2928" s="4"/>
      <c r="N2928" s="4" t="s">
        <v>216</v>
      </c>
      <c r="O2928" s="4">
        <v>339</v>
      </c>
    </row>
    <row r="2929" spans="1:15" ht="15.75" customHeight="1">
      <c r="A2929" s="4"/>
      <c r="B2929" s="4"/>
      <c r="C2929" s="4"/>
      <c r="D2929" s="4"/>
      <c r="E2929" s="4"/>
      <c r="G2929" s="4"/>
      <c r="H2929" s="4"/>
      <c r="K2929" s="4"/>
      <c r="N2929" s="4" t="s">
        <v>56</v>
      </c>
      <c r="O2929" s="4">
        <v>49</v>
      </c>
    </row>
    <row r="2930" spans="1:15" ht="15.75" customHeight="1">
      <c r="A2930" s="4"/>
      <c r="B2930" s="4"/>
      <c r="C2930" s="4"/>
      <c r="D2930" s="4"/>
      <c r="E2930" s="4"/>
      <c r="G2930" s="4"/>
      <c r="H2930" s="4"/>
      <c r="K2930" s="4"/>
      <c r="N2930" s="4" t="s">
        <v>6364</v>
      </c>
      <c r="O2930" s="4">
        <v>300</v>
      </c>
    </row>
    <row r="2931" spans="1:15" ht="15.75" customHeight="1">
      <c r="A2931" s="4"/>
      <c r="B2931" s="4"/>
      <c r="C2931" s="4"/>
      <c r="D2931" s="4"/>
      <c r="E2931" s="4"/>
      <c r="G2931" s="4"/>
      <c r="H2931" s="4"/>
      <c r="K2931" s="4"/>
      <c r="N2931" s="4" t="s">
        <v>3740</v>
      </c>
      <c r="O2931" s="4">
        <v>598</v>
      </c>
    </row>
    <row r="2932" spans="1:15" ht="15.75" customHeight="1">
      <c r="A2932" s="4"/>
      <c r="B2932" s="4"/>
      <c r="C2932" s="4"/>
      <c r="D2932" s="4"/>
      <c r="E2932" s="4"/>
      <c r="G2932" s="4"/>
      <c r="H2932" s="4"/>
      <c r="K2932" s="4"/>
      <c r="N2932" s="4" t="s">
        <v>56</v>
      </c>
      <c r="O2932" s="4">
        <v>174</v>
      </c>
    </row>
    <row r="2933" spans="1:15" ht="15.75" customHeight="1">
      <c r="A2933" s="4"/>
      <c r="B2933" s="4"/>
      <c r="C2933" s="4"/>
      <c r="D2933" s="4"/>
      <c r="E2933" s="4"/>
      <c r="G2933" s="4"/>
      <c r="H2933" s="4"/>
      <c r="K2933" s="4"/>
    </row>
    <row r="2934" spans="1:15" ht="15.75" customHeight="1">
      <c r="A2934" s="4"/>
      <c r="B2934" s="4"/>
      <c r="C2934" s="4"/>
      <c r="D2934" s="4"/>
      <c r="E2934" s="4"/>
      <c r="G2934" s="4"/>
      <c r="H2934" s="4"/>
      <c r="K2934" s="4"/>
      <c r="N2934" s="4" t="s">
        <v>1108</v>
      </c>
      <c r="O2934" s="4">
        <v>213</v>
      </c>
    </row>
    <row r="2935" spans="1:15" ht="15.75" customHeight="1">
      <c r="A2935" s="4"/>
      <c r="B2935" s="4"/>
      <c r="C2935" s="4"/>
      <c r="D2935" s="4"/>
      <c r="E2935" s="4"/>
      <c r="G2935" s="4"/>
      <c r="H2935" s="4"/>
      <c r="K2935" s="4"/>
      <c r="N2935" s="4" t="s">
        <v>6364</v>
      </c>
      <c r="O2935" s="4">
        <v>305</v>
      </c>
    </row>
    <row r="2936" spans="1:15" ht="15.75" customHeight="1">
      <c r="A2936" s="4"/>
      <c r="B2936" s="4"/>
      <c r="C2936" s="4"/>
      <c r="D2936" s="4"/>
      <c r="E2936" s="4"/>
      <c r="G2936" s="4"/>
      <c r="H2936" s="4"/>
      <c r="K2936" s="4"/>
      <c r="N2936" s="4" t="s">
        <v>2873</v>
      </c>
      <c r="O2936" s="4">
        <v>39</v>
      </c>
    </row>
    <row r="2937" spans="1:15" ht="15.75" customHeight="1">
      <c r="A2937" s="4"/>
      <c r="B2937" s="4"/>
      <c r="C2937" s="4"/>
      <c r="D2937" s="4"/>
      <c r="E2937" s="4"/>
      <c r="G2937" s="4"/>
      <c r="H2937" s="4"/>
      <c r="I2937" s="4"/>
      <c r="K2937" s="4"/>
      <c r="N2937" s="4" t="s">
        <v>6378</v>
      </c>
      <c r="O2937" s="4">
        <v>89</v>
      </c>
    </row>
    <row r="2938" spans="1:15" ht="15.75" customHeight="1">
      <c r="A2938" s="4"/>
      <c r="B2938" s="4"/>
      <c r="C2938" s="4"/>
      <c r="D2938" s="4"/>
      <c r="E2938" s="4"/>
      <c r="G2938" s="4"/>
      <c r="H2938" s="4"/>
      <c r="I2938" s="4"/>
      <c r="K2938" s="4"/>
      <c r="N2938" s="4" t="s">
        <v>6382</v>
      </c>
      <c r="O2938" s="4">
        <v>488</v>
      </c>
    </row>
    <row r="2939" spans="1:15" ht="15.75" customHeight="1">
      <c r="B2939" s="4"/>
      <c r="C2939" s="4"/>
      <c r="D2939" s="4"/>
      <c r="E2939" s="4"/>
      <c r="G2939" s="4"/>
      <c r="H2939" s="4"/>
      <c r="K2939" s="4"/>
      <c r="N2939" s="4" t="s">
        <v>4509</v>
      </c>
      <c r="O2939" s="4">
        <v>247</v>
      </c>
    </row>
    <row r="2940" spans="1:15" ht="15.75" customHeight="1">
      <c r="B2940" s="4"/>
      <c r="C2940" s="4"/>
      <c r="D2940" s="4"/>
      <c r="E2940" s="4"/>
      <c r="G2940" s="4"/>
      <c r="H2940" s="4"/>
      <c r="K2940" s="4"/>
      <c r="N2940" s="4" t="s">
        <v>4506</v>
      </c>
      <c r="O2940" s="4">
        <v>298</v>
      </c>
    </row>
    <row r="2941" spans="1:15" ht="15.75" customHeight="1">
      <c r="B2941" s="4"/>
      <c r="C2941" s="4"/>
      <c r="D2941" s="4"/>
      <c r="E2941" s="4"/>
      <c r="G2941" s="4"/>
      <c r="H2941" s="4"/>
      <c r="K2941" s="4"/>
      <c r="N2941" s="4" t="s">
        <v>6390</v>
      </c>
      <c r="O2941" s="4">
        <v>313</v>
      </c>
    </row>
    <row r="2942" spans="1:15" ht="15.75" customHeight="1">
      <c r="B2942" s="4"/>
      <c r="C2942" s="4"/>
      <c r="D2942" s="4"/>
      <c r="E2942" s="4"/>
      <c r="G2942" s="4"/>
      <c r="H2942" s="4"/>
      <c r="K2942" s="4"/>
      <c r="N2942" s="4" t="s">
        <v>478</v>
      </c>
      <c r="O2942" s="4">
        <v>110</v>
      </c>
    </row>
    <row r="2943" spans="1:15" ht="15.75" customHeight="1">
      <c r="B2943" s="4"/>
      <c r="C2943" s="4"/>
      <c r="D2943" s="4"/>
      <c r="E2943" s="4"/>
      <c r="G2943" s="4"/>
      <c r="H2943" s="4"/>
      <c r="K2943" s="4"/>
      <c r="N2943" s="4" t="s">
        <v>6395</v>
      </c>
      <c r="O2943" s="4">
        <v>212</v>
      </c>
    </row>
    <row r="2944" spans="1:15" ht="15.75" customHeight="1">
      <c r="B2944" s="4"/>
      <c r="C2944" s="4"/>
      <c r="D2944" s="4"/>
      <c r="E2944" s="4"/>
      <c r="G2944" s="4"/>
      <c r="H2944" s="4"/>
      <c r="K2944" s="4"/>
      <c r="N2944" s="4" t="s">
        <v>56</v>
      </c>
      <c r="O2944" s="4">
        <v>63</v>
      </c>
    </row>
    <row r="2945" spans="1:15" ht="15.75" customHeight="1">
      <c r="B2945" s="4"/>
      <c r="C2945" s="4"/>
      <c r="D2945" s="4"/>
      <c r="E2945" s="4"/>
      <c r="G2945" s="4"/>
      <c r="H2945" s="4"/>
      <c r="K2945" s="4"/>
      <c r="N2945" s="4" t="s">
        <v>6400</v>
      </c>
      <c r="O2945" s="4">
        <v>509</v>
      </c>
    </row>
    <row r="2946" spans="1:15" ht="15.75" customHeight="1">
      <c r="B2946" s="4"/>
      <c r="C2946" s="4"/>
      <c r="D2946" s="4"/>
      <c r="E2946" s="4"/>
      <c r="G2946" s="4"/>
      <c r="H2946" s="4"/>
      <c r="K2946" s="4"/>
    </row>
    <row r="2947" spans="1:15" ht="15.75" customHeight="1">
      <c r="B2947" s="4"/>
      <c r="C2947" s="4"/>
      <c r="D2947" s="4"/>
      <c r="E2947" s="4"/>
      <c r="G2947" s="4"/>
      <c r="H2947" s="4"/>
      <c r="K2947" s="4"/>
      <c r="N2947" s="4" t="s">
        <v>56</v>
      </c>
      <c r="O2947" s="4">
        <v>121</v>
      </c>
    </row>
    <row r="2948" spans="1:15" ht="15.75" customHeight="1">
      <c r="B2948" s="4"/>
      <c r="C2948" s="4"/>
      <c r="D2948" s="4"/>
      <c r="E2948" s="4"/>
      <c r="G2948" s="4"/>
      <c r="H2948" s="4"/>
      <c r="K2948" s="4"/>
      <c r="N2948" s="4" t="s">
        <v>6406</v>
      </c>
      <c r="O2948" s="4">
        <v>905</v>
      </c>
    </row>
    <row r="2949" spans="1:15" ht="15.75" customHeight="1">
      <c r="B2949" s="4"/>
      <c r="C2949" s="4"/>
      <c r="D2949" s="4"/>
      <c r="E2949" s="4"/>
      <c r="G2949" s="4"/>
      <c r="H2949" s="4"/>
      <c r="K2949" s="4"/>
      <c r="N2949" s="4" t="s">
        <v>2767</v>
      </c>
      <c r="O2949" s="4">
        <v>535</v>
      </c>
    </row>
    <row r="2950" spans="1:15" ht="15.75" customHeight="1">
      <c r="B2950" s="4"/>
      <c r="C2950" s="4"/>
      <c r="D2950" s="4"/>
      <c r="E2950" s="4"/>
      <c r="G2950" s="4"/>
      <c r="H2950" s="4"/>
      <c r="K2950" s="4"/>
      <c r="N2950" s="4" t="s">
        <v>56</v>
      </c>
      <c r="O2950" s="4">
        <v>252</v>
      </c>
    </row>
    <row r="2951" spans="1:15" ht="15.75" customHeight="1">
      <c r="A2951" s="4"/>
      <c r="B2951" s="4"/>
      <c r="C2951" s="4"/>
      <c r="D2951" s="4"/>
      <c r="E2951" s="4"/>
      <c r="G2951" s="4"/>
      <c r="H2951" s="4"/>
      <c r="K2951" s="4"/>
      <c r="N2951" s="4" t="s">
        <v>6413</v>
      </c>
      <c r="O2951" s="4">
        <v>458</v>
      </c>
    </row>
    <row r="2952" spans="1:15" ht="15.75" customHeight="1">
      <c r="A2952" s="4"/>
      <c r="B2952" s="4"/>
      <c r="C2952" s="4"/>
      <c r="D2952" s="4"/>
      <c r="E2952" s="4"/>
      <c r="G2952" s="4"/>
      <c r="H2952" s="4"/>
      <c r="K2952" s="4"/>
      <c r="N2952" s="4" t="s">
        <v>6416</v>
      </c>
      <c r="O2952" s="4">
        <v>387</v>
      </c>
    </row>
    <row r="2953" spans="1:15" ht="15.75" customHeight="1">
      <c r="A2953" s="4"/>
      <c r="B2953" s="4"/>
      <c r="C2953" s="4"/>
      <c r="D2953" s="4"/>
      <c r="E2953" s="4"/>
      <c r="G2953" s="4"/>
      <c r="H2953" s="4"/>
      <c r="K2953" s="4"/>
      <c r="N2953" s="4" t="s">
        <v>1108</v>
      </c>
      <c r="O2953" s="4">
        <v>244</v>
      </c>
    </row>
    <row r="2954" spans="1:15" ht="15.75" customHeight="1">
      <c r="A2954" s="4"/>
      <c r="B2954" s="4"/>
      <c r="C2954" s="4"/>
      <c r="D2954" s="4"/>
      <c r="E2954" s="4"/>
      <c r="G2954" s="4"/>
      <c r="H2954" s="4"/>
      <c r="K2954" s="4"/>
      <c r="N2954" s="4" t="s">
        <v>5859</v>
      </c>
      <c r="O2954" s="4">
        <v>317</v>
      </c>
    </row>
    <row r="2955" spans="1:15" ht="15.75" customHeight="1">
      <c r="A2955" s="4"/>
      <c r="B2955" s="4"/>
      <c r="C2955" s="4"/>
      <c r="D2955" s="4"/>
      <c r="E2955" s="4"/>
      <c r="G2955" s="4"/>
      <c r="H2955" s="4"/>
      <c r="K2955" s="4"/>
      <c r="N2955" s="4" t="s">
        <v>6423</v>
      </c>
      <c r="O2955" s="4">
        <v>77</v>
      </c>
    </row>
    <row r="2956" spans="1:15" ht="15.75" customHeight="1">
      <c r="A2956" s="4"/>
      <c r="B2956" s="4"/>
      <c r="C2956" s="4"/>
      <c r="D2956" s="4"/>
      <c r="E2956" s="4"/>
      <c r="G2956" s="4"/>
      <c r="H2956" s="4"/>
      <c r="K2956" s="4"/>
      <c r="N2956" s="4" t="s">
        <v>56</v>
      </c>
      <c r="O2956" s="4">
        <v>71</v>
      </c>
    </row>
    <row r="2957" spans="1:15" ht="15.75" customHeight="1">
      <c r="A2957" s="4"/>
      <c r="B2957" s="4"/>
      <c r="C2957" s="4"/>
      <c r="D2957" s="4"/>
      <c r="E2957" s="4"/>
      <c r="G2957" s="4"/>
      <c r="H2957" s="4"/>
      <c r="K2957" s="4"/>
      <c r="N2957" s="4" t="s">
        <v>56</v>
      </c>
      <c r="O2957" s="4">
        <v>102</v>
      </c>
    </row>
    <row r="2958" spans="1:15" ht="15.75" customHeight="1">
      <c r="A2958" s="4"/>
      <c r="B2958" s="4"/>
      <c r="C2958" s="4"/>
      <c r="D2958" s="4"/>
      <c r="E2958" s="4"/>
      <c r="G2958" s="4"/>
      <c r="H2958" s="4"/>
      <c r="K2958" s="4"/>
      <c r="N2958" s="4" t="s">
        <v>5238</v>
      </c>
      <c r="O2958" s="4">
        <v>198</v>
      </c>
    </row>
    <row r="2959" spans="1:15" ht="15.75" customHeight="1">
      <c r="A2959" s="4"/>
      <c r="B2959" s="4"/>
      <c r="C2959" s="4"/>
      <c r="D2959" s="4"/>
      <c r="E2959" s="4"/>
      <c r="G2959" s="4"/>
      <c r="H2959" s="4"/>
      <c r="K2959" s="4"/>
      <c r="N2959" s="4" t="s">
        <v>3757</v>
      </c>
      <c r="O2959" s="4">
        <v>111</v>
      </c>
    </row>
    <row r="2960" spans="1:15" ht="15.75" customHeight="1">
      <c r="A2960" s="4"/>
      <c r="B2960" s="4"/>
      <c r="C2960" s="4"/>
      <c r="D2960" s="4"/>
      <c r="E2960" s="4"/>
      <c r="G2960" s="4"/>
      <c r="H2960" s="4"/>
      <c r="K2960" s="4"/>
      <c r="N2960" s="4" t="s">
        <v>56</v>
      </c>
      <c r="O2960" s="4">
        <v>63</v>
      </c>
    </row>
    <row r="2961" spans="1:15" ht="15.75" customHeight="1">
      <c r="A2961" s="4"/>
      <c r="B2961" s="4"/>
      <c r="C2961" s="4"/>
      <c r="D2961" s="4"/>
      <c r="E2961" s="4"/>
      <c r="G2961" s="4"/>
      <c r="H2961" s="4"/>
      <c r="K2961" s="4"/>
      <c r="N2961" s="4" t="s">
        <v>674</v>
      </c>
      <c r="O2961" s="4">
        <v>306</v>
      </c>
    </row>
    <row r="2962" spans="1:15" ht="15.75" customHeight="1">
      <c r="A2962" s="4"/>
      <c r="B2962" s="4"/>
      <c r="C2962" s="4"/>
      <c r="D2962" s="4"/>
      <c r="E2962" s="4"/>
      <c r="G2962" s="4"/>
      <c r="H2962" s="4"/>
      <c r="K2962" s="4"/>
      <c r="N2962" s="4" t="s">
        <v>56</v>
      </c>
      <c r="O2962" s="4">
        <v>110</v>
      </c>
    </row>
    <row r="2963" spans="1:15" ht="15.75" customHeight="1">
      <c r="A2963" s="4"/>
      <c r="B2963" s="4"/>
      <c r="C2963" s="4"/>
      <c r="D2963" s="4"/>
      <c r="E2963" s="4"/>
      <c r="G2963" s="4"/>
      <c r="H2963" s="4"/>
      <c r="K2963" s="4"/>
      <c r="N2963" s="4" t="s">
        <v>56</v>
      </c>
      <c r="O2963" s="4">
        <v>52</v>
      </c>
    </row>
    <row r="2964" spans="1:15" ht="15.75" customHeight="1">
      <c r="A2964" s="4"/>
      <c r="B2964" s="4"/>
      <c r="C2964" s="4"/>
      <c r="D2964" s="4"/>
      <c r="E2964" s="4"/>
      <c r="G2964" s="4"/>
      <c r="H2964" s="4"/>
      <c r="K2964" s="4"/>
    </row>
    <row r="2965" spans="1:15" ht="15.75" customHeight="1">
      <c r="A2965" s="4"/>
      <c r="B2965" s="4"/>
      <c r="C2965" s="4"/>
      <c r="D2965" s="4"/>
      <c r="E2965" s="4"/>
      <c r="G2965" s="4"/>
      <c r="H2965" s="4"/>
      <c r="K2965" s="4"/>
      <c r="N2965" s="4" t="s">
        <v>779</v>
      </c>
      <c r="O2965" s="4">
        <v>471</v>
      </c>
    </row>
    <row r="2966" spans="1:15" ht="15.75" customHeight="1">
      <c r="A2966" s="4"/>
      <c r="B2966" s="4"/>
      <c r="C2966" s="4"/>
      <c r="D2966" s="4"/>
      <c r="E2966" s="4"/>
      <c r="G2966" s="4"/>
      <c r="H2966" s="4"/>
      <c r="K2966" s="4"/>
      <c r="N2966" s="4" t="s">
        <v>348</v>
      </c>
      <c r="O2966" s="4">
        <v>83</v>
      </c>
    </row>
    <row r="2967" spans="1:15" ht="15.75" customHeight="1">
      <c r="A2967" s="4"/>
      <c r="B2967" s="4"/>
      <c r="C2967" s="4"/>
      <c r="D2967" s="4"/>
      <c r="E2967" s="4"/>
      <c r="G2967" s="4"/>
      <c r="H2967" s="4"/>
      <c r="K2967" s="4"/>
      <c r="N2967" s="4" t="s">
        <v>348</v>
      </c>
      <c r="O2967" s="4">
        <v>280</v>
      </c>
    </row>
    <row r="2968" spans="1:15" ht="15.75" customHeight="1">
      <c r="A2968" s="4"/>
      <c r="B2968" s="4"/>
      <c r="C2968" s="4"/>
      <c r="D2968" s="4"/>
      <c r="E2968" s="4"/>
      <c r="G2968" s="4"/>
      <c r="H2968" s="4"/>
      <c r="K2968" s="4"/>
      <c r="N2968" s="4" t="s">
        <v>6447</v>
      </c>
      <c r="O2968" s="4">
        <v>155</v>
      </c>
    </row>
    <row r="2969" spans="1:15" ht="15.75" customHeight="1">
      <c r="A2969" s="4"/>
      <c r="B2969" s="4"/>
      <c r="C2969" s="4"/>
      <c r="D2969" s="4"/>
      <c r="E2969" s="4"/>
      <c r="G2969" s="4"/>
      <c r="H2969" s="4"/>
      <c r="K2969" s="4"/>
      <c r="N2969" s="4" t="s">
        <v>73</v>
      </c>
      <c r="O2969" s="4">
        <v>247</v>
      </c>
    </row>
    <row r="2970" spans="1:15" ht="15.75" customHeight="1">
      <c r="A2970" s="4"/>
      <c r="B2970" s="4"/>
      <c r="C2970" s="4"/>
      <c r="D2970" s="4"/>
      <c r="E2970" s="4"/>
      <c r="G2970" s="4"/>
      <c r="H2970" s="4"/>
      <c r="K2970" s="4"/>
      <c r="N2970" s="4" t="s">
        <v>76</v>
      </c>
      <c r="O2970" s="4">
        <v>415</v>
      </c>
    </row>
    <row r="2971" spans="1:15" ht="15.75" customHeight="1">
      <c r="A2971" s="4"/>
      <c r="B2971" s="4"/>
      <c r="C2971" s="4"/>
      <c r="D2971" s="4"/>
      <c r="E2971" s="4"/>
      <c r="G2971" s="4"/>
      <c r="H2971" s="4"/>
      <c r="K2971" s="4"/>
      <c r="N2971" s="4" t="s">
        <v>111</v>
      </c>
      <c r="O2971" s="4">
        <v>223</v>
      </c>
    </row>
    <row r="2972" spans="1:15" ht="15.75" customHeight="1">
      <c r="A2972" s="4"/>
      <c r="B2972" s="4"/>
      <c r="C2972" s="4"/>
      <c r="D2972" s="4"/>
      <c r="E2972" s="4"/>
      <c r="G2972" s="4"/>
      <c r="H2972" s="4"/>
      <c r="K2972" s="4"/>
    </row>
    <row r="2973" spans="1:15" ht="15.75" customHeight="1">
      <c r="A2973" s="4"/>
      <c r="B2973" s="4"/>
      <c r="C2973" s="4"/>
      <c r="D2973" s="4"/>
      <c r="E2973" s="4"/>
      <c r="G2973" s="4"/>
      <c r="H2973" s="4"/>
      <c r="K2973" s="4"/>
    </row>
    <row r="2974" spans="1:15" ht="15.75" customHeight="1">
      <c r="A2974" s="4"/>
      <c r="B2974" s="4"/>
      <c r="C2974" s="4"/>
      <c r="D2974" s="4"/>
      <c r="E2974" s="4"/>
      <c r="G2974" s="4"/>
      <c r="H2974" s="4"/>
      <c r="K2974" s="4"/>
      <c r="N2974" s="4" t="s">
        <v>674</v>
      </c>
      <c r="O2974" s="4">
        <v>338</v>
      </c>
    </row>
    <row r="2975" spans="1:15" ht="15.75" customHeight="1">
      <c r="A2975" s="4"/>
      <c r="B2975" s="4"/>
      <c r="C2975" s="4"/>
      <c r="D2975" s="4"/>
      <c r="E2975" s="4"/>
      <c r="G2975" s="4"/>
      <c r="H2975" s="4"/>
      <c r="K2975" s="4"/>
      <c r="N2975" s="4" t="s">
        <v>6460</v>
      </c>
      <c r="O2975" s="4">
        <v>182</v>
      </c>
    </row>
    <row r="2976" spans="1:15" ht="15.75" customHeight="1">
      <c r="A2976" s="4"/>
      <c r="B2976" s="4"/>
      <c r="C2976" s="4"/>
      <c r="D2976" s="4"/>
      <c r="E2976" s="4"/>
      <c r="G2976" s="4"/>
      <c r="H2976" s="4"/>
      <c r="K2976" s="4"/>
      <c r="N2976" s="4" t="s">
        <v>4956</v>
      </c>
      <c r="O2976" s="4">
        <v>73</v>
      </c>
    </row>
    <row r="2977" spans="1:15" ht="15.75" customHeight="1">
      <c r="A2977" s="4"/>
      <c r="B2977" s="4"/>
      <c r="C2977" s="4"/>
      <c r="D2977" s="4"/>
      <c r="E2977" s="4"/>
      <c r="G2977" s="4"/>
      <c r="H2977" s="4"/>
      <c r="K2977" s="4"/>
      <c r="N2977" s="4" t="s">
        <v>2300</v>
      </c>
      <c r="O2977" s="4">
        <v>632</v>
      </c>
    </row>
    <row r="2978" spans="1:15" ht="15.75" customHeight="1">
      <c r="A2978" s="4"/>
      <c r="B2978" s="4"/>
      <c r="C2978" s="4"/>
      <c r="D2978" s="4"/>
      <c r="E2978" s="4"/>
      <c r="G2978" s="4"/>
      <c r="H2978" s="4"/>
      <c r="K2978" s="4"/>
    </row>
    <row r="2979" spans="1:15" ht="15.75" customHeight="1">
      <c r="A2979" s="4"/>
      <c r="B2979" s="4"/>
      <c r="C2979" s="4"/>
      <c r="D2979" s="4"/>
      <c r="E2979" s="4"/>
      <c r="G2979" s="4"/>
      <c r="H2979" s="4"/>
      <c r="K2979" s="4"/>
      <c r="N2979" s="4" t="s">
        <v>717</v>
      </c>
      <c r="O2979" s="4">
        <v>251</v>
      </c>
    </row>
    <row r="2980" spans="1:15" ht="15.75" customHeight="1">
      <c r="A2980" s="4"/>
      <c r="B2980" s="4"/>
      <c r="C2980" s="4"/>
      <c r="D2980" s="4"/>
      <c r="E2980" s="4"/>
      <c r="G2980" s="4"/>
      <c r="H2980" s="4"/>
      <c r="K2980" s="4"/>
      <c r="N2980" s="4" t="s">
        <v>674</v>
      </c>
      <c r="O2980" s="4">
        <v>306</v>
      </c>
    </row>
    <row r="2981" spans="1:15" ht="15.75" customHeight="1">
      <c r="A2981" s="4"/>
      <c r="B2981" s="4"/>
      <c r="C2981" s="4"/>
      <c r="D2981" s="4"/>
      <c r="E2981" s="4"/>
      <c r="G2981" s="4"/>
      <c r="H2981" s="4"/>
      <c r="K2981" s="4"/>
      <c r="N2981" s="4" t="s">
        <v>2303</v>
      </c>
      <c r="O2981" s="4">
        <v>143</v>
      </c>
    </row>
    <row r="2982" spans="1:15" ht="15.75" customHeight="1">
      <c r="A2982" s="4"/>
      <c r="B2982" s="4"/>
      <c r="C2982" s="4"/>
      <c r="D2982" s="4"/>
      <c r="E2982" s="4"/>
      <c r="G2982" s="4"/>
      <c r="H2982" s="4"/>
      <c r="K2982" s="4"/>
      <c r="N2982" s="4" t="s">
        <v>6473</v>
      </c>
      <c r="O2982" s="4">
        <v>762</v>
      </c>
    </row>
    <row r="2983" spans="1:15" ht="15.75" customHeight="1">
      <c r="A2983" s="4"/>
      <c r="B2983" s="4"/>
      <c r="C2983" s="4"/>
      <c r="D2983" s="4"/>
      <c r="E2983" s="4"/>
      <c r="G2983" s="4"/>
      <c r="H2983" s="4"/>
      <c r="K2983" s="4"/>
    </row>
    <row r="2984" spans="1:15" ht="15.75" customHeight="1">
      <c r="A2984" s="4"/>
      <c r="B2984" s="4"/>
      <c r="C2984" s="4"/>
      <c r="D2984" s="4"/>
      <c r="E2984" s="4"/>
      <c r="G2984" s="4"/>
      <c r="H2984" s="4"/>
      <c r="K2984" s="4"/>
    </row>
    <row r="2985" spans="1:15" ht="15.75" customHeight="1">
      <c r="A2985" s="4"/>
      <c r="B2985" s="4"/>
      <c r="C2985" s="4"/>
      <c r="D2985" s="4"/>
      <c r="E2985" s="4"/>
      <c r="G2985" s="4"/>
      <c r="H2985" s="4"/>
      <c r="K2985" s="4"/>
      <c r="N2985" s="4" t="s">
        <v>351</v>
      </c>
      <c r="O2985" s="4">
        <v>108</v>
      </c>
    </row>
    <row r="2986" spans="1:15" ht="15.75" customHeight="1">
      <c r="A2986" s="4"/>
      <c r="B2986" s="4"/>
      <c r="C2986" s="4"/>
      <c r="D2986" s="4"/>
      <c r="E2986" s="4"/>
      <c r="G2986" s="4"/>
      <c r="H2986" s="4"/>
      <c r="K2986" s="4"/>
      <c r="N2986" s="4" t="s">
        <v>5834</v>
      </c>
      <c r="O2986" s="4">
        <v>510</v>
      </c>
    </row>
    <row r="2987" spans="1:15" ht="15.75" customHeight="1">
      <c r="A2987" s="4"/>
      <c r="B2987" s="4"/>
      <c r="C2987" s="4"/>
      <c r="D2987" s="4"/>
      <c r="E2987" s="4"/>
      <c r="G2987" s="4"/>
      <c r="H2987" s="4"/>
      <c r="K2987" s="4"/>
      <c r="N2987" s="4" t="s">
        <v>73</v>
      </c>
      <c r="O2987" s="4">
        <v>312</v>
      </c>
    </row>
    <row r="2988" spans="1:15" ht="15.75" customHeight="1">
      <c r="A2988" s="4"/>
      <c r="B2988" s="4"/>
      <c r="C2988" s="4"/>
      <c r="D2988" s="4"/>
      <c r="E2988" s="4"/>
      <c r="G2988" s="4"/>
      <c r="H2988" s="4"/>
      <c r="K2988" s="4"/>
      <c r="N2988" s="4" t="s">
        <v>76</v>
      </c>
      <c r="O2988" s="4">
        <v>353</v>
      </c>
    </row>
    <row r="2989" spans="1:15" ht="15.75" customHeight="1">
      <c r="A2989" s="4"/>
      <c r="B2989" s="4"/>
      <c r="C2989" s="4"/>
      <c r="D2989" s="4"/>
      <c r="E2989" s="4"/>
      <c r="G2989" s="4"/>
      <c r="H2989" s="4"/>
      <c r="K2989" s="4"/>
      <c r="N2989" s="4" t="s">
        <v>73</v>
      </c>
      <c r="O2989" s="4">
        <v>223</v>
      </c>
    </row>
    <row r="2990" spans="1:15" ht="15.75" customHeight="1">
      <c r="A2990" s="4"/>
      <c r="B2990" s="4"/>
      <c r="C2990" s="4"/>
      <c r="D2990" s="4"/>
      <c r="E2990" s="4"/>
      <c r="G2990" s="4"/>
      <c r="H2990" s="4"/>
      <c r="K2990" s="4"/>
      <c r="N2990" s="4" t="s">
        <v>5407</v>
      </c>
      <c r="O2990" s="4">
        <v>227</v>
      </c>
    </row>
    <row r="2991" spans="1:15" ht="15.75" customHeight="1">
      <c r="A2991" s="4"/>
      <c r="B2991" s="4"/>
      <c r="C2991" s="4"/>
      <c r="D2991" s="4"/>
      <c r="E2991" s="4"/>
      <c r="G2991" s="4"/>
      <c r="H2991" s="4"/>
      <c r="K2991" s="4"/>
      <c r="N2991" s="4" t="s">
        <v>56</v>
      </c>
      <c r="O2991" s="4">
        <v>142</v>
      </c>
    </row>
    <row r="2992" spans="1:15" ht="15.75" customHeight="1">
      <c r="A2992" s="4"/>
      <c r="B2992" s="4"/>
      <c r="C2992" s="4"/>
      <c r="D2992" s="4"/>
      <c r="E2992" s="4"/>
      <c r="G2992" s="4"/>
      <c r="H2992" s="4"/>
      <c r="K2992" s="4"/>
    </row>
    <row r="2993" spans="1:15" ht="15.75" customHeight="1">
      <c r="A2993" s="4"/>
      <c r="B2993" s="4"/>
      <c r="C2993" s="4"/>
      <c r="D2993" s="4"/>
      <c r="E2993" s="4"/>
      <c r="G2993" s="4"/>
      <c r="H2993" s="4"/>
      <c r="K2993" s="4"/>
      <c r="N2993" s="4" t="s">
        <v>779</v>
      </c>
      <c r="O2993" s="4">
        <v>471</v>
      </c>
    </row>
    <row r="2994" spans="1:15" ht="15.75" customHeight="1">
      <c r="A2994" s="4"/>
      <c r="B2994" s="4"/>
      <c r="C2994" s="4"/>
      <c r="D2994" s="4"/>
      <c r="E2994" s="4"/>
      <c r="G2994" s="4"/>
      <c r="H2994" s="4"/>
      <c r="I2994" s="4"/>
      <c r="K2994" s="4"/>
      <c r="N2994" s="4" t="s">
        <v>1464</v>
      </c>
      <c r="O2994" s="4">
        <v>723</v>
      </c>
    </row>
    <row r="2995" spans="1:15" ht="15.75" customHeight="1">
      <c r="A2995" s="4"/>
      <c r="B2995" s="4"/>
      <c r="C2995" s="4"/>
      <c r="D2995" s="4"/>
      <c r="E2995" s="4"/>
      <c r="G2995" s="4"/>
      <c r="H2995" s="4"/>
      <c r="I2995" s="4"/>
      <c r="K2995" s="4"/>
      <c r="N2995" s="4" t="s">
        <v>1468</v>
      </c>
      <c r="O2995" s="4">
        <v>329</v>
      </c>
    </row>
    <row r="2996" spans="1:15" ht="15.75" customHeight="1">
      <c r="A2996" s="4"/>
      <c r="B2996" s="4"/>
      <c r="C2996" s="4"/>
      <c r="D2996" s="4"/>
      <c r="E2996" s="4"/>
      <c r="G2996" s="4"/>
      <c r="H2996" s="4"/>
      <c r="K2996" s="4"/>
      <c r="N2996" s="4" t="s">
        <v>6498</v>
      </c>
      <c r="O2996" s="4">
        <v>161</v>
      </c>
    </row>
    <row r="2997" spans="1:15" ht="15.75" customHeight="1">
      <c r="A2997" s="4"/>
      <c r="B2997" s="4"/>
      <c r="C2997" s="4"/>
      <c r="D2997" s="4"/>
      <c r="E2997" s="4"/>
      <c r="G2997" s="4"/>
      <c r="H2997" s="4"/>
      <c r="K2997" s="4"/>
      <c r="N2997" s="4" t="s">
        <v>6501</v>
      </c>
      <c r="O2997" s="4">
        <v>80</v>
      </c>
    </row>
    <row r="2998" spans="1:15" ht="15.75" customHeight="1">
      <c r="A2998" s="4"/>
      <c r="B2998" s="4"/>
      <c r="C2998" s="4"/>
      <c r="D2998" s="4"/>
      <c r="E2998" s="4"/>
      <c r="G2998" s="4"/>
      <c r="H2998" s="4"/>
      <c r="K2998" s="4"/>
      <c r="N2998" s="4" t="s">
        <v>4054</v>
      </c>
      <c r="O2998" s="4">
        <v>93</v>
      </c>
    </row>
    <row r="2999" spans="1:15" ht="15.75" customHeight="1">
      <c r="A2999" s="4"/>
      <c r="B2999" s="4"/>
      <c r="C2999" s="4"/>
      <c r="D2999" s="4"/>
      <c r="E2999" s="4"/>
      <c r="G2999" s="4"/>
      <c r="H2999" s="4"/>
      <c r="K2999" s="4"/>
      <c r="N2999" s="4" t="s">
        <v>6506</v>
      </c>
      <c r="O2999" s="4">
        <v>132</v>
      </c>
    </row>
    <row r="3000" spans="1:15" ht="15.75" customHeight="1">
      <c r="A3000" s="4"/>
      <c r="B3000" s="4"/>
      <c r="C3000" s="4"/>
      <c r="D3000" s="4"/>
      <c r="E3000" s="4"/>
      <c r="G3000" s="4"/>
      <c r="H3000" s="4"/>
      <c r="K3000" s="4"/>
      <c r="N3000" s="4" t="s">
        <v>56</v>
      </c>
      <c r="O3000" s="4">
        <v>369</v>
      </c>
    </row>
    <row r="3001" spans="1:15" ht="15.75" customHeight="1">
      <c r="A3001" s="4"/>
      <c r="B3001" s="4"/>
      <c r="C3001" s="4"/>
      <c r="D3001" s="4"/>
      <c r="E3001" s="4"/>
      <c r="G3001" s="4"/>
      <c r="H3001" s="4"/>
      <c r="K3001" s="4"/>
      <c r="N3001" s="4" t="s">
        <v>56</v>
      </c>
      <c r="O3001" s="4">
        <v>480</v>
      </c>
    </row>
    <row r="3002" spans="1:15" ht="15.75" customHeight="1">
      <c r="A3002" s="4"/>
      <c r="B3002" s="4"/>
      <c r="C3002" s="4"/>
      <c r="D3002" s="4"/>
      <c r="E3002" s="4"/>
      <c r="G3002" s="4"/>
      <c r="H3002" s="4"/>
      <c r="K3002" s="4"/>
      <c r="N3002" s="4" t="s">
        <v>5407</v>
      </c>
      <c r="O3002" s="4">
        <v>227</v>
      </c>
    </row>
    <row r="3003" spans="1:15" ht="15.75" customHeight="1">
      <c r="A3003" s="4"/>
      <c r="B3003" s="4"/>
      <c r="C3003" s="4"/>
      <c r="D3003" s="4"/>
      <c r="E3003" s="4"/>
      <c r="G3003" s="4"/>
      <c r="H3003" s="4"/>
      <c r="K3003" s="4"/>
      <c r="N3003" s="4" t="s">
        <v>6515</v>
      </c>
      <c r="O3003" s="4">
        <v>922</v>
      </c>
    </row>
    <row r="3004" spans="1:15" ht="15.75" customHeight="1">
      <c r="A3004" s="4"/>
      <c r="B3004" s="4"/>
      <c r="C3004" s="4"/>
      <c r="D3004" s="4"/>
      <c r="E3004" s="4"/>
      <c r="G3004" s="4"/>
      <c r="H3004" s="4"/>
      <c r="K3004" s="4"/>
      <c r="N3004" s="4" t="s">
        <v>6518</v>
      </c>
      <c r="O3004" s="4">
        <v>569</v>
      </c>
    </row>
    <row r="3005" spans="1:15" ht="15.75" customHeight="1">
      <c r="A3005" s="4"/>
      <c r="B3005" s="4"/>
      <c r="C3005" s="4"/>
      <c r="D3005" s="4"/>
      <c r="E3005" s="4"/>
      <c r="G3005" s="4"/>
      <c r="H3005" s="4"/>
      <c r="I3005" s="4"/>
      <c r="K3005" s="4"/>
      <c r="N3005" s="4" t="s">
        <v>6521</v>
      </c>
      <c r="O3005" s="4">
        <v>200</v>
      </c>
    </row>
    <row r="3006" spans="1:15" ht="15.75" customHeight="1">
      <c r="A3006" s="4"/>
      <c r="B3006" s="4"/>
      <c r="C3006" s="4"/>
      <c r="D3006" s="4"/>
      <c r="E3006" s="4"/>
      <c r="G3006" s="4"/>
      <c r="H3006" s="4"/>
      <c r="I3006" s="4"/>
      <c r="K3006" s="4"/>
      <c r="N3006" s="4" t="s">
        <v>6525</v>
      </c>
      <c r="O3006" s="4">
        <v>361</v>
      </c>
    </row>
    <row r="3007" spans="1:15" ht="15.75" customHeight="1">
      <c r="A3007" s="4"/>
      <c r="B3007" s="4"/>
      <c r="C3007" s="4"/>
      <c r="D3007" s="4"/>
      <c r="E3007" s="4"/>
      <c r="G3007" s="4"/>
      <c r="H3007" s="4"/>
      <c r="I3007" s="4"/>
      <c r="K3007" s="4"/>
      <c r="N3007" s="4" t="s">
        <v>6529</v>
      </c>
      <c r="O3007" s="4">
        <v>236</v>
      </c>
    </row>
    <row r="3008" spans="1:15" ht="15.75" customHeight="1">
      <c r="A3008" s="4"/>
      <c r="B3008" s="4"/>
      <c r="C3008" s="4"/>
      <c r="D3008" s="4"/>
      <c r="E3008" s="4"/>
      <c r="G3008" s="4"/>
      <c r="H3008" s="4"/>
      <c r="I3008" s="4"/>
      <c r="K3008" s="4"/>
      <c r="N3008" s="4" t="s">
        <v>6533</v>
      </c>
      <c r="O3008" s="4">
        <v>215</v>
      </c>
    </row>
    <row r="3009" spans="1:15" ht="15.75" customHeight="1">
      <c r="A3009" s="4"/>
      <c r="B3009" s="4"/>
      <c r="C3009" s="4"/>
      <c r="D3009" s="4"/>
      <c r="E3009" s="4"/>
      <c r="G3009" s="4"/>
      <c r="H3009" s="4"/>
      <c r="I3009" s="4"/>
      <c r="K3009" s="4"/>
      <c r="N3009" s="4" t="s">
        <v>6537</v>
      </c>
      <c r="O3009" s="4">
        <v>315</v>
      </c>
    </row>
    <row r="3010" spans="1:15" ht="15.75" customHeight="1">
      <c r="A3010" s="4"/>
      <c r="B3010" s="4"/>
      <c r="C3010" s="4"/>
      <c r="D3010" s="4"/>
      <c r="E3010" s="4"/>
      <c r="G3010" s="4"/>
      <c r="H3010" s="4"/>
      <c r="I3010" s="4"/>
      <c r="K3010" s="4"/>
      <c r="N3010" s="4" t="s">
        <v>6541</v>
      </c>
      <c r="O3010" s="4">
        <v>301</v>
      </c>
    </row>
    <row r="3011" spans="1:15" ht="15.75" customHeight="1">
      <c r="A3011" s="4"/>
      <c r="B3011" s="4"/>
      <c r="C3011" s="4"/>
      <c r="D3011" s="4"/>
      <c r="E3011" s="4"/>
      <c r="G3011" s="4"/>
      <c r="H3011" s="4"/>
      <c r="K3011" s="4"/>
      <c r="N3011" s="4" t="s">
        <v>5407</v>
      </c>
      <c r="O3011" s="4">
        <v>227</v>
      </c>
    </row>
    <row r="3012" spans="1:15" ht="15.75" customHeight="1">
      <c r="A3012" s="4"/>
      <c r="B3012" s="4"/>
      <c r="C3012" s="4"/>
      <c r="D3012" s="4"/>
      <c r="E3012" s="4"/>
      <c r="G3012" s="4"/>
      <c r="H3012" s="4"/>
      <c r="K3012" s="4"/>
      <c r="N3012" s="4" t="s">
        <v>6546</v>
      </c>
      <c r="O3012" s="4">
        <v>442</v>
      </c>
    </row>
    <row r="3013" spans="1:15" ht="15.75" customHeight="1">
      <c r="A3013" s="4"/>
      <c r="B3013" s="4"/>
      <c r="C3013" s="4"/>
      <c r="D3013" s="4"/>
      <c r="E3013" s="4"/>
      <c r="G3013" s="4"/>
      <c r="H3013" s="4"/>
      <c r="K3013" s="4"/>
      <c r="N3013" s="4" t="s">
        <v>56</v>
      </c>
      <c r="O3013" s="4">
        <v>185</v>
      </c>
    </row>
    <row r="3014" spans="1:15" ht="15.75" customHeight="1">
      <c r="A3014" s="4"/>
      <c r="B3014" s="4"/>
      <c r="C3014" s="4"/>
      <c r="D3014" s="4"/>
      <c r="E3014" s="4"/>
      <c r="G3014" s="4"/>
      <c r="H3014" s="4"/>
      <c r="K3014" s="4"/>
    </row>
    <row r="3015" spans="1:15" ht="15.75" customHeight="1">
      <c r="A3015" s="4"/>
      <c r="B3015" s="4"/>
      <c r="C3015" s="4"/>
      <c r="D3015" s="4"/>
      <c r="E3015" s="4"/>
      <c r="G3015" s="4"/>
      <c r="H3015" s="4"/>
      <c r="K3015" s="4"/>
      <c r="N3015" s="4" t="s">
        <v>717</v>
      </c>
      <c r="O3015" s="4">
        <v>262</v>
      </c>
    </row>
    <row r="3016" spans="1:15" ht="15.75" customHeight="1">
      <c r="A3016" s="4"/>
      <c r="B3016" s="4"/>
      <c r="C3016" s="4"/>
      <c r="D3016" s="4"/>
      <c r="E3016" s="4"/>
      <c r="G3016" s="4"/>
      <c r="H3016" s="4"/>
      <c r="K3016" s="4"/>
      <c r="N3016" s="4" t="s">
        <v>6554</v>
      </c>
      <c r="O3016" s="4">
        <v>130</v>
      </c>
    </row>
    <row r="3017" spans="1:15" ht="15.75" customHeight="1">
      <c r="A3017" s="4"/>
      <c r="B3017" s="4"/>
      <c r="C3017" s="4"/>
      <c r="D3017" s="4"/>
      <c r="E3017" s="4"/>
      <c r="G3017" s="4"/>
      <c r="H3017" s="4"/>
      <c r="K3017" s="4"/>
    </row>
    <row r="3018" spans="1:15" ht="15.75" customHeight="1">
      <c r="A3018" s="4"/>
      <c r="B3018" s="4"/>
      <c r="C3018" s="4"/>
      <c r="D3018" s="4"/>
      <c r="E3018" s="4"/>
      <c r="G3018" s="4"/>
      <c r="H3018" s="4"/>
      <c r="K3018" s="4"/>
      <c r="N3018" s="4" t="s">
        <v>348</v>
      </c>
      <c r="O3018" s="4">
        <v>207</v>
      </c>
    </row>
    <row r="3019" spans="1:15" ht="15.75" customHeight="1">
      <c r="A3019" s="4"/>
      <c r="B3019" s="4"/>
      <c r="C3019" s="4"/>
      <c r="D3019" s="4"/>
      <c r="E3019" s="4"/>
      <c r="G3019" s="4"/>
      <c r="H3019" s="4"/>
      <c r="K3019" s="4"/>
      <c r="N3019" s="4" t="s">
        <v>348</v>
      </c>
      <c r="O3019" s="4">
        <v>67</v>
      </c>
    </row>
    <row r="3020" spans="1:15" ht="15.75" customHeight="1">
      <c r="A3020" s="4"/>
      <c r="B3020" s="4"/>
      <c r="C3020" s="4"/>
      <c r="D3020" s="4"/>
      <c r="E3020" s="4"/>
      <c r="G3020" s="4"/>
      <c r="H3020" s="4"/>
      <c r="K3020" s="4"/>
      <c r="N3020" s="4" t="s">
        <v>348</v>
      </c>
      <c r="O3020" s="4">
        <v>83</v>
      </c>
    </row>
    <row r="3021" spans="1:15" ht="15.75" customHeight="1">
      <c r="A3021" s="4"/>
      <c r="B3021" s="4"/>
      <c r="C3021" s="4"/>
      <c r="D3021" s="4"/>
      <c r="E3021" s="4"/>
      <c r="G3021" s="4"/>
      <c r="H3021" s="4"/>
      <c r="K3021" s="4"/>
      <c r="N3021" s="4" t="s">
        <v>4158</v>
      </c>
      <c r="O3021" s="4">
        <v>368</v>
      </c>
    </row>
    <row r="3022" spans="1:15" ht="15.75" customHeight="1">
      <c r="A3022" s="4"/>
      <c r="B3022" s="4"/>
      <c r="C3022" s="4"/>
      <c r="D3022" s="4"/>
      <c r="E3022" s="4"/>
      <c r="G3022" s="4"/>
      <c r="H3022" s="4"/>
      <c r="K3022" s="4"/>
      <c r="N3022" s="4" t="s">
        <v>348</v>
      </c>
      <c r="O3022" s="4">
        <v>207</v>
      </c>
    </row>
    <row r="3023" spans="1:15" ht="15.75" customHeight="1">
      <c r="A3023" s="4"/>
      <c r="B3023" s="4"/>
      <c r="C3023" s="4"/>
      <c r="D3023" s="4"/>
      <c r="E3023" s="4"/>
      <c r="G3023" s="4"/>
      <c r="H3023" s="4"/>
      <c r="K3023" s="4"/>
      <c r="N3023" s="4" t="s">
        <v>348</v>
      </c>
      <c r="O3023" s="4">
        <v>66</v>
      </c>
    </row>
    <row r="3024" spans="1:15" ht="15.75" customHeight="1">
      <c r="A3024" s="4"/>
      <c r="B3024" s="4"/>
      <c r="C3024" s="4"/>
      <c r="D3024" s="4"/>
      <c r="E3024" s="4"/>
      <c r="G3024" s="4"/>
      <c r="H3024" s="4"/>
      <c r="K3024" s="4"/>
      <c r="N3024" s="4" t="s">
        <v>674</v>
      </c>
      <c r="O3024" s="4">
        <v>306</v>
      </c>
    </row>
    <row r="3025" spans="1:15" ht="15.75" customHeight="1">
      <c r="B3025" s="4"/>
      <c r="C3025" s="4"/>
      <c r="D3025" s="4"/>
      <c r="E3025" s="4"/>
      <c r="G3025" s="4"/>
      <c r="H3025" s="4"/>
      <c r="K3025" s="4"/>
      <c r="N3025" s="4" t="s">
        <v>351</v>
      </c>
      <c r="O3025" s="4">
        <v>90</v>
      </c>
    </row>
    <row r="3026" spans="1:15" ht="15.75" customHeight="1">
      <c r="A3026" s="4"/>
      <c r="B3026" s="4"/>
      <c r="C3026" s="4"/>
      <c r="D3026" s="4"/>
      <c r="E3026" s="4"/>
      <c r="G3026" s="4"/>
      <c r="H3026" s="4"/>
      <c r="K3026" s="4"/>
      <c r="N3026" s="4" t="s">
        <v>5688</v>
      </c>
      <c r="O3026" s="4">
        <v>160</v>
      </c>
    </row>
    <row r="3027" spans="1:15" ht="15.75" customHeight="1">
      <c r="A3027" s="4"/>
      <c r="B3027" s="4"/>
      <c r="C3027" s="4"/>
      <c r="D3027" s="4"/>
      <c r="E3027" s="4"/>
      <c r="G3027" s="4"/>
      <c r="H3027" s="4"/>
      <c r="K3027" s="4"/>
      <c r="N3027" s="4" t="s">
        <v>351</v>
      </c>
      <c r="O3027" s="4">
        <v>102</v>
      </c>
    </row>
    <row r="3028" spans="1:15" ht="15.75" customHeight="1">
      <c r="A3028" s="4"/>
      <c r="B3028" s="4"/>
      <c r="C3028" s="4"/>
      <c r="D3028" s="4"/>
      <c r="E3028" s="4"/>
      <c r="G3028" s="4"/>
      <c r="H3028" s="4"/>
      <c r="K3028" s="4"/>
      <c r="N3028" s="4" t="s">
        <v>348</v>
      </c>
      <c r="O3028" s="4">
        <v>292</v>
      </c>
    </row>
    <row r="3029" spans="1:15" ht="15.75" customHeight="1">
      <c r="A3029" s="4"/>
      <c r="B3029" s="4"/>
      <c r="C3029" s="4"/>
      <c r="D3029" s="4"/>
      <c r="E3029" s="4"/>
      <c r="G3029" s="4"/>
      <c r="H3029" s="4"/>
      <c r="K3029" s="4"/>
      <c r="N3029" s="4" t="s">
        <v>92</v>
      </c>
      <c r="O3029" s="4">
        <v>242</v>
      </c>
    </row>
    <row r="3030" spans="1:15" ht="15.75" customHeight="1">
      <c r="A3030" s="4"/>
      <c r="B3030" s="4"/>
      <c r="C3030" s="4"/>
      <c r="D3030" s="4"/>
      <c r="E3030" s="4"/>
      <c r="G3030" s="4"/>
      <c r="H3030" s="4"/>
      <c r="K3030" s="4"/>
      <c r="N3030" s="4" t="s">
        <v>348</v>
      </c>
      <c r="O3030" s="4">
        <v>287</v>
      </c>
    </row>
    <row r="3031" spans="1:15" ht="15.75" customHeight="1">
      <c r="A3031" s="4"/>
      <c r="B3031" s="4"/>
      <c r="C3031" s="4"/>
      <c r="D3031" s="4"/>
      <c r="E3031" s="4"/>
      <c r="G3031" s="4"/>
      <c r="H3031" s="4"/>
      <c r="K3031" s="4"/>
    </row>
    <row r="3032" spans="1:15" ht="15.75" customHeight="1">
      <c r="A3032" s="4"/>
      <c r="B3032" s="4"/>
      <c r="C3032" s="4"/>
      <c r="D3032" s="4"/>
      <c r="E3032" s="4"/>
      <c r="G3032" s="4"/>
      <c r="H3032" s="4"/>
      <c r="K3032" s="4"/>
      <c r="N3032" s="4" t="s">
        <v>6580</v>
      </c>
      <c r="O3032" s="4">
        <v>379</v>
      </c>
    </row>
    <row r="3033" spans="1:15" ht="15.75" customHeight="1">
      <c r="A3033" s="4"/>
      <c r="B3033" s="4"/>
      <c r="C3033" s="4"/>
      <c r="D3033" s="4"/>
      <c r="E3033" s="4"/>
      <c r="G3033" s="4"/>
      <c r="H3033" s="4"/>
      <c r="K3033" s="4"/>
      <c r="N3033" s="4" t="s">
        <v>4081</v>
      </c>
      <c r="O3033" s="4">
        <v>270</v>
      </c>
    </row>
    <row r="3034" spans="1:15" ht="15.75" customHeight="1">
      <c r="A3034" s="4"/>
      <c r="B3034" s="4"/>
      <c r="C3034" s="4"/>
      <c r="D3034" s="4"/>
      <c r="E3034" s="4"/>
      <c r="G3034" s="4"/>
      <c r="H3034" s="4"/>
      <c r="K3034" s="4"/>
      <c r="N3034" s="4" t="s">
        <v>845</v>
      </c>
      <c r="O3034" s="4">
        <v>237</v>
      </c>
    </row>
    <row r="3035" spans="1:15" ht="15.75" customHeight="1">
      <c r="A3035" s="4"/>
      <c r="B3035" s="4"/>
      <c r="C3035" s="4"/>
      <c r="D3035" s="4"/>
      <c r="E3035" s="4"/>
      <c r="G3035" s="4"/>
      <c r="H3035" s="4"/>
      <c r="K3035" s="4"/>
      <c r="N3035" s="4" t="s">
        <v>6587</v>
      </c>
      <c r="O3035" s="4">
        <v>303</v>
      </c>
    </row>
    <row r="3036" spans="1:15" ht="15.75" customHeight="1">
      <c r="A3036" s="4"/>
      <c r="B3036" s="4"/>
      <c r="C3036" s="4"/>
      <c r="D3036" s="4"/>
      <c r="E3036" s="4"/>
      <c r="G3036" s="4"/>
      <c r="H3036" s="4"/>
      <c r="I3036" s="4"/>
      <c r="K3036" s="4"/>
      <c r="N3036" s="4" t="s">
        <v>4492</v>
      </c>
      <c r="O3036" s="4">
        <v>462</v>
      </c>
    </row>
    <row r="3037" spans="1:15" ht="15.75" customHeight="1">
      <c r="B3037" s="4"/>
      <c r="C3037" s="4"/>
      <c r="D3037" s="4"/>
      <c r="E3037" s="4"/>
      <c r="G3037" s="4"/>
      <c r="H3037" s="4"/>
      <c r="K3037" s="4"/>
      <c r="N3037" s="4" t="s">
        <v>3049</v>
      </c>
      <c r="O3037" s="4">
        <v>222</v>
      </c>
    </row>
    <row r="3038" spans="1:15" ht="15.75" customHeight="1">
      <c r="A3038" s="4"/>
      <c r="B3038" s="4"/>
      <c r="C3038" s="4"/>
      <c r="D3038" s="4"/>
      <c r="E3038" s="4"/>
      <c r="G3038" s="4"/>
      <c r="H3038" s="4"/>
      <c r="K3038" s="4"/>
    </row>
    <row r="3039" spans="1:15" ht="15.75" customHeight="1">
      <c r="A3039" s="4"/>
      <c r="B3039" s="4"/>
      <c r="C3039" s="4"/>
      <c r="D3039" s="4"/>
      <c r="E3039" s="4"/>
      <c r="G3039" s="4"/>
      <c r="H3039" s="4"/>
      <c r="K3039" s="4"/>
      <c r="N3039" s="4" t="s">
        <v>674</v>
      </c>
      <c r="O3039" s="4">
        <v>306</v>
      </c>
    </row>
    <row r="3040" spans="1:15" ht="15.75" customHeight="1">
      <c r="A3040" s="4"/>
      <c r="B3040" s="4"/>
      <c r="C3040" s="4"/>
      <c r="D3040" s="4"/>
      <c r="E3040" s="4"/>
      <c r="G3040" s="4"/>
      <c r="H3040" s="4"/>
      <c r="K3040" s="4"/>
    </row>
    <row r="3041" spans="1:15" ht="15.75" customHeight="1">
      <c r="A3041" s="4"/>
      <c r="B3041" s="4"/>
      <c r="C3041" s="4"/>
      <c r="D3041" s="4"/>
      <c r="E3041" s="4"/>
      <c r="G3041" s="4"/>
      <c r="H3041" s="4"/>
      <c r="K3041" s="4"/>
      <c r="N3041" s="4" t="s">
        <v>4847</v>
      </c>
      <c r="O3041" s="4">
        <v>125</v>
      </c>
    </row>
    <row r="3042" spans="1:15" ht="15.75" customHeight="1">
      <c r="A3042" s="4"/>
      <c r="B3042" s="4"/>
      <c r="C3042" s="4"/>
      <c r="D3042" s="4"/>
      <c r="E3042" s="4"/>
      <c r="G3042" s="4"/>
      <c r="H3042" s="4"/>
      <c r="K3042" s="4"/>
      <c r="N3042" s="4" t="s">
        <v>3049</v>
      </c>
      <c r="O3042" s="4">
        <v>665</v>
      </c>
    </row>
    <row r="3043" spans="1:15" ht="15.75" customHeight="1">
      <c r="A3043" s="4"/>
      <c r="B3043" s="4"/>
      <c r="C3043" s="4"/>
      <c r="D3043" s="4"/>
      <c r="E3043" s="4"/>
      <c r="G3043" s="4"/>
      <c r="H3043" s="4"/>
      <c r="K3043" s="4"/>
      <c r="N3043" s="4" t="s">
        <v>779</v>
      </c>
      <c r="O3043" s="4">
        <v>471</v>
      </c>
    </row>
    <row r="3044" spans="1:15" ht="15.75" customHeight="1">
      <c r="A3044" s="4"/>
      <c r="B3044" s="4"/>
      <c r="C3044" s="4"/>
      <c r="D3044" s="4"/>
      <c r="E3044" s="4"/>
      <c r="G3044" s="4"/>
      <c r="H3044" s="4"/>
      <c r="K3044" s="4"/>
      <c r="N3044" s="4" t="s">
        <v>3049</v>
      </c>
      <c r="O3044" s="4">
        <v>233</v>
      </c>
    </row>
    <row r="3045" spans="1:15" ht="15.75" customHeight="1">
      <c r="A3045" s="4"/>
      <c r="B3045" s="4"/>
      <c r="C3045" s="4"/>
      <c r="D3045" s="4"/>
      <c r="E3045" s="4"/>
      <c r="G3045" s="4"/>
      <c r="H3045" s="4"/>
      <c r="K3045" s="4"/>
      <c r="N3045" s="4" t="s">
        <v>4847</v>
      </c>
      <c r="O3045" s="4">
        <v>119</v>
      </c>
    </row>
    <row r="3046" spans="1:15" ht="15.75" customHeight="1">
      <c r="A3046" s="4"/>
      <c r="B3046" s="4"/>
      <c r="C3046" s="4"/>
      <c r="D3046" s="4"/>
      <c r="E3046" s="4"/>
      <c r="G3046" s="4"/>
      <c r="H3046" s="4"/>
      <c r="K3046" s="4"/>
      <c r="N3046" s="4" t="s">
        <v>3049</v>
      </c>
      <c r="O3046" s="4">
        <v>233</v>
      </c>
    </row>
    <row r="3047" spans="1:15" ht="15.75" customHeight="1">
      <c r="A3047" s="4"/>
      <c r="B3047" s="4"/>
      <c r="C3047" s="4"/>
      <c r="D3047" s="4"/>
      <c r="E3047" s="4"/>
      <c r="G3047" s="4"/>
      <c r="H3047" s="4"/>
      <c r="K3047" s="4"/>
      <c r="N3047" s="4" t="s">
        <v>3049</v>
      </c>
      <c r="O3047" s="4">
        <v>674</v>
      </c>
    </row>
    <row r="3048" spans="1:15" ht="15.75" customHeight="1">
      <c r="A3048" s="4"/>
      <c r="B3048" s="4"/>
      <c r="C3048" s="4"/>
      <c r="D3048" s="4"/>
      <c r="E3048" s="4"/>
      <c r="G3048" s="4"/>
      <c r="H3048" s="4"/>
      <c r="K3048" s="4"/>
      <c r="N3048" s="4" t="s">
        <v>3345</v>
      </c>
      <c r="O3048" s="4">
        <v>324</v>
      </c>
    </row>
    <row r="3049" spans="1:15" ht="15.75" customHeight="1">
      <c r="A3049" s="4"/>
      <c r="B3049" s="4"/>
      <c r="C3049" s="4"/>
      <c r="D3049" s="4"/>
      <c r="E3049" s="4"/>
      <c r="G3049" s="4"/>
      <c r="H3049" s="4"/>
      <c r="K3049" s="4"/>
      <c r="N3049" s="4" t="s">
        <v>56</v>
      </c>
      <c r="O3049" s="4">
        <v>575</v>
      </c>
    </row>
    <row r="3050" spans="1:15" ht="15.75" customHeight="1">
      <c r="A3050" s="4"/>
      <c r="B3050" s="4"/>
      <c r="C3050" s="4"/>
      <c r="D3050" s="4"/>
      <c r="E3050" s="4"/>
      <c r="G3050" s="4"/>
      <c r="H3050" s="4"/>
      <c r="K3050" s="4"/>
      <c r="N3050" s="4" t="s">
        <v>73</v>
      </c>
      <c r="O3050" s="4">
        <v>264</v>
      </c>
    </row>
    <row r="3051" spans="1:15" ht="15.75" customHeight="1">
      <c r="B3051" s="4"/>
      <c r="C3051" s="4"/>
      <c r="D3051" s="4"/>
      <c r="E3051" s="4"/>
      <c r="G3051" s="4"/>
      <c r="H3051" s="4"/>
      <c r="K3051" s="4"/>
      <c r="N3051" s="4" t="s">
        <v>1167</v>
      </c>
      <c r="O3051" s="4">
        <v>182</v>
      </c>
    </row>
    <row r="3052" spans="1:15" ht="15.75" customHeight="1">
      <c r="A3052" s="4"/>
      <c r="B3052" s="4"/>
      <c r="C3052" s="4"/>
      <c r="D3052" s="4"/>
      <c r="E3052" s="4"/>
      <c r="G3052" s="4"/>
      <c r="H3052" s="4"/>
      <c r="K3052" s="4"/>
      <c r="N3052" s="4" t="s">
        <v>3052</v>
      </c>
      <c r="O3052" s="4">
        <v>274</v>
      </c>
    </row>
    <row r="3053" spans="1:15" ht="15.75" customHeight="1">
      <c r="A3053" s="4"/>
      <c r="B3053" s="4"/>
      <c r="C3053" s="4"/>
      <c r="D3053" s="4"/>
      <c r="E3053" s="4"/>
      <c r="G3053" s="4"/>
      <c r="H3053" s="4"/>
      <c r="I3053" s="4"/>
      <c r="K3053" s="4"/>
      <c r="N3053" s="4" t="s">
        <v>6620</v>
      </c>
      <c r="O3053" s="4">
        <v>290</v>
      </c>
    </row>
    <row r="3054" spans="1:15" ht="15.75" customHeight="1">
      <c r="A3054" s="4"/>
      <c r="B3054" s="4"/>
      <c r="C3054" s="4"/>
      <c r="D3054" s="4"/>
      <c r="E3054" s="4"/>
      <c r="G3054" s="4"/>
      <c r="H3054" s="4"/>
      <c r="I3054" s="4"/>
      <c r="K3054" s="4"/>
      <c r="N3054" s="4" t="s">
        <v>6624</v>
      </c>
      <c r="O3054" s="4">
        <v>761</v>
      </c>
    </row>
    <row r="3055" spans="1:15" ht="15.75" customHeight="1">
      <c r="A3055" s="4"/>
      <c r="B3055" s="4"/>
      <c r="C3055" s="4"/>
      <c r="D3055" s="4"/>
      <c r="E3055" s="4"/>
      <c r="G3055" s="4"/>
      <c r="H3055" s="4"/>
      <c r="K3055" s="4"/>
      <c r="N3055" s="4" t="s">
        <v>73</v>
      </c>
      <c r="O3055" s="4">
        <v>572</v>
      </c>
    </row>
    <row r="3056" spans="1:15" ht="15.75" customHeight="1">
      <c r="A3056" s="4"/>
      <c r="B3056" s="4"/>
      <c r="C3056" s="4"/>
      <c r="D3056" s="4"/>
      <c r="E3056" s="4"/>
      <c r="G3056" s="4"/>
      <c r="H3056" s="4"/>
      <c r="K3056" s="4"/>
      <c r="N3056" s="4" t="s">
        <v>73</v>
      </c>
      <c r="O3056" s="4">
        <v>593</v>
      </c>
    </row>
    <row r="3057" spans="1:15" ht="15.75" customHeight="1">
      <c r="A3057" s="4"/>
      <c r="B3057" s="4"/>
      <c r="C3057" s="4"/>
      <c r="D3057" s="4"/>
      <c r="E3057" s="4"/>
      <c r="G3057" s="4"/>
      <c r="H3057" s="4"/>
      <c r="K3057" s="4"/>
      <c r="N3057" s="4" t="s">
        <v>6632</v>
      </c>
      <c r="O3057" s="4">
        <v>414</v>
      </c>
    </row>
    <row r="3058" spans="1:15" ht="15.75" customHeight="1">
      <c r="A3058" s="4"/>
      <c r="B3058" s="4"/>
      <c r="C3058" s="4"/>
      <c r="D3058" s="4"/>
      <c r="E3058" s="4"/>
      <c r="G3058" s="4"/>
      <c r="H3058" s="4"/>
      <c r="I3058" s="4"/>
      <c r="K3058" s="4"/>
      <c r="N3058" s="4" t="s">
        <v>6635</v>
      </c>
      <c r="O3058" s="4">
        <v>238</v>
      </c>
    </row>
    <row r="3059" spans="1:15" ht="15.75" customHeight="1">
      <c r="B3059" s="4"/>
      <c r="C3059" s="4"/>
      <c r="D3059" s="4"/>
      <c r="E3059" s="4"/>
      <c r="G3059" s="4"/>
      <c r="H3059" s="4"/>
      <c r="I3059" s="4"/>
      <c r="K3059" s="4"/>
      <c r="N3059" s="4" t="s">
        <v>6639</v>
      </c>
      <c r="O3059" s="4">
        <v>548</v>
      </c>
    </row>
    <row r="3060" spans="1:15" ht="15.75" customHeight="1">
      <c r="B3060" s="4"/>
      <c r="C3060" s="4"/>
      <c r="D3060" s="4"/>
      <c r="E3060" s="4"/>
      <c r="G3060" s="4"/>
      <c r="H3060" s="4"/>
      <c r="K3060" s="4"/>
      <c r="N3060" s="4" t="s">
        <v>6643</v>
      </c>
      <c r="O3060" s="4">
        <v>667</v>
      </c>
    </row>
    <row r="3061" spans="1:15" ht="15.75" customHeight="1">
      <c r="A3061" s="4"/>
      <c r="B3061" s="4"/>
      <c r="C3061" s="4"/>
      <c r="D3061" s="4"/>
      <c r="E3061" s="4"/>
      <c r="G3061" s="4"/>
      <c r="H3061" s="4"/>
      <c r="I3061" s="4"/>
      <c r="K3061" s="4"/>
      <c r="N3061" s="4" t="s">
        <v>6646</v>
      </c>
      <c r="O3061" s="4">
        <v>434</v>
      </c>
    </row>
    <row r="3062" spans="1:15" ht="15.75" customHeight="1">
      <c r="A3062" s="4"/>
      <c r="B3062" s="4"/>
      <c r="C3062" s="4"/>
      <c r="D3062" s="4"/>
      <c r="E3062" s="4"/>
      <c r="G3062" s="4"/>
      <c r="H3062" s="4"/>
      <c r="K3062" s="4"/>
      <c r="N3062" s="4" t="s">
        <v>2780</v>
      </c>
      <c r="O3062" s="4">
        <v>491</v>
      </c>
    </row>
    <row r="3063" spans="1:15" ht="15.75" customHeight="1">
      <c r="A3063" s="4"/>
      <c r="B3063" s="4"/>
      <c r="C3063" s="4"/>
      <c r="D3063" s="4"/>
      <c r="E3063" s="4"/>
      <c r="G3063" s="4"/>
      <c r="H3063" s="4"/>
      <c r="K3063" s="4"/>
      <c r="N3063" s="4" t="s">
        <v>6041</v>
      </c>
      <c r="O3063" s="4">
        <v>312</v>
      </c>
    </row>
    <row r="3064" spans="1:15" ht="15.75" customHeight="1">
      <c r="A3064" s="4"/>
      <c r="B3064" s="4"/>
      <c r="C3064" s="4"/>
      <c r="D3064" s="4"/>
      <c r="E3064" s="4"/>
      <c r="G3064" s="4"/>
      <c r="H3064" s="4"/>
      <c r="I3064" s="4"/>
      <c r="K3064" s="4"/>
      <c r="N3064" s="4" t="s">
        <v>6654</v>
      </c>
      <c r="O3064" s="4">
        <v>446</v>
      </c>
    </row>
    <row r="3065" spans="1:15" ht="15.75" customHeight="1">
      <c r="A3065" s="4"/>
      <c r="B3065" s="4"/>
      <c r="C3065" s="4"/>
      <c r="D3065" s="4"/>
      <c r="E3065" s="4"/>
      <c r="G3065" s="4"/>
      <c r="H3065" s="4"/>
      <c r="K3065" s="4"/>
      <c r="N3065" s="4" t="s">
        <v>371</v>
      </c>
      <c r="O3065" s="4">
        <v>66</v>
      </c>
    </row>
    <row r="3066" spans="1:15" ht="15.75" customHeight="1">
      <c r="A3066" s="4"/>
      <c r="B3066" s="4"/>
      <c r="C3066" s="4"/>
      <c r="D3066" s="4"/>
      <c r="E3066" s="4"/>
      <c r="G3066" s="4"/>
      <c r="H3066" s="4"/>
      <c r="K3066" s="4"/>
      <c r="N3066" s="4" t="s">
        <v>56</v>
      </c>
      <c r="O3066" s="4">
        <v>145</v>
      </c>
    </row>
    <row r="3067" spans="1:15" ht="15.75" customHeight="1">
      <c r="A3067" s="4"/>
      <c r="B3067" s="4"/>
      <c r="C3067" s="4"/>
      <c r="D3067" s="4"/>
      <c r="E3067" s="4"/>
      <c r="G3067" s="4"/>
      <c r="H3067" s="4"/>
      <c r="K3067" s="4"/>
      <c r="N3067" s="4" t="s">
        <v>3988</v>
      </c>
      <c r="O3067" s="4">
        <v>146</v>
      </c>
    </row>
    <row r="3068" spans="1:15" ht="15.75" customHeight="1">
      <c r="A3068" s="4"/>
      <c r="B3068" s="4"/>
      <c r="C3068" s="4"/>
      <c r="D3068" s="4"/>
      <c r="E3068" s="4"/>
      <c r="G3068" s="4"/>
      <c r="H3068" s="4"/>
      <c r="I3068" s="4"/>
      <c r="K3068" s="4"/>
      <c r="N3068" s="4" t="s">
        <v>6664</v>
      </c>
      <c r="O3068" s="4">
        <v>493</v>
      </c>
    </row>
    <row r="3069" spans="1:15" ht="15.75" customHeight="1">
      <c r="B3069" s="4"/>
      <c r="C3069" s="4"/>
      <c r="D3069" s="4"/>
      <c r="E3069" s="4"/>
      <c r="G3069" s="4"/>
      <c r="H3069" s="4"/>
      <c r="K3069" s="4"/>
      <c r="N3069" s="4" t="s">
        <v>1108</v>
      </c>
      <c r="O3069" s="4">
        <v>207</v>
      </c>
    </row>
    <row r="3070" spans="1:15" ht="15.75" customHeight="1">
      <c r="A3070" s="4"/>
      <c r="B3070" s="4"/>
      <c r="C3070" s="4"/>
      <c r="D3070" s="4"/>
      <c r="E3070" s="4"/>
      <c r="G3070" s="4"/>
      <c r="H3070" s="4"/>
      <c r="K3070" s="4"/>
      <c r="N3070" s="4" t="s">
        <v>3943</v>
      </c>
      <c r="O3070" s="4">
        <v>281</v>
      </c>
    </row>
    <row r="3071" spans="1:15" ht="15.75" customHeight="1">
      <c r="A3071" s="4"/>
      <c r="B3071" s="4"/>
      <c r="C3071" s="4"/>
      <c r="D3071" s="4"/>
      <c r="E3071" s="4"/>
      <c r="G3071" s="4"/>
      <c r="H3071" s="4"/>
      <c r="K3071" s="4"/>
      <c r="N3071" s="4" t="s">
        <v>166</v>
      </c>
      <c r="O3071" s="4">
        <v>460</v>
      </c>
    </row>
    <row r="3072" spans="1:15" ht="15.75" customHeight="1">
      <c r="A3072" s="4"/>
      <c r="B3072" s="4"/>
      <c r="C3072" s="4"/>
      <c r="D3072" s="4"/>
      <c r="E3072" s="4"/>
      <c r="G3072" s="4"/>
      <c r="H3072" s="4"/>
      <c r="K3072" s="4"/>
      <c r="N3072" s="4" t="s">
        <v>6674</v>
      </c>
      <c r="O3072" s="4">
        <v>743</v>
      </c>
    </row>
    <row r="3073" spans="1:15" ht="15.75" customHeight="1">
      <c r="A3073" s="4"/>
      <c r="B3073" s="4"/>
      <c r="C3073" s="4"/>
      <c r="D3073" s="4"/>
      <c r="E3073" s="4"/>
      <c r="G3073" s="4"/>
      <c r="H3073" s="4"/>
      <c r="K3073" s="4"/>
      <c r="N3073" s="4" t="s">
        <v>89</v>
      </c>
      <c r="O3073" s="4">
        <v>660</v>
      </c>
    </row>
    <row r="3074" spans="1:15" ht="15.75" customHeight="1">
      <c r="A3074" s="4"/>
      <c r="B3074" s="4"/>
      <c r="C3074" s="4"/>
      <c r="D3074" s="4"/>
      <c r="E3074" s="4"/>
      <c r="G3074" s="4"/>
      <c r="H3074" s="4"/>
      <c r="K3074" s="4"/>
      <c r="N3074" s="4" t="s">
        <v>6679</v>
      </c>
      <c r="O3074" s="4">
        <v>135</v>
      </c>
    </row>
    <row r="3075" spans="1:15" ht="15.75" customHeight="1">
      <c r="A3075" s="4"/>
      <c r="B3075" s="4"/>
      <c r="C3075" s="4"/>
      <c r="D3075" s="4"/>
      <c r="E3075" s="4"/>
      <c r="G3075" s="4"/>
      <c r="H3075" s="4"/>
      <c r="K3075" s="4"/>
      <c r="N3075" s="4" t="s">
        <v>3784</v>
      </c>
      <c r="O3075" s="4">
        <v>150</v>
      </c>
    </row>
    <row r="3076" spans="1:15" ht="15.75" customHeight="1">
      <c r="A3076" s="4"/>
      <c r="B3076" s="4"/>
      <c r="C3076" s="4"/>
      <c r="D3076" s="4"/>
      <c r="E3076" s="4"/>
      <c r="G3076" s="4"/>
      <c r="H3076" s="4"/>
      <c r="K3076" s="4"/>
      <c r="N3076" s="4" t="s">
        <v>76</v>
      </c>
      <c r="O3076" s="4">
        <v>288</v>
      </c>
    </row>
    <row r="3077" spans="1:15" ht="15.75" customHeight="1">
      <c r="B3077" s="4"/>
      <c r="C3077" s="4"/>
      <c r="D3077" s="4"/>
      <c r="E3077" s="4"/>
      <c r="G3077" s="4"/>
      <c r="H3077" s="4"/>
      <c r="K3077" s="4"/>
      <c r="N3077" s="4" t="s">
        <v>73</v>
      </c>
      <c r="O3077" s="4">
        <v>297</v>
      </c>
    </row>
    <row r="3078" spans="1:15" ht="15.75" customHeight="1">
      <c r="A3078" s="4"/>
      <c r="B3078" s="4"/>
      <c r="C3078" s="4"/>
      <c r="D3078" s="4"/>
      <c r="E3078" s="4"/>
      <c r="G3078" s="4"/>
      <c r="H3078" s="4"/>
      <c r="K3078" s="4"/>
      <c r="N3078" s="4" t="s">
        <v>2151</v>
      </c>
      <c r="O3078" s="4">
        <v>259</v>
      </c>
    </row>
    <row r="3079" spans="1:15" ht="15.75" customHeight="1">
      <c r="A3079" s="4"/>
      <c r="B3079" s="4"/>
      <c r="C3079" s="4"/>
      <c r="D3079" s="4"/>
      <c r="E3079" s="4"/>
      <c r="G3079" s="4"/>
      <c r="H3079" s="4"/>
      <c r="K3079" s="4"/>
      <c r="N3079" s="4" t="s">
        <v>6690</v>
      </c>
      <c r="O3079" s="4">
        <v>222</v>
      </c>
    </row>
    <row r="3080" spans="1:15" ht="15.75" customHeight="1">
      <c r="A3080" s="4"/>
      <c r="B3080" s="4"/>
      <c r="C3080" s="4"/>
      <c r="D3080" s="4"/>
      <c r="E3080" s="4"/>
      <c r="G3080" s="4"/>
      <c r="H3080" s="4"/>
      <c r="K3080" s="4"/>
      <c r="N3080" s="4" t="s">
        <v>6693</v>
      </c>
      <c r="O3080" s="4">
        <v>108</v>
      </c>
    </row>
    <row r="3081" spans="1:15" ht="15.75" customHeight="1">
      <c r="A3081" s="4"/>
      <c r="B3081" s="4"/>
      <c r="C3081" s="4"/>
      <c r="D3081" s="4"/>
      <c r="E3081" s="4"/>
      <c r="G3081" s="4"/>
      <c r="H3081" s="4"/>
      <c r="K3081" s="4"/>
      <c r="N3081" s="4" t="s">
        <v>2154</v>
      </c>
      <c r="O3081" s="4">
        <v>302</v>
      </c>
    </row>
    <row r="3082" spans="1:15" ht="15.75" customHeight="1">
      <c r="A3082" s="4"/>
      <c r="B3082" s="4"/>
      <c r="C3082" s="4"/>
      <c r="D3082" s="4"/>
      <c r="E3082" s="4"/>
      <c r="G3082" s="4"/>
      <c r="H3082" s="4"/>
      <c r="K3082" s="4"/>
      <c r="N3082" s="4" t="s">
        <v>6698</v>
      </c>
      <c r="O3082" s="4">
        <v>438</v>
      </c>
    </row>
    <row r="3083" spans="1:15" ht="15.75" customHeight="1">
      <c r="A3083" s="4"/>
      <c r="B3083" s="4"/>
      <c r="C3083" s="4"/>
      <c r="D3083" s="4"/>
      <c r="E3083" s="4"/>
      <c r="G3083" s="4"/>
      <c r="H3083" s="4"/>
      <c r="K3083" s="4"/>
      <c r="N3083" s="4" t="s">
        <v>6701</v>
      </c>
      <c r="O3083" s="4">
        <v>313</v>
      </c>
    </row>
    <row r="3084" spans="1:15" ht="15.75" customHeight="1">
      <c r="A3084" s="4"/>
      <c r="B3084" s="4"/>
      <c r="C3084" s="4"/>
      <c r="D3084" s="4"/>
      <c r="E3084" s="4"/>
      <c r="G3084" s="4"/>
      <c r="H3084" s="4"/>
      <c r="K3084" s="4"/>
      <c r="N3084" s="4" t="s">
        <v>6704</v>
      </c>
      <c r="O3084" s="4">
        <v>222</v>
      </c>
    </row>
    <row r="3085" spans="1:15" ht="15.75" customHeight="1">
      <c r="A3085" s="4"/>
      <c r="B3085" s="4"/>
      <c r="C3085" s="4"/>
      <c r="D3085" s="4"/>
      <c r="E3085" s="4"/>
      <c r="G3085" s="4"/>
      <c r="H3085" s="4"/>
      <c r="K3085" s="4"/>
      <c r="N3085" s="4" t="s">
        <v>416</v>
      </c>
      <c r="O3085" s="4">
        <v>272</v>
      </c>
    </row>
    <row r="3086" spans="1:15" ht="15.75" customHeight="1">
      <c r="A3086" s="4"/>
      <c r="B3086" s="4"/>
      <c r="C3086" s="4"/>
      <c r="D3086" s="4"/>
      <c r="E3086" s="4"/>
      <c r="G3086" s="4"/>
      <c r="H3086" s="4"/>
      <c r="K3086" s="4"/>
      <c r="N3086" s="4" t="s">
        <v>56</v>
      </c>
      <c r="O3086" s="4">
        <v>62</v>
      </c>
    </row>
    <row r="3087" spans="1:15" ht="15.75" customHeight="1">
      <c r="A3087" s="4"/>
      <c r="B3087" s="4"/>
      <c r="C3087" s="4"/>
      <c r="D3087" s="4"/>
      <c r="E3087" s="4"/>
      <c r="G3087" s="4"/>
      <c r="H3087" s="4"/>
      <c r="K3087" s="4"/>
      <c r="N3087" s="4" t="s">
        <v>56</v>
      </c>
      <c r="O3087" s="4">
        <v>403</v>
      </c>
    </row>
    <row r="3088" spans="1:15" ht="15.75" customHeight="1">
      <c r="A3088" s="4"/>
      <c r="B3088" s="4"/>
      <c r="C3088" s="4"/>
      <c r="D3088" s="4"/>
      <c r="E3088" s="4"/>
      <c r="G3088" s="4"/>
      <c r="H3088" s="4"/>
      <c r="K3088" s="4"/>
      <c r="N3088" s="4" t="s">
        <v>73</v>
      </c>
      <c r="O3088" s="4">
        <v>203</v>
      </c>
    </row>
    <row r="3089" spans="1:15" ht="15.75" customHeight="1">
      <c r="A3089" s="4"/>
      <c r="B3089" s="4"/>
      <c r="C3089" s="4"/>
      <c r="D3089" s="4"/>
      <c r="E3089" s="4"/>
      <c r="G3089" s="4"/>
      <c r="H3089" s="4"/>
      <c r="K3089" s="4"/>
      <c r="N3089" s="4" t="s">
        <v>56</v>
      </c>
      <c r="O3089" s="4">
        <v>92</v>
      </c>
    </row>
    <row r="3090" spans="1:15" ht="15.75" customHeight="1">
      <c r="A3090" s="4"/>
      <c r="B3090" s="4"/>
      <c r="C3090" s="4"/>
      <c r="D3090" s="4"/>
      <c r="E3090" s="4"/>
      <c r="G3090" s="4"/>
      <c r="H3090" s="4"/>
      <c r="K3090" s="4"/>
      <c r="N3090" s="4" t="s">
        <v>1207</v>
      </c>
      <c r="O3090" s="4">
        <v>549</v>
      </c>
    </row>
    <row r="3091" spans="1:15" ht="15.75" customHeight="1">
      <c r="A3091" s="4"/>
      <c r="B3091" s="4"/>
      <c r="C3091" s="4"/>
      <c r="D3091" s="4"/>
      <c r="E3091" s="4"/>
      <c r="G3091" s="4"/>
      <c r="H3091" s="4"/>
      <c r="K3091" s="4"/>
      <c r="N3091" s="4" t="s">
        <v>6719</v>
      </c>
      <c r="O3091" s="4">
        <v>558</v>
      </c>
    </row>
    <row r="3092" spans="1:15" ht="15.75" customHeight="1">
      <c r="A3092" s="4"/>
      <c r="B3092" s="4"/>
      <c r="C3092" s="4"/>
      <c r="D3092" s="4"/>
      <c r="E3092" s="4"/>
      <c r="G3092" s="4"/>
      <c r="H3092" s="4"/>
      <c r="K3092" s="4"/>
      <c r="N3092" s="4" t="s">
        <v>6722</v>
      </c>
      <c r="O3092" s="4">
        <v>193</v>
      </c>
    </row>
    <row r="3093" spans="1:15" ht="15.75" customHeight="1">
      <c r="A3093" s="4"/>
      <c r="B3093" s="4"/>
      <c r="C3093" s="4"/>
      <c r="D3093" s="4"/>
      <c r="E3093" s="4"/>
      <c r="G3093" s="4"/>
      <c r="H3093" s="4"/>
      <c r="K3093" s="4"/>
      <c r="N3093" s="4" t="s">
        <v>6725</v>
      </c>
      <c r="O3093" s="4">
        <v>235</v>
      </c>
    </row>
    <row r="3094" spans="1:15" ht="15.75" customHeight="1">
      <c r="A3094" s="4"/>
      <c r="B3094" s="4"/>
      <c r="C3094" s="4"/>
      <c r="D3094" s="4"/>
      <c r="E3094" s="4"/>
      <c r="G3094" s="4"/>
      <c r="H3094" s="4"/>
      <c r="I3094" s="4"/>
      <c r="K3094" s="4"/>
      <c r="N3094" s="4" t="s">
        <v>6728</v>
      </c>
      <c r="O3094" s="4">
        <v>617</v>
      </c>
    </row>
    <row r="3095" spans="1:15" ht="15.75" customHeight="1">
      <c r="A3095" s="4"/>
      <c r="B3095" s="4"/>
      <c r="C3095" s="4"/>
      <c r="D3095" s="4"/>
      <c r="E3095" s="4"/>
      <c r="G3095" s="4"/>
      <c r="H3095" s="4"/>
      <c r="I3095" s="4"/>
      <c r="K3095" s="4"/>
      <c r="N3095" s="4" t="s">
        <v>5771</v>
      </c>
      <c r="O3095" s="4">
        <v>505</v>
      </c>
    </row>
    <row r="3096" spans="1:15" ht="15.75" customHeight="1">
      <c r="A3096" s="4"/>
      <c r="B3096" s="4"/>
      <c r="C3096" s="4"/>
      <c r="D3096" s="4"/>
      <c r="E3096" s="4"/>
      <c r="G3096" s="4"/>
      <c r="H3096" s="4"/>
      <c r="K3096" s="4"/>
      <c r="N3096" s="4" t="s">
        <v>328</v>
      </c>
      <c r="O3096" s="4">
        <v>240</v>
      </c>
    </row>
    <row r="3097" spans="1:15" ht="15.75" customHeight="1">
      <c r="B3097" s="4"/>
      <c r="C3097" s="4"/>
      <c r="D3097" s="4"/>
      <c r="E3097" s="4"/>
      <c r="G3097" s="4"/>
      <c r="H3097" s="4"/>
      <c r="K3097" s="4"/>
      <c r="N3097" s="4" t="s">
        <v>6736</v>
      </c>
      <c r="O3097" s="4">
        <v>388</v>
      </c>
    </row>
    <row r="3098" spans="1:15" ht="15.75" customHeight="1">
      <c r="A3098" s="4"/>
      <c r="B3098" s="4"/>
      <c r="C3098" s="4"/>
      <c r="D3098" s="4"/>
      <c r="E3098" s="4"/>
      <c r="G3098" s="4"/>
      <c r="H3098" s="4"/>
      <c r="I3098" s="4"/>
      <c r="K3098" s="4"/>
      <c r="N3098" s="4" t="s">
        <v>6739</v>
      </c>
      <c r="O3098" s="4">
        <v>331</v>
      </c>
    </row>
    <row r="3099" spans="1:15" ht="15.75" customHeight="1">
      <c r="A3099" s="4"/>
      <c r="B3099" s="4"/>
      <c r="C3099" s="4"/>
      <c r="D3099" s="4"/>
      <c r="E3099" s="4"/>
      <c r="G3099" s="4"/>
      <c r="H3099" s="4"/>
      <c r="K3099" s="4"/>
      <c r="N3099" s="4" t="s">
        <v>6743</v>
      </c>
      <c r="O3099" s="4">
        <v>486</v>
      </c>
    </row>
    <row r="3100" spans="1:15" ht="15.75" customHeight="1">
      <c r="B3100" s="4"/>
      <c r="C3100" s="4"/>
      <c r="D3100" s="4"/>
      <c r="E3100" s="4"/>
      <c r="G3100" s="4"/>
      <c r="H3100" s="4"/>
      <c r="K3100" s="4"/>
      <c r="N3100" s="4" t="s">
        <v>3085</v>
      </c>
      <c r="O3100" s="4">
        <v>337</v>
      </c>
    </row>
    <row r="3101" spans="1:15" ht="15.75" customHeight="1">
      <c r="A3101" s="4"/>
      <c r="B3101" s="4"/>
      <c r="C3101" s="4"/>
      <c r="D3101" s="4"/>
      <c r="E3101" s="4"/>
      <c r="G3101" s="4"/>
      <c r="H3101" s="4"/>
      <c r="K3101" s="4"/>
      <c r="N3101" s="4" t="s">
        <v>6748</v>
      </c>
      <c r="O3101" s="4">
        <v>336</v>
      </c>
    </row>
    <row r="3102" spans="1:15" ht="15.75" customHeight="1">
      <c r="A3102" s="4"/>
      <c r="B3102" s="4"/>
      <c r="C3102" s="4"/>
      <c r="D3102" s="4"/>
      <c r="E3102" s="4"/>
      <c r="G3102" s="4"/>
      <c r="H3102" s="4"/>
      <c r="K3102" s="4"/>
    </row>
    <row r="3103" spans="1:15" ht="15.75" customHeight="1">
      <c r="A3103" s="4"/>
      <c r="B3103" s="4"/>
      <c r="C3103" s="4"/>
      <c r="D3103" s="4"/>
      <c r="E3103" s="4"/>
      <c r="G3103" s="4"/>
      <c r="H3103" s="4"/>
      <c r="K3103" s="4"/>
      <c r="N3103" s="4" t="s">
        <v>348</v>
      </c>
      <c r="O3103" s="4">
        <v>280</v>
      </c>
    </row>
    <row r="3104" spans="1:15" ht="15.75" customHeight="1">
      <c r="A3104" s="4"/>
      <c r="B3104" s="4"/>
      <c r="C3104" s="4"/>
      <c r="D3104" s="4"/>
      <c r="E3104" s="4"/>
      <c r="G3104" s="4"/>
      <c r="H3104" s="4"/>
      <c r="K3104" s="4"/>
      <c r="N3104" s="4" t="s">
        <v>348</v>
      </c>
      <c r="O3104" s="4">
        <v>83</v>
      </c>
    </row>
    <row r="3105" spans="1:15" ht="15.75" customHeight="1">
      <c r="A3105" s="4"/>
      <c r="B3105" s="4"/>
      <c r="C3105" s="4"/>
      <c r="D3105" s="4"/>
      <c r="E3105" s="4"/>
      <c r="G3105" s="4"/>
      <c r="H3105" s="4"/>
      <c r="K3105" s="4"/>
    </row>
    <row r="3106" spans="1:15" ht="15.75" customHeight="1">
      <c r="A3106" s="4"/>
      <c r="B3106" s="4"/>
      <c r="C3106" s="4"/>
      <c r="D3106" s="4"/>
      <c r="E3106" s="4"/>
      <c r="G3106" s="4"/>
      <c r="H3106" s="4"/>
      <c r="K3106" s="4"/>
      <c r="N3106" s="4" t="s">
        <v>6755</v>
      </c>
      <c r="O3106" s="4">
        <v>102</v>
      </c>
    </row>
    <row r="3107" spans="1:15" ht="15.75" customHeight="1">
      <c r="A3107" s="4"/>
      <c r="B3107" s="4"/>
      <c r="C3107" s="4"/>
      <c r="D3107" s="4"/>
      <c r="E3107" s="4"/>
      <c r="G3107" s="4"/>
      <c r="H3107" s="4"/>
      <c r="K3107" s="4"/>
      <c r="N3107" s="4" t="s">
        <v>5673</v>
      </c>
      <c r="O3107" s="4">
        <v>483</v>
      </c>
    </row>
    <row r="3108" spans="1:15" ht="15.75" customHeight="1">
      <c r="A3108" s="4"/>
      <c r="B3108" s="4"/>
      <c r="C3108" s="4"/>
      <c r="D3108" s="4"/>
      <c r="E3108" s="4"/>
      <c r="G3108" s="4"/>
      <c r="H3108" s="4"/>
      <c r="K3108" s="4"/>
      <c r="N3108" s="4" t="s">
        <v>56</v>
      </c>
      <c r="O3108" s="4">
        <v>64</v>
      </c>
    </row>
    <row r="3109" spans="1:15" ht="15.75" customHeight="1">
      <c r="A3109" s="4"/>
      <c r="B3109" s="4"/>
      <c r="C3109" s="4"/>
      <c r="D3109" s="4"/>
      <c r="E3109" s="4"/>
      <c r="G3109" s="4"/>
      <c r="H3109" s="4"/>
      <c r="K3109" s="4"/>
      <c r="N3109" s="4" t="s">
        <v>6762</v>
      </c>
      <c r="O3109" s="4">
        <v>226</v>
      </c>
    </row>
    <row r="3110" spans="1:15" ht="15.75" customHeight="1">
      <c r="A3110" s="4"/>
      <c r="B3110" s="4"/>
      <c r="C3110" s="4"/>
      <c r="D3110" s="4"/>
      <c r="E3110" s="4"/>
      <c r="G3110" s="4"/>
      <c r="H3110" s="4"/>
      <c r="I3110" s="4"/>
      <c r="K3110" s="4"/>
      <c r="N3110" s="4" t="s">
        <v>6765</v>
      </c>
      <c r="O3110" s="4">
        <v>312</v>
      </c>
    </row>
    <row r="3111" spans="1:15" ht="15.75" customHeight="1">
      <c r="A3111" s="4"/>
      <c r="B3111" s="4"/>
      <c r="C3111" s="4"/>
      <c r="D3111" s="4"/>
      <c r="E3111" s="4"/>
      <c r="G3111" s="4"/>
      <c r="H3111" s="4"/>
      <c r="K3111" s="4"/>
      <c r="N3111" s="4" t="s">
        <v>6769</v>
      </c>
      <c r="O3111" s="4">
        <v>333</v>
      </c>
    </row>
    <row r="3112" spans="1:15" ht="15.75" customHeight="1">
      <c r="A3112" s="4"/>
      <c r="B3112" s="4"/>
      <c r="C3112" s="4"/>
      <c r="D3112" s="4"/>
      <c r="E3112" s="4"/>
      <c r="G3112" s="4"/>
      <c r="H3112" s="4"/>
      <c r="I3112" s="4"/>
      <c r="K3112" s="4"/>
      <c r="N3112" s="4" t="s">
        <v>6772</v>
      </c>
      <c r="O3112" s="4">
        <v>172</v>
      </c>
    </row>
    <row r="3113" spans="1:15" ht="15.75" customHeight="1">
      <c r="A3113" s="4"/>
      <c r="B3113" s="4"/>
      <c r="C3113" s="4"/>
      <c r="D3113" s="4"/>
      <c r="E3113" s="4"/>
      <c r="G3113" s="4"/>
      <c r="H3113" s="4"/>
      <c r="I3113" s="4"/>
      <c r="K3113" s="4"/>
      <c r="N3113" s="4" t="s">
        <v>6776</v>
      </c>
      <c r="O3113" s="4">
        <v>142</v>
      </c>
    </row>
    <row r="3114" spans="1:15" ht="15.75" customHeight="1">
      <c r="B3114" s="4"/>
      <c r="C3114" s="4"/>
      <c r="D3114" s="4"/>
      <c r="E3114" s="4"/>
      <c r="G3114" s="4"/>
      <c r="H3114" s="4"/>
      <c r="K3114" s="4"/>
      <c r="N3114" s="4" t="s">
        <v>1094</v>
      </c>
      <c r="O3114" s="4">
        <v>258</v>
      </c>
    </row>
    <row r="3115" spans="1:15" ht="15.75" customHeight="1">
      <c r="A3115" s="4"/>
      <c r="B3115" s="4"/>
      <c r="C3115" s="4"/>
      <c r="D3115" s="4"/>
      <c r="E3115" s="4"/>
      <c r="G3115" s="4"/>
      <c r="H3115" s="4"/>
      <c r="K3115" s="4"/>
      <c r="N3115" s="4" t="s">
        <v>1654</v>
      </c>
      <c r="O3115" s="4">
        <v>208</v>
      </c>
    </row>
    <row r="3116" spans="1:15" ht="15.75" customHeight="1">
      <c r="A3116" s="4"/>
      <c r="B3116" s="4"/>
      <c r="C3116" s="4"/>
      <c r="D3116" s="4"/>
      <c r="E3116" s="4"/>
      <c r="G3116" s="4"/>
      <c r="H3116" s="4"/>
      <c r="K3116" s="4"/>
      <c r="N3116" s="4" t="s">
        <v>6784</v>
      </c>
      <c r="O3116" s="4">
        <v>373</v>
      </c>
    </row>
    <row r="3117" spans="1:15" ht="15.75" customHeight="1">
      <c r="A3117" s="4"/>
      <c r="B3117" s="4"/>
      <c r="C3117" s="4"/>
      <c r="D3117" s="4"/>
      <c r="E3117" s="4"/>
      <c r="G3117" s="4"/>
      <c r="H3117" s="4"/>
      <c r="K3117" s="4"/>
      <c r="N3117" s="4" t="s">
        <v>2933</v>
      </c>
      <c r="O3117" s="4">
        <v>1041</v>
      </c>
    </row>
    <row r="3118" spans="1:15" ht="15.75" customHeight="1">
      <c r="A3118" s="4"/>
      <c r="B3118" s="4"/>
      <c r="C3118" s="4"/>
      <c r="D3118" s="4"/>
      <c r="E3118" s="4"/>
      <c r="G3118" s="4"/>
      <c r="H3118" s="4"/>
      <c r="K3118" s="4"/>
      <c r="N3118" s="4" t="s">
        <v>56</v>
      </c>
      <c r="O3118" s="4">
        <v>47</v>
      </c>
    </row>
    <row r="3119" spans="1:15" ht="15.75" customHeight="1">
      <c r="A3119" s="4"/>
      <c r="B3119" s="4"/>
      <c r="C3119" s="4"/>
      <c r="D3119" s="4"/>
      <c r="E3119" s="4"/>
      <c r="G3119" s="4"/>
      <c r="H3119" s="4"/>
      <c r="K3119" s="4"/>
      <c r="N3119" s="4" t="s">
        <v>5367</v>
      </c>
      <c r="O3119" s="4">
        <v>158</v>
      </c>
    </row>
    <row r="3120" spans="1:15" ht="15.75" customHeight="1">
      <c r="A3120" s="4"/>
      <c r="B3120" s="4"/>
      <c r="C3120" s="4"/>
      <c r="D3120" s="4"/>
      <c r="E3120" s="4"/>
      <c r="G3120" s="4"/>
      <c r="H3120" s="4"/>
      <c r="K3120" s="4"/>
    </row>
    <row r="3121" spans="1:15" ht="15.75" customHeight="1">
      <c r="B3121" s="4"/>
      <c r="C3121" s="4"/>
      <c r="D3121" s="4"/>
      <c r="E3121" s="4"/>
      <c r="G3121" s="4"/>
      <c r="H3121" s="4"/>
      <c r="I3121" s="4"/>
      <c r="K3121" s="4"/>
      <c r="N3121" s="4" t="s">
        <v>6794</v>
      </c>
      <c r="O3121" s="4">
        <v>367</v>
      </c>
    </row>
    <row r="3122" spans="1:15" ht="15.75" customHeight="1">
      <c r="A3122" s="4"/>
      <c r="B3122" s="4"/>
      <c r="C3122" s="4"/>
      <c r="D3122" s="4"/>
      <c r="E3122" s="4"/>
      <c r="G3122" s="4"/>
      <c r="H3122" s="4"/>
      <c r="K3122" s="4"/>
      <c r="N3122" s="4" t="s">
        <v>2151</v>
      </c>
      <c r="O3122" s="4">
        <v>261</v>
      </c>
    </row>
    <row r="3123" spans="1:15" ht="15.75" customHeight="1">
      <c r="B3123" s="4"/>
      <c r="C3123" s="4"/>
      <c r="D3123" s="4"/>
      <c r="E3123" s="4"/>
      <c r="G3123" s="4"/>
      <c r="H3123" s="4"/>
      <c r="K3123" s="4"/>
      <c r="N3123" s="4" t="s">
        <v>1696</v>
      </c>
      <c r="O3123" s="4">
        <v>222</v>
      </c>
    </row>
    <row r="3124" spans="1:15" ht="15.75" customHeight="1">
      <c r="A3124" s="4"/>
      <c r="B3124" s="4"/>
      <c r="C3124" s="4"/>
      <c r="D3124" s="4"/>
      <c r="E3124" s="4"/>
      <c r="G3124" s="4"/>
      <c r="H3124" s="4"/>
      <c r="K3124" s="4"/>
      <c r="N3124" s="4" t="s">
        <v>56</v>
      </c>
      <c r="O3124" s="4">
        <v>59</v>
      </c>
    </row>
    <row r="3125" spans="1:15" ht="15.75" customHeight="1">
      <c r="A3125" s="4"/>
      <c r="B3125" s="4"/>
      <c r="C3125" s="4"/>
      <c r="D3125" s="4"/>
      <c r="E3125" s="4"/>
      <c r="G3125" s="4"/>
      <c r="H3125" s="4"/>
      <c r="K3125" s="4"/>
      <c r="N3125" s="4" t="s">
        <v>6804</v>
      </c>
      <c r="O3125" s="4">
        <v>174</v>
      </c>
    </row>
    <row r="3126" spans="1:15" ht="15.75" customHeight="1">
      <c r="A3126" s="4"/>
      <c r="B3126" s="4"/>
      <c r="C3126" s="4"/>
      <c r="D3126" s="4"/>
      <c r="E3126" s="4"/>
      <c r="G3126" s="4"/>
      <c r="H3126" s="4"/>
      <c r="K3126" s="4"/>
      <c r="N3126" s="4" t="s">
        <v>56</v>
      </c>
      <c r="O3126" s="4">
        <v>210</v>
      </c>
    </row>
    <row r="3127" spans="1:15" ht="15.75" customHeight="1">
      <c r="A3127" s="4"/>
      <c r="B3127" s="4"/>
      <c r="C3127" s="4"/>
      <c r="D3127" s="4"/>
      <c r="E3127" s="4"/>
      <c r="G3127" s="4"/>
      <c r="H3127" s="4"/>
      <c r="I3127" s="4"/>
      <c r="K3127" s="4"/>
      <c r="N3127" s="4" t="s">
        <v>4324</v>
      </c>
      <c r="O3127" s="4">
        <v>273</v>
      </c>
    </row>
    <row r="3128" spans="1:15" ht="15.75" customHeight="1">
      <c r="A3128" s="4"/>
      <c r="B3128" s="4"/>
      <c r="C3128" s="4"/>
      <c r="D3128" s="4"/>
      <c r="E3128" s="4"/>
      <c r="G3128" s="4"/>
      <c r="H3128" s="4"/>
      <c r="K3128" s="4"/>
      <c r="N3128" s="4" t="s">
        <v>56</v>
      </c>
      <c r="O3128" s="4">
        <v>353</v>
      </c>
    </row>
    <row r="3129" spans="1:15" ht="15.75" customHeight="1">
      <c r="A3129" s="4"/>
      <c r="B3129" s="4"/>
      <c r="C3129" s="4"/>
      <c r="D3129" s="4"/>
      <c r="E3129" s="4"/>
      <c r="G3129" s="4"/>
      <c r="H3129" s="4"/>
      <c r="K3129" s="4"/>
      <c r="N3129" s="4" t="s">
        <v>6813</v>
      </c>
      <c r="O3129" s="4">
        <v>276</v>
      </c>
    </row>
    <row r="3130" spans="1:15" ht="15.75" customHeight="1">
      <c r="A3130" s="4"/>
      <c r="B3130" s="4"/>
      <c r="C3130" s="4"/>
      <c r="D3130" s="4"/>
      <c r="E3130" s="4"/>
      <c r="G3130" s="4"/>
      <c r="H3130" s="4"/>
      <c r="K3130" s="4"/>
      <c r="N3130" s="4" t="s">
        <v>1108</v>
      </c>
      <c r="O3130" s="4">
        <v>216</v>
      </c>
    </row>
    <row r="3131" spans="1:15" ht="15.75" customHeight="1">
      <c r="A3131" s="4"/>
      <c r="B3131" s="4"/>
      <c r="C3131" s="4"/>
      <c r="D3131" s="4"/>
      <c r="E3131" s="4"/>
      <c r="G3131" s="4"/>
      <c r="H3131" s="4"/>
      <c r="K3131" s="4"/>
      <c r="N3131" s="4" t="s">
        <v>6818</v>
      </c>
      <c r="O3131" s="4">
        <v>795</v>
      </c>
    </row>
    <row r="3132" spans="1:15" ht="15.75" customHeight="1">
      <c r="A3132" s="4"/>
      <c r="B3132" s="4"/>
      <c r="C3132" s="4"/>
      <c r="D3132" s="4"/>
      <c r="E3132" s="4"/>
      <c r="G3132" s="4"/>
      <c r="H3132" s="4"/>
      <c r="K3132" s="4"/>
      <c r="N3132" s="4" t="s">
        <v>4407</v>
      </c>
      <c r="O3132" s="4">
        <v>318</v>
      </c>
    </row>
    <row r="3133" spans="1:15" ht="15.75" customHeight="1">
      <c r="A3133" s="4"/>
      <c r="B3133" s="4"/>
      <c r="C3133" s="4"/>
      <c r="D3133" s="4"/>
      <c r="E3133" s="4"/>
      <c r="G3133" s="4"/>
      <c r="H3133" s="4"/>
      <c r="K3133" s="4"/>
      <c r="N3133" s="4" t="s">
        <v>4407</v>
      </c>
      <c r="O3133" s="4">
        <v>322</v>
      </c>
    </row>
    <row r="3134" spans="1:15" ht="15.75" customHeight="1">
      <c r="A3134" s="4"/>
      <c r="B3134" s="4"/>
      <c r="C3134" s="4"/>
      <c r="D3134" s="4"/>
      <c r="E3134" s="4"/>
      <c r="G3134" s="4"/>
      <c r="H3134" s="4"/>
      <c r="K3134" s="4"/>
      <c r="N3134" s="4" t="s">
        <v>76</v>
      </c>
      <c r="O3134" s="4">
        <v>323</v>
      </c>
    </row>
    <row r="3135" spans="1:15" ht="15.75" customHeight="1">
      <c r="A3135" s="4"/>
      <c r="B3135" s="4"/>
      <c r="C3135" s="4"/>
      <c r="D3135" s="4"/>
      <c r="E3135" s="4"/>
      <c r="G3135" s="4"/>
      <c r="H3135" s="4"/>
      <c r="K3135" s="4"/>
      <c r="N3135" s="4" t="s">
        <v>73</v>
      </c>
      <c r="O3135" s="4">
        <v>267</v>
      </c>
    </row>
    <row r="3136" spans="1:15" ht="15.75" customHeight="1">
      <c r="A3136" s="4"/>
      <c r="B3136" s="4"/>
      <c r="C3136" s="4"/>
      <c r="D3136" s="4"/>
      <c r="E3136" s="4"/>
      <c r="G3136" s="4"/>
      <c r="H3136" s="4"/>
      <c r="K3136" s="4"/>
      <c r="N3136" s="4" t="s">
        <v>6829</v>
      </c>
      <c r="O3136" s="4">
        <v>319</v>
      </c>
    </row>
    <row r="3137" spans="1:15" ht="15.75" customHeight="1">
      <c r="A3137" s="4"/>
      <c r="B3137" s="4"/>
      <c r="C3137" s="4"/>
      <c r="D3137" s="4"/>
      <c r="E3137" s="4"/>
      <c r="G3137" s="4"/>
      <c r="H3137" s="4"/>
      <c r="K3137" s="4"/>
      <c r="N3137" s="4" t="s">
        <v>2464</v>
      </c>
      <c r="O3137" s="4">
        <v>887</v>
      </c>
    </row>
    <row r="3138" spans="1:15" ht="15.75" customHeight="1">
      <c r="A3138" s="4"/>
      <c r="B3138" s="4"/>
      <c r="C3138" s="4"/>
      <c r="D3138" s="4"/>
      <c r="E3138" s="4"/>
      <c r="G3138" s="4"/>
      <c r="H3138" s="4"/>
      <c r="K3138" s="4"/>
      <c r="N3138" s="4" t="s">
        <v>328</v>
      </c>
      <c r="O3138" s="4">
        <v>325</v>
      </c>
    </row>
    <row r="3139" spans="1:15" ht="15.75" customHeight="1">
      <c r="A3139" s="4"/>
      <c r="B3139" s="4"/>
      <c r="C3139" s="4"/>
      <c r="D3139" s="4"/>
      <c r="E3139" s="4"/>
      <c r="G3139" s="4"/>
      <c r="H3139" s="4"/>
      <c r="K3139" s="4"/>
      <c r="N3139" s="4" t="s">
        <v>2844</v>
      </c>
      <c r="O3139" s="4">
        <v>716</v>
      </c>
    </row>
    <row r="3140" spans="1:15" ht="15.75" customHeight="1">
      <c r="A3140" s="4"/>
      <c r="B3140" s="4"/>
      <c r="C3140" s="4"/>
      <c r="D3140" s="4"/>
      <c r="E3140" s="4"/>
      <c r="G3140" s="4"/>
      <c r="H3140" s="4"/>
      <c r="K3140" s="4"/>
      <c r="N3140" s="4" t="s">
        <v>3179</v>
      </c>
      <c r="O3140" s="4">
        <v>135</v>
      </c>
    </row>
    <row r="3141" spans="1:15" ht="15.75" customHeight="1">
      <c r="A3141" s="4"/>
      <c r="B3141" s="4"/>
      <c r="C3141" s="4"/>
      <c r="D3141" s="4"/>
      <c r="E3141" s="4"/>
      <c r="G3141" s="4"/>
      <c r="H3141" s="4"/>
      <c r="K3141" s="4"/>
      <c r="N3141" s="4" t="s">
        <v>194</v>
      </c>
      <c r="O3141" s="4">
        <v>231</v>
      </c>
    </row>
    <row r="3142" spans="1:15" ht="15.75" customHeight="1">
      <c r="A3142" s="4"/>
      <c r="B3142" s="4"/>
      <c r="C3142" s="4"/>
      <c r="D3142" s="4"/>
      <c r="E3142" s="4"/>
      <c r="G3142" s="4"/>
      <c r="H3142" s="4"/>
      <c r="K3142" s="4"/>
      <c r="N3142" s="4" t="s">
        <v>197</v>
      </c>
      <c r="O3142" s="4">
        <v>431</v>
      </c>
    </row>
    <row r="3143" spans="1:15" ht="15.75" customHeight="1">
      <c r="A3143" s="4"/>
      <c r="B3143" s="4"/>
      <c r="C3143" s="4"/>
      <c r="D3143" s="4"/>
      <c r="E3143" s="4"/>
      <c r="G3143" s="4"/>
      <c r="H3143" s="4"/>
      <c r="K3143" s="4"/>
      <c r="N3143" s="4" t="s">
        <v>2710</v>
      </c>
      <c r="O3143" s="4">
        <v>126</v>
      </c>
    </row>
    <row r="3144" spans="1:15" ht="15.75" customHeight="1">
      <c r="A3144" s="4"/>
      <c r="B3144" s="4"/>
      <c r="C3144" s="4"/>
      <c r="D3144" s="4"/>
      <c r="E3144" s="4"/>
      <c r="G3144" s="4"/>
      <c r="H3144" s="4"/>
      <c r="K3144" s="4"/>
      <c r="N3144" s="4" t="s">
        <v>6846</v>
      </c>
      <c r="O3144" s="4">
        <v>494</v>
      </c>
    </row>
    <row r="3145" spans="1:15" ht="15.75" customHeight="1">
      <c r="A3145" s="4"/>
      <c r="B3145" s="4"/>
      <c r="C3145" s="4"/>
      <c r="D3145" s="4"/>
      <c r="E3145" s="4"/>
      <c r="G3145" s="4"/>
      <c r="H3145" s="4"/>
      <c r="K3145" s="4"/>
      <c r="N3145" s="4" t="s">
        <v>663</v>
      </c>
      <c r="O3145" s="4">
        <v>286</v>
      </c>
    </row>
    <row r="3146" spans="1:15" ht="15.75" customHeight="1">
      <c r="A3146" s="4"/>
      <c r="B3146" s="4"/>
      <c r="C3146" s="4"/>
      <c r="D3146" s="4"/>
      <c r="E3146" s="4"/>
      <c r="G3146" s="4"/>
      <c r="H3146" s="4"/>
      <c r="K3146" s="4"/>
      <c r="N3146" s="4" t="s">
        <v>6851</v>
      </c>
      <c r="O3146" s="4">
        <v>281</v>
      </c>
    </row>
    <row r="3147" spans="1:15" ht="15.75" customHeight="1">
      <c r="A3147" s="4"/>
      <c r="B3147" s="4"/>
      <c r="C3147" s="4"/>
      <c r="D3147" s="4"/>
      <c r="E3147" s="4"/>
      <c r="G3147" s="4"/>
      <c r="H3147" s="4"/>
      <c r="K3147" s="4"/>
      <c r="N3147" s="4" t="s">
        <v>1327</v>
      </c>
      <c r="O3147" s="4">
        <v>219</v>
      </c>
    </row>
    <row r="3148" spans="1:15" ht="15.75" customHeight="1">
      <c r="A3148" s="4"/>
      <c r="B3148" s="4"/>
      <c r="C3148" s="4"/>
      <c r="D3148" s="4"/>
      <c r="E3148" s="4"/>
      <c r="G3148" s="4"/>
      <c r="H3148" s="4"/>
      <c r="K3148" s="4"/>
      <c r="N3148" s="4" t="s">
        <v>6856</v>
      </c>
      <c r="O3148" s="4">
        <v>368</v>
      </c>
    </row>
    <row r="3149" spans="1:15" ht="15.75" customHeight="1">
      <c r="A3149" s="4"/>
      <c r="B3149" s="4"/>
      <c r="C3149" s="4"/>
      <c r="D3149" s="4"/>
      <c r="E3149" s="4"/>
      <c r="G3149" s="4"/>
      <c r="H3149" s="4"/>
      <c r="K3149" s="4"/>
    </row>
    <row r="3150" spans="1:15" ht="15.75" customHeight="1">
      <c r="A3150" s="4"/>
      <c r="B3150" s="4"/>
      <c r="C3150" s="4"/>
      <c r="D3150" s="4"/>
      <c r="E3150" s="4"/>
      <c r="G3150" s="4"/>
      <c r="H3150" s="4"/>
      <c r="K3150" s="4"/>
    </row>
    <row r="3151" spans="1:15" ht="15.75" customHeight="1">
      <c r="A3151" s="4"/>
      <c r="B3151" s="4"/>
      <c r="C3151" s="4"/>
      <c r="D3151" s="4"/>
      <c r="E3151" s="4"/>
      <c r="G3151" s="4"/>
      <c r="H3151" s="4"/>
      <c r="K3151" s="4"/>
      <c r="N3151" s="4" t="s">
        <v>6861</v>
      </c>
      <c r="O3151" s="4">
        <v>346</v>
      </c>
    </row>
    <row r="3152" spans="1:15" ht="15.75" customHeight="1">
      <c r="A3152" s="4"/>
      <c r="B3152" s="4"/>
      <c r="C3152" s="4"/>
      <c r="D3152" s="4"/>
      <c r="E3152" s="4"/>
      <c r="G3152" s="4"/>
      <c r="H3152" s="4"/>
      <c r="K3152" s="4"/>
      <c r="N3152" s="4" t="s">
        <v>2651</v>
      </c>
      <c r="O3152" s="4">
        <v>112</v>
      </c>
    </row>
    <row r="3153" spans="1:15" ht="15.75" customHeight="1">
      <c r="A3153" s="4"/>
      <c r="B3153" s="4"/>
      <c r="C3153" s="4"/>
      <c r="D3153" s="4"/>
      <c r="E3153" s="4"/>
      <c r="G3153" s="4"/>
      <c r="H3153" s="4"/>
      <c r="K3153" s="4"/>
      <c r="N3153" s="4" t="s">
        <v>6866</v>
      </c>
      <c r="O3153" s="4">
        <v>101</v>
      </c>
    </row>
    <row r="3154" spans="1:15" ht="15.75" customHeight="1">
      <c r="A3154" s="4"/>
      <c r="B3154" s="4"/>
      <c r="C3154" s="4"/>
      <c r="D3154" s="4"/>
      <c r="E3154" s="4"/>
      <c r="G3154" s="4"/>
      <c r="H3154" s="4"/>
      <c r="K3154" s="4"/>
      <c r="N3154" s="4" t="s">
        <v>56</v>
      </c>
      <c r="O3154" s="4">
        <v>99</v>
      </c>
    </row>
    <row r="3155" spans="1:15" ht="15.75" customHeight="1">
      <c r="A3155" s="4"/>
      <c r="B3155" s="4"/>
      <c r="C3155" s="4"/>
      <c r="D3155" s="4"/>
      <c r="E3155" s="4"/>
      <c r="G3155" s="4"/>
      <c r="H3155" s="4"/>
      <c r="K3155" s="4"/>
      <c r="N3155" s="4" t="s">
        <v>4180</v>
      </c>
      <c r="O3155" s="4">
        <v>340</v>
      </c>
    </row>
    <row r="3156" spans="1:15" ht="15.75" customHeight="1">
      <c r="A3156" s="4"/>
      <c r="B3156" s="4"/>
      <c r="C3156" s="4"/>
      <c r="D3156" s="4"/>
      <c r="E3156" s="4"/>
      <c r="G3156" s="4"/>
      <c r="H3156" s="4"/>
      <c r="K3156" s="4"/>
      <c r="N3156" s="4" t="s">
        <v>56</v>
      </c>
      <c r="O3156" s="4">
        <v>120</v>
      </c>
    </row>
    <row r="3157" spans="1:15" ht="15.75" customHeight="1">
      <c r="A3157" s="4"/>
      <c r="B3157" s="4"/>
      <c r="C3157" s="4"/>
      <c r="D3157" s="4"/>
      <c r="E3157" s="4"/>
      <c r="G3157" s="4"/>
      <c r="H3157" s="4"/>
      <c r="K3157" s="4"/>
      <c r="N3157" s="4" t="s">
        <v>56</v>
      </c>
      <c r="O3157" s="4">
        <v>159</v>
      </c>
    </row>
    <row r="3158" spans="1:15" ht="15.75" customHeight="1">
      <c r="A3158" s="4"/>
      <c r="B3158" s="4"/>
      <c r="C3158" s="4"/>
      <c r="D3158" s="4"/>
      <c r="E3158" s="4"/>
      <c r="G3158" s="4"/>
      <c r="H3158" s="4"/>
      <c r="K3158" s="4"/>
      <c r="N3158" s="4" t="s">
        <v>2378</v>
      </c>
      <c r="O3158" s="4">
        <v>388</v>
      </c>
    </row>
    <row r="3159" spans="1:15" ht="15.75" customHeight="1">
      <c r="A3159" s="4"/>
      <c r="B3159" s="4"/>
      <c r="C3159" s="4"/>
      <c r="D3159" s="4"/>
      <c r="E3159" s="4"/>
      <c r="G3159" s="4"/>
      <c r="H3159" s="4"/>
      <c r="K3159" s="4"/>
      <c r="N3159" s="4" t="s">
        <v>56</v>
      </c>
      <c r="O3159" s="4">
        <v>64</v>
      </c>
    </row>
    <row r="3160" spans="1:15" ht="15.75" customHeight="1">
      <c r="A3160" s="4"/>
      <c r="B3160" s="4"/>
      <c r="C3160" s="4"/>
      <c r="D3160" s="4"/>
      <c r="E3160" s="4"/>
      <c r="G3160" s="4"/>
      <c r="H3160" s="4"/>
      <c r="I3160" s="4"/>
      <c r="K3160" s="4"/>
      <c r="N3160" s="4" t="s">
        <v>6881</v>
      </c>
      <c r="O3160" s="4">
        <v>208</v>
      </c>
    </row>
    <row r="3161" spans="1:15" ht="15.75" customHeight="1">
      <c r="A3161" s="4"/>
      <c r="B3161" s="4"/>
      <c r="C3161" s="4"/>
      <c r="D3161" s="4"/>
      <c r="E3161" s="4"/>
      <c r="G3161" s="4"/>
      <c r="H3161" s="4"/>
      <c r="K3161" s="4"/>
      <c r="N3161" s="4" t="s">
        <v>56</v>
      </c>
      <c r="O3161" s="4">
        <v>157</v>
      </c>
    </row>
    <row r="3162" spans="1:15" ht="15.75" customHeight="1">
      <c r="A3162" s="4"/>
      <c r="B3162" s="4"/>
      <c r="C3162" s="4"/>
      <c r="D3162" s="4"/>
      <c r="E3162" s="4"/>
      <c r="G3162" s="4"/>
      <c r="H3162" s="4"/>
      <c r="K3162" s="4"/>
      <c r="N3162" s="4" t="s">
        <v>6887</v>
      </c>
      <c r="O3162" s="4">
        <v>315</v>
      </c>
    </row>
    <row r="3163" spans="1:15" ht="15.75" customHeight="1">
      <c r="A3163" s="4"/>
      <c r="B3163" s="4"/>
      <c r="C3163" s="4"/>
      <c r="D3163" s="4"/>
      <c r="E3163" s="4"/>
      <c r="G3163" s="4"/>
      <c r="H3163" s="4"/>
      <c r="K3163" s="4"/>
      <c r="N3163" s="4" t="s">
        <v>6890</v>
      </c>
      <c r="O3163" s="4">
        <v>205</v>
      </c>
    </row>
    <row r="3164" spans="1:15" ht="15.75" customHeight="1">
      <c r="A3164" s="4"/>
      <c r="B3164" s="4"/>
      <c r="C3164" s="4"/>
      <c r="D3164" s="4"/>
      <c r="E3164" s="4"/>
      <c r="G3164" s="4"/>
      <c r="H3164" s="4"/>
      <c r="K3164" s="4"/>
      <c r="N3164" s="4" t="s">
        <v>56</v>
      </c>
      <c r="O3164" s="4">
        <v>302</v>
      </c>
    </row>
    <row r="3165" spans="1:15" ht="15.75" customHeight="1">
      <c r="A3165" s="4"/>
      <c r="B3165" s="4"/>
      <c r="C3165" s="4"/>
      <c r="D3165" s="4"/>
      <c r="E3165" s="4"/>
      <c r="G3165" s="4"/>
      <c r="H3165" s="4"/>
      <c r="K3165" s="4"/>
      <c r="N3165" s="4" t="s">
        <v>6895</v>
      </c>
      <c r="O3165" s="4">
        <v>186</v>
      </c>
    </row>
    <row r="3166" spans="1:15" ht="15.75" customHeight="1">
      <c r="A3166" s="4"/>
      <c r="B3166" s="4"/>
      <c r="C3166" s="4"/>
      <c r="D3166" s="4"/>
      <c r="E3166" s="4"/>
      <c r="G3166" s="4"/>
      <c r="H3166" s="4"/>
      <c r="K3166" s="4"/>
      <c r="N3166" s="4" t="s">
        <v>6898</v>
      </c>
      <c r="O3166" s="4">
        <v>118</v>
      </c>
    </row>
    <row r="3167" spans="1:15" ht="15.75" customHeight="1">
      <c r="A3167" s="4"/>
      <c r="B3167" s="4"/>
      <c r="C3167" s="4"/>
      <c r="D3167" s="4"/>
      <c r="E3167" s="4"/>
      <c r="G3167" s="4"/>
      <c r="H3167" s="4"/>
      <c r="K3167" s="4"/>
      <c r="N3167" s="4" t="s">
        <v>5041</v>
      </c>
      <c r="O3167" s="4">
        <v>311</v>
      </c>
    </row>
    <row r="3168" spans="1:15" ht="15.75" customHeight="1">
      <c r="A3168" s="4"/>
      <c r="B3168" s="4"/>
      <c r="C3168" s="4"/>
      <c r="D3168" s="4"/>
      <c r="E3168" s="4"/>
      <c r="G3168" s="4"/>
      <c r="H3168" s="4"/>
      <c r="K3168" s="4"/>
      <c r="N3168" s="4" t="s">
        <v>6903</v>
      </c>
      <c r="O3168" s="4">
        <v>291</v>
      </c>
    </row>
    <row r="3169" spans="1:15" ht="15.75" customHeight="1">
      <c r="A3169" s="4"/>
      <c r="B3169" s="4"/>
      <c r="C3169" s="4"/>
      <c r="D3169" s="4"/>
      <c r="E3169" s="4"/>
      <c r="G3169" s="4"/>
      <c r="H3169" s="4"/>
      <c r="K3169" s="4"/>
      <c r="N3169" s="4" t="s">
        <v>6906</v>
      </c>
      <c r="O3169" s="4">
        <v>555</v>
      </c>
    </row>
    <row r="3170" spans="1:15" ht="15.75" customHeight="1">
      <c r="A3170" s="4"/>
      <c r="B3170" s="4"/>
      <c r="C3170" s="4"/>
      <c r="D3170" s="4"/>
      <c r="E3170" s="4"/>
      <c r="G3170" s="4"/>
      <c r="H3170" s="4"/>
      <c r="K3170" s="4"/>
      <c r="N3170" s="4" t="s">
        <v>6887</v>
      </c>
      <c r="O3170" s="4">
        <v>328</v>
      </c>
    </row>
    <row r="3171" spans="1:15" ht="15.75" customHeight="1">
      <c r="A3171" s="4"/>
      <c r="B3171" s="4"/>
      <c r="C3171" s="4"/>
      <c r="D3171" s="4"/>
      <c r="E3171" s="4"/>
      <c r="G3171" s="4"/>
      <c r="H3171" s="4"/>
      <c r="I3171" s="4"/>
      <c r="K3171" s="4"/>
      <c r="N3171" s="4" t="s">
        <v>6911</v>
      </c>
      <c r="O3171" s="4">
        <v>165</v>
      </c>
    </row>
    <row r="3172" spans="1:15" ht="15.75" customHeight="1">
      <c r="A3172" s="4"/>
      <c r="B3172" s="4"/>
      <c r="C3172" s="4"/>
      <c r="D3172" s="4"/>
      <c r="E3172" s="4"/>
      <c r="G3172" s="4"/>
      <c r="H3172" s="4"/>
      <c r="K3172" s="4"/>
      <c r="N3172" s="4" t="s">
        <v>4649</v>
      </c>
      <c r="O3172" s="4">
        <v>163</v>
      </c>
    </row>
    <row r="3173" spans="1:15" ht="15.75" customHeight="1">
      <c r="A3173" s="4"/>
      <c r="B3173" s="4"/>
      <c r="C3173" s="4"/>
      <c r="D3173" s="4"/>
      <c r="E3173" s="4"/>
      <c r="G3173" s="4"/>
      <c r="H3173" s="4"/>
      <c r="K3173" s="4"/>
    </row>
    <row r="3174" spans="1:15" ht="15.75" customHeight="1">
      <c r="A3174" s="4"/>
      <c r="B3174" s="4"/>
      <c r="C3174" s="4"/>
      <c r="D3174" s="4"/>
      <c r="E3174" s="4"/>
      <c r="G3174" s="4"/>
      <c r="H3174" s="4"/>
      <c r="I3174" s="4"/>
      <c r="K3174" s="4"/>
      <c r="N3174" s="4" t="s">
        <v>4498</v>
      </c>
      <c r="O3174" s="4">
        <v>603</v>
      </c>
    </row>
    <row r="3175" spans="1:15" ht="15.75" customHeight="1">
      <c r="A3175" s="4"/>
      <c r="B3175" s="4"/>
      <c r="C3175" s="4"/>
      <c r="D3175" s="4"/>
      <c r="E3175" s="4"/>
      <c r="G3175" s="4"/>
      <c r="H3175" s="4"/>
      <c r="K3175" s="4"/>
      <c r="N3175" s="4" t="s">
        <v>56</v>
      </c>
      <c r="O3175" s="4">
        <v>116</v>
      </c>
    </row>
    <row r="3176" spans="1:15" ht="15.75" customHeight="1">
      <c r="B3176" s="4"/>
      <c r="C3176" s="4"/>
      <c r="D3176" s="4"/>
      <c r="E3176" s="4"/>
      <c r="G3176" s="4"/>
      <c r="H3176" s="4"/>
      <c r="K3176" s="4"/>
      <c r="N3176" s="4" t="s">
        <v>663</v>
      </c>
      <c r="O3176" s="4">
        <v>244</v>
      </c>
    </row>
    <row r="3177" spans="1:15" ht="15.75" customHeight="1">
      <c r="A3177" s="4"/>
      <c r="B3177" s="4"/>
      <c r="C3177" s="4"/>
      <c r="D3177" s="4"/>
      <c r="E3177" s="4"/>
      <c r="G3177" s="4"/>
      <c r="H3177" s="4"/>
      <c r="I3177" s="4"/>
      <c r="K3177" s="4"/>
      <c r="N3177" s="4" t="s">
        <v>6924</v>
      </c>
      <c r="O3177" s="4">
        <v>149</v>
      </c>
    </row>
    <row r="3178" spans="1:15" ht="15.75" customHeight="1">
      <c r="A3178" s="4"/>
      <c r="B3178" s="4"/>
      <c r="C3178" s="4"/>
      <c r="D3178" s="4"/>
      <c r="E3178" s="4"/>
      <c r="G3178" s="4"/>
      <c r="H3178" s="4"/>
      <c r="K3178" s="4"/>
      <c r="N3178" s="4" t="s">
        <v>2464</v>
      </c>
      <c r="O3178" s="4">
        <v>782</v>
      </c>
    </row>
    <row r="3179" spans="1:15" ht="15.75" customHeight="1">
      <c r="A3179" s="4"/>
      <c r="B3179" s="4"/>
      <c r="C3179" s="4"/>
      <c r="D3179" s="4"/>
      <c r="E3179" s="4"/>
      <c r="G3179" s="4"/>
      <c r="H3179" s="4"/>
      <c r="K3179" s="4"/>
      <c r="N3179" s="4" t="s">
        <v>6930</v>
      </c>
      <c r="O3179" s="4">
        <v>307</v>
      </c>
    </row>
    <row r="3180" spans="1:15" ht="15.75" customHeight="1">
      <c r="A3180" s="4"/>
      <c r="B3180" s="4"/>
      <c r="C3180" s="4"/>
      <c r="D3180" s="4"/>
      <c r="E3180" s="4"/>
      <c r="G3180" s="4"/>
      <c r="H3180" s="4"/>
      <c r="K3180" s="4"/>
      <c r="N3180" s="4" t="s">
        <v>56</v>
      </c>
      <c r="O3180" s="4">
        <v>115</v>
      </c>
    </row>
    <row r="3181" spans="1:15" ht="15.75" customHeight="1">
      <c r="A3181" s="4"/>
      <c r="B3181" s="4"/>
      <c r="C3181" s="4"/>
      <c r="D3181" s="4"/>
      <c r="E3181" s="4"/>
      <c r="G3181" s="4"/>
      <c r="H3181" s="4"/>
      <c r="K3181" s="4"/>
      <c r="N3181" s="4" t="s">
        <v>6935</v>
      </c>
      <c r="O3181" s="4">
        <v>173</v>
      </c>
    </row>
    <row r="3182" spans="1:15" ht="15.75" customHeight="1">
      <c r="A3182" s="4"/>
      <c r="B3182" s="4"/>
      <c r="C3182" s="4"/>
      <c r="D3182" s="4"/>
      <c r="E3182" s="4"/>
      <c r="G3182" s="4"/>
      <c r="H3182" s="4"/>
      <c r="K3182" s="4"/>
      <c r="N3182" s="4" t="s">
        <v>6938</v>
      </c>
      <c r="O3182" s="4">
        <v>384</v>
      </c>
    </row>
    <row r="3183" spans="1:15" ht="15.75" customHeight="1">
      <c r="A3183" s="4"/>
      <c r="B3183" s="4"/>
      <c r="C3183" s="4"/>
      <c r="D3183" s="4"/>
      <c r="E3183" s="4"/>
      <c r="G3183" s="4"/>
      <c r="H3183" s="4"/>
      <c r="K3183" s="4"/>
      <c r="N3183" s="4" t="s">
        <v>1654</v>
      </c>
      <c r="O3183" s="4">
        <v>222</v>
      </c>
    </row>
    <row r="3184" spans="1:15" ht="15.75" customHeight="1">
      <c r="A3184" s="4"/>
      <c r="B3184" s="4"/>
      <c r="C3184" s="4"/>
      <c r="D3184" s="4"/>
      <c r="E3184" s="4"/>
      <c r="G3184" s="4"/>
      <c r="H3184" s="4"/>
      <c r="K3184" s="4"/>
      <c r="N3184" s="4" t="s">
        <v>3132</v>
      </c>
      <c r="O3184" s="4">
        <v>152</v>
      </c>
    </row>
    <row r="3185" spans="1:15" ht="15.75" customHeight="1">
      <c r="A3185" s="4"/>
      <c r="B3185" s="4"/>
      <c r="C3185" s="4"/>
      <c r="D3185" s="4"/>
      <c r="E3185" s="4"/>
      <c r="G3185" s="4"/>
      <c r="H3185" s="4"/>
      <c r="K3185" s="4"/>
      <c r="N3185" s="4" t="s">
        <v>2151</v>
      </c>
      <c r="O3185" s="4">
        <v>310</v>
      </c>
    </row>
    <row r="3186" spans="1:15" ht="15.75" customHeight="1">
      <c r="A3186" s="4"/>
      <c r="B3186" s="4"/>
      <c r="C3186" s="4"/>
      <c r="D3186" s="4"/>
      <c r="E3186" s="4"/>
      <c r="G3186" s="4"/>
      <c r="H3186" s="4"/>
      <c r="I3186" s="4"/>
      <c r="K3186" s="4"/>
      <c r="N3186" s="4" t="s">
        <v>6498</v>
      </c>
      <c r="O3186" s="4">
        <v>157</v>
      </c>
    </row>
    <row r="3187" spans="1:15" ht="15.75" customHeight="1">
      <c r="B3187" s="4"/>
      <c r="C3187" s="4"/>
      <c r="D3187" s="4"/>
      <c r="E3187" s="4"/>
      <c r="G3187" s="4"/>
      <c r="H3187" s="4"/>
      <c r="K3187" s="4"/>
      <c r="N3187" s="4" t="s">
        <v>3943</v>
      </c>
      <c r="O3187" s="4">
        <v>274</v>
      </c>
    </row>
    <row r="3188" spans="1:15" ht="15.75" customHeight="1">
      <c r="A3188" s="4"/>
      <c r="B3188" s="4"/>
      <c r="C3188" s="4"/>
      <c r="D3188" s="4"/>
      <c r="E3188" s="4"/>
      <c r="G3188" s="4"/>
      <c r="H3188" s="4"/>
      <c r="K3188" s="4"/>
      <c r="N3188" s="4" t="s">
        <v>56</v>
      </c>
      <c r="O3188" s="4">
        <v>301</v>
      </c>
    </row>
    <row r="3189" spans="1:15" ht="15.75" customHeight="1">
      <c r="A3189" s="4"/>
      <c r="B3189" s="4"/>
      <c r="C3189" s="4"/>
      <c r="D3189" s="4"/>
      <c r="E3189" s="4"/>
      <c r="G3189" s="4"/>
      <c r="H3189" s="4"/>
      <c r="K3189" s="4"/>
      <c r="N3189" s="4" t="s">
        <v>2151</v>
      </c>
      <c r="O3189" s="4">
        <v>281</v>
      </c>
    </row>
    <row r="3190" spans="1:15" ht="15.75" customHeight="1">
      <c r="A3190" s="4"/>
      <c r="B3190" s="4"/>
      <c r="C3190" s="4"/>
      <c r="D3190" s="4"/>
      <c r="E3190" s="4"/>
      <c r="G3190" s="4"/>
      <c r="H3190" s="4"/>
      <c r="K3190" s="4"/>
      <c r="N3190" s="4" t="s">
        <v>6956</v>
      </c>
      <c r="O3190" s="4">
        <v>217</v>
      </c>
    </row>
    <row r="3191" spans="1:15" ht="15.75" customHeight="1">
      <c r="A3191" s="4"/>
      <c r="B3191" s="4"/>
      <c r="C3191" s="4"/>
      <c r="D3191" s="4"/>
      <c r="E3191" s="4"/>
      <c r="G3191" s="4"/>
      <c r="H3191" s="4"/>
      <c r="K3191" s="4"/>
      <c r="N3191" s="4" t="s">
        <v>6959</v>
      </c>
      <c r="O3191" s="4">
        <v>153</v>
      </c>
    </row>
    <row r="3192" spans="1:15" ht="15.75" customHeight="1">
      <c r="A3192" s="4"/>
      <c r="B3192" s="4"/>
      <c r="C3192" s="4"/>
      <c r="D3192" s="4"/>
      <c r="E3192" s="4"/>
      <c r="G3192" s="4"/>
      <c r="H3192" s="4"/>
      <c r="K3192" s="4"/>
      <c r="N3192" s="4" t="s">
        <v>56</v>
      </c>
      <c r="O3192" s="4">
        <v>72</v>
      </c>
    </row>
    <row r="3193" spans="1:15" ht="15.75" customHeight="1">
      <c r="A3193" s="4"/>
      <c r="B3193" s="4"/>
      <c r="C3193" s="4"/>
      <c r="D3193" s="4"/>
      <c r="E3193" s="4"/>
      <c r="G3193" s="4"/>
      <c r="H3193" s="4"/>
      <c r="K3193" s="4"/>
    </row>
    <row r="3194" spans="1:15" ht="15.75" customHeight="1">
      <c r="A3194" s="4"/>
      <c r="B3194" s="4"/>
      <c r="C3194" s="4"/>
      <c r="D3194" s="4"/>
      <c r="E3194" s="4"/>
      <c r="G3194" s="4"/>
      <c r="H3194" s="4"/>
      <c r="K3194" s="4"/>
      <c r="N3194" s="4" t="s">
        <v>6965</v>
      </c>
      <c r="O3194" s="4">
        <v>157</v>
      </c>
    </row>
    <row r="3195" spans="1:15" ht="15.75" customHeight="1">
      <c r="A3195" s="4"/>
      <c r="B3195" s="4"/>
      <c r="C3195" s="4"/>
      <c r="D3195" s="4"/>
      <c r="E3195" s="4"/>
      <c r="G3195" s="4"/>
      <c r="H3195" s="4"/>
      <c r="K3195" s="4"/>
      <c r="N3195" s="4" t="s">
        <v>6968</v>
      </c>
      <c r="O3195" s="4">
        <v>198</v>
      </c>
    </row>
    <row r="3196" spans="1:15" ht="15.75" customHeight="1">
      <c r="A3196" s="4"/>
      <c r="B3196" s="4"/>
      <c r="C3196" s="4"/>
      <c r="D3196" s="4"/>
      <c r="E3196" s="4"/>
      <c r="G3196" s="4"/>
      <c r="H3196" s="4"/>
      <c r="I3196" s="4"/>
      <c r="K3196" s="4"/>
      <c r="N3196" s="4" t="s">
        <v>6971</v>
      </c>
      <c r="O3196" s="4">
        <v>198</v>
      </c>
    </row>
    <row r="3197" spans="1:15" ht="15.75" customHeight="1">
      <c r="A3197" s="4"/>
      <c r="B3197" s="4"/>
      <c r="C3197" s="4"/>
      <c r="D3197" s="4"/>
      <c r="E3197" s="4"/>
      <c r="G3197" s="4"/>
      <c r="H3197" s="4"/>
      <c r="I3197" s="4"/>
      <c r="K3197" s="4"/>
      <c r="N3197" s="4" t="s">
        <v>6975</v>
      </c>
      <c r="O3197" s="4">
        <v>338</v>
      </c>
    </row>
    <row r="3198" spans="1:15" ht="15.75" customHeight="1">
      <c r="A3198" s="4"/>
      <c r="B3198" s="4"/>
      <c r="C3198" s="4"/>
      <c r="D3198" s="4"/>
      <c r="E3198" s="4"/>
      <c r="G3198" s="4"/>
      <c r="H3198" s="4"/>
      <c r="I3198" s="4"/>
      <c r="K3198" s="4"/>
      <c r="N3198" s="4" t="s">
        <v>6979</v>
      </c>
      <c r="O3198" s="4">
        <v>357</v>
      </c>
    </row>
    <row r="3199" spans="1:15" ht="15.75" customHeight="1">
      <c r="A3199" s="4"/>
      <c r="B3199" s="4"/>
      <c r="C3199" s="4"/>
      <c r="D3199" s="4"/>
      <c r="E3199" s="4"/>
      <c r="G3199" s="4"/>
      <c r="H3199" s="4"/>
      <c r="I3199" s="4"/>
      <c r="K3199" s="4"/>
      <c r="N3199" s="4" t="s">
        <v>6983</v>
      </c>
      <c r="O3199" s="4">
        <v>380</v>
      </c>
    </row>
    <row r="3200" spans="1:15" ht="15.75" customHeight="1">
      <c r="A3200" s="4"/>
      <c r="B3200" s="4"/>
      <c r="C3200" s="4"/>
      <c r="D3200" s="4"/>
      <c r="E3200" s="4"/>
      <c r="G3200" s="4"/>
      <c r="H3200" s="4"/>
      <c r="I3200" s="4"/>
      <c r="K3200" s="4"/>
      <c r="N3200" s="4" t="s">
        <v>6987</v>
      </c>
      <c r="O3200" s="4">
        <v>139</v>
      </c>
    </row>
    <row r="3201" spans="1:15" ht="15.75" customHeight="1">
      <c r="A3201" s="4"/>
      <c r="B3201" s="4"/>
      <c r="C3201" s="4"/>
      <c r="D3201" s="4"/>
      <c r="E3201" s="4"/>
      <c r="G3201" s="4"/>
      <c r="H3201" s="4"/>
      <c r="I3201" s="4"/>
      <c r="K3201" s="4"/>
      <c r="N3201" s="4" t="s">
        <v>6991</v>
      </c>
      <c r="O3201" s="4">
        <v>868</v>
      </c>
    </row>
    <row r="3202" spans="1:15" ht="15.75" customHeight="1">
      <c r="A3202" s="4"/>
      <c r="B3202" s="4"/>
      <c r="C3202" s="4"/>
      <c r="D3202" s="4"/>
      <c r="E3202" s="4"/>
      <c r="G3202" s="4"/>
      <c r="H3202" s="4"/>
      <c r="K3202" s="4"/>
      <c r="N3202" s="4" t="s">
        <v>6995</v>
      </c>
      <c r="O3202" s="4">
        <v>214</v>
      </c>
    </row>
    <row r="3203" spans="1:15" ht="15.75" customHeight="1">
      <c r="A3203" s="4"/>
      <c r="B3203" s="4"/>
      <c r="C3203" s="4"/>
      <c r="D3203" s="4"/>
      <c r="E3203" s="4"/>
      <c r="G3203" s="4"/>
      <c r="H3203" s="4"/>
      <c r="I3203" s="4"/>
      <c r="K3203" s="4"/>
      <c r="N3203" s="4" t="s">
        <v>6998</v>
      </c>
      <c r="O3203" s="4">
        <v>495</v>
      </c>
    </row>
    <row r="3204" spans="1:15" ht="15.75" customHeight="1">
      <c r="A3204" s="4"/>
      <c r="B3204" s="4"/>
      <c r="C3204" s="4"/>
      <c r="D3204" s="4"/>
      <c r="E3204" s="4"/>
      <c r="G3204" s="4"/>
      <c r="H3204" s="4"/>
      <c r="I3204" s="4"/>
      <c r="K3204" s="4"/>
      <c r="N3204" s="4" t="s">
        <v>7002</v>
      </c>
      <c r="O3204" s="4">
        <v>367</v>
      </c>
    </row>
    <row r="3205" spans="1:15" ht="15.75" customHeight="1">
      <c r="A3205" s="4"/>
      <c r="B3205" s="4"/>
      <c r="C3205" s="4"/>
      <c r="D3205" s="4"/>
      <c r="E3205" s="4"/>
      <c r="G3205" s="4"/>
      <c r="H3205" s="4"/>
      <c r="K3205" s="4"/>
      <c r="N3205" s="4" t="s">
        <v>7006</v>
      </c>
      <c r="O3205" s="4">
        <v>437</v>
      </c>
    </row>
    <row r="3206" spans="1:15" ht="15.75" customHeight="1">
      <c r="A3206" s="4"/>
      <c r="B3206" s="4"/>
      <c r="C3206" s="4"/>
      <c r="D3206" s="4"/>
      <c r="E3206" s="4"/>
      <c r="G3206" s="4"/>
      <c r="H3206" s="4"/>
      <c r="K3206" s="4"/>
      <c r="N3206" s="4" t="s">
        <v>5435</v>
      </c>
      <c r="O3206" s="4">
        <v>318</v>
      </c>
    </row>
    <row r="3207" spans="1:15" ht="15.75" customHeight="1">
      <c r="A3207" s="4"/>
      <c r="B3207" s="4"/>
      <c r="C3207" s="4"/>
      <c r="D3207" s="4"/>
      <c r="E3207" s="4"/>
      <c r="G3207" s="4"/>
      <c r="H3207" s="4"/>
      <c r="K3207" s="4"/>
      <c r="N3207" s="4" t="s">
        <v>292</v>
      </c>
      <c r="O3207" s="4">
        <v>448</v>
      </c>
    </row>
    <row r="3208" spans="1:15" ht="15.75" customHeight="1">
      <c r="A3208" s="4"/>
      <c r="B3208" s="4"/>
      <c r="C3208" s="4"/>
      <c r="D3208" s="4"/>
      <c r="E3208" s="4"/>
      <c r="G3208" s="4"/>
      <c r="H3208" s="4"/>
      <c r="K3208" s="4"/>
      <c r="N3208" s="4" t="s">
        <v>56</v>
      </c>
      <c r="O3208" s="4">
        <v>311</v>
      </c>
    </row>
    <row r="3209" spans="1:15" ht="15.75" customHeight="1">
      <c r="B3209" s="4"/>
      <c r="C3209" s="4"/>
      <c r="D3209" s="4"/>
      <c r="E3209" s="4"/>
      <c r="G3209" s="4"/>
      <c r="H3209" s="4"/>
      <c r="I3209" s="4"/>
      <c r="K3209" s="4"/>
      <c r="N3209" s="4" t="s">
        <v>7015</v>
      </c>
      <c r="O3209" s="4">
        <v>881</v>
      </c>
    </row>
    <row r="3210" spans="1:15" ht="15.75" customHeight="1">
      <c r="B3210" s="4"/>
      <c r="C3210" s="4"/>
      <c r="D3210" s="4"/>
      <c r="E3210" s="4"/>
      <c r="G3210" s="4"/>
      <c r="H3210" s="4"/>
      <c r="K3210" s="4"/>
      <c r="N3210" s="4" t="s">
        <v>56</v>
      </c>
      <c r="O3210" s="4">
        <v>360</v>
      </c>
    </row>
    <row r="3211" spans="1:15" ht="15.75" customHeight="1">
      <c r="A3211" s="4"/>
      <c r="B3211" s="4"/>
      <c r="C3211" s="4"/>
      <c r="D3211" s="4"/>
      <c r="E3211" s="4"/>
      <c r="G3211" s="4"/>
      <c r="H3211" s="4"/>
      <c r="K3211" s="4"/>
      <c r="N3211" s="4" t="s">
        <v>7021</v>
      </c>
      <c r="O3211" s="4">
        <v>86</v>
      </c>
    </row>
    <row r="3212" spans="1:15" ht="15.75" customHeight="1">
      <c r="A3212" s="4"/>
      <c r="B3212" s="4"/>
      <c r="C3212" s="4"/>
      <c r="D3212" s="4"/>
      <c r="E3212" s="4"/>
      <c r="G3212" s="4"/>
      <c r="H3212" s="4"/>
      <c r="I3212" s="4"/>
      <c r="K3212" s="4"/>
      <c r="N3212" s="4" t="s">
        <v>7024</v>
      </c>
      <c r="O3212" s="4">
        <v>144</v>
      </c>
    </row>
    <row r="3213" spans="1:15" ht="15.75" customHeight="1">
      <c r="A3213" s="4"/>
      <c r="B3213" s="4"/>
      <c r="C3213" s="4"/>
      <c r="D3213" s="4"/>
      <c r="E3213" s="4"/>
      <c r="G3213" s="4"/>
      <c r="H3213" s="4"/>
      <c r="K3213" s="4"/>
      <c r="N3213" s="4" t="s">
        <v>7028</v>
      </c>
      <c r="O3213" s="4">
        <v>106</v>
      </c>
    </row>
    <row r="3214" spans="1:15" ht="15.75" customHeight="1">
      <c r="A3214" s="4"/>
      <c r="B3214" s="4"/>
      <c r="C3214" s="4"/>
      <c r="D3214" s="4"/>
      <c r="E3214" s="4"/>
      <c r="G3214" s="4"/>
      <c r="H3214" s="4"/>
      <c r="K3214" s="4"/>
      <c r="N3214" s="4" t="s">
        <v>7031</v>
      </c>
      <c r="O3214" s="4">
        <v>81</v>
      </c>
    </row>
    <row r="3215" spans="1:15" ht="15.75" customHeight="1">
      <c r="A3215" s="4"/>
      <c r="B3215" s="4"/>
      <c r="C3215" s="4"/>
      <c r="D3215" s="4"/>
      <c r="E3215" s="4"/>
      <c r="G3215" s="4"/>
      <c r="H3215" s="4"/>
      <c r="K3215" s="4"/>
      <c r="N3215" s="4" t="s">
        <v>7034</v>
      </c>
      <c r="O3215" s="4">
        <v>177</v>
      </c>
    </row>
    <row r="3216" spans="1:15" ht="15.75" customHeight="1">
      <c r="A3216" s="4"/>
      <c r="B3216" s="4"/>
      <c r="C3216" s="4"/>
      <c r="D3216" s="4"/>
      <c r="E3216" s="4"/>
      <c r="G3216" s="4"/>
      <c r="H3216" s="4"/>
      <c r="K3216" s="4"/>
      <c r="N3216" s="4" t="s">
        <v>7037</v>
      </c>
      <c r="O3216" s="4">
        <v>786</v>
      </c>
    </row>
    <row r="3217" spans="1:15" ht="15.75" customHeight="1">
      <c r="A3217" s="4"/>
      <c r="B3217" s="4"/>
      <c r="C3217" s="4"/>
      <c r="D3217" s="4"/>
      <c r="E3217" s="4"/>
      <c r="G3217" s="4"/>
      <c r="H3217" s="4"/>
      <c r="I3217" s="4"/>
      <c r="K3217" s="4"/>
      <c r="N3217" s="4" t="s">
        <v>7040</v>
      </c>
      <c r="O3217" s="4">
        <v>103</v>
      </c>
    </row>
    <row r="3218" spans="1:15" ht="15.75" customHeight="1">
      <c r="A3218" s="4"/>
      <c r="B3218" s="4"/>
      <c r="C3218" s="4"/>
      <c r="D3218" s="4"/>
      <c r="E3218" s="4"/>
      <c r="G3218" s="4"/>
      <c r="H3218" s="4"/>
      <c r="K3218" s="4"/>
      <c r="N3218" s="4" t="s">
        <v>7044</v>
      </c>
      <c r="O3218" s="4">
        <v>49</v>
      </c>
    </row>
    <row r="3219" spans="1:15" ht="15.75" customHeight="1">
      <c r="A3219" s="4"/>
      <c r="B3219" s="4"/>
      <c r="C3219" s="4"/>
      <c r="D3219" s="4"/>
      <c r="E3219" s="4"/>
      <c r="G3219" s="4"/>
      <c r="H3219" s="4"/>
      <c r="I3219" s="4"/>
      <c r="K3219" s="4"/>
      <c r="N3219" s="4" t="s">
        <v>7047</v>
      </c>
      <c r="O3219" s="4">
        <v>506</v>
      </c>
    </row>
    <row r="3220" spans="1:15" ht="15.75" customHeight="1">
      <c r="A3220" s="4"/>
      <c r="B3220" s="4"/>
      <c r="C3220" s="4"/>
      <c r="D3220" s="4"/>
      <c r="E3220" s="4"/>
      <c r="G3220" s="4"/>
      <c r="H3220" s="4"/>
      <c r="I3220" s="4"/>
      <c r="K3220" s="4"/>
      <c r="N3220" s="4" t="s">
        <v>7051</v>
      </c>
      <c r="O3220" s="4">
        <v>405</v>
      </c>
    </row>
    <row r="3221" spans="1:15" ht="15.75" customHeight="1">
      <c r="A3221" s="4"/>
      <c r="B3221" s="4"/>
      <c r="C3221" s="4"/>
      <c r="D3221" s="4"/>
      <c r="E3221" s="4"/>
      <c r="G3221" s="4"/>
      <c r="H3221" s="4"/>
      <c r="I3221" s="4"/>
      <c r="K3221" s="4"/>
      <c r="N3221" s="4" t="s">
        <v>7055</v>
      </c>
      <c r="O3221" s="4">
        <v>81</v>
      </c>
    </row>
    <row r="3222" spans="1:15" ht="15.75" customHeight="1">
      <c r="A3222" s="4"/>
      <c r="B3222" s="4"/>
      <c r="C3222" s="4"/>
      <c r="D3222" s="4"/>
      <c r="E3222" s="4"/>
      <c r="G3222" s="4"/>
      <c r="H3222" s="4"/>
      <c r="I3222" s="4"/>
      <c r="K3222" s="4"/>
      <c r="N3222" s="4" t="s">
        <v>7059</v>
      </c>
      <c r="O3222" s="4">
        <v>423</v>
      </c>
    </row>
    <row r="3223" spans="1:15" ht="15.75" customHeight="1">
      <c r="A3223" s="4"/>
      <c r="B3223" s="4"/>
      <c r="C3223" s="4"/>
      <c r="D3223" s="4"/>
      <c r="E3223" s="4"/>
      <c r="G3223" s="4"/>
      <c r="H3223" s="4"/>
      <c r="K3223" s="4"/>
      <c r="N3223" s="4" t="s">
        <v>7063</v>
      </c>
      <c r="O3223" s="4">
        <v>164</v>
      </c>
    </row>
    <row r="3224" spans="1:15" ht="15.75" customHeight="1">
      <c r="A3224" s="4"/>
      <c r="B3224" s="4"/>
      <c r="C3224" s="4"/>
      <c r="D3224" s="4"/>
      <c r="E3224" s="4"/>
      <c r="G3224" s="4"/>
      <c r="H3224" s="4"/>
      <c r="I3224" s="4"/>
      <c r="K3224" s="4"/>
      <c r="N3224" s="4" t="s">
        <v>7066</v>
      </c>
      <c r="O3224" s="4">
        <v>484</v>
      </c>
    </row>
    <row r="3225" spans="1:15" ht="15.75" customHeight="1">
      <c r="A3225" s="4"/>
      <c r="B3225" s="4"/>
      <c r="C3225" s="4"/>
      <c r="D3225" s="4"/>
      <c r="E3225" s="4"/>
      <c r="G3225" s="4"/>
      <c r="H3225" s="4"/>
      <c r="K3225" s="4"/>
      <c r="N3225" s="4" t="s">
        <v>7070</v>
      </c>
      <c r="O3225" s="4">
        <v>174</v>
      </c>
    </row>
    <row r="3226" spans="1:15" ht="15.75" customHeight="1">
      <c r="A3226" s="4"/>
      <c r="B3226" s="4"/>
      <c r="C3226" s="4"/>
      <c r="D3226" s="4"/>
      <c r="E3226" s="4"/>
      <c r="G3226" s="4"/>
      <c r="H3226" s="4"/>
      <c r="K3226" s="4"/>
      <c r="N3226" s="4" t="s">
        <v>6725</v>
      </c>
      <c r="O3226" s="4">
        <v>245</v>
      </c>
    </row>
    <row r="3227" spans="1:15" ht="15.75" customHeight="1">
      <c r="A3227" s="4"/>
      <c r="B3227" s="4"/>
      <c r="C3227" s="4"/>
      <c r="D3227" s="4"/>
      <c r="E3227" s="4"/>
      <c r="G3227" s="4"/>
      <c r="H3227" s="4"/>
      <c r="I3227" s="4"/>
      <c r="K3227" s="4"/>
      <c r="N3227" s="4" t="s">
        <v>7075</v>
      </c>
      <c r="O3227" s="4">
        <v>161</v>
      </c>
    </row>
    <row r="3228" spans="1:15" ht="15.75" customHeight="1">
      <c r="B3228" s="4"/>
      <c r="C3228" s="4"/>
      <c r="D3228" s="4"/>
      <c r="E3228" s="4"/>
      <c r="G3228" s="4"/>
      <c r="H3228" s="4"/>
      <c r="K3228" s="4"/>
      <c r="N3228" s="4" t="s">
        <v>7079</v>
      </c>
      <c r="O3228" s="4">
        <v>300</v>
      </c>
    </row>
    <row r="3229" spans="1:15" ht="15.75" customHeight="1">
      <c r="A3229" s="4"/>
      <c r="B3229" s="4"/>
      <c r="C3229" s="4"/>
      <c r="D3229" s="4"/>
      <c r="E3229" s="4"/>
      <c r="G3229" s="4"/>
      <c r="H3229" s="4"/>
      <c r="K3229" s="4"/>
      <c r="N3229" s="4" t="s">
        <v>7082</v>
      </c>
      <c r="O3229" s="4">
        <v>291</v>
      </c>
    </row>
    <row r="3230" spans="1:15" ht="15.75" customHeight="1">
      <c r="A3230" s="4"/>
      <c r="B3230" s="4"/>
      <c r="C3230" s="4"/>
      <c r="D3230" s="4"/>
      <c r="E3230" s="4"/>
      <c r="G3230" s="4"/>
      <c r="H3230" s="4"/>
      <c r="K3230" s="4"/>
      <c r="N3230" s="4" t="s">
        <v>7085</v>
      </c>
      <c r="O3230" s="4">
        <v>142</v>
      </c>
    </row>
    <row r="3231" spans="1:15" ht="15.75" customHeight="1">
      <c r="A3231" s="4"/>
      <c r="B3231" s="4"/>
      <c r="C3231" s="4"/>
      <c r="D3231" s="4"/>
      <c r="E3231" s="4"/>
      <c r="G3231" s="4"/>
      <c r="H3231" s="4"/>
      <c r="K3231" s="4"/>
      <c r="N3231" s="4" t="s">
        <v>2239</v>
      </c>
      <c r="O3231" s="4">
        <v>175</v>
      </c>
    </row>
    <row r="3232" spans="1:15" ht="15.75" customHeight="1">
      <c r="A3232" s="4"/>
      <c r="B3232" s="4"/>
      <c r="C3232" s="4"/>
      <c r="D3232" s="4"/>
      <c r="E3232" s="4"/>
      <c r="G3232" s="4"/>
      <c r="H3232" s="4"/>
      <c r="K3232" s="4"/>
      <c r="N3232" s="4" t="s">
        <v>7090</v>
      </c>
      <c r="O3232" s="4">
        <v>173</v>
      </c>
    </row>
    <row r="3233" spans="1:15" ht="15.75" customHeight="1">
      <c r="A3233" s="4"/>
      <c r="B3233" s="4"/>
      <c r="C3233" s="4"/>
      <c r="D3233" s="4"/>
      <c r="E3233" s="4"/>
      <c r="G3233" s="4"/>
      <c r="H3233" s="4"/>
      <c r="K3233" s="4"/>
      <c r="N3233" s="4" t="s">
        <v>1996</v>
      </c>
      <c r="O3233" s="4">
        <v>367</v>
      </c>
    </row>
    <row r="3234" spans="1:15" ht="15.75" customHeight="1">
      <c r="A3234" s="4"/>
      <c r="B3234" s="4"/>
      <c r="C3234" s="4"/>
      <c r="D3234" s="4"/>
      <c r="E3234" s="4"/>
      <c r="G3234" s="4"/>
      <c r="H3234" s="4"/>
      <c r="I3234" s="4"/>
      <c r="K3234" s="4"/>
      <c r="N3234" s="4" t="s">
        <v>7095</v>
      </c>
      <c r="O3234" s="4">
        <v>333</v>
      </c>
    </row>
    <row r="3235" spans="1:15" ht="15.75" customHeight="1">
      <c r="A3235" s="4"/>
      <c r="B3235" s="4"/>
      <c r="C3235" s="4"/>
      <c r="D3235" s="4"/>
      <c r="E3235" s="4"/>
      <c r="G3235" s="4"/>
      <c r="H3235" s="4"/>
      <c r="K3235" s="4"/>
      <c r="N3235" s="4" t="s">
        <v>7099</v>
      </c>
      <c r="O3235" s="4">
        <v>927</v>
      </c>
    </row>
    <row r="3236" spans="1:15" ht="15.75" customHeight="1">
      <c r="A3236" s="4"/>
      <c r="B3236" s="4"/>
      <c r="C3236" s="4"/>
      <c r="D3236" s="4"/>
      <c r="E3236" s="4"/>
      <c r="G3236" s="4"/>
      <c r="H3236" s="4"/>
      <c r="K3236" s="4"/>
      <c r="N3236" s="4" t="s">
        <v>7102</v>
      </c>
      <c r="O3236" s="4">
        <v>227</v>
      </c>
    </row>
    <row r="3237" spans="1:15" ht="15.75" customHeight="1">
      <c r="A3237" s="4"/>
      <c r="B3237" s="4"/>
      <c r="C3237" s="4"/>
      <c r="D3237" s="4"/>
      <c r="E3237" s="4"/>
      <c r="G3237" s="4"/>
      <c r="H3237" s="4"/>
      <c r="K3237" s="4"/>
      <c r="N3237" s="4" t="s">
        <v>7105</v>
      </c>
      <c r="O3237" s="4">
        <v>250</v>
      </c>
    </row>
    <row r="3238" spans="1:15" ht="15.75" customHeight="1">
      <c r="A3238" s="4"/>
      <c r="B3238" s="4"/>
      <c r="C3238" s="4"/>
      <c r="D3238" s="4"/>
      <c r="E3238" s="4"/>
      <c r="G3238" s="4"/>
      <c r="H3238" s="4"/>
      <c r="I3238" s="4"/>
      <c r="K3238" s="4"/>
      <c r="N3238" s="4" t="s">
        <v>7108</v>
      </c>
      <c r="O3238" s="4">
        <v>467</v>
      </c>
    </row>
    <row r="3239" spans="1:15" ht="15.75" customHeight="1">
      <c r="A3239" s="4"/>
      <c r="B3239" s="4"/>
      <c r="C3239" s="4"/>
      <c r="D3239" s="4"/>
      <c r="E3239" s="4"/>
      <c r="G3239" s="4"/>
      <c r="H3239" s="4"/>
      <c r="K3239" s="4"/>
      <c r="N3239" s="4" t="s">
        <v>7112</v>
      </c>
      <c r="O3239" s="4">
        <v>446</v>
      </c>
    </row>
    <row r="3240" spans="1:15" ht="15.75" customHeight="1">
      <c r="A3240" s="4"/>
      <c r="B3240" s="4"/>
      <c r="C3240" s="4"/>
      <c r="D3240" s="4"/>
      <c r="E3240" s="4"/>
      <c r="G3240" s="4"/>
      <c r="H3240" s="4"/>
      <c r="K3240" s="4"/>
      <c r="N3240" s="4" t="s">
        <v>56</v>
      </c>
      <c r="O3240" s="4">
        <v>104</v>
      </c>
    </row>
    <row r="3241" spans="1:15" ht="15.75" customHeight="1">
      <c r="A3241" s="4"/>
      <c r="B3241" s="4"/>
      <c r="C3241" s="4"/>
      <c r="D3241" s="4"/>
      <c r="E3241" s="4"/>
      <c r="G3241" s="4"/>
      <c r="H3241" s="4"/>
      <c r="K3241" s="4"/>
      <c r="N3241" s="4" t="s">
        <v>7117</v>
      </c>
      <c r="O3241" s="4">
        <v>355</v>
      </c>
    </row>
    <row r="3242" spans="1:15" ht="15.75" customHeight="1">
      <c r="A3242" s="4"/>
      <c r="B3242" s="4"/>
      <c r="C3242" s="4"/>
      <c r="D3242" s="4"/>
      <c r="E3242" s="4"/>
      <c r="G3242" s="4"/>
      <c r="H3242" s="4"/>
      <c r="K3242" s="4"/>
      <c r="N3242" s="4" t="s">
        <v>7117</v>
      </c>
      <c r="O3242" s="4">
        <v>245</v>
      </c>
    </row>
    <row r="3243" spans="1:15" ht="15.75" customHeight="1">
      <c r="A3243" s="4"/>
      <c r="B3243" s="4"/>
      <c r="C3243" s="4"/>
      <c r="D3243" s="4"/>
      <c r="E3243" s="4"/>
      <c r="G3243" s="4"/>
      <c r="H3243" s="4"/>
      <c r="K3243" s="4"/>
      <c r="N3243" s="4" t="s">
        <v>2493</v>
      </c>
      <c r="O3243" s="4">
        <v>200</v>
      </c>
    </row>
    <row r="3244" spans="1:15" ht="15.75" customHeight="1">
      <c r="A3244" s="4"/>
      <c r="B3244" s="4"/>
      <c r="C3244" s="4"/>
      <c r="D3244" s="4"/>
      <c r="E3244" s="4"/>
      <c r="G3244" s="4"/>
      <c r="H3244" s="4"/>
      <c r="K3244" s="4"/>
      <c r="N3244" s="4" t="s">
        <v>1125</v>
      </c>
      <c r="O3244" s="4">
        <v>458</v>
      </c>
    </row>
    <row r="3245" spans="1:15" ht="15.75" customHeight="1">
      <c r="A3245" s="4"/>
      <c r="B3245" s="4"/>
      <c r="C3245" s="4"/>
      <c r="D3245" s="4"/>
      <c r="E3245" s="4"/>
      <c r="G3245" s="4"/>
      <c r="H3245" s="4"/>
      <c r="K3245" s="4"/>
      <c r="N3245" s="4" t="s">
        <v>7126</v>
      </c>
      <c r="O3245" s="4">
        <v>214</v>
      </c>
    </row>
    <row r="3246" spans="1:15" ht="15.75" customHeight="1">
      <c r="A3246" s="4"/>
      <c r="B3246" s="4"/>
      <c r="C3246" s="4"/>
      <c r="D3246" s="4"/>
      <c r="E3246" s="4"/>
      <c r="G3246" s="4"/>
      <c r="H3246" s="4"/>
      <c r="K3246" s="4"/>
      <c r="N3246" s="4" t="s">
        <v>7129</v>
      </c>
      <c r="O3246" s="4">
        <v>258</v>
      </c>
    </row>
    <row r="3247" spans="1:15" ht="15.75" customHeight="1">
      <c r="B3247" s="4"/>
      <c r="C3247" s="4"/>
      <c r="D3247" s="4"/>
      <c r="E3247" s="4"/>
      <c r="G3247" s="4"/>
      <c r="H3247" s="4"/>
      <c r="K3247" s="4"/>
      <c r="N3247" s="4" t="s">
        <v>7132</v>
      </c>
      <c r="O3247" s="4">
        <v>207</v>
      </c>
    </row>
    <row r="3248" spans="1:15" ht="15.75" customHeight="1">
      <c r="A3248" s="4"/>
      <c r="B3248" s="4"/>
      <c r="C3248" s="4"/>
      <c r="D3248" s="4"/>
      <c r="E3248" s="4"/>
      <c r="G3248" s="4"/>
      <c r="H3248" s="4"/>
      <c r="K3248" s="4"/>
      <c r="N3248" s="4" t="s">
        <v>5732</v>
      </c>
      <c r="O3248" s="4">
        <v>217</v>
      </c>
    </row>
    <row r="3249" spans="1:15" ht="15.75" customHeight="1">
      <c r="A3249" s="4"/>
      <c r="B3249" s="4"/>
      <c r="C3249" s="4"/>
      <c r="D3249" s="4"/>
      <c r="E3249" s="4"/>
      <c r="G3249" s="4"/>
      <c r="H3249" s="4"/>
      <c r="K3249" s="4"/>
      <c r="N3249" s="4" t="s">
        <v>7137</v>
      </c>
      <c r="O3249" s="4">
        <v>167</v>
      </c>
    </row>
    <row r="3250" spans="1:15" ht="15.75" customHeight="1">
      <c r="A3250" s="4"/>
      <c r="B3250" s="4"/>
      <c r="C3250" s="4"/>
      <c r="D3250" s="4"/>
      <c r="E3250" s="4"/>
      <c r="G3250" s="4"/>
      <c r="H3250" s="4"/>
      <c r="K3250" s="4"/>
      <c r="N3250" s="4" t="s">
        <v>3280</v>
      </c>
      <c r="O3250" s="4">
        <v>328</v>
      </c>
    </row>
    <row r="3251" spans="1:15" ht="15.75" customHeight="1">
      <c r="A3251" s="4"/>
      <c r="B3251" s="4"/>
      <c r="C3251" s="4"/>
      <c r="D3251" s="4"/>
      <c r="E3251" s="4"/>
      <c r="G3251" s="4"/>
      <c r="H3251" s="4"/>
      <c r="K3251" s="4"/>
      <c r="N3251" s="4" t="s">
        <v>2242</v>
      </c>
      <c r="O3251" s="4">
        <v>194</v>
      </c>
    </row>
    <row r="3252" spans="1:15" ht="15.75" customHeight="1">
      <c r="A3252" s="4"/>
      <c r="B3252" s="4"/>
      <c r="C3252" s="4"/>
      <c r="D3252" s="4"/>
      <c r="E3252" s="4"/>
      <c r="G3252" s="4"/>
      <c r="H3252" s="4"/>
      <c r="K3252" s="4"/>
      <c r="N3252" s="4" t="s">
        <v>7144</v>
      </c>
      <c r="O3252" s="4">
        <v>127</v>
      </c>
    </row>
    <row r="3253" spans="1:15" ht="15.75" customHeight="1">
      <c r="A3253" s="4"/>
      <c r="B3253" s="4"/>
      <c r="C3253" s="4"/>
      <c r="D3253" s="4"/>
      <c r="E3253" s="4"/>
      <c r="G3253" s="4"/>
      <c r="H3253" s="4"/>
      <c r="K3253" s="4"/>
    </row>
    <row r="3254" spans="1:15" ht="15.75" customHeight="1">
      <c r="A3254" s="4"/>
      <c r="B3254" s="4"/>
      <c r="C3254" s="4"/>
      <c r="D3254" s="4"/>
      <c r="E3254" s="4"/>
      <c r="G3254" s="4"/>
      <c r="H3254" s="4"/>
      <c r="K3254" s="4"/>
    </row>
    <row r="3255" spans="1:15" ht="15.75" customHeight="1">
      <c r="A3255" s="4"/>
      <c r="B3255" s="4"/>
      <c r="C3255" s="4"/>
      <c r="D3255" s="4"/>
      <c r="E3255" s="4"/>
      <c r="G3255" s="4"/>
      <c r="H3255" s="4"/>
      <c r="I3255" s="4"/>
      <c r="K3255" s="4"/>
    </row>
    <row r="3256" spans="1:15" ht="15.75" customHeight="1">
      <c r="A3256" s="4"/>
      <c r="B3256" s="4"/>
      <c r="C3256" s="4"/>
      <c r="D3256" s="4"/>
      <c r="E3256" s="4"/>
      <c r="G3256" s="4"/>
      <c r="H3256" s="4"/>
      <c r="K3256" s="4"/>
    </row>
    <row r="3257" spans="1:15" ht="15.75" customHeight="1">
      <c r="A3257" s="4"/>
      <c r="B3257" s="4"/>
      <c r="C3257" s="4"/>
      <c r="D3257" s="4"/>
      <c r="E3257" s="4"/>
      <c r="G3257" s="4"/>
      <c r="H3257" s="4"/>
      <c r="K3257" s="4"/>
    </row>
    <row r="3258" spans="1:15" ht="15.75" customHeight="1">
      <c r="A3258" s="4"/>
      <c r="B3258" s="4"/>
      <c r="C3258" s="4"/>
      <c r="D3258" s="4"/>
      <c r="E3258" s="4"/>
      <c r="G3258" s="4"/>
      <c r="H3258" s="4"/>
      <c r="K3258" s="4"/>
    </row>
    <row r="3259" spans="1:15" ht="15.75" customHeight="1">
      <c r="A3259" s="4"/>
      <c r="B3259" s="4"/>
      <c r="C3259" s="4"/>
      <c r="D3259" s="4"/>
      <c r="E3259" s="4"/>
      <c r="G3259" s="4"/>
      <c r="H3259" s="4"/>
      <c r="K3259" s="4"/>
    </row>
    <row r="3260" spans="1:15" ht="15.75" customHeight="1">
      <c r="A3260" s="4"/>
      <c r="B3260" s="4"/>
      <c r="C3260" s="4"/>
      <c r="D3260" s="4"/>
      <c r="E3260" s="4"/>
      <c r="G3260" s="4"/>
      <c r="H3260" s="4"/>
      <c r="K3260" s="4"/>
    </row>
    <row r="3261" spans="1:15" ht="15.75" customHeight="1">
      <c r="A3261" s="4"/>
      <c r="B3261" s="4"/>
      <c r="C3261" s="4"/>
      <c r="D3261" s="4"/>
      <c r="E3261" s="4"/>
      <c r="G3261" s="4"/>
      <c r="H3261" s="4"/>
      <c r="K3261" s="4"/>
    </row>
    <row r="3262" spans="1:15" ht="15.75" customHeight="1">
      <c r="A3262" s="4"/>
      <c r="B3262" s="4"/>
      <c r="C3262" s="4"/>
      <c r="D3262" s="4"/>
      <c r="E3262" s="4"/>
      <c r="G3262" s="4"/>
      <c r="H3262" s="4"/>
      <c r="K3262" s="4"/>
    </row>
    <row r="3263" spans="1:15" ht="15.75" customHeight="1">
      <c r="A3263" s="4"/>
      <c r="B3263" s="4"/>
      <c r="C3263" s="4"/>
      <c r="D3263" s="4"/>
      <c r="E3263" s="4"/>
      <c r="G3263" s="4"/>
      <c r="H3263" s="4"/>
      <c r="K3263" s="4"/>
    </row>
    <row r="3264" spans="1:15" ht="15.75" customHeight="1">
      <c r="A3264" s="4"/>
      <c r="B3264" s="4"/>
      <c r="C3264" s="4"/>
      <c r="D3264" s="4"/>
      <c r="E3264" s="4"/>
      <c r="G3264" s="4"/>
      <c r="H3264" s="4"/>
      <c r="K3264" s="4"/>
    </row>
    <row r="3265" spans="1:11" ht="15.75" customHeight="1">
      <c r="A3265" s="4"/>
      <c r="B3265" s="4"/>
      <c r="C3265" s="4"/>
      <c r="D3265" s="4"/>
      <c r="E3265" s="4"/>
      <c r="G3265" s="4"/>
      <c r="H3265" s="4"/>
      <c r="K3265" s="4"/>
    </row>
    <row r="3266" spans="1:11" ht="15.75" customHeight="1">
      <c r="A3266" s="4"/>
      <c r="B3266" s="4"/>
      <c r="C3266" s="4"/>
      <c r="D3266" s="4"/>
      <c r="E3266" s="4"/>
      <c r="G3266" s="4"/>
      <c r="H3266" s="4"/>
      <c r="K3266" s="4"/>
    </row>
    <row r="3267" spans="1:11" ht="15.75" customHeight="1">
      <c r="A3267" s="4"/>
      <c r="B3267" s="4"/>
      <c r="C3267" s="4"/>
      <c r="D3267" s="4"/>
      <c r="E3267" s="4"/>
      <c r="G3267" s="4"/>
      <c r="H3267" s="4"/>
      <c r="K3267" s="4"/>
    </row>
    <row r="3268" spans="1:11" ht="15.75" customHeight="1">
      <c r="A3268" s="4"/>
      <c r="B3268" s="4"/>
      <c r="C3268" s="4"/>
      <c r="D3268" s="4"/>
      <c r="E3268" s="4"/>
      <c r="G3268" s="4"/>
      <c r="H3268" s="4"/>
      <c r="K3268" s="4"/>
    </row>
    <row r="3269" spans="1:11" ht="15.75" customHeight="1">
      <c r="A3269" s="4"/>
      <c r="B3269" s="4"/>
      <c r="C3269" s="4"/>
      <c r="D3269" s="4"/>
      <c r="E3269" s="4"/>
      <c r="G3269" s="4"/>
      <c r="H3269" s="4"/>
      <c r="K3269" s="4"/>
    </row>
    <row r="3270" spans="1:11" ht="15.75" customHeight="1">
      <c r="A3270" s="4"/>
      <c r="B3270" s="4"/>
      <c r="C3270" s="4"/>
      <c r="D3270" s="4"/>
      <c r="E3270" s="4"/>
      <c r="G3270" s="4"/>
      <c r="H3270" s="4"/>
      <c r="K3270" s="4"/>
    </row>
    <row r="3271" spans="1:11" ht="15.75" customHeight="1">
      <c r="A3271" s="4"/>
      <c r="B3271" s="4"/>
      <c r="C3271" s="4"/>
      <c r="D3271" s="4"/>
      <c r="E3271" s="4"/>
      <c r="G3271" s="4"/>
      <c r="H3271" s="4"/>
      <c r="K3271" s="4"/>
    </row>
    <row r="3272" spans="1:11" ht="15.75" customHeight="1">
      <c r="A3272" s="4"/>
      <c r="B3272" s="4"/>
      <c r="C3272" s="4"/>
      <c r="D3272" s="4"/>
      <c r="E3272" s="4"/>
      <c r="G3272" s="4"/>
      <c r="H3272" s="4"/>
      <c r="K3272" s="4"/>
    </row>
    <row r="3273" spans="1:11" ht="15.75" customHeight="1">
      <c r="A3273" s="4"/>
      <c r="B3273" s="4"/>
      <c r="C3273" s="4"/>
      <c r="D3273" s="4"/>
      <c r="E3273" s="4"/>
      <c r="G3273" s="4"/>
      <c r="H3273" s="4"/>
      <c r="K3273" s="4"/>
    </row>
    <row r="3274" spans="1:11" ht="15.75" customHeight="1">
      <c r="A3274" s="4"/>
      <c r="B3274" s="4"/>
      <c r="C3274" s="4"/>
      <c r="D3274" s="4"/>
      <c r="E3274" s="4"/>
      <c r="G3274" s="4"/>
      <c r="H3274" s="4"/>
      <c r="K3274" s="4"/>
    </row>
    <row r="3275" spans="1:11" ht="15.75" customHeight="1">
      <c r="A3275" s="4"/>
      <c r="B3275" s="4"/>
      <c r="C3275" s="4"/>
      <c r="D3275" s="4"/>
      <c r="E3275" s="4"/>
      <c r="G3275" s="4"/>
      <c r="H3275" s="4"/>
      <c r="K3275" s="4"/>
    </row>
    <row r="3276" spans="1:11" ht="15.75" customHeight="1">
      <c r="A3276" s="4"/>
      <c r="B3276" s="4"/>
      <c r="C3276" s="4"/>
      <c r="D3276" s="4"/>
      <c r="E3276" s="4"/>
      <c r="G3276" s="4"/>
      <c r="H3276" s="4"/>
      <c r="K3276" s="4"/>
    </row>
    <row r="3277" spans="1:11" ht="15.75" customHeight="1">
      <c r="A3277" s="4"/>
      <c r="B3277" s="4"/>
      <c r="C3277" s="4"/>
      <c r="D3277" s="4"/>
      <c r="E3277" s="4"/>
      <c r="G3277" s="4"/>
      <c r="H3277" s="4"/>
      <c r="K3277" s="4"/>
    </row>
    <row r="3278" spans="1:11" ht="15.75" customHeight="1">
      <c r="A3278" s="4"/>
      <c r="B3278" s="4"/>
      <c r="C3278" s="4"/>
      <c r="D3278" s="4"/>
      <c r="E3278" s="4"/>
      <c r="G3278" s="4"/>
      <c r="H3278" s="4"/>
      <c r="K3278" s="4"/>
    </row>
    <row r="3279" spans="1:11" ht="15.75" customHeight="1">
      <c r="A3279" s="4"/>
      <c r="B3279" s="4"/>
      <c r="C3279" s="4"/>
      <c r="D3279" s="4"/>
      <c r="E3279" s="4"/>
      <c r="G3279" s="4"/>
      <c r="H3279" s="4"/>
      <c r="K3279" s="4"/>
    </row>
    <row r="3280" spans="1:11" ht="15.75" customHeight="1">
      <c r="A3280" s="4"/>
      <c r="B3280" s="4"/>
      <c r="C3280" s="4"/>
      <c r="D3280" s="4"/>
      <c r="E3280" s="4"/>
      <c r="G3280" s="4"/>
      <c r="H3280" s="4"/>
      <c r="K3280" s="4"/>
    </row>
    <row r="3281" spans="1:15" ht="15.75" customHeight="1">
      <c r="A3281" s="4"/>
      <c r="B3281" s="4"/>
      <c r="C3281" s="4"/>
      <c r="D3281" s="4"/>
      <c r="E3281" s="4"/>
      <c r="G3281" s="4"/>
      <c r="H3281" s="4"/>
      <c r="K3281" s="4"/>
      <c r="N3281" s="4" t="s">
        <v>7181</v>
      </c>
      <c r="O3281" s="4">
        <v>182</v>
      </c>
    </row>
    <row r="3282" spans="1:15" ht="15.75" customHeight="1">
      <c r="A3282" s="4"/>
      <c r="B3282" s="4"/>
      <c r="C3282" s="4"/>
      <c r="D3282" s="4"/>
      <c r="E3282" s="4"/>
      <c r="G3282" s="4"/>
      <c r="H3282" s="4"/>
      <c r="K3282" s="4"/>
      <c r="N3282" s="4" t="s">
        <v>2780</v>
      </c>
      <c r="O3282" s="4">
        <v>520</v>
      </c>
    </row>
    <row r="3283" spans="1:15" ht="15.75" customHeight="1">
      <c r="A3283" s="4"/>
      <c r="B3283" s="4"/>
      <c r="C3283" s="4"/>
      <c r="D3283" s="4"/>
      <c r="E3283" s="4"/>
      <c r="G3283" s="4"/>
      <c r="H3283" s="4"/>
      <c r="K3283" s="4"/>
      <c r="N3283" s="4" t="s">
        <v>5241</v>
      </c>
      <c r="O3283" s="4">
        <v>402</v>
      </c>
    </row>
    <row r="3284" spans="1:15" ht="15.75" customHeight="1">
      <c r="A3284" s="4"/>
      <c r="B3284" s="4"/>
      <c r="C3284" s="4"/>
      <c r="D3284" s="4"/>
      <c r="E3284" s="4"/>
      <c r="G3284" s="4"/>
      <c r="H3284" s="4"/>
      <c r="K3284" s="4"/>
      <c r="N3284" s="4" t="s">
        <v>5241</v>
      </c>
      <c r="O3284" s="4">
        <v>342</v>
      </c>
    </row>
    <row r="3285" spans="1:15" ht="15.75" customHeight="1">
      <c r="A3285" s="4"/>
      <c r="B3285" s="4"/>
      <c r="C3285" s="4"/>
      <c r="D3285" s="4"/>
      <c r="E3285" s="4"/>
      <c r="G3285" s="4"/>
      <c r="H3285" s="4"/>
      <c r="K3285" s="4"/>
      <c r="N3285" s="4" t="s">
        <v>7190</v>
      </c>
      <c r="O3285" s="4">
        <v>337</v>
      </c>
    </row>
    <row r="3286" spans="1:15" ht="15.75" customHeight="1">
      <c r="A3286" s="4"/>
      <c r="B3286" s="4"/>
      <c r="C3286" s="4"/>
      <c r="D3286" s="4"/>
      <c r="E3286" s="4"/>
      <c r="G3286" s="4"/>
      <c r="H3286" s="4"/>
      <c r="K3286" s="4"/>
      <c r="N3286" s="4" t="s">
        <v>56</v>
      </c>
      <c r="O3286" s="4">
        <v>117</v>
      </c>
    </row>
    <row r="3287" spans="1:15" ht="15.75" customHeight="1">
      <c r="A3287" s="4"/>
      <c r="B3287" s="4"/>
      <c r="C3287" s="4"/>
      <c r="D3287" s="4"/>
      <c r="E3287" s="4"/>
      <c r="G3287" s="4"/>
      <c r="H3287" s="4"/>
      <c r="K3287" s="4"/>
      <c r="N3287" s="4" t="s">
        <v>1519</v>
      </c>
      <c r="O3287" s="4">
        <v>391</v>
      </c>
    </row>
    <row r="3288" spans="1:15" ht="15.75" customHeight="1">
      <c r="B3288" s="4"/>
      <c r="C3288" s="4"/>
      <c r="D3288" s="4"/>
      <c r="E3288" s="4"/>
      <c r="G3288" s="4"/>
      <c r="H3288" s="4"/>
      <c r="K3288" s="4"/>
      <c r="N3288" s="4" t="s">
        <v>7197</v>
      </c>
      <c r="O3288" s="4">
        <v>92</v>
      </c>
    </row>
    <row r="3289" spans="1:15" ht="15.75" customHeight="1">
      <c r="B3289" s="4"/>
      <c r="C3289" s="4"/>
      <c r="D3289" s="4"/>
      <c r="E3289" s="4"/>
      <c r="G3289" s="4"/>
      <c r="H3289" s="4"/>
      <c r="K3289" s="4"/>
      <c r="N3289" s="4" t="s">
        <v>397</v>
      </c>
      <c r="O3289" s="4">
        <v>697</v>
      </c>
    </row>
    <row r="3290" spans="1:15" ht="15.75" customHeight="1">
      <c r="B3290" s="4"/>
      <c r="C3290" s="4"/>
      <c r="D3290" s="4"/>
      <c r="E3290" s="4"/>
      <c r="G3290" s="4"/>
      <c r="H3290" s="4"/>
      <c r="K3290" s="4"/>
      <c r="N3290" s="4" t="s">
        <v>2870</v>
      </c>
      <c r="O3290" s="4">
        <v>146</v>
      </c>
    </row>
    <row r="3291" spans="1:15" ht="15.75" customHeight="1">
      <c r="B3291" s="4"/>
      <c r="C3291" s="4"/>
      <c r="D3291" s="4"/>
      <c r="E3291" s="4"/>
      <c r="G3291" s="4"/>
      <c r="H3291" s="4"/>
      <c r="K3291" s="4"/>
    </row>
    <row r="3292" spans="1:15" ht="15.75" customHeight="1">
      <c r="B3292" s="4"/>
      <c r="C3292" s="4"/>
      <c r="D3292" s="4"/>
      <c r="E3292" s="4"/>
      <c r="G3292" s="4"/>
      <c r="H3292" s="4"/>
      <c r="K3292" s="4"/>
    </row>
    <row r="3293" spans="1:15" ht="15.75" customHeight="1">
      <c r="B3293" s="4"/>
      <c r="C3293" s="4"/>
      <c r="D3293" s="4"/>
      <c r="E3293" s="4"/>
      <c r="G3293" s="4"/>
      <c r="H3293" s="4"/>
      <c r="I3293" s="4"/>
      <c r="K3293" s="4"/>
    </row>
    <row r="3294" spans="1:15" ht="15.75" customHeight="1">
      <c r="B3294" s="4"/>
      <c r="C3294" s="4"/>
      <c r="D3294" s="4"/>
      <c r="E3294" s="4"/>
      <c r="G3294" s="4"/>
      <c r="H3294" s="4"/>
      <c r="K3294" s="4"/>
    </row>
    <row r="3295" spans="1:15" ht="15.75" customHeight="1">
      <c r="B3295" s="4"/>
      <c r="C3295" s="4"/>
      <c r="D3295" s="4"/>
      <c r="E3295" s="4"/>
      <c r="G3295" s="4"/>
      <c r="H3295" s="4"/>
      <c r="K3295" s="4"/>
    </row>
    <row r="3296" spans="1:15" ht="15.75" customHeight="1">
      <c r="B3296" s="4"/>
      <c r="C3296" s="4"/>
      <c r="D3296" s="4"/>
      <c r="E3296" s="4"/>
      <c r="G3296" s="4"/>
      <c r="H3296" s="4"/>
      <c r="K3296" s="4"/>
    </row>
    <row r="3297" spans="2:15" ht="15.75" customHeight="1">
      <c r="B3297" s="4"/>
      <c r="C3297" s="4"/>
      <c r="D3297" s="4"/>
      <c r="E3297" s="4"/>
      <c r="G3297" s="4"/>
      <c r="H3297" s="4"/>
      <c r="K3297" s="4"/>
      <c r="N3297" s="4" t="s">
        <v>56</v>
      </c>
      <c r="O3297" s="4">
        <v>215</v>
      </c>
    </row>
    <row r="3298" spans="2:15" ht="15.75" customHeight="1">
      <c r="B3298" s="4"/>
      <c r="C3298" s="4"/>
      <c r="D3298" s="4"/>
      <c r="E3298" s="4"/>
      <c r="G3298" s="4"/>
      <c r="H3298" s="4"/>
      <c r="I3298" s="4"/>
      <c r="K3298" s="4"/>
      <c r="N3298" s="4" t="s">
        <v>7212</v>
      </c>
      <c r="O3298" s="4">
        <v>394</v>
      </c>
    </row>
    <row r="3299" spans="2:15" ht="15.75" customHeight="1">
      <c r="B3299" s="4"/>
      <c r="C3299" s="4"/>
      <c r="D3299" s="4"/>
      <c r="E3299" s="4"/>
      <c r="G3299" s="4"/>
      <c r="H3299" s="4"/>
      <c r="K3299" s="4"/>
      <c r="N3299" s="4" t="s">
        <v>3391</v>
      </c>
      <c r="O3299" s="4">
        <v>497</v>
      </c>
    </row>
    <row r="3300" spans="2:15" ht="15.75" customHeight="1">
      <c r="B3300" s="4"/>
      <c r="C3300" s="4"/>
      <c r="D3300" s="4"/>
      <c r="E3300" s="4"/>
      <c r="G3300" s="4"/>
      <c r="H3300" s="4"/>
      <c r="K3300" s="4"/>
      <c r="N3300" s="4" t="s">
        <v>743</v>
      </c>
      <c r="O3300" s="4">
        <v>156</v>
      </c>
    </row>
    <row r="3301" spans="2:15" ht="15.75" customHeight="1">
      <c r="B3301" s="4"/>
      <c r="C3301" s="4"/>
      <c r="D3301" s="4"/>
      <c r="E3301" s="4"/>
      <c r="G3301" s="4"/>
      <c r="H3301" s="4"/>
      <c r="K3301" s="4"/>
      <c r="N3301" s="4" t="s">
        <v>3391</v>
      </c>
      <c r="O3301" s="4">
        <v>492</v>
      </c>
    </row>
    <row r="3302" spans="2:15" ht="15.75" customHeight="1">
      <c r="B3302" s="4"/>
      <c r="C3302" s="4"/>
      <c r="D3302" s="4"/>
      <c r="E3302" s="4"/>
      <c r="G3302" s="4"/>
      <c r="H3302" s="4"/>
      <c r="K3302" s="4"/>
      <c r="N3302" s="4" t="s">
        <v>3394</v>
      </c>
      <c r="O3302" s="4">
        <v>241</v>
      </c>
    </row>
    <row r="3303" spans="2:15" ht="15.75" customHeight="1">
      <c r="B3303" s="4"/>
      <c r="C3303" s="4"/>
      <c r="D3303" s="4"/>
      <c r="E3303" s="4"/>
      <c r="G3303" s="4"/>
      <c r="H3303" s="4"/>
      <c r="K3303" s="4"/>
      <c r="N3303" s="4" t="s">
        <v>4775</v>
      </c>
      <c r="O3303" s="4">
        <v>227</v>
      </c>
    </row>
    <row r="3304" spans="2:15" ht="15.75" customHeight="1">
      <c r="B3304" s="4"/>
      <c r="C3304" s="4"/>
      <c r="D3304" s="4"/>
      <c r="E3304" s="4"/>
      <c r="G3304" s="4"/>
      <c r="H3304" s="4"/>
      <c r="I3304" s="4"/>
      <c r="K3304" s="4"/>
      <c r="N3304" s="4" t="s">
        <v>7226</v>
      </c>
      <c r="O3304" s="4">
        <v>803</v>
      </c>
    </row>
    <row r="3305" spans="2:15" ht="15.75" customHeight="1">
      <c r="B3305" s="4"/>
      <c r="C3305" s="4"/>
      <c r="D3305" s="4"/>
      <c r="E3305" s="4"/>
      <c r="G3305" s="4"/>
      <c r="H3305" s="4"/>
      <c r="K3305" s="4"/>
      <c r="N3305" s="4" t="s">
        <v>6052</v>
      </c>
      <c r="O3305" s="4">
        <v>547</v>
      </c>
    </row>
    <row r="3306" spans="2:15" ht="15.75" customHeight="1">
      <c r="B3306" s="4"/>
      <c r="C3306" s="4"/>
      <c r="D3306" s="4"/>
      <c r="E3306" s="4"/>
      <c r="G3306" s="4"/>
      <c r="H3306" s="4"/>
      <c r="K3306" s="4"/>
      <c r="N3306" s="4" t="s">
        <v>1164</v>
      </c>
      <c r="O3306" s="4">
        <v>236</v>
      </c>
    </row>
    <row r="3307" spans="2:15" ht="15.75" customHeight="1">
      <c r="B3307" s="4"/>
      <c r="C3307" s="4"/>
      <c r="D3307" s="4"/>
      <c r="E3307" s="4"/>
      <c r="G3307" s="4"/>
      <c r="H3307" s="4"/>
      <c r="K3307" s="4"/>
      <c r="N3307" s="4" t="s">
        <v>3156</v>
      </c>
      <c r="O3307" s="4">
        <v>71</v>
      </c>
    </row>
    <row r="3308" spans="2:15" ht="15.75" customHeight="1">
      <c r="B3308" s="4"/>
      <c r="C3308" s="4"/>
      <c r="D3308" s="4"/>
      <c r="E3308" s="4"/>
      <c r="G3308" s="4"/>
      <c r="H3308" s="4"/>
      <c r="K3308" s="4"/>
      <c r="N3308" s="4" t="s">
        <v>7236</v>
      </c>
      <c r="O3308" s="4">
        <v>273</v>
      </c>
    </row>
    <row r="3309" spans="2:15" ht="15.75" customHeight="1">
      <c r="B3309" s="4"/>
      <c r="C3309" s="4"/>
      <c r="D3309" s="4"/>
      <c r="E3309" s="4"/>
      <c r="G3309" s="4"/>
      <c r="H3309" s="4"/>
      <c r="K3309" s="4"/>
      <c r="N3309" s="4" t="s">
        <v>931</v>
      </c>
      <c r="O3309" s="4">
        <v>167</v>
      </c>
    </row>
    <row r="3310" spans="2:15" ht="15.75" customHeight="1">
      <c r="B3310" s="4"/>
      <c r="C3310" s="4"/>
      <c r="D3310" s="4"/>
      <c r="E3310" s="4"/>
      <c r="G3310" s="4"/>
      <c r="H3310" s="4"/>
      <c r="K3310" s="4"/>
    </row>
    <row r="3311" spans="2:15" ht="15.75" customHeight="1">
      <c r="B3311" s="4"/>
      <c r="C3311" s="4"/>
      <c r="D3311" s="4"/>
      <c r="E3311" s="4"/>
      <c r="G3311" s="4"/>
      <c r="H3311" s="4"/>
      <c r="K3311" s="4"/>
      <c r="N3311" s="4" t="s">
        <v>483</v>
      </c>
      <c r="O3311" s="4">
        <v>379</v>
      </c>
    </row>
    <row r="3312" spans="2:15" ht="15.75" customHeight="1">
      <c r="B3312" s="4"/>
      <c r="C3312" s="4"/>
      <c r="D3312" s="4"/>
      <c r="E3312" s="4"/>
      <c r="G3312" s="4"/>
      <c r="H3312" s="4"/>
      <c r="K3312" s="4"/>
      <c r="N3312" s="4" t="s">
        <v>56</v>
      </c>
      <c r="O3312" s="4">
        <v>248</v>
      </c>
    </row>
    <row r="3313" spans="1:15" ht="15.75" customHeight="1">
      <c r="B3313" s="4"/>
      <c r="C3313" s="4"/>
      <c r="D3313" s="4"/>
      <c r="E3313" s="4"/>
      <c r="G3313" s="4"/>
      <c r="H3313" s="4"/>
      <c r="K3313" s="4"/>
      <c r="N3313" s="4" t="s">
        <v>6019</v>
      </c>
      <c r="O3313" s="4">
        <v>306</v>
      </c>
    </row>
    <row r="3314" spans="1:15" ht="15.75" customHeight="1">
      <c r="B3314" s="4"/>
      <c r="C3314" s="4"/>
      <c r="D3314" s="4"/>
      <c r="E3314" s="4"/>
      <c r="G3314" s="4"/>
      <c r="H3314" s="4"/>
      <c r="K3314" s="4"/>
    </row>
    <row r="3315" spans="1:15" ht="15.75" customHeight="1">
      <c r="B3315" s="4"/>
      <c r="C3315" s="4"/>
      <c r="D3315" s="4"/>
      <c r="E3315" s="4"/>
      <c r="G3315" s="4"/>
      <c r="H3315" s="4"/>
      <c r="K3315" s="4"/>
      <c r="N3315" s="4" t="s">
        <v>7249</v>
      </c>
      <c r="O3315" s="4">
        <v>254</v>
      </c>
    </row>
    <row r="3316" spans="1:15" ht="15.75" customHeight="1">
      <c r="A3316" s="4"/>
      <c r="B3316" s="4"/>
      <c r="C3316" s="4"/>
      <c r="D3316" s="4"/>
      <c r="E3316" s="4"/>
      <c r="G3316" s="4"/>
      <c r="H3316" s="4"/>
      <c r="K3316" s="4"/>
      <c r="N3316" s="4" t="s">
        <v>56</v>
      </c>
      <c r="O3316" s="4">
        <v>136</v>
      </c>
    </row>
    <row r="3317" spans="1:15" ht="15.75" customHeight="1">
      <c r="A3317" s="4"/>
      <c r="B3317" s="4"/>
      <c r="C3317" s="4"/>
      <c r="D3317" s="4"/>
      <c r="E3317" s="4"/>
      <c r="G3317" s="4"/>
      <c r="H3317" s="4"/>
      <c r="K3317" s="4"/>
      <c r="N3317" s="4" t="s">
        <v>92</v>
      </c>
      <c r="O3317" s="4">
        <v>109</v>
      </c>
    </row>
    <row r="3318" spans="1:15" ht="15.75" customHeight="1">
      <c r="A3318" s="4"/>
      <c r="B3318" s="4"/>
      <c r="C3318" s="4"/>
      <c r="D3318" s="4"/>
      <c r="E3318" s="4"/>
      <c r="G3318" s="4"/>
      <c r="H3318" s="4"/>
      <c r="K3318" s="4"/>
      <c r="N3318" s="4" t="s">
        <v>56</v>
      </c>
      <c r="O3318" s="4">
        <v>65</v>
      </c>
    </row>
    <row r="3319" spans="1:15" ht="15.75" customHeight="1">
      <c r="A3319" s="4"/>
      <c r="B3319" s="4"/>
      <c r="C3319" s="4"/>
      <c r="D3319" s="4"/>
      <c r="E3319" s="4"/>
      <c r="G3319" s="4"/>
      <c r="H3319" s="4"/>
      <c r="K3319" s="4"/>
      <c r="N3319" s="4" t="s">
        <v>475</v>
      </c>
      <c r="O3319" s="4">
        <v>240</v>
      </c>
    </row>
    <row r="3320" spans="1:15" ht="15.75" customHeight="1">
      <c r="A3320" s="4"/>
      <c r="B3320" s="4"/>
      <c r="C3320" s="4"/>
      <c r="D3320" s="4"/>
      <c r="E3320" s="4"/>
      <c r="G3320" s="4"/>
      <c r="H3320" s="4"/>
      <c r="K3320" s="4"/>
      <c r="N3320" s="4" t="s">
        <v>56</v>
      </c>
      <c r="O3320" s="4">
        <v>61</v>
      </c>
    </row>
    <row r="3321" spans="1:15" ht="15.75" customHeight="1">
      <c r="A3321" s="4"/>
      <c r="B3321" s="4"/>
      <c r="C3321" s="4"/>
      <c r="D3321" s="4"/>
      <c r="E3321" s="4"/>
      <c r="G3321" s="4"/>
      <c r="H3321" s="4"/>
      <c r="K3321" s="4"/>
      <c r="N3321" s="4" t="s">
        <v>3829</v>
      </c>
      <c r="O3321" s="4">
        <v>74</v>
      </c>
    </row>
    <row r="3322" spans="1:15" ht="15.75" customHeight="1">
      <c r="A3322" s="4"/>
      <c r="B3322" s="4"/>
      <c r="C3322" s="4"/>
      <c r="D3322" s="4"/>
      <c r="E3322" s="4"/>
      <c r="G3322" s="4"/>
      <c r="H3322" s="4"/>
      <c r="K3322" s="4"/>
      <c r="N3322" s="4" t="s">
        <v>56</v>
      </c>
      <c r="O3322" s="4">
        <v>70</v>
      </c>
    </row>
    <row r="3323" spans="1:15" ht="15.75" customHeight="1">
      <c r="B3323" s="4"/>
      <c r="C3323" s="4"/>
      <c r="D3323" s="4"/>
      <c r="E3323" s="4"/>
      <c r="G3323" s="4"/>
      <c r="H3323" s="4"/>
      <c r="K3323" s="4"/>
      <c r="N3323" s="4" t="s">
        <v>7266</v>
      </c>
      <c r="O3323" s="4">
        <v>291</v>
      </c>
    </row>
    <row r="3324" spans="1:15" ht="15.75" customHeight="1">
      <c r="B3324" s="4"/>
      <c r="C3324" s="4"/>
      <c r="D3324" s="4"/>
      <c r="E3324" s="4"/>
      <c r="G3324" s="4"/>
      <c r="H3324" s="4"/>
      <c r="K3324" s="4"/>
      <c r="N3324" s="4" t="s">
        <v>56</v>
      </c>
      <c r="O3324" s="4">
        <v>64</v>
      </c>
    </row>
    <row r="3325" spans="1:15" ht="15.75" customHeight="1">
      <c r="B3325" s="4"/>
      <c r="C3325" s="4"/>
      <c r="D3325" s="4"/>
      <c r="E3325" s="4"/>
      <c r="G3325" s="4"/>
      <c r="H3325" s="4"/>
      <c r="K3325" s="4"/>
      <c r="N3325" s="4" t="s">
        <v>7271</v>
      </c>
      <c r="O3325" s="4">
        <v>295</v>
      </c>
    </row>
    <row r="3326" spans="1:15" ht="15.75" customHeight="1">
      <c r="B3326" s="4"/>
      <c r="C3326" s="4"/>
      <c r="D3326" s="4"/>
      <c r="E3326" s="4"/>
      <c r="G3326" s="4"/>
      <c r="H3326" s="4"/>
      <c r="K3326" s="4"/>
      <c r="N3326" s="4" t="s">
        <v>478</v>
      </c>
      <c r="O3326" s="4">
        <v>81</v>
      </c>
    </row>
    <row r="3327" spans="1:15" ht="15.75" customHeight="1">
      <c r="B3327" s="4"/>
      <c r="C3327" s="4"/>
      <c r="D3327" s="4"/>
      <c r="E3327" s="4"/>
      <c r="G3327" s="4"/>
      <c r="H3327" s="4"/>
      <c r="K3327" s="4"/>
      <c r="N3327" s="4" t="s">
        <v>7276</v>
      </c>
      <c r="O3327" s="4">
        <v>281</v>
      </c>
    </row>
    <row r="3328" spans="1:15" ht="15.75" customHeight="1">
      <c r="B3328" s="4"/>
      <c r="C3328" s="4"/>
      <c r="D3328" s="4"/>
      <c r="E3328" s="4"/>
      <c r="G3328" s="4"/>
      <c r="H3328" s="4"/>
      <c r="K3328" s="4"/>
      <c r="N3328" s="4" t="s">
        <v>2942</v>
      </c>
      <c r="O3328" s="4">
        <v>273</v>
      </c>
    </row>
    <row r="3329" spans="1:15" ht="15.75" customHeight="1">
      <c r="A3329" s="4"/>
      <c r="B3329" s="4"/>
      <c r="C3329" s="4"/>
      <c r="D3329" s="4"/>
      <c r="E3329" s="4"/>
      <c r="G3329" s="4"/>
      <c r="H3329" s="4"/>
      <c r="K3329" s="4"/>
      <c r="N3329" s="4" t="s">
        <v>56</v>
      </c>
      <c r="O3329" s="4">
        <v>99</v>
      </c>
    </row>
    <row r="3330" spans="1:15" ht="15.75" customHeight="1">
      <c r="A3330" s="4"/>
      <c r="B3330" s="4"/>
      <c r="C3330" s="4"/>
      <c r="D3330" s="4"/>
      <c r="E3330" s="4"/>
      <c r="G3330" s="4"/>
      <c r="H3330" s="4"/>
      <c r="K3330" s="4"/>
      <c r="N3330" s="4" t="s">
        <v>56</v>
      </c>
      <c r="O3330" s="4">
        <v>94</v>
      </c>
    </row>
    <row r="3331" spans="1:15" ht="15.75" customHeight="1">
      <c r="A3331" s="4"/>
      <c r="B3331" s="4"/>
      <c r="C3331" s="4"/>
      <c r="D3331" s="4"/>
      <c r="E3331" s="4"/>
      <c r="G3331" s="4"/>
      <c r="H3331" s="4"/>
      <c r="K3331" s="4"/>
      <c r="N3331" s="4" t="s">
        <v>7285</v>
      </c>
      <c r="O3331" s="4">
        <v>192</v>
      </c>
    </row>
    <row r="3332" spans="1:15" ht="15.75" customHeight="1">
      <c r="A3332" s="4"/>
      <c r="B3332" s="4"/>
      <c r="C3332" s="4"/>
      <c r="D3332" s="4"/>
      <c r="E3332" s="4"/>
      <c r="G3332" s="4"/>
      <c r="H3332" s="4"/>
      <c r="K3332" s="4"/>
      <c r="N3332" s="4" t="s">
        <v>7288</v>
      </c>
      <c r="O3332" s="4">
        <v>139</v>
      </c>
    </row>
    <row r="3333" spans="1:15" ht="15.75" customHeight="1">
      <c r="A3333" s="4"/>
      <c r="B3333" s="4"/>
      <c r="C3333" s="4"/>
      <c r="D3333" s="4"/>
      <c r="E3333" s="4"/>
      <c r="G3333" s="4"/>
      <c r="H3333" s="4"/>
      <c r="K3333" s="4"/>
      <c r="N3333" s="4" t="s">
        <v>56</v>
      </c>
      <c r="O3333" s="4">
        <v>87</v>
      </c>
    </row>
    <row r="3334" spans="1:15" ht="15.75" customHeight="1">
      <c r="A3334" s="4"/>
      <c r="B3334" s="4"/>
      <c r="C3334" s="4"/>
      <c r="D3334" s="4"/>
      <c r="E3334" s="4"/>
      <c r="G3334" s="4"/>
      <c r="H3334" s="4"/>
      <c r="K3334" s="4"/>
      <c r="N3334" s="4" t="s">
        <v>56</v>
      </c>
      <c r="O3334" s="4">
        <v>107</v>
      </c>
    </row>
    <row r="3335" spans="1:15" ht="15.75" customHeight="1">
      <c r="A3335" s="4"/>
      <c r="B3335" s="4"/>
      <c r="C3335" s="4"/>
      <c r="D3335" s="4"/>
      <c r="E3335" s="4"/>
      <c r="G3335" s="4"/>
      <c r="H3335" s="4"/>
      <c r="K3335" s="4"/>
      <c r="N3335" s="4" t="s">
        <v>7295</v>
      </c>
      <c r="O3335" s="4">
        <v>152</v>
      </c>
    </row>
    <row r="3336" spans="1:15" ht="15.75" customHeight="1">
      <c r="A3336" s="4"/>
      <c r="B3336" s="4"/>
      <c r="C3336" s="4"/>
      <c r="D3336" s="4"/>
      <c r="E3336" s="4"/>
      <c r="G3336" s="4"/>
      <c r="H3336" s="4"/>
      <c r="K3336" s="4"/>
      <c r="N3336" s="4" t="s">
        <v>56</v>
      </c>
      <c r="O3336" s="4">
        <v>178</v>
      </c>
    </row>
    <row r="3337" spans="1:15" ht="15.75" customHeight="1">
      <c r="A3337" s="4"/>
      <c r="B3337" s="4"/>
      <c r="C3337" s="4"/>
      <c r="D3337" s="4"/>
      <c r="E3337" s="4"/>
      <c r="G3337" s="4"/>
      <c r="H3337" s="4"/>
      <c r="K3337" s="4"/>
      <c r="N3337" s="4" t="s">
        <v>7300</v>
      </c>
      <c r="O3337" s="4">
        <v>126</v>
      </c>
    </row>
    <row r="3338" spans="1:15" ht="15.75" customHeight="1">
      <c r="A3338" s="4"/>
      <c r="B3338" s="4"/>
      <c r="C3338" s="4"/>
      <c r="D3338" s="4"/>
      <c r="E3338" s="4"/>
      <c r="G3338" s="4"/>
      <c r="H3338" s="4"/>
      <c r="K3338" s="4"/>
      <c r="N3338" s="4" t="s">
        <v>56</v>
      </c>
      <c r="O3338" s="4">
        <v>124</v>
      </c>
    </row>
    <row r="3339" spans="1:15" ht="15.75" customHeight="1">
      <c r="A3339" s="4"/>
      <c r="B3339" s="4"/>
      <c r="C3339" s="4"/>
      <c r="D3339" s="4"/>
      <c r="E3339" s="4"/>
      <c r="G3339" s="4"/>
      <c r="H3339" s="4"/>
      <c r="K3339" s="4"/>
      <c r="N3339" s="4" t="s">
        <v>7305</v>
      </c>
      <c r="O3339" s="4">
        <v>576</v>
      </c>
    </row>
    <row r="3340" spans="1:15" ht="15.75" customHeight="1">
      <c r="A3340" s="4"/>
      <c r="B3340" s="4"/>
      <c r="C3340" s="4"/>
      <c r="D3340" s="4"/>
      <c r="E3340" s="4"/>
      <c r="G3340" s="4"/>
      <c r="H3340" s="4"/>
      <c r="K3340" s="4"/>
      <c r="N3340" s="4" t="s">
        <v>7308</v>
      </c>
      <c r="O3340" s="4">
        <v>411</v>
      </c>
    </row>
    <row r="3341" spans="1:15" ht="15.75" customHeight="1">
      <c r="A3341" s="4"/>
      <c r="B3341" s="4"/>
      <c r="C3341" s="4"/>
      <c r="D3341" s="4"/>
      <c r="E3341" s="4"/>
      <c r="G3341" s="4"/>
      <c r="H3341" s="4"/>
      <c r="K3341" s="4"/>
      <c r="N3341" s="4" t="s">
        <v>7311</v>
      </c>
      <c r="O3341" s="4">
        <v>235</v>
      </c>
    </row>
    <row r="3342" spans="1:15" ht="15.75" customHeight="1">
      <c r="B3342" s="4"/>
      <c r="C3342" s="4"/>
      <c r="D3342" s="4"/>
      <c r="E3342" s="4"/>
      <c r="G3342" s="4"/>
      <c r="H3342" s="4"/>
      <c r="K3342" s="4"/>
      <c r="N3342" s="4" t="s">
        <v>7314</v>
      </c>
      <c r="O3342" s="4">
        <v>409</v>
      </c>
    </row>
    <row r="3343" spans="1:15" ht="15.75" customHeight="1">
      <c r="A3343" s="4"/>
      <c r="B3343" s="4"/>
      <c r="C3343" s="4"/>
      <c r="D3343" s="4"/>
      <c r="E3343" s="4"/>
      <c r="G3343" s="4"/>
      <c r="H3343" s="4"/>
      <c r="K3343" s="4"/>
      <c r="N3343" s="4" t="s">
        <v>56</v>
      </c>
      <c r="O3343" s="4">
        <v>82</v>
      </c>
    </row>
    <row r="3344" spans="1:15" ht="15.75" customHeight="1">
      <c r="A3344" s="4"/>
      <c r="B3344" s="4"/>
      <c r="C3344" s="4"/>
      <c r="D3344" s="4"/>
      <c r="E3344" s="4"/>
      <c r="G3344" s="4"/>
      <c r="H3344" s="4"/>
      <c r="K3344" s="4"/>
      <c r="N3344" s="4" t="s">
        <v>7319</v>
      </c>
      <c r="O3344" s="4">
        <v>108</v>
      </c>
    </row>
    <row r="3345" spans="1:15" ht="15.75" customHeight="1">
      <c r="A3345" s="4"/>
      <c r="B3345" s="4"/>
      <c r="C3345" s="4"/>
      <c r="D3345" s="4"/>
      <c r="E3345" s="4"/>
      <c r="G3345" s="4"/>
      <c r="H3345" s="4"/>
      <c r="K3345" s="4"/>
      <c r="N3345" s="4" t="s">
        <v>7322</v>
      </c>
      <c r="O3345" s="4">
        <v>112</v>
      </c>
    </row>
    <row r="3346" spans="1:15" ht="15.75" customHeight="1">
      <c r="A3346" s="4"/>
      <c r="B3346" s="4"/>
      <c r="C3346" s="4"/>
      <c r="D3346" s="4"/>
      <c r="E3346" s="4"/>
      <c r="G3346" s="4"/>
      <c r="H3346" s="4"/>
      <c r="K3346" s="4"/>
      <c r="N3346" s="4" t="s">
        <v>56</v>
      </c>
      <c r="O3346" s="4">
        <v>109</v>
      </c>
    </row>
    <row r="3347" spans="1:15" ht="15.75" customHeight="1">
      <c r="A3347" s="4"/>
      <c r="B3347" s="4"/>
      <c r="C3347" s="4"/>
      <c r="D3347" s="4"/>
      <c r="E3347" s="4"/>
      <c r="G3347" s="4"/>
      <c r="H3347" s="4"/>
      <c r="K3347" s="4"/>
      <c r="N3347" s="4" t="s">
        <v>7327</v>
      </c>
      <c r="O3347" s="4">
        <v>127</v>
      </c>
    </row>
    <row r="3348" spans="1:15" ht="15.75" customHeight="1">
      <c r="A3348" s="4"/>
      <c r="B3348" s="4"/>
      <c r="C3348" s="4"/>
      <c r="D3348" s="4"/>
      <c r="E3348" s="4"/>
      <c r="G3348" s="4"/>
      <c r="H3348" s="4"/>
      <c r="K3348" s="4"/>
      <c r="N3348" s="4" t="s">
        <v>2764</v>
      </c>
      <c r="O3348" s="4">
        <v>215</v>
      </c>
    </row>
    <row r="3349" spans="1:15" ht="15.75" customHeight="1">
      <c r="A3349" s="4"/>
      <c r="B3349" s="4"/>
      <c r="C3349" s="4"/>
      <c r="D3349" s="4"/>
      <c r="E3349" s="4"/>
      <c r="G3349" s="4"/>
      <c r="H3349" s="4"/>
      <c r="K3349" s="4"/>
      <c r="N3349" s="4" t="s">
        <v>56</v>
      </c>
      <c r="O3349" s="4">
        <v>121</v>
      </c>
    </row>
    <row r="3350" spans="1:15" ht="15.75" customHeight="1">
      <c r="A3350" s="4"/>
      <c r="B3350" s="4"/>
      <c r="C3350" s="4"/>
      <c r="D3350" s="4"/>
      <c r="E3350" s="4"/>
      <c r="G3350" s="4"/>
      <c r="H3350" s="4"/>
      <c r="K3350" s="4"/>
    </row>
    <row r="3351" spans="1:15" ht="15.75" customHeight="1">
      <c r="A3351" s="4"/>
      <c r="B3351" s="4"/>
      <c r="C3351" s="4"/>
      <c r="D3351" s="4"/>
      <c r="E3351" s="4"/>
      <c r="G3351" s="4"/>
      <c r="H3351" s="4"/>
      <c r="K3351" s="4"/>
      <c r="N3351" s="4" t="s">
        <v>2764</v>
      </c>
      <c r="O3351" s="4">
        <v>231</v>
      </c>
    </row>
    <row r="3352" spans="1:15" ht="15.75" customHeight="1">
      <c r="A3352" s="4"/>
      <c r="B3352" s="4"/>
      <c r="C3352" s="4"/>
      <c r="D3352" s="4"/>
      <c r="E3352" s="4"/>
      <c r="G3352" s="4"/>
      <c r="H3352" s="4"/>
      <c r="K3352" s="4"/>
      <c r="N3352" s="4" t="s">
        <v>7337</v>
      </c>
      <c r="O3352" s="4">
        <v>1374</v>
      </c>
    </row>
    <row r="3353" spans="1:15" ht="15.75" customHeight="1">
      <c r="A3353" s="4"/>
      <c r="B3353" s="4"/>
      <c r="C3353" s="4"/>
      <c r="D3353" s="4"/>
      <c r="E3353" s="4"/>
      <c r="G3353" s="4"/>
      <c r="H3353" s="4"/>
      <c r="K3353" s="4"/>
      <c r="N3353" s="4" t="s">
        <v>7340</v>
      </c>
      <c r="O3353" s="4">
        <v>141</v>
      </c>
    </row>
    <row r="3354" spans="1:15" ht="15.75" customHeight="1">
      <c r="A3354" s="4"/>
      <c r="B3354" s="4"/>
      <c r="C3354" s="4"/>
      <c r="D3354" s="4"/>
      <c r="E3354" s="4"/>
      <c r="G3354" s="4"/>
      <c r="H3354" s="4"/>
      <c r="K3354" s="4"/>
      <c r="N3354" s="4" t="s">
        <v>56</v>
      </c>
      <c r="O3354" s="4">
        <v>89</v>
      </c>
    </row>
    <row r="3355" spans="1:15" ht="15.75" customHeight="1">
      <c r="A3355" s="4"/>
      <c r="B3355" s="4"/>
      <c r="C3355" s="4"/>
      <c r="D3355" s="4"/>
      <c r="E3355" s="4"/>
      <c r="G3355" s="4"/>
      <c r="H3355" s="4"/>
      <c r="K3355" s="4"/>
      <c r="N3355" s="4" t="s">
        <v>56</v>
      </c>
      <c r="O3355" s="4">
        <v>97</v>
      </c>
    </row>
    <row r="3356" spans="1:15" ht="15.75" customHeight="1">
      <c r="A3356" s="4"/>
      <c r="B3356" s="4"/>
      <c r="C3356" s="4"/>
      <c r="D3356" s="4"/>
      <c r="E3356" s="4"/>
      <c r="G3356" s="4"/>
      <c r="H3356" s="4"/>
      <c r="K3356" s="4"/>
      <c r="N3356" s="4" t="s">
        <v>7347</v>
      </c>
      <c r="O3356" s="4">
        <v>135</v>
      </c>
    </row>
    <row r="3357" spans="1:15" ht="15.75" customHeight="1">
      <c r="A3357" s="4"/>
      <c r="B3357" s="4"/>
      <c r="C3357" s="4"/>
      <c r="D3357" s="4"/>
      <c r="E3357" s="4"/>
      <c r="G3357" s="4"/>
      <c r="H3357" s="4"/>
      <c r="K3357" s="4"/>
      <c r="N3357" s="4" t="s">
        <v>278</v>
      </c>
      <c r="O3357" s="4">
        <v>382</v>
      </c>
    </row>
    <row r="3358" spans="1:15" ht="15.75" customHeight="1">
      <c r="A3358" s="4"/>
      <c r="B3358" s="4"/>
      <c r="C3358" s="4"/>
      <c r="D3358" s="4"/>
      <c r="E3358" s="4"/>
      <c r="G3358" s="4"/>
      <c r="H3358" s="4"/>
      <c r="K3358" s="4"/>
      <c r="N3358" s="4" t="s">
        <v>421</v>
      </c>
      <c r="O3358" s="4">
        <v>503</v>
      </c>
    </row>
    <row r="3359" spans="1:15" ht="15.75" customHeight="1">
      <c r="A3359" s="4"/>
      <c r="B3359" s="4"/>
      <c r="C3359" s="4"/>
      <c r="D3359" s="4"/>
      <c r="E3359" s="4"/>
      <c r="G3359" s="4"/>
      <c r="H3359" s="4"/>
      <c r="K3359" s="4"/>
      <c r="N3359" s="4" t="s">
        <v>421</v>
      </c>
      <c r="O3359" s="4">
        <v>519</v>
      </c>
    </row>
    <row r="3360" spans="1:15" ht="15.75" customHeight="1">
      <c r="A3360" s="4"/>
      <c r="B3360" s="4"/>
      <c r="C3360" s="4"/>
      <c r="D3360" s="4"/>
      <c r="E3360" s="4"/>
      <c r="G3360" s="4"/>
      <c r="H3360" s="4"/>
      <c r="K3360" s="4"/>
      <c r="N3360" s="4" t="s">
        <v>7356</v>
      </c>
      <c r="O3360" s="4">
        <v>157</v>
      </c>
    </row>
    <row r="3361" spans="1:15" ht="15.75" customHeight="1">
      <c r="A3361" s="4"/>
      <c r="B3361" s="4"/>
      <c r="C3361" s="4"/>
      <c r="D3361" s="4"/>
      <c r="E3361" s="4"/>
      <c r="G3361" s="4"/>
      <c r="H3361" s="4"/>
      <c r="K3361" s="4"/>
      <c r="N3361" s="4" t="s">
        <v>4374</v>
      </c>
      <c r="O3361" s="4">
        <v>401</v>
      </c>
    </row>
    <row r="3362" spans="1:15" ht="15.75" customHeight="1">
      <c r="A3362" s="4"/>
      <c r="B3362" s="4"/>
      <c r="C3362" s="4"/>
      <c r="D3362" s="4"/>
      <c r="E3362" s="4"/>
      <c r="G3362" s="4"/>
      <c r="H3362" s="4"/>
      <c r="K3362" s="4"/>
      <c r="N3362" s="4" t="s">
        <v>2493</v>
      </c>
      <c r="O3362" s="4">
        <v>442</v>
      </c>
    </row>
    <row r="3363" spans="1:15" ht="15.75" customHeight="1">
      <c r="A3363" s="4"/>
      <c r="B3363" s="4"/>
      <c r="C3363" s="4"/>
      <c r="D3363" s="4"/>
      <c r="E3363" s="4"/>
      <c r="G3363" s="4"/>
      <c r="H3363" s="4"/>
      <c r="K3363" s="4"/>
      <c r="N3363" s="4" t="s">
        <v>204</v>
      </c>
      <c r="O3363" s="4">
        <v>88</v>
      </c>
    </row>
    <row r="3364" spans="1:15" ht="15.75" customHeight="1">
      <c r="A3364" s="4"/>
      <c r="B3364" s="4"/>
      <c r="C3364" s="4"/>
      <c r="D3364" s="4"/>
      <c r="E3364" s="4"/>
      <c r="G3364" s="4"/>
      <c r="H3364" s="4"/>
      <c r="K3364" s="4"/>
      <c r="N3364" s="4" t="s">
        <v>7365</v>
      </c>
      <c r="O3364" s="4">
        <v>447</v>
      </c>
    </row>
    <row r="3365" spans="1:15" ht="15.75" customHeight="1">
      <c r="A3365" s="4"/>
      <c r="B3365" s="4"/>
      <c r="C3365" s="4"/>
      <c r="D3365" s="4"/>
      <c r="E3365" s="4"/>
      <c r="G3365" s="4"/>
      <c r="H3365" s="4"/>
      <c r="K3365" s="4"/>
      <c r="N3365" s="4" t="s">
        <v>7368</v>
      </c>
      <c r="O3365" s="4">
        <v>351</v>
      </c>
    </row>
    <row r="3366" spans="1:15" ht="15.75" customHeight="1">
      <c r="A3366" s="4"/>
      <c r="B3366" s="4"/>
      <c r="C3366" s="4"/>
      <c r="D3366" s="4"/>
      <c r="E3366" s="4"/>
      <c r="G3366" s="4"/>
      <c r="H3366" s="4"/>
      <c r="K3366" s="4"/>
      <c r="N3366" s="4" t="s">
        <v>7371</v>
      </c>
      <c r="O3366" s="4">
        <v>211</v>
      </c>
    </row>
    <row r="3367" spans="1:15" ht="15.75" customHeight="1">
      <c r="A3367" s="4"/>
      <c r="B3367" s="4"/>
      <c r="C3367" s="4"/>
      <c r="D3367" s="4"/>
      <c r="E3367" s="4"/>
      <c r="G3367" s="4"/>
      <c r="H3367" s="4"/>
      <c r="K3367" s="4"/>
      <c r="N3367" s="4" t="s">
        <v>7374</v>
      </c>
      <c r="O3367" s="4">
        <v>197</v>
      </c>
    </row>
    <row r="3368" spans="1:15" ht="15.75" customHeight="1">
      <c r="A3368" s="4"/>
      <c r="B3368" s="4"/>
      <c r="C3368" s="4"/>
      <c r="D3368" s="4"/>
      <c r="E3368" s="4"/>
      <c r="G3368" s="4"/>
      <c r="H3368" s="4"/>
      <c r="K3368" s="4"/>
      <c r="N3368" s="4" t="s">
        <v>7377</v>
      </c>
      <c r="O3368" s="4">
        <v>223</v>
      </c>
    </row>
    <row r="3369" spans="1:15" ht="15.75" customHeight="1">
      <c r="A3369" s="4"/>
      <c r="B3369" s="4"/>
      <c r="C3369" s="4"/>
      <c r="D3369" s="4"/>
      <c r="E3369" s="4"/>
      <c r="G3369" s="4"/>
      <c r="H3369" s="4"/>
      <c r="K3369" s="4"/>
      <c r="N3369" s="4" t="s">
        <v>7380</v>
      </c>
      <c r="O3369" s="4">
        <v>265</v>
      </c>
    </row>
    <row r="3370" spans="1:15" ht="15.75" customHeight="1">
      <c r="A3370" s="4"/>
      <c r="B3370" s="4"/>
      <c r="C3370" s="4"/>
      <c r="D3370" s="4"/>
      <c r="E3370" s="4"/>
      <c r="G3370" s="4"/>
      <c r="H3370" s="4"/>
      <c r="K3370" s="4"/>
      <c r="N3370" s="4" t="s">
        <v>1434</v>
      </c>
      <c r="O3370" s="4">
        <v>300</v>
      </c>
    </row>
    <row r="3371" spans="1:15" ht="15.75" customHeight="1">
      <c r="A3371" s="4"/>
      <c r="B3371" s="4"/>
      <c r="C3371" s="4"/>
      <c r="D3371" s="4"/>
      <c r="E3371" s="4"/>
      <c r="G3371" s="4"/>
      <c r="H3371" s="4"/>
      <c r="K3371" s="4"/>
      <c r="N3371" s="4" t="s">
        <v>2893</v>
      </c>
      <c r="O3371" s="4">
        <v>352</v>
      </c>
    </row>
    <row r="3372" spans="1:15" ht="15.75" customHeight="1">
      <c r="A3372" s="4"/>
      <c r="B3372" s="4"/>
      <c r="C3372" s="4"/>
      <c r="D3372" s="4"/>
      <c r="E3372" s="4"/>
      <c r="G3372" s="4"/>
      <c r="H3372" s="4"/>
      <c r="K3372" s="4"/>
      <c r="N3372" s="4" t="s">
        <v>7387</v>
      </c>
      <c r="O3372" s="4">
        <v>211</v>
      </c>
    </row>
    <row r="3373" spans="1:15" ht="15.75" customHeight="1">
      <c r="A3373" s="4"/>
      <c r="B3373" s="4"/>
      <c r="C3373" s="4"/>
      <c r="D3373" s="4"/>
      <c r="E3373" s="4"/>
      <c r="G3373" s="4"/>
      <c r="H3373" s="4"/>
      <c r="K3373" s="4"/>
      <c r="N3373" s="4" t="s">
        <v>7390</v>
      </c>
      <c r="O3373" s="4">
        <v>272</v>
      </c>
    </row>
    <row r="3374" spans="1:15" ht="15.75" customHeight="1">
      <c r="A3374" s="4"/>
      <c r="B3374" s="4"/>
      <c r="C3374" s="4"/>
      <c r="D3374" s="4"/>
      <c r="E3374" s="4"/>
      <c r="G3374" s="4"/>
      <c r="H3374" s="4"/>
      <c r="K3374" s="4"/>
      <c r="N3374" s="4" t="s">
        <v>7393</v>
      </c>
      <c r="O3374" s="4">
        <v>346</v>
      </c>
    </row>
    <row r="3375" spans="1:15" ht="15.75" customHeight="1">
      <c r="A3375" s="4"/>
      <c r="B3375" s="4"/>
      <c r="C3375" s="4"/>
      <c r="D3375" s="4"/>
      <c r="E3375" s="4"/>
      <c r="G3375" s="4"/>
      <c r="H3375" s="4"/>
      <c r="K3375" s="4"/>
      <c r="N3375" s="4" t="s">
        <v>5604</v>
      </c>
      <c r="O3375" s="4">
        <v>125</v>
      </c>
    </row>
    <row r="3376" spans="1:15" ht="15.75" customHeight="1">
      <c r="B3376" s="4"/>
      <c r="C3376" s="4"/>
      <c r="D3376" s="4"/>
      <c r="E3376" s="4"/>
      <c r="G3376" s="4"/>
      <c r="H3376" s="4"/>
      <c r="I3376" s="4"/>
      <c r="K3376" s="4"/>
      <c r="N3376" s="4" t="s">
        <v>6378</v>
      </c>
      <c r="O3376" s="4">
        <v>89</v>
      </c>
    </row>
    <row r="3377" spans="1:15" ht="15.75" customHeight="1">
      <c r="A3377" s="4"/>
      <c r="B3377" s="4"/>
      <c r="C3377" s="4"/>
      <c r="D3377" s="4"/>
      <c r="E3377" s="4"/>
      <c r="G3377" s="4"/>
      <c r="H3377" s="4"/>
      <c r="K3377" s="4"/>
      <c r="N3377" s="4" t="s">
        <v>7400</v>
      </c>
      <c r="O3377" s="4">
        <v>325</v>
      </c>
    </row>
    <row r="3378" spans="1:15" ht="15.75" customHeight="1">
      <c r="A3378" s="4"/>
      <c r="B3378" s="4"/>
      <c r="C3378" s="4"/>
      <c r="D3378" s="4"/>
      <c r="E3378" s="4"/>
      <c r="G3378" s="4"/>
      <c r="H3378" s="4"/>
      <c r="K3378" s="4"/>
      <c r="N3378" s="4" t="s">
        <v>5041</v>
      </c>
      <c r="O3378" s="4">
        <v>315</v>
      </c>
    </row>
    <row r="3379" spans="1:15" ht="15.75" customHeight="1">
      <c r="A3379" s="4"/>
      <c r="B3379" s="4"/>
      <c r="C3379" s="4"/>
      <c r="D3379" s="4"/>
      <c r="E3379" s="4"/>
      <c r="G3379" s="4"/>
      <c r="H3379" s="4"/>
      <c r="K3379" s="4"/>
      <c r="N3379" s="4" t="s">
        <v>7405</v>
      </c>
      <c r="O3379" s="4">
        <v>280</v>
      </c>
    </row>
    <row r="3380" spans="1:15" ht="15.75" customHeight="1">
      <c r="A3380" s="4"/>
      <c r="B3380" s="4"/>
      <c r="C3380" s="4"/>
      <c r="D3380" s="4"/>
      <c r="E3380" s="4"/>
      <c r="G3380" s="4"/>
      <c r="H3380" s="4"/>
      <c r="I3380" s="4"/>
      <c r="K3380" s="4"/>
      <c r="N3380" s="4" t="s">
        <v>7408</v>
      </c>
      <c r="O3380" s="4">
        <v>169</v>
      </c>
    </row>
    <row r="3381" spans="1:15" ht="15.75" customHeight="1">
      <c r="A3381" s="4"/>
      <c r="B3381" s="4"/>
      <c r="C3381" s="4"/>
      <c r="D3381" s="4"/>
      <c r="E3381" s="4"/>
      <c r="G3381" s="4"/>
      <c r="H3381" s="4"/>
      <c r="K3381" s="4"/>
      <c r="N3381" s="4" t="s">
        <v>7412</v>
      </c>
      <c r="O3381" s="4">
        <v>136</v>
      </c>
    </row>
    <row r="3382" spans="1:15" ht="15.75" customHeight="1">
      <c r="A3382" s="4"/>
      <c r="B3382" s="4"/>
      <c r="C3382" s="4"/>
      <c r="D3382" s="4"/>
      <c r="E3382" s="4"/>
      <c r="G3382" s="4"/>
      <c r="H3382" s="4"/>
      <c r="K3382" s="4"/>
      <c r="N3382" s="4" t="s">
        <v>2214</v>
      </c>
      <c r="O3382" s="4">
        <v>773</v>
      </c>
    </row>
    <row r="3383" spans="1:15" ht="15.75" customHeight="1">
      <c r="A3383" s="4"/>
      <c r="B3383" s="4"/>
      <c r="C3383" s="4"/>
      <c r="D3383" s="4"/>
      <c r="E3383" s="4"/>
      <c r="G3383" s="4"/>
      <c r="H3383" s="4"/>
      <c r="I3383" s="4"/>
      <c r="K3383" s="4"/>
      <c r="N3383" s="4" t="s">
        <v>7417</v>
      </c>
      <c r="O3383" s="4">
        <v>420</v>
      </c>
    </row>
    <row r="3384" spans="1:15" ht="15.75" customHeight="1">
      <c r="A3384" s="4"/>
      <c r="B3384" s="4"/>
      <c r="C3384" s="4"/>
      <c r="D3384" s="4"/>
      <c r="E3384" s="4"/>
      <c r="G3384" s="4"/>
      <c r="H3384" s="4"/>
      <c r="I3384" s="4"/>
      <c r="K3384" s="4"/>
      <c r="N3384" s="4" t="s">
        <v>7421</v>
      </c>
      <c r="O3384" s="4">
        <v>430</v>
      </c>
    </row>
    <row r="3385" spans="1:15" ht="15.75" customHeight="1">
      <c r="A3385" s="4"/>
      <c r="B3385" s="4"/>
      <c r="C3385" s="4"/>
      <c r="D3385" s="4"/>
      <c r="E3385" s="4"/>
      <c r="G3385" s="4"/>
      <c r="H3385" s="4"/>
      <c r="I3385" s="4"/>
      <c r="K3385" s="4"/>
      <c r="N3385" s="4" t="s">
        <v>7425</v>
      </c>
      <c r="O3385" s="4">
        <v>242</v>
      </c>
    </row>
    <row r="3386" spans="1:15" ht="15.75" customHeight="1">
      <c r="A3386" s="4"/>
      <c r="B3386" s="4"/>
      <c r="C3386" s="4"/>
      <c r="D3386" s="4"/>
      <c r="E3386" s="4"/>
      <c r="G3386" s="4"/>
      <c r="H3386" s="4"/>
      <c r="K3386" s="4"/>
      <c r="N3386" s="4" t="s">
        <v>92</v>
      </c>
      <c r="O3386" s="4">
        <v>309</v>
      </c>
    </row>
    <row r="3387" spans="1:15" ht="15.75" customHeight="1">
      <c r="A3387" s="4"/>
      <c r="B3387" s="4"/>
      <c r="C3387" s="4"/>
      <c r="D3387" s="4"/>
      <c r="E3387" s="4"/>
      <c r="G3387" s="4"/>
      <c r="H3387" s="4"/>
      <c r="I3387" s="4"/>
      <c r="K3387" s="4"/>
      <c r="N3387" s="4" t="s">
        <v>7431</v>
      </c>
      <c r="O3387" s="4">
        <v>197</v>
      </c>
    </row>
    <row r="3388" spans="1:15" ht="15.75" customHeight="1">
      <c r="A3388" s="4"/>
      <c r="B3388" s="4"/>
      <c r="C3388" s="4"/>
      <c r="D3388" s="4"/>
      <c r="E3388" s="4"/>
      <c r="G3388" s="4"/>
      <c r="H3388" s="4"/>
      <c r="K3388" s="4"/>
      <c r="N3388" s="4" t="s">
        <v>7435</v>
      </c>
      <c r="O3388" s="4">
        <v>413</v>
      </c>
    </row>
    <row r="3389" spans="1:15" ht="15.75" customHeight="1">
      <c r="A3389" s="4"/>
      <c r="B3389" s="4"/>
      <c r="C3389" s="4"/>
      <c r="D3389" s="4"/>
      <c r="E3389" s="4"/>
      <c r="G3389" s="4"/>
      <c r="H3389" s="4"/>
      <c r="I3389" s="4"/>
      <c r="K3389" s="4"/>
      <c r="N3389" s="4" t="s">
        <v>5788</v>
      </c>
      <c r="O3389" s="4">
        <v>353</v>
      </c>
    </row>
    <row r="3390" spans="1:15" ht="15.75" customHeight="1">
      <c r="A3390" s="4"/>
      <c r="B3390" s="4"/>
      <c r="C3390" s="4"/>
      <c r="D3390" s="4"/>
      <c r="E3390" s="4"/>
      <c r="G3390" s="4"/>
      <c r="H3390" s="4"/>
      <c r="I3390" s="4"/>
      <c r="K3390" s="4"/>
      <c r="N3390" s="4" t="s">
        <v>7440</v>
      </c>
      <c r="O3390" s="4">
        <v>523</v>
      </c>
    </row>
    <row r="3391" spans="1:15" ht="15.75" customHeight="1">
      <c r="A3391" s="4"/>
      <c r="B3391" s="4"/>
      <c r="C3391" s="4"/>
      <c r="D3391" s="4"/>
      <c r="E3391" s="4"/>
      <c r="G3391" s="4"/>
      <c r="H3391" s="4"/>
      <c r="K3391" s="4"/>
      <c r="N3391" s="4" t="s">
        <v>7444</v>
      </c>
      <c r="O3391" s="4">
        <v>216</v>
      </c>
    </row>
    <row r="3392" spans="1:15" ht="15.75" customHeight="1">
      <c r="A3392" s="4"/>
      <c r="B3392" s="4"/>
      <c r="C3392" s="4"/>
      <c r="D3392" s="4"/>
      <c r="E3392" s="4"/>
      <c r="G3392" s="4"/>
      <c r="H3392" s="4"/>
      <c r="K3392" s="4"/>
      <c r="N3392" s="4" t="s">
        <v>7447</v>
      </c>
      <c r="O3392" s="4">
        <v>420</v>
      </c>
    </row>
    <row r="3393" spans="1:15" ht="15.75" customHeight="1">
      <c r="A3393" s="4"/>
      <c r="B3393" s="4"/>
      <c r="C3393" s="4"/>
      <c r="D3393" s="4"/>
      <c r="E3393" s="4"/>
      <c r="G3393" s="4"/>
      <c r="H3393" s="4"/>
      <c r="K3393" s="4"/>
    </row>
    <row r="3394" spans="1:15" ht="15.75" customHeight="1">
      <c r="A3394" s="4"/>
      <c r="B3394" s="4"/>
      <c r="C3394" s="4"/>
      <c r="D3394" s="4"/>
      <c r="E3394" s="4"/>
      <c r="G3394" s="4"/>
      <c r="H3394" s="4"/>
      <c r="I3394" s="4"/>
      <c r="K3394" s="4"/>
      <c r="N3394" s="4" t="s">
        <v>7451</v>
      </c>
      <c r="O3394" s="4">
        <v>185</v>
      </c>
    </row>
    <row r="3395" spans="1:15" ht="15.75" customHeight="1">
      <c r="A3395" s="4"/>
      <c r="B3395" s="4"/>
      <c r="C3395" s="4"/>
      <c r="D3395" s="4"/>
      <c r="E3395" s="4"/>
      <c r="G3395" s="4"/>
      <c r="H3395" s="4"/>
      <c r="I3395" s="4"/>
      <c r="K3395" s="4"/>
      <c r="N3395" s="4" t="s">
        <v>7455</v>
      </c>
      <c r="O3395" s="4">
        <v>787</v>
      </c>
    </row>
    <row r="3396" spans="1:15" ht="15.75" customHeight="1">
      <c r="A3396" s="4"/>
      <c r="B3396" s="4"/>
      <c r="C3396" s="4"/>
      <c r="D3396" s="4"/>
      <c r="E3396" s="4"/>
      <c r="G3396" s="4"/>
      <c r="H3396" s="4"/>
      <c r="I3396" s="4"/>
      <c r="K3396" s="4"/>
      <c r="N3396" s="4" t="s">
        <v>7459</v>
      </c>
      <c r="O3396" s="4">
        <v>371</v>
      </c>
    </row>
    <row r="3397" spans="1:15" ht="15.75" customHeight="1">
      <c r="A3397" s="4"/>
      <c r="B3397" s="4"/>
      <c r="C3397" s="4"/>
      <c r="D3397" s="4"/>
      <c r="E3397" s="4"/>
      <c r="G3397" s="4"/>
      <c r="H3397" s="4"/>
      <c r="I3397" s="4"/>
      <c r="K3397" s="4"/>
      <c r="N3397" s="4" t="s">
        <v>7463</v>
      </c>
      <c r="O3397" s="4">
        <v>228</v>
      </c>
    </row>
    <row r="3398" spans="1:15" ht="15.75" customHeight="1">
      <c r="A3398" s="4"/>
      <c r="B3398" s="4"/>
      <c r="C3398" s="4"/>
      <c r="D3398" s="4"/>
      <c r="E3398" s="4"/>
      <c r="G3398" s="4"/>
      <c r="H3398" s="4"/>
      <c r="I3398" s="4"/>
      <c r="K3398" s="4"/>
      <c r="N3398" s="4" t="s">
        <v>7467</v>
      </c>
      <c r="O3398" s="4">
        <v>295</v>
      </c>
    </row>
    <row r="3399" spans="1:15" ht="15.75" customHeight="1">
      <c r="A3399" s="4"/>
      <c r="B3399" s="4"/>
      <c r="C3399" s="4"/>
      <c r="D3399" s="4"/>
      <c r="E3399" s="4"/>
      <c r="G3399" s="4"/>
      <c r="H3399" s="4"/>
      <c r="K3399" s="4"/>
      <c r="N3399" s="4" t="s">
        <v>7471</v>
      </c>
      <c r="O3399" s="4">
        <v>367</v>
      </c>
    </row>
    <row r="3400" spans="1:15" ht="15.75" customHeight="1">
      <c r="A3400" s="4"/>
      <c r="B3400" s="4"/>
      <c r="C3400" s="4"/>
      <c r="D3400" s="4"/>
      <c r="E3400" s="4"/>
      <c r="G3400" s="4"/>
      <c r="H3400" s="4"/>
      <c r="K3400" s="4"/>
      <c r="N3400" s="4" t="s">
        <v>194</v>
      </c>
      <c r="O3400" s="4">
        <v>235</v>
      </c>
    </row>
    <row r="3401" spans="1:15" ht="15.75" customHeight="1">
      <c r="A3401" s="4"/>
      <c r="B3401" s="4"/>
      <c r="C3401" s="4"/>
      <c r="D3401" s="4"/>
      <c r="E3401" s="4"/>
      <c r="G3401" s="4"/>
      <c r="H3401" s="4"/>
      <c r="I3401" s="4"/>
      <c r="K3401" s="4"/>
      <c r="N3401" s="4" t="s">
        <v>7476</v>
      </c>
      <c r="O3401" s="4">
        <v>555</v>
      </c>
    </row>
    <row r="3402" spans="1:15" ht="15.75" customHeight="1">
      <c r="A3402" s="4"/>
      <c r="B3402" s="4"/>
      <c r="C3402" s="4"/>
      <c r="D3402" s="4"/>
      <c r="E3402" s="4"/>
      <c r="G3402" s="4"/>
      <c r="H3402" s="4"/>
      <c r="K3402" s="4"/>
      <c r="N3402" s="4" t="s">
        <v>920</v>
      </c>
      <c r="O3402" s="4">
        <v>286</v>
      </c>
    </row>
    <row r="3403" spans="1:15" ht="15.75" customHeight="1">
      <c r="A3403" s="4"/>
      <c r="B3403" s="4"/>
      <c r="C3403" s="4"/>
      <c r="D3403" s="4"/>
      <c r="E3403" s="4"/>
      <c r="G3403" s="4"/>
      <c r="H3403" s="4"/>
      <c r="I3403" s="4"/>
      <c r="K3403" s="4"/>
      <c r="N3403" s="4" t="s">
        <v>7482</v>
      </c>
      <c r="O3403" s="4">
        <v>307</v>
      </c>
    </row>
    <row r="3404" spans="1:15" ht="15.75" customHeight="1">
      <c r="A3404" s="4"/>
      <c r="B3404" s="4"/>
      <c r="C3404" s="4"/>
      <c r="D3404" s="4"/>
      <c r="E3404" s="4"/>
      <c r="G3404" s="4"/>
      <c r="H3404" s="4"/>
      <c r="I3404" s="4"/>
      <c r="K3404" s="4"/>
      <c r="N3404" s="4" t="s">
        <v>7486</v>
      </c>
      <c r="O3404" s="4">
        <v>294</v>
      </c>
    </row>
    <row r="3405" spans="1:15" ht="15.75" customHeight="1">
      <c r="A3405" s="4"/>
      <c r="B3405" s="4"/>
      <c r="C3405" s="4"/>
      <c r="D3405" s="4"/>
      <c r="E3405" s="4"/>
      <c r="G3405" s="4"/>
      <c r="H3405" s="4"/>
      <c r="I3405" s="4"/>
      <c r="K3405" s="4"/>
      <c r="N3405" s="4" t="s">
        <v>7490</v>
      </c>
      <c r="O3405" s="4">
        <v>272</v>
      </c>
    </row>
    <row r="3406" spans="1:15" ht="15.75" customHeight="1">
      <c r="A3406" s="4"/>
      <c r="B3406" s="4"/>
      <c r="C3406" s="4"/>
      <c r="D3406" s="4"/>
      <c r="E3406" s="4"/>
      <c r="G3406" s="4"/>
      <c r="H3406" s="4"/>
      <c r="I3406" s="4"/>
      <c r="K3406" s="4"/>
      <c r="N3406" s="4" t="s">
        <v>7490</v>
      </c>
      <c r="O3406" s="4">
        <v>254</v>
      </c>
    </row>
    <row r="3407" spans="1:15" ht="15.75" customHeight="1">
      <c r="A3407" s="4"/>
      <c r="B3407" s="4"/>
      <c r="C3407" s="4"/>
      <c r="D3407" s="4"/>
      <c r="E3407" s="4"/>
      <c r="G3407" s="4"/>
      <c r="H3407" s="4"/>
      <c r="I3407" s="4"/>
      <c r="K3407" s="4"/>
      <c r="N3407" s="4" t="s">
        <v>7496</v>
      </c>
      <c r="O3407" s="4">
        <v>225</v>
      </c>
    </row>
    <row r="3408" spans="1:15" ht="15.75" customHeight="1">
      <c r="A3408" s="4"/>
      <c r="B3408" s="4"/>
      <c r="C3408" s="4"/>
      <c r="D3408" s="4"/>
      <c r="E3408" s="4"/>
      <c r="G3408" s="4"/>
      <c r="H3408" s="4"/>
      <c r="I3408" s="4"/>
      <c r="K3408" s="4"/>
      <c r="N3408" s="4" t="s">
        <v>7500</v>
      </c>
      <c r="O3408" s="4">
        <v>493</v>
      </c>
    </row>
    <row r="3409" spans="1:15" ht="15.75" customHeight="1">
      <c r="B3409" s="4"/>
      <c r="C3409" s="4"/>
      <c r="D3409" s="4"/>
      <c r="E3409" s="4"/>
      <c r="G3409" s="4"/>
      <c r="H3409" s="4"/>
      <c r="K3409" s="4"/>
      <c r="N3409" s="4" t="s">
        <v>56</v>
      </c>
      <c r="O3409" s="4">
        <v>89</v>
      </c>
    </row>
    <row r="3410" spans="1:15" ht="15.75" customHeight="1">
      <c r="A3410" s="4"/>
      <c r="B3410" s="4"/>
      <c r="C3410" s="4"/>
      <c r="D3410" s="4"/>
      <c r="E3410" s="4"/>
      <c r="G3410" s="4"/>
      <c r="H3410" s="4"/>
      <c r="K3410" s="4"/>
      <c r="N3410" s="4" t="s">
        <v>7506</v>
      </c>
      <c r="O3410" s="4">
        <v>111</v>
      </c>
    </row>
    <row r="3411" spans="1:15" ht="15.75" customHeight="1">
      <c r="A3411" s="4"/>
      <c r="B3411" s="4"/>
      <c r="C3411" s="4"/>
      <c r="D3411" s="4"/>
      <c r="E3411" s="4"/>
      <c r="G3411" s="4"/>
      <c r="H3411" s="4"/>
      <c r="I3411" s="4"/>
      <c r="K3411" s="4"/>
      <c r="N3411" s="4" t="s">
        <v>7509</v>
      </c>
      <c r="O3411" s="4">
        <v>319</v>
      </c>
    </row>
    <row r="3412" spans="1:15" ht="15.75" customHeight="1">
      <c r="A3412" s="4"/>
      <c r="B3412" s="4"/>
      <c r="C3412" s="4"/>
      <c r="D3412" s="4"/>
      <c r="E3412" s="4"/>
      <c r="G3412" s="4"/>
      <c r="H3412" s="4"/>
      <c r="I3412" s="4"/>
      <c r="K3412" s="4"/>
      <c r="N3412" s="4" t="s">
        <v>7513</v>
      </c>
      <c r="O3412" s="4">
        <v>275</v>
      </c>
    </row>
    <row r="3413" spans="1:15" ht="15.75" customHeight="1">
      <c r="A3413" s="4"/>
      <c r="B3413" s="4"/>
      <c r="C3413" s="4"/>
      <c r="D3413" s="4"/>
      <c r="E3413" s="4"/>
      <c r="G3413" s="4"/>
      <c r="H3413" s="4"/>
      <c r="K3413" s="4"/>
      <c r="N3413" s="4" t="s">
        <v>7517</v>
      </c>
      <c r="O3413" s="4">
        <v>351</v>
      </c>
    </row>
    <row r="3414" spans="1:15" ht="15.75" customHeight="1">
      <c r="A3414" s="4"/>
      <c r="B3414" s="4"/>
      <c r="C3414" s="4"/>
      <c r="D3414" s="4"/>
      <c r="E3414" s="4"/>
      <c r="G3414" s="4"/>
      <c r="H3414" s="4"/>
      <c r="I3414" s="4"/>
      <c r="K3414" s="4"/>
      <c r="N3414" s="4" t="s">
        <v>7520</v>
      </c>
      <c r="O3414" s="4">
        <v>315</v>
      </c>
    </row>
    <row r="3415" spans="1:15" ht="15.75" customHeight="1">
      <c r="A3415" s="4"/>
      <c r="B3415" s="4"/>
      <c r="C3415" s="4"/>
      <c r="D3415" s="4"/>
      <c r="E3415" s="4"/>
      <c r="G3415" s="4"/>
      <c r="H3415" s="4"/>
      <c r="K3415" s="4"/>
      <c r="N3415" s="4" t="s">
        <v>56</v>
      </c>
      <c r="O3415" s="4">
        <v>79</v>
      </c>
    </row>
    <row r="3416" spans="1:15" ht="15.75" customHeight="1">
      <c r="A3416" s="4"/>
      <c r="B3416" s="4"/>
      <c r="C3416" s="4"/>
      <c r="D3416" s="4"/>
      <c r="E3416" s="4"/>
      <c r="G3416" s="4"/>
      <c r="H3416" s="4"/>
      <c r="K3416" s="4"/>
      <c r="N3416" s="4" t="s">
        <v>7526</v>
      </c>
      <c r="O3416" s="4">
        <v>575</v>
      </c>
    </row>
    <row r="3417" spans="1:15" ht="15.75" customHeight="1">
      <c r="A3417" s="4"/>
      <c r="B3417" s="4"/>
      <c r="C3417" s="4"/>
      <c r="D3417" s="4"/>
      <c r="E3417" s="4"/>
      <c r="G3417" s="4"/>
      <c r="H3417" s="4"/>
      <c r="K3417" s="4"/>
      <c r="N3417" s="4" t="s">
        <v>194</v>
      </c>
      <c r="O3417" s="4">
        <v>215</v>
      </c>
    </row>
    <row r="3418" spans="1:15" ht="15.75" customHeight="1">
      <c r="A3418" s="4"/>
      <c r="B3418" s="4"/>
      <c r="C3418" s="4"/>
      <c r="D3418" s="4"/>
      <c r="E3418" s="4"/>
      <c r="G3418" s="4"/>
      <c r="H3418" s="4"/>
      <c r="K3418" s="4"/>
      <c r="N3418" s="4" t="s">
        <v>5729</v>
      </c>
      <c r="O3418" s="4">
        <v>336</v>
      </c>
    </row>
    <row r="3419" spans="1:15" ht="15.75" customHeight="1">
      <c r="A3419" s="4"/>
      <c r="B3419" s="4"/>
      <c r="C3419" s="4"/>
      <c r="D3419" s="4"/>
      <c r="E3419" s="4"/>
      <c r="G3419" s="4"/>
      <c r="H3419" s="4"/>
      <c r="K3419" s="4"/>
      <c r="N3419" s="4" t="s">
        <v>73</v>
      </c>
      <c r="O3419" s="4">
        <v>221</v>
      </c>
    </row>
    <row r="3420" spans="1:15" ht="15.75" customHeight="1">
      <c r="A3420" s="4"/>
      <c r="B3420" s="4"/>
      <c r="C3420" s="4"/>
      <c r="D3420" s="4"/>
      <c r="E3420" s="4"/>
      <c r="G3420" s="4"/>
      <c r="H3420" s="4"/>
      <c r="K3420" s="4"/>
      <c r="N3420" s="4" t="s">
        <v>76</v>
      </c>
      <c r="O3420" s="4">
        <v>788</v>
      </c>
    </row>
    <row r="3421" spans="1:15" ht="15.75" customHeight="1">
      <c r="A3421" s="4"/>
      <c r="B3421" s="4"/>
      <c r="C3421" s="4"/>
      <c r="D3421" s="4"/>
      <c r="E3421" s="4"/>
      <c r="G3421" s="4"/>
      <c r="H3421" s="4"/>
      <c r="K3421" s="4"/>
      <c r="N3421" s="4" t="s">
        <v>7537</v>
      </c>
      <c r="O3421" s="4">
        <v>215</v>
      </c>
    </row>
    <row r="3422" spans="1:15" ht="15.75" customHeight="1">
      <c r="A3422" s="4"/>
      <c r="B3422" s="4"/>
      <c r="C3422" s="4"/>
      <c r="D3422" s="4"/>
      <c r="E3422" s="4"/>
      <c r="G3422" s="4"/>
      <c r="H3422" s="4"/>
      <c r="I3422" s="4"/>
      <c r="K3422" s="4"/>
      <c r="N3422" s="4" t="s">
        <v>7540</v>
      </c>
      <c r="O3422" s="4">
        <v>671</v>
      </c>
    </row>
    <row r="3423" spans="1:15" ht="15.75" customHeight="1">
      <c r="A3423" s="4"/>
      <c r="B3423" s="4"/>
      <c r="C3423" s="4"/>
      <c r="D3423" s="4"/>
      <c r="E3423" s="4"/>
      <c r="G3423" s="4"/>
      <c r="H3423" s="4"/>
      <c r="I3423" s="4"/>
      <c r="K3423" s="4"/>
      <c r="N3423" s="4" t="s">
        <v>945</v>
      </c>
      <c r="O3423" s="4">
        <v>963</v>
      </c>
    </row>
    <row r="3424" spans="1:15" ht="15.75" customHeight="1">
      <c r="A3424" s="4"/>
      <c r="B3424" s="4"/>
      <c r="C3424" s="4"/>
      <c r="D3424" s="4"/>
      <c r="E3424" s="4"/>
      <c r="G3424" s="4"/>
      <c r="H3424" s="4"/>
      <c r="K3424" s="4"/>
      <c r="N3424" s="4" t="s">
        <v>6804</v>
      </c>
      <c r="O3424" s="4">
        <v>179</v>
      </c>
    </row>
    <row r="3425" spans="1:15" ht="15.75" customHeight="1">
      <c r="A3425" s="4"/>
      <c r="B3425" s="4"/>
      <c r="C3425" s="4"/>
      <c r="D3425" s="4"/>
      <c r="E3425" s="4"/>
      <c r="G3425" s="4"/>
      <c r="H3425" s="4"/>
      <c r="I3425" s="4"/>
      <c r="K3425" s="4"/>
      <c r="N3425" s="4" t="s">
        <v>7549</v>
      </c>
      <c r="O3425" s="4">
        <v>295</v>
      </c>
    </row>
    <row r="3426" spans="1:15" ht="15.75" customHeight="1">
      <c r="A3426" s="4"/>
      <c r="B3426" s="4"/>
      <c r="C3426" s="4"/>
      <c r="D3426" s="4"/>
      <c r="E3426" s="4"/>
      <c r="G3426" s="4"/>
      <c r="H3426" s="4"/>
      <c r="I3426" s="4"/>
      <c r="K3426" s="4"/>
      <c r="N3426" s="4" t="s">
        <v>7553</v>
      </c>
      <c r="O3426" s="4">
        <v>342</v>
      </c>
    </row>
    <row r="3427" spans="1:15" ht="15.75" customHeight="1">
      <c r="A3427" s="4"/>
      <c r="B3427" s="4"/>
      <c r="C3427" s="4"/>
      <c r="D3427" s="4"/>
      <c r="E3427" s="4"/>
      <c r="G3427" s="4"/>
      <c r="H3427" s="4"/>
      <c r="I3427" s="4"/>
      <c r="K3427" s="4"/>
      <c r="N3427" s="4" t="s">
        <v>7557</v>
      </c>
      <c r="O3427" s="4">
        <v>310</v>
      </c>
    </row>
    <row r="3428" spans="1:15" ht="15.75" customHeight="1">
      <c r="A3428" s="4"/>
      <c r="B3428" s="4"/>
      <c r="C3428" s="4"/>
      <c r="D3428" s="4"/>
      <c r="E3428" s="4"/>
      <c r="G3428" s="4"/>
      <c r="H3428" s="4"/>
      <c r="K3428" s="4"/>
      <c r="N3428" s="4" t="s">
        <v>3132</v>
      </c>
      <c r="O3428" s="4">
        <v>151</v>
      </c>
    </row>
    <row r="3429" spans="1:15" ht="15.75" customHeight="1">
      <c r="A3429" s="4"/>
      <c r="B3429" s="4"/>
      <c r="C3429" s="4"/>
      <c r="D3429" s="4"/>
      <c r="E3429" s="4"/>
      <c r="G3429" s="4"/>
      <c r="H3429" s="4"/>
      <c r="I3429" s="4"/>
      <c r="K3429" s="4"/>
      <c r="N3429" s="4" t="s">
        <v>7563</v>
      </c>
      <c r="O3429" s="4">
        <v>196</v>
      </c>
    </row>
    <row r="3430" spans="1:15" ht="15.75" customHeight="1">
      <c r="A3430" s="4"/>
      <c r="B3430" s="4"/>
      <c r="C3430" s="4"/>
      <c r="D3430" s="4"/>
      <c r="E3430" s="4"/>
      <c r="G3430" s="4"/>
      <c r="H3430" s="4"/>
      <c r="K3430" s="4"/>
    </row>
    <row r="3431" spans="1:15" ht="15.75" customHeight="1">
      <c r="A3431" s="4"/>
      <c r="B3431" s="4"/>
      <c r="C3431" s="4"/>
      <c r="D3431" s="4"/>
      <c r="E3431" s="4"/>
      <c r="G3431" s="4"/>
      <c r="H3431" s="4"/>
      <c r="K3431" s="4"/>
      <c r="N3431" s="4" t="s">
        <v>7568</v>
      </c>
      <c r="O3431" s="4">
        <v>220</v>
      </c>
    </row>
    <row r="3432" spans="1:15" ht="15.75" customHeight="1">
      <c r="A3432" s="4"/>
      <c r="B3432" s="4"/>
      <c r="C3432" s="4"/>
      <c r="D3432" s="4"/>
      <c r="E3432" s="4"/>
      <c r="G3432" s="4"/>
      <c r="H3432" s="4"/>
      <c r="K3432" s="4"/>
      <c r="N3432" s="4" t="s">
        <v>4177</v>
      </c>
      <c r="O3432" s="4">
        <v>345</v>
      </c>
    </row>
    <row r="3433" spans="1:15" ht="15.75" customHeight="1">
      <c r="A3433" s="4"/>
      <c r="B3433" s="4"/>
      <c r="C3433" s="4"/>
      <c r="D3433" s="4"/>
      <c r="E3433" s="4"/>
      <c r="G3433" s="4"/>
      <c r="H3433" s="4"/>
      <c r="I3433" s="4"/>
      <c r="K3433" s="4"/>
      <c r="N3433" s="4" t="s">
        <v>1239</v>
      </c>
      <c r="O3433" s="4">
        <v>340</v>
      </c>
    </row>
    <row r="3434" spans="1:15" ht="15.75" customHeight="1">
      <c r="A3434" s="4"/>
      <c r="B3434" s="4"/>
      <c r="C3434" s="4"/>
      <c r="D3434" s="4"/>
      <c r="E3434" s="4"/>
      <c r="G3434" s="4"/>
      <c r="H3434" s="4"/>
      <c r="I3434" s="4"/>
      <c r="K3434" s="4"/>
      <c r="N3434" s="4" t="s">
        <v>7575</v>
      </c>
      <c r="O3434" s="4">
        <v>396</v>
      </c>
    </row>
    <row r="3435" spans="1:15" ht="15.75" customHeight="1">
      <c r="A3435" s="4"/>
      <c r="B3435" s="4"/>
      <c r="C3435" s="4"/>
      <c r="D3435" s="4"/>
      <c r="E3435" s="4"/>
      <c r="G3435" s="4"/>
      <c r="H3435" s="4"/>
      <c r="I3435" s="4"/>
      <c r="K3435" s="4"/>
      <c r="N3435" s="4" t="s">
        <v>5680</v>
      </c>
      <c r="O3435" s="4">
        <v>251</v>
      </c>
    </row>
    <row r="3436" spans="1:15" ht="15.75" customHeight="1">
      <c r="A3436" s="4"/>
      <c r="B3436" s="4"/>
      <c r="C3436" s="4"/>
      <c r="D3436" s="4"/>
      <c r="E3436" s="4"/>
      <c r="G3436" s="4"/>
      <c r="H3436" s="4"/>
      <c r="I3436" s="4"/>
      <c r="K3436" s="4"/>
      <c r="N3436" s="4" t="s">
        <v>7582</v>
      </c>
      <c r="O3436" s="4">
        <v>434</v>
      </c>
    </row>
    <row r="3437" spans="1:15" ht="15.75" customHeight="1">
      <c r="A3437" s="4"/>
      <c r="B3437" s="4"/>
      <c r="C3437" s="4"/>
      <c r="D3437" s="4"/>
      <c r="E3437" s="4"/>
      <c r="G3437" s="4"/>
      <c r="H3437" s="4"/>
      <c r="K3437" s="4"/>
      <c r="N3437" s="4" t="s">
        <v>255</v>
      </c>
      <c r="O3437" s="4">
        <v>420</v>
      </c>
    </row>
    <row r="3438" spans="1:15" ht="15.75" customHeight="1">
      <c r="B3438" s="4"/>
      <c r="C3438" s="4"/>
      <c r="D3438" s="4"/>
      <c r="E3438" s="4"/>
      <c r="G3438" s="4"/>
      <c r="H3438" s="4"/>
      <c r="K3438" s="4"/>
      <c r="N3438" s="4" t="s">
        <v>56</v>
      </c>
      <c r="O3438" s="4">
        <v>118</v>
      </c>
    </row>
    <row r="3439" spans="1:15" ht="15.75" customHeight="1">
      <c r="A3439" s="4"/>
      <c r="B3439" s="4"/>
      <c r="C3439" s="4"/>
      <c r="D3439" s="4"/>
      <c r="E3439" s="4"/>
      <c r="G3439" s="4"/>
      <c r="H3439" s="4"/>
      <c r="K3439" s="4"/>
      <c r="N3439" s="4" t="s">
        <v>8303</v>
      </c>
      <c r="O3439" s="4">
        <v>523</v>
      </c>
    </row>
    <row r="3440" spans="1:15" ht="15.75" customHeight="1">
      <c r="A3440" s="4"/>
      <c r="B3440" s="4"/>
      <c r="C3440" s="4"/>
      <c r="D3440" s="4"/>
      <c r="E3440" s="4"/>
      <c r="G3440" s="4"/>
      <c r="H3440" s="4"/>
      <c r="I3440" s="4"/>
      <c r="K3440" s="4"/>
      <c r="N3440" s="4" t="s">
        <v>7593</v>
      </c>
      <c r="O3440" s="4">
        <v>78</v>
      </c>
    </row>
    <row r="3441" spans="1:15" ht="15.75" customHeight="1">
      <c r="A3441" s="4"/>
      <c r="B3441" s="4"/>
      <c r="C3441" s="4"/>
      <c r="D3441" s="4"/>
      <c r="E3441" s="4"/>
      <c r="G3441" s="4"/>
      <c r="H3441" s="4"/>
      <c r="K3441" s="4"/>
      <c r="N3441" s="4" t="s">
        <v>7597</v>
      </c>
      <c r="O3441" s="4">
        <v>244</v>
      </c>
    </row>
    <row r="3442" spans="1:15" ht="15.75" customHeight="1">
      <c r="A3442" s="4"/>
      <c r="B3442" s="4"/>
      <c r="C3442" s="4"/>
      <c r="D3442" s="4"/>
      <c r="E3442" s="4"/>
      <c r="G3442" s="4"/>
      <c r="H3442" s="4"/>
      <c r="I3442" s="4"/>
      <c r="K3442" s="4"/>
      <c r="N3442" s="4" t="s">
        <v>7600</v>
      </c>
      <c r="O3442" s="4">
        <v>789</v>
      </c>
    </row>
    <row r="3443" spans="1:15" ht="15.75" customHeight="1">
      <c r="A3443" s="4"/>
      <c r="B3443" s="4"/>
      <c r="C3443" s="4"/>
      <c r="D3443" s="4"/>
      <c r="E3443" s="4"/>
      <c r="G3443" s="4"/>
      <c r="H3443" s="4"/>
      <c r="I3443" s="4"/>
      <c r="K3443" s="4"/>
      <c r="N3443" s="4" t="s">
        <v>7604</v>
      </c>
      <c r="O3443" s="4">
        <v>157</v>
      </c>
    </row>
    <row r="3444" spans="1:15" ht="15.75" customHeight="1">
      <c r="A3444" s="4"/>
      <c r="B3444" s="4"/>
      <c r="C3444" s="4"/>
      <c r="D3444" s="4"/>
      <c r="E3444" s="4"/>
      <c r="G3444" s="4"/>
      <c r="H3444" s="4"/>
      <c r="K3444" s="4"/>
      <c r="N3444" s="4" t="s">
        <v>3085</v>
      </c>
      <c r="O3444" s="4">
        <v>317</v>
      </c>
    </row>
    <row r="3445" spans="1:15" ht="15.75" customHeight="1">
      <c r="A3445" s="4"/>
      <c r="B3445" s="4"/>
      <c r="C3445" s="4"/>
      <c r="D3445" s="4"/>
      <c r="E3445" s="4"/>
      <c r="G3445" s="4"/>
      <c r="H3445" s="4"/>
      <c r="K3445" s="4"/>
      <c r="N3445" s="4" t="s">
        <v>3082</v>
      </c>
      <c r="O3445" s="4">
        <v>558</v>
      </c>
    </row>
    <row r="3446" spans="1:15" ht="15.75" customHeight="1">
      <c r="A3446" s="4"/>
      <c r="B3446" s="4"/>
      <c r="C3446" s="4"/>
      <c r="D3446" s="4"/>
      <c r="E3446" s="4"/>
      <c r="G3446" s="4"/>
      <c r="H3446" s="4"/>
      <c r="K3446" s="4"/>
      <c r="N3446" s="4" t="s">
        <v>2896</v>
      </c>
      <c r="O3446" s="4">
        <v>581</v>
      </c>
    </row>
    <row r="3447" spans="1:15" ht="15.75" customHeight="1">
      <c r="A3447" s="4"/>
      <c r="B3447" s="4"/>
      <c r="C3447" s="4"/>
      <c r="D3447" s="4"/>
      <c r="E3447" s="4"/>
      <c r="G3447" s="4"/>
      <c r="H3447" s="4"/>
      <c r="K3447" s="4"/>
      <c r="N3447" s="4" t="s">
        <v>7614</v>
      </c>
      <c r="O3447" s="4">
        <v>753</v>
      </c>
    </row>
    <row r="3448" spans="1:15" ht="15.75" customHeight="1">
      <c r="A3448" s="4"/>
      <c r="B3448" s="4"/>
      <c r="C3448" s="4"/>
      <c r="D3448" s="4"/>
      <c r="E3448" s="4"/>
      <c r="G3448" s="4"/>
      <c r="H3448" s="4"/>
      <c r="I3448" s="4"/>
      <c r="K3448" s="4"/>
      <c r="N3448" s="4" t="s">
        <v>7617</v>
      </c>
      <c r="O3448" s="4">
        <v>230</v>
      </c>
    </row>
    <row r="3449" spans="1:15" ht="15.75" customHeight="1">
      <c r="A3449" s="4"/>
      <c r="B3449" s="4"/>
      <c r="C3449" s="4"/>
      <c r="D3449" s="4"/>
      <c r="E3449" s="4"/>
      <c r="G3449" s="4"/>
      <c r="H3449" s="4"/>
      <c r="K3449" s="4"/>
      <c r="N3449" s="4" t="s">
        <v>73</v>
      </c>
      <c r="O3449" s="4">
        <v>376</v>
      </c>
    </row>
    <row r="3450" spans="1:15" ht="15.75" customHeight="1">
      <c r="A3450" s="4"/>
      <c r="B3450" s="4"/>
      <c r="C3450" s="4"/>
      <c r="D3450" s="4"/>
      <c r="E3450" s="4"/>
      <c r="G3450" s="4"/>
      <c r="H3450" s="4"/>
      <c r="K3450" s="4"/>
      <c r="N3450" s="4" t="s">
        <v>3082</v>
      </c>
      <c r="O3450" s="4">
        <v>541</v>
      </c>
    </row>
    <row r="3451" spans="1:15" ht="15.75" customHeight="1">
      <c r="A3451" s="4"/>
      <c r="B3451" s="4"/>
      <c r="C3451" s="4"/>
      <c r="D3451" s="4"/>
      <c r="E3451" s="4"/>
      <c r="G3451" s="4"/>
      <c r="H3451" s="4"/>
      <c r="K3451" s="4"/>
      <c r="N3451" s="4" t="s">
        <v>723</v>
      </c>
      <c r="O3451" s="4">
        <v>410</v>
      </c>
    </row>
    <row r="3452" spans="1:15" ht="15.75" customHeight="1">
      <c r="A3452" s="4"/>
      <c r="B3452" s="4"/>
      <c r="C3452" s="4"/>
      <c r="D3452" s="4"/>
      <c r="E3452" s="4"/>
      <c r="G3452" s="4"/>
      <c r="H3452" s="4"/>
      <c r="K3452" s="4"/>
      <c r="N3452" s="4" t="s">
        <v>5467</v>
      </c>
      <c r="O3452" s="4">
        <v>452</v>
      </c>
    </row>
    <row r="3453" spans="1:15" ht="15.75" customHeight="1">
      <c r="A3453" s="4"/>
      <c r="B3453" s="4"/>
      <c r="C3453" s="4"/>
      <c r="D3453" s="4"/>
      <c r="E3453" s="4"/>
      <c r="G3453" s="4"/>
      <c r="H3453" s="4"/>
      <c r="K3453" s="4"/>
      <c r="N3453" s="4" t="s">
        <v>7629</v>
      </c>
      <c r="O3453" s="4">
        <v>285</v>
      </c>
    </row>
    <row r="3454" spans="1:15" ht="15.75" customHeight="1">
      <c r="A3454" s="4"/>
      <c r="B3454" s="4"/>
      <c r="C3454" s="4"/>
      <c r="D3454" s="4"/>
      <c r="E3454" s="4"/>
      <c r="G3454" s="4"/>
      <c r="H3454" s="4"/>
      <c r="K3454" s="4"/>
      <c r="N3454" s="4" t="s">
        <v>56</v>
      </c>
      <c r="O3454" s="4">
        <v>100</v>
      </c>
    </row>
    <row r="3455" spans="1:15" ht="15.75" customHeight="1">
      <c r="A3455" s="4"/>
      <c r="B3455" s="4"/>
      <c r="C3455" s="4"/>
      <c r="D3455" s="4"/>
      <c r="E3455" s="4"/>
      <c r="G3455" s="4"/>
      <c r="H3455" s="4"/>
      <c r="K3455" s="4"/>
      <c r="N3455" s="4" t="s">
        <v>478</v>
      </c>
      <c r="O3455" s="4">
        <v>62</v>
      </c>
    </row>
    <row r="3456" spans="1:15" ht="15.75" customHeight="1">
      <c r="A3456" s="4"/>
      <c r="B3456" s="4"/>
      <c r="C3456" s="4"/>
      <c r="D3456" s="4"/>
      <c r="E3456" s="4"/>
      <c r="G3456" s="4"/>
      <c r="H3456" s="4"/>
      <c r="K3456" s="4"/>
      <c r="N3456" s="4" t="s">
        <v>2282</v>
      </c>
      <c r="O3456" s="4">
        <v>413</v>
      </c>
    </row>
    <row r="3457" spans="1:15" ht="15.75" customHeight="1">
      <c r="A3457" s="4"/>
      <c r="B3457" s="4"/>
      <c r="C3457" s="4"/>
      <c r="D3457" s="4"/>
      <c r="E3457" s="4"/>
      <c r="G3457" s="4"/>
      <c r="H3457" s="4"/>
      <c r="K3457" s="4"/>
      <c r="N3457" s="4" t="s">
        <v>4407</v>
      </c>
      <c r="O3457" s="4">
        <v>437</v>
      </c>
    </row>
    <row r="3458" spans="1:15" ht="15.75" customHeight="1">
      <c r="A3458" s="4"/>
      <c r="B3458" s="4"/>
      <c r="C3458" s="4"/>
      <c r="D3458" s="4"/>
      <c r="E3458" s="4"/>
      <c r="G3458" s="4"/>
      <c r="H3458" s="4"/>
      <c r="K3458" s="4"/>
      <c r="N3458" s="4" t="s">
        <v>5467</v>
      </c>
      <c r="O3458" s="4">
        <v>273</v>
      </c>
    </row>
    <row r="3459" spans="1:15" ht="15.75" customHeight="1">
      <c r="A3459" s="4"/>
      <c r="B3459" s="4"/>
      <c r="C3459" s="4"/>
      <c r="D3459" s="4"/>
      <c r="E3459" s="4"/>
      <c r="G3459" s="4"/>
      <c r="H3459" s="4"/>
      <c r="K3459" s="4"/>
      <c r="N3459" s="4" t="s">
        <v>5467</v>
      </c>
      <c r="O3459" s="4">
        <v>297</v>
      </c>
    </row>
    <row r="3460" spans="1:15" ht="15.75" customHeight="1">
      <c r="B3460" s="4"/>
      <c r="C3460" s="4"/>
      <c r="D3460" s="4"/>
      <c r="E3460" s="4"/>
      <c r="G3460" s="4"/>
      <c r="H3460" s="4"/>
      <c r="K3460" s="4"/>
    </row>
    <row r="3461" spans="1:15" ht="15.75" customHeight="1">
      <c r="A3461" s="4"/>
      <c r="B3461" s="4"/>
      <c r="C3461" s="4"/>
      <c r="D3461" s="4"/>
      <c r="E3461" s="4"/>
      <c r="F3461" s="4"/>
      <c r="G3461" s="4"/>
      <c r="H3461" s="4"/>
      <c r="K3461" s="4"/>
      <c r="N3461" s="4" t="s">
        <v>7647</v>
      </c>
      <c r="O3461" s="4">
        <v>303</v>
      </c>
    </row>
    <row r="3462" spans="1:15" ht="15.75" customHeight="1">
      <c r="A3462" s="4"/>
      <c r="B3462" s="4"/>
      <c r="C3462" s="4"/>
      <c r="D3462" s="4"/>
      <c r="E3462" s="4"/>
      <c r="F3462" s="4"/>
      <c r="G3462" s="4"/>
      <c r="H3462" s="4"/>
      <c r="K3462" s="4"/>
      <c r="N3462" s="4" t="s">
        <v>674</v>
      </c>
      <c r="O3462" s="4">
        <v>306</v>
      </c>
    </row>
    <row r="3463" spans="1:15" ht="15.75" customHeight="1">
      <c r="A3463" s="4"/>
      <c r="B3463" s="4"/>
      <c r="C3463" s="4"/>
      <c r="D3463" s="4"/>
      <c r="E3463" s="4"/>
      <c r="F3463" s="4"/>
      <c r="G3463" s="4"/>
      <c r="H3463" s="4"/>
      <c r="K3463" s="4"/>
      <c r="N3463" s="4" t="s">
        <v>56</v>
      </c>
      <c r="O3463" s="4">
        <v>197</v>
      </c>
    </row>
    <row r="3464" spans="1:15" ht="15.75" customHeight="1">
      <c r="A3464" s="4"/>
      <c r="B3464" s="4"/>
      <c r="C3464" s="4"/>
      <c r="D3464" s="4"/>
      <c r="E3464" s="4"/>
      <c r="F3464" s="4"/>
      <c r="G3464" s="4"/>
      <c r="H3464" s="4"/>
      <c r="K3464" s="4"/>
      <c r="N3464" s="4" t="s">
        <v>56</v>
      </c>
      <c r="O3464" s="4">
        <v>37</v>
      </c>
    </row>
    <row r="3465" spans="1:15" ht="15.75" customHeight="1">
      <c r="A3465" s="4"/>
      <c r="B3465" s="4"/>
      <c r="C3465" s="4"/>
      <c r="D3465" s="4"/>
      <c r="E3465" s="4"/>
      <c r="F3465" s="4"/>
      <c r="G3465" s="4"/>
      <c r="H3465" s="4"/>
      <c r="K3465" s="4"/>
      <c r="N3465" s="4" t="s">
        <v>348</v>
      </c>
      <c r="O3465" s="4">
        <v>280</v>
      </c>
    </row>
    <row r="3466" spans="1:15" ht="15.75" customHeight="1">
      <c r="A3466" s="4"/>
      <c r="B3466" s="4"/>
      <c r="C3466" s="4"/>
      <c r="D3466" s="4"/>
      <c r="E3466" s="4"/>
      <c r="F3466" s="4"/>
      <c r="G3466" s="4"/>
      <c r="H3466" s="4"/>
      <c r="K3466" s="4"/>
      <c r="N3466" s="4" t="s">
        <v>348</v>
      </c>
      <c r="O3466" s="4">
        <v>83</v>
      </c>
    </row>
    <row r="3467" spans="1:15" ht="15.75" customHeight="1">
      <c r="A3467" s="4"/>
      <c r="B3467" s="4"/>
      <c r="C3467" s="4"/>
      <c r="D3467" s="4"/>
      <c r="E3467" s="4"/>
      <c r="F3467" s="4"/>
      <c r="G3467" s="4"/>
      <c r="H3467" s="4"/>
      <c r="K3467" s="4"/>
      <c r="N3467" s="4" t="s">
        <v>56</v>
      </c>
      <c r="O3467" s="4">
        <v>247</v>
      </c>
    </row>
    <row r="3468" spans="1:15" ht="15.75" customHeight="1">
      <c r="B3468" s="4"/>
      <c r="C3468" s="4"/>
      <c r="D3468" s="4"/>
      <c r="E3468" s="4"/>
      <c r="F3468" s="4"/>
      <c r="G3468" s="4"/>
      <c r="H3468" s="4"/>
      <c r="K3468" s="4"/>
    </row>
    <row r="3469" spans="1:15" ht="15.75" customHeight="1">
      <c r="A3469" s="4"/>
      <c r="B3469" s="4"/>
      <c r="C3469" s="4"/>
      <c r="D3469" s="4"/>
      <c r="E3469" s="4"/>
      <c r="F3469" s="4"/>
      <c r="G3469" s="4"/>
      <c r="H3469" s="4"/>
      <c r="K3469" s="4"/>
      <c r="N3469" s="4" t="s">
        <v>674</v>
      </c>
      <c r="O3469" s="4">
        <v>306</v>
      </c>
    </row>
    <row r="3470" spans="1:15" ht="15.75" customHeight="1">
      <c r="A3470" s="4"/>
      <c r="B3470" s="4"/>
      <c r="C3470" s="4"/>
      <c r="D3470" s="4"/>
      <c r="E3470" s="4"/>
      <c r="F3470" s="4"/>
      <c r="G3470" s="4"/>
      <c r="H3470" s="4"/>
      <c r="K3470" s="4"/>
      <c r="N3470" s="4" t="s">
        <v>56</v>
      </c>
      <c r="O3470" s="4">
        <v>66</v>
      </c>
    </row>
    <row r="3471" spans="1:15" ht="15.75" customHeight="1">
      <c r="A3471" s="4"/>
      <c r="B3471" s="4"/>
      <c r="C3471" s="4"/>
      <c r="D3471" s="4"/>
      <c r="E3471" s="4"/>
      <c r="F3471" s="4"/>
      <c r="G3471" s="4"/>
      <c r="H3471" s="4"/>
      <c r="K3471" s="4"/>
      <c r="N3471" s="4" t="s">
        <v>56</v>
      </c>
      <c r="O3471" s="4">
        <v>148</v>
      </c>
    </row>
    <row r="3472" spans="1:15" ht="15.75" customHeight="1">
      <c r="A3472" s="4"/>
      <c r="B3472" s="4"/>
      <c r="C3472" s="4"/>
      <c r="D3472" s="4"/>
      <c r="E3472" s="4"/>
      <c r="F3472" s="4"/>
      <c r="G3472" s="4"/>
      <c r="H3472" s="4"/>
      <c r="K3472" s="4"/>
      <c r="N3472" s="4" t="s">
        <v>7666</v>
      </c>
      <c r="O3472" s="4">
        <v>122</v>
      </c>
    </row>
    <row r="3473" spans="1:15" ht="15.75" customHeight="1">
      <c r="A3473" s="4"/>
      <c r="B3473" s="4"/>
      <c r="C3473" s="4"/>
      <c r="D3473" s="4"/>
      <c r="E3473" s="4"/>
      <c r="F3473" s="4"/>
      <c r="G3473" s="4"/>
      <c r="H3473" s="4"/>
      <c r="K3473" s="4"/>
      <c r="N3473" s="4" t="s">
        <v>7669</v>
      </c>
      <c r="O3473" s="4">
        <v>148</v>
      </c>
    </row>
    <row r="3474" spans="1:15" ht="15.75" customHeight="1">
      <c r="A3474" s="4"/>
      <c r="B3474" s="4"/>
      <c r="C3474" s="4"/>
      <c r="D3474" s="4"/>
      <c r="E3474" s="4"/>
      <c r="F3474" s="4"/>
      <c r="G3474" s="4"/>
      <c r="H3474" s="4"/>
      <c r="K3474" s="4"/>
      <c r="N3474" s="4" t="s">
        <v>3740</v>
      </c>
      <c r="O3474" s="4">
        <v>898</v>
      </c>
    </row>
    <row r="3475" spans="1:15" ht="15.75" customHeight="1">
      <c r="A3475" s="4"/>
      <c r="B3475" s="4"/>
      <c r="C3475" s="4"/>
      <c r="D3475" s="4"/>
      <c r="E3475" s="4"/>
      <c r="F3475" s="4"/>
      <c r="G3475" s="4"/>
      <c r="H3475" s="4"/>
      <c r="K3475" s="4"/>
      <c r="N3475" s="4" t="s">
        <v>3737</v>
      </c>
      <c r="O3475" s="4">
        <v>241</v>
      </c>
    </row>
    <row r="3476" spans="1:15" ht="15.75" customHeight="1">
      <c r="A3476" s="4"/>
      <c r="B3476" s="4"/>
      <c r="C3476" s="4"/>
      <c r="D3476" s="4"/>
      <c r="E3476" s="4"/>
      <c r="F3476" s="4"/>
      <c r="G3476" s="4"/>
      <c r="H3476" s="4"/>
      <c r="K3476" s="4"/>
      <c r="N3476" s="4" t="s">
        <v>3740</v>
      </c>
      <c r="O3476" s="4">
        <v>334</v>
      </c>
    </row>
    <row r="3477" spans="1:15" ht="15.75" customHeight="1">
      <c r="A3477" s="4"/>
      <c r="B3477" s="4"/>
      <c r="C3477" s="4"/>
      <c r="D3477" s="4"/>
      <c r="E3477" s="4"/>
      <c r="F3477" s="4"/>
      <c r="G3477" s="4"/>
      <c r="H3477" s="4"/>
      <c r="K3477" s="4"/>
      <c r="N3477" s="4" t="s">
        <v>3731</v>
      </c>
      <c r="O3477" s="4">
        <v>359</v>
      </c>
    </row>
    <row r="3478" spans="1:15" ht="15.75" customHeight="1">
      <c r="A3478" s="4"/>
      <c r="B3478" s="4"/>
      <c r="C3478" s="4"/>
      <c r="D3478" s="4"/>
      <c r="E3478" s="4"/>
      <c r="F3478" s="4"/>
      <c r="G3478" s="4"/>
      <c r="H3478" s="4"/>
      <c r="K3478" s="4"/>
      <c r="N3478" s="4" t="s">
        <v>348</v>
      </c>
      <c r="O3478" s="4">
        <v>83</v>
      </c>
    </row>
    <row r="3479" spans="1:15" ht="15.75" customHeight="1">
      <c r="A3479" s="4"/>
      <c r="B3479" s="4"/>
      <c r="C3479" s="4"/>
      <c r="D3479" s="4"/>
      <c r="E3479" s="4"/>
      <c r="F3479" s="4"/>
      <c r="G3479" s="4"/>
      <c r="H3479" s="4"/>
      <c r="K3479" s="4"/>
      <c r="N3479" s="4" t="s">
        <v>348</v>
      </c>
      <c r="O3479" s="4">
        <v>280</v>
      </c>
    </row>
    <row r="3480" spans="1:15" ht="15.75" customHeight="1">
      <c r="A3480" s="4"/>
      <c r="B3480" s="4"/>
      <c r="C3480" s="4"/>
      <c r="D3480" s="4"/>
      <c r="E3480" s="4"/>
      <c r="F3480" s="4"/>
      <c r="G3480" s="4"/>
      <c r="H3480" s="4"/>
      <c r="K3480" s="4"/>
      <c r="N3480" s="4" t="s">
        <v>4639</v>
      </c>
      <c r="O3480" s="4">
        <v>132</v>
      </c>
    </row>
    <row r="3481" spans="1:15" ht="15.75" customHeight="1">
      <c r="A3481" s="4"/>
      <c r="B3481" s="4"/>
      <c r="C3481" s="4"/>
      <c r="D3481" s="4"/>
      <c r="E3481" s="4"/>
      <c r="F3481" s="4"/>
      <c r="G3481" s="4"/>
      <c r="H3481" s="4"/>
      <c r="K3481" s="4"/>
      <c r="N3481" s="4" t="s">
        <v>7684</v>
      </c>
      <c r="O3481" s="4">
        <v>123</v>
      </c>
    </row>
    <row r="3482" spans="1:15" ht="15.75" customHeight="1">
      <c r="A3482" s="4"/>
      <c r="B3482" s="4"/>
      <c r="C3482" s="4"/>
      <c r="D3482" s="4"/>
      <c r="E3482" s="4"/>
      <c r="F3482" s="4"/>
      <c r="G3482" s="4"/>
      <c r="H3482" s="4"/>
      <c r="K3482" s="4"/>
      <c r="N3482" s="4" t="s">
        <v>7687</v>
      </c>
      <c r="O3482" s="4">
        <v>94</v>
      </c>
    </row>
    <row r="3483" spans="1:15" ht="15.75" customHeight="1">
      <c r="A3483" s="4"/>
      <c r="B3483" s="4"/>
      <c r="C3483" s="4"/>
      <c r="D3483" s="4"/>
      <c r="E3483" s="4"/>
      <c r="F3483" s="4"/>
      <c r="G3483" s="4"/>
      <c r="H3483" s="4"/>
      <c r="K3483" s="4"/>
      <c r="N3483" s="4" t="s">
        <v>7690</v>
      </c>
      <c r="O3483" s="4">
        <v>216</v>
      </c>
    </row>
    <row r="3484" spans="1:15" ht="15.75" customHeight="1">
      <c r="A3484" s="4"/>
      <c r="B3484" s="4"/>
      <c r="C3484" s="4"/>
      <c r="D3484" s="4"/>
      <c r="E3484" s="4"/>
      <c r="F3484" s="4"/>
      <c r="G3484" s="4"/>
      <c r="H3484" s="4"/>
      <c r="K3484" s="4"/>
      <c r="N3484" s="4" t="s">
        <v>674</v>
      </c>
      <c r="O3484" s="4">
        <v>303</v>
      </c>
    </row>
    <row r="3485" spans="1:15" ht="15.75" customHeight="1">
      <c r="B3485" s="4"/>
      <c r="C3485" s="4"/>
      <c r="D3485" s="4"/>
      <c r="E3485" s="4"/>
      <c r="F3485" s="4"/>
      <c r="G3485" s="4"/>
      <c r="H3485" s="4"/>
      <c r="K3485" s="4"/>
    </row>
    <row r="3486" spans="1:15" ht="15.75" customHeight="1">
      <c r="A3486" s="4"/>
      <c r="B3486" s="4"/>
      <c r="C3486" s="4"/>
      <c r="D3486" s="4"/>
      <c r="E3486" s="4"/>
      <c r="F3486" s="4"/>
      <c r="G3486" s="4"/>
      <c r="H3486" s="4"/>
      <c r="K3486" s="4"/>
      <c r="N3486" s="4" t="s">
        <v>7696</v>
      </c>
      <c r="O3486" s="4">
        <v>604</v>
      </c>
    </row>
    <row r="3487" spans="1:15" ht="15.75" customHeight="1">
      <c r="B3487" s="4"/>
      <c r="C3487" s="4"/>
      <c r="D3487" s="4"/>
      <c r="E3487" s="4"/>
      <c r="F3487" s="4"/>
      <c r="G3487" s="4"/>
      <c r="H3487" s="4"/>
      <c r="K3487" s="4"/>
    </row>
    <row r="3488" spans="1:15" ht="15.75" customHeight="1">
      <c r="B3488" s="4"/>
      <c r="C3488" s="4"/>
      <c r="D3488" s="4"/>
      <c r="E3488" s="4"/>
      <c r="F3488" s="4"/>
      <c r="G3488" s="4"/>
      <c r="H3488" s="4"/>
      <c r="K3488" s="4"/>
    </row>
    <row r="3489" spans="1:15" ht="15.75" customHeight="1">
      <c r="A3489" s="4"/>
      <c r="B3489" s="4"/>
      <c r="C3489" s="4"/>
      <c r="D3489" s="4"/>
      <c r="E3489" s="4"/>
      <c r="F3489" s="4"/>
      <c r="G3489" s="4"/>
      <c r="H3489" s="4"/>
      <c r="K3489" s="4"/>
      <c r="N3489" s="4" t="s">
        <v>7701</v>
      </c>
      <c r="O3489" s="4">
        <v>132</v>
      </c>
    </row>
    <row r="3490" spans="1:15" ht="15.75" customHeight="1">
      <c r="A3490" s="4"/>
      <c r="B3490" s="4"/>
      <c r="C3490" s="4"/>
      <c r="D3490" s="4"/>
      <c r="E3490" s="4"/>
      <c r="F3490" s="4"/>
      <c r="G3490" s="4"/>
      <c r="H3490" s="4"/>
      <c r="K3490" s="4"/>
      <c r="N3490" s="4" t="s">
        <v>4599</v>
      </c>
      <c r="O3490" s="4">
        <v>269</v>
      </c>
    </row>
    <row r="3491" spans="1:15" ht="15.75" customHeight="1">
      <c r="A3491" s="4"/>
      <c r="B3491" s="4"/>
      <c r="C3491" s="4"/>
      <c r="D3491" s="4"/>
      <c r="E3491" s="4"/>
      <c r="F3491" s="4"/>
      <c r="G3491" s="4"/>
      <c r="H3491" s="4"/>
      <c r="K3491" s="4"/>
      <c r="N3491" s="4" t="s">
        <v>7706</v>
      </c>
      <c r="O3491" s="4">
        <v>352</v>
      </c>
    </row>
    <row r="3492" spans="1:15" ht="15.75" customHeight="1">
      <c r="B3492" s="4"/>
      <c r="C3492" s="4"/>
      <c r="D3492" s="4"/>
      <c r="E3492" s="4"/>
      <c r="F3492" s="4"/>
      <c r="G3492" s="4"/>
      <c r="H3492" s="4"/>
      <c r="K3492" s="4"/>
    </row>
    <row r="3493" spans="1:15" ht="15.75" customHeight="1">
      <c r="A3493" s="4"/>
      <c r="B3493" s="4"/>
      <c r="C3493" s="4"/>
      <c r="D3493" s="4"/>
      <c r="E3493" s="4"/>
      <c r="F3493" s="4"/>
      <c r="G3493" s="4"/>
      <c r="H3493" s="4"/>
      <c r="K3493" s="4"/>
      <c r="N3493" s="4" t="s">
        <v>3740</v>
      </c>
      <c r="O3493" s="4">
        <v>228</v>
      </c>
    </row>
    <row r="3494" spans="1:15" ht="15.75" customHeight="1">
      <c r="A3494" s="4"/>
      <c r="B3494" s="4"/>
      <c r="C3494" s="4"/>
      <c r="D3494" s="4"/>
      <c r="E3494" s="4"/>
      <c r="F3494" s="4"/>
      <c r="G3494" s="4"/>
      <c r="H3494" s="4"/>
      <c r="K3494" s="4"/>
      <c r="N3494" s="4" t="s">
        <v>674</v>
      </c>
      <c r="O3494" s="4">
        <v>306</v>
      </c>
    </row>
    <row r="3495" spans="1:15" ht="15.75" customHeight="1">
      <c r="A3495" s="4"/>
      <c r="B3495" s="4"/>
      <c r="C3495" s="4"/>
      <c r="D3495" s="4"/>
      <c r="E3495" s="4"/>
      <c r="F3495" s="4"/>
      <c r="G3495" s="4"/>
      <c r="H3495" s="4"/>
      <c r="K3495" s="4"/>
      <c r="N3495" s="4" t="s">
        <v>3740</v>
      </c>
      <c r="O3495" s="4">
        <v>126</v>
      </c>
    </row>
    <row r="3496" spans="1:15" ht="15.75" customHeight="1">
      <c r="A3496" s="4"/>
      <c r="B3496" s="4"/>
      <c r="C3496" s="4"/>
      <c r="D3496" s="4"/>
      <c r="E3496" s="4"/>
      <c r="F3496" s="4"/>
      <c r="G3496" s="4"/>
      <c r="H3496" s="4"/>
      <c r="K3496" s="4"/>
      <c r="N3496" s="4" t="s">
        <v>56</v>
      </c>
      <c r="O3496" s="4">
        <v>239</v>
      </c>
    </row>
    <row r="3497" spans="1:15" ht="15.75" customHeight="1">
      <c r="A3497" s="4"/>
      <c r="B3497" s="4"/>
      <c r="C3497" s="4"/>
      <c r="D3497" s="4"/>
      <c r="E3497" s="4"/>
      <c r="F3497" s="4"/>
      <c r="G3497" s="4"/>
      <c r="H3497" s="4"/>
      <c r="K3497" s="4"/>
      <c r="N3497" s="4" t="s">
        <v>56</v>
      </c>
      <c r="O3497" s="4">
        <v>66</v>
      </c>
    </row>
    <row r="3498" spans="1:15" ht="15.75" customHeight="1">
      <c r="A3498" s="4"/>
      <c r="B3498" s="4"/>
      <c r="C3498" s="4"/>
      <c r="D3498" s="4"/>
      <c r="E3498" s="4"/>
      <c r="F3498" s="4"/>
      <c r="G3498" s="4"/>
      <c r="H3498" s="4"/>
      <c r="K3498" s="4"/>
      <c r="N3498" s="4" t="s">
        <v>56</v>
      </c>
      <c r="O3498" s="4">
        <v>90</v>
      </c>
    </row>
    <row r="3499" spans="1:15" ht="15.75" customHeight="1">
      <c r="A3499" s="4"/>
      <c r="B3499" s="4"/>
      <c r="C3499" s="4"/>
      <c r="D3499" s="4"/>
      <c r="E3499" s="4"/>
      <c r="F3499" s="4"/>
      <c r="G3499" s="4"/>
      <c r="H3499" s="4"/>
      <c r="K3499" s="4"/>
      <c r="N3499" s="4" t="s">
        <v>56</v>
      </c>
      <c r="O3499" s="4">
        <v>145</v>
      </c>
    </row>
    <row r="3500" spans="1:15" ht="15.75" customHeight="1">
      <c r="B3500" s="4"/>
      <c r="C3500" s="4"/>
      <c r="D3500" s="4"/>
      <c r="E3500" s="4"/>
      <c r="F3500" s="4"/>
      <c r="G3500" s="4"/>
      <c r="H3500" s="4"/>
      <c r="I3500" s="4"/>
      <c r="K3500" s="4"/>
    </row>
    <row r="3501" spans="1:15" ht="15.75" customHeight="1">
      <c r="B3501" s="4"/>
      <c r="C3501" s="4"/>
      <c r="D3501" s="4"/>
      <c r="E3501" s="4"/>
      <c r="F3501" s="4"/>
      <c r="G3501" s="4"/>
      <c r="H3501" s="4"/>
      <c r="K3501" s="4"/>
    </row>
    <row r="3502" spans="1:15" ht="15.75" customHeight="1">
      <c r="B3502" s="4"/>
      <c r="C3502" s="4"/>
      <c r="D3502" s="4"/>
      <c r="E3502" s="4"/>
      <c r="F3502" s="4"/>
      <c r="G3502" s="4"/>
      <c r="H3502" s="4"/>
      <c r="I3502" s="4"/>
      <c r="K3502" s="4"/>
    </row>
    <row r="3503" spans="1:15" ht="15.75" customHeight="1">
      <c r="A3503" s="4"/>
      <c r="B3503" s="4"/>
      <c r="C3503" s="4"/>
      <c r="D3503" s="4"/>
      <c r="E3503" s="4"/>
      <c r="F3503" s="4"/>
      <c r="G3503" s="4"/>
      <c r="H3503" s="4"/>
      <c r="K3503" s="4"/>
      <c r="N3503" s="4" t="s">
        <v>56</v>
      </c>
      <c r="O3503" s="4">
        <v>81</v>
      </c>
    </row>
    <row r="3504" spans="1:15" ht="15.75" customHeight="1">
      <c r="A3504" s="4"/>
      <c r="B3504" s="4"/>
      <c r="C3504" s="4"/>
      <c r="D3504" s="4"/>
      <c r="E3504" s="4"/>
      <c r="F3504" s="4"/>
      <c r="G3504" s="4"/>
      <c r="H3504" s="4"/>
      <c r="K3504" s="4"/>
      <c r="N3504" s="4" t="s">
        <v>7730</v>
      </c>
      <c r="O3504" s="4">
        <v>845</v>
      </c>
    </row>
    <row r="3505" spans="1:15" ht="15.75" customHeight="1">
      <c r="A3505" s="4"/>
      <c r="B3505" s="4"/>
      <c r="C3505" s="4"/>
      <c r="D3505" s="4"/>
      <c r="E3505" s="4"/>
      <c r="F3505" s="4"/>
      <c r="G3505" s="4"/>
      <c r="H3505" s="4"/>
      <c r="K3505" s="4"/>
      <c r="N3505" s="4" t="s">
        <v>7733</v>
      </c>
      <c r="O3505" s="4">
        <v>132</v>
      </c>
    </row>
    <row r="3506" spans="1:15" ht="15.75" customHeight="1">
      <c r="A3506" s="4"/>
      <c r="B3506" s="4"/>
      <c r="C3506" s="4"/>
      <c r="D3506" s="4"/>
      <c r="E3506" s="4"/>
      <c r="F3506" s="4"/>
      <c r="G3506" s="4"/>
      <c r="H3506" s="4"/>
      <c r="K3506" s="4"/>
      <c r="N3506" s="4" t="s">
        <v>4030</v>
      </c>
      <c r="O3506" s="4">
        <v>29</v>
      </c>
    </row>
    <row r="3507" spans="1:15" ht="15.75" customHeight="1">
      <c r="A3507" s="4"/>
      <c r="B3507" s="4"/>
      <c r="C3507" s="4"/>
      <c r="D3507" s="4"/>
      <c r="E3507" s="4"/>
      <c r="F3507" s="4"/>
      <c r="G3507" s="4"/>
      <c r="H3507" s="4"/>
      <c r="K3507" s="4"/>
      <c r="N3507" s="4" t="s">
        <v>4059</v>
      </c>
      <c r="O3507" s="4">
        <v>449</v>
      </c>
    </row>
    <row r="3508" spans="1:15" ht="15.75" customHeight="1">
      <c r="A3508" s="4"/>
      <c r="B3508" s="4"/>
      <c r="C3508" s="4"/>
      <c r="D3508" s="4"/>
      <c r="E3508" s="4"/>
      <c r="F3508" s="4"/>
      <c r="G3508" s="4"/>
      <c r="H3508" s="4"/>
      <c r="K3508" s="4"/>
      <c r="N3508" s="4" t="s">
        <v>351</v>
      </c>
      <c r="O3508" s="4">
        <v>53</v>
      </c>
    </row>
    <row r="3509" spans="1:15" ht="15.75" customHeight="1">
      <c r="A3509" s="4"/>
      <c r="B3509" s="4"/>
      <c r="C3509" s="4"/>
      <c r="D3509" s="4"/>
      <c r="E3509" s="4"/>
      <c r="F3509" s="4"/>
      <c r="G3509" s="4"/>
      <c r="H3509" s="4"/>
      <c r="K3509" s="4"/>
      <c r="N3509" s="4" t="s">
        <v>717</v>
      </c>
      <c r="O3509" s="4">
        <v>262</v>
      </c>
    </row>
    <row r="3510" spans="1:15" ht="15.75" customHeight="1">
      <c r="B3510" s="4"/>
      <c r="C3510" s="4"/>
      <c r="D3510" s="4"/>
      <c r="E3510" s="4"/>
      <c r="F3510" s="4"/>
      <c r="G3510" s="4"/>
      <c r="H3510" s="4"/>
      <c r="K3510" s="4"/>
    </row>
    <row r="3511" spans="1:15" ht="15.75" customHeight="1">
      <c r="A3511" s="4"/>
      <c r="B3511" s="4"/>
      <c r="C3511" s="4"/>
      <c r="D3511" s="4"/>
      <c r="E3511" s="4"/>
      <c r="F3511" s="4"/>
      <c r="G3511" s="4"/>
      <c r="H3511" s="4"/>
      <c r="I3511" s="4"/>
      <c r="K3511" s="4"/>
      <c r="N3511" s="4" t="s">
        <v>7745</v>
      </c>
      <c r="O3511" s="4">
        <v>292</v>
      </c>
    </row>
    <row r="3512" spans="1:15" ht="15.75" customHeight="1">
      <c r="A3512" s="4"/>
      <c r="B3512" s="4"/>
      <c r="C3512" s="4"/>
      <c r="D3512" s="4"/>
      <c r="E3512" s="4"/>
      <c r="F3512" s="4"/>
      <c r="G3512" s="4"/>
      <c r="H3512" s="4"/>
      <c r="K3512" s="4"/>
      <c r="N3512" s="4" t="s">
        <v>7749</v>
      </c>
      <c r="O3512" s="4">
        <v>577</v>
      </c>
    </row>
    <row r="3513" spans="1:15" ht="15.75" customHeight="1">
      <c r="A3513" s="4"/>
      <c r="B3513" s="4"/>
      <c r="C3513" s="4"/>
      <c r="D3513" s="4"/>
      <c r="E3513" s="4"/>
      <c r="F3513" s="4"/>
      <c r="G3513" s="4"/>
      <c r="H3513" s="4"/>
      <c r="I3513" s="4"/>
      <c r="K3513" s="4"/>
      <c r="N3513" s="4" t="s">
        <v>7752</v>
      </c>
      <c r="O3513" s="4">
        <v>474</v>
      </c>
    </row>
    <row r="3514" spans="1:15" ht="15.75" customHeight="1">
      <c r="A3514" s="4"/>
      <c r="B3514" s="4"/>
      <c r="C3514" s="4"/>
      <c r="D3514" s="4"/>
      <c r="E3514" s="4"/>
      <c r="F3514" s="4"/>
      <c r="G3514" s="4"/>
      <c r="H3514" s="4"/>
      <c r="K3514" s="4"/>
      <c r="N3514" s="4" t="s">
        <v>295</v>
      </c>
      <c r="O3514" s="4">
        <v>111</v>
      </c>
    </row>
    <row r="3515" spans="1:15" ht="15.75" customHeight="1">
      <c r="B3515" s="4"/>
      <c r="C3515" s="4"/>
      <c r="D3515" s="4"/>
      <c r="E3515" s="4"/>
      <c r="F3515" s="4"/>
      <c r="G3515" s="4"/>
      <c r="H3515" s="4"/>
      <c r="K3515" s="4"/>
    </row>
    <row r="3516" spans="1:15" ht="15.75" customHeight="1">
      <c r="A3516" s="4"/>
      <c r="B3516" s="4"/>
      <c r="C3516" s="4"/>
      <c r="D3516" s="4"/>
      <c r="E3516" s="4"/>
      <c r="F3516" s="4"/>
      <c r="G3516" s="4"/>
      <c r="H3516" s="4"/>
      <c r="K3516" s="4"/>
      <c r="N3516" s="4" t="s">
        <v>717</v>
      </c>
      <c r="O3516" s="4">
        <v>262</v>
      </c>
    </row>
    <row r="3517" spans="1:15" ht="15.75" customHeight="1">
      <c r="A3517" s="4"/>
      <c r="B3517" s="4"/>
      <c r="C3517" s="4"/>
      <c r="D3517" s="4"/>
      <c r="E3517" s="4"/>
      <c r="F3517" s="4"/>
      <c r="G3517" s="4"/>
      <c r="H3517" s="4"/>
      <c r="I3517" s="4"/>
      <c r="K3517" s="4"/>
      <c r="N3517" s="4" t="s">
        <v>7761</v>
      </c>
      <c r="O3517" s="4">
        <v>185</v>
      </c>
    </row>
    <row r="3518" spans="1:15" ht="15.75" customHeight="1">
      <c r="A3518" s="4"/>
      <c r="B3518" s="4"/>
      <c r="C3518" s="4"/>
      <c r="D3518" s="4"/>
      <c r="E3518" s="4"/>
      <c r="F3518" s="4"/>
      <c r="G3518" s="4"/>
      <c r="H3518" s="4"/>
      <c r="K3518" s="4"/>
      <c r="N3518" s="4" t="s">
        <v>6580</v>
      </c>
      <c r="O3518" s="4">
        <v>384</v>
      </c>
    </row>
  </sheetData>
  <hyperlinks>
    <hyperlink ref="C2" r:id="rId1" xr:uid="{00000000-0004-0000-0300-000000000000}"/>
    <hyperlink ref="E2" r:id="rId2" xr:uid="{00000000-0004-0000-0300-000001000000}"/>
    <hyperlink ref="F2" r:id="rId3" xr:uid="{00000000-0004-0000-0300-000002000000}"/>
    <hyperlink ref="G2" r:id="rId4" xr:uid="{00000000-0004-0000-0300-000003000000}"/>
    <hyperlink ref="H2" r:id="rId5" xr:uid="{00000000-0004-0000-0300-000004000000}"/>
    <hyperlink ref="C3" r:id="rId6" xr:uid="{00000000-0004-0000-0300-000005000000}"/>
    <hyperlink ref="E3" r:id="rId7" xr:uid="{00000000-0004-0000-0300-000006000000}"/>
    <hyperlink ref="F3" r:id="rId8" xr:uid="{00000000-0004-0000-0300-000007000000}"/>
    <hyperlink ref="G3" r:id="rId9" xr:uid="{00000000-0004-0000-0300-000008000000}"/>
    <hyperlink ref="H3" r:id="rId10" xr:uid="{00000000-0004-0000-0300-000009000000}"/>
    <hyperlink ref="C4" r:id="rId11" xr:uid="{00000000-0004-0000-0300-00000A000000}"/>
    <hyperlink ref="E4" r:id="rId12" xr:uid="{00000000-0004-0000-0300-00000B000000}"/>
    <hyperlink ref="F4" r:id="rId13" xr:uid="{00000000-0004-0000-0300-00000C000000}"/>
    <hyperlink ref="G4" r:id="rId14" xr:uid="{00000000-0004-0000-0300-00000D000000}"/>
    <hyperlink ref="H4" r:id="rId15" xr:uid="{00000000-0004-0000-0300-00000E000000}"/>
    <hyperlink ref="C5" r:id="rId16" xr:uid="{00000000-0004-0000-0300-00000F000000}"/>
    <hyperlink ref="E5" r:id="rId17" xr:uid="{00000000-0004-0000-0300-000010000000}"/>
    <hyperlink ref="F5" r:id="rId18" xr:uid="{00000000-0004-0000-0300-000011000000}"/>
    <hyperlink ref="G5" r:id="rId19" xr:uid="{00000000-0004-0000-0300-000012000000}"/>
    <hyperlink ref="H5" r:id="rId20" xr:uid="{00000000-0004-0000-0300-000013000000}"/>
    <hyperlink ref="C6" r:id="rId21" xr:uid="{00000000-0004-0000-0300-000014000000}"/>
    <hyperlink ref="E6" r:id="rId22" xr:uid="{00000000-0004-0000-0300-000015000000}"/>
    <hyperlink ref="F6" r:id="rId23" xr:uid="{00000000-0004-0000-0300-000016000000}"/>
    <hyperlink ref="G6" r:id="rId24" xr:uid="{00000000-0004-0000-0300-000017000000}"/>
    <hyperlink ref="H6" r:id="rId25" xr:uid="{00000000-0004-0000-0300-000018000000}"/>
    <hyperlink ref="C7" r:id="rId26" xr:uid="{00000000-0004-0000-0300-000019000000}"/>
    <hyperlink ref="E7" r:id="rId27" xr:uid="{00000000-0004-0000-0300-00001A000000}"/>
    <hyperlink ref="F7" r:id="rId28" xr:uid="{00000000-0004-0000-0300-00001B000000}"/>
    <hyperlink ref="G7" r:id="rId29" xr:uid="{00000000-0004-0000-0300-00001C000000}"/>
    <hyperlink ref="H7" r:id="rId30" xr:uid="{00000000-0004-0000-0300-00001D000000}"/>
    <hyperlink ref="C8" r:id="rId31" xr:uid="{00000000-0004-0000-0300-00001E000000}"/>
    <hyperlink ref="E8" r:id="rId32" xr:uid="{00000000-0004-0000-0300-00001F000000}"/>
    <hyperlink ref="F8" r:id="rId33" xr:uid="{00000000-0004-0000-0300-000020000000}"/>
    <hyperlink ref="G8" r:id="rId34" xr:uid="{00000000-0004-0000-0300-000021000000}"/>
    <hyperlink ref="H8" r:id="rId35" xr:uid="{00000000-0004-0000-0300-000022000000}"/>
    <hyperlink ref="C9" r:id="rId36" xr:uid="{00000000-0004-0000-0300-000023000000}"/>
    <hyperlink ref="E9" r:id="rId37" xr:uid="{00000000-0004-0000-0300-000024000000}"/>
    <hyperlink ref="F9" r:id="rId38" xr:uid="{00000000-0004-0000-0300-000025000000}"/>
    <hyperlink ref="G9" r:id="rId39" xr:uid="{00000000-0004-0000-0300-000026000000}"/>
    <hyperlink ref="H9" r:id="rId40" xr:uid="{00000000-0004-0000-0300-000027000000}"/>
    <hyperlink ref="C10" r:id="rId41" xr:uid="{00000000-0004-0000-0300-000028000000}"/>
    <hyperlink ref="E10" r:id="rId42" xr:uid="{00000000-0004-0000-0300-000029000000}"/>
    <hyperlink ref="F10" r:id="rId43" xr:uid="{00000000-0004-0000-0300-00002A000000}"/>
    <hyperlink ref="G10" r:id="rId44" xr:uid="{00000000-0004-0000-0300-00002B000000}"/>
    <hyperlink ref="H10" r:id="rId45" xr:uid="{00000000-0004-0000-0300-00002C000000}"/>
    <hyperlink ref="C11" r:id="rId46" xr:uid="{00000000-0004-0000-0300-00002D000000}"/>
    <hyperlink ref="E11" r:id="rId47" xr:uid="{00000000-0004-0000-0300-00002E000000}"/>
    <hyperlink ref="F11" r:id="rId48" xr:uid="{00000000-0004-0000-0300-00002F000000}"/>
    <hyperlink ref="G11" r:id="rId49" xr:uid="{00000000-0004-0000-0300-000030000000}"/>
    <hyperlink ref="H11" r:id="rId50" xr:uid="{00000000-0004-0000-0300-000031000000}"/>
    <hyperlink ref="C12" r:id="rId51" xr:uid="{00000000-0004-0000-0300-000032000000}"/>
    <hyperlink ref="E12" r:id="rId52" xr:uid="{00000000-0004-0000-0300-000033000000}"/>
    <hyperlink ref="F12" r:id="rId53" xr:uid="{00000000-0004-0000-0300-000034000000}"/>
    <hyperlink ref="G12" r:id="rId54" xr:uid="{00000000-0004-0000-0300-000035000000}"/>
    <hyperlink ref="H12" r:id="rId55" xr:uid="{00000000-0004-0000-0300-000036000000}"/>
    <hyperlink ref="C13" r:id="rId56" xr:uid="{00000000-0004-0000-0300-000037000000}"/>
    <hyperlink ref="E13" r:id="rId57" xr:uid="{00000000-0004-0000-0300-000038000000}"/>
    <hyperlink ref="F13" r:id="rId58" xr:uid="{00000000-0004-0000-0300-000039000000}"/>
    <hyperlink ref="G13" r:id="rId59" xr:uid="{00000000-0004-0000-0300-00003A000000}"/>
    <hyperlink ref="H13" r:id="rId60" xr:uid="{00000000-0004-0000-0300-00003B000000}"/>
    <hyperlink ref="C14" r:id="rId61" xr:uid="{00000000-0004-0000-0300-00003C000000}"/>
    <hyperlink ref="E14" r:id="rId62" xr:uid="{00000000-0004-0000-0300-00003D000000}"/>
    <hyperlink ref="F14" r:id="rId63" xr:uid="{00000000-0004-0000-0300-00003E000000}"/>
    <hyperlink ref="G14" r:id="rId64" xr:uid="{00000000-0004-0000-0300-00003F000000}"/>
    <hyperlink ref="H14" r:id="rId65" xr:uid="{00000000-0004-0000-0300-000040000000}"/>
    <hyperlink ref="C15" r:id="rId66" xr:uid="{00000000-0004-0000-0300-000041000000}"/>
    <hyperlink ref="E15" r:id="rId67" xr:uid="{00000000-0004-0000-0300-000042000000}"/>
    <hyperlink ref="F15" r:id="rId68" xr:uid="{00000000-0004-0000-0300-000043000000}"/>
    <hyperlink ref="G15" r:id="rId69" xr:uid="{00000000-0004-0000-0300-000044000000}"/>
    <hyperlink ref="H15" r:id="rId70" xr:uid="{00000000-0004-0000-0300-000045000000}"/>
    <hyperlink ref="C16" r:id="rId71" xr:uid="{00000000-0004-0000-0300-000046000000}"/>
    <hyperlink ref="E16" r:id="rId72" xr:uid="{00000000-0004-0000-0300-000047000000}"/>
    <hyperlink ref="F16" r:id="rId73" xr:uid="{00000000-0004-0000-0300-000048000000}"/>
    <hyperlink ref="G16" r:id="rId74" xr:uid="{00000000-0004-0000-0300-000049000000}"/>
    <hyperlink ref="H16" r:id="rId75" xr:uid="{00000000-0004-0000-0300-00004A000000}"/>
    <hyperlink ref="C17" r:id="rId76" xr:uid="{00000000-0004-0000-0300-00004B000000}"/>
    <hyperlink ref="E17" r:id="rId77" xr:uid="{00000000-0004-0000-0300-00004C000000}"/>
    <hyperlink ref="F17" r:id="rId78" xr:uid="{00000000-0004-0000-0300-00004D000000}"/>
    <hyperlink ref="G17" r:id="rId79" xr:uid="{00000000-0004-0000-0300-00004E000000}"/>
    <hyperlink ref="H17" r:id="rId80" xr:uid="{00000000-0004-0000-0300-00004F000000}"/>
    <hyperlink ref="C18" r:id="rId81" xr:uid="{00000000-0004-0000-0300-000050000000}"/>
    <hyperlink ref="E18" r:id="rId82" xr:uid="{00000000-0004-0000-0300-000051000000}"/>
    <hyperlink ref="F18" r:id="rId83" xr:uid="{00000000-0004-0000-0300-000052000000}"/>
    <hyperlink ref="G18" r:id="rId84" xr:uid="{00000000-0004-0000-0300-000053000000}"/>
    <hyperlink ref="H18" r:id="rId85" xr:uid="{00000000-0004-0000-0300-000054000000}"/>
    <hyperlink ref="C19" r:id="rId86" xr:uid="{00000000-0004-0000-0300-000055000000}"/>
    <hyperlink ref="E19" r:id="rId87" xr:uid="{00000000-0004-0000-0300-000056000000}"/>
    <hyperlink ref="F19" r:id="rId88" xr:uid="{00000000-0004-0000-0300-000057000000}"/>
    <hyperlink ref="G19" r:id="rId89" xr:uid="{00000000-0004-0000-0300-000058000000}"/>
    <hyperlink ref="H19" r:id="rId90" xr:uid="{00000000-0004-0000-0300-000059000000}"/>
    <hyperlink ref="C20" r:id="rId91" xr:uid="{00000000-0004-0000-0300-00005A000000}"/>
    <hyperlink ref="E20" r:id="rId92" xr:uid="{00000000-0004-0000-0300-00005B000000}"/>
    <hyperlink ref="F20" r:id="rId93" xr:uid="{00000000-0004-0000-0300-00005C000000}"/>
    <hyperlink ref="G20" r:id="rId94" xr:uid="{00000000-0004-0000-0300-00005D000000}"/>
    <hyperlink ref="H20" r:id="rId95" xr:uid="{00000000-0004-0000-0300-00005E000000}"/>
    <hyperlink ref="C21" r:id="rId96" xr:uid="{00000000-0004-0000-0300-00005F000000}"/>
    <hyperlink ref="E21" r:id="rId97" xr:uid="{00000000-0004-0000-0300-000060000000}"/>
    <hyperlink ref="F21" r:id="rId98" xr:uid="{00000000-0004-0000-0300-000061000000}"/>
    <hyperlink ref="G21" r:id="rId99" xr:uid="{00000000-0004-0000-0300-000062000000}"/>
    <hyperlink ref="H21" r:id="rId100" xr:uid="{00000000-0004-0000-0300-000063000000}"/>
    <hyperlink ref="C22" r:id="rId101" xr:uid="{00000000-0004-0000-0300-000064000000}"/>
    <hyperlink ref="E22" r:id="rId102" xr:uid="{00000000-0004-0000-0300-000065000000}"/>
    <hyperlink ref="F22" r:id="rId103" xr:uid="{00000000-0004-0000-0300-000066000000}"/>
    <hyperlink ref="G22" r:id="rId104" xr:uid="{00000000-0004-0000-0300-000067000000}"/>
    <hyperlink ref="H22" r:id="rId105" xr:uid="{00000000-0004-0000-0300-000068000000}"/>
    <hyperlink ref="C23" r:id="rId106" xr:uid="{00000000-0004-0000-0300-000069000000}"/>
    <hyperlink ref="E23" r:id="rId107" xr:uid="{00000000-0004-0000-0300-00006A000000}"/>
    <hyperlink ref="F23" r:id="rId108" xr:uid="{00000000-0004-0000-0300-00006B000000}"/>
    <hyperlink ref="G23" r:id="rId109" xr:uid="{00000000-0004-0000-0300-00006C000000}"/>
    <hyperlink ref="H23" r:id="rId110" xr:uid="{00000000-0004-0000-0300-00006D000000}"/>
    <hyperlink ref="C24" r:id="rId111" xr:uid="{00000000-0004-0000-0300-00006E000000}"/>
    <hyperlink ref="E24" r:id="rId112" xr:uid="{00000000-0004-0000-0300-00006F000000}"/>
    <hyperlink ref="F24" r:id="rId113" xr:uid="{00000000-0004-0000-0300-000070000000}"/>
    <hyperlink ref="G24" r:id="rId114" xr:uid="{00000000-0004-0000-0300-000071000000}"/>
    <hyperlink ref="H24" r:id="rId115" xr:uid="{00000000-0004-0000-0300-000072000000}"/>
    <hyperlink ref="C25" r:id="rId116" xr:uid="{00000000-0004-0000-0300-000073000000}"/>
    <hyperlink ref="E25" r:id="rId117" xr:uid="{00000000-0004-0000-0300-000074000000}"/>
    <hyperlink ref="F25" r:id="rId118" xr:uid="{00000000-0004-0000-0300-000075000000}"/>
    <hyperlink ref="G25" r:id="rId119" xr:uid="{00000000-0004-0000-0300-000076000000}"/>
    <hyperlink ref="H25" r:id="rId120" xr:uid="{00000000-0004-0000-0300-000077000000}"/>
    <hyperlink ref="C26" r:id="rId121" xr:uid="{00000000-0004-0000-0300-000078000000}"/>
    <hyperlink ref="E26" r:id="rId122" xr:uid="{00000000-0004-0000-0300-000079000000}"/>
    <hyperlink ref="F26" r:id="rId123" xr:uid="{00000000-0004-0000-0300-00007A000000}"/>
    <hyperlink ref="G26" r:id="rId124" xr:uid="{00000000-0004-0000-0300-00007B000000}"/>
    <hyperlink ref="H26" r:id="rId125" xr:uid="{00000000-0004-0000-0300-00007C000000}"/>
    <hyperlink ref="C27" r:id="rId126" xr:uid="{00000000-0004-0000-0300-00007D000000}"/>
    <hyperlink ref="E27" r:id="rId127" xr:uid="{00000000-0004-0000-0300-00007E000000}"/>
    <hyperlink ref="F27" r:id="rId128" xr:uid="{00000000-0004-0000-0300-00007F000000}"/>
    <hyperlink ref="G27" r:id="rId129" xr:uid="{00000000-0004-0000-0300-000080000000}"/>
    <hyperlink ref="H27" r:id="rId130" xr:uid="{00000000-0004-0000-0300-000081000000}"/>
    <hyperlink ref="C28" r:id="rId131" xr:uid="{00000000-0004-0000-0300-000082000000}"/>
    <hyperlink ref="E28" r:id="rId132" xr:uid="{00000000-0004-0000-0300-000083000000}"/>
    <hyperlink ref="F28" r:id="rId133" xr:uid="{00000000-0004-0000-0300-000084000000}"/>
    <hyperlink ref="G28" r:id="rId134" xr:uid="{00000000-0004-0000-0300-000085000000}"/>
    <hyperlink ref="H28" r:id="rId135" xr:uid="{00000000-0004-0000-0300-000086000000}"/>
    <hyperlink ref="C29" r:id="rId136" xr:uid="{00000000-0004-0000-0300-000087000000}"/>
    <hyperlink ref="E29" r:id="rId137" xr:uid="{00000000-0004-0000-0300-000088000000}"/>
    <hyperlink ref="F29" r:id="rId138" xr:uid="{00000000-0004-0000-0300-000089000000}"/>
    <hyperlink ref="H29" r:id="rId139" xr:uid="{00000000-0004-0000-0300-00008A000000}"/>
    <hyperlink ref="C30" r:id="rId140" xr:uid="{00000000-0004-0000-0300-00008B000000}"/>
    <hyperlink ref="E30" r:id="rId141" xr:uid="{00000000-0004-0000-0300-00008C000000}"/>
    <hyperlink ref="F30" r:id="rId142" xr:uid="{00000000-0004-0000-0300-00008D000000}"/>
    <hyperlink ref="G30" r:id="rId143" xr:uid="{00000000-0004-0000-0300-00008E000000}"/>
    <hyperlink ref="H30" r:id="rId144" xr:uid="{00000000-0004-0000-0300-00008F000000}"/>
    <hyperlink ref="C31" r:id="rId145" xr:uid="{00000000-0004-0000-0300-000090000000}"/>
    <hyperlink ref="E31" r:id="rId146" xr:uid="{00000000-0004-0000-0300-000091000000}"/>
    <hyperlink ref="F31" r:id="rId147" xr:uid="{00000000-0004-0000-0300-000092000000}"/>
    <hyperlink ref="G31" r:id="rId148" xr:uid="{00000000-0004-0000-0300-000093000000}"/>
    <hyperlink ref="H31" r:id="rId149" xr:uid="{00000000-0004-0000-0300-000094000000}"/>
    <hyperlink ref="C32" r:id="rId150" xr:uid="{00000000-0004-0000-0300-000095000000}"/>
    <hyperlink ref="E32" r:id="rId151" xr:uid="{00000000-0004-0000-0300-000096000000}"/>
    <hyperlink ref="F32" r:id="rId152" xr:uid="{00000000-0004-0000-0300-000097000000}"/>
    <hyperlink ref="G32" r:id="rId153" xr:uid="{00000000-0004-0000-0300-000098000000}"/>
    <hyperlink ref="H32" r:id="rId154" xr:uid="{00000000-0004-0000-0300-000099000000}"/>
    <hyperlink ref="C33" r:id="rId155" xr:uid="{00000000-0004-0000-0300-00009A000000}"/>
    <hyperlink ref="E33" r:id="rId156" xr:uid="{00000000-0004-0000-0300-00009B000000}"/>
    <hyperlink ref="F33" r:id="rId157" xr:uid="{00000000-0004-0000-0300-00009C000000}"/>
    <hyperlink ref="G33" r:id="rId158" xr:uid="{00000000-0004-0000-0300-00009D000000}"/>
    <hyperlink ref="H33" r:id="rId159" xr:uid="{00000000-0004-0000-0300-00009E000000}"/>
    <hyperlink ref="C34" r:id="rId160" xr:uid="{00000000-0004-0000-0300-00009F000000}"/>
    <hyperlink ref="E34" r:id="rId161" xr:uid="{00000000-0004-0000-0300-0000A0000000}"/>
    <hyperlink ref="F34" r:id="rId162" xr:uid="{00000000-0004-0000-0300-0000A1000000}"/>
    <hyperlink ref="G34" r:id="rId163" xr:uid="{00000000-0004-0000-0300-0000A2000000}"/>
    <hyperlink ref="H34" r:id="rId164" xr:uid="{00000000-0004-0000-0300-0000A3000000}"/>
    <hyperlink ref="C35" r:id="rId165" xr:uid="{00000000-0004-0000-0300-0000A4000000}"/>
    <hyperlink ref="E35" r:id="rId166" xr:uid="{00000000-0004-0000-0300-0000A5000000}"/>
    <hyperlink ref="F35" r:id="rId167" xr:uid="{00000000-0004-0000-0300-0000A6000000}"/>
    <hyperlink ref="G35" r:id="rId168" xr:uid="{00000000-0004-0000-0300-0000A7000000}"/>
    <hyperlink ref="H35" r:id="rId169" xr:uid="{00000000-0004-0000-0300-0000A8000000}"/>
    <hyperlink ref="C36" r:id="rId170" xr:uid="{00000000-0004-0000-0300-0000A9000000}"/>
    <hyperlink ref="E36" r:id="rId171" xr:uid="{00000000-0004-0000-0300-0000AA000000}"/>
    <hyperlink ref="F36" r:id="rId172" xr:uid="{00000000-0004-0000-0300-0000AB000000}"/>
    <hyperlink ref="G36" r:id="rId173" xr:uid="{00000000-0004-0000-0300-0000AC000000}"/>
    <hyperlink ref="H36" r:id="rId174" xr:uid="{00000000-0004-0000-0300-0000AD000000}"/>
    <hyperlink ref="C37" r:id="rId175" xr:uid="{00000000-0004-0000-0300-0000AE000000}"/>
    <hyperlink ref="E37" r:id="rId176" xr:uid="{00000000-0004-0000-0300-0000AF000000}"/>
    <hyperlink ref="F37" r:id="rId177" xr:uid="{00000000-0004-0000-0300-0000B0000000}"/>
    <hyperlink ref="G37" r:id="rId178" xr:uid="{00000000-0004-0000-0300-0000B1000000}"/>
    <hyperlink ref="H37" r:id="rId179" xr:uid="{00000000-0004-0000-0300-0000B2000000}"/>
    <hyperlink ref="C38" r:id="rId180" xr:uid="{00000000-0004-0000-0300-0000B3000000}"/>
    <hyperlink ref="E38" r:id="rId181" xr:uid="{00000000-0004-0000-0300-0000B4000000}"/>
    <hyperlink ref="F38" r:id="rId182" xr:uid="{00000000-0004-0000-0300-0000B5000000}"/>
    <hyperlink ref="G38" r:id="rId183" xr:uid="{00000000-0004-0000-0300-0000B6000000}"/>
    <hyperlink ref="H38" r:id="rId184" xr:uid="{00000000-0004-0000-0300-0000B7000000}"/>
    <hyperlink ref="C39" r:id="rId185" xr:uid="{00000000-0004-0000-0300-0000B8000000}"/>
    <hyperlink ref="E39" r:id="rId186" xr:uid="{00000000-0004-0000-0300-0000B9000000}"/>
    <hyperlink ref="F39" r:id="rId187" xr:uid="{00000000-0004-0000-0300-0000BA000000}"/>
    <hyperlink ref="G39" r:id="rId188" xr:uid="{00000000-0004-0000-0300-0000BB000000}"/>
    <hyperlink ref="H39" r:id="rId189" xr:uid="{00000000-0004-0000-0300-0000BC000000}"/>
    <hyperlink ref="C40" r:id="rId190" xr:uid="{00000000-0004-0000-0300-0000BD000000}"/>
    <hyperlink ref="E40" r:id="rId191" xr:uid="{00000000-0004-0000-0300-0000BE000000}"/>
    <hyperlink ref="F40" r:id="rId192" xr:uid="{00000000-0004-0000-0300-0000BF000000}"/>
    <hyperlink ref="G40" r:id="rId193" xr:uid="{00000000-0004-0000-0300-0000C0000000}"/>
    <hyperlink ref="H40" r:id="rId194" xr:uid="{00000000-0004-0000-0300-0000C1000000}"/>
    <hyperlink ref="C41" r:id="rId195" xr:uid="{00000000-0004-0000-0300-0000C2000000}"/>
    <hyperlink ref="E41" r:id="rId196" xr:uid="{00000000-0004-0000-0300-0000C3000000}"/>
    <hyperlink ref="F41" r:id="rId197" xr:uid="{00000000-0004-0000-0300-0000C4000000}"/>
    <hyperlink ref="G41" r:id="rId198" xr:uid="{00000000-0004-0000-0300-0000C5000000}"/>
    <hyperlink ref="H41" r:id="rId199" xr:uid="{00000000-0004-0000-0300-0000C6000000}"/>
    <hyperlink ref="C42" r:id="rId200" xr:uid="{00000000-0004-0000-0300-0000C7000000}"/>
    <hyperlink ref="E42" r:id="rId201" xr:uid="{00000000-0004-0000-0300-0000C8000000}"/>
    <hyperlink ref="F42" r:id="rId202" xr:uid="{00000000-0004-0000-0300-0000C9000000}"/>
    <hyperlink ref="G42" r:id="rId203" xr:uid="{00000000-0004-0000-0300-0000CA000000}"/>
    <hyperlink ref="H42" r:id="rId204" xr:uid="{00000000-0004-0000-0300-0000CB000000}"/>
    <hyperlink ref="C43" r:id="rId205" xr:uid="{00000000-0004-0000-0300-0000CC000000}"/>
    <hyperlink ref="E43" r:id="rId206" xr:uid="{00000000-0004-0000-0300-0000CD000000}"/>
    <hyperlink ref="F43" r:id="rId207" xr:uid="{00000000-0004-0000-0300-0000CE000000}"/>
    <hyperlink ref="G43" r:id="rId208" xr:uid="{00000000-0004-0000-0300-0000CF000000}"/>
    <hyperlink ref="H43" r:id="rId209" xr:uid="{00000000-0004-0000-0300-0000D0000000}"/>
    <hyperlink ref="C44" r:id="rId210" xr:uid="{00000000-0004-0000-0300-0000D1000000}"/>
    <hyperlink ref="E44" r:id="rId211" xr:uid="{00000000-0004-0000-0300-0000D2000000}"/>
    <hyperlink ref="F44" r:id="rId212" xr:uid="{00000000-0004-0000-0300-0000D3000000}"/>
    <hyperlink ref="G44" r:id="rId213" xr:uid="{00000000-0004-0000-0300-0000D4000000}"/>
    <hyperlink ref="H44" r:id="rId214" xr:uid="{00000000-0004-0000-0300-0000D5000000}"/>
    <hyperlink ref="C45" r:id="rId215" xr:uid="{00000000-0004-0000-0300-0000D6000000}"/>
    <hyperlink ref="E45" r:id="rId216" xr:uid="{00000000-0004-0000-0300-0000D7000000}"/>
    <hyperlink ref="F45" r:id="rId217" xr:uid="{00000000-0004-0000-0300-0000D8000000}"/>
    <hyperlink ref="G45" r:id="rId218" xr:uid="{00000000-0004-0000-0300-0000D9000000}"/>
    <hyperlink ref="H45" r:id="rId219" xr:uid="{00000000-0004-0000-0300-0000DA000000}"/>
    <hyperlink ref="C46" r:id="rId220" xr:uid="{00000000-0004-0000-0300-0000DB000000}"/>
    <hyperlink ref="E46" r:id="rId221" xr:uid="{00000000-0004-0000-0300-0000DC000000}"/>
    <hyperlink ref="F46" r:id="rId222" xr:uid="{00000000-0004-0000-0300-0000DD000000}"/>
    <hyperlink ref="G46" r:id="rId223" xr:uid="{00000000-0004-0000-0300-0000DE000000}"/>
    <hyperlink ref="H46" r:id="rId224" xr:uid="{00000000-0004-0000-0300-0000DF000000}"/>
    <hyperlink ref="C47" r:id="rId225" xr:uid="{00000000-0004-0000-0300-0000E0000000}"/>
    <hyperlink ref="E47" r:id="rId226" xr:uid="{00000000-0004-0000-0300-0000E1000000}"/>
    <hyperlink ref="F47" r:id="rId227" xr:uid="{00000000-0004-0000-0300-0000E2000000}"/>
    <hyperlink ref="G47" r:id="rId228" xr:uid="{00000000-0004-0000-0300-0000E3000000}"/>
    <hyperlink ref="H47" r:id="rId229" xr:uid="{00000000-0004-0000-0300-0000E4000000}"/>
    <hyperlink ref="C48" r:id="rId230" xr:uid="{00000000-0004-0000-0300-0000E5000000}"/>
    <hyperlink ref="E48" r:id="rId231" xr:uid="{00000000-0004-0000-0300-0000E6000000}"/>
    <hyperlink ref="F48" r:id="rId232" xr:uid="{00000000-0004-0000-0300-0000E7000000}"/>
    <hyperlink ref="G48" r:id="rId233" xr:uid="{00000000-0004-0000-0300-0000E8000000}"/>
    <hyperlink ref="H48" r:id="rId234" xr:uid="{00000000-0004-0000-0300-0000E9000000}"/>
    <hyperlink ref="C49" r:id="rId235" xr:uid="{00000000-0004-0000-0300-0000EA000000}"/>
    <hyperlink ref="E49" r:id="rId236" xr:uid="{00000000-0004-0000-0300-0000EB000000}"/>
    <hyperlink ref="F49" r:id="rId237" xr:uid="{00000000-0004-0000-0300-0000EC000000}"/>
    <hyperlink ref="G49" r:id="rId238" xr:uid="{00000000-0004-0000-0300-0000ED000000}"/>
    <hyperlink ref="H49" r:id="rId239" xr:uid="{00000000-0004-0000-0300-0000EE000000}"/>
    <hyperlink ref="C50" r:id="rId240" xr:uid="{00000000-0004-0000-0300-0000EF000000}"/>
    <hyperlink ref="E50" r:id="rId241" xr:uid="{00000000-0004-0000-0300-0000F0000000}"/>
    <hyperlink ref="F50" r:id="rId242" xr:uid="{00000000-0004-0000-0300-0000F1000000}"/>
    <hyperlink ref="G50" r:id="rId243" xr:uid="{00000000-0004-0000-0300-0000F2000000}"/>
    <hyperlink ref="H50" r:id="rId244" xr:uid="{00000000-0004-0000-0300-0000F3000000}"/>
    <hyperlink ref="C51" r:id="rId245" xr:uid="{00000000-0004-0000-0300-0000F4000000}"/>
    <hyperlink ref="E51" r:id="rId246" xr:uid="{00000000-0004-0000-0300-0000F5000000}"/>
    <hyperlink ref="F51" r:id="rId247" xr:uid="{00000000-0004-0000-0300-0000F6000000}"/>
    <hyperlink ref="G51" r:id="rId248" xr:uid="{00000000-0004-0000-0300-0000F7000000}"/>
    <hyperlink ref="H51" r:id="rId249" xr:uid="{00000000-0004-0000-0300-0000F8000000}"/>
    <hyperlink ref="C52" r:id="rId250" xr:uid="{00000000-0004-0000-0300-0000F9000000}"/>
    <hyperlink ref="E52" r:id="rId251" xr:uid="{00000000-0004-0000-0300-0000FA000000}"/>
    <hyperlink ref="F52" r:id="rId252" xr:uid="{00000000-0004-0000-0300-0000FB000000}"/>
    <hyperlink ref="G52" r:id="rId253" xr:uid="{00000000-0004-0000-0300-0000FC000000}"/>
    <hyperlink ref="H52" r:id="rId254" xr:uid="{00000000-0004-0000-0300-0000FD000000}"/>
    <hyperlink ref="C53" r:id="rId255" xr:uid="{00000000-0004-0000-0300-0000FE000000}"/>
    <hyperlink ref="E53" r:id="rId256" xr:uid="{00000000-0004-0000-0300-0000FF000000}"/>
    <hyperlink ref="F53" r:id="rId257" xr:uid="{00000000-0004-0000-0300-000000010000}"/>
    <hyperlink ref="G53" r:id="rId258" xr:uid="{00000000-0004-0000-0300-000001010000}"/>
    <hyperlink ref="H53" r:id="rId259" xr:uid="{00000000-0004-0000-0300-000002010000}"/>
    <hyperlink ref="C54" r:id="rId260" xr:uid="{00000000-0004-0000-0300-000003010000}"/>
    <hyperlink ref="E54" r:id="rId261" xr:uid="{00000000-0004-0000-0300-000004010000}"/>
    <hyperlink ref="F54" r:id="rId262" xr:uid="{00000000-0004-0000-0300-000005010000}"/>
    <hyperlink ref="G54" r:id="rId263" xr:uid="{00000000-0004-0000-0300-000006010000}"/>
    <hyperlink ref="H54" r:id="rId264" xr:uid="{00000000-0004-0000-0300-000007010000}"/>
    <hyperlink ref="C55" r:id="rId265" xr:uid="{00000000-0004-0000-0300-000008010000}"/>
    <hyperlink ref="E55" r:id="rId266" xr:uid="{00000000-0004-0000-0300-000009010000}"/>
    <hyperlink ref="F55" r:id="rId267" xr:uid="{00000000-0004-0000-0300-00000A010000}"/>
    <hyperlink ref="G55" r:id="rId268" xr:uid="{00000000-0004-0000-0300-00000B010000}"/>
    <hyperlink ref="H55" r:id="rId269" xr:uid="{00000000-0004-0000-0300-00000C010000}"/>
    <hyperlink ref="C56" r:id="rId270" xr:uid="{00000000-0004-0000-0300-00000D010000}"/>
    <hyperlink ref="E56" r:id="rId271" xr:uid="{00000000-0004-0000-0300-00000E010000}"/>
    <hyperlink ref="F56" r:id="rId272" xr:uid="{00000000-0004-0000-0300-00000F010000}"/>
    <hyperlink ref="G56" r:id="rId273" xr:uid="{00000000-0004-0000-0300-000010010000}"/>
    <hyperlink ref="H56" r:id="rId274" xr:uid="{00000000-0004-0000-0300-000011010000}"/>
    <hyperlink ref="C57" r:id="rId275" xr:uid="{00000000-0004-0000-0300-000012010000}"/>
    <hyperlink ref="E57" r:id="rId276" xr:uid="{00000000-0004-0000-0300-000013010000}"/>
    <hyperlink ref="F57" r:id="rId277" xr:uid="{00000000-0004-0000-0300-000014010000}"/>
    <hyperlink ref="G57" r:id="rId278" xr:uid="{00000000-0004-0000-0300-000015010000}"/>
    <hyperlink ref="H57" r:id="rId279" xr:uid="{00000000-0004-0000-0300-000016010000}"/>
    <hyperlink ref="C58" r:id="rId280" xr:uid="{00000000-0004-0000-0300-000017010000}"/>
    <hyperlink ref="E58" r:id="rId281" xr:uid="{00000000-0004-0000-0300-000018010000}"/>
    <hyperlink ref="F58" r:id="rId282" xr:uid="{00000000-0004-0000-0300-000019010000}"/>
    <hyperlink ref="G58" r:id="rId283" xr:uid="{00000000-0004-0000-0300-00001A010000}"/>
    <hyperlink ref="E59" r:id="rId284" xr:uid="{00000000-0004-0000-0300-00001B010000}"/>
    <hyperlink ref="F59" r:id="rId285" xr:uid="{00000000-0004-0000-0300-00001C010000}"/>
    <hyperlink ref="G59" r:id="rId286" xr:uid="{00000000-0004-0000-0300-00001D010000}"/>
    <hyperlink ref="H59" r:id="rId287" xr:uid="{00000000-0004-0000-0300-00001E010000}"/>
    <hyperlink ref="C60" r:id="rId288" xr:uid="{00000000-0004-0000-0300-00001F010000}"/>
    <hyperlink ref="E60" r:id="rId289" xr:uid="{00000000-0004-0000-0300-000020010000}"/>
    <hyperlink ref="F60" r:id="rId290" xr:uid="{00000000-0004-0000-0300-000021010000}"/>
    <hyperlink ref="H60" r:id="rId291" xr:uid="{00000000-0004-0000-0300-000022010000}"/>
    <hyperlink ref="C61" r:id="rId292" xr:uid="{00000000-0004-0000-0300-000023010000}"/>
    <hyperlink ref="E61" r:id="rId293" xr:uid="{00000000-0004-0000-0300-000024010000}"/>
    <hyperlink ref="F61" r:id="rId294" xr:uid="{00000000-0004-0000-0300-000025010000}"/>
    <hyperlink ref="G61" r:id="rId295" xr:uid="{00000000-0004-0000-0300-000026010000}"/>
    <hyperlink ref="H61" r:id="rId296" xr:uid="{00000000-0004-0000-0300-000027010000}"/>
    <hyperlink ref="C62" r:id="rId297" xr:uid="{00000000-0004-0000-0300-000028010000}"/>
    <hyperlink ref="E62" r:id="rId298" xr:uid="{00000000-0004-0000-0300-000029010000}"/>
    <hyperlink ref="F62" r:id="rId299" xr:uid="{00000000-0004-0000-0300-00002A010000}"/>
    <hyperlink ref="G62" r:id="rId300" xr:uid="{00000000-0004-0000-0300-00002B010000}"/>
    <hyperlink ref="H62" r:id="rId301" xr:uid="{00000000-0004-0000-0300-00002C010000}"/>
    <hyperlink ref="C63" r:id="rId302" xr:uid="{00000000-0004-0000-0300-00002D010000}"/>
    <hyperlink ref="E63" r:id="rId303" xr:uid="{00000000-0004-0000-0300-00002E010000}"/>
    <hyperlink ref="F63" r:id="rId304" xr:uid="{00000000-0004-0000-0300-00002F010000}"/>
    <hyperlink ref="G63" r:id="rId305" xr:uid="{00000000-0004-0000-0300-000030010000}"/>
    <hyperlink ref="H63" r:id="rId306" xr:uid="{00000000-0004-0000-0300-000031010000}"/>
    <hyperlink ref="C64" r:id="rId307" xr:uid="{00000000-0004-0000-0300-000032010000}"/>
    <hyperlink ref="E64" r:id="rId308" xr:uid="{00000000-0004-0000-0300-000033010000}"/>
    <hyperlink ref="F64" r:id="rId309" xr:uid="{00000000-0004-0000-0300-000034010000}"/>
    <hyperlink ref="G64" r:id="rId310" xr:uid="{00000000-0004-0000-0300-000035010000}"/>
    <hyperlink ref="H64" r:id="rId311" xr:uid="{00000000-0004-0000-0300-000036010000}"/>
    <hyperlink ref="C65" r:id="rId312" xr:uid="{00000000-0004-0000-0300-000037010000}"/>
    <hyperlink ref="E65" r:id="rId313" xr:uid="{00000000-0004-0000-0300-000038010000}"/>
    <hyperlink ref="F65" r:id="rId314" xr:uid="{00000000-0004-0000-0300-000039010000}"/>
    <hyperlink ref="C66" r:id="rId315" xr:uid="{00000000-0004-0000-0300-00003A010000}"/>
    <hyperlink ref="E66" r:id="rId316" xr:uid="{00000000-0004-0000-0300-00003B010000}"/>
    <hyperlink ref="F66" r:id="rId317" xr:uid="{00000000-0004-0000-0300-00003C010000}"/>
    <hyperlink ref="G66" r:id="rId318" xr:uid="{00000000-0004-0000-0300-00003D010000}"/>
    <hyperlink ref="H66" r:id="rId319" xr:uid="{00000000-0004-0000-0300-00003E010000}"/>
    <hyperlink ref="C67" r:id="rId320" xr:uid="{00000000-0004-0000-0300-00003F010000}"/>
    <hyperlink ref="E67" r:id="rId321" xr:uid="{00000000-0004-0000-0300-000040010000}"/>
    <hyperlink ref="F67" r:id="rId322" xr:uid="{00000000-0004-0000-0300-000041010000}"/>
    <hyperlink ref="G67" r:id="rId323" xr:uid="{00000000-0004-0000-0300-000042010000}"/>
    <hyperlink ref="H67" r:id="rId324" xr:uid="{00000000-0004-0000-0300-000043010000}"/>
    <hyperlink ref="C68" r:id="rId325" xr:uid="{00000000-0004-0000-0300-000044010000}"/>
    <hyperlink ref="E68" r:id="rId326" xr:uid="{00000000-0004-0000-0300-000045010000}"/>
    <hyperlink ref="F68" r:id="rId327" xr:uid="{00000000-0004-0000-0300-000046010000}"/>
    <hyperlink ref="G68" r:id="rId328" xr:uid="{00000000-0004-0000-0300-000047010000}"/>
    <hyperlink ref="H68" r:id="rId329" xr:uid="{00000000-0004-0000-0300-000048010000}"/>
    <hyperlink ref="C69" r:id="rId330" xr:uid="{00000000-0004-0000-0300-000049010000}"/>
    <hyperlink ref="E69" r:id="rId331" xr:uid="{00000000-0004-0000-0300-00004A010000}"/>
    <hyperlink ref="F69" r:id="rId332" xr:uid="{00000000-0004-0000-0300-00004B010000}"/>
    <hyperlink ref="G69" r:id="rId333" xr:uid="{00000000-0004-0000-0300-00004C010000}"/>
    <hyperlink ref="H69" r:id="rId334" xr:uid="{00000000-0004-0000-0300-00004D010000}"/>
    <hyperlink ref="C70" r:id="rId335" xr:uid="{00000000-0004-0000-0300-00004E010000}"/>
    <hyperlink ref="E70" r:id="rId336" xr:uid="{00000000-0004-0000-0300-00004F010000}"/>
    <hyperlink ref="F70" r:id="rId337" xr:uid="{00000000-0004-0000-0300-000050010000}"/>
    <hyperlink ref="G70" r:id="rId338" xr:uid="{00000000-0004-0000-0300-000051010000}"/>
    <hyperlink ref="H70" r:id="rId339" xr:uid="{00000000-0004-0000-0300-000052010000}"/>
    <hyperlink ref="C71" r:id="rId340" xr:uid="{00000000-0004-0000-0300-000053010000}"/>
    <hyperlink ref="E71" r:id="rId341" xr:uid="{00000000-0004-0000-0300-000054010000}"/>
    <hyperlink ref="F71" r:id="rId342" xr:uid="{00000000-0004-0000-0300-000055010000}"/>
    <hyperlink ref="G71" r:id="rId343" xr:uid="{00000000-0004-0000-0300-000056010000}"/>
    <hyperlink ref="H71" r:id="rId344" xr:uid="{00000000-0004-0000-0300-000057010000}"/>
    <hyperlink ref="C72" r:id="rId345" xr:uid="{00000000-0004-0000-0300-000058010000}"/>
    <hyperlink ref="E72" r:id="rId346" xr:uid="{00000000-0004-0000-0300-000059010000}"/>
    <hyperlink ref="F72" r:id="rId347" xr:uid="{00000000-0004-0000-0300-00005A010000}"/>
    <hyperlink ref="G72" r:id="rId348" xr:uid="{00000000-0004-0000-0300-00005B010000}"/>
    <hyperlink ref="H72" r:id="rId349" xr:uid="{00000000-0004-0000-0300-00005C010000}"/>
    <hyperlink ref="C73" r:id="rId350" xr:uid="{00000000-0004-0000-0300-00005D010000}"/>
    <hyperlink ref="E73" r:id="rId351" xr:uid="{00000000-0004-0000-0300-00005E010000}"/>
    <hyperlink ref="F73" r:id="rId352" xr:uid="{00000000-0004-0000-0300-00005F010000}"/>
    <hyperlink ref="G73" r:id="rId353" xr:uid="{00000000-0004-0000-0300-000060010000}"/>
    <hyperlink ref="H73" r:id="rId354" xr:uid="{00000000-0004-0000-0300-000061010000}"/>
    <hyperlink ref="C74" r:id="rId355" xr:uid="{00000000-0004-0000-0300-000062010000}"/>
    <hyperlink ref="E74" r:id="rId356" xr:uid="{00000000-0004-0000-0300-000063010000}"/>
    <hyperlink ref="F74" r:id="rId357" xr:uid="{00000000-0004-0000-0300-000064010000}"/>
    <hyperlink ref="G74" r:id="rId358" xr:uid="{00000000-0004-0000-0300-000065010000}"/>
    <hyperlink ref="H74" r:id="rId359" xr:uid="{00000000-0004-0000-0300-000066010000}"/>
    <hyperlink ref="C75" r:id="rId360" xr:uid="{00000000-0004-0000-0300-000067010000}"/>
    <hyperlink ref="E75" r:id="rId361" xr:uid="{00000000-0004-0000-0300-000068010000}"/>
    <hyperlink ref="F75" r:id="rId362" xr:uid="{00000000-0004-0000-0300-000069010000}"/>
    <hyperlink ref="G75" r:id="rId363" xr:uid="{00000000-0004-0000-0300-00006A010000}"/>
    <hyperlink ref="H75" r:id="rId364" xr:uid="{00000000-0004-0000-0300-00006B010000}"/>
    <hyperlink ref="C76" r:id="rId365" xr:uid="{00000000-0004-0000-0300-00006C010000}"/>
    <hyperlink ref="E76" r:id="rId366" xr:uid="{00000000-0004-0000-0300-00006D010000}"/>
    <hyperlink ref="F76" r:id="rId367" xr:uid="{00000000-0004-0000-0300-00006E010000}"/>
    <hyperlink ref="G76" r:id="rId368" xr:uid="{00000000-0004-0000-0300-00006F010000}"/>
    <hyperlink ref="H76" r:id="rId369" xr:uid="{00000000-0004-0000-0300-000070010000}"/>
    <hyperlink ref="E77" r:id="rId370" xr:uid="{00000000-0004-0000-0300-000071010000}"/>
    <hyperlink ref="F77" r:id="rId371" xr:uid="{00000000-0004-0000-0300-000072010000}"/>
    <hyperlink ref="G77" r:id="rId372" xr:uid="{00000000-0004-0000-0300-000073010000}"/>
    <hyperlink ref="H77" r:id="rId373" xr:uid="{00000000-0004-0000-0300-000074010000}"/>
    <hyperlink ref="E78" r:id="rId374" xr:uid="{00000000-0004-0000-0300-000075010000}"/>
    <hyperlink ref="F78" r:id="rId375" xr:uid="{00000000-0004-0000-0300-000076010000}"/>
    <hyperlink ref="G78" r:id="rId376" xr:uid="{00000000-0004-0000-0300-000077010000}"/>
    <hyperlink ref="H78" r:id="rId377" xr:uid="{00000000-0004-0000-0300-000078010000}"/>
    <hyperlink ref="E79" r:id="rId378" xr:uid="{00000000-0004-0000-0300-000079010000}"/>
    <hyperlink ref="F79" r:id="rId379" xr:uid="{00000000-0004-0000-0300-00007A010000}"/>
    <hyperlink ref="G79" r:id="rId380" xr:uid="{00000000-0004-0000-0300-00007B010000}"/>
    <hyperlink ref="H79" r:id="rId381" xr:uid="{00000000-0004-0000-0300-00007C010000}"/>
    <hyperlink ref="E80" r:id="rId382" xr:uid="{00000000-0004-0000-0300-00007D010000}"/>
    <hyperlink ref="F80" r:id="rId383" xr:uid="{00000000-0004-0000-0300-00007E010000}"/>
    <hyperlink ref="G80" r:id="rId384" xr:uid="{00000000-0004-0000-0300-00007F010000}"/>
    <hyperlink ref="H80" r:id="rId385" xr:uid="{00000000-0004-0000-0300-000080010000}"/>
    <hyperlink ref="E81" r:id="rId386" xr:uid="{00000000-0004-0000-0300-000081010000}"/>
    <hyperlink ref="F81" r:id="rId387" xr:uid="{00000000-0004-0000-0300-000082010000}"/>
    <hyperlink ref="G81" r:id="rId388" xr:uid="{00000000-0004-0000-0300-000083010000}"/>
    <hyperlink ref="H81" r:id="rId389" xr:uid="{00000000-0004-0000-0300-000084010000}"/>
    <hyperlink ref="E82" r:id="rId390" xr:uid="{00000000-0004-0000-0300-000085010000}"/>
    <hyperlink ref="F82" r:id="rId391" xr:uid="{00000000-0004-0000-0300-000086010000}"/>
    <hyperlink ref="G82" r:id="rId392" xr:uid="{00000000-0004-0000-0300-000087010000}"/>
    <hyperlink ref="H82" r:id="rId393" xr:uid="{00000000-0004-0000-0300-000088010000}"/>
    <hyperlink ref="E83" r:id="rId394" xr:uid="{00000000-0004-0000-0300-000089010000}"/>
    <hyperlink ref="F83" r:id="rId395" xr:uid="{00000000-0004-0000-0300-00008A010000}"/>
    <hyperlink ref="G83" r:id="rId396" xr:uid="{00000000-0004-0000-0300-00008B010000}"/>
    <hyperlink ref="H83" r:id="rId397" xr:uid="{00000000-0004-0000-0300-00008C010000}"/>
    <hyperlink ref="E84" r:id="rId398" xr:uid="{00000000-0004-0000-0300-00008D010000}"/>
    <hyperlink ref="F84" r:id="rId399" xr:uid="{00000000-0004-0000-0300-00008E010000}"/>
    <hyperlink ref="G84" r:id="rId400" xr:uid="{00000000-0004-0000-0300-00008F010000}"/>
    <hyperlink ref="H84" r:id="rId401" xr:uid="{00000000-0004-0000-0300-000090010000}"/>
    <hyperlink ref="C85" r:id="rId402" xr:uid="{00000000-0004-0000-0300-000091010000}"/>
    <hyperlink ref="E85" r:id="rId403" xr:uid="{00000000-0004-0000-0300-000092010000}"/>
    <hyperlink ref="F85" r:id="rId404" xr:uid="{00000000-0004-0000-0300-000093010000}"/>
    <hyperlink ref="G85" r:id="rId405" xr:uid="{00000000-0004-0000-0300-000094010000}"/>
    <hyperlink ref="H85" r:id="rId406" xr:uid="{00000000-0004-0000-0300-000095010000}"/>
    <hyperlink ref="C86" r:id="rId407" xr:uid="{00000000-0004-0000-0300-000096010000}"/>
    <hyperlink ref="E86" r:id="rId408" xr:uid="{00000000-0004-0000-0300-000097010000}"/>
    <hyperlink ref="F86" r:id="rId409" xr:uid="{00000000-0004-0000-0300-000098010000}"/>
    <hyperlink ref="G86" r:id="rId410" xr:uid="{00000000-0004-0000-0300-000099010000}"/>
    <hyperlink ref="H86" r:id="rId411" xr:uid="{00000000-0004-0000-0300-00009A010000}"/>
    <hyperlink ref="C87" r:id="rId412" xr:uid="{00000000-0004-0000-0300-00009B010000}"/>
    <hyperlink ref="E87" r:id="rId413" xr:uid="{00000000-0004-0000-0300-00009C010000}"/>
    <hyperlink ref="F87" r:id="rId414" xr:uid="{00000000-0004-0000-0300-00009D010000}"/>
    <hyperlink ref="G87" r:id="rId415" xr:uid="{00000000-0004-0000-0300-00009E010000}"/>
    <hyperlink ref="H87" r:id="rId416" xr:uid="{00000000-0004-0000-0300-00009F010000}"/>
    <hyperlink ref="C88" r:id="rId417" xr:uid="{00000000-0004-0000-0300-0000A0010000}"/>
    <hyperlink ref="E88" r:id="rId418" xr:uid="{00000000-0004-0000-0300-0000A1010000}"/>
    <hyperlink ref="F88" r:id="rId419" xr:uid="{00000000-0004-0000-0300-0000A2010000}"/>
    <hyperlink ref="G88" r:id="rId420" xr:uid="{00000000-0004-0000-0300-0000A3010000}"/>
    <hyperlink ref="H88" r:id="rId421" xr:uid="{00000000-0004-0000-0300-0000A4010000}"/>
    <hyperlink ref="C89" r:id="rId422" xr:uid="{00000000-0004-0000-0300-0000A5010000}"/>
    <hyperlink ref="E89" r:id="rId423" xr:uid="{00000000-0004-0000-0300-0000A6010000}"/>
    <hyperlink ref="F89" r:id="rId424" xr:uid="{00000000-0004-0000-0300-0000A7010000}"/>
    <hyperlink ref="G89" r:id="rId425" xr:uid="{00000000-0004-0000-0300-0000A8010000}"/>
    <hyperlink ref="H89" r:id="rId426" xr:uid="{00000000-0004-0000-0300-0000A9010000}"/>
    <hyperlink ref="C90" r:id="rId427" xr:uid="{00000000-0004-0000-0300-0000AA010000}"/>
    <hyperlink ref="E90" r:id="rId428" xr:uid="{00000000-0004-0000-0300-0000AB010000}"/>
    <hyperlink ref="F90" r:id="rId429" xr:uid="{00000000-0004-0000-0300-0000AC010000}"/>
    <hyperlink ref="G90" r:id="rId430" xr:uid="{00000000-0004-0000-0300-0000AD010000}"/>
    <hyperlink ref="H90" r:id="rId431" xr:uid="{00000000-0004-0000-0300-0000AE010000}"/>
    <hyperlink ref="C91" r:id="rId432" xr:uid="{00000000-0004-0000-0300-0000AF010000}"/>
    <hyperlink ref="E91" r:id="rId433" xr:uid="{00000000-0004-0000-0300-0000B0010000}"/>
    <hyperlink ref="F91" r:id="rId434" xr:uid="{00000000-0004-0000-0300-0000B1010000}"/>
    <hyperlink ref="G91" r:id="rId435" xr:uid="{00000000-0004-0000-0300-0000B2010000}"/>
    <hyperlink ref="H91" r:id="rId436" xr:uid="{00000000-0004-0000-0300-0000B3010000}"/>
    <hyperlink ref="C92" r:id="rId437" xr:uid="{00000000-0004-0000-0300-0000B4010000}"/>
    <hyperlink ref="E92" r:id="rId438" xr:uid="{00000000-0004-0000-0300-0000B5010000}"/>
    <hyperlink ref="F92" r:id="rId439" xr:uid="{00000000-0004-0000-0300-0000B6010000}"/>
    <hyperlink ref="G92" r:id="rId440" xr:uid="{00000000-0004-0000-0300-0000B7010000}"/>
    <hyperlink ref="H92" r:id="rId441" xr:uid="{00000000-0004-0000-0300-0000B8010000}"/>
    <hyperlink ref="C93" r:id="rId442" xr:uid="{00000000-0004-0000-0300-0000B9010000}"/>
    <hyperlink ref="E93" r:id="rId443" xr:uid="{00000000-0004-0000-0300-0000BA010000}"/>
    <hyperlink ref="F93" r:id="rId444" xr:uid="{00000000-0004-0000-0300-0000BB010000}"/>
    <hyperlink ref="G93" r:id="rId445" xr:uid="{00000000-0004-0000-0300-0000BC010000}"/>
    <hyperlink ref="H93" r:id="rId446" xr:uid="{00000000-0004-0000-0300-0000BD010000}"/>
    <hyperlink ref="C94" r:id="rId447" xr:uid="{00000000-0004-0000-0300-0000BE010000}"/>
    <hyperlink ref="E94" r:id="rId448" xr:uid="{00000000-0004-0000-0300-0000BF010000}"/>
    <hyperlink ref="F94" r:id="rId449" xr:uid="{00000000-0004-0000-0300-0000C0010000}"/>
    <hyperlink ref="G94" r:id="rId450" xr:uid="{00000000-0004-0000-0300-0000C1010000}"/>
    <hyperlink ref="H94" r:id="rId451" xr:uid="{00000000-0004-0000-0300-0000C2010000}"/>
    <hyperlink ref="C95" r:id="rId452" xr:uid="{00000000-0004-0000-0300-0000C3010000}"/>
    <hyperlink ref="E95" r:id="rId453" xr:uid="{00000000-0004-0000-0300-0000C4010000}"/>
    <hyperlink ref="F95" r:id="rId454" xr:uid="{00000000-0004-0000-0300-0000C5010000}"/>
    <hyperlink ref="G95" r:id="rId455" xr:uid="{00000000-0004-0000-0300-0000C6010000}"/>
    <hyperlink ref="H95" r:id="rId456" xr:uid="{00000000-0004-0000-0300-0000C7010000}"/>
    <hyperlink ref="C96" r:id="rId457" xr:uid="{00000000-0004-0000-0300-0000C8010000}"/>
    <hyperlink ref="E96" r:id="rId458" xr:uid="{00000000-0004-0000-0300-0000C9010000}"/>
    <hyperlink ref="F96" r:id="rId459" xr:uid="{00000000-0004-0000-0300-0000CA010000}"/>
    <hyperlink ref="G96" r:id="rId460" xr:uid="{00000000-0004-0000-0300-0000CB010000}"/>
    <hyperlink ref="H96" r:id="rId461" xr:uid="{00000000-0004-0000-0300-0000CC010000}"/>
    <hyperlink ref="C97" r:id="rId462" xr:uid="{00000000-0004-0000-0300-0000CD010000}"/>
    <hyperlink ref="E97" r:id="rId463" xr:uid="{00000000-0004-0000-0300-0000CE010000}"/>
    <hyperlink ref="F97" r:id="rId464" xr:uid="{00000000-0004-0000-0300-0000CF010000}"/>
    <hyperlink ref="G97" r:id="rId465" xr:uid="{00000000-0004-0000-0300-0000D0010000}"/>
    <hyperlink ref="H97" r:id="rId466" xr:uid="{00000000-0004-0000-0300-0000D1010000}"/>
    <hyperlink ref="C98" r:id="rId467" xr:uid="{00000000-0004-0000-0300-0000D2010000}"/>
    <hyperlink ref="E98" r:id="rId468" xr:uid="{00000000-0004-0000-0300-0000D3010000}"/>
    <hyperlink ref="F98" r:id="rId469" xr:uid="{00000000-0004-0000-0300-0000D4010000}"/>
    <hyperlink ref="G98" r:id="rId470" xr:uid="{00000000-0004-0000-0300-0000D5010000}"/>
    <hyperlink ref="H98" r:id="rId471" xr:uid="{00000000-0004-0000-0300-0000D6010000}"/>
    <hyperlink ref="C99" r:id="rId472" xr:uid="{00000000-0004-0000-0300-0000D7010000}"/>
    <hyperlink ref="E99" r:id="rId473" xr:uid="{00000000-0004-0000-0300-0000D8010000}"/>
    <hyperlink ref="F99" r:id="rId474" xr:uid="{00000000-0004-0000-0300-0000D9010000}"/>
    <hyperlink ref="G99" r:id="rId475" xr:uid="{00000000-0004-0000-0300-0000DA010000}"/>
    <hyperlink ref="H99" r:id="rId476" xr:uid="{00000000-0004-0000-0300-0000DB010000}"/>
    <hyperlink ref="C100" r:id="rId477" xr:uid="{00000000-0004-0000-0300-0000DC010000}"/>
    <hyperlink ref="E100" r:id="rId478" xr:uid="{00000000-0004-0000-0300-0000DD010000}"/>
    <hyperlink ref="F100" r:id="rId479" xr:uid="{00000000-0004-0000-0300-0000DE010000}"/>
    <hyperlink ref="G100" r:id="rId480" xr:uid="{00000000-0004-0000-0300-0000DF010000}"/>
    <hyperlink ref="H100" r:id="rId481" xr:uid="{00000000-0004-0000-0300-0000E0010000}"/>
    <hyperlink ref="C101" r:id="rId482" xr:uid="{00000000-0004-0000-0300-0000E1010000}"/>
    <hyperlink ref="E101" r:id="rId483" xr:uid="{00000000-0004-0000-0300-0000E2010000}"/>
    <hyperlink ref="F101" r:id="rId484" xr:uid="{00000000-0004-0000-0300-0000E3010000}"/>
    <hyperlink ref="G101" r:id="rId485" xr:uid="{00000000-0004-0000-0300-0000E4010000}"/>
    <hyperlink ref="H101" r:id="rId486" xr:uid="{00000000-0004-0000-0300-0000E5010000}"/>
    <hyperlink ref="C102" r:id="rId487" xr:uid="{00000000-0004-0000-0300-0000E6010000}"/>
    <hyperlink ref="E102" r:id="rId488" xr:uid="{00000000-0004-0000-0300-0000E7010000}"/>
    <hyperlink ref="F102" r:id="rId489" xr:uid="{00000000-0004-0000-0300-0000E8010000}"/>
    <hyperlink ref="G102" r:id="rId490" xr:uid="{00000000-0004-0000-0300-0000E9010000}"/>
    <hyperlink ref="H102" r:id="rId491" xr:uid="{00000000-0004-0000-0300-0000EA010000}"/>
    <hyperlink ref="C103" r:id="rId492" xr:uid="{00000000-0004-0000-0300-0000EB010000}"/>
    <hyperlink ref="E103" r:id="rId493" xr:uid="{00000000-0004-0000-0300-0000EC010000}"/>
    <hyperlink ref="F103" r:id="rId494" xr:uid="{00000000-0004-0000-0300-0000ED010000}"/>
    <hyperlink ref="G103" r:id="rId495" xr:uid="{00000000-0004-0000-0300-0000EE010000}"/>
    <hyperlink ref="H103" r:id="rId496" xr:uid="{00000000-0004-0000-0300-0000EF010000}"/>
    <hyperlink ref="C104" r:id="rId497" xr:uid="{00000000-0004-0000-0300-0000F0010000}"/>
    <hyperlink ref="E104" r:id="rId498" xr:uid="{00000000-0004-0000-0300-0000F1010000}"/>
    <hyperlink ref="F104" r:id="rId499" xr:uid="{00000000-0004-0000-0300-0000F2010000}"/>
    <hyperlink ref="G104" r:id="rId500" xr:uid="{00000000-0004-0000-0300-0000F3010000}"/>
    <hyperlink ref="H104" r:id="rId501" xr:uid="{00000000-0004-0000-0300-0000F4010000}"/>
    <hyperlink ref="C105" r:id="rId502" xr:uid="{00000000-0004-0000-0300-0000F5010000}"/>
    <hyperlink ref="E105" r:id="rId503" xr:uid="{00000000-0004-0000-0300-0000F6010000}"/>
    <hyperlink ref="F105" r:id="rId504" xr:uid="{00000000-0004-0000-0300-0000F7010000}"/>
    <hyperlink ref="G105" r:id="rId505" xr:uid="{00000000-0004-0000-0300-0000F8010000}"/>
    <hyperlink ref="H105" r:id="rId506" xr:uid="{00000000-0004-0000-0300-0000F9010000}"/>
    <hyperlink ref="C106" r:id="rId507" xr:uid="{00000000-0004-0000-0300-0000FA010000}"/>
    <hyperlink ref="E106" r:id="rId508" xr:uid="{00000000-0004-0000-0300-0000FB010000}"/>
    <hyperlink ref="F106" r:id="rId509" xr:uid="{00000000-0004-0000-0300-0000FC010000}"/>
    <hyperlink ref="G106" r:id="rId510" xr:uid="{00000000-0004-0000-0300-0000FD010000}"/>
    <hyperlink ref="H106" r:id="rId511" xr:uid="{00000000-0004-0000-0300-0000FE010000}"/>
    <hyperlink ref="C107" r:id="rId512" xr:uid="{00000000-0004-0000-0300-0000FF010000}"/>
    <hyperlink ref="E107" r:id="rId513" xr:uid="{00000000-0004-0000-0300-000000020000}"/>
    <hyperlink ref="F107" r:id="rId514" xr:uid="{00000000-0004-0000-0300-000001020000}"/>
    <hyperlink ref="G107" r:id="rId515" xr:uid="{00000000-0004-0000-0300-000002020000}"/>
    <hyperlink ref="H107" r:id="rId516" xr:uid="{00000000-0004-0000-0300-000003020000}"/>
    <hyperlink ref="C108" r:id="rId517" xr:uid="{00000000-0004-0000-0300-000004020000}"/>
    <hyperlink ref="E108" r:id="rId518" xr:uid="{00000000-0004-0000-0300-000005020000}"/>
    <hyperlink ref="F108" r:id="rId519" xr:uid="{00000000-0004-0000-0300-000006020000}"/>
    <hyperlink ref="G108" r:id="rId520" xr:uid="{00000000-0004-0000-0300-000007020000}"/>
    <hyperlink ref="H108" r:id="rId521" xr:uid="{00000000-0004-0000-0300-000008020000}"/>
    <hyperlink ref="C109" r:id="rId522" xr:uid="{00000000-0004-0000-0300-000009020000}"/>
    <hyperlink ref="E109" r:id="rId523" xr:uid="{00000000-0004-0000-0300-00000A020000}"/>
    <hyperlink ref="F109" r:id="rId524" xr:uid="{00000000-0004-0000-0300-00000B020000}"/>
    <hyperlink ref="G109" r:id="rId525" xr:uid="{00000000-0004-0000-0300-00000C020000}"/>
    <hyperlink ref="H109" r:id="rId526" xr:uid="{00000000-0004-0000-0300-00000D020000}"/>
    <hyperlink ref="C110" r:id="rId527" xr:uid="{00000000-0004-0000-0300-00000E020000}"/>
    <hyperlink ref="E110" r:id="rId528" xr:uid="{00000000-0004-0000-0300-00000F020000}"/>
    <hyperlink ref="F110" r:id="rId529" xr:uid="{00000000-0004-0000-0300-000010020000}"/>
    <hyperlink ref="G110" r:id="rId530" xr:uid="{00000000-0004-0000-0300-000011020000}"/>
    <hyperlink ref="H110" r:id="rId531" xr:uid="{00000000-0004-0000-0300-000012020000}"/>
    <hyperlink ref="C111" r:id="rId532" xr:uid="{00000000-0004-0000-0300-000013020000}"/>
    <hyperlink ref="E111" r:id="rId533" xr:uid="{00000000-0004-0000-0300-000014020000}"/>
    <hyperlink ref="F111" r:id="rId534" xr:uid="{00000000-0004-0000-0300-000015020000}"/>
    <hyperlink ref="G111" r:id="rId535" xr:uid="{00000000-0004-0000-0300-000016020000}"/>
    <hyperlink ref="H111" r:id="rId536" xr:uid="{00000000-0004-0000-0300-000017020000}"/>
    <hyperlink ref="E112" r:id="rId537" xr:uid="{00000000-0004-0000-0300-000018020000}"/>
    <hyperlink ref="F112" r:id="rId538" xr:uid="{00000000-0004-0000-0300-000019020000}"/>
    <hyperlink ref="H112" r:id="rId539" xr:uid="{00000000-0004-0000-0300-00001A020000}"/>
    <hyperlink ref="E113" r:id="rId540" xr:uid="{00000000-0004-0000-0300-00001B020000}"/>
    <hyperlink ref="F113" r:id="rId541" xr:uid="{00000000-0004-0000-0300-00001C020000}"/>
    <hyperlink ref="G113" r:id="rId542" xr:uid="{00000000-0004-0000-0300-00001D020000}"/>
    <hyperlink ref="H113" r:id="rId543" xr:uid="{00000000-0004-0000-0300-00001E020000}"/>
    <hyperlink ref="C114" r:id="rId544" xr:uid="{00000000-0004-0000-0300-00001F020000}"/>
    <hyperlink ref="E114" r:id="rId545" xr:uid="{00000000-0004-0000-0300-000020020000}"/>
    <hyperlink ref="F114" r:id="rId546" xr:uid="{00000000-0004-0000-0300-000021020000}"/>
    <hyperlink ref="G114" r:id="rId547" xr:uid="{00000000-0004-0000-0300-000022020000}"/>
    <hyperlink ref="H114" r:id="rId548" xr:uid="{00000000-0004-0000-0300-000023020000}"/>
    <hyperlink ref="C115" r:id="rId549" xr:uid="{00000000-0004-0000-0300-000024020000}"/>
    <hyperlink ref="E115" r:id="rId550" xr:uid="{00000000-0004-0000-0300-000025020000}"/>
    <hyperlink ref="F115" r:id="rId551" xr:uid="{00000000-0004-0000-0300-000026020000}"/>
    <hyperlink ref="G115" r:id="rId552" xr:uid="{00000000-0004-0000-0300-000027020000}"/>
    <hyperlink ref="H115" r:id="rId553" xr:uid="{00000000-0004-0000-0300-000028020000}"/>
    <hyperlink ref="C116" r:id="rId554" xr:uid="{00000000-0004-0000-0300-000029020000}"/>
    <hyperlink ref="E116" r:id="rId555" xr:uid="{00000000-0004-0000-0300-00002A020000}"/>
    <hyperlink ref="F116" r:id="rId556" xr:uid="{00000000-0004-0000-0300-00002B020000}"/>
    <hyperlink ref="G116" r:id="rId557" xr:uid="{00000000-0004-0000-0300-00002C020000}"/>
    <hyperlink ref="H116" r:id="rId558" xr:uid="{00000000-0004-0000-0300-00002D020000}"/>
    <hyperlink ref="C117" r:id="rId559" xr:uid="{00000000-0004-0000-0300-00002E020000}"/>
    <hyperlink ref="E117" r:id="rId560" xr:uid="{00000000-0004-0000-0300-00002F020000}"/>
    <hyperlink ref="F117" r:id="rId561" xr:uid="{00000000-0004-0000-0300-000030020000}"/>
    <hyperlink ref="G117" r:id="rId562" xr:uid="{00000000-0004-0000-0300-000031020000}"/>
    <hyperlink ref="H117" r:id="rId563" xr:uid="{00000000-0004-0000-0300-000032020000}"/>
    <hyperlink ref="C118" r:id="rId564" xr:uid="{00000000-0004-0000-0300-000033020000}"/>
    <hyperlink ref="E118" r:id="rId565" xr:uid="{00000000-0004-0000-0300-000034020000}"/>
    <hyperlink ref="F118" r:id="rId566" xr:uid="{00000000-0004-0000-0300-000035020000}"/>
    <hyperlink ref="G118" r:id="rId567" xr:uid="{00000000-0004-0000-0300-000036020000}"/>
    <hyperlink ref="H118" r:id="rId568" xr:uid="{00000000-0004-0000-0300-000037020000}"/>
    <hyperlink ref="C119" r:id="rId569" xr:uid="{00000000-0004-0000-0300-000038020000}"/>
    <hyperlink ref="E119" r:id="rId570" xr:uid="{00000000-0004-0000-0300-000039020000}"/>
    <hyperlink ref="F119" r:id="rId571" xr:uid="{00000000-0004-0000-0300-00003A020000}"/>
    <hyperlink ref="G119" r:id="rId572" xr:uid="{00000000-0004-0000-0300-00003B020000}"/>
    <hyperlink ref="H119" r:id="rId573" xr:uid="{00000000-0004-0000-0300-00003C020000}"/>
    <hyperlink ref="C120" r:id="rId574" xr:uid="{00000000-0004-0000-0300-00003D020000}"/>
    <hyperlink ref="E120" r:id="rId575" xr:uid="{00000000-0004-0000-0300-00003E020000}"/>
    <hyperlink ref="F120" r:id="rId576" xr:uid="{00000000-0004-0000-0300-00003F020000}"/>
    <hyperlink ref="G120" r:id="rId577" xr:uid="{00000000-0004-0000-0300-000040020000}"/>
    <hyperlink ref="H120" r:id="rId578" xr:uid="{00000000-0004-0000-0300-000041020000}"/>
    <hyperlink ref="C121" r:id="rId579" xr:uid="{00000000-0004-0000-0300-000042020000}"/>
    <hyperlink ref="E121" r:id="rId580" xr:uid="{00000000-0004-0000-0300-000043020000}"/>
    <hyperlink ref="F121" r:id="rId581" xr:uid="{00000000-0004-0000-0300-000044020000}"/>
    <hyperlink ref="G121" r:id="rId582" xr:uid="{00000000-0004-0000-0300-000045020000}"/>
    <hyperlink ref="H121" r:id="rId583" xr:uid="{00000000-0004-0000-0300-000046020000}"/>
    <hyperlink ref="C122" r:id="rId584" xr:uid="{00000000-0004-0000-0300-000047020000}"/>
    <hyperlink ref="E122" r:id="rId585" xr:uid="{00000000-0004-0000-0300-000048020000}"/>
    <hyperlink ref="F122" r:id="rId586" xr:uid="{00000000-0004-0000-0300-000049020000}"/>
    <hyperlink ref="G122" r:id="rId587" xr:uid="{00000000-0004-0000-0300-00004A020000}"/>
    <hyperlink ref="H122" r:id="rId588" xr:uid="{00000000-0004-0000-0300-00004B020000}"/>
    <hyperlink ref="C123" r:id="rId589" xr:uid="{00000000-0004-0000-0300-00004C020000}"/>
    <hyperlink ref="E123" r:id="rId590" xr:uid="{00000000-0004-0000-0300-00004D020000}"/>
    <hyperlink ref="F123" r:id="rId591" xr:uid="{00000000-0004-0000-0300-00004E020000}"/>
    <hyperlink ref="G123" r:id="rId592" xr:uid="{00000000-0004-0000-0300-00004F020000}"/>
    <hyperlink ref="H123" r:id="rId593" xr:uid="{00000000-0004-0000-0300-000050020000}"/>
    <hyperlink ref="C124" r:id="rId594" xr:uid="{00000000-0004-0000-0300-000051020000}"/>
    <hyperlink ref="E124" r:id="rId595" xr:uid="{00000000-0004-0000-0300-000052020000}"/>
    <hyperlink ref="F124" r:id="rId596" xr:uid="{00000000-0004-0000-0300-000053020000}"/>
    <hyperlink ref="G124" r:id="rId597" xr:uid="{00000000-0004-0000-0300-000054020000}"/>
    <hyperlink ref="H124" r:id="rId598" xr:uid="{00000000-0004-0000-0300-000055020000}"/>
    <hyperlink ref="C125" r:id="rId599" xr:uid="{00000000-0004-0000-0300-000056020000}"/>
    <hyperlink ref="E125" r:id="rId600" xr:uid="{00000000-0004-0000-0300-000057020000}"/>
    <hyperlink ref="F125" r:id="rId601" xr:uid="{00000000-0004-0000-0300-000058020000}"/>
    <hyperlink ref="G125" r:id="rId602" xr:uid="{00000000-0004-0000-0300-000059020000}"/>
    <hyperlink ref="H125" r:id="rId603" xr:uid="{00000000-0004-0000-0300-00005A020000}"/>
    <hyperlink ref="C126" r:id="rId604" xr:uid="{00000000-0004-0000-0300-00005B020000}"/>
    <hyperlink ref="E126" r:id="rId605" xr:uid="{00000000-0004-0000-0300-00005C020000}"/>
    <hyperlink ref="F126" r:id="rId606" xr:uid="{00000000-0004-0000-0300-00005D020000}"/>
    <hyperlink ref="G126" r:id="rId607" xr:uid="{00000000-0004-0000-0300-00005E020000}"/>
    <hyperlink ref="H126" r:id="rId608" xr:uid="{00000000-0004-0000-0300-00005F020000}"/>
    <hyperlink ref="C127" r:id="rId609" xr:uid="{00000000-0004-0000-0300-000060020000}"/>
    <hyperlink ref="E127" r:id="rId610" xr:uid="{00000000-0004-0000-0300-000061020000}"/>
    <hyperlink ref="F127" r:id="rId611" xr:uid="{00000000-0004-0000-0300-000062020000}"/>
    <hyperlink ref="G127" r:id="rId612" xr:uid="{00000000-0004-0000-0300-000063020000}"/>
    <hyperlink ref="H127" r:id="rId613" xr:uid="{00000000-0004-0000-0300-000064020000}"/>
    <hyperlink ref="C128" r:id="rId614" xr:uid="{00000000-0004-0000-0300-000065020000}"/>
    <hyperlink ref="E128" r:id="rId615" xr:uid="{00000000-0004-0000-0300-000066020000}"/>
    <hyperlink ref="F128" r:id="rId616" xr:uid="{00000000-0004-0000-0300-000067020000}"/>
    <hyperlink ref="G128" r:id="rId617" xr:uid="{00000000-0004-0000-0300-000068020000}"/>
    <hyperlink ref="H128" r:id="rId618" xr:uid="{00000000-0004-0000-0300-000069020000}"/>
    <hyperlink ref="C129" r:id="rId619" xr:uid="{00000000-0004-0000-0300-00006A020000}"/>
    <hyperlink ref="E129" r:id="rId620" xr:uid="{00000000-0004-0000-0300-00006B020000}"/>
    <hyperlink ref="F129" r:id="rId621" xr:uid="{00000000-0004-0000-0300-00006C020000}"/>
    <hyperlink ref="G129" r:id="rId622" xr:uid="{00000000-0004-0000-0300-00006D020000}"/>
    <hyperlink ref="H129" r:id="rId623" xr:uid="{00000000-0004-0000-0300-00006E020000}"/>
    <hyperlink ref="C130" r:id="rId624" xr:uid="{00000000-0004-0000-0300-00006F020000}"/>
    <hyperlink ref="E130" r:id="rId625" xr:uid="{00000000-0004-0000-0300-000070020000}"/>
    <hyperlink ref="F130" r:id="rId626" xr:uid="{00000000-0004-0000-0300-000071020000}"/>
    <hyperlink ref="G130" r:id="rId627" xr:uid="{00000000-0004-0000-0300-000072020000}"/>
    <hyperlink ref="H130" r:id="rId628" xr:uid="{00000000-0004-0000-0300-000073020000}"/>
    <hyperlink ref="E131" r:id="rId629" xr:uid="{00000000-0004-0000-0300-000074020000}"/>
    <hyperlink ref="F131" r:id="rId630" xr:uid="{00000000-0004-0000-0300-000075020000}"/>
    <hyperlink ref="G131" r:id="rId631" xr:uid="{00000000-0004-0000-0300-000076020000}"/>
    <hyperlink ref="H131" r:id="rId632" xr:uid="{00000000-0004-0000-0300-000077020000}"/>
    <hyperlink ref="E132" r:id="rId633" xr:uid="{00000000-0004-0000-0300-000078020000}"/>
    <hyperlink ref="F132" r:id="rId634" xr:uid="{00000000-0004-0000-0300-000079020000}"/>
    <hyperlink ref="G132" r:id="rId635" xr:uid="{00000000-0004-0000-0300-00007A020000}"/>
    <hyperlink ref="H132" r:id="rId636" xr:uid="{00000000-0004-0000-0300-00007B020000}"/>
    <hyperlink ref="E133" r:id="rId637" xr:uid="{00000000-0004-0000-0300-00007C020000}"/>
    <hyperlink ref="F133" r:id="rId638" xr:uid="{00000000-0004-0000-0300-00007D020000}"/>
    <hyperlink ref="H133" r:id="rId639" xr:uid="{00000000-0004-0000-0300-00007E020000}"/>
    <hyperlink ref="E134" r:id="rId640" xr:uid="{00000000-0004-0000-0300-00007F020000}"/>
    <hyperlink ref="F134" r:id="rId641" xr:uid="{00000000-0004-0000-0300-000080020000}"/>
    <hyperlink ref="G134" r:id="rId642" xr:uid="{00000000-0004-0000-0300-000081020000}"/>
    <hyperlink ref="H134" r:id="rId643" xr:uid="{00000000-0004-0000-0300-000082020000}"/>
    <hyperlink ref="C135" r:id="rId644" xr:uid="{00000000-0004-0000-0300-000083020000}"/>
    <hyperlink ref="E135" r:id="rId645" xr:uid="{00000000-0004-0000-0300-000084020000}"/>
    <hyperlink ref="F135" r:id="rId646" xr:uid="{00000000-0004-0000-0300-000085020000}"/>
    <hyperlink ref="G135" r:id="rId647" xr:uid="{00000000-0004-0000-0300-000086020000}"/>
    <hyperlink ref="H135" r:id="rId648" xr:uid="{00000000-0004-0000-0300-000087020000}"/>
    <hyperlink ref="C136" r:id="rId649" xr:uid="{00000000-0004-0000-0300-000088020000}"/>
    <hyperlink ref="E136" r:id="rId650" xr:uid="{00000000-0004-0000-0300-000089020000}"/>
    <hyperlink ref="F136" r:id="rId651" xr:uid="{00000000-0004-0000-0300-00008A020000}"/>
    <hyperlink ref="G136" r:id="rId652" xr:uid="{00000000-0004-0000-0300-00008B020000}"/>
    <hyperlink ref="H136" r:id="rId653" xr:uid="{00000000-0004-0000-0300-00008C020000}"/>
    <hyperlink ref="C137" r:id="rId654" xr:uid="{00000000-0004-0000-0300-00008D020000}"/>
    <hyperlink ref="E137" r:id="rId655" xr:uid="{00000000-0004-0000-0300-00008E020000}"/>
    <hyperlink ref="F137" r:id="rId656" xr:uid="{00000000-0004-0000-0300-00008F020000}"/>
    <hyperlink ref="G137" r:id="rId657" xr:uid="{00000000-0004-0000-0300-000090020000}"/>
    <hyperlink ref="H137" r:id="rId658" xr:uid="{00000000-0004-0000-0300-000091020000}"/>
    <hyperlink ref="C138" r:id="rId659" xr:uid="{00000000-0004-0000-0300-000092020000}"/>
    <hyperlink ref="E138" r:id="rId660" xr:uid="{00000000-0004-0000-0300-000093020000}"/>
    <hyperlink ref="F138" r:id="rId661" xr:uid="{00000000-0004-0000-0300-000094020000}"/>
    <hyperlink ref="G138" r:id="rId662" xr:uid="{00000000-0004-0000-0300-000095020000}"/>
    <hyperlink ref="H138" r:id="rId663" xr:uid="{00000000-0004-0000-0300-000096020000}"/>
    <hyperlink ref="C139" r:id="rId664" xr:uid="{00000000-0004-0000-0300-000097020000}"/>
    <hyperlink ref="E139" r:id="rId665" xr:uid="{00000000-0004-0000-0300-000098020000}"/>
    <hyperlink ref="F139" r:id="rId666" xr:uid="{00000000-0004-0000-0300-000099020000}"/>
    <hyperlink ref="H139" r:id="rId667" xr:uid="{00000000-0004-0000-0300-00009A020000}"/>
    <hyperlink ref="C140" r:id="rId668" xr:uid="{00000000-0004-0000-0300-00009B020000}"/>
    <hyperlink ref="E140" r:id="rId669" xr:uid="{00000000-0004-0000-0300-00009C020000}"/>
    <hyperlink ref="F140" r:id="rId670" xr:uid="{00000000-0004-0000-0300-00009D020000}"/>
    <hyperlink ref="G140" r:id="rId671" xr:uid="{00000000-0004-0000-0300-00009E020000}"/>
    <hyperlink ref="H140" r:id="rId672" xr:uid="{00000000-0004-0000-0300-00009F020000}"/>
    <hyperlink ref="C141" r:id="rId673" xr:uid="{00000000-0004-0000-0300-0000A0020000}"/>
    <hyperlink ref="E141" r:id="rId674" xr:uid="{00000000-0004-0000-0300-0000A1020000}"/>
    <hyperlink ref="F141" r:id="rId675" xr:uid="{00000000-0004-0000-0300-0000A2020000}"/>
    <hyperlink ref="G141" r:id="rId676" xr:uid="{00000000-0004-0000-0300-0000A3020000}"/>
    <hyperlink ref="H141" r:id="rId677" xr:uid="{00000000-0004-0000-0300-0000A4020000}"/>
    <hyperlink ref="C142" r:id="rId678" xr:uid="{00000000-0004-0000-0300-0000A5020000}"/>
    <hyperlink ref="E142" r:id="rId679" xr:uid="{00000000-0004-0000-0300-0000A6020000}"/>
    <hyperlink ref="F142" r:id="rId680" xr:uid="{00000000-0004-0000-0300-0000A7020000}"/>
    <hyperlink ref="G142" r:id="rId681" xr:uid="{00000000-0004-0000-0300-0000A8020000}"/>
    <hyperlink ref="H142" r:id="rId682" xr:uid="{00000000-0004-0000-0300-0000A9020000}"/>
    <hyperlink ref="C143" r:id="rId683" xr:uid="{00000000-0004-0000-0300-0000AA020000}"/>
    <hyperlink ref="E143" r:id="rId684" xr:uid="{00000000-0004-0000-0300-0000AB020000}"/>
    <hyperlink ref="F143" r:id="rId685" xr:uid="{00000000-0004-0000-0300-0000AC020000}"/>
    <hyperlink ref="G143" r:id="rId686" xr:uid="{00000000-0004-0000-0300-0000AD020000}"/>
    <hyperlink ref="H143" r:id="rId687" xr:uid="{00000000-0004-0000-0300-0000AE020000}"/>
    <hyperlink ref="C144" r:id="rId688" xr:uid="{00000000-0004-0000-0300-0000AF020000}"/>
    <hyperlink ref="E144" r:id="rId689" xr:uid="{00000000-0004-0000-0300-0000B0020000}"/>
    <hyperlink ref="F144" r:id="rId690" xr:uid="{00000000-0004-0000-0300-0000B1020000}"/>
    <hyperlink ref="G144" r:id="rId691" xr:uid="{00000000-0004-0000-0300-0000B2020000}"/>
    <hyperlink ref="H144" r:id="rId692" xr:uid="{00000000-0004-0000-0300-0000B3020000}"/>
    <hyperlink ref="C145" r:id="rId693" xr:uid="{00000000-0004-0000-0300-0000B4020000}"/>
    <hyperlink ref="E145" r:id="rId694" xr:uid="{00000000-0004-0000-0300-0000B5020000}"/>
    <hyperlink ref="F145" r:id="rId695" xr:uid="{00000000-0004-0000-0300-0000B6020000}"/>
    <hyperlink ref="G145" r:id="rId696" xr:uid="{00000000-0004-0000-0300-0000B7020000}"/>
    <hyperlink ref="H145" r:id="rId697" xr:uid="{00000000-0004-0000-0300-0000B8020000}"/>
    <hyperlink ref="C146" r:id="rId698" xr:uid="{00000000-0004-0000-0300-0000B9020000}"/>
    <hyperlink ref="E146" r:id="rId699" xr:uid="{00000000-0004-0000-0300-0000BA020000}"/>
    <hyperlink ref="F146" r:id="rId700" xr:uid="{00000000-0004-0000-0300-0000BB020000}"/>
    <hyperlink ref="G146" r:id="rId701" xr:uid="{00000000-0004-0000-0300-0000BC020000}"/>
    <hyperlink ref="H146" r:id="rId702" xr:uid="{00000000-0004-0000-0300-0000BD020000}"/>
    <hyperlink ref="C147" r:id="rId703" xr:uid="{00000000-0004-0000-0300-0000BE020000}"/>
    <hyperlink ref="E147" r:id="rId704" xr:uid="{00000000-0004-0000-0300-0000BF020000}"/>
    <hyperlink ref="F147" r:id="rId705" xr:uid="{00000000-0004-0000-0300-0000C0020000}"/>
    <hyperlink ref="G147" r:id="rId706" xr:uid="{00000000-0004-0000-0300-0000C1020000}"/>
    <hyperlink ref="H147" r:id="rId707" xr:uid="{00000000-0004-0000-0300-0000C2020000}"/>
    <hyperlink ref="C148" r:id="rId708" xr:uid="{00000000-0004-0000-0300-0000C3020000}"/>
    <hyperlink ref="E148" r:id="rId709" xr:uid="{00000000-0004-0000-0300-0000C4020000}"/>
    <hyperlink ref="F148" r:id="rId710" xr:uid="{00000000-0004-0000-0300-0000C5020000}"/>
    <hyperlink ref="G148" r:id="rId711" xr:uid="{00000000-0004-0000-0300-0000C6020000}"/>
    <hyperlink ref="H148" r:id="rId712" xr:uid="{00000000-0004-0000-0300-0000C7020000}"/>
    <hyperlink ref="C149" r:id="rId713" xr:uid="{00000000-0004-0000-0300-0000C8020000}"/>
    <hyperlink ref="E149" r:id="rId714" xr:uid="{00000000-0004-0000-0300-0000C9020000}"/>
    <hyperlink ref="F149" r:id="rId715" xr:uid="{00000000-0004-0000-0300-0000CA020000}"/>
    <hyperlink ref="G149" r:id="rId716" xr:uid="{00000000-0004-0000-0300-0000CB020000}"/>
    <hyperlink ref="H149" r:id="rId717" xr:uid="{00000000-0004-0000-0300-0000CC020000}"/>
    <hyperlink ref="C150" r:id="rId718" xr:uid="{00000000-0004-0000-0300-0000CD020000}"/>
    <hyperlink ref="E150" r:id="rId719" xr:uid="{00000000-0004-0000-0300-0000CE020000}"/>
    <hyperlink ref="F150" r:id="rId720" xr:uid="{00000000-0004-0000-0300-0000CF020000}"/>
    <hyperlink ref="G150" r:id="rId721" xr:uid="{00000000-0004-0000-0300-0000D0020000}"/>
    <hyperlink ref="H150" r:id="rId722" xr:uid="{00000000-0004-0000-0300-0000D1020000}"/>
    <hyperlink ref="C151" r:id="rId723" xr:uid="{00000000-0004-0000-0300-0000D2020000}"/>
    <hyperlink ref="E151" r:id="rId724" xr:uid="{00000000-0004-0000-0300-0000D3020000}"/>
    <hyperlink ref="F151" r:id="rId725" xr:uid="{00000000-0004-0000-0300-0000D4020000}"/>
    <hyperlink ref="G151" r:id="rId726" xr:uid="{00000000-0004-0000-0300-0000D5020000}"/>
    <hyperlink ref="H151" r:id="rId727" xr:uid="{00000000-0004-0000-0300-0000D6020000}"/>
    <hyperlink ref="C152" r:id="rId728" xr:uid="{00000000-0004-0000-0300-0000D7020000}"/>
    <hyperlink ref="E152" r:id="rId729" xr:uid="{00000000-0004-0000-0300-0000D8020000}"/>
    <hyperlink ref="F152" r:id="rId730" xr:uid="{00000000-0004-0000-0300-0000D9020000}"/>
    <hyperlink ref="G152" r:id="rId731" xr:uid="{00000000-0004-0000-0300-0000DA020000}"/>
    <hyperlink ref="H152" r:id="rId732" xr:uid="{00000000-0004-0000-0300-0000DB020000}"/>
    <hyperlink ref="C153" r:id="rId733" xr:uid="{00000000-0004-0000-0300-0000DC020000}"/>
    <hyperlink ref="E153" r:id="rId734" xr:uid="{00000000-0004-0000-0300-0000DD020000}"/>
    <hyperlink ref="F153" r:id="rId735" xr:uid="{00000000-0004-0000-0300-0000DE020000}"/>
    <hyperlink ref="G153" r:id="rId736" xr:uid="{00000000-0004-0000-0300-0000DF020000}"/>
    <hyperlink ref="H153" r:id="rId737" xr:uid="{00000000-0004-0000-0300-0000E0020000}"/>
    <hyperlink ref="C154" r:id="rId738" xr:uid="{00000000-0004-0000-0300-0000E1020000}"/>
    <hyperlink ref="E154" r:id="rId739" xr:uid="{00000000-0004-0000-0300-0000E2020000}"/>
    <hyperlink ref="F154" r:id="rId740" xr:uid="{00000000-0004-0000-0300-0000E3020000}"/>
    <hyperlink ref="G154" r:id="rId741" xr:uid="{00000000-0004-0000-0300-0000E4020000}"/>
    <hyperlink ref="H154" r:id="rId742" xr:uid="{00000000-0004-0000-0300-0000E5020000}"/>
    <hyperlink ref="C155" r:id="rId743" xr:uid="{00000000-0004-0000-0300-0000E6020000}"/>
    <hyperlink ref="E155" r:id="rId744" xr:uid="{00000000-0004-0000-0300-0000E7020000}"/>
    <hyperlink ref="F155" r:id="rId745" xr:uid="{00000000-0004-0000-0300-0000E8020000}"/>
    <hyperlink ref="G155" r:id="rId746" xr:uid="{00000000-0004-0000-0300-0000E9020000}"/>
    <hyperlink ref="H155" r:id="rId747" xr:uid="{00000000-0004-0000-0300-0000EA020000}"/>
    <hyperlink ref="C156" r:id="rId748" xr:uid="{00000000-0004-0000-0300-0000EB020000}"/>
    <hyperlink ref="E156" r:id="rId749" xr:uid="{00000000-0004-0000-0300-0000EC020000}"/>
    <hyperlink ref="F156" r:id="rId750" xr:uid="{00000000-0004-0000-0300-0000ED020000}"/>
    <hyperlink ref="G156" r:id="rId751" xr:uid="{00000000-0004-0000-0300-0000EE020000}"/>
    <hyperlink ref="H156" r:id="rId752" xr:uid="{00000000-0004-0000-0300-0000EF020000}"/>
    <hyperlink ref="C157" r:id="rId753" xr:uid="{00000000-0004-0000-0300-0000F0020000}"/>
    <hyperlink ref="E157" r:id="rId754" xr:uid="{00000000-0004-0000-0300-0000F1020000}"/>
    <hyperlink ref="F157" r:id="rId755" xr:uid="{00000000-0004-0000-0300-0000F2020000}"/>
    <hyperlink ref="G157" r:id="rId756" xr:uid="{00000000-0004-0000-0300-0000F3020000}"/>
    <hyperlink ref="H157" r:id="rId757" xr:uid="{00000000-0004-0000-0300-0000F4020000}"/>
    <hyperlink ref="C158" r:id="rId758" xr:uid="{00000000-0004-0000-0300-0000F5020000}"/>
    <hyperlink ref="E158" r:id="rId759" xr:uid="{00000000-0004-0000-0300-0000F6020000}"/>
    <hyperlink ref="F158" r:id="rId760" xr:uid="{00000000-0004-0000-0300-0000F7020000}"/>
    <hyperlink ref="G158" r:id="rId761" xr:uid="{00000000-0004-0000-0300-0000F8020000}"/>
    <hyperlink ref="H158" r:id="rId762" xr:uid="{00000000-0004-0000-0300-0000F9020000}"/>
    <hyperlink ref="C159" r:id="rId763" xr:uid="{00000000-0004-0000-0300-0000FA020000}"/>
    <hyperlink ref="E159" r:id="rId764" xr:uid="{00000000-0004-0000-0300-0000FB020000}"/>
    <hyperlink ref="F159" r:id="rId765" xr:uid="{00000000-0004-0000-0300-0000FC020000}"/>
    <hyperlink ref="G159" r:id="rId766" xr:uid="{00000000-0004-0000-0300-0000FD020000}"/>
    <hyperlink ref="H159" r:id="rId767" xr:uid="{00000000-0004-0000-0300-0000FE020000}"/>
    <hyperlink ref="C160" r:id="rId768" xr:uid="{00000000-0004-0000-0300-0000FF020000}"/>
    <hyperlink ref="E160" r:id="rId769" xr:uid="{00000000-0004-0000-0300-000000030000}"/>
    <hyperlink ref="F160" r:id="rId770" xr:uid="{00000000-0004-0000-0300-000001030000}"/>
    <hyperlink ref="G160" r:id="rId771" xr:uid="{00000000-0004-0000-0300-000002030000}"/>
    <hyperlink ref="H160" r:id="rId772" xr:uid="{00000000-0004-0000-0300-000003030000}"/>
    <hyperlink ref="C161" r:id="rId773" xr:uid="{00000000-0004-0000-0300-000004030000}"/>
    <hyperlink ref="E161" r:id="rId774" xr:uid="{00000000-0004-0000-0300-000005030000}"/>
    <hyperlink ref="F161" r:id="rId775" xr:uid="{00000000-0004-0000-0300-000006030000}"/>
    <hyperlink ref="G161" r:id="rId776" xr:uid="{00000000-0004-0000-0300-000007030000}"/>
    <hyperlink ref="H161" r:id="rId777" xr:uid="{00000000-0004-0000-0300-000008030000}"/>
    <hyperlink ref="C162" r:id="rId778" xr:uid="{00000000-0004-0000-0300-000009030000}"/>
    <hyperlink ref="E162" r:id="rId779" xr:uid="{00000000-0004-0000-0300-00000A030000}"/>
    <hyperlink ref="F162" r:id="rId780" xr:uid="{00000000-0004-0000-0300-00000B030000}"/>
    <hyperlink ref="G162" r:id="rId781" xr:uid="{00000000-0004-0000-0300-00000C030000}"/>
    <hyperlink ref="H162" r:id="rId782" xr:uid="{00000000-0004-0000-0300-00000D030000}"/>
    <hyperlink ref="C163" r:id="rId783" xr:uid="{00000000-0004-0000-0300-00000E030000}"/>
    <hyperlink ref="E163" r:id="rId784" xr:uid="{00000000-0004-0000-0300-00000F030000}"/>
    <hyperlink ref="F163" r:id="rId785" xr:uid="{00000000-0004-0000-0300-000010030000}"/>
    <hyperlink ref="G163" r:id="rId786" xr:uid="{00000000-0004-0000-0300-000011030000}"/>
    <hyperlink ref="H163" r:id="rId787" xr:uid="{00000000-0004-0000-0300-000012030000}"/>
    <hyperlink ref="C164" r:id="rId788" xr:uid="{00000000-0004-0000-0300-000013030000}"/>
    <hyperlink ref="E164" r:id="rId789" xr:uid="{00000000-0004-0000-0300-000014030000}"/>
    <hyperlink ref="F164" r:id="rId790" xr:uid="{00000000-0004-0000-0300-000015030000}"/>
    <hyperlink ref="G164" r:id="rId791" xr:uid="{00000000-0004-0000-0300-000016030000}"/>
    <hyperlink ref="H164" r:id="rId792" xr:uid="{00000000-0004-0000-0300-000017030000}"/>
    <hyperlink ref="C165" r:id="rId793" xr:uid="{00000000-0004-0000-0300-000018030000}"/>
    <hyperlink ref="E165" r:id="rId794" xr:uid="{00000000-0004-0000-0300-000019030000}"/>
    <hyperlink ref="F165" r:id="rId795" xr:uid="{00000000-0004-0000-0300-00001A030000}"/>
    <hyperlink ref="G165" r:id="rId796" xr:uid="{00000000-0004-0000-0300-00001B030000}"/>
    <hyperlink ref="H165" r:id="rId797" xr:uid="{00000000-0004-0000-0300-00001C030000}"/>
    <hyperlink ref="C166" r:id="rId798" xr:uid="{00000000-0004-0000-0300-00001D030000}"/>
    <hyperlink ref="E166" r:id="rId799" xr:uid="{00000000-0004-0000-0300-00001E030000}"/>
    <hyperlink ref="F166" r:id="rId800" xr:uid="{00000000-0004-0000-0300-00001F030000}"/>
    <hyperlink ref="G166" r:id="rId801" xr:uid="{00000000-0004-0000-0300-000020030000}"/>
    <hyperlink ref="H166" r:id="rId802" xr:uid="{00000000-0004-0000-0300-000021030000}"/>
    <hyperlink ref="C167" r:id="rId803" xr:uid="{00000000-0004-0000-0300-000022030000}"/>
    <hyperlink ref="E167" r:id="rId804" xr:uid="{00000000-0004-0000-0300-000023030000}"/>
    <hyperlink ref="F167" r:id="rId805" xr:uid="{00000000-0004-0000-0300-000024030000}"/>
    <hyperlink ref="G167" r:id="rId806" xr:uid="{00000000-0004-0000-0300-000025030000}"/>
    <hyperlink ref="H167" r:id="rId807" xr:uid="{00000000-0004-0000-0300-000026030000}"/>
    <hyperlink ref="C168" r:id="rId808" xr:uid="{00000000-0004-0000-0300-000027030000}"/>
    <hyperlink ref="E168" r:id="rId809" xr:uid="{00000000-0004-0000-0300-000028030000}"/>
    <hyperlink ref="F168" r:id="rId810" xr:uid="{00000000-0004-0000-0300-000029030000}"/>
    <hyperlink ref="G168" r:id="rId811" xr:uid="{00000000-0004-0000-0300-00002A030000}"/>
    <hyperlink ref="H168" r:id="rId812" xr:uid="{00000000-0004-0000-0300-00002B030000}"/>
    <hyperlink ref="C169" r:id="rId813" xr:uid="{00000000-0004-0000-0300-00002C030000}"/>
    <hyperlink ref="E169" r:id="rId814" xr:uid="{00000000-0004-0000-0300-00002D030000}"/>
    <hyperlink ref="F169" r:id="rId815" xr:uid="{00000000-0004-0000-0300-00002E030000}"/>
    <hyperlink ref="G169" r:id="rId816" xr:uid="{00000000-0004-0000-0300-00002F030000}"/>
    <hyperlink ref="H169" r:id="rId817" xr:uid="{00000000-0004-0000-0300-000030030000}"/>
    <hyperlink ref="C170" r:id="rId818" xr:uid="{00000000-0004-0000-0300-000031030000}"/>
    <hyperlink ref="E170" r:id="rId819" xr:uid="{00000000-0004-0000-0300-000032030000}"/>
    <hyperlink ref="G170" r:id="rId820" xr:uid="{00000000-0004-0000-0300-000033030000}"/>
    <hyperlink ref="H170" r:id="rId821" xr:uid="{00000000-0004-0000-0300-000034030000}"/>
    <hyperlink ref="C171" r:id="rId822" xr:uid="{00000000-0004-0000-0300-000035030000}"/>
    <hyperlink ref="E171" r:id="rId823" xr:uid="{00000000-0004-0000-0300-000036030000}"/>
    <hyperlink ref="F171" r:id="rId824" xr:uid="{00000000-0004-0000-0300-000037030000}"/>
    <hyperlink ref="G171" r:id="rId825" xr:uid="{00000000-0004-0000-0300-000038030000}"/>
    <hyperlink ref="H171" r:id="rId826" xr:uid="{00000000-0004-0000-0300-000039030000}"/>
    <hyperlink ref="C172" r:id="rId827" xr:uid="{00000000-0004-0000-0300-00003A030000}"/>
    <hyperlink ref="E172" r:id="rId828" xr:uid="{00000000-0004-0000-0300-00003B030000}"/>
    <hyperlink ref="F172" r:id="rId829" xr:uid="{00000000-0004-0000-0300-00003C030000}"/>
    <hyperlink ref="G172" r:id="rId830" xr:uid="{00000000-0004-0000-0300-00003D030000}"/>
    <hyperlink ref="H172" r:id="rId831" xr:uid="{00000000-0004-0000-0300-00003E030000}"/>
    <hyperlink ref="E173" r:id="rId832" xr:uid="{00000000-0004-0000-0300-00003F030000}"/>
    <hyperlink ref="F173" r:id="rId833" xr:uid="{00000000-0004-0000-0300-000040030000}"/>
    <hyperlink ref="G173" r:id="rId834" xr:uid="{00000000-0004-0000-0300-000041030000}"/>
    <hyperlink ref="H173" r:id="rId835" xr:uid="{00000000-0004-0000-0300-000042030000}"/>
    <hyperlink ref="C174" r:id="rId836" xr:uid="{00000000-0004-0000-0300-000043030000}"/>
    <hyperlink ref="E174" r:id="rId837" xr:uid="{00000000-0004-0000-0300-000044030000}"/>
    <hyperlink ref="G174" r:id="rId838" xr:uid="{00000000-0004-0000-0300-000045030000}"/>
    <hyperlink ref="H174" r:id="rId839" xr:uid="{00000000-0004-0000-0300-000046030000}"/>
    <hyperlink ref="C175" r:id="rId840" xr:uid="{00000000-0004-0000-0300-000047030000}"/>
    <hyperlink ref="E175" r:id="rId841" xr:uid="{00000000-0004-0000-0300-000048030000}"/>
    <hyperlink ref="G175" r:id="rId842" xr:uid="{00000000-0004-0000-0300-000049030000}"/>
    <hyperlink ref="H175" r:id="rId843" xr:uid="{00000000-0004-0000-0300-00004A030000}"/>
    <hyperlink ref="C176" r:id="rId844" xr:uid="{00000000-0004-0000-0300-00004B030000}"/>
    <hyperlink ref="E176" r:id="rId845" xr:uid="{00000000-0004-0000-0300-00004C030000}"/>
    <hyperlink ref="F176" r:id="rId846" xr:uid="{00000000-0004-0000-0300-00004D030000}"/>
    <hyperlink ref="G176" r:id="rId847" xr:uid="{00000000-0004-0000-0300-00004E030000}"/>
    <hyperlink ref="H176" r:id="rId848" xr:uid="{00000000-0004-0000-0300-00004F030000}"/>
    <hyperlink ref="C177" r:id="rId849" xr:uid="{00000000-0004-0000-0300-000050030000}"/>
    <hyperlink ref="E177" r:id="rId850" xr:uid="{00000000-0004-0000-0300-000051030000}"/>
    <hyperlink ref="G177" r:id="rId851" xr:uid="{00000000-0004-0000-0300-000052030000}"/>
    <hyperlink ref="H177" r:id="rId852" xr:uid="{00000000-0004-0000-0300-000053030000}"/>
    <hyperlink ref="C178" r:id="rId853" xr:uid="{00000000-0004-0000-0300-000054030000}"/>
    <hyperlink ref="E178" r:id="rId854" xr:uid="{00000000-0004-0000-0300-000055030000}"/>
    <hyperlink ref="G178" r:id="rId855" xr:uid="{00000000-0004-0000-0300-000056030000}"/>
    <hyperlink ref="H178" r:id="rId856" xr:uid="{00000000-0004-0000-0300-000057030000}"/>
    <hyperlink ref="C179" r:id="rId857" xr:uid="{00000000-0004-0000-0300-000058030000}"/>
    <hyperlink ref="E179" r:id="rId858" xr:uid="{00000000-0004-0000-0300-000059030000}"/>
    <hyperlink ref="G179" r:id="rId859" xr:uid="{00000000-0004-0000-0300-00005A030000}"/>
    <hyperlink ref="H179" r:id="rId860" xr:uid="{00000000-0004-0000-0300-00005B030000}"/>
    <hyperlink ref="C180" r:id="rId861" xr:uid="{00000000-0004-0000-0300-00005C030000}"/>
    <hyperlink ref="E180" r:id="rId862" xr:uid="{00000000-0004-0000-0300-00005D030000}"/>
    <hyperlink ref="G180" r:id="rId863" xr:uid="{00000000-0004-0000-0300-00005E030000}"/>
    <hyperlink ref="H180" r:id="rId864" xr:uid="{00000000-0004-0000-0300-00005F030000}"/>
    <hyperlink ref="C181" r:id="rId865" xr:uid="{00000000-0004-0000-0300-000060030000}"/>
    <hyperlink ref="E181" r:id="rId866" xr:uid="{00000000-0004-0000-0300-000061030000}"/>
    <hyperlink ref="G181" r:id="rId867" xr:uid="{00000000-0004-0000-0300-000062030000}"/>
    <hyperlink ref="H181" r:id="rId868" xr:uid="{00000000-0004-0000-0300-000063030000}"/>
    <hyperlink ref="C182" r:id="rId869" xr:uid="{00000000-0004-0000-0300-000064030000}"/>
    <hyperlink ref="E182" r:id="rId870" xr:uid="{00000000-0004-0000-0300-000065030000}"/>
    <hyperlink ref="F182" r:id="rId871" xr:uid="{00000000-0004-0000-0300-000066030000}"/>
    <hyperlink ref="G182" r:id="rId872" xr:uid="{00000000-0004-0000-0300-000067030000}"/>
    <hyperlink ref="H182" r:id="rId873" xr:uid="{00000000-0004-0000-0300-000068030000}"/>
    <hyperlink ref="C183" r:id="rId874" xr:uid="{00000000-0004-0000-0300-000069030000}"/>
    <hyperlink ref="E183" r:id="rId875" xr:uid="{00000000-0004-0000-0300-00006A030000}"/>
    <hyperlink ref="F183" r:id="rId876" xr:uid="{00000000-0004-0000-0300-00006B030000}"/>
    <hyperlink ref="G183" r:id="rId877" xr:uid="{00000000-0004-0000-0300-00006C030000}"/>
    <hyperlink ref="H183" r:id="rId878" xr:uid="{00000000-0004-0000-0300-00006D030000}"/>
    <hyperlink ref="C184" r:id="rId879" xr:uid="{00000000-0004-0000-0300-00006E030000}"/>
    <hyperlink ref="E184" r:id="rId880" xr:uid="{00000000-0004-0000-0300-00006F030000}"/>
    <hyperlink ref="F184" r:id="rId881" xr:uid="{00000000-0004-0000-0300-000070030000}"/>
    <hyperlink ref="G184" r:id="rId882" xr:uid="{00000000-0004-0000-0300-000071030000}"/>
    <hyperlink ref="H184" r:id="rId883" xr:uid="{00000000-0004-0000-0300-000072030000}"/>
    <hyperlink ref="C185" r:id="rId884" xr:uid="{00000000-0004-0000-0300-000073030000}"/>
    <hyperlink ref="E185" r:id="rId885" xr:uid="{00000000-0004-0000-0300-000074030000}"/>
    <hyperlink ref="F185" r:id="rId886" xr:uid="{00000000-0004-0000-0300-000075030000}"/>
    <hyperlink ref="G185" r:id="rId887" xr:uid="{00000000-0004-0000-0300-000076030000}"/>
    <hyperlink ref="H185" r:id="rId888" xr:uid="{00000000-0004-0000-0300-000077030000}"/>
    <hyperlink ref="C186" r:id="rId889" xr:uid="{00000000-0004-0000-0300-000078030000}"/>
    <hyperlink ref="E186" r:id="rId890" xr:uid="{00000000-0004-0000-0300-000079030000}"/>
    <hyperlink ref="F186" r:id="rId891" xr:uid="{00000000-0004-0000-0300-00007A030000}"/>
    <hyperlink ref="G186" r:id="rId892" xr:uid="{00000000-0004-0000-0300-00007B030000}"/>
    <hyperlink ref="H186" r:id="rId893" xr:uid="{00000000-0004-0000-0300-00007C030000}"/>
    <hyperlink ref="C187" r:id="rId894" xr:uid="{00000000-0004-0000-0300-00007D030000}"/>
    <hyperlink ref="E187" r:id="rId895" xr:uid="{00000000-0004-0000-0300-00007E030000}"/>
    <hyperlink ref="F187" r:id="rId896" xr:uid="{00000000-0004-0000-0300-00007F030000}"/>
    <hyperlink ref="G187" r:id="rId897" xr:uid="{00000000-0004-0000-0300-000080030000}"/>
    <hyperlink ref="H187" r:id="rId898" xr:uid="{00000000-0004-0000-0300-000081030000}"/>
    <hyperlink ref="C188" r:id="rId899" xr:uid="{00000000-0004-0000-0300-000082030000}"/>
    <hyperlink ref="E188" r:id="rId900" xr:uid="{00000000-0004-0000-0300-000083030000}"/>
    <hyperlink ref="G188" r:id="rId901" xr:uid="{00000000-0004-0000-0300-000084030000}"/>
    <hyperlink ref="H188" r:id="rId902" xr:uid="{00000000-0004-0000-0300-000085030000}"/>
    <hyperlink ref="C189" r:id="rId903" xr:uid="{00000000-0004-0000-0300-000086030000}"/>
    <hyperlink ref="E189" r:id="rId904" xr:uid="{00000000-0004-0000-0300-000087030000}"/>
    <hyperlink ref="F189" r:id="rId905" xr:uid="{00000000-0004-0000-0300-000088030000}"/>
    <hyperlink ref="G189" r:id="rId906" xr:uid="{00000000-0004-0000-0300-000089030000}"/>
    <hyperlink ref="H189" r:id="rId907" xr:uid="{00000000-0004-0000-0300-00008A030000}"/>
    <hyperlink ref="C190" r:id="rId908" xr:uid="{00000000-0004-0000-0300-00008B030000}"/>
    <hyperlink ref="E190" r:id="rId909" xr:uid="{00000000-0004-0000-0300-00008C030000}"/>
    <hyperlink ref="F190" r:id="rId910" xr:uid="{00000000-0004-0000-0300-00008D030000}"/>
    <hyperlink ref="G190" r:id="rId911" xr:uid="{00000000-0004-0000-0300-00008E030000}"/>
    <hyperlink ref="H190" r:id="rId912" xr:uid="{00000000-0004-0000-0300-00008F030000}"/>
    <hyperlink ref="E191" r:id="rId913" xr:uid="{00000000-0004-0000-0300-000090030000}"/>
    <hyperlink ref="F191" r:id="rId914" xr:uid="{00000000-0004-0000-0300-000091030000}"/>
    <hyperlink ref="G191" r:id="rId915" xr:uid="{00000000-0004-0000-0300-000092030000}"/>
    <hyperlink ref="H191" r:id="rId916" xr:uid="{00000000-0004-0000-0300-000093030000}"/>
    <hyperlink ref="C192" r:id="rId917" xr:uid="{00000000-0004-0000-0300-000094030000}"/>
    <hyperlink ref="E192" r:id="rId918" xr:uid="{00000000-0004-0000-0300-000095030000}"/>
    <hyperlink ref="F192" r:id="rId919" xr:uid="{00000000-0004-0000-0300-000096030000}"/>
    <hyperlink ref="G192" r:id="rId920" xr:uid="{00000000-0004-0000-0300-000097030000}"/>
    <hyperlink ref="H192" r:id="rId921" xr:uid="{00000000-0004-0000-0300-000098030000}"/>
    <hyperlink ref="C193" r:id="rId922" xr:uid="{00000000-0004-0000-0300-000099030000}"/>
    <hyperlink ref="E193" r:id="rId923" xr:uid="{00000000-0004-0000-0300-00009A030000}"/>
    <hyperlink ref="F193" r:id="rId924" xr:uid="{00000000-0004-0000-0300-00009B030000}"/>
    <hyperlink ref="G193" r:id="rId925" xr:uid="{00000000-0004-0000-0300-00009C030000}"/>
    <hyperlink ref="H193" r:id="rId926" xr:uid="{00000000-0004-0000-0300-00009D030000}"/>
    <hyperlink ref="E194" r:id="rId927" xr:uid="{00000000-0004-0000-0300-00009E030000}"/>
    <hyperlink ref="F194" r:id="rId928" xr:uid="{00000000-0004-0000-0300-00009F030000}"/>
    <hyperlink ref="G194" r:id="rId929" xr:uid="{00000000-0004-0000-0300-0000A0030000}"/>
    <hyperlink ref="H194" r:id="rId930" xr:uid="{00000000-0004-0000-0300-0000A1030000}"/>
    <hyperlink ref="E195" r:id="rId931" xr:uid="{00000000-0004-0000-0300-0000A2030000}"/>
    <hyperlink ref="F195" r:id="rId932" xr:uid="{00000000-0004-0000-0300-0000A3030000}"/>
    <hyperlink ref="G195" r:id="rId933" xr:uid="{00000000-0004-0000-0300-0000A4030000}"/>
    <hyperlink ref="H195" r:id="rId934" xr:uid="{00000000-0004-0000-0300-0000A5030000}"/>
    <hyperlink ref="E196" r:id="rId935" xr:uid="{00000000-0004-0000-0300-0000A6030000}"/>
    <hyperlink ref="F196" r:id="rId936" xr:uid="{00000000-0004-0000-0300-0000A7030000}"/>
    <hyperlink ref="G196" r:id="rId937" xr:uid="{00000000-0004-0000-0300-0000A8030000}"/>
    <hyperlink ref="H196" r:id="rId938" xr:uid="{00000000-0004-0000-0300-0000A9030000}"/>
    <hyperlink ref="E197" r:id="rId939" xr:uid="{00000000-0004-0000-0300-0000AA030000}"/>
    <hyperlink ref="F197" r:id="rId940" xr:uid="{00000000-0004-0000-0300-0000AB030000}"/>
    <hyperlink ref="G197" r:id="rId941" xr:uid="{00000000-0004-0000-0300-0000AC030000}"/>
    <hyperlink ref="H197" r:id="rId942" xr:uid="{00000000-0004-0000-0300-0000AD030000}"/>
    <hyperlink ref="E198" r:id="rId943" xr:uid="{00000000-0004-0000-0300-0000AE030000}"/>
    <hyperlink ref="F198" r:id="rId944" xr:uid="{00000000-0004-0000-0300-0000AF030000}"/>
    <hyperlink ref="G198" r:id="rId945" xr:uid="{00000000-0004-0000-0300-0000B0030000}"/>
    <hyperlink ref="H198" r:id="rId946" xr:uid="{00000000-0004-0000-0300-0000B1030000}"/>
    <hyperlink ref="E199" r:id="rId947" xr:uid="{00000000-0004-0000-0300-0000B2030000}"/>
    <hyperlink ref="F199" r:id="rId948" xr:uid="{00000000-0004-0000-0300-0000B3030000}"/>
    <hyperlink ref="G199" r:id="rId949" xr:uid="{00000000-0004-0000-0300-0000B4030000}"/>
    <hyperlink ref="H199" r:id="rId950" xr:uid="{00000000-0004-0000-0300-0000B5030000}"/>
    <hyperlink ref="C200" r:id="rId951" xr:uid="{00000000-0004-0000-0300-0000B6030000}"/>
    <hyperlink ref="E200" r:id="rId952" xr:uid="{00000000-0004-0000-0300-0000B7030000}"/>
    <hyperlink ref="F200" r:id="rId953" xr:uid="{00000000-0004-0000-0300-0000B8030000}"/>
    <hyperlink ref="G200" r:id="rId954" xr:uid="{00000000-0004-0000-0300-0000B9030000}"/>
    <hyperlink ref="H200" r:id="rId955" xr:uid="{00000000-0004-0000-0300-0000BA030000}"/>
    <hyperlink ref="C201" r:id="rId956" xr:uid="{00000000-0004-0000-0300-0000BB030000}"/>
    <hyperlink ref="E201" r:id="rId957" xr:uid="{00000000-0004-0000-0300-0000BC030000}"/>
    <hyperlink ref="F201" r:id="rId958" xr:uid="{00000000-0004-0000-0300-0000BD030000}"/>
    <hyperlink ref="G201" r:id="rId959" xr:uid="{00000000-0004-0000-0300-0000BE030000}"/>
    <hyperlink ref="H201" r:id="rId960" xr:uid="{00000000-0004-0000-0300-0000BF030000}"/>
    <hyperlink ref="C202" r:id="rId961" xr:uid="{00000000-0004-0000-0300-0000C0030000}"/>
    <hyperlink ref="E202" r:id="rId962" xr:uid="{00000000-0004-0000-0300-0000C1030000}"/>
    <hyperlink ref="F202" r:id="rId963" xr:uid="{00000000-0004-0000-0300-0000C2030000}"/>
    <hyperlink ref="G202" r:id="rId964" xr:uid="{00000000-0004-0000-0300-0000C3030000}"/>
    <hyperlink ref="H202" r:id="rId965" xr:uid="{00000000-0004-0000-0300-0000C4030000}"/>
    <hyperlink ref="C203" r:id="rId966" xr:uid="{00000000-0004-0000-0300-0000C5030000}"/>
    <hyperlink ref="E203" r:id="rId967" xr:uid="{00000000-0004-0000-0300-0000C6030000}"/>
    <hyperlink ref="F203" r:id="rId968" xr:uid="{00000000-0004-0000-0300-0000C7030000}"/>
    <hyperlink ref="G203" r:id="rId969" xr:uid="{00000000-0004-0000-0300-0000C8030000}"/>
    <hyperlink ref="H203" r:id="rId970" xr:uid="{00000000-0004-0000-0300-0000C9030000}"/>
    <hyperlink ref="C204" r:id="rId971" xr:uid="{00000000-0004-0000-0300-0000CA030000}"/>
    <hyperlink ref="E204" r:id="rId972" xr:uid="{00000000-0004-0000-0300-0000CB030000}"/>
    <hyperlink ref="F204" r:id="rId973" xr:uid="{00000000-0004-0000-0300-0000CC030000}"/>
    <hyperlink ref="G204" r:id="rId974" xr:uid="{00000000-0004-0000-0300-0000CD030000}"/>
    <hyperlink ref="H204" r:id="rId975" xr:uid="{00000000-0004-0000-0300-0000CE030000}"/>
    <hyperlink ref="C205" r:id="rId976" xr:uid="{00000000-0004-0000-0300-0000CF030000}"/>
    <hyperlink ref="E205" r:id="rId977" xr:uid="{00000000-0004-0000-0300-0000D0030000}"/>
    <hyperlink ref="F205" r:id="rId978" xr:uid="{00000000-0004-0000-0300-0000D1030000}"/>
    <hyperlink ref="G205" r:id="rId979" xr:uid="{00000000-0004-0000-0300-0000D2030000}"/>
    <hyperlink ref="H205" r:id="rId980" xr:uid="{00000000-0004-0000-0300-0000D3030000}"/>
    <hyperlink ref="C206" r:id="rId981" xr:uid="{00000000-0004-0000-0300-0000D4030000}"/>
    <hyperlink ref="E206" r:id="rId982" xr:uid="{00000000-0004-0000-0300-0000D5030000}"/>
    <hyperlink ref="F206" r:id="rId983" xr:uid="{00000000-0004-0000-0300-0000D6030000}"/>
    <hyperlink ref="G206" r:id="rId984" xr:uid="{00000000-0004-0000-0300-0000D7030000}"/>
    <hyperlink ref="H206" r:id="rId985" xr:uid="{00000000-0004-0000-0300-0000D8030000}"/>
    <hyperlink ref="C207" r:id="rId986" xr:uid="{00000000-0004-0000-0300-0000D9030000}"/>
    <hyperlink ref="E207" r:id="rId987" xr:uid="{00000000-0004-0000-0300-0000DA030000}"/>
    <hyperlink ref="F207" r:id="rId988" xr:uid="{00000000-0004-0000-0300-0000DB030000}"/>
    <hyperlink ref="G207" r:id="rId989" xr:uid="{00000000-0004-0000-0300-0000DC030000}"/>
    <hyperlink ref="H207" r:id="rId990" xr:uid="{00000000-0004-0000-0300-0000DD030000}"/>
    <hyperlink ref="E208" r:id="rId991" xr:uid="{00000000-0004-0000-0300-0000DE030000}"/>
    <hyperlink ref="F208" r:id="rId992" xr:uid="{00000000-0004-0000-0300-0000DF030000}"/>
    <hyperlink ref="G208" r:id="rId993" xr:uid="{00000000-0004-0000-0300-0000E0030000}"/>
    <hyperlink ref="H208" r:id="rId994" xr:uid="{00000000-0004-0000-0300-0000E1030000}"/>
    <hyperlink ref="C209" r:id="rId995" xr:uid="{00000000-0004-0000-0300-0000E2030000}"/>
    <hyperlink ref="E209" r:id="rId996" xr:uid="{00000000-0004-0000-0300-0000E3030000}"/>
    <hyperlink ref="F209" r:id="rId997" xr:uid="{00000000-0004-0000-0300-0000E4030000}"/>
    <hyperlink ref="G209" r:id="rId998" xr:uid="{00000000-0004-0000-0300-0000E5030000}"/>
    <hyperlink ref="H209" r:id="rId999" xr:uid="{00000000-0004-0000-0300-0000E6030000}"/>
    <hyperlink ref="C210" r:id="rId1000" xr:uid="{00000000-0004-0000-0300-0000E7030000}"/>
    <hyperlink ref="E210" r:id="rId1001" xr:uid="{00000000-0004-0000-0300-0000E8030000}"/>
    <hyperlink ref="F210" r:id="rId1002" xr:uid="{00000000-0004-0000-0300-0000E9030000}"/>
    <hyperlink ref="G210" r:id="rId1003" xr:uid="{00000000-0004-0000-0300-0000EA030000}"/>
    <hyperlink ref="H210" r:id="rId1004" xr:uid="{00000000-0004-0000-0300-0000EB030000}"/>
    <hyperlink ref="C211" r:id="rId1005" xr:uid="{00000000-0004-0000-0300-0000EC030000}"/>
    <hyperlink ref="E211" r:id="rId1006" xr:uid="{00000000-0004-0000-0300-0000ED030000}"/>
    <hyperlink ref="F211" r:id="rId1007" xr:uid="{00000000-0004-0000-0300-0000EE030000}"/>
    <hyperlink ref="G211" r:id="rId1008" xr:uid="{00000000-0004-0000-0300-0000EF030000}"/>
    <hyperlink ref="H211" r:id="rId1009" xr:uid="{00000000-0004-0000-0300-0000F0030000}"/>
    <hyperlink ref="C212" r:id="rId1010" xr:uid="{00000000-0004-0000-0300-0000F1030000}"/>
    <hyperlink ref="E212" r:id="rId1011" xr:uid="{00000000-0004-0000-0300-0000F2030000}"/>
    <hyperlink ref="F212" r:id="rId1012" xr:uid="{00000000-0004-0000-0300-0000F3030000}"/>
    <hyperlink ref="G212" r:id="rId1013" xr:uid="{00000000-0004-0000-0300-0000F4030000}"/>
    <hyperlink ref="H212" r:id="rId1014" xr:uid="{00000000-0004-0000-0300-0000F5030000}"/>
    <hyperlink ref="C213" r:id="rId1015" xr:uid="{00000000-0004-0000-0300-0000F6030000}"/>
    <hyperlink ref="E213" r:id="rId1016" xr:uid="{00000000-0004-0000-0300-0000F7030000}"/>
    <hyperlink ref="F213" r:id="rId1017" xr:uid="{00000000-0004-0000-0300-0000F8030000}"/>
    <hyperlink ref="G213" r:id="rId1018" xr:uid="{00000000-0004-0000-0300-0000F9030000}"/>
    <hyperlink ref="H213" r:id="rId1019" xr:uid="{00000000-0004-0000-0300-0000FA030000}"/>
    <hyperlink ref="C214" r:id="rId1020" xr:uid="{00000000-0004-0000-0300-0000FB030000}"/>
    <hyperlink ref="E214" r:id="rId1021" xr:uid="{00000000-0004-0000-0300-0000FC030000}"/>
    <hyperlink ref="F214" r:id="rId1022" xr:uid="{00000000-0004-0000-0300-0000FD030000}"/>
    <hyperlink ref="G214" r:id="rId1023" xr:uid="{00000000-0004-0000-0300-0000FE030000}"/>
    <hyperlink ref="H214" r:id="rId1024" xr:uid="{00000000-0004-0000-0300-0000FF030000}"/>
    <hyperlink ref="C215" r:id="rId1025" xr:uid="{00000000-0004-0000-0300-000000040000}"/>
    <hyperlink ref="E215" r:id="rId1026" xr:uid="{00000000-0004-0000-0300-000001040000}"/>
    <hyperlink ref="F215" r:id="rId1027" xr:uid="{00000000-0004-0000-0300-000002040000}"/>
    <hyperlink ref="G215" r:id="rId1028" xr:uid="{00000000-0004-0000-0300-000003040000}"/>
    <hyperlink ref="H215" r:id="rId1029" xr:uid="{00000000-0004-0000-0300-000004040000}"/>
    <hyperlink ref="C216" r:id="rId1030" xr:uid="{00000000-0004-0000-0300-000005040000}"/>
    <hyperlink ref="E216" r:id="rId1031" xr:uid="{00000000-0004-0000-0300-000006040000}"/>
    <hyperlink ref="F216" r:id="rId1032" xr:uid="{00000000-0004-0000-0300-000007040000}"/>
    <hyperlink ref="G216" r:id="rId1033" xr:uid="{00000000-0004-0000-0300-000008040000}"/>
    <hyperlink ref="H216" r:id="rId1034" xr:uid="{00000000-0004-0000-0300-000009040000}"/>
    <hyperlink ref="C217" r:id="rId1035" xr:uid="{00000000-0004-0000-0300-00000A040000}"/>
    <hyperlink ref="E217" r:id="rId1036" xr:uid="{00000000-0004-0000-0300-00000B040000}"/>
    <hyperlink ref="F217" r:id="rId1037" xr:uid="{00000000-0004-0000-0300-00000C040000}"/>
    <hyperlink ref="G217" r:id="rId1038" xr:uid="{00000000-0004-0000-0300-00000D040000}"/>
    <hyperlink ref="H217" r:id="rId1039" xr:uid="{00000000-0004-0000-0300-00000E040000}"/>
    <hyperlink ref="C218" r:id="rId1040" xr:uid="{00000000-0004-0000-0300-00000F040000}"/>
    <hyperlink ref="E218" r:id="rId1041" xr:uid="{00000000-0004-0000-0300-000010040000}"/>
    <hyperlink ref="F218" r:id="rId1042" xr:uid="{00000000-0004-0000-0300-000011040000}"/>
    <hyperlink ref="G218" r:id="rId1043" xr:uid="{00000000-0004-0000-0300-000012040000}"/>
    <hyperlink ref="H218" r:id="rId1044" xr:uid="{00000000-0004-0000-0300-000013040000}"/>
    <hyperlink ref="C219" r:id="rId1045" xr:uid="{00000000-0004-0000-0300-000014040000}"/>
    <hyperlink ref="E219" r:id="rId1046" xr:uid="{00000000-0004-0000-0300-000015040000}"/>
    <hyperlink ref="F219" r:id="rId1047" xr:uid="{00000000-0004-0000-0300-000016040000}"/>
    <hyperlink ref="G219" r:id="rId1048" xr:uid="{00000000-0004-0000-0300-000017040000}"/>
    <hyperlink ref="H219" r:id="rId1049" xr:uid="{00000000-0004-0000-0300-000018040000}"/>
    <hyperlink ref="C220" r:id="rId1050" xr:uid="{00000000-0004-0000-0300-000019040000}"/>
    <hyperlink ref="E220" r:id="rId1051" xr:uid="{00000000-0004-0000-0300-00001A040000}"/>
    <hyperlink ref="F220" r:id="rId1052" xr:uid="{00000000-0004-0000-0300-00001B040000}"/>
    <hyperlink ref="G220" r:id="rId1053" xr:uid="{00000000-0004-0000-0300-00001C040000}"/>
    <hyperlink ref="H220" r:id="rId1054" xr:uid="{00000000-0004-0000-0300-00001D040000}"/>
    <hyperlink ref="C221" r:id="rId1055" xr:uid="{00000000-0004-0000-0300-00001E040000}"/>
    <hyperlink ref="E221" r:id="rId1056" xr:uid="{00000000-0004-0000-0300-00001F040000}"/>
    <hyperlink ref="F221" r:id="rId1057" xr:uid="{00000000-0004-0000-0300-000020040000}"/>
    <hyperlink ref="G221" r:id="rId1058" xr:uid="{00000000-0004-0000-0300-000021040000}"/>
    <hyperlink ref="H221" r:id="rId1059" xr:uid="{00000000-0004-0000-0300-000022040000}"/>
    <hyperlink ref="C222" r:id="rId1060" xr:uid="{00000000-0004-0000-0300-000023040000}"/>
    <hyperlink ref="E222" r:id="rId1061" xr:uid="{00000000-0004-0000-0300-000024040000}"/>
    <hyperlink ref="F222" r:id="rId1062" xr:uid="{00000000-0004-0000-0300-000025040000}"/>
    <hyperlink ref="G222" r:id="rId1063" xr:uid="{00000000-0004-0000-0300-000026040000}"/>
    <hyperlink ref="H222" r:id="rId1064" xr:uid="{00000000-0004-0000-0300-000027040000}"/>
    <hyperlink ref="C223" r:id="rId1065" xr:uid="{00000000-0004-0000-0300-000028040000}"/>
    <hyperlink ref="E223" r:id="rId1066" xr:uid="{00000000-0004-0000-0300-000029040000}"/>
    <hyperlink ref="F223" r:id="rId1067" xr:uid="{00000000-0004-0000-0300-00002A040000}"/>
    <hyperlink ref="G223" r:id="rId1068" xr:uid="{00000000-0004-0000-0300-00002B040000}"/>
    <hyperlink ref="H223" r:id="rId1069" xr:uid="{00000000-0004-0000-0300-00002C040000}"/>
    <hyperlink ref="C224" r:id="rId1070" xr:uid="{00000000-0004-0000-0300-00002D040000}"/>
    <hyperlink ref="E224" r:id="rId1071" xr:uid="{00000000-0004-0000-0300-00002E040000}"/>
    <hyperlink ref="F224" r:id="rId1072" xr:uid="{00000000-0004-0000-0300-00002F040000}"/>
    <hyperlink ref="G224" r:id="rId1073" xr:uid="{00000000-0004-0000-0300-000030040000}"/>
    <hyperlink ref="H224" r:id="rId1074" xr:uid="{00000000-0004-0000-0300-000031040000}"/>
    <hyperlink ref="C225" r:id="rId1075" xr:uid="{00000000-0004-0000-0300-000032040000}"/>
    <hyperlink ref="E225" r:id="rId1076" xr:uid="{00000000-0004-0000-0300-000033040000}"/>
    <hyperlink ref="F225" r:id="rId1077" xr:uid="{00000000-0004-0000-0300-000034040000}"/>
    <hyperlink ref="G225" r:id="rId1078" xr:uid="{00000000-0004-0000-0300-000035040000}"/>
    <hyperlink ref="H225" r:id="rId1079" xr:uid="{00000000-0004-0000-0300-000036040000}"/>
    <hyperlink ref="C226" r:id="rId1080" xr:uid="{00000000-0004-0000-0300-000037040000}"/>
    <hyperlink ref="E226" r:id="rId1081" xr:uid="{00000000-0004-0000-0300-000038040000}"/>
    <hyperlink ref="F226" r:id="rId1082" xr:uid="{00000000-0004-0000-0300-000039040000}"/>
    <hyperlink ref="G226" r:id="rId1083" xr:uid="{00000000-0004-0000-0300-00003A040000}"/>
    <hyperlink ref="H226" r:id="rId1084" xr:uid="{00000000-0004-0000-0300-00003B040000}"/>
    <hyperlink ref="C227" r:id="rId1085" xr:uid="{00000000-0004-0000-0300-00003C040000}"/>
    <hyperlink ref="E227" r:id="rId1086" xr:uid="{00000000-0004-0000-0300-00003D040000}"/>
    <hyperlink ref="F227" r:id="rId1087" xr:uid="{00000000-0004-0000-0300-00003E040000}"/>
    <hyperlink ref="G227" r:id="rId1088" xr:uid="{00000000-0004-0000-0300-00003F040000}"/>
    <hyperlink ref="H227" r:id="rId1089" xr:uid="{00000000-0004-0000-0300-000040040000}"/>
    <hyperlink ref="C228" r:id="rId1090" xr:uid="{00000000-0004-0000-0300-000041040000}"/>
    <hyperlink ref="E228" r:id="rId1091" xr:uid="{00000000-0004-0000-0300-000042040000}"/>
    <hyperlink ref="F228" r:id="rId1092" xr:uid="{00000000-0004-0000-0300-000043040000}"/>
    <hyperlink ref="G228" r:id="rId1093" xr:uid="{00000000-0004-0000-0300-000044040000}"/>
    <hyperlink ref="H228" r:id="rId1094" xr:uid="{00000000-0004-0000-0300-000045040000}"/>
    <hyperlink ref="C229" r:id="rId1095" xr:uid="{00000000-0004-0000-0300-000046040000}"/>
    <hyperlink ref="E229" r:id="rId1096" xr:uid="{00000000-0004-0000-0300-000047040000}"/>
    <hyperlink ref="F229" r:id="rId1097" xr:uid="{00000000-0004-0000-0300-000048040000}"/>
    <hyperlink ref="G229" r:id="rId1098" xr:uid="{00000000-0004-0000-0300-000049040000}"/>
    <hyperlink ref="H229" r:id="rId1099" xr:uid="{00000000-0004-0000-0300-00004A040000}"/>
    <hyperlink ref="C230" r:id="rId1100" xr:uid="{00000000-0004-0000-0300-00004B040000}"/>
    <hyperlink ref="E230" r:id="rId1101" xr:uid="{00000000-0004-0000-0300-00004C040000}"/>
    <hyperlink ref="F230" r:id="rId1102" xr:uid="{00000000-0004-0000-0300-00004D040000}"/>
    <hyperlink ref="G230" r:id="rId1103" xr:uid="{00000000-0004-0000-0300-00004E040000}"/>
    <hyperlink ref="H230" r:id="rId1104" xr:uid="{00000000-0004-0000-0300-00004F040000}"/>
    <hyperlink ref="C231" r:id="rId1105" xr:uid="{00000000-0004-0000-0300-000050040000}"/>
    <hyperlink ref="E231" r:id="rId1106" xr:uid="{00000000-0004-0000-0300-000051040000}"/>
    <hyperlink ref="F231" r:id="rId1107" xr:uid="{00000000-0004-0000-0300-000052040000}"/>
    <hyperlink ref="G231" r:id="rId1108" xr:uid="{00000000-0004-0000-0300-000053040000}"/>
    <hyperlink ref="H231" r:id="rId1109" xr:uid="{00000000-0004-0000-0300-000054040000}"/>
    <hyperlink ref="C232" r:id="rId1110" xr:uid="{00000000-0004-0000-0300-000055040000}"/>
    <hyperlink ref="E232" r:id="rId1111" xr:uid="{00000000-0004-0000-0300-000056040000}"/>
    <hyperlink ref="F232" r:id="rId1112" xr:uid="{00000000-0004-0000-0300-000057040000}"/>
    <hyperlink ref="G232" r:id="rId1113" xr:uid="{00000000-0004-0000-0300-000058040000}"/>
    <hyperlink ref="H232" r:id="rId1114" xr:uid="{00000000-0004-0000-0300-000059040000}"/>
    <hyperlink ref="C233" r:id="rId1115" xr:uid="{00000000-0004-0000-0300-00005A040000}"/>
    <hyperlink ref="E233" r:id="rId1116" xr:uid="{00000000-0004-0000-0300-00005B040000}"/>
    <hyperlink ref="F233" r:id="rId1117" xr:uid="{00000000-0004-0000-0300-00005C040000}"/>
    <hyperlink ref="G233" r:id="rId1118" xr:uid="{00000000-0004-0000-0300-00005D040000}"/>
    <hyperlink ref="H233" r:id="rId1119" xr:uid="{00000000-0004-0000-0300-00005E040000}"/>
    <hyperlink ref="C234" r:id="rId1120" xr:uid="{00000000-0004-0000-0300-00005F040000}"/>
    <hyperlink ref="E234" r:id="rId1121" xr:uid="{00000000-0004-0000-0300-000060040000}"/>
    <hyperlink ref="F234" r:id="rId1122" xr:uid="{00000000-0004-0000-0300-000061040000}"/>
    <hyperlink ref="G234" r:id="rId1123" xr:uid="{00000000-0004-0000-0300-000062040000}"/>
    <hyperlink ref="H234" r:id="rId1124" xr:uid="{00000000-0004-0000-0300-000063040000}"/>
    <hyperlink ref="C235" r:id="rId1125" xr:uid="{00000000-0004-0000-0300-000064040000}"/>
    <hyperlink ref="E235" r:id="rId1126" xr:uid="{00000000-0004-0000-0300-000065040000}"/>
    <hyperlink ref="F235" r:id="rId1127" xr:uid="{00000000-0004-0000-0300-000066040000}"/>
    <hyperlink ref="G235" r:id="rId1128" xr:uid="{00000000-0004-0000-0300-000067040000}"/>
    <hyperlink ref="H235" r:id="rId1129" xr:uid="{00000000-0004-0000-0300-000068040000}"/>
    <hyperlink ref="C236" r:id="rId1130" xr:uid="{00000000-0004-0000-0300-000069040000}"/>
    <hyperlink ref="E236" r:id="rId1131" xr:uid="{00000000-0004-0000-0300-00006A040000}"/>
    <hyperlink ref="F236" r:id="rId1132" xr:uid="{00000000-0004-0000-0300-00006B040000}"/>
    <hyperlink ref="G236" r:id="rId1133" xr:uid="{00000000-0004-0000-0300-00006C040000}"/>
    <hyperlink ref="H236" r:id="rId1134" xr:uid="{00000000-0004-0000-0300-00006D040000}"/>
    <hyperlink ref="C237" r:id="rId1135" xr:uid="{00000000-0004-0000-0300-00006E040000}"/>
    <hyperlink ref="E237" r:id="rId1136" xr:uid="{00000000-0004-0000-0300-00006F040000}"/>
    <hyperlink ref="F237" r:id="rId1137" xr:uid="{00000000-0004-0000-0300-000070040000}"/>
    <hyperlink ref="G237" r:id="rId1138" xr:uid="{00000000-0004-0000-0300-000071040000}"/>
    <hyperlink ref="H237" r:id="rId1139" xr:uid="{00000000-0004-0000-0300-000072040000}"/>
    <hyperlink ref="C238" r:id="rId1140" xr:uid="{00000000-0004-0000-0300-000073040000}"/>
    <hyperlink ref="E238" r:id="rId1141" xr:uid="{00000000-0004-0000-0300-000074040000}"/>
    <hyperlink ref="F238" r:id="rId1142" xr:uid="{00000000-0004-0000-0300-000075040000}"/>
    <hyperlink ref="G238" r:id="rId1143" xr:uid="{00000000-0004-0000-0300-000076040000}"/>
    <hyperlink ref="H238" r:id="rId1144" xr:uid="{00000000-0004-0000-0300-000077040000}"/>
    <hyperlink ref="C239" r:id="rId1145" xr:uid="{00000000-0004-0000-0300-000078040000}"/>
    <hyperlink ref="E239" r:id="rId1146" xr:uid="{00000000-0004-0000-0300-000079040000}"/>
    <hyperlink ref="F239" r:id="rId1147" xr:uid="{00000000-0004-0000-0300-00007A040000}"/>
    <hyperlink ref="G239" r:id="rId1148" xr:uid="{00000000-0004-0000-0300-00007B040000}"/>
    <hyperlink ref="H239" r:id="rId1149" xr:uid="{00000000-0004-0000-0300-00007C040000}"/>
    <hyperlink ref="C240" r:id="rId1150" xr:uid="{00000000-0004-0000-0300-00007D040000}"/>
    <hyperlink ref="E240" r:id="rId1151" xr:uid="{00000000-0004-0000-0300-00007E040000}"/>
    <hyperlink ref="F240" r:id="rId1152" xr:uid="{00000000-0004-0000-0300-00007F040000}"/>
    <hyperlink ref="G240" r:id="rId1153" xr:uid="{00000000-0004-0000-0300-000080040000}"/>
    <hyperlink ref="H240" r:id="rId1154" xr:uid="{00000000-0004-0000-0300-000081040000}"/>
    <hyperlink ref="C241" r:id="rId1155" xr:uid="{00000000-0004-0000-0300-000082040000}"/>
    <hyperlink ref="E241" r:id="rId1156" xr:uid="{00000000-0004-0000-0300-000083040000}"/>
    <hyperlink ref="F241" r:id="rId1157" xr:uid="{00000000-0004-0000-0300-000084040000}"/>
    <hyperlink ref="G241" r:id="rId1158" xr:uid="{00000000-0004-0000-0300-000085040000}"/>
    <hyperlink ref="H241" r:id="rId1159" xr:uid="{00000000-0004-0000-0300-000086040000}"/>
    <hyperlink ref="C242" r:id="rId1160" xr:uid="{00000000-0004-0000-0300-000087040000}"/>
    <hyperlink ref="E242" r:id="rId1161" xr:uid="{00000000-0004-0000-0300-000088040000}"/>
    <hyperlink ref="F242" r:id="rId1162" xr:uid="{00000000-0004-0000-0300-000089040000}"/>
    <hyperlink ref="G242" r:id="rId1163" xr:uid="{00000000-0004-0000-0300-00008A040000}"/>
    <hyperlink ref="H242" r:id="rId1164" xr:uid="{00000000-0004-0000-0300-00008B040000}"/>
    <hyperlink ref="C243" r:id="rId1165" xr:uid="{00000000-0004-0000-0300-00008C040000}"/>
    <hyperlink ref="E243" r:id="rId1166" xr:uid="{00000000-0004-0000-0300-00008D040000}"/>
    <hyperlink ref="F243" r:id="rId1167" xr:uid="{00000000-0004-0000-0300-00008E040000}"/>
    <hyperlink ref="G243" r:id="rId1168" xr:uid="{00000000-0004-0000-0300-00008F040000}"/>
    <hyperlink ref="H243" r:id="rId1169" xr:uid="{00000000-0004-0000-0300-000090040000}"/>
    <hyperlink ref="C244" r:id="rId1170" xr:uid="{00000000-0004-0000-0300-000091040000}"/>
    <hyperlink ref="E244" r:id="rId1171" xr:uid="{00000000-0004-0000-0300-000092040000}"/>
    <hyperlink ref="F244" r:id="rId1172" xr:uid="{00000000-0004-0000-0300-000093040000}"/>
    <hyperlink ref="G244" r:id="rId1173" xr:uid="{00000000-0004-0000-0300-000094040000}"/>
    <hyperlink ref="H244" r:id="rId1174" xr:uid="{00000000-0004-0000-0300-000095040000}"/>
    <hyperlink ref="C245" r:id="rId1175" xr:uid="{00000000-0004-0000-0300-000096040000}"/>
    <hyperlink ref="E245" r:id="rId1176" xr:uid="{00000000-0004-0000-0300-000097040000}"/>
    <hyperlink ref="F245" r:id="rId1177" xr:uid="{00000000-0004-0000-0300-000098040000}"/>
    <hyperlink ref="H245" r:id="rId1178" xr:uid="{00000000-0004-0000-0300-000099040000}"/>
    <hyperlink ref="C246" r:id="rId1179" xr:uid="{00000000-0004-0000-0300-00009A040000}"/>
    <hyperlink ref="E246" r:id="rId1180" xr:uid="{00000000-0004-0000-0300-00009B040000}"/>
    <hyperlink ref="F246" r:id="rId1181" xr:uid="{00000000-0004-0000-0300-00009C040000}"/>
    <hyperlink ref="G246" r:id="rId1182" xr:uid="{00000000-0004-0000-0300-00009D040000}"/>
    <hyperlink ref="H246" r:id="rId1183" xr:uid="{00000000-0004-0000-0300-00009E040000}"/>
    <hyperlink ref="C247" r:id="rId1184" xr:uid="{00000000-0004-0000-0300-00009F040000}"/>
    <hyperlink ref="E247" r:id="rId1185" xr:uid="{00000000-0004-0000-0300-0000A0040000}"/>
    <hyperlink ref="F247" r:id="rId1186" xr:uid="{00000000-0004-0000-0300-0000A1040000}"/>
    <hyperlink ref="G247" r:id="rId1187" xr:uid="{00000000-0004-0000-0300-0000A2040000}"/>
    <hyperlink ref="H247" r:id="rId1188" xr:uid="{00000000-0004-0000-0300-0000A3040000}"/>
    <hyperlink ref="C248" r:id="rId1189" xr:uid="{00000000-0004-0000-0300-0000A4040000}"/>
    <hyperlink ref="E248" r:id="rId1190" xr:uid="{00000000-0004-0000-0300-0000A5040000}"/>
    <hyperlink ref="F248" r:id="rId1191" xr:uid="{00000000-0004-0000-0300-0000A6040000}"/>
    <hyperlink ref="G248" r:id="rId1192" xr:uid="{00000000-0004-0000-0300-0000A7040000}"/>
    <hyperlink ref="H248" r:id="rId1193" xr:uid="{00000000-0004-0000-0300-0000A8040000}"/>
    <hyperlink ref="C249" r:id="rId1194" xr:uid="{00000000-0004-0000-0300-0000A9040000}"/>
    <hyperlink ref="E249" r:id="rId1195" xr:uid="{00000000-0004-0000-0300-0000AA040000}"/>
    <hyperlink ref="F249" r:id="rId1196" xr:uid="{00000000-0004-0000-0300-0000AB040000}"/>
    <hyperlink ref="G249" r:id="rId1197" xr:uid="{00000000-0004-0000-0300-0000AC040000}"/>
    <hyperlink ref="H249" r:id="rId1198" xr:uid="{00000000-0004-0000-0300-0000AD040000}"/>
    <hyperlink ref="C250" r:id="rId1199" xr:uid="{00000000-0004-0000-0300-0000AE040000}"/>
    <hyperlink ref="E250" r:id="rId1200" xr:uid="{00000000-0004-0000-0300-0000AF040000}"/>
    <hyperlink ref="F250" r:id="rId1201" xr:uid="{00000000-0004-0000-0300-0000B0040000}"/>
    <hyperlink ref="G250" r:id="rId1202" xr:uid="{00000000-0004-0000-0300-0000B1040000}"/>
    <hyperlink ref="H250" r:id="rId1203" xr:uid="{00000000-0004-0000-0300-0000B2040000}"/>
    <hyperlink ref="C251" r:id="rId1204" xr:uid="{00000000-0004-0000-0300-0000B3040000}"/>
    <hyperlink ref="E251" r:id="rId1205" xr:uid="{00000000-0004-0000-0300-0000B4040000}"/>
    <hyperlink ref="F251" r:id="rId1206" xr:uid="{00000000-0004-0000-0300-0000B5040000}"/>
    <hyperlink ref="G251" r:id="rId1207" xr:uid="{00000000-0004-0000-0300-0000B6040000}"/>
    <hyperlink ref="H251" r:id="rId1208" xr:uid="{00000000-0004-0000-0300-0000B7040000}"/>
    <hyperlink ref="C252" r:id="rId1209" xr:uid="{00000000-0004-0000-0300-0000B8040000}"/>
    <hyperlink ref="E252" r:id="rId1210" xr:uid="{00000000-0004-0000-0300-0000B9040000}"/>
    <hyperlink ref="F252" r:id="rId1211" xr:uid="{00000000-0004-0000-0300-0000BA040000}"/>
    <hyperlink ref="G252" r:id="rId1212" xr:uid="{00000000-0004-0000-0300-0000BB040000}"/>
    <hyperlink ref="H252" r:id="rId1213" xr:uid="{00000000-0004-0000-0300-0000BC040000}"/>
    <hyperlink ref="C253" r:id="rId1214" xr:uid="{00000000-0004-0000-0300-0000BD040000}"/>
    <hyperlink ref="E253" r:id="rId1215" xr:uid="{00000000-0004-0000-0300-0000BE040000}"/>
    <hyperlink ref="F253" r:id="rId1216" xr:uid="{00000000-0004-0000-0300-0000BF040000}"/>
    <hyperlink ref="G253" r:id="rId1217" xr:uid="{00000000-0004-0000-0300-0000C0040000}"/>
    <hyperlink ref="H253" r:id="rId1218" xr:uid="{00000000-0004-0000-0300-0000C1040000}"/>
    <hyperlink ref="C254" r:id="rId1219" xr:uid="{00000000-0004-0000-0300-0000C2040000}"/>
    <hyperlink ref="E254" r:id="rId1220" xr:uid="{00000000-0004-0000-0300-0000C3040000}"/>
    <hyperlink ref="F254" r:id="rId1221" xr:uid="{00000000-0004-0000-0300-0000C4040000}"/>
    <hyperlink ref="G254" r:id="rId1222" xr:uid="{00000000-0004-0000-0300-0000C5040000}"/>
    <hyperlink ref="H254" r:id="rId1223" xr:uid="{00000000-0004-0000-0300-0000C6040000}"/>
    <hyperlink ref="C255" r:id="rId1224" xr:uid="{00000000-0004-0000-0300-0000C7040000}"/>
    <hyperlink ref="E255" r:id="rId1225" xr:uid="{00000000-0004-0000-0300-0000C8040000}"/>
    <hyperlink ref="F255" r:id="rId1226" xr:uid="{00000000-0004-0000-0300-0000C9040000}"/>
    <hyperlink ref="G255" r:id="rId1227" xr:uid="{00000000-0004-0000-0300-0000CA040000}"/>
    <hyperlink ref="H255" r:id="rId1228" xr:uid="{00000000-0004-0000-0300-0000CB040000}"/>
    <hyperlink ref="C256" r:id="rId1229" xr:uid="{00000000-0004-0000-0300-0000CC040000}"/>
    <hyperlink ref="E256" r:id="rId1230" xr:uid="{00000000-0004-0000-0300-0000CD040000}"/>
    <hyperlink ref="F256" r:id="rId1231" xr:uid="{00000000-0004-0000-0300-0000CE040000}"/>
    <hyperlink ref="G256" r:id="rId1232" xr:uid="{00000000-0004-0000-0300-0000CF040000}"/>
    <hyperlink ref="H256" r:id="rId1233" xr:uid="{00000000-0004-0000-0300-0000D0040000}"/>
    <hyperlink ref="C257" r:id="rId1234" xr:uid="{00000000-0004-0000-0300-0000D1040000}"/>
    <hyperlink ref="E257" r:id="rId1235" xr:uid="{00000000-0004-0000-0300-0000D2040000}"/>
    <hyperlink ref="F257" r:id="rId1236" xr:uid="{00000000-0004-0000-0300-0000D3040000}"/>
    <hyperlink ref="G257" r:id="rId1237" xr:uid="{00000000-0004-0000-0300-0000D4040000}"/>
    <hyperlink ref="H257" r:id="rId1238" xr:uid="{00000000-0004-0000-0300-0000D5040000}"/>
    <hyperlink ref="E258" r:id="rId1239" xr:uid="{00000000-0004-0000-0300-0000D6040000}"/>
    <hyperlink ref="F258" r:id="rId1240" xr:uid="{00000000-0004-0000-0300-0000D7040000}"/>
    <hyperlink ref="G258" r:id="rId1241" xr:uid="{00000000-0004-0000-0300-0000D8040000}"/>
    <hyperlink ref="H258" r:id="rId1242" xr:uid="{00000000-0004-0000-0300-0000D9040000}"/>
    <hyperlink ref="C259" r:id="rId1243" xr:uid="{00000000-0004-0000-0300-0000DA040000}"/>
    <hyperlink ref="E259" r:id="rId1244" xr:uid="{00000000-0004-0000-0300-0000DB040000}"/>
    <hyperlink ref="F259" r:id="rId1245" xr:uid="{00000000-0004-0000-0300-0000DC040000}"/>
    <hyperlink ref="G259" r:id="rId1246" xr:uid="{00000000-0004-0000-0300-0000DD040000}"/>
    <hyperlink ref="H259" r:id="rId1247" xr:uid="{00000000-0004-0000-0300-0000DE040000}"/>
    <hyperlink ref="C260" r:id="rId1248" xr:uid="{00000000-0004-0000-0300-0000DF040000}"/>
    <hyperlink ref="E260" r:id="rId1249" xr:uid="{00000000-0004-0000-0300-0000E0040000}"/>
    <hyperlink ref="F260" r:id="rId1250" xr:uid="{00000000-0004-0000-0300-0000E1040000}"/>
    <hyperlink ref="G260" r:id="rId1251" xr:uid="{00000000-0004-0000-0300-0000E2040000}"/>
    <hyperlink ref="H260" r:id="rId1252" xr:uid="{00000000-0004-0000-0300-0000E3040000}"/>
    <hyperlink ref="C261" r:id="rId1253" xr:uid="{00000000-0004-0000-0300-0000E4040000}"/>
    <hyperlink ref="E261" r:id="rId1254" xr:uid="{00000000-0004-0000-0300-0000E5040000}"/>
    <hyperlink ref="F261" r:id="rId1255" xr:uid="{00000000-0004-0000-0300-0000E6040000}"/>
    <hyperlink ref="G261" r:id="rId1256" xr:uid="{00000000-0004-0000-0300-0000E7040000}"/>
    <hyperlink ref="H261" r:id="rId1257" xr:uid="{00000000-0004-0000-0300-0000E8040000}"/>
    <hyperlink ref="C262" r:id="rId1258" xr:uid="{00000000-0004-0000-0300-0000E9040000}"/>
    <hyperlink ref="E262" r:id="rId1259" xr:uid="{00000000-0004-0000-0300-0000EA040000}"/>
    <hyperlink ref="F262" r:id="rId1260" xr:uid="{00000000-0004-0000-0300-0000EB040000}"/>
    <hyperlink ref="G262" r:id="rId1261" xr:uid="{00000000-0004-0000-0300-0000EC040000}"/>
    <hyperlink ref="H262" r:id="rId1262" xr:uid="{00000000-0004-0000-0300-0000ED040000}"/>
    <hyperlink ref="C263" r:id="rId1263" xr:uid="{00000000-0004-0000-0300-0000EE040000}"/>
    <hyperlink ref="E263" r:id="rId1264" xr:uid="{00000000-0004-0000-0300-0000EF040000}"/>
    <hyperlink ref="F263" r:id="rId1265" xr:uid="{00000000-0004-0000-0300-0000F0040000}"/>
    <hyperlink ref="G263" r:id="rId1266" xr:uid="{00000000-0004-0000-0300-0000F1040000}"/>
    <hyperlink ref="H263" r:id="rId1267" xr:uid="{00000000-0004-0000-0300-0000F2040000}"/>
    <hyperlink ref="C264" r:id="rId1268" xr:uid="{00000000-0004-0000-0300-0000F3040000}"/>
    <hyperlink ref="E264" r:id="rId1269" xr:uid="{00000000-0004-0000-0300-0000F4040000}"/>
    <hyperlink ref="F264" r:id="rId1270" xr:uid="{00000000-0004-0000-0300-0000F5040000}"/>
    <hyperlink ref="G264" r:id="rId1271" xr:uid="{00000000-0004-0000-0300-0000F6040000}"/>
    <hyperlink ref="H264" r:id="rId1272" xr:uid="{00000000-0004-0000-0300-0000F7040000}"/>
    <hyperlink ref="C265" r:id="rId1273" xr:uid="{00000000-0004-0000-0300-0000F8040000}"/>
    <hyperlink ref="E265" r:id="rId1274" xr:uid="{00000000-0004-0000-0300-0000F9040000}"/>
    <hyperlink ref="F265" r:id="rId1275" xr:uid="{00000000-0004-0000-0300-0000FA040000}"/>
    <hyperlink ref="G265" r:id="rId1276" xr:uid="{00000000-0004-0000-0300-0000FB040000}"/>
    <hyperlink ref="H265" r:id="rId1277" xr:uid="{00000000-0004-0000-0300-0000FC040000}"/>
    <hyperlink ref="C266" r:id="rId1278" xr:uid="{00000000-0004-0000-0300-0000FD040000}"/>
    <hyperlink ref="E266" r:id="rId1279" xr:uid="{00000000-0004-0000-0300-0000FE040000}"/>
    <hyperlink ref="F266" r:id="rId1280" xr:uid="{00000000-0004-0000-0300-0000FF040000}"/>
    <hyperlink ref="G266" r:id="rId1281" xr:uid="{00000000-0004-0000-0300-000000050000}"/>
    <hyperlink ref="H266" r:id="rId1282" xr:uid="{00000000-0004-0000-0300-000001050000}"/>
    <hyperlink ref="C267" r:id="rId1283" xr:uid="{00000000-0004-0000-0300-000002050000}"/>
    <hyperlink ref="E267" r:id="rId1284" xr:uid="{00000000-0004-0000-0300-000003050000}"/>
    <hyperlink ref="F267" r:id="rId1285" xr:uid="{00000000-0004-0000-0300-000004050000}"/>
    <hyperlink ref="G267" r:id="rId1286" xr:uid="{00000000-0004-0000-0300-000005050000}"/>
    <hyperlink ref="H267" r:id="rId1287" xr:uid="{00000000-0004-0000-0300-000006050000}"/>
    <hyperlink ref="C268" r:id="rId1288" xr:uid="{00000000-0004-0000-0300-000007050000}"/>
    <hyperlink ref="E268" r:id="rId1289" xr:uid="{00000000-0004-0000-0300-000008050000}"/>
    <hyperlink ref="F268" r:id="rId1290" xr:uid="{00000000-0004-0000-0300-000009050000}"/>
    <hyperlink ref="G268" r:id="rId1291" xr:uid="{00000000-0004-0000-0300-00000A050000}"/>
    <hyperlink ref="H268" r:id="rId1292" xr:uid="{00000000-0004-0000-0300-00000B050000}"/>
    <hyperlink ref="C269" r:id="rId1293" xr:uid="{00000000-0004-0000-0300-00000C050000}"/>
    <hyperlink ref="E269" r:id="rId1294" xr:uid="{00000000-0004-0000-0300-00000D050000}"/>
    <hyperlink ref="F269" r:id="rId1295" xr:uid="{00000000-0004-0000-0300-00000E050000}"/>
    <hyperlink ref="G269" r:id="rId1296" xr:uid="{00000000-0004-0000-0300-00000F050000}"/>
    <hyperlink ref="H269" r:id="rId1297" xr:uid="{00000000-0004-0000-0300-000010050000}"/>
    <hyperlink ref="C270" r:id="rId1298" xr:uid="{00000000-0004-0000-0300-000011050000}"/>
    <hyperlink ref="E270" r:id="rId1299" xr:uid="{00000000-0004-0000-0300-000012050000}"/>
    <hyperlink ref="F270" r:id="rId1300" xr:uid="{00000000-0004-0000-0300-000013050000}"/>
    <hyperlink ref="G270" r:id="rId1301" xr:uid="{00000000-0004-0000-0300-000014050000}"/>
    <hyperlink ref="H270" r:id="rId1302" xr:uid="{00000000-0004-0000-0300-000015050000}"/>
    <hyperlink ref="C271" r:id="rId1303" xr:uid="{00000000-0004-0000-0300-000016050000}"/>
    <hyperlink ref="E271" r:id="rId1304" xr:uid="{00000000-0004-0000-0300-000017050000}"/>
    <hyperlink ref="F271" r:id="rId1305" xr:uid="{00000000-0004-0000-0300-000018050000}"/>
    <hyperlink ref="G271" r:id="rId1306" xr:uid="{00000000-0004-0000-0300-000019050000}"/>
    <hyperlink ref="H271" r:id="rId1307" xr:uid="{00000000-0004-0000-0300-00001A050000}"/>
    <hyperlink ref="C272" r:id="rId1308" xr:uid="{00000000-0004-0000-0300-00001B050000}"/>
    <hyperlink ref="E272" r:id="rId1309" xr:uid="{00000000-0004-0000-0300-00001C050000}"/>
    <hyperlink ref="F272" r:id="rId1310" xr:uid="{00000000-0004-0000-0300-00001D050000}"/>
    <hyperlink ref="H272" r:id="rId1311" xr:uid="{00000000-0004-0000-0300-00001E050000}"/>
    <hyperlink ref="C273" r:id="rId1312" xr:uid="{00000000-0004-0000-0300-00001F050000}"/>
    <hyperlink ref="E273" r:id="rId1313" xr:uid="{00000000-0004-0000-0300-000020050000}"/>
    <hyperlink ref="F273" r:id="rId1314" xr:uid="{00000000-0004-0000-0300-000021050000}"/>
    <hyperlink ref="H273" r:id="rId1315" xr:uid="{00000000-0004-0000-0300-000022050000}"/>
    <hyperlink ref="C274" r:id="rId1316" xr:uid="{00000000-0004-0000-0300-000023050000}"/>
    <hyperlink ref="E274" r:id="rId1317" xr:uid="{00000000-0004-0000-0300-000024050000}"/>
    <hyperlink ref="F274" r:id="rId1318" xr:uid="{00000000-0004-0000-0300-000025050000}"/>
    <hyperlink ref="H274" r:id="rId1319" xr:uid="{00000000-0004-0000-0300-000026050000}"/>
    <hyperlink ref="C275" r:id="rId1320" xr:uid="{00000000-0004-0000-0300-000027050000}"/>
    <hyperlink ref="E275" r:id="rId1321" xr:uid="{00000000-0004-0000-0300-000028050000}"/>
    <hyperlink ref="F275" r:id="rId1322" xr:uid="{00000000-0004-0000-0300-000029050000}"/>
    <hyperlink ref="H275" r:id="rId1323" xr:uid="{00000000-0004-0000-0300-00002A050000}"/>
    <hyperlink ref="C276" r:id="rId1324" xr:uid="{00000000-0004-0000-0300-00002B050000}"/>
    <hyperlink ref="E276" r:id="rId1325" xr:uid="{00000000-0004-0000-0300-00002C050000}"/>
    <hyperlink ref="F276" r:id="rId1326" xr:uid="{00000000-0004-0000-0300-00002D050000}"/>
    <hyperlink ref="H276" r:id="rId1327" xr:uid="{00000000-0004-0000-0300-00002E050000}"/>
    <hyperlink ref="C277" r:id="rId1328" xr:uid="{00000000-0004-0000-0300-00002F050000}"/>
    <hyperlink ref="E277" r:id="rId1329" xr:uid="{00000000-0004-0000-0300-000030050000}"/>
    <hyperlink ref="F277" r:id="rId1330" xr:uid="{00000000-0004-0000-0300-000031050000}"/>
    <hyperlink ref="H277" r:id="rId1331" xr:uid="{00000000-0004-0000-0300-000032050000}"/>
    <hyperlink ref="C278" r:id="rId1332" xr:uid="{00000000-0004-0000-0300-000033050000}"/>
    <hyperlink ref="E278" r:id="rId1333" xr:uid="{00000000-0004-0000-0300-000034050000}"/>
    <hyperlink ref="F278" r:id="rId1334" xr:uid="{00000000-0004-0000-0300-000035050000}"/>
    <hyperlink ref="C279" r:id="rId1335" xr:uid="{00000000-0004-0000-0300-000036050000}"/>
    <hyperlink ref="E279" r:id="rId1336" xr:uid="{00000000-0004-0000-0300-000037050000}"/>
    <hyperlink ref="F279" r:id="rId1337" xr:uid="{00000000-0004-0000-0300-000038050000}"/>
    <hyperlink ref="G279" r:id="rId1338" xr:uid="{00000000-0004-0000-0300-000039050000}"/>
    <hyperlink ref="C280" r:id="rId1339" xr:uid="{00000000-0004-0000-0300-00003A050000}"/>
    <hyperlink ref="E280" r:id="rId1340" xr:uid="{00000000-0004-0000-0300-00003B050000}"/>
    <hyperlink ref="F280" r:id="rId1341" xr:uid="{00000000-0004-0000-0300-00003C050000}"/>
    <hyperlink ref="G280" r:id="rId1342" xr:uid="{00000000-0004-0000-0300-00003D050000}"/>
    <hyperlink ref="C281" r:id="rId1343" xr:uid="{00000000-0004-0000-0300-00003E050000}"/>
    <hyperlink ref="E281" r:id="rId1344" xr:uid="{00000000-0004-0000-0300-00003F050000}"/>
    <hyperlink ref="F281" r:id="rId1345" xr:uid="{00000000-0004-0000-0300-000040050000}"/>
    <hyperlink ref="G281" r:id="rId1346" xr:uid="{00000000-0004-0000-0300-000041050000}"/>
    <hyperlink ref="H281" r:id="rId1347" xr:uid="{00000000-0004-0000-0300-000042050000}"/>
    <hyperlink ref="C282" r:id="rId1348" xr:uid="{00000000-0004-0000-0300-000043050000}"/>
    <hyperlink ref="E282" r:id="rId1349" xr:uid="{00000000-0004-0000-0300-000044050000}"/>
    <hyperlink ref="F282" r:id="rId1350" xr:uid="{00000000-0004-0000-0300-000045050000}"/>
    <hyperlink ref="G282" r:id="rId1351" xr:uid="{00000000-0004-0000-0300-000046050000}"/>
    <hyperlink ref="H282" r:id="rId1352" xr:uid="{00000000-0004-0000-0300-000047050000}"/>
    <hyperlink ref="C283" r:id="rId1353" xr:uid="{00000000-0004-0000-0300-000048050000}"/>
    <hyperlink ref="E283" r:id="rId1354" xr:uid="{00000000-0004-0000-0300-000049050000}"/>
    <hyperlink ref="F283" r:id="rId1355" xr:uid="{00000000-0004-0000-0300-00004A050000}"/>
    <hyperlink ref="C284" r:id="rId1356" xr:uid="{00000000-0004-0000-0300-00004B050000}"/>
    <hyperlink ref="E284" r:id="rId1357" xr:uid="{00000000-0004-0000-0300-00004C050000}"/>
    <hyperlink ref="F284" r:id="rId1358" xr:uid="{00000000-0004-0000-0300-00004D050000}"/>
    <hyperlink ref="C285" r:id="rId1359" xr:uid="{00000000-0004-0000-0300-00004E050000}"/>
    <hyperlink ref="E285" r:id="rId1360" xr:uid="{00000000-0004-0000-0300-00004F050000}"/>
    <hyperlink ref="F285" r:id="rId1361" xr:uid="{00000000-0004-0000-0300-000050050000}"/>
    <hyperlink ref="C286" r:id="rId1362" xr:uid="{00000000-0004-0000-0300-000051050000}"/>
    <hyperlink ref="E286" r:id="rId1363" xr:uid="{00000000-0004-0000-0300-000052050000}"/>
    <hyperlink ref="F286" r:id="rId1364" xr:uid="{00000000-0004-0000-0300-000053050000}"/>
    <hyperlink ref="C287" r:id="rId1365" xr:uid="{00000000-0004-0000-0300-000054050000}"/>
    <hyperlink ref="E287" r:id="rId1366" xr:uid="{00000000-0004-0000-0300-000055050000}"/>
    <hyperlink ref="F287" r:id="rId1367" xr:uid="{00000000-0004-0000-0300-000056050000}"/>
    <hyperlink ref="G287" r:id="rId1368" xr:uid="{00000000-0004-0000-0300-000057050000}"/>
    <hyperlink ref="H287" r:id="rId1369" xr:uid="{00000000-0004-0000-0300-000058050000}"/>
    <hyperlink ref="C288" r:id="rId1370" xr:uid="{00000000-0004-0000-0300-000059050000}"/>
    <hyperlink ref="E288" r:id="rId1371" xr:uid="{00000000-0004-0000-0300-00005A050000}"/>
    <hyperlink ref="F288" r:id="rId1372" xr:uid="{00000000-0004-0000-0300-00005B050000}"/>
    <hyperlink ref="C289" r:id="rId1373" xr:uid="{00000000-0004-0000-0300-00005C050000}"/>
    <hyperlink ref="E289" r:id="rId1374" xr:uid="{00000000-0004-0000-0300-00005D050000}"/>
    <hyperlink ref="F289" r:id="rId1375" xr:uid="{00000000-0004-0000-0300-00005E050000}"/>
    <hyperlink ref="G289" r:id="rId1376" xr:uid="{00000000-0004-0000-0300-00005F050000}"/>
    <hyperlink ref="H289" r:id="rId1377" xr:uid="{00000000-0004-0000-0300-000060050000}"/>
    <hyperlink ref="C290" r:id="rId1378" xr:uid="{00000000-0004-0000-0300-000061050000}"/>
    <hyperlink ref="E290" r:id="rId1379" xr:uid="{00000000-0004-0000-0300-000062050000}"/>
    <hyperlink ref="F290" r:id="rId1380" xr:uid="{00000000-0004-0000-0300-000063050000}"/>
    <hyperlink ref="G290" r:id="rId1381" xr:uid="{00000000-0004-0000-0300-000064050000}"/>
    <hyperlink ref="H290" r:id="rId1382" xr:uid="{00000000-0004-0000-0300-000065050000}"/>
    <hyperlink ref="C291" r:id="rId1383" xr:uid="{00000000-0004-0000-0300-000066050000}"/>
    <hyperlink ref="E291" r:id="rId1384" xr:uid="{00000000-0004-0000-0300-000067050000}"/>
    <hyperlink ref="F291" r:id="rId1385" xr:uid="{00000000-0004-0000-0300-000068050000}"/>
    <hyperlink ref="G291" r:id="rId1386" xr:uid="{00000000-0004-0000-0300-000069050000}"/>
    <hyperlink ref="C292" r:id="rId1387" xr:uid="{00000000-0004-0000-0300-00006A050000}"/>
    <hyperlink ref="E292" r:id="rId1388" xr:uid="{00000000-0004-0000-0300-00006B050000}"/>
    <hyperlink ref="F292" r:id="rId1389" xr:uid="{00000000-0004-0000-0300-00006C050000}"/>
    <hyperlink ref="C293" r:id="rId1390" xr:uid="{00000000-0004-0000-0300-00006D050000}"/>
    <hyperlink ref="E293" r:id="rId1391" xr:uid="{00000000-0004-0000-0300-00006E050000}"/>
    <hyperlink ref="F293" r:id="rId1392" xr:uid="{00000000-0004-0000-0300-00006F050000}"/>
    <hyperlink ref="H293" r:id="rId1393" xr:uid="{00000000-0004-0000-0300-000070050000}"/>
    <hyperlink ref="C294" r:id="rId1394" xr:uid="{00000000-0004-0000-0300-000071050000}"/>
    <hyperlink ref="E294" r:id="rId1395" xr:uid="{00000000-0004-0000-0300-000072050000}"/>
    <hyperlink ref="F294" r:id="rId1396" xr:uid="{00000000-0004-0000-0300-000073050000}"/>
    <hyperlink ref="C295" r:id="rId1397" xr:uid="{00000000-0004-0000-0300-000074050000}"/>
    <hyperlink ref="E295" r:id="rId1398" xr:uid="{00000000-0004-0000-0300-000075050000}"/>
    <hyperlink ref="F295" r:id="rId1399" xr:uid="{00000000-0004-0000-0300-000076050000}"/>
    <hyperlink ref="G295" r:id="rId1400" xr:uid="{00000000-0004-0000-0300-000077050000}"/>
    <hyperlink ref="H295" r:id="rId1401" xr:uid="{00000000-0004-0000-0300-000078050000}"/>
    <hyperlink ref="C296" r:id="rId1402" xr:uid="{00000000-0004-0000-0300-000079050000}"/>
    <hyperlink ref="E296" r:id="rId1403" xr:uid="{00000000-0004-0000-0300-00007A050000}"/>
    <hyperlink ref="F296" r:id="rId1404" xr:uid="{00000000-0004-0000-0300-00007B050000}"/>
    <hyperlink ref="G296" r:id="rId1405" xr:uid="{00000000-0004-0000-0300-00007C050000}"/>
    <hyperlink ref="H296" r:id="rId1406" xr:uid="{00000000-0004-0000-0300-00007D050000}"/>
    <hyperlink ref="C297" r:id="rId1407" xr:uid="{00000000-0004-0000-0300-00007E050000}"/>
    <hyperlink ref="E297" r:id="rId1408" xr:uid="{00000000-0004-0000-0300-00007F050000}"/>
    <hyperlink ref="F297" r:id="rId1409" xr:uid="{00000000-0004-0000-0300-000080050000}"/>
    <hyperlink ref="G297" r:id="rId1410" xr:uid="{00000000-0004-0000-0300-000081050000}"/>
    <hyperlink ref="H297" r:id="rId1411" xr:uid="{00000000-0004-0000-0300-000082050000}"/>
    <hyperlink ref="C298" r:id="rId1412" xr:uid="{00000000-0004-0000-0300-000083050000}"/>
    <hyperlink ref="E298" r:id="rId1413" xr:uid="{00000000-0004-0000-0300-000084050000}"/>
    <hyperlink ref="C299" r:id="rId1414" xr:uid="{00000000-0004-0000-0300-000085050000}"/>
    <hyperlink ref="E299" r:id="rId1415" xr:uid="{00000000-0004-0000-0300-000086050000}"/>
    <hyperlink ref="F299" r:id="rId1416" xr:uid="{00000000-0004-0000-0300-000087050000}"/>
    <hyperlink ref="C300" r:id="rId1417" xr:uid="{00000000-0004-0000-0300-000088050000}"/>
    <hyperlink ref="E300" r:id="rId1418" xr:uid="{00000000-0004-0000-0300-000089050000}"/>
    <hyperlink ref="F300" r:id="rId1419" xr:uid="{00000000-0004-0000-0300-00008A050000}"/>
    <hyperlink ref="C301" r:id="rId1420" xr:uid="{00000000-0004-0000-0300-00008B050000}"/>
    <hyperlink ref="E301" r:id="rId1421" xr:uid="{00000000-0004-0000-0300-00008C050000}"/>
    <hyperlink ref="F301" r:id="rId1422" xr:uid="{00000000-0004-0000-0300-00008D050000}"/>
    <hyperlink ref="C302" r:id="rId1423" xr:uid="{00000000-0004-0000-0300-00008E050000}"/>
    <hyperlink ref="E302" r:id="rId1424" xr:uid="{00000000-0004-0000-0300-00008F050000}"/>
    <hyperlink ref="F302" r:id="rId1425" xr:uid="{00000000-0004-0000-0300-000090050000}"/>
    <hyperlink ref="C303" r:id="rId1426" xr:uid="{00000000-0004-0000-0300-000091050000}"/>
    <hyperlink ref="E303" r:id="rId1427" xr:uid="{00000000-0004-0000-0300-000092050000}"/>
    <hyperlink ref="F303" r:id="rId1428" xr:uid="{00000000-0004-0000-0300-000093050000}"/>
    <hyperlink ref="H303" r:id="rId1429" xr:uid="{00000000-0004-0000-0300-000094050000}"/>
    <hyperlink ref="C304" r:id="rId1430" xr:uid="{00000000-0004-0000-0300-000095050000}"/>
    <hyperlink ref="E304" r:id="rId1431" xr:uid="{00000000-0004-0000-0300-000096050000}"/>
    <hyperlink ref="F304" r:id="rId1432" xr:uid="{00000000-0004-0000-0300-000097050000}"/>
    <hyperlink ref="G304" r:id="rId1433" xr:uid="{00000000-0004-0000-0300-000098050000}"/>
    <hyperlink ref="H304" r:id="rId1434" xr:uid="{00000000-0004-0000-0300-000099050000}"/>
    <hyperlink ref="C305" r:id="rId1435" xr:uid="{00000000-0004-0000-0300-00009A050000}"/>
    <hyperlink ref="E305" r:id="rId1436" xr:uid="{00000000-0004-0000-0300-00009B050000}"/>
    <hyperlink ref="F305" r:id="rId1437" xr:uid="{00000000-0004-0000-0300-00009C050000}"/>
    <hyperlink ref="C306" r:id="rId1438" xr:uid="{00000000-0004-0000-0300-00009D050000}"/>
    <hyperlink ref="E306" r:id="rId1439" xr:uid="{00000000-0004-0000-0300-00009E050000}"/>
    <hyperlink ref="F306" r:id="rId1440" xr:uid="{00000000-0004-0000-0300-00009F050000}"/>
    <hyperlink ref="H306" r:id="rId1441" xr:uid="{00000000-0004-0000-0300-0000A0050000}"/>
    <hyperlink ref="C307" r:id="rId1442" xr:uid="{00000000-0004-0000-0300-0000A1050000}"/>
    <hyperlink ref="E307" r:id="rId1443" xr:uid="{00000000-0004-0000-0300-0000A2050000}"/>
    <hyperlink ref="F307" r:id="rId1444" xr:uid="{00000000-0004-0000-0300-0000A3050000}"/>
    <hyperlink ref="H307" r:id="rId1445" xr:uid="{00000000-0004-0000-0300-0000A4050000}"/>
    <hyperlink ref="C308" r:id="rId1446" xr:uid="{00000000-0004-0000-0300-0000A5050000}"/>
    <hyperlink ref="E308" r:id="rId1447" xr:uid="{00000000-0004-0000-0300-0000A6050000}"/>
    <hyperlink ref="F308" r:id="rId1448" xr:uid="{00000000-0004-0000-0300-0000A7050000}"/>
    <hyperlink ref="C309" r:id="rId1449" xr:uid="{00000000-0004-0000-0300-0000A8050000}"/>
    <hyperlink ref="E309" r:id="rId1450" xr:uid="{00000000-0004-0000-0300-0000A9050000}"/>
    <hyperlink ref="F309" r:id="rId1451" xr:uid="{00000000-0004-0000-0300-0000AA050000}"/>
    <hyperlink ref="H309" r:id="rId1452" xr:uid="{00000000-0004-0000-0300-0000AB050000}"/>
    <hyperlink ref="C310" r:id="rId1453" xr:uid="{00000000-0004-0000-0300-0000AC050000}"/>
    <hyperlink ref="E310" r:id="rId1454" xr:uid="{00000000-0004-0000-0300-0000AD050000}"/>
    <hyperlink ref="F310" r:id="rId1455" xr:uid="{00000000-0004-0000-0300-0000AE050000}"/>
    <hyperlink ref="G310" r:id="rId1456" xr:uid="{00000000-0004-0000-0300-0000AF050000}"/>
    <hyperlink ref="C311" r:id="rId1457" xr:uid="{00000000-0004-0000-0300-0000B0050000}"/>
    <hyperlink ref="E311" r:id="rId1458" xr:uid="{00000000-0004-0000-0300-0000B1050000}"/>
    <hyperlink ref="F311" r:id="rId1459" xr:uid="{00000000-0004-0000-0300-0000B2050000}"/>
    <hyperlink ref="H311" r:id="rId1460" xr:uid="{00000000-0004-0000-0300-0000B3050000}"/>
    <hyperlink ref="C312" r:id="rId1461" xr:uid="{00000000-0004-0000-0300-0000B4050000}"/>
    <hyperlink ref="E312" r:id="rId1462" xr:uid="{00000000-0004-0000-0300-0000B5050000}"/>
    <hyperlink ref="F312" r:id="rId1463" xr:uid="{00000000-0004-0000-0300-0000B6050000}"/>
    <hyperlink ref="H312" r:id="rId1464" xr:uid="{00000000-0004-0000-0300-0000B7050000}"/>
    <hyperlink ref="C313" r:id="rId1465" xr:uid="{00000000-0004-0000-0300-0000B8050000}"/>
    <hyperlink ref="E313" r:id="rId1466" xr:uid="{00000000-0004-0000-0300-0000B9050000}"/>
    <hyperlink ref="F313" r:id="rId1467" xr:uid="{00000000-0004-0000-0300-0000BA050000}"/>
    <hyperlink ref="G313" r:id="rId1468" xr:uid="{00000000-0004-0000-0300-0000BB050000}"/>
    <hyperlink ref="H313" r:id="rId1469" xr:uid="{00000000-0004-0000-0300-0000BC050000}"/>
    <hyperlink ref="C314" r:id="rId1470" xr:uid="{00000000-0004-0000-0300-0000BD050000}"/>
    <hyperlink ref="E314" r:id="rId1471" xr:uid="{00000000-0004-0000-0300-0000BE050000}"/>
    <hyperlink ref="F314" r:id="rId1472" xr:uid="{00000000-0004-0000-0300-0000BF050000}"/>
    <hyperlink ref="G314" r:id="rId1473" xr:uid="{00000000-0004-0000-0300-0000C0050000}"/>
    <hyperlink ref="H314" r:id="rId1474" xr:uid="{00000000-0004-0000-0300-0000C1050000}"/>
    <hyperlink ref="C315" r:id="rId1475" xr:uid="{00000000-0004-0000-0300-0000C2050000}"/>
    <hyperlink ref="E315" r:id="rId1476" xr:uid="{00000000-0004-0000-0300-0000C3050000}"/>
    <hyperlink ref="F315" r:id="rId1477" xr:uid="{00000000-0004-0000-0300-0000C4050000}"/>
    <hyperlink ref="G315" r:id="rId1478" xr:uid="{00000000-0004-0000-0300-0000C5050000}"/>
    <hyperlink ref="H315" r:id="rId1479" xr:uid="{00000000-0004-0000-0300-0000C6050000}"/>
    <hyperlink ref="C316" r:id="rId1480" xr:uid="{00000000-0004-0000-0300-0000C7050000}"/>
    <hyperlink ref="E316" r:id="rId1481" xr:uid="{00000000-0004-0000-0300-0000C8050000}"/>
    <hyperlink ref="F316" r:id="rId1482" xr:uid="{00000000-0004-0000-0300-0000C9050000}"/>
    <hyperlink ref="G316" r:id="rId1483" xr:uid="{00000000-0004-0000-0300-0000CA050000}"/>
    <hyperlink ref="E317" r:id="rId1484" xr:uid="{00000000-0004-0000-0300-0000CB050000}"/>
    <hyperlink ref="F317" r:id="rId1485" xr:uid="{00000000-0004-0000-0300-0000CC050000}"/>
    <hyperlink ref="G317" r:id="rId1486" xr:uid="{00000000-0004-0000-0300-0000CD050000}"/>
    <hyperlink ref="C318" r:id="rId1487" xr:uid="{00000000-0004-0000-0300-0000CE050000}"/>
    <hyperlink ref="E318" r:id="rId1488" xr:uid="{00000000-0004-0000-0300-0000CF050000}"/>
    <hyperlink ref="F318" r:id="rId1489" xr:uid="{00000000-0004-0000-0300-0000D0050000}"/>
    <hyperlink ref="C319" r:id="rId1490" xr:uid="{00000000-0004-0000-0300-0000D1050000}"/>
    <hyperlink ref="E319" r:id="rId1491" xr:uid="{00000000-0004-0000-0300-0000D2050000}"/>
    <hyperlink ref="F319" r:id="rId1492" xr:uid="{00000000-0004-0000-0300-0000D3050000}"/>
    <hyperlink ref="C320" r:id="rId1493" xr:uid="{00000000-0004-0000-0300-0000D4050000}"/>
    <hyperlink ref="E320" r:id="rId1494" xr:uid="{00000000-0004-0000-0300-0000D5050000}"/>
    <hyperlink ref="F320" r:id="rId1495" xr:uid="{00000000-0004-0000-0300-0000D6050000}"/>
    <hyperlink ref="C321" r:id="rId1496" xr:uid="{00000000-0004-0000-0300-0000D7050000}"/>
    <hyperlink ref="E321" r:id="rId1497" xr:uid="{00000000-0004-0000-0300-0000D8050000}"/>
    <hyperlink ref="F321" r:id="rId1498" xr:uid="{00000000-0004-0000-0300-0000D9050000}"/>
    <hyperlink ref="C322" r:id="rId1499" xr:uid="{00000000-0004-0000-0300-0000DA050000}"/>
    <hyperlink ref="E322" r:id="rId1500" xr:uid="{00000000-0004-0000-0300-0000DB050000}"/>
    <hyperlink ref="F322" r:id="rId1501" xr:uid="{00000000-0004-0000-0300-0000DC050000}"/>
    <hyperlink ref="G322" r:id="rId1502" xr:uid="{00000000-0004-0000-0300-0000DD050000}"/>
    <hyperlink ref="H322" r:id="rId1503" xr:uid="{00000000-0004-0000-0300-0000DE050000}"/>
    <hyperlink ref="C323" r:id="rId1504" xr:uid="{00000000-0004-0000-0300-0000DF050000}"/>
    <hyperlink ref="E323" r:id="rId1505" xr:uid="{00000000-0004-0000-0300-0000E0050000}"/>
    <hyperlink ref="F323" r:id="rId1506" xr:uid="{00000000-0004-0000-0300-0000E1050000}"/>
    <hyperlink ref="H323" r:id="rId1507" xr:uid="{00000000-0004-0000-0300-0000E2050000}"/>
    <hyperlink ref="C324" r:id="rId1508" xr:uid="{00000000-0004-0000-0300-0000E3050000}"/>
    <hyperlink ref="E324" r:id="rId1509" xr:uid="{00000000-0004-0000-0300-0000E4050000}"/>
    <hyperlink ref="F324" r:id="rId1510" xr:uid="{00000000-0004-0000-0300-0000E5050000}"/>
    <hyperlink ref="C325" r:id="rId1511" xr:uid="{00000000-0004-0000-0300-0000E6050000}"/>
    <hyperlink ref="E325" r:id="rId1512" xr:uid="{00000000-0004-0000-0300-0000E7050000}"/>
    <hyperlink ref="F325" r:id="rId1513" xr:uid="{00000000-0004-0000-0300-0000E8050000}"/>
    <hyperlink ref="G325" r:id="rId1514" xr:uid="{00000000-0004-0000-0300-0000E9050000}"/>
    <hyperlink ref="H325" r:id="rId1515" xr:uid="{00000000-0004-0000-0300-0000EA050000}"/>
    <hyperlink ref="C326" r:id="rId1516" xr:uid="{00000000-0004-0000-0300-0000EB050000}"/>
    <hyperlink ref="E326" r:id="rId1517" xr:uid="{00000000-0004-0000-0300-0000EC050000}"/>
    <hyperlink ref="F326" r:id="rId1518" xr:uid="{00000000-0004-0000-0300-0000ED050000}"/>
    <hyperlink ref="H326" r:id="rId1519" xr:uid="{00000000-0004-0000-0300-0000EE050000}"/>
    <hyperlink ref="C327" r:id="rId1520" xr:uid="{00000000-0004-0000-0300-0000EF050000}"/>
    <hyperlink ref="E327" r:id="rId1521" xr:uid="{00000000-0004-0000-0300-0000F0050000}"/>
    <hyperlink ref="F327" r:id="rId1522" xr:uid="{00000000-0004-0000-0300-0000F1050000}"/>
    <hyperlink ref="C328" r:id="rId1523" xr:uid="{00000000-0004-0000-0300-0000F2050000}"/>
    <hyperlink ref="E328" r:id="rId1524" xr:uid="{00000000-0004-0000-0300-0000F3050000}"/>
    <hyperlink ref="F328" r:id="rId1525" xr:uid="{00000000-0004-0000-0300-0000F4050000}"/>
    <hyperlink ref="G328" r:id="rId1526" xr:uid="{00000000-0004-0000-0300-0000F5050000}"/>
    <hyperlink ref="C329" r:id="rId1527" xr:uid="{00000000-0004-0000-0300-0000F6050000}"/>
    <hyperlink ref="E329" r:id="rId1528" xr:uid="{00000000-0004-0000-0300-0000F7050000}"/>
    <hyperlink ref="F329" r:id="rId1529" xr:uid="{00000000-0004-0000-0300-0000F8050000}"/>
    <hyperlink ref="G329" r:id="rId1530" xr:uid="{00000000-0004-0000-0300-0000F9050000}"/>
    <hyperlink ref="C330" r:id="rId1531" xr:uid="{00000000-0004-0000-0300-0000FA050000}"/>
    <hyperlink ref="E330" r:id="rId1532" xr:uid="{00000000-0004-0000-0300-0000FB050000}"/>
    <hyperlink ref="F330" r:id="rId1533" xr:uid="{00000000-0004-0000-0300-0000FC050000}"/>
    <hyperlink ref="G330" r:id="rId1534" xr:uid="{00000000-0004-0000-0300-0000FD050000}"/>
    <hyperlink ref="C331" r:id="rId1535" xr:uid="{00000000-0004-0000-0300-0000FE050000}"/>
    <hyperlink ref="E331" r:id="rId1536" xr:uid="{00000000-0004-0000-0300-0000FF050000}"/>
    <hyperlink ref="F331" r:id="rId1537" xr:uid="{00000000-0004-0000-0300-000000060000}"/>
    <hyperlink ref="C332" r:id="rId1538" xr:uid="{00000000-0004-0000-0300-000001060000}"/>
    <hyperlink ref="E332" r:id="rId1539" xr:uid="{00000000-0004-0000-0300-000002060000}"/>
    <hyperlink ref="F332" r:id="rId1540" xr:uid="{00000000-0004-0000-0300-000003060000}"/>
    <hyperlink ref="C333" r:id="rId1541" xr:uid="{00000000-0004-0000-0300-000004060000}"/>
    <hyperlink ref="E333" r:id="rId1542" xr:uid="{00000000-0004-0000-0300-000005060000}"/>
    <hyperlink ref="F333" r:id="rId1543" xr:uid="{00000000-0004-0000-0300-000006060000}"/>
    <hyperlink ref="H333" r:id="rId1544" xr:uid="{00000000-0004-0000-0300-000007060000}"/>
    <hyperlink ref="C334" r:id="rId1545" xr:uid="{00000000-0004-0000-0300-000008060000}"/>
    <hyperlink ref="E334" r:id="rId1546" xr:uid="{00000000-0004-0000-0300-000009060000}"/>
    <hyperlink ref="F334" r:id="rId1547" xr:uid="{00000000-0004-0000-0300-00000A060000}"/>
    <hyperlink ref="G334" r:id="rId1548" xr:uid="{00000000-0004-0000-0300-00000B060000}"/>
    <hyperlink ref="H334" r:id="rId1549" xr:uid="{00000000-0004-0000-0300-00000C060000}"/>
    <hyperlink ref="C335" r:id="rId1550" xr:uid="{00000000-0004-0000-0300-00000D060000}"/>
    <hyperlink ref="E335" r:id="rId1551" xr:uid="{00000000-0004-0000-0300-00000E060000}"/>
    <hyperlink ref="F335" r:id="rId1552" xr:uid="{00000000-0004-0000-0300-00000F060000}"/>
    <hyperlink ref="G335" r:id="rId1553" xr:uid="{00000000-0004-0000-0300-000010060000}"/>
    <hyperlink ref="C336" r:id="rId1554" xr:uid="{00000000-0004-0000-0300-000011060000}"/>
    <hyperlink ref="E336" r:id="rId1555" xr:uid="{00000000-0004-0000-0300-000012060000}"/>
    <hyperlink ref="F336" r:id="rId1556" xr:uid="{00000000-0004-0000-0300-000013060000}"/>
    <hyperlink ref="G336" r:id="rId1557" xr:uid="{00000000-0004-0000-0300-000014060000}"/>
    <hyperlink ref="C337" r:id="rId1558" xr:uid="{00000000-0004-0000-0300-000015060000}"/>
    <hyperlink ref="E337" r:id="rId1559" xr:uid="{00000000-0004-0000-0300-000016060000}"/>
    <hyperlink ref="F337" r:id="rId1560" xr:uid="{00000000-0004-0000-0300-000017060000}"/>
    <hyperlink ref="C338" r:id="rId1561" xr:uid="{00000000-0004-0000-0300-000018060000}"/>
    <hyperlink ref="E338" r:id="rId1562" xr:uid="{00000000-0004-0000-0300-000019060000}"/>
    <hyperlink ref="F338" r:id="rId1563" xr:uid="{00000000-0004-0000-0300-00001A060000}"/>
    <hyperlink ref="G338" r:id="rId1564" xr:uid="{00000000-0004-0000-0300-00001B060000}"/>
    <hyperlink ref="C339" r:id="rId1565" xr:uid="{00000000-0004-0000-0300-00001C060000}"/>
    <hyperlink ref="E339" r:id="rId1566" xr:uid="{00000000-0004-0000-0300-00001D060000}"/>
    <hyperlink ref="F339" r:id="rId1567" xr:uid="{00000000-0004-0000-0300-00001E060000}"/>
    <hyperlink ref="G339" r:id="rId1568" xr:uid="{00000000-0004-0000-0300-00001F060000}"/>
    <hyperlink ref="C340" r:id="rId1569" xr:uid="{00000000-0004-0000-0300-000020060000}"/>
    <hyperlink ref="E340" r:id="rId1570" xr:uid="{00000000-0004-0000-0300-000021060000}"/>
    <hyperlink ref="F340" r:id="rId1571" xr:uid="{00000000-0004-0000-0300-000022060000}"/>
    <hyperlink ref="G340" r:id="rId1572" xr:uid="{00000000-0004-0000-0300-000023060000}"/>
    <hyperlink ref="H340" r:id="rId1573" xr:uid="{00000000-0004-0000-0300-000024060000}"/>
    <hyperlink ref="C341" r:id="rId1574" xr:uid="{00000000-0004-0000-0300-000025060000}"/>
    <hyperlink ref="E341" r:id="rId1575" xr:uid="{00000000-0004-0000-0300-000026060000}"/>
    <hyperlink ref="F341" r:id="rId1576" xr:uid="{00000000-0004-0000-0300-000027060000}"/>
    <hyperlink ref="G341" r:id="rId1577" xr:uid="{00000000-0004-0000-0300-000028060000}"/>
    <hyperlink ref="H341" r:id="rId1578" xr:uid="{00000000-0004-0000-0300-000029060000}"/>
    <hyperlink ref="C342" r:id="rId1579" xr:uid="{00000000-0004-0000-0300-00002A060000}"/>
    <hyperlink ref="E342" r:id="rId1580" xr:uid="{00000000-0004-0000-0300-00002B060000}"/>
    <hyperlink ref="F342" r:id="rId1581" xr:uid="{00000000-0004-0000-0300-00002C060000}"/>
    <hyperlink ref="G342" r:id="rId1582" xr:uid="{00000000-0004-0000-0300-00002D060000}"/>
    <hyperlink ref="H342" r:id="rId1583" xr:uid="{00000000-0004-0000-0300-00002E060000}"/>
    <hyperlink ref="C343" r:id="rId1584" xr:uid="{00000000-0004-0000-0300-00002F060000}"/>
    <hyperlink ref="E343" r:id="rId1585" xr:uid="{00000000-0004-0000-0300-000030060000}"/>
    <hyperlink ref="F343" r:id="rId1586" xr:uid="{00000000-0004-0000-0300-000031060000}"/>
    <hyperlink ref="G343" r:id="rId1587" xr:uid="{00000000-0004-0000-0300-000032060000}"/>
    <hyperlink ref="H343" r:id="rId1588" xr:uid="{00000000-0004-0000-0300-000033060000}"/>
    <hyperlink ref="C344" r:id="rId1589" xr:uid="{00000000-0004-0000-0300-000034060000}"/>
    <hyperlink ref="E344" r:id="rId1590" xr:uid="{00000000-0004-0000-0300-000035060000}"/>
    <hyperlink ref="F344" r:id="rId1591" xr:uid="{00000000-0004-0000-0300-000036060000}"/>
    <hyperlink ref="G344" r:id="rId1592" xr:uid="{00000000-0004-0000-0300-000037060000}"/>
    <hyperlink ref="H344" r:id="rId1593" xr:uid="{00000000-0004-0000-0300-000038060000}"/>
    <hyperlink ref="C345" r:id="rId1594" xr:uid="{00000000-0004-0000-0300-000039060000}"/>
    <hyperlink ref="E345" r:id="rId1595" xr:uid="{00000000-0004-0000-0300-00003A060000}"/>
    <hyperlink ref="F345" r:id="rId1596" xr:uid="{00000000-0004-0000-0300-00003B060000}"/>
    <hyperlink ref="G345" r:id="rId1597" xr:uid="{00000000-0004-0000-0300-00003C060000}"/>
    <hyperlink ref="C346" r:id="rId1598" xr:uid="{00000000-0004-0000-0300-00003D060000}"/>
    <hyperlink ref="E346" r:id="rId1599" xr:uid="{00000000-0004-0000-0300-00003E060000}"/>
    <hyperlink ref="F346" r:id="rId1600" xr:uid="{00000000-0004-0000-0300-00003F060000}"/>
    <hyperlink ref="G346" r:id="rId1601" xr:uid="{00000000-0004-0000-0300-000040060000}"/>
    <hyperlink ref="H346" r:id="rId1602" xr:uid="{00000000-0004-0000-0300-000041060000}"/>
    <hyperlink ref="C347" r:id="rId1603" xr:uid="{00000000-0004-0000-0300-000042060000}"/>
    <hyperlink ref="E347" r:id="rId1604" xr:uid="{00000000-0004-0000-0300-000043060000}"/>
    <hyperlink ref="F347" r:id="rId1605" xr:uid="{00000000-0004-0000-0300-000044060000}"/>
    <hyperlink ref="G347" r:id="rId1606" xr:uid="{00000000-0004-0000-0300-000045060000}"/>
    <hyperlink ref="H347" r:id="rId1607" xr:uid="{00000000-0004-0000-0300-000046060000}"/>
    <hyperlink ref="C348" r:id="rId1608" xr:uid="{00000000-0004-0000-0300-000047060000}"/>
    <hyperlink ref="E348" r:id="rId1609" xr:uid="{00000000-0004-0000-0300-000048060000}"/>
    <hyperlink ref="F348" r:id="rId1610" xr:uid="{00000000-0004-0000-0300-000049060000}"/>
    <hyperlink ref="G348" r:id="rId1611" xr:uid="{00000000-0004-0000-0300-00004A060000}"/>
    <hyperlink ref="H348" r:id="rId1612" xr:uid="{00000000-0004-0000-0300-00004B060000}"/>
    <hyperlink ref="C349" r:id="rId1613" xr:uid="{00000000-0004-0000-0300-00004C060000}"/>
    <hyperlink ref="E349" r:id="rId1614" xr:uid="{00000000-0004-0000-0300-00004D060000}"/>
    <hyperlink ref="F349" r:id="rId1615" xr:uid="{00000000-0004-0000-0300-00004E060000}"/>
    <hyperlink ref="G349" r:id="rId1616" xr:uid="{00000000-0004-0000-0300-00004F060000}"/>
    <hyperlink ref="H349" r:id="rId1617" xr:uid="{00000000-0004-0000-0300-000050060000}"/>
    <hyperlink ref="C350" r:id="rId1618" xr:uid="{00000000-0004-0000-0300-000051060000}"/>
    <hyperlink ref="E350" r:id="rId1619" xr:uid="{00000000-0004-0000-0300-000052060000}"/>
    <hyperlink ref="F350" r:id="rId1620" xr:uid="{00000000-0004-0000-0300-000053060000}"/>
    <hyperlink ref="G350" r:id="rId1621" xr:uid="{00000000-0004-0000-0300-000054060000}"/>
    <hyperlink ref="H350" r:id="rId1622" xr:uid="{00000000-0004-0000-0300-000055060000}"/>
    <hyperlink ref="C351" r:id="rId1623" xr:uid="{00000000-0004-0000-0300-000056060000}"/>
    <hyperlink ref="G351" r:id="rId1624" xr:uid="{00000000-0004-0000-0300-000057060000}"/>
    <hyperlink ref="H351" r:id="rId1625" xr:uid="{00000000-0004-0000-0300-000058060000}"/>
    <hyperlink ref="C352" r:id="rId1626" xr:uid="{00000000-0004-0000-0300-000059060000}"/>
    <hyperlink ref="G352" r:id="rId1627" xr:uid="{00000000-0004-0000-0300-00005A060000}"/>
    <hyperlink ref="H352" r:id="rId1628" xr:uid="{00000000-0004-0000-0300-00005B060000}"/>
    <hyperlink ref="C353" r:id="rId1629" xr:uid="{00000000-0004-0000-0300-00005C060000}"/>
    <hyperlink ref="G353" r:id="rId1630" xr:uid="{00000000-0004-0000-0300-00005D060000}"/>
    <hyperlink ref="H353" r:id="rId1631" xr:uid="{00000000-0004-0000-0300-00005E060000}"/>
    <hyperlink ref="C354" r:id="rId1632" xr:uid="{00000000-0004-0000-0300-00005F060000}"/>
    <hyperlink ref="G354" r:id="rId1633" xr:uid="{00000000-0004-0000-0300-000060060000}"/>
    <hyperlink ref="H354" r:id="rId1634" xr:uid="{00000000-0004-0000-0300-000061060000}"/>
    <hyperlink ref="C355" r:id="rId1635" xr:uid="{00000000-0004-0000-0300-000062060000}"/>
    <hyperlink ref="G355" r:id="rId1636" xr:uid="{00000000-0004-0000-0300-000063060000}"/>
    <hyperlink ref="H355" r:id="rId1637" xr:uid="{00000000-0004-0000-0300-000064060000}"/>
    <hyperlink ref="C356" r:id="rId1638" xr:uid="{00000000-0004-0000-0300-000065060000}"/>
    <hyperlink ref="G356" r:id="rId1639" xr:uid="{00000000-0004-0000-0300-000066060000}"/>
    <hyperlink ref="H356" r:id="rId1640" xr:uid="{00000000-0004-0000-0300-000067060000}"/>
    <hyperlink ref="C357" r:id="rId1641" xr:uid="{00000000-0004-0000-0300-000068060000}"/>
    <hyperlink ref="G357" r:id="rId1642" xr:uid="{00000000-0004-0000-0300-000069060000}"/>
    <hyperlink ref="H357" r:id="rId1643" xr:uid="{00000000-0004-0000-0300-00006A060000}"/>
    <hyperlink ref="C358" r:id="rId1644" xr:uid="{00000000-0004-0000-0300-00006B060000}"/>
    <hyperlink ref="G358" r:id="rId1645" xr:uid="{00000000-0004-0000-0300-00006C060000}"/>
    <hyperlink ref="H358" r:id="rId1646" xr:uid="{00000000-0004-0000-0300-00006D060000}"/>
    <hyperlink ref="C359" r:id="rId1647" xr:uid="{00000000-0004-0000-0300-00006E060000}"/>
    <hyperlink ref="G359" r:id="rId1648" xr:uid="{00000000-0004-0000-0300-00006F060000}"/>
    <hyperlink ref="H359" r:id="rId1649" xr:uid="{00000000-0004-0000-0300-000070060000}"/>
    <hyperlink ref="C360" r:id="rId1650" xr:uid="{00000000-0004-0000-0300-000071060000}"/>
    <hyperlink ref="G360" r:id="rId1651" xr:uid="{00000000-0004-0000-0300-000072060000}"/>
    <hyperlink ref="H360" r:id="rId1652" xr:uid="{00000000-0004-0000-0300-000073060000}"/>
    <hyperlink ref="C361" r:id="rId1653" xr:uid="{00000000-0004-0000-0300-000074060000}"/>
    <hyperlink ref="G361" r:id="rId1654" xr:uid="{00000000-0004-0000-0300-000075060000}"/>
    <hyperlink ref="H361" r:id="rId1655" xr:uid="{00000000-0004-0000-0300-000076060000}"/>
    <hyperlink ref="C362" r:id="rId1656" xr:uid="{00000000-0004-0000-0300-000077060000}"/>
    <hyperlink ref="H362" r:id="rId1657" xr:uid="{00000000-0004-0000-0300-000078060000}"/>
    <hyperlink ref="C363" r:id="rId1658" xr:uid="{00000000-0004-0000-0300-000079060000}"/>
    <hyperlink ref="G363" r:id="rId1659" xr:uid="{00000000-0004-0000-0300-00007A060000}"/>
    <hyperlink ref="H363" r:id="rId1660" xr:uid="{00000000-0004-0000-0300-00007B060000}"/>
    <hyperlink ref="C364" r:id="rId1661" xr:uid="{00000000-0004-0000-0300-00007C060000}"/>
    <hyperlink ref="G364" r:id="rId1662" xr:uid="{00000000-0004-0000-0300-00007D060000}"/>
    <hyperlink ref="H364" r:id="rId1663" xr:uid="{00000000-0004-0000-0300-00007E060000}"/>
    <hyperlink ref="C365" r:id="rId1664" xr:uid="{00000000-0004-0000-0300-00007F060000}"/>
    <hyperlink ref="G365" r:id="rId1665" xr:uid="{00000000-0004-0000-0300-000080060000}"/>
    <hyperlink ref="H365" r:id="rId1666" xr:uid="{00000000-0004-0000-0300-000081060000}"/>
    <hyperlink ref="C366" r:id="rId1667" xr:uid="{00000000-0004-0000-0300-000082060000}"/>
    <hyperlink ref="G366" r:id="rId1668" xr:uid="{00000000-0004-0000-0300-000083060000}"/>
    <hyperlink ref="H366" r:id="rId1669" xr:uid="{00000000-0004-0000-0300-000084060000}"/>
    <hyperlink ref="C367" r:id="rId1670" xr:uid="{00000000-0004-0000-0300-000085060000}"/>
    <hyperlink ref="G367" r:id="rId1671" xr:uid="{00000000-0004-0000-0300-000086060000}"/>
    <hyperlink ref="H367" r:id="rId1672" xr:uid="{00000000-0004-0000-0300-000087060000}"/>
    <hyperlink ref="C368" r:id="rId1673" xr:uid="{00000000-0004-0000-0300-000088060000}"/>
    <hyperlink ref="G368" r:id="rId1674" xr:uid="{00000000-0004-0000-0300-000089060000}"/>
    <hyperlink ref="H368" r:id="rId1675" xr:uid="{00000000-0004-0000-0300-00008A060000}"/>
    <hyperlink ref="C369" r:id="rId1676" xr:uid="{00000000-0004-0000-0300-00008B060000}"/>
    <hyperlink ref="G369" r:id="rId1677" xr:uid="{00000000-0004-0000-0300-00008C060000}"/>
    <hyperlink ref="H369" r:id="rId1678" xr:uid="{00000000-0004-0000-0300-00008D060000}"/>
    <hyperlink ref="C370" r:id="rId1679" xr:uid="{00000000-0004-0000-0300-00008E060000}"/>
    <hyperlink ref="G370" r:id="rId1680" xr:uid="{00000000-0004-0000-0300-00008F060000}"/>
    <hyperlink ref="H370" r:id="rId1681" xr:uid="{00000000-0004-0000-0300-000090060000}"/>
    <hyperlink ref="C371" r:id="rId1682" xr:uid="{00000000-0004-0000-0300-000091060000}"/>
    <hyperlink ref="G371" r:id="rId1683" xr:uid="{00000000-0004-0000-0300-000092060000}"/>
    <hyperlink ref="H371" r:id="rId1684" xr:uid="{00000000-0004-0000-0300-000093060000}"/>
    <hyperlink ref="C372" r:id="rId1685" xr:uid="{00000000-0004-0000-0300-000094060000}"/>
    <hyperlink ref="G372" r:id="rId1686" xr:uid="{00000000-0004-0000-0300-000095060000}"/>
    <hyperlink ref="H372" r:id="rId1687" xr:uid="{00000000-0004-0000-0300-000096060000}"/>
    <hyperlink ref="C373" r:id="rId1688" xr:uid="{00000000-0004-0000-0300-000097060000}"/>
    <hyperlink ref="G373" r:id="rId1689" xr:uid="{00000000-0004-0000-0300-000098060000}"/>
    <hyperlink ref="H373" r:id="rId1690" xr:uid="{00000000-0004-0000-0300-000099060000}"/>
    <hyperlink ref="C374" r:id="rId1691" xr:uid="{00000000-0004-0000-0300-00009A060000}"/>
    <hyperlink ref="G374" r:id="rId1692" xr:uid="{00000000-0004-0000-0300-00009B060000}"/>
    <hyperlink ref="H374" r:id="rId1693" xr:uid="{00000000-0004-0000-0300-00009C060000}"/>
    <hyperlink ref="C375" r:id="rId1694" xr:uid="{00000000-0004-0000-0300-00009D060000}"/>
    <hyperlink ref="G375" r:id="rId1695" xr:uid="{00000000-0004-0000-0300-00009E060000}"/>
    <hyperlink ref="H375" r:id="rId1696" xr:uid="{00000000-0004-0000-0300-00009F060000}"/>
    <hyperlink ref="C376" r:id="rId1697" xr:uid="{00000000-0004-0000-0300-0000A0060000}"/>
    <hyperlink ref="G376" r:id="rId1698" xr:uid="{00000000-0004-0000-0300-0000A1060000}"/>
    <hyperlink ref="H376" r:id="rId1699" xr:uid="{00000000-0004-0000-0300-0000A2060000}"/>
    <hyperlink ref="C377" r:id="rId1700" xr:uid="{00000000-0004-0000-0300-0000A3060000}"/>
    <hyperlink ref="G377" r:id="rId1701" xr:uid="{00000000-0004-0000-0300-0000A4060000}"/>
    <hyperlink ref="H377" r:id="rId1702" xr:uid="{00000000-0004-0000-0300-0000A5060000}"/>
    <hyperlink ref="C378" r:id="rId1703" xr:uid="{00000000-0004-0000-0300-0000A6060000}"/>
    <hyperlink ref="G378" r:id="rId1704" xr:uid="{00000000-0004-0000-0300-0000A7060000}"/>
    <hyperlink ref="H378" r:id="rId1705" xr:uid="{00000000-0004-0000-0300-0000A8060000}"/>
    <hyperlink ref="C379" r:id="rId1706" xr:uid="{00000000-0004-0000-0300-0000A9060000}"/>
    <hyperlink ref="G379" r:id="rId1707" xr:uid="{00000000-0004-0000-0300-0000AA060000}"/>
    <hyperlink ref="H379" r:id="rId1708" xr:uid="{00000000-0004-0000-0300-0000AB060000}"/>
    <hyperlink ref="C380" r:id="rId1709" xr:uid="{00000000-0004-0000-0300-0000AC060000}"/>
    <hyperlink ref="G380" r:id="rId1710" xr:uid="{00000000-0004-0000-0300-0000AD060000}"/>
    <hyperlink ref="H380" r:id="rId1711" xr:uid="{00000000-0004-0000-0300-0000AE060000}"/>
    <hyperlink ref="C381" r:id="rId1712" xr:uid="{00000000-0004-0000-0300-0000AF060000}"/>
    <hyperlink ref="G381" r:id="rId1713" xr:uid="{00000000-0004-0000-0300-0000B0060000}"/>
    <hyperlink ref="H381" r:id="rId1714" xr:uid="{00000000-0004-0000-0300-0000B1060000}"/>
    <hyperlink ref="C382" r:id="rId1715" xr:uid="{00000000-0004-0000-0300-0000B2060000}"/>
    <hyperlink ref="G382" r:id="rId1716" xr:uid="{00000000-0004-0000-0300-0000B3060000}"/>
    <hyperlink ref="H382" r:id="rId1717" xr:uid="{00000000-0004-0000-0300-0000B4060000}"/>
    <hyperlink ref="C383" r:id="rId1718" xr:uid="{00000000-0004-0000-0300-0000B5060000}"/>
    <hyperlink ref="G383" r:id="rId1719" xr:uid="{00000000-0004-0000-0300-0000B6060000}"/>
    <hyperlink ref="H383" r:id="rId1720" xr:uid="{00000000-0004-0000-0300-0000B7060000}"/>
    <hyperlink ref="C384" r:id="rId1721" xr:uid="{00000000-0004-0000-0300-0000B8060000}"/>
    <hyperlink ref="G384" r:id="rId1722" xr:uid="{00000000-0004-0000-0300-0000B9060000}"/>
    <hyperlink ref="H384" r:id="rId1723" xr:uid="{00000000-0004-0000-0300-0000BA060000}"/>
    <hyperlink ref="C385" r:id="rId1724" xr:uid="{00000000-0004-0000-0300-0000BB060000}"/>
    <hyperlink ref="G385" r:id="rId1725" xr:uid="{00000000-0004-0000-0300-0000BC060000}"/>
    <hyperlink ref="H385" r:id="rId1726" xr:uid="{00000000-0004-0000-0300-0000BD060000}"/>
    <hyperlink ref="C386" r:id="rId1727" xr:uid="{00000000-0004-0000-0300-0000BE060000}"/>
    <hyperlink ref="G386" r:id="rId1728" xr:uid="{00000000-0004-0000-0300-0000BF060000}"/>
    <hyperlink ref="H386" r:id="rId1729" xr:uid="{00000000-0004-0000-0300-0000C0060000}"/>
    <hyperlink ref="C387" r:id="rId1730" xr:uid="{00000000-0004-0000-0300-0000C1060000}"/>
    <hyperlink ref="G387" r:id="rId1731" xr:uid="{00000000-0004-0000-0300-0000C2060000}"/>
    <hyperlink ref="H387" r:id="rId1732" xr:uid="{00000000-0004-0000-0300-0000C3060000}"/>
    <hyperlink ref="C388" r:id="rId1733" xr:uid="{00000000-0004-0000-0300-0000C4060000}"/>
    <hyperlink ref="G388" r:id="rId1734" xr:uid="{00000000-0004-0000-0300-0000C5060000}"/>
    <hyperlink ref="H388" r:id="rId1735" xr:uid="{00000000-0004-0000-0300-0000C6060000}"/>
    <hyperlink ref="C389" r:id="rId1736" xr:uid="{00000000-0004-0000-0300-0000C7060000}"/>
    <hyperlink ref="G389" r:id="rId1737" xr:uid="{00000000-0004-0000-0300-0000C8060000}"/>
    <hyperlink ref="H389" r:id="rId1738" xr:uid="{00000000-0004-0000-0300-0000C9060000}"/>
    <hyperlink ref="C390" r:id="rId1739" xr:uid="{00000000-0004-0000-0300-0000CA060000}"/>
    <hyperlink ref="G390" r:id="rId1740" xr:uid="{00000000-0004-0000-0300-0000CB060000}"/>
    <hyperlink ref="H390" r:id="rId1741" xr:uid="{00000000-0004-0000-0300-0000CC060000}"/>
    <hyperlink ref="C391" r:id="rId1742" xr:uid="{00000000-0004-0000-0300-0000CD060000}"/>
    <hyperlink ref="C392" r:id="rId1743" xr:uid="{00000000-0004-0000-0300-0000CE060000}"/>
    <hyperlink ref="C393" r:id="rId1744" xr:uid="{00000000-0004-0000-0300-0000CF060000}"/>
    <hyperlink ref="C394" r:id="rId1745" xr:uid="{00000000-0004-0000-0300-0000D0060000}"/>
    <hyperlink ref="C395" r:id="rId1746" xr:uid="{00000000-0004-0000-0300-0000D1060000}"/>
    <hyperlink ref="G395" r:id="rId1747" xr:uid="{00000000-0004-0000-0300-0000D2060000}"/>
    <hyperlink ref="H395" r:id="rId1748" xr:uid="{00000000-0004-0000-0300-0000D3060000}"/>
    <hyperlink ref="C396" r:id="rId1749" xr:uid="{00000000-0004-0000-0300-0000D4060000}"/>
    <hyperlink ref="G396" r:id="rId1750" xr:uid="{00000000-0004-0000-0300-0000D5060000}"/>
    <hyperlink ref="H396" r:id="rId1751" xr:uid="{00000000-0004-0000-0300-0000D6060000}"/>
    <hyperlink ref="C397" r:id="rId1752" xr:uid="{00000000-0004-0000-0300-0000D7060000}"/>
    <hyperlink ref="G397" r:id="rId1753" xr:uid="{00000000-0004-0000-0300-0000D8060000}"/>
    <hyperlink ref="H397" r:id="rId1754" xr:uid="{00000000-0004-0000-0300-0000D9060000}"/>
    <hyperlink ref="C398" r:id="rId1755" xr:uid="{00000000-0004-0000-0300-0000DA060000}"/>
    <hyperlink ref="G398" r:id="rId1756" xr:uid="{00000000-0004-0000-0300-0000DB060000}"/>
    <hyperlink ref="H398" r:id="rId1757" xr:uid="{00000000-0004-0000-0300-0000DC060000}"/>
    <hyperlink ref="C399" r:id="rId1758" xr:uid="{00000000-0004-0000-0300-0000DD060000}"/>
    <hyperlink ref="G399" r:id="rId1759" xr:uid="{00000000-0004-0000-0300-0000DE060000}"/>
    <hyperlink ref="H399" r:id="rId1760" xr:uid="{00000000-0004-0000-0300-0000DF060000}"/>
    <hyperlink ref="C400" r:id="rId1761" xr:uid="{00000000-0004-0000-0300-0000E0060000}"/>
    <hyperlink ref="G400" r:id="rId1762" xr:uid="{00000000-0004-0000-0300-0000E1060000}"/>
    <hyperlink ref="H400" r:id="rId1763" xr:uid="{00000000-0004-0000-0300-0000E2060000}"/>
    <hyperlink ref="C401" r:id="rId1764" xr:uid="{00000000-0004-0000-0300-0000E3060000}"/>
    <hyperlink ref="G401" r:id="rId1765" xr:uid="{00000000-0004-0000-0300-0000E4060000}"/>
    <hyperlink ref="H401" r:id="rId1766" xr:uid="{00000000-0004-0000-0300-0000E5060000}"/>
    <hyperlink ref="C402" r:id="rId1767" xr:uid="{00000000-0004-0000-0300-0000E6060000}"/>
    <hyperlink ref="G402" r:id="rId1768" xr:uid="{00000000-0004-0000-0300-0000E7060000}"/>
    <hyperlink ref="H402" r:id="rId1769" xr:uid="{00000000-0004-0000-0300-0000E8060000}"/>
    <hyperlink ref="C403" r:id="rId1770" xr:uid="{00000000-0004-0000-0300-0000E9060000}"/>
    <hyperlink ref="G403" r:id="rId1771" xr:uid="{00000000-0004-0000-0300-0000EA060000}"/>
    <hyperlink ref="H403" r:id="rId1772" xr:uid="{00000000-0004-0000-0300-0000EB060000}"/>
    <hyperlink ref="C404" r:id="rId1773" xr:uid="{00000000-0004-0000-0300-0000EC060000}"/>
    <hyperlink ref="G404" r:id="rId1774" xr:uid="{00000000-0004-0000-0300-0000ED060000}"/>
    <hyperlink ref="H404" r:id="rId1775" xr:uid="{00000000-0004-0000-0300-0000EE060000}"/>
    <hyperlink ref="C405" r:id="rId1776" xr:uid="{00000000-0004-0000-0300-0000EF060000}"/>
    <hyperlink ref="G405" r:id="rId1777" xr:uid="{00000000-0004-0000-0300-0000F0060000}"/>
    <hyperlink ref="H405" r:id="rId1778" xr:uid="{00000000-0004-0000-0300-0000F1060000}"/>
    <hyperlink ref="C406" r:id="rId1779" xr:uid="{00000000-0004-0000-0300-0000F2060000}"/>
    <hyperlink ref="G406" r:id="rId1780" xr:uid="{00000000-0004-0000-0300-0000F3060000}"/>
    <hyperlink ref="H406" r:id="rId1781" xr:uid="{00000000-0004-0000-0300-0000F4060000}"/>
    <hyperlink ref="C407" r:id="rId1782" xr:uid="{00000000-0004-0000-0300-0000F5060000}"/>
    <hyperlink ref="G407" r:id="rId1783" xr:uid="{00000000-0004-0000-0300-0000F6060000}"/>
    <hyperlink ref="H407" r:id="rId1784" xr:uid="{00000000-0004-0000-0300-0000F7060000}"/>
    <hyperlink ref="C408" r:id="rId1785" xr:uid="{00000000-0004-0000-0300-0000F8060000}"/>
    <hyperlink ref="G408" r:id="rId1786" xr:uid="{00000000-0004-0000-0300-0000F9060000}"/>
    <hyperlink ref="H408" r:id="rId1787" xr:uid="{00000000-0004-0000-0300-0000FA060000}"/>
    <hyperlink ref="C409" r:id="rId1788" xr:uid="{00000000-0004-0000-0300-0000FB060000}"/>
    <hyperlink ref="C410" r:id="rId1789" xr:uid="{00000000-0004-0000-0300-0000FC060000}"/>
    <hyperlink ref="G410" r:id="rId1790" xr:uid="{00000000-0004-0000-0300-0000FD060000}"/>
    <hyperlink ref="H410" r:id="rId1791" xr:uid="{00000000-0004-0000-0300-0000FE060000}"/>
    <hyperlink ref="C411" r:id="rId1792" xr:uid="{00000000-0004-0000-0300-0000FF060000}"/>
    <hyperlink ref="G411" r:id="rId1793" xr:uid="{00000000-0004-0000-0300-000000070000}"/>
    <hyperlink ref="H411" r:id="rId1794" xr:uid="{00000000-0004-0000-0300-000001070000}"/>
    <hyperlink ref="C412" r:id="rId1795" xr:uid="{00000000-0004-0000-0300-000002070000}"/>
    <hyperlink ref="G412" r:id="rId1796" xr:uid="{00000000-0004-0000-0300-000003070000}"/>
    <hyperlink ref="H412" r:id="rId1797" xr:uid="{00000000-0004-0000-0300-000004070000}"/>
    <hyperlink ref="C413" r:id="rId1798" xr:uid="{00000000-0004-0000-0300-000005070000}"/>
    <hyperlink ref="G413" r:id="rId1799" xr:uid="{00000000-0004-0000-0300-000006070000}"/>
    <hyperlink ref="H413" r:id="rId1800" xr:uid="{00000000-0004-0000-0300-000007070000}"/>
    <hyperlink ref="C414" r:id="rId1801" xr:uid="{00000000-0004-0000-0300-000008070000}"/>
    <hyperlink ref="G414" r:id="rId1802" xr:uid="{00000000-0004-0000-0300-000009070000}"/>
    <hyperlink ref="H414" r:id="rId1803" xr:uid="{00000000-0004-0000-0300-00000A070000}"/>
    <hyperlink ref="C415" r:id="rId1804" xr:uid="{00000000-0004-0000-0300-00000B070000}"/>
    <hyperlink ref="G415" r:id="rId1805" xr:uid="{00000000-0004-0000-0300-00000C070000}"/>
    <hyperlink ref="H415" r:id="rId1806" xr:uid="{00000000-0004-0000-0300-00000D070000}"/>
    <hyperlink ref="C416" r:id="rId1807" xr:uid="{00000000-0004-0000-0300-00000E070000}"/>
    <hyperlink ref="G416" r:id="rId1808" xr:uid="{00000000-0004-0000-0300-00000F070000}"/>
    <hyperlink ref="H416" r:id="rId1809" xr:uid="{00000000-0004-0000-0300-000010070000}"/>
    <hyperlink ref="C417" r:id="rId1810" xr:uid="{00000000-0004-0000-0300-000011070000}"/>
    <hyperlink ref="G417" r:id="rId1811" xr:uid="{00000000-0004-0000-0300-000012070000}"/>
    <hyperlink ref="H417" r:id="rId1812" xr:uid="{00000000-0004-0000-0300-000013070000}"/>
    <hyperlink ref="C418" r:id="rId1813" xr:uid="{00000000-0004-0000-0300-000014070000}"/>
    <hyperlink ref="G418" r:id="rId1814" xr:uid="{00000000-0004-0000-0300-000015070000}"/>
    <hyperlink ref="H418" r:id="rId1815" xr:uid="{00000000-0004-0000-0300-000016070000}"/>
    <hyperlink ref="C419" r:id="rId1816" xr:uid="{00000000-0004-0000-0300-000017070000}"/>
    <hyperlink ref="G419" r:id="rId1817" xr:uid="{00000000-0004-0000-0300-000018070000}"/>
    <hyperlink ref="H419" r:id="rId1818" xr:uid="{00000000-0004-0000-0300-000019070000}"/>
    <hyperlink ref="C420" r:id="rId1819" xr:uid="{00000000-0004-0000-0300-00001A070000}"/>
    <hyperlink ref="G420" r:id="rId1820" xr:uid="{00000000-0004-0000-0300-00001B070000}"/>
    <hyperlink ref="H420" r:id="rId1821" xr:uid="{00000000-0004-0000-0300-00001C070000}"/>
    <hyperlink ref="C421" r:id="rId1822" xr:uid="{00000000-0004-0000-0300-00001D070000}"/>
    <hyperlink ref="G421" r:id="rId1823" xr:uid="{00000000-0004-0000-0300-00001E070000}"/>
    <hyperlink ref="H421" r:id="rId1824" xr:uid="{00000000-0004-0000-0300-00001F070000}"/>
    <hyperlink ref="C422" r:id="rId1825" xr:uid="{00000000-0004-0000-0300-000020070000}"/>
    <hyperlink ref="G422" r:id="rId1826" xr:uid="{00000000-0004-0000-0300-000021070000}"/>
    <hyperlink ref="H422" r:id="rId1827" xr:uid="{00000000-0004-0000-0300-000022070000}"/>
    <hyperlink ref="C423" r:id="rId1828" xr:uid="{00000000-0004-0000-0300-000023070000}"/>
    <hyperlink ref="G423" r:id="rId1829" xr:uid="{00000000-0004-0000-0300-000024070000}"/>
    <hyperlink ref="H423" r:id="rId1830" xr:uid="{00000000-0004-0000-0300-000025070000}"/>
    <hyperlink ref="C424" r:id="rId1831" xr:uid="{00000000-0004-0000-0300-000026070000}"/>
    <hyperlink ref="G424" r:id="rId1832" xr:uid="{00000000-0004-0000-0300-000027070000}"/>
    <hyperlink ref="H424" r:id="rId1833" xr:uid="{00000000-0004-0000-0300-000028070000}"/>
    <hyperlink ref="C425" r:id="rId1834" xr:uid="{00000000-0004-0000-0300-000029070000}"/>
    <hyperlink ref="G425" r:id="rId1835" xr:uid="{00000000-0004-0000-0300-00002A070000}"/>
    <hyperlink ref="H425" r:id="rId1836" xr:uid="{00000000-0004-0000-0300-00002B070000}"/>
    <hyperlink ref="C426" r:id="rId1837" xr:uid="{00000000-0004-0000-0300-00002C070000}"/>
    <hyperlink ref="G426" r:id="rId1838" xr:uid="{00000000-0004-0000-0300-00002D070000}"/>
    <hyperlink ref="H426" r:id="rId1839" xr:uid="{00000000-0004-0000-0300-00002E070000}"/>
    <hyperlink ref="C427" r:id="rId1840" xr:uid="{00000000-0004-0000-0300-00002F070000}"/>
    <hyperlink ref="G427" r:id="rId1841" xr:uid="{00000000-0004-0000-0300-000030070000}"/>
    <hyperlink ref="H427" r:id="rId1842" xr:uid="{00000000-0004-0000-0300-000031070000}"/>
    <hyperlink ref="C428" r:id="rId1843" xr:uid="{00000000-0004-0000-0300-000032070000}"/>
    <hyperlink ref="G428" r:id="rId1844" xr:uid="{00000000-0004-0000-0300-000033070000}"/>
    <hyperlink ref="H428" r:id="rId1845" xr:uid="{00000000-0004-0000-0300-000034070000}"/>
    <hyperlink ref="G429" r:id="rId1846" xr:uid="{00000000-0004-0000-0300-000035070000}"/>
    <hyperlink ref="H429" r:id="rId1847" xr:uid="{00000000-0004-0000-0300-000036070000}"/>
    <hyperlink ref="G430" r:id="rId1848" xr:uid="{00000000-0004-0000-0300-000037070000}"/>
    <hyperlink ref="H430" r:id="rId1849" xr:uid="{00000000-0004-0000-0300-000038070000}"/>
    <hyperlink ref="C431" r:id="rId1850" xr:uid="{00000000-0004-0000-0300-000039070000}"/>
    <hyperlink ref="G431" r:id="rId1851" xr:uid="{00000000-0004-0000-0300-00003A070000}"/>
    <hyperlink ref="H431" r:id="rId1852" xr:uid="{00000000-0004-0000-0300-00003B070000}"/>
    <hyperlink ref="C432" r:id="rId1853" xr:uid="{00000000-0004-0000-0300-00003C070000}"/>
    <hyperlink ref="G432" r:id="rId1854" xr:uid="{00000000-0004-0000-0300-00003D070000}"/>
    <hyperlink ref="H432" r:id="rId1855" xr:uid="{00000000-0004-0000-0300-00003E070000}"/>
    <hyperlink ref="C433" r:id="rId1856" xr:uid="{00000000-0004-0000-0300-00003F070000}"/>
    <hyperlink ref="G433" r:id="rId1857" xr:uid="{00000000-0004-0000-0300-000040070000}"/>
    <hyperlink ref="H433" r:id="rId1858" xr:uid="{00000000-0004-0000-0300-000041070000}"/>
    <hyperlink ref="C434" r:id="rId1859" xr:uid="{00000000-0004-0000-0300-000042070000}"/>
    <hyperlink ref="G434" r:id="rId1860" xr:uid="{00000000-0004-0000-0300-000043070000}"/>
    <hyperlink ref="H434" r:id="rId1861" xr:uid="{00000000-0004-0000-0300-000044070000}"/>
    <hyperlink ref="C435" r:id="rId1862" xr:uid="{00000000-0004-0000-0300-000045070000}"/>
    <hyperlink ref="G435" r:id="rId1863" xr:uid="{00000000-0004-0000-0300-000046070000}"/>
    <hyperlink ref="H435" r:id="rId1864" xr:uid="{00000000-0004-0000-0300-000047070000}"/>
    <hyperlink ref="C436" r:id="rId1865" xr:uid="{00000000-0004-0000-0300-000048070000}"/>
    <hyperlink ref="G436" r:id="rId1866" xr:uid="{00000000-0004-0000-0300-000049070000}"/>
    <hyperlink ref="H436" r:id="rId1867" xr:uid="{00000000-0004-0000-0300-00004A070000}"/>
    <hyperlink ref="C437" r:id="rId1868" xr:uid="{00000000-0004-0000-0300-00004B070000}"/>
    <hyperlink ref="G437" r:id="rId1869" xr:uid="{00000000-0004-0000-0300-00004C070000}"/>
    <hyperlink ref="H437" r:id="rId1870" xr:uid="{00000000-0004-0000-0300-00004D070000}"/>
    <hyperlink ref="G438" r:id="rId1871" xr:uid="{00000000-0004-0000-0300-00004E070000}"/>
    <hyperlink ref="H438" r:id="rId1872" xr:uid="{00000000-0004-0000-0300-00004F070000}"/>
    <hyperlink ref="C439" r:id="rId1873" xr:uid="{00000000-0004-0000-0300-000050070000}"/>
    <hyperlink ref="G439" r:id="rId1874" xr:uid="{00000000-0004-0000-0300-000051070000}"/>
    <hyperlink ref="H439" r:id="rId1875" xr:uid="{00000000-0004-0000-0300-000052070000}"/>
    <hyperlink ref="C440" r:id="rId1876" xr:uid="{00000000-0004-0000-0300-000053070000}"/>
    <hyperlink ref="G440" r:id="rId1877" xr:uid="{00000000-0004-0000-0300-000054070000}"/>
    <hyperlink ref="H440" r:id="rId1878" xr:uid="{00000000-0004-0000-0300-000055070000}"/>
    <hyperlink ref="C441" r:id="rId1879" xr:uid="{00000000-0004-0000-0300-000056070000}"/>
    <hyperlink ref="G441" r:id="rId1880" xr:uid="{00000000-0004-0000-0300-000057070000}"/>
    <hyperlink ref="H441" r:id="rId1881" xr:uid="{00000000-0004-0000-0300-000058070000}"/>
    <hyperlink ref="C442" r:id="rId1882" xr:uid="{00000000-0004-0000-0300-000059070000}"/>
    <hyperlink ref="G442" r:id="rId1883" xr:uid="{00000000-0004-0000-0300-00005A070000}"/>
    <hyperlink ref="H442" r:id="rId1884" xr:uid="{00000000-0004-0000-0300-00005B070000}"/>
    <hyperlink ref="G443" r:id="rId1885" xr:uid="{00000000-0004-0000-0300-00005C070000}"/>
    <hyperlink ref="H443" r:id="rId1886" xr:uid="{00000000-0004-0000-0300-00005D070000}"/>
    <hyperlink ref="G444" r:id="rId1887" xr:uid="{00000000-0004-0000-0300-00005E070000}"/>
    <hyperlink ref="H444" r:id="rId1888" xr:uid="{00000000-0004-0000-0300-00005F070000}"/>
    <hyperlink ref="C445" r:id="rId1889" xr:uid="{00000000-0004-0000-0300-000060070000}"/>
    <hyperlink ref="G445" r:id="rId1890" xr:uid="{00000000-0004-0000-0300-000061070000}"/>
    <hyperlink ref="H445" r:id="rId1891" xr:uid="{00000000-0004-0000-0300-000062070000}"/>
    <hyperlink ref="C446" r:id="rId1892" xr:uid="{00000000-0004-0000-0300-000063070000}"/>
    <hyperlink ref="G446" r:id="rId1893" xr:uid="{00000000-0004-0000-0300-000064070000}"/>
    <hyperlink ref="H446" r:id="rId1894" xr:uid="{00000000-0004-0000-0300-000065070000}"/>
    <hyperlink ref="C447" r:id="rId1895" xr:uid="{00000000-0004-0000-0300-000066070000}"/>
    <hyperlink ref="G447" r:id="rId1896" xr:uid="{00000000-0004-0000-0300-000067070000}"/>
    <hyperlink ref="H447" r:id="rId1897" xr:uid="{00000000-0004-0000-0300-000068070000}"/>
    <hyperlink ref="C448" r:id="rId1898" xr:uid="{00000000-0004-0000-0300-000069070000}"/>
    <hyperlink ref="G448" r:id="rId1899" xr:uid="{00000000-0004-0000-0300-00006A070000}"/>
    <hyperlink ref="H448" r:id="rId1900" xr:uid="{00000000-0004-0000-0300-00006B070000}"/>
    <hyperlink ref="C449" r:id="rId1901" xr:uid="{00000000-0004-0000-0300-00006C070000}"/>
    <hyperlink ref="G449" r:id="rId1902" xr:uid="{00000000-0004-0000-0300-00006D070000}"/>
    <hyperlink ref="H449" r:id="rId1903" xr:uid="{00000000-0004-0000-0300-00006E070000}"/>
    <hyperlink ref="C450" r:id="rId1904" xr:uid="{00000000-0004-0000-0300-00006F070000}"/>
    <hyperlink ref="G450" r:id="rId1905" xr:uid="{00000000-0004-0000-0300-000070070000}"/>
    <hyperlink ref="H450" r:id="rId1906" xr:uid="{00000000-0004-0000-0300-000071070000}"/>
    <hyperlink ref="C451" r:id="rId1907" xr:uid="{00000000-0004-0000-0300-000072070000}"/>
    <hyperlink ref="G451" r:id="rId1908" xr:uid="{00000000-0004-0000-0300-000073070000}"/>
    <hyperlink ref="H451" r:id="rId1909" xr:uid="{00000000-0004-0000-0300-000074070000}"/>
    <hyperlink ref="C452" r:id="rId1910" xr:uid="{00000000-0004-0000-0300-000075070000}"/>
    <hyperlink ref="G452" r:id="rId1911" xr:uid="{00000000-0004-0000-0300-000076070000}"/>
    <hyperlink ref="H452" r:id="rId1912" xr:uid="{00000000-0004-0000-0300-000077070000}"/>
    <hyperlink ref="C453" r:id="rId1913" xr:uid="{00000000-0004-0000-0300-000078070000}"/>
    <hyperlink ref="G453" r:id="rId1914" xr:uid="{00000000-0004-0000-0300-000079070000}"/>
    <hyperlink ref="H453" r:id="rId1915" xr:uid="{00000000-0004-0000-0300-00007A070000}"/>
    <hyperlink ref="C454" r:id="rId1916" xr:uid="{00000000-0004-0000-0300-00007B070000}"/>
    <hyperlink ref="G454" r:id="rId1917" xr:uid="{00000000-0004-0000-0300-00007C070000}"/>
    <hyperlink ref="H454" r:id="rId1918" xr:uid="{00000000-0004-0000-0300-00007D070000}"/>
    <hyperlink ref="C455" r:id="rId1919" xr:uid="{00000000-0004-0000-0300-00007E070000}"/>
    <hyperlink ref="G455" r:id="rId1920" xr:uid="{00000000-0004-0000-0300-00007F070000}"/>
    <hyperlink ref="H455" r:id="rId1921" xr:uid="{00000000-0004-0000-0300-000080070000}"/>
    <hyperlink ref="C456" r:id="rId1922" xr:uid="{00000000-0004-0000-0300-000081070000}"/>
    <hyperlink ref="G456" r:id="rId1923" xr:uid="{00000000-0004-0000-0300-000082070000}"/>
    <hyperlink ref="H456" r:id="rId1924" xr:uid="{00000000-0004-0000-0300-000083070000}"/>
    <hyperlink ref="C457" r:id="rId1925" xr:uid="{00000000-0004-0000-0300-000084070000}"/>
    <hyperlink ref="G457" r:id="rId1926" xr:uid="{00000000-0004-0000-0300-000085070000}"/>
    <hyperlink ref="H457" r:id="rId1927" xr:uid="{00000000-0004-0000-0300-000086070000}"/>
    <hyperlink ref="C458" r:id="rId1928" xr:uid="{00000000-0004-0000-0300-000087070000}"/>
    <hyperlink ref="G458" r:id="rId1929" xr:uid="{00000000-0004-0000-0300-000088070000}"/>
    <hyperlink ref="H458" r:id="rId1930" xr:uid="{00000000-0004-0000-0300-000089070000}"/>
    <hyperlink ref="C459" r:id="rId1931" xr:uid="{00000000-0004-0000-0300-00008A070000}"/>
    <hyperlink ref="G459" r:id="rId1932" xr:uid="{00000000-0004-0000-0300-00008B070000}"/>
    <hyperlink ref="H459" r:id="rId1933" xr:uid="{00000000-0004-0000-0300-00008C070000}"/>
    <hyperlink ref="C460" r:id="rId1934" xr:uid="{00000000-0004-0000-0300-00008D070000}"/>
    <hyperlink ref="G460" r:id="rId1935" xr:uid="{00000000-0004-0000-0300-00008E070000}"/>
    <hyperlink ref="H460" r:id="rId1936" xr:uid="{00000000-0004-0000-0300-00008F070000}"/>
    <hyperlink ref="C461" r:id="rId1937" xr:uid="{00000000-0004-0000-0300-000090070000}"/>
    <hyperlink ref="G461" r:id="rId1938" xr:uid="{00000000-0004-0000-0300-000091070000}"/>
    <hyperlink ref="H461" r:id="rId1939" xr:uid="{00000000-0004-0000-0300-000092070000}"/>
    <hyperlink ref="C462" r:id="rId1940" xr:uid="{00000000-0004-0000-0300-000093070000}"/>
    <hyperlink ref="G462" r:id="rId1941" xr:uid="{00000000-0004-0000-0300-000094070000}"/>
    <hyperlink ref="H462" r:id="rId1942" xr:uid="{00000000-0004-0000-0300-000095070000}"/>
    <hyperlink ref="C463" r:id="rId1943" xr:uid="{00000000-0004-0000-0300-000096070000}"/>
    <hyperlink ref="G463" r:id="rId1944" xr:uid="{00000000-0004-0000-0300-000097070000}"/>
    <hyperlink ref="H463" r:id="rId1945" xr:uid="{00000000-0004-0000-0300-000098070000}"/>
    <hyperlink ref="C464" r:id="rId1946" xr:uid="{00000000-0004-0000-0300-000099070000}"/>
    <hyperlink ref="G464" r:id="rId1947" xr:uid="{00000000-0004-0000-0300-00009A070000}"/>
    <hyperlink ref="H464" r:id="rId1948" xr:uid="{00000000-0004-0000-0300-00009B070000}"/>
    <hyperlink ref="C465" r:id="rId1949" xr:uid="{00000000-0004-0000-0300-00009C070000}"/>
    <hyperlink ref="G465" r:id="rId1950" xr:uid="{00000000-0004-0000-0300-00009D070000}"/>
    <hyperlink ref="H465" r:id="rId1951" xr:uid="{00000000-0004-0000-0300-00009E070000}"/>
    <hyperlink ref="C466" r:id="rId1952" xr:uid="{00000000-0004-0000-0300-00009F070000}"/>
    <hyperlink ref="G466" r:id="rId1953" xr:uid="{00000000-0004-0000-0300-0000A0070000}"/>
    <hyperlink ref="H466" r:id="rId1954" xr:uid="{00000000-0004-0000-0300-0000A1070000}"/>
    <hyperlink ref="C467" r:id="rId1955" xr:uid="{00000000-0004-0000-0300-0000A2070000}"/>
    <hyperlink ref="G467" r:id="rId1956" xr:uid="{00000000-0004-0000-0300-0000A3070000}"/>
    <hyperlink ref="H467" r:id="rId1957" xr:uid="{00000000-0004-0000-0300-0000A4070000}"/>
    <hyperlink ref="C468" r:id="rId1958" xr:uid="{00000000-0004-0000-0300-0000A5070000}"/>
    <hyperlink ref="G468" r:id="rId1959" xr:uid="{00000000-0004-0000-0300-0000A6070000}"/>
    <hyperlink ref="H468" r:id="rId1960" xr:uid="{00000000-0004-0000-0300-0000A7070000}"/>
    <hyperlink ref="C469" r:id="rId1961" xr:uid="{00000000-0004-0000-0300-0000A8070000}"/>
    <hyperlink ref="G469" r:id="rId1962" xr:uid="{00000000-0004-0000-0300-0000A9070000}"/>
    <hyperlink ref="H469" r:id="rId1963" xr:uid="{00000000-0004-0000-0300-0000AA070000}"/>
    <hyperlink ref="C470" r:id="rId1964" xr:uid="{00000000-0004-0000-0300-0000AB070000}"/>
    <hyperlink ref="G470" r:id="rId1965" xr:uid="{00000000-0004-0000-0300-0000AC070000}"/>
    <hyperlink ref="H470" r:id="rId1966" xr:uid="{00000000-0004-0000-0300-0000AD070000}"/>
    <hyperlink ref="C471" r:id="rId1967" xr:uid="{00000000-0004-0000-0300-0000AE070000}"/>
    <hyperlink ref="G471" r:id="rId1968" xr:uid="{00000000-0004-0000-0300-0000AF070000}"/>
    <hyperlink ref="H471" r:id="rId1969" xr:uid="{00000000-0004-0000-0300-0000B0070000}"/>
    <hyperlink ref="C472" r:id="rId1970" xr:uid="{00000000-0004-0000-0300-0000B1070000}"/>
    <hyperlink ref="G472" r:id="rId1971" xr:uid="{00000000-0004-0000-0300-0000B2070000}"/>
    <hyperlink ref="H472" r:id="rId1972" xr:uid="{00000000-0004-0000-0300-0000B3070000}"/>
    <hyperlink ref="C473" r:id="rId1973" xr:uid="{00000000-0004-0000-0300-0000B4070000}"/>
    <hyperlink ref="G473" r:id="rId1974" xr:uid="{00000000-0004-0000-0300-0000B5070000}"/>
    <hyperlink ref="H473" r:id="rId1975" xr:uid="{00000000-0004-0000-0300-0000B6070000}"/>
    <hyperlink ref="C474" r:id="rId1976" xr:uid="{00000000-0004-0000-0300-0000B7070000}"/>
    <hyperlink ref="G474" r:id="rId1977" xr:uid="{00000000-0004-0000-0300-0000B8070000}"/>
    <hyperlink ref="H474" r:id="rId1978" xr:uid="{00000000-0004-0000-0300-0000B9070000}"/>
    <hyperlink ref="C475" r:id="rId1979" xr:uid="{00000000-0004-0000-0300-0000BA070000}"/>
    <hyperlink ref="G475" r:id="rId1980" xr:uid="{00000000-0004-0000-0300-0000BB070000}"/>
    <hyperlink ref="H475" r:id="rId1981" xr:uid="{00000000-0004-0000-0300-0000BC070000}"/>
    <hyperlink ref="C476" r:id="rId1982" xr:uid="{00000000-0004-0000-0300-0000BD070000}"/>
    <hyperlink ref="G476" r:id="rId1983" xr:uid="{00000000-0004-0000-0300-0000BE070000}"/>
    <hyperlink ref="H476" r:id="rId1984" xr:uid="{00000000-0004-0000-0300-0000BF070000}"/>
    <hyperlink ref="C477" r:id="rId1985" xr:uid="{00000000-0004-0000-0300-0000C0070000}"/>
    <hyperlink ref="G477" r:id="rId1986" xr:uid="{00000000-0004-0000-0300-0000C1070000}"/>
    <hyperlink ref="H477" r:id="rId1987" xr:uid="{00000000-0004-0000-0300-0000C2070000}"/>
    <hyperlink ref="C478" r:id="rId1988" xr:uid="{00000000-0004-0000-0300-0000C3070000}"/>
    <hyperlink ref="G478" r:id="rId1989" xr:uid="{00000000-0004-0000-0300-0000C4070000}"/>
    <hyperlink ref="H478" r:id="rId1990" xr:uid="{00000000-0004-0000-0300-0000C5070000}"/>
    <hyperlink ref="C479" r:id="rId1991" xr:uid="{00000000-0004-0000-0300-0000C6070000}"/>
    <hyperlink ref="G479" r:id="rId1992" xr:uid="{00000000-0004-0000-0300-0000C7070000}"/>
    <hyperlink ref="H479" r:id="rId1993" xr:uid="{00000000-0004-0000-0300-0000C8070000}"/>
    <hyperlink ref="C480" r:id="rId1994" xr:uid="{00000000-0004-0000-0300-0000C9070000}"/>
    <hyperlink ref="G480" r:id="rId1995" xr:uid="{00000000-0004-0000-0300-0000CA070000}"/>
    <hyperlink ref="H480" r:id="rId1996" xr:uid="{00000000-0004-0000-0300-0000CB070000}"/>
    <hyperlink ref="C481" r:id="rId1997" xr:uid="{00000000-0004-0000-0300-0000CC070000}"/>
    <hyperlink ref="G481" r:id="rId1998" xr:uid="{00000000-0004-0000-0300-0000CD070000}"/>
    <hyperlink ref="H481" r:id="rId1999" xr:uid="{00000000-0004-0000-0300-0000CE070000}"/>
    <hyperlink ref="C482" r:id="rId2000" xr:uid="{00000000-0004-0000-0300-0000CF070000}"/>
    <hyperlink ref="G482" r:id="rId2001" xr:uid="{00000000-0004-0000-0300-0000D0070000}"/>
    <hyperlink ref="H482" r:id="rId2002" xr:uid="{00000000-0004-0000-0300-0000D1070000}"/>
    <hyperlink ref="C483" r:id="rId2003" xr:uid="{00000000-0004-0000-0300-0000D2070000}"/>
    <hyperlink ref="G483" r:id="rId2004" xr:uid="{00000000-0004-0000-0300-0000D3070000}"/>
    <hyperlink ref="H483" r:id="rId2005" xr:uid="{00000000-0004-0000-0300-0000D4070000}"/>
    <hyperlink ref="C484" r:id="rId2006" xr:uid="{00000000-0004-0000-0300-0000D5070000}"/>
    <hyperlink ref="G484" r:id="rId2007" xr:uid="{00000000-0004-0000-0300-0000D6070000}"/>
    <hyperlink ref="H484" r:id="rId2008" xr:uid="{00000000-0004-0000-0300-0000D7070000}"/>
    <hyperlink ref="C485" r:id="rId2009" xr:uid="{00000000-0004-0000-0300-0000D8070000}"/>
    <hyperlink ref="G485" r:id="rId2010" xr:uid="{00000000-0004-0000-0300-0000D9070000}"/>
    <hyperlink ref="H485" r:id="rId2011" xr:uid="{00000000-0004-0000-0300-0000DA070000}"/>
    <hyperlink ref="C486" r:id="rId2012" xr:uid="{00000000-0004-0000-0300-0000DB070000}"/>
    <hyperlink ref="G486" r:id="rId2013" xr:uid="{00000000-0004-0000-0300-0000DC070000}"/>
    <hyperlink ref="H486" r:id="rId2014" xr:uid="{00000000-0004-0000-0300-0000DD070000}"/>
    <hyperlink ref="C487" r:id="rId2015" xr:uid="{00000000-0004-0000-0300-0000DE070000}"/>
    <hyperlink ref="G487" r:id="rId2016" xr:uid="{00000000-0004-0000-0300-0000DF070000}"/>
    <hyperlink ref="H487" r:id="rId2017" xr:uid="{00000000-0004-0000-0300-0000E0070000}"/>
    <hyperlink ref="C488" r:id="rId2018" xr:uid="{00000000-0004-0000-0300-0000E1070000}"/>
    <hyperlink ref="G488" r:id="rId2019" xr:uid="{00000000-0004-0000-0300-0000E2070000}"/>
    <hyperlink ref="H488" r:id="rId2020" xr:uid="{00000000-0004-0000-0300-0000E3070000}"/>
    <hyperlink ref="C489" r:id="rId2021" xr:uid="{00000000-0004-0000-0300-0000E4070000}"/>
    <hyperlink ref="G489" r:id="rId2022" xr:uid="{00000000-0004-0000-0300-0000E5070000}"/>
    <hyperlink ref="H489" r:id="rId2023" xr:uid="{00000000-0004-0000-0300-0000E6070000}"/>
    <hyperlink ref="C490" r:id="rId2024" xr:uid="{00000000-0004-0000-0300-0000E7070000}"/>
    <hyperlink ref="G490" r:id="rId2025" xr:uid="{00000000-0004-0000-0300-0000E8070000}"/>
    <hyperlink ref="H490" r:id="rId2026" xr:uid="{00000000-0004-0000-0300-0000E9070000}"/>
    <hyperlink ref="C491" r:id="rId2027" xr:uid="{00000000-0004-0000-0300-0000EA070000}"/>
    <hyperlink ref="G491" r:id="rId2028" xr:uid="{00000000-0004-0000-0300-0000EB070000}"/>
    <hyperlink ref="H491" r:id="rId2029" xr:uid="{00000000-0004-0000-0300-0000EC070000}"/>
    <hyperlink ref="C492" r:id="rId2030" xr:uid="{00000000-0004-0000-0300-0000ED070000}"/>
    <hyperlink ref="G492" r:id="rId2031" xr:uid="{00000000-0004-0000-0300-0000EE070000}"/>
    <hyperlink ref="H492" r:id="rId2032" xr:uid="{00000000-0004-0000-0300-0000EF070000}"/>
    <hyperlink ref="C493" r:id="rId2033" xr:uid="{00000000-0004-0000-0300-0000F0070000}"/>
    <hyperlink ref="G493" r:id="rId2034" xr:uid="{00000000-0004-0000-0300-0000F1070000}"/>
    <hyperlink ref="H493" r:id="rId2035" xr:uid="{00000000-0004-0000-0300-0000F2070000}"/>
    <hyperlink ref="C494" r:id="rId2036" xr:uid="{00000000-0004-0000-0300-0000F3070000}"/>
    <hyperlink ref="G494" r:id="rId2037" xr:uid="{00000000-0004-0000-0300-0000F4070000}"/>
    <hyperlink ref="H494" r:id="rId2038" xr:uid="{00000000-0004-0000-0300-0000F5070000}"/>
    <hyperlink ref="C495" r:id="rId2039" xr:uid="{00000000-0004-0000-0300-0000F6070000}"/>
    <hyperlink ref="G495" r:id="rId2040" xr:uid="{00000000-0004-0000-0300-0000F7070000}"/>
    <hyperlink ref="H495" r:id="rId2041" xr:uid="{00000000-0004-0000-0300-0000F8070000}"/>
    <hyperlink ref="C496" r:id="rId2042" xr:uid="{00000000-0004-0000-0300-0000F9070000}"/>
    <hyperlink ref="G496" r:id="rId2043" xr:uid="{00000000-0004-0000-0300-0000FA070000}"/>
    <hyperlink ref="H496" r:id="rId2044" xr:uid="{00000000-0004-0000-0300-0000FB070000}"/>
    <hyperlink ref="C497" r:id="rId2045" xr:uid="{00000000-0004-0000-0300-0000FC070000}"/>
    <hyperlink ref="G497" r:id="rId2046" xr:uid="{00000000-0004-0000-0300-0000FD070000}"/>
    <hyperlink ref="H497" r:id="rId2047" xr:uid="{00000000-0004-0000-0300-0000FE070000}"/>
    <hyperlink ref="C498" r:id="rId2048" xr:uid="{00000000-0004-0000-0300-0000FF070000}"/>
    <hyperlink ref="G498" r:id="rId2049" xr:uid="{00000000-0004-0000-0300-000000080000}"/>
    <hyperlink ref="H498" r:id="rId2050" xr:uid="{00000000-0004-0000-0300-000001080000}"/>
    <hyperlink ref="C499" r:id="rId2051" xr:uid="{00000000-0004-0000-0300-000002080000}"/>
    <hyperlink ref="G499" r:id="rId2052" xr:uid="{00000000-0004-0000-0300-000003080000}"/>
    <hyperlink ref="H499" r:id="rId2053" xr:uid="{00000000-0004-0000-0300-000004080000}"/>
    <hyperlink ref="C500" r:id="rId2054" xr:uid="{00000000-0004-0000-0300-000005080000}"/>
    <hyperlink ref="G500" r:id="rId2055" xr:uid="{00000000-0004-0000-0300-000006080000}"/>
    <hyperlink ref="H500" r:id="rId2056" xr:uid="{00000000-0004-0000-0300-000007080000}"/>
    <hyperlink ref="C501" r:id="rId2057" xr:uid="{00000000-0004-0000-0300-000008080000}"/>
    <hyperlink ref="G501" r:id="rId2058" xr:uid="{00000000-0004-0000-0300-000009080000}"/>
    <hyperlink ref="H501" r:id="rId2059" xr:uid="{00000000-0004-0000-0300-00000A080000}"/>
    <hyperlink ref="C502" r:id="rId2060" xr:uid="{00000000-0004-0000-0300-00000B080000}"/>
    <hyperlink ref="G502" r:id="rId2061" xr:uid="{00000000-0004-0000-0300-00000C080000}"/>
    <hyperlink ref="H502" r:id="rId2062" xr:uid="{00000000-0004-0000-0300-00000D080000}"/>
    <hyperlink ref="C503" r:id="rId2063" xr:uid="{00000000-0004-0000-0300-00000E080000}"/>
    <hyperlink ref="G503" r:id="rId2064" xr:uid="{00000000-0004-0000-0300-00000F080000}"/>
    <hyperlink ref="H503" r:id="rId2065" xr:uid="{00000000-0004-0000-0300-000010080000}"/>
    <hyperlink ref="C504" r:id="rId2066" xr:uid="{00000000-0004-0000-0300-000011080000}"/>
    <hyperlink ref="G504" r:id="rId2067" xr:uid="{00000000-0004-0000-0300-000012080000}"/>
    <hyperlink ref="H504" r:id="rId2068" xr:uid="{00000000-0004-0000-0300-000013080000}"/>
    <hyperlink ref="C505" r:id="rId2069" xr:uid="{00000000-0004-0000-0300-000014080000}"/>
    <hyperlink ref="G505" r:id="rId2070" xr:uid="{00000000-0004-0000-0300-000015080000}"/>
    <hyperlink ref="H505" r:id="rId2071" xr:uid="{00000000-0004-0000-0300-000016080000}"/>
    <hyperlink ref="C506" r:id="rId2072" xr:uid="{00000000-0004-0000-0300-000017080000}"/>
    <hyperlink ref="G506" r:id="rId2073" xr:uid="{00000000-0004-0000-0300-000018080000}"/>
    <hyperlink ref="H506" r:id="rId2074" xr:uid="{00000000-0004-0000-0300-000019080000}"/>
    <hyperlink ref="C507" r:id="rId2075" xr:uid="{00000000-0004-0000-0300-00001A080000}"/>
    <hyperlink ref="G507" r:id="rId2076" xr:uid="{00000000-0004-0000-0300-00001B080000}"/>
    <hyperlink ref="H507" r:id="rId2077" xr:uid="{00000000-0004-0000-0300-00001C080000}"/>
    <hyperlink ref="C508" r:id="rId2078" xr:uid="{00000000-0004-0000-0300-00001D080000}"/>
    <hyperlink ref="G508" r:id="rId2079" xr:uid="{00000000-0004-0000-0300-00001E080000}"/>
    <hyperlink ref="H508" r:id="rId2080" xr:uid="{00000000-0004-0000-0300-00001F080000}"/>
    <hyperlink ref="C509" r:id="rId2081" xr:uid="{00000000-0004-0000-0300-000020080000}"/>
    <hyperlink ref="G509" r:id="rId2082" xr:uid="{00000000-0004-0000-0300-000021080000}"/>
    <hyperlink ref="H509" r:id="rId2083" xr:uid="{00000000-0004-0000-0300-000022080000}"/>
    <hyperlink ref="C510" r:id="rId2084" xr:uid="{00000000-0004-0000-0300-000023080000}"/>
    <hyperlink ref="G510" r:id="rId2085" xr:uid="{00000000-0004-0000-0300-000024080000}"/>
    <hyperlink ref="H510" r:id="rId2086" xr:uid="{00000000-0004-0000-0300-000025080000}"/>
    <hyperlink ref="C511" r:id="rId2087" xr:uid="{00000000-0004-0000-0300-000026080000}"/>
    <hyperlink ref="G511" r:id="rId2088" xr:uid="{00000000-0004-0000-0300-000027080000}"/>
    <hyperlink ref="H511" r:id="rId2089" xr:uid="{00000000-0004-0000-0300-000028080000}"/>
    <hyperlink ref="C512" r:id="rId2090" xr:uid="{00000000-0004-0000-0300-000029080000}"/>
    <hyperlink ref="G512" r:id="rId2091" xr:uid="{00000000-0004-0000-0300-00002A080000}"/>
    <hyperlink ref="H512" r:id="rId2092" xr:uid="{00000000-0004-0000-0300-00002B080000}"/>
    <hyperlink ref="C513" r:id="rId2093" xr:uid="{00000000-0004-0000-0300-00002C080000}"/>
    <hyperlink ref="G513" r:id="rId2094" xr:uid="{00000000-0004-0000-0300-00002D080000}"/>
    <hyperlink ref="H513" r:id="rId2095" xr:uid="{00000000-0004-0000-0300-00002E080000}"/>
    <hyperlink ref="C514" r:id="rId2096" xr:uid="{00000000-0004-0000-0300-00002F080000}"/>
    <hyperlink ref="G514" r:id="rId2097" xr:uid="{00000000-0004-0000-0300-000030080000}"/>
    <hyperlink ref="H514" r:id="rId2098" xr:uid="{00000000-0004-0000-0300-000031080000}"/>
    <hyperlink ref="C515" r:id="rId2099" xr:uid="{00000000-0004-0000-0300-000032080000}"/>
    <hyperlink ref="G515" r:id="rId2100" xr:uid="{00000000-0004-0000-0300-000033080000}"/>
    <hyperlink ref="H515" r:id="rId2101" xr:uid="{00000000-0004-0000-0300-000034080000}"/>
    <hyperlink ref="C516" r:id="rId2102" xr:uid="{00000000-0004-0000-0300-000035080000}"/>
    <hyperlink ref="G516" r:id="rId2103" xr:uid="{00000000-0004-0000-0300-000036080000}"/>
    <hyperlink ref="H516" r:id="rId2104" xr:uid="{00000000-0004-0000-0300-000037080000}"/>
    <hyperlink ref="C517" r:id="rId2105" xr:uid="{00000000-0004-0000-0300-000038080000}"/>
    <hyperlink ref="G517" r:id="rId2106" xr:uid="{00000000-0004-0000-0300-000039080000}"/>
    <hyperlink ref="H517" r:id="rId2107" xr:uid="{00000000-0004-0000-0300-00003A080000}"/>
    <hyperlink ref="C518" r:id="rId2108" xr:uid="{00000000-0004-0000-0300-00003B080000}"/>
    <hyperlink ref="G518" r:id="rId2109" xr:uid="{00000000-0004-0000-0300-00003C080000}"/>
    <hyperlink ref="H518" r:id="rId2110" xr:uid="{00000000-0004-0000-0300-00003D080000}"/>
    <hyperlink ref="C519" r:id="rId2111" xr:uid="{00000000-0004-0000-0300-00003E080000}"/>
    <hyperlink ref="G519" r:id="rId2112" xr:uid="{00000000-0004-0000-0300-00003F080000}"/>
    <hyperlink ref="H519" r:id="rId2113" xr:uid="{00000000-0004-0000-0300-000040080000}"/>
    <hyperlink ref="C520" r:id="rId2114" xr:uid="{00000000-0004-0000-0300-000041080000}"/>
    <hyperlink ref="G520" r:id="rId2115" xr:uid="{00000000-0004-0000-0300-000042080000}"/>
    <hyperlink ref="H520" r:id="rId2116" xr:uid="{00000000-0004-0000-0300-000043080000}"/>
    <hyperlink ref="C521" r:id="rId2117" xr:uid="{00000000-0004-0000-0300-000044080000}"/>
    <hyperlink ref="G521" r:id="rId2118" xr:uid="{00000000-0004-0000-0300-000045080000}"/>
    <hyperlink ref="H521" r:id="rId2119" xr:uid="{00000000-0004-0000-0300-000046080000}"/>
    <hyperlink ref="C522" r:id="rId2120" xr:uid="{00000000-0004-0000-0300-000047080000}"/>
    <hyperlink ref="G522" r:id="rId2121" xr:uid="{00000000-0004-0000-0300-000048080000}"/>
    <hyperlink ref="H522" r:id="rId2122" xr:uid="{00000000-0004-0000-0300-000049080000}"/>
    <hyperlink ref="C523" r:id="rId2123" xr:uid="{00000000-0004-0000-0300-00004A080000}"/>
    <hyperlink ref="G523" r:id="rId2124" xr:uid="{00000000-0004-0000-0300-00004B080000}"/>
    <hyperlink ref="H523" r:id="rId2125" xr:uid="{00000000-0004-0000-0300-00004C080000}"/>
    <hyperlink ref="C524" r:id="rId2126" xr:uid="{00000000-0004-0000-0300-00004D080000}"/>
    <hyperlink ref="G524" r:id="rId2127" xr:uid="{00000000-0004-0000-0300-00004E080000}"/>
    <hyperlink ref="H524" r:id="rId2128" xr:uid="{00000000-0004-0000-0300-00004F080000}"/>
    <hyperlink ref="C525" r:id="rId2129" xr:uid="{00000000-0004-0000-0300-000050080000}"/>
    <hyperlink ref="G525" r:id="rId2130" xr:uid="{00000000-0004-0000-0300-000051080000}"/>
    <hyperlink ref="H525" r:id="rId2131" xr:uid="{00000000-0004-0000-0300-000052080000}"/>
    <hyperlink ref="C526" r:id="rId2132" xr:uid="{00000000-0004-0000-0300-000053080000}"/>
    <hyperlink ref="G526" r:id="rId2133" xr:uid="{00000000-0004-0000-0300-000054080000}"/>
    <hyperlink ref="H526" r:id="rId2134" xr:uid="{00000000-0004-0000-0300-000055080000}"/>
    <hyperlink ref="C527" r:id="rId2135" xr:uid="{00000000-0004-0000-0300-000056080000}"/>
    <hyperlink ref="G527" r:id="rId2136" xr:uid="{00000000-0004-0000-0300-000057080000}"/>
    <hyperlink ref="H527" r:id="rId2137" xr:uid="{00000000-0004-0000-0300-000058080000}"/>
    <hyperlink ref="C528" r:id="rId2138" xr:uid="{00000000-0004-0000-0300-000059080000}"/>
    <hyperlink ref="G528" r:id="rId2139" xr:uid="{00000000-0004-0000-0300-00005A080000}"/>
    <hyperlink ref="H528" r:id="rId2140" xr:uid="{00000000-0004-0000-0300-00005B080000}"/>
    <hyperlink ref="C529" r:id="rId2141" xr:uid="{00000000-0004-0000-0300-00005C080000}"/>
    <hyperlink ref="G529" r:id="rId2142" xr:uid="{00000000-0004-0000-0300-00005D080000}"/>
    <hyperlink ref="H529" r:id="rId2143" xr:uid="{00000000-0004-0000-0300-00005E080000}"/>
    <hyperlink ref="C530" r:id="rId2144" xr:uid="{00000000-0004-0000-0300-00005F080000}"/>
    <hyperlink ref="G530" r:id="rId2145" xr:uid="{00000000-0004-0000-0300-000060080000}"/>
    <hyperlink ref="H530" r:id="rId2146" xr:uid="{00000000-0004-0000-0300-000061080000}"/>
    <hyperlink ref="C531" r:id="rId2147" xr:uid="{00000000-0004-0000-0300-000062080000}"/>
    <hyperlink ref="G531" r:id="rId2148" xr:uid="{00000000-0004-0000-0300-000063080000}"/>
    <hyperlink ref="H531" r:id="rId2149" xr:uid="{00000000-0004-0000-0300-000064080000}"/>
    <hyperlink ref="C532" r:id="rId2150" xr:uid="{00000000-0004-0000-0300-000065080000}"/>
    <hyperlink ref="G532" r:id="rId2151" xr:uid="{00000000-0004-0000-0300-000066080000}"/>
    <hyperlink ref="H532" r:id="rId2152" xr:uid="{00000000-0004-0000-0300-000067080000}"/>
    <hyperlink ref="C533" r:id="rId2153" xr:uid="{00000000-0004-0000-0300-000068080000}"/>
    <hyperlink ref="G533" r:id="rId2154" xr:uid="{00000000-0004-0000-0300-000069080000}"/>
    <hyperlink ref="H533" r:id="rId2155" xr:uid="{00000000-0004-0000-0300-00006A080000}"/>
    <hyperlink ref="C534" r:id="rId2156" xr:uid="{00000000-0004-0000-0300-00006B080000}"/>
    <hyperlink ref="G534" r:id="rId2157" xr:uid="{00000000-0004-0000-0300-00006C080000}"/>
    <hyperlink ref="H534" r:id="rId2158" xr:uid="{00000000-0004-0000-0300-00006D080000}"/>
    <hyperlink ref="C535" r:id="rId2159" xr:uid="{00000000-0004-0000-0300-00006E080000}"/>
    <hyperlink ref="G535" r:id="rId2160" xr:uid="{00000000-0004-0000-0300-00006F080000}"/>
    <hyperlink ref="H535" r:id="rId2161" xr:uid="{00000000-0004-0000-0300-000070080000}"/>
    <hyperlink ref="C536" r:id="rId2162" xr:uid="{00000000-0004-0000-0300-000071080000}"/>
    <hyperlink ref="G536" r:id="rId2163" xr:uid="{00000000-0004-0000-0300-000072080000}"/>
    <hyperlink ref="H536" r:id="rId2164" xr:uid="{00000000-0004-0000-0300-000073080000}"/>
    <hyperlink ref="C537" r:id="rId2165" xr:uid="{00000000-0004-0000-0300-000074080000}"/>
    <hyperlink ref="G537" r:id="rId2166" xr:uid="{00000000-0004-0000-0300-000075080000}"/>
    <hyperlink ref="H537" r:id="rId2167" xr:uid="{00000000-0004-0000-0300-000076080000}"/>
    <hyperlink ref="C538" r:id="rId2168" xr:uid="{00000000-0004-0000-0300-000077080000}"/>
    <hyperlink ref="G538" r:id="rId2169" xr:uid="{00000000-0004-0000-0300-000078080000}"/>
    <hyperlink ref="H538" r:id="rId2170" xr:uid="{00000000-0004-0000-0300-000079080000}"/>
    <hyperlink ref="C539" r:id="rId2171" xr:uid="{00000000-0004-0000-0300-00007A080000}"/>
    <hyperlink ref="G539" r:id="rId2172" xr:uid="{00000000-0004-0000-0300-00007B080000}"/>
    <hyperlink ref="H539" r:id="rId2173" xr:uid="{00000000-0004-0000-0300-00007C080000}"/>
    <hyperlink ref="C540" r:id="rId2174" xr:uid="{00000000-0004-0000-0300-00007D080000}"/>
    <hyperlink ref="G540" r:id="rId2175" xr:uid="{00000000-0004-0000-0300-00007E080000}"/>
    <hyperlink ref="H540" r:id="rId2176" xr:uid="{00000000-0004-0000-0300-00007F080000}"/>
    <hyperlink ref="C541" r:id="rId2177" xr:uid="{00000000-0004-0000-0300-000080080000}"/>
    <hyperlink ref="G541" r:id="rId2178" xr:uid="{00000000-0004-0000-0300-000081080000}"/>
    <hyperlink ref="H541" r:id="rId2179" xr:uid="{00000000-0004-0000-0300-000082080000}"/>
    <hyperlink ref="C542" r:id="rId2180" xr:uid="{00000000-0004-0000-0300-000083080000}"/>
    <hyperlink ref="G542" r:id="rId2181" xr:uid="{00000000-0004-0000-0300-000084080000}"/>
    <hyperlink ref="H542" r:id="rId2182" xr:uid="{00000000-0004-0000-0300-000085080000}"/>
    <hyperlink ref="C543" r:id="rId2183" xr:uid="{00000000-0004-0000-0300-000086080000}"/>
    <hyperlink ref="G543" r:id="rId2184" xr:uid="{00000000-0004-0000-0300-000087080000}"/>
    <hyperlink ref="H543" r:id="rId2185" xr:uid="{00000000-0004-0000-0300-000088080000}"/>
    <hyperlink ref="C544" r:id="rId2186" xr:uid="{00000000-0004-0000-0300-000089080000}"/>
    <hyperlink ref="G544" r:id="rId2187" xr:uid="{00000000-0004-0000-0300-00008A080000}"/>
    <hyperlink ref="H544" r:id="rId2188" xr:uid="{00000000-0004-0000-0300-00008B080000}"/>
    <hyperlink ref="C545" r:id="rId2189" xr:uid="{00000000-0004-0000-0300-00008C080000}"/>
    <hyperlink ref="G545" r:id="rId2190" xr:uid="{00000000-0004-0000-0300-00008D080000}"/>
    <hyperlink ref="H545" r:id="rId2191" xr:uid="{00000000-0004-0000-0300-00008E080000}"/>
    <hyperlink ref="C546" r:id="rId2192" xr:uid="{00000000-0004-0000-0300-00008F080000}"/>
    <hyperlink ref="G546" r:id="rId2193" xr:uid="{00000000-0004-0000-0300-000090080000}"/>
    <hyperlink ref="H546" r:id="rId2194" xr:uid="{00000000-0004-0000-0300-000091080000}"/>
    <hyperlink ref="C547" r:id="rId2195" xr:uid="{00000000-0004-0000-0300-000092080000}"/>
    <hyperlink ref="G547" r:id="rId2196" xr:uid="{00000000-0004-0000-0300-000093080000}"/>
    <hyperlink ref="H547" r:id="rId2197" xr:uid="{00000000-0004-0000-0300-000094080000}"/>
    <hyperlink ref="C548" r:id="rId2198" xr:uid="{00000000-0004-0000-0300-000095080000}"/>
    <hyperlink ref="G548" r:id="rId2199" xr:uid="{00000000-0004-0000-0300-000096080000}"/>
    <hyperlink ref="H548" r:id="rId2200" xr:uid="{00000000-0004-0000-0300-000097080000}"/>
    <hyperlink ref="C549" r:id="rId2201" xr:uid="{00000000-0004-0000-0300-000098080000}"/>
    <hyperlink ref="G549" r:id="rId2202" xr:uid="{00000000-0004-0000-0300-000099080000}"/>
    <hyperlink ref="H549" r:id="rId2203" xr:uid="{00000000-0004-0000-0300-00009A080000}"/>
    <hyperlink ref="C550" r:id="rId2204" xr:uid="{00000000-0004-0000-0300-00009B080000}"/>
    <hyperlink ref="G550" r:id="rId2205" xr:uid="{00000000-0004-0000-0300-00009C080000}"/>
    <hyperlink ref="H550" r:id="rId2206" xr:uid="{00000000-0004-0000-0300-00009D080000}"/>
    <hyperlink ref="C551" r:id="rId2207" xr:uid="{00000000-0004-0000-0300-00009E080000}"/>
    <hyperlink ref="G551" r:id="rId2208" xr:uid="{00000000-0004-0000-0300-00009F080000}"/>
    <hyperlink ref="H551" r:id="rId2209" xr:uid="{00000000-0004-0000-0300-0000A0080000}"/>
    <hyperlink ref="C552" r:id="rId2210" xr:uid="{00000000-0004-0000-0300-0000A1080000}"/>
    <hyperlink ref="G552" r:id="rId2211" xr:uid="{00000000-0004-0000-0300-0000A2080000}"/>
    <hyperlink ref="H552" r:id="rId2212" xr:uid="{00000000-0004-0000-0300-0000A3080000}"/>
    <hyperlink ref="C553" r:id="rId2213" xr:uid="{00000000-0004-0000-0300-0000A4080000}"/>
    <hyperlink ref="G553" r:id="rId2214" xr:uid="{00000000-0004-0000-0300-0000A5080000}"/>
    <hyperlink ref="H553" r:id="rId2215" xr:uid="{00000000-0004-0000-0300-0000A6080000}"/>
    <hyperlink ref="G554" r:id="rId2216" xr:uid="{00000000-0004-0000-0300-0000A7080000}"/>
    <hyperlink ref="H554" r:id="rId2217" xr:uid="{00000000-0004-0000-0300-0000A8080000}"/>
    <hyperlink ref="C555" r:id="rId2218" xr:uid="{00000000-0004-0000-0300-0000A9080000}"/>
    <hyperlink ref="G555" r:id="rId2219" xr:uid="{00000000-0004-0000-0300-0000AA080000}"/>
    <hyperlink ref="H555" r:id="rId2220" xr:uid="{00000000-0004-0000-0300-0000AB080000}"/>
    <hyperlink ref="C556" r:id="rId2221" xr:uid="{00000000-0004-0000-0300-0000AC080000}"/>
    <hyperlink ref="C557" r:id="rId2222" xr:uid="{00000000-0004-0000-0300-0000AD080000}"/>
    <hyperlink ref="C558" r:id="rId2223" xr:uid="{00000000-0004-0000-0300-0000AE080000}"/>
    <hyperlink ref="C559" r:id="rId2224" xr:uid="{00000000-0004-0000-0300-0000AF080000}"/>
    <hyperlink ref="C560" r:id="rId2225" xr:uid="{00000000-0004-0000-0300-0000B0080000}"/>
    <hyperlink ref="C561" r:id="rId2226" xr:uid="{00000000-0004-0000-0300-0000B1080000}"/>
    <hyperlink ref="G561" r:id="rId2227" xr:uid="{00000000-0004-0000-0300-0000B2080000}"/>
    <hyperlink ref="H561" r:id="rId2228" xr:uid="{00000000-0004-0000-0300-0000B3080000}"/>
    <hyperlink ref="C562" r:id="rId2229" xr:uid="{00000000-0004-0000-0300-0000B4080000}"/>
    <hyperlink ref="C563" r:id="rId2230" xr:uid="{00000000-0004-0000-0300-0000B5080000}"/>
    <hyperlink ref="C564" r:id="rId2231" xr:uid="{00000000-0004-0000-0300-0000B6080000}"/>
    <hyperlink ref="C566" r:id="rId2232" xr:uid="{00000000-0004-0000-0300-0000B7080000}"/>
    <hyperlink ref="C567" r:id="rId2233" xr:uid="{00000000-0004-0000-0300-0000B8080000}"/>
    <hyperlink ref="C568" r:id="rId2234" xr:uid="{00000000-0004-0000-0300-0000B9080000}"/>
    <hyperlink ref="C569" r:id="rId2235" xr:uid="{00000000-0004-0000-0300-0000BA080000}"/>
    <hyperlink ref="C570" r:id="rId2236" xr:uid="{00000000-0004-0000-0300-0000BB080000}"/>
    <hyperlink ref="C571" r:id="rId2237" xr:uid="{00000000-0004-0000-0300-0000BC080000}"/>
    <hyperlink ref="G571" r:id="rId2238" xr:uid="{00000000-0004-0000-0300-0000BD080000}"/>
    <hyperlink ref="H571" r:id="rId2239" xr:uid="{00000000-0004-0000-0300-0000BE080000}"/>
    <hyperlink ref="C572" r:id="rId2240" xr:uid="{00000000-0004-0000-0300-0000BF080000}"/>
    <hyperlink ref="G572" r:id="rId2241" xr:uid="{00000000-0004-0000-0300-0000C0080000}"/>
    <hyperlink ref="H572" r:id="rId2242" xr:uid="{00000000-0004-0000-0300-0000C1080000}"/>
    <hyperlink ref="C573" r:id="rId2243" xr:uid="{00000000-0004-0000-0300-0000C2080000}"/>
    <hyperlink ref="G573" r:id="rId2244" xr:uid="{00000000-0004-0000-0300-0000C3080000}"/>
    <hyperlink ref="H573" r:id="rId2245" xr:uid="{00000000-0004-0000-0300-0000C4080000}"/>
    <hyperlink ref="C574" r:id="rId2246" xr:uid="{00000000-0004-0000-0300-0000C5080000}"/>
    <hyperlink ref="G574" r:id="rId2247" xr:uid="{00000000-0004-0000-0300-0000C6080000}"/>
    <hyperlink ref="H574" r:id="rId2248" xr:uid="{00000000-0004-0000-0300-0000C7080000}"/>
    <hyperlink ref="C575" r:id="rId2249" xr:uid="{00000000-0004-0000-0300-0000C8080000}"/>
    <hyperlink ref="G575" r:id="rId2250" xr:uid="{00000000-0004-0000-0300-0000C9080000}"/>
    <hyperlink ref="H575" r:id="rId2251" xr:uid="{00000000-0004-0000-0300-0000CA080000}"/>
    <hyperlink ref="C576" r:id="rId2252" xr:uid="{00000000-0004-0000-0300-0000CB080000}"/>
    <hyperlink ref="G576" r:id="rId2253" xr:uid="{00000000-0004-0000-0300-0000CC080000}"/>
    <hyperlink ref="H576" r:id="rId2254" xr:uid="{00000000-0004-0000-0300-0000CD080000}"/>
    <hyperlink ref="C577" r:id="rId2255" xr:uid="{00000000-0004-0000-0300-0000CE080000}"/>
    <hyperlink ref="G577" r:id="rId2256" xr:uid="{00000000-0004-0000-0300-0000CF080000}"/>
    <hyperlink ref="H577" r:id="rId2257" xr:uid="{00000000-0004-0000-0300-0000D0080000}"/>
    <hyperlink ref="C578" r:id="rId2258" xr:uid="{00000000-0004-0000-0300-0000D1080000}"/>
    <hyperlink ref="G578" r:id="rId2259" xr:uid="{00000000-0004-0000-0300-0000D2080000}"/>
    <hyperlink ref="H578" r:id="rId2260" xr:uid="{00000000-0004-0000-0300-0000D3080000}"/>
    <hyperlink ref="C579" r:id="rId2261" xr:uid="{00000000-0004-0000-0300-0000D4080000}"/>
    <hyperlink ref="G579" r:id="rId2262" xr:uid="{00000000-0004-0000-0300-0000D5080000}"/>
    <hyperlink ref="H579" r:id="rId2263" xr:uid="{00000000-0004-0000-0300-0000D6080000}"/>
    <hyperlink ref="C580" r:id="rId2264" xr:uid="{00000000-0004-0000-0300-0000D7080000}"/>
    <hyperlink ref="G580" r:id="rId2265" xr:uid="{00000000-0004-0000-0300-0000D8080000}"/>
    <hyperlink ref="H580" r:id="rId2266" xr:uid="{00000000-0004-0000-0300-0000D9080000}"/>
    <hyperlink ref="C581" r:id="rId2267" xr:uid="{00000000-0004-0000-0300-0000DA080000}"/>
    <hyperlink ref="G581" r:id="rId2268" xr:uid="{00000000-0004-0000-0300-0000DB080000}"/>
    <hyperlink ref="H581" r:id="rId2269" xr:uid="{00000000-0004-0000-0300-0000DC080000}"/>
    <hyperlink ref="C582" r:id="rId2270" xr:uid="{00000000-0004-0000-0300-0000DD080000}"/>
    <hyperlink ref="G582" r:id="rId2271" xr:uid="{00000000-0004-0000-0300-0000DE080000}"/>
    <hyperlink ref="H582" r:id="rId2272" xr:uid="{00000000-0004-0000-0300-0000DF080000}"/>
    <hyperlink ref="C583" r:id="rId2273" xr:uid="{00000000-0004-0000-0300-0000E0080000}"/>
    <hyperlink ref="G583" r:id="rId2274" xr:uid="{00000000-0004-0000-0300-0000E1080000}"/>
    <hyperlink ref="H583" r:id="rId2275" xr:uid="{00000000-0004-0000-0300-0000E2080000}"/>
    <hyperlink ref="C584" r:id="rId2276" xr:uid="{00000000-0004-0000-0300-0000E3080000}"/>
    <hyperlink ref="G584" r:id="rId2277" xr:uid="{00000000-0004-0000-0300-0000E4080000}"/>
    <hyperlink ref="H584" r:id="rId2278" xr:uid="{00000000-0004-0000-0300-0000E5080000}"/>
    <hyperlink ref="C585" r:id="rId2279" xr:uid="{00000000-0004-0000-0300-0000E6080000}"/>
    <hyperlink ref="G585" r:id="rId2280" xr:uid="{00000000-0004-0000-0300-0000E7080000}"/>
    <hyperlink ref="H585" r:id="rId2281" xr:uid="{00000000-0004-0000-0300-0000E8080000}"/>
    <hyperlink ref="C586" r:id="rId2282" xr:uid="{00000000-0004-0000-0300-0000E9080000}"/>
    <hyperlink ref="G586" r:id="rId2283" xr:uid="{00000000-0004-0000-0300-0000EA080000}"/>
    <hyperlink ref="H586" r:id="rId2284" xr:uid="{00000000-0004-0000-0300-0000EB080000}"/>
    <hyperlink ref="C587" r:id="rId2285" xr:uid="{00000000-0004-0000-0300-0000EC080000}"/>
    <hyperlink ref="G587" r:id="rId2286" xr:uid="{00000000-0004-0000-0300-0000ED080000}"/>
    <hyperlink ref="H587" r:id="rId2287" xr:uid="{00000000-0004-0000-0300-0000EE080000}"/>
    <hyperlink ref="C588" r:id="rId2288" xr:uid="{00000000-0004-0000-0300-0000EF080000}"/>
    <hyperlink ref="G588" r:id="rId2289" xr:uid="{00000000-0004-0000-0300-0000F0080000}"/>
    <hyperlink ref="H588" r:id="rId2290" xr:uid="{00000000-0004-0000-0300-0000F1080000}"/>
    <hyperlink ref="C589" r:id="rId2291" xr:uid="{00000000-0004-0000-0300-0000F2080000}"/>
    <hyperlink ref="G589" r:id="rId2292" xr:uid="{00000000-0004-0000-0300-0000F3080000}"/>
    <hyperlink ref="H589" r:id="rId2293" xr:uid="{00000000-0004-0000-0300-0000F4080000}"/>
    <hyperlink ref="C590" r:id="rId2294" xr:uid="{00000000-0004-0000-0300-0000F5080000}"/>
    <hyperlink ref="G590" r:id="rId2295" xr:uid="{00000000-0004-0000-0300-0000F6080000}"/>
    <hyperlink ref="H590" r:id="rId2296" xr:uid="{00000000-0004-0000-0300-0000F7080000}"/>
    <hyperlink ref="C591" r:id="rId2297" xr:uid="{00000000-0004-0000-0300-0000F8080000}"/>
    <hyperlink ref="G591" r:id="rId2298" xr:uid="{00000000-0004-0000-0300-0000F9080000}"/>
    <hyperlink ref="H591" r:id="rId2299" xr:uid="{00000000-0004-0000-0300-0000FA080000}"/>
    <hyperlink ref="C592" r:id="rId2300" xr:uid="{00000000-0004-0000-0300-0000FB080000}"/>
    <hyperlink ref="G592" r:id="rId2301" xr:uid="{00000000-0004-0000-0300-0000FC080000}"/>
    <hyperlink ref="H592" r:id="rId2302" xr:uid="{00000000-0004-0000-0300-0000FD080000}"/>
    <hyperlink ref="C593" r:id="rId2303" xr:uid="{00000000-0004-0000-0300-0000FE080000}"/>
    <hyperlink ref="G593" r:id="rId2304" xr:uid="{00000000-0004-0000-0300-0000FF080000}"/>
    <hyperlink ref="H593" r:id="rId2305" xr:uid="{00000000-0004-0000-0300-000000090000}"/>
    <hyperlink ref="C594" r:id="rId2306" xr:uid="{00000000-0004-0000-0300-000001090000}"/>
    <hyperlink ref="G594" r:id="rId2307" xr:uid="{00000000-0004-0000-0300-000002090000}"/>
    <hyperlink ref="H594" r:id="rId2308" xr:uid="{00000000-0004-0000-0300-000003090000}"/>
    <hyperlink ref="C595" r:id="rId2309" xr:uid="{00000000-0004-0000-0300-000004090000}"/>
    <hyperlink ref="G595" r:id="rId2310" xr:uid="{00000000-0004-0000-0300-000005090000}"/>
    <hyperlink ref="H595" r:id="rId2311" xr:uid="{00000000-0004-0000-0300-000006090000}"/>
    <hyperlink ref="C596" r:id="rId2312" xr:uid="{00000000-0004-0000-0300-000007090000}"/>
    <hyperlink ref="G596" r:id="rId2313" xr:uid="{00000000-0004-0000-0300-000008090000}"/>
    <hyperlink ref="H596" r:id="rId2314" xr:uid="{00000000-0004-0000-0300-000009090000}"/>
    <hyperlink ref="C597" r:id="rId2315" xr:uid="{00000000-0004-0000-0300-00000A090000}"/>
    <hyperlink ref="G597" r:id="rId2316" xr:uid="{00000000-0004-0000-0300-00000B090000}"/>
    <hyperlink ref="H597" r:id="rId2317" xr:uid="{00000000-0004-0000-0300-00000C090000}"/>
    <hyperlink ref="C598" r:id="rId2318" xr:uid="{00000000-0004-0000-0300-00000D090000}"/>
    <hyperlink ref="G598" r:id="rId2319" xr:uid="{00000000-0004-0000-0300-00000E090000}"/>
    <hyperlink ref="H598" r:id="rId2320" xr:uid="{00000000-0004-0000-0300-00000F090000}"/>
    <hyperlink ref="C599" r:id="rId2321" xr:uid="{00000000-0004-0000-0300-000010090000}"/>
    <hyperlink ref="G599" r:id="rId2322" xr:uid="{00000000-0004-0000-0300-000011090000}"/>
    <hyperlink ref="H599" r:id="rId2323" xr:uid="{00000000-0004-0000-0300-000012090000}"/>
    <hyperlink ref="C600" r:id="rId2324" xr:uid="{00000000-0004-0000-0300-000013090000}"/>
    <hyperlink ref="G600" r:id="rId2325" xr:uid="{00000000-0004-0000-0300-000014090000}"/>
    <hyperlink ref="H600" r:id="rId2326" xr:uid="{00000000-0004-0000-0300-000015090000}"/>
    <hyperlink ref="C601" r:id="rId2327" xr:uid="{00000000-0004-0000-0300-000016090000}"/>
    <hyperlink ref="G601" r:id="rId2328" xr:uid="{00000000-0004-0000-0300-000017090000}"/>
    <hyperlink ref="H601" r:id="rId2329" xr:uid="{00000000-0004-0000-0300-000018090000}"/>
    <hyperlink ref="C602" r:id="rId2330" xr:uid="{00000000-0004-0000-0300-000019090000}"/>
    <hyperlink ref="G602" r:id="rId2331" xr:uid="{00000000-0004-0000-0300-00001A090000}"/>
    <hyperlink ref="H602" r:id="rId2332" xr:uid="{00000000-0004-0000-0300-00001B090000}"/>
    <hyperlink ref="C603" r:id="rId2333" xr:uid="{00000000-0004-0000-0300-00001C090000}"/>
    <hyperlink ref="G603" r:id="rId2334" xr:uid="{00000000-0004-0000-0300-00001D090000}"/>
    <hyperlink ref="H603" r:id="rId2335" xr:uid="{00000000-0004-0000-0300-00001E090000}"/>
    <hyperlink ref="C604" r:id="rId2336" xr:uid="{00000000-0004-0000-0300-00001F090000}"/>
    <hyperlink ref="G604" r:id="rId2337" xr:uid="{00000000-0004-0000-0300-000020090000}"/>
    <hyperlink ref="H604" r:id="rId2338" xr:uid="{00000000-0004-0000-0300-000021090000}"/>
    <hyperlink ref="C605" r:id="rId2339" xr:uid="{00000000-0004-0000-0300-000022090000}"/>
    <hyperlink ref="G605" r:id="rId2340" xr:uid="{00000000-0004-0000-0300-000023090000}"/>
    <hyperlink ref="H605" r:id="rId2341" xr:uid="{00000000-0004-0000-0300-000024090000}"/>
    <hyperlink ref="C606" r:id="rId2342" xr:uid="{00000000-0004-0000-0300-000025090000}"/>
    <hyperlink ref="G606" r:id="rId2343" xr:uid="{00000000-0004-0000-0300-000026090000}"/>
    <hyperlink ref="H606" r:id="rId2344" xr:uid="{00000000-0004-0000-0300-000027090000}"/>
    <hyperlink ref="C607" r:id="rId2345" xr:uid="{00000000-0004-0000-0300-000028090000}"/>
    <hyperlink ref="G607" r:id="rId2346" xr:uid="{00000000-0004-0000-0300-000029090000}"/>
    <hyperlink ref="H607" r:id="rId2347" xr:uid="{00000000-0004-0000-0300-00002A090000}"/>
    <hyperlink ref="C608" r:id="rId2348" xr:uid="{00000000-0004-0000-0300-00002B090000}"/>
    <hyperlink ref="G608" r:id="rId2349" xr:uid="{00000000-0004-0000-0300-00002C090000}"/>
    <hyperlink ref="H608" r:id="rId2350" xr:uid="{00000000-0004-0000-0300-00002D090000}"/>
    <hyperlink ref="C609" r:id="rId2351" xr:uid="{00000000-0004-0000-0300-00002E090000}"/>
    <hyperlink ref="G609" r:id="rId2352" xr:uid="{00000000-0004-0000-0300-00002F090000}"/>
    <hyperlink ref="H609" r:id="rId2353" xr:uid="{00000000-0004-0000-0300-000030090000}"/>
    <hyperlink ref="C610" r:id="rId2354" xr:uid="{00000000-0004-0000-0300-000031090000}"/>
    <hyperlink ref="G610" r:id="rId2355" xr:uid="{00000000-0004-0000-0300-000032090000}"/>
    <hyperlink ref="H610" r:id="rId2356" xr:uid="{00000000-0004-0000-0300-000033090000}"/>
    <hyperlink ref="C611" r:id="rId2357" xr:uid="{00000000-0004-0000-0300-000034090000}"/>
    <hyperlink ref="G611" r:id="rId2358" xr:uid="{00000000-0004-0000-0300-000035090000}"/>
    <hyperlink ref="H611" r:id="rId2359" xr:uid="{00000000-0004-0000-0300-000036090000}"/>
    <hyperlink ref="C612" r:id="rId2360" xr:uid="{00000000-0004-0000-0300-000037090000}"/>
    <hyperlink ref="G612" r:id="rId2361" xr:uid="{00000000-0004-0000-0300-000038090000}"/>
    <hyperlink ref="H612" r:id="rId2362" xr:uid="{00000000-0004-0000-0300-000039090000}"/>
    <hyperlink ref="C613" r:id="rId2363" xr:uid="{00000000-0004-0000-0300-00003A090000}"/>
    <hyperlink ref="G613" r:id="rId2364" xr:uid="{00000000-0004-0000-0300-00003B090000}"/>
    <hyperlink ref="H613" r:id="rId2365" xr:uid="{00000000-0004-0000-0300-00003C090000}"/>
    <hyperlink ref="C614" r:id="rId2366" xr:uid="{00000000-0004-0000-0300-00003D090000}"/>
    <hyperlink ref="G614" r:id="rId2367" xr:uid="{00000000-0004-0000-0300-00003E090000}"/>
    <hyperlink ref="H614" r:id="rId2368" xr:uid="{00000000-0004-0000-0300-00003F090000}"/>
    <hyperlink ref="C615" r:id="rId2369" xr:uid="{00000000-0004-0000-0300-000040090000}"/>
    <hyperlink ref="G615" r:id="rId2370" xr:uid="{00000000-0004-0000-0300-000041090000}"/>
    <hyperlink ref="H615" r:id="rId2371" xr:uid="{00000000-0004-0000-0300-000042090000}"/>
    <hyperlink ref="C616" r:id="rId2372" xr:uid="{00000000-0004-0000-0300-000043090000}"/>
    <hyperlink ref="G616" r:id="rId2373" xr:uid="{00000000-0004-0000-0300-000044090000}"/>
    <hyperlink ref="H616" r:id="rId2374" xr:uid="{00000000-0004-0000-0300-000045090000}"/>
    <hyperlink ref="C617" r:id="rId2375" xr:uid="{00000000-0004-0000-0300-000046090000}"/>
    <hyperlink ref="G617" r:id="rId2376" xr:uid="{00000000-0004-0000-0300-000047090000}"/>
    <hyperlink ref="H617" r:id="rId2377" xr:uid="{00000000-0004-0000-0300-000048090000}"/>
    <hyperlink ref="C618" r:id="rId2378" xr:uid="{00000000-0004-0000-0300-000049090000}"/>
    <hyperlink ref="G618" r:id="rId2379" xr:uid="{00000000-0004-0000-0300-00004A090000}"/>
    <hyperlink ref="H618" r:id="rId2380" xr:uid="{00000000-0004-0000-0300-00004B090000}"/>
    <hyperlink ref="C619" r:id="rId2381" xr:uid="{00000000-0004-0000-0300-00004C090000}"/>
    <hyperlink ref="G619" r:id="rId2382" xr:uid="{00000000-0004-0000-0300-00004D090000}"/>
    <hyperlink ref="H619" r:id="rId2383" xr:uid="{00000000-0004-0000-0300-00004E090000}"/>
    <hyperlink ref="C620" r:id="rId2384" xr:uid="{00000000-0004-0000-0300-00004F090000}"/>
    <hyperlink ref="G620" r:id="rId2385" xr:uid="{00000000-0004-0000-0300-000050090000}"/>
    <hyperlink ref="H620" r:id="rId2386" xr:uid="{00000000-0004-0000-0300-000051090000}"/>
    <hyperlink ref="C621" r:id="rId2387" xr:uid="{00000000-0004-0000-0300-000052090000}"/>
    <hyperlink ref="G621" r:id="rId2388" xr:uid="{00000000-0004-0000-0300-000053090000}"/>
    <hyperlink ref="H621" r:id="rId2389" xr:uid="{00000000-0004-0000-0300-000054090000}"/>
    <hyperlink ref="C622" r:id="rId2390" xr:uid="{00000000-0004-0000-0300-000055090000}"/>
    <hyperlink ref="G622" r:id="rId2391" xr:uid="{00000000-0004-0000-0300-000056090000}"/>
    <hyperlink ref="H622" r:id="rId2392" xr:uid="{00000000-0004-0000-0300-000057090000}"/>
    <hyperlink ref="C623" r:id="rId2393" xr:uid="{00000000-0004-0000-0300-000058090000}"/>
    <hyperlink ref="G623" r:id="rId2394" xr:uid="{00000000-0004-0000-0300-000059090000}"/>
    <hyperlink ref="H623" r:id="rId2395" xr:uid="{00000000-0004-0000-0300-00005A090000}"/>
    <hyperlink ref="C624" r:id="rId2396" xr:uid="{00000000-0004-0000-0300-00005B090000}"/>
    <hyperlink ref="G624" r:id="rId2397" xr:uid="{00000000-0004-0000-0300-00005C090000}"/>
    <hyperlink ref="H624" r:id="rId2398" xr:uid="{00000000-0004-0000-0300-00005D090000}"/>
    <hyperlink ref="C625" r:id="rId2399" xr:uid="{00000000-0004-0000-0300-00005E090000}"/>
    <hyperlink ref="G625" r:id="rId2400" xr:uid="{00000000-0004-0000-0300-00005F090000}"/>
    <hyperlink ref="H625" r:id="rId2401" xr:uid="{00000000-0004-0000-0300-000060090000}"/>
    <hyperlink ref="C626" r:id="rId2402" xr:uid="{00000000-0004-0000-0300-000061090000}"/>
    <hyperlink ref="G626" r:id="rId2403" xr:uid="{00000000-0004-0000-0300-000062090000}"/>
    <hyperlink ref="H626" r:id="rId2404" xr:uid="{00000000-0004-0000-0300-000063090000}"/>
    <hyperlink ref="C627" r:id="rId2405" xr:uid="{00000000-0004-0000-0300-000064090000}"/>
    <hyperlink ref="G627" r:id="rId2406" xr:uid="{00000000-0004-0000-0300-000065090000}"/>
    <hyperlink ref="H627" r:id="rId2407" xr:uid="{00000000-0004-0000-0300-000066090000}"/>
    <hyperlink ref="C628" r:id="rId2408" xr:uid="{00000000-0004-0000-0300-000067090000}"/>
    <hyperlink ref="G628" r:id="rId2409" xr:uid="{00000000-0004-0000-0300-000068090000}"/>
    <hyperlink ref="H628" r:id="rId2410" xr:uid="{00000000-0004-0000-0300-000069090000}"/>
    <hyperlink ref="C629" r:id="rId2411" xr:uid="{00000000-0004-0000-0300-00006A090000}"/>
    <hyperlink ref="G629" r:id="rId2412" xr:uid="{00000000-0004-0000-0300-00006B090000}"/>
    <hyperlink ref="H629" r:id="rId2413" xr:uid="{00000000-0004-0000-0300-00006C090000}"/>
    <hyperlink ref="C630" r:id="rId2414" xr:uid="{00000000-0004-0000-0300-00006D090000}"/>
    <hyperlink ref="G630" r:id="rId2415" xr:uid="{00000000-0004-0000-0300-00006E090000}"/>
    <hyperlink ref="H630" r:id="rId2416" xr:uid="{00000000-0004-0000-0300-00006F090000}"/>
    <hyperlink ref="C631" r:id="rId2417" xr:uid="{00000000-0004-0000-0300-000070090000}"/>
    <hyperlink ref="G631" r:id="rId2418" xr:uid="{00000000-0004-0000-0300-000071090000}"/>
    <hyperlink ref="H631" r:id="rId2419" xr:uid="{00000000-0004-0000-0300-000072090000}"/>
    <hyperlink ref="C632" r:id="rId2420" xr:uid="{00000000-0004-0000-0300-000073090000}"/>
    <hyperlink ref="G632" r:id="rId2421" xr:uid="{00000000-0004-0000-0300-000074090000}"/>
    <hyperlink ref="H632" r:id="rId2422" xr:uid="{00000000-0004-0000-0300-000075090000}"/>
    <hyperlink ref="C633" r:id="rId2423" xr:uid="{00000000-0004-0000-0300-000076090000}"/>
    <hyperlink ref="G633" r:id="rId2424" xr:uid="{00000000-0004-0000-0300-000077090000}"/>
    <hyperlink ref="H633" r:id="rId2425" xr:uid="{00000000-0004-0000-0300-000078090000}"/>
    <hyperlink ref="C634" r:id="rId2426" xr:uid="{00000000-0004-0000-0300-000079090000}"/>
    <hyperlink ref="G634" r:id="rId2427" xr:uid="{00000000-0004-0000-0300-00007A090000}"/>
    <hyperlink ref="H634" r:id="rId2428" xr:uid="{00000000-0004-0000-0300-00007B090000}"/>
    <hyperlink ref="C635" r:id="rId2429" xr:uid="{00000000-0004-0000-0300-00007C090000}"/>
    <hyperlink ref="G635" r:id="rId2430" xr:uid="{00000000-0004-0000-0300-00007D090000}"/>
    <hyperlink ref="H635" r:id="rId2431" xr:uid="{00000000-0004-0000-0300-00007E090000}"/>
    <hyperlink ref="C636" r:id="rId2432" xr:uid="{00000000-0004-0000-0300-00007F090000}"/>
    <hyperlink ref="G636" r:id="rId2433" xr:uid="{00000000-0004-0000-0300-000080090000}"/>
    <hyperlink ref="H636" r:id="rId2434" xr:uid="{00000000-0004-0000-0300-000081090000}"/>
    <hyperlink ref="C637" r:id="rId2435" xr:uid="{00000000-0004-0000-0300-000082090000}"/>
    <hyperlink ref="G637" r:id="rId2436" xr:uid="{00000000-0004-0000-0300-000083090000}"/>
    <hyperlink ref="H637" r:id="rId2437" xr:uid="{00000000-0004-0000-0300-000084090000}"/>
    <hyperlink ref="C638" r:id="rId2438" xr:uid="{00000000-0004-0000-0300-000085090000}"/>
    <hyperlink ref="G638" r:id="rId2439" xr:uid="{00000000-0004-0000-0300-000086090000}"/>
    <hyperlink ref="H638" r:id="rId2440" xr:uid="{00000000-0004-0000-0300-000087090000}"/>
    <hyperlink ref="C639" r:id="rId2441" xr:uid="{00000000-0004-0000-0300-000088090000}"/>
    <hyperlink ref="G639" r:id="rId2442" xr:uid="{00000000-0004-0000-0300-000089090000}"/>
    <hyperlink ref="H639" r:id="rId2443" xr:uid="{00000000-0004-0000-0300-00008A090000}"/>
    <hyperlink ref="C640" r:id="rId2444" xr:uid="{00000000-0004-0000-0300-00008B090000}"/>
    <hyperlink ref="G640" r:id="rId2445" xr:uid="{00000000-0004-0000-0300-00008C090000}"/>
    <hyperlink ref="H640" r:id="rId2446" xr:uid="{00000000-0004-0000-0300-00008D090000}"/>
    <hyperlink ref="C641" r:id="rId2447" xr:uid="{00000000-0004-0000-0300-00008E090000}"/>
    <hyperlink ref="G641" r:id="rId2448" xr:uid="{00000000-0004-0000-0300-00008F090000}"/>
    <hyperlink ref="H641" r:id="rId2449" xr:uid="{00000000-0004-0000-0300-000090090000}"/>
    <hyperlink ref="C642" r:id="rId2450" xr:uid="{00000000-0004-0000-0300-000091090000}"/>
    <hyperlink ref="G642" r:id="rId2451" xr:uid="{00000000-0004-0000-0300-000092090000}"/>
    <hyperlink ref="H642" r:id="rId2452" xr:uid="{00000000-0004-0000-0300-000093090000}"/>
    <hyperlink ref="C643" r:id="rId2453" xr:uid="{00000000-0004-0000-0300-000094090000}"/>
    <hyperlink ref="G643" r:id="rId2454" xr:uid="{00000000-0004-0000-0300-000095090000}"/>
    <hyperlink ref="H643" r:id="rId2455" xr:uid="{00000000-0004-0000-0300-000096090000}"/>
    <hyperlink ref="C644" r:id="rId2456" xr:uid="{00000000-0004-0000-0300-000097090000}"/>
    <hyperlink ref="G644" r:id="rId2457" xr:uid="{00000000-0004-0000-0300-000098090000}"/>
    <hyperlink ref="H644" r:id="rId2458" xr:uid="{00000000-0004-0000-0300-000099090000}"/>
    <hyperlink ref="C645" r:id="rId2459" xr:uid="{00000000-0004-0000-0300-00009A090000}"/>
    <hyperlink ref="G645" r:id="rId2460" xr:uid="{00000000-0004-0000-0300-00009B090000}"/>
    <hyperlink ref="H645" r:id="rId2461" xr:uid="{00000000-0004-0000-0300-00009C090000}"/>
    <hyperlink ref="C646" r:id="rId2462" xr:uid="{00000000-0004-0000-0300-00009D090000}"/>
    <hyperlink ref="G646" r:id="rId2463" xr:uid="{00000000-0004-0000-0300-00009E090000}"/>
    <hyperlink ref="H646" r:id="rId2464" xr:uid="{00000000-0004-0000-0300-00009F090000}"/>
    <hyperlink ref="C647" r:id="rId2465" xr:uid="{00000000-0004-0000-0300-0000A0090000}"/>
    <hyperlink ref="G647" r:id="rId2466" xr:uid="{00000000-0004-0000-0300-0000A1090000}"/>
    <hyperlink ref="H647" r:id="rId2467" xr:uid="{00000000-0004-0000-0300-0000A2090000}"/>
    <hyperlink ref="C648" r:id="rId2468" xr:uid="{00000000-0004-0000-0300-0000A3090000}"/>
    <hyperlink ref="G648" r:id="rId2469" xr:uid="{00000000-0004-0000-0300-0000A4090000}"/>
    <hyperlink ref="H648" r:id="rId2470" xr:uid="{00000000-0004-0000-0300-0000A5090000}"/>
    <hyperlink ref="C649" r:id="rId2471" xr:uid="{00000000-0004-0000-0300-0000A6090000}"/>
    <hyperlink ref="G649" r:id="rId2472" xr:uid="{00000000-0004-0000-0300-0000A7090000}"/>
    <hyperlink ref="H649" r:id="rId2473" xr:uid="{00000000-0004-0000-0300-0000A8090000}"/>
    <hyperlink ref="C650" r:id="rId2474" xr:uid="{00000000-0004-0000-0300-0000A9090000}"/>
    <hyperlink ref="G650" r:id="rId2475" xr:uid="{00000000-0004-0000-0300-0000AA090000}"/>
    <hyperlink ref="H650" r:id="rId2476" xr:uid="{00000000-0004-0000-0300-0000AB090000}"/>
    <hyperlink ref="C651" r:id="rId2477" xr:uid="{00000000-0004-0000-0300-0000AC090000}"/>
    <hyperlink ref="G651" r:id="rId2478" xr:uid="{00000000-0004-0000-0300-0000AD090000}"/>
    <hyperlink ref="H651" r:id="rId2479" xr:uid="{00000000-0004-0000-0300-0000AE090000}"/>
    <hyperlink ref="C652" r:id="rId2480" xr:uid="{00000000-0004-0000-0300-0000AF090000}"/>
    <hyperlink ref="G652" r:id="rId2481" xr:uid="{00000000-0004-0000-0300-0000B0090000}"/>
    <hyperlink ref="H652" r:id="rId2482" xr:uid="{00000000-0004-0000-0300-0000B1090000}"/>
    <hyperlink ref="C653" r:id="rId2483" xr:uid="{00000000-0004-0000-0300-0000B2090000}"/>
    <hyperlink ref="G653" r:id="rId2484" xr:uid="{00000000-0004-0000-0300-0000B3090000}"/>
    <hyperlink ref="H653" r:id="rId2485" xr:uid="{00000000-0004-0000-0300-0000B4090000}"/>
    <hyperlink ref="C654" r:id="rId2486" xr:uid="{00000000-0004-0000-0300-0000B5090000}"/>
    <hyperlink ref="G654" r:id="rId2487" xr:uid="{00000000-0004-0000-0300-0000B6090000}"/>
    <hyperlink ref="H654" r:id="rId2488" xr:uid="{00000000-0004-0000-0300-0000B7090000}"/>
    <hyperlink ref="C655" r:id="rId2489" xr:uid="{00000000-0004-0000-0300-0000B8090000}"/>
    <hyperlink ref="G655" r:id="rId2490" xr:uid="{00000000-0004-0000-0300-0000B9090000}"/>
    <hyperlink ref="H655" r:id="rId2491" xr:uid="{00000000-0004-0000-0300-0000BA090000}"/>
    <hyperlink ref="C656" r:id="rId2492" xr:uid="{00000000-0004-0000-0300-0000BB090000}"/>
    <hyperlink ref="G656" r:id="rId2493" xr:uid="{00000000-0004-0000-0300-0000BC090000}"/>
    <hyperlink ref="H656" r:id="rId2494" xr:uid="{00000000-0004-0000-0300-0000BD090000}"/>
    <hyperlink ref="C657" r:id="rId2495" xr:uid="{00000000-0004-0000-0300-0000BE090000}"/>
    <hyperlink ref="G657" r:id="rId2496" xr:uid="{00000000-0004-0000-0300-0000BF090000}"/>
    <hyperlink ref="H657" r:id="rId2497" xr:uid="{00000000-0004-0000-0300-0000C0090000}"/>
    <hyperlink ref="C658" r:id="rId2498" xr:uid="{00000000-0004-0000-0300-0000C1090000}"/>
    <hyperlink ref="G658" r:id="rId2499" xr:uid="{00000000-0004-0000-0300-0000C2090000}"/>
    <hyperlink ref="H658" r:id="rId2500" xr:uid="{00000000-0004-0000-0300-0000C3090000}"/>
    <hyperlink ref="C659" r:id="rId2501" xr:uid="{00000000-0004-0000-0300-0000C4090000}"/>
    <hyperlink ref="G659" r:id="rId2502" xr:uid="{00000000-0004-0000-0300-0000C5090000}"/>
    <hyperlink ref="H659" r:id="rId2503" xr:uid="{00000000-0004-0000-0300-0000C6090000}"/>
    <hyperlink ref="C660" r:id="rId2504" xr:uid="{00000000-0004-0000-0300-0000C7090000}"/>
    <hyperlink ref="G660" r:id="rId2505" xr:uid="{00000000-0004-0000-0300-0000C8090000}"/>
    <hyperlink ref="H660" r:id="rId2506" xr:uid="{00000000-0004-0000-0300-0000C9090000}"/>
    <hyperlink ref="C661" r:id="rId2507" xr:uid="{00000000-0004-0000-0300-0000CA090000}"/>
    <hyperlink ref="G661" r:id="rId2508" xr:uid="{00000000-0004-0000-0300-0000CB090000}"/>
    <hyperlink ref="H661" r:id="rId2509" xr:uid="{00000000-0004-0000-0300-0000CC090000}"/>
    <hyperlink ref="C662" r:id="rId2510" xr:uid="{00000000-0004-0000-0300-0000CD090000}"/>
    <hyperlink ref="G662" r:id="rId2511" xr:uid="{00000000-0004-0000-0300-0000CE090000}"/>
    <hyperlink ref="H662" r:id="rId2512" xr:uid="{00000000-0004-0000-0300-0000CF090000}"/>
    <hyperlink ref="C663" r:id="rId2513" xr:uid="{00000000-0004-0000-0300-0000D0090000}"/>
    <hyperlink ref="G663" r:id="rId2514" xr:uid="{00000000-0004-0000-0300-0000D1090000}"/>
    <hyperlink ref="H663" r:id="rId2515" xr:uid="{00000000-0004-0000-0300-0000D2090000}"/>
    <hyperlink ref="C664" r:id="rId2516" xr:uid="{00000000-0004-0000-0300-0000D3090000}"/>
    <hyperlink ref="G664" r:id="rId2517" xr:uid="{00000000-0004-0000-0300-0000D4090000}"/>
    <hyperlink ref="H664" r:id="rId2518" xr:uid="{00000000-0004-0000-0300-0000D5090000}"/>
    <hyperlink ref="C665" r:id="rId2519" xr:uid="{00000000-0004-0000-0300-0000D6090000}"/>
    <hyperlink ref="G665" r:id="rId2520" xr:uid="{00000000-0004-0000-0300-0000D7090000}"/>
    <hyperlink ref="H665" r:id="rId2521" xr:uid="{00000000-0004-0000-0300-0000D8090000}"/>
    <hyperlink ref="C666" r:id="rId2522" xr:uid="{00000000-0004-0000-0300-0000D9090000}"/>
    <hyperlink ref="G666" r:id="rId2523" xr:uid="{00000000-0004-0000-0300-0000DA090000}"/>
    <hyperlink ref="H666" r:id="rId2524" xr:uid="{00000000-0004-0000-0300-0000DB090000}"/>
    <hyperlink ref="C667" r:id="rId2525" xr:uid="{00000000-0004-0000-0300-0000DC090000}"/>
    <hyperlink ref="G667" r:id="rId2526" xr:uid="{00000000-0004-0000-0300-0000DD090000}"/>
    <hyperlink ref="H667" r:id="rId2527" xr:uid="{00000000-0004-0000-0300-0000DE090000}"/>
    <hyperlink ref="C668" r:id="rId2528" xr:uid="{00000000-0004-0000-0300-0000DF090000}"/>
    <hyperlink ref="G668" r:id="rId2529" xr:uid="{00000000-0004-0000-0300-0000E0090000}"/>
    <hyperlink ref="H668" r:id="rId2530" xr:uid="{00000000-0004-0000-0300-0000E1090000}"/>
    <hyperlink ref="C669" r:id="rId2531" xr:uid="{00000000-0004-0000-0300-0000E2090000}"/>
    <hyperlink ref="G669" r:id="rId2532" xr:uid="{00000000-0004-0000-0300-0000E3090000}"/>
    <hyperlink ref="H669" r:id="rId2533" xr:uid="{00000000-0004-0000-0300-0000E4090000}"/>
    <hyperlink ref="C670" r:id="rId2534" xr:uid="{00000000-0004-0000-0300-0000E5090000}"/>
    <hyperlink ref="G670" r:id="rId2535" xr:uid="{00000000-0004-0000-0300-0000E6090000}"/>
    <hyperlink ref="H670" r:id="rId2536" xr:uid="{00000000-0004-0000-0300-0000E7090000}"/>
    <hyperlink ref="C671" r:id="rId2537" xr:uid="{00000000-0004-0000-0300-0000E8090000}"/>
    <hyperlink ref="G671" r:id="rId2538" xr:uid="{00000000-0004-0000-0300-0000E9090000}"/>
    <hyperlink ref="H671" r:id="rId2539" xr:uid="{00000000-0004-0000-0300-0000EA090000}"/>
    <hyperlink ref="C672" r:id="rId2540" xr:uid="{00000000-0004-0000-0300-0000EB090000}"/>
    <hyperlink ref="G672" r:id="rId2541" xr:uid="{00000000-0004-0000-0300-0000EC090000}"/>
    <hyperlink ref="H672" r:id="rId2542" xr:uid="{00000000-0004-0000-0300-0000ED090000}"/>
    <hyperlink ref="C673" r:id="rId2543" xr:uid="{00000000-0004-0000-0300-0000EE090000}"/>
    <hyperlink ref="G673" r:id="rId2544" xr:uid="{00000000-0004-0000-0300-0000EF090000}"/>
    <hyperlink ref="H673" r:id="rId2545" xr:uid="{00000000-0004-0000-0300-0000F0090000}"/>
    <hyperlink ref="C674" r:id="rId2546" xr:uid="{00000000-0004-0000-0300-0000F1090000}"/>
    <hyperlink ref="G674" r:id="rId2547" xr:uid="{00000000-0004-0000-0300-0000F2090000}"/>
    <hyperlink ref="H674" r:id="rId2548" xr:uid="{00000000-0004-0000-0300-0000F3090000}"/>
    <hyperlink ref="C675" r:id="rId2549" xr:uid="{00000000-0004-0000-0300-0000F4090000}"/>
    <hyperlink ref="G675" r:id="rId2550" xr:uid="{00000000-0004-0000-0300-0000F5090000}"/>
    <hyperlink ref="H675" r:id="rId2551" xr:uid="{00000000-0004-0000-0300-0000F6090000}"/>
    <hyperlink ref="C676" r:id="rId2552" xr:uid="{00000000-0004-0000-0300-0000F7090000}"/>
    <hyperlink ref="G676" r:id="rId2553" xr:uid="{00000000-0004-0000-0300-0000F8090000}"/>
    <hyperlink ref="H676" r:id="rId2554" xr:uid="{00000000-0004-0000-0300-0000F9090000}"/>
    <hyperlink ref="C677" r:id="rId2555" xr:uid="{00000000-0004-0000-0300-0000FA090000}"/>
    <hyperlink ref="C678" r:id="rId2556" xr:uid="{00000000-0004-0000-0300-0000FB090000}"/>
    <hyperlink ref="C679" r:id="rId2557" xr:uid="{00000000-0004-0000-0300-0000FC090000}"/>
    <hyperlink ref="C680" r:id="rId2558" xr:uid="{00000000-0004-0000-0300-0000FD090000}"/>
    <hyperlink ref="G680" r:id="rId2559" xr:uid="{00000000-0004-0000-0300-0000FE090000}"/>
    <hyperlink ref="H680" r:id="rId2560" xr:uid="{00000000-0004-0000-0300-0000FF090000}"/>
    <hyperlink ref="C681" r:id="rId2561" xr:uid="{00000000-0004-0000-0300-0000000A0000}"/>
    <hyperlink ref="G681" r:id="rId2562" xr:uid="{00000000-0004-0000-0300-0000010A0000}"/>
    <hyperlink ref="H681" r:id="rId2563" xr:uid="{00000000-0004-0000-0300-0000020A0000}"/>
    <hyperlink ref="C682" r:id="rId2564" xr:uid="{00000000-0004-0000-0300-0000030A0000}"/>
    <hyperlink ref="G682" r:id="rId2565" xr:uid="{00000000-0004-0000-0300-0000040A0000}"/>
    <hyperlink ref="H682" r:id="rId2566" xr:uid="{00000000-0004-0000-0300-0000050A0000}"/>
    <hyperlink ref="C683" r:id="rId2567" xr:uid="{00000000-0004-0000-0300-0000060A0000}"/>
    <hyperlink ref="C684" r:id="rId2568" xr:uid="{00000000-0004-0000-0300-0000070A0000}"/>
    <hyperlink ref="C685" r:id="rId2569" xr:uid="{00000000-0004-0000-0300-0000080A0000}"/>
    <hyperlink ref="G685" r:id="rId2570" xr:uid="{00000000-0004-0000-0300-0000090A0000}"/>
    <hyperlink ref="H685" r:id="rId2571" xr:uid="{00000000-0004-0000-0300-00000A0A0000}"/>
    <hyperlink ref="C686" r:id="rId2572" xr:uid="{00000000-0004-0000-0300-00000B0A0000}"/>
    <hyperlink ref="C687" r:id="rId2573" xr:uid="{00000000-0004-0000-0300-00000C0A0000}"/>
    <hyperlink ref="C688" r:id="rId2574" xr:uid="{00000000-0004-0000-0300-00000D0A0000}"/>
    <hyperlink ref="C689" r:id="rId2575" xr:uid="{00000000-0004-0000-0300-00000E0A0000}"/>
    <hyperlink ref="C690" r:id="rId2576" xr:uid="{00000000-0004-0000-0300-00000F0A0000}"/>
    <hyperlink ref="C691" r:id="rId2577" xr:uid="{00000000-0004-0000-0300-0000100A0000}"/>
    <hyperlink ref="C692" r:id="rId2578" xr:uid="{00000000-0004-0000-0300-0000110A0000}"/>
    <hyperlink ref="C693" r:id="rId2579" xr:uid="{00000000-0004-0000-0300-0000120A0000}"/>
    <hyperlink ref="C694" r:id="rId2580" xr:uid="{00000000-0004-0000-0300-0000130A0000}"/>
    <hyperlink ref="C695" r:id="rId2581" xr:uid="{00000000-0004-0000-0300-0000140A0000}"/>
    <hyperlink ref="C696" r:id="rId2582" xr:uid="{00000000-0004-0000-0300-0000150A0000}"/>
    <hyperlink ref="G696" r:id="rId2583" xr:uid="{00000000-0004-0000-0300-0000160A0000}"/>
    <hyperlink ref="H696" r:id="rId2584" xr:uid="{00000000-0004-0000-0300-0000170A0000}"/>
    <hyperlink ref="C697" r:id="rId2585" xr:uid="{00000000-0004-0000-0300-0000180A0000}"/>
    <hyperlink ref="G697" r:id="rId2586" xr:uid="{00000000-0004-0000-0300-0000190A0000}"/>
    <hyperlink ref="H697" r:id="rId2587" xr:uid="{00000000-0004-0000-0300-00001A0A0000}"/>
    <hyperlink ref="C698" r:id="rId2588" xr:uid="{00000000-0004-0000-0300-00001B0A0000}"/>
    <hyperlink ref="G698" r:id="rId2589" xr:uid="{00000000-0004-0000-0300-00001C0A0000}"/>
    <hyperlink ref="H698" r:id="rId2590" xr:uid="{00000000-0004-0000-0300-00001D0A0000}"/>
    <hyperlink ref="C699" r:id="rId2591" xr:uid="{00000000-0004-0000-0300-00001E0A0000}"/>
    <hyperlink ref="G699" r:id="rId2592" xr:uid="{00000000-0004-0000-0300-00001F0A0000}"/>
    <hyperlink ref="H699" r:id="rId2593" xr:uid="{00000000-0004-0000-0300-0000200A0000}"/>
    <hyperlink ref="C700" r:id="rId2594" xr:uid="{00000000-0004-0000-0300-0000210A0000}"/>
    <hyperlink ref="G700" r:id="rId2595" xr:uid="{00000000-0004-0000-0300-0000220A0000}"/>
    <hyperlink ref="H700" r:id="rId2596" xr:uid="{00000000-0004-0000-0300-0000230A0000}"/>
    <hyperlink ref="C701" r:id="rId2597" xr:uid="{00000000-0004-0000-0300-0000240A0000}"/>
    <hyperlink ref="G701" r:id="rId2598" xr:uid="{00000000-0004-0000-0300-0000250A0000}"/>
    <hyperlink ref="H701" r:id="rId2599" xr:uid="{00000000-0004-0000-0300-0000260A0000}"/>
    <hyperlink ref="C702" r:id="rId2600" xr:uid="{00000000-0004-0000-0300-0000270A0000}"/>
    <hyperlink ref="G702" r:id="rId2601" xr:uid="{00000000-0004-0000-0300-0000280A0000}"/>
    <hyperlink ref="H702" r:id="rId2602" xr:uid="{00000000-0004-0000-0300-0000290A0000}"/>
    <hyperlink ref="C703" r:id="rId2603" xr:uid="{00000000-0004-0000-0300-00002A0A0000}"/>
    <hyperlink ref="G703" r:id="rId2604" xr:uid="{00000000-0004-0000-0300-00002B0A0000}"/>
    <hyperlink ref="H703" r:id="rId2605" xr:uid="{00000000-0004-0000-0300-00002C0A0000}"/>
    <hyperlink ref="C704" r:id="rId2606" xr:uid="{00000000-0004-0000-0300-00002D0A0000}"/>
    <hyperlink ref="G704" r:id="rId2607" xr:uid="{00000000-0004-0000-0300-00002E0A0000}"/>
    <hyperlink ref="H704" r:id="rId2608" xr:uid="{00000000-0004-0000-0300-00002F0A0000}"/>
    <hyperlink ref="C705" r:id="rId2609" xr:uid="{00000000-0004-0000-0300-0000300A0000}"/>
    <hyperlink ref="G705" r:id="rId2610" xr:uid="{00000000-0004-0000-0300-0000310A0000}"/>
    <hyperlink ref="H705" r:id="rId2611" xr:uid="{00000000-0004-0000-0300-0000320A0000}"/>
    <hyperlink ref="C706" r:id="rId2612" xr:uid="{00000000-0004-0000-0300-0000330A0000}"/>
    <hyperlink ref="G706" r:id="rId2613" xr:uid="{00000000-0004-0000-0300-0000340A0000}"/>
    <hyperlink ref="H706" r:id="rId2614" xr:uid="{00000000-0004-0000-0300-0000350A0000}"/>
    <hyperlink ref="C707" r:id="rId2615" xr:uid="{00000000-0004-0000-0300-0000360A0000}"/>
    <hyperlink ref="G707" r:id="rId2616" xr:uid="{00000000-0004-0000-0300-0000370A0000}"/>
    <hyperlink ref="H707" r:id="rId2617" xr:uid="{00000000-0004-0000-0300-0000380A0000}"/>
    <hyperlink ref="C708" r:id="rId2618" xr:uid="{00000000-0004-0000-0300-0000390A0000}"/>
    <hyperlink ref="G708" r:id="rId2619" xr:uid="{00000000-0004-0000-0300-00003A0A0000}"/>
    <hyperlink ref="H708" r:id="rId2620" xr:uid="{00000000-0004-0000-0300-00003B0A0000}"/>
    <hyperlink ref="C709" r:id="rId2621" xr:uid="{00000000-0004-0000-0300-00003C0A0000}"/>
    <hyperlink ref="G709" r:id="rId2622" xr:uid="{00000000-0004-0000-0300-00003D0A0000}"/>
    <hyperlink ref="H709" r:id="rId2623" xr:uid="{00000000-0004-0000-0300-00003E0A0000}"/>
    <hyperlink ref="C710" r:id="rId2624" xr:uid="{00000000-0004-0000-0300-00003F0A0000}"/>
    <hyperlink ref="G710" r:id="rId2625" xr:uid="{00000000-0004-0000-0300-0000400A0000}"/>
    <hyperlink ref="H710" r:id="rId2626" xr:uid="{00000000-0004-0000-0300-0000410A0000}"/>
    <hyperlink ref="C711" r:id="rId2627" xr:uid="{00000000-0004-0000-0300-0000420A0000}"/>
    <hyperlink ref="G711" r:id="rId2628" xr:uid="{00000000-0004-0000-0300-0000430A0000}"/>
    <hyperlink ref="H711" r:id="rId2629" xr:uid="{00000000-0004-0000-0300-0000440A0000}"/>
    <hyperlink ref="C712" r:id="rId2630" xr:uid="{00000000-0004-0000-0300-0000450A0000}"/>
    <hyperlink ref="G712" r:id="rId2631" xr:uid="{00000000-0004-0000-0300-0000460A0000}"/>
    <hyperlink ref="H712" r:id="rId2632" xr:uid="{00000000-0004-0000-0300-0000470A0000}"/>
    <hyperlink ref="C713" r:id="rId2633" xr:uid="{00000000-0004-0000-0300-0000480A0000}"/>
    <hyperlink ref="G713" r:id="rId2634" xr:uid="{00000000-0004-0000-0300-0000490A0000}"/>
    <hyperlink ref="H713" r:id="rId2635" xr:uid="{00000000-0004-0000-0300-00004A0A0000}"/>
    <hyperlink ref="G714" r:id="rId2636" xr:uid="{00000000-0004-0000-0300-00004B0A0000}"/>
    <hyperlink ref="H714" r:id="rId2637" xr:uid="{00000000-0004-0000-0300-00004C0A0000}"/>
    <hyperlink ref="C715" r:id="rId2638" xr:uid="{00000000-0004-0000-0300-00004D0A0000}"/>
    <hyperlink ref="G715" r:id="rId2639" xr:uid="{00000000-0004-0000-0300-00004E0A0000}"/>
    <hyperlink ref="H715" r:id="rId2640" xr:uid="{00000000-0004-0000-0300-00004F0A0000}"/>
    <hyperlink ref="C716" r:id="rId2641" xr:uid="{00000000-0004-0000-0300-0000500A0000}"/>
    <hyperlink ref="G716" r:id="rId2642" xr:uid="{00000000-0004-0000-0300-0000510A0000}"/>
    <hyperlink ref="H716" r:id="rId2643" xr:uid="{00000000-0004-0000-0300-0000520A0000}"/>
    <hyperlink ref="C717" r:id="rId2644" xr:uid="{00000000-0004-0000-0300-0000530A0000}"/>
    <hyperlink ref="G717" r:id="rId2645" xr:uid="{00000000-0004-0000-0300-0000540A0000}"/>
    <hyperlink ref="H717" r:id="rId2646" xr:uid="{00000000-0004-0000-0300-0000550A0000}"/>
    <hyperlink ref="C718" r:id="rId2647" xr:uid="{00000000-0004-0000-0300-0000560A0000}"/>
    <hyperlink ref="G718" r:id="rId2648" xr:uid="{00000000-0004-0000-0300-0000570A0000}"/>
    <hyperlink ref="H718" r:id="rId2649" xr:uid="{00000000-0004-0000-0300-0000580A0000}"/>
    <hyperlink ref="C719" r:id="rId2650" xr:uid="{00000000-0004-0000-0300-0000590A0000}"/>
    <hyperlink ref="G719" r:id="rId2651" xr:uid="{00000000-0004-0000-0300-00005A0A0000}"/>
    <hyperlink ref="H719" r:id="rId2652" xr:uid="{00000000-0004-0000-0300-00005B0A0000}"/>
    <hyperlink ref="C720" r:id="rId2653" xr:uid="{00000000-0004-0000-0300-00005C0A0000}"/>
    <hyperlink ref="G720" r:id="rId2654" xr:uid="{00000000-0004-0000-0300-00005D0A0000}"/>
    <hyperlink ref="H720" r:id="rId2655" xr:uid="{00000000-0004-0000-0300-00005E0A0000}"/>
    <hyperlink ref="C721" r:id="rId2656" xr:uid="{00000000-0004-0000-0300-00005F0A0000}"/>
    <hyperlink ref="G721" r:id="rId2657" xr:uid="{00000000-0004-0000-0300-0000600A0000}"/>
    <hyperlink ref="H721" r:id="rId2658" xr:uid="{00000000-0004-0000-0300-0000610A0000}"/>
    <hyperlink ref="C722" r:id="rId2659" xr:uid="{00000000-0004-0000-0300-0000620A0000}"/>
    <hyperlink ref="G722" r:id="rId2660" xr:uid="{00000000-0004-0000-0300-0000630A0000}"/>
    <hyperlink ref="H722" r:id="rId2661" xr:uid="{00000000-0004-0000-0300-0000640A0000}"/>
    <hyperlink ref="G723" r:id="rId2662" xr:uid="{00000000-0004-0000-0300-0000650A0000}"/>
    <hyperlink ref="H723" r:id="rId2663" xr:uid="{00000000-0004-0000-0300-0000660A0000}"/>
    <hyperlink ref="C724" r:id="rId2664" xr:uid="{00000000-0004-0000-0300-0000670A0000}"/>
    <hyperlink ref="G724" r:id="rId2665" xr:uid="{00000000-0004-0000-0300-0000680A0000}"/>
    <hyperlink ref="H724" r:id="rId2666" xr:uid="{00000000-0004-0000-0300-0000690A0000}"/>
    <hyperlink ref="C725" r:id="rId2667" xr:uid="{00000000-0004-0000-0300-00006A0A0000}"/>
    <hyperlink ref="G725" r:id="rId2668" xr:uid="{00000000-0004-0000-0300-00006B0A0000}"/>
    <hyperlink ref="H725" r:id="rId2669" xr:uid="{00000000-0004-0000-0300-00006C0A0000}"/>
    <hyperlink ref="C726" r:id="rId2670" xr:uid="{00000000-0004-0000-0300-00006D0A0000}"/>
    <hyperlink ref="G726" r:id="rId2671" xr:uid="{00000000-0004-0000-0300-00006E0A0000}"/>
    <hyperlink ref="H726" r:id="rId2672" xr:uid="{00000000-0004-0000-0300-00006F0A0000}"/>
    <hyperlink ref="C727" r:id="rId2673" xr:uid="{00000000-0004-0000-0300-0000700A0000}"/>
    <hyperlink ref="G727" r:id="rId2674" xr:uid="{00000000-0004-0000-0300-0000710A0000}"/>
    <hyperlink ref="H727" r:id="rId2675" xr:uid="{00000000-0004-0000-0300-0000720A0000}"/>
    <hyperlink ref="C728" r:id="rId2676" xr:uid="{00000000-0004-0000-0300-0000730A0000}"/>
    <hyperlink ref="G728" r:id="rId2677" xr:uid="{00000000-0004-0000-0300-0000740A0000}"/>
    <hyperlink ref="H728" r:id="rId2678" xr:uid="{00000000-0004-0000-0300-0000750A0000}"/>
    <hyperlink ref="C729" r:id="rId2679" xr:uid="{00000000-0004-0000-0300-0000760A0000}"/>
    <hyperlink ref="G729" r:id="rId2680" xr:uid="{00000000-0004-0000-0300-0000770A0000}"/>
    <hyperlink ref="H729" r:id="rId2681" xr:uid="{00000000-0004-0000-0300-0000780A0000}"/>
    <hyperlink ref="C730" r:id="rId2682" xr:uid="{00000000-0004-0000-0300-0000790A0000}"/>
    <hyperlink ref="G730" r:id="rId2683" xr:uid="{00000000-0004-0000-0300-00007A0A0000}"/>
    <hyperlink ref="H730" r:id="rId2684" xr:uid="{00000000-0004-0000-0300-00007B0A0000}"/>
    <hyperlink ref="C731" r:id="rId2685" xr:uid="{00000000-0004-0000-0300-00007C0A0000}"/>
    <hyperlink ref="G731" r:id="rId2686" xr:uid="{00000000-0004-0000-0300-00007D0A0000}"/>
    <hyperlink ref="H731" r:id="rId2687" xr:uid="{00000000-0004-0000-0300-00007E0A0000}"/>
    <hyperlink ref="C732" r:id="rId2688" xr:uid="{00000000-0004-0000-0300-00007F0A0000}"/>
    <hyperlink ref="G732" r:id="rId2689" xr:uid="{00000000-0004-0000-0300-0000800A0000}"/>
    <hyperlink ref="H732" r:id="rId2690" xr:uid="{00000000-0004-0000-0300-0000810A0000}"/>
    <hyperlink ref="C733" r:id="rId2691" xr:uid="{00000000-0004-0000-0300-0000820A0000}"/>
    <hyperlink ref="C734" r:id="rId2692" xr:uid="{00000000-0004-0000-0300-0000830A0000}"/>
    <hyperlink ref="C735" r:id="rId2693" xr:uid="{00000000-0004-0000-0300-0000840A0000}"/>
    <hyperlink ref="C736" r:id="rId2694" xr:uid="{00000000-0004-0000-0300-0000850A0000}"/>
    <hyperlink ref="C737" r:id="rId2695" xr:uid="{00000000-0004-0000-0300-0000860A0000}"/>
    <hyperlink ref="C738" r:id="rId2696" xr:uid="{00000000-0004-0000-0300-0000870A0000}"/>
    <hyperlink ref="C739" r:id="rId2697" xr:uid="{00000000-0004-0000-0300-0000880A0000}"/>
    <hyperlink ref="C740" r:id="rId2698" xr:uid="{00000000-0004-0000-0300-0000890A0000}"/>
    <hyperlink ref="G740" r:id="rId2699" xr:uid="{00000000-0004-0000-0300-00008A0A0000}"/>
    <hyperlink ref="H740" r:id="rId2700" xr:uid="{00000000-0004-0000-0300-00008B0A0000}"/>
    <hyperlink ref="C741" r:id="rId2701" xr:uid="{00000000-0004-0000-0300-00008C0A0000}"/>
    <hyperlink ref="G741" r:id="rId2702" xr:uid="{00000000-0004-0000-0300-00008D0A0000}"/>
    <hyperlink ref="H741" r:id="rId2703" xr:uid="{00000000-0004-0000-0300-00008E0A0000}"/>
    <hyperlink ref="C742" r:id="rId2704" xr:uid="{00000000-0004-0000-0300-00008F0A0000}"/>
    <hyperlink ref="G742" r:id="rId2705" xr:uid="{00000000-0004-0000-0300-0000900A0000}"/>
    <hyperlink ref="H742" r:id="rId2706" xr:uid="{00000000-0004-0000-0300-0000910A0000}"/>
    <hyperlink ref="C743" r:id="rId2707" xr:uid="{00000000-0004-0000-0300-0000920A0000}"/>
    <hyperlink ref="G743" r:id="rId2708" xr:uid="{00000000-0004-0000-0300-0000930A0000}"/>
    <hyperlink ref="H743" r:id="rId2709" xr:uid="{00000000-0004-0000-0300-0000940A0000}"/>
    <hyperlink ref="C744" r:id="rId2710" xr:uid="{00000000-0004-0000-0300-0000950A0000}"/>
    <hyperlink ref="G744" r:id="rId2711" xr:uid="{00000000-0004-0000-0300-0000960A0000}"/>
    <hyperlink ref="H744" r:id="rId2712" xr:uid="{00000000-0004-0000-0300-0000970A0000}"/>
    <hyperlink ref="C745" r:id="rId2713" xr:uid="{00000000-0004-0000-0300-0000980A0000}"/>
    <hyperlink ref="G745" r:id="rId2714" xr:uid="{00000000-0004-0000-0300-0000990A0000}"/>
    <hyperlink ref="H745" r:id="rId2715" xr:uid="{00000000-0004-0000-0300-00009A0A0000}"/>
    <hyperlink ref="C746" r:id="rId2716" xr:uid="{00000000-0004-0000-0300-00009B0A0000}"/>
    <hyperlink ref="G746" r:id="rId2717" xr:uid="{00000000-0004-0000-0300-00009C0A0000}"/>
    <hyperlink ref="H746" r:id="rId2718" xr:uid="{00000000-0004-0000-0300-00009D0A0000}"/>
    <hyperlink ref="C747" r:id="rId2719" xr:uid="{00000000-0004-0000-0300-00009E0A0000}"/>
    <hyperlink ref="G747" r:id="rId2720" xr:uid="{00000000-0004-0000-0300-00009F0A0000}"/>
    <hyperlink ref="H747" r:id="rId2721" xr:uid="{00000000-0004-0000-0300-0000A00A0000}"/>
    <hyperlink ref="C748" r:id="rId2722" xr:uid="{00000000-0004-0000-0300-0000A10A0000}"/>
    <hyperlink ref="G748" r:id="rId2723" xr:uid="{00000000-0004-0000-0300-0000A20A0000}"/>
    <hyperlink ref="H748" r:id="rId2724" xr:uid="{00000000-0004-0000-0300-0000A30A0000}"/>
    <hyperlink ref="C749" r:id="rId2725" xr:uid="{00000000-0004-0000-0300-0000A40A0000}"/>
    <hyperlink ref="G749" r:id="rId2726" xr:uid="{00000000-0004-0000-0300-0000A50A0000}"/>
    <hyperlink ref="H749" r:id="rId2727" xr:uid="{00000000-0004-0000-0300-0000A60A0000}"/>
    <hyperlink ref="C750" r:id="rId2728" xr:uid="{00000000-0004-0000-0300-0000A70A0000}"/>
    <hyperlink ref="G750" r:id="rId2729" xr:uid="{00000000-0004-0000-0300-0000A80A0000}"/>
    <hyperlink ref="H750" r:id="rId2730" xr:uid="{00000000-0004-0000-0300-0000A90A0000}"/>
    <hyperlink ref="C751" r:id="rId2731" xr:uid="{00000000-0004-0000-0300-0000AA0A0000}"/>
    <hyperlink ref="G751" r:id="rId2732" xr:uid="{00000000-0004-0000-0300-0000AB0A0000}"/>
    <hyperlink ref="H751" r:id="rId2733" xr:uid="{00000000-0004-0000-0300-0000AC0A0000}"/>
    <hyperlink ref="C752" r:id="rId2734" xr:uid="{00000000-0004-0000-0300-0000AD0A0000}"/>
    <hyperlink ref="G752" r:id="rId2735" xr:uid="{00000000-0004-0000-0300-0000AE0A0000}"/>
    <hyperlink ref="H752" r:id="rId2736" xr:uid="{00000000-0004-0000-0300-0000AF0A0000}"/>
    <hyperlink ref="C753" r:id="rId2737" xr:uid="{00000000-0004-0000-0300-0000B00A0000}"/>
    <hyperlink ref="G753" r:id="rId2738" xr:uid="{00000000-0004-0000-0300-0000B10A0000}"/>
    <hyperlink ref="H753" r:id="rId2739" xr:uid="{00000000-0004-0000-0300-0000B20A0000}"/>
    <hyperlink ref="C754" r:id="rId2740" xr:uid="{00000000-0004-0000-0300-0000B30A0000}"/>
    <hyperlink ref="G754" r:id="rId2741" xr:uid="{00000000-0004-0000-0300-0000B40A0000}"/>
    <hyperlink ref="H754" r:id="rId2742" xr:uid="{00000000-0004-0000-0300-0000B50A0000}"/>
    <hyperlink ref="C755" r:id="rId2743" xr:uid="{00000000-0004-0000-0300-0000B60A0000}"/>
    <hyperlink ref="G755" r:id="rId2744" xr:uid="{00000000-0004-0000-0300-0000B70A0000}"/>
    <hyperlink ref="H755" r:id="rId2745" xr:uid="{00000000-0004-0000-0300-0000B80A0000}"/>
    <hyperlink ref="C756" r:id="rId2746" xr:uid="{00000000-0004-0000-0300-0000B90A0000}"/>
    <hyperlink ref="G756" r:id="rId2747" xr:uid="{00000000-0004-0000-0300-0000BA0A0000}"/>
    <hyperlink ref="H756" r:id="rId2748" xr:uid="{00000000-0004-0000-0300-0000BB0A0000}"/>
    <hyperlink ref="C757" r:id="rId2749" xr:uid="{00000000-0004-0000-0300-0000BC0A0000}"/>
    <hyperlink ref="G757" r:id="rId2750" xr:uid="{00000000-0004-0000-0300-0000BD0A0000}"/>
    <hyperlink ref="H757" r:id="rId2751" xr:uid="{00000000-0004-0000-0300-0000BE0A0000}"/>
    <hyperlink ref="C758" r:id="rId2752" xr:uid="{00000000-0004-0000-0300-0000BF0A0000}"/>
    <hyperlink ref="G758" r:id="rId2753" xr:uid="{00000000-0004-0000-0300-0000C00A0000}"/>
    <hyperlink ref="H758" r:id="rId2754" xr:uid="{00000000-0004-0000-0300-0000C10A0000}"/>
    <hyperlink ref="C759" r:id="rId2755" xr:uid="{00000000-0004-0000-0300-0000C20A0000}"/>
    <hyperlink ref="G759" r:id="rId2756" xr:uid="{00000000-0004-0000-0300-0000C30A0000}"/>
    <hyperlink ref="H759" r:id="rId2757" xr:uid="{00000000-0004-0000-0300-0000C40A0000}"/>
    <hyperlink ref="C760" r:id="rId2758" xr:uid="{00000000-0004-0000-0300-0000C50A0000}"/>
    <hyperlink ref="G760" r:id="rId2759" xr:uid="{00000000-0004-0000-0300-0000C60A0000}"/>
    <hyperlink ref="H760" r:id="rId2760" xr:uid="{00000000-0004-0000-0300-0000C70A0000}"/>
    <hyperlink ref="C761" r:id="rId2761" xr:uid="{00000000-0004-0000-0300-0000C80A0000}"/>
    <hyperlink ref="G761" r:id="rId2762" xr:uid="{00000000-0004-0000-0300-0000C90A0000}"/>
    <hyperlink ref="H761" r:id="rId2763" xr:uid="{00000000-0004-0000-0300-0000CA0A0000}"/>
    <hyperlink ref="C762" r:id="rId2764" xr:uid="{00000000-0004-0000-0300-0000CB0A0000}"/>
    <hyperlink ref="G762" r:id="rId2765" xr:uid="{00000000-0004-0000-0300-0000CC0A0000}"/>
    <hyperlink ref="H762" r:id="rId2766" xr:uid="{00000000-0004-0000-0300-0000CD0A0000}"/>
    <hyperlink ref="C763" r:id="rId2767" xr:uid="{00000000-0004-0000-0300-0000CE0A0000}"/>
    <hyperlink ref="G763" r:id="rId2768" xr:uid="{00000000-0004-0000-0300-0000CF0A0000}"/>
    <hyperlink ref="H763" r:id="rId2769" xr:uid="{00000000-0004-0000-0300-0000D00A0000}"/>
    <hyperlink ref="C764" r:id="rId2770" xr:uid="{00000000-0004-0000-0300-0000D10A0000}"/>
    <hyperlink ref="G764" r:id="rId2771" xr:uid="{00000000-0004-0000-0300-0000D20A0000}"/>
    <hyperlink ref="H764" r:id="rId2772" xr:uid="{00000000-0004-0000-0300-0000D30A0000}"/>
    <hyperlink ref="C765" r:id="rId2773" xr:uid="{00000000-0004-0000-0300-0000D40A0000}"/>
    <hyperlink ref="G765" r:id="rId2774" xr:uid="{00000000-0004-0000-0300-0000D50A0000}"/>
    <hyperlink ref="H765" r:id="rId2775" xr:uid="{00000000-0004-0000-0300-0000D60A0000}"/>
    <hyperlink ref="C766" r:id="rId2776" xr:uid="{00000000-0004-0000-0300-0000D70A0000}"/>
    <hyperlink ref="G766" r:id="rId2777" xr:uid="{00000000-0004-0000-0300-0000D80A0000}"/>
    <hyperlink ref="H766" r:id="rId2778" xr:uid="{00000000-0004-0000-0300-0000D90A0000}"/>
    <hyperlink ref="C767" r:id="rId2779" xr:uid="{00000000-0004-0000-0300-0000DA0A0000}"/>
    <hyperlink ref="G767" r:id="rId2780" xr:uid="{00000000-0004-0000-0300-0000DB0A0000}"/>
    <hyperlink ref="H767" r:id="rId2781" xr:uid="{00000000-0004-0000-0300-0000DC0A0000}"/>
    <hyperlink ref="C768" r:id="rId2782" xr:uid="{00000000-0004-0000-0300-0000DD0A0000}"/>
    <hyperlink ref="G768" r:id="rId2783" xr:uid="{00000000-0004-0000-0300-0000DE0A0000}"/>
    <hyperlink ref="H768" r:id="rId2784" xr:uid="{00000000-0004-0000-0300-0000DF0A0000}"/>
    <hyperlink ref="C769" r:id="rId2785" xr:uid="{00000000-0004-0000-0300-0000E00A0000}"/>
    <hyperlink ref="G769" r:id="rId2786" xr:uid="{00000000-0004-0000-0300-0000E10A0000}"/>
    <hyperlink ref="H769" r:id="rId2787" xr:uid="{00000000-0004-0000-0300-0000E20A0000}"/>
    <hyperlink ref="C770" r:id="rId2788" xr:uid="{00000000-0004-0000-0300-0000E30A0000}"/>
    <hyperlink ref="G770" r:id="rId2789" xr:uid="{00000000-0004-0000-0300-0000E40A0000}"/>
    <hyperlink ref="H770" r:id="rId2790" xr:uid="{00000000-0004-0000-0300-0000E50A0000}"/>
    <hyperlink ref="C771" r:id="rId2791" xr:uid="{00000000-0004-0000-0300-0000E60A0000}"/>
    <hyperlink ref="G771" r:id="rId2792" xr:uid="{00000000-0004-0000-0300-0000E70A0000}"/>
    <hyperlink ref="H771" r:id="rId2793" xr:uid="{00000000-0004-0000-0300-0000E80A0000}"/>
    <hyperlink ref="C772" r:id="rId2794" xr:uid="{00000000-0004-0000-0300-0000E90A0000}"/>
    <hyperlink ref="G772" r:id="rId2795" xr:uid="{00000000-0004-0000-0300-0000EA0A0000}"/>
    <hyperlink ref="H772" r:id="rId2796" xr:uid="{00000000-0004-0000-0300-0000EB0A0000}"/>
    <hyperlink ref="C773" r:id="rId2797" xr:uid="{00000000-0004-0000-0300-0000EC0A0000}"/>
    <hyperlink ref="G773" r:id="rId2798" xr:uid="{00000000-0004-0000-0300-0000ED0A0000}"/>
    <hyperlink ref="H773" r:id="rId2799" xr:uid="{00000000-0004-0000-0300-0000EE0A0000}"/>
    <hyperlink ref="C774" r:id="rId2800" xr:uid="{00000000-0004-0000-0300-0000EF0A0000}"/>
    <hyperlink ref="G774" r:id="rId2801" xr:uid="{00000000-0004-0000-0300-0000F00A0000}"/>
    <hyperlink ref="H774" r:id="rId2802" xr:uid="{00000000-0004-0000-0300-0000F10A0000}"/>
    <hyperlink ref="C775" r:id="rId2803" xr:uid="{00000000-0004-0000-0300-0000F20A0000}"/>
    <hyperlink ref="G775" r:id="rId2804" xr:uid="{00000000-0004-0000-0300-0000F30A0000}"/>
    <hyperlink ref="H775" r:id="rId2805" xr:uid="{00000000-0004-0000-0300-0000F40A0000}"/>
    <hyperlink ref="C776" r:id="rId2806" xr:uid="{00000000-0004-0000-0300-0000F50A0000}"/>
    <hyperlink ref="G776" r:id="rId2807" xr:uid="{00000000-0004-0000-0300-0000F60A0000}"/>
    <hyperlink ref="H776" r:id="rId2808" xr:uid="{00000000-0004-0000-0300-0000F70A0000}"/>
    <hyperlink ref="C777" r:id="rId2809" xr:uid="{00000000-0004-0000-0300-0000F80A0000}"/>
    <hyperlink ref="G777" r:id="rId2810" xr:uid="{00000000-0004-0000-0300-0000F90A0000}"/>
    <hyperlink ref="H777" r:id="rId2811" xr:uid="{00000000-0004-0000-0300-0000FA0A0000}"/>
    <hyperlink ref="C778" r:id="rId2812" xr:uid="{00000000-0004-0000-0300-0000FB0A0000}"/>
    <hyperlink ref="G778" r:id="rId2813" xr:uid="{00000000-0004-0000-0300-0000FC0A0000}"/>
    <hyperlink ref="H778" r:id="rId2814" xr:uid="{00000000-0004-0000-0300-0000FD0A0000}"/>
    <hyperlink ref="C779" r:id="rId2815" xr:uid="{00000000-0004-0000-0300-0000FE0A0000}"/>
    <hyperlink ref="G779" r:id="rId2816" xr:uid="{00000000-0004-0000-0300-0000FF0A0000}"/>
    <hyperlink ref="H779" r:id="rId2817" xr:uid="{00000000-0004-0000-0300-0000000B0000}"/>
    <hyperlink ref="C780" r:id="rId2818" xr:uid="{00000000-0004-0000-0300-0000010B0000}"/>
    <hyperlink ref="G780" r:id="rId2819" xr:uid="{00000000-0004-0000-0300-0000020B0000}"/>
    <hyperlink ref="H780" r:id="rId2820" xr:uid="{00000000-0004-0000-0300-0000030B0000}"/>
    <hyperlink ref="C781" r:id="rId2821" xr:uid="{00000000-0004-0000-0300-0000040B0000}"/>
    <hyperlink ref="G781" r:id="rId2822" xr:uid="{00000000-0004-0000-0300-0000050B0000}"/>
    <hyperlink ref="H781" r:id="rId2823" xr:uid="{00000000-0004-0000-0300-0000060B0000}"/>
    <hyperlink ref="C782" r:id="rId2824" xr:uid="{00000000-0004-0000-0300-0000070B0000}"/>
    <hyperlink ref="G782" r:id="rId2825" xr:uid="{00000000-0004-0000-0300-0000080B0000}"/>
    <hyperlink ref="H782" r:id="rId2826" xr:uid="{00000000-0004-0000-0300-0000090B0000}"/>
    <hyperlink ref="C783" r:id="rId2827" xr:uid="{00000000-0004-0000-0300-00000A0B0000}"/>
    <hyperlink ref="G783" r:id="rId2828" xr:uid="{00000000-0004-0000-0300-00000B0B0000}"/>
    <hyperlink ref="H783" r:id="rId2829" xr:uid="{00000000-0004-0000-0300-00000C0B0000}"/>
    <hyperlink ref="C784" r:id="rId2830" xr:uid="{00000000-0004-0000-0300-00000D0B0000}"/>
    <hyperlink ref="G784" r:id="rId2831" xr:uid="{00000000-0004-0000-0300-00000E0B0000}"/>
    <hyperlink ref="H784" r:id="rId2832" xr:uid="{00000000-0004-0000-0300-00000F0B0000}"/>
    <hyperlink ref="C785" r:id="rId2833" xr:uid="{00000000-0004-0000-0300-0000100B0000}"/>
    <hyperlink ref="G785" r:id="rId2834" xr:uid="{00000000-0004-0000-0300-0000110B0000}"/>
    <hyperlink ref="H785" r:id="rId2835" xr:uid="{00000000-0004-0000-0300-0000120B0000}"/>
    <hyperlink ref="C786" r:id="rId2836" xr:uid="{00000000-0004-0000-0300-0000130B0000}"/>
    <hyperlink ref="G786" r:id="rId2837" xr:uid="{00000000-0004-0000-0300-0000140B0000}"/>
    <hyperlink ref="H786" r:id="rId2838" xr:uid="{00000000-0004-0000-0300-0000150B0000}"/>
    <hyperlink ref="C787" r:id="rId2839" xr:uid="{00000000-0004-0000-0300-0000160B0000}"/>
    <hyperlink ref="G787" r:id="rId2840" xr:uid="{00000000-0004-0000-0300-0000170B0000}"/>
    <hyperlink ref="H787" r:id="rId2841" xr:uid="{00000000-0004-0000-0300-0000180B0000}"/>
    <hyperlink ref="G788" r:id="rId2842" xr:uid="{00000000-0004-0000-0300-0000190B0000}"/>
    <hyperlink ref="H788" r:id="rId2843" xr:uid="{00000000-0004-0000-0300-00001A0B0000}"/>
    <hyperlink ref="G789" r:id="rId2844" xr:uid="{00000000-0004-0000-0300-00001B0B0000}"/>
    <hyperlink ref="H789" r:id="rId2845" xr:uid="{00000000-0004-0000-0300-00001C0B0000}"/>
    <hyperlink ref="G790" r:id="rId2846" xr:uid="{00000000-0004-0000-0300-00001D0B0000}"/>
    <hyperlink ref="H790" r:id="rId2847" xr:uid="{00000000-0004-0000-0300-00001E0B0000}"/>
    <hyperlink ref="G791" r:id="rId2848" xr:uid="{00000000-0004-0000-0300-00001F0B0000}"/>
    <hyperlink ref="H791" r:id="rId2849" xr:uid="{00000000-0004-0000-0300-0000200B0000}"/>
    <hyperlink ref="G792" r:id="rId2850" xr:uid="{00000000-0004-0000-0300-0000210B0000}"/>
    <hyperlink ref="H792" r:id="rId2851" xr:uid="{00000000-0004-0000-0300-0000220B0000}"/>
    <hyperlink ref="G793" r:id="rId2852" xr:uid="{00000000-0004-0000-0300-0000230B0000}"/>
    <hyperlink ref="H793" r:id="rId2853" xr:uid="{00000000-0004-0000-0300-0000240B0000}"/>
    <hyperlink ref="G794" r:id="rId2854" xr:uid="{00000000-0004-0000-0300-0000250B0000}"/>
    <hyperlink ref="H794" r:id="rId2855" xr:uid="{00000000-0004-0000-0300-0000260B0000}"/>
    <hyperlink ref="G795" r:id="rId2856" xr:uid="{00000000-0004-0000-0300-0000270B0000}"/>
    <hyperlink ref="H795" r:id="rId2857" xr:uid="{00000000-0004-0000-0300-0000280B0000}"/>
    <hyperlink ref="G796" r:id="rId2858" xr:uid="{00000000-0004-0000-0300-0000290B0000}"/>
    <hyperlink ref="H796" r:id="rId2859" xr:uid="{00000000-0004-0000-0300-00002A0B0000}"/>
    <hyperlink ref="G797" r:id="rId2860" xr:uid="{00000000-0004-0000-0300-00002B0B0000}"/>
    <hyperlink ref="H797" r:id="rId2861" xr:uid="{00000000-0004-0000-0300-00002C0B0000}"/>
    <hyperlink ref="C798" r:id="rId2862" xr:uid="{00000000-0004-0000-0300-00002D0B0000}"/>
    <hyperlink ref="G798" r:id="rId2863" xr:uid="{00000000-0004-0000-0300-00002E0B0000}"/>
    <hyperlink ref="H798" r:id="rId2864" xr:uid="{00000000-0004-0000-0300-00002F0B0000}"/>
    <hyperlink ref="C799" r:id="rId2865" xr:uid="{00000000-0004-0000-0300-0000300B0000}"/>
    <hyperlink ref="G799" r:id="rId2866" xr:uid="{00000000-0004-0000-0300-0000310B0000}"/>
    <hyperlink ref="H799" r:id="rId2867" xr:uid="{00000000-0004-0000-0300-0000320B0000}"/>
    <hyperlink ref="C800" r:id="rId2868" xr:uid="{00000000-0004-0000-0300-0000330B0000}"/>
    <hyperlink ref="C801" r:id="rId2869" xr:uid="{00000000-0004-0000-0300-0000340B0000}"/>
    <hyperlink ref="G801" r:id="rId2870" xr:uid="{00000000-0004-0000-0300-0000350B0000}"/>
    <hyperlink ref="H801" r:id="rId2871" xr:uid="{00000000-0004-0000-0300-0000360B0000}"/>
    <hyperlink ref="C802" r:id="rId2872" xr:uid="{00000000-0004-0000-0300-0000370B0000}"/>
    <hyperlink ref="G802" r:id="rId2873" xr:uid="{00000000-0004-0000-0300-0000380B0000}"/>
    <hyperlink ref="H802" r:id="rId2874" xr:uid="{00000000-0004-0000-0300-0000390B0000}"/>
    <hyperlink ref="C803" r:id="rId2875" xr:uid="{00000000-0004-0000-0300-00003A0B0000}"/>
    <hyperlink ref="G803" r:id="rId2876" xr:uid="{00000000-0004-0000-0300-00003B0B0000}"/>
    <hyperlink ref="H803" r:id="rId2877" xr:uid="{00000000-0004-0000-0300-00003C0B0000}"/>
    <hyperlink ref="C804" r:id="rId2878" xr:uid="{00000000-0004-0000-0300-00003D0B0000}"/>
    <hyperlink ref="G804" r:id="rId2879" xr:uid="{00000000-0004-0000-0300-00003E0B0000}"/>
    <hyperlink ref="H804" r:id="rId2880" xr:uid="{00000000-0004-0000-0300-00003F0B0000}"/>
    <hyperlink ref="C805" r:id="rId2881" xr:uid="{00000000-0004-0000-0300-0000400B0000}"/>
    <hyperlink ref="G805" r:id="rId2882" xr:uid="{00000000-0004-0000-0300-0000410B0000}"/>
    <hyperlink ref="H805" r:id="rId2883" xr:uid="{00000000-0004-0000-0300-0000420B0000}"/>
    <hyperlink ref="C806" r:id="rId2884" xr:uid="{00000000-0004-0000-0300-0000430B0000}"/>
    <hyperlink ref="G806" r:id="rId2885" xr:uid="{00000000-0004-0000-0300-0000440B0000}"/>
    <hyperlink ref="H806" r:id="rId2886" xr:uid="{00000000-0004-0000-0300-0000450B0000}"/>
    <hyperlink ref="C807" r:id="rId2887" xr:uid="{00000000-0004-0000-0300-0000460B0000}"/>
    <hyperlink ref="G807" r:id="rId2888" xr:uid="{00000000-0004-0000-0300-0000470B0000}"/>
    <hyperlink ref="H807" r:id="rId2889" xr:uid="{00000000-0004-0000-0300-0000480B0000}"/>
    <hyperlink ref="C808" r:id="rId2890" xr:uid="{00000000-0004-0000-0300-0000490B0000}"/>
    <hyperlink ref="G808" r:id="rId2891" xr:uid="{00000000-0004-0000-0300-00004A0B0000}"/>
    <hyperlink ref="H808" r:id="rId2892" xr:uid="{00000000-0004-0000-0300-00004B0B0000}"/>
    <hyperlink ref="C809" r:id="rId2893" xr:uid="{00000000-0004-0000-0300-00004C0B0000}"/>
    <hyperlink ref="G809" r:id="rId2894" xr:uid="{00000000-0004-0000-0300-00004D0B0000}"/>
    <hyperlink ref="H809" r:id="rId2895" xr:uid="{00000000-0004-0000-0300-00004E0B0000}"/>
    <hyperlink ref="C810" r:id="rId2896" xr:uid="{00000000-0004-0000-0300-00004F0B0000}"/>
    <hyperlink ref="G810" r:id="rId2897" xr:uid="{00000000-0004-0000-0300-0000500B0000}"/>
    <hyperlink ref="H810" r:id="rId2898" xr:uid="{00000000-0004-0000-0300-0000510B0000}"/>
    <hyperlink ref="C811" r:id="rId2899" xr:uid="{00000000-0004-0000-0300-0000520B0000}"/>
    <hyperlink ref="G811" r:id="rId2900" xr:uid="{00000000-0004-0000-0300-0000530B0000}"/>
    <hyperlink ref="H811" r:id="rId2901" xr:uid="{00000000-0004-0000-0300-0000540B0000}"/>
    <hyperlink ref="C812" r:id="rId2902" xr:uid="{00000000-0004-0000-0300-0000550B0000}"/>
    <hyperlink ref="G812" r:id="rId2903" xr:uid="{00000000-0004-0000-0300-0000560B0000}"/>
    <hyperlink ref="H812" r:id="rId2904" xr:uid="{00000000-0004-0000-0300-0000570B0000}"/>
    <hyperlink ref="C813" r:id="rId2905" xr:uid="{00000000-0004-0000-0300-0000580B0000}"/>
    <hyperlink ref="G813" r:id="rId2906" xr:uid="{00000000-0004-0000-0300-0000590B0000}"/>
    <hyperlink ref="H813" r:id="rId2907" xr:uid="{00000000-0004-0000-0300-00005A0B0000}"/>
    <hyperlink ref="C814" r:id="rId2908" xr:uid="{00000000-0004-0000-0300-00005B0B0000}"/>
    <hyperlink ref="G814" r:id="rId2909" xr:uid="{00000000-0004-0000-0300-00005C0B0000}"/>
    <hyperlink ref="H814" r:id="rId2910" xr:uid="{00000000-0004-0000-0300-00005D0B0000}"/>
    <hyperlink ref="C815" r:id="rId2911" xr:uid="{00000000-0004-0000-0300-00005E0B0000}"/>
    <hyperlink ref="G815" r:id="rId2912" xr:uid="{00000000-0004-0000-0300-00005F0B0000}"/>
    <hyperlink ref="H815" r:id="rId2913" xr:uid="{00000000-0004-0000-0300-0000600B0000}"/>
    <hyperlink ref="C816" r:id="rId2914" xr:uid="{00000000-0004-0000-0300-0000610B0000}"/>
    <hyperlink ref="G816" r:id="rId2915" xr:uid="{00000000-0004-0000-0300-0000620B0000}"/>
    <hyperlink ref="H816" r:id="rId2916" xr:uid="{00000000-0004-0000-0300-0000630B0000}"/>
    <hyperlink ref="C817" r:id="rId2917" xr:uid="{00000000-0004-0000-0300-0000640B0000}"/>
    <hyperlink ref="G817" r:id="rId2918" xr:uid="{00000000-0004-0000-0300-0000650B0000}"/>
    <hyperlink ref="H817" r:id="rId2919" xr:uid="{00000000-0004-0000-0300-0000660B0000}"/>
    <hyperlink ref="C818" r:id="rId2920" xr:uid="{00000000-0004-0000-0300-0000670B0000}"/>
    <hyperlink ref="G818" r:id="rId2921" xr:uid="{00000000-0004-0000-0300-0000680B0000}"/>
    <hyperlink ref="H818" r:id="rId2922" xr:uid="{00000000-0004-0000-0300-0000690B0000}"/>
    <hyperlink ref="C819" r:id="rId2923" xr:uid="{00000000-0004-0000-0300-00006A0B0000}"/>
    <hyperlink ref="G819" r:id="rId2924" xr:uid="{00000000-0004-0000-0300-00006B0B0000}"/>
    <hyperlink ref="H819" r:id="rId2925" xr:uid="{00000000-0004-0000-0300-00006C0B0000}"/>
    <hyperlink ref="C820" r:id="rId2926" xr:uid="{00000000-0004-0000-0300-00006D0B0000}"/>
    <hyperlink ref="G820" r:id="rId2927" xr:uid="{00000000-0004-0000-0300-00006E0B0000}"/>
    <hyperlink ref="H820" r:id="rId2928" xr:uid="{00000000-0004-0000-0300-00006F0B0000}"/>
    <hyperlink ref="C821" r:id="rId2929" xr:uid="{00000000-0004-0000-0300-0000700B0000}"/>
    <hyperlink ref="G821" r:id="rId2930" xr:uid="{00000000-0004-0000-0300-0000710B0000}"/>
    <hyperlink ref="H821" r:id="rId2931" xr:uid="{00000000-0004-0000-0300-0000720B0000}"/>
    <hyperlink ref="C822" r:id="rId2932" xr:uid="{00000000-0004-0000-0300-0000730B0000}"/>
    <hyperlink ref="G822" r:id="rId2933" xr:uid="{00000000-0004-0000-0300-0000740B0000}"/>
    <hyperlink ref="H822" r:id="rId2934" xr:uid="{00000000-0004-0000-0300-0000750B0000}"/>
    <hyperlink ref="C823" r:id="rId2935" xr:uid="{00000000-0004-0000-0300-0000760B0000}"/>
    <hyperlink ref="G823" r:id="rId2936" xr:uid="{00000000-0004-0000-0300-0000770B0000}"/>
    <hyperlink ref="H823" r:id="rId2937" xr:uid="{00000000-0004-0000-0300-0000780B0000}"/>
    <hyperlink ref="C824" r:id="rId2938" xr:uid="{00000000-0004-0000-0300-0000790B0000}"/>
    <hyperlink ref="G824" r:id="rId2939" xr:uid="{00000000-0004-0000-0300-00007A0B0000}"/>
    <hyperlink ref="H824" r:id="rId2940" xr:uid="{00000000-0004-0000-0300-00007B0B0000}"/>
    <hyperlink ref="C825" r:id="rId2941" xr:uid="{00000000-0004-0000-0300-00007C0B0000}"/>
    <hyperlink ref="G825" r:id="rId2942" xr:uid="{00000000-0004-0000-0300-00007D0B0000}"/>
    <hyperlink ref="H825" r:id="rId2943" xr:uid="{00000000-0004-0000-0300-00007E0B0000}"/>
    <hyperlink ref="C826" r:id="rId2944" xr:uid="{00000000-0004-0000-0300-00007F0B0000}"/>
    <hyperlink ref="G826" r:id="rId2945" xr:uid="{00000000-0004-0000-0300-0000800B0000}"/>
    <hyperlink ref="H826" r:id="rId2946" xr:uid="{00000000-0004-0000-0300-0000810B0000}"/>
    <hyperlink ref="C827" r:id="rId2947" xr:uid="{00000000-0004-0000-0300-0000820B0000}"/>
    <hyperlink ref="G827" r:id="rId2948" xr:uid="{00000000-0004-0000-0300-0000830B0000}"/>
    <hyperlink ref="H827" r:id="rId2949" xr:uid="{00000000-0004-0000-0300-0000840B0000}"/>
    <hyperlink ref="C828" r:id="rId2950" xr:uid="{00000000-0004-0000-0300-0000850B0000}"/>
    <hyperlink ref="G828" r:id="rId2951" xr:uid="{00000000-0004-0000-0300-0000860B0000}"/>
    <hyperlink ref="H828" r:id="rId2952" xr:uid="{00000000-0004-0000-0300-0000870B0000}"/>
    <hyperlink ref="C829" r:id="rId2953" xr:uid="{00000000-0004-0000-0300-0000880B0000}"/>
    <hyperlink ref="G829" r:id="rId2954" xr:uid="{00000000-0004-0000-0300-0000890B0000}"/>
    <hyperlink ref="H829" r:id="rId2955" xr:uid="{00000000-0004-0000-0300-00008A0B0000}"/>
    <hyperlink ref="C830" r:id="rId2956" xr:uid="{00000000-0004-0000-0300-00008B0B0000}"/>
    <hyperlink ref="G830" r:id="rId2957" xr:uid="{00000000-0004-0000-0300-00008C0B0000}"/>
    <hyperlink ref="H830" r:id="rId2958" xr:uid="{00000000-0004-0000-0300-00008D0B0000}"/>
    <hyperlink ref="C831" r:id="rId2959" xr:uid="{00000000-0004-0000-0300-00008E0B0000}"/>
    <hyperlink ref="G831" r:id="rId2960" xr:uid="{00000000-0004-0000-0300-00008F0B0000}"/>
    <hyperlink ref="H831" r:id="rId2961" xr:uid="{00000000-0004-0000-0300-0000900B0000}"/>
    <hyperlink ref="C832" r:id="rId2962" xr:uid="{00000000-0004-0000-0300-0000910B0000}"/>
    <hyperlink ref="G832" r:id="rId2963" xr:uid="{00000000-0004-0000-0300-0000920B0000}"/>
    <hyperlink ref="H832" r:id="rId2964" xr:uid="{00000000-0004-0000-0300-0000930B0000}"/>
    <hyperlink ref="C833" r:id="rId2965" xr:uid="{00000000-0004-0000-0300-0000940B0000}"/>
    <hyperlink ref="G833" r:id="rId2966" xr:uid="{00000000-0004-0000-0300-0000950B0000}"/>
    <hyperlink ref="H833" r:id="rId2967" xr:uid="{00000000-0004-0000-0300-0000960B0000}"/>
    <hyperlink ref="C834" r:id="rId2968" xr:uid="{00000000-0004-0000-0300-0000970B0000}"/>
    <hyperlink ref="G834" r:id="rId2969" xr:uid="{00000000-0004-0000-0300-0000980B0000}"/>
    <hyperlink ref="H834" r:id="rId2970" xr:uid="{00000000-0004-0000-0300-0000990B0000}"/>
    <hyperlink ref="C835" r:id="rId2971" xr:uid="{00000000-0004-0000-0300-00009A0B0000}"/>
    <hyperlink ref="G835" r:id="rId2972" xr:uid="{00000000-0004-0000-0300-00009B0B0000}"/>
    <hyperlink ref="H835" r:id="rId2973" xr:uid="{00000000-0004-0000-0300-00009C0B0000}"/>
    <hyperlink ref="C836" r:id="rId2974" xr:uid="{00000000-0004-0000-0300-00009D0B0000}"/>
    <hyperlink ref="G836" r:id="rId2975" xr:uid="{00000000-0004-0000-0300-00009E0B0000}"/>
    <hyperlink ref="H836" r:id="rId2976" xr:uid="{00000000-0004-0000-0300-00009F0B0000}"/>
    <hyperlink ref="C837" r:id="rId2977" xr:uid="{00000000-0004-0000-0300-0000A00B0000}"/>
    <hyperlink ref="G837" r:id="rId2978" xr:uid="{00000000-0004-0000-0300-0000A10B0000}"/>
    <hyperlink ref="H837" r:id="rId2979" xr:uid="{00000000-0004-0000-0300-0000A20B0000}"/>
    <hyperlink ref="C838" r:id="rId2980" xr:uid="{00000000-0004-0000-0300-0000A30B0000}"/>
    <hyperlink ref="G838" r:id="rId2981" xr:uid="{00000000-0004-0000-0300-0000A40B0000}"/>
    <hyperlink ref="H838" r:id="rId2982" xr:uid="{00000000-0004-0000-0300-0000A50B0000}"/>
    <hyperlink ref="C839" r:id="rId2983" xr:uid="{00000000-0004-0000-0300-0000A60B0000}"/>
    <hyperlink ref="G839" r:id="rId2984" xr:uid="{00000000-0004-0000-0300-0000A70B0000}"/>
    <hyperlink ref="H839" r:id="rId2985" xr:uid="{00000000-0004-0000-0300-0000A80B0000}"/>
    <hyperlink ref="C840" r:id="rId2986" xr:uid="{00000000-0004-0000-0300-0000A90B0000}"/>
    <hyperlink ref="G840" r:id="rId2987" xr:uid="{00000000-0004-0000-0300-0000AA0B0000}"/>
    <hyperlink ref="H840" r:id="rId2988" xr:uid="{00000000-0004-0000-0300-0000AB0B0000}"/>
    <hyperlink ref="C841" r:id="rId2989" xr:uid="{00000000-0004-0000-0300-0000AC0B0000}"/>
    <hyperlink ref="G841" r:id="rId2990" xr:uid="{00000000-0004-0000-0300-0000AD0B0000}"/>
    <hyperlink ref="H841" r:id="rId2991" xr:uid="{00000000-0004-0000-0300-0000AE0B0000}"/>
    <hyperlink ref="C842" r:id="rId2992" xr:uid="{00000000-0004-0000-0300-0000AF0B0000}"/>
    <hyperlink ref="G842" r:id="rId2993" xr:uid="{00000000-0004-0000-0300-0000B00B0000}"/>
    <hyperlink ref="H842" r:id="rId2994" xr:uid="{00000000-0004-0000-0300-0000B10B0000}"/>
    <hyperlink ref="C843" r:id="rId2995" xr:uid="{00000000-0004-0000-0300-0000B20B0000}"/>
    <hyperlink ref="G843" r:id="rId2996" xr:uid="{00000000-0004-0000-0300-0000B30B0000}"/>
    <hyperlink ref="H843" r:id="rId2997" xr:uid="{00000000-0004-0000-0300-0000B40B0000}"/>
    <hyperlink ref="C844" r:id="rId2998" xr:uid="{00000000-0004-0000-0300-0000B50B0000}"/>
    <hyperlink ref="G844" r:id="rId2999" xr:uid="{00000000-0004-0000-0300-0000B60B0000}"/>
    <hyperlink ref="H844" r:id="rId3000" xr:uid="{00000000-0004-0000-0300-0000B70B0000}"/>
    <hyperlink ref="C845" r:id="rId3001" xr:uid="{00000000-0004-0000-0300-0000B80B0000}"/>
    <hyperlink ref="G845" r:id="rId3002" xr:uid="{00000000-0004-0000-0300-0000B90B0000}"/>
    <hyperlink ref="H845" r:id="rId3003" xr:uid="{00000000-0004-0000-0300-0000BA0B0000}"/>
    <hyperlink ref="C846" r:id="rId3004" xr:uid="{00000000-0004-0000-0300-0000BB0B0000}"/>
    <hyperlink ref="G846" r:id="rId3005" xr:uid="{00000000-0004-0000-0300-0000BC0B0000}"/>
    <hyperlink ref="H846" r:id="rId3006" xr:uid="{00000000-0004-0000-0300-0000BD0B0000}"/>
    <hyperlink ref="C847" r:id="rId3007" xr:uid="{00000000-0004-0000-0300-0000BE0B0000}"/>
    <hyperlink ref="G847" r:id="rId3008" xr:uid="{00000000-0004-0000-0300-0000BF0B0000}"/>
    <hyperlink ref="H847" r:id="rId3009" xr:uid="{00000000-0004-0000-0300-0000C00B0000}"/>
    <hyperlink ref="C848" r:id="rId3010" xr:uid="{00000000-0004-0000-0300-0000C10B0000}"/>
    <hyperlink ref="G848" r:id="rId3011" xr:uid="{00000000-0004-0000-0300-0000C20B0000}"/>
    <hyperlink ref="H848" r:id="rId3012" xr:uid="{00000000-0004-0000-0300-0000C30B0000}"/>
    <hyperlink ref="C849" r:id="rId3013" xr:uid="{00000000-0004-0000-0300-0000C40B0000}"/>
    <hyperlink ref="G849" r:id="rId3014" xr:uid="{00000000-0004-0000-0300-0000C50B0000}"/>
    <hyperlink ref="H849" r:id="rId3015" xr:uid="{00000000-0004-0000-0300-0000C60B0000}"/>
    <hyperlink ref="C850" r:id="rId3016" xr:uid="{00000000-0004-0000-0300-0000C70B0000}"/>
    <hyperlink ref="G850" r:id="rId3017" xr:uid="{00000000-0004-0000-0300-0000C80B0000}"/>
    <hyperlink ref="H850" r:id="rId3018" xr:uid="{00000000-0004-0000-0300-0000C90B0000}"/>
    <hyperlink ref="C851" r:id="rId3019" xr:uid="{00000000-0004-0000-0300-0000CA0B0000}"/>
    <hyperlink ref="G851" r:id="rId3020" xr:uid="{00000000-0004-0000-0300-0000CB0B0000}"/>
    <hyperlink ref="H851" r:id="rId3021" xr:uid="{00000000-0004-0000-0300-0000CC0B0000}"/>
    <hyperlink ref="C852" r:id="rId3022" xr:uid="{00000000-0004-0000-0300-0000CD0B0000}"/>
    <hyperlink ref="G852" r:id="rId3023" xr:uid="{00000000-0004-0000-0300-0000CE0B0000}"/>
    <hyperlink ref="H852" r:id="rId3024" xr:uid="{00000000-0004-0000-0300-0000CF0B0000}"/>
    <hyperlink ref="C853" r:id="rId3025" xr:uid="{00000000-0004-0000-0300-0000D00B0000}"/>
    <hyperlink ref="G853" r:id="rId3026" xr:uid="{00000000-0004-0000-0300-0000D10B0000}"/>
    <hyperlink ref="H853" r:id="rId3027" xr:uid="{00000000-0004-0000-0300-0000D20B0000}"/>
    <hyperlink ref="C854" r:id="rId3028" xr:uid="{00000000-0004-0000-0300-0000D30B0000}"/>
    <hyperlink ref="G854" r:id="rId3029" xr:uid="{00000000-0004-0000-0300-0000D40B0000}"/>
    <hyperlink ref="H854" r:id="rId3030" xr:uid="{00000000-0004-0000-0300-0000D50B0000}"/>
    <hyperlink ref="C855" r:id="rId3031" xr:uid="{00000000-0004-0000-0300-0000D60B0000}"/>
    <hyperlink ref="G855" r:id="rId3032" xr:uid="{00000000-0004-0000-0300-0000D70B0000}"/>
    <hyperlink ref="H855" r:id="rId3033" xr:uid="{00000000-0004-0000-0300-0000D80B0000}"/>
    <hyperlink ref="C856" r:id="rId3034" xr:uid="{00000000-0004-0000-0300-0000D90B0000}"/>
    <hyperlink ref="G856" r:id="rId3035" xr:uid="{00000000-0004-0000-0300-0000DA0B0000}"/>
    <hyperlink ref="H856" r:id="rId3036" xr:uid="{00000000-0004-0000-0300-0000DB0B0000}"/>
    <hyperlink ref="C857" r:id="rId3037" xr:uid="{00000000-0004-0000-0300-0000DC0B0000}"/>
    <hyperlink ref="G857" r:id="rId3038" xr:uid="{00000000-0004-0000-0300-0000DD0B0000}"/>
    <hyperlink ref="H857" r:id="rId3039" xr:uid="{00000000-0004-0000-0300-0000DE0B0000}"/>
    <hyperlink ref="C858" r:id="rId3040" xr:uid="{00000000-0004-0000-0300-0000DF0B0000}"/>
    <hyperlink ref="G858" r:id="rId3041" xr:uid="{00000000-0004-0000-0300-0000E00B0000}"/>
    <hyperlink ref="H858" r:id="rId3042" xr:uid="{00000000-0004-0000-0300-0000E10B0000}"/>
    <hyperlink ref="C859" r:id="rId3043" xr:uid="{00000000-0004-0000-0300-0000E20B0000}"/>
    <hyperlink ref="G859" r:id="rId3044" xr:uid="{00000000-0004-0000-0300-0000E30B0000}"/>
    <hyperlink ref="H859" r:id="rId3045" xr:uid="{00000000-0004-0000-0300-0000E40B0000}"/>
    <hyperlink ref="C860" r:id="rId3046" xr:uid="{00000000-0004-0000-0300-0000E50B0000}"/>
    <hyperlink ref="G860" r:id="rId3047" xr:uid="{00000000-0004-0000-0300-0000E60B0000}"/>
    <hyperlink ref="H860" r:id="rId3048" xr:uid="{00000000-0004-0000-0300-0000E70B0000}"/>
    <hyperlink ref="C861" r:id="rId3049" xr:uid="{00000000-0004-0000-0300-0000E80B0000}"/>
    <hyperlink ref="G861" r:id="rId3050" xr:uid="{00000000-0004-0000-0300-0000E90B0000}"/>
    <hyperlink ref="H861" r:id="rId3051" xr:uid="{00000000-0004-0000-0300-0000EA0B0000}"/>
    <hyperlink ref="C862" r:id="rId3052" xr:uid="{00000000-0004-0000-0300-0000EB0B0000}"/>
    <hyperlink ref="G862" r:id="rId3053" xr:uid="{00000000-0004-0000-0300-0000EC0B0000}"/>
    <hyperlink ref="H862" r:id="rId3054" xr:uid="{00000000-0004-0000-0300-0000ED0B0000}"/>
    <hyperlink ref="C863" r:id="rId3055" xr:uid="{00000000-0004-0000-0300-0000EE0B0000}"/>
    <hyperlink ref="G863" r:id="rId3056" xr:uid="{00000000-0004-0000-0300-0000EF0B0000}"/>
    <hyperlink ref="H863" r:id="rId3057" xr:uid="{00000000-0004-0000-0300-0000F00B0000}"/>
    <hyperlink ref="C864" r:id="rId3058" xr:uid="{00000000-0004-0000-0300-0000F10B0000}"/>
    <hyperlink ref="G864" r:id="rId3059" xr:uid="{00000000-0004-0000-0300-0000F20B0000}"/>
    <hyperlink ref="H864" r:id="rId3060" xr:uid="{00000000-0004-0000-0300-0000F30B0000}"/>
    <hyperlink ref="C865" r:id="rId3061" xr:uid="{00000000-0004-0000-0300-0000F40B0000}"/>
    <hyperlink ref="G865" r:id="rId3062" xr:uid="{00000000-0004-0000-0300-0000F50B0000}"/>
    <hyperlink ref="H865" r:id="rId3063" xr:uid="{00000000-0004-0000-0300-0000F60B0000}"/>
    <hyperlink ref="C866" r:id="rId3064" xr:uid="{00000000-0004-0000-0300-0000F70B0000}"/>
    <hyperlink ref="G866" r:id="rId3065" xr:uid="{00000000-0004-0000-0300-0000F80B0000}"/>
    <hyperlink ref="H866" r:id="rId3066" xr:uid="{00000000-0004-0000-0300-0000F90B0000}"/>
    <hyperlink ref="C867" r:id="rId3067" xr:uid="{00000000-0004-0000-0300-0000FA0B0000}"/>
    <hyperlink ref="G867" r:id="rId3068" xr:uid="{00000000-0004-0000-0300-0000FB0B0000}"/>
    <hyperlink ref="H867" r:id="rId3069" xr:uid="{00000000-0004-0000-0300-0000FC0B0000}"/>
    <hyperlink ref="C868" r:id="rId3070" xr:uid="{00000000-0004-0000-0300-0000FD0B0000}"/>
    <hyperlink ref="G868" r:id="rId3071" xr:uid="{00000000-0004-0000-0300-0000FE0B0000}"/>
    <hyperlink ref="H868" r:id="rId3072" xr:uid="{00000000-0004-0000-0300-0000FF0B0000}"/>
    <hyperlink ref="C869" r:id="rId3073" xr:uid="{00000000-0004-0000-0300-0000000C0000}"/>
    <hyperlink ref="G869" r:id="rId3074" xr:uid="{00000000-0004-0000-0300-0000010C0000}"/>
    <hyperlink ref="H869" r:id="rId3075" xr:uid="{00000000-0004-0000-0300-0000020C0000}"/>
    <hyperlink ref="C870" r:id="rId3076" xr:uid="{00000000-0004-0000-0300-0000030C0000}"/>
    <hyperlink ref="G870" r:id="rId3077" xr:uid="{00000000-0004-0000-0300-0000040C0000}"/>
    <hyperlink ref="H870" r:id="rId3078" xr:uid="{00000000-0004-0000-0300-0000050C0000}"/>
    <hyperlink ref="C871" r:id="rId3079" xr:uid="{00000000-0004-0000-0300-0000060C0000}"/>
    <hyperlink ref="G871" r:id="rId3080" xr:uid="{00000000-0004-0000-0300-0000070C0000}"/>
    <hyperlink ref="H871" r:id="rId3081" xr:uid="{00000000-0004-0000-0300-0000080C0000}"/>
    <hyperlink ref="C872" r:id="rId3082" xr:uid="{00000000-0004-0000-0300-0000090C0000}"/>
    <hyperlink ref="G872" r:id="rId3083" xr:uid="{00000000-0004-0000-0300-00000A0C0000}"/>
    <hyperlink ref="H872" r:id="rId3084" xr:uid="{00000000-0004-0000-0300-00000B0C0000}"/>
    <hyperlink ref="C873" r:id="rId3085" xr:uid="{00000000-0004-0000-0300-00000C0C0000}"/>
    <hyperlink ref="G873" r:id="rId3086" xr:uid="{00000000-0004-0000-0300-00000D0C0000}"/>
    <hyperlink ref="H873" r:id="rId3087" xr:uid="{00000000-0004-0000-0300-00000E0C0000}"/>
    <hyperlink ref="G874" r:id="rId3088" xr:uid="{00000000-0004-0000-0300-00000F0C0000}"/>
    <hyperlink ref="H874" r:id="rId3089" xr:uid="{00000000-0004-0000-0300-0000100C0000}"/>
    <hyperlink ref="G875" r:id="rId3090" xr:uid="{00000000-0004-0000-0300-0000110C0000}"/>
    <hyperlink ref="H875" r:id="rId3091" xr:uid="{00000000-0004-0000-0300-0000120C0000}"/>
    <hyperlink ref="C876" r:id="rId3092" xr:uid="{00000000-0004-0000-0300-0000130C0000}"/>
    <hyperlink ref="G876" r:id="rId3093" xr:uid="{00000000-0004-0000-0300-0000140C0000}"/>
    <hyperlink ref="H876" r:id="rId3094" xr:uid="{00000000-0004-0000-0300-0000150C0000}"/>
    <hyperlink ref="C877" r:id="rId3095" xr:uid="{00000000-0004-0000-0300-0000160C0000}"/>
    <hyperlink ref="G877" r:id="rId3096" xr:uid="{00000000-0004-0000-0300-0000170C0000}"/>
    <hyperlink ref="H877" r:id="rId3097" xr:uid="{00000000-0004-0000-0300-0000180C0000}"/>
    <hyperlink ref="C878" r:id="rId3098" xr:uid="{00000000-0004-0000-0300-0000190C0000}"/>
    <hyperlink ref="G878" r:id="rId3099" xr:uid="{00000000-0004-0000-0300-00001A0C0000}"/>
    <hyperlink ref="H878" r:id="rId3100" xr:uid="{00000000-0004-0000-0300-00001B0C0000}"/>
    <hyperlink ref="C879" r:id="rId3101" xr:uid="{00000000-0004-0000-0300-00001C0C0000}"/>
    <hyperlink ref="G879" r:id="rId3102" xr:uid="{00000000-0004-0000-0300-00001D0C0000}"/>
    <hyperlink ref="H879" r:id="rId3103" xr:uid="{00000000-0004-0000-0300-00001E0C0000}"/>
    <hyperlink ref="C880" r:id="rId3104" xr:uid="{00000000-0004-0000-0300-00001F0C0000}"/>
    <hyperlink ref="G880" r:id="rId3105" xr:uid="{00000000-0004-0000-0300-0000200C0000}"/>
    <hyperlink ref="H880" r:id="rId3106" xr:uid="{00000000-0004-0000-0300-0000210C0000}"/>
    <hyperlink ref="C881" r:id="rId3107" xr:uid="{00000000-0004-0000-0300-0000220C0000}"/>
    <hyperlink ref="G881" r:id="rId3108" xr:uid="{00000000-0004-0000-0300-0000230C0000}"/>
    <hyperlink ref="H881" r:id="rId3109" xr:uid="{00000000-0004-0000-0300-0000240C0000}"/>
    <hyperlink ref="C882" r:id="rId3110" xr:uid="{00000000-0004-0000-0300-0000250C0000}"/>
    <hyperlink ref="G882" r:id="rId3111" xr:uid="{00000000-0004-0000-0300-0000260C0000}"/>
    <hyperlink ref="H882" r:id="rId3112" xr:uid="{00000000-0004-0000-0300-0000270C0000}"/>
    <hyperlink ref="C883" r:id="rId3113" xr:uid="{00000000-0004-0000-0300-0000280C0000}"/>
    <hyperlink ref="G883" r:id="rId3114" xr:uid="{00000000-0004-0000-0300-0000290C0000}"/>
    <hyperlink ref="H883" r:id="rId3115" xr:uid="{00000000-0004-0000-0300-00002A0C0000}"/>
    <hyperlink ref="C884" r:id="rId3116" xr:uid="{00000000-0004-0000-0300-00002B0C0000}"/>
    <hyperlink ref="G884" r:id="rId3117" xr:uid="{00000000-0004-0000-0300-00002C0C0000}"/>
    <hyperlink ref="H884" r:id="rId3118" xr:uid="{00000000-0004-0000-0300-00002D0C0000}"/>
    <hyperlink ref="C885" r:id="rId3119" xr:uid="{00000000-0004-0000-0300-00002E0C0000}"/>
    <hyperlink ref="G885" r:id="rId3120" xr:uid="{00000000-0004-0000-0300-00002F0C0000}"/>
    <hyperlink ref="H885" r:id="rId3121" xr:uid="{00000000-0004-0000-0300-0000300C0000}"/>
    <hyperlink ref="C886" r:id="rId3122" xr:uid="{00000000-0004-0000-0300-0000310C0000}"/>
    <hyperlink ref="C887" r:id="rId3123" xr:uid="{00000000-0004-0000-0300-0000320C0000}"/>
    <hyperlink ref="G887" r:id="rId3124" xr:uid="{00000000-0004-0000-0300-0000330C0000}"/>
    <hyperlink ref="H887" r:id="rId3125" xr:uid="{00000000-0004-0000-0300-0000340C0000}"/>
    <hyperlink ref="C888" r:id="rId3126" xr:uid="{00000000-0004-0000-0300-0000350C0000}"/>
    <hyperlink ref="G888" r:id="rId3127" xr:uid="{00000000-0004-0000-0300-0000360C0000}"/>
    <hyperlink ref="H888" r:id="rId3128" xr:uid="{00000000-0004-0000-0300-0000370C0000}"/>
    <hyperlink ref="C889" r:id="rId3129" xr:uid="{00000000-0004-0000-0300-0000380C0000}"/>
    <hyperlink ref="G889" r:id="rId3130" xr:uid="{00000000-0004-0000-0300-0000390C0000}"/>
    <hyperlink ref="H889" r:id="rId3131" xr:uid="{00000000-0004-0000-0300-00003A0C0000}"/>
    <hyperlink ref="C890" r:id="rId3132" xr:uid="{00000000-0004-0000-0300-00003B0C0000}"/>
    <hyperlink ref="C891" r:id="rId3133" xr:uid="{00000000-0004-0000-0300-00003C0C0000}"/>
    <hyperlink ref="C892" r:id="rId3134" xr:uid="{00000000-0004-0000-0300-00003D0C0000}"/>
    <hyperlink ref="C893" r:id="rId3135" xr:uid="{00000000-0004-0000-0300-00003E0C0000}"/>
    <hyperlink ref="C894" r:id="rId3136" xr:uid="{00000000-0004-0000-0300-00003F0C0000}"/>
    <hyperlink ref="C895" r:id="rId3137" xr:uid="{00000000-0004-0000-0300-0000400C0000}"/>
    <hyperlink ref="G895" r:id="rId3138" xr:uid="{00000000-0004-0000-0300-0000410C0000}"/>
    <hyperlink ref="H895" r:id="rId3139" xr:uid="{00000000-0004-0000-0300-0000420C0000}"/>
    <hyperlink ref="C896" r:id="rId3140" xr:uid="{00000000-0004-0000-0300-0000430C0000}"/>
    <hyperlink ref="G896" r:id="rId3141" xr:uid="{00000000-0004-0000-0300-0000440C0000}"/>
    <hyperlink ref="H896" r:id="rId3142" xr:uid="{00000000-0004-0000-0300-0000450C0000}"/>
    <hyperlink ref="C897" r:id="rId3143" xr:uid="{00000000-0004-0000-0300-0000460C0000}"/>
    <hyperlink ref="G897" r:id="rId3144" xr:uid="{00000000-0004-0000-0300-0000470C0000}"/>
    <hyperlink ref="H897" r:id="rId3145" xr:uid="{00000000-0004-0000-0300-0000480C0000}"/>
    <hyperlink ref="C898" r:id="rId3146" xr:uid="{00000000-0004-0000-0300-0000490C0000}"/>
    <hyperlink ref="G898" r:id="rId3147" xr:uid="{00000000-0004-0000-0300-00004A0C0000}"/>
    <hyperlink ref="H898" r:id="rId3148" xr:uid="{00000000-0004-0000-0300-00004B0C0000}"/>
    <hyperlink ref="C899" r:id="rId3149" xr:uid="{00000000-0004-0000-0300-00004C0C0000}"/>
    <hyperlink ref="G899" r:id="rId3150" xr:uid="{00000000-0004-0000-0300-00004D0C0000}"/>
    <hyperlink ref="H899" r:id="rId3151" xr:uid="{00000000-0004-0000-0300-00004E0C0000}"/>
    <hyperlink ref="C900" r:id="rId3152" xr:uid="{00000000-0004-0000-0300-00004F0C0000}"/>
    <hyperlink ref="G900" r:id="rId3153" xr:uid="{00000000-0004-0000-0300-0000500C0000}"/>
    <hyperlink ref="H900" r:id="rId3154" xr:uid="{00000000-0004-0000-0300-0000510C0000}"/>
    <hyperlink ref="C901" r:id="rId3155" xr:uid="{00000000-0004-0000-0300-0000520C0000}"/>
    <hyperlink ref="G901" r:id="rId3156" xr:uid="{00000000-0004-0000-0300-0000530C0000}"/>
    <hyperlink ref="H901" r:id="rId3157" xr:uid="{00000000-0004-0000-0300-0000540C0000}"/>
    <hyperlink ref="C902" r:id="rId3158" xr:uid="{00000000-0004-0000-0300-0000550C0000}"/>
    <hyperlink ref="G902" r:id="rId3159" xr:uid="{00000000-0004-0000-0300-0000560C0000}"/>
    <hyperlink ref="H902" r:id="rId3160" xr:uid="{00000000-0004-0000-0300-0000570C0000}"/>
    <hyperlink ref="C903" r:id="rId3161" xr:uid="{00000000-0004-0000-0300-0000580C0000}"/>
    <hyperlink ref="G903" r:id="rId3162" xr:uid="{00000000-0004-0000-0300-0000590C0000}"/>
    <hyperlink ref="H903" r:id="rId3163" xr:uid="{00000000-0004-0000-0300-00005A0C0000}"/>
    <hyperlink ref="C904" r:id="rId3164" xr:uid="{00000000-0004-0000-0300-00005B0C0000}"/>
    <hyperlink ref="G904" r:id="rId3165" xr:uid="{00000000-0004-0000-0300-00005C0C0000}"/>
    <hyperlink ref="H904" r:id="rId3166" xr:uid="{00000000-0004-0000-0300-00005D0C0000}"/>
    <hyperlink ref="C905" r:id="rId3167" xr:uid="{00000000-0004-0000-0300-00005E0C0000}"/>
    <hyperlink ref="G905" r:id="rId3168" xr:uid="{00000000-0004-0000-0300-00005F0C0000}"/>
    <hyperlink ref="H905" r:id="rId3169" xr:uid="{00000000-0004-0000-0300-0000600C0000}"/>
    <hyperlink ref="C906" r:id="rId3170" xr:uid="{00000000-0004-0000-0300-0000610C0000}"/>
    <hyperlink ref="G906" r:id="rId3171" xr:uid="{00000000-0004-0000-0300-0000620C0000}"/>
    <hyperlink ref="H906" r:id="rId3172" xr:uid="{00000000-0004-0000-0300-0000630C0000}"/>
    <hyperlink ref="C907" r:id="rId3173" xr:uid="{00000000-0004-0000-0300-0000640C0000}"/>
    <hyperlink ref="G907" r:id="rId3174" xr:uid="{00000000-0004-0000-0300-0000650C0000}"/>
    <hyperlink ref="H907" r:id="rId3175" xr:uid="{00000000-0004-0000-0300-0000660C0000}"/>
    <hyperlink ref="C908" r:id="rId3176" xr:uid="{00000000-0004-0000-0300-0000670C0000}"/>
    <hyperlink ref="G908" r:id="rId3177" xr:uid="{00000000-0004-0000-0300-0000680C0000}"/>
    <hyperlink ref="H908" r:id="rId3178" xr:uid="{00000000-0004-0000-0300-0000690C0000}"/>
    <hyperlink ref="C909" r:id="rId3179" xr:uid="{00000000-0004-0000-0300-00006A0C0000}"/>
    <hyperlink ref="G909" r:id="rId3180" xr:uid="{00000000-0004-0000-0300-00006B0C0000}"/>
    <hyperlink ref="H909" r:id="rId3181" xr:uid="{00000000-0004-0000-0300-00006C0C0000}"/>
    <hyperlink ref="C910" r:id="rId3182" xr:uid="{00000000-0004-0000-0300-00006D0C0000}"/>
    <hyperlink ref="G910" r:id="rId3183" xr:uid="{00000000-0004-0000-0300-00006E0C0000}"/>
    <hyperlink ref="H910" r:id="rId3184" xr:uid="{00000000-0004-0000-0300-00006F0C0000}"/>
    <hyperlink ref="C911" r:id="rId3185" xr:uid="{00000000-0004-0000-0300-0000700C0000}"/>
    <hyperlink ref="G911" r:id="rId3186" xr:uid="{00000000-0004-0000-0300-0000710C0000}"/>
    <hyperlink ref="H911" r:id="rId3187" xr:uid="{00000000-0004-0000-0300-0000720C0000}"/>
    <hyperlink ref="C912" r:id="rId3188" xr:uid="{00000000-0004-0000-0300-0000730C0000}"/>
    <hyperlink ref="G912" r:id="rId3189" xr:uid="{00000000-0004-0000-0300-0000740C0000}"/>
    <hyperlink ref="H912" r:id="rId3190" xr:uid="{00000000-0004-0000-0300-0000750C0000}"/>
    <hyperlink ref="C913" r:id="rId3191" xr:uid="{00000000-0004-0000-0300-0000760C0000}"/>
    <hyperlink ref="G913" r:id="rId3192" xr:uid="{00000000-0004-0000-0300-0000770C0000}"/>
    <hyperlink ref="H913" r:id="rId3193" xr:uid="{00000000-0004-0000-0300-0000780C0000}"/>
    <hyperlink ref="C914" r:id="rId3194" xr:uid="{00000000-0004-0000-0300-0000790C0000}"/>
    <hyperlink ref="G914" r:id="rId3195" xr:uid="{00000000-0004-0000-0300-00007A0C0000}"/>
    <hyperlink ref="H914" r:id="rId3196" xr:uid="{00000000-0004-0000-0300-00007B0C0000}"/>
    <hyperlink ref="C915" r:id="rId3197" xr:uid="{00000000-0004-0000-0300-00007C0C0000}"/>
    <hyperlink ref="G915" r:id="rId3198" xr:uid="{00000000-0004-0000-0300-00007D0C0000}"/>
    <hyperlink ref="H915" r:id="rId3199" xr:uid="{00000000-0004-0000-0300-00007E0C0000}"/>
    <hyperlink ref="C916" r:id="rId3200" xr:uid="{00000000-0004-0000-0300-00007F0C0000}"/>
    <hyperlink ref="G916" r:id="rId3201" xr:uid="{00000000-0004-0000-0300-0000800C0000}"/>
    <hyperlink ref="H916" r:id="rId3202" xr:uid="{00000000-0004-0000-0300-0000810C0000}"/>
    <hyperlink ref="C917" r:id="rId3203" xr:uid="{00000000-0004-0000-0300-0000820C0000}"/>
    <hyperlink ref="G917" r:id="rId3204" xr:uid="{00000000-0004-0000-0300-0000830C0000}"/>
    <hyperlink ref="H917" r:id="rId3205" xr:uid="{00000000-0004-0000-0300-0000840C0000}"/>
    <hyperlink ref="C918" r:id="rId3206" xr:uid="{00000000-0004-0000-0300-0000850C0000}"/>
    <hyperlink ref="G918" r:id="rId3207" xr:uid="{00000000-0004-0000-0300-0000860C0000}"/>
    <hyperlink ref="H918" r:id="rId3208" xr:uid="{00000000-0004-0000-0300-0000870C0000}"/>
    <hyperlink ref="C919" r:id="rId3209" xr:uid="{00000000-0004-0000-0300-0000880C0000}"/>
    <hyperlink ref="G919" r:id="rId3210" xr:uid="{00000000-0004-0000-0300-0000890C0000}"/>
    <hyperlink ref="H919" r:id="rId3211" xr:uid="{00000000-0004-0000-0300-00008A0C0000}"/>
    <hyperlink ref="C920" r:id="rId3212" xr:uid="{00000000-0004-0000-0300-00008B0C0000}"/>
    <hyperlink ref="G920" r:id="rId3213" xr:uid="{00000000-0004-0000-0300-00008C0C0000}"/>
    <hyperlink ref="H920" r:id="rId3214" xr:uid="{00000000-0004-0000-0300-00008D0C0000}"/>
    <hyperlink ref="C921" r:id="rId3215" xr:uid="{00000000-0004-0000-0300-00008E0C0000}"/>
    <hyperlink ref="G921" r:id="rId3216" xr:uid="{00000000-0004-0000-0300-00008F0C0000}"/>
    <hyperlink ref="H921" r:id="rId3217" xr:uid="{00000000-0004-0000-0300-0000900C0000}"/>
    <hyperlink ref="G922" r:id="rId3218" xr:uid="{00000000-0004-0000-0300-0000910C0000}"/>
    <hyperlink ref="H922" r:id="rId3219" xr:uid="{00000000-0004-0000-0300-0000920C0000}"/>
    <hyperlink ref="C923" r:id="rId3220" xr:uid="{00000000-0004-0000-0300-0000930C0000}"/>
    <hyperlink ref="G923" r:id="rId3221" xr:uid="{00000000-0004-0000-0300-0000940C0000}"/>
    <hyperlink ref="H923" r:id="rId3222" xr:uid="{00000000-0004-0000-0300-0000950C0000}"/>
    <hyperlink ref="C924" r:id="rId3223" xr:uid="{00000000-0004-0000-0300-0000960C0000}"/>
    <hyperlink ref="G924" r:id="rId3224" xr:uid="{00000000-0004-0000-0300-0000970C0000}"/>
    <hyperlink ref="H924" r:id="rId3225" xr:uid="{00000000-0004-0000-0300-0000980C0000}"/>
    <hyperlink ref="C925" r:id="rId3226" xr:uid="{00000000-0004-0000-0300-0000990C0000}"/>
    <hyperlink ref="G925" r:id="rId3227" xr:uid="{00000000-0004-0000-0300-00009A0C0000}"/>
    <hyperlink ref="H925" r:id="rId3228" xr:uid="{00000000-0004-0000-0300-00009B0C0000}"/>
    <hyperlink ref="C926" r:id="rId3229" xr:uid="{00000000-0004-0000-0300-00009C0C0000}"/>
    <hyperlink ref="G926" r:id="rId3230" xr:uid="{00000000-0004-0000-0300-00009D0C0000}"/>
    <hyperlink ref="H926" r:id="rId3231" xr:uid="{00000000-0004-0000-0300-00009E0C0000}"/>
    <hyperlink ref="C927" r:id="rId3232" xr:uid="{00000000-0004-0000-0300-00009F0C0000}"/>
    <hyperlink ref="G927" r:id="rId3233" xr:uid="{00000000-0004-0000-0300-0000A00C0000}"/>
    <hyperlink ref="H927" r:id="rId3234" xr:uid="{00000000-0004-0000-0300-0000A10C0000}"/>
    <hyperlink ref="C928" r:id="rId3235" xr:uid="{00000000-0004-0000-0300-0000A20C0000}"/>
    <hyperlink ref="G928" r:id="rId3236" xr:uid="{00000000-0004-0000-0300-0000A30C0000}"/>
    <hyperlink ref="H928" r:id="rId3237" xr:uid="{00000000-0004-0000-0300-0000A40C0000}"/>
    <hyperlink ref="C929" r:id="rId3238" xr:uid="{00000000-0004-0000-0300-0000A50C0000}"/>
    <hyperlink ref="G929" r:id="rId3239" xr:uid="{00000000-0004-0000-0300-0000A60C0000}"/>
    <hyperlink ref="H929" r:id="rId3240" xr:uid="{00000000-0004-0000-0300-0000A70C0000}"/>
    <hyperlink ref="C930" r:id="rId3241" xr:uid="{00000000-0004-0000-0300-0000A80C0000}"/>
    <hyperlink ref="G930" r:id="rId3242" xr:uid="{00000000-0004-0000-0300-0000A90C0000}"/>
    <hyperlink ref="H930" r:id="rId3243" xr:uid="{00000000-0004-0000-0300-0000AA0C0000}"/>
    <hyperlink ref="C931" r:id="rId3244" xr:uid="{00000000-0004-0000-0300-0000AB0C0000}"/>
    <hyperlink ref="G931" r:id="rId3245" xr:uid="{00000000-0004-0000-0300-0000AC0C0000}"/>
    <hyperlink ref="H931" r:id="rId3246" xr:uid="{00000000-0004-0000-0300-0000AD0C0000}"/>
    <hyperlink ref="C932" r:id="rId3247" xr:uid="{00000000-0004-0000-0300-0000AE0C0000}"/>
    <hyperlink ref="G932" r:id="rId3248" xr:uid="{00000000-0004-0000-0300-0000AF0C0000}"/>
    <hyperlink ref="H932" r:id="rId3249" xr:uid="{00000000-0004-0000-0300-0000B00C0000}"/>
    <hyperlink ref="C933" r:id="rId3250" xr:uid="{00000000-0004-0000-0300-0000B10C0000}"/>
    <hyperlink ref="G933" r:id="rId3251" xr:uid="{00000000-0004-0000-0300-0000B20C0000}"/>
    <hyperlink ref="H933" r:id="rId3252" xr:uid="{00000000-0004-0000-0300-0000B30C0000}"/>
    <hyperlink ref="C934" r:id="rId3253" xr:uid="{00000000-0004-0000-0300-0000B40C0000}"/>
    <hyperlink ref="G934" r:id="rId3254" xr:uid="{00000000-0004-0000-0300-0000B50C0000}"/>
    <hyperlink ref="H934" r:id="rId3255" xr:uid="{00000000-0004-0000-0300-0000B60C0000}"/>
    <hyperlink ref="C935" r:id="rId3256" xr:uid="{00000000-0004-0000-0300-0000B70C0000}"/>
    <hyperlink ref="G935" r:id="rId3257" xr:uid="{00000000-0004-0000-0300-0000B80C0000}"/>
    <hyperlink ref="H935" r:id="rId3258" xr:uid="{00000000-0004-0000-0300-0000B90C0000}"/>
    <hyperlink ref="C936" r:id="rId3259" xr:uid="{00000000-0004-0000-0300-0000BA0C0000}"/>
    <hyperlink ref="G936" r:id="rId3260" xr:uid="{00000000-0004-0000-0300-0000BB0C0000}"/>
    <hyperlink ref="H936" r:id="rId3261" xr:uid="{00000000-0004-0000-0300-0000BC0C0000}"/>
    <hyperlink ref="C937" r:id="rId3262" xr:uid="{00000000-0004-0000-0300-0000BD0C0000}"/>
    <hyperlink ref="G937" r:id="rId3263" xr:uid="{00000000-0004-0000-0300-0000BE0C0000}"/>
    <hyperlink ref="H937" r:id="rId3264" xr:uid="{00000000-0004-0000-0300-0000BF0C0000}"/>
    <hyperlink ref="C938" r:id="rId3265" xr:uid="{00000000-0004-0000-0300-0000C00C0000}"/>
    <hyperlink ref="G938" r:id="rId3266" xr:uid="{00000000-0004-0000-0300-0000C10C0000}"/>
    <hyperlink ref="H938" r:id="rId3267" xr:uid="{00000000-0004-0000-0300-0000C20C0000}"/>
    <hyperlink ref="C939" r:id="rId3268" xr:uid="{00000000-0004-0000-0300-0000C30C0000}"/>
    <hyperlink ref="G939" r:id="rId3269" xr:uid="{00000000-0004-0000-0300-0000C40C0000}"/>
    <hyperlink ref="H939" r:id="rId3270" xr:uid="{00000000-0004-0000-0300-0000C50C0000}"/>
    <hyperlink ref="C940" r:id="rId3271" xr:uid="{00000000-0004-0000-0300-0000C60C0000}"/>
    <hyperlink ref="G940" r:id="rId3272" xr:uid="{00000000-0004-0000-0300-0000C70C0000}"/>
    <hyperlink ref="H940" r:id="rId3273" xr:uid="{00000000-0004-0000-0300-0000C80C0000}"/>
    <hyperlink ref="C941" r:id="rId3274" xr:uid="{00000000-0004-0000-0300-0000C90C0000}"/>
    <hyperlink ref="G941" r:id="rId3275" xr:uid="{00000000-0004-0000-0300-0000CA0C0000}"/>
    <hyperlink ref="H941" r:id="rId3276" xr:uid="{00000000-0004-0000-0300-0000CB0C0000}"/>
    <hyperlink ref="C942" r:id="rId3277" xr:uid="{00000000-0004-0000-0300-0000CC0C0000}"/>
    <hyperlink ref="G942" r:id="rId3278" xr:uid="{00000000-0004-0000-0300-0000CD0C0000}"/>
    <hyperlink ref="H942" r:id="rId3279" xr:uid="{00000000-0004-0000-0300-0000CE0C0000}"/>
    <hyperlink ref="C943" r:id="rId3280" xr:uid="{00000000-0004-0000-0300-0000CF0C0000}"/>
    <hyperlink ref="G943" r:id="rId3281" xr:uid="{00000000-0004-0000-0300-0000D00C0000}"/>
    <hyperlink ref="H943" r:id="rId3282" xr:uid="{00000000-0004-0000-0300-0000D10C0000}"/>
    <hyperlink ref="C944" r:id="rId3283" xr:uid="{00000000-0004-0000-0300-0000D20C0000}"/>
    <hyperlink ref="G944" r:id="rId3284" xr:uid="{00000000-0004-0000-0300-0000D30C0000}"/>
    <hyperlink ref="H944" r:id="rId3285" xr:uid="{00000000-0004-0000-0300-0000D40C0000}"/>
    <hyperlink ref="C945" r:id="rId3286" xr:uid="{00000000-0004-0000-0300-0000D50C0000}"/>
    <hyperlink ref="G945" r:id="rId3287" xr:uid="{00000000-0004-0000-0300-0000D60C0000}"/>
    <hyperlink ref="H945" r:id="rId3288" xr:uid="{00000000-0004-0000-0300-0000D70C0000}"/>
    <hyperlink ref="C946" r:id="rId3289" xr:uid="{00000000-0004-0000-0300-0000D80C0000}"/>
    <hyperlink ref="G946" r:id="rId3290" xr:uid="{00000000-0004-0000-0300-0000D90C0000}"/>
    <hyperlink ref="H946" r:id="rId3291" xr:uid="{00000000-0004-0000-0300-0000DA0C0000}"/>
    <hyperlink ref="C947" r:id="rId3292" xr:uid="{00000000-0004-0000-0300-0000DB0C0000}"/>
    <hyperlink ref="G947" r:id="rId3293" xr:uid="{00000000-0004-0000-0300-0000DC0C0000}"/>
    <hyperlink ref="H947" r:id="rId3294" xr:uid="{00000000-0004-0000-0300-0000DD0C0000}"/>
    <hyperlink ref="C948" r:id="rId3295" xr:uid="{00000000-0004-0000-0300-0000DE0C0000}"/>
    <hyperlink ref="G948" r:id="rId3296" xr:uid="{00000000-0004-0000-0300-0000DF0C0000}"/>
    <hyperlink ref="H948" r:id="rId3297" xr:uid="{00000000-0004-0000-0300-0000E00C0000}"/>
    <hyperlink ref="C949" r:id="rId3298" xr:uid="{00000000-0004-0000-0300-0000E10C0000}"/>
    <hyperlink ref="G949" r:id="rId3299" xr:uid="{00000000-0004-0000-0300-0000E20C0000}"/>
    <hyperlink ref="H949" r:id="rId3300" xr:uid="{00000000-0004-0000-0300-0000E30C0000}"/>
    <hyperlink ref="C950" r:id="rId3301" xr:uid="{00000000-0004-0000-0300-0000E40C0000}"/>
    <hyperlink ref="G950" r:id="rId3302" xr:uid="{00000000-0004-0000-0300-0000E50C0000}"/>
    <hyperlink ref="H950" r:id="rId3303" xr:uid="{00000000-0004-0000-0300-0000E60C0000}"/>
    <hyperlink ref="C951" r:id="rId3304" xr:uid="{00000000-0004-0000-0300-0000E70C0000}"/>
    <hyperlink ref="G951" r:id="rId3305" xr:uid="{00000000-0004-0000-0300-0000E80C0000}"/>
    <hyperlink ref="H951" r:id="rId3306" xr:uid="{00000000-0004-0000-0300-0000E90C0000}"/>
    <hyperlink ref="C952" r:id="rId3307" xr:uid="{00000000-0004-0000-0300-0000EA0C0000}"/>
    <hyperlink ref="G952" r:id="rId3308" xr:uid="{00000000-0004-0000-0300-0000EB0C0000}"/>
    <hyperlink ref="H952" r:id="rId3309" xr:uid="{00000000-0004-0000-0300-0000EC0C0000}"/>
    <hyperlink ref="C953" r:id="rId3310" xr:uid="{00000000-0004-0000-0300-0000ED0C0000}"/>
    <hyperlink ref="G953" r:id="rId3311" xr:uid="{00000000-0004-0000-0300-0000EE0C0000}"/>
    <hyperlink ref="H953" r:id="rId3312" xr:uid="{00000000-0004-0000-0300-0000EF0C0000}"/>
    <hyperlink ref="C954" r:id="rId3313" xr:uid="{00000000-0004-0000-0300-0000F00C0000}"/>
    <hyperlink ref="G954" r:id="rId3314" xr:uid="{00000000-0004-0000-0300-0000F10C0000}"/>
    <hyperlink ref="H954" r:id="rId3315" xr:uid="{00000000-0004-0000-0300-0000F20C0000}"/>
    <hyperlink ref="C955" r:id="rId3316" xr:uid="{00000000-0004-0000-0300-0000F30C0000}"/>
    <hyperlink ref="G955" r:id="rId3317" xr:uid="{00000000-0004-0000-0300-0000F40C0000}"/>
    <hyperlink ref="H955" r:id="rId3318" xr:uid="{00000000-0004-0000-0300-0000F50C0000}"/>
    <hyperlink ref="C956" r:id="rId3319" xr:uid="{00000000-0004-0000-0300-0000F60C0000}"/>
    <hyperlink ref="G956" r:id="rId3320" xr:uid="{00000000-0004-0000-0300-0000F70C0000}"/>
    <hyperlink ref="H956" r:id="rId3321" xr:uid="{00000000-0004-0000-0300-0000F80C0000}"/>
    <hyperlink ref="C957" r:id="rId3322" xr:uid="{00000000-0004-0000-0300-0000F90C0000}"/>
    <hyperlink ref="G957" r:id="rId3323" xr:uid="{00000000-0004-0000-0300-0000FA0C0000}"/>
    <hyperlink ref="H957" r:id="rId3324" xr:uid="{00000000-0004-0000-0300-0000FB0C0000}"/>
    <hyperlink ref="C958" r:id="rId3325" xr:uid="{00000000-0004-0000-0300-0000FC0C0000}"/>
    <hyperlink ref="G958" r:id="rId3326" xr:uid="{00000000-0004-0000-0300-0000FD0C0000}"/>
    <hyperlink ref="H958" r:id="rId3327" xr:uid="{00000000-0004-0000-0300-0000FE0C0000}"/>
    <hyperlink ref="C959" r:id="rId3328" xr:uid="{00000000-0004-0000-0300-0000FF0C0000}"/>
    <hyperlink ref="G959" r:id="rId3329" xr:uid="{00000000-0004-0000-0300-0000000D0000}"/>
    <hyperlink ref="H959" r:id="rId3330" xr:uid="{00000000-0004-0000-0300-0000010D0000}"/>
    <hyperlink ref="C960" r:id="rId3331" xr:uid="{00000000-0004-0000-0300-0000020D0000}"/>
    <hyperlink ref="G960" r:id="rId3332" xr:uid="{00000000-0004-0000-0300-0000030D0000}"/>
    <hyperlink ref="H960" r:id="rId3333" xr:uid="{00000000-0004-0000-0300-0000040D0000}"/>
    <hyperlink ref="C961" r:id="rId3334" xr:uid="{00000000-0004-0000-0300-0000050D0000}"/>
    <hyperlink ref="G961" r:id="rId3335" xr:uid="{00000000-0004-0000-0300-0000060D0000}"/>
    <hyperlink ref="H961" r:id="rId3336" xr:uid="{00000000-0004-0000-0300-0000070D0000}"/>
    <hyperlink ref="C962" r:id="rId3337" xr:uid="{00000000-0004-0000-0300-0000080D0000}"/>
    <hyperlink ref="G962" r:id="rId3338" xr:uid="{00000000-0004-0000-0300-0000090D0000}"/>
    <hyperlink ref="H962" r:id="rId3339" xr:uid="{00000000-0004-0000-0300-00000A0D0000}"/>
    <hyperlink ref="C963" r:id="rId3340" xr:uid="{00000000-0004-0000-0300-00000B0D0000}"/>
    <hyperlink ref="G963" r:id="rId3341" xr:uid="{00000000-0004-0000-0300-00000C0D0000}"/>
    <hyperlink ref="H963" r:id="rId3342" xr:uid="{00000000-0004-0000-0300-00000D0D0000}"/>
    <hyperlink ref="C964" r:id="rId3343" xr:uid="{00000000-0004-0000-0300-00000E0D0000}"/>
    <hyperlink ref="G964" r:id="rId3344" xr:uid="{00000000-0004-0000-0300-00000F0D0000}"/>
    <hyperlink ref="H964" r:id="rId3345" xr:uid="{00000000-0004-0000-0300-0000100D0000}"/>
    <hyperlink ref="C965" r:id="rId3346" xr:uid="{00000000-0004-0000-0300-0000110D0000}"/>
    <hyperlink ref="G965" r:id="rId3347" xr:uid="{00000000-0004-0000-0300-0000120D0000}"/>
    <hyperlink ref="H965" r:id="rId3348" xr:uid="{00000000-0004-0000-0300-0000130D0000}"/>
    <hyperlink ref="C966" r:id="rId3349" xr:uid="{00000000-0004-0000-0300-0000140D0000}"/>
    <hyperlink ref="G966" r:id="rId3350" xr:uid="{00000000-0004-0000-0300-0000150D0000}"/>
    <hyperlink ref="H966" r:id="rId3351" xr:uid="{00000000-0004-0000-0300-0000160D0000}"/>
    <hyperlink ref="C967" r:id="rId3352" xr:uid="{00000000-0004-0000-0300-0000170D0000}"/>
    <hyperlink ref="G967" r:id="rId3353" xr:uid="{00000000-0004-0000-0300-0000180D0000}"/>
    <hyperlink ref="H967" r:id="rId3354" xr:uid="{00000000-0004-0000-0300-0000190D0000}"/>
    <hyperlink ref="C968" r:id="rId3355" xr:uid="{00000000-0004-0000-0300-00001A0D0000}"/>
    <hyperlink ref="G968" r:id="rId3356" xr:uid="{00000000-0004-0000-0300-00001B0D0000}"/>
    <hyperlink ref="H968" r:id="rId3357" xr:uid="{00000000-0004-0000-0300-00001C0D0000}"/>
    <hyperlink ref="C969" r:id="rId3358" xr:uid="{00000000-0004-0000-0300-00001D0D0000}"/>
    <hyperlink ref="G969" r:id="rId3359" xr:uid="{00000000-0004-0000-0300-00001E0D0000}"/>
    <hyperlink ref="H969" r:id="rId3360" xr:uid="{00000000-0004-0000-0300-00001F0D0000}"/>
    <hyperlink ref="C970" r:id="rId3361" xr:uid="{00000000-0004-0000-0300-0000200D0000}"/>
    <hyperlink ref="G970" r:id="rId3362" xr:uid="{00000000-0004-0000-0300-0000210D0000}"/>
    <hyperlink ref="H970" r:id="rId3363" xr:uid="{00000000-0004-0000-0300-0000220D0000}"/>
    <hyperlink ref="C971" r:id="rId3364" xr:uid="{00000000-0004-0000-0300-0000230D0000}"/>
    <hyperlink ref="G971" r:id="rId3365" xr:uid="{00000000-0004-0000-0300-0000240D0000}"/>
    <hyperlink ref="H971" r:id="rId3366" xr:uid="{00000000-0004-0000-0300-0000250D0000}"/>
    <hyperlink ref="C972" r:id="rId3367" xr:uid="{00000000-0004-0000-0300-0000260D0000}"/>
    <hyperlink ref="G972" r:id="rId3368" xr:uid="{00000000-0004-0000-0300-0000270D0000}"/>
    <hyperlink ref="H972" r:id="rId3369" xr:uid="{00000000-0004-0000-0300-0000280D0000}"/>
    <hyperlink ref="C973" r:id="rId3370" xr:uid="{00000000-0004-0000-0300-0000290D0000}"/>
    <hyperlink ref="G973" r:id="rId3371" xr:uid="{00000000-0004-0000-0300-00002A0D0000}"/>
    <hyperlink ref="H973" r:id="rId3372" xr:uid="{00000000-0004-0000-0300-00002B0D0000}"/>
    <hyperlink ref="C974" r:id="rId3373" xr:uid="{00000000-0004-0000-0300-00002C0D0000}"/>
    <hyperlink ref="G974" r:id="rId3374" xr:uid="{00000000-0004-0000-0300-00002D0D0000}"/>
    <hyperlink ref="H974" r:id="rId3375" xr:uid="{00000000-0004-0000-0300-00002E0D0000}"/>
    <hyperlink ref="C975" r:id="rId3376" xr:uid="{00000000-0004-0000-0300-00002F0D0000}"/>
    <hyperlink ref="G975" r:id="rId3377" xr:uid="{00000000-0004-0000-0300-0000300D0000}"/>
    <hyperlink ref="H975" r:id="rId3378" xr:uid="{00000000-0004-0000-0300-0000310D0000}"/>
    <hyperlink ref="C976" r:id="rId3379" xr:uid="{00000000-0004-0000-0300-0000320D0000}"/>
    <hyperlink ref="G976" r:id="rId3380" xr:uid="{00000000-0004-0000-0300-0000330D0000}"/>
    <hyperlink ref="H976" r:id="rId3381" xr:uid="{00000000-0004-0000-0300-0000340D0000}"/>
    <hyperlink ref="C977" r:id="rId3382" xr:uid="{00000000-0004-0000-0300-0000350D0000}"/>
    <hyperlink ref="G977" r:id="rId3383" xr:uid="{00000000-0004-0000-0300-0000360D0000}"/>
    <hyperlink ref="H977" r:id="rId3384" xr:uid="{00000000-0004-0000-0300-0000370D0000}"/>
    <hyperlink ref="C978" r:id="rId3385" xr:uid="{00000000-0004-0000-0300-0000380D0000}"/>
    <hyperlink ref="G978" r:id="rId3386" xr:uid="{00000000-0004-0000-0300-0000390D0000}"/>
    <hyperlink ref="H978" r:id="rId3387" xr:uid="{00000000-0004-0000-0300-00003A0D0000}"/>
    <hyperlink ref="C979" r:id="rId3388" xr:uid="{00000000-0004-0000-0300-00003B0D0000}"/>
    <hyperlink ref="G979" r:id="rId3389" xr:uid="{00000000-0004-0000-0300-00003C0D0000}"/>
    <hyperlink ref="H979" r:id="rId3390" xr:uid="{00000000-0004-0000-0300-00003D0D0000}"/>
    <hyperlink ref="C980" r:id="rId3391" xr:uid="{00000000-0004-0000-0300-00003E0D0000}"/>
    <hyperlink ref="G980" r:id="rId3392" xr:uid="{00000000-0004-0000-0300-00003F0D0000}"/>
    <hyperlink ref="H980" r:id="rId3393" xr:uid="{00000000-0004-0000-0300-0000400D0000}"/>
    <hyperlink ref="C981" r:id="rId3394" xr:uid="{00000000-0004-0000-0300-0000410D0000}"/>
    <hyperlink ref="G981" r:id="rId3395" xr:uid="{00000000-0004-0000-0300-0000420D0000}"/>
    <hyperlink ref="H981" r:id="rId3396" xr:uid="{00000000-0004-0000-0300-0000430D0000}"/>
    <hyperlink ref="C982" r:id="rId3397" xr:uid="{00000000-0004-0000-0300-0000440D0000}"/>
    <hyperlink ref="G982" r:id="rId3398" xr:uid="{00000000-0004-0000-0300-0000450D0000}"/>
    <hyperlink ref="H982" r:id="rId3399" xr:uid="{00000000-0004-0000-0300-0000460D0000}"/>
    <hyperlink ref="C983" r:id="rId3400" xr:uid="{00000000-0004-0000-0300-0000470D0000}"/>
    <hyperlink ref="G983" r:id="rId3401" xr:uid="{00000000-0004-0000-0300-0000480D0000}"/>
    <hyperlink ref="H983" r:id="rId3402" xr:uid="{00000000-0004-0000-0300-0000490D0000}"/>
    <hyperlink ref="C984" r:id="rId3403" xr:uid="{00000000-0004-0000-0300-00004A0D0000}"/>
    <hyperlink ref="G984" r:id="rId3404" xr:uid="{00000000-0004-0000-0300-00004B0D0000}"/>
    <hyperlink ref="H984" r:id="rId3405" xr:uid="{00000000-0004-0000-0300-00004C0D0000}"/>
    <hyperlink ref="C985" r:id="rId3406" xr:uid="{00000000-0004-0000-0300-00004D0D0000}"/>
    <hyperlink ref="G985" r:id="rId3407" xr:uid="{00000000-0004-0000-0300-00004E0D0000}"/>
    <hyperlink ref="H985" r:id="rId3408" xr:uid="{00000000-0004-0000-0300-00004F0D0000}"/>
    <hyperlink ref="C986" r:id="rId3409" xr:uid="{00000000-0004-0000-0300-0000500D0000}"/>
    <hyperlink ref="G986" r:id="rId3410" xr:uid="{00000000-0004-0000-0300-0000510D0000}"/>
    <hyperlink ref="H986" r:id="rId3411" xr:uid="{00000000-0004-0000-0300-0000520D0000}"/>
    <hyperlink ref="C987" r:id="rId3412" xr:uid="{00000000-0004-0000-0300-0000530D0000}"/>
    <hyperlink ref="C988" r:id="rId3413" xr:uid="{00000000-0004-0000-0300-0000540D0000}"/>
    <hyperlink ref="G988" r:id="rId3414" xr:uid="{00000000-0004-0000-0300-0000550D0000}"/>
    <hyperlink ref="H988" r:id="rId3415" xr:uid="{00000000-0004-0000-0300-0000560D0000}"/>
    <hyperlink ref="C989" r:id="rId3416" xr:uid="{00000000-0004-0000-0300-0000570D0000}"/>
    <hyperlink ref="G989" r:id="rId3417" xr:uid="{00000000-0004-0000-0300-0000580D0000}"/>
    <hyperlink ref="H989" r:id="rId3418" xr:uid="{00000000-0004-0000-0300-0000590D0000}"/>
    <hyperlink ref="C990" r:id="rId3419" xr:uid="{00000000-0004-0000-0300-00005A0D0000}"/>
    <hyperlink ref="G990" r:id="rId3420" xr:uid="{00000000-0004-0000-0300-00005B0D0000}"/>
    <hyperlink ref="H990" r:id="rId3421" xr:uid="{00000000-0004-0000-0300-00005C0D0000}"/>
    <hyperlink ref="C991" r:id="rId3422" xr:uid="{00000000-0004-0000-0300-00005D0D0000}"/>
    <hyperlink ref="G991" r:id="rId3423" xr:uid="{00000000-0004-0000-0300-00005E0D0000}"/>
    <hyperlink ref="H991" r:id="rId3424" xr:uid="{00000000-0004-0000-0300-00005F0D0000}"/>
    <hyperlink ref="C992" r:id="rId3425" xr:uid="{00000000-0004-0000-0300-0000600D0000}"/>
    <hyperlink ref="G992" r:id="rId3426" xr:uid="{00000000-0004-0000-0300-0000610D0000}"/>
    <hyperlink ref="H992" r:id="rId3427" xr:uid="{00000000-0004-0000-0300-0000620D0000}"/>
    <hyperlink ref="C993" r:id="rId3428" xr:uid="{00000000-0004-0000-0300-0000630D0000}"/>
    <hyperlink ref="G993" r:id="rId3429" xr:uid="{00000000-0004-0000-0300-0000640D0000}"/>
    <hyperlink ref="H993" r:id="rId3430" xr:uid="{00000000-0004-0000-0300-0000650D0000}"/>
    <hyperlink ref="C994" r:id="rId3431" xr:uid="{00000000-0004-0000-0300-0000660D0000}"/>
    <hyperlink ref="G994" r:id="rId3432" xr:uid="{00000000-0004-0000-0300-0000670D0000}"/>
    <hyperlink ref="H994" r:id="rId3433" xr:uid="{00000000-0004-0000-0300-0000680D0000}"/>
    <hyperlink ref="C995" r:id="rId3434" xr:uid="{00000000-0004-0000-0300-0000690D0000}"/>
    <hyperlink ref="G995" r:id="rId3435" xr:uid="{00000000-0004-0000-0300-00006A0D0000}"/>
    <hyperlink ref="H995" r:id="rId3436" xr:uid="{00000000-0004-0000-0300-00006B0D0000}"/>
    <hyperlink ref="C996" r:id="rId3437" xr:uid="{00000000-0004-0000-0300-00006C0D0000}"/>
    <hyperlink ref="C997" r:id="rId3438" xr:uid="{00000000-0004-0000-0300-00006D0D0000}"/>
    <hyperlink ref="C998" r:id="rId3439" xr:uid="{00000000-0004-0000-0300-00006E0D0000}"/>
    <hyperlink ref="C999" r:id="rId3440" xr:uid="{00000000-0004-0000-0300-00006F0D0000}"/>
    <hyperlink ref="C1000" r:id="rId3441" xr:uid="{00000000-0004-0000-0300-0000700D0000}"/>
    <hyperlink ref="C1001" r:id="rId3442" xr:uid="{00000000-0004-0000-0300-0000710D0000}"/>
    <hyperlink ref="C1002" r:id="rId3443" xr:uid="{00000000-0004-0000-0300-0000720D0000}"/>
    <hyperlink ref="C1003" r:id="rId3444" xr:uid="{00000000-0004-0000-0300-0000730D0000}"/>
    <hyperlink ref="C1004" r:id="rId3445" xr:uid="{00000000-0004-0000-0300-0000740D0000}"/>
    <hyperlink ref="P1005" r:id="rId3446" xr:uid="{00000000-0004-0000-0300-0000750D0000}"/>
    <hyperlink ref="P1006" r:id="rId3447" xr:uid="{00000000-0004-0000-0300-0000760D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workbookViewId="0"/>
  </sheetViews>
  <sheetFormatPr defaultColWidth="12.6328125" defaultRowHeight="15" customHeight="1"/>
  <cols>
    <col min="2" max="2" width="25.90625" customWidth="1"/>
    <col min="3" max="3" width="21.08984375" style="39" customWidth="1"/>
    <col min="4" max="4" width="32.7265625" style="40" customWidth="1"/>
  </cols>
  <sheetData>
    <row r="1" spans="1:7" ht="14.5">
      <c r="A1" s="42" t="s">
        <v>10956</v>
      </c>
      <c r="B1" s="42" t="s">
        <v>39</v>
      </c>
      <c r="C1" s="43" t="s">
        <v>10957</v>
      </c>
      <c r="D1" s="44" t="s">
        <v>10958</v>
      </c>
      <c r="E1" s="35"/>
      <c r="F1" s="35"/>
      <c r="G1" s="35"/>
    </row>
    <row r="2" spans="1:7" ht="14.5">
      <c r="A2" s="45" t="s">
        <v>10959</v>
      </c>
      <c r="B2" s="45" t="s">
        <v>10960</v>
      </c>
      <c r="C2" s="46" t="str">
        <f t="shared" ref="C2:C8" si="0">CONCATENATE(A2,":","1000")</f>
        <v>C00001:1000</v>
      </c>
      <c r="D2" s="47" t="str">
        <f t="shared" ref="D2:D256" si="1">CONCATENATE(A2," : ",B2)</f>
        <v>C00001 : Water</v>
      </c>
      <c r="E2" s="15"/>
      <c r="F2" s="15"/>
      <c r="G2" s="15"/>
    </row>
    <row r="3" spans="1:7" ht="14.5">
      <c r="A3" s="45" t="s">
        <v>10961</v>
      </c>
      <c r="B3" s="45" t="s">
        <v>10962</v>
      </c>
      <c r="C3" s="46" t="str">
        <f t="shared" si="0"/>
        <v>C00002:1000</v>
      </c>
      <c r="D3" s="47" t="str">
        <f t="shared" si="1"/>
        <v>C00002 : ATP</v>
      </c>
      <c r="E3" s="15"/>
      <c r="F3" s="15"/>
      <c r="G3" s="15"/>
    </row>
    <row r="4" spans="1:7" ht="14.5">
      <c r="A4" s="45" t="s">
        <v>10963</v>
      </c>
      <c r="B4" s="45" t="s">
        <v>10964</v>
      </c>
      <c r="C4" s="46" t="str">
        <f t="shared" si="0"/>
        <v>C00003:1000</v>
      </c>
      <c r="D4" s="47" t="str">
        <f t="shared" si="1"/>
        <v>C00003 : NAD+</v>
      </c>
      <c r="E4" s="15"/>
      <c r="F4" s="15"/>
      <c r="G4" s="15"/>
    </row>
    <row r="5" spans="1:7" ht="14.5">
      <c r="A5" s="45" t="s">
        <v>10965</v>
      </c>
      <c r="B5" s="45" t="s">
        <v>10966</v>
      </c>
      <c r="C5" s="46" t="str">
        <f t="shared" si="0"/>
        <v>C00004:1000</v>
      </c>
      <c r="D5" s="47" t="str">
        <f t="shared" si="1"/>
        <v>C00004 : NADH</v>
      </c>
      <c r="E5" s="15"/>
      <c r="F5" s="15"/>
      <c r="G5" s="15"/>
    </row>
    <row r="6" spans="1:7" ht="14.5">
      <c r="A6" s="45" t="s">
        <v>10967</v>
      </c>
      <c r="B6" s="45" t="s">
        <v>10968</v>
      </c>
      <c r="C6" s="46" t="str">
        <f t="shared" si="0"/>
        <v>C00005:1000</v>
      </c>
      <c r="D6" s="47" t="str">
        <f t="shared" si="1"/>
        <v>C00005 : NADPH</v>
      </c>
      <c r="E6" s="15"/>
      <c r="F6" s="15"/>
      <c r="G6" s="15"/>
    </row>
    <row r="7" spans="1:7" ht="14.5">
      <c r="A7" s="45" t="s">
        <v>10969</v>
      </c>
      <c r="B7" s="45" t="s">
        <v>10970</v>
      </c>
      <c r="C7" s="46" t="str">
        <f t="shared" si="0"/>
        <v>C00006:1000</v>
      </c>
      <c r="D7" s="47" t="str">
        <f t="shared" si="1"/>
        <v>C00006 : NADP+</v>
      </c>
      <c r="E7" s="15"/>
      <c r="F7" s="15"/>
      <c r="G7" s="15"/>
    </row>
    <row r="8" spans="1:7" ht="14.5">
      <c r="A8" s="45" t="s">
        <v>10971</v>
      </c>
      <c r="B8" s="45" t="s">
        <v>10972</v>
      </c>
      <c r="C8" s="46" t="str">
        <f t="shared" si="0"/>
        <v>C00007:1000</v>
      </c>
      <c r="D8" s="47" t="str">
        <f t="shared" si="1"/>
        <v>C00007 : Oxygen</v>
      </c>
      <c r="E8" s="15"/>
      <c r="F8" s="15"/>
      <c r="G8" s="15"/>
    </row>
    <row r="9" spans="1:7" ht="14.5">
      <c r="A9" s="45" t="s">
        <v>10973</v>
      </c>
      <c r="B9" s="45" t="s">
        <v>10974</v>
      </c>
      <c r="C9" s="46" t="str">
        <f t="shared" ref="C9:C11" si="2">CONCATENATE(A9,":","1")</f>
        <v>C00008:1</v>
      </c>
      <c r="D9" s="47" t="str">
        <f t="shared" si="1"/>
        <v>C00008 : ADP</v>
      </c>
      <c r="E9" s="15"/>
      <c r="F9" s="15"/>
      <c r="G9" s="15"/>
    </row>
    <row r="10" spans="1:7" ht="14.5">
      <c r="A10" s="45" t="s">
        <v>10975</v>
      </c>
      <c r="B10" s="45" t="s">
        <v>10976</v>
      </c>
      <c r="C10" s="46" t="str">
        <f t="shared" si="2"/>
        <v>C00009:1</v>
      </c>
      <c r="D10" s="47" t="str">
        <f t="shared" si="1"/>
        <v>C00009 : Phosphoric Acid</v>
      </c>
      <c r="E10" s="15"/>
      <c r="F10" s="15"/>
      <c r="G10" s="15"/>
    </row>
    <row r="11" spans="1:7" ht="14.5">
      <c r="A11" s="45" t="s">
        <v>10977</v>
      </c>
      <c r="B11" s="45" t="s">
        <v>10978</v>
      </c>
      <c r="C11" s="46" t="str">
        <f t="shared" si="2"/>
        <v>C00010:1</v>
      </c>
      <c r="D11" s="47" t="str">
        <f t="shared" si="1"/>
        <v>C00010 : CoA</v>
      </c>
      <c r="E11" s="15"/>
      <c r="F11" s="15"/>
      <c r="G11" s="15"/>
    </row>
    <row r="12" spans="1:7" ht="14.5">
      <c r="A12" s="45" t="s">
        <v>10979</v>
      </c>
      <c r="B12" s="45" t="s">
        <v>10980</v>
      </c>
      <c r="C12" s="46" t="str">
        <f>CONCATENATE(A12,":","1000")</f>
        <v>C00011:1000</v>
      </c>
      <c r="D12" s="47" t="str">
        <f t="shared" si="1"/>
        <v>C00011 : Carbon Dioxide</v>
      </c>
      <c r="E12" s="15"/>
      <c r="F12" s="15"/>
      <c r="G12" s="15"/>
    </row>
    <row r="13" spans="1:7" ht="14.5">
      <c r="A13" s="45" t="s">
        <v>10981</v>
      </c>
      <c r="B13" s="45" t="s">
        <v>10982</v>
      </c>
      <c r="C13" s="46" t="str">
        <f t="shared" ref="C13:C14" si="3">CONCATENATE(A13,":","1")</f>
        <v>C00012:1</v>
      </c>
      <c r="D13" s="47" t="str">
        <f t="shared" si="1"/>
        <v>C00012 : peptide</v>
      </c>
      <c r="E13" s="15"/>
      <c r="F13" s="15"/>
      <c r="G13" s="15"/>
    </row>
    <row r="14" spans="1:7" ht="14.5">
      <c r="A14" s="45" t="s">
        <v>10983</v>
      </c>
      <c r="B14" s="45" t="s">
        <v>10984</v>
      </c>
      <c r="C14" s="46" t="str">
        <f t="shared" si="3"/>
        <v>C00013:1</v>
      </c>
      <c r="D14" s="47" t="str">
        <f t="shared" si="1"/>
        <v>C00013 : Diphosphoric Acid</v>
      </c>
      <c r="E14" s="15"/>
      <c r="F14" s="15"/>
      <c r="G14" s="15"/>
    </row>
    <row r="15" spans="1:7" ht="14.5">
      <c r="A15" s="45" t="s">
        <v>10985</v>
      </c>
      <c r="B15" s="45" t="s">
        <v>10986</v>
      </c>
      <c r="C15" s="46" t="str">
        <f>CONCATENATE(A15,":","1000")</f>
        <v>C00014:1000</v>
      </c>
      <c r="D15" s="47" t="str">
        <f t="shared" si="1"/>
        <v>C00014 : Ammonia</v>
      </c>
      <c r="E15" s="15"/>
      <c r="F15" s="15"/>
      <c r="G15" s="15"/>
    </row>
    <row r="16" spans="1:7" ht="14.5">
      <c r="A16" s="45" t="s">
        <v>10987</v>
      </c>
      <c r="B16" s="45" t="s">
        <v>10988</v>
      </c>
      <c r="C16" s="46" t="str">
        <f t="shared" ref="C16:C23" si="4">CONCATENATE(A16,":","1")</f>
        <v>C00015:1</v>
      </c>
      <c r="D16" s="47" t="str">
        <f t="shared" si="1"/>
        <v>C00015 : UDP</v>
      </c>
      <c r="E16" s="15"/>
      <c r="F16" s="15"/>
      <c r="G16" s="15"/>
    </row>
    <row r="17" spans="1:7" ht="14.5">
      <c r="A17" s="45" t="s">
        <v>10989</v>
      </c>
      <c r="B17" s="45" t="s">
        <v>10990</v>
      </c>
      <c r="C17" s="46" t="str">
        <f t="shared" si="4"/>
        <v>C00016:1</v>
      </c>
      <c r="D17" s="47" t="str">
        <f t="shared" si="1"/>
        <v>C00016 : FAD</v>
      </c>
      <c r="E17" s="15"/>
      <c r="F17" s="15"/>
      <c r="G17" s="15"/>
    </row>
    <row r="18" spans="1:7" ht="14.5">
      <c r="A18" s="45" t="s">
        <v>10991</v>
      </c>
      <c r="B18" s="45" t="s">
        <v>10992</v>
      </c>
      <c r="C18" s="46" t="str">
        <f t="shared" si="4"/>
        <v>C00018:1</v>
      </c>
      <c r="D18" s="47" t="str">
        <f t="shared" si="1"/>
        <v>C00018 : Pyridoxal Phosphate(PLP)</v>
      </c>
      <c r="E18" s="15"/>
      <c r="F18" s="15"/>
      <c r="G18" s="15"/>
    </row>
    <row r="19" spans="1:7" ht="14.5">
      <c r="A19" s="45" t="s">
        <v>7965</v>
      </c>
      <c r="B19" s="45" t="s">
        <v>10993</v>
      </c>
      <c r="C19" s="46" t="str">
        <f t="shared" si="4"/>
        <v>C00019:1</v>
      </c>
      <c r="D19" s="47" t="str">
        <f t="shared" si="1"/>
        <v>C00019 : SAM</v>
      </c>
      <c r="E19" s="15"/>
      <c r="F19" s="15"/>
      <c r="G19" s="15"/>
    </row>
    <row r="20" spans="1:7" ht="14.5">
      <c r="A20" s="45" t="s">
        <v>10994</v>
      </c>
      <c r="B20" s="45" t="s">
        <v>10995</v>
      </c>
      <c r="C20" s="46" t="str">
        <f t="shared" si="4"/>
        <v>C00020:1</v>
      </c>
      <c r="D20" s="47" t="str">
        <f t="shared" si="1"/>
        <v>C00020 : AMP</v>
      </c>
      <c r="E20" s="15"/>
      <c r="F20" s="15"/>
      <c r="G20" s="15"/>
    </row>
    <row r="21" spans="1:7" ht="14.5">
      <c r="A21" s="45" t="s">
        <v>7966</v>
      </c>
      <c r="B21" s="45" t="s">
        <v>10996</v>
      </c>
      <c r="C21" s="46" t="str">
        <f t="shared" si="4"/>
        <v>C00021:1</v>
      </c>
      <c r="D21" s="47" t="str">
        <f t="shared" si="1"/>
        <v>C00021 : S-Adenosyl-L-Homocysteine(SAH)</v>
      </c>
      <c r="E21" s="15"/>
      <c r="F21" s="15"/>
      <c r="G21" s="15"/>
    </row>
    <row r="22" spans="1:7" ht="14.5">
      <c r="A22" s="45" t="s">
        <v>10997</v>
      </c>
      <c r="B22" s="45" t="s">
        <v>10998</v>
      </c>
      <c r="C22" s="46" t="str">
        <f t="shared" si="4"/>
        <v>C00022:1</v>
      </c>
      <c r="D22" s="47" t="str">
        <f t="shared" si="1"/>
        <v>C00022 : Pyruvate</v>
      </c>
      <c r="E22" s="15"/>
      <c r="F22" s="15"/>
      <c r="G22" s="15"/>
    </row>
    <row r="23" spans="1:7" ht="14.5">
      <c r="A23" s="45" t="s">
        <v>10999</v>
      </c>
      <c r="B23" s="45" t="s">
        <v>11000</v>
      </c>
      <c r="C23" s="46" t="str">
        <f t="shared" si="4"/>
        <v>C00024:1</v>
      </c>
      <c r="D23" s="47" t="str">
        <f t="shared" si="1"/>
        <v>C00024 : Acetyl-CoA</v>
      </c>
      <c r="E23" s="15"/>
      <c r="F23" s="15"/>
      <c r="G23" s="15"/>
    </row>
    <row r="24" spans="1:7" ht="14.5">
      <c r="A24" s="45" t="s">
        <v>11001</v>
      </c>
      <c r="B24" s="45" t="s">
        <v>11002</v>
      </c>
      <c r="C24" s="46" t="str">
        <f>CONCATENATE(A24,":","1000")</f>
        <v>C00025:1000</v>
      </c>
      <c r="D24" s="47" t="str">
        <f t="shared" si="1"/>
        <v>C00025 : L-Glutamate</v>
      </c>
      <c r="E24" s="15"/>
      <c r="F24" s="15"/>
      <c r="G24" s="15"/>
    </row>
    <row r="25" spans="1:7" ht="14.5">
      <c r="A25" s="45" t="s">
        <v>11003</v>
      </c>
      <c r="B25" s="45" t="s">
        <v>11004</v>
      </c>
      <c r="C25" s="46" t="str">
        <f t="shared" ref="C25:C29" si="5">CONCATENATE(A25,":","1")</f>
        <v>C00026:1</v>
      </c>
      <c r="D25" s="47" t="str">
        <f t="shared" si="1"/>
        <v>C00026 : 2-Oxoglutarate</v>
      </c>
      <c r="E25" s="15"/>
      <c r="F25" s="15"/>
      <c r="G25" s="15"/>
    </row>
    <row r="26" spans="1:7" ht="14.5">
      <c r="A26" s="45" t="s">
        <v>11005</v>
      </c>
      <c r="B26" s="45" t="s">
        <v>11006</v>
      </c>
      <c r="C26" s="46" t="str">
        <f t="shared" si="5"/>
        <v>C00027:1</v>
      </c>
      <c r="D26" s="47" t="str">
        <f t="shared" si="1"/>
        <v>C00027 : Hydrogen Peroxide</v>
      </c>
      <c r="E26" s="15"/>
      <c r="F26" s="15"/>
      <c r="G26" s="15"/>
    </row>
    <row r="27" spans="1:7" ht="14.5">
      <c r="A27" s="45" t="s">
        <v>11007</v>
      </c>
      <c r="B27" s="45" t="s">
        <v>11008</v>
      </c>
      <c r="C27" s="46" t="str">
        <f t="shared" si="5"/>
        <v>C00028:1</v>
      </c>
      <c r="D27" s="47" t="str">
        <f t="shared" si="1"/>
        <v>C00028 : Acceptor</v>
      </c>
      <c r="E27" s="15"/>
      <c r="F27" s="15"/>
      <c r="G27" s="15"/>
    </row>
    <row r="28" spans="1:7" ht="14.5">
      <c r="A28" s="45" t="s">
        <v>11009</v>
      </c>
      <c r="B28" s="45" t="s">
        <v>11010</v>
      </c>
      <c r="C28" s="46" t="str">
        <f t="shared" si="5"/>
        <v>C00029:1</v>
      </c>
      <c r="D28" s="47" t="str">
        <f t="shared" si="1"/>
        <v>C00029 : UDP-glucose</v>
      </c>
      <c r="E28" s="15"/>
      <c r="F28" s="15"/>
      <c r="G28" s="15"/>
    </row>
    <row r="29" spans="1:7" ht="14.5">
      <c r="A29" s="45" t="s">
        <v>11011</v>
      </c>
      <c r="B29" s="45" t="s">
        <v>11012</v>
      </c>
      <c r="C29" s="46" t="str">
        <f t="shared" si="5"/>
        <v>C00030:1</v>
      </c>
      <c r="D29" s="47" t="str">
        <f t="shared" si="1"/>
        <v>C00030 : Reduced Acceptor</v>
      </c>
      <c r="E29" s="15"/>
      <c r="F29" s="15"/>
      <c r="G29" s="15"/>
    </row>
    <row r="30" spans="1:7" ht="14.5">
      <c r="A30" s="45" t="s">
        <v>11013</v>
      </c>
      <c r="B30" s="45" t="s">
        <v>11014</v>
      </c>
      <c r="C30" s="46" t="str">
        <f>CONCATENATE(A30,":","1000")</f>
        <v>C00031:1000</v>
      </c>
      <c r="D30" s="47" t="str">
        <f t="shared" si="1"/>
        <v>C00031 : D-Glucose</v>
      </c>
      <c r="E30" s="15"/>
      <c r="F30" s="15"/>
      <c r="G30" s="15"/>
    </row>
    <row r="31" spans="1:7" ht="14.5">
      <c r="A31" s="45" t="s">
        <v>11015</v>
      </c>
      <c r="B31" s="45" t="s">
        <v>11016</v>
      </c>
      <c r="C31" s="46" t="str">
        <f t="shared" ref="C31:C33" si="6">CONCATENATE(A31,":","1")</f>
        <v>C00033:1</v>
      </c>
      <c r="D31" s="47" t="str">
        <f t="shared" si="1"/>
        <v>C00033 : Acetate</v>
      </c>
      <c r="E31" s="15"/>
      <c r="F31" s="15"/>
      <c r="G31" s="15"/>
    </row>
    <row r="32" spans="1:7" ht="14.5">
      <c r="A32" s="45" t="s">
        <v>11017</v>
      </c>
      <c r="B32" s="45" t="s">
        <v>11018</v>
      </c>
      <c r="C32" s="46" t="str">
        <f t="shared" si="6"/>
        <v>C00035:1</v>
      </c>
      <c r="D32" s="47" t="str">
        <f t="shared" si="1"/>
        <v>C00035 : GDP</v>
      </c>
      <c r="E32" s="15"/>
      <c r="F32" s="15"/>
      <c r="G32" s="15"/>
    </row>
    <row r="33" spans="1:26" ht="14.5">
      <c r="A33" s="45" t="s">
        <v>11019</v>
      </c>
      <c r="B33" s="45" t="s">
        <v>11020</v>
      </c>
      <c r="C33" s="46" t="str">
        <f t="shared" si="6"/>
        <v>C00036:1</v>
      </c>
      <c r="D33" s="47" t="str">
        <f t="shared" si="1"/>
        <v>C00036 : Oxaloacetate</v>
      </c>
      <c r="E33" s="15"/>
      <c r="F33" s="15"/>
      <c r="G33" s="15"/>
    </row>
    <row r="34" spans="1:26" ht="14.5">
      <c r="A34" s="45" t="s">
        <v>11021</v>
      </c>
      <c r="B34" s="45" t="s">
        <v>11022</v>
      </c>
      <c r="C34" s="46" t="str">
        <f>CONCATENATE(A34,":","1000")</f>
        <v>C00037:1000</v>
      </c>
      <c r="D34" s="47" t="str">
        <f t="shared" si="1"/>
        <v>C00037 : Glycine</v>
      </c>
      <c r="E34" s="15"/>
      <c r="F34" s="15"/>
      <c r="G34" s="15"/>
    </row>
    <row r="35" spans="1:26" ht="14.5">
      <c r="A35" s="45" t="s">
        <v>11023</v>
      </c>
      <c r="B35" s="45" t="s">
        <v>11024</v>
      </c>
      <c r="C35" s="46" t="str">
        <f>CONCATENATE(A35,":","1")</f>
        <v>C00039:1</v>
      </c>
      <c r="D35" s="47" t="str">
        <f t="shared" si="1"/>
        <v>C00039 : DNA</v>
      </c>
      <c r="E35" s="15"/>
      <c r="F35" s="15"/>
      <c r="G35" s="15"/>
    </row>
    <row r="36" spans="1:26" ht="14.5">
      <c r="A36" s="45" t="s">
        <v>11025</v>
      </c>
      <c r="B36" s="45" t="s">
        <v>11026</v>
      </c>
      <c r="C36" s="46" t="s">
        <v>11027</v>
      </c>
      <c r="D36" s="47" t="str">
        <f t="shared" si="1"/>
        <v>C00040 : Acyl-CoA</v>
      </c>
      <c r="E36" s="15"/>
      <c r="F36" s="15"/>
      <c r="G36" s="15"/>
    </row>
    <row r="37" spans="1:26" ht="14.5">
      <c r="A37" s="45" t="s">
        <v>8297</v>
      </c>
      <c r="B37" s="45" t="s">
        <v>11028</v>
      </c>
      <c r="C37" s="46" t="str">
        <f t="shared" ref="C37:C38" si="7">CONCATENATE(A37,":","1000")</f>
        <v>C00041:1000</v>
      </c>
      <c r="D37" s="47" t="str">
        <f t="shared" si="1"/>
        <v>C00041 : L-Alanine</v>
      </c>
      <c r="E37" s="15"/>
      <c r="F37" s="15"/>
      <c r="G37" s="15"/>
    </row>
    <row r="38" spans="1:26" ht="14.5">
      <c r="A38" s="45" t="s">
        <v>11029</v>
      </c>
      <c r="B38" s="45" t="s">
        <v>11030</v>
      </c>
      <c r="C38" s="48" t="str">
        <f t="shared" si="7"/>
        <v>C00042:1000</v>
      </c>
      <c r="D38" s="49" t="str">
        <f t="shared" si="1"/>
        <v>C00042 : Succinate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5">
      <c r="A39" s="45" t="s">
        <v>11031</v>
      </c>
      <c r="B39" s="45" t="s">
        <v>11032</v>
      </c>
      <c r="C39" s="46" t="str">
        <f>CONCATENATE(A39,":","1")</f>
        <v>C00043:1</v>
      </c>
      <c r="D39" s="47" t="str">
        <f t="shared" si="1"/>
        <v>C00043 : UDP-N-Acetyl-Alpha-D-Glucosamine</v>
      </c>
      <c r="E39" s="15"/>
      <c r="F39" s="15"/>
      <c r="G39" s="15"/>
    </row>
    <row r="40" spans="1:26" ht="14.5">
      <c r="A40" s="45" t="s">
        <v>11033</v>
      </c>
      <c r="B40" s="45" t="s">
        <v>11034</v>
      </c>
      <c r="C40" s="46" t="s">
        <v>11035</v>
      </c>
      <c r="D40" s="47" t="str">
        <f t="shared" si="1"/>
        <v>C00044 : GTP</v>
      </c>
      <c r="E40" s="15"/>
      <c r="F40" s="15"/>
      <c r="G40" s="15"/>
    </row>
    <row r="41" spans="1:26" ht="14.5">
      <c r="A41" s="45" t="s">
        <v>11036</v>
      </c>
      <c r="B41" s="45" t="s">
        <v>11037</v>
      </c>
      <c r="C41" s="46" t="str">
        <f>CONCATENATE(A41,":","1")</f>
        <v>C00046:1</v>
      </c>
      <c r="D41" s="47" t="str">
        <f t="shared" si="1"/>
        <v>C00046 : RNA</v>
      </c>
      <c r="E41" s="15"/>
      <c r="F41" s="15"/>
      <c r="G41" s="15"/>
    </row>
    <row r="42" spans="1:26" ht="14.5">
      <c r="A42" s="45" t="s">
        <v>11038</v>
      </c>
      <c r="B42" s="45" t="s">
        <v>11039</v>
      </c>
      <c r="C42" s="46" t="str">
        <f t="shared" ref="C42:C43" si="8">CONCATENATE(A42,":","1000")</f>
        <v>C00047:1000</v>
      </c>
      <c r="D42" s="47" t="str">
        <f t="shared" si="1"/>
        <v>C00047 : L-Lysine</v>
      </c>
      <c r="E42" s="15"/>
      <c r="F42" s="15"/>
      <c r="G42" s="15"/>
    </row>
    <row r="43" spans="1:26" ht="14.5">
      <c r="A43" s="45" t="s">
        <v>11040</v>
      </c>
      <c r="B43" s="45" t="s">
        <v>11041</v>
      </c>
      <c r="C43" s="46" t="str">
        <f t="shared" si="8"/>
        <v>C00049:1000</v>
      </c>
      <c r="D43" s="47" t="str">
        <f t="shared" si="1"/>
        <v>C00049 : L-Aspartate</v>
      </c>
      <c r="E43" s="15"/>
      <c r="F43" s="15"/>
      <c r="G43" s="15"/>
    </row>
    <row r="44" spans="1:26" ht="14.5">
      <c r="A44" s="45" t="s">
        <v>11042</v>
      </c>
      <c r="B44" s="45" t="s">
        <v>11043</v>
      </c>
      <c r="C44" s="46" t="str">
        <f t="shared" ref="C44:C54" si="9">CONCATENATE(A44,":","1")</f>
        <v>C00051:1</v>
      </c>
      <c r="D44" s="47" t="str">
        <f t="shared" si="1"/>
        <v>C00051 : Glutathione</v>
      </c>
      <c r="E44" s="15"/>
      <c r="F44" s="15"/>
      <c r="G44" s="15"/>
    </row>
    <row r="45" spans="1:26" ht="14.5">
      <c r="A45" s="45" t="s">
        <v>11044</v>
      </c>
      <c r="B45" s="45" t="s">
        <v>11045</v>
      </c>
      <c r="C45" s="46" t="str">
        <f t="shared" si="9"/>
        <v>C00052:1</v>
      </c>
      <c r="D45" s="47" t="str">
        <f t="shared" si="1"/>
        <v>C00052 : UDP-D-Galactose</v>
      </c>
      <c r="E45" s="15"/>
      <c r="F45" s="15"/>
      <c r="G45" s="15"/>
    </row>
    <row r="46" spans="1:26" ht="14.5">
      <c r="A46" s="45" t="s">
        <v>11046</v>
      </c>
      <c r="B46" s="45" t="s">
        <v>11047</v>
      </c>
      <c r="C46" s="46" t="str">
        <f t="shared" si="9"/>
        <v>C00053:1</v>
      </c>
      <c r="D46" s="47" t="str">
        <f t="shared" si="1"/>
        <v>C00053 : 3'-Phosphoadenylyl Sulfate/PAPS</v>
      </c>
      <c r="E46" s="15"/>
      <c r="F46" s="15"/>
      <c r="G46" s="15"/>
    </row>
    <row r="47" spans="1:26" ht="14.5">
      <c r="A47" s="45" t="s">
        <v>11048</v>
      </c>
      <c r="B47" s="45" t="s">
        <v>11049</v>
      </c>
      <c r="C47" s="46" t="str">
        <f t="shared" si="9"/>
        <v>C00054:1</v>
      </c>
      <c r="D47" s="47" t="str">
        <f t="shared" si="1"/>
        <v>C00054 : Adenosine 3',5'-bisphosphate</v>
      </c>
      <c r="E47" s="15"/>
      <c r="F47" s="15"/>
      <c r="G47" s="15"/>
    </row>
    <row r="48" spans="1:26" ht="14.5">
      <c r="A48" s="45" t="s">
        <v>11050</v>
      </c>
      <c r="B48" s="45" t="s">
        <v>11051</v>
      </c>
      <c r="C48" s="46" t="str">
        <f t="shared" si="9"/>
        <v>C00055:1</v>
      </c>
      <c r="D48" s="47" t="str">
        <f t="shared" si="1"/>
        <v>C00055 : Cytidine-5'-monophosphate/CMP</v>
      </c>
      <c r="E48" s="15"/>
      <c r="F48" s="15"/>
      <c r="G48" s="15"/>
    </row>
    <row r="49" spans="1:26" ht="14.5">
      <c r="A49" s="45" t="s">
        <v>11052</v>
      </c>
      <c r="B49" s="45" t="s">
        <v>11053</v>
      </c>
      <c r="C49" s="46" t="str">
        <f t="shared" si="9"/>
        <v>C00058:1</v>
      </c>
      <c r="D49" s="47" t="str">
        <f t="shared" si="1"/>
        <v>C00058 : Formate</v>
      </c>
      <c r="E49" s="15"/>
      <c r="F49" s="15"/>
      <c r="G49" s="15"/>
    </row>
    <row r="50" spans="1:26" ht="14.5">
      <c r="A50" s="45" t="s">
        <v>11054</v>
      </c>
      <c r="B50" s="45" t="s">
        <v>11055</v>
      </c>
      <c r="C50" s="48" t="str">
        <f>CONCATENATE(A50,":","1000")</f>
        <v>C00059:1000</v>
      </c>
      <c r="D50" s="49" t="str">
        <f t="shared" si="1"/>
        <v>C00059 : Sulfate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5">
      <c r="A51" s="45" t="s">
        <v>11056</v>
      </c>
      <c r="B51" s="45" t="s">
        <v>11057</v>
      </c>
      <c r="C51" s="46" t="str">
        <f t="shared" si="9"/>
        <v>C00060:1</v>
      </c>
      <c r="D51" s="47" t="str">
        <f t="shared" si="1"/>
        <v>C00060 : Carboxylate</v>
      </c>
      <c r="E51" s="15"/>
      <c r="F51" s="15"/>
      <c r="G51" s="15"/>
    </row>
    <row r="52" spans="1:26" ht="14.5">
      <c r="A52" s="45" t="s">
        <v>11058</v>
      </c>
      <c r="B52" s="45" t="s">
        <v>11059</v>
      </c>
      <c r="C52" s="46" t="str">
        <f t="shared" si="9"/>
        <v>C00061:1</v>
      </c>
      <c r="D52" s="47" t="str">
        <f t="shared" si="1"/>
        <v>C00061 : Flavin Mononucleotide/FMN</v>
      </c>
      <c r="E52" s="15"/>
      <c r="F52" s="15"/>
      <c r="G52" s="15"/>
    </row>
    <row r="53" spans="1:26" ht="14.5">
      <c r="A53" s="45" t="s">
        <v>11060</v>
      </c>
      <c r="B53" s="45" t="s">
        <v>11061</v>
      </c>
      <c r="C53" s="46" t="str">
        <f t="shared" si="9"/>
        <v>C00062:1</v>
      </c>
      <c r="D53" s="47" t="str">
        <f t="shared" si="1"/>
        <v>C00062 : L-Arginine</v>
      </c>
      <c r="E53" s="15"/>
      <c r="F53" s="15"/>
      <c r="G53" s="15"/>
    </row>
    <row r="54" spans="1:26" ht="14.5">
      <c r="A54" s="45" t="s">
        <v>11062</v>
      </c>
      <c r="B54" s="45" t="s">
        <v>11063</v>
      </c>
      <c r="C54" s="46" t="str">
        <f t="shared" si="9"/>
        <v>C00063:1</v>
      </c>
      <c r="D54" s="47" t="str">
        <f t="shared" si="1"/>
        <v>C00063 : CTP</v>
      </c>
      <c r="E54" s="15"/>
      <c r="F54" s="15"/>
      <c r="G54" s="15"/>
    </row>
    <row r="55" spans="1:26" ht="14.5">
      <c r="A55" s="45" t="s">
        <v>11064</v>
      </c>
      <c r="B55" s="45" t="s">
        <v>11065</v>
      </c>
      <c r="C55" s="46" t="str">
        <f t="shared" ref="C55:C56" si="10">CONCATENATE(A55,":","1000")</f>
        <v>C00064:1000</v>
      </c>
      <c r="D55" s="47" t="str">
        <f t="shared" si="1"/>
        <v>C00064 : L-Glutamine</v>
      </c>
      <c r="E55" s="15"/>
      <c r="F55" s="15"/>
      <c r="G55" s="15"/>
    </row>
    <row r="56" spans="1:26" ht="14.5">
      <c r="A56" s="45" t="s">
        <v>11066</v>
      </c>
      <c r="B56" s="45" t="s">
        <v>11067</v>
      </c>
      <c r="C56" s="46" t="str">
        <f t="shared" si="10"/>
        <v>C00065:1000</v>
      </c>
      <c r="D56" s="47" t="str">
        <f t="shared" si="1"/>
        <v>C00065 : L-Serine</v>
      </c>
      <c r="E56" s="15"/>
      <c r="F56" s="15"/>
      <c r="G56" s="15"/>
    </row>
    <row r="57" spans="1:26" ht="14.5">
      <c r="A57" s="45" t="s">
        <v>11068</v>
      </c>
      <c r="B57" s="45" t="s">
        <v>302</v>
      </c>
      <c r="C57" s="46" t="str">
        <f t="shared" ref="C57:C60" si="11">CONCATENATE(A57,":","1")</f>
        <v>C00066:1</v>
      </c>
      <c r="D57" s="47" t="str">
        <f t="shared" si="1"/>
        <v>C00066 : tRNA</v>
      </c>
      <c r="E57" s="15"/>
      <c r="F57" s="15"/>
      <c r="G57" s="15"/>
    </row>
    <row r="58" spans="1:26" ht="14.5">
      <c r="A58" s="45" t="s">
        <v>11069</v>
      </c>
      <c r="B58" s="45" t="s">
        <v>11070</v>
      </c>
      <c r="C58" s="48" t="str">
        <f>CONCATENATE(A58,":","1000")</f>
        <v>C00067:1000</v>
      </c>
      <c r="D58" s="49" t="str">
        <f t="shared" si="1"/>
        <v>C00067 : Formaldehyde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5">
      <c r="A59" s="45" t="s">
        <v>11071</v>
      </c>
      <c r="B59" s="45" t="s">
        <v>11072</v>
      </c>
      <c r="C59" s="46" t="str">
        <f t="shared" si="11"/>
        <v>C00068:1</v>
      </c>
      <c r="D59" s="47" t="str">
        <f t="shared" si="1"/>
        <v>C00068 : Thiamin Diphosphate</v>
      </c>
      <c r="E59" s="15"/>
      <c r="F59" s="15"/>
      <c r="G59" s="15"/>
    </row>
    <row r="60" spans="1:26" ht="14.5">
      <c r="A60" s="45" t="s">
        <v>11073</v>
      </c>
      <c r="B60" s="45" t="s">
        <v>11074</v>
      </c>
      <c r="C60" s="46" t="str">
        <f t="shared" si="11"/>
        <v>C00071:1</v>
      </c>
      <c r="D60" s="47" t="str">
        <f t="shared" si="1"/>
        <v>C00071 : Aldehyde</v>
      </c>
      <c r="E60" s="15"/>
      <c r="F60" s="15"/>
      <c r="G60" s="15"/>
    </row>
    <row r="61" spans="1:26" ht="14.5">
      <c r="A61" s="45" t="s">
        <v>11075</v>
      </c>
      <c r="B61" s="45" t="s">
        <v>11076</v>
      </c>
      <c r="C61" s="46" t="str">
        <f>CONCATENATE(A61,":","1000")</f>
        <v>C00073:1000</v>
      </c>
      <c r="D61" s="47" t="str">
        <f t="shared" si="1"/>
        <v>C00073 : L-Methionine</v>
      </c>
      <c r="E61" s="15"/>
      <c r="F61" s="15"/>
      <c r="G61" s="15"/>
    </row>
    <row r="62" spans="1:26" ht="14.5">
      <c r="A62" s="45" t="s">
        <v>11077</v>
      </c>
      <c r="B62" s="45" t="s">
        <v>11078</v>
      </c>
      <c r="C62" s="46" t="str">
        <f t="shared" ref="C62:C77" si="12">CONCATENATE(A62,":","1")</f>
        <v>C00074:1</v>
      </c>
      <c r="D62" s="47" t="str">
        <f t="shared" si="1"/>
        <v>C00074 : Phosphoenolpyruvate</v>
      </c>
      <c r="E62" s="15"/>
      <c r="F62" s="15"/>
      <c r="G62" s="15"/>
    </row>
    <row r="63" spans="1:26" ht="14.5">
      <c r="A63" s="45" t="s">
        <v>11079</v>
      </c>
      <c r="B63" s="45" t="s">
        <v>11080</v>
      </c>
      <c r="C63" s="46" t="str">
        <f t="shared" si="12"/>
        <v>C00075:1</v>
      </c>
      <c r="D63" s="47" t="str">
        <f t="shared" si="1"/>
        <v>C00075 : UTP</v>
      </c>
      <c r="E63" s="15"/>
      <c r="F63" s="15"/>
      <c r="G63" s="15"/>
    </row>
    <row r="64" spans="1:26" ht="14.5">
      <c r="A64" s="45" t="s">
        <v>11081</v>
      </c>
      <c r="B64" s="45" t="s">
        <v>11082</v>
      </c>
      <c r="C64" s="46" t="str">
        <f t="shared" si="12"/>
        <v>C00078:1</v>
      </c>
      <c r="D64" s="47" t="str">
        <f t="shared" si="1"/>
        <v>C00078 : L-Tryptophan</v>
      </c>
      <c r="E64" s="15"/>
      <c r="F64" s="15"/>
      <c r="G64" s="15"/>
    </row>
    <row r="65" spans="1:26" ht="14.5">
      <c r="A65" s="45" t="s">
        <v>11083</v>
      </c>
      <c r="B65" s="45" t="s">
        <v>11084</v>
      </c>
      <c r="C65" s="46" t="str">
        <f t="shared" si="12"/>
        <v>C00079:1</v>
      </c>
      <c r="D65" s="47" t="str">
        <f t="shared" si="1"/>
        <v>C00079 : L-Phenylalanine</v>
      </c>
      <c r="E65" s="15"/>
      <c r="F65" s="15"/>
      <c r="G65" s="15"/>
    </row>
    <row r="66" spans="1:26" ht="14.5">
      <c r="A66" s="45" t="s">
        <v>11085</v>
      </c>
      <c r="B66" s="45" t="s">
        <v>11086</v>
      </c>
      <c r="C66" s="46" t="str">
        <f t="shared" si="12"/>
        <v>C00080:1</v>
      </c>
      <c r="D66" s="47" t="str">
        <f t="shared" si="1"/>
        <v>C00080 : H+</v>
      </c>
      <c r="E66" s="15"/>
      <c r="F66" s="15"/>
      <c r="G66" s="15"/>
    </row>
    <row r="67" spans="1:26" ht="14.5">
      <c r="A67" s="45" t="s">
        <v>11087</v>
      </c>
      <c r="B67" s="45" t="s">
        <v>11088</v>
      </c>
      <c r="C67" s="46" t="str">
        <f t="shared" si="12"/>
        <v>C00081:1</v>
      </c>
      <c r="D67" s="47" t="str">
        <f t="shared" si="1"/>
        <v>C00081 : ITP</v>
      </c>
      <c r="E67" s="15"/>
      <c r="F67" s="15"/>
      <c r="G67" s="15"/>
    </row>
    <row r="68" spans="1:26" ht="14.5">
      <c r="A68" s="45" t="s">
        <v>11089</v>
      </c>
      <c r="B68" s="45" t="s">
        <v>11090</v>
      </c>
      <c r="C68" s="46" t="str">
        <f t="shared" si="12"/>
        <v>C00082:1</v>
      </c>
      <c r="D68" s="47" t="str">
        <f t="shared" si="1"/>
        <v>C00082 : L-Tyrosine</v>
      </c>
      <c r="E68" s="15"/>
      <c r="F68" s="15"/>
      <c r="G68" s="15"/>
    </row>
    <row r="69" spans="1:26" ht="14.5">
      <c r="A69" s="45" t="s">
        <v>11091</v>
      </c>
      <c r="B69" s="45" t="s">
        <v>11092</v>
      </c>
      <c r="C69" s="48" t="str">
        <f t="shared" si="12"/>
        <v>C00083:1</v>
      </c>
      <c r="D69" s="49" t="str">
        <f t="shared" si="1"/>
        <v>C00083 : Malonyl-CoA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5">
      <c r="A70" s="45" t="s">
        <v>11093</v>
      </c>
      <c r="B70" s="45" t="s">
        <v>11094</v>
      </c>
      <c r="C70" s="46" t="str">
        <f t="shared" si="12"/>
        <v>C00084:1</v>
      </c>
      <c r="D70" s="47" t="str">
        <f t="shared" si="1"/>
        <v>C00084 : Acetaldehyde</v>
      </c>
      <c r="E70" s="15"/>
      <c r="F70" s="15"/>
      <c r="G70" s="15"/>
    </row>
    <row r="71" spans="1:26" ht="14.5">
      <c r="A71" s="45" t="s">
        <v>11095</v>
      </c>
      <c r="B71" s="45" t="s">
        <v>11096</v>
      </c>
      <c r="C71" s="46" t="str">
        <f t="shared" si="12"/>
        <v>C00085:1</v>
      </c>
      <c r="D71" s="47" t="str">
        <f t="shared" si="1"/>
        <v>C00085 : D-Fructose</v>
      </c>
      <c r="E71" s="15"/>
      <c r="F71" s="15"/>
      <c r="G71" s="15"/>
    </row>
    <row r="72" spans="1:26" ht="14.5">
      <c r="A72" s="45" t="s">
        <v>11097</v>
      </c>
      <c r="B72" s="45" t="s">
        <v>11098</v>
      </c>
      <c r="C72" s="46" t="str">
        <f t="shared" si="12"/>
        <v>C00089:1</v>
      </c>
      <c r="D72" s="47" t="str">
        <f t="shared" si="1"/>
        <v>C00089 : Sucrose</v>
      </c>
      <c r="E72" s="15"/>
      <c r="F72" s="15"/>
      <c r="G72" s="15"/>
    </row>
    <row r="73" spans="1:26" ht="14.5">
      <c r="A73" s="45" t="s">
        <v>11099</v>
      </c>
      <c r="B73" s="45" t="s">
        <v>11100</v>
      </c>
      <c r="C73" s="48" t="str">
        <f t="shared" si="12"/>
        <v>C00091:1</v>
      </c>
      <c r="D73" s="49" t="str">
        <f t="shared" si="1"/>
        <v>C00091 : Succinyl-CoA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5">
      <c r="A74" s="45" t="s">
        <v>11101</v>
      </c>
      <c r="B74" s="45" t="s">
        <v>11014</v>
      </c>
      <c r="C74" s="46" t="str">
        <f t="shared" si="12"/>
        <v>C00092:1</v>
      </c>
      <c r="D74" s="47" t="str">
        <f t="shared" si="1"/>
        <v>C00092 : D-Glucose</v>
      </c>
      <c r="E74" s="15"/>
      <c r="F74" s="15"/>
      <c r="G74" s="15"/>
    </row>
    <row r="75" spans="1:26" ht="14.5">
      <c r="A75" s="45" t="s">
        <v>11102</v>
      </c>
      <c r="B75" s="45" t="s">
        <v>11103</v>
      </c>
      <c r="C75" s="46" t="str">
        <f t="shared" si="12"/>
        <v>C00093:1</v>
      </c>
      <c r="D75" s="47" t="str">
        <f t="shared" si="1"/>
        <v>C00093 : sn-Glycerol 3-Phosphate</v>
      </c>
      <c r="E75" s="15"/>
      <c r="F75" s="15"/>
      <c r="G75" s="15"/>
    </row>
    <row r="76" spans="1:26" ht="14.5">
      <c r="A76" s="45" t="s">
        <v>11104</v>
      </c>
      <c r="B76" s="45" t="s">
        <v>11105</v>
      </c>
      <c r="C76" s="46" t="str">
        <f t="shared" si="12"/>
        <v>C00094:1</v>
      </c>
      <c r="D76" s="47" t="str">
        <f t="shared" si="1"/>
        <v>C00094 : Sulfite</v>
      </c>
      <c r="E76" s="15"/>
      <c r="F76" s="15"/>
      <c r="G76" s="15"/>
    </row>
    <row r="77" spans="1:26" ht="14.5">
      <c r="A77" s="45" t="s">
        <v>11106</v>
      </c>
      <c r="B77" s="45" t="s">
        <v>11096</v>
      </c>
      <c r="C77" s="46" t="str">
        <f t="shared" si="12"/>
        <v>C00095:1</v>
      </c>
      <c r="D77" s="47" t="str">
        <f t="shared" si="1"/>
        <v>C00095 : D-Fructose</v>
      </c>
      <c r="E77" s="15"/>
      <c r="F77" s="15"/>
      <c r="G77" s="15"/>
    </row>
    <row r="78" spans="1:26" ht="14.5">
      <c r="A78" s="45" t="s">
        <v>11107</v>
      </c>
      <c r="B78" s="45" t="s">
        <v>11108</v>
      </c>
      <c r="C78" s="46" t="str">
        <f>CONCATENATE(A78,":","1000")</f>
        <v>C00097:1000</v>
      </c>
      <c r="D78" s="47" t="str">
        <f t="shared" si="1"/>
        <v>C00097 : L-Cysteine</v>
      </c>
      <c r="E78" s="15"/>
      <c r="F78" s="15"/>
      <c r="G78" s="15"/>
    </row>
    <row r="79" spans="1:26" ht="14.5">
      <c r="A79" s="45" t="s">
        <v>11109</v>
      </c>
      <c r="B79" s="45" t="s">
        <v>11110</v>
      </c>
      <c r="C79" s="46" t="str">
        <f t="shared" ref="C79:C101" si="13">CONCATENATE(A79,":","1")</f>
        <v>C00100:1</v>
      </c>
      <c r="D79" s="47" t="str">
        <f t="shared" si="1"/>
        <v>C00100 : Propanoyl-CoA</v>
      </c>
      <c r="E79" s="15"/>
      <c r="F79" s="15"/>
      <c r="G79" s="15"/>
    </row>
    <row r="80" spans="1:26" ht="14.5">
      <c r="A80" s="45" t="s">
        <v>11111</v>
      </c>
      <c r="B80" s="45" t="s">
        <v>11112</v>
      </c>
      <c r="C80" s="46" t="str">
        <f t="shared" si="13"/>
        <v>C00101:1</v>
      </c>
      <c r="D80" s="47" t="str">
        <f t="shared" si="1"/>
        <v>C00101 : Tetrahydrofolate</v>
      </c>
      <c r="E80" s="15"/>
      <c r="F80" s="15"/>
      <c r="G80" s="15"/>
    </row>
    <row r="81" spans="1:26" ht="14.5">
      <c r="A81" s="45" t="s">
        <v>11113</v>
      </c>
      <c r="B81" s="45" t="s">
        <v>11114</v>
      </c>
      <c r="C81" s="46" t="str">
        <f t="shared" si="13"/>
        <v>C00103:1</v>
      </c>
      <c r="D81" s="47" t="str">
        <f t="shared" si="1"/>
        <v>C00103 : Glucose 1-Phosphate</v>
      </c>
      <c r="E81" s="15"/>
      <c r="F81" s="15"/>
      <c r="G81" s="15"/>
    </row>
    <row r="82" spans="1:26" ht="14.5">
      <c r="A82" s="45" t="s">
        <v>11115</v>
      </c>
      <c r="B82" s="45" t="s">
        <v>11116</v>
      </c>
      <c r="C82" s="46" t="str">
        <f t="shared" si="13"/>
        <v>C00104:1</v>
      </c>
      <c r="D82" s="47" t="str">
        <f t="shared" si="1"/>
        <v>C00104 : IDP</v>
      </c>
      <c r="E82" s="15"/>
      <c r="F82" s="15"/>
      <c r="G82" s="15"/>
    </row>
    <row r="83" spans="1:26" ht="14.5">
      <c r="A83" s="45" t="s">
        <v>11117</v>
      </c>
      <c r="B83" s="45" t="s">
        <v>11118</v>
      </c>
      <c r="C83" s="46" t="str">
        <f t="shared" si="13"/>
        <v>C00105:1</v>
      </c>
      <c r="D83" s="47" t="str">
        <f t="shared" si="1"/>
        <v>C00105 : UMP</v>
      </c>
      <c r="E83" s="15"/>
      <c r="F83" s="15"/>
      <c r="G83" s="15"/>
    </row>
    <row r="84" spans="1:26" ht="14.5">
      <c r="A84" s="45" t="s">
        <v>11119</v>
      </c>
      <c r="B84" s="45" t="s">
        <v>11120</v>
      </c>
      <c r="C84" s="46" t="str">
        <f t="shared" si="13"/>
        <v>C00106:1</v>
      </c>
      <c r="D84" s="47" t="str">
        <f t="shared" si="1"/>
        <v>C00106 : Uracil</v>
      </c>
      <c r="E84" s="15"/>
      <c r="F84" s="15"/>
      <c r="G84" s="15"/>
    </row>
    <row r="85" spans="1:26" ht="14.5">
      <c r="A85" s="45" t="s">
        <v>11121</v>
      </c>
      <c r="B85" s="45" t="s">
        <v>11122</v>
      </c>
      <c r="C85" s="48" t="str">
        <f t="shared" si="13"/>
        <v>C00108:1</v>
      </c>
      <c r="D85" s="49" t="str">
        <f t="shared" si="1"/>
        <v>C00108 : Anthranilate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5">
      <c r="A86" s="45" t="s">
        <v>11123</v>
      </c>
      <c r="B86" s="45" t="s">
        <v>11124</v>
      </c>
      <c r="C86" s="46" t="str">
        <f t="shared" si="13"/>
        <v>C00109:1</v>
      </c>
      <c r="D86" s="47" t="str">
        <f t="shared" si="1"/>
        <v>C00109 : 2-Oxobutanoate</v>
      </c>
      <c r="E86" s="15"/>
      <c r="F86" s="15"/>
      <c r="G86" s="15"/>
    </row>
    <row r="87" spans="1:26" ht="14.5">
      <c r="A87" s="45" t="s">
        <v>11125</v>
      </c>
      <c r="B87" s="45" t="s">
        <v>11126</v>
      </c>
      <c r="C87" s="46" t="str">
        <f t="shared" si="13"/>
        <v>C00111:1</v>
      </c>
      <c r="D87" s="47" t="str">
        <f t="shared" si="1"/>
        <v>C00111 : Glycerone Phosphate</v>
      </c>
      <c r="E87" s="15"/>
      <c r="F87" s="15"/>
      <c r="G87" s="15"/>
    </row>
    <row r="88" spans="1:26" ht="14.5">
      <c r="A88" s="45" t="s">
        <v>11127</v>
      </c>
      <c r="B88" s="45" t="s">
        <v>11128</v>
      </c>
      <c r="C88" s="46" t="str">
        <f t="shared" si="13"/>
        <v>C00112:1</v>
      </c>
      <c r="D88" s="47" t="str">
        <f t="shared" si="1"/>
        <v>C00112 : CDP</v>
      </c>
      <c r="E88" s="15"/>
      <c r="F88" s="15"/>
      <c r="G88" s="15"/>
    </row>
    <row r="89" spans="1:26" ht="14.5">
      <c r="A89" s="45" t="s">
        <v>11129</v>
      </c>
      <c r="B89" s="45" t="s">
        <v>11130</v>
      </c>
      <c r="C89" s="46" t="str">
        <f t="shared" si="13"/>
        <v>C00114:1</v>
      </c>
      <c r="D89" s="47" t="str">
        <f t="shared" si="1"/>
        <v>C00114 : Choline</v>
      </c>
      <c r="E89" s="15"/>
      <c r="F89" s="15"/>
      <c r="G89" s="15"/>
    </row>
    <row r="90" spans="1:26" ht="14.5">
      <c r="A90" s="45" t="s">
        <v>11131</v>
      </c>
      <c r="B90" s="45" t="s">
        <v>11132</v>
      </c>
      <c r="C90" s="46" t="str">
        <f t="shared" si="13"/>
        <v>C00116:1</v>
      </c>
      <c r="D90" s="47" t="str">
        <f t="shared" si="1"/>
        <v>C00116 : Glycerol</v>
      </c>
      <c r="E90" s="15"/>
      <c r="F90" s="15"/>
      <c r="G90" s="15"/>
    </row>
    <row r="91" spans="1:26" ht="14.5">
      <c r="A91" s="45" t="s">
        <v>11133</v>
      </c>
      <c r="B91" s="45" t="s">
        <v>11134</v>
      </c>
      <c r="C91" s="46" t="str">
        <f t="shared" si="13"/>
        <v>C00117:1</v>
      </c>
      <c r="D91" s="47" t="str">
        <f t="shared" si="1"/>
        <v>C00117 : D-Ribose 5-Phosphate</v>
      </c>
      <c r="E91" s="15"/>
      <c r="F91" s="15"/>
      <c r="G91" s="15"/>
    </row>
    <row r="92" spans="1:26" ht="14.5">
      <c r="A92" s="45" t="s">
        <v>11135</v>
      </c>
      <c r="B92" s="45" t="s">
        <v>11136</v>
      </c>
      <c r="C92" s="46" t="str">
        <f t="shared" si="13"/>
        <v>C00118:1</v>
      </c>
      <c r="D92" s="47" t="str">
        <f t="shared" si="1"/>
        <v>C00118 : D-Glyceraldehyde 3-Phosphate</v>
      </c>
      <c r="E92" s="15"/>
      <c r="F92" s="15"/>
      <c r="G92" s="15"/>
    </row>
    <row r="93" spans="1:26" ht="14.5">
      <c r="A93" s="45" t="s">
        <v>11137</v>
      </c>
      <c r="B93" s="45" t="s">
        <v>11138</v>
      </c>
      <c r="C93" s="46" t="str">
        <f t="shared" si="13"/>
        <v>C00119:1</v>
      </c>
      <c r="D93" s="47" t="str">
        <f t="shared" si="1"/>
        <v>C00119 : 5-Phospho-alpha-D-ribose 1-diphosphate</v>
      </c>
      <c r="E93" s="15"/>
      <c r="F93" s="15"/>
      <c r="G93" s="15"/>
    </row>
    <row r="94" spans="1:26" ht="14.5">
      <c r="A94" s="45" t="s">
        <v>11139</v>
      </c>
      <c r="B94" s="45" t="s">
        <v>11140</v>
      </c>
      <c r="C94" s="48" t="str">
        <f t="shared" si="13"/>
        <v>C00120:1</v>
      </c>
      <c r="D94" s="49" t="str">
        <f t="shared" si="1"/>
        <v>C00120 : Biotin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5">
      <c r="A95" s="45" t="s">
        <v>11141</v>
      </c>
      <c r="B95" s="45" t="s">
        <v>11142</v>
      </c>
      <c r="C95" s="46" t="str">
        <f t="shared" si="13"/>
        <v>C00121:1</v>
      </c>
      <c r="D95" s="47" t="str">
        <f t="shared" si="1"/>
        <v>C00121 : D-Ribose</v>
      </c>
      <c r="E95" s="15"/>
      <c r="F95" s="15"/>
      <c r="G95" s="15"/>
    </row>
    <row r="96" spans="1:26" ht="14.5">
      <c r="A96" s="45" t="s">
        <v>11143</v>
      </c>
      <c r="B96" s="45" t="s">
        <v>11144</v>
      </c>
      <c r="C96" s="46" t="str">
        <f t="shared" si="13"/>
        <v>C00122:1</v>
      </c>
      <c r="D96" s="47" t="str">
        <f t="shared" si="1"/>
        <v>C00122 : Fumarate</v>
      </c>
      <c r="E96" s="15"/>
      <c r="F96" s="15"/>
      <c r="G96" s="15"/>
    </row>
    <row r="97" spans="1:26" ht="14.5">
      <c r="A97" s="45" t="s">
        <v>11145</v>
      </c>
      <c r="B97" s="45" t="s">
        <v>11146</v>
      </c>
      <c r="C97" s="46" t="str">
        <f t="shared" si="13"/>
        <v>C00123:1</v>
      </c>
      <c r="D97" s="47" t="str">
        <f t="shared" si="1"/>
        <v>C00123 : L-Leucine</v>
      </c>
      <c r="E97" s="15"/>
      <c r="F97" s="15"/>
      <c r="G97" s="15"/>
    </row>
    <row r="98" spans="1:26" ht="14.5">
      <c r="A98" s="45" t="s">
        <v>11147</v>
      </c>
      <c r="B98" s="45" t="s">
        <v>11148</v>
      </c>
      <c r="C98" s="48" t="str">
        <f>CONCATENATE(A98,":","1000")</f>
        <v>C00124:1000</v>
      </c>
      <c r="D98" s="49" t="str">
        <f t="shared" si="1"/>
        <v>C00124 : D-Galactose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5">
      <c r="A99" s="45" t="s">
        <v>11149</v>
      </c>
      <c r="B99" s="45" t="s">
        <v>11150</v>
      </c>
      <c r="C99" s="46" t="str">
        <f t="shared" si="13"/>
        <v>C00129:1</v>
      </c>
      <c r="D99" s="47" t="str">
        <f t="shared" si="1"/>
        <v>C00129 : Isopentenyl Diphosphate</v>
      </c>
      <c r="E99" s="15"/>
      <c r="F99" s="15"/>
      <c r="G99" s="15"/>
    </row>
    <row r="100" spans="1:26" ht="14.5">
      <c r="A100" s="45" t="s">
        <v>11151</v>
      </c>
      <c r="B100" s="45" t="s">
        <v>11152</v>
      </c>
      <c r="C100" s="46" t="str">
        <f t="shared" si="13"/>
        <v>C00130:1</v>
      </c>
      <c r="D100" s="47" t="str">
        <f t="shared" si="1"/>
        <v>C00130 : IMP</v>
      </c>
      <c r="E100" s="15"/>
      <c r="F100" s="15"/>
      <c r="G100" s="15"/>
    </row>
    <row r="101" spans="1:26" ht="14.5">
      <c r="A101" s="45" t="s">
        <v>11153</v>
      </c>
      <c r="B101" s="45" t="s">
        <v>11154</v>
      </c>
      <c r="C101" s="46" t="str">
        <f t="shared" si="13"/>
        <v>C00131:1</v>
      </c>
      <c r="D101" s="47" t="str">
        <f t="shared" si="1"/>
        <v>C00131 : dATP</v>
      </c>
      <c r="E101" s="15"/>
      <c r="F101" s="15"/>
      <c r="G101" s="15"/>
    </row>
    <row r="102" spans="1:26" ht="14.5">
      <c r="A102" s="45" t="s">
        <v>11155</v>
      </c>
      <c r="B102" s="45" t="s">
        <v>11156</v>
      </c>
      <c r="C102" s="46" t="str">
        <f>CONCATENATE(A102,":","1000")</f>
        <v>C00133:1000</v>
      </c>
      <c r="D102" s="47" t="str">
        <f t="shared" si="1"/>
        <v>C00133 : D-Alanine</v>
      </c>
      <c r="E102" s="15"/>
      <c r="F102" s="15"/>
      <c r="G102" s="15"/>
    </row>
    <row r="103" spans="1:26" ht="14.5">
      <c r="A103" s="45" t="s">
        <v>11157</v>
      </c>
      <c r="B103" s="45" t="s">
        <v>11158</v>
      </c>
      <c r="C103" s="48" t="str">
        <f t="shared" ref="C103:C110" si="14">CONCATENATE(A103,":","1")</f>
        <v>C00135:1</v>
      </c>
      <c r="D103" s="49" t="str">
        <f t="shared" si="1"/>
        <v>C00135 : L-Histidine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5">
      <c r="A104" s="45" t="s">
        <v>11159</v>
      </c>
      <c r="B104" s="45" t="s">
        <v>11160</v>
      </c>
      <c r="C104" s="46" t="str">
        <f t="shared" si="14"/>
        <v>C00136:1</v>
      </c>
      <c r="D104" s="47" t="str">
        <f t="shared" si="1"/>
        <v>C00136 : Butanoyl-CoA</v>
      </c>
    </row>
    <row r="105" spans="1:26" ht="14.5">
      <c r="A105" s="45" t="s">
        <v>11161</v>
      </c>
      <c r="B105" s="45" t="s">
        <v>11162</v>
      </c>
      <c r="C105" s="48" t="str">
        <f>CONCATENATE(A105,":","1000")</f>
        <v>C00137:1000</v>
      </c>
      <c r="D105" s="49" t="str">
        <f t="shared" si="1"/>
        <v>C00137 : myo-Inositol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5">
      <c r="A106" s="45" t="s">
        <v>11163</v>
      </c>
      <c r="B106" s="45" t="s">
        <v>11164</v>
      </c>
      <c r="C106" s="46" t="str">
        <f t="shared" si="14"/>
        <v>C00141:1</v>
      </c>
      <c r="D106" s="47" t="str">
        <f t="shared" si="1"/>
        <v>C00141 : 3-Methyl-2-oxobutanoic acid</v>
      </c>
      <c r="E106" s="15"/>
      <c r="F106" s="15"/>
      <c r="G106" s="15"/>
    </row>
    <row r="107" spans="1:26" ht="14.5">
      <c r="A107" s="45" t="s">
        <v>11165</v>
      </c>
      <c r="B107" s="45" t="s">
        <v>11166</v>
      </c>
      <c r="C107" s="46" t="str">
        <f t="shared" si="14"/>
        <v>C00143:1</v>
      </c>
      <c r="D107" s="47" t="str">
        <f t="shared" si="1"/>
        <v>C00143 : 5,10-Methylenetetrahydrofolate</v>
      </c>
      <c r="E107" s="15"/>
      <c r="F107" s="15"/>
      <c r="G107" s="15"/>
    </row>
    <row r="108" spans="1:26" ht="14.5">
      <c r="A108" s="45" t="s">
        <v>11167</v>
      </c>
      <c r="B108" s="45" t="s">
        <v>11168</v>
      </c>
      <c r="C108" s="46" t="str">
        <f t="shared" si="14"/>
        <v>C00144:1</v>
      </c>
      <c r="D108" s="47" t="str">
        <f t="shared" si="1"/>
        <v>C00144 : GMP</v>
      </c>
      <c r="E108" s="15"/>
      <c r="F108" s="15"/>
      <c r="G108" s="15"/>
    </row>
    <row r="109" spans="1:26" ht="14.5">
      <c r="A109" s="45" t="s">
        <v>11169</v>
      </c>
      <c r="B109" s="45" t="s">
        <v>11170</v>
      </c>
      <c r="C109" s="48" t="str">
        <f>CONCATENATE(A109,":","1000")</f>
        <v>C00145:1000</v>
      </c>
      <c r="D109" s="49" t="str">
        <f t="shared" si="1"/>
        <v>C00145 : Thiol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5">
      <c r="A110" s="45" t="s">
        <v>11171</v>
      </c>
      <c r="B110" s="45" t="s">
        <v>11172</v>
      </c>
      <c r="C110" s="46" t="str">
        <f t="shared" si="14"/>
        <v>C00147:1</v>
      </c>
      <c r="D110" s="47" t="str">
        <f t="shared" si="1"/>
        <v>C00147 : Adenine</v>
      </c>
      <c r="E110" s="15"/>
      <c r="F110" s="15"/>
      <c r="G110" s="15"/>
    </row>
    <row r="111" spans="1:26" ht="14.5">
      <c r="A111" s="45" t="s">
        <v>11173</v>
      </c>
      <c r="B111" s="45" t="s">
        <v>11174</v>
      </c>
      <c r="C111" s="46" t="str">
        <f>CONCATENATE(A111,":","1000")</f>
        <v>C00148:1000</v>
      </c>
      <c r="D111" s="47" t="str">
        <f t="shared" si="1"/>
        <v>C00148 : L-Proline</v>
      </c>
      <c r="E111" s="15"/>
      <c r="F111" s="15"/>
      <c r="G111" s="15"/>
    </row>
    <row r="112" spans="1:26" ht="14.5">
      <c r="A112" s="45" t="s">
        <v>11175</v>
      </c>
      <c r="B112" s="45" t="s">
        <v>11176</v>
      </c>
      <c r="C112" s="46" t="str">
        <f t="shared" ref="C112:C114" si="15">CONCATENATE(A112,":","1")</f>
        <v>C00149:1</v>
      </c>
      <c r="D112" s="47" t="str">
        <f t="shared" si="1"/>
        <v>C00149 : (S)-Malate</v>
      </c>
      <c r="E112" s="15"/>
      <c r="F112" s="15"/>
      <c r="G112" s="15"/>
    </row>
    <row r="113" spans="1:26" ht="14.5">
      <c r="A113" s="45" t="s">
        <v>11177</v>
      </c>
      <c r="B113" s="45" t="s">
        <v>11178</v>
      </c>
      <c r="C113" s="46" t="str">
        <f t="shared" si="15"/>
        <v>C00152:1</v>
      </c>
      <c r="D113" s="47" t="str">
        <f t="shared" si="1"/>
        <v>C00152 : L-Asparagine</v>
      </c>
      <c r="E113" s="15"/>
      <c r="F113" s="15"/>
      <c r="G113" s="15"/>
    </row>
    <row r="114" spans="1:26" ht="14.5">
      <c r="A114" s="45" t="s">
        <v>11179</v>
      </c>
      <c r="B114" s="45" t="s">
        <v>11180</v>
      </c>
      <c r="C114" s="46" t="str">
        <f t="shared" si="15"/>
        <v>C00153:1</v>
      </c>
      <c r="D114" s="47" t="str">
        <f t="shared" si="1"/>
        <v>C00153 : Nicotinamide</v>
      </c>
      <c r="E114" s="15"/>
      <c r="F114" s="15"/>
      <c r="G114" s="15"/>
    </row>
    <row r="115" spans="1:26" ht="14.5">
      <c r="A115" s="45" t="s">
        <v>11181</v>
      </c>
      <c r="B115" s="45" t="s">
        <v>11182</v>
      </c>
      <c r="C115" s="46" t="str">
        <f t="shared" ref="C115:C369" si="16">CONCATENATE(A115,":1")</f>
        <v>C00155:1</v>
      </c>
      <c r="D115" s="47" t="str">
        <f t="shared" si="1"/>
        <v>C00155 : L-Homocysteine</v>
      </c>
      <c r="E115" s="15"/>
      <c r="F115" s="15"/>
      <c r="G115" s="15"/>
    </row>
    <row r="116" spans="1:26" ht="14.5">
      <c r="A116" s="45" t="s">
        <v>11183</v>
      </c>
      <c r="B116" s="45" t="s">
        <v>11184</v>
      </c>
      <c r="C116" s="46" t="str">
        <f t="shared" si="16"/>
        <v>C00158:1</v>
      </c>
      <c r="D116" s="47" t="str">
        <f t="shared" si="1"/>
        <v>C00158 : Citrate</v>
      </c>
    </row>
    <row r="117" spans="1:26" ht="14.5">
      <c r="A117" s="45" t="s">
        <v>11185</v>
      </c>
      <c r="B117" s="45" t="s">
        <v>11186</v>
      </c>
      <c r="C117" s="48" t="str">
        <f>CONCATENATE(A117,":1000")</f>
        <v>C00159:1000</v>
      </c>
      <c r="D117" s="49" t="str">
        <f t="shared" si="1"/>
        <v>C00159 : D-Mannose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5">
      <c r="A118" s="45" t="s">
        <v>11187</v>
      </c>
      <c r="B118" s="45" t="s">
        <v>11188</v>
      </c>
      <c r="C118" s="46" t="str">
        <f t="shared" si="16"/>
        <v>C00161:1</v>
      </c>
      <c r="D118" s="47" t="str">
        <f t="shared" si="1"/>
        <v>C00161 : 2-Oxo acid</v>
      </c>
      <c r="E118" s="15"/>
      <c r="F118" s="15"/>
      <c r="G118" s="15"/>
    </row>
    <row r="119" spans="1:26" ht="14.5">
      <c r="A119" s="45" t="s">
        <v>11189</v>
      </c>
      <c r="B119" s="45" t="s">
        <v>11190</v>
      </c>
      <c r="C119" s="46" t="str">
        <f t="shared" si="16"/>
        <v>C00163:1</v>
      </c>
      <c r="D119" s="47" t="str">
        <f t="shared" si="1"/>
        <v>C00163 : Propanoate</v>
      </c>
      <c r="E119" s="15"/>
      <c r="F119" s="15"/>
      <c r="G119" s="15"/>
    </row>
    <row r="120" spans="1:26" ht="14.5">
      <c r="A120" s="45" t="s">
        <v>11191</v>
      </c>
      <c r="B120" s="45" t="s">
        <v>11192</v>
      </c>
      <c r="C120" s="46" t="str">
        <f t="shared" si="16"/>
        <v>C00166:1</v>
      </c>
      <c r="D120" s="47" t="str">
        <f t="shared" si="1"/>
        <v>C00166 : Phenylpyruvate</v>
      </c>
      <c r="E120" s="15"/>
      <c r="F120" s="15"/>
      <c r="G120" s="15"/>
    </row>
    <row r="121" spans="1:26" ht="14.5">
      <c r="A121" s="45" t="s">
        <v>11193</v>
      </c>
      <c r="B121" s="45" t="s">
        <v>11194</v>
      </c>
      <c r="C121" s="46" t="str">
        <f t="shared" si="16"/>
        <v>C00169:1</v>
      </c>
      <c r="D121" s="47" t="str">
        <f t="shared" si="1"/>
        <v>C00169 : Carbamoyl Phosphate</v>
      </c>
      <c r="E121" s="15"/>
      <c r="F121" s="15"/>
      <c r="G121" s="15"/>
    </row>
    <row r="122" spans="1:26" ht="14.5">
      <c r="A122" s="45" t="s">
        <v>11195</v>
      </c>
      <c r="B122" s="45" t="s">
        <v>11196</v>
      </c>
      <c r="C122" s="46" t="str">
        <f t="shared" si="16"/>
        <v>C00170:1</v>
      </c>
      <c r="D122" s="47" t="str">
        <f t="shared" si="1"/>
        <v>C00170 : 5'-Methylthioadenosine</v>
      </c>
      <c r="E122" s="15"/>
      <c r="F122" s="15"/>
      <c r="G122" s="15"/>
    </row>
    <row r="123" spans="1:26" ht="14.5">
      <c r="A123" s="45" t="s">
        <v>11197</v>
      </c>
      <c r="B123" s="45" t="s">
        <v>11198</v>
      </c>
      <c r="C123" s="46" t="str">
        <f t="shared" si="16"/>
        <v>C00173:1</v>
      </c>
      <c r="D123" s="47" t="str">
        <f t="shared" si="1"/>
        <v>C00173 : Acyl-[acyl-carrier protein]</v>
      </c>
      <c r="E123" s="15"/>
      <c r="F123" s="15"/>
      <c r="G123" s="15"/>
    </row>
    <row r="124" spans="1:26" ht="14.5">
      <c r="A124" s="45" t="s">
        <v>11199</v>
      </c>
      <c r="B124" s="45" t="s">
        <v>11200</v>
      </c>
      <c r="C124" s="48" t="str">
        <f>CONCATENATE(A124,":1000")</f>
        <v>C00178:1000</v>
      </c>
      <c r="D124" s="49" t="str">
        <f t="shared" si="1"/>
        <v>C00178 : Thymine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5">
      <c r="A125" s="45" t="s">
        <v>11201</v>
      </c>
      <c r="B125" s="45" t="s">
        <v>11202</v>
      </c>
      <c r="C125" s="48" t="str">
        <f>CONCATENATE(A125,":1000")</f>
        <v>C00180:1000</v>
      </c>
      <c r="D125" s="49" t="str">
        <f t="shared" si="1"/>
        <v>C00180 : Benzoate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5">
      <c r="A126" s="45" t="s">
        <v>11203</v>
      </c>
      <c r="B126" s="45" t="s">
        <v>11204</v>
      </c>
      <c r="C126" s="46" t="str">
        <f>CONCATENATE(A126,":1")</f>
        <v>C00183:1</v>
      </c>
      <c r="D126" s="47" t="str">
        <f t="shared" si="1"/>
        <v>C00183 : L-Valine</v>
      </c>
      <c r="E126" s="15"/>
      <c r="F126" s="15"/>
      <c r="G126" s="15"/>
    </row>
    <row r="127" spans="1:26" ht="14.5">
      <c r="A127" s="45" t="s">
        <v>11205</v>
      </c>
      <c r="B127" s="45" t="s">
        <v>11206</v>
      </c>
      <c r="C127" s="46" t="str">
        <f t="shared" si="16"/>
        <v>C00184:1</v>
      </c>
      <c r="D127" s="47" t="str">
        <f t="shared" si="1"/>
        <v>C00184 : Glycerone</v>
      </c>
      <c r="E127" s="15"/>
      <c r="F127" s="15"/>
      <c r="G127" s="15"/>
    </row>
    <row r="128" spans="1:26" ht="14.5">
      <c r="A128" s="45" t="s">
        <v>11207</v>
      </c>
      <c r="B128" s="45" t="s">
        <v>11208</v>
      </c>
      <c r="C128" s="46" t="str">
        <f t="shared" si="16"/>
        <v>C00186:1</v>
      </c>
      <c r="D128" s="47" t="str">
        <f t="shared" si="1"/>
        <v>C00186 : (S)-Lactate</v>
      </c>
      <c r="E128" s="15"/>
      <c r="F128" s="15"/>
      <c r="G128" s="15"/>
    </row>
    <row r="129" spans="1:26" ht="14.5">
      <c r="A129" s="45" t="s">
        <v>11209</v>
      </c>
      <c r="B129" s="45" t="s">
        <v>11210</v>
      </c>
      <c r="C129" s="46" t="str">
        <f t="shared" si="16"/>
        <v>C00188:1</v>
      </c>
      <c r="D129" s="47" t="str">
        <f t="shared" si="1"/>
        <v>C00188 : L-Threonine</v>
      </c>
      <c r="E129" s="15"/>
      <c r="F129" s="15"/>
      <c r="G129" s="15"/>
    </row>
    <row r="130" spans="1:26" ht="14.5">
      <c r="A130" s="45" t="s">
        <v>11211</v>
      </c>
      <c r="B130" s="45" t="s">
        <v>11212</v>
      </c>
      <c r="C130" s="48" t="str">
        <f t="shared" si="16"/>
        <v>C00194:1</v>
      </c>
      <c r="D130" s="49" t="str">
        <f t="shared" si="1"/>
        <v>C00194 : Cobamide coenzyme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5">
      <c r="A131" s="45" t="s">
        <v>11213</v>
      </c>
      <c r="B131" s="45" t="s">
        <v>11214</v>
      </c>
      <c r="C131" s="46" t="str">
        <f t="shared" si="16"/>
        <v>C00197:1</v>
      </c>
      <c r="D131" s="47" t="str">
        <f t="shared" si="1"/>
        <v>C00197 : 3-Phospho-D-glycerate</v>
      </c>
      <c r="E131" s="15"/>
      <c r="F131" s="15"/>
      <c r="G131" s="15"/>
    </row>
    <row r="132" spans="1:26" ht="14.5">
      <c r="A132" s="45" t="s">
        <v>11215</v>
      </c>
      <c r="B132" s="45" t="s">
        <v>11216</v>
      </c>
      <c r="C132" s="46" t="str">
        <f t="shared" si="16"/>
        <v>C00199:1</v>
      </c>
      <c r="D132" s="47" t="str">
        <f t="shared" si="1"/>
        <v>C00199 : D-Ribulose 5-phosphate</v>
      </c>
      <c r="E132" s="15"/>
      <c r="F132" s="15"/>
      <c r="G132" s="15"/>
    </row>
    <row r="133" spans="1:26" ht="14.5">
      <c r="A133" s="45" t="s">
        <v>11217</v>
      </c>
      <c r="B133" s="45" t="s">
        <v>11218</v>
      </c>
      <c r="C133" s="46" t="str">
        <f t="shared" si="16"/>
        <v>C00201:1</v>
      </c>
      <c r="D133" s="47" t="str">
        <f t="shared" si="1"/>
        <v>C00201 : NTP</v>
      </c>
      <c r="E133" s="15"/>
      <c r="F133" s="15"/>
      <c r="G133" s="15"/>
    </row>
    <row r="134" spans="1:26" ht="14.5">
      <c r="A134" s="45" t="s">
        <v>11219</v>
      </c>
      <c r="B134" s="45" t="s">
        <v>11220</v>
      </c>
      <c r="C134" s="46" t="str">
        <f t="shared" si="16"/>
        <v>C00203:1</v>
      </c>
      <c r="D134" s="47" t="str">
        <f t="shared" si="1"/>
        <v>C00203 : UDP-N-acetyl-D-galactosamine</v>
      </c>
      <c r="E134" s="15"/>
      <c r="F134" s="15"/>
      <c r="G134" s="15"/>
    </row>
    <row r="135" spans="1:26" ht="14.5">
      <c r="A135" s="45" t="s">
        <v>11221</v>
      </c>
      <c r="B135" s="45" t="s">
        <v>11222</v>
      </c>
      <c r="C135" s="46" t="str">
        <f t="shared" si="16"/>
        <v>C00206:1</v>
      </c>
      <c r="D135" s="47" t="str">
        <f t="shared" si="1"/>
        <v>C00206 : dADP</v>
      </c>
      <c r="E135" s="15"/>
      <c r="F135" s="15"/>
      <c r="G135" s="15"/>
    </row>
    <row r="136" spans="1:26" ht="14.5">
      <c r="A136" s="45" t="s">
        <v>11223</v>
      </c>
      <c r="B136" s="45" t="s">
        <v>11224</v>
      </c>
      <c r="C136" s="48" t="str">
        <f>CONCATENATE(A136,":1000")</f>
        <v>C00208:1000</v>
      </c>
      <c r="D136" s="49" t="str">
        <f t="shared" si="1"/>
        <v>C00208 : Maltose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5">
      <c r="A137" s="45" t="s">
        <v>11225</v>
      </c>
      <c r="B137" s="45" t="s">
        <v>11226</v>
      </c>
      <c r="C137" s="46" t="str">
        <f t="shared" si="16"/>
        <v>C00212:1</v>
      </c>
      <c r="D137" s="47" t="str">
        <f t="shared" si="1"/>
        <v>C00212 : Adenosine</v>
      </c>
      <c r="E137" s="15"/>
      <c r="F137" s="15"/>
      <c r="G137" s="15"/>
    </row>
    <row r="138" spans="1:26" ht="14.5">
      <c r="A138" s="45" t="s">
        <v>11227</v>
      </c>
      <c r="B138" s="45" t="s">
        <v>11228</v>
      </c>
      <c r="C138" s="46" t="str">
        <f t="shared" si="16"/>
        <v>C00214:1</v>
      </c>
      <c r="D138" s="47" t="str">
        <f t="shared" si="1"/>
        <v>C00214 : Thymidine</v>
      </c>
      <c r="E138" s="15"/>
      <c r="F138" s="15"/>
      <c r="G138" s="15"/>
    </row>
    <row r="139" spans="1:26" ht="14.5">
      <c r="A139" s="45" t="s">
        <v>11229</v>
      </c>
      <c r="B139" s="45" t="s">
        <v>11230</v>
      </c>
      <c r="C139" s="46" t="str">
        <f t="shared" si="16"/>
        <v>C00217:1</v>
      </c>
      <c r="D139" s="47" t="str">
        <f t="shared" si="1"/>
        <v>C00217 : D-Glutamate</v>
      </c>
      <c r="E139" s="15"/>
      <c r="F139" s="15"/>
      <c r="G139" s="15"/>
    </row>
    <row r="140" spans="1:26" ht="14.5">
      <c r="A140" s="45" t="s">
        <v>11231</v>
      </c>
      <c r="B140" s="45" t="s">
        <v>11232</v>
      </c>
      <c r="C140" s="48" t="str">
        <f>CONCATENATE(A140,":1000")</f>
        <v>C00221:1000</v>
      </c>
      <c r="D140" s="49" t="str">
        <f t="shared" si="1"/>
        <v>C00221 : beta-D-Glucose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5">
      <c r="A141" s="45" t="s">
        <v>11233</v>
      </c>
      <c r="B141" s="45" t="s">
        <v>11234</v>
      </c>
      <c r="C141" s="46" t="str">
        <f t="shared" si="16"/>
        <v>C00224:1</v>
      </c>
      <c r="D141" s="47" t="str">
        <f t="shared" si="1"/>
        <v>C00224 : Adenylyl Sulfate</v>
      </c>
      <c r="E141" s="15"/>
      <c r="F141" s="15"/>
      <c r="G141" s="15"/>
    </row>
    <row r="142" spans="1:26" ht="14.5">
      <c r="A142" s="45" t="s">
        <v>11235</v>
      </c>
      <c r="B142" s="45" t="s">
        <v>11236</v>
      </c>
      <c r="C142" s="46" t="str">
        <f t="shared" si="16"/>
        <v>C00226:1</v>
      </c>
      <c r="D142" s="47" t="str">
        <f t="shared" si="1"/>
        <v>C00226 : Primary Alcohol</v>
      </c>
      <c r="E142" s="15"/>
      <c r="F142" s="15"/>
      <c r="G142" s="15"/>
    </row>
    <row r="143" spans="1:26" ht="14.5">
      <c r="A143" s="45" t="s">
        <v>11237</v>
      </c>
      <c r="B143" s="45" t="s">
        <v>11238</v>
      </c>
      <c r="C143" s="46" t="str">
        <f t="shared" si="16"/>
        <v>C00227:1</v>
      </c>
      <c r="D143" s="47" t="str">
        <f t="shared" si="1"/>
        <v>C00227 : Acetyl Phosphate</v>
      </c>
      <c r="E143" s="15"/>
      <c r="F143" s="15"/>
      <c r="G143" s="15"/>
    </row>
    <row r="144" spans="1:26" ht="14.5">
      <c r="A144" s="45" t="s">
        <v>11239</v>
      </c>
      <c r="B144" s="45" t="s">
        <v>11240</v>
      </c>
      <c r="C144" s="46" t="str">
        <f t="shared" si="16"/>
        <v>C00229:1</v>
      </c>
      <c r="D144" s="47" t="str">
        <f t="shared" si="1"/>
        <v>C00229 : Acyl-carrier protein</v>
      </c>
      <c r="E144" s="15"/>
      <c r="F144" s="15"/>
      <c r="G144" s="15"/>
    </row>
    <row r="145" spans="1:26" ht="14.5">
      <c r="A145" s="45" t="s">
        <v>11241</v>
      </c>
      <c r="B145" s="45" t="s">
        <v>11242</v>
      </c>
      <c r="C145" s="46" t="str">
        <f t="shared" si="16"/>
        <v>C00231:1</v>
      </c>
      <c r="D145" s="47" t="str">
        <f t="shared" si="1"/>
        <v>C00231 : D-Xylulose 5-Phosphate</v>
      </c>
      <c r="E145" s="15"/>
      <c r="F145" s="15"/>
      <c r="G145" s="15"/>
    </row>
    <row r="146" spans="1:26" ht="14.5">
      <c r="A146" s="45" t="s">
        <v>11243</v>
      </c>
      <c r="B146" s="45" t="s">
        <v>11244</v>
      </c>
      <c r="C146" s="46" t="str">
        <f t="shared" si="16"/>
        <v>C00233:1</v>
      </c>
      <c r="D146" s="47" t="str">
        <f t="shared" si="1"/>
        <v>C00233 : 4-Methyl-2-oxopentanoate</v>
      </c>
      <c r="E146" s="15"/>
      <c r="F146" s="15"/>
      <c r="G146" s="15"/>
    </row>
    <row r="147" spans="1:26" ht="14.5">
      <c r="A147" s="45" t="s">
        <v>11245</v>
      </c>
      <c r="B147" s="45" t="s">
        <v>11246</v>
      </c>
      <c r="C147" s="46" t="str">
        <f t="shared" si="16"/>
        <v>C00234:1</v>
      </c>
      <c r="D147" s="47" t="str">
        <f t="shared" si="1"/>
        <v>C00234 : 10-Formyltetrahydrofolate</v>
      </c>
      <c r="E147" s="15"/>
      <c r="F147" s="15"/>
      <c r="G147" s="15"/>
    </row>
    <row r="148" spans="1:26" ht="14.5">
      <c r="A148" s="45" t="s">
        <v>11247</v>
      </c>
      <c r="B148" s="45" t="s">
        <v>11248</v>
      </c>
      <c r="C148" s="46" t="str">
        <f t="shared" si="16"/>
        <v>C00235:1</v>
      </c>
      <c r="D148" s="47" t="str">
        <f t="shared" si="1"/>
        <v>C00235 : Dimethylallyl diphosphate</v>
      </c>
      <c r="E148" s="15"/>
      <c r="F148" s="15"/>
      <c r="G148" s="15"/>
    </row>
    <row r="149" spans="1:26" ht="14.5">
      <c r="A149" s="45" t="s">
        <v>11249</v>
      </c>
      <c r="B149" s="45" t="s">
        <v>11250</v>
      </c>
      <c r="C149" s="46" t="str">
        <f t="shared" si="16"/>
        <v>C00239:1</v>
      </c>
      <c r="D149" s="47" t="str">
        <f t="shared" si="1"/>
        <v>C00239 : dCMP</v>
      </c>
      <c r="E149" s="15"/>
      <c r="F149" s="15"/>
      <c r="G149" s="15"/>
    </row>
    <row r="150" spans="1:26" ht="14.5">
      <c r="A150" s="45" t="s">
        <v>11251</v>
      </c>
      <c r="B150" s="45" t="s">
        <v>2547</v>
      </c>
      <c r="C150" s="46" t="str">
        <f t="shared" si="16"/>
        <v>C00240:1</v>
      </c>
      <c r="D150" s="47" t="str">
        <f t="shared" si="1"/>
        <v>C00240 : rRNA</v>
      </c>
      <c r="E150" s="15"/>
      <c r="F150" s="15"/>
      <c r="G150" s="15"/>
    </row>
    <row r="151" spans="1:26" ht="14.5">
      <c r="A151" s="45" t="s">
        <v>11252</v>
      </c>
      <c r="B151" s="45" t="s">
        <v>11253</v>
      </c>
      <c r="C151" s="46" t="str">
        <f t="shared" si="16"/>
        <v>C00241:1</v>
      </c>
      <c r="D151" s="47" t="str">
        <f t="shared" si="1"/>
        <v>C00241 : Amide</v>
      </c>
      <c r="E151" s="15"/>
      <c r="F151" s="15"/>
      <c r="G151" s="15"/>
    </row>
    <row r="152" spans="1:26" ht="14.5">
      <c r="A152" s="45" t="s">
        <v>11254</v>
      </c>
      <c r="B152" s="45" t="s">
        <v>11255</v>
      </c>
      <c r="C152" s="46" t="str">
        <f t="shared" si="16"/>
        <v>C00242:1</v>
      </c>
      <c r="D152" s="47" t="str">
        <f t="shared" si="1"/>
        <v>C00242 : Guanine</v>
      </c>
      <c r="E152" s="15"/>
      <c r="F152" s="15"/>
      <c r="G152" s="15"/>
    </row>
    <row r="153" spans="1:26" ht="14.5">
      <c r="A153" s="45" t="s">
        <v>11256</v>
      </c>
      <c r="B153" s="45" t="s">
        <v>11257</v>
      </c>
      <c r="C153" s="48" t="str">
        <f>CONCATENATE(A153,":1000")</f>
        <v>C00243:1000</v>
      </c>
      <c r="D153" s="49" t="str">
        <f t="shared" si="1"/>
        <v>C00243 : Lactose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5">
      <c r="A154" s="45" t="s">
        <v>11258</v>
      </c>
      <c r="B154" s="45" t="s">
        <v>11259</v>
      </c>
      <c r="C154" s="48" t="str">
        <f>CONCATENATE(A154,":1000")</f>
        <v>C00246:1000</v>
      </c>
      <c r="D154" s="49" t="str">
        <f t="shared" si="1"/>
        <v>C00246 : Butanoic acid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5">
      <c r="A155" s="45" t="s">
        <v>11260</v>
      </c>
      <c r="B155" s="45" t="s">
        <v>11261</v>
      </c>
      <c r="C155" s="48" t="str">
        <f>CONCATENATE(A155,":1")</f>
        <v>C00248:1</v>
      </c>
      <c r="D155" s="49" t="str">
        <f t="shared" si="1"/>
        <v>C00248 : Lipoamide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5">
      <c r="A156" s="45" t="s">
        <v>11262</v>
      </c>
      <c r="B156" s="45" t="s">
        <v>11263</v>
      </c>
      <c r="C156" s="46" t="str">
        <f t="shared" si="16"/>
        <v>C00250:1</v>
      </c>
      <c r="D156" s="47" t="str">
        <f t="shared" si="1"/>
        <v>C00250 : Pyridoxal</v>
      </c>
      <c r="E156" s="15"/>
      <c r="F156" s="15"/>
      <c r="G156" s="15"/>
    </row>
    <row r="157" spans="1:26" ht="14.5">
      <c r="A157" s="45" t="s">
        <v>11264</v>
      </c>
      <c r="B157" s="45" t="s">
        <v>11265</v>
      </c>
      <c r="C157" s="46" t="str">
        <f t="shared" si="16"/>
        <v>C00253:1</v>
      </c>
      <c r="D157" s="47" t="str">
        <f t="shared" si="1"/>
        <v>C00253 : Nicotinate</v>
      </c>
      <c r="E157" s="15"/>
      <c r="F157" s="15"/>
      <c r="G157" s="15"/>
    </row>
    <row r="158" spans="1:26" ht="14.5">
      <c r="A158" s="45" t="s">
        <v>11266</v>
      </c>
      <c r="B158" s="45" t="s">
        <v>11267</v>
      </c>
      <c r="C158" s="46" t="str">
        <f t="shared" si="16"/>
        <v>C00255:1</v>
      </c>
      <c r="D158" s="47" t="str">
        <f t="shared" si="1"/>
        <v>C00255 : Riboflavin</v>
      </c>
      <c r="E158" s="15"/>
      <c r="F158" s="15"/>
      <c r="G158" s="15"/>
    </row>
    <row r="159" spans="1:26" ht="14.5">
      <c r="A159" s="45" t="s">
        <v>11268</v>
      </c>
      <c r="B159" s="45" t="s">
        <v>11269</v>
      </c>
      <c r="C159" s="46" t="str">
        <f t="shared" si="16"/>
        <v>C00256:1</v>
      </c>
      <c r="D159" s="47" t="str">
        <f t="shared" si="1"/>
        <v>C00256 : (R)-Lactate</v>
      </c>
      <c r="E159" s="15"/>
      <c r="F159" s="15"/>
      <c r="G159" s="15"/>
    </row>
    <row r="160" spans="1:26" ht="14.5">
      <c r="A160" s="45" t="s">
        <v>11270</v>
      </c>
      <c r="B160" s="45" t="s">
        <v>11271</v>
      </c>
      <c r="C160" s="46" t="str">
        <f t="shared" si="16"/>
        <v>C00257:1</v>
      </c>
      <c r="D160" s="47" t="str">
        <f t="shared" si="1"/>
        <v>C00257 : D-Gluconic Acid</v>
      </c>
      <c r="E160" s="15"/>
      <c r="F160" s="15"/>
      <c r="G160" s="15"/>
    </row>
    <row r="161" spans="1:26" ht="14.5">
      <c r="A161" s="45" t="s">
        <v>11272</v>
      </c>
      <c r="B161" s="45" t="s">
        <v>11273</v>
      </c>
      <c r="C161" s="46" t="str">
        <f t="shared" si="16"/>
        <v>C00263:1</v>
      </c>
      <c r="D161" s="47" t="str">
        <f t="shared" si="1"/>
        <v>C00263 : L-Homoserine</v>
      </c>
    </row>
    <row r="162" spans="1:26" ht="14.5">
      <c r="A162" s="45" t="s">
        <v>11274</v>
      </c>
      <c r="B162" s="45" t="s">
        <v>11275</v>
      </c>
      <c r="C162" s="48" t="str">
        <f t="shared" si="16"/>
        <v>C00264:1</v>
      </c>
      <c r="D162" s="49" t="str">
        <f t="shared" si="1"/>
        <v>C00264 : 3-Oxoacyl-CoA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5">
      <c r="A163" s="45" t="s">
        <v>11272</v>
      </c>
      <c r="B163" s="45" t="s">
        <v>11273</v>
      </c>
      <c r="C163" s="46" t="str">
        <f t="shared" si="16"/>
        <v>C00263:1</v>
      </c>
      <c r="D163" s="47" t="str">
        <f t="shared" si="1"/>
        <v>C00263 : L-Homoserine</v>
      </c>
      <c r="E163" s="15"/>
      <c r="F163" s="15"/>
      <c r="G163" s="15"/>
    </row>
    <row r="164" spans="1:26" ht="14.5">
      <c r="A164" s="45" t="s">
        <v>11276</v>
      </c>
      <c r="B164" s="45" t="s">
        <v>11277</v>
      </c>
      <c r="C164" s="46" t="str">
        <f t="shared" si="16"/>
        <v>C00267:1</v>
      </c>
      <c r="D164" s="47" t="str">
        <f t="shared" si="1"/>
        <v>C00267 : alpha-D-Glucose</v>
      </c>
      <c r="E164" s="15"/>
      <c r="F164" s="15"/>
      <c r="G164" s="15"/>
    </row>
    <row r="165" spans="1:26" ht="14.5">
      <c r="A165" s="45" t="s">
        <v>11278</v>
      </c>
      <c r="B165" s="45" t="s">
        <v>11279</v>
      </c>
      <c r="C165" s="46" t="str">
        <f t="shared" si="16"/>
        <v>C00269:1</v>
      </c>
      <c r="D165" s="47" t="str">
        <f t="shared" si="1"/>
        <v>C00269 : CDP-diacylglycerol</v>
      </c>
      <c r="E165" s="15"/>
      <c r="F165" s="15"/>
      <c r="G165" s="15"/>
    </row>
    <row r="166" spans="1:26" ht="14.5">
      <c r="A166" s="45" t="s">
        <v>11280</v>
      </c>
      <c r="B166" s="45" t="s">
        <v>11281</v>
      </c>
      <c r="C166" s="46" t="str">
        <f t="shared" si="16"/>
        <v>C00272:1</v>
      </c>
      <c r="D166" s="47" t="str">
        <f t="shared" si="1"/>
        <v>C00272 : Tetrahydrobiopterin</v>
      </c>
      <c r="E166" s="15"/>
      <c r="F166" s="15"/>
      <c r="G166" s="15"/>
    </row>
    <row r="167" spans="1:26" ht="14.5">
      <c r="A167" s="45" t="s">
        <v>11282</v>
      </c>
      <c r="B167" s="45" t="s">
        <v>11283</v>
      </c>
      <c r="C167" s="48" t="str">
        <f>CONCATENATE(A167,":1000")</f>
        <v>C00275:1000</v>
      </c>
      <c r="D167" s="49" t="str">
        <f t="shared" si="1"/>
        <v>C00275 : D-Mannose 6-phosphate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5">
      <c r="A168" s="45" t="s">
        <v>11284</v>
      </c>
      <c r="B168" s="45" t="s">
        <v>11285</v>
      </c>
      <c r="C168" s="48" t="str">
        <f>CONCATENATE(A168,":1000")</f>
        <v>C00279:1000</v>
      </c>
      <c r="D168" s="49" t="str">
        <f t="shared" si="1"/>
        <v>C00279 : D-Erythrose 4-phosphate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5">
      <c r="A169" s="45" t="s">
        <v>11286</v>
      </c>
      <c r="B169" s="45" t="s">
        <v>11287</v>
      </c>
      <c r="C169" s="46" t="str">
        <f t="shared" si="16"/>
        <v>C00283:1</v>
      </c>
      <c r="D169" s="47" t="str">
        <f t="shared" si="1"/>
        <v>C00283 : Hydrogen Sulfide</v>
      </c>
      <c r="E169" s="15"/>
      <c r="F169" s="15"/>
      <c r="G169" s="15"/>
    </row>
    <row r="170" spans="1:26" ht="14.5">
      <c r="A170" s="45" t="s">
        <v>11288</v>
      </c>
      <c r="B170" s="45" t="s">
        <v>11289</v>
      </c>
      <c r="C170" s="46" t="str">
        <f t="shared" si="16"/>
        <v>C00286:1</v>
      </c>
      <c r="D170" s="47" t="str">
        <f t="shared" si="1"/>
        <v>C00286 : dGTP</v>
      </c>
      <c r="E170" s="15"/>
      <c r="F170" s="15"/>
      <c r="G170" s="15"/>
    </row>
    <row r="171" spans="1:26" ht="14.5">
      <c r="A171" s="45" t="s">
        <v>11290</v>
      </c>
      <c r="B171" s="45" t="s">
        <v>11291</v>
      </c>
      <c r="C171" s="46" t="str">
        <f t="shared" si="16"/>
        <v>C00288:1</v>
      </c>
      <c r="D171" s="47" t="str">
        <f t="shared" si="1"/>
        <v>C00288 : HCO3-</v>
      </c>
      <c r="E171" s="15"/>
      <c r="F171" s="15"/>
      <c r="G171" s="15"/>
    </row>
    <row r="172" spans="1:26" ht="14.5">
      <c r="A172" s="45" t="s">
        <v>11292</v>
      </c>
      <c r="B172" s="45" t="s">
        <v>11293</v>
      </c>
      <c r="C172" s="46" t="str">
        <f t="shared" si="16"/>
        <v>C00294:1</v>
      </c>
      <c r="D172" s="47" t="str">
        <f t="shared" si="1"/>
        <v>C00294 : Inosine</v>
      </c>
      <c r="E172" s="15"/>
      <c r="F172" s="15"/>
      <c r="G172" s="15"/>
    </row>
    <row r="173" spans="1:26" ht="14.5">
      <c r="A173" s="45" t="s">
        <v>11294</v>
      </c>
      <c r="B173" s="45" t="s">
        <v>11295</v>
      </c>
      <c r="C173" s="46" t="str">
        <f t="shared" si="16"/>
        <v>C00295:1</v>
      </c>
      <c r="D173" s="47" t="str">
        <f t="shared" si="1"/>
        <v>C00295 : Orotate</v>
      </c>
      <c r="E173" s="15"/>
      <c r="F173" s="15"/>
      <c r="G173" s="15"/>
    </row>
    <row r="174" spans="1:26" ht="14.5">
      <c r="A174" s="45" t="s">
        <v>11296</v>
      </c>
      <c r="B174" s="45" t="s">
        <v>11297</v>
      </c>
      <c r="C174" s="46" t="str">
        <f t="shared" si="16"/>
        <v>C00299:1</v>
      </c>
      <c r="D174" s="47" t="str">
        <f t="shared" si="1"/>
        <v>C00299 : Uridine</v>
      </c>
      <c r="E174" s="15"/>
      <c r="F174" s="15"/>
      <c r="G174" s="15"/>
    </row>
    <row r="175" spans="1:26" ht="14.5">
      <c r="A175" s="45" t="s">
        <v>11298</v>
      </c>
      <c r="B175" s="50" t="s">
        <v>11299</v>
      </c>
      <c r="C175" s="48" t="str">
        <f>CONCATENATE(A175,":1000")</f>
        <v>C00310:1000</v>
      </c>
      <c r="D175" s="49" t="str">
        <f t="shared" si="1"/>
        <v>C00310 : D-Xylulose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5">
      <c r="A176" s="45" t="s">
        <v>11300</v>
      </c>
      <c r="B176" s="45" t="s">
        <v>11301</v>
      </c>
      <c r="C176" s="46" t="str">
        <f t="shared" si="16"/>
        <v>C00314:1</v>
      </c>
      <c r="D176" s="47" t="str">
        <f t="shared" si="1"/>
        <v>C00314 : Pyridoxine</v>
      </c>
      <c r="E176" s="15"/>
      <c r="F176" s="15"/>
      <c r="G176" s="15"/>
    </row>
    <row r="177" spans="1:26" ht="14.5">
      <c r="A177" s="45" t="s">
        <v>11302</v>
      </c>
      <c r="B177" s="45" t="s">
        <v>11303</v>
      </c>
      <c r="C177" s="46" t="str">
        <f t="shared" si="16"/>
        <v>C00320:1</v>
      </c>
      <c r="D177" s="47" t="str">
        <f t="shared" si="1"/>
        <v>C00320 : Thiosulfate</v>
      </c>
      <c r="E177" s="15"/>
      <c r="F177" s="15"/>
      <c r="G177" s="15"/>
    </row>
    <row r="178" spans="1:26" ht="14.5">
      <c r="A178" s="45" t="s">
        <v>11304</v>
      </c>
      <c r="B178" s="50" t="s">
        <v>11305</v>
      </c>
      <c r="C178" s="48" t="str">
        <f>CONCATENATE(A178,":1000")</f>
        <v>C00327:1000</v>
      </c>
      <c r="D178" s="49" t="str">
        <f t="shared" si="1"/>
        <v>C00327 : L-Citrulline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5">
      <c r="A179" s="45" t="s">
        <v>11306</v>
      </c>
      <c r="B179" s="45" t="s">
        <v>11307</v>
      </c>
      <c r="C179" s="46" t="str">
        <f>CONCATENATE(A179,":1")</f>
        <v>C00330:1</v>
      </c>
      <c r="D179" s="47" t="str">
        <f t="shared" si="1"/>
        <v>C00330 : Deoxyguanosine</v>
      </c>
      <c r="E179" s="15"/>
      <c r="F179" s="15"/>
      <c r="G179" s="15"/>
    </row>
    <row r="180" spans="1:26" ht="14.5">
      <c r="A180" s="45" t="s">
        <v>11308</v>
      </c>
      <c r="B180" s="45" t="s">
        <v>11309</v>
      </c>
      <c r="C180" s="46" t="str">
        <f t="shared" si="16"/>
        <v>C00332:1</v>
      </c>
      <c r="D180" s="47" t="str">
        <f t="shared" si="1"/>
        <v>C00332 : Acetoacetyl-CoA</v>
      </c>
      <c r="E180" s="15"/>
      <c r="F180" s="15"/>
      <c r="G180" s="15"/>
    </row>
    <row r="181" spans="1:26" ht="14.5">
      <c r="A181" s="45" t="s">
        <v>11310</v>
      </c>
      <c r="B181" s="45" t="s">
        <v>11311</v>
      </c>
      <c r="C181" s="46" t="str">
        <f t="shared" si="16"/>
        <v>C00337:1</v>
      </c>
      <c r="D181" s="47" t="str">
        <f t="shared" si="1"/>
        <v>C00337 : (S)-Dihydroorotate</v>
      </c>
      <c r="E181" s="15"/>
      <c r="F181" s="15"/>
      <c r="G181" s="15"/>
    </row>
    <row r="182" spans="1:26" ht="14.5">
      <c r="A182" s="45" t="s">
        <v>11312</v>
      </c>
      <c r="B182" s="45" t="s">
        <v>11313</v>
      </c>
      <c r="C182" s="46" t="str">
        <f t="shared" si="16"/>
        <v>C00342:1</v>
      </c>
      <c r="D182" s="47" t="str">
        <f t="shared" si="1"/>
        <v>C00342 : Thioredoxin</v>
      </c>
      <c r="E182" s="15"/>
      <c r="F182" s="15"/>
      <c r="G182" s="15"/>
    </row>
    <row r="183" spans="1:26" ht="14.5">
      <c r="A183" s="45" t="s">
        <v>11314</v>
      </c>
      <c r="B183" s="45" t="s">
        <v>11315</v>
      </c>
      <c r="C183" s="46" t="str">
        <f t="shared" si="16"/>
        <v>C00343:1</v>
      </c>
      <c r="D183" s="47" t="str">
        <f t="shared" si="1"/>
        <v>C00343 : Thioredoxin disulfide</v>
      </c>
      <c r="E183" s="15"/>
      <c r="F183" s="15"/>
      <c r="G183" s="15"/>
    </row>
    <row r="184" spans="1:26" ht="14.5">
      <c r="A184" s="51" t="s">
        <v>17437</v>
      </c>
      <c r="B184" s="45" t="s">
        <v>11316</v>
      </c>
      <c r="C184" s="48" t="str">
        <f t="shared" si="16"/>
        <v>C00344:1</v>
      </c>
      <c r="D184" s="49" t="str">
        <f t="shared" si="1"/>
        <v>C00344 : Phosphatidylglycerol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5">
      <c r="A185" s="45" t="s">
        <v>11317</v>
      </c>
      <c r="B185" s="45" t="s">
        <v>11318</v>
      </c>
      <c r="C185" s="46" t="str">
        <f t="shared" si="16"/>
        <v>C00345:1</v>
      </c>
      <c r="D185" s="47" t="str">
        <f t="shared" si="1"/>
        <v>C00345 : 6-Phospho-D-gluconate</v>
      </c>
      <c r="E185" s="15"/>
      <c r="F185" s="15"/>
      <c r="G185" s="15"/>
    </row>
    <row r="186" spans="1:26" ht="14.5">
      <c r="A186" s="45" t="s">
        <v>11319</v>
      </c>
      <c r="B186" s="45" t="s">
        <v>11320</v>
      </c>
      <c r="C186" s="46" t="str">
        <f t="shared" si="16"/>
        <v>C00352:1</v>
      </c>
      <c r="D186" s="47" t="str">
        <f t="shared" si="1"/>
        <v>C00352 : D-Glucosamine 6-phosphate</v>
      </c>
      <c r="E186" s="15"/>
      <c r="F186" s="15"/>
      <c r="G186" s="15"/>
    </row>
    <row r="187" spans="1:26" ht="14.5">
      <c r="A187" s="45" t="s">
        <v>11321</v>
      </c>
      <c r="B187" s="45" t="s">
        <v>11322</v>
      </c>
      <c r="C187" s="46" t="str">
        <f t="shared" si="16"/>
        <v>C00354:1</v>
      </c>
      <c r="D187" s="47" t="str">
        <f t="shared" si="1"/>
        <v>C00354 : D-Fructose 1,6-bisphosphate</v>
      </c>
      <c r="E187" s="15"/>
      <c r="F187" s="15"/>
      <c r="G187" s="15"/>
    </row>
    <row r="188" spans="1:26" ht="14.5">
      <c r="A188" s="45" t="s">
        <v>11323</v>
      </c>
      <c r="B188" s="45" t="s">
        <v>11324</v>
      </c>
      <c r="C188" s="46" t="str">
        <f t="shared" si="16"/>
        <v>C00356:1</v>
      </c>
      <c r="D188" s="47" t="str">
        <f t="shared" si="1"/>
        <v>C00356 : (S)-3-Hydroxy-3-methylglutaryl-CoA</v>
      </c>
      <c r="E188" s="15"/>
      <c r="F188" s="15"/>
      <c r="G188" s="15"/>
    </row>
    <row r="189" spans="1:26" ht="14.5">
      <c r="A189" s="45" t="s">
        <v>11325</v>
      </c>
      <c r="B189" s="45" t="s">
        <v>11326</v>
      </c>
      <c r="C189" s="46" t="str">
        <f t="shared" si="16"/>
        <v>C00357:1</v>
      </c>
      <c r="D189" s="47" t="str">
        <f t="shared" si="1"/>
        <v>C00357 : N-Acetyl-D-glucosamine 6-phosphate</v>
      </c>
      <c r="E189" s="15"/>
      <c r="F189" s="15"/>
      <c r="G189" s="15"/>
    </row>
    <row r="190" spans="1:26" ht="14.5">
      <c r="A190" s="45" t="s">
        <v>11327</v>
      </c>
      <c r="B190" s="45" t="s">
        <v>11328</v>
      </c>
      <c r="C190" s="46" t="str">
        <f t="shared" si="16"/>
        <v>C00360:1</v>
      </c>
      <c r="D190" s="47" t="str">
        <f t="shared" si="1"/>
        <v>C00360 : dAMP</v>
      </c>
      <c r="E190" s="15"/>
      <c r="F190" s="15"/>
      <c r="G190" s="15"/>
    </row>
    <row r="191" spans="1:26" ht="14.5">
      <c r="A191" s="45" t="s">
        <v>11329</v>
      </c>
      <c r="B191" s="45" t="s">
        <v>11330</v>
      </c>
      <c r="C191" s="46" t="str">
        <f t="shared" si="16"/>
        <v>C00361:1</v>
      </c>
      <c r="D191" s="47" t="str">
        <f t="shared" si="1"/>
        <v>C00361 : dGDP</v>
      </c>
      <c r="E191" s="15"/>
      <c r="F191" s="15"/>
      <c r="G191" s="15"/>
    </row>
    <row r="192" spans="1:26" ht="14.5">
      <c r="A192" s="45" t="s">
        <v>11331</v>
      </c>
      <c r="B192" s="45" t="s">
        <v>11332</v>
      </c>
      <c r="C192" s="46" t="str">
        <f t="shared" si="16"/>
        <v>C00362:1</v>
      </c>
      <c r="D192" s="47" t="str">
        <f t="shared" si="1"/>
        <v>C00362 : dGMP</v>
      </c>
      <c r="E192" s="15"/>
      <c r="F192" s="15"/>
      <c r="G192" s="15"/>
    </row>
    <row r="193" spans="1:26" ht="14.5">
      <c r="A193" s="45" t="s">
        <v>11333</v>
      </c>
      <c r="B193" s="45" t="s">
        <v>11334</v>
      </c>
      <c r="C193" s="48" t="str">
        <f>CONCATENATE(A193,":1000")</f>
        <v>C00363:1000</v>
      </c>
      <c r="D193" s="49" t="str">
        <f t="shared" si="1"/>
        <v>C00363 : dTDP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5">
      <c r="A194" s="45" t="s">
        <v>11335</v>
      </c>
      <c r="B194" s="45" t="s">
        <v>11336</v>
      </c>
      <c r="C194" s="46" t="str">
        <f t="shared" si="16"/>
        <v>C00364:1</v>
      </c>
      <c r="D194" s="47" t="str">
        <f t="shared" si="1"/>
        <v>C00364 : dTMP</v>
      </c>
      <c r="E194" s="15"/>
      <c r="F194" s="15"/>
      <c r="G194" s="15"/>
    </row>
    <row r="195" spans="1:26" ht="14.5">
      <c r="A195" s="45" t="s">
        <v>11337</v>
      </c>
      <c r="B195" s="45" t="s">
        <v>11338</v>
      </c>
      <c r="C195" s="46" t="str">
        <f t="shared" si="16"/>
        <v>C00365:1</v>
      </c>
      <c r="D195" s="47" t="str">
        <f t="shared" si="1"/>
        <v>C00365 : dUMP</v>
      </c>
      <c r="E195" s="15"/>
      <c r="F195" s="15"/>
      <c r="G195" s="15"/>
    </row>
    <row r="196" spans="1:26" ht="14.5">
      <c r="A196" s="45" t="s">
        <v>11339</v>
      </c>
      <c r="B196" s="45" t="s">
        <v>11340</v>
      </c>
      <c r="C196" s="46" t="str">
        <f t="shared" si="16"/>
        <v>C00369:1</v>
      </c>
      <c r="D196" s="47" t="str">
        <f t="shared" si="1"/>
        <v>C00369 : Starch</v>
      </c>
      <c r="E196" s="15"/>
      <c r="F196" s="15"/>
      <c r="G196" s="15"/>
    </row>
    <row r="197" spans="1:26" ht="14.5">
      <c r="A197" s="45" t="s">
        <v>11341</v>
      </c>
      <c r="B197" s="45" t="s">
        <v>11342</v>
      </c>
      <c r="C197" s="46" t="str">
        <f t="shared" si="16"/>
        <v>C00376:1</v>
      </c>
      <c r="D197" s="47" t="str">
        <f t="shared" si="1"/>
        <v>C00376 : Retinal</v>
      </c>
      <c r="E197" s="15"/>
      <c r="F197" s="15"/>
      <c r="G197" s="15"/>
    </row>
    <row r="198" spans="1:26" ht="14.5">
      <c r="A198" s="45" t="s">
        <v>11343</v>
      </c>
      <c r="B198" s="45" t="s">
        <v>11344</v>
      </c>
      <c r="C198" s="46" t="str">
        <f t="shared" si="16"/>
        <v>C00378:1</v>
      </c>
      <c r="D198" s="47" t="str">
        <f t="shared" si="1"/>
        <v>C00378 : Thiamine</v>
      </c>
      <c r="E198" s="15"/>
      <c r="F198" s="15"/>
      <c r="G198" s="15"/>
    </row>
    <row r="199" spans="1:26" ht="14.5">
      <c r="A199" s="45" t="s">
        <v>11345</v>
      </c>
      <c r="B199" s="45" t="s">
        <v>11346</v>
      </c>
      <c r="C199" s="48" t="str">
        <f>CONCATENATE(A199,":1000")</f>
        <v>C00380:1000</v>
      </c>
      <c r="D199" s="49" t="str">
        <f t="shared" si="1"/>
        <v>C00380 : Cytosine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5">
      <c r="A200" s="45" t="s">
        <v>11347</v>
      </c>
      <c r="B200" s="45" t="s">
        <v>11348</v>
      </c>
      <c r="C200" s="46" t="str">
        <f t="shared" si="16"/>
        <v>C00385:1</v>
      </c>
      <c r="D200" s="47" t="str">
        <f t="shared" si="1"/>
        <v>C00385 : Xanthine</v>
      </c>
      <c r="E200" s="15"/>
      <c r="F200" s="15"/>
      <c r="G200" s="15"/>
    </row>
    <row r="201" spans="1:26" ht="14.5">
      <c r="A201" s="45" t="s">
        <v>11349</v>
      </c>
      <c r="B201" s="45" t="s">
        <v>11350</v>
      </c>
      <c r="C201" s="46" t="str">
        <f t="shared" si="16"/>
        <v>C00387:1</v>
      </c>
      <c r="D201" s="47" t="str">
        <f t="shared" si="1"/>
        <v>C00387 : Guanosine</v>
      </c>
      <c r="E201" s="15"/>
      <c r="F201" s="15"/>
      <c r="G201" s="15"/>
    </row>
    <row r="202" spans="1:26" ht="14.5">
      <c r="A202" s="45" t="s">
        <v>11351</v>
      </c>
      <c r="B202" s="45" t="s">
        <v>11352</v>
      </c>
      <c r="C202" s="48" t="str">
        <f>CONCATENATE(A202,":1000")</f>
        <v>C00390:1000</v>
      </c>
      <c r="D202" s="49" t="str">
        <f t="shared" si="1"/>
        <v>C00390 : Ubiquinol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5">
      <c r="A203" s="45" t="s">
        <v>11353</v>
      </c>
      <c r="B203" s="45" t="s">
        <v>11354</v>
      </c>
      <c r="C203" s="48" t="str">
        <f>CONCATENATE(A203,":1000")</f>
        <v>C00392:1000</v>
      </c>
      <c r="D203" s="49" t="str">
        <f t="shared" si="1"/>
        <v>C00392 : Mannitol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5">
      <c r="A204" s="45" t="s">
        <v>11355</v>
      </c>
      <c r="B204" s="45" t="s">
        <v>11356</v>
      </c>
      <c r="C204" s="48" t="str">
        <f>CONCATENATE(A204,":1000")</f>
        <v>C00396:1000</v>
      </c>
      <c r="D204" s="49" t="str">
        <f t="shared" si="1"/>
        <v>C00396 : Pyrimidine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5">
      <c r="A205" s="45" t="s">
        <v>11357</v>
      </c>
      <c r="B205" s="45" t="s">
        <v>11358</v>
      </c>
      <c r="C205" s="48" t="str">
        <f>CONCATENATE(A205,":1000")</f>
        <v>C00399:1000</v>
      </c>
      <c r="D205" s="49" t="str">
        <f t="shared" si="1"/>
        <v>C00399 : Ubiquinone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5">
      <c r="A206" s="45" t="s">
        <v>11359</v>
      </c>
      <c r="B206" s="45" t="s">
        <v>11360</v>
      </c>
      <c r="C206" s="48" t="str">
        <f>CONCATENATE(A206,":1000")</f>
        <v>C00404:1000</v>
      </c>
      <c r="D206" s="49" t="str">
        <f t="shared" si="1"/>
        <v>C00404 : Polyphosphate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5">
      <c r="A207" s="45" t="s">
        <v>11361</v>
      </c>
      <c r="B207" s="45" t="s">
        <v>11362</v>
      </c>
      <c r="C207" s="46" t="str">
        <f t="shared" si="16"/>
        <v>C00407:1</v>
      </c>
      <c r="D207" s="47" t="str">
        <f t="shared" si="1"/>
        <v>C00407 : L-Isoleucine</v>
      </c>
      <c r="E207" s="15"/>
      <c r="F207" s="15"/>
      <c r="G207" s="15"/>
    </row>
    <row r="208" spans="1:26" ht="14.5">
      <c r="A208" s="45" t="s">
        <v>11363</v>
      </c>
      <c r="B208" s="45" t="s">
        <v>11364</v>
      </c>
      <c r="C208" s="46" t="str">
        <f t="shared" si="16"/>
        <v>C00415:1</v>
      </c>
      <c r="D208" s="47" t="str">
        <f t="shared" si="1"/>
        <v>C00415 : Dihydrofolate</v>
      </c>
      <c r="E208" s="15"/>
      <c r="F208" s="15"/>
      <c r="G208" s="15"/>
    </row>
    <row r="209" spans="1:26" ht="14.5">
      <c r="A209" s="45" t="s">
        <v>11365</v>
      </c>
      <c r="B209" s="45" t="s">
        <v>11366</v>
      </c>
      <c r="C209" s="46" t="str">
        <f t="shared" si="16"/>
        <v>C00416:1</v>
      </c>
      <c r="D209" s="47" t="str">
        <f t="shared" si="1"/>
        <v>C00416 : Phosphatidate</v>
      </c>
      <c r="E209" s="15"/>
      <c r="F209" s="15"/>
      <c r="G209" s="15"/>
    </row>
    <row r="210" spans="1:26" ht="14.5">
      <c r="A210" s="45" t="s">
        <v>11367</v>
      </c>
      <c r="B210" s="45" t="s">
        <v>11368</v>
      </c>
      <c r="C210" s="46" t="str">
        <f t="shared" si="16"/>
        <v>C00418:1</v>
      </c>
      <c r="D210" s="47" t="str">
        <f t="shared" si="1"/>
        <v>C00418 : ( R )-Mevalonate</v>
      </c>
      <c r="E210" s="15"/>
      <c r="F210" s="15"/>
      <c r="G210" s="15"/>
    </row>
    <row r="211" spans="1:26" ht="14.5">
      <c r="A211" s="45" t="s">
        <v>11369</v>
      </c>
      <c r="B211" s="45" t="s">
        <v>11370</v>
      </c>
      <c r="C211" s="46" t="str">
        <f t="shared" si="16"/>
        <v>C00438:1</v>
      </c>
      <c r="D211" s="47" t="str">
        <f t="shared" si="1"/>
        <v>C00438 : N-Carbamoyl-L-aspartate</v>
      </c>
      <c r="E211" s="15"/>
      <c r="F211" s="15"/>
      <c r="G211" s="15"/>
    </row>
    <row r="212" spans="1:26" ht="14.5">
      <c r="A212" s="45" t="s">
        <v>11371</v>
      </c>
      <c r="B212" s="45" t="s">
        <v>11372</v>
      </c>
      <c r="C212" s="48" t="str">
        <f t="shared" si="16"/>
        <v>C00440:1</v>
      </c>
      <c r="D212" s="49" t="str">
        <f t="shared" si="1"/>
        <v>C00440 : 5-Methyltetrahydrofolate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5">
      <c r="A213" s="45" t="s">
        <v>11373</v>
      </c>
      <c r="B213" s="45" t="s">
        <v>11374</v>
      </c>
      <c r="C213" s="46" t="str">
        <f t="shared" si="16"/>
        <v>C00441:1</v>
      </c>
      <c r="D213" s="47" t="str">
        <f t="shared" si="1"/>
        <v>C00441 : L-Aspartate 4-semialdehyde</v>
      </c>
      <c r="E213" s="15"/>
      <c r="F213" s="15"/>
      <c r="G213" s="15"/>
    </row>
    <row r="214" spans="1:26" ht="14.5">
      <c r="A214" s="45" t="s">
        <v>11375</v>
      </c>
      <c r="B214" s="45" t="s">
        <v>11376</v>
      </c>
      <c r="C214" s="46" t="str">
        <f t="shared" si="16"/>
        <v>C00445:1</v>
      </c>
      <c r="D214" s="47" t="str">
        <f t="shared" si="1"/>
        <v>C00445 : 5,10-Methenyltetrahydrofolate</v>
      </c>
      <c r="E214" s="15"/>
      <c r="F214" s="15"/>
      <c r="G214" s="15"/>
    </row>
    <row r="215" spans="1:26" ht="14.5">
      <c r="A215" s="45" t="s">
        <v>11377</v>
      </c>
      <c r="B215" s="45" t="s">
        <v>11378</v>
      </c>
      <c r="C215" s="46" t="str">
        <f t="shared" si="16"/>
        <v>C00446:1</v>
      </c>
      <c r="D215" s="47" t="str">
        <f t="shared" si="1"/>
        <v>C00446 : alpha-D-Galactose 1-phosphate</v>
      </c>
      <c r="E215" s="15"/>
      <c r="F215" s="15"/>
      <c r="G215" s="15"/>
    </row>
    <row r="216" spans="1:26" ht="14.5">
      <c r="A216" s="45" t="s">
        <v>11379</v>
      </c>
      <c r="B216" s="45" t="s">
        <v>11380</v>
      </c>
      <c r="C216" s="46" t="str">
        <f t="shared" si="16"/>
        <v>C00447:1</v>
      </c>
      <c r="D216" s="47" t="str">
        <f t="shared" si="1"/>
        <v>C00447 : Sedoheptulose 1,7-bisphosphate</v>
      </c>
      <c r="E216" s="15"/>
      <c r="F216" s="15"/>
      <c r="G216" s="15"/>
    </row>
    <row r="217" spans="1:26" ht="14.5">
      <c r="A217" s="45" t="s">
        <v>11381</v>
      </c>
      <c r="B217" s="45" t="s">
        <v>11382</v>
      </c>
      <c r="C217" s="46" t="str">
        <f t="shared" si="16"/>
        <v>C00454:1</v>
      </c>
      <c r="D217" s="47" t="str">
        <f t="shared" si="1"/>
        <v>C00454 : NDP</v>
      </c>
      <c r="E217" s="15"/>
      <c r="F217" s="15"/>
      <c r="G217" s="15"/>
    </row>
    <row r="218" spans="1:26" ht="14.5">
      <c r="A218" s="45" t="s">
        <v>11383</v>
      </c>
      <c r="B218" s="45" t="s">
        <v>11384</v>
      </c>
      <c r="C218" s="46" t="str">
        <f t="shared" si="16"/>
        <v>C00455:1</v>
      </c>
      <c r="D218" s="47" t="str">
        <f t="shared" si="1"/>
        <v>C00455 : Nicotinamide-D-ribonucleotide</v>
      </c>
      <c r="E218" s="15"/>
      <c r="F218" s="15"/>
      <c r="G218" s="15"/>
    </row>
    <row r="219" spans="1:26" ht="14.5">
      <c r="A219" s="45" t="s">
        <v>11385</v>
      </c>
      <c r="B219" s="45" t="s">
        <v>11386</v>
      </c>
      <c r="C219" s="46" t="str">
        <f t="shared" si="16"/>
        <v>C00458:1</v>
      </c>
      <c r="D219" s="47" t="str">
        <f t="shared" si="1"/>
        <v>C00458 : dCTP</v>
      </c>
      <c r="E219" s="15"/>
      <c r="F219" s="15"/>
      <c r="G219" s="15"/>
    </row>
    <row r="220" spans="1:26" ht="14.5">
      <c r="A220" s="45" t="s">
        <v>11387</v>
      </c>
      <c r="B220" s="45" t="s">
        <v>11388</v>
      </c>
      <c r="C220" s="46" t="str">
        <f t="shared" si="16"/>
        <v>C00459:1</v>
      </c>
      <c r="D220" s="47" t="str">
        <f t="shared" si="1"/>
        <v>C00459 : dTTP</v>
      </c>
      <c r="E220" s="15"/>
      <c r="F220" s="15"/>
      <c r="G220" s="15"/>
    </row>
    <row r="221" spans="1:26" ht="14.5">
      <c r="A221" s="45" t="s">
        <v>11389</v>
      </c>
      <c r="B221" s="45" t="s">
        <v>11390</v>
      </c>
      <c r="C221" s="46" t="str">
        <f t="shared" si="16"/>
        <v>C00460:1</v>
      </c>
      <c r="D221" s="47" t="str">
        <f t="shared" si="1"/>
        <v>C00460 : dUTP</v>
      </c>
      <c r="E221" s="15"/>
      <c r="F221" s="15"/>
      <c r="G221" s="15"/>
    </row>
    <row r="222" spans="1:26" ht="14.5">
      <c r="A222" s="45" t="s">
        <v>11391</v>
      </c>
      <c r="B222" s="45" t="s">
        <v>11392</v>
      </c>
      <c r="C222" s="48" t="str">
        <f>CONCATENATE(A222,":1000")</f>
        <v>C00463:1000</v>
      </c>
      <c r="D222" s="49" t="str">
        <f t="shared" si="1"/>
        <v>C00463 : Indole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5">
      <c r="A223" s="45" t="s">
        <v>11393</v>
      </c>
      <c r="B223" s="45" t="s">
        <v>11394</v>
      </c>
      <c r="C223" s="48" t="str">
        <f t="shared" si="16"/>
        <v>C00468:1</v>
      </c>
      <c r="D223" s="49" t="str">
        <f t="shared" si="1"/>
        <v>C00468 : Estrone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5">
      <c r="A224" s="45" t="s">
        <v>11395</v>
      </c>
      <c r="B224" s="45" t="s">
        <v>11396</v>
      </c>
      <c r="C224" s="46" t="str">
        <f t="shared" si="16"/>
        <v>C00469:1</v>
      </c>
      <c r="D224" s="47" t="str">
        <f t="shared" si="1"/>
        <v>C00469 : Ethanol</v>
      </c>
      <c r="E224" s="15"/>
      <c r="F224" s="15"/>
      <c r="G224" s="15"/>
    </row>
    <row r="225" spans="1:26" ht="14.5">
      <c r="A225" s="45" t="s">
        <v>11397</v>
      </c>
      <c r="B225" s="45" t="s">
        <v>11398</v>
      </c>
      <c r="C225" s="46" t="str">
        <f t="shared" si="16"/>
        <v>C00473:1</v>
      </c>
      <c r="D225" s="47" t="str">
        <f t="shared" si="1"/>
        <v>C00473 : Retinol</v>
      </c>
      <c r="E225" s="15"/>
      <c r="F225" s="15"/>
      <c r="G225" s="15"/>
    </row>
    <row r="226" spans="1:26" ht="14.5">
      <c r="A226" s="45" t="s">
        <v>11399</v>
      </c>
      <c r="B226" s="45" t="s">
        <v>11400</v>
      </c>
      <c r="C226" s="46" t="str">
        <f t="shared" si="16"/>
        <v>C00475:1</v>
      </c>
      <c r="D226" s="47" t="str">
        <f t="shared" si="1"/>
        <v>C00475 : Cytidine</v>
      </c>
      <c r="E226" s="15"/>
      <c r="F226" s="15"/>
      <c r="G226" s="15"/>
    </row>
    <row r="227" spans="1:26" ht="14.5">
      <c r="A227" s="45" t="s">
        <v>11401</v>
      </c>
      <c r="B227" s="45" t="s">
        <v>11402</v>
      </c>
      <c r="C227" s="48" t="str">
        <f t="shared" si="16"/>
        <v>C00491:1</v>
      </c>
      <c r="D227" s="49" t="str">
        <f t="shared" si="1"/>
        <v>C00491 : L-Cystine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5">
      <c r="A228" s="45" t="s">
        <v>11403</v>
      </c>
      <c r="B228" s="45" t="s">
        <v>11404</v>
      </c>
      <c r="C228" s="46" t="str">
        <f t="shared" si="16"/>
        <v>C00492:1</v>
      </c>
      <c r="D228" s="47" t="str">
        <f t="shared" si="1"/>
        <v>C00492 : Raffinose</v>
      </c>
      <c r="E228" s="15"/>
      <c r="F228" s="15"/>
      <c r="G228" s="15"/>
    </row>
    <row r="229" spans="1:26" ht="14.5">
      <c r="A229" s="45" t="s">
        <v>11405</v>
      </c>
      <c r="B229" s="45" t="s">
        <v>11406</v>
      </c>
      <c r="C229" s="48" t="str">
        <f t="shared" si="16"/>
        <v>C00493:1</v>
      </c>
      <c r="D229" s="49" t="str">
        <f t="shared" si="1"/>
        <v>C00493 : Shikimate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5">
      <c r="A230" s="45" t="s">
        <v>11407</v>
      </c>
      <c r="B230" s="45" t="s">
        <v>11408</v>
      </c>
      <c r="C230" s="46" t="str">
        <f t="shared" si="16"/>
        <v>C00498:1</v>
      </c>
      <c r="D230" s="47" t="str">
        <f t="shared" si="1"/>
        <v>C00498 : ADP-glucose</v>
      </c>
      <c r="E230" s="15"/>
      <c r="F230" s="15"/>
      <c r="G230" s="15"/>
    </row>
    <row r="231" spans="1:26" ht="14.5">
      <c r="A231" s="45" t="s">
        <v>11409</v>
      </c>
      <c r="B231" s="45" t="s">
        <v>11410</v>
      </c>
      <c r="C231" s="46" t="str">
        <f t="shared" si="16"/>
        <v>C00504:1</v>
      </c>
      <c r="D231" s="47" t="str">
        <f t="shared" si="1"/>
        <v>C00504 : Folate</v>
      </c>
      <c r="E231" s="15"/>
      <c r="F231" s="15"/>
      <c r="G231" s="15"/>
    </row>
    <row r="232" spans="1:26" ht="14.5">
      <c r="A232" s="45" t="s">
        <v>11411</v>
      </c>
      <c r="B232" s="45" t="s">
        <v>11412</v>
      </c>
      <c r="C232" s="48" t="str">
        <f>CONCATENATE(A232,":1000")</f>
        <v>C00511:1000</v>
      </c>
      <c r="D232" s="49" t="str">
        <f t="shared" si="1"/>
        <v>C00511 : Acrylic acid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5">
      <c r="A233" s="45" t="s">
        <v>11413</v>
      </c>
      <c r="B233" s="45" t="s">
        <v>11414</v>
      </c>
      <c r="C233" s="48" t="str">
        <f t="shared" si="16"/>
        <v>C00512:1</v>
      </c>
      <c r="D233" s="49" t="str">
        <f t="shared" si="1"/>
        <v>C00512 : Benzoyl-CoA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5">
      <c r="A234" s="45" t="s">
        <v>11415</v>
      </c>
      <c r="B234" s="45" t="s">
        <v>11416</v>
      </c>
      <c r="C234" s="46" t="str">
        <f t="shared" si="16"/>
        <v>C00526:1</v>
      </c>
      <c r="D234" s="47" t="str">
        <f t="shared" si="1"/>
        <v>C00526 : Deoxyuridine</v>
      </c>
      <c r="E234" s="15"/>
      <c r="F234" s="15"/>
      <c r="G234" s="15"/>
    </row>
    <row r="235" spans="1:26" ht="14.5">
      <c r="A235" s="45" t="s">
        <v>11417</v>
      </c>
      <c r="B235" s="45" t="s">
        <v>11418</v>
      </c>
      <c r="C235" s="48" t="str">
        <f t="shared" si="16"/>
        <v>C00527:1</v>
      </c>
      <c r="D235" s="49" t="str">
        <f t="shared" si="1"/>
        <v>C00527 : Glutaryl-CoA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5">
      <c r="A236" s="45" t="s">
        <v>11419</v>
      </c>
      <c r="B236" s="45" t="s">
        <v>11420</v>
      </c>
      <c r="C236" s="46" t="str">
        <f t="shared" si="16"/>
        <v>C00530:1</v>
      </c>
      <c r="D236" s="47" t="str">
        <f t="shared" si="1"/>
        <v>C00530 : Hydroquinone</v>
      </c>
      <c r="E236" s="15"/>
      <c r="F236" s="15"/>
      <c r="G236" s="15"/>
    </row>
    <row r="237" spans="1:26" ht="14.5">
      <c r="A237" s="45" t="s">
        <v>11421</v>
      </c>
      <c r="B237" s="45" t="s">
        <v>11422</v>
      </c>
      <c r="C237" s="46" t="str">
        <f t="shared" si="16"/>
        <v>C00534:1</v>
      </c>
      <c r="D237" s="47" t="str">
        <f t="shared" si="1"/>
        <v>C00534 : Pyridoxamine</v>
      </c>
      <c r="E237" s="15"/>
      <c r="F237" s="15"/>
      <c r="G237" s="15"/>
    </row>
    <row r="238" spans="1:26" ht="14.5">
      <c r="A238" s="45" t="s">
        <v>11423</v>
      </c>
      <c r="B238" s="45" t="s">
        <v>11424</v>
      </c>
      <c r="C238" s="48" t="str">
        <f>CONCATENATE(A238,":1000")</f>
        <v>C00536:1000</v>
      </c>
      <c r="D238" s="49" t="str">
        <f t="shared" si="1"/>
        <v>C00536 : Triphosphate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5">
      <c r="A239" s="45" t="s">
        <v>11425</v>
      </c>
      <c r="B239" s="45" t="s">
        <v>11426</v>
      </c>
      <c r="C239" s="48" t="str">
        <f t="shared" si="16"/>
        <v>C00541:1</v>
      </c>
      <c r="D239" s="49" t="str">
        <f t="shared" si="1"/>
        <v>C00541 : Cob(II)alamin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5">
      <c r="A240" s="45" t="s">
        <v>11427</v>
      </c>
      <c r="B240" s="45" t="s">
        <v>11428</v>
      </c>
      <c r="C240" s="46" t="str">
        <f t="shared" si="16"/>
        <v>C00559:1</v>
      </c>
      <c r="D240" s="47" t="str">
        <f t="shared" si="1"/>
        <v>C00559 : Deoxyadenosine</v>
      </c>
      <c r="E240" s="15"/>
      <c r="F240" s="15"/>
      <c r="G240" s="15"/>
    </row>
    <row r="241" spans="1:26" ht="14.5">
      <c r="A241" s="45" t="s">
        <v>11429</v>
      </c>
      <c r="B241" s="45" t="s">
        <v>11430</v>
      </c>
      <c r="C241" s="46" t="str">
        <f t="shared" si="16"/>
        <v>C00566:1</v>
      </c>
      <c r="D241" s="47" t="str">
        <f t="shared" si="1"/>
        <v>C00566 : (3S)-Citryl-CoA</v>
      </c>
      <c r="E241" s="15"/>
      <c r="F241" s="15"/>
      <c r="G241" s="15"/>
    </row>
    <row r="242" spans="1:26" ht="14.5">
      <c r="A242" s="45" t="s">
        <v>11431</v>
      </c>
      <c r="B242" s="45" t="s">
        <v>11432</v>
      </c>
      <c r="C242" s="46" t="str">
        <f t="shared" si="16"/>
        <v>C00576:1</v>
      </c>
      <c r="D242" s="47" t="str">
        <f t="shared" si="1"/>
        <v>C00576 : Betaine aldehyde</v>
      </c>
      <c r="E242" s="15"/>
      <c r="F242" s="15"/>
      <c r="G242" s="15"/>
    </row>
    <row r="243" spans="1:26" ht="14.5">
      <c r="A243" s="45" t="s">
        <v>11433</v>
      </c>
      <c r="B243" s="45" t="s">
        <v>11434</v>
      </c>
      <c r="C243" s="48" t="str">
        <f>CONCATENATE(A243,":1000")</f>
        <v>C00577:1000</v>
      </c>
      <c r="D243" s="49" t="str">
        <f t="shared" si="1"/>
        <v>C00577 : D-Glyceraldehyde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5">
      <c r="A244" s="45" t="s">
        <v>11435</v>
      </c>
      <c r="B244" s="45" t="s">
        <v>11436</v>
      </c>
      <c r="C244" s="48" t="str">
        <f t="shared" si="16"/>
        <v>C00579:1</v>
      </c>
      <c r="D244" s="49" t="str">
        <f t="shared" si="1"/>
        <v>C00579 : Dihydrolipoamide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5">
      <c r="A245" s="45" t="s">
        <v>11437</v>
      </c>
      <c r="B245" s="45" t="s">
        <v>11438</v>
      </c>
      <c r="C245" s="46" t="str">
        <f t="shared" si="16"/>
        <v>C00585:1</v>
      </c>
      <c r="D245" s="47" t="str">
        <f t="shared" si="1"/>
        <v>C00585 : Protein tyrosine</v>
      </c>
      <c r="E245" s="15"/>
      <c r="F245" s="15"/>
      <c r="G245" s="15"/>
    </row>
    <row r="246" spans="1:26" ht="14.5">
      <c r="A246" s="45" t="s">
        <v>11439</v>
      </c>
      <c r="B246" s="45" t="s">
        <v>11440</v>
      </c>
      <c r="C246" s="46" t="str">
        <f t="shared" si="16"/>
        <v>C00605:1</v>
      </c>
      <c r="D246" s="47" t="str">
        <f t="shared" si="1"/>
        <v>C00605 : 2,3-Dehydroacyl-CoA</v>
      </c>
      <c r="E246" s="15"/>
      <c r="F246" s="15"/>
      <c r="G246" s="15"/>
    </row>
    <row r="247" spans="1:26" ht="14.5">
      <c r="A247" s="45" t="s">
        <v>11441</v>
      </c>
      <c r="B247" s="45" t="s">
        <v>11442</v>
      </c>
      <c r="C247" s="46" t="str">
        <f t="shared" si="16"/>
        <v>C00606:1</v>
      </c>
      <c r="D247" s="47" t="str">
        <f t="shared" si="1"/>
        <v>C00606 : 3-Sulfino-L-alanine</v>
      </c>
      <c r="E247" s="15"/>
      <c r="F247" s="15"/>
      <c r="G247" s="15"/>
    </row>
    <row r="248" spans="1:26" ht="14.5">
      <c r="A248" s="45" t="s">
        <v>11443</v>
      </c>
      <c r="B248" s="45" t="s">
        <v>11444</v>
      </c>
      <c r="C248" s="46" t="str">
        <f t="shared" si="16"/>
        <v>C00615:1</v>
      </c>
      <c r="D248" s="47" t="str">
        <f t="shared" si="1"/>
        <v>C00615 : Protein histidine</v>
      </c>
      <c r="E248" s="15"/>
      <c r="F248" s="15"/>
      <c r="G248" s="15"/>
    </row>
    <row r="249" spans="1:26" ht="14.5">
      <c r="A249" s="45" t="s">
        <v>11445</v>
      </c>
      <c r="B249" s="45" t="s">
        <v>11446</v>
      </c>
      <c r="C249" s="48" t="str">
        <f>CONCATENATE(A249,":1000")</f>
        <v>C00620:1000</v>
      </c>
      <c r="D249" s="49" t="str">
        <f t="shared" si="1"/>
        <v>C00620 : alpha-D-Ribose 1-phosphate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5">
      <c r="A250" s="45" t="s">
        <v>11447</v>
      </c>
      <c r="B250" s="45" t="s">
        <v>11448</v>
      </c>
      <c r="C250" s="46" t="str">
        <f t="shared" si="16"/>
        <v>C00627:1</v>
      </c>
      <c r="D250" s="47" t="str">
        <f t="shared" si="1"/>
        <v>C00627 : Pyridoxine phosphate</v>
      </c>
      <c r="E250" s="15"/>
      <c r="F250" s="15"/>
      <c r="G250" s="15"/>
    </row>
    <row r="251" spans="1:26" ht="14.5">
      <c r="A251" s="45" t="s">
        <v>11449</v>
      </c>
      <c r="B251" s="45" t="s">
        <v>11450</v>
      </c>
      <c r="C251" s="46" t="str">
        <f t="shared" si="16"/>
        <v>C00631:1</v>
      </c>
      <c r="D251" s="47" t="str">
        <f t="shared" si="1"/>
        <v>C00631 : 2-Phospho-D-glycerate</v>
      </c>
      <c r="E251" s="15"/>
      <c r="F251" s="15"/>
      <c r="G251" s="15"/>
    </row>
    <row r="252" spans="1:26" ht="14.5">
      <c r="A252" s="45" t="s">
        <v>11451</v>
      </c>
      <c r="B252" s="45" t="s">
        <v>11452</v>
      </c>
      <c r="C252" s="48" t="str">
        <f t="shared" si="16"/>
        <v>C00641:1</v>
      </c>
      <c r="D252" s="49" t="str">
        <f t="shared" si="1"/>
        <v>C00641 : 1,2-Diacyl-sn-glycerol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5">
      <c r="A253" s="45" t="s">
        <v>11453</v>
      </c>
      <c r="B253" s="45" t="s">
        <v>11454</v>
      </c>
      <c r="C253" s="48" t="str">
        <f>CONCATENATE(A253,":1000")</f>
        <v>C00644:1000</v>
      </c>
      <c r="D253" s="49" t="str">
        <f t="shared" si="1"/>
        <v>C00644 : D-Mannitol 1-phosphate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5">
      <c r="A254" s="45" t="s">
        <v>11455</v>
      </c>
      <c r="B254" s="45" t="s">
        <v>11456</v>
      </c>
      <c r="C254" s="46" t="str">
        <f t="shared" si="16"/>
        <v>C00647:1</v>
      </c>
      <c r="D254" s="47" t="str">
        <f t="shared" si="1"/>
        <v>C00647 : Pyridoxamine phosphate</v>
      </c>
      <c r="E254" s="15"/>
      <c r="F254" s="15"/>
      <c r="G254" s="15"/>
    </row>
    <row r="255" spans="1:26" ht="14.5">
      <c r="A255" s="45" t="s">
        <v>11457</v>
      </c>
      <c r="B255" s="45" t="s">
        <v>11458</v>
      </c>
      <c r="C255" s="46" t="str">
        <f t="shared" si="16"/>
        <v>C00653:1</v>
      </c>
      <c r="D255" s="47" t="str">
        <f t="shared" si="1"/>
        <v>C00653 : Poly(ribitol phosphate)</v>
      </c>
      <c r="E255" s="15"/>
      <c r="F255" s="15"/>
      <c r="G255" s="15"/>
    </row>
    <row r="256" spans="1:26" ht="14.5">
      <c r="A256" s="45" t="s">
        <v>11459</v>
      </c>
      <c r="B256" s="45" t="s">
        <v>11460</v>
      </c>
      <c r="C256" s="46" t="str">
        <f t="shared" si="16"/>
        <v>C00655:1</v>
      </c>
      <c r="D256" s="47" t="str">
        <f t="shared" si="1"/>
        <v>C00655 : Xanthosine 5'-phosphate</v>
      </c>
      <c r="E256" s="15"/>
      <c r="F256" s="15"/>
      <c r="G256" s="15"/>
    </row>
    <row r="257" spans="1:26" ht="14.5">
      <c r="A257" s="45" t="s">
        <v>11461</v>
      </c>
      <c r="B257" s="45" t="s">
        <v>11462</v>
      </c>
      <c r="C257" s="46" t="str">
        <f t="shared" si="16"/>
        <v>C00663:1</v>
      </c>
      <c r="D257" s="47" t="str">
        <f t="shared" ref="D257:D511" si="17">CONCATENATE(A257," : ",B257)</f>
        <v>C00663 : beta-D-Glucose 1-phosphate</v>
      </c>
      <c r="E257" s="15"/>
      <c r="F257" s="15"/>
      <c r="G257" s="15"/>
    </row>
    <row r="258" spans="1:26" ht="14.5">
      <c r="A258" s="45" t="s">
        <v>11463</v>
      </c>
      <c r="B258" s="45" t="s">
        <v>11464</v>
      </c>
      <c r="C258" s="46" t="str">
        <f t="shared" si="16"/>
        <v>C00666:1</v>
      </c>
      <c r="D258" s="47" t="str">
        <f t="shared" si="17"/>
        <v>C00666 : LL-2,6-Diaminoheptanedioate</v>
      </c>
      <c r="E258" s="15"/>
      <c r="F258" s="15"/>
      <c r="G258" s="15"/>
    </row>
    <row r="259" spans="1:26" ht="14.5">
      <c r="A259" s="45" t="s">
        <v>11465</v>
      </c>
      <c r="B259" s="45" t="s">
        <v>11466</v>
      </c>
      <c r="C259" s="46" t="str">
        <f t="shared" si="16"/>
        <v>C00668:1</v>
      </c>
      <c r="D259" s="47" t="str">
        <f t="shared" si="17"/>
        <v>C00668 : alpha-D-Glucose 6-phosphate</v>
      </c>
      <c r="E259" s="15"/>
      <c r="F259" s="15"/>
      <c r="G259" s="15"/>
    </row>
    <row r="260" spans="1:26" ht="14.5">
      <c r="A260" s="45" t="s">
        <v>11467</v>
      </c>
      <c r="B260" s="45" t="s">
        <v>11468</v>
      </c>
      <c r="C260" s="46" t="str">
        <f t="shared" si="16"/>
        <v>C00671:1</v>
      </c>
      <c r="D260" s="47" t="str">
        <f t="shared" si="17"/>
        <v>C00671 : (S)-3-Methyl-2-oxopentanoic acid</v>
      </c>
      <c r="E260" s="15"/>
      <c r="F260" s="15"/>
      <c r="G260" s="15"/>
    </row>
    <row r="261" spans="1:26" ht="14.5">
      <c r="A261" s="45" t="s">
        <v>11469</v>
      </c>
      <c r="B261" s="45" t="s">
        <v>11470</v>
      </c>
      <c r="C261" s="48" t="str">
        <f>CONCATENATE(A261,":1000")</f>
        <v>C00672:1000</v>
      </c>
      <c r="D261" s="49" t="str">
        <f t="shared" si="17"/>
        <v>C00672 : 2-Deoxy-D-ribose 1-phosphate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5">
      <c r="A262" s="45" t="s">
        <v>11471</v>
      </c>
      <c r="B262" s="45" t="s">
        <v>11472</v>
      </c>
      <c r="C262" s="46" t="str">
        <f t="shared" si="16"/>
        <v>C00673:1</v>
      </c>
      <c r="D262" s="47" t="str">
        <f t="shared" si="17"/>
        <v>C00673 : 2-Deoxy-D-ribose 5-phosphate</v>
      </c>
      <c r="E262" s="15"/>
      <c r="F262" s="15"/>
      <c r="G262" s="15"/>
    </row>
    <row r="263" spans="1:26" ht="14.5">
      <c r="A263" s="45" t="s">
        <v>11473</v>
      </c>
      <c r="B263" s="45" t="s">
        <v>11474</v>
      </c>
      <c r="C263" s="46" t="str">
        <f t="shared" si="16"/>
        <v>C00677:1</v>
      </c>
      <c r="D263" s="47" t="str">
        <f t="shared" si="17"/>
        <v>C00677 : Deoxynucleoside triphosphate</v>
      </c>
      <c r="E263" s="15"/>
      <c r="F263" s="15"/>
      <c r="G263" s="15"/>
    </row>
    <row r="264" spans="1:26" ht="14.5">
      <c r="A264" s="45" t="s">
        <v>11475</v>
      </c>
      <c r="B264" s="45" t="s">
        <v>11476</v>
      </c>
      <c r="C264" s="46" t="str">
        <f t="shared" si="16"/>
        <v>C00680:1</v>
      </c>
      <c r="D264" s="47" t="str">
        <f t="shared" si="17"/>
        <v>C00680 : meso-2,6-Diaminoheptanedioate</v>
      </c>
      <c r="E264" s="15"/>
      <c r="F264" s="15"/>
      <c r="G264" s="15"/>
    </row>
    <row r="265" spans="1:26" ht="14.5">
      <c r="A265" s="45" t="s">
        <v>11477</v>
      </c>
      <c r="B265" s="45" t="s">
        <v>11478</v>
      </c>
      <c r="C265" s="46" t="str">
        <f t="shared" si="16"/>
        <v>C00681:1</v>
      </c>
      <c r="D265" s="47" t="str">
        <f t="shared" si="17"/>
        <v>C00681 : 1-Acyl-sn-glycerol 3-phosphate</v>
      </c>
      <c r="E265" s="15"/>
      <c r="F265" s="15"/>
      <c r="G265" s="15"/>
    </row>
    <row r="266" spans="1:26" ht="14.5">
      <c r="A266" s="45" t="s">
        <v>11479</v>
      </c>
      <c r="B266" s="45" t="s">
        <v>11480</v>
      </c>
      <c r="C266" s="48" t="str">
        <f t="shared" si="16"/>
        <v>C00685:1</v>
      </c>
      <c r="D266" s="49" t="str">
        <f t="shared" si="17"/>
        <v>C00685 : 3-Oxoacyl-[acyl-carrier protein]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5">
      <c r="A267" s="45" t="s">
        <v>11481</v>
      </c>
      <c r="B267" s="45" t="s">
        <v>11482</v>
      </c>
      <c r="C267" s="48" t="str">
        <f>CONCATENATE(A267,":1000")</f>
        <v>C00689:1000</v>
      </c>
      <c r="D267" s="49" t="str">
        <f t="shared" si="17"/>
        <v>C00689 : alpha,alpha'-Trehalose 6-phosphate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5">
      <c r="A268" s="45" t="s">
        <v>11483</v>
      </c>
      <c r="B268" s="45" t="s">
        <v>11484</v>
      </c>
      <c r="C268" s="48" t="str">
        <f t="shared" si="16"/>
        <v>C00691:1</v>
      </c>
      <c r="D268" s="49" t="str">
        <f t="shared" si="17"/>
        <v>C00691 : 2,4,6/3,5-Pentahydroxycyclohexanone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5">
      <c r="A269" s="45" t="s">
        <v>11485</v>
      </c>
      <c r="B269" s="45" t="s">
        <v>11486</v>
      </c>
      <c r="C269" s="46" t="str">
        <f t="shared" si="16"/>
        <v>C00692:1</v>
      </c>
      <c r="D269" s="47" t="str">
        <f t="shared" si="17"/>
        <v>C00692 : UDP-N-acetylmuramoyl-L-alanyl-D-glutamate</v>
      </c>
      <c r="E269" s="15"/>
      <c r="F269" s="15"/>
      <c r="G269" s="15"/>
    </row>
    <row r="270" spans="1:26" ht="14.5">
      <c r="A270" s="45" t="s">
        <v>11487</v>
      </c>
      <c r="B270" s="45" t="s">
        <v>11488</v>
      </c>
      <c r="C270" s="48" t="str">
        <f t="shared" si="16"/>
        <v>C00693:1</v>
      </c>
      <c r="D270" s="49" t="str">
        <f t="shared" si="17"/>
        <v>C00693 : trans-2,3-Dehydroacyl-[acyl-carrier protein]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5">
      <c r="A271" s="45" t="s">
        <v>11489</v>
      </c>
      <c r="B271" s="45" t="s">
        <v>11490</v>
      </c>
      <c r="C271" s="48" t="str">
        <f>CONCATENATE(A271,":1000")</f>
        <v>C00704:1000</v>
      </c>
      <c r="D271" s="49" t="str">
        <f t="shared" si="17"/>
        <v>C00704 : Superoxide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5">
      <c r="A272" s="45" t="s">
        <v>11491</v>
      </c>
      <c r="B272" s="45" t="s">
        <v>11492</v>
      </c>
      <c r="C272" s="46" t="str">
        <f t="shared" si="16"/>
        <v>C00705:1</v>
      </c>
      <c r="D272" s="47" t="str">
        <f t="shared" si="17"/>
        <v>C00705 : dCDP</v>
      </c>
      <c r="E272" s="15"/>
      <c r="F272" s="15"/>
      <c r="G272" s="15"/>
    </row>
    <row r="273" spans="1:26" ht="14.5">
      <c r="A273" s="45" t="s">
        <v>11493</v>
      </c>
      <c r="B273" s="45" t="s">
        <v>11494</v>
      </c>
      <c r="C273" s="46" t="str">
        <f t="shared" si="16"/>
        <v>C00712:1</v>
      </c>
      <c r="D273" s="47" t="str">
        <f t="shared" si="17"/>
        <v>C00712 : (9Z)-Octadecenoic acid</v>
      </c>
      <c r="E273" s="15"/>
      <c r="F273" s="15"/>
      <c r="G273" s="15"/>
    </row>
    <row r="274" spans="1:26" ht="14.5">
      <c r="A274" s="45" t="s">
        <v>11495</v>
      </c>
      <c r="B274" s="45" t="s">
        <v>11496</v>
      </c>
      <c r="C274" s="46" t="str">
        <f t="shared" si="16"/>
        <v>C00718:1</v>
      </c>
      <c r="D274" s="47" t="str">
        <f t="shared" si="17"/>
        <v>C00718 : Amylose</v>
      </c>
      <c r="E274" s="15"/>
      <c r="F274" s="15"/>
      <c r="G274" s="15"/>
    </row>
    <row r="275" spans="1:26" ht="14.5">
      <c r="A275" s="45" t="s">
        <v>11497</v>
      </c>
      <c r="B275" s="45" t="s">
        <v>11498</v>
      </c>
      <c r="C275" s="46" t="str">
        <f t="shared" si="16"/>
        <v>C00756:1</v>
      </c>
      <c r="D275" s="47" t="str">
        <f t="shared" si="17"/>
        <v>C00756 : 1-Octanol</v>
      </c>
      <c r="E275" s="15"/>
      <c r="F275" s="15"/>
      <c r="G275" s="15"/>
    </row>
    <row r="276" spans="1:26" ht="14.5">
      <c r="A276" s="45" t="s">
        <v>11499</v>
      </c>
      <c r="B276" s="45" t="s">
        <v>11500</v>
      </c>
      <c r="C276" s="46" t="str">
        <f t="shared" si="16"/>
        <v>C00772:1</v>
      </c>
      <c r="D276" s="47" t="str">
        <f t="shared" si="17"/>
        <v>C00772 : Mevaldate</v>
      </c>
      <c r="E276" s="15"/>
      <c r="F276" s="15"/>
      <c r="G276" s="15"/>
    </row>
    <row r="277" spans="1:26" ht="14.5">
      <c r="A277" s="45" t="s">
        <v>11501</v>
      </c>
      <c r="B277" s="45" t="s">
        <v>11502</v>
      </c>
      <c r="C277" s="46" t="str">
        <f t="shared" si="16"/>
        <v>C00787:1</v>
      </c>
      <c r="D277" s="47" t="str">
        <f t="shared" si="17"/>
        <v>C00787 : tRNA(Tyr)</v>
      </c>
      <c r="E277" s="15"/>
      <c r="F277" s="15"/>
      <c r="G277" s="15"/>
    </row>
    <row r="278" spans="1:26" ht="14.5">
      <c r="A278" s="45" t="s">
        <v>11503</v>
      </c>
      <c r="B278" s="45" t="s">
        <v>11504</v>
      </c>
      <c r="C278" s="48" t="str">
        <f>CONCATENATE(A278,":1000")</f>
        <v>C00794:1000</v>
      </c>
      <c r="D278" s="49" t="str">
        <f t="shared" si="17"/>
        <v>C00794 : D-Sorbitol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5">
      <c r="A279" s="45" t="s">
        <v>11505</v>
      </c>
      <c r="B279" s="45" t="s">
        <v>11506</v>
      </c>
      <c r="C279" s="48" t="str">
        <f>CONCATENATE(A279,":1000")</f>
        <v>C00810:1000</v>
      </c>
      <c r="D279" s="49" t="str">
        <f t="shared" si="17"/>
        <v>C00810 : (R)-Acetoin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5">
      <c r="A280" s="45" t="s">
        <v>11507</v>
      </c>
      <c r="B280" s="45" t="s">
        <v>11508</v>
      </c>
      <c r="C280" s="48" t="str">
        <f>CONCATENATE(A280,":1000")</f>
        <v>C00812:1000</v>
      </c>
      <c r="D280" s="49" t="str">
        <f t="shared" si="17"/>
        <v>C00812 : Alkyl thiol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5">
      <c r="A281" s="45" t="s">
        <v>11509</v>
      </c>
      <c r="B281" s="45" t="s">
        <v>11510</v>
      </c>
      <c r="C281" s="46" t="str">
        <f t="shared" si="16"/>
        <v>C00819:1</v>
      </c>
      <c r="D281" s="47" t="str">
        <f t="shared" si="17"/>
        <v>C00819 : D-Glutamine</v>
      </c>
      <c r="E281" s="15"/>
      <c r="F281" s="15"/>
      <c r="G281" s="15"/>
    </row>
    <row r="282" spans="1:26" ht="14.5">
      <c r="A282" s="45" t="s">
        <v>11511</v>
      </c>
      <c r="B282" s="45" t="s">
        <v>11512</v>
      </c>
      <c r="C282" s="48" t="str">
        <f t="shared" si="16"/>
        <v>C00821:1</v>
      </c>
      <c r="D282" s="49" t="str">
        <f t="shared" si="17"/>
        <v>C00821 : DNA adenine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5">
      <c r="A283" s="45" t="s">
        <v>11513</v>
      </c>
      <c r="B283" s="45" t="s">
        <v>11514</v>
      </c>
      <c r="C283" s="46" t="str">
        <f t="shared" si="16"/>
        <v>C00831:1</v>
      </c>
      <c r="D283" s="47" t="str">
        <f t="shared" si="17"/>
        <v>C00831 : Pantethiene</v>
      </c>
      <c r="E283" s="15"/>
      <c r="F283" s="15"/>
      <c r="G283" s="15"/>
    </row>
    <row r="284" spans="1:26" ht="14.5">
      <c r="A284" s="45" t="s">
        <v>11515</v>
      </c>
      <c r="B284" s="45" t="s">
        <v>11516</v>
      </c>
      <c r="C284" s="46" t="str">
        <f t="shared" si="16"/>
        <v>C00842:1</v>
      </c>
      <c r="D284" s="47" t="str">
        <f t="shared" si="17"/>
        <v>C00842 : dTDP-glucose</v>
      </c>
      <c r="E284" s="15"/>
      <c r="F284" s="15"/>
      <c r="G284" s="15"/>
    </row>
    <row r="285" spans="1:26" ht="14.5">
      <c r="A285" s="45" t="s">
        <v>11517</v>
      </c>
      <c r="B285" s="45" t="s">
        <v>11518</v>
      </c>
      <c r="C285" s="48" t="str">
        <f>CONCATENATE(A285,":1000")</f>
        <v>C00850:1000</v>
      </c>
      <c r="D285" s="49" t="str">
        <f t="shared" si="17"/>
        <v>C00850 : Aryl sulfate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5">
      <c r="A286" s="45" t="s">
        <v>11519</v>
      </c>
      <c r="B286" s="45" t="s">
        <v>11520</v>
      </c>
      <c r="C286" s="48" t="str">
        <f t="shared" si="16"/>
        <v>C00853:1</v>
      </c>
      <c r="D286" s="49" t="str">
        <f t="shared" si="17"/>
        <v>C00853 : Cob(I)alamin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5">
      <c r="A287" s="45" t="s">
        <v>11521</v>
      </c>
      <c r="B287" s="45" t="s">
        <v>11522</v>
      </c>
      <c r="C287" s="46" t="str">
        <f t="shared" si="16"/>
        <v>C00857:1</v>
      </c>
      <c r="D287" s="47" t="str">
        <f t="shared" si="17"/>
        <v>C00857 : Deamino-NAD+</v>
      </c>
      <c r="E287" s="15"/>
      <c r="F287" s="15"/>
      <c r="G287" s="15"/>
    </row>
    <row r="288" spans="1:26" ht="14.5">
      <c r="A288" s="45" t="s">
        <v>11523</v>
      </c>
      <c r="B288" s="45" t="s">
        <v>11524</v>
      </c>
      <c r="C288" s="48" t="str">
        <f>CONCATENATE(A288,":1000")</f>
        <v>C00860:1000</v>
      </c>
      <c r="D288" s="49" t="str">
        <f t="shared" si="17"/>
        <v>C00860 : L-Histidinol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5">
      <c r="A289" s="45" t="s">
        <v>11525</v>
      </c>
      <c r="B289" s="45" t="s">
        <v>11526</v>
      </c>
      <c r="C289" s="46" t="str">
        <f t="shared" si="16"/>
        <v>C00864:1</v>
      </c>
      <c r="D289" s="47" t="str">
        <f t="shared" si="17"/>
        <v>C00864 : Pantothenate</v>
      </c>
      <c r="E289" s="15"/>
      <c r="F289" s="15"/>
      <c r="G289" s="15"/>
    </row>
    <row r="290" spans="1:26" ht="14.5">
      <c r="A290" s="45" t="s">
        <v>11527</v>
      </c>
      <c r="B290" s="45" t="s">
        <v>11528</v>
      </c>
      <c r="C290" s="46" t="str">
        <f t="shared" si="16"/>
        <v>C00868:1</v>
      </c>
      <c r="D290" s="47" t="str">
        <f t="shared" si="17"/>
        <v>C00868 : tRNA uridine</v>
      </c>
      <c r="E290" s="15"/>
      <c r="F290" s="15"/>
      <c r="G290" s="15"/>
    </row>
    <row r="291" spans="1:26" ht="14.5">
      <c r="A291" s="45" t="s">
        <v>11529</v>
      </c>
      <c r="B291" s="45" t="s">
        <v>11530</v>
      </c>
      <c r="C291" s="46" t="str">
        <f t="shared" si="16"/>
        <v>C00881:1</v>
      </c>
      <c r="D291" s="47" t="str">
        <f t="shared" si="17"/>
        <v>C00881 : Deoxycytidine</v>
      </c>
      <c r="E291" s="15"/>
      <c r="F291" s="15"/>
      <c r="G291" s="15"/>
    </row>
    <row r="292" spans="1:26" ht="14.5">
      <c r="A292" s="45" t="s">
        <v>11531</v>
      </c>
      <c r="B292" s="45" t="s">
        <v>11532</v>
      </c>
      <c r="C292" s="46" t="str">
        <f t="shared" si="16"/>
        <v>C00882:1</v>
      </c>
      <c r="D292" s="47" t="str">
        <f t="shared" si="17"/>
        <v>C00882 : Dephospho-CoA</v>
      </c>
      <c r="E292" s="15"/>
      <c r="F292" s="15"/>
      <c r="G292" s="15"/>
    </row>
    <row r="293" spans="1:26" ht="14.5">
      <c r="A293" s="45" t="s">
        <v>11533</v>
      </c>
      <c r="B293" s="45" t="s">
        <v>11534</v>
      </c>
      <c r="C293" s="46" t="str">
        <f t="shared" si="16"/>
        <v>C00886:1</v>
      </c>
      <c r="D293" s="47" t="str">
        <f t="shared" si="17"/>
        <v>C00886 : L-Alanyl-tRNA</v>
      </c>
      <c r="E293" s="15"/>
      <c r="F293" s="15"/>
      <c r="G293" s="15"/>
    </row>
    <row r="294" spans="1:26" ht="14.5">
      <c r="A294" s="45" t="s">
        <v>11535</v>
      </c>
      <c r="B294" s="45" t="s">
        <v>11536</v>
      </c>
      <c r="C294" s="48" t="str">
        <f t="shared" si="16"/>
        <v>C00894:1</v>
      </c>
      <c r="D294" s="49" t="str">
        <f t="shared" si="17"/>
        <v>C00894 : Propenoyl-CoA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5">
      <c r="A295" s="45" t="s">
        <v>11537</v>
      </c>
      <c r="B295" s="45" t="s">
        <v>11538</v>
      </c>
      <c r="C295" s="48" t="str">
        <f>CONCATENATE(A295,":1000")</f>
        <v>C00900:1000</v>
      </c>
      <c r="D295" s="49" t="str">
        <f t="shared" si="17"/>
        <v>C00900 : 2-Acetolactate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5">
      <c r="A296" s="45" t="s">
        <v>11539</v>
      </c>
      <c r="B296" s="45" t="s">
        <v>11540</v>
      </c>
      <c r="C296" s="46" t="str">
        <f t="shared" si="16"/>
        <v>C00911:1</v>
      </c>
      <c r="D296" s="47" t="str">
        <f t="shared" si="17"/>
        <v>C00911 : Ribonucleoside</v>
      </c>
      <c r="E296" s="15"/>
      <c r="F296" s="15"/>
      <c r="G296" s="15"/>
    </row>
    <row r="297" spans="1:26" ht="14.5">
      <c r="A297" s="45" t="s">
        <v>11541</v>
      </c>
      <c r="B297" s="45" t="s">
        <v>11542</v>
      </c>
      <c r="C297" s="48" t="str">
        <f t="shared" si="16"/>
        <v>C00935:1</v>
      </c>
      <c r="D297" s="49" t="str">
        <f t="shared" si="17"/>
        <v>C00935 : UDP-L-arabinose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5">
      <c r="A298" s="45" t="s">
        <v>11543</v>
      </c>
      <c r="B298" s="45" t="s">
        <v>11544</v>
      </c>
      <c r="C298" s="48" t="str">
        <f t="shared" si="16"/>
        <v>C00954:1</v>
      </c>
      <c r="D298" s="49" t="str">
        <f t="shared" si="17"/>
        <v>C00954 : Indole-3-acetate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5">
      <c r="A299" s="45" t="s">
        <v>11545</v>
      </c>
      <c r="B299" s="45" t="s">
        <v>11546</v>
      </c>
      <c r="C299" s="46" t="str">
        <f t="shared" si="16"/>
        <v>C00957:1</v>
      </c>
      <c r="D299" s="47" t="str">
        <f t="shared" si="17"/>
        <v>C00957 : Mercaptopyruvate</v>
      </c>
      <c r="E299" s="15"/>
      <c r="F299" s="15"/>
      <c r="G299" s="15"/>
    </row>
    <row r="300" spans="1:26" ht="14.5">
      <c r="A300" s="45" t="s">
        <v>11547</v>
      </c>
      <c r="B300" s="45" t="s">
        <v>11548</v>
      </c>
      <c r="C300" s="48" t="str">
        <f>CONCATENATE(A300,":1000")</f>
        <v>C00962:1000</v>
      </c>
      <c r="D300" s="49" t="str">
        <f t="shared" si="17"/>
        <v>C00962 : beta-D-Galactose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5">
      <c r="A301" s="45" t="s">
        <v>11549</v>
      </c>
      <c r="B301" s="45" t="s">
        <v>11550</v>
      </c>
      <c r="C301" s="48" t="str">
        <f>CONCATENATE(A301,":1000")</f>
        <v>C00966:1000</v>
      </c>
      <c r="D301" s="49" t="str">
        <f t="shared" si="17"/>
        <v>C00966 : 2-Dehydropantoate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5">
      <c r="A302" s="45" t="s">
        <v>11551</v>
      </c>
      <c r="B302" s="45" t="s">
        <v>11552</v>
      </c>
      <c r="C302" s="46" t="str">
        <f t="shared" si="16"/>
        <v>C00979:1</v>
      </c>
      <c r="D302" s="47" t="str">
        <f t="shared" si="17"/>
        <v>C00979 : O-Acetyl-L-serine</v>
      </c>
      <c r="E302" s="15"/>
      <c r="F302" s="15"/>
      <c r="G302" s="15"/>
    </row>
    <row r="303" spans="1:26" ht="14.5">
      <c r="A303" s="45" t="s">
        <v>11553</v>
      </c>
      <c r="B303" s="45" t="s">
        <v>11554</v>
      </c>
      <c r="C303" s="46" t="str">
        <f t="shared" si="16"/>
        <v>C00984:1</v>
      </c>
      <c r="D303" s="47" t="str">
        <f t="shared" si="17"/>
        <v>C00984 : alpha-D-Galactose</v>
      </c>
      <c r="E303" s="15"/>
      <c r="F303" s="15"/>
      <c r="G303" s="15"/>
    </row>
    <row r="304" spans="1:26" ht="14.5">
      <c r="A304" s="45" t="s">
        <v>11555</v>
      </c>
      <c r="B304" s="45" t="s">
        <v>11556</v>
      </c>
      <c r="C304" s="46" t="str">
        <f t="shared" si="16"/>
        <v>C00993:1</v>
      </c>
      <c r="D304" s="47" t="str">
        <f t="shared" si="17"/>
        <v>C00993 : D-Alanyl-D-alanine</v>
      </c>
      <c r="E304" s="15"/>
      <c r="F304" s="15"/>
      <c r="G304" s="15"/>
    </row>
    <row r="305" spans="1:26" ht="14.5">
      <c r="A305" s="45" t="s">
        <v>11557</v>
      </c>
      <c r="B305" s="45" t="s">
        <v>11558</v>
      </c>
      <c r="C305" s="46" t="str">
        <f t="shared" si="16"/>
        <v>C01005:1</v>
      </c>
      <c r="D305" s="47" t="str">
        <f t="shared" si="17"/>
        <v>C01005 : O-Phospho-L-serine</v>
      </c>
      <c r="E305" s="15"/>
      <c r="F305" s="15"/>
      <c r="G305" s="15"/>
    </row>
    <row r="306" spans="1:26" ht="14.5">
      <c r="A306" s="45" t="s">
        <v>11559</v>
      </c>
      <c r="B306" s="45" t="s">
        <v>11560</v>
      </c>
      <c r="C306" s="48" t="str">
        <f>CONCATENATE(A306,":1000")</f>
        <v>C01035:1000</v>
      </c>
      <c r="D306" s="49" t="str">
        <f t="shared" si="17"/>
        <v>C01035 : 4-Guanidinobutanoate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5">
      <c r="A307" s="45" t="s">
        <v>11561</v>
      </c>
      <c r="B307" s="45" t="s">
        <v>11562</v>
      </c>
      <c r="C307" s="46" t="str">
        <f t="shared" si="16"/>
        <v>C01050:1</v>
      </c>
      <c r="D307" s="47" t="str">
        <f t="shared" si="17"/>
        <v>C01050 : UDP-N-acetylmuramate</v>
      </c>
      <c r="E307" s="15"/>
      <c r="F307" s="15"/>
      <c r="G307" s="15"/>
    </row>
    <row r="308" spans="1:26" ht="14.5">
      <c r="A308" s="45" t="s">
        <v>11563</v>
      </c>
      <c r="B308" s="45" t="s">
        <v>11564</v>
      </c>
      <c r="C308" s="48" t="str">
        <f t="shared" si="16"/>
        <v>C01081:1</v>
      </c>
      <c r="D308" s="49" t="str">
        <f t="shared" si="17"/>
        <v>C01081 : Thiamin monophosphate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5">
      <c r="A309" s="45" t="s">
        <v>11565</v>
      </c>
      <c r="B309" s="45" t="s">
        <v>11566</v>
      </c>
      <c r="C309" s="46" t="str">
        <f t="shared" si="16"/>
        <v>C01094:1</v>
      </c>
      <c r="D309" s="47" t="str">
        <f t="shared" si="17"/>
        <v>C01094 : D-Fructose 1-phosphate</v>
      </c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5">
      <c r="A310" s="45" t="s">
        <v>11567</v>
      </c>
      <c r="B310" s="45" t="s">
        <v>11568</v>
      </c>
      <c r="C310" s="46" t="str">
        <f t="shared" si="16"/>
        <v>C01097:1</v>
      </c>
      <c r="D310" s="47" t="str">
        <f t="shared" si="17"/>
        <v>C01097 : D-Tagatose 6-phosphate</v>
      </c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5">
      <c r="A311" s="45" t="s">
        <v>11569</v>
      </c>
      <c r="B311" s="45" t="s">
        <v>11570</v>
      </c>
      <c r="C311" s="48" t="str">
        <f>CONCATENATE(A311,":1000")</f>
        <v>C01100:1000</v>
      </c>
      <c r="D311" s="49" t="str">
        <f t="shared" si="17"/>
        <v>C01100 : L-Histidinol phosphate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5">
      <c r="A312" s="45" t="s">
        <v>11571</v>
      </c>
      <c r="B312" s="45" t="s">
        <v>11572</v>
      </c>
      <c r="C312" s="48" t="str">
        <f>CONCATENATE(A312,":1000")</f>
        <v>C01101:1000</v>
      </c>
      <c r="D312" s="49" t="str">
        <f t="shared" si="17"/>
        <v>C01101 : L-Ribulose 5-phosphate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5">
      <c r="A313" s="45" t="s">
        <v>11573</v>
      </c>
      <c r="B313" s="45" t="s">
        <v>11574</v>
      </c>
      <c r="C313" s="46" t="str">
        <f t="shared" si="16"/>
        <v>C01102:1</v>
      </c>
      <c r="D313" s="47" t="str">
        <f t="shared" si="17"/>
        <v>C01102 : O-Phospho-L-homoserine</v>
      </c>
      <c r="E313" s="15"/>
      <c r="F313" s="15"/>
      <c r="G313" s="15"/>
    </row>
    <row r="314" spans="1:26" ht="14.5">
      <c r="A314" s="45" t="s">
        <v>11575</v>
      </c>
      <c r="B314" s="45" t="s">
        <v>11576</v>
      </c>
      <c r="C314" s="46" t="str">
        <f t="shared" si="16"/>
        <v>C01103:1</v>
      </c>
      <c r="D314" s="47" t="str">
        <f t="shared" si="17"/>
        <v>C01103 : Orotidine 5'-phosphate</v>
      </c>
      <c r="E314" s="15"/>
      <c r="F314" s="15"/>
      <c r="G314" s="15"/>
    </row>
    <row r="315" spans="1:26" ht="14.5">
      <c r="A315" s="45" t="s">
        <v>11577</v>
      </c>
      <c r="B315" s="45" t="s">
        <v>11578</v>
      </c>
      <c r="C315" s="46" t="str">
        <f t="shared" si="16"/>
        <v>C01107:1</v>
      </c>
      <c r="D315" s="47" t="str">
        <f t="shared" si="17"/>
        <v>C01107 : (R)-5-Phosphomevalonate</v>
      </c>
      <c r="E315" s="15"/>
      <c r="F315" s="15"/>
      <c r="G315" s="15"/>
    </row>
    <row r="316" spans="1:26" ht="14.5">
      <c r="A316" s="45" t="s">
        <v>11579</v>
      </c>
      <c r="B316" s="45" t="s">
        <v>11580</v>
      </c>
      <c r="C316" s="46" t="str">
        <f t="shared" si="16"/>
        <v>C01134:1</v>
      </c>
      <c r="D316" s="47" t="str">
        <f t="shared" si="17"/>
        <v>C01134 : Pantetheine 4'-phosphate</v>
      </c>
      <c r="E316" s="15"/>
      <c r="F316" s="15"/>
      <c r="G316" s="15"/>
    </row>
    <row r="317" spans="1:26" ht="14.5">
      <c r="A317" s="45" t="s">
        <v>11581</v>
      </c>
      <c r="B317" s="45" t="s">
        <v>11582</v>
      </c>
      <c r="C317" s="46" t="str">
        <f t="shared" si="16"/>
        <v>C01143:1</v>
      </c>
      <c r="D317" s="47" t="str">
        <f t="shared" si="17"/>
        <v>C01143 : (R)-5-Diphosphomevalonate</v>
      </c>
      <c r="E317" s="15"/>
      <c r="F317" s="15"/>
      <c r="G317" s="15"/>
    </row>
    <row r="318" spans="1:26" ht="14.5">
      <c r="A318" s="45" t="s">
        <v>11583</v>
      </c>
      <c r="B318" s="45" t="s">
        <v>11584</v>
      </c>
      <c r="C318" s="48" t="str">
        <f t="shared" si="16"/>
        <v>C01157:1</v>
      </c>
      <c r="D318" s="49" t="str">
        <f t="shared" si="17"/>
        <v>C01157 : Hydroxyproline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5">
      <c r="A319" s="45" t="s">
        <v>11585</v>
      </c>
      <c r="B319" s="45" t="s">
        <v>11586</v>
      </c>
      <c r="C319" s="48" t="str">
        <f>CONCATENATE(A319,":1000")</f>
        <v>C01159:1000</v>
      </c>
      <c r="D319" s="49" t="str">
        <f t="shared" si="17"/>
        <v>C01159 : 2,3-Bisphospho-D-glycerate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5">
      <c r="A320" s="45" t="s">
        <v>11587</v>
      </c>
      <c r="B320" s="45" t="s">
        <v>11588</v>
      </c>
      <c r="C320" s="48" t="str">
        <f>CONCATENATE(A320,":1000")</f>
        <v>C01165:1000</v>
      </c>
      <c r="D320" s="49" t="str">
        <f t="shared" si="17"/>
        <v>C01165 : L-Glutamate 5-semialdehyde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5">
      <c r="A321" s="45" t="s">
        <v>11589</v>
      </c>
      <c r="B321" s="45" t="s">
        <v>11590</v>
      </c>
      <c r="C321" s="46" t="str">
        <f t="shared" si="16"/>
        <v>C01167:1</v>
      </c>
      <c r="D321" s="47" t="str">
        <f t="shared" si="17"/>
        <v>C01167 : Protein tyrosine phosphate</v>
      </c>
      <c r="E321" s="15"/>
      <c r="F321" s="15"/>
      <c r="G321" s="15"/>
    </row>
    <row r="322" spans="1:26" ht="14.5">
      <c r="A322" s="45" t="s">
        <v>11591</v>
      </c>
      <c r="B322" s="45" t="s">
        <v>11592</v>
      </c>
      <c r="C322" s="46" t="str">
        <f t="shared" si="16"/>
        <v>C01172:1</v>
      </c>
      <c r="D322" s="47" t="str">
        <f t="shared" si="17"/>
        <v>C01172 : beta-D-Glucose 6-phosphate</v>
      </c>
      <c r="E322" s="15"/>
      <c r="F322" s="15"/>
      <c r="G322" s="15"/>
    </row>
    <row r="323" spans="1:26" ht="14.5">
      <c r="A323" s="45" t="s">
        <v>11593</v>
      </c>
      <c r="B323" s="45" t="s">
        <v>11594</v>
      </c>
      <c r="C323" s="46" t="str">
        <f t="shared" si="16"/>
        <v>C01179:1</v>
      </c>
      <c r="D323" s="47" t="str">
        <f t="shared" si="17"/>
        <v>C01179 : 3-(4-Hydroxyphenyl)pyruvate</v>
      </c>
      <c r="E323" s="15"/>
      <c r="F323" s="15"/>
      <c r="G323" s="15"/>
    </row>
    <row r="324" spans="1:26" ht="14.5">
      <c r="A324" s="45" t="s">
        <v>11595</v>
      </c>
      <c r="B324" s="45" t="s">
        <v>11596</v>
      </c>
      <c r="C324" s="46" t="str">
        <f t="shared" si="16"/>
        <v>C01185:1</v>
      </c>
      <c r="D324" s="47" t="str">
        <f t="shared" si="17"/>
        <v>C01185 : Nicotinate D-ribonucleotide</v>
      </c>
      <c r="E324" s="15"/>
      <c r="F324" s="15"/>
      <c r="G324" s="15"/>
    </row>
    <row r="325" spans="1:26" ht="14.5">
      <c r="A325" s="45" t="s">
        <v>11597</v>
      </c>
      <c r="B325" s="45" t="s">
        <v>11598</v>
      </c>
      <c r="C325" s="48" t="str">
        <f t="shared" si="16"/>
        <v>C01190:1</v>
      </c>
      <c r="D325" s="49" t="str">
        <f t="shared" si="17"/>
        <v>C01190 : Glucosylceramide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5">
      <c r="A326" s="45" t="s">
        <v>11599</v>
      </c>
      <c r="B326" s="45" t="s">
        <v>11600</v>
      </c>
      <c r="C326" s="48" t="str">
        <f t="shared" si="16"/>
        <v>C01209:1</v>
      </c>
      <c r="D326" s="49" t="str">
        <f t="shared" si="17"/>
        <v>C01209 : Malonyl-[acyl-carrier protein]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5">
      <c r="A327" s="45" t="s">
        <v>11601</v>
      </c>
      <c r="B327" s="45" t="s">
        <v>11602</v>
      </c>
      <c r="C327" s="46" t="str">
        <f t="shared" si="16"/>
        <v>C01212:1</v>
      </c>
      <c r="D327" s="47" t="str">
        <f t="shared" si="17"/>
        <v>C01212 : UDP-N-acetylmuramoyl-L-alanine</v>
      </c>
      <c r="E327" s="15"/>
      <c r="F327" s="15"/>
      <c r="G327" s="15"/>
    </row>
    <row r="328" spans="1:26" ht="14.5">
      <c r="A328" s="45" t="s">
        <v>11603</v>
      </c>
      <c r="B328" s="45" t="s">
        <v>11604</v>
      </c>
      <c r="C328" s="46" t="str">
        <f t="shared" si="16"/>
        <v>C01217:1</v>
      </c>
      <c r="D328" s="47" t="str">
        <f t="shared" si="17"/>
        <v>C01217 : 5,6,7,8-Tetrahydromethanopterin</v>
      </c>
      <c r="E328" s="15"/>
      <c r="F328" s="15"/>
      <c r="G328" s="15"/>
    </row>
    <row r="329" spans="1:26" ht="14.5">
      <c r="A329" s="45" t="s">
        <v>11605</v>
      </c>
      <c r="B329" s="45" t="s">
        <v>11606</v>
      </c>
      <c r="C329" s="48" t="str">
        <f t="shared" si="16"/>
        <v>C01228:1</v>
      </c>
      <c r="D329" s="49" t="str">
        <f t="shared" si="17"/>
        <v>C01228 : Guanosine 3',5'-bis(diphosphate)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5">
      <c r="A330" s="45" t="s">
        <v>11607</v>
      </c>
      <c r="B330" s="45" t="s">
        <v>11608</v>
      </c>
      <c r="C330" s="48" t="str">
        <f t="shared" si="16"/>
        <v>C01235:1</v>
      </c>
      <c r="D330" s="49" t="str">
        <f t="shared" si="17"/>
        <v>C01235 : alpha-D-Galactosyl-(1-&gt;3)-1D-myo-inositol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5">
      <c r="A331" s="45" t="s">
        <v>11609</v>
      </c>
      <c r="B331" s="45" t="s">
        <v>11610</v>
      </c>
      <c r="C331" s="46" t="str">
        <f t="shared" si="16"/>
        <v>C01236:1</v>
      </c>
      <c r="D331" s="47" t="str">
        <f t="shared" si="17"/>
        <v>C01236 : D-Glucono-1,5-lactone 6-phosphate</v>
      </c>
      <c r="E331" s="15"/>
      <c r="F331" s="15"/>
      <c r="G331" s="15"/>
    </row>
    <row r="332" spans="1:26" ht="14.5">
      <c r="A332" s="45" t="s">
        <v>11611</v>
      </c>
      <c r="B332" s="45" t="s">
        <v>11612</v>
      </c>
      <c r="C332" s="46" t="str">
        <f t="shared" si="16"/>
        <v>C01260:1</v>
      </c>
      <c r="D332" s="47" t="str">
        <f t="shared" si="17"/>
        <v>C01260 : P1,P4-Bis(5'-adenosyl)tetraphosphate</v>
      </c>
      <c r="E332" s="15"/>
      <c r="F332" s="15"/>
      <c r="G332" s="15"/>
    </row>
    <row r="333" spans="1:26" ht="14.5">
      <c r="A333" s="45" t="s">
        <v>11613</v>
      </c>
      <c r="B333" s="45" t="s">
        <v>11614</v>
      </c>
      <c r="C333" s="48" t="str">
        <f>CONCATENATE(A333,":1000")</f>
        <v>C01267:1000</v>
      </c>
      <c r="D333" s="49" t="str">
        <f t="shared" si="17"/>
        <v>C01267 : 3-(Imidazol-4-yl)-2-oxopropyl phosphate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5">
      <c r="A334" s="45" t="s">
        <v>11615</v>
      </c>
      <c r="B334" s="45" t="s">
        <v>11616</v>
      </c>
      <c r="C334" s="48" t="str">
        <f t="shared" si="16"/>
        <v>C01271:1</v>
      </c>
      <c r="D334" s="49" t="str">
        <f t="shared" si="17"/>
        <v>C01271 : (3R)-3-Hydroxyacyl-[acyl-carrier protein]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5">
      <c r="A335" s="45" t="s">
        <v>11617</v>
      </c>
      <c r="B335" s="45" t="s">
        <v>11618</v>
      </c>
      <c r="C335" s="46" t="str">
        <f t="shared" si="16"/>
        <v>C01279:1</v>
      </c>
      <c r="D335" s="47" t="str">
        <f t="shared" si="17"/>
        <v>C01279 : 4-Amino-5-hydroxymethyl-2-methylpyrimidine</v>
      </c>
      <c r="E335" s="15"/>
      <c r="F335" s="15"/>
      <c r="G335" s="15"/>
    </row>
    <row r="336" spans="1:26" ht="14.5">
      <c r="A336" s="45" t="s">
        <v>11619</v>
      </c>
      <c r="B336" s="45" t="s">
        <v>11620</v>
      </c>
      <c r="C336" s="48" t="str">
        <f t="shared" si="16"/>
        <v>C01290:1</v>
      </c>
      <c r="D336" s="49" t="str">
        <f t="shared" si="17"/>
        <v>C01290 : Lactosylceramide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5">
      <c r="A337" s="45" t="s">
        <v>11621</v>
      </c>
      <c r="B337" s="45" t="s">
        <v>11622</v>
      </c>
      <c r="C337" s="48" t="str">
        <f t="shared" si="16"/>
        <v>C01302:1</v>
      </c>
      <c r="D337" s="49" t="str">
        <f t="shared" si="17"/>
        <v>C01302 : 1-(2-Carboxyphenylamino)-1-deoxy-D-ribulose 5-phosphate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5">
      <c r="A338" s="45" t="s">
        <v>11623</v>
      </c>
      <c r="B338" s="45" t="s">
        <v>11624</v>
      </c>
      <c r="C338" s="48" t="str">
        <f>CONCATENATE(A338,":1000")</f>
        <v>C01335:1000</v>
      </c>
      <c r="D338" s="49" t="str">
        <f t="shared" si="17"/>
        <v>C01335 : ROH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5">
      <c r="A339" s="45" t="s">
        <v>11625</v>
      </c>
      <c r="B339" s="45" t="s">
        <v>11626</v>
      </c>
      <c r="C339" s="48" t="str">
        <f>CONCATENATE(A339,":1000")</f>
        <v>C01336:1000</v>
      </c>
      <c r="D339" s="49" t="str">
        <f t="shared" si="17"/>
        <v>C01336 : Aryl thiol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5">
      <c r="A340" s="45" t="s">
        <v>11627</v>
      </c>
      <c r="B340" s="45" t="s">
        <v>11628</v>
      </c>
      <c r="C340" s="48" t="str">
        <f>CONCATENATE(A340,":1000")</f>
        <v>C01344:1000</v>
      </c>
      <c r="D340" s="49" t="str">
        <f t="shared" si="17"/>
        <v>C01344 : dIDP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5">
      <c r="A341" s="45" t="s">
        <v>11629</v>
      </c>
      <c r="B341" s="45" t="s">
        <v>11630</v>
      </c>
      <c r="C341" s="48" t="str">
        <f>CONCATENATE(A341,":1000")</f>
        <v>C01345:1000</v>
      </c>
      <c r="D341" s="49" t="str">
        <f t="shared" si="17"/>
        <v>C01345 : dITP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5">
      <c r="A342" s="45" t="s">
        <v>11631</v>
      </c>
      <c r="B342" s="45" t="s">
        <v>11632</v>
      </c>
      <c r="C342" s="46" t="str">
        <f t="shared" si="16"/>
        <v>C01346:1</v>
      </c>
      <c r="D342" s="47" t="str">
        <f t="shared" si="17"/>
        <v>C01346 : dUDP</v>
      </c>
      <c r="E342" s="15"/>
      <c r="F342" s="15"/>
      <c r="G342" s="15"/>
    </row>
    <row r="343" spans="1:26" ht="14.5">
      <c r="A343" s="45" t="s">
        <v>11617</v>
      </c>
      <c r="B343" s="45" t="s">
        <v>11618</v>
      </c>
      <c r="C343" s="46" t="str">
        <f t="shared" si="16"/>
        <v>C01279:1</v>
      </c>
      <c r="D343" s="47" t="str">
        <f t="shared" si="17"/>
        <v>C01279 : 4-Amino-5-hydroxymethyl-2-methylpyrimidine</v>
      </c>
      <c r="E343" s="15"/>
      <c r="F343" s="15"/>
      <c r="G343" s="15"/>
    </row>
    <row r="344" spans="1:26" ht="14.5">
      <c r="A344" s="45" t="s">
        <v>11631</v>
      </c>
      <c r="B344" s="45" t="s">
        <v>11632</v>
      </c>
      <c r="C344" s="46" t="str">
        <f t="shared" si="16"/>
        <v>C01346:1</v>
      </c>
      <c r="D344" s="47" t="str">
        <f t="shared" si="17"/>
        <v>C01346 : dUDP</v>
      </c>
      <c r="E344" s="15"/>
      <c r="F344" s="15"/>
      <c r="G344" s="15"/>
    </row>
    <row r="345" spans="1:26" ht="14.5">
      <c r="A345" s="45" t="s">
        <v>11633</v>
      </c>
      <c r="B345" s="45" t="s">
        <v>11634</v>
      </c>
      <c r="C345" s="46" t="str">
        <f t="shared" si="16"/>
        <v>C01412:1</v>
      </c>
      <c r="D345" s="47" t="str">
        <f t="shared" si="17"/>
        <v>C01412 : Butanal</v>
      </c>
      <c r="E345" s="15"/>
      <c r="F345" s="15"/>
      <c r="G345" s="15"/>
    </row>
    <row r="346" spans="1:26" ht="14.5">
      <c r="A346" s="45" t="s">
        <v>11635</v>
      </c>
      <c r="B346" s="45" t="s">
        <v>11636</v>
      </c>
      <c r="C346" s="46" t="str">
        <f t="shared" si="16"/>
        <v>C01450:1</v>
      </c>
      <c r="D346" s="47" t="str">
        <f t="shared" si="17"/>
        <v>C01450 : Ketone</v>
      </c>
      <c r="E346" s="15"/>
      <c r="F346" s="15"/>
      <c r="G346" s="15"/>
    </row>
    <row r="347" spans="1:26" ht="14.5">
      <c r="A347" s="45" t="s">
        <v>11637</v>
      </c>
      <c r="B347" s="45" t="s">
        <v>11638</v>
      </c>
      <c r="C347" s="46" t="str">
        <f t="shared" si="16"/>
        <v>C01528:1</v>
      </c>
      <c r="D347" s="47" t="str">
        <f t="shared" si="17"/>
        <v>C01528 : Hydrogen Selenide</v>
      </c>
      <c r="E347" s="15"/>
      <c r="F347" s="15"/>
      <c r="G347" s="15"/>
    </row>
    <row r="348" spans="1:26" ht="14.5">
      <c r="A348" s="45" t="s">
        <v>11639</v>
      </c>
      <c r="B348" s="45" t="s">
        <v>11640</v>
      </c>
      <c r="C348" s="46" t="str">
        <f t="shared" si="16"/>
        <v>C01545:1</v>
      </c>
      <c r="D348" s="47" t="str">
        <f t="shared" si="17"/>
        <v>C01545 : Octanal</v>
      </c>
      <c r="E348" s="15"/>
      <c r="F348" s="15"/>
      <c r="G348" s="15"/>
    </row>
    <row r="349" spans="1:26" ht="14.5">
      <c r="A349" s="45" t="s">
        <v>11641</v>
      </c>
      <c r="B349" s="45" t="s">
        <v>11642</v>
      </c>
      <c r="C349" s="46" t="str">
        <f t="shared" si="16"/>
        <v>C01563:1</v>
      </c>
      <c r="D349" s="47" t="str">
        <f t="shared" si="17"/>
        <v>C01563 : Carbamate</v>
      </c>
      <c r="E349" s="15"/>
      <c r="F349" s="15"/>
      <c r="G349" s="15"/>
    </row>
    <row r="350" spans="1:26" ht="14.5">
      <c r="A350" s="45" t="s">
        <v>11643</v>
      </c>
      <c r="B350" s="45" t="s">
        <v>11644</v>
      </c>
      <c r="C350" s="46" t="str">
        <f t="shared" si="16"/>
        <v>C01612:1</v>
      </c>
      <c r="D350" s="47" t="str">
        <f t="shared" si="17"/>
        <v>C01612 : Secondary alcohol</v>
      </c>
      <c r="E350" s="15"/>
      <c r="F350" s="15"/>
      <c r="G350" s="15"/>
    </row>
    <row r="351" spans="1:26" ht="14.5">
      <c r="A351" s="45" t="s">
        <v>11645</v>
      </c>
      <c r="B351" s="45" t="s">
        <v>11646</v>
      </c>
      <c r="C351" s="46" t="str">
        <f t="shared" si="16"/>
        <v>C01613:1</v>
      </c>
      <c r="D351" s="47" t="str">
        <f t="shared" si="17"/>
        <v>C01613 : Stachyose</v>
      </c>
      <c r="E351" s="15"/>
      <c r="F351" s="15"/>
      <c r="G351" s="15"/>
    </row>
    <row r="352" spans="1:26" ht="14.5">
      <c r="A352" s="45" t="s">
        <v>11647</v>
      </c>
      <c r="B352" s="45" t="s">
        <v>11648</v>
      </c>
      <c r="C352" s="46" t="str">
        <f t="shared" si="16"/>
        <v>C01635:1</v>
      </c>
      <c r="D352" s="47" t="str">
        <f t="shared" si="17"/>
        <v>C01635 : tRNA(Ala)</v>
      </c>
      <c r="E352" s="15"/>
      <c r="F352" s="15"/>
      <c r="G352" s="15"/>
    </row>
    <row r="353" spans="1:26" ht="14.5">
      <c r="A353" s="45" t="s">
        <v>11649</v>
      </c>
      <c r="B353" s="45" t="s">
        <v>11650</v>
      </c>
      <c r="C353" s="46" t="str">
        <f t="shared" si="16"/>
        <v>C01636:1</v>
      </c>
      <c r="D353" s="47" t="str">
        <f t="shared" si="17"/>
        <v>C01636 : tRNA(Arg)</v>
      </c>
      <c r="E353" s="15"/>
      <c r="F353" s="15"/>
      <c r="G353" s="15"/>
    </row>
    <row r="354" spans="1:26" ht="14.5">
      <c r="A354" s="45" t="s">
        <v>11651</v>
      </c>
      <c r="B354" s="45" t="s">
        <v>11652</v>
      </c>
      <c r="C354" s="48" t="str">
        <f t="shared" si="16"/>
        <v>C01637:1</v>
      </c>
      <c r="D354" s="49" t="str">
        <f t="shared" si="17"/>
        <v>C01637 : tRNA(Asn)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5">
      <c r="A355" s="45" t="s">
        <v>11653</v>
      </c>
      <c r="B355" s="45" t="s">
        <v>11654</v>
      </c>
      <c r="C355" s="46" t="str">
        <f t="shared" si="16"/>
        <v>C01638:1</v>
      </c>
      <c r="D355" s="47" t="str">
        <f t="shared" si="17"/>
        <v>C01638 : tRNA(Asp)</v>
      </c>
      <c r="E355" s="15"/>
      <c r="F355" s="15"/>
      <c r="G355" s="15"/>
    </row>
    <row r="356" spans="1:26" ht="14.5">
      <c r="A356" s="45" t="s">
        <v>11655</v>
      </c>
      <c r="B356" s="45" t="s">
        <v>11656</v>
      </c>
      <c r="C356" s="46" t="str">
        <f t="shared" si="16"/>
        <v>C01639:1</v>
      </c>
      <c r="D356" s="47" t="str">
        <f t="shared" si="17"/>
        <v>C01639 : tRNA(Cys)</v>
      </c>
      <c r="E356" s="15"/>
      <c r="F356" s="15"/>
      <c r="G356" s="15"/>
    </row>
    <row r="357" spans="1:26" ht="14.5">
      <c r="A357" s="45" t="s">
        <v>11657</v>
      </c>
      <c r="B357" s="45" t="s">
        <v>11658</v>
      </c>
      <c r="C357" s="46" t="str">
        <f t="shared" si="16"/>
        <v>C01641:1</v>
      </c>
      <c r="D357" s="47" t="str">
        <f t="shared" si="17"/>
        <v>C01641 : tRNA(Glu)</v>
      </c>
      <c r="E357" s="15"/>
      <c r="F357" s="15"/>
      <c r="G357" s="15"/>
    </row>
    <row r="358" spans="1:26" ht="14.5">
      <c r="A358" s="45" t="s">
        <v>11659</v>
      </c>
      <c r="B358" s="45" t="s">
        <v>11660</v>
      </c>
      <c r="C358" s="46" t="str">
        <f t="shared" si="16"/>
        <v>C01642:1</v>
      </c>
      <c r="D358" s="47" t="str">
        <f t="shared" si="17"/>
        <v>C01642 : tRNA(Gly)</v>
      </c>
      <c r="E358" s="15"/>
      <c r="F358" s="15"/>
      <c r="G358" s="15"/>
    </row>
    <row r="359" spans="1:26" ht="14.5">
      <c r="A359" s="52" t="s">
        <v>11661</v>
      </c>
      <c r="B359" s="52" t="s">
        <v>11662</v>
      </c>
      <c r="C359" s="48" t="str">
        <f t="shared" si="16"/>
        <v>C01643:1</v>
      </c>
      <c r="D359" s="49" t="str">
        <f t="shared" si="17"/>
        <v>C01643 : tRNA(His)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5">
      <c r="A360" s="45" t="s">
        <v>11663</v>
      </c>
      <c r="B360" s="45" t="s">
        <v>11664</v>
      </c>
      <c r="C360" s="46" t="str">
        <f t="shared" si="16"/>
        <v>C01644:1</v>
      </c>
      <c r="D360" s="47" t="str">
        <f t="shared" si="17"/>
        <v>C01644 : tRNA(Ile)</v>
      </c>
      <c r="E360" s="15"/>
      <c r="F360" s="15"/>
      <c r="G360" s="15"/>
    </row>
    <row r="361" spans="1:26" ht="14.5">
      <c r="A361" s="45" t="s">
        <v>11665</v>
      </c>
      <c r="B361" s="45" t="s">
        <v>11666</v>
      </c>
      <c r="C361" s="46" t="str">
        <f t="shared" si="16"/>
        <v>C01645:1</v>
      </c>
      <c r="D361" s="47" t="str">
        <f t="shared" si="17"/>
        <v>C01645 : tRNA(Leu)</v>
      </c>
      <c r="E361" s="15"/>
      <c r="F361" s="15"/>
      <c r="G361" s="15"/>
    </row>
    <row r="362" spans="1:26" ht="14.5">
      <c r="A362" s="45" t="s">
        <v>11667</v>
      </c>
      <c r="B362" s="45" t="s">
        <v>11668</v>
      </c>
      <c r="C362" s="46" t="str">
        <f t="shared" si="16"/>
        <v>C01646:1</v>
      </c>
      <c r="D362" s="47" t="str">
        <f t="shared" si="17"/>
        <v>C01646 : tRNA(Lys)</v>
      </c>
      <c r="E362" s="15"/>
      <c r="F362" s="15"/>
      <c r="G362" s="15"/>
    </row>
    <row r="363" spans="1:26" ht="14.5">
      <c r="A363" s="45" t="s">
        <v>11669</v>
      </c>
      <c r="B363" s="45" t="s">
        <v>11670</v>
      </c>
      <c r="C363" s="46" t="str">
        <f t="shared" si="16"/>
        <v>C01647:1</v>
      </c>
      <c r="D363" s="47" t="str">
        <f t="shared" si="17"/>
        <v>C01647 : tRNA(Met)</v>
      </c>
      <c r="E363" s="15"/>
      <c r="F363" s="15"/>
      <c r="G363" s="15"/>
    </row>
    <row r="364" spans="1:26" ht="14.5">
      <c r="A364" s="45" t="s">
        <v>11671</v>
      </c>
      <c r="B364" s="45" t="s">
        <v>11672</v>
      </c>
      <c r="C364" s="46" t="str">
        <f t="shared" si="16"/>
        <v>C01648:1</v>
      </c>
      <c r="D364" s="47" t="str">
        <f t="shared" si="17"/>
        <v>C01648 : tRNA(Phe)</v>
      </c>
      <c r="E364" s="15"/>
      <c r="F364" s="15"/>
      <c r="G364" s="15"/>
    </row>
    <row r="365" spans="1:26" ht="14.5">
      <c r="A365" s="45" t="s">
        <v>11673</v>
      </c>
      <c r="B365" s="45" t="s">
        <v>11674</v>
      </c>
      <c r="C365" s="46" t="str">
        <f t="shared" si="16"/>
        <v>C01649:1</v>
      </c>
      <c r="D365" s="47" t="str">
        <f t="shared" si="17"/>
        <v>C01649 : tRNA(Pro)</v>
      </c>
      <c r="E365" s="15"/>
      <c r="F365" s="15"/>
      <c r="G365" s="15"/>
    </row>
    <row r="366" spans="1:26" ht="14.5">
      <c r="A366" s="45" t="s">
        <v>11675</v>
      </c>
      <c r="B366" s="45" t="s">
        <v>11676</v>
      </c>
      <c r="C366" s="46" t="str">
        <f t="shared" si="16"/>
        <v>C01650:1</v>
      </c>
      <c r="D366" s="47" t="str">
        <f t="shared" si="17"/>
        <v>C01650 : tRNA(Ser)</v>
      </c>
      <c r="E366" s="15"/>
      <c r="F366" s="15"/>
      <c r="G366" s="15"/>
    </row>
    <row r="367" spans="1:26" ht="14.5">
      <c r="A367" s="45" t="s">
        <v>11677</v>
      </c>
      <c r="B367" s="45" t="s">
        <v>11678</v>
      </c>
      <c r="C367" s="46" t="str">
        <f t="shared" si="16"/>
        <v>C01651:1</v>
      </c>
      <c r="D367" s="47" t="str">
        <f t="shared" si="17"/>
        <v>C01651 : tRNA(Thr)</v>
      </c>
      <c r="E367" s="15"/>
      <c r="F367" s="15"/>
      <c r="G367" s="15"/>
    </row>
    <row r="368" spans="1:26" ht="14.5">
      <c r="A368" s="45" t="s">
        <v>11679</v>
      </c>
      <c r="B368" s="45" t="s">
        <v>11680</v>
      </c>
      <c r="C368" s="46" t="str">
        <f t="shared" si="16"/>
        <v>C01652:1</v>
      </c>
      <c r="D368" s="47" t="str">
        <f t="shared" si="17"/>
        <v>C01652 : tRNA(Trp)</v>
      </c>
      <c r="E368" s="15"/>
      <c r="F368" s="15"/>
      <c r="G368" s="15"/>
    </row>
    <row r="369" spans="1:26" ht="14.5">
      <c r="A369" s="45" t="s">
        <v>11681</v>
      </c>
      <c r="B369" s="45" t="s">
        <v>11682</v>
      </c>
      <c r="C369" s="46" t="str">
        <f t="shared" si="16"/>
        <v>C01653:1</v>
      </c>
      <c r="D369" s="47" t="str">
        <f t="shared" si="17"/>
        <v>C01653 : tRNA(Val)</v>
      </c>
      <c r="E369" s="15"/>
      <c r="F369" s="15"/>
      <c r="G369" s="15"/>
    </row>
    <row r="370" spans="1:26" ht="14.5">
      <c r="A370" s="52" t="s">
        <v>11683</v>
      </c>
      <c r="B370" s="52" t="s">
        <v>11684</v>
      </c>
      <c r="C370" s="48" t="str">
        <f>CONCATENATE(A370,":1000")</f>
        <v>C01659:1000</v>
      </c>
      <c r="D370" s="49" t="str">
        <f t="shared" si="17"/>
        <v>C01659 : Acrylamide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5">
      <c r="A371" s="45" t="s">
        <v>11685</v>
      </c>
      <c r="B371" s="45" t="s">
        <v>11686</v>
      </c>
      <c r="C371" s="46" t="str">
        <f t="shared" ref="C371:C620" si="18">CONCATENATE(A371,":1")</f>
        <v>C01762:1</v>
      </c>
      <c r="D371" s="47" t="str">
        <f t="shared" si="17"/>
        <v>C01762 : Xanthosine</v>
      </c>
      <c r="E371" s="15"/>
      <c r="F371" s="15"/>
      <c r="G371" s="15"/>
    </row>
    <row r="372" spans="1:26" ht="14.5">
      <c r="A372" s="45" t="s">
        <v>11687</v>
      </c>
      <c r="B372" s="45" t="s">
        <v>11688</v>
      </c>
      <c r="C372" s="46" t="str">
        <f t="shared" si="18"/>
        <v>C01801:1</v>
      </c>
      <c r="D372" s="47" t="str">
        <f t="shared" si="17"/>
        <v>C01801 : Deoxyribose</v>
      </c>
      <c r="E372" s="15"/>
      <c r="F372" s="15"/>
      <c r="G372" s="15"/>
    </row>
    <row r="373" spans="1:26" ht="14.5">
      <c r="A373" s="52" t="s">
        <v>11689</v>
      </c>
      <c r="B373" s="52" t="s">
        <v>11690</v>
      </c>
      <c r="C373" s="48" t="str">
        <f t="shared" si="18"/>
        <v>C01832:1</v>
      </c>
      <c r="D373" s="49" t="str">
        <f t="shared" si="17"/>
        <v>C01832 : Lauroyl-CoA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5">
      <c r="A374" s="52" t="s">
        <v>11691</v>
      </c>
      <c r="B374" s="52" t="s">
        <v>11692</v>
      </c>
      <c r="C374" s="48" t="str">
        <f>CONCATENATE(A374,":1000")</f>
        <v>C01929:1000</v>
      </c>
      <c r="D374" s="49" t="str">
        <f t="shared" si="17"/>
        <v>C01929 : L-Histidinal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5">
      <c r="A375" s="45" t="s">
        <v>11693</v>
      </c>
      <c r="B375" s="45" t="s">
        <v>11694</v>
      </c>
      <c r="C375" s="46" t="str">
        <f t="shared" si="18"/>
        <v>C01931:1</v>
      </c>
      <c r="D375" s="47" t="str">
        <f t="shared" si="17"/>
        <v>C01931 : L-Lysyl-tRNA</v>
      </c>
      <c r="E375" s="15"/>
      <c r="F375" s="15"/>
      <c r="G375" s="15"/>
    </row>
    <row r="376" spans="1:26" ht="14.5">
      <c r="A376" s="52" t="s">
        <v>11695</v>
      </c>
      <c r="B376" s="52" t="s">
        <v>11696</v>
      </c>
      <c r="C376" s="48" t="str">
        <f t="shared" si="18"/>
        <v>C01944:1</v>
      </c>
      <c r="D376" s="49" t="str">
        <f t="shared" si="17"/>
        <v>C01944 : Octanoyl-CoA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5">
      <c r="A377" s="52" t="s">
        <v>11697</v>
      </c>
      <c r="B377" s="52" t="s">
        <v>11698</v>
      </c>
      <c r="C377" s="48" t="str">
        <f>CONCATENATE(A377,":1000")</f>
        <v>C01962:1000</v>
      </c>
      <c r="D377" s="49" t="str">
        <f t="shared" si="17"/>
        <v>C01962 : Thiocysteine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5">
      <c r="A378" s="45" t="s">
        <v>11699</v>
      </c>
      <c r="B378" s="45" t="s">
        <v>11700</v>
      </c>
      <c r="C378" s="46" t="str">
        <f t="shared" si="18"/>
        <v>C01977:1</v>
      </c>
      <c r="D378" s="47" t="str">
        <f t="shared" si="17"/>
        <v>C01977 : tRNA guanine</v>
      </c>
      <c r="E378" s="15"/>
      <c r="F378" s="15"/>
      <c r="G378" s="15"/>
    </row>
    <row r="379" spans="1:26" ht="14.5">
      <c r="A379" s="52" t="s">
        <v>11701</v>
      </c>
      <c r="B379" s="52" t="s">
        <v>11702</v>
      </c>
      <c r="C379" s="48" t="str">
        <f t="shared" si="18"/>
        <v>C01978:1</v>
      </c>
      <c r="D379" s="49" t="str">
        <f t="shared" si="17"/>
        <v>C01978 : tRNA queuine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5">
      <c r="A380" s="45" t="s">
        <v>11703</v>
      </c>
      <c r="B380" s="45" t="s">
        <v>11704</v>
      </c>
      <c r="C380" s="46" t="str">
        <f t="shared" si="18"/>
        <v>C01997:1</v>
      </c>
      <c r="D380" s="47" t="str">
        <f t="shared" si="17"/>
        <v>C01997 : Histone N6-acetyl-L-lysine</v>
      </c>
      <c r="E380" s="15"/>
      <c r="F380" s="15"/>
      <c r="G380" s="15"/>
    </row>
    <row r="381" spans="1:26" ht="14.5">
      <c r="A381" s="45" t="s">
        <v>11705</v>
      </c>
      <c r="B381" s="45" t="s">
        <v>11706</v>
      </c>
      <c r="C381" s="46" t="str">
        <f t="shared" si="18"/>
        <v>C02047:1</v>
      </c>
      <c r="D381" s="47" t="str">
        <f t="shared" si="17"/>
        <v>C02047 : L-Leucyl-tRNA</v>
      </c>
      <c r="E381" s="15"/>
      <c r="F381" s="15"/>
      <c r="G381" s="15"/>
    </row>
    <row r="382" spans="1:26" ht="14.5">
      <c r="A382" s="52" t="s">
        <v>11707</v>
      </c>
      <c r="B382" s="52" t="s">
        <v>11708</v>
      </c>
      <c r="C382" s="48" t="str">
        <f t="shared" si="18"/>
        <v>C02051:1</v>
      </c>
      <c r="D382" s="49" t="str">
        <f t="shared" si="17"/>
        <v>C02051 : Lipoylprotein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5">
      <c r="A383" s="45" t="s">
        <v>11709</v>
      </c>
      <c r="B383" s="45" t="s">
        <v>11710</v>
      </c>
      <c r="C383" s="46" t="str">
        <f t="shared" si="18"/>
        <v>C02090:1</v>
      </c>
      <c r="D383" s="47" t="str">
        <f t="shared" si="17"/>
        <v>C02090 : Trypanothione</v>
      </c>
      <c r="E383" s="15"/>
      <c r="F383" s="15"/>
      <c r="G383" s="15"/>
    </row>
    <row r="384" spans="1:26" ht="14.5">
      <c r="A384" s="45" t="s">
        <v>11711</v>
      </c>
      <c r="B384" s="45" t="s">
        <v>11712</v>
      </c>
      <c r="C384" s="46" t="str">
        <f t="shared" si="18"/>
        <v>C02097:1</v>
      </c>
      <c r="D384" s="47" t="str">
        <f t="shared" si="17"/>
        <v>C02097 : dTDP-galactose</v>
      </c>
      <c r="E384" s="15"/>
      <c r="F384" s="15"/>
      <c r="G384" s="15"/>
    </row>
    <row r="385" spans="1:26" ht="14.5">
      <c r="A385" s="45" t="s">
        <v>11713</v>
      </c>
      <c r="B385" s="45" t="s">
        <v>11714</v>
      </c>
      <c r="C385" s="46" t="str">
        <f t="shared" si="18"/>
        <v>C02128:1</v>
      </c>
      <c r="D385" s="47" t="str">
        <f t="shared" si="17"/>
        <v>C02128 : 5'-Phospho-DNA</v>
      </c>
      <c r="E385" s="15"/>
      <c r="F385" s="15"/>
      <c r="G385" s="15"/>
    </row>
    <row r="386" spans="1:26" ht="14.5">
      <c r="A386" s="45" t="s">
        <v>11715</v>
      </c>
      <c r="B386" s="45" t="s">
        <v>11716</v>
      </c>
      <c r="C386" s="46" t="str">
        <f t="shared" si="18"/>
        <v>C02133:1</v>
      </c>
      <c r="D386" s="47" t="str">
        <f t="shared" si="17"/>
        <v>C02133 : Acyl phosphate</v>
      </c>
      <c r="E386" s="15"/>
      <c r="F386" s="15"/>
      <c r="G386" s="15"/>
    </row>
    <row r="387" spans="1:26" ht="14.5">
      <c r="A387" s="45" t="s">
        <v>11717</v>
      </c>
      <c r="B387" s="45" t="s">
        <v>11718</v>
      </c>
      <c r="C387" s="46" t="str">
        <f t="shared" si="18"/>
        <v>C02163:1</v>
      </c>
      <c r="D387" s="47" t="str">
        <f t="shared" si="17"/>
        <v>C02163 : L-Arginyl-tRNA(Arg)</v>
      </c>
      <c r="E387" s="15"/>
      <c r="F387" s="15"/>
      <c r="G387" s="15"/>
    </row>
    <row r="388" spans="1:26" ht="14.5">
      <c r="A388" s="45" t="s">
        <v>11719</v>
      </c>
      <c r="B388" s="45" t="s">
        <v>11720</v>
      </c>
      <c r="C388" s="46" t="str">
        <f t="shared" si="18"/>
        <v>C02188:1</v>
      </c>
      <c r="D388" s="47" t="str">
        <f t="shared" si="17"/>
        <v>C02188 : Protein lysine</v>
      </c>
      <c r="E388" s="15"/>
      <c r="F388" s="15"/>
      <c r="G388" s="15"/>
    </row>
    <row r="389" spans="1:26" ht="14.5">
      <c r="A389" s="45" t="s">
        <v>11721</v>
      </c>
      <c r="B389" s="45" t="s">
        <v>11722</v>
      </c>
      <c r="C389" s="46" t="str">
        <f t="shared" si="18"/>
        <v>C02211:1</v>
      </c>
      <c r="D389" s="47" t="str">
        <f t="shared" si="17"/>
        <v>C02211 : tRNA precursor</v>
      </c>
      <c r="E389" s="15"/>
      <c r="F389" s="15"/>
      <c r="G389" s="15"/>
    </row>
    <row r="390" spans="1:26" ht="14.5">
      <c r="A390" s="52" t="s">
        <v>11723</v>
      </c>
      <c r="B390" s="52" t="s">
        <v>11724</v>
      </c>
      <c r="C390" s="48" t="str">
        <f t="shared" si="18"/>
        <v>C02218:1</v>
      </c>
      <c r="D390" s="49" t="str">
        <f t="shared" si="17"/>
        <v>C02218 : Dehydroalanine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5">
      <c r="A391" s="52" t="s">
        <v>11725</v>
      </c>
      <c r="B391" s="52" t="s">
        <v>11726</v>
      </c>
      <c r="C391" s="48" t="str">
        <f t="shared" si="18"/>
        <v>C02232:1</v>
      </c>
      <c r="D391" s="49" t="str">
        <f t="shared" si="17"/>
        <v>C02232 : 3-Oxoadipyl-CoA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5">
      <c r="A392" s="52" t="s">
        <v>11727</v>
      </c>
      <c r="B392" s="52" t="s">
        <v>11728</v>
      </c>
      <c r="C392" s="48" t="str">
        <f>CONCATENATE(A392,":1000")</f>
        <v>C02291:1000</v>
      </c>
      <c r="D392" s="49" t="str">
        <f t="shared" si="17"/>
        <v>C02291 : L-Cystathionine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5">
      <c r="A393" s="45" t="s">
        <v>11729</v>
      </c>
      <c r="B393" s="45" t="s">
        <v>11730</v>
      </c>
      <c r="C393" s="46" t="str">
        <f t="shared" si="18"/>
        <v>C02323:1</v>
      </c>
      <c r="D393" s="47" t="str">
        <f t="shared" si="17"/>
        <v>C02323 : Salicyl alcohol</v>
      </c>
      <c r="E393" s="15"/>
      <c r="F393" s="15"/>
      <c r="G393" s="15"/>
    </row>
    <row r="394" spans="1:26" ht="14.5">
      <c r="A394" s="45" t="s">
        <v>11731</v>
      </c>
      <c r="B394" s="45" t="s">
        <v>11732</v>
      </c>
      <c r="C394" s="46" t="str">
        <f t="shared" si="18"/>
        <v>C02336:1</v>
      </c>
      <c r="D394" s="47" t="str">
        <f t="shared" si="17"/>
        <v>C02336 : beta-D-Fructose</v>
      </c>
      <c r="E394" s="15"/>
      <c r="F394" s="15"/>
      <c r="G394" s="15"/>
    </row>
    <row r="395" spans="1:26" ht="14.5">
      <c r="A395" s="45" t="s">
        <v>11733</v>
      </c>
      <c r="B395" s="53" t="s">
        <v>11734</v>
      </c>
      <c r="C395" s="46" t="str">
        <f t="shared" si="18"/>
        <v>C02342:1</v>
      </c>
      <c r="D395" s="47" t="str">
        <f t="shared" si="17"/>
        <v>C02342 : Activated' tRNA</v>
      </c>
      <c r="E395" s="15"/>
      <c r="F395" s="15"/>
      <c r="G395" s="15"/>
    </row>
    <row r="396" spans="1:26" ht="14.5">
      <c r="A396" s="45" t="s">
        <v>11735</v>
      </c>
      <c r="B396" s="45" t="s">
        <v>11736</v>
      </c>
      <c r="C396" s="46" t="str">
        <f t="shared" si="18"/>
        <v>C02356:1</v>
      </c>
      <c r="D396" s="47" t="str">
        <f t="shared" si="17"/>
        <v>C02356 : (S)-2-Aminobutanoate</v>
      </c>
      <c r="E396" s="15"/>
      <c r="F396" s="15"/>
      <c r="G396" s="15"/>
    </row>
    <row r="397" spans="1:26" ht="14.5">
      <c r="A397" s="45" t="s">
        <v>11737</v>
      </c>
      <c r="B397" s="45" t="s">
        <v>11738</v>
      </c>
      <c r="C397" s="46" t="str">
        <f t="shared" si="18"/>
        <v>C02412:1</v>
      </c>
      <c r="D397" s="47" t="str">
        <f t="shared" si="17"/>
        <v>C02412 : Glycyl-tRNA(Gly)</v>
      </c>
      <c r="E397" s="15"/>
      <c r="F397" s="15"/>
      <c r="G397" s="15"/>
    </row>
    <row r="398" spans="1:26" ht="14.5">
      <c r="A398" s="45" t="s">
        <v>11739</v>
      </c>
      <c r="B398" s="45" t="s">
        <v>11740</v>
      </c>
      <c r="C398" s="46" t="str">
        <f t="shared" si="18"/>
        <v>C02415:1</v>
      </c>
      <c r="D398" s="47" t="str">
        <f t="shared" si="17"/>
        <v>C02415 : Histone-L-lysine</v>
      </c>
      <c r="E398" s="15"/>
      <c r="F398" s="15"/>
      <c r="G398" s="15"/>
    </row>
    <row r="399" spans="1:26" ht="14.5">
      <c r="A399" s="45" t="s">
        <v>11741</v>
      </c>
      <c r="B399" s="45" t="s">
        <v>11742</v>
      </c>
      <c r="C399" s="46" t="str">
        <f t="shared" si="18"/>
        <v>C02430:1</v>
      </c>
      <c r="D399" s="47" t="str">
        <f t="shared" si="17"/>
        <v>C02430 : L-Methionyl-tRNA</v>
      </c>
      <c r="E399" s="15"/>
      <c r="F399" s="15"/>
      <c r="G399" s="15"/>
    </row>
    <row r="400" spans="1:26" ht="14.5">
      <c r="A400" s="45" t="s">
        <v>11743</v>
      </c>
      <c r="B400" s="45" t="s">
        <v>11744</v>
      </c>
      <c r="C400" s="46" t="str">
        <f t="shared" si="18"/>
        <v>C02501:1</v>
      </c>
      <c r="D400" s="47" t="str">
        <f t="shared" si="17"/>
        <v>C02501 : 2-Hydroxymuconate</v>
      </c>
      <c r="E400" s="15"/>
      <c r="F400" s="15"/>
      <c r="G400" s="15"/>
    </row>
    <row r="401" spans="1:26" ht="14.5">
      <c r="A401" s="52" t="s">
        <v>11745</v>
      </c>
      <c r="B401" s="52" t="s">
        <v>11746</v>
      </c>
      <c r="C401" s="48" t="str">
        <f>CONCATENATE(A401,":1000")</f>
        <v>C02505:1000</v>
      </c>
      <c r="D401" s="49" t="str">
        <f t="shared" si="17"/>
        <v>C02505 : 2-Phenylacetamide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5">
      <c r="A402" s="45" t="s">
        <v>11747</v>
      </c>
      <c r="B402" s="45" t="s">
        <v>11748</v>
      </c>
      <c r="C402" s="46" t="str">
        <f t="shared" si="18"/>
        <v>C02520:1</v>
      </c>
      <c r="D402" s="47" t="str">
        <f t="shared" si="17"/>
        <v>C02520 : 5'-Ribonucleotide</v>
      </c>
      <c r="E402" s="15"/>
      <c r="F402" s="15"/>
      <c r="G402" s="15"/>
    </row>
    <row r="403" spans="1:26" ht="14.5">
      <c r="A403" s="52" t="s">
        <v>11749</v>
      </c>
      <c r="B403" s="52" t="s">
        <v>11750</v>
      </c>
      <c r="C403" s="48" t="str">
        <f>CONCATENATE(A403,":1000")</f>
        <v>C02527:1000</v>
      </c>
      <c r="D403" s="49" t="str">
        <f t="shared" si="17"/>
        <v>C02527 : Butanoylphosphate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5">
      <c r="A404" s="52" t="s">
        <v>11751</v>
      </c>
      <c r="B404" s="52" t="s">
        <v>11752</v>
      </c>
      <c r="C404" s="48" t="str">
        <f t="shared" si="18"/>
        <v>C02538:1</v>
      </c>
      <c r="D404" s="49" t="str">
        <f t="shared" si="17"/>
        <v>C02538 : Estrone 3-sulfate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5">
      <c r="A405" s="45" t="s">
        <v>11753</v>
      </c>
      <c r="B405" s="45" t="s">
        <v>11754</v>
      </c>
      <c r="C405" s="46" t="str">
        <f t="shared" si="18"/>
        <v>C02553:1</v>
      </c>
      <c r="D405" s="47" t="str">
        <f t="shared" si="17"/>
        <v>C02553 : L-Seryl-tRNA(Ser)</v>
      </c>
      <c r="E405" s="15"/>
      <c r="F405" s="15"/>
      <c r="G405" s="15"/>
    </row>
    <row r="406" spans="1:26" ht="14.5">
      <c r="A406" s="45" t="s">
        <v>11755</v>
      </c>
      <c r="B406" s="45" t="s">
        <v>11756</v>
      </c>
      <c r="C406" s="46" t="str">
        <f t="shared" si="18"/>
        <v>C02554:1</v>
      </c>
      <c r="D406" s="47" t="str">
        <f t="shared" si="17"/>
        <v>C02554 : L-Valyl-tRNA(Val)</v>
      </c>
      <c r="E406" s="15"/>
      <c r="F406" s="15"/>
      <c r="G406" s="15"/>
    </row>
    <row r="407" spans="1:26" ht="14.5">
      <c r="A407" s="45" t="s">
        <v>11757</v>
      </c>
      <c r="B407" s="45" t="s">
        <v>11758</v>
      </c>
      <c r="C407" s="46" t="str">
        <f t="shared" si="18"/>
        <v>C02583:1</v>
      </c>
      <c r="D407" s="47" t="str">
        <f t="shared" si="17"/>
        <v>C02583 : Protein glutamine</v>
      </c>
      <c r="E407" s="15"/>
      <c r="F407" s="15"/>
      <c r="G407" s="15"/>
    </row>
    <row r="408" spans="1:26" ht="14.5">
      <c r="A408" s="52" t="s">
        <v>11759</v>
      </c>
      <c r="B408" s="52" t="s">
        <v>11760</v>
      </c>
      <c r="C408" s="48" t="str">
        <f t="shared" si="18"/>
        <v>C02593:1</v>
      </c>
      <c r="D408" s="49" t="str">
        <f t="shared" si="17"/>
        <v>C02593 : Tetradecanoyl-CoA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5">
      <c r="A409" s="52" t="s">
        <v>11761</v>
      </c>
      <c r="B409" s="52" t="s">
        <v>11762</v>
      </c>
      <c r="C409" s="48" t="str">
        <f t="shared" si="18"/>
        <v>C02637:1</v>
      </c>
      <c r="D409" s="49" t="str">
        <f t="shared" si="17"/>
        <v>C02637 : 3-Dehydroshikimate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5">
      <c r="A410" s="52" t="s">
        <v>11763</v>
      </c>
      <c r="B410" s="52" t="s">
        <v>11764</v>
      </c>
      <c r="C410" s="48" t="str">
        <f t="shared" si="18"/>
        <v>C02686:1</v>
      </c>
      <c r="D410" s="49" t="str">
        <f t="shared" si="17"/>
        <v>C02686 : Galactosylceramide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5">
      <c r="A411" s="52" t="s">
        <v>11765</v>
      </c>
      <c r="B411" s="52" t="s">
        <v>11766</v>
      </c>
      <c r="C411" s="48" t="str">
        <f t="shared" si="18"/>
        <v>C02693:1</v>
      </c>
      <c r="D411" s="49" t="str">
        <f t="shared" si="17"/>
        <v>C02693 : (Indol-3-yl)acetamide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5">
      <c r="A412" s="45" t="s">
        <v>11767</v>
      </c>
      <c r="B412" s="45" t="s">
        <v>11768</v>
      </c>
      <c r="C412" s="46" t="str">
        <f t="shared" si="18"/>
        <v>C02702:1</v>
      </c>
      <c r="D412" s="47" t="str">
        <f t="shared" si="17"/>
        <v>C02702 : L-Prolyl-tRNA(Pro)</v>
      </c>
      <c r="E412" s="15"/>
      <c r="F412" s="15"/>
      <c r="G412" s="15"/>
    </row>
    <row r="413" spans="1:26" ht="14.5">
      <c r="A413" s="52" t="s">
        <v>11769</v>
      </c>
      <c r="B413" s="52" t="s">
        <v>11770</v>
      </c>
      <c r="C413" s="48" t="str">
        <f t="shared" si="18"/>
        <v>C02713:1</v>
      </c>
      <c r="D413" s="49" t="str">
        <f t="shared" si="17"/>
        <v>C02713 : N-Acetylmuramate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5">
      <c r="A414" s="52" t="s">
        <v>11771</v>
      </c>
      <c r="B414" s="52" t="s">
        <v>11772</v>
      </c>
      <c r="C414" s="48" t="str">
        <f t="shared" si="18"/>
        <v>C02730:1</v>
      </c>
      <c r="D414" s="49" t="str">
        <f t="shared" si="17"/>
        <v>C02730 : 2-Succinylbenzoate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5">
      <c r="A415" s="52" t="s">
        <v>11773</v>
      </c>
      <c r="B415" s="52" t="s">
        <v>11774</v>
      </c>
      <c r="C415" s="48" t="str">
        <f t="shared" si="18"/>
        <v>C02739:1</v>
      </c>
      <c r="D415" s="49" t="str">
        <f t="shared" si="17"/>
        <v>C02739 : 1-(5-Phospho-D-ribosyl)-ATP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5">
      <c r="A416" s="52" t="s">
        <v>11775</v>
      </c>
      <c r="B416" s="52" t="s">
        <v>11776</v>
      </c>
      <c r="C416" s="48" t="str">
        <f t="shared" si="18"/>
        <v>C02741:1</v>
      </c>
      <c r="D416" s="49" t="str">
        <f t="shared" si="17"/>
        <v>C02741 : Phosphoribosyl-AMP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5">
      <c r="A417" s="45" t="s">
        <v>11777</v>
      </c>
      <c r="B417" s="45" t="s">
        <v>11778</v>
      </c>
      <c r="C417" s="46" t="str">
        <f t="shared" si="18"/>
        <v>C02743:1</v>
      </c>
      <c r="D417" s="47" t="str">
        <f t="shared" si="17"/>
        <v>C02743 : [Protein]-L-cysteine</v>
      </c>
      <c r="E417" s="15"/>
      <c r="F417" s="15"/>
      <c r="G417" s="15"/>
    </row>
    <row r="418" spans="1:26" ht="14.5">
      <c r="A418" s="52" t="s">
        <v>11779</v>
      </c>
      <c r="B418" s="52" t="s">
        <v>11780</v>
      </c>
      <c r="C418" s="48" t="str">
        <f t="shared" si="18"/>
        <v>C02749:1</v>
      </c>
      <c r="D418" s="49" t="str">
        <f t="shared" si="17"/>
        <v>C02749 : S-Alkyl-L-cysteine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5">
      <c r="A419" s="45" t="s">
        <v>11781</v>
      </c>
      <c r="B419" s="45" t="s">
        <v>11782</v>
      </c>
      <c r="C419" s="46" t="str">
        <f t="shared" si="18"/>
        <v>C02764:1</v>
      </c>
      <c r="D419" s="47" t="str">
        <f t="shared" si="17"/>
        <v>C02764 : tRNA pseudouridine</v>
      </c>
      <c r="E419" s="15"/>
      <c r="F419" s="15"/>
      <c r="G419" s="15"/>
    </row>
    <row r="420" spans="1:26" ht="14.5">
      <c r="A420" s="45" t="s">
        <v>11783</v>
      </c>
      <c r="B420" s="45" t="s">
        <v>11784</v>
      </c>
      <c r="C420" s="46" t="str">
        <f t="shared" si="18"/>
        <v>C02839:1</v>
      </c>
      <c r="D420" s="47" t="str">
        <f t="shared" si="17"/>
        <v>C02839 : L-Tyrosyl-tRNA(Tyr)</v>
      </c>
      <c r="E420" s="15"/>
      <c r="F420" s="15"/>
      <c r="G420" s="15"/>
    </row>
    <row r="421" spans="1:26" ht="14.5">
      <c r="A421" s="45" t="s">
        <v>11785</v>
      </c>
      <c r="B421" s="45" t="s">
        <v>11786</v>
      </c>
      <c r="C421" s="46" t="str">
        <f t="shared" si="18"/>
        <v>C02876:1</v>
      </c>
      <c r="D421" s="47" t="str">
        <f t="shared" si="17"/>
        <v>C02876 : Propanoyl phosphate</v>
      </c>
      <c r="E421" s="15"/>
      <c r="F421" s="15"/>
      <c r="G421" s="15"/>
    </row>
    <row r="422" spans="1:26" ht="14.5">
      <c r="A422" s="52" t="s">
        <v>11787</v>
      </c>
      <c r="B422" s="52" t="s">
        <v>11788</v>
      </c>
      <c r="C422" s="48" t="str">
        <f t="shared" si="18"/>
        <v>C02882:1</v>
      </c>
      <c r="D422" s="49" t="str">
        <f t="shared" si="17"/>
        <v>C02882 : L-Cysteine-S-conjugate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5">
      <c r="A423" s="45" t="s">
        <v>11789</v>
      </c>
      <c r="B423" s="45" t="s">
        <v>11790</v>
      </c>
      <c r="C423" s="46" t="str">
        <f t="shared" si="18"/>
        <v>C02909:1</v>
      </c>
      <c r="D423" s="47" t="str">
        <f t="shared" si="17"/>
        <v>C02909 : (2-Naphthyl)methanol</v>
      </c>
      <c r="E423" s="15"/>
      <c r="F423" s="15"/>
      <c r="G423" s="15"/>
    </row>
    <row r="424" spans="1:26" ht="14.5">
      <c r="A424" s="45" t="s">
        <v>11791</v>
      </c>
      <c r="B424" s="45" t="s">
        <v>11792</v>
      </c>
      <c r="C424" s="46" t="str">
        <f t="shared" si="18"/>
        <v>C02953:1</v>
      </c>
      <c r="D424" s="47" t="str">
        <f t="shared" si="17"/>
        <v>C02953 : 7,8-Dihydrobiopterin</v>
      </c>
      <c r="E424" s="15"/>
      <c r="F424" s="15"/>
      <c r="G424" s="15"/>
    </row>
    <row r="425" spans="1:26" ht="14.5">
      <c r="A425" s="45" t="s">
        <v>11793</v>
      </c>
      <c r="B425" s="45" t="s">
        <v>11794</v>
      </c>
      <c r="C425" s="46" t="str">
        <f t="shared" si="18"/>
        <v>C02962:1</v>
      </c>
      <c r="D425" s="47" t="str">
        <f t="shared" si="17"/>
        <v>C02962 : D-Allose 6-phosphate</v>
      </c>
      <c r="E425" s="15"/>
      <c r="F425" s="15"/>
      <c r="G425" s="15"/>
    </row>
    <row r="426" spans="1:26" ht="14.5">
      <c r="A426" s="52" t="s">
        <v>11795</v>
      </c>
      <c r="B426" s="52" t="s">
        <v>11796</v>
      </c>
      <c r="C426" s="48" t="str">
        <f t="shared" si="18"/>
        <v>C02972:1</v>
      </c>
      <c r="D426" s="49" t="str">
        <f t="shared" si="17"/>
        <v>C02972 : Dihydrolipoylprotein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5">
      <c r="A427" s="45" t="s">
        <v>11797</v>
      </c>
      <c r="B427" s="45" t="s">
        <v>11798</v>
      </c>
      <c r="C427" s="46" t="str">
        <f t="shared" si="18"/>
        <v>C02984:1</v>
      </c>
      <c r="D427" s="47" t="str">
        <f t="shared" si="17"/>
        <v>C02984 : L-Aspartyl-tRNA(Asp)</v>
      </c>
      <c r="E427" s="15"/>
      <c r="F427" s="15"/>
      <c r="G427" s="15"/>
    </row>
    <row r="428" spans="1:26" ht="14.5">
      <c r="A428" s="45" t="s">
        <v>11799</v>
      </c>
      <c r="B428" s="45" t="s">
        <v>11800</v>
      </c>
      <c r="C428" s="46" t="str">
        <f t="shared" si="18"/>
        <v>C02987:1</v>
      </c>
      <c r="D428" s="47" t="str">
        <f t="shared" si="17"/>
        <v>C02987 : L-Glutamyl-tRNA(Glu)</v>
      </c>
      <c r="E428" s="15"/>
      <c r="F428" s="15"/>
      <c r="G428" s="15"/>
    </row>
    <row r="429" spans="1:26" ht="14.5">
      <c r="A429" s="52" t="s">
        <v>11801</v>
      </c>
      <c r="B429" s="52" t="s">
        <v>11802</v>
      </c>
      <c r="C429" s="48" t="str">
        <f t="shared" si="18"/>
        <v>C02988:1</v>
      </c>
      <c r="D429" s="49" t="str">
        <f t="shared" si="17"/>
        <v>C02988 : L-Histidyl-tRNA(His)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5">
      <c r="A430" s="45" t="s">
        <v>11803</v>
      </c>
      <c r="B430" s="45" t="s">
        <v>11804</v>
      </c>
      <c r="C430" s="46" t="str">
        <f t="shared" si="18"/>
        <v>C02992:1</v>
      </c>
      <c r="D430" s="47" t="str">
        <f t="shared" si="17"/>
        <v>C02992 : L-Threonyl-tRNA(Thr)</v>
      </c>
      <c r="E430" s="15"/>
      <c r="F430" s="15"/>
      <c r="G430" s="15"/>
    </row>
    <row r="431" spans="1:26" ht="14.5">
      <c r="A431" s="52" t="s">
        <v>11805</v>
      </c>
      <c r="B431" s="52" t="s">
        <v>11806</v>
      </c>
      <c r="C431" s="48" t="str">
        <f t="shared" si="18"/>
        <v>C02999:1</v>
      </c>
      <c r="D431" s="49" t="str">
        <f t="shared" si="17"/>
        <v>C02999 : N-Acetylmuramoyl-Ala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5">
      <c r="A432" s="45" t="s">
        <v>11807</v>
      </c>
      <c r="B432" s="45" t="s">
        <v>11808</v>
      </c>
      <c r="C432" s="46" t="str">
        <f t="shared" si="18"/>
        <v>C03023:1</v>
      </c>
      <c r="D432" s="47" t="str">
        <f t="shared" si="17"/>
        <v>C03023 : Peptide-L-methionine</v>
      </c>
      <c r="E432" s="15"/>
      <c r="F432" s="15"/>
      <c r="G432" s="15"/>
    </row>
    <row r="433" spans="1:26" ht="14.5">
      <c r="A433" s="52" t="s">
        <v>11809</v>
      </c>
      <c r="B433" s="52" t="s">
        <v>11810</v>
      </c>
      <c r="C433" s="48" t="str">
        <f t="shared" si="18"/>
        <v>C03024:1</v>
      </c>
      <c r="D433" s="49" t="str">
        <f t="shared" si="17"/>
        <v>C03024 : Reduced flavoprotein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5">
      <c r="A434" s="45" t="s">
        <v>11811</v>
      </c>
      <c r="B434" s="45" t="s">
        <v>11812</v>
      </c>
      <c r="C434" s="46" t="str">
        <f t="shared" si="18"/>
        <v>C03028:1</v>
      </c>
      <c r="D434" s="47" t="str">
        <f t="shared" si="17"/>
        <v>C03028 : Thiamine Triphosphate</v>
      </c>
      <c r="E434" s="15"/>
      <c r="F434" s="15"/>
      <c r="G434" s="15"/>
    </row>
    <row r="435" spans="1:26" ht="14.5">
      <c r="A435" s="52" t="s">
        <v>11813</v>
      </c>
      <c r="B435" s="52" t="s">
        <v>11814</v>
      </c>
      <c r="C435" s="48" t="str">
        <f t="shared" si="18"/>
        <v>C03069:1</v>
      </c>
      <c r="D435" s="49" t="str">
        <f t="shared" si="17"/>
        <v>C03069 : 3-Methylcrotonyl-CoA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5">
      <c r="A436" s="52" t="s">
        <v>11815</v>
      </c>
      <c r="B436" s="52" t="s">
        <v>11816</v>
      </c>
      <c r="C436" s="48" t="str">
        <f>CONCATENATE(A436,":1000")</f>
        <v>C03078:1000</v>
      </c>
      <c r="D436" s="49" t="str">
        <f t="shared" si="17"/>
        <v>C03078 : 4-Guanidinobutanamide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5">
      <c r="A437" s="45" t="s">
        <v>11817</v>
      </c>
      <c r="B437" s="45" t="s">
        <v>11818</v>
      </c>
      <c r="C437" s="46" t="str">
        <f t="shared" si="18"/>
        <v>C03082:1</v>
      </c>
      <c r="D437" s="47" t="str">
        <f t="shared" si="17"/>
        <v>C03082 : 4-Phospho-L-aspartate</v>
      </c>
      <c r="E437" s="15"/>
      <c r="F437" s="15"/>
      <c r="G437" s="15"/>
    </row>
    <row r="438" spans="1:26" ht="14.5">
      <c r="A438" s="45" t="s">
        <v>11819</v>
      </c>
      <c r="B438" s="45" t="s">
        <v>11820</v>
      </c>
      <c r="C438" s="46" t="str">
        <f t="shared" si="18"/>
        <v>C03089:1</v>
      </c>
      <c r="D438" s="47" t="str">
        <f t="shared" si="17"/>
        <v>C03089 : 5-Methylthio-D-ribose</v>
      </c>
      <c r="E438" s="15"/>
      <c r="F438" s="15"/>
      <c r="G438" s="15"/>
    </row>
    <row r="439" spans="1:26" ht="14.5">
      <c r="A439" s="45" t="s">
        <v>11821</v>
      </c>
      <c r="B439" s="45" t="s">
        <v>11822</v>
      </c>
      <c r="C439" s="46" t="str">
        <f t="shared" si="18"/>
        <v>C03090:1</v>
      </c>
      <c r="D439" s="47" t="str">
        <f t="shared" si="17"/>
        <v>C03090 : 5-Phosphoribosylamine</v>
      </c>
      <c r="E439" s="15"/>
      <c r="F439" s="15"/>
      <c r="G439" s="15"/>
    </row>
    <row r="440" spans="1:26" ht="14.5">
      <c r="A440" s="45" t="s">
        <v>11823</v>
      </c>
      <c r="B440" s="45" t="s">
        <v>11824</v>
      </c>
      <c r="C440" s="46" t="str">
        <f t="shared" si="18"/>
        <v>C03125:1</v>
      </c>
      <c r="D440" s="47" t="str">
        <f t="shared" si="17"/>
        <v>C03125 : L-Cysteinyl-tRNA(Cys)</v>
      </c>
      <c r="E440" s="15"/>
      <c r="F440" s="15"/>
      <c r="G440" s="15"/>
    </row>
    <row r="441" spans="1:26" ht="14.5">
      <c r="A441" s="45" t="s">
        <v>11825</v>
      </c>
      <c r="B441" s="45" t="s">
        <v>11826</v>
      </c>
      <c r="C441" s="46" t="str">
        <f t="shared" si="18"/>
        <v>C03127:1</v>
      </c>
      <c r="D441" s="47" t="str">
        <f t="shared" si="17"/>
        <v>C03127 : L-Isoleucyl-tRNA(Ile)</v>
      </c>
      <c r="E441" s="15"/>
      <c r="F441" s="15"/>
      <c r="G441" s="15"/>
    </row>
    <row r="442" spans="1:26" ht="14.5">
      <c r="A442" s="45" t="s">
        <v>11827</v>
      </c>
      <c r="B442" s="45" t="s">
        <v>11828</v>
      </c>
      <c r="C442" s="46" t="str">
        <f t="shared" si="18"/>
        <v>C03150:1</v>
      </c>
      <c r="D442" s="47" t="str">
        <f t="shared" si="17"/>
        <v>C03150 : Nicotinamide-beta-riboside</v>
      </c>
      <c r="E442" s="15"/>
      <c r="F442" s="15"/>
      <c r="G442" s="15"/>
    </row>
    <row r="443" spans="1:26" ht="14.5">
      <c r="A443" s="52" t="s">
        <v>11829</v>
      </c>
      <c r="B443" s="52" t="s">
        <v>11830</v>
      </c>
      <c r="C443" s="48" t="str">
        <f t="shared" si="18"/>
        <v>C03161:1</v>
      </c>
      <c r="D443" s="49" t="str">
        <f t="shared" si="17"/>
        <v>C03161 : Oxidized flavoprotein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5">
      <c r="A444" s="52" t="s">
        <v>11831</v>
      </c>
      <c r="B444" s="52" t="s">
        <v>11832</v>
      </c>
      <c r="C444" s="48" t="str">
        <f>CONCATENATE(A444,":1000")</f>
        <v>C03169:1000</v>
      </c>
      <c r="D444" s="49" t="str">
        <f t="shared" si="17"/>
        <v>C03169 : Pyrimidine nucleoside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5">
      <c r="A445" s="45" t="s">
        <v>11833</v>
      </c>
      <c r="B445" s="45" t="s">
        <v>11834</v>
      </c>
      <c r="C445" s="46" t="str">
        <f t="shared" si="18"/>
        <v>C03170:1</v>
      </c>
      <c r="D445" s="47" t="str">
        <f t="shared" si="17"/>
        <v>C03170 : Trypanothione disulfide</v>
      </c>
      <c r="E445" s="15"/>
      <c r="F445" s="15"/>
      <c r="G445" s="15"/>
    </row>
    <row r="446" spans="1:26" ht="14.5">
      <c r="A446" s="45" t="s">
        <v>11835</v>
      </c>
      <c r="B446" s="45" t="s">
        <v>11836</v>
      </c>
      <c r="C446" s="46" t="str">
        <f t="shared" si="18"/>
        <v>C03195:1</v>
      </c>
      <c r="D446" s="47" t="str">
        <f t="shared" si="17"/>
        <v>C03195 : (R)-10-Hydroxystearate</v>
      </c>
      <c r="E446" s="15"/>
      <c r="F446" s="15"/>
      <c r="G446" s="15"/>
    </row>
    <row r="447" spans="1:26" ht="14.5">
      <c r="A447" s="52" t="s">
        <v>11837</v>
      </c>
      <c r="B447" s="52" t="s">
        <v>11838</v>
      </c>
      <c r="C447" s="48" t="str">
        <f>CONCATENATE(A447,":1000")</f>
        <v>C03287:1000</v>
      </c>
      <c r="D447" s="49" t="str">
        <f t="shared" si="17"/>
        <v>C03287 : L-Glutamyl 5-phosphate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5">
      <c r="A448" s="52" t="s">
        <v>11839</v>
      </c>
      <c r="B448" s="52" t="s">
        <v>11840</v>
      </c>
      <c r="C448" s="48" t="str">
        <f>CONCATENATE(A448,":1000")</f>
        <v>C03291:1000</v>
      </c>
      <c r="D448" s="49" t="str">
        <f t="shared" si="17"/>
        <v>C03291 : L-Xylulose 5-phosphate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5">
      <c r="A449" s="45" t="s">
        <v>11841</v>
      </c>
      <c r="B449" s="45" t="s">
        <v>11842</v>
      </c>
      <c r="C449" s="46" t="str">
        <f t="shared" si="18"/>
        <v>C03294:1</v>
      </c>
      <c r="D449" s="47" t="str">
        <f t="shared" si="17"/>
        <v>C03294 : N-Formylmethionyl-tRNA</v>
      </c>
      <c r="E449" s="15"/>
      <c r="F449" s="15"/>
      <c r="G449" s="15"/>
    </row>
    <row r="450" spans="1:26" ht="14.5">
      <c r="A450" s="52" t="s">
        <v>11843</v>
      </c>
      <c r="B450" s="52" t="s">
        <v>11844</v>
      </c>
      <c r="C450" s="48" t="str">
        <f t="shared" si="18"/>
        <v>C03344:1</v>
      </c>
      <c r="D450" s="49" t="str">
        <f t="shared" si="17"/>
        <v>C03344 : 2-Methylacetoacetyl-CoA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5">
      <c r="A451" s="45" t="s">
        <v>11845</v>
      </c>
      <c r="B451" s="45" t="s">
        <v>11846</v>
      </c>
      <c r="C451" s="46" t="str">
        <f t="shared" si="18"/>
        <v>C03356:1</v>
      </c>
      <c r="D451" s="47" t="str">
        <f t="shared" si="17"/>
        <v>C03356 : 3-Phospho-D-erythronate</v>
      </c>
      <c r="E451" s="15"/>
      <c r="F451" s="15"/>
      <c r="G451" s="15"/>
    </row>
    <row r="452" spans="1:26" ht="14.5">
      <c r="A452" s="45" t="s">
        <v>11847</v>
      </c>
      <c r="B452" s="45" t="s">
        <v>11848</v>
      </c>
      <c r="C452" s="46" t="str">
        <f t="shared" si="18"/>
        <v>C03373:1</v>
      </c>
      <c r="D452" s="47" t="str">
        <f t="shared" si="17"/>
        <v>C03373 : Aminoimidazole Ribotide</v>
      </c>
      <c r="E452" s="15"/>
      <c r="F452" s="15"/>
      <c r="G452" s="15"/>
    </row>
    <row r="453" spans="1:26" ht="14.5">
      <c r="A453" s="52" t="s">
        <v>11849</v>
      </c>
      <c r="B453" s="52" t="s">
        <v>11850</v>
      </c>
      <c r="C453" s="48" t="str">
        <f t="shared" si="18"/>
        <v>C03391:1</v>
      </c>
      <c r="D453" s="49" t="str">
        <f t="shared" si="17"/>
        <v>C03391 : DNA 6-methylaminopurine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5">
      <c r="A454" s="52" t="s">
        <v>11851</v>
      </c>
      <c r="B454" s="52" t="s">
        <v>11852</v>
      </c>
      <c r="C454" s="48" t="str">
        <f t="shared" si="18"/>
        <v>C03402:1</v>
      </c>
      <c r="D454" s="49" t="str">
        <f t="shared" si="17"/>
        <v>C03402 : L-Asparaginyl-tRNA(Asn)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5">
      <c r="A455" s="52" t="s">
        <v>11853</v>
      </c>
      <c r="B455" s="52" t="s">
        <v>11854</v>
      </c>
      <c r="C455" s="48" t="str">
        <f>CONCATENATE(A455,":1000")</f>
        <v>C03406:1000</v>
      </c>
      <c r="D455" s="49" t="str">
        <f t="shared" si="17"/>
        <v>C03406 : N-(L-Arginino)succinate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5">
      <c r="A456" s="45" t="s">
        <v>11855</v>
      </c>
      <c r="B456" s="45" t="s">
        <v>11856</v>
      </c>
      <c r="C456" s="46" t="str">
        <f t="shared" si="18"/>
        <v>C03453:1</v>
      </c>
      <c r="D456" s="47" t="str">
        <f t="shared" si="17"/>
        <v>C03453 : gamma-Oxalocrotonate</v>
      </c>
      <c r="E456" s="15"/>
      <c r="F456" s="15"/>
      <c r="G456" s="15"/>
    </row>
    <row r="457" spans="1:26" ht="14.5">
      <c r="A457" s="45" t="s">
        <v>11857</v>
      </c>
      <c r="B457" s="45" t="s">
        <v>11858</v>
      </c>
      <c r="C457" s="46" t="str">
        <f t="shared" si="18"/>
        <v>C03479:1</v>
      </c>
      <c r="D457" s="47" t="str">
        <f t="shared" si="17"/>
        <v>C03479 : Folinic Acid</v>
      </c>
      <c r="E457" s="15"/>
      <c r="F457" s="15"/>
      <c r="G457" s="15"/>
    </row>
    <row r="458" spans="1:26" ht="14.5">
      <c r="A458" s="45" t="s">
        <v>11859</v>
      </c>
      <c r="B458" s="45" t="s">
        <v>11860</v>
      </c>
      <c r="C458" s="46" t="str">
        <f t="shared" si="18"/>
        <v>C03492:1</v>
      </c>
      <c r="D458" s="47" t="str">
        <f t="shared" si="17"/>
        <v>C03492 : D-4'-Phosphopantothenate</v>
      </c>
      <c r="E458" s="15"/>
      <c r="F458" s="15"/>
      <c r="G458" s="15"/>
    </row>
    <row r="459" spans="1:26" ht="14.5">
      <c r="A459" s="52" t="s">
        <v>11861</v>
      </c>
      <c r="B459" s="52" t="s">
        <v>11862</v>
      </c>
      <c r="C459" s="48" t="str">
        <f t="shared" si="18"/>
        <v>C03506:1</v>
      </c>
      <c r="D459" s="49" t="str">
        <f t="shared" si="17"/>
        <v>C03506 : Indoleglycerol phosphate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5">
      <c r="A460" s="45" t="s">
        <v>11863</v>
      </c>
      <c r="B460" s="45" t="s">
        <v>11864</v>
      </c>
      <c r="C460" s="46" t="str">
        <f t="shared" si="18"/>
        <v>C03511:1</v>
      </c>
      <c r="D460" s="47" t="str">
        <f t="shared" si="17"/>
        <v>C03511 : L-Phenylalanyl-tRNA(Phe)</v>
      </c>
      <c r="E460" s="15"/>
      <c r="F460" s="15"/>
      <c r="G460" s="15"/>
    </row>
    <row r="461" spans="1:26" ht="14.5">
      <c r="A461" s="45" t="s">
        <v>11865</v>
      </c>
      <c r="B461" s="45" t="s">
        <v>11866</v>
      </c>
      <c r="C461" s="46" t="str">
        <f t="shared" si="18"/>
        <v>C03512:1</v>
      </c>
      <c r="D461" s="47" t="str">
        <f t="shared" si="17"/>
        <v>C03512 : L-Tryptophanyl-tRNA(Trp)</v>
      </c>
      <c r="E461" s="15"/>
      <c r="F461" s="15"/>
      <c r="G461" s="15"/>
    </row>
    <row r="462" spans="1:26" ht="14.5">
      <c r="A462" s="45" t="s">
        <v>11867</v>
      </c>
      <c r="B462" s="45" t="s">
        <v>11868</v>
      </c>
      <c r="C462" s="46" t="str">
        <f t="shared" si="18"/>
        <v>C03523:1</v>
      </c>
      <c r="D462" s="47" t="str">
        <f t="shared" si="17"/>
        <v>C03523 : N-Substituted amino acid</v>
      </c>
      <c r="E462" s="15"/>
      <c r="F462" s="15"/>
      <c r="G462" s="15"/>
    </row>
    <row r="463" spans="1:26" ht="14.5">
      <c r="A463" s="45" t="s">
        <v>11869</v>
      </c>
      <c r="B463" s="45" t="s">
        <v>11870</v>
      </c>
      <c r="C463" s="46" t="str">
        <f t="shared" si="18"/>
        <v>C03539:1</v>
      </c>
      <c r="D463" s="47" t="str">
        <f t="shared" si="17"/>
        <v>C03539 : S-Ribosyl-L-homocysteine</v>
      </c>
      <c r="E463" s="15"/>
      <c r="F463" s="15"/>
      <c r="G463" s="15"/>
    </row>
    <row r="464" spans="1:26" ht="14.5">
      <c r="A464" s="45" t="s">
        <v>11871</v>
      </c>
      <c r="B464" s="45" t="s">
        <v>11872</v>
      </c>
      <c r="C464" s="46" t="str">
        <f t="shared" si="18"/>
        <v>C03617:1</v>
      </c>
      <c r="D464" s="47" t="str">
        <f t="shared" si="17"/>
        <v>C03617 : L-Methionylaminoacyl-tRNA</v>
      </c>
      <c r="E464" s="15"/>
      <c r="F464" s="15"/>
      <c r="G464" s="15"/>
    </row>
    <row r="465" spans="1:26" ht="14.5">
      <c r="A465" s="52" t="s">
        <v>11873</v>
      </c>
      <c r="B465" s="52" t="s">
        <v>11874</v>
      </c>
      <c r="C465" s="48" t="str">
        <f>CONCATENATE(A465,":1000")</f>
        <v>C03620:1000</v>
      </c>
      <c r="D465" s="49" t="str">
        <f t="shared" si="17"/>
        <v>C03620 : Monocarboxylic acid amide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5">
      <c r="A466" s="45" t="s">
        <v>11875</v>
      </c>
      <c r="B466" s="45" t="s">
        <v>11876</v>
      </c>
      <c r="C466" s="46" t="str">
        <f t="shared" si="18"/>
        <v>C03633:1</v>
      </c>
      <c r="D466" s="47" t="str">
        <f t="shared" si="17"/>
        <v>C03633 : Peptidylproline (omega=0)</v>
      </c>
      <c r="E466" s="15"/>
      <c r="F466" s="15"/>
      <c r="G466" s="15"/>
    </row>
    <row r="467" spans="1:26" ht="14.5">
      <c r="A467" s="52" t="s">
        <v>11877</v>
      </c>
      <c r="B467" s="52" t="s">
        <v>11878</v>
      </c>
      <c r="C467" s="48" t="str">
        <f t="shared" si="18"/>
        <v>C03657:1</v>
      </c>
      <c r="D467" s="49" t="str">
        <f t="shared" si="17"/>
        <v>C03657 : 1,4-Dihydroxy-2-naphthoate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5">
      <c r="A468" s="45" t="s">
        <v>11879</v>
      </c>
      <c r="B468" s="45" t="s">
        <v>11880</v>
      </c>
      <c r="C468" s="46" t="str">
        <f t="shared" si="18"/>
        <v>C03688:1</v>
      </c>
      <c r="D468" s="47" t="str">
        <f t="shared" si="17"/>
        <v>C03688 : Apo-[acyl-carrier protein]</v>
      </c>
      <c r="E468" s="15"/>
      <c r="F468" s="15"/>
      <c r="G468" s="15"/>
    </row>
    <row r="469" spans="1:26" ht="14.5">
      <c r="A469" s="52" t="s">
        <v>11881</v>
      </c>
      <c r="B469" s="52" t="s">
        <v>11882</v>
      </c>
      <c r="C469" s="48" t="str">
        <f t="shared" si="18"/>
        <v>C03692:1</v>
      </c>
      <c r="D469" s="49" t="str">
        <f t="shared" si="17"/>
        <v>C03692 : 1,2-Diacyl-3-beta-D-galactosyl-sn-glycerol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5">
      <c r="A470" s="45" t="s">
        <v>11883</v>
      </c>
      <c r="B470" s="45" t="s">
        <v>11884</v>
      </c>
      <c r="C470" s="46" t="str">
        <f t="shared" si="18"/>
        <v>C03723:1</v>
      </c>
      <c r="D470" s="47" t="str">
        <f t="shared" si="17"/>
        <v>C03723 : Ribonucleoside diphosphate</v>
      </c>
      <c r="E470" s="15"/>
      <c r="F470" s="15"/>
      <c r="G470" s="15"/>
    </row>
    <row r="471" spans="1:26" ht="14.5">
      <c r="A471" s="52" t="s">
        <v>11885</v>
      </c>
      <c r="B471" s="52" t="s">
        <v>11886</v>
      </c>
      <c r="C471" s="48" t="str">
        <f t="shared" si="18"/>
        <v>C03733:1</v>
      </c>
      <c r="D471" s="49" t="str">
        <f t="shared" si="17"/>
        <v>C03733 : UDP-alpha-D-galactofuranose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5">
      <c r="A472" s="45" t="s">
        <v>11887</v>
      </c>
      <c r="B472" s="45" t="s">
        <v>11888</v>
      </c>
      <c r="C472" s="46" t="str">
        <f t="shared" si="18"/>
        <v>C03785:1</v>
      </c>
      <c r="D472" s="47" t="str">
        <f t="shared" si="17"/>
        <v>C03785 : D-Tagatose 1,6-bisphosphate</v>
      </c>
      <c r="E472" s="15"/>
      <c r="F472" s="15"/>
      <c r="G472" s="15"/>
    </row>
    <row r="473" spans="1:26" ht="14.5">
      <c r="A473" s="45" t="s">
        <v>11889</v>
      </c>
      <c r="B473" s="45" t="s">
        <v>11890</v>
      </c>
      <c r="C473" s="46" t="str">
        <f t="shared" si="18"/>
        <v>C03794:1</v>
      </c>
      <c r="D473" s="47" t="str">
        <f t="shared" si="17"/>
        <v>C03794 : N6-(1,2-Dicarboxyethyl)-AMP</v>
      </c>
      <c r="E473" s="15"/>
      <c r="F473" s="15"/>
      <c r="G473" s="15"/>
    </row>
    <row r="474" spans="1:26" ht="14.5">
      <c r="A474" s="45" t="s">
        <v>11891</v>
      </c>
      <c r="B474" s="45" t="s">
        <v>11892</v>
      </c>
      <c r="C474" s="46" t="str">
        <f t="shared" si="18"/>
        <v>C03798:1</v>
      </c>
      <c r="D474" s="47" t="str">
        <f t="shared" si="17"/>
        <v>C03798 : Peptidylproline (omega=180)</v>
      </c>
      <c r="E474" s="15"/>
      <c r="F474" s="15"/>
      <c r="G474" s="15"/>
    </row>
    <row r="475" spans="1:26" ht="14.5">
      <c r="A475" s="45" t="s">
        <v>11893</v>
      </c>
      <c r="B475" s="45" t="s">
        <v>11894</v>
      </c>
      <c r="C475" s="46" t="str">
        <f t="shared" si="18"/>
        <v>C03800:1</v>
      </c>
      <c r="D475" s="47" t="str">
        <f t="shared" si="17"/>
        <v>C03800 : Protein S-methyl-L-cysteine</v>
      </c>
      <c r="E475" s="15"/>
      <c r="F475" s="15"/>
      <c r="G475" s="15"/>
    </row>
    <row r="476" spans="1:26" ht="14.5">
      <c r="A476" s="45" t="s">
        <v>11895</v>
      </c>
      <c r="B476" s="45" t="s">
        <v>11896</v>
      </c>
      <c r="C476" s="46" t="str">
        <f t="shared" si="18"/>
        <v>C03802:1</v>
      </c>
      <c r="D476" s="47" t="str">
        <f t="shared" si="17"/>
        <v>C03802 : Ribonucleoside triphosphate</v>
      </c>
      <c r="E476" s="15"/>
      <c r="F476" s="15"/>
      <c r="G476" s="15"/>
    </row>
    <row r="477" spans="1:26" ht="14.5">
      <c r="A477" s="45" t="s">
        <v>11897</v>
      </c>
      <c r="B477" s="45" t="s">
        <v>11898</v>
      </c>
      <c r="C477" s="46" t="str">
        <f t="shared" si="18"/>
        <v>C03803:1</v>
      </c>
      <c r="D477" s="47" t="str">
        <f t="shared" si="17"/>
        <v>C03803 : Ribosomal-protein L-alanine</v>
      </c>
      <c r="E477" s="15"/>
      <c r="F477" s="15"/>
      <c r="G477" s="15"/>
    </row>
    <row r="478" spans="1:26" ht="14.5">
      <c r="A478" s="45" t="s">
        <v>11899</v>
      </c>
      <c r="B478" s="45" t="s">
        <v>11900</v>
      </c>
      <c r="C478" s="46" t="str">
        <f t="shared" si="18"/>
        <v>C03838:1</v>
      </c>
      <c r="D478" s="47" t="str">
        <f t="shared" si="17"/>
        <v>C03838 : 5'-Phosphoribosylglycinamide</v>
      </c>
      <c r="E478" s="15"/>
      <c r="F478" s="15"/>
      <c r="G478" s="15"/>
    </row>
    <row r="479" spans="1:26" ht="14.5">
      <c r="A479" s="45" t="s">
        <v>11901</v>
      </c>
      <c r="B479" s="45" t="s">
        <v>11902</v>
      </c>
      <c r="C479" s="46" t="str">
        <f t="shared" si="18"/>
        <v>C03880:1</v>
      </c>
      <c r="D479" s="47" t="str">
        <f t="shared" si="17"/>
        <v>C03880 : N-Substituted aminoacyl-tRNA</v>
      </c>
      <c r="E479" s="15"/>
      <c r="F479" s="15"/>
      <c r="G479" s="15"/>
    </row>
    <row r="480" spans="1:26" ht="14.5">
      <c r="A480" s="45" t="s">
        <v>11903</v>
      </c>
      <c r="B480" s="45" t="s">
        <v>11904</v>
      </c>
      <c r="C480" s="46" t="str">
        <f t="shared" si="18"/>
        <v>C03892:1</v>
      </c>
      <c r="D480" s="47" t="str">
        <f t="shared" si="17"/>
        <v>C03892 : Phosphatidylglycerophosphate</v>
      </c>
      <c r="E480" s="15"/>
      <c r="F480" s="15"/>
      <c r="G480" s="15"/>
    </row>
    <row r="481" spans="1:26" ht="14.5">
      <c r="A481" s="45" t="s">
        <v>11905</v>
      </c>
      <c r="B481" s="45" t="s">
        <v>11906</v>
      </c>
      <c r="C481" s="46" t="str">
        <f t="shared" si="18"/>
        <v>C03895:1</v>
      </c>
      <c r="D481" s="47" t="str">
        <f t="shared" si="17"/>
        <v>C03895 : Peptide-L-methionine (S)-S-oxide</v>
      </c>
      <c r="E481" s="15"/>
      <c r="F481" s="15"/>
      <c r="G481" s="15"/>
    </row>
    <row r="482" spans="1:26" ht="14.5">
      <c r="A482" s="52" t="s">
        <v>11907</v>
      </c>
      <c r="B482" s="52" t="s">
        <v>11908</v>
      </c>
      <c r="C482" s="48" t="str">
        <f>CONCATENATE(A482,":1000")</f>
        <v>C03912:1000</v>
      </c>
      <c r="D482" s="49" t="str">
        <f t="shared" si="17"/>
        <v>C03912 : (S)-1-Pyrroline-5-carboxylate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5">
      <c r="A483" s="52" t="s">
        <v>11909</v>
      </c>
      <c r="B483" s="52" t="s">
        <v>11910</v>
      </c>
      <c r="C483" s="48" t="str">
        <f>CONCATENATE(A483,":1")</f>
        <v>C03939:1</v>
      </c>
      <c r="D483" s="49" t="str">
        <f t="shared" si="17"/>
        <v>C03939 : Acetyl-[acyl-carrier protein]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5">
      <c r="A484" s="45" t="s">
        <v>11911</v>
      </c>
      <c r="B484" s="45" t="s">
        <v>11912</v>
      </c>
      <c r="C484" s="46" t="str">
        <f t="shared" si="18"/>
        <v>C03972:1</v>
      </c>
      <c r="D484" s="47" t="str">
        <f t="shared" si="17"/>
        <v>C03972 : 2,3,4,5-Tetrahydrodipicolinate</v>
      </c>
      <c r="E484" s="15"/>
      <c r="F484" s="15"/>
      <c r="G484" s="15"/>
    </row>
    <row r="485" spans="1:26" ht="14.5">
      <c r="A485" s="45" t="s">
        <v>11913</v>
      </c>
      <c r="B485" s="45" t="s">
        <v>11914</v>
      </c>
      <c r="C485" s="46" t="str">
        <f t="shared" si="18"/>
        <v>C04051:1</v>
      </c>
      <c r="D485" s="47" t="str">
        <f t="shared" si="17"/>
        <v>C04051 : 5-Amino-4-imidazolecarboxyamide</v>
      </c>
      <c r="E485" s="15"/>
      <c r="F485" s="15"/>
      <c r="G485" s="15"/>
    </row>
    <row r="486" spans="1:26" ht="14.5">
      <c r="A486" s="45" t="s">
        <v>11915</v>
      </c>
      <c r="B486" s="45" t="s">
        <v>11916</v>
      </c>
      <c r="C486" s="46" t="str">
        <f t="shared" si="18"/>
        <v>C04079:1</v>
      </c>
      <c r="D486" s="47" t="str">
        <f t="shared" si="17"/>
        <v>C04079 : N-((R)-Pantothenoyl)-L-cysteine</v>
      </c>
      <c r="E486" s="15"/>
      <c r="F486" s="15"/>
      <c r="G486" s="15"/>
    </row>
    <row r="487" spans="1:26" ht="14.5">
      <c r="A487" s="45" t="s">
        <v>11917</v>
      </c>
      <c r="B487" s="45" t="s">
        <v>11918</v>
      </c>
      <c r="C487" s="46" t="str">
        <f t="shared" si="18"/>
        <v>C04144:1</v>
      </c>
      <c r="D487" s="47" t="str">
        <f t="shared" si="17"/>
        <v>C04144 : Tetrahydropteroyltri-L-glutamate</v>
      </c>
      <c r="E487" s="15"/>
      <c r="F487" s="15"/>
      <c r="G487" s="15"/>
    </row>
    <row r="488" spans="1:26" ht="14.5">
      <c r="A488" s="45" t="s">
        <v>11919</v>
      </c>
      <c r="B488" s="45" t="s">
        <v>11920</v>
      </c>
      <c r="C488" s="46" t="str">
        <f t="shared" si="18"/>
        <v>C04153:1</v>
      </c>
      <c r="D488" s="47" t="str">
        <f t="shared" si="17"/>
        <v>C04153 : rRNA containing N2-methylguanine</v>
      </c>
      <c r="E488" s="15"/>
      <c r="F488" s="15"/>
      <c r="G488" s="15"/>
    </row>
    <row r="489" spans="1:26" ht="14.5">
      <c r="A489" s="45" t="s">
        <v>11921</v>
      </c>
      <c r="B489" s="45" t="s">
        <v>11922</v>
      </c>
      <c r="C489" s="46" t="str">
        <f t="shared" si="18"/>
        <v>C04157:1</v>
      </c>
      <c r="D489" s="47" t="str">
        <f t="shared" si="17"/>
        <v>C04157 : tRNA containing N1-methylguanine</v>
      </c>
      <c r="E489" s="15"/>
      <c r="F489" s="15"/>
      <c r="G489" s="15"/>
    </row>
    <row r="490" spans="1:26" ht="14.5">
      <c r="A490" s="45" t="s">
        <v>11923</v>
      </c>
      <c r="B490" s="45" t="s">
        <v>11924</v>
      </c>
      <c r="C490" s="46" t="str">
        <f t="shared" si="18"/>
        <v>C04160:1</v>
      </c>
      <c r="D490" s="47" t="str">
        <f t="shared" si="17"/>
        <v>C04160 : tRNA containing N7-methylguanine</v>
      </c>
      <c r="E490" s="15"/>
      <c r="F490" s="15"/>
      <c r="G490" s="15"/>
    </row>
    <row r="491" spans="1:26" ht="14.5">
      <c r="A491" s="45" t="s">
        <v>11925</v>
      </c>
      <c r="B491" s="45" t="s">
        <v>11926</v>
      </c>
      <c r="C491" s="46" t="str">
        <f t="shared" si="18"/>
        <v>C04161:1</v>
      </c>
      <c r="D491" s="47" t="str">
        <f t="shared" si="17"/>
        <v>C04161 : tRNA containing a thionucleotide</v>
      </c>
      <c r="E491" s="15"/>
      <c r="F491" s="15"/>
      <c r="G491" s="15"/>
    </row>
    <row r="492" spans="1:26" ht="14.5">
      <c r="A492" s="45" t="s">
        <v>11927</v>
      </c>
      <c r="B492" s="45" t="s">
        <v>11928</v>
      </c>
      <c r="C492" s="46" t="str">
        <f t="shared" si="18"/>
        <v>C04232:1</v>
      </c>
      <c r="D492" s="47" t="str">
        <f t="shared" si="17"/>
        <v>C04232 : 2'-Deoxyribonucleoside diphosphate</v>
      </c>
      <c r="E492" s="15"/>
      <c r="F492" s="15"/>
      <c r="G492" s="15"/>
    </row>
    <row r="493" spans="1:26" ht="14.5">
      <c r="A493" s="45" t="s">
        <v>11929</v>
      </c>
      <c r="B493" s="45" t="s">
        <v>11930</v>
      </c>
      <c r="C493" s="46" t="str">
        <f t="shared" si="18"/>
        <v>C04242:1</v>
      </c>
      <c r="D493" s="47" t="str">
        <f t="shared" si="17"/>
        <v>C04242 : 5-Fluorodeoxyuridine monophosphate</v>
      </c>
      <c r="E493" s="15"/>
      <c r="F493" s="15"/>
      <c r="G493" s="15"/>
    </row>
    <row r="494" spans="1:26" ht="14.5">
      <c r="A494" s="52" t="s">
        <v>11931</v>
      </c>
      <c r="B494" s="52" t="s">
        <v>11932</v>
      </c>
      <c r="C494" s="48" t="str">
        <f t="shared" si="18"/>
        <v>C04246:1</v>
      </c>
      <c r="D494" s="49" t="str">
        <f t="shared" si="17"/>
        <v>C04246 : But-2-enoyl-[acyl-carrier protein]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5">
      <c r="A495" s="45" t="s">
        <v>11933</v>
      </c>
      <c r="B495" s="45" t="s">
        <v>11934</v>
      </c>
      <c r="C495" s="46" t="str">
        <f t="shared" si="18"/>
        <v>C04250:1</v>
      </c>
      <c r="D495" s="47" t="str">
        <f t="shared" si="17"/>
        <v>C04250 : DNA containing 6-O-methylguanine</v>
      </c>
      <c r="E495" s="15"/>
      <c r="F495" s="15"/>
      <c r="G495" s="15"/>
    </row>
    <row r="496" spans="1:26" ht="14.5">
      <c r="A496" s="45" t="s">
        <v>11935</v>
      </c>
      <c r="B496" s="45" t="s">
        <v>11936</v>
      </c>
      <c r="C496" s="46" t="str">
        <f t="shared" si="18"/>
        <v>C04258:1</v>
      </c>
      <c r="D496" s="47" t="str">
        <f t="shared" si="17"/>
        <v>C04258 : N-Formyl-L-methionylaminoacyl-tRNA</v>
      </c>
      <c r="E496" s="15"/>
      <c r="F496" s="15"/>
      <c r="G496" s="15"/>
    </row>
    <row r="497" spans="1:26" ht="14.5">
      <c r="A497" s="45" t="s">
        <v>11937</v>
      </c>
      <c r="B497" s="45" t="s">
        <v>11938</v>
      </c>
      <c r="C497" s="46" t="str">
        <f t="shared" si="18"/>
        <v>C04260:1</v>
      </c>
      <c r="D497" s="47" t="str">
        <f t="shared" si="17"/>
        <v>C04260 : O-D-Alanyl-poly(ribitol phosphate)</v>
      </c>
      <c r="E497" s="15"/>
      <c r="F497" s="15"/>
      <c r="G497" s="15"/>
    </row>
    <row r="498" spans="1:26" ht="14.5">
      <c r="A498" s="45" t="s">
        <v>11939</v>
      </c>
      <c r="B498" s="45" t="s">
        <v>11940</v>
      </c>
      <c r="C498" s="46" t="str">
        <f t="shared" si="18"/>
        <v>C04261:1</v>
      </c>
      <c r="D498" s="47" t="str">
        <f t="shared" si="17"/>
        <v>C04261 : Protein N(pi)-phospho-L-histidine</v>
      </c>
      <c r="E498" s="15"/>
      <c r="F498" s="15"/>
      <c r="G498" s="15"/>
    </row>
    <row r="499" spans="1:26" ht="14.5">
      <c r="A499" s="52" t="s">
        <v>11941</v>
      </c>
      <c r="B499" s="52" t="s">
        <v>11942</v>
      </c>
      <c r="C499" s="48" t="str">
        <f t="shared" si="18"/>
        <v>C04262:1</v>
      </c>
      <c r="D499" s="49" t="str">
        <f t="shared" si="17"/>
        <v>C04262 : Protein N(tau)-phospho-L-histidine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5">
      <c r="A500" s="52" t="s">
        <v>11943</v>
      </c>
      <c r="B500" s="52" t="s">
        <v>11944</v>
      </c>
      <c r="C500" s="48" t="str">
        <f t="shared" si="18"/>
        <v>C04281:1</v>
      </c>
      <c r="D500" s="49" t="str">
        <f t="shared" si="17"/>
        <v>C04281 : L-1-Pyrroline-3-hydroxy-5-carboxylate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5">
      <c r="A501" s="52" t="s">
        <v>11945</v>
      </c>
      <c r="B501" s="52" t="s">
        <v>11946</v>
      </c>
      <c r="C501" s="48" t="str">
        <f t="shared" si="18"/>
        <v>C04287:1</v>
      </c>
      <c r="D501" s="49" t="str">
        <f t="shared" si="17"/>
        <v>C04287 : 3D-3,5/4-Trihydroxycyclohexane-1,2-dione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5">
      <c r="A502" s="52" t="s">
        <v>11947</v>
      </c>
      <c r="B502" s="52" t="s">
        <v>11948</v>
      </c>
      <c r="C502" s="48" t="str">
        <f t="shared" si="18"/>
        <v>C04294:1</v>
      </c>
      <c r="D502" s="49" t="str">
        <f t="shared" si="17"/>
        <v>C04294 : 5-(2-Hydroxyethyl)-4-methylthiazole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5">
      <c r="A503" s="45" t="s">
        <v>11949</v>
      </c>
      <c r="B503" s="45" t="s">
        <v>11950</v>
      </c>
      <c r="C503" s="46" t="str">
        <f t="shared" si="18"/>
        <v>C04298:1</v>
      </c>
      <c r="D503" s="47" t="str">
        <f t="shared" si="17"/>
        <v>C04298 : Holo-[citrate (pro-3S)-lyase]</v>
      </c>
      <c r="E503" s="15"/>
      <c r="F503" s="15"/>
      <c r="G503" s="15"/>
    </row>
    <row r="504" spans="1:26" ht="14.5">
      <c r="A504" s="52" t="s">
        <v>11951</v>
      </c>
      <c r="B504" s="52" t="s">
        <v>11952</v>
      </c>
      <c r="C504" s="48" t="str">
        <f t="shared" si="18"/>
        <v>C04302:1</v>
      </c>
      <c r="D504" s="49" t="str">
        <f t="shared" si="17"/>
        <v>C04302 : N-(5-Phospho-D-ribosyl)anthranilate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5">
      <c r="A505" s="45" t="s">
        <v>11953</v>
      </c>
      <c r="B505" s="45" t="s">
        <v>11954</v>
      </c>
      <c r="C505" s="46" t="str">
        <f t="shared" si="18"/>
        <v>C04309:1</v>
      </c>
      <c r="D505" s="47" t="str">
        <f t="shared" si="17"/>
        <v>C04309 : Phosphoenol-4-deoxy-3-tetrulosonate</v>
      </c>
      <c r="E505" s="15"/>
      <c r="F505" s="15"/>
      <c r="G505" s="15"/>
    </row>
    <row r="506" spans="1:26" ht="14.5">
      <c r="A506" s="52" t="s">
        <v>11955</v>
      </c>
      <c r="B506" s="50" t="s">
        <v>11956</v>
      </c>
      <c r="C506" s="48" t="str">
        <f t="shared" si="18"/>
        <v>C04327:1</v>
      </c>
      <c r="D506" s="49" t="str">
        <f t="shared" si="17"/>
        <v>C04327 : 4-Methyl-5-(2-phosphooxyethyl)thiazole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5">
      <c r="A507" s="45" t="s">
        <v>11957</v>
      </c>
      <c r="B507" s="45" t="s">
        <v>11958</v>
      </c>
      <c r="C507" s="46" t="str">
        <f t="shared" si="18"/>
        <v>C04334:1</v>
      </c>
      <c r="D507" s="47" t="str">
        <f t="shared" si="17"/>
        <v>C04334 : Acetyl-[citrate (pro-3S)-lyase]</v>
      </c>
      <c r="E507" s="15"/>
      <c r="F507" s="15"/>
      <c r="G507" s="15"/>
    </row>
    <row r="508" spans="1:26" ht="14.5">
      <c r="A508" s="45" t="s">
        <v>11959</v>
      </c>
      <c r="B508" s="45" t="s">
        <v>11960</v>
      </c>
      <c r="C508" s="46" t="str">
        <f t="shared" si="18"/>
        <v>C04341:1</v>
      </c>
      <c r="D508" s="47" t="str">
        <f t="shared" si="17"/>
        <v>C04341 : Ribosomal-protein N-acetyl-L-alanine</v>
      </c>
      <c r="E508" s="15"/>
      <c r="F508" s="15"/>
      <c r="G508" s="15"/>
    </row>
    <row r="509" spans="1:26" ht="14.5">
      <c r="A509" s="45" t="s">
        <v>11961</v>
      </c>
      <c r="B509" s="45" t="s">
        <v>11962</v>
      </c>
      <c r="C509" s="46" t="str">
        <f t="shared" si="18"/>
        <v>C04352:1</v>
      </c>
      <c r="D509" s="47" t="str">
        <f t="shared" si="17"/>
        <v>C04352 : ( R )- 4' - Phosphopantothenoyl -L-cysteine</v>
      </c>
      <c r="E509" s="15"/>
      <c r="F509" s="15"/>
      <c r="G509" s="15"/>
    </row>
    <row r="510" spans="1:26" ht="14.5">
      <c r="A510" s="45" t="s">
        <v>11963</v>
      </c>
      <c r="B510" s="45" t="s">
        <v>11964</v>
      </c>
      <c r="C510" s="46" t="str">
        <f t="shared" si="18"/>
        <v>C04376:1</v>
      </c>
      <c r="D510" s="47" t="str">
        <f t="shared" si="17"/>
        <v>C04376 : 5'-Phosphoribosyl-N-formylglycinamide</v>
      </c>
      <c r="E510" s="15"/>
      <c r="F510" s="15"/>
      <c r="G510" s="15"/>
    </row>
    <row r="511" spans="1:26" ht="14.5">
      <c r="A511" s="45" t="s">
        <v>11965</v>
      </c>
      <c r="B511" s="45" t="s">
        <v>11966</v>
      </c>
      <c r="C511" s="46" t="str">
        <f t="shared" si="18"/>
        <v>C04377:1</v>
      </c>
      <c r="D511" s="47" t="str">
        <f t="shared" si="17"/>
        <v>C04377 : 5,10-Methylenetetrahydromenthanopterin</v>
      </c>
      <c r="E511" s="15"/>
      <c r="F511" s="15"/>
      <c r="G511" s="15"/>
    </row>
    <row r="512" spans="1:26" ht="14.5">
      <c r="A512" s="45" t="s">
        <v>11967</v>
      </c>
      <c r="B512" s="45" t="s">
        <v>11968</v>
      </c>
      <c r="C512" s="46" t="str">
        <f t="shared" si="18"/>
        <v>C04432:1</v>
      </c>
      <c r="D512" s="47" t="str">
        <f t="shared" ref="D512:D766" si="19">CONCATENATE(A512," : ",B512)</f>
        <v>C04432 : tRNA containing 6-isopentenyladenosine</v>
      </c>
      <c r="E512" s="15"/>
      <c r="F512" s="15"/>
      <c r="G512" s="15"/>
    </row>
    <row r="513" spans="1:26" ht="14.5">
      <c r="A513" s="45" t="s">
        <v>11969</v>
      </c>
      <c r="B513" s="45" t="s">
        <v>11970</v>
      </c>
      <c r="C513" s="46" t="str">
        <f t="shared" si="18"/>
        <v>C04489:1</v>
      </c>
      <c r="D513" s="47" t="str">
        <f t="shared" si="19"/>
        <v>C04489 : 5-Methyltetrahydropteroyltri-L-glutamate</v>
      </c>
      <c r="E513" s="15"/>
      <c r="F513" s="15"/>
      <c r="G513" s="15"/>
    </row>
    <row r="514" spans="1:26" ht="14.5">
      <c r="A514" s="52" t="s">
        <v>11971</v>
      </c>
      <c r="B514" s="50" t="s">
        <v>11972</v>
      </c>
      <c r="C514" s="48" t="str">
        <f t="shared" si="18"/>
        <v>C04494:1</v>
      </c>
      <c r="D514" s="49" t="str">
        <f t="shared" si="19"/>
        <v>C04494 : Guanosine 3'-diphosphate 5'-triphosphate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5">
      <c r="A515" s="45" t="s">
        <v>11973</v>
      </c>
      <c r="B515" s="45" t="s">
        <v>11974</v>
      </c>
      <c r="C515" s="46" t="str">
        <f t="shared" si="18"/>
        <v>C04501:1</v>
      </c>
      <c r="D515" s="47" t="str">
        <f t="shared" si="19"/>
        <v>C04501 : N-Acetyl-alpha-D-glucosamine 1-phosphate</v>
      </c>
      <c r="E515" s="15"/>
      <c r="F515" s="15"/>
      <c r="G515" s="15"/>
    </row>
    <row r="516" spans="1:26" ht="14.5">
      <c r="A516" s="45" t="s">
        <v>11975</v>
      </c>
      <c r="B516" s="45" t="s">
        <v>11976</v>
      </c>
      <c r="C516" s="46" t="str">
        <f t="shared" si="18"/>
        <v>C04534:1</v>
      </c>
      <c r="D516" s="47" t="str">
        <f t="shared" si="19"/>
        <v>C04534 : 6-Phospho-beta-D-glucosyl-(1,4)-D-glucose</v>
      </c>
      <c r="E516" s="15"/>
      <c r="F516" s="15"/>
      <c r="G516" s="15"/>
    </row>
    <row r="517" spans="1:26" ht="14.5">
      <c r="A517" s="45" t="s">
        <v>11977</v>
      </c>
      <c r="B517" s="45" t="s">
        <v>11978</v>
      </c>
      <c r="C517" s="46" t="str">
        <f t="shared" si="18"/>
        <v>C04556:1</v>
      </c>
      <c r="D517" s="47" t="str">
        <f t="shared" si="19"/>
        <v>C04556 : 4-Amino-2-methyl-5-(phosphooxymethyl)pyrimidine</v>
      </c>
      <c r="E517" s="15"/>
      <c r="F517" s="15"/>
      <c r="G517" s="15"/>
    </row>
    <row r="518" spans="1:26" ht="14.5">
      <c r="A518" s="45" t="s">
        <v>11979</v>
      </c>
      <c r="B518" s="45" t="s">
        <v>11980</v>
      </c>
      <c r="C518" s="46" t="str">
        <f t="shared" si="18"/>
        <v>C04574:1</v>
      </c>
      <c r="D518" s="47" t="str">
        <f t="shared" si="19"/>
        <v>C04574 : di-trans,poly-cis-Undecaprenyl diphosphate</v>
      </c>
      <c r="E518" s="15"/>
      <c r="F518" s="15"/>
      <c r="G518" s="15"/>
    </row>
    <row r="519" spans="1:26" ht="12.75" customHeight="1">
      <c r="A519" s="52" t="s">
        <v>11981</v>
      </c>
      <c r="B519" s="50" t="s">
        <v>11982</v>
      </c>
      <c r="C519" s="48" t="str">
        <f t="shared" si="18"/>
        <v>C04618:1</v>
      </c>
      <c r="D519" s="49" t="str">
        <f t="shared" si="19"/>
        <v>C04618 : (3R)-3-Hydroxybutanoyl-[acyl-carrier protein]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5">
      <c r="A520" s="52" t="s">
        <v>11983</v>
      </c>
      <c r="B520" s="50" t="s">
        <v>11984</v>
      </c>
      <c r="C520" s="48" t="str">
        <f t="shared" si="18"/>
        <v>C04619:1</v>
      </c>
      <c r="D520" s="49" t="str">
        <f t="shared" si="19"/>
        <v>C04619 : (3R)-3-Hydroxydecanoyl-[acyl-carrier protein]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5">
      <c r="A521" s="52" t="s">
        <v>11985</v>
      </c>
      <c r="B521" s="50" t="s">
        <v>11986</v>
      </c>
      <c r="C521" s="48" t="str">
        <f t="shared" si="18"/>
        <v>C04620:1</v>
      </c>
      <c r="D521" s="49" t="str">
        <f t="shared" si="19"/>
        <v>C04620 : (3R)-3-Hydroxyoctanoyl-[acyl-carrier protein]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5">
      <c r="A522" s="45" t="s">
        <v>11987</v>
      </c>
      <c r="B522" s="45" t="s">
        <v>11988</v>
      </c>
      <c r="C522" s="46" t="str">
        <f t="shared" si="18"/>
        <v>C04631:1</v>
      </c>
      <c r="D522" s="47" t="str">
        <f t="shared" si="19"/>
        <v>C04631 : UDP-N-acetyl-3-(1-carboxyvinyl)-D-glucosamine</v>
      </c>
      <c r="E522" s="15"/>
      <c r="F522" s="15"/>
      <c r="G522" s="15"/>
    </row>
    <row r="523" spans="1:26" ht="14.5">
      <c r="A523" s="52" t="s">
        <v>11989</v>
      </c>
      <c r="B523" s="50" t="s">
        <v>17356</v>
      </c>
      <c r="C523" s="48" t="str">
        <f t="shared" si="18"/>
        <v>C04633:1</v>
      </c>
      <c r="D523" s="49" t="str">
        <f t="shared" si="19"/>
        <v>C04633 : (3R)-3-Hydroxypalmitoyl-[acyl-carrier protein]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5">
      <c r="A524" s="45" t="s">
        <v>11990</v>
      </c>
      <c r="B524" s="45" t="s">
        <v>11991</v>
      </c>
      <c r="C524" s="46" t="str">
        <f t="shared" si="18"/>
        <v>C04640:1</v>
      </c>
      <c r="D524" s="47" t="str">
        <f t="shared" si="19"/>
        <v>C04640 : 2-(Formamido)-N1-(5'-phosphoribosyl)acetamidine</v>
      </c>
      <c r="E524" s="15"/>
      <c r="F524" s="15"/>
      <c r="G524" s="15"/>
    </row>
    <row r="525" spans="1:26" ht="14.5">
      <c r="A525" s="45" t="s">
        <v>11992</v>
      </c>
      <c r="B525" s="45" t="s">
        <v>11993</v>
      </c>
      <c r="C525" s="46" t="str">
        <f t="shared" si="18"/>
        <v>C04646:1</v>
      </c>
      <c r="D525" s="47" t="str">
        <f t="shared" si="19"/>
        <v>C04646 : 6-Thioinosine-5'-monophosphate</v>
      </c>
      <c r="E525" s="15"/>
      <c r="F525" s="15"/>
      <c r="G525" s="15"/>
    </row>
    <row r="526" spans="1:26" ht="14.5">
      <c r="A526" s="52" t="s">
        <v>11994</v>
      </c>
      <c r="B526" s="50" t="s">
        <v>11995</v>
      </c>
      <c r="C526" s="48" t="str">
        <f>CONCATENATE(A526,":1000")</f>
        <v>C04666:1000</v>
      </c>
      <c r="D526" s="49" t="str">
        <f t="shared" si="19"/>
        <v>C04666 : D-erythro-1-(Imidazol-4-yl)glycerol 3-phosphate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5">
      <c r="A527" s="45" t="s">
        <v>11996</v>
      </c>
      <c r="B527" s="45" t="s">
        <v>11997</v>
      </c>
      <c r="C527" s="46" t="str">
        <f t="shared" si="18"/>
        <v>C04677:1</v>
      </c>
      <c r="D527" s="47" t="str">
        <f t="shared" si="19"/>
        <v>C04677 : 1-(5'-Phosphoribosyl)-5-amino-4-imidazolecarboxamide</v>
      </c>
      <c r="E527" s="15"/>
      <c r="F527" s="15"/>
      <c r="G527" s="15"/>
    </row>
    <row r="528" spans="1:26" ht="14.5">
      <c r="A528" s="52" t="s">
        <v>11998</v>
      </c>
      <c r="B528" s="50" t="s">
        <v>11999</v>
      </c>
      <c r="C528" s="48" t="str">
        <f t="shared" si="18"/>
        <v>C04681:1</v>
      </c>
      <c r="D528" s="49" t="str">
        <f t="shared" si="19"/>
        <v>C04681 : [Acetyl-CoA:carbon-dioxide ligase (ADP-forming)]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5">
      <c r="A529" s="52" t="s">
        <v>12000</v>
      </c>
      <c r="B529" s="50" t="s">
        <v>12001</v>
      </c>
      <c r="C529" s="48" t="str">
        <f t="shared" si="18"/>
        <v>C04688:1</v>
      </c>
      <c r="D529" s="49" t="str">
        <f t="shared" si="19"/>
        <v>C04688 : (3R)-3-Hydroxytetradecanoyl-[acyl-carrier protein]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5">
      <c r="A530" s="45" t="s">
        <v>12002</v>
      </c>
      <c r="B530" s="45" t="s">
        <v>12003</v>
      </c>
      <c r="C530" s="46" t="str">
        <f t="shared" si="18"/>
        <v>C04702:1</v>
      </c>
      <c r="D530" s="47" t="str">
        <f t="shared" si="19"/>
        <v>C04702 : UDPMurNAc(oyl-L-Ala-D-gamma-Glu-L-Lys-D-Ala-D-Ala)</v>
      </c>
      <c r="E530" s="15"/>
      <c r="F530" s="15"/>
      <c r="G530" s="15"/>
    </row>
    <row r="531" spans="1:26" ht="14.5">
      <c r="A531" s="45" t="s">
        <v>12004</v>
      </c>
      <c r="B531" s="45" t="s">
        <v>12005</v>
      </c>
      <c r="C531" s="46" t="str">
        <f t="shared" si="18"/>
        <v>C04734:1</v>
      </c>
      <c r="D531" s="47" t="str">
        <f t="shared" si="19"/>
        <v>C04734 : 1-(5'-Phosphoribosyl)-5-formamido-4-imidazolecarboxamide</v>
      </c>
      <c r="E531" s="15"/>
      <c r="F531" s="15"/>
      <c r="G531" s="15"/>
    </row>
    <row r="532" spans="1:26" ht="14.5">
      <c r="A532" s="52" t="s">
        <v>12006</v>
      </c>
      <c r="B532" s="50" t="s">
        <v>12007</v>
      </c>
      <c r="C532" s="48" t="str">
        <f t="shared" si="18"/>
        <v>C04735:1</v>
      </c>
      <c r="D532" s="49" t="str">
        <f t="shared" si="19"/>
        <v>C04735 : Apo-[acetyl-CoA:carbon-dioxide ligase (ADP-forming)]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5">
      <c r="A533" s="52" t="s">
        <v>12008</v>
      </c>
      <c r="B533" s="50" t="s">
        <v>12009</v>
      </c>
      <c r="C533" s="48" t="str">
        <f t="shared" si="18"/>
        <v>C04737:1</v>
      </c>
      <c r="D533" s="49" t="str">
        <f t="shared" si="19"/>
        <v>C04737 : Globotriosylceramide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5">
      <c r="A534" s="45" t="s">
        <v>12010</v>
      </c>
      <c r="B534" s="45" t="s">
        <v>12011</v>
      </c>
      <c r="C534" s="46" t="str">
        <f t="shared" si="18"/>
        <v>C04751:1</v>
      </c>
      <c r="D534" s="47" t="str">
        <f t="shared" si="19"/>
        <v>C04751 : 1-(5-Phospho-D-ribosyl)-5-amino-4-imidazolecarboxylate</v>
      </c>
      <c r="E534" s="15"/>
      <c r="F534" s="15"/>
      <c r="G534" s="15"/>
    </row>
    <row r="535" spans="1:26" ht="14.5">
      <c r="A535" s="45" t="s">
        <v>12012</v>
      </c>
      <c r="B535" s="45" t="s">
        <v>12013</v>
      </c>
      <c r="C535" s="46" t="str">
        <f t="shared" si="18"/>
        <v>C04752:1</v>
      </c>
      <c r="D535" s="47" t="str">
        <f t="shared" si="19"/>
        <v>C04752 : 4-Amino-5-hydroxymethyl-2-methylpyrimidine diphosphate</v>
      </c>
      <c r="E535" s="15"/>
      <c r="F535" s="15"/>
      <c r="G535" s="15"/>
    </row>
    <row r="536" spans="1:26" ht="14.5">
      <c r="A536" s="45" t="s">
        <v>12014</v>
      </c>
      <c r="B536" s="45" t="s">
        <v>12015</v>
      </c>
      <c r="C536" s="46" t="str">
        <f t="shared" si="18"/>
        <v>C04823:1</v>
      </c>
      <c r="D536" s="47" t="str">
        <f t="shared" si="19"/>
        <v>C04823 : 1-(5'-Phosphoribosyl)-5-amino-4-(N-succinocarboxamide)-imidazole</v>
      </c>
      <c r="E536" s="15"/>
      <c r="F536" s="15"/>
      <c r="G536" s="15"/>
    </row>
    <row r="537" spans="1:26" ht="14.5">
      <c r="A537" s="45" t="s">
        <v>12016</v>
      </c>
      <c r="B537" s="45" t="s">
        <v>12017</v>
      </c>
      <c r="C537" s="46" t="str">
        <f t="shared" si="18"/>
        <v>C04851:1</v>
      </c>
      <c r="D537" s="47" t="str">
        <f t="shared" si="19"/>
        <v>C04851 : MurAc(oyl-L-Ala-D-gamma-Glu-L-Lys-D-Ala-D-Ala)-diphospho-undecaprenol</v>
      </c>
      <c r="E537" s="15"/>
      <c r="F537" s="15"/>
      <c r="G537" s="15"/>
    </row>
    <row r="538" spans="1:26" ht="14.5">
      <c r="A538" s="45" t="s">
        <v>12018</v>
      </c>
      <c r="B538" s="45" t="s">
        <v>12019</v>
      </c>
      <c r="C538" s="46" t="str">
        <f t="shared" si="18"/>
        <v>C04877:1</v>
      </c>
      <c r="D538" s="47" t="str">
        <f t="shared" si="19"/>
        <v>C04877 : UDP-N-acetylmuramoyl-L-alanyl-gamma-D-glutamyl-meso-2,6-diaminopimelate</v>
      </c>
      <c r="E538" s="15"/>
      <c r="F538" s="15"/>
      <c r="G538" s="15"/>
    </row>
    <row r="539" spans="1:26" ht="16.5" customHeight="1">
      <c r="A539" s="45" t="s">
        <v>12020</v>
      </c>
      <c r="B539" s="45" t="s">
        <v>12021</v>
      </c>
      <c r="C539" s="46" t="str">
        <f t="shared" si="18"/>
        <v>C04882:1</v>
      </c>
      <c r="D539" s="47" t="str">
        <f t="shared" si="19"/>
        <v>C04882 : UDP-N-acetylmuramoyl-L-alanyl-D-glutamyl-6-carboxyl-L-lysyl-D-alanyl-D-alanine</v>
      </c>
      <c r="E539" s="15"/>
      <c r="F539" s="15"/>
      <c r="G539" s="15"/>
    </row>
    <row r="540" spans="1:26" ht="14.5">
      <c r="A540" s="52" t="s">
        <v>12022</v>
      </c>
      <c r="B540" s="50" t="s">
        <v>12023</v>
      </c>
      <c r="C540" s="48" t="str">
        <f t="shared" si="18"/>
        <v>C04884:1</v>
      </c>
      <c r="D540" s="49" t="str">
        <f t="shared" si="19"/>
        <v>C04884 : N-Acetyl-D-galactosaminyl-(N-acetylneuraminyl)-D-galactosyl-D-glucosylceramide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5">
      <c r="A541" s="52" t="s">
        <v>12024</v>
      </c>
      <c r="B541" s="50" t="s">
        <v>12025</v>
      </c>
      <c r="C541" s="48" t="str">
        <f t="shared" si="18"/>
        <v>C04896:1</v>
      </c>
      <c r="D541" s="49" t="str">
        <f t="shared" si="19"/>
        <v>C04896 : 5-(5-Phospho-D-ribosylaminoformimino)-1-(5-phosphoribosyl)-imidazole-4-carboxamide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5">
      <c r="A542" s="52" t="s">
        <v>12026</v>
      </c>
      <c r="B542" s="50" t="s">
        <v>12027</v>
      </c>
      <c r="C542" s="48" t="str">
        <f t="shared" si="18"/>
        <v>C04911:1</v>
      </c>
      <c r="D542" s="49" t="str">
        <f t="shared" si="19"/>
        <v>C04911 : D-Galactosyl-N-acetyl-D-galactosaminyl-(N-acetylneuraminyl)-D-galactosyl-D-glucosylceramide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5">
      <c r="A543" s="52" t="s">
        <v>12028</v>
      </c>
      <c r="B543" s="50" t="s">
        <v>12029</v>
      </c>
      <c r="C543" s="48" t="str">
        <f t="shared" si="18"/>
        <v>C04916:1</v>
      </c>
      <c r="D543" s="49" t="str">
        <f t="shared" si="19"/>
        <v>C04916 : N-(5'-Phospho-D-1'-ribulosylformimino)-5-amino-1-(5''-phospho-D-ribosyl)-4-imidazolecarboxamide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5">
      <c r="A544" s="52" t="s">
        <v>12030</v>
      </c>
      <c r="B544" s="50" t="s">
        <v>12031</v>
      </c>
      <c r="C544" s="48" t="str">
        <f t="shared" si="18"/>
        <v>C05125:1</v>
      </c>
      <c r="D544" s="49" t="str">
        <f t="shared" si="19"/>
        <v>C05125 : 2-(alpha-Hydroxyethyl)thiamine diphosphate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5">
      <c r="A545" s="52" t="s">
        <v>12032</v>
      </c>
      <c r="B545" s="50" t="s">
        <v>12033</v>
      </c>
      <c r="C545" s="48" t="str">
        <f>CONCATENATE(A545,":1000")</f>
        <v>C05167:1000</v>
      </c>
      <c r="D545" s="49" t="str">
        <f t="shared" si="19"/>
        <v>C05167 : alpha-Amino acid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5">
      <c r="A546" s="52" t="s">
        <v>12034</v>
      </c>
      <c r="B546" s="50" t="s">
        <v>12035</v>
      </c>
      <c r="C546" s="48" t="str">
        <f t="shared" si="18"/>
        <v>C05196:1</v>
      </c>
      <c r="D546" s="49" t="str">
        <f t="shared" si="19"/>
        <v>C05196 : Dihydroflavodoxin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5">
      <c r="A547" s="52" t="s">
        <v>12036</v>
      </c>
      <c r="B547" s="50" t="s">
        <v>12037</v>
      </c>
      <c r="C547" s="48" t="str">
        <f t="shared" si="18"/>
        <v>C05197:1</v>
      </c>
      <c r="D547" s="49" t="str">
        <f t="shared" si="19"/>
        <v>C05197 : Protein glycine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5">
      <c r="A548" s="45" t="s">
        <v>12038</v>
      </c>
      <c r="B548" s="45" t="s">
        <v>12039</v>
      </c>
      <c r="C548" s="46" t="str">
        <f t="shared" si="18"/>
        <v>C05198:1</v>
      </c>
      <c r="D548" s="47" t="str">
        <f t="shared" si="19"/>
        <v>C05198 : 5'-Deoxyadenosine</v>
      </c>
      <c r="E548" s="15"/>
      <c r="F548" s="15"/>
      <c r="G548" s="15"/>
    </row>
    <row r="549" spans="1:26" ht="14.5">
      <c r="A549" s="52" t="s">
        <v>12040</v>
      </c>
      <c r="B549" s="50" t="s">
        <v>12041</v>
      </c>
      <c r="C549" s="48" t="str">
        <f t="shared" si="18"/>
        <v>C05199:1</v>
      </c>
      <c r="D549" s="49" t="str">
        <f t="shared" si="19"/>
        <v>C05199 : Flavodoxin semiquinone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5">
      <c r="A550" s="52" t="s">
        <v>12042</v>
      </c>
      <c r="B550" s="50" t="s">
        <v>12043</v>
      </c>
      <c r="C550" s="48" t="str">
        <f t="shared" si="18"/>
        <v>C05223:1</v>
      </c>
      <c r="D550" s="49" t="str">
        <f t="shared" si="19"/>
        <v>C05223 : Dodecanoyl-[acyl-carrier protein]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5">
      <c r="A551" s="52" t="s">
        <v>12044</v>
      </c>
      <c r="B551" s="50" t="s">
        <v>12045</v>
      </c>
      <c r="C551" s="48" t="str">
        <f t="shared" si="18"/>
        <v>C05259:1</v>
      </c>
      <c r="D551" s="49" t="str">
        <f t="shared" si="19"/>
        <v>C05259 : 3-Oxopalmitoyl-CoA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5">
      <c r="A552" s="52" t="s">
        <v>12046</v>
      </c>
      <c r="B552" s="50" t="s">
        <v>12047</v>
      </c>
      <c r="C552" s="48" t="str">
        <f t="shared" si="18"/>
        <v>C05261:1</v>
      </c>
      <c r="D552" s="49" t="str">
        <f t="shared" si="19"/>
        <v>C05261 : 3-Oxotetradecanoyl-CoA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5">
      <c r="A553" s="52" t="s">
        <v>12048</v>
      </c>
      <c r="B553" s="50" t="s">
        <v>12049</v>
      </c>
      <c r="C553" s="48" t="str">
        <f t="shared" si="18"/>
        <v>C05263:1</v>
      </c>
      <c r="D553" s="49" t="str">
        <f t="shared" si="19"/>
        <v>C05263 : 3-Oxododecanoyl-CoA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5">
      <c r="A554" s="52" t="s">
        <v>12050</v>
      </c>
      <c r="B554" s="50" t="s">
        <v>12051</v>
      </c>
      <c r="C554" s="48" t="str">
        <f t="shared" si="18"/>
        <v>C05265:1</v>
      </c>
      <c r="D554" s="49" t="str">
        <f t="shared" si="19"/>
        <v>C05265 : 3-Oxodecanoyl-CoA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5">
      <c r="A555" s="52" t="s">
        <v>12052</v>
      </c>
      <c r="B555" s="50" t="s">
        <v>12053</v>
      </c>
      <c r="C555" s="48" t="str">
        <f t="shared" si="18"/>
        <v>C05267:1</v>
      </c>
      <c r="D555" s="49" t="str">
        <f t="shared" si="19"/>
        <v>C05267 : 3-Oxooctanoyl-CoA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5">
      <c r="A556" s="52" t="s">
        <v>12054</v>
      </c>
      <c r="B556" s="50" t="s">
        <v>12055</v>
      </c>
      <c r="C556" s="48" t="str">
        <f t="shared" si="18"/>
        <v>C05269:1</v>
      </c>
      <c r="D556" s="49" t="str">
        <f t="shared" si="19"/>
        <v>C05269 : 3-Oxohexanoyl-CoA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5">
      <c r="A557" s="52" t="s">
        <v>12056</v>
      </c>
      <c r="B557" s="50" t="s">
        <v>12057</v>
      </c>
      <c r="C557" s="48" t="str">
        <f t="shared" si="18"/>
        <v>C05270:1</v>
      </c>
      <c r="D557" s="49" t="str">
        <f t="shared" si="19"/>
        <v>C05270 : Hexanoyl-CoA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5">
      <c r="A558" s="52" t="s">
        <v>12058</v>
      </c>
      <c r="B558" s="50" t="s">
        <v>12059</v>
      </c>
      <c r="C558" s="48" t="str">
        <f t="shared" si="18"/>
        <v>C05274:1</v>
      </c>
      <c r="D558" s="49" t="str">
        <f t="shared" si="19"/>
        <v>C05274 : Decanoyl-CoA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5">
      <c r="A559" s="52" t="s">
        <v>12060</v>
      </c>
      <c r="B559" s="50" t="s">
        <v>12061</v>
      </c>
      <c r="C559" s="48" t="str">
        <f t="shared" si="18"/>
        <v>C05312:1</v>
      </c>
      <c r="D559" s="49" t="str">
        <f t="shared" si="19"/>
        <v>C05312 : Protein glycin-2-yl radical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5">
      <c r="A560" s="45" t="s">
        <v>12062</v>
      </c>
      <c r="B560" s="45" t="s">
        <v>12063</v>
      </c>
      <c r="C560" s="46" t="str">
        <f t="shared" si="18"/>
        <v>C05335:1</v>
      </c>
      <c r="D560" s="47" t="str">
        <f t="shared" si="19"/>
        <v>C05335 : L-Selenomethionine</v>
      </c>
      <c r="E560" s="15"/>
      <c r="F560" s="15"/>
      <c r="G560" s="15"/>
    </row>
    <row r="561" spans="1:26" ht="14.5">
      <c r="A561" s="45" t="s">
        <v>12064</v>
      </c>
      <c r="B561" s="45" t="s">
        <v>12065</v>
      </c>
      <c r="C561" s="46" t="str">
        <f t="shared" si="18"/>
        <v>C05336:1</v>
      </c>
      <c r="D561" s="47" t="str">
        <f t="shared" si="19"/>
        <v>C05336 : Selenomethionyl-tRNA(Met)</v>
      </c>
      <c r="E561" s="15"/>
      <c r="F561" s="15"/>
      <c r="G561" s="15"/>
    </row>
    <row r="562" spans="1:26" ht="14.5">
      <c r="A562" s="45" t="s">
        <v>12066</v>
      </c>
      <c r="B562" s="45" t="s">
        <v>12067</v>
      </c>
      <c r="C562" s="46" t="str">
        <f t="shared" si="18"/>
        <v>C05345:1</v>
      </c>
      <c r="D562" s="47" t="str">
        <f t="shared" si="19"/>
        <v>C05345 : beta-D-Fructose 6-phosphate</v>
      </c>
      <c r="E562" s="15"/>
      <c r="F562" s="15"/>
      <c r="G562" s="15"/>
    </row>
    <row r="563" spans="1:26" ht="14.5">
      <c r="A563" s="45" t="s">
        <v>12068</v>
      </c>
      <c r="B563" s="45" t="s">
        <v>12069</v>
      </c>
      <c r="C563" s="46" t="str">
        <f t="shared" si="18"/>
        <v>C05378:1</v>
      </c>
      <c r="D563" s="47" t="str">
        <f t="shared" si="19"/>
        <v>C05378 : beta-D-Fructose 1,6-bisphosphate</v>
      </c>
      <c r="E563" s="15"/>
      <c r="F563" s="15"/>
      <c r="G563" s="15"/>
    </row>
    <row r="564" spans="1:26" ht="14.5">
      <c r="A564" s="45" t="s">
        <v>12070</v>
      </c>
      <c r="B564" s="45" t="s">
        <v>12071</v>
      </c>
      <c r="C564" s="46" t="str">
        <f t="shared" si="18"/>
        <v>C05382:1</v>
      </c>
      <c r="D564" s="47" t="str">
        <f t="shared" si="19"/>
        <v>C05382 : Sedoheptulose 7-phosphate</v>
      </c>
      <c r="E564" s="15"/>
      <c r="F564" s="15"/>
      <c r="G564" s="15"/>
    </row>
    <row r="565" spans="1:26" ht="14.5">
      <c r="A565" s="52" t="s">
        <v>12072</v>
      </c>
      <c r="B565" s="50" t="s">
        <v>12073</v>
      </c>
      <c r="C565" s="48" t="str">
        <f>CONCATENATE(A565,":1000")</f>
        <v>C05394:1000</v>
      </c>
      <c r="D565" s="49" t="str">
        <f t="shared" si="19"/>
        <v>C05394 : 3-Keto-beta-D-galactose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5">
      <c r="A566" s="52" t="s">
        <v>12074</v>
      </c>
      <c r="B566" s="50" t="s">
        <v>12075</v>
      </c>
      <c r="C566" s="48" t="str">
        <f>CONCATENATE(A566,":1000")</f>
        <v>C05399:1000</v>
      </c>
      <c r="D566" s="49" t="str">
        <f t="shared" si="19"/>
        <v>C05399 : Melibiitol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5">
      <c r="A567" s="52" t="s">
        <v>12076</v>
      </c>
      <c r="B567" s="50" t="s">
        <v>12077</v>
      </c>
      <c r="C567" s="48" t="str">
        <f>CONCATENATE(A567,":1000")</f>
        <v>C05400:1000</v>
      </c>
      <c r="D567" s="49" t="str">
        <f t="shared" si="19"/>
        <v>C05400 : Epimelibiose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5">
      <c r="A568" s="52" t="s">
        <v>12078</v>
      </c>
      <c r="B568" s="50" t="s">
        <v>12079</v>
      </c>
      <c r="C568" s="48" t="str">
        <f t="shared" si="18"/>
        <v>C05401:1</v>
      </c>
      <c r="D568" s="49" t="str">
        <f t="shared" si="19"/>
        <v>C05401 : 3-beta-D-Galactosyl-sn-glycerol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5">
      <c r="A569" s="45" t="s">
        <v>12080</v>
      </c>
      <c r="B569" s="45" t="s">
        <v>12081</v>
      </c>
      <c r="C569" s="46" t="str">
        <f t="shared" si="18"/>
        <v>C05402:1</v>
      </c>
      <c r="D569" s="47" t="str">
        <f t="shared" si="19"/>
        <v>C05402 : Melibiose</v>
      </c>
      <c r="E569" s="15"/>
      <c r="F569" s="15"/>
      <c r="G569" s="15"/>
    </row>
    <row r="570" spans="1:26" ht="14.5">
      <c r="A570" s="52" t="s">
        <v>12082</v>
      </c>
      <c r="B570" s="50" t="s">
        <v>12083</v>
      </c>
      <c r="C570" s="48" t="str">
        <f>CONCATENATE(A570,":1000")</f>
        <v>C05403:1000</v>
      </c>
      <c r="D570" s="49" t="str">
        <f t="shared" si="19"/>
        <v>C05403 : 3-Ketolactose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5">
      <c r="A571" s="45" t="s">
        <v>12084</v>
      </c>
      <c r="B571" s="45" t="s">
        <v>12085</v>
      </c>
      <c r="C571" s="46" t="str">
        <f t="shared" si="18"/>
        <v>C05404:1</v>
      </c>
      <c r="D571" s="47" t="str">
        <f t="shared" si="19"/>
        <v>C05404 : D-Gal alpha 1-&gt;6D-Gal alpha 1-&gt;6D-Glucose</v>
      </c>
      <c r="E571" s="15"/>
      <c r="F571" s="15"/>
      <c r="G571" s="15"/>
    </row>
    <row r="572" spans="1:26" ht="14.5">
      <c r="A572" s="45" t="s">
        <v>12086</v>
      </c>
      <c r="B572" s="45" t="s">
        <v>12087</v>
      </c>
      <c r="C572" s="46" t="str">
        <f t="shared" si="18"/>
        <v>C05444:1</v>
      </c>
      <c r="D572" s="47" t="str">
        <f t="shared" si="19"/>
        <v>C05444 : 3alpha,7alpha,26-Trihydroxy-5beta-cholestane</v>
      </c>
      <c r="E572" s="15"/>
      <c r="F572" s="15"/>
      <c r="G572" s="15"/>
    </row>
    <row r="573" spans="1:26" ht="14.5">
      <c r="A573" s="45" t="s">
        <v>12088</v>
      </c>
      <c r="B573" s="45" t="s">
        <v>12089</v>
      </c>
      <c r="C573" s="46" t="str">
        <f t="shared" si="18"/>
        <v>C05445:1</v>
      </c>
      <c r="D573" s="47" t="str">
        <f t="shared" si="19"/>
        <v>C05445 : 3alpha,7alpha-Dihydroxy-5beta-cholestan-26-al</v>
      </c>
      <c r="E573" s="15"/>
      <c r="F573" s="15"/>
      <c r="G573" s="15"/>
    </row>
    <row r="574" spans="1:26" ht="14.5">
      <c r="A574" s="45" t="s">
        <v>12090</v>
      </c>
      <c r="B574" s="45" t="s">
        <v>12091</v>
      </c>
      <c r="C574" s="46" t="str">
        <f t="shared" si="18"/>
        <v>C05512:1</v>
      </c>
      <c r="D574" s="47" t="str">
        <f t="shared" si="19"/>
        <v>C05512 : Deoxyinosine</v>
      </c>
      <c r="E574" s="15"/>
      <c r="F574" s="15"/>
      <c r="G574" s="15"/>
    </row>
    <row r="575" spans="1:26" ht="14.5">
      <c r="A575" s="45" t="s">
        <v>12092</v>
      </c>
      <c r="B575" s="45" t="s">
        <v>12093</v>
      </c>
      <c r="C575" s="46" t="str">
        <f t="shared" si="18"/>
        <v>C05526:1</v>
      </c>
      <c r="D575" s="47" t="str">
        <f t="shared" si="19"/>
        <v>C05526 : S-Glutathionyl-L-cysteine</v>
      </c>
      <c r="E575" s="15"/>
      <c r="F575" s="15"/>
      <c r="G575" s="15"/>
    </row>
    <row r="576" spans="1:26" ht="14.5">
      <c r="A576" s="52" t="s">
        <v>12094</v>
      </c>
      <c r="B576" s="50" t="s">
        <v>12095</v>
      </c>
      <c r="C576" s="48" t="str">
        <f>CONCATENATE(A576,":1000")</f>
        <v>C05539:1000</v>
      </c>
      <c r="D576" s="49" t="str">
        <f t="shared" si="19"/>
        <v>C05539 : N-Acetyl-L-2-amino-6-oxopimelate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5">
      <c r="A577" s="45" t="s">
        <v>12096</v>
      </c>
      <c r="B577" s="45" t="s">
        <v>12097</v>
      </c>
      <c r="C577" s="46" t="str">
        <f t="shared" si="18"/>
        <v>C05576:1</v>
      </c>
      <c r="D577" s="47" t="str">
        <f t="shared" si="19"/>
        <v>C05576 : 3,4-Dihydroxyphenylethyleneglycol</v>
      </c>
      <c r="E577" s="15"/>
      <c r="F577" s="15"/>
      <c r="G577" s="15"/>
    </row>
    <row r="578" spans="1:26" ht="14.5">
      <c r="A578" s="45" t="s">
        <v>12098</v>
      </c>
      <c r="B578" s="45" t="s">
        <v>12099</v>
      </c>
      <c r="C578" s="46" t="str">
        <f t="shared" si="18"/>
        <v>C05577:1</v>
      </c>
      <c r="D578" s="47" t="str">
        <f t="shared" si="19"/>
        <v>C05577 : 3,4-Dihydroxymandelaldehyde</v>
      </c>
      <c r="E578" s="15"/>
      <c r="F578" s="15"/>
      <c r="G578" s="15"/>
    </row>
    <row r="579" spans="1:26" ht="14.5">
      <c r="A579" s="45" t="s">
        <v>12100</v>
      </c>
      <c r="B579" s="45" t="s">
        <v>12101</v>
      </c>
      <c r="C579" s="46" t="str">
        <f t="shared" si="18"/>
        <v>C05684:1</v>
      </c>
      <c r="D579" s="47" t="str">
        <f t="shared" si="19"/>
        <v>C05684 : Selenite</v>
      </c>
      <c r="E579" s="15"/>
      <c r="F579" s="15"/>
      <c r="G579" s="15"/>
    </row>
    <row r="580" spans="1:26" ht="14.5">
      <c r="A580" s="45" t="s">
        <v>12102</v>
      </c>
      <c r="B580" s="45" t="s">
        <v>12103</v>
      </c>
      <c r="C580" s="46" t="str">
        <f t="shared" si="18"/>
        <v>C05688:1</v>
      </c>
      <c r="D580" s="47" t="str">
        <f t="shared" si="19"/>
        <v>C05688 : L-Selenocysteine</v>
      </c>
      <c r="E580" s="15"/>
      <c r="F580" s="15"/>
      <c r="G580" s="15"/>
    </row>
    <row r="581" spans="1:26" ht="14.5">
      <c r="A581" s="52" t="s">
        <v>12104</v>
      </c>
      <c r="B581" s="50" t="s">
        <v>12105</v>
      </c>
      <c r="C581" s="48" t="str">
        <f t="shared" si="18"/>
        <v>C05689:1</v>
      </c>
      <c r="D581" s="49" t="str">
        <f t="shared" si="19"/>
        <v>C05689 : Se-Methyl-L-selenocysteine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5">
      <c r="A582" s="45" t="s">
        <v>12106</v>
      </c>
      <c r="B582" s="45" t="s">
        <v>12107</v>
      </c>
      <c r="C582" s="46" t="str">
        <f t="shared" si="18"/>
        <v>C05691:1</v>
      </c>
      <c r="D582" s="47" t="str">
        <f t="shared" si="19"/>
        <v>C05691 : Se-Adenosylselenomethionine</v>
      </c>
      <c r="E582" s="15"/>
      <c r="F582" s="15"/>
      <c r="G582" s="41"/>
    </row>
    <row r="583" spans="1:26" ht="14.5">
      <c r="A583" s="45" t="s">
        <v>12108</v>
      </c>
      <c r="B583" s="45" t="s">
        <v>12109</v>
      </c>
      <c r="C583" s="46" t="str">
        <f t="shared" si="18"/>
        <v>C05698:1</v>
      </c>
      <c r="D583" s="47" t="str">
        <f t="shared" si="19"/>
        <v>C05698 : Selenohomocysteine</v>
      </c>
      <c r="E583" s="15"/>
      <c r="F583" s="15"/>
      <c r="G583" s="15"/>
    </row>
    <row r="584" spans="1:26" ht="14.5">
      <c r="A584" s="52" t="s">
        <v>12110</v>
      </c>
      <c r="B584" s="50" t="s">
        <v>12111</v>
      </c>
      <c r="C584" s="48" t="str">
        <f t="shared" si="18"/>
        <v>C05699:1</v>
      </c>
      <c r="D584" s="49" t="str">
        <f t="shared" si="19"/>
        <v>C05699 : L-Selenocystathionine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5">
      <c r="A585" s="45" t="s">
        <v>12112</v>
      </c>
      <c r="B585" s="45" t="s">
        <v>12113</v>
      </c>
      <c r="C585" s="46" t="str">
        <f t="shared" si="18"/>
        <v>C05703:1</v>
      </c>
      <c r="D585" s="47" t="str">
        <f t="shared" si="19"/>
        <v>C05703 : Methaneselenol</v>
      </c>
      <c r="E585" s="15"/>
      <c r="F585" s="15"/>
      <c r="G585" s="15"/>
    </row>
    <row r="586" spans="1:26" ht="14.5">
      <c r="A586" s="52" t="s">
        <v>12114</v>
      </c>
      <c r="B586" s="50" t="s">
        <v>12115</v>
      </c>
      <c r="C586" s="48" t="str">
        <f t="shared" si="18"/>
        <v>C05744:1</v>
      </c>
      <c r="D586" s="49" t="str">
        <f t="shared" si="19"/>
        <v>C05744 : Acetoacetyl-[acp]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5">
      <c r="A587" s="52" t="s">
        <v>12116</v>
      </c>
      <c r="B587" s="50" t="s">
        <v>12117</v>
      </c>
      <c r="C587" s="48" t="str">
        <f t="shared" si="18"/>
        <v>C05745:1</v>
      </c>
      <c r="D587" s="49" t="str">
        <f t="shared" si="19"/>
        <v>C05745 : Butyryl-[acp]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5">
      <c r="A588" s="52" t="s">
        <v>12118</v>
      </c>
      <c r="B588" s="50" t="s">
        <v>12119</v>
      </c>
      <c r="C588" s="48" t="str">
        <f t="shared" si="18"/>
        <v>C05746:1</v>
      </c>
      <c r="D588" s="49" t="str">
        <f t="shared" si="19"/>
        <v>C05746 : 3-Oxohexanoyl-[acp]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5">
      <c r="A589" s="52" t="s">
        <v>12120</v>
      </c>
      <c r="B589" s="50" t="s">
        <v>12121</v>
      </c>
      <c r="C589" s="48" t="str">
        <f t="shared" si="18"/>
        <v>C05747:1</v>
      </c>
      <c r="D589" s="49" t="str">
        <f t="shared" si="19"/>
        <v>C05747 : (3R)-3-Hydroxyhexanoyl-[acyl-carrier protein]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5">
      <c r="A590" s="52" t="s">
        <v>12122</v>
      </c>
      <c r="B590" s="50" t="s">
        <v>12123</v>
      </c>
      <c r="C590" s="48" t="str">
        <f t="shared" si="18"/>
        <v>C05748:1</v>
      </c>
      <c r="D590" s="49" t="str">
        <f t="shared" si="19"/>
        <v>C05748 : trans-Hex-2-enoyl-[acp]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5">
      <c r="A591" s="52" t="s">
        <v>12124</v>
      </c>
      <c r="B591" s="50" t="s">
        <v>12125</v>
      </c>
      <c r="C591" s="48" t="str">
        <f t="shared" si="18"/>
        <v>C05749:1</v>
      </c>
      <c r="D591" s="49" t="str">
        <f t="shared" si="19"/>
        <v>C05749 : Hexanoyl-[acp]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5">
      <c r="A592" s="52" t="s">
        <v>12126</v>
      </c>
      <c r="B592" s="50" t="s">
        <v>12127</v>
      </c>
      <c r="C592" s="48" t="str">
        <f t="shared" si="18"/>
        <v>C05750:1</v>
      </c>
      <c r="D592" s="49" t="str">
        <f t="shared" si="19"/>
        <v>C05750 : 3-Oxooctanoyl-[acp]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5">
      <c r="A593" s="52" t="s">
        <v>12128</v>
      </c>
      <c r="B593" s="50" t="s">
        <v>12129</v>
      </c>
      <c r="C593" s="48" t="str">
        <f t="shared" si="18"/>
        <v>C05751:1</v>
      </c>
      <c r="D593" s="49" t="str">
        <f t="shared" si="19"/>
        <v>C05751 : trans-Oct-2-enoyl-[acp]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5">
      <c r="A594" s="52" t="s">
        <v>12130</v>
      </c>
      <c r="B594" s="50" t="s">
        <v>12131</v>
      </c>
      <c r="C594" s="48" t="str">
        <f t="shared" si="18"/>
        <v>C05752:1</v>
      </c>
      <c r="D594" s="49" t="str">
        <f t="shared" si="19"/>
        <v>C05752 : Octanoyl-[acp]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5">
      <c r="A595" s="52" t="s">
        <v>12132</v>
      </c>
      <c r="B595" s="50" t="s">
        <v>12133</v>
      </c>
      <c r="C595" s="48" t="str">
        <f t="shared" si="18"/>
        <v>C05753:1</v>
      </c>
      <c r="D595" s="49" t="str">
        <f t="shared" si="19"/>
        <v>C05753 : 3-Oxodecanoyl-[acp]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5">
      <c r="A596" s="52" t="s">
        <v>12134</v>
      </c>
      <c r="B596" s="50" t="s">
        <v>12135</v>
      </c>
      <c r="C596" s="48" t="str">
        <f t="shared" si="18"/>
        <v>C05754:1</v>
      </c>
      <c r="D596" s="49" t="str">
        <f t="shared" si="19"/>
        <v>C05754 : trans-Dec-2-enoyl-[acp]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5">
      <c r="A597" s="52" t="s">
        <v>12136</v>
      </c>
      <c r="B597" s="50" t="s">
        <v>12137</v>
      </c>
      <c r="C597" s="48" t="str">
        <f t="shared" si="18"/>
        <v>C05755:1</v>
      </c>
      <c r="D597" s="49" t="str">
        <f t="shared" si="19"/>
        <v>C05755 : Decanoyl-[acp]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5">
      <c r="A598" s="52" t="s">
        <v>12138</v>
      </c>
      <c r="B598" s="50" t="s">
        <v>12139</v>
      </c>
      <c r="C598" s="48" t="str">
        <f t="shared" si="18"/>
        <v>C05756:1</v>
      </c>
      <c r="D598" s="49" t="str">
        <f t="shared" si="19"/>
        <v>C05756 : 3-Oxododecanoyl-[acp]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5">
      <c r="A599" s="52" t="s">
        <v>12140</v>
      </c>
      <c r="B599" s="50" t="s">
        <v>12141</v>
      </c>
      <c r="C599" s="48" t="str">
        <f t="shared" si="18"/>
        <v>C05757:1</v>
      </c>
      <c r="D599" s="49" t="str">
        <f t="shared" si="19"/>
        <v>C05757 : (3R)-3-Hydroxydodecanoyl-[acyl-carrier protein]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5">
      <c r="A600" s="52" t="s">
        <v>12142</v>
      </c>
      <c r="B600" s="50" t="s">
        <v>12143</v>
      </c>
      <c r="C600" s="48" t="str">
        <f t="shared" si="18"/>
        <v>C05758:1</v>
      </c>
      <c r="D600" s="49" t="str">
        <f t="shared" si="19"/>
        <v>C05758 : trans-Dodec-2-enoyl-[acp]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5">
      <c r="A601" s="52" t="s">
        <v>12144</v>
      </c>
      <c r="B601" s="50" t="s">
        <v>12145</v>
      </c>
      <c r="C601" s="48" t="str">
        <f t="shared" si="18"/>
        <v>C05759:1</v>
      </c>
      <c r="D601" s="49" t="str">
        <f t="shared" si="19"/>
        <v>C05759 : 3-Oxotetradecanoyl-[acp]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5">
      <c r="A602" s="52" t="s">
        <v>12146</v>
      </c>
      <c r="B602" s="50" t="s">
        <v>12147</v>
      </c>
      <c r="C602" s="48" t="str">
        <f t="shared" si="18"/>
        <v>C05760:1</v>
      </c>
      <c r="D602" s="49" t="str">
        <f t="shared" si="19"/>
        <v>C05760 : trans-Tetradec-2-enoyl-[acp]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5">
      <c r="A603" s="52" t="s">
        <v>12148</v>
      </c>
      <c r="B603" s="50" t="s">
        <v>12149</v>
      </c>
      <c r="C603" s="48" t="str">
        <f t="shared" si="18"/>
        <v>C05761:1</v>
      </c>
      <c r="D603" s="49" t="str">
        <f t="shared" si="19"/>
        <v>C05761 : Tetradecanoyl-[acp]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5">
      <c r="A604" s="52" t="s">
        <v>12150</v>
      </c>
      <c r="B604" s="50" t="s">
        <v>12151</v>
      </c>
      <c r="C604" s="48" t="str">
        <f t="shared" si="18"/>
        <v>C05762:1</v>
      </c>
      <c r="D604" s="49" t="str">
        <f t="shared" si="19"/>
        <v>C05762 : 3-Oxohexadecanoyl-[acp]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5">
      <c r="A605" s="52" t="s">
        <v>12152</v>
      </c>
      <c r="B605" s="50" t="s">
        <v>12153</v>
      </c>
      <c r="C605" s="48" t="str">
        <f t="shared" si="18"/>
        <v>C05763:1</v>
      </c>
      <c r="D605" s="49" t="str">
        <f t="shared" si="19"/>
        <v>C05763 : trans-Hexadec-2-enoyl-[acp]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5">
      <c r="A606" s="52" t="s">
        <v>12154</v>
      </c>
      <c r="B606" s="50" t="s">
        <v>12155</v>
      </c>
      <c r="C606" s="48" t="str">
        <f t="shared" si="18"/>
        <v>C05764:1</v>
      </c>
      <c r="D606" s="49" t="str">
        <f t="shared" si="19"/>
        <v>C05764 : Hexadecanoyl-[acp]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5">
      <c r="A607" s="52" t="s">
        <v>12156</v>
      </c>
      <c r="B607" s="50" t="s">
        <v>12157</v>
      </c>
      <c r="C607" s="48" t="str">
        <f t="shared" si="18"/>
        <v>C05774:1</v>
      </c>
      <c r="D607" s="49" t="str">
        <f t="shared" si="19"/>
        <v>C05774 : Cobinamide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5">
      <c r="A608" s="52" t="s">
        <v>12158</v>
      </c>
      <c r="B608" s="50" t="s">
        <v>12159</v>
      </c>
      <c r="C608" s="48" t="str">
        <f t="shared" si="18"/>
        <v>C05796:1</v>
      </c>
      <c r="D608" s="49" t="str">
        <f t="shared" si="19"/>
        <v>C05796 : Galactan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5">
      <c r="A609" s="52" t="s">
        <v>12160</v>
      </c>
      <c r="B609" s="50" t="s">
        <v>12161</v>
      </c>
      <c r="C609" s="48" t="str">
        <f t="shared" si="18"/>
        <v>C05811:1</v>
      </c>
      <c r="D609" s="49" t="str">
        <f t="shared" si="19"/>
        <v>C05811 : 2-Octaprenyl-6-hydroxyphenol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5">
      <c r="A610" s="52" t="s">
        <v>12162</v>
      </c>
      <c r="B610" s="50" t="s">
        <v>12163</v>
      </c>
      <c r="C610" s="48" t="str">
        <f t="shared" si="18"/>
        <v>C05812:1</v>
      </c>
      <c r="D610" s="49" t="str">
        <f t="shared" si="19"/>
        <v>C05812 : 2-Octaprenyl-6-methoxyphenol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5">
      <c r="A611" s="52" t="s">
        <v>12164</v>
      </c>
      <c r="B611" s="50" t="s">
        <v>12165</v>
      </c>
      <c r="C611" s="48" t="str">
        <f t="shared" si="18"/>
        <v>C05817:1</v>
      </c>
      <c r="D611" s="49" t="str">
        <f t="shared" si="19"/>
        <v>C05817 : (1R,6R)-6-Hydroxy-2-succinylcyclohexa-2,4-diene-1-carboxylate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5">
      <c r="A612" s="45" t="s">
        <v>12166</v>
      </c>
      <c r="B612" s="45" t="s">
        <v>12167</v>
      </c>
      <c r="C612" s="46" t="str">
        <f t="shared" si="18"/>
        <v>C05823:1</v>
      </c>
      <c r="D612" s="47" t="str">
        <f t="shared" si="19"/>
        <v>C05823 : 3-Mercaptolactate</v>
      </c>
      <c r="E612" s="15"/>
      <c r="F612" s="15"/>
      <c r="G612" s="15"/>
    </row>
    <row r="613" spans="1:26" ht="14.5">
      <c r="A613" s="45" t="s">
        <v>12168</v>
      </c>
      <c r="B613" s="45" t="s">
        <v>12169</v>
      </c>
      <c r="C613" s="46" t="str">
        <f t="shared" si="18"/>
        <v>C05841:1</v>
      </c>
      <c r="D613" s="47" t="str">
        <f t="shared" si="19"/>
        <v>C05841 : Nicotinate D-ribonucleoside</v>
      </c>
      <c r="E613" s="15"/>
      <c r="F613" s="15"/>
      <c r="G613" s="15"/>
    </row>
    <row r="614" spans="1:26" ht="14.5">
      <c r="A614" s="52" t="s">
        <v>12170</v>
      </c>
      <c r="B614" s="50" t="s">
        <v>12171</v>
      </c>
      <c r="C614" s="48" t="str">
        <f t="shared" si="18"/>
        <v>C05847:1</v>
      </c>
      <c r="D614" s="49" t="str">
        <f t="shared" si="19"/>
        <v>C05847 : all-trans-Polyprenyl diphosphate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5">
      <c r="A615" s="45" t="s">
        <v>12172</v>
      </c>
      <c r="B615" s="45" t="s">
        <v>12173</v>
      </c>
      <c r="C615" s="46" t="str">
        <f t="shared" si="18"/>
        <v>C05892:1</v>
      </c>
      <c r="D615" s="47" t="str">
        <f t="shared" si="19"/>
        <v>C05892 : UDP-N-acetylmuramoyl-L-alanyl-gamma-D-glutamyl-L-lysine</v>
      </c>
      <c r="E615" s="15"/>
      <c r="F615" s="15"/>
      <c r="G615" s="15"/>
    </row>
    <row r="616" spans="1:26" ht="14.5">
      <c r="A616" s="45" t="s">
        <v>12174</v>
      </c>
      <c r="B616" s="45" t="s">
        <v>12175</v>
      </c>
      <c r="C616" s="46" t="str">
        <f t="shared" si="18"/>
        <v>C05893:1</v>
      </c>
      <c r="D616" s="47" t="str">
        <f t="shared" si="19"/>
        <v>C05893 : Undecaprenyl-diphospho-N-acetylmuramoyl-(N-acetylglucosamine)-L-alanyl-gamma-D-glutamyl-L-lysyl-D-alanyl-D-alanine</v>
      </c>
      <c r="E616" s="15"/>
      <c r="F616" s="15"/>
      <c r="G616" s="15"/>
    </row>
    <row r="617" spans="1:26" ht="14.5">
      <c r="A617" s="45" t="s">
        <v>12176</v>
      </c>
      <c r="B617" s="45" t="s">
        <v>12177</v>
      </c>
      <c r="C617" s="46" t="str">
        <f t="shared" si="18"/>
        <v>C05897:1</v>
      </c>
      <c r="D617" s="47" t="str">
        <f t="shared" si="19"/>
        <v>C05897 : Undecaprenyl-diphospho-N-acetylmuramoyl-L-alanyl-D-glutamyl-meso-2,6-diaminopimeloyl-D-alanyl-D-alanine</v>
      </c>
      <c r="E617" s="15"/>
      <c r="F617" s="15"/>
      <c r="G617" s="15"/>
    </row>
    <row r="618" spans="1:26" ht="14.5">
      <c r="A618" s="45" t="s">
        <v>12178</v>
      </c>
      <c r="B618" s="45" t="s">
        <v>12179</v>
      </c>
      <c r="C618" s="46" t="str">
        <f t="shared" si="18"/>
        <v>C05898:1</v>
      </c>
      <c r="D618" s="47" t="str">
        <f t="shared" si="19"/>
        <v>C05898 : Undecaprenyl-diphospho-N-acetylmuramoyl-(N-acetylglucosamine)-L-alanyl-D-glutamyl-meso-2,6-diaminopimeloyl-D-alanyl-D-alanine</v>
      </c>
      <c r="E618" s="15"/>
      <c r="F618" s="15"/>
      <c r="G618" s="15"/>
    </row>
    <row r="619" spans="1:26" ht="14.5">
      <c r="A619" s="52" t="s">
        <v>12180</v>
      </c>
      <c r="B619" s="50" t="s">
        <v>12181</v>
      </c>
      <c r="C619" s="48" t="str">
        <f t="shared" si="18"/>
        <v>C05921:1</v>
      </c>
      <c r="D619" s="49" t="str">
        <f t="shared" si="19"/>
        <v>C05921 : Biotinyl-5'-AMP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5">
      <c r="A620" s="45" t="s">
        <v>12182</v>
      </c>
      <c r="B620" s="45" t="s">
        <v>12183</v>
      </c>
      <c r="C620" s="46" t="str">
        <f t="shared" si="18"/>
        <v>C05984:1</v>
      </c>
      <c r="D620" s="47" t="str">
        <f t="shared" si="19"/>
        <v>C05984 : 2-Hydroxybutanoic acid</v>
      </c>
      <c r="E620" s="15"/>
      <c r="F620" s="15"/>
      <c r="G620" s="15"/>
    </row>
    <row r="621" spans="1:26" ht="14.5">
      <c r="A621" s="52" t="s">
        <v>12184</v>
      </c>
      <c r="B621" s="50" t="s">
        <v>12185</v>
      </c>
      <c r="C621" s="48" t="str">
        <f>CONCATENATE(A621,":1000")</f>
        <v>C06006:1000</v>
      </c>
      <c r="D621" s="49" t="str">
        <f t="shared" si="19"/>
        <v>C06006 : (S)-2-Aceto-2-hydroxybutanoate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5">
      <c r="A622" s="52" t="s">
        <v>12186</v>
      </c>
      <c r="B622" s="50" t="s">
        <v>12187</v>
      </c>
      <c r="C622" s="48" t="str">
        <f>CONCATENATE(A622,":1000")</f>
        <v>C06010:1000</v>
      </c>
      <c r="D622" s="49" t="str">
        <f t="shared" si="19"/>
        <v>C06010 : (S)-2-Acetolactate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5">
      <c r="A623" s="52" t="s">
        <v>12188</v>
      </c>
      <c r="B623" s="50" t="s">
        <v>12189</v>
      </c>
      <c r="C623" s="48" t="str">
        <f>CONCATENATE(A623,":1000")</f>
        <v>C06019:1000</v>
      </c>
      <c r="D623" s="49" t="str">
        <f t="shared" si="19"/>
        <v>C06019 : D-arabino-Hex-3-ulose 6-phosphate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5">
      <c r="A624" s="52" t="s">
        <v>12190</v>
      </c>
      <c r="B624" s="50" t="s">
        <v>12191</v>
      </c>
      <c r="C624" s="48" t="str">
        <f>CONCATENATE(A624,":1000")</f>
        <v>C06030:1000</v>
      </c>
      <c r="D624" s="49" t="str">
        <f t="shared" si="19"/>
        <v>C06030 : Methyloxaloacetate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5">
      <c r="A625" s="52" t="s">
        <v>12192</v>
      </c>
      <c r="B625" s="50" t="s">
        <v>12193</v>
      </c>
      <c r="C625" s="48" t="str">
        <f t="shared" ref="C625:C847" si="20">CONCATENATE(A625,":1")</f>
        <v>C06037:1</v>
      </c>
      <c r="D625" s="49" t="str">
        <f t="shared" si="19"/>
        <v>C06037 : Digalactosyl-diacylglycerol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5">
      <c r="A626" s="45" t="s">
        <v>12194</v>
      </c>
      <c r="B626" s="45" t="s">
        <v>12195</v>
      </c>
      <c r="C626" s="46" t="str">
        <f t="shared" si="20"/>
        <v>C06055:1</v>
      </c>
      <c r="D626" s="47" t="str">
        <f t="shared" si="19"/>
        <v>C06055 : O-Phospho-4-hydroxy-L-threonine</v>
      </c>
      <c r="E626" s="15"/>
      <c r="F626" s="15"/>
      <c r="G626" s="15"/>
    </row>
    <row r="627" spans="1:26" ht="14.5">
      <c r="A627" s="45" t="s">
        <v>12196</v>
      </c>
      <c r="B627" s="45" t="s">
        <v>12197</v>
      </c>
      <c r="C627" s="46" t="str">
        <f t="shared" si="20"/>
        <v>C06056:1</v>
      </c>
      <c r="D627" s="47" t="str">
        <f t="shared" si="19"/>
        <v>C06056 : 4-Hydroxy-L-threonine</v>
      </c>
      <c r="E627" s="15"/>
      <c r="F627" s="15"/>
      <c r="G627" s="15"/>
    </row>
    <row r="628" spans="1:26" ht="14.5">
      <c r="A628" s="52" t="s">
        <v>12198</v>
      </c>
      <c r="B628" s="50" t="s">
        <v>12199</v>
      </c>
      <c r="C628" s="48" t="str">
        <f t="shared" si="20"/>
        <v>C06125:1</v>
      </c>
      <c r="D628" s="49" t="str">
        <f t="shared" si="19"/>
        <v>C06125 : Sulfatide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5">
      <c r="A629" s="52" t="s">
        <v>12200</v>
      </c>
      <c r="B629" s="50" t="s">
        <v>12201</v>
      </c>
      <c r="C629" s="48" t="str">
        <f t="shared" si="20"/>
        <v>C06126:1</v>
      </c>
      <c r="D629" s="49" t="str">
        <f t="shared" si="19"/>
        <v>C06126 : Digalactosylceramide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5">
      <c r="A630" s="52" t="s">
        <v>12202</v>
      </c>
      <c r="B630" s="50" t="s">
        <v>12203</v>
      </c>
      <c r="C630" s="48" t="str">
        <f t="shared" si="20"/>
        <v>C06135:1</v>
      </c>
      <c r="D630" s="49" t="str">
        <f t="shared" si="19"/>
        <v>C06135 : GA2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5">
      <c r="A631" s="52" t="s">
        <v>12204</v>
      </c>
      <c r="B631" s="50" t="s">
        <v>12205</v>
      </c>
      <c r="C631" s="48" t="str">
        <f t="shared" si="20"/>
        <v>C06136:1</v>
      </c>
      <c r="D631" s="49" t="str">
        <f t="shared" si="19"/>
        <v>C06136 : GA1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5">
      <c r="A632" s="45" t="s">
        <v>12206</v>
      </c>
      <c r="B632" s="45" t="s">
        <v>12207</v>
      </c>
      <c r="C632" s="46" t="str">
        <f t="shared" si="20"/>
        <v>C06156:1</v>
      </c>
      <c r="D632" s="47" t="str">
        <f t="shared" si="19"/>
        <v>C06156 : alpha-D-Glucosamine 1-phosphate</v>
      </c>
      <c r="E632" s="15"/>
      <c r="F632" s="15"/>
      <c r="G632" s="15"/>
    </row>
    <row r="633" spans="1:26" ht="14.5">
      <c r="A633" s="45" t="s">
        <v>12208</v>
      </c>
      <c r="B633" s="45" t="s">
        <v>12209</v>
      </c>
      <c r="C633" s="46" t="str">
        <f t="shared" si="20"/>
        <v>C06187:1</v>
      </c>
      <c r="D633" s="47" t="str">
        <f t="shared" si="19"/>
        <v>C06187 : Arbutin 6-phosphate</v>
      </c>
      <c r="E633" s="15"/>
      <c r="F633" s="15"/>
      <c r="G633" s="15"/>
    </row>
    <row r="634" spans="1:26" ht="14.5">
      <c r="A634" s="45" t="s">
        <v>12210</v>
      </c>
      <c r="B634" s="45" t="s">
        <v>12211</v>
      </c>
      <c r="C634" s="46" t="str">
        <f t="shared" si="20"/>
        <v>C06188:1</v>
      </c>
      <c r="D634" s="47" t="str">
        <f t="shared" si="19"/>
        <v>C06188 : Salicin 6-phosphate</v>
      </c>
      <c r="E634" s="15"/>
      <c r="F634" s="15"/>
      <c r="G634" s="15"/>
    </row>
    <row r="635" spans="1:26" ht="14.5">
      <c r="A635" s="45" t="s">
        <v>12212</v>
      </c>
      <c r="B635" s="45" t="s">
        <v>12213</v>
      </c>
      <c r="C635" s="46" t="str">
        <f t="shared" si="20"/>
        <v>C06196:1</v>
      </c>
      <c r="D635" s="47" t="str">
        <f t="shared" si="19"/>
        <v>C06196 : 2'-Deoxyinosine 5'-phosphate</v>
      </c>
      <c r="E635" s="15"/>
      <c r="F635" s="15"/>
      <c r="G635" s="15"/>
    </row>
    <row r="636" spans="1:26" ht="14.5">
      <c r="A636" s="52" t="s">
        <v>12214</v>
      </c>
      <c r="B636" s="50" t="s">
        <v>12215</v>
      </c>
      <c r="C636" s="48" t="str">
        <f>CONCATENATE(A636,":1000")</f>
        <v>C06244:1000</v>
      </c>
      <c r="D636" s="49" t="str">
        <f t="shared" si="19"/>
        <v>C06244 : Acetamide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5">
      <c r="A637" s="52" t="s">
        <v>12216</v>
      </c>
      <c r="B637" s="50" t="s">
        <v>12217</v>
      </c>
      <c r="C637" s="48" t="str">
        <f t="shared" si="20"/>
        <v>C06249:1</v>
      </c>
      <c r="D637" s="49" t="str">
        <f t="shared" si="19"/>
        <v>C06249 : Apo-[carboxylase]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5">
      <c r="A638" s="52" t="s">
        <v>12218</v>
      </c>
      <c r="B638" s="50" t="s">
        <v>12219</v>
      </c>
      <c r="C638" s="48" t="str">
        <f t="shared" si="20"/>
        <v>C06250:1</v>
      </c>
      <c r="D638" s="49" t="str">
        <f t="shared" si="19"/>
        <v>C06250 : Holo-[carboxylase]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5">
      <c r="A639" s="52" t="s">
        <v>12220</v>
      </c>
      <c r="B639" s="50" t="s">
        <v>12221</v>
      </c>
      <c r="C639" s="48" t="str">
        <f>CONCATENATE(A639,":1000")</f>
        <v>C06423:1000</v>
      </c>
      <c r="D639" s="49" t="str">
        <f t="shared" si="19"/>
        <v>C06423 : Octanoic acid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5">
      <c r="A640" s="45" t="s">
        <v>12222</v>
      </c>
      <c r="B640" s="45" t="s">
        <v>12223</v>
      </c>
      <c r="C640" s="46" t="str">
        <f t="shared" si="20"/>
        <v>C06481:1</v>
      </c>
      <c r="D640" s="47" t="str">
        <f t="shared" si="19"/>
        <v>C06481 : L-Seryl-tRNA(Sec)</v>
      </c>
      <c r="E640" s="15"/>
      <c r="F640" s="15"/>
      <c r="G640" s="15"/>
    </row>
    <row r="641" spans="1:26" ht="14.5">
      <c r="A641" s="52" t="s">
        <v>12224</v>
      </c>
      <c r="B641" s="50" t="s">
        <v>12225</v>
      </c>
      <c r="C641" s="48" t="str">
        <f t="shared" si="20"/>
        <v>C06504:1</v>
      </c>
      <c r="D641" s="49" t="str">
        <f t="shared" si="19"/>
        <v>C06504 : Cob(II)yrinate a,c diamide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5">
      <c r="A642" s="52" t="s">
        <v>12226</v>
      </c>
      <c r="B642" s="50" t="s">
        <v>12227</v>
      </c>
      <c r="C642" s="48" t="str">
        <f t="shared" si="20"/>
        <v>C06505:1</v>
      </c>
      <c r="D642" s="49" t="str">
        <f t="shared" si="19"/>
        <v>C06505 : Cob(I)yrinate a,c diamide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5">
      <c r="A643" s="52" t="s">
        <v>12228</v>
      </c>
      <c r="B643" s="50" t="s">
        <v>12229</v>
      </c>
      <c r="C643" s="48" t="str">
        <f t="shared" si="20"/>
        <v>C06506:1</v>
      </c>
      <c r="D643" s="49" t="str">
        <f t="shared" si="19"/>
        <v>C06506 : Adenosyl cobyrinate a,c diamide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5">
      <c r="A644" s="52" t="s">
        <v>12230</v>
      </c>
      <c r="B644" s="50" t="s">
        <v>12231</v>
      </c>
      <c r="C644" s="48" t="str">
        <f t="shared" si="20"/>
        <v>C06508:1</v>
      </c>
      <c r="D644" s="49" t="str">
        <f t="shared" si="19"/>
        <v>C06508 : Adenosyl cobinamide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5">
      <c r="A645" s="45" t="s">
        <v>12232</v>
      </c>
      <c r="B645" s="45" t="s">
        <v>12233</v>
      </c>
      <c r="C645" s="46" t="str">
        <f t="shared" si="20"/>
        <v>C06611:1</v>
      </c>
      <c r="D645" s="47" t="str">
        <f t="shared" si="19"/>
        <v>C06611 : trans-3-Chloro-2-propene-1-ol</v>
      </c>
      <c r="E645" s="15"/>
      <c r="F645" s="15"/>
      <c r="G645" s="15"/>
    </row>
    <row r="646" spans="1:26" ht="14.5">
      <c r="A646" s="45" t="s">
        <v>12234</v>
      </c>
      <c r="B646" s="45" t="s">
        <v>12235</v>
      </c>
      <c r="C646" s="46" t="str">
        <f t="shared" si="20"/>
        <v>C06612:1</v>
      </c>
      <c r="D646" s="47" t="str">
        <f t="shared" si="19"/>
        <v>C06612 : cis-3-Chloro-2-propene-1-ol</v>
      </c>
      <c r="E646" s="15"/>
      <c r="F646" s="15"/>
      <c r="G646" s="15"/>
    </row>
    <row r="647" spans="1:26" ht="14.5">
      <c r="A647" s="45" t="s">
        <v>12236</v>
      </c>
      <c r="B647" s="45" t="s">
        <v>12237</v>
      </c>
      <c r="C647" s="46" t="str">
        <f t="shared" si="20"/>
        <v>C06613:1</v>
      </c>
      <c r="D647" s="47" t="str">
        <f t="shared" si="19"/>
        <v>C06613 : trans-3-Chloroallyl aldehyde</v>
      </c>
      <c r="E647" s="15"/>
      <c r="F647" s="15"/>
      <c r="G647" s="15"/>
    </row>
    <row r="648" spans="1:26" ht="14.5">
      <c r="A648" s="52" t="s">
        <v>12238</v>
      </c>
      <c r="B648" s="50" t="s">
        <v>12239</v>
      </c>
      <c r="C648" s="48" t="str">
        <f>CONCATENATE(A648,":1000")</f>
        <v>C06697:1000</v>
      </c>
      <c r="D648" s="49" t="str">
        <f t="shared" si="19"/>
        <v>C06697 : Arsenite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5">
      <c r="A649" s="52" t="s">
        <v>12240</v>
      </c>
      <c r="B649" s="50" t="s">
        <v>12241</v>
      </c>
      <c r="C649" s="48" t="str">
        <f t="shared" si="20"/>
        <v>C06715:1</v>
      </c>
      <c r="D649" s="49" t="str">
        <f t="shared" si="19"/>
        <v>C06715 : 3-Oxopimeloyl-CoA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5">
      <c r="A650" s="52" t="s">
        <v>12242</v>
      </c>
      <c r="B650" s="50" t="s">
        <v>12243</v>
      </c>
      <c r="C650" s="48" t="str">
        <f>CONCATENATE(A650,":1000")</f>
        <v>C06892:1000</v>
      </c>
      <c r="D650" s="49" t="str">
        <f t="shared" si="19"/>
        <v>C06892 : 2-Deoxy-5-keto-D-gluconic acid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5">
      <c r="A651" s="52" t="s">
        <v>12244</v>
      </c>
      <c r="B651" s="50" t="s">
        <v>12245</v>
      </c>
      <c r="C651" s="48" t="str">
        <f>CONCATENATE(A651,":1000")</f>
        <v>C06893:1000</v>
      </c>
      <c r="D651" s="49" t="str">
        <f t="shared" si="19"/>
        <v>C06893 : 2-Deoxy-5-keto-D-gluconic acid 6-phosphate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5">
      <c r="A652" s="45" t="s">
        <v>12246</v>
      </c>
      <c r="B652" s="45" t="s">
        <v>12247</v>
      </c>
      <c r="C652" s="46" t="str">
        <f t="shared" si="20"/>
        <v>C06899:1</v>
      </c>
      <c r="D652" s="47" t="str">
        <f t="shared" si="19"/>
        <v>C06899 : Chloral hydrate</v>
      </c>
      <c r="E652" s="15"/>
      <c r="F652" s="15"/>
      <c r="G652" s="15"/>
    </row>
    <row r="653" spans="1:26" ht="14.5">
      <c r="A653" s="52" t="s">
        <v>12248</v>
      </c>
      <c r="B653" s="50" t="s">
        <v>12249</v>
      </c>
      <c r="C653" s="48" t="str">
        <f>CONCATENATE(A653,":1000")</f>
        <v>C07086:1000</v>
      </c>
      <c r="D653" s="49" t="str">
        <f t="shared" si="19"/>
        <v>C07086 : Phenylacetic acid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5">
      <c r="A654" s="52" t="s">
        <v>12250</v>
      </c>
      <c r="B654" s="50" t="s">
        <v>12251</v>
      </c>
      <c r="C654" s="48" t="str">
        <f t="shared" si="20"/>
        <v>C07118:1</v>
      </c>
      <c r="D654" s="49" t="str">
        <f t="shared" si="19"/>
        <v>C07118 : Benzoylacetyl-CoA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5">
      <c r="A655" s="52" t="s">
        <v>12252</v>
      </c>
      <c r="B655" s="50" t="s">
        <v>12253</v>
      </c>
      <c r="C655" s="48" t="str">
        <f t="shared" si="20"/>
        <v>C07335:1</v>
      </c>
      <c r="D655" s="49" t="str">
        <f t="shared" si="19"/>
        <v>C07335 : 2-Amino-3-oxo-4-phosphonooxybutyrate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5">
      <c r="A656" s="45" t="s">
        <v>12254</v>
      </c>
      <c r="B656" s="45" t="s">
        <v>12255</v>
      </c>
      <c r="C656" s="46" t="str">
        <f t="shared" si="20"/>
        <v>C07478:1</v>
      </c>
      <c r="D656" s="47" t="str">
        <f t="shared" si="19"/>
        <v>C07478 : 2-Hydroxy-5-methyl-cis,cis-muconate</v>
      </c>
      <c r="E656" s="15"/>
      <c r="F656" s="15"/>
      <c r="G656" s="15"/>
    </row>
    <row r="657" spans="1:26" ht="14.5">
      <c r="A657" s="45" t="s">
        <v>12256</v>
      </c>
      <c r="B657" s="45" t="s">
        <v>12257</v>
      </c>
      <c r="C657" s="46" t="str">
        <f t="shared" si="20"/>
        <v>C07479:1</v>
      </c>
      <c r="D657" s="47" t="str">
        <f t="shared" si="19"/>
        <v>C07479 : 2-Oxo-5-methyl-cis-muconate</v>
      </c>
      <c r="E657" s="15"/>
      <c r="F657" s="15"/>
      <c r="G657" s="15"/>
    </row>
    <row r="658" spans="1:26" ht="14.5">
      <c r="A658" s="45" t="s">
        <v>12258</v>
      </c>
      <c r="B658" s="45" t="s">
        <v>12259</v>
      </c>
      <c r="C658" s="46" t="str">
        <f t="shared" si="20"/>
        <v>C07490:1</v>
      </c>
      <c r="D658" s="47" t="str">
        <f t="shared" si="19"/>
        <v>C07490 : Trichloroethanol</v>
      </c>
      <c r="E658" s="15"/>
      <c r="F658" s="15"/>
      <c r="G658" s="15"/>
    </row>
    <row r="659" spans="1:26" ht="14.5">
      <c r="A659" s="45" t="s">
        <v>12260</v>
      </c>
      <c r="B659" s="45" t="s">
        <v>12261</v>
      </c>
      <c r="C659" s="46" t="str">
        <f t="shared" si="20"/>
        <v>C07645:1</v>
      </c>
      <c r="D659" s="47" t="str">
        <f t="shared" si="19"/>
        <v>C07645 : Aldophosphamide</v>
      </c>
      <c r="E659" s="15"/>
      <c r="F659" s="15"/>
      <c r="G659" s="15"/>
    </row>
    <row r="660" spans="1:26" ht="14.5">
      <c r="A660" s="45" t="s">
        <v>12262</v>
      </c>
      <c r="B660" s="45" t="s">
        <v>12263</v>
      </c>
      <c r="C660" s="46" t="str">
        <f t="shared" si="20"/>
        <v>C08353:1</v>
      </c>
      <c r="D660" s="47" t="str">
        <f t="shared" si="19"/>
        <v>C08353 : beta-D-Ribopyranose</v>
      </c>
      <c r="E660" s="15"/>
      <c r="F660" s="15"/>
      <c r="G660" s="15"/>
    </row>
    <row r="661" spans="1:26" ht="14.5">
      <c r="A661" s="45" t="s">
        <v>12264</v>
      </c>
      <c r="B661" s="45" t="s">
        <v>12265</v>
      </c>
      <c r="C661" s="46" t="str">
        <f t="shared" si="20"/>
        <v>C08492:1</v>
      </c>
      <c r="D661" s="47" t="str">
        <f t="shared" si="19"/>
        <v>C08492 : 3-Hexenol</v>
      </c>
      <c r="E661" s="15"/>
      <c r="F661" s="15"/>
      <c r="G661" s="15"/>
    </row>
    <row r="662" spans="1:26" ht="14.5">
      <c r="A662" s="45" t="s">
        <v>12266</v>
      </c>
      <c r="B662" s="45" t="s">
        <v>12267</v>
      </c>
      <c r="C662" s="46" t="str">
        <f t="shared" si="20"/>
        <v>C09306:1</v>
      </c>
      <c r="D662" s="47" t="str">
        <f t="shared" si="19"/>
        <v>C09306 : Sulfur Dioxide</v>
      </c>
      <c r="E662" s="15"/>
      <c r="F662" s="15"/>
      <c r="G662" s="15"/>
    </row>
    <row r="663" spans="1:26" ht="14.5">
      <c r="A663" s="52" t="s">
        <v>12268</v>
      </c>
      <c r="B663" s="50" t="s">
        <v>12269</v>
      </c>
      <c r="C663" s="48" t="str">
        <f>CONCATENATE(A663,":1000")</f>
        <v>C09815:1000</v>
      </c>
      <c r="D663" s="49" t="str">
        <f t="shared" si="19"/>
        <v>C09815 : Benzamide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5">
      <c r="A664" s="52" t="s">
        <v>12270</v>
      </c>
      <c r="B664" s="50" t="s">
        <v>12271</v>
      </c>
      <c r="C664" s="48" t="str">
        <f>CONCATENATE(A664,":1000")</f>
        <v>C11038:1000</v>
      </c>
      <c r="D664" s="49" t="str">
        <f t="shared" si="19"/>
        <v>C11038 : 2'-Deoxy-5-hydroxymethylcytidine-5'-diphosphate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5">
      <c r="A665" s="45" t="s">
        <v>12272</v>
      </c>
      <c r="B665" s="45" t="s">
        <v>12273</v>
      </c>
      <c r="C665" s="46" t="str">
        <f t="shared" si="20"/>
        <v>C11039:1</v>
      </c>
      <c r="D665" s="47" t="str">
        <f t="shared" si="19"/>
        <v>C11039 : 2'-Deoxy-5-hydroxymethylcytidine-5'-triphosphate</v>
      </c>
      <c r="E665" s="15"/>
      <c r="F665" s="15"/>
      <c r="G665" s="15"/>
    </row>
    <row r="666" spans="1:26" ht="14.5">
      <c r="A666" s="52" t="s">
        <v>12274</v>
      </c>
      <c r="B666" s="50" t="s">
        <v>12275</v>
      </c>
      <c r="C666" s="48" t="str">
        <f>CONCATENATE(A666,":1000")</f>
        <v>C11215:1000</v>
      </c>
      <c r="D666" s="49" t="str">
        <f t="shared" si="19"/>
        <v>C11215 : Arsenate ion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5">
      <c r="A667" s="52" t="s">
        <v>12276</v>
      </c>
      <c r="B667" s="50" t="s">
        <v>12277</v>
      </c>
      <c r="C667" s="48" t="str">
        <f t="shared" si="20"/>
        <v>C11435:1</v>
      </c>
      <c r="D667" s="49" t="str">
        <f t="shared" si="19"/>
        <v>C11435 : 4-(Cytidine 5'-diphospho)-2-C-methyl-D-erythritol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5">
      <c r="A668" s="52" t="s">
        <v>12278</v>
      </c>
      <c r="B668" s="50" t="s">
        <v>12279</v>
      </c>
      <c r="C668" s="48" t="str">
        <f t="shared" si="20"/>
        <v>C11436:1</v>
      </c>
      <c r="D668" s="49" t="str">
        <f t="shared" si="19"/>
        <v>C11436 : 2-Phospho-4-(cytidine 5'-diphospho)-2-C-methyl-D-erythritol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5">
      <c r="A669" s="45" t="s">
        <v>12280</v>
      </c>
      <c r="B669" s="45" t="s">
        <v>12281</v>
      </c>
      <c r="C669" s="46" t="str">
        <f t="shared" si="20"/>
        <v>C11439:1</v>
      </c>
      <c r="D669" s="47" t="str">
        <f t="shared" si="19"/>
        <v>C11439 : Formyl-L-methionyl peptide</v>
      </c>
      <c r="E669" s="15"/>
      <c r="F669" s="15"/>
      <c r="G669" s="15"/>
    </row>
    <row r="670" spans="1:26" ht="16.5" customHeight="1">
      <c r="A670" s="45" t="s">
        <v>12282</v>
      </c>
      <c r="B670" s="45" t="s">
        <v>12283</v>
      </c>
      <c r="C670" s="46" t="str">
        <f t="shared" si="20"/>
        <v>C11440:1</v>
      </c>
      <c r="D670" s="47" t="str">
        <f t="shared" si="19"/>
        <v>C11440 : Methionyl peptide</v>
      </c>
      <c r="E670" s="15"/>
      <c r="F670" s="15"/>
      <c r="G670" s="15"/>
    </row>
    <row r="671" spans="1:26" ht="14.5">
      <c r="A671" s="45" t="s">
        <v>12284</v>
      </c>
      <c r="B671" s="45" t="s">
        <v>12285</v>
      </c>
      <c r="C671" s="46" t="str">
        <f t="shared" si="20"/>
        <v>C11475:1</v>
      </c>
      <c r="D671" s="47" t="str">
        <f t="shared" si="19"/>
        <v>C11475 : DNA containing guanine</v>
      </c>
      <c r="E671" s="15"/>
      <c r="F671" s="15"/>
      <c r="G671" s="15"/>
    </row>
    <row r="672" spans="1:26" ht="14.5">
      <c r="A672" s="52" t="s">
        <v>12286</v>
      </c>
      <c r="B672" s="50" t="s">
        <v>12287</v>
      </c>
      <c r="C672" s="48" t="str">
        <f t="shared" si="20"/>
        <v>C11638:1</v>
      </c>
      <c r="D672" s="49" t="str">
        <f t="shared" si="19"/>
        <v>C11638 : 3-Amino-2-oxopropyl phosphate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5">
      <c r="A673" s="45" t="s">
        <v>12288</v>
      </c>
      <c r="B673" s="45" t="s">
        <v>12289</v>
      </c>
      <c r="C673" s="46" t="str">
        <f t="shared" si="20"/>
        <v>C11736:1</v>
      </c>
      <c r="D673" s="47" t="str">
        <f t="shared" si="19"/>
        <v>C11736 : 5-Fluorodeoxyuridine</v>
      </c>
      <c r="E673" s="15"/>
      <c r="F673" s="15"/>
      <c r="G673" s="15"/>
    </row>
    <row r="674" spans="1:26" ht="14.5">
      <c r="A674" s="45" t="s">
        <v>12290</v>
      </c>
      <c r="B674" s="45" t="s">
        <v>12291</v>
      </c>
      <c r="C674" s="46" t="str">
        <f t="shared" si="20"/>
        <v>C11838:1</v>
      </c>
      <c r="D674" s="47" t="str">
        <f t="shared" si="19"/>
        <v>C11838 : (S)-4,5-Dihydroxypentane-2,3-dione</v>
      </c>
      <c r="E674" s="15"/>
      <c r="F674" s="15"/>
      <c r="G674" s="15"/>
    </row>
    <row r="675" spans="1:26" ht="14.5">
      <c r="A675" s="52" t="s">
        <v>12292</v>
      </c>
      <c r="B675" s="50" t="s">
        <v>12293</v>
      </c>
      <c r="C675" s="48" t="str">
        <f t="shared" si="20"/>
        <v>C12739:1</v>
      </c>
      <c r="D675" s="49" t="str">
        <f t="shared" si="19"/>
        <v>C12739 : 5'-Deoxy-5-fluorouridine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5">
      <c r="A676" s="45" t="s">
        <v>12294</v>
      </c>
      <c r="B676" s="45" t="s">
        <v>12295</v>
      </c>
      <c r="C676" s="46" t="str">
        <f t="shared" si="20"/>
        <v>C14089:1</v>
      </c>
      <c r="D676" s="47" t="str">
        <f t="shared" si="19"/>
        <v>C14089 : 1-Hydroxymethylnaphthalene</v>
      </c>
      <c r="E676" s="15"/>
      <c r="F676" s="15"/>
      <c r="G676" s="15"/>
    </row>
    <row r="677" spans="1:26" ht="14.5">
      <c r="A677" s="45" t="s">
        <v>12296</v>
      </c>
      <c r="B677" s="45" t="s">
        <v>12297</v>
      </c>
      <c r="C677" s="46" t="str">
        <f t="shared" si="20"/>
        <v>C14090:1</v>
      </c>
      <c r="D677" s="47" t="str">
        <f t="shared" si="19"/>
        <v>C14090 : 1-Naphthaldehyde</v>
      </c>
      <c r="E677" s="15"/>
      <c r="F677" s="15"/>
      <c r="G677" s="15"/>
    </row>
    <row r="678" spans="1:26" ht="14.5">
      <c r="A678" s="45" t="s">
        <v>12298</v>
      </c>
      <c r="B678" s="45" t="s">
        <v>12299</v>
      </c>
      <c r="C678" s="46" t="str">
        <f t="shared" si="20"/>
        <v>C14099:1</v>
      </c>
      <c r="D678" s="47" t="str">
        <f t="shared" si="19"/>
        <v>C14099 : 2-Naphthaldehyde</v>
      </c>
      <c r="E678" s="15"/>
      <c r="F678" s="15"/>
      <c r="G678" s="15"/>
    </row>
    <row r="679" spans="1:26" ht="14.5">
      <c r="A679" s="52" t="s">
        <v>12300</v>
      </c>
      <c r="B679" s="50" t="s">
        <v>12301</v>
      </c>
      <c r="C679" s="48" t="str">
        <f>CONCATENATE(A679,":1000")</f>
        <v>C14899:1000</v>
      </c>
      <c r="D679" s="49" t="str">
        <f t="shared" si="19"/>
        <v>C14899 : 3-Dehydro-L-gulonate 6-phosphate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5">
      <c r="A680" s="52" t="s">
        <v>12302</v>
      </c>
      <c r="B680" s="50" t="s">
        <v>12303</v>
      </c>
      <c r="C680" s="48" t="str">
        <f>CONCATENATE(A680,":1000")</f>
        <v>C15498:1000</v>
      </c>
      <c r="D680" s="49" t="str">
        <f t="shared" si="19"/>
        <v>C15498 : ROOH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5">
      <c r="A681" s="52" t="s">
        <v>12304</v>
      </c>
      <c r="B681" s="50" t="s">
        <v>12305</v>
      </c>
      <c r="C681" s="48" t="str">
        <f>CONCATENATE(A681,":1000")</f>
        <v>C15584:1000</v>
      </c>
      <c r="D681" s="49" t="str">
        <f t="shared" si="19"/>
        <v>C15584 : Phenol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5">
      <c r="A682" s="52" t="s">
        <v>12306</v>
      </c>
      <c r="B682" s="50" t="s">
        <v>12307</v>
      </c>
      <c r="C682" s="48" t="str">
        <f t="shared" si="20"/>
        <v>C15653:1</v>
      </c>
      <c r="D682" s="49" t="str">
        <f t="shared" si="19"/>
        <v>C15653 : Peptide-L-methionine (R)-S-oxide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5">
      <c r="A683" s="45" t="s">
        <v>12308</v>
      </c>
      <c r="B683" s="45" t="s">
        <v>12309</v>
      </c>
      <c r="C683" s="46" t="str">
        <f t="shared" si="20"/>
        <v>C15667:1</v>
      </c>
      <c r="D683" s="47" t="str">
        <f t="shared" si="19"/>
        <v>C15667 : 5-Carboxyamino-1-(5-phospho-D-ribosyl)imidazole</v>
      </c>
      <c r="E683" s="15"/>
      <c r="F683" s="15"/>
      <c r="G683" s="15"/>
    </row>
    <row r="684" spans="1:26" ht="14.5">
      <c r="A684" s="45" t="s">
        <v>12310</v>
      </c>
      <c r="B684" s="45" t="s">
        <v>12311</v>
      </c>
      <c r="C684" s="46" t="str">
        <f t="shared" si="20"/>
        <v>C15811:1</v>
      </c>
      <c r="D684" s="47" t="str">
        <f t="shared" si="19"/>
        <v>C15811 : [Enzyme]-cysteine</v>
      </c>
      <c r="E684" s="15"/>
      <c r="F684" s="15"/>
      <c r="G684" s="15"/>
    </row>
    <row r="685" spans="1:26" ht="14.5">
      <c r="A685" s="45" t="s">
        <v>12312</v>
      </c>
      <c r="B685" s="45" t="s">
        <v>12313</v>
      </c>
      <c r="C685" s="46" t="str">
        <f t="shared" si="20"/>
        <v>C15812:1</v>
      </c>
      <c r="D685" s="47" t="str">
        <f t="shared" si="19"/>
        <v>C15812 : [Enzyme]-S-sulfanylcysteine</v>
      </c>
      <c r="E685" s="15"/>
      <c r="F685" s="15"/>
      <c r="G685" s="15"/>
    </row>
    <row r="686" spans="1:26" ht="14.5">
      <c r="A686" s="45" t="s">
        <v>12314</v>
      </c>
      <c r="B686" s="45" t="s">
        <v>12315</v>
      </c>
      <c r="C686" s="46" t="str">
        <f t="shared" si="20"/>
        <v>C15813:1</v>
      </c>
      <c r="D686" s="47" t="str">
        <f t="shared" si="19"/>
        <v>C15813 : Adenylyl-[sulfur-carrier protein]</v>
      </c>
      <c r="E686" s="15"/>
      <c r="F686" s="15"/>
      <c r="G686" s="15"/>
    </row>
    <row r="687" spans="1:26" ht="14.5">
      <c r="A687" s="45" t="s">
        <v>12316</v>
      </c>
      <c r="B687" s="45" t="s">
        <v>12317</v>
      </c>
      <c r="C687" s="46" t="str">
        <f t="shared" si="20"/>
        <v>C15814:1</v>
      </c>
      <c r="D687" s="47" t="str">
        <f t="shared" si="19"/>
        <v>C15814 : Thiocarboxy-[sulfur-carrier protein]</v>
      </c>
      <c r="E687" s="15"/>
      <c r="F687" s="15"/>
      <c r="G687" s="15"/>
    </row>
    <row r="688" spans="1:26" ht="14.5">
      <c r="A688" s="52" t="s">
        <v>12318</v>
      </c>
      <c r="B688" s="50" t="s">
        <v>12319</v>
      </c>
      <c r="C688" s="48" t="str">
        <f t="shared" si="20"/>
        <v>C15972:1</v>
      </c>
      <c r="D688" s="49" t="str">
        <f t="shared" si="19"/>
        <v>C15972 : Enzyme N6-(lipoyl)lysine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5">
      <c r="A689" s="52" t="s">
        <v>12320</v>
      </c>
      <c r="B689" s="50" t="s">
        <v>12321</v>
      </c>
      <c r="C689" s="48" t="str">
        <f t="shared" si="20"/>
        <v>C15973:1</v>
      </c>
      <c r="D689" s="49" t="str">
        <f t="shared" si="19"/>
        <v>C15973 : Enzyme N6-(dihydrolipoyl)lysine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5">
      <c r="A690" s="45" t="s">
        <v>12322</v>
      </c>
      <c r="B690" s="45" t="s">
        <v>12323</v>
      </c>
      <c r="C690" s="46" t="str">
        <f t="shared" si="20"/>
        <v>C15999:1</v>
      </c>
      <c r="D690" s="47" t="str">
        <f t="shared" si="19"/>
        <v>C15999 : L-Methionine (S)-S-oxide</v>
      </c>
      <c r="E690" s="15"/>
      <c r="F690" s="15"/>
      <c r="G690" s="15"/>
    </row>
    <row r="691" spans="1:26" ht="14.5">
      <c r="A691" s="52" t="s">
        <v>12324</v>
      </c>
      <c r="B691" s="50" t="s">
        <v>12325</v>
      </c>
      <c r="C691" s="48" t="str">
        <f t="shared" si="20"/>
        <v>C16169:1</v>
      </c>
      <c r="D691" s="49" t="str">
        <f t="shared" si="19"/>
        <v>C16169 : (4Z,7Z,10Z,13Z,16Z,19Z)-Docosahexaenoyl-CoA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5">
      <c r="A692" s="52" t="s">
        <v>12326</v>
      </c>
      <c r="B692" s="50" t="s">
        <v>12327</v>
      </c>
      <c r="C692" s="48" t="str">
        <f t="shared" si="20"/>
        <v>C16173:1</v>
      </c>
      <c r="D692" s="49" t="str">
        <f t="shared" si="19"/>
        <v>C16173 : (4Z,7Z,10Z,13Z,16Z)-Docosapentaenoyl-CoA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5">
      <c r="A693" s="52" t="s">
        <v>12328</v>
      </c>
      <c r="B693" s="50" t="s">
        <v>12329</v>
      </c>
      <c r="C693" s="48" t="str">
        <f t="shared" si="20"/>
        <v>C16219:1</v>
      </c>
      <c r="D693" s="49" t="str">
        <f t="shared" si="19"/>
        <v>C16219 : 3-Oxostearoyl-[acp]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5">
      <c r="A694" s="52" t="s">
        <v>12330</v>
      </c>
      <c r="B694" s="50" t="s">
        <v>12331</v>
      </c>
      <c r="C694" s="48" t="str">
        <f t="shared" si="20"/>
        <v>C16220:1</v>
      </c>
      <c r="D694" s="49" t="str">
        <f t="shared" si="19"/>
        <v>C16220 : (3R)-3-Hydroxyoctadecanoyl-[acyl-carrier protein]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5">
      <c r="A695" s="52" t="s">
        <v>12332</v>
      </c>
      <c r="B695" s="50" t="s">
        <v>12333</v>
      </c>
      <c r="C695" s="48" t="str">
        <f t="shared" si="20"/>
        <v>C16237:1</v>
      </c>
      <c r="D695" s="49" t="str">
        <f t="shared" si="19"/>
        <v>C16237 : Protein N6-(lipoyl)lysine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5">
      <c r="A696" s="52" t="s">
        <v>12334</v>
      </c>
      <c r="B696" s="50" t="s">
        <v>12335</v>
      </c>
      <c r="C696" s="48" t="str">
        <f t="shared" si="20"/>
        <v>C16238:1</v>
      </c>
      <c r="D696" s="49" t="str">
        <f t="shared" si="19"/>
        <v>C16238 : Lipoyl-AMP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5">
      <c r="A697" s="52" t="s">
        <v>12336</v>
      </c>
      <c r="B697" s="50" t="s">
        <v>12337</v>
      </c>
      <c r="C697" s="48" t="str">
        <f t="shared" si="20"/>
        <v>C16240:1</v>
      </c>
      <c r="D697" s="49" t="str">
        <f t="shared" si="19"/>
        <v>C16240 : [Lipoyl-carrier protein]-L-lysine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5">
      <c r="A698" s="52" t="s">
        <v>12338</v>
      </c>
      <c r="B698" s="50" t="s">
        <v>12339</v>
      </c>
      <c r="C698" s="48" t="str">
        <f t="shared" si="20"/>
        <v>C16241:1</v>
      </c>
      <c r="D698" s="49" t="str">
        <f t="shared" si="19"/>
        <v>C16241 : (R)-Lipoate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5">
      <c r="A699" s="45" t="s">
        <v>12340</v>
      </c>
      <c r="B699" s="45" t="s">
        <v>12341</v>
      </c>
      <c r="C699" s="46" t="str">
        <f t="shared" si="20"/>
        <v>C16310:1</v>
      </c>
      <c r="D699" s="47" t="str">
        <f t="shared" si="19"/>
        <v>C16310 : 3-Hexenal</v>
      </c>
      <c r="E699" s="15"/>
      <c r="F699" s="15"/>
      <c r="G699" s="15"/>
    </row>
    <row r="700" spans="1:26" ht="14.5">
      <c r="A700" s="52" t="s">
        <v>12342</v>
      </c>
      <c r="B700" s="50" t="s">
        <v>12343</v>
      </c>
      <c r="C700" s="48" t="str">
        <f t="shared" si="20"/>
        <v>C16330:1</v>
      </c>
      <c r="D700" s="49" t="str">
        <f t="shared" si="19"/>
        <v>C16330 : 3-Oxo-OPC8-CoA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5">
      <c r="A701" s="52" t="s">
        <v>12344</v>
      </c>
      <c r="B701" s="50" t="s">
        <v>12345</v>
      </c>
      <c r="C701" s="48" t="str">
        <f t="shared" si="20"/>
        <v>C16331:1</v>
      </c>
      <c r="D701" s="49" t="str">
        <f t="shared" si="19"/>
        <v>C16331 : OPC6-CoA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5">
      <c r="A702" s="52" t="s">
        <v>12346</v>
      </c>
      <c r="B702" s="50" t="s">
        <v>12347</v>
      </c>
      <c r="C702" s="48" t="str">
        <f t="shared" si="20"/>
        <v>C16334:1</v>
      </c>
      <c r="D702" s="49" t="str">
        <f t="shared" si="19"/>
        <v>C16334 : 3-Oxo-OPC6-CoA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5">
      <c r="A703" s="52" t="s">
        <v>12348</v>
      </c>
      <c r="B703" s="50" t="s">
        <v>12349</v>
      </c>
      <c r="C703" s="48" t="str">
        <f t="shared" si="20"/>
        <v>C16335:1</v>
      </c>
      <c r="D703" s="49" t="str">
        <f t="shared" si="19"/>
        <v>C16335 : OPC4-CoA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5">
      <c r="A704" s="52" t="s">
        <v>12350</v>
      </c>
      <c r="B704" s="50" t="s">
        <v>12351</v>
      </c>
      <c r="C704" s="48" t="str">
        <f t="shared" si="20"/>
        <v>C16338:1</v>
      </c>
      <c r="D704" s="49" t="str">
        <f t="shared" si="19"/>
        <v>C16338 : 3-Oxo-OPC4-CoA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5">
      <c r="A705" s="52" t="s">
        <v>12352</v>
      </c>
      <c r="B705" s="50" t="s">
        <v>12353</v>
      </c>
      <c r="C705" s="48" t="str">
        <f t="shared" si="20"/>
        <v>C16339:1</v>
      </c>
      <c r="D705" s="49" t="str">
        <f t="shared" si="19"/>
        <v>C16339 : (+)-7-Isojasmonic acid CoA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5">
      <c r="A706" s="45" t="s">
        <v>12354</v>
      </c>
      <c r="B706" s="45" t="s">
        <v>12355</v>
      </c>
      <c r="C706" s="46" t="str">
        <f t="shared" si="20"/>
        <v>C16348:1</v>
      </c>
      <c r="D706" s="47" t="str">
        <f t="shared" si="19"/>
        <v>C16348 : cis-3-Chloroallyl aldehyde</v>
      </c>
      <c r="E706" s="15"/>
      <c r="F706" s="15"/>
      <c r="G706" s="15"/>
    </row>
    <row r="707" spans="1:26" ht="14.5">
      <c r="A707" s="52" t="s">
        <v>12356</v>
      </c>
      <c r="B707" s="50" t="s">
        <v>12357</v>
      </c>
      <c r="C707" s="48" t="str">
        <f t="shared" si="20"/>
        <v>C16376:1</v>
      </c>
      <c r="D707" s="49" t="str">
        <f t="shared" si="19"/>
        <v>C16376 : (6Z,9Z,12Z,15Z,18Z,21Z)-3-Oxotetracosahexaenoyl-CoA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5">
      <c r="A708" s="52" t="s">
        <v>12358</v>
      </c>
      <c r="B708" s="50" t="s">
        <v>12359</v>
      </c>
      <c r="C708" s="48" t="str">
        <f t="shared" si="20"/>
        <v>C16389:1</v>
      </c>
      <c r="D708" s="49" t="str">
        <f t="shared" si="19"/>
        <v>C16389 : (6Z,9Z,12Z,15Z,18Z)-3-Oxotetracosapentaenoyl-CoA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5">
      <c r="A709" s="52" t="s">
        <v>12360</v>
      </c>
      <c r="B709" s="50" t="s">
        <v>12361</v>
      </c>
      <c r="C709" s="48" t="str">
        <f t="shared" si="20"/>
        <v>C16466:1</v>
      </c>
      <c r="D709" s="49" t="str">
        <f t="shared" si="19"/>
        <v>C16466 : 7-Methyl-3-oxo-6-octenoyl-CoA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5">
      <c r="A710" s="52" t="s">
        <v>12362</v>
      </c>
      <c r="B710" s="50" t="s">
        <v>12363</v>
      </c>
      <c r="C710" s="48" t="str">
        <f t="shared" si="20"/>
        <v>C16470:1</v>
      </c>
      <c r="D710" s="49" t="str">
        <f t="shared" si="19"/>
        <v>C16470 : 5-Methylhex-4-enoyl-CoA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5">
      <c r="A711" s="52" t="s">
        <v>12364</v>
      </c>
      <c r="B711" s="50" t="s">
        <v>12365</v>
      </c>
      <c r="C711" s="48" t="str">
        <f t="shared" si="20"/>
        <v>C16471:1</v>
      </c>
      <c r="D711" s="49" t="str">
        <f t="shared" si="19"/>
        <v>C16471 : 5-Methyl-3-oxo-4-hexenoyl-CoA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5">
      <c r="A712" s="45" t="s">
        <v>12366</v>
      </c>
      <c r="B712" s="45" t="s">
        <v>12367</v>
      </c>
      <c r="C712" s="46" t="str">
        <f t="shared" si="20"/>
        <v>C16551:1</v>
      </c>
      <c r="D712" s="47" t="str">
        <f t="shared" si="19"/>
        <v>C16551 : Alcophosphamide</v>
      </c>
      <c r="E712" s="15"/>
      <c r="F712" s="15"/>
      <c r="G712" s="15"/>
    </row>
    <row r="713" spans="1:26" ht="14.5">
      <c r="A713" s="45" t="s">
        <v>12368</v>
      </c>
      <c r="B713" s="45" t="s">
        <v>12369</v>
      </c>
      <c r="C713" s="46" t="str">
        <f t="shared" si="20"/>
        <v>C16586:1</v>
      </c>
      <c r="D713" s="47" t="str">
        <f t="shared" si="19"/>
        <v>C16586 : 2-Phenyl-1,3-propanediol monocarbamate</v>
      </c>
      <c r="E713" s="15"/>
      <c r="F713" s="15"/>
      <c r="G713" s="15"/>
    </row>
    <row r="714" spans="1:26" ht="14.5">
      <c r="A714" s="45" t="s">
        <v>12370</v>
      </c>
      <c r="B714" s="45" t="s">
        <v>12371</v>
      </c>
      <c r="C714" s="46" t="str">
        <f t="shared" si="20"/>
        <v>C16587:1</v>
      </c>
      <c r="D714" s="47" t="str">
        <f t="shared" si="19"/>
        <v>C16587 : 3-Carbamoyl-2-phenylpropionaldehyde</v>
      </c>
      <c r="E714" s="15"/>
      <c r="F714" s="15"/>
      <c r="G714" s="15"/>
    </row>
    <row r="715" spans="1:26" ht="14.5">
      <c r="A715" s="45" t="s">
        <v>12372</v>
      </c>
      <c r="B715" s="45" t="s">
        <v>12373</v>
      </c>
      <c r="C715" s="46" t="str">
        <f t="shared" si="20"/>
        <v>C16595:1</v>
      </c>
      <c r="D715" s="47" t="str">
        <f t="shared" si="19"/>
        <v>C16595 : 4-Hydroxy-5-phenyltetrahydro-1,3-oxazin-2-one</v>
      </c>
      <c r="E715" s="15"/>
      <c r="F715" s="15"/>
      <c r="G715" s="15"/>
    </row>
    <row r="716" spans="1:26" ht="14.5">
      <c r="A716" s="45" t="s">
        <v>12374</v>
      </c>
      <c r="B716" s="45" t="s">
        <v>12375</v>
      </c>
      <c r="C716" s="46" t="str">
        <f t="shared" si="20"/>
        <v>C16596:1</v>
      </c>
      <c r="D716" s="47" t="str">
        <f t="shared" si="19"/>
        <v>C16596 : 5-Phenyl-1,3-oxazinane-2,4-dione</v>
      </c>
      <c r="E716" s="15"/>
      <c r="F716" s="15"/>
      <c r="G716" s="15"/>
    </row>
    <row r="717" spans="1:26" ht="14.5">
      <c r="A717" s="45" t="s">
        <v>12376</v>
      </c>
      <c r="B717" s="45" t="s">
        <v>12377</v>
      </c>
      <c r="C717" s="46" t="str">
        <f t="shared" si="20"/>
        <v>C16618:1</v>
      </c>
      <c r="D717" s="47" t="str">
        <f t="shared" si="19"/>
        <v>C16618 : 6-Thioxanthine 5'-monophosphate</v>
      </c>
      <c r="E717" s="15"/>
      <c r="F717" s="15"/>
      <c r="G717" s="15"/>
    </row>
    <row r="718" spans="1:26" ht="14.5">
      <c r="A718" s="45" t="s">
        <v>12378</v>
      </c>
      <c r="B718" s="45" t="s">
        <v>12379</v>
      </c>
      <c r="C718" s="46" t="str">
        <f t="shared" si="20"/>
        <v>C16619:1</v>
      </c>
      <c r="D718" s="47" t="str">
        <f t="shared" si="19"/>
        <v>C16619 : 6-Thioguanosine monophosphate</v>
      </c>
      <c r="E718" s="15"/>
      <c r="F718" s="15"/>
      <c r="G718" s="15"/>
    </row>
    <row r="719" spans="1:26" ht="14.5">
      <c r="A719" s="45" t="s">
        <v>12380</v>
      </c>
      <c r="B719" s="45" t="s">
        <v>12381</v>
      </c>
      <c r="C719" s="46" t="str">
        <f t="shared" si="20"/>
        <v>C16633:1</v>
      </c>
      <c r="D719" s="47" t="str">
        <f t="shared" si="19"/>
        <v>C16633 : 5-Fluorouridine</v>
      </c>
      <c r="E719" s="15"/>
      <c r="F719" s="15"/>
      <c r="G719" s="15"/>
    </row>
    <row r="720" spans="1:26" ht="14.5">
      <c r="A720" s="45" t="s">
        <v>12382</v>
      </c>
      <c r="B720" s="45" t="s">
        <v>12383</v>
      </c>
      <c r="C720" s="46" t="str">
        <f t="shared" si="20"/>
        <v>C16634:1</v>
      </c>
      <c r="D720" s="47" t="str">
        <f t="shared" si="19"/>
        <v>C16634 : 5-Fluorouridine monophosphate</v>
      </c>
      <c r="E720" s="15"/>
      <c r="F720" s="15"/>
      <c r="G720" s="15"/>
    </row>
    <row r="721" spans="1:26" ht="14.5">
      <c r="A721" s="52" t="s">
        <v>12384</v>
      </c>
      <c r="B721" s="50" t="s">
        <v>12385</v>
      </c>
      <c r="C721" s="48" t="str">
        <f t="shared" si="20"/>
        <v>C16635:1</v>
      </c>
      <c r="D721" s="49" t="str">
        <f t="shared" si="19"/>
        <v>C16635 : 5'-Deoxy-5-fluorocytidine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5">
      <c r="A722" s="45" t="s">
        <v>12386</v>
      </c>
      <c r="B722" s="45" t="s">
        <v>12387</v>
      </c>
      <c r="C722" s="46" t="str">
        <f t="shared" si="20"/>
        <v>C16636:1</v>
      </c>
      <c r="D722" s="47" t="str">
        <f t="shared" si="19"/>
        <v>C16636 : tRNA(Sec)</v>
      </c>
      <c r="E722" s="15"/>
      <c r="F722" s="15"/>
      <c r="G722" s="15"/>
    </row>
    <row r="723" spans="1:26" ht="14.5">
      <c r="A723" s="45" t="s">
        <v>12388</v>
      </c>
      <c r="B723" s="45" t="s">
        <v>12389</v>
      </c>
      <c r="C723" s="46" t="str">
        <f t="shared" si="20"/>
        <v>C16639:1</v>
      </c>
      <c r="D723" s="47" t="str">
        <f t="shared" si="19"/>
        <v>C16639 : beta-D-Ribofuranose</v>
      </c>
      <c r="E723" s="15"/>
      <c r="F723" s="15"/>
      <c r="G723" s="15"/>
    </row>
    <row r="724" spans="1:26" ht="14.5">
      <c r="A724" s="45" t="s">
        <v>12390</v>
      </c>
      <c r="B724" s="45" t="s">
        <v>12391</v>
      </c>
      <c r="C724" s="46" t="str">
        <f t="shared" si="20"/>
        <v>C16663:1</v>
      </c>
      <c r="D724" s="47" t="str">
        <f t="shared" si="19"/>
        <v>C16663 : Tryparedoxin</v>
      </c>
      <c r="E724" s="15"/>
      <c r="F724" s="15"/>
      <c r="G724" s="15"/>
    </row>
    <row r="725" spans="1:26" ht="14.5">
      <c r="A725" s="45" t="s">
        <v>12392</v>
      </c>
      <c r="B725" s="45" t="s">
        <v>12393</v>
      </c>
      <c r="C725" s="46" t="str">
        <f t="shared" si="20"/>
        <v>C16664:1</v>
      </c>
      <c r="D725" s="47" t="str">
        <f t="shared" si="19"/>
        <v>C16664 : Tryparedoxin disulfide</v>
      </c>
      <c r="E725" s="15"/>
      <c r="F725" s="15"/>
      <c r="G725" s="15"/>
    </row>
    <row r="726" spans="1:26" ht="14.5">
      <c r="A726" s="52" t="s">
        <v>12394</v>
      </c>
      <c r="B726" s="50" t="s">
        <v>12395</v>
      </c>
      <c r="C726" s="48" t="str">
        <f t="shared" si="20"/>
        <v>C16675:1</v>
      </c>
      <c r="D726" s="49" t="str">
        <f t="shared" si="19"/>
        <v>C16675 : 7-Aminomethyl-7-carbaguanine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5">
      <c r="A727" s="45" t="s">
        <v>12396</v>
      </c>
      <c r="B727" s="45" t="s">
        <v>12397</v>
      </c>
      <c r="C727" s="46" t="str">
        <f t="shared" si="20"/>
        <v>C16688:1</v>
      </c>
      <c r="D727" s="47" t="str">
        <f t="shared" si="19"/>
        <v>C16688 : Sucrose 6-phosphate</v>
      </c>
      <c r="E727" s="15"/>
      <c r="F727" s="15"/>
      <c r="G727" s="15"/>
    </row>
    <row r="728" spans="1:26" ht="14.5">
      <c r="A728" s="45" t="s">
        <v>12398</v>
      </c>
      <c r="B728" s="45" t="s">
        <v>12399</v>
      </c>
      <c r="C728" s="46" t="str">
        <f t="shared" si="20"/>
        <v>C16698:1</v>
      </c>
      <c r="D728" s="47" t="str">
        <f t="shared" si="19"/>
        <v>C16698 : N-Acetylmuramic acid 6-phosphate</v>
      </c>
      <c r="E728" s="15"/>
      <c r="F728" s="15"/>
      <c r="G728" s="15"/>
    </row>
    <row r="729" spans="1:26" ht="14.5">
      <c r="A729" s="52" t="s">
        <v>12400</v>
      </c>
      <c r="B729" s="50" t="s">
        <v>12401</v>
      </c>
      <c r="C729" s="48" t="str">
        <f>CONCATENATE(A729,":1000")</f>
        <v>C16737:1000</v>
      </c>
      <c r="D729" s="49" t="str">
        <f t="shared" si="19"/>
        <v>C16737 : 5-Deoxy-D-glucuronate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5">
      <c r="A730" s="52" t="s">
        <v>12402</v>
      </c>
      <c r="B730" s="50" t="s">
        <v>12403</v>
      </c>
      <c r="C730" s="48" t="str">
        <f t="shared" si="20"/>
        <v>C16832:1</v>
      </c>
      <c r="D730" s="49" t="str">
        <f t="shared" si="19"/>
        <v>C16832 : [Protein]-N6-[(R)-dihydrolipoyl]-L-lysine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5">
      <c r="A731" s="45" t="s">
        <v>12404</v>
      </c>
      <c r="B731" s="45" t="s">
        <v>12405</v>
      </c>
      <c r="C731" s="46" t="str">
        <f t="shared" si="20"/>
        <v>C17322:1</v>
      </c>
      <c r="D731" s="47" t="str">
        <f t="shared" si="19"/>
        <v>C17322 : tRNA containing 2-thiouridine</v>
      </c>
      <c r="E731" s="15"/>
      <c r="F731" s="15"/>
      <c r="G731" s="15"/>
    </row>
    <row r="732" spans="1:26" ht="14.5">
      <c r="A732" s="45" t="s">
        <v>12406</v>
      </c>
      <c r="B732" s="45" t="s">
        <v>12407</v>
      </c>
      <c r="C732" s="46" t="str">
        <f t="shared" si="20"/>
        <v>C17324:1</v>
      </c>
      <c r="D732" s="47" t="str">
        <f t="shared" si="19"/>
        <v>C17324 : tRNA adenine</v>
      </c>
      <c r="E732" s="15"/>
      <c r="F732" s="15"/>
      <c r="G732" s="15"/>
    </row>
    <row r="733" spans="1:26" ht="14.5">
      <c r="A733" s="52" t="s">
        <v>12408</v>
      </c>
      <c r="B733" s="50" t="s">
        <v>12409</v>
      </c>
      <c r="C733" s="48" t="str">
        <f t="shared" si="20"/>
        <v>C17551:1</v>
      </c>
      <c r="D733" s="49" t="str">
        <f t="shared" si="19"/>
        <v>C17551 : 2-Polyprenyl-6-hydroxyphenol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5">
      <c r="A734" s="52" t="s">
        <v>12410</v>
      </c>
      <c r="B734" s="50" t="s">
        <v>12411</v>
      </c>
      <c r="C734" s="48" t="str">
        <f t="shared" si="20"/>
        <v>C17552:1</v>
      </c>
      <c r="D734" s="49" t="str">
        <f t="shared" si="19"/>
        <v>C17552 : 2-Polyprenyl-6-methoxyphenol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5">
      <c r="A735" s="45" t="s">
        <v>12412</v>
      </c>
      <c r="B735" s="45" t="s">
        <v>12413</v>
      </c>
      <c r="C735" s="46" t="str">
        <f t="shared" si="20"/>
        <v>C17556:1</v>
      </c>
      <c r="D735" s="47" t="str">
        <f t="shared" si="19"/>
        <v>C17556 : di-trans,poly-cis-Undecaprenyl phosphate</v>
      </c>
      <c r="E735" s="15"/>
      <c r="F735" s="15"/>
      <c r="G735" s="15"/>
    </row>
    <row r="736" spans="1:26" ht="14.5">
      <c r="A736" s="52" t="s">
        <v>12414</v>
      </c>
      <c r="B736" s="50" t="s">
        <v>12415</v>
      </c>
      <c r="C736" s="48" t="str">
        <f t="shared" si="20"/>
        <v>C17562:1</v>
      </c>
      <c r="D736" s="49" t="str">
        <f t="shared" si="19"/>
        <v>C17562 : 2-Polyprenyl-3-methyl-5-hydroxy-6-methoxy-1,4-benzoquinone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5">
      <c r="A737" s="52" t="s">
        <v>12416</v>
      </c>
      <c r="B737" s="50" t="s">
        <v>12417</v>
      </c>
      <c r="C737" s="48" t="str">
        <f t="shared" si="20"/>
        <v>C18094:1</v>
      </c>
      <c r="D737" s="49" t="str">
        <f t="shared" si="19"/>
        <v>C18094 : UDP-L-arabinofuranose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5">
      <c r="A738" s="45" t="s">
        <v>12418</v>
      </c>
      <c r="B738" s="45" t="s">
        <v>12419</v>
      </c>
      <c r="C738" s="46" t="str">
        <f t="shared" si="20"/>
        <v>C18096:1</v>
      </c>
      <c r="D738" s="47" t="str">
        <f t="shared" si="19"/>
        <v>C18096 : D-Allulose 6-phosphate</v>
      </c>
      <c r="E738" s="15"/>
      <c r="F738" s="15"/>
      <c r="G738" s="15"/>
    </row>
    <row r="739" spans="1:26" ht="14.5">
      <c r="A739" s="45" t="s">
        <v>12420</v>
      </c>
      <c r="B739" s="45" t="s">
        <v>12421</v>
      </c>
      <c r="C739" s="46" t="str">
        <f t="shared" si="20"/>
        <v>C18902:1</v>
      </c>
      <c r="D739" s="47" t="str">
        <f t="shared" si="19"/>
        <v>C18902 : Methylselenic acid</v>
      </c>
      <c r="E739" s="15"/>
      <c r="F739" s="15"/>
      <c r="G739" s="15"/>
    </row>
    <row r="740" spans="1:26" ht="14.5">
      <c r="A740" s="45" t="s">
        <v>12422</v>
      </c>
      <c r="B740" s="45" t="s">
        <v>12423</v>
      </c>
      <c r="C740" s="46" t="str">
        <f t="shared" si="20"/>
        <v>C19078:1</v>
      </c>
      <c r="D740" s="47" t="str">
        <f t="shared" si="19"/>
        <v>C19078 : tRNA with a 3' cytidine</v>
      </c>
      <c r="E740" s="15"/>
      <c r="F740" s="15"/>
      <c r="G740" s="15"/>
    </row>
    <row r="741" spans="1:26" ht="14.5">
      <c r="A741" s="45" t="s">
        <v>12424</v>
      </c>
      <c r="B741" s="45" t="s">
        <v>12425</v>
      </c>
      <c r="C741" s="46" t="str">
        <f t="shared" si="20"/>
        <v>C19080:1</v>
      </c>
      <c r="D741" s="47" t="str">
        <f t="shared" si="19"/>
        <v>C19080 : tRNA with a 3' CC end</v>
      </c>
      <c r="E741" s="15"/>
      <c r="F741" s="15"/>
      <c r="G741" s="15"/>
    </row>
    <row r="742" spans="1:26" ht="14.5">
      <c r="A742" s="45" t="s">
        <v>12426</v>
      </c>
      <c r="B742" s="45" t="s">
        <v>12427</v>
      </c>
      <c r="C742" s="46" t="str">
        <f t="shared" si="20"/>
        <v>C19085:1</v>
      </c>
      <c r="D742" s="47" t="str">
        <f t="shared" si="19"/>
        <v>C19085 : tRNA with a 3' CCA end</v>
      </c>
      <c r="E742" s="15"/>
      <c r="F742" s="15"/>
      <c r="G742" s="15"/>
    </row>
    <row r="743" spans="1:26" ht="14.5">
      <c r="A743" s="52" t="s">
        <v>12428</v>
      </c>
      <c r="B743" s="50" t="s">
        <v>12429</v>
      </c>
      <c r="C743" s="48" t="str">
        <f t="shared" si="20"/>
        <v>C19647:1</v>
      </c>
      <c r="D743" s="49" t="str">
        <f t="shared" si="19"/>
        <v>C19647 : Epoxyqueuosine in tRNA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5">
      <c r="A744" s="52" t="s">
        <v>12430</v>
      </c>
      <c r="B744" s="50" t="s">
        <v>12431</v>
      </c>
      <c r="C744" s="48" t="str">
        <f t="shared" si="20"/>
        <v>C19673:1</v>
      </c>
      <c r="D744" s="49" t="str">
        <f t="shared" si="19"/>
        <v>C19673 : Malonyl-[acp] methyl ester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5">
      <c r="A745" s="45" t="s">
        <v>12432</v>
      </c>
      <c r="B745" s="45" t="s">
        <v>12433</v>
      </c>
      <c r="C745" s="46" t="str">
        <f t="shared" si="20"/>
        <v>C19722:1</v>
      </c>
      <c r="D745" s="47" t="str">
        <f t="shared" si="19"/>
        <v>C19722 : [tRNA(Ile2)]-cytidine34</v>
      </c>
      <c r="E745" s="15"/>
      <c r="F745" s="15"/>
      <c r="G745" s="15"/>
    </row>
    <row r="746" spans="1:26" ht="14.5">
      <c r="A746" s="45" t="s">
        <v>12434</v>
      </c>
      <c r="B746" s="45" t="s">
        <v>12435</v>
      </c>
      <c r="C746" s="46" t="str">
        <f t="shared" si="20"/>
        <v>C19723:1</v>
      </c>
      <c r="D746" s="47" t="str">
        <f t="shared" si="19"/>
        <v>C19723 : [tRNA(Ile2)]-lysidine34</v>
      </c>
      <c r="E746" s="15"/>
      <c r="F746" s="15"/>
      <c r="G746" s="15"/>
    </row>
    <row r="747" spans="1:26" ht="14.5">
      <c r="A747" s="45" t="s">
        <v>12436</v>
      </c>
      <c r="B747" s="45" t="s">
        <v>12437</v>
      </c>
      <c r="C747" s="46" t="str">
        <f t="shared" si="20"/>
        <v>C19771:1</v>
      </c>
      <c r="D747" s="47" t="str">
        <f t="shared" si="19"/>
        <v>C19771 : 2'-(5-Triphosphoribosyl)-3'-dephospho-CoA</v>
      </c>
      <c r="E747" s="15"/>
      <c r="F747" s="15"/>
      <c r="G747" s="15"/>
    </row>
    <row r="748" spans="1:26" ht="14.5">
      <c r="A748" s="52" t="s">
        <v>12438</v>
      </c>
      <c r="B748" s="50" t="s">
        <v>12439</v>
      </c>
      <c r="C748" s="48" t="str">
        <f t="shared" si="20"/>
        <v>C19847:1</v>
      </c>
      <c r="D748" s="49" t="str">
        <f t="shared" si="19"/>
        <v>C19847 : Demethylmenaquinol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5">
      <c r="A749" s="52" t="s">
        <v>12440</v>
      </c>
      <c r="B749" s="50" t="s">
        <v>12441</v>
      </c>
      <c r="C749" s="48" t="str">
        <f t="shared" si="20"/>
        <v>C20246:1</v>
      </c>
      <c r="D749" s="49" t="str">
        <f t="shared" si="19"/>
        <v>C20246 : 2-[(2R,5Z)-2-Carboxy-4-methylthiazol-5(2H)-ylidene]ethyl phosphate;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5">
      <c r="A750" s="52" t="s">
        <v>12442</v>
      </c>
      <c r="B750" s="50" t="s">
        <v>12443</v>
      </c>
      <c r="C750" s="48" t="str">
        <f t="shared" si="20"/>
        <v>C20247:1</v>
      </c>
      <c r="D750" s="49" t="str">
        <f t="shared" si="19"/>
        <v>C20247 : 2-(2-Carboxy-4-methylthiazol-5-yl)ethyl phosphate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5">
      <c r="A751" s="45" t="s">
        <v>12444</v>
      </c>
      <c r="B751" s="45" t="s">
        <v>12445</v>
      </c>
      <c r="C751" s="46" t="str">
        <f t="shared" si="20"/>
        <v>C20258:1</v>
      </c>
      <c r="D751" s="47" t="str">
        <f t="shared" si="19"/>
        <v>C20258 : (2S,4S)-4-Hydroxy-2,3,4,5-tetrahydrodipicolinate</v>
      </c>
      <c r="E751" s="15"/>
      <c r="F751" s="15"/>
      <c r="G751" s="15"/>
    </row>
    <row r="752" spans="1:26" ht="14.5">
      <c r="A752" s="52" t="s">
        <v>12446</v>
      </c>
      <c r="B752" s="50" t="s">
        <v>12447</v>
      </c>
      <c r="C752" s="48" t="str">
        <f t="shared" si="20"/>
        <v>C20267:1</v>
      </c>
      <c r="D752" s="49" t="str">
        <f t="shared" si="19"/>
        <v>C20267 : 4-Amino-5-aminomethyl-2-methylpyrimidine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5">
      <c r="A753" s="52" t="s">
        <v>12448</v>
      </c>
      <c r="B753" s="50" t="s">
        <v>12449</v>
      </c>
      <c r="C753" s="48" t="str">
        <f t="shared" si="20"/>
        <v>C20372:1</v>
      </c>
      <c r="D753" s="49" t="str">
        <f t="shared" si="19"/>
        <v>C20372 : 3-Ketoglutaryl-[acp] methyl ester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5">
      <c r="A754" s="52" t="s">
        <v>12450</v>
      </c>
      <c r="B754" s="50" t="s">
        <v>12451</v>
      </c>
      <c r="C754" s="48" t="str">
        <f t="shared" si="20"/>
        <v>C20373:1</v>
      </c>
      <c r="D754" s="49" t="str">
        <f t="shared" si="19"/>
        <v>C20373 : 3-Hydroxyglutaryl-[acp] methyl ester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5">
      <c r="A755" s="52" t="s">
        <v>12452</v>
      </c>
      <c r="B755" s="50" t="s">
        <v>12453</v>
      </c>
      <c r="C755" s="48" t="str">
        <f t="shared" si="20"/>
        <v>C20374:1</v>
      </c>
      <c r="D755" s="49" t="str">
        <f t="shared" si="19"/>
        <v>C20374 : Enoylglutaryl-[acp] methyl ester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5">
      <c r="A756" s="52" t="s">
        <v>12454</v>
      </c>
      <c r="B756" s="50" t="s">
        <v>12455</v>
      </c>
      <c r="C756" s="48" t="str">
        <f t="shared" si="20"/>
        <v>C20375:1</v>
      </c>
      <c r="D756" s="49" t="str">
        <f t="shared" si="19"/>
        <v>C20375 : Glutaryl-[acp] methyl ester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5">
      <c r="A757" s="52" t="s">
        <v>12456</v>
      </c>
      <c r="B757" s="50" t="s">
        <v>12457</v>
      </c>
      <c r="C757" s="48" t="str">
        <f t="shared" si="20"/>
        <v>C20376:1</v>
      </c>
      <c r="D757" s="49" t="str">
        <f t="shared" si="19"/>
        <v>C20376 : 3-Ketopimeloyl-[acp] methyl ester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5">
      <c r="A758" s="52" t="s">
        <v>12458</v>
      </c>
      <c r="B758" s="50" t="s">
        <v>12459</v>
      </c>
      <c r="C758" s="48" t="str">
        <f t="shared" si="20"/>
        <v>C20377:1</v>
      </c>
      <c r="D758" s="49" t="str">
        <f t="shared" si="19"/>
        <v>C20377 : 3-Hydroxypimeloyl-[acp] methyl ester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5">
      <c r="A759" s="52" t="s">
        <v>12460</v>
      </c>
      <c r="B759" s="50" t="s">
        <v>12461</v>
      </c>
      <c r="C759" s="48" t="str">
        <f t="shared" si="20"/>
        <v>C20378:1</v>
      </c>
      <c r="D759" s="49" t="str">
        <f t="shared" si="19"/>
        <v>C20378 : Enoylpimeloyl-[acp] methyl ester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5">
      <c r="A760" s="52" t="s">
        <v>12462</v>
      </c>
      <c r="B760" s="50" t="s">
        <v>12463</v>
      </c>
      <c r="C760" s="48" t="str">
        <f t="shared" si="20"/>
        <v>C20446:1</v>
      </c>
      <c r="D760" s="49" t="str">
        <f t="shared" si="19"/>
        <v>C20446 : tRNA 7-aminomethyl-7-carbaguanine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5">
      <c r="A761" s="45" t="s">
        <v>12464</v>
      </c>
      <c r="B761" s="45" t="s">
        <v>12465</v>
      </c>
      <c r="C761" s="46" t="str">
        <f t="shared" si="20"/>
        <v>C20451:1</v>
      </c>
      <c r="D761" s="47" t="str">
        <f t="shared" si="19"/>
        <v>C20451 : tRNA hypoxanthine</v>
      </c>
      <c r="E761" s="15"/>
      <c r="F761" s="15"/>
      <c r="G761" s="15"/>
    </row>
    <row r="762" spans="1:26" ht="14.5">
      <c r="A762" s="45" t="s">
        <v>12466</v>
      </c>
      <c r="B762" s="45" t="s">
        <v>12467</v>
      </c>
      <c r="C762" s="46" t="str">
        <f t="shared" si="20"/>
        <v>C20565:1</v>
      </c>
      <c r="D762" s="47" t="str">
        <f t="shared" si="19"/>
        <v>C20565 : Cyclic di-3',5'-adenylate</v>
      </c>
      <c r="E762" s="15"/>
      <c r="F762" s="15"/>
      <c r="G762" s="15"/>
    </row>
    <row r="763" spans="1:26" ht="14.5">
      <c r="A763" s="45" t="s">
        <v>12468</v>
      </c>
      <c r="B763" s="45" t="s">
        <v>12469</v>
      </c>
      <c r="C763" s="46" t="str">
        <f t="shared" si="20"/>
        <v>C20641:1</v>
      </c>
      <c r="D763" s="47" t="str">
        <f t="shared" si="19"/>
        <v>C20641 : L-Threonylcarbamoyladenylate</v>
      </c>
      <c r="E763" s="15"/>
      <c r="F763" s="15"/>
      <c r="G763" s="15"/>
    </row>
    <row r="764" spans="1:26" ht="14.5">
      <c r="A764" s="45" t="s">
        <v>12470</v>
      </c>
      <c r="B764" s="45" t="s">
        <v>12471</v>
      </c>
      <c r="C764" s="46" t="str">
        <f t="shared" si="20"/>
        <v>C20648:1</v>
      </c>
      <c r="D764" s="47" t="str">
        <f t="shared" si="19"/>
        <v>C20648 : Adenine in rRNA</v>
      </c>
      <c r="E764" s="15"/>
      <c r="F764" s="15"/>
      <c r="G764" s="15"/>
    </row>
    <row r="765" spans="1:26" ht="14.5">
      <c r="A765" s="45" t="s">
        <v>12472</v>
      </c>
      <c r="B765" s="45" t="s">
        <v>12473</v>
      </c>
      <c r="C765" s="46" t="str">
        <f t="shared" si="20"/>
        <v>C20658:1</v>
      </c>
      <c r="D765" s="47" t="str">
        <f t="shared" si="19"/>
        <v>C20658 : O-Acetyl-ADP-ribose</v>
      </c>
      <c r="E765" s="15"/>
      <c r="F765" s="15"/>
      <c r="G765" s="15"/>
    </row>
    <row r="766" spans="1:26" ht="14.5">
      <c r="A766" s="45" t="s">
        <v>12474</v>
      </c>
      <c r="B766" s="45" t="s">
        <v>12475</v>
      </c>
      <c r="C766" s="46" t="str">
        <f t="shared" si="20"/>
        <v>C20743:1</v>
      </c>
      <c r="D766" s="47" t="str">
        <f t="shared" si="19"/>
        <v>C20743 : Protein N6-acetyl-L-lysine</v>
      </c>
      <c r="E766" s="15"/>
      <c r="F766" s="15"/>
      <c r="G766" s="15"/>
    </row>
    <row r="767" spans="1:26" ht="14.5">
      <c r="A767" s="45" t="s">
        <v>12476</v>
      </c>
      <c r="B767" s="45" t="s">
        <v>12477</v>
      </c>
      <c r="C767" s="46" t="str">
        <f t="shared" si="20"/>
        <v>C20751:1</v>
      </c>
      <c r="D767" s="47" t="str">
        <f t="shared" ref="D767:D847" si="21">CONCATENATE(A767," : ",B767)</f>
        <v>C20751 : N6-L-Threonylcarbamoyladenine in tRNA</v>
      </c>
      <c r="E767" s="15"/>
      <c r="F767" s="15"/>
      <c r="G767" s="15"/>
    </row>
    <row r="768" spans="1:26" ht="14.5">
      <c r="A768" s="45" t="s">
        <v>12478</v>
      </c>
      <c r="B768" s="45" t="s">
        <v>12479</v>
      </c>
      <c r="C768" s="46" t="str">
        <f t="shared" si="20"/>
        <v>C20796:1</v>
      </c>
      <c r="D768" s="47" t="str">
        <f t="shared" si="21"/>
        <v>C20796 : N6-Dimethyladenine in rRNA</v>
      </c>
      <c r="E768" s="15"/>
      <c r="F768" s="15"/>
      <c r="G768" s="15"/>
    </row>
    <row r="769" spans="1:26" ht="14.5">
      <c r="A769" s="45" t="s">
        <v>12480</v>
      </c>
      <c r="B769" s="45" t="s">
        <v>12481</v>
      </c>
      <c r="C769" s="46" t="str">
        <f t="shared" si="20"/>
        <v>C20858:1</v>
      </c>
      <c r="D769" s="47" t="str">
        <f t="shared" si="21"/>
        <v>C20858 : Protein N5-methyl-L-glutamine</v>
      </c>
      <c r="E769" s="15"/>
      <c r="F769" s="15"/>
      <c r="G769" s="15"/>
    </row>
    <row r="770" spans="1:26" ht="14.5">
      <c r="A770" s="45" t="s">
        <v>12482</v>
      </c>
      <c r="B770" s="45" t="s">
        <v>12483</v>
      </c>
      <c r="C770" s="46" t="str">
        <f t="shared" si="20"/>
        <v>C20864:1</v>
      </c>
      <c r="D770" s="47" t="str">
        <f t="shared" si="21"/>
        <v>C20864 : 5'Triphospho-[mRNA]</v>
      </c>
      <c r="E770" s="15"/>
      <c r="F770" s="15"/>
      <c r="G770" s="15"/>
    </row>
    <row r="771" spans="1:26" ht="14.5">
      <c r="A771" s="52" t="s">
        <v>12484</v>
      </c>
      <c r="B771" s="50" t="s">
        <v>12485</v>
      </c>
      <c r="C771" s="48" t="str">
        <f>CONCATENATE(A771,":1000")</f>
        <v>C20904:1000</v>
      </c>
      <c r="D771" s="49" t="str">
        <f t="shared" si="21"/>
        <v>C20904 : 2-Iminopropanoate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5">
      <c r="A772" s="45" t="s">
        <v>12486</v>
      </c>
      <c r="B772" s="45" t="s">
        <v>12487</v>
      </c>
      <c r="C772" s="46" t="str">
        <f t="shared" si="20"/>
        <v>C20969:1</v>
      </c>
      <c r="D772" s="47" t="str">
        <f t="shared" si="21"/>
        <v>C20969 : Carboxyphosphate</v>
      </c>
      <c r="E772" s="15"/>
      <c r="F772" s="15"/>
      <c r="G772" s="15"/>
    </row>
    <row r="773" spans="1:26" ht="14.5">
      <c r="A773" s="45" t="s">
        <v>12488</v>
      </c>
      <c r="B773" s="45" t="s">
        <v>12489</v>
      </c>
      <c r="C773" s="46" t="str">
        <f t="shared" si="20"/>
        <v>C21031:1</v>
      </c>
      <c r="D773" s="47" t="str">
        <f t="shared" si="21"/>
        <v>C21031 : 5-Hydroxymethylcytosine in DNA</v>
      </c>
      <c r="E773" s="15"/>
      <c r="F773" s="15"/>
      <c r="G773" s="15"/>
    </row>
    <row r="774" spans="1:26" ht="14.5">
      <c r="A774" s="45" t="s">
        <v>12490</v>
      </c>
      <c r="B774" s="45" t="s">
        <v>12491</v>
      </c>
      <c r="C774" s="46" t="str">
        <f t="shared" si="20"/>
        <v>C21748:1</v>
      </c>
      <c r="D774" s="47" t="str">
        <f t="shared" si="21"/>
        <v>C21748 : 5-Fluorouridine diphosphate</v>
      </c>
      <c r="E774" s="15"/>
      <c r="F774" s="15"/>
      <c r="G774" s="15"/>
    </row>
    <row r="775" spans="1:26" ht="14.5">
      <c r="A775" s="52" t="s">
        <v>12492</v>
      </c>
      <c r="B775" s="50" t="s">
        <v>12493</v>
      </c>
      <c r="C775" s="48" t="str">
        <f t="shared" si="20"/>
        <v>C21749:1</v>
      </c>
      <c r="D775" s="49" t="str">
        <f t="shared" si="21"/>
        <v>C21749 : 5-Fluorouridine triphosphate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5">
      <c r="A776" s="45" t="s">
        <v>12494</v>
      </c>
      <c r="B776" s="45" t="s">
        <v>12495</v>
      </c>
      <c r="C776" s="46" t="str">
        <f t="shared" si="20"/>
        <v>C21750:1</v>
      </c>
      <c r="D776" s="47" t="str">
        <f t="shared" si="21"/>
        <v>C21750 : 5-Fluorodeoxyuridine diphosphate</v>
      </c>
      <c r="E776" s="15"/>
      <c r="F776" s="15"/>
      <c r="G776" s="15"/>
    </row>
    <row r="777" spans="1:26" ht="14.5">
      <c r="A777" s="52" t="s">
        <v>12496</v>
      </c>
      <c r="B777" s="50" t="s">
        <v>12497</v>
      </c>
      <c r="C777" s="48" t="str">
        <f t="shared" si="20"/>
        <v>C21751:1</v>
      </c>
      <c r="D777" s="49" t="str">
        <f t="shared" si="21"/>
        <v>C21751 : 5-Fluorodeoxyuridine triphosphate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5">
      <c r="A778" s="52" t="s">
        <v>12498</v>
      </c>
      <c r="B778" s="50" t="s">
        <v>12499</v>
      </c>
      <c r="C778" s="48" t="str">
        <f>CONCATENATE(A778,":1000")</f>
        <v>C21860:1000</v>
      </c>
      <c r="D778" s="49" t="str">
        <f t="shared" si="21"/>
        <v>C21860 : 3-Demethylubiquinol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5">
      <c r="A779" s="52" t="s">
        <v>12500</v>
      </c>
      <c r="B779" s="50" t="s">
        <v>12501</v>
      </c>
      <c r="C779" s="48" t="str">
        <f t="shared" si="20"/>
        <v>C21906:1</v>
      </c>
      <c r="D779" s="49" t="str">
        <f t="shared" si="21"/>
        <v>C21906 : 3-Oxochol-4-en-24-oyl-CoA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5">
      <c r="A780" s="52" t="s">
        <v>12502</v>
      </c>
      <c r="B780" s="50" t="s">
        <v>12503</v>
      </c>
      <c r="C780" s="48" t="str">
        <f t="shared" si="20"/>
        <v>C22157:1</v>
      </c>
      <c r="D780" s="49" t="str">
        <f t="shared" si="21"/>
        <v>C22157 : Glycine cleavage system H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5">
      <c r="A781" s="52" t="s">
        <v>12504</v>
      </c>
      <c r="B781" s="50" t="s">
        <v>12505</v>
      </c>
      <c r="C781" s="48" t="str">
        <f t="shared" si="20"/>
        <v>C22158:1</v>
      </c>
      <c r="D781" s="49" t="str">
        <f t="shared" si="21"/>
        <v>C22158 : Lipoyl-carrier protein E2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5">
      <c r="A782" s="52" t="s">
        <v>12506</v>
      </c>
      <c r="B782" s="50" t="s">
        <v>12507</v>
      </c>
      <c r="C782" s="48" t="str">
        <f t="shared" si="20"/>
        <v>C22160:1</v>
      </c>
      <c r="D782" s="49" t="str">
        <f t="shared" si="21"/>
        <v>C22160 : [Lipoyl-carrier protein E2]-N6-octanoyl-L-lysine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5">
      <c r="A783" s="45" t="s">
        <v>12508</v>
      </c>
      <c r="B783" s="45" t="s">
        <v>12509</v>
      </c>
      <c r="C783" s="46" t="str">
        <f t="shared" si="20"/>
        <v>C22288:1</v>
      </c>
      <c r="D783" s="47" t="str">
        <f t="shared" si="21"/>
        <v>C22288 : 5-Deoxy-D-ribose</v>
      </c>
      <c r="E783" s="15"/>
      <c r="F783" s="15"/>
      <c r="G783" s="15"/>
    </row>
    <row r="784" spans="1:26" ht="14.5">
      <c r="A784" s="45" t="s">
        <v>12510</v>
      </c>
      <c r="B784" s="45" t="s">
        <v>12511</v>
      </c>
      <c r="C784" s="46" t="str">
        <f t="shared" si="20"/>
        <v>C22395:1</v>
      </c>
      <c r="D784" s="47" t="str">
        <f t="shared" si="21"/>
        <v>C22395 : N6-Succino-2-amino-2'-deoxyadenylate</v>
      </c>
      <c r="E784" s="15"/>
      <c r="F784" s="15"/>
      <c r="G784" s="15"/>
    </row>
    <row r="785" spans="1:26" ht="14.5">
      <c r="A785" s="52" t="s">
        <v>12512</v>
      </c>
      <c r="B785" s="50" t="s">
        <v>12513</v>
      </c>
      <c r="C785" s="48" t="str">
        <f t="shared" si="20"/>
        <v>C22438:1</v>
      </c>
      <c r="D785" s="49" t="str">
        <f t="shared" si="21"/>
        <v>C22438 : 3,5-Dehydroshikimate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5">
      <c r="A786" s="45" t="s">
        <v>12514</v>
      </c>
      <c r="B786" s="45" t="s">
        <v>12515</v>
      </c>
      <c r="C786" s="46" t="str">
        <f t="shared" si="20"/>
        <v>C22441:1</v>
      </c>
      <c r="D786" s="47" t="str">
        <f t="shared" si="21"/>
        <v>C22441 : dZMP</v>
      </c>
      <c r="E786" s="15"/>
      <c r="F786" s="15"/>
      <c r="G786" s="15"/>
    </row>
    <row r="787" spans="1:26" ht="14.5">
      <c r="A787" s="45" t="s">
        <v>12516</v>
      </c>
      <c r="B787" s="45" t="s">
        <v>12517</v>
      </c>
      <c r="C787" s="46" t="str">
        <f t="shared" si="20"/>
        <v>C22442:1</v>
      </c>
      <c r="D787" s="47" t="str">
        <f t="shared" si="21"/>
        <v>C22442 : dZDP</v>
      </c>
      <c r="E787" s="15"/>
      <c r="F787" s="15"/>
      <c r="G787" s="15"/>
    </row>
    <row r="788" spans="1:26" ht="14.5">
      <c r="A788" s="52" t="s">
        <v>12518</v>
      </c>
      <c r="B788" s="50" t="s">
        <v>12519</v>
      </c>
      <c r="C788" s="48" t="str">
        <f t="shared" si="20"/>
        <v>C22443:1</v>
      </c>
      <c r="D788" s="49" t="str">
        <f t="shared" si="21"/>
        <v>C22443 : dZTP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5">
      <c r="A789" s="52" t="s">
        <v>12520</v>
      </c>
      <c r="B789" s="50" t="s">
        <v>12521</v>
      </c>
      <c r="C789" s="48" t="str">
        <f t="shared" si="20"/>
        <v>C23006:1</v>
      </c>
      <c r="D789" s="49" t="str">
        <f t="shared" si="21"/>
        <v>C23006 : 3-[(3aS,4S,5R,7aS)-5-Hydroxy-7a-methyl-1-oxooctahydro-1H-inden-4-yl]-3-oxopropanoyl-CoA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5">
      <c r="A790" s="52" t="s">
        <v>12522</v>
      </c>
      <c r="B790" s="50" t="s">
        <v>12523</v>
      </c>
      <c r="C790" s="48" t="str">
        <f t="shared" si="20"/>
        <v>C23007:1</v>
      </c>
      <c r="D790" s="49" t="str">
        <f t="shared" si="21"/>
        <v>C23007 : (3aS,4S,5R,7aS)-5-Hydroxy-7a-methyl-1-oxooctahydro-1H-indene-4-carboxyl-CoA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5">
      <c r="A791" s="52" t="s">
        <v>12524</v>
      </c>
      <c r="B791" s="50" t="s">
        <v>12525</v>
      </c>
      <c r="C791" s="48" t="str">
        <f t="shared" si="20"/>
        <v>C23013:1</v>
      </c>
      <c r="D791" s="49" t="str">
        <f t="shared" si="21"/>
        <v>C23013 : 3,24-Dioxocholest-4-en-26-oyl-CoA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5">
      <c r="A792" s="52" t="s">
        <v>12526</v>
      </c>
      <c r="B792" s="50" t="s">
        <v>12527</v>
      </c>
      <c r="C792" s="48" t="str">
        <f t="shared" si="20"/>
        <v>C23016:1</v>
      </c>
      <c r="D792" s="49" t="str">
        <f t="shared" si="21"/>
        <v>C23016 : 3,22-Dioxochol-4-en-24-oyl-CoA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5">
      <c r="A793" s="52" t="s">
        <v>12528</v>
      </c>
      <c r="B793" s="50" t="s">
        <v>12529</v>
      </c>
      <c r="C793" s="48" t="str">
        <f t="shared" si="20"/>
        <v>C23017:1</v>
      </c>
      <c r="D793" s="49" t="str">
        <f t="shared" si="21"/>
        <v>C23017 : 3-Oxopregnene-20-carboxyl-CoA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5">
      <c r="A794" s="52" t="s">
        <v>12530</v>
      </c>
      <c r="B794" s="50" t="s">
        <v>12531</v>
      </c>
      <c r="C794" s="48" t="str">
        <f t="shared" si="20"/>
        <v>C23021:1</v>
      </c>
      <c r="D794" s="49" t="str">
        <f t="shared" si="21"/>
        <v>C23021 : 9-Carboxy-6-methyl-3,7-dioxononanoyl-CoA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5">
      <c r="A795" s="52" t="s">
        <v>12532</v>
      </c>
      <c r="B795" s="50" t="s">
        <v>12533</v>
      </c>
      <c r="C795" s="48" t="str">
        <f t="shared" si="20"/>
        <v>C23022:1</v>
      </c>
      <c r="D795" s="49" t="str">
        <f t="shared" si="21"/>
        <v>C23022 : 7-Carboxy-4-methyl-5-oxoheptanoyl-CoA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5">
      <c r="A796" s="52" t="s">
        <v>12534</v>
      </c>
      <c r="B796" s="50" t="s">
        <v>11620</v>
      </c>
      <c r="C796" s="48" t="str">
        <f t="shared" si="20"/>
        <v>G00092:1</v>
      </c>
      <c r="D796" s="49" t="str">
        <f t="shared" si="21"/>
        <v>G00092 : Lactosylceramide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5">
      <c r="A797" s="52" t="s">
        <v>12535</v>
      </c>
      <c r="B797" s="50" t="s">
        <v>12536</v>
      </c>
      <c r="C797" s="48" t="str">
        <f t="shared" si="20"/>
        <v>G00093:1</v>
      </c>
      <c r="D797" s="49" t="str">
        <f t="shared" si="21"/>
        <v>G00093 : Globotriaosylceramide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5">
      <c r="A798" s="52" t="s">
        <v>12537</v>
      </c>
      <c r="B798" s="50" t="s">
        <v>12538</v>
      </c>
      <c r="C798" s="48" t="str">
        <f t="shared" si="20"/>
        <v>G00109:1</v>
      </c>
      <c r="D798" s="49" t="str">
        <f t="shared" si="21"/>
        <v>G00109 : GM2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5">
      <c r="A799" s="52" t="s">
        <v>12539</v>
      </c>
      <c r="B799" s="50" t="s">
        <v>12540</v>
      </c>
      <c r="C799" s="48" t="str">
        <f t="shared" si="20"/>
        <v>G00110:1</v>
      </c>
      <c r="D799" s="49" t="str">
        <f t="shared" si="21"/>
        <v>G00110 : GM1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5">
      <c r="A800" s="52" t="s">
        <v>12541</v>
      </c>
      <c r="B800" s="50" t="s">
        <v>12203</v>
      </c>
      <c r="C800" s="48" t="str">
        <f t="shared" si="20"/>
        <v>G00123:1</v>
      </c>
      <c r="D800" s="49" t="str">
        <f t="shared" si="21"/>
        <v>G00123 : GA2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5">
      <c r="A801" s="52" t="s">
        <v>12542</v>
      </c>
      <c r="B801" s="50" t="s">
        <v>12543</v>
      </c>
      <c r="C801" s="48" t="str">
        <f t="shared" si="20"/>
        <v>G00124:1</v>
      </c>
      <c r="D801" s="49" t="str">
        <f t="shared" si="21"/>
        <v>G00124 : Asialo-GM1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5">
      <c r="A802" s="45" t="s">
        <v>12544</v>
      </c>
      <c r="B802" s="45" t="s">
        <v>11404</v>
      </c>
      <c r="C802" s="46" t="str">
        <f t="shared" si="20"/>
        <v>G00249:1</v>
      </c>
      <c r="D802" s="47" t="str">
        <f t="shared" si="21"/>
        <v>G00249 : Raffinose</v>
      </c>
      <c r="E802" s="15"/>
      <c r="F802" s="15"/>
      <c r="G802" s="15"/>
    </row>
    <row r="803" spans="1:26" ht="14.5">
      <c r="A803" s="52" t="s">
        <v>12545</v>
      </c>
      <c r="B803" s="50" t="s">
        <v>11224</v>
      </c>
      <c r="C803" s="48" t="str">
        <f>CONCATENATE(A803,":1000")</f>
        <v>G00275:1000</v>
      </c>
      <c r="D803" s="49" t="str">
        <f t="shared" si="21"/>
        <v>G00275 : Maltose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5">
      <c r="A804" s="45" t="s">
        <v>12546</v>
      </c>
      <c r="B804" s="45" t="s">
        <v>11646</v>
      </c>
      <c r="C804" s="46" t="str">
        <f t="shared" si="20"/>
        <v>G00278:1</v>
      </c>
      <c r="D804" s="47" t="str">
        <f t="shared" si="21"/>
        <v>G00278 : Stachyose</v>
      </c>
      <c r="E804" s="15"/>
      <c r="F804" s="15"/>
      <c r="G804" s="15"/>
    </row>
    <row r="805" spans="1:26" ht="14.5">
      <c r="A805" s="45" t="s">
        <v>12547</v>
      </c>
      <c r="B805" s="45" t="s">
        <v>11098</v>
      </c>
      <c r="C805" s="46" t="str">
        <f t="shared" si="20"/>
        <v>G00370:1</v>
      </c>
      <c r="D805" s="47" t="str">
        <f t="shared" si="21"/>
        <v>G00370 : Sucrose</v>
      </c>
      <c r="E805" s="15"/>
      <c r="F805" s="15"/>
      <c r="G805" s="15"/>
    </row>
    <row r="806" spans="1:26" ht="14.5">
      <c r="A806" s="52" t="s">
        <v>12548</v>
      </c>
      <c r="B806" s="50" t="s">
        <v>12549</v>
      </c>
      <c r="C806" s="48" t="str">
        <f t="shared" si="20"/>
        <v>G00497:1</v>
      </c>
      <c r="D806" s="49" t="str">
        <f t="shared" si="21"/>
        <v>G00497 : Galabiosylceramide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5">
      <c r="A807" s="45" t="s">
        <v>12550</v>
      </c>
      <c r="B807" s="45" t="s">
        <v>12551</v>
      </c>
      <c r="C807" s="46" t="str">
        <f t="shared" si="20"/>
        <v>G00501:1</v>
      </c>
      <c r="D807" s="47" t="str">
        <f t="shared" si="21"/>
        <v>G00501 : Manninotriose</v>
      </c>
      <c r="E807" s="15"/>
      <c r="F807" s="15"/>
      <c r="G807" s="15"/>
    </row>
    <row r="808" spans="1:26" ht="14.5">
      <c r="A808" s="45" t="s">
        <v>12552</v>
      </c>
      <c r="B808" s="45" t="s">
        <v>12081</v>
      </c>
      <c r="C808" s="46" t="str">
        <f t="shared" si="20"/>
        <v>G01275:1</v>
      </c>
      <c r="D808" s="47" t="str">
        <f t="shared" si="21"/>
        <v>G01275 : Melibiose</v>
      </c>
      <c r="E808" s="15"/>
      <c r="F808" s="15"/>
      <c r="G808" s="15"/>
    </row>
    <row r="809" spans="1:26" ht="14.5">
      <c r="A809" s="52" t="s">
        <v>12553</v>
      </c>
      <c r="B809" s="50" t="s">
        <v>12554</v>
      </c>
      <c r="C809" s="48" t="str">
        <f t="shared" si="20"/>
        <v>G01977:1</v>
      </c>
      <c r="D809" s="49" t="str">
        <f t="shared" si="21"/>
        <v>G01977 : (Gal)2 (GlcNAc)2 (S)2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5">
      <c r="A810" s="52" t="s">
        <v>12555</v>
      </c>
      <c r="B810" s="50" t="s">
        <v>12556</v>
      </c>
      <c r="C810" s="48" t="str">
        <f>CONCATENATE(A810,":1000")</f>
        <v>G09795:1000</v>
      </c>
      <c r="D810" s="49" t="str">
        <f t="shared" si="21"/>
        <v>G09795 : Trehalose 6-phosphate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5">
      <c r="A811" s="52" t="s">
        <v>12557</v>
      </c>
      <c r="B811" s="50" t="s">
        <v>11598</v>
      </c>
      <c r="C811" s="48" t="str">
        <f t="shared" si="20"/>
        <v>G10238:1</v>
      </c>
      <c r="D811" s="49" t="str">
        <f t="shared" si="21"/>
        <v>G10238 : Glucosylceramide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5">
      <c r="A812" s="52" t="s">
        <v>12558</v>
      </c>
      <c r="B812" s="50" t="s">
        <v>12559</v>
      </c>
      <c r="C812" s="48" t="str">
        <f t="shared" si="20"/>
        <v>G10488:1</v>
      </c>
      <c r="D812" s="49" t="str">
        <f t="shared" si="21"/>
        <v>G10488 : Galactinol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5">
      <c r="A813" s="45" t="s">
        <v>12560</v>
      </c>
      <c r="B813" s="45" t="s">
        <v>12561</v>
      </c>
      <c r="C813" s="46" t="str">
        <f t="shared" si="20"/>
        <v>G10495:1</v>
      </c>
      <c r="D813" s="47" t="str">
        <f t="shared" si="21"/>
        <v>G10495 : 1,4-alpha-D-Glucan</v>
      </c>
      <c r="E813" s="15"/>
      <c r="F813" s="15"/>
      <c r="G813" s="15"/>
    </row>
    <row r="814" spans="1:26" ht="14.5">
      <c r="A814" s="52" t="s">
        <v>12562</v>
      </c>
      <c r="B814" s="50" t="s">
        <v>11257</v>
      </c>
      <c r="C814" s="48" t="str">
        <f>CONCATENATE(A814,":1000")</f>
        <v>G10504:1000</v>
      </c>
      <c r="D814" s="49" t="str">
        <f t="shared" si="21"/>
        <v>G10504 : Lactose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5">
      <c r="A815" s="45" t="s">
        <v>12563</v>
      </c>
      <c r="B815" s="45" t="s">
        <v>12564</v>
      </c>
      <c r="C815" s="46" t="str">
        <f t="shared" si="20"/>
        <v>G10508:1</v>
      </c>
      <c r="D815" s="47" t="str">
        <f t="shared" si="21"/>
        <v>G10508 : Sucrose 6'-phosphate</v>
      </c>
      <c r="E815" s="15"/>
      <c r="F815" s="15"/>
      <c r="G815" s="15"/>
    </row>
    <row r="816" spans="1:26" ht="14.5">
      <c r="A816" s="45" t="s">
        <v>12565</v>
      </c>
      <c r="B816" s="45" t="s">
        <v>12566</v>
      </c>
      <c r="C816" s="46" t="str">
        <f t="shared" si="20"/>
        <v>G10518:1</v>
      </c>
      <c r="D816" s="47" t="str">
        <f t="shared" si="21"/>
        <v>G10518 : (Glc)2 (P)1</v>
      </c>
      <c r="E816" s="15"/>
      <c r="F816" s="15"/>
      <c r="G816" s="15"/>
    </row>
    <row r="817" spans="1:26" ht="14.5">
      <c r="A817" s="52" t="s">
        <v>12567</v>
      </c>
      <c r="B817" s="50" t="s">
        <v>12077</v>
      </c>
      <c r="C817" s="48" t="str">
        <f>CONCATENATE(A817,":1000")</f>
        <v>G10529:1000</v>
      </c>
      <c r="D817" s="49" t="str">
        <f t="shared" si="21"/>
        <v>G10529 : Epimelibiose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5">
      <c r="A818" s="52" t="s">
        <v>12568</v>
      </c>
      <c r="B818" s="50" t="s">
        <v>12083</v>
      </c>
      <c r="C818" s="48" t="str">
        <f>CONCATENATE(A818,":1000")</f>
        <v>G10531:1000</v>
      </c>
      <c r="D818" s="49" t="str">
        <f t="shared" si="21"/>
        <v>G10531 : 3-Ketolactose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5">
      <c r="A819" s="52" t="s">
        <v>12569</v>
      </c>
      <c r="B819" s="50" t="s">
        <v>12570</v>
      </c>
      <c r="C819" s="48" t="str">
        <f t="shared" si="20"/>
        <v>G10534:1</v>
      </c>
      <c r="D819" s="49" t="str">
        <f t="shared" si="21"/>
        <v>G10534 : (Gal)1 (*)2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5">
      <c r="A820" s="45" t="s">
        <v>12571</v>
      </c>
      <c r="B820" s="45" t="s">
        <v>11340</v>
      </c>
      <c r="C820" s="46" t="str">
        <f t="shared" si="20"/>
        <v>G10545:1</v>
      </c>
      <c r="D820" s="47" t="str">
        <f t="shared" si="21"/>
        <v>G10545 : Starch</v>
      </c>
      <c r="E820" s="15"/>
      <c r="F820" s="15"/>
      <c r="G820" s="15"/>
    </row>
    <row r="821" spans="1:26" ht="14.5">
      <c r="A821" s="45" t="s">
        <v>12572</v>
      </c>
      <c r="B821" s="45" t="s">
        <v>12573</v>
      </c>
      <c r="C821" s="46" t="str">
        <f t="shared" si="20"/>
        <v>G10550:1</v>
      </c>
      <c r="D821" s="47" t="str">
        <f t="shared" si="21"/>
        <v>G10550 : (GlcNAc)1 (MurNAc)1 (D-Ala-D-Ala-Lys-D-Glu-Ala)1 (PP-Und)1</v>
      </c>
      <c r="E821" s="15"/>
      <c r="F821" s="15"/>
      <c r="G821" s="15"/>
    </row>
    <row r="822" spans="1:26" ht="14.5">
      <c r="A822" s="45" t="s">
        <v>12574</v>
      </c>
      <c r="B822" s="45" t="s">
        <v>12575</v>
      </c>
      <c r="C822" s="46" t="str">
        <f t="shared" si="20"/>
        <v>G10551:1</v>
      </c>
      <c r="D822" s="47" t="str">
        <f t="shared" si="21"/>
        <v>G10551 : (MurNAc)1 (D-Ala-D-Ala-Lys-D-Glu-Ala)1 (PP-Und)1</v>
      </c>
      <c r="E822" s="15"/>
      <c r="F822" s="15"/>
      <c r="G822" s="15"/>
    </row>
    <row r="823" spans="1:26" ht="14.5">
      <c r="A823" s="45" t="s">
        <v>12576</v>
      </c>
      <c r="B823" s="45" t="s">
        <v>12577</v>
      </c>
      <c r="C823" s="46" t="str">
        <f t="shared" si="20"/>
        <v>G10552:1</v>
      </c>
      <c r="D823" s="47" t="str">
        <f t="shared" si="21"/>
        <v>G10552 : (MurNAc)1 (D-Ala-D-Ala-Lys-gamma-D-Glu-Ala)1 (PP-Und)1</v>
      </c>
      <c r="E823" s="15"/>
      <c r="F823" s="15"/>
      <c r="G823" s="15"/>
    </row>
    <row r="824" spans="1:26" ht="14.5">
      <c r="A824" s="45" t="s">
        <v>12578</v>
      </c>
      <c r="B824" s="45" t="s">
        <v>12579</v>
      </c>
      <c r="C824" s="46" t="str">
        <f t="shared" si="20"/>
        <v>G10553:1</v>
      </c>
      <c r="D824" s="47" t="str">
        <f t="shared" si="21"/>
        <v>G10553 : (GlcNAc)1 (MurNAc)1 (D-Ala-D-Ala-Lys-gamma-D-Glu-Ala)1 (PP-Und)1</v>
      </c>
      <c r="E824" s="15"/>
      <c r="F824" s="15"/>
      <c r="G824" s="15"/>
    </row>
    <row r="825" spans="1:26" ht="14.5">
      <c r="A825" s="45" t="s">
        <v>12580</v>
      </c>
      <c r="B825" s="45" t="s">
        <v>12581</v>
      </c>
      <c r="C825" s="46" t="str">
        <f t="shared" si="20"/>
        <v>G10555:1</v>
      </c>
      <c r="D825" s="47" t="str">
        <f t="shared" si="21"/>
        <v>G10555 : (GlcNAc)1 (MurNAc)1 (D-Ala-D-Ala-A2pm-gamma-D-Glu-Ala)1 (PP-Und)1</v>
      </c>
      <c r="E825" s="15"/>
      <c r="F825" s="15"/>
      <c r="G825" s="15"/>
    </row>
    <row r="826" spans="1:26" ht="14.5">
      <c r="A826" s="45" t="s">
        <v>12582</v>
      </c>
      <c r="B826" s="45" t="s">
        <v>12583</v>
      </c>
      <c r="C826" s="46" t="str">
        <f t="shared" si="20"/>
        <v>G10556:1</v>
      </c>
      <c r="D826" s="47" t="str">
        <f t="shared" si="21"/>
        <v>G10556 : (MurNAc)1 (D-Ala-D-Ala-A2pm-gamma-D-Glu-Ala)1 (PP-Und)1</v>
      </c>
      <c r="E826" s="15"/>
      <c r="F826" s="15"/>
      <c r="G826" s="15"/>
    </row>
    <row r="827" spans="1:26" ht="14.5">
      <c r="A827" s="45" t="s">
        <v>12584</v>
      </c>
      <c r="B827" s="45" t="s">
        <v>12585</v>
      </c>
      <c r="C827" s="46" t="str">
        <f t="shared" si="20"/>
        <v>G10610:1</v>
      </c>
      <c r="D827" s="47" t="str">
        <f t="shared" si="21"/>
        <v>G10610 : UDP-N-acetyl-D-glucosamine</v>
      </c>
      <c r="E827" s="15"/>
      <c r="F827" s="15"/>
      <c r="G827" s="15"/>
    </row>
    <row r="828" spans="1:26" ht="14.5">
      <c r="A828" s="45" t="s">
        <v>12586</v>
      </c>
      <c r="B828" s="45" t="s">
        <v>10988</v>
      </c>
      <c r="C828" s="46" t="str">
        <f t="shared" si="20"/>
        <v>G10619:1</v>
      </c>
      <c r="D828" s="47" t="str">
        <f t="shared" si="21"/>
        <v>G10619 : UDP</v>
      </c>
      <c r="E828" s="15"/>
      <c r="F828" s="15"/>
      <c r="G828" s="15"/>
    </row>
    <row r="829" spans="1:26" ht="14.5">
      <c r="A829" s="45" t="s">
        <v>12587</v>
      </c>
      <c r="B829" s="45" t="s">
        <v>11408</v>
      </c>
      <c r="C829" s="46" t="str">
        <f t="shared" si="20"/>
        <v>G11109:1</v>
      </c>
      <c r="D829" s="47" t="str">
        <f t="shared" si="21"/>
        <v>G11109 : ADP-glucose</v>
      </c>
      <c r="E829" s="15"/>
      <c r="F829" s="15"/>
      <c r="G829" s="15"/>
    </row>
    <row r="830" spans="1:26" ht="14.5">
      <c r="A830" s="45" t="s">
        <v>12588</v>
      </c>
      <c r="B830" s="45" t="s">
        <v>10974</v>
      </c>
      <c r="C830" s="46" t="str">
        <f t="shared" si="20"/>
        <v>G11113:1</v>
      </c>
      <c r="D830" s="47" t="str">
        <f t="shared" si="21"/>
        <v>G11113 : ADP</v>
      </c>
      <c r="E830" s="15"/>
      <c r="F830" s="15"/>
      <c r="G830" s="15"/>
    </row>
    <row r="831" spans="1:26" ht="14.5">
      <c r="A831" s="52" t="s">
        <v>12589</v>
      </c>
      <c r="B831" s="50" t="s">
        <v>11764</v>
      </c>
      <c r="C831" s="48" t="str">
        <f t="shared" si="20"/>
        <v>G11121:1</v>
      </c>
      <c r="D831" s="49" t="str">
        <f t="shared" si="21"/>
        <v>G11121 : Galactosylceramide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5">
      <c r="A832" s="52" t="s">
        <v>12590</v>
      </c>
      <c r="B832" s="50" t="s">
        <v>12199</v>
      </c>
      <c r="C832" s="48" t="str">
        <f t="shared" si="20"/>
        <v>G11122:1</v>
      </c>
      <c r="D832" s="49" t="str">
        <f t="shared" si="21"/>
        <v>G11122 : Sulfatide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5">
      <c r="A833" s="52" t="s">
        <v>12591</v>
      </c>
      <c r="B833" s="50" t="s">
        <v>12592</v>
      </c>
      <c r="C833" s="48" t="str">
        <f t="shared" si="20"/>
        <v>G13073:1</v>
      </c>
      <c r="D833" s="49" t="str">
        <f t="shared" si="21"/>
        <v>G13073 : (Gal)1 (GlcNAc)2 (S)2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5">
      <c r="A834" s="45" t="s">
        <v>12593</v>
      </c>
      <c r="B834" s="45" t="s">
        <v>12594</v>
      </c>
      <c r="C834" s="46" t="str">
        <f t="shared" si="20"/>
        <v>G13167:1</v>
      </c>
      <c r="D834" s="47" t="str">
        <f t="shared" si="21"/>
        <v>G13167 : alpha-Glycosylated WTA</v>
      </c>
      <c r="E834" s="15"/>
      <c r="F834" s="15"/>
      <c r="G834" s="15"/>
    </row>
    <row r="835" spans="1:26" ht="14.5">
      <c r="A835" s="45" t="s">
        <v>12595</v>
      </c>
      <c r="B835" s="45" t="s">
        <v>12596</v>
      </c>
      <c r="C835" s="46" t="str">
        <f t="shared" si="20"/>
        <v>G13170:1</v>
      </c>
      <c r="D835" s="47" t="str">
        <f t="shared" si="21"/>
        <v>G13170 : beta-Glycosylated WTA</v>
      </c>
      <c r="E835" s="15"/>
      <c r="F835" s="15"/>
      <c r="G835" s="15"/>
    </row>
    <row r="836" spans="1:26" ht="14.5">
      <c r="A836" s="45" t="s">
        <v>12597</v>
      </c>
      <c r="B836" s="45" t="s">
        <v>12598</v>
      </c>
      <c r="C836" s="46" t="str">
        <f t="shared" si="20"/>
        <v>G13171:1</v>
      </c>
      <c r="D836" s="47" t="str">
        <f t="shared" si="21"/>
        <v>G13171 : (Ala)1 (Glc)1 (GlcNAc)1 (Gro)1 (ManNAc)1 (Rib-ol)2 (*)1 (P)3 (PP-Und)1</v>
      </c>
      <c r="E836" s="15"/>
      <c r="F836" s="15"/>
      <c r="G836" s="15"/>
    </row>
    <row r="837" spans="1:26" ht="14.5">
      <c r="A837" s="45" t="s">
        <v>12599</v>
      </c>
      <c r="B837" s="45" t="s">
        <v>12600</v>
      </c>
      <c r="C837" s="46" t="str">
        <f t="shared" si="20"/>
        <v>G13174:1</v>
      </c>
      <c r="D837" s="47" t="str">
        <f t="shared" si="21"/>
        <v>G13174 : alpha-O-GlcNAcylated WTA</v>
      </c>
      <c r="E837" s="15"/>
      <c r="F837" s="15"/>
      <c r="G837" s="15"/>
    </row>
    <row r="838" spans="1:26" ht="14.5">
      <c r="A838" s="45" t="s">
        <v>12601</v>
      </c>
      <c r="B838" s="45" t="s">
        <v>12602</v>
      </c>
      <c r="C838" s="46" t="str">
        <f t="shared" si="20"/>
        <v>G13175:1</v>
      </c>
      <c r="D838" s="47" t="str">
        <f t="shared" si="21"/>
        <v>G13175 : (Ala)1 (GlcNAc)2 (Gro)2 (ManNAc)1 (Rib-ol)1 (*)1 (P)3 (PP-Und)1</v>
      </c>
      <c r="E838" s="15"/>
      <c r="F838" s="15"/>
      <c r="G838" s="15"/>
    </row>
    <row r="839" spans="1:26" ht="14.5">
      <c r="A839" s="45" t="s">
        <v>12603</v>
      </c>
      <c r="B839" s="45" t="s">
        <v>12604</v>
      </c>
      <c r="C839" s="46" t="str">
        <f t="shared" si="20"/>
        <v>G13176:1</v>
      </c>
      <c r="D839" s="47" t="str">
        <f t="shared" si="21"/>
        <v>G13176 : beta-O-GlcNAcylated WTA</v>
      </c>
      <c r="E839" s="15"/>
      <c r="F839" s="15"/>
      <c r="G839" s="15"/>
    </row>
    <row r="840" spans="1:26" ht="14.5">
      <c r="A840" s="45" t="s">
        <v>12605</v>
      </c>
      <c r="B840" s="45" t="s">
        <v>12602</v>
      </c>
      <c r="C840" s="46" t="str">
        <f t="shared" si="20"/>
        <v>G13177:1</v>
      </c>
      <c r="D840" s="47" t="str">
        <f t="shared" si="21"/>
        <v>G13177 : (Ala)1 (GlcNAc)2 (Gro)2 (ManNAc)1 (Rib-ol)1 (*)1 (P)3 (PP-Und)1</v>
      </c>
      <c r="E840" s="15"/>
      <c r="F840" s="15"/>
      <c r="G840" s="15"/>
    </row>
    <row r="841" spans="1:26" ht="14.5">
      <c r="A841" s="45" t="s">
        <v>12606</v>
      </c>
      <c r="B841" s="45" t="s">
        <v>12607</v>
      </c>
      <c r="C841" s="46" t="str">
        <f t="shared" si="20"/>
        <v>G13178:1</v>
      </c>
      <c r="D841" s="47" t="str">
        <f t="shared" si="21"/>
        <v>G13178 : (GlcNAc)2 (Gro)2 (ManNAc)1 (Rib-ol)1 (*)1 (P)3 (PP-Und)1</v>
      </c>
      <c r="E841" s="15"/>
      <c r="F841" s="15"/>
      <c r="G841" s="15"/>
    </row>
    <row r="842" spans="1:26" ht="14.5">
      <c r="A842" s="52" t="s">
        <v>12608</v>
      </c>
      <c r="B842" s="50" t="s">
        <v>12602</v>
      </c>
      <c r="C842" s="48" t="str">
        <f t="shared" si="20"/>
        <v>G13179:1</v>
      </c>
      <c r="D842" s="49" t="str">
        <f t="shared" si="21"/>
        <v>G13179 : (Ala)1 (GlcNAc)2 (Gro)2 (ManNAc)1 (Rib-ol)1 (*)1 (P)3 (PP-Und)1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5">
      <c r="A843" s="45" t="s">
        <v>12609</v>
      </c>
      <c r="B843" s="45" t="s">
        <v>12610</v>
      </c>
      <c r="C843" s="46" t="str">
        <f t="shared" si="20"/>
        <v>G13180:1</v>
      </c>
      <c r="D843" s="47" t="str">
        <f t="shared" si="21"/>
        <v>G13180 : (Ala)1 (Glc)1 (GlcNAc)1 (Gro)2 (ManNAc)1 (*)1 (P)2 (PP-Und)1</v>
      </c>
      <c r="E843" s="15"/>
      <c r="F843" s="15"/>
      <c r="G843" s="15"/>
    </row>
    <row r="844" spans="1:26" ht="14.5">
      <c r="A844" s="45" t="s">
        <v>12611</v>
      </c>
      <c r="B844" s="45" t="s">
        <v>12612</v>
      </c>
      <c r="C844" s="46" t="str">
        <f t="shared" si="20"/>
        <v>G13185:1</v>
      </c>
      <c r="D844" s="47" t="str">
        <f t="shared" si="21"/>
        <v>G13185 : (DAG)1 (Glc)2 (GlcNAc)1 (Gro)2 (*)1 (P)2</v>
      </c>
      <c r="E844" s="15"/>
      <c r="F844" s="15"/>
      <c r="G844" s="15"/>
    </row>
    <row r="845" spans="1:26" ht="14.5">
      <c r="A845" s="45" t="s">
        <v>12613</v>
      </c>
      <c r="B845" s="45" t="s">
        <v>12614</v>
      </c>
      <c r="C845" s="46" t="str">
        <f t="shared" si="20"/>
        <v>G13186:1</v>
      </c>
      <c r="D845" s="47" t="str">
        <f t="shared" si="21"/>
        <v>G13186 : (Ala)1 (DAG)1 (Glc)2 (GlcNAc)1 (Gro)2 (*)1 (P)2</v>
      </c>
      <c r="E845" s="15"/>
      <c r="F845" s="15"/>
      <c r="G845" s="15"/>
    </row>
    <row r="846" spans="1:26" ht="14.5">
      <c r="A846" s="45" t="s">
        <v>12615</v>
      </c>
      <c r="B846" s="45" t="s">
        <v>12616</v>
      </c>
      <c r="C846" s="46" t="str">
        <f t="shared" si="20"/>
        <v>G13192:1</v>
      </c>
      <c r="D846" s="47" t="str">
        <f t="shared" si="21"/>
        <v>G13192 : (DAG)1 (Gal)2 (Glc)1 (Gro)2 (*)1 (P)2</v>
      </c>
      <c r="E846" s="15"/>
      <c r="F846" s="15"/>
      <c r="G846" s="15"/>
    </row>
    <row r="847" spans="1:26" ht="14.5">
      <c r="A847" s="45" t="s">
        <v>12617</v>
      </c>
      <c r="B847" s="45" t="s">
        <v>12618</v>
      </c>
      <c r="C847" s="46" t="str">
        <f t="shared" si="20"/>
        <v>G13193:1</v>
      </c>
      <c r="D847" s="47" t="str">
        <f t="shared" si="21"/>
        <v>G13193 : (Ala)1 (DAG)1 (Gal)2 (Glc)1 (Gro)2 (*)1 (P)2</v>
      </c>
      <c r="E847" s="15"/>
      <c r="F847" s="15"/>
      <c r="G847" s="15"/>
    </row>
    <row r="848" spans="1:26" ht="14.5">
      <c r="A848" s="38"/>
    </row>
    <row r="849" spans="1:1" ht="14.5">
      <c r="A849" s="38"/>
    </row>
    <row r="850" spans="1:1" ht="14.5">
      <c r="A850" s="38"/>
    </row>
    <row r="851" spans="1:1" ht="14.5">
      <c r="A851" s="38"/>
    </row>
    <row r="852" spans="1:1" ht="14.5">
      <c r="A852" s="38"/>
    </row>
    <row r="853" spans="1:1" ht="14.5">
      <c r="A853" s="38"/>
    </row>
    <row r="854" spans="1:1" ht="14.5">
      <c r="A854" s="38"/>
    </row>
    <row r="855" spans="1:1" ht="14.5">
      <c r="A855" s="38"/>
    </row>
    <row r="856" spans="1:1" ht="14.5">
      <c r="A856" s="38"/>
    </row>
    <row r="857" spans="1:1" ht="14.5">
      <c r="A857" s="38"/>
    </row>
    <row r="858" spans="1:1" ht="14.5">
      <c r="A858" s="38"/>
    </row>
    <row r="859" spans="1:1" ht="14.5">
      <c r="A859" s="38"/>
    </row>
    <row r="860" spans="1:1" ht="14.5">
      <c r="A860" s="38"/>
    </row>
    <row r="861" spans="1:1" ht="14.5">
      <c r="A861" s="38"/>
    </row>
    <row r="862" spans="1:1" ht="14.5">
      <c r="A862" s="38"/>
    </row>
    <row r="863" spans="1:1" ht="14.5">
      <c r="A863" s="38"/>
    </row>
    <row r="864" spans="1:1" ht="14.5">
      <c r="A864" s="38"/>
    </row>
    <row r="865" spans="1:1" ht="14.5">
      <c r="A865" s="38"/>
    </row>
    <row r="866" spans="1:1" ht="14.5">
      <c r="A866" s="38"/>
    </row>
    <row r="867" spans="1:1" ht="14.5">
      <c r="A867" s="38"/>
    </row>
    <row r="868" spans="1:1" ht="14.5">
      <c r="A868" s="38"/>
    </row>
    <row r="869" spans="1:1" ht="14.5">
      <c r="A869" s="38"/>
    </row>
    <row r="870" spans="1:1" ht="14.5">
      <c r="A870" s="38"/>
    </row>
    <row r="871" spans="1:1" ht="14.5">
      <c r="A871" s="38"/>
    </row>
    <row r="872" spans="1:1" ht="14.5">
      <c r="A872" s="38"/>
    </row>
    <row r="873" spans="1:1" ht="14.5">
      <c r="A873" s="38"/>
    </row>
    <row r="874" spans="1:1" ht="14.5">
      <c r="A874" s="38"/>
    </row>
    <row r="875" spans="1:1" ht="14.5">
      <c r="A875" s="38"/>
    </row>
    <row r="876" spans="1:1" ht="14.5">
      <c r="A876" s="38"/>
    </row>
    <row r="877" spans="1:1" ht="14.5">
      <c r="A877" s="38"/>
    </row>
    <row r="878" spans="1:1" ht="14.5">
      <c r="A878" s="38"/>
    </row>
    <row r="879" spans="1:1" ht="14.5">
      <c r="A879" s="38"/>
    </row>
    <row r="880" spans="1:1" ht="14.5">
      <c r="A880" s="38"/>
    </row>
    <row r="881" spans="1:1" ht="14.5">
      <c r="A881" s="38"/>
    </row>
    <row r="882" spans="1:1" ht="14.5">
      <c r="A882" s="38"/>
    </row>
    <row r="883" spans="1:1" ht="14.5">
      <c r="A883" s="38"/>
    </row>
    <row r="884" spans="1:1" ht="14.5">
      <c r="A884" s="38"/>
    </row>
    <row r="885" spans="1:1" ht="14.5">
      <c r="A885" s="38"/>
    </row>
    <row r="886" spans="1:1" ht="14.5">
      <c r="A886" s="38"/>
    </row>
    <row r="887" spans="1:1" ht="14.5">
      <c r="A887" s="38"/>
    </row>
    <row r="888" spans="1:1" ht="14.5">
      <c r="A888" s="38"/>
    </row>
    <row r="889" spans="1:1" ht="14.5">
      <c r="A889" s="38"/>
    </row>
    <row r="890" spans="1:1" ht="14.5">
      <c r="A890" s="38"/>
    </row>
    <row r="891" spans="1:1" ht="14.5">
      <c r="A891" s="38"/>
    </row>
    <row r="892" spans="1:1" ht="14.5">
      <c r="A892" s="38"/>
    </row>
    <row r="893" spans="1:1" ht="14.5">
      <c r="A893" s="38"/>
    </row>
    <row r="894" spans="1:1" ht="14.5">
      <c r="A894" s="38"/>
    </row>
    <row r="895" spans="1:1" ht="14.5">
      <c r="A895" s="38"/>
    </row>
    <row r="896" spans="1:1" ht="14.5">
      <c r="A896" s="38"/>
    </row>
    <row r="897" spans="1:1" ht="14.5">
      <c r="A897" s="38"/>
    </row>
    <row r="898" spans="1:1" ht="14.5">
      <c r="A898" s="38"/>
    </row>
    <row r="899" spans="1:1" ht="14.5">
      <c r="A899" s="38"/>
    </row>
    <row r="900" spans="1:1" ht="14.5">
      <c r="A900" s="38"/>
    </row>
    <row r="901" spans="1:1" ht="14.5">
      <c r="A901" s="38"/>
    </row>
    <row r="902" spans="1:1" ht="14.5">
      <c r="A902" s="38"/>
    </row>
    <row r="903" spans="1:1" ht="14.5">
      <c r="A903" s="38"/>
    </row>
    <row r="904" spans="1:1" ht="14.5">
      <c r="A904" s="38"/>
    </row>
    <row r="905" spans="1:1" ht="14.5">
      <c r="A905" s="38"/>
    </row>
    <row r="906" spans="1:1" ht="14.5">
      <c r="A906" s="38"/>
    </row>
    <row r="907" spans="1:1" ht="14.5">
      <c r="A907" s="38"/>
    </row>
    <row r="908" spans="1:1" ht="14.5">
      <c r="A908" s="38"/>
    </row>
    <row r="909" spans="1:1" ht="14.5">
      <c r="A909" s="38"/>
    </row>
    <row r="910" spans="1:1" ht="14.5">
      <c r="A910" s="38"/>
    </row>
    <row r="911" spans="1:1" ht="14.5">
      <c r="A911" s="38"/>
    </row>
    <row r="912" spans="1:1" ht="14.5">
      <c r="A912" s="38"/>
    </row>
    <row r="913" spans="1:1" ht="14.5">
      <c r="A913" s="38"/>
    </row>
    <row r="914" spans="1:1" ht="14.5">
      <c r="A914" s="38"/>
    </row>
    <row r="915" spans="1:1" ht="14.5">
      <c r="A915" s="38"/>
    </row>
    <row r="916" spans="1:1" ht="14.5">
      <c r="A916" s="38"/>
    </row>
    <row r="917" spans="1:1" ht="14.5">
      <c r="A917" s="38"/>
    </row>
    <row r="918" spans="1:1" ht="14.5">
      <c r="A918" s="38"/>
    </row>
    <row r="919" spans="1:1" ht="14.5">
      <c r="A919" s="38"/>
    </row>
    <row r="920" spans="1:1" ht="14.5">
      <c r="A920" s="38"/>
    </row>
    <row r="921" spans="1:1" ht="14.5">
      <c r="A921" s="38"/>
    </row>
    <row r="922" spans="1:1" ht="14.5">
      <c r="A922" s="38"/>
    </row>
    <row r="923" spans="1:1" ht="14.5">
      <c r="A923" s="38"/>
    </row>
    <row r="924" spans="1:1" ht="14.5">
      <c r="A924" s="38"/>
    </row>
    <row r="925" spans="1:1" ht="14.5">
      <c r="A925" s="38"/>
    </row>
    <row r="926" spans="1:1" ht="14.5">
      <c r="A926" s="38"/>
    </row>
    <row r="927" spans="1:1" ht="14.5">
      <c r="A927" s="38"/>
    </row>
    <row r="928" spans="1:1" ht="14.5">
      <c r="A928" s="38"/>
    </row>
    <row r="929" spans="1:1" ht="14.5">
      <c r="A929" s="38"/>
    </row>
    <row r="930" spans="1:1" ht="14.5">
      <c r="A930" s="38"/>
    </row>
    <row r="931" spans="1:1" ht="14.5">
      <c r="A931" s="38"/>
    </row>
    <row r="932" spans="1:1" ht="14.5">
      <c r="A932" s="38"/>
    </row>
    <row r="933" spans="1:1" ht="14.5">
      <c r="A933" s="38"/>
    </row>
    <row r="934" spans="1:1" ht="14.5">
      <c r="A934" s="38"/>
    </row>
    <row r="935" spans="1:1" ht="14.5">
      <c r="A935" s="38"/>
    </row>
    <row r="936" spans="1:1" ht="14.5">
      <c r="A936" s="38"/>
    </row>
    <row r="937" spans="1:1" ht="14.5">
      <c r="A937" s="38"/>
    </row>
    <row r="938" spans="1:1" ht="14.5">
      <c r="A938" s="38"/>
    </row>
    <row r="939" spans="1:1" ht="14.5">
      <c r="A939" s="38"/>
    </row>
    <row r="940" spans="1:1" ht="14.5">
      <c r="A940" s="38"/>
    </row>
    <row r="941" spans="1:1" ht="14.5">
      <c r="A941" s="38"/>
    </row>
    <row r="942" spans="1:1" ht="14.5">
      <c r="A942" s="38"/>
    </row>
    <row r="943" spans="1:1" ht="14.5">
      <c r="A943" s="38"/>
    </row>
    <row r="944" spans="1:1" ht="14.5">
      <c r="A944" s="38"/>
    </row>
    <row r="945" spans="1:1" ht="14.5">
      <c r="A945" s="38"/>
    </row>
    <row r="946" spans="1:1" ht="14.5">
      <c r="A946" s="38"/>
    </row>
    <row r="947" spans="1:1" ht="14.5">
      <c r="A947" s="38"/>
    </row>
    <row r="948" spans="1:1" ht="14.5">
      <c r="A948" s="38"/>
    </row>
    <row r="949" spans="1:1" ht="14.5">
      <c r="A949" s="38"/>
    </row>
    <row r="950" spans="1:1" ht="14.5">
      <c r="A950" s="38"/>
    </row>
    <row r="951" spans="1:1" ht="14.5">
      <c r="A951" s="38"/>
    </row>
    <row r="952" spans="1:1" ht="14.5">
      <c r="A952" s="38"/>
    </row>
    <row r="953" spans="1:1" ht="14.5">
      <c r="A953" s="38"/>
    </row>
    <row r="954" spans="1:1" ht="14.5">
      <c r="A954" s="38"/>
    </row>
    <row r="955" spans="1:1" ht="14.5">
      <c r="A955" s="38"/>
    </row>
    <row r="956" spans="1:1" ht="14.5">
      <c r="A956" s="38"/>
    </row>
    <row r="957" spans="1:1" ht="14.5">
      <c r="A957" s="38"/>
    </row>
    <row r="958" spans="1:1" ht="14.5">
      <c r="A958" s="38"/>
    </row>
    <row r="959" spans="1:1" ht="14.5">
      <c r="A959" s="38"/>
    </row>
    <row r="960" spans="1:1" ht="14.5">
      <c r="A960" s="38"/>
    </row>
    <row r="961" spans="1:1" ht="14.5">
      <c r="A961" s="38"/>
    </row>
    <row r="962" spans="1:1" ht="14.5">
      <c r="A962" s="38"/>
    </row>
    <row r="963" spans="1:1" ht="14.5">
      <c r="A963" s="38"/>
    </row>
    <row r="964" spans="1:1" ht="14.5">
      <c r="A964" s="38"/>
    </row>
    <row r="965" spans="1:1" ht="14.5">
      <c r="A965" s="38"/>
    </row>
    <row r="966" spans="1:1" ht="14.5">
      <c r="A966" s="38"/>
    </row>
    <row r="967" spans="1:1" ht="14.5">
      <c r="A967" s="38"/>
    </row>
    <row r="968" spans="1:1" ht="14.5">
      <c r="A968" s="38"/>
    </row>
    <row r="969" spans="1:1" ht="14.5">
      <c r="A969" s="38"/>
    </row>
    <row r="970" spans="1:1" ht="14.5">
      <c r="A970" s="38"/>
    </row>
    <row r="971" spans="1:1" ht="14.5">
      <c r="A971" s="38"/>
    </row>
    <row r="972" spans="1:1" ht="14.5">
      <c r="A972" s="38"/>
    </row>
    <row r="973" spans="1:1" ht="14.5">
      <c r="A973" s="38"/>
    </row>
    <row r="974" spans="1:1" ht="14.5">
      <c r="A974" s="38"/>
    </row>
    <row r="975" spans="1:1" ht="14.5">
      <c r="A975" s="38"/>
    </row>
    <row r="976" spans="1:1" ht="14.5">
      <c r="A976" s="38"/>
    </row>
    <row r="977" spans="1:1" ht="14.5">
      <c r="A977" s="38"/>
    </row>
    <row r="978" spans="1:1" ht="14.5">
      <c r="A978" s="38"/>
    </row>
    <row r="979" spans="1:1" ht="14.5">
      <c r="A979" s="38"/>
    </row>
    <row r="980" spans="1:1" ht="14.5">
      <c r="A980" s="38"/>
    </row>
    <row r="981" spans="1:1" ht="14.5">
      <c r="A981" s="38"/>
    </row>
    <row r="982" spans="1:1" ht="14.5">
      <c r="A982" s="38"/>
    </row>
    <row r="983" spans="1:1" ht="14.5">
      <c r="A983" s="38"/>
    </row>
    <row r="984" spans="1:1" ht="14.5">
      <c r="A984" s="38"/>
    </row>
    <row r="985" spans="1:1" ht="14.5">
      <c r="A985" s="38"/>
    </row>
    <row r="986" spans="1:1" ht="14.5">
      <c r="A986" s="38"/>
    </row>
    <row r="987" spans="1:1" ht="14.5">
      <c r="A987" s="38"/>
    </row>
    <row r="988" spans="1:1" ht="14.5">
      <c r="A988" s="38"/>
    </row>
    <row r="989" spans="1:1" ht="14.5">
      <c r="A989" s="38"/>
    </row>
    <row r="990" spans="1:1" ht="14.5">
      <c r="A990" s="38"/>
    </row>
    <row r="991" spans="1:1" ht="14.5">
      <c r="A991" s="38"/>
    </row>
    <row r="992" spans="1:1" ht="14.5">
      <c r="A992" s="38"/>
    </row>
    <row r="993" spans="1:1" ht="14.5">
      <c r="A993" s="38"/>
    </row>
    <row r="994" spans="1:1" ht="14.5">
      <c r="A994" s="38"/>
    </row>
    <row r="995" spans="1:1" ht="14.5">
      <c r="A995" s="38"/>
    </row>
    <row r="996" spans="1:1" ht="14.5">
      <c r="A996" s="38"/>
    </row>
    <row r="997" spans="1:1" ht="14.5">
      <c r="A997" s="38"/>
    </row>
    <row r="998" spans="1:1" ht="14.5">
      <c r="A998" s="38"/>
    </row>
    <row r="999" spans="1:1" ht="14.5">
      <c r="A999" s="38"/>
    </row>
    <row r="1000" spans="1:1" ht="14.5">
      <c r="A1000" s="38"/>
    </row>
    <row r="1001" spans="1:1" ht="14.5">
      <c r="A1001" s="38"/>
    </row>
    <row r="1002" spans="1:1" ht="14.5">
      <c r="A1002" s="38"/>
    </row>
    <row r="1003" spans="1:1" ht="14.5">
      <c r="A1003" s="3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3518"/>
  <sheetViews>
    <sheetView workbookViewId="0"/>
  </sheetViews>
  <sheetFormatPr defaultColWidth="12.6328125" defaultRowHeight="12.5"/>
  <cols>
    <col min="1" max="1" width="6.6328125" style="69" customWidth="1"/>
    <col min="2" max="2" width="13.36328125" style="69" customWidth="1"/>
    <col min="3" max="3" width="15.90625" style="69" customWidth="1"/>
    <col min="4" max="4" width="12.6328125" style="69"/>
    <col min="5" max="5" width="17.08984375" style="69" customWidth="1"/>
    <col min="6" max="6" width="14.36328125" style="69" customWidth="1"/>
    <col min="7" max="7" width="32" style="69" customWidth="1"/>
    <col min="8" max="8" width="20.36328125" style="69" customWidth="1"/>
    <col min="9" max="9" width="32.7265625" style="69" customWidth="1"/>
    <col min="10" max="10" width="27.453125" style="69" customWidth="1"/>
    <col min="11" max="11" width="31.08984375" style="69" customWidth="1"/>
    <col min="12" max="12" width="44.6328125" style="69" customWidth="1"/>
    <col min="13" max="13" width="57.90625" style="69" customWidth="1"/>
    <col min="14" max="14" width="82.453125" style="69" customWidth="1"/>
    <col min="15" max="16384" width="12.6328125" style="69"/>
  </cols>
  <sheetData>
    <row r="1" spans="1:14" ht="29">
      <c r="A1" s="59" t="s">
        <v>17042</v>
      </c>
      <c r="B1" s="60" t="s">
        <v>7767</v>
      </c>
      <c r="C1" s="59" t="s">
        <v>17043</v>
      </c>
      <c r="D1" s="59" t="s">
        <v>12620</v>
      </c>
      <c r="E1" s="61" t="s">
        <v>17044</v>
      </c>
      <c r="F1" s="62" t="s">
        <v>17045</v>
      </c>
      <c r="G1" s="63" t="s">
        <v>17046</v>
      </c>
      <c r="H1" s="64" t="s">
        <v>17047</v>
      </c>
      <c r="I1" s="65" t="s">
        <v>17048</v>
      </c>
      <c r="J1" s="66" t="s">
        <v>17049</v>
      </c>
      <c r="K1" s="67" t="s">
        <v>17050</v>
      </c>
      <c r="L1" s="63" t="s">
        <v>17051</v>
      </c>
      <c r="M1" s="68" t="s">
        <v>17052</v>
      </c>
      <c r="N1" s="61" t="s">
        <v>17053</v>
      </c>
    </row>
    <row r="2" spans="1:14" ht="25">
      <c r="A2" s="70">
        <v>1</v>
      </c>
      <c r="B2" s="71" t="s">
        <v>7774</v>
      </c>
      <c r="C2" s="72" t="str">
        <f t="shared" ref="C2:C256" si="0">CONCATENATE(D2,"_mRNA")</f>
        <v>E1.1.1.1_mRNA</v>
      </c>
      <c r="D2" s="72" t="str">
        <f t="shared" ref="D2:D256" si="1">CONCATENATE("E",B2)</f>
        <v>E1.1.1.1</v>
      </c>
      <c r="E2" s="73" t="str">
        <f t="shared" ref="E2:E256" si="2">CONCATENATE("E",B2,"_kcat : 13.7")</f>
        <v>E1.1.1.1_kcat : 13.7</v>
      </c>
      <c r="F2" s="74" t="str">
        <f t="shared" ref="F2:F256" si="3">CONCATENATE("E",B2,"_km : 1")</f>
        <v>E1.1.1.1_km : 1</v>
      </c>
      <c r="G2" s="75" t="str">
        <f t="shared" ref="G2:H2" si="4">CONCATENATE(C2," : ",C2)</f>
        <v>E1.1.1.1_mRNA : E1.1.1.1_mRNA</v>
      </c>
      <c r="H2" s="76" t="str">
        <f t="shared" si="4"/>
        <v>E1.1.1.1 : E1.1.1.1</v>
      </c>
      <c r="I2" s="77" t="str">
        <f t="shared" ref="I2:J2" si="5">CONCATENATE(C2," : ","0")</f>
        <v>E1.1.1.1_mRNA : 0</v>
      </c>
      <c r="J2" s="78" t="str">
        <f t="shared" si="5"/>
        <v>E1.1.1.1 : 0</v>
      </c>
      <c r="K2" s="79" t="str">
        <f t="shared" ref="K2:K256" si="6">CONCATENATE("0.00292 - (0.0093 * ",C2,")")</f>
        <v>0.00292 - (0.0093 * E1.1.1.1_mRNA)</v>
      </c>
      <c r="L2" s="75" t="str">
        <f t="shared" ref="L2:L256" si="7">CONCATENATE("(0.278 * ",C2,")"," - (0.00000278 * ",D2,")")</f>
        <v>(0.278 * E1.1.1.1_mRNA) - (0.00000278 * E1.1.1.1)</v>
      </c>
      <c r="M2" s="80" t="str">
        <f t="shared" ref="M2:M256" si="8">CONCATENATE("mRNA",A2,": -&gt; ",C2," | ","0.00292"," - ","(","0.0093"," * ",C2,")")</f>
        <v>mRNA1: -&gt; E1.1.1.1_mRNA | 0.00292 - (0.0093 * E1.1.1.1_mRNA)</v>
      </c>
      <c r="N2" s="73" t="str">
        <f t="shared" ref="N2:N256" si="9">CONCATENATE("Peptide",A2,": ",C2," -&gt; ",D2," | ","(","0.278"," * ",C2,")"," - ","(","0.000000278"," * ",D2,")")</f>
        <v>Peptide1: E1.1.1.1_mRNA -&gt; E1.1.1.1 | (0.278 * E1.1.1.1_mRNA) - (0.000000278 * E1.1.1.1)</v>
      </c>
    </row>
    <row r="3" spans="1:14" ht="25">
      <c r="A3" s="70">
        <v>2</v>
      </c>
      <c r="B3" s="71" t="s">
        <v>7795</v>
      </c>
      <c r="C3" s="72" t="str">
        <f t="shared" si="0"/>
        <v>E1.1.1.100_mRNA</v>
      </c>
      <c r="D3" s="72" t="str">
        <f t="shared" si="1"/>
        <v>E1.1.1.100</v>
      </c>
      <c r="E3" s="73" t="str">
        <f t="shared" si="2"/>
        <v>E1.1.1.100_kcat : 13.7</v>
      </c>
      <c r="F3" s="74" t="str">
        <f t="shared" si="3"/>
        <v>E1.1.1.100_km : 1</v>
      </c>
      <c r="G3" s="75" t="str">
        <f t="shared" ref="G3:H3" si="10">CONCATENATE(C3," : ",C3)</f>
        <v>E1.1.1.100_mRNA : E1.1.1.100_mRNA</v>
      </c>
      <c r="H3" s="76" t="str">
        <f t="shared" si="10"/>
        <v>E1.1.1.100 : E1.1.1.100</v>
      </c>
      <c r="I3" s="77" t="str">
        <f t="shared" ref="I3:J3" si="11">CONCATENATE(C3," : ","0")</f>
        <v>E1.1.1.100_mRNA : 0</v>
      </c>
      <c r="J3" s="78" t="str">
        <f t="shared" si="11"/>
        <v>E1.1.1.100 : 0</v>
      </c>
      <c r="K3" s="79" t="str">
        <f t="shared" si="6"/>
        <v>0.00292 - (0.0093 * E1.1.1.100_mRNA)</v>
      </c>
      <c r="L3" s="75" t="str">
        <f t="shared" si="7"/>
        <v>(0.278 * E1.1.1.100_mRNA) - (0.00000278 * E1.1.1.100)</v>
      </c>
      <c r="M3" s="80" t="str">
        <f t="shared" si="8"/>
        <v>mRNA2: -&gt; E1.1.1.100_mRNA | 0.00292 - (0.0093 * E1.1.1.100_mRNA)</v>
      </c>
      <c r="N3" s="73" t="str">
        <f t="shared" si="9"/>
        <v>Peptide2: E1.1.1.100_mRNA -&gt; E1.1.1.100 | (0.278 * E1.1.1.100_mRNA) - (0.000000278 * E1.1.1.100)</v>
      </c>
    </row>
    <row r="4" spans="1:14" ht="25">
      <c r="A4" s="70">
        <v>3</v>
      </c>
      <c r="B4" s="71" t="s">
        <v>7809</v>
      </c>
      <c r="C4" s="72" t="str">
        <f t="shared" si="0"/>
        <v>E1.1.1.169_mRNA</v>
      </c>
      <c r="D4" s="72" t="str">
        <f t="shared" si="1"/>
        <v>E1.1.1.169</v>
      </c>
      <c r="E4" s="73" t="str">
        <f t="shared" si="2"/>
        <v>E1.1.1.169_kcat : 13.7</v>
      </c>
      <c r="F4" s="74" t="str">
        <f t="shared" si="3"/>
        <v>E1.1.1.169_km : 1</v>
      </c>
      <c r="G4" s="75" t="str">
        <f t="shared" ref="G4:H4" si="12">CONCATENATE(C4," : ",C4)</f>
        <v>E1.1.1.169_mRNA : E1.1.1.169_mRNA</v>
      </c>
      <c r="H4" s="76" t="str">
        <f t="shared" si="12"/>
        <v>E1.1.1.169 : E1.1.1.169</v>
      </c>
      <c r="I4" s="77" t="str">
        <f t="shared" ref="I4:J4" si="13">CONCATENATE(C4," : ","0")</f>
        <v>E1.1.1.169_mRNA : 0</v>
      </c>
      <c r="J4" s="78" t="str">
        <f t="shared" si="13"/>
        <v>E1.1.1.169 : 0</v>
      </c>
      <c r="K4" s="79" t="str">
        <f t="shared" si="6"/>
        <v>0.00292 - (0.0093 * E1.1.1.169_mRNA)</v>
      </c>
      <c r="L4" s="75" t="str">
        <f t="shared" si="7"/>
        <v>(0.278 * E1.1.1.169_mRNA) - (0.00000278 * E1.1.1.169)</v>
      </c>
      <c r="M4" s="80" t="str">
        <f t="shared" si="8"/>
        <v>mRNA3: -&gt; E1.1.1.169_mRNA | 0.00292 - (0.0093 * E1.1.1.169_mRNA)</v>
      </c>
      <c r="N4" s="73" t="str">
        <f t="shared" si="9"/>
        <v>Peptide3: E1.1.1.169_mRNA -&gt; E1.1.1.169 | (0.278 * E1.1.1.169_mRNA) - (0.000000278 * E1.1.1.169)</v>
      </c>
    </row>
    <row r="5" spans="1:14" ht="25">
      <c r="A5" s="70">
        <v>4</v>
      </c>
      <c r="B5" s="71" t="s">
        <v>7812</v>
      </c>
      <c r="C5" s="72" t="str">
        <f t="shared" si="0"/>
        <v>E1.1.1.17_mRNA</v>
      </c>
      <c r="D5" s="72" t="str">
        <f t="shared" si="1"/>
        <v>E1.1.1.17</v>
      </c>
      <c r="E5" s="73" t="str">
        <f t="shared" si="2"/>
        <v>E1.1.1.17_kcat : 13.7</v>
      </c>
      <c r="F5" s="74" t="str">
        <f t="shared" si="3"/>
        <v>E1.1.1.17_km : 1</v>
      </c>
      <c r="G5" s="75" t="str">
        <f t="shared" ref="G5:H5" si="14">CONCATENATE(C5," : ",C5)</f>
        <v>E1.1.1.17_mRNA : E1.1.1.17_mRNA</v>
      </c>
      <c r="H5" s="76" t="str">
        <f t="shared" si="14"/>
        <v>E1.1.1.17 : E1.1.1.17</v>
      </c>
      <c r="I5" s="77" t="str">
        <f t="shared" ref="I5:J5" si="15">CONCATENATE(C5," : ","0")</f>
        <v>E1.1.1.17_mRNA : 0</v>
      </c>
      <c r="J5" s="78" t="str">
        <f t="shared" si="15"/>
        <v>E1.1.1.17 : 0</v>
      </c>
      <c r="K5" s="79" t="str">
        <f t="shared" si="6"/>
        <v>0.00292 - (0.0093 * E1.1.1.17_mRNA)</v>
      </c>
      <c r="L5" s="75" t="str">
        <f t="shared" si="7"/>
        <v>(0.278 * E1.1.1.17_mRNA) - (0.00000278 * E1.1.1.17)</v>
      </c>
      <c r="M5" s="80" t="str">
        <f t="shared" si="8"/>
        <v>mRNA4: -&gt; E1.1.1.17_mRNA | 0.00292 - (0.0093 * E1.1.1.17_mRNA)</v>
      </c>
      <c r="N5" s="73" t="str">
        <f t="shared" si="9"/>
        <v>Peptide4: E1.1.1.17_mRNA -&gt; E1.1.1.17 | (0.278 * E1.1.1.17_mRNA) - (0.000000278 * E1.1.1.17)</v>
      </c>
    </row>
    <row r="6" spans="1:14" ht="25">
      <c r="A6" s="70">
        <v>5</v>
      </c>
      <c r="B6" s="81" t="s">
        <v>17054</v>
      </c>
      <c r="C6" s="72" t="str">
        <f t="shared" si="0"/>
        <v>E1.1.1.18_mRNA</v>
      </c>
      <c r="D6" s="72" t="str">
        <f t="shared" si="1"/>
        <v>E1.1.1.18</v>
      </c>
      <c r="E6" s="73" t="str">
        <f t="shared" si="2"/>
        <v>E1.1.1.18_kcat : 13.7</v>
      </c>
      <c r="F6" s="74" t="str">
        <f t="shared" si="3"/>
        <v>E1.1.1.18_km : 1</v>
      </c>
      <c r="G6" s="75" t="str">
        <f t="shared" ref="G6:H6" si="16">CONCATENATE(C6," : ",C6)</f>
        <v>E1.1.1.18_mRNA : E1.1.1.18_mRNA</v>
      </c>
      <c r="H6" s="76" t="str">
        <f t="shared" si="16"/>
        <v>E1.1.1.18 : E1.1.1.18</v>
      </c>
      <c r="I6" s="77" t="str">
        <f t="shared" ref="I6:J6" si="17">CONCATENATE(C6," : ","0")</f>
        <v>E1.1.1.18_mRNA : 0</v>
      </c>
      <c r="J6" s="78" t="str">
        <f t="shared" si="17"/>
        <v>E1.1.1.18 : 0</v>
      </c>
      <c r="K6" s="79" t="str">
        <f t="shared" si="6"/>
        <v>0.00292 - (0.0093 * E1.1.1.18_mRNA)</v>
      </c>
      <c r="L6" s="75" t="str">
        <f t="shared" si="7"/>
        <v>(0.278 * E1.1.1.18_mRNA) - (0.00000278 * E1.1.1.18)</v>
      </c>
      <c r="M6" s="80" t="str">
        <f t="shared" si="8"/>
        <v>mRNA5: -&gt; E1.1.1.18_mRNA | 0.00292 - (0.0093 * E1.1.1.18_mRNA)</v>
      </c>
      <c r="N6" s="73" t="str">
        <f t="shared" si="9"/>
        <v>Peptide5: E1.1.1.18_mRNA -&gt; E1.1.1.18 | (0.278 * E1.1.1.18_mRNA) - (0.000000278 * E1.1.1.18)</v>
      </c>
    </row>
    <row r="7" spans="1:14" ht="25">
      <c r="A7" s="70">
        <v>6</v>
      </c>
      <c r="B7" s="81" t="s">
        <v>17055</v>
      </c>
      <c r="C7" s="72" t="str">
        <f t="shared" si="0"/>
        <v>E1.1.1.205_mRNA</v>
      </c>
      <c r="D7" s="72" t="str">
        <f t="shared" si="1"/>
        <v>E1.1.1.205</v>
      </c>
      <c r="E7" s="73" t="str">
        <f t="shared" si="2"/>
        <v>E1.1.1.205_kcat : 13.7</v>
      </c>
      <c r="F7" s="74" t="str">
        <f t="shared" si="3"/>
        <v>E1.1.1.205_km : 1</v>
      </c>
      <c r="G7" s="75" t="str">
        <f t="shared" ref="G7:H7" si="18">CONCATENATE(C7," : ",C7)</f>
        <v>E1.1.1.205_mRNA : E1.1.1.205_mRNA</v>
      </c>
      <c r="H7" s="76" t="str">
        <f t="shared" si="18"/>
        <v>E1.1.1.205 : E1.1.1.205</v>
      </c>
      <c r="I7" s="77" t="str">
        <f t="shared" ref="I7:J7" si="19">CONCATENATE(C7," : ","0")</f>
        <v>E1.1.1.205_mRNA : 0</v>
      </c>
      <c r="J7" s="78" t="str">
        <f t="shared" si="19"/>
        <v>E1.1.1.205 : 0</v>
      </c>
      <c r="K7" s="79" t="str">
        <f t="shared" si="6"/>
        <v>0.00292 - (0.0093 * E1.1.1.205_mRNA)</v>
      </c>
      <c r="L7" s="75" t="str">
        <f t="shared" si="7"/>
        <v>(0.278 * E1.1.1.205_mRNA) - (0.00000278 * E1.1.1.205)</v>
      </c>
      <c r="M7" s="80" t="str">
        <f t="shared" si="8"/>
        <v>mRNA6: -&gt; E1.1.1.205_mRNA | 0.00292 - (0.0093 * E1.1.1.205_mRNA)</v>
      </c>
      <c r="N7" s="73" t="str">
        <f t="shared" si="9"/>
        <v>Peptide6: E1.1.1.205_mRNA -&gt; E1.1.1.205 | (0.278 * E1.1.1.205_mRNA) - (0.000000278 * E1.1.1.205)</v>
      </c>
    </row>
    <row r="8" spans="1:14" ht="25">
      <c r="A8" s="70">
        <v>7</v>
      </c>
      <c r="B8" s="71" t="s">
        <v>7821</v>
      </c>
      <c r="C8" s="72" t="str">
        <f t="shared" si="0"/>
        <v>E1.1.1.23_mRNA</v>
      </c>
      <c r="D8" s="72" t="str">
        <f t="shared" si="1"/>
        <v>E1.1.1.23</v>
      </c>
      <c r="E8" s="73" t="str">
        <f t="shared" si="2"/>
        <v>E1.1.1.23_kcat : 13.7</v>
      </c>
      <c r="F8" s="74" t="str">
        <f t="shared" si="3"/>
        <v>E1.1.1.23_km : 1</v>
      </c>
      <c r="G8" s="75" t="str">
        <f t="shared" ref="G8:H8" si="20">CONCATENATE(C8," : ",C8)</f>
        <v>E1.1.1.23_mRNA : E1.1.1.23_mRNA</v>
      </c>
      <c r="H8" s="76" t="str">
        <f t="shared" si="20"/>
        <v>E1.1.1.23 : E1.1.1.23</v>
      </c>
      <c r="I8" s="77" t="str">
        <f t="shared" ref="I8:J8" si="21">CONCATENATE(C8," : ","0")</f>
        <v>E1.1.1.23_mRNA : 0</v>
      </c>
      <c r="J8" s="78" t="str">
        <f t="shared" si="21"/>
        <v>E1.1.1.23 : 0</v>
      </c>
      <c r="K8" s="79" t="str">
        <f t="shared" si="6"/>
        <v>0.00292 - (0.0093 * E1.1.1.23_mRNA)</v>
      </c>
      <c r="L8" s="75" t="str">
        <f t="shared" si="7"/>
        <v>(0.278 * E1.1.1.23_mRNA) - (0.00000278 * E1.1.1.23)</v>
      </c>
      <c r="M8" s="80" t="str">
        <f t="shared" si="8"/>
        <v>mRNA7: -&gt; E1.1.1.23_mRNA | 0.00292 - (0.0093 * E1.1.1.23_mRNA)</v>
      </c>
      <c r="N8" s="73" t="str">
        <f t="shared" si="9"/>
        <v>Peptide7: E1.1.1.23_mRNA -&gt; E1.1.1.23 | (0.278 * E1.1.1.23_mRNA) - (0.000000278 * E1.1.1.23)</v>
      </c>
    </row>
    <row r="9" spans="1:14" ht="25">
      <c r="A9" s="70">
        <v>8</v>
      </c>
      <c r="B9" s="71" t="s">
        <v>7826</v>
      </c>
      <c r="C9" s="72" t="str">
        <f t="shared" si="0"/>
        <v>E1.1.1.25_mRNA</v>
      </c>
      <c r="D9" s="72" t="str">
        <f t="shared" si="1"/>
        <v>E1.1.1.25</v>
      </c>
      <c r="E9" s="73" t="str">
        <f t="shared" si="2"/>
        <v>E1.1.1.25_kcat : 13.7</v>
      </c>
      <c r="F9" s="74" t="str">
        <f t="shared" si="3"/>
        <v>E1.1.1.25_km : 1</v>
      </c>
      <c r="G9" s="75" t="str">
        <f t="shared" ref="G9:H9" si="22">CONCATENATE(C9," : ",C9)</f>
        <v>E1.1.1.25_mRNA : E1.1.1.25_mRNA</v>
      </c>
      <c r="H9" s="76" t="str">
        <f t="shared" si="22"/>
        <v>E1.1.1.25 : E1.1.1.25</v>
      </c>
      <c r="I9" s="77" t="str">
        <f t="shared" ref="I9:J9" si="23">CONCATENATE(C9," : ","0")</f>
        <v>E1.1.1.25_mRNA : 0</v>
      </c>
      <c r="J9" s="78" t="str">
        <f t="shared" si="23"/>
        <v>E1.1.1.25 : 0</v>
      </c>
      <c r="K9" s="79" t="str">
        <f t="shared" si="6"/>
        <v>0.00292 - (0.0093 * E1.1.1.25_mRNA)</v>
      </c>
      <c r="L9" s="75" t="str">
        <f t="shared" si="7"/>
        <v>(0.278 * E1.1.1.25_mRNA) - (0.00000278 * E1.1.1.25)</v>
      </c>
      <c r="M9" s="80" t="str">
        <f t="shared" si="8"/>
        <v>mRNA8: -&gt; E1.1.1.25_mRNA | 0.00292 - (0.0093 * E1.1.1.25_mRNA)</v>
      </c>
      <c r="N9" s="73" t="str">
        <f t="shared" si="9"/>
        <v>Peptide8: E1.1.1.25_mRNA -&gt; E1.1.1.25 | (0.278 * E1.1.1.25_mRNA) - (0.000000278 * E1.1.1.25)</v>
      </c>
    </row>
    <row r="10" spans="1:14" ht="25">
      <c r="A10" s="70">
        <v>9</v>
      </c>
      <c r="B10" s="81" t="s">
        <v>17056</v>
      </c>
      <c r="C10" s="72" t="str">
        <f t="shared" si="0"/>
        <v>E1.1.1.262_mRNA</v>
      </c>
      <c r="D10" s="72" t="str">
        <f t="shared" si="1"/>
        <v>E1.1.1.262</v>
      </c>
      <c r="E10" s="73" t="str">
        <f t="shared" si="2"/>
        <v>E1.1.1.262_kcat : 13.7</v>
      </c>
      <c r="F10" s="74" t="str">
        <f t="shared" si="3"/>
        <v>E1.1.1.262_km : 1</v>
      </c>
      <c r="G10" s="75" t="str">
        <f t="shared" ref="G10:H10" si="24">CONCATENATE(C10," : ",C10)</f>
        <v>E1.1.1.262_mRNA : E1.1.1.262_mRNA</v>
      </c>
      <c r="H10" s="76" t="str">
        <f t="shared" si="24"/>
        <v>E1.1.1.262 : E1.1.1.262</v>
      </c>
      <c r="I10" s="77" t="str">
        <f t="shared" ref="I10:J10" si="25">CONCATENATE(C10," : ","0")</f>
        <v>E1.1.1.262_mRNA : 0</v>
      </c>
      <c r="J10" s="78" t="str">
        <f t="shared" si="25"/>
        <v>E1.1.1.262 : 0</v>
      </c>
      <c r="K10" s="79" t="str">
        <f t="shared" si="6"/>
        <v>0.00292 - (0.0093 * E1.1.1.262_mRNA)</v>
      </c>
      <c r="L10" s="75" t="str">
        <f t="shared" si="7"/>
        <v>(0.278 * E1.1.1.262_mRNA) - (0.00000278 * E1.1.1.262)</v>
      </c>
      <c r="M10" s="80" t="str">
        <f t="shared" si="8"/>
        <v>mRNA9: -&gt; E1.1.1.262_mRNA | 0.00292 - (0.0093 * E1.1.1.262_mRNA)</v>
      </c>
      <c r="N10" s="73" t="str">
        <f t="shared" si="9"/>
        <v>Peptide9: E1.1.1.262_mRNA -&gt; E1.1.1.262 | (0.278 * E1.1.1.262_mRNA) - (0.000000278 * E1.1.1.262)</v>
      </c>
    </row>
    <row r="11" spans="1:14" ht="25">
      <c r="A11" s="70">
        <v>10</v>
      </c>
      <c r="B11" s="71" t="s">
        <v>7834</v>
      </c>
      <c r="C11" s="72" t="str">
        <f t="shared" si="0"/>
        <v>E1.1.1.27_mRNA</v>
      </c>
      <c r="D11" s="72" t="str">
        <f t="shared" si="1"/>
        <v>E1.1.1.27</v>
      </c>
      <c r="E11" s="73" t="str">
        <f t="shared" si="2"/>
        <v>E1.1.1.27_kcat : 13.7</v>
      </c>
      <c r="F11" s="74" t="str">
        <f t="shared" si="3"/>
        <v>E1.1.1.27_km : 1</v>
      </c>
      <c r="G11" s="75" t="str">
        <f t="shared" ref="G11:H11" si="26">CONCATENATE(C11," : ",C11)</f>
        <v>E1.1.1.27_mRNA : E1.1.1.27_mRNA</v>
      </c>
      <c r="H11" s="76" t="str">
        <f t="shared" si="26"/>
        <v>E1.1.1.27 : E1.1.1.27</v>
      </c>
      <c r="I11" s="77" t="str">
        <f t="shared" ref="I11:J11" si="27">CONCATENATE(C11," : ","0")</f>
        <v>E1.1.1.27_mRNA : 0</v>
      </c>
      <c r="J11" s="78" t="str">
        <f t="shared" si="27"/>
        <v>E1.1.1.27 : 0</v>
      </c>
      <c r="K11" s="79" t="str">
        <f t="shared" si="6"/>
        <v>0.00292 - (0.0093 * E1.1.1.27_mRNA)</v>
      </c>
      <c r="L11" s="75" t="str">
        <f t="shared" si="7"/>
        <v>(0.278 * E1.1.1.27_mRNA) - (0.00000278 * E1.1.1.27)</v>
      </c>
      <c r="M11" s="80" t="str">
        <f t="shared" si="8"/>
        <v>mRNA10: -&gt; E1.1.1.27_mRNA | 0.00292 - (0.0093 * E1.1.1.27_mRNA)</v>
      </c>
      <c r="N11" s="73" t="str">
        <f t="shared" si="9"/>
        <v>Peptide10: E1.1.1.27_mRNA -&gt; E1.1.1.27 | (0.278 * E1.1.1.27_mRNA) - (0.000000278 * E1.1.1.27)</v>
      </c>
    </row>
    <row r="12" spans="1:14" ht="25">
      <c r="A12" s="70">
        <v>11</v>
      </c>
      <c r="B12" s="71" t="s">
        <v>7839</v>
      </c>
      <c r="C12" s="72" t="str">
        <f t="shared" si="0"/>
        <v>E1.1.1.3_mRNA</v>
      </c>
      <c r="D12" s="72" t="str">
        <f t="shared" si="1"/>
        <v>E1.1.1.3</v>
      </c>
      <c r="E12" s="73" t="str">
        <f t="shared" si="2"/>
        <v>E1.1.1.3_kcat : 13.7</v>
      </c>
      <c r="F12" s="74" t="str">
        <f t="shared" si="3"/>
        <v>E1.1.1.3_km : 1</v>
      </c>
      <c r="G12" s="75" t="str">
        <f t="shared" ref="G12:H12" si="28">CONCATENATE(C12," : ",C12)</f>
        <v>E1.1.1.3_mRNA : E1.1.1.3_mRNA</v>
      </c>
      <c r="H12" s="76" t="str">
        <f t="shared" si="28"/>
        <v>E1.1.1.3 : E1.1.1.3</v>
      </c>
      <c r="I12" s="77" t="str">
        <f t="shared" ref="I12:J12" si="29">CONCATENATE(C12," : ","0")</f>
        <v>E1.1.1.3_mRNA : 0</v>
      </c>
      <c r="J12" s="78" t="str">
        <f t="shared" si="29"/>
        <v>E1.1.1.3 : 0</v>
      </c>
      <c r="K12" s="79" t="str">
        <f t="shared" si="6"/>
        <v>0.00292 - (0.0093 * E1.1.1.3_mRNA)</v>
      </c>
      <c r="L12" s="75" t="str">
        <f t="shared" si="7"/>
        <v>(0.278 * E1.1.1.3_mRNA) - (0.00000278 * E1.1.1.3)</v>
      </c>
      <c r="M12" s="80" t="str">
        <f t="shared" si="8"/>
        <v>mRNA11: -&gt; E1.1.1.3_mRNA | 0.00292 - (0.0093 * E1.1.1.3_mRNA)</v>
      </c>
      <c r="N12" s="73" t="str">
        <f t="shared" si="9"/>
        <v>Peptide11: E1.1.1.3_mRNA -&gt; E1.1.1.3 | (0.278 * E1.1.1.3_mRNA) - (0.000000278 * E1.1.1.3)</v>
      </c>
    </row>
    <row r="13" spans="1:14" ht="25">
      <c r="A13" s="70">
        <v>12</v>
      </c>
      <c r="B13" s="71" t="s">
        <v>7843</v>
      </c>
      <c r="C13" s="72" t="str">
        <f t="shared" si="0"/>
        <v>E1.1.1.343_mRNA</v>
      </c>
      <c r="D13" s="72" t="str">
        <f t="shared" si="1"/>
        <v>E1.1.1.343</v>
      </c>
      <c r="E13" s="73" t="str">
        <f t="shared" si="2"/>
        <v>E1.1.1.343_kcat : 13.7</v>
      </c>
      <c r="F13" s="74" t="str">
        <f t="shared" si="3"/>
        <v>E1.1.1.343_km : 1</v>
      </c>
      <c r="G13" s="75" t="str">
        <f t="shared" ref="G13:H13" si="30">CONCATENATE(C13," : ",C13)</f>
        <v>E1.1.1.343_mRNA : E1.1.1.343_mRNA</v>
      </c>
      <c r="H13" s="76" t="str">
        <f t="shared" si="30"/>
        <v>E1.1.1.343 : E1.1.1.343</v>
      </c>
      <c r="I13" s="77" t="str">
        <f t="shared" ref="I13:J13" si="31">CONCATENATE(C13," : ","0")</f>
        <v>E1.1.1.343_mRNA : 0</v>
      </c>
      <c r="J13" s="78" t="str">
        <f t="shared" si="31"/>
        <v>E1.1.1.343 : 0</v>
      </c>
      <c r="K13" s="79" t="str">
        <f t="shared" si="6"/>
        <v>0.00292 - (0.0093 * E1.1.1.343_mRNA)</v>
      </c>
      <c r="L13" s="75" t="str">
        <f t="shared" si="7"/>
        <v>(0.278 * E1.1.1.343_mRNA) - (0.00000278 * E1.1.1.343)</v>
      </c>
      <c r="M13" s="80" t="str">
        <f t="shared" si="8"/>
        <v>mRNA12: -&gt; E1.1.1.343_mRNA | 0.00292 - (0.0093 * E1.1.1.343_mRNA)</v>
      </c>
      <c r="N13" s="73" t="str">
        <f t="shared" si="9"/>
        <v>Peptide12: E1.1.1.343_mRNA -&gt; E1.1.1.343 | (0.278 * E1.1.1.343_mRNA) - (0.000000278 * E1.1.1.343)</v>
      </c>
    </row>
    <row r="14" spans="1:14" ht="25">
      <c r="A14" s="70">
        <v>13</v>
      </c>
      <c r="B14" s="72" t="s">
        <v>7847</v>
      </c>
      <c r="C14" s="72" t="str">
        <f t="shared" si="0"/>
        <v>E1.1.1.44_mRNA</v>
      </c>
      <c r="D14" s="72" t="str">
        <f t="shared" si="1"/>
        <v>E1.1.1.44</v>
      </c>
      <c r="E14" s="73" t="str">
        <f t="shared" si="2"/>
        <v>E1.1.1.44_kcat : 13.7</v>
      </c>
      <c r="F14" s="74" t="str">
        <f t="shared" si="3"/>
        <v>E1.1.1.44_km : 1</v>
      </c>
      <c r="G14" s="75" t="str">
        <f t="shared" ref="G14:H14" si="32">CONCATENATE(C14," : ",C14)</f>
        <v>E1.1.1.44_mRNA : E1.1.1.44_mRNA</v>
      </c>
      <c r="H14" s="76" t="str">
        <f t="shared" si="32"/>
        <v>E1.1.1.44 : E1.1.1.44</v>
      </c>
      <c r="I14" s="77" t="str">
        <f t="shared" ref="I14:J14" si="33">CONCATENATE(C14," : ","0")</f>
        <v>E1.1.1.44_mRNA : 0</v>
      </c>
      <c r="J14" s="78" t="str">
        <f t="shared" si="33"/>
        <v>E1.1.1.44 : 0</v>
      </c>
      <c r="K14" s="79" t="str">
        <f t="shared" si="6"/>
        <v>0.00292 - (0.0093 * E1.1.1.44_mRNA)</v>
      </c>
      <c r="L14" s="75" t="str">
        <f t="shared" si="7"/>
        <v>(0.278 * E1.1.1.44_mRNA) - (0.00000278 * E1.1.1.44)</v>
      </c>
      <c r="M14" s="80" t="str">
        <f t="shared" si="8"/>
        <v>mRNA13: -&gt; E1.1.1.44_mRNA | 0.00292 - (0.0093 * E1.1.1.44_mRNA)</v>
      </c>
      <c r="N14" s="73" t="str">
        <f t="shared" si="9"/>
        <v>Peptide13: E1.1.1.44_mRNA -&gt; E1.1.1.44 | (0.278 * E1.1.1.44_mRNA) - (0.000000278 * E1.1.1.44)</v>
      </c>
    </row>
    <row r="15" spans="1:14" ht="25">
      <c r="A15" s="70">
        <v>14</v>
      </c>
      <c r="B15" s="71" t="s">
        <v>7850</v>
      </c>
      <c r="C15" s="72" t="str">
        <f t="shared" si="0"/>
        <v>E1.1.1.49_mRNA</v>
      </c>
      <c r="D15" s="72" t="str">
        <f t="shared" si="1"/>
        <v>E1.1.1.49</v>
      </c>
      <c r="E15" s="73" t="str">
        <f t="shared" si="2"/>
        <v>E1.1.1.49_kcat : 13.7</v>
      </c>
      <c r="F15" s="74" t="str">
        <f t="shared" si="3"/>
        <v>E1.1.1.49_km : 1</v>
      </c>
      <c r="G15" s="75" t="str">
        <f t="shared" ref="G15:H15" si="34">CONCATENATE(C15," : ",C15)</f>
        <v>E1.1.1.49_mRNA : E1.1.1.49_mRNA</v>
      </c>
      <c r="H15" s="76" t="str">
        <f t="shared" si="34"/>
        <v>E1.1.1.49 : E1.1.1.49</v>
      </c>
      <c r="I15" s="77" t="str">
        <f t="shared" ref="I15:J15" si="35">CONCATENATE(C15," : ","0")</f>
        <v>E1.1.1.49_mRNA : 0</v>
      </c>
      <c r="J15" s="78" t="str">
        <f t="shared" si="35"/>
        <v>E1.1.1.49 : 0</v>
      </c>
      <c r="K15" s="79" t="str">
        <f t="shared" si="6"/>
        <v>0.00292 - (0.0093 * E1.1.1.49_mRNA)</v>
      </c>
      <c r="L15" s="75" t="str">
        <f t="shared" si="7"/>
        <v>(0.278 * E1.1.1.49_mRNA) - (0.00000278 * E1.1.1.49)</v>
      </c>
      <c r="M15" s="80" t="str">
        <f t="shared" si="8"/>
        <v>mRNA14: -&gt; E1.1.1.49_mRNA | 0.00292 - (0.0093 * E1.1.1.49_mRNA)</v>
      </c>
      <c r="N15" s="73" t="str">
        <f t="shared" si="9"/>
        <v>Peptide14: E1.1.1.49_mRNA -&gt; E1.1.1.49 | (0.278 * E1.1.1.49_mRNA) - (0.000000278 * E1.1.1.49)</v>
      </c>
    </row>
    <row r="16" spans="1:14" ht="25">
      <c r="A16" s="70">
        <v>15</v>
      </c>
      <c r="B16" s="71" t="s">
        <v>7855</v>
      </c>
      <c r="C16" s="72" t="str">
        <f t="shared" si="0"/>
        <v>E1.1.1.88_mRNA</v>
      </c>
      <c r="D16" s="72" t="str">
        <f t="shared" si="1"/>
        <v>E1.1.1.88</v>
      </c>
      <c r="E16" s="73" t="str">
        <f t="shared" si="2"/>
        <v>E1.1.1.88_kcat : 13.7</v>
      </c>
      <c r="F16" s="74" t="str">
        <f t="shared" si="3"/>
        <v>E1.1.1.88_km : 1</v>
      </c>
      <c r="G16" s="75" t="str">
        <f t="shared" ref="G16:H16" si="36">CONCATENATE(C16," : ",C16)</f>
        <v>E1.1.1.88_mRNA : E1.1.1.88_mRNA</v>
      </c>
      <c r="H16" s="76" t="str">
        <f t="shared" si="36"/>
        <v>E1.1.1.88 : E1.1.1.88</v>
      </c>
      <c r="I16" s="77" t="str">
        <f t="shared" ref="I16:J16" si="37">CONCATENATE(C16," : ","0")</f>
        <v>E1.1.1.88_mRNA : 0</v>
      </c>
      <c r="J16" s="78" t="str">
        <f t="shared" si="37"/>
        <v>E1.1.1.88 : 0</v>
      </c>
      <c r="K16" s="79" t="str">
        <f t="shared" si="6"/>
        <v>0.00292 - (0.0093 * E1.1.1.88_mRNA)</v>
      </c>
      <c r="L16" s="75" t="str">
        <f t="shared" si="7"/>
        <v>(0.278 * E1.1.1.88_mRNA) - (0.00000278 * E1.1.1.88)</v>
      </c>
      <c r="M16" s="80" t="str">
        <f t="shared" si="8"/>
        <v>mRNA15: -&gt; E1.1.1.88_mRNA | 0.00292 - (0.0093 * E1.1.1.88_mRNA)</v>
      </c>
      <c r="N16" s="73" t="str">
        <f t="shared" si="9"/>
        <v>Peptide15: E1.1.1.88_mRNA -&gt; E1.1.1.88 | (0.278 * E1.1.1.88_mRNA) - (0.000000278 * E1.1.1.88)</v>
      </c>
    </row>
    <row r="17" spans="1:14" ht="25">
      <c r="A17" s="70">
        <v>16</v>
      </c>
      <c r="B17" s="71" t="s">
        <v>7858</v>
      </c>
      <c r="C17" s="72" t="str">
        <f t="shared" si="0"/>
        <v>E1.1.1.94_mRNA</v>
      </c>
      <c r="D17" s="72" t="str">
        <f t="shared" si="1"/>
        <v>E1.1.1.94</v>
      </c>
      <c r="E17" s="73" t="str">
        <f t="shared" si="2"/>
        <v>E1.1.1.94_kcat : 13.7</v>
      </c>
      <c r="F17" s="74" t="str">
        <f t="shared" si="3"/>
        <v>E1.1.1.94_km : 1</v>
      </c>
      <c r="G17" s="75" t="str">
        <f t="shared" ref="G17:H17" si="38">CONCATENATE(C17," : ",C17)</f>
        <v>E1.1.1.94_mRNA : E1.1.1.94_mRNA</v>
      </c>
      <c r="H17" s="76" t="str">
        <f t="shared" si="38"/>
        <v>E1.1.1.94 : E1.1.1.94</v>
      </c>
      <c r="I17" s="77" t="str">
        <f t="shared" ref="I17:J17" si="39">CONCATENATE(C17," : ","0")</f>
        <v>E1.1.1.94_mRNA : 0</v>
      </c>
      <c r="J17" s="78" t="str">
        <f t="shared" si="39"/>
        <v>E1.1.1.94 : 0</v>
      </c>
      <c r="K17" s="79" t="str">
        <f t="shared" si="6"/>
        <v>0.00292 - (0.0093 * E1.1.1.94_mRNA)</v>
      </c>
      <c r="L17" s="75" t="str">
        <f t="shared" si="7"/>
        <v>(0.278 * E1.1.1.94_mRNA) - (0.00000278 * E1.1.1.94)</v>
      </c>
      <c r="M17" s="80" t="str">
        <f t="shared" si="8"/>
        <v>mRNA16: -&gt; E1.1.1.94_mRNA | 0.00292 - (0.0093 * E1.1.1.94_mRNA)</v>
      </c>
      <c r="N17" s="73" t="str">
        <f t="shared" si="9"/>
        <v>Peptide16: E1.1.1.94_mRNA -&gt; E1.1.1.94 | (0.278 * E1.1.1.94_mRNA) - (0.000000278 * E1.1.1.94)</v>
      </c>
    </row>
    <row r="18" spans="1:14" ht="25">
      <c r="A18" s="70">
        <v>17</v>
      </c>
      <c r="B18" s="81" t="s">
        <v>17057</v>
      </c>
      <c r="C18" s="72" t="str">
        <f t="shared" si="0"/>
        <v>E1.11.1.26_mRNA</v>
      </c>
      <c r="D18" s="72" t="str">
        <f t="shared" si="1"/>
        <v>E1.11.1.26</v>
      </c>
      <c r="E18" s="73" t="str">
        <f t="shared" si="2"/>
        <v>E1.11.1.26_kcat : 13.7</v>
      </c>
      <c r="F18" s="74" t="str">
        <f t="shared" si="3"/>
        <v>E1.11.1.26_km : 1</v>
      </c>
      <c r="G18" s="75" t="str">
        <f t="shared" ref="G18:H18" si="40">CONCATENATE(C18," : ",C18)</f>
        <v>E1.11.1.26_mRNA : E1.11.1.26_mRNA</v>
      </c>
      <c r="H18" s="76" t="str">
        <f t="shared" si="40"/>
        <v>E1.11.1.26 : E1.11.1.26</v>
      </c>
      <c r="I18" s="77" t="str">
        <f t="shared" ref="I18:J18" si="41">CONCATENATE(C18," : ","0")</f>
        <v>E1.11.1.26_mRNA : 0</v>
      </c>
      <c r="J18" s="78" t="str">
        <f t="shared" si="41"/>
        <v>E1.11.1.26 : 0</v>
      </c>
      <c r="K18" s="79" t="str">
        <f t="shared" si="6"/>
        <v>0.00292 - (0.0093 * E1.11.1.26_mRNA)</v>
      </c>
      <c r="L18" s="75" t="str">
        <f t="shared" si="7"/>
        <v>(0.278 * E1.11.1.26_mRNA) - (0.00000278 * E1.11.1.26)</v>
      </c>
      <c r="M18" s="80" t="str">
        <f t="shared" si="8"/>
        <v>mRNA17: -&gt; E1.11.1.26_mRNA | 0.00292 - (0.0093 * E1.11.1.26_mRNA)</v>
      </c>
      <c r="N18" s="73" t="str">
        <f t="shared" si="9"/>
        <v>Peptide17: E1.11.1.26_mRNA -&gt; E1.11.1.26 | (0.278 * E1.11.1.26_mRNA) - (0.000000278 * E1.11.1.26)</v>
      </c>
    </row>
    <row r="19" spans="1:14" ht="25">
      <c r="A19" s="70">
        <v>18</v>
      </c>
      <c r="B19" s="81" t="s">
        <v>17058</v>
      </c>
      <c r="C19" s="72" t="str">
        <f t="shared" si="0"/>
        <v>E1.15.1.1_mRNA</v>
      </c>
      <c r="D19" s="72" t="str">
        <f t="shared" si="1"/>
        <v>E1.15.1.1</v>
      </c>
      <c r="E19" s="73" t="str">
        <f t="shared" si="2"/>
        <v>E1.15.1.1_kcat : 13.7</v>
      </c>
      <c r="F19" s="74" t="str">
        <f t="shared" si="3"/>
        <v>E1.15.1.1_km : 1</v>
      </c>
      <c r="G19" s="75" t="str">
        <f t="shared" ref="G19:H19" si="42">CONCATENATE(C19," : ",C19)</f>
        <v>E1.15.1.1_mRNA : E1.15.1.1_mRNA</v>
      </c>
      <c r="H19" s="76" t="str">
        <f t="shared" si="42"/>
        <v>E1.15.1.1 : E1.15.1.1</v>
      </c>
      <c r="I19" s="77" t="str">
        <f t="shared" ref="I19:J19" si="43">CONCATENATE(C19," : ","0")</f>
        <v>E1.15.1.1_mRNA : 0</v>
      </c>
      <c r="J19" s="78" t="str">
        <f t="shared" si="43"/>
        <v>E1.15.1.1 : 0</v>
      </c>
      <c r="K19" s="79" t="str">
        <f t="shared" si="6"/>
        <v>0.00292 - (0.0093 * E1.15.1.1_mRNA)</v>
      </c>
      <c r="L19" s="75" t="str">
        <f t="shared" si="7"/>
        <v>(0.278 * E1.15.1.1_mRNA) - (0.00000278 * E1.15.1.1)</v>
      </c>
      <c r="M19" s="80" t="str">
        <f t="shared" si="8"/>
        <v>mRNA18: -&gt; E1.15.1.1_mRNA | 0.00292 - (0.0093 * E1.15.1.1_mRNA)</v>
      </c>
      <c r="N19" s="73" t="str">
        <f t="shared" si="9"/>
        <v>Peptide18: E1.15.1.1_mRNA -&gt; E1.15.1.1 | (0.278 * E1.15.1.1_mRNA) - (0.000000278 * E1.15.1.1)</v>
      </c>
    </row>
    <row r="20" spans="1:14" ht="25">
      <c r="A20" s="70">
        <v>19</v>
      </c>
      <c r="B20" s="81" t="s">
        <v>17059</v>
      </c>
      <c r="C20" s="72" t="str">
        <f t="shared" si="0"/>
        <v>E1.17.1.8_mRNA</v>
      </c>
      <c r="D20" s="72" t="str">
        <f t="shared" si="1"/>
        <v>E1.17.1.8</v>
      </c>
      <c r="E20" s="73" t="str">
        <f t="shared" si="2"/>
        <v>E1.17.1.8_kcat : 13.7</v>
      </c>
      <c r="F20" s="74" t="str">
        <f t="shared" si="3"/>
        <v>E1.17.1.8_km : 1</v>
      </c>
      <c r="G20" s="75" t="str">
        <f t="shared" ref="G20:H20" si="44">CONCATENATE(C20," : ",C20)</f>
        <v>E1.17.1.8_mRNA : E1.17.1.8_mRNA</v>
      </c>
      <c r="H20" s="76" t="str">
        <f t="shared" si="44"/>
        <v>E1.17.1.8 : E1.17.1.8</v>
      </c>
      <c r="I20" s="77" t="str">
        <f t="shared" ref="I20:J20" si="45">CONCATENATE(C20," : ","0")</f>
        <v>E1.17.1.8_mRNA : 0</v>
      </c>
      <c r="J20" s="78" t="str">
        <f t="shared" si="45"/>
        <v>E1.17.1.8 : 0</v>
      </c>
      <c r="K20" s="79" t="str">
        <f t="shared" si="6"/>
        <v>0.00292 - (0.0093 * E1.17.1.8_mRNA)</v>
      </c>
      <c r="L20" s="75" t="str">
        <f t="shared" si="7"/>
        <v>(0.278 * E1.17.1.8_mRNA) - (0.00000278 * E1.17.1.8)</v>
      </c>
      <c r="M20" s="80" t="str">
        <f t="shared" si="8"/>
        <v>mRNA19: -&gt; E1.17.1.8_mRNA | 0.00292 - (0.0093 * E1.17.1.8_mRNA)</v>
      </c>
      <c r="N20" s="73" t="str">
        <f t="shared" si="9"/>
        <v>Peptide19: E1.17.1.8_mRNA -&gt; E1.17.1.8 | (0.278 * E1.17.1.8_mRNA) - (0.000000278 * E1.17.1.8)</v>
      </c>
    </row>
    <row r="21" spans="1:14" ht="25">
      <c r="A21" s="70">
        <v>20</v>
      </c>
      <c r="B21" s="81" t="s">
        <v>17060</v>
      </c>
      <c r="C21" s="72" t="str">
        <f t="shared" si="0"/>
        <v>E1.17.4.1_mRNA</v>
      </c>
      <c r="D21" s="72" t="str">
        <f t="shared" si="1"/>
        <v>E1.17.4.1</v>
      </c>
      <c r="E21" s="73" t="str">
        <f t="shared" si="2"/>
        <v>E1.17.4.1_kcat : 13.7</v>
      </c>
      <c r="F21" s="74" t="str">
        <f t="shared" si="3"/>
        <v>E1.17.4.1_km : 1</v>
      </c>
      <c r="G21" s="75" t="str">
        <f t="shared" ref="G21:H21" si="46">CONCATENATE(C21," : ",C21)</f>
        <v>E1.17.4.1_mRNA : E1.17.4.1_mRNA</v>
      </c>
      <c r="H21" s="76" t="str">
        <f t="shared" si="46"/>
        <v>E1.17.4.1 : E1.17.4.1</v>
      </c>
      <c r="I21" s="77" t="str">
        <f t="shared" ref="I21:J21" si="47">CONCATENATE(C21," : ","0")</f>
        <v>E1.17.4.1_mRNA : 0</v>
      </c>
      <c r="J21" s="78" t="str">
        <f t="shared" si="47"/>
        <v>E1.17.4.1 : 0</v>
      </c>
      <c r="K21" s="79" t="str">
        <f t="shared" si="6"/>
        <v>0.00292 - (0.0093 * E1.17.4.1_mRNA)</v>
      </c>
      <c r="L21" s="75" t="str">
        <f t="shared" si="7"/>
        <v>(0.278 * E1.17.4.1_mRNA) - (0.00000278 * E1.17.4.1)</v>
      </c>
      <c r="M21" s="80" t="str">
        <f t="shared" si="8"/>
        <v>mRNA20: -&gt; E1.17.4.1_mRNA | 0.00292 - (0.0093 * E1.17.4.1_mRNA)</v>
      </c>
      <c r="N21" s="73" t="str">
        <f t="shared" si="9"/>
        <v>Peptide20: E1.17.4.1_mRNA -&gt; E1.17.4.1 | (0.278 * E1.17.4.1_mRNA) - (0.000000278 * E1.17.4.1)</v>
      </c>
    </row>
    <row r="22" spans="1:14" ht="25">
      <c r="A22" s="70">
        <v>21</v>
      </c>
      <c r="B22" s="81" t="s">
        <v>17061</v>
      </c>
      <c r="C22" s="72" t="str">
        <f t="shared" si="0"/>
        <v>E1.17.4.2_mRNA</v>
      </c>
      <c r="D22" s="72" t="str">
        <f t="shared" si="1"/>
        <v>E1.17.4.2</v>
      </c>
      <c r="E22" s="73" t="str">
        <f t="shared" si="2"/>
        <v>E1.17.4.2_kcat : 13.7</v>
      </c>
      <c r="F22" s="74" t="str">
        <f t="shared" si="3"/>
        <v>E1.17.4.2_km : 1</v>
      </c>
      <c r="G22" s="75" t="str">
        <f t="shared" ref="G22:H22" si="48">CONCATENATE(C22," : ",C22)</f>
        <v>E1.17.4.2_mRNA : E1.17.4.2_mRNA</v>
      </c>
      <c r="H22" s="76" t="str">
        <f t="shared" si="48"/>
        <v>E1.17.4.2 : E1.17.4.2</v>
      </c>
      <c r="I22" s="77" t="str">
        <f t="shared" ref="I22:J22" si="49">CONCATENATE(C22," : ","0")</f>
        <v>E1.17.4.2_mRNA : 0</v>
      </c>
      <c r="J22" s="78" t="str">
        <f t="shared" si="49"/>
        <v>E1.17.4.2 : 0</v>
      </c>
      <c r="K22" s="79" t="str">
        <f t="shared" si="6"/>
        <v>0.00292 - (0.0093 * E1.17.4.2_mRNA)</v>
      </c>
      <c r="L22" s="75" t="str">
        <f t="shared" si="7"/>
        <v>(0.278 * E1.17.4.2_mRNA) - (0.00000278 * E1.17.4.2)</v>
      </c>
      <c r="M22" s="80" t="str">
        <f t="shared" si="8"/>
        <v>mRNA21: -&gt; E1.17.4.2_mRNA | 0.00292 - (0.0093 * E1.17.4.2_mRNA)</v>
      </c>
      <c r="N22" s="73" t="str">
        <f t="shared" si="9"/>
        <v>Peptide21: E1.17.4.2_mRNA -&gt; E1.17.4.2 | (0.278 * E1.17.4.2_mRNA) - (0.000000278 * E1.17.4.2)</v>
      </c>
    </row>
    <row r="23" spans="1:14" ht="25">
      <c r="A23" s="70">
        <v>22</v>
      </c>
      <c r="B23" s="81" t="s">
        <v>17062</v>
      </c>
      <c r="C23" s="72" t="str">
        <f t="shared" si="0"/>
        <v>E1.17.99.6_mRNA</v>
      </c>
      <c r="D23" s="72" t="str">
        <f t="shared" si="1"/>
        <v>E1.17.99.6</v>
      </c>
      <c r="E23" s="73" t="str">
        <f t="shared" si="2"/>
        <v>E1.17.99.6_kcat : 13.7</v>
      </c>
      <c r="F23" s="74" t="str">
        <f t="shared" si="3"/>
        <v>E1.17.99.6_km : 1</v>
      </c>
      <c r="G23" s="75" t="str">
        <f t="shared" ref="G23:H23" si="50">CONCATENATE(C23," : ",C23)</f>
        <v>E1.17.99.6_mRNA : E1.17.99.6_mRNA</v>
      </c>
      <c r="H23" s="76" t="str">
        <f t="shared" si="50"/>
        <v>E1.17.99.6 : E1.17.99.6</v>
      </c>
      <c r="I23" s="77" t="str">
        <f t="shared" ref="I23:J23" si="51">CONCATENATE(C23," : ","0")</f>
        <v>E1.17.99.6_mRNA : 0</v>
      </c>
      <c r="J23" s="78" t="str">
        <f t="shared" si="51"/>
        <v>E1.17.99.6 : 0</v>
      </c>
      <c r="K23" s="79" t="str">
        <f t="shared" si="6"/>
        <v>0.00292 - (0.0093 * E1.17.99.6_mRNA)</v>
      </c>
      <c r="L23" s="75" t="str">
        <f t="shared" si="7"/>
        <v>(0.278 * E1.17.99.6_mRNA) - (0.00000278 * E1.17.99.6)</v>
      </c>
      <c r="M23" s="80" t="str">
        <f t="shared" si="8"/>
        <v>mRNA22: -&gt; E1.17.99.6_mRNA | 0.00292 - (0.0093 * E1.17.99.6_mRNA)</v>
      </c>
      <c r="N23" s="73" t="str">
        <f t="shared" si="9"/>
        <v>Peptide22: E1.17.99.6_mRNA -&gt; E1.17.99.6 | (0.278 * E1.17.99.6_mRNA) - (0.000000278 * E1.17.99.6)</v>
      </c>
    </row>
    <row r="24" spans="1:14" ht="25">
      <c r="A24" s="70">
        <v>23</v>
      </c>
      <c r="B24" s="82" t="s">
        <v>7889</v>
      </c>
      <c r="C24" s="72" t="str">
        <f t="shared" si="0"/>
        <v>E1.2.1.10_mRNA</v>
      </c>
      <c r="D24" s="72" t="str">
        <f t="shared" si="1"/>
        <v>E1.2.1.10</v>
      </c>
      <c r="E24" s="73" t="str">
        <f t="shared" si="2"/>
        <v>E1.2.1.10_kcat : 13.7</v>
      </c>
      <c r="F24" s="74" t="str">
        <f t="shared" si="3"/>
        <v>E1.2.1.10_km : 1</v>
      </c>
      <c r="G24" s="75" t="str">
        <f t="shared" ref="G24:H24" si="52">CONCATENATE(C24," : ",C24)</f>
        <v>E1.2.1.10_mRNA : E1.2.1.10_mRNA</v>
      </c>
      <c r="H24" s="76" t="str">
        <f t="shared" si="52"/>
        <v>E1.2.1.10 : E1.2.1.10</v>
      </c>
      <c r="I24" s="77" t="str">
        <f t="shared" ref="I24:J24" si="53">CONCATENATE(C24," : ","0")</f>
        <v>E1.2.1.10_mRNA : 0</v>
      </c>
      <c r="J24" s="78" t="str">
        <f t="shared" si="53"/>
        <v>E1.2.1.10 : 0</v>
      </c>
      <c r="K24" s="79" t="str">
        <f t="shared" si="6"/>
        <v>0.00292 - (0.0093 * E1.2.1.10_mRNA)</v>
      </c>
      <c r="L24" s="75" t="str">
        <f t="shared" si="7"/>
        <v>(0.278 * E1.2.1.10_mRNA) - (0.00000278 * E1.2.1.10)</v>
      </c>
      <c r="M24" s="80" t="str">
        <f t="shared" si="8"/>
        <v>mRNA23: -&gt; E1.2.1.10_mRNA | 0.00292 - (0.0093 * E1.2.1.10_mRNA)</v>
      </c>
      <c r="N24" s="73" t="str">
        <f t="shared" si="9"/>
        <v>Peptide23: E1.2.1.10_mRNA -&gt; E1.2.1.10 | (0.278 * E1.2.1.10_mRNA) - (0.000000278 * E1.2.1.10)</v>
      </c>
    </row>
    <row r="25" spans="1:14" ht="25">
      <c r="A25" s="70">
        <v>24</v>
      </c>
      <c r="B25" s="81" t="s">
        <v>17063</v>
      </c>
      <c r="C25" s="72" t="str">
        <f t="shared" si="0"/>
        <v>E1.2.1.11_mRNA</v>
      </c>
      <c r="D25" s="72" t="str">
        <f t="shared" si="1"/>
        <v>E1.2.1.11</v>
      </c>
      <c r="E25" s="73" t="str">
        <f t="shared" si="2"/>
        <v>E1.2.1.11_kcat : 13.7</v>
      </c>
      <c r="F25" s="74" t="str">
        <f t="shared" si="3"/>
        <v>E1.2.1.11_km : 1</v>
      </c>
      <c r="G25" s="75" t="str">
        <f t="shared" ref="G25:H25" si="54">CONCATENATE(C25," : ",C25)</f>
        <v>E1.2.1.11_mRNA : E1.2.1.11_mRNA</v>
      </c>
      <c r="H25" s="76" t="str">
        <f t="shared" si="54"/>
        <v>E1.2.1.11 : E1.2.1.11</v>
      </c>
      <c r="I25" s="77" t="str">
        <f t="shared" ref="I25:J25" si="55">CONCATENATE(C25," : ","0")</f>
        <v>E1.2.1.11_mRNA : 0</v>
      </c>
      <c r="J25" s="78" t="str">
        <f t="shared" si="55"/>
        <v>E1.2.1.11 : 0</v>
      </c>
      <c r="K25" s="79" t="str">
        <f t="shared" si="6"/>
        <v>0.00292 - (0.0093 * E1.2.1.11_mRNA)</v>
      </c>
      <c r="L25" s="75" t="str">
        <f t="shared" si="7"/>
        <v>(0.278 * E1.2.1.11_mRNA) - (0.00000278 * E1.2.1.11)</v>
      </c>
      <c r="M25" s="80" t="str">
        <f t="shared" si="8"/>
        <v>mRNA24: -&gt; E1.2.1.11_mRNA | 0.00292 - (0.0093 * E1.2.1.11_mRNA)</v>
      </c>
      <c r="N25" s="73" t="str">
        <f t="shared" si="9"/>
        <v>Peptide24: E1.2.1.11_mRNA -&gt; E1.2.1.11 | (0.278 * E1.2.1.11_mRNA) - (0.000000278 * E1.2.1.11)</v>
      </c>
    </row>
    <row r="26" spans="1:14" ht="25">
      <c r="A26" s="70">
        <v>25</v>
      </c>
      <c r="B26" s="81" t="s">
        <v>17064</v>
      </c>
      <c r="C26" s="72" t="str">
        <f t="shared" si="0"/>
        <v>E1.2.1.41_mRNA</v>
      </c>
      <c r="D26" s="72" t="str">
        <f t="shared" si="1"/>
        <v>E1.2.1.41</v>
      </c>
      <c r="E26" s="73" t="str">
        <f t="shared" si="2"/>
        <v>E1.2.1.41_kcat : 13.7</v>
      </c>
      <c r="F26" s="74" t="str">
        <f t="shared" si="3"/>
        <v>E1.2.1.41_km : 1</v>
      </c>
      <c r="G26" s="75" t="str">
        <f t="shared" ref="G26:H26" si="56">CONCATENATE(C26," : ",C26)</f>
        <v>E1.2.1.41_mRNA : E1.2.1.41_mRNA</v>
      </c>
      <c r="H26" s="76" t="str">
        <f t="shared" si="56"/>
        <v>E1.2.1.41 : E1.2.1.41</v>
      </c>
      <c r="I26" s="77" t="str">
        <f t="shared" ref="I26:J26" si="57">CONCATENATE(C26," : ","0")</f>
        <v>E1.2.1.41_mRNA : 0</v>
      </c>
      <c r="J26" s="78" t="str">
        <f t="shared" si="57"/>
        <v>E1.2.1.41 : 0</v>
      </c>
      <c r="K26" s="79" t="str">
        <f t="shared" si="6"/>
        <v>0.00292 - (0.0093 * E1.2.1.41_mRNA)</v>
      </c>
      <c r="L26" s="75" t="str">
        <f t="shared" si="7"/>
        <v>(0.278 * E1.2.1.41_mRNA) - (0.00000278 * E1.2.1.41)</v>
      </c>
      <c r="M26" s="80" t="str">
        <f t="shared" si="8"/>
        <v>mRNA25: -&gt; E1.2.1.41_mRNA | 0.00292 - (0.0093 * E1.2.1.41_mRNA)</v>
      </c>
      <c r="N26" s="73" t="str">
        <f t="shared" si="9"/>
        <v>Peptide25: E1.2.1.41_mRNA -&gt; E1.2.1.41 | (0.278 * E1.2.1.41_mRNA) - (0.000000278 * E1.2.1.41)</v>
      </c>
    </row>
    <row r="27" spans="1:14" ht="25">
      <c r="A27" s="70">
        <v>26</v>
      </c>
      <c r="B27" s="81" t="s">
        <v>17065</v>
      </c>
      <c r="C27" s="72" t="str">
        <f t="shared" si="0"/>
        <v>E1.2.3.3_mRNA</v>
      </c>
      <c r="D27" s="72" t="str">
        <f t="shared" si="1"/>
        <v>E1.2.3.3</v>
      </c>
      <c r="E27" s="73" t="str">
        <f t="shared" si="2"/>
        <v>E1.2.3.3_kcat : 13.7</v>
      </c>
      <c r="F27" s="74" t="str">
        <f t="shared" si="3"/>
        <v>E1.2.3.3_km : 1</v>
      </c>
      <c r="G27" s="75" t="str">
        <f t="shared" ref="G27:H27" si="58">CONCATENATE(C27," : ",C27)</f>
        <v>E1.2.3.3_mRNA : E1.2.3.3_mRNA</v>
      </c>
      <c r="H27" s="76" t="str">
        <f t="shared" si="58"/>
        <v>E1.2.3.3 : E1.2.3.3</v>
      </c>
      <c r="I27" s="77" t="str">
        <f t="shared" ref="I27:J27" si="59">CONCATENATE(C27," : ","0")</f>
        <v>E1.2.3.3_mRNA : 0</v>
      </c>
      <c r="J27" s="78" t="str">
        <f t="shared" si="59"/>
        <v>E1.2.3.3 : 0</v>
      </c>
      <c r="K27" s="79" t="str">
        <f t="shared" si="6"/>
        <v>0.00292 - (0.0093 * E1.2.3.3_mRNA)</v>
      </c>
      <c r="L27" s="75" t="str">
        <f t="shared" si="7"/>
        <v>(0.278 * E1.2.3.3_mRNA) - (0.00000278 * E1.2.3.3)</v>
      </c>
      <c r="M27" s="80" t="str">
        <f t="shared" si="8"/>
        <v>mRNA26: -&gt; E1.2.3.3_mRNA | 0.00292 - (0.0093 * E1.2.3.3_mRNA)</v>
      </c>
      <c r="N27" s="73" t="str">
        <f t="shared" si="9"/>
        <v>Peptide26: E1.2.3.3_mRNA -&gt; E1.2.3.3 | (0.278 * E1.2.3.3_mRNA) - (0.000000278 * E1.2.3.3)</v>
      </c>
    </row>
    <row r="28" spans="1:14" ht="25">
      <c r="A28" s="70">
        <v>27</v>
      </c>
      <c r="B28" s="81" t="s">
        <v>17066</v>
      </c>
      <c r="C28" s="72" t="str">
        <f t="shared" si="0"/>
        <v>E1.20.4.4_mRNA</v>
      </c>
      <c r="D28" s="72" t="str">
        <f t="shared" si="1"/>
        <v>E1.20.4.4</v>
      </c>
      <c r="E28" s="73" t="str">
        <f t="shared" si="2"/>
        <v>E1.20.4.4_kcat : 13.7</v>
      </c>
      <c r="F28" s="74" t="str">
        <f t="shared" si="3"/>
        <v>E1.20.4.4_km : 1</v>
      </c>
      <c r="G28" s="75" t="str">
        <f t="shared" ref="G28:H28" si="60">CONCATENATE(C28," : ",C28)</f>
        <v>E1.20.4.4_mRNA : E1.20.4.4_mRNA</v>
      </c>
      <c r="H28" s="76" t="str">
        <f t="shared" si="60"/>
        <v>E1.20.4.4 : E1.20.4.4</v>
      </c>
      <c r="I28" s="77" t="str">
        <f t="shared" ref="I28:J28" si="61">CONCATENATE(C28," : ","0")</f>
        <v>E1.20.4.4_mRNA : 0</v>
      </c>
      <c r="J28" s="78" t="str">
        <f t="shared" si="61"/>
        <v>E1.20.4.4 : 0</v>
      </c>
      <c r="K28" s="79" t="str">
        <f t="shared" si="6"/>
        <v>0.00292 - (0.0093 * E1.20.4.4_mRNA)</v>
      </c>
      <c r="L28" s="75" t="str">
        <f t="shared" si="7"/>
        <v>(0.278 * E1.20.4.4_mRNA) - (0.00000278 * E1.20.4.4)</v>
      </c>
      <c r="M28" s="80" t="str">
        <f t="shared" si="8"/>
        <v>mRNA27: -&gt; E1.20.4.4_mRNA | 0.00292 - (0.0093 * E1.20.4.4_mRNA)</v>
      </c>
      <c r="N28" s="73" t="str">
        <f t="shared" si="9"/>
        <v>Peptide27: E1.20.4.4_mRNA -&gt; E1.20.4.4 | (0.278 * E1.20.4.4_mRNA) - (0.000000278 * E1.20.4.4)</v>
      </c>
    </row>
    <row r="29" spans="1:14" ht="25">
      <c r="A29" s="70">
        <v>28</v>
      </c>
      <c r="B29" s="81" t="s">
        <v>17067</v>
      </c>
      <c r="C29" s="72" t="str">
        <f t="shared" si="0"/>
        <v>E1.3.1.14_mRNA</v>
      </c>
      <c r="D29" s="72" t="str">
        <f t="shared" si="1"/>
        <v>E1.3.1.14</v>
      </c>
      <c r="E29" s="73" t="str">
        <f t="shared" si="2"/>
        <v>E1.3.1.14_kcat : 13.7</v>
      </c>
      <c r="F29" s="74" t="str">
        <f t="shared" si="3"/>
        <v>E1.3.1.14_km : 1</v>
      </c>
      <c r="G29" s="75" t="str">
        <f t="shared" ref="G29:H29" si="62">CONCATENATE(C29," : ",C29)</f>
        <v>E1.3.1.14_mRNA : E1.3.1.14_mRNA</v>
      </c>
      <c r="H29" s="76" t="str">
        <f t="shared" si="62"/>
        <v>E1.3.1.14 : E1.3.1.14</v>
      </c>
      <c r="I29" s="77" t="str">
        <f t="shared" ref="I29:J29" si="63">CONCATENATE(C29," : ","0")</f>
        <v>E1.3.1.14_mRNA : 0</v>
      </c>
      <c r="J29" s="78" t="str">
        <f t="shared" si="63"/>
        <v>E1.3.1.14 : 0</v>
      </c>
      <c r="K29" s="79" t="str">
        <f t="shared" si="6"/>
        <v>0.00292 - (0.0093 * E1.3.1.14_mRNA)</v>
      </c>
      <c r="L29" s="75" t="str">
        <f t="shared" si="7"/>
        <v>(0.278 * E1.3.1.14_mRNA) - (0.00000278 * E1.3.1.14)</v>
      </c>
      <c r="M29" s="80" t="str">
        <f t="shared" si="8"/>
        <v>mRNA28: -&gt; E1.3.1.14_mRNA | 0.00292 - (0.0093 * E1.3.1.14_mRNA)</v>
      </c>
      <c r="N29" s="73" t="str">
        <f t="shared" si="9"/>
        <v>Peptide28: E1.3.1.14_mRNA -&gt; E1.3.1.14 | (0.278 * E1.3.1.14_mRNA) - (0.000000278 * E1.3.1.14)</v>
      </c>
    </row>
    <row r="30" spans="1:14" ht="25">
      <c r="A30" s="70">
        <v>29</v>
      </c>
      <c r="B30" s="81" t="s">
        <v>17068</v>
      </c>
      <c r="C30" s="72" t="str">
        <f t="shared" si="0"/>
        <v>E1.3.1.95_mRNA</v>
      </c>
      <c r="D30" s="72" t="str">
        <f t="shared" si="1"/>
        <v>E1.3.1.95</v>
      </c>
      <c r="E30" s="73" t="str">
        <f t="shared" si="2"/>
        <v>E1.3.1.95_kcat : 13.7</v>
      </c>
      <c r="F30" s="74" t="str">
        <f t="shared" si="3"/>
        <v>E1.3.1.95_km : 1</v>
      </c>
      <c r="G30" s="75" t="str">
        <f t="shared" ref="G30:H30" si="64">CONCATENATE(C30," : ",C30)</f>
        <v>E1.3.1.95_mRNA : E1.3.1.95_mRNA</v>
      </c>
      <c r="H30" s="76" t="str">
        <f t="shared" si="64"/>
        <v>E1.3.1.95 : E1.3.1.95</v>
      </c>
      <c r="I30" s="77" t="str">
        <f t="shared" ref="I30:J30" si="65">CONCATENATE(C30," : ","0")</f>
        <v>E1.3.1.95_mRNA : 0</v>
      </c>
      <c r="J30" s="78" t="str">
        <f t="shared" si="65"/>
        <v>E1.3.1.95 : 0</v>
      </c>
      <c r="K30" s="79" t="str">
        <f t="shared" si="6"/>
        <v>0.00292 - (0.0093 * E1.3.1.95_mRNA)</v>
      </c>
      <c r="L30" s="75" t="str">
        <f t="shared" si="7"/>
        <v>(0.278 * E1.3.1.95_mRNA) - (0.00000278 * E1.3.1.95)</v>
      </c>
      <c r="M30" s="80" t="str">
        <f t="shared" si="8"/>
        <v>mRNA29: -&gt; E1.3.1.95_mRNA | 0.00292 - (0.0093 * E1.3.1.95_mRNA)</v>
      </c>
      <c r="N30" s="73" t="str">
        <f t="shared" si="9"/>
        <v>Peptide29: E1.3.1.95_mRNA -&gt; E1.3.1.95 | (0.278 * E1.3.1.95_mRNA) - (0.000000278 * E1.3.1.95)</v>
      </c>
    </row>
    <row r="31" spans="1:14" ht="25">
      <c r="A31" s="70">
        <v>30</v>
      </c>
      <c r="B31" s="81" t="s">
        <v>17069</v>
      </c>
      <c r="C31" s="72" t="str">
        <f t="shared" si="0"/>
        <v>E1.3.1.98_mRNA</v>
      </c>
      <c r="D31" s="72" t="str">
        <f t="shared" si="1"/>
        <v>E1.3.1.98</v>
      </c>
      <c r="E31" s="73" t="str">
        <f t="shared" si="2"/>
        <v>E1.3.1.98_kcat : 13.7</v>
      </c>
      <c r="F31" s="74" t="str">
        <f t="shared" si="3"/>
        <v>E1.3.1.98_km : 1</v>
      </c>
      <c r="G31" s="75" t="str">
        <f t="shared" ref="G31:H31" si="66">CONCATENATE(C31," : ",C31)</f>
        <v>E1.3.1.98_mRNA : E1.3.1.98_mRNA</v>
      </c>
      <c r="H31" s="76" t="str">
        <f t="shared" si="66"/>
        <v>E1.3.1.98 : E1.3.1.98</v>
      </c>
      <c r="I31" s="77" t="str">
        <f t="shared" ref="I31:J31" si="67">CONCATENATE(C31," : ","0")</f>
        <v>E1.3.1.98_mRNA : 0</v>
      </c>
      <c r="J31" s="78" t="str">
        <f t="shared" si="67"/>
        <v>E1.3.1.98 : 0</v>
      </c>
      <c r="K31" s="79" t="str">
        <f t="shared" si="6"/>
        <v>0.00292 - (0.0093 * E1.3.1.98_mRNA)</v>
      </c>
      <c r="L31" s="75" t="str">
        <f t="shared" si="7"/>
        <v>(0.278 * E1.3.1.98_mRNA) - (0.00000278 * E1.3.1.98)</v>
      </c>
      <c r="M31" s="80" t="str">
        <f t="shared" si="8"/>
        <v>mRNA30: -&gt; E1.3.1.98_mRNA | 0.00292 - (0.0093 * E1.3.1.98_mRNA)</v>
      </c>
      <c r="N31" s="73" t="str">
        <f t="shared" si="9"/>
        <v>Peptide30: E1.3.1.98_mRNA -&gt; E1.3.1.98 | (0.278 * E1.3.1.98_mRNA) - (0.000000278 * E1.3.1.98)</v>
      </c>
    </row>
    <row r="32" spans="1:14" ht="25">
      <c r="A32" s="70">
        <v>31</v>
      </c>
      <c r="B32" s="81" t="s">
        <v>17070</v>
      </c>
      <c r="C32" s="72" t="str">
        <f t="shared" si="0"/>
        <v>E1.3.98.1_mRNA</v>
      </c>
      <c r="D32" s="72" t="str">
        <f t="shared" si="1"/>
        <v>E1.3.98.1</v>
      </c>
      <c r="E32" s="73" t="str">
        <f t="shared" si="2"/>
        <v>E1.3.98.1_kcat : 13.7</v>
      </c>
      <c r="F32" s="74" t="str">
        <f t="shared" si="3"/>
        <v>E1.3.98.1_km : 1</v>
      </c>
      <c r="G32" s="75" t="str">
        <f t="shared" ref="G32:H32" si="68">CONCATENATE(C32," : ",C32)</f>
        <v>E1.3.98.1_mRNA : E1.3.98.1_mRNA</v>
      </c>
      <c r="H32" s="76" t="str">
        <f t="shared" si="68"/>
        <v>E1.3.98.1 : E1.3.98.1</v>
      </c>
      <c r="I32" s="77" t="str">
        <f t="shared" ref="I32:J32" si="69">CONCATENATE(C32," : ","0")</f>
        <v>E1.3.98.1_mRNA : 0</v>
      </c>
      <c r="J32" s="78" t="str">
        <f t="shared" si="69"/>
        <v>E1.3.98.1 : 0</v>
      </c>
      <c r="K32" s="79" t="str">
        <f t="shared" si="6"/>
        <v>0.00292 - (0.0093 * E1.3.98.1_mRNA)</v>
      </c>
      <c r="L32" s="75" t="str">
        <f t="shared" si="7"/>
        <v>(0.278 * E1.3.98.1_mRNA) - (0.00000278 * E1.3.98.1)</v>
      </c>
      <c r="M32" s="80" t="str">
        <f t="shared" si="8"/>
        <v>mRNA31: -&gt; E1.3.98.1_mRNA | 0.00292 - (0.0093 * E1.3.98.1_mRNA)</v>
      </c>
      <c r="N32" s="73" t="str">
        <f t="shared" si="9"/>
        <v>Peptide31: E1.3.98.1_mRNA -&gt; E1.3.98.1 | (0.278 * E1.3.98.1_mRNA) - (0.000000278 * E1.3.98.1)</v>
      </c>
    </row>
    <row r="33" spans="1:14" ht="25">
      <c r="A33" s="70">
        <v>32</v>
      </c>
      <c r="B33" s="81" t="s">
        <v>17071</v>
      </c>
      <c r="C33" s="72" t="str">
        <f t="shared" si="0"/>
        <v>E1.4.1.13_mRNA</v>
      </c>
      <c r="D33" s="72" t="str">
        <f t="shared" si="1"/>
        <v>E1.4.1.13</v>
      </c>
      <c r="E33" s="73" t="str">
        <f t="shared" si="2"/>
        <v>E1.4.1.13_kcat : 13.7</v>
      </c>
      <c r="F33" s="74" t="str">
        <f t="shared" si="3"/>
        <v>E1.4.1.13_km : 1</v>
      </c>
      <c r="G33" s="75" t="str">
        <f t="shared" ref="G33:H33" si="70">CONCATENATE(C33," : ",C33)</f>
        <v>E1.4.1.13_mRNA : E1.4.1.13_mRNA</v>
      </c>
      <c r="H33" s="76" t="str">
        <f t="shared" si="70"/>
        <v>E1.4.1.13 : E1.4.1.13</v>
      </c>
      <c r="I33" s="77" t="str">
        <f t="shared" ref="I33:J33" si="71">CONCATENATE(C33," : ","0")</f>
        <v>E1.4.1.13_mRNA : 0</v>
      </c>
      <c r="J33" s="78" t="str">
        <f t="shared" si="71"/>
        <v>E1.4.1.13 : 0</v>
      </c>
      <c r="K33" s="79" t="str">
        <f t="shared" si="6"/>
        <v>0.00292 - (0.0093 * E1.4.1.13_mRNA)</v>
      </c>
      <c r="L33" s="75" t="str">
        <f t="shared" si="7"/>
        <v>(0.278 * E1.4.1.13_mRNA) - (0.00000278 * E1.4.1.13)</v>
      </c>
      <c r="M33" s="80" t="str">
        <f t="shared" si="8"/>
        <v>mRNA32: -&gt; E1.4.1.13_mRNA | 0.00292 - (0.0093 * E1.4.1.13_mRNA)</v>
      </c>
      <c r="N33" s="73" t="str">
        <f t="shared" si="9"/>
        <v>Peptide32: E1.4.1.13_mRNA -&gt; E1.4.1.13 | (0.278 * E1.4.1.13_mRNA) - (0.000000278 * E1.4.1.13)</v>
      </c>
    </row>
    <row r="34" spans="1:14" ht="25">
      <c r="A34" s="70">
        <v>33</v>
      </c>
      <c r="B34" s="81" t="s">
        <v>17072</v>
      </c>
      <c r="C34" s="72" t="str">
        <f t="shared" si="0"/>
        <v>E1.4.1.4_mRNA</v>
      </c>
      <c r="D34" s="72" t="str">
        <f t="shared" si="1"/>
        <v>E1.4.1.4</v>
      </c>
      <c r="E34" s="73" t="str">
        <f t="shared" si="2"/>
        <v>E1.4.1.4_kcat : 13.7</v>
      </c>
      <c r="F34" s="74" t="str">
        <f t="shared" si="3"/>
        <v>E1.4.1.4_km : 1</v>
      </c>
      <c r="G34" s="75" t="str">
        <f t="shared" ref="G34:H34" si="72">CONCATENATE(C34," : ",C34)</f>
        <v>E1.4.1.4_mRNA : E1.4.1.4_mRNA</v>
      </c>
      <c r="H34" s="76" t="str">
        <f t="shared" si="72"/>
        <v>E1.4.1.4 : E1.4.1.4</v>
      </c>
      <c r="I34" s="77" t="str">
        <f t="shared" ref="I34:J34" si="73">CONCATENATE(C34," : ","0")</f>
        <v>E1.4.1.4_mRNA : 0</v>
      </c>
      <c r="J34" s="78" t="str">
        <f t="shared" si="73"/>
        <v>E1.4.1.4 : 0</v>
      </c>
      <c r="K34" s="79" t="str">
        <f t="shared" si="6"/>
        <v>0.00292 - (0.0093 * E1.4.1.4_mRNA)</v>
      </c>
      <c r="L34" s="75" t="str">
        <f t="shared" si="7"/>
        <v>(0.278 * E1.4.1.4_mRNA) - (0.00000278 * E1.4.1.4)</v>
      </c>
      <c r="M34" s="80" t="str">
        <f t="shared" si="8"/>
        <v>mRNA33: -&gt; E1.4.1.4_mRNA | 0.00292 - (0.0093 * E1.4.1.4_mRNA)</v>
      </c>
      <c r="N34" s="73" t="str">
        <f t="shared" si="9"/>
        <v>Peptide33: E1.4.1.4_mRNA -&gt; E1.4.1.4 | (0.278 * E1.4.1.4_mRNA) - (0.000000278 * E1.4.1.4)</v>
      </c>
    </row>
    <row r="35" spans="1:14" ht="25">
      <c r="A35" s="70">
        <v>34</v>
      </c>
      <c r="B35" s="82" t="s">
        <v>7918</v>
      </c>
      <c r="C35" s="72" t="str">
        <f t="shared" si="0"/>
        <v>E1.4.3.5_mRNA</v>
      </c>
      <c r="D35" s="72" t="str">
        <f t="shared" si="1"/>
        <v>E1.4.3.5</v>
      </c>
      <c r="E35" s="73" t="str">
        <f t="shared" si="2"/>
        <v>E1.4.3.5_kcat : 13.7</v>
      </c>
      <c r="F35" s="74" t="str">
        <f t="shared" si="3"/>
        <v>E1.4.3.5_km : 1</v>
      </c>
      <c r="G35" s="75" t="str">
        <f t="shared" ref="G35:H35" si="74">CONCATENATE(C35," : ",C35)</f>
        <v>E1.4.3.5_mRNA : E1.4.3.5_mRNA</v>
      </c>
      <c r="H35" s="76" t="str">
        <f t="shared" si="74"/>
        <v>E1.4.3.5 : E1.4.3.5</v>
      </c>
      <c r="I35" s="77" t="str">
        <f t="shared" ref="I35:J35" si="75">CONCATENATE(C35," : ","0")</f>
        <v>E1.4.3.5_mRNA : 0</v>
      </c>
      <c r="J35" s="78" t="str">
        <f t="shared" si="75"/>
        <v>E1.4.3.5 : 0</v>
      </c>
      <c r="K35" s="79" t="str">
        <f t="shared" si="6"/>
        <v>0.00292 - (0.0093 * E1.4.3.5_mRNA)</v>
      </c>
      <c r="L35" s="75" t="str">
        <f t="shared" si="7"/>
        <v>(0.278 * E1.4.3.5_mRNA) - (0.00000278 * E1.4.3.5)</v>
      </c>
      <c r="M35" s="80" t="str">
        <f t="shared" si="8"/>
        <v>mRNA34: -&gt; E1.4.3.5_mRNA | 0.00292 - (0.0093 * E1.4.3.5_mRNA)</v>
      </c>
      <c r="N35" s="73" t="str">
        <f t="shared" si="9"/>
        <v>Peptide34: E1.4.3.5_mRNA -&gt; E1.4.3.5 | (0.278 * E1.4.3.5_mRNA) - (0.000000278 * E1.4.3.5)</v>
      </c>
    </row>
    <row r="36" spans="1:14" ht="25">
      <c r="A36" s="70">
        <v>35</v>
      </c>
      <c r="B36" s="81" t="s">
        <v>17073</v>
      </c>
      <c r="C36" s="72" t="str">
        <f t="shared" si="0"/>
        <v>E1.5.1.2_mRNA</v>
      </c>
      <c r="D36" s="72" t="str">
        <f t="shared" si="1"/>
        <v>E1.5.1.2</v>
      </c>
      <c r="E36" s="73" t="str">
        <f t="shared" si="2"/>
        <v>E1.5.1.2_kcat : 13.7</v>
      </c>
      <c r="F36" s="74" t="str">
        <f t="shared" si="3"/>
        <v>E1.5.1.2_km : 1</v>
      </c>
      <c r="G36" s="75" t="str">
        <f t="shared" ref="G36:H36" si="76">CONCATENATE(C36," : ",C36)</f>
        <v>E1.5.1.2_mRNA : E1.5.1.2_mRNA</v>
      </c>
      <c r="H36" s="76" t="str">
        <f t="shared" si="76"/>
        <v>E1.5.1.2 : E1.5.1.2</v>
      </c>
      <c r="I36" s="77" t="str">
        <f t="shared" ref="I36:J36" si="77">CONCATENATE(C36," : ","0")</f>
        <v>E1.5.1.2_mRNA : 0</v>
      </c>
      <c r="J36" s="78" t="str">
        <f t="shared" si="77"/>
        <v>E1.5.1.2 : 0</v>
      </c>
      <c r="K36" s="79" t="str">
        <f t="shared" si="6"/>
        <v>0.00292 - (0.0093 * E1.5.1.2_mRNA)</v>
      </c>
      <c r="L36" s="75" t="str">
        <f t="shared" si="7"/>
        <v>(0.278 * E1.5.1.2_mRNA) - (0.00000278 * E1.5.1.2)</v>
      </c>
      <c r="M36" s="80" t="str">
        <f t="shared" si="8"/>
        <v>mRNA35: -&gt; E1.5.1.2_mRNA | 0.00292 - (0.0093 * E1.5.1.2_mRNA)</v>
      </c>
      <c r="N36" s="73" t="str">
        <f t="shared" si="9"/>
        <v>Peptide35: E1.5.1.2_mRNA -&gt; E1.5.1.2 | (0.278 * E1.5.1.2_mRNA) - (0.000000278 * E1.5.1.2)</v>
      </c>
    </row>
    <row r="37" spans="1:14" ht="25">
      <c r="A37" s="70">
        <v>36</v>
      </c>
      <c r="B37" s="81" t="s">
        <v>17074</v>
      </c>
      <c r="C37" s="72" t="str">
        <f t="shared" si="0"/>
        <v>E1.5.1.20_mRNA</v>
      </c>
      <c r="D37" s="72" t="str">
        <f t="shared" si="1"/>
        <v>E1.5.1.20</v>
      </c>
      <c r="E37" s="73" t="str">
        <f t="shared" si="2"/>
        <v>E1.5.1.20_kcat : 13.7</v>
      </c>
      <c r="F37" s="74" t="str">
        <f t="shared" si="3"/>
        <v>E1.5.1.20_km : 1</v>
      </c>
      <c r="G37" s="75" t="str">
        <f t="shared" ref="G37:H37" si="78">CONCATENATE(C37," : ",C37)</f>
        <v>E1.5.1.20_mRNA : E1.5.1.20_mRNA</v>
      </c>
      <c r="H37" s="76" t="str">
        <f t="shared" si="78"/>
        <v>E1.5.1.20 : E1.5.1.20</v>
      </c>
      <c r="I37" s="77" t="str">
        <f t="shared" ref="I37:J37" si="79">CONCATENATE(C37," : ","0")</f>
        <v>E1.5.1.20_mRNA : 0</v>
      </c>
      <c r="J37" s="78" t="str">
        <f t="shared" si="79"/>
        <v>E1.5.1.20 : 0</v>
      </c>
      <c r="K37" s="79" t="str">
        <f t="shared" si="6"/>
        <v>0.00292 - (0.0093 * E1.5.1.20_mRNA)</v>
      </c>
      <c r="L37" s="75" t="str">
        <f t="shared" si="7"/>
        <v>(0.278 * E1.5.1.20_mRNA) - (0.00000278 * E1.5.1.20)</v>
      </c>
      <c r="M37" s="80" t="str">
        <f t="shared" si="8"/>
        <v>mRNA36: -&gt; E1.5.1.20_mRNA | 0.00292 - (0.0093 * E1.5.1.20_mRNA)</v>
      </c>
      <c r="N37" s="73" t="str">
        <f t="shared" si="9"/>
        <v>Peptide36: E1.5.1.20_mRNA -&gt; E1.5.1.20 | (0.278 * E1.5.1.20_mRNA) - (0.000000278 * E1.5.1.20)</v>
      </c>
    </row>
    <row r="38" spans="1:14" ht="25">
      <c r="A38" s="70">
        <v>37</v>
      </c>
      <c r="B38" s="81" t="s">
        <v>17075</v>
      </c>
      <c r="C38" s="72" t="str">
        <f t="shared" si="0"/>
        <v>E1.5.1.3_mRNA</v>
      </c>
      <c r="D38" s="72" t="str">
        <f t="shared" si="1"/>
        <v>E1.5.1.3</v>
      </c>
      <c r="E38" s="73" t="str">
        <f t="shared" si="2"/>
        <v>E1.5.1.3_kcat : 13.7</v>
      </c>
      <c r="F38" s="74" t="str">
        <f t="shared" si="3"/>
        <v>E1.5.1.3_km : 1</v>
      </c>
      <c r="G38" s="75" t="str">
        <f t="shared" ref="G38:H38" si="80">CONCATENATE(C38," : ",C38)</f>
        <v>E1.5.1.3_mRNA : E1.5.1.3_mRNA</v>
      </c>
      <c r="H38" s="76" t="str">
        <f t="shared" si="80"/>
        <v>E1.5.1.3 : E1.5.1.3</v>
      </c>
      <c r="I38" s="77" t="str">
        <f t="shared" ref="I38:J38" si="81">CONCATENATE(C38," : ","0")</f>
        <v>E1.5.1.3_mRNA : 0</v>
      </c>
      <c r="J38" s="78" t="str">
        <f t="shared" si="81"/>
        <v>E1.5.1.3 : 0</v>
      </c>
      <c r="K38" s="79" t="str">
        <f t="shared" si="6"/>
        <v>0.00292 - (0.0093 * E1.5.1.3_mRNA)</v>
      </c>
      <c r="L38" s="75" t="str">
        <f t="shared" si="7"/>
        <v>(0.278 * E1.5.1.3_mRNA) - (0.00000278 * E1.5.1.3)</v>
      </c>
      <c r="M38" s="80" t="str">
        <f t="shared" si="8"/>
        <v>mRNA37: -&gt; E1.5.1.3_mRNA | 0.00292 - (0.0093 * E1.5.1.3_mRNA)</v>
      </c>
      <c r="N38" s="73" t="str">
        <f t="shared" si="9"/>
        <v>Peptide37: E1.5.1.3_mRNA -&gt; E1.5.1.3 | (0.278 * E1.5.1.3_mRNA) - (0.000000278 * E1.5.1.3)</v>
      </c>
    </row>
    <row r="39" spans="1:14" ht="25">
      <c r="A39" s="70">
        <v>38</v>
      </c>
      <c r="B39" s="81" t="s">
        <v>17076</v>
      </c>
      <c r="C39" s="72" t="str">
        <f t="shared" si="0"/>
        <v>E1.5.1.5_mRNA</v>
      </c>
      <c r="D39" s="72" t="str">
        <f t="shared" si="1"/>
        <v>E1.5.1.5</v>
      </c>
      <c r="E39" s="73" t="str">
        <f t="shared" si="2"/>
        <v>E1.5.1.5_kcat : 13.7</v>
      </c>
      <c r="F39" s="74" t="str">
        <f t="shared" si="3"/>
        <v>E1.5.1.5_km : 1</v>
      </c>
      <c r="G39" s="75" t="str">
        <f t="shared" ref="G39:H39" si="82">CONCATENATE(C39," : ",C39)</f>
        <v>E1.5.1.5_mRNA : E1.5.1.5_mRNA</v>
      </c>
      <c r="H39" s="76" t="str">
        <f t="shared" si="82"/>
        <v>E1.5.1.5 : E1.5.1.5</v>
      </c>
      <c r="I39" s="77" t="str">
        <f t="shared" ref="I39:J39" si="83">CONCATENATE(C39," : ","0")</f>
        <v>E1.5.1.5_mRNA : 0</v>
      </c>
      <c r="J39" s="78" t="str">
        <f t="shared" si="83"/>
        <v>E1.5.1.5 : 0</v>
      </c>
      <c r="K39" s="79" t="str">
        <f t="shared" si="6"/>
        <v>0.00292 - (0.0093 * E1.5.1.5_mRNA)</v>
      </c>
      <c r="L39" s="75" t="str">
        <f t="shared" si="7"/>
        <v>(0.278 * E1.5.1.5_mRNA) - (0.00000278 * E1.5.1.5)</v>
      </c>
      <c r="M39" s="80" t="str">
        <f t="shared" si="8"/>
        <v>mRNA38: -&gt; E1.5.1.5_mRNA | 0.00292 - (0.0093 * E1.5.1.5_mRNA)</v>
      </c>
      <c r="N39" s="73" t="str">
        <f t="shared" si="9"/>
        <v>Peptide38: E1.5.1.5_mRNA -&gt; E1.5.1.5 | (0.278 * E1.5.1.5_mRNA) - (0.000000278 * E1.5.1.5)</v>
      </c>
    </row>
    <row r="40" spans="1:14" ht="25">
      <c r="A40" s="70">
        <v>39</v>
      </c>
      <c r="B40" s="81" t="s">
        <v>17077</v>
      </c>
      <c r="C40" s="72" t="str">
        <f t="shared" si="0"/>
        <v>E1.7.1.7_mRNA</v>
      </c>
      <c r="D40" s="72" t="str">
        <f t="shared" si="1"/>
        <v>E1.7.1.7</v>
      </c>
      <c r="E40" s="73" t="str">
        <f t="shared" si="2"/>
        <v>E1.7.1.7_kcat : 13.7</v>
      </c>
      <c r="F40" s="74" t="str">
        <f t="shared" si="3"/>
        <v>E1.7.1.7_km : 1</v>
      </c>
      <c r="G40" s="75" t="str">
        <f t="shared" ref="G40:H40" si="84">CONCATENATE(C40," : ",C40)</f>
        <v>E1.7.1.7_mRNA : E1.7.1.7_mRNA</v>
      </c>
      <c r="H40" s="76" t="str">
        <f t="shared" si="84"/>
        <v>E1.7.1.7 : E1.7.1.7</v>
      </c>
      <c r="I40" s="77" t="str">
        <f t="shared" ref="I40:J40" si="85">CONCATENATE(C40," : ","0")</f>
        <v>E1.7.1.7_mRNA : 0</v>
      </c>
      <c r="J40" s="78" t="str">
        <f t="shared" si="85"/>
        <v>E1.7.1.7 : 0</v>
      </c>
      <c r="K40" s="79" t="str">
        <f t="shared" si="6"/>
        <v>0.00292 - (0.0093 * E1.7.1.7_mRNA)</v>
      </c>
      <c r="L40" s="75" t="str">
        <f t="shared" si="7"/>
        <v>(0.278 * E1.7.1.7_mRNA) - (0.00000278 * E1.7.1.7)</v>
      </c>
      <c r="M40" s="80" t="str">
        <f t="shared" si="8"/>
        <v>mRNA39: -&gt; E1.7.1.7_mRNA | 0.00292 - (0.0093 * E1.7.1.7_mRNA)</v>
      </c>
      <c r="N40" s="73" t="str">
        <f t="shared" si="9"/>
        <v>Peptide39: E1.7.1.7_mRNA -&gt; E1.7.1.7 | (0.278 * E1.7.1.7_mRNA) - (0.000000278 * E1.7.1.7)</v>
      </c>
    </row>
    <row r="41" spans="1:14" ht="25">
      <c r="A41" s="70">
        <v>40</v>
      </c>
      <c r="B41" s="71" t="s">
        <v>7946</v>
      </c>
      <c r="C41" s="72" t="str">
        <f t="shared" si="0"/>
        <v>E1.8.1.4_mRNA</v>
      </c>
      <c r="D41" s="72" t="str">
        <f t="shared" si="1"/>
        <v>E1.8.1.4</v>
      </c>
      <c r="E41" s="73" t="str">
        <f t="shared" si="2"/>
        <v>E1.8.1.4_kcat : 13.7</v>
      </c>
      <c r="F41" s="74" t="str">
        <f t="shared" si="3"/>
        <v>E1.8.1.4_km : 1</v>
      </c>
      <c r="G41" s="75" t="str">
        <f t="shared" ref="G41:H41" si="86">CONCATENATE(C41," : ",C41)</f>
        <v>E1.8.1.4_mRNA : E1.8.1.4_mRNA</v>
      </c>
      <c r="H41" s="76" t="str">
        <f t="shared" si="86"/>
        <v>E1.8.1.4 : E1.8.1.4</v>
      </c>
      <c r="I41" s="77" t="str">
        <f t="shared" ref="I41:J41" si="87">CONCATENATE(C41," : ","0")</f>
        <v>E1.8.1.4_mRNA : 0</v>
      </c>
      <c r="J41" s="78" t="str">
        <f t="shared" si="87"/>
        <v>E1.8.1.4 : 0</v>
      </c>
      <c r="K41" s="79" t="str">
        <f t="shared" si="6"/>
        <v>0.00292 - (0.0093 * E1.8.1.4_mRNA)</v>
      </c>
      <c r="L41" s="75" t="str">
        <f t="shared" si="7"/>
        <v>(0.278 * E1.8.1.4_mRNA) - (0.00000278 * E1.8.1.4)</v>
      </c>
      <c r="M41" s="80" t="str">
        <f t="shared" si="8"/>
        <v>mRNA40: -&gt; E1.8.1.4_mRNA | 0.00292 - (0.0093 * E1.8.1.4_mRNA)</v>
      </c>
      <c r="N41" s="73" t="str">
        <f t="shared" si="9"/>
        <v>Peptide40: E1.8.1.4_mRNA -&gt; E1.8.1.4 | (0.278 * E1.8.1.4_mRNA) - (0.000000278 * E1.8.1.4)</v>
      </c>
    </row>
    <row r="42" spans="1:14" ht="25">
      <c r="A42" s="70">
        <v>41</v>
      </c>
      <c r="B42" s="81" t="s">
        <v>17078</v>
      </c>
      <c r="C42" s="72" t="str">
        <f t="shared" si="0"/>
        <v>E1.8.1.9_mRNA</v>
      </c>
      <c r="D42" s="72" t="str">
        <f t="shared" si="1"/>
        <v>E1.8.1.9</v>
      </c>
      <c r="E42" s="73" t="str">
        <f t="shared" si="2"/>
        <v>E1.8.1.9_kcat : 13.7</v>
      </c>
      <c r="F42" s="74" t="str">
        <f t="shared" si="3"/>
        <v>E1.8.1.9_km : 1</v>
      </c>
      <c r="G42" s="75" t="str">
        <f t="shared" ref="G42:H42" si="88">CONCATENATE(C42," : ",C42)</f>
        <v>E1.8.1.9_mRNA : E1.8.1.9_mRNA</v>
      </c>
      <c r="H42" s="76" t="str">
        <f t="shared" si="88"/>
        <v>E1.8.1.9 : E1.8.1.9</v>
      </c>
      <c r="I42" s="77" t="str">
        <f t="shared" ref="I42:J42" si="89">CONCATENATE(C42," : ","0")</f>
        <v>E1.8.1.9_mRNA : 0</v>
      </c>
      <c r="J42" s="78" t="str">
        <f t="shared" si="89"/>
        <v>E1.8.1.9 : 0</v>
      </c>
      <c r="K42" s="79" t="str">
        <f t="shared" si="6"/>
        <v>0.00292 - (0.0093 * E1.8.1.9_mRNA)</v>
      </c>
      <c r="L42" s="75" t="str">
        <f t="shared" si="7"/>
        <v>(0.278 * E1.8.1.9_mRNA) - (0.00000278 * E1.8.1.9)</v>
      </c>
      <c r="M42" s="80" t="str">
        <f t="shared" si="8"/>
        <v>mRNA41: -&gt; E1.8.1.9_mRNA | 0.00292 - (0.0093 * E1.8.1.9_mRNA)</v>
      </c>
      <c r="N42" s="73" t="str">
        <f t="shared" si="9"/>
        <v>Peptide41: E1.8.1.9_mRNA -&gt; E1.8.1.9 | (0.278 * E1.8.1.9_mRNA) - (0.000000278 * E1.8.1.9)</v>
      </c>
    </row>
    <row r="43" spans="1:14" ht="25">
      <c r="A43" s="70">
        <v>42</v>
      </c>
      <c r="B43" s="81" t="s">
        <v>17079</v>
      </c>
      <c r="C43" s="72" t="str">
        <f t="shared" si="0"/>
        <v>E1.8.4.11_mRNA</v>
      </c>
      <c r="D43" s="72" t="str">
        <f t="shared" si="1"/>
        <v>E1.8.4.11</v>
      </c>
      <c r="E43" s="73" t="str">
        <f t="shared" si="2"/>
        <v>E1.8.4.11_kcat : 13.7</v>
      </c>
      <c r="F43" s="74" t="str">
        <f t="shared" si="3"/>
        <v>E1.8.4.11_km : 1</v>
      </c>
      <c r="G43" s="75" t="str">
        <f t="shared" ref="G43:H43" si="90">CONCATENATE(C43," : ",C43)</f>
        <v>E1.8.4.11_mRNA : E1.8.4.11_mRNA</v>
      </c>
      <c r="H43" s="76" t="str">
        <f t="shared" si="90"/>
        <v>E1.8.4.11 : E1.8.4.11</v>
      </c>
      <c r="I43" s="77" t="str">
        <f t="shared" ref="I43:J43" si="91">CONCATENATE(C43," : ","0")</f>
        <v>E1.8.4.11_mRNA : 0</v>
      </c>
      <c r="J43" s="78" t="str">
        <f t="shared" si="91"/>
        <v>E1.8.4.11 : 0</v>
      </c>
      <c r="K43" s="79" t="str">
        <f t="shared" si="6"/>
        <v>0.00292 - (0.0093 * E1.8.4.11_mRNA)</v>
      </c>
      <c r="L43" s="75" t="str">
        <f t="shared" si="7"/>
        <v>(0.278 * E1.8.4.11_mRNA) - (0.00000278 * E1.8.4.11)</v>
      </c>
      <c r="M43" s="80" t="str">
        <f t="shared" si="8"/>
        <v>mRNA42: -&gt; E1.8.4.11_mRNA | 0.00292 - (0.0093 * E1.8.4.11_mRNA)</v>
      </c>
      <c r="N43" s="73" t="str">
        <f t="shared" si="9"/>
        <v>Peptide42: E1.8.4.11_mRNA -&gt; E1.8.4.11 | (0.278 * E1.8.4.11_mRNA) - (0.000000278 * E1.8.4.11)</v>
      </c>
    </row>
    <row r="44" spans="1:14" ht="25">
      <c r="A44" s="70">
        <v>43</v>
      </c>
      <c r="B44" s="81" t="s">
        <v>17080</v>
      </c>
      <c r="C44" s="72" t="str">
        <f t="shared" si="0"/>
        <v>E1.8.4.12_mRNA</v>
      </c>
      <c r="D44" s="72" t="str">
        <f t="shared" si="1"/>
        <v>E1.8.4.12</v>
      </c>
      <c r="E44" s="73" t="str">
        <f t="shared" si="2"/>
        <v>E1.8.4.12_kcat : 13.7</v>
      </c>
      <c r="F44" s="74" t="str">
        <f t="shared" si="3"/>
        <v>E1.8.4.12_km : 1</v>
      </c>
      <c r="G44" s="75" t="str">
        <f t="shared" ref="G44:H44" si="92">CONCATENATE(C44," : ",C44)</f>
        <v>E1.8.4.12_mRNA : E1.8.4.12_mRNA</v>
      </c>
      <c r="H44" s="76" t="str">
        <f t="shared" si="92"/>
        <v>E1.8.4.12 : E1.8.4.12</v>
      </c>
      <c r="I44" s="77" t="str">
        <f t="shared" ref="I44:J44" si="93">CONCATENATE(C44," : ","0")</f>
        <v>E1.8.4.12_mRNA : 0</v>
      </c>
      <c r="J44" s="78" t="str">
        <f t="shared" si="93"/>
        <v>E1.8.4.12 : 0</v>
      </c>
      <c r="K44" s="79" t="str">
        <f t="shared" si="6"/>
        <v>0.00292 - (0.0093 * E1.8.4.12_mRNA)</v>
      </c>
      <c r="L44" s="75" t="str">
        <f t="shared" si="7"/>
        <v>(0.278 * E1.8.4.12_mRNA) - (0.00000278 * E1.8.4.12)</v>
      </c>
      <c r="M44" s="80" t="str">
        <f t="shared" si="8"/>
        <v>mRNA43: -&gt; E1.8.4.12_mRNA | 0.00292 - (0.0093 * E1.8.4.12_mRNA)</v>
      </c>
      <c r="N44" s="73" t="str">
        <f t="shared" si="9"/>
        <v>Peptide43: E1.8.4.12_mRNA -&gt; E1.8.4.12 | (0.278 * E1.8.4.12_mRNA) - (0.000000278 * E1.8.4.12)</v>
      </c>
    </row>
    <row r="45" spans="1:14" ht="25">
      <c r="A45" s="70">
        <v>44</v>
      </c>
      <c r="B45" s="81" t="s">
        <v>17081</v>
      </c>
      <c r="C45" s="72" t="str">
        <f t="shared" si="0"/>
        <v>E1.97.1.4_mRNA</v>
      </c>
      <c r="D45" s="72" t="str">
        <f t="shared" si="1"/>
        <v>E1.97.1.4</v>
      </c>
      <c r="E45" s="73" t="str">
        <f t="shared" si="2"/>
        <v>E1.97.1.4_kcat : 13.7</v>
      </c>
      <c r="F45" s="74" t="str">
        <f t="shared" si="3"/>
        <v>E1.97.1.4_km : 1</v>
      </c>
      <c r="G45" s="75" t="str">
        <f t="shared" ref="G45:H45" si="94">CONCATENATE(C45," : ",C45)</f>
        <v>E1.97.1.4_mRNA : E1.97.1.4_mRNA</v>
      </c>
      <c r="H45" s="76" t="str">
        <f t="shared" si="94"/>
        <v>E1.97.1.4 : E1.97.1.4</v>
      </c>
      <c r="I45" s="77" t="str">
        <f t="shared" ref="I45:J45" si="95">CONCATENATE(C45," : ","0")</f>
        <v>E1.97.1.4_mRNA : 0</v>
      </c>
      <c r="J45" s="78" t="str">
        <f t="shared" si="95"/>
        <v>E1.97.1.4 : 0</v>
      </c>
      <c r="K45" s="79" t="str">
        <f t="shared" si="6"/>
        <v>0.00292 - (0.0093 * E1.97.1.4_mRNA)</v>
      </c>
      <c r="L45" s="75" t="str">
        <f t="shared" si="7"/>
        <v>(0.278 * E1.97.1.4_mRNA) - (0.00000278 * E1.97.1.4)</v>
      </c>
      <c r="M45" s="80" t="str">
        <f t="shared" si="8"/>
        <v>mRNA44: -&gt; E1.97.1.4_mRNA | 0.00292 - (0.0093 * E1.97.1.4_mRNA)</v>
      </c>
      <c r="N45" s="73" t="str">
        <f t="shared" si="9"/>
        <v>Peptide44: E1.97.1.4_mRNA -&gt; E1.97.1.4 | (0.278 * E1.97.1.4_mRNA) - (0.000000278 * E1.97.1.4)</v>
      </c>
    </row>
    <row r="46" spans="1:14" ht="25">
      <c r="A46" s="70">
        <v>45</v>
      </c>
      <c r="B46" s="81" t="s">
        <v>17082</v>
      </c>
      <c r="C46" s="72" t="str">
        <f t="shared" si="0"/>
        <v>E2.1.1.14_mRNA</v>
      </c>
      <c r="D46" s="72" t="str">
        <f t="shared" si="1"/>
        <v>E2.1.1.14</v>
      </c>
      <c r="E46" s="73" t="str">
        <f t="shared" si="2"/>
        <v>E2.1.1.14_kcat : 13.7</v>
      </c>
      <c r="F46" s="74" t="str">
        <f t="shared" si="3"/>
        <v>E2.1.1.14_km : 1</v>
      </c>
      <c r="G46" s="75" t="str">
        <f t="shared" ref="G46:H46" si="96">CONCATENATE(C46," : ",C46)</f>
        <v>E2.1.1.14_mRNA : E2.1.1.14_mRNA</v>
      </c>
      <c r="H46" s="76" t="str">
        <f t="shared" si="96"/>
        <v>E2.1.1.14 : E2.1.1.14</v>
      </c>
      <c r="I46" s="77" t="str">
        <f t="shared" ref="I46:J46" si="97">CONCATENATE(C46," : ","0")</f>
        <v>E2.1.1.14_mRNA : 0</v>
      </c>
      <c r="J46" s="78" t="str">
        <f t="shared" si="97"/>
        <v>E2.1.1.14 : 0</v>
      </c>
      <c r="K46" s="79" t="str">
        <f t="shared" si="6"/>
        <v>0.00292 - (0.0093 * E2.1.1.14_mRNA)</v>
      </c>
      <c r="L46" s="75" t="str">
        <f t="shared" si="7"/>
        <v>(0.278 * E2.1.1.14_mRNA) - (0.00000278 * E2.1.1.14)</v>
      </c>
      <c r="M46" s="80" t="str">
        <f t="shared" si="8"/>
        <v>mRNA45: -&gt; E2.1.1.14_mRNA | 0.00292 - (0.0093 * E2.1.1.14_mRNA)</v>
      </c>
      <c r="N46" s="73" t="str">
        <f t="shared" si="9"/>
        <v>Peptide45: E2.1.1.14_mRNA -&gt; E2.1.1.14 | (0.278 * E2.1.1.14_mRNA) - (0.000000278 * E2.1.1.14)</v>
      </c>
    </row>
    <row r="47" spans="1:14" ht="25">
      <c r="A47" s="70">
        <v>46</v>
      </c>
      <c r="B47" s="81" t="s">
        <v>17083</v>
      </c>
      <c r="C47" s="72" t="str">
        <f t="shared" si="0"/>
        <v>E2.1.1.170_mRNA</v>
      </c>
      <c r="D47" s="72" t="str">
        <f t="shared" si="1"/>
        <v>E2.1.1.170</v>
      </c>
      <c r="E47" s="73" t="str">
        <f t="shared" si="2"/>
        <v>E2.1.1.170_kcat : 13.7</v>
      </c>
      <c r="F47" s="74" t="str">
        <f t="shared" si="3"/>
        <v>E2.1.1.170_km : 1</v>
      </c>
      <c r="G47" s="75" t="str">
        <f t="shared" ref="G47:H47" si="98">CONCATENATE(C47," : ",C47)</f>
        <v>E2.1.1.170_mRNA : E2.1.1.170_mRNA</v>
      </c>
      <c r="H47" s="76" t="str">
        <f t="shared" si="98"/>
        <v>E2.1.1.170 : E2.1.1.170</v>
      </c>
      <c r="I47" s="77" t="str">
        <f t="shared" ref="I47:J47" si="99">CONCATENATE(C47," : ","0")</f>
        <v>E2.1.1.170_mRNA : 0</v>
      </c>
      <c r="J47" s="78" t="str">
        <f t="shared" si="99"/>
        <v>E2.1.1.170 : 0</v>
      </c>
      <c r="K47" s="79" t="str">
        <f t="shared" si="6"/>
        <v>0.00292 - (0.0093 * E2.1.1.170_mRNA)</v>
      </c>
      <c r="L47" s="75" t="str">
        <f t="shared" si="7"/>
        <v>(0.278 * E2.1.1.170_mRNA) - (0.00000278 * E2.1.1.170)</v>
      </c>
      <c r="M47" s="80" t="str">
        <f t="shared" si="8"/>
        <v>mRNA46: -&gt; E2.1.1.170_mRNA | 0.00292 - (0.0093 * E2.1.1.170_mRNA)</v>
      </c>
      <c r="N47" s="73" t="str">
        <f t="shared" si="9"/>
        <v>Peptide46: E2.1.1.170_mRNA -&gt; E2.1.1.170 | (0.278 * E2.1.1.170_mRNA) - (0.000000278 * E2.1.1.170)</v>
      </c>
    </row>
    <row r="48" spans="1:14" ht="25">
      <c r="A48" s="70">
        <v>47</v>
      </c>
      <c r="B48" s="81" t="s">
        <v>17084</v>
      </c>
      <c r="C48" s="72" t="str">
        <f t="shared" si="0"/>
        <v>E2.1.1.171_mRNA</v>
      </c>
      <c r="D48" s="72" t="str">
        <f t="shared" si="1"/>
        <v>E2.1.1.171</v>
      </c>
      <c r="E48" s="73" t="str">
        <f t="shared" si="2"/>
        <v>E2.1.1.171_kcat : 13.7</v>
      </c>
      <c r="F48" s="74" t="str">
        <f t="shared" si="3"/>
        <v>E2.1.1.171_km : 1</v>
      </c>
      <c r="G48" s="75" t="str">
        <f t="shared" ref="G48:H48" si="100">CONCATENATE(C48," : ",C48)</f>
        <v>E2.1.1.171_mRNA : E2.1.1.171_mRNA</v>
      </c>
      <c r="H48" s="76" t="str">
        <f t="shared" si="100"/>
        <v>E2.1.1.171 : E2.1.1.171</v>
      </c>
      <c r="I48" s="77" t="str">
        <f t="shared" ref="I48:J48" si="101">CONCATENATE(C48," : ","0")</f>
        <v>E2.1.1.171_mRNA : 0</v>
      </c>
      <c r="J48" s="78" t="str">
        <f t="shared" si="101"/>
        <v>E2.1.1.171 : 0</v>
      </c>
      <c r="K48" s="79" t="str">
        <f t="shared" si="6"/>
        <v>0.00292 - (0.0093 * E2.1.1.171_mRNA)</v>
      </c>
      <c r="L48" s="75" t="str">
        <f t="shared" si="7"/>
        <v>(0.278 * E2.1.1.171_mRNA) - (0.00000278 * E2.1.1.171)</v>
      </c>
      <c r="M48" s="80" t="str">
        <f t="shared" si="8"/>
        <v>mRNA47: -&gt; E2.1.1.171_mRNA | 0.00292 - (0.0093 * E2.1.1.171_mRNA)</v>
      </c>
      <c r="N48" s="73" t="str">
        <f t="shared" si="9"/>
        <v>Peptide47: E2.1.1.171_mRNA -&gt; E2.1.1.171 | (0.278 * E2.1.1.171_mRNA) - (0.000000278 * E2.1.1.171)</v>
      </c>
    </row>
    <row r="49" spans="1:14" ht="25">
      <c r="A49" s="70">
        <v>48</v>
      </c>
      <c r="B49" s="81" t="s">
        <v>17085</v>
      </c>
      <c r="C49" s="72" t="str">
        <f t="shared" si="0"/>
        <v>E2.1.1.172_mRNA</v>
      </c>
      <c r="D49" s="72" t="str">
        <f t="shared" si="1"/>
        <v>E2.1.1.172</v>
      </c>
      <c r="E49" s="73" t="str">
        <f t="shared" si="2"/>
        <v>E2.1.1.172_kcat : 13.7</v>
      </c>
      <c r="F49" s="74" t="str">
        <f t="shared" si="3"/>
        <v>E2.1.1.172_km : 1</v>
      </c>
      <c r="G49" s="75" t="str">
        <f t="shared" ref="G49:H49" si="102">CONCATENATE(C49," : ",C49)</f>
        <v>E2.1.1.172_mRNA : E2.1.1.172_mRNA</v>
      </c>
      <c r="H49" s="76" t="str">
        <f t="shared" si="102"/>
        <v>E2.1.1.172 : E2.1.1.172</v>
      </c>
      <c r="I49" s="77" t="str">
        <f t="shared" ref="I49:J49" si="103">CONCATENATE(C49," : ","0")</f>
        <v>E2.1.1.172_mRNA : 0</v>
      </c>
      <c r="J49" s="78" t="str">
        <f t="shared" si="103"/>
        <v>E2.1.1.172 : 0</v>
      </c>
      <c r="K49" s="79" t="str">
        <f t="shared" si="6"/>
        <v>0.00292 - (0.0093 * E2.1.1.172_mRNA)</v>
      </c>
      <c r="L49" s="75" t="str">
        <f t="shared" si="7"/>
        <v>(0.278 * E2.1.1.172_mRNA) - (0.00000278 * E2.1.1.172)</v>
      </c>
      <c r="M49" s="80" t="str">
        <f t="shared" si="8"/>
        <v>mRNA48: -&gt; E2.1.1.172_mRNA | 0.00292 - (0.0093 * E2.1.1.172_mRNA)</v>
      </c>
      <c r="N49" s="73" t="str">
        <f t="shared" si="9"/>
        <v>Peptide48: E2.1.1.172_mRNA -&gt; E2.1.1.172 | (0.278 * E2.1.1.172_mRNA) - (0.000000278 * E2.1.1.172)</v>
      </c>
    </row>
    <row r="50" spans="1:14" ht="25">
      <c r="A50" s="70">
        <v>49</v>
      </c>
      <c r="B50" s="82" t="s">
        <v>7970</v>
      </c>
      <c r="C50" s="72" t="str">
        <f t="shared" si="0"/>
        <v>E2.1.1.174_mRNA</v>
      </c>
      <c r="D50" s="72" t="str">
        <f t="shared" si="1"/>
        <v>E2.1.1.174</v>
      </c>
      <c r="E50" s="73" t="str">
        <f t="shared" si="2"/>
        <v>E2.1.1.174_kcat : 13.7</v>
      </c>
      <c r="F50" s="74" t="str">
        <f t="shared" si="3"/>
        <v>E2.1.1.174_km : 1</v>
      </c>
      <c r="G50" s="75" t="str">
        <f t="shared" ref="G50:H50" si="104">CONCATENATE(C50," : ",C50)</f>
        <v>E2.1.1.174_mRNA : E2.1.1.174_mRNA</v>
      </c>
      <c r="H50" s="76" t="str">
        <f t="shared" si="104"/>
        <v>E2.1.1.174 : E2.1.1.174</v>
      </c>
      <c r="I50" s="77" t="str">
        <f t="shared" ref="I50:J50" si="105">CONCATENATE(C50," : ","0")</f>
        <v>E2.1.1.174_mRNA : 0</v>
      </c>
      <c r="J50" s="78" t="str">
        <f t="shared" si="105"/>
        <v>E2.1.1.174 : 0</v>
      </c>
      <c r="K50" s="79" t="str">
        <f t="shared" si="6"/>
        <v>0.00292 - (0.0093 * E2.1.1.174_mRNA)</v>
      </c>
      <c r="L50" s="75" t="str">
        <f t="shared" si="7"/>
        <v>(0.278 * E2.1.1.174_mRNA) - (0.00000278 * E2.1.1.174)</v>
      </c>
      <c r="M50" s="80" t="str">
        <f t="shared" si="8"/>
        <v>mRNA49: -&gt; E2.1.1.174_mRNA | 0.00292 - (0.0093 * E2.1.1.174_mRNA)</v>
      </c>
      <c r="N50" s="73" t="str">
        <f t="shared" si="9"/>
        <v>Peptide49: E2.1.1.174_mRNA -&gt; E2.1.1.174 | (0.278 * E2.1.1.174_mRNA) - (0.000000278 * E2.1.1.174)</v>
      </c>
    </row>
    <row r="51" spans="1:14" ht="25">
      <c r="A51" s="70">
        <v>50</v>
      </c>
      <c r="B51" s="81" t="s">
        <v>17086</v>
      </c>
      <c r="C51" s="72" t="str">
        <f t="shared" si="0"/>
        <v>E2.1.1.176_mRNA</v>
      </c>
      <c r="D51" s="72" t="str">
        <f t="shared" si="1"/>
        <v>E2.1.1.176</v>
      </c>
      <c r="E51" s="73" t="str">
        <f t="shared" si="2"/>
        <v>E2.1.1.176_kcat : 13.7</v>
      </c>
      <c r="F51" s="74" t="str">
        <f t="shared" si="3"/>
        <v>E2.1.1.176_km : 1</v>
      </c>
      <c r="G51" s="75" t="str">
        <f t="shared" ref="G51:H51" si="106">CONCATENATE(C51," : ",C51)</f>
        <v>E2.1.1.176_mRNA : E2.1.1.176_mRNA</v>
      </c>
      <c r="H51" s="76" t="str">
        <f t="shared" si="106"/>
        <v>E2.1.1.176 : E2.1.1.176</v>
      </c>
      <c r="I51" s="77" t="str">
        <f t="shared" ref="I51:J51" si="107">CONCATENATE(C51," : ","0")</f>
        <v>E2.1.1.176_mRNA : 0</v>
      </c>
      <c r="J51" s="78" t="str">
        <f t="shared" si="107"/>
        <v>E2.1.1.176 : 0</v>
      </c>
      <c r="K51" s="79" t="str">
        <f t="shared" si="6"/>
        <v>0.00292 - (0.0093 * E2.1.1.176_mRNA)</v>
      </c>
      <c r="L51" s="75" t="str">
        <f t="shared" si="7"/>
        <v>(0.278 * E2.1.1.176_mRNA) - (0.00000278 * E2.1.1.176)</v>
      </c>
      <c r="M51" s="80" t="str">
        <f t="shared" si="8"/>
        <v>mRNA50: -&gt; E2.1.1.176_mRNA | 0.00292 - (0.0093 * E2.1.1.176_mRNA)</v>
      </c>
      <c r="N51" s="73" t="str">
        <f t="shared" si="9"/>
        <v>Peptide50: E2.1.1.176_mRNA -&gt; E2.1.1.176 | (0.278 * E2.1.1.176_mRNA) - (0.000000278 * E2.1.1.176)</v>
      </c>
    </row>
    <row r="52" spans="1:14" ht="25">
      <c r="A52" s="70">
        <v>51</v>
      </c>
      <c r="B52" s="81" t="s">
        <v>17087</v>
      </c>
      <c r="C52" s="72" t="str">
        <f t="shared" si="0"/>
        <v>E2.1.1.177_mRNA</v>
      </c>
      <c r="D52" s="72" t="str">
        <f t="shared" si="1"/>
        <v>E2.1.1.177</v>
      </c>
      <c r="E52" s="73" t="str">
        <f t="shared" si="2"/>
        <v>E2.1.1.177_kcat : 13.7</v>
      </c>
      <c r="F52" s="74" t="str">
        <f t="shared" si="3"/>
        <v>E2.1.1.177_km : 1</v>
      </c>
      <c r="G52" s="75" t="str">
        <f t="shared" ref="G52:H52" si="108">CONCATENATE(C52," : ",C52)</f>
        <v>E2.1.1.177_mRNA : E2.1.1.177_mRNA</v>
      </c>
      <c r="H52" s="76" t="str">
        <f t="shared" si="108"/>
        <v>E2.1.1.177 : E2.1.1.177</v>
      </c>
      <c r="I52" s="77" t="str">
        <f t="shared" ref="I52:J52" si="109">CONCATENATE(C52," : ","0")</f>
        <v>E2.1.1.177_mRNA : 0</v>
      </c>
      <c r="J52" s="78" t="str">
        <f t="shared" si="109"/>
        <v>E2.1.1.177 : 0</v>
      </c>
      <c r="K52" s="79" t="str">
        <f t="shared" si="6"/>
        <v>0.00292 - (0.0093 * E2.1.1.177_mRNA)</v>
      </c>
      <c r="L52" s="75" t="str">
        <f t="shared" si="7"/>
        <v>(0.278 * E2.1.1.177_mRNA) - (0.00000278 * E2.1.1.177)</v>
      </c>
      <c r="M52" s="80" t="str">
        <f t="shared" si="8"/>
        <v>mRNA51: -&gt; E2.1.1.177_mRNA | 0.00292 - (0.0093 * E2.1.1.177_mRNA)</v>
      </c>
      <c r="N52" s="73" t="str">
        <f t="shared" si="9"/>
        <v>Peptide51: E2.1.1.177_mRNA -&gt; E2.1.1.177 | (0.278 * E2.1.1.177_mRNA) - (0.000000278 * E2.1.1.177)</v>
      </c>
    </row>
    <row r="53" spans="1:14" ht="25">
      <c r="A53" s="70">
        <v>52</v>
      </c>
      <c r="B53" s="81" t="s">
        <v>17088</v>
      </c>
      <c r="C53" s="72" t="str">
        <f t="shared" si="0"/>
        <v>E2.1.1.182_mRNA</v>
      </c>
      <c r="D53" s="72" t="str">
        <f t="shared" si="1"/>
        <v>E2.1.1.182</v>
      </c>
      <c r="E53" s="73" t="str">
        <f t="shared" si="2"/>
        <v>E2.1.1.182_kcat : 13.7</v>
      </c>
      <c r="F53" s="74" t="str">
        <f t="shared" si="3"/>
        <v>E2.1.1.182_km : 1</v>
      </c>
      <c r="G53" s="75" t="str">
        <f t="shared" ref="G53:H53" si="110">CONCATENATE(C53," : ",C53)</f>
        <v>E2.1.1.182_mRNA : E2.1.1.182_mRNA</v>
      </c>
      <c r="H53" s="76" t="str">
        <f t="shared" si="110"/>
        <v>E2.1.1.182 : E2.1.1.182</v>
      </c>
      <c r="I53" s="77" t="str">
        <f t="shared" ref="I53:J53" si="111">CONCATENATE(C53," : ","0")</f>
        <v>E2.1.1.182_mRNA : 0</v>
      </c>
      <c r="J53" s="78" t="str">
        <f t="shared" si="111"/>
        <v>E2.1.1.182 : 0</v>
      </c>
      <c r="K53" s="79" t="str">
        <f t="shared" si="6"/>
        <v>0.00292 - (0.0093 * E2.1.1.182_mRNA)</v>
      </c>
      <c r="L53" s="75" t="str">
        <f t="shared" si="7"/>
        <v>(0.278 * E2.1.1.182_mRNA) - (0.00000278 * E2.1.1.182)</v>
      </c>
      <c r="M53" s="80" t="str">
        <f t="shared" si="8"/>
        <v>mRNA52: -&gt; E2.1.1.182_mRNA | 0.00292 - (0.0093 * E2.1.1.182_mRNA)</v>
      </c>
      <c r="N53" s="73" t="str">
        <f t="shared" si="9"/>
        <v>Peptide52: E2.1.1.182_mRNA -&gt; E2.1.1.182 | (0.278 * E2.1.1.182_mRNA) - (0.000000278 * E2.1.1.182)</v>
      </c>
    </row>
    <row r="54" spans="1:14" ht="25">
      <c r="A54" s="70">
        <v>53</v>
      </c>
      <c r="B54" s="81" t="s">
        <v>17089</v>
      </c>
      <c r="C54" s="72" t="str">
        <f t="shared" si="0"/>
        <v>E2.1.1.190_mRNA</v>
      </c>
      <c r="D54" s="72" t="str">
        <f t="shared" si="1"/>
        <v>E2.1.1.190</v>
      </c>
      <c r="E54" s="73" t="str">
        <f t="shared" si="2"/>
        <v>E2.1.1.190_kcat : 13.7</v>
      </c>
      <c r="F54" s="74" t="str">
        <f t="shared" si="3"/>
        <v>E2.1.1.190_km : 1</v>
      </c>
      <c r="G54" s="75" t="str">
        <f t="shared" ref="G54:H54" si="112">CONCATENATE(C54," : ",C54)</f>
        <v>E2.1.1.190_mRNA : E2.1.1.190_mRNA</v>
      </c>
      <c r="H54" s="76" t="str">
        <f t="shared" si="112"/>
        <v>E2.1.1.190 : E2.1.1.190</v>
      </c>
      <c r="I54" s="77" t="str">
        <f t="shared" ref="I54:J54" si="113">CONCATENATE(C54," : ","0")</f>
        <v>E2.1.1.190_mRNA : 0</v>
      </c>
      <c r="J54" s="78" t="str">
        <f t="shared" si="113"/>
        <v>E2.1.1.190 : 0</v>
      </c>
      <c r="K54" s="79" t="str">
        <f t="shared" si="6"/>
        <v>0.00292 - (0.0093 * E2.1.1.190_mRNA)</v>
      </c>
      <c r="L54" s="75" t="str">
        <f t="shared" si="7"/>
        <v>(0.278 * E2.1.1.190_mRNA) - (0.00000278 * E2.1.1.190)</v>
      </c>
      <c r="M54" s="80" t="str">
        <f t="shared" si="8"/>
        <v>mRNA53: -&gt; E2.1.1.190_mRNA | 0.00292 - (0.0093 * E2.1.1.190_mRNA)</v>
      </c>
      <c r="N54" s="73" t="str">
        <f t="shared" si="9"/>
        <v>Peptide53: E2.1.1.190_mRNA -&gt; E2.1.1.190 | (0.278 * E2.1.1.190_mRNA) - (0.000000278 * E2.1.1.190)</v>
      </c>
    </row>
    <row r="55" spans="1:14" ht="25">
      <c r="A55" s="70">
        <v>54</v>
      </c>
      <c r="B55" s="81" t="s">
        <v>17090</v>
      </c>
      <c r="C55" s="72" t="str">
        <f t="shared" si="0"/>
        <v>E2.1.1.198_mRNA</v>
      </c>
      <c r="D55" s="72" t="str">
        <f t="shared" si="1"/>
        <v>E2.1.1.198</v>
      </c>
      <c r="E55" s="73" t="str">
        <f t="shared" si="2"/>
        <v>E2.1.1.198_kcat : 13.7</v>
      </c>
      <c r="F55" s="74" t="str">
        <f t="shared" si="3"/>
        <v>E2.1.1.198_km : 1</v>
      </c>
      <c r="G55" s="75" t="str">
        <f t="shared" ref="G55:H55" si="114">CONCATENATE(C55," : ",C55)</f>
        <v>E2.1.1.198_mRNA : E2.1.1.198_mRNA</v>
      </c>
      <c r="H55" s="76" t="str">
        <f t="shared" si="114"/>
        <v>E2.1.1.198 : E2.1.1.198</v>
      </c>
      <c r="I55" s="77" t="str">
        <f t="shared" ref="I55:J55" si="115">CONCATENATE(C55," : ","0")</f>
        <v>E2.1.1.198_mRNA : 0</v>
      </c>
      <c r="J55" s="78" t="str">
        <f t="shared" si="115"/>
        <v>E2.1.1.198 : 0</v>
      </c>
      <c r="K55" s="79" t="str">
        <f t="shared" si="6"/>
        <v>0.00292 - (0.0093 * E2.1.1.198_mRNA)</v>
      </c>
      <c r="L55" s="75" t="str">
        <f t="shared" si="7"/>
        <v>(0.278 * E2.1.1.198_mRNA) - (0.00000278 * E2.1.1.198)</v>
      </c>
      <c r="M55" s="80" t="str">
        <f t="shared" si="8"/>
        <v>mRNA54: -&gt; E2.1.1.198_mRNA | 0.00292 - (0.0093 * E2.1.1.198_mRNA)</v>
      </c>
      <c r="N55" s="73" t="str">
        <f t="shared" si="9"/>
        <v>Peptide54: E2.1.1.198_mRNA -&gt; E2.1.1.198 | (0.278 * E2.1.1.198_mRNA) - (0.000000278 * E2.1.1.198)</v>
      </c>
    </row>
    <row r="56" spans="1:14" ht="25">
      <c r="A56" s="70">
        <v>55</v>
      </c>
      <c r="B56" s="81" t="s">
        <v>17091</v>
      </c>
      <c r="C56" s="72" t="str">
        <f t="shared" si="0"/>
        <v>E2.1.1.199_mRNA</v>
      </c>
      <c r="D56" s="72" t="str">
        <f t="shared" si="1"/>
        <v>E2.1.1.199</v>
      </c>
      <c r="E56" s="73" t="str">
        <f t="shared" si="2"/>
        <v>E2.1.1.199_kcat : 13.7</v>
      </c>
      <c r="F56" s="74" t="str">
        <f t="shared" si="3"/>
        <v>E2.1.1.199_km : 1</v>
      </c>
      <c r="G56" s="75" t="str">
        <f t="shared" ref="G56:H56" si="116">CONCATENATE(C56," : ",C56)</f>
        <v>E2.1.1.199_mRNA : E2.1.1.199_mRNA</v>
      </c>
      <c r="H56" s="76" t="str">
        <f t="shared" si="116"/>
        <v>E2.1.1.199 : E2.1.1.199</v>
      </c>
      <c r="I56" s="77" t="str">
        <f t="shared" ref="I56:J56" si="117">CONCATENATE(C56," : ","0")</f>
        <v>E2.1.1.199_mRNA : 0</v>
      </c>
      <c r="J56" s="78" t="str">
        <f t="shared" si="117"/>
        <v>E2.1.1.199 : 0</v>
      </c>
      <c r="K56" s="79" t="str">
        <f t="shared" si="6"/>
        <v>0.00292 - (0.0093 * E2.1.1.199_mRNA)</v>
      </c>
      <c r="L56" s="75" t="str">
        <f t="shared" si="7"/>
        <v>(0.278 * E2.1.1.199_mRNA) - (0.00000278 * E2.1.1.199)</v>
      </c>
      <c r="M56" s="80" t="str">
        <f t="shared" si="8"/>
        <v>mRNA55: -&gt; E2.1.1.199_mRNA | 0.00292 - (0.0093 * E2.1.1.199_mRNA)</v>
      </c>
      <c r="N56" s="73" t="str">
        <f t="shared" si="9"/>
        <v>Peptide55: E2.1.1.199_mRNA -&gt; E2.1.1.199 | (0.278 * E2.1.1.199_mRNA) - (0.000000278 * E2.1.1.199)</v>
      </c>
    </row>
    <row r="57" spans="1:14" ht="25">
      <c r="A57" s="70">
        <v>56</v>
      </c>
      <c r="B57" s="81" t="s">
        <v>17092</v>
      </c>
      <c r="C57" s="72" t="str">
        <f t="shared" si="0"/>
        <v>E2.1.1.207_mRNA</v>
      </c>
      <c r="D57" s="72" t="str">
        <f t="shared" si="1"/>
        <v>E2.1.1.207</v>
      </c>
      <c r="E57" s="73" t="str">
        <f t="shared" si="2"/>
        <v>E2.1.1.207_kcat : 13.7</v>
      </c>
      <c r="F57" s="74" t="str">
        <f t="shared" si="3"/>
        <v>E2.1.1.207_km : 1</v>
      </c>
      <c r="G57" s="75" t="str">
        <f t="shared" ref="G57:H57" si="118">CONCATENATE(C57," : ",C57)</f>
        <v>E2.1.1.207_mRNA : E2.1.1.207_mRNA</v>
      </c>
      <c r="H57" s="76" t="str">
        <f t="shared" si="118"/>
        <v>E2.1.1.207 : E2.1.1.207</v>
      </c>
      <c r="I57" s="77" t="str">
        <f t="shared" ref="I57:J57" si="119">CONCATENATE(C57," : ","0")</f>
        <v>E2.1.1.207_mRNA : 0</v>
      </c>
      <c r="J57" s="78" t="str">
        <f t="shared" si="119"/>
        <v>E2.1.1.207 : 0</v>
      </c>
      <c r="K57" s="79" t="str">
        <f t="shared" si="6"/>
        <v>0.00292 - (0.0093 * E2.1.1.207_mRNA)</v>
      </c>
      <c r="L57" s="75" t="str">
        <f t="shared" si="7"/>
        <v>(0.278 * E2.1.1.207_mRNA) - (0.00000278 * E2.1.1.207)</v>
      </c>
      <c r="M57" s="80" t="str">
        <f t="shared" si="8"/>
        <v>mRNA56: -&gt; E2.1.1.207_mRNA | 0.00292 - (0.0093 * E2.1.1.207_mRNA)</v>
      </c>
      <c r="N57" s="73" t="str">
        <f t="shared" si="9"/>
        <v>Peptide56: E2.1.1.207_mRNA -&gt; E2.1.1.207 | (0.278 * E2.1.1.207_mRNA) - (0.000000278 * E2.1.1.207)</v>
      </c>
    </row>
    <row r="58" spans="1:14" ht="25">
      <c r="A58" s="70">
        <v>57</v>
      </c>
      <c r="B58" s="81" t="s">
        <v>17093</v>
      </c>
      <c r="C58" s="72" t="str">
        <f t="shared" si="0"/>
        <v>E2.1.1.222_mRNA</v>
      </c>
      <c r="D58" s="72" t="str">
        <f t="shared" si="1"/>
        <v>E2.1.1.222</v>
      </c>
      <c r="E58" s="73" t="str">
        <f t="shared" si="2"/>
        <v>E2.1.1.222_kcat : 13.7</v>
      </c>
      <c r="F58" s="74" t="str">
        <f t="shared" si="3"/>
        <v>E2.1.1.222_km : 1</v>
      </c>
      <c r="G58" s="75" t="str">
        <f t="shared" ref="G58:H58" si="120">CONCATENATE(C58," : ",C58)</f>
        <v>E2.1.1.222_mRNA : E2.1.1.222_mRNA</v>
      </c>
      <c r="H58" s="76" t="str">
        <f t="shared" si="120"/>
        <v>E2.1.1.222 : E2.1.1.222</v>
      </c>
      <c r="I58" s="77" t="str">
        <f t="shared" ref="I58:J58" si="121">CONCATENATE(C58," : ","0")</f>
        <v>E2.1.1.222_mRNA : 0</v>
      </c>
      <c r="J58" s="78" t="str">
        <f t="shared" si="121"/>
        <v>E2.1.1.222 : 0</v>
      </c>
      <c r="K58" s="79" t="str">
        <f t="shared" si="6"/>
        <v>0.00292 - (0.0093 * E2.1.1.222_mRNA)</v>
      </c>
      <c r="L58" s="75" t="str">
        <f t="shared" si="7"/>
        <v>(0.278 * E2.1.1.222_mRNA) - (0.00000278 * E2.1.1.222)</v>
      </c>
      <c r="M58" s="80" t="str">
        <f t="shared" si="8"/>
        <v>mRNA57: -&gt; E2.1.1.222_mRNA | 0.00292 - (0.0093 * E2.1.1.222_mRNA)</v>
      </c>
      <c r="N58" s="73" t="str">
        <f t="shared" si="9"/>
        <v>Peptide57: E2.1.1.222_mRNA -&gt; E2.1.1.222 | (0.278 * E2.1.1.222_mRNA) - (0.000000278 * E2.1.1.222)</v>
      </c>
    </row>
    <row r="59" spans="1:14" ht="25">
      <c r="A59" s="70">
        <v>58</v>
      </c>
      <c r="B59" s="81" t="s">
        <v>17094</v>
      </c>
      <c r="C59" s="72" t="str">
        <f t="shared" si="0"/>
        <v>E2.1.1.223_mRNA</v>
      </c>
      <c r="D59" s="72" t="str">
        <f t="shared" si="1"/>
        <v>E2.1.1.223</v>
      </c>
      <c r="E59" s="73" t="str">
        <f t="shared" si="2"/>
        <v>E2.1.1.223_kcat : 13.7</v>
      </c>
      <c r="F59" s="74" t="str">
        <f t="shared" si="3"/>
        <v>E2.1.1.223_km : 1</v>
      </c>
      <c r="G59" s="75" t="str">
        <f t="shared" ref="G59:H59" si="122">CONCATENATE(C59," : ",C59)</f>
        <v>E2.1.1.223_mRNA : E2.1.1.223_mRNA</v>
      </c>
      <c r="H59" s="76" t="str">
        <f t="shared" si="122"/>
        <v>E2.1.1.223 : E2.1.1.223</v>
      </c>
      <c r="I59" s="77" t="str">
        <f t="shared" ref="I59:J59" si="123">CONCATENATE(C59," : ","0")</f>
        <v>E2.1.1.223_mRNA : 0</v>
      </c>
      <c r="J59" s="78" t="str">
        <f t="shared" si="123"/>
        <v>E2.1.1.223 : 0</v>
      </c>
      <c r="K59" s="79" t="str">
        <f t="shared" si="6"/>
        <v>0.00292 - (0.0093 * E2.1.1.223_mRNA)</v>
      </c>
      <c r="L59" s="75" t="str">
        <f t="shared" si="7"/>
        <v>(0.278 * E2.1.1.223_mRNA) - (0.00000278 * E2.1.1.223)</v>
      </c>
      <c r="M59" s="80" t="str">
        <f t="shared" si="8"/>
        <v>mRNA58: -&gt; E2.1.1.223_mRNA | 0.00292 - (0.0093 * E2.1.1.223_mRNA)</v>
      </c>
      <c r="N59" s="73" t="str">
        <f t="shared" si="9"/>
        <v>Peptide58: E2.1.1.223_mRNA -&gt; E2.1.1.223 | (0.278 * E2.1.1.223_mRNA) - (0.000000278 * E2.1.1.223)</v>
      </c>
    </row>
    <row r="60" spans="1:14" ht="25">
      <c r="A60" s="70">
        <v>59</v>
      </c>
      <c r="B60" s="81" t="s">
        <v>17095</v>
      </c>
      <c r="C60" s="72" t="str">
        <f t="shared" si="0"/>
        <v>E2.1.1.228_mRNA</v>
      </c>
      <c r="D60" s="72" t="str">
        <f t="shared" si="1"/>
        <v>E2.1.1.228</v>
      </c>
      <c r="E60" s="73" t="str">
        <f t="shared" si="2"/>
        <v>E2.1.1.228_kcat : 13.7</v>
      </c>
      <c r="F60" s="74" t="str">
        <f t="shared" si="3"/>
        <v>E2.1.1.228_km : 1</v>
      </c>
      <c r="G60" s="75" t="str">
        <f t="shared" ref="G60:H60" si="124">CONCATENATE(C60," : ",C60)</f>
        <v>E2.1.1.228_mRNA : E2.1.1.228_mRNA</v>
      </c>
      <c r="H60" s="76" t="str">
        <f t="shared" si="124"/>
        <v>E2.1.1.228 : E2.1.1.228</v>
      </c>
      <c r="I60" s="77" t="str">
        <f t="shared" ref="I60:J60" si="125">CONCATENATE(C60," : ","0")</f>
        <v>E2.1.1.228_mRNA : 0</v>
      </c>
      <c r="J60" s="78" t="str">
        <f t="shared" si="125"/>
        <v>E2.1.1.228 : 0</v>
      </c>
      <c r="K60" s="79" t="str">
        <f t="shared" si="6"/>
        <v>0.00292 - (0.0093 * E2.1.1.228_mRNA)</v>
      </c>
      <c r="L60" s="75" t="str">
        <f t="shared" si="7"/>
        <v>(0.278 * E2.1.1.228_mRNA) - (0.00000278 * E2.1.1.228)</v>
      </c>
      <c r="M60" s="80" t="str">
        <f t="shared" si="8"/>
        <v>mRNA59: -&gt; E2.1.1.228_mRNA | 0.00292 - (0.0093 * E2.1.1.228_mRNA)</v>
      </c>
      <c r="N60" s="73" t="str">
        <f t="shared" si="9"/>
        <v>Peptide59: E2.1.1.228_mRNA -&gt; E2.1.1.228 | (0.278 * E2.1.1.228_mRNA) - (0.000000278 * E2.1.1.228)</v>
      </c>
    </row>
    <row r="61" spans="1:14" ht="25">
      <c r="A61" s="70">
        <v>60</v>
      </c>
      <c r="B61" s="81" t="s">
        <v>17096</v>
      </c>
      <c r="C61" s="72" t="str">
        <f t="shared" si="0"/>
        <v>E2.1.1.297_mRNA</v>
      </c>
      <c r="D61" s="72" t="str">
        <f t="shared" si="1"/>
        <v>E2.1.1.297</v>
      </c>
      <c r="E61" s="73" t="str">
        <f t="shared" si="2"/>
        <v>E2.1.1.297_kcat : 13.7</v>
      </c>
      <c r="F61" s="74" t="str">
        <f t="shared" si="3"/>
        <v>E2.1.1.297_km : 1</v>
      </c>
      <c r="G61" s="75" t="str">
        <f t="shared" ref="G61:H61" si="126">CONCATENATE(C61," : ",C61)</f>
        <v>E2.1.1.297_mRNA : E2.1.1.297_mRNA</v>
      </c>
      <c r="H61" s="76" t="str">
        <f t="shared" si="126"/>
        <v>E2.1.1.297 : E2.1.1.297</v>
      </c>
      <c r="I61" s="77" t="str">
        <f t="shared" ref="I61:J61" si="127">CONCATENATE(C61," : ","0")</f>
        <v>E2.1.1.297_mRNA : 0</v>
      </c>
      <c r="J61" s="78" t="str">
        <f t="shared" si="127"/>
        <v>E2.1.1.297 : 0</v>
      </c>
      <c r="K61" s="79" t="str">
        <f t="shared" si="6"/>
        <v>0.00292 - (0.0093 * E2.1.1.297_mRNA)</v>
      </c>
      <c r="L61" s="75" t="str">
        <f t="shared" si="7"/>
        <v>(0.278 * E2.1.1.297_mRNA) - (0.00000278 * E2.1.1.297)</v>
      </c>
      <c r="M61" s="80" t="str">
        <f t="shared" si="8"/>
        <v>mRNA60: -&gt; E2.1.1.297_mRNA | 0.00292 - (0.0093 * E2.1.1.297_mRNA)</v>
      </c>
      <c r="N61" s="73" t="str">
        <f t="shared" si="9"/>
        <v>Peptide60: E2.1.1.297_mRNA -&gt; E2.1.1.297 | (0.278 * E2.1.1.297_mRNA) - (0.000000278 * E2.1.1.297)</v>
      </c>
    </row>
    <row r="62" spans="1:14" ht="25">
      <c r="A62" s="70">
        <v>61</v>
      </c>
      <c r="B62" s="72" t="s">
        <v>7988</v>
      </c>
      <c r="C62" s="72" t="str">
        <f t="shared" si="0"/>
        <v>E2.1.1.33_mRNA</v>
      </c>
      <c r="D62" s="72" t="str">
        <f t="shared" si="1"/>
        <v>E2.1.1.33</v>
      </c>
      <c r="E62" s="73" t="str">
        <f t="shared" si="2"/>
        <v>E2.1.1.33_kcat : 13.7</v>
      </c>
      <c r="F62" s="74" t="str">
        <f t="shared" si="3"/>
        <v>E2.1.1.33_km : 1</v>
      </c>
      <c r="G62" s="75" t="str">
        <f t="shared" ref="G62:H62" si="128">CONCATENATE(C62," : ",C62)</f>
        <v>E2.1.1.33_mRNA : E2.1.1.33_mRNA</v>
      </c>
      <c r="H62" s="76" t="str">
        <f t="shared" si="128"/>
        <v>E2.1.1.33 : E2.1.1.33</v>
      </c>
      <c r="I62" s="77" t="str">
        <f t="shared" ref="I62:J62" si="129">CONCATENATE(C62," : ","0")</f>
        <v>E2.1.1.33_mRNA : 0</v>
      </c>
      <c r="J62" s="78" t="str">
        <f t="shared" si="129"/>
        <v>E2.1.1.33 : 0</v>
      </c>
      <c r="K62" s="79" t="str">
        <f t="shared" si="6"/>
        <v>0.00292 - (0.0093 * E2.1.1.33_mRNA)</v>
      </c>
      <c r="L62" s="75" t="str">
        <f t="shared" si="7"/>
        <v>(0.278 * E2.1.1.33_mRNA) - (0.00000278 * E2.1.1.33)</v>
      </c>
      <c r="M62" s="80" t="str">
        <f t="shared" si="8"/>
        <v>mRNA61: -&gt; E2.1.1.33_mRNA | 0.00292 - (0.0093 * E2.1.1.33_mRNA)</v>
      </c>
      <c r="N62" s="73" t="str">
        <f t="shared" si="9"/>
        <v>Peptide61: E2.1.1.33_mRNA -&gt; E2.1.1.33 | (0.278 * E2.1.1.33_mRNA) - (0.000000278 * E2.1.1.33)</v>
      </c>
    </row>
    <row r="63" spans="1:14" ht="25">
      <c r="A63" s="70">
        <v>62</v>
      </c>
      <c r="B63" s="81" t="s">
        <v>17097</v>
      </c>
      <c r="C63" s="72" t="str">
        <f t="shared" si="0"/>
        <v>E2.1.1.45_mRNA</v>
      </c>
      <c r="D63" s="72" t="str">
        <f t="shared" si="1"/>
        <v>E2.1.1.45</v>
      </c>
      <c r="E63" s="73" t="str">
        <f t="shared" si="2"/>
        <v>E2.1.1.45_kcat : 13.7</v>
      </c>
      <c r="F63" s="74" t="str">
        <f t="shared" si="3"/>
        <v>E2.1.1.45_km : 1</v>
      </c>
      <c r="G63" s="75" t="str">
        <f t="shared" ref="G63:H63" si="130">CONCATENATE(C63," : ",C63)</f>
        <v>E2.1.1.45_mRNA : E2.1.1.45_mRNA</v>
      </c>
      <c r="H63" s="76" t="str">
        <f t="shared" si="130"/>
        <v>E2.1.1.45 : E2.1.1.45</v>
      </c>
      <c r="I63" s="77" t="str">
        <f t="shared" ref="I63:J63" si="131">CONCATENATE(C63," : ","0")</f>
        <v>E2.1.1.45_mRNA : 0</v>
      </c>
      <c r="J63" s="78" t="str">
        <f t="shared" si="131"/>
        <v>E2.1.1.45 : 0</v>
      </c>
      <c r="K63" s="79" t="str">
        <f t="shared" si="6"/>
        <v>0.00292 - (0.0093 * E2.1.1.45_mRNA)</v>
      </c>
      <c r="L63" s="75" t="str">
        <f t="shared" si="7"/>
        <v>(0.278 * E2.1.1.45_mRNA) - (0.00000278 * E2.1.1.45)</v>
      </c>
      <c r="M63" s="80" t="str">
        <f t="shared" si="8"/>
        <v>mRNA62: -&gt; E2.1.1.45_mRNA | 0.00292 - (0.0093 * E2.1.1.45_mRNA)</v>
      </c>
      <c r="N63" s="73" t="str">
        <f t="shared" si="9"/>
        <v>Peptide62: E2.1.1.45_mRNA -&gt; E2.1.1.45 | (0.278 * E2.1.1.45_mRNA) - (0.000000278 * E2.1.1.45)</v>
      </c>
    </row>
    <row r="64" spans="1:14" ht="25">
      <c r="A64" s="70">
        <v>63</v>
      </c>
      <c r="B64" s="81" t="s">
        <v>17098</v>
      </c>
      <c r="C64" s="72" t="str">
        <f t="shared" si="0"/>
        <v>E2.1.1.63_mRNA</v>
      </c>
      <c r="D64" s="72" t="str">
        <f t="shared" si="1"/>
        <v>E2.1.1.63</v>
      </c>
      <c r="E64" s="73" t="str">
        <f t="shared" si="2"/>
        <v>E2.1.1.63_kcat : 13.7</v>
      </c>
      <c r="F64" s="74" t="str">
        <f t="shared" si="3"/>
        <v>E2.1.1.63_km : 1</v>
      </c>
      <c r="G64" s="75" t="str">
        <f t="shared" ref="G64:H64" si="132">CONCATENATE(C64," : ",C64)</f>
        <v>E2.1.1.63_mRNA : E2.1.1.63_mRNA</v>
      </c>
      <c r="H64" s="76" t="str">
        <f t="shared" si="132"/>
        <v>E2.1.1.63 : E2.1.1.63</v>
      </c>
      <c r="I64" s="77" t="str">
        <f t="shared" ref="I64:J64" si="133">CONCATENATE(C64," : ","0")</f>
        <v>E2.1.1.63_mRNA : 0</v>
      </c>
      <c r="J64" s="78" t="str">
        <f t="shared" si="133"/>
        <v>E2.1.1.63 : 0</v>
      </c>
      <c r="K64" s="79" t="str">
        <f t="shared" si="6"/>
        <v>0.00292 - (0.0093 * E2.1.1.63_mRNA)</v>
      </c>
      <c r="L64" s="75" t="str">
        <f t="shared" si="7"/>
        <v>(0.278 * E2.1.1.63_mRNA) - (0.00000278 * E2.1.1.63)</v>
      </c>
      <c r="M64" s="80" t="str">
        <f t="shared" si="8"/>
        <v>mRNA63: -&gt; E2.1.1.63_mRNA | 0.00292 - (0.0093 * E2.1.1.63_mRNA)</v>
      </c>
      <c r="N64" s="73" t="str">
        <f t="shared" si="9"/>
        <v>Peptide63: E2.1.1.63_mRNA -&gt; E2.1.1.63 | (0.278 * E2.1.1.63_mRNA) - (0.000000278 * E2.1.1.63)</v>
      </c>
    </row>
    <row r="65" spans="1:14" ht="25">
      <c r="A65" s="70">
        <v>64</v>
      </c>
      <c r="B65" s="82" t="s">
        <v>7995</v>
      </c>
      <c r="C65" s="72" t="str">
        <f t="shared" si="0"/>
        <v>E2.1.1.64_mRNA</v>
      </c>
      <c r="D65" s="72" t="str">
        <f t="shared" si="1"/>
        <v>E2.1.1.64</v>
      </c>
      <c r="E65" s="73" t="str">
        <f t="shared" si="2"/>
        <v>E2.1.1.64_kcat : 13.7</v>
      </c>
      <c r="F65" s="74" t="str">
        <f t="shared" si="3"/>
        <v>E2.1.1.64_km : 1</v>
      </c>
      <c r="G65" s="75" t="str">
        <f t="shared" ref="G65:H65" si="134">CONCATENATE(C65," : ",C65)</f>
        <v>E2.1.1.64_mRNA : E2.1.1.64_mRNA</v>
      </c>
      <c r="H65" s="76" t="str">
        <f t="shared" si="134"/>
        <v>E2.1.1.64 : E2.1.1.64</v>
      </c>
      <c r="I65" s="77" t="str">
        <f t="shared" ref="I65:J65" si="135">CONCATENATE(C65," : ","0")</f>
        <v>E2.1.1.64_mRNA : 0</v>
      </c>
      <c r="J65" s="78" t="str">
        <f t="shared" si="135"/>
        <v>E2.1.1.64 : 0</v>
      </c>
      <c r="K65" s="79" t="str">
        <f t="shared" si="6"/>
        <v>0.00292 - (0.0093 * E2.1.1.64_mRNA)</v>
      </c>
      <c r="L65" s="75" t="str">
        <f t="shared" si="7"/>
        <v>(0.278 * E2.1.1.64_mRNA) - (0.00000278 * E2.1.1.64)</v>
      </c>
      <c r="M65" s="80" t="str">
        <f t="shared" si="8"/>
        <v>mRNA64: -&gt; E2.1.1.64_mRNA | 0.00292 - (0.0093 * E2.1.1.64_mRNA)</v>
      </c>
      <c r="N65" s="73" t="str">
        <f t="shared" si="9"/>
        <v>Peptide64: E2.1.1.64_mRNA -&gt; E2.1.1.64 | (0.278 * E2.1.1.64_mRNA) - (0.000000278 * E2.1.1.64)</v>
      </c>
    </row>
    <row r="66" spans="1:14" ht="25">
      <c r="A66" s="70">
        <v>65</v>
      </c>
      <c r="B66" s="81" t="s">
        <v>17099</v>
      </c>
      <c r="C66" s="72" t="str">
        <f t="shared" si="0"/>
        <v>E2.1.1.72_mRNA</v>
      </c>
      <c r="D66" s="72" t="str">
        <f t="shared" si="1"/>
        <v>E2.1.1.72</v>
      </c>
      <c r="E66" s="73" t="str">
        <f t="shared" si="2"/>
        <v>E2.1.1.72_kcat : 13.7</v>
      </c>
      <c r="F66" s="74" t="str">
        <f t="shared" si="3"/>
        <v>E2.1.1.72_km : 1</v>
      </c>
      <c r="G66" s="75" t="str">
        <f t="shared" ref="G66:H66" si="136">CONCATENATE(C66," : ",C66)</f>
        <v>E2.1.1.72_mRNA : E2.1.1.72_mRNA</v>
      </c>
      <c r="H66" s="76" t="str">
        <f t="shared" si="136"/>
        <v>E2.1.1.72 : E2.1.1.72</v>
      </c>
      <c r="I66" s="77" t="str">
        <f t="shared" ref="I66:J66" si="137">CONCATENATE(C66," : ","0")</f>
        <v>E2.1.1.72_mRNA : 0</v>
      </c>
      <c r="J66" s="78" t="str">
        <f t="shared" si="137"/>
        <v>E2.1.1.72 : 0</v>
      </c>
      <c r="K66" s="79" t="str">
        <f t="shared" si="6"/>
        <v>0.00292 - (0.0093 * E2.1.1.72_mRNA)</v>
      </c>
      <c r="L66" s="75" t="str">
        <f t="shared" si="7"/>
        <v>(0.278 * E2.1.1.72_mRNA) - (0.00000278 * E2.1.1.72)</v>
      </c>
      <c r="M66" s="80" t="str">
        <f t="shared" si="8"/>
        <v>mRNA65: -&gt; E2.1.1.72_mRNA | 0.00292 - (0.0093 * E2.1.1.72_mRNA)</v>
      </c>
      <c r="N66" s="73" t="str">
        <f t="shared" si="9"/>
        <v>Peptide65: E2.1.1.72_mRNA -&gt; E2.1.1.72 | (0.278 * E2.1.1.72_mRNA) - (0.000000278 * E2.1.1.72)</v>
      </c>
    </row>
    <row r="67" spans="1:14" ht="25">
      <c r="A67" s="70">
        <v>66</v>
      </c>
      <c r="B67" s="81" t="s">
        <v>17100</v>
      </c>
      <c r="C67" s="72" t="str">
        <f t="shared" si="0"/>
        <v>E2.1.2.1_mRNA</v>
      </c>
      <c r="D67" s="72" t="str">
        <f t="shared" si="1"/>
        <v>E2.1.2.1</v>
      </c>
      <c r="E67" s="73" t="str">
        <f t="shared" si="2"/>
        <v>E2.1.2.1_kcat : 13.7</v>
      </c>
      <c r="F67" s="74" t="str">
        <f t="shared" si="3"/>
        <v>E2.1.2.1_km : 1</v>
      </c>
      <c r="G67" s="75" t="str">
        <f t="shared" ref="G67:H67" si="138">CONCATENATE(C67," : ",C67)</f>
        <v>E2.1.2.1_mRNA : E2.1.2.1_mRNA</v>
      </c>
      <c r="H67" s="76" t="str">
        <f t="shared" si="138"/>
        <v>E2.1.2.1 : E2.1.2.1</v>
      </c>
      <c r="I67" s="77" t="str">
        <f t="shared" ref="I67:J67" si="139">CONCATENATE(C67," : ","0")</f>
        <v>E2.1.2.1_mRNA : 0</v>
      </c>
      <c r="J67" s="78" t="str">
        <f t="shared" si="139"/>
        <v>E2.1.2.1 : 0</v>
      </c>
      <c r="K67" s="79" t="str">
        <f t="shared" si="6"/>
        <v>0.00292 - (0.0093 * E2.1.2.1_mRNA)</v>
      </c>
      <c r="L67" s="75" t="str">
        <f t="shared" si="7"/>
        <v>(0.278 * E2.1.2.1_mRNA) - (0.00000278 * E2.1.2.1)</v>
      </c>
      <c r="M67" s="80" t="str">
        <f t="shared" si="8"/>
        <v>mRNA66: -&gt; E2.1.2.1_mRNA | 0.00292 - (0.0093 * E2.1.2.1_mRNA)</v>
      </c>
      <c r="N67" s="73" t="str">
        <f t="shared" si="9"/>
        <v>Peptide66: E2.1.2.1_mRNA -&gt; E2.1.2.1 | (0.278 * E2.1.2.1_mRNA) - (0.000000278 * E2.1.2.1)</v>
      </c>
    </row>
    <row r="68" spans="1:14" ht="25">
      <c r="A68" s="70">
        <v>67</v>
      </c>
      <c r="B68" s="81" t="s">
        <v>17101</v>
      </c>
      <c r="C68" s="72" t="str">
        <f t="shared" si="0"/>
        <v>E2.1.2.2_mRNA</v>
      </c>
      <c r="D68" s="72" t="str">
        <f t="shared" si="1"/>
        <v>E2.1.2.2</v>
      </c>
      <c r="E68" s="73" t="str">
        <f t="shared" si="2"/>
        <v>E2.1.2.2_kcat : 13.7</v>
      </c>
      <c r="F68" s="74" t="str">
        <f t="shared" si="3"/>
        <v>E2.1.2.2_km : 1</v>
      </c>
      <c r="G68" s="75" t="str">
        <f t="shared" ref="G68:H68" si="140">CONCATENATE(C68," : ",C68)</f>
        <v>E2.1.2.2_mRNA : E2.1.2.2_mRNA</v>
      </c>
      <c r="H68" s="76" t="str">
        <f t="shared" si="140"/>
        <v>E2.1.2.2 : E2.1.2.2</v>
      </c>
      <c r="I68" s="77" t="str">
        <f t="shared" ref="I68:J68" si="141">CONCATENATE(C68," : ","0")</f>
        <v>E2.1.2.2_mRNA : 0</v>
      </c>
      <c r="J68" s="78" t="str">
        <f t="shared" si="141"/>
        <v>E2.1.2.2 : 0</v>
      </c>
      <c r="K68" s="79" t="str">
        <f t="shared" si="6"/>
        <v>0.00292 - (0.0093 * E2.1.2.2_mRNA)</v>
      </c>
      <c r="L68" s="75" t="str">
        <f t="shared" si="7"/>
        <v>(0.278 * E2.1.2.2_mRNA) - (0.00000278 * E2.1.2.2)</v>
      </c>
      <c r="M68" s="80" t="str">
        <f t="shared" si="8"/>
        <v>mRNA67: -&gt; E2.1.2.2_mRNA | 0.00292 - (0.0093 * E2.1.2.2_mRNA)</v>
      </c>
      <c r="N68" s="73" t="str">
        <f t="shared" si="9"/>
        <v>Peptide67: E2.1.2.2_mRNA -&gt; E2.1.2.2 | (0.278 * E2.1.2.2_mRNA) - (0.000000278 * E2.1.2.2)</v>
      </c>
    </row>
    <row r="69" spans="1:14" ht="25">
      <c r="A69" s="70">
        <v>68</v>
      </c>
      <c r="B69" s="81" t="s">
        <v>17102</v>
      </c>
      <c r="C69" s="72" t="str">
        <f t="shared" si="0"/>
        <v>E2.1.2.3_mRNA</v>
      </c>
      <c r="D69" s="72" t="str">
        <f t="shared" si="1"/>
        <v>E2.1.2.3</v>
      </c>
      <c r="E69" s="73" t="str">
        <f t="shared" si="2"/>
        <v>E2.1.2.3_kcat : 13.7</v>
      </c>
      <c r="F69" s="74" t="str">
        <f t="shared" si="3"/>
        <v>E2.1.2.3_km : 1</v>
      </c>
      <c r="G69" s="75" t="str">
        <f t="shared" ref="G69:H69" si="142">CONCATENATE(C69," : ",C69)</f>
        <v>E2.1.2.3_mRNA : E2.1.2.3_mRNA</v>
      </c>
      <c r="H69" s="76" t="str">
        <f t="shared" si="142"/>
        <v>E2.1.2.3 : E2.1.2.3</v>
      </c>
      <c r="I69" s="77" t="str">
        <f t="shared" ref="I69:J69" si="143">CONCATENATE(C69," : ","0")</f>
        <v>E2.1.2.3_mRNA : 0</v>
      </c>
      <c r="J69" s="78" t="str">
        <f t="shared" si="143"/>
        <v>E2.1.2.3 : 0</v>
      </c>
      <c r="K69" s="79" t="str">
        <f t="shared" si="6"/>
        <v>0.00292 - (0.0093 * E2.1.2.3_mRNA)</v>
      </c>
      <c r="L69" s="75" t="str">
        <f t="shared" si="7"/>
        <v>(0.278 * E2.1.2.3_mRNA) - (0.00000278 * E2.1.2.3)</v>
      </c>
      <c r="M69" s="80" t="str">
        <f t="shared" si="8"/>
        <v>mRNA68: -&gt; E2.1.2.3_mRNA | 0.00292 - (0.0093 * E2.1.2.3_mRNA)</v>
      </c>
      <c r="N69" s="73" t="str">
        <f t="shared" si="9"/>
        <v>Peptide68: E2.1.2.3_mRNA -&gt; E2.1.2.3 | (0.278 * E2.1.2.3_mRNA) - (0.000000278 * E2.1.2.3)</v>
      </c>
    </row>
    <row r="70" spans="1:14" ht="25">
      <c r="A70" s="70">
        <v>69</v>
      </c>
      <c r="B70" s="81" t="s">
        <v>17103</v>
      </c>
      <c r="C70" s="72" t="str">
        <f t="shared" si="0"/>
        <v>E2.1.2.9_mRNA</v>
      </c>
      <c r="D70" s="72" t="str">
        <f t="shared" si="1"/>
        <v>E2.1.2.9</v>
      </c>
      <c r="E70" s="73" t="str">
        <f t="shared" si="2"/>
        <v>E2.1.2.9_kcat : 13.7</v>
      </c>
      <c r="F70" s="74" t="str">
        <f t="shared" si="3"/>
        <v>E2.1.2.9_km : 1</v>
      </c>
      <c r="G70" s="75" t="str">
        <f t="shared" ref="G70:H70" si="144">CONCATENATE(C70," : ",C70)</f>
        <v>E2.1.2.9_mRNA : E2.1.2.9_mRNA</v>
      </c>
      <c r="H70" s="76" t="str">
        <f t="shared" si="144"/>
        <v>E2.1.2.9 : E2.1.2.9</v>
      </c>
      <c r="I70" s="77" t="str">
        <f t="shared" ref="I70:J70" si="145">CONCATENATE(C70," : ","0")</f>
        <v>E2.1.2.9_mRNA : 0</v>
      </c>
      <c r="J70" s="78" t="str">
        <f t="shared" si="145"/>
        <v>E2.1.2.9 : 0</v>
      </c>
      <c r="K70" s="79" t="str">
        <f t="shared" si="6"/>
        <v>0.00292 - (0.0093 * E2.1.2.9_mRNA)</v>
      </c>
      <c r="L70" s="75" t="str">
        <f t="shared" si="7"/>
        <v>(0.278 * E2.1.2.9_mRNA) - (0.00000278 * E2.1.2.9)</v>
      </c>
      <c r="M70" s="80" t="str">
        <f t="shared" si="8"/>
        <v>mRNA69: -&gt; E2.1.2.9_mRNA | 0.00292 - (0.0093 * E2.1.2.9_mRNA)</v>
      </c>
      <c r="N70" s="73" t="str">
        <f t="shared" si="9"/>
        <v>Peptide69: E2.1.2.9_mRNA -&gt; E2.1.2.9 | (0.278 * E2.1.2.9_mRNA) - (0.000000278 * E2.1.2.9)</v>
      </c>
    </row>
    <row r="71" spans="1:14" ht="25">
      <c r="A71" s="70">
        <v>70</v>
      </c>
      <c r="B71" s="81" t="s">
        <v>17104</v>
      </c>
      <c r="C71" s="72" t="str">
        <f t="shared" si="0"/>
        <v>E2.1.3.2_mRNA</v>
      </c>
      <c r="D71" s="72" t="str">
        <f t="shared" si="1"/>
        <v>E2.1.3.2</v>
      </c>
      <c r="E71" s="73" t="str">
        <f t="shared" si="2"/>
        <v>E2.1.3.2_kcat : 13.7</v>
      </c>
      <c r="F71" s="74" t="str">
        <f t="shared" si="3"/>
        <v>E2.1.3.2_km : 1</v>
      </c>
      <c r="G71" s="75" t="str">
        <f t="shared" ref="G71:H71" si="146">CONCATENATE(C71," : ",C71)</f>
        <v>E2.1.3.2_mRNA : E2.1.3.2_mRNA</v>
      </c>
      <c r="H71" s="76" t="str">
        <f t="shared" si="146"/>
        <v>E2.1.3.2 : E2.1.3.2</v>
      </c>
      <c r="I71" s="77" t="str">
        <f t="shared" ref="I71:J71" si="147">CONCATENATE(C71," : ","0")</f>
        <v>E2.1.3.2_mRNA : 0</v>
      </c>
      <c r="J71" s="78" t="str">
        <f t="shared" si="147"/>
        <v>E2.1.3.2 : 0</v>
      </c>
      <c r="K71" s="79" t="str">
        <f t="shared" si="6"/>
        <v>0.00292 - (0.0093 * E2.1.3.2_mRNA)</v>
      </c>
      <c r="L71" s="75" t="str">
        <f t="shared" si="7"/>
        <v>(0.278 * E2.1.3.2_mRNA) - (0.00000278 * E2.1.3.2)</v>
      </c>
      <c r="M71" s="80" t="str">
        <f t="shared" si="8"/>
        <v>mRNA70: -&gt; E2.1.3.2_mRNA | 0.00292 - (0.0093 * E2.1.3.2_mRNA)</v>
      </c>
      <c r="N71" s="73" t="str">
        <f t="shared" si="9"/>
        <v>Peptide70: E2.1.3.2_mRNA -&gt; E2.1.3.2 | (0.278 * E2.1.3.2_mRNA) - (0.000000278 * E2.1.3.2)</v>
      </c>
    </row>
    <row r="72" spans="1:14" ht="25">
      <c r="A72" s="70">
        <v>71</v>
      </c>
      <c r="B72" s="72" t="s">
        <v>8013</v>
      </c>
      <c r="C72" s="72" t="str">
        <f t="shared" si="0"/>
        <v>E2.2.1.2_mRNA</v>
      </c>
      <c r="D72" s="72" t="str">
        <f t="shared" si="1"/>
        <v>E2.2.1.2</v>
      </c>
      <c r="E72" s="73" t="str">
        <f t="shared" si="2"/>
        <v>E2.2.1.2_kcat : 13.7</v>
      </c>
      <c r="F72" s="74" t="str">
        <f t="shared" si="3"/>
        <v>E2.2.1.2_km : 1</v>
      </c>
      <c r="G72" s="75" t="str">
        <f t="shared" ref="G72:H72" si="148">CONCATENATE(C72," : ",C72)</f>
        <v>E2.2.1.2_mRNA : E2.2.1.2_mRNA</v>
      </c>
      <c r="H72" s="76" t="str">
        <f t="shared" si="148"/>
        <v>E2.2.1.2 : E2.2.1.2</v>
      </c>
      <c r="I72" s="77" t="str">
        <f t="shared" ref="I72:J72" si="149">CONCATENATE(C72," : ","0")</f>
        <v>E2.2.1.2_mRNA : 0</v>
      </c>
      <c r="J72" s="78" t="str">
        <f t="shared" si="149"/>
        <v>E2.2.1.2 : 0</v>
      </c>
      <c r="K72" s="79" t="str">
        <f t="shared" si="6"/>
        <v>0.00292 - (0.0093 * E2.2.1.2_mRNA)</v>
      </c>
      <c r="L72" s="75" t="str">
        <f t="shared" si="7"/>
        <v>(0.278 * E2.2.1.2_mRNA) - (0.00000278 * E2.2.1.2)</v>
      </c>
      <c r="M72" s="80" t="str">
        <f t="shared" si="8"/>
        <v>mRNA71: -&gt; E2.2.1.2_mRNA | 0.00292 - (0.0093 * E2.2.1.2_mRNA)</v>
      </c>
      <c r="N72" s="73" t="str">
        <f t="shared" si="9"/>
        <v>Peptide71: E2.2.1.2_mRNA -&gt; E2.2.1.2 | (0.278 * E2.2.1.2_mRNA) - (0.000000278 * E2.2.1.2)</v>
      </c>
    </row>
    <row r="73" spans="1:14" ht="25">
      <c r="A73" s="70">
        <v>72</v>
      </c>
      <c r="B73" s="81" t="s">
        <v>17105</v>
      </c>
      <c r="C73" s="72" t="str">
        <f t="shared" si="0"/>
        <v>E2.2.1.6_mRNA</v>
      </c>
      <c r="D73" s="72" t="str">
        <f t="shared" si="1"/>
        <v>E2.2.1.6</v>
      </c>
      <c r="E73" s="73" t="str">
        <f t="shared" si="2"/>
        <v>E2.2.1.6_kcat : 13.7</v>
      </c>
      <c r="F73" s="74" t="str">
        <f t="shared" si="3"/>
        <v>E2.2.1.6_km : 1</v>
      </c>
      <c r="G73" s="75" t="str">
        <f t="shared" ref="G73:H73" si="150">CONCATENATE(C73," : ",C73)</f>
        <v>E2.2.1.6_mRNA : E2.2.1.6_mRNA</v>
      </c>
      <c r="H73" s="76" t="str">
        <f t="shared" si="150"/>
        <v>E2.2.1.6 : E2.2.1.6</v>
      </c>
      <c r="I73" s="77" t="str">
        <f t="shared" ref="I73:J73" si="151">CONCATENATE(C73," : ","0")</f>
        <v>E2.2.1.6_mRNA : 0</v>
      </c>
      <c r="J73" s="78" t="str">
        <f t="shared" si="151"/>
        <v>E2.2.1.6 : 0</v>
      </c>
      <c r="K73" s="79" t="str">
        <f t="shared" si="6"/>
        <v>0.00292 - (0.0093 * E2.2.1.6_mRNA)</v>
      </c>
      <c r="L73" s="75" t="str">
        <f t="shared" si="7"/>
        <v>(0.278 * E2.2.1.6_mRNA) - (0.00000278 * E2.2.1.6)</v>
      </c>
      <c r="M73" s="80" t="str">
        <f t="shared" si="8"/>
        <v>mRNA72: -&gt; E2.2.1.6_mRNA | 0.00292 - (0.0093 * E2.2.1.6_mRNA)</v>
      </c>
      <c r="N73" s="73" t="str">
        <f t="shared" si="9"/>
        <v>Peptide72: E2.2.1.6_mRNA -&gt; E2.2.1.6 | (0.278 * E2.2.1.6_mRNA) - (0.000000278 * E2.2.1.6)</v>
      </c>
    </row>
    <row r="74" spans="1:14" ht="25">
      <c r="A74" s="70">
        <v>73</v>
      </c>
      <c r="B74" s="81" t="s">
        <v>17106</v>
      </c>
      <c r="C74" s="72" t="str">
        <f t="shared" si="0"/>
        <v>E2.3.1.15_mRNA</v>
      </c>
      <c r="D74" s="72" t="str">
        <f t="shared" si="1"/>
        <v>E2.3.1.15</v>
      </c>
      <c r="E74" s="73" t="str">
        <f t="shared" si="2"/>
        <v>E2.3.1.15_kcat : 13.7</v>
      </c>
      <c r="F74" s="74" t="str">
        <f t="shared" si="3"/>
        <v>E2.3.1.15_km : 1</v>
      </c>
      <c r="G74" s="75" t="str">
        <f t="shared" ref="G74:H74" si="152">CONCATENATE(C74," : ",C74)</f>
        <v>E2.3.1.15_mRNA : E2.3.1.15_mRNA</v>
      </c>
      <c r="H74" s="76" t="str">
        <f t="shared" si="152"/>
        <v>E2.3.1.15 : E2.3.1.15</v>
      </c>
      <c r="I74" s="77" t="str">
        <f t="shared" ref="I74:J74" si="153">CONCATENATE(C74," : ","0")</f>
        <v>E2.3.1.15_mRNA : 0</v>
      </c>
      <c r="J74" s="78" t="str">
        <f t="shared" si="153"/>
        <v>E2.3.1.15 : 0</v>
      </c>
      <c r="K74" s="79" t="str">
        <f t="shared" si="6"/>
        <v>0.00292 - (0.0093 * E2.3.1.15_mRNA)</v>
      </c>
      <c r="L74" s="75" t="str">
        <f t="shared" si="7"/>
        <v>(0.278 * E2.3.1.15_mRNA) - (0.00000278 * E2.3.1.15)</v>
      </c>
      <c r="M74" s="80" t="str">
        <f t="shared" si="8"/>
        <v>mRNA73: -&gt; E2.3.1.15_mRNA | 0.00292 - (0.0093 * E2.3.1.15_mRNA)</v>
      </c>
      <c r="N74" s="73" t="str">
        <f t="shared" si="9"/>
        <v>Peptide73: E2.3.1.15_mRNA -&gt; E2.3.1.15 | (0.278 * E2.3.1.15_mRNA) - (0.000000278 * E2.3.1.15)</v>
      </c>
    </row>
    <row r="75" spans="1:14" ht="25">
      <c r="A75" s="70">
        <v>74</v>
      </c>
      <c r="B75" s="81" t="s">
        <v>17107</v>
      </c>
      <c r="C75" s="72" t="str">
        <f t="shared" si="0"/>
        <v>E2.3.1.157_mRNA</v>
      </c>
      <c r="D75" s="72" t="str">
        <f t="shared" si="1"/>
        <v>E2.3.1.157</v>
      </c>
      <c r="E75" s="73" t="str">
        <f t="shared" si="2"/>
        <v>E2.3.1.157_kcat : 13.7</v>
      </c>
      <c r="F75" s="74" t="str">
        <f t="shared" si="3"/>
        <v>E2.3.1.157_km : 1</v>
      </c>
      <c r="G75" s="75" t="str">
        <f t="shared" ref="G75:H75" si="154">CONCATENATE(C75," : ",C75)</f>
        <v>E2.3.1.157_mRNA : E2.3.1.157_mRNA</v>
      </c>
      <c r="H75" s="76" t="str">
        <f t="shared" si="154"/>
        <v>E2.3.1.157 : E2.3.1.157</v>
      </c>
      <c r="I75" s="77" t="str">
        <f t="shared" ref="I75:J75" si="155">CONCATENATE(C75," : ","0")</f>
        <v>E2.3.1.157_mRNA : 0</v>
      </c>
      <c r="J75" s="78" t="str">
        <f t="shared" si="155"/>
        <v>E2.3.1.157 : 0</v>
      </c>
      <c r="K75" s="79" t="str">
        <f t="shared" si="6"/>
        <v>0.00292 - (0.0093 * E2.3.1.157_mRNA)</v>
      </c>
      <c r="L75" s="75" t="str">
        <f t="shared" si="7"/>
        <v>(0.278 * E2.3.1.157_mRNA) - (0.00000278 * E2.3.1.157)</v>
      </c>
      <c r="M75" s="80" t="str">
        <f t="shared" si="8"/>
        <v>mRNA74: -&gt; E2.3.1.157_mRNA | 0.00292 - (0.0093 * E2.3.1.157_mRNA)</v>
      </c>
      <c r="N75" s="73" t="str">
        <f t="shared" si="9"/>
        <v>Peptide74: E2.3.1.157_mRNA -&gt; E2.3.1.157 | (0.278 * E2.3.1.157_mRNA) - (0.000000278 * E2.3.1.157)</v>
      </c>
    </row>
    <row r="76" spans="1:14" ht="25">
      <c r="A76" s="70">
        <v>75</v>
      </c>
      <c r="B76" s="81" t="s">
        <v>17108</v>
      </c>
      <c r="C76" s="72" t="str">
        <f t="shared" si="0"/>
        <v>E2.3.1.16_mRNA</v>
      </c>
      <c r="D76" s="72" t="str">
        <f t="shared" si="1"/>
        <v>E2.3.1.16</v>
      </c>
      <c r="E76" s="73" t="str">
        <f t="shared" si="2"/>
        <v>E2.3.1.16_kcat : 13.7</v>
      </c>
      <c r="F76" s="74" t="str">
        <f t="shared" si="3"/>
        <v>E2.3.1.16_km : 1</v>
      </c>
      <c r="G76" s="75" t="str">
        <f t="shared" ref="G76:H76" si="156">CONCATENATE(C76," : ",C76)</f>
        <v>E2.3.1.16_mRNA : E2.3.1.16_mRNA</v>
      </c>
      <c r="H76" s="76" t="str">
        <f t="shared" si="156"/>
        <v>E2.3.1.16 : E2.3.1.16</v>
      </c>
      <c r="I76" s="77" t="str">
        <f t="shared" ref="I76:J76" si="157">CONCATENATE(C76," : ","0")</f>
        <v>E2.3.1.16_mRNA : 0</v>
      </c>
      <c r="J76" s="78" t="str">
        <f t="shared" si="157"/>
        <v>E2.3.1.16 : 0</v>
      </c>
      <c r="K76" s="79" t="str">
        <f t="shared" si="6"/>
        <v>0.00292 - (0.0093 * E2.3.1.16_mRNA)</v>
      </c>
      <c r="L76" s="75" t="str">
        <f t="shared" si="7"/>
        <v>(0.278 * E2.3.1.16_mRNA) - (0.00000278 * E2.3.1.16)</v>
      </c>
      <c r="M76" s="80" t="str">
        <f t="shared" si="8"/>
        <v>mRNA75: -&gt; E2.3.1.16_mRNA | 0.00292 - (0.0093 * E2.3.1.16_mRNA)</v>
      </c>
      <c r="N76" s="73" t="str">
        <f t="shared" si="9"/>
        <v>Peptide75: E2.3.1.16_mRNA -&gt; E2.3.1.16 | (0.278 * E2.3.1.16_mRNA) - (0.000000278 * E2.3.1.16)</v>
      </c>
    </row>
    <row r="77" spans="1:14" ht="25">
      <c r="A77" s="70">
        <v>76</v>
      </c>
      <c r="B77" s="81" t="s">
        <v>17109</v>
      </c>
      <c r="C77" s="72" t="str">
        <f t="shared" si="0"/>
        <v>E2.3.1.179_mRNA</v>
      </c>
      <c r="D77" s="72" t="str">
        <f t="shared" si="1"/>
        <v>E2.3.1.179</v>
      </c>
      <c r="E77" s="73" t="str">
        <f t="shared" si="2"/>
        <v>E2.3.1.179_kcat : 13.7</v>
      </c>
      <c r="F77" s="74" t="str">
        <f t="shared" si="3"/>
        <v>E2.3.1.179_km : 1</v>
      </c>
      <c r="G77" s="75" t="str">
        <f t="shared" ref="G77:H77" si="158">CONCATENATE(C77," : ",C77)</f>
        <v>E2.3.1.179_mRNA : E2.3.1.179_mRNA</v>
      </c>
      <c r="H77" s="76" t="str">
        <f t="shared" si="158"/>
        <v>E2.3.1.179 : E2.3.1.179</v>
      </c>
      <c r="I77" s="77" t="str">
        <f t="shared" ref="I77:J77" si="159">CONCATENATE(C77," : ","0")</f>
        <v>E2.3.1.179_mRNA : 0</v>
      </c>
      <c r="J77" s="78" t="str">
        <f t="shared" si="159"/>
        <v>E2.3.1.179 : 0</v>
      </c>
      <c r="K77" s="79" t="str">
        <f t="shared" si="6"/>
        <v>0.00292 - (0.0093 * E2.3.1.179_mRNA)</v>
      </c>
      <c r="L77" s="75" t="str">
        <f t="shared" si="7"/>
        <v>(0.278 * E2.3.1.179_mRNA) - (0.00000278 * E2.3.1.179)</v>
      </c>
      <c r="M77" s="80" t="str">
        <f t="shared" si="8"/>
        <v>mRNA76: -&gt; E2.3.1.179_mRNA | 0.00292 - (0.0093 * E2.3.1.179_mRNA)</v>
      </c>
      <c r="N77" s="73" t="str">
        <f t="shared" si="9"/>
        <v>Peptide76: E2.3.1.179_mRNA -&gt; E2.3.1.179 | (0.278 * E2.3.1.179_mRNA) - (0.000000278 * E2.3.1.179)</v>
      </c>
    </row>
    <row r="78" spans="1:14" ht="25">
      <c r="A78" s="70">
        <v>77</v>
      </c>
      <c r="B78" s="81" t="s">
        <v>17110</v>
      </c>
      <c r="C78" s="72" t="str">
        <f t="shared" si="0"/>
        <v>E2.3.1.180_mRNA</v>
      </c>
      <c r="D78" s="72" t="str">
        <f t="shared" si="1"/>
        <v>E2.3.1.180</v>
      </c>
      <c r="E78" s="73" t="str">
        <f t="shared" si="2"/>
        <v>E2.3.1.180_kcat : 13.7</v>
      </c>
      <c r="F78" s="74" t="str">
        <f t="shared" si="3"/>
        <v>E2.3.1.180_km : 1</v>
      </c>
      <c r="G78" s="75" t="str">
        <f t="shared" ref="G78:H78" si="160">CONCATENATE(C78," : ",C78)</f>
        <v>E2.3.1.180_mRNA : E2.3.1.180_mRNA</v>
      </c>
      <c r="H78" s="76" t="str">
        <f t="shared" si="160"/>
        <v>E2.3.1.180 : E2.3.1.180</v>
      </c>
      <c r="I78" s="77" t="str">
        <f t="shared" ref="I78:J78" si="161">CONCATENATE(C78," : ","0")</f>
        <v>E2.3.1.180_mRNA : 0</v>
      </c>
      <c r="J78" s="78" t="str">
        <f t="shared" si="161"/>
        <v>E2.3.1.180 : 0</v>
      </c>
      <c r="K78" s="79" t="str">
        <f t="shared" si="6"/>
        <v>0.00292 - (0.0093 * E2.3.1.180_mRNA)</v>
      </c>
      <c r="L78" s="75" t="str">
        <f t="shared" si="7"/>
        <v>(0.278 * E2.3.1.180_mRNA) - (0.00000278 * E2.3.1.180)</v>
      </c>
      <c r="M78" s="80" t="str">
        <f t="shared" si="8"/>
        <v>mRNA77: -&gt; E2.3.1.180_mRNA | 0.00292 - (0.0093 * E2.3.1.180_mRNA)</v>
      </c>
      <c r="N78" s="73" t="str">
        <f t="shared" si="9"/>
        <v>Peptide77: E2.3.1.180_mRNA -&gt; E2.3.1.180 | (0.278 * E2.3.1.180_mRNA) - (0.000000278 * E2.3.1.180)</v>
      </c>
    </row>
    <row r="79" spans="1:14" ht="25">
      <c r="A79" s="70">
        <v>78</v>
      </c>
      <c r="B79" s="81" t="s">
        <v>17111</v>
      </c>
      <c r="C79" s="72" t="str">
        <f t="shared" si="0"/>
        <v>E2.3.1.234_mRNA</v>
      </c>
      <c r="D79" s="72" t="str">
        <f t="shared" si="1"/>
        <v>E2.3.1.234</v>
      </c>
      <c r="E79" s="73" t="str">
        <f t="shared" si="2"/>
        <v>E2.3.1.234_kcat : 13.7</v>
      </c>
      <c r="F79" s="74" t="str">
        <f t="shared" si="3"/>
        <v>E2.3.1.234_km : 1</v>
      </c>
      <c r="G79" s="75" t="str">
        <f t="shared" ref="G79:H79" si="162">CONCATENATE(C79," : ",C79)</f>
        <v>E2.3.1.234_mRNA : E2.3.1.234_mRNA</v>
      </c>
      <c r="H79" s="76" t="str">
        <f t="shared" si="162"/>
        <v>E2.3.1.234 : E2.3.1.234</v>
      </c>
      <c r="I79" s="77" t="str">
        <f t="shared" ref="I79:J79" si="163">CONCATENATE(C79," : ","0")</f>
        <v>E2.3.1.234_mRNA : 0</v>
      </c>
      <c r="J79" s="78" t="str">
        <f t="shared" si="163"/>
        <v>E2.3.1.234 : 0</v>
      </c>
      <c r="K79" s="79" t="str">
        <f t="shared" si="6"/>
        <v>0.00292 - (0.0093 * E2.3.1.234_mRNA)</v>
      </c>
      <c r="L79" s="75" t="str">
        <f t="shared" si="7"/>
        <v>(0.278 * E2.3.1.234_mRNA) - (0.00000278 * E2.3.1.234)</v>
      </c>
      <c r="M79" s="80" t="str">
        <f t="shared" si="8"/>
        <v>mRNA78: -&gt; E2.3.1.234_mRNA | 0.00292 - (0.0093 * E2.3.1.234_mRNA)</v>
      </c>
      <c r="N79" s="73" t="str">
        <f t="shared" si="9"/>
        <v>Peptide78: E2.3.1.234_mRNA -&gt; E2.3.1.234 | (0.278 * E2.3.1.234_mRNA) - (0.000000278 * E2.3.1.234)</v>
      </c>
    </row>
    <row r="80" spans="1:14" ht="25">
      <c r="A80" s="70">
        <v>79</v>
      </c>
      <c r="B80" s="81" t="s">
        <v>17112</v>
      </c>
      <c r="C80" s="72" t="str">
        <f t="shared" si="0"/>
        <v>E2.3.1.266_mRNA</v>
      </c>
      <c r="D80" s="72" t="str">
        <f t="shared" si="1"/>
        <v>E2.3.1.266</v>
      </c>
      <c r="E80" s="73" t="str">
        <f t="shared" si="2"/>
        <v>E2.3.1.266_kcat : 13.7</v>
      </c>
      <c r="F80" s="74" t="str">
        <f t="shared" si="3"/>
        <v>E2.3.1.266_km : 1</v>
      </c>
      <c r="G80" s="75" t="str">
        <f t="shared" ref="G80:H80" si="164">CONCATENATE(C80," : ",C80)</f>
        <v>E2.3.1.266_mRNA : E2.3.1.266_mRNA</v>
      </c>
      <c r="H80" s="76" t="str">
        <f t="shared" si="164"/>
        <v>E2.3.1.266 : E2.3.1.266</v>
      </c>
      <c r="I80" s="77" t="str">
        <f t="shared" ref="I80:J80" si="165">CONCATENATE(C80," : ","0")</f>
        <v>E2.3.1.266_mRNA : 0</v>
      </c>
      <c r="J80" s="78" t="str">
        <f t="shared" si="165"/>
        <v>E2.3.1.266 : 0</v>
      </c>
      <c r="K80" s="79" t="str">
        <f t="shared" si="6"/>
        <v>0.00292 - (0.0093 * E2.3.1.266_mRNA)</v>
      </c>
      <c r="L80" s="75" t="str">
        <f t="shared" si="7"/>
        <v>(0.278 * E2.3.1.266_mRNA) - (0.00000278 * E2.3.1.266)</v>
      </c>
      <c r="M80" s="80" t="str">
        <f t="shared" si="8"/>
        <v>mRNA79: -&gt; E2.3.1.266_mRNA | 0.00292 - (0.0093 * E2.3.1.266_mRNA)</v>
      </c>
      <c r="N80" s="73" t="str">
        <f t="shared" si="9"/>
        <v>Peptide79: E2.3.1.266_mRNA -&gt; E2.3.1.266 | (0.278 * E2.3.1.266_mRNA) - (0.000000278 * E2.3.1.266)</v>
      </c>
    </row>
    <row r="81" spans="1:14" ht="25">
      <c r="A81" s="70">
        <v>80</v>
      </c>
      <c r="B81" s="72" t="s">
        <v>8073</v>
      </c>
      <c r="C81" s="72" t="str">
        <f t="shared" si="0"/>
        <v>E2.3.1.274_mRNA</v>
      </c>
      <c r="D81" s="72" t="str">
        <f t="shared" si="1"/>
        <v>E2.3.1.274</v>
      </c>
      <c r="E81" s="73" t="str">
        <f t="shared" si="2"/>
        <v>E2.3.1.274_kcat : 13.7</v>
      </c>
      <c r="F81" s="74" t="str">
        <f t="shared" si="3"/>
        <v>E2.3.1.274_km : 1</v>
      </c>
      <c r="G81" s="75" t="str">
        <f t="shared" ref="G81:H81" si="166">CONCATENATE(C81," : ",C81)</f>
        <v>E2.3.1.274_mRNA : E2.3.1.274_mRNA</v>
      </c>
      <c r="H81" s="76" t="str">
        <f t="shared" si="166"/>
        <v>E2.3.1.274 : E2.3.1.274</v>
      </c>
      <c r="I81" s="77" t="str">
        <f t="shared" ref="I81:J81" si="167">CONCATENATE(C81," : ","0")</f>
        <v>E2.3.1.274_mRNA : 0</v>
      </c>
      <c r="J81" s="78" t="str">
        <f t="shared" si="167"/>
        <v>E2.3.1.274 : 0</v>
      </c>
      <c r="K81" s="79" t="str">
        <f t="shared" si="6"/>
        <v>0.00292 - (0.0093 * E2.3.1.274_mRNA)</v>
      </c>
      <c r="L81" s="75" t="str">
        <f t="shared" si="7"/>
        <v>(0.278 * E2.3.1.274_mRNA) - (0.00000278 * E2.3.1.274)</v>
      </c>
      <c r="M81" s="80" t="str">
        <f t="shared" si="8"/>
        <v>mRNA80: -&gt; E2.3.1.274_mRNA | 0.00292 - (0.0093 * E2.3.1.274_mRNA)</v>
      </c>
      <c r="N81" s="73" t="str">
        <f t="shared" si="9"/>
        <v>Peptide80: E2.3.1.274_mRNA -&gt; E2.3.1.274 | (0.278 * E2.3.1.274_mRNA) - (0.000000278 * E2.3.1.274)</v>
      </c>
    </row>
    <row r="82" spans="1:14" ht="25">
      <c r="A82" s="70">
        <v>81</v>
      </c>
      <c r="B82" s="81" t="s">
        <v>17113</v>
      </c>
      <c r="C82" s="72" t="str">
        <f t="shared" si="0"/>
        <v>E2.3.1.286_mRNA</v>
      </c>
      <c r="D82" s="72" t="str">
        <f t="shared" si="1"/>
        <v>E2.3.1.286</v>
      </c>
      <c r="E82" s="73" t="str">
        <f t="shared" si="2"/>
        <v>E2.3.1.286_kcat : 13.7</v>
      </c>
      <c r="F82" s="74" t="str">
        <f t="shared" si="3"/>
        <v>E2.3.1.286_km : 1</v>
      </c>
      <c r="G82" s="75" t="str">
        <f t="shared" ref="G82:H82" si="168">CONCATENATE(C82," : ",C82)</f>
        <v>E2.3.1.286_mRNA : E2.3.1.286_mRNA</v>
      </c>
      <c r="H82" s="76" t="str">
        <f t="shared" si="168"/>
        <v>E2.3.1.286 : E2.3.1.286</v>
      </c>
      <c r="I82" s="77" t="str">
        <f t="shared" ref="I82:J82" si="169">CONCATENATE(C82," : ","0")</f>
        <v>E2.3.1.286_mRNA : 0</v>
      </c>
      <c r="J82" s="78" t="str">
        <f t="shared" si="169"/>
        <v>E2.3.1.286 : 0</v>
      </c>
      <c r="K82" s="79" t="str">
        <f t="shared" si="6"/>
        <v>0.00292 - (0.0093 * E2.3.1.286_mRNA)</v>
      </c>
      <c r="L82" s="75" t="str">
        <f t="shared" si="7"/>
        <v>(0.278 * E2.3.1.286_mRNA) - (0.00000278 * E2.3.1.286)</v>
      </c>
      <c r="M82" s="80" t="str">
        <f t="shared" si="8"/>
        <v>mRNA81: -&gt; E2.3.1.286_mRNA | 0.00292 - (0.0093 * E2.3.1.286_mRNA)</v>
      </c>
      <c r="N82" s="73" t="str">
        <f t="shared" si="9"/>
        <v>Peptide81: E2.3.1.286_mRNA -&gt; E2.3.1.286 | (0.278 * E2.3.1.286_mRNA) - (0.000000278 * E2.3.1.286)</v>
      </c>
    </row>
    <row r="83" spans="1:14" ht="25">
      <c r="A83" s="70">
        <v>82</v>
      </c>
      <c r="B83" s="81" t="s">
        <v>17114</v>
      </c>
      <c r="C83" s="72" t="str">
        <f t="shared" si="0"/>
        <v>E2.3.1.39_mRNA</v>
      </c>
      <c r="D83" s="72" t="str">
        <f t="shared" si="1"/>
        <v>E2.3.1.39</v>
      </c>
      <c r="E83" s="73" t="str">
        <f t="shared" si="2"/>
        <v>E2.3.1.39_kcat : 13.7</v>
      </c>
      <c r="F83" s="74" t="str">
        <f t="shared" si="3"/>
        <v>E2.3.1.39_km : 1</v>
      </c>
      <c r="G83" s="75" t="str">
        <f t="shared" ref="G83:H83" si="170">CONCATENATE(C83," : ",C83)</f>
        <v>E2.3.1.39_mRNA : E2.3.1.39_mRNA</v>
      </c>
      <c r="H83" s="76" t="str">
        <f t="shared" si="170"/>
        <v>E2.3.1.39 : E2.3.1.39</v>
      </c>
      <c r="I83" s="77" t="str">
        <f t="shared" ref="I83:J83" si="171">CONCATENATE(C83," : ","0")</f>
        <v>E2.3.1.39_mRNA : 0</v>
      </c>
      <c r="J83" s="78" t="str">
        <f t="shared" si="171"/>
        <v>E2.3.1.39 : 0</v>
      </c>
      <c r="K83" s="79" t="str">
        <f t="shared" si="6"/>
        <v>0.00292 - (0.0093 * E2.3.1.39_mRNA)</v>
      </c>
      <c r="L83" s="75" t="str">
        <f t="shared" si="7"/>
        <v>(0.278 * E2.3.1.39_mRNA) - (0.00000278 * E2.3.1.39)</v>
      </c>
      <c r="M83" s="80" t="str">
        <f t="shared" si="8"/>
        <v>mRNA82: -&gt; E2.3.1.39_mRNA | 0.00292 - (0.0093 * E2.3.1.39_mRNA)</v>
      </c>
      <c r="N83" s="73" t="str">
        <f t="shared" si="9"/>
        <v>Peptide82: E2.3.1.39_mRNA -&gt; E2.3.1.39 | (0.278 * E2.3.1.39_mRNA) - (0.000000278 * E2.3.1.39)</v>
      </c>
    </row>
    <row r="84" spans="1:14" ht="25">
      <c r="A84" s="70">
        <v>83</v>
      </c>
      <c r="B84" s="81" t="s">
        <v>17115</v>
      </c>
      <c r="C84" s="72" t="str">
        <f t="shared" si="0"/>
        <v>E2.3.1.54_mRNA</v>
      </c>
      <c r="D84" s="72" t="str">
        <f t="shared" si="1"/>
        <v>E2.3.1.54</v>
      </c>
      <c r="E84" s="73" t="str">
        <f t="shared" si="2"/>
        <v>E2.3.1.54_kcat : 13.7</v>
      </c>
      <c r="F84" s="74" t="str">
        <f t="shared" si="3"/>
        <v>E2.3.1.54_km : 1</v>
      </c>
      <c r="G84" s="75" t="str">
        <f t="shared" ref="G84:H84" si="172">CONCATENATE(C84," : ",C84)</f>
        <v>E2.3.1.54_mRNA : E2.3.1.54_mRNA</v>
      </c>
      <c r="H84" s="76" t="str">
        <f t="shared" si="172"/>
        <v>E2.3.1.54 : E2.3.1.54</v>
      </c>
      <c r="I84" s="77" t="str">
        <f t="shared" ref="I84:J84" si="173">CONCATENATE(C84," : ","0")</f>
        <v>E2.3.1.54_mRNA : 0</v>
      </c>
      <c r="J84" s="78" t="str">
        <f t="shared" si="173"/>
        <v>E2.3.1.54 : 0</v>
      </c>
      <c r="K84" s="79" t="str">
        <f t="shared" si="6"/>
        <v>0.00292 - (0.0093 * E2.3.1.54_mRNA)</v>
      </c>
      <c r="L84" s="75" t="str">
        <f t="shared" si="7"/>
        <v>(0.278 * E2.3.1.54_mRNA) - (0.00000278 * E2.3.1.54)</v>
      </c>
      <c r="M84" s="80" t="str">
        <f t="shared" si="8"/>
        <v>mRNA83: -&gt; E2.3.1.54_mRNA | 0.00292 - (0.0093 * E2.3.1.54_mRNA)</v>
      </c>
      <c r="N84" s="73" t="str">
        <f t="shared" si="9"/>
        <v>Peptide83: E2.3.1.54_mRNA -&gt; E2.3.1.54 | (0.278 * E2.3.1.54_mRNA) - (0.000000278 * E2.3.1.54)</v>
      </c>
    </row>
    <row r="85" spans="1:14" ht="25">
      <c r="A85" s="70">
        <v>84</v>
      </c>
      <c r="B85" s="81" t="s">
        <v>17116</v>
      </c>
      <c r="C85" s="72" t="str">
        <f t="shared" si="0"/>
        <v>E2.3.1.8_mRNA</v>
      </c>
      <c r="D85" s="72" t="str">
        <f t="shared" si="1"/>
        <v>E2.3.1.8</v>
      </c>
      <c r="E85" s="73" t="str">
        <f t="shared" si="2"/>
        <v>E2.3.1.8_kcat : 13.7</v>
      </c>
      <c r="F85" s="74" t="str">
        <f t="shared" si="3"/>
        <v>E2.3.1.8_km : 1</v>
      </c>
      <c r="G85" s="75" t="str">
        <f t="shared" ref="G85:H85" si="174">CONCATENATE(C85," : ",C85)</f>
        <v>E2.3.1.8_mRNA : E2.3.1.8_mRNA</v>
      </c>
      <c r="H85" s="76" t="str">
        <f t="shared" si="174"/>
        <v>E2.3.1.8 : E2.3.1.8</v>
      </c>
      <c r="I85" s="77" t="str">
        <f t="shared" ref="I85:J85" si="175">CONCATENATE(C85," : ","0")</f>
        <v>E2.3.1.8_mRNA : 0</v>
      </c>
      <c r="J85" s="78" t="str">
        <f t="shared" si="175"/>
        <v>E2.3.1.8 : 0</v>
      </c>
      <c r="K85" s="79" t="str">
        <f t="shared" si="6"/>
        <v>0.00292 - (0.0093 * E2.3.1.8_mRNA)</v>
      </c>
      <c r="L85" s="75" t="str">
        <f t="shared" si="7"/>
        <v>(0.278 * E2.3.1.8_mRNA) - (0.00000278 * E2.3.1.8)</v>
      </c>
      <c r="M85" s="80" t="str">
        <f t="shared" si="8"/>
        <v>mRNA84: -&gt; E2.3.1.8_mRNA | 0.00292 - (0.0093 * E2.3.1.8_mRNA)</v>
      </c>
      <c r="N85" s="73" t="str">
        <f t="shared" si="9"/>
        <v>Peptide84: E2.3.1.8_mRNA -&gt; E2.3.1.8 | (0.278 * E2.3.1.8_mRNA) - (0.000000278 * E2.3.1.8)</v>
      </c>
    </row>
    <row r="86" spans="1:14" ht="25">
      <c r="A86" s="70">
        <v>85</v>
      </c>
      <c r="B86" s="81" t="s">
        <v>17117</v>
      </c>
      <c r="C86" s="72" t="str">
        <f t="shared" si="0"/>
        <v>E2.3.1.89_mRNA</v>
      </c>
      <c r="D86" s="72" t="str">
        <f t="shared" si="1"/>
        <v>E2.3.1.89</v>
      </c>
      <c r="E86" s="73" t="str">
        <f t="shared" si="2"/>
        <v>E2.3.1.89_kcat : 13.7</v>
      </c>
      <c r="F86" s="74" t="str">
        <f t="shared" si="3"/>
        <v>E2.3.1.89_km : 1</v>
      </c>
      <c r="G86" s="75" t="str">
        <f t="shared" ref="G86:H86" si="176">CONCATENATE(C86," : ",C86)</f>
        <v>E2.3.1.89_mRNA : E2.3.1.89_mRNA</v>
      </c>
      <c r="H86" s="76" t="str">
        <f t="shared" si="176"/>
        <v>E2.3.1.89 : E2.3.1.89</v>
      </c>
      <c r="I86" s="77" t="str">
        <f t="shared" ref="I86:J86" si="177">CONCATENATE(C86," : ","0")</f>
        <v>E2.3.1.89_mRNA : 0</v>
      </c>
      <c r="J86" s="78" t="str">
        <f t="shared" si="177"/>
        <v>E2.3.1.89 : 0</v>
      </c>
      <c r="K86" s="79" t="str">
        <f t="shared" si="6"/>
        <v>0.00292 - (0.0093 * E2.3.1.89_mRNA)</v>
      </c>
      <c r="L86" s="75" t="str">
        <f t="shared" si="7"/>
        <v>(0.278 * E2.3.1.89_mRNA) - (0.00000278 * E2.3.1.89)</v>
      </c>
      <c r="M86" s="80" t="str">
        <f t="shared" si="8"/>
        <v>mRNA85: -&gt; E2.3.1.89_mRNA | 0.00292 - (0.0093 * E2.3.1.89_mRNA)</v>
      </c>
      <c r="N86" s="73" t="str">
        <f t="shared" si="9"/>
        <v>Peptide85: E2.3.1.89_mRNA -&gt; E2.3.1.89 | (0.278 * E2.3.1.89_mRNA) - (0.000000278 * E2.3.1.89)</v>
      </c>
    </row>
    <row r="87" spans="1:14" ht="25">
      <c r="A87" s="70">
        <v>86</v>
      </c>
      <c r="B87" s="81" t="s">
        <v>17118</v>
      </c>
      <c r="C87" s="72" t="str">
        <f t="shared" si="0"/>
        <v>E2.3.3.10_mRNA</v>
      </c>
      <c r="D87" s="72" t="str">
        <f t="shared" si="1"/>
        <v>E2.3.3.10</v>
      </c>
      <c r="E87" s="73" t="str">
        <f t="shared" si="2"/>
        <v>E2.3.3.10_kcat : 13.7</v>
      </c>
      <c r="F87" s="74" t="str">
        <f t="shared" si="3"/>
        <v>E2.3.3.10_km : 1</v>
      </c>
      <c r="G87" s="75" t="str">
        <f t="shared" ref="G87:H87" si="178">CONCATENATE(C87," : ",C87)</f>
        <v>E2.3.3.10_mRNA : E2.3.3.10_mRNA</v>
      </c>
      <c r="H87" s="76" t="str">
        <f t="shared" si="178"/>
        <v>E2.3.3.10 : E2.3.3.10</v>
      </c>
      <c r="I87" s="77" t="str">
        <f t="shared" ref="I87:J87" si="179">CONCATENATE(C87," : ","0")</f>
        <v>E2.3.3.10_mRNA : 0</v>
      </c>
      <c r="J87" s="78" t="str">
        <f t="shared" si="179"/>
        <v>E2.3.3.10 : 0</v>
      </c>
      <c r="K87" s="79" t="str">
        <f t="shared" si="6"/>
        <v>0.00292 - (0.0093 * E2.3.3.10_mRNA)</v>
      </c>
      <c r="L87" s="75" t="str">
        <f t="shared" si="7"/>
        <v>(0.278 * E2.3.3.10_mRNA) - (0.00000278 * E2.3.3.10)</v>
      </c>
      <c r="M87" s="80" t="str">
        <f t="shared" si="8"/>
        <v>mRNA86: -&gt; E2.3.3.10_mRNA | 0.00292 - (0.0093 * E2.3.3.10_mRNA)</v>
      </c>
      <c r="N87" s="73" t="str">
        <f t="shared" si="9"/>
        <v>Peptide86: E2.3.3.10_mRNA -&gt; E2.3.3.10 | (0.278 * E2.3.3.10_mRNA) - (0.000000278 * E2.3.3.10)</v>
      </c>
    </row>
    <row r="88" spans="1:14" ht="25">
      <c r="A88" s="70">
        <v>87</v>
      </c>
      <c r="B88" s="81" t="s">
        <v>17119</v>
      </c>
      <c r="C88" s="72" t="str">
        <f t="shared" si="0"/>
        <v>E2.4.1.1_mRNA</v>
      </c>
      <c r="D88" s="72" t="str">
        <f t="shared" si="1"/>
        <v>E2.4.1.1</v>
      </c>
      <c r="E88" s="73" t="str">
        <f t="shared" si="2"/>
        <v>E2.4.1.1_kcat : 13.7</v>
      </c>
      <c r="F88" s="74" t="str">
        <f t="shared" si="3"/>
        <v>E2.4.1.1_km : 1</v>
      </c>
      <c r="G88" s="75" t="str">
        <f t="shared" ref="G88:H88" si="180">CONCATENATE(C88," : ",C88)</f>
        <v>E2.4.1.1_mRNA : E2.4.1.1_mRNA</v>
      </c>
      <c r="H88" s="76" t="str">
        <f t="shared" si="180"/>
        <v>E2.4.1.1 : E2.4.1.1</v>
      </c>
      <c r="I88" s="77" t="str">
        <f t="shared" ref="I88:J88" si="181">CONCATENATE(C88," : ","0")</f>
        <v>E2.4.1.1_mRNA : 0</v>
      </c>
      <c r="J88" s="78" t="str">
        <f t="shared" si="181"/>
        <v>E2.4.1.1 : 0</v>
      </c>
      <c r="K88" s="79" t="str">
        <f t="shared" si="6"/>
        <v>0.00292 - (0.0093 * E2.4.1.1_mRNA)</v>
      </c>
      <c r="L88" s="75" t="str">
        <f t="shared" si="7"/>
        <v>(0.278 * E2.4.1.1_mRNA) - (0.00000278 * E2.4.1.1)</v>
      </c>
      <c r="M88" s="80" t="str">
        <f t="shared" si="8"/>
        <v>mRNA87: -&gt; E2.4.1.1_mRNA | 0.00292 - (0.0093 * E2.4.1.1_mRNA)</v>
      </c>
      <c r="N88" s="73" t="str">
        <f t="shared" si="9"/>
        <v>Peptide87: E2.4.1.1_mRNA -&gt; E2.4.1.1 | (0.278 * E2.4.1.1_mRNA) - (0.000000278 * E2.4.1.1)</v>
      </c>
    </row>
    <row r="89" spans="1:14" ht="25">
      <c r="A89" s="70">
        <v>88</v>
      </c>
      <c r="B89" s="81" t="s">
        <v>17120</v>
      </c>
      <c r="C89" s="72" t="str">
        <f t="shared" si="0"/>
        <v>E2.4.1.21_mRNA</v>
      </c>
      <c r="D89" s="72" t="str">
        <f t="shared" si="1"/>
        <v>E2.4.1.21</v>
      </c>
      <c r="E89" s="73" t="str">
        <f t="shared" si="2"/>
        <v>E2.4.1.21_kcat : 13.7</v>
      </c>
      <c r="F89" s="74" t="str">
        <f t="shared" si="3"/>
        <v>E2.4.1.21_km : 1</v>
      </c>
      <c r="G89" s="75" t="str">
        <f t="shared" ref="G89:H89" si="182">CONCATENATE(C89," : ",C89)</f>
        <v>E2.4.1.21_mRNA : E2.4.1.21_mRNA</v>
      </c>
      <c r="H89" s="76" t="str">
        <f t="shared" si="182"/>
        <v>E2.4.1.21 : E2.4.1.21</v>
      </c>
      <c r="I89" s="77" t="str">
        <f t="shared" ref="I89:J89" si="183">CONCATENATE(C89," : ","0")</f>
        <v>E2.4.1.21_mRNA : 0</v>
      </c>
      <c r="J89" s="78" t="str">
        <f t="shared" si="183"/>
        <v>E2.4.1.21 : 0</v>
      </c>
      <c r="K89" s="79" t="str">
        <f t="shared" si="6"/>
        <v>0.00292 - (0.0093 * E2.4.1.21_mRNA)</v>
      </c>
      <c r="L89" s="75" t="str">
        <f t="shared" si="7"/>
        <v>(0.278 * E2.4.1.21_mRNA) - (0.00000278 * E2.4.1.21)</v>
      </c>
      <c r="M89" s="80" t="str">
        <f t="shared" si="8"/>
        <v>mRNA88: -&gt; E2.4.1.21_mRNA | 0.00292 - (0.0093 * E2.4.1.21_mRNA)</v>
      </c>
      <c r="N89" s="73" t="str">
        <f t="shared" si="9"/>
        <v>Peptide88: E2.4.1.21_mRNA -&gt; E2.4.1.21 | (0.278 * E2.4.1.21_mRNA) - (0.000000278 * E2.4.1.21)</v>
      </c>
    </row>
    <row r="90" spans="1:14" ht="25">
      <c r="A90" s="70">
        <v>89</v>
      </c>
      <c r="B90" s="71" t="s">
        <v>8101</v>
      </c>
      <c r="C90" s="72" t="str">
        <f t="shared" si="0"/>
        <v>E2.4.1.227_mRNA</v>
      </c>
      <c r="D90" s="72" t="str">
        <f t="shared" si="1"/>
        <v>E2.4.1.227</v>
      </c>
      <c r="E90" s="73" t="str">
        <f t="shared" si="2"/>
        <v>E2.4.1.227_kcat : 13.7</v>
      </c>
      <c r="F90" s="74" t="str">
        <f t="shared" si="3"/>
        <v>E2.4.1.227_km : 1</v>
      </c>
      <c r="G90" s="75" t="str">
        <f t="shared" ref="G90:H90" si="184">CONCATENATE(C90," : ",C90)</f>
        <v>E2.4.1.227_mRNA : E2.4.1.227_mRNA</v>
      </c>
      <c r="H90" s="76" t="str">
        <f t="shared" si="184"/>
        <v>E2.4.1.227 : E2.4.1.227</v>
      </c>
      <c r="I90" s="77" t="str">
        <f t="shared" ref="I90:J90" si="185">CONCATENATE(C90," : ","0")</f>
        <v>E2.4.1.227_mRNA : 0</v>
      </c>
      <c r="J90" s="78" t="str">
        <f t="shared" si="185"/>
        <v>E2.4.1.227 : 0</v>
      </c>
      <c r="K90" s="79" t="str">
        <f t="shared" si="6"/>
        <v>0.00292 - (0.0093 * E2.4.1.227_mRNA)</v>
      </c>
      <c r="L90" s="75" t="str">
        <f t="shared" si="7"/>
        <v>(0.278 * E2.4.1.227_mRNA) - (0.00000278 * E2.4.1.227)</v>
      </c>
      <c r="M90" s="80" t="str">
        <f t="shared" si="8"/>
        <v>mRNA89: -&gt; E2.4.1.227_mRNA | 0.00292 - (0.0093 * E2.4.1.227_mRNA)</v>
      </c>
      <c r="N90" s="73" t="str">
        <f t="shared" si="9"/>
        <v>Peptide89: E2.4.1.227_mRNA -&gt; E2.4.1.227 | (0.278 * E2.4.1.227_mRNA) - (0.000000278 * E2.4.1.227)</v>
      </c>
    </row>
    <row r="91" spans="1:14" ht="25">
      <c r="A91" s="70">
        <v>90</v>
      </c>
      <c r="B91" s="71" t="s">
        <v>8114</v>
      </c>
      <c r="C91" s="72" t="str">
        <f t="shared" si="0"/>
        <v>E2.4.2.14_mRNA</v>
      </c>
      <c r="D91" s="72" t="str">
        <f t="shared" si="1"/>
        <v>E2.4.2.14</v>
      </c>
      <c r="E91" s="73" t="str">
        <f t="shared" si="2"/>
        <v>E2.4.2.14_kcat : 13.7</v>
      </c>
      <c r="F91" s="74" t="str">
        <f t="shared" si="3"/>
        <v>E2.4.2.14_km : 1</v>
      </c>
      <c r="G91" s="75" t="str">
        <f t="shared" ref="G91:H91" si="186">CONCATENATE(C91," : ",C91)</f>
        <v>E2.4.2.14_mRNA : E2.4.2.14_mRNA</v>
      </c>
      <c r="H91" s="76" t="str">
        <f t="shared" si="186"/>
        <v>E2.4.2.14 : E2.4.2.14</v>
      </c>
      <c r="I91" s="77" t="str">
        <f t="shared" ref="I91:J91" si="187">CONCATENATE(C91," : ","0")</f>
        <v>E2.4.2.14_mRNA : 0</v>
      </c>
      <c r="J91" s="78" t="str">
        <f t="shared" si="187"/>
        <v>E2.4.2.14 : 0</v>
      </c>
      <c r="K91" s="79" t="str">
        <f t="shared" si="6"/>
        <v>0.00292 - (0.0093 * E2.4.2.14_mRNA)</v>
      </c>
      <c r="L91" s="75" t="str">
        <f t="shared" si="7"/>
        <v>(0.278 * E2.4.2.14_mRNA) - (0.00000278 * E2.4.2.14)</v>
      </c>
      <c r="M91" s="80" t="str">
        <f t="shared" si="8"/>
        <v>mRNA90: -&gt; E2.4.2.14_mRNA | 0.00292 - (0.0093 * E2.4.2.14_mRNA)</v>
      </c>
      <c r="N91" s="73" t="str">
        <f t="shared" si="9"/>
        <v>Peptide90: E2.4.2.14_mRNA -&gt; E2.4.2.14 | (0.278 * E2.4.2.14_mRNA) - (0.000000278 * E2.4.2.14)</v>
      </c>
    </row>
    <row r="92" spans="1:14" ht="25">
      <c r="A92" s="70">
        <v>91</v>
      </c>
      <c r="B92" s="81" t="s">
        <v>17121</v>
      </c>
      <c r="C92" s="72" t="str">
        <f t="shared" si="0"/>
        <v>E2.4.2.17_mRNA</v>
      </c>
      <c r="D92" s="72" t="str">
        <f t="shared" si="1"/>
        <v>E2.4.2.17</v>
      </c>
      <c r="E92" s="73" t="str">
        <f t="shared" si="2"/>
        <v>E2.4.2.17_kcat : 13.7</v>
      </c>
      <c r="F92" s="74" t="str">
        <f t="shared" si="3"/>
        <v>E2.4.2.17_km : 1</v>
      </c>
      <c r="G92" s="75" t="str">
        <f t="shared" ref="G92:H92" si="188">CONCATENATE(C92," : ",C92)</f>
        <v>E2.4.2.17_mRNA : E2.4.2.17_mRNA</v>
      </c>
      <c r="H92" s="76" t="str">
        <f t="shared" si="188"/>
        <v>E2.4.2.17 : E2.4.2.17</v>
      </c>
      <c r="I92" s="77" t="str">
        <f t="shared" ref="I92:J92" si="189">CONCATENATE(C92," : ","0")</f>
        <v>E2.4.2.17_mRNA : 0</v>
      </c>
      <c r="J92" s="78" t="str">
        <f t="shared" si="189"/>
        <v>E2.4.2.17 : 0</v>
      </c>
      <c r="K92" s="79" t="str">
        <f t="shared" si="6"/>
        <v>0.00292 - (0.0093 * E2.4.2.17_mRNA)</v>
      </c>
      <c r="L92" s="75" t="str">
        <f t="shared" si="7"/>
        <v>(0.278 * E2.4.2.17_mRNA) - (0.00000278 * E2.4.2.17)</v>
      </c>
      <c r="M92" s="80" t="str">
        <f t="shared" si="8"/>
        <v>mRNA91: -&gt; E2.4.2.17_mRNA | 0.00292 - (0.0093 * E2.4.2.17_mRNA)</v>
      </c>
      <c r="N92" s="73" t="str">
        <f t="shared" si="9"/>
        <v>Peptide91: E2.4.2.17_mRNA -&gt; E2.4.2.17 | (0.278 * E2.4.2.17_mRNA) - (0.000000278 * E2.4.2.17)</v>
      </c>
    </row>
    <row r="93" spans="1:14" ht="25">
      <c r="A93" s="70">
        <v>92</v>
      </c>
      <c r="B93" s="81" t="s">
        <v>17122</v>
      </c>
      <c r="C93" s="72" t="str">
        <f t="shared" si="0"/>
        <v>E2.4.2.18_mRNA</v>
      </c>
      <c r="D93" s="72" t="str">
        <f t="shared" si="1"/>
        <v>E2.4.2.18</v>
      </c>
      <c r="E93" s="73" t="str">
        <f t="shared" si="2"/>
        <v>E2.4.2.18_kcat : 13.7</v>
      </c>
      <c r="F93" s="74" t="str">
        <f t="shared" si="3"/>
        <v>E2.4.2.18_km : 1</v>
      </c>
      <c r="G93" s="75" t="str">
        <f t="shared" ref="G93:H93" si="190">CONCATENATE(C93," : ",C93)</f>
        <v>E2.4.2.18_mRNA : E2.4.2.18_mRNA</v>
      </c>
      <c r="H93" s="76" t="str">
        <f t="shared" si="190"/>
        <v>E2.4.2.18 : E2.4.2.18</v>
      </c>
      <c r="I93" s="77" t="str">
        <f t="shared" ref="I93:J93" si="191">CONCATENATE(C93," : ","0")</f>
        <v>E2.4.2.18_mRNA : 0</v>
      </c>
      <c r="J93" s="78" t="str">
        <f t="shared" si="191"/>
        <v>E2.4.2.18 : 0</v>
      </c>
      <c r="K93" s="79" t="str">
        <f t="shared" si="6"/>
        <v>0.00292 - (0.0093 * E2.4.2.18_mRNA)</v>
      </c>
      <c r="L93" s="75" t="str">
        <f t="shared" si="7"/>
        <v>(0.278 * E2.4.2.18_mRNA) - (0.00000278 * E2.4.2.18)</v>
      </c>
      <c r="M93" s="80" t="str">
        <f t="shared" si="8"/>
        <v>mRNA92: -&gt; E2.4.2.18_mRNA | 0.00292 - (0.0093 * E2.4.2.18_mRNA)</v>
      </c>
      <c r="N93" s="73" t="str">
        <f t="shared" si="9"/>
        <v>Peptide92: E2.4.2.18_mRNA -&gt; E2.4.2.18 | (0.278 * E2.4.2.18_mRNA) - (0.000000278 * E2.4.2.18)</v>
      </c>
    </row>
    <row r="94" spans="1:14" ht="25">
      <c r="A94" s="70">
        <v>93</v>
      </c>
      <c r="B94" s="71" t="s">
        <v>8123</v>
      </c>
      <c r="C94" s="72" t="str">
        <f t="shared" si="0"/>
        <v>E2.4.2.2_mRNA</v>
      </c>
      <c r="D94" s="72" t="str">
        <f t="shared" si="1"/>
        <v>E2.4.2.2</v>
      </c>
      <c r="E94" s="73" t="str">
        <f t="shared" si="2"/>
        <v>E2.4.2.2_kcat : 13.7</v>
      </c>
      <c r="F94" s="74" t="str">
        <f t="shared" si="3"/>
        <v>E2.4.2.2_km : 1</v>
      </c>
      <c r="G94" s="75" t="str">
        <f t="shared" ref="G94:H94" si="192">CONCATENATE(C94," : ",C94)</f>
        <v>E2.4.2.2_mRNA : E2.4.2.2_mRNA</v>
      </c>
      <c r="H94" s="76" t="str">
        <f t="shared" si="192"/>
        <v>E2.4.2.2 : E2.4.2.2</v>
      </c>
      <c r="I94" s="77" t="str">
        <f t="shared" ref="I94:J94" si="193">CONCATENATE(C94," : ","0")</f>
        <v>E2.4.2.2_mRNA : 0</v>
      </c>
      <c r="J94" s="78" t="str">
        <f t="shared" si="193"/>
        <v>E2.4.2.2 : 0</v>
      </c>
      <c r="K94" s="79" t="str">
        <f t="shared" si="6"/>
        <v>0.00292 - (0.0093 * E2.4.2.2_mRNA)</v>
      </c>
      <c r="L94" s="75" t="str">
        <f t="shared" si="7"/>
        <v>(0.278 * E2.4.2.2_mRNA) - (0.00000278 * E2.4.2.2)</v>
      </c>
      <c r="M94" s="80" t="str">
        <f t="shared" si="8"/>
        <v>mRNA93: -&gt; E2.4.2.2_mRNA | 0.00292 - (0.0093 * E2.4.2.2_mRNA)</v>
      </c>
      <c r="N94" s="73" t="str">
        <f t="shared" si="9"/>
        <v>Peptide93: E2.4.2.2_mRNA -&gt; E2.4.2.2 | (0.278 * E2.4.2.2_mRNA) - (0.000000278 * E2.4.2.2)</v>
      </c>
    </row>
    <row r="95" spans="1:14" ht="25">
      <c r="A95" s="70">
        <v>94</v>
      </c>
      <c r="B95" s="71" t="s">
        <v>8138</v>
      </c>
      <c r="C95" s="72" t="str">
        <f t="shared" si="0"/>
        <v>E2.4.2.22_mRNA</v>
      </c>
      <c r="D95" s="72" t="str">
        <f t="shared" si="1"/>
        <v>E2.4.2.22</v>
      </c>
      <c r="E95" s="73" t="str">
        <f t="shared" si="2"/>
        <v>E2.4.2.22_kcat : 13.7</v>
      </c>
      <c r="F95" s="74" t="str">
        <f t="shared" si="3"/>
        <v>E2.4.2.22_km : 1</v>
      </c>
      <c r="G95" s="75" t="str">
        <f t="shared" ref="G95:H95" si="194">CONCATENATE(C95," : ",C95)</f>
        <v>E2.4.2.22_mRNA : E2.4.2.22_mRNA</v>
      </c>
      <c r="H95" s="76" t="str">
        <f t="shared" si="194"/>
        <v>E2.4.2.22 : E2.4.2.22</v>
      </c>
      <c r="I95" s="77" t="str">
        <f t="shared" ref="I95:J95" si="195">CONCATENATE(C95," : ","0")</f>
        <v>E2.4.2.22_mRNA : 0</v>
      </c>
      <c r="J95" s="78" t="str">
        <f t="shared" si="195"/>
        <v>E2.4.2.22 : 0</v>
      </c>
      <c r="K95" s="79" t="str">
        <f t="shared" si="6"/>
        <v>0.00292 - (0.0093 * E2.4.2.22_mRNA)</v>
      </c>
      <c r="L95" s="75" t="str">
        <f t="shared" si="7"/>
        <v>(0.278 * E2.4.2.22_mRNA) - (0.00000278 * E2.4.2.22)</v>
      </c>
      <c r="M95" s="80" t="str">
        <f t="shared" si="8"/>
        <v>mRNA94: -&gt; E2.4.2.22_mRNA | 0.00292 - (0.0093 * E2.4.2.22_mRNA)</v>
      </c>
      <c r="N95" s="73" t="str">
        <f t="shared" si="9"/>
        <v>Peptide94: E2.4.2.22_mRNA -&gt; E2.4.2.22 | (0.278 * E2.4.2.22_mRNA) - (0.000000278 * E2.4.2.22)</v>
      </c>
    </row>
    <row r="96" spans="1:14" ht="25">
      <c r="A96" s="70">
        <v>95</v>
      </c>
      <c r="B96" s="71" t="s">
        <v>8144</v>
      </c>
      <c r="C96" s="72" t="str">
        <f t="shared" si="0"/>
        <v>E2.4.2.29_mRNA</v>
      </c>
      <c r="D96" s="72" t="str">
        <f t="shared" si="1"/>
        <v>E2.4.2.29</v>
      </c>
      <c r="E96" s="73" t="str">
        <f t="shared" si="2"/>
        <v>E2.4.2.29_kcat : 13.7</v>
      </c>
      <c r="F96" s="74" t="str">
        <f t="shared" si="3"/>
        <v>E2.4.2.29_km : 1</v>
      </c>
      <c r="G96" s="75" t="str">
        <f t="shared" ref="G96:H96" si="196">CONCATENATE(C96," : ",C96)</f>
        <v>E2.4.2.29_mRNA : E2.4.2.29_mRNA</v>
      </c>
      <c r="H96" s="76" t="str">
        <f t="shared" si="196"/>
        <v>E2.4.2.29 : E2.4.2.29</v>
      </c>
      <c r="I96" s="77" t="str">
        <f t="shared" ref="I96:J96" si="197">CONCATENATE(C96," : ","0")</f>
        <v>E2.4.2.29_mRNA : 0</v>
      </c>
      <c r="J96" s="78" t="str">
        <f t="shared" si="197"/>
        <v>E2.4.2.29 : 0</v>
      </c>
      <c r="K96" s="79" t="str">
        <f t="shared" si="6"/>
        <v>0.00292 - (0.0093 * E2.4.2.29_mRNA)</v>
      </c>
      <c r="L96" s="75" t="str">
        <f t="shared" si="7"/>
        <v>(0.278 * E2.4.2.29_mRNA) - (0.00000278 * E2.4.2.29)</v>
      </c>
      <c r="M96" s="80" t="str">
        <f t="shared" si="8"/>
        <v>mRNA95: -&gt; E2.4.2.29_mRNA | 0.00292 - (0.0093 * E2.4.2.29_mRNA)</v>
      </c>
      <c r="N96" s="73" t="str">
        <f t="shared" si="9"/>
        <v>Peptide95: E2.4.2.29_mRNA -&gt; E2.4.2.29 | (0.278 * E2.4.2.29_mRNA) - (0.000000278 * E2.4.2.29)</v>
      </c>
    </row>
    <row r="97" spans="1:14" ht="25">
      <c r="A97" s="70">
        <v>96</v>
      </c>
      <c r="B97" s="71" t="s">
        <v>8147</v>
      </c>
      <c r="C97" s="72" t="str">
        <f t="shared" si="0"/>
        <v>E2.4.2.52_mRNA</v>
      </c>
      <c r="D97" s="72" t="str">
        <f t="shared" si="1"/>
        <v>E2.4.2.52</v>
      </c>
      <c r="E97" s="73" t="str">
        <f t="shared" si="2"/>
        <v>E2.4.2.52_kcat : 13.7</v>
      </c>
      <c r="F97" s="74" t="str">
        <f t="shared" si="3"/>
        <v>E2.4.2.52_km : 1</v>
      </c>
      <c r="G97" s="75" t="str">
        <f t="shared" ref="G97:H97" si="198">CONCATENATE(C97," : ",C97)</f>
        <v>E2.4.2.52_mRNA : E2.4.2.52_mRNA</v>
      </c>
      <c r="H97" s="76" t="str">
        <f t="shared" si="198"/>
        <v>E2.4.2.52 : E2.4.2.52</v>
      </c>
      <c r="I97" s="77" t="str">
        <f t="shared" ref="I97:J97" si="199">CONCATENATE(C97," : ","0")</f>
        <v>E2.4.2.52_mRNA : 0</v>
      </c>
      <c r="J97" s="78" t="str">
        <f t="shared" si="199"/>
        <v>E2.4.2.52 : 0</v>
      </c>
      <c r="K97" s="79" t="str">
        <f t="shared" si="6"/>
        <v>0.00292 - (0.0093 * E2.4.2.52_mRNA)</v>
      </c>
      <c r="L97" s="75" t="str">
        <f t="shared" si="7"/>
        <v>(0.278 * E2.4.2.52_mRNA) - (0.00000278 * E2.4.2.52)</v>
      </c>
      <c r="M97" s="80" t="str">
        <f t="shared" si="8"/>
        <v>mRNA96: -&gt; E2.4.2.52_mRNA | 0.00292 - (0.0093 * E2.4.2.52_mRNA)</v>
      </c>
      <c r="N97" s="73" t="str">
        <f t="shared" si="9"/>
        <v>Peptide96: E2.4.2.52_mRNA -&gt; E2.4.2.52 | (0.278 * E2.4.2.52_mRNA) - (0.000000278 * E2.4.2.52)</v>
      </c>
    </row>
    <row r="98" spans="1:14" ht="25">
      <c r="A98" s="70">
        <v>97</v>
      </c>
      <c r="B98" s="71" t="s">
        <v>8150</v>
      </c>
      <c r="C98" s="72" t="str">
        <f t="shared" si="0"/>
        <v>E2.4.2.7_mRNA</v>
      </c>
      <c r="D98" s="72" t="str">
        <f t="shared" si="1"/>
        <v>E2.4.2.7</v>
      </c>
      <c r="E98" s="73" t="str">
        <f t="shared" si="2"/>
        <v>E2.4.2.7_kcat : 13.7</v>
      </c>
      <c r="F98" s="74" t="str">
        <f t="shared" si="3"/>
        <v>E2.4.2.7_km : 1</v>
      </c>
      <c r="G98" s="75" t="str">
        <f t="shared" ref="G98:H98" si="200">CONCATENATE(C98," : ",C98)</f>
        <v>E2.4.2.7_mRNA : E2.4.2.7_mRNA</v>
      </c>
      <c r="H98" s="76" t="str">
        <f t="shared" si="200"/>
        <v>E2.4.2.7 : E2.4.2.7</v>
      </c>
      <c r="I98" s="77" t="str">
        <f t="shared" ref="I98:J98" si="201">CONCATENATE(C98," : ","0")</f>
        <v>E2.4.2.7_mRNA : 0</v>
      </c>
      <c r="J98" s="78" t="str">
        <f t="shared" si="201"/>
        <v>E2.4.2.7 : 0</v>
      </c>
      <c r="K98" s="79" t="str">
        <f t="shared" si="6"/>
        <v>0.00292 - (0.0093 * E2.4.2.7_mRNA)</v>
      </c>
      <c r="L98" s="75" t="str">
        <f t="shared" si="7"/>
        <v>(0.278 * E2.4.2.7_mRNA) - (0.00000278 * E2.4.2.7)</v>
      </c>
      <c r="M98" s="80" t="str">
        <f t="shared" si="8"/>
        <v>mRNA97: -&gt; E2.4.2.7_mRNA | 0.00292 - (0.0093 * E2.4.2.7_mRNA)</v>
      </c>
      <c r="N98" s="73" t="str">
        <f t="shared" si="9"/>
        <v>Peptide97: E2.4.2.7_mRNA -&gt; E2.4.2.7 | (0.278 * E2.4.2.7_mRNA) - (0.000000278 * E2.4.2.7)</v>
      </c>
    </row>
    <row r="99" spans="1:14" ht="25">
      <c r="A99" s="70">
        <v>98</v>
      </c>
      <c r="B99" s="81" t="s">
        <v>17123</v>
      </c>
      <c r="C99" s="72" t="str">
        <f t="shared" si="0"/>
        <v>E2.4.2.8_mRNA</v>
      </c>
      <c r="D99" s="72" t="str">
        <f t="shared" si="1"/>
        <v>E2.4.2.8</v>
      </c>
      <c r="E99" s="73" t="str">
        <f t="shared" si="2"/>
        <v>E2.4.2.8_kcat : 13.7</v>
      </c>
      <c r="F99" s="74" t="str">
        <f t="shared" si="3"/>
        <v>E2.4.2.8_km : 1</v>
      </c>
      <c r="G99" s="75" t="str">
        <f t="shared" ref="G99:H99" si="202">CONCATENATE(C99," : ",C99)</f>
        <v>E2.4.2.8_mRNA : E2.4.2.8_mRNA</v>
      </c>
      <c r="H99" s="76" t="str">
        <f t="shared" si="202"/>
        <v>E2.4.2.8 : E2.4.2.8</v>
      </c>
      <c r="I99" s="77" t="str">
        <f t="shared" ref="I99:J99" si="203">CONCATENATE(C99," : ","0")</f>
        <v>E2.4.2.8_mRNA : 0</v>
      </c>
      <c r="J99" s="78" t="str">
        <f t="shared" si="203"/>
        <v>E2.4.2.8 : 0</v>
      </c>
      <c r="K99" s="79" t="str">
        <f t="shared" si="6"/>
        <v>0.00292 - (0.0093 * E2.4.2.8_mRNA)</v>
      </c>
      <c r="L99" s="75" t="str">
        <f t="shared" si="7"/>
        <v>(0.278 * E2.4.2.8_mRNA) - (0.00000278 * E2.4.2.8)</v>
      </c>
      <c r="M99" s="80" t="str">
        <f t="shared" si="8"/>
        <v>mRNA98: -&gt; E2.4.2.8_mRNA | 0.00292 - (0.0093 * E2.4.2.8_mRNA)</v>
      </c>
      <c r="N99" s="73" t="str">
        <f t="shared" si="9"/>
        <v>Peptide98: E2.4.2.8_mRNA -&gt; E2.4.2.8 | (0.278 * E2.4.2.8_mRNA) - (0.000000278 * E2.4.2.8)</v>
      </c>
    </row>
    <row r="100" spans="1:14" ht="25">
      <c r="A100" s="70">
        <v>99</v>
      </c>
      <c r="B100" s="71" t="s">
        <v>8159</v>
      </c>
      <c r="C100" s="72" t="str">
        <f t="shared" si="0"/>
        <v>E2.4.2.9_mRNA</v>
      </c>
      <c r="D100" s="72" t="str">
        <f t="shared" si="1"/>
        <v>E2.4.2.9</v>
      </c>
      <c r="E100" s="73" t="str">
        <f t="shared" si="2"/>
        <v>E2.4.2.9_kcat : 13.7</v>
      </c>
      <c r="F100" s="74" t="str">
        <f t="shared" si="3"/>
        <v>E2.4.2.9_km : 1</v>
      </c>
      <c r="G100" s="75" t="str">
        <f t="shared" ref="G100:H100" si="204">CONCATENATE(C100," : ",C100)</f>
        <v>E2.4.2.9_mRNA : E2.4.2.9_mRNA</v>
      </c>
      <c r="H100" s="76" t="str">
        <f t="shared" si="204"/>
        <v>E2.4.2.9 : E2.4.2.9</v>
      </c>
      <c r="I100" s="77" t="str">
        <f t="shared" ref="I100:J100" si="205">CONCATENATE(C100," : ","0")</f>
        <v>E2.4.2.9_mRNA : 0</v>
      </c>
      <c r="J100" s="78" t="str">
        <f t="shared" si="205"/>
        <v>E2.4.2.9 : 0</v>
      </c>
      <c r="K100" s="79" t="str">
        <f t="shared" si="6"/>
        <v>0.00292 - (0.0093 * E2.4.2.9_mRNA)</v>
      </c>
      <c r="L100" s="75" t="str">
        <f t="shared" si="7"/>
        <v>(0.278 * E2.4.2.9_mRNA) - (0.00000278 * E2.4.2.9)</v>
      </c>
      <c r="M100" s="80" t="str">
        <f t="shared" si="8"/>
        <v>mRNA99: -&gt; E2.4.2.9_mRNA | 0.00292 - (0.0093 * E2.4.2.9_mRNA)</v>
      </c>
      <c r="N100" s="73" t="str">
        <f t="shared" si="9"/>
        <v>Peptide99: E2.4.2.9_mRNA -&gt; E2.4.2.9 | (0.278 * E2.4.2.9_mRNA) - (0.000000278 * E2.4.2.9)</v>
      </c>
    </row>
    <row r="101" spans="1:14" ht="25">
      <c r="A101" s="70">
        <v>100</v>
      </c>
      <c r="B101" s="71" t="s">
        <v>8162</v>
      </c>
      <c r="C101" s="72" t="str">
        <f t="shared" si="0"/>
        <v>E2.4.99.17_mRNA</v>
      </c>
      <c r="D101" s="72" t="str">
        <f t="shared" si="1"/>
        <v>E2.4.99.17</v>
      </c>
      <c r="E101" s="73" t="str">
        <f t="shared" si="2"/>
        <v>E2.4.99.17_kcat : 13.7</v>
      </c>
      <c r="F101" s="74" t="str">
        <f t="shared" si="3"/>
        <v>E2.4.99.17_km : 1</v>
      </c>
      <c r="G101" s="75" t="str">
        <f t="shared" ref="G101:H101" si="206">CONCATENATE(C101," : ",C101)</f>
        <v>E2.4.99.17_mRNA : E2.4.99.17_mRNA</v>
      </c>
      <c r="H101" s="76" t="str">
        <f t="shared" si="206"/>
        <v>E2.4.99.17 : E2.4.99.17</v>
      </c>
      <c r="I101" s="77" t="str">
        <f t="shared" ref="I101:J101" si="207">CONCATENATE(C101," : ","0")</f>
        <v>E2.4.99.17_mRNA : 0</v>
      </c>
      <c r="J101" s="78" t="str">
        <f t="shared" si="207"/>
        <v>E2.4.99.17 : 0</v>
      </c>
      <c r="K101" s="79" t="str">
        <f t="shared" si="6"/>
        <v>0.00292 - (0.0093 * E2.4.99.17_mRNA)</v>
      </c>
      <c r="L101" s="75" t="str">
        <f t="shared" si="7"/>
        <v>(0.278 * E2.4.99.17_mRNA) - (0.00000278 * E2.4.99.17)</v>
      </c>
      <c r="M101" s="80" t="str">
        <f t="shared" si="8"/>
        <v>mRNA100: -&gt; E2.4.99.17_mRNA | 0.00292 - (0.0093 * E2.4.99.17_mRNA)</v>
      </c>
      <c r="N101" s="73" t="str">
        <f t="shared" si="9"/>
        <v>Peptide100: E2.4.99.17_mRNA -&gt; E2.4.99.17 | (0.278 * E2.4.99.17_mRNA) - (0.000000278 * E2.4.99.17)</v>
      </c>
    </row>
    <row r="102" spans="1:14" ht="25">
      <c r="A102" s="70">
        <v>101</v>
      </c>
      <c r="B102" s="71" t="s">
        <v>8165</v>
      </c>
      <c r="C102" s="72" t="str">
        <f t="shared" si="0"/>
        <v>E2.5.1.145_mRNA</v>
      </c>
      <c r="D102" s="72" t="str">
        <f t="shared" si="1"/>
        <v>E2.5.1.145</v>
      </c>
      <c r="E102" s="73" t="str">
        <f t="shared" si="2"/>
        <v>E2.5.1.145_kcat : 13.7</v>
      </c>
      <c r="F102" s="74" t="str">
        <f t="shared" si="3"/>
        <v>E2.5.1.145_km : 1</v>
      </c>
      <c r="G102" s="75" t="str">
        <f t="shared" ref="G102:H102" si="208">CONCATENATE(C102," : ",C102)</f>
        <v>E2.5.1.145_mRNA : E2.5.1.145_mRNA</v>
      </c>
      <c r="H102" s="76" t="str">
        <f t="shared" si="208"/>
        <v>E2.5.1.145 : E2.5.1.145</v>
      </c>
      <c r="I102" s="77" t="str">
        <f t="shared" ref="I102:J102" si="209">CONCATENATE(C102," : ","0")</f>
        <v>E2.5.1.145_mRNA : 0</v>
      </c>
      <c r="J102" s="78" t="str">
        <f t="shared" si="209"/>
        <v>E2.5.1.145 : 0</v>
      </c>
      <c r="K102" s="79" t="str">
        <f t="shared" si="6"/>
        <v>0.00292 - (0.0093 * E2.5.1.145_mRNA)</v>
      </c>
      <c r="L102" s="75" t="str">
        <f t="shared" si="7"/>
        <v>(0.278 * E2.5.1.145_mRNA) - (0.00000278 * E2.5.1.145)</v>
      </c>
      <c r="M102" s="80" t="str">
        <f t="shared" si="8"/>
        <v>mRNA101: -&gt; E2.5.1.145_mRNA | 0.00292 - (0.0093 * E2.5.1.145_mRNA)</v>
      </c>
      <c r="N102" s="73" t="str">
        <f t="shared" si="9"/>
        <v>Peptide101: E2.5.1.145_mRNA -&gt; E2.5.1.145 | (0.278 * E2.5.1.145_mRNA) - (0.000000278 * E2.5.1.145)</v>
      </c>
    </row>
    <row r="103" spans="1:14" ht="25">
      <c r="A103" s="70">
        <v>102</v>
      </c>
      <c r="B103" s="71" t="s">
        <v>8167</v>
      </c>
      <c r="C103" s="72" t="str">
        <f t="shared" si="0"/>
        <v>E2.5.1.17_mRNA</v>
      </c>
      <c r="D103" s="72" t="str">
        <f t="shared" si="1"/>
        <v>E2.5.1.17</v>
      </c>
      <c r="E103" s="73" t="str">
        <f t="shared" si="2"/>
        <v>E2.5.1.17_kcat : 13.7</v>
      </c>
      <c r="F103" s="74" t="str">
        <f t="shared" si="3"/>
        <v>E2.5.1.17_km : 1</v>
      </c>
      <c r="G103" s="75" t="str">
        <f t="shared" ref="G103:H103" si="210">CONCATENATE(C103," : ",C103)</f>
        <v>E2.5.1.17_mRNA : E2.5.1.17_mRNA</v>
      </c>
      <c r="H103" s="76" t="str">
        <f t="shared" si="210"/>
        <v>E2.5.1.17 : E2.5.1.17</v>
      </c>
      <c r="I103" s="77" t="str">
        <f t="shared" ref="I103:J103" si="211">CONCATENATE(C103," : ","0")</f>
        <v>E2.5.1.17_mRNA : 0</v>
      </c>
      <c r="J103" s="78" t="str">
        <f t="shared" si="211"/>
        <v>E2.5.1.17 : 0</v>
      </c>
      <c r="K103" s="79" t="str">
        <f t="shared" si="6"/>
        <v>0.00292 - (0.0093 * E2.5.1.17_mRNA)</v>
      </c>
      <c r="L103" s="75" t="str">
        <f t="shared" si="7"/>
        <v>(0.278 * E2.5.1.17_mRNA) - (0.00000278 * E2.5.1.17)</v>
      </c>
      <c r="M103" s="80" t="str">
        <f t="shared" si="8"/>
        <v>mRNA102: -&gt; E2.5.1.17_mRNA | 0.00292 - (0.0093 * E2.5.1.17_mRNA)</v>
      </c>
      <c r="N103" s="73" t="str">
        <f t="shared" si="9"/>
        <v>Peptide102: E2.5.1.17_mRNA -&gt; E2.5.1.17 | (0.278 * E2.5.1.17_mRNA) - (0.000000278 * E2.5.1.17)</v>
      </c>
    </row>
    <row r="104" spans="1:14" ht="25">
      <c r="A104" s="70">
        <v>103</v>
      </c>
      <c r="B104" s="71" t="s">
        <v>8183</v>
      </c>
      <c r="C104" s="72" t="str">
        <f t="shared" si="0"/>
        <v>E2.5.1.3_mRNA</v>
      </c>
      <c r="D104" s="72" t="str">
        <f t="shared" si="1"/>
        <v>E2.5.1.3</v>
      </c>
      <c r="E104" s="73" t="str">
        <f t="shared" si="2"/>
        <v>E2.5.1.3_kcat : 13.7</v>
      </c>
      <c r="F104" s="74" t="str">
        <f t="shared" si="3"/>
        <v>E2.5.1.3_km : 1</v>
      </c>
      <c r="G104" s="75" t="str">
        <f t="shared" ref="G104:H104" si="212">CONCATENATE(C104," : ",C104)</f>
        <v>E2.5.1.3_mRNA : E2.5.1.3_mRNA</v>
      </c>
      <c r="H104" s="76" t="str">
        <f t="shared" si="212"/>
        <v>E2.5.1.3 : E2.5.1.3</v>
      </c>
      <c r="I104" s="77" t="str">
        <f t="shared" ref="I104:J104" si="213">CONCATENATE(C104," : ","0")</f>
        <v>E2.5.1.3_mRNA : 0</v>
      </c>
      <c r="J104" s="78" t="str">
        <f t="shared" si="213"/>
        <v>E2.5.1.3 : 0</v>
      </c>
      <c r="K104" s="79" t="str">
        <f t="shared" si="6"/>
        <v>0.00292 - (0.0093 * E2.5.1.3_mRNA)</v>
      </c>
      <c r="L104" s="75" t="str">
        <f t="shared" si="7"/>
        <v>(0.278 * E2.5.1.3_mRNA) - (0.00000278 * E2.5.1.3)</v>
      </c>
      <c r="M104" s="80" t="str">
        <f t="shared" si="8"/>
        <v>mRNA103: -&gt; E2.5.1.3_mRNA | 0.00292 - (0.0093 * E2.5.1.3_mRNA)</v>
      </c>
      <c r="N104" s="73" t="str">
        <f t="shared" si="9"/>
        <v>Peptide103: E2.5.1.3_mRNA -&gt; E2.5.1.3 | (0.278 * E2.5.1.3_mRNA) - (0.000000278 * E2.5.1.3)</v>
      </c>
    </row>
    <row r="105" spans="1:14" ht="25">
      <c r="A105" s="70">
        <v>104</v>
      </c>
      <c r="B105" s="71" t="s">
        <v>8191</v>
      </c>
      <c r="C105" s="72" t="str">
        <f t="shared" si="0"/>
        <v>E2.5.1.47_mRNA</v>
      </c>
      <c r="D105" s="72" t="str">
        <f t="shared" si="1"/>
        <v>E2.5.1.47</v>
      </c>
      <c r="E105" s="73" t="str">
        <f t="shared" si="2"/>
        <v>E2.5.1.47_kcat : 13.7</v>
      </c>
      <c r="F105" s="74" t="str">
        <f t="shared" si="3"/>
        <v>E2.5.1.47_km : 1</v>
      </c>
      <c r="G105" s="75" t="str">
        <f t="shared" ref="G105:H105" si="214">CONCATENATE(C105," : ",C105)</f>
        <v>E2.5.1.47_mRNA : E2.5.1.47_mRNA</v>
      </c>
      <c r="H105" s="76" t="str">
        <f t="shared" si="214"/>
        <v>E2.5.1.47 : E2.5.1.47</v>
      </c>
      <c r="I105" s="77" t="str">
        <f t="shared" ref="I105:J105" si="215">CONCATENATE(C105," : ","0")</f>
        <v>E2.5.1.47_mRNA : 0</v>
      </c>
      <c r="J105" s="78" t="str">
        <f t="shared" si="215"/>
        <v>E2.5.1.47 : 0</v>
      </c>
      <c r="K105" s="79" t="str">
        <f t="shared" si="6"/>
        <v>0.00292 - (0.0093 * E2.5.1.47_mRNA)</v>
      </c>
      <c r="L105" s="75" t="str">
        <f t="shared" si="7"/>
        <v>(0.278 * E2.5.1.47_mRNA) - (0.00000278 * E2.5.1.47)</v>
      </c>
      <c r="M105" s="80" t="str">
        <f t="shared" si="8"/>
        <v>mRNA104: -&gt; E2.5.1.47_mRNA | 0.00292 - (0.0093 * E2.5.1.47_mRNA)</v>
      </c>
      <c r="N105" s="73" t="str">
        <f t="shared" si="9"/>
        <v>Peptide104: E2.5.1.47_mRNA -&gt; E2.5.1.47 | (0.278 * E2.5.1.47_mRNA) - (0.000000278 * E2.5.1.47)</v>
      </c>
    </row>
    <row r="106" spans="1:14" ht="25">
      <c r="A106" s="70">
        <v>105</v>
      </c>
      <c r="B106" s="71" t="s">
        <v>8202</v>
      </c>
      <c r="C106" s="72" t="str">
        <f t="shared" si="0"/>
        <v>E2.5.1.6_mRNA</v>
      </c>
      <c r="D106" s="72" t="str">
        <f t="shared" si="1"/>
        <v>E2.5.1.6</v>
      </c>
      <c r="E106" s="73" t="str">
        <f t="shared" si="2"/>
        <v>E2.5.1.6_kcat : 13.7</v>
      </c>
      <c r="F106" s="74" t="str">
        <f t="shared" si="3"/>
        <v>E2.5.1.6_km : 1</v>
      </c>
      <c r="G106" s="75" t="str">
        <f t="shared" ref="G106:H106" si="216">CONCATENATE(C106," : ",C106)</f>
        <v>E2.5.1.6_mRNA : E2.5.1.6_mRNA</v>
      </c>
      <c r="H106" s="76" t="str">
        <f t="shared" si="216"/>
        <v>E2.5.1.6 : E2.5.1.6</v>
      </c>
      <c r="I106" s="77" t="str">
        <f t="shared" ref="I106:J106" si="217">CONCATENATE(C106," : ","0")</f>
        <v>E2.5.1.6_mRNA : 0</v>
      </c>
      <c r="J106" s="78" t="str">
        <f t="shared" si="217"/>
        <v>E2.5.1.6 : 0</v>
      </c>
      <c r="K106" s="79" t="str">
        <f t="shared" si="6"/>
        <v>0.00292 - (0.0093 * E2.5.1.6_mRNA)</v>
      </c>
      <c r="L106" s="75" t="str">
        <f t="shared" si="7"/>
        <v>(0.278 * E2.5.1.6_mRNA) - (0.00000278 * E2.5.1.6)</v>
      </c>
      <c r="M106" s="80" t="str">
        <f t="shared" si="8"/>
        <v>mRNA105: -&gt; E2.5.1.6_mRNA | 0.00292 - (0.0093 * E2.5.1.6_mRNA)</v>
      </c>
      <c r="N106" s="73" t="str">
        <f t="shared" si="9"/>
        <v>Peptide105: E2.5.1.6_mRNA -&gt; E2.5.1.6 | (0.278 * E2.5.1.6_mRNA) - (0.000000278 * E2.5.1.6)</v>
      </c>
    </row>
    <row r="107" spans="1:14" ht="25">
      <c r="A107" s="70">
        <v>106</v>
      </c>
      <c r="B107" s="71" t="s">
        <v>8208</v>
      </c>
      <c r="C107" s="72" t="str">
        <f t="shared" si="0"/>
        <v>E2.5.1.7_mRNA</v>
      </c>
      <c r="D107" s="72" t="str">
        <f t="shared" si="1"/>
        <v>E2.5.1.7</v>
      </c>
      <c r="E107" s="73" t="str">
        <f t="shared" si="2"/>
        <v>E2.5.1.7_kcat : 13.7</v>
      </c>
      <c r="F107" s="74" t="str">
        <f t="shared" si="3"/>
        <v>E2.5.1.7_km : 1</v>
      </c>
      <c r="G107" s="75" t="str">
        <f t="shared" ref="G107:H107" si="218">CONCATENATE(C107," : ",C107)</f>
        <v>E2.5.1.7_mRNA : E2.5.1.7_mRNA</v>
      </c>
      <c r="H107" s="76" t="str">
        <f t="shared" si="218"/>
        <v>E2.5.1.7 : E2.5.1.7</v>
      </c>
      <c r="I107" s="77" t="str">
        <f t="shared" ref="I107:J107" si="219">CONCATENATE(C107," : ","0")</f>
        <v>E2.5.1.7_mRNA : 0</v>
      </c>
      <c r="J107" s="78" t="str">
        <f t="shared" si="219"/>
        <v>E2.5.1.7 : 0</v>
      </c>
      <c r="K107" s="79" t="str">
        <f t="shared" si="6"/>
        <v>0.00292 - (0.0093 * E2.5.1.7_mRNA)</v>
      </c>
      <c r="L107" s="75" t="str">
        <f t="shared" si="7"/>
        <v>(0.278 * E2.5.1.7_mRNA) - (0.00000278 * E2.5.1.7)</v>
      </c>
      <c r="M107" s="80" t="str">
        <f t="shared" si="8"/>
        <v>mRNA106: -&gt; E2.5.1.7_mRNA | 0.00292 - (0.0093 * E2.5.1.7_mRNA)</v>
      </c>
      <c r="N107" s="73" t="str">
        <f t="shared" si="9"/>
        <v>Peptide106: E2.5.1.7_mRNA -&gt; E2.5.1.7 | (0.278 * E2.5.1.7_mRNA) - (0.000000278 * E2.5.1.7)</v>
      </c>
    </row>
    <row r="108" spans="1:14" ht="25">
      <c r="A108" s="70">
        <v>107</v>
      </c>
      <c r="B108" s="81" t="s">
        <v>17124</v>
      </c>
      <c r="C108" s="72" t="str">
        <f t="shared" si="0"/>
        <v>E2.5.1.74_mRNA</v>
      </c>
      <c r="D108" s="72" t="str">
        <f t="shared" si="1"/>
        <v>E2.5.1.74</v>
      </c>
      <c r="E108" s="73" t="str">
        <f t="shared" si="2"/>
        <v>E2.5.1.74_kcat : 13.7</v>
      </c>
      <c r="F108" s="74" t="str">
        <f t="shared" si="3"/>
        <v>E2.5.1.74_km : 1</v>
      </c>
      <c r="G108" s="75" t="str">
        <f t="shared" ref="G108:H108" si="220">CONCATENATE(C108," : ",C108)</f>
        <v>E2.5.1.74_mRNA : E2.5.1.74_mRNA</v>
      </c>
      <c r="H108" s="76" t="str">
        <f t="shared" si="220"/>
        <v>E2.5.1.74 : E2.5.1.74</v>
      </c>
      <c r="I108" s="77" t="str">
        <f t="shared" ref="I108:J108" si="221">CONCATENATE(C108," : ","0")</f>
        <v>E2.5.1.74_mRNA : 0</v>
      </c>
      <c r="J108" s="78" t="str">
        <f t="shared" si="221"/>
        <v>E2.5.1.74 : 0</v>
      </c>
      <c r="K108" s="79" t="str">
        <f t="shared" si="6"/>
        <v>0.00292 - (0.0093 * E2.5.1.74_mRNA)</v>
      </c>
      <c r="L108" s="75" t="str">
        <f t="shared" si="7"/>
        <v>(0.278 * E2.5.1.74_mRNA) - (0.00000278 * E2.5.1.74)</v>
      </c>
      <c r="M108" s="80" t="str">
        <f t="shared" si="8"/>
        <v>mRNA107: -&gt; E2.5.1.74_mRNA | 0.00292 - (0.0093 * E2.5.1.74_mRNA)</v>
      </c>
      <c r="N108" s="73" t="str">
        <f t="shared" si="9"/>
        <v>Peptide107: E2.5.1.74_mRNA -&gt; E2.5.1.74 | (0.278 * E2.5.1.74_mRNA) - (0.000000278 * E2.5.1.74)</v>
      </c>
    </row>
    <row r="109" spans="1:14" ht="25">
      <c r="A109" s="70">
        <v>108</v>
      </c>
      <c r="B109" s="81" t="s">
        <v>17125</v>
      </c>
      <c r="C109" s="72" t="str">
        <f t="shared" si="0"/>
        <v>E2.5.1.75_mRNA</v>
      </c>
      <c r="D109" s="72" t="str">
        <f t="shared" si="1"/>
        <v>E2.5.1.75</v>
      </c>
      <c r="E109" s="73" t="str">
        <f t="shared" si="2"/>
        <v>E2.5.1.75_kcat : 13.7</v>
      </c>
      <c r="F109" s="74" t="str">
        <f t="shared" si="3"/>
        <v>E2.5.1.75_km : 1</v>
      </c>
      <c r="G109" s="75" t="str">
        <f t="shared" ref="G109:H109" si="222">CONCATENATE(C109," : ",C109)</f>
        <v>E2.5.1.75_mRNA : E2.5.1.75_mRNA</v>
      </c>
      <c r="H109" s="76" t="str">
        <f t="shared" si="222"/>
        <v>E2.5.1.75 : E2.5.1.75</v>
      </c>
      <c r="I109" s="77" t="str">
        <f t="shared" ref="I109:J109" si="223">CONCATENATE(C109," : ","0")</f>
        <v>E2.5.1.75_mRNA : 0</v>
      </c>
      <c r="J109" s="78" t="str">
        <f t="shared" si="223"/>
        <v>E2.5.1.75 : 0</v>
      </c>
      <c r="K109" s="79" t="str">
        <f t="shared" si="6"/>
        <v>0.00292 - (0.0093 * E2.5.1.75_mRNA)</v>
      </c>
      <c r="L109" s="75" t="str">
        <f t="shared" si="7"/>
        <v>(0.278 * E2.5.1.75_mRNA) - (0.00000278 * E2.5.1.75)</v>
      </c>
      <c r="M109" s="80" t="str">
        <f t="shared" si="8"/>
        <v>mRNA108: -&gt; E2.5.1.75_mRNA | 0.00292 - (0.0093 * E2.5.1.75_mRNA)</v>
      </c>
      <c r="N109" s="73" t="str">
        <f t="shared" si="9"/>
        <v>Peptide108: E2.5.1.75_mRNA -&gt; E2.5.1.75 | (0.278 * E2.5.1.75_mRNA) - (0.000000278 * E2.5.1.75)</v>
      </c>
    </row>
    <row r="110" spans="1:14" ht="25">
      <c r="A110" s="70">
        <v>109</v>
      </c>
      <c r="B110" s="83" t="s">
        <v>8216</v>
      </c>
      <c r="C110" s="72" t="str">
        <f t="shared" si="0"/>
        <v>E2.6.1.16_mRNA</v>
      </c>
      <c r="D110" s="72" t="str">
        <f t="shared" si="1"/>
        <v>E2.6.1.16</v>
      </c>
      <c r="E110" s="73" t="str">
        <f t="shared" si="2"/>
        <v>E2.6.1.16_kcat : 13.7</v>
      </c>
      <c r="F110" s="74" t="str">
        <f t="shared" si="3"/>
        <v>E2.6.1.16_km : 1</v>
      </c>
      <c r="G110" s="75" t="str">
        <f t="shared" ref="G110:H110" si="224">CONCATENATE(C110," : ",C110)</f>
        <v>E2.6.1.16_mRNA : E2.6.1.16_mRNA</v>
      </c>
      <c r="H110" s="76" t="str">
        <f t="shared" si="224"/>
        <v>E2.6.1.16 : E2.6.1.16</v>
      </c>
      <c r="I110" s="77" t="str">
        <f t="shared" ref="I110:J110" si="225">CONCATENATE(C110," : ","0")</f>
        <v>E2.6.1.16_mRNA : 0</v>
      </c>
      <c r="J110" s="78" t="str">
        <f t="shared" si="225"/>
        <v>E2.6.1.16 : 0</v>
      </c>
      <c r="K110" s="79" t="str">
        <f t="shared" si="6"/>
        <v>0.00292 - (0.0093 * E2.6.1.16_mRNA)</v>
      </c>
      <c r="L110" s="75" t="str">
        <f t="shared" si="7"/>
        <v>(0.278 * E2.6.1.16_mRNA) - (0.00000278 * E2.6.1.16)</v>
      </c>
      <c r="M110" s="80" t="str">
        <f t="shared" si="8"/>
        <v>mRNA109: -&gt; E2.6.1.16_mRNA | 0.00292 - (0.0093 * E2.6.1.16_mRNA)</v>
      </c>
      <c r="N110" s="73" t="str">
        <f t="shared" si="9"/>
        <v>Peptide109: E2.6.1.16_mRNA -&gt; E2.6.1.16 | (0.278 * E2.6.1.16_mRNA) - (0.000000278 * E2.6.1.16)</v>
      </c>
    </row>
    <row r="111" spans="1:14" ht="25">
      <c r="A111" s="70">
        <v>110</v>
      </c>
      <c r="B111" s="71" t="s">
        <v>8220</v>
      </c>
      <c r="C111" s="72" t="str">
        <f t="shared" si="0"/>
        <v>E2.6.1.42_mRNA</v>
      </c>
      <c r="D111" s="72" t="str">
        <f t="shared" si="1"/>
        <v>E2.6.1.42</v>
      </c>
      <c r="E111" s="73" t="str">
        <f t="shared" si="2"/>
        <v>E2.6.1.42_kcat : 13.7</v>
      </c>
      <c r="F111" s="74" t="str">
        <f t="shared" si="3"/>
        <v>E2.6.1.42_km : 1</v>
      </c>
      <c r="G111" s="75" t="str">
        <f t="shared" ref="G111:H111" si="226">CONCATENATE(C111," : ",C111)</f>
        <v>E2.6.1.42_mRNA : E2.6.1.42_mRNA</v>
      </c>
      <c r="H111" s="76" t="str">
        <f t="shared" si="226"/>
        <v>E2.6.1.42 : E2.6.1.42</v>
      </c>
      <c r="I111" s="77" t="str">
        <f t="shared" ref="I111:J111" si="227">CONCATENATE(C111," : ","0")</f>
        <v>E2.6.1.42_mRNA : 0</v>
      </c>
      <c r="J111" s="78" t="str">
        <f t="shared" si="227"/>
        <v>E2.6.1.42 : 0</v>
      </c>
      <c r="K111" s="79" t="str">
        <f t="shared" si="6"/>
        <v>0.00292 - (0.0093 * E2.6.1.42_mRNA)</v>
      </c>
      <c r="L111" s="75" t="str">
        <f t="shared" si="7"/>
        <v>(0.278 * E2.6.1.42_mRNA) - (0.00000278 * E2.6.1.42)</v>
      </c>
      <c r="M111" s="80" t="str">
        <f t="shared" si="8"/>
        <v>mRNA110: -&gt; E2.6.1.42_mRNA | 0.00292 - (0.0093 * E2.6.1.42_mRNA)</v>
      </c>
      <c r="N111" s="73" t="str">
        <f t="shared" si="9"/>
        <v>Peptide110: E2.6.1.42_mRNA -&gt; E2.6.1.42 | (0.278 * E2.6.1.42_mRNA) - (0.000000278 * E2.6.1.42)</v>
      </c>
    </row>
    <row r="112" spans="1:14" ht="25">
      <c r="A112" s="70">
        <v>111</v>
      </c>
      <c r="B112" s="81" t="s">
        <v>17126</v>
      </c>
      <c r="C112" s="72" t="str">
        <f t="shared" si="0"/>
        <v>E2.6.1.9_mRNA</v>
      </c>
      <c r="D112" s="72" t="str">
        <f t="shared" si="1"/>
        <v>E2.6.1.9</v>
      </c>
      <c r="E112" s="73" t="str">
        <f t="shared" si="2"/>
        <v>E2.6.1.9_kcat : 13.7</v>
      </c>
      <c r="F112" s="74" t="str">
        <f t="shared" si="3"/>
        <v>E2.6.1.9_km : 1</v>
      </c>
      <c r="G112" s="75" t="str">
        <f t="shared" ref="G112:H112" si="228">CONCATENATE(C112," : ",C112)</f>
        <v>E2.6.1.9_mRNA : E2.6.1.9_mRNA</v>
      </c>
      <c r="H112" s="76" t="str">
        <f t="shared" si="228"/>
        <v>E2.6.1.9 : E2.6.1.9</v>
      </c>
      <c r="I112" s="77" t="str">
        <f t="shared" ref="I112:J112" si="229">CONCATENATE(C112," : ","0")</f>
        <v>E2.6.1.9_mRNA : 0</v>
      </c>
      <c r="J112" s="78" t="str">
        <f t="shared" si="229"/>
        <v>E2.6.1.9 : 0</v>
      </c>
      <c r="K112" s="79" t="str">
        <f t="shared" si="6"/>
        <v>0.00292 - (0.0093 * E2.6.1.9_mRNA)</v>
      </c>
      <c r="L112" s="75" t="str">
        <f t="shared" si="7"/>
        <v>(0.278 * E2.6.1.9_mRNA) - (0.00000278 * E2.6.1.9)</v>
      </c>
      <c r="M112" s="80" t="str">
        <f t="shared" si="8"/>
        <v>mRNA111: -&gt; E2.6.1.9_mRNA | 0.00292 - (0.0093 * E2.6.1.9_mRNA)</v>
      </c>
      <c r="N112" s="73" t="str">
        <f t="shared" si="9"/>
        <v>Peptide111: E2.6.1.9_mRNA -&gt; E2.6.1.9 | (0.278 * E2.6.1.9_mRNA) - (0.000000278 * E2.6.1.9)</v>
      </c>
    </row>
    <row r="113" spans="1:14" ht="25">
      <c r="A113" s="70">
        <v>112</v>
      </c>
      <c r="B113" s="71" t="s">
        <v>8241</v>
      </c>
      <c r="C113" s="72" t="str">
        <f t="shared" si="0"/>
        <v>E2.7.1.107_mRNA</v>
      </c>
      <c r="D113" s="72" t="str">
        <f t="shared" si="1"/>
        <v>E2.7.1.107</v>
      </c>
      <c r="E113" s="73" t="str">
        <f t="shared" si="2"/>
        <v>E2.7.1.107_kcat : 13.7</v>
      </c>
      <c r="F113" s="74" t="str">
        <f t="shared" si="3"/>
        <v>E2.7.1.107_km : 1</v>
      </c>
      <c r="G113" s="75" t="str">
        <f t="shared" ref="G113:H113" si="230">CONCATENATE(C113," : ",C113)</f>
        <v>E2.7.1.107_mRNA : E2.7.1.107_mRNA</v>
      </c>
      <c r="H113" s="76" t="str">
        <f t="shared" si="230"/>
        <v>E2.7.1.107 : E2.7.1.107</v>
      </c>
      <c r="I113" s="77" t="str">
        <f t="shared" ref="I113:J113" si="231">CONCATENATE(C113," : ","0")</f>
        <v>E2.7.1.107_mRNA : 0</v>
      </c>
      <c r="J113" s="78" t="str">
        <f t="shared" si="231"/>
        <v>E2.7.1.107 : 0</v>
      </c>
      <c r="K113" s="79" t="str">
        <f t="shared" si="6"/>
        <v>0.00292 - (0.0093 * E2.7.1.107_mRNA)</v>
      </c>
      <c r="L113" s="75" t="str">
        <f t="shared" si="7"/>
        <v>(0.278 * E2.7.1.107_mRNA) - (0.00000278 * E2.7.1.107)</v>
      </c>
      <c r="M113" s="80" t="str">
        <f t="shared" si="8"/>
        <v>mRNA112: -&gt; E2.7.1.107_mRNA | 0.00292 - (0.0093 * E2.7.1.107_mRNA)</v>
      </c>
      <c r="N113" s="73" t="str">
        <f t="shared" si="9"/>
        <v>Peptide112: E2.7.1.107_mRNA -&gt; E2.7.1.107 | (0.278 * E2.7.1.107_mRNA) - (0.000000278 * E2.7.1.107)</v>
      </c>
    </row>
    <row r="114" spans="1:14" ht="25">
      <c r="A114" s="70">
        <v>113</v>
      </c>
      <c r="B114" s="81" t="s">
        <v>17127</v>
      </c>
      <c r="C114" s="72" t="str">
        <f t="shared" si="0"/>
        <v>E2.7.1.11_mRNA</v>
      </c>
      <c r="D114" s="72" t="str">
        <f t="shared" si="1"/>
        <v>E2.7.1.11</v>
      </c>
      <c r="E114" s="73" t="str">
        <f t="shared" si="2"/>
        <v>E2.7.1.11_kcat : 13.7</v>
      </c>
      <c r="F114" s="74" t="str">
        <f t="shared" si="3"/>
        <v>E2.7.1.11_km : 1</v>
      </c>
      <c r="G114" s="75" t="str">
        <f t="shared" ref="G114:H114" si="232">CONCATENATE(C114," : ",C114)</f>
        <v>E2.7.1.11_mRNA : E2.7.1.11_mRNA</v>
      </c>
      <c r="H114" s="76" t="str">
        <f t="shared" si="232"/>
        <v>E2.7.1.11 : E2.7.1.11</v>
      </c>
      <c r="I114" s="77" t="str">
        <f t="shared" ref="I114:J114" si="233">CONCATENATE(C114," : ","0")</f>
        <v>E2.7.1.11_mRNA : 0</v>
      </c>
      <c r="J114" s="78" t="str">
        <f t="shared" si="233"/>
        <v>E2.7.1.11 : 0</v>
      </c>
      <c r="K114" s="79" t="str">
        <f t="shared" si="6"/>
        <v>0.00292 - (0.0093 * E2.7.1.11_mRNA)</v>
      </c>
      <c r="L114" s="75" t="str">
        <f t="shared" si="7"/>
        <v>(0.278 * E2.7.1.11_mRNA) - (0.00000278 * E2.7.1.11)</v>
      </c>
      <c r="M114" s="80" t="str">
        <f t="shared" si="8"/>
        <v>mRNA113: -&gt; E2.7.1.11_mRNA | 0.00292 - (0.0093 * E2.7.1.11_mRNA)</v>
      </c>
      <c r="N114" s="73" t="str">
        <f t="shared" si="9"/>
        <v>Peptide113: E2.7.1.11_mRNA -&gt; E2.7.1.11 | (0.278 * E2.7.1.11_mRNA) - (0.000000278 * E2.7.1.11)</v>
      </c>
    </row>
    <row r="115" spans="1:14" ht="25">
      <c r="A115" s="70">
        <v>114</v>
      </c>
      <c r="B115" s="81" t="s">
        <v>17128</v>
      </c>
      <c r="C115" s="72" t="str">
        <f t="shared" si="0"/>
        <v>E2.7.1.12_mRNA</v>
      </c>
      <c r="D115" s="72" t="str">
        <f t="shared" si="1"/>
        <v>E2.7.1.12</v>
      </c>
      <c r="E115" s="73" t="str">
        <f t="shared" si="2"/>
        <v>E2.7.1.12_kcat : 13.7</v>
      </c>
      <c r="F115" s="74" t="str">
        <f t="shared" si="3"/>
        <v>E2.7.1.12_km : 1</v>
      </c>
      <c r="G115" s="75" t="str">
        <f t="shared" ref="G115:H115" si="234">CONCATENATE(C115," : ",C115)</f>
        <v>E2.7.1.12_mRNA : E2.7.1.12_mRNA</v>
      </c>
      <c r="H115" s="76" t="str">
        <f t="shared" si="234"/>
        <v>E2.7.1.12 : E2.7.1.12</v>
      </c>
      <c r="I115" s="77" t="str">
        <f t="shared" ref="I115:J115" si="235">CONCATENATE(C115," : ","0")</f>
        <v>E2.7.1.12_mRNA : 0</v>
      </c>
      <c r="J115" s="78" t="str">
        <f t="shared" si="235"/>
        <v>E2.7.1.12 : 0</v>
      </c>
      <c r="K115" s="79" t="str">
        <f t="shared" si="6"/>
        <v>0.00292 - (0.0093 * E2.7.1.12_mRNA)</v>
      </c>
      <c r="L115" s="75" t="str">
        <f t="shared" si="7"/>
        <v>(0.278 * E2.7.1.12_mRNA) - (0.00000278 * E2.7.1.12)</v>
      </c>
      <c r="M115" s="80" t="str">
        <f t="shared" si="8"/>
        <v>mRNA114: -&gt; E2.7.1.12_mRNA | 0.00292 - (0.0093 * E2.7.1.12_mRNA)</v>
      </c>
      <c r="N115" s="73" t="str">
        <f t="shared" si="9"/>
        <v>Peptide114: E2.7.1.12_mRNA -&gt; E2.7.1.12 | (0.278 * E2.7.1.12_mRNA) - (0.000000278 * E2.7.1.12)</v>
      </c>
    </row>
    <row r="116" spans="1:14" ht="25">
      <c r="A116" s="70">
        <v>115</v>
      </c>
      <c r="B116" s="81" t="s">
        <v>17129</v>
      </c>
      <c r="C116" s="72" t="str">
        <f t="shared" si="0"/>
        <v>E2.7.1.121_mRNA</v>
      </c>
      <c r="D116" s="72" t="str">
        <f t="shared" si="1"/>
        <v>E2.7.1.121</v>
      </c>
      <c r="E116" s="73" t="str">
        <f t="shared" si="2"/>
        <v>E2.7.1.121_kcat : 13.7</v>
      </c>
      <c r="F116" s="74" t="str">
        <f t="shared" si="3"/>
        <v>E2.7.1.121_km : 1</v>
      </c>
      <c r="G116" s="75" t="str">
        <f t="shared" ref="G116:H116" si="236">CONCATENATE(C116," : ",C116)</f>
        <v>E2.7.1.121_mRNA : E2.7.1.121_mRNA</v>
      </c>
      <c r="H116" s="76" t="str">
        <f t="shared" si="236"/>
        <v>E2.7.1.121 : E2.7.1.121</v>
      </c>
      <c r="I116" s="77" t="str">
        <f t="shared" ref="I116:J116" si="237">CONCATENATE(C116," : ","0")</f>
        <v>E2.7.1.121_mRNA : 0</v>
      </c>
      <c r="J116" s="78" t="str">
        <f t="shared" si="237"/>
        <v>E2.7.1.121 : 0</v>
      </c>
      <c r="K116" s="79" t="str">
        <f t="shared" si="6"/>
        <v>0.00292 - (0.0093 * E2.7.1.121_mRNA)</v>
      </c>
      <c r="L116" s="75" t="str">
        <f t="shared" si="7"/>
        <v>(0.278 * E2.7.1.121_mRNA) - (0.00000278 * E2.7.1.121)</v>
      </c>
      <c r="M116" s="80" t="str">
        <f t="shared" si="8"/>
        <v>mRNA115: -&gt; E2.7.1.121_mRNA | 0.00292 - (0.0093 * E2.7.1.121_mRNA)</v>
      </c>
      <c r="N116" s="73" t="str">
        <f t="shared" si="9"/>
        <v>Peptide115: E2.7.1.121_mRNA -&gt; E2.7.1.121 | (0.278 * E2.7.1.121_mRNA) - (0.000000278 * E2.7.1.121)</v>
      </c>
    </row>
    <row r="117" spans="1:14" ht="25">
      <c r="A117" s="70">
        <v>116</v>
      </c>
      <c r="B117" s="81" t="s">
        <v>17130</v>
      </c>
      <c r="C117" s="72" t="str">
        <f t="shared" si="0"/>
        <v>E2.7.1.144_mRNA</v>
      </c>
      <c r="D117" s="72" t="str">
        <f t="shared" si="1"/>
        <v>E2.7.1.144</v>
      </c>
      <c r="E117" s="73" t="str">
        <f t="shared" si="2"/>
        <v>E2.7.1.144_kcat : 13.7</v>
      </c>
      <c r="F117" s="74" t="str">
        <f t="shared" si="3"/>
        <v>E2.7.1.144_km : 1</v>
      </c>
      <c r="G117" s="75" t="str">
        <f t="shared" ref="G117:H117" si="238">CONCATENATE(C117," : ",C117)</f>
        <v>E2.7.1.144_mRNA : E2.7.1.144_mRNA</v>
      </c>
      <c r="H117" s="76" t="str">
        <f t="shared" si="238"/>
        <v>E2.7.1.144 : E2.7.1.144</v>
      </c>
      <c r="I117" s="77" t="str">
        <f t="shared" ref="I117:J117" si="239">CONCATENATE(C117," : ","0")</f>
        <v>E2.7.1.144_mRNA : 0</v>
      </c>
      <c r="J117" s="78" t="str">
        <f t="shared" si="239"/>
        <v>E2.7.1.144 : 0</v>
      </c>
      <c r="K117" s="79" t="str">
        <f t="shared" si="6"/>
        <v>0.00292 - (0.0093 * E2.7.1.144_mRNA)</v>
      </c>
      <c r="L117" s="75" t="str">
        <f t="shared" si="7"/>
        <v>(0.278 * E2.7.1.144_mRNA) - (0.00000278 * E2.7.1.144)</v>
      </c>
      <c r="M117" s="80" t="str">
        <f t="shared" si="8"/>
        <v>mRNA116: -&gt; E2.7.1.144_mRNA | 0.00292 - (0.0093 * E2.7.1.144_mRNA)</v>
      </c>
      <c r="N117" s="73" t="str">
        <f t="shared" si="9"/>
        <v>Peptide116: E2.7.1.144_mRNA -&gt; E2.7.1.144 | (0.278 * E2.7.1.144_mRNA) - (0.000000278 * E2.7.1.144)</v>
      </c>
    </row>
    <row r="118" spans="1:14" ht="25">
      <c r="A118" s="70">
        <v>117</v>
      </c>
      <c r="B118" s="81" t="s">
        <v>17131</v>
      </c>
      <c r="C118" s="72" t="str">
        <f t="shared" si="0"/>
        <v>E2.7.1.148_mRNA</v>
      </c>
      <c r="D118" s="72" t="str">
        <f t="shared" si="1"/>
        <v>E2.7.1.148</v>
      </c>
      <c r="E118" s="73" t="str">
        <f t="shared" si="2"/>
        <v>E2.7.1.148_kcat : 13.7</v>
      </c>
      <c r="F118" s="74" t="str">
        <f t="shared" si="3"/>
        <v>E2.7.1.148_km : 1</v>
      </c>
      <c r="G118" s="75" t="str">
        <f t="shared" ref="G118:H118" si="240">CONCATENATE(C118," : ",C118)</f>
        <v>E2.7.1.148_mRNA : E2.7.1.148_mRNA</v>
      </c>
      <c r="H118" s="76" t="str">
        <f t="shared" si="240"/>
        <v>E2.7.1.148 : E2.7.1.148</v>
      </c>
      <c r="I118" s="77" t="str">
        <f t="shared" ref="I118:J118" si="241">CONCATENATE(C118," : ","0")</f>
        <v>E2.7.1.148_mRNA : 0</v>
      </c>
      <c r="J118" s="78" t="str">
        <f t="shared" si="241"/>
        <v>E2.7.1.148 : 0</v>
      </c>
      <c r="K118" s="79" t="str">
        <f t="shared" si="6"/>
        <v>0.00292 - (0.0093 * E2.7.1.148_mRNA)</v>
      </c>
      <c r="L118" s="75" t="str">
        <f t="shared" si="7"/>
        <v>(0.278 * E2.7.1.148_mRNA) - (0.00000278 * E2.7.1.148)</v>
      </c>
      <c r="M118" s="80" t="str">
        <f t="shared" si="8"/>
        <v>mRNA117: -&gt; E2.7.1.148_mRNA | 0.00292 - (0.0093 * E2.7.1.148_mRNA)</v>
      </c>
      <c r="N118" s="73" t="str">
        <f t="shared" si="9"/>
        <v>Peptide117: E2.7.1.148_mRNA -&gt; E2.7.1.148 | (0.278 * E2.7.1.148_mRNA) - (0.000000278 * E2.7.1.148)</v>
      </c>
    </row>
    <row r="119" spans="1:14" ht="25">
      <c r="A119" s="70">
        <v>118</v>
      </c>
      <c r="B119" s="71" t="s">
        <v>8276</v>
      </c>
      <c r="C119" s="72" t="str">
        <f t="shared" si="0"/>
        <v>E2.7.1.15_mRNA</v>
      </c>
      <c r="D119" s="72" t="str">
        <f t="shared" si="1"/>
        <v>E2.7.1.15</v>
      </c>
      <c r="E119" s="73" t="str">
        <f t="shared" si="2"/>
        <v>E2.7.1.15_kcat : 13.7</v>
      </c>
      <c r="F119" s="74" t="str">
        <f t="shared" si="3"/>
        <v>E2.7.1.15_km : 1</v>
      </c>
      <c r="G119" s="75" t="str">
        <f t="shared" ref="G119:H119" si="242">CONCATENATE(C119," : ",C119)</f>
        <v>E2.7.1.15_mRNA : E2.7.1.15_mRNA</v>
      </c>
      <c r="H119" s="76" t="str">
        <f t="shared" si="242"/>
        <v>E2.7.1.15 : E2.7.1.15</v>
      </c>
      <c r="I119" s="77" t="str">
        <f t="shared" ref="I119:J119" si="243">CONCATENATE(C119," : ","0")</f>
        <v>E2.7.1.15_mRNA : 0</v>
      </c>
      <c r="J119" s="78" t="str">
        <f t="shared" si="243"/>
        <v>E2.7.1.15 : 0</v>
      </c>
      <c r="K119" s="79" t="str">
        <f t="shared" si="6"/>
        <v>0.00292 - (0.0093 * E2.7.1.15_mRNA)</v>
      </c>
      <c r="L119" s="75" t="str">
        <f t="shared" si="7"/>
        <v>(0.278 * E2.7.1.15_mRNA) - (0.00000278 * E2.7.1.15)</v>
      </c>
      <c r="M119" s="80" t="str">
        <f t="shared" si="8"/>
        <v>mRNA118: -&gt; E2.7.1.15_mRNA | 0.00292 - (0.0093 * E2.7.1.15_mRNA)</v>
      </c>
      <c r="N119" s="73" t="str">
        <f t="shared" si="9"/>
        <v>Peptide118: E2.7.1.15_mRNA -&gt; E2.7.1.15 | (0.278 * E2.7.1.15_mRNA) - (0.000000278 * E2.7.1.15)</v>
      </c>
    </row>
    <row r="120" spans="1:14" ht="25">
      <c r="A120" s="70">
        <v>119</v>
      </c>
      <c r="B120" s="81" t="s">
        <v>17132</v>
      </c>
      <c r="C120" s="72" t="str">
        <f t="shared" si="0"/>
        <v>E2.7.1.17_mRNA</v>
      </c>
      <c r="D120" s="72" t="str">
        <f t="shared" si="1"/>
        <v>E2.7.1.17</v>
      </c>
      <c r="E120" s="73" t="str">
        <f t="shared" si="2"/>
        <v>E2.7.1.17_kcat : 13.7</v>
      </c>
      <c r="F120" s="74" t="str">
        <f t="shared" si="3"/>
        <v>E2.7.1.17_km : 1</v>
      </c>
      <c r="G120" s="75" t="str">
        <f t="shared" ref="G120:H120" si="244">CONCATENATE(C120," : ",C120)</f>
        <v>E2.7.1.17_mRNA : E2.7.1.17_mRNA</v>
      </c>
      <c r="H120" s="76" t="str">
        <f t="shared" si="244"/>
        <v>E2.7.1.17 : E2.7.1.17</v>
      </c>
      <c r="I120" s="77" t="str">
        <f t="shared" ref="I120:J120" si="245">CONCATENATE(C120," : ","0")</f>
        <v>E2.7.1.17_mRNA : 0</v>
      </c>
      <c r="J120" s="78" t="str">
        <f t="shared" si="245"/>
        <v>E2.7.1.17 : 0</v>
      </c>
      <c r="K120" s="79" t="str">
        <f t="shared" si="6"/>
        <v>0.00292 - (0.0093 * E2.7.1.17_mRNA)</v>
      </c>
      <c r="L120" s="75" t="str">
        <f t="shared" si="7"/>
        <v>(0.278 * E2.7.1.17_mRNA) - (0.00000278 * E2.7.1.17)</v>
      </c>
      <c r="M120" s="80" t="str">
        <f t="shared" si="8"/>
        <v>mRNA119: -&gt; E2.7.1.17_mRNA | 0.00292 - (0.0093 * E2.7.1.17_mRNA)</v>
      </c>
      <c r="N120" s="73" t="str">
        <f t="shared" si="9"/>
        <v>Peptide119: E2.7.1.17_mRNA -&gt; E2.7.1.17 | (0.278 * E2.7.1.17_mRNA) - (0.000000278 * E2.7.1.17)</v>
      </c>
    </row>
    <row r="121" spans="1:14" ht="25">
      <c r="A121" s="70">
        <v>120</v>
      </c>
      <c r="B121" s="71" t="s">
        <v>8282</v>
      </c>
      <c r="C121" s="72" t="str">
        <f t="shared" si="0"/>
        <v>E2.7.1.197_mRNA</v>
      </c>
      <c r="D121" s="72" t="str">
        <f t="shared" si="1"/>
        <v>E2.7.1.197</v>
      </c>
      <c r="E121" s="73" t="str">
        <f t="shared" si="2"/>
        <v>E2.7.1.197_kcat : 13.7</v>
      </c>
      <c r="F121" s="74" t="str">
        <f t="shared" si="3"/>
        <v>E2.7.1.197_km : 1</v>
      </c>
      <c r="G121" s="75" t="str">
        <f t="shared" ref="G121:H121" si="246">CONCATENATE(C121," : ",C121)</f>
        <v>E2.7.1.197_mRNA : E2.7.1.197_mRNA</v>
      </c>
      <c r="H121" s="76" t="str">
        <f t="shared" si="246"/>
        <v>E2.7.1.197 : E2.7.1.197</v>
      </c>
      <c r="I121" s="77" t="str">
        <f t="shared" ref="I121:J121" si="247">CONCATENATE(C121," : ","0")</f>
        <v>E2.7.1.197_mRNA : 0</v>
      </c>
      <c r="J121" s="78" t="str">
        <f t="shared" si="247"/>
        <v>E2.7.1.197 : 0</v>
      </c>
      <c r="K121" s="79" t="str">
        <f t="shared" si="6"/>
        <v>0.00292 - (0.0093 * E2.7.1.197_mRNA)</v>
      </c>
      <c r="L121" s="75" t="str">
        <f t="shared" si="7"/>
        <v>(0.278 * E2.7.1.197_mRNA) - (0.00000278 * E2.7.1.197)</v>
      </c>
      <c r="M121" s="80" t="str">
        <f t="shared" si="8"/>
        <v>mRNA120: -&gt; E2.7.1.197_mRNA | 0.00292 - (0.0093 * E2.7.1.197_mRNA)</v>
      </c>
      <c r="N121" s="73" t="str">
        <f t="shared" si="9"/>
        <v>Peptide120: E2.7.1.197_mRNA -&gt; E2.7.1.197 | (0.278 * E2.7.1.197_mRNA) - (0.000000278 * E2.7.1.197)</v>
      </c>
    </row>
    <row r="122" spans="1:14" ht="25">
      <c r="A122" s="70">
        <v>121</v>
      </c>
      <c r="B122" s="81" t="s">
        <v>17133</v>
      </c>
      <c r="C122" s="72" t="str">
        <f t="shared" si="0"/>
        <v>E2.7.1.2_mRNA</v>
      </c>
      <c r="D122" s="72" t="str">
        <f t="shared" si="1"/>
        <v>E2.7.1.2</v>
      </c>
      <c r="E122" s="73" t="str">
        <f t="shared" si="2"/>
        <v>E2.7.1.2_kcat : 13.7</v>
      </c>
      <c r="F122" s="74" t="str">
        <f t="shared" si="3"/>
        <v>E2.7.1.2_km : 1</v>
      </c>
      <c r="G122" s="75" t="str">
        <f t="shared" ref="G122:H122" si="248">CONCATENATE(C122," : ",C122)</f>
        <v>E2.7.1.2_mRNA : E2.7.1.2_mRNA</v>
      </c>
      <c r="H122" s="76" t="str">
        <f t="shared" si="248"/>
        <v>E2.7.1.2 : E2.7.1.2</v>
      </c>
      <c r="I122" s="77" t="str">
        <f t="shared" ref="I122:J122" si="249">CONCATENATE(C122," : ","0")</f>
        <v>E2.7.1.2_mRNA : 0</v>
      </c>
      <c r="J122" s="78" t="str">
        <f t="shared" si="249"/>
        <v>E2.7.1.2 : 0</v>
      </c>
      <c r="K122" s="79" t="str">
        <f t="shared" si="6"/>
        <v>0.00292 - (0.0093 * E2.7.1.2_mRNA)</v>
      </c>
      <c r="L122" s="75" t="str">
        <f t="shared" si="7"/>
        <v>(0.278 * E2.7.1.2_mRNA) - (0.00000278 * E2.7.1.2)</v>
      </c>
      <c r="M122" s="80" t="str">
        <f t="shared" si="8"/>
        <v>mRNA121: -&gt; E2.7.1.2_mRNA | 0.00292 - (0.0093 * E2.7.1.2_mRNA)</v>
      </c>
      <c r="N122" s="73" t="str">
        <f t="shared" si="9"/>
        <v>Peptide121: E2.7.1.2_mRNA -&gt; E2.7.1.2 | (0.278 * E2.7.1.2_mRNA) - (0.000000278 * E2.7.1.2)</v>
      </c>
    </row>
    <row r="123" spans="1:14" ht="25">
      <c r="A123" s="70">
        <v>122</v>
      </c>
      <c r="B123" s="81" t="s">
        <v>17134</v>
      </c>
      <c r="C123" s="72" t="str">
        <f t="shared" si="0"/>
        <v>E2.7.1.21_mRNA</v>
      </c>
      <c r="D123" s="72" t="str">
        <f t="shared" si="1"/>
        <v>E2.7.1.21</v>
      </c>
      <c r="E123" s="73" t="str">
        <f t="shared" si="2"/>
        <v>E2.7.1.21_kcat : 13.7</v>
      </c>
      <c r="F123" s="74" t="str">
        <f t="shared" si="3"/>
        <v>E2.7.1.21_km : 1</v>
      </c>
      <c r="G123" s="75" t="str">
        <f t="shared" ref="G123:H123" si="250">CONCATENATE(C123," : ",C123)</f>
        <v>E2.7.1.21_mRNA : E2.7.1.21_mRNA</v>
      </c>
      <c r="H123" s="76" t="str">
        <f t="shared" si="250"/>
        <v>E2.7.1.21 : E2.7.1.21</v>
      </c>
      <c r="I123" s="77" t="str">
        <f t="shared" ref="I123:J123" si="251">CONCATENATE(C123," : ","0")</f>
        <v>E2.7.1.21_mRNA : 0</v>
      </c>
      <c r="J123" s="78" t="str">
        <f t="shared" si="251"/>
        <v>E2.7.1.21 : 0</v>
      </c>
      <c r="K123" s="79" t="str">
        <f t="shared" si="6"/>
        <v>0.00292 - (0.0093 * E2.7.1.21_mRNA)</v>
      </c>
      <c r="L123" s="75" t="str">
        <f t="shared" si="7"/>
        <v>(0.278 * E2.7.1.21_mRNA) - (0.00000278 * E2.7.1.21)</v>
      </c>
      <c r="M123" s="80" t="str">
        <f t="shared" si="8"/>
        <v>mRNA122: -&gt; E2.7.1.21_mRNA | 0.00292 - (0.0093 * E2.7.1.21_mRNA)</v>
      </c>
      <c r="N123" s="73" t="str">
        <f t="shared" si="9"/>
        <v>Peptide122: E2.7.1.21_mRNA -&gt; E2.7.1.21 | (0.278 * E2.7.1.21_mRNA) - (0.000000278 * E2.7.1.21)</v>
      </c>
    </row>
    <row r="124" spans="1:14" ht="25">
      <c r="A124" s="70">
        <v>123</v>
      </c>
      <c r="B124" s="81" t="s">
        <v>17135</v>
      </c>
      <c r="C124" s="72" t="str">
        <f t="shared" si="0"/>
        <v>E2.7.1.23_mRNA</v>
      </c>
      <c r="D124" s="72" t="str">
        <f t="shared" si="1"/>
        <v>E2.7.1.23</v>
      </c>
      <c r="E124" s="73" t="str">
        <f t="shared" si="2"/>
        <v>E2.7.1.23_kcat : 13.7</v>
      </c>
      <c r="F124" s="74" t="str">
        <f t="shared" si="3"/>
        <v>E2.7.1.23_km : 1</v>
      </c>
      <c r="G124" s="75" t="str">
        <f t="shared" ref="G124:H124" si="252">CONCATENATE(C124," : ",C124)</f>
        <v>E2.7.1.23_mRNA : E2.7.1.23_mRNA</v>
      </c>
      <c r="H124" s="76" t="str">
        <f t="shared" si="252"/>
        <v>E2.7.1.23 : E2.7.1.23</v>
      </c>
      <c r="I124" s="77" t="str">
        <f t="shared" ref="I124:J124" si="253">CONCATENATE(C124," : ","0")</f>
        <v>E2.7.1.23_mRNA : 0</v>
      </c>
      <c r="J124" s="78" t="str">
        <f t="shared" si="253"/>
        <v>E2.7.1.23 : 0</v>
      </c>
      <c r="K124" s="79" t="str">
        <f t="shared" si="6"/>
        <v>0.00292 - (0.0093 * E2.7.1.23_mRNA)</v>
      </c>
      <c r="L124" s="75" t="str">
        <f t="shared" si="7"/>
        <v>(0.278 * E2.7.1.23_mRNA) - (0.00000278 * E2.7.1.23)</v>
      </c>
      <c r="M124" s="80" t="str">
        <f t="shared" si="8"/>
        <v>mRNA123: -&gt; E2.7.1.23_mRNA | 0.00292 - (0.0093 * E2.7.1.23_mRNA)</v>
      </c>
      <c r="N124" s="73" t="str">
        <f t="shared" si="9"/>
        <v>Peptide123: E2.7.1.23_mRNA -&gt; E2.7.1.23 | (0.278 * E2.7.1.23_mRNA) - (0.000000278 * E2.7.1.23)</v>
      </c>
    </row>
    <row r="125" spans="1:14" ht="25">
      <c r="A125" s="70">
        <v>124</v>
      </c>
      <c r="B125" s="81" t="s">
        <v>17136</v>
      </c>
      <c r="C125" s="72" t="str">
        <f t="shared" si="0"/>
        <v>E2.7.1.24_mRNA</v>
      </c>
      <c r="D125" s="72" t="str">
        <f t="shared" si="1"/>
        <v>E2.7.1.24</v>
      </c>
      <c r="E125" s="73" t="str">
        <f t="shared" si="2"/>
        <v>E2.7.1.24_kcat : 13.7</v>
      </c>
      <c r="F125" s="74" t="str">
        <f t="shared" si="3"/>
        <v>E2.7.1.24_km : 1</v>
      </c>
      <c r="G125" s="75" t="str">
        <f t="shared" ref="G125:H125" si="254">CONCATENATE(C125," : ",C125)</f>
        <v>E2.7.1.24_mRNA : E2.7.1.24_mRNA</v>
      </c>
      <c r="H125" s="76" t="str">
        <f t="shared" si="254"/>
        <v>E2.7.1.24 : E2.7.1.24</v>
      </c>
      <c r="I125" s="77" t="str">
        <f t="shared" ref="I125:J125" si="255">CONCATENATE(C125," : ","0")</f>
        <v>E2.7.1.24_mRNA : 0</v>
      </c>
      <c r="J125" s="78" t="str">
        <f t="shared" si="255"/>
        <v>E2.7.1.24 : 0</v>
      </c>
      <c r="K125" s="79" t="str">
        <f t="shared" si="6"/>
        <v>0.00292 - (0.0093 * E2.7.1.24_mRNA)</v>
      </c>
      <c r="L125" s="75" t="str">
        <f t="shared" si="7"/>
        <v>(0.278 * E2.7.1.24_mRNA) - (0.00000278 * E2.7.1.24)</v>
      </c>
      <c r="M125" s="80" t="str">
        <f t="shared" si="8"/>
        <v>mRNA124: -&gt; E2.7.1.24_mRNA | 0.00292 - (0.0093 * E2.7.1.24_mRNA)</v>
      </c>
      <c r="N125" s="73" t="str">
        <f t="shared" si="9"/>
        <v>Peptide124: E2.7.1.24_mRNA -&gt; E2.7.1.24 | (0.278 * E2.7.1.24_mRNA) - (0.000000278 * E2.7.1.24)</v>
      </c>
    </row>
    <row r="126" spans="1:14" ht="25">
      <c r="A126" s="70">
        <v>125</v>
      </c>
      <c r="B126" s="81" t="s">
        <v>17137</v>
      </c>
      <c r="C126" s="72" t="str">
        <f t="shared" si="0"/>
        <v>E2.7.1.26_mRNA</v>
      </c>
      <c r="D126" s="72" t="str">
        <f t="shared" si="1"/>
        <v>E2.7.1.26</v>
      </c>
      <c r="E126" s="73" t="str">
        <f t="shared" si="2"/>
        <v>E2.7.1.26_kcat : 13.7</v>
      </c>
      <c r="F126" s="74" t="str">
        <f t="shared" si="3"/>
        <v>E2.7.1.26_km : 1</v>
      </c>
      <c r="G126" s="75" t="str">
        <f t="shared" ref="G126:H126" si="256">CONCATENATE(C126," : ",C126)</f>
        <v>E2.7.1.26_mRNA : E2.7.1.26_mRNA</v>
      </c>
      <c r="H126" s="76" t="str">
        <f t="shared" si="256"/>
        <v>E2.7.1.26 : E2.7.1.26</v>
      </c>
      <c r="I126" s="77" t="str">
        <f t="shared" ref="I126:J126" si="257">CONCATENATE(C126," : ","0")</f>
        <v>E2.7.1.26_mRNA : 0</v>
      </c>
      <c r="J126" s="78" t="str">
        <f t="shared" si="257"/>
        <v>E2.7.1.26 : 0</v>
      </c>
      <c r="K126" s="79" t="str">
        <f t="shared" si="6"/>
        <v>0.00292 - (0.0093 * E2.7.1.26_mRNA)</v>
      </c>
      <c r="L126" s="75" t="str">
        <f t="shared" si="7"/>
        <v>(0.278 * E2.7.1.26_mRNA) - (0.00000278 * E2.7.1.26)</v>
      </c>
      <c r="M126" s="80" t="str">
        <f t="shared" si="8"/>
        <v>mRNA125: -&gt; E2.7.1.26_mRNA | 0.00292 - (0.0093 * E2.7.1.26_mRNA)</v>
      </c>
      <c r="N126" s="73" t="str">
        <f t="shared" si="9"/>
        <v>Peptide125: E2.7.1.26_mRNA -&gt; E2.7.1.26 | (0.278 * E2.7.1.26_mRNA) - (0.000000278 * E2.7.1.26)</v>
      </c>
    </row>
    <row r="127" spans="1:14" ht="25">
      <c r="A127" s="70">
        <v>126</v>
      </c>
      <c r="B127" s="81" t="s">
        <v>17138</v>
      </c>
      <c r="C127" s="72" t="str">
        <f t="shared" si="0"/>
        <v>E2.7.1.30_mRNA</v>
      </c>
      <c r="D127" s="72" t="str">
        <f t="shared" si="1"/>
        <v>E2.7.1.30</v>
      </c>
      <c r="E127" s="73" t="str">
        <f t="shared" si="2"/>
        <v>E2.7.1.30_kcat : 13.7</v>
      </c>
      <c r="F127" s="74" t="str">
        <f t="shared" si="3"/>
        <v>E2.7.1.30_km : 1</v>
      </c>
      <c r="G127" s="75" t="str">
        <f t="shared" ref="G127:H127" si="258">CONCATENATE(C127," : ",C127)</f>
        <v>E2.7.1.30_mRNA : E2.7.1.30_mRNA</v>
      </c>
      <c r="H127" s="76" t="str">
        <f t="shared" si="258"/>
        <v>E2.7.1.30 : E2.7.1.30</v>
      </c>
      <c r="I127" s="77" t="str">
        <f t="shared" ref="I127:J127" si="259">CONCATENATE(C127," : ","0")</f>
        <v>E2.7.1.30_mRNA : 0</v>
      </c>
      <c r="J127" s="78" t="str">
        <f t="shared" si="259"/>
        <v>E2.7.1.30 : 0</v>
      </c>
      <c r="K127" s="79" t="str">
        <f t="shared" si="6"/>
        <v>0.00292 - (0.0093 * E2.7.1.30_mRNA)</v>
      </c>
      <c r="L127" s="75" t="str">
        <f t="shared" si="7"/>
        <v>(0.278 * E2.7.1.30_mRNA) - (0.00000278 * E2.7.1.30)</v>
      </c>
      <c r="M127" s="80" t="str">
        <f t="shared" si="8"/>
        <v>mRNA126: -&gt; E2.7.1.30_mRNA | 0.00292 - (0.0093 * E2.7.1.30_mRNA)</v>
      </c>
      <c r="N127" s="73" t="str">
        <f t="shared" si="9"/>
        <v>Peptide126: E2.7.1.30_mRNA -&gt; E2.7.1.30 | (0.278 * E2.7.1.30_mRNA) - (0.000000278 * E2.7.1.30)</v>
      </c>
    </row>
    <row r="128" spans="1:14" ht="25">
      <c r="A128" s="70">
        <v>127</v>
      </c>
      <c r="B128" s="81" t="s">
        <v>17139</v>
      </c>
      <c r="C128" s="72" t="str">
        <f t="shared" si="0"/>
        <v>E2.7.1.33_mRNA</v>
      </c>
      <c r="D128" s="72" t="str">
        <f t="shared" si="1"/>
        <v>E2.7.1.33</v>
      </c>
      <c r="E128" s="73" t="str">
        <f t="shared" si="2"/>
        <v>E2.7.1.33_kcat : 13.7</v>
      </c>
      <c r="F128" s="74" t="str">
        <f t="shared" si="3"/>
        <v>E2.7.1.33_km : 1</v>
      </c>
      <c r="G128" s="75" t="str">
        <f t="shared" ref="G128:H128" si="260">CONCATENATE(C128," : ",C128)</f>
        <v>E2.7.1.33_mRNA : E2.7.1.33_mRNA</v>
      </c>
      <c r="H128" s="76" t="str">
        <f t="shared" si="260"/>
        <v>E2.7.1.33 : E2.7.1.33</v>
      </c>
      <c r="I128" s="77" t="str">
        <f t="shared" ref="I128:J128" si="261">CONCATENATE(C128," : ","0")</f>
        <v>E2.7.1.33_mRNA : 0</v>
      </c>
      <c r="J128" s="78" t="str">
        <f t="shared" si="261"/>
        <v>E2.7.1.33 : 0</v>
      </c>
      <c r="K128" s="79" t="str">
        <f t="shared" si="6"/>
        <v>0.00292 - (0.0093 * E2.7.1.33_mRNA)</v>
      </c>
      <c r="L128" s="75" t="str">
        <f t="shared" si="7"/>
        <v>(0.278 * E2.7.1.33_mRNA) - (0.00000278 * E2.7.1.33)</v>
      </c>
      <c r="M128" s="80" t="str">
        <f t="shared" si="8"/>
        <v>mRNA127: -&gt; E2.7.1.33_mRNA | 0.00292 - (0.0093 * E2.7.1.33_mRNA)</v>
      </c>
      <c r="N128" s="73" t="str">
        <f t="shared" si="9"/>
        <v>Peptide127: E2.7.1.33_mRNA -&gt; E2.7.1.33 | (0.278 * E2.7.1.33_mRNA) - (0.000000278 * E2.7.1.33)</v>
      </c>
    </row>
    <row r="129" spans="1:14" ht="25">
      <c r="A129" s="70">
        <v>128</v>
      </c>
      <c r="B129" s="81" t="s">
        <v>17140</v>
      </c>
      <c r="C129" s="72" t="str">
        <f t="shared" si="0"/>
        <v>E2.7.1.36_mRNA</v>
      </c>
      <c r="D129" s="72" t="str">
        <f t="shared" si="1"/>
        <v>E2.7.1.36</v>
      </c>
      <c r="E129" s="73" t="str">
        <f t="shared" si="2"/>
        <v>E2.7.1.36_kcat : 13.7</v>
      </c>
      <c r="F129" s="74" t="str">
        <f t="shared" si="3"/>
        <v>E2.7.1.36_km : 1</v>
      </c>
      <c r="G129" s="75" t="str">
        <f t="shared" ref="G129:H129" si="262">CONCATENATE(C129," : ",C129)</f>
        <v>E2.7.1.36_mRNA : E2.7.1.36_mRNA</v>
      </c>
      <c r="H129" s="76" t="str">
        <f t="shared" si="262"/>
        <v>E2.7.1.36 : E2.7.1.36</v>
      </c>
      <c r="I129" s="77" t="str">
        <f t="shared" ref="I129:J129" si="263">CONCATENATE(C129," : ","0")</f>
        <v>E2.7.1.36_mRNA : 0</v>
      </c>
      <c r="J129" s="78" t="str">
        <f t="shared" si="263"/>
        <v>E2.7.1.36 : 0</v>
      </c>
      <c r="K129" s="79" t="str">
        <f t="shared" si="6"/>
        <v>0.00292 - (0.0093 * E2.7.1.36_mRNA)</v>
      </c>
      <c r="L129" s="75" t="str">
        <f t="shared" si="7"/>
        <v>(0.278 * E2.7.1.36_mRNA) - (0.00000278 * E2.7.1.36)</v>
      </c>
      <c r="M129" s="80" t="str">
        <f t="shared" si="8"/>
        <v>mRNA128: -&gt; E2.7.1.36_mRNA | 0.00292 - (0.0093 * E2.7.1.36_mRNA)</v>
      </c>
      <c r="N129" s="73" t="str">
        <f t="shared" si="9"/>
        <v>Peptide128: E2.7.1.36_mRNA -&gt; E2.7.1.36 | (0.278 * E2.7.1.36_mRNA) - (0.000000278 * E2.7.1.36)</v>
      </c>
    </row>
    <row r="130" spans="1:14" ht="25">
      <c r="A130" s="70">
        <v>129</v>
      </c>
      <c r="B130" s="81" t="s">
        <v>17141</v>
      </c>
      <c r="C130" s="72" t="str">
        <f t="shared" si="0"/>
        <v>E2.7.1.39_mRNA</v>
      </c>
      <c r="D130" s="72" t="str">
        <f t="shared" si="1"/>
        <v>E2.7.1.39</v>
      </c>
      <c r="E130" s="73" t="str">
        <f t="shared" si="2"/>
        <v>E2.7.1.39_kcat : 13.7</v>
      </c>
      <c r="F130" s="74" t="str">
        <f t="shared" si="3"/>
        <v>E2.7.1.39_km : 1</v>
      </c>
      <c r="G130" s="75" t="str">
        <f t="shared" ref="G130:H130" si="264">CONCATENATE(C130," : ",C130)</f>
        <v>E2.7.1.39_mRNA : E2.7.1.39_mRNA</v>
      </c>
      <c r="H130" s="76" t="str">
        <f t="shared" si="264"/>
        <v>E2.7.1.39 : E2.7.1.39</v>
      </c>
      <c r="I130" s="77" t="str">
        <f t="shared" ref="I130:J130" si="265">CONCATENATE(C130," : ","0")</f>
        <v>E2.7.1.39_mRNA : 0</v>
      </c>
      <c r="J130" s="78" t="str">
        <f t="shared" si="265"/>
        <v>E2.7.1.39 : 0</v>
      </c>
      <c r="K130" s="79" t="str">
        <f t="shared" si="6"/>
        <v>0.00292 - (0.0093 * E2.7.1.39_mRNA)</v>
      </c>
      <c r="L130" s="75" t="str">
        <f t="shared" si="7"/>
        <v>(0.278 * E2.7.1.39_mRNA) - (0.00000278 * E2.7.1.39)</v>
      </c>
      <c r="M130" s="80" t="str">
        <f t="shared" si="8"/>
        <v>mRNA129: -&gt; E2.7.1.39_mRNA | 0.00292 - (0.0093 * E2.7.1.39_mRNA)</v>
      </c>
      <c r="N130" s="73" t="str">
        <f t="shared" si="9"/>
        <v>Peptide129: E2.7.1.39_mRNA -&gt; E2.7.1.39 | (0.278 * E2.7.1.39_mRNA) - (0.000000278 * E2.7.1.39)</v>
      </c>
    </row>
    <row r="131" spans="1:14" ht="25">
      <c r="A131" s="70">
        <v>130</v>
      </c>
      <c r="B131" s="81" t="s">
        <v>17142</v>
      </c>
      <c r="C131" s="72" t="str">
        <f t="shared" si="0"/>
        <v>E2.7.1.40_mRNA</v>
      </c>
      <c r="D131" s="72" t="str">
        <f t="shared" si="1"/>
        <v>E2.7.1.40</v>
      </c>
      <c r="E131" s="73" t="str">
        <f t="shared" si="2"/>
        <v>E2.7.1.40_kcat : 13.7</v>
      </c>
      <c r="F131" s="74" t="str">
        <f t="shared" si="3"/>
        <v>E2.7.1.40_km : 1</v>
      </c>
      <c r="G131" s="75" t="str">
        <f t="shared" ref="G131:H131" si="266">CONCATENATE(C131," : ",C131)</f>
        <v>E2.7.1.40_mRNA : E2.7.1.40_mRNA</v>
      </c>
      <c r="H131" s="76" t="str">
        <f t="shared" si="266"/>
        <v>E2.7.1.40 : E2.7.1.40</v>
      </c>
      <c r="I131" s="77" t="str">
        <f t="shared" ref="I131:J131" si="267">CONCATENATE(C131," : ","0")</f>
        <v>E2.7.1.40_mRNA : 0</v>
      </c>
      <c r="J131" s="78" t="str">
        <f t="shared" si="267"/>
        <v>E2.7.1.40 : 0</v>
      </c>
      <c r="K131" s="79" t="str">
        <f t="shared" si="6"/>
        <v>0.00292 - (0.0093 * E2.7.1.40_mRNA)</v>
      </c>
      <c r="L131" s="75" t="str">
        <f t="shared" si="7"/>
        <v>(0.278 * E2.7.1.40_mRNA) - (0.00000278 * E2.7.1.40)</v>
      </c>
      <c r="M131" s="80" t="str">
        <f t="shared" si="8"/>
        <v>mRNA130: -&gt; E2.7.1.40_mRNA | 0.00292 - (0.0093 * E2.7.1.40_mRNA)</v>
      </c>
      <c r="N131" s="73" t="str">
        <f t="shared" si="9"/>
        <v>Peptide130: E2.7.1.40_mRNA -&gt; E2.7.1.40 | (0.278 * E2.7.1.40_mRNA) - (0.000000278 * E2.7.1.40)</v>
      </c>
    </row>
    <row r="132" spans="1:14" ht="25">
      <c r="A132" s="70">
        <v>131</v>
      </c>
      <c r="B132" s="81" t="s">
        <v>17143</v>
      </c>
      <c r="C132" s="72" t="str">
        <f t="shared" si="0"/>
        <v>E2.7.1.48_mRNA</v>
      </c>
      <c r="D132" s="72" t="str">
        <f t="shared" si="1"/>
        <v>E2.7.1.48</v>
      </c>
      <c r="E132" s="73" t="str">
        <f t="shared" si="2"/>
        <v>E2.7.1.48_kcat : 13.7</v>
      </c>
      <c r="F132" s="74" t="str">
        <f t="shared" si="3"/>
        <v>E2.7.1.48_km : 1</v>
      </c>
      <c r="G132" s="75" t="str">
        <f t="shared" ref="G132:H132" si="268">CONCATENATE(C132," : ",C132)</f>
        <v>E2.7.1.48_mRNA : E2.7.1.48_mRNA</v>
      </c>
      <c r="H132" s="76" t="str">
        <f t="shared" si="268"/>
        <v>E2.7.1.48 : E2.7.1.48</v>
      </c>
      <c r="I132" s="77" t="str">
        <f t="shared" ref="I132:J132" si="269">CONCATENATE(C132," : ","0")</f>
        <v>E2.7.1.48_mRNA : 0</v>
      </c>
      <c r="J132" s="78" t="str">
        <f t="shared" si="269"/>
        <v>E2.7.1.48 : 0</v>
      </c>
      <c r="K132" s="79" t="str">
        <f t="shared" si="6"/>
        <v>0.00292 - (0.0093 * E2.7.1.48_mRNA)</v>
      </c>
      <c r="L132" s="75" t="str">
        <f t="shared" si="7"/>
        <v>(0.278 * E2.7.1.48_mRNA) - (0.00000278 * E2.7.1.48)</v>
      </c>
      <c r="M132" s="80" t="str">
        <f t="shared" si="8"/>
        <v>mRNA131: -&gt; E2.7.1.48_mRNA | 0.00292 - (0.0093 * E2.7.1.48_mRNA)</v>
      </c>
      <c r="N132" s="73" t="str">
        <f t="shared" si="9"/>
        <v>Peptide131: E2.7.1.48_mRNA -&gt; E2.7.1.48 | (0.278 * E2.7.1.48_mRNA) - (0.000000278 * E2.7.1.48)</v>
      </c>
    </row>
    <row r="133" spans="1:14" ht="25">
      <c r="A133" s="70">
        <v>132</v>
      </c>
      <c r="B133" s="81" t="s">
        <v>17144</v>
      </c>
      <c r="C133" s="72" t="str">
        <f t="shared" si="0"/>
        <v>E2.7.1.49_mRNA</v>
      </c>
      <c r="D133" s="72" t="str">
        <f t="shared" si="1"/>
        <v>E2.7.1.49</v>
      </c>
      <c r="E133" s="73" t="str">
        <f t="shared" si="2"/>
        <v>E2.7.1.49_kcat : 13.7</v>
      </c>
      <c r="F133" s="74" t="str">
        <f t="shared" si="3"/>
        <v>E2.7.1.49_km : 1</v>
      </c>
      <c r="G133" s="75" t="str">
        <f t="shared" ref="G133:H133" si="270">CONCATENATE(C133," : ",C133)</f>
        <v>E2.7.1.49_mRNA : E2.7.1.49_mRNA</v>
      </c>
      <c r="H133" s="76" t="str">
        <f t="shared" si="270"/>
        <v>E2.7.1.49 : E2.7.1.49</v>
      </c>
      <c r="I133" s="77" t="str">
        <f t="shared" ref="I133:J133" si="271">CONCATENATE(C133," : ","0")</f>
        <v>E2.7.1.49_mRNA : 0</v>
      </c>
      <c r="J133" s="78" t="str">
        <f t="shared" si="271"/>
        <v>E2.7.1.49 : 0</v>
      </c>
      <c r="K133" s="79" t="str">
        <f t="shared" si="6"/>
        <v>0.00292 - (0.0093 * E2.7.1.49_mRNA)</v>
      </c>
      <c r="L133" s="75" t="str">
        <f t="shared" si="7"/>
        <v>(0.278 * E2.7.1.49_mRNA) - (0.00000278 * E2.7.1.49)</v>
      </c>
      <c r="M133" s="80" t="str">
        <f t="shared" si="8"/>
        <v>mRNA132: -&gt; E2.7.1.49_mRNA | 0.00292 - (0.0093 * E2.7.1.49_mRNA)</v>
      </c>
      <c r="N133" s="73" t="str">
        <f t="shared" si="9"/>
        <v>Peptide132: E2.7.1.49_mRNA -&gt; E2.7.1.49 | (0.278 * E2.7.1.49_mRNA) - (0.000000278 * E2.7.1.49)</v>
      </c>
    </row>
    <row r="134" spans="1:14" ht="25">
      <c r="A134" s="70">
        <v>133</v>
      </c>
      <c r="B134" s="81" t="s">
        <v>17145</v>
      </c>
      <c r="C134" s="72" t="str">
        <f t="shared" si="0"/>
        <v>E2.7.1.56_mRNA</v>
      </c>
      <c r="D134" s="72" t="str">
        <f t="shared" si="1"/>
        <v>E2.7.1.56</v>
      </c>
      <c r="E134" s="73" t="str">
        <f t="shared" si="2"/>
        <v>E2.7.1.56_kcat : 13.7</v>
      </c>
      <c r="F134" s="74" t="str">
        <f t="shared" si="3"/>
        <v>E2.7.1.56_km : 1</v>
      </c>
      <c r="G134" s="75" t="str">
        <f t="shared" ref="G134:H134" si="272">CONCATENATE(C134," : ",C134)</f>
        <v>E2.7.1.56_mRNA : E2.7.1.56_mRNA</v>
      </c>
      <c r="H134" s="76" t="str">
        <f t="shared" si="272"/>
        <v>E2.7.1.56 : E2.7.1.56</v>
      </c>
      <c r="I134" s="77" t="str">
        <f t="shared" ref="I134:J134" si="273">CONCATENATE(C134," : ","0")</f>
        <v>E2.7.1.56_mRNA : 0</v>
      </c>
      <c r="J134" s="78" t="str">
        <f t="shared" si="273"/>
        <v>E2.7.1.56 : 0</v>
      </c>
      <c r="K134" s="79" t="str">
        <f t="shared" si="6"/>
        <v>0.00292 - (0.0093 * E2.7.1.56_mRNA)</v>
      </c>
      <c r="L134" s="75" t="str">
        <f t="shared" si="7"/>
        <v>(0.278 * E2.7.1.56_mRNA) - (0.00000278 * E2.7.1.56)</v>
      </c>
      <c r="M134" s="80" t="str">
        <f t="shared" si="8"/>
        <v>mRNA133: -&gt; E2.7.1.56_mRNA | 0.00292 - (0.0093 * E2.7.1.56_mRNA)</v>
      </c>
      <c r="N134" s="73" t="str">
        <f t="shared" si="9"/>
        <v>Peptide133: E2.7.1.56_mRNA -&gt; E2.7.1.56 | (0.278 * E2.7.1.56_mRNA) - (0.000000278 * E2.7.1.56)</v>
      </c>
    </row>
    <row r="135" spans="1:14" ht="25">
      <c r="A135" s="70">
        <v>134</v>
      </c>
      <c r="B135" s="81" t="s">
        <v>17146</v>
      </c>
      <c r="C135" s="72" t="str">
        <f t="shared" si="0"/>
        <v>E2.7.1.6_mRNA</v>
      </c>
      <c r="D135" s="72" t="str">
        <f t="shared" si="1"/>
        <v>E2.7.1.6</v>
      </c>
      <c r="E135" s="73" t="str">
        <f t="shared" si="2"/>
        <v>E2.7.1.6_kcat : 13.7</v>
      </c>
      <c r="F135" s="74" t="str">
        <f t="shared" si="3"/>
        <v>E2.7.1.6_km : 1</v>
      </c>
      <c r="G135" s="75" t="str">
        <f t="shared" ref="G135:H135" si="274">CONCATENATE(C135," : ",C135)</f>
        <v>E2.7.1.6_mRNA : E2.7.1.6_mRNA</v>
      </c>
      <c r="H135" s="76" t="str">
        <f t="shared" si="274"/>
        <v>E2.7.1.6 : E2.7.1.6</v>
      </c>
      <c r="I135" s="77" t="str">
        <f t="shared" ref="I135:J135" si="275">CONCATENATE(C135," : ","0")</f>
        <v>E2.7.1.6_mRNA : 0</v>
      </c>
      <c r="J135" s="78" t="str">
        <f t="shared" si="275"/>
        <v>E2.7.1.6 : 0</v>
      </c>
      <c r="K135" s="79" t="str">
        <f t="shared" si="6"/>
        <v>0.00292 - (0.0093 * E2.7.1.6_mRNA)</v>
      </c>
      <c r="L135" s="75" t="str">
        <f t="shared" si="7"/>
        <v>(0.278 * E2.7.1.6_mRNA) - (0.00000278 * E2.7.1.6)</v>
      </c>
      <c r="M135" s="80" t="str">
        <f t="shared" si="8"/>
        <v>mRNA134: -&gt; E2.7.1.6_mRNA | 0.00292 - (0.0093 * E2.7.1.6_mRNA)</v>
      </c>
      <c r="N135" s="73" t="str">
        <f t="shared" si="9"/>
        <v>Peptide134: E2.7.1.6_mRNA -&gt; E2.7.1.6 | (0.278 * E2.7.1.6_mRNA) - (0.000000278 * E2.7.1.6)</v>
      </c>
    </row>
    <row r="136" spans="1:14" ht="25">
      <c r="A136" s="70">
        <v>135</v>
      </c>
      <c r="B136" s="81" t="s">
        <v>17147</v>
      </c>
      <c r="C136" s="72" t="str">
        <f t="shared" si="0"/>
        <v>E2.7.1.92_mRNA</v>
      </c>
      <c r="D136" s="72" t="str">
        <f t="shared" si="1"/>
        <v>E2.7.1.92</v>
      </c>
      <c r="E136" s="73" t="str">
        <f t="shared" si="2"/>
        <v>E2.7.1.92_kcat : 13.7</v>
      </c>
      <c r="F136" s="74" t="str">
        <f t="shared" si="3"/>
        <v>E2.7.1.92_km : 1</v>
      </c>
      <c r="G136" s="75" t="str">
        <f t="shared" ref="G136:H136" si="276">CONCATENATE(C136," : ",C136)</f>
        <v>E2.7.1.92_mRNA : E2.7.1.92_mRNA</v>
      </c>
      <c r="H136" s="76" t="str">
        <f t="shared" si="276"/>
        <v>E2.7.1.92 : E2.7.1.92</v>
      </c>
      <c r="I136" s="77" t="str">
        <f t="shared" ref="I136:J136" si="277">CONCATENATE(C136," : ","0")</f>
        <v>E2.7.1.92_mRNA : 0</v>
      </c>
      <c r="J136" s="78" t="str">
        <f t="shared" si="277"/>
        <v>E2.7.1.92 : 0</v>
      </c>
      <c r="K136" s="79" t="str">
        <f t="shared" si="6"/>
        <v>0.00292 - (0.0093 * E2.7.1.92_mRNA)</v>
      </c>
      <c r="L136" s="75" t="str">
        <f t="shared" si="7"/>
        <v>(0.278 * E2.7.1.92_mRNA) - (0.00000278 * E2.7.1.92)</v>
      </c>
      <c r="M136" s="80" t="str">
        <f t="shared" si="8"/>
        <v>mRNA135: -&gt; E2.7.1.92_mRNA | 0.00292 - (0.0093 * E2.7.1.92_mRNA)</v>
      </c>
      <c r="N136" s="73" t="str">
        <f t="shared" si="9"/>
        <v>Peptide135: E2.7.1.92_mRNA -&gt; E2.7.1.92 | (0.278 * E2.7.1.92_mRNA) - (0.000000278 * E2.7.1.92)</v>
      </c>
    </row>
    <row r="137" spans="1:14" ht="25">
      <c r="A137" s="70">
        <v>136</v>
      </c>
      <c r="B137" s="81" t="s">
        <v>17148</v>
      </c>
      <c r="C137" s="72" t="str">
        <f t="shared" si="0"/>
        <v>E2.7.10.2_mRNA</v>
      </c>
      <c r="D137" s="72" t="str">
        <f t="shared" si="1"/>
        <v>E2.7.10.2</v>
      </c>
      <c r="E137" s="73" t="str">
        <f t="shared" si="2"/>
        <v>E2.7.10.2_kcat : 13.7</v>
      </c>
      <c r="F137" s="74" t="str">
        <f t="shared" si="3"/>
        <v>E2.7.10.2_km : 1</v>
      </c>
      <c r="G137" s="75" t="str">
        <f t="shared" ref="G137:H137" si="278">CONCATENATE(C137," : ",C137)</f>
        <v>E2.7.10.2_mRNA : E2.7.10.2_mRNA</v>
      </c>
      <c r="H137" s="76" t="str">
        <f t="shared" si="278"/>
        <v>E2.7.10.2 : E2.7.10.2</v>
      </c>
      <c r="I137" s="77" t="str">
        <f t="shared" ref="I137:J137" si="279">CONCATENATE(C137," : ","0")</f>
        <v>E2.7.10.2_mRNA : 0</v>
      </c>
      <c r="J137" s="78" t="str">
        <f t="shared" si="279"/>
        <v>E2.7.10.2 : 0</v>
      </c>
      <c r="K137" s="79" t="str">
        <f t="shared" si="6"/>
        <v>0.00292 - (0.0093 * E2.7.10.2_mRNA)</v>
      </c>
      <c r="L137" s="75" t="str">
        <f t="shared" si="7"/>
        <v>(0.278 * E2.7.10.2_mRNA) - (0.00000278 * E2.7.10.2)</v>
      </c>
      <c r="M137" s="80" t="str">
        <f t="shared" si="8"/>
        <v>mRNA136: -&gt; E2.7.10.2_mRNA | 0.00292 - (0.0093 * E2.7.10.2_mRNA)</v>
      </c>
      <c r="N137" s="73" t="str">
        <f t="shared" si="9"/>
        <v>Peptide136: E2.7.10.2_mRNA -&gt; E2.7.10.2 | (0.278 * E2.7.10.2_mRNA) - (0.000000278 * E2.7.10.2)</v>
      </c>
    </row>
    <row r="138" spans="1:14" ht="25">
      <c r="A138" s="70">
        <v>137</v>
      </c>
      <c r="B138" s="81" t="s">
        <v>17149</v>
      </c>
      <c r="C138" s="72" t="str">
        <f t="shared" si="0"/>
        <v>E2.7.11.33_mRNA</v>
      </c>
      <c r="D138" s="72" t="str">
        <f t="shared" si="1"/>
        <v>E2.7.11.33</v>
      </c>
      <c r="E138" s="73" t="str">
        <f t="shared" si="2"/>
        <v>E2.7.11.33_kcat : 13.7</v>
      </c>
      <c r="F138" s="74" t="str">
        <f t="shared" si="3"/>
        <v>E2.7.11.33_km : 1</v>
      </c>
      <c r="G138" s="75" t="str">
        <f t="shared" ref="G138:H138" si="280">CONCATENATE(C138," : ",C138)</f>
        <v>E2.7.11.33_mRNA : E2.7.11.33_mRNA</v>
      </c>
      <c r="H138" s="76" t="str">
        <f t="shared" si="280"/>
        <v>E2.7.11.33 : E2.7.11.33</v>
      </c>
      <c r="I138" s="77" t="str">
        <f t="shared" ref="I138:J138" si="281">CONCATENATE(C138," : ","0")</f>
        <v>E2.7.11.33_mRNA : 0</v>
      </c>
      <c r="J138" s="78" t="str">
        <f t="shared" si="281"/>
        <v>E2.7.11.33 : 0</v>
      </c>
      <c r="K138" s="79" t="str">
        <f t="shared" si="6"/>
        <v>0.00292 - (0.0093 * E2.7.11.33_mRNA)</v>
      </c>
      <c r="L138" s="75" t="str">
        <f t="shared" si="7"/>
        <v>(0.278 * E2.7.11.33_mRNA) - (0.00000278 * E2.7.11.33)</v>
      </c>
      <c r="M138" s="80" t="str">
        <f t="shared" si="8"/>
        <v>mRNA137: -&gt; E2.7.11.33_mRNA | 0.00292 - (0.0093 * E2.7.11.33_mRNA)</v>
      </c>
      <c r="N138" s="73" t="str">
        <f t="shared" si="9"/>
        <v>Peptide137: E2.7.11.33_mRNA -&gt; E2.7.11.33 | (0.278 * E2.7.11.33_mRNA) - (0.000000278 * E2.7.11.33)</v>
      </c>
    </row>
    <row r="139" spans="1:14" ht="25">
      <c r="A139" s="70">
        <v>138</v>
      </c>
      <c r="B139" s="81" t="s">
        <v>17150</v>
      </c>
      <c r="C139" s="72" t="str">
        <f t="shared" si="0"/>
        <v>E2.7.13.3_mRNA</v>
      </c>
      <c r="D139" s="72" t="str">
        <f t="shared" si="1"/>
        <v>E2.7.13.3</v>
      </c>
      <c r="E139" s="73" t="str">
        <f t="shared" si="2"/>
        <v>E2.7.13.3_kcat : 13.7</v>
      </c>
      <c r="F139" s="74" t="str">
        <f t="shared" si="3"/>
        <v>E2.7.13.3_km : 1</v>
      </c>
      <c r="G139" s="75" t="str">
        <f t="shared" ref="G139:H139" si="282">CONCATENATE(C139," : ",C139)</f>
        <v>E2.7.13.3_mRNA : E2.7.13.3_mRNA</v>
      </c>
      <c r="H139" s="76" t="str">
        <f t="shared" si="282"/>
        <v>E2.7.13.3 : E2.7.13.3</v>
      </c>
      <c r="I139" s="77" t="str">
        <f t="shared" ref="I139:J139" si="283">CONCATENATE(C139," : ","0")</f>
        <v>E2.7.13.3_mRNA : 0</v>
      </c>
      <c r="J139" s="78" t="str">
        <f t="shared" si="283"/>
        <v>E2.7.13.3 : 0</v>
      </c>
      <c r="K139" s="79" t="str">
        <f t="shared" si="6"/>
        <v>0.00292 - (0.0093 * E2.7.13.3_mRNA)</v>
      </c>
      <c r="L139" s="75" t="str">
        <f t="shared" si="7"/>
        <v>(0.278 * E2.7.13.3_mRNA) - (0.00000278 * E2.7.13.3)</v>
      </c>
      <c r="M139" s="80" t="str">
        <f t="shared" si="8"/>
        <v>mRNA138: -&gt; E2.7.13.3_mRNA | 0.00292 - (0.0093 * E2.7.13.3_mRNA)</v>
      </c>
      <c r="N139" s="73" t="str">
        <f t="shared" si="9"/>
        <v>Peptide138: E2.7.13.3_mRNA -&gt; E2.7.13.3 | (0.278 * E2.7.13.3_mRNA) - (0.000000278 * E2.7.13.3)</v>
      </c>
    </row>
    <row r="140" spans="1:14" ht="25">
      <c r="A140" s="70">
        <v>139</v>
      </c>
      <c r="B140" s="81" t="s">
        <v>17151</v>
      </c>
      <c r="C140" s="72" t="str">
        <f t="shared" si="0"/>
        <v>E2.7.2.1_mRNA</v>
      </c>
      <c r="D140" s="72" t="str">
        <f t="shared" si="1"/>
        <v>E2.7.2.1</v>
      </c>
      <c r="E140" s="73" t="str">
        <f t="shared" si="2"/>
        <v>E2.7.2.1_kcat : 13.7</v>
      </c>
      <c r="F140" s="74" t="str">
        <f t="shared" si="3"/>
        <v>E2.7.2.1_km : 1</v>
      </c>
      <c r="G140" s="75" t="str">
        <f t="shared" ref="G140:H140" si="284">CONCATENATE(C140," : ",C140)</f>
        <v>E2.7.2.1_mRNA : E2.7.2.1_mRNA</v>
      </c>
      <c r="H140" s="76" t="str">
        <f t="shared" si="284"/>
        <v>E2.7.2.1 : E2.7.2.1</v>
      </c>
      <c r="I140" s="77" t="str">
        <f t="shared" ref="I140:J140" si="285">CONCATENATE(C140," : ","0")</f>
        <v>E2.7.2.1_mRNA : 0</v>
      </c>
      <c r="J140" s="78" t="str">
        <f t="shared" si="285"/>
        <v>E2.7.2.1 : 0</v>
      </c>
      <c r="K140" s="79" t="str">
        <f t="shared" si="6"/>
        <v>0.00292 - (0.0093 * E2.7.2.1_mRNA)</v>
      </c>
      <c r="L140" s="75" t="str">
        <f t="shared" si="7"/>
        <v>(0.278 * E2.7.2.1_mRNA) - (0.00000278 * E2.7.2.1)</v>
      </c>
      <c r="M140" s="80" t="str">
        <f t="shared" si="8"/>
        <v>mRNA139: -&gt; E2.7.2.1_mRNA | 0.00292 - (0.0093 * E2.7.2.1_mRNA)</v>
      </c>
      <c r="N140" s="73" t="str">
        <f t="shared" si="9"/>
        <v>Peptide139: E2.7.2.1_mRNA -&gt; E2.7.2.1 | (0.278 * E2.7.2.1_mRNA) - (0.000000278 * E2.7.2.1)</v>
      </c>
    </row>
    <row r="141" spans="1:14" ht="25">
      <c r="A141" s="70">
        <v>140</v>
      </c>
      <c r="B141" s="81" t="s">
        <v>17152</v>
      </c>
      <c r="C141" s="72" t="str">
        <f t="shared" si="0"/>
        <v>E2.7.2.11_mRNA</v>
      </c>
      <c r="D141" s="72" t="str">
        <f t="shared" si="1"/>
        <v>E2.7.2.11</v>
      </c>
      <c r="E141" s="73" t="str">
        <f t="shared" si="2"/>
        <v>E2.7.2.11_kcat : 13.7</v>
      </c>
      <c r="F141" s="74" t="str">
        <f t="shared" si="3"/>
        <v>E2.7.2.11_km : 1</v>
      </c>
      <c r="G141" s="75" t="str">
        <f t="shared" ref="G141:H141" si="286">CONCATENATE(C141," : ",C141)</f>
        <v>E2.7.2.11_mRNA : E2.7.2.11_mRNA</v>
      </c>
      <c r="H141" s="76" t="str">
        <f t="shared" si="286"/>
        <v>E2.7.2.11 : E2.7.2.11</v>
      </c>
      <c r="I141" s="77" t="str">
        <f t="shared" ref="I141:J141" si="287">CONCATENATE(C141," : ","0")</f>
        <v>E2.7.2.11_mRNA : 0</v>
      </c>
      <c r="J141" s="78" t="str">
        <f t="shared" si="287"/>
        <v>E2.7.2.11 : 0</v>
      </c>
      <c r="K141" s="79" t="str">
        <f t="shared" si="6"/>
        <v>0.00292 - (0.0093 * E2.7.2.11_mRNA)</v>
      </c>
      <c r="L141" s="75" t="str">
        <f t="shared" si="7"/>
        <v>(0.278 * E2.7.2.11_mRNA) - (0.00000278 * E2.7.2.11)</v>
      </c>
      <c r="M141" s="80" t="str">
        <f t="shared" si="8"/>
        <v>mRNA140: -&gt; E2.7.2.11_mRNA | 0.00292 - (0.0093 * E2.7.2.11_mRNA)</v>
      </c>
      <c r="N141" s="73" t="str">
        <f t="shared" si="9"/>
        <v>Peptide140: E2.7.2.11_mRNA -&gt; E2.7.2.11 | (0.278 * E2.7.2.11_mRNA) - (0.000000278 * E2.7.2.11)</v>
      </c>
    </row>
    <row r="142" spans="1:14" ht="25">
      <c r="A142" s="70">
        <v>141</v>
      </c>
      <c r="B142" s="81" t="s">
        <v>17153</v>
      </c>
      <c r="C142" s="72" t="str">
        <f t="shared" si="0"/>
        <v>E2.7.2.4_mRNA</v>
      </c>
      <c r="D142" s="72" t="str">
        <f t="shared" si="1"/>
        <v>E2.7.2.4</v>
      </c>
      <c r="E142" s="73" t="str">
        <f t="shared" si="2"/>
        <v>E2.7.2.4_kcat : 13.7</v>
      </c>
      <c r="F142" s="74" t="str">
        <f t="shared" si="3"/>
        <v>E2.7.2.4_km : 1</v>
      </c>
      <c r="G142" s="75" t="str">
        <f t="shared" ref="G142:H142" si="288">CONCATENATE(C142," : ",C142)</f>
        <v>E2.7.2.4_mRNA : E2.7.2.4_mRNA</v>
      </c>
      <c r="H142" s="76" t="str">
        <f t="shared" si="288"/>
        <v>E2.7.2.4 : E2.7.2.4</v>
      </c>
      <c r="I142" s="77" t="str">
        <f t="shared" ref="I142:J142" si="289">CONCATENATE(C142," : ","0")</f>
        <v>E2.7.2.4_mRNA : 0</v>
      </c>
      <c r="J142" s="78" t="str">
        <f t="shared" si="289"/>
        <v>E2.7.2.4 : 0</v>
      </c>
      <c r="K142" s="79" t="str">
        <f t="shared" si="6"/>
        <v>0.00292 - (0.0093 * E2.7.2.4_mRNA)</v>
      </c>
      <c r="L142" s="75" t="str">
        <f t="shared" si="7"/>
        <v>(0.278 * E2.7.2.4_mRNA) - (0.00000278 * E2.7.2.4)</v>
      </c>
      <c r="M142" s="80" t="str">
        <f t="shared" si="8"/>
        <v>mRNA141: -&gt; E2.7.2.4_mRNA | 0.00292 - (0.0093 * E2.7.2.4_mRNA)</v>
      </c>
      <c r="N142" s="73" t="str">
        <f t="shared" si="9"/>
        <v>Peptide141: E2.7.2.4_mRNA -&gt; E2.7.2.4 | (0.278 * E2.7.2.4_mRNA) - (0.000000278 * E2.7.2.4)</v>
      </c>
    </row>
    <row r="143" spans="1:14" ht="25">
      <c r="A143" s="70">
        <v>142</v>
      </c>
      <c r="B143" s="81" t="s">
        <v>17154</v>
      </c>
      <c r="C143" s="72" t="str">
        <f t="shared" si="0"/>
        <v>E2.7.2.7_mRNA</v>
      </c>
      <c r="D143" s="72" t="str">
        <f t="shared" si="1"/>
        <v>E2.7.2.7</v>
      </c>
      <c r="E143" s="73" t="str">
        <f t="shared" si="2"/>
        <v>E2.7.2.7_kcat : 13.7</v>
      </c>
      <c r="F143" s="74" t="str">
        <f t="shared" si="3"/>
        <v>E2.7.2.7_km : 1</v>
      </c>
      <c r="G143" s="75" t="str">
        <f t="shared" ref="G143:H143" si="290">CONCATENATE(C143," : ",C143)</f>
        <v>E2.7.2.7_mRNA : E2.7.2.7_mRNA</v>
      </c>
      <c r="H143" s="76" t="str">
        <f t="shared" si="290"/>
        <v>E2.7.2.7 : E2.7.2.7</v>
      </c>
      <c r="I143" s="77" t="str">
        <f t="shared" ref="I143:J143" si="291">CONCATENATE(C143," : ","0")</f>
        <v>E2.7.2.7_mRNA : 0</v>
      </c>
      <c r="J143" s="78" t="str">
        <f t="shared" si="291"/>
        <v>E2.7.2.7 : 0</v>
      </c>
      <c r="K143" s="79" t="str">
        <f t="shared" si="6"/>
        <v>0.00292 - (0.0093 * E2.7.2.7_mRNA)</v>
      </c>
      <c r="L143" s="75" t="str">
        <f t="shared" si="7"/>
        <v>(0.278 * E2.7.2.7_mRNA) - (0.00000278 * E2.7.2.7)</v>
      </c>
      <c r="M143" s="80" t="str">
        <f t="shared" si="8"/>
        <v>mRNA142: -&gt; E2.7.2.7_mRNA | 0.00292 - (0.0093 * E2.7.2.7_mRNA)</v>
      </c>
      <c r="N143" s="73" t="str">
        <f t="shared" si="9"/>
        <v>Peptide142: E2.7.2.7_mRNA -&gt; E2.7.2.7 | (0.278 * E2.7.2.7_mRNA) - (0.000000278 * E2.7.2.7)</v>
      </c>
    </row>
    <row r="144" spans="1:14" ht="25">
      <c r="A144" s="70">
        <v>143</v>
      </c>
      <c r="B144" s="81" t="s">
        <v>17155</v>
      </c>
      <c r="C144" s="72" t="str">
        <f t="shared" si="0"/>
        <v>E2.7.3.9_mRNA</v>
      </c>
      <c r="D144" s="72" t="str">
        <f t="shared" si="1"/>
        <v>E2.7.3.9</v>
      </c>
      <c r="E144" s="73" t="str">
        <f t="shared" si="2"/>
        <v>E2.7.3.9_kcat : 13.7</v>
      </c>
      <c r="F144" s="74" t="str">
        <f t="shared" si="3"/>
        <v>E2.7.3.9_km : 1</v>
      </c>
      <c r="G144" s="75" t="str">
        <f t="shared" ref="G144:H144" si="292">CONCATENATE(C144," : ",C144)</f>
        <v>E2.7.3.9_mRNA : E2.7.3.9_mRNA</v>
      </c>
      <c r="H144" s="76" t="str">
        <f t="shared" si="292"/>
        <v>E2.7.3.9 : E2.7.3.9</v>
      </c>
      <c r="I144" s="77" t="str">
        <f t="shared" ref="I144:J144" si="293">CONCATENATE(C144," : ","0")</f>
        <v>E2.7.3.9_mRNA : 0</v>
      </c>
      <c r="J144" s="78" t="str">
        <f t="shared" si="293"/>
        <v>E2.7.3.9 : 0</v>
      </c>
      <c r="K144" s="79" t="str">
        <f t="shared" si="6"/>
        <v>0.00292 - (0.0093 * E2.7.3.9_mRNA)</v>
      </c>
      <c r="L144" s="75" t="str">
        <f t="shared" si="7"/>
        <v>(0.278 * E2.7.3.9_mRNA) - (0.00000278 * E2.7.3.9)</v>
      </c>
      <c r="M144" s="80" t="str">
        <f t="shared" si="8"/>
        <v>mRNA143: -&gt; E2.7.3.9_mRNA | 0.00292 - (0.0093 * E2.7.3.9_mRNA)</v>
      </c>
      <c r="N144" s="73" t="str">
        <f t="shared" si="9"/>
        <v>Peptide143: E2.7.3.9_mRNA -&gt; E2.7.3.9 | (0.278 * E2.7.3.9_mRNA) - (0.000000278 * E2.7.3.9)</v>
      </c>
    </row>
    <row r="145" spans="1:14" ht="25">
      <c r="A145" s="70">
        <v>144</v>
      </c>
      <c r="B145" s="81" t="s">
        <v>17156</v>
      </c>
      <c r="C145" s="72" t="str">
        <f t="shared" si="0"/>
        <v>E2.7.4.1_mRNA</v>
      </c>
      <c r="D145" s="72" t="str">
        <f t="shared" si="1"/>
        <v>E2.7.4.1</v>
      </c>
      <c r="E145" s="73" t="str">
        <f t="shared" si="2"/>
        <v>E2.7.4.1_kcat : 13.7</v>
      </c>
      <c r="F145" s="74" t="str">
        <f t="shared" si="3"/>
        <v>E2.7.4.1_km : 1</v>
      </c>
      <c r="G145" s="75" t="str">
        <f t="shared" ref="G145:H145" si="294">CONCATENATE(C145," : ",C145)</f>
        <v>E2.7.4.1_mRNA : E2.7.4.1_mRNA</v>
      </c>
      <c r="H145" s="76" t="str">
        <f t="shared" si="294"/>
        <v>E2.7.4.1 : E2.7.4.1</v>
      </c>
      <c r="I145" s="77" t="str">
        <f t="shared" ref="I145:J145" si="295">CONCATENATE(C145," : ","0")</f>
        <v>E2.7.4.1_mRNA : 0</v>
      </c>
      <c r="J145" s="78" t="str">
        <f t="shared" si="295"/>
        <v>E2.7.4.1 : 0</v>
      </c>
      <c r="K145" s="79" t="str">
        <f t="shared" si="6"/>
        <v>0.00292 - (0.0093 * E2.7.4.1_mRNA)</v>
      </c>
      <c r="L145" s="75" t="str">
        <f t="shared" si="7"/>
        <v>(0.278 * E2.7.4.1_mRNA) - (0.00000278 * E2.7.4.1)</v>
      </c>
      <c r="M145" s="80" t="str">
        <f t="shared" si="8"/>
        <v>mRNA144: -&gt; E2.7.4.1_mRNA | 0.00292 - (0.0093 * E2.7.4.1_mRNA)</v>
      </c>
      <c r="N145" s="73" t="str">
        <f t="shared" si="9"/>
        <v>Peptide144: E2.7.4.1_mRNA -&gt; E2.7.4.1 | (0.278 * E2.7.4.1_mRNA) - (0.000000278 * E2.7.4.1)</v>
      </c>
    </row>
    <row r="146" spans="1:14" ht="25">
      <c r="A146" s="70">
        <v>145</v>
      </c>
      <c r="B146" s="81" t="s">
        <v>17157</v>
      </c>
      <c r="C146" s="72" t="str">
        <f t="shared" si="0"/>
        <v>E2.7.4.2_mRNA</v>
      </c>
      <c r="D146" s="72" t="str">
        <f t="shared" si="1"/>
        <v>E2.7.4.2</v>
      </c>
      <c r="E146" s="73" t="str">
        <f t="shared" si="2"/>
        <v>E2.7.4.2_kcat : 13.7</v>
      </c>
      <c r="F146" s="74" t="str">
        <f t="shared" si="3"/>
        <v>E2.7.4.2_km : 1</v>
      </c>
      <c r="G146" s="75" t="str">
        <f t="shared" ref="G146:H146" si="296">CONCATENATE(C146," : ",C146)</f>
        <v>E2.7.4.2_mRNA : E2.7.4.2_mRNA</v>
      </c>
      <c r="H146" s="76" t="str">
        <f t="shared" si="296"/>
        <v>E2.7.4.2 : E2.7.4.2</v>
      </c>
      <c r="I146" s="77" t="str">
        <f t="shared" ref="I146:J146" si="297">CONCATENATE(C146," : ","0")</f>
        <v>E2.7.4.2_mRNA : 0</v>
      </c>
      <c r="J146" s="78" t="str">
        <f t="shared" si="297"/>
        <v>E2.7.4.2 : 0</v>
      </c>
      <c r="K146" s="79" t="str">
        <f t="shared" si="6"/>
        <v>0.00292 - (0.0093 * E2.7.4.2_mRNA)</v>
      </c>
      <c r="L146" s="75" t="str">
        <f t="shared" si="7"/>
        <v>(0.278 * E2.7.4.2_mRNA) - (0.00000278 * E2.7.4.2)</v>
      </c>
      <c r="M146" s="80" t="str">
        <f t="shared" si="8"/>
        <v>mRNA145: -&gt; E2.7.4.2_mRNA | 0.00292 - (0.0093 * E2.7.4.2_mRNA)</v>
      </c>
      <c r="N146" s="73" t="str">
        <f t="shared" si="9"/>
        <v>Peptide145: E2.7.4.2_mRNA -&gt; E2.7.4.2 | (0.278 * E2.7.4.2_mRNA) - (0.000000278 * E2.7.4.2)</v>
      </c>
    </row>
    <row r="147" spans="1:14" ht="25">
      <c r="A147" s="70">
        <v>146</v>
      </c>
      <c r="B147" s="81" t="s">
        <v>17158</v>
      </c>
      <c r="C147" s="72" t="str">
        <f t="shared" si="0"/>
        <v>E2.7.4.22_mRNA</v>
      </c>
      <c r="D147" s="72" t="str">
        <f t="shared" si="1"/>
        <v>E2.7.4.22</v>
      </c>
      <c r="E147" s="73" t="str">
        <f t="shared" si="2"/>
        <v>E2.7.4.22_kcat : 13.7</v>
      </c>
      <c r="F147" s="74" t="str">
        <f t="shared" si="3"/>
        <v>E2.7.4.22_km : 1</v>
      </c>
      <c r="G147" s="75" t="str">
        <f t="shared" ref="G147:H147" si="298">CONCATENATE(C147," : ",C147)</f>
        <v>E2.7.4.22_mRNA : E2.7.4.22_mRNA</v>
      </c>
      <c r="H147" s="76" t="str">
        <f t="shared" si="298"/>
        <v>E2.7.4.22 : E2.7.4.22</v>
      </c>
      <c r="I147" s="77" t="str">
        <f t="shared" ref="I147:J147" si="299">CONCATENATE(C147," : ","0")</f>
        <v>E2.7.4.22_mRNA : 0</v>
      </c>
      <c r="J147" s="78" t="str">
        <f t="shared" si="299"/>
        <v>E2.7.4.22 : 0</v>
      </c>
      <c r="K147" s="79" t="str">
        <f t="shared" si="6"/>
        <v>0.00292 - (0.0093 * E2.7.4.22_mRNA)</v>
      </c>
      <c r="L147" s="75" t="str">
        <f t="shared" si="7"/>
        <v>(0.278 * E2.7.4.22_mRNA) - (0.00000278 * E2.7.4.22)</v>
      </c>
      <c r="M147" s="80" t="str">
        <f t="shared" si="8"/>
        <v>mRNA146: -&gt; E2.7.4.22_mRNA | 0.00292 - (0.0093 * E2.7.4.22_mRNA)</v>
      </c>
      <c r="N147" s="73" t="str">
        <f t="shared" si="9"/>
        <v>Peptide146: E2.7.4.22_mRNA -&gt; E2.7.4.22 | (0.278 * E2.7.4.22_mRNA) - (0.000000278 * E2.7.4.22)</v>
      </c>
    </row>
    <row r="148" spans="1:14" ht="25">
      <c r="A148" s="70">
        <v>147</v>
      </c>
      <c r="B148" s="81" t="s">
        <v>17159</v>
      </c>
      <c r="C148" s="72" t="str">
        <f t="shared" si="0"/>
        <v>E2.7.4.25_mRNA</v>
      </c>
      <c r="D148" s="72" t="str">
        <f t="shared" si="1"/>
        <v>E2.7.4.25</v>
      </c>
      <c r="E148" s="73" t="str">
        <f t="shared" si="2"/>
        <v>E2.7.4.25_kcat : 13.7</v>
      </c>
      <c r="F148" s="74" t="str">
        <f t="shared" si="3"/>
        <v>E2.7.4.25_km : 1</v>
      </c>
      <c r="G148" s="75" t="str">
        <f t="shared" ref="G148:H148" si="300">CONCATENATE(C148," : ",C148)</f>
        <v>E2.7.4.25_mRNA : E2.7.4.25_mRNA</v>
      </c>
      <c r="H148" s="76" t="str">
        <f t="shared" si="300"/>
        <v>E2.7.4.25 : E2.7.4.25</v>
      </c>
      <c r="I148" s="77" t="str">
        <f t="shared" ref="I148:J148" si="301">CONCATENATE(C148," : ","0")</f>
        <v>E2.7.4.25_mRNA : 0</v>
      </c>
      <c r="J148" s="78" t="str">
        <f t="shared" si="301"/>
        <v>E2.7.4.25 : 0</v>
      </c>
      <c r="K148" s="79" t="str">
        <f t="shared" si="6"/>
        <v>0.00292 - (0.0093 * E2.7.4.25_mRNA)</v>
      </c>
      <c r="L148" s="75" t="str">
        <f t="shared" si="7"/>
        <v>(0.278 * E2.7.4.25_mRNA) - (0.00000278 * E2.7.4.25)</v>
      </c>
      <c r="M148" s="80" t="str">
        <f t="shared" si="8"/>
        <v>mRNA147: -&gt; E2.7.4.25_mRNA | 0.00292 - (0.0093 * E2.7.4.25_mRNA)</v>
      </c>
      <c r="N148" s="73" t="str">
        <f t="shared" si="9"/>
        <v>Peptide147: E2.7.4.25_mRNA -&gt; E2.7.4.25 | (0.278 * E2.7.4.25_mRNA) - (0.000000278 * E2.7.4.25)</v>
      </c>
    </row>
    <row r="149" spans="1:14" ht="25">
      <c r="A149" s="70">
        <v>148</v>
      </c>
      <c r="B149" s="81" t="s">
        <v>17160</v>
      </c>
      <c r="C149" s="72" t="str">
        <f t="shared" si="0"/>
        <v>E2.7.4.28_mRNA</v>
      </c>
      <c r="D149" s="72" t="str">
        <f t="shared" si="1"/>
        <v>E2.7.4.28</v>
      </c>
      <c r="E149" s="73" t="str">
        <f t="shared" si="2"/>
        <v>E2.7.4.28_kcat : 13.7</v>
      </c>
      <c r="F149" s="74" t="str">
        <f t="shared" si="3"/>
        <v>E2.7.4.28_km : 1</v>
      </c>
      <c r="G149" s="75" t="str">
        <f t="shared" ref="G149:H149" si="302">CONCATENATE(C149," : ",C149)</f>
        <v>E2.7.4.28_mRNA : E2.7.4.28_mRNA</v>
      </c>
      <c r="H149" s="76" t="str">
        <f t="shared" si="302"/>
        <v>E2.7.4.28 : E2.7.4.28</v>
      </c>
      <c r="I149" s="77" t="str">
        <f t="shared" ref="I149:J149" si="303">CONCATENATE(C149," : ","0")</f>
        <v>E2.7.4.28_mRNA : 0</v>
      </c>
      <c r="J149" s="78" t="str">
        <f t="shared" si="303"/>
        <v>E2.7.4.28 : 0</v>
      </c>
      <c r="K149" s="79" t="str">
        <f t="shared" si="6"/>
        <v>0.00292 - (0.0093 * E2.7.4.28_mRNA)</v>
      </c>
      <c r="L149" s="75" t="str">
        <f t="shared" si="7"/>
        <v>(0.278 * E2.7.4.28_mRNA) - (0.00000278 * E2.7.4.28)</v>
      </c>
      <c r="M149" s="80" t="str">
        <f t="shared" si="8"/>
        <v>mRNA148: -&gt; E2.7.4.28_mRNA | 0.00292 - (0.0093 * E2.7.4.28_mRNA)</v>
      </c>
      <c r="N149" s="73" t="str">
        <f t="shared" si="9"/>
        <v>Peptide148: E2.7.4.28_mRNA -&gt; E2.7.4.28 | (0.278 * E2.7.4.28_mRNA) - (0.000000278 * E2.7.4.28)</v>
      </c>
    </row>
    <row r="150" spans="1:14" ht="25">
      <c r="A150" s="70">
        <v>149</v>
      </c>
      <c r="B150" s="81" t="s">
        <v>17161</v>
      </c>
      <c r="C150" s="72" t="str">
        <f t="shared" si="0"/>
        <v>E2.7.4.3_mRNA</v>
      </c>
      <c r="D150" s="72" t="str">
        <f t="shared" si="1"/>
        <v>E2.7.4.3</v>
      </c>
      <c r="E150" s="73" t="str">
        <f t="shared" si="2"/>
        <v>E2.7.4.3_kcat : 13.7</v>
      </c>
      <c r="F150" s="74" t="str">
        <f t="shared" si="3"/>
        <v>E2.7.4.3_km : 1</v>
      </c>
      <c r="G150" s="75" t="str">
        <f t="shared" ref="G150:H150" si="304">CONCATENATE(C150," : ",C150)</f>
        <v>E2.7.4.3_mRNA : E2.7.4.3_mRNA</v>
      </c>
      <c r="H150" s="76" t="str">
        <f t="shared" si="304"/>
        <v>E2.7.4.3 : E2.7.4.3</v>
      </c>
      <c r="I150" s="77" t="str">
        <f t="shared" ref="I150:J150" si="305">CONCATENATE(C150," : ","0")</f>
        <v>E2.7.4.3_mRNA : 0</v>
      </c>
      <c r="J150" s="78" t="str">
        <f t="shared" si="305"/>
        <v>E2.7.4.3 : 0</v>
      </c>
      <c r="K150" s="79" t="str">
        <f t="shared" si="6"/>
        <v>0.00292 - (0.0093 * E2.7.4.3_mRNA)</v>
      </c>
      <c r="L150" s="75" t="str">
        <f t="shared" si="7"/>
        <v>(0.278 * E2.7.4.3_mRNA) - (0.00000278 * E2.7.4.3)</v>
      </c>
      <c r="M150" s="80" t="str">
        <f t="shared" si="8"/>
        <v>mRNA149: -&gt; E2.7.4.3_mRNA | 0.00292 - (0.0093 * E2.7.4.3_mRNA)</v>
      </c>
      <c r="N150" s="73" t="str">
        <f t="shared" si="9"/>
        <v>Peptide149: E2.7.4.3_mRNA -&gt; E2.7.4.3 | (0.278 * E2.7.4.3_mRNA) - (0.000000278 * E2.7.4.3)</v>
      </c>
    </row>
    <row r="151" spans="1:14" ht="25">
      <c r="A151" s="70">
        <v>150</v>
      </c>
      <c r="B151" s="81" t="s">
        <v>17162</v>
      </c>
      <c r="C151" s="72" t="str">
        <f t="shared" si="0"/>
        <v>E2.7.4.6_mRNA</v>
      </c>
      <c r="D151" s="72" t="str">
        <f t="shared" si="1"/>
        <v>E2.7.4.6</v>
      </c>
      <c r="E151" s="73" t="str">
        <f t="shared" si="2"/>
        <v>E2.7.4.6_kcat : 13.7</v>
      </c>
      <c r="F151" s="74" t="str">
        <f t="shared" si="3"/>
        <v>E2.7.4.6_km : 1</v>
      </c>
      <c r="G151" s="75" t="str">
        <f t="shared" ref="G151:H151" si="306">CONCATENATE(C151," : ",C151)</f>
        <v>E2.7.4.6_mRNA : E2.7.4.6_mRNA</v>
      </c>
      <c r="H151" s="76" t="str">
        <f t="shared" si="306"/>
        <v>E2.7.4.6 : E2.7.4.6</v>
      </c>
      <c r="I151" s="77" t="str">
        <f t="shared" ref="I151:J151" si="307">CONCATENATE(C151," : ","0")</f>
        <v>E2.7.4.6_mRNA : 0</v>
      </c>
      <c r="J151" s="78" t="str">
        <f t="shared" si="307"/>
        <v>E2.7.4.6 : 0</v>
      </c>
      <c r="K151" s="79" t="str">
        <f t="shared" si="6"/>
        <v>0.00292 - (0.0093 * E2.7.4.6_mRNA)</v>
      </c>
      <c r="L151" s="75" t="str">
        <f t="shared" si="7"/>
        <v>(0.278 * E2.7.4.6_mRNA) - (0.00000278 * E2.7.4.6)</v>
      </c>
      <c r="M151" s="80" t="str">
        <f t="shared" si="8"/>
        <v>mRNA150: -&gt; E2.7.4.6_mRNA | 0.00292 - (0.0093 * E2.7.4.6_mRNA)</v>
      </c>
      <c r="N151" s="73" t="str">
        <f t="shared" si="9"/>
        <v>Peptide150: E2.7.4.6_mRNA -&gt; E2.7.4.6 | (0.278 * E2.7.4.6_mRNA) - (0.000000278 * E2.7.4.6)</v>
      </c>
    </row>
    <row r="152" spans="1:14" ht="25">
      <c r="A152" s="70">
        <v>151</v>
      </c>
      <c r="B152" s="83" t="s">
        <v>8286</v>
      </c>
      <c r="C152" s="72" t="str">
        <f t="shared" si="0"/>
        <v>E2.7.4.7_mRNA</v>
      </c>
      <c r="D152" s="72" t="str">
        <f t="shared" si="1"/>
        <v>E2.7.4.7</v>
      </c>
      <c r="E152" s="73" t="str">
        <f t="shared" si="2"/>
        <v>E2.7.4.7_kcat : 13.7</v>
      </c>
      <c r="F152" s="74" t="str">
        <f t="shared" si="3"/>
        <v>E2.7.4.7_km : 1</v>
      </c>
      <c r="G152" s="75" t="str">
        <f t="shared" ref="G152:H152" si="308">CONCATENATE(C152," : ",C152)</f>
        <v>E2.7.4.7_mRNA : E2.7.4.7_mRNA</v>
      </c>
      <c r="H152" s="76" t="str">
        <f t="shared" si="308"/>
        <v>E2.7.4.7 : E2.7.4.7</v>
      </c>
      <c r="I152" s="77" t="str">
        <f t="shared" ref="I152:J152" si="309">CONCATENATE(C152," : ","0")</f>
        <v>E2.7.4.7_mRNA : 0</v>
      </c>
      <c r="J152" s="78" t="str">
        <f t="shared" si="309"/>
        <v>E2.7.4.7 : 0</v>
      </c>
      <c r="K152" s="79" t="str">
        <f t="shared" si="6"/>
        <v>0.00292 - (0.0093 * E2.7.4.7_mRNA)</v>
      </c>
      <c r="L152" s="75" t="str">
        <f t="shared" si="7"/>
        <v>(0.278 * E2.7.4.7_mRNA) - (0.00000278 * E2.7.4.7)</v>
      </c>
      <c r="M152" s="80" t="str">
        <f t="shared" si="8"/>
        <v>mRNA151: -&gt; E2.7.4.7_mRNA | 0.00292 - (0.0093 * E2.7.4.7_mRNA)</v>
      </c>
      <c r="N152" s="73" t="str">
        <f t="shared" si="9"/>
        <v>Peptide151: E2.7.4.7_mRNA -&gt; E2.7.4.7 | (0.278 * E2.7.4.7_mRNA) - (0.000000278 * E2.7.4.7)</v>
      </c>
    </row>
    <row r="153" spans="1:14" ht="25">
      <c r="A153" s="70">
        <v>152</v>
      </c>
      <c r="B153" s="81" t="s">
        <v>17163</v>
      </c>
      <c r="C153" s="72" t="str">
        <f t="shared" si="0"/>
        <v>E2.7.4.8_mRNA</v>
      </c>
      <c r="D153" s="72" t="str">
        <f t="shared" si="1"/>
        <v>E2.7.4.8</v>
      </c>
      <c r="E153" s="73" t="str">
        <f t="shared" si="2"/>
        <v>E2.7.4.8_kcat : 13.7</v>
      </c>
      <c r="F153" s="74" t="str">
        <f t="shared" si="3"/>
        <v>E2.7.4.8_km : 1</v>
      </c>
      <c r="G153" s="75" t="str">
        <f t="shared" ref="G153:H153" si="310">CONCATENATE(C153," : ",C153)</f>
        <v>E2.7.4.8_mRNA : E2.7.4.8_mRNA</v>
      </c>
      <c r="H153" s="76" t="str">
        <f t="shared" si="310"/>
        <v>E2.7.4.8 : E2.7.4.8</v>
      </c>
      <c r="I153" s="77" t="str">
        <f t="shared" ref="I153:J153" si="311">CONCATENATE(C153," : ","0")</f>
        <v>E2.7.4.8_mRNA : 0</v>
      </c>
      <c r="J153" s="78" t="str">
        <f t="shared" si="311"/>
        <v>E2.7.4.8 : 0</v>
      </c>
      <c r="K153" s="79" t="str">
        <f t="shared" si="6"/>
        <v>0.00292 - (0.0093 * E2.7.4.8_mRNA)</v>
      </c>
      <c r="L153" s="75" t="str">
        <f t="shared" si="7"/>
        <v>(0.278 * E2.7.4.8_mRNA) - (0.00000278 * E2.7.4.8)</v>
      </c>
      <c r="M153" s="80" t="str">
        <f t="shared" si="8"/>
        <v>mRNA152: -&gt; E2.7.4.8_mRNA | 0.00292 - (0.0093 * E2.7.4.8_mRNA)</v>
      </c>
      <c r="N153" s="73" t="str">
        <f t="shared" si="9"/>
        <v>Peptide152: E2.7.4.8_mRNA -&gt; E2.7.4.8 | (0.278 * E2.7.4.8_mRNA) - (0.000000278 * E2.7.4.8)</v>
      </c>
    </row>
    <row r="154" spans="1:14" ht="25">
      <c r="A154" s="70">
        <v>153</v>
      </c>
      <c r="B154" s="81" t="s">
        <v>17164</v>
      </c>
      <c r="C154" s="72" t="str">
        <f t="shared" si="0"/>
        <v>E2.7.4.9_mRNA</v>
      </c>
      <c r="D154" s="72" t="str">
        <f t="shared" si="1"/>
        <v>E2.7.4.9</v>
      </c>
      <c r="E154" s="73" t="str">
        <f t="shared" si="2"/>
        <v>E2.7.4.9_kcat : 13.7</v>
      </c>
      <c r="F154" s="74" t="str">
        <f t="shared" si="3"/>
        <v>E2.7.4.9_km : 1</v>
      </c>
      <c r="G154" s="75" t="str">
        <f t="shared" ref="G154:H154" si="312">CONCATENATE(C154," : ",C154)</f>
        <v>E2.7.4.9_mRNA : E2.7.4.9_mRNA</v>
      </c>
      <c r="H154" s="76" t="str">
        <f t="shared" si="312"/>
        <v>E2.7.4.9 : E2.7.4.9</v>
      </c>
      <c r="I154" s="77" t="str">
        <f t="shared" ref="I154:J154" si="313">CONCATENATE(C154," : ","0")</f>
        <v>E2.7.4.9_mRNA : 0</v>
      </c>
      <c r="J154" s="78" t="str">
        <f t="shared" si="313"/>
        <v>E2.7.4.9 : 0</v>
      </c>
      <c r="K154" s="79" t="str">
        <f t="shared" si="6"/>
        <v>0.00292 - (0.0093 * E2.7.4.9_mRNA)</v>
      </c>
      <c r="L154" s="75" t="str">
        <f t="shared" si="7"/>
        <v>(0.278 * E2.7.4.9_mRNA) - (0.00000278 * E2.7.4.9)</v>
      </c>
      <c r="M154" s="80" t="str">
        <f t="shared" si="8"/>
        <v>mRNA153: -&gt; E2.7.4.9_mRNA | 0.00292 - (0.0093 * E2.7.4.9_mRNA)</v>
      </c>
      <c r="N154" s="73" t="str">
        <f t="shared" si="9"/>
        <v>Peptide153: E2.7.4.9_mRNA -&gt; E2.7.4.9 | (0.278 * E2.7.4.9_mRNA) - (0.000000278 * E2.7.4.9)</v>
      </c>
    </row>
    <row r="155" spans="1:14" ht="25">
      <c r="A155" s="70">
        <v>154</v>
      </c>
      <c r="B155" s="81" t="s">
        <v>17165</v>
      </c>
      <c r="C155" s="72" t="str">
        <f t="shared" si="0"/>
        <v>E2.7.6.1_mRNA</v>
      </c>
      <c r="D155" s="72" t="str">
        <f t="shared" si="1"/>
        <v>E2.7.6.1</v>
      </c>
      <c r="E155" s="73" t="str">
        <f t="shared" si="2"/>
        <v>E2.7.6.1_kcat : 13.7</v>
      </c>
      <c r="F155" s="74" t="str">
        <f t="shared" si="3"/>
        <v>E2.7.6.1_km : 1</v>
      </c>
      <c r="G155" s="75" t="str">
        <f t="shared" ref="G155:H155" si="314">CONCATENATE(C155," : ",C155)</f>
        <v>E2.7.6.1_mRNA : E2.7.6.1_mRNA</v>
      </c>
      <c r="H155" s="76" t="str">
        <f t="shared" si="314"/>
        <v>E2.7.6.1 : E2.7.6.1</v>
      </c>
      <c r="I155" s="77" t="str">
        <f t="shared" ref="I155:J155" si="315">CONCATENATE(C155," : ","0")</f>
        <v>E2.7.6.1_mRNA : 0</v>
      </c>
      <c r="J155" s="78" t="str">
        <f t="shared" si="315"/>
        <v>E2.7.6.1 : 0</v>
      </c>
      <c r="K155" s="79" t="str">
        <f t="shared" si="6"/>
        <v>0.00292 - (0.0093 * E2.7.6.1_mRNA)</v>
      </c>
      <c r="L155" s="75" t="str">
        <f t="shared" si="7"/>
        <v>(0.278 * E2.7.6.1_mRNA) - (0.00000278 * E2.7.6.1)</v>
      </c>
      <c r="M155" s="80" t="str">
        <f t="shared" si="8"/>
        <v>mRNA154: -&gt; E2.7.6.1_mRNA | 0.00292 - (0.0093 * E2.7.6.1_mRNA)</v>
      </c>
      <c r="N155" s="73" t="str">
        <f t="shared" si="9"/>
        <v>Peptide154: E2.7.6.1_mRNA -&gt; E2.7.6.1 | (0.278 * E2.7.6.1_mRNA) - (0.000000278 * E2.7.6.1)</v>
      </c>
    </row>
    <row r="156" spans="1:14" ht="25">
      <c r="A156" s="70">
        <v>155</v>
      </c>
      <c r="B156" s="72" t="s">
        <v>8287</v>
      </c>
      <c r="C156" s="72" t="str">
        <f t="shared" si="0"/>
        <v>E2.7.6.2_mRNA</v>
      </c>
      <c r="D156" s="72" t="str">
        <f t="shared" si="1"/>
        <v>E2.7.6.2</v>
      </c>
      <c r="E156" s="73" t="str">
        <f t="shared" si="2"/>
        <v>E2.7.6.2_kcat : 13.7</v>
      </c>
      <c r="F156" s="74" t="str">
        <f t="shared" si="3"/>
        <v>E2.7.6.2_km : 1</v>
      </c>
      <c r="G156" s="75" t="str">
        <f t="shared" ref="G156:H156" si="316">CONCATENATE(C156," : ",C156)</f>
        <v>E2.7.6.2_mRNA : E2.7.6.2_mRNA</v>
      </c>
      <c r="H156" s="76" t="str">
        <f t="shared" si="316"/>
        <v>E2.7.6.2 : E2.7.6.2</v>
      </c>
      <c r="I156" s="77" t="str">
        <f t="shared" ref="I156:J156" si="317">CONCATENATE(C156," : ","0")</f>
        <v>E2.7.6.2_mRNA : 0</v>
      </c>
      <c r="J156" s="78" t="str">
        <f t="shared" si="317"/>
        <v>E2.7.6.2 : 0</v>
      </c>
      <c r="K156" s="79" t="str">
        <f t="shared" si="6"/>
        <v>0.00292 - (0.0093 * E2.7.6.2_mRNA)</v>
      </c>
      <c r="L156" s="75" t="str">
        <f t="shared" si="7"/>
        <v>(0.278 * E2.7.6.2_mRNA) - (0.00000278 * E2.7.6.2)</v>
      </c>
      <c r="M156" s="80" t="str">
        <f t="shared" si="8"/>
        <v>mRNA155: -&gt; E2.7.6.2_mRNA | 0.00292 - (0.0093 * E2.7.6.2_mRNA)</v>
      </c>
      <c r="N156" s="73" t="str">
        <f t="shared" si="9"/>
        <v>Peptide155: E2.7.6.2_mRNA -&gt; E2.7.6.2 | (0.278 * E2.7.6.2_mRNA) - (0.000000278 * E2.7.6.2)</v>
      </c>
    </row>
    <row r="157" spans="1:14" ht="25">
      <c r="A157" s="70">
        <v>156</v>
      </c>
      <c r="B157" s="81" t="s">
        <v>17166</v>
      </c>
      <c r="C157" s="72" t="str">
        <f t="shared" si="0"/>
        <v>E2.7.6.5_mRNA</v>
      </c>
      <c r="D157" s="72" t="str">
        <f t="shared" si="1"/>
        <v>E2.7.6.5</v>
      </c>
      <c r="E157" s="73" t="str">
        <f t="shared" si="2"/>
        <v>E2.7.6.5_kcat : 13.7</v>
      </c>
      <c r="F157" s="74" t="str">
        <f t="shared" si="3"/>
        <v>E2.7.6.5_km : 1</v>
      </c>
      <c r="G157" s="75" t="str">
        <f t="shared" ref="G157:H157" si="318">CONCATENATE(C157," : ",C157)</f>
        <v>E2.7.6.5_mRNA : E2.7.6.5_mRNA</v>
      </c>
      <c r="H157" s="76" t="str">
        <f t="shared" si="318"/>
        <v>E2.7.6.5 : E2.7.6.5</v>
      </c>
      <c r="I157" s="77" t="str">
        <f t="shared" ref="I157:J157" si="319">CONCATENATE(C157," : ","0")</f>
        <v>E2.7.6.5_mRNA : 0</v>
      </c>
      <c r="J157" s="78" t="str">
        <f t="shared" si="319"/>
        <v>E2.7.6.5 : 0</v>
      </c>
      <c r="K157" s="79" t="str">
        <f t="shared" si="6"/>
        <v>0.00292 - (0.0093 * E2.7.6.5_mRNA)</v>
      </c>
      <c r="L157" s="75" t="str">
        <f t="shared" si="7"/>
        <v>(0.278 * E2.7.6.5_mRNA) - (0.00000278 * E2.7.6.5)</v>
      </c>
      <c r="M157" s="80" t="str">
        <f t="shared" si="8"/>
        <v>mRNA156: -&gt; E2.7.6.5_mRNA | 0.00292 - (0.0093 * E2.7.6.5_mRNA)</v>
      </c>
      <c r="N157" s="73" t="str">
        <f t="shared" si="9"/>
        <v>Peptide156: E2.7.6.5_mRNA -&gt; E2.7.6.5 | (0.278 * E2.7.6.5_mRNA) - (0.000000278 * E2.7.6.5)</v>
      </c>
    </row>
    <row r="158" spans="1:14" ht="25">
      <c r="A158" s="70">
        <v>157</v>
      </c>
      <c r="B158" s="81" t="s">
        <v>17167</v>
      </c>
      <c r="C158" s="72" t="str">
        <f t="shared" si="0"/>
        <v>E2.7.7.12_mRNA</v>
      </c>
      <c r="D158" s="72" t="str">
        <f t="shared" si="1"/>
        <v>E2.7.7.12</v>
      </c>
      <c r="E158" s="73" t="str">
        <f t="shared" si="2"/>
        <v>E2.7.7.12_kcat : 13.7</v>
      </c>
      <c r="F158" s="74" t="str">
        <f t="shared" si="3"/>
        <v>E2.7.7.12_km : 1</v>
      </c>
      <c r="G158" s="75" t="str">
        <f t="shared" ref="G158:H158" si="320">CONCATENATE(C158," : ",C158)</f>
        <v>E2.7.7.12_mRNA : E2.7.7.12_mRNA</v>
      </c>
      <c r="H158" s="76" t="str">
        <f t="shared" si="320"/>
        <v>E2.7.7.12 : E2.7.7.12</v>
      </c>
      <c r="I158" s="77" t="str">
        <f t="shared" ref="I158:J158" si="321">CONCATENATE(C158," : ","0")</f>
        <v>E2.7.7.12_mRNA : 0</v>
      </c>
      <c r="J158" s="78" t="str">
        <f t="shared" si="321"/>
        <v>E2.7.7.12 : 0</v>
      </c>
      <c r="K158" s="79" t="str">
        <f t="shared" si="6"/>
        <v>0.00292 - (0.0093 * E2.7.7.12_mRNA)</v>
      </c>
      <c r="L158" s="75" t="str">
        <f t="shared" si="7"/>
        <v>(0.278 * E2.7.7.12_mRNA) - (0.00000278 * E2.7.7.12)</v>
      </c>
      <c r="M158" s="80" t="str">
        <f t="shared" si="8"/>
        <v>mRNA157: -&gt; E2.7.7.12_mRNA | 0.00292 - (0.0093 * E2.7.7.12_mRNA)</v>
      </c>
      <c r="N158" s="73" t="str">
        <f t="shared" si="9"/>
        <v>Peptide157: E2.7.7.12_mRNA -&gt; E2.7.7.12 | (0.278 * E2.7.7.12_mRNA) - (0.000000278 * E2.7.7.12)</v>
      </c>
    </row>
    <row r="159" spans="1:14" ht="25">
      <c r="A159" s="70">
        <v>158</v>
      </c>
      <c r="B159" s="81" t="s">
        <v>17168</v>
      </c>
      <c r="C159" s="72" t="str">
        <f t="shared" si="0"/>
        <v>E2.7.7.18_mRNA</v>
      </c>
      <c r="D159" s="72" t="str">
        <f t="shared" si="1"/>
        <v>E2.7.7.18</v>
      </c>
      <c r="E159" s="73" t="str">
        <f t="shared" si="2"/>
        <v>E2.7.7.18_kcat : 13.7</v>
      </c>
      <c r="F159" s="74" t="str">
        <f t="shared" si="3"/>
        <v>E2.7.7.18_km : 1</v>
      </c>
      <c r="G159" s="75" t="str">
        <f t="shared" ref="G159:H159" si="322">CONCATENATE(C159," : ",C159)</f>
        <v>E2.7.7.18_mRNA : E2.7.7.18_mRNA</v>
      </c>
      <c r="H159" s="76" t="str">
        <f t="shared" si="322"/>
        <v>E2.7.7.18 : E2.7.7.18</v>
      </c>
      <c r="I159" s="77" t="str">
        <f t="shared" ref="I159:J159" si="323">CONCATENATE(C159," : ","0")</f>
        <v>E2.7.7.18_mRNA : 0</v>
      </c>
      <c r="J159" s="78" t="str">
        <f t="shared" si="323"/>
        <v>E2.7.7.18 : 0</v>
      </c>
      <c r="K159" s="79" t="str">
        <f t="shared" si="6"/>
        <v>0.00292 - (0.0093 * E2.7.7.18_mRNA)</v>
      </c>
      <c r="L159" s="75" t="str">
        <f t="shared" si="7"/>
        <v>(0.278 * E2.7.7.18_mRNA) - (0.00000278 * E2.7.7.18)</v>
      </c>
      <c r="M159" s="80" t="str">
        <f t="shared" si="8"/>
        <v>mRNA158: -&gt; E2.7.7.18_mRNA | 0.00292 - (0.0093 * E2.7.7.18_mRNA)</v>
      </c>
      <c r="N159" s="73" t="str">
        <f t="shared" si="9"/>
        <v>Peptide158: E2.7.7.18_mRNA -&gt; E2.7.7.18 | (0.278 * E2.7.7.18_mRNA) - (0.000000278 * E2.7.7.18)</v>
      </c>
    </row>
    <row r="160" spans="1:14" ht="25">
      <c r="A160" s="70">
        <v>159</v>
      </c>
      <c r="B160" s="82" t="s">
        <v>8288</v>
      </c>
      <c r="C160" s="72" t="str">
        <f t="shared" si="0"/>
        <v>E2.7.7.2_mRNA</v>
      </c>
      <c r="D160" s="72" t="str">
        <f t="shared" si="1"/>
        <v>E2.7.7.2</v>
      </c>
      <c r="E160" s="73" t="str">
        <f t="shared" si="2"/>
        <v>E2.7.7.2_kcat : 13.7</v>
      </c>
      <c r="F160" s="74" t="str">
        <f t="shared" si="3"/>
        <v>E2.7.7.2_km : 1</v>
      </c>
      <c r="G160" s="75" t="str">
        <f t="shared" ref="G160:H160" si="324">CONCATENATE(C160," : ",C160)</f>
        <v>E2.7.7.2_mRNA : E2.7.7.2_mRNA</v>
      </c>
      <c r="H160" s="76" t="str">
        <f t="shared" si="324"/>
        <v>E2.7.7.2 : E2.7.7.2</v>
      </c>
      <c r="I160" s="77" t="str">
        <f t="shared" ref="I160:J160" si="325">CONCATENATE(C160," : ","0")</f>
        <v>E2.7.7.2_mRNA : 0</v>
      </c>
      <c r="J160" s="78" t="str">
        <f t="shared" si="325"/>
        <v>E2.7.7.2 : 0</v>
      </c>
      <c r="K160" s="79" t="str">
        <f t="shared" si="6"/>
        <v>0.00292 - (0.0093 * E2.7.7.2_mRNA)</v>
      </c>
      <c r="L160" s="75" t="str">
        <f t="shared" si="7"/>
        <v>(0.278 * E2.7.7.2_mRNA) - (0.00000278 * E2.7.7.2)</v>
      </c>
      <c r="M160" s="80" t="str">
        <f t="shared" si="8"/>
        <v>mRNA159: -&gt; E2.7.7.2_mRNA | 0.00292 - (0.0093 * E2.7.7.2_mRNA)</v>
      </c>
      <c r="N160" s="73" t="str">
        <f t="shared" si="9"/>
        <v>Peptide159: E2.7.7.2_mRNA -&gt; E2.7.7.2 | (0.278 * E2.7.7.2_mRNA) - (0.000000278 * E2.7.7.2)</v>
      </c>
    </row>
    <row r="161" spans="1:14" ht="25">
      <c r="A161" s="70">
        <v>160</v>
      </c>
      <c r="B161" s="82" t="s">
        <v>8289</v>
      </c>
      <c r="C161" s="72" t="str">
        <f t="shared" si="0"/>
        <v>E2.7.7.23_mRNA</v>
      </c>
      <c r="D161" s="72" t="str">
        <f t="shared" si="1"/>
        <v>E2.7.7.23</v>
      </c>
      <c r="E161" s="73" t="str">
        <f t="shared" si="2"/>
        <v>E2.7.7.23_kcat : 13.7</v>
      </c>
      <c r="F161" s="74" t="str">
        <f t="shared" si="3"/>
        <v>E2.7.7.23_km : 1</v>
      </c>
      <c r="G161" s="75" t="str">
        <f t="shared" ref="G161:H161" si="326">CONCATENATE(C161," : ",C161)</f>
        <v>E2.7.7.23_mRNA : E2.7.7.23_mRNA</v>
      </c>
      <c r="H161" s="76" t="str">
        <f t="shared" si="326"/>
        <v>E2.7.7.23 : E2.7.7.23</v>
      </c>
      <c r="I161" s="77" t="str">
        <f t="shared" ref="I161:J161" si="327">CONCATENATE(C161," : ","0")</f>
        <v>E2.7.7.23_mRNA : 0</v>
      </c>
      <c r="J161" s="78" t="str">
        <f t="shared" si="327"/>
        <v>E2.7.7.23 : 0</v>
      </c>
      <c r="K161" s="79" t="str">
        <f t="shared" si="6"/>
        <v>0.00292 - (0.0093 * E2.7.7.23_mRNA)</v>
      </c>
      <c r="L161" s="75" t="str">
        <f t="shared" si="7"/>
        <v>(0.278 * E2.7.7.23_mRNA) - (0.00000278 * E2.7.7.23)</v>
      </c>
      <c r="M161" s="80" t="str">
        <f t="shared" si="8"/>
        <v>mRNA160: -&gt; E2.7.7.23_mRNA | 0.00292 - (0.0093 * E2.7.7.23_mRNA)</v>
      </c>
      <c r="N161" s="73" t="str">
        <f t="shared" si="9"/>
        <v>Peptide160: E2.7.7.23_mRNA -&gt; E2.7.7.23 | (0.278 * E2.7.7.23_mRNA) - (0.000000278 * E2.7.7.23)</v>
      </c>
    </row>
    <row r="162" spans="1:14" ht="25">
      <c r="A162" s="70">
        <v>161</v>
      </c>
      <c r="B162" s="81" t="s">
        <v>17169</v>
      </c>
      <c r="C162" s="72" t="str">
        <f t="shared" si="0"/>
        <v>E2.7.7.27_mRNA</v>
      </c>
      <c r="D162" s="72" t="str">
        <f t="shared" si="1"/>
        <v>E2.7.7.27</v>
      </c>
      <c r="E162" s="73" t="str">
        <f t="shared" si="2"/>
        <v>E2.7.7.27_kcat : 13.7</v>
      </c>
      <c r="F162" s="74" t="str">
        <f t="shared" si="3"/>
        <v>E2.7.7.27_km : 1</v>
      </c>
      <c r="G162" s="75" t="str">
        <f t="shared" ref="G162:H162" si="328">CONCATENATE(C162," : ",C162)</f>
        <v>E2.7.7.27_mRNA : E2.7.7.27_mRNA</v>
      </c>
      <c r="H162" s="76" t="str">
        <f t="shared" si="328"/>
        <v>E2.7.7.27 : E2.7.7.27</v>
      </c>
      <c r="I162" s="77" t="str">
        <f t="shared" ref="I162:J162" si="329">CONCATENATE(C162," : ","0")</f>
        <v>E2.7.7.27_mRNA : 0</v>
      </c>
      <c r="J162" s="78" t="str">
        <f t="shared" si="329"/>
        <v>E2.7.7.27 : 0</v>
      </c>
      <c r="K162" s="79" t="str">
        <f t="shared" si="6"/>
        <v>0.00292 - (0.0093 * E2.7.7.27_mRNA)</v>
      </c>
      <c r="L162" s="75" t="str">
        <f t="shared" si="7"/>
        <v>(0.278 * E2.7.7.27_mRNA) - (0.00000278 * E2.7.7.27)</v>
      </c>
      <c r="M162" s="80" t="str">
        <f t="shared" si="8"/>
        <v>mRNA161: -&gt; E2.7.7.27_mRNA | 0.00292 - (0.0093 * E2.7.7.27_mRNA)</v>
      </c>
      <c r="N162" s="73" t="str">
        <f t="shared" si="9"/>
        <v>Peptide161: E2.7.7.27_mRNA -&gt; E2.7.7.27 | (0.278 * E2.7.7.27_mRNA) - (0.000000278 * E2.7.7.27)</v>
      </c>
    </row>
    <row r="163" spans="1:14" ht="25">
      <c r="A163" s="70">
        <v>162</v>
      </c>
      <c r="B163" s="81" t="s">
        <v>17170</v>
      </c>
      <c r="C163" s="72" t="str">
        <f t="shared" si="0"/>
        <v>E2.7.7.3_mRNA</v>
      </c>
      <c r="D163" s="72" t="str">
        <f t="shared" si="1"/>
        <v>E2.7.7.3</v>
      </c>
      <c r="E163" s="73" t="str">
        <f t="shared" si="2"/>
        <v>E2.7.7.3_kcat : 13.7</v>
      </c>
      <c r="F163" s="74" t="str">
        <f t="shared" si="3"/>
        <v>E2.7.7.3_km : 1</v>
      </c>
      <c r="G163" s="75" t="str">
        <f t="shared" ref="G163:H163" si="330">CONCATENATE(C163," : ",C163)</f>
        <v>E2.7.7.3_mRNA : E2.7.7.3_mRNA</v>
      </c>
      <c r="H163" s="76" t="str">
        <f t="shared" si="330"/>
        <v>E2.7.7.3 : E2.7.7.3</v>
      </c>
      <c r="I163" s="77" t="str">
        <f t="shared" ref="I163:J163" si="331">CONCATENATE(C163," : ","0")</f>
        <v>E2.7.7.3_mRNA : 0</v>
      </c>
      <c r="J163" s="78" t="str">
        <f t="shared" si="331"/>
        <v>E2.7.7.3 : 0</v>
      </c>
      <c r="K163" s="79" t="str">
        <f t="shared" si="6"/>
        <v>0.00292 - (0.0093 * E2.7.7.3_mRNA)</v>
      </c>
      <c r="L163" s="75" t="str">
        <f t="shared" si="7"/>
        <v>(0.278 * E2.7.7.3_mRNA) - (0.00000278 * E2.7.7.3)</v>
      </c>
      <c r="M163" s="80" t="str">
        <f t="shared" si="8"/>
        <v>mRNA162: -&gt; E2.7.7.3_mRNA | 0.00292 - (0.0093 * E2.7.7.3_mRNA)</v>
      </c>
      <c r="N163" s="73" t="str">
        <f t="shared" si="9"/>
        <v>Peptide162: E2.7.7.3_mRNA -&gt; E2.7.7.3 | (0.278 * E2.7.7.3_mRNA) - (0.000000278 * E2.7.7.3)</v>
      </c>
    </row>
    <row r="164" spans="1:14" ht="25">
      <c r="A164" s="70">
        <v>163</v>
      </c>
      <c r="B164" s="81" t="s">
        <v>17171</v>
      </c>
      <c r="C164" s="72" t="str">
        <f t="shared" si="0"/>
        <v>E2.7.7.6_mRNA</v>
      </c>
      <c r="D164" s="72" t="str">
        <f t="shared" si="1"/>
        <v>E2.7.7.6</v>
      </c>
      <c r="E164" s="73" t="str">
        <f t="shared" si="2"/>
        <v>E2.7.7.6_kcat : 13.7</v>
      </c>
      <c r="F164" s="74" t="str">
        <f t="shared" si="3"/>
        <v>E2.7.7.6_km : 1</v>
      </c>
      <c r="G164" s="75" t="str">
        <f t="shared" ref="G164:H164" si="332">CONCATENATE(C164," : ",C164)</f>
        <v>E2.7.7.6_mRNA : E2.7.7.6_mRNA</v>
      </c>
      <c r="H164" s="76" t="str">
        <f t="shared" si="332"/>
        <v>E2.7.7.6 : E2.7.7.6</v>
      </c>
      <c r="I164" s="77" t="str">
        <f t="shared" ref="I164:J164" si="333">CONCATENATE(C164," : ","0")</f>
        <v>E2.7.7.6_mRNA : 0</v>
      </c>
      <c r="J164" s="78" t="str">
        <f t="shared" si="333"/>
        <v>E2.7.7.6 : 0</v>
      </c>
      <c r="K164" s="79" t="str">
        <f t="shared" si="6"/>
        <v>0.00292 - (0.0093 * E2.7.7.6_mRNA)</v>
      </c>
      <c r="L164" s="75" t="str">
        <f t="shared" si="7"/>
        <v>(0.278 * E2.7.7.6_mRNA) - (0.00000278 * E2.7.7.6)</v>
      </c>
      <c r="M164" s="80" t="str">
        <f t="shared" si="8"/>
        <v>mRNA163: -&gt; E2.7.7.6_mRNA | 0.00292 - (0.0093 * E2.7.7.6_mRNA)</v>
      </c>
      <c r="N164" s="73" t="str">
        <f t="shared" si="9"/>
        <v>Peptide163: E2.7.7.6_mRNA -&gt; E2.7.7.6 | (0.278 * E2.7.7.6_mRNA) - (0.000000278 * E2.7.7.6)</v>
      </c>
    </row>
    <row r="165" spans="1:14" ht="25">
      <c r="A165" s="70">
        <v>164</v>
      </c>
      <c r="B165" s="81" t="s">
        <v>17172</v>
      </c>
      <c r="C165" s="72" t="str">
        <f t="shared" si="0"/>
        <v>E2.7.7.61_mRNA</v>
      </c>
      <c r="D165" s="72" t="str">
        <f t="shared" si="1"/>
        <v>E2.7.7.61</v>
      </c>
      <c r="E165" s="73" t="str">
        <f t="shared" si="2"/>
        <v>E2.7.7.61_kcat : 13.7</v>
      </c>
      <c r="F165" s="74" t="str">
        <f t="shared" si="3"/>
        <v>E2.7.7.61_km : 1</v>
      </c>
      <c r="G165" s="75" t="str">
        <f t="shared" ref="G165:H165" si="334">CONCATENATE(C165," : ",C165)</f>
        <v>E2.7.7.61_mRNA : E2.7.7.61_mRNA</v>
      </c>
      <c r="H165" s="76" t="str">
        <f t="shared" si="334"/>
        <v>E2.7.7.61 : E2.7.7.61</v>
      </c>
      <c r="I165" s="77" t="str">
        <f t="shared" ref="I165:J165" si="335">CONCATENATE(C165," : ","0")</f>
        <v>E2.7.7.61_mRNA : 0</v>
      </c>
      <c r="J165" s="78" t="str">
        <f t="shared" si="335"/>
        <v>E2.7.7.61 : 0</v>
      </c>
      <c r="K165" s="79" t="str">
        <f t="shared" si="6"/>
        <v>0.00292 - (0.0093 * E2.7.7.61_mRNA)</v>
      </c>
      <c r="L165" s="75" t="str">
        <f t="shared" si="7"/>
        <v>(0.278 * E2.7.7.61_mRNA) - (0.00000278 * E2.7.7.61)</v>
      </c>
      <c r="M165" s="80" t="str">
        <f t="shared" si="8"/>
        <v>mRNA164: -&gt; E2.7.7.61_mRNA | 0.00292 - (0.0093 * E2.7.7.61_mRNA)</v>
      </c>
      <c r="N165" s="73" t="str">
        <f t="shared" si="9"/>
        <v>Peptide164: E2.7.7.61_mRNA -&gt; E2.7.7.61 | (0.278 * E2.7.7.61_mRNA) - (0.000000278 * E2.7.7.61)</v>
      </c>
    </row>
    <row r="166" spans="1:14" ht="25">
      <c r="A166" s="70">
        <v>165</v>
      </c>
      <c r="B166" s="81" t="s">
        <v>17173</v>
      </c>
      <c r="C166" s="72" t="str">
        <f t="shared" si="0"/>
        <v>E2.7.7.7_mRNA</v>
      </c>
      <c r="D166" s="72" t="str">
        <f t="shared" si="1"/>
        <v>E2.7.7.7</v>
      </c>
      <c r="E166" s="73" t="str">
        <f t="shared" si="2"/>
        <v>E2.7.7.7_kcat : 13.7</v>
      </c>
      <c r="F166" s="74" t="str">
        <f t="shared" si="3"/>
        <v>E2.7.7.7_km : 1</v>
      </c>
      <c r="G166" s="75" t="str">
        <f t="shared" ref="G166:H166" si="336">CONCATENATE(C166," : ",C166)</f>
        <v>E2.7.7.7_mRNA : E2.7.7.7_mRNA</v>
      </c>
      <c r="H166" s="76" t="str">
        <f t="shared" si="336"/>
        <v>E2.7.7.7 : E2.7.7.7</v>
      </c>
      <c r="I166" s="77" t="str">
        <f t="shared" ref="I166:J166" si="337">CONCATENATE(C166," : ","0")</f>
        <v>E2.7.7.7_mRNA : 0</v>
      </c>
      <c r="J166" s="78" t="str">
        <f t="shared" si="337"/>
        <v>E2.7.7.7 : 0</v>
      </c>
      <c r="K166" s="79" t="str">
        <f t="shared" si="6"/>
        <v>0.00292 - (0.0093 * E2.7.7.7_mRNA)</v>
      </c>
      <c r="L166" s="75" t="str">
        <f t="shared" si="7"/>
        <v>(0.278 * E2.7.7.7_mRNA) - (0.00000278 * E2.7.7.7)</v>
      </c>
      <c r="M166" s="80" t="str">
        <f t="shared" si="8"/>
        <v>mRNA165: -&gt; E2.7.7.7_mRNA | 0.00292 - (0.0093 * E2.7.7.7_mRNA)</v>
      </c>
      <c r="N166" s="73" t="str">
        <f t="shared" si="9"/>
        <v>Peptide165: E2.7.7.7_mRNA -&gt; E2.7.7.7 | (0.278 * E2.7.7.7_mRNA) - (0.000000278 * E2.7.7.7)</v>
      </c>
    </row>
    <row r="167" spans="1:14" ht="25">
      <c r="A167" s="70">
        <v>166</v>
      </c>
      <c r="B167" s="81" t="s">
        <v>17174</v>
      </c>
      <c r="C167" s="72" t="str">
        <f t="shared" si="0"/>
        <v>E2.7.7.72_mRNA</v>
      </c>
      <c r="D167" s="72" t="str">
        <f t="shared" si="1"/>
        <v>E2.7.7.72</v>
      </c>
      <c r="E167" s="73" t="str">
        <f t="shared" si="2"/>
        <v>E2.7.7.72_kcat : 13.7</v>
      </c>
      <c r="F167" s="74" t="str">
        <f t="shared" si="3"/>
        <v>E2.7.7.72_km : 1</v>
      </c>
      <c r="G167" s="75" t="str">
        <f t="shared" ref="G167:H167" si="338">CONCATENATE(C167," : ",C167)</f>
        <v>E2.7.7.72_mRNA : E2.7.7.72_mRNA</v>
      </c>
      <c r="H167" s="76" t="str">
        <f t="shared" si="338"/>
        <v>E2.7.7.72 : E2.7.7.72</v>
      </c>
      <c r="I167" s="77" t="str">
        <f t="shared" ref="I167:J167" si="339">CONCATENATE(C167," : ","0")</f>
        <v>E2.7.7.72_mRNA : 0</v>
      </c>
      <c r="J167" s="78" t="str">
        <f t="shared" si="339"/>
        <v>E2.7.7.72 : 0</v>
      </c>
      <c r="K167" s="79" t="str">
        <f t="shared" si="6"/>
        <v>0.00292 - (0.0093 * E2.7.7.72_mRNA)</v>
      </c>
      <c r="L167" s="75" t="str">
        <f t="shared" si="7"/>
        <v>(0.278 * E2.7.7.72_mRNA) - (0.00000278 * E2.7.7.72)</v>
      </c>
      <c r="M167" s="80" t="str">
        <f t="shared" si="8"/>
        <v>mRNA166: -&gt; E2.7.7.72_mRNA | 0.00292 - (0.0093 * E2.7.7.72_mRNA)</v>
      </c>
      <c r="N167" s="73" t="str">
        <f t="shared" si="9"/>
        <v>Peptide166: E2.7.7.72_mRNA -&gt; E2.7.7.72 | (0.278 * E2.7.7.72_mRNA) - (0.000000278 * E2.7.7.72)</v>
      </c>
    </row>
    <row r="168" spans="1:14" ht="25">
      <c r="A168" s="70">
        <v>167</v>
      </c>
      <c r="B168" s="71" t="s">
        <v>8290</v>
      </c>
      <c r="C168" s="72" t="str">
        <f t="shared" si="0"/>
        <v>E2.7.7.85_mRNA</v>
      </c>
      <c r="D168" s="72" t="str">
        <f t="shared" si="1"/>
        <v>E2.7.7.85</v>
      </c>
      <c r="E168" s="73" t="str">
        <f t="shared" si="2"/>
        <v>E2.7.7.85_kcat : 13.7</v>
      </c>
      <c r="F168" s="74" t="str">
        <f t="shared" si="3"/>
        <v>E2.7.7.85_km : 1</v>
      </c>
      <c r="G168" s="75" t="str">
        <f t="shared" ref="G168:H168" si="340">CONCATENATE(C168," : ",C168)</f>
        <v>E2.7.7.85_mRNA : E2.7.7.85_mRNA</v>
      </c>
      <c r="H168" s="76" t="str">
        <f t="shared" si="340"/>
        <v>E2.7.7.85 : E2.7.7.85</v>
      </c>
      <c r="I168" s="77" t="str">
        <f t="shared" ref="I168:J168" si="341">CONCATENATE(C168," : ","0")</f>
        <v>E2.7.7.85_mRNA : 0</v>
      </c>
      <c r="J168" s="78" t="str">
        <f t="shared" si="341"/>
        <v>E2.7.7.85 : 0</v>
      </c>
      <c r="K168" s="79" t="str">
        <f t="shared" si="6"/>
        <v>0.00292 - (0.0093 * E2.7.7.85_mRNA)</v>
      </c>
      <c r="L168" s="75" t="str">
        <f t="shared" si="7"/>
        <v>(0.278 * E2.7.7.85_mRNA) - (0.00000278 * E2.7.7.85)</v>
      </c>
      <c r="M168" s="80" t="str">
        <f t="shared" si="8"/>
        <v>mRNA167: -&gt; E2.7.7.85_mRNA | 0.00292 - (0.0093 * E2.7.7.85_mRNA)</v>
      </c>
      <c r="N168" s="73" t="str">
        <f t="shared" si="9"/>
        <v>Peptide167: E2.7.7.85_mRNA -&gt; E2.7.7.85 | (0.278 * E2.7.7.85_mRNA) - (0.000000278 * E2.7.7.85)</v>
      </c>
    </row>
    <row r="169" spans="1:14" ht="25">
      <c r="A169" s="70">
        <v>168</v>
      </c>
      <c r="B169" s="81" t="s">
        <v>17175</v>
      </c>
      <c r="C169" s="72" t="str">
        <f t="shared" si="0"/>
        <v>E2.7.7.87_mRNA</v>
      </c>
      <c r="D169" s="72" t="str">
        <f t="shared" si="1"/>
        <v>E2.7.7.87</v>
      </c>
      <c r="E169" s="73" t="str">
        <f t="shared" si="2"/>
        <v>E2.7.7.87_kcat : 13.7</v>
      </c>
      <c r="F169" s="74" t="str">
        <f t="shared" si="3"/>
        <v>E2.7.7.87_km : 1</v>
      </c>
      <c r="G169" s="75" t="str">
        <f t="shared" ref="G169:H169" si="342">CONCATENATE(C169," : ",C169)</f>
        <v>E2.7.7.87_mRNA : E2.7.7.87_mRNA</v>
      </c>
      <c r="H169" s="76" t="str">
        <f t="shared" si="342"/>
        <v>E2.7.7.87 : E2.7.7.87</v>
      </c>
      <c r="I169" s="77" t="str">
        <f t="shared" ref="I169:J169" si="343">CONCATENATE(C169," : ","0")</f>
        <v>E2.7.7.87_mRNA : 0</v>
      </c>
      <c r="J169" s="78" t="str">
        <f t="shared" si="343"/>
        <v>E2.7.7.87 : 0</v>
      </c>
      <c r="K169" s="79" t="str">
        <f t="shared" si="6"/>
        <v>0.00292 - (0.0093 * E2.7.7.87_mRNA)</v>
      </c>
      <c r="L169" s="75" t="str">
        <f t="shared" si="7"/>
        <v>(0.278 * E2.7.7.87_mRNA) - (0.00000278 * E2.7.7.87)</v>
      </c>
      <c r="M169" s="80" t="str">
        <f t="shared" si="8"/>
        <v>mRNA168: -&gt; E2.7.7.87_mRNA | 0.00292 - (0.0093 * E2.7.7.87_mRNA)</v>
      </c>
      <c r="N169" s="73" t="str">
        <f t="shared" si="9"/>
        <v>Peptide168: E2.7.7.87_mRNA -&gt; E2.7.7.87 | (0.278 * E2.7.7.87_mRNA) - (0.000000278 * E2.7.7.87)</v>
      </c>
    </row>
    <row r="170" spans="1:14" ht="25">
      <c r="A170" s="70">
        <v>169</v>
      </c>
      <c r="B170" s="81" t="s">
        <v>17176</v>
      </c>
      <c r="C170" s="72" t="str">
        <f t="shared" si="0"/>
        <v>E2.7.7.9_mRNA</v>
      </c>
      <c r="D170" s="72" t="str">
        <f t="shared" si="1"/>
        <v>E2.7.7.9</v>
      </c>
      <c r="E170" s="73" t="str">
        <f t="shared" si="2"/>
        <v>E2.7.7.9_kcat : 13.7</v>
      </c>
      <c r="F170" s="74" t="str">
        <f t="shared" si="3"/>
        <v>E2.7.7.9_km : 1</v>
      </c>
      <c r="G170" s="75" t="str">
        <f t="shared" ref="G170:H170" si="344">CONCATENATE(C170," : ",C170)</f>
        <v>E2.7.7.9_mRNA : E2.7.7.9_mRNA</v>
      </c>
      <c r="H170" s="76" t="str">
        <f t="shared" si="344"/>
        <v>E2.7.7.9 : E2.7.7.9</v>
      </c>
      <c r="I170" s="77" t="str">
        <f t="shared" ref="I170:J170" si="345">CONCATENATE(C170," : ","0")</f>
        <v>E2.7.7.9_mRNA : 0</v>
      </c>
      <c r="J170" s="78" t="str">
        <f t="shared" si="345"/>
        <v>E2.7.7.9 : 0</v>
      </c>
      <c r="K170" s="79" t="str">
        <f t="shared" si="6"/>
        <v>0.00292 - (0.0093 * E2.7.7.9_mRNA)</v>
      </c>
      <c r="L170" s="75" t="str">
        <f t="shared" si="7"/>
        <v>(0.278 * E2.7.7.9_mRNA) - (0.00000278 * E2.7.7.9)</v>
      </c>
      <c r="M170" s="80" t="str">
        <f t="shared" si="8"/>
        <v>mRNA169: -&gt; E2.7.7.9_mRNA | 0.00292 - (0.0093 * E2.7.7.9_mRNA)</v>
      </c>
      <c r="N170" s="73" t="str">
        <f t="shared" si="9"/>
        <v>Peptide169: E2.7.7.9_mRNA -&gt; E2.7.7.9 | (0.278 * E2.7.7.9_mRNA) - (0.000000278 * E2.7.7.9)</v>
      </c>
    </row>
    <row r="171" spans="1:14" ht="25">
      <c r="A171" s="70">
        <v>170</v>
      </c>
      <c r="B171" s="81" t="s">
        <v>17177</v>
      </c>
      <c r="C171" s="72" t="str">
        <f t="shared" si="0"/>
        <v>E2.7.8.13_mRNA</v>
      </c>
      <c r="D171" s="72" t="str">
        <f t="shared" si="1"/>
        <v>E2.7.8.13</v>
      </c>
      <c r="E171" s="73" t="str">
        <f t="shared" si="2"/>
        <v>E2.7.8.13_kcat : 13.7</v>
      </c>
      <c r="F171" s="74" t="str">
        <f t="shared" si="3"/>
        <v>E2.7.8.13_km : 1</v>
      </c>
      <c r="G171" s="75" t="str">
        <f t="shared" ref="G171:H171" si="346">CONCATENATE(C171," : ",C171)</f>
        <v>E2.7.8.13_mRNA : E2.7.8.13_mRNA</v>
      </c>
      <c r="H171" s="76" t="str">
        <f t="shared" si="346"/>
        <v>E2.7.8.13 : E2.7.8.13</v>
      </c>
      <c r="I171" s="77" t="str">
        <f t="shared" ref="I171:J171" si="347">CONCATENATE(C171," : ","0")</f>
        <v>E2.7.8.13_mRNA : 0</v>
      </c>
      <c r="J171" s="78" t="str">
        <f t="shared" si="347"/>
        <v>E2.7.8.13 : 0</v>
      </c>
      <c r="K171" s="79" t="str">
        <f t="shared" si="6"/>
        <v>0.00292 - (0.0093 * E2.7.8.13_mRNA)</v>
      </c>
      <c r="L171" s="75" t="str">
        <f t="shared" si="7"/>
        <v>(0.278 * E2.7.8.13_mRNA) - (0.00000278 * E2.7.8.13)</v>
      </c>
      <c r="M171" s="80" t="str">
        <f t="shared" si="8"/>
        <v>mRNA170: -&gt; E2.7.8.13_mRNA | 0.00292 - (0.0093 * E2.7.8.13_mRNA)</v>
      </c>
      <c r="N171" s="73" t="str">
        <f t="shared" si="9"/>
        <v>Peptide170: E2.7.8.13_mRNA -&gt; E2.7.8.13 | (0.278 * E2.7.8.13_mRNA) - (0.000000278 * E2.7.8.13)</v>
      </c>
    </row>
    <row r="172" spans="1:14" ht="25">
      <c r="A172" s="70">
        <v>171</v>
      </c>
      <c r="B172" s="81" t="s">
        <v>17178</v>
      </c>
      <c r="C172" s="72" t="str">
        <f t="shared" si="0"/>
        <v>E2.7.8.5_mRNA</v>
      </c>
      <c r="D172" s="72" t="str">
        <f t="shared" si="1"/>
        <v>E2.7.8.5</v>
      </c>
      <c r="E172" s="73" t="str">
        <f t="shared" si="2"/>
        <v>E2.7.8.5_kcat : 13.7</v>
      </c>
      <c r="F172" s="74" t="str">
        <f t="shared" si="3"/>
        <v>E2.7.8.5_km : 1</v>
      </c>
      <c r="G172" s="75" t="str">
        <f t="shared" ref="G172:H172" si="348">CONCATENATE(C172," : ",C172)</f>
        <v>E2.7.8.5_mRNA : E2.7.8.5_mRNA</v>
      </c>
      <c r="H172" s="76" t="str">
        <f t="shared" si="348"/>
        <v>E2.7.8.5 : E2.7.8.5</v>
      </c>
      <c r="I172" s="77" t="str">
        <f t="shared" ref="I172:J172" si="349">CONCATENATE(C172," : ","0")</f>
        <v>E2.7.8.5_mRNA : 0</v>
      </c>
      <c r="J172" s="78" t="str">
        <f t="shared" si="349"/>
        <v>E2.7.8.5 : 0</v>
      </c>
      <c r="K172" s="79" t="str">
        <f t="shared" si="6"/>
        <v>0.00292 - (0.0093 * E2.7.8.5_mRNA)</v>
      </c>
      <c r="L172" s="75" t="str">
        <f t="shared" si="7"/>
        <v>(0.278 * E2.7.8.5_mRNA) - (0.00000278 * E2.7.8.5)</v>
      </c>
      <c r="M172" s="80" t="str">
        <f t="shared" si="8"/>
        <v>mRNA171: -&gt; E2.7.8.5_mRNA | 0.00292 - (0.0093 * E2.7.8.5_mRNA)</v>
      </c>
      <c r="N172" s="73" t="str">
        <f t="shared" si="9"/>
        <v>Peptide171: E2.7.8.5_mRNA -&gt; E2.7.8.5 | (0.278 * E2.7.8.5_mRNA) - (0.000000278 * E2.7.8.5)</v>
      </c>
    </row>
    <row r="173" spans="1:14" ht="25">
      <c r="A173" s="70">
        <v>172</v>
      </c>
      <c r="B173" s="81" t="s">
        <v>17179</v>
      </c>
      <c r="C173" s="72" t="str">
        <f t="shared" si="0"/>
        <v>E2.7.8.7_mRNA</v>
      </c>
      <c r="D173" s="72" t="str">
        <f t="shared" si="1"/>
        <v>E2.7.8.7</v>
      </c>
      <c r="E173" s="73" t="str">
        <f t="shared" si="2"/>
        <v>E2.7.8.7_kcat : 13.7</v>
      </c>
      <c r="F173" s="74" t="str">
        <f t="shared" si="3"/>
        <v>E2.7.8.7_km : 1</v>
      </c>
      <c r="G173" s="75" t="str">
        <f t="shared" ref="G173:H173" si="350">CONCATENATE(C173," : ",C173)</f>
        <v>E2.7.8.7_mRNA : E2.7.8.7_mRNA</v>
      </c>
      <c r="H173" s="76" t="str">
        <f t="shared" si="350"/>
        <v>E2.7.8.7 : E2.7.8.7</v>
      </c>
      <c r="I173" s="77" t="str">
        <f t="shared" ref="I173:J173" si="351">CONCATENATE(C173," : ","0")</f>
        <v>E2.7.8.7_mRNA : 0</v>
      </c>
      <c r="J173" s="78" t="str">
        <f t="shared" si="351"/>
        <v>E2.7.8.7 : 0</v>
      </c>
      <c r="K173" s="79" t="str">
        <f t="shared" si="6"/>
        <v>0.00292 - (0.0093 * E2.7.8.7_mRNA)</v>
      </c>
      <c r="L173" s="75" t="str">
        <f t="shared" si="7"/>
        <v>(0.278 * E2.7.8.7_mRNA) - (0.00000278 * E2.7.8.7)</v>
      </c>
      <c r="M173" s="80" t="str">
        <f t="shared" si="8"/>
        <v>mRNA172: -&gt; E2.7.8.7_mRNA | 0.00292 - (0.0093 * E2.7.8.7_mRNA)</v>
      </c>
      <c r="N173" s="73" t="str">
        <f t="shared" si="9"/>
        <v>Peptide172: E2.7.8.7_mRNA -&gt; E2.7.8.7 | (0.278 * E2.7.8.7_mRNA) - (0.000000278 * E2.7.8.7)</v>
      </c>
    </row>
    <row r="174" spans="1:14" ht="25">
      <c r="A174" s="70">
        <v>173</v>
      </c>
      <c r="B174" s="81" t="s">
        <v>17180</v>
      </c>
      <c r="C174" s="72" t="str">
        <f t="shared" si="0"/>
        <v>E2.7.9.1_mRNA</v>
      </c>
      <c r="D174" s="72" t="str">
        <f t="shared" si="1"/>
        <v>E2.7.9.1</v>
      </c>
      <c r="E174" s="73" t="str">
        <f t="shared" si="2"/>
        <v>E2.7.9.1_kcat : 13.7</v>
      </c>
      <c r="F174" s="74" t="str">
        <f t="shared" si="3"/>
        <v>E2.7.9.1_km : 1</v>
      </c>
      <c r="G174" s="75" t="str">
        <f t="shared" ref="G174:H174" si="352">CONCATENATE(C174," : ",C174)</f>
        <v>E2.7.9.1_mRNA : E2.7.9.1_mRNA</v>
      </c>
      <c r="H174" s="76" t="str">
        <f t="shared" si="352"/>
        <v>E2.7.9.1 : E2.7.9.1</v>
      </c>
      <c r="I174" s="77" t="str">
        <f t="shared" ref="I174:J174" si="353">CONCATENATE(C174," : ","0")</f>
        <v>E2.7.9.1_mRNA : 0</v>
      </c>
      <c r="J174" s="78" t="str">
        <f t="shared" si="353"/>
        <v>E2.7.9.1 : 0</v>
      </c>
      <c r="K174" s="79" t="str">
        <f t="shared" si="6"/>
        <v>0.00292 - (0.0093 * E2.7.9.1_mRNA)</v>
      </c>
      <c r="L174" s="75" t="str">
        <f t="shared" si="7"/>
        <v>(0.278 * E2.7.9.1_mRNA) - (0.00000278 * E2.7.9.1)</v>
      </c>
      <c r="M174" s="80" t="str">
        <f t="shared" si="8"/>
        <v>mRNA173: -&gt; E2.7.9.1_mRNA | 0.00292 - (0.0093 * E2.7.9.1_mRNA)</v>
      </c>
      <c r="N174" s="73" t="str">
        <f t="shared" si="9"/>
        <v>Peptide173: E2.7.9.1_mRNA -&gt; E2.7.9.1 | (0.278 * E2.7.9.1_mRNA) - (0.000000278 * E2.7.9.1)</v>
      </c>
    </row>
    <row r="175" spans="1:14" ht="25">
      <c r="A175" s="70">
        <v>174</v>
      </c>
      <c r="B175" s="81" t="s">
        <v>17181</v>
      </c>
      <c r="C175" s="72" t="str">
        <f t="shared" si="0"/>
        <v>E2.8.1.13_mRNA</v>
      </c>
      <c r="D175" s="72" t="str">
        <f t="shared" si="1"/>
        <v>E2.8.1.13</v>
      </c>
      <c r="E175" s="73" t="str">
        <f t="shared" si="2"/>
        <v>E2.8.1.13_kcat : 13.7</v>
      </c>
      <c r="F175" s="74" t="str">
        <f t="shared" si="3"/>
        <v>E2.8.1.13_km : 1</v>
      </c>
      <c r="G175" s="75" t="str">
        <f t="shared" ref="G175:H175" si="354">CONCATENATE(C175," : ",C175)</f>
        <v>E2.8.1.13_mRNA : E2.8.1.13_mRNA</v>
      </c>
      <c r="H175" s="76" t="str">
        <f t="shared" si="354"/>
        <v>E2.8.1.13 : E2.8.1.13</v>
      </c>
      <c r="I175" s="77" t="str">
        <f t="shared" ref="I175:J175" si="355">CONCATENATE(C175," : ","0")</f>
        <v>E2.8.1.13_mRNA : 0</v>
      </c>
      <c r="J175" s="78" t="str">
        <f t="shared" si="355"/>
        <v>E2.8.1.13 : 0</v>
      </c>
      <c r="K175" s="79" t="str">
        <f t="shared" si="6"/>
        <v>0.00292 - (0.0093 * E2.8.1.13_mRNA)</v>
      </c>
      <c r="L175" s="75" t="str">
        <f t="shared" si="7"/>
        <v>(0.278 * E2.8.1.13_mRNA) - (0.00000278 * E2.8.1.13)</v>
      </c>
      <c r="M175" s="80" t="str">
        <f t="shared" si="8"/>
        <v>mRNA174: -&gt; E2.8.1.13_mRNA | 0.00292 - (0.0093 * E2.8.1.13_mRNA)</v>
      </c>
      <c r="N175" s="73" t="str">
        <f t="shared" si="9"/>
        <v>Peptide174: E2.8.1.13_mRNA -&gt; E2.8.1.13 | (0.278 * E2.8.1.13_mRNA) - (0.000000278 * E2.8.1.13)</v>
      </c>
    </row>
    <row r="176" spans="1:14" ht="25">
      <c r="A176" s="70">
        <v>175</v>
      </c>
      <c r="B176" s="81" t="s">
        <v>17182</v>
      </c>
      <c r="C176" s="72" t="str">
        <f t="shared" si="0"/>
        <v>E2.8.1.4_mRNA</v>
      </c>
      <c r="D176" s="72" t="str">
        <f t="shared" si="1"/>
        <v>E2.8.1.4</v>
      </c>
      <c r="E176" s="73" t="str">
        <f t="shared" si="2"/>
        <v>E2.8.1.4_kcat : 13.7</v>
      </c>
      <c r="F176" s="74" t="str">
        <f t="shared" si="3"/>
        <v>E2.8.1.4_km : 1</v>
      </c>
      <c r="G176" s="75" t="str">
        <f t="shared" ref="G176:H176" si="356">CONCATENATE(C176," : ",C176)</f>
        <v>E2.8.1.4_mRNA : E2.8.1.4_mRNA</v>
      </c>
      <c r="H176" s="76" t="str">
        <f t="shared" si="356"/>
        <v>E2.8.1.4 : E2.8.1.4</v>
      </c>
      <c r="I176" s="77" t="str">
        <f t="shared" ref="I176:J176" si="357">CONCATENATE(C176," : ","0")</f>
        <v>E2.8.1.4_mRNA : 0</v>
      </c>
      <c r="J176" s="78" t="str">
        <f t="shared" si="357"/>
        <v>E2.8.1.4 : 0</v>
      </c>
      <c r="K176" s="79" t="str">
        <f t="shared" si="6"/>
        <v>0.00292 - (0.0093 * E2.8.1.4_mRNA)</v>
      </c>
      <c r="L176" s="75" t="str">
        <f t="shared" si="7"/>
        <v>(0.278 * E2.8.1.4_mRNA) - (0.00000278 * E2.8.1.4)</v>
      </c>
      <c r="M176" s="80" t="str">
        <f t="shared" si="8"/>
        <v>mRNA175: -&gt; E2.8.1.4_mRNA | 0.00292 - (0.0093 * E2.8.1.4_mRNA)</v>
      </c>
      <c r="N176" s="73" t="str">
        <f t="shared" si="9"/>
        <v>Peptide175: E2.8.1.4_mRNA -&gt; E2.8.1.4 | (0.278 * E2.8.1.4_mRNA) - (0.000000278 * E2.8.1.4)</v>
      </c>
    </row>
    <row r="177" spans="1:14" ht="25">
      <c r="A177" s="70">
        <v>176</v>
      </c>
      <c r="B177" s="72" t="s">
        <v>8291</v>
      </c>
      <c r="C177" s="72" t="str">
        <f t="shared" si="0"/>
        <v>E2.8.3.10_mRNA</v>
      </c>
      <c r="D177" s="72" t="str">
        <f t="shared" si="1"/>
        <v>E2.8.3.10</v>
      </c>
      <c r="E177" s="73" t="str">
        <f t="shared" si="2"/>
        <v>E2.8.3.10_kcat : 13.7</v>
      </c>
      <c r="F177" s="74" t="str">
        <f t="shared" si="3"/>
        <v>E2.8.3.10_km : 1</v>
      </c>
      <c r="G177" s="75" t="str">
        <f t="shared" ref="G177:H177" si="358">CONCATENATE(C177," : ",C177)</f>
        <v>E2.8.3.10_mRNA : E2.8.3.10_mRNA</v>
      </c>
      <c r="H177" s="76" t="str">
        <f t="shared" si="358"/>
        <v>E2.8.3.10 : E2.8.3.10</v>
      </c>
      <c r="I177" s="77" t="str">
        <f t="shared" ref="I177:J177" si="359">CONCATENATE(C177," : ","0")</f>
        <v>E2.8.3.10_mRNA : 0</v>
      </c>
      <c r="J177" s="78" t="str">
        <f t="shared" si="359"/>
        <v>E2.8.3.10 : 0</v>
      </c>
      <c r="K177" s="79" t="str">
        <f t="shared" si="6"/>
        <v>0.00292 - (0.0093 * E2.8.3.10_mRNA)</v>
      </c>
      <c r="L177" s="75" t="str">
        <f t="shared" si="7"/>
        <v>(0.278 * E2.8.3.10_mRNA) - (0.00000278 * E2.8.3.10)</v>
      </c>
      <c r="M177" s="80" t="str">
        <f t="shared" si="8"/>
        <v>mRNA176: -&gt; E2.8.3.10_mRNA | 0.00292 - (0.0093 * E2.8.3.10_mRNA)</v>
      </c>
      <c r="N177" s="73" t="str">
        <f t="shared" si="9"/>
        <v>Peptide176: E2.8.3.10_mRNA -&gt; E2.8.3.10 | (0.278 * E2.8.3.10_mRNA) - (0.000000278 * E2.8.3.10)</v>
      </c>
    </row>
    <row r="178" spans="1:14" ht="25">
      <c r="A178" s="70">
        <v>177</v>
      </c>
      <c r="B178" s="81" t="s">
        <v>17183</v>
      </c>
      <c r="C178" s="72" t="str">
        <f t="shared" si="0"/>
        <v>E3.1.1.29_mRNA</v>
      </c>
      <c r="D178" s="72" t="str">
        <f t="shared" si="1"/>
        <v>E3.1.1.29</v>
      </c>
      <c r="E178" s="73" t="str">
        <f t="shared" si="2"/>
        <v>E3.1.1.29_kcat : 13.7</v>
      </c>
      <c r="F178" s="74" t="str">
        <f t="shared" si="3"/>
        <v>E3.1.1.29_km : 1</v>
      </c>
      <c r="G178" s="75" t="str">
        <f t="shared" ref="G178:H178" si="360">CONCATENATE(C178," : ",C178)</f>
        <v>E3.1.1.29_mRNA : E3.1.1.29_mRNA</v>
      </c>
      <c r="H178" s="76" t="str">
        <f t="shared" si="360"/>
        <v>E3.1.1.29 : E3.1.1.29</v>
      </c>
      <c r="I178" s="77" t="str">
        <f t="shared" ref="I178:J178" si="361">CONCATENATE(C178," : ","0")</f>
        <v>E3.1.1.29_mRNA : 0</v>
      </c>
      <c r="J178" s="78" t="str">
        <f t="shared" si="361"/>
        <v>E3.1.1.29 : 0</v>
      </c>
      <c r="K178" s="79" t="str">
        <f t="shared" si="6"/>
        <v>0.00292 - (0.0093 * E3.1.1.29_mRNA)</v>
      </c>
      <c r="L178" s="75" t="str">
        <f t="shared" si="7"/>
        <v>(0.278 * E3.1.1.29_mRNA) - (0.00000278 * E3.1.1.29)</v>
      </c>
      <c r="M178" s="80" t="str">
        <f t="shared" si="8"/>
        <v>mRNA177: -&gt; E3.1.1.29_mRNA | 0.00292 - (0.0093 * E3.1.1.29_mRNA)</v>
      </c>
      <c r="N178" s="73" t="str">
        <f t="shared" si="9"/>
        <v>Peptide177: E3.1.1.29_mRNA -&gt; E3.1.1.29 | (0.278 * E3.1.1.29_mRNA) - (0.000000278 * E3.1.1.29)</v>
      </c>
    </row>
    <row r="179" spans="1:14" ht="25">
      <c r="A179" s="70">
        <v>178</v>
      </c>
      <c r="B179" s="81" t="s">
        <v>17184</v>
      </c>
      <c r="C179" s="72" t="str">
        <f t="shared" si="0"/>
        <v>E3.1.1.96_mRNA</v>
      </c>
      <c r="D179" s="72" t="str">
        <f t="shared" si="1"/>
        <v>E3.1.1.96</v>
      </c>
      <c r="E179" s="73" t="str">
        <f t="shared" si="2"/>
        <v>E3.1.1.96_kcat : 13.7</v>
      </c>
      <c r="F179" s="74" t="str">
        <f t="shared" si="3"/>
        <v>E3.1.1.96_km : 1</v>
      </c>
      <c r="G179" s="75" t="str">
        <f t="shared" ref="G179:H179" si="362">CONCATENATE(C179," : ",C179)</f>
        <v>E3.1.1.96_mRNA : E3.1.1.96_mRNA</v>
      </c>
      <c r="H179" s="76" t="str">
        <f t="shared" si="362"/>
        <v>E3.1.1.96 : E3.1.1.96</v>
      </c>
      <c r="I179" s="77" t="str">
        <f t="shared" ref="I179:J179" si="363">CONCATENATE(C179," : ","0")</f>
        <v>E3.1.1.96_mRNA : 0</v>
      </c>
      <c r="J179" s="78" t="str">
        <f t="shared" si="363"/>
        <v>E3.1.1.96 : 0</v>
      </c>
      <c r="K179" s="79" t="str">
        <f t="shared" si="6"/>
        <v>0.00292 - (0.0093 * E3.1.1.96_mRNA)</v>
      </c>
      <c r="L179" s="75" t="str">
        <f t="shared" si="7"/>
        <v>(0.278 * E3.1.1.96_mRNA) - (0.00000278 * E3.1.1.96)</v>
      </c>
      <c r="M179" s="80" t="str">
        <f t="shared" si="8"/>
        <v>mRNA178: -&gt; E3.1.1.96_mRNA | 0.00292 - (0.0093 * E3.1.1.96_mRNA)</v>
      </c>
      <c r="N179" s="73" t="str">
        <f t="shared" si="9"/>
        <v>Peptide178: E3.1.1.96_mRNA -&gt; E3.1.1.96 | (0.278 * E3.1.1.96_mRNA) - (0.000000278 * E3.1.1.96)</v>
      </c>
    </row>
    <row r="180" spans="1:14" ht="25">
      <c r="A180" s="70">
        <v>179</v>
      </c>
      <c r="B180" s="81" t="s">
        <v>17185</v>
      </c>
      <c r="C180" s="72" t="str">
        <f t="shared" si="0"/>
        <v>E3.1.11.2_mRNA</v>
      </c>
      <c r="D180" s="72" t="str">
        <f t="shared" si="1"/>
        <v>E3.1.11.2</v>
      </c>
      <c r="E180" s="73" t="str">
        <f t="shared" si="2"/>
        <v>E3.1.11.2_kcat : 13.7</v>
      </c>
      <c r="F180" s="74" t="str">
        <f t="shared" si="3"/>
        <v>E3.1.11.2_km : 1</v>
      </c>
      <c r="G180" s="75" t="str">
        <f t="shared" ref="G180:H180" si="364">CONCATENATE(C180," : ",C180)</f>
        <v>E3.1.11.2_mRNA : E3.1.11.2_mRNA</v>
      </c>
      <c r="H180" s="76" t="str">
        <f t="shared" si="364"/>
        <v>E3.1.11.2 : E3.1.11.2</v>
      </c>
      <c r="I180" s="77" t="str">
        <f t="shared" ref="I180:J180" si="365">CONCATENATE(C180," : ","0")</f>
        <v>E3.1.11.2_mRNA : 0</v>
      </c>
      <c r="J180" s="78" t="str">
        <f t="shared" si="365"/>
        <v>E3.1.11.2 : 0</v>
      </c>
      <c r="K180" s="79" t="str">
        <f t="shared" si="6"/>
        <v>0.00292 - (0.0093 * E3.1.11.2_mRNA)</v>
      </c>
      <c r="L180" s="75" t="str">
        <f t="shared" si="7"/>
        <v>(0.278 * E3.1.11.2_mRNA) - (0.00000278 * E3.1.11.2)</v>
      </c>
      <c r="M180" s="80" t="str">
        <f t="shared" si="8"/>
        <v>mRNA179: -&gt; E3.1.11.2_mRNA | 0.00292 - (0.0093 * E3.1.11.2_mRNA)</v>
      </c>
      <c r="N180" s="73" t="str">
        <f t="shared" si="9"/>
        <v>Peptide179: E3.1.11.2_mRNA -&gt; E3.1.11.2 | (0.278 * E3.1.11.2_mRNA) - (0.000000278 * E3.1.11.2)</v>
      </c>
    </row>
    <row r="181" spans="1:14" ht="25">
      <c r="A181" s="70">
        <v>180</v>
      </c>
      <c r="B181" s="81" t="s">
        <v>17186</v>
      </c>
      <c r="C181" s="72" t="str">
        <f t="shared" si="0"/>
        <v>E3.1.11.6_mRNA</v>
      </c>
      <c r="D181" s="72" t="str">
        <f t="shared" si="1"/>
        <v>E3.1.11.6</v>
      </c>
      <c r="E181" s="73" t="str">
        <f t="shared" si="2"/>
        <v>E3.1.11.6_kcat : 13.7</v>
      </c>
      <c r="F181" s="74" t="str">
        <f t="shared" si="3"/>
        <v>E3.1.11.6_km : 1</v>
      </c>
      <c r="G181" s="75" t="str">
        <f t="shared" ref="G181:H181" si="366">CONCATENATE(C181," : ",C181)</f>
        <v>E3.1.11.6_mRNA : E3.1.11.6_mRNA</v>
      </c>
      <c r="H181" s="76" t="str">
        <f t="shared" si="366"/>
        <v>E3.1.11.6 : E3.1.11.6</v>
      </c>
      <c r="I181" s="77" t="str">
        <f t="shared" ref="I181:J181" si="367">CONCATENATE(C181," : ","0")</f>
        <v>E3.1.11.6_mRNA : 0</v>
      </c>
      <c r="J181" s="78" t="str">
        <f t="shared" si="367"/>
        <v>E3.1.11.6 : 0</v>
      </c>
      <c r="K181" s="79" t="str">
        <f t="shared" si="6"/>
        <v>0.00292 - (0.0093 * E3.1.11.6_mRNA)</v>
      </c>
      <c r="L181" s="75" t="str">
        <f t="shared" si="7"/>
        <v>(0.278 * E3.1.11.6_mRNA) - (0.00000278 * E3.1.11.6)</v>
      </c>
      <c r="M181" s="80" t="str">
        <f t="shared" si="8"/>
        <v>mRNA180: -&gt; E3.1.11.6_mRNA | 0.00292 - (0.0093 * E3.1.11.6_mRNA)</v>
      </c>
      <c r="N181" s="73" t="str">
        <f t="shared" si="9"/>
        <v>Peptide180: E3.1.11.6_mRNA -&gt; E3.1.11.6 | (0.278 * E3.1.11.6_mRNA) - (0.000000278 * E3.1.11.6)</v>
      </c>
    </row>
    <row r="182" spans="1:14" ht="25">
      <c r="A182" s="70">
        <v>181</v>
      </c>
      <c r="B182" s="81" t="s">
        <v>17187</v>
      </c>
      <c r="C182" s="72" t="str">
        <f t="shared" si="0"/>
        <v>E3.1.13.1_mRNA</v>
      </c>
      <c r="D182" s="72" t="str">
        <f t="shared" si="1"/>
        <v>E3.1.13.1</v>
      </c>
      <c r="E182" s="73" t="str">
        <f t="shared" si="2"/>
        <v>E3.1.13.1_kcat : 13.7</v>
      </c>
      <c r="F182" s="74" t="str">
        <f t="shared" si="3"/>
        <v>E3.1.13.1_km : 1</v>
      </c>
      <c r="G182" s="75" t="str">
        <f t="shared" ref="G182:H182" si="368">CONCATENATE(C182," : ",C182)</f>
        <v>E3.1.13.1_mRNA : E3.1.13.1_mRNA</v>
      </c>
      <c r="H182" s="76" t="str">
        <f t="shared" si="368"/>
        <v>E3.1.13.1 : E3.1.13.1</v>
      </c>
      <c r="I182" s="77" t="str">
        <f t="shared" ref="I182:J182" si="369">CONCATENATE(C182," : ","0")</f>
        <v>E3.1.13.1_mRNA : 0</v>
      </c>
      <c r="J182" s="78" t="str">
        <f t="shared" si="369"/>
        <v>E3.1.13.1 : 0</v>
      </c>
      <c r="K182" s="79" t="str">
        <f t="shared" si="6"/>
        <v>0.00292 - (0.0093 * E3.1.13.1_mRNA)</v>
      </c>
      <c r="L182" s="75" t="str">
        <f t="shared" si="7"/>
        <v>(0.278 * E3.1.13.1_mRNA) - (0.00000278 * E3.1.13.1)</v>
      </c>
      <c r="M182" s="80" t="str">
        <f t="shared" si="8"/>
        <v>mRNA181: -&gt; E3.1.13.1_mRNA | 0.00292 - (0.0093 * E3.1.13.1_mRNA)</v>
      </c>
      <c r="N182" s="73" t="str">
        <f t="shared" si="9"/>
        <v>Peptide181: E3.1.13.1_mRNA -&gt; E3.1.13.1 | (0.278 * E3.1.13.1_mRNA) - (0.000000278 * E3.1.13.1)</v>
      </c>
    </row>
    <row r="183" spans="1:14" ht="25">
      <c r="A183" s="70">
        <v>182</v>
      </c>
      <c r="B183" s="81" t="s">
        <v>17188</v>
      </c>
      <c r="C183" s="72" t="str">
        <f t="shared" si="0"/>
        <v>E3.1.2.20_mRNA</v>
      </c>
      <c r="D183" s="72" t="str">
        <f t="shared" si="1"/>
        <v>E3.1.2.20</v>
      </c>
      <c r="E183" s="73" t="str">
        <f t="shared" si="2"/>
        <v>E3.1.2.20_kcat : 13.7</v>
      </c>
      <c r="F183" s="74" t="str">
        <f t="shared" si="3"/>
        <v>E3.1.2.20_km : 1</v>
      </c>
      <c r="G183" s="75" t="str">
        <f t="shared" ref="G183:H183" si="370">CONCATENATE(C183," : ",C183)</f>
        <v>E3.1.2.20_mRNA : E3.1.2.20_mRNA</v>
      </c>
      <c r="H183" s="76" t="str">
        <f t="shared" si="370"/>
        <v>E3.1.2.20 : E3.1.2.20</v>
      </c>
      <c r="I183" s="77" t="str">
        <f t="shared" ref="I183:J183" si="371">CONCATENATE(C183," : ","0")</f>
        <v>E3.1.2.20_mRNA : 0</v>
      </c>
      <c r="J183" s="78" t="str">
        <f t="shared" si="371"/>
        <v>E3.1.2.20 : 0</v>
      </c>
      <c r="K183" s="79" t="str">
        <f t="shared" si="6"/>
        <v>0.00292 - (0.0093 * E3.1.2.20_mRNA)</v>
      </c>
      <c r="L183" s="75" t="str">
        <f t="shared" si="7"/>
        <v>(0.278 * E3.1.2.20_mRNA) - (0.00000278 * E3.1.2.20)</v>
      </c>
      <c r="M183" s="80" t="str">
        <f t="shared" si="8"/>
        <v>mRNA182: -&gt; E3.1.2.20_mRNA | 0.00292 - (0.0093 * E3.1.2.20_mRNA)</v>
      </c>
      <c r="N183" s="73" t="str">
        <f t="shared" si="9"/>
        <v>Peptide182: E3.1.2.20_mRNA -&gt; E3.1.2.20 | (0.278 * E3.1.2.20_mRNA) - (0.000000278 * E3.1.2.20)</v>
      </c>
    </row>
    <row r="184" spans="1:14" ht="25">
      <c r="A184" s="70">
        <v>183</v>
      </c>
      <c r="B184" s="81" t="s">
        <v>17189</v>
      </c>
      <c r="C184" s="72" t="str">
        <f t="shared" si="0"/>
        <v>E3.1.21.2_mRNA</v>
      </c>
      <c r="D184" s="72" t="str">
        <f t="shared" si="1"/>
        <v>E3.1.21.2</v>
      </c>
      <c r="E184" s="73" t="str">
        <f t="shared" si="2"/>
        <v>E3.1.21.2_kcat : 13.7</v>
      </c>
      <c r="F184" s="74" t="str">
        <f t="shared" si="3"/>
        <v>E3.1.21.2_km : 1</v>
      </c>
      <c r="G184" s="75" t="str">
        <f t="shared" ref="G184:H184" si="372">CONCATENATE(C184," : ",C184)</f>
        <v>E3.1.21.2_mRNA : E3.1.21.2_mRNA</v>
      </c>
      <c r="H184" s="76" t="str">
        <f t="shared" si="372"/>
        <v>E3.1.21.2 : E3.1.21.2</v>
      </c>
      <c r="I184" s="77" t="str">
        <f t="shared" ref="I184:J184" si="373">CONCATENATE(C184," : ","0")</f>
        <v>E3.1.21.2_mRNA : 0</v>
      </c>
      <c r="J184" s="78" t="str">
        <f t="shared" si="373"/>
        <v>E3.1.21.2 : 0</v>
      </c>
      <c r="K184" s="79" t="str">
        <f t="shared" si="6"/>
        <v>0.00292 - (0.0093 * E3.1.21.2_mRNA)</v>
      </c>
      <c r="L184" s="75" t="str">
        <f t="shared" si="7"/>
        <v>(0.278 * E3.1.21.2_mRNA) - (0.00000278 * E3.1.21.2)</v>
      </c>
      <c r="M184" s="80" t="str">
        <f t="shared" si="8"/>
        <v>mRNA183: -&gt; E3.1.21.2_mRNA | 0.00292 - (0.0093 * E3.1.21.2_mRNA)</v>
      </c>
      <c r="N184" s="73" t="str">
        <f t="shared" si="9"/>
        <v>Peptide183: E3.1.21.2_mRNA -&gt; E3.1.21.2 | (0.278 * E3.1.21.2_mRNA) - (0.000000278 * E3.1.21.2)</v>
      </c>
    </row>
    <row r="185" spans="1:14" ht="25">
      <c r="A185" s="70">
        <v>184</v>
      </c>
      <c r="B185" s="81" t="s">
        <v>17190</v>
      </c>
      <c r="C185" s="72" t="str">
        <f t="shared" si="0"/>
        <v>E3.1.21.3_mRNA</v>
      </c>
      <c r="D185" s="72" t="str">
        <f t="shared" si="1"/>
        <v>E3.1.21.3</v>
      </c>
      <c r="E185" s="73" t="str">
        <f t="shared" si="2"/>
        <v>E3.1.21.3_kcat : 13.7</v>
      </c>
      <c r="F185" s="74" t="str">
        <f t="shared" si="3"/>
        <v>E3.1.21.3_km : 1</v>
      </c>
      <c r="G185" s="75" t="str">
        <f t="shared" ref="G185:H185" si="374">CONCATENATE(C185," : ",C185)</f>
        <v>E3.1.21.3_mRNA : E3.1.21.3_mRNA</v>
      </c>
      <c r="H185" s="76" t="str">
        <f t="shared" si="374"/>
        <v>E3.1.21.3 : E3.1.21.3</v>
      </c>
      <c r="I185" s="77" t="str">
        <f t="shared" ref="I185:J185" si="375">CONCATENATE(C185," : ","0")</f>
        <v>E3.1.21.3_mRNA : 0</v>
      </c>
      <c r="J185" s="78" t="str">
        <f t="shared" si="375"/>
        <v>E3.1.21.3 : 0</v>
      </c>
      <c r="K185" s="79" t="str">
        <f t="shared" si="6"/>
        <v>0.00292 - (0.0093 * E3.1.21.3_mRNA)</v>
      </c>
      <c r="L185" s="75" t="str">
        <f t="shared" si="7"/>
        <v>(0.278 * E3.1.21.3_mRNA) - (0.00000278 * E3.1.21.3)</v>
      </c>
      <c r="M185" s="80" t="str">
        <f t="shared" si="8"/>
        <v>mRNA184: -&gt; E3.1.21.3_mRNA | 0.00292 - (0.0093 * E3.1.21.3_mRNA)</v>
      </c>
      <c r="N185" s="73" t="str">
        <f t="shared" si="9"/>
        <v>Peptide184: E3.1.21.3_mRNA -&gt; E3.1.21.3 | (0.278 * E3.1.21.3_mRNA) - (0.000000278 * E3.1.21.3)</v>
      </c>
    </row>
    <row r="186" spans="1:14" ht="25">
      <c r="A186" s="70">
        <v>185</v>
      </c>
      <c r="B186" s="81" t="s">
        <v>17191</v>
      </c>
      <c r="C186" s="72" t="str">
        <f t="shared" si="0"/>
        <v>E3.1.26.11_mRNA</v>
      </c>
      <c r="D186" s="72" t="str">
        <f t="shared" si="1"/>
        <v>E3.1.26.11</v>
      </c>
      <c r="E186" s="73" t="str">
        <f t="shared" si="2"/>
        <v>E3.1.26.11_kcat : 13.7</v>
      </c>
      <c r="F186" s="74" t="str">
        <f t="shared" si="3"/>
        <v>E3.1.26.11_km : 1</v>
      </c>
      <c r="G186" s="75" t="str">
        <f t="shared" ref="G186:H186" si="376">CONCATENATE(C186," : ",C186)</f>
        <v>E3.1.26.11_mRNA : E3.1.26.11_mRNA</v>
      </c>
      <c r="H186" s="76" t="str">
        <f t="shared" si="376"/>
        <v>E3.1.26.11 : E3.1.26.11</v>
      </c>
      <c r="I186" s="77" t="str">
        <f t="shared" ref="I186:J186" si="377">CONCATENATE(C186," : ","0")</f>
        <v>E3.1.26.11_mRNA : 0</v>
      </c>
      <c r="J186" s="78" t="str">
        <f t="shared" si="377"/>
        <v>E3.1.26.11 : 0</v>
      </c>
      <c r="K186" s="79" t="str">
        <f t="shared" si="6"/>
        <v>0.00292 - (0.0093 * E3.1.26.11_mRNA)</v>
      </c>
      <c r="L186" s="75" t="str">
        <f t="shared" si="7"/>
        <v>(0.278 * E3.1.26.11_mRNA) - (0.00000278 * E3.1.26.11)</v>
      </c>
      <c r="M186" s="80" t="str">
        <f t="shared" si="8"/>
        <v>mRNA185: -&gt; E3.1.26.11_mRNA | 0.00292 - (0.0093 * E3.1.26.11_mRNA)</v>
      </c>
      <c r="N186" s="73" t="str">
        <f t="shared" si="9"/>
        <v>Peptide185: E3.1.26.11_mRNA -&gt; E3.1.26.11 | (0.278 * E3.1.26.11_mRNA) - (0.000000278 * E3.1.26.11)</v>
      </c>
    </row>
    <row r="187" spans="1:14" ht="25">
      <c r="A187" s="70">
        <v>186</v>
      </c>
      <c r="B187" s="72" t="s">
        <v>8292</v>
      </c>
      <c r="C187" s="72" t="str">
        <f t="shared" si="0"/>
        <v>E3.1.26.3_mRNA</v>
      </c>
      <c r="D187" s="72" t="str">
        <f t="shared" si="1"/>
        <v>E3.1.26.3</v>
      </c>
      <c r="E187" s="73" t="str">
        <f t="shared" si="2"/>
        <v>E3.1.26.3_kcat : 13.7</v>
      </c>
      <c r="F187" s="74" t="str">
        <f t="shared" si="3"/>
        <v>E3.1.26.3_km : 1</v>
      </c>
      <c r="G187" s="75" t="str">
        <f t="shared" ref="G187:H187" si="378">CONCATENATE(C187," : ",C187)</f>
        <v>E3.1.26.3_mRNA : E3.1.26.3_mRNA</v>
      </c>
      <c r="H187" s="76" t="str">
        <f t="shared" si="378"/>
        <v>E3.1.26.3 : E3.1.26.3</v>
      </c>
      <c r="I187" s="77" t="str">
        <f t="shared" ref="I187:J187" si="379">CONCATENATE(C187," : ","0")</f>
        <v>E3.1.26.3_mRNA : 0</v>
      </c>
      <c r="J187" s="78" t="str">
        <f t="shared" si="379"/>
        <v>E3.1.26.3 : 0</v>
      </c>
      <c r="K187" s="79" t="str">
        <f t="shared" si="6"/>
        <v>0.00292 - (0.0093 * E3.1.26.3_mRNA)</v>
      </c>
      <c r="L187" s="75" t="str">
        <f t="shared" si="7"/>
        <v>(0.278 * E3.1.26.3_mRNA) - (0.00000278 * E3.1.26.3)</v>
      </c>
      <c r="M187" s="80" t="str">
        <f t="shared" si="8"/>
        <v>mRNA186: -&gt; E3.1.26.3_mRNA | 0.00292 - (0.0093 * E3.1.26.3_mRNA)</v>
      </c>
      <c r="N187" s="73" t="str">
        <f t="shared" si="9"/>
        <v>Peptide186: E3.1.26.3_mRNA -&gt; E3.1.26.3 | (0.278 * E3.1.26.3_mRNA) - (0.000000278 * E3.1.26.3)</v>
      </c>
    </row>
    <row r="188" spans="1:14" ht="25">
      <c r="A188" s="70">
        <v>187</v>
      </c>
      <c r="B188" s="81" t="s">
        <v>17192</v>
      </c>
      <c r="C188" s="72" t="str">
        <f t="shared" si="0"/>
        <v>E3.1.26.4_mRNA</v>
      </c>
      <c r="D188" s="72" t="str">
        <f t="shared" si="1"/>
        <v>E3.1.26.4</v>
      </c>
      <c r="E188" s="73" t="str">
        <f t="shared" si="2"/>
        <v>E3.1.26.4_kcat : 13.7</v>
      </c>
      <c r="F188" s="74" t="str">
        <f t="shared" si="3"/>
        <v>E3.1.26.4_km : 1</v>
      </c>
      <c r="G188" s="75" t="str">
        <f t="shared" ref="G188:H188" si="380">CONCATENATE(C188," : ",C188)</f>
        <v>E3.1.26.4_mRNA : E3.1.26.4_mRNA</v>
      </c>
      <c r="H188" s="76" t="str">
        <f t="shared" si="380"/>
        <v>E3.1.26.4 : E3.1.26.4</v>
      </c>
      <c r="I188" s="77" t="str">
        <f t="shared" ref="I188:J188" si="381">CONCATENATE(C188," : ","0")</f>
        <v>E3.1.26.4_mRNA : 0</v>
      </c>
      <c r="J188" s="78" t="str">
        <f t="shared" si="381"/>
        <v>E3.1.26.4 : 0</v>
      </c>
      <c r="K188" s="79" t="str">
        <f t="shared" si="6"/>
        <v>0.00292 - (0.0093 * E3.1.26.4_mRNA)</v>
      </c>
      <c r="L188" s="75" t="str">
        <f t="shared" si="7"/>
        <v>(0.278 * E3.1.26.4_mRNA) - (0.00000278 * E3.1.26.4)</v>
      </c>
      <c r="M188" s="80" t="str">
        <f t="shared" si="8"/>
        <v>mRNA187: -&gt; E3.1.26.4_mRNA | 0.00292 - (0.0093 * E3.1.26.4_mRNA)</v>
      </c>
      <c r="N188" s="73" t="str">
        <f t="shared" si="9"/>
        <v>Peptide187: E3.1.26.4_mRNA -&gt; E3.1.26.4 | (0.278 * E3.1.26.4_mRNA) - (0.000000278 * E3.1.26.4)</v>
      </c>
    </row>
    <row r="189" spans="1:14" ht="25">
      <c r="A189" s="70">
        <v>188</v>
      </c>
      <c r="B189" s="81" t="s">
        <v>17193</v>
      </c>
      <c r="C189" s="72" t="str">
        <f t="shared" si="0"/>
        <v>E3.1.26.5_mRNA</v>
      </c>
      <c r="D189" s="72" t="str">
        <f t="shared" si="1"/>
        <v>E3.1.26.5</v>
      </c>
      <c r="E189" s="73" t="str">
        <f t="shared" si="2"/>
        <v>E3.1.26.5_kcat : 13.7</v>
      </c>
      <c r="F189" s="74" t="str">
        <f t="shared" si="3"/>
        <v>E3.1.26.5_km : 1</v>
      </c>
      <c r="G189" s="75" t="str">
        <f t="shared" ref="G189:H189" si="382">CONCATENATE(C189," : ",C189)</f>
        <v>E3.1.26.5_mRNA : E3.1.26.5_mRNA</v>
      </c>
      <c r="H189" s="76" t="str">
        <f t="shared" si="382"/>
        <v>E3.1.26.5 : E3.1.26.5</v>
      </c>
      <c r="I189" s="77" t="str">
        <f t="shared" ref="I189:J189" si="383">CONCATENATE(C189," : ","0")</f>
        <v>E3.1.26.5_mRNA : 0</v>
      </c>
      <c r="J189" s="78" t="str">
        <f t="shared" si="383"/>
        <v>E3.1.26.5 : 0</v>
      </c>
      <c r="K189" s="79" t="str">
        <f t="shared" si="6"/>
        <v>0.00292 - (0.0093 * E3.1.26.5_mRNA)</v>
      </c>
      <c r="L189" s="75" t="str">
        <f t="shared" si="7"/>
        <v>(0.278 * E3.1.26.5_mRNA) - (0.00000278 * E3.1.26.5)</v>
      </c>
      <c r="M189" s="80" t="str">
        <f t="shared" si="8"/>
        <v>mRNA188: -&gt; E3.1.26.5_mRNA | 0.00292 - (0.0093 * E3.1.26.5_mRNA)</v>
      </c>
      <c r="N189" s="73" t="str">
        <f t="shared" si="9"/>
        <v>Peptide188: E3.1.26.5_mRNA -&gt; E3.1.26.5 | (0.278 * E3.1.26.5_mRNA) - (0.000000278 * E3.1.26.5)</v>
      </c>
    </row>
    <row r="190" spans="1:14" ht="25">
      <c r="A190" s="70">
        <v>189</v>
      </c>
      <c r="B190" s="81" t="s">
        <v>17194</v>
      </c>
      <c r="C190" s="72" t="str">
        <f t="shared" si="0"/>
        <v>E3.1.26.8_mRNA</v>
      </c>
      <c r="D190" s="72" t="str">
        <f t="shared" si="1"/>
        <v>E3.1.26.8</v>
      </c>
      <c r="E190" s="73" t="str">
        <f t="shared" si="2"/>
        <v>E3.1.26.8_kcat : 13.7</v>
      </c>
      <c r="F190" s="74" t="str">
        <f t="shared" si="3"/>
        <v>E3.1.26.8_km : 1</v>
      </c>
      <c r="G190" s="75" t="str">
        <f t="shared" ref="G190:H190" si="384">CONCATENATE(C190," : ",C190)</f>
        <v>E3.1.26.8_mRNA : E3.1.26.8_mRNA</v>
      </c>
      <c r="H190" s="76" t="str">
        <f t="shared" si="384"/>
        <v>E3.1.26.8 : E3.1.26.8</v>
      </c>
      <c r="I190" s="77" t="str">
        <f t="shared" ref="I190:J190" si="385">CONCATENATE(C190," : ","0")</f>
        <v>E3.1.26.8_mRNA : 0</v>
      </c>
      <c r="J190" s="78" t="str">
        <f t="shared" si="385"/>
        <v>E3.1.26.8 : 0</v>
      </c>
      <c r="K190" s="79" t="str">
        <f t="shared" si="6"/>
        <v>0.00292 - (0.0093 * E3.1.26.8_mRNA)</v>
      </c>
      <c r="L190" s="75" t="str">
        <f t="shared" si="7"/>
        <v>(0.278 * E3.1.26.8_mRNA) - (0.00000278 * E3.1.26.8)</v>
      </c>
      <c r="M190" s="80" t="str">
        <f t="shared" si="8"/>
        <v>mRNA189: -&gt; E3.1.26.8_mRNA | 0.00292 - (0.0093 * E3.1.26.8_mRNA)</v>
      </c>
      <c r="N190" s="73" t="str">
        <f t="shared" si="9"/>
        <v>Peptide189: E3.1.26.8_mRNA -&gt; E3.1.26.8 | (0.278 * E3.1.26.8_mRNA) - (0.000000278 * E3.1.26.8)</v>
      </c>
    </row>
    <row r="191" spans="1:14" ht="25">
      <c r="A191" s="70">
        <v>190</v>
      </c>
      <c r="B191" s="81" t="s">
        <v>17195</v>
      </c>
      <c r="C191" s="72" t="str">
        <f t="shared" si="0"/>
        <v>E3.1.3.11_mRNA</v>
      </c>
      <c r="D191" s="72" t="str">
        <f t="shared" si="1"/>
        <v>E3.1.3.11</v>
      </c>
      <c r="E191" s="73" t="str">
        <f t="shared" si="2"/>
        <v>E3.1.3.11_kcat : 13.7</v>
      </c>
      <c r="F191" s="74" t="str">
        <f t="shared" si="3"/>
        <v>E3.1.3.11_km : 1</v>
      </c>
      <c r="G191" s="75" t="str">
        <f t="shared" ref="G191:H191" si="386">CONCATENATE(C191," : ",C191)</f>
        <v>E3.1.3.11_mRNA : E3.1.3.11_mRNA</v>
      </c>
      <c r="H191" s="76" t="str">
        <f t="shared" si="386"/>
        <v>E3.1.3.11 : E3.1.3.11</v>
      </c>
      <c r="I191" s="77" t="str">
        <f t="shared" ref="I191:J191" si="387">CONCATENATE(C191," : ","0")</f>
        <v>E3.1.3.11_mRNA : 0</v>
      </c>
      <c r="J191" s="78" t="str">
        <f t="shared" si="387"/>
        <v>E3.1.3.11 : 0</v>
      </c>
      <c r="K191" s="79" t="str">
        <f t="shared" si="6"/>
        <v>0.00292 - (0.0093 * E3.1.3.11_mRNA)</v>
      </c>
      <c r="L191" s="75" t="str">
        <f t="shared" si="7"/>
        <v>(0.278 * E3.1.3.11_mRNA) - (0.00000278 * E3.1.3.11)</v>
      </c>
      <c r="M191" s="80" t="str">
        <f t="shared" si="8"/>
        <v>mRNA190: -&gt; E3.1.3.11_mRNA | 0.00292 - (0.0093 * E3.1.3.11_mRNA)</v>
      </c>
      <c r="N191" s="73" t="str">
        <f t="shared" si="9"/>
        <v>Peptide190: E3.1.3.11_mRNA -&gt; E3.1.3.11 | (0.278 * E3.1.3.11_mRNA) - (0.000000278 * E3.1.3.11)</v>
      </c>
    </row>
    <row r="192" spans="1:14" ht="25">
      <c r="A192" s="70">
        <v>191</v>
      </c>
      <c r="B192" s="81" t="s">
        <v>17196</v>
      </c>
      <c r="C192" s="72" t="str">
        <f t="shared" si="0"/>
        <v>E3.1.3.27_mRNA</v>
      </c>
      <c r="D192" s="72" t="str">
        <f t="shared" si="1"/>
        <v>E3.1.3.27</v>
      </c>
      <c r="E192" s="73" t="str">
        <f t="shared" si="2"/>
        <v>E3.1.3.27_kcat : 13.7</v>
      </c>
      <c r="F192" s="74" t="str">
        <f t="shared" si="3"/>
        <v>E3.1.3.27_km : 1</v>
      </c>
      <c r="G192" s="75" t="str">
        <f t="shared" ref="G192:H192" si="388">CONCATENATE(C192," : ",C192)</f>
        <v>E3.1.3.27_mRNA : E3.1.3.27_mRNA</v>
      </c>
      <c r="H192" s="76" t="str">
        <f t="shared" si="388"/>
        <v>E3.1.3.27 : E3.1.3.27</v>
      </c>
      <c r="I192" s="77" t="str">
        <f t="shared" ref="I192:J192" si="389">CONCATENATE(C192," : ","0")</f>
        <v>E3.1.3.27_mRNA : 0</v>
      </c>
      <c r="J192" s="78" t="str">
        <f t="shared" si="389"/>
        <v>E3.1.3.27 : 0</v>
      </c>
      <c r="K192" s="79" t="str">
        <f t="shared" si="6"/>
        <v>0.00292 - (0.0093 * E3.1.3.27_mRNA)</v>
      </c>
      <c r="L192" s="75" t="str">
        <f t="shared" si="7"/>
        <v>(0.278 * E3.1.3.27_mRNA) - (0.00000278 * E3.1.3.27)</v>
      </c>
      <c r="M192" s="80" t="str">
        <f t="shared" si="8"/>
        <v>mRNA191: -&gt; E3.1.3.27_mRNA | 0.00292 - (0.0093 * E3.1.3.27_mRNA)</v>
      </c>
      <c r="N192" s="73" t="str">
        <f t="shared" si="9"/>
        <v>Peptide191: E3.1.3.27_mRNA -&gt; E3.1.3.27 | (0.278 * E3.1.3.27_mRNA) - (0.000000278 * E3.1.3.27)</v>
      </c>
    </row>
    <row r="193" spans="1:14" ht="25">
      <c r="A193" s="70">
        <v>192</v>
      </c>
      <c r="B193" s="81" t="s">
        <v>17197</v>
      </c>
      <c r="C193" s="72" t="str">
        <f t="shared" si="0"/>
        <v>E3.1.3.5_mRNA</v>
      </c>
      <c r="D193" s="72" t="str">
        <f t="shared" si="1"/>
        <v>E3.1.3.5</v>
      </c>
      <c r="E193" s="73" t="str">
        <f t="shared" si="2"/>
        <v>E3.1.3.5_kcat : 13.7</v>
      </c>
      <c r="F193" s="74" t="str">
        <f t="shared" si="3"/>
        <v>E3.1.3.5_km : 1</v>
      </c>
      <c r="G193" s="75" t="str">
        <f t="shared" ref="G193:H193" si="390">CONCATENATE(C193," : ",C193)</f>
        <v>E3.1.3.5_mRNA : E3.1.3.5_mRNA</v>
      </c>
      <c r="H193" s="76" t="str">
        <f t="shared" si="390"/>
        <v>E3.1.3.5 : E3.1.3.5</v>
      </c>
      <c r="I193" s="77" t="str">
        <f t="shared" ref="I193:J193" si="391">CONCATENATE(C193," : ","0")</f>
        <v>E3.1.3.5_mRNA : 0</v>
      </c>
      <c r="J193" s="78" t="str">
        <f t="shared" si="391"/>
        <v>E3.1.3.5 : 0</v>
      </c>
      <c r="K193" s="79" t="str">
        <f t="shared" si="6"/>
        <v>0.00292 - (0.0093 * E3.1.3.5_mRNA)</v>
      </c>
      <c r="L193" s="75" t="str">
        <f t="shared" si="7"/>
        <v>(0.278 * E3.1.3.5_mRNA) - (0.00000278 * E3.1.3.5)</v>
      </c>
      <c r="M193" s="80" t="str">
        <f t="shared" si="8"/>
        <v>mRNA192: -&gt; E3.1.3.5_mRNA | 0.00292 - (0.0093 * E3.1.3.5_mRNA)</v>
      </c>
      <c r="N193" s="73" t="str">
        <f t="shared" si="9"/>
        <v>Peptide192: E3.1.3.5_mRNA -&gt; E3.1.3.5 | (0.278 * E3.1.3.5_mRNA) - (0.000000278 * E3.1.3.5)</v>
      </c>
    </row>
    <row r="194" spans="1:14" ht="25">
      <c r="A194" s="70">
        <v>193</v>
      </c>
      <c r="B194" s="81" t="s">
        <v>17198</v>
      </c>
      <c r="C194" s="72" t="str">
        <f t="shared" si="0"/>
        <v>E3.1.3.7_mRNA</v>
      </c>
      <c r="D194" s="72" t="str">
        <f t="shared" si="1"/>
        <v>E3.1.3.7</v>
      </c>
      <c r="E194" s="73" t="str">
        <f t="shared" si="2"/>
        <v>E3.1.3.7_kcat : 13.7</v>
      </c>
      <c r="F194" s="74" t="str">
        <f t="shared" si="3"/>
        <v>E3.1.3.7_km : 1</v>
      </c>
      <c r="G194" s="75" t="str">
        <f t="shared" ref="G194:H194" si="392">CONCATENATE(C194," : ",C194)</f>
        <v>E3.1.3.7_mRNA : E3.1.3.7_mRNA</v>
      </c>
      <c r="H194" s="76" t="str">
        <f t="shared" si="392"/>
        <v>E3.1.3.7 : E3.1.3.7</v>
      </c>
      <c r="I194" s="77" t="str">
        <f t="shared" ref="I194:J194" si="393">CONCATENATE(C194," : ","0")</f>
        <v>E3.1.3.7_mRNA : 0</v>
      </c>
      <c r="J194" s="78" t="str">
        <f t="shared" si="393"/>
        <v>E3.1.3.7 : 0</v>
      </c>
      <c r="K194" s="79" t="str">
        <f t="shared" si="6"/>
        <v>0.00292 - (0.0093 * E3.1.3.7_mRNA)</v>
      </c>
      <c r="L194" s="75" t="str">
        <f t="shared" si="7"/>
        <v>(0.278 * E3.1.3.7_mRNA) - (0.00000278 * E3.1.3.7)</v>
      </c>
      <c r="M194" s="80" t="str">
        <f t="shared" si="8"/>
        <v>mRNA193: -&gt; E3.1.3.7_mRNA | 0.00292 - (0.0093 * E3.1.3.7_mRNA)</v>
      </c>
      <c r="N194" s="73" t="str">
        <f t="shared" si="9"/>
        <v>Peptide193: E3.1.3.7_mRNA -&gt; E3.1.3.7 | (0.278 * E3.1.3.7_mRNA) - (0.000000278 * E3.1.3.7)</v>
      </c>
    </row>
    <row r="195" spans="1:14" ht="25">
      <c r="A195" s="70">
        <v>194</v>
      </c>
      <c r="B195" s="81" t="s">
        <v>17199</v>
      </c>
      <c r="C195" s="72" t="str">
        <f t="shared" si="0"/>
        <v>E3.1.6.1_mRNA</v>
      </c>
      <c r="D195" s="72" t="str">
        <f t="shared" si="1"/>
        <v>E3.1.6.1</v>
      </c>
      <c r="E195" s="73" t="str">
        <f t="shared" si="2"/>
        <v>E3.1.6.1_kcat : 13.7</v>
      </c>
      <c r="F195" s="74" t="str">
        <f t="shared" si="3"/>
        <v>E3.1.6.1_km : 1</v>
      </c>
      <c r="G195" s="75" t="str">
        <f t="shared" ref="G195:H195" si="394">CONCATENATE(C195," : ",C195)</f>
        <v>E3.1.6.1_mRNA : E3.1.6.1_mRNA</v>
      </c>
      <c r="H195" s="76" t="str">
        <f t="shared" si="394"/>
        <v>E3.1.6.1 : E3.1.6.1</v>
      </c>
      <c r="I195" s="77" t="str">
        <f t="shared" ref="I195:J195" si="395">CONCATENATE(C195," : ","0")</f>
        <v>E3.1.6.1_mRNA : 0</v>
      </c>
      <c r="J195" s="78" t="str">
        <f t="shared" si="395"/>
        <v>E3.1.6.1 : 0</v>
      </c>
      <c r="K195" s="79" t="str">
        <f t="shared" si="6"/>
        <v>0.00292 - (0.0093 * E3.1.6.1_mRNA)</v>
      </c>
      <c r="L195" s="75" t="str">
        <f t="shared" si="7"/>
        <v>(0.278 * E3.1.6.1_mRNA) - (0.00000278 * E3.1.6.1)</v>
      </c>
      <c r="M195" s="80" t="str">
        <f t="shared" si="8"/>
        <v>mRNA194: -&gt; E3.1.6.1_mRNA | 0.00292 - (0.0093 * E3.1.6.1_mRNA)</v>
      </c>
      <c r="N195" s="73" t="str">
        <f t="shared" si="9"/>
        <v>Peptide194: E3.1.6.1_mRNA -&gt; E3.1.6.1 | (0.278 * E3.1.6.1_mRNA) - (0.000000278 * E3.1.6.1)</v>
      </c>
    </row>
    <row r="196" spans="1:14" ht="25">
      <c r="A196" s="70">
        <v>195</v>
      </c>
      <c r="B196" s="81" t="s">
        <v>17200</v>
      </c>
      <c r="C196" s="72" t="str">
        <f t="shared" si="0"/>
        <v>E3.2.1.20_mRNA</v>
      </c>
      <c r="D196" s="72" t="str">
        <f t="shared" si="1"/>
        <v>E3.2.1.20</v>
      </c>
      <c r="E196" s="73" t="str">
        <f t="shared" si="2"/>
        <v>E3.2.1.20_kcat : 13.7</v>
      </c>
      <c r="F196" s="74" t="str">
        <f t="shared" si="3"/>
        <v>E3.2.1.20_km : 1</v>
      </c>
      <c r="G196" s="75" t="str">
        <f t="shared" ref="G196:H196" si="396">CONCATENATE(C196," : ",C196)</f>
        <v>E3.2.1.20_mRNA : E3.2.1.20_mRNA</v>
      </c>
      <c r="H196" s="76" t="str">
        <f t="shared" si="396"/>
        <v>E3.2.1.20 : E3.2.1.20</v>
      </c>
      <c r="I196" s="77" t="str">
        <f t="shared" ref="I196:J196" si="397">CONCATENATE(C196," : ","0")</f>
        <v>E3.2.1.20_mRNA : 0</v>
      </c>
      <c r="J196" s="78" t="str">
        <f t="shared" si="397"/>
        <v>E3.2.1.20 : 0</v>
      </c>
      <c r="K196" s="79" t="str">
        <f t="shared" si="6"/>
        <v>0.00292 - (0.0093 * E3.2.1.20_mRNA)</v>
      </c>
      <c r="L196" s="75" t="str">
        <f t="shared" si="7"/>
        <v>(0.278 * E3.2.1.20_mRNA) - (0.00000278 * E3.2.1.20)</v>
      </c>
      <c r="M196" s="80" t="str">
        <f t="shared" si="8"/>
        <v>mRNA195: -&gt; E3.2.1.20_mRNA | 0.00292 - (0.0093 * E3.2.1.20_mRNA)</v>
      </c>
      <c r="N196" s="73" t="str">
        <f t="shared" si="9"/>
        <v>Peptide195: E3.2.1.20_mRNA -&gt; E3.2.1.20 | (0.278 * E3.2.1.20_mRNA) - (0.000000278 * E3.2.1.20)</v>
      </c>
    </row>
    <row r="197" spans="1:14" ht="25">
      <c r="A197" s="70">
        <v>196</v>
      </c>
      <c r="B197" s="81" t="s">
        <v>17201</v>
      </c>
      <c r="C197" s="72" t="str">
        <f t="shared" si="0"/>
        <v>E3.2.1.22_mRNA</v>
      </c>
      <c r="D197" s="72" t="str">
        <f t="shared" si="1"/>
        <v>E3.2.1.22</v>
      </c>
      <c r="E197" s="73" t="str">
        <f t="shared" si="2"/>
        <v>E3.2.1.22_kcat : 13.7</v>
      </c>
      <c r="F197" s="74" t="str">
        <f t="shared" si="3"/>
        <v>E3.2.1.22_km : 1</v>
      </c>
      <c r="G197" s="75" t="str">
        <f t="shared" ref="G197:H197" si="398">CONCATENATE(C197," : ",C197)</f>
        <v>E3.2.1.22_mRNA : E3.2.1.22_mRNA</v>
      </c>
      <c r="H197" s="76" t="str">
        <f t="shared" si="398"/>
        <v>E3.2.1.22 : E3.2.1.22</v>
      </c>
      <c r="I197" s="77" t="str">
        <f t="shared" ref="I197:J197" si="399">CONCATENATE(C197," : ","0")</f>
        <v>E3.2.1.22_mRNA : 0</v>
      </c>
      <c r="J197" s="78" t="str">
        <f t="shared" si="399"/>
        <v>E3.2.1.22 : 0</v>
      </c>
      <c r="K197" s="79" t="str">
        <f t="shared" si="6"/>
        <v>0.00292 - (0.0093 * E3.2.1.22_mRNA)</v>
      </c>
      <c r="L197" s="75" t="str">
        <f t="shared" si="7"/>
        <v>(0.278 * E3.2.1.22_mRNA) - (0.00000278 * E3.2.1.22)</v>
      </c>
      <c r="M197" s="80" t="str">
        <f t="shared" si="8"/>
        <v>mRNA196: -&gt; E3.2.1.22_mRNA | 0.00292 - (0.0093 * E3.2.1.22_mRNA)</v>
      </c>
      <c r="N197" s="73" t="str">
        <f t="shared" si="9"/>
        <v>Peptide196: E3.2.1.22_mRNA -&gt; E3.2.1.22 | (0.278 * E3.2.1.22_mRNA) - (0.000000278 * E3.2.1.22)</v>
      </c>
    </row>
    <row r="198" spans="1:14" ht="25">
      <c r="A198" s="70">
        <v>197</v>
      </c>
      <c r="B198" s="81" t="s">
        <v>17202</v>
      </c>
      <c r="C198" s="72" t="str">
        <f t="shared" si="0"/>
        <v>E3.2.1.23_mRNA</v>
      </c>
      <c r="D198" s="72" t="str">
        <f t="shared" si="1"/>
        <v>E3.2.1.23</v>
      </c>
      <c r="E198" s="73" t="str">
        <f t="shared" si="2"/>
        <v>E3.2.1.23_kcat : 13.7</v>
      </c>
      <c r="F198" s="74" t="str">
        <f t="shared" si="3"/>
        <v>E3.2.1.23_km : 1</v>
      </c>
      <c r="G198" s="75" t="str">
        <f t="shared" ref="G198:H198" si="400">CONCATENATE(C198," : ",C198)</f>
        <v>E3.2.1.23_mRNA : E3.2.1.23_mRNA</v>
      </c>
      <c r="H198" s="76" t="str">
        <f t="shared" si="400"/>
        <v>E3.2.1.23 : E3.2.1.23</v>
      </c>
      <c r="I198" s="77" t="str">
        <f t="shared" ref="I198:J198" si="401">CONCATENATE(C198," : ","0")</f>
        <v>E3.2.1.23_mRNA : 0</v>
      </c>
      <c r="J198" s="78" t="str">
        <f t="shared" si="401"/>
        <v>E3.2.1.23 : 0</v>
      </c>
      <c r="K198" s="79" t="str">
        <f t="shared" si="6"/>
        <v>0.00292 - (0.0093 * E3.2.1.23_mRNA)</v>
      </c>
      <c r="L198" s="75" t="str">
        <f t="shared" si="7"/>
        <v>(0.278 * E3.2.1.23_mRNA) - (0.00000278 * E3.2.1.23)</v>
      </c>
      <c r="M198" s="80" t="str">
        <f t="shared" si="8"/>
        <v>mRNA197: -&gt; E3.2.1.23_mRNA | 0.00292 - (0.0093 * E3.2.1.23_mRNA)</v>
      </c>
      <c r="N198" s="73" t="str">
        <f t="shared" si="9"/>
        <v>Peptide197: E3.2.1.23_mRNA -&gt; E3.2.1.23 | (0.278 * E3.2.1.23_mRNA) - (0.000000278 * E3.2.1.23)</v>
      </c>
    </row>
    <row r="199" spans="1:14" ht="25">
      <c r="A199" s="70">
        <v>198</v>
      </c>
      <c r="B199" s="81" t="s">
        <v>17203</v>
      </c>
      <c r="C199" s="72" t="str">
        <f t="shared" si="0"/>
        <v>E3.2.1.26_mRNA</v>
      </c>
      <c r="D199" s="72" t="str">
        <f t="shared" si="1"/>
        <v>E3.2.1.26</v>
      </c>
      <c r="E199" s="73" t="str">
        <f t="shared" si="2"/>
        <v>E3.2.1.26_kcat : 13.7</v>
      </c>
      <c r="F199" s="74" t="str">
        <f t="shared" si="3"/>
        <v>E3.2.1.26_km : 1</v>
      </c>
      <c r="G199" s="75" t="str">
        <f t="shared" ref="G199:H199" si="402">CONCATENATE(C199," : ",C199)</f>
        <v>E3.2.1.26_mRNA : E3.2.1.26_mRNA</v>
      </c>
      <c r="H199" s="76" t="str">
        <f t="shared" si="402"/>
        <v>E3.2.1.26 : E3.2.1.26</v>
      </c>
      <c r="I199" s="77" t="str">
        <f t="shared" ref="I199:J199" si="403">CONCATENATE(C199," : ","0")</f>
        <v>E3.2.1.26_mRNA : 0</v>
      </c>
      <c r="J199" s="78" t="str">
        <f t="shared" si="403"/>
        <v>E3.2.1.26 : 0</v>
      </c>
      <c r="K199" s="79" t="str">
        <f t="shared" si="6"/>
        <v>0.00292 - (0.0093 * E3.2.1.26_mRNA)</v>
      </c>
      <c r="L199" s="75" t="str">
        <f t="shared" si="7"/>
        <v>(0.278 * E3.2.1.26_mRNA) - (0.00000278 * E3.2.1.26)</v>
      </c>
      <c r="M199" s="80" t="str">
        <f t="shared" si="8"/>
        <v>mRNA198: -&gt; E3.2.1.26_mRNA | 0.00292 - (0.0093 * E3.2.1.26_mRNA)</v>
      </c>
      <c r="N199" s="73" t="str">
        <f t="shared" si="9"/>
        <v>Peptide198: E3.2.1.26_mRNA -&gt; E3.2.1.26 | (0.278 * E3.2.1.26_mRNA) - (0.000000278 * E3.2.1.26)</v>
      </c>
    </row>
    <row r="200" spans="1:14" ht="25">
      <c r="A200" s="70">
        <v>199</v>
      </c>
      <c r="B200" s="81" t="s">
        <v>17204</v>
      </c>
      <c r="C200" s="72" t="str">
        <f t="shared" si="0"/>
        <v>E3.2.1.86_mRNA</v>
      </c>
      <c r="D200" s="72" t="str">
        <f t="shared" si="1"/>
        <v>E3.2.1.86</v>
      </c>
      <c r="E200" s="73" t="str">
        <f t="shared" si="2"/>
        <v>E3.2.1.86_kcat : 13.7</v>
      </c>
      <c r="F200" s="74" t="str">
        <f t="shared" si="3"/>
        <v>E3.2.1.86_km : 1</v>
      </c>
      <c r="G200" s="75" t="str">
        <f t="shared" ref="G200:H200" si="404">CONCATENATE(C200," : ",C200)</f>
        <v>E3.2.1.86_mRNA : E3.2.1.86_mRNA</v>
      </c>
      <c r="H200" s="76" t="str">
        <f t="shared" si="404"/>
        <v>E3.2.1.86 : E3.2.1.86</v>
      </c>
      <c r="I200" s="77" t="str">
        <f t="shared" ref="I200:J200" si="405">CONCATENATE(C200," : ","0")</f>
        <v>E3.2.1.86_mRNA : 0</v>
      </c>
      <c r="J200" s="78" t="str">
        <f t="shared" si="405"/>
        <v>E3.2.1.86 : 0</v>
      </c>
      <c r="K200" s="79" t="str">
        <f t="shared" si="6"/>
        <v>0.00292 - (0.0093 * E3.2.1.86_mRNA)</v>
      </c>
      <c r="L200" s="75" t="str">
        <f t="shared" si="7"/>
        <v>(0.278 * E3.2.1.86_mRNA) - (0.00000278 * E3.2.1.86)</v>
      </c>
      <c r="M200" s="80" t="str">
        <f t="shared" si="8"/>
        <v>mRNA199: -&gt; E3.2.1.86_mRNA | 0.00292 - (0.0093 * E3.2.1.86_mRNA)</v>
      </c>
      <c r="N200" s="73" t="str">
        <f t="shared" si="9"/>
        <v>Peptide199: E3.2.1.86_mRNA -&gt; E3.2.1.86 | (0.278 * E3.2.1.86_mRNA) - (0.000000278 * E3.2.1.86)</v>
      </c>
    </row>
    <row r="201" spans="1:14" ht="25">
      <c r="A201" s="70">
        <v>200</v>
      </c>
      <c r="B201" s="81" t="s">
        <v>17205</v>
      </c>
      <c r="C201" s="72" t="str">
        <f t="shared" si="0"/>
        <v>E3.2.1.93_mRNA</v>
      </c>
      <c r="D201" s="72" t="str">
        <f t="shared" si="1"/>
        <v>E3.2.1.93</v>
      </c>
      <c r="E201" s="73" t="str">
        <f t="shared" si="2"/>
        <v>E3.2.1.93_kcat : 13.7</v>
      </c>
      <c r="F201" s="74" t="str">
        <f t="shared" si="3"/>
        <v>E3.2.1.93_km : 1</v>
      </c>
      <c r="G201" s="75" t="str">
        <f t="shared" ref="G201:H201" si="406">CONCATENATE(C201," : ",C201)</f>
        <v>E3.2.1.93_mRNA : E3.2.1.93_mRNA</v>
      </c>
      <c r="H201" s="76" t="str">
        <f t="shared" si="406"/>
        <v>E3.2.1.93 : E3.2.1.93</v>
      </c>
      <c r="I201" s="77" t="str">
        <f t="shared" ref="I201:J201" si="407">CONCATENATE(C201," : ","0")</f>
        <v>E3.2.1.93_mRNA : 0</v>
      </c>
      <c r="J201" s="78" t="str">
        <f t="shared" si="407"/>
        <v>E3.2.1.93 : 0</v>
      </c>
      <c r="K201" s="79" t="str">
        <f t="shared" si="6"/>
        <v>0.00292 - (0.0093 * E3.2.1.93_mRNA)</v>
      </c>
      <c r="L201" s="75" t="str">
        <f t="shared" si="7"/>
        <v>(0.278 * E3.2.1.93_mRNA) - (0.00000278 * E3.2.1.93)</v>
      </c>
      <c r="M201" s="80" t="str">
        <f t="shared" si="8"/>
        <v>mRNA200: -&gt; E3.2.1.93_mRNA | 0.00292 - (0.0093 * E3.2.1.93_mRNA)</v>
      </c>
      <c r="N201" s="73" t="str">
        <f t="shared" si="9"/>
        <v>Peptide200: E3.2.1.93_mRNA -&gt; E3.2.1.93 | (0.278 * E3.2.1.93_mRNA) - (0.000000278 * E3.2.1.93)</v>
      </c>
    </row>
    <row r="202" spans="1:14" ht="25">
      <c r="A202" s="70">
        <v>201</v>
      </c>
      <c r="B202" s="81" t="s">
        <v>17206</v>
      </c>
      <c r="C202" s="72" t="str">
        <f t="shared" si="0"/>
        <v>E3.2.2.23_mRNA</v>
      </c>
      <c r="D202" s="72" t="str">
        <f t="shared" si="1"/>
        <v>E3.2.2.23</v>
      </c>
      <c r="E202" s="73" t="str">
        <f t="shared" si="2"/>
        <v>E3.2.2.23_kcat : 13.7</v>
      </c>
      <c r="F202" s="74" t="str">
        <f t="shared" si="3"/>
        <v>E3.2.2.23_km : 1</v>
      </c>
      <c r="G202" s="75" t="str">
        <f t="shared" ref="G202:H202" si="408">CONCATENATE(C202," : ",C202)</f>
        <v>E3.2.2.23_mRNA : E3.2.2.23_mRNA</v>
      </c>
      <c r="H202" s="76" t="str">
        <f t="shared" si="408"/>
        <v>E3.2.2.23 : E3.2.2.23</v>
      </c>
      <c r="I202" s="77" t="str">
        <f t="shared" ref="I202:J202" si="409">CONCATENATE(C202," : ","0")</f>
        <v>E3.2.2.23_mRNA : 0</v>
      </c>
      <c r="J202" s="78" t="str">
        <f t="shared" si="409"/>
        <v>E3.2.2.23 : 0</v>
      </c>
      <c r="K202" s="79" t="str">
        <f t="shared" si="6"/>
        <v>0.00292 - (0.0093 * E3.2.2.23_mRNA)</v>
      </c>
      <c r="L202" s="75" t="str">
        <f t="shared" si="7"/>
        <v>(0.278 * E3.2.2.23_mRNA) - (0.00000278 * E3.2.2.23)</v>
      </c>
      <c r="M202" s="80" t="str">
        <f t="shared" si="8"/>
        <v>mRNA201: -&gt; E3.2.2.23_mRNA | 0.00292 - (0.0093 * E3.2.2.23_mRNA)</v>
      </c>
      <c r="N202" s="73" t="str">
        <f t="shared" si="9"/>
        <v>Peptide201: E3.2.2.23_mRNA -&gt; E3.2.2.23 | (0.278 * E3.2.2.23_mRNA) - (0.000000278 * E3.2.2.23)</v>
      </c>
    </row>
    <row r="203" spans="1:14" ht="25">
      <c r="A203" s="70">
        <v>202</v>
      </c>
      <c r="B203" s="81" t="s">
        <v>17207</v>
      </c>
      <c r="C203" s="72" t="str">
        <f t="shared" si="0"/>
        <v>E3.2.2.27_mRNA</v>
      </c>
      <c r="D203" s="72" t="str">
        <f t="shared" si="1"/>
        <v>E3.2.2.27</v>
      </c>
      <c r="E203" s="73" t="str">
        <f t="shared" si="2"/>
        <v>E3.2.2.27_kcat : 13.7</v>
      </c>
      <c r="F203" s="74" t="str">
        <f t="shared" si="3"/>
        <v>E3.2.2.27_km : 1</v>
      </c>
      <c r="G203" s="75" t="str">
        <f t="shared" ref="G203:H203" si="410">CONCATENATE(C203," : ",C203)</f>
        <v>E3.2.2.27_mRNA : E3.2.2.27_mRNA</v>
      </c>
      <c r="H203" s="76" t="str">
        <f t="shared" si="410"/>
        <v>E3.2.2.27 : E3.2.2.27</v>
      </c>
      <c r="I203" s="77" t="str">
        <f t="shared" ref="I203:J203" si="411">CONCATENATE(C203," : ","0")</f>
        <v>E3.2.2.27_mRNA : 0</v>
      </c>
      <c r="J203" s="78" t="str">
        <f t="shared" si="411"/>
        <v>E3.2.2.27 : 0</v>
      </c>
      <c r="K203" s="79" t="str">
        <f t="shared" si="6"/>
        <v>0.00292 - (0.0093 * E3.2.2.27_mRNA)</v>
      </c>
      <c r="L203" s="75" t="str">
        <f t="shared" si="7"/>
        <v>(0.278 * E3.2.2.27_mRNA) - (0.00000278 * E3.2.2.27)</v>
      </c>
      <c r="M203" s="80" t="str">
        <f t="shared" si="8"/>
        <v>mRNA202: -&gt; E3.2.2.27_mRNA | 0.00292 - (0.0093 * E3.2.2.27_mRNA)</v>
      </c>
      <c r="N203" s="73" t="str">
        <f t="shared" si="9"/>
        <v>Peptide202: E3.2.2.27_mRNA -&gt; E3.2.2.27 | (0.278 * E3.2.2.27_mRNA) - (0.000000278 * E3.2.2.27)</v>
      </c>
    </row>
    <row r="204" spans="1:14" ht="25">
      <c r="A204" s="70">
        <v>203</v>
      </c>
      <c r="B204" s="81" t="s">
        <v>17208</v>
      </c>
      <c r="C204" s="72" t="str">
        <f t="shared" si="0"/>
        <v>E3.2.2.31_mRNA</v>
      </c>
      <c r="D204" s="72" t="str">
        <f t="shared" si="1"/>
        <v>E3.2.2.31</v>
      </c>
      <c r="E204" s="73" t="str">
        <f t="shared" si="2"/>
        <v>E3.2.2.31_kcat : 13.7</v>
      </c>
      <c r="F204" s="74" t="str">
        <f t="shared" si="3"/>
        <v>E3.2.2.31_km : 1</v>
      </c>
      <c r="G204" s="75" t="str">
        <f t="shared" ref="G204:H204" si="412">CONCATENATE(C204," : ",C204)</f>
        <v>E3.2.2.31_mRNA : E3.2.2.31_mRNA</v>
      </c>
      <c r="H204" s="76" t="str">
        <f t="shared" si="412"/>
        <v>E3.2.2.31 : E3.2.2.31</v>
      </c>
      <c r="I204" s="77" t="str">
        <f t="shared" ref="I204:J204" si="413">CONCATENATE(C204," : ","0")</f>
        <v>E3.2.2.31_mRNA : 0</v>
      </c>
      <c r="J204" s="78" t="str">
        <f t="shared" si="413"/>
        <v>E3.2.2.31 : 0</v>
      </c>
      <c r="K204" s="79" t="str">
        <f t="shared" si="6"/>
        <v>0.00292 - (0.0093 * E3.2.2.31_mRNA)</v>
      </c>
      <c r="L204" s="75" t="str">
        <f t="shared" si="7"/>
        <v>(0.278 * E3.2.2.31_mRNA) - (0.00000278 * E3.2.2.31)</v>
      </c>
      <c r="M204" s="80" t="str">
        <f t="shared" si="8"/>
        <v>mRNA203: -&gt; E3.2.2.31_mRNA | 0.00292 - (0.0093 * E3.2.2.31_mRNA)</v>
      </c>
      <c r="N204" s="73" t="str">
        <f t="shared" si="9"/>
        <v>Peptide203: E3.2.2.31_mRNA -&gt; E3.2.2.31 | (0.278 * E3.2.2.31_mRNA) - (0.000000278 * E3.2.2.31)</v>
      </c>
    </row>
    <row r="205" spans="1:14" ht="25">
      <c r="A205" s="70">
        <v>204</v>
      </c>
      <c r="B205" s="81" t="s">
        <v>17209</v>
      </c>
      <c r="C205" s="72" t="str">
        <f t="shared" si="0"/>
        <v>E3.2.2.9_mRNA</v>
      </c>
      <c r="D205" s="72" t="str">
        <f t="shared" si="1"/>
        <v>E3.2.2.9</v>
      </c>
      <c r="E205" s="73" t="str">
        <f t="shared" si="2"/>
        <v>E3.2.2.9_kcat : 13.7</v>
      </c>
      <c r="F205" s="74" t="str">
        <f t="shared" si="3"/>
        <v>E3.2.2.9_km : 1</v>
      </c>
      <c r="G205" s="75" t="str">
        <f t="shared" ref="G205:H205" si="414">CONCATENATE(C205," : ",C205)</f>
        <v>E3.2.2.9_mRNA : E3.2.2.9_mRNA</v>
      </c>
      <c r="H205" s="76" t="str">
        <f t="shared" si="414"/>
        <v>E3.2.2.9 : E3.2.2.9</v>
      </c>
      <c r="I205" s="77" t="str">
        <f t="shared" ref="I205:J205" si="415">CONCATENATE(C205," : ","0")</f>
        <v>E3.2.2.9_mRNA : 0</v>
      </c>
      <c r="J205" s="78" t="str">
        <f t="shared" si="415"/>
        <v>E3.2.2.9 : 0</v>
      </c>
      <c r="K205" s="79" t="str">
        <f t="shared" si="6"/>
        <v>0.00292 - (0.0093 * E3.2.2.9_mRNA)</v>
      </c>
      <c r="L205" s="75" t="str">
        <f t="shared" si="7"/>
        <v>(0.278 * E3.2.2.9_mRNA) - (0.00000278 * E3.2.2.9)</v>
      </c>
      <c r="M205" s="80" t="str">
        <f t="shared" si="8"/>
        <v>mRNA204: -&gt; E3.2.2.9_mRNA | 0.00292 - (0.0093 * E3.2.2.9_mRNA)</v>
      </c>
      <c r="N205" s="73" t="str">
        <f t="shared" si="9"/>
        <v>Peptide204: E3.2.2.9_mRNA -&gt; E3.2.2.9 | (0.278 * E3.2.2.9_mRNA) - (0.000000278 * E3.2.2.9)</v>
      </c>
    </row>
    <row r="206" spans="1:14" ht="25">
      <c r="A206" s="70">
        <v>205</v>
      </c>
      <c r="B206" s="81" t="s">
        <v>17210</v>
      </c>
      <c r="C206" s="72" t="str">
        <f t="shared" si="0"/>
        <v>E3.4.11.18_mRNA</v>
      </c>
      <c r="D206" s="72" t="str">
        <f t="shared" si="1"/>
        <v>E3.4.11.18</v>
      </c>
      <c r="E206" s="73" t="str">
        <f t="shared" si="2"/>
        <v>E3.4.11.18_kcat : 13.7</v>
      </c>
      <c r="F206" s="74" t="str">
        <f t="shared" si="3"/>
        <v>E3.4.11.18_km : 1</v>
      </c>
      <c r="G206" s="75" t="str">
        <f t="shared" ref="G206:H206" si="416">CONCATENATE(C206," : ",C206)</f>
        <v>E3.4.11.18_mRNA : E3.4.11.18_mRNA</v>
      </c>
      <c r="H206" s="76" t="str">
        <f t="shared" si="416"/>
        <v>E3.4.11.18 : E3.4.11.18</v>
      </c>
      <c r="I206" s="77" t="str">
        <f t="shared" ref="I206:J206" si="417">CONCATENATE(C206," : ","0")</f>
        <v>E3.4.11.18_mRNA : 0</v>
      </c>
      <c r="J206" s="78" t="str">
        <f t="shared" si="417"/>
        <v>E3.4.11.18 : 0</v>
      </c>
      <c r="K206" s="79" t="str">
        <f t="shared" si="6"/>
        <v>0.00292 - (0.0093 * E3.4.11.18_mRNA)</v>
      </c>
      <c r="L206" s="75" t="str">
        <f t="shared" si="7"/>
        <v>(0.278 * E3.4.11.18_mRNA) - (0.00000278 * E3.4.11.18)</v>
      </c>
      <c r="M206" s="80" t="str">
        <f t="shared" si="8"/>
        <v>mRNA205: -&gt; E3.4.11.18_mRNA | 0.00292 - (0.0093 * E3.4.11.18_mRNA)</v>
      </c>
      <c r="N206" s="73" t="str">
        <f t="shared" si="9"/>
        <v>Peptide205: E3.4.11.18_mRNA -&gt; E3.4.11.18 | (0.278 * E3.4.11.18_mRNA) - (0.000000278 * E3.4.11.18)</v>
      </c>
    </row>
    <row r="207" spans="1:14" ht="25">
      <c r="A207" s="70">
        <v>206</v>
      </c>
      <c r="B207" s="81" t="s">
        <v>17211</v>
      </c>
      <c r="C207" s="72" t="str">
        <f t="shared" si="0"/>
        <v>E3.4.11.4_mRNA</v>
      </c>
      <c r="D207" s="72" t="str">
        <f t="shared" si="1"/>
        <v>E3.4.11.4</v>
      </c>
      <c r="E207" s="73" t="str">
        <f t="shared" si="2"/>
        <v>E3.4.11.4_kcat : 13.7</v>
      </c>
      <c r="F207" s="74" t="str">
        <f t="shared" si="3"/>
        <v>E3.4.11.4_km : 1</v>
      </c>
      <c r="G207" s="75" t="str">
        <f t="shared" ref="G207:H207" si="418">CONCATENATE(C207," : ",C207)</f>
        <v>E3.4.11.4_mRNA : E3.4.11.4_mRNA</v>
      </c>
      <c r="H207" s="76" t="str">
        <f t="shared" si="418"/>
        <v>E3.4.11.4 : E3.4.11.4</v>
      </c>
      <c r="I207" s="77" t="str">
        <f t="shared" ref="I207:J207" si="419">CONCATENATE(C207," : ","0")</f>
        <v>E3.4.11.4_mRNA : 0</v>
      </c>
      <c r="J207" s="78" t="str">
        <f t="shared" si="419"/>
        <v>E3.4.11.4 : 0</v>
      </c>
      <c r="K207" s="79" t="str">
        <f t="shared" si="6"/>
        <v>0.00292 - (0.0093 * E3.4.11.4_mRNA)</v>
      </c>
      <c r="L207" s="75" t="str">
        <f t="shared" si="7"/>
        <v>(0.278 * E3.4.11.4_mRNA) - (0.00000278 * E3.4.11.4)</v>
      </c>
      <c r="M207" s="80" t="str">
        <f t="shared" si="8"/>
        <v>mRNA206: -&gt; E3.4.11.4_mRNA | 0.00292 - (0.0093 * E3.4.11.4_mRNA)</v>
      </c>
      <c r="N207" s="73" t="str">
        <f t="shared" si="9"/>
        <v>Peptide206: E3.4.11.4_mRNA -&gt; E3.4.11.4 | (0.278 * E3.4.11.4_mRNA) - (0.000000278 * E3.4.11.4)</v>
      </c>
    </row>
    <row r="208" spans="1:14" ht="25">
      <c r="A208" s="70">
        <v>207</v>
      </c>
      <c r="B208" s="81" t="s">
        <v>17212</v>
      </c>
      <c r="C208" s="72" t="str">
        <f t="shared" si="0"/>
        <v>E3.4.11.5_mRNA</v>
      </c>
      <c r="D208" s="72" t="str">
        <f t="shared" si="1"/>
        <v>E3.4.11.5</v>
      </c>
      <c r="E208" s="73" t="str">
        <f t="shared" si="2"/>
        <v>E3.4.11.5_kcat : 13.7</v>
      </c>
      <c r="F208" s="74" t="str">
        <f t="shared" si="3"/>
        <v>E3.4.11.5_km : 1</v>
      </c>
      <c r="G208" s="75" t="str">
        <f t="shared" ref="G208:H208" si="420">CONCATENATE(C208," : ",C208)</f>
        <v>E3.4.11.5_mRNA : E3.4.11.5_mRNA</v>
      </c>
      <c r="H208" s="76" t="str">
        <f t="shared" si="420"/>
        <v>E3.4.11.5 : E3.4.11.5</v>
      </c>
      <c r="I208" s="77" t="str">
        <f t="shared" ref="I208:J208" si="421">CONCATENATE(C208," : ","0")</f>
        <v>E3.4.11.5_mRNA : 0</v>
      </c>
      <c r="J208" s="78" t="str">
        <f t="shared" si="421"/>
        <v>E3.4.11.5 : 0</v>
      </c>
      <c r="K208" s="79" t="str">
        <f t="shared" si="6"/>
        <v>0.00292 - (0.0093 * E3.4.11.5_mRNA)</v>
      </c>
      <c r="L208" s="75" t="str">
        <f t="shared" si="7"/>
        <v>(0.278 * E3.4.11.5_mRNA) - (0.00000278 * E3.4.11.5)</v>
      </c>
      <c r="M208" s="80" t="str">
        <f t="shared" si="8"/>
        <v>mRNA207: -&gt; E3.4.11.5_mRNA | 0.00292 - (0.0093 * E3.4.11.5_mRNA)</v>
      </c>
      <c r="N208" s="73" t="str">
        <f t="shared" si="9"/>
        <v>Peptide207: E3.4.11.5_mRNA -&gt; E3.4.11.5 | (0.278 * E3.4.11.5_mRNA) - (0.000000278 * E3.4.11.5)</v>
      </c>
    </row>
    <row r="209" spans="1:14" ht="25">
      <c r="A209" s="70">
        <v>208</v>
      </c>
      <c r="B209" s="81" t="s">
        <v>17213</v>
      </c>
      <c r="C209" s="72" t="str">
        <f t="shared" si="0"/>
        <v>E3.4.14.11_mRNA</v>
      </c>
      <c r="D209" s="72" t="str">
        <f t="shared" si="1"/>
        <v>E3.4.14.11</v>
      </c>
      <c r="E209" s="73" t="str">
        <f t="shared" si="2"/>
        <v>E3.4.14.11_kcat : 13.7</v>
      </c>
      <c r="F209" s="74" t="str">
        <f t="shared" si="3"/>
        <v>E3.4.14.11_km : 1</v>
      </c>
      <c r="G209" s="75" t="str">
        <f t="shared" ref="G209:H209" si="422">CONCATENATE(C209," : ",C209)</f>
        <v>E3.4.14.11_mRNA : E3.4.14.11_mRNA</v>
      </c>
      <c r="H209" s="76" t="str">
        <f t="shared" si="422"/>
        <v>E3.4.14.11 : E3.4.14.11</v>
      </c>
      <c r="I209" s="77" t="str">
        <f t="shared" ref="I209:J209" si="423">CONCATENATE(C209," : ","0")</f>
        <v>E3.4.14.11_mRNA : 0</v>
      </c>
      <c r="J209" s="78" t="str">
        <f t="shared" si="423"/>
        <v>E3.4.14.11 : 0</v>
      </c>
      <c r="K209" s="79" t="str">
        <f t="shared" si="6"/>
        <v>0.00292 - (0.0093 * E3.4.14.11_mRNA)</v>
      </c>
      <c r="L209" s="75" t="str">
        <f t="shared" si="7"/>
        <v>(0.278 * E3.4.14.11_mRNA) - (0.00000278 * E3.4.14.11)</v>
      </c>
      <c r="M209" s="80" t="str">
        <f t="shared" si="8"/>
        <v>mRNA208: -&gt; E3.4.14.11_mRNA | 0.00292 - (0.0093 * E3.4.14.11_mRNA)</v>
      </c>
      <c r="N209" s="73" t="str">
        <f t="shared" si="9"/>
        <v>Peptide208: E3.4.14.11_mRNA -&gt; E3.4.14.11 | (0.278 * E3.4.14.11_mRNA) - (0.000000278 * E3.4.14.11)</v>
      </c>
    </row>
    <row r="210" spans="1:14" ht="25">
      <c r="A210" s="70">
        <v>209</v>
      </c>
      <c r="B210" s="81" t="s">
        <v>17214</v>
      </c>
      <c r="C210" s="72" t="str">
        <f t="shared" si="0"/>
        <v>E3.4.19.3_mRNA</v>
      </c>
      <c r="D210" s="72" t="str">
        <f t="shared" si="1"/>
        <v>E3.4.19.3</v>
      </c>
      <c r="E210" s="73" t="str">
        <f t="shared" si="2"/>
        <v>E3.4.19.3_kcat : 13.7</v>
      </c>
      <c r="F210" s="74" t="str">
        <f t="shared" si="3"/>
        <v>E3.4.19.3_km : 1</v>
      </c>
      <c r="G210" s="75" t="str">
        <f t="shared" ref="G210:H210" si="424">CONCATENATE(C210," : ",C210)</f>
        <v>E3.4.19.3_mRNA : E3.4.19.3_mRNA</v>
      </c>
      <c r="H210" s="76" t="str">
        <f t="shared" si="424"/>
        <v>E3.4.19.3 : E3.4.19.3</v>
      </c>
      <c r="I210" s="77" t="str">
        <f t="shared" ref="I210:J210" si="425">CONCATENATE(C210," : ","0")</f>
        <v>E3.4.19.3_mRNA : 0</v>
      </c>
      <c r="J210" s="78" t="str">
        <f t="shared" si="425"/>
        <v>E3.4.19.3 : 0</v>
      </c>
      <c r="K210" s="79" t="str">
        <f t="shared" si="6"/>
        <v>0.00292 - (0.0093 * E3.4.19.3_mRNA)</v>
      </c>
      <c r="L210" s="75" t="str">
        <f t="shared" si="7"/>
        <v>(0.278 * E3.4.19.3_mRNA) - (0.00000278 * E3.4.19.3)</v>
      </c>
      <c r="M210" s="80" t="str">
        <f t="shared" si="8"/>
        <v>mRNA209: -&gt; E3.4.19.3_mRNA | 0.00292 - (0.0093 * E3.4.19.3_mRNA)</v>
      </c>
      <c r="N210" s="73" t="str">
        <f t="shared" si="9"/>
        <v>Peptide209: E3.4.19.3_mRNA -&gt; E3.4.19.3 | (0.278 * E3.4.19.3_mRNA) - (0.000000278 * E3.4.19.3)</v>
      </c>
    </row>
    <row r="211" spans="1:14" ht="25">
      <c r="A211" s="70">
        <v>210</v>
      </c>
      <c r="B211" s="81" t="s">
        <v>17215</v>
      </c>
      <c r="C211" s="72" t="str">
        <f t="shared" si="0"/>
        <v>E3.4.21.105_mRNA</v>
      </c>
      <c r="D211" s="72" t="str">
        <f t="shared" si="1"/>
        <v>E3.4.21.105</v>
      </c>
      <c r="E211" s="73" t="str">
        <f t="shared" si="2"/>
        <v>E3.4.21.105_kcat : 13.7</v>
      </c>
      <c r="F211" s="74" t="str">
        <f t="shared" si="3"/>
        <v>E3.4.21.105_km : 1</v>
      </c>
      <c r="G211" s="75" t="str">
        <f t="shared" ref="G211:H211" si="426">CONCATENATE(C211," : ",C211)</f>
        <v>E3.4.21.105_mRNA : E3.4.21.105_mRNA</v>
      </c>
      <c r="H211" s="76" t="str">
        <f t="shared" si="426"/>
        <v>E3.4.21.105 : E3.4.21.105</v>
      </c>
      <c r="I211" s="77" t="str">
        <f t="shared" ref="I211:J211" si="427">CONCATENATE(C211," : ","0")</f>
        <v>E3.4.21.105_mRNA : 0</v>
      </c>
      <c r="J211" s="78" t="str">
        <f t="shared" si="427"/>
        <v>E3.4.21.105 : 0</v>
      </c>
      <c r="K211" s="79" t="str">
        <f t="shared" si="6"/>
        <v>0.00292 - (0.0093 * E3.4.21.105_mRNA)</v>
      </c>
      <c r="L211" s="75" t="str">
        <f t="shared" si="7"/>
        <v>(0.278 * E3.4.21.105_mRNA) - (0.00000278 * E3.4.21.105)</v>
      </c>
      <c r="M211" s="80" t="str">
        <f t="shared" si="8"/>
        <v>mRNA210: -&gt; E3.4.21.105_mRNA | 0.00292 - (0.0093 * E3.4.21.105_mRNA)</v>
      </c>
      <c r="N211" s="73" t="str">
        <f t="shared" si="9"/>
        <v>Peptide210: E3.4.21.105_mRNA -&gt; E3.4.21.105 | (0.278 * E3.4.21.105_mRNA) - (0.000000278 * E3.4.21.105)</v>
      </c>
    </row>
    <row r="212" spans="1:14" ht="25">
      <c r="A212" s="70">
        <v>211</v>
      </c>
      <c r="B212" s="81" t="s">
        <v>17216</v>
      </c>
      <c r="C212" s="72" t="str">
        <f t="shared" si="0"/>
        <v>E3.4.21.88_mRNA</v>
      </c>
      <c r="D212" s="72" t="str">
        <f t="shared" si="1"/>
        <v>E3.4.21.88</v>
      </c>
      <c r="E212" s="73" t="str">
        <f t="shared" si="2"/>
        <v>E3.4.21.88_kcat : 13.7</v>
      </c>
      <c r="F212" s="74" t="str">
        <f t="shared" si="3"/>
        <v>E3.4.21.88_km : 1</v>
      </c>
      <c r="G212" s="75" t="str">
        <f t="shared" ref="G212:H212" si="428">CONCATENATE(C212," : ",C212)</f>
        <v>E3.4.21.88_mRNA : E3.4.21.88_mRNA</v>
      </c>
      <c r="H212" s="76" t="str">
        <f t="shared" si="428"/>
        <v>E3.4.21.88 : E3.4.21.88</v>
      </c>
      <c r="I212" s="77" t="str">
        <f t="shared" ref="I212:J212" si="429">CONCATENATE(C212," : ","0")</f>
        <v>E3.4.21.88_mRNA : 0</v>
      </c>
      <c r="J212" s="78" t="str">
        <f t="shared" si="429"/>
        <v>E3.4.21.88 : 0</v>
      </c>
      <c r="K212" s="79" t="str">
        <f t="shared" si="6"/>
        <v>0.00292 - (0.0093 * E3.4.21.88_mRNA)</v>
      </c>
      <c r="L212" s="75" t="str">
        <f t="shared" si="7"/>
        <v>(0.278 * E3.4.21.88_mRNA) - (0.00000278 * E3.4.21.88)</v>
      </c>
      <c r="M212" s="80" t="str">
        <f t="shared" si="8"/>
        <v>mRNA211: -&gt; E3.4.21.88_mRNA | 0.00292 - (0.0093 * E3.4.21.88_mRNA)</v>
      </c>
      <c r="N212" s="73" t="str">
        <f t="shared" si="9"/>
        <v>Peptide211: E3.4.21.88_mRNA -&gt; E3.4.21.88 | (0.278 * E3.4.21.88_mRNA) - (0.000000278 * E3.4.21.88)</v>
      </c>
    </row>
    <row r="213" spans="1:14" ht="25">
      <c r="A213" s="70">
        <v>212</v>
      </c>
      <c r="B213" s="81" t="s">
        <v>17217</v>
      </c>
      <c r="C213" s="72" t="str">
        <f t="shared" si="0"/>
        <v>E3.4.21.89_mRNA</v>
      </c>
      <c r="D213" s="72" t="str">
        <f t="shared" si="1"/>
        <v>E3.4.21.89</v>
      </c>
      <c r="E213" s="73" t="str">
        <f t="shared" si="2"/>
        <v>E3.4.21.89_kcat : 13.7</v>
      </c>
      <c r="F213" s="74" t="str">
        <f t="shared" si="3"/>
        <v>E3.4.21.89_km : 1</v>
      </c>
      <c r="G213" s="75" t="str">
        <f t="shared" ref="G213:H213" si="430">CONCATENATE(C213," : ",C213)</f>
        <v>E3.4.21.89_mRNA : E3.4.21.89_mRNA</v>
      </c>
      <c r="H213" s="76" t="str">
        <f t="shared" si="430"/>
        <v>E3.4.21.89 : E3.4.21.89</v>
      </c>
      <c r="I213" s="77" t="str">
        <f t="shared" ref="I213:J213" si="431">CONCATENATE(C213," : ","0")</f>
        <v>E3.4.21.89_mRNA : 0</v>
      </c>
      <c r="J213" s="78" t="str">
        <f t="shared" si="431"/>
        <v>E3.4.21.89 : 0</v>
      </c>
      <c r="K213" s="79" t="str">
        <f t="shared" si="6"/>
        <v>0.00292 - (0.0093 * E3.4.21.89_mRNA)</v>
      </c>
      <c r="L213" s="75" t="str">
        <f t="shared" si="7"/>
        <v>(0.278 * E3.4.21.89_mRNA) - (0.00000278 * E3.4.21.89)</v>
      </c>
      <c r="M213" s="80" t="str">
        <f t="shared" si="8"/>
        <v>mRNA212: -&gt; E3.4.21.89_mRNA | 0.00292 - (0.0093 * E3.4.21.89_mRNA)</v>
      </c>
      <c r="N213" s="73" t="str">
        <f t="shared" si="9"/>
        <v>Peptide212: E3.4.21.89_mRNA -&gt; E3.4.21.89 | (0.278 * E3.4.21.89_mRNA) - (0.000000278 * E3.4.21.89)</v>
      </c>
    </row>
    <row r="214" spans="1:14" ht="25">
      <c r="A214" s="70">
        <v>213</v>
      </c>
      <c r="B214" s="81" t="s">
        <v>17218</v>
      </c>
      <c r="C214" s="72" t="str">
        <f t="shared" si="0"/>
        <v>E3.4.21.92_mRNA</v>
      </c>
      <c r="D214" s="72" t="str">
        <f t="shared" si="1"/>
        <v>E3.4.21.92</v>
      </c>
      <c r="E214" s="73" t="str">
        <f t="shared" si="2"/>
        <v>E3.4.21.92_kcat : 13.7</v>
      </c>
      <c r="F214" s="74" t="str">
        <f t="shared" si="3"/>
        <v>E3.4.21.92_km : 1</v>
      </c>
      <c r="G214" s="75" t="str">
        <f t="shared" ref="G214:H214" si="432">CONCATENATE(C214," : ",C214)</f>
        <v>E3.4.21.92_mRNA : E3.4.21.92_mRNA</v>
      </c>
      <c r="H214" s="76" t="str">
        <f t="shared" si="432"/>
        <v>E3.4.21.92 : E3.4.21.92</v>
      </c>
      <c r="I214" s="77" t="str">
        <f t="shared" ref="I214:J214" si="433">CONCATENATE(C214," : ","0")</f>
        <v>E3.4.21.92_mRNA : 0</v>
      </c>
      <c r="J214" s="78" t="str">
        <f t="shared" si="433"/>
        <v>E3.4.21.92 : 0</v>
      </c>
      <c r="K214" s="79" t="str">
        <f t="shared" si="6"/>
        <v>0.00292 - (0.0093 * E3.4.21.92_mRNA)</v>
      </c>
      <c r="L214" s="75" t="str">
        <f t="shared" si="7"/>
        <v>(0.278 * E3.4.21.92_mRNA) - (0.00000278 * E3.4.21.92)</v>
      </c>
      <c r="M214" s="80" t="str">
        <f t="shared" si="8"/>
        <v>mRNA213: -&gt; E3.4.21.92_mRNA | 0.00292 - (0.0093 * E3.4.21.92_mRNA)</v>
      </c>
      <c r="N214" s="73" t="str">
        <f t="shared" si="9"/>
        <v>Peptide213: E3.4.21.92_mRNA -&gt; E3.4.21.92 | (0.278 * E3.4.21.92_mRNA) - (0.000000278 * E3.4.21.92)</v>
      </c>
    </row>
    <row r="215" spans="1:14" ht="25">
      <c r="A215" s="70">
        <v>214</v>
      </c>
      <c r="B215" s="81" t="s">
        <v>17219</v>
      </c>
      <c r="C215" s="72" t="str">
        <f t="shared" si="0"/>
        <v>E3.4.21.96_mRNA</v>
      </c>
      <c r="D215" s="72" t="str">
        <f t="shared" si="1"/>
        <v>E3.4.21.96</v>
      </c>
      <c r="E215" s="73" t="str">
        <f t="shared" si="2"/>
        <v>E3.4.21.96_kcat : 13.7</v>
      </c>
      <c r="F215" s="74" t="str">
        <f t="shared" si="3"/>
        <v>E3.4.21.96_km : 1</v>
      </c>
      <c r="G215" s="75" t="str">
        <f t="shared" ref="G215:H215" si="434">CONCATENATE(C215," : ",C215)</f>
        <v>E3.4.21.96_mRNA : E3.4.21.96_mRNA</v>
      </c>
      <c r="H215" s="76" t="str">
        <f t="shared" si="434"/>
        <v>E3.4.21.96 : E3.4.21.96</v>
      </c>
      <c r="I215" s="77" t="str">
        <f t="shared" ref="I215:J215" si="435">CONCATENATE(C215," : ","0")</f>
        <v>E3.4.21.96_mRNA : 0</v>
      </c>
      <c r="J215" s="78" t="str">
        <f t="shared" si="435"/>
        <v>E3.4.21.96 : 0</v>
      </c>
      <c r="K215" s="79" t="str">
        <f t="shared" si="6"/>
        <v>0.00292 - (0.0093 * E3.4.21.96_mRNA)</v>
      </c>
      <c r="L215" s="75" t="str">
        <f t="shared" si="7"/>
        <v>(0.278 * E3.4.21.96_mRNA) - (0.00000278 * E3.4.21.96)</v>
      </c>
      <c r="M215" s="80" t="str">
        <f t="shared" si="8"/>
        <v>mRNA214: -&gt; E3.4.21.96_mRNA | 0.00292 - (0.0093 * E3.4.21.96_mRNA)</v>
      </c>
      <c r="N215" s="73" t="str">
        <f t="shared" si="9"/>
        <v>Peptide214: E3.4.21.96_mRNA -&gt; E3.4.21.96 | (0.278 * E3.4.21.96_mRNA) - (0.000000278 * E3.4.21.96)</v>
      </c>
    </row>
    <row r="216" spans="1:14" ht="25">
      <c r="A216" s="70">
        <v>215</v>
      </c>
      <c r="B216" s="81" t="s">
        <v>17220</v>
      </c>
      <c r="C216" s="72" t="str">
        <f t="shared" si="0"/>
        <v>E3.4.23.36_mRNA</v>
      </c>
      <c r="D216" s="72" t="str">
        <f t="shared" si="1"/>
        <v>E3.4.23.36</v>
      </c>
      <c r="E216" s="73" t="str">
        <f t="shared" si="2"/>
        <v>E3.4.23.36_kcat : 13.7</v>
      </c>
      <c r="F216" s="74" t="str">
        <f t="shared" si="3"/>
        <v>E3.4.23.36_km : 1</v>
      </c>
      <c r="G216" s="75" t="str">
        <f t="shared" ref="G216:H216" si="436">CONCATENATE(C216," : ",C216)</f>
        <v>E3.4.23.36_mRNA : E3.4.23.36_mRNA</v>
      </c>
      <c r="H216" s="76" t="str">
        <f t="shared" si="436"/>
        <v>E3.4.23.36 : E3.4.23.36</v>
      </c>
      <c r="I216" s="77" t="str">
        <f t="shared" ref="I216:J216" si="437">CONCATENATE(C216," : ","0")</f>
        <v>E3.4.23.36_mRNA : 0</v>
      </c>
      <c r="J216" s="78" t="str">
        <f t="shared" si="437"/>
        <v>E3.4.23.36 : 0</v>
      </c>
      <c r="K216" s="79" t="str">
        <f t="shared" si="6"/>
        <v>0.00292 - (0.0093 * E3.4.23.36_mRNA)</v>
      </c>
      <c r="L216" s="75" t="str">
        <f t="shared" si="7"/>
        <v>(0.278 * E3.4.23.36_mRNA) - (0.00000278 * E3.4.23.36)</v>
      </c>
      <c r="M216" s="80" t="str">
        <f t="shared" si="8"/>
        <v>mRNA215: -&gt; E3.4.23.36_mRNA | 0.00292 - (0.0093 * E3.4.23.36_mRNA)</v>
      </c>
      <c r="N216" s="73" t="str">
        <f t="shared" si="9"/>
        <v>Peptide215: E3.4.23.36_mRNA -&gt; E3.4.23.36 | (0.278 * E3.4.23.36_mRNA) - (0.000000278 * E3.4.23.36)</v>
      </c>
    </row>
    <row r="217" spans="1:14" ht="25">
      <c r="A217" s="70">
        <v>216</v>
      </c>
      <c r="B217" s="81" t="s">
        <v>17221</v>
      </c>
      <c r="C217" s="72" t="str">
        <f t="shared" si="0"/>
        <v>E3.4.25.2_mRNA</v>
      </c>
      <c r="D217" s="72" t="str">
        <f t="shared" si="1"/>
        <v>E3.4.25.2</v>
      </c>
      <c r="E217" s="73" t="str">
        <f t="shared" si="2"/>
        <v>E3.4.25.2_kcat : 13.7</v>
      </c>
      <c r="F217" s="74" t="str">
        <f t="shared" si="3"/>
        <v>E3.4.25.2_km : 1</v>
      </c>
      <c r="G217" s="75" t="str">
        <f t="shared" ref="G217:H217" si="438">CONCATENATE(C217," : ",C217)</f>
        <v>E3.4.25.2_mRNA : E3.4.25.2_mRNA</v>
      </c>
      <c r="H217" s="76" t="str">
        <f t="shared" si="438"/>
        <v>E3.4.25.2 : E3.4.25.2</v>
      </c>
      <c r="I217" s="77" t="str">
        <f t="shared" ref="I217:J217" si="439">CONCATENATE(C217," : ","0")</f>
        <v>E3.4.25.2_mRNA : 0</v>
      </c>
      <c r="J217" s="78" t="str">
        <f t="shared" si="439"/>
        <v>E3.4.25.2 : 0</v>
      </c>
      <c r="K217" s="79" t="str">
        <f t="shared" si="6"/>
        <v>0.00292 - (0.0093 * E3.4.25.2_mRNA)</v>
      </c>
      <c r="L217" s="75" t="str">
        <f t="shared" si="7"/>
        <v>(0.278 * E3.4.25.2_mRNA) - (0.00000278 * E3.4.25.2)</v>
      </c>
      <c r="M217" s="80" t="str">
        <f t="shared" si="8"/>
        <v>mRNA216: -&gt; E3.4.25.2_mRNA | 0.00292 - (0.0093 * E3.4.25.2_mRNA)</v>
      </c>
      <c r="N217" s="73" t="str">
        <f t="shared" si="9"/>
        <v>Peptide216: E3.4.25.2_mRNA -&gt; E3.4.25.2 | (0.278 * E3.4.25.2_mRNA) - (0.000000278 * E3.4.25.2)</v>
      </c>
    </row>
    <row r="218" spans="1:14" ht="25">
      <c r="A218" s="70">
        <v>217</v>
      </c>
      <c r="B218" s="81" t="s">
        <v>17222</v>
      </c>
      <c r="C218" s="72" t="str">
        <f t="shared" si="0"/>
        <v>E3.5.1.2_mRNA</v>
      </c>
      <c r="D218" s="72" t="str">
        <f t="shared" si="1"/>
        <v>E3.5.1.2</v>
      </c>
      <c r="E218" s="73" t="str">
        <f t="shared" si="2"/>
        <v>E3.5.1.2_kcat : 13.7</v>
      </c>
      <c r="F218" s="74" t="str">
        <f t="shared" si="3"/>
        <v>E3.5.1.2_km : 1</v>
      </c>
      <c r="G218" s="75" t="str">
        <f t="shared" ref="G218:H218" si="440">CONCATENATE(C218," : ",C218)</f>
        <v>E3.5.1.2_mRNA : E3.5.1.2_mRNA</v>
      </c>
      <c r="H218" s="76" t="str">
        <f t="shared" si="440"/>
        <v>E3.5.1.2 : E3.5.1.2</v>
      </c>
      <c r="I218" s="77" t="str">
        <f t="shared" ref="I218:J218" si="441">CONCATENATE(C218," : ","0")</f>
        <v>E3.5.1.2_mRNA : 0</v>
      </c>
      <c r="J218" s="78" t="str">
        <f t="shared" si="441"/>
        <v>E3.5.1.2 : 0</v>
      </c>
      <c r="K218" s="79" t="str">
        <f t="shared" si="6"/>
        <v>0.00292 - (0.0093 * E3.5.1.2_mRNA)</v>
      </c>
      <c r="L218" s="75" t="str">
        <f t="shared" si="7"/>
        <v>(0.278 * E3.5.1.2_mRNA) - (0.00000278 * E3.5.1.2)</v>
      </c>
      <c r="M218" s="80" t="str">
        <f t="shared" si="8"/>
        <v>mRNA217: -&gt; E3.5.1.2_mRNA | 0.00292 - (0.0093 * E3.5.1.2_mRNA)</v>
      </c>
      <c r="N218" s="73" t="str">
        <f t="shared" si="9"/>
        <v>Peptide217: E3.5.1.2_mRNA -&gt; E3.5.1.2 | (0.278 * E3.5.1.2_mRNA) - (0.000000278 * E3.5.1.2)</v>
      </c>
    </row>
    <row r="219" spans="1:14" ht="25">
      <c r="A219" s="70">
        <v>218</v>
      </c>
      <c r="B219" s="81" t="s">
        <v>17223</v>
      </c>
      <c r="C219" s="72" t="str">
        <f t="shared" si="0"/>
        <v>E3.5.1.25_mRNA</v>
      </c>
      <c r="D219" s="72" t="str">
        <f t="shared" si="1"/>
        <v>E3.5.1.25</v>
      </c>
      <c r="E219" s="73" t="str">
        <f t="shared" si="2"/>
        <v>E3.5.1.25_kcat : 13.7</v>
      </c>
      <c r="F219" s="74" t="str">
        <f t="shared" si="3"/>
        <v>E3.5.1.25_km : 1</v>
      </c>
      <c r="G219" s="75" t="str">
        <f t="shared" ref="G219:H219" si="442">CONCATENATE(C219," : ",C219)</f>
        <v>E3.5.1.25_mRNA : E3.5.1.25_mRNA</v>
      </c>
      <c r="H219" s="76" t="str">
        <f t="shared" si="442"/>
        <v>E3.5.1.25 : E3.5.1.25</v>
      </c>
      <c r="I219" s="77" t="str">
        <f t="shared" ref="I219:J219" si="443">CONCATENATE(C219," : ","0")</f>
        <v>E3.5.1.25_mRNA : 0</v>
      </c>
      <c r="J219" s="78" t="str">
        <f t="shared" si="443"/>
        <v>E3.5.1.25 : 0</v>
      </c>
      <c r="K219" s="79" t="str">
        <f t="shared" si="6"/>
        <v>0.00292 - (0.0093 * E3.5.1.25_mRNA)</v>
      </c>
      <c r="L219" s="75" t="str">
        <f t="shared" si="7"/>
        <v>(0.278 * E3.5.1.25_mRNA) - (0.00000278 * E3.5.1.25)</v>
      </c>
      <c r="M219" s="80" t="str">
        <f t="shared" si="8"/>
        <v>mRNA218: -&gt; E3.5.1.25_mRNA | 0.00292 - (0.0093 * E3.5.1.25_mRNA)</v>
      </c>
      <c r="N219" s="73" t="str">
        <f t="shared" si="9"/>
        <v>Peptide218: E3.5.1.25_mRNA -&gt; E3.5.1.25 | (0.278 * E3.5.1.25_mRNA) - (0.000000278 * E3.5.1.25)</v>
      </c>
    </row>
    <row r="220" spans="1:14" ht="25">
      <c r="A220" s="70">
        <v>219</v>
      </c>
      <c r="B220" s="81" t="s">
        <v>17224</v>
      </c>
      <c r="C220" s="72" t="str">
        <f t="shared" si="0"/>
        <v>E3.5.1.28_mRNA</v>
      </c>
      <c r="D220" s="72" t="str">
        <f t="shared" si="1"/>
        <v>E3.5.1.28</v>
      </c>
      <c r="E220" s="73" t="str">
        <f t="shared" si="2"/>
        <v>E3.5.1.28_kcat : 13.7</v>
      </c>
      <c r="F220" s="74" t="str">
        <f t="shared" si="3"/>
        <v>E3.5.1.28_km : 1</v>
      </c>
      <c r="G220" s="75" t="str">
        <f t="shared" ref="G220:H220" si="444">CONCATENATE(C220," : ",C220)</f>
        <v>E3.5.1.28_mRNA : E3.5.1.28_mRNA</v>
      </c>
      <c r="H220" s="76" t="str">
        <f t="shared" si="444"/>
        <v>E3.5.1.28 : E3.5.1.28</v>
      </c>
      <c r="I220" s="77" t="str">
        <f t="shared" ref="I220:J220" si="445">CONCATENATE(C220," : ","0")</f>
        <v>E3.5.1.28_mRNA : 0</v>
      </c>
      <c r="J220" s="78" t="str">
        <f t="shared" si="445"/>
        <v>E3.5.1.28 : 0</v>
      </c>
      <c r="K220" s="79" t="str">
        <f t="shared" si="6"/>
        <v>0.00292 - (0.0093 * E3.5.1.28_mRNA)</v>
      </c>
      <c r="L220" s="75" t="str">
        <f t="shared" si="7"/>
        <v>(0.278 * E3.5.1.28_mRNA) - (0.00000278 * E3.5.1.28)</v>
      </c>
      <c r="M220" s="80" t="str">
        <f t="shared" si="8"/>
        <v>mRNA219: -&gt; E3.5.1.28_mRNA | 0.00292 - (0.0093 * E3.5.1.28_mRNA)</v>
      </c>
      <c r="N220" s="73" t="str">
        <f t="shared" si="9"/>
        <v>Peptide219: E3.5.1.28_mRNA -&gt; E3.5.1.28 | (0.278 * E3.5.1.28_mRNA) - (0.000000278 * E3.5.1.28)</v>
      </c>
    </row>
    <row r="221" spans="1:14" ht="25">
      <c r="A221" s="70">
        <v>220</v>
      </c>
      <c r="B221" s="81" t="s">
        <v>17225</v>
      </c>
      <c r="C221" s="72" t="str">
        <f t="shared" si="0"/>
        <v>E3.5.1.4_mRNA</v>
      </c>
      <c r="D221" s="72" t="str">
        <f t="shared" si="1"/>
        <v>E3.5.1.4</v>
      </c>
      <c r="E221" s="73" t="str">
        <f t="shared" si="2"/>
        <v>E3.5.1.4_kcat : 13.7</v>
      </c>
      <c r="F221" s="74" t="str">
        <f t="shared" si="3"/>
        <v>E3.5.1.4_km : 1</v>
      </c>
      <c r="G221" s="75" t="str">
        <f t="shared" ref="G221:H221" si="446">CONCATENATE(C221," : ",C221)</f>
        <v>E3.5.1.4_mRNA : E3.5.1.4_mRNA</v>
      </c>
      <c r="H221" s="76" t="str">
        <f t="shared" si="446"/>
        <v>E3.5.1.4 : E3.5.1.4</v>
      </c>
      <c r="I221" s="77" t="str">
        <f t="shared" ref="I221:J221" si="447">CONCATENATE(C221," : ","0")</f>
        <v>E3.5.1.4_mRNA : 0</v>
      </c>
      <c r="J221" s="78" t="str">
        <f t="shared" si="447"/>
        <v>E3.5.1.4 : 0</v>
      </c>
      <c r="K221" s="79" t="str">
        <f t="shared" si="6"/>
        <v>0.00292 - (0.0093 * E3.5.1.4_mRNA)</v>
      </c>
      <c r="L221" s="75" t="str">
        <f t="shared" si="7"/>
        <v>(0.278 * E3.5.1.4_mRNA) - (0.00000278 * E3.5.1.4)</v>
      </c>
      <c r="M221" s="80" t="str">
        <f t="shared" si="8"/>
        <v>mRNA220: -&gt; E3.5.1.4_mRNA | 0.00292 - (0.0093 * E3.5.1.4_mRNA)</v>
      </c>
      <c r="N221" s="73" t="str">
        <f t="shared" si="9"/>
        <v>Peptide220: E3.5.1.4_mRNA -&gt; E3.5.1.4 | (0.278 * E3.5.1.4_mRNA) - (0.000000278 * E3.5.1.4)</v>
      </c>
    </row>
    <row r="222" spans="1:14" ht="25">
      <c r="A222" s="70">
        <v>221</v>
      </c>
      <c r="B222" s="81" t="s">
        <v>17226</v>
      </c>
      <c r="C222" s="72" t="str">
        <f t="shared" si="0"/>
        <v>E3.5.1.88_mRNA</v>
      </c>
      <c r="D222" s="72" t="str">
        <f t="shared" si="1"/>
        <v>E3.5.1.88</v>
      </c>
      <c r="E222" s="73" t="str">
        <f t="shared" si="2"/>
        <v>E3.5.1.88_kcat : 13.7</v>
      </c>
      <c r="F222" s="74" t="str">
        <f t="shared" si="3"/>
        <v>E3.5.1.88_km : 1</v>
      </c>
      <c r="G222" s="75" t="str">
        <f t="shared" ref="G222:H222" si="448">CONCATENATE(C222," : ",C222)</f>
        <v>E3.5.1.88_mRNA : E3.5.1.88_mRNA</v>
      </c>
      <c r="H222" s="76" t="str">
        <f t="shared" si="448"/>
        <v>E3.5.1.88 : E3.5.1.88</v>
      </c>
      <c r="I222" s="77" t="str">
        <f t="shared" ref="I222:J222" si="449">CONCATENATE(C222," : ","0")</f>
        <v>E3.5.1.88_mRNA : 0</v>
      </c>
      <c r="J222" s="78" t="str">
        <f t="shared" si="449"/>
        <v>E3.5.1.88 : 0</v>
      </c>
      <c r="K222" s="79" t="str">
        <f t="shared" si="6"/>
        <v>0.00292 - (0.0093 * E3.5.1.88_mRNA)</v>
      </c>
      <c r="L222" s="75" t="str">
        <f t="shared" si="7"/>
        <v>(0.278 * E3.5.1.88_mRNA) - (0.00000278 * E3.5.1.88)</v>
      </c>
      <c r="M222" s="80" t="str">
        <f t="shared" si="8"/>
        <v>mRNA221: -&gt; E3.5.1.88_mRNA | 0.00292 - (0.0093 * E3.5.1.88_mRNA)</v>
      </c>
      <c r="N222" s="73" t="str">
        <f t="shared" si="9"/>
        <v>Peptide221: E3.5.1.88_mRNA -&gt; E3.5.1.88 | (0.278 * E3.5.1.88_mRNA) - (0.000000278 * E3.5.1.88)</v>
      </c>
    </row>
    <row r="223" spans="1:14" ht="25">
      <c r="A223" s="70">
        <v>222</v>
      </c>
      <c r="B223" s="81" t="s">
        <v>17227</v>
      </c>
      <c r="C223" s="72" t="str">
        <f t="shared" si="0"/>
        <v>E3.5.2.3_mRNA</v>
      </c>
      <c r="D223" s="72" t="str">
        <f t="shared" si="1"/>
        <v>E3.5.2.3</v>
      </c>
      <c r="E223" s="73" t="str">
        <f t="shared" si="2"/>
        <v>E3.5.2.3_kcat : 13.7</v>
      </c>
      <c r="F223" s="74" t="str">
        <f t="shared" si="3"/>
        <v>E3.5.2.3_km : 1</v>
      </c>
      <c r="G223" s="75" t="str">
        <f t="shared" ref="G223:H223" si="450">CONCATENATE(C223," : ",C223)</f>
        <v>E3.5.2.3_mRNA : E3.5.2.3_mRNA</v>
      </c>
      <c r="H223" s="76" t="str">
        <f t="shared" si="450"/>
        <v>E3.5.2.3 : E3.5.2.3</v>
      </c>
      <c r="I223" s="77" t="str">
        <f t="shared" ref="I223:J223" si="451">CONCATENATE(C223," : ","0")</f>
        <v>E3.5.2.3_mRNA : 0</v>
      </c>
      <c r="J223" s="78" t="str">
        <f t="shared" si="451"/>
        <v>E3.5.2.3 : 0</v>
      </c>
      <c r="K223" s="79" t="str">
        <f t="shared" si="6"/>
        <v>0.00292 - (0.0093 * E3.5.2.3_mRNA)</v>
      </c>
      <c r="L223" s="75" t="str">
        <f t="shared" si="7"/>
        <v>(0.278 * E3.5.2.3_mRNA) - (0.00000278 * E3.5.2.3)</v>
      </c>
      <c r="M223" s="80" t="str">
        <f t="shared" si="8"/>
        <v>mRNA222: -&gt; E3.5.2.3_mRNA | 0.00292 - (0.0093 * E3.5.2.3_mRNA)</v>
      </c>
      <c r="N223" s="73" t="str">
        <f t="shared" si="9"/>
        <v>Peptide222: E3.5.2.3_mRNA -&gt; E3.5.2.3 | (0.278 * E3.5.2.3_mRNA) - (0.000000278 * E3.5.2.3)</v>
      </c>
    </row>
    <row r="224" spans="1:14" ht="25">
      <c r="A224" s="70">
        <v>223</v>
      </c>
      <c r="B224" s="82" t="s">
        <v>8293</v>
      </c>
      <c r="C224" s="72" t="str">
        <f t="shared" si="0"/>
        <v>E3.5.4.10_mRNA</v>
      </c>
      <c r="D224" s="72" t="str">
        <f t="shared" si="1"/>
        <v>E3.5.4.10</v>
      </c>
      <c r="E224" s="73" t="str">
        <f t="shared" si="2"/>
        <v>E3.5.4.10_kcat : 13.7</v>
      </c>
      <c r="F224" s="74" t="str">
        <f t="shared" si="3"/>
        <v>E3.5.4.10_km : 1</v>
      </c>
      <c r="G224" s="75" t="str">
        <f t="shared" ref="G224:H224" si="452">CONCATENATE(C224," : ",C224)</f>
        <v>E3.5.4.10_mRNA : E3.5.4.10_mRNA</v>
      </c>
      <c r="H224" s="76" t="str">
        <f t="shared" si="452"/>
        <v>E3.5.4.10 : E3.5.4.10</v>
      </c>
      <c r="I224" s="77" t="str">
        <f t="shared" ref="I224:J224" si="453">CONCATENATE(C224," : ","0")</f>
        <v>E3.5.4.10_mRNA : 0</v>
      </c>
      <c r="J224" s="78" t="str">
        <f t="shared" si="453"/>
        <v>E3.5.4.10 : 0</v>
      </c>
      <c r="K224" s="79" t="str">
        <f t="shared" si="6"/>
        <v>0.00292 - (0.0093 * E3.5.4.10_mRNA)</v>
      </c>
      <c r="L224" s="75" t="str">
        <f t="shared" si="7"/>
        <v>(0.278 * E3.5.4.10_mRNA) - (0.00000278 * E3.5.4.10)</v>
      </c>
      <c r="M224" s="80" t="str">
        <f t="shared" si="8"/>
        <v>mRNA223: -&gt; E3.5.4.10_mRNA | 0.00292 - (0.0093 * E3.5.4.10_mRNA)</v>
      </c>
      <c r="N224" s="73" t="str">
        <f t="shared" si="9"/>
        <v>Peptide223: E3.5.4.10_mRNA -&gt; E3.5.4.10 | (0.278 * E3.5.4.10_mRNA) - (0.000000278 * E3.5.4.10)</v>
      </c>
    </row>
    <row r="225" spans="1:14" ht="25">
      <c r="A225" s="70">
        <v>224</v>
      </c>
      <c r="B225" s="81" t="s">
        <v>17228</v>
      </c>
      <c r="C225" s="72" t="str">
        <f t="shared" si="0"/>
        <v>E3.5.4.19_mRNA</v>
      </c>
      <c r="D225" s="72" t="str">
        <f t="shared" si="1"/>
        <v>E3.5.4.19</v>
      </c>
      <c r="E225" s="73" t="str">
        <f t="shared" si="2"/>
        <v>E3.5.4.19_kcat : 13.7</v>
      </c>
      <c r="F225" s="74" t="str">
        <f t="shared" si="3"/>
        <v>E3.5.4.19_km : 1</v>
      </c>
      <c r="G225" s="75" t="str">
        <f t="shared" ref="G225:H225" si="454">CONCATENATE(C225," : ",C225)</f>
        <v>E3.5.4.19_mRNA : E3.5.4.19_mRNA</v>
      </c>
      <c r="H225" s="76" t="str">
        <f t="shared" si="454"/>
        <v>E3.5.4.19 : E3.5.4.19</v>
      </c>
      <c r="I225" s="77" t="str">
        <f t="shared" ref="I225:J225" si="455">CONCATENATE(C225," : ","0")</f>
        <v>E3.5.4.19_mRNA : 0</v>
      </c>
      <c r="J225" s="78" t="str">
        <f t="shared" si="455"/>
        <v>E3.5.4.19 : 0</v>
      </c>
      <c r="K225" s="79" t="str">
        <f t="shared" si="6"/>
        <v>0.00292 - (0.0093 * E3.5.4.19_mRNA)</v>
      </c>
      <c r="L225" s="75" t="str">
        <f t="shared" si="7"/>
        <v>(0.278 * E3.5.4.19_mRNA) - (0.00000278 * E3.5.4.19)</v>
      </c>
      <c r="M225" s="80" t="str">
        <f t="shared" si="8"/>
        <v>mRNA224: -&gt; E3.5.4.19_mRNA | 0.00292 - (0.0093 * E3.5.4.19_mRNA)</v>
      </c>
      <c r="N225" s="73" t="str">
        <f t="shared" si="9"/>
        <v>Peptide224: E3.5.4.19_mRNA -&gt; E3.5.4.19 | (0.278 * E3.5.4.19_mRNA) - (0.000000278 * E3.5.4.19)</v>
      </c>
    </row>
    <row r="226" spans="1:14" ht="25">
      <c r="A226" s="70">
        <v>225</v>
      </c>
      <c r="B226" s="81" t="s">
        <v>17229</v>
      </c>
      <c r="C226" s="72" t="str">
        <f t="shared" si="0"/>
        <v>E3.5.4.33_mRNA</v>
      </c>
      <c r="D226" s="72" t="str">
        <f t="shared" si="1"/>
        <v>E3.5.4.33</v>
      </c>
      <c r="E226" s="73" t="str">
        <f t="shared" si="2"/>
        <v>E3.5.4.33_kcat : 13.7</v>
      </c>
      <c r="F226" s="74" t="str">
        <f t="shared" si="3"/>
        <v>E3.5.4.33_km : 1</v>
      </c>
      <c r="G226" s="75" t="str">
        <f t="shared" ref="G226:H226" si="456">CONCATENATE(C226," : ",C226)</f>
        <v>E3.5.4.33_mRNA : E3.5.4.33_mRNA</v>
      </c>
      <c r="H226" s="76" t="str">
        <f t="shared" si="456"/>
        <v>E3.5.4.33 : E3.5.4.33</v>
      </c>
      <c r="I226" s="77" t="str">
        <f t="shared" ref="I226:J226" si="457">CONCATENATE(C226," : ","0")</f>
        <v>E3.5.4.33_mRNA : 0</v>
      </c>
      <c r="J226" s="78" t="str">
        <f t="shared" si="457"/>
        <v>E3.5.4.33 : 0</v>
      </c>
      <c r="K226" s="79" t="str">
        <f t="shared" si="6"/>
        <v>0.00292 - (0.0093 * E3.5.4.33_mRNA)</v>
      </c>
      <c r="L226" s="75" t="str">
        <f t="shared" si="7"/>
        <v>(0.278 * E3.5.4.33_mRNA) - (0.00000278 * E3.5.4.33)</v>
      </c>
      <c r="M226" s="80" t="str">
        <f t="shared" si="8"/>
        <v>mRNA225: -&gt; E3.5.4.33_mRNA | 0.00292 - (0.0093 * E3.5.4.33_mRNA)</v>
      </c>
      <c r="N226" s="73" t="str">
        <f t="shared" si="9"/>
        <v>Peptide225: E3.5.4.33_mRNA -&gt; E3.5.4.33 | (0.278 * E3.5.4.33_mRNA) - (0.000000278 * E3.5.4.33)</v>
      </c>
    </row>
    <row r="227" spans="1:14" ht="25">
      <c r="A227" s="70">
        <v>226</v>
      </c>
      <c r="B227" s="81" t="s">
        <v>17230</v>
      </c>
      <c r="C227" s="72" t="str">
        <f t="shared" si="0"/>
        <v>E3.5.4.4_mRNA</v>
      </c>
      <c r="D227" s="72" t="str">
        <f t="shared" si="1"/>
        <v>E3.5.4.4</v>
      </c>
      <c r="E227" s="73" t="str">
        <f t="shared" si="2"/>
        <v>E3.5.4.4_kcat : 13.7</v>
      </c>
      <c r="F227" s="74" t="str">
        <f t="shared" si="3"/>
        <v>E3.5.4.4_km : 1</v>
      </c>
      <c r="G227" s="75" t="str">
        <f t="shared" ref="G227:H227" si="458">CONCATENATE(C227," : ",C227)</f>
        <v>E3.5.4.4_mRNA : E3.5.4.4_mRNA</v>
      </c>
      <c r="H227" s="76" t="str">
        <f t="shared" si="458"/>
        <v>E3.5.4.4 : E3.5.4.4</v>
      </c>
      <c r="I227" s="77" t="str">
        <f t="shared" ref="I227:J227" si="459">CONCATENATE(C227," : ","0")</f>
        <v>E3.5.4.4_mRNA : 0</v>
      </c>
      <c r="J227" s="78" t="str">
        <f t="shared" si="459"/>
        <v>E3.5.4.4 : 0</v>
      </c>
      <c r="K227" s="79" t="str">
        <f t="shared" si="6"/>
        <v>0.00292 - (0.0093 * E3.5.4.4_mRNA)</v>
      </c>
      <c r="L227" s="75" t="str">
        <f t="shared" si="7"/>
        <v>(0.278 * E3.5.4.4_mRNA) - (0.00000278 * E3.5.4.4)</v>
      </c>
      <c r="M227" s="80" t="str">
        <f t="shared" si="8"/>
        <v>mRNA226: -&gt; E3.5.4.4_mRNA | 0.00292 - (0.0093 * E3.5.4.4_mRNA)</v>
      </c>
      <c r="N227" s="73" t="str">
        <f t="shared" si="9"/>
        <v>Peptide226: E3.5.4.4_mRNA -&gt; E3.5.4.4 | (0.278 * E3.5.4.4_mRNA) - (0.000000278 * E3.5.4.4)</v>
      </c>
    </row>
    <row r="228" spans="1:14" ht="25">
      <c r="A228" s="70">
        <v>227</v>
      </c>
      <c r="B228" s="81" t="s">
        <v>17231</v>
      </c>
      <c r="C228" s="72" t="str">
        <f t="shared" si="0"/>
        <v>E3.5.4.5_mRNA</v>
      </c>
      <c r="D228" s="72" t="str">
        <f t="shared" si="1"/>
        <v>E3.5.4.5</v>
      </c>
      <c r="E228" s="73" t="str">
        <f t="shared" si="2"/>
        <v>E3.5.4.5_kcat : 13.7</v>
      </c>
      <c r="F228" s="74" t="str">
        <f t="shared" si="3"/>
        <v>E3.5.4.5_km : 1</v>
      </c>
      <c r="G228" s="75" t="str">
        <f t="shared" ref="G228:H228" si="460">CONCATENATE(C228," : ",C228)</f>
        <v>E3.5.4.5_mRNA : E3.5.4.5_mRNA</v>
      </c>
      <c r="H228" s="76" t="str">
        <f t="shared" si="460"/>
        <v>E3.5.4.5 : E3.5.4.5</v>
      </c>
      <c r="I228" s="77" t="str">
        <f t="shared" ref="I228:J228" si="461">CONCATENATE(C228," : ","0")</f>
        <v>E3.5.4.5_mRNA : 0</v>
      </c>
      <c r="J228" s="78" t="str">
        <f t="shared" si="461"/>
        <v>E3.5.4.5 : 0</v>
      </c>
      <c r="K228" s="79" t="str">
        <f t="shared" si="6"/>
        <v>0.00292 - (0.0093 * E3.5.4.5_mRNA)</v>
      </c>
      <c r="L228" s="75" t="str">
        <f t="shared" si="7"/>
        <v>(0.278 * E3.5.4.5_mRNA) - (0.00000278 * E3.5.4.5)</v>
      </c>
      <c r="M228" s="80" t="str">
        <f t="shared" si="8"/>
        <v>mRNA227: -&gt; E3.5.4.5_mRNA | 0.00292 - (0.0093 * E3.5.4.5_mRNA)</v>
      </c>
      <c r="N228" s="73" t="str">
        <f t="shared" si="9"/>
        <v>Peptide227: E3.5.4.5_mRNA -&gt; E3.5.4.5 | (0.278 * E3.5.4.5_mRNA) - (0.000000278 * E3.5.4.5)</v>
      </c>
    </row>
    <row r="229" spans="1:14" ht="25">
      <c r="A229" s="70">
        <v>228</v>
      </c>
      <c r="B229" s="82" t="s">
        <v>8294</v>
      </c>
      <c r="C229" s="72" t="str">
        <f t="shared" si="0"/>
        <v>E3.5.4.9_mRNA</v>
      </c>
      <c r="D229" s="72" t="str">
        <f t="shared" si="1"/>
        <v>E3.5.4.9</v>
      </c>
      <c r="E229" s="73" t="str">
        <f t="shared" si="2"/>
        <v>E3.5.4.9_kcat : 13.7</v>
      </c>
      <c r="F229" s="74" t="str">
        <f t="shared" si="3"/>
        <v>E3.5.4.9_km : 1</v>
      </c>
      <c r="G229" s="75" t="str">
        <f t="shared" ref="G229:H229" si="462">CONCATENATE(C229," : ",C229)</f>
        <v>E3.5.4.9_mRNA : E3.5.4.9_mRNA</v>
      </c>
      <c r="H229" s="76" t="str">
        <f t="shared" si="462"/>
        <v>E3.5.4.9 : E3.5.4.9</v>
      </c>
      <c r="I229" s="77" t="str">
        <f t="shared" ref="I229:J229" si="463">CONCATENATE(C229," : ","0")</f>
        <v>E3.5.4.9_mRNA : 0</v>
      </c>
      <c r="J229" s="78" t="str">
        <f t="shared" si="463"/>
        <v>E3.5.4.9 : 0</v>
      </c>
      <c r="K229" s="79" t="str">
        <f t="shared" si="6"/>
        <v>0.00292 - (0.0093 * E3.5.4.9_mRNA)</v>
      </c>
      <c r="L229" s="75" t="str">
        <f t="shared" si="7"/>
        <v>(0.278 * E3.5.4.9_mRNA) - (0.00000278 * E3.5.4.9)</v>
      </c>
      <c r="M229" s="80" t="str">
        <f t="shared" si="8"/>
        <v>mRNA228: -&gt; E3.5.4.9_mRNA | 0.00292 - (0.0093 * E3.5.4.9_mRNA)</v>
      </c>
      <c r="N229" s="73" t="str">
        <f t="shared" si="9"/>
        <v>Peptide228: E3.5.4.9_mRNA -&gt; E3.5.4.9 | (0.278 * E3.5.4.9_mRNA) - (0.000000278 * E3.5.4.9)</v>
      </c>
    </row>
    <row r="230" spans="1:14" ht="25">
      <c r="A230" s="70">
        <v>229</v>
      </c>
      <c r="B230" s="81" t="s">
        <v>17232</v>
      </c>
      <c r="C230" s="72" t="str">
        <f t="shared" si="0"/>
        <v>E3.5.99.2_mRNA</v>
      </c>
      <c r="D230" s="72" t="str">
        <f t="shared" si="1"/>
        <v>E3.5.99.2</v>
      </c>
      <c r="E230" s="73" t="str">
        <f t="shared" si="2"/>
        <v>E3.5.99.2_kcat : 13.7</v>
      </c>
      <c r="F230" s="74" t="str">
        <f t="shared" si="3"/>
        <v>E3.5.99.2_km : 1</v>
      </c>
      <c r="G230" s="75" t="str">
        <f t="shared" ref="G230:H230" si="464">CONCATENATE(C230," : ",C230)</f>
        <v>E3.5.99.2_mRNA : E3.5.99.2_mRNA</v>
      </c>
      <c r="H230" s="76" t="str">
        <f t="shared" si="464"/>
        <v>E3.5.99.2 : E3.5.99.2</v>
      </c>
      <c r="I230" s="77" t="str">
        <f t="shared" ref="I230:J230" si="465">CONCATENATE(C230," : ","0")</f>
        <v>E3.5.99.2_mRNA : 0</v>
      </c>
      <c r="J230" s="78" t="str">
        <f t="shared" si="465"/>
        <v>E3.5.99.2 : 0</v>
      </c>
      <c r="K230" s="79" t="str">
        <f t="shared" si="6"/>
        <v>0.00292 - (0.0093 * E3.5.99.2_mRNA)</v>
      </c>
      <c r="L230" s="75" t="str">
        <f t="shared" si="7"/>
        <v>(0.278 * E3.5.99.2_mRNA) - (0.00000278 * E3.5.99.2)</v>
      </c>
      <c r="M230" s="80" t="str">
        <f t="shared" si="8"/>
        <v>mRNA229: -&gt; E3.5.99.2_mRNA | 0.00292 - (0.0093 * E3.5.99.2_mRNA)</v>
      </c>
      <c r="N230" s="73" t="str">
        <f t="shared" si="9"/>
        <v>Peptide229: E3.5.99.2_mRNA -&gt; E3.5.99.2 | (0.278 * E3.5.99.2_mRNA) - (0.000000278 * E3.5.99.2)</v>
      </c>
    </row>
    <row r="231" spans="1:14" ht="25">
      <c r="A231" s="70">
        <v>230</v>
      </c>
      <c r="B231" s="81" t="s">
        <v>17233</v>
      </c>
      <c r="C231" s="72" t="str">
        <f t="shared" si="0"/>
        <v>E3.5.99.6_mRNA</v>
      </c>
      <c r="D231" s="72" t="str">
        <f t="shared" si="1"/>
        <v>E3.5.99.6</v>
      </c>
      <c r="E231" s="73" t="str">
        <f t="shared" si="2"/>
        <v>E3.5.99.6_kcat : 13.7</v>
      </c>
      <c r="F231" s="74" t="str">
        <f t="shared" si="3"/>
        <v>E3.5.99.6_km : 1</v>
      </c>
      <c r="G231" s="75" t="str">
        <f t="shared" ref="G231:H231" si="466">CONCATENATE(C231," : ",C231)</f>
        <v>E3.5.99.6_mRNA : E3.5.99.6_mRNA</v>
      </c>
      <c r="H231" s="76" t="str">
        <f t="shared" si="466"/>
        <v>E3.5.99.6 : E3.5.99.6</v>
      </c>
      <c r="I231" s="77" t="str">
        <f t="shared" ref="I231:J231" si="467">CONCATENATE(C231," : ","0")</f>
        <v>E3.5.99.6_mRNA : 0</v>
      </c>
      <c r="J231" s="78" t="str">
        <f t="shared" si="467"/>
        <v>E3.5.99.6 : 0</v>
      </c>
      <c r="K231" s="79" t="str">
        <f t="shared" si="6"/>
        <v>0.00292 - (0.0093 * E3.5.99.6_mRNA)</v>
      </c>
      <c r="L231" s="75" t="str">
        <f t="shared" si="7"/>
        <v>(0.278 * E3.5.99.6_mRNA) - (0.00000278 * E3.5.99.6)</v>
      </c>
      <c r="M231" s="80" t="str">
        <f t="shared" si="8"/>
        <v>mRNA230: -&gt; E3.5.99.6_mRNA | 0.00292 - (0.0093 * E3.5.99.6_mRNA)</v>
      </c>
      <c r="N231" s="73" t="str">
        <f t="shared" si="9"/>
        <v>Peptide230: E3.5.99.6_mRNA -&gt; E3.5.99.6 | (0.278 * E3.5.99.6_mRNA) - (0.000000278 * E3.5.99.6)</v>
      </c>
    </row>
    <row r="232" spans="1:14" ht="25">
      <c r="A232" s="70">
        <v>231</v>
      </c>
      <c r="B232" s="81" t="s">
        <v>17234</v>
      </c>
      <c r="C232" s="72" t="str">
        <f t="shared" si="0"/>
        <v>E3.6.1.1_mRNA</v>
      </c>
      <c r="D232" s="72" t="str">
        <f t="shared" si="1"/>
        <v>E3.6.1.1</v>
      </c>
      <c r="E232" s="73" t="str">
        <f t="shared" si="2"/>
        <v>E3.6.1.1_kcat : 13.7</v>
      </c>
      <c r="F232" s="74" t="str">
        <f t="shared" si="3"/>
        <v>E3.6.1.1_km : 1</v>
      </c>
      <c r="G232" s="75" t="str">
        <f t="shared" ref="G232:H232" si="468">CONCATENATE(C232," : ",C232)</f>
        <v>E3.6.1.1_mRNA : E3.6.1.1_mRNA</v>
      </c>
      <c r="H232" s="76" t="str">
        <f t="shared" si="468"/>
        <v>E3.6.1.1 : E3.6.1.1</v>
      </c>
      <c r="I232" s="77" t="str">
        <f t="shared" ref="I232:J232" si="469">CONCATENATE(C232," : ","0")</f>
        <v>E3.6.1.1_mRNA : 0</v>
      </c>
      <c r="J232" s="78" t="str">
        <f t="shared" si="469"/>
        <v>E3.6.1.1 : 0</v>
      </c>
      <c r="K232" s="79" t="str">
        <f t="shared" si="6"/>
        <v>0.00292 - (0.0093 * E3.6.1.1_mRNA)</v>
      </c>
      <c r="L232" s="75" t="str">
        <f t="shared" si="7"/>
        <v>(0.278 * E3.6.1.1_mRNA) - (0.00000278 * E3.6.1.1)</v>
      </c>
      <c r="M232" s="80" t="str">
        <f t="shared" si="8"/>
        <v>mRNA231: -&gt; E3.6.1.1_mRNA | 0.00292 - (0.0093 * E3.6.1.1_mRNA)</v>
      </c>
      <c r="N232" s="73" t="str">
        <f t="shared" si="9"/>
        <v>Peptide231: E3.6.1.1_mRNA -&gt; E3.6.1.1 | (0.278 * E3.6.1.1_mRNA) - (0.000000278 * E3.6.1.1)</v>
      </c>
    </row>
    <row r="233" spans="1:14" ht="25">
      <c r="A233" s="70">
        <v>232</v>
      </c>
      <c r="B233" s="71" t="s">
        <v>8295</v>
      </c>
      <c r="C233" s="72" t="str">
        <f t="shared" si="0"/>
        <v>E3.6.1.11_mRNA</v>
      </c>
      <c r="D233" s="72" t="str">
        <f t="shared" si="1"/>
        <v>E3.6.1.11</v>
      </c>
      <c r="E233" s="73" t="str">
        <f t="shared" si="2"/>
        <v>E3.6.1.11_kcat : 13.7</v>
      </c>
      <c r="F233" s="74" t="str">
        <f t="shared" si="3"/>
        <v>E3.6.1.11_km : 1</v>
      </c>
      <c r="G233" s="75" t="str">
        <f t="shared" ref="G233:H233" si="470">CONCATENATE(C233," : ",C233)</f>
        <v>E3.6.1.11_mRNA : E3.6.1.11_mRNA</v>
      </c>
      <c r="H233" s="76" t="str">
        <f t="shared" si="470"/>
        <v>E3.6.1.11 : E3.6.1.11</v>
      </c>
      <c r="I233" s="77" t="str">
        <f t="shared" ref="I233:J233" si="471">CONCATENATE(C233," : ","0")</f>
        <v>E3.6.1.11_mRNA : 0</v>
      </c>
      <c r="J233" s="78" t="str">
        <f t="shared" si="471"/>
        <v>E3.6.1.11 : 0</v>
      </c>
      <c r="K233" s="79" t="str">
        <f t="shared" si="6"/>
        <v>0.00292 - (0.0093 * E3.6.1.11_mRNA)</v>
      </c>
      <c r="L233" s="75" t="str">
        <f t="shared" si="7"/>
        <v>(0.278 * E3.6.1.11_mRNA) - (0.00000278 * E3.6.1.11)</v>
      </c>
      <c r="M233" s="80" t="str">
        <f t="shared" si="8"/>
        <v>mRNA232: -&gt; E3.6.1.11_mRNA | 0.00292 - (0.0093 * E3.6.1.11_mRNA)</v>
      </c>
      <c r="N233" s="73" t="str">
        <f t="shared" si="9"/>
        <v>Peptide232: E3.6.1.11_mRNA -&gt; E3.6.1.11 | (0.278 * E3.6.1.11_mRNA) - (0.000000278 * E3.6.1.11)</v>
      </c>
    </row>
    <row r="234" spans="1:14" ht="25">
      <c r="A234" s="70">
        <v>233</v>
      </c>
      <c r="B234" s="81" t="s">
        <v>17235</v>
      </c>
      <c r="C234" s="72" t="str">
        <f t="shared" si="0"/>
        <v>E3.6.1.27_mRNA</v>
      </c>
      <c r="D234" s="72" t="str">
        <f t="shared" si="1"/>
        <v>E3.6.1.27</v>
      </c>
      <c r="E234" s="73" t="str">
        <f t="shared" si="2"/>
        <v>E3.6.1.27_kcat : 13.7</v>
      </c>
      <c r="F234" s="74" t="str">
        <f t="shared" si="3"/>
        <v>E3.6.1.27_km : 1</v>
      </c>
      <c r="G234" s="75" t="str">
        <f t="shared" ref="G234:H234" si="472">CONCATENATE(C234," : ",C234)</f>
        <v>E3.6.1.27_mRNA : E3.6.1.27_mRNA</v>
      </c>
      <c r="H234" s="76" t="str">
        <f t="shared" si="472"/>
        <v>E3.6.1.27 : E3.6.1.27</v>
      </c>
      <c r="I234" s="77" t="str">
        <f t="shared" ref="I234:J234" si="473">CONCATENATE(C234," : ","0")</f>
        <v>E3.6.1.27_mRNA : 0</v>
      </c>
      <c r="J234" s="78" t="str">
        <f t="shared" si="473"/>
        <v>E3.6.1.27 : 0</v>
      </c>
      <c r="K234" s="79" t="str">
        <f t="shared" si="6"/>
        <v>0.00292 - (0.0093 * E3.6.1.27_mRNA)</v>
      </c>
      <c r="L234" s="75" t="str">
        <f t="shared" si="7"/>
        <v>(0.278 * E3.6.1.27_mRNA) - (0.00000278 * E3.6.1.27)</v>
      </c>
      <c r="M234" s="80" t="str">
        <f t="shared" si="8"/>
        <v>mRNA233: -&gt; E3.6.1.27_mRNA | 0.00292 - (0.0093 * E3.6.1.27_mRNA)</v>
      </c>
      <c r="N234" s="73" t="str">
        <f t="shared" si="9"/>
        <v>Peptide233: E3.6.1.27_mRNA -&gt; E3.6.1.27 | (0.278 * E3.6.1.27_mRNA) - (0.000000278 * E3.6.1.27)</v>
      </c>
    </row>
    <row r="235" spans="1:14" ht="25">
      <c r="A235" s="70">
        <v>234</v>
      </c>
      <c r="B235" s="81" t="s">
        <v>17236</v>
      </c>
      <c r="C235" s="72" t="str">
        <f t="shared" si="0"/>
        <v>E3.6.1.31_mRNA</v>
      </c>
      <c r="D235" s="72" t="str">
        <f t="shared" si="1"/>
        <v>E3.6.1.31</v>
      </c>
      <c r="E235" s="73" t="str">
        <f t="shared" si="2"/>
        <v>E3.6.1.31_kcat : 13.7</v>
      </c>
      <c r="F235" s="74" t="str">
        <f t="shared" si="3"/>
        <v>E3.6.1.31_km : 1</v>
      </c>
      <c r="G235" s="75" t="str">
        <f t="shared" ref="G235:H235" si="474">CONCATENATE(C235," : ",C235)</f>
        <v>E3.6.1.31_mRNA : E3.6.1.31_mRNA</v>
      </c>
      <c r="H235" s="76" t="str">
        <f t="shared" si="474"/>
        <v>E3.6.1.31 : E3.6.1.31</v>
      </c>
      <c r="I235" s="77" t="str">
        <f t="shared" ref="I235:J235" si="475">CONCATENATE(C235," : ","0")</f>
        <v>E3.6.1.31_mRNA : 0</v>
      </c>
      <c r="J235" s="78" t="str">
        <f t="shared" si="475"/>
        <v>E3.6.1.31 : 0</v>
      </c>
      <c r="K235" s="79" t="str">
        <f t="shared" si="6"/>
        <v>0.00292 - (0.0093 * E3.6.1.31_mRNA)</v>
      </c>
      <c r="L235" s="75" t="str">
        <f t="shared" si="7"/>
        <v>(0.278 * E3.6.1.31_mRNA) - (0.00000278 * E3.6.1.31)</v>
      </c>
      <c r="M235" s="80" t="str">
        <f t="shared" si="8"/>
        <v>mRNA234: -&gt; E3.6.1.31_mRNA | 0.00292 - (0.0093 * E3.6.1.31_mRNA)</v>
      </c>
      <c r="N235" s="73" t="str">
        <f t="shared" si="9"/>
        <v>Peptide234: E3.6.1.31_mRNA -&gt; E3.6.1.31 | (0.278 * E3.6.1.31_mRNA) - (0.000000278 * E3.6.1.31)</v>
      </c>
    </row>
    <row r="236" spans="1:14" ht="25">
      <c r="A236" s="70">
        <v>235</v>
      </c>
      <c r="B236" s="81" t="s">
        <v>17237</v>
      </c>
      <c r="C236" s="72" t="str">
        <f t="shared" si="0"/>
        <v>E3.6.1.41_mRNA</v>
      </c>
      <c r="D236" s="72" t="str">
        <f t="shared" si="1"/>
        <v>E3.6.1.41</v>
      </c>
      <c r="E236" s="73" t="str">
        <f t="shared" si="2"/>
        <v>E3.6.1.41_kcat : 13.7</v>
      </c>
      <c r="F236" s="74" t="str">
        <f t="shared" si="3"/>
        <v>E3.6.1.41_km : 1</v>
      </c>
      <c r="G236" s="75" t="str">
        <f t="shared" ref="G236:H236" si="476">CONCATENATE(C236," : ",C236)</f>
        <v>E3.6.1.41_mRNA : E3.6.1.41_mRNA</v>
      </c>
      <c r="H236" s="76" t="str">
        <f t="shared" si="476"/>
        <v>E3.6.1.41 : E3.6.1.41</v>
      </c>
      <c r="I236" s="77" t="str">
        <f t="shared" ref="I236:J236" si="477">CONCATENATE(C236," : ","0")</f>
        <v>E3.6.1.41_mRNA : 0</v>
      </c>
      <c r="J236" s="78" t="str">
        <f t="shared" si="477"/>
        <v>E3.6.1.41 : 0</v>
      </c>
      <c r="K236" s="79" t="str">
        <f t="shared" si="6"/>
        <v>0.00292 - (0.0093 * E3.6.1.41_mRNA)</v>
      </c>
      <c r="L236" s="75" t="str">
        <f t="shared" si="7"/>
        <v>(0.278 * E3.6.1.41_mRNA) - (0.00000278 * E3.6.1.41)</v>
      </c>
      <c r="M236" s="80" t="str">
        <f t="shared" si="8"/>
        <v>mRNA235: -&gt; E3.6.1.41_mRNA | 0.00292 - (0.0093 * E3.6.1.41_mRNA)</v>
      </c>
      <c r="N236" s="73" t="str">
        <f t="shared" si="9"/>
        <v>Peptide235: E3.6.1.41_mRNA -&gt; E3.6.1.41 | (0.278 * E3.6.1.41_mRNA) - (0.000000278 * E3.6.1.41)</v>
      </c>
    </row>
    <row r="237" spans="1:14" ht="25">
      <c r="A237" s="70">
        <v>236</v>
      </c>
      <c r="B237" s="81" t="s">
        <v>17238</v>
      </c>
      <c r="C237" s="72" t="str">
        <f t="shared" si="0"/>
        <v>E3.6.4.12_mRNA</v>
      </c>
      <c r="D237" s="72" t="str">
        <f t="shared" si="1"/>
        <v>E3.6.4.12</v>
      </c>
      <c r="E237" s="73" t="str">
        <f t="shared" si="2"/>
        <v>E3.6.4.12_kcat : 13.7</v>
      </c>
      <c r="F237" s="74" t="str">
        <f t="shared" si="3"/>
        <v>E3.6.4.12_km : 1</v>
      </c>
      <c r="G237" s="75" t="str">
        <f t="shared" ref="G237:H237" si="478">CONCATENATE(C237," : ",C237)</f>
        <v>E3.6.4.12_mRNA : E3.6.4.12_mRNA</v>
      </c>
      <c r="H237" s="76" t="str">
        <f t="shared" si="478"/>
        <v>E3.6.4.12 : E3.6.4.12</v>
      </c>
      <c r="I237" s="77" t="str">
        <f t="shared" ref="I237:J237" si="479">CONCATENATE(C237," : ","0")</f>
        <v>E3.6.4.12_mRNA : 0</v>
      </c>
      <c r="J237" s="78" t="str">
        <f t="shared" si="479"/>
        <v>E3.6.4.12 : 0</v>
      </c>
      <c r="K237" s="79" t="str">
        <f t="shared" si="6"/>
        <v>0.00292 - (0.0093 * E3.6.4.12_mRNA)</v>
      </c>
      <c r="L237" s="75" t="str">
        <f t="shared" si="7"/>
        <v>(0.278 * E3.6.4.12_mRNA) - (0.00000278 * E3.6.4.12)</v>
      </c>
      <c r="M237" s="80" t="str">
        <f t="shared" si="8"/>
        <v>mRNA236: -&gt; E3.6.4.12_mRNA | 0.00292 - (0.0093 * E3.6.4.12_mRNA)</v>
      </c>
      <c r="N237" s="73" t="str">
        <f t="shared" si="9"/>
        <v>Peptide236: E3.6.4.12_mRNA -&gt; E3.6.4.12 | (0.278 * E3.6.4.12_mRNA) - (0.000000278 * E3.6.4.12)</v>
      </c>
    </row>
    <row r="238" spans="1:14" ht="25">
      <c r="A238" s="70">
        <v>237</v>
      </c>
      <c r="B238" s="81" t="s">
        <v>17239</v>
      </c>
      <c r="C238" s="72" t="str">
        <f t="shared" si="0"/>
        <v>E3.6.5.n1_mRNA</v>
      </c>
      <c r="D238" s="72" t="str">
        <f t="shared" si="1"/>
        <v>E3.6.5.n1</v>
      </c>
      <c r="E238" s="73" t="str">
        <f t="shared" si="2"/>
        <v>E3.6.5.n1_kcat : 13.7</v>
      </c>
      <c r="F238" s="74" t="str">
        <f t="shared" si="3"/>
        <v>E3.6.5.n1_km : 1</v>
      </c>
      <c r="G238" s="75" t="str">
        <f t="shared" ref="G238:H238" si="480">CONCATENATE(C238," : ",C238)</f>
        <v>E3.6.5.n1_mRNA : E3.6.5.n1_mRNA</v>
      </c>
      <c r="H238" s="76" t="str">
        <f t="shared" si="480"/>
        <v>E3.6.5.n1 : E3.6.5.n1</v>
      </c>
      <c r="I238" s="77" t="str">
        <f t="shared" ref="I238:J238" si="481">CONCATENATE(C238," : ","0")</f>
        <v>E3.6.5.n1_mRNA : 0</v>
      </c>
      <c r="J238" s="78" t="str">
        <f t="shared" si="481"/>
        <v>E3.6.5.n1 : 0</v>
      </c>
      <c r="K238" s="79" t="str">
        <f t="shared" si="6"/>
        <v>0.00292 - (0.0093 * E3.6.5.n1_mRNA)</v>
      </c>
      <c r="L238" s="75" t="str">
        <f t="shared" si="7"/>
        <v>(0.278 * E3.6.5.n1_mRNA) - (0.00000278 * E3.6.5.n1)</v>
      </c>
      <c r="M238" s="80" t="str">
        <f t="shared" si="8"/>
        <v>mRNA237: -&gt; E3.6.5.n1_mRNA | 0.00292 - (0.0093 * E3.6.5.n1_mRNA)</v>
      </c>
      <c r="N238" s="73" t="str">
        <f t="shared" si="9"/>
        <v>Peptide237: E3.6.5.n1_mRNA -&gt; E3.6.5.n1 | (0.278 * E3.6.5.n1_mRNA) - (0.000000278 * E3.6.5.n1)</v>
      </c>
    </row>
    <row r="239" spans="1:14" ht="25">
      <c r="A239" s="70">
        <v>238</v>
      </c>
      <c r="B239" s="81" t="s">
        <v>17240</v>
      </c>
      <c r="C239" s="72" t="str">
        <f t="shared" si="0"/>
        <v>E3.7.1.22_mRNA</v>
      </c>
      <c r="D239" s="72" t="str">
        <f t="shared" si="1"/>
        <v>E3.7.1.22</v>
      </c>
      <c r="E239" s="73" t="str">
        <f t="shared" si="2"/>
        <v>E3.7.1.22_kcat : 13.7</v>
      </c>
      <c r="F239" s="74" t="str">
        <f t="shared" si="3"/>
        <v>E3.7.1.22_km : 1</v>
      </c>
      <c r="G239" s="75" t="str">
        <f t="shared" ref="G239:H239" si="482">CONCATENATE(C239," : ",C239)</f>
        <v>E3.7.1.22_mRNA : E3.7.1.22_mRNA</v>
      </c>
      <c r="H239" s="76" t="str">
        <f t="shared" si="482"/>
        <v>E3.7.1.22 : E3.7.1.22</v>
      </c>
      <c r="I239" s="77" t="str">
        <f t="shared" ref="I239:J239" si="483">CONCATENATE(C239," : ","0")</f>
        <v>E3.7.1.22_mRNA : 0</v>
      </c>
      <c r="J239" s="78" t="str">
        <f t="shared" si="483"/>
        <v>E3.7.1.22 : 0</v>
      </c>
      <c r="K239" s="79" t="str">
        <f t="shared" si="6"/>
        <v>0.00292 - (0.0093 * E3.7.1.22_mRNA)</v>
      </c>
      <c r="L239" s="75" t="str">
        <f t="shared" si="7"/>
        <v>(0.278 * E3.7.1.22_mRNA) - (0.00000278 * E3.7.1.22)</v>
      </c>
      <c r="M239" s="80" t="str">
        <f t="shared" si="8"/>
        <v>mRNA238: -&gt; E3.7.1.22_mRNA | 0.00292 - (0.0093 * E3.7.1.22_mRNA)</v>
      </c>
      <c r="N239" s="73" t="str">
        <f t="shared" si="9"/>
        <v>Peptide238: E3.7.1.22_mRNA -&gt; E3.7.1.22 | (0.278 * E3.7.1.22_mRNA) - (0.000000278 * E3.7.1.22)</v>
      </c>
    </row>
    <row r="240" spans="1:14" ht="25">
      <c r="A240" s="70">
        <v>239</v>
      </c>
      <c r="B240" s="81" t="s">
        <v>17241</v>
      </c>
      <c r="C240" s="72" t="str">
        <f t="shared" si="0"/>
        <v>E4.1.1.101_mRNA</v>
      </c>
      <c r="D240" s="72" t="str">
        <f t="shared" si="1"/>
        <v>E4.1.1.101</v>
      </c>
      <c r="E240" s="73" t="str">
        <f t="shared" si="2"/>
        <v>E4.1.1.101_kcat : 13.7</v>
      </c>
      <c r="F240" s="74" t="str">
        <f t="shared" si="3"/>
        <v>E4.1.1.101_km : 1</v>
      </c>
      <c r="G240" s="75" t="str">
        <f t="shared" ref="G240:H240" si="484">CONCATENATE(C240," : ",C240)</f>
        <v>E4.1.1.101_mRNA : E4.1.1.101_mRNA</v>
      </c>
      <c r="H240" s="76" t="str">
        <f t="shared" si="484"/>
        <v>E4.1.1.101 : E4.1.1.101</v>
      </c>
      <c r="I240" s="77" t="str">
        <f t="shared" ref="I240:J240" si="485">CONCATENATE(C240," : ","0")</f>
        <v>E4.1.1.101_mRNA : 0</v>
      </c>
      <c r="J240" s="78" t="str">
        <f t="shared" si="485"/>
        <v>E4.1.1.101 : 0</v>
      </c>
      <c r="K240" s="79" t="str">
        <f t="shared" si="6"/>
        <v>0.00292 - (0.0093 * E4.1.1.101_mRNA)</v>
      </c>
      <c r="L240" s="75" t="str">
        <f t="shared" si="7"/>
        <v>(0.278 * E4.1.1.101_mRNA) - (0.00000278 * E4.1.1.101)</v>
      </c>
      <c r="M240" s="80" t="str">
        <f t="shared" si="8"/>
        <v>mRNA239: -&gt; E4.1.1.101_mRNA | 0.00292 - (0.0093 * E4.1.1.101_mRNA)</v>
      </c>
      <c r="N240" s="73" t="str">
        <f t="shared" si="9"/>
        <v>Peptide239: E4.1.1.101_mRNA -&gt; E4.1.1.101 | (0.278 * E4.1.1.101_mRNA) - (0.000000278 * E4.1.1.101)</v>
      </c>
    </row>
    <row r="241" spans="1:14" ht="25">
      <c r="A241" s="70">
        <v>240</v>
      </c>
      <c r="B241" s="81" t="s">
        <v>17242</v>
      </c>
      <c r="C241" s="72" t="str">
        <f t="shared" si="0"/>
        <v>E4.1.1.112_mRNA</v>
      </c>
      <c r="D241" s="72" t="str">
        <f t="shared" si="1"/>
        <v>E4.1.1.112</v>
      </c>
      <c r="E241" s="73" t="str">
        <f t="shared" si="2"/>
        <v>E4.1.1.112_kcat : 13.7</v>
      </c>
      <c r="F241" s="74" t="str">
        <f t="shared" si="3"/>
        <v>E4.1.1.112_km : 1</v>
      </c>
      <c r="G241" s="75" t="str">
        <f t="shared" ref="G241:H241" si="486">CONCATENATE(C241," : ",C241)</f>
        <v>E4.1.1.112_mRNA : E4.1.1.112_mRNA</v>
      </c>
      <c r="H241" s="76" t="str">
        <f t="shared" si="486"/>
        <v>E4.1.1.112 : E4.1.1.112</v>
      </c>
      <c r="I241" s="77" t="str">
        <f t="shared" ref="I241:J241" si="487">CONCATENATE(C241," : ","0")</f>
        <v>E4.1.1.112_mRNA : 0</v>
      </c>
      <c r="J241" s="78" t="str">
        <f t="shared" si="487"/>
        <v>E4.1.1.112 : 0</v>
      </c>
      <c r="K241" s="79" t="str">
        <f t="shared" si="6"/>
        <v>0.00292 - (0.0093 * E4.1.1.112_mRNA)</v>
      </c>
      <c r="L241" s="75" t="str">
        <f t="shared" si="7"/>
        <v>(0.278 * E4.1.1.112_mRNA) - (0.00000278 * E4.1.1.112)</v>
      </c>
      <c r="M241" s="80" t="str">
        <f t="shared" si="8"/>
        <v>mRNA240: -&gt; E4.1.1.112_mRNA | 0.00292 - (0.0093 * E4.1.1.112_mRNA)</v>
      </c>
      <c r="N241" s="73" t="str">
        <f t="shared" si="9"/>
        <v>Peptide240: E4.1.1.112_mRNA -&gt; E4.1.1.112 | (0.278 * E4.1.1.112_mRNA) - (0.000000278 * E4.1.1.112)</v>
      </c>
    </row>
    <row r="242" spans="1:14" ht="25">
      <c r="A242" s="70">
        <v>241</v>
      </c>
      <c r="B242" s="81" t="s">
        <v>17243</v>
      </c>
      <c r="C242" s="72" t="str">
        <f t="shared" si="0"/>
        <v>E4.1.1.12_mRNA</v>
      </c>
      <c r="D242" s="72" t="str">
        <f t="shared" si="1"/>
        <v>E4.1.1.12</v>
      </c>
      <c r="E242" s="73" t="str">
        <f t="shared" si="2"/>
        <v>E4.1.1.12_kcat : 13.7</v>
      </c>
      <c r="F242" s="74" t="str">
        <f t="shared" si="3"/>
        <v>E4.1.1.12_km : 1</v>
      </c>
      <c r="G242" s="75" t="str">
        <f t="shared" ref="G242:H242" si="488">CONCATENATE(C242," : ",C242)</f>
        <v>E4.1.1.12_mRNA : E4.1.1.12_mRNA</v>
      </c>
      <c r="H242" s="76" t="str">
        <f t="shared" si="488"/>
        <v>E4.1.1.12 : E4.1.1.12</v>
      </c>
      <c r="I242" s="77" t="str">
        <f t="shared" ref="I242:J242" si="489">CONCATENATE(C242," : ","0")</f>
        <v>E4.1.1.12_mRNA : 0</v>
      </c>
      <c r="J242" s="78" t="str">
        <f t="shared" si="489"/>
        <v>E4.1.1.12 : 0</v>
      </c>
      <c r="K242" s="79" t="str">
        <f t="shared" si="6"/>
        <v>0.00292 - (0.0093 * E4.1.1.12_mRNA)</v>
      </c>
      <c r="L242" s="75" t="str">
        <f t="shared" si="7"/>
        <v>(0.278 * E4.1.1.12_mRNA) - (0.00000278 * E4.1.1.12)</v>
      </c>
      <c r="M242" s="80" t="str">
        <f t="shared" si="8"/>
        <v>mRNA241: -&gt; E4.1.1.12_mRNA | 0.00292 - (0.0093 * E4.1.1.12_mRNA)</v>
      </c>
      <c r="N242" s="73" t="str">
        <f t="shared" si="9"/>
        <v>Peptide241: E4.1.1.12_mRNA -&gt; E4.1.1.12 | (0.278 * E4.1.1.12_mRNA) - (0.000000278 * E4.1.1.12)</v>
      </c>
    </row>
    <row r="243" spans="1:14" ht="25">
      <c r="A243" s="70">
        <v>242</v>
      </c>
      <c r="B243" s="81" t="s">
        <v>17244</v>
      </c>
      <c r="C243" s="72" t="str">
        <f t="shared" si="0"/>
        <v>E4.1.1.20_mRNA</v>
      </c>
      <c r="D243" s="72" t="str">
        <f t="shared" si="1"/>
        <v>E4.1.1.20</v>
      </c>
      <c r="E243" s="73" t="str">
        <f t="shared" si="2"/>
        <v>E4.1.1.20_kcat : 13.7</v>
      </c>
      <c r="F243" s="74" t="str">
        <f t="shared" si="3"/>
        <v>E4.1.1.20_km : 1</v>
      </c>
      <c r="G243" s="75" t="str">
        <f t="shared" ref="G243:H243" si="490">CONCATENATE(C243," : ",C243)</f>
        <v>E4.1.1.20_mRNA : E4.1.1.20_mRNA</v>
      </c>
      <c r="H243" s="76" t="str">
        <f t="shared" si="490"/>
        <v>E4.1.1.20 : E4.1.1.20</v>
      </c>
      <c r="I243" s="77" t="str">
        <f t="shared" ref="I243:J243" si="491">CONCATENATE(C243," : ","0")</f>
        <v>E4.1.1.20_mRNA : 0</v>
      </c>
      <c r="J243" s="78" t="str">
        <f t="shared" si="491"/>
        <v>E4.1.1.20 : 0</v>
      </c>
      <c r="K243" s="79" t="str">
        <f t="shared" si="6"/>
        <v>0.00292 - (0.0093 * E4.1.1.20_mRNA)</v>
      </c>
      <c r="L243" s="75" t="str">
        <f t="shared" si="7"/>
        <v>(0.278 * E4.1.1.20_mRNA) - (0.00000278 * E4.1.1.20)</v>
      </c>
      <c r="M243" s="80" t="str">
        <f t="shared" si="8"/>
        <v>mRNA242: -&gt; E4.1.1.20_mRNA | 0.00292 - (0.0093 * E4.1.1.20_mRNA)</v>
      </c>
      <c r="N243" s="73" t="str">
        <f t="shared" si="9"/>
        <v>Peptide242: E4.1.1.20_mRNA -&gt; E4.1.1.20 | (0.278 * E4.1.1.20_mRNA) - (0.000000278 * E4.1.1.20)</v>
      </c>
    </row>
    <row r="244" spans="1:14" ht="25">
      <c r="A244" s="70">
        <v>243</v>
      </c>
      <c r="B244" s="81" t="s">
        <v>17245</v>
      </c>
      <c r="C244" s="72" t="str">
        <f t="shared" si="0"/>
        <v>E4.1.1.21_mRNA</v>
      </c>
      <c r="D244" s="72" t="str">
        <f t="shared" si="1"/>
        <v>E4.1.1.21</v>
      </c>
      <c r="E244" s="73" t="str">
        <f t="shared" si="2"/>
        <v>E4.1.1.21_kcat : 13.7</v>
      </c>
      <c r="F244" s="74" t="str">
        <f t="shared" si="3"/>
        <v>E4.1.1.21_km : 1</v>
      </c>
      <c r="G244" s="75" t="str">
        <f t="shared" ref="G244:H244" si="492">CONCATENATE(C244," : ",C244)</f>
        <v>E4.1.1.21_mRNA : E4.1.1.21_mRNA</v>
      </c>
      <c r="H244" s="76" t="str">
        <f t="shared" si="492"/>
        <v>E4.1.1.21 : E4.1.1.21</v>
      </c>
      <c r="I244" s="77" t="str">
        <f t="shared" ref="I244:J244" si="493">CONCATENATE(C244," : ","0")</f>
        <v>E4.1.1.21_mRNA : 0</v>
      </c>
      <c r="J244" s="78" t="str">
        <f t="shared" si="493"/>
        <v>E4.1.1.21 : 0</v>
      </c>
      <c r="K244" s="79" t="str">
        <f t="shared" si="6"/>
        <v>0.00292 - (0.0093 * E4.1.1.21_mRNA)</v>
      </c>
      <c r="L244" s="75" t="str">
        <f t="shared" si="7"/>
        <v>(0.278 * E4.1.1.21_mRNA) - (0.00000278 * E4.1.1.21)</v>
      </c>
      <c r="M244" s="80" t="str">
        <f t="shared" si="8"/>
        <v>mRNA243: -&gt; E4.1.1.21_mRNA | 0.00292 - (0.0093 * E4.1.1.21_mRNA)</v>
      </c>
      <c r="N244" s="73" t="str">
        <f t="shared" si="9"/>
        <v>Peptide243: E4.1.1.21_mRNA -&gt; E4.1.1.21 | (0.278 * E4.1.1.21_mRNA) - (0.000000278 * E4.1.1.21)</v>
      </c>
    </row>
    <row r="245" spans="1:14" ht="25">
      <c r="A245" s="70">
        <v>244</v>
      </c>
      <c r="B245" s="81" t="s">
        <v>17246</v>
      </c>
      <c r="C245" s="72" t="str">
        <f t="shared" si="0"/>
        <v>E4.1.1.23_mRNA</v>
      </c>
      <c r="D245" s="72" t="str">
        <f t="shared" si="1"/>
        <v>E4.1.1.23</v>
      </c>
      <c r="E245" s="73" t="str">
        <f t="shared" si="2"/>
        <v>E4.1.1.23_kcat : 13.7</v>
      </c>
      <c r="F245" s="74" t="str">
        <f t="shared" si="3"/>
        <v>E4.1.1.23_km : 1</v>
      </c>
      <c r="G245" s="75" t="str">
        <f t="shared" ref="G245:H245" si="494">CONCATENATE(C245," : ",C245)</f>
        <v>E4.1.1.23_mRNA : E4.1.1.23_mRNA</v>
      </c>
      <c r="H245" s="76" t="str">
        <f t="shared" si="494"/>
        <v>E4.1.1.23 : E4.1.1.23</v>
      </c>
      <c r="I245" s="77" t="str">
        <f t="shared" ref="I245:J245" si="495">CONCATENATE(C245," : ","0")</f>
        <v>E4.1.1.23_mRNA : 0</v>
      </c>
      <c r="J245" s="78" t="str">
        <f t="shared" si="495"/>
        <v>E4.1.1.23 : 0</v>
      </c>
      <c r="K245" s="79" t="str">
        <f t="shared" si="6"/>
        <v>0.00292 - (0.0093 * E4.1.1.23_mRNA)</v>
      </c>
      <c r="L245" s="75" t="str">
        <f t="shared" si="7"/>
        <v>(0.278 * E4.1.1.23_mRNA) - (0.00000278 * E4.1.1.23)</v>
      </c>
      <c r="M245" s="80" t="str">
        <f t="shared" si="8"/>
        <v>mRNA244: -&gt; E4.1.1.23_mRNA | 0.00292 - (0.0093 * E4.1.1.23_mRNA)</v>
      </c>
      <c r="N245" s="73" t="str">
        <f t="shared" si="9"/>
        <v>Peptide244: E4.1.1.23_mRNA -&gt; E4.1.1.23 | (0.278 * E4.1.1.23_mRNA) - (0.000000278 * E4.1.1.23)</v>
      </c>
    </row>
    <row r="246" spans="1:14" ht="25">
      <c r="A246" s="70">
        <v>245</v>
      </c>
      <c r="B246" s="81" t="s">
        <v>17247</v>
      </c>
      <c r="C246" s="72" t="str">
        <f t="shared" si="0"/>
        <v>E4.1.1.33_mRNA</v>
      </c>
      <c r="D246" s="72" t="str">
        <f t="shared" si="1"/>
        <v>E4.1.1.33</v>
      </c>
      <c r="E246" s="73" t="str">
        <f t="shared" si="2"/>
        <v>E4.1.1.33_kcat : 13.7</v>
      </c>
      <c r="F246" s="74" t="str">
        <f t="shared" si="3"/>
        <v>E4.1.1.33_km : 1</v>
      </c>
      <c r="G246" s="75" t="str">
        <f t="shared" ref="G246:H246" si="496">CONCATENATE(C246," : ",C246)</f>
        <v>E4.1.1.33_mRNA : E4.1.1.33_mRNA</v>
      </c>
      <c r="H246" s="76" t="str">
        <f t="shared" si="496"/>
        <v>E4.1.1.33 : E4.1.1.33</v>
      </c>
      <c r="I246" s="77" t="str">
        <f t="shared" ref="I246:J246" si="497">CONCATENATE(C246," : ","0")</f>
        <v>E4.1.1.33_mRNA : 0</v>
      </c>
      <c r="J246" s="78" t="str">
        <f t="shared" si="497"/>
        <v>E4.1.1.33 : 0</v>
      </c>
      <c r="K246" s="79" t="str">
        <f t="shared" si="6"/>
        <v>0.00292 - (0.0093 * E4.1.1.33_mRNA)</v>
      </c>
      <c r="L246" s="75" t="str">
        <f t="shared" si="7"/>
        <v>(0.278 * E4.1.1.33_mRNA) - (0.00000278 * E4.1.1.33)</v>
      </c>
      <c r="M246" s="80" t="str">
        <f t="shared" si="8"/>
        <v>mRNA245: -&gt; E4.1.1.33_mRNA | 0.00292 - (0.0093 * E4.1.1.33_mRNA)</v>
      </c>
      <c r="N246" s="73" t="str">
        <f t="shared" si="9"/>
        <v>Peptide245: E4.1.1.33_mRNA -&gt; E4.1.1.33 | (0.278 * E4.1.1.33_mRNA) - (0.000000278 * E4.1.1.33)</v>
      </c>
    </row>
    <row r="247" spans="1:14" ht="25">
      <c r="A247" s="70">
        <v>246</v>
      </c>
      <c r="B247" s="81" t="s">
        <v>17248</v>
      </c>
      <c r="C247" s="72" t="str">
        <f t="shared" si="0"/>
        <v>E4.1.1.36_mRNA</v>
      </c>
      <c r="D247" s="72" t="str">
        <f t="shared" si="1"/>
        <v>E4.1.1.36</v>
      </c>
      <c r="E247" s="73" t="str">
        <f t="shared" si="2"/>
        <v>E4.1.1.36_kcat : 13.7</v>
      </c>
      <c r="F247" s="74" t="str">
        <f t="shared" si="3"/>
        <v>E4.1.1.36_km : 1</v>
      </c>
      <c r="G247" s="75" t="str">
        <f t="shared" ref="G247:H247" si="498">CONCATENATE(C247," : ",C247)</f>
        <v>E4.1.1.36_mRNA : E4.1.1.36_mRNA</v>
      </c>
      <c r="H247" s="76" t="str">
        <f t="shared" si="498"/>
        <v>E4.1.1.36 : E4.1.1.36</v>
      </c>
      <c r="I247" s="77" t="str">
        <f t="shared" ref="I247:J247" si="499">CONCATENATE(C247," : ","0")</f>
        <v>E4.1.1.36_mRNA : 0</v>
      </c>
      <c r="J247" s="78" t="str">
        <f t="shared" si="499"/>
        <v>E4.1.1.36 : 0</v>
      </c>
      <c r="K247" s="79" t="str">
        <f t="shared" si="6"/>
        <v>0.00292 - (0.0093 * E4.1.1.36_mRNA)</v>
      </c>
      <c r="L247" s="75" t="str">
        <f t="shared" si="7"/>
        <v>(0.278 * E4.1.1.36_mRNA) - (0.00000278 * E4.1.1.36)</v>
      </c>
      <c r="M247" s="80" t="str">
        <f t="shared" si="8"/>
        <v>mRNA246: -&gt; E4.1.1.36_mRNA | 0.00292 - (0.0093 * E4.1.1.36_mRNA)</v>
      </c>
      <c r="N247" s="73" t="str">
        <f t="shared" si="9"/>
        <v>Peptide246: E4.1.1.36_mRNA -&gt; E4.1.1.36 | (0.278 * E4.1.1.36_mRNA) - (0.000000278 * E4.1.1.36)</v>
      </c>
    </row>
    <row r="248" spans="1:14" ht="25">
      <c r="A248" s="70">
        <v>247</v>
      </c>
      <c r="B248" s="81" t="s">
        <v>17249</v>
      </c>
      <c r="C248" s="72" t="str">
        <f t="shared" si="0"/>
        <v>E4.1.1.48_mRNA</v>
      </c>
      <c r="D248" s="72" t="str">
        <f t="shared" si="1"/>
        <v>E4.1.1.48</v>
      </c>
      <c r="E248" s="73" t="str">
        <f t="shared" si="2"/>
        <v>E4.1.1.48_kcat : 13.7</v>
      </c>
      <c r="F248" s="74" t="str">
        <f t="shared" si="3"/>
        <v>E4.1.1.48_km : 1</v>
      </c>
      <c r="G248" s="75" t="str">
        <f t="shared" ref="G248:H248" si="500">CONCATENATE(C248," : ",C248)</f>
        <v>E4.1.1.48_mRNA : E4.1.1.48_mRNA</v>
      </c>
      <c r="H248" s="76" t="str">
        <f t="shared" si="500"/>
        <v>E4.1.1.48 : E4.1.1.48</v>
      </c>
      <c r="I248" s="77" t="str">
        <f t="shared" ref="I248:J248" si="501">CONCATENATE(C248," : ","0")</f>
        <v>E4.1.1.48_mRNA : 0</v>
      </c>
      <c r="J248" s="78" t="str">
        <f t="shared" si="501"/>
        <v>E4.1.1.48 : 0</v>
      </c>
      <c r="K248" s="79" t="str">
        <f t="shared" si="6"/>
        <v>0.00292 - (0.0093 * E4.1.1.48_mRNA)</v>
      </c>
      <c r="L248" s="75" t="str">
        <f t="shared" si="7"/>
        <v>(0.278 * E4.1.1.48_mRNA) - (0.00000278 * E4.1.1.48)</v>
      </c>
      <c r="M248" s="80" t="str">
        <f t="shared" si="8"/>
        <v>mRNA247: -&gt; E4.1.1.48_mRNA | 0.00292 - (0.0093 * E4.1.1.48_mRNA)</v>
      </c>
      <c r="N248" s="73" t="str">
        <f t="shared" si="9"/>
        <v>Peptide247: E4.1.1.48_mRNA -&gt; E4.1.1.48 | (0.278 * E4.1.1.48_mRNA) - (0.000000278 * E4.1.1.48)</v>
      </c>
    </row>
    <row r="249" spans="1:14" ht="25">
      <c r="A249" s="70">
        <v>248</v>
      </c>
      <c r="B249" s="81" t="s">
        <v>17250</v>
      </c>
      <c r="C249" s="72" t="str">
        <f t="shared" si="0"/>
        <v>E4.1.1.49_mRNA</v>
      </c>
      <c r="D249" s="72" t="str">
        <f t="shared" si="1"/>
        <v>E4.1.1.49</v>
      </c>
      <c r="E249" s="73" t="str">
        <f t="shared" si="2"/>
        <v>E4.1.1.49_kcat : 13.7</v>
      </c>
      <c r="F249" s="74" t="str">
        <f t="shared" si="3"/>
        <v>E4.1.1.49_km : 1</v>
      </c>
      <c r="G249" s="75" t="str">
        <f t="shared" ref="G249:H249" si="502">CONCATENATE(C249," : ",C249)</f>
        <v>E4.1.1.49_mRNA : E4.1.1.49_mRNA</v>
      </c>
      <c r="H249" s="76" t="str">
        <f t="shared" si="502"/>
        <v>E4.1.1.49 : E4.1.1.49</v>
      </c>
      <c r="I249" s="77" t="str">
        <f t="shared" ref="I249:J249" si="503">CONCATENATE(C249," : ","0")</f>
        <v>E4.1.1.49_mRNA : 0</v>
      </c>
      <c r="J249" s="78" t="str">
        <f t="shared" si="503"/>
        <v>E4.1.1.49 : 0</v>
      </c>
      <c r="K249" s="79" t="str">
        <f t="shared" si="6"/>
        <v>0.00292 - (0.0093 * E4.1.1.49_mRNA)</v>
      </c>
      <c r="L249" s="75" t="str">
        <f t="shared" si="7"/>
        <v>(0.278 * E4.1.1.49_mRNA) - (0.00000278 * E4.1.1.49)</v>
      </c>
      <c r="M249" s="80" t="str">
        <f t="shared" si="8"/>
        <v>mRNA248: -&gt; E4.1.1.49_mRNA | 0.00292 - (0.0093 * E4.1.1.49_mRNA)</v>
      </c>
      <c r="N249" s="73" t="str">
        <f t="shared" si="9"/>
        <v>Peptide248: E4.1.1.49_mRNA -&gt; E4.1.1.49 | (0.278 * E4.1.1.49_mRNA) - (0.000000278 * E4.1.1.49)</v>
      </c>
    </row>
    <row r="250" spans="1:14" ht="25">
      <c r="A250" s="70">
        <v>249</v>
      </c>
      <c r="B250" s="81" t="s">
        <v>17251</v>
      </c>
      <c r="C250" s="72" t="str">
        <f t="shared" si="0"/>
        <v>E4.1.1.5_mRNA</v>
      </c>
      <c r="D250" s="72" t="str">
        <f t="shared" si="1"/>
        <v>E4.1.1.5</v>
      </c>
      <c r="E250" s="73" t="str">
        <f t="shared" si="2"/>
        <v>E4.1.1.5_kcat : 13.7</v>
      </c>
      <c r="F250" s="74" t="str">
        <f t="shared" si="3"/>
        <v>E4.1.1.5_km : 1</v>
      </c>
      <c r="G250" s="75" t="str">
        <f t="shared" ref="G250:H250" si="504">CONCATENATE(C250," : ",C250)</f>
        <v>E4.1.1.5_mRNA : E4.1.1.5_mRNA</v>
      </c>
      <c r="H250" s="76" t="str">
        <f t="shared" si="504"/>
        <v>E4.1.1.5 : E4.1.1.5</v>
      </c>
      <c r="I250" s="77" t="str">
        <f t="shared" ref="I250:J250" si="505">CONCATENATE(C250," : ","0")</f>
        <v>E4.1.1.5_mRNA : 0</v>
      </c>
      <c r="J250" s="78" t="str">
        <f t="shared" si="505"/>
        <v>E4.1.1.5 : 0</v>
      </c>
      <c r="K250" s="79" t="str">
        <f t="shared" si="6"/>
        <v>0.00292 - (0.0093 * E4.1.1.5_mRNA)</v>
      </c>
      <c r="L250" s="75" t="str">
        <f t="shared" si="7"/>
        <v>(0.278 * E4.1.1.5_mRNA) - (0.00000278 * E4.1.1.5)</v>
      </c>
      <c r="M250" s="80" t="str">
        <f t="shared" si="8"/>
        <v>mRNA249: -&gt; E4.1.1.5_mRNA | 0.00292 - (0.0093 * E4.1.1.5_mRNA)</v>
      </c>
      <c r="N250" s="73" t="str">
        <f t="shared" si="9"/>
        <v>Peptide249: E4.1.1.5_mRNA -&gt; E4.1.1.5 | (0.278 * E4.1.1.5_mRNA) - (0.000000278 * E4.1.1.5)</v>
      </c>
    </row>
    <row r="251" spans="1:14" ht="25">
      <c r="A251" s="70">
        <v>250</v>
      </c>
      <c r="B251" s="81" t="s">
        <v>17252</v>
      </c>
      <c r="C251" s="72" t="str">
        <f t="shared" si="0"/>
        <v>E4.1.1.85_mRNA</v>
      </c>
      <c r="D251" s="72" t="str">
        <f t="shared" si="1"/>
        <v>E4.1.1.85</v>
      </c>
      <c r="E251" s="73" t="str">
        <f t="shared" si="2"/>
        <v>E4.1.1.85_kcat : 13.7</v>
      </c>
      <c r="F251" s="74" t="str">
        <f t="shared" si="3"/>
        <v>E4.1.1.85_km : 1</v>
      </c>
      <c r="G251" s="75" t="str">
        <f t="shared" ref="G251:H251" si="506">CONCATENATE(C251," : ",C251)</f>
        <v>E4.1.1.85_mRNA : E4.1.1.85_mRNA</v>
      </c>
      <c r="H251" s="76" t="str">
        <f t="shared" si="506"/>
        <v>E4.1.1.85 : E4.1.1.85</v>
      </c>
      <c r="I251" s="77" t="str">
        <f t="shared" ref="I251:J251" si="507">CONCATENATE(C251," : ","0")</f>
        <v>E4.1.1.85_mRNA : 0</v>
      </c>
      <c r="J251" s="78" t="str">
        <f t="shared" si="507"/>
        <v>E4.1.1.85 : 0</v>
      </c>
      <c r="K251" s="79" t="str">
        <f t="shared" si="6"/>
        <v>0.00292 - (0.0093 * E4.1.1.85_mRNA)</v>
      </c>
      <c r="L251" s="75" t="str">
        <f t="shared" si="7"/>
        <v>(0.278 * E4.1.1.85_mRNA) - (0.00000278 * E4.1.1.85)</v>
      </c>
      <c r="M251" s="80" t="str">
        <f t="shared" si="8"/>
        <v>mRNA250: -&gt; E4.1.1.85_mRNA | 0.00292 - (0.0093 * E4.1.1.85_mRNA)</v>
      </c>
      <c r="N251" s="73" t="str">
        <f t="shared" si="9"/>
        <v>Peptide250: E4.1.1.85_mRNA -&gt; E4.1.1.85 | (0.278 * E4.1.1.85_mRNA) - (0.000000278 * E4.1.1.85)</v>
      </c>
    </row>
    <row r="252" spans="1:14" ht="25">
      <c r="A252" s="70">
        <v>251</v>
      </c>
      <c r="B252" s="81" t="s">
        <v>17253</v>
      </c>
      <c r="C252" s="72" t="str">
        <f t="shared" si="0"/>
        <v>E4.1.2.13_mRNA</v>
      </c>
      <c r="D252" s="72" t="str">
        <f t="shared" si="1"/>
        <v>E4.1.2.13</v>
      </c>
      <c r="E252" s="73" t="str">
        <f t="shared" si="2"/>
        <v>E4.1.2.13_kcat : 13.7</v>
      </c>
      <c r="F252" s="74" t="str">
        <f t="shared" si="3"/>
        <v>E4.1.2.13_km : 1</v>
      </c>
      <c r="G252" s="75" t="str">
        <f t="shared" ref="G252:H252" si="508">CONCATENATE(C252," : ",C252)</f>
        <v>E4.1.2.13_mRNA : E4.1.2.13_mRNA</v>
      </c>
      <c r="H252" s="76" t="str">
        <f t="shared" si="508"/>
        <v>E4.1.2.13 : E4.1.2.13</v>
      </c>
      <c r="I252" s="77" t="str">
        <f t="shared" ref="I252:J252" si="509">CONCATENATE(C252," : ","0")</f>
        <v>E4.1.2.13_mRNA : 0</v>
      </c>
      <c r="J252" s="78" t="str">
        <f t="shared" si="509"/>
        <v>E4.1.2.13 : 0</v>
      </c>
      <c r="K252" s="79" t="str">
        <f t="shared" si="6"/>
        <v>0.00292 - (0.0093 * E4.1.2.13_mRNA)</v>
      </c>
      <c r="L252" s="75" t="str">
        <f t="shared" si="7"/>
        <v>(0.278 * E4.1.2.13_mRNA) - (0.00000278 * E4.1.2.13)</v>
      </c>
      <c r="M252" s="80" t="str">
        <f t="shared" si="8"/>
        <v>mRNA251: -&gt; E4.1.2.13_mRNA | 0.00292 - (0.0093 * E4.1.2.13_mRNA)</v>
      </c>
      <c r="N252" s="73" t="str">
        <f t="shared" si="9"/>
        <v>Peptide251: E4.1.2.13_mRNA -&gt; E4.1.2.13 | (0.278 * E4.1.2.13_mRNA) - (0.000000278 * E4.1.2.13)</v>
      </c>
    </row>
    <row r="253" spans="1:14" ht="25">
      <c r="A253" s="70">
        <v>252</v>
      </c>
      <c r="B253" s="81" t="s">
        <v>17254</v>
      </c>
      <c r="C253" s="72" t="str">
        <f t="shared" si="0"/>
        <v>E4.1.2.4_mRNA</v>
      </c>
      <c r="D253" s="72" t="str">
        <f t="shared" si="1"/>
        <v>E4.1.2.4</v>
      </c>
      <c r="E253" s="73" t="str">
        <f t="shared" si="2"/>
        <v>E4.1.2.4_kcat : 13.7</v>
      </c>
      <c r="F253" s="74" t="str">
        <f t="shared" si="3"/>
        <v>E4.1.2.4_km : 1</v>
      </c>
      <c r="G253" s="75" t="str">
        <f t="shared" ref="G253:H253" si="510">CONCATENATE(C253," : ",C253)</f>
        <v>E4.1.2.4_mRNA : E4.1.2.4_mRNA</v>
      </c>
      <c r="H253" s="76" t="str">
        <f t="shared" si="510"/>
        <v>E4.1.2.4 : E4.1.2.4</v>
      </c>
      <c r="I253" s="77" t="str">
        <f t="shared" ref="I253:J253" si="511">CONCATENATE(C253," : ","0")</f>
        <v>E4.1.2.4_mRNA : 0</v>
      </c>
      <c r="J253" s="78" t="str">
        <f t="shared" si="511"/>
        <v>E4.1.2.4 : 0</v>
      </c>
      <c r="K253" s="79" t="str">
        <f t="shared" si="6"/>
        <v>0.00292 - (0.0093 * E4.1.2.4_mRNA)</v>
      </c>
      <c r="L253" s="75" t="str">
        <f t="shared" si="7"/>
        <v>(0.278 * E4.1.2.4_mRNA) - (0.00000278 * E4.1.2.4)</v>
      </c>
      <c r="M253" s="80" t="str">
        <f t="shared" si="8"/>
        <v>mRNA252: -&gt; E4.1.2.4_mRNA | 0.00292 - (0.0093 * E4.1.2.4_mRNA)</v>
      </c>
      <c r="N253" s="73" t="str">
        <f t="shared" si="9"/>
        <v>Peptide252: E4.1.2.4_mRNA -&gt; E4.1.2.4 | (0.278 * E4.1.2.4_mRNA) - (0.000000278 * E4.1.2.4)</v>
      </c>
    </row>
    <row r="254" spans="1:14" ht="25">
      <c r="A254" s="70">
        <v>253</v>
      </c>
      <c r="B254" s="81" t="s">
        <v>17255</v>
      </c>
      <c r="C254" s="72" t="str">
        <f t="shared" si="0"/>
        <v>E4.1.2.43_mRNA</v>
      </c>
      <c r="D254" s="72" t="str">
        <f t="shared" si="1"/>
        <v>E4.1.2.43</v>
      </c>
      <c r="E254" s="73" t="str">
        <f t="shared" si="2"/>
        <v>E4.1.2.43_kcat : 13.7</v>
      </c>
      <c r="F254" s="74" t="str">
        <f t="shared" si="3"/>
        <v>E4.1.2.43_km : 1</v>
      </c>
      <c r="G254" s="75" t="str">
        <f t="shared" ref="G254:H254" si="512">CONCATENATE(C254," : ",C254)</f>
        <v>E4.1.2.43_mRNA : E4.1.2.43_mRNA</v>
      </c>
      <c r="H254" s="76" t="str">
        <f t="shared" si="512"/>
        <v>E4.1.2.43 : E4.1.2.43</v>
      </c>
      <c r="I254" s="77" t="str">
        <f t="shared" ref="I254:J254" si="513">CONCATENATE(C254," : ","0")</f>
        <v>E4.1.2.43_mRNA : 0</v>
      </c>
      <c r="J254" s="78" t="str">
        <f t="shared" si="513"/>
        <v>E4.1.2.43 : 0</v>
      </c>
      <c r="K254" s="79" t="str">
        <f t="shared" si="6"/>
        <v>0.00292 - (0.0093 * E4.1.2.43_mRNA)</v>
      </c>
      <c r="L254" s="75" t="str">
        <f t="shared" si="7"/>
        <v>(0.278 * E4.1.2.43_mRNA) - (0.00000278 * E4.1.2.43)</v>
      </c>
      <c r="M254" s="80" t="str">
        <f t="shared" si="8"/>
        <v>mRNA253: -&gt; E4.1.2.43_mRNA | 0.00292 - (0.0093 * E4.1.2.43_mRNA)</v>
      </c>
      <c r="N254" s="73" t="str">
        <f t="shared" si="9"/>
        <v>Peptide253: E4.1.2.43_mRNA -&gt; E4.1.2.43 | (0.278 * E4.1.2.43_mRNA) - (0.000000278 * E4.1.2.43)</v>
      </c>
    </row>
    <row r="255" spans="1:14" ht="25">
      <c r="A255" s="70">
        <v>254</v>
      </c>
      <c r="B255" s="81" t="s">
        <v>17256</v>
      </c>
      <c r="C255" s="72" t="str">
        <f t="shared" si="0"/>
        <v>E4.1.3.6_mRNA</v>
      </c>
      <c r="D255" s="72" t="str">
        <f t="shared" si="1"/>
        <v>E4.1.3.6</v>
      </c>
      <c r="E255" s="73" t="str">
        <f t="shared" si="2"/>
        <v>E4.1.3.6_kcat : 13.7</v>
      </c>
      <c r="F255" s="74" t="str">
        <f t="shared" si="3"/>
        <v>E4.1.3.6_km : 1</v>
      </c>
      <c r="G255" s="75" t="str">
        <f t="shared" ref="G255:H255" si="514">CONCATENATE(C255," : ",C255)</f>
        <v>E4.1.3.6_mRNA : E4.1.3.6_mRNA</v>
      </c>
      <c r="H255" s="76" t="str">
        <f t="shared" si="514"/>
        <v>E4.1.3.6 : E4.1.3.6</v>
      </c>
      <c r="I255" s="77" t="str">
        <f t="shared" ref="I255:J255" si="515">CONCATENATE(C255," : ","0")</f>
        <v>E4.1.3.6_mRNA : 0</v>
      </c>
      <c r="J255" s="78" t="str">
        <f t="shared" si="515"/>
        <v>E4.1.3.6 : 0</v>
      </c>
      <c r="K255" s="79" t="str">
        <f t="shared" si="6"/>
        <v>0.00292 - (0.0093 * E4.1.3.6_mRNA)</v>
      </c>
      <c r="L255" s="75" t="str">
        <f t="shared" si="7"/>
        <v>(0.278 * E4.1.3.6_mRNA) - (0.00000278 * E4.1.3.6)</v>
      </c>
      <c r="M255" s="80" t="str">
        <f t="shared" si="8"/>
        <v>mRNA254: -&gt; E4.1.3.6_mRNA | 0.00292 - (0.0093 * E4.1.3.6_mRNA)</v>
      </c>
      <c r="N255" s="73" t="str">
        <f t="shared" si="9"/>
        <v>Peptide254: E4.1.3.6_mRNA -&gt; E4.1.3.6 | (0.278 * E4.1.3.6_mRNA) - (0.000000278 * E4.1.3.6)</v>
      </c>
    </row>
    <row r="256" spans="1:14" ht="25">
      <c r="A256" s="70">
        <v>255</v>
      </c>
      <c r="B256" s="81" t="s">
        <v>17257</v>
      </c>
      <c r="C256" s="72" t="str">
        <f t="shared" si="0"/>
        <v>E4.2.1.11_mRNA</v>
      </c>
      <c r="D256" s="72" t="str">
        <f t="shared" si="1"/>
        <v>E4.2.1.11</v>
      </c>
      <c r="E256" s="73" t="str">
        <f t="shared" si="2"/>
        <v>E4.2.1.11_kcat : 13.7</v>
      </c>
      <c r="F256" s="74" t="str">
        <f t="shared" si="3"/>
        <v>E4.2.1.11_km : 1</v>
      </c>
      <c r="G256" s="75" t="str">
        <f t="shared" ref="G256:H256" si="516">CONCATENATE(C256," : ",C256)</f>
        <v>E4.2.1.11_mRNA : E4.2.1.11_mRNA</v>
      </c>
      <c r="H256" s="76" t="str">
        <f t="shared" si="516"/>
        <v>E4.2.1.11 : E4.2.1.11</v>
      </c>
      <c r="I256" s="77" t="str">
        <f t="shared" ref="I256:J256" si="517">CONCATENATE(C256," : ","0")</f>
        <v>E4.2.1.11_mRNA : 0</v>
      </c>
      <c r="J256" s="78" t="str">
        <f t="shared" si="517"/>
        <v>E4.2.1.11 : 0</v>
      </c>
      <c r="K256" s="79" t="str">
        <f t="shared" si="6"/>
        <v>0.00292 - (0.0093 * E4.2.1.11_mRNA)</v>
      </c>
      <c r="L256" s="75" t="str">
        <f t="shared" si="7"/>
        <v>(0.278 * E4.2.1.11_mRNA) - (0.00000278 * E4.2.1.11)</v>
      </c>
      <c r="M256" s="80" t="str">
        <f t="shared" si="8"/>
        <v>mRNA255: -&gt; E4.2.1.11_mRNA | 0.00292 - (0.0093 * E4.2.1.11_mRNA)</v>
      </c>
      <c r="N256" s="73" t="str">
        <f t="shared" si="9"/>
        <v>Peptide255: E4.2.1.11_mRNA -&gt; E4.2.1.11 | (0.278 * E4.2.1.11_mRNA) - (0.000000278 * E4.2.1.11)</v>
      </c>
    </row>
    <row r="257" spans="1:14" ht="25">
      <c r="A257" s="70">
        <v>256</v>
      </c>
      <c r="B257" s="81" t="s">
        <v>17258</v>
      </c>
      <c r="C257" s="72" t="str">
        <f t="shared" ref="C257:C357" si="518">CONCATENATE(D257,"_mRNA")</f>
        <v>E4.2.1.113_mRNA</v>
      </c>
      <c r="D257" s="72" t="str">
        <f t="shared" ref="D257:D357" si="519">CONCATENATE("E",B257)</f>
        <v>E4.2.1.113</v>
      </c>
      <c r="E257" s="73" t="str">
        <f t="shared" ref="E257:E357" si="520">CONCATENATE("E",B257,"_kcat : 13.7")</f>
        <v>E4.2.1.113_kcat : 13.7</v>
      </c>
      <c r="F257" s="74" t="str">
        <f t="shared" ref="F257:F357" si="521">CONCATENATE("E",B257,"_km : 1")</f>
        <v>E4.2.1.113_km : 1</v>
      </c>
      <c r="G257" s="75" t="str">
        <f t="shared" ref="G257:H257" si="522">CONCATENATE(C257," : ",C257)</f>
        <v>E4.2.1.113_mRNA : E4.2.1.113_mRNA</v>
      </c>
      <c r="H257" s="76" t="str">
        <f t="shared" si="522"/>
        <v>E4.2.1.113 : E4.2.1.113</v>
      </c>
      <c r="I257" s="77" t="str">
        <f t="shared" ref="I257:J257" si="523">CONCATENATE(C257," : ","0")</f>
        <v>E4.2.1.113_mRNA : 0</v>
      </c>
      <c r="J257" s="78" t="str">
        <f t="shared" si="523"/>
        <v>E4.2.1.113 : 0</v>
      </c>
      <c r="K257" s="79" t="str">
        <f t="shared" ref="K257:K357" si="524">CONCATENATE("0.00292 - (0.0093 * ",C257,")")</f>
        <v>0.00292 - (0.0093 * E4.2.1.113_mRNA)</v>
      </c>
      <c r="L257" s="75" t="str">
        <f t="shared" ref="L257:L357" si="525">CONCATENATE("(0.278 * ",C257,")"," - (0.00000278 * ",D257,")")</f>
        <v>(0.278 * E4.2.1.113_mRNA) - (0.00000278 * E4.2.1.113)</v>
      </c>
      <c r="M257" s="80" t="str">
        <f t="shared" ref="M257:M357" si="526">CONCATENATE("mRNA",A257,": -&gt; ",C257," | ","0.00292"," - ","(","0.0093"," * ",C257,")")</f>
        <v>mRNA256: -&gt; E4.2.1.113_mRNA | 0.00292 - (0.0093 * E4.2.1.113_mRNA)</v>
      </c>
      <c r="N257" s="73" t="str">
        <f t="shared" ref="N257:N357" si="527">CONCATENATE("Peptide",A257,": ",C257," -&gt; ",D257," | ","(","0.278"," * ",C257,")"," - ","(","0.000000278"," * ",D257,")")</f>
        <v>Peptide256: E4.2.1.113_mRNA -&gt; E4.2.1.113 | (0.278 * E4.2.1.113_mRNA) - (0.000000278 * E4.2.1.113)</v>
      </c>
    </row>
    <row r="258" spans="1:14" ht="25">
      <c r="A258" s="70">
        <v>257</v>
      </c>
      <c r="B258" s="81" t="s">
        <v>17259</v>
      </c>
      <c r="C258" s="72" t="str">
        <f t="shared" si="518"/>
        <v>E4.2.1.126_mRNA</v>
      </c>
      <c r="D258" s="72" t="str">
        <f t="shared" si="519"/>
        <v>E4.2.1.126</v>
      </c>
      <c r="E258" s="73" t="str">
        <f t="shared" si="520"/>
        <v>E4.2.1.126_kcat : 13.7</v>
      </c>
      <c r="F258" s="74" t="str">
        <f t="shared" si="521"/>
        <v>E4.2.1.126_km : 1</v>
      </c>
      <c r="G258" s="75" t="str">
        <f t="shared" ref="G258:H258" si="528">CONCATENATE(C258," : ",C258)</f>
        <v>E4.2.1.126_mRNA : E4.2.1.126_mRNA</v>
      </c>
      <c r="H258" s="76" t="str">
        <f t="shared" si="528"/>
        <v>E4.2.1.126 : E4.2.1.126</v>
      </c>
      <c r="I258" s="77" t="str">
        <f t="shared" ref="I258:J258" si="529">CONCATENATE(C258," : ","0")</f>
        <v>E4.2.1.126_mRNA : 0</v>
      </c>
      <c r="J258" s="78" t="str">
        <f t="shared" si="529"/>
        <v>E4.2.1.126 : 0</v>
      </c>
      <c r="K258" s="79" t="str">
        <f t="shared" si="524"/>
        <v>0.00292 - (0.0093 * E4.2.1.126_mRNA)</v>
      </c>
      <c r="L258" s="75" t="str">
        <f t="shared" si="525"/>
        <v>(0.278 * E4.2.1.126_mRNA) - (0.00000278 * E4.2.1.126)</v>
      </c>
      <c r="M258" s="80" t="str">
        <f t="shared" si="526"/>
        <v>mRNA257: -&gt; E4.2.1.126_mRNA | 0.00292 - (0.0093 * E4.2.1.126_mRNA)</v>
      </c>
      <c r="N258" s="73" t="str">
        <f t="shared" si="527"/>
        <v>Peptide257: E4.2.1.126_mRNA -&gt; E4.2.1.126 | (0.278 * E4.2.1.126_mRNA) - (0.000000278 * E4.2.1.126)</v>
      </c>
    </row>
    <row r="259" spans="1:14" ht="25">
      <c r="A259" s="70">
        <v>258</v>
      </c>
      <c r="B259" s="81" t="s">
        <v>17260</v>
      </c>
      <c r="C259" s="72" t="str">
        <f t="shared" si="518"/>
        <v>E4.2.1.19_mRNA</v>
      </c>
      <c r="D259" s="72" t="str">
        <f t="shared" si="519"/>
        <v>E4.2.1.19</v>
      </c>
      <c r="E259" s="73" t="str">
        <f t="shared" si="520"/>
        <v>E4.2.1.19_kcat : 13.7</v>
      </c>
      <c r="F259" s="74" t="str">
        <f t="shared" si="521"/>
        <v>E4.2.1.19_km : 1</v>
      </c>
      <c r="G259" s="75" t="str">
        <f t="shared" ref="G259:H259" si="530">CONCATENATE(C259," : ",C259)</f>
        <v>E4.2.1.19_mRNA : E4.2.1.19_mRNA</v>
      </c>
      <c r="H259" s="76" t="str">
        <f t="shared" si="530"/>
        <v>E4.2.1.19 : E4.2.1.19</v>
      </c>
      <c r="I259" s="77" t="str">
        <f t="shared" ref="I259:J259" si="531">CONCATENATE(C259," : ","0")</f>
        <v>E4.2.1.19_mRNA : 0</v>
      </c>
      <c r="J259" s="78" t="str">
        <f t="shared" si="531"/>
        <v>E4.2.1.19 : 0</v>
      </c>
      <c r="K259" s="79" t="str">
        <f t="shared" si="524"/>
        <v>0.00292 - (0.0093 * E4.2.1.19_mRNA)</v>
      </c>
      <c r="L259" s="75" t="str">
        <f t="shared" si="525"/>
        <v>(0.278 * E4.2.1.19_mRNA) - (0.00000278 * E4.2.1.19)</v>
      </c>
      <c r="M259" s="80" t="str">
        <f t="shared" si="526"/>
        <v>mRNA258: -&gt; E4.2.1.19_mRNA | 0.00292 - (0.0093 * E4.2.1.19_mRNA)</v>
      </c>
      <c r="N259" s="73" t="str">
        <f t="shared" si="527"/>
        <v>Peptide258: E4.2.1.19_mRNA -&gt; E4.2.1.19 | (0.278 * E4.2.1.19_mRNA) - (0.000000278 * E4.2.1.19)</v>
      </c>
    </row>
    <row r="260" spans="1:14" ht="25">
      <c r="A260" s="70">
        <v>259</v>
      </c>
      <c r="B260" s="81" t="s">
        <v>17261</v>
      </c>
      <c r="C260" s="72" t="str">
        <f t="shared" si="518"/>
        <v>E4.2.1.2_mRNA</v>
      </c>
      <c r="D260" s="72" t="str">
        <f t="shared" si="519"/>
        <v>E4.2.1.2</v>
      </c>
      <c r="E260" s="73" t="str">
        <f t="shared" si="520"/>
        <v>E4.2.1.2_kcat : 13.7</v>
      </c>
      <c r="F260" s="74" t="str">
        <f t="shared" si="521"/>
        <v>E4.2.1.2_km : 1</v>
      </c>
      <c r="G260" s="75" t="str">
        <f t="shared" ref="G260:H260" si="532">CONCATENATE(C260," : ",C260)</f>
        <v>E4.2.1.2_mRNA : E4.2.1.2_mRNA</v>
      </c>
      <c r="H260" s="76" t="str">
        <f t="shared" si="532"/>
        <v>E4.2.1.2 : E4.2.1.2</v>
      </c>
      <c r="I260" s="77" t="str">
        <f t="shared" ref="I260:J260" si="533">CONCATENATE(C260," : ","0")</f>
        <v>E4.2.1.2_mRNA : 0</v>
      </c>
      <c r="J260" s="78" t="str">
        <f t="shared" si="533"/>
        <v>E4.2.1.2 : 0</v>
      </c>
      <c r="K260" s="79" t="str">
        <f t="shared" si="524"/>
        <v>0.00292 - (0.0093 * E4.2.1.2_mRNA)</v>
      </c>
      <c r="L260" s="75" t="str">
        <f t="shared" si="525"/>
        <v>(0.278 * E4.2.1.2_mRNA) - (0.00000278 * E4.2.1.2)</v>
      </c>
      <c r="M260" s="80" t="str">
        <f t="shared" si="526"/>
        <v>mRNA259: -&gt; E4.2.1.2_mRNA | 0.00292 - (0.0093 * E4.2.1.2_mRNA)</v>
      </c>
      <c r="N260" s="73" t="str">
        <f t="shared" si="527"/>
        <v>Peptide259: E4.2.1.2_mRNA -&gt; E4.2.1.2 | (0.278 * E4.2.1.2_mRNA) - (0.000000278 * E4.2.1.2)</v>
      </c>
    </row>
    <row r="261" spans="1:14" ht="25">
      <c r="A261" s="70">
        <v>260</v>
      </c>
      <c r="B261" s="81" t="s">
        <v>17262</v>
      </c>
      <c r="C261" s="72" t="str">
        <f t="shared" si="518"/>
        <v>E4.2.1.20_mRNA</v>
      </c>
      <c r="D261" s="72" t="str">
        <f t="shared" si="519"/>
        <v>E4.2.1.20</v>
      </c>
      <c r="E261" s="73" t="str">
        <f t="shared" si="520"/>
        <v>E4.2.1.20_kcat : 13.7</v>
      </c>
      <c r="F261" s="74" t="str">
        <f t="shared" si="521"/>
        <v>E4.2.1.20_km : 1</v>
      </c>
      <c r="G261" s="75" t="str">
        <f t="shared" ref="G261:H261" si="534">CONCATENATE(C261," : ",C261)</f>
        <v>E4.2.1.20_mRNA : E4.2.1.20_mRNA</v>
      </c>
      <c r="H261" s="76" t="str">
        <f t="shared" si="534"/>
        <v>E4.2.1.20 : E4.2.1.20</v>
      </c>
      <c r="I261" s="77" t="str">
        <f t="shared" ref="I261:J261" si="535">CONCATENATE(C261," : ","0")</f>
        <v>E4.2.1.20_mRNA : 0</v>
      </c>
      <c r="J261" s="78" t="str">
        <f t="shared" si="535"/>
        <v>E4.2.1.20 : 0</v>
      </c>
      <c r="K261" s="79" t="str">
        <f t="shared" si="524"/>
        <v>0.00292 - (0.0093 * E4.2.1.20_mRNA)</v>
      </c>
      <c r="L261" s="75" t="str">
        <f t="shared" si="525"/>
        <v>(0.278 * E4.2.1.20_mRNA) - (0.00000278 * E4.2.1.20)</v>
      </c>
      <c r="M261" s="80" t="str">
        <f t="shared" si="526"/>
        <v>mRNA260: -&gt; E4.2.1.20_mRNA | 0.00292 - (0.0093 * E4.2.1.20_mRNA)</v>
      </c>
      <c r="N261" s="73" t="str">
        <f t="shared" si="527"/>
        <v>Peptide260: E4.2.1.20_mRNA -&gt; E4.2.1.20 | (0.278 * E4.2.1.20_mRNA) - (0.000000278 * E4.2.1.20)</v>
      </c>
    </row>
    <row r="262" spans="1:14" ht="25">
      <c r="A262" s="70">
        <v>261</v>
      </c>
      <c r="B262" s="81" t="s">
        <v>17263</v>
      </c>
      <c r="C262" s="72" t="str">
        <f t="shared" si="518"/>
        <v>E4.2.1.44_mRNA</v>
      </c>
      <c r="D262" s="72" t="str">
        <f t="shared" si="519"/>
        <v>E4.2.1.44</v>
      </c>
      <c r="E262" s="73" t="str">
        <f t="shared" si="520"/>
        <v>E4.2.1.44_kcat : 13.7</v>
      </c>
      <c r="F262" s="74" t="str">
        <f t="shared" si="521"/>
        <v>E4.2.1.44_km : 1</v>
      </c>
      <c r="G262" s="75" t="str">
        <f t="shared" ref="G262:H262" si="536">CONCATENATE(C262," : ",C262)</f>
        <v>E4.2.1.44_mRNA : E4.2.1.44_mRNA</v>
      </c>
      <c r="H262" s="76" t="str">
        <f t="shared" si="536"/>
        <v>E4.2.1.44 : E4.2.1.44</v>
      </c>
      <c r="I262" s="77" t="str">
        <f t="shared" ref="I262:J262" si="537">CONCATENATE(C262," : ","0")</f>
        <v>E4.2.1.44_mRNA : 0</v>
      </c>
      <c r="J262" s="78" t="str">
        <f t="shared" si="537"/>
        <v>E4.2.1.44 : 0</v>
      </c>
      <c r="K262" s="79" t="str">
        <f t="shared" si="524"/>
        <v>0.00292 - (0.0093 * E4.2.1.44_mRNA)</v>
      </c>
      <c r="L262" s="75" t="str">
        <f t="shared" si="525"/>
        <v>(0.278 * E4.2.1.44_mRNA) - (0.00000278 * E4.2.1.44)</v>
      </c>
      <c r="M262" s="80" t="str">
        <f t="shared" si="526"/>
        <v>mRNA261: -&gt; E4.2.1.44_mRNA | 0.00292 - (0.0093 * E4.2.1.44_mRNA)</v>
      </c>
      <c r="N262" s="73" t="str">
        <f t="shared" si="527"/>
        <v>Peptide261: E4.2.1.44_mRNA -&gt; E4.2.1.44 | (0.278 * E4.2.1.44_mRNA) - (0.000000278 * E4.2.1.44)</v>
      </c>
    </row>
    <row r="263" spans="1:14" ht="25">
      <c r="A263" s="70">
        <v>262</v>
      </c>
      <c r="B263" s="81" t="s">
        <v>17264</v>
      </c>
      <c r="C263" s="72" t="str">
        <f t="shared" si="518"/>
        <v>E4.2.1.53_mRNA</v>
      </c>
      <c r="D263" s="72" t="str">
        <f t="shared" si="519"/>
        <v>E4.2.1.53</v>
      </c>
      <c r="E263" s="73" t="str">
        <f t="shared" si="520"/>
        <v>E4.2.1.53_kcat : 13.7</v>
      </c>
      <c r="F263" s="74" t="str">
        <f t="shared" si="521"/>
        <v>E4.2.1.53_km : 1</v>
      </c>
      <c r="G263" s="75" t="str">
        <f t="shared" ref="G263:H263" si="538">CONCATENATE(C263," : ",C263)</f>
        <v>E4.2.1.53_mRNA : E4.2.1.53_mRNA</v>
      </c>
      <c r="H263" s="76" t="str">
        <f t="shared" si="538"/>
        <v>E4.2.1.53 : E4.2.1.53</v>
      </c>
      <c r="I263" s="77" t="str">
        <f t="shared" ref="I263:J263" si="539">CONCATENATE(C263," : ","0")</f>
        <v>E4.2.1.53_mRNA : 0</v>
      </c>
      <c r="J263" s="78" t="str">
        <f t="shared" si="539"/>
        <v>E4.2.1.53 : 0</v>
      </c>
      <c r="K263" s="79" t="str">
        <f t="shared" si="524"/>
        <v>0.00292 - (0.0093 * E4.2.1.53_mRNA)</v>
      </c>
      <c r="L263" s="75" t="str">
        <f t="shared" si="525"/>
        <v>(0.278 * E4.2.1.53_mRNA) - (0.00000278 * E4.2.1.53)</v>
      </c>
      <c r="M263" s="80" t="str">
        <f t="shared" si="526"/>
        <v>mRNA262: -&gt; E4.2.1.53_mRNA | 0.00292 - (0.0093 * E4.2.1.53_mRNA)</v>
      </c>
      <c r="N263" s="73" t="str">
        <f t="shared" si="527"/>
        <v>Peptide262: E4.2.1.53_mRNA -&gt; E4.2.1.53 | (0.278 * E4.2.1.53_mRNA) - (0.000000278 * E4.2.1.53)</v>
      </c>
    </row>
    <row r="264" spans="1:14" ht="25">
      <c r="A264" s="70">
        <v>263</v>
      </c>
      <c r="B264" s="72" t="s">
        <v>8296</v>
      </c>
      <c r="C264" s="72" t="str">
        <f t="shared" si="518"/>
        <v>E4.2.1.59_mRNA</v>
      </c>
      <c r="D264" s="72" t="str">
        <f t="shared" si="519"/>
        <v>E4.2.1.59</v>
      </c>
      <c r="E264" s="73" t="str">
        <f t="shared" si="520"/>
        <v>E4.2.1.59_kcat : 13.7</v>
      </c>
      <c r="F264" s="74" t="str">
        <f t="shared" si="521"/>
        <v>E4.2.1.59_km : 1</v>
      </c>
      <c r="G264" s="75" t="str">
        <f t="shared" ref="G264:H264" si="540">CONCATENATE(C264," : ",C264)</f>
        <v>E4.2.1.59_mRNA : E4.2.1.59_mRNA</v>
      </c>
      <c r="H264" s="76" t="str">
        <f t="shared" si="540"/>
        <v>E4.2.1.59 : E4.2.1.59</v>
      </c>
      <c r="I264" s="77" t="str">
        <f t="shared" ref="I264:J264" si="541">CONCATENATE(C264," : ","0")</f>
        <v>E4.2.1.59_mRNA : 0</v>
      </c>
      <c r="J264" s="78" t="str">
        <f t="shared" si="541"/>
        <v>E4.2.1.59 : 0</v>
      </c>
      <c r="K264" s="79" t="str">
        <f t="shared" si="524"/>
        <v>0.00292 - (0.0093 * E4.2.1.59_mRNA)</v>
      </c>
      <c r="L264" s="75" t="str">
        <f t="shared" si="525"/>
        <v>(0.278 * E4.2.1.59_mRNA) - (0.00000278 * E4.2.1.59)</v>
      </c>
      <c r="M264" s="80" t="str">
        <f t="shared" si="526"/>
        <v>mRNA263: -&gt; E4.2.1.59_mRNA | 0.00292 - (0.0093 * E4.2.1.59_mRNA)</v>
      </c>
      <c r="N264" s="73" t="str">
        <f t="shared" si="527"/>
        <v>Peptide263: E4.2.1.59_mRNA -&gt; E4.2.1.59 | (0.278 * E4.2.1.59_mRNA) - (0.000000278 * E4.2.1.59)</v>
      </c>
    </row>
    <row r="265" spans="1:14" ht="25">
      <c r="A265" s="70">
        <v>264</v>
      </c>
      <c r="B265" s="81" t="s">
        <v>17265</v>
      </c>
      <c r="C265" s="72" t="str">
        <f t="shared" si="518"/>
        <v>E4.2.3.1_mRNA</v>
      </c>
      <c r="D265" s="72" t="str">
        <f t="shared" si="519"/>
        <v>E4.2.3.1</v>
      </c>
      <c r="E265" s="73" t="str">
        <f t="shared" si="520"/>
        <v>E4.2.3.1_kcat : 13.7</v>
      </c>
      <c r="F265" s="74" t="str">
        <f t="shared" si="521"/>
        <v>E4.2.3.1_km : 1</v>
      </c>
      <c r="G265" s="75" t="str">
        <f t="shared" ref="G265:H265" si="542">CONCATENATE(C265," : ",C265)</f>
        <v>E4.2.3.1_mRNA : E4.2.3.1_mRNA</v>
      </c>
      <c r="H265" s="76" t="str">
        <f t="shared" si="542"/>
        <v>E4.2.3.1 : E4.2.3.1</v>
      </c>
      <c r="I265" s="77" t="str">
        <f t="shared" ref="I265:J265" si="543">CONCATENATE(C265," : ","0")</f>
        <v>E4.2.3.1_mRNA : 0</v>
      </c>
      <c r="J265" s="78" t="str">
        <f t="shared" si="543"/>
        <v>E4.2.3.1 : 0</v>
      </c>
      <c r="K265" s="79" t="str">
        <f t="shared" si="524"/>
        <v>0.00292 - (0.0093 * E4.2.3.1_mRNA)</v>
      </c>
      <c r="L265" s="75" t="str">
        <f t="shared" si="525"/>
        <v>(0.278 * E4.2.3.1_mRNA) - (0.00000278 * E4.2.3.1)</v>
      </c>
      <c r="M265" s="80" t="str">
        <f t="shared" si="526"/>
        <v>mRNA264: -&gt; E4.2.3.1_mRNA | 0.00292 - (0.0093 * E4.2.3.1_mRNA)</v>
      </c>
      <c r="N265" s="73" t="str">
        <f t="shared" si="527"/>
        <v>Peptide264: E4.2.3.1_mRNA -&gt; E4.2.3.1 | (0.278 * E4.2.3.1_mRNA) - (0.000000278 * E4.2.3.1)</v>
      </c>
    </row>
    <row r="266" spans="1:14" ht="25">
      <c r="A266" s="70">
        <v>265</v>
      </c>
      <c r="B266" s="81" t="s">
        <v>17266</v>
      </c>
      <c r="C266" s="72" t="str">
        <f t="shared" si="518"/>
        <v>E4.2.99.18_mRNA</v>
      </c>
      <c r="D266" s="72" t="str">
        <f t="shared" si="519"/>
        <v>E4.2.99.18</v>
      </c>
      <c r="E266" s="73" t="str">
        <f t="shared" si="520"/>
        <v>E4.2.99.18_kcat : 13.7</v>
      </c>
      <c r="F266" s="74" t="str">
        <f t="shared" si="521"/>
        <v>E4.2.99.18_km : 1</v>
      </c>
      <c r="G266" s="75" t="str">
        <f t="shared" ref="G266:H266" si="544">CONCATENATE(C266," : ",C266)</f>
        <v>E4.2.99.18_mRNA : E4.2.99.18_mRNA</v>
      </c>
      <c r="H266" s="76" t="str">
        <f t="shared" si="544"/>
        <v>E4.2.99.18 : E4.2.99.18</v>
      </c>
      <c r="I266" s="77" t="str">
        <f t="shared" ref="I266:J266" si="545">CONCATENATE(C266," : ","0")</f>
        <v>E4.2.99.18_mRNA : 0</v>
      </c>
      <c r="J266" s="78" t="str">
        <f t="shared" si="545"/>
        <v>E4.2.99.18 : 0</v>
      </c>
      <c r="K266" s="79" t="str">
        <f t="shared" si="524"/>
        <v>0.00292 - (0.0093 * E4.2.99.18_mRNA)</v>
      </c>
      <c r="L266" s="75" t="str">
        <f t="shared" si="525"/>
        <v>(0.278 * E4.2.99.18_mRNA) - (0.00000278 * E4.2.99.18)</v>
      </c>
      <c r="M266" s="80" t="str">
        <f t="shared" si="526"/>
        <v>mRNA265: -&gt; E4.2.99.18_mRNA | 0.00292 - (0.0093 * E4.2.99.18_mRNA)</v>
      </c>
      <c r="N266" s="73" t="str">
        <f t="shared" si="527"/>
        <v>Peptide265: E4.2.99.18_mRNA -&gt; E4.2.99.18 | (0.278 * E4.2.99.18_mRNA) - (0.000000278 * E4.2.99.18)</v>
      </c>
    </row>
    <row r="267" spans="1:14" ht="25">
      <c r="A267" s="70">
        <v>266</v>
      </c>
      <c r="B267" s="81" t="s">
        <v>17267</v>
      </c>
      <c r="C267" s="72" t="str">
        <f t="shared" si="518"/>
        <v>E4.3.1.17_mRNA</v>
      </c>
      <c r="D267" s="72" t="str">
        <f t="shared" si="519"/>
        <v>E4.3.1.17</v>
      </c>
      <c r="E267" s="73" t="str">
        <f t="shared" si="520"/>
        <v>E4.3.1.17_kcat : 13.7</v>
      </c>
      <c r="F267" s="74" t="str">
        <f t="shared" si="521"/>
        <v>E4.3.1.17_km : 1</v>
      </c>
      <c r="G267" s="75" t="str">
        <f t="shared" ref="G267:H267" si="546">CONCATENATE(C267," : ",C267)</f>
        <v>E4.3.1.17_mRNA : E4.3.1.17_mRNA</v>
      </c>
      <c r="H267" s="76" t="str">
        <f t="shared" si="546"/>
        <v>E4.3.1.17 : E4.3.1.17</v>
      </c>
      <c r="I267" s="77" t="str">
        <f t="shared" ref="I267:J267" si="547">CONCATENATE(C267," : ","0")</f>
        <v>E4.3.1.17_mRNA : 0</v>
      </c>
      <c r="J267" s="78" t="str">
        <f t="shared" si="547"/>
        <v>E4.3.1.17 : 0</v>
      </c>
      <c r="K267" s="79" t="str">
        <f t="shared" si="524"/>
        <v>0.00292 - (0.0093 * E4.3.1.17_mRNA)</v>
      </c>
      <c r="L267" s="75" t="str">
        <f t="shared" si="525"/>
        <v>(0.278 * E4.3.1.17_mRNA) - (0.00000278 * E4.3.1.17)</v>
      </c>
      <c r="M267" s="80" t="str">
        <f t="shared" si="526"/>
        <v>mRNA266: -&gt; E4.3.1.17_mRNA | 0.00292 - (0.0093 * E4.3.1.17_mRNA)</v>
      </c>
      <c r="N267" s="73" t="str">
        <f t="shared" si="527"/>
        <v>Peptide266: E4.3.1.17_mRNA -&gt; E4.3.1.17 | (0.278 * E4.3.1.17_mRNA) - (0.000000278 * E4.3.1.17)</v>
      </c>
    </row>
    <row r="268" spans="1:14" ht="25">
      <c r="A268" s="70">
        <v>267</v>
      </c>
      <c r="B268" s="81" t="s">
        <v>17268</v>
      </c>
      <c r="C268" s="72" t="str">
        <f t="shared" si="518"/>
        <v>E4.3.2.1_mRNA</v>
      </c>
      <c r="D268" s="72" t="str">
        <f t="shared" si="519"/>
        <v>E4.3.2.1</v>
      </c>
      <c r="E268" s="73" t="str">
        <f t="shared" si="520"/>
        <v>E4.3.2.1_kcat : 13.7</v>
      </c>
      <c r="F268" s="74" t="str">
        <f t="shared" si="521"/>
        <v>E4.3.2.1_km : 1</v>
      </c>
      <c r="G268" s="75" t="str">
        <f t="shared" ref="G268:H268" si="548">CONCATENATE(C268," : ",C268)</f>
        <v>E4.3.2.1_mRNA : E4.3.2.1_mRNA</v>
      </c>
      <c r="H268" s="76" t="str">
        <f t="shared" si="548"/>
        <v>E4.3.2.1 : E4.3.2.1</v>
      </c>
      <c r="I268" s="77" t="str">
        <f t="shared" ref="I268:J268" si="549">CONCATENATE(C268," : ","0")</f>
        <v>E4.3.2.1_mRNA : 0</v>
      </c>
      <c r="J268" s="78" t="str">
        <f t="shared" si="549"/>
        <v>E4.3.2.1 : 0</v>
      </c>
      <c r="K268" s="79" t="str">
        <f t="shared" si="524"/>
        <v>0.00292 - (0.0093 * E4.3.2.1_mRNA)</v>
      </c>
      <c r="L268" s="75" t="str">
        <f t="shared" si="525"/>
        <v>(0.278 * E4.3.2.1_mRNA) - (0.00000278 * E4.3.2.1)</v>
      </c>
      <c r="M268" s="80" t="str">
        <f t="shared" si="526"/>
        <v>mRNA267: -&gt; E4.3.2.1_mRNA | 0.00292 - (0.0093 * E4.3.2.1_mRNA)</v>
      </c>
      <c r="N268" s="73" t="str">
        <f t="shared" si="527"/>
        <v>Peptide267: E4.3.2.1_mRNA -&gt; E4.3.2.1 | (0.278 * E4.3.2.1_mRNA) - (0.000000278 * E4.3.2.1)</v>
      </c>
    </row>
    <row r="269" spans="1:14" ht="25">
      <c r="A269" s="70">
        <v>268</v>
      </c>
      <c r="B269" s="81" t="s">
        <v>17269</v>
      </c>
      <c r="C269" s="72" t="str">
        <f t="shared" si="518"/>
        <v>E4.3.2.10_mRNA</v>
      </c>
      <c r="D269" s="72" t="str">
        <f t="shared" si="519"/>
        <v>E4.3.2.10</v>
      </c>
      <c r="E269" s="73" t="str">
        <f t="shared" si="520"/>
        <v>E4.3.2.10_kcat : 13.7</v>
      </c>
      <c r="F269" s="74" t="str">
        <f t="shared" si="521"/>
        <v>E4.3.2.10_km : 1</v>
      </c>
      <c r="G269" s="75" t="str">
        <f t="shared" ref="G269:H269" si="550">CONCATENATE(C269," : ",C269)</f>
        <v>E4.3.2.10_mRNA : E4.3.2.10_mRNA</v>
      </c>
      <c r="H269" s="76" t="str">
        <f t="shared" si="550"/>
        <v>E4.3.2.10 : E4.3.2.10</v>
      </c>
      <c r="I269" s="77" t="str">
        <f t="shared" ref="I269:J269" si="551">CONCATENATE(C269," : ","0")</f>
        <v>E4.3.2.10_mRNA : 0</v>
      </c>
      <c r="J269" s="78" t="str">
        <f t="shared" si="551"/>
        <v>E4.3.2.10 : 0</v>
      </c>
      <c r="K269" s="79" t="str">
        <f t="shared" si="524"/>
        <v>0.00292 - (0.0093 * E4.3.2.10_mRNA)</v>
      </c>
      <c r="L269" s="75" t="str">
        <f t="shared" si="525"/>
        <v>(0.278 * E4.3.2.10_mRNA) - (0.00000278 * E4.3.2.10)</v>
      </c>
      <c r="M269" s="80" t="str">
        <f t="shared" si="526"/>
        <v>mRNA268: -&gt; E4.3.2.10_mRNA | 0.00292 - (0.0093 * E4.3.2.10_mRNA)</v>
      </c>
      <c r="N269" s="73" t="str">
        <f t="shared" si="527"/>
        <v>Peptide268: E4.3.2.10_mRNA -&gt; E4.3.2.10 | (0.278 * E4.3.2.10_mRNA) - (0.000000278 * E4.3.2.10)</v>
      </c>
    </row>
    <row r="270" spans="1:14" ht="25">
      <c r="A270" s="70">
        <v>269</v>
      </c>
      <c r="B270" s="81" t="s">
        <v>17270</v>
      </c>
      <c r="C270" s="72" t="str">
        <f t="shared" si="518"/>
        <v>E4.3.2.2_mRNA</v>
      </c>
      <c r="D270" s="72" t="str">
        <f t="shared" si="519"/>
        <v>E4.3.2.2</v>
      </c>
      <c r="E270" s="73" t="str">
        <f t="shared" si="520"/>
        <v>E4.3.2.2_kcat : 13.7</v>
      </c>
      <c r="F270" s="74" t="str">
        <f t="shared" si="521"/>
        <v>E4.3.2.2_km : 1</v>
      </c>
      <c r="G270" s="75" t="str">
        <f t="shared" ref="G270:H270" si="552">CONCATENATE(C270," : ",C270)</f>
        <v>E4.3.2.2_mRNA : E4.3.2.2_mRNA</v>
      </c>
      <c r="H270" s="76" t="str">
        <f t="shared" si="552"/>
        <v>E4.3.2.2 : E4.3.2.2</v>
      </c>
      <c r="I270" s="77" t="str">
        <f t="shared" ref="I270:J270" si="553">CONCATENATE(C270," : ","0")</f>
        <v>E4.3.2.2_mRNA : 0</v>
      </c>
      <c r="J270" s="78" t="str">
        <f t="shared" si="553"/>
        <v>E4.3.2.2 : 0</v>
      </c>
      <c r="K270" s="79" t="str">
        <f t="shared" si="524"/>
        <v>0.00292 - (0.0093 * E4.3.2.2_mRNA)</v>
      </c>
      <c r="L270" s="75" t="str">
        <f t="shared" si="525"/>
        <v>(0.278 * E4.3.2.2_mRNA) - (0.00000278 * E4.3.2.2)</v>
      </c>
      <c r="M270" s="80" t="str">
        <f t="shared" si="526"/>
        <v>mRNA269: -&gt; E4.3.2.2_mRNA | 0.00292 - (0.0093 * E4.3.2.2_mRNA)</v>
      </c>
      <c r="N270" s="73" t="str">
        <f t="shared" si="527"/>
        <v>Peptide269: E4.3.2.2_mRNA -&gt; E4.3.2.2 | (0.278 * E4.3.2.2_mRNA) - (0.000000278 * E4.3.2.2)</v>
      </c>
    </row>
    <row r="271" spans="1:14" ht="25">
      <c r="A271" s="70">
        <v>270</v>
      </c>
      <c r="B271" s="81" t="s">
        <v>17271</v>
      </c>
      <c r="C271" s="72" t="str">
        <f t="shared" si="518"/>
        <v>E4.3.3.7_mRNA</v>
      </c>
      <c r="D271" s="72" t="str">
        <f t="shared" si="519"/>
        <v>E4.3.3.7</v>
      </c>
      <c r="E271" s="73" t="str">
        <f t="shared" si="520"/>
        <v>E4.3.3.7_kcat : 13.7</v>
      </c>
      <c r="F271" s="74" t="str">
        <f t="shared" si="521"/>
        <v>E4.3.3.7_km : 1</v>
      </c>
      <c r="G271" s="75" t="str">
        <f t="shared" ref="G271:H271" si="554">CONCATENATE(C271," : ",C271)</f>
        <v>E4.3.3.7_mRNA : E4.3.3.7_mRNA</v>
      </c>
      <c r="H271" s="76" t="str">
        <f t="shared" si="554"/>
        <v>E4.3.3.7 : E4.3.3.7</v>
      </c>
      <c r="I271" s="77" t="str">
        <f t="shared" ref="I271:J271" si="555">CONCATENATE(C271," : ","0")</f>
        <v>E4.3.3.7_mRNA : 0</v>
      </c>
      <c r="J271" s="78" t="str">
        <f t="shared" si="555"/>
        <v>E4.3.3.7 : 0</v>
      </c>
      <c r="K271" s="79" t="str">
        <f t="shared" si="524"/>
        <v>0.00292 - (0.0093 * E4.3.3.7_mRNA)</v>
      </c>
      <c r="L271" s="75" t="str">
        <f t="shared" si="525"/>
        <v>(0.278 * E4.3.3.7_mRNA) - (0.00000278 * E4.3.3.7)</v>
      </c>
      <c r="M271" s="80" t="str">
        <f t="shared" si="526"/>
        <v>mRNA270: -&gt; E4.3.3.7_mRNA | 0.00292 - (0.0093 * E4.3.3.7_mRNA)</v>
      </c>
      <c r="N271" s="73" t="str">
        <f t="shared" si="527"/>
        <v>Peptide270: E4.3.3.7_mRNA -&gt; E4.3.3.7 | (0.278 * E4.3.3.7_mRNA) - (0.000000278 * E4.3.3.7)</v>
      </c>
    </row>
    <row r="272" spans="1:14" ht="25">
      <c r="A272" s="70">
        <v>271</v>
      </c>
      <c r="B272" s="81" t="s">
        <v>17272</v>
      </c>
      <c r="C272" s="72" t="str">
        <f t="shared" si="518"/>
        <v>E4.4.1.13_mRNA</v>
      </c>
      <c r="D272" s="72" t="str">
        <f t="shared" si="519"/>
        <v>E4.4.1.13</v>
      </c>
      <c r="E272" s="73" t="str">
        <f t="shared" si="520"/>
        <v>E4.4.1.13_kcat : 13.7</v>
      </c>
      <c r="F272" s="74" t="str">
        <f t="shared" si="521"/>
        <v>E4.4.1.13_km : 1</v>
      </c>
      <c r="G272" s="75" t="str">
        <f t="shared" ref="G272:H272" si="556">CONCATENATE(C272," : ",C272)</f>
        <v>E4.4.1.13_mRNA : E4.4.1.13_mRNA</v>
      </c>
      <c r="H272" s="76" t="str">
        <f t="shared" si="556"/>
        <v>E4.4.1.13 : E4.4.1.13</v>
      </c>
      <c r="I272" s="77" t="str">
        <f t="shared" ref="I272:J272" si="557">CONCATENATE(C272," : ","0")</f>
        <v>E4.4.1.13_mRNA : 0</v>
      </c>
      <c r="J272" s="78" t="str">
        <f t="shared" si="557"/>
        <v>E4.4.1.13 : 0</v>
      </c>
      <c r="K272" s="79" t="str">
        <f t="shared" si="524"/>
        <v>0.00292 - (0.0093 * E4.4.1.13_mRNA)</v>
      </c>
      <c r="L272" s="75" t="str">
        <f t="shared" si="525"/>
        <v>(0.278 * E4.4.1.13_mRNA) - (0.00000278 * E4.4.1.13)</v>
      </c>
      <c r="M272" s="80" t="str">
        <f t="shared" si="526"/>
        <v>mRNA271: -&gt; E4.4.1.13_mRNA | 0.00292 - (0.0093 * E4.4.1.13_mRNA)</v>
      </c>
      <c r="N272" s="73" t="str">
        <f t="shared" si="527"/>
        <v>Peptide271: E4.4.1.13_mRNA -&gt; E4.4.1.13 | (0.278 * E4.4.1.13_mRNA) - (0.000000278 * E4.4.1.13)</v>
      </c>
    </row>
    <row r="273" spans="1:14" ht="25">
      <c r="A273" s="70">
        <v>272</v>
      </c>
      <c r="B273" s="81" t="s">
        <v>17273</v>
      </c>
      <c r="C273" s="72" t="str">
        <f t="shared" si="518"/>
        <v>E4.4.1.21_mRNA</v>
      </c>
      <c r="D273" s="72" t="str">
        <f t="shared" si="519"/>
        <v>E4.4.1.21</v>
      </c>
      <c r="E273" s="73" t="str">
        <f t="shared" si="520"/>
        <v>E4.4.1.21_kcat : 13.7</v>
      </c>
      <c r="F273" s="74" t="str">
        <f t="shared" si="521"/>
        <v>E4.4.1.21_km : 1</v>
      </c>
      <c r="G273" s="75" t="str">
        <f t="shared" ref="G273:H273" si="558">CONCATENATE(C273," : ",C273)</f>
        <v>E4.4.1.21_mRNA : E4.4.1.21_mRNA</v>
      </c>
      <c r="H273" s="76" t="str">
        <f t="shared" si="558"/>
        <v>E4.4.1.21 : E4.4.1.21</v>
      </c>
      <c r="I273" s="77" t="str">
        <f t="shared" ref="I273:J273" si="559">CONCATENATE(C273," : ","0")</f>
        <v>E4.4.1.21_mRNA : 0</v>
      </c>
      <c r="J273" s="78" t="str">
        <f t="shared" si="559"/>
        <v>E4.4.1.21 : 0</v>
      </c>
      <c r="K273" s="79" t="str">
        <f t="shared" si="524"/>
        <v>0.00292 - (0.0093 * E4.4.1.21_mRNA)</v>
      </c>
      <c r="L273" s="75" t="str">
        <f t="shared" si="525"/>
        <v>(0.278 * E4.4.1.21_mRNA) - (0.00000278 * E4.4.1.21)</v>
      </c>
      <c r="M273" s="80" t="str">
        <f t="shared" si="526"/>
        <v>mRNA272: -&gt; E4.4.1.21_mRNA | 0.00292 - (0.0093 * E4.4.1.21_mRNA)</v>
      </c>
      <c r="N273" s="73" t="str">
        <f t="shared" si="527"/>
        <v>Peptide272: E4.4.1.21_mRNA -&gt; E4.4.1.21 | (0.278 * E4.4.1.21_mRNA) - (0.000000278 * E4.4.1.21)</v>
      </c>
    </row>
    <row r="274" spans="1:14" ht="25">
      <c r="A274" s="70">
        <v>273</v>
      </c>
      <c r="B274" s="81" t="s">
        <v>17274</v>
      </c>
      <c r="C274" s="72" t="str">
        <f t="shared" si="518"/>
        <v>E5.1.1.1_mRNA</v>
      </c>
      <c r="D274" s="72" t="str">
        <f t="shared" si="519"/>
        <v>E5.1.1.1</v>
      </c>
      <c r="E274" s="73" t="str">
        <f t="shared" si="520"/>
        <v>E5.1.1.1_kcat : 13.7</v>
      </c>
      <c r="F274" s="74" t="str">
        <f t="shared" si="521"/>
        <v>E5.1.1.1_km : 1</v>
      </c>
      <c r="G274" s="75" t="str">
        <f t="shared" ref="G274:H274" si="560">CONCATENATE(C274," : ",C274)</f>
        <v>E5.1.1.1_mRNA : E5.1.1.1_mRNA</v>
      </c>
      <c r="H274" s="76" t="str">
        <f t="shared" si="560"/>
        <v>E5.1.1.1 : E5.1.1.1</v>
      </c>
      <c r="I274" s="77" t="str">
        <f t="shared" ref="I274:J274" si="561">CONCATENATE(C274," : ","0")</f>
        <v>E5.1.1.1_mRNA : 0</v>
      </c>
      <c r="J274" s="78" t="str">
        <f t="shared" si="561"/>
        <v>E5.1.1.1 : 0</v>
      </c>
      <c r="K274" s="79" t="str">
        <f t="shared" si="524"/>
        <v>0.00292 - (0.0093 * E5.1.1.1_mRNA)</v>
      </c>
      <c r="L274" s="75" t="str">
        <f t="shared" si="525"/>
        <v>(0.278 * E5.1.1.1_mRNA) - (0.00000278 * E5.1.1.1)</v>
      </c>
      <c r="M274" s="80" t="str">
        <f t="shared" si="526"/>
        <v>mRNA273: -&gt; E5.1.1.1_mRNA | 0.00292 - (0.0093 * E5.1.1.1_mRNA)</v>
      </c>
      <c r="N274" s="73" t="str">
        <f t="shared" si="527"/>
        <v>Peptide273: E5.1.1.1_mRNA -&gt; E5.1.1.1 | (0.278 * E5.1.1.1_mRNA) - (0.000000278 * E5.1.1.1)</v>
      </c>
    </row>
    <row r="275" spans="1:14" ht="25">
      <c r="A275" s="70">
        <v>274</v>
      </c>
      <c r="B275" s="81" t="s">
        <v>17275</v>
      </c>
      <c r="C275" s="72" t="str">
        <f t="shared" si="518"/>
        <v>E5.1.1.3_mRNA</v>
      </c>
      <c r="D275" s="72" t="str">
        <f t="shared" si="519"/>
        <v>E5.1.1.3</v>
      </c>
      <c r="E275" s="73" t="str">
        <f t="shared" si="520"/>
        <v>E5.1.1.3_kcat : 13.7</v>
      </c>
      <c r="F275" s="74" t="str">
        <f t="shared" si="521"/>
        <v>E5.1.1.3_km : 1</v>
      </c>
      <c r="G275" s="75" t="str">
        <f t="shared" ref="G275:H275" si="562">CONCATENATE(C275," : ",C275)</f>
        <v>E5.1.1.3_mRNA : E5.1.1.3_mRNA</v>
      </c>
      <c r="H275" s="76" t="str">
        <f t="shared" si="562"/>
        <v>E5.1.1.3 : E5.1.1.3</v>
      </c>
      <c r="I275" s="77" t="str">
        <f t="shared" ref="I275:J275" si="563">CONCATENATE(C275," : ","0")</f>
        <v>E5.1.1.3_mRNA : 0</v>
      </c>
      <c r="J275" s="78" t="str">
        <f t="shared" si="563"/>
        <v>E5.1.1.3 : 0</v>
      </c>
      <c r="K275" s="79" t="str">
        <f t="shared" si="524"/>
        <v>0.00292 - (0.0093 * E5.1.1.3_mRNA)</v>
      </c>
      <c r="L275" s="75" t="str">
        <f t="shared" si="525"/>
        <v>(0.278 * E5.1.1.3_mRNA) - (0.00000278 * E5.1.1.3)</v>
      </c>
      <c r="M275" s="80" t="str">
        <f t="shared" si="526"/>
        <v>mRNA274: -&gt; E5.1.1.3_mRNA | 0.00292 - (0.0093 * E5.1.1.3_mRNA)</v>
      </c>
      <c r="N275" s="73" t="str">
        <f t="shared" si="527"/>
        <v>Peptide274: E5.1.1.3_mRNA -&gt; E5.1.1.3 | (0.278 * E5.1.1.3_mRNA) - (0.000000278 * E5.1.1.3)</v>
      </c>
    </row>
    <row r="276" spans="1:14" ht="25">
      <c r="A276" s="70">
        <v>275</v>
      </c>
      <c r="B276" s="81" t="s">
        <v>17276</v>
      </c>
      <c r="C276" s="72" t="str">
        <f t="shared" si="518"/>
        <v>E5.1.1.7_mRNA</v>
      </c>
      <c r="D276" s="72" t="str">
        <f t="shared" si="519"/>
        <v>E5.1.1.7</v>
      </c>
      <c r="E276" s="73" t="str">
        <f t="shared" si="520"/>
        <v>E5.1.1.7_kcat : 13.7</v>
      </c>
      <c r="F276" s="74" t="str">
        <f t="shared" si="521"/>
        <v>E5.1.1.7_km : 1</v>
      </c>
      <c r="G276" s="75" t="str">
        <f t="shared" ref="G276:H276" si="564">CONCATENATE(C276," : ",C276)</f>
        <v>E5.1.1.7_mRNA : E5.1.1.7_mRNA</v>
      </c>
      <c r="H276" s="76" t="str">
        <f t="shared" si="564"/>
        <v>E5.1.1.7 : E5.1.1.7</v>
      </c>
      <c r="I276" s="77" t="str">
        <f t="shared" ref="I276:J276" si="565">CONCATENATE(C276," : ","0")</f>
        <v>E5.1.1.7_mRNA : 0</v>
      </c>
      <c r="J276" s="78" t="str">
        <f t="shared" si="565"/>
        <v>E5.1.1.7 : 0</v>
      </c>
      <c r="K276" s="79" t="str">
        <f t="shared" si="524"/>
        <v>0.00292 - (0.0093 * E5.1.1.7_mRNA)</v>
      </c>
      <c r="L276" s="75" t="str">
        <f t="shared" si="525"/>
        <v>(0.278 * E5.1.1.7_mRNA) - (0.00000278 * E5.1.1.7)</v>
      </c>
      <c r="M276" s="80" t="str">
        <f t="shared" si="526"/>
        <v>mRNA275: -&gt; E5.1.1.7_mRNA | 0.00292 - (0.0093 * E5.1.1.7_mRNA)</v>
      </c>
      <c r="N276" s="73" t="str">
        <f t="shared" si="527"/>
        <v>Peptide275: E5.1.1.7_mRNA -&gt; E5.1.1.7 | (0.278 * E5.1.1.7_mRNA) - (0.000000278 * E5.1.1.7)</v>
      </c>
    </row>
    <row r="277" spans="1:14" ht="25">
      <c r="A277" s="70">
        <v>276</v>
      </c>
      <c r="B277" s="81" t="s">
        <v>17277</v>
      </c>
      <c r="C277" s="72" t="str">
        <f t="shared" si="518"/>
        <v>E5.1.3.1_mRNA</v>
      </c>
      <c r="D277" s="72" t="str">
        <f t="shared" si="519"/>
        <v>E5.1.3.1</v>
      </c>
      <c r="E277" s="73" t="str">
        <f t="shared" si="520"/>
        <v>E5.1.3.1_kcat : 13.7</v>
      </c>
      <c r="F277" s="74" t="str">
        <f t="shared" si="521"/>
        <v>E5.1.3.1_km : 1</v>
      </c>
      <c r="G277" s="75" t="str">
        <f t="shared" ref="G277:H277" si="566">CONCATENATE(C277," : ",C277)</f>
        <v>E5.1.3.1_mRNA : E5.1.3.1_mRNA</v>
      </c>
      <c r="H277" s="76" t="str">
        <f t="shared" si="566"/>
        <v>E5.1.3.1 : E5.1.3.1</v>
      </c>
      <c r="I277" s="77" t="str">
        <f t="shared" ref="I277:J277" si="567">CONCATENATE(C277," : ","0")</f>
        <v>E5.1.3.1_mRNA : 0</v>
      </c>
      <c r="J277" s="78" t="str">
        <f t="shared" si="567"/>
        <v>E5.1.3.1 : 0</v>
      </c>
      <c r="K277" s="79" t="str">
        <f t="shared" si="524"/>
        <v>0.00292 - (0.0093 * E5.1.3.1_mRNA)</v>
      </c>
      <c r="L277" s="75" t="str">
        <f t="shared" si="525"/>
        <v>(0.278 * E5.1.3.1_mRNA) - (0.00000278 * E5.1.3.1)</v>
      </c>
      <c r="M277" s="80" t="str">
        <f t="shared" si="526"/>
        <v>mRNA276: -&gt; E5.1.3.1_mRNA | 0.00292 - (0.0093 * E5.1.3.1_mRNA)</v>
      </c>
      <c r="N277" s="73" t="str">
        <f t="shared" si="527"/>
        <v>Peptide276: E5.1.3.1_mRNA -&gt; E5.1.3.1 | (0.278 * E5.1.3.1_mRNA) - (0.000000278 * E5.1.3.1)</v>
      </c>
    </row>
    <row r="278" spans="1:14" ht="25">
      <c r="A278" s="70">
        <v>277</v>
      </c>
      <c r="B278" s="81" t="s">
        <v>17278</v>
      </c>
      <c r="C278" s="72" t="str">
        <f t="shared" si="518"/>
        <v>E5.1.3.2_mRNA</v>
      </c>
      <c r="D278" s="72" t="str">
        <f t="shared" si="519"/>
        <v>E5.1.3.2</v>
      </c>
      <c r="E278" s="73" t="str">
        <f t="shared" si="520"/>
        <v>E5.1.3.2_kcat : 13.7</v>
      </c>
      <c r="F278" s="74" t="str">
        <f t="shared" si="521"/>
        <v>E5.1.3.2_km : 1</v>
      </c>
      <c r="G278" s="75" t="str">
        <f t="shared" ref="G278:H278" si="568">CONCATENATE(C278," : ",C278)</f>
        <v>E5.1.3.2_mRNA : E5.1.3.2_mRNA</v>
      </c>
      <c r="H278" s="76" t="str">
        <f t="shared" si="568"/>
        <v>E5.1.3.2 : E5.1.3.2</v>
      </c>
      <c r="I278" s="77" t="str">
        <f t="shared" ref="I278:J278" si="569">CONCATENATE(C278," : ","0")</f>
        <v>E5.1.3.2_mRNA : 0</v>
      </c>
      <c r="J278" s="78" t="str">
        <f t="shared" si="569"/>
        <v>E5.1.3.2 : 0</v>
      </c>
      <c r="K278" s="79" t="str">
        <f t="shared" si="524"/>
        <v>0.00292 - (0.0093 * E5.1.3.2_mRNA)</v>
      </c>
      <c r="L278" s="75" t="str">
        <f t="shared" si="525"/>
        <v>(0.278 * E5.1.3.2_mRNA) - (0.00000278 * E5.1.3.2)</v>
      </c>
      <c r="M278" s="80" t="str">
        <f t="shared" si="526"/>
        <v>mRNA277: -&gt; E5.1.3.2_mRNA | 0.00292 - (0.0093 * E5.1.3.2_mRNA)</v>
      </c>
      <c r="N278" s="73" t="str">
        <f t="shared" si="527"/>
        <v>Peptide277: E5.1.3.2_mRNA -&gt; E5.1.3.2 | (0.278 * E5.1.3.2_mRNA) - (0.000000278 * E5.1.3.2)</v>
      </c>
    </row>
    <row r="279" spans="1:14" ht="25">
      <c r="A279" s="70">
        <v>278</v>
      </c>
      <c r="B279" s="81" t="s">
        <v>17279</v>
      </c>
      <c r="C279" s="72" t="str">
        <f t="shared" si="518"/>
        <v>E5.1.3.4_mRNA</v>
      </c>
      <c r="D279" s="72" t="str">
        <f t="shared" si="519"/>
        <v>E5.1.3.4</v>
      </c>
      <c r="E279" s="73" t="str">
        <f t="shared" si="520"/>
        <v>E5.1.3.4_kcat : 13.7</v>
      </c>
      <c r="F279" s="74" t="str">
        <f t="shared" si="521"/>
        <v>E5.1.3.4_km : 1</v>
      </c>
      <c r="G279" s="75" t="str">
        <f t="shared" ref="G279:H279" si="570">CONCATENATE(C279," : ",C279)</f>
        <v>E5.1.3.4_mRNA : E5.1.3.4_mRNA</v>
      </c>
      <c r="H279" s="76" t="str">
        <f t="shared" si="570"/>
        <v>E5.1.3.4 : E5.1.3.4</v>
      </c>
      <c r="I279" s="77" t="str">
        <f t="shared" ref="I279:J279" si="571">CONCATENATE(C279," : ","0")</f>
        <v>E5.1.3.4_mRNA : 0</v>
      </c>
      <c r="J279" s="78" t="str">
        <f t="shared" si="571"/>
        <v>E5.1.3.4 : 0</v>
      </c>
      <c r="K279" s="79" t="str">
        <f t="shared" si="524"/>
        <v>0.00292 - (0.0093 * E5.1.3.4_mRNA)</v>
      </c>
      <c r="L279" s="75" t="str">
        <f t="shared" si="525"/>
        <v>(0.278 * E5.1.3.4_mRNA) - (0.00000278 * E5.1.3.4)</v>
      </c>
      <c r="M279" s="80" t="str">
        <f t="shared" si="526"/>
        <v>mRNA278: -&gt; E5.1.3.4_mRNA | 0.00292 - (0.0093 * E5.1.3.4_mRNA)</v>
      </c>
      <c r="N279" s="73" t="str">
        <f t="shared" si="527"/>
        <v>Peptide278: E5.1.3.4_mRNA -&gt; E5.1.3.4 | (0.278 * E5.1.3.4_mRNA) - (0.000000278 * E5.1.3.4)</v>
      </c>
    </row>
    <row r="280" spans="1:14" ht="25">
      <c r="A280" s="70">
        <v>279</v>
      </c>
      <c r="B280" s="81" t="s">
        <v>17280</v>
      </c>
      <c r="C280" s="72" t="str">
        <f t="shared" si="518"/>
        <v>E5.2.1.8_mRNA</v>
      </c>
      <c r="D280" s="72" t="str">
        <f t="shared" si="519"/>
        <v>E5.2.1.8</v>
      </c>
      <c r="E280" s="73" t="str">
        <f t="shared" si="520"/>
        <v>E5.2.1.8_kcat : 13.7</v>
      </c>
      <c r="F280" s="74" t="str">
        <f t="shared" si="521"/>
        <v>E5.2.1.8_km : 1</v>
      </c>
      <c r="G280" s="75" t="str">
        <f t="shared" ref="G280:H280" si="572">CONCATENATE(C280," : ",C280)</f>
        <v>E5.2.1.8_mRNA : E5.2.1.8_mRNA</v>
      </c>
      <c r="H280" s="76" t="str">
        <f t="shared" si="572"/>
        <v>E5.2.1.8 : E5.2.1.8</v>
      </c>
      <c r="I280" s="77" t="str">
        <f t="shared" ref="I280:J280" si="573">CONCATENATE(C280," : ","0")</f>
        <v>E5.2.1.8_mRNA : 0</v>
      </c>
      <c r="J280" s="78" t="str">
        <f t="shared" si="573"/>
        <v>E5.2.1.8 : 0</v>
      </c>
      <c r="K280" s="79" t="str">
        <f t="shared" si="524"/>
        <v>0.00292 - (0.0093 * E5.2.1.8_mRNA)</v>
      </c>
      <c r="L280" s="75" t="str">
        <f t="shared" si="525"/>
        <v>(0.278 * E5.2.1.8_mRNA) - (0.00000278 * E5.2.1.8)</v>
      </c>
      <c r="M280" s="80" t="str">
        <f t="shared" si="526"/>
        <v>mRNA279: -&gt; E5.2.1.8_mRNA | 0.00292 - (0.0093 * E5.2.1.8_mRNA)</v>
      </c>
      <c r="N280" s="73" t="str">
        <f t="shared" si="527"/>
        <v>Peptide279: E5.2.1.8_mRNA -&gt; E5.2.1.8 | (0.278 * E5.2.1.8_mRNA) - (0.000000278 * E5.2.1.8)</v>
      </c>
    </row>
    <row r="281" spans="1:14" ht="25">
      <c r="A281" s="70">
        <v>280</v>
      </c>
      <c r="B281" s="81" t="s">
        <v>17281</v>
      </c>
      <c r="C281" s="72" t="str">
        <f t="shared" si="518"/>
        <v>E5.3.1.1_mRNA</v>
      </c>
      <c r="D281" s="72" t="str">
        <f t="shared" si="519"/>
        <v>E5.3.1.1</v>
      </c>
      <c r="E281" s="73" t="str">
        <f t="shared" si="520"/>
        <v>E5.3.1.1_kcat : 13.7</v>
      </c>
      <c r="F281" s="74" t="str">
        <f t="shared" si="521"/>
        <v>E5.3.1.1_km : 1</v>
      </c>
      <c r="G281" s="75" t="str">
        <f t="shared" ref="G281:H281" si="574">CONCATENATE(C281," : ",C281)</f>
        <v>E5.3.1.1_mRNA : E5.3.1.1_mRNA</v>
      </c>
      <c r="H281" s="76" t="str">
        <f t="shared" si="574"/>
        <v>E5.3.1.1 : E5.3.1.1</v>
      </c>
      <c r="I281" s="77" t="str">
        <f t="shared" ref="I281:J281" si="575">CONCATENATE(C281," : ","0")</f>
        <v>E5.3.1.1_mRNA : 0</v>
      </c>
      <c r="J281" s="78" t="str">
        <f t="shared" si="575"/>
        <v>E5.3.1.1 : 0</v>
      </c>
      <c r="K281" s="79" t="str">
        <f t="shared" si="524"/>
        <v>0.00292 - (0.0093 * E5.3.1.1_mRNA)</v>
      </c>
      <c r="L281" s="75" t="str">
        <f t="shared" si="525"/>
        <v>(0.278 * E5.3.1.1_mRNA) - (0.00000278 * E5.3.1.1)</v>
      </c>
      <c r="M281" s="80" t="str">
        <f t="shared" si="526"/>
        <v>mRNA280: -&gt; E5.3.1.1_mRNA | 0.00292 - (0.0093 * E5.3.1.1_mRNA)</v>
      </c>
      <c r="N281" s="73" t="str">
        <f t="shared" si="527"/>
        <v>Peptide280: E5.3.1.1_mRNA -&gt; E5.3.1.1 | (0.278 * E5.3.1.1_mRNA) - (0.000000278 * E5.3.1.1)</v>
      </c>
    </row>
    <row r="282" spans="1:14" ht="25">
      <c r="A282" s="70">
        <v>281</v>
      </c>
      <c r="B282" s="81" t="s">
        <v>17282</v>
      </c>
      <c r="C282" s="72" t="str">
        <f t="shared" si="518"/>
        <v>E5.3.1.16_mRNA</v>
      </c>
      <c r="D282" s="72" t="str">
        <f t="shared" si="519"/>
        <v>E5.3.1.16</v>
      </c>
      <c r="E282" s="73" t="str">
        <f t="shared" si="520"/>
        <v>E5.3.1.16_kcat : 13.7</v>
      </c>
      <c r="F282" s="74" t="str">
        <f t="shared" si="521"/>
        <v>E5.3.1.16_km : 1</v>
      </c>
      <c r="G282" s="75" t="str">
        <f t="shared" ref="G282:H282" si="576">CONCATENATE(C282," : ",C282)</f>
        <v>E5.3.1.16_mRNA : E5.3.1.16_mRNA</v>
      </c>
      <c r="H282" s="76" t="str">
        <f t="shared" si="576"/>
        <v>E5.3.1.16 : E5.3.1.16</v>
      </c>
      <c r="I282" s="77" t="str">
        <f t="shared" ref="I282:J282" si="577">CONCATENATE(C282," : ","0")</f>
        <v>E5.3.1.16_mRNA : 0</v>
      </c>
      <c r="J282" s="78" t="str">
        <f t="shared" si="577"/>
        <v>E5.3.1.16 : 0</v>
      </c>
      <c r="K282" s="79" t="str">
        <f t="shared" si="524"/>
        <v>0.00292 - (0.0093 * E5.3.1.16_mRNA)</v>
      </c>
      <c r="L282" s="75" t="str">
        <f t="shared" si="525"/>
        <v>(0.278 * E5.3.1.16_mRNA) - (0.00000278 * E5.3.1.16)</v>
      </c>
      <c r="M282" s="80" t="str">
        <f t="shared" si="526"/>
        <v>mRNA281: -&gt; E5.3.1.16_mRNA | 0.00292 - (0.0093 * E5.3.1.16_mRNA)</v>
      </c>
      <c r="N282" s="73" t="str">
        <f t="shared" si="527"/>
        <v>Peptide281: E5.3.1.16_mRNA -&gt; E5.3.1.16 | (0.278 * E5.3.1.16_mRNA) - (0.000000278 * E5.3.1.16)</v>
      </c>
    </row>
    <row r="283" spans="1:14" ht="25">
      <c r="A283" s="70">
        <v>282</v>
      </c>
      <c r="B283" s="81" t="s">
        <v>17283</v>
      </c>
      <c r="C283" s="72" t="str">
        <f t="shared" si="518"/>
        <v>E5.3.1.26_mRNA</v>
      </c>
      <c r="D283" s="72" t="str">
        <f t="shared" si="519"/>
        <v>E5.3.1.26</v>
      </c>
      <c r="E283" s="73" t="str">
        <f t="shared" si="520"/>
        <v>E5.3.1.26_kcat : 13.7</v>
      </c>
      <c r="F283" s="74" t="str">
        <f t="shared" si="521"/>
        <v>E5.3.1.26_km : 1</v>
      </c>
      <c r="G283" s="75" t="str">
        <f t="shared" ref="G283:H283" si="578">CONCATENATE(C283," : ",C283)</f>
        <v>E5.3.1.26_mRNA : E5.3.1.26_mRNA</v>
      </c>
      <c r="H283" s="76" t="str">
        <f t="shared" si="578"/>
        <v>E5.3.1.26 : E5.3.1.26</v>
      </c>
      <c r="I283" s="77" t="str">
        <f t="shared" ref="I283:J283" si="579">CONCATENATE(C283," : ","0")</f>
        <v>E5.3.1.26_mRNA : 0</v>
      </c>
      <c r="J283" s="78" t="str">
        <f t="shared" si="579"/>
        <v>E5.3.1.26 : 0</v>
      </c>
      <c r="K283" s="79" t="str">
        <f t="shared" si="524"/>
        <v>0.00292 - (0.0093 * E5.3.1.26_mRNA)</v>
      </c>
      <c r="L283" s="75" t="str">
        <f t="shared" si="525"/>
        <v>(0.278 * E5.3.1.26_mRNA) - (0.00000278 * E5.3.1.26)</v>
      </c>
      <c r="M283" s="80" t="str">
        <f t="shared" si="526"/>
        <v>mRNA282: -&gt; E5.3.1.26_mRNA | 0.00292 - (0.0093 * E5.3.1.26_mRNA)</v>
      </c>
      <c r="N283" s="73" t="str">
        <f t="shared" si="527"/>
        <v>Peptide282: E5.3.1.26_mRNA -&gt; E5.3.1.26 | (0.278 * E5.3.1.26_mRNA) - (0.000000278 * E5.3.1.26)</v>
      </c>
    </row>
    <row r="284" spans="1:14" ht="25">
      <c r="A284" s="70">
        <v>283</v>
      </c>
      <c r="B284" s="81" t="s">
        <v>17284</v>
      </c>
      <c r="C284" s="72" t="str">
        <f t="shared" si="518"/>
        <v>E5.3.1.27_mRNA</v>
      </c>
      <c r="D284" s="72" t="str">
        <f t="shared" si="519"/>
        <v>E5.3.1.27</v>
      </c>
      <c r="E284" s="73" t="str">
        <f t="shared" si="520"/>
        <v>E5.3.1.27_kcat : 13.7</v>
      </c>
      <c r="F284" s="74" t="str">
        <f t="shared" si="521"/>
        <v>E5.3.1.27_km : 1</v>
      </c>
      <c r="G284" s="75" t="str">
        <f t="shared" ref="G284:H284" si="580">CONCATENATE(C284," : ",C284)</f>
        <v>E5.3.1.27_mRNA : E5.3.1.27_mRNA</v>
      </c>
      <c r="H284" s="76" t="str">
        <f t="shared" si="580"/>
        <v>E5.3.1.27 : E5.3.1.27</v>
      </c>
      <c r="I284" s="77" t="str">
        <f t="shared" ref="I284:J284" si="581">CONCATENATE(C284," : ","0")</f>
        <v>E5.3.1.27_mRNA : 0</v>
      </c>
      <c r="J284" s="78" t="str">
        <f t="shared" si="581"/>
        <v>E5.3.1.27 : 0</v>
      </c>
      <c r="K284" s="79" t="str">
        <f t="shared" si="524"/>
        <v>0.00292 - (0.0093 * E5.3.1.27_mRNA)</v>
      </c>
      <c r="L284" s="75" t="str">
        <f t="shared" si="525"/>
        <v>(0.278 * E5.3.1.27_mRNA) - (0.00000278 * E5.3.1.27)</v>
      </c>
      <c r="M284" s="80" t="str">
        <f t="shared" si="526"/>
        <v>mRNA283: -&gt; E5.3.1.27_mRNA | 0.00292 - (0.0093 * E5.3.1.27_mRNA)</v>
      </c>
      <c r="N284" s="73" t="str">
        <f t="shared" si="527"/>
        <v>Peptide283: E5.3.1.27_mRNA -&gt; E5.3.1.27 | (0.278 * E5.3.1.27_mRNA) - (0.000000278 * E5.3.1.27)</v>
      </c>
    </row>
    <row r="285" spans="1:14" ht="25">
      <c r="A285" s="70">
        <v>284</v>
      </c>
      <c r="B285" s="81" t="s">
        <v>17285</v>
      </c>
      <c r="C285" s="72" t="str">
        <f t="shared" si="518"/>
        <v>E5.3.1.30_mRNA</v>
      </c>
      <c r="D285" s="72" t="str">
        <f t="shared" si="519"/>
        <v>E5.3.1.30</v>
      </c>
      <c r="E285" s="73" t="str">
        <f t="shared" si="520"/>
        <v>E5.3.1.30_kcat : 13.7</v>
      </c>
      <c r="F285" s="74" t="str">
        <f t="shared" si="521"/>
        <v>E5.3.1.30_km : 1</v>
      </c>
      <c r="G285" s="75" t="str">
        <f t="shared" ref="G285:H285" si="582">CONCATENATE(C285," : ",C285)</f>
        <v>E5.3.1.30_mRNA : E5.3.1.30_mRNA</v>
      </c>
      <c r="H285" s="76" t="str">
        <f t="shared" si="582"/>
        <v>E5.3.1.30 : E5.3.1.30</v>
      </c>
      <c r="I285" s="77" t="str">
        <f t="shared" ref="I285:J285" si="583">CONCATENATE(C285," : ","0")</f>
        <v>E5.3.1.30_mRNA : 0</v>
      </c>
      <c r="J285" s="78" t="str">
        <f t="shared" si="583"/>
        <v>E5.3.1.30 : 0</v>
      </c>
      <c r="K285" s="79" t="str">
        <f t="shared" si="524"/>
        <v>0.00292 - (0.0093 * E5.3.1.30_mRNA)</v>
      </c>
      <c r="L285" s="75" t="str">
        <f t="shared" si="525"/>
        <v>(0.278 * E5.3.1.30_mRNA) - (0.00000278 * E5.3.1.30)</v>
      </c>
      <c r="M285" s="80" t="str">
        <f t="shared" si="526"/>
        <v>mRNA284: -&gt; E5.3.1.30_mRNA | 0.00292 - (0.0093 * E5.3.1.30_mRNA)</v>
      </c>
      <c r="N285" s="73" t="str">
        <f t="shared" si="527"/>
        <v>Peptide284: E5.3.1.30_mRNA -&gt; E5.3.1.30 | (0.278 * E5.3.1.30_mRNA) - (0.000000278 * E5.3.1.30)</v>
      </c>
    </row>
    <row r="286" spans="1:14" ht="25">
      <c r="A286" s="70">
        <v>285</v>
      </c>
      <c r="B286" s="81" t="s">
        <v>17286</v>
      </c>
      <c r="C286" s="72" t="str">
        <f t="shared" si="518"/>
        <v>E5.3.1.6_mRNA</v>
      </c>
      <c r="D286" s="72" t="str">
        <f t="shared" si="519"/>
        <v>E5.3.1.6</v>
      </c>
      <c r="E286" s="73" t="str">
        <f t="shared" si="520"/>
        <v>E5.3.1.6_kcat : 13.7</v>
      </c>
      <c r="F286" s="74" t="str">
        <f t="shared" si="521"/>
        <v>E5.3.1.6_km : 1</v>
      </c>
      <c r="G286" s="75" t="str">
        <f t="shared" ref="G286:H286" si="584">CONCATENATE(C286," : ",C286)</f>
        <v>E5.3.1.6_mRNA : E5.3.1.6_mRNA</v>
      </c>
      <c r="H286" s="76" t="str">
        <f t="shared" si="584"/>
        <v>E5.3.1.6 : E5.3.1.6</v>
      </c>
      <c r="I286" s="77" t="str">
        <f t="shared" ref="I286:J286" si="585">CONCATENATE(C286," : ","0")</f>
        <v>E5.3.1.6_mRNA : 0</v>
      </c>
      <c r="J286" s="78" t="str">
        <f t="shared" si="585"/>
        <v>E5.3.1.6 : 0</v>
      </c>
      <c r="K286" s="79" t="str">
        <f t="shared" si="524"/>
        <v>0.00292 - (0.0093 * E5.3.1.6_mRNA)</v>
      </c>
      <c r="L286" s="75" t="str">
        <f t="shared" si="525"/>
        <v>(0.278 * E5.3.1.6_mRNA) - (0.00000278 * E5.3.1.6)</v>
      </c>
      <c r="M286" s="80" t="str">
        <f t="shared" si="526"/>
        <v>mRNA285: -&gt; E5.3.1.6_mRNA | 0.00292 - (0.0093 * E5.3.1.6_mRNA)</v>
      </c>
      <c r="N286" s="73" t="str">
        <f t="shared" si="527"/>
        <v>Peptide285: E5.3.1.6_mRNA -&gt; E5.3.1.6 | (0.278 * E5.3.1.6_mRNA) - (0.000000278 * E5.3.1.6)</v>
      </c>
    </row>
    <row r="287" spans="1:14" ht="25">
      <c r="A287" s="70">
        <v>286</v>
      </c>
      <c r="B287" s="81" t="s">
        <v>17287</v>
      </c>
      <c r="C287" s="72" t="str">
        <f t="shared" si="518"/>
        <v>E5.3.1.8_mRNA</v>
      </c>
      <c r="D287" s="72" t="str">
        <f t="shared" si="519"/>
        <v>E5.3.1.8</v>
      </c>
      <c r="E287" s="73" t="str">
        <f t="shared" si="520"/>
        <v>E5.3.1.8_kcat : 13.7</v>
      </c>
      <c r="F287" s="74" t="str">
        <f t="shared" si="521"/>
        <v>E5.3.1.8_km : 1</v>
      </c>
      <c r="G287" s="75" t="str">
        <f t="shared" ref="G287:H287" si="586">CONCATENATE(C287," : ",C287)</f>
        <v>E5.3.1.8_mRNA : E5.3.1.8_mRNA</v>
      </c>
      <c r="H287" s="76" t="str">
        <f t="shared" si="586"/>
        <v>E5.3.1.8 : E5.3.1.8</v>
      </c>
      <c r="I287" s="77" t="str">
        <f t="shared" ref="I287:J287" si="587">CONCATENATE(C287," : ","0")</f>
        <v>E5.3.1.8_mRNA : 0</v>
      </c>
      <c r="J287" s="78" t="str">
        <f t="shared" si="587"/>
        <v>E5.3.1.8 : 0</v>
      </c>
      <c r="K287" s="79" t="str">
        <f t="shared" si="524"/>
        <v>0.00292 - (0.0093 * E5.3.1.8_mRNA)</v>
      </c>
      <c r="L287" s="75" t="str">
        <f t="shared" si="525"/>
        <v>(0.278 * E5.3.1.8_mRNA) - (0.00000278 * E5.3.1.8)</v>
      </c>
      <c r="M287" s="80" t="str">
        <f t="shared" si="526"/>
        <v>mRNA286: -&gt; E5.3.1.8_mRNA | 0.00292 - (0.0093 * E5.3.1.8_mRNA)</v>
      </c>
      <c r="N287" s="73" t="str">
        <f t="shared" si="527"/>
        <v>Peptide286: E5.3.1.8_mRNA -&gt; E5.3.1.8 | (0.278 * E5.3.1.8_mRNA) - (0.000000278 * E5.3.1.8)</v>
      </c>
    </row>
    <row r="288" spans="1:14" ht="25">
      <c r="A288" s="70">
        <v>287</v>
      </c>
      <c r="B288" s="81" t="s">
        <v>17288</v>
      </c>
      <c r="C288" s="72" t="str">
        <f t="shared" si="518"/>
        <v>E5.3.1.9_mRNA</v>
      </c>
      <c r="D288" s="72" t="str">
        <f t="shared" si="519"/>
        <v>E5.3.1.9</v>
      </c>
      <c r="E288" s="73" t="str">
        <f t="shared" si="520"/>
        <v>E5.3.1.9_kcat : 13.7</v>
      </c>
      <c r="F288" s="74" t="str">
        <f t="shared" si="521"/>
        <v>E5.3.1.9_km : 1</v>
      </c>
      <c r="G288" s="75" t="str">
        <f t="shared" ref="G288:H288" si="588">CONCATENATE(C288," : ",C288)</f>
        <v>E5.3.1.9_mRNA : E5.3.1.9_mRNA</v>
      </c>
      <c r="H288" s="76" t="str">
        <f t="shared" si="588"/>
        <v>E5.3.1.9 : E5.3.1.9</v>
      </c>
      <c r="I288" s="77" t="str">
        <f t="shared" ref="I288:J288" si="589">CONCATENATE(C288," : ","0")</f>
        <v>E5.3.1.9_mRNA : 0</v>
      </c>
      <c r="J288" s="78" t="str">
        <f t="shared" si="589"/>
        <v>E5.3.1.9 : 0</v>
      </c>
      <c r="K288" s="79" t="str">
        <f t="shared" si="524"/>
        <v>0.00292 - (0.0093 * E5.3.1.9_mRNA)</v>
      </c>
      <c r="L288" s="75" t="str">
        <f t="shared" si="525"/>
        <v>(0.278 * E5.3.1.9_mRNA) - (0.00000278 * E5.3.1.9)</v>
      </c>
      <c r="M288" s="80" t="str">
        <f t="shared" si="526"/>
        <v>mRNA287: -&gt; E5.3.1.9_mRNA | 0.00292 - (0.0093 * E5.3.1.9_mRNA)</v>
      </c>
      <c r="N288" s="73" t="str">
        <f t="shared" si="527"/>
        <v>Peptide287: E5.3.1.9_mRNA -&gt; E5.3.1.9 | (0.278 * E5.3.1.9_mRNA) - (0.000000278 * E5.3.1.9)</v>
      </c>
    </row>
    <row r="289" spans="1:14" ht="25">
      <c r="A289" s="70">
        <v>288</v>
      </c>
      <c r="B289" s="72" t="s">
        <v>8298</v>
      </c>
      <c r="C289" s="72" t="str">
        <f t="shared" si="518"/>
        <v>E5.3.2.6_mRNA</v>
      </c>
      <c r="D289" s="72" t="str">
        <f t="shared" si="519"/>
        <v>E5.3.2.6</v>
      </c>
      <c r="E289" s="73" t="str">
        <f t="shared" si="520"/>
        <v>E5.3.2.6_kcat : 13.7</v>
      </c>
      <c r="F289" s="74" t="str">
        <f t="shared" si="521"/>
        <v>E5.3.2.6_km : 1</v>
      </c>
      <c r="G289" s="75" t="str">
        <f t="shared" ref="G289:H289" si="590">CONCATENATE(C289," : ",C289)</f>
        <v>E5.3.2.6_mRNA : E5.3.2.6_mRNA</v>
      </c>
      <c r="H289" s="76" t="str">
        <f t="shared" si="590"/>
        <v>E5.3.2.6 : E5.3.2.6</v>
      </c>
      <c r="I289" s="77" t="str">
        <f t="shared" ref="I289:J289" si="591">CONCATENATE(C289," : ","0")</f>
        <v>E5.3.2.6_mRNA : 0</v>
      </c>
      <c r="J289" s="78" t="str">
        <f t="shared" si="591"/>
        <v>E5.3.2.6 : 0</v>
      </c>
      <c r="K289" s="79" t="str">
        <f t="shared" si="524"/>
        <v>0.00292 - (0.0093 * E5.3.2.6_mRNA)</v>
      </c>
      <c r="L289" s="75" t="str">
        <f t="shared" si="525"/>
        <v>(0.278 * E5.3.2.6_mRNA) - (0.00000278 * E5.3.2.6)</v>
      </c>
      <c r="M289" s="80" t="str">
        <f t="shared" si="526"/>
        <v>mRNA288: -&gt; E5.3.2.6_mRNA | 0.00292 - (0.0093 * E5.3.2.6_mRNA)</v>
      </c>
      <c r="N289" s="73" t="str">
        <f t="shared" si="527"/>
        <v>Peptide288: E5.3.2.6_mRNA -&gt; E5.3.2.6 | (0.278 * E5.3.2.6_mRNA) - (0.000000278 * E5.3.2.6)</v>
      </c>
    </row>
    <row r="290" spans="1:14" ht="25">
      <c r="A290" s="70">
        <v>289</v>
      </c>
      <c r="B290" s="81" t="s">
        <v>17289</v>
      </c>
      <c r="C290" s="72" t="str">
        <f t="shared" si="518"/>
        <v>E5.3.3.2_mRNA</v>
      </c>
      <c r="D290" s="72" t="str">
        <f t="shared" si="519"/>
        <v>E5.3.3.2</v>
      </c>
      <c r="E290" s="73" t="str">
        <f t="shared" si="520"/>
        <v>E5.3.3.2_kcat : 13.7</v>
      </c>
      <c r="F290" s="74" t="str">
        <f t="shared" si="521"/>
        <v>E5.3.3.2_km : 1</v>
      </c>
      <c r="G290" s="75" t="str">
        <f t="shared" ref="G290:H290" si="592">CONCATENATE(C290," : ",C290)</f>
        <v>E5.3.3.2_mRNA : E5.3.3.2_mRNA</v>
      </c>
      <c r="H290" s="76" t="str">
        <f t="shared" si="592"/>
        <v>E5.3.3.2 : E5.3.3.2</v>
      </c>
      <c r="I290" s="77" t="str">
        <f t="shared" ref="I290:J290" si="593">CONCATENATE(C290," : ","0")</f>
        <v>E5.3.3.2_mRNA : 0</v>
      </c>
      <c r="J290" s="78" t="str">
        <f t="shared" si="593"/>
        <v>E5.3.3.2 : 0</v>
      </c>
      <c r="K290" s="79" t="str">
        <f t="shared" si="524"/>
        <v>0.00292 - (0.0093 * E5.3.3.2_mRNA)</v>
      </c>
      <c r="L290" s="75" t="str">
        <f t="shared" si="525"/>
        <v>(0.278 * E5.3.3.2_mRNA) - (0.00000278 * E5.3.3.2)</v>
      </c>
      <c r="M290" s="80" t="str">
        <f t="shared" si="526"/>
        <v>mRNA289: -&gt; E5.3.3.2_mRNA | 0.00292 - (0.0093 * E5.3.3.2_mRNA)</v>
      </c>
      <c r="N290" s="73" t="str">
        <f t="shared" si="527"/>
        <v>Peptide289: E5.3.3.2_mRNA -&gt; E5.3.3.2 | (0.278 * E5.3.3.2_mRNA) - (0.000000278 * E5.3.3.2)</v>
      </c>
    </row>
    <row r="291" spans="1:14" ht="25">
      <c r="A291" s="70">
        <v>290</v>
      </c>
      <c r="B291" s="81" t="s">
        <v>17290</v>
      </c>
      <c r="C291" s="72" t="str">
        <f t="shared" si="518"/>
        <v>E5.4.2.10_mRNA</v>
      </c>
      <c r="D291" s="72" t="str">
        <f t="shared" si="519"/>
        <v>E5.4.2.10</v>
      </c>
      <c r="E291" s="73" t="str">
        <f t="shared" si="520"/>
        <v>E5.4.2.10_kcat : 13.7</v>
      </c>
      <c r="F291" s="74" t="str">
        <f t="shared" si="521"/>
        <v>E5.4.2.10_km : 1</v>
      </c>
      <c r="G291" s="75" t="str">
        <f t="shared" ref="G291:H291" si="594">CONCATENATE(C291," : ",C291)</f>
        <v>E5.4.2.10_mRNA : E5.4.2.10_mRNA</v>
      </c>
      <c r="H291" s="76" t="str">
        <f t="shared" si="594"/>
        <v>E5.4.2.10 : E5.4.2.10</v>
      </c>
      <c r="I291" s="77" t="str">
        <f t="shared" ref="I291:J291" si="595">CONCATENATE(C291," : ","0")</f>
        <v>E5.4.2.10_mRNA : 0</v>
      </c>
      <c r="J291" s="78" t="str">
        <f t="shared" si="595"/>
        <v>E5.4.2.10 : 0</v>
      </c>
      <c r="K291" s="79" t="str">
        <f t="shared" si="524"/>
        <v>0.00292 - (0.0093 * E5.4.2.10_mRNA)</v>
      </c>
      <c r="L291" s="75" t="str">
        <f t="shared" si="525"/>
        <v>(0.278 * E5.4.2.10_mRNA) - (0.00000278 * E5.4.2.10)</v>
      </c>
      <c r="M291" s="80" t="str">
        <f t="shared" si="526"/>
        <v>mRNA290: -&gt; E5.4.2.10_mRNA | 0.00292 - (0.0093 * E5.4.2.10_mRNA)</v>
      </c>
      <c r="N291" s="73" t="str">
        <f t="shared" si="527"/>
        <v>Peptide290: E5.4.2.10_mRNA -&gt; E5.4.2.10 | (0.278 * E5.4.2.10_mRNA) - (0.000000278 * E5.4.2.10)</v>
      </c>
    </row>
    <row r="292" spans="1:14" ht="25">
      <c r="A292" s="70">
        <v>291</v>
      </c>
      <c r="B292" s="81" t="s">
        <v>17291</v>
      </c>
      <c r="C292" s="72" t="str">
        <f t="shared" si="518"/>
        <v>E5.4.2.11_mRNA</v>
      </c>
      <c r="D292" s="72" t="str">
        <f t="shared" si="519"/>
        <v>E5.4.2.11</v>
      </c>
      <c r="E292" s="73" t="str">
        <f t="shared" si="520"/>
        <v>E5.4.2.11_kcat : 13.7</v>
      </c>
      <c r="F292" s="74" t="str">
        <f t="shared" si="521"/>
        <v>E5.4.2.11_km : 1</v>
      </c>
      <c r="G292" s="75" t="str">
        <f t="shared" ref="G292:H292" si="596">CONCATENATE(C292," : ",C292)</f>
        <v>E5.4.2.11_mRNA : E5.4.2.11_mRNA</v>
      </c>
      <c r="H292" s="76" t="str">
        <f t="shared" si="596"/>
        <v>E5.4.2.11 : E5.4.2.11</v>
      </c>
      <c r="I292" s="77" t="str">
        <f t="shared" ref="I292:J292" si="597">CONCATENATE(C292," : ","0")</f>
        <v>E5.4.2.11_mRNA : 0</v>
      </c>
      <c r="J292" s="78" t="str">
        <f t="shared" si="597"/>
        <v>E5.4.2.11 : 0</v>
      </c>
      <c r="K292" s="79" t="str">
        <f t="shared" si="524"/>
        <v>0.00292 - (0.0093 * E5.4.2.11_mRNA)</v>
      </c>
      <c r="L292" s="75" t="str">
        <f t="shared" si="525"/>
        <v>(0.278 * E5.4.2.11_mRNA) - (0.00000278 * E5.4.2.11)</v>
      </c>
      <c r="M292" s="80" t="str">
        <f t="shared" si="526"/>
        <v>mRNA291: -&gt; E5.4.2.11_mRNA | 0.00292 - (0.0093 * E5.4.2.11_mRNA)</v>
      </c>
      <c r="N292" s="73" t="str">
        <f t="shared" si="527"/>
        <v>Peptide291: E5.4.2.11_mRNA -&gt; E5.4.2.11 | (0.278 * E5.4.2.11_mRNA) - (0.000000278 * E5.4.2.11)</v>
      </c>
    </row>
    <row r="293" spans="1:14" ht="25">
      <c r="A293" s="70">
        <v>292</v>
      </c>
      <c r="B293" s="81" t="s">
        <v>17292</v>
      </c>
      <c r="C293" s="72" t="str">
        <f t="shared" si="518"/>
        <v>E5.4.2.6_mRNA</v>
      </c>
      <c r="D293" s="72" t="str">
        <f t="shared" si="519"/>
        <v>E5.4.2.6</v>
      </c>
      <c r="E293" s="73" t="str">
        <f t="shared" si="520"/>
        <v>E5.4.2.6_kcat : 13.7</v>
      </c>
      <c r="F293" s="74" t="str">
        <f t="shared" si="521"/>
        <v>E5.4.2.6_km : 1</v>
      </c>
      <c r="G293" s="75" t="str">
        <f t="shared" ref="G293:H293" si="598">CONCATENATE(C293," : ",C293)</f>
        <v>E5.4.2.6_mRNA : E5.4.2.6_mRNA</v>
      </c>
      <c r="H293" s="76" t="str">
        <f t="shared" si="598"/>
        <v>E5.4.2.6 : E5.4.2.6</v>
      </c>
      <c r="I293" s="77" t="str">
        <f t="shared" ref="I293:J293" si="599">CONCATENATE(C293," : ","0")</f>
        <v>E5.4.2.6_mRNA : 0</v>
      </c>
      <c r="J293" s="78" t="str">
        <f t="shared" si="599"/>
        <v>E5.4.2.6 : 0</v>
      </c>
      <c r="K293" s="79" t="str">
        <f t="shared" si="524"/>
        <v>0.00292 - (0.0093 * E5.4.2.6_mRNA)</v>
      </c>
      <c r="L293" s="75" t="str">
        <f t="shared" si="525"/>
        <v>(0.278 * E5.4.2.6_mRNA) - (0.00000278 * E5.4.2.6)</v>
      </c>
      <c r="M293" s="80" t="str">
        <f t="shared" si="526"/>
        <v>mRNA292: -&gt; E5.4.2.6_mRNA | 0.00292 - (0.0093 * E5.4.2.6_mRNA)</v>
      </c>
      <c r="N293" s="73" t="str">
        <f t="shared" si="527"/>
        <v>Peptide292: E5.4.2.6_mRNA -&gt; E5.4.2.6 | (0.278 * E5.4.2.6_mRNA) - (0.000000278 * E5.4.2.6)</v>
      </c>
    </row>
    <row r="294" spans="1:14" ht="25">
      <c r="A294" s="70">
        <v>293</v>
      </c>
      <c r="B294" s="81" t="s">
        <v>17293</v>
      </c>
      <c r="C294" s="72" t="str">
        <f t="shared" si="518"/>
        <v>E5.4.2.7_mRNA</v>
      </c>
      <c r="D294" s="72" t="str">
        <f t="shared" si="519"/>
        <v>E5.4.2.7</v>
      </c>
      <c r="E294" s="73" t="str">
        <f t="shared" si="520"/>
        <v>E5.4.2.7_kcat : 13.7</v>
      </c>
      <c r="F294" s="74" t="str">
        <f t="shared" si="521"/>
        <v>E5.4.2.7_km : 1</v>
      </c>
      <c r="G294" s="75" t="str">
        <f t="shared" ref="G294:H294" si="600">CONCATENATE(C294," : ",C294)</f>
        <v>E5.4.2.7_mRNA : E5.4.2.7_mRNA</v>
      </c>
      <c r="H294" s="76" t="str">
        <f t="shared" si="600"/>
        <v>E5.4.2.7 : E5.4.2.7</v>
      </c>
      <c r="I294" s="77" t="str">
        <f t="shared" ref="I294:J294" si="601">CONCATENATE(C294," : ","0")</f>
        <v>E5.4.2.7_mRNA : 0</v>
      </c>
      <c r="J294" s="78" t="str">
        <f t="shared" si="601"/>
        <v>E5.4.2.7 : 0</v>
      </c>
      <c r="K294" s="79" t="str">
        <f t="shared" si="524"/>
        <v>0.00292 - (0.0093 * E5.4.2.7_mRNA)</v>
      </c>
      <c r="L294" s="75" t="str">
        <f t="shared" si="525"/>
        <v>(0.278 * E5.4.2.7_mRNA) - (0.00000278 * E5.4.2.7)</v>
      </c>
      <c r="M294" s="80" t="str">
        <f t="shared" si="526"/>
        <v>mRNA293: -&gt; E5.4.2.7_mRNA | 0.00292 - (0.0093 * E5.4.2.7_mRNA)</v>
      </c>
      <c r="N294" s="73" t="str">
        <f t="shared" si="527"/>
        <v>Peptide293: E5.4.2.7_mRNA -&gt; E5.4.2.7 | (0.278 * E5.4.2.7_mRNA) - (0.000000278 * E5.4.2.7)</v>
      </c>
    </row>
    <row r="295" spans="1:14" ht="25">
      <c r="A295" s="70">
        <v>294</v>
      </c>
      <c r="B295" s="81" t="s">
        <v>17294</v>
      </c>
      <c r="C295" s="72" t="str">
        <f t="shared" si="518"/>
        <v>E5.4.99.12_mRNA</v>
      </c>
      <c r="D295" s="72" t="str">
        <f t="shared" si="519"/>
        <v>E5.4.99.12</v>
      </c>
      <c r="E295" s="73" t="str">
        <f t="shared" si="520"/>
        <v>E5.4.99.12_kcat : 13.7</v>
      </c>
      <c r="F295" s="74" t="str">
        <f t="shared" si="521"/>
        <v>E5.4.99.12_km : 1</v>
      </c>
      <c r="G295" s="75" t="str">
        <f t="shared" ref="G295:H295" si="602">CONCATENATE(C295," : ",C295)</f>
        <v>E5.4.99.12_mRNA : E5.4.99.12_mRNA</v>
      </c>
      <c r="H295" s="76" t="str">
        <f t="shared" si="602"/>
        <v>E5.4.99.12 : E5.4.99.12</v>
      </c>
      <c r="I295" s="77" t="str">
        <f t="shared" ref="I295:J295" si="603">CONCATENATE(C295," : ","0")</f>
        <v>E5.4.99.12_mRNA : 0</v>
      </c>
      <c r="J295" s="78" t="str">
        <f t="shared" si="603"/>
        <v>E5.4.99.12 : 0</v>
      </c>
      <c r="K295" s="79" t="str">
        <f t="shared" si="524"/>
        <v>0.00292 - (0.0093 * E5.4.99.12_mRNA)</v>
      </c>
      <c r="L295" s="75" t="str">
        <f t="shared" si="525"/>
        <v>(0.278 * E5.4.99.12_mRNA) - (0.00000278 * E5.4.99.12)</v>
      </c>
      <c r="M295" s="80" t="str">
        <f t="shared" si="526"/>
        <v>mRNA294: -&gt; E5.4.99.12_mRNA | 0.00292 - (0.0093 * E5.4.99.12_mRNA)</v>
      </c>
      <c r="N295" s="73" t="str">
        <f t="shared" si="527"/>
        <v>Peptide294: E5.4.99.12_mRNA -&gt; E5.4.99.12 | (0.278 * E5.4.99.12_mRNA) - (0.000000278 * E5.4.99.12)</v>
      </c>
    </row>
    <row r="296" spans="1:14" ht="25">
      <c r="A296" s="70">
        <v>295</v>
      </c>
      <c r="B296" s="81" t="s">
        <v>17295</v>
      </c>
      <c r="C296" s="72" t="str">
        <f t="shared" si="518"/>
        <v>E5.4.99.18_mRNA</v>
      </c>
      <c r="D296" s="72" t="str">
        <f t="shared" si="519"/>
        <v>E5.4.99.18</v>
      </c>
      <c r="E296" s="73" t="str">
        <f t="shared" si="520"/>
        <v>E5.4.99.18_kcat : 13.7</v>
      </c>
      <c r="F296" s="74" t="str">
        <f t="shared" si="521"/>
        <v>E5.4.99.18_km : 1</v>
      </c>
      <c r="G296" s="75" t="str">
        <f t="shared" ref="G296:H296" si="604">CONCATENATE(C296," : ",C296)</f>
        <v>E5.4.99.18_mRNA : E5.4.99.18_mRNA</v>
      </c>
      <c r="H296" s="76" t="str">
        <f t="shared" si="604"/>
        <v>E5.4.99.18 : E5.4.99.18</v>
      </c>
      <c r="I296" s="77" t="str">
        <f t="shared" ref="I296:J296" si="605">CONCATENATE(C296," : ","0")</f>
        <v>E5.4.99.18_mRNA : 0</v>
      </c>
      <c r="J296" s="78" t="str">
        <f t="shared" si="605"/>
        <v>E5.4.99.18 : 0</v>
      </c>
      <c r="K296" s="79" t="str">
        <f t="shared" si="524"/>
        <v>0.00292 - (0.0093 * E5.4.99.18_mRNA)</v>
      </c>
      <c r="L296" s="75" t="str">
        <f t="shared" si="525"/>
        <v>(0.278 * E5.4.99.18_mRNA) - (0.00000278 * E5.4.99.18)</v>
      </c>
      <c r="M296" s="80" t="str">
        <f t="shared" si="526"/>
        <v>mRNA295: -&gt; E5.4.99.18_mRNA | 0.00292 - (0.0093 * E5.4.99.18_mRNA)</v>
      </c>
      <c r="N296" s="73" t="str">
        <f t="shared" si="527"/>
        <v>Peptide295: E5.4.99.18_mRNA -&gt; E5.4.99.18 | (0.278 * E5.4.99.18_mRNA) - (0.000000278 * E5.4.99.18)</v>
      </c>
    </row>
    <row r="297" spans="1:14" ht="25">
      <c r="A297" s="70">
        <v>296</v>
      </c>
      <c r="B297" s="81" t="s">
        <v>17296</v>
      </c>
      <c r="C297" s="72" t="str">
        <f t="shared" si="518"/>
        <v>E5.4.99.25_mRNA</v>
      </c>
      <c r="D297" s="72" t="str">
        <f t="shared" si="519"/>
        <v>E5.4.99.25</v>
      </c>
      <c r="E297" s="73" t="str">
        <f t="shared" si="520"/>
        <v>E5.4.99.25_kcat : 13.7</v>
      </c>
      <c r="F297" s="74" t="str">
        <f t="shared" si="521"/>
        <v>E5.4.99.25_km : 1</v>
      </c>
      <c r="G297" s="75" t="str">
        <f t="shared" ref="G297:H297" si="606">CONCATENATE(C297," : ",C297)</f>
        <v>E5.4.99.25_mRNA : E5.4.99.25_mRNA</v>
      </c>
      <c r="H297" s="76" t="str">
        <f t="shared" si="606"/>
        <v>E5.4.99.25 : E5.4.99.25</v>
      </c>
      <c r="I297" s="77" t="str">
        <f t="shared" ref="I297:J297" si="607">CONCATENATE(C297," : ","0")</f>
        <v>E5.4.99.25_mRNA : 0</v>
      </c>
      <c r="J297" s="78" t="str">
        <f t="shared" si="607"/>
        <v>E5.4.99.25 : 0</v>
      </c>
      <c r="K297" s="79" t="str">
        <f t="shared" si="524"/>
        <v>0.00292 - (0.0093 * E5.4.99.25_mRNA)</v>
      </c>
      <c r="L297" s="75" t="str">
        <f t="shared" si="525"/>
        <v>(0.278 * E5.4.99.25_mRNA) - (0.00000278 * E5.4.99.25)</v>
      </c>
      <c r="M297" s="80" t="str">
        <f t="shared" si="526"/>
        <v>mRNA296: -&gt; E5.4.99.25_mRNA | 0.00292 - (0.0093 * E5.4.99.25_mRNA)</v>
      </c>
      <c r="N297" s="73" t="str">
        <f t="shared" si="527"/>
        <v>Peptide296: E5.4.99.25_mRNA -&gt; E5.4.99.25 | (0.278 * E5.4.99.25_mRNA) - (0.000000278 * E5.4.99.25)</v>
      </c>
    </row>
    <row r="298" spans="1:14" ht="25">
      <c r="A298" s="70">
        <v>297</v>
      </c>
      <c r="B298" s="81" t="s">
        <v>17297</v>
      </c>
      <c r="C298" s="72" t="str">
        <f t="shared" si="518"/>
        <v>E5.4.99.62_mRNA</v>
      </c>
      <c r="D298" s="72" t="str">
        <f t="shared" si="519"/>
        <v>E5.4.99.62</v>
      </c>
      <c r="E298" s="73" t="str">
        <f t="shared" si="520"/>
        <v>E5.4.99.62_kcat : 13.7</v>
      </c>
      <c r="F298" s="74" t="str">
        <f t="shared" si="521"/>
        <v>E5.4.99.62_km : 1</v>
      </c>
      <c r="G298" s="75" t="str">
        <f t="shared" ref="G298:H298" si="608">CONCATENATE(C298," : ",C298)</f>
        <v>E5.4.99.62_mRNA : E5.4.99.62_mRNA</v>
      </c>
      <c r="H298" s="76" t="str">
        <f t="shared" si="608"/>
        <v>E5.4.99.62 : E5.4.99.62</v>
      </c>
      <c r="I298" s="77" t="str">
        <f t="shared" ref="I298:J298" si="609">CONCATENATE(C298," : ","0")</f>
        <v>E5.4.99.62_mRNA : 0</v>
      </c>
      <c r="J298" s="78" t="str">
        <f t="shared" si="609"/>
        <v>E5.4.99.62 : 0</v>
      </c>
      <c r="K298" s="79" t="str">
        <f t="shared" si="524"/>
        <v>0.00292 - (0.0093 * E5.4.99.62_mRNA)</v>
      </c>
      <c r="L298" s="75" t="str">
        <f t="shared" si="525"/>
        <v>(0.278 * E5.4.99.62_mRNA) - (0.00000278 * E5.4.99.62)</v>
      </c>
      <c r="M298" s="80" t="str">
        <f t="shared" si="526"/>
        <v>mRNA297: -&gt; E5.4.99.62_mRNA | 0.00292 - (0.0093 * E5.4.99.62_mRNA)</v>
      </c>
      <c r="N298" s="73" t="str">
        <f t="shared" si="527"/>
        <v>Peptide297: E5.4.99.62_mRNA -&gt; E5.4.99.62 | (0.278 * E5.4.99.62_mRNA) - (0.000000278 * E5.4.99.62)</v>
      </c>
    </row>
    <row r="299" spans="1:14" ht="25">
      <c r="A299" s="70">
        <v>298</v>
      </c>
      <c r="B299" s="81" t="s">
        <v>17298</v>
      </c>
      <c r="C299" s="72" t="str">
        <f t="shared" si="518"/>
        <v>E5.4.99.9_mRNA</v>
      </c>
      <c r="D299" s="72" t="str">
        <f t="shared" si="519"/>
        <v>E5.4.99.9</v>
      </c>
      <c r="E299" s="73" t="str">
        <f t="shared" si="520"/>
        <v>E5.4.99.9_kcat : 13.7</v>
      </c>
      <c r="F299" s="74" t="str">
        <f t="shared" si="521"/>
        <v>E5.4.99.9_km : 1</v>
      </c>
      <c r="G299" s="75" t="str">
        <f t="shared" ref="G299:H299" si="610">CONCATENATE(C299," : ",C299)</f>
        <v>E5.4.99.9_mRNA : E5.4.99.9_mRNA</v>
      </c>
      <c r="H299" s="76" t="str">
        <f t="shared" si="610"/>
        <v>E5.4.99.9 : E5.4.99.9</v>
      </c>
      <c r="I299" s="77" t="str">
        <f t="shared" ref="I299:J299" si="611">CONCATENATE(C299," : ","0")</f>
        <v>E5.4.99.9_mRNA : 0</v>
      </c>
      <c r="J299" s="78" t="str">
        <f t="shared" si="611"/>
        <v>E5.4.99.9 : 0</v>
      </c>
      <c r="K299" s="79" t="str">
        <f t="shared" si="524"/>
        <v>0.00292 - (0.0093 * E5.4.99.9_mRNA)</v>
      </c>
      <c r="L299" s="75" t="str">
        <f t="shared" si="525"/>
        <v>(0.278 * E5.4.99.9_mRNA) - (0.00000278 * E5.4.99.9)</v>
      </c>
      <c r="M299" s="80" t="str">
        <f t="shared" si="526"/>
        <v>mRNA298: -&gt; E5.4.99.9_mRNA | 0.00292 - (0.0093 * E5.4.99.9_mRNA)</v>
      </c>
      <c r="N299" s="73" t="str">
        <f t="shared" si="527"/>
        <v>Peptide298: E5.4.99.9_mRNA -&gt; E5.4.99.9 | (0.278 * E5.4.99.9_mRNA) - (0.000000278 * E5.4.99.9)</v>
      </c>
    </row>
    <row r="300" spans="1:14" ht="25">
      <c r="A300" s="70">
        <v>299</v>
      </c>
      <c r="B300" s="81" t="s">
        <v>17299</v>
      </c>
      <c r="C300" s="72" t="str">
        <f t="shared" si="518"/>
        <v>E5.6.2.1_mRNA</v>
      </c>
      <c r="D300" s="72" t="str">
        <f t="shared" si="519"/>
        <v>E5.6.2.1</v>
      </c>
      <c r="E300" s="73" t="str">
        <f t="shared" si="520"/>
        <v>E5.6.2.1_kcat : 13.7</v>
      </c>
      <c r="F300" s="74" t="str">
        <f t="shared" si="521"/>
        <v>E5.6.2.1_km : 1</v>
      </c>
      <c r="G300" s="75" t="str">
        <f t="shared" ref="G300:H300" si="612">CONCATENATE(C300," : ",C300)</f>
        <v>E5.6.2.1_mRNA : E5.6.2.1_mRNA</v>
      </c>
      <c r="H300" s="76" t="str">
        <f t="shared" si="612"/>
        <v>E5.6.2.1 : E5.6.2.1</v>
      </c>
      <c r="I300" s="77" t="str">
        <f t="shared" ref="I300:J300" si="613">CONCATENATE(C300," : ","0")</f>
        <v>E5.6.2.1_mRNA : 0</v>
      </c>
      <c r="J300" s="78" t="str">
        <f t="shared" si="613"/>
        <v>E5.6.2.1 : 0</v>
      </c>
      <c r="K300" s="79" t="str">
        <f t="shared" si="524"/>
        <v>0.00292 - (0.0093 * E5.6.2.1_mRNA)</v>
      </c>
      <c r="L300" s="75" t="str">
        <f t="shared" si="525"/>
        <v>(0.278 * E5.6.2.1_mRNA) - (0.00000278 * E5.6.2.1)</v>
      </c>
      <c r="M300" s="80" t="str">
        <f t="shared" si="526"/>
        <v>mRNA299: -&gt; E5.6.2.1_mRNA | 0.00292 - (0.0093 * E5.6.2.1_mRNA)</v>
      </c>
      <c r="N300" s="73" t="str">
        <f t="shared" si="527"/>
        <v>Peptide299: E5.6.2.1_mRNA -&gt; E5.6.2.1 | (0.278 * E5.6.2.1_mRNA) - (0.000000278 * E5.6.2.1)</v>
      </c>
    </row>
    <row r="301" spans="1:14" ht="25">
      <c r="A301" s="70">
        <v>300</v>
      </c>
      <c r="B301" s="81" t="s">
        <v>17300</v>
      </c>
      <c r="C301" s="72" t="str">
        <f t="shared" si="518"/>
        <v>E5.6.2.2_mRNA</v>
      </c>
      <c r="D301" s="72" t="str">
        <f t="shared" si="519"/>
        <v>E5.6.2.2</v>
      </c>
      <c r="E301" s="73" t="str">
        <f t="shared" si="520"/>
        <v>E5.6.2.2_kcat : 13.7</v>
      </c>
      <c r="F301" s="74" t="str">
        <f t="shared" si="521"/>
        <v>E5.6.2.2_km : 1</v>
      </c>
      <c r="G301" s="75" t="str">
        <f t="shared" ref="G301:H301" si="614">CONCATENATE(C301," : ",C301)</f>
        <v>E5.6.2.2_mRNA : E5.6.2.2_mRNA</v>
      </c>
      <c r="H301" s="76" t="str">
        <f t="shared" si="614"/>
        <v>E5.6.2.2 : E5.6.2.2</v>
      </c>
      <c r="I301" s="77" t="str">
        <f t="shared" ref="I301:J301" si="615">CONCATENATE(C301," : ","0")</f>
        <v>E5.6.2.2_mRNA : 0</v>
      </c>
      <c r="J301" s="78" t="str">
        <f t="shared" si="615"/>
        <v>E5.6.2.2 : 0</v>
      </c>
      <c r="K301" s="79" t="str">
        <f t="shared" si="524"/>
        <v>0.00292 - (0.0093 * E5.6.2.2_mRNA)</v>
      </c>
      <c r="L301" s="75" t="str">
        <f t="shared" si="525"/>
        <v>(0.278 * E5.6.2.2_mRNA) - (0.00000278 * E5.6.2.2)</v>
      </c>
      <c r="M301" s="80" t="str">
        <f t="shared" si="526"/>
        <v>mRNA300: -&gt; E5.6.2.2_mRNA | 0.00292 - (0.0093 * E5.6.2.2_mRNA)</v>
      </c>
      <c r="N301" s="73" t="str">
        <f t="shared" si="527"/>
        <v>Peptide300: E5.6.2.2_mRNA -&gt; E5.6.2.2 | (0.278 * E5.6.2.2_mRNA) - (0.000000278 * E5.6.2.2)</v>
      </c>
    </row>
    <row r="302" spans="1:14" ht="25">
      <c r="A302" s="70">
        <v>301</v>
      </c>
      <c r="B302" s="81" t="s">
        <v>17301</v>
      </c>
      <c r="C302" s="72" t="str">
        <f t="shared" si="518"/>
        <v>E6.1.1.1_mRNA</v>
      </c>
      <c r="D302" s="72" t="str">
        <f t="shared" si="519"/>
        <v>E6.1.1.1</v>
      </c>
      <c r="E302" s="73" t="str">
        <f t="shared" si="520"/>
        <v>E6.1.1.1_kcat : 13.7</v>
      </c>
      <c r="F302" s="74" t="str">
        <f t="shared" si="521"/>
        <v>E6.1.1.1_km : 1</v>
      </c>
      <c r="G302" s="75" t="str">
        <f t="shared" ref="G302:H302" si="616">CONCATENATE(C302," : ",C302)</f>
        <v>E6.1.1.1_mRNA : E6.1.1.1_mRNA</v>
      </c>
      <c r="H302" s="76" t="str">
        <f t="shared" si="616"/>
        <v>E6.1.1.1 : E6.1.1.1</v>
      </c>
      <c r="I302" s="77" t="str">
        <f t="shared" ref="I302:J302" si="617">CONCATENATE(C302," : ","0")</f>
        <v>E6.1.1.1_mRNA : 0</v>
      </c>
      <c r="J302" s="78" t="str">
        <f t="shared" si="617"/>
        <v>E6.1.1.1 : 0</v>
      </c>
      <c r="K302" s="79" t="str">
        <f t="shared" si="524"/>
        <v>0.00292 - (0.0093 * E6.1.1.1_mRNA)</v>
      </c>
      <c r="L302" s="75" t="str">
        <f t="shared" si="525"/>
        <v>(0.278 * E6.1.1.1_mRNA) - (0.00000278 * E6.1.1.1)</v>
      </c>
      <c r="M302" s="80" t="str">
        <f t="shared" si="526"/>
        <v>mRNA301: -&gt; E6.1.1.1_mRNA | 0.00292 - (0.0093 * E6.1.1.1_mRNA)</v>
      </c>
      <c r="N302" s="73" t="str">
        <f t="shared" si="527"/>
        <v>Peptide301: E6.1.1.1_mRNA -&gt; E6.1.1.1 | (0.278 * E6.1.1.1_mRNA) - (0.000000278 * E6.1.1.1)</v>
      </c>
    </row>
    <row r="303" spans="1:14" ht="25">
      <c r="A303" s="70">
        <v>302</v>
      </c>
      <c r="B303" s="81" t="s">
        <v>17302</v>
      </c>
      <c r="C303" s="72" t="str">
        <f t="shared" si="518"/>
        <v>E6.1.1.10_mRNA</v>
      </c>
      <c r="D303" s="72" t="str">
        <f t="shared" si="519"/>
        <v>E6.1.1.10</v>
      </c>
      <c r="E303" s="73" t="str">
        <f t="shared" si="520"/>
        <v>E6.1.1.10_kcat : 13.7</v>
      </c>
      <c r="F303" s="74" t="str">
        <f t="shared" si="521"/>
        <v>E6.1.1.10_km : 1</v>
      </c>
      <c r="G303" s="75" t="str">
        <f t="shared" ref="G303:H303" si="618">CONCATENATE(C303," : ",C303)</f>
        <v>E6.1.1.10_mRNA : E6.1.1.10_mRNA</v>
      </c>
      <c r="H303" s="76" t="str">
        <f t="shared" si="618"/>
        <v>E6.1.1.10 : E6.1.1.10</v>
      </c>
      <c r="I303" s="77" t="str">
        <f t="shared" ref="I303:J303" si="619">CONCATENATE(C303," : ","0")</f>
        <v>E6.1.1.10_mRNA : 0</v>
      </c>
      <c r="J303" s="78" t="str">
        <f t="shared" si="619"/>
        <v>E6.1.1.10 : 0</v>
      </c>
      <c r="K303" s="79" t="str">
        <f t="shared" si="524"/>
        <v>0.00292 - (0.0093 * E6.1.1.10_mRNA)</v>
      </c>
      <c r="L303" s="75" t="str">
        <f t="shared" si="525"/>
        <v>(0.278 * E6.1.1.10_mRNA) - (0.00000278 * E6.1.1.10)</v>
      </c>
      <c r="M303" s="80" t="str">
        <f t="shared" si="526"/>
        <v>mRNA302: -&gt; E6.1.1.10_mRNA | 0.00292 - (0.0093 * E6.1.1.10_mRNA)</v>
      </c>
      <c r="N303" s="73" t="str">
        <f t="shared" si="527"/>
        <v>Peptide302: E6.1.1.10_mRNA -&gt; E6.1.1.10 | (0.278 * E6.1.1.10_mRNA) - (0.000000278 * E6.1.1.10)</v>
      </c>
    </row>
    <row r="304" spans="1:14" ht="25">
      <c r="A304" s="70">
        <v>303</v>
      </c>
      <c r="B304" s="81" t="s">
        <v>17303</v>
      </c>
      <c r="C304" s="72" t="str">
        <f t="shared" si="518"/>
        <v>E6.1.1.11_mRNA</v>
      </c>
      <c r="D304" s="72" t="str">
        <f t="shared" si="519"/>
        <v>E6.1.1.11</v>
      </c>
      <c r="E304" s="73" t="str">
        <f t="shared" si="520"/>
        <v>E6.1.1.11_kcat : 13.7</v>
      </c>
      <c r="F304" s="74" t="str">
        <f t="shared" si="521"/>
        <v>E6.1.1.11_km : 1</v>
      </c>
      <c r="G304" s="75" t="str">
        <f t="shared" ref="G304:H304" si="620">CONCATENATE(C304," : ",C304)</f>
        <v>E6.1.1.11_mRNA : E6.1.1.11_mRNA</v>
      </c>
      <c r="H304" s="76" t="str">
        <f t="shared" si="620"/>
        <v>E6.1.1.11 : E6.1.1.11</v>
      </c>
      <c r="I304" s="77" t="str">
        <f t="shared" ref="I304:J304" si="621">CONCATENATE(C304," : ","0")</f>
        <v>E6.1.1.11_mRNA : 0</v>
      </c>
      <c r="J304" s="78" t="str">
        <f t="shared" si="621"/>
        <v>E6.1.1.11 : 0</v>
      </c>
      <c r="K304" s="79" t="str">
        <f t="shared" si="524"/>
        <v>0.00292 - (0.0093 * E6.1.1.11_mRNA)</v>
      </c>
      <c r="L304" s="75" t="str">
        <f t="shared" si="525"/>
        <v>(0.278 * E6.1.1.11_mRNA) - (0.00000278 * E6.1.1.11)</v>
      </c>
      <c r="M304" s="80" t="str">
        <f t="shared" si="526"/>
        <v>mRNA303: -&gt; E6.1.1.11_mRNA | 0.00292 - (0.0093 * E6.1.1.11_mRNA)</v>
      </c>
      <c r="N304" s="73" t="str">
        <f t="shared" si="527"/>
        <v>Peptide303: E6.1.1.11_mRNA -&gt; E6.1.1.11 | (0.278 * E6.1.1.11_mRNA) - (0.000000278 * E6.1.1.11)</v>
      </c>
    </row>
    <row r="305" spans="1:14" ht="25">
      <c r="A305" s="70">
        <v>304</v>
      </c>
      <c r="B305" s="81" t="s">
        <v>17304</v>
      </c>
      <c r="C305" s="72" t="str">
        <f t="shared" si="518"/>
        <v>E6.1.1.12_mRNA</v>
      </c>
      <c r="D305" s="72" t="str">
        <f t="shared" si="519"/>
        <v>E6.1.1.12</v>
      </c>
      <c r="E305" s="73" t="str">
        <f t="shared" si="520"/>
        <v>E6.1.1.12_kcat : 13.7</v>
      </c>
      <c r="F305" s="74" t="str">
        <f t="shared" si="521"/>
        <v>E6.1.1.12_km : 1</v>
      </c>
      <c r="G305" s="75" t="str">
        <f t="shared" ref="G305:H305" si="622">CONCATENATE(C305," : ",C305)</f>
        <v>E6.1.1.12_mRNA : E6.1.1.12_mRNA</v>
      </c>
      <c r="H305" s="76" t="str">
        <f t="shared" si="622"/>
        <v>E6.1.1.12 : E6.1.1.12</v>
      </c>
      <c r="I305" s="77" t="str">
        <f t="shared" ref="I305:J305" si="623">CONCATENATE(C305," : ","0")</f>
        <v>E6.1.1.12_mRNA : 0</v>
      </c>
      <c r="J305" s="78" t="str">
        <f t="shared" si="623"/>
        <v>E6.1.1.12 : 0</v>
      </c>
      <c r="K305" s="79" t="str">
        <f t="shared" si="524"/>
        <v>0.00292 - (0.0093 * E6.1.1.12_mRNA)</v>
      </c>
      <c r="L305" s="75" t="str">
        <f t="shared" si="525"/>
        <v>(0.278 * E6.1.1.12_mRNA) - (0.00000278 * E6.1.1.12)</v>
      </c>
      <c r="M305" s="80" t="str">
        <f t="shared" si="526"/>
        <v>mRNA304: -&gt; E6.1.1.12_mRNA | 0.00292 - (0.0093 * E6.1.1.12_mRNA)</v>
      </c>
      <c r="N305" s="73" t="str">
        <f t="shared" si="527"/>
        <v>Peptide304: E6.1.1.12_mRNA -&gt; E6.1.1.12 | (0.278 * E6.1.1.12_mRNA) - (0.000000278 * E6.1.1.12)</v>
      </c>
    </row>
    <row r="306" spans="1:14" ht="25">
      <c r="A306" s="70">
        <v>305</v>
      </c>
      <c r="B306" s="81" t="s">
        <v>17305</v>
      </c>
      <c r="C306" s="72" t="str">
        <f t="shared" si="518"/>
        <v>E6.1.1.13_mRNA</v>
      </c>
      <c r="D306" s="72" t="str">
        <f t="shared" si="519"/>
        <v>E6.1.1.13</v>
      </c>
      <c r="E306" s="73" t="str">
        <f t="shared" si="520"/>
        <v>E6.1.1.13_kcat : 13.7</v>
      </c>
      <c r="F306" s="74" t="str">
        <f t="shared" si="521"/>
        <v>E6.1.1.13_km : 1</v>
      </c>
      <c r="G306" s="75" t="str">
        <f t="shared" ref="G306:H306" si="624">CONCATENATE(C306," : ",C306)</f>
        <v>E6.1.1.13_mRNA : E6.1.1.13_mRNA</v>
      </c>
      <c r="H306" s="76" t="str">
        <f t="shared" si="624"/>
        <v>E6.1.1.13 : E6.1.1.13</v>
      </c>
      <c r="I306" s="77" t="str">
        <f t="shared" ref="I306:J306" si="625">CONCATENATE(C306," : ","0")</f>
        <v>E6.1.1.13_mRNA : 0</v>
      </c>
      <c r="J306" s="78" t="str">
        <f t="shared" si="625"/>
        <v>E6.1.1.13 : 0</v>
      </c>
      <c r="K306" s="79" t="str">
        <f t="shared" si="524"/>
        <v>0.00292 - (0.0093 * E6.1.1.13_mRNA)</v>
      </c>
      <c r="L306" s="75" t="str">
        <f t="shared" si="525"/>
        <v>(0.278 * E6.1.1.13_mRNA) - (0.00000278 * E6.1.1.13)</v>
      </c>
      <c r="M306" s="80" t="str">
        <f t="shared" si="526"/>
        <v>mRNA305: -&gt; E6.1.1.13_mRNA | 0.00292 - (0.0093 * E6.1.1.13_mRNA)</v>
      </c>
      <c r="N306" s="73" t="str">
        <f t="shared" si="527"/>
        <v>Peptide305: E6.1.1.13_mRNA -&gt; E6.1.1.13 | (0.278 * E6.1.1.13_mRNA) - (0.000000278 * E6.1.1.13)</v>
      </c>
    </row>
    <row r="307" spans="1:14" ht="25">
      <c r="A307" s="70">
        <v>306</v>
      </c>
      <c r="B307" s="81" t="s">
        <v>17306</v>
      </c>
      <c r="C307" s="72" t="str">
        <f t="shared" si="518"/>
        <v>E6.1.1.14_mRNA</v>
      </c>
      <c r="D307" s="72" t="str">
        <f t="shared" si="519"/>
        <v>E6.1.1.14</v>
      </c>
      <c r="E307" s="73" t="str">
        <f t="shared" si="520"/>
        <v>E6.1.1.14_kcat : 13.7</v>
      </c>
      <c r="F307" s="74" t="str">
        <f t="shared" si="521"/>
        <v>E6.1.1.14_km : 1</v>
      </c>
      <c r="G307" s="75" t="str">
        <f t="shared" ref="G307:H307" si="626">CONCATENATE(C307," : ",C307)</f>
        <v>E6.1.1.14_mRNA : E6.1.1.14_mRNA</v>
      </c>
      <c r="H307" s="76" t="str">
        <f t="shared" si="626"/>
        <v>E6.1.1.14 : E6.1.1.14</v>
      </c>
      <c r="I307" s="77" t="str">
        <f t="shared" ref="I307:J307" si="627">CONCATENATE(C307," : ","0")</f>
        <v>E6.1.1.14_mRNA : 0</v>
      </c>
      <c r="J307" s="78" t="str">
        <f t="shared" si="627"/>
        <v>E6.1.1.14 : 0</v>
      </c>
      <c r="K307" s="79" t="str">
        <f t="shared" si="524"/>
        <v>0.00292 - (0.0093 * E6.1.1.14_mRNA)</v>
      </c>
      <c r="L307" s="75" t="str">
        <f t="shared" si="525"/>
        <v>(0.278 * E6.1.1.14_mRNA) - (0.00000278 * E6.1.1.14)</v>
      </c>
      <c r="M307" s="80" t="str">
        <f t="shared" si="526"/>
        <v>mRNA306: -&gt; E6.1.1.14_mRNA | 0.00292 - (0.0093 * E6.1.1.14_mRNA)</v>
      </c>
      <c r="N307" s="73" t="str">
        <f t="shared" si="527"/>
        <v>Peptide306: E6.1.1.14_mRNA -&gt; E6.1.1.14 | (0.278 * E6.1.1.14_mRNA) - (0.000000278 * E6.1.1.14)</v>
      </c>
    </row>
    <row r="308" spans="1:14" ht="25">
      <c r="A308" s="70">
        <v>307</v>
      </c>
      <c r="B308" s="81" t="s">
        <v>17307</v>
      </c>
      <c r="C308" s="72" t="str">
        <f t="shared" si="518"/>
        <v>E6.1.1.15_mRNA</v>
      </c>
      <c r="D308" s="72" t="str">
        <f t="shared" si="519"/>
        <v>E6.1.1.15</v>
      </c>
      <c r="E308" s="73" t="str">
        <f t="shared" si="520"/>
        <v>E6.1.1.15_kcat : 13.7</v>
      </c>
      <c r="F308" s="74" t="str">
        <f t="shared" si="521"/>
        <v>E6.1.1.15_km : 1</v>
      </c>
      <c r="G308" s="75" t="str">
        <f t="shared" ref="G308:H308" si="628">CONCATENATE(C308," : ",C308)</f>
        <v>E6.1.1.15_mRNA : E6.1.1.15_mRNA</v>
      </c>
      <c r="H308" s="76" t="str">
        <f t="shared" si="628"/>
        <v>E6.1.1.15 : E6.1.1.15</v>
      </c>
      <c r="I308" s="77" t="str">
        <f t="shared" ref="I308:J308" si="629">CONCATENATE(C308," : ","0")</f>
        <v>E6.1.1.15_mRNA : 0</v>
      </c>
      <c r="J308" s="78" t="str">
        <f t="shared" si="629"/>
        <v>E6.1.1.15 : 0</v>
      </c>
      <c r="K308" s="79" t="str">
        <f t="shared" si="524"/>
        <v>0.00292 - (0.0093 * E6.1.1.15_mRNA)</v>
      </c>
      <c r="L308" s="75" t="str">
        <f t="shared" si="525"/>
        <v>(0.278 * E6.1.1.15_mRNA) - (0.00000278 * E6.1.1.15)</v>
      </c>
      <c r="M308" s="80" t="str">
        <f t="shared" si="526"/>
        <v>mRNA307: -&gt; E6.1.1.15_mRNA | 0.00292 - (0.0093 * E6.1.1.15_mRNA)</v>
      </c>
      <c r="N308" s="73" t="str">
        <f t="shared" si="527"/>
        <v>Peptide307: E6.1.1.15_mRNA -&gt; E6.1.1.15 | (0.278 * E6.1.1.15_mRNA) - (0.000000278 * E6.1.1.15)</v>
      </c>
    </row>
    <row r="309" spans="1:14" ht="25">
      <c r="A309" s="70">
        <v>308</v>
      </c>
      <c r="B309" s="81" t="s">
        <v>17308</v>
      </c>
      <c r="C309" s="72" t="str">
        <f t="shared" si="518"/>
        <v>E6.1.1.16_mRNA</v>
      </c>
      <c r="D309" s="72" t="str">
        <f t="shared" si="519"/>
        <v>E6.1.1.16</v>
      </c>
      <c r="E309" s="73" t="str">
        <f t="shared" si="520"/>
        <v>E6.1.1.16_kcat : 13.7</v>
      </c>
      <c r="F309" s="74" t="str">
        <f t="shared" si="521"/>
        <v>E6.1.1.16_km : 1</v>
      </c>
      <c r="G309" s="75" t="str">
        <f t="shared" ref="G309:H309" si="630">CONCATENATE(C309," : ",C309)</f>
        <v>E6.1.1.16_mRNA : E6.1.1.16_mRNA</v>
      </c>
      <c r="H309" s="76" t="str">
        <f t="shared" si="630"/>
        <v>E6.1.1.16 : E6.1.1.16</v>
      </c>
      <c r="I309" s="77" t="str">
        <f t="shared" ref="I309:J309" si="631">CONCATENATE(C309," : ","0")</f>
        <v>E6.1.1.16_mRNA : 0</v>
      </c>
      <c r="J309" s="78" t="str">
        <f t="shared" si="631"/>
        <v>E6.1.1.16 : 0</v>
      </c>
      <c r="K309" s="79" t="str">
        <f t="shared" si="524"/>
        <v>0.00292 - (0.0093 * E6.1.1.16_mRNA)</v>
      </c>
      <c r="L309" s="75" t="str">
        <f t="shared" si="525"/>
        <v>(0.278 * E6.1.1.16_mRNA) - (0.00000278 * E6.1.1.16)</v>
      </c>
      <c r="M309" s="80" t="str">
        <f t="shared" si="526"/>
        <v>mRNA308: -&gt; E6.1.1.16_mRNA | 0.00292 - (0.0093 * E6.1.1.16_mRNA)</v>
      </c>
      <c r="N309" s="73" t="str">
        <f t="shared" si="527"/>
        <v>Peptide308: E6.1.1.16_mRNA -&gt; E6.1.1.16 | (0.278 * E6.1.1.16_mRNA) - (0.000000278 * E6.1.1.16)</v>
      </c>
    </row>
    <row r="310" spans="1:14" ht="25">
      <c r="A310" s="70">
        <v>309</v>
      </c>
      <c r="B310" s="81" t="s">
        <v>17309</v>
      </c>
      <c r="C310" s="72" t="str">
        <f t="shared" si="518"/>
        <v>E6.1.1.17_mRNA</v>
      </c>
      <c r="D310" s="72" t="str">
        <f t="shared" si="519"/>
        <v>E6.1.1.17</v>
      </c>
      <c r="E310" s="73" t="str">
        <f t="shared" si="520"/>
        <v>E6.1.1.17_kcat : 13.7</v>
      </c>
      <c r="F310" s="74" t="str">
        <f t="shared" si="521"/>
        <v>E6.1.1.17_km : 1</v>
      </c>
      <c r="G310" s="75" t="str">
        <f t="shared" ref="G310:H310" si="632">CONCATENATE(C310," : ",C310)</f>
        <v>E6.1.1.17_mRNA : E6.1.1.17_mRNA</v>
      </c>
      <c r="H310" s="76" t="str">
        <f t="shared" si="632"/>
        <v>E6.1.1.17 : E6.1.1.17</v>
      </c>
      <c r="I310" s="77" t="str">
        <f t="shared" ref="I310:J310" si="633">CONCATENATE(C310," : ","0")</f>
        <v>E6.1.1.17_mRNA : 0</v>
      </c>
      <c r="J310" s="78" t="str">
        <f t="shared" si="633"/>
        <v>E6.1.1.17 : 0</v>
      </c>
      <c r="K310" s="79" t="str">
        <f t="shared" si="524"/>
        <v>0.00292 - (0.0093 * E6.1.1.17_mRNA)</v>
      </c>
      <c r="L310" s="75" t="str">
        <f t="shared" si="525"/>
        <v>(0.278 * E6.1.1.17_mRNA) - (0.00000278 * E6.1.1.17)</v>
      </c>
      <c r="M310" s="80" t="str">
        <f t="shared" si="526"/>
        <v>mRNA309: -&gt; E6.1.1.17_mRNA | 0.00292 - (0.0093 * E6.1.1.17_mRNA)</v>
      </c>
      <c r="N310" s="73" t="str">
        <f t="shared" si="527"/>
        <v>Peptide309: E6.1.1.17_mRNA -&gt; E6.1.1.17 | (0.278 * E6.1.1.17_mRNA) - (0.000000278 * E6.1.1.17)</v>
      </c>
    </row>
    <row r="311" spans="1:14" ht="25">
      <c r="A311" s="70">
        <v>310</v>
      </c>
      <c r="B311" s="83" t="s">
        <v>8299</v>
      </c>
      <c r="C311" s="72" t="str">
        <f t="shared" si="518"/>
        <v>E6.1.1.19_mRNA</v>
      </c>
      <c r="D311" s="72" t="str">
        <f t="shared" si="519"/>
        <v>E6.1.1.19</v>
      </c>
      <c r="E311" s="73" t="str">
        <f t="shared" si="520"/>
        <v>E6.1.1.19_kcat : 13.7</v>
      </c>
      <c r="F311" s="74" t="str">
        <f t="shared" si="521"/>
        <v>E6.1.1.19_km : 1</v>
      </c>
      <c r="G311" s="75" t="str">
        <f t="shared" ref="G311:H311" si="634">CONCATENATE(C311," : ",C311)</f>
        <v>E6.1.1.19_mRNA : E6.1.1.19_mRNA</v>
      </c>
      <c r="H311" s="76" t="str">
        <f t="shared" si="634"/>
        <v>E6.1.1.19 : E6.1.1.19</v>
      </c>
      <c r="I311" s="77" t="str">
        <f t="shared" ref="I311:J311" si="635">CONCATENATE(C311," : ","0")</f>
        <v>E6.1.1.19_mRNA : 0</v>
      </c>
      <c r="J311" s="78" t="str">
        <f t="shared" si="635"/>
        <v>E6.1.1.19 : 0</v>
      </c>
      <c r="K311" s="79" t="str">
        <f t="shared" si="524"/>
        <v>0.00292 - (0.0093 * E6.1.1.19_mRNA)</v>
      </c>
      <c r="L311" s="75" t="str">
        <f t="shared" si="525"/>
        <v>(0.278 * E6.1.1.19_mRNA) - (0.00000278 * E6.1.1.19)</v>
      </c>
      <c r="M311" s="80" t="str">
        <f t="shared" si="526"/>
        <v>mRNA310: -&gt; E6.1.1.19_mRNA | 0.00292 - (0.0093 * E6.1.1.19_mRNA)</v>
      </c>
      <c r="N311" s="73" t="str">
        <f t="shared" si="527"/>
        <v>Peptide310: E6.1.1.19_mRNA -&gt; E6.1.1.19 | (0.278 * E6.1.1.19_mRNA) - (0.000000278 * E6.1.1.19)</v>
      </c>
    </row>
    <row r="312" spans="1:14" ht="25">
      <c r="A312" s="70">
        <v>311</v>
      </c>
      <c r="B312" s="81" t="s">
        <v>17310</v>
      </c>
      <c r="C312" s="72" t="str">
        <f t="shared" si="518"/>
        <v>E6.1.1.2_mRNA</v>
      </c>
      <c r="D312" s="72" t="str">
        <f t="shared" si="519"/>
        <v>E6.1.1.2</v>
      </c>
      <c r="E312" s="73" t="str">
        <f t="shared" si="520"/>
        <v>E6.1.1.2_kcat : 13.7</v>
      </c>
      <c r="F312" s="74" t="str">
        <f t="shared" si="521"/>
        <v>E6.1.1.2_km : 1</v>
      </c>
      <c r="G312" s="75" t="str">
        <f t="shared" ref="G312:H312" si="636">CONCATENATE(C312," : ",C312)</f>
        <v>E6.1.1.2_mRNA : E6.1.1.2_mRNA</v>
      </c>
      <c r="H312" s="76" t="str">
        <f t="shared" si="636"/>
        <v>E6.1.1.2 : E6.1.1.2</v>
      </c>
      <c r="I312" s="77" t="str">
        <f t="shared" ref="I312:J312" si="637">CONCATENATE(C312," : ","0")</f>
        <v>E6.1.1.2_mRNA : 0</v>
      </c>
      <c r="J312" s="78" t="str">
        <f t="shared" si="637"/>
        <v>E6.1.1.2 : 0</v>
      </c>
      <c r="K312" s="79" t="str">
        <f t="shared" si="524"/>
        <v>0.00292 - (0.0093 * E6.1.1.2_mRNA)</v>
      </c>
      <c r="L312" s="75" t="str">
        <f t="shared" si="525"/>
        <v>(0.278 * E6.1.1.2_mRNA) - (0.00000278 * E6.1.1.2)</v>
      </c>
      <c r="M312" s="80" t="str">
        <f t="shared" si="526"/>
        <v>mRNA311: -&gt; E6.1.1.2_mRNA | 0.00292 - (0.0093 * E6.1.1.2_mRNA)</v>
      </c>
      <c r="N312" s="73" t="str">
        <f t="shared" si="527"/>
        <v>Peptide311: E6.1.1.2_mRNA -&gt; E6.1.1.2 | (0.278 * E6.1.1.2_mRNA) - (0.000000278 * E6.1.1.2)</v>
      </c>
    </row>
    <row r="313" spans="1:14" ht="25">
      <c r="A313" s="70">
        <v>312</v>
      </c>
      <c r="B313" s="81" t="s">
        <v>17311</v>
      </c>
      <c r="C313" s="72" t="str">
        <f t="shared" si="518"/>
        <v>E6.1.1.20_mRNA</v>
      </c>
      <c r="D313" s="72" t="str">
        <f t="shared" si="519"/>
        <v>E6.1.1.20</v>
      </c>
      <c r="E313" s="73" t="str">
        <f t="shared" si="520"/>
        <v>E6.1.1.20_kcat : 13.7</v>
      </c>
      <c r="F313" s="74" t="str">
        <f t="shared" si="521"/>
        <v>E6.1.1.20_km : 1</v>
      </c>
      <c r="G313" s="75" t="str">
        <f t="shared" ref="G313:H313" si="638">CONCATENATE(C313," : ",C313)</f>
        <v>E6.1.1.20_mRNA : E6.1.1.20_mRNA</v>
      </c>
      <c r="H313" s="76" t="str">
        <f t="shared" si="638"/>
        <v>E6.1.1.20 : E6.1.1.20</v>
      </c>
      <c r="I313" s="77" t="str">
        <f t="shared" ref="I313:J313" si="639">CONCATENATE(C313," : ","0")</f>
        <v>E6.1.1.20_mRNA : 0</v>
      </c>
      <c r="J313" s="78" t="str">
        <f t="shared" si="639"/>
        <v>E6.1.1.20 : 0</v>
      </c>
      <c r="K313" s="79" t="str">
        <f t="shared" si="524"/>
        <v>0.00292 - (0.0093 * E6.1.1.20_mRNA)</v>
      </c>
      <c r="L313" s="75" t="str">
        <f t="shared" si="525"/>
        <v>(0.278 * E6.1.1.20_mRNA) - (0.00000278 * E6.1.1.20)</v>
      </c>
      <c r="M313" s="80" t="str">
        <f t="shared" si="526"/>
        <v>mRNA312: -&gt; E6.1.1.20_mRNA | 0.00292 - (0.0093 * E6.1.1.20_mRNA)</v>
      </c>
      <c r="N313" s="73" t="str">
        <f t="shared" si="527"/>
        <v>Peptide312: E6.1.1.20_mRNA -&gt; E6.1.1.20 | (0.278 * E6.1.1.20_mRNA) - (0.000000278 * E6.1.1.20)</v>
      </c>
    </row>
    <row r="314" spans="1:14" ht="25">
      <c r="A314" s="70">
        <v>313</v>
      </c>
      <c r="B314" s="81" t="s">
        <v>17312</v>
      </c>
      <c r="C314" s="72" t="str">
        <f t="shared" si="518"/>
        <v>E6.1.1.21_mRNA</v>
      </c>
      <c r="D314" s="72" t="str">
        <f t="shared" si="519"/>
        <v>E6.1.1.21</v>
      </c>
      <c r="E314" s="73" t="str">
        <f t="shared" si="520"/>
        <v>E6.1.1.21_kcat : 13.7</v>
      </c>
      <c r="F314" s="74" t="str">
        <f t="shared" si="521"/>
        <v>E6.1.1.21_km : 1</v>
      </c>
      <c r="G314" s="75" t="str">
        <f t="shared" ref="G314:H314" si="640">CONCATENATE(C314," : ",C314)</f>
        <v>E6.1.1.21_mRNA : E6.1.1.21_mRNA</v>
      </c>
      <c r="H314" s="76" t="str">
        <f t="shared" si="640"/>
        <v>E6.1.1.21 : E6.1.1.21</v>
      </c>
      <c r="I314" s="77" t="str">
        <f t="shared" ref="I314:J314" si="641">CONCATENATE(C314," : ","0")</f>
        <v>E6.1.1.21_mRNA : 0</v>
      </c>
      <c r="J314" s="78" t="str">
        <f t="shared" si="641"/>
        <v>E6.1.1.21 : 0</v>
      </c>
      <c r="K314" s="79" t="str">
        <f t="shared" si="524"/>
        <v>0.00292 - (0.0093 * E6.1.1.21_mRNA)</v>
      </c>
      <c r="L314" s="75" t="str">
        <f t="shared" si="525"/>
        <v>(0.278 * E6.1.1.21_mRNA) - (0.00000278 * E6.1.1.21)</v>
      </c>
      <c r="M314" s="80" t="str">
        <f t="shared" si="526"/>
        <v>mRNA313: -&gt; E6.1.1.21_mRNA | 0.00292 - (0.0093 * E6.1.1.21_mRNA)</v>
      </c>
      <c r="N314" s="73" t="str">
        <f t="shared" si="527"/>
        <v>Peptide313: E6.1.1.21_mRNA -&gt; E6.1.1.21 | (0.278 * E6.1.1.21_mRNA) - (0.000000278 * E6.1.1.21)</v>
      </c>
    </row>
    <row r="315" spans="1:14" ht="25">
      <c r="A315" s="70">
        <v>314</v>
      </c>
      <c r="B315" s="81" t="s">
        <v>17313</v>
      </c>
      <c r="C315" s="72" t="str">
        <f t="shared" si="518"/>
        <v>E6.1.1.22_mRNA</v>
      </c>
      <c r="D315" s="72" t="str">
        <f t="shared" si="519"/>
        <v>E6.1.1.22</v>
      </c>
      <c r="E315" s="73" t="str">
        <f t="shared" si="520"/>
        <v>E6.1.1.22_kcat : 13.7</v>
      </c>
      <c r="F315" s="74" t="str">
        <f t="shared" si="521"/>
        <v>E6.1.1.22_km : 1</v>
      </c>
      <c r="G315" s="75" t="str">
        <f t="shared" ref="G315:H315" si="642">CONCATENATE(C315," : ",C315)</f>
        <v>E6.1.1.22_mRNA : E6.1.1.22_mRNA</v>
      </c>
      <c r="H315" s="76" t="str">
        <f t="shared" si="642"/>
        <v>E6.1.1.22 : E6.1.1.22</v>
      </c>
      <c r="I315" s="77" t="str">
        <f t="shared" ref="I315:J315" si="643">CONCATENATE(C315," : ","0")</f>
        <v>E6.1.1.22_mRNA : 0</v>
      </c>
      <c r="J315" s="78" t="str">
        <f t="shared" si="643"/>
        <v>E6.1.1.22 : 0</v>
      </c>
      <c r="K315" s="79" t="str">
        <f t="shared" si="524"/>
        <v>0.00292 - (0.0093 * E6.1.1.22_mRNA)</v>
      </c>
      <c r="L315" s="75" t="str">
        <f t="shared" si="525"/>
        <v>(0.278 * E6.1.1.22_mRNA) - (0.00000278 * E6.1.1.22)</v>
      </c>
      <c r="M315" s="80" t="str">
        <f t="shared" si="526"/>
        <v>mRNA314: -&gt; E6.1.1.22_mRNA | 0.00292 - (0.0093 * E6.1.1.22_mRNA)</v>
      </c>
      <c r="N315" s="73" t="str">
        <f t="shared" si="527"/>
        <v>Peptide314: E6.1.1.22_mRNA -&gt; E6.1.1.22 | (0.278 * E6.1.1.22_mRNA) - (0.000000278 * E6.1.1.22)</v>
      </c>
    </row>
    <row r="316" spans="1:14" ht="25">
      <c r="A316" s="70">
        <v>315</v>
      </c>
      <c r="B316" s="81" t="s">
        <v>17314</v>
      </c>
      <c r="C316" s="72" t="str">
        <f t="shared" si="518"/>
        <v>E6.1.1.3_mRNA</v>
      </c>
      <c r="D316" s="72" t="str">
        <f t="shared" si="519"/>
        <v>E6.1.1.3</v>
      </c>
      <c r="E316" s="73" t="str">
        <f t="shared" si="520"/>
        <v>E6.1.1.3_kcat : 13.7</v>
      </c>
      <c r="F316" s="74" t="str">
        <f t="shared" si="521"/>
        <v>E6.1.1.3_km : 1</v>
      </c>
      <c r="G316" s="75" t="str">
        <f t="shared" ref="G316:H316" si="644">CONCATENATE(C316," : ",C316)</f>
        <v>E6.1.1.3_mRNA : E6.1.1.3_mRNA</v>
      </c>
      <c r="H316" s="76" t="str">
        <f t="shared" si="644"/>
        <v>E6.1.1.3 : E6.1.1.3</v>
      </c>
      <c r="I316" s="77" t="str">
        <f t="shared" ref="I316:J316" si="645">CONCATENATE(C316," : ","0")</f>
        <v>E6.1.1.3_mRNA : 0</v>
      </c>
      <c r="J316" s="78" t="str">
        <f t="shared" si="645"/>
        <v>E6.1.1.3 : 0</v>
      </c>
      <c r="K316" s="79" t="str">
        <f t="shared" si="524"/>
        <v>0.00292 - (0.0093 * E6.1.1.3_mRNA)</v>
      </c>
      <c r="L316" s="75" t="str">
        <f t="shared" si="525"/>
        <v>(0.278 * E6.1.1.3_mRNA) - (0.00000278 * E6.1.1.3)</v>
      </c>
      <c r="M316" s="80" t="str">
        <f t="shared" si="526"/>
        <v>mRNA315: -&gt; E6.1.1.3_mRNA | 0.00292 - (0.0093 * E6.1.1.3_mRNA)</v>
      </c>
      <c r="N316" s="73" t="str">
        <f t="shared" si="527"/>
        <v>Peptide315: E6.1.1.3_mRNA -&gt; E6.1.1.3 | (0.278 * E6.1.1.3_mRNA) - (0.000000278 * E6.1.1.3)</v>
      </c>
    </row>
    <row r="317" spans="1:14" ht="25">
      <c r="A317" s="70">
        <v>316</v>
      </c>
      <c r="B317" s="81" t="s">
        <v>17315</v>
      </c>
      <c r="C317" s="72" t="str">
        <f t="shared" si="518"/>
        <v>E6.1.1.4_mRNA</v>
      </c>
      <c r="D317" s="72" t="str">
        <f t="shared" si="519"/>
        <v>E6.1.1.4</v>
      </c>
      <c r="E317" s="73" t="str">
        <f t="shared" si="520"/>
        <v>E6.1.1.4_kcat : 13.7</v>
      </c>
      <c r="F317" s="74" t="str">
        <f t="shared" si="521"/>
        <v>E6.1.1.4_km : 1</v>
      </c>
      <c r="G317" s="75" t="str">
        <f t="shared" ref="G317:H317" si="646">CONCATENATE(C317," : ",C317)</f>
        <v>E6.1.1.4_mRNA : E6.1.1.4_mRNA</v>
      </c>
      <c r="H317" s="76" t="str">
        <f t="shared" si="646"/>
        <v>E6.1.1.4 : E6.1.1.4</v>
      </c>
      <c r="I317" s="77" t="str">
        <f t="shared" ref="I317:J317" si="647">CONCATENATE(C317," : ","0")</f>
        <v>E6.1.1.4_mRNA : 0</v>
      </c>
      <c r="J317" s="78" t="str">
        <f t="shared" si="647"/>
        <v>E6.1.1.4 : 0</v>
      </c>
      <c r="K317" s="79" t="str">
        <f t="shared" si="524"/>
        <v>0.00292 - (0.0093 * E6.1.1.4_mRNA)</v>
      </c>
      <c r="L317" s="75" t="str">
        <f t="shared" si="525"/>
        <v>(0.278 * E6.1.1.4_mRNA) - (0.00000278 * E6.1.1.4)</v>
      </c>
      <c r="M317" s="80" t="str">
        <f t="shared" si="526"/>
        <v>mRNA316: -&gt; E6.1.1.4_mRNA | 0.00292 - (0.0093 * E6.1.1.4_mRNA)</v>
      </c>
      <c r="N317" s="73" t="str">
        <f t="shared" si="527"/>
        <v>Peptide316: E6.1.1.4_mRNA -&gt; E6.1.1.4 | (0.278 * E6.1.1.4_mRNA) - (0.000000278 * E6.1.1.4)</v>
      </c>
    </row>
    <row r="318" spans="1:14" ht="25">
      <c r="A318" s="70">
        <v>317</v>
      </c>
      <c r="B318" s="81" t="s">
        <v>17316</v>
      </c>
      <c r="C318" s="72" t="str">
        <f t="shared" si="518"/>
        <v>E6.1.1.5_mRNA</v>
      </c>
      <c r="D318" s="72" t="str">
        <f t="shared" si="519"/>
        <v>E6.1.1.5</v>
      </c>
      <c r="E318" s="73" t="str">
        <f t="shared" si="520"/>
        <v>E6.1.1.5_kcat : 13.7</v>
      </c>
      <c r="F318" s="74" t="str">
        <f t="shared" si="521"/>
        <v>E6.1.1.5_km : 1</v>
      </c>
      <c r="G318" s="75" t="str">
        <f t="shared" ref="G318:H318" si="648">CONCATENATE(C318," : ",C318)</f>
        <v>E6.1.1.5_mRNA : E6.1.1.5_mRNA</v>
      </c>
      <c r="H318" s="76" t="str">
        <f t="shared" si="648"/>
        <v>E6.1.1.5 : E6.1.1.5</v>
      </c>
      <c r="I318" s="77" t="str">
        <f t="shared" ref="I318:J318" si="649">CONCATENATE(C318," : ","0")</f>
        <v>E6.1.1.5_mRNA : 0</v>
      </c>
      <c r="J318" s="78" t="str">
        <f t="shared" si="649"/>
        <v>E6.1.1.5 : 0</v>
      </c>
      <c r="K318" s="79" t="str">
        <f t="shared" si="524"/>
        <v>0.00292 - (0.0093 * E6.1.1.5_mRNA)</v>
      </c>
      <c r="L318" s="75" t="str">
        <f t="shared" si="525"/>
        <v>(0.278 * E6.1.1.5_mRNA) - (0.00000278 * E6.1.1.5)</v>
      </c>
      <c r="M318" s="80" t="str">
        <f t="shared" si="526"/>
        <v>mRNA317: -&gt; E6.1.1.5_mRNA | 0.00292 - (0.0093 * E6.1.1.5_mRNA)</v>
      </c>
      <c r="N318" s="73" t="str">
        <f t="shared" si="527"/>
        <v>Peptide317: E6.1.1.5_mRNA -&gt; E6.1.1.5 | (0.278 * E6.1.1.5_mRNA) - (0.000000278 * E6.1.1.5)</v>
      </c>
    </row>
    <row r="319" spans="1:14" ht="25">
      <c r="A319" s="70">
        <v>318</v>
      </c>
      <c r="B319" s="81" t="s">
        <v>17317</v>
      </c>
      <c r="C319" s="72" t="str">
        <f t="shared" si="518"/>
        <v>E6.1.1.6_mRNA</v>
      </c>
      <c r="D319" s="72" t="str">
        <f t="shared" si="519"/>
        <v>E6.1.1.6</v>
      </c>
      <c r="E319" s="73" t="str">
        <f t="shared" si="520"/>
        <v>E6.1.1.6_kcat : 13.7</v>
      </c>
      <c r="F319" s="74" t="str">
        <f t="shared" si="521"/>
        <v>E6.1.1.6_km : 1</v>
      </c>
      <c r="G319" s="75" t="str">
        <f t="shared" ref="G319:H319" si="650">CONCATENATE(C319," : ",C319)</f>
        <v>E6.1.1.6_mRNA : E6.1.1.6_mRNA</v>
      </c>
      <c r="H319" s="76" t="str">
        <f t="shared" si="650"/>
        <v>E6.1.1.6 : E6.1.1.6</v>
      </c>
      <c r="I319" s="77" t="str">
        <f t="shared" ref="I319:J319" si="651">CONCATENATE(C319," : ","0")</f>
        <v>E6.1.1.6_mRNA : 0</v>
      </c>
      <c r="J319" s="78" t="str">
        <f t="shared" si="651"/>
        <v>E6.1.1.6 : 0</v>
      </c>
      <c r="K319" s="79" t="str">
        <f t="shared" si="524"/>
        <v>0.00292 - (0.0093 * E6.1.1.6_mRNA)</v>
      </c>
      <c r="L319" s="75" t="str">
        <f t="shared" si="525"/>
        <v>(0.278 * E6.1.1.6_mRNA) - (0.00000278 * E6.1.1.6)</v>
      </c>
      <c r="M319" s="80" t="str">
        <f t="shared" si="526"/>
        <v>mRNA318: -&gt; E6.1.1.6_mRNA | 0.00292 - (0.0093 * E6.1.1.6_mRNA)</v>
      </c>
      <c r="N319" s="73" t="str">
        <f t="shared" si="527"/>
        <v>Peptide318: E6.1.1.6_mRNA -&gt; E6.1.1.6 | (0.278 * E6.1.1.6_mRNA) - (0.000000278 * E6.1.1.6)</v>
      </c>
    </row>
    <row r="320" spans="1:14" ht="25">
      <c r="A320" s="70">
        <v>319</v>
      </c>
      <c r="B320" s="81" t="s">
        <v>17318</v>
      </c>
      <c r="C320" s="72" t="str">
        <f t="shared" si="518"/>
        <v>E6.1.1.7_mRNA</v>
      </c>
      <c r="D320" s="72" t="str">
        <f t="shared" si="519"/>
        <v>E6.1.1.7</v>
      </c>
      <c r="E320" s="73" t="str">
        <f t="shared" si="520"/>
        <v>E6.1.1.7_kcat : 13.7</v>
      </c>
      <c r="F320" s="74" t="str">
        <f t="shared" si="521"/>
        <v>E6.1.1.7_km : 1</v>
      </c>
      <c r="G320" s="75" t="str">
        <f t="shared" ref="G320:H320" si="652">CONCATENATE(C320," : ",C320)</f>
        <v>E6.1.1.7_mRNA : E6.1.1.7_mRNA</v>
      </c>
      <c r="H320" s="76" t="str">
        <f t="shared" si="652"/>
        <v>E6.1.1.7 : E6.1.1.7</v>
      </c>
      <c r="I320" s="77" t="str">
        <f t="shared" ref="I320:J320" si="653">CONCATENATE(C320," : ","0")</f>
        <v>E6.1.1.7_mRNA : 0</v>
      </c>
      <c r="J320" s="78" t="str">
        <f t="shared" si="653"/>
        <v>E6.1.1.7 : 0</v>
      </c>
      <c r="K320" s="79" t="str">
        <f t="shared" si="524"/>
        <v>0.00292 - (0.0093 * E6.1.1.7_mRNA)</v>
      </c>
      <c r="L320" s="75" t="str">
        <f t="shared" si="525"/>
        <v>(0.278 * E6.1.1.7_mRNA) - (0.00000278 * E6.1.1.7)</v>
      </c>
      <c r="M320" s="80" t="str">
        <f t="shared" si="526"/>
        <v>mRNA319: -&gt; E6.1.1.7_mRNA | 0.00292 - (0.0093 * E6.1.1.7_mRNA)</v>
      </c>
      <c r="N320" s="73" t="str">
        <f t="shared" si="527"/>
        <v>Peptide319: E6.1.1.7_mRNA -&gt; E6.1.1.7 | (0.278 * E6.1.1.7_mRNA) - (0.000000278 * E6.1.1.7)</v>
      </c>
    </row>
    <row r="321" spans="1:14" ht="25">
      <c r="A321" s="70">
        <v>320</v>
      </c>
      <c r="B321" s="81" t="s">
        <v>17319</v>
      </c>
      <c r="C321" s="72" t="str">
        <f t="shared" si="518"/>
        <v>E6.1.1.9_mRNA</v>
      </c>
      <c r="D321" s="72" t="str">
        <f t="shared" si="519"/>
        <v>E6.1.1.9</v>
      </c>
      <c r="E321" s="73" t="str">
        <f t="shared" si="520"/>
        <v>E6.1.1.9_kcat : 13.7</v>
      </c>
      <c r="F321" s="74" t="str">
        <f t="shared" si="521"/>
        <v>E6.1.1.9_km : 1</v>
      </c>
      <c r="G321" s="75" t="str">
        <f t="shared" ref="G321:H321" si="654">CONCATENATE(C321," : ",C321)</f>
        <v>E6.1.1.9_mRNA : E6.1.1.9_mRNA</v>
      </c>
      <c r="H321" s="76" t="str">
        <f t="shared" si="654"/>
        <v>E6.1.1.9 : E6.1.1.9</v>
      </c>
      <c r="I321" s="77" t="str">
        <f t="shared" ref="I321:J321" si="655">CONCATENATE(C321," : ","0")</f>
        <v>E6.1.1.9_mRNA : 0</v>
      </c>
      <c r="J321" s="78" t="str">
        <f t="shared" si="655"/>
        <v>E6.1.1.9 : 0</v>
      </c>
      <c r="K321" s="79" t="str">
        <f t="shared" si="524"/>
        <v>0.00292 - (0.0093 * E6.1.1.9_mRNA)</v>
      </c>
      <c r="L321" s="75" t="str">
        <f t="shared" si="525"/>
        <v>(0.278 * E6.1.1.9_mRNA) - (0.00000278 * E6.1.1.9)</v>
      </c>
      <c r="M321" s="80" t="str">
        <f t="shared" si="526"/>
        <v>mRNA320: -&gt; E6.1.1.9_mRNA | 0.00292 - (0.0093 * E6.1.1.9_mRNA)</v>
      </c>
      <c r="N321" s="73" t="str">
        <f t="shared" si="527"/>
        <v>Peptide320: E6.1.1.9_mRNA -&gt; E6.1.1.9 | (0.278 * E6.1.1.9_mRNA) - (0.000000278 * E6.1.1.9)</v>
      </c>
    </row>
    <row r="322" spans="1:14" ht="25">
      <c r="A322" s="70">
        <v>321</v>
      </c>
      <c r="B322" s="81" t="s">
        <v>17320</v>
      </c>
      <c r="C322" s="72" t="str">
        <f t="shared" si="518"/>
        <v>E6.2.1.22_mRNA</v>
      </c>
      <c r="D322" s="72" t="str">
        <f t="shared" si="519"/>
        <v>E6.2.1.22</v>
      </c>
      <c r="E322" s="73" t="str">
        <f t="shared" si="520"/>
        <v>E6.2.1.22_kcat : 13.7</v>
      </c>
      <c r="F322" s="74" t="str">
        <f t="shared" si="521"/>
        <v>E6.2.1.22_km : 1</v>
      </c>
      <c r="G322" s="75" t="str">
        <f t="shared" ref="G322:H322" si="656">CONCATENATE(C322," : ",C322)</f>
        <v>E6.2.1.22_mRNA : E6.2.1.22_mRNA</v>
      </c>
      <c r="H322" s="76" t="str">
        <f t="shared" si="656"/>
        <v>E6.2.1.22 : E6.2.1.22</v>
      </c>
      <c r="I322" s="77" t="str">
        <f t="shared" ref="I322:J322" si="657">CONCATENATE(C322," : ","0")</f>
        <v>E6.2.1.22_mRNA : 0</v>
      </c>
      <c r="J322" s="78" t="str">
        <f t="shared" si="657"/>
        <v>E6.2.1.22 : 0</v>
      </c>
      <c r="K322" s="79" t="str">
        <f t="shared" si="524"/>
        <v>0.00292 - (0.0093 * E6.2.1.22_mRNA)</v>
      </c>
      <c r="L322" s="75" t="str">
        <f t="shared" si="525"/>
        <v>(0.278 * E6.2.1.22_mRNA) - (0.00000278 * E6.2.1.22)</v>
      </c>
      <c r="M322" s="80" t="str">
        <f t="shared" si="526"/>
        <v>mRNA321: -&gt; E6.2.1.22_mRNA | 0.00292 - (0.0093 * E6.2.1.22_mRNA)</v>
      </c>
      <c r="N322" s="73" t="str">
        <f t="shared" si="527"/>
        <v>Peptide321: E6.2.1.22_mRNA -&gt; E6.2.1.22 | (0.278 * E6.2.1.22_mRNA) - (0.000000278 * E6.2.1.22)</v>
      </c>
    </row>
    <row r="323" spans="1:14" ht="25">
      <c r="A323" s="70">
        <v>322</v>
      </c>
      <c r="B323" s="81" t="s">
        <v>17321</v>
      </c>
      <c r="C323" s="72" t="str">
        <f t="shared" si="518"/>
        <v>E6.3.1.2_mRNA</v>
      </c>
      <c r="D323" s="72" t="str">
        <f t="shared" si="519"/>
        <v>E6.3.1.2</v>
      </c>
      <c r="E323" s="73" t="str">
        <f t="shared" si="520"/>
        <v>E6.3.1.2_kcat : 13.7</v>
      </c>
      <c r="F323" s="74" t="str">
        <f t="shared" si="521"/>
        <v>E6.3.1.2_km : 1</v>
      </c>
      <c r="G323" s="75" t="str">
        <f t="shared" ref="G323:H323" si="658">CONCATENATE(C323," : ",C323)</f>
        <v>E6.3.1.2_mRNA : E6.3.1.2_mRNA</v>
      </c>
      <c r="H323" s="76" t="str">
        <f t="shared" si="658"/>
        <v>E6.3.1.2 : E6.3.1.2</v>
      </c>
      <c r="I323" s="77" t="str">
        <f t="shared" ref="I323:J323" si="659">CONCATENATE(C323," : ","0")</f>
        <v>E6.3.1.2_mRNA : 0</v>
      </c>
      <c r="J323" s="78" t="str">
        <f t="shared" si="659"/>
        <v>E6.3.1.2 : 0</v>
      </c>
      <c r="K323" s="79" t="str">
        <f t="shared" si="524"/>
        <v>0.00292 - (0.0093 * E6.3.1.2_mRNA)</v>
      </c>
      <c r="L323" s="75" t="str">
        <f t="shared" si="525"/>
        <v>(0.278 * E6.3.1.2_mRNA) - (0.00000278 * E6.3.1.2)</v>
      </c>
      <c r="M323" s="80" t="str">
        <f t="shared" si="526"/>
        <v>mRNA322: -&gt; E6.3.1.2_mRNA | 0.00292 - (0.0093 * E6.3.1.2_mRNA)</v>
      </c>
      <c r="N323" s="73" t="str">
        <f t="shared" si="527"/>
        <v>Peptide322: E6.3.1.2_mRNA -&gt; E6.3.1.2 | (0.278 * E6.3.1.2_mRNA) - (0.000000278 * E6.3.1.2)</v>
      </c>
    </row>
    <row r="324" spans="1:14" ht="25">
      <c r="A324" s="70">
        <v>323</v>
      </c>
      <c r="B324" s="81" t="s">
        <v>17322</v>
      </c>
      <c r="C324" s="72" t="str">
        <f t="shared" si="518"/>
        <v>E6.3.1.20_mRNA</v>
      </c>
      <c r="D324" s="72" t="str">
        <f t="shared" si="519"/>
        <v>E6.3.1.20</v>
      </c>
      <c r="E324" s="73" t="str">
        <f t="shared" si="520"/>
        <v>E6.3.1.20_kcat : 13.7</v>
      </c>
      <c r="F324" s="74" t="str">
        <f t="shared" si="521"/>
        <v>E6.3.1.20_km : 1</v>
      </c>
      <c r="G324" s="75" t="str">
        <f t="shared" ref="G324:H324" si="660">CONCATENATE(C324," : ",C324)</f>
        <v>E6.3.1.20_mRNA : E6.3.1.20_mRNA</v>
      </c>
      <c r="H324" s="76" t="str">
        <f t="shared" si="660"/>
        <v>E6.3.1.20 : E6.3.1.20</v>
      </c>
      <c r="I324" s="77" t="str">
        <f t="shared" ref="I324:J324" si="661">CONCATENATE(C324," : ","0")</f>
        <v>E6.3.1.20_mRNA : 0</v>
      </c>
      <c r="J324" s="78" t="str">
        <f t="shared" si="661"/>
        <v>E6.3.1.20 : 0</v>
      </c>
      <c r="K324" s="79" t="str">
        <f t="shared" si="524"/>
        <v>0.00292 - (0.0093 * E6.3.1.20_mRNA)</v>
      </c>
      <c r="L324" s="75" t="str">
        <f t="shared" si="525"/>
        <v>(0.278 * E6.3.1.20_mRNA) - (0.00000278 * E6.3.1.20)</v>
      </c>
      <c r="M324" s="80" t="str">
        <f t="shared" si="526"/>
        <v>mRNA323: -&gt; E6.3.1.20_mRNA | 0.00292 - (0.0093 * E6.3.1.20_mRNA)</v>
      </c>
      <c r="N324" s="73" t="str">
        <f t="shared" si="527"/>
        <v>Peptide323: E6.3.1.20_mRNA -&gt; E6.3.1.20 | (0.278 * E6.3.1.20_mRNA) - (0.000000278 * E6.3.1.20)</v>
      </c>
    </row>
    <row r="325" spans="1:14" ht="25">
      <c r="A325" s="70">
        <v>324</v>
      </c>
      <c r="B325" s="81" t="s">
        <v>17323</v>
      </c>
      <c r="C325" s="72" t="str">
        <f t="shared" si="518"/>
        <v>E6.3.1.5_mRNA</v>
      </c>
      <c r="D325" s="72" t="str">
        <f t="shared" si="519"/>
        <v>E6.3.1.5</v>
      </c>
      <c r="E325" s="73" t="str">
        <f t="shared" si="520"/>
        <v>E6.3.1.5_kcat : 13.7</v>
      </c>
      <c r="F325" s="74" t="str">
        <f t="shared" si="521"/>
        <v>E6.3.1.5_km : 1</v>
      </c>
      <c r="G325" s="75" t="str">
        <f t="shared" ref="G325:H325" si="662">CONCATENATE(C325," : ",C325)</f>
        <v>E6.3.1.5_mRNA : E6.3.1.5_mRNA</v>
      </c>
      <c r="H325" s="76" t="str">
        <f t="shared" si="662"/>
        <v>E6.3.1.5 : E6.3.1.5</v>
      </c>
      <c r="I325" s="77" t="str">
        <f t="shared" ref="I325:J325" si="663">CONCATENATE(C325," : ","0")</f>
        <v>E6.3.1.5_mRNA : 0</v>
      </c>
      <c r="J325" s="78" t="str">
        <f t="shared" si="663"/>
        <v>E6.3.1.5 : 0</v>
      </c>
      <c r="K325" s="79" t="str">
        <f t="shared" si="524"/>
        <v>0.00292 - (0.0093 * E6.3.1.5_mRNA)</v>
      </c>
      <c r="L325" s="75" t="str">
        <f t="shared" si="525"/>
        <v>(0.278 * E6.3.1.5_mRNA) - (0.00000278 * E6.3.1.5)</v>
      </c>
      <c r="M325" s="80" t="str">
        <f t="shared" si="526"/>
        <v>mRNA324: -&gt; E6.3.1.5_mRNA | 0.00292 - (0.0093 * E6.3.1.5_mRNA)</v>
      </c>
      <c r="N325" s="73" t="str">
        <f t="shared" si="527"/>
        <v>Peptide324: E6.3.1.5_mRNA -&gt; E6.3.1.5 | (0.278 * E6.3.1.5_mRNA) - (0.000000278 * E6.3.1.5)</v>
      </c>
    </row>
    <row r="326" spans="1:14" ht="25">
      <c r="A326" s="70">
        <v>325</v>
      </c>
      <c r="B326" s="81" t="s">
        <v>17324</v>
      </c>
      <c r="C326" s="72" t="str">
        <f t="shared" si="518"/>
        <v>E6.3.2.10_mRNA</v>
      </c>
      <c r="D326" s="72" t="str">
        <f t="shared" si="519"/>
        <v>E6.3.2.10</v>
      </c>
      <c r="E326" s="73" t="str">
        <f t="shared" si="520"/>
        <v>E6.3.2.10_kcat : 13.7</v>
      </c>
      <c r="F326" s="74" t="str">
        <f t="shared" si="521"/>
        <v>E6.3.2.10_km : 1</v>
      </c>
      <c r="G326" s="75" t="str">
        <f t="shared" ref="G326:H326" si="664">CONCATENATE(C326," : ",C326)</f>
        <v>E6.3.2.10_mRNA : E6.3.2.10_mRNA</v>
      </c>
      <c r="H326" s="76" t="str">
        <f t="shared" si="664"/>
        <v>E6.3.2.10 : E6.3.2.10</v>
      </c>
      <c r="I326" s="77" t="str">
        <f t="shared" ref="I326:J326" si="665">CONCATENATE(C326," : ","0")</f>
        <v>E6.3.2.10_mRNA : 0</v>
      </c>
      <c r="J326" s="78" t="str">
        <f t="shared" si="665"/>
        <v>E6.3.2.10 : 0</v>
      </c>
      <c r="K326" s="79" t="str">
        <f t="shared" si="524"/>
        <v>0.00292 - (0.0093 * E6.3.2.10_mRNA)</v>
      </c>
      <c r="L326" s="75" t="str">
        <f t="shared" si="525"/>
        <v>(0.278 * E6.3.2.10_mRNA) - (0.00000278 * E6.3.2.10)</v>
      </c>
      <c r="M326" s="80" t="str">
        <f t="shared" si="526"/>
        <v>mRNA325: -&gt; E6.3.2.10_mRNA | 0.00292 - (0.0093 * E6.3.2.10_mRNA)</v>
      </c>
      <c r="N326" s="73" t="str">
        <f t="shared" si="527"/>
        <v>Peptide325: E6.3.2.10_mRNA -&gt; E6.3.2.10 | (0.278 * E6.3.2.10_mRNA) - (0.000000278 * E6.3.2.10)</v>
      </c>
    </row>
    <row r="327" spans="1:14" ht="25">
      <c r="A327" s="70">
        <v>326</v>
      </c>
      <c r="B327" s="81" t="s">
        <v>17325</v>
      </c>
      <c r="C327" s="72" t="str">
        <f t="shared" si="518"/>
        <v>E6.3.2.13_mRNA</v>
      </c>
      <c r="D327" s="72" t="str">
        <f t="shared" si="519"/>
        <v>E6.3.2.13</v>
      </c>
      <c r="E327" s="73" t="str">
        <f t="shared" si="520"/>
        <v>E6.3.2.13_kcat : 13.7</v>
      </c>
      <c r="F327" s="74" t="str">
        <f t="shared" si="521"/>
        <v>E6.3.2.13_km : 1</v>
      </c>
      <c r="G327" s="75" t="str">
        <f t="shared" ref="G327:H327" si="666">CONCATENATE(C327," : ",C327)</f>
        <v>E6.3.2.13_mRNA : E6.3.2.13_mRNA</v>
      </c>
      <c r="H327" s="76" t="str">
        <f t="shared" si="666"/>
        <v>E6.3.2.13 : E6.3.2.13</v>
      </c>
      <c r="I327" s="77" t="str">
        <f t="shared" ref="I327:J327" si="667">CONCATENATE(C327," : ","0")</f>
        <v>E6.3.2.13_mRNA : 0</v>
      </c>
      <c r="J327" s="78" t="str">
        <f t="shared" si="667"/>
        <v>E6.3.2.13 : 0</v>
      </c>
      <c r="K327" s="79" t="str">
        <f t="shared" si="524"/>
        <v>0.00292 - (0.0093 * E6.3.2.13_mRNA)</v>
      </c>
      <c r="L327" s="75" t="str">
        <f t="shared" si="525"/>
        <v>(0.278 * E6.3.2.13_mRNA) - (0.00000278 * E6.3.2.13)</v>
      </c>
      <c r="M327" s="80" t="str">
        <f t="shared" si="526"/>
        <v>mRNA326: -&gt; E6.3.2.13_mRNA | 0.00292 - (0.0093 * E6.3.2.13_mRNA)</v>
      </c>
      <c r="N327" s="73" t="str">
        <f t="shared" si="527"/>
        <v>Peptide326: E6.3.2.13_mRNA -&gt; E6.3.2.13 | (0.278 * E6.3.2.13_mRNA) - (0.000000278 * E6.3.2.13)</v>
      </c>
    </row>
    <row r="328" spans="1:14" ht="25">
      <c r="A328" s="70">
        <v>327</v>
      </c>
      <c r="B328" s="81" t="s">
        <v>17326</v>
      </c>
      <c r="C328" s="72" t="str">
        <f t="shared" si="518"/>
        <v>E6.3.2.4_mRNA</v>
      </c>
      <c r="D328" s="72" t="str">
        <f t="shared" si="519"/>
        <v>E6.3.2.4</v>
      </c>
      <c r="E328" s="73" t="str">
        <f t="shared" si="520"/>
        <v>E6.3.2.4_kcat : 13.7</v>
      </c>
      <c r="F328" s="74" t="str">
        <f t="shared" si="521"/>
        <v>E6.3.2.4_km : 1</v>
      </c>
      <c r="G328" s="75" t="str">
        <f t="shared" ref="G328:H328" si="668">CONCATENATE(C328," : ",C328)</f>
        <v>E6.3.2.4_mRNA : E6.3.2.4_mRNA</v>
      </c>
      <c r="H328" s="76" t="str">
        <f t="shared" si="668"/>
        <v>E6.3.2.4 : E6.3.2.4</v>
      </c>
      <c r="I328" s="77" t="str">
        <f t="shared" ref="I328:J328" si="669">CONCATENATE(C328," : ","0")</f>
        <v>E6.3.2.4_mRNA : 0</v>
      </c>
      <c r="J328" s="78" t="str">
        <f t="shared" si="669"/>
        <v>E6.3.2.4 : 0</v>
      </c>
      <c r="K328" s="79" t="str">
        <f t="shared" si="524"/>
        <v>0.00292 - (0.0093 * E6.3.2.4_mRNA)</v>
      </c>
      <c r="L328" s="75" t="str">
        <f t="shared" si="525"/>
        <v>(0.278 * E6.3.2.4_mRNA) - (0.00000278 * E6.3.2.4)</v>
      </c>
      <c r="M328" s="80" t="str">
        <f t="shared" si="526"/>
        <v>mRNA327: -&gt; E6.3.2.4_mRNA | 0.00292 - (0.0093 * E6.3.2.4_mRNA)</v>
      </c>
      <c r="N328" s="73" t="str">
        <f t="shared" si="527"/>
        <v>Peptide327: E6.3.2.4_mRNA -&gt; E6.3.2.4 | (0.278 * E6.3.2.4_mRNA) - (0.000000278 * E6.3.2.4)</v>
      </c>
    </row>
    <row r="329" spans="1:14" ht="25">
      <c r="A329" s="70">
        <v>328</v>
      </c>
      <c r="B329" s="81" t="s">
        <v>17327</v>
      </c>
      <c r="C329" s="72" t="str">
        <f t="shared" si="518"/>
        <v>E6.3.2.5_mRNA</v>
      </c>
      <c r="D329" s="72" t="str">
        <f t="shared" si="519"/>
        <v>E6.3.2.5</v>
      </c>
      <c r="E329" s="73" t="str">
        <f t="shared" si="520"/>
        <v>E6.3.2.5_kcat : 13.7</v>
      </c>
      <c r="F329" s="74" t="str">
        <f t="shared" si="521"/>
        <v>E6.3.2.5_km : 1</v>
      </c>
      <c r="G329" s="75" t="str">
        <f t="shared" ref="G329:H329" si="670">CONCATENATE(C329," : ",C329)</f>
        <v>E6.3.2.5_mRNA : E6.3.2.5_mRNA</v>
      </c>
      <c r="H329" s="76" t="str">
        <f t="shared" si="670"/>
        <v>E6.3.2.5 : E6.3.2.5</v>
      </c>
      <c r="I329" s="77" t="str">
        <f t="shared" ref="I329:J329" si="671">CONCATENATE(C329," : ","0")</f>
        <v>E6.3.2.5_mRNA : 0</v>
      </c>
      <c r="J329" s="78" t="str">
        <f t="shared" si="671"/>
        <v>E6.3.2.5 : 0</v>
      </c>
      <c r="K329" s="79" t="str">
        <f t="shared" si="524"/>
        <v>0.00292 - (0.0093 * E6.3.2.5_mRNA)</v>
      </c>
      <c r="L329" s="75" t="str">
        <f t="shared" si="525"/>
        <v>(0.278 * E6.3.2.5_mRNA) - (0.00000278 * E6.3.2.5)</v>
      </c>
      <c r="M329" s="80" t="str">
        <f t="shared" si="526"/>
        <v>mRNA328: -&gt; E6.3.2.5_mRNA | 0.00292 - (0.0093 * E6.3.2.5_mRNA)</v>
      </c>
      <c r="N329" s="73" t="str">
        <f t="shared" si="527"/>
        <v>Peptide328: E6.3.2.5_mRNA -&gt; E6.3.2.5 | (0.278 * E6.3.2.5_mRNA) - (0.000000278 * E6.3.2.5)</v>
      </c>
    </row>
    <row r="330" spans="1:14" ht="25">
      <c r="A330" s="70">
        <v>329</v>
      </c>
      <c r="B330" s="81" t="s">
        <v>17328</v>
      </c>
      <c r="C330" s="72" t="str">
        <f t="shared" si="518"/>
        <v>E6.3.2.6_mRNA</v>
      </c>
      <c r="D330" s="72" t="str">
        <f t="shared" si="519"/>
        <v>E6.3.2.6</v>
      </c>
      <c r="E330" s="73" t="str">
        <f t="shared" si="520"/>
        <v>E6.3.2.6_kcat : 13.7</v>
      </c>
      <c r="F330" s="74" t="str">
        <f t="shared" si="521"/>
        <v>E6.3.2.6_km : 1</v>
      </c>
      <c r="G330" s="75" t="str">
        <f t="shared" ref="G330:H330" si="672">CONCATENATE(C330," : ",C330)</f>
        <v>E6.3.2.6_mRNA : E6.3.2.6_mRNA</v>
      </c>
      <c r="H330" s="76" t="str">
        <f t="shared" si="672"/>
        <v>E6.3.2.6 : E6.3.2.6</v>
      </c>
      <c r="I330" s="77" t="str">
        <f t="shared" ref="I330:J330" si="673">CONCATENATE(C330," : ","0")</f>
        <v>E6.3.2.6_mRNA : 0</v>
      </c>
      <c r="J330" s="78" t="str">
        <f t="shared" si="673"/>
        <v>E6.3.2.6 : 0</v>
      </c>
      <c r="K330" s="79" t="str">
        <f t="shared" si="524"/>
        <v>0.00292 - (0.0093 * E6.3.2.6_mRNA)</v>
      </c>
      <c r="L330" s="75" t="str">
        <f t="shared" si="525"/>
        <v>(0.278 * E6.3.2.6_mRNA) - (0.00000278 * E6.3.2.6)</v>
      </c>
      <c r="M330" s="80" t="str">
        <f t="shared" si="526"/>
        <v>mRNA329: -&gt; E6.3.2.6_mRNA | 0.00292 - (0.0093 * E6.3.2.6_mRNA)</v>
      </c>
      <c r="N330" s="73" t="str">
        <f t="shared" si="527"/>
        <v>Peptide329: E6.3.2.6_mRNA -&gt; E6.3.2.6 | (0.278 * E6.3.2.6_mRNA) - (0.000000278 * E6.3.2.6)</v>
      </c>
    </row>
    <row r="331" spans="1:14" ht="25">
      <c r="A331" s="70">
        <v>330</v>
      </c>
      <c r="B331" s="81" t="s">
        <v>17329</v>
      </c>
      <c r="C331" s="72" t="str">
        <f t="shared" si="518"/>
        <v>E6.3.2.8_mRNA</v>
      </c>
      <c r="D331" s="72" t="str">
        <f t="shared" si="519"/>
        <v>E6.3.2.8</v>
      </c>
      <c r="E331" s="73" t="str">
        <f t="shared" si="520"/>
        <v>E6.3.2.8_kcat : 13.7</v>
      </c>
      <c r="F331" s="74" t="str">
        <f t="shared" si="521"/>
        <v>E6.3.2.8_km : 1</v>
      </c>
      <c r="G331" s="75" t="str">
        <f t="shared" ref="G331:H331" si="674">CONCATENATE(C331," : ",C331)</f>
        <v>E6.3.2.8_mRNA : E6.3.2.8_mRNA</v>
      </c>
      <c r="H331" s="76" t="str">
        <f t="shared" si="674"/>
        <v>E6.3.2.8 : E6.3.2.8</v>
      </c>
      <c r="I331" s="77" t="str">
        <f t="shared" ref="I331:J331" si="675">CONCATENATE(C331," : ","0")</f>
        <v>E6.3.2.8_mRNA : 0</v>
      </c>
      <c r="J331" s="78" t="str">
        <f t="shared" si="675"/>
        <v>E6.3.2.8 : 0</v>
      </c>
      <c r="K331" s="79" t="str">
        <f t="shared" si="524"/>
        <v>0.00292 - (0.0093 * E6.3.2.8_mRNA)</v>
      </c>
      <c r="L331" s="75" t="str">
        <f t="shared" si="525"/>
        <v>(0.278 * E6.3.2.8_mRNA) - (0.00000278 * E6.3.2.8)</v>
      </c>
      <c r="M331" s="80" t="str">
        <f t="shared" si="526"/>
        <v>mRNA330: -&gt; E6.3.2.8_mRNA | 0.00292 - (0.0093 * E6.3.2.8_mRNA)</v>
      </c>
      <c r="N331" s="73" t="str">
        <f t="shared" si="527"/>
        <v>Peptide330: E6.3.2.8_mRNA -&gt; E6.3.2.8 | (0.278 * E6.3.2.8_mRNA) - (0.000000278 * E6.3.2.8)</v>
      </c>
    </row>
    <row r="332" spans="1:14" ht="25">
      <c r="A332" s="70">
        <v>331</v>
      </c>
      <c r="B332" s="81" t="s">
        <v>17330</v>
      </c>
      <c r="C332" s="72" t="str">
        <f t="shared" si="518"/>
        <v>E6.3.2.9_mRNA</v>
      </c>
      <c r="D332" s="72" t="str">
        <f t="shared" si="519"/>
        <v>E6.3.2.9</v>
      </c>
      <c r="E332" s="73" t="str">
        <f t="shared" si="520"/>
        <v>E6.3.2.9_kcat : 13.7</v>
      </c>
      <c r="F332" s="74" t="str">
        <f t="shared" si="521"/>
        <v>E6.3.2.9_km : 1</v>
      </c>
      <c r="G332" s="75" t="str">
        <f t="shared" ref="G332:H332" si="676">CONCATENATE(C332," : ",C332)</f>
        <v>E6.3.2.9_mRNA : E6.3.2.9_mRNA</v>
      </c>
      <c r="H332" s="76" t="str">
        <f t="shared" si="676"/>
        <v>E6.3.2.9 : E6.3.2.9</v>
      </c>
      <c r="I332" s="77" t="str">
        <f t="shared" ref="I332:J332" si="677">CONCATENATE(C332," : ","0")</f>
        <v>E6.3.2.9_mRNA : 0</v>
      </c>
      <c r="J332" s="78" t="str">
        <f t="shared" si="677"/>
        <v>E6.3.2.9 : 0</v>
      </c>
      <c r="K332" s="79" t="str">
        <f t="shared" si="524"/>
        <v>0.00292 - (0.0093 * E6.3.2.9_mRNA)</v>
      </c>
      <c r="L332" s="75" t="str">
        <f t="shared" si="525"/>
        <v>(0.278 * E6.3.2.9_mRNA) - (0.00000278 * E6.3.2.9)</v>
      </c>
      <c r="M332" s="80" t="str">
        <f t="shared" si="526"/>
        <v>mRNA331: -&gt; E6.3.2.9_mRNA | 0.00292 - (0.0093 * E6.3.2.9_mRNA)</v>
      </c>
      <c r="N332" s="73" t="str">
        <f t="shared" si="527"/>
        <v>Peptide331: E6.3.2.9_mRNA -&gt; E6.3.2.9 | (0.278 * E6.3.2.9_mRNA) - (0.000000278 * E6.3.2.9)</v>
      </c>
    </row>
    <row r="333" spans="1:14" ht="25">
      <c r="A333" s="70">
        <v>332</v>
      </c>
      <c r="B333" s="81" t="s">
        <v>17331</v>
      </c>
      <c r="C333" s="72" t="str">
        <f t="shared" si="518"/>
        <v>E6.3.3.1_mRNA</v>
      </c>
      <c r="D333" s="72" t="str">
        <f t="shared" si="519"/>
        <v>E6.3.3.1</v>
      </c>
      <c r="E333" s="73" t="str">
        <f t="shared" si="520"/>
        <v>E6.3.3.1_kcat : 13.7</v>
      </c>
      <c r="F333" s="74" t="str">
        <f t="shared" si="521"/>
        <v>E6.3.3.1_km : 1</v>
      </c>
      <c r="G333" s="75" t="str">
        <f t="shared" ref="G333:H333" si="678">CONCATENATE(C333," : ",C333)</f>
        <v>E6.3.3.1_mRNA : E6.3.3.1_mRNA</v>
      </c>
      <c r="H333" s="76" t="str">
        <f t="shared" si="678"/>
        <v>E6.3.3.1 : E6.3.3.1</v>
      </c>
      <c r="I333" s="77" t="str">
        <f t="shared" ref="I333:J333" si="679">CONCATENATE(C333," : ","0")</f>
        <v>E6.3.3.1_mRNA : 0</v>
      </c>
      <c r="J333" s="78" t="str">
        <f t="shared" si="679"/>
        <v>E6.3.3.1 : 0</v>
      </c>
      <c r="K333" s="79" t="str">
        <f t="shared" si="524"/>
        <v>0.00292 - (0.0093 * E6.3.3.1_mRNA)</v>
      </c>
      <c r="L333" s="75" t="str">
        <f t="shared" si="525"/>
        <v>(0.278 * E6.3.3.1_mRNA) - (0.00000278 * E6.3.3.1)</v>
      </c>
      <c r="M333" s="80" t="str">
        <f t="shared" si="526"/>
        <v>mRNA332: -&gt; E6.3.3.1_mRNA | 0.00292 - (0.0093 * E6.3.3.1_mRNA)</v>
      </c>
      <c r="N333" s="73" t="str">
        <f t="shared" si="527"/>
        <v>Peptide332: E6.3.3.1_mRNA -&gt; E6.3.3.1 | (0.278 * E6.3.3.1_mRNA) - (0.000000278 * E6.3.3.1)</v>
      </c>
    </row>
    <row r="334" spans="1:14" ht="25">
      <c r="A334" s="70">
        <v>333</v>
      </c>
      <c r="B334" s="81" t="s">
        <v>17332</v>
      </c>
      <c r="C334" s="72" t="str">
        <f t="shared" si="518"/>
        <v>E6.3.3.2_mRNA</v>
      </c>
      <c r="D334" s="72" t="str">
        <f t="shared" si="519"/>
        <v>E6.3.3.2</v>
      </c>
      <c r="E334" s="73" t="str">
        <f t="shared" si="520"/>
        <v>E6.3.3.2_kcat : 13.7</v>
      </c>
      <c r="F334" s="74" t="str">
        <f t="shared" si="521"/>
        <v>E6.3.3.2_km : 1</v>
      </c>
      <c r="G334" s="75" t="str">
        <f t="shared" ref="G334:H334" si="680">CONCATENATE(C334," : ",C334)</f>
        <v>E6.3.3.2_mRNA : E6.3.3.2_mRNA</v>
      </c>
      <c r="H334" s="76" t="str">
        <f t="shared" si="680"/>
        <v>E6.3.3.2 : E6.3.3.2</v>
      </c>
      <c r="I334" s="77" t="str">
        <f t="shared" ref="I334:J334" si="681">CONCATENATE(C334," : ","0")</f>
        <v>E6.3.3.2_mRNA : 0</v>
      </c>
      <c r="J334" s="78" t="str">
        <f t="shared" si="681"/>
        <v>E6.3.3.2 : 0</v>
      </c>
      <c r="K334" s="79" t="str">
        <f t="shared" si="524"/>
        <v>0.00292 - (0.0093 * E6.3.3.2_mRNA)</v>
      </c>
      <c r="L334" s="75" t="str">
        <f t="shared" si="525"/>
        <v>(0.278 * E6.3.3.2_mRNA) - (0.00000278 * E6.3.3.2)</v>
      </c>
      <c r="M334" s="80" t="str">
        <f t="shared" si="526"/>
        <v>mRNA333: -&gt; E6.3.3.2_mRNA | 0.00292 - (0.0093 * E6.3.3.2_mRNA)</v>
      </c>
      <c r="N334" s="73" t="str">
        <f t="shared" si="527"/>
        <v>Peptide333: E6.3.3.2_mRNA -&gt; E6.3.3.2 | (0.278 * E6.3.3.2_mRNA) - (0.000000278 * E6.3.3.2)</v>
      </c>
    </row>
    <row r="335" spans="1:14" ht="25">
      <c r="A335" s="70">
        <v>334</v>
      </c>
      <c r="B335" s="81" t="s">
        <v>17333</v>
      </c>
      <c r="C335" s="72" t="str">
        <f t="shared" si="518"/>
        <v>E6.3.4.13_mRNA</v>
      </c>
      <c r="D335" s="72" t="str">
        <f t="shared" si="519"/>
        <v>E6.3.4.13</v>
      </c>
      <c r="E335" s="73" t="str">
        <f t="shared" si="520"/>
        <v>E6.3.4.13_kcat : 13.7</v>
      </c>
      <c r="F335" s="74" t="str">
        <f t="shared" si="521"/>
        <v>E6.3.4.13_km : 1</v>
      </c>
      <c r="G335" s="75" t="str">
        <f t="shared" ref="G335:H335" si="682">CONCATENATE(C335," : ",C335)</f>
        <v>E6.3.4.13_mRNA : E6.3.4.13_mRNA</v>
      </c>
      <c r="H335" s="76" t="str">
        <f t="shared" si="682"/>
        <v>E6.3.4.13 : E6.3.4.13</v>
      </c>
      <c r="I335" s="77" t="str">
        <f t="shared" ref="I335:J335" si="683">CONCATENATE(C335," : ","0")</f>
        <v>E6.3.4.13_mRNA : 0</v>
      </c>
      <c r="J335" s="78" t="str">
        <f t="shared" si="683"/>
        <v>E6.3.4.13 : 0</v>
      </c>
      <c r="K335" s="79" t="str">
        <f t="shared" si="524"/>
        <v>0.00292 - (0.0093 * E6.3.4.13_mRNA)</v>
      </c>
      <c r="L335" s="75" t="str">
        <f t="shared" si="525"/>
        <v>(0.278 * E6.3.4.13_mRNA) - (0.00000278 * E6.3.4.13)</v>
      </c>
      <c r="M335" s="80" t="str">
        <f t="shared" si="526"/>
        <v>mRNA334: -&gt; E6.3.4.13_mRNA | 0.00292 - (0.0093 * E6.3.4.13_mRNA)</v>
      </c>
      <c r="N335" s="73" t="str">
        <f t="shared" si="527"/>
        <v>Peptide334: E6.3.4.13_mRNA -&gt; E6.3.4.13 | (0.278 * E6.3.4.13_mRNA) - (0.000000278 * E6.3.4.13)</v>
      </c>
    </row>
    <row r="336" spans="1:14" ht="25">
      <c r="A336" s="70">
        <v>335</v>
      </c>
      <c r="B336" s="81" t="s">
        <v>17334</v>
      </c>
      <c r="C336" s="72" t="str">
        <f t="shared" si="518"/>
        <v>E6.3.4.15_mRNA</v>
      </c>
      <c r="D336" s="72" t="str">
        <f t="shared" si="519"/>
        <v>E6.3.4.15</v>
      </c>
      <c r="E336" s="73" t="str">
        <f t="shared" si="520"/>
        <v>E6.3.4.15_kcat : 13.7</v>
      </c>
      <c r="F336" s="74" t="str">
        <f t="shared" si="521"/>
        <v>E6.3.4.15_km : 1</v>
      </c>
      <c r="G336" s="75" t="str">
        <f t="shared" ref="G336:H336" si="684">CONCATENATE(C336," : ",C336)</f>
        <v>E6.3.4.15_mRNA : E6.3.4.15_mRNA</v>
      </c>
      <c r="H336" s="76" t="str">
        <f t="shared" si="684"/>
        <v>E6.3.4.15 : E6.3.4.15</v>
      </c>
      <c r="I336" s="77" t="str">
        <f t="shared" ref="I336:J336" si="685">CONCATENATE(C336," : ","0")</f>
        <v>E6.3.4.15_mRNA : 0</v>
      </c>
      <c r="J336" s="78" t="str">
        <f t="shared" si="685"/>
        <v>E6.3.4.15 : 0</v>
      </c>
      <c r="K336" s="79" t="str">
        <f t="shared" si="524"/>
        <v>0.00292 - (0.0093 * E6.3.4.15_mRNA)</v>
      </c>
      <c r="L336" s="75" t="str">
        <f t="shared" si="525"/>
        <v>(0.278 * E6.3.4.15_mRNA) - (0.00000278 * E6.3.4.15)</v>
      </c>
      <c r="M336" s="80" t="str">
        <f t="shared" si="526"/>
        <v>mRNA335: -&gt; E6.3.4.15_mRNA | 0.00292 - (0.0093 * E6.3.4.15_mRNA)</v>
      </c>
      <c r="N336" s="73" t="str">
        <f t="shared" si="527"/>
        <v>Peptide335: E6.3.4.15_mRNA -&gt; E6.3.4.15 | (0.278 * E6.3.4.15_mRNA) - (0.000000278 * E6.3.4.15)</v>
      </c>
    </row>
    <row r="337" spans="1:14" ht="25">
      <c r="A337" s="70">
        <v>336</v>
      </c>
      <c r="B337" s="81" t="s">
        <v>17335</v>
      </c>
      <c r="C337" s="72" t="str">
        <f t="shared" si="518"/>
        <v>E6.3.4.18_mRNA</v>
      </c>
      <c r="D337" s="72" t="str">
        <f t="shared" si="519"/>
        <v>E6.3.4.18</v>
      </c>
      <c r="E337" s="73" t="str">
        <f t="shared" si="520"/>
        <v>E6.3.4.18_kcat : 13.7</v>
      </c>
      <c r="F337" s="74" t="str">
        <f t="shared" si="521"/>
        <v>E6.3.4.18_km : 1</v>
      </c>
      <c r="G337" s="75" t="str">
        <f t="shared" ref="G337:H337" si="686">CONCATENATE(C337," : ",C337)</f>
        <v>E6.3.4.18_mRNA : E6.3.4.18_mRNA</v>
      </c>
      <c r="H337" s="76" t="str">
        <f t="shared" si="686"/>
        <v>E6.3.4.18 : E6.3.4.18</v>
      </c>
      <c r="I337" s="77" t="str">
        <f t="shared" ref="I337:J337" si="687">CONCATENATE(C337," : ","0")</f>
        <v>E6.3.4.18_mRNA : 0</v>
      </c>
      <c r="J337" s="78" t="str">
        <f t="shared" si="687"/>
        <v>E6.3.4.18 : 0</v>
      </c>
      <c r="K337" s="79" t="str">
        <f t="shared" si="524"/>
        <v>0.00292 - (0.0093 * E6.3.4.18_mRNA)</v>
      </c>
      <c r="L337" s="75" t="str">
        <f t="shared" si="525"/>
        <v>(0.278 * E6.3.4.18_mRNA) - (0.00000278 * E6.3.4.18)</v>
      </c>
      <c r="M337" s="80" t="str">
        <f t="shared" si="526"/>
        <v>mRNA336: -&gt; E6.3.4.18_mRNA | 0.00292 - (0.0093 * E6.3.4.18_mRNA)</v>
      </c>
      <c r="N337" s="73" t="str">
        <f t="shared" si="527"/>
        <v>Peptide336: E6.3.4.18_mRNA -&gt; E6.3.4.18 | (0.278 * E6.3.4.18_mRNA) - (0.000000278 * E6.3.4.18)</v>
      </c>
    </row>
    <row r="338" spans="1:14" ht="25">
      <c r="A338" s="70">
        <v>337</v>
      </c>
      <c r="B338" s="81" t="s">
        <v>17336</v>
      </c>
      <c r="C338" s="72" t="str">
        <f t="shared" si="518"/>
        <v>E6.3.4.19_mRNA</v>
      </c>
      <c r="D338" s="72" t="str">
        <f t="shared" si="519"/>
        <v>E6.3.4.19</v>
      </c>
      <c r="E338" s="73" t="str">
        <f t="shared" si="520"/>
        <v>E6.3.4.19_kcat : 13.7</v>
      </c>
      <c r="F338" s="74" t="str">
        <f t="shared" si="521"/>
        <v>E6.3.4.19_km : 1</v>
      </c>
      <c r="G338" s="75" t="str">
        <f t="shared" ref="G338:H338" si="688">CONCATENATE(C338," : ",C338)</f>
        <v>E6.3.4.19_mRNA : E6.3.4.19_mRNA</v>
      </c>
      <c r="H338" s="76" t="str">
        <f t="shared" si="688"/>
        <v>E6.3.4.19 : E6.3.4.19</v>
      </c>
      <c r="I338" s="77" t="str">
        <f t="shared" ref="I338:J338" si="689">CONCATENATE(C338," : ","0")</f>
        <v>E6.3.4.19_mRNA : 0</v>
      </c>
      <c r="J338" s="78" t="str">
        <f t="shared" si="689"/>
        <v>E6.3.4.19 : 0</v>
      </c>
      <c r="K338" s="79" t="str">
        <f t="shared" si="524"/>
        <v>0.00292 - (0.0093 * E6.3.4.19_mRNA)</v>
      </c>
      <c r="L338" s="75" t="str">
        <f t="shared" si="525"/>
        <v>(0.278 * E6.3.4.19_mRNA) - (0.00000278 * E6.3.4.19)</v>
      </c>
      <c r="M338" s="80" t="str">
        <f t="shared" si="526"/>
        <v>mRNA337: -&gt; E6.3.4.19_mRNA | 0.00292 - (0.0093 * E6.3.4.19_mRNA)</v>
      </c>
      <c r="N338" s="73" t="str">
        <f t="shared" si="527"/>
        <v>Peptide337: E6.3.4.19_mRNA -&gt; E6.3.4.19 | (0.278 * E6.3.4.19_mRNA) - (0.000000278 * E6.3.4.19)</v>
      </c>
    </row>
    <row r="339" spans="1:14" ht="25">
      <c r="A339" s="70">
        <v>338</v>
      </c>
      <c r="B339" s="81" t="s">
        <v>17337</v>
      </c>
      <c r="C339" s="72" t="str">
        <f t="shared" si="518"/>
        <v>E6.3.4.2_mRNA</v>
      </c>
      <c r="D339" s="72" t="str">
        <f t="shared" si="519"/>
        <v>E6.3.4.2</v>
      </c>
      <c r="E339" s="73" t="str">
        <f t="shared" si="520"/>
        <v>E6.3.4.2_kcat : 13.7</v>
      </c>
      <c r="F339" s="74" t="str">
        <f t="shared" si="521"/>
        <v>E6.3.4.2_km : 1</v>
      </c>
      <c r="G339" s="75" t="str">
        <f t="shared" ref="G339:H339" si="690">CONCATENATE(C339," : ",C339)</f>
        <v>E6.3.4.2_mRNA : E6.3.4.2_mRNA</v>
      </c>
      <c r="H339" s="76" t="str">
        <f t="shared" si="690"/>
        <v>E6.3.4.2 : E6.3.4.2</v>
      </c>
      <c r="I339" s="77" t="str">
        <f t="shared" ref="I339:J339" si="691">CONCATENATE(C339," : ","0")</f>
        <v>E6.3.4.2_mRNA : 0</v>
      </c>
      <c r="J339" s="78" t="str">
        <f t="shared" si="691"/>
        <v>E6.3.4.2 : 0</v>
      </c>
      <c r="K339" s="79" t="str">
        <f t="shared" si="524"/>
        <v>0.00292 - (0.0093 * E6.3.4.2_mRNA)</v>
      </c>
      <c r="L339" s="75" t="str">
        <f t="shared" si="525"/>
        <v>(0.278 * E6.3.4.2_mRNA) - (0.00000278 * E6.3.4.2)</v>
      </c>
      <c r="M339" s="80" t="str">
        <f t="shared" si="526"/>
        <v>mRNA338: -&gt; E6.3.4.2_mRNA | 0.00292 - (0.0093 * E6.3.4.2_mRNA)</v>
      </c>
      <c r="N339" s="73" t="str">
        <f t="shared" si="527"/>
        <v>Peptide338: E6.3.4.2_mRNA -&gt; E6.3.4.2 | (0.278 * E6.3.4.2_mRNA) - (0.000000278 * E6.3.4.2)</v>
      </c>
    </row>
    <row r="340" spans="1:14" ht="25">
      <c r="A340" s="70">
        <v>339</v>
      </c>
      <c r="B340" s="81" t="s">
        <v>17338</v>
      </c>
      <c r="C340" s="72" t="str">
        <f t="shared" si="518"/>
        <v>E6.3.4.21_mRNA</v>
      </c>
      <c r="D340" s="72" t="str">
        <f t="shared" si="519"/>
        <v>E6.3.4.21</v>
      </c>
      <c r="E340" s="73" t="str">
        <f t="shared" si="520"/>
        <v>E6.3.4.21_kcat : 13.7</v>
      </c>
      <c r="F340" s="74" t="str">
        <f t="shared" si="521"/>
        <v>E6.3.4.21_km : 1</v>
      </c>
      <c r="G340" s="75" t="str">
        <f t="shared" ref="G340:H340" si="692">CONCATENATE(C340," : ",C340)</f>
        <v>E6.3.4.21_mRNA : E6.3.4.21_mRNA</v>
      </c>
      <c r="H340" s="76" t="str">
        <f t="shared" si="692"/>
        <v>E6.3.4.21 : E6.3.4.21</v>
      </c>
      <c r="I340" s="77" t="str">
        <f t="shared" ref="I340:J340" si="693">CONCATENATE(C340," : ","0")</f>
        <v>E6.3.4.21_mRNA : 0</v>
      </c>
      <c r="J340" s="78" t="str">
        <f t="shared" si="693"/>
        <v>E6.3.4.21 : 0</v>
      </c>
      <c r="K340" s="79" t="str">
        <f t="shared" si="524"/>
        <v>0.00292 - (0.0093 * E6.3.4.21_mRNA)</v>
      </c>
      <c r="L340" s="75" t="str">
        <f t="shared" si="525"/>
        <v>(0.278 * E6.3.4.21_mRNA) - (0.00000278 * E6.3.4.21)</v>
      </c>
      <c r="M340" s="80" t="str">
        <f t="shared" si="526"/>
        <v>mRNA339: -&gt; E6.3.4.21_mRNA | 0.00292 - (0.0093 * E6.3.4.21_mRNA)</v>
      </c>
      <c r="N340" s="73" t="str">
        <f t="shared" si="527"/>
        <v>Peptide339: E6.3.4.21_mRNA -&gt; E6.3.4.21 | (0.278 * E6.3.4.21_mRNA) - (0.000000278 * E6.3.4.21)</v>
      </c>
    </row>
    <row r="341" spans="1:14" ht="25">
      <c r="A341" s="70">
        <v>340</v>
      </c>
      <c r="B341" s="81" t="s">
        <v>17339</v>
      </c>
      <c r="C341" s="72" t="str">
        <f t="shared" si="518"/>
        <v>E6.3.4.3_mRNA</v>
      </c>
      <c r="D341" s="72" t="str">
        <f t="shared" si="519"/>
        <v>E6.3.4.3</v>
      </c>
      <c r="E341" s="73" t="str">
        <f t="shared" si="520"/>
        <v>E6.3.4.3_kcat : 13.7</v>
      </c>
      <c r="F341" s="74" t="str">
        <f t="shared" si="521"/>
        <v>E6.3.4.3_km : 1</v>
      </c>
      <c r="G341" s="75" t="str">
        <f t="shared" ref="G341:H341" si="694">CONCATENATE(C341," : ",C341)</f>
        <v>E6.3.4.3_mRNA : E6.3.4.3_mRNA</v>
      </c>
      <c r="H341" s="76" t="str">
        <f t="shared" si="694"/>
        <v>E6.3.4.3 : E6.3.4.3</v>
      </c>
      <c r="I341" s="77" t="str">
        <f t="shared" ref="I341:J341" si="695">CONCATENATE(C341," : ","0")</f>
        <v>E6.3.4.3_mRNA : 0</v>
      </c>
      <c r="J341" s="78" t="str">
        <f t="shared" si="695"/>
        <v>E6.3.4.3 : 0</v>
      </c>
      <c r="K341" s="79" t="str">
        <f t="shared" si="524"/>
        <v>0.00292 - (0.0093 * E6.3.4.3_mRNA)</v>
      </c>
      <c r="L341" s="75" t="str">
        <f t="shared" si="525"/>
        <v>(0.278 * E6.3.4.3_mRNA) - (0.00000278 * E6.3.4.3)</v>
      </c>
      <c r="M341" s="80" t="str">
        <f t="shared" si="526"/>
        <v>mRNA340: -&gt; E6.3.4.3_mRNA | 0.00292 - (0.0093 * E6.3.4.3_mRNA)</v>
      </c>
      <c r="N341" s="73" t="str">
        <f t="shared" si="527"/>
        <v>Peptide340: E6.3.4.3_mRNA -&gt; E6.3.4.3 | (0.278 * E6.3.4.3_mRNA) - (0.000000278 * E6.3.4.3)</v>
      </c>
    </row>
    <row r="342" spans="1:14" ht="25">
      <c r="A342" s="70">
        <v>341</v>
      </c>
      <c r="B342" s="81" t="s">
        <v>17340</v>
      </c>
      <c r="C342" s="72" t="str">
        <f t="shared" si="518"/>
        <v>E6.3.4.4_mRNA</v>
      </c>
      <c r="D342" s="72" t="str">
        <f t="shared" si="519"/>
        <v>E6.3.4.4</v>
      </c>
      <c r="E342" s="73" t="str">
        <f t="shared" si="520"/>
        <v>E6.3.4.4_kcat : 13.7</v>
      </c>
      <c r="F342" s="74" t="str">
        <f t="shared" si="521"/>
        <v>E6.3.4.4_km : 1</v>
      </c>
      <c r="G342" s="75" t="str">
        <f t="shared" ref="G342:H342" si="696">CONCATENATE(C342," : ",C342)</f>
        <v>E6.3.4.4_mRNA : E6.3.4.4_mRNA</v>
      </c>
      <c r="H342" s="76" t="str">
        <f t="shared" si="696"/>
        <v>E6.3.4.4 : E6.3.4.4</v>
      </c>
      <c r="I342" s="77" t="str">
        <f t="shared" ref="I342:J342" si="697">CONCATENATE(C342," : ","0")</f>
        <v>E6.3.4.4_mRNA : 0</v>
      </c>
      <c r="J342" s="78" t="str">
        <f t="shared" si="697"/>
        <v>E6.3.4.4 : 0</v>
      </c>
      <c r="K342" s="79" t="str">
        <f t="shared" si="524"/>
        <v>0.00292 - (0.0093 * E6.3.4.4_mRNA)</v>
      </c>
      <c r="L342" s="75" t="str">
        <f t="shared" si="525"/>
        <v>(0.278 * E6.3.4.4_mRNA) - (0.00000278 * E6.3.4.4)</v>
      </c>
      <c r="M342" s="80" t="str">
        <f t="shared" si="526"/>
        <v>mRNA341: -&gt; E6.3.4.4_mRNA | 0.00292 - (0.0093 * E6.3.4.4_mRNA)</v>
      </c>
      <c r="N342" s="73" t="str">
        <f t="shared" si="527"/>
        <v>Peptide341: E6.3.4.4_mRNA -&gt; E6.3.4.4 | (0.278 * E6.3.4.4_mRNA) - (0.000000278 * E6.3.4.4)</v>
      </c>
    </row>
    <row r="343" spans="1:14" ht="25">
      <c r="A343" s="70">
        <v>342</v>
      </c>
      <c r="B343" s="81" t="s">
        <v>17341</v>
      </c>
      <c r="C343" s="72" t="str">
        <f t="shared" si="518"/>
        <v>E6.3.4.5_mRNA</v>
      </c>
      <c r="D343" s="72" t="str">
        <f t="shared" si="519"/>
        <v>E6.3.4.5</v>
      </c>
      <c r="E343" s="73" t="str">
        <f t="shared" si="520"/>
        <v>E6.3.4.5_kcat : 13.7</v>
      </c>
      <c r="F343" s="74" t="str">
        <f t="shared" si="521"/>
        <v>E6.3.4.5_km : 1</v>
      </c>
      <c r="G343" s="75" t="str">
        <f t="shared" ref="G343:H343" si="698">CONCATENATE(C343," : ",C343)</f>
        <v>E6.3.4.5_mRNA : E6.3.4.5_mRNA</v>
      </c>
      <c r="H343" s="76" t="str">
        <f t="shared" si="698"/>
        <v>E6.3.4.5 : E6.3.4.5</v>
      </c>
      <c r="I343" s="77" t="str">
        <f t="shared" ref="I343:J343" si="699">CONCATENATE(C343," : ","0")</f>
        <v>E6.3.4.5_mRNA : 0</v>
      </c>
      <c r="J343" s="78" t="str">
        <f t="shared" si="699"/>
        <v>E6.3.4.5 : 0</v>
      </c>
      <c r="K343" s="79" t="str">
        <f t="shared" si="524"/>
        <v>0.00292 - (0.0093 * E6.3.4.5_mRNA)</v>
      </c>
      <c r="L343" s="75" t="str">
        <f t="shared" si="525"/>
        <v>(0.278 * E6.3.4.5_mRNA) - (0.00000278 * E6.3.4.5)</v>
      </c>
      <c r="M343" s="80" t="str">
        <f t="shared" si="526"/>
        <v>mRNA342: -&gt; E6.3.4.5_mRNA | 0.00292 - (0.0093 * E6.3.4.5_mRNA)</v>
      </c>
      <c r="N343" s="73" t="str">
        <f t="shared" si="527"/>
        <v>Peptide342: E6.3.4.5_mRNA -&gt; E6.3.4.5 | (0.278 * E6.3.4.5_mRNA) - (0.000000278 * E6.3.4.5)</v>
      </c>
    </row>
    <row r="344" spans="1:14" ht="25">
      <c r="A344" s="70">
        <v>343</v>
      </c>
      <c r="B344" s="81" t="s">
        <v>17342</v>
      </c>
      <c r="C344" s="72" t="str">
        <f t="shared" si="518"/>
        <v>E6.3.5.2_mRNA</v>
      </c>
      <c r="D344" s="72" t="str">
        <f t="shared" si="519"/>
        <v>E6.3.5.2</v>
      </c>
      <c r="E344" s="73" t="str">
        <f t="shared" si="520"/>
        <v>E6.3.5.2_kcat : 13.7</v>
      </c>
      <c r="F344" s="74" t="str">
        <f t="shared" si="521"/>
        <v>E6.3.5.2_km : 1</v>
      </c>
      <c r="G344" s="75" t="str">
        <f t="shared" ref="G344:H344" si="700">CONCATENATE(C344," : ",C344)</f>
        <v>E6.3.5.2_mRNA : E6.3.5.2_mRNA</v>
      </c>
      <c r="H344" s="76" t="str">
        <f t="shared" si="700"/>
        <v>E6.3.5.2 : E6.3.5.2</v>
      </c>
      <c r="I344" s="77" t="str">
        <f t="shared" ref="I344:J344" si="701">CONCATENATE(C344," : ","0")</f>
        <v>E6.3.5.2_mRNA : 0</v>
      </c>
      <c r="J344" s="78" t="str">
        <f t="shared" si="701"/>
        <v>E6.3.5.2 : 0</v>
      </c>
      <c r="K344" s="79" t="str">
        <f t="shared" si="524"/>
        <v>0.00292 - (0.0093 * E6.3.5.2_mRNA)</v>
      </c>
      <c r="L344" s="75" t="str">
        <f t="shared" si="525"/>
        <v>(0.278 * E6.3.5.2_mRNA) - (0.00000278 * E6.3.5.2)</v>
      </c>
      <c r="M344" s="80" t="str">
        <f t="shared" si="526"/>
        <v>mRNA343: -&gt; E6.3.5.2_mRNA | 0.00292 - (0.0093 * E6.3.5.2_mRNA)</v>
      </c>
      <c r="N344" s="73" t="str">
        <f t="shared" si="527"/>
        <v>Peptide343: E6.3.5.2_mRNA -&gt; E6.3.5.2 | (0.278 * E6.3.5.2_mRNA) - (0.000000278 * E6.3.5.2)</v>
      </c>
    </row>
    <row r="345" spans="1:14" ht="25">
      <c r="A345" s="70">
        <v>344</v>
      </c>
      <c r="B345" s="81" t="s">
        <v>17343</v>
      </c>
      <c r="C345" s="72" t="str">
        <f t="shared" si="518"/>
        <v>E6.3.5.3_mRNA</v>
      </c>
      <c r="D345" s="72" t="str">
        <f t="shared" si="519"/>
        <v>E6.3.5.3</v>
      </c>
      <c r="E345" s="73" t="str">
        <f t="shared" si="520"/>
        <v>E6.3.5.3_kcat : 13.7</v>
      </c>
      <c r="F345" s="74" t="str">
        <f t="shared" si="521"/>
        <v>E6.3.5.3_km : 1</v>
      </c>
      <c r="G345" s="75" t="str">
        <f t="shared" ref="G345:H345" si="702">CONCATENATE(C345," : ",C345)</f>
        <v>E6.3.5.3_mRNA : E6.3.5.3_mRNA</v>
      </c>
      <c r="H345" s="76" t="str">
        <f t="shared" si="702"/>
        <v>E6.3.5.3 : E6.3.5.3</v>
      </c>
      <c r="I345" s="77" t="str">
        <f t="shared" ref="I345:J345" si="703">CONCATENATE(C345," : ","0")</f>
        <v>E6.3.5.3_mRNA : 0</v>
      </c>
      <c r="J345" s="78" t="str">
        <f t="shared" si="703"/>
        <v>E6.3.5.3 : 0</v>
      </c>
      <c r="K345" s="79" t="str">
        <f t="shared" si="524"/>
        <v>0.00292 - (0.0093 * E6.3.5.3_mRNA)</v>
      </c>
      <c r="L345" s="75" t="str">
        <f t="shared" si="525"/>
        <v>(0.278 * E6.3.5.3_mRNA) - (0.00000278 * E6.3.5.3)</v>
      </c>
      <c r="M345" s="80" t="str">
        <f t="shared" si="526"/>
        <v>mRNA344: -&gt; E6.3.5.3_mRNA | 0.00292 - (0.0093 * E6.3.5.3_mRNA)</v>
      </c>
      <c r="N345" s="73" t="str">
        <f t="shared" si="527"/>
        <v>Peptide344: E6.3.5.3_mRNA -&gt; E6.3.5.3 | (0.278 * E6.3.5.3_mRNA) - (0.000000278 * E6.3.5.3)</v>
      </c>
    </row>
    <row r="346" spans="1:14" ht="25">
      <c r="A346" s="70">
        <v>345</v>
      </c>
      <c r="B346" s="81" t="s">
        <v>17344</v>
      </c>
      <c r="C346" s="72" t="str">
        <f t="shared" si="518"/>
        <v>E6.3.5.4_mRNA</v>
      </c>
      <c r="D346" s="72" t="str">
        <f t="shared" si="519"/>
        <v>E6.3.5.4</v>
      </c>
      <c r="E346" s="73" t="str">
        <f t="shared" si="520"/>
        <v>E6.3.5.4_kcat : 13.7</v>
      </c>
      <c r="F346" s="74" t="str">
        <f t="shared" si="521"/>
        <v>E6.3.5.4_km : 1</v>
      </c>
      <c r="G346" s="75" t="str">
        <f t="shared" ref="G346:H346" si="704">CONCATENATE(C346," : ",C346)</f>
        <v>E6.3.5.4_mRNA : E6.3.5.4_mRNA</v>
      </c>
      <c r="H346" s="76" t="str">
        <f t="shared" si="704"/>
        <v>E6.3.5.4 : E6.3.5.4</v>
      </c>
      <c r="I346" s="77" t="str">
        <f t="shared" ref="I346:J346" si="705">CONCATENATE(C346," : ","0")</f>
        <v>E6.3.5.4_mRNA : 0</v>
      </c>
      <c r="J346" s="78" t="str">
        <f t="shared" si="705"/>
        <v>E6.3.5.4 : 0</v>
      </c>
      <c r="K346" s="79" t="str">
        <f t="shared" si="524"/>
        <v>0.00292 - (0.0093 * E6.3.5.4_mRNA)</v>
      </c>
      <c r="L346" s="75" t="str">
        <f t="shared" si="525"/>
        <v>(0.278 * E6.3.5.4_mRNA) - (0.00000278 * E6.3.5.4)</v>
      </c>
      <c r="M346" s="80" t="str">
        <f t="shared" si="526"/>
        <v>mRNA345: -&gt; E6.3.5.4_mRNA | 0.00292 - (0.0093 * E6.3.5.4_mRNA)</v>
      </c>
      <c r="N346" s="73" t="str">
        <f t="shared" si="527"/>
        <v>Peptide345: E6.3.5.4_mRNA -&gt; E6.3.5.4 | (0.278 * E6.3.5.4_mRNA) - (0.000000278 * E6.3.5.4)</v>
      </c>
    </row>
    <row r="347" spans="1:14" ht="25">
      <c r="A347" s="70">
        <v>346</v>
      </c>
      <c r="B347" s="81" t="s">
        <v>17345</v>
      </c>
      <c r="C347" s="72" t="str">
        <f t="shared" si="518"/>
        <v>E6.3.5.5_mRNA</v>
      </c>
      <c r="D347" s="72" t="str">
        <f t="shared" si="519"/>
        <v>E6.3.5.5</v>
      </c>
      <c r="E347" s="73" t="str">
        <f t="shared" si="520"/>
        <v>E6.3.5.5_kcat : 13.7</v>
      </c>
      <c r="F347" s="74" t="str">
        <f t="shared" si="521"/>
        <v>E6.3.5.5_km : 1</v>
      </c>
      <c r="G347" s="75" t="str">
        <f t="shared" ref="G347:H347" si="706">CONCATENATE(C347," : ",C347)</f>
        <v>E6.3.5.5_mRNA : E6.3.5.5_mRNA</v>
      </c>
      <c r="H347" s="76" t="str">
        <f t="shared" si="706"/>
        <v>E6.3.5.5 : E6.3.5.5</v>
      </c>
      <c r="I347" s="77" t="str">
        <f t="shared" ref="I347:J347" si="707">CONCATENATE(C347," : ","0")</f>
        <v>E6.3.5.5_mRNA : 0</v>
      </c>
      <c r="J347" s="78" t="str">
        <f t="shared" si="707"/>
        <v>E6.3.5.5 : 0</v>
      </c>
      <c r="K347" s="79" t="str">
        <f t="shared" si="524"/>
        <v>0.00292 - (0.0093 * E6.3.5.5_mRNA)</v>
      </c>
      <c r="L347" s="75" t="str">
        <f t="shared" si="525"/>
        <v>(0.278 * E6.3.5.5_mRNA) - (0.00000278 * E6.3.5.5)</v>
      </c>
      <c r="M347" s="80" t="str">
        <f t="shared" si="526"/>
        <v>mRNA346: -&gt; E6.3.5.5_mRNA | 0.00292 - (0.0093 * E6.3.5.5_mRNA)</v>
      </c>
      <c r="N347" s="73" t="str">
        <f t="shared" si="527"/>
        <v>Peptide346: E6.3.5.5_mRNA -&gt; E6.3.5.5 | (0.278 * E6.3.5.5_mRNA) - (0.000000278 * E6.3.5.5)</v>
      </c>
    </row>
    <row r="348" spans="1:14" ht="25">
      <c r="A348" s="70">
        <v>347</v>
      </c>
      <c r="B348" s="81" t="s">
        <v>17346</v>
      </c>
      <c r="C348" s="72" t="str">
        <f t="shared" si="518"/>
        <v>E6.4.1.1_mRNA</v>
      </c>
      <c r="D348" s="72" t="str">
        <f t="shared" si="519"/>
        <v>E6.4.1.1</v>
      </c>
      <c r="E348" s="73" t="str">
        <f t="shared" si="520"/>
        <v>E6.4.1.1_kcat : 13.7</v>
      </c>
      <c r="F348" s="74" t="str">
        <f t="shared" si="521"/>
        <v>E6.4.1.1_km : 1</v>
      </c>
      <c r="G348" s="75" t="str">
        <f t="shared" ref="G348:H348" si="708">CONCATENATE(C348," : ",C348)</f>
        <v>E6.4.1.1_mRNA : E6.4.1.1_mRNA</v>
      </c>
      <c r="H348" s="76" t="str">
        <f t="shared" si="708"/>
        <v>E6.4.1.1 : E6.4.1.1</v>
      </c>
      <c r="I348" s="77" t="str">
        <f t="shared" ref="I348:J348" si="709">CONCATENATE(C348," : ","0")</f>
        <v>E6.4.1.1_mRNA : 0</v>
      </c>
      <c r="J348" s="78" t="str">
        <f t="shared" si="709"/>
        <v>E6.4.1.1 : 0</v>
      </c>
      <c r="K348" s="79" t="str">
        <f t="shared" si="524"/>
        <v>0.00292 - (0.0093 * E6.4.1.1_mRNA)</v>
      </c>
      <c r="L348" s="75" t="str">
        <f t="shared" si="525"/>
        <v>(0.278 * E6.4.1.1_mRNA) - (0.00000278 * E6.4.1.1)</v>
      </c>
      <c r="M348" s="80" t="str">
        <f t="shared" si="526"/>
        <v>mRNA347: -&gt; E6.4.1.1_mRNA | 0.00292 - (0.0093 * E6.4.1.1_mRNA)</v>
      </c>
      <c r="N348" s="73" t="str">
        <f t="shared" si="527"/>
        <v>Peptide347: E6.4.1.1_mRNA -&gt; E6.4.1.1 | (0.278 * E6.4.1.1_mRNA) - (0.000000278 * E6.4.1.1)</v>
      </c>
    </row>
    <row r="349" spans="1:14" ht="25">
      <c r="A349" s="70">
        <v>348</v>
      </c>
      <c r="B349" s="81" t="s">
        <v>17347</v>
      </c>
      <c r="C349" s="72" t="str">
        <f t="shared" si="518"/>
        <v>E6.4.1.2_mRNA</v>
      </c>
      <c r="D349" s="72" t="str">
        <f t="shared" si="519"/>
        <v>E6.4.1.2</v>
      </c>
      <c r="E349" s="73" t="str">
        <f t="shared" si="520"/>
        <v>E6.4.1.2_kcat : 13.7</v>
      </c>
      <c r="F349" s="74" t="str">
        <f t="shared" si="521"/>
        <v>E6.4.1.2_km : 1</v>
      </c>
      <c r="G349" s="75" t="str">
        <f t="shared" ref="G349:H349" si="710">CONCATENATE(C349," : ",C349)</f>
        <v>E6.4.1.2_mRNA : E6.4.1.2_mRNA</v>
      </c>
      <c r="H349" s="76" t="str">
        <f t="shared" si="710"/>
        <v>E6.4.1.2 : E6.4.1.2</v>
      </c>
      <c r="I349" s="77" t="str">
        <f t="shared" ref="I349:J349" si="711">CONCATENATE(C349," : ","0")</f>
        <v>E6.4.1.2_mRNA : 0</v>
      </c>
      <c r="J349" s="78" t="str">
        <f t="shared" si="711"/>
        <v>E6.4.1.2 : 0</v>
      </c>
      <c r="K349" s="79" t="str">
        <f t="shared" si="524"/>
        <v>0.00292 - (0.0093 * E6.4.1.2_mRNA)</v>
      </c>
      <c r="L349" s="75" t="str">
        <f t="shared" si="525"/>
        <v>(0.278 * E6.4.1.2_mRNA) - (0.00000278 * E6.4.1.2)</v>
      </c>
      <c r="M349" s="80" t="str">
        <f t="shared" si="526"/>
        <v>mRNA348: -&gt; E6.4.1.2_mRNA | 0.00292 - (0.0093 * E6.4.1.2_mRNA)</v>
      </c>
      <c r="N349" s="73" t="str">
        <f t="shared" si="527"/>
        <v>Peptide348: E6.4.1.2_mRNA -&gt; E6.4.1.2 | (0.278 * E6.4.1.2_mRNA) - (0.000000278 * E6.4.1.2)</v>
      </c>
    </row>
    <row r="350" spans="1:14" ht="25">
      <c r="A350" s="70">
        <v>349</v>
      </c>
      <c r="B350" s="81" t="s">
        <v>17348</v>
      </c>
      <c r="C350" s="72" t="str">
        <f t="shared" si="518"/>
        <v>E6.5.1.2_mRNA</v>
      </c>
      <c r="D350" s="72" t="str">
        <f t="shared" si="519"/>
        <v>E6.5.1.2</v>
      </c>
      <c r="E350" s="73" t="str">
        <f t="shared" si="520"/>
        <v>E6.5.1.2_kcat : 13.7</v>
      </c>
      <c r="F350" s="74" t="str">
        <f t="shared" si="521"/>
        <v>E6.5.1.2_km : 1</v>
      </c>
      <c r="G350" s="75" t="str">
        <f t="shared" ref="G350:H350" si="712">CONCATENATE(C350," : ",C350)</f>
        <v>E6.5.1.2_mRNA : E6.5.1.2_mRNA</v>
      </c>
      <c r="H350" s="76" t="str">
        <f t="shared" si="712"/>
        <v>E6.5.1.2 : E6.5.1.2</v>
      </c>
      <c r="I350" s="77" t="str">
        <f t="shared" ref="I350:J350" si="713">CONCATENATE(C350," : ","0")</f>
        <v>E6.5.1.2_mRNA : 0</v>
      </c>
      <c r="J350" s="78" t="str">
        <f t="shared" si="713"/>
        <v>E6.5.1.2 : 0</v>
      </c>
      <c r="K350" s="79" t="str">
        <f t="shared" si="524"/>
        <v>0.00292 - (0.0093 * E6.5.1.2_mRNA)</v>
      </c>
      <c r="L350" s="75" t="str">
        <f t="shared" si="525"/>
        <v>(0.278 * E6.5.1.2_mRNA) - (0.00000278 * E6.5.1.2)</v>
      </c>
      <c r="M350" s="80" t="str">
        <f t="shared" si="526"/>
        <v>mRNA349: -&gt; E6.5.1.2_mRNA | 0.00292 - (0.0093 * E6.5.1.2_mRNA)</v>
      </c>
      <c r="N350" s="73" t="str">
        <f t="shared" si="527"/>
        <v>Peptide349: E6.5.1.2_mRNA -&gt; E6.5.1.2 | (0.278 * E6.5.1.2_mRNA) - (0.000000278 * E6.5.1.2)</v>
      </c>
    </row>
    <row r="351" spans="1:14" ht="25">
      <c r="A351" s="70">
        <v>350</v>
      </c>
      <c r="B351" s="81" t="s">
        <v>17349</v>
      </c>
      <c r="C351" s="72" t="str">
        <f t="shared" si="518"/>
        <v>E7.1.2.1_mRNA</v>
      </c>
      <c r="D351" s="72" t="str">
        <f t="shared" si="519"/>
        <v>E7.1.2.1</v>
      </c>
      <c r="E351" s="73" t="str">
        <f t="shared" si="520"/>
        <v>E7.1.2.1_kcat : 13.7</v>
      </c>
      <c r="F351" s="74" t="str">
        <f t="shared" si="521"/>
        <v>E7.1.2.1_km : 1</v>
      </c>
      <c r="G351" s="75" t="str">
        <f t="shared" ref="G351:H351" si="714">CONCATENATE(C351," : ",C351)</f>
        <v>E7.1.2.1_mRNA : E7.1.2.1_mRNA</v>
      </c>
      <c r="H351" s="76" t="str">
        <f t="shared" si="714"/>
        <v>E7.1.2.1 : E7.1.2.1</v>
      </c>
      <c r="I351" s="77" t="str">
        <f t="shared" ref="I351:J351" si="715">CONCATENATE(C351," : ","0")</f>
        <v>E7.1.2.1_mRNA : 0</v>
      </c>
      <c r="J351" s="78" t="str">
        <f t="shared" si="715"/>
        <v>E7.1.2.1 : 0</v>
      </c>
      <c r="K351" s="79" t="str">
        <f t="shared" si="524"/>
        <v>0.00292 - (0.0093 * E7.1.2.1_mRNA)</v>
      </c>
      <c r="L351" s="75" t="str">
        <f t="shared" si="525"/>
        <v>(0.278 * E7.1.2.1_mRNA) - (0.00000278 * E7.1.2.1)</v>
      </c>
      <c r="M351" s="80" t="str">
        <f t="shared" si="526"/>
        <v>mRNA350: -&gt; E7.1.2.1_mRNA | 0.00292 - (0.0093 * E7.1.2.1_mRNA)</v>
      </c>
      <c r="N351" s="73" t="str">
        <f t="shared" si="527"/>
        <v>Peptide350: E7.1.2.1_mRNA -&gt; E7.1.2.1 | (0.278 * E7.1.2.1_mRNA) - (0.000000278 * E7.1.2.1)</v>
      </c>
    </row>
    <row r="352" spans="1:14" ht="25">
      <c r="A352" s="70">
        <v>351</v>
      </c>
      <c r="B352" s="81" t="s">
        <v>17350</v>
      </c>
      <c r="C352" s="72" t="str">
        <f t="shared" si="518"/>
        <v>E7.1.2.2_mRNA</v>
      </c>
      <c r="D352" s="72" t="str">
        <f t="shared" si="519"/>
        <v>E7.1.2.2</v>
      </c>
      <c r="E352" s="73" t="str">
        <f t="shared" si="520"/>
        <v>E7.1.2.2_kcat : 13.7</v>
      </c>
      <c r="F352" s="74" t="str">
        <f t="shared" si="521"/>
        <v>E7.1.2.2_km : 1</v>
      </c>
      <c r="G352" s="75" t="str">
        <f t="shared" ref="G352:H352" si="716">CONCATENATE(C352," : ",C352)</f>
        <v>E7.1.2.2_mRNA : E7.1.2.2_mRNA</v>
      </c>
      <c r="H352" s="76" t="str">
        <f t="shared" si="716"/>
        <v>E7.1.2.2 : E7.1.2.2</v>
      </c>
      <c r="I352" s="77" t="str">
        <f t="shared" ref="I352:J352" si="717">CONCATENATE(C352," : ","0")</f>
        <v>E7.1.2.2_mRNA : 0</v>
      </c>
      <c r="J352" s="78" t="str">
        <f t="shared" si="717"/>
        <v>E7.1.2.2 : 0</v>
      </c>
      <c r="K352" s="79" t="str">
        <f t="shared" si="524"/>
        <v>0.00292 - (0.0093 * E7.1.2.2_mRNA)</v>
      </c>
      <c r="L352" s="75" t="str">
        <f t="shared" si="525"/>
        <v>(0.278 * E7.1.2.2_mRNA) - (0.00000278 * E7.1.2.2)</v>
      </c>
      <c r="M352" s="80" t="str">
        <f t="shared" si="526"/>
        <v>mRNA351: -&gt; E7.1.2.2_mRNA | 0.00292 - (0.0093 * E7.1.2.2_mRNA)</v>
      </c>
      <c r="N352" s="73" t="str">
        <f t="shared" si="527"/>
        <v>Peptide351: E7.1.2.2_mRNA -&gt; E7.1.2.2 | (0.278 * E7.1.2.2_mRNA) - (0.000000278 * E7.1.2.2)</v>
      </c>
    </row>
    <row r="353" spans="1:14" ht="25">
      <c r="A353" s="70">
        <v>352</v>
      </c>
      <c r="B353" s="81" t="s">
        <v>17351</v>
      </c>
      <c r="C353" s="72" t="str">
        <f t="shared" si="518"/>
        <v>E7.2.2.14_mRNA</v>
      </c>
      <c r="D353" s="72" t="str">
        <f t="shared" si="519"/>
        <v>E7.2.2.14</v>
      </c>
      <c r="E353" s="73" t="str">
        <f t="shared" si="520"/>
        <v>E7.2.2.14_kcat : 13.7</v>
      </c>
      <c r="F353" s="74" t="str">
        <f t="shared" si="521"/>
        <v>E7.2.2.14_km : 1</v>
      </c>
      <c r="G353" s="75" t="str">
        <f t="shared" ref="G353:H353" si="718">CONCATENATE(C353," : ",C353)</f>
        <v>E7.2.2.14_mRNA : E7.2.2.14_mRNA</v>
      </c>
      <c r="H353" s="76" t="str">
        <f t="shared" si="718"/>
        <v>E7.2.2.14 : E7.2.2.14</v>
      </c>
      <c r="I353" s="77" t="str">
        <f t="shared" ref="I353:J353" si="719">CONCATENATE(C353," : ","0")</f>
        <v>E7.2.2.14_mRNA : 0</v>
      </c>
      <c r="J353" s="78" t="str">
        <f t="shared" si="719"/>
        <v>E7.2.2.14 : 0</v>
      </c>
      <c r="K353" s="79" t="str">
        <f t="shared" si="524"/>
        <v>0.00292 - (0.0093 * E7.2.2.14_mRNA)</v>
      </c>
      <c r="L353" s="75" t="str">
        <f t="shared" si="525"/>
        <v>(0.278 * E7.2.2.14_mRNA) - (0.00000278 * E7.2.2.14)</v>
      </c>
      <c r="M353" s="80" t="str">
        <f t="shared" si="526"/>
        <v>mRNA352: -&gt; E7.2.2.14_mRNA | 0.00292 - (0.0093 * E7.2.2.14_mRNA)</v>
      </c>
      <c r="N353" s="73" t="str">
        <f t="shared" si="527"/>
        <v>Peptide352: E7.2.2.14_mRNA -&gt; E7.2.2.14 | (0.278 * E7.2.2.14_mRNA) - (0.000000278 * E7.2.2.14)</v>
      </c>
    </row>
    <row r="354" spans="1:14" ht="25">
      <c r="A354" s="70">
        <v>353</v>
      </c>
      <c r="B354" s="81" t="s">
        <v>17352</v>
      </c>
      <c r="C354" s="72" t="str">
        <f t="shared" si="518"/>
        <v>E7.3.2.1_mRNA</v>
      </c>
      <c r="D354" s="72" t="str">
        <f t="shared" si="519"/>
        <v>E7.3.2.1</v>
      </c>
      <c r="E354" s="73" t="str">
        <f t="shared" si="520"/>
        <v>E7.3.2.1_kcat : 13.7</v>
      </c>
      <c r="F354" s="74" t="str">
        <f t="shared" si="521"/>
        <v>E7.3.2.1_km : 1</v>
      </c>
      <c r="G354" s="75" t="str">
        <f t="shared" ref="G354:H354" si="720">CONCATENATE(C354," : ",C354)</f>
        <v>E7.3.2.1_mRNA : E7.3.2.1_mRNA</v>
      </c>
      <c r="H354" s="76" t="str">
        <f t="shared" si="720"/>
        <v>E7.3.2.1 : E7.3.2.1</v>
      </c>
      <c r="I354" s="77" t="str">
        <f t="shared" ref="I354:J354" si="721">CONCATENATE(C354," : ","0")</f>
        <v>E7.3.2.1_mRNA : 0</v>
      </c>
      <c r="J354" s="78" t="str">
        <f t="shared" si="721"/>
        <v>E7.3.2.1 : 0</v>
      </c>
      <c r="K354" s="79" t="str">
        <f t="shared" si="524"/>
        <v>0.00292 - (0.0093 * E7.3.2.1_mRNA)</v>
      </c>
      <c r="L354" s="75" t="str">
        <f t="shared" si="525"/>
        <v>(0.278 * E7.3.2.1_mRNA) - (0.00000278 * E7.3.2.1)</v>
      </c>
      <c r="M354" s="80" t="str">
        <f t="shared" si="526"/>
        <v>mRNA353: -&gt; E7.3.2.1_mRNA | 0.00292 - (0.0093 * E7.3.2.1_mRNA)</v>
      </c>
      <c r="N354" s="73" t="str">
        <f t="shared" si="527"/>
        <v>Peptide353: E7.3.2.1_mRNA -&gt; E7.3.2.1 | (0.278 * E7.3.2.1_mRNA) - (0.000000278 * E7.3.2.1)</v>
      </c>
    </row>
    <row r="355" spans="1:14" ht="25">
      <c r="A355" s="70">
        <v>354</v>
      </c>
      <c r="B355" s="81" t="s">
        <v>17353</v>
      </c>
      <c r="C355" s="72" t="str">
        <f t="shared" si="518"/>
        <v>E7.3.2.2_mRNA</v>
      </c>
      <c r="D355" s="72" t="str">
        <f t="shared" si="519"/>
        <v>E7.3.2.2</v>
      </c>
      <c r="E355" s="73" t="str">
        <f t="shared" si="520"/>
        <v>E7.3.2.2_kcat : 13.7</v>
      </c>
      <c r="F355" s="74" t="str">
        <f t="shared" si="521"/>
        <v>E7.3.2.2_km : 1</v>
      </c>
      <c r="G355" s="75" t="str">
        <f t="shared" ref="G355:H355" si="722">CONCATENATE(C355," : ",C355)</f>
        <v>E7.3.2.2_mRNA : E7.3.2.2_mRNA</v>
      </c>
      <c r="H355" s="76" t="str">
        <f t="shared" si="722"/>
        <v>E7.3.2.2 : E7.3.2.2</v>
      </c>
      <c r="I355" s="77" t="str">
        <f t="shared" ref="I355:J355" si="723">CONCATENATE(C355," : ","0")</f>
        <v>E7.3.2.2_mRNA : 0</v>
      </c>
      <c r="J355" s="78" t="str">
        <f t="shared" si="723"/>
        <v>E7.3.2.2 : 0</v>
      </c>
      <c r="K355" s="79" t="str">
        <f t="shared" si="524"/>
        <v>0.00292 - (0.0093 * E7.3.2.2_mRNA)</v>
      </c>
      <c r="L355" s="75" t="str">
        <f t="shared" si="525"/>
        <v>(0.278 * E7.3.2.2_mRNA) - (0.00000278 * E7.3.2.2)</v>
      </c>
      <c r="M355" s="80" t="str">
        <f t="shared" si="526"/>
        <v>mRNA354: -&gt; E7.3.2.2_mRNA | 0.00292 - (0.0093 * E7.3.2.2_mRNA)</v>
      </c>
      <c r="N355" s="73" t="str">
        <f t="shared" si="527"/>
        <v>Peptide354: E7.3.2.2_mRNA -&gt; E7.3.2.2 | (0.278 * E7.3.2.2_mRNA) - (0.000000278 * E7.3.2.2)</v>
      </c>
    </row>
    <row r="356" spans="1:14" ht="25">
      <c r="A356" s="70">
        <v>355</v>
      </c>
      <c r="B356" s="81" t="s">
        <v>17354</v>
      </c>
      <c r="C356" s="72" t="str">
        <f t="shared" si="518"/>
        <v>E7.4.2.11_mRNA</v>
      </c>
      <c r="D356" s="72" t="str">
        <f t="shared" si="519"/>
        <v>E7.4.2.11</v>
      </c>
      <c r="E356" s="73" t="str">
        <f t="shared" si="520"/>
        <v>E7.4.2.11_kcat : 13.7</v>
      </c>
      <c r="F356" s="74" t="str">
        <f t="shared" si="521"/>
        <v>E7.4.2.11_km : 1</v>
      </c>
      <c r="G356" s="75" t="str">
        <f t="shared" ref="G356:H356" si="724">CONCATENATE(C356," : ",C356)</f>
        <v>E7.4.2.11_mRNA : E7.4.2.11_mRNA</v>
      </c>
      <c r="H356" s="76" t="str">
        <f t="shared" si="724"/>
        <v>E7.4.2.11 : E7.4.2.11</v>
      </c>
      <c r="I356" s="77" t="str">
        <f t="shared" ref="I356:J356" si="725">CONCATENATE(C356," : ","0")</f>
        <v>E7.4.2.11_mRNA : 0</v>
      </c>
      <c r="J356" s="78" t="str">
        <f t="shared" si="725"/>
        <v>E7.4.2.11 : 0</v>
      </c>
      <c r="K356" s="79" t="str">
        <f t="shared" si="524"/>
        <v>0.00292 - (0.0093 * E7.4.2.11_mRNA)</v>
      </c>
      <c r="L356" s="75" t="str">
        <f t="shared" si="525"/>
        <v>(0.278 * E7.4.2.11_mRNA) - (0.00000278 * E7.4.2.11)</v>
      </c>
      <c r="M356" s="80" t="str">
        <f t="shared" si="526"/>
        <v>mRNA355: -&gt; E7.4.2.11_mRNA | 0.00292 - (0.0093 * E7.4.2.11_mRNA)</v>
      </c>
      <c r="N356" s="73" t="str">
        <f t="shared" si="527"/>
        <v>Peptide355: E7.4.2.11_mRNA -&gt; E7.4.2.11 | (0.278 * E7.4.2.11_mRNA) - (0.000000278 * E7.4.2.11)</v>
      </c>
    </row>
    <row r="357" spans="1:14" ht="25">
      <c r="A357" s="70">
        <v>356</v>
      </c>
      <c r="B357" s="81" t="s">
        <v>17355</v>
      </c>
      <c r="C357" s="72" t="str">
        <f t="shared" si="518"/>
        <v>E7.6.2.14_mRNA</v>
      </c>
      <c r="D357" s="72" t="str">
        <f t="shared" si="519"/>
        <v>E7.6.2.14</v>
      </c>
      <c r="E357" s="73" t="str">
        <f t="shared" si="520"/>
        <v>E7.6.2.14_kcat : 13.7</v>
      </c>
      <c r="F357" s="74" t="str">
        <f t="shared" si="521"/>
        <v>E7.6.2.14_km : 1</v>
      </c>
      <c r="G357" s="75" t="str">
        <f t="shared" ref="G357:H357" si="726">CONCATENATE(C357," : ",C357)</f>
        <v>E7.6.2.14_mRNA : E7.6.2.14_mRNA</v>
      </c>
      <c r="H357" s="76" t="str">
        <f t="shared" si="726"/>
        <v>E7.6.2.14 : E7.6.2.14</v>
      </c>
      <c r="I357" s="77" t="str">
        <f t="shared" ref="I357:J357" si="727">CONCATENATE(C357," : ","0")</f>
        <v>E7.6.2.14_mRNA : 0</v>
      </c>
      <c r="J357" s="78" t="str">
        <f t="shared" si="727"/>
        <v>E7.6.2.14 : 0</v>
      </c>
      <c r="K357" s="79" t="str">
        <f t="shared" si="524"/>
        <v>0.00292 - (0.0093 * E7.6.2.14_mRNA)</v>
      </c>
      <c r="L357" s="75" t="str">
        <f t="shared" si="525"/>
        <v>(0.278 * E7.6.2.14_mRNA) - (0.00000278 * E7.6.2.14)</v>
      </c>
      <c r="M357" s="80" t="str">
        <f t="shared" si="526"/>
        <v>mRNA356: -&gt; E7.6.2.14_mRNA | 0.00292 - (0.0093 * E7.6.2.14_mRNA)</v>
      </c>
      <c r="N357" s="73" t="str">
        <f t="shared" si="527"/>
        <v>Peptide356: E7.6.2.14_mRNA -&gt; E7.6.2.14 | (0.278 * E7.6.2.14_mRNA) - (0.000000278 * E7.6.2.14)</v>
      </c>
    </row>
    <row r="358" spans="1:14" ht="14.5">
      <c r="A358" s="84"/>
      <c r="B358" s="85"/>
      <c r="E358" s="86"/>
      <c r="F358" s="87"/>
      <c r="G358" s="88"/>
      <c r="H358" s="89"/>
      <c r="I358" s="90"/>
      <c r="K358" s="91"/>
      <c r="L358" s="88"/>
      <c r="M358" s="92"/>
      <c r="N358" s="86"/>
    </row>
    <row r="359" spans="1:14" ht="14.5">
      <c r="A359" s="84"/>
      <c r="B359" s="93"/>
      <c r="E359" s="86"/>
      <c r="F359" s="87"/>
      <c r="G359" s="88"/>
      <c r="H359" s="89"/>
      <c r="I359" s="90"/>
      <c r="K359" s="91"/>
      <c r="L359" s="88"/>
      <c r="M359" s="92"/>
      <c r="N359" s="86"/>
    </row>
    <row r="360" spans="1:14" ht="14.5">
      <c r="A360" s="84"/>
      <c r="B360" s="94"/>
      <c r="E360" s="86"/>
      <c r="F360" s="87"/>
      <c r="G360" s="88"/>
      <c r="H360" s="89"/>
      <c r="I360" s="90"/>
      <c r="K360" s="91"/>
      <c r="L360" s="88"/>
      <c r="M360" s="92"/>
      <c r="N360" s="86"/>
    </row>
    <row r="361" spans="1:14" ht="14.5">
      <c r="A361" s="84"/>
      <c r="B361" s="94"/>
      <c r="E361" s="86"/>
      <c r="F361" s="87"/>
      <c r="G361" s="88"/>
      <c r="H361" s="89"/>
      <c r="I361" s="90"/>
      <c r="K361" s="91"/>
      <c r="L361" s="88"/>
      <c r="M361" s="92"/>
      <c r="N361" s="86"/>
    </row>
    <row r="362" spans="1:14" ht="14.5">
      <c r="A362" s="84"/>
      <c r="B362" s="93"/>
      <c r="E362" s="86"/>
      <c r="F362" s="87"/>
      <c r="G362" s="88"/>
      <c r="H362" s="89"/>
      <c r="I362" s="90"/>
      <c r="K362" s="91"/>
      <c r="L362" s="88"/>
      <c r="M362" s="92"/>
      <c r="N362" s="86"/>
    </row>
    <row r="363" spans="1:14" ht="14.5">
      <c r="A363" s="84"/>
      <c r="B363" s="93"/>
      <c r="E363" s="86"/>
      <c r="F363" s="87"/>
      <c r="G363" s="88"/>
      <c r="H363" s="89"/>
      <c r="I363" s="90"/>
      <c r="K363" s="91"/>
      <c r="L363" s="88"/>
      <c r="M363" s="92"/>
      <c r="N363" s="86"/>
    </row>
    <row r="364" spans="1:14" ht="14.5">
      <c r="A364" s="84"/>
      <c r="B364" s="93"/>
      <c r="E364" s="86"/>
      <c r="F364" s="87"/>
      <c r="G364" s="88"/>
      <c r="H364" s="89"/>
      <c r="I364" s="90"/>
      <c r="K364" s="91"/>
      <c r="L364" s="88"/>
      <c r="M364" s="92"/>
      <c r="N364" s="86"/>
    </row>
    <row r="365" spans="1:14" ht="14.5">
      <c r="A365" s="84"/>
      <c r="B365" s="93"/>
      <c r="E365" s="86"/>
      <c r="F365" s="87"/>
      <c r="G365" s="88"/>
      <c r="H365" s="89"/>
      <c r="I365" s="90"/>
      <c r="K365" s="91"/>
      <c r="L365" s="88"/>
      <c r="M365" s="92"/>
      <c r="N365" s="86"/>
    </row>
    <row r="366" spans="1:14" ht="14.5">
      <c r="A366" s="84"/>
      <c r="B366" s="93"/>
      <c r="E366" s="86"/>
      <c r="F366" s="87"/>
      <c r="G366" s="88"/>
      <c r="H366" s="89"/>
      <c r="I366" s="90"/>
      <c r="K366" s="91"/>
      <c r="L366" s="88"/>
      <c r="M366" s="92"/>
      <c r="N366" s="86"/>
    </row>
    <row r="367" spans="1:14" ht="14.5">
      <c r="A367" s="84"/>
      <c r="B367" s="93"/>
      <c r="E367" s="86"/>
      <c r="F367" s="87"/>
      <c r="G367" s="88"/>
      <c r="H367" s="89"/>
      <c r="I367" s="90"/>
      <c r="K367" s="91"/>
      <c r="L367" s="88"/>
      <c r="M367" s="92"/>
      <c r="N367" s="86"/>
    </row>
    <row r="368" spans="1:14" ht="14.5">
      <c r="A368" s="84"/>
      <c r="B368" s="93"/>
      <c r="E368" s="86"/>
      <c r="F368" s="87"/>
      <c r="G368" s="88"/>
      <c r="H368" s="89"/>
      <c r="I368" s="90"/>
      <c r="K368" s="91"/>
      <c r="L368" s="88"/>
      <c r="M368" s="92"/>
      <c r="N368" s="86"/>
    </row>
    <row r="369" spans="1:14" ht="14.5">
      <c r="A369" s="84"/>
      <c r="B369" s="93"/>
      <c r="E369" s="86"/>
      <c r="F369" s="87"/>
      <c r="G369" s="88"/>
      <c r="H369" s="89"/>
      <c r="I369" s="90"/>
      <c r="K369" s="91"/>
      <c r="L369" s="88"/>
      <c r="M369" s="92"/>
      <c r="N369" s="86"/>
    </row>
    <row r="370" spans="1:14" ht="14.5">
      <c r="A370" s="84"/>
      <c r="B370" s="93"/>
      <c r="E370" s="86"/>
      <c r="F370" s="87"/>
      <c r="G370" s="88"/>
      <c r="H370" s="89"/>
      <c r="I370" s="90"/>
      <c r="K370" s="91"/>
      <c r="L370" s="88"/>
      <c r="M370" s="92"/>
      <c r="N370" s="86"/>
    </row>
    <row r="371" spans="1:14" ht="14.5">
      <c r="A371" s="84"/>
      <c r="B371" s="93"/>
      <c r="E371" s="86"/>
      <c r="F371" s="87"/>
      <c r="G371" s="88"/>
      <c r="H371" s="89"/>
      <c r="I371" s="90"/>
      <c r="K371" s="91"/>
      <c r="L371" s="88"/>
      <c r="M371" s="92"/>
      <c r="N371" s="86"/>
    </row>
    <row r="372" spans="1:14" ht="14.5">
      <c r="A372" s="84"/>
      <c r="B372" s="93"/>
      <c r="E372" s="86"/>
      <c r="F372" s="87"/>
      <c r="G372" s="88"/>
      <c r="H372" s="89"/>
      <c r="I372" s="90"/>
      <c r="K372" s="91"/>
      <c r="L372" s="88"/>
      <c r="M372" s="92"/>
      <c r="N372" s="86"/>
    </row>
    <row r="373" spans="1:14" ht="14.5">
      <c r="A373" s="84"/>
      <c r="B373" s="93"/>
      <c r="E373" s="86"/>
      <c r="F373" s="87"/>
      <c r="G373" s="88"/>
      <c r="H373" s="89"/>
      <c r="I373" s="90"/>
      <c r="K373" s="91"/>
      <c r="L373" s="88"/>
      <c r="M373" s="92"/>
      <c r="N373" s="86"/>
    </row>
    <row r="374" spans="1:14" ht="14.5">
      <c r="A374" s="84"/>
      <c r="B374" s="93"/>
      <c r="E374" s="86"/>
      <c r="F374" s="87"/>
      <c r="G374" s="88"/>
      <c r="H374" s="89"/>
      <c r="I374" s="90"/>
      <c r="K374" s="91"/>
      <c r="L374" s="88"/>
      <c r="M374" s="92"/>
      <c r="N374" s="86"/>
    </row>
    <row r="375" spans="1:14" ht="14.5">
      <c r="A375" s="84"/>
      <c r="B375" s="93"/>
      <c r="E375" s="86"/>
      <c r="F375" s="87"/>
      <c r="G375" s="88"/>
      <c r="H375" s="89"/>
      <c r="I375" s="90"/>
      <c r="K375" s="91"/>
      <c r="L375" s="88"/>
      <c r="M375" s="92"/>
      <c r="N375" s="86"/>
    </row>
    <row r="376" spans="1:14" ht="14.5">
      <c r="A376" s="84"/>
      <c r="B376" s="93"/>
      <c r="E376" s="86"/>
      <c r="F376" s="87"/>
      <c r="G376" s="88"/>
      <c r="H376" s="89"/>
      <c r="I376" s="90"/>
      <c r="K376" s="91"/>
      <c r="L376" s="88"/>
      <c r="M376" s="92"/>
      <c r="N376" s="86"/>
    </row>
    <row r="377" spans="1:14" ht="14.5">
      <c r="A377" s="84"/>
      <c r="B377" s="93"/>
      <c r="E377" s="86"/>
      <c r="F377" s="87"/>
      <c r="G377" s="88"/>
      <c r="H377" s="89"/>
      <c r="I377" s="90"/>
      <c r="K377" s="91"/>
      <c r="L377" s="88"/>
      <c r="M377" s="92"/>
      <c r="N377" s="86"/>
    </row>
    <row r="378" spans="1:14" ht="14.5">
      <c r="A378" s="84"/>
      <c r="B378" s="93"/>
      <c r="E378" s="86"/>
      <c r="F378" s="87"/>
      <c r="G378" s="88"/>
      <c r="H378" s="89"/>
      <c r="I378" s="90"/>
      <c r="K378" s="91"/>
      <c r="L378" s="88"/>
      <c r="M378" s="92"/>
      <c r="N378" s="86"/>
    </row>
    <row r="379" spans="1:14" ht="14.5">
      <c r="A379" s="84"/>
      <c r="B379" s="93"/>
      <c r="E379" s="86"/>
      <c r="F379" s="87"/>
      <c r="G379" s="88"/>
      <c r="H379" s="89"/>
      <c r="I379" s="90"/>
      <c r="K379" s="91"/>
      <c r="L379" s="88"/>
      <c r="M379" s="92"/>
      <c r="N379" s="86"/>
    </row>
    <row r="380" spans="1:14" ht="14.5">
      <c r="A380" s="84"/>
      <c r="B380" s="93"/>
      <c r="E380" s="86"/>
      <c r="F380" s="87"/>
      <c r="G380" s="88"/>
      <c r="H380" s="89"/>
      <c r="I380" s="90"/>
      <c r="K380" s="91"/>
      <c r="L380" s="88"/>
      <c r="M380" s="92"/>
      <c r="N380" s="86"/>
    </row>
    <row r="381" spans="1:14" ht="14.5">
      <c r="A381" s="84"/>
      <c r="B381" s="93"/>
      <c r="E381" s="86"/>
      <c r="F381" s="87"/>
      <c r="G381" s="88"/>
      <c r="H381" s="89"/>
      <c r="I381" s="90"/>
      <c r="K381" s="91"/>
      <c r="L381" s="88"/>
      <c r="M381" s="92"/>
      <c r="N381" s="86"/>
    </row>
    <row r="382" spans="1:14" ht="14.5">
      <c r="A382" s="84"/>
      <c r="B382" s="93"/>
      <c r="E382" s="86"/>
      <c r="F382" s="87"/>
      <c r="G382" s="88"/>
      <c r="H382" s="89"/>
      <c r="I382" s="90"/>
      <c r="K382" s="91"/>
      <c r="L382" s="88"/>
      <c r="M382" s="92"/>
      <c r="N382" s="86"/>
    </row>
    <row r="383" spans="1:14" ht="14.5">
      <c r="A383" s="84"/>
      <c r="B383" s="93"/>
      <c r="E383" s="86"/>
      <c r="F383" s="87"/>
      <c r="G383" s="88"/>
      <c r="H383" s="89"/>
      <c r="I383" s="90"/>
      <c r="K383" s="91"/>
      <c r="L383" s="88"/>
      <c r="M383" s="92"/>
      <c r="N383" s="86"/>
    </row>
    <row r="384" spans="1:14" ht="14.5">
      <c r="A384" s="84"/>
      <c r="B384" s="93"/>
      <c r="E384" s="86"/>
      <c r="F384" s="87"/>
      <c r="G384" s="88"/>
      <c r="H384" s="89"/>
      <c r="I384" s="90"/>
      <c r="K384" s="91"/>
      <c r="L384" s="88"/>
      <c r="M384" s="92"/>
      <c r="N384" s="86"/>
    </row>
    <row r="385" spans="1:14" ht="14.5">
      <c r="A385" s="84"/>
      <c r="B385" s="93"/>
      <c r="E385" s="86"/>
      <c r="F385" s="87"/>
      <c r="G385" s="88"/>
      <c r="H385" s="89"/>
      <c r="I385" s="90"/>
      <c r="K385" s="91"/>
      <c r="L385" s="88"/>
      <c r="M385" s="92"/>
      <c r="N385" s="86"/>
    </row>
    <row r="386" spans="1:14" ht="14.5">
      <c r="A386" s="84"/>
      <c r="B386" s="93"/>
      <c r="E386" s="86"/>
      <c r="F386" s="87"/>
      <c r="G386" s="88"/>
      <c r="H386" s="89"/>
      <c r="I386" s="90"/>
      <c r="K386" s="91"/>
      <c r="L386" s="88"/>
      <c r="M386" s="92"/>
      <c r="N386" s="86"/>
    </row>
    <row r="387" spans="1:14" ht="14.5">
      <c r="A387" s="84"/>
      <c r="B387" s="93"/>
      <c r="E387" s="86"/>
      <c r="F387" s="87"/>
      <c r="G387" s="88"/>
      <c r="H387" s="89"/>
      <c r="I387" s="90"/>
      <c r="K387" s="91"/>
      <c r="L387" s="88"/>
      <c r="M387" s="92"/>
      <c r="N387" s="86"/>
    </row>
    <row r="388" spans="1:14" ht="14.5">
      <c r="A388" s="84"/>
      <c r="B388" s="93"/>
      <c r="E388" s="86"/>
      <c r="F388" s="87"/>
      <c r="G388" s="88"/>
      <c r="H388" s="89"/>
      <c r="I388" s="90"/>
      <c r="K388" s="91"/>
      <c r="L388" s="88"/>
      <c r="M388" s="92"/>
      <c r="N388" s="86"/>
    </row>
    <row r="389" spans="1:14" ht="14.5">
      <c r="A389" s="84"/>
      <c r="B389" s="93"/>
      <c r="E389" s="86"/>
      <c r="F389" s="87"/>
      <c r="G389" s="88"/>
      <c r="H389" s="89"/>
      <c r="I389" s="90"/>
      <c r="K389" s="91"/>
      <c r="L389" s="88"/>
      <c r="M389" s="92"/>
      <c r="N389" s="86"/>
    </row>
    <row r="390" spans="1:14" ht="14.5">
      <c r="A390" s="84"/>
      <c r="B390" s="93"/>
      <c r="E390" s="86"/>
      <c r="F390" s="87"/>
      <c r="G390" s="88"/>
      <c r="H390" s="89"/>
      <c r="I390" s="90"/>
      <c r="K390" s="91"/>
      <c r="L390" s="88"/>
      <c r="M390" s="92"/>
      <c r="N390" s="86"/>
    </row>
    <row r="391" spans="1:14" ht="14.5">
      <c r="A391" s="84"/>
      <c r="E391" s="86"/>
      <c r="F391" s="87"/>
      <c r="G391" s="88"/>
      <c r="H391" s="89"/>
      <c r="I391" s="90"/>
      <c r="K391" s="91"/>
      <c r="L391" s="88"/>
      <c r="M391" s="92"/>
      <c r="N391" s="86"/>
    </row>
    <row r="392" spans="1:14" ht="14.5">
      <c r="A392" s="84"/>
      <c r="E392" s="86"/>
      <c r="F392" s="87"/>
      <c r="G392" s="88"/>
      <c r="H392" s="89"/>
      <c r="I392" s="90"/>
      <c r="K392" s="91"/>
      <c r="L392" s="88"/>
      <c r="M392" s="92"/>
      <c r="N392" s="86"/>
    </row>
    <row r="393" spans="1:14" ht="14.5">
      <c r="A393" s="84"/>
      <c r="E393" s="86"/>
      <c r="F393" s="87"/>
      <c r="G393" s="88"/>
      <c r="H393" s="89"/>
      <c r="I393" s="90"/>
      <c r="K393" s="91"/>
      <c r="L393" s="88"/>
      <c r="M393" s="92"/>
      <c r="N393" s="86"/>
    </row>
    <row r="394" spans="1:14" ht="14.5">
      <c r="A394" s="84"/>
      <c r="E394" s="86"/>
      <c r="F394" s="87"/>
      <c r="G394" s="88"/>
      <c r="H394" s="89"/>
      <c r="I394" s="90"/>
      <c r="K394" s="91"/>
      <c r="L394" s="88"/>
      <c r="M394" s="92"/>
      <c r="N394" s="86"/>
    </row>
    <row r="395" spans="1:14" ht="14.5">
      <c r="A395" s="84"/>
      <c r="E395" s="86"/>
      <c r="F395" s="87"/>
      <c r="G395" s="88"/>
      <c r="H395" s="89"/>
      <c r="I395" s="90"/>
      <c r="K395" s="91"/>
      <c r="L395" s="88"/>
      <c r="M395" s="92"/>
      <c r="N395" s="86"/>
    </row>
    <row r="396" spans="1:14" ht="14.5">
      <c r="A396" s="84"/>
      <c r="E396" s="86"/>
      <c r="F396" s="87"/>
      <c r="G396" s="88"/>
      <c r="H396" s="89"/>
      <c r="I396" s="90"/>
      <c r="K396" s="91"/>
      <c r="L396" s="88"/>
      <c r="M396" s="92"/>
      <c r="N396" s="86"/>
    </row>
    <row r="397" spans="1:14" ht="14.5">
      <c r="A397" s="84"/>
      <c r="E397" s="86"/>
      <c r="F397" s="87"/>
      <c r="G397" s="88"/>
      <c r="H397" s="89"/>
      <c r="I397" s="90"/>
      <c r="K397" s="91"/>
      <c r="L397" s="88"/>
      <c r="M397" s="92"/>
      <c r="N397" s="86"/>
    </row>
    <row r="398" spans="1:14" ht="14.5">
      <c r="A398" s="84"/>
      <c r="E398" s="86"/>
      <c r="F398" s="87"/>
      <c r="G398" s="88"/>
      <c r="H398" s="89"/>
      <c r="I398" s="90"/>
      <c r="K398" s="91"/>
      <c r="L398" s="88"/>
      <c r="M398" s="92"/>
      <c r="N398" s="86"/>
    </row>
    <row r="399" spans="1:14" ht="14.5">
      <c r="A399" s="84"/>
      <c r="E399" s="86"/>
      <c r="F399" s="87"/>
      <c r="G399" s="88"/>
      <c r="H399" s="89"/>
      <c r="I399" s="90"/>
      <c r="K399" s="91"/>
      <c r="L399" s="88"/>
      <c r="M399" s="92"/>
      <c r="N399" s="86"/>
    </row>
    <row r="400" spans="1:14" ht="14.5">
      <c r="A400" s="84"/>
      <c r="E400" s="86"/>
      <c r="F400" s="87"/>
      <c r="G400" s="88"/>
      <c r="H400" s="89"/>
      <c r="I400" s="90"/>
      <c r="K400" s="91"/>
      <c r="L400" s="88"/>
      <c r="M400" s="92"/>
      <c r="N400" s="86"/>
    </row>
    <row r="401" spans="1:14" ht="14.5">
      <c r="A401" s="84"/>
      <c r="E401" s="86"/>
      <c r="F401" s="87"/>
      <c r="G401" s="88"/>
      <c r="H401" s="89"/>
      <c r="I401" s="90"/>
      <c r="K401" s="91"/>
      <c r="L401" s="88"/>
      <c r="M401" s="92"/>
      <c r="N401" s="86"/>
    </row>
    <row r="402" spans="1:14" ht="14.5">
      <c r="A402" s="84"/>
      <c r="E402" s="86"/>
      <c r="F402" s="87"/>
      <c r="G402" s="88"/>
      <c r="H402" s="89"/>
      <c r="I402" s="90"/>
      <c r="K402" s="91"/>
      <c r="L402" s="88"/>
      <c r="M402" s="92"/>
      <c r="N402" s="86"/>
    </row>
    <row r="403" spans="1:14" ht="14.5">
      <c r="A403" s="84"/>
      <c r="E403" s="86"/>
      <c r="F403" s="87"/>
      <c r="G403" s="88"/>
      <c r="H403" s="89"/>
      <c r="I403" s="90"/>
      <c r="K403" s="91"/>
      <c r="L403" s="88"/>
      <c r="M403" s="92"/>
      <c r="N403" s="86"/>
    </row>
    <row r="404" spans="1:14" ht="14.5">
      <c r="A404" s="84"/>
      <c r="E404" s="86"/>
      <c r="F404" s="87"/>
      <c r="G404" s="88"/>
      <c r="H404" s="89"/>
      <c r="I404" s="90"/>
      <c r="K404" s="91"/>
      <c r="L404" s="88"/>
      <c r="M404" s="92"/>
      <c r="N404" s="86"/>
    </row>
    <row r="405" spans="1:14" ht="14.5">
      <c r="A405" s="84"/>
      <c r="E405" s="86"/>
      <c r="F405" s="87"/>
      <c r="G405" s="88"/>
      <c r="H405" s="89"/>
      <c r="I405" s="90"/>
      <c r="K405" s="91"/>
      <c r="L405" s="88"/>
      <c r="M405" s="92"/>
      <c r="N405" s="86"/>
    </row>
    <row r="406" spans="1:14" ht="14.5">
      <c r="A406" s="84"/>
      <c r="E406" s="86"/>
      <c r="F406" s="87"/>
      <c r="G406" s="88"/>
      <c r="H406" s="89"/>
      <c r="I406" s="90"/>
      <c r="K406" s="91"/>
      <c r="L406" s="88"/>
      <c r="M406" s="92"/>
      <c r="N406" s="86"/>
    </row>
    <row r="407" spans="1:14" ht="14.5">
      <c r="A407" s="84"/>
      <c r="E407" s="86"/>
      <c r="F407" s="87"/>
      <c r="G407" s="88"/>
      <c r="H407" s="89"/>
      <c r="I407" s="90"/>
      <c r="K407" s="91"/>
      <c r="L407" s="88"/>
      <c r="M407" s="92"/>
      <c r="N407" s="86"/>
    </row>
    <row r="408" spans="1:14" ht="14.5">
      <c r="A408" s="84"/>
      <c r="E408" s="86"/>
      <c r="F408" s="87"/>
      <c r="G408" s="88"/>
      <c r="H408" s="89"/>
      <c r="I408" s="90"/>
      <c r="K408" s="91"/>
      <c r="L408" s="88"/>
      <c r="M408" s="92"/>
      <c r="N408" s="86"/>
    </row>
    <row r="409" spans="1:14" ht="14.5">
      <c r="A409" s="84"/>
      <c r="E409" s="86"/>
      <c r="F409" s="87"/>
      <c r="G409" s="88"/>
      <c r="H409" s="89"/>
      <c r="I409" s="90"/>
      <c r="K409" s="91"/>
      <c r="L409" s="88"/>
      <c r="M409" s="92"/>
      <c r="N409" s="86"/>
    </row>
    <row r="410" spans="1:14" ht="14.5">
      <c r="A410" s="84"/>
      <c r="E410" s="86"/>
      <c r="F410" s="87"/>
      <c r="G410" s="88"/>
      <c r="H410" s="89"/>
      <c r="I410" s="90"/>
      <c r="K410" s="91"/>
      <c r="L410" s="88"/>
      <c r="M410" s="92"/>
      <c r="N410" s="86"/>
    </row>
    <row r="411" spans="1:14" ht="14.5">
      <c r="A411" s="84"/>
      <c r="E411" s="86"/>
      <c r="F411" s="87"/>
      <c r="G411" s="88"/>
      <c r="H411" s="89"/>
      <c r="I411" s="90"/>
      <c r="K411" s="91"/>
      <c r="L411" s="88"/>
      <c r="M411" s="92"/>
      <c r="N411" s="86"/>
    </row>
    <row r="412" spans="1:14" ht="14.5">
      <c r="A412" s="84"/>
      <c r="E412" s="86"/>
      <c r="F412" s="87"/>
      <c r="G412" s="88"/>
      <c r="H412" s="89"/>
      <c r="I412" s="90"/>
      <c r="K412" s="91"/>
      <c r="L412" s="88"/>
      <c r="M412" s="92"/>
      <c r="N412" s="86"/>
    </row>
    <row r="413" spans="1:14" ht="14.5">
      <c r="A413" s="84"/>
      <c r="E413" s="86"/>
      <c r="F413" s="87"/>
      <c r="G413" s="88"/>
      <c r="H413" s="89"/>
      <c r="I413" s="90"/>
      <c r="K413" s="91"/>
      <c r="L413" s="88"/>
      <c r="M413" s="92"/>
      <c r="N413" s="86"/>
    </row>
    <row r="414" spans="1:14" ht="14.5">
      <c r="A414" s="84"/>
      <c r="E414" s="86"/>
      <c r="F414" s="87"/>
      <c r="G414" s="88"/>
      <c r="H414" s="89"/>
      <c r="I414" s="90"/>
      <c r="K414" s="91"/>
      <c r="L414" s="88"/>
      <c r="M414" s="92"/>
      <c r="N414" s="86"/>
    </row>
    <row r="415" spans="1:14" ht="14.5">
      <c r="A415" s="84"/>
      <c r="E415" s="86"/>
      <c r="F415" s="87"/>
      <c r="G415" s="88"/>
      <c r="H415" s="89"/>
      <c r="I415" s="90"/>
      <c r="K415" s="91"/>
      <c r="L415" s="88"/>
      <c r="M415" s="92"/>
      <c r="N415" s="86"/>
    </row>
    <row r="416" spans="1:14" ht="14.5">
      <c r="A416" s="84"/>
      <c r="E416" s="86"/>
      <c r="F416" s="87"/>
      <c r="G416" s="88"/>
      <c r="H416" s="89"/>
      <c r="I416" s="90"/>
      <c r="K416" s="91"/>
      <c r="L416" s="88"/>
      <c r="M416" s="92"/>
      <c r="N416" s="86"/>
    </row>
    <row r="417" spans="1:14" ht="14.5">
      <c r="A417" s="84"/>
      <c r="E417" s="86"/>
      <c r="F417" s="87"/>
      <c r="G417" s="88"/>
      <c r="H417" s="89"/>
      <c r="I417" s="90"/>
      <c r="K417" s="91"/>
      <c r="L417" s="88"/>
      <c r="M417" s="92"/>
      <c r="N417" s="86"/>
    </row>
    <row r="418" spans="1:14" ht="14.5">
      <c r="A418" s="84"/>
      <c r="E418" s="86"/>
      <c r="F418" s="87"/>
      <c r="G418" s="88"/>
      <c r="H418" s="89"/>
      <c r="I418" s="90"/>
      <c r="K418" s="91"/>
      <c r="L418" s="88"/>
      <c r="M418" s="92"/>
      <c r="N418" s="86"/>
    </row>
    <row r="419" spans="1:14" ht="14.5">
      <c r="A419" s="84"/>
      <c r="E419" s="86"/>
      <c r="F419" s="87"/>
      <c r="G419" s="88"/>
      <c r="H419" s="89"/>
      <c r="I419" s="90"/>
      <c r="K419" s="91"/>
      <c r="L419" s="88"/>
      <c r="M419" s="92"/>
      <c r="N419" s="86"/>
    </row>
    <row r="420" spans="1:14" ht="14.5">
      <c r="A420" s="84"/>
      <c r="E420" s="86"/>
      <c r="F420" s="87"/>
      <c r="G420" s="88"/>
      <c r="H420" s="89"/>
      <c r="I420" s="90"/>
      <c r="K420" s="91"/>
      <c r="L420" s="88"/>
      <c r="M420" s="92"/>
      <c r="N420" s="86"/>
    </row>
    <row r="421" spans="1:14" ht="14.5">
      <c r="A421" s="84"/>
      <c r="E421" s="86"/>
      <c r="F421" s="87"/>
      <c r="G421" s="88"/>
      <c r="H421" s="89"/>
      <c r="I421" s="90"/>
      <c r="K421" s="91"/>
      <c r="L421" s="88"/>
      <c r="M421" s="92"/>
      <c r="N421" s="86"/>
    </row>
    <row r="422" spans="1:14" ht="14.5">
      <c r="A422" s="84"/>
      <c r="E422" s="86"/>
      <c r="F422" s="87"/>
      <c r="G422" s="88"/>
      <c r="H422" s="89"/>
      <c r="I422" s="90"/>
      <c r="K422" s="91"/>
      <c r="L422" s="88"/>
      <c r="M422" s="92"/>
      <c r="N422" s="86"/>
    </row>
    <row r="423" spans="1:14" ht="14.5">
      <c r="A423" s="84"/>
      <c r="E423" s="86"/>
      <c r="F423" s="87"/>
      <c r="G423" s="88"/>
      <c r="H423" s="89"/>
      <c r="I423" s="90"/>
      <c r="K423" s="91"/>
      <c r="L423" s="88"/>
      <c r="M423" s="92"/>
      <c r="N423" s="86"/>
    </row>
    <row r="424" spans="1:14" ht="14.5">
      <c r="A424" s="84"/>
      <c r="E424" s="86"/>
      <c r="F424" s="87"/>
      <c r="G424" s="88"/>
      <c r="H424" s="89"/>
      <c r="I424" s="90"/>
      <c r="K424" s="91"/>
      <c r="L424" s="88"/>
      <c r="M424" s="92"/>
      <c r="N424" s="86"/>
    </row>
    <row r="425" spans="1:14" ht="14.5">
      <c r="A425" s="84"/>
      <c r="E425" s="86"/>
      <c r="F425" s="87"/>
      <c r="G425" s="88"/>
      <c r="H425" s="89"/>
      <c r="I425" s="90"/>
      <c r="K425" s="91"/>
      <c r="L425" s="88"/>
      <c r="M425" s="92"/>
      <c r="N425" s="86"/>
    </row>
    <row r="426" spans="1:14" ht="14.5">
      <c r="A426" s="84"/>
      <c r="E426" s="86"/>
      <c r="F426" s="87"/>
      <c r="G426" s="88"/>
      <c r="H426" s="89"/>
      <c r="I426" s="90"/>
      <c r="K426" s="91"/>
      <c r="L426" s="88"/>
      <c r="M426" s="92"/>
      <c r="N426" s="86"/>
    </row>
    <row r="427" spans="1:14" ht="14.5">
      <c r="A427" s="84"/>
      <c r="E427" s="86"/>
      <c r="F427" s="87"/>
      <c r="G427" s="88"/>
      <c r="H427" s="89"/>
      <c r="I427" s="90"/>
      <c r="K427" s="91"/>
      <c r="L427" s="88"/>
      <c r="M427" s="92"/>
      <c r="N427" s="86"/>
    </row>
    <row r="428" spans="1:14" ht="14.5">
      <c r="A428" s="84"/>
      <c r="E428" s="86"/>
      <c r="F428" s="87"/>
      <c r="G428" s="88"/>
      <c r="H428" s="89"/>
      <c r="I428" s="90"/>
      <c r="K428" s="91"/>
      <c r="L428" s="88"/>
      <c r="M428" s="92"/>
      <c r="N428" s="86"/>
    </row>
    <row r="429" spans="1:14" ht="14.5">
      <c r="A429" s="84"/>
      <c r="E429" s="86"/>
      <c r="F429" s="87"/>
      <c r="G429" s="88"/>
      <c r="H429" s="89"/>
      <c r="I429" s="90"/>
      <c r="K429" s="91"/>
      <c r="L429" s="88"/>
      <c r="M429" s="92"/>
      <c r="N429" s="86"/>
    </row>
    <row r="430" spans="1:14" ht="14.5">
      <c r="A430" s="84"/>
      <c r="E430" s="86"/>
      <c r="F430" s="87"/>
      <c r="G430" s="88"/>
      <c r="H430" s="89"/>
      <c r="I430" s="90"/>
      <c r="K430" s="91"/>
      <c r="L430" s="88"/>
      <c r="M430" s="92"/>
      <c r="N430" s="86"/>
    </row>
    <row r="431" spans="1:14" ht="14.5">
      <c r="A431" s="84"/>
      <c r="E431" s="86"/>
      <c r="F431" s="87"/>
      <c r="G431" s="88"/>
      <c r="H431" s="89"/>
      <c r="I431" s="90"/>
      <c r="K431" s="91"/>
      <c r="L431" s="88"/>
      <c r="M431" s="92"/>
      <c r="N431" s="86"/>
    </row>
    <row r="432" spans="1:14" ht="14.5">
      <c r="A432" s="84"/>
      <c r="E432" s="86"/>
      <c r="F432" s="87"/>
      <c r="G432" s="88"/>
      <c r="H432" s="89"/>
      <c r="I432" s="90"/>
      <c r="K432" s="91"/>
      <c r="L432" s="88"/>
      <c r="M432" s="92"/>
      <c r="N432" s="86"/>
    </row>
    <row r="433" spans="1:14" ht="14.5">
      <c r="A433" s="84"/>
      <c r="E433" s="86"/>
      <c r="F433" s="87"/>
      <c r="G433" s="88"/>
      <c r="H433" s="89"/>
      <c r="I433" s="90"/>
      <c r="K433" s="91"/>
      <c r="L433" s="88"/>
      <c r="M433" s="92"/>
      <c r="N433" s="86"/>
    </row>
    <row r="434" spans="1:14" ht="14.5">
      <c r="A434" s="84"/>
      <c r="E434" s="86"/>
      <c r="F434" s="87"/>
      <c r="G434" s="88"/>
      <c r="H434" s="89"/>
      <c r="I434" s="90"/>
      <c r="K434" s="91"/>
      <c r="L434" s="88"/>
      <c r="M434" s="92"/>
      <c r="N434" s="86"/>
    </row>
    <row r="435" spans="1:14" ht="14.5">
      <c r="A435" s="84"/>
      <c r="E435" s="86"/>
      <c r="F435" s="87"/>
      <c r="G435" s="88"/>
      <c r="H435" s="89"/>
      <c r="I435" s="90"/>
      <c r="K435" s="91"/>
      <c r="L435" s="88"/>
      <c r="M435" s="92"/>
      <c r="N435" s="86"/>
    </row>
    <row r="436" spans="1:14" ht="14.5">
      <c r="A436" s="84"/>
      <c r="E436" s="86"/>
      <c r="F436" s="87"/>
      <c r="G436" s="88"/>
      <c r="H436" s="89"/>
      <c r="I436" s="90"/>
      <c r="K436" s="91"/>
      <c r="L436" s="88"/>
      <c r="M436" s="92"/>
      <c r="N436" s="86"/>
    </row>
    <row r="437" spans="1:14" ht="14.5">
      <c r="A437" s="84"/>
      <c r="E437" s="86"/>
      <c r="F437" s="87"/>
      <c r="G437" s="88"/>
      <c r="H437" s="89"/>
      <c r="I437" s="90"/>
      <c r="K437" s="91"/>
      <c r="L437" s="88"/>
      <c r="M437" s="92"/>
      <c r="N437" s="86"/>
    </row>
    <row r="438" spans="1:14" ht="14.5">
      <c r="A438" s="84"/>
      <c r="E438" s="86"/>
      <c r="F438" s="87"/>
      <c r="G438" s="88"/>
      <c r="H438" s="89"/>
      <c r="I438" s="90"/>
      <c r="K438" s="91"/>
      <c r="L438" s="88"/>
      <c r="M438" s="92"/>
      <c r="N438" s="86"/>
    </row>
    <row r="439" spans="1:14" ht="14.5">
      <c r="A439" s="84"/>
      <c r="E439" s="86"/>
      <c r="F439" s="87"/>
      <c r="G439" s="88"/>
      <c r="H439" s="89"/>
      <c r="I439" s="90"/>
      <c r="K439" s="91"/>
      <c r="L439" s="88"/>
      <c r="M439" s="92"/>
      <c r="N439" s="86"/>
    </row>
    <row r="440" spans="1:14" ht="14.5">
      <c r="A440" s="84"/>
      <c r="E440" s="86"/>
      <c r="F440" s="87"/>
      <c r="G440" s="88"/>
      <c r="H440" s="89"/>
      <c r="I440" s="90"/>
      <c r="K440" s="91"/>
      <c r="L440" s="88"/>
      <c r="M440" s="92"/>
      <c r="N440" s="86"/>
    </row>
    <row r="441" spans="1:14" ht="14.5">
      <c r="A441" s="84"/>
      <c r="E441" s="86"/>
      <c r="F441" s="87"/>
      <c r="G441" s="88"/>
      <c r="H441" s="89"/>
      <c r="I441" s="90"/>
      <c r="K441" s="91"/>
      <c r="L441" s="88"/>
      <c r="M441" s="92"/>
      <c r="N441" s="86"/>
    </row>
    <row r="442" spans="1:14" ht="14.5">
      <c r="A442" s="84"/>
      <c r="E442" s="86"/>
      <c r="F442" s="87"/>
      <c r="G442" s="88"/>
      <c r="H442" s="89"/>
      <c r="I442" s="90"/>
      <c r="K442" s="91"/>
      <c r="L442" s="88"/>
      <c r="M442" s="92"/>
      <c r="N442" s="86"/>
    </row>
    <row r="443" spans="1:14" ht="14.5">
      <c r="A443" s="84"/>
      <c r="E443" s="86"/>
      <c r="F443" s="87"/>
      <c r="G443" s="88"/>
      <c r="H443" s="89"/>
      <c r="I443" s="90"/>
      <c r="K443" s="91"/>
      <c r="L443" s="88"/>
      <c r="M443" s="92"/>
      <c r="N443" s="86"/>
    </row>
    <row r="444" spans="1:14" ht="14.5">
      <c r="A444" s="84"/>
      <c r="E444" s="86"/>
      <c r="F444" s="87"/>
      <c r="G444" s="88"/>
      <c r="H444" s="89"/>
      <c r="I444" s="90"/>
      <c r="K444" s="91"/>
      <c r="L444" s="88"/>
      <c r="M444" s="92"/>
      <c r="N444" s="86"/>
    </row>
    <row r="445" spans="1:14" ht="14.5">
      <c r="A445" s="84"/>
      <c r="E445" s="86"/>
      <c r="F445" s="87"/>
      <c r="G445" s="88"/>
      <c r="H445" s="89"/>
      <c r="I445" s="90"/>
      <c r="K445" s="91"/>
      <c r="L445" s="88"/>
      <c r="M445" s="92"/>
      <c r="N445" s="86"/>
    </row>
    <row r="446" spans="1:14" ht="14.5">
      <c r="A446" s="84"/>
      <c r="E446" s="86"/>
      <c r="F446" s="87"/>
      <c r="G446" s="88"/>
      <c r="H446" s="89"/>
      <c r="I446" s="90"/>
      <c r="K446" s="91"/>
      <c r="L446" s="88"/>
      <c r="M446" s="92"/>
      <c r="N446" s="86"/>
    </row>
    <row r="447" spans="1:14" ht="14.5">
      <c r="A447" s="84"/>
      <c r="E447" s="86"/>
      <c r="F447" s="87"/>
      <c r="G447" s="88"/>
      <c r="H447" s="89"/>
      <c r="I447" s="90"/>
      <c r="K447" s="91"/>
      <c r="L447" s="88"/>
      <c r="M447" s="92"/>
      <c r="N447" s="86"/>
    </row>
    <row r="448" spans="1:14" ht="14.5">
      <c r="A448" s="84"/>
      <c r="E448" s="86"/>
      <c r="F448" s="87"/>
      <c r="G448" s="88"/>
      <c r="H448" s="89"/>
      <c r="I448" s="90"/>
      <c r="K448" s="91"/>
      <c r="L448" s="88"/>
      <c r="M448" s="92"/>
      <c r="N448" s="86"/>
    </row>
    <row r="449" spans="1:14" ht="14.5">
      <c r="A449" s="84"/>
      <c r="E449" s="86"/>
      <c r="F449" s="87"/>
      <c r="G449" s="88"/>
      <c r="H449" s="89"/>
      <c r="I449" s="90"/>
      <c r="K449" s="91"/>
      <c r="L449" s="88"/>
      <c r="M449" s="92"/>
      <c r="N449" s="86"/>
    </row>
    <row r="450" spans="1:14" ht="14.5">
      <c r="A450" s="84"/>
      <c r="E450" s="86"/>
      <c r="F450" s="87"/>
      <c r="G450" s="88"/>
      <c r="H450" s="89"/>
      <c r="I450" s="90"/>
      <c r="K450" s="91"/>
      <c r="L450" s="88"/>
      <c r="M450" s="92"/>
      <c r="N450" s="86"/>
    </row>
    <row r="451" spans="1:14" ht="14.5">
      <c r="A451" s="84"/>
      <c r="E451" s="86"/>
      <c r="F451" s="87"/>
      <c r="G451" s="88"/>
      <c r="H451" s="89"/>
      <c r="I451" s="90"/>
      <c r="K451" s="91"/>
      <c r="L451" s="88"/>
      <c r="M451" s="92"/>
      <c r="N451" s="86"/>
    </row>
    <row r="452" spans="1:14" ht="14.5">
      <c r="A452" s="84"/>
      <c r="E452" s="86"/>
      <c r="F452" s="87"/>
      <c r="G452" s="88"/>
      <c r="H452" s="89"/>
      <c r="I452" s="90"/>
      <c r="K452" s="91"/>
      <c r="L452" s="88"/>
      <c r="M452" s="92"/>
      <c r="N452" s="86"/>
    </row>
    <row r="453" spans="1:14" ht="14.5">
      <c r="A453" s="84"/>
      <c r="E453" s="86"/>
      <c r="F453" s="87"/>
      <c r="G453" s="88"/>
      <c r="H453" s="89"/>
      <c r="I453" s="90"/>
      <c r="K453" s="91"/>
      <c r="L453" s="88"/>
      <c r="M453" s="92"/>
      <c r="N453" s="86"/>
    </row>
    <row r="454" spans="1:14" ht="14.5">
      <c r="A454" s="84"/>
      <c r="E454" s="86"/>
      <c r="F454" s="87"/>
      <c r="G454" s="88"/>
      <c r="H454" s="89"/>
      <c r="I454" s="90"/>
      <c r="K454" s="91"/>
      <c r="L454" s="88"/>
      <c r="M454" s="92"/>
      <c r="N454" s="86"/>
    </row>
    <row r="455" spans="1:14" ht="14.5">
      <c r="A455" s="84"/>
      <c r="E455" s="86"/>
      <c r="F455" s="87"/>
      <c r="G455" s="88"/>
      <c r="H455" s="89"/>
      <c r="I455" s="90"/>
      <c r="K455" s="91"/>
      <c r="L455" s="88"/>
      <c r="M455" s="92"/>
      <c r="N455" s="86"/>
    </row>
    <row r="456" spans="1:14" ht="14.5">
      <c r="A456" s="84"/>
      <c r="E456" s="86"/>
      <c r="F456" s="87"/>
      <c r="G456" s="88"/>
      <c r="H456" s="89"/>
      <c r="I456" s="90"/>
      <c r="K456" s="91"/>
      <c r="L456" s="88"/>
      <c r="M456" s="92"/>
      <c r="N456" s="86"/>
    </row>
    <row r="457" spans="1:14" ht="14.5">
      <c r="A457" s="84"/>
      <c r="E457" s="86"/>
      <c r="F457" s="87"/>
      <c r="G457" s="88"/>
      <c r="H457" s="89"/>
      <c r="I457" s="90"/>
      <c r="K457" s="91"/>
      <c r="L457" s="88"/>
      <c r="M457" s="92"/>
      <c r="N457" s="86"/>
    </row>
    <row r="458" spans="1:14" ht="14.5">
      <c r="A458" s="84"/>
      <c r="E458" s="86"/>
      <c r="F458" s="87"/>
      <c r="G458" s="88"/>
      <c r="H458" s="89"/>
      <c r="I458" s="90"/>
      <c r="K458" s="91"/>
      <c r="L458" s="88"/>
      <c r="M458" s="92"/>
      <c r="N458" s="86"/>
    </row>
    <row r="459" spans="1:14" ht="14.5">
      <c r="A459" s="84"/>
      <c r="E459" s="86"/>
      <c r="F459" s="87"/>
      <c r="G459" s="88"/>
      <c r="H459" s="89"/>
      <c r="I459" s="90"/>
      <c r="K459" s="91"/>
      <c r="L459" s="88"/>
      <c r="M459" s="92"/>
      <c r="N459" s="86"/>
    </row>
    <row r="460" spans="1:14" ht="14.5">
      <c r="A460" s="84"/>
      <c r="E460" s="86"/>
      <c r="F460" s="87"/>
      <c r="G460" s="88"/>
      <c r="H460" s="89"/>
      <c r="I460" s="90"/>
      <c r="K460" s="91"/>
      <c r="L460" s="88"/>
      <c r="M460" s="92"/>
      <c r="N460" s="86"/>
    </row>
    <row r="461" spans="1:14" ht="14.5">
      <c r="A461" s="84"/>
      <c r="E461" s="86"/>
      <c r="F461" s="87"/>
      <c r="G461" s="88"/>
      <c r="H461" s="89"/>
      <c r="I461" s="90"/>
      <c r="K461" s="91"/>
      <c r="L461" s="88"/>
      <c r="M461" s="92"/>
      <c r="N461" s="86"/>
    </row>
    <row r="462" spans="1:14" ht="14.5">
      <c r="A462" s="84"/>
      <c r="E462" s="86"/>
      <c r="F462" s="87"/>
      <c r="G462" s="88"/>
      <c r="H462" s="89"/>
      <c r="I462" s="90"/>
      <c r="K462" s="91"/>
      <c r="L462" s="88"/>
      <c r="M462" s="92"/>
      <c r="N462" s="86"/>
    </row>
    <row r="463" spans="1:14" ht="14.5">
      <c r="A463" s="84"/>
      <c r="E463" s="86"/>
      <c r="F463" s="87"/>
      <c r="G463" s="88"/>
      <c r="H463" s="89"/>
      <c r="I463" s="90"/>
      <c r="K463" s="91"/>
      <c r="L463" s="88"/>
      <c r="M463" s="92"/>
      <c r="N463" s="86"/>
    </row>
    <row r="464" spans="1:14" ht="14.5">
      <c r="A464" s="84"/>
      <c r="E464" s="86"/>
      <c r="F464" s="87"/>
      <c r="G464" s="88"/>
      <c r="H464" s="89"/>
      <c r="I464" s="90"/>
      <c r="K464" s="91"/>
      <c r="L464" s="88"/>
      <c r="M464" s="92"/>
      <c r="N464" s="86"/>
    </row>
    <row r="465" spans="1:14" ht="14.5">
      <c r="A465" s="84"/>
      <c r="E465" s="86"/>
      <c r="F465" s="87"/>
      <c r="G465" s="88"/>
      <c r="H465" s="89"/>
      <c r="I465" s="90"/>
      <c r="K465" s="91"/>
      <c r="L465" s="88"/>
      <c r="M465" s="92"/>
      <c r="N465" s="86"/>
    </row>
    <row r="466" spans="1:14" ht="14.5">
      <c r="A466" s="84"/>
      <c r="E466" s="86"/>
      <c r="F466" s="87"/>
      <c r="G466" s="88"/>
      <c r="H466" s="89"/>
      <c r="I466" s="90"/>
      <c r="K466" s="91"/>
      <c r="L466" s="88"/>
      <c r="M466" s="92"/>
      <c r="N466" s="86"/>
    </row>
    <row r="467" spans="1:14" ht="14.5">
      <c r="A467" s="84"/>
      <c r="E467" s="86"/>
      <c r="F467" s="87"/>
      <c r="G467" s="88"/>
      <c r="H467" s="89"/>
      <c r="I467" s="90"/>
      <c r="K467" s="91"/>
      <c r="L467" s="88"/>
      <c r="M467" s="92"/>
      <c r="N467" s="86"/>
    </row>
    <row r="468" spans="1:14" ht="14.5">
      <c r="A468" s="84"/>
      <c r="E468" s="86"/>
      <c r="F468" s="87"/>
      <c r="G468" s="88"/>
      <c r="H468" s="89"/>
      <c r="I468" s="90"/>
      <c r="K468" s="91"/>
      <c r="L468" s="88"/>
      <c r="M468" s="92"/>
      <c r="N468" s="86"/>
    </row>
    <row r="469" spans="1:14" ht="14.5">
      <c r="A469" s="84"/>
      <c r="E469" s="86"/>
      <c r="F469" s="87"/>
      <c r="G469" s="88"/>
      <c r="H469" s="89"/>
      <c r="I469" s="90"/>
      <c r="K469" s="91"/>
      <c r="L469" s="88"/>
      <c r="M469" s="92"/>
      <c r="N469" s="86"/>
    </row>
    <row r="470" spans="1:14" ht="14.5">
      <c r="A470" s="84"/>
      <c r="E470" s="86"/>
      <c r="F470" s="87"/>
      <c r="G470" s="88"/>
      <c r="H470" s="89"/>
      <c r="I470" s="90"/>
      <c r="K470" s="91"/>
      <c r="L470" s="88"/>
      <c r="M470" s="92"/>
      <c r="N470" s="86"/>
    </row>
    <row r="471" spans="1:14" ht="14.5">
      <c r="A471" s="84"/>
      <c r="E471" s="86"/>
      <c r="F471" s="87"/>
      <c r="G471" s="88"/>
      <c r="H471" s="89"/>
      <c r="I471" s="90"/>
      <c r="K471" s="91"/>
      <c r="L471" s="88"/>
      <c r="M471" s="92"/>
      <c r="N471" s="86"/>
    </row>
    <row r="472" spans="1:14" ht="14.5">
      <c r="A472" s="84"/>
      <c r="E472" s="86"/>
      <c r="F472" s="87"/>
      <c r="G472" s="88"/>
      <c r="H472" s="89"/>
      <c r="I472" s="90"/>
      <c r="K472" s="91"/>
      <c r="L472" s="88"/>
      <c r="M472" s="92"/>
      <c r="N472" s="86"/>
    </row>
    <row r="473" spans="1:14" ht="14.5">
      <c r="A473" s="84"/>
      <c r="E473" s="86"/>
      <c r="F473" s="87"/>
      <c r="G473" s="88"/>
      <c r="H473" s="89"/>
      <c r="I473" s="90"/>
      <c r="K473" s="91"/>
      <c r="L473" s="88"/>
      <c r="M473" s="92"/>
      <c r="N473" s="86"/>
    </row>
    <row r="474" spans="1:14" ht="14.5">
      <c r="A474" s="84"/>
      <c r="E474" s="86"/>
      <c r="F474" s="87"/>
      <c r="G474" s="88"/>
      <c r="H474" s="89"/>
      <c r="I474" s="90"/>
      <c r="K474" s="91"/>
      <c r="L474" s="88"/>
      <c r="M474" s="92"/>
      <c r="N474" s="86"/>
    </row>
    <row r="475" spans="1:14" ht="14.5">
      <c r="A475" s="84"/>
      <c r="E475" s="86"/>
      <c r="F475" s="87"/>
      <c r="G475" s="88"/>
      <c r="H475" s="89"/>
      <c r="I475" s="90"/>
      <c r="K475" s="91"/>
      <c r="L475" s="88"/>
      <c r="M475" s="92"/>
      <c r="N475" s="86"/>
    </row>
    <row r="476" spans="1:14" ht="14.5">
      <c r="A476" s="84"/>
      <c r="E476" s="86"/>
      <c r="F476" s="87"/>
      <c r="G476" s="88"/>
      <c r="H476" s="89"/>
      <c r="I476" s="90"/>
      <c r="K476" s="91"/>
      <c r="L476" s="88"/>
      <c r="M476" s="92"/>
      <c r="N476" s="86"/>
    </row>
    <row r="477" spans="1:14" ht="14.5">
      <c r="A477" s="84"/>
      <c r="E477" s="86"/>
      <c r="F477" s="87"/>
      <c r="G477" s="88"/>
      <c r="H477" s="89"/>
      <c r="I477" s="90"/>
      <c r="K477" s="91"/>
      <c r="L477" s="88"/>
      <c r="M477" s="92"/>
      <c r="N477" s="86"/>
    </row>
    <row r="478" spans="1:14" ht="14.5">
      <c r="A478" s="84"/>
      <c r="E478" s="86"/>
      <c r="F478" s="87"/>
      <c r="G478" s="88"/>
      <c r="H478" s="89"/>
      <c r="I478" s="90"/>
      <c r="K478" s="91"/>
      <c r="L478" s="88"/>
      <c r="M478" s="92"/>
      <c r="N478" s="86"/>
    </row>
    <row r="479" spans="1:14" ht="14.5">
      <c r="A479" s="84"/>
      <c r="E479" s="86"/>
      <c r="F479" s="87"/>
      <c r="G479" s="88"/>
      <c r="H479" s="89"/>
      <c r="I479" s="90"/>
      <c r="K479" s="91"/>
      <c r="L479" s="88"/>
      <c r="M479" s="92"/>
      <c r="N479" s="86"/>
    </row>
    <row r="480" spans="1:14" ht="14.5">
      <c r="A480" s="84"/>
      <c r="E480" s="86"/>
      <c r="F480" s="87"/>
      <c r="G480" s="88"/>
      <c r="H480" s="89"/>
      <c r="I480" s="90"/>
      <c r="K480" s="91"/>
      <c r="L480" s="88"/>
      <c r="M480" s="92"/>
      <c r="N480" s="86"/>
    </row>
    <row r="481" spans="1:14" ht="14.5">
      <c r="A481" s="84"/>
      <c r="E481" s="86"/>
      <c r="F481" s="87"/>
      <c r="G481" s="88"/>
      <c r="H481" s="89"/>
      <c r="I481" s="90"/>
      <c r="K481" s="91"/>
      <c r="L481" s="88"/>
      <c r="M481" s="92"/>
      <c r="N481" s="86"/>
    </row>
    <row r="482" spans="1:14" ht="14.5">
      <c r="A482" s="84"/>
      <c r="E482" s="86"/>
      <c r="F482" s="87"/>
      <c r="G482" s="88"/>
      <c r="H482" s="89"/>
      <c r="I482" s="90"/>
      <c r="K482" s="91"/>
      <c r="L482" s="88"/>
      <c r="M482" s="92"/>
      <c r="N482" s="86"/>
    </row>
    <row r="483" spans="1:14" ht="14.5">
      <c r="A483" s="84"/>
      <c r="E483" s="86"/>
      <c r="F483" s="87"/>
      <c r="G483" s="88"/>
      <c r="H483" s="89"/>
      <c r="I483" s="90"/>
      <c r="K483" s="91"/>
      <c r="L483" s="88"/>
      <c r="M483" s="92"/>
      <c r="N483" s="86"/>
    </row>
    <row r="484" spans="1:14" ht="14.5">
      <c r="A484" s="84"/>
      <c r="E484" s="86"/>
      <c r="F484" s="87"/>
      <c r="G484" s="88"/>
      <c r="H484" s="89"/>
      <c r="I484" s="90"/>
      <c r="K484" s="91"/>
      <c r="L484" s="88"/>
      <c r="M484" s="92"/>
      <c r="N484" s="86"/>
    </row>
    <row r="485" spans="1:14" ht="14.5">
      <c r="A485" s="84"/>
      <c r="E485" s="86"/>
      <c r="F485" s="87"/>
      <c r="G485" s="88"/>
      <c r="H485" s="89"/>
      <c r="I485" s="90"/>
      <c r="K485" s="91"/>
      <c r="L485" s="88"/>
      <c r="M485" s="92"/>
      <c r="N485" s="86"/>
    </row>
    <row r="486" spans="1:14" ht="14.5">
      <c r="A486" s="84"/>
      <c r="E486" s="86"/>
      <c r="F486" s="87"/>
      <c r="G486" s="88"/>
      <c r="H486" s="89"/>
      <c r="I486" s="90"/>
      <c r="K486" s="91"/>
      <c r="L486" s="88"/>
      <c r="M486" s="92"/>
      <c r="N486" s="86"/>
    </row>
    <row r="487" spans="1:14" ht="14.5">
      <c r="A487" s="84"/>
      <c r="E487" s="86"/>
      <c r="F487" s="87"/>
      <c r="G487" s="88"/>
      <c r="H487" s="89"/>
      <c r="I487" s="90"/>
      <c r="K487" s="91"/>
      <c r="L487" s="88"/>
      <c r="M487" s="92"/>
      <c r="N487" s="86"/>
    </row>
    <row r="488" spans="1:14" ht="14.5">
      <c r="A488" s="84"/>
      <c r="E488" s="86"/>
      <c r="F488" s="87"/>
      <c r="G488" s="88"/>
      <c r="H488" s="89"/>
      <c r="I488" s="90"/>
      <c r="K488" s="91"/>
      <c r="L488" s="88"/>
      <c r="M488" s="92"/>
      <c r="N488" s="86"/>
    </row>
    <row r="489" spans="1:14" ht="14.5">
      <c r="A489" s="84"/>
      <c r="E489" s="86"/>
      <c r="F489" s="87"/>
      <c r="G489" s="88"/>
      <c r="H489" s="89"/>
      <c r="I489" s="90"/>
      <c r="K489" s="91"/>
      <c r="L489" s="88"/>
      <c r="M489" s="92"/>
      <c r="N489" s="86"/>
    </row>
    <row r="490" spans="1:14" ht="14.5">
      <c r="A490" s="84"/>
      <c r="E490" s="86"/>
      <c r="F490" s="87"/>
      <c r="G490" s="88"/>
      <c r="H490" s="89"/>
      <c r="I490" s="90"/>
      <c r="K490" s="91"/>
      <c r="L490" s="88"/>
      <c r="M490" s="92"/>
      <c r="N490" s="86"/>
    </row>
    <row r="491" spans="1:14" ht="14.5">
      <c r="A491" s="84"/>
      <c r="E491" s="86"/>
      <c r="F491" s="87"/>
      <c r="G491" s="88"/>
      <c r="H491" s="89"/>
      <c r="I491" s="90"/>
      <c r="K491" s="91"/>
      <c r="L491" s="88"/>
      <c r="M491" s="92"/>
      <c r="N491" s="86"/>
    </row>
    <row r="492" spans="1:14" ht="14.5">
      <c r="A492" s="84"/>
      <c r="E492" s="86"/>
      <c r="F492" s="87"/>
      <c r="G492" s="88"/>
      <c r="H492" s="89"/>
      <c r="I492" s="90"/>
      <c r="K492" s="91"/>
      <c r="L492" s="88"/>
      <c r="M492" s="92"/>
      <c r="N492" s="86"/>
    </row>
    <row r="493" spans="1:14" ht="14.5">
      <c r="A493" s="84"/>
      <c r="E493" s="86"/>
      <c r="F493" s="87"/>
      <c r="G493" s="88"/>
      <c r="H493" s="89"/>
      <c r="I493" s="90"/>
      <c r="K493" s="91"/>
      <c r="L493" s="88"/>
      <c r="M493" s="92"/>
      <c r="N493" s="86"/>
    </row>
    <row r="494" spans="1:14" ht="14.5">
      <c r="A494" s="84"/>
      <c r="E494" s="86"/>
      <c r="F494" s="87"/>
      <c r="G494" s="88"/>
      <c r="H494" s="89"/>
      <c r="I494" s="90"/>
      <c r="K494" s="91"/>
      <c r="L494" s="88"/>
      <c r="M494" s="92"/>
      <c r="N494" s="86"/>
    </row>
    <row r="495" spans="1:14" ht="14.5">
      <c r="A495" s="84"/>
      <c r="E495" s="86"/>
      <c r="F495" s="87"/>
      <c r="G495" s="88"/>
      <c r="H495" s="89"/>
      <c r="I495" s="90"/>
      <c r="K495" s="91"/>
      <c r="L495" s="88"/>
      <c r="M495" s="92"/>
      <c r="N495" s="86"/>
    </row>
    <row r="496" spans="1:14" ht="14.5">
      <c r="A496" s="84"/>
      <c r="E496" s="86"/>
      <c r="F496" s="87"/>
      <c r="G496" s="88"/>
      <c r="H496" s="89"/>
      <c r="I496" s="90"/>
      <c r="K496" s="91"/>
      <c r="L496" s="88"/>
      <c r="M496" s="92"/>
      <c r="N496" s="86"/>
    </row>
    <row r="497" spans="1:14" ht="14.5">
      <c r="A497" s="84"/>
      <c r="E497" s="86"/>
      <c r="F497" s="87"/>
      <c r="G497" s="88"/>
      <c r="H497" s="89"/>
      <c r="I497" s="90"/>
      <c r="K497" s="91"/>
      <c r="L497" s="88"/>
      <c r="M497" s="92"/>
      <c r="N497" s="86"/>
    </row>
    <row r="498" spans="1:14" ht="14.5">
      <c r="A498" s="84"/>
      <c r="E498" s="86"/>
      <c r="F498" s="87"/>
      <c r="G498" s="88"/>
      <c r="H498" s="89"/>
      <c r="I498" s="90"/>
      <c r="K498" s="91"/>
      <c r="L498" s="88"/>
      <c r="M498" s="92"/>
      <c r="N498" s="86"/>
    </row>
    <row r="499" spans="1:14" ht="14.5">
      <c r="A499" s="84"/>
      <c r="E499" s="86"/>
      <c r="F499" s="87"/>
      <c r="G499" s="88"/>
      <c r="H499" s="89"/>
      <c r="I499" s="90"/>
      <c r="K499" s="91"/>
      <c r="L499" s="88"/>
      <c r="M499" s="92"/>
      <c r="N499" s="86"/>
    </row>
    <row r="500" spans="1:14" ht="14.5">
      <c r="A500" s="84"/>
      <c r="E500" s="86"/>
      <c r="F500" s="87"/>
      <c r="G500" s="88"/>
      <c r="H500" s="89"/>
      <c r="I500" s="90"/>
      <c r="K500" s="91"/>
      <c r="L500" s="88"/>
      <c r="M500" s="92"/>
      <c r="N500" s="86"/>
    </row>
    <row r="501" spans="1:14" ht="14.5">
      <c r="A501" s="84"/>
      <c r="E501" s="86"/>
      <c r="F501" s="87"/>
      <c r="G501" s="88"/>
      <c r="H501" s="89"/>
      <c r="I501" s="90"/>
      <c r="K501" s="91"/>
      <c r="L501" s="88"/>
      <c r="M501" s="92"/>
      <c r="N501" s="86"/>
    </row>
    <row r="502" spans="1:14" ht="14.5">
      <c r="A502" s="84"/>
      <c r="E502" s="86"/>
      <c r="F502" s="87"/>
      <c r="G502" s="88"/>
      <c r="H502" s="89"/>
      <c r="I502" s="90"/>
      <c r="K502" s="91"/>
      <c r="L502" s="88"/>
      <c r="M502" s="92"/>
      <c r="N502" s="86"/>
    </row>
    <row r="503" spans="1:14" ht="14.5">
      <c r="A503" s="84"/>
      <c r="E503" s="86"/>
      <c r="F503" s="87"/>
      <c r="G503" s="88"/>
      <c r="H503" s="89"/>
      <c r="I503" s="90"/>
      <c r="K503" s="91"/>
      <c r="L503" s="88"/>
      <c r="M503" s="92"/>
      <c r="N503" s="86"/>
    </row>
    <row r="504" spans="1:14" ht="14.5">
      <c r="A504" s="84"/>
      <c r="E504" s="86"/>
      <c r="F504" s="87"/>
      <c r="G504" s="88"/>
      <c r="H504" s="89"/>
      <c r="I504" s="90"/>
      <c r="K504" s="91"/>
      <c r="L504" s="88"/>
      <c r="M504" s="92"/>
      <c r="N504" s="86"/>
    </row>
    <row r="505" spans="1:14" ht="14.5">
      <c r="A505" s="84"/>
      <c r="E505" s="86"/>
      <c r="F505" s="87"/>
      <c r="G505" s="88"/>
      <c r="H505" s="89"/>
      <c r="I505" s="90"/>
      <c r="K505" s="91"/>
      <c r="L505" s="88"/>
      <c r="M505" s="92"/>
      <c r="N505" s="86"/>
    </row>
    <row r="506" spans="1:14" ht="14.5">
      <c r="A506" s="84"/>
      <c r="E506" s="86"/>
      <c r="F506" s="87"/>
      <c r="G506" s="88"/>
      <c r="H506" s="89"/>
      <c r="I506" s="90"/>
      <c r="K506" s="91"/>
      <c r="L506" s="88"/>
      <c r="M506" s="92"/>
      <c r="N506" s="86"/>
    </row>
    <row r="507" spans="1:14" ht="14.5">
      <c r="A507" s="84"/>
      <c r="E507" s="86"/>
      <c r="F507" s="87"/>
      <c r="G507" s="88"/>
      <c r="H507" s="89"/>
      <c r="I507" s="90"/>
      <c r="K507" s="91"/>
      <c r="L507" s="88"/>
      <c r="M507" s="92"/>
      <c r="N507" s="86"/>
    </row>
    <row r="508" spans="1:14" ht="14.5">
      <c r="A508" s="84"/>
      <c r="E508" s="86"/>
      <c r="F508" s="87"/>
      <c r="G508" s="88"/>
      <c r="H508" s="89"/>
      <c r="I508" s="90"/>
      <c r="K508" s="91"/>
      <c r="L508" s="88"/>
      <c r="M508" s="92"/>
      <c r="N508" s="86"/>
    </row>
    <row r="509" spans="1:14" ht="14.5">
      <c r="A509" s="84"/>
      <c r="E509" s="86"/>
      <c r="F509" s="87"/>
      <c r="G509" s="88"/>
      <c r="H509" s="89"/>
      <c r="I509" s="90"/>
      <c r="K509" s="91"/>
      <c r="L509" s="88"/>
      <c r="M509" s="92"/>
      <c r="N509" s="86"/>
    </row>
    <row r="510" spans="1:14" ht="14.5">
      <c r="A510" s="84"/>
      <c r="E510" s="86"/>
      <c r="F510" s="87"/>
      <c r="G510" s="88"/>
      <c r="H510" s="89"/>
      <c r="I510" s="90"/>
      <c r="K510" s="91"/>
      <c r="L510" s="88"/>
      <c r="M510" s="92"/>
      <c r="N510" s="86"/>
    </row>
    <row r="511" spans="1:14" ht="14.5">
      <c r="A511" s="84"/>
      <c r="E511" s="86"/>
      <c r="F511" s="87"/>
      <c r="G511" s="88"/>
      <c r="H511" s="89"/>
      <c r="I511" s="90"/>
      <c r="K511" s="91"/>
      <c r="L511" s="88"/>
      <c r="M511" s="92"/>
      <c r="N511" s="86"/>
    </row>
    <row r="512" spans="1:14" ht="14.5">
      <c r="A512" s="84"/>
      <c r="E512" s="86"/>
      <c r="F512" s="87"/>
      <c r="G512" s="88"/>
      <c r="H512" s="89"/>
      <c r="I512" s="90"/>
      <c r="K512" s="91"/>
      <c r="L512" s="88"/>
      <c r="M512" s="92"/>
      <c r="N512" s="86"/>
    </row>
    <row r="513" spans="1:14" ht="14.5">
      <c r="A513" s="84"/>
      <c r="E513" s="86"/>
      <c r="F513" s="87"/>
      <c r="G513" s="88"/>
      <c r="H513" s="89"/>
      <c r="I513" s="90"/>
      <c r="K513" s="91"/>
      <c r="L513" s="88"/>
      <c r="M513" s="92"/>
      <c r="N513" s="86"/>
    </row>
    <row r="514" spans="1:14" ht="14.5">
      <c r="A514" s="84"/>
      <c r="E514" s="86"/>
      <c r="F514" s="87"/>
      <c r="G514" s="88"/>
      <c r="H514" s="89"/>
      <c r="I514" s="90"/>
      <c r="K514" s="91"/>
      <c r="L514" s="88"/>
      <c r="M514" s="92"/>
      <c r="N514" s="86"/>
    </row>
    <row r="515" spans="1:14" ht="14.5">
      <c r="A515" s="84"/>
      <c r="E515" s="86"/>
      <c r="F515" s="87"/>
      <c r="G515" s="88"/>
      <c r="H515" s="89"/>
      <c r="I515" s="90"/>
      <c r="K515" s="91"/>
      <c r="L515" s="88"/>
      <c r="M515" s="92"/>
      <c r="N515" s="86"/>
    </row>
    <row r="516" spans="1:14" ht="14.5">
      <c r="A516" s="84"/>
      <c r="E516" s="86"/>
      <c r="F516" s="87"/>
      <c r="G516" s="88"/>
      <c r="H516" s="89"/>
      <c r="I516" s="90"/>
      <c r="K516" s="91"/>
      <c r="L516" s="88"/>
      <c r="M516" s="92"/>
      <c r="N516" s="86"/>
    </row>
    <row r="517" spans="1:14" ht="14.5">
      <c r="A517" s="84"/>
      <c r="E517" s="86"/>
      <c r="F517" s="87"/>
      <c r="G517" s="88"/>
      <c r="H517" s="89"/>
      <c r="I517" s="90"/>
      <c r="K517" s="91"/>
      <c r="L517" s="88"/>
      <c r="M517" s="92"/>
      <c r="N517" s="86"/>
    </row>
    <row r="518" spans="1:14" ht="14.5">
      <c r="A518" s="84"/>
      <c r="E518" s="86"/>
      <c r="F518" s="87"/>
      <c r="G518" s="88"/>
      <c r="H518" s="89"/>
      <c r="I518" s="90"/>
      <c r="K518" s="91"/>
      <c r="L518" s="88"/>
      <c r="M518" s="92"/>
      <c r="N518" s="86"/>
    </row>
    <row r="519" spans="1:14" ht="14.5">
      <c r="A519" s="84"/>
      <c r="E519" s="86"/>
      <c r="F519" s="87"/>
      <c r="G519" s="88"/>
      <c r="H519" s="89"/>
      <c r="I519" s="90"/>
      <c r="K519" s="91"/>
      <c r="L519" s="88"/>
      <c r="M519" s="92"/>
      <c r="N519" s="86"/>
    </row>
    <row r="520" spans="1:14" ht="14.5">
      <c r="A520" s="84"/>
      <c r="E520" s="86"/>
      <c r="F520" s="87"/>
      <c r="G520" s="88"/>
      <c r="H520" s="89"/>
      <c r="I520" s="90"/>
      <c r="K520" s="91"/>
      <c r="L520" s="88"/>
      <c r="M520" s="92"/>
      <c r="N520" s="86"/>
    </row>
    <row r="521" spans="1:14" ht="14.5">
      <c r="A521" s="84"/>
      <c r="E521" s="86"/>
      <c r="F521" s="87"/>
      <c r="G521" s="88"/>
      <c r="H521" s="89"/>
      <c r="I521" s="90"/>
      <c r="K521" s="91"/>
      <c r="L521" s="88"/>
      <c r="M521" s="92"/>
      <c r="N521" s="86"/>
    </row>
    <row r="522" spans="1:14" ht="14.5">
      <c r="A522" s="84"/>
      <c r="E522" s="86"/>
      <c r="F522" s="87"/>
      <c r="G522" s="88"/>
      <c r="H522" s="89"/>
      <c r="I522" s="90"/>
      <c r="K522" s="91"/>
      <c r="L522" s="88"/>
      <c r="M522" s="92"/>
      <c r="N522" s="86"/>
    </row>
    <row r="523" spans="1:14" ht="14.5">
      <c r="A523" s="84"/>
      <c r="E523" s="86"/>
      <c r="F523" s="87"/>
      <c r="G523" s="88"/>
      <c r="H523" s="89"/>
      <c r="I523" s="90"/>
      <c r="K523" s="91"/>
      <c r="L523" s="88"/>
      <c r="M523" s="92"/>
      <c r="N523" s="86"/>
    </row>
    <row r="524" spans="1:14" ht="14.5">
      <c r="A524" s="84"/>
      <c r="E524" s="86"/>
      <c r="F524" s="87"/>
      <c r="G524" s="88"/>
      <c r="H524" s="89"/>
      <c r="I524" s="90"/>
      <c r="K524" s="91"/>
      <c r="L524" s="88"/>
      <c r="M524" s="92"/>
      <c r="N524" s="86"/>
    </row>
    <row r="525" spans="1:14" ht="14.5">
      <c r="A525" s="84"/>
      <c r="E525" s="86"/>
      <c r="F525" s="87"/>
      <c r="G525" s="88"/>
      <c r="H525" s="89"/>
      <c r="I525" s="90"/>
      <c r="K525" s="91"/>
      <c r="L525" s="88"/>
      <c r="M525" s="92"/>
      <c r="N525" s="86"/>
    </row>
    <row r="526" spans="1:14" ht="14.5">
      <c r="A526" s="84"/>
      <c r="E526" s="86"/>
      <c r="F526" s="87"/>
      <c r="G526" s="88"/>
      <c r="H526" s="89"/>
      <c r="I526" s="90"/>
      <c r="K526" s="91"/>
      <c r="L526" s="88"/>
      <c r="M526" s="92"/>
      <c r="N526" s="86"/>
    </row>
    <row r="527" spans="1:14" ht="14.5">
      <c r="A527" s="84"/>
      <c r="E527" s="86"/>
      <c r="F527" s="87"/>
      <c r="G527" s="88"/>
      <c r="H527" s="89"/>
      <c r="I527" s="90"/>
      <c r="K527" s="91"/>
      <c r="L527" s="88"/>
      <c r="M527" s="92"/>
      <c r="N527" s="86"/>
    </row>
    <row r="528" spans="1:14" ht="14.5">
      <c r="A528" s="84"/>
      <c r="E528" s="86"/>
      <c r="F528" s="87"/>
      <c r="G528" s="88"/>
      <c r="H528" s="89"/>
      <c r="I528" s="90"/>
      <c r="K528" s="91"/>
      <c r="L528" s="88"/>
      <c r="M528" s="92"/>
      <c r="N528" s="86"/>
    </row>
    <row r="529" spans="1:14" ht="14.5">
      <c r="A529" s="84"/>
      <c r="E529" s="86"/>
      <c r="F529" s="87"/>
      <c r="G529" s="88"/>
      <c r="H529" s="89"/>
      <c r="I529" s="90"/>
      <c r="K529" s="91"/>
      <c r="L529" s="88"/>
      <c r="M529" s="92"/>
      <c r="N529" s="86"/>
    </row>
    <row r="530" spans="1:14" ht="14.5">
      <c r="A530" s="84"/>
      <c r="E530" s="86"/>
      <c r="F530" s="87"/>
      <c r="G530" s="88"/>
      <c r="H530" s="89"/>
      <c r="I530" s="90"/>
      <c r="K530" s="91"/>
      <c r="L530" s="88"/>
      <c r="M530" s="92"/>
      <c r="N530" s="86"/>
    </row>
    <row r="531" spans="1:14" ht="14.5">
      <c r="A531" s="84"/>
      <c r="E531" s="86"/>
      <c r="F531" s="87"/>
      <c r="G531" s="88"/>
      <c r="H531" s="89"/>
      <c r="I531" s="90"/>
      <c r="K531" s="91"/>
      <c r="L531" s="88"/>
      <c r="M531" s="92"/>
      <c r="N531" s="86"/>
    </row>
    <row r="532" spans="1:14" ht="14.5">
      <c r="A532" s="84"/>
      <c r="E532" s="86"/>
      <c r="F532" s="87"/>
      <c r="G532" s="88"/>
      <c r="H532" s="89"/>
      <c r="I532" s="90"/>
      <c r="K532" s="91"/>
      <c r="L532" s="88"/>
      <c r="M532" s="92"/>
      <c r="N532" s="86"/>
    </row>
    <row r="533" spans="1:14" ht="14.5">
      <c r="A533" s="84"/>
      <c r="E533" s="86"/>
      <c r="F533" s="87"/>
      <c r="G533" s="88"/>
      <c r="H533" s="89"/>
      <c r="I533" s="90"/>
      <c r="K533" s="91"/>
      <c r="L533" s="88"/>
      <c r="M533" s="92"/>
      <c r="N533" s="86"/>
    </row>
    <row r="534" spans="1:14" ht="14.5">
      <c r="A534" s="84"/>
      <c r="E534" s="86"/>
      <c r="F534" s="87"/>
      <c r="G534" s="88"/>
      <c r="H534" s="89"/>
      <c r="I534" s="90"/>
      <c r="K534" s="91"/>
      <c r="L534" s="88"/>
      <c r="M534" s="92"/>
      <c r="N534" s="86"/>
    </row>
    <row r="535" spans="1:14" ht="14.5">
      <c r="A535" s="84"/>
      <c r="E535" s="86"/>
      <c r="F535" s="87"/>
      <c r="G535" s="88"/>
      <c r="H535" s="89"/>
      <c r="I535" s="90"/>
      <c r="K535" s="91"/>
      <c r="L535" s="88"/>
      <c r="M535" s="92"/>
      <c r="N535" s="86"/>
    </row>
    <row r="536" spans="1:14" ht="14.5">
      <c r="A536" s="84"/>
      <c r="E536" s="86"/>
      <c r="F536" s="87"/>
      <c r="G536" s="88"/>
      <c r="H536" s="89"/>
      <c r="I536" s="90"/>
      <c r="K536" s="91"/>
      <c r="L536" s="88"/>
      <c r="M536" s="92"/>
      <c r="N536" s="86"/>
    </row>
    <row r="537" spans="1:14" ht="14.5">
      <c r="A537" s="84"/>
      <c r="E537" s="86"/>
      <c r="F537" s="87"/>
      <c r="G537" s="88"/>
      <c r="H537" s="89"/>
      <c r="I537" s="90"/>
      <c r="K537" s="91"/>
      <c r="L537" s="88"/>
      <c r="M537" s="92"/>
      <c r="N537" s="86"/>
    </row>
    <row r="538" spans="1:14" ht="14.5">
      <c r="A538" s="84"/>
      <c r="E538" s="86"/>
      <c r="F538" s="87"/>
      <c r="G538" s="88"/>
      <c r="H538" s="89"/>
      <c r="I538" s="90"/>
      <c r="K538" s="91"/>
      <c r="L538" s="88"/>
      <c r="M538" s="92"/>
      <c r="N538" s="86"/>
    </row>
    <row r="539" spans="1:14" ht="14.5">
      <c r="A539" s="84"/>
      <c r="E539" s="86"/>
      <c r="F539" s="87"/>
      <c r="G539" s="88"/>
      <c r="H539" s="89"/>
      <c r="I539" s="90"/>
      <c r="K539" s="91"/>
      <c r="L539" s="88"/>
      <c r="M539" s="92"/>
      <c r="N539" s="86"/>
    </row>
    <row r="540" spans="1:14" ht="14.5">
      <c r="A540" s="84"/>
      <c r="E540" s="86"/>
      <c r="F540" s="87"/>
      <c r="G540" s="88"/>
      <c r="H540" s="89"/>
      <c r="I540" s="90"/>
      <c r="K540" s="91"/>
      <c r="L540" s="88"/>
      <c r="M540" s="92"/>
      <c r="N540" s="86"/>
    </row>
    <row r="541" spans="1:14" ht="14.5">
      <c r="A541" s="84"/>
      <c r="E541" s="86"/>
      <c r="F541" s="87"/>
      <c r="G541" s="88"/>
      <c r="H541" s="89"/>
      <c r="I541" s="90"/>
      <c r="K541" s="91"/>
      <c r="L541" s="88"/>
      <c r="M541" s="92"/>
      <c r="N541" s="86"/>
    </row>
    <row r="542" spans="1:14" ht="14.5">
      <c r="A542" s="84"/>
      <c r="E542" s="86"/>
      <c r="F542" s="87"/>
      <c r="G542" s="88"/>
      <c r="H542" s="89"/>
      <c r="I542" s="90"/>
      <c r="K542" s="91"/>
      <c r="L542" s="88"/>
      <c r="M542" s="92"/>
      <c r="N542" s="86"/>
    </row>
    <row r="543" spans="1:14" ht="14.5">
      <c r="A543" s="84"/>
      <c r="E543" s="86"/>
      <c r="F543" s="87"/>
      <c r="G543" s="88"/>
      <c r="H543" s="89"/>
      <c r="I543" s="90"/>
      <c r="K543" s="91"/>
      <c r="L543" s="88"/>
      <c r="M543" s="92"/>
      <c r="N543" s="86"/>
    </row>
    <row r="544" spans="1:14" ht="14.5">
      <c r="A544" s="84"/>
      <c r="E544" s="86"/>
      <c r="F544" s="87"/>
      <c r="G544" s="88"/>
      <c r="H544" s="89"/>
      <c r="I544" s="90"/>
      <c r="K544" s="91"/>
      <c r="L544" s="88"/>
      <c r="M544" s="92"/>
      <c r="N544" s="86"/>
    </row>
    <row r="545" spans="1:14" ht="14.5">
      <c r="A545" s="84"/>
      <c r="E545" s="86"/>
      <c r="F545" s="87"/>
      <c r="G545" s="88"/>
      <c r="H545" s="89"/>
      <c r="I545" s="90"/>
      <c r="K545" s="91"/>
      <c r="L545" s="88"/>
      <c r="M545" s="92"/>
      <c r="N545" s="86"/>
    </row>
    <row r="546" spans="1:14" ht="14.5">
      <c r="A546" s="84"/>
      <c r="E546" s="86"/>
      <c r="F546" s="87"/>
      <c r="G546" s="88"/>
      <c r="H546" s="89"/>
      <c r="I546" s="90"/>
      <c r="K546" s="91"/>
      <c r="L546" s="88"/>
      <c r="M546" s="92"/>
      <c r="N546" s="86"/>
    </row>
    <row r="547" spans="1:14" ht="14.5">
      <c r="A547" s="84"/>
      <c r="E547" s="86"/>
      <c r="F547" s="87"/>
      <c r="G547" s="88"/>
      <c r="H547" s="89"/>
      <c r="I547" s="90"/>
      <c r="K547" s="91"/>
      <c r="L547" s="88"/>
      <c r="M547" s="92"/>
      <c r="N547" s="86"/>
    </row>
    <row r="548" spans="1:14" ht="14.5">
      <c r="A548" s="84"/>
      <c r="E548" s="86"/>
      <c r="F548" s="87"/>
      <c r="G548" s="88"/>
      <c r="H548" s="89"/>
      <c r="I548" s="90"/>
      <c r="K548" s="91"/>
      <c r="L548" s="88"/>
      <c r="M548" s="92"/>
      <c r="N548" s="86"/>
    </row>
    <row r="549" spans="1:14" ht="14.5">
      <c r="A549" s="84"/>
      <c r="E549" s="86"/>
      <c r="F549" s="87"/>
      <c r="G549" s="88"/>
      <c r="H549" s="89"/>
      <c r="I549" s="90"/>
      <c r="K549" s="91"/>
      <c r="L549" s="88"/>
      <c r="M549" s="92"/>
      <c r="N549" s="86"/>
    </row>
    <row r="550" spans="1:14" ht="14.5">
      <c r="A550" s="84"/>
      <c r="E550" s="86"/>
      <c r="F550" s="87"/>
      <c r="G550" s="88"/>
      <c r="H550" s="89"/>
      <c r="I550" s="90"/>
      <c r="K550" s="91"/>
      <c r="L550" s="88"/>
      <c r="M550" s="92"/>
      <c r="N550" s="86"/>
    </row>
    <row r="551" spans="1:14" ht="14.5">
      <c r="A551" s="84"/>
      <c r="E551" s="86"/>
      <c r="F551" s="87"/>
      <c r="G551" s="88"/>
      <c r="H551" s="89"/>
      <c r="I551" s="90"/>
      <c r="K551" s="91"/>
      <c r="L551" s="88"/>
      <c r="M551" s="92"/>
      <c r="N551" s="86"/>
    </row>
    <row r="552" spans="1:14" ht="14.5">
      <c r="A552" s="84"/>
      <c r="E552" s="86"/>
      <c r="F552" s="87"/>
      <c r="G552" s="88"/>
      <c r="H552" s="89"/>
      <c r="I552" s="90"/>
      <c r="K552" s="91"/>
      <c r="L552" s="88"/>
      <c r="M552" s="92"/>
      <c r="N552" s="86"/>
    </row>
    <row r="553" spans="1:14" ht="14.5">
      <c r="A553" s="84"/>
      <c r="E553" s="86"/>
      <c r="F553" s="87"/>
      <c r="G553" s="88"/>
      <c r="H553" s="89"/>
      <c r="I553" s="90"/>
      <c r="K553" s="91"/>
      <c r="L553" s="88"/>
      <c r="M553" s="92"/>
      <c r="N553" s="86"/>
    </row>
    <row r="554" spans="1:14" ht="14.5">
      <c r="A554" s="84"/>
      <c r="E554" s="86"/>
      <c r="F554" s="87"/>
      <c r="G554" s="88"/>
      <c r="H554" s="89"/>
      <c r="I554" s="90"/>
      <c r="K554" s="91"/>
      <c r="L554" s="88"/>
      <c r="M554" s="92"/>
      <c r="N554" s="86"/>
    </row>
    <row r="555" spans="1:14" ht="14.5">
      <c r="A555" s="84"/>
      <c r="E555" s="86"/>
      <c r="F555" s="87"/>
      <c r="G555" s="88"/>
      <c r="H555" s="89"/>
      <c r="I555" s="90"/>
      <c r="K555" s="91"/>
      <c r="L555" s="88"/>
      <c r="M555" s="92"/>
      <c r="N555" s="86"/>
    </row>
    <row r="556" spans="1:14" ht="14.5">
      <c r="A556" s="84"/>
      <c r="E556" s="86"/>
      <c r="F556" s="87"/>
      <c r="G556" s="88"/>
      <c r="H556" s="89"/>
      <c r="I556" s="90"/>
      <c r="K556" s="91"/>
      <c r="L556" s="88"/>
      <c r="M556" s="92"/>
      <c r="N556" s="86"/>
    </row>
    <row r="557" spans="1:14" ht="14.5">
      <c r="A557" s="84"/>
      <c r="E557" s="86"/>
      <c r="F557" s="87"/>
      <c r="G557" s="88"/>
      <c r="H557" s="89"/>
      <c r="I557" s="90"/>
      <c r="K557" s="91"/>
      <c r="L557" s="88"/>
      <c r="M557" s="92"/>
      <c r="N557" s="86"/>
    </row>
    <row r="558" spans="1:14" ht="14.5">
      <c r="A558" s="84"/>
      <c r="E558" s="86"/>
      <c r="F558" s="87"/>
      <c r="G558" s="88"/>
      <c r="H558" s="89"/>
      <c r="I558" s="90"/>
      <c r="K558" s="91"/>
      <c r="L558" s="88"/>
      <c r="M558" s="92"/>
      <c r="N558" s="86"/>
    </row>
    <row r="559" spans="1:14" ht="14.5">
      <c r="A559" s="84"/>
      <c r="E559" s="86"/>
      <c r="F559" s="87"/>
      <c r="G559" s="88"/>
      <c r="H559" s="89"/>
      <c r="I559" s="90"/>
      <c r="K559" s="91"/>
      <c r="L559" s="88"/>
      <c r="M559" s="92"/>
      <c r="N559" s="86"/>
    </row>
    <row r="560" spans="1:14" ht="14.5">
      <c r="A560" s="84"/>
      <c r="E560" s="86"/>
      <c r="F560" s="87"/>
      <c r="G560" s="88"/>
      <c r="H560" s="89"/>
      <c r="I560" s="90"/>
      <c r="K560" s="91"/>
      <c r="L560" s="88"/>
      <c r="M560" s="92"/>
      <c r="N560" s="86"/>
    </row>
    <row r="561" spans="1:14" ht="14.5">
      <c r="A561" s="84"/>
      <c r="E561" s="86"/>
      <c r="F561" s="87"/>
      <c r="G561" s="88"/>
      <c r="H561" s="89"/>
      <c r="I561" s="90"/>
      <c r="K561" s="91"/>
      <c r="L561" s="88"/>
      <c r="M561" s="92"/>
      <c r="N561" s="86"/>
    </row>
    <row r="562" spans="1:14" ht="14.5">
      <c r="A562" s="84"/>
      <c r="E562" s="86"/>
      <c r="F562" s="87"/>
      <c r="G562" s="88"/>
      <c r="H562" s="89"/>
      <c r="I562" s="90"/>
      <c r="K562" s="91"/>
      <c r="L562" s="88"/>
      <c r="M562" s="92"/>
      <c r="N562" s="86"/>
    </row>
    <row r="563" spans="1:14" ht="14.5">
      <c r="A563" s="84"/>
      <c r="E563" s="86"/>
      <c r="F563" s="87"/>
      <c r="G563" s="88"/>
      <c r="H563" s="89"/>
      <c r="I563" s="90"/>
      <c r="K563" s="91"/>
      <c r="L563" s="88"/>
      <c r="M563" s="92"/>
      <c r="N563" s="86"/>
    </row>
    <row r="564" spans="1:14" ht="14.5">
      <c r="A564" s="84"/>
      <c r="E564" s="86"/>
      <c r="F564" s="87"/>
      <c r="G564" s="88"/>
      <c r="H564" s="89"/>
      <c r="I564" s="90"/>
      <c r="K564" s="91"/>
      <c r="L564" s="88"/>
      <c r="M564" s="92"/>
      <c r="N564" s="86"/>
    </row>
    <row r="565" spans="1:14" ht="14.5">
      <c r="A565" s="84"/>
      <c r="E565" s="86"/>
      <c r="F565" s="87"/>
      <c r="G565" s="88"/>
      <c r="H565" s="89"/>
      <c r="I565" s="90"/>
      <c r="K565" s="91"/>
      <c r="L565" s="88"/>
      <c r="M565" s="92"/>
      <c r="N565" s="86"/>
    </row>
    <row r="566" spans="1:14" ht="14.5">
      <c r="A566" s="84"/>
      <c r="E566" s="86"/>
      <c r="F566" s="87"/>
      <c r="G566" s="88"/>
      <c r="H566" s="89"/>
      <c r="I566" s="90"/>
      <c r="K566" s="91"/>
      <c r="L566" s="88"/>
      <c r="M566" s="92"/>
      <c r="N566" s="86"/>
    </row>
    <row r="567" spans="1:14" ht="14.5">
      <c r="A567" s="84"/>
      <c r="E567" s="86"/>
      <c r="F567" s="87"/>
      <c r="G567" s="88"/>
      <c r="H567" s="89"/>
      <c r="I567" s="90"/>
      <c r="K567" s="91"/>
      <c r="L567" s="88"/>
      <c r="M567" s="92"/>
      <c r="N567" s="86"/>
    </row>
    <row r="568" spans="1:14" ht="14.5">
      <c r="A568" s="84"/>
      <c r="E568" s="86"/>
      <c r="F568" s="87"/>
      <c r="G568" s="88"/>
      <c r="H568" s="89"/>
      <c r="I568" s="90"/>
      <c r="K568" s="91"/>
      <c r="L568" s="88"/>
      <c r="M568" s="92"/>
      <c r="N568" s="86"/>
    </row>
    <row r="569" spans="1:14" ht="14.5">
      <c r="A569" s="84"/>
      <c r="E569" s="86"/>
      <c r="F569" s="87"/>
      <c r="G569" s="88"/>
      <c r="H569" s="89"/>
      <c r="I569" s="90"/>
      <c r="K569" s="91"/>
      <c r="L569" s="88"/>
      <c r="M569" s="92"/>
      <c r="N569" s="86"/>
    </row>
    <row r="570" spans="1:14" ht="14.5">
      <c r="A570" s="84"/>
      <c r="E570" s="86"/>
      <c r="F570" s="87"/>
      <c r="G570" s="88"/>
      <c r="H570" s="89"/>
      <c r="I570" s="90"/>
      <c r="K570" s="91"/>
      <c r="L570" s="88"/>
      <c r="M570" s="92"/>
      <c r="N570" s="86"/>
    </row>
    <row r="571" spans="1:14" ht="14.5">
      <c r="A571" s="84"/>
      <c r="E571" s="86"/>
      <c r="F571" s="87"/>
      <c r="G571" s="88"/>
      <c r="H571" s="89"/>
      <c r="I571" s="90"/>
      <c r="K571" s="91"/>
      <c r="L571" s="88"/>
      <c r="M571" s="92"/>
      <c r="N571" s="86"/>
    </row>
    <row r="572" spans="1:14" ht="14.5">
      <c r="A572" s="84"/>
      <c r="E572" s="86"/>
      <c r="F572" s="87"/>
      <c r="G572" s="88"/>
      <c r="H572" s="89"/>
      <c r="I572" s="90"/>
      <c r="K572" s="91"/>
      <c r="L572" s="88"/>
      <c r="M572" s="92"/>
      <c r="N572" s="86"/>
    </row>
    <row r="573" spans="1:14" ht="14.5">
      <c r="A573" s="84"/>
      <c r="E573" s="86"/>
      <c r="F573" s="87"/>
      <c r="G573" s="88"/>
      <c r="H573" s="89"/>
      <c r="I573" s="90"/>
      <c r="K573" s="91"/>
      <c r="L573" s="88"/>
      <c r="M573" s="92"/>
      <c r="N573" s="86"/>
    </row>
    <row r="574" spans="1:14" ht="14.5">
      <c r="A574" s="84"/>
      <c r="E574" s="86"/>
      <c r="F574" s="87"/>
      <c r="G574" s="88"/>
      <c r="H574" s="89"/>
      <c r="I574" s="90"/>
      <c r="K574" s="91"/>
      <c r="L574" s="88"/>
      <c r="M574" s="92"/>
      <c r="N574" s="86"/>
    </row>
    <row r="575" spans="1:14" ht="14.5">
      <c r="A575" s="84"/>
      <c r="E575" s="86"/>
      <c r="F575" s="87"/>
      <c r="G575" s="88"/>
      <c r="H575" s="89"/>
      <c r="I575" s="90"/>
      <c r="K575" s="91"/>
      <c r="L575" s="88"/>
      <c r="M575" s="92"/>
      <c r="N575" s="86"/>
    </row>
    <row r="576" spans="1:14" ht="14.5">
      <c r="A576" s="84"/>
      <c r="E576" s="86"/>
      <c r="F576" s="87"/>
      <c r="G576" s="88"/>
      <c r="H576" s="89"/>
      <c r="I576" s="90"/>
      <c r="K576" s="91"/>
      <c r="L576" s="88"/>
      <c r="M576" s="92"/>
      <c r="N576" s="86"/>
    </row>
    <row r="577" spans="1:14" ht="14.5">
      <c r="A577" s="84"/>
      <c r="E577" s="86"/>
      <c r="F577" s="87"/>
      <c r="G577" s="88"/>
      <c r="H577" s="89"/>
      <c r="I577" s="90"/>
      <c r="K577" s="91"/>
      <c r="L577" s="88"/>
      <c r="M577" s="92"/>
      <c r="N577" s="86"/>
    </row>
    <row r="578" spans="1:14" ht="14.5">
      <c r="A578" s="84"/>
      <c r="E578" s="86"/>
      <c r="F578" s="87"/>
      <c r="G578" s="88"/>
      <c r="H578" s="89"/>
      <c r="I578" s="90"/>
      <c r="K578" s="91"/>
      <c r="L578" s="88"/>
      <c r="M578" s="92"/>
      <c r="N578" s="86"/>
    </row>
    <row r="579" spans="1:14" ht="14.5">
      <c r="A579" s="84"/>
      <c r="E579" s="86"/>
      <c r="F579" s="87"/>
      <c r="G579" s="88"/>
      <c r="H579" s="89"/>
      <c r="I579" s="90"/>
      <c r="K579" s="91"/>
      <c r="L579" s="88"/>
      <c r="M579" s="92"/>
      <c r="N579" s="86"/>
    </row>
    <row r="580" spans="1:14" ht="14.5">
      <c r="A580" s="84"/>
      <c r="E580" s="86"/>
      <c r="F580" s="87"/>
      <c r="G580" s="88"/>
      <c r="H580" s="89"/>
      <c r="I580" s="90"/>
      <c r="K580" s="91"/>
      <c r="L580" s="88"/>
      <c r="M580" s="92"/>
      <c r="N580" s="86"/>
    </row>
    <row r="581" spans="1:14" ht="14.5">
      <c r="A581" s="84"/>
      <c r="E581" s="86"/>
      <c r="F581" s="87"/>
      <c r="G581" s="88"/>
      <c r="H581" s="89"/>
      <c r="I581" s="90"/>
      <c r="K581" s="91"/>
      <c r="L581" s="88"/>
      <c r="M581" s="92"/>
      <c r="N581" s="86"/>
    </row>
    <row r="582" spans="1:14" ht="14.5">
      <c r="A582" s="84"/>
      <c r="E582" s="86"/>
      <c r="F582" s="87"/>
      <c r="G582" s="88"/>
      <c r="H582" s="89"/>
      <c r="I582" s="90"/>
      <c r="K582" s="91"/>
      <c r="L582" s="88"/>
      <c r="M582" s="92"/>
      <c r="N582" s="86"/>
    </row>
    <row r="583" spans="1:14" ht="14.5">
      <c r="A583" s="84"/>
      <c r="E583" s="86"/>
      <c r="F583" s="87"/>
      <c r="G583" s="88"/>
      <c r="H583" s="89"/>
      <c r="I583" s="90"/>
      <c r="K583" s="91"/>
      <c r="L583" s="88"/>
      <c r="M583" s="92"/>
      <c r="N583" s="86"/>
    </row>
    <row r="584" spans="1:14" ht="14.5">
      <c r="A584" s="84"/>
      <c r="E584" s="86"/>
      <c r="F584" s="87"/>
      <c r="G584" s="88"/>
      <c r="H584" s="89"/>
      <c r="I584" s="90"/>
      <c r="K584" s="91"/>
      <c r="L584" s="88"/>
      <c r="M584" s="92"/>
      <c r="N584" s="86"/>
    </row>
    <row r="585" spans="1:14" ht="14.5">
      <c r="A585" s="84"/>
      <c r="E585" s="86"/>
      <c r="F585" s="87"/>
      <c r="G585" s="88"/>
      <c r="H585" s="89"/>
      <c r="I585" s="90"/>
      <c r="K585" s="91"/>
      <c r="L585" s="88"/>
      <c r="M585" s="92"/>
      <c r="N585" s="86"/>
    </row>
    <row r="586" spans="1:14" ht="14.5">
      <c r="A586" s="84"/>
      <c r="E586" s="86"/>
      <c r="F586" s="87"/>
      <c r="G586" s="88"/>
      <c r="H586" s="89"/>
      <c r="I586" s="90"/>
      <c r="K586" s="91"/>
      <c r="L586" s="88"/>
      <c r="M586" s="92"/>
      <c r="N586" s="86"/>
    </row>
    <row r="587" spans="1:14" ht="14.5">
      <c r="A587" s="84"/>
      <c r="E587" s="86"/>
      <c r="F587" s="87"/>
      <c r="G587" s="88"/>
      <c r="H587" s="89"/>
      <c r="I587" s="90"/>
      <c r="K587" s="91"/>
      <c r="L587" s="88"/>
      <c r="M587" s="92"/>
      <c r="N587" s="86"/>
    </row>
    <row r="588" spans="1:14" ht="14.5">
      <c r="A588" s="84"/>
      <c r="E588" s="86"/>
      <c r="F588" s="87"/>
      <c r="G588" s="88"/>
      <c r="H588" s="89"/>
      <c r="I588" s="90"/>
      <c r="K588" s="91"/>
      <c r="L588" s="88"/>
      <c r="M588" s="92"/>
      <c r="N588" s="86"/>
    </row>
    <row r="589" spans="1:14" ht="14.5">
      <c r="A589" s="84"/>
      <c r="E589" s="86"/>
      <c r="F589" s="87"/>
      <c r="G589" s="88"/>
      <c r="H589" s="89"/>
      <c r="I589" s="90"/>
      <c r="K589" s="91"/>
      <c r="L589" s="88"/>
      <c r="M589" s="92"/>
      <c r="N589" s="86"/>
    </row>
    <row r="590" spans="1:14" ht="14.5">
      <c r="A590" s="84"/>
      <c r="E590" s="86"/>
      <c r="F590" s="87"/>
      <c r="G590" s="88"/>
      <c r="H590" s="89"/>
      <c r="I590" s="90"/>
      <c r="K590" s="91"/>
      <c r="L590" s="88"/>
      <c r="M590" s="92"/>
      <c r="N590" s="86"/>
    </row>
    <row r="591" spans="1:14" ht="14.5">
      <c r="A591" s="84"/>
      <c r="E591" s="86"/>
      <c r="F591" s="87"/>
      <c r="G591" s="88"/>
      <c r="H591" s="89"/>
      <c r="I591" s="90"/>
      <c r="K591" s="91"/>
      <c r="L591" s="88"/>
      <c r="M591" s="92"/>
      <c r="N591" s="86"/>
    </row>
    <row r="592" spans="1:14" ht="14.5">
      <c r="A592" s="84"/>
      <c r="E592" s="86"/>
      <c r="F592" s="87"/>
      <c r="G592" s="88"/>
      <c r="H592" s="89"/>
      <c r="I592" s="90"/>
      <c r="K592" s="91"/>
      <c r="L592" s="88"/>
      <c r="M592" s="92"/>
      <c r="N592" s="86"/>
    </row>
    <row r="593" spans="1:14" ht="14.5">
      <c r="A593" s="84"/>
      <c r="E593" s="86"/>
      <c r="F593" s="87"/>
      <c r="G593" s="88"/>
      <c r="H593" s="89"/>
      <c r="I593" s="90"/>
      <c r="K593" s="91"/>
      <c r="L593" s="88"/>
      <c r="M593" s="92"/>
      <c r="N593" s="86"/>
    </row>
    <row r="594" spans="1:14" ht="14.5">
      <c r="A594" s="84"/>
      <c r="E594" s="86"/>
      <c r="F594" s="87"/>
      <c r="G594" s="88"/>
      <c r="H594" s="89"/>
      <c r="I594" s="90"/>
      <c r="K594" s="91"/>
      <c r="L594" s="88"/>
      <c r="M594" s="92"/>
      <c r="N594" s="86"/>
    </row>
    <row r="595" spans="1:14" ht="14.5">
      <c r="A595" s="84"/>
      <c r="E595" s="86"/>
      <c r="F595" s="87"/>
      <c r="G595" s="88"/>
      <c r="H595" s="89"/>
      <c r="I595" s="90"/>
      <c r="K595" s="91"/>
      <c r="L595" s="88"/>
      <c r="M595" s="92"/>
      <c r="N595" s="86"/>
    </row>
    <row r="596" spans="1:14" ht="14.5">
      <c r="A596" s="84"/>
      <c r="E596" s="86"/>
      <c r="F596" s="87"/>
      <c r="G596" s="88"/>
      <c r="H596" s="89"/>
      <c r="I596" s="90"/>
      <c r="K596" s="91"/>
      <c r="L596" s="88"/>
      <c r="M596" s="92"/>
      <c r="N596" s="86"/>
    </row>
    <row r="597" spans="1:14" ht="14.5">
      <c r="A597" s="84"/>
      <c r="E597" s="86"/>
      <c r="F597" s="87"/>
      <c r="G597" s="88"/>
      <c r="H597" s="89"/>
      <c r="I597" s="90"/>
      <c r="K597" s="91"/>
      <c r="L597" s="88"/>
      <c r="M597" s="92"/>
      <c r="N597" s="86"/>
    </row>
    <row r="598" spans="1:14" ht="14.5">
      <c r="A598" s="84"/>
      <c r="E598" s="86"/>
      <c r="F598" s="87"/>
      <c r="G598" s="88"/>
      <c r="H598" s="89"/>
      <c r="I598" s="90"/>
      <c r="K598" s="91"/>
      <c r="L598" s="88"/>
      <c r="M598" s="92"/>
      <c r="N598" s="86"/>
    </row>
    <row r="599" spans="1:14" ht="14.5">
      <c r="A599" s="84"/>
      <c r="E599" s="86"/>
      <c r="F599" s="87"/>
      <c r="G599" s="88"/>
      <c r="H599" s="89"/>
      <c r="I599" s="90"/>
      <c r="K599" s="91"/>
      <c r="L599" s="88"/>
      <c r="M599" s="92"/>
      <c r="N599" s="86"/>
    </row>
    <row r="600" spans="1:14" ht="14.5">
      <c r="A600" s="84"/>
      <c r="E600" s="86"/>
      <c r="F600" s="87"/>
      <c r="G600" s="88"/>
      <c r="H600" s="89"/>
      <c r="I600" s="90"/>
      <c r="K600" s="91"/>
      <c r="L600" s="88"/>
      <c r="M600" s="92"/>
      <c r="N600" s="86"/>
    </row>
    <row r="601" spans="1:14" ht="14.5">
      <c r="A601" s="84"/>
      <c r="E601" s="86"/>
      <c r="F601" s="87"/>
      <c r="G601" s="88"/>
      <c r="H601" s="89"/>
      <c r="I601" s="90"/>
      <c r="K601" s="91"/>
      <c r="L601" s="88"/>
      <c r="M601" s="92"/>
      <c r="N601" s="86"/>
    </row>
    <row r="602" spans="1:14">
      <c r="E602" s="86"/>
      <c r="F602" s="87"/>
      <c r="G602" s="88"/>
      <c r="H602" s="89"/>
      <c r="I602" s="90"/>
      <c r="K602" s="91"/>
      <c r="L602" s="88"/>
      <c r="M602" s="92"/>
      <c r="N602" s="86"/>
    </row>
    <row r="603" spans="1:14">
      <c r="E603" s="86"/>
      <c r="F603" s="87"/>
      <c r="G603" s="88"/>
      <c r="H603" s="89"/>
      <c r="I603" s="90"/>
      <c r="K603" s="91"/>
      <c r="L603" s="88"/>
      <c r="M603" s="92"/>
      <c r="N603" s="86"/>
    </row>
    <row r="604" spans="1:14">
      <c r="E604" s="86"/>
      <c r="F604" s="87"/>
      <c r="G604" s="88"/>
      <c r="H604" s="89"/>
      <c r="I604" s="90"/>
      <c r="K604" s="91"/>
      <c r="L604" s="88"/>
      <c r="M604" s="92"/>
      <c r="N604" s="86"/>
    </row>
    <row r="605" spans="1:14">
      <c r="E605" s="86"/>
      <c r="F605" s="87"/>
      <c r="G605" s="88"/>
      <c r="H605" s="89"/>
      <c r="I605" s="90"/>
      <c r="K605" s="91"/>
      <c r="L605" s="88"/>
      <c r="M605" s="92"/>
      <c r="N605" s="86"/>
    </row>
    <row r="606" spans="1:14">
      <c r="E606" s="86"/>
      <c r="F606" s="87"/>
      <c r="G606" s="88"/>
      <c r="H606" s="89"/>
      <c r="I606" s="90"/>
      <c r="K606" s="91"/>
      <c r="L606" s="88"/>
      <c r="M606" s="92"/>
      <c r="N606" s="86"/>
    </row>
    <row r="607" spans="1:14">
      <c r="E607" s="86"/>
      <c r="F607" s="87"/>
      <c r="G607" s="88"/>
      <c r="H607" s="89"/>
      <c r="I607" s="90"/>
      <c r="K607" s="91"/>
      <c r="L607" s="88"/>
      <c r="M607" s="92"/>
      <c r="N607" s="86"/>
    </row>
    <row r="608" spans="1:14">
      <c r="E608" s="86"/>
      <c r="F608" s="87"/>
      <c r="G608" s="88"/>
      <c r="H608" s="89"/>
      <c r="I608" s="90"/>
      <c r="K608" s="91"/>
      <c r="L608" s="88"/>
      <c r="M608" s="92"/>
      <c r="N608" s="86"/>
    </row>
    <row r="609" spans="5:14">
      <c r="E609" s="86"/>
      <c r="F609" s="87"/>
      <c r="G609" s="88"/>
      <c r="H609" s="89"/>
      <c r="I609" s="90"/>
      <c r="K609" s="91"/>
      <c r="L609" s="88"/>
      <c r="M609" s="92"/>
      <c r="N609" s="86"/>
    </row>
    <row r="610" spans="5:14">
      <c r="E610" s="86"/>
      <c r="F610" s="87"/>
      <c r="G610" s="88"/>
      <c r="H610" s="89"/>
      <c r="I610" s="90"/>
      <c r="K610" s="91"/>
      <c r="L610" s="88"/>
      <c r="M610" s="92"/>
      <c r="N610" s="86"/>
    </row>
    <row r="611" spans="5:14">
      <c r="E611" s="86"/>
      <c r="F611" s="87"/>
      <c r="G611" s="88"/>
      <c r="H611" s="89"/>
      <c r="I611" s="90"/>
      <c r="K611" s="91"/>
      <c r="L611" s="88"/>
      <c r="M611" s="92"/>
      <c r="N611" s="86"/>
    </row>
    <row r="612" spans="5:14">
      <c r="E612" s="86"/>
      <c r="F612" s="87"/>
      <c r="G612" s="88"/>
      <c r="H612" s="89"/>
      <c r="I612" s="90"/>
      <c r="K612" s="91"/>
      <c r="L612" s="88"/>
      <c r="M612" s="92"/>
      <c r="N612" s="86"/>
    </row>
    <row r="613" spans="5:14">
      <c r="E613" s="86"/>
      <c r="F613" s="87"/>
      <c r="G613" s="88"/>
      <c r="H613" s="89"/>
      <c r="I613" s="90"/>
      <c r="K613" s="91"/>
      <c r="L613" s="88"/>
      <c r="M613" s="92"/>
      <c r="N613" s="86"/>
    </row>
    <row r="614" spans="5:14">
      <c r="E614" s="86"/>
      <c r="F614" s="87"/>
      <c r="G614" s="88"/>
      <c r="H614" s="89"/>
      <c r="I614" s="90"/>
      <c r="K614" s="91"/>
      <c r="L614" s="88"/>
      <c r="M614" s="92"/>
      <c r="N614" s="86"/>
    </row>
    <row r="615" spans="5:14">
      <c r="E615" s="86"/>
      <c r="F615" s="87"/>
      <c r="G615" s="88"/>
      <c r="H615" s="89"/>
      <c r="I615" s="90"/>
      <c r="K615" s="91"/>
      <c r="L615" s="88"/>
      <c r="M615" s="92"/>
      <c r="N615" s="86"/>
    </row>
    <row r="616" spans="5:14">
      <c r="E616" s="86"/>
      <c r="F616" s="87"/>
      <c r="G616" s="88"/>
      <c r="H616" s="89"/>
      <c r="I616" s="90"/>
      <c r="K616" s="91"/>
      <c r="L616" s="88"/>
      <c r="M616" s="92"/>
      <c r="N616" s="86"/>
    </row>
    <row r="617" spans="5:14">
      <c r="E617" s="86"/>
      <c r="F617" s="87"/>
      <c r="G617" s="88"/>
      <c r="H617" s="89"/>
      <c r="I617" s="90"/>
      <c r="K617" s="91"/>
      <c r="L617" s="88"/>
      <c r="M617" s="92"/>
      <c r="N617" s="86"/>
    </row>
    <row r="618" spans="5:14">
      <c r="E618" s="86"/>
      <c r="F618" s="87"/>
      <c r="G618" s="88"/>
      <c r="H618" s="89"/>
      <c r="I618" s="90"/>
      <c r="K618" s="91"/>
      <c r="L618" s="88"/>
      <c r="M618" s="92"/>
      <c r="N618" s="86"/>
    </row>
    <row r="619" spans="5:14">
      <c r="E619" s="86"/>
      <c r="F619" s="87"/>
      <c r="G619" s="88"/>
      <c r="H619" s="89"/>
      <c r="I619" s="90"/>
      <c r="K619" s="91"/>
      <c r="L619" s="88"/>
      <c r="M619" s="92"/>
      <c r="N619" s="86"/>
    </row>
    <row r="620" spans="5:14">
      <c r="E620" s="86"/>
      <c r="F620" s="87"/>
      <c r="G620" s="88"/>
      <c r="H620" s="89"/>
      <c r="I620" s="90"/>
      <c r="K620" s="91"/>
      <c r="L620" s="88"/>
      <c r="M620" s="92"/>
      <c r="N620" s="86"/>
    </row>
    <row r="621" spans="5:14">
      <c r="E621" s="86"/>
      <c r="F621" s="87"/>
      <c r="G621" s="88"/>
      <c r="H621" s="89"/>
      <c r="I621" s="90"/>
      <c r="K621" s="91"/>
      <c r="L621" s="88"/>
      <c r="M621" s="92"/>
      <c r="N621" s="86"/>
    </row>
    <row r="622" spans="5:14">
      <c r="E622" s="86"/>
      <c r="F622" s="87"/>
      <c r="G622" s="88"/>
      <c r="H622" s="89"/>
      <c r="I622" s="90"/>
      <c r="K622" s="91"/>
      <c r="L622" s="88"/>
      <c r="M622" s="92"/>
      <c r="N622" s="86"/>
    </row>
    <row r="623" spans="5:14">
      <c r="E623" s="86"/>
      <c r="F623" s="87"/>
      <c r="G623" s="88"/>
      <c r="H623" s="89"/>
      <c r="I623" s="90"/>
      <c r="K623" s="91"/>
      <c r="L623" s="88"/>
      <c r="M623" s="92"/>
      <c r="N623" s="86"/>
    </row>
    <row r="624" spans="5:14">
      <c r="E624" s="86"/>
      <c r="F624" s="87"/>
      <c r="G624" s="88"/>
      <c r="H624" s="89"/>
      <c r="I624" s="90"/>
      <c r="K624" s="91"/>
      <c r="L624" s="88"/>
      <c r="M624" s="92"/>
      <c r="N624" s="86"/>
    </row>
    <row r="625" spans="5:14">
      <c r="E625" s="86"/>
      <c r="F625" s="87"/>
      <c r="G625" s="88"/>
      <c r="H625" s="89"/>
      <c r="I625" s="90"/>
      <c r="K625" s="91"/>
      <c r="L625" s="88"/>
      <c r="M625" s="92"/>
      <c r="N625" s="86"/>
    </row>
    <row r="626" spans="5:14">
      <c r="E626" s="86"/>
      <c r="F626" s="87"/>
      <c r="G626" s="88"/>
      <c r="H626" s="89"/>
      <c r="I626" s="90"/>
      <c r="K626" s="91"/>
      <c r="L626" s="88"/>
      <c r="M626" s="92"/>
      <c r="N626" s="86"/>
    </row>
    <row r="627" spans="5:14">
      <c r="E627" s="86"/>
      <c r="F627" s="87"/>
      <c r="G627" s="88"/>
      <c r="H627" s="89"/>
      <c r="I627" s="90"/>
      <c r="K627" s="91"/>
      <c r="L627" s="88"/>
      <c r="M627" s="92"/>
      <c r="N627" s="86"/>
    </row>
    <row r="628" spans="5:14">
      <c r="E628" s="86"/>
      <c r="F628" s="87"/>
      <c r="G628" s="88"/>
      <c r="H628" s="89"/>
      <c r="I628" s="90"/>
      <c r="K628" s="91"/>
      <c r="L628" s="88"/>
      <c r="M628" s="92"/>
      <c r="N628" s="86"/>
    </row>
    <row r="629" spans="5:14">
      <c r="E629" s="86"/>
      <c r="F629" s="87"/>
      <c r="G629" s="88"/>
      <c r="H629" s="89"/>
      <c r="I629" s="90"/>
      <c r="K629" s="91"/>
      <c r="L629" s="88"/>
      <c r="M629" s="92"/>
      <c r="N629" s="86"/>
    </row>
    <row r="630" spans="5:14">
      <c r="E630" s="86"/>
      <c r="F630" s="87"/>
      <c r="G630" s="88"/>
      <c r="H630" s="89"/>
      <c r="I630" s="90"/>
      <c r="K630" s="91"/>
      <c r="L630" s="88"/>
      <c r="M630" s="92"/>
      <c r="N630" s="86"/>
    </row>
    <row r="631" spans="5:14">
      <c r="E631" s="86"/>
      <c r="F631" s="87"/>
      <c r="G631" s="88"/>
      <c r="H631" s="89"/>
      <c r="I631" s="90"/>
      <c r="K631" s="91"/>
      <c r="L631" s="88"/>
      <c r="M631" s="92"/>
      <c r="N631" s="86"/>
    </row>
    <row r="632" spans="5:14">
      <c r="E632" s="86"/>
      <c r="F632" s="87"/>
      <c r="G632" s="88"/>
      <c r="H632" s="89"/>
      <c r="I632" s="90"/>
      <c r="K632" s="91"/>
      <c r="L632" s="88"/>
      <c r="M632" s="92"/>
      <c r="N632" s="86"/>
    </row>
    <row r="633" spans="5:14">
      <c r="E633" s="86"/>
      <c r="F633" s="87"/>
      <c r="G633" s="88"/>
      <c r="H633" s="89"/>
      <c r="I633" s="90"/>
      <c r="K633" s="91"/>
      <c r="L633" s="88"/>
      <c r="M633" s="92"/>
      <c r="N633" s="86"/>
    </row>
    <row r="634" spans="5:14">
      <c r="E634" s="86"/>
      <c r="F634" s="87"/>
      <c r="G634" s="88"/>
      <c r="H634" s="89"/>
      <c r="I634" s="90"/>
      <c r="K634" s="91"/>
      <c r="L634" s="88"/>
      <c r="M634" s="92"/>
      <c r="N634" s="86"/>
    </row>
    <row r="635" spans="5:14">
      <c r="E635" s="86"/>
      <c r="F635" s="87"/>
      <c r="G635" s="88"/>
      <c r="H635" s="89"/>
      <c r="I635" s="90"/>
      <c r="K635" s="91"/>
      <c r="L635" s="88"/>
      <c r="M635" s="92"/>
      <c r="N635" s="86"/>
    </row>
    <row r="636" spans="5:14">
      <c r="E636" s="86"/>
      <c r="F636" s="87"/>
      <c r="G636" s="88"/>
      <c r="H636" s="89"/>
      <c r="I636" s="90"/>
      <c r="K636" s="91"/>
      <c r="L636" s="88"/>
      <c r="M636" s="92"/>
      <c r="N636" s="86"/>
    </row>
    <row r="637" spans="5:14">
      <c r="E637" s="86"/>
      <c r="F637" s="87"/>
      <c r="G637" s="88"/>
      <c r="H637" s="89"/>
      <c r="I637" s="90"/>
      <c r="K637" s="91"/>
      <c r="L637" s="88"/>
      <c r="M637" s="92"/>
      <c r="N637" s="86"/>
    </row>
    <row r="638" spans="5:14">
      <c r="E638" s="86"/>
      <c r="F638" s="87"/>
      <c r="G638" s="88"/>
      <c r="H638" s="89"/>
      <c r="I638" s="90"/>
      <c r="K638" s="91"/>
      <c r="L638" s="88"/>
      <c r="M638" s="92"/>
      <c r="N638" s="86"/>
    </row>
    <row r="639" spans="5:14">
      <c r="E639" s="86"/>
      <c r="F639" s="87"/>
      <c r="G639" s="88"/>
      <c r="H639" s="89"/>
      <c r="I639" s="90"/>
      <c r="K639" s="91"/>
      <c r="L639" s="88"/>
      <c r="M639" s="92"/>
      <c r="N639" s="86"/>
    </row>
    <row r="640" spans="5:14">
      <c r="E640" s="86"/>
      <c r="F640" s="87"/>
      <c r="G640" s="88"/>
      <c r="H640" s="89"/>
      <c r="I640" s="90"/>
      <c r="K640" s="91"/>
      <c r="L640" s="88"/>
      <c r="M640" s="92"/>
      <c r="N640" s="86"/>
    </row>
    <row r="641" spans="5:14">
      <c r="E641" s="86"/>
      <c r="F641" s="87"/>
      <c r="G641" s="88"/>
      <c r="H641" s="89"/>
      <c r="I641" s="90"/>
      <c r="K641" s="91"/>
      <c r="L641" s="88"/>
      <c r="M641" s="92"/>
      <c r="N641" s="86"/>
    </row>
    <row r="642" spans="5:14">
      <c r="E642" s="86"/>
      <c r="F642" s="87"/>
      <c r="G642" s="88"/>
      <c r="H642" s="89"/>
      <c r="I642" s="90"/>
      <c r="K642" s="91"/>
      <c r="L642" s="88"/>
      <c r="M642" s="92"/>
      <c r="N642" s="86"/>
    </row>
    <row r="643" spans="5:14">
      <c r="E643" s="86"/>
      <c r="F643" s="87"/>
      <c r="G643" s="88"/>
      <c r="H643" s="89"/>
      <c r="I643" s="90"/>
      <c r="K643" s="91"/>
      <c r="L643" s="88"/>
      <c r="M643" s="92"/>
      <c r="N643" s="86"/>
    </row>
    <row r="644" spans="5:14">
      <c r="E644" s="86"/>
      <c r="F644" s="87"/>
      <c r="G644" s="88"/>
      <c r="H644" s="89"/>
      <c r="I644" s="90"/>
      <c r="K644" s="91"/>
      <c r="L644" s="88"/>
      <c r="M644" s="92"/>
      <c r="N644" s="86"/>
    </row>
    <row r="645" spans="5:14">
      <c r="E645" s="86"/>
      <c r="F645" s="87"/>
      <c r="G645" s="88"/>
      <c r="H645" s="89"/>
      <c r="I645" s="90"/>
      <c r="K645" s="91"/>
      <c r="L645" s="88"/>
      <c r="M645" s="92"/>
      <c r="N645" s="86"/>
    </row>
    <row r="646" spans="5:14">
      <c r="E646" s="86"/>
      <c r="F646" s="87"/>
      <c r="G646" s="88"/>
      <c r="H646" s="89"/>
      <c r="I646" s="90"/>
      <c r="K646" s="91"/>
      <c r="L646" s="88"/>
      <c r="M646" s="92"/>
      <c r="N646" s="86"/>
    </row>
    <row r="647" spans="5:14">
      <c r="E647" s="86"/>
      <c r="F647" s="87"/>
      <c r="G647" s="88"/>
      <c r="H647" s="89"/>
      <c r="I647" s="90"/>
      <c r="K647" s="91"/>
      <c r="L647" s="88"/>
      <c r="M647" s="92"/>
      <c r="N647" s="86"/>
    </row>
    <row r="648" spans="5:14">
      <c r="E648" s="86"/>
      <c r="F648" s="87"/>
      <c r="G648" s="88"/>
      <c r="H648" s="89"/>
      <c r="I648" s="90"/>
      <c r="K648" s="91"/>
      <c r="L648" s="88"/>
      <c r="M648" s="92"/>
      <c r="N648" s="86"/>
    </row>
    <row r="649" spans="5:14">
      <c r="E649" s="86"/>
      <c r="F649" s="87"/>
      <c r="G649" s="88"/>
      <c r="H649" s="89"/>
      <c r="I649" s="90"/>
      <c r="K649" s="91"/>
      <c r="L649" s="88"/>
      <c r="M649" s="92"/>
      <c r="N649" s="86"/>
    </row>
    <row r="650" spans="5:14">
      <c r="E650" s="86"/>
      <c r="F650" s="87"/>
      <c r="G650" s="88"/>
      <c r="H650" s="89"/>
      <c r="I650" s="90"/>
      <c r="K650" s="91"/>
      <c r="L650" s="88"/>
      <c r="M650" s="92"/>
      <c r="N650" s="86"/>
    </row>
    <row r="651" spans="5:14">
      <c r="E651" s="86"/>
      <c r="F651" s="87"/>
      <c r="G651" s="88"/>
      <c r="H651" s="89"/>
      <c r="I651" s="90"/>
      <c r="K651" s="91"/>
      <c r="L651" s="88"/>
      <c r="M651" s="92"/>
      <c r="N651" s="86"/>
    </row>
    <row r="652" spans="5:14">
      <c r="E652" s="86"/>
      <c r="F652" s="87"/>
      <c r="G652" s="88"/>
      <c r="H652" s="89"/>
      <c r="I652" s="90"/>
      <c r="K652" s="91"/>
      <c r="L652" s="88"/>
      <c r="M652" s="92"/>
      <c r="N652" s="86"/>
    </row>
    <row r="653" spans="5:14">
      <c r="E653" s="86"/>
      <c r="F653" s="87"/>
      <c r="G653" s="88"/>
      <c r="H653" s="89"/>
      <c r="I653" s="90"/>
      <c r="K653" s="91"/>
      <c r="L653" s="88"/>
      <c r="M653" s="92"/>
      <c r="N653" s="86"/>
    </row>
    <row r="654" spans="5:14">
      <c r="E654" s="86"/>
      <c r="F654" s="87"/>
      <c r="G654" s="88"/>
      <c r="H654" s="89"/>
      <c r="I654" s="90"/>
      <c r="K654" s="91"/>
      <c r="L654" s="88"/>
      <c r="M654" s="92"/>
      <c r="N654" s="86"/>
    </row>
    <row r="655" spans="5:14">
      <c r="E655" s="86"/>
      <c r="F655" s="87"/>
      <c r="G655" s="88"/>
      <c r="H655" s="89"/>
      <c r="I655" s="90"/>
      <c r="K655" s="91"/>
      <c r="L655" s="88"/>
      <c r="M655" s="92"/>
      <c r="N655" s="86"/>
    </row>
    <row r="656" spans="5:14">
      <c r="E656" s="86"/>
      <c r="F656" s="87"/>
      <c r="G656" s="88"/>
      <c r="H656" s="89"/>
      <c r="I656" s="90"/>
      <c r="K656" s="91"/>
      <c r="L656" s="88"/>
      <c r="M656" s="92"/>
      <c r="N656" s="86"/>
    </row>
    <row r="657" spans="5:14">
      <c r="E657" s="86"/>
      <c r="F657" s="87"/>
      <c r="G657" s="88"/>
      <c r="H657" s="89"/>
      <c r="I657" s="90"/>
      <c r="K657" s="91"/>
      <c r="L657" s="88"/>
      <c r="M657" s="92"/>
      <c r="N657" s="86"/>
    </row>
    <row r="658" spans="5:14">
      <c r="E658" s="86"/>
      <c r="F658" s="87"/>
      <c r="G658" s="88"/>
      <c r="H658" s="89"/>
      <c r="I658" s="90"/>
      <c r="K658" s="91"/>
      <c r="L658" s="88"/>
      <c r="M658" s="92"/>
      <c r="N658" s="86"/>
    </row>
    <row r="659" spans="5:14">
      <c r="E659" s="86"/>
      <c r="F659" s="87"/>
      <c r="G659" s="88"/>
      <c r="H659" s="89"/>
      <c r="I659" s="90"/>
      <c r="K659" s="91"/>
      <c r="L659" s="88"/>
      <c r="M659" s="92"/>
      <c r="N659" s="86"/>
    </row>
    <row r="660" spans="5:14">
      <c r="E660" s="86"/>
      <c r="F660" s="87"/>
      <c r="G660" s="88"/>
      <c r="H660" s="89"/>
      <c r="I660" s="90"/>
      <c r="K660" s="91"/>
      <c r="L660" s="88"/>
      <c r="M660" s="92"/>
      <c r="N660" s="86"/>
    </row>
    <row r="661" spans="5:14">
      <c r="E661" s="86"/>
      <c r="F661" s="87"/>
      <c r="G661" s="88"/>
      <c r="H661" s="89"/>
      <c r="I661" s="90"/>
      <c r="K661" s="91"/>
      <c r="L661" s="88"/>
      <c r="M661" s="92"/>
      <c r="N661" s="86"/>
    </row>
    <row r="662" spans="5:14">
      <c r="E662" s="86"/>
      <c r="F662" s="87"/>
      <c r="G662" s="88"/>
      <c r="H662" s="89"/>
      <c r="I662" s="90"/>
      <c r="K662" s="91"/>
      <c r="L662" s="88"/>
      <c r="M662" s="92"/>
      <c r="N662" s="86"/>
    </row>
    <row r="663" spans="5:14">
      <c r="E663" s="86"/>
      <c r="F663" s="87"/>
      <c r="G663" s="88"/>
      <c r="H663" s="89"/>
      <c r="I663" s="90"/>
      <c r="K663" s="91"/>
      <c r="L663" s="88"/>
      <c r="M663" s="92"/>
      <c r="N663" s="86"/>
    </row>
    <row r="664" spans="5:14">
      <c r="E664" s="86"/>
      <c r="F664" s="87"/>
      <c r="G664" s="88"/>
      <c r="H664" s="89"/>
      <c r="I664" s="90"/>
      <c r="K664" s="91"/>
      <c r="L664" s="88"/>
      <c r="M664" s="92"/>
      <c r="N664" s="86"/>
    </row>
    <row r="665" spans="5:14">
      <c r="E665" s="86"/>
      <c r="F665" s="87"/>
      <c r="G665" s="88"/>
      <c r="H665" s="89"/>
      <c r="I665" s="90"/>
      <c r="K665" s="91"/>
      <c r="L665" s="88"/>
      <c r="M665" s="92"/>
      <c r="N665" s="86"/>
    </row>
    <row r="666" spans="5:14">
      <c r="E666" s="86"/>
      <c r="F666" s="87"/>
      <c r="G666" s="88"/>
      <c r="H666" s="89"/>
      <c r="I666" s="90"/>
      <c r="K666" s="91"/>
      <c r="L666" s="88"/>
      <c r="M666" s="92"/>
      <c r="N666" s="86"/>
    </row>
    <row r="667" spans="5:14">
      <c r="E667" s="86"/>
      <c r="F667" s="87"/>
      <c r="G667" s="88"/>
      <c r="H667" s="89"/>
      <c r="I667" s="90"/>
      <c r="K667" s="91"/>
      <c r="L667" s="88"/>
      <c r="M667" s="92"/>
      <c r="N667" s="86"/>
    </row>
    <row r="668" spans="5:14">
      <c r="E668" s="86"/>
      <c r="F668" s="87"/>
      <c r="G668" s="88"/>
      <c r="H668" s="89"/>
      <c r="I668" s="90"/>
      <c r="K668" s="91"/>
      <c r="L668" s="88"/>
      <c r="M668" s="92"/>
      <c r="N668" s="86"/>
    </row>
    <row r="669" spans="5:14">
      <c r="E669" s="86"/>
      <c r="F669" s="87"/>
      <c r="G669" s="88"/>
      <c r="H669" s="89"/>
      <c r="I669" s="90"/>
      <c r="K669" s="91"/>
      <c r="L669" s="88"/>
      <c r="M669" s="92"/>
      <c r="N669" s="86"/>
    </row>
    <row r="670" spans="5:14">
      <c r="E670" s="86"/>
      <c r="F670" s="87"/>
      <c r="G670" s="88"/>
      <c r="H670" s="89"/>
      <c r="I670" s="90"/>
      <c r="K670" s="91"/>
      <c r="L670" s="88"/>
      <c r="M670" s="92"/>
      <c r="N670" s="86"/>
    </row>
    <row r="671" spans="5:14">
      <c r="E671" s="86"/>
      <c r="F671" s="87"/>
      <c r="G671" s="88"/>
      <c r="H671" s="89"/>
      <c r="I671" s="90"/>
      <c r="K671" s="91"/>
      <c r="L671" s="88"/>
      <c r="M671" s="92"/>
      <c r="N671" s="86"/>
    </row>
    <row r="672" spans="5:14">
      <c r="E672" s="86"/>
      <c r="F672" s="87"/>
      <c r="G672" s="88"/>
      <c r="H672" s="89"/>
      <c r="I672" s="90"/>
      <c r="K672" s="91"/>
      <c r="L672" s="88"/>
      <c r="M672" s="92"/>
      <c r="N672" s="86"/>
    </row>
    <row r="673" spans="5:14">
      <c r="E673" s="86"/>
      <c r="F673" s="87"/>
      <c r="G673" s="88"/>
      <c r="H673" s="89"/>
      <c r="I673" s="90"/>
      <c r="K673" s="91"/>
      <c r="L673" s="88"/>
      <c r="M673" s="92"/>
      <c r="N673" s="86"/>
    </row>
    <row r="674" spans="5:14">
      <c r="E674" s="86"/>
      <c r="F674" s="87"/>
      <c r="G674" s="88"/>
      <c r="H674" s="89"/>
      <c r="I674" s="90"/>
      <c r="K674" s="91"/>
      <c r="L674" s="88"/>
      <c r="M674" s="92"/>
      <c r="N674" s="86"/>
    </row>
    <row r="675" spans="5:14">
      <c r="E675" s="86"/>
      <c r="F675" s="87"/>
      <c r="G675" s="88"/>
      <c r="H675" s="89"/>
      <c r="I675" s="90"/>
      <c r="K675" s="91"/>
      <c r="L675" s="88"/>
      <c r="M675" s="92"/>
      <c r="N675" s="86"/>
    </row>
    <row r="676" spans="5:14">
      <c r="E676" s="86"/>
      <c r="F676" s="87"/>
      <c r="G676" s="88"/>
      <c r="H676" s="89"/>
      <c r="I676" s="90"/>
      <c r="K676" s="91"/>
      <c r="L676" s="88"/>
      <c r="M676" s="92"/>
      <c r="N676" s="86"/>
    </row>
    <row r="677" spans="5:14">
      <c r="E677" s="86"/>
      <c r="F677" s="87"/>
      <c r="G677" s="88"/>
      <c r="H677" s="89"/>
      <c r="I677" s="90"/>
      <c r="K677" s="91"/>
      <c r="L677" s="88"/>
      <c r="M677" s="92"/>
      <c r="N677" s="86"/>
    </row>
    <row r="678" spans="5:14">
      <c r="E678" s="86"/>
      <c r="F678" s="87"/>
      <c r="G678" s="88"/>
      <c r="H678" s="89"/>
      <c r="I678" s="90"/>
      <c r="K678" s="91"/>
      <c r="L678" s="88"/>
      <c r="M678" s="92"/>
      <c r="N678" s="86"/>
    </row>
    <row r="679" spans="5:14">
      <c r="E679" s="86"/>
      <c r="F679" s="87"/>
      <c r="G679" s="88"/>
      <c r="H679" s="89"/>
      <c r="I679" s="90"/>
      <c r="K679" s="91"/>
      <c r="L679" s="88"/>
      <c r="M679" s="92"/>
      <c r="N679" s="86"/>
    </row>
    <row r="680" spans="5:14">
      <c r="E680" s="86"/>
      <c r="F680" s="87"/>
      <c r="G680" s="88"/>
      <c r="H680" s="89"/>
      <c r="I680" s="90"/>
      <c r="K680" s="91"/>
      <c r="L680" s="88"/>
      <c r="M680" s="92"/>
      <c r="N680" s="86"/>
    </row>
    <row r="681" spans="5:14">
      <c r="E681" s="86"/>
      <c r="F681" s="87"/>
      <c r="G681" s="88"/>
      <c r="H681" s="89"/>
      <c r="I681" s="90"/>
      <c r="K681" s="91"/>
      <c r="L681" s="88"/>
      <c r="M681" s="92"/>
      <c r="N681" s="86"/>
    </row>
    <row r="682" spans="5:14">
      <c r="E682" s="86"/>
      <c r="F682" s="87"/>
      <c r="G682" s="88"/>
      <c r="H682" s="89"/>
      <c r="I682" s="90"/>
      <c r="K682" s="91"/>
      <c r="L682" s="88"/>
      <c r="M682" s="92"/>
      <c r="N682" s="86"/>
    </row>
    <row r="683" spans="5:14">
      <c r="E683" s="86"/>
      <c r="F683" s="87"/>
      <c r="G683" s="88"/>
      <c r="H683" s="89"/>
      <c r="I683" s="90"/>
      <c r="K683" s="91"/>
      <c r="L683" s="88"/>
      <c r="M683" s="92"/>
      <c r="N683" s="86"/>
    </row>
    <row r="684" spans="5:14">
      <c r="E684" s="86"/>
      <c r="F684" s="87"/>
      <c r="G684" s="88"/>
      <c r="H684" s="89"/>
      <c r="I684" s="90"/>
      <c r="K684" s="91"/>
      <c r="L684" s="88"/>
      <c r="M684" s="92"/>
      <c r="N684" s="86"/>
    </row>
    <row r="685" spans="5:14">
      <c r="E685" s="86"/>
      <c r="F685" s="87"/>
      <c r="G685" s="88"/>
      <c r="H685" s="89"/>
      <c r="I685" s="90"/>
      <c r="K685" s="91"/>
      <c r="L685" s="88"/>
      <c r="M685" s="92"/>
      <c r="N685" s="86"/>
    </row>
    <row r="686" spans="5:14">
      <c r="E686" s="86"/>
      <c r="F686" s="87"/>
      <c r="G686" s="88"/>
      <c r="H686" s="89"/>
      <c r="I686" s="90"/>
      <c r="K686" s="91"/>
      <c r="L686" s="88"/>
      <c r="M686" s="92"/>
      <c r="N686" s="86"/>
    </row>
    <row r="687" spans="5:14">
      <c r="E687" s="86"/>
      <c r="F687" s="87"/>
      <c r="G687" s="88"/>
      <c r="H687" s="89"/>
      <c r="I687" s="90"/>
      <c r="K687" s="91"/>
      <c r="L687" s="88"/>
      <c r="M687" s="92"/>
      <c r="N687" s="86"/>
    </row>
    <row r="688" spans="5:14">
      <c r="E688" s="86"/>
      <c r="F688" s="87"/>
      <c r="G688" s="88"/>
      <c r="H688" s="89"/>
      <c r="I688" s="90"/>
      <c r="K688" s="91"/>
      <c r="L688" s="88"/>
      <c r="M688" s="92"/>
      <c r="N688" s="86"/>
    </row>
    <row r="689" spans="5:14">
      <c r="E689" s="86"/>
      <c r="F689" s="87"/>
      <c r="G689" s="88"/>
      <c r="H689" s="89"/>
      <c r="I689" s="90"/>
      <c r="K689" s="91"/>
      <c r="L689" s="88"/>
      <c r="M689" s="92"/>
      <c r="N689" s="86"/>
    </row>
    <row r="690" spans="5:14">
      <c r="E690" s="86"/>
      <c r="F690" s="87"/>
      <c r="G690" s="88"/>
      <c r="H690" s="89"/>
      <c r="I690" s="90"/>
      <c r="K690" s="91"/>
      <c r="L690" s="88"/>
      <c r="M690" s="92"/>
      <c r="N690" s="86"/>
    </row>
    <row r="691" spans="5:14">
      <c r="E691" s="86"/>
      <c r="F691" s="87"/>
      <c r="G691" s="88"/>
      <c r="H691" s="89"/>
      <c r="I691" s="90"/>
      <c r="K691" s="91"/>
      <c r="L691" s="88"/>
      <c r="M691" s="92"/>
      <c r="N691" s="86"/>
    </row>
    <row r="692" spans="5:14">
      <c r="E692" s="86"/>
      <c r="F692" s="87"/>
      <c r="G692" s="88"/>
      <c r="H692" s="89"/>
      <c r="I692" s="90"/>
      <c r="K692" s="91"/>
      <c r="L692" s="88"/>
      <c r="M692" s="92"/>
      <c r="N692" s="86"/>
    </row>
    <row r="693" spans="5:14">
      <c r="E693" s="86"/>
      <c r="F693" s="87"/>
      <c r="G693" s="88"/>
      <c r="H693" s="89"/>
      <c r="I693" s="90"/>
      <c r="K693" s="91"/>
      <c r="L693" s="88"/>
      <c r="M693" s="92"/>
      <c r="N693" s="86"/>
    </row>
    <row r="694" spans="5:14">
      <c r="E694" s="86"/>
      <c r="F694" s="87"/>
      <c r="G694" s="88"/>
      <c r="H694" s="89"/>
      <c r="I694" s="90"/>
      <c r="K694" s="91"/>
      <c r="L694" s="88"/>
      <c r="M694" s="92"/>
      <c r="N694" s="86"/>
    </row>
    <row r="695" spans="5:14">
      <c r="E695" s="86"/>
      <c r="F695" s="87"/>
      <c r="G695" s="88"/>
      <c r="H695" s="89"/>
      <c r="I695" s="90"/>
      <c r="K695" s="91"/>
      <c r="L695" s="88"/>
      <c r="M695" s="92"/>
      <c r="N695" s="86"/>
    </row>
    <row r="696" spans="5:14">
      <c r="E696" s="86"/>
      <c r="F696" s="87"/>
      <c r="G696" s="88"/>
      <c r="H696" s="89"/>
      <c r="I696" s="90"/>
      <c r="K696" s="91"/>
      <c r="L696" s="88"/>
      <c r="M696" s="92"/>
      <c r="N696" s="86"/>
    </row>
    <row r="697" spans="5:14">
      <c r="E697" s="86"/>
      <c r="F697" s="87"/>
      <c r="G697" s="88"/>
      <c r="H697" s="89"/>
      <c r="I697" s="90"/>
      <c r="K697" s="91"/>
      <c r="L697" s="88"/>
      <c r="M697" s="92"/>
      <c r="N697" s="86"/>
    </row>
    <row r="698" spans="5:14">
      <c r="E698" s="86"/>
      <c r="F698" s="87"/>
      <c r="G698" s="88"/>
      <c r="H698" s="89"/>
      <c r="I698" s="90"/>
      <c r="K698" s="91"/>
      <c r="L698" s="88"/>
      <c r="M698" s="92"/>
      <c r="N698" s="86"/>
    </row>
    <row r="699" spans="5:14">
      <c r="E699" s="86"/>
      <c r="F699" s="87"/>
      <c r="G699" s="88"/>
      <c r="H699" s="89"/>
      <c r="I699" s="90"/>
      <c r="K699" s="91"/>
      <c r="L699" s="88"/>
      <c r="M699" s="92"/>
      <c r="N699" s="86"/>
    </row>
    <row r="700" spans="5:14">
      <c r="E700" s="86"/>
      <c r="F700" s="87"/>
      <c r="G700" s="88"/>
      <c r="H700" s="89"/>
      <c r="I700" s="90"/>
      <c r="K700" s="91"/>
      <c r="L700" s="88"/>
      <c r="M700" s="92"/>
      <c r="N700" s="86"/>
    </row>
    <row r="701" spans="5:14">
      <c r="E701" s="86"/>
      <c r="F701" s="87"/>
      <c r="G701" s="88"/>
      <c r="H701" s="89"/>
      <c r="I701" s="90"/>
      <c r="K701" s="91"/>
      <c r="L701" s="88"/>
      <c r="M701" s="92"/>
      <c r="N701" s="86"/>
    </row>
    <row r="702" spans="5:14">
      <c r="E702" s="86"/>
      <c r="F702" s="87"/>
      <c r="G702" s="88"/>
      <c r="H702" s="89"/>
      <c r="I702" s="90"/>
      <c r="K702" s="91"/>
      <c r="L702" s="88"/>
      <c r="M702" s="92"/>
      <c r="N702" s="86"/>
    </row>
    <row r="703" spans="5:14">
      <c r="E703" s="86"/>
      <c r="F703" s="87"/>
      <c r="G703" s="88"/>
      <c r="H703" s="89"/>
      <c r="I703" s="90"/>
      <c r="K703" s="91"/>
      <c r="L703" s="88"/>
      <c r="M703" s="92"/>
      <c r="N703" s="86"/>
    </row>
    <row r="704" spans="5:14">
      <c r="E704" s="86"/>
      <c r="F704" s="87"/>
      <c r="G704" s="88"/>
      <c r="H704" s="89"/>
      <c r="I704" s="90"/>
      <c r="K704" s="91"/>
      <c r="L704" s="88"/>
      <c r="M704" s="92"/>
      <c r="N704" s="86"/>
    </row>
    <row r="705" spans="5:14">
      <c r="E705" s="86"/>
      <c r="F705" s="87"/>
      <c r="G705" s="88"/>
      <c r="H705" s="89"/>
      <c r="I705" s="90"/>
      <c r="K705" s="91"/>
      <c r="L705" s="88"/>
      <c r="M705" s="92"/>
      <c r="N705" s="86"/>
    </row>
    <row r="706" spans="5:14">
      <c r="E706" s="86"/>
      <c r="F706" s="87"/>
      <c r="G706" s="88"/>
      <c r="H706" s="89"/>
      <c r="I706" s="90"/>
      <c r="K706" s="91"/>
      <c r="L706" s="88"/>
      <c r="M706" s="92"/>
      <c r="N706" s="86"/>
    </row>
    <row r="707" spans="5:14">
      <c r="E707" s="86"/>
      <c r="F707" s="87"/>
      <c r="G707" s="88"/>
      <c r="H707" s="89"/>
      <c r="I707" s="90"/>
      <c r="K707" s="91"/>
      <c r="L707" s="88"/>
      <c r="M707" s="92"/>
      <c r="N707" s="86"/>
    </row>
    <row r="708" spans="5:14">
      <c r="E708" s="86"/>
      <c r="F708" s="87"/>
      <c r="G708" s="88"/>
      <c r="H708" s="89"/>
      <c r="I708" s="90"/>
      <c r="K708" s="91"/>
      <c r="L708" s="88"/>
      <c r="M708" s="92"/>
      <c r="N708" s="86"/>
    </row>
    <row r="709" spans="5:14">
      <c r="E709" s="86"/>
      <c r="F709" s="87"/>
      <c r="G709" s="88"/>
      <c r="H709" s="89"/>
      <c r="I709" s="90"/>
      <c r="K709" s="91"/>
      <c r="L709" s="88"/>
      <c r="M709" s="92"/>
      <c r="N709" s="86"/>
    </row>
    <row r="710" spans="5:14">
      <c r="E710" s="86"/>
      <c r="F710" s="87"/>
      <c r="G710" s="88"/>
      <c r="H710" s="89"/>
      <c r="I710" s="90"/>
      <c r="K710" s="91"/>
      <c r="L710" s="88"/>
      <c r="M710" s="92"/>
      <c r="N710" s="86"/>
    </row>
    <row r="711" spans="5:14">
      <c r="E711" s="86"/>
      <c r="F711" s="87"/>
      <c r="G711" s="88"/>
      <c r="H711" s="89"/>
      <c r="I711" s="90"/>
      <c r="K711" s="91"/>
      <c r="L711" s="88"/>
      <c r="M711" s="92"/>
      <c r="N711" s="86"/>
    </row>
    <row r="712" spans="5:14">
      <c r="E712" s="86"/>
      <c r="F712" s="87"/>
      <c r="G712" s="88"/>
      <c r="H712" s="89"/>
      <c r="I712" s="90"/>
      <c r="K712" s="91"/>
      <c r="L712" s="88"/>
      <c r="M712" s="92"/>
      <c r="N712" s="86"/>
    </row>
    <row r="713" spans="5:14">
      <c r="E713" s="86"/>
      <c r="F713" s="87"/>
      <c r="G713" s="88"/>
      <c r="H713" s="89"/>
      <c r="I713" s="90"/>
      <c r="K713" s="91"/>
      <c r="L713" s="88"/>
      <c r="M713" s="92"/>
      <c r="N713" s="86"/>
    </row>
    <row r="714" spans="5:14">
      <c r="E714" s="86"/>
      <c r="F714" s="87"/>
      <c r="G714" s="88"/>
      <c r="H714" s="89"/>
      <c r="I714" s="90"/>
      <c r="K714" s="91"/>
      <c r="L714" s="88"/>
      <c r="M714" s="92"/>
      <c r="N714" s="86"/>
    </row>
    <row r="715" spans="5:14">
      <c r="E715" s="86"/>
      <c r="F715" s="87"/>
      <c r="G715" s="88"/>
      <c r="H715" s="89"/>
      <c r="I715" s="90"/>
      <c r="K715" s="91"/>
      <c r="L715" s="88"/>
      <c r="M715" s="92"/>
      <c r="N715" s="86"/>
    </row>
    <row r="716" spans="5:14">
      <c r="E716" s="86"/>
      <c r="F716" s="87"/>
      <c r="G716" s="88"/>
      <c r="H716" s="89"/>
      <c r="I716" s="90"/>
      <c r="K716" s="91"/>
      <c r="L716" s="88"/>
      <c r="M716" s="92"/>
      <c r="N716" s="86"/>
    </row>
    <row r="717" spans="5:14">
      <c r="E717" s="86"/>
      <c r="F717" s="87"/>
      <c r="G717" s="88"/>
      <c r="H717" s="89"/>
      <c r="I717" s="90"/>
      <c r="K717" s="91"/>
      <c r="L717" s="88"/>
      <c r="M717" s="92"/>
      <c r="N717" s="86"/>
    </row>
    <row r="718" spans="5:14">
      <c r="E718" s="86"/>
      <c r="F718" s="87"/>
      <c r="G718" s="88"/>
      <c r="H718" s="89"/>
      <c r="I718" s="90"/>
      <c r="K718" s="91"/>
      <c r="L718" s="88"/>
      <c r="M718" s="92"/>
      <c r="N718" s="86"/>
    </row>
    <row r="719" spans="5:14">
      <c r="E719" s="86"/>
      <c r="F719" s="87"/>
      <c r="G719" s="88"/>
      <c r="H719" s="89"/>
      <c r="I719" s="90"/>
      <c r="K719" s="91"/>
      <c r="L719" s="88"/>
      <c r="M719" s="92"/>
      <c r="N719" s="86"/>
    </row>
    <row r="720" spans="5:14">
      <c r="E720" s="86"/>
      <c r="F720" s="87"/>
      <c r="G720" s="88"/>
      <c r="H720" s="89"/>
      <c r="I720" s="90"/>
      <c r="K720" s="91"/>
      <c r="L720" s="88"/>
      <c r="M720" s="92"/>
      <c r="N720" s="86"/>
    </row>
    <row r="721" spans="5:14">
      <c r="E721" s="86"/>
      <c r="F721" s="87"/>
      <c r="G721" s="88"/>
      <c r="H721" s="89"/>
      <c r="I721" s="90"/>
      <c r="K721" s="91"/>
      <c r="L721" s="88"/>
      <c r="M721" s="92"/>
      <c r="N721" s="86"/>
    </row>
    <row r="722" spans="5:14">
      <c r="E722" s="86"/>
      <c r="F722" s="87"/>
      <c r="G722" s="88"/>
      <c r="H722" s="89"/>
      <c r="I722" s="90"/>
      <c r="K722" s="91"/>
      <c r="L722" s="88"/>
      <c r="M722" s="92"/>
      <c r="N722" s="86"/>
    </row>
    <row r="723" spans="5:14">
      <c r="E723" s="86"/>
      <c r="F723" s="87"/>
      <c r="G723" s="88"/>
      <c r="H723" s="89"/>
      <c r="I723" s="90"/>
      <c r="K723" s="91"/>
      <c r="L723" s="88"/>
      <c r="M723" s="92"/>
      <c r="N723" s="86"/>
    </row>
    <row r="724" spans="5:14">
      <c r="E724" s="86"/>
      <c r="F724" s="87"/>
      <c r="G724" s="88"/>
      <c r="H724" s="89"/>
      <c r="I724" s="90"/>
      <c r="K724" s="91"/>
      <c r="L724" s="88"/>
      <c r="M724" s="92"/>
      <c r="N724" s="86"/>
    </row>
    <row r="725" spans="5:14">
      <c r="E725" s="86"/>
      <c r="F725" s="87"/>
      <c r="G725" s="88"/>
      <c r="H725" s="89"/>
      <c r="I725" s="90"/>
      <c r="K725" s="91"/>
      <c r="L725" s="88"/>
      <c r="M725" s="92"/>
      <c r="N725" s="86"/>
    </row>
    <row r="726" spans="5:14">
      <c r="E726" s="86"/>
      <c r="F726" s="87"/>
      <c r="G726" s="88"/>
      <c r="H726" s="89"/>
      <c r="I726" s="90"/>
      <c r="K726" s="91"/>
      <c r="L726" s="88"/>
      <c r="M726" s="92"/>
      <c r="N726" s="86"/>
    </row>
    <row r="727" spans="5:14">
      <c r="E727" s="86"/>
      <c r="F727" s="87"/>
      <c r="G727" s="88"/>
      <c r="H727" s="89"/>
      <c r="I727" s="90"/>
      <c r="K727" s="91"/>
      <c r="L727" s="88"/>
      <c r="M727" s="92"/>
      <c r="N727" s="86"/>
    </row>
    <row r="728" spans="5:14">
      <c r="E728" s="86"/>
      <c r="F728" s="87"/>
      <c r="G728" s="88"/>
      <c r="H728" s="89"/>
      <c r="I728" s="90"/>
      <c r="K728" s="91"/>
      <c r="L728" s="88"/>
      <c r="M728" s="92"/>
      <c r="N728" s="86"/>
    </row>
    <row r="729" spans="5:14">
      <c r="E729" s="86"/>
      <c r="F729" s="87"/>
      <c r="G729" s="88"/>
      <c r="H729" s="89"/>
      <c r="I729" s="90"/>
      <c r="K729" s="91"/>
      <c r="L729" s="88"/>
      <c r="M729" s="92"/>
      <c r="N729" s="86"/>
    </row>
    <row r="730" spans="5:14">
      <c r="E730" s="86"/>
      <c r="F730" s="87"/>
      <c r="G730" s="88"/>
      <c r="H730" s="89"/>
      <c r="I730" s="90"/>
      <c r="K730" s="91"/>
      <c r="L730" s="88"/>
      <c r="M730" s="92"/>
      <c r="N730" s="86"/>
    </row>
    <row r="731" spans="5:14">
      <c r="E731" s="86"/>
      <c r="F731" s="87"/>
      <c r="G731" s="88"/>
      <c r="H731" s="89"/>
      <c r="I731" s="90"/>
      <c r="K731" s="91"/>
      <c r="L731" s="88"/>
      <c r="M731" s="92"/>
      <c r="N731" s="86"/>
    </row>
    <row r="732" spans="5:14">
      <c r="E732" s="86"/>
      <c r="F732" s="87"/>
      <c r="G732" s="88"/>
      <c r="H732" s="89"/>
      <c r="I732" s="90"/>
      <c r="K732" s="91"/>
      <c r="L732" s="88"/>
      <c r="M732" s="92"/>
      <c r="N732" s="86"/>
    </row>
    <row r="733" spans="5:14">
      <c r="E733" s="86"/>
      <c r="F733" s="87"/>
      <c r="G733" s="88"/>
      <c r="H733" s="89"/>
      <c r="I733" s="90"/>
      <c r="K733" s="91"/>
      <c r="L733" s="88"/>
      <c r="M733" s="92"/>
      <c r="N733" s="86"/>
    </row>
    <row r="734" spans="5:14">
      <c r="E734" s="86"/>
      <c r="F734" s="87"/>
      <c r="G734" s="88"/>
      <c r="H734" s="89"/>
      <c r="I734" s="90"/>
      <c r="K734" s="91"/>
      <c r="L734" s="88"/>
      <c r="M734" s="92"/>
      <c r="N734" s="86"/>
    </row>
    <row r="735" spans="5:14">
      <c r="E735" s="86"/>
      <c r="F735" s="87"/>
      <c r="G735" s="88"/>
      <c r="H735" s="89"/>
      <c r="I735" s="90"/>
      <c r="K735" s="91"/>
      <c r="L735" s="88"/>
      <c r="M735" s="92"/>
      <c r="N735" s="86"/>
    </row>
    <row r="736" spans="5:14">
      <c r="E736" s="86"/>
      <c r="F736" s="87"/>
      <c r="G736" s="88"/>
      <c r="H736" s="89"/>
      <c r="I736" s="90"/>
      <c r="K736" s="91"/>
      <c r="L736" s="88"/>
      <c r="M736" s="92"/>
      <c r="N736" s="86"/>
    </row>
    <row r="737" spans="5:14">
      <c r="E737" s="86"/>
      <c r="F737" s="87"/>
      <c r="G737" s="88"/>
      <c r="H737" s="89"/>
      <c r="I737" s="90"/>
      <c r="K737" s="91"/>
      <c r="L737" s="88"/>
      <c r="M737" s="92"/>
      <c r="N737" s="86"/>
    </row>
    <row r="738" spans="5:14">
      <c r="E738" s="86"/>
      <c r="F738" s="87"/>
      <c r="G738" s="88"/>
      <c r="H738" s="89"/>
      <c r="I738" s="90"/>
      <c r="K738" s="91"/>
      <c r="L738" s="88"/>
      <c r="M738" s="92"/>
      <c r="N738" s="86"/>
    </row>
    <row r="739" spans="5:14">
      <c r="E739" s="86"/>
      <c r="F739" s="87"/>
      <c r="G739" s="88"/>
      <c r="H739" s="89"/>
      <c r="I739" s="90"/>
      <c r="K739" s="91"/>
      <c r="L739" s="88"/>
      <c r="M739" s="92"/>
      <c r="N739" s="86"/>
    </row>
    <row r="740" spans="5:14">
      <c r="E740" s="86"/>
      <c r="F740" s="87"/>
      <c r="G740" s="88"/>
      <c r="H740" s="89"/>
      <c r="I740" s="90"/>
      <c r="K740" s="91"/>
      <c r="L740" s="88"/>
      <c r="M740" s="92"/>
      <c r="N740" s="86"/>
    </row>
    <row r="741" spans="5:14">
      <c r="E741" s="86"/>
      <c r="F741" s="87"/>
      <c r="G741" s="88"/>
      <c r="H741" s="89"/>
      <c r="I741" s="90"/>
      <c r="K741" s="91"/>
      <c r="L741" s="88"/>
      <c r="M741" s="92"/>
      <c r="N741" s="86"/>
    </row>
    <row r="742" spans="5:14">
      <c r="E742" s="86"/>
      <c r="F742" s="87"/>
      <c r="G742" s="88"/>
      <c r="H742" s="89"/>
      <c r="I742" s="90"/>
      <c r="K742" s="91"/>
      <c r="L742" s="88"/>
      <c r="M742" s="92"/>
      <c r="N742" s="86"/>
    </row>
    <row r="743" spans="5:14">
      <c r="E743" s="86"/>
      <c r="F743" s="87"/>
      <c r="G743" s="88"/>
      <c r="H743" s="89"/>
      <c r="I743" s="90"/>
      <c r="K743" s="91"/>
      <c r="L743" s="88"/>
      <c r="M743" s="92"/>
      <c r="N743" s="86"/>
    </row>
    <row r="744" spans="5:14">
      <c r="E744" s="86"/>
      <c r="F744" s="87"/>
      <c r="G744" s="88"/>
      <c r="H744" s="89"/>
      <c r="I744" s="90"/>
      <c r="K744" s="91"/>
      <c r="L744" s="88"/>
      <c r="M744" s="92"/>
      <c r="N744" s="86"/>
    </row>
    <row r="745" spans="5:14">
      <c r="E745" s="86"/>
      <c r="F745" s="87"/>
      <c r="G745" s="88"/>
      <c r="H745" s="89"/>
      <c r="I745" s="90"/>
      <c r="K745" s="91"/>
      <c r="L745" s="88"/>
      <c r="M745" s="92"/>
      <c r="N745" s="86"/>
    </row>
    <row r="746" spans="5:14">
      <c r="E746" s="86"/>
      <c r="F746" s="87"/>
      <c r="G746" s="88"/>
      <c r="H746" s="89"/>
      <c r="I746" s="90"/>
      <c r="K746" s="91"/>
      <c r="L746" s="88"/>
      <c r="M746" s="92"/>
      <c r="N746" s="86"/>
    </row>
    <row r="747" spans="5:14">
      <c r="E747" s="86"/>
      <c r="F747" s="87"/>
      <c r="G747" s="88"/>
      <c r="H747" s="89"/>
      <c r="I747" s="90"/>
      <c r="K747" s="91"/>
      <c r="L747" s="88"/>
      <c r="M747" s="92"/>
      <c r="N747" s="86"/>
    </row>
    <row r="748" spans="5:14">
      <c r="E748" s="86"/>
      <c r="F748" s="87"/>
      <c r="G748" s="88"/>
      <c r="H748" s="89"/>
      <c r="I748" s="90"/>
      <c r="K748" s="91"/>
      <c r="L748" s="88"/>
      <c r="M748" s="92"/>
      <c r="N748" s="86"/>
    </row>
    <row r="749" spans="5:14">
      <c r="E749" s="86"/>
      <c r="F749" s="87"/>
      <c r="G749" s="88"/>
      <c r="H749" s="89"/>
      <c r="I749" s="90"/>
      <c r="K749" s="91"/>
      <c r="L749" s="88"/>
      <c r="M749" s="92"/>
      <c r="N749" s="86"/>
    </row>
    <row r="750" spans="5:14">
      <c r="E750" s="86"/>
      <c r="F750" s="87"/>
      <c r="G750" s="88"/>
      <c r="H750" s="89"/>
      <c r="I750" s="90"/>
      <c r="K750" s="91"/>
      <c r="L750" s="88"/>
      <c r="M750" s="92"/>
      <c r="N750" s="86"/>
    </row>
    <row r="751" spans="5:14">
      <c r="E751" s="86"/>
      <c r="F751" s="87"/>
      <c r="G751" s="88"/>
      <c r="H751" s="89"/>
      <c r="I751" s="90"/>
      <c r="K751" s="91"/>
      <c r="L751" s="88"/>
      <c r="M751" s="92"/>
      <c r="N751" s="86"/>
    </row>
    <row r="752" spans="5:14">
      <c r="E752" s="86"/>
      <c r="F752" s="87"/>
      <c r="G752" s="88"/>
      <c r="H752" s="89"/>
      <c r="I752" s="90"/>
      <c r="K752" s="91"/>
      <c r="L752" s="88"/>
      <c r="M752" s="92"/>
      <c r="N752" s="86"/>
    </row>
    <row r="753" spans="5:14">
      <c r="E753" s="86"/>
      <c r="F753" s="87"/>
      <c r="G753" s="88"/>
      <c r="H753" s="89"/>
      <c r="I753" s="90"/>
      <c r="K753" s="91"/>
      <c r="L753" s="88"/>
      <c r="M753" s="92"/>
      <c r="N753" s="86"/>
    </row>
    <row r="754" spans="5:14">
      <c r="E754" s="86"/>
      <c r="F754" s="87"/>
      <c r="G754" s="88"/>
      <c r="H754" s="89"/>
      <c r="I754" s="90"/>
      <c r="K754" s="91"/>
      <c r="L754" s="88"/>
      <c r="M754" s="92"/>
      <c r="N754" s="86"/>
    </row>
    <row r="755" spans="5:14">
      <c r="E755" s="86"/>
      <c r="F755" s="87"/>
      <c r="G755" s="88"/>
      <c r="H755" s="89"/>
      <c r="I755" s="90"/>
      <c r="K755" s="91"/>
      <c r="L755" s="88"/>
      <c r="M755" s="92"/>
      <c r="N755" s="86"/>
    </row>
    <row r="756" spans="5:14">
      <c r="E756" s="86"/>
      <c r="F756" s="87"/>
      <c r="G756" s="88"/>
      <c r="H756" s="89"/>
      <c r="I756" s="90"/>
      <c r="K756" s="91"/>
      <c r="L756" s="88"/>
      <c r="M756" s="92"/>
      <c r="N756" s="86"/>
    </row>
    <row r="757" spans="5:14">
      <c r="E757" s="86"/>
      <c r="F757" s="87"/>
      <c r="G757" s="88"/>
      <c r="H757" s="89"/>
      <c r="I757" s="90"/>
      <c r="K757" s="91"/>
      <c r="L757" s="88"/>
      <c r="M757" s="92"/>
      <c r="N757" s="86"/>
    </row>
    <row r="758" spans="5:14">
      <c r="E758" s="86"/>
      <c r="F758" s="87"/>
      <c r="G758" s="88"/>
      <c r="H758" s="89"/>
      <c r="I758" s="90"/>
      <c r="K758" s="91"/>
      <c r="L758" s="88"/>
      <c r="M758" s="92"/>
      <c r="N758" s="86"/>
    </row>
    <row r="759" spans="5:14">
      <c r="E759" s="86"/>
      <c r="F759" s="87"/>
      <c r="G759" s="88"/>
      <c r="H759" s="89"/>
      <c r="I759" s="90"/>
      <c r="K759" s="91"/>
      <c r="L759" s="88"/>
      <c r="M759" s="92"/>
      <c r="N759" s="86"/>
    </row>
    <row r="760" spans="5:14">
      <c r="E760" s="86"/>
      <c r="F760" s="87"/>
      <c r="G760" s="88"/>
      <c r="H760" s="89"/>
      <c r="I760" s="90"/>
      <c r="K760" s="91"/>
      <c r="L760" s="88"/>
      <c r="M760" s="92"/>
      <c r="N760" s="86"/>
    </row>
    <row r="761" spans="5:14">
      <c r="E761" s="86"/>
      <c r="F761" s="87"/>
      <c r="G761" s="88"/>
      <c r="H761" s="89"/>
      <c r="I761" s="90"/>
      <c r="K761" s="91"/>
      <c r="L761" s="88"/>
      <c r="M761" s="92"/>
      <c r="N761" s="86"/>
    </row>
    <row r="762" spans="5:14">
      <c r="E762" s="86"/>
      <c r="F762" s="87"/>
      <c r="G762" s="88"/>
      <c r="H762" s="89"/>
      <c r="I762" s="90"/>
      <c r="K762" s="91"/>
      <c r="L762" s="88"/>
      <c r="M762" s="92"/>
      <c r="N762" s="86"/>
    </row>
    <row r="763" spans="5:14">
      <c r="E763" s="86"/>
      <c r="F763" s="87"/>
      <c r="G763" s="88"/>
      <c r="H763" s="89"/>
      <c r="I763" s="90"/>
      <c r="K763" s="91"/>
      <c r="L763" s="88"/>
      <c r="M763" s="92"/>
      <c r="N763" s="86"/>
    </row>
    <row r="764" spans="5:14">
      <c r="E764" s="86"/>
      <c r="F764" s="87"/>
      <c r="G764" s="88"/>
      <c r="H764" s="89"/>
      <c r="I764" s="90"/>
      <c r="K764" s="91"/>
      <c r="L764" s="88"/>
      <c r="M764" s="92"/>
      <c r="N764" s="86"/>
    </row>
    <row r="765" spans="5:14">
      <c r="E765" s="86"/>
      <c r="F765" s="87"/>
      <c r="G765" s="88"/>
      <c r="H765" s="89"/>
      <c r="I765" s="90"/>
      <c r="K765" s="91"/>
      <c r="L765" s="88"/>
      <c r="M765" s="92"/>
      <c r="N765" s="86"/>
    </row>
    <row r="766" spans="5:14">
      <c r="E766" s="86"/>
      <c r="F766" s="87"/>
      <c r="G766" s="88"/>
      <c r="H766" s="89"/>
      <c r="I766" s="90"/>
      <c r="K766" s="91"/>
      <c r="L766" s="88"/>
      <c r="M766" s="92"/>
      <c r="N766" s="86"/>
    </row>
    <row r="767" spans="5:14">
      <c r="E767" s="86"/>
      <c r="F767" s="87"/>
      <c r="G767" s="88"/>
      <c r="H767" s="89"/>
      <c r="I767" s="90"/>
      <c r="K767" s="91"/>
      <c r="L767" s="88"/>
      <c r="M767" s="92"/>
      <c r="N767" s="86"/>
    </row>
    <row r="768" spans="5:14">
      <c r="E768" s="86"/>
      <c r="F768" s="87"/>
      <c r="G768" s="88"/>
      <c r="H768" s="89"/>
      <c r="I768" s="90"/>
      <c r="K768" s="91"/>
      <c r="L768" s="88"/>
      <c r="M768" s="92"/>
      <c r="N768" s="86"/>
    </row>
    <row r="769" spans="5:14">
      <c r="E769" s="86"/>
      <c r="F769" s="87"/>
      <c r="G769" s="88"/>
      <c r="H769" s="89"/>
      <c r="I769" s="90"/>
      <c r="K769" s="91"/>
      <c r="L769" s="88"/>
      <c r="M769" s="92"/>
      <c r="N769" s="86"/>
    </row>
    <row r="770" spans="5:14">
      <c r="E770" s="86"/>
      <c r="F770" s="87"/>
      <c r="G770" s="88"/>
      <c r="H770" s="89"/>
      <c r="I770" s="90"/>
      <c r="K770" s="91"/>
      <c r="L770" s="88"/>
      <c r="M770" s="92"/>
      <c r="N770" s="86"/>
    </row>
    <row r="771" spans="5:14">
      <c r="E771" s="86"/>
      <c r="F771" s="87"/>
      <c r="G771" s="88"/>
      <c r="H771" s="89"/>
      <c r="I771" s="90"/>
      <c r="K771" s="91"/>
      <c r="L771" s="88"/>
      <c r="M771" s="92"/>
      <c r="N771" s="86"/>
    </row>
    <row r="772" spans="5:14">
      <c r="E772" s="86"/>
      <c r="F772" s="87"/>
      <c r="G772" s="88"/>
      <c r="H772" s="89"/>
      <c r="I772" s="90"/>
      <c r="K772" s="91"/>
      <c r="L772" s="88"/>
      <c r="M772" s="92"/>
      <c r="N772" s="86"/>
    </row>
    <row r="773" spans="5:14">
      <c r="E773" s="86"/>
      <c r="F773" s="87"/>
      <c r="G773" s="88"/>
      <c r="H773" s="89"/>
      <c r="I773" s="90"/>
      <c r="K773" s="91"/>
      <c r="L773" s="88"/>
      <c r="M773" s="92"/>
      <c r="N773" s="86"/>
    </row>
    <row r="774" spans="5:14">
      <c r="E774" s="86"/>
      <c r="F774" s="87"/>
      <c r="G774" s="88"/>
      <c r="H774" s="89"/>
      <c r="I774" s="90"/>
      <c r="K774" s="91"/>
      <c r="L774" s="88"/>
      <c r="M774" s="92"/>
      <c r="N774" s="86"/>
    </row>
    <row r="775" spans="5:14">
      <c r="E775" s="86"/>
      <c r="F775" s="87"/>
      <c r="G775" s="88"/>
      <c r="H775" s="89"/>
      <c r="I775" s="90"/>
      <c r="K775" s="91"/>
      <c r="L775" s="88"/>
      <c r="M775" s="92"/>
      <c r="N775" s="86"/>
    </row>
    <row r="776" spans="5:14">
      <c r="E776" s="86"/>
      <c r="F776" s="87"/>
      <c r="G776" s="88"/>
      <c r="H776" s="89"/>
      <c r="I776" s="90"/>
      <c r="K776" s="91"/>
      <c r="L776" s="88"/>
      <c r="M776" s="92"/>
      <c r="N776" s="86"/>
    </row>
    <row r="777" spans="5:14">
      <c r="E777" s="86"/>
      <c r="F777" s="87"/>
      <c r="G777" s="88"/>
      <c r="H777" s="89"/>
      <c r="I777" s="90"/>
      <c r="K777" s="91"/>
      <c r="L777" s="88"/>
      <c r="M777" s="92"/>
      <c r="N777" s="86"/>
    </row>
    <row r="778" spans="5:14">
      <c r="E778" s="86"/>
      <c r="F778" s="87"/>
      <c r="G778" s="88"/>
      <c r="H778" s="89"/>
      <c r="I778" s="90"/>
      <c r="K778" s="91"/>
      <c r="L778" s="88"/>
      <c r="M778" s="92"/>
      <c r="N778" s="86"/>
    </row>
    <row r="779" spans="5:14">
      <c r="E779" s="86"/>
      <c r="F779" s="87"/>
      <c r="G779" s="88"/>
      <c r="H779" s="89"/>
      <c r="I779" s="90"/>
      <c r="K779" s="91"/>
      <c r="L779" s="88"/>
      <c r="M779" s="92"/>
      <c r="N779" s="86"/>
    </row>
    <row r="780" spans="5:14">
      <c r="E780" s="86"/>
      <c r="F780" s="87"/>
      <c r="G780" s="88"/>
      <c r="H780" s="89"/>
      <c r="I780" s="90"/>
      <c r="K780" s="91"/>
      <c r="L780" s="88"/>
      <c r="M780" s="92"/>
      <c r="N780" s="86"/>
    </row>
    <row r="781" spans="5:14">
      <c r="E781" s="86"/>
      <c r="F781" s="87"/>
      <c r="G781" s="88"/>
      <c r="H781" s="89"/>
      <c r="I781" s="90"/>
      <c r="K781" s="91"/>
      <c r="L781" s="88"/>
      <c r="M781" s="92"/>
      <c r="N781" s="86"/>
    </row>
    <row r="782" spans="5:14">
      <c r="E782" s="86"/>
      <c r="F782" s="87"/>
      <c r="G782" s="88"/>
      <c r="H782" s="89"/>
      <c r="I782" s="90"/>
      <c r="K782" s="91"/>
      <c r="L782" s="88"/>
      <c r="M782" s="92"/>
      <c r="N782" s="86"/>
    </row>
    <row r="783" spans="5:14">
      <c r="E783" s="86"/>
      <c r="F783" s="87"/>
      <c r="G783" s="88"/>
      <c r="H783" s="89"/>
      <c r="I783" s="90"/>
      <c r="K783" s="91"/>
      <c r="L783" s="88"/>
      <c r="M783" s="92"/>
      <c r="N783" s="86"/>
    </row>
    <row r="784" spans="5:14">
      <c r="E784" s="86"/>
      <c r="F784" s="87"/>
      <c r="G784" s="88"/>
      <c r="H784" s="89"/>
      <c r="I784" s="90"/>
      <c r="K784" s="91"/>
      <c r="L784" s="88"/>
      <c r="M784" s="92"/>
      <c r="N784" s="86"/>
    </row>
    <row r="785" spans="5:14">
      <c r="E785" s="86"/>
      <c r="F785" s="87"/>
      <c r="G785" s="88"/>
      <c r="H785" s="89"/>
      <c r="I785" s="90"/>
      <c r="K785" s="91"/>
      <c r="L785" s="88"/>
      <c r="M785" s="92"/>
      <c r="N785" s="86"/>
    </row>
    <row r="786" spans="5:14">
      <c r="E786" s="86"/>
      <c r="F786" s="87"/>
      <c r="G786" s="88"/>
      <c r="H786" s="89"/>
      <c r="I786" s="90"/>
      <c r="K786" s="91"/>
      <c r="L786" s="88"/>
      <c r="M786" s="92"/>
      <c r="N786" s="86"/>
    </row>
    <row r="787" spans="5:14">
      <c r="E787" s="86"/>
      <c r="F787" s="87"/>
      <c r="G787" s="88"/>
      <c r="H787" s="89"/>
      <c r="I787" s="90"/>
      <c r="K787" s="91"/>
      <c r="L787" s="88"/>
      <c r="M787" s="92"/>
      <c r="N787" s="86"/>
    </row>
    <row r="788" spans="5:14">
      <c r="E788" s="86"/>
      <c r="F788" s="87"/>
      <c r="G788" s="88"/>
      <c r="H788" s="89"/>
      <c r="I788" s="90"/>
      <c r="K788" s="91"/>
      <c r="L788" s="88"/>
      <c r="M788" s="92"/>
      <c r="N788" s="86"/>
    </row>
    <row r="789" spans="5:14">
      <c r="E789" s="86"/>
      <c r="F789" s="87"/>
      <c r="G789" s="88"/>
      <c r="H789" s="89"/>
      <c r="I789" s="90"/>
      <c r="K789" s="91"/>
      <c r="L789" s="88"/>
      <c r="M789" s="92"/>
      <c r="N789" s="86"/>
    </row>
    <row r="790" spans="5:14">
      <c r="E790" s="86"/>
      <c r="F790" s="87"/>
      <c r="G790" s="88"/>
      <c r="H790" s="89"/>
      <c r="I790" s="90"/>
      <c r="K790" s="91"/>
      <c r="L790" s="88"/>
      <c r="M790" s="92"/>
      <c r="N790" s="86"/>
    </row>
    <row r="791" spans="5:14">
      <c r="E791" s="86"/>
      <c r="F791" s="87"/>
      <c r="G791" s="88"/>
      <c r="H791" s="89"/>
      <c r="I791" s="90"/>
      <c r="K791" s="91"/>
      <c r="L791" s="88"/>
      <c r="M791" s="92"/>
      <c r="N791" s="86"/>
    </row>
    <row r="792" spans="5:14">
      <c r="E792" s="86"/>
      <c r="F792" s="87"/>
      <c r="G792" s="88"/>
      <c r="H792" s="89"/>
      <c r="I792" s="90"/>
      <c r="K792" s="91"/>
      <c r="L792" s="88"/>
      <c r="M792" s="92"/>
      <c r="N792" s="86"/>
    </row>
    <row r="793" spans="5:14">
      <c r="E793" s="86"/>
      <c r="F793" s="87"/>
      <c r="G793" s="88"/>
      <c r="H793" s="89"/>
      <c r="I793" s="90"/>
      <c r="K793" s="91"/>
      <c r="L793" s="88"/>
      <c r="M793" s="92"/>
      <c r="N793" s="86"/>
    </row>
    <row r="794" spans="5:14">
      <c r="E794" s="86"/>
      <c r="F794" s="87"/>
      <c r="G794" s="88"/>
      <c r="H794" s="89"/>
      <c r="I794" s="90"/>
      <c r="K794" s="91"/>
      <c r="L794" s="88"/>
      <c r="M794" s="92"/>
      <c r="N794" s="86"/>
    </row>
    <row r="795" spans="5:14">
      <c r="E795" s="86"/>
      <c r="F795" s="87"/>
      <c r="G795" s="88"/>
      <c r="H795" s="89"/>
      <c r="I795" s="90"/>
      <c r="K795" s="91"/>
      <c r="L795" s="88"/>
      <c r="M795" s="92"/>
      <c r="N795" s="86"/>
    </row>
    <row r="796" spans="5:14">
      <c r="E796" s="86"/>
      <c r="F796" s="87"/>
      <c r="G796" s="88"/>
      <c r="H796" s="89"/>
      <c r="I796" s="90"/>
      <c r="K796" s="91"/>
      <c r="L796" s="88"/>
      <c r="M796" s="92"/>
      <c r="N796" s="86"/>
    </row>
    <row r="797" spans="5:14">
      <c r="E797" s="86"/>
      <c r="F797" s="87"/>
      <c r="G797" s="88"/>
      <c r="H797" s="89"/>
      <c r="I797" s="90"/>
      <c r="K797" s="91"/>
      <c r="L797" s="88"/>
      <c r="M797" s="92"/>
      <c r="N797" s="86"/>
    </row>
    <row r="798" spans="5:14">
      <c r="E798" s="86"/>
      <c r="F798" s="87"/>
      <c r="G798" s="88"/>
      <c r="H798" s="89"/>
      <c r="I798" s="90"/>
      <c r="K798" s="91"/>
      <c r="L798" s="88"/>
      <c r="M798" s="92"/>
      <c r="N798" s="86"/>
    </row>
    <row r="799" spans="5:14">
      <c r="E799" s="86"/>
      <c r="F799" s="87"/>
      <c r="G799" s="88"/>
      <c r="H799" s="89"/>
      <c r="I799" s="90"/>
      <c r="K799" s="91"/>
      <c r="L799" s="88"/>
      <c r="M799" s="92"/>
      <c r="N799" s="86"/>
    </row>
    <row r="800" spans="5:14">
      <c r="E800" s="86"/>
      <c r="F800" s="87"/>
      <c r="G800" s="88"/>
      <c r="H800" s="89"/>
      <c r="I800" s="90"/>
      <c r="K800" s="91"/>
      <c r="L800" s="88"/>
      <c r="M800" s="92"/>
      <c r="N800" s="86"/>
    </row>
    <row r="801" spans="5:14">
      <c r="E801" s="86"/>
      <c r="F801" s="87"/>
      <c r="G801" s="88"/>
      <c r="H801" s="89"/>
      <c r="I801" s="90"/>
      <c r="K801" s="91"/>
      <c r="L801" s="88"/>
      <c r="M801" s="92"/>
      <c r="N801" s="86"/>
    </row>
    <row r="802" spans="5:14">
      <c r="E802" s="86"/>
      <c r="F802" s="87"/>
      <c r="G802" s="88"/>
      <c r="H802" s="89"/>
      <c r="I802" s="90"/>
      <c r="K802" s="91"/>
      <c r="L802" s="88"/>
      <c r="M802" s="92"/>
      <c r="N802" s="86"/>
    </row>
    <row r="803" spans="5:14">
      <c r="E803" s="86"/>
      <c r="F803" s="87"/>
      <c r="G803" s="88"/>
      <c r="H803" s="89"/>
      <c r="I803" s="90"/>
      <c r="K803" s="91"/>
      <c r="L803" s="88"/>
      <c r="M803" s="92"/>
      <c r="N803" s="86"/>
    </row>
    <row r="804" spans="5:14">
      <c r="E804" s="86"/>
      <c r="F804" s="87"/>
      <c r="G804" s="88"/>
      <c r="H804" s="89"/>
      <c r="I804" s="90"/>
      <c r="K804" s="91"/>
      <c r="L804" s="88"/>
      <c r="M804" s="92"/>
      <c r="N804" s="86"/>
    </row>
    <row r="805" spans="5:14">
      <c r="E805" s="86"/>
      <c r="F805" s="87"/>
      <c r="G805" s="88"/>
      <c r="H805" s="89"/>
      <c r="I805" s="90"/>
      <c r="K805" s="91"/>
      <c r="L805" s="88"/>
      <c r="M805" s="92"/>
      <c r="N805" s="86"/>
    </row>
    <row r="806" spans="5:14">
      <c r="E806" s="86"/>
      <c r="F806" s="87"/>
      <c r="G806" s="88"/>
      <c r="H806" s="89"/>
      <c r="I806" s="90"/>
      <c r="K806" s="91"/>
      <c r="L806" s="88"/>
      <c r="M806" s="92"/>
      <c r="N806" s="86"/>
    </row>
    <row r="807" spans="5:14">
      <c r="E807" s="86"/>
      <c r="F807" s="87"/>
      <c r="G807" s="88"/>
      <c r="H807" s="89"/>
      <c r="I807" s="90"/>
      <c r="K807" s="91"/>
      <c r="L807" s="88"/>
      <c r="M807" s="92"/>
      <c r="N807" s="86"/>
    </row>
    <row r="808" spans="5:14">
      <c r="E808" s="86"/>
      <c r="F808" s="87"/>
      <c r="G808" s="88"/>
      <c r="H808" s="89"/>
      <c r="I808" s="90"/>
      <c r="K808" s="91"/>
      <c r="L808" s="88"/>
      <c r="M808" s="92"/>
      <c r="N808" s="86"/>
    </row>
    <row r="809" spans="5:14">
      <c r="E809" s="86"/>
      <c r="F809" s="87"/>
      <c r="G809" s="88"/>
      <c r="H809" s="89"/>
      <c r="I809" s="90"/>
      <c r="K809" s="91"/>
      <c r="L809" s="88"/>
      <c r="M809" s="92"/>
      <c r="N809" s="86"/>
    </row>
    <row r="810" spans="5:14">
      <c r="E810" s="86"/>
      <c r="F810" s="87"/>
      <c r="G810" s="88"/>
      <c r="H810" s="89"/>
      <c r="I810" s="90"/>
      <c r="K810" s="91"/>
      <c r="L810" s="88"/>
      <c r="M810" s="92"/>
      <c r="N810" s="86"/>
    </row>
    <row r="811" spans="5:14">
      <c r="E811" s="86"/>
      <c r="F811" s="87"/>
      <c r="G811" s="88"/>
      <c r="H811" s="89"/>
      <c r="I811" s="90"/>
      <c r="K811" s="91"/>
      <c r="L811" s="88"/>
      <c r="M811" s="92"/>
      <c r="N811" s="86"/>
    </row>
    <row r="812" spans="5:14">
      <c r="E812" s="86"/>
      <c r="F812" s="87"/>
      <c r="G812" s="88"/>
      <c r="H812" s="89"/>
      <c r="I812" s="90"/>
      <c r="K812" s="91"/>
      <c r="L812" s="88"/>
      <c r="M812" s="92"/>
      <c r="N812" s="86"/>
    </row>
    <row r="813" spans="5:14">
      <c r="E813" s="86"/>
      <c r="F813" s="87"/>
      <c r="G813" s="88"/>
      <c r="H813" s="89"/>
      <c r="I813" s="90"/>
      <c r="K813" s="91"/>
      <c r="L813" s="88"/>
      <c r="M813" s="92"/>
      <c r="N813" s="86"/>
    </row>
    <row r="814" spans="5:14">
      <c r="E814" s="86"/>
      <c r="F814" s="87"/>
      <c r="G814" s="88"/>
      <c r="H814" s="89"/>
      <c r="I814" s="90"/>
      <c r="K814" s="91"/>
      <c r="L814" s="88"/>
      <c r="M814" s="92"/>
      <c r="N814" s="86"/>
    </row>
    <row r="815" spans="5:14">
      <c r="E815" s="86"/>
      <c r="F815" s="87"/>
      <c r="G815" s="88"/>
      <c r="H815" s="89"/>
      <c r="I815" s="90"/>
      <c r="K815" s="91"/>
      <c r="L815" s="88"/>
      <c r="M815" s="92"/>
      <c r="N815" s="86"/>
    </row>
    <row r="816" spans="5:14">
      <c r="E816" s="86"/>
      <c r="F816" s="87"/>
      <c r="G816" s="88"/>
      <c r="H816" s="89"/>
      <c r="I816" s="90"/>
      <c r="K816" s="91"/>
      <c r="L816" s="88"/>
      <c r="M816" s="92"/>
      <c r="N816" s="86"/>
    </row>
    <row r="817" spans="5:14">
      <c r="E817" s="86"/>
      <c r="F817" s="87"/>
      <c r="G817" s="88"/>
      <c r="H817" s="89"/>
      <c r="I817" s="90"/>
      <c r="K817" s="91"/>
      <c r="L817" s="88"/>
      <c r="M817" s="92"/>
      <c r="N817" s="86"/>
    </row>
    <row r="818" spans="5:14">
      <c r="E818" s="86"/>
      <c r="F818" s="87"/>
      <c r="G818" s="88"/>
      <c r="H818" s="89"/>
      <c r="I818" s="90"/>
      <c r="K818" s="91"/>
      <c r="L818" s="88"/>
      <c r="M818" s="92"/>
      <c r="N818" s="86"/>
    </row>
    <row r="819" spans="5:14">
      <c r="E819" s="86"/>
      <c r="F819" s="87"/>
      <c r="G819" s="88"/>
      <c r="H819" s="89"/>
      <c r="I819" s="90"/>
      <c r="K819" s="91"/>
      <c r="L819" s="88"/>
      <c r="M819" s="92"/>
      <c r="N819" s="86"/>
    </row>
    <row r="820" spans="5:14">
      <c r="E820" s="86"/>
      <c r="F820" s="87"/>
      <c r="G820" s="88"/>
      <c r="H820" s="89"/>
      <c r="I820" s="90"/>
      <c r="K820" s="91"/>
      <c r="L820" s="88"/>
      <c r="M820" s="92"/>
      <c r="N820" s="86"/>
    </row>
    <row r="821" spans="5:14">
      <c r="E821" s="86"/>
      <c r="F821" s="87"/>
      <c r="G821" s="88"/>
      <c r="H821" s="89"/>
      <c r="I821" s="90"/>
      <c r="K821" s="91"/>
      <c r="L821" s="88"/>
      <c r="M821" s="92"/>
      <c r="N821" s="86"/>
    </row>
    <row r="822" spans="5:14">
      <c r="E822" s="86"/>
      <c r="F822" s="87"/>
      <c r="G822" s="88"/>
      <c r="H822" s="89"/>
      <c r="I822" s="90"/>
      <c r="K822" s="91"/>
      <c r="L822" s="88"/>
      <c r="M822" s="92"/>
      <c r="N822" s="86"/>
    </row>
    <row r="823" spans="5:14">
      <c r="E823" s="86"/>
      <c r="F823" s="87"/>
      <c r="G823" s="88"/>
      <c r="H823" s="89"/>
      <c r="I823" s="90"/>
      <c r="K823" s="91"/>
      <c r="L823" s="88"/>
      <c r="M823" s="92"/>
      <c r="N823" s="86"/>
    </row>
    <row r="824" spans="5:14">
      <c r="E824" s="86"/>
      <c r="F824" s="87"/>
      <c r="G824" s="88"/>
      <c r="H824" s="89"/>
      <c r="I824" s="90"/>
      <c r="K824" s="91"/>
      <c r="L824" s="88"/>
      <c r="M824" s="92"/>
      <c r="N824" s="86"/>
    </row>
    <row r="825" spans="5:14">
      <c r="E825" s="86"/>
      <c r="F825" s="87"/>
      <c r="G825" s="88"/>
      <c r="H825" s="89"/>
      <c r="I825" s="90"/>
      <c r="K825" s="91"/>
      <c r="L825" s="88"/>
      <c r="M825" s="92"/>
      <c r="N825" s="86"/>
    </row>
    <row r="826" spans="5:14">
      <c r="E826" s="86"/>
      <c r="F826" s="87"/>
      <c r="G826" s="88"/>
      <c r="H826" s="89"/>
      <c r="I826" s="90"/>
      <c r="K826" s="91"/>
      <c r="L826" s="88"/>
      <c r="M826" s="92"/>
      <c r="N826" s="86"/>
    </row>
    <row r="827" spans="5:14">
      <c r="E827" s="86"/>
      <c r="F827" s="87"/>
      <c r="G827" s="88"/>
      <c r="H827" s="89"/>
      <c r="I827" s="90"/>
      <c r="K827" s="91"/>
      <c r="L827" s="88"/>
      <c r="M827" s="92"/>
      <c r="N827" s="86"/>
    </row>
    <row r="828" spans="5:14">
      <c r="E828" s="86"/>
      <c r="F828" s="87"/>
      <c r="G828" s="88"/>
      <c r="H828" s="89"/>
      <c r="I828" s="90"/>
      <c r="K828" s="91"/>
      <c r="L828" s="88"/>
      <c r="M828" s="92"/>
      <c r="N828" s="86"/>
    </row>
    <row r="829" spans="5:14">
      <c r="E829" s="86"/>
      <c r="F829" s="87"/>
      <c r="G829" s="88"/>
      <c r="H829" s="89"/>
      <c r="I829" s="90"/>
      <c r="K829" s="91"/>
      <c r="L829" s="88"/>
      <c r="M829" s="92"/>
      <c r="N829" s="86"/>
    </row>
    <row r="830" spans="5:14">
      <c r="E830" s="86"/>
      <c r="F830" s="87"/>
      <c r="G830" s="88"/>
      <c r="H830" s="89"/>
      <c r="I830" s="90"/>
      <c r="K830" s="91"/>
      <c r="L830" s="88"/>
      <c r="M830" s="92"/>
      <c r="N830" s="86"/>
    </row>
    <row r="831" spans="5:14">
      <c r="E831" s="86"/>
      <c r="F831" s="87"/>
      <c r="G831" s="88"/>
      <c r="H831" s="89"/>
      <c r="I831" s="90"/>
      <c r="K831" s="91"/>
      <c r="L831" s="88"/>
      <c r="M831" s="92"/>
      <c r="N831" s="86"/>
    </row>
    <row r="832" spans="5:14">
      <c r="E832" s="86"/>
      <c r="F832" s="87"/>
      <c r="G832" s="88"/>
      <c r="H832" s="89"/>
      <c r="I832" s="90"/>
      <c r="K832" s="91"/>
      <c r="L832" s="88"/>
      <c r="M832" s="92"/>
      <c r="N832" s="86"/>
    </row>
    <row r="833" spans="5:14">
      <c r="E833" s="86"/>
      <c r="F833" s="87"/>
      <c r="G833" s="88"/>
      <c r="H833" s="89"/>
      <c r="I833" s="90"/>
      <c r="K833" s="91"/>
      <c r="L833" s="88"/>
      <c r="M833" s="92"/>
      <c r="N833" s="86"/>
    </row>
    <row r="834" spans="5:14">
      <c r="E834" s="86"/>
      <c r="F834" s="87"/>
      <c r="G834" s="88"/>
      <c r="H834" s="89"/>
      <c r="I834" s="90"/>
      <c r="K834" s="91"/>
      <c r="L834" s="88"/>
      <c r="M834" s="92"/>
      <c r="N834" s="86"/>
    </row>
    <row r="835" spans="5:14">
      <c r="E835" s="86"/>
      <c r="F835" s="87"/>
      <c r="G835" s="88"/>
      <c r="H835" s="89"/>
      <c r="I835" s="90"/>
      <c r="K835" s="91"/>
      <c r="L835" s="88"/>
      <c r="M835" s="92"/>
      <c r="N835" s="86"/>
    </row>
    <row r="836" spans="5:14">
      <c r="E836" s="86"/>
      <c r="F836" s="87"/>
      <c r="G836" s="88"/>
      <c r="H836" s="89"/>
      <c r="I836" s="90"/>
      <c r="K836" s="91"/>
      <c r="L836" s="88"/>
      <c r="M836" s="92"/>
      <c r="N836" s="86"/>
    </row>
    <row r="837" spans="5:14">
      <c r="E837" s="86"/>
      <c r="F837" s="87"/>
      <c r="G837" s="88"/>
      <c r="H837" s="89"/>
      <c r="I837" s="90"/>
      <c r="K837" s="91"/>
      <c r="L837" s="88"/>
      <c r="M837" s="92"/>
      <c r="N837" s="86"/>
    </row>
    <row r="838" spans="5:14">
      <c r="E838" s="86"/>
      <c r="F838" s="87"/>
      <c r="G838" s="88"/>
      <c r="H838" s="89"/>
      <c r="I838" s="90"/>
      <c r="K838" s="91"/>
      <c r="L838" s="88"/>
      <c r="M838" s="92"/>
      <c r="N838" s="86"/>
    </row>
    <row r="839" spans="5:14">
      <c r="E839" s="86"/>
      <c r="F839" s="87"/>
      <c r="G839" s="88"/>
      <c r="H839" s="89"/>
      <c r="I839" s="90"/>
      <c r="K839" s="91"/>
      <c r="L839" s="88"/>
      <c r="M839" s="92"/>
      <c r="N839" s="86"/>
    </row>
    <row r="840" spans="5:14">
      <c r="E840" s="86"/>
      <c r="F840" s="87"/>
      <c r="G840" s="88"/>
      <c r="H840" s="89"/>
      <c r="I840" s="90"/>
      <c r="K840" s="91"/>
      <c r="L840" s="88"/>
      <c r="M840" s="92"/>
      <c r="N840" s="86"/>
    </row>
    <row r="841" spans="5:14">
      <c r="E841" s="86"/>
      <c r="F841" s="87"/>
      <c r="G841" s="88"/>
      <c r="H841" s="89"/>
      <c r="I841" s="90"/>
      <c r="K841" s="91"/>
      <c r="L841" s="88"/>
      <c r="M841" s="92"/>
      <c r="N841" s="86"/>
    </row>
    <row r="842" spans="5:14">
      <c r="E842" s="86"/>
      <c r="F842" s="87"/>
      <c r="G842" s="88"/>
      <c r="H842" s="89"/>
      <c r="I842" s="90"/>
      <c r="K842" s="91"/>
      <c r="L842" s="88"/>
      <c r="M842" s="92"/>
      <c r="N842" s="86"/>
    </row>
    <row r="843" spans="5:14">
      <c r="E843" s="86"/>
      <c r="F843" s="87"/>
      <c r="G843" s="88"/>
      <c r="H843" s="89"/>
      <c r="I843" s="90"/>
      <c r="K843" s="91"/>
      <c r="L843" s="88"/>
      <c r="M843" s="92"/>
      <c r="N843" s="86"/>
    </row>
    <row r="844" spans="5:14">
      <c r="E844" s="86"/>
      <c r="F844" s="87"/>
      <c r="G844" s="88"/>
      <c r="H844" s="89"/>
      <c r="I844" s="90"/>
      <c r="K844" s="91"/>
      <c r="L844" s="88"/>
      <c r="M844" s="92"/>
      <c r="N844" s="86"/>
    </row>
    <row r="845" spans="5:14">
      <c r="E845" s="86"/>
      <c r="F845" s="87"/>
      <c r="G845" s="88"/>
      <c r="H845" s="89"/>
      <c r="I845" s="90"/>
      <c r="K845" s="91"/>
      <c r="L845" s="88"/>
      <c r="M845" s="92"/>
      <c r="N845" s="86"/>
    </row>
    <row r="846" spans="5:14">
      <c r="E846" s="86"/>
      <c r="F846" s="87"/>
      <c r="G846" s="88"/>
      <c r="H846" s="89"/>
      <c r="I846" s="90"/>
      <c r="K846" s="91"/>
      <c r="L846" s="88"/>
      <c r="M846" s="92"/>
      <c r="N846" s="86"/>
    </row>
    <row r="847" spans="5:14">
      <c r="E847" s="86"/>
      <c r="F847" s="87"/>
      <c r="G847" s="88"/>
      <c r="H847" s="89"/>
      <c r="I847" s="90"/>
      <c r="K847" s="91"/>
      <c r="L847" s="88"/>
      <c r="M847" s="92"/>
      <c r="N847" s="86"/>
    </row>
    <row r="848" spans="5:14">
      <c r="E848" s="86"/>
      <c r="F848" s="87"/>
      <c r="G848" s="88"/>
      <c r="H848" s="89"/>
      <c r="I848" s="90"/>
      <c r="K848" s="91"/>
      <c r="L848" s="88"/>
      <c r="M848" s="92"/>
      <c r="N848" s="86"/>
    </row>
    <row r="849" spans="5:14">
      <c r="E849" s="86"/>
      <c r="F849" s="87"/>
      <c r="G849" s="88"/>
      <c r="H849" s="89"/>
      <c r="I849" s="90"/>
      <c r="K849" s="91"/>
      <c r="L849" s="88"/>
      <c r="M849" s="92"/>
      <c r="N849" s="86"/>
    </row>
    <row r="850" spans="5:14">
      <c r="E850" s="86"/>
      <c r="F850" s="87"/>
      <c r="G850" s="88"/>
      <c r="H850" s="89"/>
      <c r="I850" s="90"/>
      <c r="K850" s="91"/>
      <c r="L850" s="88"/>
      <c r="M850" s="92"/>
      <c r="N850" s="86"/>
    </row>
    <row r="851" spans="5:14">
      <c r="E851" s="86"/>
      <c r="F851" s="87"/>
      <c r="G851" s="88"/>
      <c r="H851" s="89"/>
      <c r="I851" s="90"/>
      <c r="K851" s="91"/>
      <c r="L851" s="88"/>
      <c r="M851" s="92"/>
      <c r="N851" s="86"/>
    </row>
    <row r="852" spans="5:14">
      <c r="E852" s="86"/>
      <c r="F852" s="87"/>
      <c r="G852" s="88"/>
      <c r="H852" s="89"/>
      <c r="I852" s="90"/>
      <c r="K852" s="91"/>
      <c r="L852" s="88"/>
      <c r="M852" s="92"/>
      <c r="N852" s="86"/>
    </row>
    <row r="853" spans="5:14">
      <c r="E853" s="86"/>
      <c r="F853" s="87"/>
      <c r="G853" s="88"/>
      <c r="H853" s="89"/>
      <c r="I853" s="90"/>
      <c r="K853" s="91"/>
      <c r="L853" s="88"/>
      <c r="M853" s="92"/>
      <c r="N853" s="86"/>
    </row>
    <row r="854" spans="5:14">
      <c r="E854" s="86"/>
      <c r="F854" s="87"/>
      <c r="G854" s="88"/>
      <c r="H854" s="89"/>
      <c r="I854" s="90"/>
      <c r="K854" s="91"/>
      <c r="L854" s="88"/>
      <c r="M854" s="92"/>
      <c r="N854" s="86"/>
    </row>
    <row r="855" spans="5:14">
      <c r="E855" s="86"/>
      <c r="F855" s="87"/>
      <c r="G855" s="88"/>
      <c r="H855" s="89"/>
      <c r="I855" s="90"/>
      <c r="K855" s="91"/>
      <c r="L855" s="88"/>
      <c r="M855" s="92"/>
      <c r="N855" s="86"/>
    </row>
    <row r="856" spans="5:14">
      <c r="E856" s="86"/>
      <c r="F856" s="87"/>
      <c r="G856" s="88"/>
      <c r="H856" s="89"/>
      <c r="I856" s="90"/>
      <c r="K856" s="91"/>
      <c r="L856" s="88"/>
      <c r="M856" s="92"/>
      <c r="N856" s="86"/>
    </row>
    <row r="857" spans="5:14">
      <c r="E857" s="86"/>
      <c r="F857" s="87"/>
      <c r="G857" s="88"/>
      <c r="H857" s="89"/>
      <c r="I857" s="90"/>
      <c r="K857" s="91"/>
      <c r="L857" s="88"/>
      <c r="M857" s="92"/>
      <c r="N857" s="86"/>
    </row>
    <row r="858" spans="5:14">
      <c r="E858" s="86"/>
      <c r="F858" s="87"/>
      <c r="G858" s="88"/>
      <c r="H858" s="89"/>
      <c r="I858" s="90"/>
      <c r="K858" s="91"/>
      <c r="L858" s="88"/>
      <c r="M858" s="92"/>
      <c r="N858" s="86"/>
    </row>
    <row r="859" spans="5:14">
      <c r="E859" s="86"/>
      <c r="F859" s="87"/>
      <c r="G859" s="88"/>
      <c r="H859" s="89"/>
      <c r="I859" s="90"/>
      <c r="K859" s="91"/>
      <c r="L859" s="88"/>
      <c r="M859" s="92"/>
      <c r="N859" s="86"/>
    </row>
    <row r="860" spans="5:14">
      <c r="E860" s="86"/>
      <c r="F860" s="87"/>
      <c r="G860" s="88"/>
      <c r="H860" s="89"/>
      <c r="I860" s="90"/>
      <c r="K860" s="91"/>
      <c r="L860" s="88"/>
      <c r="M860" s="92"/>
      <c r="N860" s="86"/>
    </row>
    <row r="861" spans="5:14">
      <c r="E861" s="86"/>
      <c r="F861" s="87"/>
      <c r="G861" s="88"/>
      <c r="H861" s="89"/>
      <c r="I861" s="90"/>
      <c r="K861" s="91"/>
      <c r="L861" s="88"/>
      <c r="M861" s="92"/>
      <c r="N861" s="86"/>
    </row>
    <row r="862" spans="5:14">
      <c r="E862" s="86"/>
      <c r="F862" s="87"/>
      <c r="G862" s="88"/>
      <c r="H862" s="89"/>
      <c r="I862" s="90"/>
      <c r="K862" s="91"/>
      <c r="L862" s="88"/>
      <c r="M862" s="92"/>
      <c r="N862" s="86"/>
    </row>
    <row r="863" spans="5:14">
      <c r="E863" s="86"/>
      <c r="F863" s="87"/>
      <c r="G863" s="88"/>
      <c r="H863" s="89"/>
      <c r="I863" s="90"/>
      <c r="K863" s="91"/>
      <c r="L863" s="88"/>
      <c r="M863" s="92"/>
      <c r="N863" s="86"/>
    </row>
    <row r="864" spans="5:14">
      <c r="E864" s="86"/>
      <c r="F864" s="87"/>
      <c r="G864" s="88"/>
      <c r="H864" s="89"/>
      <c r="I864" s="90"/>
      <c r="K864" s="91"/>
      <c r="L864" s="88"/>
      <c r="M864" s="92"/>
      <c r="N864" s="86"/>
    </row>
    <row r="865" spans="5:14">
      <c r="E865" s="86"/>
      <c r="F865" s="87"/>
      <c r="G865" s="88"/>
      <c r="H865" s="89"/>
      <c r="I865" s="90"/>
      <c r="K865" s="91"/>
      <c r="L865" s="88"/>
      <c r="M865" s="92"/>
      <c r="N865" s="86"/>
    </row>
    <row r="866" spans="5:14">
      <c r="E866" s="86"/>
      <c r="F866" s="87"/>
      <c r="G866" s="88"/>
      <c r="H866" s="89"/>
      <c r="I866" s="90"/>
      <c r="K866" s="91"/>
      <c r="L866" s="88"/>
      <c r="M866" s="92"/>
      <c r="N866" s="86"/>
    </row>
    <row r="867" spans="5:14">
      <c r="E867" s="86"/>
      <c r="F867" s="87"/>
      <c r="G867" s="88"/>
      <c r="H867" s="89"/>
      <c r="I867" s="90"/>
      <c r="K867" s="91"/>
      <c r="L867" s="88"/>
      <c r="M867" s="92"/>
      <c r="N867" s="86"/>
    </row>
    <row r="868" spans="5:14">
      <c r="E868" s="86"/>
      <c r="F868" s="87"/>
      <c r="G868" s="88"/>
      <c r="H868" s="89"/>
      <c r="I868" s="90"/>
      <c r="K868" s="91"/>
      <c r="L868" s="88"/>
      <c r="M868" s="92"/>
      <c r="N868" s="86"/>
    </row>
    <row r="869" spans="5:14">
      <c r="E869" s="86"/>
      <c r="F869" s="87"/>
      <c r="G869" s="88"/>
      <c r="H869" s="89"/>
      <c r="I869" s="90"/>
      <c r="K869" s="91"/>
      <c r="L869" s="88"/>
      <c r="M869" s="92"/>
      <c r="N869" s="86"/>
    </row>
    <row r="870" spans="5:14">
      <c r="E870" s="86"/>
      <c r="F870" s="87"/>
      <c r="G870" s="88"/>
      <c r="H870" s="89"/>
      <c r="I870" s="90"/>
      <c r="K870" s="91"/>
      <c r="L870" s="88"/>
      <c r="M870" s="92"/>
      <c r="N870" s="86"/>
    </row>
    <row r="871" spans="5:14">
      <c r="E871" s="86"/>
      <c r="F871" s="87"/>
      <c r="G871" s="88"/>
      <c r="H871" s="89"/>
      <c r="I871" s="90"/>
      <c r="K871" s="91"/>
      <c r="L871" s="88"/>
      <c r="M871" s="92"/>
      <c r="N871" s="86"/>
    </row>
    <row r="872" spans="5:14">
      <c r="E872" s="86"/>
      <c r="F872" s="87"/>
      <c r="G872" s="88"/>
      <c r="H872" s="89"/>
      <c r="I872" s="90"/>
      <c r="K872" s="91"/>
      <c r="L872" s="88"/>
      <c r="M872" s="92"/>
      <c r="N872" s="86"/>
    </row>
    <row r="873" spans="5:14">
      <c r="E873" s="86"/>
      <c r="F873" s="87"/>
      <c r="G873" s="88"/>
      <c r="H873" s="89"/>
      <c r="I873" s="90"/>
      <c r="K873" s="91"/>
      <c r="L873" s="88"/>
      <c r="M873" s="92"/>
      <c r="N873" s="86"/>
    </row>
    <row r="874" spans="5:14">
      <c r="E874" s="86"/>
      <c r="F874" s="87"/>
      <c r="G874" s="88"/>
      <c r="H874" s="89"/>
      <c r="I874" s="90"/>
      <c r="K874" s="91"/>
      <c r="L874" s="88"/>
      <c r="M874" s="92"/>
      <c r="N874" s="86"/>
    </row>
    <row r="875" spans="5:14">
      <c r="E875" s="86"/>
      <c r="F875" s="87"/>
      <c r="G875" s="88"/>
      <c r="H875" s="89"/>
      <c r="I875" s="90"/>
      <c r="K875" s="91"/>
      <c r="L875" s="88"/>
      <c r="M875" s="92"/>
      <c r="N875" s="86"/>
    </row>
    <row r="876" spans="5:14">
      <c r="E876" s="86"/>
      <c r="F876" s="87"/>
      <c r="G876" s="88"/>
      <c r="H876" s="89"/>
      <c r="I876" s="90"/>
      <c r="K876" s="91"/>
      <c r="L876" s="88"/>
      <c r="M876" s="92"/>
      <c r="N876" s="86"/>
    </row>
    <row r="877" spans="5:14">
      <c r="E877" s="86"/>
      <c r="F877" s="87"/>
      <c r="G877" s="88"/>
      <c r="H877" s="89"/>
      <c r="I877" s="90"/>
      <c r="K877" s="91"/>
      <c r="L877" s="88"/>
      <c r="M877" s="92"/>
      <c r="N877" s="86"/>
    </row>
    <row r="878" spans="5:14">
      <c r="E878" s="86"/>
      <c r="F878" s="87"/>
      <c r="G878" s="88"/>
      <c r="H878" s="89"/>
      <c r="I878" s="90"/>
      <c r="K878" s="91"/>
      <c r="L878" s="88"/>
      <c r="M878" s="92"/>
      <c r="N878" s="86"/>
    </row>
    <row r="879" spans="5:14">
      <c r="E879" s="86"/>
      <c r="F879" s="87"/>
      <c r="G879" s="88"/>
      <c r="H879" s="89"/>
      <c r="I879" s="90"/>
      <c r="K879" s="91"/>
      <c r="L879" s="88"/>
      <c r="M879" s="92"/>
      <c r="N879" s="86"/>
    </row>
    <row r="880" spans="5:14">
      <c r="E880" s="86"/>
      <c r="F880" s="87"/>
      <c r="G880" s="88"/>
      <c r="H880" s="89"/>
      <c r="I880" s="90"/>
      <c r="K880" s="91"/>
      <c r="L880" s="88"/>
      <c r="M880" s="92"/>
      <c r="N880" s="86"/>
    </row>
    <row r="881" spans="5:14">
      <c r="E881" s="86"/>
      <c r="F881" s="87"/>
      <c r="G881" s="88"/>
      <c r="H881" s="89"/>
      <c r="I881" s="90"/>
      <c r="K881" s="91"/>
      <c r="L881" s="88"/>
      <c r="M881" s="92"/>
      <c r="N881" s="86"/>
    </row>
    <row r="882" spans="5:14">
      <c r="E882" s="86"/>
      <c r="F882" s="87"/>
      <c r="G882" s="88"/>
      <c r="H882" s="89"/>
      <c r="I882" s="90"/>
      <c r="K882" s="91"/>
      <c r="L882" s="88"/>
      <c r="M882" s="92"/>
      <c r="N882" s="86"/>
    </row>
    <row r="883" spans="5:14">
      <c r="E883" s="86"/>
      <c r="F883" s="87"/>
      <c r="G883" s="88"/>
      <c r="H883" s="89"/>
      <c r="I883" s="90"/>
      <c r="K883" s="91"/>
      <c r="L883" s="88"/>
      <c r="M883" s="92"/>
      <c r="N883" s="86"/>
    </row>
    <row r="884" spans="5:14">
      <c r="E884" s="86"/>
      <c r="F884" s="87"/>
      <c r="G884" s="88"/>
      <c r="H884" s="89"/>
      <c r="I884" s="90"/>
      <c r="K884" s="91"/>
      <c r="L884" s="88"/>
      <c r="M884" s="92"/>
      <c r="N884" s="86"/>
    </row>
    <row r="885" spans="5:14">
      <c r="E885" s="86"/>
      <c r="F885" s="87"/>
      <c r="G885" s="88"/>
      <c r="H885" s="89"/>
      <c r="I885" s="90"/>
      <c r="K885" s="91"/>
      <c r="L885" s="88"/>
      <c r="M885" s="92"/>
      <c r="N885" s="86"/>
    </row>
    <row r="886" spans="5:14">
      <c r="E886" s="86"/>
      <c r="F886" s="87"/>
      <c r="G886" s="88"/>
      <c r="H886" s="89"/>
      <c r="I886" s="90"/>
      <c r="K886" s="91"/>
      <c r="L886" s="88"/>
      <c r="M886" s="92"/>
      <c r="N886" s="86"/>
    </row>
    <row r="887" spans="5:14">
      <c r="E887" s="86"/>
      <c r="F887" s="87"/>
      <c r="G887" s="88"/>
      <c r="H887" s="89"/>
      <c r="I887" s="90"/>
      <c r="K887" s="91"/>
      <c r="L887" s="88"/>
      <c r="M887" s="92"/>
      <c r="N887" s="86"/>
    </row>
    <row r="888" spans="5:14">
      <c r="E888" s="86"/>
      <c r="F888" s="87"/>
      <c r="G888" s="88"/>
      <c r="H888" s="89"/>
      <c r="I888" s="90"/>
      <c r="K888" s="91"/>
      <c r="L888" s="88"/>
      <c r="M888" s="92"/>
      <c r="N888" s="86"/>
    </row>
    <row r="889" spans="5:14">
      <c r="E889" s="86"/>
      <c r="F889" s="87"/>
      <c r="G889" s="88"/>
      <c r="H889" s="89"/>
      <c r="I889" s="90"/>
      <c r="K889" s="91"/>
      <c r="L889" s="88"/>
      <c r="M889" s="92"/>
      <c r="N889" s="86"/>
    </row>
    <row r="890" spans="5:14">
      <c r="E890" s="86"/>
      <c r="F890" s="87"/>
      <c r="G890" s="88"/>
      <c r="H890" s="89"/>
      <c r="I890" s="90"/>
      <c r="K890" s="91"/>
      <c r="L890" s="88"/>
      <c r="M890" s="92"/>
      <c r="N890" s="86"/>
    </row>
    <row r="891" spans="5:14">
      <c r="E891" s="86"/>
      <c r="F891" s="87"/>
      <c r="G891" s="88"/>
      <c r="H891" s="89"/>
      <c r="I891" s="90"/>
      <c r="K891" s="91"/>
      <c r="L891" s="88"/>
      <c r="M891" s="92"/>
      <c r="N891" s="86"/>
    </row>
    <row r="892" spans="5:14">
      <c r="E892" s="86"/>
      <c r="F892" s="87"/>
      <c r="G892" s="88"/>
      <c r="H892" s="89"/>
      <c r="I892" s="90"/>
      <c r="K892" s="91"/>
      <c r="L892" s="88"/>
      <c r="M892" s="92"/>
      <c r="N892" s="86"/>
    </row>
    <row r="893" spans="5:14">
      <c r="E893" s="86"/>
      <c r="F893" s="87"/>
      <c r="G893" s="88"/>
      <c r="H893" s="89"/>
      <c r="I893" s="90"/>
      <c r="K893" s="91"/>
      <c r="L893" s="88"/>
      <c r="M893" s="92"/>
      <c r="N893" s="86"/>
    </row>
    <row r="894" spans="5:14">
      <c r="E894" s="86"/>
      <c r="F894" s="87"/>
      <c r="G894" s="88"/>
      <c r="H894" s="89"/>
      <c r="I894" s="90"/>
      <c r="K894" s="91"/>
      <c r="L894" s="88"/>
      <c r="M894" s="92"/>
      <c r="N894" s="86"/>
    </row>
    <row r="895" spans="5:14">
      <c r="E895" s="86"/>
      <c r="F895" s="87"/>
      <c r="G895" s="88"/>
      <c r="H895" s="89"/>
      <c r="I895" s="90"/>
      <c r="K895" s="91"/>
      <c r="L895" s="88"/>
      <c r="M895" s="92"/>
      <c r="N895" s="86"/>
    </row>
    <row r="896" spans="5:14">
      <c r="E896" s="86"/>
      <c r="F896" s="87"/>
      <c r="G896" s="88"/>
      <c r="H896" s="89"/>
      <c r="I896" s="90"/>
      <c r="K896" s="91"/>
      <c r="L896" s="88"/>
      <c r="M896" s="92"/>
      <c r="N896" s="86"/>
    </row>
    <row r="897" spans="5:14">
      <c r="E897" s="86"/>
      <c r="F897" s="87"/>
      <c r="G897" s="88"/>
      <c r="H897" s="89"/>
      <c r="I897" s="90"/>
      <c r="K897" s="91"/>
      <c r="L897" s="88"/>
      <c r="M897" s="92"/>
      <c r="N897" s="86"/>
    </row>
    <row r="898" spans="5:14">
      <c r="E898" s="86"/>
      <c r="F898" s="87"/>
      <c r="G898" s="88"/>
      <c r="H898" s="89"/>
      <c r="I898" s="90"/>
      <c r="K898" s="91"/>
      <c r="L898" s="88"/>
      <c r="M898" s="92"/>
      <c r="N898" s="86"/>
    </row>
    <row r="899" spans="5:14">
      <c r="E899" s="86"/>
      <c r="F899" s="87"/>
      <c r="G899" s="88"/>
      <c r="H899" s="89"/>
      <c r="I899" s="90"/>
      <c r="K899" s="91"/>
      <c r="L899" s="88"/>
      <c r="M899" s="92"/>
      <c r="N899" s="86"/>
    </row>
    <row r="900" spans="5:14">
      <c r="E900" s="86"/>
      <c r="F900" s="87"/>
      <c r="G900" s="88"/>
      <c r="H900" s="89"/>
      <c r="I900" s="90"/>
      <c r="K900" s="91"/>
      <c r="L900" s="88"/>
      <c r="M900" s="92"/>
      <c r="N900" s="86"/>
    </row>
    <row r="901" spans="5:14">
      <c r="E901" s="86"/>
      <c r="F901" s="87"/>
      <c r="G901" s="88"/>
      <c r="H901" s="89"/>
      <c r="I901" s="90"/>
      <c r="K901" s="91"/>
      <c r="L901" s="88"/>
      <c r="M901" s="92"/>
      <c r="N901" s="86"/>
    </row>
    <row r="902" spans="5:14">
      <c r="E902" s="86"/>
      <c r="F902" s="87"/>
      <c r="G902" s="88"/>
      <c r="H902" s="89"/>
      <c r="I902" s="90"/>
      <c r="K902" s="91"/>
      <c r="L902" s="88"/>
      <c r="M902" s="92"/>
      <c r="N902" s="86"/>
    </row>
    <row r="903" spans="5:14">
      <c r="E903" s="86"/>
      <c r="F903" s="87"/>
      <c r="G903" s="88"/>
      <c r="H903" s="89"/>
      <c r="I903" s="90"/>
      <c r="K903" s="91"/>
      <c r="L903" s="88"/>
      <c r="M903" s="92"/>
      <c r="N903" s="86"/>
    </row>
    <row r="904" spans="5:14">
      <c r="E904" s="86"/>
      <c r="F904" s="87"/>
      <c r="G904" s="88"/>
      <c r="H904" s="89"/>
      <c r="I904" s="90"/>
      <c r="K904" s="91"/>
      <c r="L904" s="88"/>
      <c r="M904" s="92"/>
      <c r="N904" s="86"/>
    </row>
    <row r="905" spans="5:14">
      <c r="E905" s="86"/>
      <c r="F905" s="87"/>
      <c r="G905" s="88"/>
      <c r="H905" s="89"/>
      <c r="I905" s="90"/>
      <c r="K905" s="91"/>
      <c r="L905" s="88"/>
      <c r="M905" s="92"/>
      <c r="N905" s="86"/>
    </row>
    <row r="906" spans="5:14">
      <c r="E906" s="86"/>
      <c r="F906" s="87"/>
      <c r="G906" s="88"/>
      <c r="H906" s="89"/>
      <c r="I906" s="90"/>
      <c r="K906" s="91"/>
      <c r="L906" s="88"/>
      <c r="M906" s="92"/>
      <c r="N906" s="86"/>
    </row>
    <row r="907" spans="5:14">
      <c r="E907" s="86"/>
      <c r="F907" s="87"/>
      <c r="G907" s="88"/>
      <c r="H907" s="89"/>
      <c r="I907" s="90"/>
      <c r="K907" s="91"/>
      <c r="L907" s="88"/>
      <c r="M907" s="92"/>
      <c r="N907" s="86"/>
    </row>
    <row r="908" spans="5:14">
      <c r="E908" s="86"/>
      <c r="F908" s="87"/>
      <c r="G908" s="88"/>
      <c r="H908" s="89"/>
      <c r="I908" s="90"/>
      <c r="K908" s="91"/>
      <c r="L908" s="88"/>
      <c r="M908" s="92"/>
      <c r="N908" s="86"/>
    </row>
    <row r="909" spans="5:14">
      <c r="E909" s="86"/>
      <c r="F909" s="87"/>
      <c r="G909" s="88"/>
      <c r="H909" s="89"/>
      <c r="I909" s="90"/>
      <c r="K909" s="91"/>
      <c r="L909" s="88"/>
      <c r="M909" s="92"/>
      <c r="N909" s="86"/>
    </row>
    <row r="910" spans="5:14">
      <c r="E910" s="86"/>
      <c r="F910" s="87"/>
      <c r="G910" s="88"/>
      <c r="H910" s="89"/>
      <c r="I910" s="90"/>
      <c r="K910" s="91"/>
      <c r="L910" s="88"/>
      <c r="M910" s="92"/>
      <c r="N910" s="86"/>
    </row>
    <row r="911" spans="5:14">
      <c r="E911" s="86"/>
      <c r="F911" s="87"/>
      <c r="G911" s="88"/>
      <c r="H911" s="89"/>
      <c r="I911" s="90"/>
      <c r="K911" s="91"/>
      <c r="L911" s="88"/>
      <c r="M911" s="92"/>
      <c r="N911" s="86"/>
    </row>
    <row r="912" spans="5:14">
      <c r="E912" s="86"/>
      <c r="F912" s="87"/>
      <c r="G912" s="88"/>
      <c r="H912" s="89"/>
      <c r="I912" s="90"/>
      <c r="K912" s="91"/>
      <c r="L912" s="88"/>
      <c r="M912" s="92"/>
      <c r="N912" s="86"/>
    </row>
    <row r="913" spans="5:14">
      <c r="E913" s="86"/>
      <c r="F913" s="87"/>
      <c r="G913" s="88"/>
      <c r="H913" s="89"/>
      <c r="I913" s="90"/>
      <c r="K913" s="91"/>
      <c r="L913" s="88"/>
      <c r="M913" s="92"/>
      <c r="N913" s="86"/>
    </row>
    <row r="914" spans="5:14">
      <c r="E914" s="86"/>
      <c r="F914" s="87"/>
      <c r="G914" s="88"/>
      <c r="H914" s="89"/>
      <c r="I914" s="90"/>
      <c r="K914" s="91"/>
      <c r="L914" s="88"/>
      <c r="M914" s="92"/>
      <c r="N914" s="86"/>
    </row>
    <row r="915" spans="5:14">
      <c r="E915" s="86"/>
      <c r="F915" s="87"/>
      <c r="G915" s="88"/>
      <c r="H915" s="89"/>
      <c r="I915" s="90"/>
      <c r="K915" s="91"/>
      <c r="L915" s="88"/>
      <c r="M915" s="92"/>
      <c r="N915" s="86"/>
    </row>
    <row r="916" spans="5:14">
      <c r="E916" s="86"/>
      <c r="F916" s="87"/>
      <c r="G916" s="88"/>
      <c r="H916" s="89"/>
      <c r="I916" s="90"/>
      <c r="K916" s="91"/>
      <c r="L916" s="88"/>
      <c r="M916" s="92"/>
      <c r="N916" s="86"/>
    </row>
    <row r="917" spans="5:14">
      <c r="E917" s="86"/>
      <c r="F917" s="87"/>
      <c r="G917" s="88"/>
      <c r="H917" s="89"/>
      <c r="I917" s="90"/>
      <c r="K917" s="91"/>
      <c r="L917" s="88"/>
      <c r="M917" s="92"/>
      <c r="N917" s="86"/>
    </row>
    <row r="918" spans="5:14">
      <c r="E918" s="86"/>
      <c r="F918" s="87"/>
      <c r="G918" s="88"/>
      <c r="H918" s="89"/>
      <c r="I918" s="90"/>
      <c r="K918" s="91"/>
      <c r="L918" s="88"/>
      <c r="M918" s="92"/>
      <c r="N918" s="86"/>
    </row>
    <row r="919" spans="5:14">
      <c r="E919" s="86"/>
      <c r="F919" s="87"/>
      <c r="G919" s="88"/>
      <c r="H919" s="89"/>
      <c r="I919" s="90"/>
      <c r="K919" s="91"/>
      <c r="L919" s="88"/>
      <c r="M919" s="92"/>
      <c r="N919" s="86"/>
    </row>
    <row r="920" spans="5:14">
      <c r="E920" s="86"/>
      <c r="F920" s="87"/>
      <c r="G920" s="88"/>
      <c r="H920" s="89"/>
      <c r="I920" s="90"/>
      <c r="K920" s="91"/>
      <c r="L920" s="88"/>
      <c r="M920" s="92"/>
      <c r="N920" s="86"/>
    </row>
    <row r="921" spans="5:14">
      <c r="E921" s="86"/>
      <c r="F921" s="87"/>
      <c r="G921" s="88"/>
      <c r="H921" s="89"/>
      <c r="I921" s="90"/>
      <c r="K921" s="91"/>
      <c r="L921" s="88"/>
      <c r="M921" s="92"/>
      <c r="N921" s="86"/>
    </row>
    <row r="922" spans="5:14">
      <c r="E922" s="86"/>
      <c r="F922" s="87"/>
      <c r="G922" s="88"/>
      <c r="H922" s="89"/>
      <c r="I922" s="90"/>
      <c r="K922" s="91"/>
      <c r="L922" s="88"/>
      <c r="M922" s="92"/>
      <c r="N922" s="86"/>
    </row>
    <row r="923" spans="5:14">
      <c r="E923" s="86"/>
      <c r="F923" s="87"/>
      <c r="G923" s="88"/>
      <c r="H923" s="89"/>
      <c r="I923" s="90"/>
      <c r="K923" s="91"/>
      <c r="L923" s="88"/>
      <c r="M923" s="92"/>
      <c r="N923" s="86"/>
    </row>
    <row r="924" spans="5:14">
      <c r="E924" s="86"/>
      <c r="F924" s="87"/>
      <c r="G924" s="88"/>
      <c r="H924" s="89"/>
      <c r="I924" s="90"/>
      <c r="K924" s="91"/>
      <c r="L924" s="88"/>
      <c r="M924" s="92"/>
      <c r="N924" s="86"/>
    </row>
    <row r="925" spans="5:14">
      <c r="E925" s="86"/>
      <c r="F925" s="87"/>
      <c r="G925" s="88"/>
      <c r="H925" s="89"/>
      <c r="I925" s="90"/>
      <c r="K925" s="91"/>
      <c r="L925" s="88"/>
      <c r="M925" s="92"/>
      <c r="N925" s="86"/>
    </row>
    <row r="926" spans="5:14">
      <c r="E926" s="86"/>
      <c r="F926" s="87"/>
      <c r="G926" s="88"/>
      <c r="H926" s="89"/>
      <c r="I926" s="90"/>
      <c r="K926" s="91"/>
      <c r="L926" s="88"/>
      <c r="M926" s="92"/>
      <c r="N926" s="86"/>
    </row>
    <row r="927" spans="5:14">
      <c r="E927" s="86"/>
      <c r="F927" s="87"/>
      <c r="G927" s="88"/>
      <c r="H927" s="89"/>
      <c r="I927" s="90"/>
      <c r="K927" s="91"/>
      <c r="L927" s="88"/>
      <c r="M927" s="92"/>
      <c r="N927" s="86"/>
    </row>
    <row r="928" spans="5:14">
      <c r="E928" s="86"/>
      <c r="F928" s="87"/>
      <c r="G928" s="88"/>
      <c r="H928" s="89"/>
      <c r="I928" s="90"/>
      <c r="K928" s="91"/>
      <c r="L928" s="88"/>
      <c r="M928" s="92"/>
      <c r="N928" s="86"/>
    </row>
    <row r="929" spans="5:14">
      <c r="E929" s="86"/>
      <c r="F929" s="87"/>
      <c r="G929" s="88"/>
      <c r="H929" s="89"/>
      <c r="I929" s="90"/>
      <c r="K929" s="91"/>
      <c r="L929" s="88"/>
      <c r="M929" s="92"/>
      <c r="N929" s="86"/>
    </row>
    <row r="930" spans="5:14">
      <c r="E930" s="86"/>
      <c r="F930" s="87"/>
      <c r="G930" s="88"/>
      <c r="H930" s="89"/>
      <c r="I930" s="90"/>
      <c r="K930" s="91"/>
      <c r="L930" s="88"/>
      <c r="M930" s="92"/>
      <c r="N930" s="86"/>
    </row>
    <row r="931" spans="5:14">
      <c r="E931" s="86"/>
      <c r="F931" s="87"/>
      <c r="G931" s="88"/>
      <c r="H931" s="89"/>
      <c r="I931" s="90"/>
      <c r="K931" s="91"/>
      <c r="L931" s="88"/>
      <c r="M931" s="92"/>
      <c r="N931" s="86"/>
    </row>
    <row r="932" spans="5:14">
      <c r="E932" s="86"/>
      <c r="F932" s="87"/>
      <c r="G932" s="88"/>
      <c r="H932" s="89"/>
      <c r="I932" s="90"/>
      <c r="K932" s="91"/>
      <c r="L932" s="88"/>
      <c r="M932" s="92"/>
      <c r="N932" s="86"/>
    </row>
    <row r="933" spans="5:14">
      <c r="E933" s="86"/>
      <c r="F933" s="87"/>
      <c r="G933" s="88"/>
      <c r="H933" s="89"/>
      <c r="I933" s="90"/>
      <c r="K933" s="91"/>
      <c r="L933" s="88"/>
      <c r="M933" s="92"/>
      <c r="N933" s="86"/>
    </row>
    <row r="934" spans="5:14">
      <c r="E934" s="86"/>
      <c r="F934" s="87"/>
      <c r="G934" s="88"/>
      <c r="H934" s="89"/>
      <c r="I934" s="90"/>
      <c r="K934" s="91"/>
      <c r="L934" s="88"/>
      <c r="M934" s="92"/>
      <c r="N934" s="86"/>
    </row>
    <row r="935" spans="5:14">
      <c r="E935" s="86"/>
      <c r="F935" s="87"/>
      <c r="G935" s="88"/>
      <c r="H935" s="89"/>
      <c r="I935" s="90"/>
      <c r="K935" s="91"/>
      <c r="L935" s="88"/>
      <c r="M935" s="92"/>
      <c r="N935" s="86"/>
    </row>
    <row r="936" spans="5:14">
      <c r="E936" s="86"/>
      <c r="F936" s="87"/>
      <c r="G936" s="88"/>
      <c r="H936" s="89"/>
      <c r="I936" s="90"/>
      <c r="K936" s="91"/>
      <c r="L936" s="88"/>
      <c r="M936" s="92"/>
      <c r="N936" s="86"/>
    </row>
    <row r="937" spans="5:14">
      <c r="E937" s="86"/>
      <c r="F937" s="87"/>
      <c r="G937" s="88"/>
      <c r="H937" s="89"/>
      <c r="I937" s="90"/>
      <c r="K937" s="91"/>
      <c r="L937" s="88"/>
      <c r="M937" s="92"/>
      <c r="N937" s="86"/>
    </row>
    <row r="938" spans="5:14">
      <c r="E938" s="86"/>
      <c r="F938" s="87"/>
      <c r="G938" s="88"/>
      <c r="H938" s="89"/>
      <c r="I938" s="90"/>
      <c r="K938" s="91"/>
      <c r="L938" s="88"/>
      <c r="M938" s="92"/>
      <c r="N938" s="86"/>
    </row>
    <row r="939" spans="5:14">
      <c r="E939" s="86"/>
      <c r="F939" s="87"/>
      <c r="G939" s="88"/>
      <c r="H939" s="89"/>
      <c r="I939" s="90"/>
      <c r="K939" s="91"/>
      <c r="L939" s="88"/>
      <c r="M939" s="92"/>
      <c r="N939" s="86"/>
    </row>
    <row r="940" spans="5:14">
      <c r="E940" s="86"/>
      <c r="F940" s="87"/>
      <c r="G940" s="88"/>
      <c r="H940" s="89"/>
      <c r="I940" s="90"/>
      <c r="K940" s="91"/>
      <c r="L940" s="88"/>
      <c r="M940" s="92"/>
      <c r="N940" s="86"/>
    </row>
    <row r="941" spans="5:14">
      <c r="E941" s="86"/>
      <c r="F941" s="87"/>
      <c r="G941" s="88"/>
      <c r="H941" s="89"/>
      <c r="I941" s="90"/>
      <c r="K941" s="91"/>
      <c r="L941" s="88"/>
      <c r="M941" s="92"/>
      <c r="N941" s="86"/>
    </row>
    <row r="942" spans="5:14">
      <c r="E942" s="86"/>
      <c r="F942" s="87"/>
      <c r="G942" s="88"/>
      <c r="H942" s="89"/>
      <c r="I942" s="90"/>
      <c r="K942" s="91"/>
      <c r="L942" s="88"/>
      <c r="M942" s="92"/>
      <c r="N942" s="86"/>
    </row>
    <row r="943" spans="5:14">
      <c r="E943" s="86"/>
      <c r="F943" s="87"/>
      <c r="G943" s="88"/>
      <c r="H943" s="89"/>
      <c r="I943" s="90"/>
      <c r="K943" s="91"/>
      <c r="L943" s="88"/>
      <c r="M943" s="92"/>
      <c r="N943" s="86"/>
    </row>
    <row r="944" spans="5:14">
      <c r="E944" s="86"/>
      <c r="F944" s="87"/>
      <c r="G944" s="88"/>
      <c r="H944" s="89"/>
      <c r="I944" s="90"/>
      <c r="K944" s="91"/>
      <c r="L944" s="88"/>
      <c r="M944" s="92"/>
      <c r="N944" s="86"/>
    </row>
    <row r="945" spans="5:14">
      <c r="E945" s="86"/>
      <c r="F945" s="87"/>
      <c r="G945" s="88"/>
      <c r="H945" s="89"/>
      <c r="I945" s="90"/>
      <c r="K945" s="91"/>
      <c r="L945" s="88"/>
      <c r="M945" s="92"/>
      <c r="N945" s="86"/>
    </row>
    <row r="946" spans="5:14">
      <c r="E946" s="86"/>
      <c r="F946" s="87"/>
      <c r="G946" s="88"/>
      <c r="H946" s="89"/>
      <c r="I946" s="90"/>
      <c r="K946" s="91"/>
      <c r="L946" s="88"/>
      <c r="M946" s="92"/>
      <c r="N946" s="86"/>
    </row>
    <row r="947" spans="5:14">
      <c r="E947" s="86"/>
      <c r="F947" s="87"/>
      <c r="G947" s="88"/>
      <c r="H947" s="89"/>
      <c r="I947" s="90"/>
      <c r="K947" s="91"/>
      <c r="L947" s="88"/>
      <c r="M947" s="92"/>
      <c r="N947" s="86"/>
    </row>
    <row r="948" spans="5:14">
      <c r="E948" s="86"/>
      <c r="F948" s="87"/>
      <c r="G948" s="88"/>
      <c r="H948" s="89"/>
      <c r="I948" s="90"/>
      <c r="K948" s="91"/>
      <c r="L948" s="88"/>
      <c r="M948" s="92"/>
      <c r="N948" s="86"/>
    </row>
    <row r="949" spans="5:14">
      <c r="E949" s="86"/>
      <c r="F949" s="87"/>
      <c r="G949" s="88"/>
      <c r="H949" s="89"/>
      <c r="I949" s="90"/>
      <c r="K949" s="91"/>
      <c r="L949" s="88"/>
      <c r="M949" s="92"/>
      <c r="N949" s="86"/>
    </row>
    <row r="950" spans="5:14">
      <c r="E950" s="86"/>
      <c r="F950" s="87"/>
      <c r="G950" s="88"/>
      <c r="H950" s="89"/>
      <c r="I950" s="90"/>
      <c r="K950" s="91"/>
      <c r="L950" s="88"/>
      <c r="M950" s="92"/>
      <c r="N950" s="86"/>
    </row>
    <row r="951" spans="5:14">
      <c r="E951" s="86"/>
      <c r="F951" s="87"/>
      <c r="G951" s="88"/>
      <c r="H951" s="89"/>
      <c r="I951" s="90"/>
      <c r="K951" s="91"/>
      <c r="L951" s="88"/>
      <c r="M951" s="92"/>
      <c r="N951" s="86"/>
    </row>
    <row r="952" spans="5:14">
      <c r="E952" s="86"/>
      <c r="F952" s="87"/>
      <c r="G952" s="88"/>
      <c r="H952" s="89"/>
      <c r="I952" s="90"/>
      <c r="K952" s="91"/>
      <c r="L952" s="88"/>
      <c r="M952" s="92"/>
      <c r="N952" s="86"/>
    </row>
    <row r="953" spans="5:14">
      <c r="E953" s="86"/>
      <c r="F953" s="87"/>
      <c r="G953" s="88"/>
      <c r="H953" s="89"/>
      <c r="I953" s="90"/>
      <c r="K953" s="91"/>
      <c r="L953" s="88"/>
      <c r="M953" s="92"/>
      <c r="N953" s="86"/>
    </row>
    <row r="954" spans="5:14">
      <c r="E954" s="86"/>
      <c r="F954" s="87"/>
      <c r="G954" s="88"/>
      <c r="H954" s="89"/>
      <c r="I954" s="90"/>
      <c r="K954" s="91"/>
      <c r="L954" s="88"/>
      <c r="M954" s="92"/>
      <c r="N954" s="86"/>
    </row>
    <row r="955" spans="5:14">
      <c r="E955" s="86"/>
      <c r="F955" s="87"/>
      <c r="G955" s="88"/>
      <c r="H955" s="89"/>
      <c r="I955" s="90"/>
      <c r="K955" s="91"/>
      <c r="L955" s="88"/>
      <c r="M955" s="92"/>
      <c r="N955" s="86"/>
    </row>
    <row r="956" spans="5:14">
      <c r="E956" s="86"/>
      <c r="F956" s="87"/>
      <c r="G956" s="88"/>
      <c r="H956" s="89"/>
      <c r="I956" s="90"/>
      <c r="K956" s="91"/>
      <c r="L956" s="88"/>
      <c r="M956" s="92"/>
      <c r="N956" s="86"/>
    </row>
    <row r="957" spans="5:14">
      <c r="E957" s="86"/>
      <c r="F957" s="87"/>
      <c r="G957" s="88"/>
      <c r="H957" s="89"/>
      <c r="I957" s="90"/>
      <c r="K957" s="91"/>
      <c r="L957" s="88"/>
      <c r="M957" s="92"/>
      <c r="N957" s="86"/>
    </row>
    <row r="958" spans="5:14">
      <c r="E958" s="86"/>
      <c r="F958" s="87"/>
      <c r="G958" s="88"/>
      <c r="H958" s="89"/>
      <c r="I958" s="90"/>
      <c r="K958" s="91"/>
      <c r="L958" s="88"/>
      <c r="M958" s="92"/>
      <c r="N958" s="86"/>
    </row>
    <row r="959" spans="5:14">
      <c r="E959" s="86"/>
      <c r="F959" s="87"/>
      <c r="G959" s="88"/>
      <c r="H959" s="89"/>
      <c r="I959" s="90"/>
      <c r="K959" s="91"/>
      <c r="L959" s="88"/>
      <c r="M959" s="92"/>
      <c r="N959" s="86"/>
    </row>
    <row r="960" spans="5:14">
      <c r="E960" s="86"/>
      <c r="F960" s="87"/>
      <c r="G960" s="88"/>
      <c r="H960" s="89"/>
      <c r="I960" s="90"/>
      <c r="K960" s="91"/>
      <c r="L960" s="88"/>
      <c r="M960" s="92"/>
      <c r="N960" s="86"/>
    </row>
    <row r="961" spans="5:14">
      <c r="E961" s="86"/>
      <c r="F961" s="87"/>
      <c r="G961" s="88"/>
      <c r="H961" s="89"/>
      <c r="I961" s="90"/>
      <c r="K961" s="91"/>
      <c r="L961" s="88"/>
      <c r="M961" s="92"/>
      <c r="N961" s="86"/>
    </row>
    <row r="962" spans="5:14">
      <c r="E962" s="86"/>
      <c r="F962" s="87"/>
      <c r="G962" s="88"/>
      <c r="H962" s="89"/>
      <c r="I962" s="90"/>
      <c r="K962" s="91"/>
      <c r="L962" s="88"/>
      <c r="M962" s="92"/>
      <c r="N962" s="86"/>
    </row>
    <row r="963" spans="5:14">
      <c r="E963" s="86"/>
      <c r="F963" s="87"/>
      <c r="G963" s="88"/>
      <c r="H963" s="89"/>
      <c r="I963" s="90"/>
      <c r="K963" s="91"/>
      <c r="L963" s="88"/>
      <c r="M963" s="92"/>
      <c r="N963" s="86"/>
    </row>
    <row r="964" spans="5:14">
      <c r="E964" s="86"/>
      <c r="F964" s="87"/>
      <c r="G964" s="88"/>
      <c r="H964" s="89"/>
      <c r="I964" s="90"/>
      <c r="K964" s="91"/>
      <c r="L964" s="88"/>
      <c r="M964" s="92"/>
      <c r="N964" s="86"/>
    </row>
    <row r="965" spans="5:14">
      <c r="E965" s="86"/>
      <c r="F965" s="87"/>
      <c r="G965" s="88"/>
      <c r="H965" s="89"/>
      <c r="I965" s="90"/>
      <c r="K965" s="91"/>
      <c r="L965" s="88"/>
      <c r="M965" s="92"/>
      <c r="N965" s="86"/>
    </row>
    <row r="966" spans="5:14">
      <c r="E966" s="86"/>
      <c r="F966" s="87"/>
      <c r="G966" s="88"/>
      <c r="H966" s="89"/>
      <c r="I966" s="90"/>
      <c r="K966" s="91"/>
      <c r="L966" s="88"/>
      <c r="M966" s="92"/>
      <c r="N966" s="86"/>
    </row>
    <row r="967" spans="5:14">
      <c r="E967" s="86"/>
      <c r="F967" s="87"/>
      <c r="G967" s="88"/>
      <c r="H967" s="89"/>
      <c r="I967" s="90"/>
      <c r="K967" s="91"/>
      <c r="L967" s="88"/>
      <c r="M967" s="92"/>
      <c r="N967" s="86"/>
    </row>
    <row r="968" spans="5:14">
      <c r="E968" s="86"/>
      <c r="F968" s="87"/>
      <c r="G968" s="88"/>
      <c r="H968" s="89"/>
      <c r="I968" s="90"/>
      <c r="K968" s="91"/>
      <c r="L968" s="88"/>
      <c r="M968" s="92"/>
      <c r="N968" s="86"/>
    </row>
    <row r="969" spans="5:14">
      <c r="E969" s="86"/>
      <c r="F969" s="87"/>
      <c r="G969" s="88"/>
      <c r="H969" s="89"/>
      <c r="I969" s="90"/>
      <c r="K969" s="91"/>
      <c r="L969" s="88"/>
      <c r="M969" s="92"/>
      <c r="N969" s="86"/>
    </row>
    <row r="970" spans="5:14">
      <c r="E970" s="86"/>
      <c r="F970" s="87"/>
      <c r="G970" s="88"/>
      <c r="H970" s="89"/>
      <c r="I970" s="90"/>
      <c r="K970" s="91"/>
      <c r="L970" s="88"/>
      <c r="M970" s="92"/>
      <c r="N970" s="86"/>
    </row>
    <row r="971" spans="5:14">
      <c r="E971" s="86"/>
      <c r="F971" s="87"/>
      <c r="G971" s="88"/>
      <c r="H971" s="89"/>
      <c r="I971" s="90"/>
      <c r="K971" s="91"/>
      <c r="L971" s="88"/>
      <c r="M971" s="92"/>
      <c r="N971" s="86"/>
    </row>
    <row r="972" spans="5:14">
      <c r="E972" s="86"/>
      <c r="F972" s="87"/>
      <c r="G972" s="88"/>
      <c r="H972" s="89"/>
      <c r="I972" s="90"/>
      <c r="K972" s="91"/>
      <c r="L972" s="88"/>
      <c r="M972" s="92"/>
      <c r="N972" s="86"/>
    </row>
    <row r="973" spans="5:14">
      <c r="E973" s="86"/>
      <c r="F973" s="87"/>
      <c r="G973" s="88"/>
      <c r="H973" s="89"/>
      <c r="I973" s="90"/>
      <c r="K973" s="91"/>
      <c r="L973" s="88"/>
      <c r="M973" s="92"/>
      <c r="N973" s="86"/>
    </row>
    <row r="974" spans="5:14">
      <c r="E974" s="86"/>
      <c r="F974" s="87"/>
      <c r="G974" s="88"/>
      <c r="H974" s="89"/>
      <c r="I974" s="90"/>
      <c r="K974" s="91"/>
      <c r="L974" s="88"/>
      <c r="M974" s="92"/>
      <c r="N974" s="86"/>
    </row>
    <row r="975" spans="5:14">
      <c r="E975" s="86"/>
      <c r="F975" s="87"/>
      <c r="G975" s="88"/>
      <c r="H975" s="89"/>
      <c r="I975" s="90"/>
      <c r="K975" s="91"/>
      <c r="L975" s="88"/>
      <c r="M975" s="92"/>
      <c r="N975" s="86"/>
    </row>
    <row r="976" spans="5:14">
      <c r="E976" s="86"/>
      <c r="F976" s="87"/>
      <c r="G976" s="88"/>
      <c r="H976" s="89"/>
      <c r="I976" s="90"/>
      <c r="K976" s="91"/>
      <c r="L976" s="88"/>
      <c r="M976" s="92"/>
      <c r="N976" s="86"/>
    </row>
    <row r="977" spans="5:14">
      <c r="E977" s="86"/>
      <c r="F977" s="87"/>
      <c r="G977" s="88"/>
      <c r="H977" s="89"/>
      <c r="I977" s="90"/>
      <c r="K977" s="91"/>
      <c r="L977" s="88"/>
      <c r="M977" s="92"/>
      <c r="N977" s="86"/>
    </row>
    <row r="978" spans="5:14">
      <c r="E978" s="86"/>
      <c r="F978" s="87"/>
      <c r="G978" s="88"/>
      <c r="H978" s="89"/>
      <c r="I978" s="90"/>
      <c r="K978" s="91"/>
      <c r="L978" s="88"/>
      <c r="M978" s="92"/>
      <c r="N978" s="86"/>
    </row>
    <row r="979" spans="5:14">
      <c r="E979" s="86"/>
      <c r="F979" s="87"/>
      <c r="G979" s="88"/>
      <c r="H979" s="89"/>
      <c r="I979" s="90"/>
      <c r="K979" s="91"/>
      <c r="L979" s="88"/>
      <c r="M979" s="92"/>
      <c r="N979" s="86"/>
    </row>
    <row r="980" spans="5:14">
      <c r="E980" s="86"/>
      <c r="F980" s="87"/>
      <c r="G980" s="88"/>
      <c r="H980" s="89"/>
      <c r="I980" s="90"/>
      <c r="K980" s="91"/>
      <c r="L980" s="88"/>
      <c r="M980" s="92"/>
      <c r="N980" s="86"/>
    </row>
    <row r="981" spans="5:14">
      <c r="E981" s="86"/>
      <c r="F981" s="87"/>
      <c r="G981" s="88"/>
      <c r="H981" s="89"/>
      <c r="I981" s="90"/>
      <c r="K981" s="91"/>
      <c r="L981" s="88"/>
      <c r="M981" s="92"/>
      <c r="N981" s="86"/>
    </row>
    <row r="982" spans="5:14">
      <c r="E982" s="86"/>
      <c r="F982" s="87"/>
      <c r="G982" s="88"/>
      <c r="H982" s="89"/>
      <c r="I982" s="90"/>
      <c r="K982" s="91"/>
      <c r="L982" s="88"/>
      <c r="M982" s="92"/>
      <c r="N982" s="86"/>
    </row>
    <row r="983" spans="5:14">
      <c r="E983" s="86"/>
      <c r="F983" s="87"/>
      <c r="G983" s="88"/>
      <c r="H983" s="89"/>
      <c r="I983" s="90"/>
      <c r="K983" s="91"/>
      <c r="L983" s="88"/>
      <c r="M983" s="92"/>
      <c r="N983" s="86"/>
    </row>
    <row r="984" spans="5:14">
      <c r="E984" s="86"/>
      <c r="F984" s="87"/>
      <c r="G984" s="88"/>
      <c r="H984" s="89"/>
      <c r="I984" s="90"/>
      <c r="K984" s="91"/>
      <c r="L984" s="88"/>
      <c r="M984" s="92"/>
      <c r="N984" s="86"/>
    </row>
    <row r="985" spans="5:14">
      <c r="E985" s="86"/>
      <c r="F985" s="87"/>
      <c r="G985" s="88"/>
      <c r="H985" s="89"/>
      <c r="I985" s="90"/>
      <c r="K985" s="91"/>
      <c r="L985" s="88"/>
      <c r="M985" s="92"/>
      <c r="N985" s="86"/>
    </row>
    <row r="986" spans="5:14">
      <c r="E986" s="86"/>
      <c r="F986" s="87"/>
      <c r="G986" s="88"/>
      <c r="H986" s="89"/>
      <c r="I986" s="90"/>
      <c r="K986" s="91"/>
      <c r="L986" s="88"/>
      <c r="M986" s="92"/>
      <c r="N986" s="86"/>
    </row>
    <row r="987" spans="5:14">
      <c r="E987" s="86"/>
      <c r="F987" s="87"/>
      <c r="G987" s="88"/>
      <c r="H987" s="89"/>
      <c r="I987" s="90"/>
      <c r="K987" s="91"/>
      <c r="L987" s="88"/>
      <c r="M987" s="92"/>
      <c r="N987" s="86"/>
    </row>
    <row r="988" spans="5:14">
      <c r="E988" s="86"/>
      <c r="F988" s="87"/>
      <c r="G988" s="88"/>
      <c r="H988" s="89"/>
      <c r="I988" s="90"/>
      <c r="K988" s="91"/>
      <c r="L988" s="88"/>
      <c r="M988" s="92"/>
      <c r="N988" s="86"/>
    </row>
    <row r="989" spans="5:14">
      <c r="E989" s="86"/>
      <c r="F989" s="87"/>
      <c r="G989" s="88"/>
      <c r="H989" s="89"/>
      <c r="I989" s="90"/>
      <c r="K989" s="91"/>
      <c r="L989" s="88"/>
      <c r="M989" s="92"/>
      <c r="N989" s="86"/>
    </row>
    <row r="990" spans="5:14">
      <c r="E990" s="86"/>
      <c r="F990" s="87"/>
      <c r="G990" s="88"/>
      <c r="H990" s="89"/>
      <c r="I990" s="90"/>
      <c r="K990" s="91"/>
      <c r="L990" s="88"/>
      <c r="M990" s="92"/>
      <c r="N990" s="86"/>
    </row>
    <row r="991" spans="5:14">
      <c r="E991" s="86"/>
      <c r="F991" s="87"/>
      <c r="G991" s="88"/>
      <c r="H991" s="89"/>
      <c r="I991" s="90"/>
      <c r="K991" s="91"/>
      <c r="L991" s="88"/>
      <c r="M991" s="92"/>
      <c r="N991" s="86"/>
    </row>
    <row r="992" spans="5:14">
      <c r="E992" s="86"/>
      <c r="F992" s="87"/>
      <c r="G992" s="88"/>
      <c r="H992" s="89"/>
      <c r="I992" s="90"/>
      <c r="K992" s="91"/>
      <c r="L992" s="88"/>
      <c r="M992" s="92"/>
      <c r="N992" s="86"/>
    </row>
    <row r="993" spans="5:14">
      <c r="E993" s="86"/>
      <c r="F993" s="87"/>
      <c r="G993" s="88"/>
      <c r="H993" s="89"/>
      <c r="I993" s="90"/>
      <c r="K993" s="91"/>
      <c r="L993" s="88"/>
      <c r="M993" s="92"/>
      <c r="N993" s="86"/>
    </row>
    <row r="994" spans="5:14">
      <c r="E994" s="86"/>
      <c r="F994" s="87"/>
      <c r="G994" s="88"/>
      <c r="H994" s="89"/>
      <c r="I994" s="90"/>
      <c r="K994" s="91"/>
      <c r="L994" s="88"/>
      <c r="M994" s="92"/>
      <c r="N994" s="86"/>
    </row>
    <row r="995" spans="5:14">
      <c r="E995" s="86"/>
      <c r="F995" s="87"/>
      <c r="G995" s="88"/>
      <c r="H995" s="89"/>
      <c r="I995" s="90"/>
      <c r="K995" s="91"/>
      <c r="L995" s="88"/>
      <c r="M995" s="92"/>
      <c r="N995" s="86"/>
    </row>
    <row r="996" spans="5:14">
      <c r="E996" s="86"/>
      <c r="F996" s="87"/>
      <c r="G996" s="88"/>
      <c r="H996" s="89"/>
      <c r="I996" s="90"/>
      <c r="K996" s="91"/>
      <c r="L996" s="88"/>
      <c r="M996" s="92"/>
      <c r="N996" s="86"/>
    </row>
    <row r="997" spans="5:14">
      <c r="E997" s="86"/>
      <c r="F997" s="87"/>
      <c r="G997" s="88"/>
      <c r="H997" s="89"/>
      <c r="I997" s="90"/>
      <c r="K997" s="91"/>
      <c r="L997" s="88"/>
      <c r="M997" s="92"/>
      <c r="N997" s="86"/>
    </row>
    <row r="998" spans="5:14">
      <c r="E998" s="86"/>
      <c r="F998" s="87"/>
      <c r="G998" s="88"/>
      <c r="H998" s="89"/>
      <c r="I998" s="90"/>
      <c r="K998" s="91"/>
      <c r="L998" s="88"/>
      <c r="M998" s="92"/>
      <c r="N998" s="86"/>
    </row>
    <row r="999" spans="5:14">
      <c r="E999" s="86"/>
      <c r="F999" s="87"/>
      <c r="G999" s="88"/>
      <c r="H999" s="89"/>
      <c r="I999" s="90"/>
      <c r="K999" s="91"/>
      <c r="L999" s="88"/>
      <c r="M999" s="92"/>
      <c r="N999" s="86"/>
    </row>
    <row r="1000" spans="5:14">
      <c r="E1000" s="86"/>
      <c r="F1000" s="87"/>
      <c r="G1000" s="88"/>
      <c r="H1000" s="89"/>
      <c r="I1000" s="90"/>
      <c r="K1000" s="91"/>
      <c r="L1000" s="88"/>
      <c r="M1000" s="92"/>
      <c r="N1000" s="86"/>
    </row>
    <row r="1001" spans="5:14">
      <c r="E1001" s="86"/>
      <c r="F1001" s="87"/>
      <c r="G1001" s="88"/>
      <c r="H1001" s="89"/>
      <c r="I1001" s="90"/>
      <c r="K1001" s="91"/>
      <c r="L1001" s="88"/>
      <c r="M1001" s="92"/>
      <c r="N1001" s="86"/>
    </row>
    <row r="1002" spans="5:14">
      <c r="E1002" s="86"/>
      <c r="F1002" s="87"/>
      <c r="G1002" s="88"/>
      <c r="H1002" s="89"/>
      <c r="I1002" s="90"/>
      <c r="K1002" s="91"/>
      <c r="L1002" s="88"/>
      <c r="M1002" s="92"/>
      <c r="N1002" s="86"/>
    </row>
    <row r="1003" spans="5:14">
      <c r="E1003" s="86"/>
      <c r="F1003" s="87"/>
      <c r="G1003" s="88"/>
      <c r="H1003" s="89"/>
      <c r="I1003" s="90"/>
      <c r="K1003" s="91"/>
      <c r="L1003" s="88"/>
      <c r="M1003" s="92"/>
      <c r="N1003" s="86"/>
    </row>
    <row r="1004" spans="5:14">
      <c r="E1004" s="86"/>
      <c r="F1004" s="87"/>
      <c r="G1004" s="88"/>
      <c r="H1004" s="89"/>
      <c r="I1004" s="90"/>
      <c r="K1004" s="91"/>
      <c r="L1004" s="88"/>
      <c r="M1004" s="92"/>
      <c r="N1004" s="86"/>
    </row>
    <row r="1005" spans="5:14">
      <c r="E1005" s="86"/>
      <c r="F1005" s="87"/>
      <c r="G1005" s="88"/>
      <c r="H1005" s="89"/>
      <c r="I1005" s="90"/>
      <c r="K1005" s="91"/>
      <c r="L1005" s="88"/>
      <c r="M1005" s="92"/>
      <c r="N1005" s="86"/>
    </row>
    <row r="1006" spans="5:14">
      <c r="E1006" s="86"/>
      <c r="F1006" s="87"/>
      <c r="G1006" s="88"/>
      <c r="H1006" s="89"/>
      <c r="I1006" s="90"/>
      <c r="K1006" s="91"/>
      <c r="L1006" s="88"/>
      <c r="M1006" s="92"/>
      <c r="N1006" s="86"/>
    </row>
    <row r="1007" spans="5:14">
      <c r="E1007" s="86"/>
      <c r="F1007" s="87"/>
      <c r="G1007" s="88"/>
      <c r="H1007" s="89"/>
      <c r="I1007" s="90"/>
      <c r="K1007" s="91"/>
      <c r="L1007" s="88"/>
      <c r="M1007" s="92"/>
      <c r="N1007" s="86"/>
    </row>
    <row r="1008" spans="5:14">
      <c r="E1008" s="86"/>
      <c r="F1008" s="87"/>
      <c r="G1008" s="88"/>
      <c r="H1008" s="89"/>
      <c r="I1008" s="90"/>
      <c r="K1008" s="91"/>
      <c r="L1008" s="88"/>
      <c r="M1008" s="92"/>
      <c r="N1008" s="86"/>
    </row>
    <row r="1009" spans="5:14">
      <c r="E1009" s="86"/>
      <c r="F1009" s="87"/>
      <c r="G1009" s="88"/>
      <c r="H1009" s="89"/>
      <c r="I1009" s="90"/>
      <c r="K1009" s="91"/>
      <c r="L1009" s="88"/>
      <c r="M1009" s="92"/>
      <c r="N1009" s="86"/>
    </row>
    <row r="1010" spans="5:14">
      <c r="E1010" s="86"/>
      <c r="F1010" s="87"/>
      <c r="G1010" s="88"/>
      <c r="H1010" s="89"/>
      <c r="I1010" s="90"/>
      <c r="K1010" s="91"/>
      <c r="L1010" s="88"/>
      <c r="M1010" s="92"/>
      <c r="N1010" s="86"/>
    </row>
    <row r="1011" spans="5:14">
      <c r="E1011" s="86"/>
      <c r="F1011" s="87"/>
      <c r="G1011" s="88"/>
      <c r="H1011" s="89"/>
      <c r="I1011" s="90"/>
      <c r="K1011" s="91"/>
      <c r="L1011" s="88"/>
      <c r="M1011" s="92"/>
      <c r="N1011" s="86"/>
    </row>
    <row r="1012" spans="5:14">
      <c r="E1012" s="86"/>
      <c r="F1012" s="87"/>
      <c r="G1012" s="88"/>
      <c r="H1012" s="89"/>
      <c r="I1012" s="90"/>
      <c r="K1012" s="91"/>
      <c r="L1012" s="88"/>
      <c r="M1012" s="92"/>
      <c r="N1012" s="86"/>
    </row>
    <row r="1013" spans="5:14">
      <c r="E1013" s="86"/>
      <c r="F1013" s="87"/>
      <c r="G1013" s="88"/>
      <c r="H1013" s="89"/>
      <c r="I1013" s="90"/>
      <c r="K1013" s="91"/>
      <c r="L1013" s="88"/>
      <c r="M1013" s="92"/>
      <c r="N1013" s="86"/>
    </row>
    <row r="1014" spans="5:14">
      <c r="E1014" s="86"/>
      <c r="F1014" s="87"/>
      <c r="G1014" s="88"/>
      <c r="H1014" s="89"/>
      <c r="I1014" s="90"/>
      <c r="K1014" s="91"/>
      <c r="L1014" s="88"/>
      <c r="M1014" s="92"/>
      <c r="N1014" s="86"/>
    </row>
    <row r="1015" spans="5:14">
      <c r="E1015" s="86"/>
      <c r="F1015" s="87"/>
      <c r="G1015" s="88"/>
      <c r="H1015" s="89"/>
      <c r="I1015" s="90"/>
      <c r="K1015" s="91"/>
      <c r="L1015" s="88"/>
      <c r="M1015" s="92"/>
      <c r="N1015" s="86"/>
    </row>
    <row r="1016" spans="5:14">
      <c r="E1016" s="86"/>
      <c r="F1016" s="87"/>
      <c r="G1016" s="88"/>
      <c r="H1016" s="89"/>
      <c r="I1016" s="90"/>
      <c r="K1016" s="91"/>
      <c r="L1016" s="88"/>
      <c r="M1016" s="92"/>
      <c r="N1016" s="86"/>
    </row>
    <row r="1017" spans="5:14">
      <c r="E1017" s="86"/>
      <c r="F1017" s="87"/>
      <c r="G1017" s="88"/>
      <c r="H1017" s="89"/>
      <c r="I1017" s="90"/>
      <c r="K1017" s="91"/>
      <c r="L1017" s="88"/>
      <c r="M1017" s="92"/>
      <c r="N1017" s="86"/>
    </row>
    <row r="1018" spans="5:14">
      <c r="E1018" s="86"/>
      <c r="F1018" s="87"/>
      <c r="G1018" s="88"/>
      <c r="H1018" s="89"/>
      <c r="I1018" s="90"/>
      <c r="K1018" s="91"/>
      <c r="L1018" s="88"/>
      <c r="M1018" s="92"/>
      <c r="N1018" s="86"/>
    </row>
    <row r="1019" spans="5:14">
      <c r="E1019" s="86"/>
      <c r="F1019" s="87"/>
      <c r="G1019" s="88"/>
      <c r="H1019" s="89"/>
      <c r="I1019" s="90"/>
      <c r="K1019" s="91"/>
      <c r="L1019" s="88"/>
      <c r="M1019" s="92"/>
      <c r="N1019" s="86"/>
    </row>
    <row r="1020" spans="5:14">
      <c r="E1020" s="86"/>
      <c r="F1020" s="87"/>
      <c r="G1020" s="88"/>
      <c r="H1020" s="89"/>
      <c r="I1020" s="90"/>
      <c r="K1020" s="91"/>
      <c r="L1020" s="88"/>
      <c r="M1020" s="92"/>
      <c r="N1020" s="86"/>
    </row>
    <row r="1021" spans="5:14">
      <c r="E1021" s="86"/>
      <c r="F1021" s="87"/>
      <c r="G1021" s="88"/>
      <c r="H1021" s="89"/>
      <c r="I1021" s="90"/>
      <c r="K1021" s="91"/>
      <c r="L1021" s="88"/>
      <c r="M1021" s="92"/>
      <c r="N1021" s="86"/>
    </row>
    <row r="1022" spans="5:14">
      <c r="E1022" s="86"/>
      <c r="F1022" s="87"/>
      <c r="G1022" s="88"/>
      <c r="H1022" s="89"/>
      <c r="I1022" s="90"/>
      <c r="K1022" s="91"/>
      <c r="L1022" s="88"/>
      <c r="M1022" s="92"/>
      <c r="N1022" s="86"/>
    </row>
    <row r="1023" spans="5:14">
      <c r="E1023" s="86"/>
      <c r="F1023" s="87"/>
      <c r="G1023" s="88"/>
      <c r="H1023" s="89"/>
      <c r="I1023" s="90"/>
      <c r="K1023" s="91"/>
      <c r="L1023" s="88"/>
      <c r="M1023" s="92"/>
      <c r="N1023" s="86"/>
    </row>
    <row r="1024" spans="5:14">
      <c r="E1024" s="86"/>
      <c r="F1024" s="87"/>
      <c r="G1024" s="88"/>
      <c r="H1024" s="89"/>
      <c r="I1024" s="90"/>
      <c r="K1024" s="91"/>
      <c r="L1024" s="88"/>
      <c r="M1024" s="92"/>
      <c r="N1024" s="86"/>
    </row>
    <row r="1025" spans="5:14">
      <c r="E1025" s="86"/>
      <c r="F1025" s="87"/>
      <c r="G1025" s="88"/>
      <c r="H1025" s="89"/>
      <c r="I1025" s="90"/>
      <c r="K1025" s="91"/>
      <c r="L1025" s="88"/>
      <c r="M1025" s="92"/>
      <c r="N1025" s="86"/>
    </row>
    <row r="1026" spans="5:14">
      <c r="E1026" s="86"/>
      <c r="F1026" s="87"/>
      <c r="G1026" s="88"/>
      <c r="H1026" s="89"/>
      <c r="I1026" s="90"/>
      <c r="K1026" s="91"/>
      <c r="L1026" s="88"/>
      <c r="M1026" s="92"/>
      <c r="N1026" s="86"/>
    </row>
    <row r="1027" spans="5:14">
      <c r="E1027" s="86"/>
      <c r="F1027" s="87"/>
      <c r="G1027" s="88"/>
      <c r="H1027" s="89"/>
      <c r="I1027" s="90"/>
      <c r="K1027" s="91"/>
      <c r="L1027" s="88"/>
      <c r="M1027" s="92"/>
      <c r="N1027" s="86"/>
    </row>
    <row r="1028" spans="5:14">
      <c r="E1028" s="86"/>
      <c r="F1028" s="87"/>
      <c r="G1028" s="88"/>
      <c r="H1028" s="89"/>
      <c r="I1028" s="90"/>
      <c r="K1028" s="91"/>
      <c r="L1028" s="88"/>
      <c r="M1028" s="92"/>
      <c r="N1028" s="86"/>
    </row>
    <row r="1029" spans="5:14">
      <c r="E1029" s="86"/>
      <c r="F1029" s="87"/>
      <c r="G1029" s="88"/>
      <c r="H1029" s="89"/>
      <c r="I1029" s="90"/>
      <c r="K1029" s="91"/>
      <c r="L1029" s="88"/>
      <c r="M1029" s="92"/>
      <c r="N1029" s="86"/>
    </row>
    <row r="1030" spans="5:14">
      <c r="E1030" s="86"/>
      <c r="F1030" s="87"/>
      <c r="G1030" s="88"/>
      <c r="H1030" s="89"/>
      <c r="I1030" s="90"/>
      <c r="K1030" s="91"/>
      <c r="L1030" s="88"/>
      <c r="M1030" s="92"/>
      <c r="N1030" s="86"/>
    </row>
    <row r="1031" spans="5:14">
      <c r="E1031" s="86"/>
      <c r="F1031" s="87"/>
      <c r="G1031" s="88"/>
      <c r="H1031" s="89"/>
      <c r="I1031" s="90"/>
      <c r="K1031" s="91"/>
      <c r="L1031" s="88"/>
      <c r="M1031" s="92"/>
      <c r="N1031" s="86"/>
    </row>
    <row r="1032" spans="5:14">
      <c r="E1032" s="86"/>
      <c r="F1032" s="87"/>
      <c r="G1032" s="88"/>
      <c r="H1032" s="89"/>
      <c r="I1032" s="90"/>
      <c r="K1032" s="91"/>
      <c r="L1032" s="88"/>
      <c r="M1032" s="92"/>
      <c r="N1032" s="86"/>
    </row>
    <row r="1033" spans="5:14">
      <c r="E1033" s="86"/>
      <c r="F1033" s="87"/>
      <c r="G1033" s="88"/>
      <c r="H1033" s="89"/>
      <c r="I1033" s="90"/>
      <c r="K1033" s="91"/>
      <c r="L1033" s="88"/>
      <c r="M1033" s="92"/>
      <c r="N1033" s="86"/>
    </row>
    <row r="1034" spans="5:14">
      <c r="E1034" s="86"/>
      <c r="F1034" s="87"/>
      <c r="G1034" s="88"/>
      <c r="H1034" s="89"/>
      <c r="I1034" s="90"/>
      <c r="K1034" s="91"/>
      <c r="L1034" s="88"/>
      <c r="M1034" s="92"/>
      <c r="N1034" s="86"/>
    </row>
    <row r="1035" spans="5:14">
      <c r="E1035" s="86"/>
      <c r="F1035" s="87"/>
      <c r="G1035" s="88"/>
      <c r="H1035" s="89"/>
      <c r="I1035" s="90"/>
      <c r="K1035" s="91"/>
      <c r="L1035" s="88"/>
      <c r="M1035" s="92"/>
      <c r="N1035" s="86"/>
    </row>
    <row r="1036" spans="5:14">
      <c r="E1036" s="86"/>
      <c r="F1036" s="87"/>
      <c r="G1036" s="88"/>
      <c r="H1036" s="89"/>
      <c r="I1036" s="90"/>
      <c r="K1036" s="91"/>
      <c r="L1036" s="88"/>
      <c r="M1036" s="92"/>
      <c r="N1036" s="86"/>
    </row>
    <row r="1037" spans="5:14">
      <c r="E1037" s="86"/>
      <c r="F1037" s="87"/>
      <c r="G1037" s="88"/>
      <c r="H1037" s="89"/>
      <c r="I1037" s="90"/>
      <c r="K1037" s="91"/>
      <c r="L1037" s="88"/>
      <c r="M1037" s="92"/>
      <c r="N1037" s="86"/>
    </row>
    <row r="1038" spans="5:14">
      <c r="E1038" s="86"/>
      <c r="F1038" s="87"/>
      <c r="G1038" s="88"/>
      <c r="H1038" s="89"/>
      <c r="I1038" s="90"/>
      <c r="K1038" s="91"/>
      <c r="L1038" s="88"/>
      <c r="M1038" s="92"/>
      <c r="N1038" s="86"/>
    </row>
    <row r="1039" spans="5:14">
      <c r="E1039" s="86"/>
      <c r="F1039" s="87"/>
      <c r="G1039" s="88"/>
      <c r="H1039" s="89"/>
      <c r="I1039" s="90"/>
      <c r="K1039" s="91"/>
      <c r="L1039" s="88"/>
      <c r="M1039" s="92"/>
      <c r="N1039" s="86"/>
    </row>
    <row r="1040" spans="5:14">
      <c r="E1040" s="86"/>
      <c r="F1040" s="87"/>
      <c r="G1040" s="88"/>
      <c r="H1040" s="89"/>
      <c r="I1040" s="90"/>
      <c r="K1040" s="91"/>
      <c r="L1040" s="88"/>
      <c r="M1040" s="92"/>
      <c r="N1040" s="86"/>
    </row>
    <row r="1041" spans="5:14">
      <c r="E1041" s="86"/>
      <c r="F1041" s="87"/>
      <c r="G1041" s="88"/>
      <c r="H1041" s="89"/>
      <c r="I1041" s="90"/>
      <c r="K1041" s="91"/>
      <c r="L1041" s="88"/>
      <c r="M1041" s="92"/>
      <c r="N1041" s="86"/>
    </row>
    <row r="1042" spans="5:14">
      <c r="E1042" s="86"/>
      <c r="F1042" s="87"/>
      <c r="G1042" s="88"/>
      <c r="H1042" s="89"/>
      <c r="I1042" s="90"/>
      <c r="K1042" s="91"/>
      <c r="L1042" s="88"/>
      <c r="M1042" s="92"/>
      <c r="N1042" s="86"/>
    </row>
    <row r="1043" spans="5:14">
      <c r="E1043" s="86"/>
      <c r="F1043" s="87"/>
      <c r="G1043" s="88"/>
      <c r="H1043" s="89"/>
      <c r="I1043" s="90"/>
      <c r="K1043" s="91"/>
      <c r="L1043" s="88"/>
      <c r="M1043" s="92"/>
      <c r="N1043" s="86"/>
    </row>
    <row r="1044" spans="5:14">
      <c r="E1044" s="86"/>
      <c r="F1044" s="87"/>
      <c r="G1044" s="88"/>
      <c r="H1044" s="89"/>
      <c r="I1044" s="90"/>
      <c r="K1044" s="91"/>
      <c r="L1044" s="88"/>
      <c r="M1044" s="92"/>
      <c r="N1044" s="86"/>
    </row>
    <row r="1045" spans="5:14">
      <c r="E1045" s="86"/>
      <c r="F1045" s="87"/>
      <c r="G1045" s="88"/>
      <c r="H1045" s="89"/>
      <c r="I1045" s="90"/>
      <c r="K1045" s="91"/>
      <c r="L1045" s="88"/>
      <c r="M1045" s="92"/>
      <c r="N1045" s="86"/>
    </row>
    <row r="1046" spans="5:14">
      <c r="E1046" s="86"/>
      <c r="F1046" s="87"/>
      <c r="G1046" s="88"/>
      <c r="H1046" s="89"/>
      <c r="I1046" s="90"/>
      <c r="K1046" s="91"/>
      <c r="L1046" s="88"/>
      <c r="M1046" s="92"/>
      <c r="N1046" s="86"/>
    </row>
    <row r="1047" spans="5:14">
      <c r="E1047" s="86"/>
      <c r="F1047" s="87"/>
      <c r="G1047" s="88"/>
      <c r="H1047" s="89"/>
      <c r="I1047" s="90"/>
      <c r="K1047" s="91"/>
      <c r="L1047" s="88"/>
      <c r="M1047" s="92"/>
      <c r="N1047" s="86"/>
    </row>
    <row r="1048" spans="5:14">
      <c r="E1048" s="86"/>
      <c r="F1048" s="87"/>
      <c r="G1048" s="88"/>
      <c r="H1048" s="89"/>
      <c r="I1048" s="90"/>
      <c r="K1048" s="91"/>
      <c r="L1048" s="88"/>
      <c r="M1048" s="92"/>
      <c r="N1048" s="86"/>
    </row>
    <row r="1049" spans="5:14">
      <c r="E1049" s="86"/>
      <c r="F1049" s="87"/>
      <c r="G1049" s="88"/>
      <c r="H1049" s="89"/>
      <c r="I1049" s="90"/>
      <c r="K1049" s="91"/>
      <c r="L1049" s="88"/>
      <c r="M1049" s="92"/>
      <c r="N1049" s="86"/>
    </row>
    <row r="1050" spans="5:14">
      <c r="E1050" s="86"/>
      <c r="F1050" s="87"/>
      <c r="G1050" s="88"/>
      <c r="H1050" s="89"/>
      <c r="I1050" s="90"/>
      <c r="K1050" s="91"/>
      <c r="L1050" s="88"/>
      <c r="M1050" s="92"/>
      <c r="N1050" s="86"/>
    </row>
    <row r="1051" spans="5:14">
      <c r="E1051" s="86"/>
      <c r="F1051" s="87"/>
      <c r="G1051" s="88"/>
      <c r="H1051" s="89"/>
      <c r="I1051" s="90"/>
      <c r="K1051" s="91"/>
      <c r="L1051" s="88"/>
      <c r="M1051" s="92"/>
      <c r="N1051" s="86"/>
    </row>
    <row r="1052" spans="5:14">
      <c r="E1052" s="86"/>
      <c r="F1052" s="87"/>
      <c r="G1052" s="88"/>
      <c r="H1052" s="89"/>
      <c r="I1052" s="90"/>
      <c r="K1052" s="91"/>
      <c r="L1052" s="88"/>
      <c r="M1052" s="92"/>
      <c r="N1052" s="86"/>
    </row>
    <row r="1053" spans="5:14">
      <c r="E1053" s="86"/>
      <c r="F1053" s="87"/>
      <c r="G1053" s="88"/>
      <c r="H1053" s="89"/>
      <c r="I1053" s="90"/>
      <c r="K1053" s="91"/>
      <c r="L1053" s="88"/>
      <c r="M1053" s="92"/>
      <c r="N1053" s="86"/>
    </row>
    <row r="1054" spans="5:14">
      <c r="E1054" s="86"/>
      <c r="F1054" s="87"/>
      <c r="G1054" s="88"/>
      <c r="H1054" s="89"/>
      <c r="I1054" s="90"/>
      <c r="K1054" s="91"/>
      <c r="L1054" s="88"/>
      <c r="M1054" s="92"/>
      <c r="N1054" s="86"/>
    </row>
    <row r="1055" spans="5:14">
      <c r="E1055" s="86"/>
      <c r="F1055" s="87"/>
      <c r="G1055" s="88"/>
      <c r="H1055" s="89"/>
      <c r="I1055" s="90"/>
      <c r="K1055" s="91"/>
      <c r="L1055" s="88"/>
      <c r="M1055" s="92"/>
      <c r="N1055" s="86"/>
    </row>
    <row r="1056" spans="5:14">
      <c r="E1056" s="86"/>
      <c r="F1056" s="87"/>
      <c r="G1056" s="88"/>
      <c r="H1056" s="89"/>
      <c r="I1056" s="90"/>
      <c r="K1056" s="91"/>
      <c r="L1056" s="88"/>
      <c r="M1056" s="92"/>
      <c r="N1056" s="86"/>
    </row>
    <row r="1057" spans="5:14">
      <c r="E1057" s="86"/>
      <c r="F1057" s="87"/>
      <c r="G1057" s="88"/>
      <c r="H1057" s="89"/>
      <c r="I1057" s="90"/>
      <c r="K1057" s="91"/>
      <c r="L1057" s="88"/>
      <c r="M1057" s="92"/>
      <c r="N1057" s="86"/>
    </row>
    <row r="1058" spans="5:14">
      <c r="E1058" s="86"/>
      <c r="F1058" s="87"/>
      <c r="G1058" s="88"/>
      <c r="H1058" s="89"/>
      <c r="I1058" s="90"/>
      <c r="K1058" s="91"/>
      <c r="L1058" s="88"/>
      <c r="M1058" s="92"/>
      <c r="N1058" s="86"/>
    </row>
    <row r="1059" spans="5:14">
      <c r="E1059" s="86"/>
      <c r="F1059" s="87"/>
      <c r="G1059" s="88"/>
      <c r="H1059" s="89"/>
      <c r="I1059" s="90"/>
      <c r="K1059" s="91"/>
      <c r="L1059" s="88"/>
      <c r="M1059" s="92"/>
      <c r="N1059" s="86"/>
    </row>
    <row r="1060" spans="5:14">
      <c r="E1060" s="86"/>
      <c r="F1060" s="87"/>
      <c r="G1060" s="88"/>
      <c r="H1060" s="89"/>
      <c r="I1060" s="90"/>
      <c r="K1060" s="91"/>
      <c r="L1060" s="88"/>
      <c r="M1060" s="92"/>
      <c r="N1060" s="86"/>
    </row>
    <row r="1061" spans="5:14">
      <c r="E1061" s="86"/>
      <c r="F1061" s="87"/>
      <c r="G1061" s="88"/>
      <c r="H1061" s="89"/>
      <c r="I1061" s="90"/>
      <c r="K1061" s="91"/>
      <c r="L1061" s="88"/>
      <c r="M1061" s="92"/>
      <c r="N1061" s="86"/>
    </row>
    <row r="1062" spans="5:14">
      <c r="E1062" s="86"/>
      <c r="F1062" s="87"/>
      <c r="G1062" s="88"/>
      <c r="H1062" s="89"/>
      <c r="I1062" s="90"/>
      <c r="K1062" s="91"/>
      <c r="L1062" s="88"/>
      <c r="M1062" s="92"/>
      <c r="N1062" s="86"/>
    </row>
    <row r="1063" spans="5:14">
      <c r="E1063" s="86"/>
      <c r="F1063" s="87"/>
      <c r="G1063" s="88"/>
      <c r="H1063" s="89"/>
      <c r="I1063" s="90"/>
      <c r="K1063" s="91"/>
      <c r="L1063" s="88"/>
      <c r="M1063" s="92"/>
      <c r="N1063" s="86"/>
    </row>
    <row r="1064" spans="5:14">
      <c r="E1064" s="86"/>
      <c r="F1064" s="87"/>
      <c r="G1064" s="88"/>
      <c r="H1064" s="89"/>
      <c r="I1064" s="90"/>
      <c r="K1064" s="91"/>
      <c r="L1064" s="88"/>
      <c r="M1064" s="92"/>
      <c r="N1064" s="86"/>
    </row>
    <row r="1065" spans="5:14">
      <c r="E1065" s="86"/>
      <c r="F1065" s="87"/>
      <c r="G1065" s="88"/>
      <c r="H1065" s="89"/>
      <c r="I1065" s="90"/>
      <c r="K1065" s="91"/>
      <c r="L1065" s="88"/>
      <c r="M1065" s="92"/>
      <c r="N1065" s="86"/>
    </row>
    <row r="1066" spans="5:14">
      <c r="E1066" s="86"/>
      <c r="F1066" s="87"/>
      <c r="G1066" s="88"/>
      <c r="H1066" s="89"/>
      <c r="I1066" s="90"/>
      <c r="K1066" s="91"/>
      <c r="L1066" s="88"/>
      <c r="M1066" s="92"/>
      <c r="N1066" s="86"/>
    </row>
    <row r="1067" spans="5:14">
      <c r="E1067" s="86"/>
      <c r="F1067" s="87"/>
      <c r="G1067" s="88"/>
      <c r="H1067" s="89"/>
      <c r="I1067" s="90"/>
      <c r="K1067" s="91"/>
      <c r="L1067" s="88"/>
      <c r="M1067" s="92"/>
      <c r="N1067" s="86"/>
    </row>
    <row r="1068" spans="5:14">
      <c r="E1068" s="86"/>
      <c r="F1068" s="87"/>
      <c r="G1068" s="88"/>
      <c r="H1068" s="89"/>
      <c r="I1068" s="90"/>
      <c r="K1068" s="91"/>
      <c r="L1068" s="88"/>
      <c r="M1068" s="92"/>
      <c r="N1068" s="86"/>
    </row>
    <row r="1069" spans="5:14">
      <c r="E1069" s="86"/>
      <c r="F1069" s="87"/>
      <c r="G1069" s="88"/>
      <c r="H1069" s="89"/>
      <c r="I1069" s="90"/>
      <c r="K1069" s="91"/>
      <c r="L1069" s="88"/>
      <c r="M1069" s="92"/>
      <c r="N1069" s="86"/>
    </row>
    <row r="1070" spans="5:14">
      <c r="E1070" s="86"/>
      <c r="F1070" s="87"/>
      <c r="G1070" s="88"/>
      <c r="H1070" s="89"/>
      <c r="I1070" s="90"/>
      <c r="K1070" s="91"/>
      <c r="L1070" s="88"/>
      <c r="M1070" s="92"/>
      <c r="N1070" s="86"/>
    </row>
    <row r="1071" spans="5:14">
      <c r="E1071" s="86"/>
      <c r="F1071" s="87"/>
      <c r="G1071" s="88"/>
      <c r="H1071" s="89"/>
      <c r="I1071" s="90"/>
      <c r="K1071" s="91"/>
      <c r="L1071" s="88"/>
      <c r="M1071" s="92"/>
      <c r="N1071" s="86"/>
    </row>
    <row r="1072" spans="5:14">
      <c r="E1072" s="86"/>
      <c r="F1072" s="87"/>
      <c r="G1072" s="88"/>
      <c r="H1072" s="89"/>
      <c r="I1072" s="90"/>
      <c r="K1072" s="91"/>
      <c r="L1072" s="88"/>
      <c r="M1072" s="92"/>
      <c r="N1072" s="86"/>
    </row>
    <row r="1073" spans="5:14">
      <c r="E1073" s="86"/>
      <c r="F1073" s="87"/>
      <c r="G1073" s="88"/>
      <c r="H1073" s="89"/>
      <c r="I1073" s="90"/>
      <c r="K1073" s="91"/>
      <c r="L1073" s="88"/>
      <c r="M1073" s="92"/>
      <c r="N1073" s="86"/>
    </row>
    <row r="1074" spans="5:14">
      <c r="E1074" s="86"/>
      <c r="F1074" s="87"/>
      <c r="G1074" s="88"/>
      <c r="H1074" s="89"/>
      <c r="I1074" s="90"/>
      <c r="K1074" s="91"/>
      <c r="L1074" s="88"/>
      <c r="M1074" s="92"/>
      <c r="N1074" s="86"/>
    </row>
    <row r="1075" spans="5:14">
      <c r="E1075" s="86"/>
      <c r="F1075" s="87"/>
      <c r="G1075" s="88"/>
      <c r="H1075" s="89"/>
      <c r="I1075" s="90"/>
      <c r="K1075" s="91"/>
      <c r="L1075" s="88"/>
      <c r="M1075" s="92"/>
      <c r="N1075" s="86"/>
    </row>
    <row r="1076" spans="5:14">
      <c r="E1076" s="86"/>
      <c r="F1076" s="87"/>
      <c r="G1076" s="88"/>
      <c r="H1076" s="89"/>
      <c r="I1076" s="90"/>
      <c r="K1076" s="91"/>
      <c r="L1076" s="88"/>
      <c r="M1076" s="92"/>
      <c r="N1076" s="86"/>
    </row>
    <row r="1077" spans="5:14">
      <c r="E1077" s="86"/>
      <c r="F1077" s="87"/>
      <c r="G1077" s="88"/>
      <c r="H1077" s="89"/>
      <c r="I1077" s="90"/>
      <c r="K1077" s="91"/>
      <c r="L1077" s="88"/>
      <c r="M1077" s="92"/>
      <c r="N1077" s="86"/>
    </row>
    <row r="1078" spans="5:14">
      <c r="E1078" s="86"/>
      <c r="F1078" s="87"/>
      <c r="G1078" s="88"/>
      <c r="H1078" s="89"/>
      <c r="I1078" s="90"/>
      <c r="K1078" s="91"/>
      <c r="L1078" s="88"/>
      <c r="M1078" s="92"/>
      <c r="N1078" s="86"/>
    </row>
    <row r="1079" spans="5:14">
      <c r="E1079" s="86"/>
      <c r="F1079" s="87"/>
      <c r="G1079" s="88"/>
      <c r="H1079" s="89"/>
      <c r="I1079" s="90"/>
      <c r="K1079" s="91"/>
      <c r="L1079" s="88"/>
      <c r="M1079" s="92"/>
      <c r="N1079" s="86"/>
    </row>
    <row r="1080" spans="5:14">
      <c r="E1080" s="86"/>
      <c r="F1080" s="87"/>
      <c r="G1080" s="88"/>
      <c r="H1080" s="89"/>
      <c r="I1080" s="90"/>
      <c r="K1080" s="91"/>
      <c r="L1080" s="88"/>
      <c r="M1080" s="92"/>
      <c r="N1080" s="86"/>
    </row>
    <row r="1081" spans="5:14">
      <c r="E1081" s="86"/>
      <c r="F1081" s="87"/>
      <c r="G1081" s="88"/>
      <c r="H1081" s="89"/>
      <c r="I1081" s="90"/>
      <c r="K1081" s="91"/>
      <c r="L1081" s="88"/>
      <c r="M1081" s="92"/>
      <c r="N1081" s="86"/>
    </row>
    <row r="1082" spans="5:14">
      <c r="E1082" s="86"/>
      <c r="F1082" s="87"/>
      <c r="G1082" s="88"/>
      <c r="H1082" s="89"/>
      <c r="I1082" s="90"/>
      <c r="K1082" s="91"/>
      <c r="L1082" s="88"/>
      <c r="M1082" s="92"/>
      <c r="N1082" s="86"/>
    </row>
    <row r="1083" spans="5:14">
      <c r="E1083" s="86"/>
      <c r="F1083" s="87"/>
      <c r="G1083" s="88"/>
      <c r="H1083" s="89"/>
      <c r="I1083" s="90"/>
      <c r="K1083" s="91"/>
      <c r="L1083" s="88"/>
      <c r="M1083" s="92"/>
      <c r="N1083" s="86"/>
    </row>
    <row r="1084" spans="5:14">
      <c r="E1084" s="86"/>
      <c r="F1084" s="87"/>
      <c r="G1084" s="88"/>
      <c r="H1084" s="89"/>
      <c r="I1084" s="90"/>
      <c r="K1084" s="91"/>
      <c r="L1084" s="88"/>
      <c r="M1084" s="92"/>
      <c r="N1084" s="86"/>
    </row>
    <row r="1085" spans="5:14">
      <c r="E1085" s="86"/>
      <c r="F1085" s="87"/>
      <c r="G1085" s="88"/>
      <c r="H1085" s="89"/>
      <c r="I1085" s="90"/>
      <c r="K1085" s="91"/>
      <c r="L1085" s="88"/>
      <c r="M1085" s="92"/>
      <c r="N1085" s="86"/>
    </row>
    <row r="1086" spans="5:14">
      <c r="E1086" s="86"/>
      <c r="F1086" s="87"/>
      <c r="G1086" s="88"/>
      <c r="H1086" s="89"/>
      <c r="I1086" s="90"/>
      <c r="K1086" s="91"/>
      <c r="L1086" s="88"/>
      <c r="M1086" s="92"/>
      <c r="N1086" s="86"/>
    </row>
    <row r="1087" spans="5:14">
      <c r="E1087" s="86"/>
      <c r="F1087" s="87"/>
      <c r="G1087" s="88"/>
      <c r="H1087" s="89"/>
      <c r="I1087" s="90"/>
      <c r="K1087" s="91"/>
      <c r="L1087" s="88"/>
      <c r="M1087" s="92"/>
      <c r="N1087" s="86"/>
    </row>
    <row r="1088" spans="5:14">
      <c r="E1088" s="86"/>
      <c r="F1088" s="87"/>
      <c r="G1088" s="88"/>
      <c r="H1088" s="89"/>
      <c r="I1088" s="90"/>
      <c r="K1088" s="91"/>
      <c r="L1088" s="88"/>
      <c r="M1088" s="92"/>
      <c r="N1088" s="86"/>
    </row>
    <row r="1089" spans="5:14">
      <c r="E1089" s="86"/>
      <c r="F1089" s="87"/>
      <c r="G1089" s="88"/>
      <c r="H1089" s="89"/>
      <c r="I1089" s="90"/>
      <c r="K1089" s="91"/>
      <c r="L1089" s="88"/>
      <c r="M1089" s="92"/>
      <c r="N1089" s="86"/>
    </row>
    <row r="1090" spans="5:14">
      <c r="E1090" s="86"/>
      <c r="F1090" s="87"/>
      <c r="G1090" s="88"/>
      <c r="H1090" s="89"/>
      <c r="I1090" s="90"/>
      <c r="K1090" s="91"/>
      <c r="L1090" s="88"/>
      <c r="M1090" s="92"/>
      <c r="N1090" s="86"/>
    </row>
    <row r="1091" spans="5:14">
      <c r="E1091" s="86"/>
      <c r="F1091" s="87"/>
      <c r="G1091" s="88"/>
      <c r="H1091" s="89"/>
      <c r="I1091" s="90"/>
      <c r="K1091" s="91"/>
      <c r="L1091" s="88"/>
      <c r="M1091" s="92"/>
      <c r="N1091" s="86"/>
    </row>
    <row r="1092" spans="5:14">
      <c r="E1092" s="86"/>
      <c r="F1092" s="87"/>
      <c r="G1092" s="88"/>
      <c r="H1092" s="89"/>
      <c r="I1092" s="90"/>
      <c r="K1092" s="91"/>
      <c r="L1092" s="88"/>
      <c r="M1092" s="92"/>
      <c r="N1092" s="86"/>
    </row>
    <row r="1093" spans="5:14">
      <c r="E1093" s="86"/>
      <c r="F1093" s="87"/>
      <c r="G1093" s="88"/>
      <c r="H1093" s="89"/>
      <c r="I1093" s="90"/>
      <c r="K1093" s="91"/>
      <c r="L1093" s="88"/>
      <c r="M1093" s="92"/>
      <c r="N1093" s="86"/>
    </row>
    <row r="1094" spans="5:14">
      <c r="E1094" s="86"/>
      <c r="F1094" s="87"/>
      <c r="G1094" s="88"/>
      <c r="H1094" s="89"/>
      <c r="I1094" s="90"/>
      <c r="K1094" s="91"/>
      <c r="L1094" s="88"/>
      <c r="M1094" s="92"/>
      <c r="N1094" s="86"/>
    </row>
    <row r="1095" spans="5:14">
      <c r="E1095" s="86"/>
      <c r="F1095" s="87"/>
      <c r="G1095" s="88"/>
      <c r="H1095" s="89"/>
      <c r="I1095" s="90"/>
      <c r="K1095" s="91"/>
      <c r="L1095" s="88"/>
      <c r="M1095" s="92"/>
      <c r="N1095" s="86"/>
    </row>
    <row r="1096" spans="5:14">
      <c r="E1096" s="86"/>
      <c r="F1096" s="87"/>
      <c r="G1096" s="88"/>
      <c r="H1096" s="89"/>
      <c r="I1096" s="90"/>
      <c r="K1096" s="91"/>
      <c r="L1096" s="88"/>
      <c r="M1096" s="92"/>
      <c r="N1096" s="86"/>
    </row>
    <row r="1097" spans="5:14">
      <c r="E1097" s="86"/>
      <c r="F1097" s="87"/>
      <c r="G1097" s="88"/>
      <c r="H1097" s="89"/>
      <c r="I1097" s="90"/>
      <c r="K1097" s="91"/>
      <c r="L1097" s="88"/>
      <c r="M1097" s="92"/>
      <c r="N1097" s="86"/>
    </row>
    <row r="1098" spans="5:14">
      <c r="E1098" s="86"/>
      <c r="F1098" s="87"/>
      <c r="G1098" s="88"/>
      <c r="H1098" s="89"/>
      <c r="I1098" s="90"/>
      <c r="K1098" s="91"/>
      <c r="L1098" s="88"/>
      <c r="M1098" s="92"/>
      <c r="N1098" s="86"/>
    </row>
    <row r="1099" spans="5:14">
      <c r="E1099" s="86"/>
      <c r="F1099" s="87"/>
      <c r="G1099" s="88"/>
      <c r="H1099" s="89"/>
      <c r="I1099" s="90"/>
      <c r="K1099" s="91"/>
      <c r="L1099" s="88"/>
      <c r="M1099" s="92"/>
      <c r="N1099" s="86"/>
    </row>
    <row r="1100" spans="5:14">
      <c r="E1100" s="86"/>
      <c r="F1100" s="87"/>
      <c r="G1100" s="88"/>
      <c r="H1100" s="89"/>
      <c r="I1100" s="90"/>
      <c r="K1100" s="91"/>
      <c r="L1100" s="88"/>
      <c r="M1100" s="92"/>
      <c r="N1100" s="86"/>
    </row>
    <row r="1101" spans="5:14">
      <c r="E1101" s="86"/>
      <c r="F1101" s="87"/>
      <c r="G1101" s="88"/>
      <c r="H1101" s="89"/>
      <c r="I1101" s="90"/>
      <c r="K1101" s="91"/>
      <c r="L1101" s="88"/>
      <c r="M1101" s="92"/>
      <c r="N1101" s="86"/>
    </row>
    <row r="1102" spans="5:14">
      <c r="E1102" s="86"/>
      <c r="F1102" s="87"/>
      <c r="G1102" s="88"/>
      <c r="H1102" s="89"/>
      <c r="I1102" s="90"/>
      <c r="K1102" s="91"/>
      <c r="L1102" s="88"/>
      <c r="M1102" s="92"/>
      <c r="N1102" s="86"/>
    </row>
    <row r="1103" spans="5:14">
      <c r="E1103" s="86"/>
      <c r="F1103" s="87"/>
      <c r="G1103" s="88"/>
      <c r="H1103" s="89"/>
      <c r="I1103" s="90"/>
      <c r="K1103" s="91"/>
      <c r="L1103" s="88"/>
      <c r="M1103" s="92"/>
      <c r="N1103" s="86"/>
    </row>
    <row r="1104" spans="5:14">
      <c r="E1104" s="86"/>
      <c r="F1104" s="87"/>
      <c r="G1104" s="88"/>
      <c r="H1104" s="89"/>
      <c r="I1104" s="90"/>
      <c r="K1104" s="91"/>
      <c r="L1104" s="88"/>
      <c r="M1104" s="92"/>
      <c r="N1104" s="86"/>
    </row>
    <row r="1105" spans="5:14">
      <c r="E1105" s="86"/>
      <c r="F1105" s="87"/>
      <c r="G1105" s="88"/>
      <c r="H1105" s="89"/>
      <c r="I1105" s="90"/>
      <c r="K1105" s="91"/>
      <c r="L1105" s="88"/>
      <c r="M1105" s="92"/>
      <c r="N1105" s="86"/>
    </row>
    <row r="1106" spans="5:14">
      <c r="E1106" s="86"/>
      <c r="F1106" s="87"/>
      <c r="G1106" s="88"/>
      <c r="H1106" s="89"/>
      <c r="I1106" s="90"/>
      <c r="K1106" s="91"/>
      <c r="L1106" s="88"/>
      <c r="M1106" s="92"/>
      <c r="N1106" s="86"/>
    </row>
    <row r="1107" spans="5:14">
      <c r="E1107" s="86"/>
      <c r="F1107" s="87"/>
      <c r="G1107" s="88"/>
      <c r="H1107" s="89"/>
      <c r="I1107" s="90"/>
      <c r="K1107" s="91"/>
      <c r="L1107" s="88"/>
      <c r="M1107" s="92"/>
      <c r="N1107" s="86"/>
    </row>
    <row r="1108" spans="5:14">
      <c r="E1108" s="86"/>
      <c r="F1108" s="87"/>
      <c r="G1108" s="88"/>
      <c r="H1108" s="89"/>
      <c r="I1108" s="90"/>
      <c r="K1108" s="91"/>
      <c r="L1108" s="88"/>
      <c r="M1108" s="92"/>
      <c r="N1108" s="86"/>
    </row>
    <row r="1109" spans="5:14">
      <c r="E1109" s="86"/>
      <c r="F1109" s="87"/>
      <c r="G1109" s="88"/>
      <c r="H1109" s="89"/>
      <c r="I1109" s="90"/>
      <c r="K1109" s="91"/>
      <c r="L1109" s="88"/>
      <c r="M1109" s="92"/>
      <c r="N1109" s="86"/>
    </row>
    <row r="1110" spans="5:14">
      <c r="E1110" s="86"/>
      <c r="F1110" s="87"/>
      <c r="G1110" s="88"/>
      <c r="H1110" s="89"/>
      <c r="I1110" s="90"/>
      <c r="K1110" s="91"/>
      <c r="L1110" s="88"/>
      <c r="M1110" s="92"/>
      <c r="N1110" s="86"/>
    </row>
    <row r="1111" spans="5:14">
      <c r="E1111" s="86"/>
      <c r="F1111" s="87"/>
      <c r="G1111" s="88"/>
      <c r="H1111" s="89"/>
      <c r="I1111" s="90"/>
      <c r="K1111" s="91"/>
      <c r="L1111" s="88"/>
      <c r="M1111" s="92"/>
      <c r="N1111" s="86"/>
    </row>
    <row r="1112" spans="5:14">
      <c r="E1112" s="86"/>
      <c r="F1112" s="87"/>
      <c r="G1112" s="88"/>
      <c r="H1112" s="89"/>
      <c r="I1112" s="90"/>
      <c r="K1112" s="91"/>
      <c r="L1112" s="88"/>
      <c r="M1112" s="92"/>
      <c r="N1112" s="86"/>
    </row>
    <row r="1113" spans="5:14">
      <c r="E1113" s="86"/>
      <c r="F1113" s="87"/>
      <c r="G1113" s="88"/>
      <c r="H1113" s="89"/>
      <c r="I1113" s="90"/>
      <c r="K1113" s="91"/>
      <c r="L1113" s="88"/>
      <c r="M1113" s="92"/>
      <c r="N1113" s="86"/>
    </row>
    <row r="1114" spans="5:14">
      <c r="E1114" s="86"/>
      <c r="F1114" s="87"/>
      <c r="G1114" s="88"/>
      <c r="H1114" s="89"/>
      <c r="I1114" s="90"/>
      <c r="K1114" s="91"/>
      <c r="L1114" s="88"/>
      <c r="M1114" s="92"/>
      <c r="N1114" s="86"/>
    </row>
    <row r="1115" spans="5:14">
      <c r="E1115" s="86"/>
      <c r="F1115" s="87"/>
      <c r="G1115" s="88"/>
      <c r="H1115" s="89"/>
      <c r="I1115" s="90"/>
      <c r="K1115" s="91"/>
      <c r="L1115" s="88"/>
      <c r="M1115" s="92"/>
      <c r="N1115" s="86"/>
    </row>
    <row r="1116" spans="5:14">
      <c r="E1116" s="86"/>
      <c r="F1116" s="87"/>
      <c r="G1116" s="88"/>
      <c r="H1116" s="89"/>
      <c r="I1116" s="90"/>
      <c r="K1116" s="91"/>
      <c r="L1116" s="88"/>
      <c r="M1116" s="92"/>
      <c r="N1116" s="86"/>
    </row>
    <row r="1117" spans="5:14">
      <c r="E1117" s="86"/>
      <c r="F1117" s="87"/>
      <c r="G1117" s="88"/>
      <c r="H1117" s="89"/>
      <c r="I1117" s="90"/>
      <c r="K1117" s="91"/>
      <c r="L1117" s="88"/>
      <c r="M1117" s="92"/>
      <c r="N1117" s="86"/>
    </row>
    <row r="1118" spans="5:14">
      <c r="E1118" s="86"/>
      <c r="F1118" s="87"/>
      <c r="G1118" s="88"/>
      <c r="H1118" s="89"/>
      <c r="I1118" s="90"/>
      <c r="K1118" s="91"/>
      <c r="L1118" s="88"/>
      <c r="M1118" s="92"/>
      <c r="N1118" s="86"/>
    </row>
    <row r="1119" spans="5:14">
      <c r="E1119" s="86"/>
      <c r="F1119" s="87"/>
      <c r="G1119" s="88"/>
      <c r="H1119" s="89"/>
      <c r="I1119" s="90"/>
      <c r="K1119" s="91"/>
      <c r="L1119" s="88"/>
      <c r="M1119" s="92"/>
      <c r="N1119" s="86"/>
    </row>
    <row r="1120" spans="5:14">
      <c r="E1120" s="86"/>
      <c r="F1120" s="87"/>
      <c r="G1120" s="88"/>
      <c r="H1120" s="89"/>
      <c r="I1120" s="90"/>
      <c r="K1120" s="91"/>
      <c r="L1120" s="88"/>
      <c r="M1120" s="92"/>
      <c r="N1120" s="86"/>
    </row>
    <row r="1121" spans="5:14">
      <c r="E1121" s="86"/>
      <c r="F1121" s="87"/>
      <c r="G1121" s="88"/>
      <c r="H1121" s="89"/>
      <c r="I1121" s="90"/>
      <c r="K1121" s="91"/>
      <c r="L1121" s="88"/>
      <c r="M1121" s="92"/>
      <c r="N1121" s="86"/>
    </row>
    <row r="1122" spans="5:14">
      <c r="E1122" s="86"/>
      <c r="F1122" s="87"/>
      <c r="G1122" s="88"/>
      <c r="H1122" s="89"/>
      <c r="I1122" s="90"/>
      <c r="K1122" s="91"/>
      <c r="L1122" s="88"/>
      <c r="M1122" s="92"/>
      <c r="N1122" s="86"/>
    </row>
    <row r="1123" spans="5:14">
      <c r="E1123" s="86"/>
      <c r="F1123" s="87"/>
      <c r="G1123" s="88"/>
      <c r="H1123" s="89"/>
      <c r="I1123" s="90"/>
      <c r="K1123" s="91"/>
      <c r="L1123" s="88"/>
      <c r="M1123" s="92"/>
      <c r="N1123" s="86"/>
    </row>
    <row r="1124" spans="5:14">
      <c r="E1124" s="86"/>
      <c r="F1124" s="87"/>
      <c r="G1124" s="88"/>
      <c r="H1124" s="89"/>
      <c r="I1124" s="90"/>
      <c r="K1124" s="91"/>
      <c r="L1124" s="88"/>
      <c r="M1124" s="92"/>
      <c r="N1124" s="86"/>
    </row>
    <row r="1125" spans="5:14">
      <c r="E1125" s="86"/>
      <c r="F1125" s="87"/>
      <c r="G1125" s="88"/>
      <c r="H1125" s="89"/>
      <c r="I1125" s="90"/>
      <c r="K1125" s="91"/>
      <c r="L1125" s="88"/>
      <c r="M1125" s="92"/>
      <c r="N1125" s="86"/>
    </row>
    <row r="1126" spans="5:14">
      <c r="E1126" s="86"/>
      <c r="F1126" s="87"/>
      <c r="G1126" s="88"/>
      <c r="H1126" s="89"/>
      <c r="I1126" s="90"/>
      <c r="K1126" s="91"/>
      <c r="L1126" s="88"/>
      <c r="M1126" s="92"/>
      <c r="N1126" s="86"/>
    </row>
    <row r="1127" spans="5:14">
      <c r="E1127" s="86"/>
      <c r="F1127" s="87"/>
      <c r="G1127" s="88"/>
      <c r="H1127" s="89"/>
      <c r="I1127" s="90"/>
      <c r="K1127" s="91"/>
      <c r="L1127" s="88"/>
      <c r="M1127" s="92"/>
      <c r="N1127" s="86"/>
    </row>
    <row r="1128" spans="5:14">
      <c r="E1128" s="86"/>
      <c r="F1128" s="87"/>
      <c r="G1128" s="88"/>
      <c r="H1128" s="89"/>
      <c r="I1128" s="90"/>
      <c r="K1128" s="91"/>
      <c r="L1128" s="88"/>
      <c r="M1128" s="92"/>
      <c r="N1128" s="86"/>
    </row>
    <row r="1129" spans="5:14">
      <c r="E1129" s="86"/>
      <c r="F1129" s="87"/>
      <c r="G1129" s="88"/>
      <c r="H1129" s="89"/>
      <c r="I1129" s="90"/>
      <c r="K1129" s="91"/>
      <c r="L1129" s="88"/>
      <c r="M1129" s="92"/>
      <c r="N1129" s="86"/>
    </row>
    <row r="1130" spans="5:14">
      <c r="E1130" s="86"/>
      <c r="F1130" s="87"/>
      <c r="G1130" s="88"/>
      <c r="H1130" s="89"/>
      <c r="I1130" s="90"/>
      <c r="K1130" s="91"/>
      <c r="L1130" s="88"/>
      <c r="M1130" s="92"/>
      <c r="N1130" s="86"/>
    </row>
    <row r="1131" spans="5:14">
      <c r="E1131" s="86"/>
      <c r="F1131" s="87"/>
      <c r="G1131" s="88"/>
      <c r="H1131" s="89"/>
      <c r="I1131" s="90"/>
      <c r="K1131" s="91"/>
      <c r="L1131" s="88"/>
      <c r="M1131" s="92"/>
      <c r="N1131" s="86"/>
    </row>
    <row r="1132" spans="5:14">
      <c r="E1132" s="86"/>
      <c r="F1132" s="87"/>
      <c r="G1132" s="88"/>
      <c r="H1132" s="89"/>
      <c r="I1132" s="90"/>
      <c r="K1132" s="91"/>
      <c r="L1132" s="88"/>
      <c r="M1132" s="92"/>
      <c r="N1132" s="86"/>
    </row>
    <row r="1133" spans="5:14">
      <c r="E1133" s="86"/>
      <c r="F1133" s="87"/>
      <c r="G1133" s="88"/>
      <c r="H1133" s="89"/>
      <c r="I1133" s="90"/>
      <c r="K1133" s="91"/>
      <c r="L1133" s="88"/>
      <c r="M1133" s="92"/>
      <c r="N1133" s="86"/>
    </row>
    <row r="1134" spans="5:14">
      <c r="E1134" s="86"/>
      <c r="F1134" s="87"/>
      <c r="G1134" s="88"/>
      <c r="H1134" s="89"/>
      <c r="I1134" s="90"/>
      <c r="K1134" s="91"/>
      <c r="L1134" s="88"/>
      <c r="M1134" s="92"/>
      <c r="N1134" s="86"/>
    </row>
    <row r="1135" spans="5:14">
      <c r="E1135" s="86"/>
      <c r="F1135" s="87"/>
      <c r="G1135" s="88"/>
      <c r="H1135" s="89"/>
      <c r="I1135" s="90"/>
      <c r="K1135" s="91"/>
      <c r="L1135" s="88"/>
      <c r="M1135" s="92"/>
      <c r="N1135" s="86"/>
    </row>
    <row r="1136" spans="5:14">
      <c r="E1136" s="86"/>
      <c r="F1136" s="87"/>
      <c r="G1136" s="88"/>
      <c r="H1136" s="89"/>
      <c r="I1136" s="90"/>
      <c r="K1136" s="91"/>
      <c r="L1136" s="88"/>
      <c r="M1136" s="92"/>
      <c r="N1136" s="86"/>
    </row>
    <row r="1137" spans="5:14">
      <c r="E1137" s="86"/>
      <c r="F1137" s="87"/>
      <c r="G1137" s="88"/>
      <c r="H1137" s="89"/>
      <c r="I1137" s="90"/>
      <c r="K1137" s="91"/>
      <c r="L1137" s="88"/>
      <c r="M1137" s="92"/>
      <c r="N1137" s="86"/>
    </row>
    <row r="1138" spans="5:14">
      <c r="E1138" s="86"/>
      <c r="F1138" s="87"/>
      <c r="G1138" s="88"/>
      <c r="H1138" s="89"/>
      <c r="I1138" s="90"/>
      <c r="K1138" s="91"/>
      <c r="L1138" s="88"/>
      <c r="M1138" s="92"/>
      <c r="N1138" s="86"/>
    </row>
    <row r="1139" spans="5:14">
      <c r="E1139" s="86"/>
      <c r="F1139" s="87"/>
      <c r="G1139" s="88"/>
      <c r="H1139" s="89"/>
      <c r="I1139" s="90"/>
      <c r="K1139" s="91"/>
      <c r="L1139" s="88"/>
      <c r="M1139" s="92"/>
      <c r="N1139" s="86"/>
    </row>
    <row r="1140" spans="5:14">
      <c r="E1140" s="86"/>
      <c r="F1140" s="87"/>
      <c r="G1140" s="88"/>
      <c r="H1140" s="89"/>
      <c r="I1140" s="90"/>
      <c r="K1140" s="91"/>
      <c r="L1140" s="88"/>
      <c r="M1140" s="92"/>
      <c r="N1140" s="86"/>
    </row>
    <row r="1141" spans="5:14">
      <c r="E1141" s="86"/>
      <c r="F1141" s="87"/>
      <c r="G1141" s="88"/>
      <c r="H1141" s="89"/>
      <c r="I1141" s="90"/>
      <c r="K1141" s="91"/>
      <c r="L1141" s="88"/>
      <c r="M1141" s="92"/>
      <c r="N1141" s="86"/>
    </row>
    <row r="1142" spans="5:14">
      <c r="E1142" s="86"/>
      <c r="F1142" s="87"/>
      <c r="G1142" s="88"/>
      <c r="H1142" s="89"/>
      <c r="I1142" s="90"/>
      <c r="K1142" s="91"/>
      <c r="L1142" s="88"/>
      <c r="M1142" s="92"/>
      <c r="N1142" s="86"/>
    </row>
    <row r="1143" spans="5:14">
      <c r="E1143" s="86"/>
      <c r="F1143" s="87"/>
      <c r="G1143" s="88"/>
      <c r="H1143" s="89"/>
      <c r="I1143" s="90"/>
      <c r="K1143" s="91"/>
      <c r="L1143" s="88"/>
      <c r="M1143" s="92"/>
      <c r="N1143" s="86"/>
    </row>
    <row r="1144" spans="5:14">
      <c r="E1144" s="86"/>
      <c r="F1144" s="87"/>
      <c r="G1144" s="88"/>
      <c r="H1144" s="89"/>
      <c r="I1144" s="90"/>
      <c r="K1144" s="91"/>
      <c r="L1144" s="88"/>
      <c r="M1144" s="92"/>
      <c r="N1144" s="86"/>
    </row>
    <row r="1145" spans="5:14">
      <c r="E1145" s="86"/>
      <c r="F1145" s="87"/>
      <c r="G1145" s="88"/>
      <c r="H1145" s="89"/>
      <c r="I1145" s="90"/>
      <c r="K1145" s="91"/>
      <c r="L1145" s="88"/>
      <c r="M1145" s="92"/>
      <c r="N1145" s="86"/>
    </row>
    <row r="1146" spans="5:14">
      <c r="E1146" s="86"/>
      <c r="F1146" s="87"/>
      <c r="G1146" s="88"/>
      <c r="H1146" s="89"/>
      <c r="I1146" s="90"/>
      <c r="K1146" s="91"/>
      <c r="L1146" s="88"/>
      <c r="M1146" s="92"/>
      <c r="N1146" s="86"/>
    </row>
    <row r="1147" spans="5:14">
      <c r="E1147" s="86"/>
      <c r="F1147" s="87"/>
      <c r="G1147" s="88"/>
      <c r="H1147" s="89"/>
      <c r="I1147" s="90"/>
      <c r="K1147" s="91"/>
      <c r="L1147" s="88"/>
      <c r="M1147" s="92"/>
      <c r="N1147" s="86"/>
    </row>
    <row r="1148" spans="5:14">
      <c r="E1148" s="86"/>
      <c r="F1148" s="87"/>
      <c r="G1148" s="88"/>
      <c r="H1148" s="89"/>
      <c r="I1148" s="90"/>
      <c r="K1148" s="91"/>
      <c r="L1148" s="88"/>
      <c r="M1148" s="92"/>
      <c r="N1148" s="86"/>
    </row>
    <row r="1149" spans="5:14">
      <c r="E1149" s="86"/>
      <c r="F1149" s="87"/>
      <c r="G1149" s="88"/>
      <c r="H1149" s="89"/>
      <c r="I1149" s="90"/>
      <c r="K1149" s="91"/>
      <c r="L1149" s="88"/>
      <c r="M1149" s="92"/>
      <c r="N1149" s="86"/>
    </row>
    <row r="1150" spans="5:14">
      <c r="E1150" s="86"/>
      <c r="F1150" s="87"/>
      <c r="G1150" s="88"/>
      <c r="H1150" s="89"/>
      <c r="I1150" s="90"/>
      <c r="K1150" s="91"/>
      <c r="L1150" s="88"/>
      <c r="M1150" s="92"/>
      <c r="N1150" s="86"/>
    </row>
    <row r="1151" spans="5:14">
      <c r="E1151" s="86"/>
      <c r="F1151" s="87"/>
      <c r="G1151" s="88"/>
      <c r="H1151" s="89"/>
      <c r="I1151" s="90"/>
      <c r="K1151" s="91"/>
      <c r="L1151" s="88"/>
      <c r="M1151" s="92"/>
      <c r="N1151" s="86"/>
    </row>
    <row r="1152" spans="5:14">
      <c r="E1152" s="86"/>
      <c r="F1152" s="87"/>
      <c r="G1152" s="88"/>
      <c r="H1152" s="89"/>
      <c r="I1152" s="90"/>
      <c r="K1152" s="91"/>
      <c r="L1152" s="88"/>
      <c r="M1152" s="92"/>
      <c r="N1152" s="86"/>
    </row>
    <row r="1153" spans="5:14">
      <c r="E1153" s="86"/>
      <c r="F1153" s="87"/>
      <c r="G1153" s="88"/>
      <c r="H1153" s="89"/>
      <c r="I1153" s="90"/>
      <c r="K1153" s="91"/>
      <c r="L1153" s="88"/>
      <c r="M1153" s="92"/>
      <c r="N1153" s="86"/>
    </row>
    <row r="1154" spans="5:14">
      <c r="E1154" s="86"/>
      <c r="F1154" s="87"/>
      <c r="G1154" s="88"/>
      <c r="H1154" s="89"/>
      <c r="I1154" s="90"/>
      <c r="K1154" s="91"/>
      <c r="L1154" s="88"/>
      <c r="M1154" s="92"/>
      <c r="N1154" s="86"/>
    </row>
    <row r="1155" spans="5:14">
      <c r="E1155" s="86"/>
      <c r="F1155" s="87"/>
      <c r="G1155" s="88"/>
      <c r="H1155" s="89"/>
      <c r="I1155" s="90"/>
      <c r="K1155" s="91"/>
      <c r="L1155" s="88"/>
      <c r="M1155" s="92"/>
      <c r="N1155" s="86"/>
    </row>
    <row r="1156" spans="5:14">
      <c r="E1156" s="86"/>
      <c r="F1156" s="87"/>
      <c r="G1156" s="88"/>
      <c r="H1156" s="89"/>
      <c r="I1156" s="90"/>
      <c r="K1156" s="91"/>
      <c r="L1156" s="88"/>
      <c r="M1156" s="92"/>
      <c r="N1156" s="86"/>
    </row>
    <row r="1157" spans="5:14">
      <c r="E1157" s="86"/>
      <c r="F1157" s="87"/>
      <c r="G1157" s="88"/>
      <c r="H1157" s="89"/>
      <c r="I1157" s="90"/>
      <c r="K1157" s="91"/>
      <c r="L1157" s="88"/>
      <c r="M1157" s="92"/>
      <c r="N1157" s="86"/>
    </row>
    <row r="1158" spans="5:14">
      <c r="E1158" s="86"/>
      <c r="F1158" s="87"/>
      <c r="G1158" s="88"/>
      <c r="H1158" s="89"/>
      <c r="I1158" s="90"/>
      <c r="K1158" s="91"/>
      <c r="L1158" s="88"/>
      <c r="M1158" s="92"/>
      <c r="N1158" s="86"/>
    </row>
    <row r="1159" spans="5:14">
      <c r="E1159" s="86"/>
      <c r="F1159" s="87"/>
      <c r="G1159" s="88"/>
      <c r="H1159" s="89"/>
      <c r="I1159" s="90"/>
      <c r="K1159" s="91"/>
      <c r="L1159" s="88"/>
      <c r="M1159" s="92"/>
      <c r="N1159" s="86"/>
    </row>
    <row r="1160" spans="5:14">
      <c r="E1160" s="86"/>
      <c r="F1160" s="87"/>
      <c r="G1160" s="88"/>
      <c r="H1160" s="89"/>
      <c r="I1160" s="90"/>
      <c r="K1160" s="91"/>
      <c r="L1160" s="88"/>
      <c r="M1160" s="92"/>
      <c r="N1160" s="86"/>
    </row>
    <row r="1161" spans="5:14">
      <c r="E1161" s="86"/>
      <c r="F1161" s="87"/>
      <c r="G1161" s="88"/>
      <c r="H1161" s="89"/>
      <c r="I1161" s="90"/>
      <c r="K1161" s="91"/>
      <c r="L1161" s="88"/>
      <c r="M1161" s="92"/>
      <c r="N1161" s="86"/>
    </row>
    <row r="1162" spans="5:14">
      <c r="E1162" s="86"/>
      <c r="F1162" s="87"/>
      <c r="G1162" s="88"/>
      <c r="H1162" s="89"/>
      <c r="I1162" s="90"/>
      <c r="K1162" s="91"/>
      <c r="L1162" s="88"/>
      <c r="M1162" s="92"/>
      <c r="N1162" s="86"/>
    </row>
    <row r="1163" spans="5:14">
      <c r="E1163" s="86"/>
      <c r="F1163" s="87"/>
      <c r="G1163" s="88"/>
      <c r="H1163" s="89"/>
      <c r="I1163" s="90"/>
      <c r="K1163" s="91"/>
      <c r="L1163" s="88"/>
      <c r="M1163" s="92"/>
      <c r="N1163" s="86"/>
    </row>
    <row r="1164" spans="5:14">
      <c r="E1164" s="86"/>
      <c r="F1164" s="87"/>
      <c r="G1164" s="88"/>
      <c r="H1164" s="89"/>
      <c r="I1164" s="90"/>
      <c r="K1164" s="91"/>
      <c r="L1164" s="88"/>
      <c r="M1164" s="92"/>
      <c r="N1164" s="86"/>
    </row>
    <row r="1165" spans="5:14">
      <c r="E1165" s="86"/>
      <c r="F1165" s="87"/>
      <c r="G1165" s="88"/>
      <c r="H1165" s="89"/>
      <c r="I1165" s="90"/>
      <c r="K1165" s="91"/>
      <c r="L1165" s="88"/>
      <c r="M1165" s="92"/>
      <c r="N1165" s="86"/>
    </row>
    <row r="1166" spans="5:14">
      <c r="E1166" s="86"/>
      <c r="F1166" s="87"/>
      <c r="G1166" s="88"/>
      <c r="H1166" s="89"/>
      <c r="I1166" s="90"/>
      <c r="K1166" s="91"/>
      <c r="L1166" s="88"/>
      <c r="M1166" s="92"/>
      <c r="N1166" s="86"/>
    </row>
    <row r="1167" spans="5:14">
      <c r="E1167" s="86"/>
      <c r="F1167" s="87"/>
      <c r="G1167" s="88"/>
      <c r="H1167" s="89"/>
      <c r="I1167" s="90"/>
      <c r="K1167" s="91"/>
      <c r="L1167" s="88"/>
      <c r="M1167" s="92"/>
      <c r="N1167" s="86"/>
    </row>
    <row r="1168" spans="5:14">
      <c r="E1168" s="86"/>
      <c r="F1168" s="87"/>
      <c r="G1168" s="88"/>
      <c r="H1168" s="89"/>
      <c r="I1168" s="90"/>
      <c r="K1168" s="91"/>
      <c r="L1168" s="88"/>
      <c r="M1168" s="92"/>
      <c r="N1168" s="86"/>
    </row>
    <row r="1169" spans="5:14">
      <c r="E1169" s="86"/>
      <c r="F1169" s="87"/>
      <c r="G1169" s="88"/>
      <c r="H1169" s="89"/>
      <c r="I1169" s="90"/>
      <c r="K1169" s="91"/>
      <c r="L1169" s="88"/>
      <c r="M1169" s="92"/>
      <c r="N1169" s="86"/>
    </row>
    <row r="1170" spans="5:14">
      <c r="E1170" s="86"/>
      <c r="F1170" s="87"/>
      <c r="G1170" s="88"/>
      <c r="H1170" s="89"/>
      <c r="I1170" s="90"/>
      <c r="K1170" s="91"/>
      <c r="L1170" s="88"/>
      <c r="M1170" s="92"/>
      <c r="N1170" s="86"/>
    </row>
    <row r="1171" spans="5:14">
      <c r="E1171" s="86"/>
      <c r="F1171" s="87"/>
      <c r="G1171" s="88"/>
      <c r="H1171" s="89"/>
      <c r="I1171" s="90"/>
      <c r="K1171" s="91"/>
      <c r="L1171" s="88"/>
      <c r="M1171" s="92"/>
      <c r="N1171" s="86"/>
    </row>
    <row r="1172" spans="5:14">
      <c r="E1172" s="86"/>
      <c r="F1172" s="87"/>
      <c r="G1172" s="88"/>
      <c r="H1172" s="89"/>
      <c r="I1172" s="90"/>
      <c r="K1172" s="91"/>
      <c r="L1172" s="88"/>
      <c r="M1172" s="92"/>
      <c r="N1172" s="86"/>
    </row>
    <row r="1173" spans="5:14">
      <c r="E1173" s="86"/>
      <c r="F1173" s="87"/>
      <c r="G1173" s="88"/>
      <c r="H1173" s="89"/>
      <c r="I1173" s="90"/>
      <c r="K1173" s="91"/>
      <c r="L1173" s="88"/>
      <c r="M1173" s="92"/>
      <c r="N1173" s="86"/>
    </row>
    <row r="1174" spans="5:14">
      <c r="E1174" s="86"/>
      <c r="F1174" s="87"/>
      <c r="G1174" s="88"/>
      <c r="H1174" s="89"/>
      <c r="I1174" s="90"/>
      <c r="K1174" s="91"/>
      <c r="L1174" s="88"/>
      <c r="M1174" s="92"/>
      <c r="N1174" s="86"/>
    </row>
    <row r="1175" spans="5:14">
      <c r="E1175" s="86"/>
      <c r="F1175" s="87"/>
      <c r="G1175" s="88"/>
      <c r="H1175" s="89"/>
      <c r="I1175" s="90"/>
      <c r="K1175" s="91"/>
      <c r="L1175" s="88"/>
      <c r="M1175" s="92"/>
      <c r="N1175" s="86"/>
    </row>
    <row r="1176" spans="5:14">
      <c r="E1176" s="86"/>
      <c r="F1176" s="87"/>
      <c r="G1176" s="88"/>
      <c r="H1176" s="89"/>
      <c r="I1176" s="90"/>
      <c r="K1176" s="91"/>
      <c r="L1176" s="88"/>
      <c r="M1176" s="92"/>
      <c r="N1176" s="86"/>
    </row>
    <row r="1177" spans="5:14">
      <c r="E1177" s="86"/>
      <c r="F1177" s="87"/>
      <c r="G1177" s="88"/>
      <c r="H1177" s="89"/>
      <c r="I1177" s="90"/>
      <c r="K1177" s="91"/>
      <c r="L1177" s="88"/>
      <c r="M1177" s="92"/>
      <c r="N1177" s="86"/>
    </row>
    <row r="1178" spans="5:14">
      <c r="E1178" s="86"/>
      <c r="F1178" s="87"/>
      <c r="G1178" s="88"/>
      <c r="H1178" s="89"/>
      <c r="I1178" s="90"/>
      <c r="K1178" s="91"/>
      <c r="L1178" s="88"/>
      <c r="M1178" s="92"/>
      <c r="N1178" s="86"/>
    </row>
    <row r="1179" spans="5:14">
      <c r="E1179" s="86"/>
      <c r="F1179" s="87"/>
      <c r="G1179" s="88"/>
      <c r="H1179" s="89"/>
      <c r="I1179" s="90"/>
      <c r="K1179" s="91"/>
      <c r="L1179" s="88"/>
      <c r="M1179" s="92"/>
      <c r="N1179" s="86"/>
    </row>
    <row r="1180" spans="5:14">
      <c r="E1180" s="86"/>
      <c r="F1180" s="87"/>
      <c r="G1180" s="88"/>
      <c r="H1180" s="89"/>
      <c r="I1180" s="90"/>
      <c r="K1180" s="91"/>
      <c r="L1180" s="88"/>
      <c r="M1180" s="92"/>
      <c r="N1180" s="86"/>
    </row>
    <row r="1181" spans="5:14">
      <c r="E1181" s="86"/>
      <c r="F1181" s="87"/>
      <c r="G1181" s="88"/>
      <c r="H1181" s="89"/>
      <c r="I1181" s="90"/>
      <c r="K1181" s="91"/>
      <c r="L1181" s="88"/>
      <c r="M1181" s="92"/>
      <c r="N1181" s="86"/>
    </row>
    <row r="1182" spans="5:14">
      <c r="E1182" s="86"/>
      <c r="F1182" s="87"/>
      <c r="G1182" s="88"/>
      <c r="H1182" s="89"/>
      <c r="I1182" s="90"/>
      <c r="K1182" s="91"/>
      <c r="L1182" s="88"/>
      <c r="M1182" s="92"/>
      <c r="N1182" s="86"/>
    </row>
    <row r="1183" spans="5:14">
      <c r="E1183" s="86"/>
      <c r="F1183" s="87"/>
      <c r="G1183" s="88"/>
      <c r="H1183" s="89"/>
      <c r="I1183" s="90"/>
      <c r="K1183" s="91"/>
      <c r="L1183" s="88"/>
      <c r="M1183" s="92"/>
      <c r="N1183" s="86"/>
    </row>
    <row r="1184" spans="5:14">
      <c r="E1184" s="86"/>
      <c r="F1184" s="87"/>
      <c r="G1184" s="88"/>
      <c r="H1184" s="89"/>
      <c r="I1184" s="90"/>
      <c r="K1184" s="91"/>
      <c r="L1184" s="88"/>
      <c r="M1184" s="92"/>
      <c r="N1184" s="86"/>
    </row>
    <row r="1185" spans="5:14">
      <c r="E1185" s="86"/>
      <c r="F1185" s="87"/>
      <c r="G1185" s="88"/>
      <c r="H1185" s="89"/>
      <c r="I1185" s="90"/>
      <c r="K1185" s="91"/>
      <c r="L1185" s="88"/>
      <c r="M1185" s="92"/>
      <c r="N1185" s="86"/>
    </row>
    <row r="1186" spans="5:14">
      <c r="E1186" s="86"/>
      <c r="F1186" s="87"/>
      <c r="G1186" s="88"/>
      <c r="H1186" s="89"/>
      <c r="I1186" s="90"/>
      <c r="K1186" s="91"/>
      <c r="L1186" s="88"/>
      <c r="M1186" s="92"/>
      <c r="N1186" s="86"/>
    </row>
    <row r="1187" spans="5:14">
      <c r="E1187" s="86"/>
      <c r="F1187" s="87"/>
      <c r="G1187" s="88"/>
      <c r="H1187" s="89"/>
      <c r="I1187" s="90"/>
      <c r="K1187" s="91"/>
      <c r="L1187" s="88"/>
      <c r="M1187" s="92"/>
      <c r="N1187" s="86"/>
    </row>
    <row r="1188" spans="5:14">
      <c r="E1188" s="86"/>
      <c r="F1188" s="87"/>
      <c r="G1188" s="88"/>
      <c r="H1188" s="89"/>
      <c r="I1188" s="90"/>
      <c r="K1188" s="91"/>
      <c r="L1188" s="88"/>
      <c r="M1188" s="92"/>
      <c r="N1188" s="86"/>
    </row>
    <row r="1189" spans="5:14">
      <c r="E1189" s="86"/>
      <c r="F1189" s="87"/>
      <c r="G1189" s="88"/>
      <c r="H1189" s="89"/>
      <c r="I1189" s="90"/>
      <c r="K1189" s="91"/>
      <c r="L1189" s="88"/>
      <c r="M1189" s="92"/>
      <c r="N1189" s="86"/>
    </row>
    <row r="1190" spans="5:14">
      <c r="E1190" s="86"/>
      <c r="F1190" s="87"/>
      <c r="G1190" s="88"/>
      <c r="H1190" s="89"/>
      <c r="I1190" s="90"/>
      <c r="K1190" s="91"/>
      <c r="L1190" s="88"/>
      <c r="M1190" s="92"/>
      <c r="N1190" s="86"/>
    </row>
    <row r="1191" spans="5:14">
      <c r="E1191" s="86"/>
      <c r="F1191" s="87"/>
      <c r="G1191" s="88"/>
      <c r="H1191" s="89"/>
      <c r="I1191" s="90"/>
      <c r="K1191" s="91"/>
      <c r="L1191" s="88"/>
      <c r="M1191" s="92"/>
      <c r="N1191" s="86"/>
    </row>
    <row r="1192" spans="5:14">
      <c r="E1192" s="86"/>
      <c r="F1192" s="87"/>
      <c r="G1192" s="88"/>
      <c r="H1192" s="89"/>
      <c r="I1192" s="90"/>
      <c r="K1192" s="91"/>
      <c r="L1192" s="88"/>
      <c r="M1192" s="92"/>
      <c r="N1192" s="86"/>
    </row>
    <row r="1193" spans="5:14">
      <c r="E1193" s="86"/>
      <c r="F1193" s="87"/>
      <c r="G1193" s="88"/>
      <c r="H1193" s="89"/>
      <c r="I1193" s="90"/>
      <c r="K1193" s="91"/>
      <c r="L1193" s="88"/>
      <c r="M1193" s="92"/>
      <c r="N1193" s="86"/>
    </row>
    <row r="1194" spans="5:14">
      <c r="E1194" s="86"/>
      <c r="F1194" s="87"/>
      <c r="G1194" s="88"/>
      <c r="H1194" s="89"/>
      <c r="I1194" s="90"/>
      <c r="K1194" s="91"/>
      <c r="L1194" s="88"/>
      <c r="M1194" s="92"/>
      <c r="N1194" s="86"/>
    </row>
    <row r="1195" spans="5:14">
      <c r="E1195" s="86"/>
      <c r="F1195" s="87"/>
      <c r="G1195" s="88"/>
      <c r="H1195" s="89"/>
      <c r="I1195" s="90"/>
      <c r="K1195" s="91"/>
      <c r="L1195" s="88"/>
      <c r="M1195" s="92"/>
      <c r="N1195" s="86"/>
    </row>
    <row r="1196" spans="5:14">
      <c r="E1196" s="86"/>
      <c r="F1196" s="87"/>
      <c r="G1196" s="88"/>
      <c r="H1196" s="89"/>
      <c r="I1196" s="90"/>
      <c r="K1196" s="91"/>
      <c r="L1196" s="88"/>
      <c r="M1196" s="92"/>
      <c r="N1196" s="86"/>
    </row>
    <row r="1197" spans="5:14">
      <c r="E1197" s="86"/>
      <c r="F1197" s="87"/>
      <c r="G1197" s="88"/>
      <c r="H1197" s="89"/>
      <c r="I1197" s="90"/>
      <c r="K1197" s="91"/>
      <c r="L1197" s="88"/>
      <c r="M1197" s="92"/>
      <c r="N1197" s="86"/>
    </row>
    <row r="1198" spans="5:14">
      <c r="E1198" s="86"/>
      <c r="F1198" s="87"/>
      <c r="G1198" s="88"/>
      <c r="H1198" s="89"/>
      <c r="I1198" s="90"/>
      <c r="K1198" s="91"/>
      <c r="L1198" s="88"/>
      <c r="M1198" s="92"/>
      <c r="N1198" s="86"/>
    </row>
    <row r="1199" spans="5:14">
      <c r="E1199" s="86"/>
      <c r="F1199" s="87"/>
      <c r="G1199" s="88"/>
      <c r="H1199" s="89"/>
      <c r="I1199" s="90"/>
      <c r="K1199" s="91"/>
      <c r="L1199" s="88"/>
      <c r="M1199" s="92"/>
      <c r="N1199" s="86"/>
    </row>
    <row r="1200" spans="5:14">
      <c r="E1200" s="86"/>
      <c r="F1200" s="87"/>
      <c r="G1200" s="88"/>
      <c r="H1200" s="89"/>
      <c r="I1200" s="90"/>
      <c r="K1200" s="91"/>
      <c r="L1200" s="88"/>
      <c r="M1200" s="92"/>
      <c r="N1200" s="86"/>
    </row>
    <row r="1201" spans="5:14">
      <c r="E1201" s="86"/>
      <c r="F1201" s="87"/>
      <c r="G1201" s="88"/>
      <c r="H1201" s="89"/>
      <c r="I1201" s="90"/>
      <c r="K1201" s="91"/>
      <c r="L1201" s="88"/>
      <c r="M1201" s="92"/>
      <c r="N1201" s="86"/>
    </row>
    <row r="1202" spans="5:14">
      <c r="E1202" s="86"/>
      <c r="F1202" s="87"/>
      <c r="G1202" s="88"/>
      <c r="H1202" s="89"/>
      <c r="I1202" s="90"/>
      <c r="K1202" s="91"/>
      <c r="L1202" s="88"/>
      <c r="M1202" s="92"/>
      <c r="N1202" s="86"/>
    </row>
    <row r="1203" spans="5:14">
      <c r="E1203" s="86"/>
      <c r="F1203" s="87"/>
      <c r="G1203" s="88"/>
      <c r="H1203" s="89"/>
      <c r="I1203" s="90"/>
      <c r="K1203" s="91"/>
      <c r="L1203" s="88"/>
      <c r="M1203" s="92"/>
      <c r="N1203" s="86"/>
    </row>
    <row r="1204" spans="5:14">
      <c r="E1204" s="86"/>
      <c r="F1204" s="87"/>
      <c r="G1204" s="88"/>
      <c r="H1204" s="89"/>
      <c r="I1204" s="90"/>
      <c r="K1204" s="91"/>
      <c r="L1204" s="88"/>
      <c r="M1204" s="92"/>
      <c r="N1204" s="86"/>
    </row>
    <row r="1205" spans="5:14">
      <c r="E1205" s="86"/>
      <c r="F1205" s="87"/>
      <c r="G1205" s="88"/>
      <c r="H1205" s="89"/>
      <c r="I1205" s="90"/>
      <c r="K1205" s="91"/>
      <c r="L1205" s="88"/>
      <c r="M1205" s="92"/>
      <c r="N1205" s="86"/>
    </row>
    <row r="1206" spans="5:14">
      <c r="E1206" s="86"/>
      <c r="F1206" s="87"/>
      <c r="G1206" s="88"/>
      <c r="H1206" s="89"/>
      <c r="I1206" s="90"/>
      <c r="K1206" s="91"/>
      <c r="L1206" s="88"/>
      <c r="M1206" s="92"/>
      <c r="N1206" s="86"/>
    </row>
    <row r="1207" spans="5:14">
      <c r="E1207" s="86"/>
      <c r="F1207" s="87"/>
      <c r="G1207" s="88"/>
      <c r="H1207" s="89"/>
      <c r="I1207" s="90"/>
      <c r="K1207" s="91"/>
      <c r="L1207" s="88"/>
      <c r="M1207" s="92"/>
      <c r="N1207" s="86"/>
    </row>
    <row r="1208" spans="5:14">
      <c r="E1208" s="86"/>
      <c r="F1208" s="87"/>
      <c r="G1208" s="88"/>
      <c r="H1208" s="89"/>
      <c r="I1208" s="90"/>
      <c r="K1208" s="91"/>
      <c r="L1208" s="88"/>
      <c r="M1208" s="92"/>
      <c r="N1208" s="86"/>
    </row>
    <row r="1209" spans="5:14">
      <c r="E1209" s="86"/>
      <c r="F1209" s="87"/>
      <c r="G1209" s="88"/>
      <c r="H1209" s="89"/>
      <c r="I1209" s="90"/>
      <c r="K1209" s="91"/>
      <c r="L1209" s="88"/>
      <c r="M1209" s="92"/>
      <c r="N1209" s="86"/>
    </row>
    <row r="1210" spans="5:14">
      <c r="E1210" s="86"/>
      <c r="F1210" s="87"/>
      <c r="G1210" s="88"/>
      <c r="H1210" s="89"/>
      <c r="I1210" s="90"/>
      <c r="K1210" s="91"/>
      <c r="L1210" s="88"/>
      <c r="M1210" s="92"/>
      <c r="N1210" s="86"/>
    </row>
    <row r="1211" spans="5:14">
      <c r="E1211" s="86"/>
      <c r="F1211" s="87"/>
      <c r="G1211" s="88"/>
      <c r="H1211" s="89"/>
      <c r="I1211" s="90"/>
      <c r="K1211" s="91"/>
      <c r="L1211" s="88"/>
      <c r="M1211" s="92"/>
      <c r="N1211" s="86"/>
    </row>
    <row r="1212" spans="5:14">
      <c r="E1212" s="86"/>
      <c r="F1212" s="87"/>
      <c r="G1212" s="88"/>
      <c r="H1212" s="89"/>
      <c r="I1212" s="90"/>
      <c r="K1212" s="91"/>
      <c r="L1212" s="88"/>
      <c r="M1212" s="92"/>
      <c r="N1212" s="86"/>
    </row>
    <row r="1213" spans="5:14">
      <c r="E1213" s="86"/>
      <c r="F1213" s="87"/>
      <c r="G1213" s="88"/>
      <c r="H1213" s="89"/>
      <c r="I1213" s="90"/>
      <c r="K1213" s="91"/>
      <c r="L1213" s="88"/>
      <c r="M1213" s="92"/>
      <c r="N1213" s="86"/>
    </row>
    <row r="1214" spans="5:14">
      <c r="E1214" s="86"/>
      <c r="F1214" s="87"/>
      <c r="G1214" s="88"/>
      <c r="H1214" s="89"/>
      <c r="I1214" s="90"/>
      <c r="K1214" s="91"/>
      <c r="L1214" s="88"/>
      <c r="M1214" s="92"/>
      <c r="N1214" s="86"/>
    </row>
    <row r="1215" spans="5:14">
      <c r="E1215" s="86"/>
      <c r="F1215" s="87"/>
      <c r="G1215" s="88"/>
      <c r="H1215" s="89"/>
      <c r="I1215" s="90"/>
      <c r="K1215" s="91"/>
      <c r="L1215" s="88"/>
      <c r="M1215" s="92"/>
      <c r="N1215" s="86"/>
    </row>
    <row r="1216" spans="5:14">
      <c r="E1216" s="86"/>
      <c r="F1216" s="87"/>
      <c r="G1216" s="88"/>
      <c r="H1216" s="89"/>
      <c r="I1216" s="90"/>
      <c r="K1216" s="91"/>
      <c r="L1216" s="88"/>
      <c r="M1216" s="92"/>
      <c r="N1216" s="86"/>
    </row>
    <row r="1217" spans="5:14">
      <c r="E1217" s="86"/>
      <c r="F1217" s="87"/>
      <c r="G1217" s="88"/>
      <c r="H1217" s="89"/>
      <c r="I1217" s="90"/>
      <c r="K1217" s="91"/>
      <c r="L1217" s="88"/>
      <c r="M1217" s="92"/>
      <c r="N1217" s="86"/>
    </row>
    <row r="1218" spans="5:14">
      <c r="E1218" s="86"/>
      <c r="F1218" s="87"/>
      <c r="G1218" s="88"/>
      <c r="H1218" s="89"/>
      <c r="I1218" s="90"/>
      <c r="K1218" s="91"/>
      <c r="L1218" s="88"/>
      <c r="M1218" s="92"/>
      <c r="N1218" s="86"/>
    </row>
    <row r="1219" spans="5:14">
      <c r="E1219" s="86"/>
      <c r="F1219" s="87"/>
      <c r="G1219" s="88"/>
      <c r="H1219" s="89"/>
      <c r="I1219" s="90"/>
      <c r="K1219" s="91"/>
      <c r="L1219" s="88"/>
      <c r="M1219" s="92"/>
      <c r="N1219" s="86"/>
    </row>
    <row r="1220" spans="5:14">
      <c r="E1220" s="86"/>
      <c r="F1220" s="87"/>
      <c r="G1220" s="88"/>
      <c r="H1220" s="89"/>
      <c r="I1220" s="90"/>
      <c r="K1220" s="91"/>
      <c r="L1220" s="88"/>
      <c r="M1220" s="92"/>
      <c r="N1220" s="86"/>
    </row>
    <row r="1221" spans="5:14">
      <c r="E1221" s="86"/>
      <c r="F1221" s="87"/>
      <c r="G1221" s="88"/>
      <c r="H1221" s="89"/>
      <c r="I1221" s="90"/>
      <c r="K1221" s="91"/>
      <c r="L1221" s="88"/>
      <c r="M1221" s="92"/>
      <c r="N1221" s="86"/>
    </row>
    <row r="1222" spans="5:14">
      <c r="E1222" s="86"/>
      <c r="F1222" s="87"/>
      <c r="G1222" s="88"/>
      <c r="H1222" s="89"/>
      <c r="I1222" s="90"/>
      <c r="K1222" s="91"/>
      <c r="L1222" s="88"/>
      <c r="M1222" s="92"/>
      <c r="N1222" s="86"/>
    </row>
    <row r="1223" spans="5:14">
      <c r="E1223" s="86"/>
      <c r="F1223" s="87"/>
      <c r="G1223" s="88"/>
      <c r="H1223" s="89"/>
      <c r="I1223" s="90"/>
      <c r="K1223" s="91"/>
      <c r="L1223" s="88"/>
      <c r="M1223" s="92"/>
      <c r="N1223" s="86"/>
    </row>
    <row r="1224" spans="5:14">
      <c r="E1224" s="86"/>
      <c r="F1224" s="87"/>
      <c r="G1224" s="88"/>
      <c r="H1224" s="89"/>
      <c r="I1224" s="90"/>
      <c r="K1224" s="91"/>
      <c r="L1224" s="88"/>
      <c r="M1224" s="92"/>
      <c r="N1224" s="86"/>
    </row>
    <row r="1225" spans="5:14">
      <c r="E1225" s="86"/>
      <c r="F1225" s="87"/>
      <c r="G1225" s="88"/>
      <c r="H1225" s="89"/>
      <c r="I1225" s="90"/>
      <c r="K1225" s="91"/>
      <c r="L1225" s="88"/>
      <c r="M1225" s="92"/>
      <c r="N1225" s="86"/>
    </row>
    <row r="1226" spans="5:14">
      <c r="E1226" s="86"/>
      <c r="F1226" s="87"/>
      <c r="G1226" s="88"/>
      <c r="H1226" s="89"/>
      <c r="I1226" s="90"/>
      <c r="K1226" s="91"/>
      <c r="L1226" s="88"/>
      <c r="M1226" s="92"/>
      <c r="N1226" s="86"/>
    </row>
    <row r="1227" spans="5:14">
      <c r="E1227" s="86"/>
      <c r="F1227" s="87"/>
      <c r="G1227" s="88"/>
      <c r="H1227" s="89"/>
      <c r="I1227" s="90"/>
      <c r="K1227" s="91"/>
      <c r="L1227" s="88"/>
      <c r="M1227" s="92"/>
      <c r="N1227" s="86"/>
    </row>
    <row r="1228" spans="5:14">
      <c r="E1228" s="86"/>
      <c r="F1228" s="87"/>
      <c r="G1228" s="88"/>
      <c r="H1228" s="89"/>
      <c r="I1228" s="90"/>
      <c r="K1228" s="91"/>
      <c r="L1228" s="88"/>
      <c r="M1228" s="92"/>
      <c r="N1228" s="86"/>
    </row>
    <row r="1229" spans="5:14">
      <c r="E1229" s="86"/>
      <c r="F1229" s="87"/>
      <c r="G1229" s="88"/>
      <c r="H1229" s="89"/>
      <c r="I1229" s="90"/>
      <c r="K1229" s="91"/>
      <c r="L1229" s="88"/>
      <c r="M1229" s="92"/>
      <c r="N1229" s="86"/>
    </row>
    <row r="1230" spans="5:14">
      <c r="E1230" s="86"/>
      <c r="F1230" s="87"/>
      <c r="G1230" s="88"/>
      <c r="H1230" s="89"/>
      <c r="I1230" s="90"/>
      <c r="K1230" s="91"/>
      <c r="L1230" s="88"/>
      <c r="M1230" s="92"/>
      <c r="N1230" s="86"/>
    </row>
    <row r="1231" spans="5:14">
      <c r="E1231" s="86"/>
      <c r="F1231" s="87"/>
      <c r="G1231" s="88"/>
      <c r="H1231" s="89"/>
      <c r="I1231" s="90"/>
      <c r="K1231" s="91"/>
      <c r="L1231" s="88"/>
      <c r="M1231" s="92"/>
      <c r="N1231" s="86"/>
    </row>
    <row r="1232" spans="5:14">
      <c r="E1232" s="86"/>
      <c r="F1232" s="87"/>
      <c r="G1232" s="88"/>
      <c r="H1232" s="89"/>
      <c r="I1232" s="90"/>
      <c r="K1232" s="91"/>
      <c r="L1232" s="88"/>
      <c r="M1232" s="92"/>
      <c r="N1232" s="86"/>
    </row>
    <row r="1233" spans="5:14">
      <c r="E1233" s="86"/>
      <c r="F1233" s="87"/>
      <c r="G1233" s="88"/>
      <c r="H1233" s="89"/>
      <c r="I1233" s="90"/>
      <c r="K1233" s="91"/>
      <c r="L1233" s="88"/>
      <c r="M1233" s="92"/>
      <c r="N1233" s="86"/>
    </row>
    <row r="1234" spans="5:14">
      <c r="E1234" s="86"/>
      <c r="F1234" s="87"/>
      <c r="G1234" s="88"/>
      <c r="H1234" s="89"/>
      <c r="I1234" s="90"/>
      <c r="K1234" s="91"/>
      <c r="L1234" s="88"/>
      <c r="M1234" s="92"/>
      <c r="N1234" s="86"/>
    </row>
    <row r="1235" spans="5:14">
      <c r="E1235" s="86"/>
      <c r="F1235" s="87"/>
      <c r="G1235" s="88"/>
      <c r="H1235" s="89"/>
      <c r="I1235" s="90"/>
      <c r="K1235" s="91"/>
      <c r="L1235" s="88"/>
      <c r="M1235" s="92"/>
      <c r="N1235" s="86"/>
    </row>
    <row r="1236" spans="5:14">
      <c r="E1236" s="86"/>
      <c r="F1236" s="87"/>
      <c r="G1236" s="88"/>
      <c r="H1236" s="89"/>
      <c r="I1236" s="90"/>
      <c r="K1236" s="91"/>
      <c r="L1236" s="88"/>
      <c r="M1236" s="92"/>
      <c r="N1236" s="86"/>
    </row>
    <row r="1237" spans="5:14">
      <c r="E1237" s="86"/>
      <c r="F1237" s="87"/>
      <c r="G1237" s="88"/>
      <c r="H1237" s="89"/>
      <c r="I1237" s="90"/>
      <c r="K1237" s="91"/>
      <c r="L1237" s="88"/>
      <c r="M1237" s="92"/>
      <c r="N1237" s="86"/>
    </row>
    <row r="1238" spans="5:14">
      <c r="E1238" s="86"/>
      <c r="F1238" s="87"/>
      <c r="G1238" s="88"/>
      <c r="H1238" s="89"/>
      <c r="I1238" s="90"/>
      <c r="K1238" s="91"/>
      <c r="L1238" s="88"/>
      <c r="M1238" s="92"/>
      <c r="N1238" s="86"/>
    </row>
    <row r="1239" spans="5:14">
      <c r="E1239" s="86"/>
      <c r="F1239" s="87"/>
      <c r="G1239" s="88"/>
      <c r="H1239" s="89"/>
      <c r="I1239" s="90"/>
      <c r="K1239" s="91"/>
      <c r="L1239" s="88"/>
      <c r="M1239" s="92"/>
      <c r="N1239" s="86"/>
    </row>
    <row r="1240" spans="5:14">
      <c r="E1240" s="86"/>
      <c r="F1240" s="87"/>
      <c r="G1240" s="88"/>
      <c r="H1240" s="89"/>
      <c r="I1240" s="90"/>
      <c r="K1240" s="91"/>
      <c r="L1240" s="88"/>
      <c r="M1240" s="92"/>
      <c r="N1240" s="86"/>
    </row>
    <row r="1241" spans="5:14">
      <c r="E1241" s="86"/>
      <c r="F1241" s="87"/>
      <c r="G1241" s="88"/>
      <c r="H1241" s="89"/>
      <c r="I1241" s="90"/>
      <c r="K1241" s="91"/>
      <c r="L1241" s="88"/>
      <c r="M1241" s="92"/>
      <c r="N1241" s="86"/>
    </row>
    <row r="1242" spans="5:14">
      <c r="E1242" s="86"/>
      <c r="F1242" s="87"/>
      <c r="G1242" s="88"/>
      <c r="H1242" s="89"/>
      <c r="I1242" s="90"/>
      <c r="K1242" s="91"/>
      <c r="L1242" s="88"/>
      <c r="M1242" s="92"/>
      <c r="N1242" s="86"/>
    </row>
    <row r="1243" spans="5:14">
      <c r="E1243" s="86"/>
      <c r="F1243" s="87"/>
      <c r="G1243" s="88"/>
      <c r="H1243" s="89"/>
      <c r="I1243" s="90"/>
      <c r="K1243" s="91"/>
      <c r="L1243" s="88"/>
      <c r="M1243" s="92"/>
      <c r="N1243" s="86"/>
    </row>
    <row r="1244" spans="5:14">
      <c r="E1244" s="86"/>
      <c r="F1244" s="87"/>
      <c r="G1244" s="88"/>
      <c r="H1244" s="89"/>
      <c r="I1244" s="90"/>
      <c r="K1244" s="91"/>
      <c r="L1244" s="88"/>
      <c r="M1244" s="92"/>
      <c r="N1244" s="86"/>
    </row>
    <row r="1245" spans="5:14">
      <c r="E1245" s="86"/>
      <c r="F1245" s="87"/>
      <c r="G1245" s="88"/>
      <c r="H1245" s="89"/>
      <c r="I1245" s="90"/>
      <c r="K1245" s="91"/>
      <c r="L1245" s="88"/>
      <c r="M1245" s="92"/>
      <c r="N1245" s="86"/>
    </row>
    <row r="1246" spans="5:14">
      <c r="E1246" s="86"/>
      <c r="F1246" s="87"/>
      <c r="G1246" s="88"/>
      <c r="H1246" s="89"/>
      <c r="I1246" s="90"/>
      <c r="K1246" s="91"/>
      <c r="L1246" s="88"/>
      <c r="M1246" s="92"/>
      <c r="N1246" s="86"/>
    </row>
    <row r="1247" spans="5:14">
      <c r="E1247" s="86"/>
      <c r="F1247" s="87"/>
      <c r="G1247" s="88"/>
      <c r="H1247" s="89"/>
      <c r="I1247" s="90"/>
      <c r="K1247" s="91"/>
      <c r="L1247" s="88"/>
      <c r="M1247" s="92"/>
      <c r="N1247" s="86"/>
    </row>
    <row r="1248" spans="5:14">
      <c r="E1248" s="86"/>
      <c r="F1248" s="87"/>
      <c r="G1248" s="88"/>
      <c r="H1248" s="89"/>
      <c r="I1248" s="90"/>
      <c r="K1248" s="91"/>
      <c r="L1248" s="88"/>
      <c r="M1248" s="92"/>
      <c r="N1248" s="86"/>
    </row>
    <row r="1249" spans="5:14">
      <c r="E1249" s="86"/>
      <c r="F1249" s="87"/>
      <c r="G1249" s="88"/>
      <c r="H1249" s="89"/>
      <c r="I1249" s="90"/>
      <c r="K1249" s="91"/>
      <c r="L1249" s="88"/>
      <c r="M1249" s="92"/>
      <c r="N1249" s="86"/>
    </row>
    <row r="1250" spans="5:14">
      <c r="E1250" s="86"/>
      <c r="F1250" s="87"/>
      <c r="G1250" s="88"/>
      <c r="H1250" s="89"/>
      <c r="I1250" s="90"/>
      <c r="K1250" s="91"/>
      <c r="L1250" s="88"/>
      <c r="M1250" s="92"/>
      <c r="N1250" s="86"/>
    </row>
    <row r="1251" spans="5:14">
      <c r="E1251" s="86"/>
      <c r="F1251" s="87"/>
      <c r="G1251" s="88"/>
      <c r="H1251" s="89"/>
      <c r="I1251" s="90"/>
      <c r="K1251" s="91"/>
      <c r="L1251" s="88"/>
      <c r="M1251" s="92"/>
      <c r="N1251" s="86"/>
    </row>
    <row r="1252" spans="5:14">
      <c r="E1252" s="86"/>
      <c r="F1252" s="87"/>
      <c r="G1252" s="88"/>
      <c r="H1252" s="89"/>
      <c r="I1252" s="90"/>
      <c r="K1252" s="91"/>
      <c r="L1252" s="88"/>
      <c r="M1252" s="92"/>
      <c r="N1252" s="86"/>
    </row>
    <row r="1253" spans="5:14">
      <c r="E1253" s="86"/>
      <c r="F1253" s="87"/>
      <c r="G1253" s="88"/>
      <c r="H1253" s="89"/>
      <c r="I1253" s="90"/>
      <c r="K1253" s="91"/>
      <c r="L1253" s="88"/>
      <c r="M1253" s="92"/>
      <c r="N1253" s="86"/>
    </row>
    <row r="1254" spans="5:14">
      <c r="E1254" s="86"/>
      <c r="F1254" s="87"/>
      <c r="G1254" s="88"/>
      <c r="H1254" s="89"/>
      <c r="I1254" s="90"/>
      <c r="K1254" s="91"/>
      <c r="L1254" s="88"/>
      <c r="M1254" s="92"/>
      <c r="N1254" s="86"/>
    </row>
    <row r="1255" spans="5:14">
      <c r="E1255" s="86"/>
      <c r="F1255" s="87"/>
      <c r="G1255" s="88"/>
      <c r="H1255" s="89"/>
      <c r="I1255" s="90"/>
      <c r="K1255" s="91"/>
      <c r="L1255" s="88"/>
      <c r="M1255" s="92"/>
      <c r="N1255" s="86"/>
    </row>
    <row r="1256" spans="5:14">
      <c r="E1256" s="86"/>
      <c r="F1256" s="87"/>
      <c r="G1256" s="88"/>
      <c r="H1256" s="89"/>
      <c r="I1256" s="90"/>
      <c r="K1256" s="91"/>
      <c r="L1256" s="88"/>
      <c r="M1256" s="92"/>
      <c r="N1256" s="86"/>
    </row>
    <row r="1257" spans="5:14">
      <c r="E1257" s="86"/>
      <c r="F1257" s="87"/>
      <c r="G1257" s="88"/>
      <c r="H1257" s="89"/>
      <c r="I1257" s="90"/>
      <c r="K1257" s="91"/>
      <c r="L1257" s="88"/>
      <c r="M1257" s="92"/>
      <c r="N1257" s="86"/>
    </row>
    <row r="1258" spans="5:14">
      <c r="E1258" s="86"/>
      <c r="F1258" s="87"/>
      <c r="G1258" s="88"/>
      <c r="H1258" s="89"/>
      <c r="I1258" s="90"/>
      <c r="K1258" s="91"/>
      <c r="L1258" s="88"/>
      <c r="M1258" s="92"/>
      <c r="N1258" s="86"/>
    </row>
    <row r="1259" spans="5:14">
      <c r="E1259" s="86"/>
      <c r="F1259" s="87"/>
      <c r="G1259" s="88"/>
      <c r="H1259" s="89"/>
      <c r="I1259" s="90"/>
      <c r="K1259" s="91"/>
      <c r="L1259" s="88"/>
      <c r="M1259" s="92"/>
      <c r="N1259" s="86"/>
    </row>
    <row r="1260" spans="5:14">
      <c r="E1260" s="86"/>
      <c r="F1260" s="87"/>
      <c r="G1260" s="88"/>
      <c r="H1260" s="89"/>
      <c r="I1260" s="90"/>
      <c r="K1260" s="91"/>
      <c r="L1260" s="88"/>
      <c r="M1260" s="92"/>
      <c r="N1260" s="86"/>
    </row>
    <row r="1261" spans="5:14">
      <c r="E1261" s="86"/>
      <c r="F1261" s="87"/>
      <c r="G1261" s="88"/>
      <c r="H1261" s="89"/>
      <c r="I1261" s="90"/>
      <c r="K1261" s="91"/>
      <c r="L1261" s="88"/>
      <c r="M1261" s="92"/>
      <c r="N1261" s="86"/>
    </row>
    <row r="1262" spans="5:14">
      <c r="E1262" s="86"/>
      <c r="F1262" s="87"/>
      <c r="G1262" s="88"/>
      <c r="H1262" s="89"/>
      <c r="I1262" s="90"/>
      <c r="K1262" s="91"/>
      <c r="L1262" s="88"/>
      <c r="M1262" s="92"/>
      <c r="N1262" s="86"/>
    </row>
    <row r="1263" spans="5:14">
      <c r="E1263" s="86"/>
      <c r="F1263" s="87"/>
      <c r="G1263" s="88"/>
      <c r="H1263" s="89"/>
      <c r="I1263" s="90"/>
      <c r="K1263" s="91"/>
      <c r="L1263" s="88"/>
      <c r="M1263" s="92"/>
      <c r="N1263" s="86"/>
    </row>
    <row r="1264" spans="5:14">
      <c r="E1264" s="86"/>
      <c r="F1264" s="87"/>
      <c r="G1264" s="88"/>
      <c r="H1264" s="89"/>
      <c r="I1264" s="90"/>
      <c r="K1264" s="91"/>
      <c r="L1264" s="88"/>
      <c r="M1264" s="92"/>
      <c r="N1264" s="86"/>
    </row>
    <row r="1265" spans="5:14">
      <c r="E1265" s="86"/>
      <c r="F1265" s="87"/>
      <c r="G1265" s="88"/>
      <c r="H1265" s="89"/>
      <c r="I1265" s="90"/>
      <c r="K1265" s="91"/>
      <c r="L1265" s="88"/>
      <c r="M1265" s="92"/>
      <c r="N1265" s="86"/>
    </row>
    <row r="1266" spans="5:14">
      <c r="E1266" s="86"/>
      <c r="F1266" s="87"/>
      <c r="G1266" s="88"/>
      <c r="H1266" s="89"/>
      <c r="I1266" s="90"/>
      <c r="K1266" s="91"/>
      <c r="L1266" s="88"/>
      <c r="M1266" s="92"/>
      <c r="N1266" s="86"/>
    </row>
    <row r="1267" spans="5:14">
      <c r="E1267" s="86"/>
      <c r="F1267" s="87"/>
      <c r="G1267" s="88"/>
      <c r="H1267" s="89"/>
      <c r="I1267" s="90"/>
      <c r="K1267" s="91"/>
      <c r="L1267" s="88"/>
      <c r="M1267" s="92"/>
      <c r="N1267" s="86"/>
    </row>
    <row r="1268" spans="5:14">
      <c r="E1268" s="86"/>
      <c r="F1268" s="87"/>
      <c r="G1268" s="88"/>
      <c r="H1268" s="89"/>
      <c r="I1268" s="90"/>
      <c r="K1268" s="91"/>
      <c r="L1268" s="88"/>
      <c r="M1268" s="92"/>
      <c r="N1268" s="86"/>
    </row>
    <row r="1269" spans="5:14">
      <c r="E1269" s="86"/>
      <c r="F1269" s="87"/>
      <c r="G1269" s="88"/>
      <c r="H1269" s="89"/>
      <c r="I1269" s="90"/>
      <c r="K1269" s="91"/>
      <c r="L1269" s="88"/>
      <c r="M1269" s="92"/>
      <c r="N1269" s="86"/>
    </row>
    <row r="1270" spans="5:14">
      <c r="E1270" s="86"/>
      <c r="F1270" s="87"/>
      <c r="G1270" s="88"/>
      <c r="H1270" s="89"/>
      <c r="I1270" s="90"/>
      <c r="K1270" s="91"/>
      <c r="L1270" s="88"/>
      <c r="M1270" s="92"/>
      <c r="N1270" s="86"/>
    </row>
    <row r="1271" spans="5:14">
      <c r="E1271" s="86"/>
      <c r="F1271" s="87"/>
      <c r="G1271" s="88"/>
      <c r="H1271" s="89"/>
      <c r="I1271" s="90"/>
      <c r="K1271" s="91"/>
      <c r="L1271" s="88"/>
      <c r="M1271" s="92"/>
      <c r="N1271" s="86"/>
    </row>
    <row r="1272" spans="5:14">
      <c r="E1272" s="86"/>
      <c r="F1272" s="87"/>
      <c r="G1272" s="88"/>
      <c r="H1272" s="89"/>
      <c r="I1272" s="90"/>
      <c r="K1272" s="91"/>
      <c r="L1272" s="88"/>
      <c r="M1272" s="92"/>
      <c r="N1272" s="86"/>
    </row>
    <row r="1273" spans="5:14">
      <c r="E1273" s="86"/>
      <c r="F1273" s="87"/>
      <c r="G1273" s="88"/>
      <c r="H1273" s="89"/>
      <c r="I1273" s="90"/>
      <c r="K1273" s="91"/>
      <c r="L1273" s="88"/>
      <c r="M1273" s="92"/>
      <c r="N1273" s="86"/>
    </row>
    <row r="1274" spans="5:14">
      <c r="E1274" s="86"/>
      <c r="F1274" s="87"/>
      <c r="G1274" s="88"/>
      <c r="H1274" s="89"/>
      <c r="I1274" s="90"/>
      <c r="K1274" s="91"/>
      <c r="L1274" s="88"/>
      <c r="M1274" s="92"/>
      <c r="N1274" s="86"/>
    </row>
    <row r="1275" spans="5:14">
      <c r="E1275" s="86"/>
      <c r="F1275" s="87"/>
      <c r="G1275" s="88"/>
      <c r="H1275" s="89"/>
      <c r="I1275" s="90"/>
      <c r="K1275" s="91"/>
      <c r="L1275" s="88"/>
      <c r="M1275" s="92"/>
      <c r="N1275" s="86"/>
    </row>
    <row r="1276" spans="5:14">
      <c r="E1276" s="86"/>
      <c r="F1276" s="87"/>
      <c r="G1276" s="88"/>
      <c r="H1276" s="89"/>
      <c r="I1276" s="90"/>
      <c r="K1276" s="91"/>
      <c r="L1276" s="88"/>
      <c r="M1276" s="92"/>
      <c r="N1276" s="86"/>
    </row>
    <row r="1277" spans="5:14">
      <c r="E1277" s="86"/>
      <c r="F1277" s="87"/>
      <c r="G1277" s="88"/>
      <c r="H1277" s="89"/>
      <c r="I1277" s="90"/>
      <c r="K1277" s="91"/>
      <c r="L1277" s="88"/>
      <c r="M1277" s="92"/>
      <c r="N1277" s="86"/>
    </row>
    <row r="1278" spans="5:14">
      <c r="E1278" s="86"/>
      <c r="F1278" s="87"/>
      <c r="G1278" s="88"/>
      <c r="H1278" s="89"/>
      <c r="I1278" s="90"/>
      <c r="K1278" s="91"/>
      <c r="L1278" s="88"/>
      <c r="M1278" s="92"/>
      <c r="N1278" s="86"/>
    </row>
    <row r="1279" spans="5:14">
      <c r="E1279" s="86"/>
      <c r="F1279" s="87"/>
      <c r="G1279" s="88"/>
      <c r="H1279" s="89"/>
      <c r="I1279" s="90"/>
      <c r="K1279" s="91"/>
      <c r="L1279" s="88"/>
      <c r="M1279" s="92"/>
      <c r="N1279" s="86"/>
    </row>
    <row r="1280" spans="5:14">
      <c r="E1280" s="86"/>
      <c r="F1280" s="87"/>
      <c r="G1280" s="88"/>
      <c r="H1280" s="89"/>
      <c r="I1280" s="90"/>
      <c r="K1280" s="91"/>
      <c r="L1280" s="88"/>
      <c r="M1280" s="92"/>
      <c r="N1280" s="86"/>
    </row>
    <row r="1281" spans="5:14">
      <c r="E1281" s="86"/>
      <c r="F1281" s="87"/>
      <c r="G1281" s="88"/>
      <c r="H1281" s="89"/>
      <c r="I1281" s="90"/>
      <c r="K1281" s="91"/>
      <c r="L1281" s="88"/>
      <c r="M1281" s="92"/>
      <c r="N1281" s="86"/>
    </row>
    <row r="1282" spans="5:14">
      <c r="E1282" s="86"/>
      <c r="F1282" s="87"/>
      <c r="G1282" s="88"/>
      <c r="H1282" s="89"/>
      <c r="I1282" s="90"/>
      <c r="K1282" s="91"/>
      <c r="L1282" s="88"/>
      <c r="M1282" s="92"/>
      <c r="N1282" s="86"/>
    </row>
    <row r="1283" spans="5:14">
      <c r="E1283" s="86"/>
      <c r="F1283" s="87"/>
      <c r="G1283" s="88"/>
      <c r="H1283" s="89"/>
      <c r="I1283" s="90"/>
      <c r="K1283" s="91"/>
      <c r="L1283" s="88"/>
      <c r="M1283" s="92"/>
      <c r="N1283" s="86"/>
    </row>
    <row r="1284" spans="5:14">
      <c r="E1284" s="86"/>
      <c r="F1284" s="87"/>
      <c r="G1284" s="88"/>
      <c r="H1284" s="89"/>
      <c r="I1284" s="90"/>
      <c r="K1284" s="91"/>
      <c r="L1284" s="88"/>
      <c r="M1284" s="92"/>
      <c r="N1284" s="86"/>
    </row>
    <row r="1285" spans="5:14">
      <c r="E1285" s="86"/>
      <c r="F1285" s="87"/>
      <c r="G1285" s="88"/>
      <c r="H1285" s="89"/>
      <c r="I1285" s="90"/>
      <c r="K1285" s="91"/>
      <c r="L1285" s="88"/>
      <c r="M1285" s="92"/>
      <c r="N1285" s="86"/>
    </row>
    <row r="1286" spans="5:14">
      <c r="E1286" s="86"/>
      <c r="F1286" s="87"/>
      <c r="G1286" s="88"/>
      <c r="H1286" s="89"/>
      <c r="I1286" s="90"/>
      <c r="K1286" s="91"/>
      <c r="L1286" s="88"/>
      <c r="M1286" s="92"/>
      <c r="N1286" s="86"/>
    </row>
    <row r="1287" spans="5:14">
      <c r="E1287" s="86"/>
      <c r="F1287" s="87"/>
      <c r="G1287" s="88"/>
      <c r="H1287" s="89"/>
      <c r="I1287" s="90"/>
      <c r="K1287" s="91"/>
      <c r="L1287" s="88"/>
      <c r="M1287" s="92"/>
      <c r="N1287" s="86"/>
    </row>
    <row r="1288" spans="5:14">
      <c r="E1288" s="86"/>
      <c r="F1288" s="87"/>
      <c r="G1288" s="88"/>
      <c r="H1288" s="89"/>
      <c r="I1288" s="90"/>
      <c r="K1288" s="91"/>
      <c r="L1288" s="88"/>
      <c r="M1288" s="92"/>
      <c r="N1288" s="86"/>
    </row>
    <row r="1289" spans="5:14">
      <c r="E1289" s="86"/>
      <c r="F1289" s="87"/>
      <c r="G1289" s="88"/>
      <c r="H1289" s="89"/>
      <c r="I1289" s="90"/>
      <c r="K1289" s="91"/>
      <c r="L1289" s="88"/>
      <c r="M1289" s="92"/>
      <c r="N1289" s="86"/>
    </row>
    <row r="1290" spans="5:14">
      <c r="E1290" s="86"/>
      <c r="F1290" s="87"/>
      <c r="G1290" s="88"/>
      <c r="H1290" s="89"/>
      <c r="I1290" s="90"/>
      <c r="K1290" s="91"/>
      <c r="L1290" s="88"/>
      <c r="M1290" s="92"/>
      <c r="N1290" s="86"/>
    </row>
    <row r="1291" spans="5:14">
      <c r="E1291" s="86"/>
      <c r="F1291" s="87"/>
      <c r="G1291" s="88"/>
      <c r="H1291" s="89"/>
      <c r="I1291" s="90"/>
      <c r="K1291" s="91"/>
      <c r="L1291" s="88"/>
      <c r="M1291" s="92"/>
      <c r="N1291" s="86"/>
    </row>
    <row r="1292" spans="5:14">
      <c r="E1292" s="86"/>
      <c r="F1292" s="87"/>
      <c r="G1292" s="88"/>
      <c r="H1292" s="89"/>
      <c r="I1292" s="90"/>
      <c r="K1292" s="91"/>
      <c r="L1292" s="88"/>
      <c r="M1292" s="92"/>
      <c r="N1292" s="86"/>
    </row>
    <row r="1293" spans="5:14">
      <c r="E1293" s="86"/>
      <c r="F1293" s="87"/>
      <c r="G1293" s="88"/>
      <c r="H1293" s="89"/>
      <c r="I1293" s="90"/>
      <c r="K1293" s="91"/>
      <c r="L1293" s="88"/>
      <c r="M1293" s="92"/>
      <c r="N1293" s="86"/>
    </row>
    <row r="1294" spans="5:14">
      <c r="E1294" s="86"/>
      <c r="F1294" s="87"/>
      <c r="G1294" s="88"/>
      <c r="H1294" s="89"/>
      <c r="I1294" s="90"/>
      <c r="K1294" s="91"/>
      <c r="L1294" s="88"/>
      <c r="M1294" s="92"/>
      <c r="N1294" s="86"/>
    </row>
    <row r="1295" spans="5:14">
      <c r="E1295" s="86"/>
      <c r="F1295" s="87"/>
      <c r="G1295" s="88"/>
      <c r="H1295" s="89"/>
      <c r="I1295" s="90"/>
      <c r="K1295" s="91"/>
      <c r="L1295" s="88"/>
      <c r="M1295" s="92"/>
      <c r="N1295" s="86"/>
    </row>
    <row r="1296" spans="5:14">
      <c r="E1296" s="86"/>
      <c r="F1296" s="87"/>
      <c r="G1296" s="88"/>
      <c r="H1296" s="89"/>
      <c r="I1296" s="90"/>
      <c r="K1296" s="91"/>
      <c r="L1296" s="88"/>
      <c r="M1296" s="92"/>
      <c r="N1296" s="86"/>
    </row>
    <row r="1297" spans="5:14">
      <c r="E1297" s="86"/>
      <c r="F1297" s="87"/>
      <c r="G1297" s="88"/>
      <c r="H1297" s="89"/>
      <c r="I1297" s="90"/>
      <c r="K1297" s="91"/>
      <c r="L1297" s="88"/>
      <c r="M1297" s="92"/>
      <c r="N1297" s="86"/>
    </row>
    <row r="1298" spans="5:14">
      <c r="E1298" s="86"/>
      <c r="F1298" s="87"/>
      <c r="G1298" s="88"/>
      <c r="H1298" s="89"/>
      <c r="I1298" s="90"/>
      <c r="K1298" s="91"/>
      <c r="L1298" s="88"/>
      <c r="M1298" s="92"/>
      <c r="N1298" s="86"/>
    </row>
    <row r="1299" spans="5:14">
      <c r="E1299" s="86"/>
      <c r="F1299" s="87"/>
      <c r="G1299" s="88"/>
      <c r="H1299" s="89"/>
      <c r="I1299" s="90"/>
      <c r="K1299" s="91"/>
      <c r="L1299" s="88"/>
      <c r="M1299" s="92"/>
      <c r="N1299" s="86"/>
    </row>
    <row r="1300" spans="5:14">
      <c r="E1300" s="86"/>
      <c r="F1300" s="87"/>
      <c r="G1300" s="88"/>
      <c r="H1300" s="89"/>
      <c r="I1300" s="90"/>
      <c r="K1300" s="91"/>
      <c r="L1300" s="88"/>
      <c r="M1300" s="92"/>
      <c r="N1300" s="86"/>
    </row>
    <row r="1301" spans="5:14">
      <c r="E1301" s="86"/>
      <c r="F1301" s="87"/>
      <c r="G1301" s="88"/>
      <c r="H1301" s="89"/>
      <c r="I1301" s="90"/>
      <c r="K1301" s="91"/>
      <c r="L1301" s="88"/>
      <c r="M1301" s="92"/>
      <c r="N1301" s="86"/>
    </row>
    <row r="1302" spans="5:14">
      <c r="E1302" s="86"/>
      <c r="F1302" s="87"/>
      <c r="G1302" s="88"/>
      <c r="H1302" s="89"/>
      <c r="I1302" s="90"/>
      <c r="K1302" s="91"/>
      <c r="L1302" s="88"/>
      <c r="M1302" s="92"/>
      <c r="N1302" s="86"/>
    </row>
    <row r="1303" spans="5:14">
      <c r="E1303" s="86"/>
      <c r="F1303" s="87"/>
      <c r="G1303" s="88"/>
      <c r="H1303" s="89"/>
      <c r="I1303" s="90"/>
      <c r="K1303" s="91"/>
      <c r="L1303" s="88"/>
      <c r="M1303" s="92"/>
      <c r="N1303" s="86"/>
    </row>
    <row r="1304" spans="5:14">
      <c r="E1304" s="86"/>
      <c r="F1304" s="87"/>
      <c r="G1304" s="88"/>
      <c r="H1304" s="89"/>
      <c r="I1304" s="90"/>
      <c r="K1304" s="91"/>
      <c r="L1304" s="88"/>
      <c r="M1304" s="92"/>
      <c r="N1304" s="86"/>
    </row>
    <row r="1305" spans="5:14">
      <c r="E1305" s="86"/>
      <c r="F1305" s="87"/>
      <c r="G1305" s="88"/>
      <c r="H1305" s="89"/>
      <c r="I1305" s="90"/>
      <c r="K1305" s="91"/>
      <c r="L1305" s="88"/>
      <c r="M1305" s="92"/>
      <c r="N1305" s="86"/>
    </row>
    <row r="1306" spans="5:14">
      <c r="E1306" s="86"/>
      <c r="F1306" s="87"/>
      <c r="G1306" s="88"/>
      <c r="H1306" s="89"/>
      <c r="I1306" s="90"/>
      <c r="K1306" s="91"/>
      <c r="L1306" s="88"/>
      <c r="M1306" s="92"/>
      <c r="N1306" s="86"/>
    </row>
    <row r="1307" spans="5:14">
      <c r="E1307" s="86"/>
      <c r="F1307" s="87"/>
      <c r="G1307" s="88"/>
      <c r="H1307" s="89"/>
      <c r="I1307" s="90"/>
      <c r="K1307" s="91"/>
      <c r="L1307" s="88"/>
      <c r="M1307" s="92"/>
      <c r="N1307" s="86"/>
    </row>
    <row r="1308" spans="5:14">
      <c r="E1308" s="86"/>
      <c r="F1308" s="87"/>
      <c r="G1308" s="88"/>
      <c r="H1308" s="89"/>
      <c r="I1308" s="90"/>
      <c r="K1308" s="91"/>
      <c r="L1308" s="88"/>
      <c r="M1308" s="92"/>
      <c r="N1308" s="86"/>
    </row>
    <row r="1309" spans="5:14">
      <c r="E1309" s="86"/>
      <c r="F1309" s="87"/>
      <c r="G1309" s="88"/>
      <c r="H1309" s="89"/>
      <c r="I1309" s="90"/>
      <c r="K1309" s="91"/>
      <c r="L1309" s="88"/>
      <c r="M1309" s="92"/>
      <c r="N1309" s="86"/>
    </row>
    <row r="1310" spans="5:14">
      <c r="E1310" s="86"/>
      <c r="F1310" s="87"/>
      <c r="G1310" s="88"/>
      <c r="H1310" s="89"/>
      <c r="I1310" s="90"/>
      <c r="K1310" s="91"/>
      <c r="L1310" s="88"/>
      <c r="M1310" s="92"/>
      <c r="N1310" s="86"/>
    </row>
    <row r="1311" spans="5:14">
      <c r="E1311" s="86"/>
      <c r="F1311" s="87"/>
      <c r="G1311" s="88"/>
      <c r="H1311" s="89"/>
      <c r="I1311" s="90"/>
      <c r="K1311" s="91"/>
      <c r="L1311" s="88"/>
      <c r="M1311" s="92"/>
      <c r="N1311" s="86"/>
    </row>
    <row r="1312" spans="5:14">
      <c r="E1312" s="86"/>
      <c r="F1312" s="87"/>
      <c r="G1312" s="88"/>
      <c r="H1312" s="89"/>
      <c r="I1312" s="90"/>
      <c r="K1312" s="91"/>
      <c r="L1312" s="88"/>
      <c r="M1312" s="92"/>
      <c r="N1312" s="86"/>
    </row>
    <row r="1313" spans="5:14">
      <c r="E1313" s="86"/>
      <c r="F1313" s="87"/>
      <c r="G1313" s="88"/>
      <c r="H1313" s="89"/>
      <c r="I1313" s="90"/>
      <c r="K1313" s="91"/>
      <c r="L1313" s="88"/>
      <c r="M1313" s="92"/>
      <c r="N1313" s="86"/>
    </row>
    <row r="1314" spans="5:14">
      <c r="E1314" s="86"/>
      <c r="F1314" s="87"/>
      <c r="G1314" s="88"/>
      <c r="H1314" s="89"/>
      <c r="I1314" s="90"/>
      <c r="K1314" s="91"/>
      <c r="L1314" s="88"/>
      <c r="M1314" s="92"/>
      <c r="N1314" s="86"/>
    </row>
    <row r="1315" spans="5:14">
      <c r="E1315" s="86"/>
      <c r="F1315" s="87"/>
      <c r="G1315" s="88"/>
      <c r="H1315" s="89"/>
      <c r="I1315" s="90"/>
      <c r="K1315" s="91"/>
      <c r="L1315" s="88"/>
      <c r="M1315" s="92"/>
      <c r="N1315" s="86"/>
    </row>
    <row r="1316" spans="5:14">
      <c r="E1316" s="86"/>
      <c r="F1316" s="87"/>
      <c r="G1316" s="88"/>
      <c r="H1316" s="89"/>
      <c r="I1316" s="90"/>
      <c r="K1316" s="91"/>
      <c r="L1316" s="88"/>
      <c r="M1316" s="92"/>
      <c r="N1316" s="86"/>
    </row>
    <row r="1317" spans="5:14">
      <c r="E1317" s="86"/>
      <c r="F1317" s="87"/>
      <c r="G1317" s="88"/>
      <c r="H1317" s="89"/>
      <c r="I1317" s="90"/>
      <c r="K1317" s="91"/>
      <c r="L1317" s="88"/>
      <c r="M1317" s="92"/>
      <c r="N1317" s="86"/>
    </row>
    <row r="1318" spans="5:14">
      <c r="E1318" s="86"/>
      <c r="F1318" s="87"/>
      <c r="G1318" s="88"/>
      <c r="H1318" s="89"/>
      <c r="I1318" s="90"/>
      <c r="K1318" s="91"/>
      <c r="L1318" s="88"/>
      <c r="M1318" s="92"/>
      <c r="N1318" s="86"/>
    </row>
    <row r="1319" spans="5:14">
      <c r="E1319" s="86"/>
      <c r="F1319" s="87"/>
      <c r="G1319" s="88"/>
      <c r="H1319" s="89"/>
      <c r="I1319" s="90"/>
      <c r="K1319" s="91"/>
      <c r="L1319" s="88"/>
      <c r="M1319" s="92"/>
      <c r="N1319" s="86"/>
    </row>
    <row r="1320" spans="5:14">
      <c r="E1320" s="86"/>
      <c r="F1320" s="87"/>
      <c r="G1320" s="88"/>
      <c r="H1320" s="89"/>
      <c r="I1320" s="90"/>
      <c r="K1320" s="91"/>
      <c r="L1320" s="88"/>
      <c r="M1320" s="92"/>
      <c r="N1320" s="86"/>
    </row>
    <row r="1321" spans="5:14">
      <c r="E1321" s="86"/>
      <c r="F1321" s="87"/>
      <c r="G1321" s="88"/>
      <c r="H1321" s="89"/>
      <c r="I1321" s="90"/>
      <c r="K1321" s="91"/>
      <c r="L1321" s="88"/>
      <c r="M1321" s="92"/>
      <c r="N1321" s="86"/>
    </row>
    <row r="1322" spans="5:14">
      <c r="E1322" s="86"/>
      <c r="F1322" s="87"/>
      <c r="G1322" s="88"/>
      <c r="H1322" s="89"/>
      <c r="I1322" s="90"/>
      <c r="K1322" s="91"/>
      <c r="L1322" s="88"/>
      <c r="M1322" s="92"/>
      <c r="N1322" s="86"/>
    </row>
    <row r="1323" spans="5:14">
      <c r="E1323" s="86"/>
      <c r="F1323" s="87"/>
      <c r="G1323" s="88"/>
      <c r="H1323" s="89"/>
      <c r="I1323" s="90"/>
      <c r="K1323" s="91"/>
      <c r="L1323" s="88"/>
      <c r="M1323" s="92"/>
      <c r="N1323" s="86"/>
    </row>
    <row r="1324" spans="5:14">
      <c r="E1324" s="86"/>
      <c r="F1324" s="87"/>
      <c r="G1324" s="88"/>
      <c r="H1324" s="89"/>
      <c r="I1324" s="90"/>
      <c r="K1324" s="91"/>
      <c r="L1324" s="88"/>
      <c r="M1324" s="92"/>
      <c r="N1324" s="86"/>
    </row>
    <row r="1325" spans="5:14">
      <c r="E1325" s="86"/>
      <c r="F1325" s="87"/>
      <c r="G1325" s="88"/>
      <c r="H1325" s="89"/>
      <c r="I1325" s="90"/>
      <c r="K1325" s="91"/>
      <c r="L1325" s="88"/>
      <c r="M1325" s="92"/>
      <c r="N1325" s="86"/>
    </row>
    <row r="1326" spans="5:14">
      <c r="E1326" s="86"/>
      <c r="F1326" s="87"/>
      <c r="G1326" s="88"/>
      <c r="H1326" s="89"/>
      <c r="I1326" s="90"/>
      <c r="K1326" s="91"/>
      <c r="L1326" s="88"/>
      <c r="M1326" s="92"/>
      <c r="N1326" s="86"/>
    </row>
    <row r="1327" spans="5:14">
      <c r="E1327" s="86"/>
      <c r="F1327" s="87"/>
      <c r="G1327" s="88"/>
      <c r="H1327" s="89"/>
      <c r="I1327" s="90"/>
      <c r="K1327" s="91"/>
      <c r="L1327" s="88"/>
      <c r="M1327" s="92"/>
      <c r="N1327" s="86"/>
    </row>
    <row r="1328" spans="5:14">
      <c r="E1328" s="86"/>
      <c r="F1328" s="87"/>
      <c r="G1328" s="88"/>
      <c r="H1328" s="89"/>
      <c r="I1328" s="90"/>
      <c r="K1328" s="91"/>
      <c r="L1328" s="88"/>
      <c r="M1328" s="92"/>
      <c r="N1328" s="86"/>
    </row>
    <row r="1329" spans="5:14">
      <c r="E1329" s="86"/>
      <c r="F1329" s="87"/>
      <c r="G1329" s="88"/>
      <c r="H1329" s="89"/>
      <c r="I1329" s="90"/>
      <c r="K1329" s="91"/>
      <c r="L1329" s="88"/>
      <c r="M1329" s="92"/>
      <c r="N1329" s="86"/>
    </row>
    <row r="1330" spans="5:14">
      <c r="E1330" s="86"/>
      <c r="F1330" s="87"/>
      <c r="G1330" s="88"/>
      <c r="H1330" s="89"/>
      <c r="I1330" s="90"/>
      <c r="K1330" s="91"/>
      <c r="L1330" s="88"/>
      <c r="M1330" s="92"/>
      <c r="N1330" s="86"/>
    </row>
    <row r="1331" spans="5:14">
      <c r="E1331" s="86"/>
      <c r="F1331" s="87"/>
      <c r="G1331" s="88"/>
      <c r="H1331" s="89"/>
      <c r="I1331" s="90"/>
      <c r="K1331" s="91"/>
      <c r="L1331" s="88"/>
      <c r="M1331" s="92"/>
      <c r="N1331" s="86"/>
    </row>
    <row r="1332" spans="5:14">
      <c r="E1332" s="86"/>
      <c r="F1332" s="87"/>
      <c r="G1332" s="88"/>
      <c r="H1332" s="89"/>
      <c r="I1332" s="90"/>
      <c r="K1332" s="91"/>
      <c r="L1332" s="88"/>
      <c r="M1332" s="92"/>
      <c r="N1332" s="86"/>
    </row>
    <row r="1333" spans="5:14">
      <c r="E1333" s="86"/>
      <c r="F1333" s="87"/>
      <c r="G1333" s="88"/>
      <c r="H1333" s="89"/>
      <c r="I1333" s="90"/>
      <c r="K1333" s="91"/>
      <c r="L1333" s="88"/>
      <c r="M1333" s="92"/>
      <c r="N1333" s="86"/>
    </row>
    <row r="1334" spans="5:14">
      <c r="E1334" s="86"/>
      <c r="F1334" s="87"/>
      <c r="G1334" s="88"/>
      <c r="H1334" s="89"/>
      <c r="I1334" s="90"/>
      <c r="K1334" s="91"/>
      <c r="L1334" s="88"/>
      <c r="M1334" s="92"/>
      <c r="N1334" s="86"/>
    </row>
    <row r="1335" spans="5:14">
      <c r="E1335" s="86"/>
      <c r="F1335" s="87"/>
      <c r="G1335" s="88"/>
      <c r="H1335" s="89"/>
      <c r="I1335" s="90"/>
      <c r="K1335" s="91"/>
      <c r="L1335" s="88"/>
      <c r="M1335" s="92"/>
      <c r="N1335" s="86"/>
    </row>
    <row r="1336" spans="5:14">
      <c r="E1336" s="86"/>
      <c r="F1336" s="87"/>
      <c r="G1336" s="88"/>
      <c r="H1336" s="89"/>
      <c r="I1336" s="90"/>
      <c r="K1336" s="91"/>
      <c r="L1336" s="88"/>
      <c r="M1336" s="92"/>
      <c r="N1336" s="86"/>
    </row>
    <row r="1337" spans="5:14">
      <c r="E1337" s="86"/>
      <c r="F1337" s="87"/>
      <c r="G1337" s="88"/>
      <c r="H1337" s="89"/>
      <c r="I1337" s="90"/>
      <c r="K1337" s="91"/>
      <c r="L1337" s="88"/>
      <c r="M1337" s="92"/>
      <c r="N1337" s="86"/>
    </row>
    <row r="1338" spans="5:14">
      <c r="E1338" s="86"/>
      <c r="F1338" s="87"/>
      <c r="G1338" s="88"/>
      <c r="H1338" s="89"/>
      <c r="I1338" s="90"/>
      <c r="K1338" s="91"/>
      <c r="L1338" s="88"/>
      <c r="M1338" s="92"/>
      <c r="N1338" s="86"/>
    </row>
    <row r="1339" spans="5:14">
      <c r="E1339" s="86"/>
      <c r="F1339" s="87"/>
      <c r="G1339" s="88"/>
      <c r="H1339" s="89"/>
      <c r="I1339" s="90"/>
      <c r="K1339" s="91"/>
      <c r="L1339" s="88"/>
      <c r="M1339" s="92"/>
      <c r="N1339" s="86"/>
    </row>
    <row r="1340" spans="5:14">
      <c r="E1340" s="86"/>
      <c r="F1340" s="87"/>
      <c r="G1340" s="88"/>
      <c r="H1340" s="89"/>
      <c r="I1340" s="90"/>
      <c r="K1340" s="91"/>
      <c r="L1340" s="88"/>
      <c r="M1340" s="92"/>
      <c r="N1340" s="86"/>
    </row>
    <row r="1341" spans="5:14">
      <c r="E1341" s="86"/>
      <c r="F1341" s="87"/>
      <c r="G1341" s="88"/>
      <c r="H1341" s="89"/>
      <c r="I1341" s="90"/>
      <c r="K1341" s="91"/>
      <c r="L1341" s="88"/>
      <c r="M1341" s="92"/>
      <c r="N1341" s="86"/>
    </row>
    <row r="1342" spans="5:14">
      <c r="E1342" s="86"/>
      <c r="F1342" s="87"/>
      <c r="G1342" s="88"/>
      <c r="H1342" s="89"/>
      <c r="I1342" s="90"/>
      <c r="K1342" s="91"/>
      <c r="L1342" s="88"/>
      <c r="M1342" s="92"/>
      <c r="N1342" s="86"/>
    </row>
    <row r="1343" spans="5:14">
      <c r="E1343" s="86"/>
      <c r="F1343" s="87"/>
      <c r="G1343" s="88"/>
      <c r="H1343" s="89"/>
      <c r="I1343" s="90"/>
      <c r="K1343" s="91"/>
      <c r="L1343" s="88"/>
      <c r="M1343" s="92"/>
      <c r="N1343" s="86"/>
    </row>
    <row r="1344" spans="5:14">
      <c r="E1344" s="86"/>
      <c r="F1344" s="87"/>
      <c r="G1344" s="88"/>
      <c r="H1344" s="89"/>
      <c r="I1344" s="90"/>
      <c r="K1344" s="91"/>
      <c r="L1344" s="88"/>
      <c r="M1344" s="92"/>
      <c r="N1344" s="86"/>
    </row>
    <row r="1345" spans="5:14">
      <c r="E1345" s="86"/>
      <c r="F1345" s="87"/>
      <c r="G1345" s="88"/>
      <c r="H1345" s="89"/>
      <c r="I1345" s="90"/>
      <c r="K1345" s="91"/>
      <c r="L1345" s="88"/>
      <c r="M1345" s="92"/>
      <c r="N1345" s="86"/>
    </row>
    <row r="1346" spans="5:14">
      <c r="E1346" s="86"/>
      <c r="F1346" s="87"/>
      <c r="G1346" s="88"/>
      <c r="H1346" s="89"/>
      <c r="I1346" s="90"/>
      <c r="K1346" s="91"/>
      <c r="L1346" s="88"/>
      <c r="M1346" s="92"/>
      <c r="N1346" s="86"/>
    </row>
    <row r="1347" spans="5:14">
      <c r="E1347" s="86"/>
      <c r="F1347" s="87"/>
      <c r="G1347" s="88"/>
      <c r="H1347" s="89"/>
      <c r="I1347" s="90"/>
      <c r="K1347" s="91"/>
      <c r="L1347" s="88"/>
      <c r="M1347" s="92"/>
      <c r="N1347" s="86"/>
    </row>
    <row r="1348" spans="5:14">
      <c r="E1348" s="86"/>
      <c r="F1348" s="87"/>
      <c r="G1348" s="88"/>
      <c r="H1348" s="89"/>
      <c r="I1348" s="90"/>
      <c r="K1348" s="91"/>
      <c r="L1348" s="88"/>
      <c r="M1348" s="92"/>
      <c r="N1348" s="86"/>
    </row>
    <row r="1349" spans="5:14">
      <c r="E1349" s="86"/>
      <c r="F1349" s="87"/>
      <c r="G1349" s="88"/>
      <c r="H1349" s="89"/>
      <c r="I1349" s="90"/>
      <c r="K1349" s="91"/>
      <c r="L1349" s="88"/>
      <c r="M1349" s="92"/>
      <c r="N1349" s="86"/>
    </row>
    <row r="1350" spans="5:14">
      <c r="E1350" s="86"/>
      <c r="F1350" s="87"/>
      <c r="G1350" s="88"/>
      <c r="H1350" s="89"/>
      <c r="I1350" s="90"/>
      <c r="K1350" s="91"/>
      <c r="L1350" s="88"/>
      <c r="M1350" s="92"/>
      <c r="N1350" s="86"/>
    </row>
    <row r="1351" spans="5:14">
      <c r="E1351" s="86"/>
      <c r="F1351" s="87"/>
      <c r="G1351" s="88"/>
      <c r="H1351" s="89"/>
      <c r="I1351" s="90"/>
      <c r="K1351" s="91"/>
      <c r="L1351" s="88"/>
      <c r="M1351" s="92"/>
      <c r="N1351" s="86"/>
    </row>
    <row r="1352" spans="5:14">
      <c r="E1352" s="86"/>
      <c r="F1352" s="87"/>
      <c r="G1352" s="88"/>
      <c r="H1352" s="89"/>
      <c r="I1352" s="90"/>
      <c r="K1352" s="91"/>
      <c r="L1352" s="88"/>
      <c r="M1352" s="92"/>
      <c r="N1352" s="86"/>
    </row>
    <row r="1353" spans="5:14">
      <c r="E1353" s="86"/>
      <c r="F1353" s="87"/>
      <c r="G1353" s="88"/>
      <c r="H1353" s="89"/>
      <c r="I1353" s="90"/>
      <c r="K1353" s="91"/>
      <c r="L1353" s="88"/>
      <c r="M1353" s="92"/>
      <c r="N1353" s="86"/>
    </row>
    <row r="1354" spans="5:14">
      <c r="E1354" s="86"/>
      <c r="F1354" s="87"/>
      <c r="G1354" s="88"/>
      <c r="H1354" s="89"/>
      <c r="I1354" s="90"/>
      <c r="K1354" s="91"/>
      <c r="L1354" s="88"/>
      <c r="M1354" s="92"/>
      <c r="N1354" s="86"/>
    </row>
    <row r="1355" spans="5:14">
      <c r="E1355" s="86"/>
      <c r="F1355" s="87"/>
      <c r="G1355" s="88"/>
      <c r="H1355" s="89"/>
      <c r="I1355" s="90"/>
      <c r="K1355" s="91"/>
      <c r="L1355" s="88"/>
      <c r="M1355" s="92"/>
      <c r="N1355" s="86"/>
    </row>
    <row r="1356" spans="5:14">
      <c r="E1356" s="86"/>
      <c r="F1356" s="87"/>
      <c r="G1356" s="88"/>
      <c r="H1356" s="89"/>
      <c r="I1356" s="90"/>
      <c r="K1356" s="91"/>
      <c r="L1356" s="88"/>
      <c r="M1356" s="92"/>
      <c r="N1356" s="86"/>
    </row>
    <row r="1357" spans="5:14">
      <c r="E1357" s="86"/>
      <c r="F1357" s="87"/>
      <c r="G1357" s="88"/>
      <c r="H1357" s="89"/>
      <c r="I1357" s="90"/>
      <c r="K1357" s="91"/>
      <c r="L1357" s="88"/>
      <c r="M1357" s="92"/>
      <c r="N1357" s="86"/>
    </row>
    <row r="1358" spans="5:14">
      <c r="E1358" s="86"/>
      <c r="F1358" s="87"/>
      <c r="G1358" s="88"/>
      <c r="H1358" s="89"/>
      <c r="I1358" s="90"/>
      <c r="K1358" s="91"/>
      <c r="L1358" s="88"/>
      <c r="M1358" s="92"/>
      <c r="N1358" s="86"/>
    </row>
    <row r="1359" spans="5:14">
      <c r="E1359" s="86"/>
      <c r="F1359" s="87"/>
      <c r="G1359" s="88"/>
      <c r="H1359" s="89"/>
      <c r="I1359" s="90"/>
      <c r="K1359" s="91"/>
      <c r="L1359" s="88"/>
      <c r="M1359" s="92"/>
      <c r="N1359" s="86"/>
    </row>
    <row r="1360" spans="5:14">
      <c r="E1360" s="86"/>
      <c r="F1360" s="87"/>
      <c r="G1360" s="88"/>
      <c r="H1360" s="89"/>
      <c r="I1360" s="90"/>
      <c r="K1360" s="91"/>
      <c r="L1360" s="88"/>
      <c r="M1360" s="92"/>
      <c r="N1360" s="86"/>
    </row>
    <row r="1361" spans="5:14">
      <c r="E1361" s="86"/>
      <c r="F1361" s="87"/>
      <c r="G1361" s="88"/>
      <c r="H1361" s="89"/>
      <c r="I1361" s="90"/>
      <c r="K1361" s="91"/>
      <c r="L1361" s="88"/>
      <c r="M1361" s="92"/>
      <c r="N1361" s="86"/>
    </row>
    <row r="1362" spans="5:14">
      <c r="E1362" s="86"/>
      <c r="F1362" s="87"/>
      <c r="G1362" s="88"/>
      <c r="H1362" s="89"/>
      <c r="I1362" s="90"/>
      <c r="K1362" s="91"/>
      <c r="L1362" s="88"/>
      <c r="M1362" s="92"/>
      <c r="N1362" s="86"/>
    </row>
    <row r="1363" spans="5:14">
      <c r="E1363" s="86"/>
      <c r="F1363" s="87"/>
      <c r="G1363" s="88"/>
      <c r="H1363" s="89"/>
      <c r="I1363" s="90"/>
      <c r="K1363" s="91"/>
      <c r="L1363" s="88"/>
      <c r="M1363" s="92"/>
      <c r="N1363" s="86"/>
    </row>
    <row r="1364" spans="5:14">
      <c r="E1364" s="86"/>
      <c r="F1364" s="87"/>
      <c r="G1364" s="88"/>
      <c r="H1364" s="89"/>
      <c r="I1364" s="90"/>
      <c r="K1364" s="91"/>
      <c r="L1364" s="88"/>
      <c r="M1364" s="92"/>
      <c r="N1364" s="86"/>
    </row>
    <row r="1365" spans="5:14">
      <c r="E1365" s="86"/>
      <c r="F1365" s="87"/>
      <c r="G1365" s="88"/>
      <c r="H1365" s="89"/>
      <c r="I1365" s="90"/>
      <c r="K1365" s="91"/>
      <c r="L1365" s="88"/>
      <c r="M1365" s="92"/>
      <c r="N1365" s="86"/>
    </row>
    <row r="1366" spans="5:14">
      <c r="E1366" s="86"/>
      <c r="F1366" s="87"/>
      <c r="G1366" s="88"/>
      <c r="H1366" s="89"/>
      <c r="I1366" s="90"/>
      <c r="K1366" s="91"/>
      <c r="L1366" s="88"/>
      <c r="M1366" s="92"/>
      <c r="N1366" s="86"/>
    </row>
    <row r="1367" spans="5:14">
      <c r="E1367" s="86"/>
      <c r="F1367" s="87"/>
      <c r="G1367" s="88"/>
      <c r="H1367" s="89"/>
      <c r="I1367" s="90"/>
      <c r="K1367" s="91"/>
      <c r="L1367" s="88"/>
      <c r="M1367" s="92"/>
      <c r="N1367" s="86"/>
    </row>
    <row r="1368" spans="5:14">
      <c r="E1368" s="86"/>
      <c r="F1368" s="87"/>
      <c r="G1368" s="88"/>
      <c r="H1368" s="89"/>
      <c r="I1368" s="90"/>
      <c r="K1368" s="91"/>
      <c r="L1368" s="88"/>
      <c r="M1368" s="92"/>
      <c r="N1368" s="86"/>
    </row>
    <row r="1369" spans="5:14">
      <c r="E1369" s="86"/>
      <c r="F1369" s="87"/>
      <c r="G1369" s="88"/>
      <c r="H1369" s="89"/>
      <c r="I1369" s="90"/>
      <c r="K1369" s="91"/>
      <c r="L1369" s="88"/>
      <c r="M1369" s="92"/>
      <c r="N1369" s="86"/>
    </row>
    <row r="1370" spans="5:14">
      <c r="E1370" s="86"/>
      <c r="F1370" s="87"/>
      <c r="G1370" s="88"/>
      <c r="H1370" s="89"/>
      <c r="I1370" s="90"/>
      <c r="K1370" s="91"/>
      <c r="L1370" s="88"/>
      <c r="M1370" s="92"/>
      <c r="N1370" s="86"/>
    </row>
    <row r="1371" spans="5:14">
      <c r="E1371" s="86"/>
      <c r="F1371" s="87"/>
      <c r="G1371" s="88"/>
      <c r="H1371" s="89"/>
      <c r="I1371" s="90"/>
      <c r="K1371" s="91"/>
      <c r="L1371" s="88"/>
      <c r="M1371" s="92"/>
      <c r="N1371" s="86"/>
    </row>
    <row r="1372" spans="5:14">
      <c r="E1372" s="86"/>
      <c r="F1372" s="87"/>
      <c r="G1372" s="88"/>
      <c r="H1372" s="89"/>
      <c r="I1372" s="90"/>
      <c r="K1372" s="91"/>
      <c r="L1372" s="88"/>
      <c r="M1372" s="92"/>
      <c r="N1372" s="86"/>
    </row>
    <row r="1373" spans="5:14">
      <c r="E1373" s="86"/>
      <c r="F1373" s="87"/>
      <c r="G1373" s="88"/>
      <c r="H1373" s="89"/>
      <c r="I1373" s="90"/>
      <c r="K1373" s="91"/>
      <c r="L1373" s="88"/>
      <c r="M1373" s="92"/>
      <c r="N1373" s="86"/>
    </row>
    <row r="1374" spans="5:14">
      <c r="E1374" s="86"/>
      <c r="F1374" s="87"/>
      <c r="G1374" s="88"/>
      <c r="H1374" s="89"/>
      <c r="I1374" s="90"/>
      <c r="K1374" s="91"/>
      <c r="L1374" s="88"/>
      <c r="M1374" s="92"/>
      <c r="N1374" s="86"/>
    </row>
    <row r="1375" spans="5:14">
      <c r="E1375" s="86"/>
      <c r="F1375" s="87"/>
      <c r="G1375" s="88"/>
      <c r="H1375" s="89"/>
      <c r="I1375" s="90"/>
      <c r="K1375" s="91"/>
      <c r="L1375" s="88"/>
      <c r="M1375" s="92"/>
      <c r="N1375" s="86"/>
    </row>
    <row r="1376" spans="5:14">
      <c r="E1376" s="86"/>
      <c r="F1376" s="87"/>
      <c r="G1376" s="88"/>
      <c r="H1376" s="89"/>
      <c r="I1376" s="90"/>
      <c r="K1376" s="91"/>
      <c r="L1376" s="88"/>
      <c r="M1376" s="92"/>
      <c r="N1376" s="86"/>
    </row>
    <row r="1377" spans="5:14">
      <c r="E1377" s="86"/>
      <c r="F1377" s="87"/>
      <c r="G1377" s="88"/>
      <c r="H1377" s="89"/>
      <c r="I1377" s="90"/>
      <c r="K1377" s="91"/>
      <c r="L1377" s="88"/>
      <c r="M1377" s="92"/>
      <c r="N1377" s="86"/>
    </row>
    <row r="1378" spans="5:14">
      <c r="E1378" s="86"/>
      <c r="F1378" s="87"/>
      <c r="G1378" s="88"/>
      <c r="H1378" s="89"/>
      <c r="I1378" s="90"/>
      <c r="K1378" s="91"/>
      <c r="L1378" s="88"/>
      <c r="M1378" s="92"/>
      <c r="N1378" s="86"/>
    </row>
    <row r="1379" spans="5:14">
      <c r="E1379" s="86"/>
      <c r="F1379" s="87"/>
      <c r="G1379" s="88"/>
      <c r="H1379" s="89"/>
      <c r="I1379" s="90"/>
      <c r="K1379" s="91"/>
      <c r="L1379" s="88"/>
      <c r="M1379" s="92"/>
      <c r="N1379" s="86"/>
    </row>
    <row r="1380" spans="5:14">
      <c r="E1380" s="86"/>
      <c r="F1380" s="87"/>
      <c r="G1380" s="88"/>
      <c r="H1380" s="89"/>
      <c r="I1380" s="90"/>
      <c r="K1380" s="91"/>
      <c r="L1380" s="88"/>
      <c r="M1380" s="92"/>
      <c r="N1380" s="86"/>
    </row>
    <row r="1381" spans="5:14">
      <c r="E1381" s="86"/>
      <c r="F1381" s="87"/>
      <c r="G1381" s="88"/>
      <c r="H1381" s="89"/>
      <c r="I1381" s="90"/>
      <c r="K1381" s="91"/>
      <c r="L1381" s="88"/>
      <c r="M1381" s="92"/>
      <c r="N1381" s="86"/>
    </row>
    <row r="1382" spans="5:14">
      <c r="E1382" s="86"/>
      <c r="F1382" s="87"/>
      <c r="G1382" s="88"/>
      <c r="H1382" s="89"/>
      <c r="I1382" s="90"/>
      <c r="K1382" s="91"/>
      <c r="L1382" s="88"/>
      <c r="M1382" s="92"/>
      <c r="N1382" s="86"/>
    </row>
    <row r="1383" spans="5:14">
      <c r="E1383" s="86"/>
      <c r="F1383" s="87"/>
      <c r="G1383" s="88"/>
      <c r="H1383" s="89"/>
      <c r="I1383" s="90"/>
      <c r="K1383" s="91"/>
      <c r="L1383" s="88"/>
      <c r="M1383" s="92"/>
      <c r="N1383" s="86"/>
    </row>
    <row r="1384" spans="5:14">
      <c r="E1384" s="86"/>
      <c r="F1384" s="87"/>
      <c r="G1384" s="88"/>
      <c r="H1384" s="89"/>
      <c r="I1384" s="90"/>
      <c r="K1384" s="91"/>
      <c r="L1384" s="88"/>
      <c r="M1384" s="92"/>
      <c r="N1384" s="86"/>
    </row>
    <row r="1385" spans="5:14">
      <c r="E1385" s="86"/>
      <c r="F1385" s="87"/>
      <c r="G1385" s="88"/>
      <c r="H1385" s="89"/>
      <c r="I1385" s="90"/>
      <c r="K1385" s="91"/>
      <c r="L1385" s="88"/>
      <c r="M1385" s="92"/>
      <c r="N1385" s="86"/>
    </row>
    <row r="1386" spans="5:14">
      <c r="E1386" s="86"/>
      <c r="F1386" s="87"/>
      <c r="G1386" s="88"/>
      <c r="H1386" s="89"/>
      <c r="I1386" s="90"/>
      <c r="K1386" s="91"/>
      <c r="L1386" s="88"/>
      <c r="M1386" s="92"/>
      <c r="N1386" s="86"/>
    </row>
    <row r="1387" spans="5:14">
      <c r="E1387" s="86"/>
      <c r="F1387" s="87"/>
      <c r="G1387" s="88"/>
      <c r="H1387" s="89"/>
      <c r="I1387" s="90"/>
      <c r="K1387" s="91"/>
      <c r="L1387" s="88"/>
      <c r="M1387" s="92"/>
      <c r="N1387" s="86"/>
    </row>
    <row r="1388" spans="5:14">
      <c r="E1388" s="86"/>
      <c r="F1388" s="87"/>
      <c r="G1388" s="88"/>
      <c r="H1388" s="89"/>
      <c r="I1388" s="90"/>
      <c r="K1388" s="91"/>
      <c r="L1388" s="88"/>
      <c r="M1388" s="92"/>
      <c r="N1388" s="86"/>
    </row>
    <row r="1389" spans="5:14">
      <c r="E1389" s="86"/>
      <c r="F1389" s="87"/>
      <c r="G1389" s="88"/>
      <c r="H1389" s="89"/>
      <c r="I1389" s="90"/>
      <c r="K1389" s="91"/>
      <c r="L1389" s="88"/>
      <c r="M1389" s="92"/>
      <c r="N1389" s="86"/>
    </row>
    <row r="1390" spans="5:14">
      <c r="E1390" s="86"/>
      <c r="F1390" s="87"/>
      <c r="G1390" s="88"/>
      <c r="H1390" s="89"/>
      <c r="I1390" s="90"/>
      <c r="K1390" s="91"/>
      <c r="L1390" s="88"/>
      <c r="M1390" s="92"/>
      <c r="N1390" s="86"/>
    </row>
    <row r="1391" spans="5:14">
      <c r="E1391" s="86"/>
      <c r="F1391" s="87"/>
      <c r="G1391" s="88"/>
      <c r="H1391" s="89"/>
      <c r="I1391" s="90"/>
      <c r="K1391" s="91"/>
      <c r="L1391" s="88"/>
      <c r="M1391" s="92"/>
      <c r="N1391" s="86"/>
    </row>
    <row r="1392" spans="5:14">
      <c r="E1392" s="86"/>
      <c r="F1392" s="87"/>
      <c r="G1392" s="88"/>
      <c r="H1392" s="89"/>
      <c r="I1392" s="90"/>
      <c r="K1392" s="91"/>
      <c r="L1392" s="88"/>
      <c r="M1392" s="92"/>
      <c r="N1392" s="86"/>
    </row>
    <row r="1393" spans="5:14">
      <c r="E1393" s="86"/>
      <c r="F1393" s="87"/>
      <c r="G1393" s="88"/>
      <c r="H1393" s="89"/>
      <c r="I1393" s="90"/>
      <c r="K1393" s="91"/>
      <c r="L1393" s="88"/>
      <c r="M1393" s="92"/>
      <c r="N1393" s="86"/>
    </row>
    <row r="1394" spans="5:14">
      <c r="E1394" s="86"/>
      <c r="F1394" s="87"/>
      <c r="G1394" s="88"/>
      <c r="H1394" s="89"/>
      <c r="I1394" s="90"/>
      <c r="K1394" s="91"/>
      <c r="L1394" s="88"/>
      <c r="M1394" s="92"/>
      <c r="N1394" s="86"/>
    </row>
    <row r="1395" spans="5:14">
      <c r="E1395" s="86"/>
      <c r="F1395" s="87"/>
      <c r="G1395" s="88"/>
      <c r="H1395" s="89"/>
      <c r="I1395" s="90"/>
      <c r="K1395" s="91"/>
      <c r="L1395" s="88"/>
      <c r="M1395" s="92"/>
      <c r="N1395" s="86"/>
    </row>
    <row r="1396" spans="5:14">
      <c r="E1396" s="86"/>
      <c r="F1396" s="87"/>
      <c r="G1396" s="88"/>
      <c r="H1396" s="89"/>
      <c r="I1396" s="90"/>
      <c r="K1396" s="91"/>
      <c r="L1396" s="88"/>
      <c r="M1396" s="92"/>
      <c r="N1396" s="86"/>
    </row>
    <row r="1397" spans="5:14">
      <c r="E1397" s="86"/>
      <c r="F1397" s="87"/>
      <c r="G1397" s="88"/>
      <c r="H1397" s="89"/>
      <c r="I1397" s="90"/>
      <c r="K1397" s="91"/>
      <c r="L1397" s="88"/>
      <c r="M1397" s="92"/>
      <c r="N1397" s="86"/>
    </row>
    <row r="1398" spans="5:14">
      <c r="E1398" s="86"/>
      <c r="F1398" s="87"/>
      <c r="G1398" s="88"/>
      <c r="H1398" s="89"/>
      <c r="I1398" s="90"/>
      <c r="K1398" s="91"/>
      <c r="L1398" s="88"/>
      <c r="M1398" s="92"/>
      <c r="N1398" s="86"/>
    </row>
    <row r="1399" spans="5:14">
      <c r="E1399" s="86"/>
      <c r="F1399" s="87"/>
      <c r="G1399" s="88"/>
      <c r="H1399" s="89"/>
      <c r="I1399" s="90"/>
      <c r="K1399" s="91"/>
      <c r="L1399" s="88"/>
      <c r="M1399" s="92"/>
      <c r="N1399" s="86"/>
    </row>
    <row r="1400" spans="5:14">
      <c r="E1400" s="86"/>
      <c r="F1400" s="87"/>
      <c r="G1400" s="88"/>
      <c r="H1400" s="89"/>
      <c r="I1400" s="90"/>
      <c r="K1400" s="91"/>
      <c r="L1400" s="88"/>
      <c r="M1400" s="92"/>
      <c r="N1400" s="86"/>
    </row>
    <row r="1401" spans="5:14">
      <c r="E1401" s="86"/>
      <c r="F1401" s="87"/>
      <c r="G1401" s="88"/>
      <c r="H1401" s="89"/>
      <c r="I1401" s="90"/>
      <c r="K1401" s="91"/>
      <c r="L1401" s="88"/>
      <c r="M1401" s="92"/>
      <c r="N1401" s="86"/>
    </row>
    <row r="1402" spans="5:14">
      <c r="E1402" s="86"/>
      <c r="F1402" s="87"/>
      <c r="G1402" s="88"/>
      <c r="H1402" s="89"/>
      <c r="I1402" s="90"/>
      <c r="K1402" s="91"/>
      <c r="L1402" s="88"/>
      <c r="M1402" s="92"/>
      <c r="N1402" s="86"/>
    </row>
    <row r="1403" spans="5:14">
      <c r="E1403" s="86"/>
      <c r="F1403" s="87"/>
      <c r="G1403" s="88"/>
      <c r="H1403" s="89"/>
      <c r="I1403" s="90"/>
      <c r="K1403" s="91"/>
      <c r="L1403" s="88"/>
      <c r="M1403" s="92"/>
      <c r="N1403" s="86"/>
    </row>
    <row r="1404" spans="5:14">
      <c r="E1404" s="86"/>
      <c r="F1404" s="87"/>
      <c r="G1404" s="88"/>
      <c r="H1404" s="89"/>
      <c r="I1404" s="90"/>
      <c r="K1404" s="91"/>
      <c r="L1404" s="88"/>
      <c r="M1404" s="92"/>
      <c r="N1404" s="86"/>
    </row>
    <row r="1405" spans="5:14">
      <c r="E1405" s="86"/>
      <c r="F1405" s="87"/>
      <c r="G1405" s="88"/>
      <c r="H1405" s="89"/>
      <c r="I1405" s="90"/>
      <c r="K1405" s="91"/>
      <c r="L1405" s="88"/>
      <c r="M1405" s="92"/>
      <c r="N1405" s="86"/>
    </row>
    <row r="1406" spans="5:14">
      <c r="E1406" s="86"/>
      <c r="F1406" s="87"/>
      <c r="G1406" s="88"/>
      <c r="H1406" s="89"/>
      <c r="I1406" s="90"/>
      <c r="K1406" s="91"/>
      <c r="L1406" s="88"/>
      <c r="M1406" s="92"/>
      <c r="N1406" s="86"/>
    </row>
    <row r="1407" spans="5:14">
      <c r="E1407" s="86"/>
      <c r="F1407" s="87"/>
      <c r="G1407" s="88"/>
      <c r="H1407" s="89"/>
      <c r="I1407" s="90"/>
      <c r="K1407" s="91"/>
      <c r="L1407" s="88"/>
      <c r="M1407" s="92"/>
      <c r="N1407" s="86"/>
    </row>
    <row r="1408" spans="5:14">
      <c r="E1408" s="86"/>
      <c r="F1408" s="87"/>
      <c r="G1408" s="88"/>
      <c r="H1408" s="89"/>
      <c r="I1408" s="90"/>
      <c r="K1408" s="91"/>
      <c r="L1408" s="88"/>
      <c r="M1408" s="92"/>
      <c r="N1408" s="86"/>
    </row>
    <row r="1409" spans="5:14">
      <c r="E1409" s="86"/>
      <c r="F1409" s="87"/>
      <c r="G1409" s="88"/>
      <c r="H1409" s="89"/>
      <c r="I1409" s="90"/>
      <c r="K1409" s="91"/>
      <c r="L1409" s="88"/>
      <c r="M1409" s="92"/>
      <c r="N1409" s="86"/>
    </row>
    <row r="1410" spans="5:14">
      <c r="E1410" s="86"/>
      <c r="F1410" s="87"/>
      <c r="G1410" s="88"/>
      <c r="H1410" s="89"/>
      <c r="I1410" s="90"/>
      <c r="K1410" s="91"/>
      <c r="L1410" s="88"/>
      <c r="M1410" s="92"/>
      <c r="N1410" s="86"/>
    </row>
    <row r="1411" spans="5:14">
      <c r="E1411" s="86"/>
      <c r="F1411" s="87"/>
      <c r="G1411" s="88"/>
      <c r="H1411" s="89"/>
      <c r="I1411" s="90"/>
      <c r="K1411" s="91"/>
      <c r="L1411" s="88"/>
      <c r="M1411" s="92"/>
      <c r="N1411" s="86"/>
    </row>
    <row r="1412" spans="5:14">
      <c r="E1412" s="86"/>
      <c r="F1412" s="87"/>
      <c r="G1412" s="88"/>
      <c r="H1412" s="89"/>
      <c r="I1412" s="90"/>
      <c r="K1412" s="91"/>
      <c r="L1412" s="88"/>
      <c r="M1412" s="92"/>
      <c r="N1412" s="86"/>
    </row>
    <row r="1413" spans="5:14">
      <c r="E1413" s="86"/>
      <c r="F1413" s="87"/>
      <c r="G1413" s="88"/>
      <c r="H1413" s="89"/>
      <c r="I1413" s="90"/>
      <c r="K1413" s="91"/>
      <c r="L1413" s="88"/>
      <c r="M1413" s="92"/>
      <c r="N1413" s="86"/>
    </row>
    <row r="1414" spans="5:14">
      <c r="E1414" s="86"/>
      <c r="F1414" s="87"/>
      <c r="G1414" s="88"/>
      <c r="H1414" s="89"/>
      <c r="I1414" s="90"/>
      <c r="K1414" s="91"/>
      <c r="L1414" s="88"/>
      <c r="M1414" s="92"/>
      <c r="N1414" s="86"/>
    </row>
    <row r="1415" spans="5:14">
      <c r="E1415" s="86"/>
      <c r="F1415" s="87"/>
      <c r="G1415" s="88"/>
      <c r="H1415" s="89"/>
      <c r="I1415" s="90"/>
      <c r="K1415" s="91"/>
      <c r="L1415" s="88"/>
      <c r="M1415" s="92"/>
      <c r="N1415" s="86"/>
    </row>
    <row r="1416" spans="5:14">
      <c r="E1416" s="86"/>
      <c r="F1416" s="87"/>
      <c r="G1416" s="88"/>
      <c r="H1416" s="89"/>
      <c r="I1416" s="90"/>
      <c r="K1416" s="91"/>
      <c r="L1416" s="88"/>
      <c r="M1416" s="92"/>
      <c r="N1416" s="86"/>
    </row>
    <row r="1417" spans="5:14">
      <c r="E1417" s="86"/>
      <c r="F1417" s="87"/>
      <c r="G1417" s="88"/>
      <c r="H1417" s="89"/>
      <c r="I1417" s="90"/>
      <c r="K1417" s="91"/>
      <c r="L1417" s="88"/>
      <c r="M1417" s="92"/>
      <c r="N1417" s="86"/>
    </row>
    <row r="1418" spans="5:14">
      <c r="E1418" s="86"/>
      <c r="F1418" s="87"/>
      <c r="G1418" s="88"/>
      <c r="H1418" s="89"/>
      <c r="I1418" s="90"/>
      <c r="K1418" s="91"/>
      <c r="L1418" s="88"/>
      <c r="M1418" s="92"/>
      <c r="N1418" s="86"/>
    </row>
    <row r="1419" spans="5:14">
      <c r="E1419" s="86"/>
      <c r="F1419" s="87"/>
      <c r="G1419" s="88"/>
      <c r="H1419" s="89"/>
      <c r="I1419" s="90"/>
      <c r="K1419" s="91"/>
      <c r="L1419" s="88"/>
      <c r="M1419" s="92"/>
      <c r="N1419" s="86"/>
    </row>
    <row r="1420" spans="5:14">
      <c r="E1420" s="86"/>
      <c r="F1420" s="87"/>
      <c r="G1420" s="88"/>
      <c r="H1420" s="89"/>
      <c r="I1420" s="90"/>
      <c r="K1420" s="91"/>
      <c r="L1420" s="88"/>
      <c r="M1420" s="92"/>
      <c r="N1420" s="86"/>
    </row>
    <row r="1421" spans="5:14">
      <c r="E1421" s="86"/>
      <c r="F1421" s="87"/>
      <c r="G1421" s="88"/>
      <c r="H1421" s="89"/>
      <c r="I1421" s="90"/>
      <c r="K1421" s="91"/>
      <c r="L1421" s="88"/>
      <c r="M1421" s="92"/>
      <c r="N1421" s="86"/>
    </row>
    <row r="1422" spans="5:14">
      <c r="E1422" s="86"/>
      <c r="F1422" s="87"/>
      <c r="G1422" s="88"/>
      <c r="H1422" s="89"/>
      <c r="I1422" s="90"/>
      <c r="K1422" s="91"/>
      <c r="L1422" s="88"/>
      <c r="M1422" s="92"/>
      <c r="N1422" s="86"/>
    </row>
    <row r="1423" spans="5:14">
      <c r="E1423" s="86"/>
      <c r="F1423" s="87"/>
      <c r="G1423" s="88"/>
      <c r="H1423" s="89"/>
      <c r="I1423" s="90"/>
      <c r="K1423" s="91"/>
      <c r="L1423" s="88"/>
      <c r="M1423" s="92"/>
      <c r="N1423" s="86"/>
    </row>
    <row r="1424" spans="5:14">
      <c r="E1424" s="86"/>
      <c r="F1424" s="87"/>
      <c r="G1424" s="88"/>
      <c r="H1424" s="89"/>
      <c r="I1424" s="90"/>
      <c r="K1424" s="91"/>
      <c r="L1424" s="88"/>
      <c r="M1424" s="92"/>
      <c r="N1424" s="86"/>
    </row>
    <row r="1425" spans="5:14">
      <c r="E1425" s="86"/>
      <c r="F1425" s="87"/>
      <c r="G1425" s="88"/>
      <c r="H1425" s="89"/>
      <c r="I1425" s="90"/>
      <c r="K1425" s="91"/>
      <c r="L1425" s="88"/>
      <c r="M1425" s="92"/>
      <c r="N1425" s="86"/>
    </row>
    <row r="1426" spans="5:14">
      <c r="E1426" s="86"/>
      <c r="F1426" s="87"/>
      <c r="G1426" s="88"/>
      <c r="H1426" s="89"/>
      <c r="I1426" s="90"/>
      <c r="K1426" s="91"/>
      <c r="L1426" s="88"/>
      <c r="M1426" s="92"/>
      <c r="N1426" s="86"/>
    </row>
    <row r="1427" spans="5:14">
      <c r="E1427" s="86"/>
      <c r="F1427" s="87"/>
      <c r="G1427" s="88"/>
      <c r="H1427" s="89"/>
      <c r="I1427" s="90"/>
      <c r="K1427" s="91"/>
      <c r="L1427" s="88"/>
      <c r="M1427" s="92"/>
      <c r="N1427" s="86"/>
    </row>
    <row r="1428" spans="5:14">
      <c r="E1428" s="86"/>
      <c r="F1428" s="87"/>
      <c r="G1428" s="88"/>
      <c r="H1428" s="89"/>
      <c r="I1428" s="90"/>
      <c r="K1428" s="91"/>
      <c r="L1428" s="88"/>
      <c r="M1428" s="92"/>
      <c r="N1428" s="86"/>
    </row>
    <row r="1429" spans="5:14">
      <c r="E1429" s="86"/>
      <c r="F1429" s="87"/>
      <c r="G1429" s="88"/>
      <c r="H1429" s="89"/>
      <c r="I1429" s="90"/>
      <c r="K1429" s="91"/>
      <c r="L1429" s="88"/>
      <c r="M1429" s="92"/>
      <c r="N1429" s="86"/>
    </row>
    <row r="1430" spans="5:14">
      <c r="E1430" s="86"/>
      <c r="F1430" s="87"/>
      <c r="G1430" s="88"/>
      <c r="H1430" s="89"/>
      <c r="I1430" s="90"/>
      <c r="K1430" s="91"/>
      <c r="L1430" s="88"/>
      <c r="M1430" s="92"/>
      <c r="N1430" s="86"/>
    </row>
    <row r="1431" spans="5:14">
      <c r="E1431" s="86"/>
      <c r="F1431" s="87"/>
      <c r="G1431" s="88"/>
      <c r="H1431" s="89"/>
      <c r="I1431" s="90"/>
      <c r="K1431" s="91"/>
      <c r="L1431" s="88"/>
      <c r="M1431" s="92"/>
      <c r="N1431" s="86"/>
    </row>
    <row r="1432" spans="5:14">
      <c r="E1432" s="86"/>
      <c r="F1432" s="87"/>
      <c r="G1432" s="88"/>
      <c r="H1432" s="89"/>
      <c r="I1432" s="90"/>
      <c r="K1432" s="91"/>
      <c r="L1432" s="88"/>
      <c r="M1432" s="92"/>
      <c r="N1432" s="86"/>
    </row>
    <row r="1433" spans="5:14">
      <c r="E1433" s="86"/>
      <c r="F1433" s="87"/>
      <c r="G1433" s="88"/>
      <c r="H1433" s="89"/>
      <c r="I1433" s="90"/>
      <c r="K1433" s="91"/>
      <c r="L1433" s="88"/>
      <c r="M1433" s="92"/>
      <c r="N1433" s="86"/>
    </row>
    <row r="1434" spans="5:14">
      <c r="E1434" s="86"/>
      <c r="F1434" s="87"/>
      <c r="G1434" s="88"/>
      <c r="H1434" s="89"/>
      <c r="I1434" s="90"/>
      <c r="K1434" s="91"/>
      <c r="L1434" s="88"/>
      <c r="M1434" s="92"/>
      <c r="N1434" s="86"/>
    </row>
    <row r="1435" spans="5:14">
      <c r="E1435" s="86"/>
      <c r="F1435" s="87"/>
      <c r="G1435" s="88"/>
      <c r="H1435" s="89"/>
      <c r="I1435" s="90"/>
      <c r="K1435" s="91"/>
      <c r="L1435" s="88"/>
      <c r="M1435" s="92"/>
      <c r="N1435" s="86"/>
    </row>
    <row r="1436" spans="5:14">
      <c r="E1436" s="86"/>
      <c r="F1436" s="87"/>
      <c r="G1436" s="88"/>
      <c r="H1436" s="89"/>
      <c r="I1436" s="90"/>
      <c r="K1436" s="91"/>
      <c r="L1436" s="88"/>
      <c r="M1436" s="92"/>
      <c r="N1436" s="86"/>
    </row>
    <row r="1437" spans="5:14">
      <c r="E1437" s="86"/>
      <c r="F1437" s="87"/>
      <c r="G1437" s="88"/>
      <c r="H1437" s="89"/>
      <c r="I1437" s="90"/>
      <c r="K1437" s="91"/>
      <c r="L1437" s="88"/>
      <c r="M1437" s="92"/>
      <c r="N1437" s="86"/>
    </row>
    <row r="1438" spans="5:14">
      <c r="E1438" s="86"/>
      <c r="F1438" s="87"/>
      <c r="G1438" s="88"/>
      <c r="H1438" s="89"/>
      <c r="I1438" s="90"/>
      <c r="K1438" s="91"/>
      <c r="L1438" s="88"/>
      <c r="M1438" s="92"/>
      <c r="N1438" s="86"/>
    </row>
    <row r="1439" spans="5:14">
      <c r="E1439" s="86"/>
      <c r="F1439" s="87"/>
      <c r="G1439" s="88"/>
      <c r="H1439" s="89"/>
      <c r="I1439" s="90"/>
      <c r="K1439" s="91"/>
      <c r="L1439" s="88"/>
      <c r="M1439" s="92"/>
      <c r="N1439" s="86"/>
    </row>
    <row r="1440" spans="5:14">
      <c r="E1440" s="86"/>
      <c r="F1440" s="87"/>
      <c r="G1440" s="88"/>
      <c r="H1440" s="89"/>
      <c r="I1440" s="90"/>
      <c r="K1440" s="91"/>
      <c r="L1440" s="88"/>
      <c r="M1440" s="92"/>
      <c r="N1440" s="86"/>
    </row>
    <row r="1441" spans="5:14">
      <c r="E1441" s="86"/>
      <c r="F1441" s="87"/>
      <c r="G1441" s="88"/>
      <c r="H1441" s="89"/>
      <c r="I1441" s="90"/>
      <c r="K1441" s="91"/>
      <c r="L1441" s="88"/>
      <c r="M1441" s="92"/>
      <c r="N1441" s="86"/>
    </row>
    <row r="1442" spans="5:14">
      <c r="E1442" s="86"/>
      <c r="F1442" s="87"/>
      <c r="G1442" s="88"/>
      <c r="H1442" s="89"/>
      <c r="I1442" s="90"/>
      <c r="K1442" s="91"/>
      <c r="L1442" s="88"/>
      <c r="M1442" s="92"/>
      <c r="N1442" s="86"/>
    </row>
    <row r="1443" spans="5:14">
      <c r="E1443" s="86"/>
      <c r="F1443" s="87"/>
      <c r="G1443" s="88"/>
      <c r="H1443" s="89"/>
      <c r="I1443" s="90"/>
      <c r="K1443" s="91"/>
      <c r="L1443" s="88"/>
      <c r="M1443" s="92"/>
      <c r="N1443" s="86"/>
    </row>
    <row r="1444" spans="5:14">
      <c r="E1444" s="86"/>
      <c r="F1444" s="87"/>
      <c r="G1444" s="88"/>
      <c r="H1444" s="89"/>
      <c r="I1444" s="90"/>
      <c r="K1444" s="91"/>
      <c r="L1444" s="88"/>
      <c r="M1444" s="92"/>
      <c r="N1444" s="86"/>
    </row>
    <row r="1445" spans="5:14">
      <c r="E1445" s="86"/>
      <c r="F1445" s="87"/>
      <c r="G1445" s="88"/>
      <c r="H1445" s="89"/>
      <c r="I1445" s="90"/>
      <c r="K1445" s="91"/>
      <c r="L1445" s="88"/>
      <c r="M1445" s="92"/>
      <c r="N1445" s="86"/>
    </row>
    <row r="1446" spans="5:14">
      <c r="E1446" s="86"/>
      <c r="F1446" s="87"/>
      <c r="G1446" s="88"/>
      <c r="H1446" s="89"/>
      <c r="I1446" s="90"/>
      <c r="K1446" s="91"/>
      <c r="L1446" s="88"/>
      <c r="M1446" s="92"/>
      <c r="N1446" s="86"/>
    </row>
    <row r="1447" spans="5:14">
      <c r="E1447" s="86"/>
      <c r="F1447" s="87"/>
      <c r="G1447" s="88"/>
      <c r="H1447" s="89"/>
      <c r="I1447" s="90"/>
      <c r="K1447" s="91"/>
      <c r="L1447" s="88"/>
      <c r="M1447" s="92"/>
      <c r="N1447" s="86"/>
    </row>
    <row r="1448" spans="5:14">
      <c r="E1448" s="86"/>
      <c r="F1448" s="87"/>
      <c r="G1448" s="88"/>
      <c r="H1448" s="89"/>
      <c r="I1448" s="90"/>
      <c r="K1448" s="91"/>
      <c r="L1448" s="88"/>
      <c r="M1448" s="92"/>
      <c r="N1448" s="86"/>
    </row>
    <row r="1449" spans="5:14">
      <c r="E1449" s="86"/>
      <c r="F1449" s="87"/>
      <c r="G1449" s="88"/>
      <c r="H1449" s="89"/>
      <c r="I1449" s="90"/>
      <c r="K1449" s="91"/>
      <c r="L1449" s="88"/>
      <c r="M1449" s="92"/>
      <c r="N1449" s="86"/>
    </row>
    <row r="1450" spans="5:14">
      <c r="E1450" s="86"/>
      <c r="F1450" s="87"/>
      <c r="G1450" s="88"/>
      <c r="H1450" s="89"/>
      <c r="I1450" s="90"/>
      <c r="K1450" s="91"/>
      <c r="L1450" s="88"/>
      <c r="M1450" s="92"/>
      <c r="N1450" s="86"/>
    </row>
    <row r="1451" spans="5:14">
      <c r="E1451" s="86"/>
      <c r="F1451" s="87"/>
      <c r="G1451" s="88"/>
      <c r="H1451" s="89"/>
      <c r="I1451" s="90"/>
      <c r="K1451" s="91"/>
      <c r="L1451" s="88"/>
      <c r="M1451" s="92"/>
      <c r="N1451" s="86"/>
    </row>
    <row r="1452" spans="5:14">
      <c r="E1452" s="86"/>
      <c r="F1452" s="87"/>
      <c r="G1452" s="88"/>
      <c r="H1452" s="89"/>
      <c r="I1452" s="90"/>
      <c r="K1452" s="91"/>
      <c r="L1452" s="88"/>
      <c r="M1452" s="92"/>
      <c r="N1452" s="86"/>
    </row>
    <row r="1453" spans="5:14">
      <c r="E1453" s="86"/>
      <c r="F1453" s="87"/>
      <c r="G1453" s="88"/>
      <c r="H1453" s="89"/>
      <c r="I1453" s="90"/>
      <c r="K1453" s="91"/>
      <c r="L1453" s="88"/>
      <c r="M1453" s="92"/>
      <c r="N1453" s="86"/>
    </row>
    <row r="1454" spans="5:14">
      <c r="E1454" s="86"/>
      <c r="F1454" s="87"/>
      <c r="G1454" s="88"/>
      <c r="H1454" s="89"/>
      <c r="I1454" s="90"/>
      <c r="K1454" s="91"/>
      <c r="L1454" s="88"/>
      <c r="M1454" s="92"/>
      <c r="N1454" s="86"/>
    </row>
    <row r="1455" spans="5:14">
      <c r="E1455" s="86"/>
      <c r="F1455" s="87"/>
      <c r="G1455" s="88"/>
      <c r="H1455" s="89"/>
      <c r="I1455" s="90"/>
      <c r="K1455" s="91"/>
      <c r="L1455" s="88"/>
      <c r="M1455" s="92"/>
      <c r="N1455" s="86"/>
    </row>
    <row r="1456" spans="5:14">
      <c r="E1456" s="86"/>
      <c r="F1456" s="87"/>
      <c r="G1456" s="88"/>
      <c r="H1456" s="89"/>
      <c r="I1456" s="90"/>
      <c r="K1456" s="91"/>
      <c r="L1456" s="88"/>
      <c r="M1456" s="92"/>
      <c r="N1456" s="86"/>
    </row>
    <row r="1457" spans="5:14">
      <c r="E1457" s="86"/>
      <c r="F1457" s="87"/>
      <c r="G1457" s="88"/>
      <c r="H1457" s="89"/>
      <c r="I1457" s="90"/>
      <c r="K1457" s="91"/>
      <c r="L1457" s="88"/>
      <c r="M1457" s="92"/>
      <c r="N1457" s="86"/>
    </row>
    <row r="1458" spans="5:14">
      <c r="E1458" s="86"/>
      <c r="F1458" s="87"/>
      <c r="G1458" s="88"/>
      <c r="H1458" s="89"/>
      <c r="I1458" s="90"/>
      <c r="K1458" s="91"/>
      <c r="L1458" s="88"/>
      <c r="M1458" s="92"/>
      <c r="N1458" s="86"/>
    </row>
    <row r="1459" spans="5:14">
      <c r="E1459" s="86"/>
      <c r="F1459" s="87"/>
      <c r="G1459" s="88"/>
      <c r="H1459" s="89"/>
      <c r="I1459" s="90"/>
      <c r="K1459" s="91"/>
      <c r="L1459" s="88"/>
      <c r="M1459" s="92"/>
      <c r="N1459" s="86"/>
    </row>
    <row r="1460" spans="5:14">
      <c r="E1460" s="86"/>
      <c r="F1460" s="87"/>
      <c r="G1460" s="88"/>
      <c r="H1460" s="89"/>
      <c r="I1460" s="90"/>
      <c r="K1460" s="91"/>
      <c r="L1460" s="88"/>
      <c r="M1460" s="92"/>
      <c r="N1460" s="86"/>
    </row>
    <row r="1461" spans="5:14">
      <c r="E1461" s="86"/>
      <c r="F1461" s="87"/>
      <c r="G1461" s="88"/>
      <c r="H1461" s="89"/>
      <c r="I1461" s="90"/>
      <c r="K1461" s="91"/>
      <c r="L1461" s="88"/>
      <c r="M1461" s="92"/>
      <c r="N1461" s="86"/>
    </row>
    <row r="1462" spans="5:14">
      <c r="E1462" s="86"/>
      <c r="F1462" s="87"/>
      <c r="G1462" s="88"/>
      <c r="H1462" s="89"/>
      <c r="I1462" s="90"/>
      <c r="K1462" s="91"/>
      <c r="L1462" s="88"/>
      <c r="M1462" s="92"/>
      <c r="N1462" s="86"/>
    </row>
    <row r="1463" spans="5:14">
      <c r="E1463" s="86"/>
      <c r="F1463" s="87"/>
      <c r="G1463" s="88"/>
      <c r="H1463" s="89"/>
      <c r="I1463" s="90"/>
      <c r="K1463" s="91"/>
      <c r="L1463" s="88"/>
      <c r="M1463" s="92"/>
      <c r="N1463" s="86"/>
    </row>
    <row r="1464" spans="5:14">
      <c r="E1464" s="86"/>
      <c r="F1464" s="87"/>
      <c r="G1464" s="88"/>
      <c r="H1464" s="89"/>
      <c r="I1464" s="90"/>
      <c r="K1464" s="91"/>
      <c r="L1464" s="88"/>
      <c r="M1464" s="92"/>
      <c r="N1464" s="86"/>
    </row>
    <row r="1465" spans="5:14">
      <c r="E1465" s="86"/>
      <c r="F1465" s="87"/>
      <c r="G1465" s="88"/>
      <c r="H1465" s="89"/>
      <c r="I1465" s="90"/>
      <c r="K1465" s="91"/>
      <c r="L1465" s="88"/>
      <c r="M1465" s="92"/>
      <c r="N1465" s="86"/>
    </row>
    <row r="1466" spans="5:14">
      <c r="E1466" s="86"/>
      <c r="F1466" s="87"/>
      <c r="G1466" s="88"/>
      <c r="H1466" s="89"/>
      <c r="I1466" s="90"/>
      <c r="K1466" s="91"/>
      <c r="L1466" s="88"/>
      <c r="M1466" s="92"/>
      <c r="N1466" s="86"/>
    </row>
    <row r="1467" spans="5:14">
      <c r="E1467" s="86"/>
      <c r="F1467" s="87"/>
      <c r="G1467" s="88"/>
      <c r="H1467" s="89"/>
      <c r="I1467" s="90"/>
      <c r="K1467" s="91"/>
      <c r="L1467" s="88"/>
      <c r="M1467" s="92"/>
      <c r="N1467" s="86"/>
    </row>
    <row r="1468" spans="5:14">
      <c r="E1468" s="86"/>
      <c r="F1468" s="87"/>
      <c r="G1468" s="88"/>
      <c r="H1468" s="89"/>
      <c r="I1468" s="90"/>
      <c r="K1468" s="91"/>
      <c r="L1468" s="88"/>
      <c r="M1468" s="92"/>
      <c r="N1468" s="86"/>
    </row>
    <row r="1469" spans="5:14">
      <c r="E1469" s="86"/>
      <c r="F1469" s="87"/>
      <c r="G1469" s="88"/>
      <c r="H1469" s="89"/>
      <c r="I1469" s="90"/>
      <c r="K1469" s="91"/>
      <c r="L1469" s="88"/>
      <c r="M1469" s="92"/>
      <c r="N1469" s="86"/>
    </row>
    <row r="1470" spans="5:14">
      <c r="E1470" s="86"/>
      <c r="F1470" s="87"/>
      <c r="G1470" s="88"/>
      <c r="H1470" s="89"/>
      <c r="I1470" s="90"/>
      <c r="K1470" s="91"/>
      <c r="L1470" s="88"/>
      <c r="M1470" s="92"/>
      <c r="N1470" s="86"/>
    </row>
    <row r="1471" spans="5:14">
      <c r="E1471" s="86"/>
      <c r="F1471" s="87"/>
      <c r="G1471" s="88"/>
      <c r="H1471" s="89"/>
      <c r="I1471" s="90"/>
      <c r="K1471" s="91"/>
      <c r="L1471" s="88"/>
      <c r="M1471" s="92"/>
      <c r="N1471" s="86"/>
    </row>
    <row r="1472" spans="5:14">
      <c r="E1472" s="86"/>
      <c r="F1472" s="87"/>
      <c r="G1472" s="88"/>
      <c r="H1472" s="89"/>
      <c r="I1472" s="90"/>
      <c r="K1472" s="91"/>
      <c r="L1472" s="88"/>
      <c r="M1472" s="92"/>
      <c r="N1472" s="86"/>
    </row>
    <row r="1473" spans="5:14">
      <c r="E1473" s="86"/>
      <c r="F1473" s="87"/>
      <c r="G1473" s="88"/>
      <c r="H1473" s="89"/>
      <c r="I1473" s="90"/>
      <c r="K1473" s="91"/>
      <c r="L1473" s="88"/>
      <c r="M1473" s="92"/>
      <c r="N1473" s="86"/>
    </row>
    <row r="1474" spans="5:14">
      <c r="E1474" s="86"/>
      <c r="F1474" s="87"/>
      <c r="G1474" s="88"/>
      <c r="H1474" s="89"/>
      <c r="I1474" s="90"/>
      <c r="K1474" s="91"/>
      <c r="L1474" s="88"/>
      <c r="M1474" s="92"/>
      <c r="N1474" s="86"/>
    </row>
    <row r="1475" spans="5:14">
      <c r="E1475" s="86"/>
      <c r="F1475" s="87"/>
      <c r="G1475" s="88"/>
      <c r="H1475" s="89"/>
      <c r="I1475" s="90"/>
      <c r="K1475" s="91"/>
      <c r="L1475" s="88"/>
      <c r="M1475" s="92"/>
      <c r="N1475" s="86"/>
    </row>
    <row r="1476" spans="5:14">
      <c r="E1476" s="86"/>
      <c r="F1476" s="87"/>
      <c r="G1476" s="88"/>
      <c r="H1476" s="89"/>
      <c r="I1476" s="90"/>
      <c r="K1476" s="91"/>
      <c r="L1476" s="88"/>
      <c r="M1476" s="92"/>
      <c r="N1476" s="86"/>
    </row>
    <row r="1477" spans="5:14">
      <c r="E1477" s="86"/>
      <c r="F1477" s="87"/>
      <c r="G1477" s="88"/>
      <c r="H1477" s="89"/>
      <c r="I1477" s="90"/>
      <c r="K1477" s="91"/>
      <c r="L1477" s="88"/>
      <c r="M1477" s="92"/>
      <c r="N1477" s="86"/>
    </row>
    <row r="1478" spans="5:14">
      <c r="E1478" s="86"/>
      <c r="F1478" s="87"/>
      <c r="G1478" s="88"/>
      <c r="H1478" s="89"/>
      <c r="I1478" s="90"/>
      <c r="K1478" s="91"/>
      <c r="L1478" s="88"/>
      <c r="M1478" s="92"/>
      <c r="N1478" s="86"/>
    </row>
    <row r="1479" spans="5:14">
      <c r="E1479" s="86"/>
      <c r="F1479" s="87"/>
      <c r="G1479" s="88"/>
      <c r="H1479" s="89"/>
      <c r="I1479" s="90"/>
      <c r="K1479" s="91"/>
      <c r="L1479" s="88"/>
      <c r="M1479" s="92"/>
      <c r="N1479" s="86"/>
    </row>
    <row r="1480" spans="5:14">
      <c r="E1480" s="86"/>
      <c r="F1480" s="87"/>
      <c r="G1480" s="88"/>
      <c r="H1480" s="89"/>
      <c r="I1480" s="90"/>
      <c r="K1480" s="91"/>
      <c r="L1480" s="88"/>
      <c r="M1480" s="92"/>
      <c r="N1480" s="86"/>
    </row>
    <row r="1481" spans="5:14">
      <c r="E1481" s="86"/>
      <c r="F1481" s="87"/>
      <c r="G1481" s="88"/>
      <c r="H1481" s="89"/>
      <c r="I1481" s="90"/>
      <c r="K1481" s="91"/>
      <c r="L1481" s="88"/>
      <c r="M1481" s="92"/>
      <c r="N1481" s="86"/>
    </row>
    <row r="1482" spans="5:14">
      <c r="E1482" s="86"/>
      <c r="F1482" s="87"/>
      <c r="G1482" s="88"/>
      <c r="H1482" s="89"/>
      <c r="I1482" s="90"/>
      <c r="K1482" s="91"/>
      <c r="L1482" s="88"/>
      <c r="M1482" s="92"/>
      <c r="N1482" s="86"/>
    </row>
    <row r="1483" spans="5:14">
      <c r="E1483" s="86"/>
      <c r="F1483" s="87"/>
      <c r="G1483" s="88"/>
      <c r="H1483" s="89"/>
      <c r="I1483" s="90"/>
      <c r="K1483" s="91"/>
      <c r="L1483" s="88"/>
      <c r="M1483" s="92"/>
      <c r="N1483" s="86"/>
    </row>
    <row r="1484" spans="5:14">
      <c r="E1484" s="86"/>
      <c r="F1484" s="87"/>
      <c r="G1484" s="88"/>
      <c r="H1484" s="89"/>
      <c r="I1484" s="90"/>
      <c r="K1484" s="91"/>
      <c r="L1484" s="88"/>
      <c r="M1484" s="92"/>
      <c r="N1484" s="86"/>
    </row>
    <row r="1485" spans="5:14">
      <c r="E1485" s="86"/>
      <c r="F1485" s="87"/>
      <c r="G1485" s="88"/>
      <c r="H1485" s="89"/>
      <c r="I1485" s="90"/>
      <c r="K1485" s="91"/>
      <c r="L1485" s="88"/>
      <c r="M1485" s="92"/>
      <c r="N1485" s="86"/>
    </row>
    <row r="1486" spans="5:14">
      <c r="E1486" s="86"/>
      <c r="F1486" s="87"/>
      <c r="G1486" s="88"/>
      <c r="H1486" s="89"/>
      <c r="I1486" s="90"/>
      <c r="K1486" s="91"/>
      <c r="L1486" s="88"/>
      <c r="M1486" s="92"/>
      <c r="N1486" s="86"/>
    </row>
    <row r="1487" spans="5:14">
      <c r="E1487" s="86"/>
      <c r="F1487" s="87"/>
      <c r="G1487" s="88"/>
      <c r="H1487" s="89"/>
      <c r="I1487" s="90"/>
      <c r="K1487" s="91"/>
      <c r="L1487" s="88"/>
      <c r="M1487" s="92"/>
      <c r="N1487" s="86"/>
    </row>
    <row r="1488" spans="5:14">
      <c r="E1488" s="86"/>
      <c r="F1488" s="87"/>
      <c r="G1488" s="88"/>
      <c r="H1488" s="89"/>
      <c r="I1488" s="90"/>
      <c r="K1488" s="91"/>
      <c r="L1488" s="88"/>
      <c r="M1488" s="92"/>
      <c r="N1488" s="86"/>
    </row>
    <row r="1489" spans="5:14">
      <c r="E1489" s="86"/>
      <c r="F1489" s="87"/>
      <c r="G1489" s="88"/>
      <c r="H1489" s="89"/>
      <c r="I1489" s="90"/>
      <c r="K1489" s="91"/>
      <c r="L1489" s="88"/>
      <c r="M1489" s="92"/>
      <c r="N1489" s="86"/>
    </row>
    <row r="1490" spans="5:14">
      <c r="E1490" s="86"/>
      <c r="F1490" s="87"/>
      <c r="G1490" s="88"/>
      <c r="H1490" s="89"/>
      <c r="I1490" s="90"/>
      <c r="K1490" s="91"/>
      <c r="L1490" s="88"/>
      <c r="M1490" s="92"/>
      <c r="N1490" s="86"/>
    </row>
    <row r="1491" spans="5:14">
      <c r="E1491" s="86"/>
      <c r="F1491" s="87"/>
      <c r="G1491" s="88"/>
      <c r="H1491" s="89"/>
      <c r="I1491" s="90"/>
      <c r="K1491" s="91"/>
      <c r="L1491" s="88"/>
      <c r="M1491" s="92"/>
      <c r="N1491" s="86"/>
    </row>
    <row r="1492" spans="5:14">
      <c r="E1492" s="86"/>
      <c r="F1492" s="87"/>
      <c r="G1492" s="88"/>
      <c r="H1492" s="89"/>
      <c r="I1492" s="90"/>
      <c r="K1492" s="91"/>
      <c r="L1492" s="88"/>
      <c r="M1492" s="92"/>
      <c r="N1492" s="86"/>
    </row>
    <row r="1493" spans="5:14">
      <c r="E1493" s="86"/>
      <c r="F1493" s="87"/>
      <c r="G1493" s="88"/>
      <c r="H1493" s="89"/>
      <c r="I1493" s="90"/>
      <c r="K1493" s="91"/>
      <c r="L1493" s="88"/>
      <c r="M1493" s="92"/>
      <c r="N1493" s="86"/>
    </row>
    <row r="1494" spans="5:14">
      <c r="E1494" s="86"/>
      <c r="F1494" s="87"/>
      <c r="G1494" s="88"/>
      <c r="H1494" s="89"/>
      <c r="I1494" s="90"/>
      <c r="K1494" s="91"/>
      <c r="L1494" s="88"/>
      <c r="M1494" s="92"/>
      <c r="N1494" s="86"/>
    </row>
    <row r="1495" spans="5:14">
      <c r="E1495" s="86"/>
      <c r="F1495" s="87"/>
      <c r="G1495" s="88"/>
      <c r="H1495" s="89"/>
      <c r="I1495" s="90"/>
      <c r="K1495" s="91"/>
      <c r="L1495" s="88"/>
      <c r="M1495" s="92"/>
      <c r="N1495" s="86"/>
    </row>
    <row r="1496" spans="5:14">
      <c r="E1496" s="86"/>
      <c r="F1496" s="87"/>
      <c r="G1496" s="88"/>
      <c r="H1496" s="89"/>
      <c r="I1496" s="90"/>
      <c r="K1496" s="91"/>
      <c r="L1496" s="88"/>
      <c r="M1496" s="92"/>
      <c r="N1496" s="86"/>
    </row>
    <row r="1497" spans="5:14">
      <c r="E1497" s="86"/>
      <c r="F1497" s="87"/>
      <c r="G1497" s="88"/>
      <c r="H1497" s="89"/>
      <c r="I1497" s="90"/>
      <c r="K1497" s="91"/>
      <c r="L1497" s="88"/>
      <c r="M1497" s="92"/>
      <c r="N1497" s="86"/>
    </row>
    <row r="1498" spans="5:14">
      <c r="E1498" s="86"/>
      <c r="F1498" s="87"/>
      <c r="G1498" s="88"/>
      <c r="H1498" s="89"/>
      <c r="I1498" s="90"/>
      <c r="K1498" s="91"/>
      <c r="L1498" s="88"/>
      <c r="M1498" s="92"/>
      <c r="N1498" s="86"/>
    </row>
    <row r="1499" spans="5:14">
      <c r="E1499" s="86"/>
      <c r="F1499" s="87"/>
      <c r="G1499" s="88"/>
      <c r="H1499" s="89"/>
      <c r="I1499" s="90"/>
      <c r="K1499" s="91"/>
      <c r="L1499" s="88"/>
      <c r="M1499" s="92"/>
      <c r="N1499" s="86"/>
    </row>
    <row r="1500" spans="5:14">
      <c r="E1500" s="86"/>
      <c r="F1500" s="87"/>
      <c r="G1500" s="88"/>
      <c r="H1500" s="89"/>
      <c r="I1500" s="90"/>
      <c r="K1500" s="91"/>
      <c r="L1500" s="88"/>
      <c r="M1500" s="92"/>
      <c r="N1500" s="86"/>
    </row>
    <row r="1501" spans="5:14">
      <c r="E1501" s="86"/>
      <c r="F1501" s="87"/>
      <c r="G1501" s="88"/>
      <c r="H1501" s="89"/>
      <c r="I1501" s="90"/>
      <c r="K1501" s="91"/>
      <c r="L1501" s="88"/>
      <c r="M1501" s="92"/>
      <c r="N1501" s="86"/>
    </row>
    <row r="1502" spans="5:14">
      <c r="E1502" s="86"/>
      <c r="F1502" s="87"/>
      <c r="G1502" s="88"/>
      <c r="H1502" s="89"/>
      <c r="I1502" s="90"/>
      <c r="K1502" s="91"/>
      <c r="L1502" s="88"/>
      <c r="M1502" s="92"/>
      <c r="N1502" s="86"/>
    </row>
    <row r="1503" spans="5:14">
      <c r="E1503" s="86"/>
      <c r="F1503" s="87"/>
      <c r="G1503" s="88"/>
      <c r="H1503" s="89"/>
      <c r="I1503" s="90"/>
      <c r="K1503" s="91"/>
      <c r="L1503" s="88"/>
      <c r="M1503" s="92"/>
      <c r="N1503" s="86"/>
    </row>
    <row r="1504" spans="5:14">
      <c r="E1504" s="86"/>
      <c r="F1504" s="87"/>
      <c r="G1504" s="88"/>
      <c r="H1504" s="89"/>
      <c r="I1504" s="90"/>
      <c r="K1504" s="91"/>
      <c r="L1504" s="88"/>
      <c r="M1504" s="92"/>
      <c r="N1504" s="86"/>
    </row>
    <row r="1505" spans="5:14">
      <c r="E1505" s="86"/>
      <c r="F1505" s="87"/>
      <c r="G1505" s="88"/>
      <c r="H1505" s="89"/>
      <c r="I1505" s="90"/>
      <c r="K1505" s="91"/>
      <c r="L1505" s="88"/>
      <c r="M1505" s="92"/>
      <c r="N1505" s="86"/>
    </row>
    <row r="1506" spans="5:14">
      <c r="E1506" s="86"/>
      <c r="F1506" s="87"/>
      <c r="G1506" s="88"/>
      <c r="H1506" s="89"/>
      <c r="I1506" s="90"/>
      <c r="K1506" s="91"/>
      <c r="L1506" s="88"/>
      <c r="M1506" s="92"/>
      <c r="N1506" s="86"/>
    </row>
    <row r="1507" spans="5:14">
      <c r="E1507" s="86"/>
      <c r="F1507" s="87"/>
      <c r="G1507" s="88"/>
      <c r="H1507" s="89"/>
      <c r="I1507" s="90"/>
      <c r="K1507" s="91"/>
      <c r="L1507" s="88"/>
      <c r="M1507" s="92"/>
      <c r="N1507" s="86"/>
    </row>
    <row r="1508" spans="5:14">
      <c r="E1508" s="86"/>
      <c r="F1508" s="87"/>
      <c r="G1508" s="88"/>
      <c r="H1508" s="89"/>
      <c r="I1508" s="90"/>
      <c r="K1508" s="91"/>
      <c r="L1508" s="88"/>
      <c r="M1508" s="92"/>
      <c r="N1508" s="86"/>
    </row>
    <row r="1509" spans="5:14">
      <c r="E1509" s="86"/>
      <c r="F1509" s="87"/>
      <c r="G1509" s="88"/>
      <c r="H1509" s="89"/>
      <c r="I1509" s="90"/>
      <c r="K1509" s="91"/>
      <c r="L1509" s="88"/>
      <c r="M1509" s="92"/>
      <c r="N1509" s="86"/>
    </row>
    <row r="1510" spans="5:14">
      <c r="E1510" s="86"/>
      <c r="F1510" s="87"/>
      <c r="G1510" s="88"/>
      <c r="H1510" s="89"/>
      <c r="I1510" s="90"/>
      <c r="K1510" s="91"/>
      <c r="L1510" s="88"/>
      <c r="M1510" s="92"/>
      <c r="N1510" s="86"/>
    </row>
    <row r="1511" spans="5:14">
      <c r="E1511" s="86"/>
      <c r="F1511" s="87"/>
      <c r="G1511" s="88"/>
      <c r="H1511" s="89"/>
      <c r="I1511" s="90"/>
      <c r="K1511" s="91"/>
      <c r="L1511" s="88"/>
      <c r="M1511" s="92"/>
      <c r="N1511" s="86"/>
    </row>
    <row r="1512" spans="5:14">
      <c r="E1512" s="86"/>
      <c r="F1512" s="87"/>
      <c r="G1512" s="88"/>
      <c r="H1512" s="89"/>
      <c r="I1512" s="90"/>
      <c r="K1512" s="91"/>
      <c r="L1512" s="88"/>
      <c r="M1512" s="92"/>
      <c r="N1512" s="86"/>
    </row>
    <row r="1513" spans="5:14">
      <c r="E1513" s="86"/>
      <c r="F1513" s="87"/>
      <c r="G1513" s="88"/>
      <c r="H1513" s="89"/>
      <c r="I1513" s="90"/>
      <c r="K1513" s="91"/>
      <c r="L1513" s="88"/>
      <c r="M1513" s="92"/>
      <c r="N1513" s="86"/>
    </row>
    <row r="1514" spans="5:14">
      <c r="E1514" s="86"/>
      <c r="F1514" s="87"/>
      <c r="G1514" s="88"/>
      <c r="H1514" s="89"/>
      <c r="I1514" s="90"/>
      <c r="K1514" s="91"/>
      <c r="L1514" s="88"/>
      <c r="M1514" s="92"/>
      <c r="N1514" s="86"/>
    </row>
    <row r="1515" spans="5:14">
      <c r="E1515" s="86"/>
      <c r="F1515" s="87"/>
      <c r="G1515" s="88"/>
      <c r="H1515" s="89"/>
      <c r="I1515" s="90"/>
      <c r="K1515" s="91"/>
      <c r="L1515" s="88"/>
      <c r="M1515" s="92"/>
      <c r="N1515" s="86"/>
    </row>
    <row r="1516" spans="5:14">
      <c r="E1516" s="86"/>
      <c r="F1516" s="87"/>
      <c r="G1516" s="88"/>
      <c r="H1516" s="89"/>
      <c r="I1516" s="90"/>
      <c r="K1516" s="91"/>
      <c r="L1516" s="88"/>
      <c r="M1516" s="92"/>
      <c r="N1516" s="86"/>
    </row>
    <row r="1517" spans="5:14">
      <c r="E1517" s="86"/>
      <c r="F1517" s="87"/>
      <c r="G1517" s="88"/>
      <c r="H1517" s="89"/>
      <c r="I1517" s="90"/>
      <c r="K1517" s="91"/>
      <c r="L1517" s="88"/>
      <c r="M1517" s="92"/>
      <c r="N1517" s="86"/>
    </row>
    <row r="1518" spans="5:14">
      <c r="E1518" s="86"/>
      <c r="F1518" s="87"/>
      <c r="G1518" s="88"/>
      <c r="H1518" s="89"/>
      <c r="I1518" s="90"/>
      <c r="K1518" s="91"/>
      <c r="L1518" s="88"/>
      <c r="M1518" s="92"/>
      <c r="N1518" s="86"/>
    </row>
    <row r="1519" spans="5:14">
      <c r="E1519" s="86"/>
      <c r="F1519" s="87"/>
      <c r="G1519" s="88"/>
      <c r="H1519" s="89"/>
      <c r="I1519" s="90"/>
      <c r="K1519" s="91"/>
      <c r="L1519" s="88"/>
      <c r="M1519" s="92"/>
      <c r="N1519" s="86"/>
    </row>
    <row r="1520" spans="5:14">
      <c r="E1520" s="86"/>
      <c r="F1520" s="87"/>
      <c r="G1520" s="88"/>
      <c r="H1520" s="89"/>
      <c r="I1520" s="90"/>
      <c r="K1520" s="91"/>
      <c r="L1520" s="88"/>
      <c r="M1520" s="92"/>
      <c r="N1520" s="86"/>
    </row>
    <row r="1521" spans="5:14">
      <c r="E1521" s="86"/>
      <c r="F1521" s="87"/>
      <c r="G1521" s="88"/>
      <c r="H1521" s="89"/>
      <c r="I1521" s="90"/>
      <c r="K1521" s="91"/>
      <c r="L1521" s="88"/>
      <c r="M1521" s="92"/>
      <c r="N1521" s="86"/>
    </row>
    <row r="1522" spans="5:14">
      <c r="E1522" s="86"/>
      <c r="F1522" s="87"/>
      <c r="G1522" s="88"/>
      <c r="H1522" s="89"/>
      <c r="I1522" s="90"/>
      <c r="K1522" s="91"/>
      <c r="L1522" s="88"/>
      <c r="M1522" s="92"/>
      <c r="N1522" s="86"/>
    </row>
    <row r="1523" spans="5:14">
      <c r="E1523" s="86"/>
      <c r="F1523" s="87"/>
      <c r="G1523" s="88"/>
      <c r="H1523" s="89"/>
      <c r="I1523" s="90"/>
      <c r="K1523" s="91"/>
      <c r="L1523" s="88"/>
      <c r="M1523" s="92"/>
      <c r="N1523" s="86"/>
    </row>
    <row r="1524" spans="5:14">
      <c r="E1524" s="86"/>
      <c r="F1524" s="87"/>
      <c r="G1524" s="88"/>
      <c r="H1524" s="89"/>
      <c r="I1524" s="90"/>
      <c r="K1524" s="91"/>
      <c r="L1524" s="88"/>
      <c r="M1524" s="92"/>
      <c r="N1524" s="86"/>
    </row>
    <row r="1525" spans="5:14">
      <c r="E1525" s="86"/>
      <c r="F1525" s="87"/>
      <c r="G1525" s="88"/>
      <c r="H1525" s="89"/>
      <c r="I1525" s="90"/>
      <c r="K1525" s="91"/>
      <c r="L1525" s="88"/>
      <c r="M1525" s="92"/>
      <c r="N1525" s="86"/>
    </row>
    <row r="1526" spans="5:14">
      <c r="E1526" s="86"/>
      <c r="F1526" s="87"/>
      <c r="G1526" s="88"/>
      <c r="H1526" s="89"/>
      <c r="I1526" s="90"/>
      <c r="K1526" s="91"/>
      <c r="L1526" s="88"/>
      <c r="M1526" s="92"/>
      <c r="N1526" s="86"/>
    </row>
    <row r="1527" spans="5:14">
      <c r="E1527" s="86"/>
      <c r="F1527" s="87"/>
      <c r="G1527" s="88"/>
      <c r="H1527" s="89"/>
      <c r="I1527" s="90"/>
      <c r="K1527" s="91"/>
      <c r="L1527" s="88"/>
      <c r="M1527" s="92"/>
      <c r="N1527" s="86"/>
    </row>
    <row r="1528" spans="5:14">
      <c r="E1528" s="86"/>
      <c r="F1528" s="87"/>
      <c r="G1528" s="88"/>
      <c r="H1528" s="89"/>
      <c r="I1528" s="90"/>
      <c r="K1528" s="91"/>
      <c r="L1528" s="88"/>
      <c r="M1528" s="92"/>
      <c r="N1528" s="86"/>
    </row>
    <row r="1529" spans="5:14">
      <c r="E1529" s="86"/>
      <c r="F1529" s="87"/>
      <c r="G1529" s="88"/>
      <c r="H1529" s="89"/>
      <c r="I1529" s="90"/>
      <c r="K1529" s="91"/>
      <c r="L1529" s="88"/>
      <c r="M1529" s="92"/>
      <c r="N1529" s="86"/>
    </row>
    <row r="1530" spans="5:14">
      <c r="E1530" s="86"/>
      <c r="F1530" s="87"/>
      <c r="G1530" s="88"/>
      <c r="H1530" s="89"/>
      <c r="I1530" s="90"/>
      <c r="K1530" s="91"/>
      <c r="L1530" s="88"/>
      <c r="M1530" s="92"/>
      <c r="N1530" s="86"/>
    </row>
    <row r="1531" spans="5:14">
      <c r="E1531" s="86"/>
      <c r="F1531" s="87"/>
      <c r="G1531" s="88"/>
      <c r="H1531" s="89"/>
      <c r="I1531" s="90"/>
      <c r="K1531" s="91"/>
      <c r="L1531" s="88"/>
      <c r="M1531" s="92"/>
      <c r="N1531" s="86"/>
    </row>
    <row r="1532" spans="5:14">
      <c r="E1532" s="86"/>
      <c r="F1532" s="87"/>
      <c r="G1532" s="88"/>
      <c r="H1532" s="89"/>
      <c r="I1532" s="90"/>
      <c r="K1532" s="91"/>
      <c r="L1532" s="88"/>
      <c r="M1532" s="92"/>
      <c r="N1532" s="86"/>
    </row>
    <row r="1533" spans="5:14">
      <c r="E1533" s="86"/>
      <c r="F1533" s="87"/>
      <c r="G1533" s="88"/>
      <c r="H1533" s="89"/>
      <c r="I1533" s="90"/>
      <c r="K1533" s="91"/>
      <c r="L1533" s="88"/>
      <c r="M1533" s="92"/>
      <c r="N1533" s="86"/>
    </row>
    <row r="1534" spans="5:14">
      <c r="E1534" s="86"/>
      <c r="F1534" s="87"/>
      <c r="G1534" s="88"/>
      <c r="H1534" s="89"/>
      <c r="I1534" s="90"/>
      <c r="K1534" s="91"/>
      <c r="L1534" s="88"/>
      <c r="M1534" s="92"/>
      <c r="N1534" s="86"/>
    </row>
    <row r="1535" spans="5:14">
      <c r="E1535" s="86"/>
      <c r="F1535" s="87"/>
      <c r="G1535" s="88"/>
      <c r="H1535" s="89"/>
      <c r="I1535" s="90"/>
      <c r="K1535" s="91"/>
      <c r="L1535" s="88"/>
      <c r="M1535" s="92"/>
      <c r="N1535" s="86"/>
    </row>
    <row r="1536" spans="5:14">
      <c r="E1536" s="86"/>
      <c r="F1536" s="87"/>
      <c r="G1536" s="88"/>
      <c r="H1536" s="89"/>
      <c r="I1536" s="90"/>
      <c r="K1536" s="91"/>
      <c r="L1536" s="88"/>
      <c r="M1536" s="92"/>
      <c r="N1536" s="86"/>
    </row>
    <row r="1537" spans="5:14">
      <c r="E1537" s="86"/>
      <c r="F1537" s="87"/>
      <c r="G1537" s="88"/>
      <c r="H1537" s="89"/>
      <c r="I1537" s="90"/>
      <c r="K1537" s="91"/>
      <c r="L1537" s="88"/>
      <c r="M1537" s="92"/>
      <c r="N1537" s="86"/>
    </row>
    <row r="1538" spans="5:14">
      <c r="E1538" s="86"/>
      <c r="F1538" s="87"/>
      <c r="G1538" s="88"/>
      <c r="H1538" s="89"/>
      <c r="I1538" s="90"/>
      <c r="K1538" s="91"/>
      <c r="L1538" s="88"/>
      <c r="M1538" s="92"/>
      <c r="N1538" s="86"/>
    </row>
    <row r="1539" spans="5:14">
      <c r="E1539" s="86"/>
      <c r="F1539" s="87"/>
      <c r="G1539" s="88"/>
      <c r="H1539" s="89"/>
      <c r="I1539" s="90"/>
      <c r="K1539" s="91"/>
      <c r="L1539" s="88"/>
      <c r="M1539" s="92"/>
      <c r="N1539" s="86"/>
    </row>
    <row r="1540" spans="5:14">
      <c r="E1540" s="86"/>
      <c r="F1540" s="87"/>
      <c r="G1540" s="88"/>
      <c r="H1540" s="89"/>
      <c r="I1540" s="90"/>
      <c r="K1540" s="91"/>
      <c r="L1540" s="88"/>
      <c r="M1540" s="92"/>
      <c r="N1540" s="86"/>
    </row>
    <row r="1541" spans="5:14">
      <c r="E1541" s="86"/>
      <c r="F1541" s="87"/>
      <c r="G1541" s="88"/>
      <c r="H1541" s="89"/>
      <c r="I1541" s="90"/>
      <c r="K1541" s="91"/>
      <c r="L1541" s="88"/>
      <c r="M1541" s="92"/>
      <c r="N1541" s="86"/>
    </row>
    <row r="1542" spans="5:14">
      <c r="E1542" s="86"/>
      <c r="F1542" s="87"/>
      <c r="G1542" s="88"/>
      <c r="H1542" s="89"/>
      <c r="I1542" s="90"/>
      <c r="K1542" s="91"/>
      <c r="L1542" s="88"/>
      <c r="M1542" s="92"/>
      <c r="N1542" s="86"/>
    </row>
    <row r="1543" spans="5:14">
      <c r="E1543" s="86"/>
      <c r="F1543" s="87"/>
      <c r="G1543" s="88"/>
      <c r="H1543" s="89"/>
      <c r="I1543" s="90"/>
      <c r="K1543" s="91"/>
      <c r="L1543" s="88"/>
      <c r="M1543" s="92"/>
      <c r="N1543" s="86"/>
    </row>
    <row r="1544" spans="5:14">
      <c r="E1544" s="86"/>
      <c r="F1544" s="87"/>
      <c r="G1544" s="88"/>
      <c r="H1544" s="89"/>
      <c r="I1544" s="90"/>
      <c r="K1544" s="91"/>
      <c r="L1544" s="88"/>
      <c r="M1544" s="92"/>
      <c r="N1544" s="86"/>
    </row>
    <row r="1545" spans="5:14">
      <c r="E1545" s="86"/>
      <c r="F1545" s="87"/>
      <c r="G1545" s="88"/>
      <c r="H1545" s="89"/>
      <c r="I1545" s="90"/>
      <c r="K1545" s="91"/>
      <c r="L1545" s="88"/>
      <c r="M1545" s="92"/>
      <c r="N1545" s="86"/>
    </row>
    <row r="1546" spans="5:14">
      <c r="E1546" s="86"/>
      <c r="F1546" s="87"/>
      <c r="G1546" s="88"/>
      <c r="H1546" s="89"/>
      <c r="I1546" s="90"/>
      <c r="K1546" s="91"/>
      <c r="L1546" s="88"/>
      <c r="M1546" s="92"/>
      <c r="N1546" s="86"/>
    </row>
    <row r="1547" spans="5:14">
      <c r="E1547" s="86"/>
      <c r="F1547" s="87"/>
      <c r="G1547" s="88"/>
      <c r="H1547" s="89"/>
      <c r="I1547" s="90"/>
      <c r="K1547" s="91"/>
      <c r="L1547" s="88"/>
      <c r="M1547" s="92"/>
      <c r="N1547" s="86"/>
    </row>
    <row r="1548" spans="5:14">
      <c r="E1548" s="86"/>
      <c r="F1548" s="87"/>
      <c r="G1548" s="88"/>
      <c r="H1548" s="89"/>
      <c r="I1548" s="90"/>
      <c r="K1548" s="91"/>
      <c r="L1548" s="88"/>
      <c r="M1548" s="92"/>
      <c r="N1548" s="86"/>
    </row>
    <row r="1549" spans="5:14">
      <c r="E1549" s="86"/>
      <c r="F1549" s="87"/>
      <c r="G1549" s="88"/>
      <c r="H1549" s="89"/>
      <c r="I1549" s="90"/>
      <c r="K1549" s="91"/>
      <c r="L1549" s="88"/>
      <c r="M1549" s="92"/>
      <c r="N1549" s="86"/>
    </row>
    <row r="1550" spans="5:14">
      <c r="E1550" s="86"/>
      <c r="F1550" s="87"/>
      <c r="G1550" s="88"/>
      <c r="H1550" s="89"/>
      <c r="I1550" s="90"/>
      <c r="K1550" s="91"/>
      <c r="L1550" s="88"/>
      <c r="M1550" s="92"/>
      <c r="N1550" s="86"/>
    </row>
    <row r="1551" spans="5:14">
      <c r="E1551" s="86"/>
      <c r="F1551" s="87"/>
      <c r="G1551" s="88"/>
      <c r="H1551" s="89"/>
      <c r="I1551" s="90"/>
      <c r="K1551" s="91"/>
      <c r="L1551" s="88"/>
      <c r="M1551" s="92"/>
      <c r="N1551" s="86"/>
    </row>
    <row r="1552" spans="5:14">
      <c r="E1552" s="86"/>
      <c r="F1552" s="87"/>
      <c r="G1552" s="88"/>
      <c r="H1552" s="89"/>
      <c r="I1552" s="90"/>
      <c r="K1552" s="91"/>
      <c r="L1552" s="88"/>
      <c r="M1552" s="92"/>
      <c r="N1552" s="86"/>
    </row>
    <row r="1553" spans="5:14">
      <c r="E1553" s="86"/>
      <c r="F1553" s="87"/>
      <c r="G1553" s="88"/>
      <c r="H1553" s="89"/>
      <c r="I1553" s="90"/>
      <c r="K1553" s="91"/>
      <c r="L1553" s="88"/>
      <c r="M1553" s="92"/>
      <c r="N1553" s="86"/>
    </row>
    <row r="1554" spans="5:14">
      <c r="E1554" s="86"/>
      <c r="F1554" s="87"/>
      <c r="G1554" s="88"/>
      <c r="H1554" s="89"/>
      <c r="I1554" s="90"/>
      <c r="K1554" s="91"/>
      <c r="L1554" s="88"/>
      <c r="M1554" s="92"/>
      <c r="N1554" s="86"/>
    </row>
    <row r="1555" spans="5:14">
      <c r="E1555" s="86"/>
      <c r="F1555" s="87"/>
      <c r="G1555" s="88"/>
      <c r="H1555" s="89"/>
      <c r="I1555" s="90"/>
      <c r="K1555" s="91"/>
      <c r="L1555" s="88"/>
      <c r="M1555" s="92"/>
      <c r="N1555" s="86"/>
    </row>
    <row r="1556" spans="5:14">
      <c r="E1556" s="86"/>
      <c r="F1556" s="87"/>
      <c r="G1556" s="88"/>
      <c r="H1556" s="89"/>
      <c r="I1556" s="90"/>
      <c r="K1556" s="91"/>
      <c r="L1556" s="88"/>
      <c r="M1556" s="92"/>
      <c r="N1556" s="86"/>
    </row>
    <row r="1557" spans="5:14">
      <c r="E1557" s="86"/>
      <c r="F1557" s="87"/>
      <c r="G1557" s="88"/>
      <c r="H1557" s="89"/>
      <c r="I1557" s="90"/>
      <c r="K1557" s="91"/>
      <c r="L1557" s="88"/>
      <c r="M1557" s="92"/>
      <c r="N1557" s="86"/>
    </row>
    <row r="1558" spans="5:14">
      <c r="E1558" s="86"/>
      <c r="F1558" s="87"/>
      <c r="G1558" s="88"/>
      <c r="H1558" s="89"/>
      <c r="I1558" s="90"/>
      <c r="K1558" s="91"/>
      <c r="L1558" s="88"/>
      <c r="M1558" s="92"/>
      <c r="N1558" s="86"/>
    </row>
    <row r="1559" spans="5:14">
      <c r="E1559" s="86"/>
      <c r="F1559" s="87"/>
      <c r="G1559" s="88"/>
      <c r="H1559" s="89"/>
      <c r="I1559" s="90"/>
      <c r="K1559" s="91"/>
      <c r="L1559" s="88"/>
      <c r="M1559" s="92"/>
      <c r="N1559" s="86"/>
    </row>
    <row r="1560" spans="5:14">
      <c r="E1560" s="86"/>
      <c r="F1560" s="87"/>
      <c r="G1560" s="88"/>
      <c r="H1560" s="89"/>
      <c r="I1560" s="90"/>
      <c r="K1560" s="91"/>
      <c r="L1560" s="88"/>
      <c r="M1560" s="92"/>
      <c r="N1560" s="86"/>
    </row>
    <row r="1561" spans="5:14">
      <c r="E1561" s="86"/>
      <c r="F1561" s="87"/>
      <c r="G1561" s="88"/>
      <c r="H1561" s="89"/>
      <c r="I1561" s="90"/>
      <c r="K1561" s="91"/>
      <c r="L1561" s="88"/>
      <c r="M1561" s="92"/>
      <c r="N1561" s="86"/>
    </row>
    <row r="1562" spans="5:14">
      <c r="E1562" s="86"/>
      <c r="F1562" s="87"/>
      <c r="G1562" s="88"/>
      <c r="H1562" s="89"/>
      <c r="I1562" s="90"/>
      <c r="K1562" s="91"/>
      <c r="L1562" s="88"/>
      <c r="M1562" s="92"/>
      <c r="N1562" s="86"/>
    </row>
    <row r="1563" spans="5:14">
      <c r="E1563" s="86"/>
      <c r="F1563" s="87"/>
      <c r="G1563" s="88"/>
      <c r="H1563" s="89"/>
      <c r="I1563" s="90"/>
      <c r="K1563" s="91"/>
      <c r="L1563" s="88"/>
      <c r="M1563" s="92"/>
      <c r="N1563" s="86"/>
    </row>
    <row r="1564" spans="5:14">
      <c r="E1564" s="86"/>
      <c r="F1564" s="87"/>
      <c r="G1564" s="88"/>
      <c r="H1564" s="89"/>
      <c r="I1564" s="90"/>
      <c r="K1564" s="91"/>
      <c r="L1564" s="88"/>
      <c r="M1564" s="92"/>
      <c r="N1564" s="86"/>
    </row>
    <row r="1565" spans="5:14">
      <c r="E1565" s="86"/>
      <c r="F1565" s="87"/>
      <c r="G1565" s="88"/>
      <c r="H1565" s="89"/>
      <c r="I1565" s="90"/>
      <c r="K1565" s="91"/>
      <c r="L1565" s="88"/>
      <c r="M1565" s="92"/>
      <c r="N1565" s="86"/>
    </row>
    <row r="1566" spans="5:14">
      <c r="E1566" s="86"/>
      <c r="F1566" s="87"/>
      <c r="G1566" s="88"/>
      <c r="H1566" s="89"/>
      <c r="I1566" s="90"/>
      <c r="K1566" s="91"/>
      <c r="L1566" s="88"/>
      <c r="M1566" s="92"/>
      <c r="N1566" s="86"/>
    </row>
    <row r="1567" spans="5:14">
      <c r="E1567" s="86"/>
      <c r="F1567" s="87"/>
      <c r="G1567" s="88"/>
      <c r="H1567" s="89"/>
      <c r="I1567" s="90"/>
      <c r="K1567" s="91"/>
      <c r="L1567" s="88"/>
      <c r="M1567" s="92"/>
      <c r="N1567" s="86"/>
    </row>
    <row r="1568" spans="5:14">
      <c r="E1568" s="86"/>
      <c r="F1568" s="87"/>
      <c r="G1568" s="88"/>
      <c r="H1568" s="89"/>
      <c r="I1568" s="90"/>
      <c r="K1568" s="91"/>
      <c r="L1568" s="88"/>
      <c r="M1568" s="92"/>
      <c r="N1568" s="86"/>
    </row>
    <row r="1569" spans="5:14">
      <c r="E1569" s="86"/>
      <c r="F1569" s="87"/>
      <c r="G1569" s="88"/>
      <c r="H1569" s="89"/>
      <c r="I1569" s="90"/>
      <c r="K1569" s="91"/>
      <c r="L1569" s="88"/>
      <c r="M1569" s="92"/>
      <c r="N1569" s="86"/>
    </row>
    <row r="1570" spans="5:14">
      <c r="E1570" s="86"/>
      <c r="F1570" s="87"/>
      <c r="G1570" s="88"/>
      <c r="H1570" s="89"/>
      <c r="I1570" s="90"/>
      <c r="K1570" s="91"/>
      <c r="L1570" s="88"/>
      <c r="M1570" s="92"/>
      <c r="N1570" s="86"/>
    </row>
    <row r="1571" spans="5:14">
      <c r="E1571" s="86"/>
      <c r="F1571" s="87"/>
      <c r="G1571" s="88"/>
      <c r="H1571" s="89"/>
      <c r="I1571" s="90"/>
      <c r="K1571" s="91"/>
      <c r="L1571" s="88"/>
      <c r="M1571" s="92"/>
      <c r="N1571" s="86"/>
    </row>
    <row r="1572" spans="5:14">
      <c r="E1572" s="86"/>
      <c r="F1572" s="87"/>
      <c r="G1572" s="88"/>
      <c r="H1572" s="89"/>
      <c r="I1572" s="90"/>
      <c r="K1572" s="91"/>
      <c r="L1572" s="88"/>
      <c r="M1572" s="92"/>
      <c r="N1572" s="86"/>
    </row>
    <row r="1573" spans="5:14">
      <c r="E1573" s="86"/>
      <c r="F1573" s="87"/>
      <c r="G1573" s="88"/>
      <c r="H1573" s="89"/>
      <c r="I1573" s="90"/>
      <c r="K1573" s="91"/>
      <c r="L1573" s="88"/>
      <c r="M1573" s="92"/>
      <c r="N1573" s="86"/>
    </row>
    <row r="1574" spans="5:14">
      <c r="E1574" s="86"/>
      <c r="F1574" s="87"/>
      <c r="G1574" s="88"/>
      <c r="H1574" s="89"/>
      <c r="I1574" s="90"/>
      <c r="K1574" s="91"/>
      <c r="L1574" s="88"/>
      <c r="M1574" s="92"/>
      <c r="N1574" s="86"/>
    </row>
    <row r="1575" spans="5:14">
      <c r="E1575" s="86"/>
      <c r="F1575" s="87"/>
      <c r="G1575" s="88"/>
      <c r="H1575" s="89"/>
      <c r="I1575" s="90"/>
      <c r="K1575" s="91"/>
      <c r="L1575" s="88"/>
      <c r="M1575" s="92"/>
      <c r="N1575" s="86"/>
    </row>
    <row r="1576" spans="5:14">
      <c r="E1576" s="86"/>
      <c r="F1576" s="87"/>
      <c r="G1576" s="88"/>
      <c r="H1576" s="89"/>
      <c r="I1576" s="90"/>
      <c r="K1576" s="91"/>
      <c r="L1576" s="88"/>
      <c r="M1576" s="92"/>
      <c r="N1576" s="86"/>
    </row>
    <row r="1577" spans="5:14">
      <c r="E1577" s="86"/>
      <c r="F1577" s="87"/>
      <c r="G1577" s="88"/>
      <c r="H1577" s="89"/>
      <c r="I1577" s="90"/>
      <c r="K1577" s="91"/>
      <c r="L1577" s="88"/>
      <c r="M1577" s="92"/>
      <c r="N1577" s="86"/>
    </row>
    <row r="1578" spans="5:14">
      <c r="E1578" s="86"/>
      <c r="F1578" s="87"/>
      <c r="G1578" s="88"/>
      <c r="H1578" s="89"/>
      <c r="I1578" s="90"/>
      <c r="K1578" s="91"/>
      <c r="L1578" s="88"/>
      <c r="M1578" s="92"/>
      <c r="N1578" s="86"/>
    </row>
    <row r="1579" spans="5:14">
      <c r="E1579" s="86"/>
      <c r="F1579" s="87"/>
      <c r="G1579" s="88"/>
      <c r="H1579" s="89"/>
      <c r="I1579" s="90"/>
      <c r="K1579" s="91"/>
      <c r="L1579" s="88"/>
      <c r="M1579" s="92"/>
      <c r="N1579" s="86"/>
    </row>
    <row r="1580" spans="5:14">
      <c r="E1580" s="86"/>
      <c r="F1580" s="87"/>
      <c r="G1580" s="88"/>
      <c r="H1580" s="89"/>
      <c r="I1580" s="90"/>
      <c r="K1580" s="91"/>
      <c r="L1580" s="88"/>
      <c r="M1580" s="92"/>
      <c r="N1580" s="86"/>
    </row>
    <row r="1581" spans="5:14">
      <c r="E1581" s="86"/>
      <c r="F1581" s="87"/>
      <c r="G1581" s="88"/>
      <c r="H1581" s="89"/>
      <c r="I1581" s="90"/>
      <c r="K1581" s="91"/>
      <c r="L1581" s="88"/>
      <c r="M1581" s="92"/>
      <c r="N1581" s="86"/>
    </row>
    <row r="1582" spans="5:14">
      <c r="E1582" s="86"/>
      <c r="F1582" s="87"/>
      <c r="G1582" s="88"/>
      <c r="H1582" s="89"/>
      <c r="I1582" s="90"/>
      <c r="K1582" s="91"/>
      <c r="L1582" s="88"/>
      <c r="M1582" s="92"/>
      <c r="N1582" s="86"/>
    </row>
    <row r="1583" spans="5:14">
      <c r="E1583" s="86"/>
      <c r="F1583" s="87"/>
      <c r="G1583" s="88"/>
      <c r="H1583" s="89"/>
      <c r="I1583" s="90"/>
      <c r="K1583" s="91"/>
      <c r="L1583" s="88"/>
      <c r="M1583" s="92"/>
      <c r="N1583" s="86"/>
    </row>
    <row r="1584" spans="5:14">
      <c r="E1584" s="86"/>
      <c r="F1584" s="87"/>
      <c r="G1584" s="88"/>
      <c r="H1584" s="89"/>
      <c r="I1584" s="90"/>
      <c r="K1584" s="91"/>
      <c r="L1584" s="88"/>
      <c r="M1584" s="92"/>
      <c r="N1584" s="86"/>
    </row>
    <row r="1585" spans="5:14">
      <c r="E1585" s="86"/>
      <c r="F1585" s="87"/>
      <c r="G1585" s="88"/>
      <c r="H1585" s="89"/>
      <c r="I1585" s="90"/>
      <c r="K1585" s="91"/>
      <c r="L1585" s="88"/>
      <c r="M1585" s="92"/>
      <c r="N1585" s="86"/>
    </row>
    <row r="1586" spans="5:14">
      <c r="E1586" s="86"/>
      <c r="F1586" s="87"/>
      <c r="G1586" s="88"/>
      <c r="H1586" s="89"/>
      <c r="I1586" s="90"/>
      <c r="K1586" s="91"/>
      <c r="L1586" s="88"/>
      <c r="M1586" s="92"/>
      <c r="N1586" s="86"/>
    </row>
    <row r="1587" spans="5:14">
      <c r="E1587" s="86"/>
      <c r="F1587" s="87"/>
      <c r="G1587" s="88"/>
      <c r="H1587" s="89"/>
      <c r="I1587" s="90"/>
      <c r="K1587" s="91"/>
      <c r="L1587" s="88"/>
      <c r="M1587" s="92"/>
      <c r="N1587" s="86"/>
    </row>
    <row r="1588" spans="5:14">
      <c r="E1588" s="86"/>
      <c r="F1588" s="87"/>
      <c r="G1588" s="88"/>
      <c r="H1588" s="89"/>
      <c r="I1588" s="90"/>
      <c r="K1588" s="91"/>
      <c r="L1588" s="88"/>
      <c r="M1588" s="92"/>
      <c r="N1588" s="86"/>
    </row>
    <row r="1589" spans="5:14">
      <c r="E1589" s="86"/>
      <c r="F1589" s="87"/>
      <c r="G1589" s="88"/>
      <c r="H1589" s="89"/>
      <c r="I1589" s="90"/>
      <c r="K1589" s="91"/>
      <c r="L1589" s="88"/>
      <c r="M1589" s="92"/>
      <c r="N1589" s="86"/>
    </row>
    <row r="1590" spans="5:14">
      <c r="E1590" s="86"/>
      <c r="F1590" s="87"/>
      <c r="G1590" s="88"/>
      <c r="H1590" s="89"/>
      <c r="I1590" s="90"/>
      <c r="K1590" s="91"/>
      <c r="L1590" s="88"/>
      <c r="M1590" s="92"/>
      <c r="N1590" s="86"/>
    </row>
    <row r="1591" spans="5:14">
      <c r="E1591" s="86"/>
      <c r="F1591" s="87"/>
      <c r="G1591" s="88"/>
      <c r="H1591" s="89"/>
      <c r="I1591" s="90"/>
      <c r="K1591" s="91"/>
      <c r="L1591" s="88"/>
      <c r="M1591" s="92"/>
      <c r="N1591" s="86"/>
    </row>
    <row r="1592" spans="5:14">
      <c r="E1592" s="86"/>
      <c r="F1592" s="87"/>
      <c r="G1592" s="88"/>
      <c r="H1592" s="89"/>
      <c r="I1592" s="90"/>
      <c r="K1592" s="91"/>
      <c r="L1592" s="88"/>
      <c r="M1592" s="92"/>
      <c r="N1592" s="86"/>
    </row>
    <row r="1593" spans="5:14">
      <c r="E1593" s="86"/>
      <c r="F1593" s="87"/>
      <c r="G1593" s="88"/>
      <c r="H1593" s="89"/>
      <c r="I1593" s="90"/>
      <c r="K1593" s="91"/>
      <c r="L1593" s="88"/>
      <c r="M1593" s="92"/>
      <c r="N1593" s="86"/>
    </row>
    <row r="1594" spans="5:14">
      <c r="E1594" s="86"/>
      <c r="F1594" s="87"/>
      <c r="G1594" s="88"/>
      <c r="H1594" s="89"/>
      <c r="I1594" s="90"/>
      <c r="K1594" s="91"/>
      <c r="L1594" s="88"/>
      <c r="M1594" s="92"/>
      <c r="N1594" s="86"/>
    </row>
    <row r="1595" spans="5:14">
      <c r="E1595" s="86"/>
      <c r="F1595" s="87"/>
      <c r="G1595" s="88"/>
      <c r="H1595" s="89"/>
      <c r="I1595" s="90"/>
      <c r="K1595" s="91"/>
      <c r="L1595" s="88"/>
      <c r="M1595" s="92"/>
      <c r="N1595" s="86"/>
    </row>
    <row r="1596" spans="5:14">
      <c r="E1596" s="86"/>
      <c r="F1596" s="87"/>
      <c r="G1596" s="88"/>
      <c r="H1596" s="89"/>
      <c r="I1596" s="90"/>
      <c r="K1596" s="91"/>
      <c r="L1596" s="88"/>
      <c r="M1596" s="92"/>
      <c r="N1596" s="86"/>
    </row>
    <row r="1597" spans="5:14">
      <c r="E1597" s="86"/>
      <c r="F1597" s="87"/>
      <c r="G1597" s="88"/>
      <c r="H1597" s="89"/>
      <c r="I1597" s="90"/>
      <c r="K1597" s="91"/>
      <c r="L1597" s="88"/>
      <c r="M1597" s="92"/>
      <c r="N1597" s="86"/>
    </row>
    <row r="1598" spans="5:14">
      <c r="E1598" s="86"/>
      <c r="F1598" s="87"/>
      <c r="G1598" s="88"/>
      <c r="H1598" s="89"/>
      <c r="I1598" s="90"/>
      <c r="K1598" s="91"/>
      <c r="L1598" s="88"/>
      <c r="M1598" s="92"/>
      <c r="N1598" s="86"/>
    </row>
    <row r="1599" spans="5:14">
      <c r="E1599" s="86"/>
      <c r="F1599" s="87"/>
      <c r="G1599" s="88"/>
      <c r="H1599" s="89"/>
      <c r="I1599" s="90"/>
      <c r="K1599" s="91"/>
      <c r="L1599" s="88"/>
      <c r="M1599" s="92"/>
      <c r="N1599" s="86"/>
    </row>
    <row r="1600" spans="5:14">
      <c r="E1600" s="86"/>
      <c r="F1600" s="87"/>
      <c r="G1600" s="88"/>
      <c r="H1600" s="89"/>
      <c r="I1600" s="90"/>
      <c r="K1600" s="91"/>
      <c r="L1600" s="88"/>
      <c r="M1600" s="92"/>
      <c r="N1600" s="86"/>
    </row>
    <row r="1601" spans="5:14">
      <c r="E1601" s="86"/>
      <c r="F1601" s="87"/>
      <c r="G1601" s="88"/>
      <c r="H1601" s="89"/>
      <c r="I1601" s="90"/>
      <c r="K1601" s="91"/>
      <c r="L1601" s="88"/>
      <c r="M1601" s="92"/>
      <c r="N1601" s="86"/>
    </row>
    <row r="1602" spans="5:14">
      <c r="E1602" s="86"/>
      <c r="F1602" s="87"/>
      <c r="G1602" s="88"/>
      <c r="H1602" s="89"/>
      <c r="I1602" s="90"/>
      <c r="K1602" s="91"/>
      <c r="L1602" s="88"/>
      <c r="M1602" s="92"/>
      <c r="N1602" s="86"/>
    </row>
    <row r="1603" spans="5:14">
      <c r="E1603" s="86"/>
      <c r="F1603" s="87"/>
      <c r="G1603" s="88"/>
      <c r="H1603" s="89"/>
      <c r="I1603" s="90"/>
      <c r="K1603" s="91"/>
      <c r="L1603" s="88"/>
      <c r="M1603" s="92"/>
      <c r="N1603" s="86"/>
    </row>
    <row r="1604" spans="5:14">
      <c r="E1604" s="86"/>
      <c r="F1604" s="87"/>
      <c r="G1604" s="88"/>
      <c r="H1604" s="89"/>
      <c r="I1604" s="90"/>
      <c r="K1604" s="91"/>
      <c r="L1604" s="88"/>
      <c r="M1604" s="92"/>
      <c r="N1604" s="86"/>
    </row>
    <row r="1605" spans="5:14">
      <c r="E1605" s="86"/>
      <c r="F1605" s="87"/>
      <c r="G1605" s="88"/>
      <c r="H1605" s="89"/>
      <c r="I1605" s="90"/>
      <c r="K1605" s="91"/>
      <c r="L1605" s="88"/>
      <c r="M1605" s="92"/>
      <c r="N1605" s="86"/>
    </row>
    <row r="1606" spans="5:14">
      <c r="E1606" s="86"/>
      <c r="F1606" s="87"/>
      <c r="G1606" s="88"/>
      <c r="H1606" s="89"/>
      <c r="I1606" s="90"/>
      <c r="K1606" s="91"/>
      <c r="L1606" s="88"/>
      <c r="M1606" s="92"/>
      <c r="N1606" s="86"/>
    </row>
    <row r="1607" spans="5:14">
      <c r="E1607" s="86"/>
      <c r="F1607" s="87"/>
      <c r="G1607" s="88"/>
      <c r="H1607" s="89"/>
      <c r="I1607" s="90"/>
      <c r="K1607" s="91"/>
      <c r="L1607" s="88"/>
      <c r="M1607" s="92"/>
      <c r="N1607" s="86"/>
    </row>
    <row r="1608" spans="5:14">
      <c r="E1608" s="86"/>
      <c r="F1608" s="87"/>
      <c r="G1608" s="88"/>
      <c r="H1608" s="89"/>
      <c r="I1608" s="90"/>
      <c r="K1608" s="91"/>
      <c r="L1608" s="88"/>
      <c r="M1608" s="92"/>
      <c r="N1608" s="86"/>
    </row>
    <row r="1609" spans="5:14">
      <c r="E1609" s="86"/>
      <c r="F1609" s="87"/>
      <c r="G1609" s="88"/>
      <c r="H1609" s="89"/>
      <c r="I1609" s="90"/>
      <c r="K1609" s="91"/>
      <c r="L1609" s="88"/>
      <c r="M1609" s="92"/>
      <c r="N1609" s="86"/>
    </row>
    <row r="1610" spans="5:14">
      <c r="E1610" s="86"/>
      <c r="F1610" s="87"/>
      <c r="G1610" s="88"/>
      <c r="H1610" s="89"/>
      <c r="I1610" s="90"/>
      <c r="K1610" s="91"/>
      <c r="L1610" s="88"/>
      <c r="M1610" s="92"/>
      <c r="N1610" s="86"/>
    </row>
    <row r="1611" spans="5:14">
      <c r="E1611" s="86"/>
      <c r="F1611" s="87"/>
      <c r="G1611" s="88"/>
      <c r="H1611" s="89"/>
      <c r="I1611" s="90"/>
      <c r="K1611" s="91"/>
      <c r="L1611" s="88"/>
      <c r="M1611" s="92"/>
      <c r="N1611" s="86"/>
    </row>
    <row r="1612" spans="5:14">
      <c r="E1612" s="86"/>
      <c r="F1612" s="87"/>
      <c r="G1612" s="88"/>
      <c r="H1612" s="89"/>
      <c r="I1612" s="90"/>
      <c r="K1612" s="91"/>
      <c r="L1612" s="88"/>
      <c r="M1612" s="92"/>
      <c r="N1612" s="86"/>
    </row>
    <row r="1613" spans="5:14">
      <c r="E1613" s="86"/>
      <c r="F1613" s="87"/>
      <c r="G1613" s="88"/>
      <c r="H1613" s="89"/>
      <c r="I1613" s="90"/>
      <c r="K1613" s="91"/>
      <c r="L1613" s="88"/>
      <c r="M1613" s="92"/>
      <c r="N1613" s="86"/>
    </row>
    <row r="1614" spans="5:14">
      <c r="E1614" s="86"/>
      <c r="F1614" s="87"/>
      <c r="G1614" s="88"/>
      <c r="H1614" s="89"/>
      <c r="I1614" s="90"/>
      <c r="K1614" s="91"/>
      <c r="L1614" s="88"/>
      <c r="M1614" s="92"/>
      <c r="N1614" s="86"/>
    </row>
    <row r="1615" spans="5:14">
      <c r="E1615" s="86"/>
      <c r="F1615" s="87"/>
      <c r="G1615" s="88"/>
      <c r="H1615" s="89"/>
      <c r="I1615" s="90"/>
      <c r="K1615" s="91"/>
      <c r="L1615" s="88"/>
      <c r="M1615" s="92"/>
      <c r="N1615" s="86"/>
    </row>
    <row r="1616" spans="5:14">
      <c r="E1616" s="86"/>
      <c r="F1616" s="87"/>
      <c r="G1616" s="88"/>
      <c r="H1616" s="89"/>
      <c r="I1616" s="90"/>
      <c r="K1616" s="91"/>
      <c r="L1616" s="88"/>
      <c r="M1616" s="92"/>
      <c r="N1616" s="86"/>
    </row>
    <row r="1617" spans="5:14">
      <c r="E1617" s="86"/>
      <c r="F1617" s="87"/>
      <c r="G1617" s="88"/>
      <c r="H1617" s="89"/>
      <c r="I1617" s="90"/>
      <c r="K1617" s="91"/>
      <c r="L1617" s="88"/>
      <c r="M1617" s="92"/>
      <c r="N1617" s="86"/>
    </row>
    <row r="1618" spans="5:14">
      <c r="E1618" s="86"/>
      <c r="F1618" s="87"/>
      <c r="G1618" s="88"/>
      <c r="H1618" s="89"/>
      <c r="I1618" s="90"/>
      <c r="K1618" s="91"/>
      <c r="L1618" s="88"/>
      <c r="M1618" s="92"/>
      <c r="N1618" s="86"/>
    </row>
    <row r="1619" spans="5:14">
      <c r="E1619" s="86"/>
      <c r="F1619" s="87"/>
      <c r="G1619" s="88"/>
      <c r="H1619" s="89"/>
      <c r="I1619" s="90"/>
      <c r="K1619" s="91"/>
      <c r="L1619" s="88"/>
      <c r="M1619" s="92"/>
      <c r="N1619" s="86"/>
    </row>
    <row r="1620" spans="5:14">
      <c r="E1620" s="86"/>
      <c r="F1620" s="87"/>
      <c r="G1620" s="88"/>
      <c r="H1620" s="89"/>
      <c r="I1620" s="90"/>
      <c r="K1620" s="91"/>
      <c r="L1620" s="88"/>
      <c r="M1620" s="92"/>
      <c r="N1620" s="86"/>
    </row>
    <row r="1621" spans="5:14">
      <c r="E1621" s="86"/>
      <c r="F1621" s="87"/>
      <c r="G1621" s="88"/>
      <c r="H1621" s="89"/>
      <c r="I1621" s="90"/>
      <c r="K1621" s="91"/>
      <c r="L1621" s="88"/>
      <c r="M1621" s="92"/>
      <c r="N1621" s="86"/>
    </row>
    <row r="1622" spans="5:14">
      <c r="E1622" s="86"/>
      <c r="F1622" s="87"/>
      <c r="G1622" s="88"/>
      <c r="H1622" s="89"/>
      <c r="I1622" s="90"/>
      <c r="K1622" s="91"/>
      <c r="L1622" s="88"/>
      <c r="M1622" s="92"/>
      <c r="N1622" s="86"/>
    </row>
    <row r="1623" spans="5:14">
      <c r="E1623" s="86"/>
      <c r="F1623" s="87"/>
      <c r="G1623" s="88"/>
      <c r="H1623" s="89"/>
      <c r="I1623" s="90"/>
      <c r="K1623" s="91"/>
      <c r="L1623" s="88"/>
      <c r="M1623" s="92"/>
      <c r="N1623" s="86"/>
    </row>
    <row r="1624" spans="5:14">
      <c r="E1624" s="86"/>
      <c r="F1624" s="87"/>
      <c r="G1624" s="88"/>
      <c r="H1624" s="89"/>
      <c r="I1624" s="90"/>
      <c r="K1624" s="91"/>
      <c r="L1624" s="88"/>
      <c r="M1624" s="92"/>
      <c r="N1624" s="86"/>
    </row>
    <row r="1625" spans="5:14">
      <c r="E1625" s="86"/>
      <c r="F1625" s="87"/>
      <c r="G1625" s="88"/>
      <c r="H1625" s="89"/>
      <c r="I1625" s="90"/>
      <c r="K1625" s="91"/>
      <c r="L1625" s="88"/>
      <c r="M1625" s="92"/>
      <c r="N1625" s="86"/>
    </row>
    <row r="1626" spans="5:14">
      <c r="E1626" s="86"/>
      <c r="F1626" s="87"/>
      <c r="G1626" s="88"/>
      <c r="H1626" s="89"/>
      <c r="I1626" s="90"/>
      <c r="K1626" s="91"/>
      <c r="L1626" s="88"/>
      <c r="M1626" s="92"/>
      <c r="N1626" s="86"/>
    </row>
    <row r="1627" spans="5:14">
      <c r="E1627" s="86"/>
      <c r="F1627" s="87"/>
      <c r="G1627" s="88"/>
      <c r="H1627" s="89"/>
      <c r="I1627" s="90"/>
      <c r="K1627" s="91"/>
      <c r="L1627" s="88"/>
      <c r="M1627" s="92"/>
      <c r="N1627" s="86"/>
    </row>
    <row r="1628" spans="5:14">
      <c r="E1628" s="86"/>
      <c r="F1628" s="87"/>
      <c r="G1628" s="88"/>
      <c r="H1628" s="89"/>
      <c r="I1628" s="90"/>
      <c r="K1628" s="91"/>
      <c r="L1628" s="88"/>
      <c r="M1628" s="92"/>
      <c r="N1628" s="86"/>
    </row>
    <row r="1629" spans="5:14">
      <c r="E1629" s="86"/>
      <c r="F1629" s="87"/>
      <c r="G1629" s="88"/>
      <c r="H1629" s="89"/>
      <c r="I1629" s="90"/>
      <c r="K1629" s="91"/>
      <c r="L1629" s="88"/>
      <c r="M1629" s="92"/>
      <c r="N1629" s="86"/>
    </row>
    <row r="1630" spans="5:14">
      <c r="E1630" s="86"/>
      <c r="F1630" s="87"/>
      <c r="G1630" s="88"/>
      <c r="H1630" s="89"/>
      <c r="I1630" s="90"/>
      <c r="K1630" s="91"/>
      <c r="L1630" s="88"/>
      <c r="M1630" s="92"/>
      <c r="N1630" s="86"/>
    </row>
    <row r="1631" spans="5:14">
      <c r="E1631" s="86"/>
      <c r="F1631" s="87"/>
      <c r="G1631" s="88"/>
      <c r="H1631" s="89"/>
      <c r="I1631" s="90"/>
      <c r="K1631" s="91"/>
      <c r="L1631" s="88"/>
      <c r="M1631" s="92"/>
      <c r="N1631" s="86"/>
    </row>
    <row r="1632" spans="5:14">
      <c r="E1632" s="86"/>
      <c r="F1632" s="87"/>
      <c r="G1632" s="88"/>
      <c r="H1632" s="89"/>
      <c r="I1632" s="90"/>
      <c r="K1632" s="91"/>
      <c r="L1632" s="88"/>
      <c r="M1632" s="92"/>
      <c r="N1632" s="86"/>
    </row>
    <row r="1633" spans="5:14">
      <c r="E1633" s="86"/>
      <c r="F1633" s="87"/>
      <c r="G1633" s="88"/>
      <c r="H1633" s="89"/>
      <c r="I1633" s="90"/>
      <c r="K1633" s="91"/>
      <c r="L1633" s="88"/>
      <c r="M1633" s="92"/>
      <c r="N1633" s="86"/>
    </row>
    <row r="1634" spans="5:14">
      <c r="E1634" s="86"/>
      <c r="F1634" s="87"/>
      <c r="G1634" s="88"/>
      <c r="H1634" s="89"/>
      <c r="I1634" s="90"/>
      <c r="K1634" s="91"/>
      <c r="L1634" s="88"/>
      <c r="M1634" s="92"/>
      <c r="N1634" s="86"/>
    </row>
    <row r="1635" spans="5:14">
      <c r="E1635" s="86"/>
      <c r="F1635" s="87"/>
      <c r="G1635" s="88"/>
      <c r="H1635" s="89"/>
      <c r="I1635" s="90"/>
      <c r="K1635" s="91"/>
      <c r="L1635" s="88"/>
      <c r="M1635" s="92"/>
      <c r="N1635" s="86"/>
    </row>
    <row r="1636" spans="5:14">
      <c r="E1636" s="86"/>
      <c r="F1636" s="87"/>
      <c r="G1636" s="88"/>
      <c r="H1636" s="89"/>
      <c r="I1636" s="90"/>
      <c r="K1636" s="91"/>
      <c r="L1636" s="88"/>
      <c r="M1636" s="92"/>
      <c r="N1636" s="86"/>
    </row>
    <row r="1637" spans="5:14">
      <c r="E1637" s="86"/>
      <c r="F1637" s="87"/>
      <c r="G1637" s="88"/>
      <c r="H1637" s="89"/>
      <c r="I1637" s="90"/>
      <c r="K1637" s="91"/>
      <c r="L1637" s="88"/>
      <c r="M1637" s="92"/>
      <c r="N1637" s="86"/>
    </row>
    <row r="1638" spans="5:14">
      <c r="E1638" s="86"/>
      <c r="F1638" s="87"/>
      <c r="G1638" s="88"/>
      <c r="H1638" s="89"/>
      <c r="I1638" s="90"/>
      <c r="K1638" s="91"/>
      <c r="L1638" s="88"/>
      <c r="M1638" s="92"/>
      <c r="N1638" s="86"/>
    </row>
    <row r="1639" spans="5:14">
      <c r="E1639" s="86"/>
      <c r="F1639" s="87"/>
      <c r="G1639" s="88"/>
      <c r="H1639" s="89"/>
      <c r="I1639" s="90"/>
      <c r="K1639" s="91"/>
      <c r="L1639" s="88"/>
      <c r="M1639" s="92"/>
      <c r="N1639" s="86"/>
    </row>
    <row r="1640" spans="5:14">
      <c r="E1640" s="86"/>
      <c r="F1640" s="87"/>
      <c r="G1640" s="88"/>
      <c r="H1640" s="89"/>
      <c r="I1640" s="90"/>
      <c r="K1640" s="91"/>
      <c r="L1640" s="88"/>
      <c r="M1640" s="92"/>
      <c r="N1640" s="86"/>
    </row>
    <row r="1641" spans="5:14">
      <c r="E1641" s="86"/>
      <c r="F1641" s="87"/>
      <c r="G1641" s="88"/>
      <c r="H1641" s="89"/>
      <c r="I1641" s="90"/>
      <c r="K1641" s="91"/>
      <c r="L1641" s="88"/>
      <c r="M1641" s="92"/>
      <c r="N1641" s="86"/>
    </row>
    <row r="1642" spans="5:14">
      <c r="E1642" s="86"/>
      <c r="F1642" s="87"/>
      <c r="G1642" s="88"/>
      <c r="H1642" s="89"/>
      <c r="I1642" s="90"/>
      <c r="K1642" s="91"/>
      <c r="L1642" s="88"/>
      <c r="M1642" s="92"/>
      <c r="N1642" s="86"/>
    </row>
    <row r="1643" spans="5:14">
      <c r="E1643" s="86"/>
      <c r="F1643" s="87"/>
      <c r="G1643" s="88"/>
      <c r="H1643" s="89"/>
      <c r="I1643" s="90"/>
      <c r="K1643" s="91"/>
      <c r="L1643" s="88"/>
      <c r="M1643" s="92"/>
      <c r="N1643" s="86"/>
    </row>
    <row r="1644" spans="5:14">
      <c r="E1644" s="86"/>
      <c r="F1644" s="87"/>
      <c r="G1644" s="88"/>
      <c r="H1644" s="89"/>
      <c r="I1644" s="90"/>
      <c r="K1644" s="91"/>
      <c r="L1644" s="88"/>
      <c r="M1644" s="92"/>
      <c r="N1644" s="86"/>
    </row>
    <row r="1645" spans="5:14">
      <c r="E1645" s="86"/>
      <c r="F1645" s="87"/>
      <c r="G1645" s="88"/>
      <c r="H1645" s="89"/>
      <c r="I1645" s="90"/>
      <c r="K1645" s="91"/>
      <c r="L1645" s="88"/>
      <c r="M1645" s="92"/>
      <c r="N1645" s="86"/>
    </row>
    <row r="1646" spans="5:14">
      <c r="E1646" s="86"/>
      <c r="F1646" s="87"/>
      <c r="G1646" s="88"/>
      <c r="H1646" s="89"/>
      <c r="I1646" s="90"/>
      <c r="K1646" s="91"/>
      <c r="L1646" s="88"/>
      <c r="M1646" s="92"/>
      <c r="N1646" s="86"/>
    </row>
    <row r="1647" spans="5:14">
      <c r="E1647" s="86"/>
      <c r="F1647" s="87"/>
      <c r="G1647" s="88"/>
      <c r="H1647" s="89"/>
      <c r="I1647" s="90"/>
      <c r="K1647" s="91"/>
      <c r="L1647" s="88"/>
      <c r="M1647" s="92"/>
      <c r="N1647" s="86"/>
    </row>
    <row r="1648" spans="5:14">
      <c r="E1648" s="86"/>
      <c r="F1648" s="87"/>
      <c r="G1648" s="88"/>
      <c r="H1648" s="89"/>
      <c r="I1648" s="90"/>
      <c r="K1648" s="91"/>
      <c r="L1648" s="88"/>
      <c r="M1648" s="92"/>
      <c r="N1648" s="86"/>
    </row>
    <row r="1649" spans="5:14">
      <c r="E1649" s="86"/>
      <c r="F1649" s="87"/>
      <c r="G1649" s="88"/>
      <c r="H1649" s="89"/>
      <c r="I1649" s="90"/>
      <c r="K1649" s="91"/>
      <c r="L1649" s="88"/>
      <c r="M1649" s="92"/>
      <c r="N1649" s="86"/>
    </row>
    <row r="1650" spans="5:14">
      <c r="E1650" s="86"/>
      <c r="F1650" s="87"/>
      <c r="G1650" s="88"/>
      <c r="H1650" s="89"/>
      <c r="I1650" s="90"/>
      <c r="K1650" s="91"/>
      <c r="L1650" s="88"/>
      <c r="M1650" s="92"/>
      <c r="N1650" s="86"/>
    </row>
    <row r="1651" spans="5:14">
      <c r="E1651" s="86"/>
      <c r="F1651" s="87"/>
      <c r="G1651" s="88"/>
      <c r="H1651" s="89"/>
      <c r="I1651" s="90"/>
      <c r="K1651" s="91"/>
      <c r="L1651" s="88"/>
      <c r="M1651" s="92"/>
      <c r="N1651" s="86"/>
    </row>
    <row r="1652" spans="5:14">
      <c r="E1652" s="86"/>
      <c r="F1652" s="87"/>
      <c r="G1652" s="88"/>
      <c r="H1652" s="89"/>
      <c r="I1652" s="90"/>
      <c r="K1652" s="91"/>
      <c r="L1652" s="88"/>
      <c r="M1652" s="92"/>
      <c r="N1652" s="86"/>
    </row>
    <row r="1653" spans="5:14">
      <c r="E1653" s="86"/>
      <c r="F1653" s="87"/>
      <c r="G1653" s="88"/>
      <c r="H1653" s="89"/>
      <c r="I1653" s="90"/>
      <c r="K1653" s="91"/>
      <c r="L1653" s="88"/>
      <c r="M1653" s="92"/>
      <c r="N1653" s="86"/>
    </row>
    <row r="1654" spans="5:14">
      <c r="E1654" s="86"/>
      <c r="F1654" s="87"/>
      <c r="G1654" s="88"/>
      <c r="H1654" s="89"/>
      <c r="I1654" s="90"/>
      <c r="K1654" s="91"/>
      <c r="L1654" s="88"/>
      <c r="M1654" s="92"/>
      <c r="N1654" s="86"/>
    </row>
    <row r="1655" spans="5:14">
      <c r="E1655" s="86"/>
      <c r="F1655" s="87"/>
      <c r="G1655" s="88"/>
      <c r="H1655" s="89"/>
      <c r="I1655" s="90"/>
      <c r="K1655" s="91"/>
      <c r="L1655" s="88"/>
      <c r="M1655" s="92"/>
      <c r="N1655" s="86"/>
    </row>
    <row r="1656" spans="5:14">
      <c r="E1656" s="86"/>
      <c r="F1656" s="87"/>
      <c r="G1656" s="88"/>
      <c r="H1656" s="89"/>
      <c r="I1656" s="90"/>
      <c r="K1656" s="91"/>
      <c r="L1656" s="88"/>
      <c r="M1656" s="92"/>
      <c r="N1656" s="86"/>
    </row>
    <row r="1657" spans="5:14">
      <c r="E1657" s="86"/>
      <c r="F1657" s="87"/>
      <c r="G1657" s="88"/>
      <c r="H1657" s="89"/>
      <c r="I1657" s="90"/>
      <c r="K1657" s="91"/>
      <c r="L1657" s="88"/>
      <c r="M1657" s="92"/>
      <c r="N1657" s="86"/>
    </row>
    <row r="1658" spans="5:14">
      <c r="E1658" s="86"/>
      <c r="F1658" s="87"/>
      <c r="G1658" s="88"/>
      <c r="H1658" s="89"/>
      <c r="I1658" s="90"/>
      <c r="K1658" s="91"/>
      <c r="L1658" s="88"/>
      <c r="M1658" s="92"/>
      <c r="N1658" s="86"/>
    </row>
    <row r="1659" spans="5:14">
      <c r="E1659" s="86"/>
      <c r="F1659" s="87"/>
      <c r="G1659" s="88"/>
      <c r="H1659" s="89"/>
      <c r="I1659" s="90"/>
      <c r="K1659" s="91"/>
      <c r="L1659" s="88"/>
      <c r="M1659" s="92"/>
      <c r="N1659" s="86"/>
    </row>
    <row r="1660" spans="5:14">
      <c r="E1660" s="86"/>
      <c r="F1660" s="87"/>
      <c r="G1660" s="88"/>
      <c r="H1660" s="89"/>
      <c r="I1660" s="90"/>
      <c r="K1660" s="91"/>
      <c r="L1660" s="88"/>
      <c r="M1660" s="92"/>
      <c r="N1660" s="86"/>
    </row>
    <row r="1661" spans="5:14">
      <c r="E1661" s="86"/>
      <c r="F1661" s="87"/>
      <c r="G1661" s="88"/>
      <c r="H1661" s="89"/>
      <c r="I1661" s="90"/>
      <c r="K1661" s="91"/>
      <c r="L1661" s="88"/>
      <c r="M1661" s="92"/>
      <c r="N1661" s="86"/>
    </row>
    <row r="1662" spans="5:14">
      <c r="E1662" s="86"/>
      <c r="F1662" s="87"/>
      <c r="G1662" s="88"/>
      <c r="H1662" s="89"/>
      <c r="I1662" s="90"/>
      <c r="K1662" s="91"/>
      <c r="L1662" s="88"/>
      <c r="M1662" s="92"/>
      <c r="N1662" s="86"/>
    </row>
    <row r="1663" spans="5:14">
      <c r="E1663" s="86"/>
      <c r="F1663" s="87"/>
      <c r="G1663" s="88"/>
      <c r="H1663" s="89"/>
      <c r="I1663" s="90"/>
      <c r="K1663" s="91"/>
      <c r="L1663" s="88"/>
      <c r="M1663" s="92"/>
      <c r="N1663" s="86"/>
    </row>
    <row r="1664" spans="5:14">
      <c r="E1664" s="86"/>
      <c r="F1664" s="87"/>
      <c r="G1664" s="88"/>
      <c r="H1664" s="89"/>
      <c r="I1664" s="90"/>
      <c r="K1664" s="91"/>
      <c r="L1664" s="88"/>
      <c r="M1664" s="92"/>
      <c r="N1664" s="86"/>
    </row>
    <row r="1665" spans="5:14">
      <c r="E1665" s="86"/>
      <c r="F1665" s="87"/>
      <c r="G1665" s="88"/>
      <c r="H1665" s="89"/>
      <c r="I1665" s="90"/>
      <c r="K1665" s="91"/>
      <c r="L1665" s="88"/>
      <c r="M1665" s="92"/>
      <c r="N1665" s="86"/>
    </row>
    <row r="1666" spans="5:14">
      <c r="E1666" s="86"/>
      <c r="F1666" s="87"/>
      <c r="G1666" s="88"/>
      <c r="H1666" s="89"/>
      <c r="I1666" s="90"/>
      <c r="K1666" s="91"/>
      <c r="L1666" s="88"/>
      <c r="M1666" s="92"/>
      <c r="N1666" s="86"/>
    </row>
    <row r="1667" spans="5:14">
      <c r="E1667" s="86"/>
      <c r="F1667" s="87"/>
      <c r="G1667" s="88"/>
      <c r="H1667" s="89"/>
      <c r="I1667" s="90"/>
      <c r="K1667" s="91"/>
      <c r="L1667" s="88"/>
      <c r="M1667" s="92"/>
      <c r="N1667" s="86"/>
    </row>
    <row r="1668" spans="5:14">
      <c r="E1668" s="86"/>
      <c r="F1668" s="87"/>
      <c r="G1668" s="88"/>
      <c r="H1668" s="89"/>
      <c r="I1668" s="90"/>
      <c r="K1668" s="91"/>
      <c r="L1668" s="88"/>
      <c r="M1668" s="92"/>
      <c r="N1668" s="86"/>
    </row>
    <row r="1669" spans="5:14">
      <c r="E1669" s="86"/>
      <c r="F1669" s="87"/>
      <c r="G1669" s="88"/>
      <c r="H1669" s="89"/>
      <c r="I1669" s="90"/>
      <c r="K1669" s="91"/>
      <c r="L1669" s="88"/>
      <c r="M1669" s="92"/>
      <c r="N1669" s="86"/>
    </row>
    <row r="1670" spans="5:14">
      <c r="E1670" s="86"/>
      <c r="F1670" s="87"/>
      <c r="G1670" s="88"/>
      <c r="H1670" s="89"/>
      <c r="I1670" s="90"/>
      <c r="K1670" s="91"/>
      <c r="L1670" s="88"/>
      <c r="M1670" s="92"/>
      <c r="N1670" s="86"/>
    </row>
    <row r="1671" spans="5:14">
      <c r="E1671" s="86"/>
      <c r="F1671" s="87"/>
      <c r="G1671" s="88"/>
      <c r="H1671" s="89"/>
      <c r="I1671" s="90"/>
      <c r="K1671" s="91"/>
      <c r="L1671" s="88"/>
      <c r="M1671" s="92"/>
      <c r="N1671" s="86"/>
    </row>
    <row r="1672" spans="5:14">
      <c r="E1672" s="86"/>
      <c r="F1672" s="87"/>
      <c r="G1672" s="88"/>
      <c r="H1672" s="89"/>
      <c r="I1672" s="90"/>
      <c r="K1672" s="91"/>
      <c r="L1672" s="88"/>
      <c r="M1672" s="92"/>
      <c r="N1672" s="86"/>
    </row>
    <row r="1673" spans="5:14">
      <c r="E1673" s="86"/>
      <c r="F1673" s="87"/>
      <c r="G1673" s="88"/>
      <c r="H1673" s="89"/>
      <c r="I1673" s="90"/>
      <c r="K1673" s="91"/>
      <c r="L1673" s="88"/>
      <c r="M1673" s="92"/>
      <c r="N1673" s="86"/>
    </row>
    <row r="1674" spans="5:14">
      <c r="E1674" s="86"/>
      <c r="F1674" s="87"/>
      <c r="G1674" s="88"/>
      <c r="H1674" s="89"/>
      <c r="I1674" s="90"/>
      <c r="K1674" s="91"/>
      <c r="L1674" s="88"/>
      <c r="M1674" s="92"/>
      <c r="N1674" s="86"/>
    </row>
    <row r="1675" spans="5:14">
      <c r="E1675" s="86"/>
      <c r="F1675" s="87"/>
      <c r="G1675" s="88"/>
      <c r="H1675" s="89"/>
      <c r="I1675" s="90"/>
      <c r="K1675" s="91"/>
      <c r="L1675" s="88"/>
      <c r="M1675" s="92"/>
      <c r="N1675" s="86"/>
    </row>
    <row r="1676" spans="5:14">
      <c r="E1676" s="86"/>
      <c r="F1676" s="87"/>
      <c r="G1676" s="88"/>
      <c r="H1676" s="89"/>
      <c r="I1676" s="90"/>
      <c r="K1676" s="91"/>
      <c r="L1676" s="88"/>
      <c r="M1676" s="92"/>
      <c r="N1676" s="86"/>
    </row>
    <row r="1677" spans="5:14">
      <c r="E1677" s="86"/>
      <c r="F1677" s="87"/>
      <c r="G1677" s="88"/>
      <c r="H1677" s="89"/>
      <c r="I1677" s="90"/>
      <c r="K1677" s="91"/>
      <c r="L1677" s="88"/>
      <c r="M1677" s="92"/>
      <c r="N1677" s="86"/>
    </row>
    <row r="1678" spans="5:14">
      <c r="E1678" s="86"/>
      <c r="F1678" s="87"/>
      <c r="G1678" s="88"/>
      <c r="H1678" s="89"/>
      <c r="I1678" s="90"/>
      <c r="K1678" s="91"/>
      <c r="L1678" s="88"/>
      <c r="M1678" s="92"/>
      <c r="N1678" s="86"/>
    </row>
    <row r="1679" spans="5:14">
      <c r="E1679" s="86"/>
      <c r="F1679" s="87"/>
      <c r="G1679" s="88"/>
      <c r="H1679" s="89"/>
      <c r="I1679" s="90"/>
      <c r="K1679" s="91"/>
      <c r="L1679" s="88"/>
      <c r="M1679" s="92"/>
      <c r="N1679" s="86"/>
    </row>
    <row r="1680" spans="5:14">
      <c r="E1680" s="86"/>
      <c r="F1680" s="87"/>
      <c r="G1680" s="88"/>
      <c r="H1680" s="89"/>
      <c r="I1680" s="90"/>
      <c r="K1680" s="91"/>
      <c r="L1680" s="88"/>
      <c r="M1680" s="92"/>
      <c r="N1680" s="86"/>
    </row>
    <row r="1681" spans="5:14">
      <c r="E1681" s="86"/>
      <c r="F1681" s="87"/>
      <c r="G1681" s="88"/>
      <c r="H1681" s="89"/>
      <c r="I1681" s="90"/>
      <c r="K1681" s="91"/>
      <c r="L1681" s="88"/>
      <c r="M1681" s="92"/>
      <c r="N1681" s="86"/>
    </row>
    <row r="1682" spans="5:14">
      <c r="E1682" s="86"/>
      <c r="F1682" s="87"/>
      <c r="G1682" s="88"/>
      <c r="H1682" s="89"/>
      <c r="I1682" s="90"/>
      <c r="K1682" s="91"/>
      <c r="L1682" s="88"/>
      <c r="M1682" s="92"/>
      <c r="N1682" s="86"/>
    </row>
    <row r="1683" spans="5:14">
      <c r="E1683" s="86"/>
      <c r="F1683" s="87"/>
      <c r="G1683" s="88"/>
      <c r="H1683" s="89"/>
      <c r="I1683" s="90"/>
      <c r="K1683" s="91"/>
      <c r="L1683" s="88"/>
      <c r="M1683" s="92"/>
      <c r="N1683" s="86"/>
    </row>
    <row r="1684" spans="5:14">
      <c r="E1684" s="86"/>
      <c r="F1684" s="87"/>
      <c r="G1684" s="88"/>
      <c r="H1684" s="89"/>
      <c r="I1684" s="90"/>
      <c r="K1684" s="91"/>
      <c r="L1684" s="88"/>
      <c r="M1684" s="92"/>
      <c r="N1684" s="86"/>
    </row>
    <row r="1685" spans="5:14">
      <c r="E1685" s="86"/>
      <c r="F1685" s="87"/>
      <c r="G1685" s="88"/>
      <c r="H1685" s="89"/>
      <c r="I1685" s="90"/>
      <c r="K1685" s="91"/>
      <c r="L1685" s="88"/>
      <c r="M1685" s="92"/>
      <c r="N1685" s="86"/>
    </row>
    <row r="1686" spans="5:14">
      <c r="E1686" s="86"/>
      <c r="F1686" s="87"/>
      <c r="G1686" s="88"/>
      <c r="H1686" s="89"/>
      <c r="I1686" s="90"/>
      <c r="K1686" s="91"/>
      <c r="L1686" s="88"/>
      <c r="M1686" s="92"/>
      <c r="N1686" s="86"/>
    </row>
    <row r="1687" spans="5:14">
      <c r="E1687" s="86"/>
      <c r="F1687" s="87"/>
      <c r="G1687" s="88"/>
      <c r="H1687" s="89"/>
      <c r="I1687" s="90"/>
      <c r="K1687" s="91"/>
      <c r="L1687" s="88"/>
      <c r="M1687" s="92"/>
      <c r="N1687" s="86"/>
    </row>
    <row r="1688" spans="5:14">
      <c r="E1688" s="86"/>
      <c r="F1688" s="87"/>
      <c r="G1688" s="88"/>
      <c r="H1688" s="89"/>
      <c r="I1688" s="90"/>
      <c r="K1688" s="91"/>
      <c r="L1688" s="88"/>
      <c r="M1688" s="92"/>
      <c r="N1688" s="86"/>
    </row>
    <row r="1689" spans="5:14">
      <c r="E1689" s="86"/>
      <c r="F1689" s="87"/>
      <c r="G1689" s="88"/>
      <c r="H1689" s="89"/>
      <c r="I1689" s="90"/>
      <c r="K1689" s="91"/>
      <c r="L1689" s="88"/>
      <c r="M1689" s="92"/>
      <c r="N1689" s="86"/>
    </row>
    <row r="1690" spans="5:14">
      <c r="E1690" s="86"/>
      <c r="F1690" s="87"/>
      <c r="G1690" s="88"/>
      <c r="H1690" s="89"/>
      <c r="I1690" s="90"/>
      <c r="K1690" s="91"/>
      <c r="L1690" s="88"/>
      <c r="M1690" s="92"/>
      <c r="N1690" s="86"/>
    </row>
    <row r="1691" spans="5:14">
      <c r="E1691" s="86"/>
      <c r="F1691" s="87"/>
      <c r="G1691" s="88"/>
      <c r="H1691" s="89"/>
      <c r="I1691" s="90"/>
      <c r="K1691" s="91"/>
      <c r="L1691" s="88"/>
      <c r="M1691" s="92"/>
      <c r="N1691" s="86"/>
    </row>
    <row r="1692" spans="5:14">
      <c r="E1692" s="86"/>
      <c r="F1692" s="87"/>
      <c r="G1692" s="88"/>
      <c r="H1692" s="89"/>
      <c r="I1692" s="90"/>
      <c r="K1692" s="91"/>
      <c r="L1692" s="88"/>
      <c r="M1692" s="92"/>
      <c r="N1692" s="86"/>
    </row>
    <row r="1693" spans="5:14">
      <c r="E1693" s="86"/>
      <c r="F1693" s="87"/>
      <c r="G1693" s="88"/>
      <c r="H1693" s="89"/>
      <c r="I1693" s="90"/>
      <c r="K1693" s="91"/>
      <c r="L1693" s="88"/>
      <c r="M1693" s="92"/>
      <c r="N1693" s="86"/>
    </row>
    <row r="1694" spans="5:14">
      <c r="E1694" s="86"/>
      <c r="F1694" s="87"/>
      <c r="G1694" s="88"/>
      <c r="H1694" s="89"/>
      <c r="I1694" s="90"/>
      <c r="K1694" s="91"/>
      <c r="L1694" s="88"/>
      <c r="M1694" s="92"/>
      <c r="N1694" s="86"/>
    </row>
    <row r="1695" spans="5:14">
      <c r="E1695" s="86"/>
      <c r="F1695" s="87"/>
      <c r="G1695" s="88"/>
      <c r="H1695" s="89"/>
      <c r="I1695" s="90"/>
      <c r="K1695" s="91"/>
      <c r="L1695" s="88"/>
      <c r="M1695" s="92"/>
      <c r="N1695" s="86"/>
    </row>
    <row r="1696" spans="5:14">
      <c r="E1696" s="86"/>
      <c r="F1696" s="87"/>
      <c r="G1696" s="88"/>
      <c r="H1696" s="89"/>
      <c r="I1696" s="90"/>
      <c r="K1696" s="91"/>
      <c r="L1696" s="88"/>
      <c r="M1696" s="92"/>
      <c r="N1696" s="86"/>
    </row>
    <row r="1697" spans="5:14">
      <c r="E1697" s="86"/>
      <c r="F1697" s="87"/>
      <c r="G1697" s="88"/>
      <c r="H1697" s="89"/>
      <c r="I1697" s="90"/>
      <c r="K1697" s="91"/>
      <c r="L1697" s="88"/>
      <c r="M1697" s="92"/>
      <c r="N1697" s="86"/>
    </row>
    <row r="1698" spans="5:14">
      <c r="E1698" s="86"/>
      <c r="F1698" s="87"/>
      <c r="G1698" s="88"/>
      <c r="H1698" s="89"/>
      <c r="I1698" s="90"/>
      <c r="K1698" s="91"/>
      <c r="L1698" s="88"/>
      <c r="M1698" s="92"/>
      <c r="N1698" s="86"/>
    </row>
    <row r="1699" spans="5:14">
      <c r="E1699" s="86"/>
      <c r="F1699" s="87"/>
      <c r="G1699" s="88"/>
      <c r="H1699" s="89"/>
      <c r="I1699" s="90"/>
      <c r="K1699" s="91"/>
      <c r="L1699" s="88"/>
      <c r="M1699" s="92"/>
      <c r="N1699" s="86"/>
    </row>
    <row r="1700" spans="5:14">
      <c r="E1700" s="86"/>
      <c r="F1700" s="87"/>
      <c r="G1700" s="88"/>
      <c r="H1700" s="89"/>
      <c r="I1700" s="90"/>
      <c r="K1700" s="91"/>
      <c r="L1700" s="88"/>
      <c r="M1700" s="92"/>
      <c r="N1700" s="86"/>
    </row>
    <row r="1701" spans="5:14">
      <c r="E1701" s="86"/>
      <c r="F1701" s="87"/>
      <c r="G1701" s="88"/>
      <c r="H1701" s="89"/>
      <c r="I1701" s="90"/>
      <c r="K1701" s="91"/>
      <c r="L1701" s="88"/>
      <c r="M1701" s="92"/>
      <c r="N1701" s="86"/>
    </row>
    <row r="1702" spans="5:14">
      <c r="E1702" s="86"/>
      <c r="F1702" s="87"/>
      <c r="G1702" s="88"/>
      <c r="H1702" s="89"/>
      <c r="I1702" s="90"/>
      <c r="K1702" s="91"/>
      <c r="L1702" s="88"/>
      <c r="M1702" s="92"/>
      <c r="N1702" s="86"/>
    </row>
    <row r="1703" spans="5:14">
      <c r="E1703" s="86"/>
      <c r="F1703" s="87"/>
      <c r="G1703" s="88"/>
      <c r="H1703" s="89"/>
      <c r="I1703" s="90"/>
      <c r="K1703" s="91"/>
      <c r="L1703" s="88"/>
      <c r="M1703" s="92"/>
      <c r="N1703" s="86"/>
    </row>
    <row r="1704" spans="5:14">
      <c r="E1704" s="86"/>
      <c r="F1704" s="87"/>
      <c r="G1704" s="88"/>
      <c r="H1704" s="89"/>
      <c r="I1704" s="90"/>
      <c r="K1704" s="91"/>
      <c r="L1704" s="88"/>
      <c r="M1704" s="92"/>
      <c r="N1704" s="86"/>
    </row>
    <row r="1705" spans="5:14">
      <c r="E1705" s="86"/>
      <c r="F1705" s="87"/>
      <c r="G1705" s="88"/>
      <c r="H1705" s="89"/>
      <c r="I1705" s="90"/>
      <c r="K1705" s="91"/>
      <c r="L1705" s="88"/>
      <c r="M1705" s="92"/>
      <c r="N1705" s="86"/>
    </row>
    <row r="1706" spans="5:14">
      <c r="E1706" s="86"/>
      <c r="F1706" s="87"/>
      <c r="G1706" s="88"/>
      <c r="H1706" s="89"/>
      <c r="I1706" s="90"/>
      <c r="K1706" s="91"/>
      <c r="L1706" s="88"/>
      <c r="M1706" s="92"/>
      <c r="N1706" s="86"/>
    </row>
    <row r="1707" spans="5:14">
      <c r="E1707" s="86"/>
      <c r="F1707" s="87"/>
      <c r="G1707" s="88"/>
      <c r="H1707" s="89"/>
      <c r="I1707" s="90"/>
      <c r="K1707" s="91"/>
      <c r="L1707" s="88"/>
      <c r="M1707" s="92"/>
      <c r="N1707" s="86"/>
    </row>
    <row r="1708" spans="5:14">
      <c r="E1708" s="86"/>
      <c r="F1708" s="87"/>
      <c r="G1708" s="88"/>
      <c r="H1708" s="89"/>
      <c r="I1708" s="90"/>
      <c r="K1708" s="91"/>
      <c r="L1708" s="88"/>
      <c r="M1708" s="92"/>
      <c r="N1708" s="86"/>
    </row>
    <row r="1709" spans="5:14">
      <c r="E1709" s="86"/>
      <c r="F1709" s="87"/>
      <c r="G1709" s="88"/>
      <c r="H1709" s="89"/>
      <c r="I1709" s="90"/>
      <c r="K1709" s="91"/>
      <c r="L1709" s="88"/>
      <c r="M1709" s="92"/>
      <c r="N1709" s="86"/>
    </row>
    <row r="1710" spans="5:14">
      <c r="E1710" s="86"/>
      <c r="F1710" s="87"/>
      <c r="G1710" s="88"/>
      <c r="H1710" s="89"/>
      <c r="I1710" s="90"/>
      <c r="K1710" s="91"/>
      <c r="L1710" s="88"/>
      <c r="M1710" s="92"/>
      <c r="N1710" s="86"/>
    </row>
    <row r="1711" spans="5:14">
      <c r="E1711" s="86"/>
      <c r="F1711" s="87"/>
      <c r="G1711" s="88"/>
      <c r="H1711" s="89"/>
      <c r="I1711" s="90"/>
      <c r="K1711" s="91"/>
      <c r="L1711" s="88"/>
      <c r="M1711" s="92"/>
      <c r="N1711" s="86"/>
    </row>
    <row r="1712" spans="5:14">
      <c r="E1712" s="86"/>
      <c r="F1712" s="87"/>
      <c r="G1712" s="88"/>
      <c r="H1712" s="89"/>
      <c r="I1712" s="90"/>
      <c r="K1712" s="91"/>
      <c r="L1712" s="88"/>
      <c r="M1712" s="92"/>
      <c r="N1712" s="86"/>
    </row>
    <row r="1713" spans="5:14">
      <c r="E1713" s="86"/>
      <c r="F1713" s="87"/>
      <c r="G1713" s="88"/>
      <c r="H1713" s="89"/>
      <c r="I1713" s="90"/>
      <c r="K1713" s="91"/>
      <c r="L1713" s="88"/>
      <c r="M1713" s="92"/>
      <c r="N1713" s="86"/>
    </row>
    <row r="1714" spans="5:14">
      <c r="E1714" s="86"/>
      <c r="F1714" s="87"/>
      <c r="G1714" s="88"/>
      <c r="H1714" s="89"/>
      <c r="I1714" s="90"/>
      <c r="K1714" s="91"/>
      <c r="L1714" s="88"/>
      <c r="M1714" s="92"/>
      <c r="N1714" s="86"/>
    </row>
    <row r="1715" spans="5:14">
      <c r="E1715" s="86"/>
      <c r="F1715" s="87"/>
      <c r="G1715" s="88"/>
      <c r="H1715" s="89"/>
      <c r="I1715" s="90"/>
      <c r="K1715" s="91"/>
      <c r="L1715" s="88"/>
      <c r="M1715" s="92"/>
      <c r="N1715" s="86"/>
    </row>
    <row r="1716" spans="5:14">
      <c r="E1716" s="86"/>
      <c r="F1716" s="87"/>
      <c r="G1716" s="88"/>
      <c r="H1716" s="89"/>
      <c r="I1716" s="90"/>
      <c r="K1716" s="91"/>
      <c r="L1716" s="88"/>
      <c r="M1716" s="92"/>
      <c r="N1716" s="86"/>
    </row>
    <row r="1717" spans="5:14">
      <c r="E1717" s="86"/>
      <c r="F1717" s="87"/>
      <c r="G1717" s="88"/>
      <c r="H1717" s="89"/>
      <c r="I1717" s="90"/>
      <c r="K1717" s="91"/>
      <c r="L1717" s="88"/>
      <c r="M1717" s="92"/>
      <c r="N1717" s="86"/>
    </row>
    <row r="1718" spans="5:14">
      <c r="E1718" s="86"/>
      <c r="F1718" s="87"/>
      <c r="G1718" s="88"/>
      <c r="H1718" s="89"/>
      <c r="I1718" s="90"/>
      <c r="K1718" s="91"/>
      <c r="L1718" s="88"/>
      <c r="M1718" s="92"/>
      <c r="N1718" s="86"/>
    </row>
    <row r="1719" spans="5:14">
      <c r="E1719" s="86"/>
      <c r="F1719" s="87"/>
      <c r="G1719" s="88"/>
      <c r="H1719" s="89"/>
      <c r="I1719" s="90"/>
      <c r="K1719" s="91"/>
      <c r="L1719" s="88"/>
      <c r="M1719" s="92"/>
      <c r="N1719" s="86"/>
    </row>
    <row r="1720" spans="5:14">
      <c r="E1720" s="86"/>
      <c r="F1720" s="87"/>
      <c r="G1720" s="88"/>
      <c r="H1720" s="89"/>
      <c r="I1720" s="90"/>
      <c r="K1720" s="91"/>
      <c r="L1720" s="88"/>
      <c r="M1720" s="92"/>
      <c r="N1720" s="86"/>
    </row>
    <row r="1721" spans="5:14">
      <c r="E1721" s="86"/>
      <c r="F1721" s="87"/>
      <c r="G1721" s="88"/>
      <c r="H1721" s="89"/>
      <c r="I1721" s="90"/>
      <c r="K1721" s="91"/>
      <c r="L1721" s="88"/>
      <c r="M1721" s="92"/>
      <c r="N1721" s="86"/>
    </row>
    <row r="1722" spans="5:14">
      <c r="E1722" s="86"/>
      <c r="F1722" s="87"/>
      <c r="G1722" s="88"/>
      <c r="H1722" s="89"/>
      <c r="I1722" s="90"/>
      <c r="K1722" s="91"/>
      <c r="L1722" s="88"/>
      <c r="M1722" s="92"/>
      <c r="N1722" s="86"/>
    </row>
    <row r="1723" spans="5:14">
      <c r="E1723" s="86"/>
      <c r="F1723" s="87"/>
      <c r="G1723" s="88"/>
      <c r="H1723" s="89"/>
      <c r="I1723" s="90"/>
      <c r="K1723" s="91"/>
      <c r="L1723" s="88"/>
      <c r="M1723" s="92"/>
      <c r="N1723" s="86"/>
    </row>
    <row r="1724" spans="5:14">
      <c r="E1724" s="86"/>
      <c r="F1724" s="87"/>
      <c r="G1724" s="88"/>
      <c r="H1724" s="89"/>
      <c r="I1724" s="90"/>
      <c r="K1724" s="91"/>
      <c r="L1724" s="88"/>
      <c r="M1724" s="92"/>
      <c r="N1724" s="86"/>
    </row>
    <row r="1725" spans="5:14">
      <c r="E1725" s="86"/>
      <c r="F1725" s="87"/>
      <c r="G1725" s="88"/>
      <c r="H1725" s="89"/>
      <c r="I1725" s="90"/>
      <c r="K1725" s="91"/>
      <c r="L1725" s="88"/>
      <c r="M1725" s="92"/>
      <c r="N1725" s="86"/>
    </row>
    <row r="1726" spans="5:14">
      <c r="E1726" s="86"/>
      <c r="F1726" s="87"/>
      <c r="G1726" s="88"/>
      <c r="H1726" s="89"/>
      <c r="I1726" s="90"/>
      <c r="K1726" s="91"/>
      <c r="L1726" s="88"/>
      <c r="M1726" s="92"/>
      <c r="N1726" s="86"/>
    </row>
    <row r="1727" spans="5:14">
      <c r="E1727" s="86"/>
      <c r="F1727" s="87"/>
      <c r="G1727" s="88"/>
      <c r="H1727" s="89"/>
      <c r="I1727" s="90"/>
      <c r="K1727" s="91"/>
      <c r="L1727" s="88"/>
      <c r="M1727" s="92"/>
      <c r="N1727" s="86"/>
    </row>
    <row r="1728" spans="5:14">
      <c r="E1728" s="86"/>
      <c r="F1728" s="87"/>
      <c r="G1728" s="88"/>
      <c r="H1728" s="89"/>
      <c r="I1728" s="90"/>
      <c r="K1728" s="91"/>
      <c r="L1728" s="88"/>
      <c r="M1728" s="92"/>
      <c r="N1728" s="86"/>
    </row>
    <row r="1729" spans="5:14">
      <c r="E1729" s="86"/>
      <c r="F1729" s="87"/>
      <c r="G1729" s="88"/>
      <c r="H1729" s="89"/>
      <c r="I1729" s="90"/>
      <c r="K1729" s="91"/>
      <c r="L1729" s="88"/>
      <c r="M1729" s="92"/>
      <c r="N1729" s="86"/>
    </row>
    <row r="1730" spans="5:14">
      <c r="E1730" s="86"/>
      <c r="F1730" s="87"/>
      <c r="G1730" s="88"/>
      <c r="H1730" s="89"/>
      <c r="I1730" s="90"/>
      <c r="K1730" s="91"/>
      <c r="L1730" s="88"/>
      <c r="M1730" s="92"/>
      <c r="N1730" s="86"/>
    </row>
    <row r="1731" spans="5:14">
      <c r="E1731" s="86"/>
      <c r="F1731" s="87"/>
      <c r="G1731" s="88"/>
      <c r="H1731" s="89"/>
      <c r="I1731" s="90"/>
      <c r="K1731" s="91"/>
      <c r="L1731" s="88"/>
      <c r="M1731" s="92"/>
      <c r="N1731" s="86"/>
    </row>
    <row r="1732" spans="5:14">
      <c r="E1732" s="86"/>
      <c r="F1732" s="87"/>
      <c r="G1732" s="88"/>
      <c r="H1732" s="89"/>
      <c r="I1732" s="90"/>
      <c r="K1732" s="91"/>
      <c r="L1732" s="88"/>
      <c r="M1732" s="92"/>
      <c r="N1732" s="86"/>
    </row>
    <row r="1733" spans="5:14">
      <c r="E1733" s="86"/>
      <c r="F1733" s="87"/>
      <c r="G1733" s="88"/>
      <c r="H1733" s="89"/>
      <c r="I1733" s="90"/>
      <c r="K1733" s="91"/>
      <c r="L1733" s="88"/>
      <c r="M1733" s="92"/>
      <c r="N1733" s="86"/>
    </row>
    <row r="1734" spans="5:14">
      <c r="E1734" s="86"/>
      <c r="F1734" s="87"/>
      <c r="G1734" s="88"/>
      <c r="H1734" s="89"/>
      <c r="I1734" s="90"/>
      <c r="K1734" s="91"/>
      <c r="L1734" s="88"/>
      <c r="M1734" s="92"/>
      <c r="N1734" s="86"/>
    </row>
    <row r="1735" spans="5:14">
      <c r="E1735" s="86"/>
      <c r="F1735" s="87"/>
      <c r="G1735" s="88"/>
      <c r="H1735" s="89"/>
      <c r="I1735" s="90"/>
      <c r="K1735" s="91"/>
      <c r="L1735" s="88"/>
      <c r="M1735" s="92"/>
      <c r="N1735" s="86"/>
    </row>
    <row r="1736" spans="5:14">
      <c r="E1736" s="86"/>
      <c r="F1736" s="87"/>
      <c r="G1736" s="88"/>
      <c r="H1736" s="89"/>
      <c r="I1736" s="90"/>
      <c r="K1736" s="91"/>
      <c r="L1736" s="88"/>
      <c r="M1736" s="92"/>
      <c r="N1736" s="86"/>
    </row>
    <row r="1737" spans="5:14">
      <c r="E1737" s="86"/>
      <c r="F1737" s="87"/>
      <c r="G1737" s="88"/>
      <c r="H1737" s="89"/>
      <c r="I1737" s="90"/>
      <c r="K1737" s="91"/>
      <c r="L1737" s="88"/>
      <c r="M1737" s="92"/>
      <c r="N1737" s="86"/>
    </row>
    <row r="1738" spans="5:14">
      <c r="E1738" s="86"/>
      <c r="F1738" s="87"/>
      <c r="G1738" s="88"/>
      <c r="H1738" s="89"/>
      <c r="I1738" s="90"/>
      <c r="K1738" s="91"/>
      <c r="L1738" s="88"/>
      <c r="M1738" s="92"/>
      <c r="N1738" s="86"/>
    </row>
    <row r="1739" spans="5:14">
      <c r="E1739" s="86"/>
      <c r="F1739" s="87"/>
      <c r="G1739" s="88"/>
      <c r="H1739" s="89"/>
      <c r="I1739" s="90"/>
      <c r="K1739" s="91"/>
      <c r="L1739" s="88"/>
      <c r="M1739" s="92"/>
      <c r="N1739" s="86"/>
    </row>
    <row r="1740" spans="5:14">
      <c r="E1740" s="86"/>
      <c r="F1740" s="87"/>
      <c r="G1740" s="88"/>
      <c r="H1740" s="89"/>
      <c r="I1740" s="90"/>
      <c r="K1740" s="91"/>
      <c r="L1740" s="88"/>
      <c r="M1740" s="92"/>
      <c r="N1740" s="86"/>
    </row>
    <row r="1741" spans="5:14">
      <c r="E1741" s="86"/>
      <c r="F1741" s="87"/>
      <c r="G1741" s="88"/>
      <c r="H1741" s="89"/>
      <c r="I1741" s="90"/>
      <c r="K1741" s="91"/>
      <c r="L1741" s="88"/>
      <c r="M1741" s="92"/>
      <c r="N1741" s="86"/>
    </row>
    <row r="1742" spans="5:14">
      <c r="E1742" s="86"/>
      <c r="F1742" s="87"/>
      <c r="G1742" s="88"/>
      <c r="H1742" s="89"/>
      <c r="I1742" s="90"/>
      <c r="K1742" s="91"/>
      <c r="L1742" s="88"/>
      <c r="M1742" s="92"/>
      <c r="N1742" s="86"/>
    </row>
    <row r="1743" spans="5:14">
      <c r="E1743" s="86"/>
      <c r="F1743" s="87"/>
      <c r="G1743" s="88"/>
      <c r="H1743" s="89"/>
      <c r="I1743" s="90"/>
      <c r="K1743" s="91"/>
      <c r="L1743" s="88"/>
      <c r="M1743" s="92"/>
      <c r="N1743" s="86"/>
    </row>
    <row r="1744" spans="5:14">
      <c r="E1744" s="86"/>
      <c r="F1744" s="87"/>
      <c r="G1744" s="88"/>
      <c r="H1744" s="89"/>
      <c r="I1744" s="90"/>
      <c r="K1744" s="91"/>
      <c r="L1744" s="88"/>
      <c r="M1744" s="92"/>
      <c r="N1744" s="86"/>
    </row>
    <row r="1745" spans="5:14">
      <c r="E1745" s="86"/>
      <c r="F1745" s="87"/>
      <c r="G1745" s="88"/>
      <c r="H1745" s="89"/>
      <c r="I1745" s="90"/>
      <c r="K1745" s="91"/>
      <c r="L1745" s="88"/>
      <c r="M1745" s="92"/>
      <c r="N1745" s="86"/>
    </row>
    <row r="1746" spans="5:14">
      <c r="E1746" s="86"/>
      <c r="F1746" s="87"/>
      <c r="G1746" s="88"/>
      <c r="H1746" s="89"/>
      <c r="I1746" s="90"/>
      <c r="K1746" s="91"/>
      <c r="L1746" s="88"/>
      <c r="M1746" s="92"/>
      <c r="N1746" s="86"/>
    </row>
    <row r="1747" spans="5:14">
      <c r="E1747" s="86"/>
      <c r="F1747" s="87"/>
      <c r="G1747" s="88"/>
      <c r="H1747" s="89"/>
      <c r="I1747" s="90"/>
      <c r="K1747" s="91"/>
      <c r="L1747" s="88"/>
      <c r="M1747" s="92"/>
      <c r="N1747" s="86"/>
    </row>
    <row r="1748" spans="5:14">
      <c r="E1748" s="86"/>
      <c r="F1748" s="87"/>
      <c r="G1748" s="88"/>
      <c r="H1748" s="89"/>
      <c r="I1748" s="90"/>
      <c r="K1748" s="91"/>
      <c r="L1748" s="88"/>
      <c r="M1748" s="92"/>
      <c r="N1748" s="86"/>
    </row>
    <row r="1749" spans="5:14">
      <c r="E1749" s="86"/>
      <c r="F1749" s="87"/>
      <c r="G1749" s="88"/>
      <c r="H1749" s="89"/>
      <c r="I1749" s="90"/>
      <c r="K1749" s="91"/>
      <c r="L1749" s="88"/>
      <c r="M1749" s="92"/>
      <c r="N1749" s="86"/>
    </row>
    <row r="1750" spans="5:14">
      <c r="E1750" s="86"/>
      <c r="F1750" s="87"/>
      <c r="G1750" s="88"/>
      <c r="H1750" s="89"/>
      <c r="I1750" s="90"/>
      <c r="K1750" s="91"/>
      <c r="L1750" s="88"/>
      <c r="M1750" s="92"/>
      <c r="N1750" s="86"/>
    </row>
    <row r="1751" spans="5:14">
      <c r="E1751" s="86"/>
      <c r="F1751" s="87"/>
      <c r="G1751" s="88"/>
      <c r="H1751" s="89"/>
      <c r="I1751" s="90"/>
      <c r="K1751" s="91"/>
      <c r="L1751" s="88"/>
      <c r="M1751" s="92"/>
      <c r="N1751" s="86"/>
    </row>
    <row r="1752" spans="5:14">
      <c r="E1752" s="86"/>
      <c r="F1752" s="87"/>
      <c r="G1752" s="88"/>
      <c r="H1752" s="89"/>
      <c r="I1752" s="90"/>
      <c r="K1752" s="91"/>
      <c r="L1752" s="88"/>
      <c r="M1752" s="92"/>
      <c r="N1752" s="86"/>
    </row>
    <row r="1753" spans="5:14">
      <c r="E1753" s="86"/>
      <c r="F1753" s="87"/>
      <c r="G1753" s="88"/>
      <c r="H1753" s="89"/>
      <c r="I1753" s="90"/>
      <c r="K1753" s="91"/>
      <c r="L1753" s="88"/>
      <c r="M1753" s="92"/>
      <c r="N1753" s="86"/>
    </row>
    <row r="1754" spans="5:14">
      <c r="E1754" s="86"/>
      <c r="F1754" s="87"/>
      <c r="G1754" s="88"/>
      <c r="H1754" s="89"/>
      <c r="I1754" s="90"/>
      <c r="K1754" s="91"/>
      <c r="L1754" s="88"/>
      <c r="M1754" s="92"/>
      <c r="N1754" s="86"/>
    </row>
    <row r="1755" spans="5:14">
      <c r="E1755" s="86"/>
      <c r="F1755" s="87"/>
      <c r="G1755" s="88"/>
      <c r="H1755" s="89"/>
      <c r="I1755" s="90"/>
      <c r="K1755" s="91"/>
      <c r="L1755" s="88"/>
      <c r="M1755" s="92"/>
      <c r="N1755" s="86"/>
    </row>
    <row r="1756" spans="5:14">
      <c r="E1756" s="86"/>
      <c r="F1756" s="87"/>
      <c r="G1756" s="88"/>
      <c r="H1756" s="89"/>
      <c r="I1756" s="90"/>
      <c r="K1756" s="91"/>
      <c r="L1756" s="88"/>
      <c r="M1756" s="92"/>
      <c r="N1756" s="86"/>
    </row>
    <row r="1757" spans="5:14">
      <c r="E1757" s="86"/>
      <c r="F1757" s="87"/>
      <c r="G1757" s="88"/>
      <c r="H1757" s="89"/>
      <c r="I1757" s="90"/>
      <c r="K1757" s="91"/>
      <c r="L1757" s="88"/>
      <c r="M1757" s="92"/>
      <c r="N1757" s="86"/>
    </row>
    <row r="1758" spans="5:14">
      <c r="E1758" s="86"/>
      <c r="F1758" s="87"/>
      <c r="G1758" s="88"/>
      <c r="H1758" s="89"/>
      <c r="I1758" s="90"/>
      <c r="K1758" s="91"/>
      <c r="L1758" s="88"/>
      <c r="M1758" s="92"/>
      <c r="N1758" s="86"/>
    </row>
    <row r="1759" spans="5:14">
      <c r="E1759" s="86"/>
      <c r="F1759" s="87"/>
      <c r="G1759" s="88"/>
      <c r="H1759" s="89"/>
      <c r="I1759" s="90"/>
      <c r="K1759" s="91"/>
      <c r="L1759" s="88"/>
      <c r="M1759" s="92"/>
      <c r="N1759" s="86"/>
    </row>
    <row r="1760" spans="5:14">
      <c r="E1760" s="86"/>
      <c r="F1760" s="87"/>
      <c r="G1760" s="88"/>
      <c r="H1760" s="89"/>
      <c r="I1760" s="90"/>
      <c r="K1760" s="91"/>
      <c r="L1760" s="88"/>
      <c r="M1760" s="92"/>
      <c r="N1760" s="86"/>
    </row>
    <row r="1761" spans="5:14">
      <c r="E1761" s="86"/>
      <c r="F1761" s="87"/>
      <c r="G1761" s="88"/>
      <c r="H1761" s="89"/>
      <c r="I1761" s="90"/>
      <c r="K1761" s="91"/>
      <c r="L1761" s="88"/>
      <c r="M1761" s="92"/>
      <c r="N1761" s="86"/>
    </row>
    <row r="1762" spans="5:14">
      <c r="E1762" s="86"/>
      <c r="F1762" s="87"/>
      <c r="G1762" s="88"/>
      <c r="H1762" s="89"/>
      <c r="I1762" s="90"/>
      <c r="K1762" s="91"/>
      <c r="L1762" s="88"/>
      <c r="M1762" s="92"/>
      <c r="N1762" s="86"/>
    </row>
    <row r="1763" spans="5:14">
      <c r="E1763" s="86"/>
      <c r="F1763" s="87"/>
      <c r="G1763" s="88"/>
      <c r="H1763" s="89"/>
      <c r="I1763" s="90"/>
      <c r="K1763" s="91"/>
      <c r="L1763" s="88"/>
      <c r="M1763" s="92"/>
      <c r="N1763" s="86"/>
    </row>
    <row r="1764" spans="5:14">
      <c r="E1764" s="86"/>
      <c r="F1764" s="87"/>
      <c r="G1764" s="88"/>
      <c r="H1764" s="89"/>
      <c r="I1764" s="90"/>
      <c r="K1764" s="91"/>
      <c r="L1764" s="88"/>
      <c r="M1764" s="92"/>
      <c r="N1764" s="86"/>
    </row>
    <row r="1765" spans="5:14">
      <c r="E1765" s="86"/>
      <c r="F1765" s="87"/>
      <c r="G1765" s="88"/>
      <c r="H1765" s="89"/>
      <c r="I1765" s="90"/>
      <c r="K1765" s="91"/>
      <c r="L1765" s="88"/>
      <c r="M1765" s="92"/>
      <c r="N1765" s="86"/>
    </row>
    <row r="1766" spans="5:14">
      <c r="E1766" s="86"/>
      <c r="F1766" s="87"/>
      <c r="G1766" s="88"/>
      <c r="H1766" s="89"/>
      <c r="I1766" s="90"/>
      <c r="K1766" s="91"/>
      <c r="L1766" s="88"/>
      <c r="M1766" s="92"/>
      <c r="N1766" s="86"/>
    </row>
    <row r="1767" spans="5:14">
      <c r="E1767" s="86"/>
      <c r="F1767" s="87"/>
      <c r="G1767" s="88"/>
      <c r="H1767" s="89"/>
      <c r="I1767" s="90"/>
      <c r="K1767" s="91"/>
      <c r="L1767" s="88"/>
      <c r="M1767" s="92"/>
      <c r="N1767" s="86"/>
    </row>
    <row r="1768" spans="5:14">
      <c r="E1768" s="86"/>
      <c r="F1768" s="87"/>
      <c r="G1768" s="88"/>
      <c r="H1768" s="89"/>
      <c r="I1768" s="90"/>
      <c r="K1768" s="91"/>
      <c r="L1768" s="88"/>
      <c r="M1768" s="92"/>
      <c r="N1768" s="86"/>
    </row>
    <row r="1769" spans="5:14">
      <c r="E1769" s="86"/>
      <c r="F1769" s="87"/>
      <c r="G1769" s="88"/>
      <c r="H1769" s="89"/>
      <c r="I1769" s="90"/>
      <c r="K1769" s="91"/>
      <c r="L1769" s="88"/>
      <c r="M1769" s="92"/>
      <c r="N1769" s="86"/>
    </row>
    <row r="1770" spans="5:14">
      <c r="E1770" s="86"/>
      <c r="F1770" s="87"/>
      <c r="G1770" s="88"/>
      <c r="H1770" s="89"/>
      <c r="I1770" s="90"/>
      <c r="K1770" s="91"/>
      <c r="L1770" s="88"/>
      <c r="M1770" s="92"/>
      <c r="N1770" s="86"/>
    </row>
    <row r="1771" spans="5:14">
      <c r="E1771" s="86"/>
      <c r="F1771" s="87"/>
      <c r="G1771" s="88"/>
      <c r="H1771" s="89"/>
      <c r="I1771" s="90"/>
      <c r="K1771" s="91"/>
      <c r="L1771" s="88"/>
      <c r="M1771" s="92"/>
      <c r="N1771" s="86"/>
    </row>
    <row r="1772" spans="5:14">
      <c r="E1772" s="86"/>
      <c r="F1772" s="87"/>
      <c r="G1772" s="88"/>
      <c r="H1772" s="89"/>
      <c r="I1772" s="90"/>
      <c r="K1772" s="91"/>
      <c r="L1772" s="88"/>
      <c r="M1772" s="92"/>
      <c r="N1772" s="86"/>
    </row>
    <row r="1773" spans="5:14">
      <c r="E1773" s="86"/>
      <c r="F1773" s="87"/>
      <c r="G1773" s="88"/>
      <c r="H1773" s="89"/>
      <c r="I1773" s="90"/>
      <c r="K1773" s="91"/>
      <c r="L1773" s="88"/>
      <c r="M1773" s="92"/>
      <c r="N1773" s="86"/>
    </row>
    <row r="1774" spans="5:14">
      <c r="E1774" s="86"/>
      <c r="F1774" s="87"/>
      <c r="G1774" s="88"/>
      <c r="H1774" s="89"/>
      <c r="I1774" s="90"/>
      <c r="K1774" s="91"/>
      <c r="L1774" s="88"/>
      <c r="M1774" s="92"/>
      <c r="N1774" s="86"/>
    </row>
    <row r="1775" spans="5:14">
      <c r="E1775" s="86"/>
      <c r="F1775" s="87"/>
      <c r="G1775" s="88"/>
      <c r="H1775" s="89"/>
      <c r="I1775" s="90"/>
      <c r="K1775" s="91"/>
      <c r="L1775" s="88"/>
      <c r="M1775" s="92"/>
      <c r="N1775" s="86"/>
    </row>
    <row r="1776" spans="5:14">
      <c r="E1776" s="86"/>
      <c r="F1776" s="87"/>
      <c r="G1776" s="88"/>
      <c r="H1776" s="89"/>
      <c r="I1776" s="90"/>
      <c r="K1776" s="91"/>
      <c r="L1776" s="88"/>
      <c r="M1776" s="92"/>
      <c r="N1776" s="86"/>
    </row>
    <row r="1777" spans="5:14">
      <c r="E1777" s="86"/>
      <c r="F1777" s="87"/>
      <c r="G1777" s="88"/>
      <c r="H1777" s="89"/>
      <c r="I1777" s="90"/>
      <c r="K1777" s="91"/>
      <c r="L1777" s="88"/>
      <c r="M1777" s="92"/>
      <c r="N1777" s="86"/>
    </row>
    <row r="1778" spans="5:14">
      <c r="E1778" s="86"/>
      <c r="F1778" s="87"/>
      <c r="G1778" s="88"/>
      <c r="H1778" s="89"/>
      <c r="I1778" s="90"/>
      <c r="K1778" s="91"/>
      <c r="L1778" s="88"/>
      <c r="M1778" s="92"/>
      <c r="N1778" s="86"/>
    </row>
    <row r="1779" spans="5:14">
      <c r="E1779" s="86"/>
      <c r="F1779" s="87"/>
      <c r="G1779" s="88"/>
      <c r="H1779" s="89"/>
      <c r="I1779" s="90"/>
      <c r="K1779" s="91"/>
      <c r="L1779" s="88"/>
      <c r="M1779" s="92"/>
      <c r="N1779" s="86"/>
    </row>
    <row r="1780" spans="5:14">
      <c r="E1780" s="86"/>
      <c r="F1780" s="87"/>
      <c r="G1780" s="88"/>
      <c r="H1780" s="89"/>
      <c r="I1780" s="90"/>
      <c r="K1780" s="91"/>
      <c r="L1780" s="88"/>
      <c r="M1780" s="92"/>
      <c r="N1780" s="86"/>
    </row>
    <row r="1781" spans="5:14">
      <c r="E1781" s="86"/>
      <c r="F1781" s="87"/>
      <c r="G1781" s="88"/>
      <c r="H1781" s="89"/>
      <c r="I1781" s="90"/>
      <c r="K1781" s="91"/>
      <c r="L1781" s="88"/>
      <c r="M1781" s="92"/>
      <c r="N1781" s="86"/>
    </row>
    <row r="1782" spans="5:14">
      <c r="E1782" s="86"/>
      <c r="F1782" s="87"/>
      <c r="G1782" s="88"/>
      <c r="H1782" s="89"/>
      <c r="I1782" s="90"/>
      <c r="K1782" s="91"/>
      <c r="L1782" s="88"/>
      <c r="M1782" s="92"/>
      <c r="N1782" s="86"/>
    </row>
    <row r="1783" spans="5:14">
      <c r="E1783" s="86"/>
      <c r="F1783" s="87"/>
      <c r="G1783" s="88"/>
      <c r="H1783" s="89"/>
      <c r="I1783" s="90"/>
      <c r="K1783" s="91"/>
      <c r="L1783" s="88"/>
      <c r="M1783" s="92"/>
      <c r="N1783" s="86"/>
    </row>
    <row r="1784" spans="5:14">
      <c r="E1784" s="86"/>
      <c r="F1784" s="87"/>
      <c r="G1784" s="88"/>
      <c r="H1784" s="89"/>
      <c r="I1784" s="90"/>
      <c r="K1784" s="91"/>
      <c r="L1784" s="88"/>
      <c r="M1784" s="92"/>
      <c r="N1784" s="86"/>
    </row>
    <row r="1785" spans="5:14">
      <c r="E1785" s="86"/>
      <c r="F1785" s="87"/>
      <c r="G1785" s="88"/>
      <c r="H1785" s="89"/>
      <c r="I1785" s="90"/>
      <c r="K1785" s="91"/>
      <c r="L1785" s="88"/>
      <c r="M1785" s="92"/>
      <c r="N1785" s="86"/>
    </row>
    <row r="1786" spans="5:14">
      <c r="E1786" s="86"/>
      <c r="F1786" s="87"/>
      <c r="G1786" s="88"/>
      <c r="H1786" s="89"/>
      <c r="I1786" s="90"/>
      <c r="K1786" s="91"/>
      <c r="L1786" s="88"/>
      <c r="M1786" s="92"/>
      <c r="N1786" s="86"/>
    </row>
    <row r="1787" spans="5:14">
      <c r="E1787" s="86"/>
      <c r="F1787" s="87"/>
      <c r="G1787" s="88"/>
      <c r="H1787" s="89"/>
      <c r="I1787" s="90"/>
      <c r="K1787" s="91"/>
      <c r="L1787" s="88"/>
      <c r="M1787" s="92"/>
      <c r="N1787" s="86"/>
    </row>
    <row r="1788" spans="5:14">
      <c r="E1788" s="86"/>
      <c r="F1788" s="87"/>
      <c r="G1788" s="88"/>
      <c r="H1788" s="89"/>
      <c r="I1788" s="90"/>
      <c r="K1788" s="91"/>
      <c r="L1788" s="88"/>
      <c r="M1788" s="92"/>
      <c r="N1788" s="86"/>
    </row>
    <row r="1789" spans="5:14">
      <c r="E1789" s="86"/>
      <c r="F1789" s="87"/>
      <c r="G1789" s="88"/>
      <c r="H1789" s="89"/>
      <c r="I1789" s="90"/>
      <c r="K1789" s="91"/>
      <c r="L1789" s="88"/>
      <c r="M1789" s="92"/>
      <c r="N1789" s="86"/>
    </row>
    <row r="1790" spans="5:14">
      <c r="E1790" s="86"/>
      <c r="F1790" s="87"/>
      <c r="G1790" s="88"/>
      <c r="H1790" s="89"/>
      <c r="I1790" s="90"/>
      <c r="K1790" s="91"/>
      <c r="L1790" s="88"/>
      <c r="M1790" s="92"/>
      <c r="N1790" s="86"/>
    </row>
    <row r="1791" spans="5:14">
      <c r="E1791" s="86"/>
      <c r="F1791" s="87"/>
      <c r="G1791" s="88"/>
      <c r="H1791" s="89"/>
      <c r="I1791" s="90"/>
      <c r="K1791" s="91"/>
      <c r="L1791" s="88"/>
      <c r="M1791" s="92"/>
      <c r="N1791" s="86"/>
    </row>
    <row r="1792" spans="5:14">
      <c r="E1792" s="86"/>
      <c r="F1792" s="87"/>
      <c r="G1792" s="88"/>
      <c r="H1792" s="89"/>
      <c r="I1792" s="90"/>
      <c r="K1792" s="91"/>
      <c r="L1792" s="88"/>
      <c r="M1792" s="92"/>
      <c r="N1792" s="86"/>
    </row>
    <row r="1793" spans="5:14">
      <c r="E1793" s="86"/>
      <c r="F1793" s="87"/>
      <c r="G1793" s="88"/>
      <c r="H1793" s="89"/>
      <c r="I1793" s="90"/>
      <c r="K1793" s="91"/>
      <c r="L1793" s="88"/>
      <c r="M1793" s="92"/>
      <c r="N1793" s="86"/>
    </row>
    <row r="1794" spans="5:14">
      <c r="E1794" s="86"/>
      <c r="F1794" s="87"/>
      <c r="G1794" s="88"/>
      <c r="H1794" s="89"/>
      <c r="I1794" s="90"/>
      <c r="K1794" s="91"/>
      <c r="L1794" s="88"/>
      <c r="M1794" s="92"/>
      <c r="N1794" s="86"/>
    </row>
    <row r="1795" spans="5:14">
      <c r="E1795" s="86"/>
      <c r="F1795" s="87"/>
      <c r="G1795" s="88"/>
      <c r="H1795" s="89"/>
      <c r="I1795" s="90"/>
      <c r="K1795" s="91"/>
      <c r="L1795" s="88"/>
      <c r="M1795" s="92"/>
      <c r="N1795" s="86"/>
    </row>
    <row r="1796" spans="5:14">
      <c r="E1796" s="86"/>
      <c r="F1796" s="87"/>
      <c r="G1796" s="88"/>
      <c r="H1796" s="89"/>
      <c r="I1796" s="90"/>
      <c r="K1796" s="91"/>
      <c r="L1796" s="88"/>
      <c r="M1796" s="92"/>
      <c r="N1796" s="86"/>
    </row>
    <row r="1797" spans="5:14">
      <c r="E1797" s="86"/>
      <c r="F1797" s="87"/>
      <c r="G1797" s="88"/>
      <c r="H1797" s="89"/>
      <c r="I1797" s="90"/>
      <c r="K1797" s="91"/>
      <c r="L1797" s="88"/>
      <c r="M1797" s="92"/>
      <c r="N1797" s="86"/>
    </row>
    <row r="1798" spans="5:14">
      <c r="E1798" s="86"/>
      <c r="F1798" s="87"/>
      <c r="G1798" s="88"/>
      <c r="H1798" s="89"/>
      <c r="I1798" s="90"/>
      <c r="K1798" s="91"/>
      <c r="L1798" s="88"/>
      <c r="M1798" s="92"/>
      <c r="N1798" s="86"/>
    </row>
    <row r="1799" spans="5:14">
      <c r="E1799" s="86"/>
      <c r="F1799" s="87"/>
      <c r="G1799" s="88"/>
      <c r="H1799" s="89"/>
      <c r="I1799" s="90"/>
      <c r="K1799" s="91"/>
      <c r="L1799" s="88"/>
      <c r="M1799" s="92"/>
      <c r="N1799" s="86"/>
    </row>
    <row r="1800" spans="5:14">
      <c r="E1800" s="86"/>
      <c r="F1800" s="87"/>
      <c r="G1800" s="88"/>
      <c r="H1800" s="89"/>
      <c r="I1800" s="90"/>
      <c r="K1800" s="91"/>
      <c r="L1800" s="88"/>
      <c r="M1800" s="92"/>
      <c r="N1800" s="86"/>
    </row>
    <row r="1801" spans="5:14">
      <c r="E1801" s="86"/>
      <c r="F1801" s="87"/>
      <c r="G1801" s="88"/>
      <c r="H1801" s="89"/>
      <c r="I1801" s="90"/>
      <c r="K1801" s="91"/>
      <c r="L1801" s="88"/>
      <c r="M1801" s="92"/>
      <c r="N1801" s="86"/>
    </row>
    <row r="1802" spans="5:14">
      <c r="E1802" s="86"/>
      <c r="F1802" s="87"/>
      <c r="G1802" s="88"/>
      <c r="H1802" s="89"/>
      <c r="I1802" s="90"/>
      <c r="K1802" s="91"/>
      <c r="L1802" s="88"/>
      <c r="M1802" s="92"/>
      <c r="N1802" s="86"/>
    </row>
    <row r="1803" spans="5:14">
      <c r="E1803" s="86"/>
      <c r="F1803" s="87"/>
      <c r="G1803" s="88"/>
      <c r="H1803" s="89"/>
      <c r="I1803" s="90"/>
      <c r="K1803" s="91"/>
      <c r="L1803" s="88"/>
      <c r="M1803" s="92"/>
      <c r="N1803" s="86"/>
    </row>
    <row r="1804" spans="5:14">
      <c r="E1804" s="86"/>
      <c r="F1804" s="87"/>
      <c r="G1804" s="88"/>
      <c r="H1804" s="89"/>
      <c r="I1804" s="90"/>
      <c r="K1804" s="91"/>
      <c r="L1804" s="88"/>
      <c r="M1804" s="92"/>
      <c r="N1804" s="86"/>
    </row>
    <row r="1805" spans="5:14">
      <c r="E1805" s="86"/>
      <c r="F1805" s="87"/>
      <c r="G1805" s="88"/>
      <c r="H1805" s="89"/>
      <c r="I1805" s="90"/>
      <c r="K1805" s="91"/>
      <c r="L1805" s="88"/>
      <c r="M1805" s="92"/>
      <c r="N1805" s="86"/>
    </row>
    <row r="1806" spans="5:14">
      <c r="E1806" s="86"/>
      <c r="F1806" s="87"/>
      <c r="G1806" s="88"/>
      <c r="H1806" s="89"/>
      <c r="I1806" s="90"/>
      <c r="K1806" s="91"/>
      <c r="L1806" s="88"/>
      <c r="M1806" s="92"/>
      <c r="N1806" s="86"/>
    </row>
    <row r="1807" spans="5:14">
      <c r="E1807" s="86"/>
      <c r="F1807" s="87"/>
      <c r="G1807" s="88"/>
      <c r="H1807" s="89"/>
      <c r="I1807" s="90"/>
      <c r="K1807" s="91"/>
      <c r="L1807" s="88"/>
      <c r="M1807" s="92"/>
      <c r="N1807" s="86"/>
    </row>
    <row r="1808" spans="5:14">
      <c r="E1808" s="86"/>
      <c r="F1808" s="87"/>
      <c r="G1808" s="88"/>
      <c r="H1808" s="89"/>
      <c r="I1808" s="90"/>
      <c r="K1808" s="91"/>
      <c r="L1808" s="88"/>
      <c r="M1808" s="92"/>
      <c r="N1808" s="86"/>
    </row>
    <row r="1809" spans="5:14">
      <c r="E1809" s="86"/>
      <c r="F1809" s="87"/>
      <c r="G1809" s="88"/>
      <c r="H1809" s="89"/>
      <c r="I1809" s="90"/>
      <c r="K1809" s="91"/>
      <c r="L1809" s="88"/>
      <c r="M1809" s="92"/>
      <c r="N1809" s="86"/>
    </row>
    <row r="1810" spans="5:14">
      <c r="E1810" s="86"/>
      <c r="F1810" s="87"/>
      <c r="G1810" s="88"/>
      <c r="H1810" s="89"/>
      <c r="I1810" s="90"/>
      <c r="K1810" s="91"/>
      <c r="L1810" s="88"/>
      <c r="M1810" s="92"/>
      <c r="N1810" s="86"/>
    </row>
    <row r="1811" spans="5:14">
      <c r="E1811" s="86"/>
      <c r="F1811" s="87"/>
      <c r="G1811" s="88"/>
      <c r="H1811" s="89"/>
      <c r="I1811" s="90"/>
      <c r="K1811" s="91"/>
      <c r="L1811" s="88"/>
      <c r="M1811" s="92"/>
      <c r="N1811" s="86"/>
    </row>
    <row r="1812" spans="5:14">
      <c r="E1812" s="86"/>
      <c r="F1812" s="87"/>
      <c r="G1812" s="88"/>
      <c r="H1812" s="89"/>
      <c r="I1812" s="90"/>
      <c r="K1812" s="91"/>
      <c r="L1812" s="88"/>
      <c r="M1812" s="92"/>
      <c r="N1812" s="86"/>
    </row>
    <row r="1813" spans="5:14">
      <c r="E1813" s="86"/>
      <c r="F1813" s="87"/>
      <c r="G1813" s="88"/>
      <c r="H1813" s="89"/>
      <c r="I1813" s="90"/>
      <c r="K1813" s="91"/>
      <c r="L1813" s="88"/>
      <c r="M1813" s="92"/>
      <c r="N1813" s="86"/>
    </row>
    <row r="1814" spans="5:14">
      <c r="E1814" s="86"/>
      <c r="F1814" s="87"/>
      <c r="G1814" s="88"/>
      <c r="H1814" s="89"/>
      <c r="I1814" s="90"/>
      <c r="K1814" s="91"/>
      <c r="L1814" s="88"/>
      <c r="M1814" s="92"/>
      <c r="N1814" s="86"/>
    </row>
    <row r="1815" spans="5:14">
      <c r="E1815" s="86"/>
      <c r="F1815" s="87"/>
      <c r="G1815" s="88"/>
      <c r="H1815" s="89"/>
      <c r="I1815" s="90"/>
      <c r="K1815" s="91"/>
      <c r="L1815" s="88"/>
      <c r="M1815" s="92"/>
      <c r="N1815" s="86"/>
    </row>
    <row r="1816" spans="5:14">
      <c r="E1816" s="86"/>
      <c r="F1816" s="87"/>
      <c r="G1816" s="88"/>
      <c r="H1816" s="89"/>
      <c r="I1816" s="90"/>
      <c r="K1816" s="91"/>
      <c r="L1816" s="88"/>
      <c r="M1816" s="92"/>
      <c r="N1816" s="86"/>
    </row>
    <row r="1817" spans="5:14">
      <c r="E1817" s="86"/>
      <c r="F1817" s="87"/>
      <c r="G1817" s="88"/>
      <c r="H1817" s="89"/>
      <c r="I1817" s="90"/>
      <c r="K1817" s="91"/>
      <c r="L1817" s="88"/>
      <c r="M1817" s="92"/>
      <c r="N1817" s="86"/>
    </row>
    <row r="1818" spans="5:14">
      <c r="E1818" s="86"/>
      <c r="F1818" s="87"/>
      <c r="G1818" s="88"/>
      <c r="H1818" s="89"/>
      <c r="I1818" s="90"/>
      <c r="K1818" s="91"/>
      <c r="L1818" s="88"/>
      <c r="M1818" s="92"/>
      <c r="N1818" s="86"/>
    </row>
    <row r="1819" spans="5:14">
      <c r="E1819" s="86"/>
      <c r="F1819" s="87"/>
      <c r="G1819" s="88"/>
      <c r="H1819" s="89"/>
      <c r="I1819" s="90"/>
      <c r="K1819" s="91"/>
      <c r="L1819" s="88"/>
      <c r="M1819" s="92"/>
      <c r="N1819" s="86"/>
    </row>
    <row r="1820" spans="5:14">
      <c r="E1820" s="86"/>
      <c r="F1820" s="87"/>
      <c r="G1820" s="88"/>
      <c r="H1820" s="89"/>
      <c r="I1820" s="90"/>
      <c r="K1820" s="91"/>
      <c r="L1820" s="88"/>
      <c r="M1820" s="92"/>
      <c r="N1820" s="86"/>
    </row>
    <row r="1821" spans="5:14">
      <c r="E1821" s="86"/>
      <c r="F1821" s="87"/>
      <c r="G1821" s="88"/>
      <c r="H1821" s="89"/>
      <c r="I1821" s="90"/>
      <c r="K1821" s="91"/>
      <c r="L1821" s="88"/>
      <c r="M1821" s="92"/>
      <c r="N1821" s="86"/>
    </row>
    <row r="1822" spans="5:14">
      <c r="E1822" s="86"/>
      <c r="F1822" s="87"/>
      <c r="G1822" s="88"/>
      <c r="H1822" s="89"/>
      <c r="I1822" s="90"/>
      <c r="K1822" s="91"/>
      <c r="L1822" s="88"/>
      <c r="M1822" s="92"/>
      <c r="N1822" s="86"/>
    </row>
    <row r="1823" spans="5:14">
      <c r="E1823" s="86"/>
      <c r="F1823" s="87"/>
      <c r="G1823" s="88"/>
      <c r="H1823" s="89"/>
      <c r="I1823" s="90"/>
      <c r="K1823" s="91"/>
      <c r="L1823" s="88"/>
      <c r="M1823" s="92"/>
      <c r="N1823" s="86"/>
    </row>
    <row r="1824" spans="5:14">
      <c r="E1824" s="86"/>
      <c r="F1824" s="87"/>
      <c r="G1824" s="88"/>
      <c r="H1824" s="89"/>
      <c r="I1824" s="90"/>
      <c r="K1824" s="91"/>
      <c r="L1824" s="88"/>
      <c r="M1824" s="92"/>
      <c r="N1824" s="86"/>
    </row>
    <row r="1825" spans="5:14">
      <c r="E1825" s="86"/>
      <c r="F1825" s="87"/>
      <c r="G1825" s="88"/>
      <c r="H1825" s="89"/>
      <c r="I1825" s="90"/>
      <c r="K1825" s="91"/>
      <c r="L1825" s="88"/>
      <c r="M1825" s="92"/>
      <c r="N1825" s="86"/>
    </row>
    <row r="1826" spans="5:14">
      <c r="E1826" s="86"/>
      <c r="F1826" s="87"/>
      <c r="G1826" s="88"/>
      <c r="H1826" s="89"/>
      <c r="I1826" s="90"/>
      <c r="K1826" s="91"/>
      <c r="L1826" s="88"/>
      <c r="M1826" s="92"/>
      <c r="N1826" s="86"/>
    </row>
    <row r="1827" spans="5:14">
      <c r="E1827" s="86"/>
      <c r="F1827" s="87"/>
      <c r="G1827" s="88"/>
      <c r="H1827" s="89"/>
      <c r="I1827" s="90"/>
      <c r="K1827" s="91"/>
      <c r="L1827" s="88"/>
      <c r="M1827" s="92"/>
      <c r="N1827" s="86"/>
    </row>
    <row r="1828" spans="5:14">
      <c r="E1828" s="86"/>
      <c r="F1828" s="87"/>
      <c r="G1828" s="88"/>
      <c r="H1828" s="89"/>
      <c r="I1828" s="90"/>
      <c r="K1828" s="91"/>
      <c r="L1828" s="88"/>
      <c r="M1828" s="92"/>
      <c r="N1828" s="86"/>
    </row>
    <row r="1829" spans="5:14">
      <c r="E1829" s="86"/>
      <c r="F1829" s="87"/>
      <c r="G1829" s="88"/>
      <c r="H1829" s="89"/>
      <c r="I1829" s="90"/>
      <c r="K1829" s="91"/>
      <c r="L1829" s="88"/>
      <c r="M1829" s="92"/>
      <c r="N1829" s="86"/>
    </row>
    <row r="1830" spans="5:14">
      <c r="E1830" s="86"/>
      <c r="F1830" s="87"/>
      <c r="G1830" s="88"/>
      <c r="H1830" s="89"/>
      <c r="I1830" s="90"/>
      <c r="K1830" s="91"/>
      <c r="L1830" s="88"/>
      <c r="M1830" s="92"/>
      <c r="N1830" s="86"/>
    </row>
    <row r="1831" spans="5:14">
      <c r="E1831" s="86"/>
      <c r="F1831" s="87"/>
      <c r="G1831" s="88"/>
      <c r="H1831" s="89"/>
      <c r="I1831" s="90"/>
      <c r="K1831" s="91"/>
      <c r="L1831" s="88"/>
      <c r="M1831" s="92"/>
      <c r="N1831" s="86"/>
    </row>
    <row r="1832" spans="5:14">
      <c r="E1832" s="86"/>
      <c r="F1832" s="87"/>
      <c r="G1832" s="88"/>
      <c r="H1832" s="89"/>
      <c r="I1832" s="90"/>
      <c r="K1832" s="91"/>
      <c r="L1832" s="88"/>
      <c r="M1832" s="92"/>
      <c r="N1832" s="86"/>
    </row>
    <row r="1833" spans="5:14">
      <c r="E1833" s="86"/>
      <c r="F1833" s="87"/>
      <c r="G1833" s="88"/>
      <c r="H1833" s="89"/>
      <c r="I1833" s="90"/>
      <c r="K1833" s="91"/>
      <c r="L1833" s="88"/>
      <c r="M1833" s="92"/>
      <c r="N1833" s="86"/>
    </row>
    <row r="1834" spans="5:14">
      <c r="E1834" s="86"/>
      <c r="F1834" s="87"/>
      <c r="G1834" s="88"/>
      <c r="H1834" s="89"/>
      <c r="I1834" s="90"/>
      <c r="K1834" s="91"/>
      <c r="L1834" s="88"/>
      <c r="M1834" s="92"/>
      <c r="N1834" s="86"/>
    </row>
    <row r="1835" spans="5:14">
      <c r="E1835" s="86"/>
      <c r="F1835" s="87"/>
      <c r="G1835" s="88"/>
      <c r="H1835" s="89"/>
      <c r="I1835" s="90"/>
      <c r="K1835" s="91"/>
      <c r="L1835" s="88"/>
      <c r="M1835" s="92"/>
      <c r="N1835" s="86"/>
    </row>
    <row r="1836" spans="5:14">
      <c r="E1836" s="86"/>
      <c r="F1836" s="87"/>
      <c r="G1836" s="88"/>
      <c r="H1836" s="89"/>
      <c r="I1836" s="90"/>
      <c r="K1836" s="91"/>
      <c r="L1836" s="88"/>
      <c r="M1836" s="92"/>
      <c r="N1836" s="86"/>
    </row>
    <row r="1837" spans="5:14">
      <c r="E1837" s="86"/>
      <c r="F1837" s="87"/>
      <c r="G1837" s="88"/>
      <c r="H1837" s="89"/>
      <c r="I1837" s="90"/>
      <c r="K1837" s="91"/>
      <c r="L1837" s="88"/>
      <c r="M1837" s="92"/>
      <c r="N1837" s="86"/>
    </row>
    <row r="1838" spans="5:14">
      <c r="E1838" s="86"/>
      <c r="F1838" s="87"/>
      <c r="G1838" s="88"/>
      <c r="H1838" s="89"/>
      <c r="I1838" s="90"/>
      <c r="K1838" s="91"/>
      <c r="L1838" s="88"/>
      <c r="M1838" s="92"/>
      <c r="N1838" s="86"/>
    </row>
    <row r="1839" spans="5:14">
      <c r="E1839" s="86"/>
      <c r="F1839" s="87"/>
      <c r="G1839" s="88"/>
      <c r="H1839" s="89"/>
      <c r="I1839" s="90"/>
      <c r="K1839" s="91"/>
      <c r="L1839" s="88"/>
      <c r="M1839" s="92"/>
      <c r="N1839" s="86"/>
    </row>
    <row r="1840" spans="5:14">
      <c r="E1840" s="86"/>
      <c r="F1840" s="87"/>
      <c r="G1840" s="88"/>
      <c r="H1840" s="89"/>
      <c r="I1840" s="90"/>
      <c r="K1840" s="91"/>
      <c r="L1840" s="88"/>
      <c r="M1840" s="92"/>
      <c r="N1840" s="86"/>
    </row>
    <row r="1841" spans="5:14">
      <c r="E1841" s="86"/>
      <c r="F1841" s="87"/>
      <c r="G1841" s="88"/>
      <c r="H1841" s="89"/>
      <c r="I1841" s="90"/>
      <c r="K1841" s="91"/>
      <c r="L1841" s="88"/>
      <c r="M1841" s="92"/>
      <c r="N1841" s="86"/>
    </row>
    <row r="1842" spans="5:14">
      <c r="E1842" s="86"/>
      <c r="F1842" s="87"/>
      <c r="G1842" s="88"/>
      <c r="H1842" s="89"/>
      <c r="I1842" s="90"/>
      <c r="K1842" s="91"/>
      <c r="L1842" s="88"/>
      <c r="M1842" s="92"/>
      <c r="N1842" s="86"/>
    </row>
    <row r="1843" spans="5:14">
      <c r="E1843" s="86"/>
      <c r="F1843" s="87"/>
      <c r="G1843" s="88"/>
      <c r="H1843" s="89"/>
      <c r="I1843" s="90"/>
      <c r="K1843" s="91"/>
      <c r="L1843" s="88"/>
      <c r="M1843" s="92"/>
      <c r="N1843" s="86"/>
    </row>
    <row r="1844" spans="5:14">
      <c r="E1844" s="86"/>
      <c r="F1844" s="87"/>
      <c r="G1844" s="88"/>
      <c r="H1844" s="89"/>
      <c r="I1844" s="90"/>
      <c r="K1844" s="91"/>
      <c r="L1844" s="88"/>
      <c r="M1844" s="92"/>
      <c r="N1844" s="86"/>
    </row>
    <row r="1845" spans="5:14">
      <c r="E1845" s="86"/>
      <c r="F1845" s="87"/>
      <c r="G1845" s="88"/>
      <c r="H1845" s="89"/>
      <c r="I1845" s="90"/>
      <c r="K1845" s="91"/>
      <c r="L1845" s="88"/>
      <c r="M1845" s="92"/>
      <c r="N1845" s="86"/>
    </row>
    <row r="1846" spans="5:14">
      <c r="E1846" s="86"/>
      <c r="F1846" s="87"/>
      <c r="G1846" s="88"/>
      <c r="H1846" s="89"/>
      <c r="I1846" s="90"/>
      <c r="K1846" s="91"/>
      <c r="L1846" s="88"/>
      <c r="M1846" s="92"/>
      <c r="N1846" s="86"/>
    </row>
    <row r="1847" spans="5:14">
      <c r="E1847" s="86"/>
      <c r="F1847" s="87"/>
      <c r="G1847" s="88"/>
      <c r="H1847" s="89"/>
      <c r="I1847" s="90"/>
      <c r="K1847" s="91"/>
      <c r="L1847" s="88"/>
      <c r="M1847" s="92"/>
      <c r="N1847" s="86"/>
    </row>
    <row r="1848" spans="5:14">
      <c r="E1848" s="86"/>
      <c r="F1848" s="87"/>
      <c r="G1848" s="88"/>
      <c r="H1848" s="89"/>
      <c r="I1848" s="90"/>
      <c r="K1848" s="91"/>
      <c r="L1848" s="88"/>
      <c r="M1848" s="92"/>
      <c r="N1848" s="86"/>
    </row>
    <row r="1849" spans="5:14">
      <c r="E1849" s="86"/>
      <c r="F1849" s="87"/>
      <c r="G1849" s="88"/>
      <c r="H1849" s="89"/>
      <c r="I1849" s="90"/>
      <c r="K1849" s="91"/>
      <c r="L1849" s="88"/>
      <c r="M1849" s="92"/>
      <c r="N1849" s="86"/>
    </row>
    <row r="1850" spans="5:14">
      <c r="E1850" s="86"/>
      <c r="F1850" s="87"/>
      <c r="G1850" s="88"/>
      <c r="H1850" s="89"/>
      <c r="I1850" s="90"/>
      <c r="K1850" s="91"/>
      <c r="L1850" s="88"/>
      <c r="M1850" s="92"/>
      <c r="N1850" s="86"/>
    </row>
    <row r="1851" spans="5:14">
      <c r="E1851" s="86"/>
      <c r="F1851" s="87"/>
      <c r="G1851" s="88"/>
      <c r="H1851" s="89"/>
      <c r="I1851" s="90"/>
      <c r="K1851" s="91"/>
      <c r="L1851" s="88"/>
      <c r="M1851" s="92"/>
      <c r="N1851" s="86"/>
    </row>
    <row r="1852" spans="5:14">
      <c r="E1852" s="86"/>
      <c r="F1852" s="87"/>
      <c r="G1852" s="88"/>
      <c r="H1852" s="89"/>
      <c r="I1852" s="90"/>
      <c r="K1852" s="91"/>
      <c r="L1852" s="88"/>
      <c r="M1852" s="92"/>
      <c r="N1852" s="86"/>
    </row>
    <row r="1853" spans="5:14">
      <c r="E1853" s="86"/>
      <c r="F1853" s="87"/>
      <c r="G1853" s="88"/>
      <c r="H1853" s="89"/>
      <c r="I1853" s="90"/>
      <c r="K1853" s="91"/>
      <c r="L1853" s="88"/>
      <c r="M1853" s="92"/>
      <c r="N1853" s="86"/>
    </row>
    <row r="1854" spans="5:14">
      <c r="E1854" s="86"/>
      <c r="F1854" s="87"/>
      <c r="G1854" s="88"/>
      <c r="H1854" s="89"/>
      <c r="I1854" s="90"/>
      <c r="K1854" s="91"/>
      <c r="L1854" s="88"/>
      <c r="M1854" s="92"/>
      <c r="N1854" s="86"/>
    </row>
    <row r="1855" spans="5:14">
      <c r="E1855" s="86"/>
      <c r="F1855" s="87"/>
      <c r="G1855" s="88"/>
      <c r="H1855" s="89"/>
      <c r="I1855" s="90"/>
      <c r="K1855" s="91"/>
      <c r="L1855" s="88"/>
      <c r="M1855" s="92"/>
      <c r="N1855" s="86"/>
    </row>
    <row r="1856" spans="5:14">
      <c r="E1856" s="86"/>
      <c r="F1856" s="87"/>
      <c r="G1856" s="88"/>
      <c r="H1856" s="89"/>
      <c r="I1856" s="90"/>
      <c r="K1856" s="91"/>
      <c r="L1856" s="88"/>
      <c r="M1856" s="92"/>
      <c r="N1856" s="86"/>
    </row>
    <row r="1857" spans="5:14">
      <c r="E1857" s="86"/>
      <c r="F1857" s="87"/>
      <c r="G1857" s="88"/>
      <c r="H1857" s="89"/>
      <c r="I1857" s="90"/>
      <c r="K1857" s="91"/>
      <c r="L1857" s="88"/>
      <c r="M1857" s="92"/>
      <c r="N1857" s="86"/>
    </row>
    <row r="1858" spans="5:14">
      <c r="E1858" s="86"/>
      <c r="F1858" s="87"/>
      <c r="G1858" s="88"/>
      <c r="H1858" s="89"/>
      <c r="I1858" s="90"/>
      <c r="K1858" s="91"/>
      <c r="L1858" s="88"/>
      <c r="M1858" s="92"/>
      <c r="N1858" s="86"/>
    </row>
    <row r="1859" spans="5:14">
      <c r="E1859" s="86"/>
      <c r="F1859" s="87"/>
      <c r="G1859" s="88"/>
      <c r="H1859" s="89"/>
      <c r="I1859" s="90"/>
      <c r="K1859" s="91"/>
      <c r="L1859" s="88"/>
      <c r="M1859" s="92"/>
      <c r="N1859" s="86"/>
    </row>
    <row r="1860" spans="5:14">
      <c r="E1860" s="86"/>
      <c r="F1860" s="87"/>
      <c r="G1860" s="88"/>
      <c r="H1860" s="89"/>
      <c r="I1860" s="90"/>
      <c r="K1860" s="91"/>
      <c r="L1860" s="88"/>
      <c r="M1860" s="92"/>
      <c r="N1860" s="86"/>
    </row>
    <row r="1861" spans="5:14">
      <c r="E1861" s="86"/>
      <c r="F1861" s="87"/>
      <c r="G1861" s="88"/>
      <c r="H1861" s="89"/>
      <c r="I1861" s="90"/>
      <c r="K1861" s="91"/>
      <c r="L1861" s="88"/>
      <c r="M1861" s="92"/>
      <c r="N1861" s="86"/>
    </row>
    <row r="1862" spans="5:14">
      <c r="E1862" s="86"/>
      <c r="F1862" s="87"/>
      <c r="G1862" s="88"/>
      <c r="H1862" s="89"/>
      <c r="I1862" s="90"/>
      <c r="K1862" s="91"/>
      <c r="L1862" s="88"/>
      <c r="M1862" s="92"/>
      <c r="N1862" s="86"/>
    </row>
    <row r="1863" spans="5:14">
      <c r="E1863" s="86"/>
      <c r="F1863" s="87"/>
      <c r="G1863" s="88"/>
      <c r="H1863" s="89"/>
      <c r="I1863" s="90"/>
      <c r="K1863" s="91"/>
      <c r="L1863" s="88"/>
      <c r="M1863" s="92"/>
      <c r="N1863" s="86"/>
    </row>
    <row r="1864" spans="5:14">
      <c r="E1864" s="86"/>
      <c r="F1864" s="87"/>
      <c r="G1864" s="88"/>
      <c r="H1864" s="89"/>
      <c r="I1864" s="90"/>
      <c r="K1864" s="91"/>
      <c r="L1864" s="88"/>
      <c r="M1864" s="92"/>
      <c r="N1864" s="86"/>
    </row>
    <row r="1865" spans="5:14">
      <c r="E1865" s="86"/>
      <c r="F1865" s="87"/>
      <c r="G1865" s="88"/>
      <c r="H1865" s="89"/>
      <c r="I1865" s="90"/>
      <c r="K1865" s="91"/>
      <c r="L1865" s="88"/>
      <c r="M1865" s="92"/>
      <c r="N1865" s="86"/>
    </row>
    <row r="1866" spans="5:14">
      <c r="E1866" s="86"/>
      <c r="F1866" s="87"/>
      <c r="G1866" s="88"/>
      <c r="H1866" s="89"/>
      <c r="I1866" s="90"/>
      <c r="K1866" s="91"/>
      <c r="L1866" s="88"/>
      <c r="M1866" s="92"/>
      <c r="N1866" s="86"/>
    </row>
    <row r="1867" spans="5:14">
      <c r="E1867" s="86"/>
      <c r="F1867" s="87"/>
      <c r="G1867" s="88"/>
      <c r="H1867" s="89"/>
      <c r="I1867" s="90"/>
      <c r="K1867" s="91"/>
      <c r="L1867" s="88"/>
      <c r="M1867" s="92"/>
      <c r="N1867" s="86"/>
    </row>
    <row r="1868" spans="5:14">
      <c r="E1868" s="86"/>
      <c r="F1868" s="87"/>
      <c r="G1868" s="88"/>
      <c r="H1868" s="89"/>
      <c r="I1868" s="90"/>
      <c r="K1868" s="91"/>
      <c r="L1868" s="88"/>
      <c r="M1868" s="92"/>
      <c r="N1868" s="86"/>
    </row>
    <row r="1869" spans="5:14">
      <c r="E1869" s="86"/>
      <c r="F1869" s="87"/>
      <c r="G1869" s="88"/>
      <c r="H1869" s="89"/>
      <c r="I1869" s="90"/>
      <c r="K1869" s="91"/>
      <c r="L1869" s="88"/>
      <c r="M1869" s="92"/>
      <c r="N1869" s="86"/>
    </row>
    <row r="1870" spans="5:14">
      <c r="E1870" s="86"/>
      <c r="F1870" s="87"/>
      <c r="G1870" s="88"/>
      <c r="H1870" s="89"/>
      <c r="I1870" s="90"/>
      <c r="K1870" s="91"/>
      <c r="L1870" s="88"/>
      <c r="M1870" s="92"/>
      <c r="N1870" s="86"/>
    </row>
    <row r="1871" spans="5:14">
      <c r="E1871" s="86"/>
      <c r="F1871" s="87"/>
      <c r="G1871" s="88"/>
      <c r="H1871" s="89"/>
      <c r="I1871" s="90"/>
      <c r="K1871" s="91"/>
      <c r="L1871" s="88"/>
      <c r="M1871" s="92"/>
      <c r="N1871" s="86"/>
    </row>
    <row r="1872" spans="5:14">
      <c r="E1872" s="86"/>
      <c r="F1872" s="87"/>
      <c r="G1872" s="88"/>
      <c r="H1872" s="89"/>
      <c r="I1872" s="90"/>
      <c r="K1872" s="91"/>
      <c r="L1872" s="88"/>
      <c r="M1872" s="92"/>
      <c r="N1872" s="86"/>
    </row>
    <row r="1873" spans="5:14">
      <c r="E1873" s="86"/>
      <c r="F1873" s="87"/>
      <c r="G1873" s="88"/>
      <c r="H1873" s="89"/>
      <c r="I1873" s="90"/>
      <c r="K1873" s="91"/>
      <c r="L1873" s="88"/>
      <c r="M1873" s="92"/>
      <c r="N1873" s="86"/>
    </row>
    <row r="1874" spans="5:14">
      <c r="E1874" s="86"/>
      <c r="F1874" s="87"/>
      <c r="G1874" s="88"/>
      <c r="H1874" s="89"/>
      <c r="I1874" s="90"/>
      <c r="K1874" s="91"/>
      <c r="L1874" s="88"/>
      <c r="M1874" s="92"/>
      <c r="N1874" s="86"/>
    </row>
    <row r="1875" spans="5:14">
      <c r="E1875" s="86"/>
      <c r="F1875" s="87"/>
      <c r="G1875" s="88"/>
      <c r="H1875" s="89"/>
      <c r="I1875" s="90"/>
      <c r="K1875" s="91"/>
      <c r="L1875" s="88"/>
      <c r="M1875" s="92"/>
      <c r="N1875" s="86"/>
    </row>
    <row r="1876" spans="5:14">
      <c r="E1876" s="86"/>
      <c r="F1876" s="87"/>
      <c r="G1876" s="88"/>
      <c r="H1876" s="89"/>
      <c r="I1876" s="90"/>
      <c r="K1876" s="91"/>
      <c r="L1876" s="88"/>
      <c r="M1876" s="92"/>
      <c r="N1876" s="86"/>
    </row>
    <row r="1877" spans="5:14">
      <c r="E1877" s="86"/>
      <c r="F1877" s="87"/>
      <c r="G1877" s="88"/>
      <c r="H1877" s="89"/>
      <c r="I1877" s="90"/>
      <c r="K1877" s="91"/>
      <c r="L1877" s="88"/>
      <c r="M1877" s="92"/>
      <c r="N1877" s="86"/>
    </row>
    <row r="1878" spans="5:14">
      <c r="E1878" s="86"/>
      <c r="F1878" s="87"/>
      <c r="G1878" s="88"/>
      <c r="H1878" s="89"/>
      <c r="I1878" s="90"/>
      <c r="K1878" s="91"/>
      <c r="L1878" s="88"/>
      <c r="M1878" s="92"/>
      <c r="N1878" s="86"/>
    </row>
    <row r="1879" spans="5:14">
      <c r="E1879" s="86"/>
      <c r="F1879" s="87"/>
      <c r="G1879" s="88"/>
      <c r="H1879" s="89"/>
      <c r="I1879" s="90"/>
      <c r="K1879" s="91"/>
      <c r="L1879" s="88"/>
      <c r="M1879" s="92"/>
      <c r="N1879" s="86"/>
    </row>
    <row r="1880" spans="5:14">
      <c r="E1880" s="86"/>
      <c r="F1880" s="87"/>
      <c r="G1880" s="88"/>
      <c r="H1880" s="89"/>
      <c r="I1880" s="90"/>
      <c r="K1880" s="91"/>
      <c r="L1880" s="88"/>
      <c r="M1880" s="92"/>
      <c r="N1880" s="86"/>
    </row>
    <row r="1881" spans="5:14">
      <c r="E1881" s="86"/>
      <c r="F1881" s="87"/>
      <c r="G1881" s="88"/>
      <c r="H1881" s="89"/>
      <c r="I1881" s="90"/>
      <c r="K1881" s="91"/>
      <c r="L1881" s="88"/>
      <c r="M1881" s="92"/>
      <c r="N1881" s="86"/>
    </row>
    <row r="1882" spans="5:14">
      <c r="E1882" s="86"/>
      <c r="F1882" s="87"/>
      <c r="G1882" s="88"/>
      <c r="H1882" s="89"/>
      <c r="I1882" s="90"/>
      <c r="K1882" s="91"/>
      <c r="L1882" s="88"/>
      <c r="M1882" s="92"/>
      <c r="N1882" s="86"/>
    </row>
    <row r="1883" spans="5:14">
      <c r="E1883" s="86"/>
      <c r="F1883" s="87"/>
      <c r="G1883" s="88"/>
      <c r="H1883" s="89"/>
      <c r="I1883" s="90"/>
      <c r="K1883" s="91"/>
      <c r="L1883" s="88"/>
      <c r="M1883" s="92"/>
      <c r="N1883" s="86"/>
    </row>
    <row r="1884" spans="5:14">
      <c r="E1884" s="86"/>
      <c r="F1884" s="87"/>
      <c r="G1884" s="88"/>
      <c r="H1884" s="89"/>
      <c r="I1884" s="90"/>
      <c r="K1884" s="91"/>
      <c r="L1884" s="88"/>
      <c r="M1884" s="92"/>
      <c r="N1884" s="86"/>
    </row>
    <row r="1885" spans="5:14">
      <c r="E1885" s="86"/>
      <c r="F1885" s="87"/>
      <c r="G1885" s="88"/>
      <c r="H1885" s="89"/>
      <c r="I1885" s="90"/>
      <c r="K1885" s="91"/>
      <c r="L1885" s="88"/>
      <c r="M1885" s="92"/>
      <c r="N1885" s="86"/>
    </row>
    <row r="1886" spans="5:14">
      <c r="E1886" s="86"/>
      <c r="F1886" s="87"/>
      <c r="G1886" s="88"/>
      <c r="H1886" s="89"/>
      <c r="I1886" s="90"/>
      <c r="K1886" s="91"/>
      <c r="L1886" s="88"/>
      <c r="M1886" s="92"/>
      <c r="N1886" s="86"/>
    </row>
    <row r="1887" spans="5:14">
      <c r="E1887" s="86"/>
      <c r="F1887" s="87"/>
      <c r="G1887" s="88"/>
      <c r="H1887" s="89"/>
      <c r="I1887" s="90"/>
      <c r="K1887" s="91"/>
      <c r="L1887" s="88"/>
      <c r="M1887" s="92"/>
      <c r="N1887" s="86"/>
    </row>
    <row r="1888" spans="5:14">
      <c r="E1888" s="86"/>
      <c r="F1888" s="87"/>
      <c r="G1888" s="88"/>
      <c r="H1888" s="89"/>
      <c r="I1888" s="90"/>
      <c r="K1888" s="91"/>
      <c r="L1888" s="88"/>
      <c r="M1888" s="92"/>
      <c r="N1888" s="86"/>
    </row>
    <row r="1889" spans="5:14">
      <c r="E1889" s="86"/>
      <c r="F1889" s="87"/>
      <c r="G1889" s="88"/>
      <c r="H1889" s="89"/>
      <c r="I1889" s="90"/>
      <c r="K1889" s="91"/>
      <c r="L1889" s="88"/>
      <c r="M1889" s="92"/>
      <c r="N1889" s="86"/>
    </row>
    <row r="1890" spans="5:14">
      <c r="E1890" s="86"/>
      <c r="F1890" s="87"/>
      <c r="G1890" s="88"/>
      <c r="H1890" s="89"/>
      <c r="I1890" s="90"/>
      <c r="K1890" s="91"/>
      <c r="L1890" s="88"/>
      <c r="M1890" s="92"/>
      <c r="N1890" s="86"/>
    </row>
    <row r="1891" spans="5:14">
      <c r="E1891" s="86"/>
      <c r="F1891" s="87"/>
      <c r="G1891" s="88"/>
      <c r="H1891" s="89"/>
      <c r="I1891" s="90"/>
      <c r="K1891" s="91"/>
      <c r="L1891" s="88"/>
      <c r="M1891" s="92"/>
      <c r="N1891" s="86"/>
    </row>
    <row r="1892" spans="5:14">
      <c r="E1892" s="86"/>
      <c r="F1892" s="87"/>
      <c r="G1892" s="88"/>
      <c r="H1892" s="89"/>
      <c r="I1892" s="90"/>
      <c r="K1892" s="91"/>
      <c r="L1892" s="88"/>
      <c r="M1892" s="92"/>
      <c r="N1892" s="86"/>
    </row>
    <row r="1893" spans="5:14">
      <c r="E1893" s="86"/>
      <c r="F1893" s="87"/>
      <c r="G1893" s="88"/>
      <c r="H1893" s="89"/>
      <c r="I1893" s="90"/>
      <c r="K1893" s="91"/>
      <c r="L1893" s="88"/>
      <c r="M1893" s="92"/>
      <c r="N1893" s="86"/>
    </row>
    <row r="1894" spans="5:14">
      <c r="E1894" s="86"/>
      <c r="F1894" s="87"/>
      <c r="G1894" s="88"/>
      <c r="H1894" s="89"/>
      <c r="I1894" s="90"/>
      <c r="K1894" s="91"/>
      <c r="L1894" s="88"/>
      <c r="M1894" s="92"/>
      <c r="N1894" s="86"/>
    </row>
    <row r="1895" spans="5:14">
      <c r="E1895" s="86"/>
      <c r="F1895" s="87"/>
      <c r="G1895" s="88"/>
      <c r="H1895" s="89"/>
      <c r="I1895" s="90"/>
      <c r="K1895" s="91"/>
      <c r="L1895" s="88"/>
      <c r="M1895" s="92"/>
      <c r="N1895" s="86"/>
    </row>
    <row r="1896" spans="5:14">
      <c r="E1896" s="86"/>
      <c r="F1896" s="87"/>
      <c r="G1896" s="88"/>
      <c r="H1896" s="89"/>
      <c r="I1896" s="90"/>
      <c r="K1896" s="91"/>
      <c r="L1896" s="88"/>
      <c r="M1896" s="92"/>
      <c r="N1896" s="86"/>
    </row>
    <row r="1897" spans="5:14">
      <c r="E1897" s="86"/>
      <c r="F1897" s="87"/>
      <c r="G1897" s="88"/>
      <c r="H1897" s="89"/>
      <c r="I1897" s="90"/>
      <c r="K1897" s="91"/>
      <c r="L1897" s="88"/>
      <c r="M1897" s="92"/>
      <c r="N1897" s="86"/>
    </row>
    <row r="1898" spans="5:14">
      <c r="E1898" s="86"/>
      <c r="F1898" s="87"/>
      <c r="G1898" s="88"/>
      <c r="H1898" s="89"/>
      <c r="I1898" s="90"/>
      <c r="K1898" s="91"/>
      <c r="L1898" s="88"/>
      <c r="M1898" s="92"/>
      <c r="N1898" s="86"/>
    </row>
    <row r="1899" spans="5:14">
      <c r="E1899" s="86"/>
      <c r="F1899" s="87"/>
      <c r="G1899" s="88"/>
      <c r="H1899" s="89"/>
      <c r="I1899" s="90"/>
      <c r="K1899" s="91"/>
      <c r="L1899" s="88"/>
      <c r="M1899" s="92"/>
      <c r="N1899" s="86"/>
    </row>
    <row r="1900" spans="5:14">
      <c r="E1900" s="86"/>
      <c r="F1900" s="87"/>
      <c r="G1900" s="88"/>
      <c r="H1900" s="89"/>
      <c r="I1900" s="90"/>
      <c r="K1900" s="91"/>
      <c r="L1900" s="88"/>
      <c r="M1900" s="92"/>
      <c r="N1900" s="86"/>
    </row>
    <row r="1901" spans="5:14">
      <c r="E1901" s="86"/>
      <c r="F1901" s="87"/>
      <c r="G1901" s="88"/>
      <c r="H1901" s="89"/>
      <c r="I1901" s="90"/>
      <c r="K1901" s="91"/>
      <c r="L1901" s="88"/>
      <c r="M1901" s="92"/>
      <c r="N1901" s="86"/>
    </row>
    <row r="1902" spans="5:14">
      <c r="E1902" s="86"/>
      <c r="F1902" s="87"/>
      <c r="G1902" s="88"/>
      <c r="H1902" s="89"/>
      <c r="I1902" s="90"/>
      <c r="K1902" s="91"/>
      <c r="L1902" s="88"/>
      <c r="M1902" s="92"/>
      <c r="N1902" s="86"/>
    </row>
    <row r="1903" spans="5:14">
      <c r="E1903" s="86"/>
      <c r="F1903" s="87"/>
      <c r="G1903" s="88"/>
      <c r="H1903" s="89"/>
      <c r="I1903" s="90"/>
      <c r="K1903" s="91"/>
      <c r="L1903" s="88"/>
      <c r="M1903" s="92"/>
      <c r="N1903" s="86"/>
    </row>
    <row r="1904" spans="5:14">
      <c r="E1904" s="86"/>
      <c r="F1904" s="87"/>
      <c r="G1904" s="88"/>
      <c r="H1904" s="89"/>
      <c r="I1904" s="90"/>
      <c r="K1904" s="91"/>
      <c r="L1904" s="88"/>
      <c r="M1904" s="92"/>
      <c r="N1904" s="86"/>
    </row>
    <row r="1905" spans="5:14">
      <c r="E1905" s="86"/>
      <c r="F1905" s="87"/>
      <c r="G1905" s="88"/>
      <c r="H1905" s="89"/>
      <c r="I1905" s="90"/>
      <c r="K1905" s="91"/>
      <c r="L1905" s="88"/>
      <c r="M1905" s="92"/>
      <c r="N1905" s="86"/>
    </row>
    <row r="1906" spans="5:14">
      <c r="E1906" s="86"/>
      <c r="F1906" s="87"/>
      <c r="G1906" s="88"/>
      <c r="H1906" s="89"/>
      <c r="I1906" s="90"/>
      <c r="K1906" s="91"/>
      <c r="L1906" s="88"/>
      <c r="M1906" s="92"/>
      <c r="N1906" s="86"/>
    </row>
    <row r="1907" spans="5:14">
      <c r="E1907" s="86"/>
      <c r="F1907" s="87"/>
      <c r="G1907" s="88"/>
      <c r="H1907" s="89"/>
      <c r="I1907" s="90"/>
      <c r="K1907" s="91"/>
      <c r="L1907" s="88"/>
      <c r="M1907" s="92"/>
      <c r="N1907" s="86"/>
    </row>
    <row r="1908" spans="5:14">
      <c r="E1908" s="86"/>
      <c r="F1908" s="87"/>
      <c r="G1908" s="88"/>
      <c r="H1908" s="89"/>
      <c r="I1908" s="90"/>
      <c r="K1908" s="91"/>
      <c r="L1908" s="88"/>
      <c r="M1908" s="92"/>
      <c r="N1908" s="86"/>
    </row>
    <row r="1909" spans="5:14">
      <c r="E1909" s="86"/>
      <c r="F1909" s="87"/>
      <c r="G1909" s="88"/>
      <c r="H1909" s="89"/>
      <c r="I1909" s="90"/>
      <c r="K1909" s="91"/>
      <c r="L1909" s="88"/>
      <c r="M1909" s="92"/>
      <c r="N1909" s="86"/>
    </row>
    <row r="1910" spans="5:14">
      <c r="E1910" s="86"/>
      <c r="F1910" s="87"/>
      <c r="G1910" s="88"/>
      <c r="H1910" s="89"/>
      <c r="I1910" s="90"/>
      <c r="K1910" s="91"/>
      <c r="L1910" s="88"/>
      <c r="M1910" s="92"/>
      <c r="N1910" s="86"/>
    </row>
    <row r="1911" spans="5:14">
      <c r="E1911" s="86"/>
      <c r="F1911" s="87"/>
      <c r="G1911" s="88"/>
      <c r="H1911" s="89"/>
      <c r="I1911" s="90"/>
      <c r="K1911" s="91"/>
      <c r="L1911" s="88"/>
      <c r="M1911" s="92"/>
      <c r="N1911" s="86"/>
    </row>
    <row r="1912" spans="5:14">
      <c r="E1912" s="86"/>
      <c r="F1912" s="87"/>
      <c r="G1912" s="88"/>
      <c r="H1912" s="89"/>
      <c r="I1912" s="90"/>
      <c r="K1912" s="91"/>
      <c r="L1912" s="88"/>
      <c r="M1912" s="92"/>
      <c r="N1912" s="86"/>
    </row>
    <row r="1913" spans="5:14">
      <c r="E1913" s="86"/>
      <c r="F1913" s="87"/>
      <c r="G1913" s="88"/>
      <c r="H1913" s="89"/>
      <c r="I1913" s="90"/>
      <c r="K1913" s="91"/>
      <c r="L1913" s="88"/>
      <c r="M1913" s="92"/>
      <c r="N1913" s="86"/>
    </row>
    <row r="1914" spans="5:14">
      <c r="E1914" s="86"/>
      <c r="F1914" s="87"/>
      <c r="G1914" s="88"/>
      <c r="H1914" s="89"/>
      <c r="I1914" s="90"/>
      <c r="K1914" s="91"/>
      <c r="L1914" s="88"/>
      <c r="M1914" s="92"/>
      <c r="N1914" s="86"/>
    </row>
    <row r="1915" spans="5:14">
      <c r="E1915" s="86"/>
      <c r="F1915" s="87"/>
      <c r="G1915" s="88"/>
      <c r="H1915" s="89"/>
      <c r="I1915" s="90"/>
      <c r="K1915" s="91"/>
      <c r="L1915" s="88"/>
      <c r="M1915" s="92"/>
      <c r="N1915" s="86"/>
    </row>
    <row r="1916" spans="5:14">
      <c r="E1916" s="86"/>
      <c r="F1916" s="87"/>
      <c r="G1916" s="88"/>
      <c r="H1916" s="89"/>
      <c r="I1916" s="90"/>
      <c r="K1916" s="91"/>
      <c r="L1916" s="88"/>
      <c r="M1916" s="92"/>
      <c r="N1916" s="86"/>
    </row>
    <row r="1917" spans="5:14">
      <c r="E1917" s="86"/>
      <c r="F1917" s="87"/>
      <c r="G1917" s="88"/>
      <c r="H1917" s="89"/>
      <c r="I1917" s="90"/>
      <c r="K1917" s="91"/>
      <c r="L1917" s="88"/>
      <c r="M1917" s="92"/>
      <c r="N1917" s="86"/>
    </row>
    <row r="1918" spans="5:14">
      <c r="E1918" s="86"/>
      <c r="F1918" s="87"/>
      <c r="G1918" s="88"/>
      <c r="H1918" s="89"/>
      <c r="I1918" s="90"/>
      <c r="K1918" s="91"/>
      <c r="L1918" s="88"/>
      <c r="M1918" s="92"/>
      <c r="N1918" s="86"/>
    </row>
    <row r="1919" spans="5:14">
      <c r="E1919" s="86"/>
      <c r="F1919" s="87"/>
      <c r="G1919" s="88"/>
      <c r="H1919" s="89"/>
      <c r="I1919" s="90"/>
      <c r="K1919" s="91"/>
      <c r="L1919" s="88"/>
      <c r="M1919" s="92"/>
      <c r="N1919" s="86"/>
    </row>
    <row r="1920" spans="5:14">
      <c r="E1920" s="86"/>
      <c r="F1920" s="87"/>
      <c r="G1920" s="88"/>
      <c r="H1920" s="89"/>
      <c r="I1920" s="90"/>
      <c r="K1920" s="91"/>
      <c r="L1920" s="88"/>
      <c r="M1920" s="92"/>
      <c r="N1920" s="86"/>
    </row>
    <row r="1921" spans="5:14">
      <c r="E1921" s="86"/>
      <c r="F1921" s="87"/>
      <c r="G1921" s="88"/>
      <c r="H1921" s="89"/>
      <c r="I1921" s="90"/>
      <c r="K1921" s="91"/>
      <c r="L1921" s="88"/>
      <c r="M1921" s="92"/>
      <c r="N1921" s="86"/>
    </row>
    <row r="1922" spans="5:14">
      <c r="E1922" s="86"/>
      <c r="F1922" s="87"/>
      <c r="G1922" s="88"/>
      <c r="H1922" s="89"/>
      <c r="I1922" s="90"/>
      <c r="K1922" s="91"/>
      <c r="L1922" s="88"/>
      <c r="M1922" s="92"/>
      <c r="N1922" s="86"/>
    </row>
    <row r="1923" spans="5:14">
      <c r="E1923" s="86"/>
      <c r="F1923" s="87"/>
      <c r="G1923" s="88"/>
      <c r="H1923" s="89"/>
      <c r="I1923" s="90"/>
      <c r="K1923" s="91"/>
      <c r="L1923" s="88"/>
      <c r="M1923" s="92"/>
      <c r="N1923" s="86"/>
    </row>
    <row r="1924" spans="5:14">
      <c r="E1924" s="86"/>
      <c r="F1924" s="87"/>
      <c r="G1924" s="88"/>
      <c r="H1924" s="89"/>
      <c r="I1924" s="90"/>
      <c r="K1924" s="91"/>
      <c r="L1924" s="88"/>
      <c r="M1924" s="92"/>
      <c r="N1924" s="86"/>
    </row>
    <row r="1925" spans="5:14">
      <c r="E1925" s="86"/>
      <c r="F1925" s="87"/>
      <c r="G1925" s="88"/>
      <c r="H1925" s="89"/>
      <c r="I1925" s="90"/>
      <c r="K1925" s="91"/>
      <c r="L1925" s="88"/>
      <c r="M1925" s="92"/>
      <c r="N1925" s="86"/>
    </row>
    <row r="1926" spans="5:14">
      <c r="E1926" s="86"/>
      <c r="F1926" s="87"/>
      <c r="G1926" s="88"/>
      <c r="H1926" s="89"/>
      <c r="I1926" s="90"/>
      <c r="K1926" s="91"/>
      <c r="L1926" s="88"/>
      <c r="M1926" s="92"/>
      <c r="N1926" s="86"/>
    </row>
    <row r="1927" spans="5:14">
      <c r="E1927" s="86"/>
      <c r="F1927" s="87"/>
      <c r="G1927" s="88"/>
      <c r="H1927" s="89"/>
      <c r="I1927" s="90"/>
      <c r="K1927" s="91"/>
      <c r="L1927" s="88"/>
      <c r="M1927" s="92"/>
      <c r="N1927" s="86"/>
    </row>
    <row r="1928" spans="5:14">
      <c r="E1928" s="86"/>
      <c r="F1928" s="87"/>
      <c r="G1928" s="88"/>
      <c r="H1928" s="89"/>
      <c r="I1928" s="90"/>
      <c r="K1928" s="91"/>
      <c r="L1928" s="88"/>
      <c r="M1928" s="92"/>
      <c r="N1928" s="86"/>
    </row>
    <row r="1929" spans="5:14">
      <c r="E1929" s="86"/>
      <c r="F1929" s="87"/>
      <c r="G1929" s="88"/>
      <c r="H1929" s="89"/>
      <c r="I1929" s="90"/>
      <c r="K1929" s="91"/>
      <c r="L1929" s="88"/>
      <c r="M1929" s="92"/>
      <c r="N1929" s="86"/>
    </row>
    <row r="1930" spans="5:14">
      <c r="E1930" s="86"/>
      <c r="F1930" s="87"/>
      <c r="G1930" s="88"/>
      <c r="H1930" s="89"/>
      <c r="I1930" s="90"/>
      <c r="K1930" s="91"/>
      <c r="L1930" s="88"/>
      <c r="M1930" s="92"/>
      <c r="N1930" s="86"/>
    </row>
    <row r="1931" spans="5:14">
      <c r="E1931" s="86"/>
      <c r="F1931" s="87"/>
      <c r="G1931" s="88"/>
      <c r="H1931" s="89"/>
      <c r="I1931" s="90"/>
      <c r="K1931" s="91"/>
      <c r="L1931" s="88"/>
      <c r="M1931" s="92"/>
      <c r="N1931" s="86"/>
    </row>
    <row r="1932" spans="5:14">
      <c r="E1932" s="86"/>
      <c r="F1932" s="87"/>
      <c r="G1932" s="88"/>
      <c r="H1932" s="89"/>
      <c r="I1932" s="90"/>
      <c r="K1932" s="91"/>
      <c r="L1932" s="88"/>
      <c r="M1932" s="92"/>
      <c r="N1932" s="86"/>
    </row>
    <row r="1933" spans="5:14">
      <c r="E1933" s="86"/>
      <c r="F1933" s="87"/>
      <c r="G1933" s="88"/>
      <c r="H1933" s="89"/>
      <c r="I1933" s="90"/>
      <c r="K1933" s="91"/>
      <c r="L1933" s="88"/>
      <c r="M1933" s="92"/>
      <c r="N1933" s="86"/>
    </row>
    <row r="1934" spans="5:14">
      <c r="E1934" s="86"/>
      <c r="F1934" s="87"/>
      <c r="G1934" s="88"/>
      <c r="H1934" s="89"/>
      <c r="I1934" s="90"/>
      <c r="K1934" s="91"/>
      <c r="L1934" s="88"/>
      <c r="M1934" s="92"/>
      <c r="N1934" s="86"/>
    </row>
    <row r="1935" spans="5:14">
      <c r="E1935" s="86"/>
      <c r="F1935" s="87"/>
      <c r="G1935" s="88"/>
      <c r="H1935" s="89"/>
      <c r="I1935" s="90"/>
      <c r="K1935" s="91"/>
      <c r="L1935" s="88"/>
      <c r="M1935" s="92"/>
      <c r="N1935" s="86"/>
    </row>
    <row r="1936" spans="5:14">
      <c r="E1936" s="86"/>
      <c r="F1936" s="87"/>
      <c r="G1936" s="88"/>
      <c r="H1936" s="89"/>
      <c r="I1936" s="90"/>
      <c r="K1936" s="91"/>
      <c r="L1936" s="88"/>
      <c r="M1936" s="92"/>
      <c r="N1936" s="86"/>
    </row>
    <row r="1937" spans="5:14">
      <c r="E1937" s="86"/>
      <c r="F1937" s="87"/>
      <c r="G1937" s="88"/>
      <c r="H1937" s="89"/>
      <c r="I1937" s="90"/>
      <c r="K1937" s="91"/>
      <c r="L1937" s="88"/>
      <c r="M1937" s="92"/>
      <c r="N1937" s="86"/>
    </row>
    <row r="1938" spans="5:14">
      <c r="E1938" s="86"/>
      <c r="F1938" s="87"/>
      <c r="G1938" s="88"/>
      <c r="H1938" s="89"/>
      <c r="I1938" s="90"/>
      <c r="K1938" s="91"/>
      <c r="L1938" s="88"/>
      <c r="M1938" s="92"/>
      <c r="N1938" s="86"/>
    </row>
    <row r="1939" spans="5:14">
      <c r="E1939" s="86"/>
      <c r="F1939" s="87"/>
      <c r="G1939" s="88"/>
      <c r="H1939" s="89"/>
      <c r="I1939" s="90"/>
      <c r="K1939" s="91"/>
      <c r="L1939" s="88"/>
      <c r="M1939" s="92"/>
      <c r="N1939" s="86"/>
    </row>
    <row r="1940" spans="5:14">
      <c r="E1940" s="86"/>
      <c r="F1940" s="87"/>
      <c r="G1940" s="88"/>
      <c r="H1940" s="89"/>
      <c r="I1940" s="90"/>
      <c r="K1940" s="91"/>
      <c r="L1940" s="88"/>
      <c r="M1940" s="92"/>
      <c r="N1940" s="86"/>
    </row>
    <row r="1941" spans="5:14">
      <c r="E1941" s="86"/>
      <c r="F1941" s="87"/>
      <c r="G1941" s="88"/>
      <c r="H1941" s="89"/>
      <c r="I1941" s="90"/>
      <c r="K1941" s="91"/>
      <c r="L1941" s="88"/>
      <c r="M1941" s="92"/>
      <c r="N1941" s="86"/>
    </row>
    <row r="1942" spans="5:14">
      <c r="E1942" s="86"/>
      <c r="F1942" s="87"/>
      <c r="G1942" s="88"/>
      <c r="H1942" s="89"/>
      <c r="I1942" s="90"/>
      <c r="K1942" s="91"/>
      <c r="L1942" s="88"/>
      <c r="M1942" s="92"/>
      <c r="N1942" s="86"/>
    </row>
    <row r="1943" spans="5:14">
      <c r="E1943" s="86"/>
      <c r="F1943" s="87"/>
      <c r="G1943" s="88"/>
      <c r="H1943" s="89"/>
      <c r="I1943" s="90"/>
      <c r="K1943" s="91"/>
      <c r="L1943" s="88"/>
      <c r="M1943" s="92"/>
      <c r="N1943" s="86"/>
    </row>
    <row r="1944" spans="5:14">
      <c r="E1944" s="86"/>
      <c r="F1944" s="87"/>
      <c r="G1944" s="88"/>
      <c r="H1944" s="89"/>
      <c r="I1944" s="90"/>
      <c r="K1944" s="91"/>
      <c r="L1944" s="88"/>
      <c r="M1944" s="92"/>
      <c r="N1944" s="86"/>
    </row>
    <row r="1945" spans="5:14">
      <c r="E1945" s="86"/>
      <c r="F1945" s="87"/>
      <c r="G1945" s="88"/>
      <c r="H1945" s="89"/>
      <c r="I1945" s="90"/>
      <c r="K1945" s="91"/>
      <c r="L1945" s="88"/>
      <c r="M1945" s="92"/>
      <c r="N1945" s="86"/>
    </row>
    <row r="1946" spans="5:14">
      <c r="E1946" s="86"/>
      <c r="F1946" s="87"/>
      <c r="G1946" s="88"/>
      <c r="H1946" s="89"/>
      <c r="I1946" s="90"/>
      <c r="K1946" s="91"/>
      <c r="L1946" s="88"/>
      <c r="M1946" s="92"/>
      <c r="N1946" s="86"/>
    </row>
    <row r="1947" spans="5:14">
      <c r="E1947" s="86"/>
      <c r="F1947" s="87"/>
      <c r="G1947" s="88"/>
      <c r="H1947" s="89"/>
      <c r="I1947" s="90"/>
      <c r="K1947" s="91"/>
      <c r="L1947" s="88"/>
      <c r="M1947" s="92"/>
      <c r="N1947" s="86"/>
    </row>
    <row r="1948" spans="5:14">
      <c r="E1948" s="86"/>
      <c r="F1948" s="87"/>
      <c r="G1948" s="88"/>
      <c r="H1948" s="89"/>
      <c r="I1948" s="90"/>
      <c r="K1948" s="91"/>
      <c r="L1948" s="88"/>
      <c r="M1948" s="92"/>
      <c r="N1948" s="86"/>
    </row>
    <row r="1949" spans="5:14">
      <c r="E1949" s="86"/>
      <c r="F1949" s="87"/>
      <c r="G1949" s="88"/>
      <c r="H1949" s="89"/>
      <c r="I1949" s="90"/>
      <c r="K1949" s="91"/>
      <c r="L1949" s="88"/>
      <c r="M1949" s="92"/>
      <c r="N1949" s="86"/>
    </row>
    <row r="1950" spans="5:14">
      <c r="E1950" s="86"/>
      <c r="F1950" s="87"/>
      <c r="G1950" s="88"/>
      <c r="H1950" s="89"/>
      <c r="I1950" s="90"/>
      <c r="K1950" s="91"/>
      <c r="L1950" s="88"/>
      <c r="M1950" s="92"/>
      <c r="N1950" s="86"/>
    </row>
    <row r="1951" spans="5:14">
      <c r="E1951" s="86"/>
      <c r="F1951" s="87"/>
      <c r="G1951" s="88"/>
      <c r="H1951" s="89"/>
      <c r="I1951" s="90"/>
      <c r="K1951" s="91"/>
      <c r="L1951" s="88"/>
      <c r="M1951" s="92"/>
      <c r="N1951" s="86"/>
    </row>
    <row r="1952" spans="5:14">
      <c r="E1952" s="86"/>
      <c r="F1952" s="87"/>
      <c r="G1952" s="88"/>
      <c r="H1952" s="89"/>
      <c r="I1952" s="90"/>
      <c r="K1952" s="91"/>
      <c r="L1952" s="88"/>
      <c r="M1952" s="92"/>
      <c r="N1952" s="86"/>
    </row>
    <row r="1953" spans="5:14">
      <c r="E1953" s="86"/>
      <c r="F1953" s="87"/>
      <c r="G1953" s="88"/>
      <c r="H1953" s="89"/>
      <c r="I1953" s="90"/>
      <c r="K1953" s="91"/>
      <c r="L1953" s="88"/>
      <c r="M1953" s="92"/>
      <c r="N1953" s="86"/>
    </row>
    <row r="1954" spans="5:14">
      <c r="E1954" s="86"/>
      <c r="F1954" s="87"/>
      <c r="G1954" s="88"/>
      <c r="H1954" s="89"/>
      <c r="I1954" s="90"/>
      <c r="K1954" s="91"/>
      <c r="L1954" s="88"/>
      <c r="M1954" s="92"/>
      <c r="N1954" s="86"/>
    </row>
    <row r="1955" spans="5:14">
      <c r="E1955" s="86"/>
      <c r="F1955" s="87"/>
      <c r="G1955" s="88"/>
      <c r="H1955" s="89"/>
      <c r="I1955" s="90"/>
      <c r="K1955" s="91"/>
      <c r="L1955" s="88"/>
      <c r="M1955" s="92"/>
      <c r="N1955" s="86"/>
    </row>
    <row r="1956" spans="5:14">
      <c r="E1956" s="86"/>
      <c r="F1956" s="87"/>
      <c r="G1956" s="88"/>
      <c r="H1956" s="89"/>
      <c r="I1956" s="90"/>
      <c r="K1956" s="91"/>
      <c r="L1956" s="88"/>
      <c r="M1956" s="92"/>
      <c r="N1956" s="86"/>
    </row>
    <row r="1957" spans="5:14">
      <c r="E1957" s="86"/>
      <c r="F1957" s="87"/>
      <c r="G1957" s="88"/>
      <c r="H1957" s="89"/>
      <c r="I1957" s="90"/>
      <c r="K1957" s="91"/>
      <c r="L1957" s="88"/>
      <c r="M1957" s="92"/>
      <c r="N1957" s="86"/>
    </row>
    <row r="1958" spans="5:14">
      <c r="E1958" s="86"/>
      <c r="F1958" s="87"/>
      <c r="G1958" s="88"/>
      <c r="H1958" s="89"/>
      <c r="I1958" s="90"/>
      <c r="K1958" s="91"/>
      <c r="L1958" s="88"/>
      <c r="M1958" s="92"/>
      <c r="N1958" s="86"/>
    </row>
    <row r="1959" spans="5:14">
      <c r="E1959" s="86"/>
      <c r="F1959" s="87"/>
      <c r="G1959" s="88"/>
      <c r="H1959" s="89"/>
      <c r="I1959" s="90"/>
      <c r="K1959" s="91"/>
      <c r="L1959" s="88"/>
      <c r="M1959" s="92"/>
      <c r="N1959" s="86"/>
    </row>
    <row r="1960" spans="5:14">
      <c r="E1960" s="86"/>
      <c r="F1960" s="87"/>
      <c r="G1960" s="88"/>
      <c r="H1960" s="89"/>
      <c r="I1960" s="90"/>
      <c r="K1960" s="91"/>
      <c r="L1960" s="88"/>
      <c r="M1960" s="92"/>
      <c r="N1960" s="86"/>
    </row>
    <row r="1961" spans="5:14">
      <c r="E1961" s="86"/>
      <c r="F1961" s="87"/>
      <c r="G1961" s="88"/>
      <c r="H1961" s="89"/>
      <c r="I1961" s="90"/>
      <c r="K1961" s="91"/>
      <c r="L1961" s="88"/>
      <c r="M1961" s="92"/>
      <c r="N1961" s="86"/>
    </row>
    <row r="1962" spans="5:14">
      <c r="E1962" s="86"/>
      <c r="F1962" s="87"/>
      <c r="G1962" s="88"/>
      <c r="H1962" s="89"/>
      <c r="I1962" s="90"/>
      <c r="K1962" s="91"/>
      <c r="L1962" s="88"/>
      <c r="M1962" s="92"/>
      <c r="N1962" s="86"/>
    </row>
    <row r="1963" spans="5:14">
      <c r="E1963" s="86"/>
      <c r="F1963" s="87"/>
      <c r="G1963" s="88"/>
      <c r="H1963" s="89"/>
      <c r="I1963" s="90"/>
      <c r="K1963" s="91"/>
      <c r="L1963" s="88"/>
      <c r="M1963" s="92"/>
      <c r="N1963" s="86"/>
    </row>
    <row r="1964" spans="5:14">
      <c r="E1964" s="86"/>
      <c r="F1964" s="87"/>
      <c r="G1964" s="88"/>
      <c r="H1964" s="89"/>
      <c r="I1964" s="90"/>
      <c r="K1964" s="91"/>
      <c r="L1964" s="88"/>
      <c r="M1964" s="92"/>
      <c r="N1964" s="86"/>
    </row>
    <row r="1965" spans="5:14">
      <c r="E1965" s="86"/>
      <c r="F1965" s="87"/>
      <c r="G1965" s="88"/>
      <c r="H1965" s="89"/>
      <c r="I1965" s="90"/>
      <c r="K1965" s="91"/>
      <c r="L1965" s="88"/>
      <c r="M1965" s="92"/>
      <c r="N1965" s="86"/>
    </row>
    <row r="1966" spans="5:14">
      <c r="E1966" s="86"/>
      <c r="F1966" s="87"/>
      <c r="G1966" s="88"/>
      <c r="H1966" s="89"/>
      <c r="I1966" s="90"/>
      <c r="K1966" s="91"/>
      <c r="L1966" s="88"/>
      <c r="M1966" s="92"/>
      <c r="N1966" s="86"/>
    </row>
    <row r="1967" spans="5:14">
      <c r="E1967" s="86"/>
      <c r="F1967" s="87"/>
      <c r="G1967" s="88"/>
      <c r="H1967" s="89"/>
      <c r="I1967" s="90"/>
      <c r="K1967" s="91"/>
      <c r="L1967" s="88"/>
      <c r="M1967" s="92"/>
      <c r="N1967" s="86"/>
    </row>
    <row r="1968" spans="5:14">
      <c r="E1968" s="86"/>
      <c r="F1968" s="87"/>
      <c r="G1968" s="88"/>
      <c r="H1968" s="89"/>
      <c r="I1968" s="90"/>
      <c r="K1968" s="91"/>
      <c r="L1968" s="88"/>
      <c r="M1968" s="92"/>
      <c r="N1968" s="86"/>
    </row>
    <row r="1969" spans="5:14">
      <c r="E1969" s="86"/>
      <c r="F1969" s="87"/>
      <c r="G1969" s="88"/>
      <c r="H1969" s="89"/>
      <c r="I1969" s="90"/>
      <c r="K1969" s="91"/>
      <c r="L1969" s="88"/>
      <c r="M1969" s="92"/>
      <c r="N1969" s="86"/>
    </row>
    <row r="1970" spans="5:14">
      <c r="E1970" s="86"/>
      <c r="F1970" s="87"/>
      <c r="G1970" s="88"/>
      <c r="H1970" s="89"/>
      <c r="I1970" s="90"/>
      <c r="K1970" s="91"/>
      <c r="L1970" s="88"/>
      <c r="M1970" s="92"/>
      <c r="N1970" s="86"/>
    </row>
    <row r="1971" spans="5:14">
      <c r="E1971" s="86"/>
      <c r="F1971" s="87"/>
      <c r="G1971" s="88"/>
      <c r="H1971" s="89"/>
      <c r="I1971" s="90"/>
      <c r="K1971" s="91"/>
      <c r="L1971" s="88"/>
      <c r="M1971" s="92"/>
      <c r="N1971" s="86"/>
    </row>
    <row r="1972" spans="5:14">
      <c r="E1972" s="86"/>
      <c r="F1972" s="87"/>
      <c r="G1972" s="88"/>
      <c r="H1972" s="89"/>
      <c r="I1972" s="90"/>
      <c r="K1972" s="91"/>
      <c r="L1972" s="88"/>
      <c r="M1972" s="92"/>
      <c r="N1972" s="86"/>
    </row>
    <row r="1973" spans="5:14">
      <c r="E1973" s="86"/>
      <c r="F1973" s="87"/>
      <c r="G1973" s="88"/>
      <c r="H1973" s="89"/>
      <c r="I1973" s="90"/>
      <c r="K1973" s="91"/>
      <c r="L1973" s="88"/>
      <c r="M1973" s="92"/>
      <c r="N1973" s="86"/>
    </row>
    <row r="1974" spans="5:14">
      <c r="E1974" s="86"/>
      <c r="F1974" s="87"/>
      <c r="G1974" s="88"/>
      <c r="H1974" s="89"/>
      <c r="I1974" s="90"/>
      <c r="K1974" s="91"/>
      <c r="L1974" s="88"/>
      <c r="M1974" s="92"/>
      <c r="N1974" s="86"/>
    </row>
    <row r="1975" spans="5:14">
      <c r="E1975" s="86"/>
      <c r="F1975" s="87"/>
      <c r="G1975" s="88"/>
      <c r="H1975" s="89"/>
      <c r="I1975" s="90"/>
      <c r="K1975" s="91"/>
      <c r="L1975" s="88"/>
      <c r="M1975" s="92"/>
      <c r="N1975" s="86"/>
    </row>
    <row r="1976" spans="5:14">
      <c r="E1976" s="86"/>
      <c r="F1976" s="87"/>
      <c r="G1976" s="88"/>
      <c r="H1976" s="89"/>
      <c r="I1976" s="90"/>
      <c r="K1976" s="91"/>
      <c r="L1976" s="88"/>
      <c r="M1976" s="92"/>
      <c r="N1976" s="86"/>
    </row>
    <row r="1977" spans="5:14">
      <c r="E1977" s="86"/>
      <c r="F1977" s="87"/>
      <c r="G1977" s="88"/>
      <c r="H1977" s="89"/>
      <c r="I1977" s="90"/>
      <c r="K1977" s="91"/>
      <c r="L1977" s="88"/>
      <c r="M1977" s="92"/>
      <c r="N1977" s="86"/>
    </row>
    <row r="1978" spans="5:14">
      <c r="E1978" s="86"/>
      <c r="F1978" s="87"/>
      <c r="G1978" s="88"/>
      <c r="H1978" s="89"/>
      <c r="I1978" s="90"/>
      <c r="K1978" s="91"/>
      <c r="L1978" s="88"/>
      <c r="M1978" s="92"/>
      <c r="N1978" s="86"/>
    </row>
    <row r="1979" spans="5:14">
      <c r="E1979" s="86"/>
      <c r="F1979" s="87"/>
      <c r="G1979" s="88"/>
      <c r="H1979" s="89"/>
      <c r="I1979" s="90"/>
      <c r="K1979" s="91"/>
      <c r="L1979" s="88"/>
      <c r="M1979" s="92"/>
      <c r="N1979" s="86"/>
    </row>
    <row r="1980" spans="5:14">
      <c r="E1980" s="86"/>
      <c r="F1980" s="87"/>
      <c r="G1980" s="88"/>
      <c r="H1980" s="89"/>
      <c r="I1980" s="90"/>
      <c r="K1980" s="91"/>
      <c r="L1980" s="88"/>
      <c r="M1980" s="92"/>
      <c r="N1980" s="86"/>
    </row>
    <row r="1981" spans="5:14">
      <c r="E1981" s="86"/>
      <c r="F1981" s="87"/>
      <c r="G1981" s="88"/>
      <c r="H1981" s="89"/>
      <c r="I1981" s="90"/>
      <c r="K1981" s="91"/>
      <c r="L1981" s="88"/>
      <c r="M1981" s="92"/>
      <c r="N1981" s="86"/>
    </row>
    <row r="1982" spans="5:14">
      <c r="E1982" s="86"/>
      <c r="F1982" s="87"/>
      <c r="G1982" s="88"/>
      <c r="H1982" s="89"/>
      <c r="I1982" s="90"/>
      <c r="K1982" s="91"/>
      <c r="L1982" s="88"/>
      <c r="M1982" s="92"/>
      <c r="N1982" s="86"/>
    </row>
    <row r="1983" spans="5:14">
      <c r="E1983" s="86"/>
      <c r="F1983" s="87"/>
      <c r="G1983" s="88"/>
      <c r="H1983" s="89"/>
      <c r="I1983" s="90"/>
      <c r="K1983" s="91"/>
      <c r="L1983" s="88"/>
      <c r="M1983" s="92"/>
      <c r="N1983" s="86"/>
    </row>
    <row r="1984" spans="5:14">
      <c r="E1984" s="86"/>
      <c r="F1984" s="87"/>
      <c r="G1984" s="88"/>
      <c r="H1984" s="89"/>
      <c r="I1984" s="90"/>
      <c r="K1984" s="91"/>
      <c r="L1984" s="88"/>
      <c r="M1984" s="92"/>
      <c r="N1984" s="86"/>
    </row>
    <row r="1985" spans="5:14">
      <c r="E1985" s="86"/>
      <c r="F1985" s="87"/>
      <c r="G1985" s="88"/>
      <c r="H1985" s="89"/>
      <c r="I1985" s="90"/>
      <c r="K1985" s="91"/>
      <c r="L1985" s="88"/>
      <c r="M1985" s="92"/>
      <c r="N1985" s="86"/>
    </row>
    <row r="1986" spans="5:14">
      <c r="E1986" s="86"/>
      <c r="F1986" s="87"/>
      <c r="G1986" s="88"/>
      <c r="H1986" s="89"/>
      <c r="I1986" s="90"/>
      <c r="K1986" s="91"/>
      <c r="L1986" s="88"/>
      <c r="M1986" s="92"/>
      <c r="N1986" s="86"/>
    </row>
    <row r="1987" spans="5:14">
      <c r="E1987" s="86"/>
      <c r="F1987" s="87"/>
      <c r="G1987" s="88"/>
      <c r="H1987" s="89"/>
      <c r="I1987" s="90"/>
      <c r="K1987" s="91"/>
      <c r="L1987" s="88"/>
      <c r="M1987" s="92"/>
      <c r="N1987" s="86"/>
    </row>
    <row r="1988" spans="5:14">
      <c r="E1988" s="86"/>
      <c r="F1988" s="87"/>
      <c r="G1988" s="88"/>
      <c r="H1988" s="89"/>
      <c r="I1988" s="90"/>
      <c r="K1988" s="91"/>
      <c r="L1988" s="88"/>
      <c r="M1988" s="92"/>
      <c r="N1988" s="86"/>
    </row>
    <row r="1989" spans="5:14">
      <c r="E1989" s="86"/>
      <c r="F1989" s="87"/>
      <c r="G1989" s="88"/>
      <c r="H1989" s="89"/>
      <c r="I1989" s="90"/>
      <c r="K1989" s="91"/>
      <c r="L1989" s="88"/>
      <c r="M1989" s="92"/>
      <c r="N1989" s="86"/>
    </row>
    <row r="1990" spans="5:14">
      <c r="E1990" s="86"/>
      <c r="F1990" s="87"/>
      <c r="G1990" s="88"/>
      <c r="H1990" s="89"/>
      <c r="I1990" s="90"/>
      <c r="K1990" s="91"/>
      <c r="L1990" s="88"/>
      <c r="M1990" s="92"/>
      <c r="N1990" s="86"/>
    </row>
    <row r="1991" spans="5:14">
      <c r="E1991" s="86"/>
      <c r="F1991" s="87"/>
      <c r="G1991" s="88"/>
      <c r="H1991" s="89"/>
      <c r="I1991" s="90"/>
      <c r="K1991" s="91"/>
      <c r="L1991" s="88"/>
      <c r="M1991" s="92"/>
      <c r="N1991" s="86"/>
    </row>
    <row r="1992" spans="5:14">
      <c r="E1992" s="86"/>
      <c r="F1992" s="87"/>
      <c r="G1992" s="88"/>
      <c r="H1992" s="89"/>
      <c r="I1992" s="90"/>
      <c r="K1992" s="91"/>
      <c r="L1992" s="88"/>
      <c r="M1992" s="92"/>
      <c r="N1992" s="86"/>
    </row>
    <row r="1993" spans="5:14">
      <c r="E1993" s="86"/>
      <c r="F1993" s="87"/>
      <c r="G1993" s="88"/>
      <c r="H1993" s="89"/>
      <c r="I1993" s="90"/>
      <c r="K1993" s="91"/>
      <c r="L1993" s="88"/>
      <c r="M1993" s="92"/>
      <c r="N1993" s="86"/>
    </row>
    <row r="1994" spans="5:14">
      <c r="E1994" s="86"/>
      <c r="F1994" s="87"/>
      <c r="G1994" s="88"/>
      <c r="H1994" s="89"/>
      <c r="I1994" s="90"/>
      <c r="K1994" s="91"/>
      <c r="L1994" s="88"/>
      <c r="M1994" s="92"/>
      <c r="N1994" s="86"/>
    </row>
    <row r="1995" spans="5:14">
      <c r="E1995" s="86"/>
      <c r="F1995" s="87"/>
      <c r="G1995" s="88"/>
      <c r="H1995" s="89"/>
      <c r="I1995" s="90"/>
      <c r="K1995" s="91"/>
      <c r="L1995" s="88"/>
      <c r="M1995" s="92"/>
      <c r="N1995" s="86"/>
    </row>
    <row r="1996" spans="5:14">
      <c r="E1996" s="86"/>
      <c r="F1996" s="87"/>
      <c r="G1996" s="88"/>
      <c r="H1996" s="89"/>
      <c r="I1996" s="90"/>
      <c r="K1996" s="91"/>
      <c r="L1996" s="88"/>
      <c r="M1996" s="92"/>
      <c r="N1996" s="86"/>
    </row>
    <row r="1997" spans="5:14">
      <c r="E1997" s="86"/>
      <c r="F1997" s="87"/>
      <c r="G1997" s="88"/>
      <c r="H1997" s="89"/>
      <c r="I1997" s="90"/>
      <c r="K1997" s="91"/>
      <c r="L1997" s="88"/>
      <c r="M1997" s="92"/>
      <c r="N1997" s="86"/>
    </row>
    <row r="1998" spans="5:14">
      <c r="E1998" s="86"/>
      <c r="F1998" s="87"/>
      <c r="G1998" s="88"/>
      <c r="H1998" s="89"/>
      <c r="I1998" s="90"/>
      <c r="K1998" s="91"/>
      <c r="L1998" s="88"/>
      <c r="M1998" s="92"/>
      <c r="N1998" s="86"/>
    </row>
    <row r="1999" spans="5:14">
      <c r="E1999" s="86"/>
      <c r="F1999" s="87"/>
      <c r="G1999" s="88"/>
      <c r="H1999" s="89"/>
      <c r="I1999" s="90"/>
      <c r="K1999" s="91"/>
      <c r="L1999" s="88"/>
      <c r="M1999" s="92"/>
      <c r="N1999" s="86"/>
    </row>
    <row r="2000" spans="5:14">
      <c r="E2000" s="86"/>
      <c r="F2000" s="87"/>
      <c r="G2000" s="88"/>
      <c r="H2000" s="89"/>
      <c r="I2000" s="90"/>
      <c r="K2000" s="91"/>
      <c r="L2000" s="88"/>
      <c r="M2000" s="92"/>
      <c r="N2000" s="86"/>
    </row>
    <row r="2001" spans="5:14">
      <c r="E2001" s="86"/>
      <c r="F2001" s="87"/>
      <c r="G2001" s="88"/>
      <c r="H2001" s="89"/>
      <c r="I2001" s="90"/>
      <c r="K2001" s="91"/>
      <c r="L2001" s="88"/>
      <c r="M2001" s="92"/>
      <c r="N2001" s="86"/>
    </row>
    <row r="2002" spans="5:14">
      <c r="E2002" s="86"/>
      <c r="F2002" s="87"/>
      <c r="G2002" s="88"/>
      <c r="H2002" s="89"/>
      <c r="I2002" s="90"/>
      <c r="K2002" s="91"/>
      <c r="L2002" s="88"/>
      <c r="M2002" s="92"/>
      <c r="N2002" s="86"/>
    </row>
    <row r="2003" spans="5:14">
      <c r="E2003" s="86"/>
      <c r="F2003" s="87"/>
      <c r="G2003" s="88"/>
      <c r="H2003" s="89"/>
      <c r="I2003" s="90"/>
      <c r="K2003" s="91"/>
      <c r="L2003" s="88"/>
      <c r="M2003" s="92"/>
      <c r="N2003" s="86"/>
    </row>
    <row r="2004" spans="5:14">
      <c r="E2004" s="86"/>
      <c r="F2004" s="87"/>
      <c r="G2004" s="88"/>
      <c r="H2004" s="89"/>
      <c r="I2004" s="90"/>
      <c r="K2004" s="91"/>
      <c r="L2004" s="88"/>
      <c r="M2004" s="92"/>
      <c r="N2004" s="86"/>
    </row>
    <row r="2005" spans="5:14">
      <c r="E2005" s="86"/>
      <c r="F2005" s="87"/>
      <c r="G2005" s="88"/>
      <c r="H2005" s="89"/>
      <c r="I2005" s="90"/>
      <c r="K2005" s="91"/>
      <c r="L2005" s="88"/>
      <c r="M2005" s="92"/>
      <c r="N2005" s="86"/>
    </row>
    <row r="2006" spans="5:14">
      <c r="E2006" s="86"/>
      <c r="F2006" s="87"/>
      <c r="G2006" s="88"/>
      <c r="H2006" s="89"/>
      <c r="I2006" s="90"/>
      <c r="K2006" s="91"/>
      <c r="L2006" s="88"/>
      <c r="M2006" s="92"/>
      <c r="N2006" s="86"/>
    </row>
    <row r="2007" spans="5:14">
      <c r="E2007" s="86"/>
      <c r="F2007" s="87"/>
      <c r="G2007" s="88"/>
      <c r="H2007" s="89"/>
      <c r="I2007" s="90"/>
      <c r="K2007" s="91"/>
      <c r="L2007" s="88"/>
      <c r="M2007" s="92"/>
      <c r="N2007" s="86"/>
    </row>
    <row r="2008" spans="5:14">
      <c r="E2008" s="86"/>
      <c r="F2008" s="87"/>
      <c r="G2008" s="88"/>
      <c r="H2008" s="89"/>
      <c r="I2008" s="90"/>
      <c r="K2008" s="91"/>
      <c r="L2008" s="88"/>
      <c r="M2008" s="92"/>
      <c r="N2008" s="86"/>
    </row>
    <row r="2009" spans="5:14">
      <c r="E2009" s="86"/>
      <c r="F2009" s="87"/>
      <c r="G2009" s="88"/>
      <c r="H2009" s="89"/>
      <c r="I2009" s="90"/>
      <c r="K2009" s="91"/>
      <c r="L2009" s="88"/>
      <c r="M2009" s="92"/>
      <c r="N2009" s="86"/>
    </row>
    <row r="2010" spans="5:14">
      <c r="E2010" s="86"/>
      <c r="F2010" s="87"/>
      <c r="G2010" s="88"/>
      <c r="H2010" s="89"/>
      <c r="I2010" s="90"/>
      <c r="K2010" s="91"/>
      <c r="L2010" s="88"/>
      <c r="M2010" s="92"/>
      <c r="N2010" s="86"/>
    </row>
    <row r="2011" spans="5:14">
      <c r="E2011" s="86"/>
      <c r="F2011" s="87"/>
      <c r="G2011" s="88"/>
      <c r="H2011" s="89"/>
      <c r="I2011" s="90"/>
      <c r="K2011" s="91"/>
      <c r="L2011" s="88"/>
      <c r="M2011" s="92"/>
      <c r="N2011" s="86"/>
    </row>
    <row r="2012" spans="5:14">
      <c r="E2012" s="86"/>
      <c r="F2012" s="87"/>
      <c r="G2012" s="88"/>
      <c r="H2012" s="89"/>
      <c r="I2012" s="90"/>
      <c r="K2012" s="91"/>
      <c r="L2012" s="88"/>
      <c r="M2012" s="92"/>
      <c r="N2012" s="86"/>
    </row>
    <row r="2013" spans="5:14">
      <c r="E2013" s="86"/>
      <c r="F2013" s="87"/>
      <c r="G2013" s="88"/>
      <c r="H2013" s="89"/>
      <c r="I2013" s="90"/>
      <c r="K2013" s="91"/>
      <c r="L2013" s="88"/>
      <c r="M2013" s="92"/>
      <c r="N2013" s="86"/>
    </row>
    <row r="2014" spans="5:14">
      <c r="E2014" s="86"/>
      <c r="F2014" s="87"/>
      <c r="G2014" s="88"/>
      <c r="H2014" s="89"/>
      <c r="I2014" s="90"/>
      <c r="K2014" s="91"/>
      <c r="L2014" s="88"/>
      <c r="M2014" s="92"/>
      <c r="N2014" s="86"/>
    </row>
    <row r="2015" spans="5:14">
      <c r="E2015" s="86"/>
      <c r="F2015" s="87"/>
      <c r="G2015" s="88"/>
      <c r="H2015" s="89"/>
      <c r="I2015" s="90"/>
      <c r="K2015" s="91"/>
      <c r="L2015" s="88"/>
      <c r="M2015" s="92"/>
      <c r="N2015" s="86"/>
    </row>
    <row r="2016" spans="5:14">
      <c r="E2016" s="86"/>
      <c r="F2016" s="87"/>
      <c r="G2016" s="88"/>
      <c r="H2016" s="89"/>
      <c r="I2016" s="90"/>
      <c r="K2016" s="91"/>
      <c r="L2016" s="88"/>
      <c r="M2016" s="92"/>
      <c r="N2016" s="86"/>
    </row>
    <row r="2017" spans="5:14">
      <c r="E2017" s="86"/>
      <c r="F2017" s="87"/>
      <c r="G2017" s="88"/>
      <c r="H2017" s="89"/>
      <c r="I2017" s="90"/>
      <c r="K2017" s="91"/>
      <c r="L2017" s="88"/>
      <c r="M2017" s="92"/>
      <c r="N2017" s="86"/>
    </row>
    <row r="2018" spans="5:14">
      <c r="E2018" s="86"/>
      <c r="F2018" s="87"/>
      <c r="G2018" s="88"/>
      <c r="H2018" s="89"/>
      <c r="I2018" s="90"/>
      <c r="K2018" s="91"/>
      <c r="L2018" s="88"/>
      <c r="M2018" s="92"/>
      <c r="N2018" s="86"/>
    </row>
    <row r="2019" spans="5:14">
      <c r="E2019" s="86"/>
      <c r="F2019" s="87"/>
      <c r="G2019" s="88"/>
      <c r="H2019" s="89"/>
      <c r="I2019" s="90"/>
      <c r="K2019" s="91"/>
      <c r="L2019" s="88"/>
      <c r="M2019" s="92"/>
      <c r="N2019" s="86"/>
    </row>
    <row r="2020" spans="5:14">
      <c r="E2020" s="86"/>
      <c r="F2020" s="87"/>
      <c r="G2020" s="88"/>
      <c r="H2020" s="89"/>
      <c r="I2020" s="90"/>
      <c r="K2020" s="91"/>
      <c r="L2020" s="88"/>
      <c r="M2020" s="92"/>
      <c r="N2020" s="86"/>
    </row>
    <row r="2021" spans="5:14">
      <c r="E2021" s="86"/>
      <c r="F2021" s="87"/>
      <c r="G2021" s="88"/>
      <c r="H2021" s="89"/>
      <c r="I2021" s="90"/>
      <c r="K2021" s="91"/>
      <c r="L2021" s="88"/>
      <c r="M2021" s="92"/>
      <c r="N2021" s="86"/>
    </row>
    <row r="2022" spans="5:14">
      <c r="E2022" s="86"/>
      <c r="F2022" s="87"/>
      <c r="G2022" s="88"/>
      <c r="H2022" s="89"/>
      <c r="I2022" s="90"/>
      <c r="K2022" s="91"/>
      <c r="L2022" s="88"/>
      <c r="M2022" s="92"/>
      <c r="N2022" s="86"/>
    </row>
    <row r="2023" spans="5:14">
      <c r="E2023" s="86"/>
      <c r="F2023" s="87"/>
      <c r="G2023" s="88"/>
      <c r="H2023" s="89"/>
      <c r="I2023" s="90"/>
      <c r="K2023" s="91"/>
      <c r="L2023" s="88"/>
      <c r="M2023" s="92"/>
      <c r="N2023" s="86"/>
    </row>
    <row r="2024" spans="5:14">
      <c r="E2024" s="86"/>
      <c r="F2024" s="87"/>
      <c r="G2024" s="88"/>
      <c r="H2024" s="89"/>
      <c r="I2024" s="90"/>
      <c r="K2024" s="91"/>
      <c r="L2024" s="88"/>
      <c r="M2024" s="92"/>
      <c r="N2024" s="86"/>
    </row>
    <row r="2025" spans="5:14">
      <c r="E2025" s="86"/>
      <c r="F2025" s="87"/>
      <c r="G2025" s="88"/>
      <c r="H2025" s="89"/>
      <c r="I2025" s="90"/>
      <c r="K2025" s="91"/>
      <c r="L2025" s="88"/>
      <c r="M2025" s="92"/>
      <c r="N2025" s="86"/>
    </row>
    <row r="2026" spans="5:14">
      <c r="E2026" s="86"/>
      <c r="F2026" s="87"/>
      <c r="G2026" s="88"/>
      <c r="H2026" s="89"/>
      <c r="I2026" s="90"/>
      <c r="K2026" s="91"/>
      <c r="L2026" s="88"/>
      <c r="M2026" s="92"/>
      <c r="N2026" s="86"/>
    </row>
    <row r="2027" spans="5:14">
      <c r="E2027" s="86"/>
      <c r="F2027" s="87"/>
      <c r="G2027" s="88"/>
      <c r="H2027" s="89"/>
      <c r="I2027" s="90"/>
      <c r="K2027" s="91"/>
      <c r="L2027" s="88"/>
      <c r="M2027" s="92"/>
      <c r="N2027" s="86"/>
    </row>
    <row r="2028" spans="5:14">
      <c r="E2028" s="86"/>
      <c r="F2028" s="87"/>
      <c r="G2028" s="88"/>
      <c r="H2028" s="89"/>
      <c r="I2028" s="90"/>
      <c r="K2028" s="91"/>
      <c r="L2028" s="88"/>
      <c r="M2028" s="92"/>
      <c r="N2028" s="86"/>
    </row>
    <row r="2029" spans="5:14">
      <c r="E2029" s="86"/>
      <c r="F2029" s="87"/>
      <c r="G2029" s="88"/>
      <c r="H2029" s="89"/>
      <c r="I2029" s="90"/>
      <c r="K2029" s="91"/>
      <c r="L2029" s="88"/>
      <c r="M2029" s="92"/>
      <c r="N2029" s="86"/>
    </row>
    <row r="2030" spans="5:14">
      <c r="E2030" s="86"/>
      <c r="F2030" s="87"/>
      <c r="G2030" s="88"/>
      <c r="H2030" s="89"/>
      <c r="I2030" s="90"/>
      <c r="K2030" s="91"/>
      <c r="L2030" s="88"/>
      <c r="M2030" s="92"/>
      <c r="N2030" s="86"/>
    </row>
    <row r="2031" spans="5:14">
      <c r="E2031" s="86"/>
      <c r="F2031" s="87"/>
      <c r="G2031" s="88"/>
      <c r="H2031" s="89"/>
      <c r="I2031" s="90"/>
      <c r="K2031" s="91"/>
      <c r="L2031" s="88"/>
      <c r="M2031" s="92"/>
      <c r="N2031" s="86"/>
    </row>
    <row r="2032" spans="5:14">
      <c r="E2032" s="86"/>
      <c r="F2032" s="87"/>
      <c r="G2032" s="88"/>
      <c r="H2032" s="89"/>
      <c r="I2032" s="90"/>
      <c r="K2032" s="91"/>
      <c r="L2032" s="88"/>
      <c r="M2032" s="92"/>
      <c r="N2032" s="86"/>
    </row>
    <row r="2033" spans="5:14">
      <c r="E2033" s="86"/>
      <c r="F2033" s="87"/>
      <c r="G2033" s="88"/>
      <c r="H2033" s="89"/>
      <c r="I2033" s="90"/>
      <c r="K2033" s="91"/>
      <c r="L2033" s="88"/>
      <c r="M2033" s="92"/>
      <c r="N2033" s="86"/>
    </row>
    <row r="2034" spans="5:14">
      <c r="E2034" s="86"/>
      <c r="F2034" s="87"/>
      <c r="G2034" s="88"/>
      <c r="H2034" s="89"/>
      <c r="I2034" s="90"/>
      <c r="K2034" s="91"/>
      <c r="L2034" s="88"/>
      <c r="M2034" s="92"/>
      <c r="N2034" s="86"/>
    </row>
    <row r="2035" spans="5:14">
      <c r="E2035" s="86"/>
      <c r="F2035" s="87"/>
      <c r="G2035" s="88"/>
      <c r="H2035" s="89"/>
      <c r="I2035" s="90"/>
      <c r="K2035" s="91"/>
      <c r="L2035" s="88"/>
      <c r="M2035" s="92"/>
      <c r="N2035" s="86"/>
    </row>
    <row r="2036" spans="5:14">
      <c r="E2036" s="86"/>
      <c r="F2036" s="87"/>
      <c r="G2036" s="88"/>
      <c r="H2036" s="89"/>
      <c r="I2036" s="90"/>
      <c r="K2036" s="91"/>
      <c r="L2036" s="88"/>
      <c r="M2036" s="92"/>
      <c r="N2036" s="86"/>
    </row>
    <row r="2037" spans="5:14">
      <c r="E2037" s="86"/>
      <c r="F2037" s="87"/>
      <c r="G2037" s="88"/>
      <c r="H2037" s="89"/>
      <c r="I2037" s="90"/>
      <c r="K2037" s="91"/>
      <c r="L2037" s="88"/>
      <c r="M2037" s="92"/>
      <c r="N2037" s="86"/>
    </row>
    <row r="2038" spans="5:14">
      <c r="E2038" s="86"/>
      <c r="F2038" s="87"/>
      <c r="G2038" s="88"/>
      <c r="H2038" s="89"/>
      <c r="I2038" s="90"/>
      <c r="K2038" s="91"/>
      <c r="L2038" s="88"/>
      <c r="M2038" s="92"/>
      <c r="N2038" s="86"/>
    </row>
    <row r="2039" spans="5:14">
      <c r="E2039" s="86"/>
      <c r="F2039" s="87"/>
      <c r="G2039" s="88"/>
      <c r="H2039" s="89"/>
      <c r="I2039" s="90"/>
      <c r="K2039" s="91"/>
      <c r="L2039" s="88"/>
      <c r="M2039" s="92"/>
      <c r="N2039" s="86"/>
    </row>
    <row r="2040" spans="5:14">
      <c r="E2040" s="86"/>
      <c r="F2040" s="87"/>
      <c r="G2040" s="88"/>
      <c r="H2040" s="89"/>
      <c r="I2040" s="90"/>
      <c r="K2040" s="91"/>
      <c r="L2040" s="88"/>
      <c r="M2040" s="92"/>
      <c r="N2040" s="86"/>
    </row>
    <row r="2041" spans="5:14">
      <c r="E2041" s="86"/>
      <c r="F2041" s="87"/>
      <c r="G2041" s="88"/>
      <c r="H2041" s="89"/>
      <c r="I2041" s="90"/>
      <c r="K2041" s="91"/>
      <c r="L2041" s="88"/>
      <c r="M2041" s="92"/>
      <c r="N2041" s="86"/>
    </row>
    <row r="2042" spans="5:14">
      <c r="E2042" s="86"/>
      <c r="F2042" s="87"/>
      <c r="G2042" s="88"/>
      <c r="H2042" s="89"/>
      <c r="I2042" s="90"/>
      <c r="K2042" s="91"/>
      <c r="L2042" s="88"/>
      <c r="M2042" s="92"/>
      <c r="N2042" s="86"/>
    </row>
    <row r="2043" spans="5:14">
      <c r="E2043" s="86"/>
      <c r="F2043" s="87"/>
      <c r="G2043" s="88"/>
      <c r="H2043" s="89"/>
      <c r="I2043" s="90"/>
      <c r="K2043" s="91"/>
      <c r="L2043" s="88"/>
      <c r="M2043" s="92"/>
      <c r="N2043" s="86"/>
    </row>
    <row r="2044" spans="5:14">
      <c r="E2044" s="86"/>
      <c r="F2044" s="87"/>
      <c r="G2044" s="88"/>
      <c r="H2044" s="89"/>
      <c r="I2044" s="90"/>
      <c r="K2044" s="91"/>
      <c r="L2044" s="88"/>
      <c r="M2044" s="92"/>
      <c r="N2044" s="86"/>
    </row>
    <row r="2045" spans="5:14">
      <c r="E2045" s="86"/>
      <c r="F2045" s="87"/>
      <c r="G2045" s="88"/>
      <c r="H2045" s="89"/>
      <c r="I2045" s="90"/>
      <c r="K2045" s="91"/>
      <c r="L2045" s="88"/>
      <c r="M2045" s="92"/>
      <c r="N2045" s="86"/>
    </row>
    <row r="2046" spans="5:14">
      <c r="E2046" s="86"/>
      <c r="F2046" s="87"/>
      <c r="G2046" s="88"/>
      <c r="H2046" s="89"/>
      <c r="I2046" s="90"/>
      <c r="K2046" s="91"/>
      <c r="L2046" s="88"/>
      <c r="M2046" s="92"/>
      <c r="N2046" s="86"/>
    </row>
    <row r="2047" spans="5:14">
      <c r="E2047" s="86"/>
      <c r="F2047" s="87"/>
      <c r="G2047" s="88"/>
      <c r="H2047" s="89"/>
      <c r="I2047" s="90"/>
      <c r="K2047" s="91"/>
      <c r="L2047" s="88"/>
      <c r="M2047" s="92"/>
      <c r="N2047" s="86"/>
    </row>
    <row r="2048" spans="5:14">
      <c r="E2048" s="86"/>
      <c r="F2048" s="87"/>
      <c r="G2048" s="88"/>
      <c r="H2048" s="89"/>
      <c r="I2048" s="90"/>
      <c r="K2048" s="91"/>
      <c r="L2048" s="88"/>
      <c r="M2048" s="92"/>
      <c r="N2048" s="86"/>
    </row>
    <row r="2049" spans="5:14">
      <c r="E2049" s="86"/>
      <c r="F2049" s="87"/>
      <c r="G2049" s="88"/>
      <c r="H2049" s="89"/>
      <c r="I2049" s="90"/>
      <c r="K2049" s="91"/>
      <c r="L2049" s="88"/>
      <c r="M2049" s="92"/>
      <c r="N2049" s="86"/>
    </row>
    <row r="2050" spans="5:14">
      <c r="E2050" s="86"/>
      <c r="F2050" s="87"/>
      <c r="G2050" s="88"/>
      <c r="H2050" s="89"/>
      <c r="I2050" s="90"/>
      <c r="K2050" s="91"/>
      <c r="L2050" s="88"/>
      <c r="M2050" s="92"/>
      <c r="N2050" s="86"/>
    </row>
    <row r="2051" spans="5:14">
      <c r="E2051" s="86"/>
      <c r="F2051" s="87"/>
      <c r="G2051" s="88"/>
      <c r="H2051" s="89"/>
      <c r="I2051" s="90"/>
      <c r="K2051" s="91"/>
      <c r="L2051" s="88"/>
      <c r="M2051" s="92"/>
      <c r="N2051" s="86"/>
    </row>
    <row r="2052" spans="5:14">
      <c r="E2052" s="86"/>
      <c r="F2052" s="87"/>
      <c r="G2052" s="88"/>
      <c r="H2052" s="89"/>
      <c r="I2052" s="90"/>
      <c r="K2052" s="91"/>
      <c r="L2052" s="88"/>
      <c r="M2052" s="92"/>
      <c r="N2052" s="86"/>
    </row>
    <row r="2053" spans="5:14">
      <c r="E2053" s="86"/>
      <c r="F2053" s="87"/>
      <c r="G2053" s="88"/>
      <c r="H2053" s="89"/>
      <c r="I2053" s="90"/>
      <c r="K2053" s="91"/>
      <c r="L2053" s="88"/>
      <c r="M2053" s="92"/>
      <c r="N2053" s="86"/>
    </row>
    <row r="2054" spans="5:14">
      <c r="E2054" s="86"/>
      <c r="F2054" s="87"/>
      <c r="G2054" s="88"/>
      <c r="H2054" s="89"/>
      <c r="I2054" s="90"/>
      <c r="K2054" s="91"/>
      <c r="L2054" s="88"/>
      <c r="M2054" s="92"/>
      <c r="N2054" s="86"/>
    </row>
    <row r="2055" spans="5:14">
      <c r="E2055" s="86"/>
      <c r="F2055" s="87"/>
      <c r="G2055" s="88"/>
      <c r="H2055" s="89"/>
      <c r="I2055" s="90"/>
      <c r="K2055" s="91"/>
      <c r="L2055" s="88"/>
      <c r="M2055" s="92"/>
      <c r="N2055" s="86"/>
    </row>
    <row r="2056" spans="5:14">
      <c r="E2056" s="86"/>
      <c r="F2056" s="87"/>
      <c r="G2056" s="88"/>
      <c r="H2056" s="89"/>
      <c r="I2056" s="90"/>
      <c r="K2056" s="91"/>
      <c r="L2056" s="88"/>
      <c r="M2056" s="92"/>
      <c r="N2056" s="86"/>
    </row>
    <row r="2057" spans="5:14">
      <c r="E2057" s="86"/>
      <c r="F2057" s="87"/>
      <c r="G2057" s="88"/>
      <c r="H2057" s="89"/>
      <c r="I2057" s="90"/>
      <c r="K2057" s="91"/>
      <c r="L2057" s="88"/>
      <c r="M2057" s="92"/>
      <c r="N2057" s="86"/>
    </row>
    <row r="2058" spans="5:14">
      <c r="E2058" s="86"/>
      <c r="F2058" s="87"/>
      <c r="G2058" s="88"/>
      <c r="H2058" s="89"/>
      <c r="I2058" s="90"/>
      <c r="K2058" s="91"/>
      <c r="L2058" s="88"/>
      <c r="M2058" s="92"/>
      <c r="N2058" s="86"/>
    </row>
    <row r="2059" spans="5:14">
      <c r="E2059" s="86"/>
      <c r="F2059" s="87"/>
      <c r="G2059" s="88"/>
      <c r="H2059" s="89"/>
      <c r="I2059" s="90"/>
      <c r="K2059" s="91"/>
      <c r="L2059" s="88"/>
      <c r="M2059" s="92"/>
      <c r="N2059" s="86"/>
    </row>
    <row r="2060" spans="5:14">
      <c r="E2060" s="86"/>
      <c r="F2060" s="87"/>
      <c r="G2060" s="88"/>
      <c r="H2060" s="89"/>
      <c r="I2060" s="90"/>
      <c r="K2060" s="91"/>
      <c r="L2060" s="88"/>
      <c r="M2060" s="92"/>
      <c r="N2060" s="86"/>
    </row>
    <row r="2061" spans="5:14">
      <c r="E2061" s="86"/>
      <c r="F2061" s="87"/>
      <c r="G2061" s="88"/>
      <c r="H2061" s="89"/>
      <c r="I2061" s="90"/>
      <c r="K2061" s="91"/>
      <c r="L2061" s="88"/>
      <c r="M2061" s="92"/>
      <c r="N2061" s="86"/>
    </row>
    <row r="2062" spans="5:14">
      <c r="E2062" s="86"/>
      <c r="F2062" s="87"/>
      <c r="G2062" s="88"/>
      <c r="H2062" s="89"/>
      <c r="I2062" s="90"/>
      <c r="K2062" s="91"/>
      <c r="L2062" s="88"/>
      <c r="M2062" s="92"/>
      <c r="N2062" s="86"/>
    </row>
    <row r="2063" spans="5:14">
      <c r="E2063" s="86"/>
      <c r="F2063" s="87"/>
      <c r="G2063" s="88"/>
      <c r="H2063" s="89"/>
      <c r="I2063" s="90"/>
      <c r="K2063" s="91"/>
      <c r="L2063" s="88"/>
      <c r="M2063" s="92"/>
      <c r="N2063" s="86"/>
    </row>
    <row r="2064" spans="5:14">
      <c r="E2064" s="86"/>
      <c r="F2064" s="87"/>
      <c r="G2064" s="88"/>
      <c r="H2064" s="89"/>
      <c r="I2064" s="90"/>
      <c r="K2064" s="91"/>
      <c r="L2064" s="88"/>
      <c r="M2064" s="92"/>
      <c r="N2064" s="86"/>
    </row>
    <row r="2065" spans="5:14">
      <c r="E2065" s="86"/>
      <c r="F2065" s="87"/>
      <c r="G2065" s="88"/>
      <c r="H2065" s="89"/>
      <c r="I2065" s="90"/>
      <c r="K2065" s="91"/>
      <c r="L2065" s="88"/>
      <c r="M2065" s="92"/>
      <c r="N2065" s="86"/>
    </row>
    <row r="2066" spans="5:14">
      <c r="E2066" s="86"/>
      <c r="F2066" s="87"/>
      <c r="G2066" s="88"/>
      <c r="H2066" s="89"/>
      <c r="I2066" s="90"/>
      <c r="K2066" s="91"/>
      <c r="L2066" s="88"/>
      <c r="M2066" s="92"/>
      <c r="N2066" s="86"/>
    </row>
    <row r="2067" spans="5:14">
      <c r="E2067" s="86"/>
      <c r="F2067" s="87"/>
      <c r="G2067" s="88"/>
      <c r="H2067" s="89"/>
      <c r="I2067" s="90"/>
      <c r="K2067" s="91"/>
      <c r="L2067" s="88"/>
      <c r="M2067" s="92"/>
      <c r="N2067" s="86"/>
    </row>
    <row r="2068" spans="5:14">
      <c r="E2068" s="86"/>
      <c r="F2068" s="87"/>
      <c r="G2068" s="88"/>
      <c r="H2068" s="89"/>
      <c r="I2068" s="90"/>
      <c r="K2068" s="91"/>
      <c r="L2068" s="88"/>
      <c r="M2068" s="92"/>
      <c r="N2068" s="86"/>
    </row>
    <row r="2069" spans="5:14">
      <c r="E2069" s="86"/>
      <c r="F2069" s="87"/>
      <c r="G2069" s="88"/>
      <c r="H2069" s="89"/>
      <c r="I2069" s="90"/>
      <c r="K2069" s="91"/>
      <c r="L2069" s="88"/>
      <c r="M2069" s="92"/>
      <c r="N2069" s="86"/>
    </row>
    <row r="2070" spans="5:14">
      <c r="E2070" s="86"/>
      <c r="F2070" s="87"/>
      <c r="G2070" s="88"/>
      <c r="H2070" s="89"/>
      <c r="I2070" s="90"/>
      <c r="K2070" s="91"/>
      <c r="L2070" s="88"/>
      <c r="M2070" s="92"/>
      <c r="N2070" s="86"/>
    </row>
    <row r="2071" spans="5:14">
      <c r="E2071" s="86"/>
      <c r="F2071" s="87"/>
      <c r="G2071" s="88"/>
      <c r="H2071" s="89"/>
      <c r="I2071" s="90"/>
      <c r="K2071" s="91"/>
      <c r="L2071" s="88"/>
      <c r="M2071" s="92"/>
      <c r="N2071" s="86"/>
    </row>
    <row r="2072" spans="5:14">
      <c r="E2072" s="86"/>
      <c r="F2072" s="87"/>
      <c r="G2072" s="88"/>
      <c r="H2072" s="89"/>
      <c r="I2072" s="90"/>
      <c r="K2072" s="91"/>
      <c r="L2072" s="88"/>
      <c r="M2072" s="92"/>
      <c r="N2072" s="86"/>
    </row>
    <row r="2073" spans="5:14">
      <c r="E2073" s="86"/>
      <c r="F2073" s="87"/>
      <c r="G2073" s="88"/>
      <c r="H2073" s="89"/>
      <c r="I2073" s="90"/>
      <c r="K2073" s="91"/>
      <c r="L2073" s="88"/>
      <c r="M2073" s="92"/>
      <c r="N2073" s="86"/>
    </row>
    <row r="2074" spans="5:14">
      <c r="E2074" s="86"/>
      <c r="F2074" s="87"/>
      <c r="G2074" s="88"/>
      <c r="H2074" s="89"/>
      <c r="I2074" s="90"/>
      <c r="K2074" s="91"/>
      <c r="L2074" s="88"/>
      <c r="M2074" s="92"/>
      <c r="N2074" s="86"/>
    </row>
    <row r="2075" spans="5:14">
      <c r="E2075" s="86"/>
      <c r="F2075" s="87"/>
      <c r="G2075" s="88"/>
      <c r="H2075" s="89"/>
      <c r="I2075" s="90"/>
      <c r="K2075" s="91"/>
      <c r="L2075" s="88"/>
      <c r="M2075" s="92"/>
      <c r="N2075" s="86"/>
    </row>
    <row r="2076" spans="5:14">
      <c r="E2076" s="86"/>
      <c r="F2076" s="87"/>
      <c r="G2076" s="88"/>
      <c r="H2076" s="89"/>
      <c r="I2076" s="90"/>
      <c r="K2076" s="91"/>
      <c r="L2076" s="88"/>
      <c r="M2076" s="92"/>
      <c r="N2076" s="86"/>
    </row>
    <row r="2077" spans="5:14">
      <c r="E2077" s="86"/>
      <c r="F2077" s="87"/>
      <c r="G2077" s="88"/>
      <c r="H2077" s="89"/>
      <c r="I2077" s="90"/>
      <c r="K2077" s="91"/>
      <c r="L2077" s="88"/>
      <c r="M2077" s="92"/>
      <c r="N2077" s="86"/>
    </row>
    <row r="2078" spans="5:14">
      <c r="E2078" s="86"/>
      <c r="F2078" s="87"/>
      <c r="G2078" s="88"/>
      <c r="H2078" s="89"/>
      <c r="I2078" s="90"/>
      <c r="K2078" s="91"/>
      <c r="L2078" s="88"/>
      <c r="M2078" s="92"/>
      <c r="N2078" s="86"/>
    </row>
    <row r="2079" spans="5:14">
      <c r="E2079" s="86"/>
      <c r="F2079" s="87"/>
      <c r="G2079" s="88"/>
      <c r="H2079" s="89"/>
      <c r="I2079" s="90"/>
      <c r="K2079" s="91"/>
      <c r="L2079" s="88"/>
      <c r="M2079" s="92"/>
      <c r="N2079" s="86"/>
    </row>
    <row r="2080" spans="5:14">
      <c r="E2080" s="86"/>
      <c r="F2080" s="87"/>
      <c r="G2080" s="88"/>
      <c r="H2080" s="89"/>
      <c r="I2080" s="90"/>
      <c r="K2080" s="91"/>
      <c r="L2080" s="88"/>
      <c r="M2080" s="92"/>
      <c r="N2080" s="86"/>
    </row>
    <row r="2081" spans="5:14">
      <c r="E2081" s="86"/>
      <c r="F2081" s="87"/>
      <c r="G2081" s="88"/>
      <c r="H2081" s="89"/>
      <c r="I2081" s="90"/>
      <c r="K2081" s="91"/>
      <c r="L2081" s="88"/>
      <c r="M2081" s="92"/>
      <c r="N2081" s="86"/>
    </row>
    <row r="2082" spans="5:14">
      <c r="E2082" s="86"/>
      <c r="F2082" s="87"/>
      <c r="G2082" s="88"/>
      <c r="H2082" s="89"/>
      <c r="I2082" s="90"/>
      <c r="K2082" s="91"/>
      <c r="L2082" s="88"/>
      <c r="M2082" s="92"/>
      <c r="N2082" s="86"/>
    </row>
    <row r="2083" spans="5:14">
      <c r="E2083" s="86"/>
      <c r="F2083" s="87"/>
      <c r="G2083" s="88"/>
      <c r="H2083" s="89"/>
      <c r="I2083" s="90"/>
      <c r="K2083" s="91"/>
      <c r="L2083" s="88"/>
      <c r="M2083" s="92"/>
      <c r="N2083" s="86"/>
    </row>
    <row r="2084" spans="5:14">
      <c r="E2084" s="86"/>
      <c r="F2084" s="87"/>
      <c r="G2084" s="88"/>
      <c r="H2084" s="89"/>
      <c r="I2084" s="90"/>
      <c r="K2084" s="91"/>
      <c r="L2084" s="88"/>
      <c r="M2084" s="92"/>
      <c r="N2084" s="86"/>
    </row>
    <row r="2085" spans="5:14">
      <c r="E2085" s="86"/>
      <c r="F2085" s="87"/>
      <c r="G2085" s="88"/>
      <c r="H2085" s="89"/>
      <c r="I2085" s="90"/>
      <c r="K2085" s="91"/>
      <c r="L2085" s="88"/>
      <c r="M2085" s="92"/>
      <c r="N2085" s="86"/>
    </row>
    <row r="2086" spans="5:14">
      <c r="E2086" s="86"/>
      <c r="F2086" s="87"/>
      <c r="G2086" s="88"/>
      <c r="H2086" s="89"/>
      <c r="I2086" s="90"/>
      <c r="K2086" s="91"/>
      <c r="L2086" s="88"/>
      <c r="M2086" s="92"/>
      <c r="N2086" s="86"/>
    </row>
    <row r="2087" spans="5:14">
      <c r="E2087" s="86"/>
      <c r="F2087" s="87"/>
      <c r="G2087" s="88"/>
      <c r="H2087" s="89"/>
      <c r="I2087" s="90"/>
      <c r="K2087" s="91"/>
      <c r="L2087" s="88"/>
      <c r="M2087" s="92"/>
      <c r="N2087" s="86"/>
    </row>
    <row r="2088" spans="5:14">
      <c r="E2088" s="86"/>
      <c r="F2088" s="87"/>
      <c r="G2088" s="88"/>
      <c r="H2088" s="89"/>
      <c r="I2088" s="90"/>
      <c r="K2088" s="91"/>
      <c r="L2088" s="88"/>
      <c r="M2088" s="92"/>
      <c r="N2088" s="86"/>
    </row>
    <row r="2089" spans="5:14">
      <c r="E2089" s="86"/>
      <c r="F2089" s="87"/>
      <c r="G2089" s="88"/>
      <c r="H2089" s="89"/>
      <c r="I2089" s="90"/>
      <c r="K2089" s="91"/>
      <c r="L2089" s="88"/>
      <c r="M2089" s="92"/>
      <c r="N2089" s="86"/>
    </row>
    <row r="2090" spans="5:14">
      <c r="E2090" s="86"/>
      <c r="F2090" s="87"/>
      <c r="G2090" s="88"/>
      <c r="H2090" s="89"/>
      <c r="I2090" s="90"/>
      <c r="K2090" s="91"/>
      <c r="L2090" s="88"/>
      <c r="M2090" s="92"/>
      <c r="N2090" s="86"/>
    </row>
    <row r="2091" spans="5:14">
      <c r="E2091" s="86"/>
      <c r="F2091" s="87"/>
      <c r="G2091" s="88"/>
      <c r="H2091" s="89"/>
      <c r="I2091" s="90"/>
      <c r="K2091" s="91"/>
      <c r="L2091" s="88"/>
      <c r="M2091" s="92"/>
      <c r="N2091" s="86"/>
    </row>
    <row r="2092" spans="5:14">
      <c r="E2092" s="86"/>
      <c r="F2092" s="87"/>
      <c r="G2092" s="88"/>
      <c r="H2092" s="89"/>
      <c r="I2092" s="90"/>
      <c r="K2092" s="91"/>
      <c r="L2092" s="88"/>
      <c r="M2092" s="92"/>
      <c r="N2092" s="86"/>
    </row>
    <row r="2093" spans="5:14">
      <c r="E2093" s="86"/>
      <c r="F2093" s="87"/>
      <c r="G2093" s="88"/>
      <c r="H2093" s="89"/>
      <c r="I2093" s="90"/>
      <c r="K2093" s="91"/>
      <c r="L2093" s="88"/>
      <c r="M2093" s="92"/>
      <c r="N2093" s="86"/>
    </row>
    <row r="2094" spans="5:14">
      <c r="E2094" s="86"/>
      <c r="F2094" s="87"/>
      <c r="G2094" s="88"/>
      <c r="H2094" s="89"/>
      <c r="I2094" s="90"/>
      <c r="K2094" s="91"/>
      <c r="L2094" s="88"/>
      <c r="M2094" s="92"/>
      <c r="N2094" s="86"/>
    </row>
    <row r="2095" spans="5:14">
      <c r="E2095" s="86"/>
      <c r="F2095" s="87"/>
      <c r="G2095" s="88"/>
      <c r="H2095" s="89"/>
      <c r="I2095" s="90"/>
      <c r="K2095" s="91"/>
      <c r="L2095" s="88"/>
      <c r="M2095" s="92"/>
      <c r="N2095" s="86"/>
    </row>
    <row r="2096" spans="5:14">
      <c r="E2096" s="86"/>
      <c r="F2096" s="87"/>
      <c r="G2096" s="88"/>
      <c r="H2096" s="89"/>
      <c r="I2096" s="90"/>
      <c r="K2096" s="91"/>
      <c r="L2096" s="88"/>
      <c r="M2096" s="92"/>
      <c r="N2096" s="86"/>
    </row>
    <row r="2097" spans="5:14">
      <c r="E2097" s="86"/>
      <c r="F2097" s="87"/>
      <c r="G2097" s="88"/>
      <c r="H2097" s="89"/>
      <c r="I2097" s="90"/>
      <c r="K2097" s="91"/>
      <c r="L2097" s="88"/>
      <c r="M2097" s="92"/>
      <c r="N2097" s="86"/>
    </row>
    <row r="2098" spans="5:14">
      <c r="E2098" s="86"/>
      <c r="F2098" s="87"/>
      <c r="G2098" s="88"/>
      <c r="H2098" s="89"/>
      <c r="I2098" s="90"/>
      <c r="K2098" s="91"/>
      <c r="L2098" s="88"/>
      <c r="M2098" s="92"/>
      <c r="N2098" s="86"/>
    </row>
    <row r="2099" spans="5:14">
      <c r="E2099" s="86"/>
      <c r="F2099" s="87"/>
      <c r="G2099" s="88"/>
      <c r="H2099" s="89"/>
      <c r="I2099" s="90"/>
      <c r="K2099" s="91"/>
      <c r="L2099" s="88"/>
      <c r="M2099" s="92"/>
      <c r="N2099" s="86"/>
    </row>
    <row r="2100" spans="5:14">
      <c r="E2100" s="86"/>
      <c r="F2100" s="87"/>
      <c r="G2100" s="88"/>
      <c r="H2100" s="89"/>
      <c r="I2100" s="90"/>
      <c r="K2100" s="91"/>
      <c r="L2100" s="88"/>
      <c r="M2100" s="92"/>
      <c r="N2100" s="86"/>
    </row>
    <row r="2101" spans="5:14">
      <c r="E2101" s="86"/>
      <c r="F2101" s="87"/>
      <c r="G2101" s="88"/>
      <c r="H2101" s="89"/>
      <c r="I2101" s="90"/>
      <c r="K2101" s="91"/>
      <c r="L2101" s="88"/>
      <c r="M2101" s="92"/>
      <c r="N2101" s="86"/>
    </row>
    <row r="2102" spans="5:14">
      <c r="E2102" s="86"/>
      <c r="F2102" s="87"/>
      <c r="G2102" s="88"/>
      <c r="H2102" s="89"/>
      <c r="I2102" s="90"/>
      <c r="K2102" s="91"/>
      <c r="L2102" s="88"/>
      <c r="M2102" s="92"/>
      <c r="N2102" s="86"/>
    </row>
    <row r="2103" spans="5:14">
      <c r="E2103" s="86"/>
      <c r="F2103" s="87"/>
      <c r="G2103" s="88"/>
      <c r="H2103" s="89"/>
      <c r="I2103" s="90"/>
      <c r="K2103" s="91"/>
      <c r="L2103" s="88"/>
      <c r="M2103" s="92"/>
      <c r="N2103" s="86"/>
    </row>
    <row r="2104" spans="5:14">
      <c r="E2104" s="86"/>
      <c r="F2104" s="87"/>
      <c r="G2104" s="88"/>
      <c r="H2104" s="89"/>
      <c r="I2104" s="90"/>
      <c r="K2104" s="91"/>
      <c r="L2104" s="88"/>
      <c r="M2104" s="92"/>
      <c r="N2104" s="86"/>
    </row>
    <row r="2105" spans="5:14">
      <c r="E2105" s="86"/>
      <c r="F2105" s="87"/>
      <c r="G2105" s="88"/>
      <c r="H2105" s="89"/>
      <c r="I2105" s="90"/>
      <c r="K2105" s="91"/>
      <c r="L2105" s="88"/>
      <c r="M2105" s="92"/>
      <c r="N2105" s="86"/>
    </row>
    <row r="2106" spans="5:14">
      <c r="E2106" s="86"/>
      <c r="F2106" s="87"/>
      <c r="G2106" s="88"/>
      <c r="H2106" s="89"/>
      <c r="I2106" s="90"/>
      <c r="K2106" s="91"/>
      <c r="L2106" s="88"/>
      <c r="M2106" s="92"/>
      <c r="N2106" s="86"/>
    </row>
    <row r="2107" spans="5:14">
      <c r="E2107" s="86"/>
      <c r="F2107" s="87"/>
      <c r="G2107" s="88"/>
      <c r="H2107" s="89"/>
      <c r="I2107" s="90"/>
      <c r="K2107" s="91"/>
      <c r="L2107" s="88"/>
      <c r="M2107" s="92"/>
      <c r="N2107" s="86"/>
    </row>
    <row r="2108" spans="5:14">
      <c r="E2108" s="86"/>
      <c r="F2108" s="87"/>
      <c r="G2108" s="88"/>
      <c r="H2108" s="89"/>
      <c r="I2108" s="90"/>
      <c r="K2108" s="91"/>
      <c r="L2108" s="88"/>
      <c r="M2108" s="92"/>
      <c r="N2108" s="86"/>
    </row>
    <row r="2109" spans="5:14">
      <c r="E2109" s="86"/>
      <c r="F2109" s="87"/>
      <c r="G2109" s="88"/>
      <c r="H2109" s="89"/>
      <c r="I2109" s="90"/>
      <c r="K2109" s="91"/>
      <c r="L2109" s="88"/>
      <c r="M2109" s="92"/>
      <c r="N2109" s="86"/>
    </row>
    <row r="2110" spans="5:14">
      <c r="E2110" s="86"/>
      <c r="F2110" s="87"/>
      <c r="G2110" s="88"/>
      <c r="H2110" s="89"/>
      <c r="I2110" s="90"/>
      <c r="K2110" s="91"/>
      <c r="L2110" s="88"/>
      <c r="M2110" s="92"/>
      <c r="N2110" s="86"/>
    </row>
    <row r="2111" spans="5:14">
      <c r="E2111" s="86"/>
      <c r="F2111" s="87"/>
      <c r="G2111" s="88"/>
      <c r="H2111" s="89"/>
      <c r="I2111" s="90"/>
      <c r="K2111" s="91"/>
      <c r="L2111" s="88"/>
      <c r="M2111" s="92"/>
      <c r="N2111" s="86"/>
    </row>
    <row r="2112" spans="5:14">
      <c r="E2112" s="86"/>
      <c r="F2112" s="87"/>
      <c r="G2112" s="88"/>
      <c r="H2112" s="89"/>
      <c r="I2112" s="90"/>
      <c r="K2112" s="91"/>
      <c r="L2112" s="88"/>
      <c r="M2112" s="92"/>
      <c r="N2112" s="86"/>
    </row>
    <row r="2113" spans="5:14">
      <c r="E2113" s="86"/>
      <c r="F2113" s="87"/>
      <c r="G2113" s="88"/>
      <c r="H2113" s="89"/>
      <c r="I2113" s="90"/>
      <c r="K2113" s="91"/>
      <c r="L2113" s="88"/>
      <c r="M2113" s="92"/>
      <c r="N2113" s="86"/>
    </row>
    <row r="2114" spans="5:14">
      <c r="E2114" s="86"/>
      <c r="F2114" s="87"/>
      <c r="G2114" s="88"/>
      <c r="H2114" s="89"/>
      <c r="I2114" s="90"/>
      <c r="K2114" s="91"/>
      <c r="L2114" s="88"/>
      <c r="M2114" s="92"/>
      <c r="N2114" s="86"/>
    </row>
    <row r="2115" spans="5:14">
      <c r="E2115" s="86"/>
      <c r="F2115" s="87"/>
      <c r="G2115" s="88"/>
      <c r="H2115" s="89"/>
      <c r="I2115" s="90"/>
      <c r="K2115" s="91"/>
      <c r="L2115" s="88"/>
      <c r="M2115" s="92"/>
      <c r="N2115" s="86"/>
    </row>
    <row r="2116" spans="5:14">
      <c r="E2116" s="86"/>
      <c r="F2116" s="87"/>
      <c r="G2116" s="88"/>
      <c r="H2116" s="89"/>
      <c r="I2116" s="90"/>
      <c r="K2116" s="91"/>
      <c r="L2116" s="88"/>
      <c r="M2116" s="92"/>
      <c r="N2116" s="86"/>
    </row>
    <row r="2117" spans="5:14">
      <c r="E2117" s="86"/>
      <c r="F2117" s="87"/>
      <c r="G2117" s="88"/>
      <c r="H2117" s="89"/>
      <c r="I2117" s="90"/>
      <c r="K2117" s="91"/>
      <c r="L2117" s="88"/>
      <c r="M2117" s="92"/>
      <c r="N2117" s="86"/>
    </row>
    <row r="2118" spans="5:14">
      <c r="E2118" s="86"/>
      <c r="F2118" s="87"/>
      <c r="G2118" s="88"/>
      <c r="H2118" s="89"/>
      <c r="I2118" s="90"/>
      <c r="K2118" s="91"/>
      <c r="L2118" s="88"/>
      <c r="M2118" s="92"/>
      <c r="N2118" s="86"/>
    </row>
    <row r="2119" spans="5:14">
      <c r="E2119" s="86"/>
      <c r="F2119" s="87"/>
      <c r="G2119" s="88"/>
      <c r="H2119" s="89"/>
      <c r="I2119" s="90"/>
      <c r="K2119" s="91"/>
      <c r="L2119" s="88"/>
      <c r="M2119" s="92"/>
      <c r="N2119" s="86"/>
    </row>
    <row r="2120" spans="5:14">
      <c r="E2120" s="86"/>
      <c r="F2120" s="87"/>
      <c r="G2120" s="88"/>
      <c r="H2120" s="89"/>
      <c r="I2120" s="90"/>
      <c r="K2120" s="91"/>
      <c r="L2120" s="88"/>
      <c r="M2120" s="92"/>
      <c r="N2120" s="86"/>
    </row>
    <row r="2121" spans="5:14">
      <c r="E2121" s="86"/>
      <c r="F2121" s="87"/>
      <c r="G2121" s="88"/>
      <c r="H2121" s="89"/>
      <c r="I2121" s="90"/>
      <c r="K2121" s="91"/>
      <c r="L2121" s="88"/>
      <c r="M2121" s="92"/>
      <c r="N2121" s="86"/>
    </row>
    <row r="2122" spans="5:14">
      <c r="E2122" s="86"/>
      <c r="F2122" s="87"/>
      <c r="G2122" s="88"/>
      <c r="H2122" s="89"/>
      <c r="I2122" s="90"/>
      <c r="K2122" s="91"/>
      <c r="L2122" s="88"/>
      <c r="M2122" s="92"/>
      <c r="N2122" s="86"/>
    </row>
    <row r="2123" spans="5:14">
      <c r="E2123" s="86"/>
      <c r="F2123" s="87"/>
      <c r="G2123" s="88"/>
      <c r="H2123" s="89"/>
      <c r="I2123" s="90"/>
      <c r="K2123" s="91"/>
      <c r="L2123" s="88"/>
      <c r="M2123" s="92"/>
      <c r="N2123" s="86"/>
    </row>
    <row r="2124" spans="5:14">
      <c r="E2124" s="86"/>
      <c r="F2124" s="87"/>
      <c r="G2124" s="88"/>
      <c r="H2124" s="89"/>
      <c r="I2124" s="90"/>
      <c r="K2124" s="91"/>
      <c r="L2124" s="88"/>
      <c r="M2124" s="92"/>
      <c r="N2124" s="86"/>
    </row>
    <row r="2125" spans="5:14">
      <c r="E2125" s="86"/>
      <c r="F2125" s="87"/>
      <c r="G2125" s="88"/>
      <c r="H2125" s="89"/>
      <c r="I2125" s="90"/>
      <c r="K2125" s="91"/>
      <c r="L2125" s="88"/>
      <c r="M2125" s="92"/>
      <c r="N2125" s="86"/>
    </row>
    <row r="2126" spans="5:14">
      <c r="E2126" s="86"/>
      <c r="F2126" s="87"/>
      <c r="G2126" s="88"/>
      <c r="H2126" s="89"/>
      <c r="I2126" s="90"/>
      <c r="K2126" s="91"/>
      <c r="L2126" s="88"/>
      <c r="M2126" s="92"/>
      <c r="N2126" s="86"/>
    </row>
    <row r="2127" spans="5:14">
      <c r="E2127" s="86"/>
      <c r="F2127" s="87"/>
      <c r="G2127" s="88"/>
      <c r="H2127" s="89"/>
      <c r="I2127" s="90"/>
      <c r="K2127" s="91"/>
      <c r="L2127" s="88"/>
      <c r="M2127" s="92"/>
      <c r="N2127" s="86"/>
    </row>
    <row r="2128" spans="5:14">
      <c r="E2128" s="86"/>
      <c r="F2128" s="87"/>
      <c r="G2128" s="88"/>
      <c r="H2128" s="89"/>
      <c r="I2128" s="90"/>
      <c r="K2128" s="91"/>
      <c r="L2128" s="88"/>
      <c r="M2128" s="92"/>
      <c r="N2128" s="86"/>
    </row>
    <row r="2129" spans="5:14">
      <c r="E2129" s="86"/>
      <c r="F2129" s="87"/>
      <c r="G2129" s="88"/>
      <c r="H2129" s="89"/>
      <c r="I2129" s="90"/>
      <c r="K2129" s="91"/>
      <c r="L2129" s="88"/>
      <c r="M2129" s="92"/>
      <c r="N2129" s="86"/>
    </row>
    <row r="2130" spans="5:14">
      <c r="E2130" s="86"/>
      <c r="F2130" s="87"/>
      <c r="G2130" s="88"/>
      <c r="H2130" s="89"/>
      <c r="I2130" s="90"/>
      <c r="K2130" s="91"/>
      <c r="L2130" s="88"/>
      <c r="M2130" s="92"/>
      <c r="N2130" s="86"/>
    </row>
    <row r="2131" spans="5:14">
      <c r="E2131" s="86"/>
      <c r="F2131" s="87"/>
      <c r="G2131" s="88"/>
      <c r="H2131" s="89"/>
      <c r="I2131" s="90"/>
      <c r="K2131" s="91"/>
      <c r="L2131" s="88"/>
      <c r="M2131" s="92"/>
      <c r="N2131" s="86"/>
    </row>
    <row r="2132" spans="5:14">
      <c r="E2132" s="86"/>
      <c r="F2132" s="87"/>
      <c r="G2132" s="88"/>
      <c r="H2132" s="89"/>
      <c r="I2132" s="90"/>
      <c r="K2132" s="91"/>
      <c r="L2132" s="88"/>
      <c r="M2132" s="92"/>
      <c r="N2132" s="86"/>
    </row>
    <row r="2133" spans="5:14">
      <c r="E2133" s="86"/>
      <c r="F2133" s="87"/>
      <c r="G2133" s="88"/>
      <c r="H2133" s="89"/>
      <c r="I2133" s="90"/>
      <c r="K2133" s="91"/>
      <c r="L2133" s="88"/>
      <c r="M2133" s="92"/>
      <c r="N2133" s="86"/>
    </row>
    <row r="2134" spans="5:14">
      <c r="E2134" s="86"/>
      <c r="F2134" s="87"/>
      <c r="G2134" s="88"/>
      <c r="H2134" s="89"/>
      <c r="I2134" s="90"/>
      <c r="K2134" s="91"/>
      <c r="L2134" s="88"/>
      <c r="M2134" s="92"/>
      <c r="N2134" s="86"/>
    </row>
    <row r="2135" spans="5:14">
      <c r="E2135" s="86"/>
      <c r="F2135" s="87"/>
      <c r="G2135" s="88"/>
      <c r="H2135" s="89"/>
      <c r="I2135" s="90"/>
      <c r="K2135" s="91"/>
      <c r="L2135" s="88"/>
      <c r="M2135" s="92"/>
      <c r="N2135" s="86"/>
    </row>
    <row r="2136" spans="5:14">
      <c r="E2136" s="86"/>
      <c r="F2136" s="87"/>
      <c r="G2136" s="88"/>
      <c r="H2136" s="89"/>
      <c r="I2136" s="90"/>
      <c r="K2136" s="91"/>
      <c r="L2136" s="88"/>
      <c r="M2136" s="92"/>
      <c r="N2136" s="86"/>
    </row>
    <row r="2137" spans="5:14">
      <c r="E2137" s="86"/>
      <c r="F2137" s="87"/>
      <c r="G2137" s="88"/>
      <c r="H2137" s="89"/>
      <c r="I2137" s="90"/>
      <c r="K2137" s="91"/>
      <c r="L2137" s="88"/>
      <c r="M2137" s="92"/>
      <c r="N2137" s="86"/>
    </row>
    <row r="2138" spans="5:14">
      <c r="E2138" s="86"/>
      <c r="F2138" s="87"/>
      <c r="G2138" s="88"/>
      <c r="H2138" s="89"/>
      <c r="I2138" s="90"/>
      <c r="K2138" s="91"/>
      <c r="L2138" s="88"/>
      <c r="M2138" s="92"/>
      <c r="N2138" s="86"/>
    </row>
    <row r="2139" spans="5:14">
      <c r="E2139" s="86"/>
      <c r="F2139" s="87"/>
      <c r="G2139" s="88"/>
      <c r="H2139" s="89"/>
      <c r="I2139" s="90"/>
      <c r="K2139" s="91"/>
      <c r="L2139" s="88"/>
      <c r="M2139" s="92"/>
      <c r="N2139" s="86"/>
    </row>
    <row r="2140" spans="5:14">
      <c r="E2140" s="86"/>
      <c r="F2140" s="87"/>
      <c r="G2140" s="88"/>
      <c r="H2140" s="89"/>
      <c r="I2140" s="90"/>
      <c r="K2140" s="91"/>
      <c r="L2140" s="88"/>
      <c r="M2140" s="92"/>
      <c r="N2140" s="86"/>
    </row>
    <row r="2141" spans="5:14">
      <c r="E2141" s="86"/>
      <c r="F2141" s="87"/>
      <c r="G2141" s="88"/>
      <c r="H2141" s="89"/>
      <c r="I2141" s="90"/>
      <c r="K2141" s="91"/>
      <c r="L2141" s="88"/>
      <c r="M2141" s="92"/>
      <c r="N2141" s="86"/>
    </row>
    <row r="2142" spans="5:14">
      <c r="E2142" s="86"/>
      <c r="F2142" s="87"/>
      <c r="G2142" s="88"/>
      <c r="H2142" s="89"/>
      <c r="I2142" s="90"/>
      <c r="K2142" s="91"/>
      <c r="L2142" s="88"/>
      <c r="M2142" s="92"/>
      <c r="N2142" s="86"/>
    </row>
    <row r="2143" spans="5:14">
      <c r="E2143" s="86"/>
      <c r="F2143" s="87"/>
      <c r="G2143" s="88"/>
      <c r="H2143" s="89"/>
      <c r="I2143" s="90"/>
      <c r="K2143" s="91"/>
      <c r="L2143" s="88"/>
      <c r="M2143" s="92"/>
      <c r="N2143" s="86"/>
    </row>
    <row r="2144" spans="5:14">
      <c r="E2144" s="86"/>
      <c r="F2144" s="87"/>
      <c r="G2144" s="88"/>
      <c r="H2144" s="89"/>
      <c r="I2144" s="90"/>
      <c r="K2144" s="91"/>
      <c r="L2144" s="88"/>
      <c r="M2144" s="92"/>
      <c r="N2144" s="86"/>
    </row>
    <row r="2145" spans="5:14">
      <c r="E2145" s="86"/>
      <c r="F2145" s="87"/>
      <c r="G2145" s="88"/>
      <c r="H2145" s="89"/>
      <c r="I2145" s="90"/>
      <c r="K2145" s="91"/>
      <c r="L2145" s="88"/>
      <c r="M2145" s="92"/>
      <c r="N2145" s="86"/>
    </row>
    <row r="2146" spans="5:14">
      <c r="E2146" s="86"/>
      <c r="F2146" s="87"/>
      <c r="G2146" s="88"/>
      <c r="H2146" s="89"/>
      <c r="I2146" s="90"/>
      <c r="K2146" s="91"/>
      <c r="L2146" s="88"/>
      <c r="M2146" s="92"/>
      <c r="N2146" s="86"/>
    </row>
    <row r="2147" spans="5:14">
      <c r="E2147" s="86"/>
      <c r="F2147" s="87"/>
      <c r="G2147" s="88"/>
      <c r="H2147" s="89"/>
      <c r="I2147" s="90"/>
      <c r="K2147" s="91"/>
      <c r="L2147" s="88"/>
      <c r="M2147" s="92"/>
      <c r="N2147" s="86"/>
    </row>
    <row r="2148" spans="5:14">
      <c r="E2148" s="86"/>
      <c r="F2148" s="87"/>
      <c r="G2148" s="88"/>
      <c r="H2148" s="89"/>
      <c r="I2148" s="90"/>
      <c r="K2148" s="91"/>
      <c r="L2148" s="88"/>
      <c r="M2148" s="92"/>
      <c r="N2148" s="86"/>
    </row>
    <row r="2149" spans="5:14">
      <c r="E2149" s="86"/>
      <c r="F2149" s="87"/>
      <c r="G2149" s="88"/>
      <c r="H2149" s="89"/>
      <c r="I2149" s="90"/>
      <c r="K2149" s="91"/>
      <c r="L2149" s="88"/>
      <c r="M2149" s="92"/>
      <c r="N2149" s="86"/>
    </row>
    <row r="2150" spans="5:14">
      <c r="E2150" s="86"/>
      <c r="F2150" s="87"/>
      <c r="G2150" s="88"/>
      <c r="H2150" s="89"/>
      <c r="I2150" s="90"/>
      <c r="K2150" s="91"/>
      <c r="L2150" s="88"/>
      <c r="M2150" s="92"/>
      <c r="N2150" s="86"/>
    </row>
    <row r="2151" spans="5:14">
      <c r="E2151" s="86"/>
      <c r="F2151" s="87"/>
      <c r="G2151" s="88"/>
      <c r="H2151" s="89"/>
      <c r="I2151" s="90"/>
      <c r="K2151" s="91"/>
      <c r="L2151" s="88"/>
      <c r="M2151" s="92"/>
      <c r="N2151" s="86"/>
    </row>
    <row r="2152" spans="5:14">
      <c r="E2152" s="86"/>
      <c r="F2152" s="87"/>
      <c r="G2152" s="88"/>
      <c r="H2152" s="89"/>
      <c r="I2152" s="90"/>
      <c r="K2152" s="91"/>
      <c r="L2152" s="88"/>
      <c r="M2152" s="92"/>
      <c r="N2152" s="86"/>
    </row>
    <row r="2153" spans="5:14">
      <c r="E2153" s="86"/>
      <c r="F2153" s="87"/>
      <c r="G2153" s="88"/>
      <c r="H2153" s="89"/>
      <c r="I2153" s="90"/>
      <c r="K2153" s="91"/>
      <c r="L2153" s="88"/>
      <c r="M2153" s="92"/>
      <c r="N2153" s="86"/>
    </row>
    <row r="2154" spans="5:14">
      <c r="E2154" s="86"/>
      <c r="F2154" s="87"/>
      <c r="G2154" s="88"/>
      <c r="H2154" s="89"/>
      <c r="I2154" s="90"/>
      <c r="K2154" s="91"/>
      <c r="L2154" s="88"/>
      <c r="M2154" s="92"/>
      <c r="N2154" s="86"/>
    </row>
    <row r="2155" spans="5:14">
      <c r="E2155" s="86"/>
      <c r="F2155" s="87"/>
      <c r="G2155" s="88"/>
      <c r="H2155" s="89"/>
      <c r="I2155" s="90"/>
      <c r="K2155" s="91"/>
      <c r="L2155" s="88"/>
      <c r="M2155" s="92"/>
      <c r="N2155" s="86"/>
    </row>
    <row r="2156" spans="5:14">
      <c r="E2156" s="86"/>
      <c r="F2156" s="87"/>
      <c r="G2156" s="88"/>
      <c r="H2156" s="89"/>
      <c r="I2156" s="90"/>
      <c r="K2156" s="91"/>
      <c r="L2156" s="88"/>
      <c r="M2156" s="92"/>
      <c r="N2156" s="86"/>
    </row>
    <row r="2157" spans="5:14">
      <c r="E2157" s="86"/>
      <c r="F2157" s="87"/>
      <c r="G2157" s="88"/>
      <c r="H2157" s="89"/>
      <c r="I2157" s="90"/>
      <c r="K2157" s="91"/>
      <c r="L2157" s="88"/>
      <c r="M2157" s="92"/>
      <c r="N2157" s="86"/>
    </row>
    <row r="2158" spans="5:14">
      <c r="E2158" s="86"/>
      <c r="F2158" s="87"/>
      <c r="G2158" s="88"/>
      <c r="H2158" s="89"/>
      <c r="I2158" s="90"/>
      <c r="K2158" s="91"/>
      <c r="L2158" s="88"/>
      <c r="M2158" s="92"/>
      <c r="N2158" s="86"/>
    </row>
    <row r="2159" spans="5:14">
      <c r="E2159" s="86"/>
      <c r="F2159" s="87"/>
      <c r="G2159" s="88"/>
      <c r="H2159" s="89"/>
      <c r="I2159" s="90"/>
      <c r="K2159" s="91"/>
      <c r="L2159" s="88"/>
      <c r="M2159" s="92"/>
      <c r="N2159" s="86"/>
    </row>
    <row r="2160" spans="5:14">
      <c r="E2160" s="86"/>
      <c r="F2160" s="87"/>
      <c r="G2160" s="88"/>
      <c r="H2160" s="89"/>
      <c r="I2160" s="90"/>
      <c r="K2160" s="91"/>
      <c r="L2160" s="88"/>
      <c r="M2160" s="92"/>
      <c r="N2160" s="86"/>
    </row>
    <row r="2161" spans="5:14">
      <c r="E2161" s="86"/>
      <c r="F2161" s="87"/>
      <c r="G2161" s="88"/>
      <c r="H2161" s="89"/>
      <c r="I2161" s="90"/>
      <c r="K2161" s="91"/>
      <c r="L2161" s="88"/>
      <c r="M2161" s="92"/>
      <c r="N2161" s="86"/>
    </row>
    <row r="2162" spans="5:14">
      <c r="E2162" s="86"/>
      <c r="F2162" s="87"/>
      <c r="G2162" s="88"/>
      <c r="H2162" s="89"/>
      <c r="I2162" s="90"/>
      <c r="K2162" s="91"/>
      <c r="L2162" s="88"/>
      <c r="M2162" s="92"/>
      <c r="N2162" s="86"/>
    </row>
    <row r="2163" spans="5:14">
      <c r="E2163" s="86"/>
      <c r="F2163" s="87"/>
      <c r="G2163" s="88"/>
      <c r="H2163" s="89"/>
      <c r="I2163" s="90"/>
      <c r="K2163" s="91"/>
      <c r="L2163" s="88"/>
      <c r="M2163" s="92"/>
      <c r="N2163" s="86"/>
    </row>
    <row r="2164" spans="5:14">
      <c r="E2164" s="86"/>
      <c r="F2164" s="87"/>
      <c r="G2164" s="88"/>
      <c r="H2164" s="89"/>
      <c r="I2164" s="90"/>
      <c r="K2164" s="91"/>
      <c r="L2164" s="88"/>
      <c r="M2164" s="92"/>
      <c r="N2164" s="86"/>
    </row>
    <row r="2165" spans="5:14">
      <c r="E2165" s="86"/>
      <c r="F2165" s="87"/>
      <c r="G2165" s="88"/>
      <c r="H2165" s="89"/>
      <c r="I2165" s="90"/>
      <c r="K2165" s="91"/>
      <c r="L2165" s="88"/>
      <c r="M2165" s="92"/>
      <c r="N2165" s="86"/>
    </row>
    <row r="2166" spans="5:14">
      <c r="E2166" s="86"/>
      <c r="F2166" s="87"/>
      <c r="G2166" s="88"/>
      <c r="H2166" s="89"/>
      <c r="I2166" s="90"/>
      <c r="K2166" s="91"/>
      <c r="L2166" s="88"/>
      <c r="M2166" s="92"/>
      <c r="N2166" s="86"/>
    </row>
    <row r="2167" spans="5:14">
      <c r="E2167" s="86"/>
      <c r="F2167" s="87"/>
      <c r="G2167" s="88"/>
      <c r="H2167" s="89"/>
      <c r="I2167" s="90"/>
      <c r="K2167" s="91"/>
      <c r="L2167" s="88"/>
      <c r="M2167" s="92"/>
      <c r="N2167" s="86"/>
    </row>
    <row r="2168" spans="5:14">
      <c r="E2168" s="86"/>
      <c r="F2168" s="87"/>
      <c r="G2168" s="88"/>
      <c r="H2168" s="89"/>
      <c r="I2168" s="90"/>
      <c r="K2168" s="91"/>
      <c r="L2168" s="88"/>
      <c r="M2168" s="92"/>
      <c r="N2168" s="86"/>
    </row>
    <row r="2169" spans="5:14">
      <c r="E2169" s="86"/>
      <c r="F2169" s="87"/>
      <c r="G2169" s="88"/>
      <c r="H2169" s="89"/>
      <c r="I2169" s="90"/>
      <c r="K2169" s="91"/>
      <c r="L2169" s="88"/>
      <c r="M2169" s="92"/>
      <c r="N2169" s="86"/>
    </row>
    <row r="2170" spans="5:14">
      <c r="E2170" s="86"/>
      <c r="F2170" s="87"/>
      <c r="G2170" s="88"/>
      <c r="H2170" s="89"/>
      <c r="I2170" s="90"/>
      <c r="K2170" s="91"/>
      <c r="L2170" s="88"/>
      <c r="M2170" s="92"/>
      <c r="N2170" s="86"/>
    </row>
    <row r="2171" spans="5:14">
      <c r="E2171" s="86"/>
      <c r="F2171" s="87"/>
      <c r="G2171" s="88"/>
      <c r="H2171" s="89"/>
      <c r="I2171" s="90"/>
      <c r="K2171" s="91"/>
      <c r="L2171" s="88"/>
      <c r="M2171" s="92"/>
      <c r="N2171" s="86"/>
    </row>
    <row r="2172" spans="5:14">
      <c r="E2172" s="86"/>
      <c r="F2172" s="87"/>
      <c r="G2172" s="88"/>
      <c r="H2172" s="89"/>
      <c r="I2172" s="90"/>
      <c r="K2172" s="91"/>
      <c r="L2172" s="88"/>
      <c r="M2172" s="92"/>
      <c r="N2172" s="86"/>
    </row>
    <row r="2173" spans="5:14">
      <c r="E2173" s="86"/>
      <c r="F2173" s="87"/>
      <c r="G2173" s="88"/>
      <c r="H2173" s="89"/>
      <c r="I2173" s="90"/>
      <c r="K2173" s="91"/>
      <c r="L2173" s="88"/>
      <c r="M2173" s="92"/>
      <c r="N2173" s="86"/>
    </row>
    <row r="2174" spans="5:14">
      <c r="E2174" s="86"/>
      <c r="F2174" s="87"/>
      <c r="G2174" s="88"/>
      <c r="H2174" s="89"/>
      <c r="I2174" s="90"/>
      <c r="K2174" s="91"/>
      <c r="L2174" s="88"/>
      <c r="M2174" s="92"/>
      <c r="N2174" s="86"/>
    </row>
    <row r="2175" spans="5:14">
      <c r="E2175" s="86"/>
      <c r="F2175" s="87"/>
      <c r="G2175" s="88"/>
      <c r="H2175" s="89"/>
      <c r="I2175" s="90"/>
      <c r="K2175" s="91"/>
      <c r="L2175" s="88"/>
      <c r="M2175" s="92"/>
      <c r="N2175" s="86"/>
    </row>
    <row r="2176" spans="5:14">
      <c r="E2176" s="86"/>
      <c r="F2176" s="87"/>
      <c r="G2176" s="88"/>
      <c r="H2176" s="89"/>
      <c r="I2176" s="90"/>
      <c r="K2176" s="91"/>
      <c r="L2176" s="88"/>
      <c r="M2176" s="92"/>
      <c r="N2176" s="86"/>
    </row>
    <row r="2177" spans="5:14">
      <c r="E2177" s="86"/>
      <c r="F2177" s="87"/>
      <c r="G2177" s="88"/>
      <c r="H2177" s="89"/>
      <c r="I2177" s="90"/>
      <c r="K2177" s="91"/>
      <c r="L2177" s="88"/>
      <c r="M2177" s="92"/>
      <c r="N2177" s="86"/>
    </row>
    <row r="2178" spans="5:14">
      <c r="E2178" s="86"/>
      <c r="F2178" s="87"/>
      <c r="G2178" s="88"/>
      <c r="H2178" s="89"/>
      <c r="I2178" s="90"/>
      <c r="K2178" s="91"/>
      <c r="L2178" s="88"/>
      <c r="M2178" s="92"/>
      <c r="N2178" s="86"/>
    </row>
    <row r="2179" spans="5:14">
      <c r="E2179" s="86"/>
      <c r="F2179" s="87"/>
      <c r="G2179" s="88"/>
      <c r="H2179" s="89"/>
      <c r="I2179" s="90"/>
      <c r="K2179" s="91"/>
      <c r="L2179" s="88"/>
      <c r="M2179" s="92"/>
      <c r="N2179" s="86"/>
    </row>
    <row r="2180" spans="5:14">
      <c r="E2180" s="86"/>
      <c r="F2180" s="87"/>
      <c r="G2180" s="88"/>
      <c r="H2180" s="89"/>
      <c r="I2180" s="90"/>
      <c r="K2180" s="91"/>
      <c r="L2180" s="88"/>
      <c r="M2180" s="92"/>
      <c r="N2180" s="86"/>
    </row>
    <row r="2181" spans="5:14">
      <c r="E2181" s="86"/>
      <c r="F2181" s="87"/>
      <c r="G2181" s="88"/>
      <c r="H2181" s="89"/>
      <c r="I2181" s="90"/>
      <c r="K2181" s="91"/>
      <c r="L2181" s="88"/>
      <c r="M2181" s="92"/>
      <c r="N2181" s="86"/>
    </row>
    <row r="2182" spans="5:14">
      <c r="E2182" s="86"/>
      <c r="F2182" s="87"/>
      <c r="G2182" s="88"/>
      <c r="H2182" s="89"/>
      <c r="I2182" s="90"/>
      <c r="K2182" s="91"/>
      <c r="L2182" s="88"/>
      <c r="M2182" s="92"/>
      <c r="N2182" s="86"/>
    </row>
    <row r="2183" spans="5:14">
      <c r="E2183" s="86"/>
      <c r="F2183" s="87"/>
      <c r="G2183" s="88"/>
      <c r="H2183" s="89"/>
      <c r="I2183" s="90"/>
      <c r="K2183" s="91"/>
      <c r="L2183" s="88"/>
      <c r="M2183" s="92"/>
      <c r="N2183" s="86"/>
    </row>
    <row r="2184" spans="5:14">
      <c r="E2184" s="86"/>
      <c r="F2184" s="87"/>
      <c r="G2184" s="88"/>
      <c r="H2184" s="89"/>
      <c r="I2184" s="90"/>
      <c r="K2184" s="91"/>
      <c r="L2184" s="88"/>
      <c r="M2184" s="92"/>
      <c r="N2184" s="86"/>
    </row>
    <row r="2185" spans="5:14">
      <c r="E2185" s="86"/>
      <c r="F2185" s="87"/>
      <c r="G2185" s="88"/>
      <c r="H2185" s="89"/>
      <c r="I2185" s="90"/>
      <c r="K2185" s="91"/>
      <c r="L2185" s="88"/>
      <c r="M2185" s="92"/>
      <c r="N2185" s="86"/>
    </row>
    <row r="2186" spans="5:14">
      <c r="E2186" s="86"/>
      <c r="F2186" s="87"/>
      <c r="G2186" s="88"/>
      <c r="H2186" s="89"/>
      <c r="I2186" s="90"/>
      <c r="K2186" s="91"/>
      <c r="L2186" s="88"/>
      <c r="M2186" s="92"/>
      <c r="N2186" s="86"/>
    </row>
    <row r="2187" spans="5:14">
      <c r="E2187" s="86"/>
      <c r="F2187" s="87"/>
      <c r="G2187" s="88"/>
      <c r="H2187" s="89"/>
      <c r="I2187" s="90"/>
      <c r="K2187" s="91"/>
      <c r="L2187" s="88"/>
      <c r="M2187" s="92"/>
      <c r="N2187" s="86"/>
    </row>
    <row r="2188" spans="5:14">
      <c r="E2188" s="86"/>
      <c r="F2188" s="87"/>
      <c r="G2188" s="88"/>
      <c r="H2188" s="89"/>
      <c r="I2188" s="90"/>
      <c r="K2188" s="91"/>
      <c r="L2188" s="88"/>
      <c r="M2188" s="92"/>
      <c r="N2188" s="86"/>
    </row>
    <row r="2189" spans="5:14">
      <c r="E2189" s="86"/>
      <c r="F2189" s="87"/>
      <c r="G2189" s="88"/>
      <c r="H2189" s="89"/>
      <c r="I2189" s="90"/>
      <c r="K2189" s="91"/>
      <c r="L2189" s="88"/>
      <c r="M2189" s="92"/>
      <c r="N2189" s="86"/>
    </row>
    <row r="2190" spans="5:14">
      <c r="E2190" s="86"/>
      <c r="F2190" s="87"/>
      <c r="G2190" s="88"/>
      <c r="H2190" s="89"/>
      <c r="I2190" s="90"/>
      <c r="K2190" s="91"/>
      <c r="L2190" s="88"/>
      <c r="M2190" s="92"/>
      <c r="N2190" s="86"/>
    </row>
    <row r="2191" spans="5:14">
      <c r="E2191" s="86"/>
      <c r="F2191" s="87"/>
      <c r="G2191" s="88"/>
      <c r="H2191" s="89"/>
      <c r="I2191" s="90"/>
      <c r="K2191" s="91"/>
      <c r="L2191" s="88"/>
      <c r="M2191" s="92"/>
      <c r="N2191" s="86"/>
    </row>
    <row r="2192" spans="5:14">
      <c r="E2192" s="86"/>
      <c r="F2192" s="87"/>
      <c r="G2192" s="88"/>
      <c r="H2192" s="89"/>
      <c r="I2192" s="90"/>
      <c r="K2192" s="91"/>
      <c r="L2192" s="88"/>
      <c r="M2192" s="92"/>
      <c r="N2192" s="86"/>
    </row>
    <row r="2193" spans="5:14">
      <c r="E2193" s="86"/>
      <c r="F2193" s="87"/>
      <c r="G2193" s="88"/>
      <c r="H2193" s="89"/>
      <c r="I2193" s="90"/>
      <c r="K2193" s="91"/>
      <c r="L2193" s="88"/>
      <c r="M2193" s="92"/>
      <c r="N2193" s="86"/>
    </row>
    <row r="2194" spans="5:14">
      <c r="E2194" s="86"/>
      <c r="F2194" s="87"/>
      <c r="G2194" s="88"/>
      <c r="H2194" s="89"/>
      <c r="I2194" s="90"/>
      <c r="K2194" s="91"/>
      <c r="L2194" s="88"/>
      <c r="M2194" s="92"/>
      <c r="N2194" s="86"/>
    </row>
    <row r="2195" spans="5:14">
      <c r="E2195" s="86"/>
      <c r="F2195" s="87"/>
      <c r="G2195" s="88"/>
      <c r="H2195" s="89"/>
      <c r="I2195" s="90"/>
      <c r="K2195" s="91"/>
      <c r="L2195" s="88"/>
      <c r="M2195" s="92"/>
      <c r="N2195" s="86"/>
    </row>
    <row r="2196" spans="5:14">
      <c r="E2196" s="86"/>
      <c r="F2196" s="87"/>
      <c r="G2196" s="88"/>
      <c r="H2196" s="89"/>
      <c r="I2196" s="90"/>
      <c r="K2196" s="91"/>
      <c r="L2196" s="88"/>
      <c r="M2196" s="92"/>
      <c r="N2196" s="86"/>
    </row>
    <row r="2197" spans="5:14">
      <c r="E2197" s="86"/>
      <c r="F2197" s="87"/>
      <c r="G2197" s="88"/>
      <c r="H2197" s="89"/>
      <c r="I2197" s="90"/>
      <c r="K2197" s="91"/>
      <c r="L2197" s="88"/>
      <c r="M2197" s="92"/>
      <c r="N2197" s="86"/>
    </row>
    <row r="2198" spans="5:14">
      <c r="E2198" s="86"/>
      <c r="F2198" s="87"/>
      <c r="G2198" s="88"/>
      <c r="H2198" s="89"/>
      <c r="I2198" s="90"/>
      <c r="K2198" s="91"/>
      <c r="L2198" s="88"/>
      <c r="M2198" s="92"/>
      <c r="N2198" s="86"/>
    </row>
    <row r="2199" spans="5:14">
      <c r="E2199" s="86"/>
      <c r="F2199" s="87"/>
      <c r="G2199" s="88"/>
      <c r="H2199" s="89"/>
      <c r="I2199" s="90"/>
      <c r="K2199" s="91"/>
      <c r="L2199" s="88"/>
      <c r="M2199" s="92"/>
      <c r="N2199" s="86"/>
    </row>
    <row r="2200" spans="5:14">
      <c r="E2200" s="86"/>
      <c r="F2200" s="87"/>
      <c r="G2200" s="88"/>
      <c r="H2200" s="89"/>
      <c r="I2200" s="90"/>
      <c r="K2200" s="91"/>
      <c r="L2200" s="88"/>
      <c r="M2200" s="92"/>
      <c r="N2200" s="86"/>
    </row>
    <row r="2201" spans="5:14">
      <c r="E2201" s="86"/>
      <c r="F2201" s="87"/>
      <c r="G2201" s="88"/>
      <c r="H2201" s="89"/>
      <c r="I2201" s="90"/>
      <c r="K2201" s="91"/>
      <c r="L2201" s="88"/>
      <c r="M2201" s="92"/>
      <c r="N2201" s="86"/>
    </row>
    <row r="2202" spans="5:14">
      <c r="E2202" s="86"/>
      <c r="F2202" s="87"/>
      <c r="G2202" s="88"/>
      <c r="H2202" s="89"/>
      <c r="I2202" s="90"/>
      <c r="K2202" s="91"/>
      <c r="L2202" s="88"/>
      <c r="M2202" s="92"/>
      <c r="N2202" s="86"/>
    </row>
    <row r="2203" spans="5:14">
      <c r="E2203" s="86"/>
      <c r="F2203" s="87"/>
      <c r="G2203" s="88"/>
      <c r="H2203" s="89"/>
      <c r="I2203" s="90"/>
      <c r="K2203" s="91"/>
      <c r="L2203" s="88"/>
      <c r="M2203" s="92"/>
      <c r="N2203" s="86"/>
    </row>
    <row r="2204" spans="5:14">
      <c r="E2204" s="86"/>
      <c r="F2204" s="87"/>
      <c r="G2204" s="88"/>
      <c r="H2204" s="89"/>
      <c r="I2204" s="90"/>
      <c r="K2204" s="91"/>
      <c r="L2204" s="88"/>
      <c r="M2204" s="92"/>
      <c r="N2204" s="86"/>
    </row>
    <row r="2205" spans="5:14">
      <c r="E2205" s="86"/>
      <c r="F2205" s="87"/>
      <c r="G2205" s="88"/>
      <c r="H2205" s="89"/>
      <c r="I2205" s="90"/>
      <c r="K2205" s="91"/>
      <c r="L2205" s="88"/>
      <c r="M2205" s="92"/>
      <c r="N2205" s="86"/>
    </row>
    <row r="2206" spans="5:14">
      <c r="E2206" s="86"/>
      <c r="F2206" s="87"/>
      <c r="G2206" s="88"/>
      <c r="H2206" s="89"/>
      <c r="I2206" s="90"/>
      <c r="K2206" s="91"/>
      <c r="L2206" s="88"/>
      <c r="M2206" s="92"/>
      <c r="N2206" s="86"/>
    </row>
    <row r="2207" spans="5:14">
      <c r="E2207" s="86"/>
      <c r="F2207" s="87"/>
      <c r="G2207" s="88"/>
      <c r="H2207" s="89"/>
      <c r="I2207" s="90"/>
      <c r="K2207" s="91"/>
      <c r="L2207" s="88"/>
      <c r="M2207" s="92"/>
      <c r="N2207" s="86"/>
    </row>
    <row r="2208" spans="5:14">
      <c r="E2208" s="86"/>
      <c r="F2208" s="87"/>
      <c r="G2208" s="88"/>
      <c r="H2208" s="89"/>
      <c r="I2208" s="90"/>
      <c r="K2208" s="91"/>
      <c r="L2208" s="88"/>
      <c r="M2208" s="92"/>
      <c r="N2208" s="86"/>
    </row>
    <row r="2209" spans="5:14">
      <c r="E2209" s="86"/>
      <c r="F2209" s="87"/>
      <c r="G2209" s="88"/>
      <c r="H2209" s="89"/>
      <c r="I2209" s="90"/>
      <c r="K2209" s="91"/>
      <c r="L2209" s="88"/>
      <c r="M2209" s="92"/>
      <c r="N2209" s="86"/>
    </row>
    <row r="2210" spans="5:14">
      <c r="E2210" s="86"/>
      <c r="F2210" s="87"/>
      <c r="G2210" s="88"/>
      <c r="H2210" s="89"/>
      <c r="I2210" s="90"/>
      <c r="K2210" s="91"/>
      <c r="L2210" s="88"/>
      <c r="M2210" s="92"/>
      <c r="N2210" s="86"/>
    </row>
    <row r="2211" spans="5:14">
      <c r="E2211" s="86"/>
      <c r="F2211" s="87"/>
      <c r="G2211" s="88"/>
      <c r="H2211" s="89"/>
      <c r="I2211" s="90"/>
      <c r="K2211" s="91"/>
      <c r="L2211" s="88"/>
      <c r="M2211" s="92"/>
      <c r="N2211" s="86"/>
    </row>
    <row r="2212" spans="5:14">
      <c r="E2212" s="86"/>
      <c r="F2212" s="87"/>
      <c r="G2212" s="88"/>
      <c r="H2212" s="89"/>
      <c r="I2212" s="90"/>
      <c r="K2212" s="91"/>
      <c r="L2212" s="88"/>
      <c r="M2212" s="92"/>
      <c r="N2212" s="86"/>
    </row>
    <row r="2213" spans="5:14">
      <c r="E2213" s="86"/>
      <c r="F2213" s="87"/>
      <c r="G2213" s="88"/>
      <c r="H2213" s="89"/>
      <c r="I2213" s="90"/>
      <c r="K2213" s="91"/>
      <c r="L2213" s="88"/>
      <c r="M2213" s="92"/>
      <c r="N2213" s="86"/>
    </row>
    <row r="2214" spans="5:14">
      <c r="E2214" s="86"/>
      <c r="F2214" s="87"/>
      <c r="G2214" s="88"/>
      <c r="H2214" s="89"/>
      <c r="I2214" s="90"/>
      <c r="K2214" s="91"/>
      <c r="L2214" s="88"/>
      <c r="M2214" s="92"/>
      <c r="N2214" s="86"/>
    </row>
    <row r="2215" spans="5:14">
      <c r="E2215" s="86"/>
      <c r="F2215" s="87"/>
      <c r="G2215" s="88"/>
      <c r="H2215" s="89"/>
      <c r="I2215" s="90"/>
      <c r="K2215" s="91"/>
      <c r="L2215" s="88"/>
      <c r="M2215" s="92"/>
      <c r="N2215" s="86"/>
    </row>
    <row r="2216" spans="5:14">
      <c r="E2216" s="86"/>
      <c r="F2216" s="87"/>
      <c r="G2216" s="88"/>
      <c r="H2216" s="89"/>
      <c r="I2216" s="90"/>
      <c r="K2216" s="91"/>
      <c r="L2216" s="88"/>
      <c r="M2216" s="92"/>
      <c r="N2216" s="86"/>
    </row>
    <row r="2217" spans="5:14">
      <c r="E2217" s="86"/>
      <c r="F2217" s="87"/>
      <c r="G2217" s="88"/>
      <c r="H2217" s="89"/>
      <c r="I2217" s="90"/>
      <c r="K2217" s="91"/>
      <c r="L2217" s="88"/>
      <c r="M2217" s="92"/>
      <c r="N2217" s="86"/>
    </row>
    <row r="2218" spans="5:14">
      <c r="E2218" s="86"/>
      <c r="F2218" s="87"/>
      <c r="G2218" s="88"/>
      <c r="H2218" s="89"/>
      <c r="I2218" s="90"/>
      <c r="K2218" s="91"/>
      <c r="L2218" s="88"/>
      <c r="M2218" s="92"/>
      <c r="N2218" s="86"/>
    </row>
    <row r="2219" spans="5:14">
      <c r="E2219" s="86"/>
      <c r="F2219" s="87"/>
      <c r="G2219" s="88"/>
      <c r="H2219" s="89"/>
      <c r="I2219" s="90"/>
      <c r="K2219" s="91"/>
      <c r="L2219" s="88"/>
      <c r="M2219" s="92"/>
      <c r="N2219" s="86"/>
    </row>
    <row r="2220" spans="5:14">
      <c r="E2220" s="86"/>
      <c r="F2220" s="87"/>
      <c r="G2220" s="88"/>
      <c r="H2220" s="89"/>
      <c r="I2220" s="90"/>
      <c r="K2220" s="91"/>
      <c r="L2220" s="88"/>
      <c r="M2220" s="92"/>
      <c r="N2220" s="86"/>
    </row>
    <row r="2221" spans="5:14">
      <c r="E2221" s="86"/>
      <c r="F2221" s="87"/>
      <c r="G2221" s="88"/>
      <c r="H2221" s="89"/>
      <c r="I2221" s="90"/>
      <c r="K2221" s="91"/>
      <c r="L2221" s="88"/>
      <c r="M2221" s="92"/>
      <c r="N2221" s="86"/>
    </row>
    <row r="2222" spans="5:14">
      <c r="E2222" s="86"/>
      <c r="F2222" s="87"/>
      <c r="G2222" s="88"/>
      <c r="H2222" s="89"/>
      <c r="I2222" s="90"/>
      <c r="K2222" s="91"/>
      <c r="L2222" s="88"/>
      <c r="M2222" s="92"/>
      <c r="N2222" s="86"/>
    </row>
    <row r="2223" spans="5:14">
      <c r="E2223" s="86"/>
      <c r="F2223" s="87"/>
      <c r="G2223" s="88"/>
      <c r="H2223" s="89"/>
      <c r="I2223" s="90"/>
      <c r="K2223" s="91"/>
      <c r="L2223" s="88"/>
      <c r="M2223" s="92"/>
      <c r="N2223" s="86"/>
    </row>
    <row r="2224" spans="5:14">
      <c r="E2224" s="86"/>
      <c r="F2224" s="87"/>
      <c r="G2224" s="88"/>
      <c r="H2224" s="89"/>
      <c r="I2224" s="90"/>
      <c r="K2224" s="91"/>
      <c r="L2224" s="88"/>
      <c r="M2224" s="92"/>
      <c r="N2224" s="86"/>
    </row>
    <row r="2225" spans="5:14">
      <c r="E2225" s="86"/>
      <c r="F2225" s="87"/>
      <c r="G2225" s="88"/>
      <c r="H2225" s="89"/>
      <c r="I2225" s="90"/>
      <c r="K2225" s="91"/>
      <c r="L2225" s="88"/>
      <c r="M2225" s="92"/>
      <c r="N2225" s="86"/>
    </row>
    <row r="2226" spans="5:14">
      <c r="E2226" s="86"/>
      <c r="F2226" s="87"/>
      <c r="G2226" s="88"/>
      <c r="H2226" s="89"/>
      <c r="I2226" s="90"/>
      <c r="K2226" s="91"/>
      <c r="L2226" s="88"/>
      <c r="M2226" s="92"/>
      <c r="N2226" s="86"/>
    </row>
    <row r="2227" spans="5:14">
      <c r="E2227" s="86"/>
      <c r="F2227" s="87"/>
      <c r="G2227" s="88"/>
      <c r="H2227" s="89"/>
      <c r="I2227" s="90"/>
      <c r="K2227" s="91"/>
      <c r="L2227" s="88"/>
      <c r="M2227" s="92"/>
      <c r="N2227" s="86"/>
    </row>
    <row r="2228" spans="5:14">
      <c r="E2228" s="86"/>
      <c r="F2228" s="87"/>
      <c r="G2228" s="88"/>
      <c r="H2228" s="89"/>
      <c r="I2228" s="90"/>
      <c r="K2228" s="91"/>
      <c r="L2228" s="88"/>
      <c r="M2228" s="92"/>
      <c r="N2228" s="86"/>
    </row>
    <row r="2229" spans="5:14">
      <c r="E2229" s="86"/>
      <c r="F2229" s="87"/>
      <c r="G2229" s="88"/>
      <c r="H2229" s="89"/>
      <c r="I2229" s="90"/>
      <c r="K2229" s="91"/>
      <c r="L2229" s="88"/>
      <c r="M2229" s="92"/>
      <c r="N2229" s="86"/>
    </row>
    <row r="2230" spans="5:14">
      <c r="E2230" s="86"/>
      <c r="F2230" s="87"/>
      <c r="G2230" s="88"/>
      <c r="H2230" s="89"/>
      <c r="I2230" s="90"/>
      <c r="K2230" s="91"/>
      <c r="L2230" s="88"/>
      <c r="M2230" s="92"/>
      <c r="N2230" s="86"/>
    </row>
    <row r="2231" spans="5:14">
      <c r="E2231" s="86"/>
      <c r="F2231" s="87"/>
      <c r="G2231" s="88"/>
      <c r="H2231" s="89"/>
      <c r="I2231" s="90"/>
      <c r="K2231" s="91"/>
      <c r="L2231" s="88"/>
      <c r="M2231" s="92"/>
      <c r="N2231" s="86"/>
    </row>
    <row r="2232" spans="5:14">
      <c r="E2232" s="86"/>
      <c r="F2232" s="87"/>
      <c r="G2232" s="88"/>
      <c r="H2232" s="89"/>
      <c r="I2232" s="90"/>
      <c r="K2232" s="91"/>
      <c r="L2232" s="88"/>
      <c r="M2232" s="92"/>
      <c r="N2232" s="86"/>
    </row>
    <row r="2233" spans="5:14">
      <c r="E2233" s="86"/>
      <c r="F2233" s="87"/>
      <c r="G2233" s="88"/>
      <c r="H2233" s="89"/>
      <c r="I2233" s="90"/>
      <c r="K2233" s="91"/>
      <c r="L2233" s="88"/>
      <c r="M2233" s="92"/>
      <c r="N2233" s="86"/>
    </row>
    <row r="2234" spans="5:14">
      <c r="E2234" s="86"/>
      <c r="F2234" s="87"/>
      <c r="G2234" s="88"/>
      <c r="H2234" s="89"/>
      <c r="I2234" s="90"/>
      <c r="K2234" s="91"/>
      <c r="L2234" s="88"/>
      <c r="M2234" s="92"/>
      <c r="N2234" s="86"/>
    </row>
    <row r="2235" spans="5:14">
      <c r="E2235" s="86"/>
      <c r="F2235" s="87"/>
      <c r="G2235" s="88"/>
      <c r="H2235" s="89"/>
      <c r="I2235" s="90"/>
      <c r="K2235" s="91"/>
      <c r="L2235" s="88"/>
      <c r="M2235" s="92"/>
      <c r="N2235" s="86"/>
    </row>
    <row r="2236" spans="5:14">
      <c r="E2236" s="86"/>
      <c r="F2236" s="87"/>
      <c r="G2236" s="88"/>
      <c r="H2236" s="89"/>
      <c r="I2236" s="90"/>
      <c r="K2236" s="91"/>
      <c r="L2236" s="88"/>
      <c r="M2236" s="92"/>
      <c r="N2236" s="86"/>
    </row>
    <row r="2237" spans="5:14">
      <c r="E2237" s="86"/>
      <c r="F2237" s="87"/>
      <c r="G2237" s="88"/>
      <c r="H2237" s="89"/>
      <c r="I2237" s="90"/>
      <c r="K2237" s="91"/>
      <c r="L2237" s="88"/>
      <c r="M2237" s="92"/>
      <c r="N2237" s="86"/>
    </row>
    <row r="2238" spans="5:14">
      <c r="E2238" s="86"/>
      <c r="F2238" s="87"/>
      <c r="G2238" s="88"/>
      <c r="H2238" s="89"/>
      <c r="I2238" s="90"/>
      <c r="K2238" s="91"/>
      <c r="L2238" s="88"/>
      <c r="M2238" s="92"/>
      <c r="N2238" s="86"/>
    </row>
    <row r="2239" spans="5:14">
      <c r="E2239" s="86"/>
      <c r="F2239" s="87"/>
      <c r="G2239" s="88"/>
      <c r="H2239" s="89"/>
      <c r="I2239" s="90"/>
      <c r="K2239" s="91"/>
      <c r="L2239" s="88"/>
      <c r="M2239" s="92"/>
      <c r="N2239" s="86"/>
    </row>
    <row r="2240" spans="5:14">
      <c r="E2240" s="86"/>
      <c r="F2240" s="87"/>
      <c r="G2240" s="88"/>
      <c r="H2240" s="89"/>
      <c r="I2240" s="90"/>
      <c r="K2240" s="91"/>
      <c r="L2240" s="88"/>
      <c r="M2240" s="92"/>
      <c r="N2240" s="86"/>
    </row>
    <row r="2241" spans="5:14">
      <c r="E2241" s="86"/>
      <c r="F2241" s="87"/>
      <c r="G2241" s="88"/>
      <c r="H2241" s="89"/>
      <c r="I2241" s="90"/>
      <c r="K2241" s="91"/>
      <c r="L2241" s="88"/>
      <c r="M2241" s="92"/>
      <c r="N2241" s="86"/>
    </row>
    <row r="2242" spans="5:14">
      <c r="E2242" s="86"/>
      <c r="F2242" s="87"/>
      <c r="G2242" s="88"/>
      <c r="H2242" s="89"/>
      <c r="I2242" s="90"/>
      <c r="K2242" s="91"/>
      <c r="L2242" s="88"/>
      <c r="M2242" s="92"/>
      <c r="N2242" s="86"/>
    </row>
    <row r="2243" spans="5:14">
      <c r="E2243" s="86"/>
      <c r="F2243" s="87"/>
      <c r="G2243" s="88"/>
      <c r="H2243" s="89"/>
      <c r="I2243" s="90"/>
      <c r="K2243" s="91"/>
      <c r="L2243" s="88"/>
      <c r="M2243" s="92"/>
      <c r="N2243" s="86"/>
    </row>
    <row r="2244" spans="5:14">
      <c r="E2244" s="86"/>
      <c r="F2244" s="87"/>
      <c r="G2244" s="88"/>
      <c r="H2244" s="89"/>
      <c r="I2244" s="90"/>
      <c r="K2244" s="91"/>
      <c r="L2244" s="88"/>
      <c r="M2244" s="92"/>
      <c r="N2244" s="86"/>
    </row>
    <row r="2245" spans="5:14">
      <c r="E2245" s="86"/>
      <c r="F2245" s="87"/>
      <c r="G2245" s="88"/>
      <c r="H2245" s="89"/>
      <c r="I2245" s="90"/>
      <c r="K2245" s="91"/>
      <c r="L2245" s="88"/>
      <c r="M2245" s="92"/>
      <c r="N2245" s="86"/>
    </row>
    <row r="2246" spans="5:14">
      <c r="E2246" s="86"/>
      <c r="F2246" s="87"/>
      <c r="G2246" s="88"/>
      <c r="H2246" s="89"/>
      <c r="I2246" s="90"/>
      <c r="K2246" s="91"/>
      <c r="L2246" s="88"/>
      <c r="M2246" s="92"/>
      <c r="N2246" s="86"/>
    </row>
    <row r="2247" spans="5:14">
      <c r="E2247" s="86"/>
      <c r="F2247" s="87"/>
      <c r="G2247" s="88"/>
      <c r="H2247" s="89"/>
      <c r="I2247" s="90"/>
      <c r="K2247" s="91"/>
      <c r="L2247" s="88"/>
      <c r="M2247" s="92"/>
      <c r="N2247" s="86"/>
    </row>
    <row r="2248" spans="5:14">
      <c r="E2248" s="86"/>
      <c r="F2248" s="87"/>
      <c r="G2248" s="88"/>
      <c r="H2248" s="89"/>
      <c r="I2248" s="90"/>
      <c r="K2248" s="91"/>
      <c r="L2248" s="88"/>
      <c r="M2248" s="92"/>
      <c r="N2248" s="86"/>
    </row>
    <row r="2249" spans="5:14">
      <c r="E2249" s="86"/>
      <c r="F2249" s="87"/>
      <c r="G2249" s="88"/>
      <c r="H2249" s="89"/>
      <c r="I2249" s="90"/>
      <c r="K2249" s="91"/>
      <c r="L2249" s="88"/>
      <c r="M2249" s="92"/>
      <c r="N2249" s="86"/>
    </row>
    <row r="2250" spans="5:14">
      <c r="E2250" s="86"/>
      <c r="F2250" s="87"/>
      <c r="G2250" s="88"/>
      <c r="H2250" s="89"/>
      <c r="I2250" s="90"/>
      <c r="K2250" s="91"/>
      <c r="L2250" s="88"/>
      <c r="M2250" s="92"/>
      <c r="N2250" s="86"/>
    </row>
    <row r="2251" spans="5:14">
      <c r="E2251" s="86"/>
      <c r="F2251" s="87"/>
      <c r="G2251" s="88"/>
      <c r="H2251" s="89"/>
      <c r="I2251" s="90"/>
      <c r="K2251" s="91"/>
      <c r="L2251" s="88"/>
      <c r="M2251" s="92"/>
      <c r="N2251" s="86"/>
    </row>
    <row r="2252" spans="5:14">
      <c r="E2252" s="86"/>
      <c r="F2252" s="87"/>
      <c r="G2252" s="88"/>
      <c r="H2252" s="89"/>
      <c r="I2252" s="90"/>
      <c r="K2252" s="91"/>
      <c r="L2252" s="88"/>
      <c r="M2252" s="92"/>
      <c r="N2252" s="86"/>
    </row>
    <row r="2253" spans="5:14">
      <c r="E2253" s="86"/>
      <c r="F2253" s="87"/>
      <c r="G2253" s="88"/>
      <c r="H2253" s="89"/>
      <c r="I2253" s="90"/>
      <c r="K2253" s="91"/>
      <c r="L2253" s="88"/>
      <c r="M2253" s="92"/>
      <c r="N2253" s="86"/>
    </row>
    <row r="2254" spans="5:14">
      <c r="E2254" s="86"/>
      <c r="F2254" s="87"/>
      <c r="G2254" s="88"/>
      <c r="H2254" s="89"/>
      <c r="I2254" s="90"/>
      <c r="K2254" s="91"/>
      <c r="L2254" s="88"/>
      <c r="M2254" s="92"/>
      <c r="N2254" s="86"/>
    </row>
    <row r="2255" spans="5:14">
      <c r="E2255" s="86"/>
      <c r="F2255" s="87"/>
      <c r="G2255" s="88"/>
      <c r="H2255" s="89"/>
      <c r="I2255" s="90"/>
      <c r="K2255" s="91"/>
      <c r="L2255" s="88"/>
      <c r="M2255" s="92"/>
      <c r="N2255" s="86"/>
    </row>
    <row r="2256" spans="5:14">
      <c r="E2256" s="86"/>
      <c r="F2256" s="87"/>
      <c r="G2256" s="88"/>
      <c r="H2256" s="89"/>
      <c r="I2256" s="90"/>
      <c r="K2256" s="91"/>
      <c r="L2256" s="88"/>
      <c r="M2256" s="92"/>
      <c r="N2256" s="86"/>
    </row>
    <row r="2257" spans="5:14">
      <c r="E2257" s="86"/>
      <c r="F2257" s="87"/>
      <c r="G2257" s="88"/>
      <c r="H2257" s="89"/>
      <c r="I2257" s="90"/>
      <c r="K2257" s="91"/>
      <c r="L2257" s="88"/>
      <c r="M2257" s="92"/>
      <c r="N2257" s="86"/>
    </row>
    <row r="2258" spans="5:14">
      <c r="E2258" s="86"/>
      <c r="F2258" s="87"/>
      <c r="G2258" s="88"/>
      <c r="H2258" s="89"/>
      <c r="I2258" s="90"/>
      <c r="K2258" s="91"/>
      <c r="L2258" s="88"/>
      <c r="M2258" s="92"/>
      <c r="N2258" s="86"/>
    </row>
    <row r="2259" spans="5:14">
      <c r="E2259" s="86"/>
      <c r="F2259" s="87"/>
      <c r="G2259" s="88"/>
      <c r="H2259" s="89"/>
      <c r="I2259" s="90"/>
      <c r="K2259" s="91"/>
      <c r="L2259" s="88"/>
      <c r="M2259" s="92"/>
      <c r="N2259" s="86"/>
    </row>
    <row r="2260" spans="5:14">
      <c r="E2260" s="86"/>
      <c r="F2260" s="87"/>
      <c r="G2260" s="88"/>
      <c r="H2260" s="89"/>
      <c r="I2260" s="90"/>
      <c r="K2260" s="91"/>
      <c r="L2260" s="88"/>
      <c r="M2260" s="92"/>
      <c r="N2260" s="86"/>
    </row>
    <row r="2261" spans="5:14">
      <c r="E2261" s="86"/>
      <c r="F2261" s="87"/>
      <c r="G2261" s="88"/>
      <c r="H2261" s="89"/>
      <c r="I2261" s="90"/>
      <c r="K2261" s="91"/>
      <c r="L2261" s="88"/>
      <c r="M2261" s="92"/>
      <c r="N2261" s="86"/>
    </row>
    <row r="2262" spans="5:14">
      <c r="E2262" s="86"/>
      <c r="F2262" s="87"/>
      <c r="G2262" s="88"/>
      <c r="H2262" s="89"/>
      <c r="I2262" s="90"/>
      <c r="K2262" s="91"/>
      <c r="L2262" s="88"/>
      <c r="M2262" s="92"/>
      <c r="N2262" s="86"/>
    </row>
    <row r="2263" spans="5:14">
      <c r="E2263" s="86"/>
      <c r="F2263" s="87"/>
      <c r="G2263" s="88"/>
      <c r="H2263" s="89"/>
      <c r="I2263" s="90"/>
      <c r="K2263" s="91"/>
      <c r="L2263" s="88"/>
      <c r="M2263" s="92"/>
      <c r="N2263" s="86"/>
    </row>
    <row r="2264" spans="5:14">
      <c r="E2264" s="86"/>
      <c r="F2264" s="87"/>
      <c r="G2264" s="88"/>
      <c r="H2264" s="89"/>
      <c r="I2264" s="90"/>
      <c r="K2264" s="91"/>
      <c r="L2264" s="88"/>
      <c r="M2264" s="92"/>
      <c r="N2264" s="86"/>
    </row>
    <row r="2265" spans="5:14">
      <c r="E2265" s="86"/>
      <c r="F2265" s="87"/>
      <c r="G2265" s="88"/>
      <c r="H2265" s="89"/>
      <c r="I2265" s="90"/>
      <c r="K2265" s="91"/>
      <c r="L2265" s="88"/>
      <c r="M2265" s="92"/>
      <c r="N2265" s="86"/>
    </row>
    <row r="2266" spans="5:14">
      <c r="E2266" s="86"/>
      <c r="F2266" s="87"/>
      <c r="G2266" s="88"/>
      <c r="H2266" s="89"/>
      <c r="I2266" s="90"/>
      <c r="K2266" s="91"/>
      <c r="L2266" s="88"/>
      <c r="M2266" s="92"/>
      <c r="N2266" s="86"/>
    </row>
    <row r="2267" spans="5:14">
      <c r="E2267" s="86"/>
      <c r="F2267" s="87"/>
      <c r="G2267" s="88"/>
      <c r="H2267" s="89"/>
      <c r="I2267" s="90"/>
      <c r="K2267" s="91"/>
      <c r="L2267" s="88"/>
      <c r="M2267" s="92"/>
      <c r="N2267" s="86"/>
    </row>
    <row r="2268" spans="5:14">
      <c r="E2268" s="86"/>
      <c r="F2268" s="87"/>
      <c r="G2268" s="88"/>
      <c r="H2268" s="89"/>
      <c r="I2268" s="90"/>
      <c r="K2268" s="91"/>
      <c r="L2268" s="88"/>
      <c r="M2268" s="92"/>
      <c r="N2268" s="86"/>
    </row>
    <row r="2269" spans="5:14">
      <c r="E2269" s="86"/>
      <c r="F2269" s="87"/>
      <c r="G2269" s="88"/>
      <c r="H2269" s="89"/>
      <c r="I2269" s="90"/>
      <c r="K2269" s="91"/>
      <c r="L2269" s="88"/>
      <c r="M2269" s="92"/>
      <c r="N2269" s="86"/>
    </row>
    <row r="2270" spans="5:14">
      <c r="E2270" s="86"/>
      <c r="F2270" s="87"/>
      <c r="G2270" s="88"/>
      <c r="H2270" s="89"/>
      <c r="I2270" s="90"/>
      <c r="K2270" s="91"/>
      <c r="L2270" s="88"/>
      <c r="M2270" s="92"/>
      <c r="N2270" s="86"/>
    </row>
    <row r="2271" spans="5:14">
      <c r="E2271" s="86"/>
      <c r="F2271" s="87"/>
      <c r="G2271" s="88"/>
      <c r="H2271" s="89"/>
      <c r="I2271" s="90"/>
      <c r="K2271" s="91"/>
      <c r="L2271" s="88"/>
      <c r="M2271" s="92"/>
      <c r="N2271" s="86"/>
    </row>
    <row r="2272" spans="5:14">
      <c r="E2272" s="86"/>
      <c r="F2272" s="87"/>
      <c r="G2272" s="88"/>
      <c r="H2272" s="89"/>
      <c r="I2272" s="90"/>
      <c r="K2272" s="91"/>
      <c r="L2272" s="88"/>
      <c r="M2272" s="92"/>
      <c r="N2272" s="86"/>
    </row>
    <row r="2273" spans="5:14">
      <c r="E2273" s="86"/>
      <c r="F2273" s="87"/>
      <c r="G2273" s="88"/>
      <c r="H2273" s="89"/>
      <c r="I2273" s="90"/>
      <c r="K2273" s="91"/>
      <c r="L2273" s="88"/>
      <c r="M2273" s="92"/>
      <c r="N2273" s="86"/>
    </row>
    <row r="2274" spans="5:14">
      <c r="E2274" s="86"/>
      <c r="F2274" s="87"/>
      <c r="G2274" s="88"/>
      <c r="H2274" s="89"/>
      <c r="I2274" s="90"/>
      <c r="K2274" s="91"/>
      <c r="L2274" s="88"/>
      <c r="M2274" s="92"/>
      <c r="N2274" s="86"/>
    </row>
    <row r="2275" spans="5:14">
      <c r="E2275" s="86"/>
      <c r="F2275" s="87"/>
      <c r="G2275" s="88"/>
      <c r="H2275" s="89"/>
      <c r="I2275" s="90"/>
      <c r="K2275" s="91"/>
      <c r="L2275" s="88"/>
      <c r="M2275" s="92"/>
      <c r="N2275" s="86"/>
    </row>
    <row r="2276" spans="5:14">
      <c r="E2276" s="86"/>
      <c r="F2276" s="87"/>
      <c r="G2276" s="88"/>
      <c r="H2276" s="89"/>
      <c r="I2276" s="90"/>
      <c r="K2276" s="91"/>
      <c r="L2276" s="88"/>
      <c r="M2276" s="92"/>
      <c r="N2276" s="86"/>
    </row>
    <row r="2277" spans="5:14">
      <c r="E2277" s="86"/>
      <c r="F2277" s="87"/>
      <c r="G2277" s="88"/>
      <c r="H2277" s="89"/>
      <c r="I2277" s="90"/>
      <c r="K2277" s="91"/>
      <c r="L2277" s="88"/>
      <c r="M2277" s="92"/>
      <c r="N2277" s="86"/>
    </row>
    <row r="2278" spans="5:14">
      <c r="E2278" s="86"/>
      <c r="F2278" s="87"/>
      <c r="G2278" s="88"/>
      <c r="H2278" s="89"/>
      <c r="I2278" s="90"/>
      <c r="K2278" s="91"/>
      <c r="L2278" s="88"/>
      <c r="M2278" s="92"/>
      <c r="N2278" s="86"/>
    </row>
    <row r="2279" spans="5:14">
      <c r="E2279" s="86"/>
      <c r="F2279" s="87"/>
      <c r="G2279" s="88"/>
      <c r="H2279" s="89"/>
      <c r="I2279" s="90"/>
      <c r="K2279" s="91"/>
      <c r="L2279" s="88"/>
      <c r="M2279" s="92"/>
      <c r="N2279" s="86"/>
    </row>
    <row r="2280" spans="5:14">
      <c r="E2280" s="86"/>
      <c r="F2280" s="87"/>
      <c r="G2280" s="88"/>
      <c r="H2280" s="89"/>
      <c r="I2280" s="90"/>
      <c r="K2280" s="91"/>
      <c r="L2280" s="88"/>
      <c r="M2280" s="92"/>
      <c r="N2280" s="86"/>
    </row>
    <row r="2281" spans="5:14">
      <c r="E2281" s="86"/>
      <c r="F2281" s="87"/>
      <c r="G2281" s="88"/>
      <c r="H2281" s="89"/>
      <c r="I2281" s="90"/>
      <c r="K2281" s="91"/>
      <c r="L2281" s="88"/>
      <c r="M2281" s="92"/>
      <c r="N2281" s="86"/>
    </row>
    <row r="2282" spans="5:14">
      <c r="E2282" s="86"/>
      <c r="F2282" s="87"/>
      <c r="G2282" s="88"/>
      <c r="H2282" s="89"/>
      <c r="I2282" s="90"/>
      <c r="K2282" s="91"/>
      <c r="L2282" s="88"/>
      <c r="M2282" s="92"/>
      <c r="N2282" s="86"/>
    </row>
    <row r="2283" spans="5:14">
      <c r="E2283" s="86"/>
      <c r="F2283" s="87"/>
      <c r="G2283" s="88"/>
      <c r="H2283" s="89"/>
      <c r="I2283" s="90"/>
      <c r="K2283" s="91"/>
      <c r="L2283" s="88"/>
      <c r="M2283" s="92"/>
      <c r="N2283" s="86"/>
    </row>
    <row r="2284" spans="5:14">
      <c r="E2284" s="86"/>
      <c r="F2284" s="87"/>
      <c r="G2284" s="88"/>
      <c r="H2284" s="89"/>
      <c r="I2284" s="90"/>
      <c r="K2284" s="91"/>
      <c r="L2284" s="88"/>
      <c r="M2284" s="92"/>
      <c r="N2284" s="86"/>
    </row>
    <row r="2285" spans="5:14">
      <c r="E2285" s="86"/>
      <c r="F2285" s="87"/>
      <c r="G2285" s="88"/>
      <c r="H2285" s="89"/>
      <c r="I2285" s="90"/>
      <c r="K2285" s="91"/>
      <c r="L2285" s="88"/>
      <c r="M2285" s="92"/>
      <c r="N2285" s="86"/>
    </row>
    <row r="2286" spans="5:14">
      <c r="E2286" s="86"/>
      <c r="F2286" s="87"/>
      <c r="G2286" s="88"/>
      <c r="H2286" s="89"/>
      <c r="I2286" s="90"/>
      <c r="K2286" s="91"/>
      <c r="L2286" s="88"/>
      <c r="M2286" s="92"/>
      <c r="N2286" s="86"/>
    </row>
    <row r="2287" spans="5:14">
      <c r="E2287" s="86"/>
      <c r="F2287" s="87"/>
      <c r="G2287" s="88"/>
      <c r="H2287" s="89"/>
      <c r="I2287" s="90"/>
      <c r="K2287" s="91"/>
      <c r="L2287" s="88"/>
      <c r="M2287" s="92"/>
      <c r="N2287" s="86"/>
    </row>
    <row r="2288" spans="5:14">
      <c r="E2288" s="86"/>
      <c r="F2288" s="87"/>
      <c r="G2288" s="88"/>
      <c r="H2288" s="89"/>
      <c r="I2288" s="90"/>
      <c r="K2288" s="91"/>
      <c r="L2288" s="88"/>
      <c r="M2288" s="92"/>
      <c r="N2288" s="86"/>
    </row>
    <row r="2289" spans="5:14">
      <c r="E2289" s="86"/>
      <c r="F2289" s="87"/>
      <c r="G2289" s="88"/>
      <c r="H2289" s="89"/>
      <c r="I2289" s="90"/>
      <c r="K2289" s="91"/>
      <c r="L2289" s="88"/>
      <c r="M2289" s="92"/>
      <c r="N2289" s="86"/>
    </row>
    <row r="2290" spans="5:14">
      <c r="E2290" s="86"/>
      <c r="F2290" s="87"/>
      <c r="G2290" s="88"/>
      <c r="H2290" s="89"/>
      <c r="I2290" s="90"/>
      <c r="K2290" s="91"/>
      <c r="L2290" s="88"/>
      <c r="M2290" s="92"/>
      <c r="N2290" s="86"/>
    </row>
    <row r="2291" spans="5:14">
      <c r="E2291" s="86"/>
      <c r="F2291" s="87"/>
      <c r="G2291" s="88"/>
      <c r="H2291" s="89"/>
      <c r="I2291" s="90"/>
      <c r="K2291" s="91"/>
      <c r="L2291" s="88"/>
      <c r="M2291" s="92"/>
      <c r="N2291" s="86"/>
    </row>
    <row r="2292" spans="5:14">
      <c r="E2292" s="86"/>
      <c r="F2292" s="87"/>
      <c r="G2292" s="88"/>
      <c r="H2292" s="89"/>
      <c r="I2292" s="90"/>
      <c r="K2292" s="91"/>
      <c r="L2292" s="88"/>
      <c r="M2292" s="92"/>
      <c r="N2292" s="86"/>
    </row>
    <row r="2293" spans="5:14">
      <c r="E2293" s="86"/>
      <c r="F2293" s="87"/>
      <c r="G2293" s="88"/>
      <c r="H2293" s="89"/>
      <c r="I2293" s="90"/>
      <c r="K2293" s="91"/>
      <c r="L2293" s="88"/>
      <c r="M2293" s="92"/>
      <c r="N2293" s="86"/>
    </row>
    <row r="2294" spans="5:14">
      <c r="E2294" s="86"/>
      <c r="F2294" s="87"/>
      <c r="G2294" s="88"/>
      <c r="H2294" s="89"/>
      <c r="I2294" s="90"/>
      <c r="K2294" s="91"/>
      <c r="L2294" s="88"/>
      <c r="M2294" s="92"/>
      <c r="N2294" s="86"/>
    </row>
    <row r="2295" spans="5:14">
      <c r="E2295" s="86"/>
      <c r="F2295" s="87"/>
      <c r="G2295" s="88"/>
      <c r="H2295" s="89"/>
      <c r="I2295" s="90"/>
      <c r="K2295" s="91"/>
      <c r="L2295" s="88"/>
      <c r="M2295" s="92"/>
      <c r="N2295" s="86"/>
    </row>
    <row r="2296" spans="5:14">
      <c r="E2296" s="86"/>
      <c r="F2296" s="87"/>
      <c r="G2296" s="88"/>
      <c r="H2296" s="89"/>
      <c r="I2296" s="90"/>
      <c r="K2296" s="91"/>
      <c r="L2296" s="88"/>
      <c r="M2296" s="92"/>
      <c r="N2296" s="86"/>
    </row>
    <row r="2297" spans="5:14">
      <c r="E2297" s="86"/>
      <c r="F2297" s="87"/>
      <c r="G2297" s="88"/>
      <c r="H2297" s="89"/>
      <c r="I2297" s="90"/>
      <c r="K2297" s="91"/>
      <c r="L2297" s="88"/>
      <c r="M2297" s="92"/>
      <c r="N2297" s="86"/>
    </row>
    <row r="2298" spans="5:14">
      <c r="E2298" s="86"/>
      <c r="F2298" s="87"/>
      <c r="G2298" s="88"/>
      <c r="H2298" s="89"/>
      <c r="I2298" s="90"/>
      <c r="K2298" s="91"/>
      <c r="L2298" s="88"/>
      <c r="M2298" s="92"/>
      <c r="N2298" s="86"/>
    </row>
    <row r="2299" spans="5:14">
      <c r="E2299" s="86"/>
      <c r="F2299" s="87"/>
      <c r="G2299" s="88"/>
      <c r="H2299" s="89"/>
      <c r="I2299" s="90"/>
      <c r="K2299" s="91"/>
      <c r="L2299" s="88"/>
      <c r="M2299" s="92"/>
      <c r="N2299" s="86"/>
    </row>
    <row r="2300" spans="5:14">
      <c r="E2300" s="86"/>
      <c r="F2300" s="87"/>
      <c r="G2300" s="88"/>
      <c r="H2300" s="89"/>
      <c r="I2300" s="90"/>
      <c r="K2300" s="91"/>
      <c r="L2300" s="88"/>
      <c r="M2300" s="92"/>
      <c r="N2300" s="86"/>
    </row>
    <row r="2301" spans="5:14">
      <c r="E2301" s="86"/>
      <c r="F2301" s="87"/>
      <c r="G2301" s="88"/>
      <c r="H2301" s="89"/>
      <c r="I2301" s="90"/>
      <c r="K2301" s="91"/>
      <c r="L2301" s="88"/>
      <c r="M2301" s="92"/>
      <c r="N2301" s="86"/>
    </row>
    <row r="2302" spans="5:14">
      <c r="E2302" s="86"/>
      <c r="F2302" s="87"/>
      <c r="G2302" s="88"/>
      <c r="H2302" s="89"/>
      <c r="I2302" s="90"/>
      <c r="K2302" s="91"/>
      <c r="L2302" s="88"/>
      <c r="M2302" s="92"/>
      <c r="N2302" s="86"/>
    </row>
    <row r="2303" spans="5:14">
      <c r="E2303" s="86"/>
      <c r="F2303" s="87"/>
      <c r="G2303" s="88"/>
      <c r="H2303" s="89"/>
      <c r="I2303" s="90"/>
      <c r="K2303" s="91"/>
      <c r="L2303" s="88"/>
      <c r="M2303" s="92"/>
      <c r="N2303" s="86"/>
    </row>
    <row r="2304" spans="5:14">
      <c r="E2304" s="86"/>
      <c r="F2304" s="87"/>
      <c r="G2304" s="88"/>
      <c r="H2304" s="89"/>
      <c r="I2304" s="90"/>
      <c r="K2304" s="91"/>
      <c r="L2304" s="88"/>
      <c r="M2304" s="92"/>
      <c r="N2304" s="86"/>
    </row>
    <row r="2305" spans="5:14">
      <c r="E2305" s="86"/>
      <c r="F2305" s="87"/>
      <c r="G2305" s="88"/>
      <c r="H2305" s="89"/>
      <c r="I2305" s="90"/>
      <c r="K2305" s="91"/>
      <c r="L2305" s="88"/>
      <c r="M2305" s="92"/>
      <c r="N2305" s="86"/>
    </row>
    <row r="2306" spans="5:14">
      <c r="E2306" s="86"/>
      <c r="F2306" s="87"/>
      <c r="G2306" s="88"/>
      <c r="H2306" s="89"/>
      <c r="I2306" s="90"/>
      <c r="K2306" s="91"/>
      <c r="L2306" s="88"/>
      <c r="M2306" s="92"/>
      <c r="N2306" s="86"/>
    </row>
    <row r="2307" spans="5:14">
      <c r="E2307" s="86"/>
      <c r="F2307" s="87"/>
      <c r="G2307" s="88"/>
      <c r="H2307" s="89"/>
      <c r="I2307" s="90"/>
      <c r="K2307" s="91"/>
      <c r="L2307" s="88"/>
      <c r="M2307" s="92"/>
      <c r="N2307" s="86"/>
    </row>
    <row r="2308" spans="5:14">
      <c r="E2308" s="86"/>
      <c r="F2308" s="87"/>
      <c r="G2308" s="88"/>
      <c r="H2308" s="89"/>
      <c r="I2308" s="90"/>
      <c r="K2308" s="91"/>
      <c r="L2308" s="88"/>
      <c r="M2308" s="92"/>
      <c r="N2308" s="86"/>
    </row>
    <row r="2309" spans="5:14">
      <c r="E2309" s="86"/>
      <c r="F2309" s="87"/>
      <c r="G2309" s="88"/>
      <c r="H2309" s="89"/>
      <c r="I2309" s="90"/>
      <c r="K2309" s="91"/>
      <c r="L2309" s="88"/>
      <c r="M2309" s="92"/>
      <c r="N2309" s="86"/>
    </row>
    <row r="2310" spans="5:14">
      <c r="E2310" s="86"/>
      <c r="F2310" s="87"/>
      <c r="G2310" s="88"/>
      <c r="H2310" s="89"/>
      <c r="I2310" s="90"/>
      <c r="K2310" s="91"/>
      <c r="L2310" s="88"/>
      <c r="M2310" s="92"/>
      <c r="N2310" s="86"/>
    </row>
    <row r="2311" spans="5:14">
      <c r="E2311" s="86"/>
      <c r="F2311" s="87"/>
      <c r="G2311" s="88"/>
      <c r="H2311" s="89"/>
      <c r="I2311" s="90"/>
      <c r="K2311" s="91"/>
      <c r="L2311" s="88"/>
      <c r="M2311" s="92"/>
      <c r="N2311" s="86"/>
    </row>
    <row r="2312" spans="5:14">
      <c r="E2312" s="86"/>
      <c r="F2312" s="87"/>
      <c r="G2312" s="88"/>
      <c r="H2312" s="89"/>
      <c r="I2312" s="90"/>
      <c r="K2312" s="91"/>
      <c r="L2312" s="88"/>
      <c r="M2312" s="92"/>
      <c r="N2312" s="86"/>
    </row>
    <row r="2313" spans="5:14">
      <c r="E2313" s="86"/>
      <c r="F2313" s="87"/>
      <c r="G2313" s="88"/>
      <c r="H2313" s="89"/>
      <c r="I2313" s="90"/>
      <c r="K2313" s="91"/>
      <c r="L2313" s="88"/>
      <c r="M2313" s="92"/>
      <c r="N2313" s="86"/>
    </row>
    <row r="2314" spans="5:14">
      <c r="E2314" s="86"/>
      <c r="F2314" s="87"/>
      <c r="G2314" s="88"/>
      <c r="H2314" s="89"/>
      <c r="I2314" s="90"/>
      <c r="K2314" s="91"/>
      <c r="L2314" s="88"/>
      <c r="M2314" s="92"/>
      <c r="N2314" s="86"/>
    </row>
    <row r="2315" spans="5:14">
      <c r="E2315" s="86"/>
      <c r="F2315" s="87"/>
      <c r="G2315" s="88"/>
      <c r="H2315" s="89"/>
      <c r="I2315" s="90"/>
      <c r="K2315" s="91"/>
      <c r="L2315" s="88"/>
      <c r="M2315" s="92"/>
      <c r="N2315" s="86"/>
    </row>
    <row r="2316" spans="5:14">
      <c r="E2316" s="86"/>
      <c r="F2316" s="87"/>
      <c r="G2316" s="88"/>
      <c r="H2316" s="89"/>
      <c r="I2316" s="90"/>
      <c r="K2316" s="91"/>
      <c r="L2316" s="88"/>
      <c r="M2316" s="92"/>
      <c r="N2316" s="86"/>
    </row>
    <row r="2317" spans="5:14">
      <c r="E2317" s="86"/>
      <c r="F2317" s="87"/>
      <c r="G2317" s="88"/>
      <c r="H2317" s="89"/>
      <c r="I2317" s="90"/>
      <c r="K2317" s="91"/>
      <c r="L2317" s="88"/>
      <c r="M2317" s="92"/>
      <c r="N2317" s="86"/>
    </row>
    <row r="2318" spans="5:14">
      <c r="E2318" s="86"/>
      <c r="F2318" s="87"/>
      <c r="G2318" s="88"/>
      <c r="H2318" s="89"/>
      <c r="I2318" s="90"/>
      <c r="K2318" s="91"/>
      <c r="L2318" s="88"/>
      <c r="M2318" s="92"/>
      <c r="N2318" s="86"/>
    </row>
    <row r="2319" spans="5:14">
      <c r="E2319" s="86"/>
      <c r="F2319" s="87"/>
      <c r="G2319" s="88"/>
      <c r="H2319" s="89"/>
      <c r="I2319" s="90"/>
      <c r="K2319" s="91"/>
      <c r="L2319" s="88"/>
      <c r="M2319" s="92"/>
      <c r="N2319" s="86"/>
    </row>
    <row r="2320" spans="5:14">
      <c r="E2320" s="86"/>
      <c r="F2320" s="87"/>
      <c r="G2320" s="88"/>
      <c r="H2320" s="89"/>
      <c r="I2320" s="90"/>
      <c r="K2320" s="91"/>
      <c r="L2320" s="88"/>
      <c r="M2320" s="92"/>
      <c r="N2320" s="86"/>
    </row>
    <row r="2321" spans="5:14">
      <c r="E2321" s="86"/>
      <c r="F2321" s="87"/>
      <c r="G2321" s="88"/>
      <c r="H2321" s="89"/>
      <c r="I2321" s="90"/>
      <c r="K2321" s="91"/>
      <c r="L2321" s="88"/>
      <c r="M2321" s="92"/>
      <c r="N2321" s="86"/>
    </row>
    <row r="2322" spans="5:14">
      <c r="E2322" s="86"/>
      <c r="F2322" s="87"/>
      <c r="G2322" s="88"/>
      <c r="H2322" s="89"/>
      <c r="I2322" s="90"/>
      <c r="K2322" s="91"/>
      <c r="L2322" s="88"/>
      <c r="M2322" s="92"/>
      <c r="N2322" s="86"/>
    </row>
    <row r="2323" spans="5:14">
      <c r="E2323" s="86"/>
      <c r="F2323" s="87"/>
      <c r="G2323" s="88"/>
      <c r="H2323" s="89"/>
      <c r="I2323" s="90"/>
      <c r="K2323" s="91"/>
      <c r="L2323" s="88"/>
      <c r="M2323" s="92"/>
      <c r="N2323" s="86"/>
    </row>
    <row r="2324" spans="5:14">
      <c r="E2324" s="86"/>
      <c r="F2324" s="87"/>
      <c r="G2324" s="88"/>
      <c r="H2324" s="89"/>
      <c r="I2324" s="90"/>
      <c r="K2324" s="91"/>
      <c r="L2324" s="88"/>
      <c r="M2324" s="92"/>
      <c r="N2324" s="86"/>
    </row>
    <row r="2325" spans="5:14">
      <c r="E2325" s="86"/>
      <c r="F2325" s="87"/>
      <c r="G2325" s="88"/>
      <c r="H2325" s="89"/>
      <c r="I2325" s="90"/>
      <c r="K2325" s="91"/>
      <c r="L2325" s="88"/>
      <c r="M2325" s="92"/>
      <c r="N2325" s="86"/>
    </row>
    <row r="2326" spans="5:14">
      <c r="E2326" s="86"/>
      <c r="F2326" s="87"/>
      <c r="G2326" s="88"/>
      <c r="H2326" s="89"/>
      <c r="I2326" s="90"/>
      <c r="K2326" s="91"/>
      <c r="L2326" s="88"/>
      <c r="M2326" s="92"/>
      <c r="N2326" s="86"/>
    </row>
    <row r="2327" spans="5:14">
      <c r="E2327" s="86"/>
      <c r="F2327" s="87"/>
      <c r="G2327" s="88"/>
      <c r="H2327" s="89"/>
      <c r="I2327" s="90"/>
      <c r="K2327" s="91"/>
      <c r="L2327" s="88"/>
      <c r="M2327" s="92"/>
      <c r="N2327" s="86"/>
    </row>
    <row r="2328" spans="5:14">
      <c r="E2328" s="86"/>
      <c r="F2328" s="87"/>
      <c r="G2328" s="88"/>
      <c r="H2328" s="89"/>
      <c r="I2328" s="90"/>
      <c r="K2328" s="91"/>
      <c r="L2328" s="88"/>
      <c r="M2328" s="92"/>
      <c r="N2328" s="86"/>
    </row>
    <row r="2329" spans="5:14">
      <c r="E2329" s="86"/>
      <c r="F2329" s="87"/>
      <c r="G2329" s="88"/>
      <c r="H2329" s="89"/>
      <c r="I2329" s="90"/>
      <c r="K2329" s="91"/>
      <c r="L2329" s="88"/>
      <c r="M2329" s="92"/>
      <c r="N2329" s="86"/>
    </row>
    <row r="2330" spans="5:14">
      <c r="E2330" s="86"/>
      <c r="F2330" s="87"/>
      <c r="G2330" s="88"/>
      <c r="H2330" s="89"/>
      <c r="I2330" s="90"/>
      <c r="K2330" s="91"/>
      <c r="L2330" s="88"/>
      <c r="M2330" s="92"/>
      <c r="N2330" s="86"/>
    </row>
    <row r="2331" spans="5:14">
      <c r="E2331" s="86"/>
      <c r="F2331" s="87"/>
      <c r="G2331" s="88"/>
      <c r="H2331" s="89"/>
      <c r="I2331" s="90"/>
      <c r="K2331" s="91"/>
      <c r="L2331" s="88"/>
      <c r="M2331" s="92"/>
      <c r="N2331" s="86"/>
    </row>
    <row r="2332" spans="5:14">
      <c r="E2332" s="86"/>
      <c r="F2332" s="87"/>
      <c r="G2332" s="88"/>
      <c r="H2332" s="89"/>
      <c r="I2332" s="90"/>
      <c r="K2332" s="91"/>
      <c r="L2332" s="88"/>
      <c r="M2332" s="92"/>
      <c r="N2332" s="86"/>
    </row>
    <row r="2333" spans="5:14">
      <c r="E2333" s="86"/>
      <c r="F2333" s="87"/>
      <c r="G2333" s="88"/>
      <c r="H2333" s="89"/>
      <c r="I2333" s="90"/>
      <c r="K2333" s="91"/>
      <c r="L2333" s="88"/>
      <c r="M2333" s="92"/>
      <c r="N2333" s="86"/>
    </row>
    <row r="2334" spans="5:14">
      <c r="E2334" s="86"/>
      <c r="F2334" s="87"/>
      <c r="G2334" s="88"/>
      <c r="H2334" s="89"/>
      <c r="I2334" s="90"/>
      <c r="K2334" s="91"/>
      <c r="L2334" s="88"/>
      <c r="M2334" s="92"/>
      <c r="N2334" s="86"/>
    </row>
    <row r="2335" spans="5:14">
      <c r="E2335" s="86"/>
      <c r="F2335" s="87"/>
      <c r="G2335" s="88"/>
      <c r="H2335" s="89"/>
      <c r="I2335" s="90"/>
      <c r="K2335" s="91"/>
      <c r="L2335" s="88"/>
      <c r="M2335" s="92"/>
      <c r="N2335" s="86"/>
    </row>
    <row r="2336" spans="5:14">
      <c r="E2336" s="86"/>
      <c r="F2336" s="87"/>
      <c r="G2336" s="88"/>
      <c r="H2336" s="89"/>
      <c r="I2336" s="90"/>
      <c r="K2336" s="91"/>
      <c r="L2336" s="88"/>
      <c r="M2336" s="92"/>
      <c r="N2336" s="86"/>
    </row>
    <row r="2337" spans="5:14">
      <c r="E2337" s="86"/>
      <c r="F2337" s="87"/>
      <c r="G2337" s="88"/>
      <c r="H2337" s="89"/>
      <c r="I2337" s="90"/>
      <c r="K2337" s="91"/>
      <c r="L2337" s="88"/>
      <c r="M2337" s="92"/>
      <c r="N2337" s="86"/>
    </row>
    <row r="2338" spans="5:14">
      <c r="E2338" s="86"/>
      <c r="F2338" s="87"/>
      <c r="G2338" s="88"/>
      <c r="H2338" s="89"/>
      <c r="I2338" s="90"/>
      <c r="K2338" s="91"/>
      <c r="L2338" s="88"/>
      <c r="M2338" s="92"/>
      <c r="N2338" s="86"/>
    </row>
    <row r="2339" spans="5:14">
      <c r="E2339" s="86"/>
      <c r="F2339" s="87"/>
      <c r="G2339" s="88"/>
      <c r="H2339" s="89"/>
      <c r="I2339" s="90"/>
      <c r="K2339" s="91"/>
      <c r="L2339" s="88"/>
      <c r="M2339" s="92"/>
      <c r="N2339" s="86"/>
    </row>
    <row r="2340" spans="5:14">
      <c r="E2340" s="86"/>
      <c r="F2340" s="87"/>
      <c r="G2340" s="88"/>
      <c r="H2340" s="89"/>
      <c r="I2340" s="90"/>
      <c r="K2340" s="91"/>
      <c r="L2340" s="88"/>
      <c r="M2340" s="92"/>
      <c r="N2340" s="86"/>
    </row>
    <row r="2341" spans="5:14">
      <c r="E2341" s="86"/>
      <c r="F2341" s="87"/>
      <c r="G2341" s="88"/>
      <c r="H2341" s="89"/>
      <c r="I2341" s="90"/>
      <c r="K2341" s="91"/>
      <c r="L2341" s="88"/>
      <c r="M2341" s="92"/>
      <c r="N2341" s="86"/>
    </row>
    <row r="2342" spans="5:14">
      <c r="E2342" s="86"/>
      <c r="F2342" s="87"/>
      <c r="G2342" s="88"/>
      <c r="H2342" s="89"/>
      <c r="I2342" s="90"/>
      <c r="K2342" s="91"/>
      <c r="L2342" s="88"/>
      <c r="M2342" s="92"/>
      <c r="N2342" s="86"/>
    </row>
    <row r="2343" spans="5:14">
      <c r="E2343" s="86"/>
      <c r="F2343" s="87"/>
      <c r="G2343" s="88"/>
      <c r="H2343" s="89"/>
      <c r="I2343" s="90"/>
      <c r="K2343" s="91"/>
      <c r="L2343" s="88"/>
      <c r="M2343" s="92"/>
      <c r="N2343" s="86"/>
    </row>
    <row r="2344" spans="5:14">
      <c r="E2344" s="86"/>
      <c r="F2344" s="87"/>
      <c r="G2344" s="88"/>
      <c r="H2344" s="89"/>
      <c r="I2344" s="90"/>
      <c r="K2344" s="91"/>
      <c r="L2344" s="88"/>
      <c r="M2344" s="92"/>
      <c r="N2344" s="86"/>
    </row>
    <row r="2345" spans="5:14">
      <c r="E2345" s="86"/>
      <c r="F2345" s="87"/>
      <c r="G2345" s="88"/>
      <c r="H2345" s="89"/>
      <c r="I2345" s="90"/>
      <c r="K2345" s="91"/>
      <c r="L2345" s="88"/>
      <c r="M2345" s="92"/>
      <c r="N2345" s="86"/>
    </row>
    <row r="2346" spans="5:14">
      <c r="E2346" s="86"/>
      <c r="F2346" s="87"/>
      <c r="G2346" s="88"/>
      <c r="H2346" s="89"/>
      <c r="I2346" s="90"/>
      <c r="K2346" s="91"/>
      <c r="L2346" s="88"/>
      <c r="M2346" s="92"/>
      <c r="N2346" s="86"/>
    </row>
    <row r="2347" spans="5:14">
      <c r="E2347" s="86"/>
      <c r="F2347" s="87"/>
      <c r="G2347" s="88"/>
      <c r="H2347" s="89"/>
      <c r="I2347" s="90"/>
      <c r="K2347" s="91"/>
      <c r="L2347" s="88"/>
      <c r="M2347" s="92"/>
      <c r="N2347" s="86"/>
    </row>
    <row r="2348" spans="5:14">
      <c r="E2348" s="86"/>
      <c r="F2348" s="87"/>
      <c r="G2348" s="88"/>
      <c r="H2348" s="89"/>
      <c r="I2348" s="90"/>
      <c r="K2348" s="91"/>
      <c r="L2348" s="88"/>
      <c r="M2348" s="92"/>
      <c r="N2348" s="86"/>
    </row>
    <row r="2349" spans="5:14">
      <c r="E2349" s="86"/>
      <c r="F2349" s="87"/>
      <c r="G2349" s="88"/>
      <c r="H2349" s="89"/>
      <c r="I2349" s="90"/>
      <c r="K2349" s="91"/>
      <c r="L2349" s="88"/>
      <c r="M2349" s="92"/>
      <c r="N2349" s="86"/>
    </row>
    <row r="2350" spans="5:14">
      <c r="E2350" s="86"/>
      <c r="F2350" s="87"/>
      <c r="G2350" s="88"/>
      <c r="H2350" s="89"/>
      <c r="I2350" s="90"/>
      <c r="K2350" s="91"/>
      <c r="L2350" s="88"/>
      <c r="M2350" s="92"/>
      <c r="N2350" s="86"/>
    </row>
    <row r="2351" spans="5:14">
      <c r="E2351" s="86"/>
      <c r="F2351" s="87"/>
      <c r="G2351" s="88"/>
      <c r="H2351" s="89"/>
      <c r="I2351" s="90"/>
      <c r="K2351" s="91"/>
      <c r="L2351" s="88"/>
      <c r="M2351" s="92"/>
      <c r="N2351" s="86"/>
    </row>
    <row r="2352" spans="5:14">
      <c r="E2352" s="86"/>
      <c r="F2352" s="87"/>
      <c r="G2352" s="88"/>
      <c r="H2352" s="89"/>
      <c r="I2352" s="90"/>
      <c r="K2352" s="91"/>
      <c r="L2352" s="88"/>
      <c r="M2352" s="92"/>
      <c r="N2352" s="86"/>
    </row>
    <row r="2353" spans="5:14">
      <c r="E2353" s="86"/>
      <c r="F2353" s="87"/>
      <c r="G2353" s="88"/>
      <c r="H2353" s="89"/>
      <c r="I2353" s="90"/>
      <c r="K2353" s="91"/>
      <c r="L2353" s="88"/>
      <c r="M2353" s="92"/>
      <c r="N2353" s="86"/>
    </row>
    <row r="2354" spans="5:14">
      <c r="E2354" s="86"/>
      <c r="F2354" s="87"/>
      <c r="G2354" s="88"/>
      <c r="H2354" s="89"/>
      <c r="I2354" s="90"/>
      <c r="K2354" s="91"/>
      <c r="L2354" s="88"/>
      <c r="M2354" s="92"/>
      <c r="N2354" s="86"/>
    </row>
    <row r="2355" spans="5:14">
      <c r="E2355" s="86"/>
      <c r="F2355" s="87"/>
      <c r="G2355" s="88"/>
      <c r="H2355" s="89"/>
      <c r="I2355" s="90"/>
      <c r="K2355" s="91"/>
      <c r="L2355" s="88"/>
      <c r="M2355" s="92"/>
      <c r="N2355" s="86"/>
    </row>
    <row r="2356" spans="5:14">
      <c r="E2356" s="86"/>
      <c r="F2356" s="87"/>
      <c r="G2356" s="88"/>
      <c r="H2356" s="89"/>
      <c r="I2356" s="90"/>
      <c r="K2356" s="91"/>
      <c r="L2356" s="88"/>
      <c r="M2356" s="92"/>
      <c r="N2356" s="86"/>
    </row>
    <row r="2357" spans="5:14">
      <c r="E2357" s="86"/>
      <c r="F2357" s="87"/>
      <c r="G2357" s="88"/>
      <c r="H2357" s="89"/>
      <c r="I2357" s="90"/>
      <c r="K2357" s="91"/>
      <c r="L2357" s="88"/>
      <c r="M2357" s="92"/>
      <c r="N2357" s="86"/>
    </row>
    <row r="2358" spans="5:14">
      <c r="E2358" s="86"/>
      <c r="F2358" s="87"/>
      <c r="G2358" s="88"/>
      <c r="H2358" s="89"/>
      <c r="I2358" s="90"/>
      <c r="K2358" s="91"/>
      <c r="L2358" s="88"/>
      <c r="M2358" s="92"/>
      <c r="N2358" s="86"/>
    </row>
    <row r="2359" spans="5:14">
      <c r="E2359" s="86"/>
      <c r="F2359" s="87"/>
      <c r="G2359" s="88"/>
      <c r="H2359" s="89"/>
      <c r="I2359" s="90"/>
      <c r="K2359" s="91"/>
      <c r="L2359" s="88"/>
      <c r="M2359" s="92"/>
      <c r="N2359" s="86"/>
    </row>
    <row r="2360" spans="5:14">
      <c r="E2360" s="86"/>
      <c r="F2360" s="87"/>
      <c r="G2360" s="88"/>
      <c r="H2360" s="89"/>
      <c r="I2360" s="90"/>
      <c r="K2360" s="91"/>
      <c r="L2360" s="88"/>
      <c r="M2360" s="92"/>
      <c r="N2360" s="86"/>
    </row>
    <row r="2361" spans="5:14">
      <c r="E2361" s="86"/>
      <c r="F2361" s="87"/>
      <c r="G2361" s="88"/>
      <c r="H2361" s="89"/>
      <c r="I2361" s="90"/>
      <c r="K2361" s="91"/>
      <c r="L2361" s="88"/>
      <c r="M2361" s="92"/>
      <c r="N2361" s="86"/>
    </row>
    <row r="2362" spans="5:14">
      <c r="E2362" s="86"/>
      <c r="F2362" s="87"/>
      <c r="G2362" s="88"/>
      <c r="H2362" s="89"/>
      <c r="I2362" s="90"/>
      <c r="K2362" s="91"/>
      <c r="L2362" s="88"/>
      <c r="M2362" s="92"/>
      <c r="N2362" s="86"/>
    </row>
    <row r="2363" spans="5:14">
      <c r="E2363" s="86"/>
      <c r="F2363" s="87"/>
      <c r="G2363" s="88"/>
      <c r="H2363" s="89"/>
      <c r="I2363" s="90"/>
      <c r="K2363" s="91"/>
      <c r="L2363" s="88"/>
      <c r="M2363" s="92"/>
      <c r="N2363" s="86"/>
    </row>
    <row r="2364" spans="5:14">
      <c r="E2364" s="86"/>
      <c r="F2364" s="87"/>
      <c r="G2364" s="88"/>
      <c r="H2364" s="89"/>
      <c r="I2364" s="90"/>
      <c r="K2364" s="91"/>
      <c r="L2364" s="88"/>
      <c r="M2364" s="92"/>
      <c r="N2364" s="86"/>
    </row>
    <row r="2365" spans="5:14">
      <c r="E2365" s="86"/>
      <c r="F2365" s="87"/>
      <c r="G2365" s="88"/>
      <c r="H2365" s="89"/>
      <c r="I2365" s="90"/>
      <c r="K2365" s="91"/>
      <c r="L2365" s="88"/>
      <c r="M2365" s="92"/>
      <c r="N2365" s="86"/>
    </row>
    <row r="2366" spans="5:14">
      <c r="E2366" s="86"/>
      <c r="F2366" s="87"/>
      <c r="G2366" s="88"/>
      <c r="H2366" s="89"/>
      <c r="I2366" s="90"/>
      <c r="K2366" s="91"/>
      <c r="L2366" s="88"/>
      <c r="M2366" s="92"/>
      <c r="N2366" s="86"/>
    </row>
    <row r="2367" spans="5:14">
      <c r="E2367" s="86"/>
      <c r="F2367" s="87"/>
      <c r="G2367" s="88"/>
      <c r="H2367" s="89"/>
      <c r="I2367" s="90"/>
      <c r="K2367" s="91"/>
      <c r="L2367" s="88"/>
      <c r="M2367" s="92"/>
      <c r="N2367" s="86"/>
    </row>
    <row r="2368" spans="5:14">
      <c r="E2368" s="86"/>
      <c r="F2368" s="87"/>
      <c r="G2368" s="88"/>
      <c r="H2368" s="89"/>
      <c r="I2368" s="90"/>
      <c r="K2368" s="91"/>
      <c r="L2368" s="88"/>
      <c r="M2368" s="92"/>
      <c r="N2368" s="86"/>
    </row>
    <row r="2369" spans="5:14">
      <c r="E2369" s="86"/>
      <c r="F2369" s="87"/>
      <c r="G2369" s="88"/>
      <c r="H2369" s="89"/>
      <c r="I2369" s="90"/>
      <c r="K2369" s="91"/>
      <c r="L2369" s="88"/>
      <c r="M2369" s="92"/>
      <c r="N2369" s="86"/>
    </row>
    <row r="2370" spans="5:14">
      <c r="E2370" s="86"/>
      <c r="F2370" s="87"/>
      <c r="G2370" s="88"/>
      <c r="H2370" s="89"/>
      <c r="I2370" s="90"/>
      <c r="K2370" s="91"/>
      <c r="L2370" s="88"/>
      <c r="M2370" s="92"/>
      <c r="N2370" s="86"/>
    </row>
    <row r="2371" spans="5:14">
      <c r="E2371" s="86"/>
      <c r="F2371" s="87"/>
      <c r="G2371" s="88"/>
      <c r="H2371" s="89"/>
      <c r="I2371" s="90"/>
      <c r="K2371" s="91"/>
      <c r="L2371" s="88"/>
      <c r="M2371" s="92"/>
      <c r="N2371" s="86"/>
    </row>
    <row r="2372" spans="5:14">
      <c r="E2372" s="86"/>
      <c r="F2372" s="87"/>
      <c r="G2372" s="88"/>
      <c r="H2372" s="89"/>
      <c r="I2372" s="90"/>
      <c r="K2372" s="91"/>
      <c r="L2372" s="88"/>
      <c r="M2372" s="92"/>
      <c r="N2372" s="86"/>
    </row>
    <row r="2373" spans="5:14">
      <c r="E2373" s="86"/>
      <c r="F2373" s="87"/>
      <c r="G2373" s="88"/>
      <c r="H2373" s="89"/>
      <c r="I2373" s="90"/>
      <c r="K2373" s="91"/>
      <c r="L2373" s="88"/>
      <c r="M2373" s="92"/>
      <c r="N2373" s="86"/>
    </row>
    <row r="2374" spans="5:14">
      <c r="E2374" s="86"/>
      <c r="F2374" s="87"/>
      <c r="G2374" s="88"/>
      <c r="H2374" s="89"/>
      <c r="I2374" s="90"/>
      <c r="K2374" s="91"/>
      <c r="L2374" s="88"/>
      <c r="M2374" s="92"/>
      <c r="N2374" s="86"/>
    </row>
    <row r="2375" spans="5:14">
      <c r="E2375" s="86"/>
      <c r="F2375" s="87"/>
      <c r="G2375" s="88"/>
      <c r="H2375" s="89"/>
      <c r="I2375" s="90"/>
      <c r="K2375" s="91"/>
      <c r="L2375" s="88"/>
      <c r="M2375" s="92"/>
      <c r="N2375" s="86"/>
    </row>
    <row r="2376" spans="5:14">
      <c r="E2376" s="86"/>
      <c r="F2376" s="87"/>
      <c r="G2376" s="88"/>
      <c r="H2376" s="89"/>
      <c r="I2376" s="90"/>
      <c r="K2376" s="91"/>
      <c r="L2376" s="88"/>
      <c r="M2376" s="92"/>
      <c r="N2376" s="86"/>
    </row>
    <row r="2377" spans="5:14">
      <c r="E2377" s="86"/>
      <c r="F2377" s="87"/>
      <c r="G2377" s="88"/>
      <c r="H2377" s="89"/>
      <c r="I2377" s="90"/>
      <c r="K2377" s="91"/>
      <c r="L2377" s="88"/>
      <c r="M2377" s="92"/>
      <c r="N2377" s="86"/>
    </row>
    <row r="2378" spans="5:14">
      <c r="E2378" s="86"/>
      <c r="F2378" s="87"/>
      <c r="G2378" s="88"/>
      <c r="H2378" s="89"/>
      <c r="I2378" s="90"/>
      <c r="K2378" s="91"/>
      <c r="L2378" s="88"/>
      <c r="M2378" s="92"/>
      <c r="N2378" s="86"/>
    </row>
    <row r="2379" spans="5:14">
      <c r="E2379" s="86"/>
      <c r="F2379" s="87"/>
      <c r="G2379" s="88"/>
      <c r="H2379" s="89"/>
      <c r="I2379" s="90"/>
      <c r="K2379" s="91"/>
      <c r="L2379" s="88"/>
      <c r="M2379" s="92"/>
      <c r="N2379" s="86"/>
    </row>
    <row r="2380" spans="5:14">
      <c r="E2380" s="86"/>
      <c r="F2380" s="87"/>
      <c r="G2380" s="88"/>
      <c r="H2380" s="89"/>
      <c r="I2380" s="90"/>
      <c r="K2380" s="91"/>
      <c r="L2380" s="88"/>
      <c r="M2380" s="92"/>
      <c r="N2380" s="86"/>
    </row>
    <row r="2381" spans="5:14">
      <c r="E2381" s="86"/>
      <c r="F2381" s="87"/>
      <c r="G2381" s="88"/>
      <c r="H2381" s="89"/>
      <c r="I2381" s="90"/>
      <c r="K2381" s="91"/>
      <c r="L2381" s="88"/>
      <c r="M2381" s="92"/>
      <c r="N2381" s="86"/>
    </row>
    <row r="2382" spans="5:14">
      <c r="E2382" s="86"/>
      <c r="F2382" s="87"/>
      <c r="G2382" s="88"/>
      <c r="H2382" s="89"/>
      <c r="I2382" s="90"/>
      <c r="K2382" s="91"/>
      <c r="L2382" s="88"/>
      <c r="M2382" s="92"/>
      <c r="N2382" s="86"/>
    </row>
    <row r="2383" spans="5:14">
      <c r="E2383" s="86"/>
      <c r="F2383" s="87"/>
      <c r="G2383" s="88"/>
      <c r="H2383" s="89"/>
      <c r="I2383" s="90"/>
      <c r="K2383" s="91"/>
      <c r="L2383" s="88"/>
      <c r="M2383" s="92"/>
      <c r="N2383" s="86"/>
    </row>
    <row r="2384" spans="5:14">
      <c r="E2384" s="86"/>
      <c r="F2384" s="87"/>
      <c r="G2384" s="88"/>
      <c r="H2384" s="89"/>
      <c r="I2384" s="90"/>
      <c r="K2384" s="91"/>
      <c r="L2384" s="88"/>
      <c r="M2384" s="92"/>
      <c r="N2384" s="86"/>
    </row>
    <row r="2385" spans="5:14">
      <c r="E2385" s="86"/>
      <c r="F2385" s="87"/>
      <c r="G2385" s="88"/>
      <c r="H2385" s="89"/>
      <c r="I2385" s="90"/>
      <c r="K2385" s="91"/>
      <c r="L2385" s="88"/>
      <c r="M2385" s="92"/>
      <c r="N2385" s="86"/>
    </row>
    <row r="2386" spans="5:14">
      <c r="E2386" s="86"/>
      <c r="F2386" s="87"/>
      <c r="G2386" s="88"/>
      <c r="H2386" s="89"/>
      <c r="I2386" s="90"/>
      <c r="K2386" s="91"/>
      <c r="L2386" s="88"/>
      <c r="M2386" s="92"/>
      <c r="N2386" s="86"/>
    </row>
    <row r="2387" spans="5:14">
      <c r="E2387" s="86"/>
      <c r="F2387" s="87"/>
      <c r="G2387" s="88"/>
      <c r="H2387" s="89"/>
      <c r="I2387" s="90"/>
      <c r="K2387" s="91"/>
      <c r="L2387" s="88"/>
      <c r="M2387" s="92"/>
      <c r="N2387" s="86"/>
    </row>
    <row r="2388" spans="5:14">
      <c r="E2388" s="86"/>
      <c r="F2388" s="87"/>
      <c r="G2388" s="88"/>
      <c r="H2388" s="89"/>
      <c r="I2388" s="90"/>
      <c r="K2388" s="91"/>
      <c r="L2388" s="88"/>
      <c r="M2388" s="92"/>
      <c r="N2388" s="86"/>
    </row>
    <row r="2389" spans="5:14">
      <c r="E2389" s="86"/>
      <c r="F2389" s="87"/>
      <c r="G2389" s="88"/>
      <c r="H2389" s="89"/>
      <c r="I2389" s="90"/>
      <c r="K2389" s="91"/>
      <c r="L2389" s="88"/>
      <c r="M2389" s="92"/>
      <c r="N2389" s="86"/>
    </row>
    <row r="2390" spans="5:14">
      <c r="E2390" s="86"/>
      <c r="F2390" s="87"/>
      <c r="G2390" s="88"/>
      <c r="H2390" s="89"/>
      <c r="I2390" s="90"/>
      <c r="K2390" s="91"/>
      <c r="L2390" s="88"/>
      <c r="M2390" s="92"/>
      <c r="N2390" s="86"/>
    </row>
    <row r="2391" spans="5:14">
      <c r="E2391" s="86"/>
      <c r="F2391" s="87"/>
      <c r="G2391" s="88"/>
      <c r="H2391" s="89"/>
      <c r="I2391" s="90"/>
      <c r="K2391" s="91"/>
      <c r="L2391" s="88"/>
      <c r="M2391" s="92"/>
      <c r="N2391" s="86"/>
    </row>
    <row r="2392" spans="5:14">
      <c r="E2392" s="86"/>
      <c r="F2392" s="87"/>
      <c r="G2392" s="88"/>
      <c r="H2392" s="89"/>
      <c r="I2392" s="90"/>
      <c r="K2392" s="91"/>
      <c r="L2392" s="88"/>
      <c r="M2392" s="92"/>
      <c r="N2392" s="86"/>
    </row>
    <row r="2393" spans="5:14">
      <c r="E2393" s="86"/>
      <c r="F2393" s="87"/>
      <c r="G2393" s="88"/>
      <c r="H2393" s="89"/>
      <c r="I2393" s="90"/>
      <c r="K2393" s="91"/>
      <c r="L2393" s="88"/>
      <c r="M2393" s="92"/>
      <c r="N2393" s="86"/>
    </row>
    <row r="2394" spans="5:14">
      <c r="E2394" s="86"/>
      <c r="F2394" s="87"/>
      <c r="G2394" s="88"/>
      <c r="H2394" s="89"/>
      <c r="I2394" s="90"/>
      <c r="K2394" s="91"/>
      <c r="L2394" s="88"/>
      <c r="M2394" s="92"/>
      <c r="N2394" s="86"/>
    </row>
    <row r="2395" spans="5:14">
      <c r="E2395" s="86"/>
      <c r="F2395" s="87"/>
      <c r="G2395" s="88"/>
      <c r="H2395" s="89"/>
      <c r="I2395" s="90"/>
      <c r="K2395" s="91"/>
      <c r="L2395" s="88"/>
      <c r="M2395" s="92"/>
      <c r="N2395" s="86"/>
    </row>
    <row r="2396" spans="5:14">
      <c r="E2396" s="86"/>
      <c r="F2396" s="87"/>
      <c r="G2396" s="88"/>
      <c r="H2396" s="89"/>
      <c r="I2396" s="90"/>
      <c r="K2396" s="91"/>
      <c r="L2396" s="88"/>
      <c r="M2396" s="92"/>
      <c r="N2396" s="86"/>
    </row>
    <row r="2397" spans="5:14">
      <c r="E2397" s="86"/>
      <c r="F2397" s="87"/>
      <c r="G2397" s="88"/>
      <c r="H2397" s="89"/>
      <c r="I2397" s="90"/>
      <c r="K2397" s="91"/>
      <c r="L2397" s="88"/>
      <c r="M2397" s="92"/>
      <c r="N2397" s="86"/>
    </row>
    <row r="2398" spans="5:14">
      <c r="E2398" s="86"/>
      <c r="F2398" s="87"/>
      <c r="G2398" s="88"/>
      <c r="H2398" s="89"/>
      <c r="I2398" s="90"/>
      <c r="K2398" s="91"/>
      <c r="L2398" s="88"/>
      <c r="M2398" s="92"/>
      <c r="N2398" s="86"/>
    </row>
    <row r="2399" spans="5:14">
      <c r="E2399" s="86"/>
      <c r="F2399" s="87"/>
      <c r="G2399" s="88"/>
      <c r="H2399" s="89"/>
      <c r="I2399" s="90"/>
      <c r="K2399" s="91"/>
      <c r="L2399" s="88"/>
      <c r="M2399" s="92"/>
      <c r="N2399" s="86"/>
    </row>
    <row r="2400" spans="5:14">
      <c r="E2400" s="86"/>
      <c r="F2400" s="87"/>
      <c r="G2400" s="88"/>
      <c r="H2400" s="89"/>
      <c r="I2400" s="90"/>
      <c r="K2400" s="91"/>
      <c r="L2400" s="88"/>
      <c r="M2400" s="92"/>
      <c r="N2400" s="86"/>
    </row>
    <row r="2401" spans="5:14">
      <c r="E2401" s="86"/>
      <c r="F2401" s="87"/>
      <c r="G2401" s="88"/>
      <c r="H2401" s="89"/>
      <c r="I2401" s="90"/>
      <c r="K2401" s="91"/>
      <c r="L2401" s="88"/>
      <c r="M2401" s="92"/>
      <c r="N2401" s="86"/>
    </row>
    <row r="2402" spans="5:14">
      <c r="E2402" s="86"/>
      <c r="F2402" s="87"/>
      <c r="G2402" s="88"/>
      <c r="H2402" s="89"/>
      <c r="I2402" s="90"/>
      <c r="K2402" s="91"/>
      <c r="L2402" s="88"/>
      <c r="M2402" s="92"/>
      <c r="N2402" s="86"/>
    </row>
    <row r="2403" spans="5:14">
      <c r="E2403" s="86"/>
      <c r="F2403" s="87"/>
      <c r="G2403" s="88"/>
      <c r="H2403" s="89"/>
      <c r="I2403" s="90"/>
      <c r="K2403" s="91"/>
      <c r="L2403" s="88"/>
      <c r="M2403" s="92"/>
      <c r="N2403" s="86"/>
    </row>
    <row r="2404" spans="5:14">
      <c r="E2404" s="86"/>
      <c r="F2404" s="87"/>
      <c r="G2404" s="88"/>
      <c r="H2404" s="89"/>
      <c r="I2404" s="90"/>
      <c r="K2404" s="91"/>
      <c r="L2404" s="88"/>
      <c r="M2404" s="92"/>
      <c r="N2404" s="86"/>
    </row>
    <row r="2405" spans="5:14">
      <c r="E2405" s="86"/>
      <c r="F2405" s="87"/>
      <c r="G2405" s="88"/>
      <c r="H2405" s="89"/>
      <c r="I2405" s="90"/>
      <c r="K2405" s="91"/>
      <c r="L2405" s="88"/>
      <c r="M2405" s="92"/>
      <c r="N2405" s="86"/>
    </row>
    <row r="2406" spans="5:14">
      <c r="E2406" s="86"/>
      <c r="F2406" s="87"/>
      <c r="G2406" s="88"/>
      <c r="H2406" s="89"/>
      <c r="I2406" s="90"/>
      <c r="K2406" s="91"/>
      <c r="L2406" s="88"/>
      <c r="M2406" s="92"/>
      <c r="N2406" s="86"/>
    </row>
    <row r="2407" spans="5:14">
      <c r="E2407" s="86"/>
      <c r="F2407" s="87"/>
      <c r="G2407" s="88"/>
      <c r="H2407" s="89"/>
      <c r="I2407" s="90"/>
      <c r="K2407" s="91"/>
      <c r="L2407" s="88"/>
      <c r="M2407" s="92"/>
      <c r="N2407" s="86"/>
    </row>
    <row r="2408" spans="5:14">
      <c r="E2408" s="86"/>
      <c r="F2408" s="87"/>
      <c r="G2408" s="88"/>
      <c r="H2408" s="89"/>
      <c r="I2408" s="90"/>
      <c r="K2408" s="91"/>
      <c r="L2408" s="88"/>
      <c r="M2408" s="92"/>
      <c r="N2408" s="86"/>
    </row>
    <row r="2409" spans="5:14">
      <c r="E2409" s="86"/>
      <c r="F2409" s="87"/>
      <c r="G2409" s="88"/>
      <c r="H2409" s="89"/>
      <c r="I2409" s="90"/>
      <c r="K2409" s="91"/>
      <c r="L2409" s="88"/>
      <c r="M2409" s="92"/>
      <c r="N2409" s="86"/>
    </row>
    <row r="2410" spans="5:14">
      <c r="E2410" s="86"/>
      <c r="F2410" s="87"/>
      <c r="G2410" s="88"/>
      <c r="H2410" s="89"/>
      <c r="I2410" s="90"/>
      <c r="K2410" s="91"/>
      <c r="L2410" s="88"/>
      <c r="M2410" s="92"/>
      <c r="N2410" s="86"/>
    </row>
    <row r="2411" spans="5:14">
      <c r="E2411" s="86"/>
      <c r="F2411" s="87"/>
      <c r="G2411" s="88"/>
      <c r="H2411" s="89"/>
      <c r="I2411" s="90"/>
      <c r="K2411" s="91"/>
      <c r="L2411" s="88"/>
      <c r="M2411" s="92"/>
      <c r="N2411" s="86"/>
    </row>
    <row r="2412" spans="5:14">
      <c r="E2412" s="86"/>
      <c r="F2412" s="87"/>
      <c r="G2412" s="88"/>
      <c r="H2412" s="89"/>
      <c r="I2412" s="90"/>
      <c r="K2412" s="91"/>
      <c r="L2412" s="88"/>
      <c r="M2412" s="92"/>
      <c r="N2412" s="86"/>
    </row>
    <row r="2413" spans="5:14">
      <c r="E2413" s="86"/>
      <c r="F2413" s="87"/>
      <c r="G2413" s="88"/>
      <c r="H2413" s="89"/>
      <c r="I2413" s="90"/>
      <c r="K2413" s="91"/>
      <c r="L2413" s="88"/>
      <c r="M2413" s="92"/>
      <c r="N2413" s="86"/>
    </row>
    <row r="2414" spans="5:14">
      <c r="E2414" s="86"/>
      <c r="F2414" s="87"/>
      <c r="G2414" s="88"/>
      <c r="H2414" s="89"/>
      <c r="I2414" s="90"/>
      <c r="K2414" s="91"/>
      <c r="L2414" s="88"/>
      <c r="M2414" s="92"/>
      <c r="N2414" s="86"/>
    </row>
    <row r="2415" spans="5:14">
      <c r="E2415" s="86"/>
      <c r="F2415" s="87"/>
      <c r="G2415" s="88"/>
      <c r="H2415" s="89"/>
      <c r="I2415" s="90"/>
      <c r="K2415" s="91"/>
      <c r="L2415" s="88"/>
      <c r="M2415" s="92"/>
      <c r="N2415" s="86"/>
    </row>
    <row r="2416" spans="5:14">
      <c r="E2416" s="86"/>
      <c r="F2416" s="87"/>
      <c r="G2416" s="88"/>
      <c r="H2416" s="89"/>
      <c r="I2416" s="90"/>
      <c r="K2416" s="91"/>
      <c r="L2416" s="88"/>
      <c r="M2416" s="92"/>
      <c r="N2416" s="86"/>
    </row>
    <row r="2417" spans="5:14">
      <c r="E2417" s="86"/>
      <c r="F2417" s="87"/>
      <c r="G2417" s="88"/>
      <c r="H2417" s="89"/>
      <c r="I2417" s="90"/>
      <c r="K2417" s="91"/>
      <c r="L2417" s="88"/>
      <c r="M2417" s="92"/>
      <c r="N2417" s="86"/>
    </row>
    <row r="2418" spans="5:14">
      <c r="E2418" s="86"/>
      <c r="F2418" s="87"/>
      <c r="G2418" s="88"/>
      <c r="H2418" s="89"/>
      <c r="I2418" s="90"/>
      <c r="K2418" s="91"/>
      <c r="L2418" s="88"/>
      <c r="M2418" s="92"/>
      <c r="N2418" s="86"/>
    </row>
    <row r="2419" spans="5:14">
      <c r="E2419" s="86"/>
      <c r="F2419" s="87"/>
      <c r="G2419" s="88"/>
      <c r="H2419" s="89"/>
      <c r="I2419" s="90"/>
      <c r="K2419" s="91"/>
      <c r="L2419" s="88"/>
      <c r="M2419" s="92"/>
      <c r="N2419" s="86"/>
    </row>
    <row r="2420" spans="5:14">
      <c r="E2420" s="86"/>
      <c r="F2420" s="87"/>
      <c r="G2420" s="88"/>
      <c r="H2420" s="89"/>
      <c r="I2420" s="90"/>
      <c r="K2420" s="91"/>
      <c r="L2420" s="88"/>
      <c r="M2420" s="92"/>
      <c r="N2420" s="86"/>
    </row>
    <row r="2421" spans="5:14">
      <c r="E2421" s="86"/>
      <c r="F2421" s="87"/>
      <c r="G2421" s="88"/>
      <c r="H2421" s="89"/>
      <c r="I2421" s="90"/>
      <c r="K2421" s="91"/>
      <c r="L2421" s="88"/>
      <c r="M2421" s="92"/>
      <c r="N2421" s="86"/>
    </row>
    <row r="2422" spans="5:14">
      <c r="E2422" s="86"/>
      <c r="F2422" s="87"/>
      <c r="G2422" s="88"/>
      <c r="H2422" s="89"/>
      <c r="I2422" s="90"/>
      <c r="K2422" s="91"/>
      <c r="L2422" s="88"/>
      <c r="M2422" s="92"/>
      <c r="N2422" s="86"/>
    </row>
    <row r="2423" spans="5:14">
      <c r="E2423" s="86"/>
      <c r="F2423" s="87"/>
      <c r="G2423" s="88"/>
      <c r="H2423" s="89"/>
      <c r="I2423" s="90"/>
      <c r="K2423" s="91"/>
      <c r="L2423" s="88"/>
      <c r="M2423" s="92"/>
      <c r="N2423" s="86"/>
    </row>
    <row r="2424" spans="5:14">
      <c r="E2424" s="86"/>
      <c r="F2424" s="87"/>
      <c r="G2424" s="88"/>
      <c r="H2424" s="89"/>
      <c r="I2424" s="90"/>
      <c r="K2424" s="91"/>
      <c r="L2424" s="88"/>
      <c r="M2424" s="92"/>
      <c r="N2424" s="86"/>
    </row>
    <row r="2425" spans="5:14">
      <c r="E2425" s="86"/>
      <c r="F2425" s="87"/>
      <c r="G2425" s="88"/>
      <c r="H2425" s="89"/>
      <c r="I2425" s="90"/>
      <c r="K2425" s="91"/>
      <c r="L2425" s="88"/>
      <c r="M2425" s="92"/>
      <c r="N2425" s="86"/>
    </row>
    <row r="2426" spans="5:14">
      <c r="E2426" s="86"/>
      <c r="F2426" s="87"/>
      <c r="G2426" s="88"/>
      <c r="H2426" s="89"/>
      <c r="I2426" s="90"/>
      <c r="K2426" s="91"/>
      <c r="L2426" s="88"/>
      <c r="M2426" s="92"/>
      <c r="N2426" s="86"/>
    </row>
    <row r="2427" spans="5:14">
      <c r="E2427" s="86"/>
      <c r="F2427" s="87"/>
      <c r="G2427" s="88"/>
      <c r="H2427" s="89"/>
      <c r="I2427" s="90"/>
      <c r="K2427" s="91"/>
      <c r="L2427" s="88"/>
      <c r="M2427" s="92"/>
      <c r="N2427" s="86"/>
    </row>
    <row r="2428" spans="5:14">
      <c r="E2428" s="86"/>
      <c r="F2428" s="87"/>
      <c r="G2428" s="88"/>
      <c r="H2428" s="89"/>
      <c r="I2428" s="90"/>
      <c r="K2428" s="91"/>
      <c r="L2428" s="88"/>
      <c r="M2428" s="92"/>
      <c r="N2428" s="86"/>
    </row>
    <row r="2429" spans="5:14">
      <c r="E2429" s="86"/>
      <c r="F2429" s="87"/>
      <c r="G2429" s="88"/>
      <c r="H2429" s="89"/>
      <c r="I2429" s="90"/>
      <c r="K2429" s="91"/>
      <c r="L2429" s="88"/>
      <c r="M2429" s="92"/>
      <c r="N2429" s="86"/>
    </row>
    <row r="2430" spans="5:14">
      <c r="E2430" s="86"/>
      <c r="F2430" s="87"/>
      <c r="G2430" s="88"/>
      <c r="H2430" s="89"/>
      <c r="I2430" s="90"/>
      <c r="K2430" s="91"/>
      <c r="L2430" s="88"/>
      <c r="M2430" s="92"/>
      <c r="N2430" s="86"/>
    </row>
    <row r="2431" spans="5:14">
      <c r="E2431" s="86"/>
      <c r="F2431" s="87"/>
      <c r="G2431" s="88"/>
      <c r="H2431" s="89"/>
      <c r="I2431" s="90"/>
      <c r="K2431" s="91"/>
      <c r="L2431" s="88"/>
      <c r="M2431" s="92"/>
      <c r="N2431" s="86"/>
    </row>
    <row r="2432" spans="5:14">
      <c r="E2432" s="86"/>
      <c r="F2432" s="87"/>
      <c r="G2432" s="88"/>
      <c r="H2432" s="89"/>
      <c r="I2432" s="90"/>
      <c r="K2432" s="91"/>
      <c r="L2432" s="88"/>
      <c r="M2432" s="92"/>
      <c r="N2432" s="86"/>
    </row>
    <row r="2433" spans="5:14">
      <c r="E2433" s="86"/>
      <c r="F2433" s="87"/>
      <c r="G2433" s="88"/>
      <c r="H2433" s="89"/>
      <c r="I2433" s="90"/>
      <c r="K2433" s="91"/>
      <c r="L2433" s="88"/>
      <c r="M2433" s="92"/>
      <c r="N2433" s="86"/>
    </row>
    <row r="2434" spans="5:14">
      <c r="E2434" s="86"/>
      <c r="F2434" s="87"/>
      <c r="G2434" s="88"/>
      <c r="H2434" s="89"/>
      <c r="I2434" s="90"/>
      <c r="K2434" s="91"/>
      <c r="L2434" s="88"/>
      <c r="M2434" s="92"/>
      <c r="N2434" s="86"/>
    </row>
    <row r="2435" spans="5:14">
      <c r="E2435" s="86"/>
      <c r="F2435" s="87"/>
      <c r="G2435" s="88"/>
      <c r="H2435" s="89"/>
      <c r="I2435" s="90"/>
      <c r="K2435" s="91"/>
      <c r="L2435" s="88"/>
      <c r="M2435" s="92"/>
      <c r="N2435" s="86"/>
    </row>
    <row r="2436" spans="5:14">
      <c r="E2436" s="86"/>
      <c r="F2436" s="87"/>
      <c r="G2436" s="88"/>
      <c r="H2436" s="89"/>
      <c r="I2436" s="90"/>
      <c r="K2436" s="91"/>
      <c r="L2436" s="88"/>
      <c r="M2436" s="92"/>
      <c r="N2436" s="86"/>
    </row>
    <row r="2437" spans="5:14">
      <c r="E2437" s="86"/>
      <c r="F2437" s="87"/>
      <c r="G2437" s="88"/>
      <c r="H2437" s="89"/>
      <c r="I2437" s="90"/>
      <c r="K2437" s="91"/>
      <c r="L2437" s="88"/>
      <c r="M2437" s="92"/>
      <c r="N2437" s="86"/>
    </row>
    <row r="2438" spans="5:14">
      <c r="E2438" s="86"/>
      <c r="F2438" s="87"/>
      <c r="G2438" s="88"/>
      <c r="H2438" s="89"/>
      <c r="I2438" s="90"/>
      <c r="K2438" s="91"/>
      <c r="L2438" s="88"/>
      <c r="M2438" s="92"/>
      <c r="N2438" s="86"/>
    </row>
    <row r="2439" spans="5:14">
      <c r="E2439" s="86"/>
      <c r="F2439" s="87"/>
      <c r="G2439" s="88"/>
      <c r="H2439" s="89"/>
      <c r="I2439" s="90"/>
      <c r="K2439" s="91"/>
      <c r="L2439" s="88"/>
      <c r="M2439" s="92"/>
      <c r="N2439" s="86"/>
    </row>
    <row r="2440" spans="5:14">
      <c r="E2440" s="86"/>
      <c r="F2440" s="87"/>
      <c r="G2440" s="88"/>
      <c r="H2440" s="89"/>
      <c r="I2440" s="90"/>
      <c r="K2440" s="91"/>
      <c r="L2440" s="88"/>
      <c r="M2440" s="92"/>
      <c r="N2440" s="86"/>
    </row>
    <row r="2441" spans="5:14">
      <c r="E2441" s="86"/>
      <c r="F2441" s="87"/>
      <c r="G2441" s="88"/>
      <c r="H2441" s="89"/>
      <c r="I2441" s="90"/>
      <c r="K2441" s="91"/>
      <c r="L2441" s="88"/>
      <c r="M2441" s="92"/>
      <c r="N2441" s="86"/>
    </row>
    <row r="2442" spans="5:14">
      <c r="E2442" s="86"/>
      <c r="F2442" s="87"/>
      <c r="G2442" s="88"/>
      <c r="H2442" s="89"/>
      <c r="I2442" s="90"/>
      <c r="K2442" s="91"/>
      <c r="L2442" s="88"/>
      <c r="M2442" s="92"/>
      <c r="N2442" s="86"/>
    </row>
    <row r="2443" spans="5:14">
      <c r="E2443" s="86"/>
      <c r="F2443" s="87"/>
      <c r="G2443" s="88"/>
      <c r="H2443" s="89"/>
      <c r="I2443" s="90"/>
      <c r="K2443" s="91"/>
      <c r="L2443" s="88"/>
      <c r="M2443" s="92"/>
      <c r="N2443" s="86"/>
    </row>
    <row r="2444" spans="5:14">
      <c r="E2444" s="86"/>
      <c r="F2444" s="87"/>
      <c r="G2444" s="88"/>
      <c r="H2444" s="89"/>
      <c r="I2444" s="90"/>
      <c r="K2444" s="91"/>
      <c r="L2444" s="88"/>
      <c r="M2444" s="92"/>
      <c r="N2444" s="86"/>
    </row>
    <row r="2445" spans="5:14">
      <c r="E2445" s="86"/>
      <c r="F2445" s="87"/>
      <c r="G2445" s="88"/>
      <c r="H2445" s="89"/>
      <c r="I2445" s="90"/>
      <c r="K2445" s="91"/>
      <c r="L2445" s="88"/>
      <c r="M2445" s="92"/>
      <c r="N2445" s="86"/>
    </row>
    <row r="2446" spans="5:14">
      <c r="E2446" s="86"/>
      <c r="F2446" s="87"/>
      <c r="G2446" s="88"/>
      <c r="H2446" s="89"/>
      <c r="I2446" s="90"/>
      <c r="K2446" s="91"/>
      <c r="L2446" s="88"/>
      <c r="M2446" s="92"/>
      <c r="N2446" s="86"/>
    </row>
    <row r="2447" spans="5:14">
      <c r="E2447" s="86"/>
      <c r="F2447" s="87"/>
      <c r="G2447" s="88"/>
      <c r="H2447" s="89"/>
      <c r="I2447" s="90"/>
      <c r="K2447" s="91"/>
      <c r="L2447" s="88"/>
      <c r="M2447" s="92"/>
      <c r="N2447" s="86"/>
    </row>
    <row r="2448" spans="5:14">
      <c r="E2448" s="86"/>
      <c r="F2448" s="87"/>
      <c r="G2448" s="88"/>
      <c r="H2448" s="89"/>
      <c r="I2448" s="90"/>
      <c r="K2448" s="91"/>
      <c r="L2448" s="88"/>
      <c r="M2448" s="92"/>
      <c r="N2448" s="86"/>
    </row>
    <row r="2449" spans="5:14">
      <c r="E2449" s="86"/>
      <c r="F2449" s="87"/>
      <c r="G2449" s="88"/>
      <c r="H2449" s="89"/>
      <c r="I2449" s="90"/>
      <c r="K2449" s="91"/>
      <c r="L2449" s="88"/>
      <c r="M2449" s="92"/>
      <c r="N2449" s="86"/>
    </row>
    <row r="2450" spans="5:14">
      <c r="E2450" s="86"/>
      <c r="F2450" s="87"/>
      <c r="G2450" s="88"/>
      <c r="H2450" s="89"/>
      <c r="I2450" s="90"/>
      <c r="K2450" s="91"/>
      <c r="L2450" s="88"/>
      <c r="M2450" s="92"/>
      <c r="N2450" s="86"/>
    </row>
    <row r="2451" spans="5:14">
      <c r="E2451" s="86"/>
      <c r="F2451" s="87"/>
      <c r="G2451" s="88"/>
      <c r="H2451" s="89"/>
      <c r="I2451" s="90"/>
      <c r="K2451" s="91"/>
      <c r="L2451" s="88"/>
      <c r="M2451" s="92"/>
      <c r="N2451" s="86"/>
    </row>
    <row r="2452" spans="5:14">
      <c r="E2452" s="86"/>
      <c r="F2452" s="87"/>
      <c r="G2452" s="88"/>
      <c r="H2452" s="89"/>
      <c r="I2452" s="90"/>
      <c r="K2452" s="91"/>
      <c r="L2452" s="88"/>
      <c r="M2452" s="92"/>
      <c r="N2452" s="86"/>
    </row>
    <row r="2453" spans="5:14">
      <c r="E2453" s="86"/>
      <c r="F2453" s="87"/>
      <c r="G2453" s="88"/>
      <c r="H2453" s="89"/>
      <c r="I2453" s="90"/>
      <c r="K2453" s="91"/>
      <c r="L2453" s="88"/>
      <c r="M2453" s="92"/>
      <c r="N2453" s="86"/>
    </row>
    <row r="2454" spans="5:14">
      <c r="E2454" s="86"/>
      <c r="F2454" s="87"/>
      <c r="G2454" s="88"/>
      <c r="H2454" s="89"/>
      <c r="I2454" s="90"/>
      <c r="K2454" s="91"/>
      <c r="L2454" s="88"/>
      <c r="M2454" s="92"/>
      <c r="N2454" s="86"/>
    </row>
    <row r="2455" spans="5:14">
      <c r="E2455" s="86"/>
      <c r="F2455" s="87"/>
      <c r="G2455" s="88"/>
      <c r="H2455" s="89"/>
      <c r="I2455" s="90"/>
      <c r="K2455" s="91"/>
      <c r="L2455" s="88"/>
      <c r="M2455" s="92"/>
      <c r="N2455" s="86"/>
    </row>
    <row r="2456" spans="5:14">
      <c r="E2456" s="86"/>
      <c r="F2456" s="87"/>
      <c r="G2456" s="88"/>
      <c r="H2456" s="89"/>
      <c r="I2456" s="90"/>
      <c r="K2456" s="91"/>
      <c r="L2456" s="88"/>
      <c r="M2456" s="92"/>
      <c r="N2456" s="86"/>
    </row>
    <row r="2457" spans="5:14">
      <c r="E2457" s="86"/>
      <c r="F2457" s="87"/>
      <c r="G2457" s="88"/>
      <c r="H2457" s="89"/>
      <c r="I2457" s="90"/>
      <c r="K2457" s="91"/>
      <c r="L2457" s="88"/>
      <c r="M2457" s="92"/>
      <c r="N2457" s="86"/>
    </row>
    <row r="2458" spans="5:14">
      <c r="E2458" s="86"/>
      <c r="F2458" s="87"/>
      <c r="G2458" s="88"/>
      <c r="H2458" s="89"/>
      <c r="I2458" s="90"/>
      <c r="K2458" s="91"/>
      <c r="L2458" s="88"/>
      <c r="M2458" s="92"/>
      <c r="N2458" s="86"/>
    </row>
    <row r="2459" spans="5:14">
      <c r="E2459" s="86"/>
      <c r="F2459" s="87"/>
      <c r="G2459" s="88"/>
      <c r="H2459" s="89"/>
      <c r="I2459" s="90"/>
      <c r="K2459" s="91"/>
      <c r="L2459" s="88"/>
      <c r="M2459" s="92"/>
      <c r="N2459" s="86"/>
    </row>
    <row r="2460" spans="5:14">
      <c r="E2460" s="86"/>
      <c r="F2460" s="87"/>
      <c r="G2460" s="88"/>
      <c r="H2460" s="89"/>
      <c r="I2460" s="90"/>
      <c r="K2460" s="91"/>
      <c r="L2460" s="88"/>
      <c r="M2460" s="92"/>
      <c r="N2460" s="86"/>
    </row>
    <row r="2461" spans="5:14">
      <c r="E2461" s="86"/>
      <c r="F2461" s="87"/>
      <c r="G2461" s="88"/>
      <c r="H2461" s="89"/>
      <c r="I2461" s="90"/>
      <c r="K2461" s="91"/>
      <c r="L2461" s="88"/>
      <c r="M2461" s="92"/>
      <c r="N2461" s="86"/>
    </row>
    <row r="2462" spans="5:14">
      <c r="E2462" s="86"/>
      <c r="F2462" s="87"/>
      <c r="G2462" s="88"/>
      <c r="H2462" s="89"/>
      <c r="I2462" s="90"/>
      <c r="K2462" s="91"/>
      <c r="L2462" s="88"/>
      <c r="M2462" s="92"/>
      <c r="N2462" s="86"/>
    </row>
    <row r="2463" spans="5:14">
      <c r="E2463" s="86"/>
      <c r="F2463" s="87"/>
      <c r="G2463" s="88"/>
      <c r="H2463" s="89"/>
      <c r="I2463" s="90"/>
      <c r="K2463" s="91"/>
      <c r="L2463" s="88"/>
      <c r="M2463" s="92"/>
      <c r="N2463" s="86"/>
    </row>
    <row r="2464" spans="5:14">
      <c r="E2464" s="86"/>
      <c r="F2464" s="87"/>
      <c r="G2464" s="88"/>
      <c r="H2464" s="89"/>
      <c r="I2464" s="90"/>
      <c r="K2464" s="91"/>
      <c r="L2464" s="88"/>
      <c r="M2464" s="92"/>
      <c r="N2464" s="86"/>
    </row>
    <row r="2465" spans="5:14">
      <c r="E2465" s="86"/>
      <c r="F2465" s="87"/>
      <c r="G2465" s="88"/>
      <c r="H2465" s="89"/>
      <c r="I2465" s="90"/>
      <c r="K2465" s="91"/>
      <c r="L2465" s="88"/>
      <c r="M2465" s="92"/>
      <c r="N2465" s="86"/>
    </row>
    <row r="2466" spans="5:14">
      <c r="E2466" s="86"/>
      <c r="F2466" s="87"/>
      <c r="G2466" s="88"/>
      <c r="H2466" s="89"/>
      <c r="I2466" s="90"/>
      <c r="K2466" s="91"/>
      <c r="L2466" s="88"/>
      <c r="M2466" s="92"/>
      <c r="N2466" s="86"/>
    </row>
    <row r="2467" spans="5:14">
      <c r="E2467" s="86"/>
      <c r="F2467" s="87"/>
      <c r="G2467" s="88"/>
      <c r="H2467" s="89"/>
      <c r="I2467" s="90"/>
      <c r="K2467" s="91"/>
      <c r="L2467" s="88"/>
      <c r="M2467" s="92"/>
      <c r="N2467" s="86"/>
    </row>
    <row r="2468" spans="5:14">
      <c r="E2468" s="86"/>
      <c r="F2468" s="87"/>
      <c r="G2468" s="88"/>
      <c r="H2468" s="89"/>
      <c r="I2468" s="90"/>
      <c r="K2468" s="91"/>
      <c r="L2468" s="88"/>
      <c r="M2468" s="92"/>
      <c r="N2468" s="86"/>
    </row>
    <row r="2469" spans="5:14">
      <c r="E2469" s="86"/>
      <c r="F2469" s="87"/>
      <c r="G2469" s="88"/>
      <c r="H2469" s="89"/>
      <c r="I2469" s="90"/>
      <c r="K2469" s="91"/>
      <c r="L2469" s="88"/>
      <c r="M2469" s="92"/>
      <c r="N2469" s="86"/>
    </row>
    <row r="2470" spans="5:14">
      <c r="E2470" s="86"/>
      <c r="F2470" s="87"/>
      <c r="G2470" s="88"/>
      <c r="H2470" s="89"/>
      <c r="I2470" s="90"/>
      <c r="K2470" s="91"/>
      <c r="L2470" s="88"/>
      <c r="M2470" s="92"/>
      <c r="N2470" s="86"/>
    </row>
    <row r="2471" spans="5:14">
      <c r="E2471" s="86"/>
      <c r="F2471" s="87"/>
      <c r="G2471" s="88"/>
      <c r="H2471" s="89"/>
      <c r="I2471" s="90"/>
      <c r="K2471" s="91"/>
      <c r="L2471" s="88"/>
      <c r="M2471" s="92"/>
      <c r="N2471" s="86"/>
    </row>
    <row r="2472" spans="5:14">
      <c r="E2472" s="86"/>
      <c r="F2472" s="87"/>
      <c r="G2472" s="88"/>
      <c r="H2472" s="89"/>
      <c r="I2472" s="90"/>
      <c r="K2472" s="91"/>
      <c r="L2472" s="88"/>
      <c r="M2472" s="92"/>
      <c r="N2472" s="86"/>
    </row>
    <row r="2473" spans="5:14">
      <c r="E2473" s="86"/>
      <c r="F2473" s="87"/>
      <c r="G2473" s="88"/>
      <c r="H2473" s="89"/>
      <c r="I2473" s="90"/>
      <c r="K2473" s="91"/>
      <c r="L2473" s="88"/>
      <c r="M2473" s="92"/>
      <c r="N2473" s="86"/>
    </row>
    <row r="2474" spans="5:14">
      <c r="E2474" s="86"/>
      <c r="F2474" s="87"/>
      <c r="G2474" s="88"/>
      <c r="H2474" s="89"/>
      <c r="I2474" s="90"/>
      <c r="K2474" s="91"/>
      <c r="L2474" s="88"/>
      <c r="M2474" s="92"/>
      <c r="N2474" s="86"/>
    </row>
    <row r="2475" spans="5:14">
      <c r="E2475" s="86"/>
      <c r="F2475" s="87"/>
      <c r="G2475" s="88"/>
      <c r="H2475" s="89"/>
      <c r="I2475" s="90"/>
      <c r="K2475" s="91"/>
      <c r="L2475" s="88"/>
      <c r="M2475" s="92"/>
      <c r="N2475" s="86"/>
    </row>
    <row r="2476" spans="5:14">
      <c r="E2476" s="86"/>
      <c r="F2476" s="87"/>
      <c r="G2476" s="88"/>
      <c r="H2476" s="89"/>
      <c r="I2476" s="90"/>
      <c r="K2476" s="91"/>
      <c r="L2476" s="88"/>
      <c r="M2476" s="92"/>
      <c r="N2476" s="86"/>
    </row>
    <row r="2477" spans="5:14">
      <c r="E2477" s="86"/>
      <c r="F2477" s="87"/>
      <c r="G2477" s="88"/>
      <c r="H2477" s="89"/>
      <c r="I2477" s="90"/>
      <c r="K2477" s="91"/>
      <c r="L2477" s="88"/>
      <c r="M2477" s="92"/>
      <c r="N2477" s="86"/>
    </row>
    <row r="2478" spans="5:14">
      <c r="E2478" s="86"/>
      <c r="F2478" s="87"/>
      <c r="G2478" s="88"/>
      <c r="H2478" s="89"/>
      <c r="I2478" s="90"/>
      <c r="K2478" s="91"/>
      <c r="L2478" s="88"/>
      <c r="M2478" s="92"/>
      <c r="N2478" s="86"/>
    </row>
    <row r="2479" spans="5:14">
      <c r="E2479" s="86"/>
      <c r="F2479" s="87"/>
      <c r="G2479" s="88"/>
      <c r="H2479" s="89"/>
      <c r="I2479" s="90"/>
      <c r="K2479" s="91"/>
      <c r="L2479" s="88"/>
      <c r="M2479" s="92"/>
      <c r="N2479" s="86"/>
    </row>
    <row r="2480" spans="5:14">
      <c r="E2480" s="86"/>
      <c r="F2480" s="87"/>
      <c r="G2480" s="88"/>
      <c r="H2480" s="89"/>
      <c r="I2480" s="90"/>
      <c r="K2480" s="91"/>
      <c r="L2480" s="88"/>
      <c r="M2480" s="92"/>
      <c r="N2480" s="86"/>
    </row>
    <row r="2481" spans="5:14">
      <c r="E2481" s="86"/>
      <c r="F2481" s="87"/>
      <c r="G2481" s="88"/>
      <c r="H2481" s="89"/>
      <c r="I2481" s="90"/>
      <c r="K2481" s="91"/>
      <c r="L2481" s="88"/>
      <c r="M2481" s="92"/>
      <c r="N2481" s="86"/>
    </row>
    <row r="2482" spans="5:14">
      <c r="E2482" s="86"/>
      <c r="F2482" s="87"/>
      <c r="G2482" s="88"/>
      <c r="H2482" s="89"/>
      <c r="I2482" s="90"/>
      <c r="K2482" s="91"/>
      <c r="L2482" s="88"/>
      <c r="M2482" s="92"/>
      <c r="N2482" s="86"/>
    </row>
    <row r="2483" spans="5:14">
      <c r="E2483" s="86"/>
      <c r="F2483" s="87"/>
      <c r="G2483" s="88"/>
      <c r="H2483" s="89"/>
      <c r="I2483" s="90"/>
      <c r="K2483" s="91"/>
      <c r="L2483" s="88"/>
      <c r="M2483" s="92"/>
      <c r="N2483" s="86"/>
    </row>
    <row r="2484" spans="5:14">
      <c r="E2484" s="86"/>
      <c r="F2484" s="87"/>
      <c r="G2484" s="88"/>
      <c r="H2484" s="89"/>
      <c r="I2484" s="90"/>
      <c r="K2484" s="91"/>
      <c r="L2484" s="88"/>
      <c r="M2484" s="92"/>
      <c r="N2484" s="86"/>
    </row>
    <row r="2485" spans="5:14">
      <c r="E2485" s="86"/>
      <c r="F2485" s="87"/>
      <c r="G2485" s="88"/>
      <c r="H2485" s="89"/>
      <c r="I2485" s="90"/>
      <c r="K2485" s="91"/>
      <c r="L2485" s="88"/>
      <c r="M2485" s="92"/>
      <c r="N2485" s="86"/>
    </row>
    <row r="2486" spans="5:14">
      <c r="E2486" s="86"/>
      <c r="F2486" s="87"/>
      <c r="G2486" s="88"/>
      <c r="H2486" s="89"/>
      <c r="I2486" s="90"/>
      <c r="K2486" s="91"/>
      <c r="L2486" s="88"/>
      <c r="M2486" s="92"/>
      <c r="N2486" s="86"/>
    </row>
    <row r="2487" spans="5:14">
      <c r="E2487" s="86"/>
      <c r="F2487" s="87"/>
      <c r="G2487" s="88"/>
      <c r="H2487" s="89"/>
      <c r="I2487" s="90"/>
      <c r="K2487" s="91"/>
      <c r="L2487" s="88"/>
      <c r="M2487" s="92"/>
      <c r="N2487" s="86"/>
    </row>
    <row r="2488" spans="5:14">
      <c r="E2488" s="86"/>
      <c r="F2488" s="87"/>
      <c r="G2488" s="88"/>
      <c r="H2488" s="89"/>
      <c r="I2488" s="90"/>
      <c r="K2488" s="91"/>
      <c r="L2488" s="88"/>
      <c r="M2488" s="92"/>
      <c r="N2488" s="86"/>
    </row>
    <row r="2489" spans="5:14">
      <c r="E2489" s="86"/>
      <c r="F2489" s="87"/>
      <c r="G2489" s="88"/>
      <c r="H2489" s="89"/>
      <c r="I2489" s="90"/>
      <c r="K2489" s="91"/>
      <c r="L2489" s="88"/>
      <c r="M2489" s="92"/>
      <c r="N2489" s="86"/>
    </row>
    <row r="2490" spans="5:14">
      <c r="E2490" s="86"/>
      <c r="F2490" s="87"/>
      <c r="G2490" s="88"/>
      <c r="H2490" s="89"/>
      <c r="I2490" s="90"/>
      <c r="K2490" s="91"/>
      <c r="L2490" s="88"/>
      <c r="M2490" s="92"/>
      <c r="N2490" s="86"/>
    </row>
    <row r="2491" spans="5:14">
      <c r="E2491" s="86"/>
      <c r="F2491" s="87"/>
      <c r="G2491" s="88"/>
      <c r="H2491" s="89"/>
      <c r="I2491" s="90"/>
      <c r="K2491" s="91"/>
      <c r="L2491" s="88"/>
      <c r="M2491" s="92"/>
      <c r="N2491" s="86"/>
    </row>
    <row r="2492" spans="5:14">
      <c r="E2492" s="86"/>
      <c r="F2492" s="87"/>
      <c r="G2492" s="88"/>
      <c r="H2492" s="89"/>
      <c r="I2492" s="90"/>
      <c r="K2492" s="91"/>
      <c r="L2492" s="88"/>
      <c r="M2492" s="92"/>
      <c r="N2492" s="86"/>
    </row>
    <row r="2493" spans="5:14">
      <c r="E2493" s="86"/>
      <c r="F2493" s="87"/>
      <c r="G2493" s="88"/>
      <c r="H2493" s="89"/>
      <c r="I2493" s="90"/>
      <c r="K2493" s="91"/>
      <c r="L2493" s="88"/>
      <c r="M2493" s="92"/>
      <c r="N2493" s="86"/>
    </row>
    <row r="2494" spans="5:14">
      <c r="E2494" s="86"/>
      <c r="F2494" s="87"/>
      <c r="G2494" s="88"/>
      <c r="H2494" s="89"/>
      <c r="I2494" s="90"/>
      <c r="K2494" s="91"/>
      <c r="L2494" s="88"/>
      <c r="M2494" s="92"/>
      <c r="N2494" s="86"/>
    </row>
    <row r="2495" spans="5:14">
      <c r="E2495" s="86"/>
      <c r="F2495" s="87"/>
      <c r="G2495" s="88"/>
      <c r="H2495" s="89"/>
      <c r="I2495" s="90"/>
      <c r="K2495" s="91"/>
      <c r="L2495" s="88"/>
      <c r="M2495" s="92"/>
      <c r="N2495" s="86"/>
    </row>
    <row r="2496" spans="5:14">
      <c r="E2496" s="86"/>
      <c r="F2496" s="87"/>
      <c r="G2496" s="88"/>
      <c r="H2496" s="89"/>
      <c r="I2496" s="90"/>
      <c r="K2496" s="91"/>
      <c r="L2496" s="88"/>
      <c r="M2496" s="92"/>
      <c r="N2496" s="86"/>
    </row>
    <row r="2497" spans="5:14">
      <c r="E2497" s="86"/>
      <c r="F2497" s="87"/>
      <c r="G2497" s="88"/>
      <c r="H2497" s="89"/>
      <c r="I2497" s="90"/>
      <c r="K2497" s="91"/>
      <c r="L2497" s="88"/>
      <c r="M2497" s="92"/>
      <c r="N2497" s="86"/>
    </row>
    <row r="2498" spans="5:14">
      <c r="E2498" s="86"/>
      <c r="F2498" s="87"/>
      <c r="G2498" s="88"/>
      <c r="H2498" s="89"/>
      <c r="I2498" s="90"/>
      <c r="K2498" s="91"/>
      <c r="L2498" s="88"/>
      <c r="M2498" s="92"/>
      <c r="N2498" s="86"/>
    </row>
    <row r="2499" spans="5:14">
      <c r="E2499" s="86"/>
      <c r="F2499" s="87"/>
      <c r="G2499" s="88"/>
      <c r="H2499" s="89"/>
      <c r="I2499" s="90"/>
      <c r="K2499" s="91"/>
      <c r="L2499" s="88"/>
      <c r="M2499" s="92"/>
      <c r="N2499" s="86"/>
    </row>
    <row r="2500" spans="5:14">
      <c r="E2500" s="86"/>
      <c r="F2500" s="87"/>
      <c r="G2500" s="88"/>
      <c r="H2500" s="89"/>
      <c r="I2500" s="90"/>
      <c r="K2500" s="91"/>
      <c r="L2500" s="88"/>
      <c r="M2500" s="92"/>
      <c r="N2500" s="86"/>
    </row>
    <row r="2501" spans="5:14">
      <c r="E2501" s="86"/>
      <c r="F2501" s="87"/>
      <c r="G2501" s="88"/>
      <c r="H2501" s="89"/>
      <c r="I2501" s="90"/>
      <c r="K2501" s="91"/>
      <c r="L2501" s="88"/>
      <c r="M2501" s="92"/>
      <c r="N2501" s="86"/>
    </row>
    <row r="2502" spans="5:14">
      <c r="E2502" s="86"/>
      <c r="F2502" s="87"/>
      <c r="G2502" s="88"/>
      <c r="H2502" s="89"/>
      <c r="I2502" s="90"/>
      <c r="K2502" s="91"/>
      <c r="L2502" s="88"/>
      <c r="M2502" s="92"/>
      <c r="N2502" s="86"/>
    </row>
    <row r="2503" spans="5:14">
      <c r="E2503" s="86"/>
      <c r="F2503" s="87"/>
      <c r="G2503" s="88"/>
      <c r="H2503" s="89"/>
      <c r="I2503" s="90"/>
      <c r="K2503" s="91"/>
      <c r="L2503" s="88"/>
      <c r="M2503" s="92"/>
      <c r="N2503" s="86"/>
    </row>
    <row r="2504" spans="5:14">
      <c r="E2504" s="86"/>
      <c r="F2504" s="87"/>
      <c r="G2504" s="88"/>
      <c r="H2504" s="89"/>
      <c r="I2504" s="90"/>
      <c r="K2504" s="91"/>
      <c r="L2504" s="88"/>
      <c r="M2504" s="92"/>
      <c r="N2504" s="86"/>
    </row>
    <row r="2505" spans="5:14">
      <c r="E2505" s="86"/>
      <c r="F2505" s="87"/>
      <c r="G2505" s="88"/>
      <c r="H2505" s="89"/>
      <c r="I2505" s="90"/>
      <c r="K2505" s="91"/>
      <c r="L2505" s="88"/>
      <c r="M2505" s="92"/>
      <c r="N2505" s="86"/>
    </row>
    <row r="2506" spans="5:14">
      <c r="E2506" s="86"/>
      <c r="F2506" s="87"/>
      <c r="G2506" s="88"/>
      <c r="H2506" s="89"/>
      <c r="I2506" s="90"/>
      <c r="K2506" s="91"/>
      <c r="L2506" s="88"/>
      <c r="M2506" s="92"/>
      <c r="N2506" s="86"/>
    </row>
    <row r="2507" spans="5:14">
      <c r="E2507" s="86"/>
      <c r="F2507" s="87"/>
      <c r="G2507" s="88"/>
      <c r="H2507" s="89"/>
      <c r="I2507" s="90"/>
      <c r="K2507" s="91"/>
      <c r="L2507" s="88"/>
      <c r="M2507" s="92"/>
      <c r="N2507" s="86"/>
    </row>
    <row r="2508" spans="5:14">
      <c r="E2508" s="86"/>
      <c r="F2508" s="87"/>
      <c r="G2508" s="88"/>
      <c r="H2508" s="89"/>
      <c r="I2508" s="90"/>
      <c r="K2508" s="91"/>
      <c r="L2508" s="88"/>
      <c r="M2508" s="92"/>
      <c r="N2508" s="86"/>
    </row>
    <row r="2509" spans="5:14">
      <c r="E2509" s="86"/>
      <c r="F2509" s="87"/>
      <c r="G2509" s="88"/>
      <c r="H2509" s="89"/>
      <c r="I2509" s="90"/>
      <c r="K2509" s="91"/>
      <c r="L2509" s="88"/>
      <c r="M2509" s="92"/>
      <c r="N2509" s="86"/>
    </row>
    <row r="2510" spans="5:14">
      <c r="E2510" s="86"/>
      <c r="F2510" s="87"/>
      <c r="G2510" s="88"/>
      <c r="H2510" s="89"/>
      <c r="I2510" s="90"/>
      <c r="K2510" s="91"/>
      <c r="L2510" s="88"/>
      <c r="M2510" s="92"/>
      <c r="N2510" s="86"/>
    </row>
    <row r="2511" spans="5:14">
      <c r="E2511" s="86"/>
      <c r="F2511" s="87"/>
      <c r="G2511" s="88"/>
      <c r="H2511" s="89"/>
      <c r="I2511" s="90"/>
      <c r="K2511" s="91"/>
      <c r="L2511" s="88"/>
      <c r="M2511" s="92"/>
      <c r="N2511" s="86"/>
    </row>
    <row r="2512" spans="5:14">
      <c r="E2512" s="86"/>
      <c r="F2512" s="87"/>
      <c r="G2512" s="88"/>
      <c r="H2512" s="89"/>
      <c r="I2512" s="90"/>
      <c r="K2512" s="91"/>
      <c r="L2512" s="88"/>
      <c r="M2512" s="92"/>
      <c r="N2512" s="86"/>
    </row>
    <row r="2513" spans="5:14">
      <c r="E2513" s="86"/>
      <c r="F2513" s="87"/>
      <c r="G2513" s="88"/>
      <c r="H2513" s="89"/>
      <c r="I2513" s="90"/>
      <c r="K2513" s="91"/>
      <c r="L2513" s="88"/>
      <c r="M2513" s="92"/>
      <c r="N2513" s="86"/>
    </row>
    <row r="2514" spans="5:14">
      <c r="E2514" s="86"/>
      <c r="F2514" s="87"/>
      <c r="G2514" s="88"/>
      <c r="H2514" s="89"/>
      <c r="I2514" s="90"/>
      <c r="K2514" s="91"/>
      <c r="L2514" s="88"/>
      <c r="M2514" s="92"/>
      <c r="N2514" s="86"/>
    </row>
    <row r="2515" spans="5:14">
      <c r="E2515" s="86"/>
      <c r="F2515" s="87"/>
      <c r="G2515" s="88"/>
      <c r="H2515" s="89"/>
      <c r="I2515" s="90"/>
      <c r="K2515" s="91"/>
      <c r="L2515" s="88"/>
      <c r="M2515" s="92"/>
      <c r="N2515" s="86"/>
    </row>
    <row r="2516" spans="5:14">
      <c r="E2516" s="86"/>
      <c r="F2516" s="87"/>
      <c r="G2516" s="88"/>
      <c r="H2516" s="89"/>
      <c r="I2516" s="90"/>
      <c r="K2516" s="91"/>
      <c r="L2516" s="88"/>
      <c r="M2516" s="92"/>
      <c r="N2516" s="86"/>
    </row>
    <row r="2517" spans="5:14">
      <c r="E2517" s="86"/>
      <c r="F2517" s="87"/>
      <c r="G2517" s="88"/>
      <c r="H2517" s="89"/>
      <c r="I2517" s="90"/>
      <c r="K2517" s="91"/>
      <c r="L2517" s="88"/>
      <c r="M2517" s="92"/>
      <c r="N2517" s="86"/>
    </row>
    <row r="2518" spans="5:14">
      <c r="E2518" s="86"/>
      <c r="F2518" s="87"/>
      <c r="G2518" s="88"/>
      <c r="H2518" s="89"/>
      <c r="I2518" s="90"/>
      <c r="K2518" s="91"/>
      <c r="L2518" s="88"/>
      <c r="M2518" s="92"/>
      <c r="N2518" s="86"/>
    </row>
    <row r="2519" spans="5:14">
      <c r="E2519" s="86"/>
      <c r="F2519" s="87"/>
      <c r="G2519" s="88"/>
      <c r="H2519" s="89"/>
      <c r="I2519" s="90"/>
      <c r="K2519" s="91"/>
      <c r="L2519" s="88"/>
      <c r="M2519" s="92"/>
      <c r="N2519" s="86"/>
    </row>
    <row r="2520" spans="5:14">
      <c r="E2520" s="86"/>
      <c r="F2520" s="87"/>
      <c r="G2520" s="88"/>
      <c r="H2520" s="89"/>
      <c r="I2520" s="90"/>
      <c r="K2520" s="91"/>
      <c r="L2520" s="88"/>
      <c r="M2520" s="92"/>
      <c r="N2520" s="86"/>
    </row>
    <row r="2521" spans="5:14">
      <c r="E2521" s="86"/>
      <c r="F2521" s="87"/>
      <c r="G2521" s="88"/>
      <c r="H2521" s="89"/>
      <c r="I2521" s="90"/>
      <c r="K2521" s="91"/>
      <c r="L2521" s="88"/>
      <c r="M2521" s="92"/>
      <c r="N2521" s="86"/>
    </row>
    <row r="2522" spans="5:14">
      <c r="E2522" s="86"/>
      <c r="F2522" s="87"/>
      <c r="G2522" s="88"/>
      <c r="H2522" s="89"/>
      <c r="I2522" s="90"/>
      <c r="K2522" s="91"/>
      <c r="L2522" s="88"/>
      <c r="M2522" s="92"/>
      <c r="N2522" s="86"/>
    </row>
    <row r="2523" spans="5:14">
      <c r="E2523" s="86"/>
      <c r="F2523" s="87"/>
      <c r="G2523" s="88"/>
      <c r="H2523" s="89"/>
      <c r="I2523" s="90"/>
      <c r="K2523" s="91"/>
      <c r="L2523" s="88"/>
      <c r="M2523" s="92"/>
      <c r="N2523" s="86"/>
    </row>
    <row r="2524" spans="5:14">
      <c r="E2524" s="86"/>
      <c r="F2524" s="87"/>
      <c r="G2524" s="88"/>
      <c r="H2524" s="89"/>
      <c r="I2524" s="90"/>
      <c r="K2524" s="91"/>
      <c r="L2524" s="88"/>
      <c r="M2524" s="92"/>
      <c r="N2524" s="86"/>
    </row>
    <row r="2525" spans="5:14">
      <c r="E2525" s="86"/>
      <c r="F2525" s="87"/>
      <c r="G2525" s="88"/>
      <c r="H2525" s="89"/>
      <c r="I2525" s="90"/>
      <c r="K2525" s="91"/>
      <c r="L2525" s="88"/>
      <c r="M2525" s="92"/>
      <c r="N2525" s="86"/>
    </row>
    <row r="2526" spans="5:14">
      <c r="E2526" s="86"/>
      <c r="F2526" s="87"/>
      <c r="G2526" s="88"/>
      <c r="H2526" s="89"/>
      <c r="I2526" s="90"/>
      <c r="K2526" s="91"/>
      <c r="L2526" s="88"/>
      <c r="M2526" s="92"/>
      <c r="N2526" s="86"/>
    </row>
    <row r="2527" spans="5:14">
      <c r="E2527" s="86"/>
      <c r="F2527" s="87"/>
      <c r="G2527" s="88"/>
      <c r="H2527" s="89"/>
      <c r="I2527" s="90"/>
      <c r="K2527" s="91"/>
      <c r="L2527" s="88"/>
      <c r="M2527" s="92"/>
      <c r="N2527" s="86"/>
    </row>
    <row r="2528" spans="5:14">
      <c r="E2528" s="86"/>
      <c r="F2528" s="87"/>
      <c r="G2528" s="88"/>
      <c r="H2528" s="89"/>
      <c r="I2528" s="90"/>
      <c r="K2528" s="91"/>
      <c r="L2528" s="88"/>
      <c r="M2528" s="92"/>
      <c r="N2528" s="86"/>
    </row>
    <row r="2529" spans="5:14">
      <c r="E2529" s="86"/>
      <c r="F2529" s="87"/>
      <c r="G2529" s="88"/>
      <c r="H2529" s="89"/>
      <c r="I2529" s="90"/>
      <c r="K2529" s="91"/>
      <c r="L2529" s="88"/>
      <c r="M2529" s="92"/>
      <c r="N2529" s="86"/>
    </row>
    <row r="2530" spans="5:14">
      <c r="E2530" s="86"/>
      <c r="F2530" s="87"/>
      <c r="G2530" s="88"/>
      <c r="H2530" s="89"/>
      <c r="I2530" s="90"/>
      <c r="K2530" s="91"/>
      <c r="L2530" s="88"/>
      <c r="M2530" s="92"/>
      <c r="N2530" s="86"/>
    </row>
    <row r="2531" spans="5:14">
      <c r="E2531" s="86"/>
      <c r="F2531" s="87"/>
      <c r="G2531" s="88"/>
      <c r="H2531" s="89"/>
      <c r="I2531" s="90"/>
      <c r="K2531" s="91"/>
      <c r="L2531" s="88"/>
      <c r="M2531" s="92"/>
      <c r="N2531" s="86"/>
    </row>
    <row r="2532" spans="5:14">
      <c r="E2532" s="86"/>
      <c r="F2532" s="87"/>
      <c r="G2532" s="88"/>
      <c r="H2532" s="89"/>
      <c r="I2532" s="90"/>
      <c r="K2532" s="91"/>
      <c r="L2532" s="88"/>
      <c r="M2532" s="92"/>
      <c r="N2532" s="86"/>
    </row>
    <row r="2533" spans="5:14">
      <c r="E2533" s="86"/>
      <c r="F2533" s="87"/>
      <c r="G2533" s="88"/>
      <c r="H2533" s="89"/>
      <c r="I2533" s="90"/>
      <c r="K2533" s="91"/>
      <c r="L2533" s="88"/>
      <c r="M2533" s="92"/>
      <c r="N2533" s="86"/>
    </row>
    <row r="2534" spans="5:14">
      <c r="E2534" s="86"/>
      <c r="F2534" s="87"/>
      <c r="G2534" s="88"/>
      <c r="H2534" s="89"/>
      <c r="I2534" s="90"/>
      <c r="K2534" s="91"/>
      <c r="L2534" s="88"/>
      <c r="M2534" s="92"/>
      <c r="N2534" s="86"/>
    </row>
    <row r="2535" spans="5:14">
      <c r="E2535" s="86"/>
      <c r="F2535" s="87"/>
      <c r="G2535" s="88"/>
      <c r="H2535" s="89"/>
      <c r="I2535" s="90"/>
      <c r="K2535" s="91"/>
      <c r="L2535" s="88"/>
      <c r="M2535" s="92"/>
      <c r="N2535" s="86"/>
    </row>
    <row r="2536" spans="5:14">
      <c r="E2536" s="86"/>
      <c r="F2536" s="87"/>
      <c r="G2536" s="88"/>
      <c r="H2536" s="89"/>
      <c r="I2536" s="90"/>
      <c r="K2536" s="91"/>
      <c r="L2536" s="88"/>
      <c r="M2536" s="92"/>
      <c r="N2536" s="86"/>
    </row>
    <row r="2537" spans="5:14">
      <c r="E2537" s="86"/>
      <c r="F2537" s="87"/>
      <c r="G2537" s="88"/>
      <c r="H2537" s="89"/>
      <c r="I2537" s="90"/>
      <c r="K2537" s="91"/>
      <c r="L2537" s="88"/>
      <c r="M2537" s="92"/>
      <c r="N2537" s="86"/>
    </row>
    <row r="2538" spans="5:14">
      <c r="E2538" s="86"/>
      <c r="F2538" s="87"/>
      <c r="G2538" s="88"/>
      <c r="H2538" s="89"/>
      <c r="I2538" s="90"/>
      <c r="K2538" s="91"/>
      <c r="L2538" s="88"/>
      <c r="M2538" s="92"/>
      <c r="N2538" s="86"/>
    </row>
    <row r="2539" spans="5:14">
      <c r="E2539" s="86"/>
      <c r="F2539" s="87"/>
      <c r="G2539" s="88"/>
      <c r="H2539" s="89"/>
      <c r="I2539" s="90"/>
      <c r="K2539" s="91"/>
      <c r="L2539" s="88"/>
      <c r="M2539" s="92"/>
      <c r="N2539" s="86"/>
    </row>
    <row r="2540" spans="5:14">
      <c r="E2540" s="86"/>
      <c r="F2540" s="87"/>
      <c r="G2540" s="88"/>
      <c r="H2540" s="89"/>
      <c r="I2540" s="90"/>
      <c r="K2540" s="91"/>
      <c r="L2540" s="88"/>
      <c r="M2540" s="92"/>
      <c r="N2540" s="86"/>
    </row>
    <row r="2541" spans="5:14">
      <c r="E2541" s="86"/>
      <c r="F2541" s="87"/>
      <c r="G2541" s="88"/>
      <c r="H2541" s="89"/>
      <c r="I2541" s="90"/>
      <c r="K2541" s="91"/>
      <c r="L2541" s="88"/>
      <c r="M2541" s="92"/>
      <c r="N2541" s="86"/>
    </row>
    <row r="2542" spans="5:14">
      <c r="E2542" s="86"/>
      <c r="F2542" s="87"/>
      <c r="G2542" s="88"/>
      <c r="H2542" s="89"/>
      <c r="I2542" s="90"/>
      <c r="K2542" s="91"/>
      <c r="L2542" s="88"/>
      <c r="M2542" s="92"/>
      <c r="N2542" s="86"/>
    </row>
    <row r="2543" spans="5:14">
      <c r="E2543" s="86"/>
      <c r="F2543" s="87"/>
      <c r="G2543" s="88"/>
      <c r="H2543" s="89"/>
      <c r="I2543" s="90"/>
      <c r="K2543" s="91"/>
      <c r="L2543" s="88"/>
      <c r="M2543" s="92"/>
      <c r="N2543" s="86"/>
    </row>
    <row r="2544" spans="5:14">
      <c r="E2544" s="86"/>
      <c r="F2544" s="87"/>
      <c r="G2544" s="88"/>
      <c r="H2544" s="89"/>
      <c r="I2544" s="90"/>
      <c r="K2544" s="91"/>
      <c r="L2544" s="88"/>
      <c r="M2544" s="92"/>
      <c r="N2544" s="86"/>
    </row>
    <row r="2545" spans="5:14">
      <c r="E2545" s="86"/>
      <c r="F2545" s="87"/>
      <c r="G2545" s="88"/>
      <c r="H2545" s="89"/>
      <c r="I2545" s="90"/>
      <c r="K2545" s="91"/>
      <c r="L2545" s="88"/>
      <c r="M2545" s="92"/>
      <c r="N2545" s="86"/>
    </row>
    <row r="2546" spans="5:14">
      <c r="E2546" s="86"/>
      <c r="F2546" s="87"/>
      <c r="G2546" s="88"/>
      <c r="H2546" s="89"/>
      <c r="I2546" s="90"/>
      <c r="K2546" s="91"/>
      <c r="L2546" s="88"/>
      <c r="M2546" s="92"/>
      <c r="N2546" s="86"/>
    </row>
    <row r="2547" spans="5:14">
      <c r="E2547" s="86"/>
      <c r="F2547" s="87"/>
      <c r="G2547" s="88"/>
      <c r="H2547" s="89"/>
      <c r="I2547" s="90"/>
      <c r="K2547" s="91"/>
      <c r="L2547" s="88"/>
      <c r="M2547" s="92"/>
      <c r="N2547" s="86"/>
    </row>
    <row r="2548" spans="5:14">
      <c r="E2548" s="86"/>
      <c r="F2548" s="87"/>
      <c r="G2548" s="88"/>
      <c r="H2548" s="89"/>
      <c r="I2548" s="90"/>
      <c r="K2548" s="91"/>
      <c r="L2548" s="88"/>
      <c r="M2548" s="92"/>
      <c r="N2548" s="86"/>
    </row>
    <row r="2549" spans="5:14">
      <c r="E2549" s="86"/>
      <c r="F2549" s="87"/>
      <c r="G2549" s="88"/>
      <c r="H2549" s="89"/>
      <c r="I2549" s="90"/>
      <c r="K2549" s="91"/>
      <c r="L2549" s="88"/>
      <c r="M2549" s="92"/>
      <c r="N2549" s="86"/>
    </row>
    <row r="2550" spans="5:14">
      <c r="E2550" s="86"/>
      <c r="F2550" s="87"/>
      <c r="G2550" s="88"/>
      <c r="H2550" s="89"/>
      <c r="I2550" s="90"/>
      <c r="K2550" s="91"/>
      <c r="L2550" s="88"/>
      <c r="M2550" s="92"/>
      <c r="N2550" s="86"/>
    </row>
    <row r="2551" spans="5:14">
      <c r="E2551" s="86"/>
      <c r="F2551" s="87"/>
      <c r="G2551" s="88"/>
      <c r="H2551" s="89"/>
      <c r="I2551" s="90"/>
      <c r="K2551" s="91"/>
      <c r="L2551" s="88"/>
      <c r="M2551" s="92"/>
      <c r="N2551" s="86"/>
    </row>
    <row r="2552" spans="5:14">
      <c r="E2552" s="86"/>
      <c r="F2552" s="87"/>
      <c r="G2552" s="88"/>
      <c r="H2552" s="89"/>
      <c r="I2552" s="90"/>
      <c r="K2552" s="91"/>
      <c r="L2552" s="88"/>
      <c r="M2552" s="92"/>
      <c r="N2552" s="86"/>
    </row>
    <row r="2553" spans="5:14">
      <c r="E2553" s="86"/>
      <c r="F2553" s="87"/>
      <c r="G2553" s="88"/>
      <c r="H2553" s="89"/>
      <c r="I2553" s="90"/>
      <c r="K2553" s="91"/>
      <c r="L2553" s="88"/>
      <c r="M2553" s="92"/>
      <c r="N2553" s="86"/>
    </row>
    <row r="2554" spans="5:14">
      <c r="E2554" s="86"/>
      <c r="F2554" s="87"/>
      <c r="G2554" s="88"/>
      <c r="H2554" s="89"/>
      <c r="I2554" s="90"/>
      <c r="K2554" s="91"/>
      <c r="L2554" s="88"/>
      <c r="M2554" s="92"/>
      <c r="N2554" s="86"/>
    </row>
    <row r="2555" spans="5:14">
      <c r="E2555" s="86"/>
      <c r="F2555" s="87"/>
      <c r="G2555" s="88"/>
      <c r="H2555" s="89"/>
      <c r="I2555" s="90"/>
      <c r="K2555" s="91"/>
      <c r="L2555" s="88"/>
      <c r="M2555" s="92"/>
      <c r="N2555" s="86"/>
    </row>
    <row r="2556" spans="5:14">
      <c r="E2556" s="86"/>
      <c r="F2556" s="87"/>
      <c r="G2556" s="88"/>
      <c r="H2556" s="89"/>
      <c r="I2556" s="90"/>
      <c r="K2556" s="91"/>
      <c r="L2556" s="88"/>
      <c r="M2556" s="92"/>
      <c r="N2556" s="86"/>
    </row>
    <row r="2557" spans="5:14">
      <c r="E2557" s="86"/>
      <c r="F2557" s="87"/>
      <c r="G2557" s="88"/>
      <c r="H2557" s="89"/>
      <c r="I2557" s="90"/>
      <c r="K2557" s="91"/>
      <c r="L2557" s="88"/>
      <c r="M2557" s="92"/>
      <c r="N2557" s="86"/>
    </row>
    <row r="2558" spans="5:14">
      <c r="E2558" s="86"/>
      <c r="F2558" s="87"/>
      <c r="G2558" s="88"/>
      <c r="H2558" s="89"/>
      <c r="I2558" s="90"/>
      <c r="K2558" s="91"/>
      <c r="L2558" s="88"/>
      <c r="M2558" s="92"/>
      <c r="N2558" s="86"/>
    </row>
    <row r="2559" spans="5:14">
      <c r="E2559" s="86"/>
      <c r="F2559" s="87"/>
      <c r="G2559" s="88"/>
      <c r="H2559" s="89"/>
      <c r="I2559" s="90"/>
      <c r="K2559" s="91"/>
      <c r="L2559" s="88"/>
      <c r="M2559" s="92"/>
      <c r="N2559" s="86"/>
    </row>
    <row r="2560" spans="5:14">
      <c r="E2560" s="86"/>
      <c r="F2560" s="87"/>
      <c r="G2560" s="88"/>
      <c r="H2560" s="89"/>
      <c r="I2560" s="90"/>
      <c r="K2560" s="91"/>
      <c r="L2560" s="88"/>
      <c r="M2560" s="92"/>
      <c r="N2560" s="86"/>
    </row>
    <row r="2561" spans="5:14">
      <c r="E2561" s="86"/>
      <c r="F2561" s="87"/>
      <c r="G2561" s="88"/>
      <c r="H2561" s="89"/>
      <c r="I2561" s="90"/>
      <c r="K2561" s="91"/>
      <c r="L2561" s="88"/>
      <c r="M2561" s="92"/>
      <c r="N2561" s="86"/>
    </row>
    <row r="2562" spans="5:14">
      <c r="E2562" s="86"/>
      <c r="F2562" s="87"/>
      <c r="G2562" s="88"/>
      <c r="H2562" s="89"/>
      <c r="I2562" s="90"/>
      <c r="K2562" s="91"/>
      <c r="L2562" s="88"/>
      <c r="M2562" s="92"/>
      <c r="N2562" s="86"/>
    </row>
    <row r="2563" spans="5:14">
      <c r="E2563" s="86"/>
      <c r="F2563" s="87"/>
      <c r="G2563" s="88"/>
      <c r="H2563" s="89"/>
      <c r="I2563" s="90"/>
      <c r="K2563" s="91"/>
      <c r="L2563" s="88"/>
      <c r="M2563" s="92"/>
      <c r="N2563" s="86"/>
    </row>
    <row r="2564" spans="5:14">
      <c r="E2564" s="86"/>
      <c r="F2564" s="87"/>
      <c r="G2564" s="88"/>
      <c r="H2564" s="89"/>
      <c r="I2564" s="90"/>
      <c r="K2564" s="91"/>
      <c r="L2564" s="88"/>
      <c r="M2564" s="92"/>
      <c r="N2564" s="86"/>
    </row>
    <row r="2565" spans="5:14">
      <c r="E2565" s="86"/>
      <c r="F2565" s="87"/>
      <c r="G2565" s="88"/>
      <c r="H2565" s="89"/>
      <c r="I2565" s="90"/>
      <c r="K2565" s="91"/>
      <c r="L2565" s="88"/>
      <c r="M2565" s="92"/>
      <c r="N2565" s="86"/>
    </row>
    <row r="2566" spans="5:14">
      <c r="E2566" s="86"/>
      <c r="F2566" s="87"/>
      <c r="G2566" s="88"/>
      <c r="H2566" s="89"/>
      <c r="I2566" s="90"/>
      <c r="K2566" s="91"/>
      <c r="L2566" s="88"/>
      <c r="M2566" s="92"/>
      <c r="N2566" s="86"/>
    </row>
    <row r="2567" spans="5:14">
      <c r="E2567" s="86"/>
      <c r="F2567" s="87"/>
      <c r="G2567" s="88"/>
      <c r="H2567" s="89"/>
      <c r="I2567" s="90"/>
      <c r="K2567" s="91"/>
      <c r="L2567" s="88"/>
      <c r="M2567" s="92"/>
      <c r="N2567" s="86"/>
    </row>
    <row r="2568" spans="5:14">
      <c r="E2568" s="86"/>
      <c r="F2568" s="87"/>
      <c r="G2568" s="88"/>
      <c r="H2568" s="89"/>
      <c r="I2568" s="90"/>
      <c r="K2568" s="91"/>
      <c r="L2568" s="88"/>
      <c r="M2568" s="92"/>
      <c r="N2568" s="86"/>
    </row>
    <row r="2569" spans="5:14">
      <c r="E2569" s="86"/>
      <c r="F2569" s="87"/>
      <c r="G2569" s="88"/>
      <c r="H2569" s="89"/>
      <c r="I2569" s="90"/>
      <c r="K2569" s="91"/>
      <c r="L2569" s="88"/>
      <c r="M2569" s="92"/>
      <c r="N2569" s="86"/>
    </row>
    <row r="2570" spans="5:14">
      <c r="E2570" s="86"/>
      <c r="F2570" s="87"/>
      <c r="G2570" s="88"/>
      <c r="H2570" s="89"/>
      <c r="I2570" s="90"/>
      <c r="K2570" s="91"/>
      <c r="L2570" s="88"/>
      <c r="M2570" s="92"/>
      <c r="N2570" s="86"/>
    </row>
    <row r="2571" spans="5:14">
      <c r="E2571" s="86"/>
      <c r="F2571" s="87"/>
      <c r="G2571" s="88"/>
      <c r="H2571" s="89"/>
      <c r="I2571" s="90"/>
      <c r="K2571" s="91"/>
      <c r="L2571" s="88"/>
      <c r="M2571" s="92"/>
      <c r="N2571" s="86"/>
    </row>
    <row r="2572" spans="5:14">
      <c r="E2572" s="86"/>
      <c r="F2572" s="87"/>
      <c r="G2572" s="88"/>
      <c r="H2572" s="89"/>
      <c r="I2572" s="90"/>
      <c r="K2572" s="91"/>
      <c r="L2572" s="88"/>
      <c r="M2572" s="92"/>
      <c r="N2572" s="86"/>
    </row>
    <row r="2573" spans="5:14">
      <c r="E2573" s="86"/>
      <c r="F2573" s="87"/>
      <c r="G2573" s="88"/>
      <c r="H2573" s="89"/>
      <c r="I2573" s="90"/>
      <c r="K2573" s="91"/>
      <c r="L2573" s="88"/>
      <c r="M2573" s="92"/>
      <c r="N2573" s="86"/>
    </row>
    <row r="2574" spans="5:14">
      <c r="E2574" s="86"/>
      <c r="F2574" s="87"/>
      <c r="G2574" s="88"/>
      <c r="H2574" s="89"/>
      <c r="I2574" s="90"/>
      <c r="K2574" s="91"/>
      <c r="L2574" s="88"/>
      <c r="M2574" s="92"/>
      <c r="N2574" s="86"/>
    </row>
    <row r="2575" spans="5:14">
      <c r="E2575" s="86"/>
      <c r="F2575" s="87"/>
      <c r="G2575" s="88"/>
      <c r="H2575" s="89"/>
      <c r="I2575" s="90"/>
      <c r="K2575" s="91"/>
      <c r="L2575" s="88"/>
      <c r="M2575" s="92"/>
      <c r="N2575" s="86"/>
    </row>
    <row r="2576" spans="5:14">
      <c r="E2576" s="86"/>
      <c r="F2576" s="87"/>
      <c r="G2576" s="88"/>
      <c r="H2576" s="89"/>
      <c r="I2576" s="90"/>
      <c r="K2576" s="91"/>
      <c r="L2576" s="88"/>
      <c r="M2576" s="92"/>
      <c r="N2576" s="86"/>
    </row>
    <row r="2577" spans="5:14">
      <c r="E2577" s="86"/>
      <c r="F2577" s="87"/>
      <c r="G2577" s="88"/>
      <c r="H2577" s="89"/>
      <c r="I2577" s="90"/>
      <c r="K2577" s="91"/>
      <c r="L2577" s="88"/>
      <c r="M2577" s="92"/>
      <c r="N2577" s="86"/>
    </row>
    <row r="2578" spans="5:14">
      <c r="E2578" s="86"/>
      <c r="F2578" s="87"/>
      <c r="G2578" s="88"/>
      <c r="H2578" s="89"/>
      <c r="I2578" s="90"/>
      <c r="K2578" s="91"/>
      <c r="L2578" s="88"/>
      <c r="M2578" s="92"/>
      <c r="N2578" s="86"/>
    </row>
    <row r="2579" spans="5:14">
      <c r="E2579" s="86"/>
      <c r="F2579" s="87"/>
      <c r="G2579" s="88"/>
      <c r="H2579" s="89"/>
      <c r="I2579" s="90"/>
      <c r="K2579" s="91"/>
      <c r="L2579" s="88"/>
      <c r="M2579" s="92"/>
      <c r="N2579" s="86"/>
    </row>
    <row r="2580" spans="5:14">
      <c r="E2580" s="86"/>
      <c r="F2580" s="87"/>
      <c r="G2580" s="88"/>
      <c r="H2580" s="89"/>
      <c r="I2580" s="90"/>
      <c r="K2580" s="91"/>
      <c r="L2580" s="88"/>
      <c r="M2580" s="92"/>
      <c r="N2580" s="86"/>
    </row>
    <row r="2581" spans="5:14">
      <c r="E2581" s="86"/>
      <c r="F2581" s="87"/>
      <c r="G2581" s="88"/>
      <c r="H2581" s="89"/>
      <c r="I2581" s="90"/>
      <c r="K2581" s="91"/>
      <c r="L2581" s="88"/>
      <c r="M2581" s="92"/>
      <c r="N2581" s="86"/>
    </row>
    <row r="2582" spans="5:14">
      <c r="E2582" s="86"/>
      <c r="F2582" s="87"/>
      <c r="G2582" s="88"/>
      <c r="H2582" s="89"/>
      <c r="I2582" s="90"/>
      <c r="K2582" s="91"/>
      <c r="L2582" s="88"/>
      <c r="M2582" s="92"/>
      <c r="N2582" s="86"/>
    </row>
    <row r="2583" spans="5:14">
      <c r="E2583" s="86"/>
      <c r="F2583" s="87"/>
      <c r="G2583" s="88"/>
      <c r="H2583" s="89"/>
      <c r="I2583" s="90"/>
      <c r="K2583" s="91"/>
      <c r="L2583" s="88"/>
      <c r="M2583" s="92"/>
      <c r="N2583" s="86"/>
    </row>
    <row r="2584" spans="5:14">
      <c r="E2584" s="86"/>
      <c r="F2584" s="87"/>
      <c r="G2584" s="88"/>
      <c r="H2584" s="89"/>
      <c r="I2584" s="90"/>
      <c r="K2584" s="91"/>
      <c r="L2584" s="88"/>
      <c r="M2584" s="92"/>
      <c r="N2584" s="86"/>
    </row>
    <row r="2585" spans="5:14">
      <c r="E2585" s="86"/>
      <c r="F2585" s="87"/>
      <c r="G2585" s="88"/>
      <c r="H2585" s="89"/>
      <c r="I2585" s="90"/>
      <c r="K2585" s="91"/>
      <c r="L2585" s="88"/>
      <c r="M2585" s="92"/>
      <c r="N2585" s="86"/>
    </row>
    <row r="2586" spans="5:14">
      <c r="E2586" s="86"/>
      <c r="F2586" s="87"/>
      <c r="G2586" s="88"/>
      <c r="H2586" s="89"/>
      <c r="I2586" s="90"/>
      <c r="K2586" s="91"/>
      <c r="L2586" s="88"/>
      <c r="M2586" s="92"/>
      <c r="N2586" s="86"/>
    </row>
    <row r="2587" spans="5:14">
      <c r="E2587" s="86"/>
      <c r="F2587" s="87"/>
      <c r="G2587" s="88"/>
      <c r="H2587" s="89"/>
      <c r="I2587" s="90"/>
      <c r="K2587" s="91"/>
      <c r="L2587" s="88"/>
      <c r="M2587" s="92"/>
      <c r="N2587" s="86"/>
    </row>
    <row r="2588" spans="5:14">
      <c r="E2588" s="86"/>
      <c r="F2588" s="87"/>
      <c r="G2588" s="88"/>
      <c r="H2588" s="89"/>
      <c r="I2588" s="90"/>
      <c r="K2588" s="91"/>
      <c r="L2588" s="88"/>
      <c r="M2588" s="92"/>
      <c r="N2588" s="86"/>
    </row>
    <row r="2589" spans="5:14">
      <c r="E2589" s="86"/>
      <c r="F2589" s="87"/>
      <c r="G2589" s="88"/>
      <c r="H2589" s="89"/>
      <c r="I2589" s="90"/>
      <c r="K2589" s="91"/>
      <c r="L2589" s="88"/>
      <c r="M2589" s="92"/>
      <c r="N2589" s="86"/>
    </row>
    <row r="2590" spans="5:14">
      <c r="E2590" s="86"/>
      <c r="F2590" s="87"/>
      <c r="G2590" s="88"/>
      <c r="H2590" s="89"/>
      <c r="I2590" s="90"/>
      <c r="K2590" s="91"/>
      <c r="L2590" s="88"/>
      <c r="M2590" s="92"/>
      <c r="N2590" s="86"/>
    </row>
    <row r="2591" spans="5:14">
      <c r="E2591" s="86"/>
      <c r="F2591" s="87"/>
      <c r="G2591" s="88"/>
      <c r="H2591" s="89"/>
      <c r="I2591" s="90"/>
      <c r="K2591" s="91"/>
      <c r="L2591" s="88"/>
      <c r="M2591" s="92"/>
      <c r="N2591" s="86"/>
    </row>
    <row r="2592" spans="5:14">
      <c r="E2592" s="86"/>
      <c r="F2592" s="87"/>
      <c r="G2592" s="88"/>
      <c r="H2592" s="89"/>
      <c r="I2592" s="90"/>
      <c r="K2592" s="91"/>
      <c r="L2592" s="88"/>
      <c r="M2592" s="92"/>
      <c r="N2592" s="86"/>
    </row>
    <row r="2593" spans="5:14">
      <c r="E2593" s="86"/>
      <c r="F2593" s="87"/>
      <c r="G2593" s="88"/>
      <c r="H2593" s="89"/>
      <c r="I2593" s="90"/>
      <c r="K2593" s="91"/>
      <c r="L2593" s="88"/>
      <c r="M2593" s="92"/>
      <c r="N2593" s="86"/>
    </row>
    <row r="2594" spans="5:14">
      <c r="E2594" s="86"/>
      <c r="F2594" s="87"/>
      <c r="G2594" s="88"/>
      <c r="H2594" s="89"/>
      <c r="I2594" s="90"/>
      <c r="K2594" s="91"/>
      <c r="L2594" s="88"/>
      <c r="M2594" s="92"/>
      <c r="N2594" s="86"/>
    </row>
    <row r="2595" spans="5:14">
      <c r="E2595" s="86"/>
      <c r="F2595" s="87"/>
      <c r="G2595" s="88"/>
      <c r="H2595" s="89"/>
      <c r="I2595" s="90"/>
      <c r="K2595" s="91"/>
      <c r="L2595" s="88"/>
      <c r="M2595" s="92"/>
      <c r="N2595" s="86"/>
    </row>
    <row r="2596" spans="5:14">
      <c r="E2596" s="86"/>
      <c r="F2596" s="87"/>
      <c r="G2596" s="88"/>
      <c r="H2596" s="89"/>
      <c r="I2596" s="90"/>
      <c r="K2596" s="91"/>
      <c r="L2596" s="88"/>
      <c r="M2596" s="92"/>
      <c r="N2596" s="86"/>
    </row>
    <row r="2597" spans="5:14">
      <c r="E2597" s="86"/>
      <c r="F2597" s="87"/>
      <c r="G2597" s="88"/>
      <c r="H2597" s="89"/>
      <c r="I2597" s="90"/>
      <c r="K2597" s="91"/>
      <c r="L2597" s="88"/>
      <c r="M2597" s="92"/>
      <c r="N2597" s="86"/>
    </row>
    <row r="2598" spans="5:14">
      <c r="E2598" s="86"/>
      <c r="F2598" s="87"/>
      <c r="G2598" s="88"/>
      <c r="H2598" s="89"/>
      <c r="I2598" s="90"/>
      <c r="K2598" s="91"/>
      <c r="L2598" s="88"/>
      <c r="M2598" s="92"/>
      <c r="N2598" s="86"/>
    </row>
    <row r="2599" spans="5:14">
      <c r="E2599" s="86"/>
      <c r="F2599" s="87"/>
      <c r="G2599" s="88"/>
      <c r="H2599" s="89"/>
      <c r="I2599" s="90"/>
      <c r="K2599" s="91"/>
      <c r="L2599" s="88"/>
      <c r="M2599" s="92"/>
      <c r="N2599" s="86"/>
    </row>
    <row r="2600" spans="5:14">
      <c r="E2600" s="86"/>
      <c r="F2600" s="87"/>
      <c r="G2600" s="88"/>
      <c r="H2600" s="89"/>
      <c r="I2600" s="90"/>
      <c r="K2600" s="91"/>
      <c r="L2600" s="88"/>
      <c r="M2600" s="92"/>
      <c r="N2600" s="86"/>
    </row>
    <row r="2601" spans="5:14">
      <c r="E2601" s="86"/>
      <c r="F2601" s="87"/>
      <c r="G2601" s="88"/>
      <c r="H2601" s="89"/>
      <c r="I2601" s="90"/>
      <c r="K2601" s="91"/>
      <c r="L2601" s="88"/>
      <c r="M2601" s="92"/>
      <c r="N2601" s="86"/>
    </row>
    <row r="2602" spans="5:14">
      <c r="E2602" s="86"/>
      <c r="F2602" s="87"/>
      <c r="G2602" s="88"/>
      <c r="H2602" s="89"/>
      <c r="I2602" s="90"/>
      <c r="K2602" s="91"/>
      <c r="L2602" s="88"/>
      <c r="M2602" s="92"/>
      <c r="N2602" s="86"/>
    </row>
    <row r="2603" spans="5:14">
      <c r="E2603" s="86"/>
      <c r="F2603" s="87"/>
      <c r="G2603" s="88"/>
      <c r="H2603" s="89"/>
      <c r="I2603" s="90"/>
      <c r="K2603" s="91"/>
      <c r="L2603" s="88"/>
      <c r="M2603" s="92"/>
      <c r="N2603" s="86"/>
    </row>
    <row r="2604" spans="5:14">
      <c r="E2604" s="86"/>
      <c r="F2604" s="87"/>
      <c r="G2604" s="88"/>
      <c r="H2604" s="89"/>
      <c r="I2604" s="90"/>
      <c r="K2604" s="91"/>
      <c r="L2604" s="88"/>
      <c r="M2604" s="92"/>
      <c r="N2604" s="86"/>
    </row>
    <row r="2605" spans="5:14">
      <c r="E2605" s="86"/>
      <c r="F2605" s="87"/>
      <c r="G2605" s="88"/>
      <c r="H2605" s="89"/>
      <c r="I2605" s="90"/>
      <c r="K2605" s="91"/>
      <c r="L2605" s="88"/>
      <c r="M2605" s="92"/>
      <c r="N2605" s="86"/>
    </row>
    <row r="2606" spans="5:14">
      <c r="E2606" s="86"/>
      <c r="F2606" s="87"/>
      <c r="G2606" s="88"/>
      <c r="H2606" s="89"/>
      <c r="I2606" s="90"/>
      <c r="K2606" s="91"/>
      <c r="L2606" s="88"/>
      <c r="M2606" s="92"/>
      <c r="N2606" s="86"/>
    </row>
    <row r="2607" spans="5:14">
      <c r="E2607" s="86"/>
      <c r="F2607" s="87"/>
      <c r="G2607" s="88"/>
      <c r="H2607" s="89"/>
      <c r="I2607" s="90"/>
      <c r="K2607" s="91"/>
      <c r="L2607" s="88"/>
      <c r="M2607" s="92"/>
      <c r="N2607" s="86"/>
    </row>
    <row r="2608" spans="5:14">
      <c r="E2608" s="86"/>
      <c r="F2608" s="87"/>
      <c r="G2608" s="88"/>
      <c r="H2608" s="89"/>
      <c r="I2608" s="90"/>
      <c r="K2608" s="91"/>
      <c r="L2608" s="88"/>
      <c r="M2608" s="92"/>
      <c r="N2608" s="86"/>
    </row>
    <row r="2609" spans="5:14">
      <c r="E2609" s="86"/>
      <c r="F2609" s="87"/>
      <c r="G2609" s="88"/>
      <c r="H2609" s="89"/>
      <c r="I2609" s="90"/>
      <c r="K2609" s="91"/>
      <c r="L2609" s="88"/>
      <c r="M2609" s="92"/>
      <c r="N2609" s="86"/>
    </row>
    <row r="2610" spans="5:14">
      <c r="E2610" s="86"/>
      <c r="F2610" s="87"/>
      <c r="G2610" s="88"/>
      <c r="H2610" s="89"/>
      <c r="I2610" s="90"/>
      <c r="K2610" s="91"/>
      <c r="L2610" s="88"/>
      <c r="M2610" s="92"/>
      <c r="N2610" s="86"/>
    </row>
    <row r="2611" spans="5:14">
      <c r="E2611" s="86"/>
      <c r="F2611" s="87"/>
      <c r="G2611" s="88"/>
      <c r="H2611" s="89"/>
      <c r="I2611" s="90"/>
      <c r="K2611" s="91"/>
      <c r="L2611" s="88"/>
      <c r="M2611" s="92"/>
      <c r="N2611" s="86"/>
    </row>
    <row r="2612" spans="5:14">
      <c r="E2612" s="86"/>
      <c r="F2612" s="87"/>
      <c r="G2612" s="88"/>
      <c r="H2612" s="89"/>
      <c r="I2612" s="90"/>
      <c r="K2612" s="91"/>
      <c r="L2612" s="88"/>
      <c r="M2612" s="92"/>
      <c r="N2612" s="86"/>
    </row>
    <row r="2613" spans="5:14">
      <c r="E2613" s="86"/>
      <c r="F2613" s="87"/>
      <c r="G2613" s="88"/>
      <c r="H2613" s="89"/>
      <c r="I2613" s="90"/>
      <c r="K2613" s="91"/>
      <c r="L2613" s="88"/>
      <c r="M2613" s="92"/>
      <c r="N2613" s="86"/>
    </row>
    <row r="2614" spans="5:14">
      <c r="E2614" s="86"/>
      <c r="F2614" s="87"/>
      <c r="G2614" s="88"/>
      <c r="H2614" s="89"/>
      <c r="I2614" s="90"/>
      <c r="K2614" s="91"/>
      <c r="L2614" s="88"/>
      <c r="M2614" s="92"/>
      <c r="N2614" s="86"/>
    </row>
    <row r="2615" spans="5:14">
      <c r="E2615" s="86"/>
      <c r="F2615" s="87"/>
      <c r="G2615" s="88"/>
      <c r="H2615" s="89"/>
      <c r="I2615" s="90"/>
      <c r="K2615" s="91"/>
      <c r="L2615" s="88"/>
      <c r="M2615" s="92"/>
      <c r="N2615" s="86"/>
    </row>
    <row r="2616" spans="5:14">
      <c r="E2616" s="86"/>
      <c r="F2616" s="87"/>
      <c r="G2616" s="88"/>
      <c r="H2616" s="89"/>
      <c r="I2616" s="90"/>
      <c r="K2616" s="91"/>
      <c r="L2616" s="88"/>
      <c r="M2616" s="92"/>
      <c r="N2616" s="86"/>
    </row>
    <row r="2617" spans="5:14">
      <c r="E2617" s="86"/>
      <c r="F2617" s="87"/>
      <c r="G2617" s="88"/>
      <c r="H2617" s="89"/>
      <c r="I2617" s="90"/>
      <c r="K2617" s="91"/>
      <c r="L2617" s="88"/>
      <c r="M2617" s="92"/>
      <c r="N2617" s="86"/>
    </row>
    <row r="2618" spans="5:14">
      <c r="E2618" s="86"/>
      <c r="F2618" s="87"/>
      <c r="G2618" s="88"/>
      <c r="H2618" s="89"/>
      <c r="I2618" s="90"/>
      <c r="K2618" s="91"/>
      <c r="L2618" s="88"/>
      <c r="M2618" s="92"/>
      <c r="N2618" s="86"/>
    </row>
    <row r="2619" spans="5:14">
      <c r="E2619" s="86"/>
      <c r="F2619" s="87"/>
      <c r="G2619" s="88"/>
      <c r="H2619" s="89"/>
      <c r="I2619" s="90"/>
      <c r="K2619" s="91"/>
      <c r="L2619" s="88"/>
      <c r="M2619" s="92"/>
      <c r="N2619" s="86"/>
    </row>
    <row r="2620" spans="5:14">
      <c r="E2620" s="86"/>
      <c r="F2620" s="87"/>
      <c r="G2620" s="88"/>
      <c r="H2620" s="89"/>
      <c r="I2620" s="90"/>
      <c r="K2620" s="91"/>
      <c r="L2620" s="88"/>
      <c r="M2620" s="92"/>
      <c r="N2620" s="86"/>
    </row>
    <row r="2621" spans="5:14">
      <c r="E2621" s="86"/>
      <c r="F2621" s="87"/>
      <c r="G2621" s="88"/>
      <c r="H2621" s="89"/>
      <c r="I2621" s="90"/>
      <c r="K2621" s="91"/>
      <c r="L2621" s="88"/>
      <c r="M2621" s="92"/>
      <c r="N2621" s="86"/>
    </row>
    <row r="2622" spans="5:14">
      <c r="E2622" s="86"/>
      <c r="F2622" s="87"/>
      <c r="G2622" s="88"/>
      <c r="H2622" s="89"/>
      <c r="I2622" s="90"/>
      <c r="K2622" s="91"/>
      <c r="L2622" s="88"/>
      <c r="M2622" s="92"/>
      <c r="N2622" s="86"/>
    </row>
    <row r="2623" spans="5:14">
      <c r="E2623" s="86"/>
      <c r="F2623" s="87"/>
      <c r="G2623" s="88"/>
      <c r="H2623" s="89"/>
      <c r="I2623" s="90"/>
      <c r="K2623" s="91"/>
      <c r="L2623" s="88"/>
      <c r="M2623" s="92"/>
      <c r="N2623" s="86"/>
    </row>
    <row r="2624" spans="5:14">
      <c r="E2624" s="86"/>
      <c r="F2624" s="87"/>
      <c r="G2624" s="88"/>
      <c r="H2624" s="89"/>
      <c r="I2624" s="90"/>
      <c r="K2624" s="91"/>
      <c r="L2624" s="88"/>
      <c r="M2624" s="92"/>
      <c r="N2624" s="86"/>
    </row>
    <row r="2625" spans="5:14">
      <c r="E2625" s="86"/>
      <c r="F2625" s="87"/>
      <c r="G2625" s="88"/>
      <c r="H2625" s="89"/>
      <c r="I2625" s="90"/>
      <c r="K2625" s="91"/>
      <c r="L2625" s="88"/>
      <c r="M2625" s="92"/>
      <c r="N2625" s="86"/>
    </row>
    <row r="2626" spans="5:14">
      <c r="E2626" s="86"/>
      <c r="F2626" s="87"/>
      <c r="G2626" s="88"/>
      <c r="H2626" s="89"/>
      <c r="I2626" s="90"/>
      <c r="K2626" s="91"/>
      <c r="L2626" s="88"/>
      <c r="M2626" s="92"/>
      <c r="N2626" s="86"/>
    </row>
    <row r="2627" spans="5:14">
      <c r="E2627" s="86"/>
      <c r="F2627" s="87"/>
      <c r="G2627" s="88"/>
      <c r="H2627" s="89"/>
      <c r="I2627" s="90"/>
      <c r="K2627" s="91"/>
      <c r="L2627" s="88"/>
      <c r="M2627" s="92"/>
      <c r="N2627" s="86"/>
    </row>
    <row r="2628" spans="5:14">
      <c r="E2628" s="86"/>
      <c r="F2628" s="87"/>
      <c r="G2628" s="88"/>
      <c r="H2628" s="89"/>
      <c r="I2628" s="90"/>
      <c r="K2628" s="91"/>
      <c r="L2628" s="88"/>
      <c r="M2628" s="92"/>
      <c r="N2628" s="86"/>
    </row>
    <row r="2629" spans="5:14">
      <c r="E2629" s="86"/>
      <c r="F2629" s="87"/>
      <c r="G2629" s="88"/>
      <c r="H2629" s="89"/>
      <c r="I2629" s="90"/>
      <c r="K2629" s="91"/>
      <c r="L2629" s="88"/>
      <c r="M2629" s="92"/>
      <c r="N2629" s="86"/>
    </row>
    <row r="2630" spans="5:14">
      <c r="E2630" s="86"/>
      <c r="F2630" s="87"/>
      <c r="G2630" s="88"/>
      <c r="H2630" s="89"/>
      <c r="I2630" s="90"/>
      <c r="K2630" s="91"/>
      <c r="L2630" s="88"/>
      <c r="M2630" s="92"/>
      <c r="N2630" s="86"/>
    </row>
    <row r="2631" spans="5:14">
      <c r="E2631" s="86"/>
      <c r="F2631" s="87"/>
      <c r="G2631" s="88"/>
      <c r="H2631" s="89"/>
      <c r="I2631" s="90"/>
      <c r="K2631" s="91"/>
      <c r="L2631" s="88"/>
      <c r="M2631" s="92"/>
      <c r="N2631" s="86"/>
    </row>
    <row r="2632" spans="5:14">
      <c r="E2632" s="86"/>
      <c r="F2632" s="87"/>
      <c r="G2632" s="88"/>
      <c r="H2632" s="89"/>
      <c r="I2632" s="90"/>
      <c r="K2632" s="91"/>
      <c r="L2632" s="88"/>
      <c r="M2632" s="92"/>
      <c r="N2632" s="86"/>
    </row>
    <row r="2633" spans="5:14">
      <c r="E2633" s="86"/>
      <c r="F2633" s="87"/>
      <c r="G2633" s="88"/>
      <c r="H2633" s="89"/>
      <c r="I2633" s="90"/>
      <c r="K2633" s="91"/>
      <c r="L2633" s="88"/>
      <c r="M2633" s="92"/>
      <c r="N2633" s="86"/>
    </row>
    <row r="2634" spans="5:14">
      <c r="E2634" s="86"/>
      <c r="F2634" s="87"/>
      <c r="G2634" s="88"/>
      <c r="H2634" s="89"/>
      <c r="I2634" s="90"/>
      <c r="K2634" s="91"/>
      <c r="L2634" s="88"/>
      <c r="M2634" s="92"/>
      <c r="N2634" s="86"/>
    </row>
    <row r="2635" spans="5:14">
      <c r="E2635" s="86"/>
      <c r="F2635" s="87"/>
      <c r="G2635" s="88"/>
      <c r="H2635" s="89"/>
      <c r="I2635" s="90"/>
      <c r="K2635" s="91"/>
      <c r="L2635" s="88"/>
      <c r="M2635" s="92"/>
      <c r="N2635" s="86"/>
    </row>
    <row r="2636" spans="5:14">
      <c r="E2636" s="86"/>
      <c r="F2636" s="87"/>
      <c r="G2636" s="88"/>
      <c r="H2636" s="89"/>
      <c r="I2636" s="90"/>
      <c r="K2636" s="91"/>
      <c r="L2636" s="88"/>
      <c r="M2636" s="92"/>
      <c r="N2636" s="86"/>
    </row>
    <row r="2637" spans="5:14">
      <c r="E2637" s="86"/>
      <c r="F2637" s="87"/>
      <c r="G2637" s="88"/>
      <c r="H2637" s="89"/>
      <c r="I2637" s="90"/>
      <c r="K2637" s="91"/>
      <c r="L2637" s="88"/>
      <c r="M2637" s="92"/>
      <c r="N2637" s="86"/>
    </row>
    <row r="2638" spans="5:14">
      <c r="E2638" s="86"/>
      <c r="F2638" s="87"/>
      <c r="G2638" s="88"/>
      <c r="H2638" s="89"/>
      <c r="I2638" s="90"/>
      <c r="K2638" s="91"/>
      <c r="L2638" s="88"/>
      <c r="M2638" s="92"/>
      <c r="N2638" s="86"/>
    </row>
    <row r="2639" spans="5:14">
      <c r="E2639" s="86"/>
      <c r="F2639" s="87"/>
      <c r="G2639" s="88"/>
      <c r="H2639" s="89"/>
      <c r="I2639" s="90"/>
      <c r="K2639" s="91"/>
      <c r="L2639" s="88"/>
      <c r="M2639" s="92"/>
      <c r="N2639" s="86"/>
    </row>
    <row r="2640" spans="5:14">
      <c r="E2640" s="86"/>
      <c r="F2640" s="87"/>
      <c r="G2640" s="88"/>
      <c r="H2640" s="89"/>
      <c r="I2640" s="90"/>
      <c r="K2640" s="91"/>
      <c r="L2640" s="88"/>
      <c r="M2640" s="92"/>
      <c r="N2640" s="86"/>
    </row>
    <row r="2641" spans="5:14">
      <c r="E2641" s="86"/>
      <c r="F2641" s="87"/>
      <c r="G2641" s="88"/>
      <c r="H2641" s="89"/>
      <c r="I2641" s="90"/>
      <c r="K2641" s="91"/>
      <c r="L2641" s="88"/>
      <c r="M2641" s="92"/>
      <c r="N2641" s="86"/>
    </row>
    <row r="2642" spans="5:14">
      <c r="E2642" s="86"/>
      <c r="F2642" s="87"/>
      <c r="G2642" s="88"/>
      <c r="H2642" s="89"/>
      <c r="I2642" s="90"/>
      <c r="K2642" s="91"/>
      <c r="L2642" s="88"/>
      <c r="M2642" s="92"/>
      <c r="N2642" s="86"/>
    </row>
    <row r="2643" spans="5:14">
      <c r="E2643" s="86"/>
      <c r="F2643" s="87"/>
      <c r="G2643" s="88"/>
      <c r="H2643" s="89"/>
      <c r="I2643" s="90"/>
      <c r="K2643" s="91"/>
      <c r="L2643" s="88"/>
      <c r="M2643" s="92"/>
      <c r="N2643" s="86"/>
    </row>
    <row r="2644" spans="5:14">
      <c r="E2644" s="86"/>
      <c r="F2644" s="87"/>
      <c r="G2644" s="88"/>
      <c r="H2644" s="89"/>
      <c r="I2644" s="90"/>
      <c r="K2644" s="91"/>
      <c r="L2644" s="88"/>
      <c r="M2644" s="92"/>
      <c r="N2644" s="86"/>
    </row>
    <row r="2645" spans="5:14">
      <c r="E2645" s="86"/>
      <c r="F2645" s="87"/>
      <c r="G2645" s="88"/>
      <c r="H2645" s="89"/>
      <c r="I2645" s="90"/>
      <c r="K2645" s="91"/>
      <c r="L2645" s="88"/>
      <c r="M2645" s="92"/>
      <c r="N2645" s="86"/>
    </row>
    <row r="2646" spans="5:14">
      <c r="E2646" s="86"/>
      <c r="F2646" s="87"/>
      <c r="G2646" s="88"/>
      <c r="H2646" s="89"/>
      <c r="I2646" s="90"/>
      <c r="K2646" s="91"/>
      <c r="L2646" s="88"/>
      <c r="M2646" s="92"/>
      <c r="N2646" s="86"/>
    </row>
    <row r="2647" spans="5:14">
      <c r="E2647" s="86"/>
      <c r="F2647" s="87"/>
      <c r="G2647" s="88"/>
      <c r="H2647" s="89"/>
      <c r="I2647" s="90"/>
      <c r="K2647" s="91"/>
      <c r="L2647" s="88"/>
      <c r="M2647" s="92"/>
      <c r="N2647" s="86"/>
    </row>
    <row r="2648" spans="5:14">
      <c r="E2648" s="86"/>
      <c r="F2648" s="87"/>
      <c r="G2648" s="88"/>
      <c r="H2648" s="89"/>
      <c r="I2648" s="90"/>
      <c r="K2648" s="91"/>
      <c r="L2648" s="88"/>
      <c r="M2648" s="92"/>
      <c r="N2648" s="86"/>
    </row>
    <row r="2649" spans="5:14">
      <c r="E2649" s="86"/>
      <c r="F2649" s="87"/>
      <c r="G2649" s="88"/>
      <c r="H2649" s="89"/>
      <c r="I2649" s="90"/>
      <c r="K2649" s="91"/>
      <c r="L2649" s="88"/>
      <c r="M2649" s="92"/>
      <c r="N2649" s="86"/>
    </row>
    <row r="2650" spans="5:14">
      <c r="E2650" s="86"/>
      <c r="F2650" s="87"/>
      <c r="G2650" s="88"/>
      <c r="H2650" s="89"/>
      <c r="I2650" s="90"/>
      <c r="K2650" s="91"/>
      <c r="L2650" s="88"/>
      <c r="M2650" s="92"/>
      <c r="N2650" s="86"/>
    </row>
    <row r="2651" spans="5:14">
      <c r="E2651" s="86"/>
      <c r="F2651" s="87"/>
      <c r="G2651" s="88"/>
      <c r="H2651" s="89"/>
      <c r="I2651" s="90"/>
      <c r="K2651" s="91"/>
      <c r="L2651" s="88"/>
      <c r="M2651" s="92"/>
      <c r="N2651" s="86"/>
    </row>
    <row r="2652" spans="5:14">
      <c r="E2652" s="86"/>
      <c r="F2652" s="87"/>
      <c r="G2652" s="88"/>
      <c r="H2652" s="89"/>
      <c r="I2652" s="90"/>
      <c r="K2652" s="91"/>
      <c r="L2652" s="88"/>
      <c r="M2652" s="92"/>
      <c r="N2652" s="86"/>
    </row>
    <row r="2653" spans="5:14">
      <c r="E2653" s="86"/>
      <c r="F2653" s="87"/>
      <c r="G2653" s="88"/>
      <c r="H2653" s="89"/>
      <c r="I2653" s="90"/>
      <c r="K2653" s="91"/>
      <c r="L2653" s="88"/>
      <c r="M2653" s="92"/>
      <c r="N2653" s="86"/>
    </row>
    <row r="2654" spans="5:14">
      <c r="E2654" s="86"/>
      <c r="F2654" s="87"/>
      <c r="G2654" s="88"/>
      <c r="H2654" s="89"/>
      <c r="I2654" s="90"/>
      <c r="K2654" s="91"/>
      <c r="L2654" s="88"/>
      <c r="M2654" s="92"/>
      <c r="N2654" s="86"/>
    </row>
    <row r="2655" spans="5:14">
      <c r="E2655" s="86"/>
      <c r="F2655" s="87"/>
      <c r="G2655" s="88"/>
      <c r="H2655" s="89"/>
      <c r="I2655" s="90"/>
      <c r="K2655" s="91"/>
      <c r="L2655" s="88"/>
      <c r="M2655" s="92"/>
      <c r="N2655" s="86"/>
    </row>
    <row r="2656" spans="5:14">
      <c r="E2656" s="86"/>
      <c r="F2656" s="87"/>
      <c r="G2656" s="88"/>
      <c r="H2656" s="89"/>
      <c r="I2656" s="90"/>
      <c r="K2656" s="91"/>
      <c r="L2656" s="88"/>
      <c r="M2656" s="92"/>
      <c r="N2656" s="86"/>
    </row>
    <row r="2657" spans="5:14">
      <c r="E2657" s="86"/>
      <c r="F2657" s="87"/>
      <c r="G2657" s="88"/>
      <c r="H2657" s="89"/>
      <c r="I2657" s="90"/>
      <c r="K2657" s="91"/>
      <c r="L2657" s="88"/>
      <c r="M2657" s="92"/>
      <c r="N2657" s="86"/>
    </row>
    <row r="2658" spans="5:14">
      <c r="E2658" s="86"/>
      <c r="F2658" s="87"/>
      <c r="G2658" s="88"/>
      <c r="H2658" s="89"/>
      <c r="I2658" s="90"/>
      <c r="K2658" s="91"/>
      <c r="L2658" s="88"/>
      <c r="M2658" s="92"/>
      <c r="N2658" s="86"/>
    </row>
    <row r="2659" spans="5:14">
      <c r="E2659" s="86"/>
      <c r="F2659" s="87"/>
      <c r="G2659" s="88"/>
      <c r="H2659" s="89"/>
      <c r="I2659" s="90"/>
      <c r="K2659" s="91"/>
      <c r="L2659" s="88"/>
      <c r="M2659" s="92"/>
      <c r="N2659" s="86"/>
    </row>
    <row r="2660" spans="5:14">
      <c r="E2660" s="86"/>
      <c r="F2660" s="87"/>
      <c r="G2660" s="88"/>
      <c r="H2660" s="89"/>
      <c r="I2660" s="90"/>
      <c r="K2660" s="91"/>
      <c r="L2660" s="88"/>
      <c r="M2660" s="92"/>
      <c r="N2660" s="86"/>
    </row>
    <row r="2661" spans="5:14">
      <c r="E2661" s="86"/>
      <c r="F2661" s="87"/>
      <c r="G2661" s="88"/>
      <c r="H2661" s="89"/>
      <c r="I2661" s="90"/>
      <c r="K2661" s="91"/>
      <c r="L2661" s="88"/>
      <c r="M2661" s="92"/>
      <c r="N2661" s="86"/>
    </row>
    <row r="2662" spans="5:14">
      <c r="E2662" s="86"/>
      <c r="F2662" s="87"/>
      <c r="G2662" s="88"/>
      <c r="H2662" s="89"/>
      <c r="I2662" s="90"/>
      <c r="K2662" s="91"/>
      <c r="L2662" s="88"/>
      <c r="M2662" s="92"/>
      <c r="N2662" s="86"/>
    </row>
    <row r="2663" spans="5:14">
      <c r="E2663" s="86"/>
      <c r="F2663" s="87"/>
      <c r="G2663" s="88"/>
      <c r="H2663" s="89"/>
      <c r="I2663" s="90"/>
      <c r="K2663" s="91"/>
      <c r="L2663" s="88"/>
      <c r="M2663" s="92"/>
      <c r="N2663" s="86"/>
    </row>
    <row r="2664" spans="5:14">
      <c r="E2664" s="86"/>
      <c r="F2664" s="87"/>
      <c r="G2664" s="88"/>
      <c r="H2664" s="89"/>
      <c r="I2664" s="90"/>
      <c r="K2664" s="91"/>
      <c r="L2664" s="88"/>
      <c r="M2664" s="92"/>
      <c r="N2664" s="86"/>
    </row>
    <row r="2665" spans="5:14">
      <c r="E2665" s="86"/>
      <c r="F2665" s="87"/>
      <c r="G2665" s="88"/>
      <c r="H2665" s="89"/>
      <c r="I2665" s="90"/>
      <c r="K2665" s="91"/>
      <c r="L2665" s="88"/>
      <c r="M2665" s="92"/>
      <c r="N2665" s="86"/>
    </row>
    <row r="2666" spans="5:14">
      <c r="E2666" s="86"/>
      <c r="F2666" s="87"/>
      <c r="G2666" s="88"/>
      <c r="H2666" s="89"/>
      <c r="I2666" s="90"/>
      <c r="K2666" s="91"/>
      <c r="L2666" s="88"/>
      <c r="M2666" s="92"/>
      <c r="N2666" s="86"/>
    </row>
    <row r="2667" spans="5:14">
      <c r="E2667" s="86"/>
      <c r="F2667" s="87"/>
      <c r="G2667" s="88"/>
      <c r="H2667" s="89"/>
      <c r="I2667" s="90"/>
      <c r="K2667" s="91"/>
      <c r="L2667" s="88"/>
      <c r="M2667" s="92"/>
      <c r="N2667" s="86"/>
    </row>
    <row r="2668" spans="5:14">
      <c r="E2668" s="86"/>
      <c r="F2668" s="87"/>
      <c r="G2668" s="88"/>
      <c r="H2668" s="89"/>
      <c r="I2668" s="90"/>
      <c r="K2668" s="91"/>
      <c r="L2668" s="88"/>
      <c r="M2668" s="92"/>
      <c r="N2668" s="86"/>
    </row>
    <row r="2669" spans="5:14">
      <c r="E2669" s="86"/>
      <c r="F2669" s="87"/>
      <c r="G2669" s="88"/>
      <c r="H2669" s="89"/>
      <c r="I2669" s="90"/>
      <c r="K2669" s="91"/>
      <c r="L2669" s="88"/>
      <c r="M2669" s="92"/>
      <c r="N2669" s="86"/>
    </row>
    <row r="2670" spans="5:14">
      <c r="E2670" s="86"/>
      <c r="F2670" s="87"/>
      <c r="G2670" s="88"/>
      <c r="H2670" s="89"/>
      <c r="I2670" s="90"/>
      <c r="K2670" s="91"/>
      <c r="L2670" s="88"/>
      <c r="M2670" s="92"/>
      <c r="N2670" s="86"/>
    </row>
    <row r="2671" spans="5:14">
      <c r="E2671" s="86"/>
      <c r="F2671" s="87"/>
      <c r="G2671" s="88"/>
      <c r="H2671" s="89"/>
      <c r="I2671" s="90"/>
      <c r="K2671" s="91"/>
      <c r="L2671" s="88"/>
      <c r="M2671" s="92"/>
      <c r="N2671" s="86"/>
    </row>
    <row r="2672" spans="5:14">
      <c r="E2672" s="86"/>
      <c r="F2672" s="87"/>
      <c r="G2672" s="88"/>
      <c r="H2672" s="89"/>
      <c r="I2672" s="90"/>
      <c r="K2672" s="91"/>
      <c r="L2672" s="88"/>
      <c r="M2672" s="92"/>
      <c r="N2672" s="86"/>
    </row>
    <row r="2673" spans="5:14">
      <c r="E2673" s="86"/>
      <c r="F2673" s="87"/>
      <c r="G2673" s="88"/>
      <c r="H2673" s="89"/>
      <c r="I2673" s="90"/>
      <c r="K2673" s="91"/>
      <c r="L2673" s="88"/>
      <c r="M2673" s="92"/>
      <c r="N2673" s="86"/>
    </row>
    <row r="2674" spans="5:14">
      <c r="E2674" s="86"/>
      <c r="F2674" s="87"/>
      <c r="G2674" s="88"/>
      <c r="H2674" s="89"/>
      <c r="I2674" s="90"/>
      <c r="K2674" s="91"/>
      <c r="L2674" s="88"/>
      <c r="M2674" s="92"/>
      <c r="N2674" s="86"/>
    </row>
    <row r="2675" spans="5:14">
      <c r="E2675" s="86"/>
      <c r="F2675" s="87"/>
      <c r="G2675" s="88"/>
      <c r="H2675" s="89"/>
      <c r="I2675" s="90"/>
      <c r="K2675" s="91"/>
      <c r="L2675" s="88"/>
      <c r="M2675" s="92"/>
      <c r="N2675" s="86"/>
    </row>
    <row r="2676" spans="5:14">
      <c r="E2676" s="86"/>
      <c r="F2676" s="87"/>
      <c r="G2676" s="88"/>
      <c r="H2676" s="89"/>
      <c r="I2676" s="90"/>
      <c r="K2676" s="91"/>
      <c r="L2676" s="88"/>
      <c r="M2676" s="92"/>
      <c r="N2676" s="86"/>
    </row>
    <row r="2677" spans="5:14">
      <c r="E2677" s="86"/>
      <c r="F2677" s="87"/>
      <c r="G2677" s="88"/>
      <c r="H2677" s="89"/>
      <c r="I2677" s="90"/>
      <c r="K2677" s="91"/>
      <c r="L2677" s="88"/>
      <c r="M2677" s="92"/>
      <c r="N2677" s="86"/>
    </row>
    <row r="2678" spans="5:14">
      <c r="E2678" s="86"/>
      <c r="F2678" s="87"/>
      <c r="G2678" s="88"/>
      <c r="H2678" s="89"/>
      <c r="I2678" s="90"/>
      <c r="K2678" s="91"/>
      <c r="L2678" s="88"/>
      <c r="M2678" s="92"/>
      <c r="N2678" s="86"/>
    </row>
    <row r="2679" spans="5:14">
      <c r="E2679" s="86"/>
      <c r="F2679" s="87"/>
      <c r="G2679" s="88"/>
      <c r="H2679" s="89"/>
      <c r="I2679" s="90"/>
      <c r="K2679" s="91"/>
      <c r="L2679" s="88"/>
      <c r="M2679" s="92"/>
      <c r="N2679" s="86"/>
    </row>
    <row r="2680" spans="5:14">
      <c r="E2680" s="86"/>
      <c r="F2680" s="87"/>
      <c r="G2680" s="88"/>
      <c r="H2680" s="89"/>
      <c r="I2680" s="90"/>
      <c r="K2680" s="91"/>
      <c r="L2680" s="88"/>
      <c r="M2680" s="92"/>
      <c r="N2680" s="86"/>
    </row>
    <row r="2681" spans="5:14">
      <c r="E2681" s="86"/>
      <c r="F2681" s="87"/>
      <c r="G2681" s="88"/>
      <c r="H2681" s="89"/>
      <c r="I2681" s="90"/>
      <c r="K2681" s="91"/>
      <c r="L2681" s="88"/>
      <c r="M2681" s="92"/>
      <c r="N2681" s="86"/>
    </row>
    <row r="2682" spans="5:14">
      <c r="E2682" s="86"/>
      <c r="F2682" s="87"/>
      <c r="G2682" s="88"/>
      <c r="H2682" s="89"/>
      <c r="I2682" s="90"/>
      <c r="K2682" s="91"/>
      <c r="L2682" s="88"/>
      <c r="M2682" s="92"/>
      <c r="N2682" s="86"/>
    </row>
    <row r="2683" spans="5:14">
      <c r="E2683" s="86"/>
      <c r="F2683" s="87"/>
      <c r="G2683" s="88"/>
      <c r="H2683" s="89"/>
      <c r="I2683" s="90"/>
      <c r="K2683" s="91"/>
      <c r="L2683" s="88"/>
      <c r="M2683" s="92"/>
      <c r="N2683" s="86"/>
    </row>
    <row r="2684" spans="5:14">
      <c r="E2684" s="86"/>
      <c r="F2684" s="87"/>
      <c r="G2684" s="88"/>
      <c r="H2684" s="89"/>
      <c r="I2684" s="90"/>
      <c r="K2684" s="91"/>
      <c r="L2684" s="88"/>
      <c r="M2684" s="92"/>
      <c r="N2684" s="86"/>
    </row>
    <row r="2685" spans="5:14">
      <c r="E2685" s="86"/>
      <c r="F2685" s="87"/>
      <c r="G2685" s="88"/>
      <c r="H2685" s="89"/>
      <c r="I2685" s="90"/>
      <c r="K2685" s="91"/>
      <c r="L2685" s="88"/>
      <c r="M2685" s="92"/>
      <c r="N2685" s="86"/>
    </row>
    <row r="2686" spans="5:14">
      <c r="E2686" s="86"/>
      <c r="F2686" s="87"/>
      <c r="G2686" s="88"/>
      <c r="H2686" s="89"/>
      <c r="I2686" s="90"/>
      <c r="K2686" s="91"/>
      <c r="L2686" s="88"/>
      <c r="M2686" s="92"/>
      <c r="N2686" s="86"/>
    </row>
    <row r="2687" spans="5:14">
      <c r="E2687" s="86"/>
      <c r="F2687" s="87"/>
      <c r="G2687" s="88"/>
      <c r="H2687" s="89"/>
      <c r="I2687" s="90"/>
      <c r="K2687" s="91"/>
      <c r="L2687" s="88"/>
      <c r="M2687" s="92"/>
      <c r="N2687" s="86"/>
    </row>
    <row r="2688" spans="5:14">
      <c r="E2688" s="86"/>
      <c r="F2688" s="87"/>
      <c r="G2688" s="88"/>
      <c r="H2688" s="89"/>
      <c r="I2688" s="90"/>
      <c r="K2688" s="91"/>
      <c r="L2688" s="88"/>
      <c r="M2688" s="92"/>
      <c r="N2688" s="86"/>
    </row>
    <row r="2689" spans="5:14">
      <c r="E2689" s="86"/>
      <c r="F2689" s="87"/>
      <c r="G2689" s="88"/>
      <c r="H2689" s="89"/>
      <c r="I2689" s="90"/>
      <c r="K2689" s="91"/>
      <c r="L2689" s="88"/>
      <c r="M2689" s="92"/>
      <c r="N2689" s="86"/>
    </row>
    <row r="2690" spans="5:14">
      <c r="E2690" s="86"/>
      <c r="F2690" s="87"/>
      <c r="G2690" s="88"/>
      <c r="H2690" s="89"/>
      <c r="I2690" s="90"/>
      <c r="K2690" s="91"/>
      <c r="L2690" s="88"/>
      <c r="M2690" s="92"/>
      <c r="N2690" s="86"/>
    </row>
    <row r="2691" spans="5:14">
      <c r="E2691" s="86"/>
      <c r="F2691" s="87"/>
      <c r="G2691" s="88"/>
      <c r="H2691" s="89"/>
      <c r="I2691" s="90"/>
      <c r="K2691" s="91"/>
      <c r="L2691" s="88"/>
      <c r="M2691" s="92"/>
      <c r="N2691" s="86"/>
    </row>
    <row r="2692" spans="5:14">
      <c r="E2692" s="86"/>
      <c r="F2692" s="87"/>
      <c r="G2692" s="88"/>
      <c r="H2692" s="89"/>
      <c r="I2692" s="90"/>
      <c r="K2692" s="91"/>
      <c r="L2692" s="88"/>
      <c r="M2692" s="92"/>
      <c r="N2692" s="86"/>
    </row>
    <row r="2693" spans="5:14">
      <c r="E2693" s="86"/>
      <c r="F2693" s="87"/>
      <c r="G2693" s="88"/>
      <c r="H2693" s="89"/>
      <c r="I2693" s="90"/>
      <c r="K2693" s="91"/>
      <c r="L2693" s="88"/>
      <c r="M2693" s="92"/>
      <c r="N2693" s="86"/>
    </row>
    <row r="2694" spans="5:14">
      <c r="E2694" s="86"/>
      <c r="F2694" s="87"/>
      <c r="G2694" s="88"/>
      <c r="H2694" s="89"/>
      <c r="I2694" s="90"/>
      <c r="K2694" s="91"/>
      <c r="L2694" s="88"/>
      <c r="M2694" s="92"/>
      <c r="N2694" s="86"/>
    </row>
    <row r="2695" spans="5:14">
      <c r="E2695" s="86"/>
      <c r="F2695" s="87"/>
      <c r="G2695" s="88"/>
      <c r="H2695" s="89"/>
      <c r="I2695" s="90"/>
      <c r="K2695" s="91"/>
      <c r="L2695" s="88"/>
      <c r="M2695" s="92"/>
      <c r="N2695" s="86"/>
    </row>
    <row r="2696" spans="5:14">
      <c r="E2696" s="86"/>
      <c r="F2696" s="87"/>
      <c r="G2696" s="88"/>
      <c r="H2696" s="89"/>
      <c r="I2696" s="90"/>
      <c r="K2696" s="91"/>
      <c r="L2696" s="88"/>
      <c r="M2696" s="92"/>
      <c r="N2696" s="86"/>
    </row>
    <row r="2697" spans="5:14">
      <c r="E2697" s="86"/>
      <c r="F2697" s="87"/>
      <c r="G2697" s="88"/>
      <c r="H2697" s="89"/>
      <c r="I2697" s="90"/>
      <c r="K2697" s="91"/>
      <c r="L2697" s="88"/>
      <c r="M2697" s="92"/>
      <c r="N2697" s="86"/>
    </row>
    <row r="2698" spans="5:14">
      <c r="E2698" s="86"/>
      <c r="F2698" s="87"/>
      <c r="G2698" s="88"/>
      <c r="H2698" s="89"/>
      <c r="I2698" s="90"/>
      <c r="K2698" s="91"/>
      <c r="L2698" s="88"/>
      <c r="M2698" s="92"/>
      <c r="N2698" s="86"/>
    </row>
    <row r="2699" spans="5:14">
      <c r="E2699" s="86"/>
      <c r="F2699" s="87"/>
      <c r="G2699" s="88"/>
      <c r="H2699" s="89"/>
      <c r="I2699" s="90"/>
      <c r="K2699" s="91"/>
      <c r="L2699" s="88"/>
      <c r="M2699" s="92"/>
      <c r="N2699" s="86"/>
    </row>
    <row r="2700" spans="5:14">
      <c r="E2700" s="86"/>
      <c r="F2700" s="87"/>
      <c r="G2700" s="88"/>
      <c r="H2700" s="89"/>
      <c r="I2700" s="90"/>
      <c r="K2700" s="91"/>
      <c r="L2700" s="88"/>
      <c r="M2700" s="92"/>
      <c r="N2700" s="86"/>
    </row>
    <row r="2701" spans="5:14">
      <c r="E2701" s="86"/>
      <c r="F2701" s="87"/>
      <c r="G2701" s="88"/>
      <c r="H2701" s="89"/>
      <c r="I2701" s="90"/>
      <c r="K2701" s="91"/>
      <c r="L2701" s="88"/>
      <c r="M2701" s="92"/>
      <c r="N2701" s="86"/>
    </row>
    <row r="2702" spans="5:14">
      <c r="E2702" s="86"/>
      <c r="F2702" s="87"/>
      <c r="G2702" s="88"/>
      <c r="H2702" s="89"/>
      <c r="I2702" s="90"/>
      <c r="K2702" s="91"/>
      <c r="L2702" s="88"/>
      <c r="M2702" s="92"/>
      <c r="N2702" s="86"/>
    </row>
    <row r="2703" spans="5:14">
      <c r="E2703" s="86"/>
      <c r="F2703" s="87"/>
      <c r="G2703" s="88"/>
      <c r="H2703" s="89"/>
      <c r="I2703" s="90"/>
      <c r="K2703" s="91"/>
      <c r="L2703" s="88"/>
      <c r="M2703" s="92"/>
      <c r="N2703" s="86"/>
    </row>
    <row r="2704" spans="5:14">
      <c r="E2704" s="86"/>
      <c r="F2704" s="87"/>
      <c r="G2704" s="88"/>
      <c r="H2704" s="89"/>
      <c r="I2704" s="90"/>
      <c r="K2704" s="91"/>
      <c r="L2704" s="88"/>
      <c r="M2704" s="92"/>
      <c r="N2704" s="86"/>
    </row>
    <row r="2705" spans="5:14">
      <c r="E2705" s="86"/>
      <c r="F2705" s="87"/>
      <c r="G2705" s="88"/>
      <c r="H2705" s="89"/>
      <c r="I2705" s="90"/>
      <c r="K2705" s="91"/>
      <c r="L2705" s="88"/>
      <c r="M2705" s="92"/>
      <c r="N2705" s="86"/>
    </row>
    <row r="2706" spans="5:14">
      <c r="E2706" s="86"/>
      <c r="F2706" s="87"/>
      <c r="G2706" s="88"/>
      <c r="H2706" s="89"/>
      <c r="I2706" s="90"/>
      <c r="K2706" s="91"/>
      <c r="L2706" s="88"/>
      <c r="M2706" s="92"/>
      <c r="N2706" s="86"/>
    </row>
    <row r="2707" spans="5:14">
      <c r="E2707" s="86"/>
      <c r="F2707" s="87"/>
      <c r="G2707" s="88"/>
      <c r="H2707" s="89"/>
      <c r="I2707" s="90"/>
      <c r="K2707" s="91"/>
      <c r="L2707" s="88"/>
      <c r="M2707" s="92"/>
      <c r="N2707" s="86"/>
    </row>
    <row r="2708" spans="5:14">
      <c r="E2708" s="86"/>
      <c r="F2708" s="87"/>
      <c r="G2708" s="88"/>
      <c r="H2708" s="89"/>
      <c r="I2708" s="90"/>
      <c r="K2708" s="91"/>
      <c r="L2708" s="88"/>
      <c r="M2708" s="92"/>
      <c r="N2708" s="86"/>
    </row>
    <row r="2709" spans="5:14">
      <c r="E2709" s="86"/>
      <c r="F2709" s="87"/>
      <c r="G2709" s="88"/>
      <c r="H2709" s="89"/>
      <c r="I2709" s="90"/>
      <c r="K2709" s="91"/>
      <c r="L2709" s="88"/>
      <c r="M2709" s="92"/>
      <c r="N2709" s="86"/>
    </row>
    <row r="2710" spans="5:14">
      <c r="E2710" s="86"/>
      <c r="F2710" s="87"/>
      <c r="G2710" s="88"/>
      <c r="H2710" s="89"/>
      <c r="I2710" s="90"/>
      <c r="K2710" s="91"/>
      <c r="L2710" s="88"/>
      <c r="M2710" s="92"/>
      <c r="N2710" s="86"/>
    </row>
    <row r="2711" spans="5:14">
      <c r="E2711" s="86"/>
      <c r="F2711" s="87"/>
      <c r="G2711" s="88"/>
      <c r="H2711" s="89"/>
      <c r="I2711" s="90"/>
      <c r="K2711" s="91"/>
      <c r="L2711" s="88"/>
      <c r="M2711" s="92"/>
      <c r="N2711" s="86"/>
    </row>
    <row r="2712" spans="5:14">
      <c r="E2712" s="86"/>
      <c r="F2712" s="87"/>
      <c r="G2712" s="88"/>
      <c r="H2712" s="89"/>
      <c r="I2712" s="90"/>
      <c r="K2712" s="91"/>
      <c r="L2712" s="88"/>
      <c r="M2712" s="92"/>
      <c r="N2712" s="86"/>
    </row>
    <row r="2713" spans="5:14">
      <c r="E2713" s="86"/>
      <c r="F2713" s="87"/>
      <c r="G2713" s="88"/>
      <c r="H2713" s="89"/>
      <c r="I2713" s="90"/>
      <c r="K2713" s="91"/>
      <c r="L2713" s="88"/>
      <c r="M2713" s="92"/>
      <c r="N2713" s="86"/>
    </row>
    <row r="2714" spans="5:14">
      <c r="E2714" s="86"/>
      <c r="F2714" s="87"/>
      <c r="G2714" s="88"/>
      <c r="H2714" s="89"/>
      <c r="I2714" s="90"/>
      <c r="K2714" s="91"/>
      <c r="L2714" s="88"/>
      <c r="M2714" s="92"/>
      <c r="N2714" s="86"/>
    </row>
    <row r="2715" spans="5:14">
      <c r="E2715" s="86"/>
      <c r="F2715" s="87"/>
      <c r="G2715" s="88"/>
      <c r="H2715" s="89"/>
      <c r="I2715" s="90"/>
      <c r="K2715" s="91"/>
      <c r="L2715" s="88"/>
      <c r="M2715" s="92"/>
      <c r="N2715" s="86"/>
    </row>
    <row r="2716" spans="5:14">
      <c r="E2716" s="86"/>
      <c r="F2716" s="87"/>
      <c r="G2716" s="88"/>
      <c r="H2716" s="89"/>
      <c r="I2716" s="90"/>
      <c r="K2716" s="91"/>
      <c r="L2716" s="88"/>
      <c r="M2716" s="92"/>
      <c r="N2716" s="86"/>
    </row>
    <row r="2717" spans="5:14">
      <c r="E2717" s="86"/>
      <c r="F2717" s="87"/>
      <c r="G2717" s="88"/>
      <c r="H2717" s="89"/>
      <c r="I2717" s="90"/>
      <c r="K2717" s="91"/>
      <c r="L2717" s="88"/>
      <c r="M2717" s="92"/>
      <c r="N2717" s="86"/>
    </row>
    <row r="2718" spans="5:14">
      <c r="E2718" s="86"/>
      <c r="F2718" s="87"/>
      <c r="G2718" s="88"/>
      <c r="H2718" s="89"/>
      <c r="I2718" s="90"/>
      <c r="K2718" s="91"/>
      <c r="L2718" s="88"/>
      <c r="M2718" s="92"/>
      <c r="N2718" s="86"/>
    </row>
    <row r="2719" spans="5:14">
      <c r="E2719" s="86"/>
      <c r="F2719" s="87"/>
      <c r="G2719" s="88"/>
      <c r="H2719" s="89"/>
      <c r="I2719" s="90"/>
      <c r="K2719" s="91"/>
      <c r="L2719" s="88"/>
      <c r="M2719" s="92"/>
      <c r="N2719" s="86"/>
    </row>
    <row r="2720" spans="5:14">
      <c r="E2720" s="86"/>
      <c r="F2720" s="87"/>
      <c r="G2720" s="88"/>
      <c r="H2720" s="89"/>
      <c r="I2720" s="90"/>
      <c r="K2720" s="91"/>
      <c r="L2720" s="88"/>
      <c r="M2720" s="92"/>
      <c r="N2720" s="86"/>
    </row>
    <row r="2721" spans="5:14">
      <c r="E2721" s="86"/>
      <c r="F2721" s="87"/>
      <c r="G2721" s="88"/>
      <c r="H2721" s="89"/>
      <c r="I2721" s="90"/>
      <c r="K2721" s="91"/>
      <c r="L2721" s="88"/>
      <c r="M2721" s="92"/>
      <c r="N2721" s="86"/>
    </row>
    <row r="2722" spans="5:14">
      <c r="E2722" s="86"/>
      <c r="F2722" s="87"/>
      <c r="G2722" s="88"/>
      <c r="H2722" s="89"/>
      <c r="I2722" s="90"/>
      <c r="K2722" s="91"/>
      <c r="L2722" s="88"/>
      <c r="M2722" s="92"/>
      <c r="N2722" s="86"/>
    </row>
    <row r="2723" spans="5:14">
      <c r="E2723" s="86"/>
      <c r="F2723" s="87"/>
      <c r="G2723" s="88"/>
      <c r="H2723" s="89"/>
      <c r="I2723" s="90"/>
      <c r="K2723" s="91"/>
      <c r="L2723" s="88"/>
      <c r="M2723" s="92"/>
      <c r="N2723" s="86"/>
    </row>
    <row r="2724" spans="5:14">
      <c r="E2724" s="86"/>
      <c r="F2724" s="87"/>
      <c r="G2724" s="88"/>
      <c r="H2724" s="89"/>
      <c r="I2724" s="90"/>
      <c r="K2724" s="91"/>
      <c r="L2724" s="88"/>
      <c r="M2724" s="92"/>
      <c r="N2724" s="86"/>
    </row>
    <row r="2725" spans="5:14">
      <c r="E2725" s="86"/>
      <c r="F2725" s="87"/>
      <c r="G2725" s="88"/>
      <c r="H2725" s="89"/>
      <c r="I2725" s="90"/>
      <c r="K2725" s="91"/>
      <c r="L2725" s="88"/>
      <c r="M2725" s="92"/>
      <c r="N2725" s="86"/>
    </row>
    <row r="2726" spans="5:14">
      <c r="E2726" s="86"/>
      <c r="F2726" s="87"/>
      <c r="G2726" s="88"/>
      <c r="H2726" s="89"/>
      <c r="I2726" s="90"/>
      <c r="K2726" s="91"/>
      <c r="L2726" s="88"/>
      <c r="M2726" s="92"/>
      <c r="N2726" s="86"/>
    </row>
    <row r="2727" spans="5:14">
      <c r="E2727" s="86"/>
      <c r="F2727" s="87"/>
      <c r="G2727" s="88"/>
      <c r="H2727" s="89"/>
      <c r="I2727" s="90"/>
      <c r="K2727" s="91"/>
      <c r="L2727" s="88"/>
      <c r="M2727" s="92"/>
      <c r="N2727" s="86"/>
    </row>
    <row r="2728" spans="5:14">
      <c r="E2728" s="86"/>
      <c r="F2728" s="87"/>
      <c r="G2728" s="88"/>
      <c r="H2728" s="89"/>
      <c r="I2728" s="90"/>
      <c r="K2728" s="91"/>
      <c r="L2728" s="88"/>
      <c r="M2728" s="92"/>
      <c r="N2728" s="86"/>
    </row>
    <row r="2729" spans="5:14">
      <c r="E2729" s="86"/>
      <c r="F2729" s="87"/>
      <c r="G2729" s="88"/>
      <c r="H2729" s="89"/>
      <c r="I2729" s="90"/>
      <c r="K2729" s="91"/>
      <c r="L2729" s="88"/>
      <c r="M2729" s="92"/>
      <c r="N2729" s="86"/>
    </row>
    <row r="2730" spans="5:14">
      <c r="E2730" s="86"/>
      <c r="F2730" s="87"/>
      <c r="G2730" s="88"/>
      <c r="H2730" s="89"/>
      <c r="I2730" s="90"/>
      <c r="K2730" s="91"/>
      <c r="L2730" s="88"/>
      <c r="M2730" s="92"/>
      <c r="N2730" s="86"/>
    </row>
    <row r="2731" spans="5:14">
      <c r="E2731" s="86"/>
      <c r="F2731" s="87"/>
      <c r="G2731" s="88"/>
      <c r="H2731" s="89"/>
      <c r="I2731" s="90"/>
      <c r="K2731" s="91"/>
      <c r="L2731" s="88"/>
      <c r="M2731" s="92"/>
      <c r="N2731" s="86"/>
    </row>
    <row r="2732" spans="5:14">
      <c r="E2732" s="86"/>
      <c r="F2732" s="87"/>
      <c r="G2732" s="88"/>
      <c r="H2732" s="89"/>
      <c r="I2732" s="90"/>
      <c r="K2732" s="91"/>
      <c r="L2732" s="88"/>
      <c r="M2732" s="92"/>
      <c r="N2732" s="86"/>
    </row>
    <row r="2733" spans="5:14">
      <c r="E2733" s="86"/>
      <c r="F2733" s="87"/>
      <c r="G2733" s="88"/>
      <c r="H2733" s="89"/>
      <c r="I2733" s="90"/>
      <c r="K2733" s="91"/>
      <c r="L2733" s="88"/>
      <c r="M2733" s="92"/>
      <c r="N2733" s="86"/>
    </row>
    <row r="2734" spans="5:14">
      <c r="E2734" s="86"/>
      <c r="F2734" s="87"/>
      <c r="G2734" s="88"/>
      <c r="H2734" s="89"/>
      <c r="I2734" s="90"/>
      <c r="K2734" s="91"/>
      <c r="L2734" s="88"/>
      <c r="M2734" s="92"/>
      <c r="N2734" s="86"/>
    </row>
    <row r="2735" spans="5:14">
      <c r="E2735" s="86"/>
      <c r="F2735" s="87"/>
      <c r="G2735" s="88"/>
      <c r="H2735" s="89"/>
      <c r="I2735" s="90"/>
      <c r="K2735" s="91"/>
      <c r="L2735" s="88"/>
      <c r="M2735" s="92"/>
      <c r="N2735" s="86"/>
    </row>
    <row r="2736" spans="5:14">
      <c r="E2736" s="86"/>
      <c r="F2736" s="87"/>
      <c r="G2736" s="88"/>
      <c r="H2736" s="89"/>
      <c r="I2736" s="90"/>
      <c r="K2736" s="91"/>
      <c r="L2736" s="88"/>
      <c r="M2736" s="92"/>
      <c r="N2736" s="86"/>
    </row>
    <row r="2737" spans="5:14">
      <c r="E2737" s="86"/>
      <c r="F2737" s="87"/>
      <c r="G2737" s="88"/>
      <c r="H2737" s="89"/>
      <c r="I2737" s="90"/>
      <c r="K2737" s="91"/>
      <c r="L2737" s="88"/>
      <c r="M2737" s="92"/>
      <c r="N2737" s="86"/>
    </row>
    <row r="2738" spans="5:14">
      <c r="E2738" s="86"/>
      <c r="F2738" s="87"/>
      <c r="G2738" s="88"/>
      <c r="H2738" s="89"/>
      <c r="I2738" s="90"/>
      <c r="K2738" s="91"/>
      <c r="L2738" s="88"/>
      <c r="M2738" s="92"/>
      <c r="N2738" s="86"/>
    </row>
    <row r="2739" spans="5:14">
      <c r="E2739" s="86"/>
      <c r="F2739" s="87"/>
      <c r="G2739" s="88"/>
      <c r="H2739" s="89"/>
      <c r="I2739" s="90"/>
      <c r="K2739" s="91"/>
      <c r="L2739" s="88"/>
      <c r="M2739" s="92"/>
      <c r="N2739" s="86"/>
    </row>
    <row r="2740" spans="5:14">
      <c r="E2740" s="86"/>
      <c r="F2740" s="87"/>
      <c r="G2740" s="88"/>
      <c r="H2740" s="89"/>
      <c r="I2740" s="90"/>
      <c r="K2740" s="91"/>
      <c r="L2740" s="88"/>
      <c r="M2740" s="92"/>
      <c r="N2740" s="86"/>
    </row>
    <row r="2741" spans="5:14">
      <c r="E2741" s="86"/>
      <c r="F2741" s="87"/>
      <c r="G2741" s="88"/>
      <c r="H2741" s="89"/>
      <c r="I2741" s="90"/>
      <c r="K2741" s="91"/>
      <c r="L2741" s="88"/>
      <c r="M2741" s="92"/>
      <c r="N2741" s="86"/>
    </row>
    <row r="2742" spans="5:14">
      <c r="E2742" s="86"/>
      <c r="F2742" s="87"/>
      <c r="G2742" s="88"/>
      <c r="H2742" s="89"/>
      <c r="I2742" s="90"/>
      <c r="K2742" s="91"/>
      <c r="L2742" s="88"/>
      <c r="M2742" s="92"/>
      <c r="N2742" s="86"/>
    </row>
    <row r="2743" spans="5:14">
      <c r="E2743" s="86"/>
      <c r="F2743" s="87"/>
      <c r="G2743" s="88"/>
      <c r="H2743" s="89"/>
      <c r="I2743" s="90"/>
      <c r="K2743" s="91"/>
      <c r="L2743" s="88"/>
      <c r="M2743" s="92"/>
      <c r="N2743" s="86"/>
    </row>
    <row r="2744" spans="5:14">
      <c r="E2744" s="86"/>
      <c r="F2744" s="87"/>
      <c r="G2744" s="88"/>
      <c r="H2744" s="89"/>
      <c r="I2744" s="90"/>
      <c r="K2744" s="91"/>
      <c r="L2744" s="88"/>
      <c r="M2744" s="92"/>
      <c r="N2744" s="86"/>
    </row>
    <row r="2745" spans="5:14">
      <c r="E2745" s="86"/>
      <c r="F2745" s="87"/>
      <c r="G2745" s="88"/>
      <c r="H2745" s="89"/>
      <c r="I2745" s="90"/>
      <c r="K2745" s="91"/>
      <c r="L2745" s="88"/>
      <c r="M2745" s="92"/>
      <c r="N2745" s="86"/>
    </row>
    <row r="2746" spans="5:14">
      <c r="E2746" s="86"/>
      <c r="F2746" s="87"/>
      <c r="G2746" s="88"/>
      <c r="H2746" s="89"/>
      <c r="I2746" s="90"/>
      <c r="K2746" s="91"/>
      <c r="L2746" s="88"/>
      <c r="M2746" s="92"/>
      <c r="N2746" s="86"/>
    </row>
    <row r="2747" spans="5:14">
      <c r="E2747" s="86"/>
      <c r="F2747" s="87"/>
      <c r="G2747" s="88"/>
      <c r="H2747" s="89"/>
      <c r="I2747" s="90"/>
      <c r="K2747" s="91"/>
      <c r="L2747" s="88"/>
      <c r="M2747" s="92"/>
      <c r="N2747" s="86"/>
    </row>
    <row r="2748" spans="5:14">
      <c r="E2748" s="86"/>
      <c r="F2748" s="87"/>
      <c r="G2748" s="88"/>
      <c r="H2748" s="89"/>
      <c r="I2748" s="90"/>
      <c r="K2748" s="91"/>
      <c r="L2748" s="88"/>
      <c r="M2748" s="92"/>
      <c r="N2748" s="86"/>
    </row>
    <row r="2749" spans="5:14">
      <c r="E2749" s="86"/>
      <c r="F2749" s="87"/>
      <c r="G2749" s="88"/>
      <c r="H2749" s="89"/>
      <c r="I2749" s="90"/>
      <c r="K2749" s="91"/>
      <c r="L2749" s="88"/>
      <c r="M2749" s="92"/>
      <c r="N2749" s="86"/>
    </row>
    <row r="2750" spans="5:14">
      <c r="E2750" s="86"/>
      <c r="F2750" s="87"/>
      <c r="G2750" s="88"/>
      <c r="H2750" s="89"/>
      <c r="I2750" s="90"/>
      <c r="K2750" s="91"/>
      <c r="L2750" s="88"/>
      <c r="M2750" s="92"/>
      <c r="N2750" s="86"/>
    </row>
    <row r="2751" spans="5:14">
      <c r="E2751" s="86"/>
      <c r="F2751" s="87"/>
      <c r="G2751" s="88"/>
      <c r="H2751" s="89"/>
      <c r="I2751" s="90"/>
      <c r="K2751" s="91"/>
      <c r="L2751" s="88"/>
      <c r="M2751" s="92"/>
      <c r="N2751" s="86"/>
    </row>
    <row r="2752" spans="5:14">
      <c r="E2752" s="86"/>
      <c r="F2752" s="87"/>
      <c r="G2752" s="88"/>
      <c r="H2752" s="89"/>
      <c r="I2752" s="90"/>
      <c r="K2752" s="91"/>
      <c r="L2752" s="88"/>
      <c r="M2752" s="92"/>
      <c r="N2752" s="86"/>
    </row>
    <row r="2753" spans="5:14">
      <c r="E2753" s="86"/>
      <c r="F2753" s="87"/>
      <c r="G2753" s="88"/>
      <c r="H2753" s="89"/>
      <c r="I2753" s="90"/>
      <c r="K2753" s="91"/>
      <c r="L2753" s="88"/>
      <c r="M2753" s="92"/>
      <c r="N2753" s="86"/>
    </row>
    <row r="2754" spans="5:14">
      <c r="E2754" s="86"/>
      <c r="F2754" s="87"/>
      <c r="G2754" s="88"/>
      <c r="H2754" s="89"/>
      <c r="I2754" s="90"/>
      <c r="K2754" s="91"/>
      <c r="L2754" s="88"/>
      <c r="M2754" s="92"/>
      <c r="N2754" s="86"/>
    </row>
    <row r="2755" spans="5:14">
      <c r="E2755" s="86"/>
      <c r="F2755" s="87"/>
      <c r="G2755" s="88"/>
      <c r="H2755" s="89"/>
      <c r="I2755" s="90"/>
      <c r="K2755" s="91"/>
      <c r="L2755" s="88"/>
      <c r="M2755" s="92"/>
      <c r="N2755" s="86"/>
    </row>
    <row r="2756" spans="5:14">
      <c r="E2756" s="86"/>
      <c r="F2756" s="87"/>
      <c r="G2756" s="88"/>
      <c r="H2756" s="89"/>
      <c r="I2756" s="90"/>
      <c r="K2756" s="91"/>
      <c r="L2756" s="88"/>
      <c r="M2756" s="92"/>
      <c r="N2756" s="86"/>
    </row>
    <row r="2757" spans="5:14">
      <c r="E2757" s="86"/>
      <c r="F2757" s="87"/>
      <c r="G2757" s="88"/>
      <c r="H2757" s="89"/>
      <c r="I2757" s="90"/>
      <c r="K2757" s="91"/>
      <c r="L2757" s="88"/>
      <c r="M2757" s="92"/>
      <c r="N2757" s="86"/>
    </row>
    <row r="2758" spans="5:14">
      <c r="E2758" s="86"/>
      <c r="F2758" s="87"/>
      <c r="G2758" s="88"/>
      <c r="H2758" s="89"/>
      <c r="I2758" s="90"/>
      <c r="K2758" s="91"/>
      <c r="L2758" s="88"/>
      <c r="M2758" s="92"/>
      <c r="N2758" s="86"/>
    </row>
    <row r="2759" spans="5:14">
      <c r="E2759" s="86"/>
      <c r="F2759" s="87"/>
      <c r="G2759" s="88"/>
      <c r="H2759" s="89"/>
      <c r="I2759" s="90"/>
      <c r="K2759" s="91"/>
      <c r="L2759" s="88"/>
      <c r="M2759" s="92"/>
      <c r="N2759" s="86"/>
    </row>
    <row r="2760" spans="5:14">
      <c r="E2760" s="86"/>
      <c r="F2760" s="87"/>
      <c r="G2760" s="88"/>
      <c r="H2760" s="89"/>
      <c r="I2760" s="90"/>
      <c r="K2760" s="91"/>
      <c r="L2760" s="88"/>
      <c r="M2760" s="92"/>
      <c r="N2760" s="86"/>
    </row>
    <row r="2761" spans="5:14">
      <c r="E2761" s="86"/>
      <c r="F2761" s="87"/>
      <c r="G2761" s="88"/>
      <c r="H2761" s="89"/>
      <c r="I2761" s="90"/>
      <c r="K2761" s="91"/>
      <c r="L2761" s="88"/>
      <c r="M2761" s="92"/>
      <c r="N2761" s="86"/>
    </row>
    <row r="2762" spans="5:14">
      <c r="E2762" s="86"/>
      <c r="F2762" s="87"/>
      <c r="G2762" s="88"/>
      <c r="H2762" s="89"/>
      <c r="I2762" s="90"/>
      <c r="K2762" s="91"/>
      <c r="L2762" s="88"/>
      <c r="M2762" s="92"/>
      <c r="N2762" s="86"/>
    </row>
    <row r="2763" spans="5:14">
      <c r="E2763" s="86"/>
      <c r="F2763" s="87"/>
      <c r="G2763" s="88"/>
      <c r="H2763" s="89"/>
      <c r="I2763" s="90"/>
      <c r="K2763" s="91"/>
      <c r="L2763" s="88"/>
      <c r="M2763" s="92"/>
      <c r="N2763" s="86"/>
    </row>
    <row r="2764" spans="5:14">
      <c r="E2764" s="86"/>
      <c r="F2764" s="87"/>
      <c r="G2764" s="88"/>
      <c r="H2764" s="89"/>
      <c r="I2764" s="90"/>
      <c r="K2764" s="91"/>
      <c r="L2764" s="88"/>
      <c r="M2764" s="92"/>
      <c r="N2764" s="86"/>
    </row>
    <row r="2765" spans="5:14">
      <c r="E2765" s="86"/>
      <c r="F2765" s="87"/>
      <c r="G2765" s="88"/>
      <c r="H2765" s="89"/>
      <c r="I2765" s="90"/>
      <c r="K2765" s="91"/>
      <c r="L2765" s="88"/>
      <c r="M2765" s="92"/>
      <c r="N2765" s="86"/>
    </row>
    <row r="2766" spans="5:14">
      <c r="E2766" s="86"/>
      <c r="F2766" s="87"/>
      <c r="G2766" s="88"/>
      <c r="H2766" s="89"/>
      <c r="I2766" s="90"/>
      <c r="K2766" s="91"/>
      <c r="L2766" s="88"/>
      <c r="M2766" s="92"/>
      <c r="N2766" s="86"/>
    </row>
    <row r="2767" spans="5:14">
      <c r="E2767" s="86"/>
      <c r="F2767" s="87"/>
      <c r="G2767" s="88"/>
      <c r="H2767" s="89"/>
      <c r="I2767" s="90"/>
      <c r="K2767" s="91"/>
      <c r="L2767" s="88"/>
      <c r="M2767" s="92"/>
      <c r="N2767" s="86"/>
    </row>
    <row r="2768" spans="5:14">
      <c r="E2768" s="86"/>
      <c r="F2768" s="87"/>
      <c r="G2768" s="88"/>
      <c r="H2768" s="89"/>
      <c r="I2768" s="90"/>
      <c r="K2768" s="91"/>
      <c r="L2768" s="88"/>
      <c r="M2768" s="92"/>
      <c r="N2768" s="86"/>
    </row>
    <row r="2769" spans="5:14">
      <c r="E2769" s="86"/>
      <c r="F2769" s="87"/>
      <c r="G2769" s="88"/>
      <c r="H2769" s="89"/>
      <c r="I2769" s="90"/>
      <c r="K2769" s="91"/>
      <c r="L2769" s="88"/>
      <c r="M2769" s="92"/>
      <c r="N2769" s="86"/>
    </row>
    <row r="2770" spans="5:14">
      <c r="E2770" s="86"/>
      <c r="F2770" s="87"/>
      <c r="G2770" s="88"/>
      <c r="H2770" s="89"/>
      <c r="I2770" s="90"/>
      <c r="K2770" s="91"/>
      <c r="L2770" s="88"/>
      <c r="M2770" s="92"/>
      <c r="N2770" s="86"/>
    </row>
    <row r="2771" spans="5:14">
      <c r="E2771" s="86"/>
      <c r="F2771" s="87"/>
      <c r="G2771" s="88"/>
      <c r="H2771" s="89"/>
      <c r="I2771" s="90"/>
      <c r="K2771" s="91"/>
      <c r="L2771" s="88"/>
      <c r="M2771" s="92"/>
      <c r="N2771" s="86"/>
    </row>
    <row r="2772" spans="5:14">
      <c r="E2772" s="86"/>
      <c r="F2772" s="87"/>
      <c r="G2772" s="88"/>
      <c r="H2772" s="89"/>
      <c r="I2772" s="90"/>
      <c r="K2772" s="91"/>
      <c r="L2772" s="88"/>
      <c r="M2772" s="92"/>
      <c r="N2772" s="86"/>
    </row>
    <row r="2773" spans="5:14">
      <c r="E2773" s="86"/>
      <c r="F2773" s="87"/>
      <c r="G2773" s="88"/>
      <c r="H2773" s="89"/>
      <c r="I2773" s="90"/>
      <c r="K2773" s="91"/>
      <c r="L2773" s="88"/>
      <c r="M2773" s="92"/>
      <c r="N2773" s="86"/>
    </row>
    <row r="2774" spans="5:14">
      <c r="E2774" s="86"/>
      <c r="F2774" s="87"/>
      <c r="G2774" s="88"/>
      <c r="H2774" s="89"/>
      <c r="I2774" s="90"/>
      <c r="K2774" s="91"/>
      <c r="L2774" s="88"/>
      <c r="M2774" s="92"/>
      <c r="N2774" s="86"/>
    </row>
    <row r="2775" spans="5:14">
      <c r="E2775" s="86"/>
      <c r="F2775" s="87"/>
      <c r="G2775" s="88"/>
      <c r="H2775" s="89"/>
      <c r="I2775" s="90"/>
      <c r="K2775" s="91"/>
      <c r="L2775" s="88"/>
      <c r="M2775" s="92"/>
      <c r="N2775" s="86"/>
    </row>
    <row r="2776" spans="5:14">
      <c r="E2776" s="86"/>
      <c r="F2776" s="87"/>
      <c r="G2776" s="88"/>
      <c r="H2776" s="89"/>
      <c r="I2776" s="90"/>
      <c r="K2776" s="91"/>
      <c r="L2776" s="88"/>
      <c r="M2776" s="92"/>
      <c r="N2776" s="86"/>
    </row>
    <row r="2777" spans="5:14">
      <c r="E2777" s="86"/>
      <c r="F2777" s="87"/>
      <c r="G2777" s="88"/>
      <c r="H2777" s="89"/>
      <c r="I2777" s="90"/>
      <c r="K2777" s="91"/>
      <c r="L2777" s="88"/>
      <c r="M2777" s="92"/>
      <c r="N2777" s="86"/>
    </row>
    <row r="2778" spans="5:14">
      <c r="E2778" s="86"/>
      <c r="F2778" s="87"/>
      <c r="G2778" s="88"/>
      <c r="H2778" s="89"/>
      <c r="I2778" s="90"/>
      <c r="K2778" s="91"/>
      <c r="L2778" s="88"/>
      <c r="M2778" s="92"/>
      <c r="N2778" s="86"/>
    </row>
    <row r="2779" spans="5:14">
      <c r="E2779" s="86"/>
      <c r="F2779" s="87"/>
      <c r="G2779" s="88"/>
      <c r="H2779" s="89"/>
      <c r="I2779" s="90"/>
      <c r="K2779" s="91"/>
      <c r="L2779" s="88"/>
      <c r="M2779" s="92"/>
      <c r="N2779" s="86"/>
    </row>
    <row r="2780" spans="5:14">
      <c r="E2780" s="86"/>
      <c r="F2780" s="87"/>
      <c r="G2780" s="88"/>
      <c r="H2780" s="89"/>
      <c r="I2780" s="90"/>
      <c r="K2780" s="91"/>
      <c r="L2780" s="88"/>
      <c r="M2780" s="92"/>
      <c r="N2780" s="86"/>
    </row>
    <row r="2781" spans="5:14">
      <c r="E2781" s="86"/>
      <c r="F2781" s="87"/>
      <c r="G2781" s="88"/>
      <c r="H2781" s="89"/>
      <c r="I2781" s="90"/>
      <c r="K2781" s="91"/>
      <c r="L2781" s="88"/>
      <c r="M2781" s="92"/>
      <c r="N2781" s="86"/>
    </row>
    <row r="2782" spans="5:14">
      <c r="E2782" s="86"/>
      <c r="F2782" s="87"/>
      <c r="G2782" s="88"/>
      <c r="H2782" s="89"/>
      <c r="I2782" s="90"/>
      <c r="K2782" s="91"/>
      <c r="L2782" s="88"/>
      <c r="M2782" s="92"/>
      <c r="N2782" s="86"/>
    </row>
    <row r="2783" spans="5:14">
      <c r="E2783" s="86"/>
      <c r="F2783" s="87"/>
      <c r="G2783" s="88"/>
      <c r="H2783" s="89"/>
      <c r="I2783" s="90"/>
      <c r="K2783" s="91"/>
      <c r="L2783" s="88"/>
      <c r="M2783" s="92"/>
      <c r="N2783" s="86"/>
    </row>
    <row r="2784" spans="5:14">
      <c r="E2784" s="86"/>
      <c r="F2784" s="87"/>
      <c r="G2784" s="88"/>
      <c r="H2784" s="89"/>
      <c r="I2784" s="90"/>
      <c r="K2784" s="91"/>
      <c r="L2784" s="88"/>
      <c r="M2784" s="92"/>
      <c r="N2784" s="86"/>
    </row>
    <row r="2785" spans="5:14">
      <c r="E2785" s="86"/>
      <c r="F2785" s="87"/>
      <c r="G2785" s="88"/>
      <c r="H2785" s="89"/>
      <c r="I2785" s="90"/>
      <c r="K2785" s="91"/>
      <c r="L2785" s="88"/>
      <c r="M2785" s="92"/>
      <c r="N2785" s="86"/>
    </row>
    <row r="2786" spans="5:14">
      <c r="E2786" s="86"/>
      <c r="F2786" s="87"/>
      <c r="G2786" s="88"/>
      <c r="H2786" s="89"/>
      <c r="I2786" s="90"/>
      <c r="K2786" s="91"/>
      <c r="L2786" s="88"/>
      <c r="M2786" s="92"/>
      <c r="N2786" s="86"/>
    </row>
    <row r="2787" spans="5:14">
      <c r="E2787" s="86"/>
      <c r="F2787" s="87"/>
      <c r="G2787" s="88"/>
      <c r="H2787" s="89"/>
      <c r="I2787" s="90"/>
      <c r="K2787" s="91"/>
      <c r="L2787" s="88"/>
      <c r="M2787" s="92"/>
      <c r="N2787" s="86"/>
    </row>
    <row r="2788" spans="5:14">
      <c r="E2788" s="86"/>
      <c r="F2788" s="87"/>
      <c r="G2788" s="88"/>
      <c r="H2788" s="89"/>
      <c r="I2788" s="90"/>
      <c r="K2788" s="91"/>
      <c r="L2788" s="88"/>
      <c r="M2788" s="92"/>
      <c r="N2788" s="86"/>
    </row>
    <row r="2789" spans="5:14">
      <c r="E2789" s="86"/>
      <c r="F2789" s="87"/>
      <c r="G2789" s="88"/>
      <c r="H2789" s="89"/>
      <c r="I2789" s="90"/>
      <c r="K2789" s="91"/>
      <c r="L2789" s="88"/>
      <c r="M2789" s="92"/>
      <c r="N2789" s="86"/>
    </row>
    <row r="2790" spans="5:14">
      <c r="E2790" s="86"/>
      <c r="F2790" s="87"/>
      <c r="G2790" s="88"/>
      <c r="H2790" s="89"/>
      <c r="I2790" s="90"/>
      <c r="K2790" s="91"/>
      <c r="L2790" s="88"/>
      <c r="M2790" s="92"/>
      <c r="N2790" s="86"/>
    </row>
    <row r="2791" spans="5:14">
      <c r="E2791" s="86"/>
      <c r="F2791" s="87"/>
      <c r="G2791" s="88"/>
      <c r="H2791" s="89"/>
      <c r="I2791" s="90"/>
      <c r="K2791" s="91"/>
      <c r="L2791" s="88"/>
      <c r="M2791" s="92"/>
      <c r="N2791" s="86"/>
    </row>
    <row r="2792" spans="5:14">
      <c r="E2792" s="86"/>
      <c r="F2792" s="87"/>
      <c r="G2792" s="88"/>
      <c r="H2792" s="89"/>
      <c r="I2792" s="90"/>
      <c r="K2792" s="91"/>
      <c r="L2792" s="88"/>
      <c r="M2792" s="92"/>
      <c r="N2792" s="86"/>
    </row>
    <row r="2793" spans="5:14">
      <c r="E2793" s="86"/>
      <c r="F2793" s="87"/>
      <c r="G2793" s="88"/>
      <c r="H2793" s="89"/>
      <c r="I2793" s="90"/>
      <c r="K2793" s="91"/>
      <c r="L2793" s="88"/>
      <c r="M2793" s="92"/>
      <c r="N2793" s="86"/>
    </row>
    <row r="2794" spans="5:14">
      <c r="E2794" s="86"/>
      <c r="F2794" s="87"/>
      <c r="G2794" s="88"/>
      <c r="H2794" s="89"/>
      <c r="I2794" s="90"/>
      <c r="K2794" s="91"/>
      <c r="L2794" s="88"/>
      <c r="M2794" s="92"/>
      <c r="N2794" s="86"/>
    </row>
    <row r="2795" spans="5:14">
      <c r="E2795" s="86"/>
      <c r="F2795" s="87"/>
      <c r="G2795" s="88"/>
      <c r="H2795" s="89"/>
      <c r="I2795" s="90"/>
      <c r="K2795" s="91"/>
      <c r="L2795" s="88"/>
      <c r="M2795" s="92"/>
      <c r="N2795" s="86"/>
    </row>
    <row r="2796" spans="5:14">
      <c r="E2796" s="86"/>
      <c r="F2796" s="87"/>
      <c r="G2796" s="88"/>
      <c r="H2796" s="89"/>
      <c r="I2796" s="90"/>
      <c r="K2796" s="91"/>
      <c r="L2796" s="88"/>
      <c r="M2796" s="92"/>
      <c r="N2796" s="86"/>
    </row>
    <row r="2797" spans="5:14">
      <c r="E2797" s="86"/>
      <c r="F2797" s="87"/>
      <c r="G2797" s="88"/>
      <c r="H2797" s="89"/>
      <c r="I2797" s="90"/>
      <c r="K2797" s="91"/>
      <c r="L2797" s="88"/>
      <c r="M2797" s="92"/>
      <c r="N2797" s="86"/>
    </row>
    <row r="2798" spans="5:14">
      <c r="E2798" s="86"/>
      <c r="F2798" s="87"/>
      <c r="G2798" s="88"/>
      <c r="H2798" s="89"/>
      <c r="I2798" s="90"/>
      <c r="K2798" s="91"/>
      <c r="L2798" s="88"/>
      <c r="M2798" s="92"/>
      <c r="N2798" s="86"/>
    </row>
    <row r="2799" spans="5:14">
      <c r="E2799" s="86"/>
      <c r="F2799" s="87"/>
      <c r="G2799" s="88"/>
      <c r="H2799" s="89"/>
      <c r="I2799" s="90"/>
      <c r="K2799" s="91"/>
      <c r="L2799" s="88"/>
      <c r="M2799" s="92"/>
      <c r="N2799" s="86"/>
    </row>
    <row r="2800" spans="5:14">
      <c r="E2800" s="86"/>
      <c r="F2800" s="87"/>
      <c r="G2800" s="88"/>
      <c r="H2800" s="89"/>
      <c r="I2800" s="90"/>
      <c r="K2800" s="91"/>
      <c r="L2800" s="88"/>
      <c r="M2800" s="92"/>
      <c r="N2800" s="86"/>
    </row>
    <row r="2801" spans="5:14">
      <c r="E2801" s="86"/>
      <c r="F2801" s="87"/>
      <c r="G2801" s="88"/>
      <c r="H2801" s="89"/>
      <c r="I2801" s="90"/>
      <c r="K2801" s="91"/>
      <c r="L2801" s="88"/>
      <c r="M2801" s="92"/>
      <c r="N2801" s="86"/>
    </row>
    <row r="2802" spans="5:14">
      <c r="E2802" s="86"/>
      <c r="F2802" s="87"/>
      <c r="G2802" s="88"/>
      <c r="H2802" s="89"/>
      <c r="I2802" s="90"/>
      <c r="K2802" s="91"/>
      <c r="L2802" s="88"/>
      <c r="M2802" s="92"/>
      <c r="N2802" s="86"/>
    </row>
    <row r="2803" spans="5:14">
      <c r="E2803" s="86"/>
      <c r="F2803" s="87"/>
      <c r="G2803" s="88"/>
      <c r="H2803" s="89"/>
      <c r="I2803" s="90"/>
      <c r="K2803" s="91"/>
      <c r="L2803" s="88"/>
      <c r="M2803" s="92"/>
      <c r="N2803" s="86"/>
    </row>
    <row r="2804" spans="5:14">
      <c r="E2804" s="86"/>
      <c r="F2804" s="87"/>
      <c r="G2804" s="88"/>
      <c r="H2804" s="89"/>
      <c r="I2804" s="90"/>
      <c r="K2804" s="91"/>
      <c r="L2804" s="88"/>
      <c r="M2804" s="92"/>
      <c r="N2804" s="86"/>
    </row>
    <row r="2805" spans="5:14">
      <c r="E2805" s="86"/>
      <c r="F2805" s="87"/>
      <c r="G2805" s="88"/>
      <c r="H2805" s="89"/>
      <c r="I2805" s="90"/>
      <c r="K2805" s="91"/>
      <c r="L2805" s="88"/>
      <c r="M2805" s="92"/>
      <c r="N2805" s="86"/>
    </row>
    <row r="2806" spans="5:14">
      <c r="E2806" s="86"/>
      <c r="F2806" s="87"/>
      <c r="G2806" s="88"/>
      <c r="H2806" s="89"/>
      <c r="I2806" s="90"/>
      <c r="K2806" s="91"/>
      <c r="L2806" s="88"/>
      <c r="M2806" s="92"/>
      <c r="N2806" s="86"/>
    </row>
    <row r="2807" spans="5:14">
      <c r="E2807" s="86"/>
      <c r="F2807" s="87"/>
      <c r="G2807" s="88"/>
      <c r="H2807" s="89"/>
      <c r="I2807" s="90"/>
      <c r="K2807" s="91"/>
      <c r="L2807" s="88"/>
      <c r="M2807" s="92"/>
      <c r="N2807" s="86"/>
    </row>
    <row r="2808" spans="5:14">
      <c r="E2808" s="86"/>
      <c r="F2808" s="87"/>
      <c r="G2808" s="88"/>
      <c r="H2808" s="89"/>
      <c r="I2808" s="90"/>
      <c r="K2808" s="91"/>
      <c r="L2808" s="88"/>
      <c r="M2808" s="92"/>
      <c r="N2808" s="86"/>
    </row>
    <row r="2809" spans="5:14">
      <c r="E2809" s="86"/>
      <c r="F2809" s="87"/>
      <c r="G2809" s="88"/>
      <c r="H2809" s="89"/>
      <c r="I2809" s="90"/>
      <c r="K2809" s="91"/>
      <c r="L2809" s="88"/>
      <c r="M2809" s="92"/>
      <c r="N2809" s="86"/>
    </row>
    <row r="2810" spans="5:14">
      <c r="E2810" s="86"/>
      <c r="F2810" s="87"/>
      <c r="G2810" s="88"/>
      <c r="H2810" s="89"/>
      <c r="I2810" s="90"/>
      <c r="K2810" s="91"/>
      <c r="L2810" s="88"/>
      <c r="M2810" s="92"/>
      <c r="N2810" s="86"/>
    </row>
    <row r="2811" spans="5:14">
      <c r="E2811" s="86"/>
      <c r="F2811" s="87"/>
      <c r="G2811" s="88"/>
      <c r="H2811" s="89"/>
      <c r="I2811" s="90"/>
      <c r="K2811" s="91"/>
      <c r="L2811" s="88"/>
      <c r="M2811" s="92"/>
      <c r="N2811" s="86"/>
    </row>
    <row r="2812" spans="5:14">
      <c r="E2812" s="86"/>
      <c r="F2812" s="87"/>
      <c r="G2812" s="88"/>
      <c r="H2812" s="89"/>
      <c r="I2812" s="90"/>
      <c r="K2812" s="91"/>
      <c r="L2812" s="88"/>
      <c r="M2812" s="92"/>
      <c r="N2812" s="86"/>
    </row>
    <row r="2813" spans="5:14">
      <c r="E2813" s="86"/>
      <c r="F2813" s="87"/>
      <c r="G2813" s="88"/>
      <c r="H2813" s="89"/>
      <c r="I2813" s="90"/>
      <c r="K2813" s="91"/>
      <c r="L2813" s="88"/>
      <c r="M2813" s="92"/>
      <c r="N2813" s="86"/>
    </row>
    <row r="2814" spans="5:14">
      <c r="E2814" s="86"/>
      <c r="F2814" s="87"/>
      <c r="G2814" s="88"/>
      <c r="H2814" s="89"/>
      <c r="I2814" s="90"/>
      <c r="K2814" s="91"/>
      <c r="L2814" s="88"/>
      <c r="M2814" s="92"/>
      <c r="N2814" s="86"/>
    </row>
    <row r="2815" spans="5:14">
      <c r="E2815" s="86"/>
      <c r="F2815" s="87"/>
      <c r="G2815" s="88"/>
      <c r="H2815" s="89"/>
      <c r="I2815" s="90"/>
      <c r="K2815" s="91"/>
      <c r="L2815" s="88"/>
      <c r="M2815" s="92"/>
      <c r="N2815" s="86"/>
    </row>
    <row r="2816" spans="5:14">
      <c r="E2816" s="86"/>
      <c r="F2816" s="87"/>
      <c r="G2816" s="88"/>
      <c r="H2816" s="89"/>
      <c r="I2816" s="90"/>
      <c r="K2816" s="91"/>
      <c r="L2816" s="88"/>
      <c r="M2816" s="92"/>
      <c r="N2816" s="86"/>
    </row>
    <row r="2817" spans="5:14">
      <c r="E2817" s="86"/>
      <c r="F2817" s="87"/>
      <c r="G2817" s="88"/>
      <c r="H2817" s="89"/>
      <c r="I2817" s="90"/>
      <c r="K2817" s="91"/>
      <c r="L2817" s="88"/>
      <c r="M2817" s="92"/>
      <c r="N2817" s="86"/>
    </row>
    <row r="2818" spans="5:14">
      <c r="E2818" s="86"/>
      <c r="F2818" s="87"/>
      <c r="G2818" s="88"/>
      <c r="H2818" s="89"/>
      <c r="I2818" s="90"/>
      <c r="K2818" s="91"/>
      <c r="L2818" s="88"/>
      <c r="M2818" s="92"/>
      <c r="N2818" s="86"/>
    </row>
    <row r="2819" spans="5:14">
      <c r="E2819" s="86"/>
      <c r="F2819" s="87"/>
      <c r="G2819" s="88"/>
      <c r="H2819" s="89"/>
      <c r="I2819" s="90"/>
      <c r="K2819" s="91"/>
      <c r="L2819" s="88"/>
      <c r="M2819" s="92"/>
      <c r="N2819" s="86"/>
    </row>
    <row r="2820" spans="5:14">
      <c r="E2820" s="86"/>
      <c r="F2820" s="87"/>
      <c r="G2820" s="88"/>
      <c r="H2820" s="89"/>
      <c r="I2820" s="90"/>
      <c r="K2820" s="91"/>
      <c r="L2820" s="88"/>
      <c r="M2820" s="92"/>
      <c r="N2820" s="86"/>
    </row>
    <row r="2821" spans="5:14">
      <c r="E2821" s="86"/>
      <c r="F2821" s="87"/>
      <c r="G2821" s="88"/>
      <c r="H2821" s="89"/>
      <c r="I2821" s="90"/>
      <c r="K2821" s="91"/>
      <c r="L2821" s="88"/>
      <c r="M2821" s="92"/>
      <c r="N2821" s="86"/>
    </row>
    <row r="2822" spans="5:14">
      <c r="E2822" s="86"/>
      <c r="F2822" s="87"/>
      <c r="G2822" s="88"/>
      <c r="H2822" s="89"/>
      <c r="I2822" s="90"/>
      <c r="K2822" s="91"/>
      <c r="L2822" s="88"/>
      <c r="M2822" s="92"/>
      <c r="N2822" s="86"/>
    </row>
    <row r="2823" spans="5:14">
      <c r="E2823" s="86"/>
      <c r="F2823" s="87"/>
      <c r="G2823" s="88"/>
      <c r="H2823" s="89"/>
      <c r="I2823" s="90"/>
      <c r="K2823" s="91"/>
      <c r="L2823" s="88"/>
      <c r="M2823" s="92"/>
      <c r="N2823" s="86"/>
    </row>
    <row r="2824" spans="5:14">
      <c r="E2824" s="86"/>
      <c r="F2824" s="87"/>
      <c r="G2824" s="88"/>
      <c r="H2824" s="89"/>
      <c r="I2824" s="90"/>
      <c r="K2824" s="91"/>
      <c r="L2824" s="88"/>
      <c r="M2824" s="92"/>
      <c r="N2824" s="86"/>
    </row>
    <row r="2825" spans="5:14">
      <c r="E2825" s="86"/>
      <c r="F2825" s="87"/>
      <c r="G2825" s="88"/>
      <c r="H2825" s="89"/>
      <c r="I2825" s="90"/>
      <c r="K2825" s="91"/>
      <c r="L2825" s="88"/>
      <c r="M2825" s="92"/>
      <c r="N2825" s="86"/>
    </row>
    <row r="2826" spans="5:14">
      <c r="E2826" s="86"/>
      <c r="F2826" s="87"/>
      <c r="G2826" s="88"/>
      <c r="H2826" s="89"/>
      <c r="I2826" s="90"/>
      <c r="K2826" s="91"/>
      <c r="L2826" s="88"/>
      <c r="M2826" s="92"/>
      <c r="N2826" s="86"/>
    </row>
    <row r="2827" spans="5:14">
      <c r="E2827" s="86"/>
      <c r="F2827" s="87"/>
      <c r="G2827" s="88"/>
      <c r="H2827" s="89"/>
      <c r="I2827" s="90"/>
      <c r="K2827" s="91"/>
      <c r="L2827" s="88"/>
      <c r="M2827" s="92"/>
      <c r="N2827" s="86"/>
    </row>
    <row r="2828" spans="5:14">
      <c r="E2828" s="86"/>
      <c r="F2828" s="87"/>
      <c r="G2828" s="88"/>
      <c r="H2828" s="89"/>
      <c r="I2828" s="90"/>
      <c r="K2828" s="91"/>
      <c r="L2828" s="88"/>
      <c r="M2828" s="92"/>
      <c r="N2828" s="86"/>
    </row>
    <row r="2829" spans="5:14">
      <c r="E2829" s="86"/>
      <c r="F2829" s="87"/>
      <c r="G2829" s="88"/>
      <c r="H2829" s="89"/>
      <c r="I2829" s="90"/>
      <c r="K2829" s="91"/>
      <c r="L2829" s="88"/>
      <c r="M2829" s="92"/>
      <c r="N2829" s="86"/>
    </row>
    <row r="2830" spans="5:14">
      <c r="E2830" s="86"/>
      <c r="F2830" s="87"/>
      <c r="G2830" s="88"/>
      <c r="H2830" s="89"/>
      <c r="I2830" s="90"/>
      <c r="K2830" s="91"/>
      <c r="L2830" s="88"/>
      <c r="M2830" s="92"/>
      <c r="N2830" s="86"/>
    </row>
    <row r="2831" spans="5:14">
      <c r="E2831" s="86"/>
      <c r="F2831" s="87"/>
      <c r="G2831" s="88"/>
      <c r="H2831" s="89"/>
      <c r="I2831" s="90"/>
      <c r="K2831" s="91"/>
      <c r="L2831" s="88"/>
      <c r="M2831" s="92"/>
      <c r="N2831" s="86"/>
    </row>
    <row r="2832" spans="5:14">
      <c r="E2832" s="86"/>
      <c r="F2832" s="87"/>
      <c r="G2832" s="88"/>
      <c r="H2832" s="89"/>
      <c r="I2832" s="90"/>
      <c r="K2832" s="91"/>
      <c r="L2832" s="88"/>
      <c r="M2832" s="92"/>
      <c r="N2832" s="86"/>
    </row>
    <row r="2833" spans="5:14">
      <c r="E2833" s="86"/>
      <c r="F2833" s="87"/>
      <c r="G2833" s="88"/>
      <c r="H2833" s="89"/>
      <c r="I2833" s="90"/>
      <c r="K2833" s="91"/>
      <c r="L2833" s="88"/>
      <c r="M2833" s="92"/>
      <c r="N2833" s="86"/>
    </row>
    <row r="2834" spans="5:14">
      <c r="E2834" s="86"/>
      <c r="F2834" s="87"/>
      <c r="G2834" s="88"/>
      <c r="H2834" s="89"/>
      <c r="I2834" s="90"/>
      <c r="K2834" s="91"/>
      <c r="L2834" s="88"/>
      <c r="M2834" s="92"/>
      <c r="N2834" s="86"/>
    </row>
    <row r="2835" spans="5:14">
      <c r="E2835" s="86"/>
      <c r="F2835" s="87"/>
      <c r="G2835" s="88"/>
      <c r="H2835" s="89"/>
      <c r="I2835" s="90"/>
      <c r="K2835" s="91"/>
      <c r="L2835" s="88"/>
      <c r="M2835" s="92"/>
      <c r="N2835" s="86"/>
    </row>
    <row r="2836" spans="5:14">
      <c r="E2836" s="86"/>
      <c r="F2836" s="87"/>
      <c r="G2836" s="88"/>
      <c r="H2836" s="89"/>
      <c r="I2836" s="90"/>
      <c r="K2836" s="91"/>
      <c r="L2836" s="88"/>
      <c r="M2836" s="92"/>
      <c r="N2836" s="86"/>
    </row>
    <row r="2837" spans="5:14">
      <c r="E2837" s="86"/>
      <c r="F2837" s="87"/>
      <c r="G2837" s="88"/>
      <c r="H2837" s="89"/>
      <c r="I2837" s="90"/>
      <c r="K2837" s="91"/>
      <c r="L2837" s="88"/>
      <c r="M2837" s="92"/>
      <c r="N2837" s="86"/>
    </row>
    <row r="2838" spans="5:14">
      <c r="E2838" s="86"/>
      <c r="F2838" s="87"/>
      <c r="G2838" s="88"/>
      <c r="H2838" s="89"/>
      <c r="I2838" s="90"/>
      <c r="K2838" s="91"/>
      <c r="L2838" s="88"/>
      <c r="M2838" s="92"/>
      <c r="N2838" s="86"/>
    </row>
    <row r="2839" spans="5:14">
      <c r="E2839" s="86"/>
      <c r="F2839" s="87"/>
      <c r="G2839" s="88"/>
      <c r="H2839" s="89"/>
      <c r="I2839" s="90"/>
      <c r="K2839" s="91"/>
      <c r="L2839" s="88"/>
      <c r="M2839" s="92"/>
      <c r="N2839" s="86"/>
    </row>
    <row r="2840" spans="5:14">
      <c r="E2840" s="86"/>
      <c r="F2840" s="87"/>
      <c r="G2840" s="88"/>
      <c r="H2840" s="89"/>
      <c r="I2840" s="90"/>
      <c r="K2840" s="91"/>
      <c r="L2840" s="88"/>
      <c r="M2840" s="92"/>
      <c r="N2840" s="86"/>
    </row>
    <row r="2841" spans="5:14">
      <c r="E2841" s="86"/>
      <c r="F2841" s="87"/>
      <c r="G2841" s="88"/>
      <c r="H2841" s="89"/>
      <c r="I2841" s="90"/>
      <c r="K2841" s="91"/>
      <c r="L2841" s="88"/>
      <c r="M2841" s="92"/>
      <c r="N2841" s="86"/>
    </row>
    <row r="2842" spans="5:14">
      <c r="E2842" s="86"/>
      <c r="F2842" s="87"/>
      <c r="G2842" s="88"/>
      <c r="H2842" s="89"/>
      <c r="I2842" s="90"/>
      <c r="K2842" s="91"/>
      <c r="L2842" s="88"/>
      <c r="M2842" s="92"/>
      <c r="N2842" s="86"/>
    </row>
    <row r="2843" spans="5:14">
      <c r="E2843" s="86"/>
      <c r="F2843" s="87"/>
      <c r="G2843" s="88"/>
      <c r="H2843" s="89"/>
      <c r="I2843" s="90"/>
      <c r="K2843" s="91"/>
      <c r="L2843" s="88"/>
      <c r="M2843" s="92"/>
      <c r="N2843" s="86"/>
    </row>
    <row r="2844" spans="5:14">
      <c r="E2844" s="86"/>
      <c r="F2844" s="87"/>
      <c r="G2844" s="88"/>
      <c r="H2844" s="89"/>
      <c r="I2844" s="90"/>
      <c r="K2844" s="91"/>
      <c r="L2844" s="88"/>
      <c r="M2844" s="92"/>
      <c r="N2844" s="86"/>
    </row>
    <row r="2845" spans="5:14">
      <c r="E2845" s="86"/>
      <c r="F2845" s="87"/>
      <c r="G2845" s="88"/>
      <c r="H2845" s="89"/>
      <c r="I2845" s="90"/>
      <c r="K2845" s="91"/>
      <c r="L2845" s="88"/>
      <c r="M2845" s="92"/>
      <c r="N2845" s="86"/>
    </row>
    <row r="2846" spans="5:14">
      <c r="E2846" s="86"/>
      <c r="F2846" s="87"/>
      <c r="G2846" s="88"/>
      <c r="H2846" s="89"/>
      <c r="I2846" s="90"/>
      <c r="K2846" s="91"/>
      <c r="L2846" s="88"/>
      <c r="M2846" s="92"/>
      <c r="N2846" s="86"/>
    </row>
    <row r="2847" spans="5:14">
      <c r="E2847" s="86"/>
      <c r="F2847" s="87"/>
      <c r="G2847" s="88"/>
      <c r="H2847" s="89"/>
      <c r="I2847" s="90"/>
      <c r="K2847" s="91"/>
      <c r="L2847" s="88"/>
      <c r="M2847" s="92"/>
      <c r="N2847" s="86"/>
    </row>
    <row r="2848" spans="5:14">
      <c r="E2848" s="86"/>
      <c r="F2848" s="87"/>
      <c r="G2848" s="88"/>
      <c r="H2848" s="89"/>
      <c r="I2848" s="90"/>
      <c r="K2848" s="91"/>
      <c r="L2848" s="88"/>
      <c r="M2848" s="92"/>
      <c r="N2848" s="86"/>
    </row>
    <row r="2849" spans="5:14">
      <c r="E2849" s="86"/>
      <c r="F2849" s="87"/>
      <c r="G2849" s="88"/>
      <c r="H2849" s="89"/>
      <c r="I2849" s="90"/>
      <c r="K2849" s="91"/>
      <c r="L2849" s="88"/>
      <c r="M2849" s="92"/>
      <c r="N2849" s="86"/>
    </row>
    <row r="2850" spans="5:14">
      <c r="E2850" s="86"/>
      <c r="F2850" s="87"/>
      <c r="G2850" s="88"/>
      <c r="H2850" s="89"/>
      <c r="I2850" s="90"/>
      <c r="K2850" s="91"/>
      <c r="L2850" s="88"/>
      <c r="M2850" s="92"/>
      <c r="N2850" s="86"/>
    </row>
    <row r="2851" spans="5:14">
      <c r="E2851" s="86"/>
      <c r="F2851" s="87"/>
      <c r="G2851" s="88"/>
      <c r="H2851" s="89"/>
      <c r="I2851" s="90"/>
      <c r="K2851" s="91"/>
      <c r="L2851" s="88"/>
      <c r="M2851" s="92"/>
      <c r="N2851" s="86"/>
    </row>
    <row r="2852" spans="5:14">
      <c r="E2852" s="86"/>
      <c r="F2852" s="87"/>
      <c r="G2852" s="88"/>
      <c r="H2852" s="89"/>
      <c r="I2852" s="90"/>
      <c r="K2852" s="91"/>
      <c r="L2852" s="88"/>
      <c r="M2852" s="92"/>
      <c r="N2852" s="86"/>
    </row>
    <row r="2853" spans="5:14">
      <c r="E2853" s="86"/>
      <c r="F2853" s="87"/>
      <c r="G2853" s="88"/>
      <c r="H2853" s="89"/>
      <c r="I2853" s="90"/>
      <c r="K2853" s="91"/>
      <c r="L2853" s="88"/>
      <c r="M2853" s="92"/>
      <c r="N2853" s="86"/>
    </row>
    <row r="2854" spans="5:14">
      <c r="E2854" s="86"/>
      <c r="F2854" s="87"/>
      <c r="G2854" s="88"/>
      <c r="H2854" s="89"/>
      <c r="I2854" s="90"/>
      <c r="K2854" s="91"/>
      <c r="L2854" s="88"/>
      <c r="M2854" s="92"/>
      <c r="N2854" s="86"/>
    </row>
    <row r="2855" spans="5:14">
      <c r="E2855" s="86"/>
      <c r="F2855" s="87"/>
      <c r="G2855" s="88"/>
      <c r="H2855" s="89"/>
      <c r="I2855" s="90"/>
      <c r="K2855" s="91"/>
      <c r="L2855" s="88"/>
      <c r="M2855" s="92"/>
      <c r="N2855" s="86"/>
    </row>
    <row r="2856" spans="5:14">
      <c r="E2856" s="86"/>
      <c r="F2856" s="87"/>
      <c r="G2856" s="88"/>
      <c r="H2856" s="89"/>
      <c r="I2856" s="90"/>
      <c r="K2856" s="91"/>
      <c r="L2856" s="88"/>
      <c r="M2856" s="92"/>
      <c r="N2856" s="86"/>
    </row>
    <row r="2857" spans="5:14">
      <c r="E2857" s="86"/>
      <c r="F2857" s="87"/>
      <c r="G2857" s="88"/>
      <c r="H2857" s="89"/>
      <c r="I2857" s="90"/>
      <c r="K2857" s="91"/>
      <c r="L2857" s="88"/>
      <c r="M2857" s="92"/>
      <c r="N2857" s="86"/>
    </row>
    <row r="2858" spans="5:14">
      <c r="E2858" s="86"/>
      <c r="F2858" s="87"/>
      <c r="G2858" s="88"/>
      <c r="H2858" s="89"/>
      <c r="I2858" s="90"/>
      <c r="K2858" s="91"/>
      <c r="L2858" s="88"/>
      <c r="M2858" s="92"/>
      <c r="N2858" s="86"/>
    </row>
    <row r="2859" spans="5:14">
      <c r="E2859" s="86"/>
      <c r="F2859" s="87"/>
      <c r="G2859" s="88"/>
      <c r="H2859" s="89"/>
      <c r="I2859" s="90"/>
      <c r="K2859" s="91"/>
      <c r="L2859" s="88"/>
      <c r="M2859" s="92"/>
      <c r="N2859" s="86"/>
    </row>
    <row r="2860" spans="5:14">
      <c r="E2860" s="86"/>
      <c r="F2860" s="87"/>
      <c r="G2860" s="88"/>
      <c r="H2860" s="89"/>
      <c r="I2860" s="90"/>
      <c r="K2860" s="91"/>
      <c r="L2860" s="88"/>
      <c r="M2860" s="92"/>
      <c r="N2860" s="86"/>
    </row>
    <row r="2861" spans="5:14">
      <c r="E2861" s="86"/>
      <c r="F2861" s="87"/>
      <c r="G2861" s="88"/>
      <c r="H2861" s="89"/>
      <c r="I2861" s="90"/>
      <c r="K2861" s="91"/>
      <c r="L2861" s="88"/>
      <c r="M2861" s="92"/>
      <c r="N2861" s="86"/>
    </row>
    <row r="2862" spans="5:14">
      <c r="E2862" s="86"/>
      <c r="F2862" s="87"/>
      <c r="G2862" s="88"/>
      <c r="H2862" s="89"/>
      <c r="I2862" s="90"/>
      <c r="K2862" s="91"/>
      <c r="L2862" s="88"/>
      <c r="M2862" s="92"/>
      <c r="N2862" s="86"/>
    </row>
    <row r="2863" spans="5:14">
      <c r="E2863" s="86"/>
      <c r="F2863" s="87"/>
      <c r="G2863" s="88"/>
      <c r="H2863" s="89"/>
      <c r="I2863" s="90"/>
      <c r="K2863" s="91"/>
      <c r="L2863" s="88"/>
      <c r="M2863" s="92"/>
      <c r="N2863" s="86"/>
    </row>
    <row r="2864" spans="5:14">
      <c r="E2864" s="86"/>
      <c r="F2864" s="87"/>
      <c r="G2864" s="88"/>
      <c r="H2864" s="89"/>
      <c r="I2864" s="90"/>
      <c r="K2864" s="91"/>
      <c r="L2864" s="88"/>
      <c r="M2864" s="92"/>
      <c r="N2864" s="86"/>
    </row>
    <row r="2865" spans="5:14">
      <c r="E2865" s="86"/>
      <c r="F2865" s="87"/>
      <c r="G2865" s="88"/>
      <c r="H2865" s="89"/>
      <c r="I2865" s="90"/>
      <c r="K2865" s="91"/>
      <c r="L2865" s="88"/>
      <c r="M2865" s="92"/>
      <c r="N2865" s="86"/>
    </row>
    <row r="2866" spans="5:14">
      <c r="E2866" s="86"/>
      <c r="F2866" s="87"/>
      <c r="G2866" s="88"/>
      <c r="H2866" s="89"/>
      <c r="I2866" s="90"/>
      <c r="K2866" s="91"/>
      <c r="L2866" s="88"/>
      <c r="M2866" s="92"/>
      <c r="N2866" s="86"/>
    </row>
    <row r="2867" spans="5:14">
      <c r="E2867" s="86"/>
      <c r="F2867" s="87"/>
      <c r="G2867" s="88"/>
      <c r="H2867" s="89"/>
      <c r="I2867" s="90"/>
      <c r="K2867" s="91"/>
      <c r="L2867" s="88"/>
      <c r="M2867" s="92"/>
      <c r="N2867" s="86"/>
    </row>
    <row r="2868" spans="5:14">
      <c r="E2868" s="86"/>
      <c r="F2868" s="87"/>
      <c r="G2868" s="88"/>
      <c r="H2868" s="89"/>
      <c r="I2868" s="90"/>
      <c r="K2868" s="91"/>
      <c r="L2868" s="88"/>
      <c r="M2868" s="92"/>
      <c r="N2868" s="86"/>
    </row>
    <row r="2869" spans="5:14">
      <c r="E2869" s="86"/>
      <c r="F2869" s="87"/>
      <c r="G2869" s="88"/>
      <c r="H2869" s="89"/>
      <c r="I2869" s="90"/>
      <c r="K2869" s="91"/>
      <c r="L2869" s="88"/>
      <c r="M2869" s="92"/>
      <c r="N2869" s="86"/>
    </row>
    <row r="2870" spans="5:14">
      <c r="E2870" s="86"/>
      <c r="F2870" s="87"/>
      <c r="G2870" s="88"/>
      <c r="H2870" s="89"/>
      <c r="I2870" s="90"/>
      <c r="K2870" s="91"/>
      <c r="L2870" s="88"/>
      <c r="M2870" s="92"/>
      <c r="N2870" s="86"/>
    </row>
    <row r="2871" spans="5:14">
      <c r="E2871" s="86"/>
      <c r="F2871" s="87"/>
      <c r="G2871" s="88"/>
      <c r="H2871" s="89"/>
      <c r="I2871" s="90"/>
      <c r="K2871" s="91"/>
      <c r="L2871" s="88"/>
      <c r="M2871" s="92"/>
      <c r="N2871" s="86"/>
    </row>
    <row r="2872" spans="5:14">
      <c r="E2872" s="86"/>
      <c r="F2872" s="87"/>
      <c r="G2872" s="88"/>
      <c r="H2872" s="89"/>
      <c r="I2872" s="90"/>
      <c r="K2872" s="91"/>
      <c r="L2872" s="88"/>
      <c r="M2872" s="92"/>
      <c r="N2872" s="86"/>
    </row>
    <row r="2873" spans="5:14">
      <c r="E2873" s="86"/>
      <c r="F2873" s="87"/>
      <c r="G2873" s="88"/>
      <c r="H2873" s="89"/>
      <c r="I2873" s="90"/>
      <c r="K2873" s="91"/>
      <c r="L2873" s="88"/>
      <c r="M2873" s="92"/>
      <c r="N2873" s="86"/>
    </row>
    <row r="2874" spans="5:14">
      <c r="E2874" s="86"/>
      <c r="F2874" s="87"/>
      <c r="G2874" s="88"/>
      <c r="H2874" s="89"/>
      <c r="I2874" s="90"/>
      <c r="K2874" s="91"/>
      <c r="L2874" s="88"/>
      <c r="M2874" s="92"/>
      <c r="N2874" s="86"/>
    </row>
    <row r="2875" spans="5:14">
      <c r="E2875" s="86"/>
      <c r="F2875" s="87"/>
      <c r="G2875" s="88"/>
      <c r="H2875" s="89"/>
      <c r="I2875" s="90"/>
      <c r="K2875" s="91"/>
      <c r="L2875" s="88"/>
      <c r="M2875" s="92"/>
      <c r="N2875" s="86"/>
    </row>
    <row r="2876" spans="5:14">
      <c r="E2876" s="86"/>
      <c r="F2876" s="87"/>
      <c r="G2876" s="88"/>
      <c r="H2876" s="89"/>
      <c r="I2876" s="90"/>
      <c r="K2876" s="91"/>
      <c r="L2876" s="88"/>
      <c r="M2876" s="92"/>
      <c r="N2876" s="86"/>
    </row>
    <row r="2877" spans="5:14">
      <c r="E2877" s="86"/>
      <c r="F2877" s="87"/>
      <c r="G2877" s="88"/>
      <c r="H2877" s="89"/>
      <c r="I2877" s="90"/>
      <c r="K2877" s="91"/>
      <c r="L2877" s="88"/>
      <c r="M2877" s="92"/>
      <c r="N2877" s="86"/>
    </row>
    <row r="2878" spans="5:14">
      <c r="E2878" s="86"/>
      <c r="F2878" s="87"/>
      <c r="G2878" s="88"/>
      <c r="H2878" s="89"/>
      <c r="I2878" s="90"/>
      <c r="K2878" s="91"/>
      <c r="L2878" s="88"/>
      <c r="M2878" s="92"/>
      <c r="N2878" s="86"/>
    </row>
    <row r="2879" spans="5:14">
      <c r="E2879" s="86"/>
      <c r="F2879" s="87"/>
      <c r="G2879" s="88"/>
      <c r="H2879" s="89"/>
      <c r="I2879" s="90"/>
      <c r="K2879" s="91"/>
      <c r="L2879" s="88"/>
      <c r="M2879" s="92"/>
      <c r="N2879" s="86"/>
    </row>
    <row r="2880" spans="5:14">
      <c r="E2880" s="86"/>
      <c r="F2880" s="87"/>
      <c r="G2880" s="88"/>
      <c r="H2880" s="89"/>
      <c r="I2880" s="90"/>
      <c r="K2880" s="91"/>
      <c r="L2880" s="88"/>
      <c r="M2880" s="92"/>
      <c r="N2880" s="86"/>
    </row>
    <row r="2881" spans="5:14">
      <c r="E2881" s="86"/>
      <c r="F2881" s="87"/>
      <c r="G2881" s="88"/>
      <c r="H2881" s="89"/>
      <c r="I2881" s="90"/>
      <c r="K2881" s="91"/>
      <c r="L2881" s="88"/>
      <c r="M2881" s="92"/>
      <c r="N2881" s="86"/>
    </row>
    <row r="2882" spans="5:14">
      <c r="E2882" s="86"/>
      <c r="F2882" s="87"/>
      <c r="G2882" s="88"/>
      <c r="H2882" s="89"/>
      <c r="I2882" s="90"/>
      <c r="K2882" s="91"/>
      <c r="L2882" s="88"/>
      <c r="M2882" s="92"/>
      <c r="N2882" s="86"/>
    </row>
    <row r="2883" spans="5:14">
      <c r="E2883" s="86"/>
      <c r="F2883" s="87"/>
      <c r="G2883" s="88"/>
      <c r="H2883" s="89"/>
      <c r="I2883" s="90"/>
      <c r="K2883" s="91"/>
      <c r="L2883" s="88"/>
      <c r="M2883" s="92"/>
      <c r="N2883" s="86"/>
    </row>
    <row r="2884" spans="5:14">
      <c r="E2884" s="86"/>
      <c r="F2884" s="87"/>
      <c r="G2884" s="88"/>
      <c r="H2884" s="89"/>
      <c r="I2884" s="90"/>
      <c r="K2884" s="91"/>
      <c r="L2884" s="88"/>
      <c r="M2884" s="92"/>
      <c r="N2884" s="86"/>
    </row>
    <row r="2885" spans="5:14">
      <c r="E2885" s="86"/>
      <c r="F2885" s="87"/>
      <c r="G2885" s="88"/>
      <c r="H2885" s="89"/>
      <c r="I2885" s="90"/>
      <c r="K2885" s="91"/>
      <c r="L2885" s="88"/>
      <c r="M2885" s="92"/>
      <c r="N2885" s="86"/>
    </row>
    <row r="2886" spans="5:14">
      <c r="E2886" s="86"/>
      <c r="F2886" s="87"/>
      <c r="G2886" s="88"/>
      <c r="H2886" s="89"/>
      <c r="I2886" s="90"/>
      <c r="K2886" s="91"/>
      <c r="L2886" s="88"/>
      <c r="M2886" s="92"/>
      <c r="N2886" s="86"/>
    </row>
    <row r="2887" spans="5:14">
      <c r="E2887" s="86"/>
      <c r="F2887" s="87"/>
      <c r="G2887" s="88"/>
      <c r="H2887" s="89"/>
      <c r="I2887" s="90"/>
      <c r="K2887" s="91"/>
      <c r="L2887" s="88"/>
      <c r="M2887" s="92"/>
      <c r="N2887" s="86"/>
    </row>
    <row r="2888" spans="5:14">
      <c r="E2888" s="86"/>
      <c r="F2888" s="87"/>
      <c r="G2888" s="88"/>
      <c r="H2888" s="89"/>
      <c r="I2888" s="90"/>
      <c r="K2888" s="91"/>
      <c r="L2888" s="88"/>
      <c r="M2888" s="92"/>
      <c r="N2888" s="86"/>
    </row>
    <row r="2889" spans="5:14">
      <c r="E2889" s="86"/>
      <c r="F2889" s="87"/>
      <c r="G2889" s="88"/>
      <c r="H2889" s="89"/>
      <c r="I2889" s="90"/>
      <c r="K2889" s="91"/>
      <c r="L2889" s="88"/>
      <c r="M2889" s="92"/>
      <c r="N2889" s="86"/>
    </row>
    <row r="2890" spans="5:14">
      <c r="E2890" s="86"/>
      <c r="F2890" s="87"/>
      <c r="G2890" s="88"/>
      <c r="H2890" s="89"/>
      <c r="I2890" s="90"/>
      <c r="K2890" s="91"/>
      <c r="L2890" s="88"/>
      <c r="M2890" s="92"/>
      <c r="N2890" s="86"/>
    </row>
    <row r="2891" spans="5:14">
      <c r="E2891" s="86"/>
      <c r="F2891" s="87"/>
      <c r="G2891" s="88"/>
      <c r="H2891" s="89"/>
      <c r="I2891" s="90"/>
      <c r="K2891" s="91"/>
      <c r="L2891" s="88"/>
      <c r="M2891" s="92"/>
      <c r="N2891" s="86"/>
    </row>
    <row r="2892" spans="5:14">
      <c r="E2892" s="86"/>
      <c r="F2892" s="87"/>
      <c r="G2892" s="88"/>
      <c r="H2892" s="89"/>
      <c r="I2892" s="90"/>
      <c r="K2892" s="91"/>
      <c r="L2892" s="88"/>
      <c r="M2892" s="92"/>
      <c r="N2892" s="86"/>
    </row>
    <row r="2893" spans="5:14">
      <c r="E2893" s="86"/>
      <c r="F2893" s="87"/>
      <c r="G2893" s="88"/>
      <c r="H2893" s="89"/>
      <c r="I2893" s="90"/>
      <c r="K2893" s="91"/>
      <c r="L2893" s="88"/>
      <c r="M2893" s="92"/>
      <c r="N2893" s="86"/>
    </row>
    <row r="2894" spans="5:14">
      <c r="E2894" s="86"/>
      <c r="F2894" s="87"/>
      <c r="G2894" s="88"/>
      <c r="H2894" s="89"/>
      <c r="I2894" s="90"/>
      <c r="K2894" s="91"/>
      <c r="L2894" s="88"/>
      <c r="M2894" s="92"/>
      <c r="N2894" s="86"/>
    </row>
    <row r="2895" spans="5:14">
      <c r="E2895" s="86"/>
      <c r="F2895" s="87"/>
      <c r="G2895" s="88"/>
      <c r="H2895" s="89"/>
      <c r="I2895" s="90"/>
      <c r="K2895" s="91"/>
      <c r="L2895" s="88"/>
      <c r="M2895" s="92"/>
      <c r="N2895" s="86"/>
    </row>
    <row r="2896" spans="5:14">
      <c r="E2896" s="86"/>
      <c r="F2896" s="87"/>
      <c r="G2896" s="88"/>
      <c r="H2896" s="89"/>
      <c r="I2896" s="90"/>
      <c r="K2896" s="91"/>
      <c r="L2896" s="88"/>
      <c r="M2896" s="92"/>
      <c r="N2896" s="86"/>
    </row>
    <row r="2897" spans="5:14">
      <c r="E2897" s="86"/>
      <c r="F2897" s="87"/>
      <c r="G2897" s="88"/>
      <c r="H2897" s="89"/>
      <c r="I2897" s="90"/>
      <c r="K2897" s="91"/>
      <c r="L2897" s="88"/>
      <c r="M2897" s="92"/>
      <c r="N2897" s="86"/>
    </row>
    <row r="2898" spans="5:14">
      <c r="E2898" s="86"/>
      <c r="F2898" s="87"/>
      <c r="G2898" s="88"/>
      <c r="H2898" s="89"/>
      <c r="I2898" s="90"/>
      <c r="K2898" s="91"/>
      <c r="L2898" s="88"/>
      <c r="M2898" s="92"/>
      <c r="N2898" s="86"/>
    </row>
    <row r="2899" spans="5:14">
      <c r="E2899" s="86"/>
      <c r="F2899" s="87"/>
      <c r="G2899" s="88"/>
      <c r="H2899" s="89"/>
      <c r="I2899" s="90"/>
      <c r="K2899" s="91"/>
      <c r="L2899" s="88"/>
      <c r="M2899" s="92"/>
      <c r="N2899" s="86"/>
    </row>
    <row r="2900" spans="5:14">
      <c r="E2900" s="86"/>
      <c r="F2900" s="87"/>
      <c r="G2900" s="88"/>
      <c r="H2900" s="89"/>
      <c r="I2900" s="90"/>
      <c r="K2900" s="91"/>
      <c r="L2900" s="88"/>
      <c r="M2900" s="92"/>
      <c r="N2900" s="86"/>
    </row>
    <row r="2901" spans="5:14">
      <c r="E2901" s="86"/>
      <c r="F2901" s="87"/>
      <c r="G2901" s="88"/>
      <c r="H2901" s="89"/>
      <c r="I2901" s="90"/>
      <c r="K2901" s="91"/>
      <c r="L2901" s="88"/>
      <c r="M2901" s="92"/>
      <c r="N2901" s="86"/>
    </row>
    <row r="2902" spans="5:14">
      <c r="E2902" s="86"/>
      <c r="F2902" s="87"/>
      <c r="G2902" s="88"/>
      <c r="H2902" s="89"/>
      <c r="I2902" s="90"/>
      <c r="K2902" s="91"/>
      <c r="L2902" s="88"/>
      <c r="M2902" s="92"/>
      <c r="N2902" s="86"/>
    </row>
    <row r="2903" spans="5:14">
      <c r="E2903" s="86"/>
      <c r="F2903" s="87"/>
      <c r="G2903" s="88"/>
      <c r="H2903" s="89"/>
      <c r="I2903" s="90"/>
      <c r="K2903" s="91"/>
      <c r="L2903" s="88"/>
      <c r="M2903" s="92"/>
      <c r="N2903" s="86"/>
    </row>
    <row r="2904" spans="5:14">
      <c r="E2904" s="86"/>
      <c r="F2904" s="87"/>
      <c r="G2904" s="88"/>
      <c r="H2904" s="89"/>
      <c r="I2904" s="90"/>
      <c r="K2904" s="91"/>
      <c r="L2904" s="88"/>
      <c r="M2904" s="92"/>
      <c r="N2904" s="86"/>
    </row>
    <row r="2905" spans="5:14">
      <c r="E2905" s="86"/>
      <c r="F2905" s="87"/>
      <c r="G2905" s="88"/>
      <c r="H2905" s="89"/>
      <c r="I2905" s="90"/>
      <c r="K2905" s="91"/>
      <c r="L2905" s="88"/>
      <c r="M2905" s="92"/>
      <c r="N2905" s="86"/>
    </row>
    <row r="2906" spans="5:14">
      <c r="E2906" s="86"/>
      <c r="F2906" s="87"/>
      <c r="G2906" s="88"/>
      <c r="H2906" s="89"/>
      <c r="I2906" s="90"/>
      <c r="K2906" s="91"/>
      <c r="L2906" s="88"/>
      <c r="M2906" s="92"/>
      <c r="N2906" s="86"/>
    </row>
    <row r="2907" spans="5:14">
      <c r="E2907" s="86"/>
      <c r="F2907" s="87"/>
      <c r="G2907" s="88"/>
      <c r="H2907" s="89"/>
      <c r="I2907" s="90"/>
      <c r="K2907" s="91"/>
      <c r="L2907" s="88"/>
      <c r="M2907" s="92"/>
      <c r="N2907" s="86"/>
    </row>
    <row r="2908" spans="5:14">
      <c r="E2908" s="86"/>
      <c r="F2908" s="87"/>
      <c r="G2908" s="88"/>
      <c r="H2908" s="89"/>
      <c r="I2908" s="90"/>
      <c r="K2908" s="91"/>
      <c r="L2908" s="88"/>
      <c r="M2908" s="92"/>
      <c r="N2908" s="86"/>
    </row>
    <row r="2909" spans="5:14">
      <c r="E2909" s="86"/>
      <c r="F2909" s="87"/>
      <c r="G2909" s="88"/>
      <c r="H2909" s="89"/>
      <c r="I2909" s="90"/>
      <c r="K2909" s="91"/>
      <c r="L2909" s="88"/>
      <c r="M2909" s="92"/>
      <c r="N2909" s="86"/>
    </row>
    <row r="2910" spans="5:14">
      <c r="E2910" s="86"/>
      <c r="F2910" s="87"/>
      <c r="G2910" s="88"/>
      <c r="H2910" s="89"/>
      <c r="I2910" s="90"/>
      <c r="K2910" s="91"/>
      <c r="L2910" s="88"/>
      <c r="M2910" s="92"/>
      <c r="N2910" s="86"/>
    </row>
    <row r="2911" spans="5:14">
      <c r="E2911" s="86"/>
      <c r="F2911" s="87"/>
      <c r="G2911" s="88"/>
      <c r="H2911" s="89"/>
      <c r="I2911" s="90"/>
      <c r="K2911" s="91"/>
      <c r="L2911" s="88"/>
      <c r="M2911" s="92"/>
      <c r="N2911" s="86"/>
    </row>
    <row r="2912" spans="5:14">
      <c r="E2912" s="86"/>
      <c r="F2912" s="87"/>
      <c r="G2912" s="88"/>
      <c r="H2912" s="89"/>
      <c r="I2912" s="90"/>
      <c r="K2912" s="91"/>
      <c r="L2912" s="88"/>
      <c r="M2912" s="92"/>
      <c r="N2912" s="86"/>
    </row>
    <row r="2913" spans="5:14">
      <c r="E2913" s="86"/>
      <c r="F2913" s="87"/>
      <c r="G2913" s="88"/>
      <c r="H2913" s="89"/>
      <c r="I2913" s="90"/>
      <c r="K2913" s="91"/>
      <c r="L2913" s="88"/>
      <c r="M2913" s="92"/>
      <c r="N2913" s="86"/>
    </row>
    <row r="2914" spans="5:14">
      <c r="E2914" s="86"/>
      <c r="F2914" s="87"/>
      <c r="G2914" s="88"/>
      <c r="H2914" s="89"/>
      <c r="I2914" s="90"/>
      <c r="K2914" s="91"/>
      <c r="L2914" s="88"/>
      <c r="M2914" s="92"/>
      <c r="N2914" s="86"/>
    </row>
    <row r="2915" spans="5:14">
      <c r="E2915" s="86"/>
      <c r="F2915" s="87"/>
      <c r="G2915" s="88"/>
      <c r="H2915" s="89"/>
      <c r="I2915" s="90"/>
      <c r="K2915" s="91"/>
      <c r="L2915" s="88"/>
      <c r="M2915" s="92"/>
      <c r="N2915" s="86"/>
    </row>
    <row r="2916" spans="5:14">
      <c r="E2916" s="86"/>
      <c r="F2916" s="87"/>
      <c r="G2916" s="88"/>
      <c r="H2916" s="89"/>
      <c r="I2916" s="90"/>
      <c r="K2916" s="91"/>
      <c r="L2916" s="88"/>
      <c r="M2916" s="92"/>
      <c r="N2916" s="86"/>
    </row>
    <row r="2917" spans="5:14">
      <c r="E2917" s="86"/>
      <c r="F2917" s="87"/>
      <c r="G2917" s="88"/>
      <c r="H2917" s="89"/>
      <c r="I2917" s="90"/>
      <c r="K2917" s="91"/>
      <c r="L2917" s="88"/>
      <c r="M2917" s="92"/>
      <c r="N2917" s="86"/>
    </row>
    <row r="2918" spans="5:14">
      <c r="E2918" s="86"/>
      <c r="F2918" s="87"/>
      <c r="G2918" s="88"/>
      <c r="H2918" s="89"/>
      <c r="I2918" s="90"/>
      <c r="K2918" s="91"/>
      <c r="L2918" s="88"/>
      <c r="M2918" s="92"/>
      <c r="N2918" s="86"/>
    </row>
    <row r="2919" spans="5:14">
      <c r="E2919" s="86"/>
      <c r="F2919" s="87"/>
      <c r="G2919" s="88"/>
      <c r="H2919" s="89"/>
      <c r="I2919" s="90"/>
      <c r="K2919" s="91"/>
      <c r="L2919" s="88"/>
      <c r="M2919" s="92"/>
      <c r="N2919" s="86"/>
    </row>
    <row r="2920" spans="5:14">
      <c r="E2920" s="86"/>
      <c r="F2920" s="87"/>
      <c r="G2920" s="88"/>
      <c r="H2920" s="89"/>
      <c r="I2920" s="90"/>
      <c r="K2920" s="91"/>
      <c r="L2920" s="88"/>
      <c r="M2920" s="92"/>
      <c r="N2920" s="86"/>
    </row>
    <row r="2921" spans="5:14">
      <c r="E2921" s="86"/>
      <c r="F2921" s="87"/>
      <c r="G2921" s="88"/>
      <c r="H2921" s="89"/>
      <c r="I2921" s="90"/>
      <c r="K2921" s="91"/>
      <c r="L2921" s="88"/>
      <c r="M2921" s="92"/>
      <c r="N2921" s="86"/>
    </row>
    <row r="2922" spans="5:14">
      <c r="E2922" s="86"/>
      <c r="F2922" s="87"/>
      <c r="G2922" s="88"/>
      <c r="H2922" s="89"/>
      <c r="I2922" s="90"/>
      <c r="K2922" s="91"/>
      <c r="L2922" s="88"/>
      <c r="M2922" s="92"/>
      <c r="N2922" s="86"/>
    </row>
    <row r="2923" spans="5:14">
      <c r="E2923" s="86"/>
      <c r="F2923" s="87"/>
      <c r="G2923" s="88"/>
      <c r="H2923" s="89"/>
      <c r="I2923" s="90"/>
      <c r="K2923" s="91"/>
      <c r="L2923" s="88"/>
      <c r="M2923" s="92"/>
      <c r="N2923" s="86"/>
    </row>
    <row r="2924" spans="5:14">
      <c r="E2924" s="86"/>
      <c r="F2924" s="87"/>
      <c r="G2924" s="88"/>
      <c r="H2924" s="89"/>
      <c r="I2924" s="90"/>
      <c r="K2924" s="91"/>
      <c r="L2924" s="88"/>
      <c r="M2924" s="92"/>
      <c r="N2924" s="86"/>
    </row>
    <row r="2925" spans="5:14">
      <c r="E2925" s="86"/>
      <c r="F2925" s="87"/>
      <c r="G2925" s="88"/>
      <c r="H2925" s="89"/>
      <c r="I2925" s="90"/>
      <c r="K2925" s="91"/>
      <c r="L2925" s="88"/>
      <c r="M2925" s="92"/>
      <c r="N2925" s="86"/>
    </row>
    <row r="2926" spans="5:14">
      <c r="E2926" s="86"/>
      <c r="F2926" s="87"/>
      <c r="G2926" s="88"/>
      <c r="H2926" s="89"/>
      <c r="I2926" s="90"/>
      <c r="K2926" s="91"/>
      <c r="L2926" s="88"/>
      <c r="M2926" s="92"/>
      <c r="N2926" s="86"/>
    </row>
    <row r="2927" spans="5:14">
      <c r="E2927" s="86"/>
      <c r="F2927" s="87"/>
      <c r="G2927" s="88"/>
      <c r="H2927" s="89"/>
      <c r="I2927" s="90"/>
      <c r="K2927" s="91"/>
      <c r="L2927" s="88"/>
      <c r="M2927" s="92"/>
      <c r="N2927" s="86"/>
    </row>
    <row r="2928" spans="5:14">
      <c r="E2928" s="86"/>
      <c r="F2928" s="87"/>
      <c r="G2928" s="88"/>
      <c r="H2928" s="89"/>
      <c r="I2928" s="90"/>
      <c r="K2928" s="91"/>
      <c r="L2928" s="88"/>
      <c r="M2928" s="92"/>
      <c r="N2928" s="86"/>
    </row>
    <row r="2929" spans="5:14">
      <c r="E2929" s="86"/>
      <c r="F2929" s="87"/>
      <c r="G2929" s="88"/>
      <c r="H2929" s="89"/>
      <c r="I2929" s="90"/>
      <c r="K2929" s="91"/>
      <c r="L2929" s="88"/>
      <c r="M2929" s="92"/>
      <c r="N2929" s="86"/>
    </row>
    <row r="2930" spans="5:14">
      <c r="E2930" s="86"/>
      <c r="F2930" s="87"/>
      <c r="G2930" s="88"/>
      <c r="H2930" s="89"/>
      <c r="I2930" s="90"/>
      <c r="K2930" s="91"/>
      <c r="L2930" s="88"/>
      <c r="M2930" s="92"/>
      <c r="N2930" s="86"/>
    </row>
    <row r="2931" spans="5:14">
      <c r="E2931" s="86"/>
      <c r="F2931" s="87"/>
      <c r="G2931" s="88"/>
      <c r="H2931" s="89"/>
      <c r="I2931" s="90"/>
      <c r="K2931" s="91"/>
      <c r="L2931" s="88"/>
      <c r="M2931" s="92"/>
      <c r="N2931" s="86"/>
    </row>
    <row r="2932" spans="5:14">
      <c r="E2932" s="86"/>
      <c r="F2932" s="87"/>
      <c r="G2932" s="88"/>
      <c r="H2932" s="89"/>
      <c r="I2932" s="90"/>
      <c r="K2932" s="91"/>
      <c r="L2932" s="88"/>
      <c r="M2932" s="92"/>
      <c r="N2932" s="86"/>
    </row>
    <row r="2933" spans="5:14">
      <c r="E2933" s="86"/>
      <c r="F2933" s="87"/>
      <c r="G2933" s="88"/>
      <c r="H2933" s="89"/>
      <c r="I2933" s="90"/>
      <c r="K2933" s="91"/>
      <c r="L2933" s="88"/>
      <c r="M2933" s="92"/>
      <c r="N2933" s="86"/>
    </row>
    <row r="2934" spans="5:14">
      <c r="E2934" s="86"/>
      <c r="F2934" s="87"/>
      <c r="G2934" s="88"/>
      <c r="H2934" s="89"/>
      <c r="I2934" s="90"/>
      <c r="K2934" s="91"/>
      <c r="L2934" s="88"/>
      <c r="M2934" s="92"/>
      <c r="N2934" s="86"/>
    </row>
    <row r="2935" spans="5:14">
      <c r="E2935" s="86"/>
      <c r="F2935" s="87"/>
      <c r="G2935" s="88"/>
      <c r="H2935" s="89"/>
      <c r="I2935" s="90"/>
      <c r="K2935" s="91"/>
      <c r="L2935" s="88"/>
      <c r="M2935" s="92"/>
      <c r="N2935" s="86"/>
    </row>
    <row r="2936" spans="5:14">
      <c r="E2936" s="86"/>
      <c r="F2936" s="87"/>
      <c r="G2936" s="88"/>
      <c r="H2936" s="89"/>
      <c r="I2936" s="90"/>
      <c r="K2936" s="91"/>
      <c r="L2936" s="88"/>
      <c r="M2936" s="92"/>
      <c r="N2936" s="86"/>
    </row>
    <row r="2937" spans="5:14">
      <c r="E2937" s="86"/>
      <c r="F2937" s="87"/>
      <c r="G2937" s="88"/>
      <c r="H2937" s="89"/>
      <c r="I2937" s="90"/>
      <c r="K2937" s="91"/>
      <c r="L2937" s="88"/>
      <c r="M2937" s="92"/>
      <c r="N2937" s="86"/>
    </row>
    <row r="2938" spans="5:14">
      <c r="E2938" s="86"/>
      <c r="F2938" s="87"/>
      <c r="G2938" s="88"/>
      <c r="H2938" s="89"/>
      <c r="I2938" s="90"/>
      <c r="K2938" s="91"/>
      <c r="L2938" s="88"/>
      <c r="M2938" s="92"/>
      <c r="N2938" s="86"/>
    </row>
    <row r="2939" spans="5:14">
      <c r="E2939" s="86"/>
      <c r="F2939" s="87"/>
      <c r="G2939" s="88"/>
      <c r="H2939" s="89"/>
      <c r="I2939" s="90"/>
      <c r="K2939" s="91"/>
      <c r="L2939" s="88"/>
      <c r="M2939" s="92"/>
      <c r="N2939" s="86"/>
    </row>
    <row r="2940" spans="5:14">
      <c r="E2940" s="86"/>
      <c r="F2940" s="87"/>
      <c r="G2940" s="88"/>
      <c r="H2940" s="89"/>
      <c r="I2940" s="90"/>
      <c r="K2940" s="91"/>
      <c r="L2940" s="88"/>
      <c r="M2940" s="92"/>
      <c r="N2940" s="86"/>
    </row>
    <row r="2941" spans="5:14">
      <c r="E2941" s="86"/>
      <c r="F2941" s="87"/>
      <c r="G2941" s="88"/>
      <c r="H2941" s="89"/>
      <c r="I2941" s="90"/>
      <c r="K2941" s="91"/>
      <c r="L2941" s="88"/>
      <c r="M2941" s="92"/>
      <c r="N2941" s="86"/>
    </row>
    <row r="2942" spans="5:14">
      <c r="E2942" s="86"/>
      <c r="F2942" s="87"/>
      <c r="G2942" s="88"/>
      <c r="H2942" s="89"/>
      <c r="I2942" s="90"/>
      <c r="K2942" s="91"/>
      <c r="L2942" s="88"/>
      <c r="M2942" s="92"/>
      <c r="N2942" s="86"/>
    </row>
    <row r="2943" spans="5:14">
      <c r="E2943" s="86"/>
      <c r="F2943" s="87"/>
      <c r="G2943" s="88"/>
      <c r="H2943" s="89"/>
      <c r="I2943" s="90"/>
      <c r="K2943" s="91"/>
      <c r="L2943" s="88"/>
      <c r="M2943" s="92"/>
      <c r="N2943" s="86"/>
    </row>
    <row r="2944" spans="5:14">
      <c r="E2944" s="86"/>
      <c r="F2944" s="87"/>
      <c r="G2944" s="88"/>
      <c r="H2944" s="89"/>
      <c r="I2944" s="90"/>
      <c r="K2944" s="91"/>
      <c r="L2944" s="88"/>
      <c r="M2944" s="92"/>
      <c r="N2944" s="86"/>
    </row>
    <row r="2945" spans="5:14">
      <c r="E2945" s="86"/>
      <c r="F2945" s="87"/>
      <c r="G2945" s="88"/>
      <c r="H2945" s="89"/>
      <c r="I2945" s="90"/>
      <c r="K2945" s="91"/>
      <c r="L2945" s="88"/>
      <c r="M2945" s="92"/>
      <c r="N2945" s="86"/>
    </row>
    <row r="2946" spans="5:14">
      <c r="E2946" s="86"/>
      <c r="F2946" s="87"/>
      <c r="G2946" s="88"/>
      <c r="H2946" s="89"/>
      <c r="I2946" s="90"/>
      <c r="K2946" s="91"/>
      <c r="L2946" s="88"/>
      <c r="M2946" s="92"/>
      <c r="N2946" s="86"/>
    </row>
    <row r="2947" spans="5:14">
      <c r="E2947" s="86"/>
      <c r="F2947" s="87"/>
      <c r="G2947" s="88"/>
      <c r="H2947" s="89"/>
      <c r="I2947" s="90"/>
      <c r="K2947" s="91"/>
      <c r="L2947" s="88"/>
      <c r="M2947" s="92"/>
      <c r="N2947" s="86"/>
    </row>
    <row r="2948" spans="5:14">
      <c r="E2948" s="86"/>
      <c r="F2948" s="87"/>
      <c r="G2948" s="88"/>
      <c r="H2948" s="89"/>
      <c r="I2948" s="90"/>
      <c r="K2948" s="91"/>
      <c r="L2948" s="88"/>
      <c r="M2948" s="92"/>
      <c r="N2948" s="86"/>
    </row>
    <row r="2949" spans="5:14">
      <c r="E2949" s="86"/>
      <c r="F2949" s="87"/>
      <c r="G2949" s="88"/>
      <c r="H2949" s="89"/>
      <c r="I2949" s="90"/>
      <c r="K2949" s="91"/>
      <c r="L2949" s="88"/>
      <c r="M2949" s="92"/>
      <c r="N2949" s="86"/>
    </row>
    <row r="2950" spans="5:14">
      <c r="E2950" s="86"/>
      <c r="F2950" s="87"/>
      <c r="G2950" s="88"/>
      <c r="H2950" s="89"/>
      <c r="I2950" s="90"/>
      <c r="K2950" s="91"/>
      <c r="L2950" s="88"/>
      <c r="M2950" s="92"/>
      <c r="N2950" s="86"/>
    </row>
    <row r="2951" spans="5:14">
      <c r="E2951" s="86"/>
      <c r="F2951" s="87"/>
      <c r="G2951" s="88"/>
      <c r="H2951" s="89"/>
      <c r="I2951" s="90"/>
      <c r="K2951" s="91"/>
      <c r="L2951" s="88"/>
      <c r="M2951" s="92"/>
      <c r="N2951" s="86"/>
    </row>
    <row r="2952" spans="5:14">
      <c r="E2952" s="86"/>
      <c r="F2952" s="87"/>
      <c r="G2952" s="88"/>
      <c r="H2952" s="89"/>
      <c r="I2952" s="90"/>
      <c r="K2952" s="91"/>
      <c r="L2952" s="88"/>
      <c r="M2952" s="92"/>
      <c r="N2952" s="86"/>
    </row>
    <row r="2953" spans="5:14">
      <c r="E2953" s="86"/>
      <c r="F2953" s="87"/>
      <c r="G2953" s="88"/>
      <c r="H2953" s="89"/>
      <c r="I2953" s="90"/>
      <c r="K2953" s="91"/>
      <c r="L2953" s="88"/>
      <c r="M2953" s="92"/>
      <c r="N2953" s="86"/>
    </row>
    <row r="2954" spans="5:14">
      <c r="E2954" s="86"/>
      <c r="F2954" s="87"/>
      <c r="G2954" s="88"/>
      <c r="H2954" s="89"/>
      <c r="I2954" s="90"/>
      <c r="K2954" s="91"/>
      <c r="L2954" s="88"/>
      <c r="M2954" s="92"/>
      <c r="N2954" s="86"/>
    </row>
    <row r="2955" spans="5:14">
      <c r="E2955" s="86"/>
      <c r="F2955" s="87"/>
      <c r="G2955" s="88"/>
      <c r="H2955" s="89"/>
      <c r="I2955" s="90"/>
      <c r="K2955" s="91"/>
      <c r="L2955" s="88"/>
      <c r="M2955" s="92"/>
      <c r="N2955" s="86"/>
    </row>
    <row r="2956" spans="5:14">
      <c r="E2956" s="86"/>
      <c r="F2956" s="87"/>
      <c r="G2956" s="88"/>
      <c r="H2956" s="89"/>
      <c r="I2956" s="90"/>
      <c r="K2956" s="91"/>
      <c r="L2956" s="88"/>
      <c r="M2956" s="92"/>
      <c r="N2956" s="86"/>
    </row>
    <row r="2957" spans="5:14">
      <c r="E2957" s="86"/>
      <c r="F2957" s="87"/>
      <c r="G2957" s="88"/>
      <c r="H2957" s="89"/>
      <c r="I2957" s="90"/>
      <c r="K2957" s="91"/>
      <c r="L2957" s="88"/>
      <c r="M2957" s="92"/>
      <c r="N2957" s="86"/>
    </row>
    <row r="2958" spans="5:14">
      <c r="E2958" s="86"/>
      <c r="F2958" s="87"/>
      <c r="G2958" s="88"/>
      <c r="H2958" s="89"/>
      <c r="I2958" s="90"/>
      <c r="K2958" s="91"/>
      <c r="L2958" s="88"/>
      <c r="M2958" s="92"/>
      <c r="N2958" s="86"/>
    </row>
    <row r="2959" spans="5:14">
      <c r="E2959" s="86"/>
      <c r="F2959" s="87"/>
      <c r="G2959" s="88"/>
      <c r="H2959" s="89"/>
      <c r="I2959" s="90"/>
      <c r="K2959" s="91"/>
      <c r="L2959" s="88"/>
      <c r="M2959" s="92"/>
      <c r="N2959" s="86"/>
    </row>
    <row r="2960" spans="5:14">
      <c r="E2960" s="86"/>
      <c r="F2960" s="87"/>
      <c r="G2960" s="88"/>
      <c r="H2960" s="89"/>
      <c r="I2960" s="90"/>
      <c r="K2960" s="91"/>
      <c r="L2960" s="88"/>
      <c r="M2960" s="92"/>
      <c r="N2960" s="86"/>
    </row>
    <row r="2961" spans="5:14">
      <c r="E2961" s="86"/>
      <c r="F2961" s="87"/>
      <c r="G2961" s="88"/>
      <c r="H2961" s="89"/>
      <c r="I2961" s="90"/>
      <c r="K2961" s="91"/>
      <c r="L2961" s="88"/>
      <c r="M2961" s="92"/>
      <c r="N2961" s="86"/>
    </row>
    <row r="2962" spans="5:14">
      <c r="E2962" s="86"/>
      <c r="F2962" s="87"/>
      <c r="G2962" s="88"/>
      <c r="H2962" s="89"/>
      <c r="I2962" s="90"/>
      <c r="K2962" s="91"/>
      <c r="L2962" s="88"/>
      <c r="M2962" s="92"/>
      <c r="N2962" s="86"/>
    </row>
    <row r="2963" spans="5:14">
      <c r="E2963" s="86"/>
      <c r="F2963" s="87"/>
      <c r="G2963" s="88"/>
      <c r="H2963" s="89"/>
      <c r="I2963" s="90"/>
      <c r="K2963" s="91"/>
      <c r="L2963" s="88"/>
      <c r="M2963" s="92"/>
      <c r="N2963" s="86"/>
    </row>
    <row r="2964" spans="5:14">
      <c r="E2964" s="86"/>
      <c r="F2964" s="87"/>
      <c r="G2964" s="88"/>
      <c r="H2964" s="89"/>
      <c r="I2964" s="90"/>
      <c r="K2964" s="91"/>
      <c r="L2964" s="88"/>
      <c r="M2964" s="92"/>
      <c r="N2964" s="86"/>
    </row>
    <row r="2965" spans="5:14">
      <c r="E2965" s="86"/>
      <c r="F2965" s="87"/>
      <c r="G2965" s="88"/>
      <c r="H2965" s="89"/>
      <c r="I2965" s="90"/>
      <c r="K2965" s="91"/>
      <c r="L2965" s="88"/>
      <c r="M2965" s="92"/>
      <c r="N2965" s="86"/>
    </row>
    <row r="2966" spans="5:14">
      <c r="E2966" s="86"/>
      <c r="F2966" s="87"/>
      <c r="G2966" s="88"/>
      <c r="H2966" s="89"/>
      <c r="I2966" s="90"/>
      <c r="K2966" s="91"/>
      <c r="L2966" s="88"/>
      <c r="M2966" s="92"/>
      <c r="N2966" s="86"/>
    </row>
    <row r="2967" spans="5:14">
      <c r="E2967" s="86"/>
      <c r="F2967" s="87"/>
      <c r="G2967" s="88"/>
      <c r="H2967" s="89"/>
      <c r="I2967" s="90"/>
      <c r="K2967" s="91"/>
      <c r="L2967" s="88"/>
      <c r="M2967" s="92"/>
      <c r="N2967" s="86"/>
    </row>
    <row r="2968" spans="5:14">
      <c r="E2968" s="86"/>
      <c r="F2968" s="87"/>
      <c r="G2968" s="88"/>
      <c r="H2968" s="89"/>
      <c r="I2968" s="90"/>
      <c r="K2968" s="91"/>
      <c r="L2968" s="88"/>
      <c r="M2968" s="92"/>
      <c r="N2968" s="86"/>
    </row>
    <row r="2969" spans="5:14">
      <c r="E2969" s="86"/>
      <c r="F2969" s="87"/>
      <c r="G2969" s="88"/>
      <c r="H2969" s="89"/>
      <c r="I2969" s="90"/>
      <c r="K2969" s="91"/>
      <c r="L2969" s="88"/>
      <c r="M2969" s="92"/>
      <c r="N2969" s="86"/>
    </row>
    <row r="2970" spans="5:14">
      <c r="E2970" s="86"/>
      <c r="F2970" s="87"/>
      <c r="G2970" s="88"/>
      <c r="H2970" s="89"/>
      <c r="I2970" s="90"/>
      <c r="K2970" s="91"/>
      <c r="L2970" s="88"/>
      <c r="M2970" s="92"/>
      <c r="N2970" s="86"/>
    </row>
    <row r="2971" spans="5:14">
      <c r="E2971" s="86"/>
      <c r="F2971" s="87"/>
      <c r="G2971" s="88"/>
      <c r="H2971" s="89"/>
      <c r="I2971" s="90"/>
      <c r="K2971" s="91"/>
      <c r="L2971" s="88"/>
      <c r="M2971" s="92"/>
      <c r="N2971" s="86"/>
    </row>
    <row r="2972" spans="5:14">
      <c r="E2972" s="86"/>
      <c r="F2972" s="87"/>
      <c r="G2972" s="88"/>
      <c r="H2972" s="89"/>
      <c r="I2972" s="90"/>
      <c r="K2972" s="91"/>
      <c r="L2972" s="88"/>
      <c r="M2972" s="92"/>
      <c r="N2972" s="86"/>
    </row>
    <row r="2973" spans="5:14">
      <c r="E2973" s="86"/>
      <c r="F2973" s="87"/>
      <c r="G2973" s="88"/>
      <c r="H2973" s="89"/>
      <c r="I2973" s="90"/>
      <c r="K2973" s="91"/>
      <c r="L2973" s="88"/>
      <c r="M2973" s="92"/>
      <c r="N2973" s="86"/>
    </row>
    <row r="2974" spans="5:14">
      <c r="E2974" s="86"/>
      <c r="F2974" s="87"/>
      <c r="G2974" s="88"/>
      <c r="H2974" s="89"/>
      <c r="I2974" s="90"/>
      <c r="K2974" s="91"/>
      <c r="L2974" s="88"/>
      <c r="M2974" s="92"/>
      <c r="N2974" s="86"/>
    </row>
    <row r="2975" spans="5:14">
      <c r="E2975" s="86"/>
      <c r="F2975" s="87"/>
      <c r="G2975" s="88"/>
      <c r="H2975" s="89"/>
      <c r="I2975" s="90"/>
      <c r="K2975" s="91"/>
      <c r="L2975" s="88"/>
      <c r="M2975" s="92"/>
      <c r="N2975" s="86"/>
    </row>
    <row r="2976" spans="5:14">
      <c r="E2976" s="86"/>
      <c r="F2976" s="87"/>
      <c r="G2976" s="88"/>
      <c r="H2976" s="89"/>
      <c r="I2976" s="90"/>
      <c r="K2976" s="91"/>
      <c r="L2976" s="88"/>
      <c r="M2976" s="92"/>
      <c r="N2976" s="86"/>
    </row>
    <row r="2977" spans="5:14">
      <c r="E2977" s="86"/>
      <c r="F2977" s="87"/>
      <c r="G2977" s="88"/>
      <c r="H2977" s="89"/>
      <c r="I2977" s="90"/>
      <c r="K2977" s="91"/>
      <c r="L2977" s="88"/>
      <c r="M2977" s="92"/>
      <c r="N2977" s="86"/>
    </row>
    <row r="2978" spans="5:14">
      <c r="E2978" s="86"/>
      <c r="F2978" s="87"/>
      <c r="G2978" s="88"/>
      <c r="H2978" s="89"/>
      <c r="I2978" s="90"/>
      <c r="K2978" s="91"/>
      <c r="L2978" s="88"/>
      <c r="M2978" s="92"/>
      <c r="N2978" s="86"/>
    </row>
    <row r="2979" spans="5:14">
      <c r="E2979" s="86"/>
      <c r="F2979" s="87"/>
      <c r="G2979" s="88"/>
      <c r="H2979" s="89"/>
      <c r="I2979" s="90"/>
      <c r="K2979" s="91"/>
      <c r="L2979" s="88"/>
      <c r="M2979" s="92"/>
      <c r="N2979" s="86"/>
    </row>
    <row r="2980" spans="5:14">
      <c r="E2980" s="86"/>
      <c r="F2980" s="87"/>
      <c r="G2980" s="88"/>
      <c r="H2980" s="89"/>
      <c r="I2980" s="90"/>
      <c r="K2980" s="91"/>
      <c r="L2980" s="88"/>
      <c r="M2980" s="92"/>
      <c r="N2980" s="86"/>
    </row>
    <row r="2981" spans="5:14">
      <c r="E2981" s="86"/>
      <c r="F2981" s="87"/>
      <c r="G2981" s="88"/>
      <c r="H2981" s="89"/>
      <c r="I2981" s="90"/>
      <c r="K2981" s="91"/>
      <c r="L2981" s="88"/>
      <c r="M2981" s="92"/>
      <c r="N2981" s="86"/>
    </row>
    <row r="2982" spans="5:14">
      <c r="E2982" s="86"/>
      <c r="F2982" s="87"/>
      <c r="G2982" s="88"/>
      <c r="H2982" s="89"/>
      <c r="I2982" s="90"/>
      <c r="K2982" s="91"/>
      <c r="L2982" s="88"/>
      <c r="M2982" s="92"/>
      <c r="N2982" s="86"/>
    </row>
    <row r="2983" spans="5:14">
      <c r="E2983" s="86"/>
      <c r="F2983" s="87"/>
      <c r="G2983" s="88"/>
      <c r="H2983" s="89"/>
      <c r="I2983" s="90"/>
      <c r="K2983" s="91"/>
      <c r="L2983" s="88"/>
      <c r="M2983" s="92"/>
      <c r="N2983" s="86"/>
    </row>
    <row r="2984" spans="5:14">
      <c r="E2984" s="86"/>
      <c r="F2984" s="87"/>
      <c r="G2984" s="88"/>
      <c r="H2984" s="89"/>
      <c r="I2984" s="90"/>
      <c r="K2984" s="91"/>
      <c r="L2984" s="88"/>
      <c r="M2984" s="92"/>
      <c r="N2984" s="86"/>
    </row>
    <row r="2985" spans="5:14">
      <c r="E2985" s="86"/>
      <c r="F2985" s="87"/>
      <c r="G2985" s="88"/>
      <c r="H2985" s="89"/>
      <c r="I2985" s="90"/>
      <c r="K2985" s="91"/>
      <c r="L2985" s="88"/>
      <c r="M2985" s="92"/>
      <c r="N2985" s="86"/>
    </row>
    <row r="2986" spans="5:14">
      <c r="E2986" s="86"/>
      <c r="F2986" s="87"/>
      <c r="G2986" s="88"/>
      <c r="H2986" s="89"/>
      <c r="I2986" s="90"/>
      <c r="K2986" s="91"/>
      <c r="L2986" s="88"/>
      <c r="M2986" s="92"/>
      <c r="N2986" s="86"/>
    </row>
    <row r="2987" spans="5:14">
      <c r="E2987" s="86"/>
      <c r="F2987" s="87"/>
      <c r="G2987" s="88"/>
      <c r="H2987" s="89"/>
      <c r="I2987" s="90"/>
      <c r="K2987" s="91"/>
      <c r="L2987" s="88"/>
      <c r="M2987" s="92"/>
      <c r="N2987" s="86"/>
    </row>
    <row r="2988" spans="5:14">
      <c r="E2988" s="86"/>
      <c r="F2988" s="87"/>
      <c r="G2988" s="88"/>
      <c r="H2988" s="89"/>
      <c r="I2988" s="90"/>
      <c r="K2988" s="91"/>
      <c r="L2988" s="88"/>
      <c r="M2988" s="92"/>
      <c r="N2988" s="86"/>
    </row>
    <row r="2989" spans="5:14">
      <c r="E2989" s="86"/>
      <c r="F2989" s="87"/>
      <c r="G2989" s="88"/>
      <c r="H2989" s="89"/>
      <c r="I2989" s="90"/>
      <c r="K2989" s="91"/>
      <c r="L2989" s="88"/>
      <c r="M2989" s="92"/>
      <c r="N2989" s="86"/>
    </row>
    <row r="2990" spans="5:14">
      <c r="E2990" s="86"/>
      <c r="F2990" s="87"/>
      <c r="G2990" s="88"/>
      <c r="H2990" s="89"/>
      <c r="I2990" s="90"/>
      <c r="K2990" s="91"/>
      <c r="L2990" s="88"/>
      <c r="M2990" s="92"/>
      <c r="N2990" s="86"/>
    </row>
    <row r="2991" spans="5:14">
      <c r="E2991" s="86"/>
      <c r="F2991" s="87"/>
      <c r="G2991" s="88"/>
      <c r="H2991" s="89"/>
      <c r="I2991" s="90"/>
      <c r="K2991" s="91"/>
      <c r="L2991" s="88"/>
      <c r="M2991" s="92"/>
      <c r="N2991" s="86"/>
    </row>
    <row r="2992" spans="5:14">
      <c r="E2992" s="86"/>
      <c r="F2992" s="87"/>
      <c r="G2992" s="88"/>
      <c r="H2992" s="89"/>
      <c r="I2992" s="90"/>
      <c r="K2992" s="91"/>
      <c r="L2992" s="88"/>
      <c r="M2992" s="92"/>
      <c r="N2992" s="86"/>
    </row>
    <row r="2993" spans="5:14">
      <c r="E2993" s="86"/>
      <c r="F2993" s="87"/>
      <c r="G2993" s="88"/>
      <c r="H2993" s="89"/>
      <c r="I2993" s="90"/>
      <c r="K2993" s="91"/>
      <c r="L2993" s="88"/>
      <c r="M2993" s="92"/>
      <c r="N2993" s="86"/>
    </row>
    <row r="2994" spans="5:14">
      <c r="E2994" s="86"/>
      <c r="F2994" s="87"/>
      <c r="G2994" s="88"/>
      <c r="H2994" s="89"/>
      <c r="I2994" s="90"/>
      <c r="K2994" s="91"/>
      <c r="L2994" s="88"/>
      <c r="M2994" s="92"/>
      <c r="N2994" s="86"/>
    </row>
    <row r="2995" spans="5:14">
      <c r="E2995" s="86"/>
      <c r="F2995" s="87"/>
      <c r="G2995" s="88"/>
      <c r="H2995" s="89"/>
      <c r="I2995" s="90"/>
      <c r="K2995" s="91"/>
      <c r="L2995" s="88"/>
      <c r="M2995" s="92"/>
      <c r="N2995" s="86"/>
    </row>
    <row r="2996" spans="5:14">
      <c r="E2996" s="86"/>
      <c r="F2996" s="87"/>
      <c r="G2996" s="88"/>
      <c r="H2996" s="89"/>
      <c r="I2996" s="90"/>
      <c r="K2996" s="91"/>
      <c r="L2996" s="88"/>
      <c r="M2996" s="92"/>
      <c r="N2996" s="86"/>
    </row>
    <row r="2997" spans="5:14">
      <c r="E2997" s="86"/>
      <c r="F2997" s="87"/>
      <c r="G2997" s="88"/>
      <c r="H2997" s="89"/>
      <c r="I2997" s="90"/>
      <c r="K2997" s="91"/>
      <c r="L2997" s="88"/>
      <c r="M2997" s="92"/>
      <c r="N2997" s="86"/>
    </row>
    <row r="2998" spans="5:14">
      <c r="E2998" s="86"/>
      <c r="F2998" s="87"/>
      <c r="G2998" s="88"/>
      <c r="H2998" s="89"/>
      <c r="I2998" s="90"/>
      <c r="K2998" s="91"/>
      <c r="L2998" s="88"/>
      <c r="M2998" s="92"/>
      <c r="N2998" s="86"/>
    </row>
    <row r="2999" spans="5:14">
      <c r="E2999" s="86"/>
      <c r="F2999" s="87"/>
      <c r="G2999" s="88"/>
      <c r="H2999" s="89"/>
      <c r="I2999" s="90"/>
      <c r="K2999" s="91"/>
      <c r="L2999" s="88"/>
      <c r="M2999" s="92"/>
      <c r="N2999" s="86"/>
    </row>
    <row r="3000" spans="5:14">
      <c r="E3000" s="86"/>
      <c r="F3000" s="87"/>
      <c r="G3000" s="88"/>
      <c r="H3000" s="89"/>
      <c r="I3000" s="90"/>
      <c r="K3000" s="91"/>
      <c r="L3000" s="88"/>
      <c r="M3000" s="92"/>
      <c r="N3000" s="86"/>
    </row>
    <row r="3001" spans="5:14">
      <c r="E3001" s="86"/>
      <c r="F3001" s="87"/>
      <c r="G3001" s="88"/>
      <c r="H3001" s="89"/>
      <c r="I3001" s="90"/>
      <c r="K3001" s="91"/>
      <c r="L3001" s="88"/>
      <c r="M3001" s="92"/>
      <c r="N3001" s="86"/>
    </row>
    <row r="3002" spans="5:14">
      <c r="E3002" s="86"/>
      <c r="F3002" s="87"/>
      <c r="G3002" s="88"/>
      <c r="H3002" s="89"/>
      <c r="I3002" s="90"/>
      <c r="K3002" s="91"/>
      <c r="L3002" s="88"/>
      <c r="M3002" s="92"/>
      <c r="N3002" s="86"/>
    </row>
    <row r="3003" spans="5:14">
      <c r="E3003" s="86"/>
      <c r="F3003" s="87"/>
      <c r="G3003" s="88"/>
      <c r="H3003" s="89"/>
      <c r="I3003" s="90"/>
      <c r="K3003" s="91"/>
      <c r="L3003" s="88"/>
      <c r="M3003" s="92"/>
      <c r="N3003" s="86"/>
    </row>
    <row r="3004" spans="5:14">
      <c r="E3004" s="86"/>
      <c r="F3004" s="87"/>
      <c r="G3004" s="88"/>
      <c r="H3004" s="89"/>
      <c r="I3004" s="90"/>
      <c r="K3004" s="91"/>
      <c r="L3004" s="88"/>
      <c r="M3004" s="92"/>
      <c r="N3004" s="86"/>
    </row>
    <row r="3005" spans="5:14">
      <c r="E3005" s="86"/>
      <c r="F3005" s="87"/>
      <c r="G3005" s="88"/>
      <c r="H3005" s="89"/>
      <c r="I3005" s="90"/>
      <c r="K3005" s="91"/>
      <c r="L3005" s="88"/>
      <c r="M3005" s="92"/>
      <c r="N3005" s="86"/>
    </row>
    <row r="3006" spans="5:14">
      <c r="E3006" s="86"/>
      <c r="F3006" s="87"/>
      <c r="G3006" s="88"/>
      <c r="H3006" s="89"/>
      <c r="I3006" s="90"/>
      <c r="K3006" s="91"/>
      <c r="L3006" s="88"/>
      <c r="M3006" s="92"/>
      <c r="N3006" s="86"/>
    </row>
    <row r="3007" spans="5:14">
      <c r="E3007" s="86"/>
      <c r="F3007" s="87"/>
      <c r="G3007" s="88"/>
      <c r="H3007" s="89"/>
      <c r="I3007" s="90"/>
      <c r="K3007" s="91"/>
      <c r="L3007" s="88"/>
      <c r="M3007" s="92"/>
      <c r="N3007" s="86"/>
    </row>
    <row r="3008" spans="5:14">
      <c r="E3008" s="86"/>
      <c r="F3008" s="87"/>
      <c r="G3008" s="88"/>
      <c r="H3008" s="89"/>
      <c r="I3008" s="90"/>
      <c r="K3008" s="91"/>
      <c r="L3008" s="88"/>
      <c r="M3008" s="92"/>
      <c r="N3008" s="86"/>
    </row>
    <row r="3009" spans="5:14">
      <c r="E3009" s="86"/>
      <c r="F3009" s="87"/>
      <c r="G3009" s="88"/>
      <c r="H3009" s="89"/>
      <c r="I3009" s="90"/>
      <c r="K3009" s="91"/>
      <c r="L3009" s="88"/>
      <c r="M3009" s="92"/>
      <c r="N3009" s="86"/>
    </row>
    <row r="3010" spans="5:14">
      <c r="E3010" s="86"/>
      <c r="F3010" s="87"/>
      <c r="G3010" s="88"/>
      <c r="H3010" s="89"/>
      <c r="I3010" s="90"/>
      <c r="K3010" s="91"/>
      <c r="L3010" s="88"/>
      <c r="M3010" s="92"/>
      <c r="N3010" s="86"/>
    </row>
    <row r="3011" spans="5:14">
      <c r="E3011" s="86"/>
      <c r="F3011" s="87"/>
      <c r="G3011" s="88"/>
      <c r="H3011" s="89"/>
      <c r="I3011" s="90"/>
      <c r="K3011" s="91"/>
      <c r="L3011" s="88"/>
      <c r="M3011" s="92"/>
      <c r="N3011" s="86"/>
    </row>
    <row r="3012" spans="5:14">
      <c r="E3012" s="86"/>
      <c r="F3012" s="87"/>
      <c r="G3012" s="88"/>
      <c r="H3012" s="89"/>
      <c r="I3012" s="90"/>
      <c r="K3012" s="91"/>
      <c r="L3012" s="88"/>
      <c r="M3012" s="92"/>
      <c r="N3012" s="86"/>
    </row>
    <row r="3013" spans="5:14">
      <c r="E3013" s="86"/>
      <c r="F3013" s="87"/>
      <c r="G3013" s="88"/>
      <c r="H3013" s="89"/>
      <c r="I3013" s="90"/>
      <c r="K3013" s="91"/>
      <c r="L3013" s="88"/>
      <c r="M3013" s="92"/>
      <c r="N3013" s="86"/>
    </row>
    <row r="3014" spans="5:14">
      <c r="E3014" s="86"/>
      <c r="F3014" s="87"/>
      <c r="G3014" s="88"/>
      <c r="H3014" s="89"/>
      <c r="I3014" s="90"/>
      <c r="K3014" s="91"/>
      <c r="L3014" s="88"/>
      <c r="M3014" s="92"/>
      <c r="N3014" s="86"/>
    </row>
    <row r="3015" spans="5:14">
      <c r="E3015" s="86"/>
      <c r="F3015" s="87"/>
      <c r="G3015" s="88"/>
      <c r="H3015" s="89"/>
      <c r="I3015" s="90"/>
      <c r="K3015" s="91"/>
      <c r="L3015" s="88"/>
      <c r="M3015" s="92"/>
      <c r="N3015" s="86"/>
    </row>
    <row r="3016" spans="5:14">
      <c r="E3016" s="86"/>
      <c r="F3016" s="87"/>
      <c r="G3016" s="88"/>
      <c r="H3016" s="89"/>
      <c r="I3016" s="90"/>
      <c r="K3016" s="91"/>
      <c r="L3016" s="88"/>
      <c r="M3016" s="92"/>
      <c r="N3016" s="86"/>
    </row>
    <row r="3017" spans="5:14">
      <c r="E3017" s="86"/>
      <c r="F3017" s="87"/>
      <c r="G3017" s="88"/>
      <c r="H3017" s="89"/>
      <c r="I3017" s="90"/>
      <c r="K3017" s="91"/>
      <c r="L3017" s="88"/>
      <c r="M3017" s="92"/>
      <c r="N3017" s="86"/>
    </row>
    <row r="3018" spans="5:14">
      <c r="E3018" s="86"/>
      <c r="F3018" s="87"/>
      <c r="G3018" s="88"/>
      <c r="H3018" s="89"/>
      <c r="I3018" s="90"/>
      <c r="K3018" s="91"/>
      <c r="L3018" s="88"/>
      <c r="M3018" s="92"/>
      <c r="N3018" s="86"/>
    </row>
    <row r="3019" spans="5:14">
      <c r="E3019" s="86"/>
      <c r="F3019" s="87"/>
      <c r="G3019" s="88"/>
      <c r="H3019" s="89"/>
      <c r="I3019" s="90"/>
      <c r="K3019" s="91"/>
      <c r="L3019" s="88"/>
      <c r="M3019" s="92"/>
      <c r="N3019" s="86"/>
    </row>
    <row r="3020" spans="5:14">
      <c r="E3020" s="86"/>
      <c r="F3020" s="87"/>
      <c r="G3020" s="88"/>
      <c r="H3020" s="89"/>
      <c r="I3020" s="90"/>
      <c r="K3020" s="91"/>
      <c r="L3020" s="88"/>
      <c r="M3020" s="92"/>
      <c r="N3020" s="86"/>
    </row>
    <row r="3021" spans="5:14">
      <c r="E3021" s="86"/>
      <c r="F3021" s="87"/>
      <c r="G3021" s="88"/>
      <c r="H3021" s="89"/>
      <c r="I3021" s="90"/>
      <c r="K3021" s="91"/>
      <c r="L3021" s="88"/>
      <c r="M3021" s="92"/>
      <c r="N3021" s="86"/>
    </row>
    <row r="3022" spans="5:14">
      <c r="E3022" s="86"/>
      <c r="F3022" s="87"/>
      <c r="G3022" s="88"/>
      <c r="H3022" s="89"/>
      <c r="I3022" s="90"/>
      <c r="K3022" s="91"/>
      <c r="L3022" s="88"/>
      <c r="M3022" s="92"/>
      <c r="N3022" s="86"/>
    </row>
    <row r="3023" spans="5:14">
      <c r="E3023" s="86"/>
      <c r="F3023" s="87"/>
      <c r="G3023" s="88"/>
      <c r="H3023" s="89"/>
      <c r="I3023" s="90"/>
      <c r="K3023" s="91"/>
      <c r="L3023" s="88"/>
      <c r="M3023" s="92"/>
      <c r="N3023" s="86"/>
    </row>
    <row r="3024" spans="5:14">
      <c r="E3024" s="86"/>
      <c r="F3024" s="87"/>
      <c r="G3024" s="88"/>
      <c r="H3024" s="89"/>
      <c r="I3024" s="90"/>
      <c r="K3024" s="91"/>
      <c r="L3024" s="88"/>
      <c r="M3024" s="92"/>
      <c r="N3024" s="86"/>
    </row>
    <row r="3025" spans="5:14">
      <c r="E3025" s="86"/>
      <c r="F3025" s="87"/>
      <c r="G3025" s="88"/>
      <c r="H3025" s="89"/>
      <c r="I3025" s="90"/>
      <c r="K3025" s="91"/>
      <c r="L3025" s="88"/>
      <c r="M3025" s="92"/>
      <c r="N3025" s="86"/>
    </row>
    <row r="3026" spans="5:14">
      <c r="E3026" s="86"/>
      <c r="F3026" s="87"/>
      <c r="G3026" s="88"/>
      <c r="H3026" s="89"/>
      <c r="I3026" s="90"/>
      <c r="K3026" s="91"/>
      <c r="L3026" s="88"/>
      <c r="M3026" s="92"/>
      <c r="N3026" s="86"/>
    </row>
    <row r="3027" spans="5:14">
      <c r="E3027" s="86"/>
      <c r="F3027" s="87"/>
      <c r="G3027" s="88"/>
      <c r="H3027" s="89"/>
      <c r="I3027" s="90"/>
      <c r="K3027" s="91"/>
      <c r="L3027" s="88"/>
      <c r="M3027" s="92"/>
      <c r="N3027" s="86"/>
    </row>
    <row r="3028" spans="5:14">
      <c r="E3028" s="86"/>
      <c r="F3028" s="87"/>
      <c r="G3028" s="88"/>
      <c r="H3028" s="89"/>
      <c r="I3028" s="90"/>
      <c r="K3028" s="91"/>
      <c r="L3028" s="88"/>
      <c r="M3028" s="92"/>
      <c r="N3028" s="86"/>
    </row>
    <row r="3029" spans="5:14">
      <c r="E3029" s="86"/>
      <c r="F3029" s="87"/>
      <c r="G3029" s="88"/>
      <c r="H3029" s="89"/>
      <c r="I3029" s="90"/>
      <c r="K3029" s="91"/>
      <c r="L3029" s="88"/>
      <c r="M3029" s="92"/>
      <c r="N3029" s="86"/>
    </row>
    <row r="3030" spans="5:14">
      <c r="E3030" s="86"/>
      <c r="F3030" s="87"/>
      <c r="G3030" s="88"/>
      <c r="H3030" s="89"/>
      <c r="I3030" s="90"/>
      <c r="K3030" s="91"/>
      <c r="L3030" s="88"/>
      <c r="M3030" s="92"/>
      <c r="N3030" s="86"/>
    </row>
    <row r="3031" spans="5:14">
      <c r="E3031" s="86"/>
      <c r="F3031" s="87"/>
      <c r="G3031" s="88"/>
      <c r="H3031" s="89"/>
      <c r="I3031" s="90"/>
      <c r="K3031" s="91"/>
      <c r="L3031" s="88"/>
      <c r="M3031" s="92"/>
      <c r="N3031" s="86"/>
    </row>
    <row r="3032" spans="5:14">
      <c r="E3032" s="86"/>
      <c r="F3032" s="87"/>
      <c r="G3032" s="88"/>
      <c r="H3032" s="89"/>
      <c r="I3032" s="90"/>
      <c r="K3032" s="91"/>
      <c r="L3032" s="88"/>
      <c r="M3032" s="92"/>
      <c r="N3032" s="86"/>
    </row>
    <row r="3033" spans="5:14">
      <c r="E3033" s="86"/>
      <c r="F3033" s="87"/>
      <c r="G3033" s="88"/>
      <c r="H3033" s="89"/>
      <c r="I3033" s="90"/>
      <c r="K3033" s="91"/>
      <c r="L3033" s="88"/>
      <c r="M3033" s="92"/>
      <c r="N3033" s="86"/>
    </row>
    <row r="3034" spans="5:14">
      <c r="E3034" s="86"/>
      <c r="F3034" s="87"/>
      <c r="G3034" s="88"/>
      <c r="H3034" s="89"/>
      <c r="I3034" s="90"/>
      <c r="K3034" s="91"/>
      <c r="L3034" s="88"/>
      <c r="M3034" s="92"/>
      <c r="N3034" s="86"/>
    </row>
    <row r="3035" spans="5:14">
      <c r="E3035" s="86"/>
      <c r="F3035" s="87"/>
      <c r="G3035" s="88"/>
      <c r="H3035" s="89"/>
      <c r="I3035" s="90"/>
      <c r="K3035" s="91"/>
      <c r="L3035" s="88"/>
      <c r="M3035" s="92"/>
      <c r="N3035" s="86"/>
    </row>
    <row r="3036" spans="5:14">
      <c r="E3036" s="86"/>
      <c r="F3036" s="87"/>
      <c r="G3036" s="88"/>
      <c r="H3036" s="89"/>
      <c r="I3036" s="90"/>
      <c r="K3036" s="91"/>
      <c r="L3036" s="88"/>
      <c r="M3036" s="92"/>
      <c r="N3036" s="86"/>
    </row>
    <row r="3037" spans="5:14">
      <c r="E3037" s="86"/>
      <c r="F3037" s="87"/>
      <c r="G3037" s="88"/>
      <c r="H3037" s="89"/>
      <c r="I3037" s="90"/>
      <c r="K3037" s="91"/>
      <c r="L3037" s="88"/>
      <c r="M3037" s="92"/>
      <c r="N3037" s="86"/>
    </row>
    <row r="3038" spans="5:14">
      <c r="E3038" s="86"/>
      <c r="F3038" s="87"/>
      <c r="G3038" s="88"/>
      <c r="H3038" s="89"/>
      <c r="I3038" s="90"/>
      <c r="K3038" s="91"/>
      <c r="L3038" s="88"/>
      <c r="M3038" s="92"/>
      <c r="N3038" s="86"/>
    </row>
    <row r="3039" spans="5:14">
      <c r="E3039" s="86"/>
      <c r="F3039" s="87"/>
      <c r="G3039" s="88"/>
      <c r="H3039" s="89"/>
      <c r="I3039" s="90"/>
      <c r="K3039" s="91"/>
      <c r="L3039" s="88"/>
      <c r="M3039" s="92"/>
      <c r="N3039" s="86"/>
    </row>
    <row r="3040" spans="5:14">
      <c r="E3040" s="86"/>
      <c r="F3040" s="87"/>
      <c r="G3040" s="88"/>
      <c r="H3040" s="89"/>
      <c r="I3040" s="90"/>
      <c r="K3040" s="91"/>
      <c r="L3040" s="88"/>
      <c r="M3040" s="92"/>
      <c r="N3040" s="86"/>
    </row>
    <row r="3041" spans="5:14">
      <c r="E3041" s="86"/>
      <c r="F3041" s="87"/>
      <c r="G3041" s="88"/>
      <c r="H3041" s="89"/>
      <c r="I3041" s="90"/>
      <c r="K3041" s="91"/>
      <c r="L3041" s="88"/>
      <c r="M3041" s="92"/>
      <c r="N3041" s="86"/>
    </row>
    <row r="3042" spans="5:14">
      <c r="E3042" s="86"/>
      <c r="F3042" s="87"/>
      <c r="G3042" s="88"/>
      <c r="H3042" s="89"/>
      <c r="I3042" s="90"/>
      <c r="K3042" s="91"/>
      <c r="L3042" s="88"/>
      <c r="M3042" s="92"/>
      <c r="N3042" s="86"/>
    </row>
    <row r="3043" spans="5:14">
      <c r="E3043" s="86"/>
      <c r="F3043" s="87"/>
      <c r="G3043" s="88"/>
      <c r="H3043" s="89"/>
      <c r="I3043" s="90"/>
      <c r="K3043" s="91"/>
      <c r="L3043" s="88"/>
      <c r="M3043" s="92"/>
      <c r="N3043" s="86"/>
    </row>
    <row r="3044" spans="5:14">
      <c r="E3044" s="86"/>
      <c r="F3044" s="87"/>
      <c r="G3044" s="88"/>
      <c r="H3044" s="89"/>
      <c r="I3044" s="90"/>
      <c r="K3044" s="91"/>
      <c r="L3044" s="88"/>
      <c r="M3044" s="92"/>
      <c r="N3044" s="86"/>
    </row>
    <row r="3045" spans="5:14">
      <c r="E3045" s="86"/>
      <c r="F3045" s="87"/>
      <c r="G3045" s="88"/>
      <c r="H3045" s="89"/>
      <c r="I3045" s="90"/>
      <c r="K3045" s="91"/>
      <c r="L3045" s="88"/>
      <c r="M3045" s="92"/>
      <c r="N3045" s="86"/>
    </row>
    <row r="3046" spans="5:14">
      <c r="E3046" s="86"/>
      <c r="F3046" s="87"/>
      <c r="G3046" s="88"/>
      <c r="H3046" s="89"/>
      <c r="I3046" s="90"/>
      <c r="K3046" s="91"/>
      <c r="L3046" s="88"/>
      <c r="M3046" s="92"/>
      <c r="N3046" s="86"/>
    </row>
    <row r="3047" spans="5:14">
      <c r="E3047" s="86"/>
      <c r="F3047" s="87"/>
      <c r="G3047" s="88"/>
      <c r="H3047" s="89"/>
      <c r="I3047" s="90"/>
      <c r="K3047" s="91"/>
      <c r="L3047" s="88"/>
      <c r="M3047" s="92"/>
      <c r="N3047" s="86"/>
    </row>
    <row r="3048" spans="5:14">
      <c r="E3048" s="86"/>
      <c r="F3048" s="87"/>
      <c r="G3048" s="88"/>
      <c r="H3048" s="89"/>
      <c r="I3048" s="90"/>
      <c r="K3048" s="91"/>
      <c r="L3048" s="88"/>
      <c r="M3048" s="92"/>
      <c r="N3048" s="86"/>
    </row>
    <row r="3049" spans="5:14">
      <c r="E3049" s="86"/>
      <c r="F3049" s="87"/>
      <c r="G3049" s="88"/>
      <c r="H3049" s="89"/>
      <c r="I3049" s="90"/>
      <c r="K3049" s="91"/>
      <c r="L3049" s="88"/>
      <c r="M3049" s="92"/>
      <c r="N3049" s="86"/>
    </row>
    <row r="3050" spans="5:14">
      <c r="E3050" s="86"/>
      <c r="F3050" s="87"/>
      <c r="G3050" s="88"/>
      <c r="H3050" s="89"/>
      <c r="I3050" s="90"/>
      <c r="K3050" s="91"/>
      <c r="L3050" s="88"/>
      <c r="M3050" s="92"/>
      <c r="N3050" s="86"/>
    </row>
    <row r="3051" spans="5:14">
      <c r="E3051" s="86"/>
      <c r="F3051" s="87"/>
      <c r="G3051" s="88"/>
      <c r="H3051" s="89"/>
      <c r="I3051" s="90"/>
      <c r="K3051" s="91"/>
      <c r="L3051" s="88"/>
      <c r="M3051" s="92"/>
      <c r="N3051" s="86"/>
    </row>
    <row r="3052" spans="5:14">
      <c r="E3052" s="86"/>
      <c r="F3052" s="87"/>
      <c r="G3052" s="88"/>
      <c r="H3052" s="89"/>
      <c r="I3052" s="90"/>
      <c r="K3052" s="91"/>
      <c r="L3052" s="88"/>
      <c r="M3052" s="92"/>
      <c r="N3052" s="86"/>
    </row>
    <row r="3053" spans="5:14">
      <c r="E3053" s="86"/>
      <c r="F3053" s="87"/>
      <c r="G3053" s="88"/>
      <c r="H3053" s="89"/>
      <c r="I3053" s="90"/>
      <c r="K3053" s="91"/>
      <c r="L3053" s="88"/>
      <c r="M3053" s="92"/>
      <c r="N3053" s="86"/>
    </row>
    <row r="3054" spans="5:14">
      <c r="E3054" s="86"/>
      <c r="F3054" s="87"/>
      <c r="G3054" s="88"/>
      <c r="H3054" s="89"/>
      <c r="I3054" s="90"/>
      <c r="K3054" s="91"/>
      <c r="L3054" s="88"/>
      <c r="M3054" s="92"/>
      <c r="N3054" s="86"/>
    </row>
    <row r="3055" spans="5:14">
      <c r="E3055" s="86"/>
      <c r="F3055" s="87"/>
      <c r="G3055" s="88"/>
      <c r="H3055" s="89"/>
      <c r="I3055" s="90"/>
      <c r="K3055" s="91"/>
      <c r="L3055" s="88"/>
      <c r="M3055" s="92"/>
      <c r="N3055" s="86"/>
    </row>
    <row r="3056" spans="5:14">
      <c r="E3056" s="86"/>
      <c r="F3056" s="87"/>
      <c r="G3056" s="88"/>
      <c r="H3056" s="89"/>
      <c r="I3056" s="90"/>
      <c r="K3056" s="91"/>
      <c r="L3056" s="88"/>
      <c r="M3056" s="92"/>
      <c r="N3056" s="86"/>
    </row>
    <row r="3057" spans="5:14">
      <c r="E3057" s="86"/>
      <c r="F3057" s="87"/>
      <c r="G3057" s="88"/>
      <c r="H3057" s="89"/>
      <c r="I3057" s="90"/>
      <c r="K3057" s="91"/>
      <c r="L3057" s="88"/>
      <c r="M3057" s="92"/>
      <c r="N3057" s="86"/>
    </row>
    <row r="3058" spans="5:14">
      <c r="E3058" s="86"/>
      <c r="F3058" s="87"/>
      <c r="G3058" s="88"/>
      <c r="H3058" s="89"/>
      <c r="I3058" s="90"/>
      <c r="K3058" s="91"/>
      <c r="L3058" s="88"/>
      <c r="M3058" s="92"/>
      <c r="N3058" s="86"/>
    </row>
    <row r="3059" spans="5:14">
      <c r="E3059" s="86"/>
      <c r="F3059" s="87"/>
      <c r="G3059" s="88"/>
      <c r="H3059" s="89"/>
      <c r="I3059" s="90"/>
      <c r="K3059" s="91"/>
      <c r="L3059" s="88"/>
      <c r="M3059" s="92"/>
      <c r="N3059" s="86"/>
    </row>
    <row r="3060" spans="5:14">
      <c r="E3060" s="86"/>
      <c r="F3060" s="87"/>
      <c r="G3060" s="88"/>
      <c r="H3060" s="89"/>
      <c r="I3060" s="90"/>
      <c r="K3060" s="91"/>
      <c r="L3060" s="88"/>
      <c r="M3060" s="92"/>
      <c r="N3060" s="86"/>
    </row>
    <row r="3061" spans="5:14">
      <c r="E3061" s="86"/>
      <c r="F3061" s="87"/>
      <c r="G3061" s="88"/>
      <c r="H3061" s="89"/>
      <c r="I3061" s="90"/>
      <c r="K3061" s="91"/>
      <c r="L3061" s="88"/>
      <c r="M3061" s="92"/>
      <c r="N3061" s="86"/>
    </row>
    <row r="3062" spans="5:14">
      <c r="E3062" s="86"/>
      <c r="F3062" s="87"/>
      <c r="G3062" s="88"/>
      <c r="H3062" s="89"/>
      <c r="I3062" s="90"/>
      <c r="K3062" s="91"/>
      <c r="L3062" s="88"/>
      <c r="M3062" s="92"/>
      <c r="N3062" s="86"/>
    </row>
    <row r="3063" spans="5:14">
      <c r="E3063" s="86"/>
      <c r="F3063" s="87"/>
      <c r="G3063" s="88"/>
      <c r="H3063" s="89"/>
      <c r="I3063" s="90"/>
      <c r="K3063" s="91"/>
      <c r="L3063" s="88"/>
      <c r="M3063" s="92"/>
      <c r="N3063" s="86"/>
    </row>
    <row r="3064" spans="5:14">
      <c r="E3064" s="86"/>
      <c r="F3064" s="87"/>
      <c r="G3064" s="88"/>
      <c r="H3064" s="89"/>
      <c r="I3064" s="90"/>
      <c r="K3064" s="91"/>
      <c r="L3064" s="88"/>
      <c r="M3064" s="92"/>
      <c r="N3064" s="86"/>
    </row>
    <row r="3065" spans="5:14">
      <c r="E3065" s="86"/>
      <c r="F3065" s="87"/>
      <c r="G3065" s="88"/>
      <c r="H3065" s="89"/>
      <c r="I3065" s="90"/>
      <c r="K3065" s="91"/>
      <c r="L3065" s="88"/>
      <c r="M3065" s="92"/>
      <c r="N3065" s="86"/>
    </row>
    <row r="3066" spans="5:14">
      <c r="E3066" s="86"/>
      <c r="F3066" s="87"/>
      <c r="G3066" s="88"/>
      <c r="H3066" s="89"/>
      <c r="I3066" s="90"/>
      <c r="K3066" s="91"/>
      <c r="L3066" s="88"/>
      <c r="M3066" s="92"/>
      <c r="N3066" s="86"/>
    </row>
    <row r="3067" spans="5:14">
      <c r="E3067" s="86"/>
      <c r="F3067" s="87"/>
      <c r="G3067" s="88"/>
      <c r="H3067" s="89"/>
      <c r="I3067" s="90"/>
      <c r="K3067" s="91"/>
      <c r="L3067" s="88"/>
      <c r="M3067" s="92"/>
      <c r="N3067" s="86"/>
    </row>
    <row r="3068" spans="5:14">
      <c r="E3068" s="86"/>
      <c r="F3068" s="87"/>
      <c r="G3068" s="88"/>
      <c r="H3068" s="89"/>
      <c r="I3068" s="90"/>
      <c r="K3068" s="91"/>
      <c r="L3068" s="88"/>
      <c r="M3068" s="92"/>
      <c r="N3068" s="86"/>
    </row>
    <row r="3069" spans="5:14">
      <c r="E3069" s="86"/>
      <c r="F3069" s="87"/>
      <c r="G3069" s="88"/>
      <c r="H3069" s="89"/>
      <c r="I3069" s="90"/>
      <c r="K3069" s="91"/>
      <c r="L3069" s="88"/>
      <c r="M3069" s="92"/>
      <c r="N3069" s="86"/>
    </row>
    <row r="3070" spans="5:14">
      <c r="E3070" s="86"/>
      <c r="F3070" s="87"/>
      <c r="G3070" s="88"/>
      <c r="H3070" s="89"/>
      <c r="I3070" s="90"/>
      <c r="K3070" s="91"/>
      <c r="L3070" s="88"/>
      <c r="M3070" s="92"/>
      <c r="N3070" s="86"/>
    </row>
    <row r="3071" spans="5:14">
      <c r="E3071" s="86"/>
      <c r="F3071" s="87"/>
      <c r="G3071" s="88"/>
      <c r="H3071" s="89"/>
      <c r="I3071" s="90"/>
      <c r="K3071" s="91"/>
      <c r="L3071" s="88"/>
      <c r="M3071" s="92"/>
      <c r="N3071" s="86"/>
    </row>
    <row r="3072" spans="5:14">
      <c r="E3072" s="86"/>
      <c r="F3072" s="87"/>
      <c r="G3072" s="88"/>
      <c r="H3072" s="89"/>
      <c r="I3072" s="90"/>
      <c r="K3072" s="91"/>
      <c r="L3072" s="88"/>
      <c r="M3072" s="92"/>
      <c r="N3072" s="86"/>
    </row>
    <row r="3073" spans="5:14">
      <c r="E3073" s="86"/>
      <c r="F3073" s="87"/>
      <c r="G3073" s="88"/>
      <c r="H3073" s="89"/>
      <c r="I3073" s="90"/>
      <c r="K3073" s="91"/>
      <c r="L3073" s="88"/>
      <c r="M3073" s="92"/>
      <c r="N3073" s="86"/>
    </row>
    <row r="3074" spans="5:14">
      <c r="E3074" s="86"/>
      <c r="F3074" s="87"/>
      <c r="G3074" s="88"/>
      <c r="H3074" s="89"/>
      <c r="I3074" s="90"/>
      <c r="K3074" s="91"/>
      <c r="L3074" s="88"/>
      <c r="M3074" s="92"/>
      <c r="N3074" s="86"/>
    </row>
    <row r="3075" spans="5:14">
      <c r="E3075" s="86"/>
      <c r="F3075" s="87"/>
      <c r="G3075" s="88"/>
      <c r="H3075" s="89"/>
      <c r="I3075" s="90"/>
      <c r="K3075" s="91"/>
      <c r="L3075" s="88"/>
      <c r="M3075" s="92"/>
      <c r="N3075" s="86"/>
    </row>
    <row r="3076" spans="5:14">
      <c r="E3076" s="86"/>
      <c r="F3076" s="87"/>
      <c r="G3076" s="88"/>
      <c r="H3076" s="89"/>
      <c r="I3076" s="90"/>
      <c r="K3076" s="91"/>
      <c r="L3076" s="88"/>
      <c r="M3076" s="92"/>
      <c r="N3076" s="86"/>
    </row>
    <row r="3077" spans="5:14">
      <c r="E3077" s="86"/>
      <c r="F3077" s="87"/>
      <c r="G3077" s="88"/>
      <c r="H3077" s="89"/>
      <c r="I3077" s="90"/>
      <c r="K3077" s="91"/>
      <c r="L3077" s="88"/>
      <c r="M3077" s="92"/>
      <c r="N3077" s="86"/>
    </row>
    <row r="3078" spans="5:14">
      <c r="E3078" s="86"/>
      <c r="F3078" s="87"/>
      <c r="G3078" s="88"/>
      <c r="H3078" s="89"/>
      <c r="I3078" s="90"/>
      <c r="K3078" s="91"/>
      <c r="L3078" s="88"/>
      <c r="M3078" s="92"/>
      <c r="N3078" s="86"/>
    </row>
    <row r="3079" spans="5:14">
      <c r="E3079" s="86"/>
      <c r="F3079" s="87"/>
      <c r="G3079" s="88"/>
      <c r="H3079" s="89"/>
      <c r="I3079" s="90"/>
      <c r="K3079" s="91"/>
      <c r="L3079" s="88"/>
      <c r="M3079" s="92"/>
      <c r="N3079" s="86"/>
    </row>
    <row r="3080" spans="5:14">
      <c r="E3080" s="86"/>
      <c r="F3080" s="87"/>
      <c r="G3080" s="88"/>
      <c r="H3080" s="89"/>
      <c r="I3080" s="90"/>
      <c r="K3080" s="91"/>
      <c r="L3080" s="88"/>
      <c r="M3080" s="92"/>
      <c r="N3080" s="86"/>
    </row>
    <row r="3081" spans="5:14">
      <c r="E3081" s="86"/>
      <c r="F3081" s="87"/>
      <c r="G3081" s="88"/>
      <c r="H3081" s="89"/>
      <c r="I3081" s="90"/>
      <c r="K3081" s="91"/>
      <c r="L3081" s="88"/>
      <c r="M3081" s="92"/>
      <c r="N3081" s="86"/>
    </row>
    <row r="3082" spans="5:14">
      <c r="E3082" s="86"/>
      <c r="F3082" s="87"/>
      <c r="G3082" s="88"/>
      <c r="H3082" s="89"/>
      <c r="I3082" s="90"/>
      <c r="K3082" s="91"/>
      <c r="L3082" s="88"/>
      <c r="M3082" s="92"/>
      <c r="N3082" s="86"/>
    </row>
    <row r="3083" spans="5:14">
      <c r="E3083" s="86"/>
      <c r="F3083" s="87"/>
      <c r="G3083" s="88"/>
      <c r="H3083" s="89"/>
      <c r="I3083" s="90"/>
      <c r="K3083" s="91"/>
      <c r="L3083" s="88"/>
      <c r="M3083" s="92"/>
      <c r="N3083" s="86"/>
    </row>
    <row r="3084" spans="5:14">
      <c r="E3084" s="86"/>
      <c r="F3084" s="87"/>
      <c r="G3084" s="88"/>
      <c r="H3084" s="89"/>
      <c r="I3084" s="90"/>
      <c r="K3084" s="91"/>
      <c r="L3084" s="88"/>
      <c r="M3084" s="92"/>
      <c r="N3084" s="86"/>
    </row>
    <row r="3085" spans="5:14">
      <c r="E3085" s="86"/>
      <c r="F3085" s="87"/>
      <c r="G3085" s="88"/>
      <c r="H3085" s="89"/>
      <c r="I3085" s="90"/>
      <c r="K3085" s="91"/>
      <c r="L3085" s="88"/>
      <c r="M3085" s="92"/>
      <c r="N3085" s="86"/>
    </row>
    <row r="3086" spans="5:14">
      <c r="E3086" s="86"/>
      <c r="F3086" s="87"/>
      <c r="G3086" s="88"/>
      <c r="H3086" s="89"/>
      <c r="I3086" s="90"/>
      <c r="K3086" s="91"/>
      <c r="L3086" s="88"/>
      <c r="M3086" s="92"/>
      <c r="N3086" s="86"/>
    </row>
    <row r="3087" spans="5:14">
      <c r="E3087" s="86"/>
      <c r="F3087" s="87"/>
      <c r="G3087" s="88"/>
      <c r="H3087" s="89"/>
      <c r="I3087" s="90"/>
      <c r="K3087" s="91"/>
      <c r="L3087" s="88"/>
      <c r="M3087" s="92"/>
      <c r="N3087" s="86"/>
    </row>
    <row r="3088" spans="5:14">
      <c r="E3088" s="86"/>
      <c r="F3088" s="87"/>
      <c r="G3088" s="88"/>
      <c r="H3088" s="89"/>
      <c r="I3088" s="90"/>
      <c r="K3088" s="91"/>
      <c r="L3088" s="88"/>
      <c r="M3088" s="92"/>
      <c r="N3088" s="86"/>
    </row>
    <row r="3089" spans="5:14">
      <c r="E3089" s="86"/>
      <c r="F3089" s="87"/>
      <c r="G3089" s="88"/>
      <c r="H3089" s="89"/>
      <c r="I3089" s="90"/>
      <c r="K3089" s="91"/>
      <c r="L3089" s="88"/>
      <c r="M3089" s="92"/>
      <c r="N3089" s="86"/>
    </row>
    <row r="3090" spans="5:14">
      <c r="E3090" s="86"/>
      <c r="F3090" s="87"/>
      <c r="G3090" s="88"/>
      <c r="H3090" s="89"/>
      <c r="I3090" s="90"/>
      <c r="K3090" s="91"/>
      <c r="L3090" s="88"/>
      <c r="M3090" s="92"/>
      <c r="N3090" s="86"/>
    </row>
    <row r="3091" spans="5:14">
      <c r="E3091" s="86"/>
      <c r="F3091" s="87"/>
      <c r="G3091" s="88"/>
      <c r="H3091" s="89"/>
      <c r="I3091" s="90"/>
      <c r="K3091" s="91"/>
      <c r="L3091" s="88"/>
      <c r="M3091" s="92"/>
      <c r="N3091" s="86"/>
    </row>
    <row r="3092" spans="5:14">
      <c r="E3092" s="86"/>
      <c r="F3092" s="87"/>
      <c r="G3092" s="88"/>
      <c r="H3092" s="89"/>
      <c r="I3092" s="90"/>
      <c r="K3092" s="91"/>
      <c r="L3092" s="88"/>
      <c r="M3092" s="92"/>
      <c r="N3092" s="86"/>
    </row>
    <row r="3093" spans="5:14">
      <c r="E3093" s="86"/>
      <c r="F3093" s="87"/>
      <c r="G3093" s="88"/>
      <c r="H3093" s="89"/>
      <c r="I3093" s="90"/>
      <c r="K3093" s="91"/>
      <c r="L3093" s="88"/>
      <c r="M3093" s="92"/>
      <c r="N3093" s="86"/>
    </row>
    <row r="3094" spans="5:14">
      <c r="E3094" s="86"/>
      <c r="F3094" s="87"/>
      <c r="G3094" s="88"/>
      <c r="H3094" s="89"/>
      <c r="I3094" s="90"/>
      <c r="K3094" s="91"/>
      <c r="L3094" s="88"/>
      <c r="M3094" s="92"/>
      <c r="N3094" s="86"/>
    </row>
    <row r="3095" spans="5:14">
      <c r="E3095" s="86"/>
      <c r="F3095" s="87"/>
      <c r="G3095" s="88"/>
      <c r="H3095" s="89"/>
      <c r="I3095" s="90"/>
      <c r="K3095" s="91"/>
      <c r="L3095" s="88"/>
      <c r="M3095" s="92"/>
      <c r="N3095" s="86"/>
    </row>
    <row r="3096" spans="5:14">
      <c r="E3096" s="86"/>
      <c r="F3096" s="87"/>
      <c r="G3096" s="88"/>
      <c r="H3096" s="89"/>
      <c r="I3096" s="90"/>
      <c r="K3096" s="91"/>
      <c r="L3096" s="88"/>
      <c r="M3096" s="92"/>
      <c r="N3096" s="86"/>
    </row>
    <row r="3097" spans="5:14">
      <c r="E3097" s="86"/>
      <c r="F3097" s="87"/>
      <c r="G3097" s="88"/>
      <c r="H3097" s="89"/>
      <c r="I3097" s="90"/>
      <c r="K3097" s="91"/>
      <c r="L3097" s="88"/>
      <c r="M3097" s="92"/>
      <c r="N3097" s="86"/>
    </row>
    <row r="3098" spans="5:14">
      <c r="E3098" s="86"/>
      <c r="F3098" s="87"/>
      <c r="G3098" s="88"/>
      <c r="H3098" s="89"/>
      <c r="I3098" s="90"/>
      <c r="K3098" s="91"/>
      <c r="L3098" s="88"/>
      <c r="M3098" s="92"/>
      <c r="N3098" s="86"/>
    </row>
    <row r="3099" spans="5:14">
      <c r="E3099" s="86"/>
      <c r="F3099" s="87"/>
      <c r="G3099" s="88"/>
      <c r="H3099" s="89"/>
      <c r="I3099" s="90"/>
      <c r="K3099" s="91"/>
      <c r="L3099" s="88"/>
      <c r="M3099" s="92"/>
      <c r="N3099" s="86"/>
    </row>
    <row r="3100" spans="5:14">
      <c r="E3100" s="86"/>
      <c r="F3100" s="87"/>
      <c r="G3100" s="88"/>
      <c r="H3100" s="89"/>
      <c r="I3100" s="90"/>
      <c r="K3100" s="91"/>
      <c r="L3100" s="88"/>
      <c r="M3100" s="92"/>
      <c r="N3100" s="86"/>
    </row>
    <row r="3101" spans="5:14">
      <c r="E3101" s="86"/>
      <c r="F3101" s="87"/>
      <c r="G3101" s="88"/>
      <c r="H3101" s="89"/>
      <c r="I3101" s="90"/>
      <c r="K3101" s="91"/>
      <c r="L3101" s="88"/>
      <c r="M3101" s="92"/>
      <c r="N3101" s="86"/>
    </row>
    <row r="3102" spans="5:14">
      <c r="E3102" s="86"/>
      <c r="F3102" s="87"/>
      <c r="G3102" s="88"/>
      <c r="H3102" s="89"/>
      <c r="I3102" s="90"/>
      <c r="K3102" s="91"/>
      <c r="L3102" s="88"/>
      <c r="M3102" s="92"/>
      <c r="N3102" s="86"/>
    </row>
    <row r="3103" spans="5:14">
      <c r="E3103" s="86"/>
      <c r="F3103" s="87"/>
      <c r="G3103" s="88"/>
      <c r="H3103" s="89"/>
      <c r="I3103" s="90"/>
      <c r="K3103" s="91"/>
      <c r="L3103" s="88"/>
      <c r="M3103" s="92"/>
      <c r="N3103" s="86"/>
    </row>
    <row r="3104" spans="5:14">
      <c r="E3104" s="86"/>
      <c r="F3104" s="87"/>
      <c r="G3104" s="88"/>
      <c r="H3104" s="89"/>
      <c r="I3104" s="90"/>
      <c r="K3104" s="91"/>
      <c r="L3104" s="88"/>
      <c r="M3104" s="92"/>
      <c r="N3104" s="86"/>
    </row>
    <row r="3105" spans="5:14">
      <c r="E3105" s="86"/>
      <c r="F3105" s="87"/>
      <c r="G3105" s="88"/>
      <c r="H3105" s="89"/>
      <c r="I3105" s="90"/>
      <c r="K3105" s="91"/>
      <c r="L3105" s="88"/>
      <c r="M3105" s="92"/>
      <c r="N3105" s="86"/>
    </row>
    <row r="3106" spans="5:14">
      <c r="E3106" s="86"/>
      <c r="F3106" s="87"/>
      <c r="G3106" s="88"/>
      <c r="H3106" s="89"/>
      <c r="I3106" s="90"/>
      <c r="K3106" s="91"/>
      <c r="L3106" s="88"/>
      <c r="M3106" s="92"/>
      <c r="N3106" s="86"/>
    </row>
    <row r="3107" spans="5:14">
      <c r="E3107" s="86"/>
      <c r="F3107" s="87"/>
      <c r="G3107" s="88"/>
      <c r="H3107" s="89"/>
      <c r="I3107" s="90"/>
      <c r="K3107" s="91"/>
      <c r="L3107" s="88"/>
      <c r="M3107" s="92"/>
      <c r="N3107" s="86"/>
    </row>
    <row r="3108" spans="5:14">
      <c r="E3108" s="86"/>
      <c r="F3108" s="87"/>
      <c r="G3108" s="88"/>
      <c r="H3108" s="89"/>
      <c r="I3108" s="90"/>
      <c r="K3108" s="91"/>
      <c r="L3108" s="88"/>
      <c r="M3108" s="92"/>
      <c r="N3108" s="86"/>
    </row>
    <row r="3109" spans="5:14">
      <c r="E3109" s="86"/>
      <c r="F3109" s="87"/>
      <c r="G3109" s="88"/>
      <c r="H3109" s="89"/>
      <c r="I3109" s="90"/>
      <c r="K3109" s="91"/>
      <c r="L3109" s="88"/>
      <c r="M3109" s="92"/>
      <c r="N3109" s="86"/>
    </row>
    <row r="3110" spans="5:14">
      <c r="E3110" s="86"/>
      <c r="F3110" s="87"/>
      <c r="G3110" s="88"/>
      <c r="H3110" s="89"/>
      <c r="I3110" s="90"/>
      <c r="K3110" s="91"/>
      <c r="L3110" s="88"/>
      <c r="M3110" s="92"/>
      <c r="N3110" s="86"/>
    </row>
    <row r="3111" spans="5:14">
      <c r="E3111" s="86"/>
      <c r="F3111" s="87"/>
      <c r="G3111" s="88"/>
      <c r="H3111" s="89"/>
      <c r="I3111" s="90"/>
      <c r="K3111" s="91"/>
      <c r="L3111" s="88"/>
      <c r="M3111" s="92"/>
      <c r="N3111" s="86"/>
    </row>
    <row r="3112" spans="5:14">
      <c r="E3112" s="86"/>
      <c r="F3112" s="87"/>
      <c r="G3112" s="88"/>
      <c r="H3112" s="89"/>
      <c r="I3112" s="90"/>
      <c r="K3112" s="91"/>
      <c r="L3112" s="88"/>
      <c r="M3112" s="92"/>
      <c r="N3112" s="86"/>
    </row>
    <row r="3113" spans="5:14">
      <c r="E3113" s="86"/>
      <c r="F3113" s="87"/>
      <c r="G3113" s="88"/>
      <c r="H3113" s="89"/>
      <c r="I3113" s="90"/>
      <c r="K3113" s="91"/>
      <c r="L3113" s="88"/>
      <c r="M3113" s="92"/>
      <c r="N3113" s="86"/>
    </row>
    <row r="3114" spans="5:14">
      <c r="E3114" s="86"/>
      <c r="F3114" s="87"/>
      <c r="G3114" s="88"/>
      <c r="H3114" s="89"/>
      <c r="I3114" s="90"/>
      <c r="K3114" s="91"/>
      <c r="L3114" s="88"/>
      <c r="M3114" s="92"/>
      <c r="N3114" s="86"/>
    </row>
    <row r="3115" spans="5:14">
      <c r="E3115" s="86"/>
      <c r="F3115" s="87"/>
      <c r="G3115" s="88"/>
      <c r="H3115" s="89"/>
      <c r="I3115" s="90"/>
      <c r="K3115" s="91"/>
      <c r="L3115" s="88"/>
      <c r="M3115" s="92"/>
      <c r="N3115" s="86"/>
    </row>
    <row r="3116" spans="5:14">
      <c r="E3116" s="86"/>
      <c r="F3116" s="87"/>
      <c r="G3116" s="88"/>
      <c r="H3116" s="89"/>
      <c r="I3116" s="90"/>
      <c r="K3116" s="91"/>
      <c r="L3116" s="88"/>
      <c r="M3116" s="92"/>
      <c r="N3116" s="86"/>
    </row>
    <row r="3117" spans="5:14">
      <c r="E3117" s="86"/>
      <c r="F3117" s="87"/>
      <c r="G3117" s="88"/>
      <c r="H3117" s="89"/>
      <c r="I3117" s="90"/>
      <c r="K3117" s="91"/>
      <c r="L3117" s="88"/>
      <c r="M3117" s="92"/>
      <c r="N3117" s="86"/>
    </row>
    <row r="3118" spans="5:14">
      <c r="E3118" s="86"/>
      <c r="F3118" s="87"/>
      <c r="G3118" s="88"/>
      <c r="H3118" s="89"/>
      <c r="I3118" s="90"/>
      <c r="K3118" s="91"/>
      <c r="L3118" s="88"/>
      <c r="M3118" s="92"/>
      <c r="N3118" s="86"/>
    </row>
    <row r="3119" spans="5:14">
      <c r="E3119" s="86"/>
      <c r="F3119" s="87"/>
      <c r="G3119" s="88"/>
      <c r="H3119" s="89"/>
      <c r="I3119" s="90"/>
      <c r="K3119" s="91"/>
      <c r="L3119" s="88"/>
      <c r="M3119" s="92"/>
      <c r="N3119" s="86"/>
    </row>
    <row r="3120" spans="5:14">
      <c r="E3120" s="86"/>
      <c r="F3120" s="87"/>
      <c r="G3120" s="88"/>
      <c r="H3120" s="89"/>
      <c r="I3120" s="90"/>
      <c r="K3120" s="91"/>
      <c r="L3120" s="88"/>
      <c r="M3120" s="92"/>
      <c r="N3120" s="86"/>
    </row>
    <row r="3121" spans="5:14">
      <c r="E3121" s="86"/>
      <c r="F3121" s="87"/>
      <c r="G3121" s="88"/>
      <c r="H3121" s="89"/>
      <c r="I3121" s="90"/>
      <c r="K3121" s="91"/>
      <c r="L3121" s="88"/>
      <c r="M3121" s="92"/>
      <c r="N3121" s="86"/>
    </row>
    <row r="3122" spans="5:14">
      <c r="E3122" s="86"/>
      <c r="F3122" s="87"/>
      <c r="G3122" s="88"/>
      <c r="H3122" s="89"/>
      <c r="I3122" s="90"/>
      <c r="K3122" s="91"/>
      <c r="L3122" s="88"/>
      <c r="M3122" s="92"/>
      <c r="N3122" s="86"/>
    </row>
    <row r="3123" spans="5:14">
      <c r="E3123" s="86"/>
      <c r="F3123" s="87"/>
      <c r="G3123" s="88"/>
      <c r="H3123" s="89"/>
      <c r="I3123" s="90"/>
      <c r="K3123" s="91"/>
      <c r="L3123" s="88"/>
      <c r="M3123" s="92"/>
      <c r="N3123" s="86"/>
    </row>
    <row r="3124" spans="5:14">
      <c r="E3124" s="86"/>
      <c r="F3124" s="87"/>
      <c r="G3124" s="88"/>
      <c r="H3124" s="89"/>
      <c r="I3124" s="90"/>
      <c r="K3124" s="91"/>
      <c r="L3124" s="88"/>
      <c r="M3124" s="92"/>
      <c r="N3124" s="86"/>
    </row>
    <row r="3125" spans="5:14">
      <c r="E3125" s="86"/>
      <c r="F3125" s="87"/>
      <c r="G3125" s="88"/>
      <c r="H3125" s="89"/>
      <c r="I3125" s="90"/>
      <c r="K3125" s="91"/>
      <c r="L3125" s="88"/>
      <c r="M3125" s="92"/>
      <c r="N3125" s="86"/>
    </row>
    <row r="3126" spans="5:14">
      <c r="E3126" s="86"/>
      <c r="F3126" s="87"/>
      <c r="G3126" s="88"/>
      <c r="H3126" s="89"/>
      <c r="I3126" s="90"/>
      <c r="K3126" s="91"/>
      <c r="L3126" s="88"/>
      <c r="M3126" s="92"/>
      <c r="N3126" s="86"/>
    </row>
    <row r="3127" spans="5:14">
      <c r="E3127" s="86"/>
      <c r="F3127" s="87"/>
      <c r="G3127" s="88"/>
      <c r="H3127" s="89"/>
      <c r="I3127" s="90"/>
      <c r="K3127" s="91"/>
      <c r="L3127" s="88"/>
      <c r="M3127" s="92"/>
      <c r="N3127" s="86"/>
    </row>
    <row r="3128" spans="5:14">
      <c r="E3128" s="86"/>
      <c r="F3128" s="87"/>
      <c r="G3128" s="88"/>
      <c r="H3128" s="89"/>
      <c r="I3128" s="90"/>
      <c r="K3128" s="91"/>
      <c r="L3128" s="88"/>
      <c r="M3128" s="92"/>
      <c r="N3128" s="86"/>
    </row>
    <row r="3129" spans="5:14">
      <c r="E3129" s="86"/>
      <c r="F3129" s="87"/>
      <c r="G3129" s="88"/>
      <c r="H3129" s="89"/>
      <c r="I3129" s="90"/>
      <c r="K3129" s="91"/>
      <c r="L3129" s="88"/>
      <c r="M3129" s="92"/>
      <c r="N3129" s="86"/>
    </row>
    <row r="3130" spans="5:14">
      <c r="E3130" s="86"/>
      <c r="F3130" s="87"/>
      <c r="G3130" s="88"/>
      <c r="H3130" s="89"/>
      <c r="I3130" s="90"/>
      <c r="K3130" s="91"/>
      <c r="L3130" s="88"/>
      <c r="M3130" s="92"/>
      <c r="N3130" s="86"/>
    </row>
    <row r="3131" spans="5:14">
      <c r="E3131" s="86"/>
      <c r="F3131" s="87"/>
      <c r="G3131" s="88"/>
      <c r="H3131" s="89"/>
      <c r="I3131" s="90"/>
      <c r="K3131" s="91"/>
      <c r="L3131" s="88"/>
      <c r="M3131" s="92"/>
      <c r="N3131" s="86"/>
    </row>
    <row r="3132" spans="5:14">
      <c r="E3132" s="86"/>
      <c r="F3132" s="87"/>
      <c r="G3132" s="88"/>
      <c r="H3132" s="89"/>
      <c r="I3132" s="90"/>
      <c r="K3132" s="91"/>
      <c r="L3132" s="88"/>
      <c r="M3132" s="92"/>
      <c r="N3132" s="86"/>
    </row>
    <row r="3133" spans="5:14">
      <c r="E3133" s="86"/>
      <c r="F3133" s="87"/>
      <c r="G3133" s="88"/>
      <c r="H3133" s="89"/>
      <c r="I3133" s="90"/>
      <c r="K3133" s="91"/>
      <c r="L3133" s="88"/>
      <c r="M3133" s="92"/>
      <c r="N3133" s="86"/>
    </row>
    <row r="3134" spans="5:14">
      <c r="E3134" s="86"/>
      <c r="F3134" s="87"/>
      <c r="G3134" s="88"/>
      <c r="H3134" s="89"/>
      <c r="I3134" s="90"/>
      <c r="K3134" s="91"/>
      <c r="L3134" s="88"/>
      <c r="M3134" s="92"/>
      <c r="N3134" s="86"/>
    </row>
    <row r="3135" spans="5:14">
      <c r="E3135" s="86"/>
      <c r="F3135" s="87"/>
      <c r="G3135" s="88"/>
      <c r="H3135" s="89"/>
      <c r="I3135" s="90"/>
      <c r="K3135" s="91"/>
      <c r="L3135" s="88"/>
      <c r="M3135" s="92"/>
      <c r="N3135" s="86"/>
    </row>
    <row r="3136" spans="5:14">
      <c r="E3136" s="86"/>
      <c r="F3136" s="87"/>
      <c r="G3136" s="88"/>
      <c r="H3136" s="89"/>
      <c r="I3136" s="90"/>
      <c r="K3136" s="91"/>
      <c r="L3136" s="88"/>
      <c r="M3136" s="92"/>
      <c r="N3136" s="86"/>
    </row>
    <row r="3137" spans="5:14">
      <c r="E3137" s="86"/>
      <c r="F3137" s="87"/>
      <c r="G3137" s="88"/>
      <c r="H3137" s="89"/>
      <c r="I3137" s="90"/>
      <c r="K3137" s="91"/>
      <c r="L3137" s="88"/>
      <c r="M3137" s="92"/>
      <c r="N3137" s="86"/>
    </row>
    <row r="3138" spans="5:14">
      <c r="E3138" s="86"/>
      <c r="F3138" s="87"/>
      <c r="G3138" s="88"/>
      <c r="H3138" s="89"/>
      <c r="I3138" s="90"/>
      <c r="K3138" s="91"/>
      <c r="L3138" s="88"/>
      <c r="M3138" s="92"/>
      <c r="N3138" s="86"/>
    </row>
    <row r="3139" spans="5:14">
      <c r="E3139" s="86"/>
      <c r="F3139" s="87"/>
      <c r="G3139" s="88"/>
      <c r="H3139" s="89"/>
      <c r="I3139" s="90"/>
      <c r="K3139" s="91"/>
      <c r="L3139" s="88"/>
      <c r="M3139" s="92"/>
      <c r="N3139" s="86"/>
    </row>
    <row r="3140" spans="5:14">
      <c r="E3140" s="86"/>
      <c r="F3140" s="87"/>
      <c r="G3140" s="88"/>
      <c r="H3140" s="89"/>
      <c r="I3140" s="90"/>
      <c r="K3140" s="91"/>
      <c r="L3140" s="88"/>
      <c r="M3140" s="92"/>
      <c r="N3140" s="86"/>
    </row>
    <row r="3141" spans="5:14">
      <c r="E3141" s="86"/>
      <c r="F3141" s="87"/>
      <c r="G3141" s="88"/>
      <c r="H3141" s="89"/>
      <c r="I3141" s="90"/>
      <c r="K3141" s="91"/>
      <c r="L3141" s="88"/>
      <c r="M3141" s="92"/>
      <c r="N3141" s="86"/>
    </row>
    <row r="3142" spans="5:14">
      <c r="E3142" s="86"/>
      <c r="F3142" s="87"/>
      <c r="G3142" s="88"/>
      <c r="H3142" s="89"/>
      <c r="I3142" s="90"/>
      <c r="K3142" s="91"/>
      <c r="L3142" s="88"/>
      <c r="M3142" s="92"/>
      <c r="N3142" s="86"/>
    </row>
    <row r="3143" spans="5:14">
      <c r="E3143" s="86"/>
      <c r="F3143" s="87"/>
      <c r="G3143" s="88"/>
      <c r="H3143" s="89"/>
      <c r="I3143" s="90"/>
      <c r="K3143" s="91"/>
      <c r="L3143" s="88"/>
      <c r="M3143" s="92"/>
      <c r="N3143" s="86"/>
    </row>
    <row r="3144" spans="5:14">
      <c r="E3144" s="86"/>
      <c r="F3144" s="87"/>
      <c r="G3144" s="88"/>
      <c r="H3144" s="89"/>
      <c r="I3144" s="90"/>
      <c r="K3144" s="91"/>
      <c r="L3144" s="88"/>
      <c r="M3144" s="92"/>
      <c r="N3144" s="86"/>
    </row>
    <row r="3145" spans="5:14">
      <c r="E3145" s="86"/>
      <c r="F3145" s="87"/>
      <c r="G3145" s="88"/>
      <c r="H3145" s="89"/>
      <c r="I3145" s="90"/>
      <c r="K3145" s="91"/>
      <c r="L3145" s="88"/>
      <c r="M3145" s="92"/>
      <c r="N3145" s="86"/>
    </row>
    <row r="3146" spans="5:14">
      <c r="E3146" s="86"/>
      <c r="F3146" s="87"/>
      <c r="G3146" s="88"/>
      <c r="H3146" s="89"/>
      <c r="I3146" s="90"/>
      <c r="K3146" s="91"/>
      <c r="L3146" s="88"/>
      <c r="M3146" s="92"/>
      <c r="N3146" s="86"/>
    </row>
    <row r="3147" spans="5:14">
      <c r="E3147" s="86"/>
      <c r="F3147" s="87"/>
      <c r="G3147" s="88"/>
      <c r="H3147" s="89"/>
      <c r="I3147" s="90"/>
      <c r="K3147" s="91"/>
      <c r="L3147" s="88"/>
      <c r="M3147" s="92"/>
      <c r="N3147" s="86"/>
    </row>
    <row r="3148" spans="5:14">
      <c r="E3148" s="86"/>
      <c r="F3148" s="87"/>
      <c r="G3148" s="88"/>
      <c r="H3148" s="89"/>
      <c r="I3148" s="90"/>
      <c r="K3148" s="91"/>
      <c r="L3148" s="88"/>
      <c r="M3148" s="92"/>
      <c r="N3148" s="86"/>
    </row>
    <row r="3149" spans="5:14">
      <c r="E3149" s="86"/>
      <c r="F3149" s="87"/>
      <c r="G3149" s="88"/>
      <c r="H3149" s="89"/>
      <c r="I3149" s="90"/>
      <c r="K3149" s="91"/>
      <c r="L3149" s="88"/>
      <c r="M3149" s="92"/>
      <c r="N3149" s="86"/>
    </row>
    <row r="3150" spans="5:14">
      <c r="E3150" s="86"/>
      <c r="F3150" s="87"/>
      <c r="G3150" s="88"/>
      <c r="H3150" s="89"/>
      <c r="I3150" s="90"/>
      <c r="K3150" s="91"/>
      <c r="L3150" s="88"/>
      <c r="M3150" s="92"/>
      <c r="N3150" s="86"/>
    </row>
    <row r="3151" spans="5:14">
      <c r="E3151" s="86"/>
      <c r="F3151" s="87"/>
      <c r="G3151" s="88"/>
      <c r="H3151" s="89"/>
      <c r="I3151" s="90"/>
      <c r="K3151" s="91"/>
      <c r="L3151" s="88"/>
      <c r="M3151" s="92"/>
      <c r="N3151" s="86"/>
    </row>
    <row r="3152" spans="5:14">
      <c r="E3152" s="86"/>
      <c r="F3152" s="87"/>
      <c r="G3152" s="88"/>
      <c r="H3152" s="89"/>
      <c r="I3152" s="90"/>
      <c r="K3152" s="91"/>
      <c r="L3152" s="88"/>
      <c r="M3152" s="92"/>
      <c r="N3152" s="86"/>
    </row>
    <row r="3153" spans="5:14">
      <c r="E3153" s="86"/>
      <c r="F3153" s="87"/>
      <c r="G3153" s="88"/>
      <c r="H3153" s="89"/>
      <c r="I3153" s="90"/>
      <c r="K3153" s="91"/>
      <c r="L3153" s="88"/>
      <c r="M3153" s="92"/>
      <c r="N3153" s="86"/>
    </row>
    <row r="3154" spans="5:14">
      <c r="E3154" s="86"/>
      <c r="F3154" s="87"/>
      <c r="G3154" s="88"/>
      <c r="H3154" s="89"/>
      <c r="I3154" s="90"/>
      <c r="K3154" s="91"/>
      <c r="L3154" s="88"/>
      <c r="M3154" s="92"/>
      <c r="N3154" s="86"/>
    </row>
    <row r="3155" spans="5:14">
      <c r="E3155" s="86"/>
      <c r="F3155" s="87"/>
      <c r="G3155" s="88"/>
      <c r="H3155" s="89"/>
      <c r="I3155" s="90"/>
      <c r="K3155" s="91"/>
      <c r="L3155" s="88"/>
      <c r="M3155" s="92"/>
      <c r="N3155" s="86"/>
    </row>
    <row r="3156" spans="5:14">
      <c r="E3156" s="86"/>
      <c r="F3156" s="87"/>
      <c r="G3156" s="88"/>
      <c r="H3156" s="89"/>
      <c r="I3156" s="90"/>
      <c r="K3156" s="91"/>
      <c r="L3156" s="88"/>
      <c r="M3156" s="92"/>
      <c r="N3156" s="86"/>
    </row>
    <row r="3157" spans="5:14">
      <c r="E3157" s="86"/>
      <c r="F3157" s="87"/>
      <c r="G3157" s="88"/>
      <c r="H3157" s="89"/>
      <c r="I3157" s="90"/>
      <c r="K3157" s="91"/>
      <c r="L3157" s="88"/>
      <c r="M3157" s="92"/>
      <c r="N3157" s="86"/>
    </row>
    <row r="3158" spans="5:14">
      <c r="E3158" s="86"/>
      <c r="F3158" s="87"/>
      <c r="G3158" s="88"/>
      <c r="H3158" s="89"/>
      <c r="I3158" s="90"/>
      <c r="K3158" s="91"/>
      <c r="L3158" s="88"/>
      <c r="M3158" s="92"/>
      <c r="N3158" s="86"/>
    </row>
    <row r="3159" spans="5:14">
      <c r="E3159" s="86"/>
      <c r="F3159" s="87"/>
      <c r="G3159" s="88"/>
      <c r="H3159" s="89"/>
      <c r="I3159" s="90"/>
      <c r="K3159" s="91"/>
      <c r="L3159" s="88"/>
      <c r="M3159" s="92"/>
      <c r="N3159" s="86"/>
    </row>
    <row r="3160" spans="5:14">
      <c r="E3160" s="86"/>
      <c r="F3160" s="87"/>
      <c r="G3160" s="88"/>
      <c r="H3160" s="89"/>
      <c r="I3160" s="90"/>
      <c r="K3160" s="91"/>
      <c r="L3160" s="88"/>
      <c r="M3160" s="92"/>
      <c r="N3160" s="86"/>
    </row>
    <row r="3161" spans="5:14">
      <c r="E3161" s="86"/>
      <c r="F3161" s="87"/>
      <c r="G3161" s="88"/>
      <c r="H3161" s="89"/>
      <c r="I3161" s="90"/>
      <c r="K3161" s="91"/>
      <c r="L3161" s="88"/>
      <c r="M3161" s="92"/>
      <c r="N3161" s="86"/>
    </row>
    <row r="3162" spans="5:14">
      <c r="E3162" s="86"/>
      <c r="F3162" s="87"/>
      <c r="G3162" s="88"/>
      <c r="H3162" s="89"/>
      <c r="I3162" s="90"/>
      <c r="K3162" s="91"/>
      <c r="L3162" s="88"/>
      <c r="M3162" s="92"/>
      <c r="N3162" s="86"/>
    </row>
    <row r="3163" spans="5:14">
      <c r="E3163" s="86"/>
      <c r="F3163" s="87"/>
      <c r="G3163" s="88"/>
      <c r="H3163" s="89"/>
      <c r="I3163" s="90"/>
      <c r="K3163" s="91"/>
      <c r="L3163" s="88"/>
      <c r="M3163" s="92"/>
      <c r="N3163" s="86"/>
    </row>
    <row r="3164" spans="5:14">
      <c r="E3164" s="86"/>
      <c r="F3164" s="87"/>
      <c r="G3164" s="88"/>
      <c r="H3164" s="89"/>
      <c r="I3164" s="90"/>
      <c r="K3164" s="91"/>
      <c r="L3164" s="88"/>
      <c r="M3164" s="92"/>
      <c r="N3164" s="86"/>
    </row>
    <row r="3165" spans="5:14">
      <c r="E3165" s="86"/>
      <c r="F3165" s="87"/>
      <c r="G3165" s="88"/>
      <c r="H3165" s="89"/>
      <c r="I3165" s="90"/>
      <c r="K3165" s="91"/>
      <c r="L3165" s="88"/>
      <c r="M3165" s="92"/>
      <c r="N3165" s="86"/>
    </row>
    <row r="3166" spans="5:14">
      <c r="E3166" s="86"/>
      <c r="F3166" s="87"/>
      <c r="G3166" s="88"/>
      <c r="H3166" s="89"/>
      <c r="I3166" s="90"/>
      <c r="K3166" s="91"/>
      <c r="L3166" s="88"/>
      <c r="M3166" s="92"/>
      <c r="N3166" s="86"/>
    </row>
    <row r="3167" spans="5:14">
      <c r="E3167" s="86"/>
      <c r="F3167" s="87"/>
      <c r="G3167" s="88"/>
      <c r="H3167" s="89"/>
      <c r="I3167" s="90"/>
      <c r="K3167" s="91"/>
      <c r="L3167" s="88"/>
      <c r="M3167" s="92"/>
      <c r="N3167" s="86"/>
    </row>
    <row r="3168" spans="5:14">
      <c r="E3168" s="86"/>
      <c r="F3168" s="87"/>
      <c r="G3168" s="88"/>
      <c r="H3168" s="89"/>
      <c r="I3168" s="90"/>
      <c r="K3168" s="91"/>
      <c r="L3168" s="88"/>
      <c r="M3168" s="92"/>
      <c r="N3168" s="86"/>
    </row>
    <row r="3169" spans="5:14">
      <c r="E3169" s="86"/>
      <c r="F3169" s="87"/>
      <c r="G3169" s="88"/>
      <c r="H3169" s="89"/>
      <c r="I3169" s="90"/>
      <c r="K3169" s="91"/>
      <c r="L3169" s="88"/>
      <c r="M3169" s="92"/>
      <c r="N3169" s="86"/>
    </row>
    <row r="3170" spans="5:14">
      <c r="E3170" s="86"/>
      <c r="F3170" s="87"/>
      <c r="G3170" s="88"/>
      <c r="H3170" s="89"/>
      <c r="I3170" s="90"/>
      <c r="K3170" s="91"/>
      <c r="L3170" s="88"/>
      <c r="M3170" s="92"/>
      <c r="N3170" s="86"/>
    </row>
    <row r="3171" spans="5:14">
      <c r="E3171" s="86"/>
      <c r="F3171" s="87"/>
      <c r="G3171" s="88"/>
      <c r="H3171" s="89"/>
      <c r="I3171" s="90"/>
      <c r="K3171" s="91"/>
      <c r="L3171" s="88"/>
      <c r="M3171" s="92"/>
      <c r="N3171" s="86"/>
    </row>
    <row r="3172" spans="5:14">
      <c r="E3172" s="86"/>
      <c r="F3172" s="87"/>
      <c r="G3172" s="88"/>
      <c r="H3172" s="89"/>
      <c r="I3172" s="90"/>
      <c r="K3172" s="91"/>
      <c r="L3172" s="88"/>
      <c r="M3172" s="92"/>
      <c r="N3172" s="86"/>
    </row>
    <row r="3173" spans="5:14">
      <c r="E3173" s="86"/>
      <c r="F3173" s="87"/>
      <c r="G3173" s="88"/>
      <c r="H3173" s="89"/>
      <c r="I3173" s="90"/>
      <c r="K3173" s="91"/>
      <c r="L3173" s="88"/>
      <c r="M3173" s="92"/>
      <c r="N3173" s="86"/>
    </row>
    <row r="3174" spans="5:14">
      <c r="E3174" s="86"/>
      <c r="F3174" s="87"/>
      <c r="G3174" s="88"/>
      <c r="H3174" s="89"/>
      <c r="I3174" s="90"/>
      <c r="K3174" s="91"/>
      <c r="L3174" s="88"/>
      <c r="M3174" s="92"/>
      <c r="N3174" s="86"/>
    </row>
    <row r="3175" spans="5:14">
      <c r="E3175" s="86"/>
      <c r="F3175" s="87"/>
      <c r="G3175" s="88"/>
      <c r="H3175" s="89"/>
      <c r="I3175" s="90"/>
      <c r="K3175" s="91"/>
      <c r="L3175" s="88"/>
      <c r="M3175" s="92"/>
      <c r="N3175" s="86"/>
    </row>
    <row r="3176" spans="5:14">
      <c r="E3176" s="86"/>
      <c r="F3176" s="87"/>
      <c r="G3176" s="88"/>
      <c r="H3176" s="89"/>
      <c r="I3176" s="90"/>
      <c r="K3176" s="91"/>
      <c r="L3176" s="88"/>
      <c r="M3176" s="92"/>
      <c r="N3176" s="86"/>
    </row>
    <row r="3177" spans="5:14">
      <c r="E3177" s="86"/>
      <c r="F3177" s="87"/>
      <c r="G3177" s="88"/>
      <c r="H3177" s="89"/>
      <c r="I3177" s="90"/>
      <c r="K3177" s="91"/>
      <c r="L3177" s="88"/>
      <c r="M3177" s="92"/>
      <c r="N3177" s="86"/>
    </row>
    <row r="3178" spans="5:14">
      <c r="E3178" s="86"/>
      <c r="F3178" s="87"/>
      <c r="G3178" s="88"/>
      <c r="H3178" s="89"/>
      <c r="I3178" s="90"/>
      <c r="K3178" s="91"/>
      <c r="L3178" s="88"/>
      <c r="M3178" s="92"/>
      <c r="N3178" s="86"/>
    </row>
    <row r="3179" spans="5:14">
      <c r="E3179" s="86"/>
      <c r="F3179" s="87"/>
      <c r="G3179" s="88"/>
      <c r="H3179" s="89"/>
      <c r="I3179" s="90"/>
      <c r="K3179" s="91"/>
      <c r="L3179" s="88"/>
      <c r="M3179" s="92"/>
      <c r="N3179" s="86"/>
    </row>
    <row r="3180" spans="5:14">
      <c r="E3180" s="86"/>
      <c r="F3180" s="87"/>
      <c r="G3180" s="88"/>
      <c r="H3180" s="89"/>
      <c r="I3180" s="90"/>
      <c r="K3180" s="91"/>
      <c r="L3180" s="88"/>
      <c r="M3180" s="92"/>
      <c r="N3180" s="86"/>
    </row>
    <row r="3181" spans="5:14">
      <c r="E3181" s="86"/>
      <c r="F3181" s="87"/>
      <c r="G3181" s="88"/>
      <c r="H3181" s="89"/>
      <c r="I3181" s="90"/>
      <c r="K3181" s="91"/>
      <c r="L3181" s="88"/>
      <c r="M3181" s="92"/>
      <c r="N3181" s="86"/>
    </row>
    <row r="3182" spans="5:14">
      <c r="E3182" s="86"/>
      <c r="F3182" s="87"/>
      <c r="G3182" s="88"/>
      <c r="H3182" s="89"/>
      <c r="I3182" s="90"/>
      <c r="K3182" s="91"/>
      <c r="L3182" s="88"/>
      <c r="M3182" s="92"/>
      <c r="N3182" s="86"/>
    </row>
    <row r="3183" spans="5:14">
      <c r="E3183" s="86"/>
      <c r="F3183" s="87"/>
      <c r="G3183" s="88"/>
      <c r="H3183" s="89"/>
      <c r="I3183" s="90"/>
      <c r="K3183" s="91"/>
      <c r="L3183" s="88"/>
      <c r="M3183" s="92"/>
      <c r="N3183" s="86"/>
    </row>
    <row r="3184" spans="5:14">
      <c r="E3184" s="86"/>
      <c r="F3184" s="87"/>
      <c r="G3184" s="88"/>
      <c r="H3184" s="89"/>
      <c r="I3184" s="90"/>
      <c r="K3184" s="91"/>
      <c r="L3184" s="88"/>
      <c r="M3184" s="92"/>
      <c r="N3184" s="86"/>
    </row>
    <row r="3185" spans="5:14">
      <c r="E3185" s="86"/>
      <c r="F3185" s="87"/>
      <c r="G3185" s="88"/>
      <c r="H3185" s="89"/>
      <c r="I3185" s="90"/>
      <c r="K3185" s="91"/>
      <c r="L3185" s="88"/>
      <c r="M3185" s="92"/>
      <c r="N3185" s="86"/>
    </row>
    <row r="3186" spans="5:14">
      <c r="E3186" s="86"/>
      <c r="F3186" s="87"/>
      <c r="G3186" s="88"/>
      <c r="H3186" s="89"/>
      <c r="I3186" s="90"/>
      <c r="K3186" s="91"/>
      <c r="L3186" s="88"/>
      <c r="M3186" s="92"/>
      <c r="N3186" s="86"/>
    </row>
    <row r="3187" spans="5:14">
      <c r="E3187" s="86"/>
      <c r="F3187" s="87"/>
      <c r="G3187" s="88"/>
      <c r="H3187" s="89"/>
      <c r="I3187" s="90"/>
      <c r="K3187" s="91"/>
      <c r="L3187" s="88"/>
      <c r="M3187" s="92"/>
      <c r="N3187" s="86"/>
    </row>
    <row r="3188" spans="5:14">
      <c r="E3188" s="86"/>
      <c r="F3188" s="87"/>
      <c r="G3188" s="88"/>
      <c r="H3188" s="89"/>
      <c r="I3188" s="90"/>
      <c r="K3188" s="91"/>
      <c r="L3188" s="88"/>
      <c r="M3188" s="92"/>
      <c r="N3188" s="86"/>
    </row>
    <row r="3189" spans="5:14">
      <c r="E3189" s="86"/>
      <c r="F3189" s="87"/>
      <c r="G3189" s="88"/>
      <c r="H3189" s="89"/>
      <c r="I3189" s="90"/>
      <c r="K3189" s="91"/>
      <c r="L3189" s="88"/>
      <c r="M3189" s="92"/>
      <c r="N3189" s="86"/>
    </row>
    <row r="3190" spans="5:14">
      <c r="E3190" s="86"/>
      <c r="F3190" s="87"/>
      <c r="G3190" s="88"/>
      <c r="H3190" s="89"/>
      <c r="I3190" s="90"/>
      <c r="K3190" s="91"/>
      <c r="L3190" s="88"/>
      <c r="M3190" s="92"/>
      <c r="N3190" s="86"/>
    </row>
    <row r="3191" spans="5:14">
      <c r="E3191" s="86"/>
      <c r="F3191" s="87"/>
      <c r="G3191" s="88"/>
      <c r="H3191" s="89"/>
      <c r="I3191" s="90"/>
      <c r="K3191" s="91"/>
      <c r="L3191" s="88"/>
      <c r="M3191" s="92"/>
      <c r="N3191" s="86"/>
    </row>
    <row r="3192" spans="5:14">
      <c r="E3192" s="86"/>
      <c r="F3192" s="87"/>
      <c r="G3192" s="88"/>
      <c r="H3192" s="89"/>
      <c r="I3192" s="90"/>
      <c r="K3192" s="91"/>
      <c r="L3192" s="88"/>
      <c r="M3192" s="92"/>
      <c r="N3192" s="86"/>
    </row>
    <row r="3193" spans="5:14">
      <c r="E3193" s="86"/>
      <c r="F3193" s="87"/>
      <c r="G3193" s="88"/>
      <c r="H3193" s="89"/>
      <c r="I3193" s="90"/>
      <c r="K3193" s="91"/>
      <c r="L3193" s="88"/>
      <c r="M3193" s="92"/>
      <c r="N3193" s="86"/>
    </row>
    <row r="3194" spans="5:14">
      <c r="E3194" s="86"/>
      <c r="F3194" s="87"/>
      <c r="G3194" s="88"/>
      <c r="H3194" s="89"/>
      <c r="I3194" s="90"/>
      <c r="K3194" s="91"/>
      <c r="L3194" s="88"/>
      <c r="M3194" s="92"/>
      <c r="N3194" s="86"/>
    </row>
    <row r="3195" spans="5:14">
      <c r="E3195" s="86"/>
      <c r="F3195" s="87"/>
      <c r="G3195" s="88"/>
      <c r="H3195" s="89"/>
      <c r="I3195" s="90"/>
      <c r="K3195" s="91"/>
      <c r="L3195" s="88"/>
      <c r="M3195" s="92"/>
      <c r="N3195" s="86"/>
    </row>
    <row r="3196" spans="5:14">
      <c r="E3196" s="86"/>
      <c r="F3196" s="87"/>
      <c r="G3196" s="88"/>
      <c r="H3196" s="89"/>
      <c r="I3196" s="90"/>
      <c r="K3196" s="91"/>
      <c r="L3196" s="88"/>
      <c r="M3196" s="92"/>
      <c r="N3196" s="86"/>
    </row>
    <row r="3197" spans="5:14">
      <c r="E3197" s="86"/>
      <c r="F3197" s="87"/>
      <c r="G3197" s="88"/>
      <c r="H3197" s="89"/>
      <c r="I3197" s="90"/>
      <c r="K3197" s="91"/>
      <c r="L3197" s="88"/>
      <c r="M3197" s="92"/>
      <c r="N3197" s="86"/>
    </row>
    <row r="3198" spans="5:14">
      <c r="E3198" s="86"/>
      <c r="F3198" s="87"/>
      <c r="G3198" s="88"/>
      <c r="H3198" s="89"/>
      <c r="I3198" s="90"/>
      <c r="K3198" s="91"/>
      <c r="L3198" s="88"/>
      <c r="M3198" s="92"/>
      <c r="N3198" s="86"/>
    </row>
    <row r="3199" spans="5:14">
      <c r="E3199" s="86"/>
      <c r="F3199" s="87"/>
      <c r="G3199" s="88"/>
      <c r="H3199" s="89"/>
      <c r="I3199" s="90"/>
      <c r="K3199" s="91"/>
      <c r="L3199" s="88"/>
      <c r="M3199" s="92"/>
      <c r="N3199" s="86"/>
    </row>
    <row r="3200" spans="5:14">
      <c r="E3200" s="86"/>
      <c r="F3200" s="87"/>
      <c r="G3200" s="88"/>
      <c r="H3200" s="89"/>
      <c r="I3200" s="90"/>
      <c r="K3200" s="91"/>
      <c r="L3200" s="88"/>
      <c r="M3200" s="92"/>
      <c r="N3200" s="86"/>
    </row>
    <row r="3201" spans="5:14">
      <c r="E3201" s="86"/>
      <c r="F3201" s="87"/>
      <c r="G3201" s="88"/>
      <c r="H3201" s="89"/>
      <c r="I3201" s="90"/>
      <c r="K3201" s="91"/>
      <c r="L3201" s="88"/>
      <c r="M3201" s="92"/>
      <c r="N3201" s="86"/>
    </row>
    <row r="3202" spans="5:14">
      <c r="E3202" s="86"/>
      <c r="F3202" s="87"/>
      <c r="G3202" s="88"/>
      <c r="H3202" s="89"/>
      <c r="I3202" s="90"/>
      <c r="K3202" s="91"/>
      <c r="L3202" s="88"/>
      <c r="M3202" s="92"/>
      <c r="N3202" s="86"/>
    </row>
    <row r="3203" spans="5:14">
      <c r="E3203" s="86"/>
      <c r="F3203" s="87"/>
      <c r="G3203" s="88"/>
      <c r="H3203" s="89"/>
      <c r="I3203" s="90"/>
      <c r="K3203" s="91"/>
      <c r="L3203" s="88"/>
      <c r="M3203" s="92"/>
      <c r="N3203" s="86"/>
    </row>
    <row r="3204" spans="5:14">
      <c r="E3204" s="86"/>
      <c r="F3204" s="87"/>
      <c r="G3204" s="88"/>
      <c r="H3204" s="89"/>
      <c r="I3204" s="90"/>
      <c r="K3204" s="91"/>
      <c r="L3204" s="88"/>
      <c r="M3204" s="92"/>
      <c r="N3204" s="86"/>
    </row>
    <row r="3205" spans="5:14">
      <c r="E3205" s="86"/>
      <c r="F3205" s="87"/>
      <c r="G3205" s="88"/>
      <c r="H3205" s="89"/>
      <c r="I3205" s="90"/>
      <c r="K3205" s="91"/>
      <c r="L3205" s="88"/>
      <c r="M3205" s="92"/>
      <c r="N3205" s="86"/>
    </row>
    <row r="3206" spans="5:14">
      <c r="E3206" s="86"/>
      <c r="F3206" s="87"/>
      <c r="G3206" s="88"/>
      <c r="H3206" s="89"/>
      <c r="I3206" s="90"/>
      <c r="K3206" s="91"/>
      <c r="L3206" s="88"/>
      <c r="M3206" s="92"/>
      <c r="N3206" s="86"/>
    </row>
    <row r="3207" spans="5:14">
      <c r="E3207" s="86"/>
      <c r="F3207" s="87"/>
      <c r="G3207" s="88"/>
      <c r="H3207" s="89"/>
      <c r="I3207" s="90"/>
      <c r="K3207" s="91"/>
      <c r="L3207" s="88"/>
      <c r="M3207" s="92"/>
      <c r="N3207" s="86"/>
    </row>
    <row r="3208" spans="5:14">
      <c r="E3208" s="86"/>
      <c r="F3208" s="87"/>
      <c r="G3208" s="88"/>
      <c r="H3208" s="89"/>
      <c r="I3208" s="90"/>
      <c r="K3208" s="91"/>
      <c r="L3208" s="88"/>
      <c r="M3208" s="92"/>
      <c r="N3208" s="86"/>
    </row>
    <row r="3209" spans="5:14">
      <c r="E3209" s="86"/>
      <c r="F3209" s="87"/>
      <c r="G3209" s="88"/>
      <c r="H3209" s="89"/>
      <c r="I3209" s="90"/>
      <c r="K3209" s="91"/>
      <c r="L3209" s="88"/>
      <c r="M3209" s="92"/>
      <c r="N3209" s="86"/>
    </row>
    <row r="3210" spans="5:14">
      <c r="E3210" s="86"/>
      <c r="F3210" s="87"/>
      <c r="G3210" s="88"/>
      <c r="H3210" s="89"/>
      <c r="I3210" s="90"/>
      <c r="K3210" s="91"/>
      <c r="L3210" s="88"/>
      <c r="M3210" s="92"/>
      <c r="N3210" s="86"/>
    </row>
    <row r="3211" spans="5:14">
      <c r="E3211" s="86"/>
      <c r="F3211" s="87"/>
      <c r="G3211" s="88"/>
      <c r="H3211" s="89"/>
      <c r="I3211" s="90"/>
      <c r="K3211" s="91"/>
      <c r="L3211" s="88"/>
      <c r="M3211" s="92"/>
      <c r="N3211" s="86"/>
    </row>
    <row r="3212" spans="5:14">
      <c r="E3212" s="86"/>
      <c r="F3212" s="87"/>
      <c r="G3212" s="88"/>
      <c r="H3212" s="89"/>
      <c r="I3212" s="90"/>
      <c r="K3212" s="91"/>
      <c r="L3212" s="88"/>
      <c r="M3212" s="92"/>
      <c r="N3212" s="86"/>
    </row>
    <row r="3213" spans="5:14">
      <c r="E3213" s="86"/>
      <c r="F3213" s="87"/>
      <c r="G3213" s="88"/>
      <c r="H3213" s="89"/>
      <c r="I3213" s="90"/>
      <c r="K3213" s="91"/>
      <c r="L3213" s="88"/>
      <c r="M3213" s="92"/>
      <c r="N3213" s="86"/>
    </row>
    <row r="3214" spans="5:14">
      <c r="E3214" s="86"/>
      <c r="F3214" s="87"/>
      <c r="G3214" s="88"/>
      <c r="H3214" s="89"/>
      <c r="I3214" s="90"/>
      <c r="K3214" s="91"/>
      <c r="L3214" s="88"/>
      <c r="M3214" s="92"/>
      <c r="N3214" s="86"/>
    </row>
    <row r="3215" spans="5:14">
      <c r="E3215" s="86"/>
      <c r="F3215" s="87"/>
      <c r="G3215" s="88"/>
      <c r="H3215" s="89"/>
      <c r="I3215" s="90"/>
      <c r="K3215" s="91"/>
      <c r="L3215" s="88"/>
      <c r="M3215" s="92"/>
      <c r="N3215" s="86"/>
    </row>
    <row r="3216" spans="5:14">
      <c r="E3216" s="86"/>
      <c r="F3216" s="87"/>
      <c r="G3216" s="88"/>
      <c r="H3216" s="89"/>
      <c r="I3216" s="90"/>
      <c r="K3216" s="91"/>
      <c r="L3216" s="88"/>
      <c r="M3216" s="92"/>
      <c r="N3216" s="86"/>
    </row>
    <row r="3217" spans="5:14">
      <c r="E3217" s="86"/>
      <c r="F3217" s="87"/>
      <c r="G3217" s="88"/>
      <c r="H3217" s="89"/>
      <c r="I3217" s="90"/>
      <c r="K3217" s="91"/>
      <c r="L3217" s="88"/>
      <c r="M3217" s="92"/>
      <c r="N3217" s="86"/>
    </row>
    <row r="3218" spans="5:14">
      <c r="E3218" s="86"/>
      <c r="F3218" s="87"/>
      <c r="G3218" s="88"/>
      <c r="H3218" s="89"/>
      <c r="I3218" s="90"/>
      <c r="K3218" s="91"/>
      <c r="L3218" s="88"/>
      <c r="M3218" s="92"/>
      <c r="N3218" s="86"/>
    </row>
    <row r="3219" spans="5:14">
      <c r="E3219" s="86"/>
      <c r="F3219" s="87"/>
      <c r="G3219" s="88"/>
      <c r="H3219" s="89"/>
      <c r="I3219" s="90"/>
      <c r="K3219" s="91"/>
      <c r="L3219" s="88"/>
      <c r="M3219" s="92"/>
      <c r="N3219" s="86"/>
    </row>
    <row r="3220" spans="5:14">
      <c r="E3220" s="86"/>
      <c r="F3220" s="87"/>
      <c r="G3220" s="88"/>
      <c r="H3220" s="89"/>
      <c r="I3220" s="90"/>
      <c r="K3220" s="91"/>
      <c r="L3220" s="88"/>
      <c r="M3220" s="92"/>
      <c r="N3220" s="86"/>
    </row>
    <row r="3221" spans="5:14">
      <c r="E3221" s="86"/>
      <c r="F3221" s="87"/>
      <c r="G3221" s="88"/>
      <c r="H3221" s="89"/>
      <c r="I3221" s="90"/>
      <c r="K3221" s="91"/>
      <c r="L3221" s="88"/>
      <c r="M3221" s="92"/>
      <c r="N3221" s="86"/>
    </row>
    <row r="3222" spans="5:14">
      <c r="E3222" s="86"/>
      <c r="F3222" s="87"/>
      <c r="G3222" s="88"/>
      <c r="H3222" s="89"/>
      <c r="I3222" s="90"/>
      <c r="K3222" s="91"/>
      <c r="L3222" s="88"/>
      <c r="M3222" s="92"/>
      <c r="N3222" s="86"/>
    </row>
    <row r="3223" spans="5:14">
      <c r="E3223" s="86"/>
      <c r="F3223" s="87"/>
      <c r="G3223" s="88"/>
      <c r="H3223" s="89"/>
      <c r="I3223" s="90"/>
      <c r="K3223" s="91"/>
      <c r="L3223" s="88"/>
      <c r="M3223" s="92"/>
      <c r="N3223" s="86"/>
    </row>
    <row r="3224" spans="5:14">
      <c r="E3224" s="86"/>
      <c r="F3224" s="87"/>
      <c r="G3224" s="88"/>
      <c r="H3224" s="89"/>
      <c r="I3224" s="90"/>
      <c r="K3224" s="91"/>
      <c r="L3224" s="88"/>
      <c r="M3224" s="92"/>
      <c r="N3224" s="86"/>
    </row>
    <row r="3225" spans="5:14">
      <c r="E3225" s="86"/>
      <c r="F3225" s="87"/>
      <c r="G3225" s="88"/>
      <c r="H3225" s="89"/>
      <c r="I3225" s="90"/>
      <c r="K3225" s="91"/>
      <c r="L3225" s="88"/>
      <c r="M3225" s="92"/>
      <c r="N3225" s="86"/>
    </row>
    <row r="3226" spans="5:14">
      <c r="E3226" s="86"/>
      <c r="F3226" s="87"/>
      <c r="G3226" s="88"/>
      <c r="H3226" s="89"/>
      <c r="I3226" s="90"/>
      <c r="K3226" s="91"/>
      <c r="L3226" s="88"/>
      <c r="M3226" s="92"/>
      <c r="N3226" s="86"/>
    </row>
    <row r="3227" spans="5:14">
      <c r="E3227" s="86"/>
      <c r="F3227" s="87"/>
      <c r="G3227" s="88"/>
      <c r="H3227" s="89"/>
      <c r="I3227" s="90"/>
      <c r="K3227" s="91"/>
      <c r="L3227" s="88"/>
      <c r="M3227" s="92"/>
      <c r="N3227" s="86"/>
    </row>
    <row r="3228" spans="5:14">
      <c r="E3228" s="86"/>
      <c r="F3228" s="87"/>
      <c r="G3228" s="88"/>
      <c r="H3228" s="89"/>
      <c r="I3228" s="90"/>
      <c r="K3228" s="91"/>
      <c r="L3228" s="88"/>
      <c r="M3228" s="92"/>
      <c r="N3228" s="86"/>
    </row>
    <row r="3229" spans="5:14">
      <c r="E3229" s="86"/>
      <c r="F3229" s="87"/>
      <c r="G3229" s="88"/>
      <c r="H3229" s="89"/>
      <c r="I3229" s="90"/>
      <c r="K3229" s="91"/>
      <c r="L3229" s="88"/>
      <c r="M3229" s="92"/>
      <c r="N3229" s="86"/>
    </row>
    <row r="3230" spans="5:14">
      <c r="E3230" s="86"/>
      <c r="F3230" s="87"/>
      <c r="G3230" s="88"/>
      <c r="H3230" s="89"/>
      <c r="I3230" s="90"/>
      <c r="K3230" s="91"/>
      <c r="L3230" s="88"/>
      <c r="M3230" s="92"/>
      <c r="N3230" s="86"/>
    </row>
    <row r="3231" spans="5:14">
      <c r="E3231" s="86"/>
      <c r="F3231" s="87"/>
      <c r="G3231" s="88"/>
      <c r="H3231" s="89"/>
      <c r="I3231" s="90"/>
      <c r="K3231" s="91"/>
      <c r="L3231" s="88"/>
      <c r="M3231" s="92"/>
      <c r="N3231" s="86"/>
    </row>
    <row r="3232" spans="5:14">
      <c r="E3232" s="86"/>
      <c r="F3232" s="87"/>
      <c r="G3232" s="88"/>
      <c r="H3232" s="89"/>
      <c r="I3232" s="90"/>
      <c r="K3232" s="91"/>
      <c r="L3232" s="88"/>
      <c r="M3232" s="92"/>
      <c r="N3232" s="86"/>
    </row>
    <row r="3233" spans="5:14">
      <c r="E3233" s="86"/>
      <c r="F3233" s="87"/>
      <c r="G3233" s="88"/>
      <c r="H3233" s="89"/>
      <c r="I3233" s="90"/>
      <c r="K3233" s="91"/>
      <c r="L3233" s="88"/>
      <c r="M3233" s="92"/>
      <c r="N3233" s="86"/>
    </row>
    <row r="3234" spans="5:14">
      <c r="E3234" s="86"/>
      <c r="F3234" s="87"/>
      <c r="G3234" s="88"/>
      <c r="H3234" s="89"/>
      <c r="I3234" s="90"/>
      <c r="K3234" s="91"/>
      <c r="L3234" s="88"/>
      <c r="M3234" s="92"/>
      <c r="N3234" s="86"/>
    </row>
    <row r="3235" spans="5:14">
      <c r="E3235" s="86"/>
      <c r="F3235" s="87"/>
      <c r="G3235" s="88"/>
      <c r="H3235" s="89"/>
      <c r="I3235" s="90"/>
      <c r="K3235" s="91"/>
      <c r="L3235" s="88"/>
      <c r="M3235" s="92"/>
      <c r="N3235" s="86"/>
    </row>
    <row r="3236" spans="5:14">
      <c r="E3236" s="86"/>
      <c r="F3236" s="87"/>
      <c r="G3236" s="88"/>
      <c r="H3236" s="89"/>
      <c r="I3236" s="90"/>
      <c r="K3236" s="91"/>
      <c r="L3236" s="88"/>
      <c r="M3236" s="92"/>
      <c r="N3236" s="86"/>
    </row>
    <row r="3237" spans="5:14">
      <c r="E3237" s="86"/>
      <c r="F3237" s="87"/>
      <c r="G3237" s="88"/>
      <c r="H3237" s="89"/>
      <c r="I3237" s="90"/>
      <c r="K3237" s="91"/>
      <c r="L3237" s="88"/>
      <c r="M3237" s="92"/>
      <c r="N3237" s="86"/>
    </row>
    <row r="3238" spans="5:14">
      <c r="E3238" s="86"/>
      <c r="F3238" s="87"/>
      <c r="G3238" s="88"/>
      <c r="H3238" s="89"/>
      <c r="I3238" s="90"/>
      <c r="K3238" s="91"/>
      <c r="L3238" s="88"/>
      <c r="M3238" s="92"/>
      <c r="N3238" s="86"/>
    </row>
    <row r="3239" spans="5:14">
      <c r="E3239" s="86"/>
      <c r="F3239" s="87"/>
      <c r="G3239" s="88"/>
      <c r="H3239" s="89"/>
      <c r="I3239" s="90"/>
      <c r="K3239" s="91"/>
      <c r="L3239" s="88"/>
      <c r="M3239" s="92"/>
      <c r="N3239" s="86"/>
    </row>
    <row r="3240" spans="5:14">
      <c r="E3240" s="86"/>
      <c r="F3240" s="87"/>
      <c r="G3240" s="88"/>
      <c r="H3240" s="89"/>
      <c r="I3240" s="90"/>
      <c r="K3240" s="91"/>
      <c r="L3240" s="88"/>
      <c r="M3240" s="92"/>
      <c r="N3240" s="86"/>
    </row>
    <row r="3241" spans="5:14">
      <c r="E3241" s="86"/>
      <c r="F3241" s="87"/>
      <c r="G3241" s="88"/>
      <c r="H3241" s="89"/>
      <c r="I3241" s="90"/>
      <c r="K3241" s="91"/>
      <c r="L3241" s="88"/>
      <c r="M3241" s="92"/>
      <c r="N3241" s="86"/>
    </row>
    <row r="3242" spans="5:14">
      <c r="E3242" s="86"/>
      <c r="F3242" s="87"/>
      <c r="G3242" s="88"/>
      <c r="H3242" s="89"/>
      <c r="I3242" s="90"/>
      <c r="K3242" s="91"/>
      <c r="L3242" s="88"/>
      <c r="M3242" s="92"/>
      <c r="N3242" s="86"/>
    </row>
    <row r="3243" spans="5:14">
      <c r="E3243" s="86"/>
      <c r="F3243" s="87"/>
      <c r="G3243" s="88"/>
      <c r="H3243" s="89"/>
      <c r="I3243" s="90"/>
      <c r="K3243" s="91"/>
      <c r="L3243" s="88"/>
      <c r="M3243" s="92"/>
      <c r="N3243" s="86"/>
    </row>
    <row r="3244" spans="5:14">
      <c r="E3244" s="86"/>
      <c r="F3244" s="87"/>
      <c r="G3244" s="88"/>
      <c r="H3244" s="89"/>
      <c r="I3244" s="90"/>
      <c r="K3244" s="91"/>
      <c r="L3244" s="88"/>
      <c r="M3244" s="92"/>
      <c r="N3244" s="86"/>
    </row>
    <row r="3245" spans="5:14">
      <c r="E3245" s="86"/>
      <c r="F3245" s="87"/>
      <c r="G3245" s="88"/>
      <c r="H3245" s="89"/>
      <c r="I3245" s="90"/>
      <c r="K3245" s="91"/>
      <c r="L3245" s="88"/>
      <c r="M3245" s="92"/>
      <c r="N3245" s="86"/>
    </row>
    <row r="3246" spans="5:14">
      <c r="E3246" s="86"/>
      <c r="F3246" s="87"/>
      <c r="G3246" s="88"/>
      <c r="H3246" s="89"/>
      <c r="I3246" s="90"/>
      <c r="K3246" s="91"/>
      <c r="L3246" s="88"/>
      <c r="M3246" s="92"/>
      <c r="N3246" s="86"/>
    </row>
    <row r="3247" spans="5:14">
      <c r="E3247" s="86"/>
      <c r="F3247" s="87"/>
      <c r="G3247" s="88"/>
      <c r="H3247" s="89"/>
      <c r="I3247" s="90"/>
      <c r="K3247" s="91"/>
      <c r="L3247" s="88"/>
      <c r="M3247" s="92"/>
      <c r="N3247" s="86"/>
    </row>
    <row r="3248" spans="5:14">
      <c r="E3248" s="86"/>
      <c r="F3248" s="87"/>
      <c r="G3248" s="88"/>
      <c r="H3248" s="89"/>
      <c r="I3248" s="90"/>
      <c r="K3248" s="91"/>
      <c r="L3248" s="88"/>
      <c r="M3248" s="92"/>
      <c r="N3248" s="86"/>
    </row>
    <row r="3249" spans="5:14">
      <c r="E3249" s="86"/>
      <c r="F3249" s="87"/>
      <c r="G3249" s="88"/>
      <c r="H3249" s="89"/>
      <c r="I3249" s="90"/>
      <c r="K3249" s="91"/>
      <c r="L3249" s="88"/>
      <c r="M3249" s="92"/>
      <c r="N3249" s="86"/>
    </row>
    <row r="3250" spans="5:14">
      <c r="E3250" s="86"/>
      <c r="F3250" s="87"/>
      <c r="G3250" s="88"/>
      <c r="H3250" s="89"/>
      <c r="I3250" s="90"/>
      <c r="K3250" s="91"/>
      <c r="L3250" s="88"/>
      <c r="M3250" s="92"/>
      <c r="N3250" s="86"/>
    </row>
    <row r="3251" spans="5:14">
      <c r="E3251" s="86"/>
      <c r="F3251" s="87"/>
      <c r="G3251" s="88"/>
      <c r="H3251" s="89"/>
      <c r="I3251" s="90"/>
      <c r="K3251" s="91"/>
      <c r="L3251" s="88"/>
      <c r="M3251" s="92"/>
      <c r="N3251" s="86"/>
    </row>
    <row r="3252" spans="5:14">
      <c r="E3252" s="86"/>
      <c r="F3252" s="87"/>
      <c r="G3252" s="88"/>
      <c r="H3252" s="89"/>
      <c r="I3252" s="90"/>
      <c r="K3252" s="91"/>
      <c r="L3252" s="88"/>
      <c r="M3252" s="92"/>
      <c r="N3252" s="86"/>
    </row>
    <row r="3253" spans="5:14">
      <c r="E3253" s="86"/>
      <c r="F3253" s="87"/>
      <c r="G3253" s="88"/>
      <c r="H3253" s="89"/>
      <c r="I3253" s="90"/>
      <c r="K3253" s="91"/>
      <c r="L3253" s="88"/>
      <c r="M3253" s="92"/>
      <c r="N3253" s="86"/>
    </row>
    <row r="3254" spans="5:14">
      <c r="E3254" s="86"/>
      <c r="F3254" s="87"/>
      <c r="G3254" s="88"/>
      <c r="H3254" s="89"/>
      <c r="I3254" s="90"/>
      <c r="K3254" s="91"/>
      <c r="L3254" s="88"/>
      <c r="M3254" s="92"/>
      <c r="N3254" s="86"/>
    </row>
    <row r="3255" spans="5:14">
      <c r="E3255" s="86"/>
      <c r="F3255" s="87"/>
      <c r="G3255" s="88"/>
      <c r="H3255" s="89"/>
      <c r="I3255" s="90"/>
      <c r="K3255" s="91"/>
      <c r="L3255" s="88"/>
      <c r="M3255" s="92"/>
      <c r="N3255" s="86"/>
    </row>
    <row r="3256" spans="5:14">
      <c r="E3256" s="86"/>
      <c r="F3256" s="87"/>
      <c r="G3256" s="88"/>
      <c r="H3256" s="89"/>
      <c r="I3256" s="90"/>
      <c r="K3256" s="91"/>
      <c r="L3256" s="88"/>
      <c r="M3256" s="92"/>
      <c r="N3256" s="86"/>
    </row>
    <row r="3257" spans="5:14">
      <c r="E3257" s="86"/>
      <c r="F3257" s="87"/>
      <c r="G3257" s="88"/>
      <c r="H3257" s="89"/>
      <c r="I3257" s="90"/>
      <c r="K3257" s="91"/>
      <c r="L3257" s="88"/>
      <c r="M3257" s="92"/>
      <c r="N3257" s="86"/>
    </row>
    <row r="3258" spans="5:14">
      <c r="E3258" s="86"/>
      <c r="F3258" s="87"/>
      <c r="G3258" s="88"/>
      <c r="H3258" s="89"/>
      <c r="I3258" s="90"/>
      <c r="K3258" s="91"/>
      <c r="L3258" s="88"/>
      <c r="M3258" s="92"/>
      <c r="N3258" s="86"/>
    </row>
    <row r="3259" spans="5:14">
      <c r="E3259" s="86"/>
      <c r="F3259" s="87"/>
      <c r="G3259" s="88"/>
      <c r="H3259" s="89"/>
      <c r="I3259" s="90"/>
      <c r="K3259" s="91"/>
      <c r="L3259" s="88"/>
      <c r="M3259" s="92"/>
      <c r="N3259" s="86"/>
    </row>
    <row r="3260" spans="5:14">
      <c r="E3260" s="86"/>
      <c r="F3260" s="87"/>
      <c r="G3260" s="88"/>
      <c r="H3260" s="89"/>
      <c r="I3260" s="90"/>
      <c r="K3260" s="91"/>
      <c r="L3260" s="88"/>
      <c r="M3260" s="92"/>
      <c r="N3260" s="86"/>
    </row>
    <row r="3261" spans="5:14">
      <c r="E3261" s="86"/>
      <c r="F3261" s="87"/>
      <c r="G3261" s="88"/>
      <c r="H3261" s="89"/>
      <c r="I3261" s="90"/>
      <c r="K3261" s="91"/>
      <c r="L3261" s="88"/>
      <c r="M3261" s="92"/>
      <c r="N3261" s="86"/>
    </row>
    <row r="3262" spans="5:14">
      <c r="E3262" s="86"/>
      <c r="F3262" s="87"/>
      <c r="G3262" s="88"/>
      <c r="H3262" s="89"/>
      <c r="I3262" s="90"/>
      <c r="K3262" s="91"/>
      <c r="L3262" s="88"/>
      <c r="M3262" s="92"/>
      <c r="N3262" s="86"/>
    </row>
    <row r="3263" spans="5:14">
      <c r="E3263" s="86"/>
      <c r="F3263" s="87"/>
      <c r="G3263" s="88"/>
      <c r="H3263" s="89"/>
      <c r="I3263" s="90"/>
      <c r="K3263" s="91"/>
      <c r="L3263" s="88"/>
      <c r="M3263" s="92"/>
      <c r="N3263" s="86"/>
    </row>
    <row r="3264" spans="5:14">
      <c r="E3264" s="86"/>
      <c r="F3264" s="87"/>
      <c r="G3264" s="88"/>
      <c r="H3264" s="89"/>
      <c r="I3264" s="90"/>
      <c r="K3264" s="91"/>
      <c r="L3264" s="88"/>
      <c r="M3264" s="92"/>
      <c r="N3264" s="86"/>
    </row>
    <row r="3265" spans="5:14">
      <c r="E3265" s="86"/>
      <c r="F3265" s="87"/>
      <c r="G3265" s="88"/>
      <c r="H3265" s="89"/>
      <c r="I3265" s="90"/>
      <c r="K3265" s="91"/>
      <c r="L3265" s="88"/>
      <c r="M3265" s="92"/>
      <c r="N3265" s="86"/>
    </row>
    <row r="3266" spans="5:14">
      <c r="E3266" s="86"/>
      <c r="F3266" s="87"/>
      <c r="G3266" s="88"/>
      <c r="H3266" s="89"/>
      <c r="I3266" s="90"/>
      <c r="K3266" s="91"/>
      <c r="L3266" s="88"/>
      <c r="M3266" s="92"/>
      <c r="N3266" s="86"/>
    </row>
    <row r="3267" spans="5:14">
      <c r="E3267" s="86"/>
      <c r="F3267" s="87"/>
      <c r="G3267" s="88"/>
      <c r="H3267" s="89"/>
      <c r="I3267" s="90"/>
      <c r="K3267" s="91"/>
      <c r="L3267" s="88"/>
      <c r="M3267" s="92"/>
      <c r="N3267" s="86"/>
    </row>
    <row r="3268" spans="5:14">
      <c r="E3268" s="86"/>
      <c r="F3268" s="87"/>
      <c r="G3268" s="88"/>
      <c r="H3268" s="89"/>
      <c r="I3268" s="90"/>
      <c r="K3268" s="91"/>
      <c r="L3268" s="88"/>
      <c r="M3268" s="92"/>
      <c r="N3268" s="86"/>
    </row>
    <row r="3269" spans="5:14">
      <c r="E3269" s="86"/>
      <c r="F3269" s="87"/>
      <c r="G3269" s="88"/>
      <c r="H3269" s="89"/>
      <c r="I3269" s="90"/>
      <c r="K3269" s="91"/>
      <c r="L3269" s="88"/>
      <c r="M3269" s="92"/>
      <c r="N3269" s="86"/>
    </row>
    <row r="3270" spans="5:14">
      <c r="E3270" s="86"/>
      <c r="F3270" s="87"/>
      <c r="G3270" s="88"/>
      <c r="H3270" s="89"/>
      <c r="I3270" s="90"/>
      <c r="K3270" s="91"/>
      <c r="L3270" s="88"/>
      <c r="M3270" s="92"/>
      <c r="N3270" s="86"/>
    </row>
    <row r="3271" spans="5:14">
      <c r="E3271" s="86"/>
      <c r="F3271" s="87"/>
      <c r="G3271" s="88"/>
      <c r="H3271" s="89"/>
      <c r="I3271" s="90"/>
      <c r="K3271" s="91"/>
      <c r="L3271" s="88"/>
      <c r="M3271" s="92"/>
      <c r="N3271" s="86"/>
    </row>
    <row r="3272" spans="5:14">
      <c r="E3272" s="86"/>
      <c r="F3272" s="87"/>
      <c r="G3272" s="88"/>
      <c r="H3272" s="89"/>
      <c r="I3272" s="90"/>
      <c r="K3272" s="91"/>
      <c r="L3272" s="88"/>
      <c r="M3272" s="92"/>
      <c r="N3272" s="86"/>
    </row>
    <row r="3273" spans="5:14">
      <c r="E3273" s="86"/>
      <c r="F3273" s="87"/>
      <c r="G3273" s="88"/>
      <c r="H3273" s="89"/>
      <c r="I3273" s="90"/>
      <c r="K3273" s="91"/>
      <c r="L3273" s="88"/>
      <c r="M3273" s="92"/>
      <c r="N3273" s="86"/>
    </row>
    <row r="3274" spans="5:14">
      <c r="E3274" s="86"/>
      <c r="F3274" s="87"/>
      <c r="G3274" s="88"/>
      <c r="H3274" s="89"/>
      <c r="I3274" s="90"/>
      <c r="K3274" s="91"/>
      <c r="L3274" s="88"/>
      <c r="M3274" s="92"/>
      <c r="N3274" s="86"/>
    </row>
    <row r="3275" spans="5:14">
      <c r="E3275" s="86"/>
      <c r="F3275" s="87"/>
      <c r="G3275" s="88"/>
      <c r="H3275" s="89"/>
      <c r="I3275" s="90"/>
      <c r="K3275" s="91"/>
      <c r="L3275" s="88"/>
      <c r="M3275" s="92"/>
      <c r="N3275" s="86"/>
    </row>
    <row r="3276" spans="5:14">
      <c r="E3276" s="86"/>
      <c r="F3276" s="87"/>
      <c r="G3276" s="88"/>
      <c r="H3276" s="89"/>
      <c r="I3276" s="90"/>
      <c r="K3276" s="91"/>
      <c r="L3276" s="88"/>
      <c r="M3276" s="92"/>
      <c r="N3276" s="86"/>
    </row>
    <row r="3277" spans="5:14">
      <c r="E3277" s="86"/>
      <c r="F3277" s="87"/>
      <c r="G3277" s="88"/>
      <c r="H3277" s="89"/>
      <c r="I3277" s="90"/>
      <c r="K3277" s="91"/>
      <c r="L3277" s="88"/>
      <c r="M3277" s="92"/>
      <c r="N3277" s="86"/>
    </row>
    <row r="3278" spans="5:14">
      <c r="E3278" s="86"/>
      <c r="F3278" s="87"/>
      <c r="G3278" s="88"/>
      <c r="H3278" s="89"/>
      <c r="I3278" s="90"/>
      <c r="K3278" s="91"/>
      <c r="L3278" s="88"/>
      <c r="M3278" s="92"/>
      <c r="N3278" s="86"/>
    </row>
    <row r="3279" spans="5:14">
      <c r="E3279" s="86"/>
      <c r="F3279" s="87"/>
      <c r="G3279" s="88"/>
      <c r="H3279" s="89"/>
      <c r="I3279" s="90"/>
      <c r="K3279" s="91"/>
      <c r="L3279" s="88"/>
      <c r="M3279" s="92"/>
      <c r="N3279" s="86"/>
    </row>
    <row r="3280" spans="5:14">
      <c r="E3280" s="86"/>
      <c r="F3280" s="87"/>
      <c r="G3280" s="88"/>
      <c r="H3280" s="89"/>
      <c r="I3280" s="90"/>
      <c r="K3280" s="91"/>
      <c r="L3280" s="88"/>
      <c r="M3280" s="92"/>
      <c r="N3280" s="86"/>
    </row>
    <row r="3281" spans="5:14">
      <c r="E3281" s="86"/>
      <c r="F3281" s="87"/>
      <c r="G3281" s="88"/>
      <c r="H3281" s="89"/>
      <c r="I3281" s="90"/>
      <c r="K3281" s="91"/>
      <c r="L3281" s="88"/>
      <c r="M3281" s="92"/>
      <c r="N3281" s="86"/>
    </row>
    <row r="3282" spans="5:14">
      <c r="E3282" s="86"/>
      <c r="F3282" s="87"/>
      <c r="G3282" s="88"/>
      <c r="H3282" s="89"/>
      <c r="I3282" s="90"/>
      <c r="K3282" s="91"/>
      <c r="L3282" s="88"/>
      <c r="M3282" s="92"/>
      <c r="N3282" s="86"/>
    </row>
    <row r="3283" spans="5:14">
      <c r="E3283" s="86"/>
      <c r="F3283" s="87"/>
      <c r="G3283" s="88"/>
      <c r="H3283" s="89"/>
      <c r="I3283" s="90"/>
      <c r="K3283" s="91"/>
      <c r="L3283" s="88"/>
      <c r="M3283" s="92"/>
      <c r="N3283" s="86"/>
    </row>
    <row r="3284" spans="5:14">
      <c r="E3284" s="86"/>
      <c r="F3284" s="87"/>
      <c r="G3284" s="88"/>
      <c r="H3284" s="89"/>
      <c r="I3284" s="90"/>
      <c r="K3284" s="91"/>
      <c r="L3284" s="88"/>
      <c r="M3284" s="92"/>
      <c r="N3284" s="86"/>
    </row>
    <row r="3285" spans="5:14">
      <c r="E3285" s="86"/>
      <c r="F3285" s="87"/>
      <c r="G3285" s="88"/>
      <c r="H3285" s="89"/>
      <c r="I3285" s="90"/>
      <c r="K3285" s="91"/>
      <c r="L3285" s="88"/>
      <c r="M3285" s="92"/>
      <c r="N3285" s="86"/>
    </row>
    <row r="3286" spans="5:14">
      <c r="E3286" s="86"/>
      <c r="F3286" s="87"/>
      <c r="G3286" s="88"/>
      <c r="H3286" s="89"/>
      <c r="I3286" s="90"/>
      <c r="K3286" s="91"/>
      <c r="L3286" s="88"/>
      <c r="M3286" s="92"/>
      <c r="N3286" s="86"/>
    </row>
    <row r="3287" spans="5:14">
      <c r="E3287" s="86"/>
      <c r="F3287" s="87"/>
      <c r="G3287" s="88"/>
      <c r="H3287" s="89"/>
      <c r="I3287" s="90"/>
      <c r="K3287" s="91"/>
      <c r="L3287" s="88"/>
      <c r="M3287" s="92"/>
      <c r="N3287" s="86"/>
    </row>
    <row r="3288" spans="5:14">
      <c r="E3288" s="86"/>
      <c r="F3288" s="87"/>
      <c r="G3288" s="88"/>
      <c r="H3288" s="89"/>
      <c r="I3288" s="90"/>
      <c r="K3288" s="91"/>
      <c r="L3288" s="88"/>
      <c r="M3288" s="92"/>
      <c r="N3288" s="86"/>
    </row>
    <row r="3289" spans="5:14">
      <c r="E3289" s="86"/>
      <c r="F3289" s="87"/>
      <c r="G3289" s="88"/>
      <c r="H3289" s="89"/>
      <c r="I3289" s="90"/>
      <c r="K3289" s="91"/>
      <c r="L3289" s="88"/>
      <c r="M3289" s="92"/>
      <c r="N3289" s="86"/>
    </row>
    <row r="3290" spans="5:14">
      <c r="E3290" s="86"/>
      <c r="F3290" s="87"/>
      <c r="G3290" s="88"/>
      <c r="H3290" s="89"/>
      <c r="I3290" s="90"/>
      <c r="K3290" s="91"/>
      <c r="L3290" s="88"/>
      <c r="M3290" s="92"/>
      <c r="N3290" s="86"/>
    </row>
    <row r="3291" spans="5:14">
      <c r="E3291" s="86"/>
      <c r="F3291" s="87"/>
      <c r="G3291" s="88"/>
      <c r="H3291" s="89"/>
      <c r="I3291" s="90"/>
      <c r="K3291" s="91"/>
      <c r="L3291" s="88"/>
      <c r="M3291" s="92"/>
      <c r="N3291" s="86"/>
    </row>
    <row r="3292" spans="5:14">
      <c r="E3292" s="86"/>
      <c r="F3292" s="87"/>
      <c r="G3292" s="88"/>
      <c r="H3292" s="89"/>
      <c r="I3292" s="90"/>
      <c r="K3292" s="91"/>
      <c r="L3292" s="88"/>
      <c r="M3292" s="92"/>
      <c r="N3292" s="86"/>
    </row>
    <row r="3293" spans="5:14">
      <c r="E3293" s="86"/>
      <c r="F3293" s="87"/>
      <c r="G3293" s="88"/>
      <c r="H3293" s="89"/>
      <c r="I3293" s="90"/>
      <c r="K3293" s="91"/>
      <c r="L3293" s="88"/>
      <c r="M3293" s="92"/>
      <c r="N3293" s="86"/>
    </row>
    <row r="3294" spans="5:14">
      <c r="E3294" s="86"/>
      <c r="F3294" s="87"/>
      <c r="G3294" s="88"/>
      <c r="H3294" s="89"/>
      <c r="I3294" s="90"/>
      <c r="K3294" s="91"/>
      <c r="L3294" s="88"/>
      <c r="M3294" s="92"/>
      <c r="N3294" s="86"/>
    </row>
    <row r="3295" spans="5:14">
      <c r="E3295" s="86"/>
      <c r="F3295" s="87"/>
      <c r="G3295" s="88"/>
      <c r="H3295" s="89"/>
      <c r="I3295" s="90"/>
      <c r="K3295" s="91"/>
      <c r="L3295" s="88"/>
      <c r="M3295" s="92"/>
      <c r="N3295" s="86"/>
    </row>
    <row r="3296" spans="5:14">
      <c r="E3296" s="86"/>
      <c r="F3296" s="87"/>
      <c r="G3296" s="88"/>
      <c r="H3296" s="89"/>
      <c r="I3296" s="90"/>
      <c r="K3296" s="91"/>
      <c r="L3296" s="88"/>
      <c r="M3296" s="92"/>
      <c r="N3296" s="86"/>
    </row>
    <row r="3297" spans="5:14">
      <c r="E3297" s="86"/>
      <c r="F3297" s="87"/>
      <c r="G3297" s="88"/>
      <c r="H3297" s="89"/>
      <c r="I3297" s="90"/>
      <c r="K3297" s="91"/>
      <c r="L3297" s="88"/>
      <c r="M3297" s="92"/>
      <c r="N3297" s="86"/>
    </row>
    <row r="3298" spans="5:14">
      <c r="E3298" s="86"/>
      <c r="F3298" s="87"/>
      <c r="G3298" s="88"/>
      <c r="H3298" s="89"/>
      <c r="I3298" s="90"/>
      <c r="K3298" s="91"/>
      <c r="L3298" s="88"/>
      <c r="M3298" s="92"/>
      <c r="N3298" s="86"/>
    </row>
    <row r="3299" spans="5:14">
      <c r="E3299" s="86"/>
      <c r="F3299" s="87"/>
      <c r="G3299" s="88"/>
      <c r="H3299" s="89"/>
      <c r="I3299" s="90"/>
      <c r="K3299" s="91"/>
      <c r="L3299" s="88"/>
      <c r="M3299" s="92"/>
      <c r="N3299" s="86"/>
    </row>
    <row r="3300" spans="5:14">
      <c r="E3300" s="86"/>
      <c r="F3300" s="87"/>
      <c r="G3300" s="88"/>
      <c r="H3300" s="89"/>
      <c r="I3300" s="90"/>
      <c r="K3300" s="91"/>
      <c r="L3300" s="88"/>
      <c r="M3300" s="92"/>
      <c r="N3300" s="86"/>
    </row>
    <row r="3301" spans="5:14">
      <c r="E3301" s="86"/>
      <c r="F3301" s="87"/>
      <c r="G3301" s="88"/>
      <c r="H3301" s="89"/>
      <c r="I3301" s="90"/>
      <c r="K3301" s="91"/>
      <c r="L3301" s="88"/>
      <c r="M3301" s="92"/>
      <c r="N3301" s="86"/>
    </row>
    <row r="3302" spans="5:14">
      <c r="E3302" s="86"/>
      <c r="F3302" s="87"/>
      <c r="G3302" s="88"/>
      <c r="H3302" s="89"/>
      <c r="I3302" s="90"/>
      <c r="K3302" s="91"/>
      <c r="L3302" s="88"/>
      <c r="M3302" s="92"/>
      <c r="N3302" s="86"/>
    </row>
    <row r="3303" spans="5:14">
      <c r="E3303" s="86"/>
      <c r="F3303" s="87"/>
      <c r="G3303" s="88"/>
      <c r="H3303" s="89"/>
      <c r="I3303" s="90"/>
      <c r="K3303" s="91"/>
      <c r="L3303" s="88"/>
      <c r="M3303" s="92"/>
      <c r="N3303" s="86"/>
    </row>
    <row r="3304" spans="5:14">
      <c r="E3304" s="86"/>
      <c r="F3304" s="87"/>
      <c r="G3304" s="88"/>
      <c r="H3304" s="89"/>
      <c r="I3304" s="90"/>
      <c r="K3304" s="91"/>
      <c r="L3304" s="88"/>
      <c r="M3304" s="92"/>
      <c r="N3304" s="86"/>
    </row>
    <row r="3305" spans="5:14">
      <c r="E3305" s="86"/>
      <c r="F3305" s="87"/>
      <c r="G3305" s="88"/>
      <c r="H3305" s="89"/>
      <c r="I3305" s="90"/>
      <c r="K3305" s="91"/>
      <c r="L3305" s="88"/>
      <c r="M3305" s="92"/>
      <c r="N3305" s="86"/>
    </row>
    <row r="3306" spans="5:14">
      <c r="E3306" s="86"/>
      <c r="F3306" s="87"/>
      <c r="G3306" s="88"/>
      <c r="H3306" s="89"/>
      <c r="I3306" s="90"/>
      <c r="K3306" s="91"/>
      <c r="L3306" s="88"/>
      <c r="M3306" s="92"/>
      <c r="N3306" s="86"/>
    </row>
    <row r="3307" spans="5:14">
      <c r="E3307" s="86"/>
      <c r="F3307" s="87"/>
      <c r="G3307" s="88"/>
      <c r="H3307" s="89"/>
      <c r="I3307" s="90"/>
      <c r="K3307" s="91"/>
      <c r="L3307" s="88"/>
      <c r="M3307" s="92"/>
      <c r="N3307" s="86"/>
    </row>
    <row r="3308" spans="5:14">
      <c r="E3308" s="86"/>
      <c r="F3308" s="87"/>
      <c r="G3308" s="88"/>
      <c r="H3308" s="89"/>
      <c r="I3308" s="90"/>
      <c r="K3308" s="91"/>
      <c r="L3308" s="88"/>
      <c r="M3308" s="92"/>
      <c r="N3308" s="86"/>
    </row>
    <row r="3309" spans="5:14">
      <c r="E3309" s="86"/>
      <c r="F3309" s="87"/>
      <c r="G3309" s="88"/>
      <c r="H3309" s="89"/>
      <c r="I3309" s="90"/>
      <c r="K3309" s="91"/>
      <c r="L3309" s="88"/>
      <c r="M3309" s="92"/>
      <c r="N3309" s="86"/>
    </row>
    <row r="3310" spans="5:14">
      <c r="E3310" s="86"/>
      <c r="F3310" s="87"/>
      <c r="G3310" s="88"/>
      <c r="H3310" s="89"/>
      <c r="I3310" s="90"/>
      <c r="K3310" s="91"/>
      <c r="L3310" s="88"/>
      <c r="M3310" s="92"/>
      <c r="N3310" s="86"/>
    </row>
    <row r="3311" spans="5:14">
      <c r="E3311" s="86"/>
      <c r="F3311" s="87"/>
      <c r="G3311" s="88"/>
      <c r="H3311" s="89"/>
      <c r="I3311" s="90"/>
      <c r="K3311" s="91"/>
      <c r="L3311" s="88"/>
      <c r="M3311" s="92"/>
      <c r="N3311" s="86"/>
    </row>
    <row r="3312" spans="5:14">
      <c r="E3312" s="86"/>
      <c r="F3312" s="87"/>
      <c r="G3312" s="88"/>
      <c r="H3312" s="89"/>
      <c r="I3312" s="90"/>
      <c r="K3312" s="91"/>
      <c r="L3312" s="88"/>
      <c r="M3312" s="92"/>
      <c r="N3312" s="86"/>
    </row>
    <row r="3313" spans="5:14">
      <c r="E3313" s="86"/>
      <c r="F3313" s="87"/>
      <c r="G3313" s="88"/>
      <c r="H3313" s="89"/>
      <c r="I3313" s="90"/>
      <c r="K3313" s="91"/>
      <c r="L3313" s="88"/>
      <c r="M3313" s="92"/>
      <c r="N3313" s="86"/>
    </row>
    <row r="3314" spans="5:14">
      <c r="E3314" s="86"/>
      <c r="F3314" s="87"/>
      <c r="G3314" s="88"/>
      <c r="H3314" s="89"/>
      <c r="I3314" s="90"/>
      <c r="K3314" s="91"/>
      <c r="L3314" s="88"/>
      <c r="M3314" s="92"/>
      <c r="N3314" s="86"/>
    </row>
    <row r="3315" spans="5:14">
      <c r="E3315" s="86"/>
      <c r="F3315" s="87"/>
      <c r="G3315" s="88"/>
      <c r="H3315" s="89"/>
      <c r="I3315" s="90"/>
      <c r="K3315" s="91"/>
      <c r="L3315" s="88"/>
      <c r="M3315" s="92"/>
      <c r="N3315" s="86"/>
    </row>
    <row r="3316" spans="5:14">
      <c r="E3316" s="86"/>
      <c r="F3316" s="87"/>
      <c r="G3316" s="88"/>
      <c r="H3316" s="89"/>
      <c r="I3316" s="90"/>
      <c r="K3316" s="91"/>
      <c r="L3316" s="88"/>
      <c r="M3316" s="92"/>
      <c r="N3316" s="86"/>
    </row>
    <row r="3317" spans="5:14">
      <c r="E3317" s="86"/>
      <c r="F3317" s="87"/>
      <c r="G3317" s="88"/>
      <c r="H3317" s="89"/>
      <c r="I3317" s="90"/>
      <c r="K3317" s="91"/>
      <c r="L3317" s="88"/>
      <c r="M3317" s="92"/>
      <c r="N3317" s="86"/>
    </row>
    <row r="3318" spans="5:14">
      <c r="E3318" s="86"/>
      <c r="F3318" s="87"/>
      <c r="G3318" s="88"/>
      <c r="H3318" s="89"/>
      <c r="I3318" s="90"/>
      <c r="K3318" s="91"/>
      <c r="L3318" s="88"/>
      <c r="M3318" s="92"/>
      <c r="N3318" s="86"/>
    </row>
    <row r="3319" spans="5:14">
      <c r="E3319" s="86"/>
      <c r="F3319" s="87"/>
      <c r="G3319" s="88"/>
      <c r="H3319" s="89"/>
      <c r="I3319" s="90"/>
      <c r="K3319" s="91"/>
      <c r="L3319" s="88"/>
      <c r="M3319" s="92"/>
      <c r="N3319" s="86"/>
    </row>
    <row r="3320" spans="5:14">
      <c r="E3320" s="86"/>
      <c r="F3320" s="87"/>
      <c r="G3320" s="88"/>
      <c r="H3320" s="89"/>
      <c r="I3320" s="90"/>
      <c r="K3320" s="91"/>
      <c r="L3320" s="88"/>
      <c r="M3320" s="92"/>
      <c r="N3320" s="86"/>
    </row>
    <row r="3321" spans="5:14">
      <c r="E3321" s="86"/>
      <c r="F3321" s="87"/>
      <c r="G3321" s="88"/>
      <c r="H3321" s="89"/>
      <c r="I3321" s="90"/>
      <c r="K3321" s="91"/>
      <c r="L3321" s="88"/>
      <c r="M3321" s="92"/>
      <c r="N3321" s="86"/>
    </row>
    <row r="3322" spans="5:14">
      <c r="E3322" s="86"/>
      <c r="F3322" s="87"/>
      <c r="G3322" s="88"/>
      <c r="H3322" s="89"/>
      <c r="I3322" s="90"/>
      <c r="K3322" s="91"/>
      <c r="L3322" s="88"/>
      <c r="M3322" s="92"/>
      <c r="N3322" s="86"/>
    </row>
    <row r="3323" spans="5:14">
      <c r="E3323" s="86"/>
      <c r="F3323" s="87"/>
      <c r="G3323" s="88"/>
      <c r="H3323" s="89"/>
      <c r="I3323" s="90"/>
      <c r="K3323" s="91"/>
      <c r="L3323" s="88"/>
      <c r="M3323" s="92"/>
      <c r="N3323" s="86"/>
    </row>
    <row r="3324" spans="5:14">
      <c r="E3324" s="86"/>
      <c r="F3324" s="87"/>
      <c r="G3324" s="88"/>
      <c r="H3324" s="89"/>
      <c r="I3324" s="90"/>
      <c r="K3324" s="91"/>
      <c r="L3324" s="88"/>
      <c r="M3324" s="92"/>
      <c r="N3324" s="86"/>
    </row>
    <row r="3325" spans="5:14">
      <c r="E3325" s="86"/>
      <c r="F3325" s="87"/>
      <c r="G3325" s="88"/>
      <c r="H3325" s="89"/>
      <c r="I3325" s="90"/>
      <c r="K3325" s="91"/>
      <c r="L3325" s="88"/>
      <c r="M3325" s="92"/>
      <c r="N3325" s="86"/>
    </row>
    <row r="3326" spans="5:14">
      <c r="E3326" s="86"/>
      <c r="F3326" s="87"/>
      <c r="G3326" s="88"/>
      <c r="H3326" s="89"/>
      <c r="I3326" s="90"/>
      <c r="K3326" s="91"/>
      <c r="L3326" s="88"/>
      <c r="M3326" s="92"/>
      <c r="N3326" s="86"/>
    </row>
    <row r="3327" spans="5:14">
      <c r="E3327" s="86"/>
      <c r="F3327" s="87"/>
      <c r="G3327" s="88"/>
      <c r="H3327" s="89"/>
      <c r="I3327" s="90"/>
      <c r="K3327" s="91"/>
      <c r="L3327" s="88"/>
      <c r="M3327" s="92"/>
      <c r="N3327" s="86"/>
    </row>
    <row r="3328" spans="5:14">
      <c r="E3328" s="86"/>
      <c r="F3328" s="87"/>
      <c r="G3328" s="88"/>
      <c r="H3328" s="89"/>
      <c r="I3328" s="90"/>
      <c r="K3328" s="91"/>
      <c r="L3328" s="88"/>
      <c r="M3328" s="92"/>
      <c r="N3328" s="86"/>
    </row>
    <row r="3329" spans="5:14">
      <c r="E3329" s="86"/>
      <c r="F3329" s="87"/>
      <c r="G3329" s="88"/>
      <c r="H3329" s="89"/>
      <c r="I3329" s="90"/>
      <c r="K3329" s="91"/>
      <c r="L3329" s="88"/>
      <c r="M3329" s="92"/>
      <c r="N3329" s="86"/>
    </row>
    <row r="3330" spans="5:14">
      <c r="E3330" s="86"/>
      <c r="F3330" s="87"/>
      <c r="G3330" s="88"/>
      <c r="H3330" s="89"/>
      <c r="I3330" s="90"/>
      <c r="K3330" s="91"/>
      <c r="L3330" s="88"/>
      <c r="M3330" s="92"/>
      <c r="N3330" s="86"/>
    </row>
    <row r="3331" spans="5:14">
      <c r="E3331" s="86"/>
      <c r="F3331" s="87"/>
      <c r="G3331" s="88"/>
      <c r="H3331" s="89"/>
      <c r="I3331" s="90"/>
      <c r="K3331" s="91"/>
      <c r="L3331" s="88"/>
      <c r="M3331" s="92"/>
      <c r="N3331" s="86"/>
    </row>
    <row r="3332" spans="5:14">
      <c r="E3332" s="86"/>
      <c r="F3332" s="87"/>
      <c r="G3332" s="88"/>
      <c r="H3332" s="89"/>
      <c r="I3332" s="90"/>
      <c r="K3332" s="91"/>
      <c r="L3332" s="88"/>
      <c r="M3332" s="92"/>
      <c r="N3332" s="86"/>
    </row>
    <row r="3333" spans="5:14">
      <c r="E3333" s="86"/>
      <c r="F3333" s="87"/>
      <c r="G3333" s="88"/>
      <c r="H3333" s="89"/>
      <c r="I3333" s="90"/>
      <c r="K3333" s="91"/>
      <c r="L3333" s="88"/>
      <c r="M3333" s="92"/>
      <c r="N3333" s="86"/>
    </row>
    <row r="3334" spans="5:14">
      <c r="E3334" s="86"/>
      <c r="F3334" s="87"/>
      <c r="G3334" s="88"/>
      <c r="H3334" s="89"/>
      <c r="I3334" s="90"/>
      <c r="K3334" s="91"/>
      <c r="L3334" s="88"/>
      <c r="M3334" s="92"/>
      <c r="N3334" s="86"/>
    </row>
    <row r="3335" spans="5:14">
      <c r="E3335" s="86"/>
      <c r="F3335" s="87"/>
      <c r="G3335" s="88"/>
      <c r="H3335" s="89"/>
      <c r="I3335" s="90"/>
      <c r="K3335" s="91"/>
      <c r="L3335" s="88"/>
      <c r="M3335" s="92"/>
      <c r="N3335" s="86"/>
    </row>
    <row r="3336" spans="5:14">
      <c r="E3336" s="86"/>
      <c r="F3336" s="87"/>
      <c r="G3336" s="88"/>
      <c r="H3336" s="89"/>
      <c r="I3336" s="90"/>
      <c r="K3336" s="91"/>
      <c r="L3336" s="88"/>
      <c r="M3336" s="92"/>
      <c r="N3336" s="86"/>
    </row>
    <row r="3337" spans="5:14">
      <c r="E3337" s="86"/>
      <c r="F3337" s="87"/>
      <c r="G3337" s="88"/>
      <c r="H3337" s="89"/>
      <c r="I3337" s="90"/>
      <c r="K3337" s="91"/>
      <c r="L3337" s="88"/>
      <c r="M3337" s="92"/>
      <c r="N3337" s="86"/>
    </row>
    <row r="3338" spans="5:14">
      <c r="E3338" s="86"/>
      <c r="F3338" s="87"/>
      <c r="G3338" s="88"/>
      <c r="H3338" s="89"/>
      <c r="I3338" s="90"/>
      <c r="K3338" s="91"/>
      <c r="L3338" s="88"/>
      <c r="M3338" s="92"/>
      <c r="N3338" s="86"/>
    </row>
    <row r="3339" spans="5:14">
      <c r="E3339" s="86"/>
      <c r="F3339" s="87"/>
      <c r="G3339" s="88"/>
      <c r="H3339" s="89"/>
      <c r="I3339" s="90"/>
      <c r="K3339" s="91"/>
      <c r="L3339" s="88"/>
      <c r="M3339" s="92"/>
      <c r="N3339" s="86"/>
    </row>
    <row r="3340" spans="5:14">
      <c r="E3340" s="86"/>
      <c r="F3340" s="87"/>
      <c r="G3340" s="88"/>
      <c r="H3340" s="89"/>
      <c r="I3340" s="90"/>
      <c r="K3340" s="91"/>
      <c r="L3340" s="88"/>
      <c r="M3340" s="92"/>
      <c r="N3340" s="86"/>
    </row>
    <row r="3341" spans="5:14">
      <c r="E3341" s="86"/>
      <c r="F3341" s="87"/>
      <c r="G3341" s="88"/>
      <c r="H3341" s="89"/>
      <c r="I3341" s="90"/>
      <c r="K3341" s="91"/>
      <c r="L3341" s="88"/>
      <c r="M3341" s="92"/>
      <c r="N3341" s="86"/>
    </row>
    <row r="3342" spans="5:14">
      <c r="E3342" s="86"/>
      <c r="F3342" s="87"/>
      <c r="G3342" s="88"/>
      <c r="H3342" s="89"/>
      <c r="I3342" s="90"/>
      <c r="K3342" s="91"/>
      <c r="L3342" s="88"/>
      <c r="M3342" s="92"/>
      <c r="N3342" s="86"/>
    </row>
    <row r="3343" spans="5:14">
      <c r="E3343" s="86"/>
      <c r="F3343" s="87"/>
      <c r="G3343" s="88"/>
      <c r="H3343" s="89"/>
      <c r="I3343" s="90"/>
      <c r="K3343" s="91"/>
      <c r="L3343" s="88"/>
      <c r="M3343" s="92"/>
      <c r="N3343" s="86"/>
    </row>
    <row r="3344" spans="5:14">
      <c r="E3344" s="86"/>
      <c r="F3344" s="87"/>
      <c r="G3344" s="88"/>
      <c r="H3344" s="89"/>
      <c r="I3344" s="90"/>
      <c r="K3344" s="91"/>
      <c r="L3344" s="88"/>
      <c r="M3344" s="92"/>
      <c r="N3344" s="86"/>
    </row>
    <row r="3345" spans="5:14">
      <c r="E3345" s="86"/>
      <c r="F3345" s="87"/>
      <c r="G3345" s="88"/>
      <c r="H3345" s="89"/>
      <c r="I3345" s="90"/>
      <c r="K3345" s="91"/>
      <c r="L3345" s="88"/>
      <c r="M3345" s="92"/>
      <c r="N3345" s="86"/>
    </row>
    <row r="3346" spans="5:14">
      <c r="E3346" s="86"/>
      <c r="F3346" s="87"/>
      <c r="G3346" s="88"/>
      <c r="H3346" s="89"/>
      <c r="I3346" s="90"/>
      <c r="K3346" s="91"/>
      <c r="L3346" s="88"/>
      <c r="M3346" s="92"/>
      <c r="N3346" s="86"/>
    </row>
    <row r="3347" spans="5:14">
      <c r="E3347" s="86"/>
      <c r="F3347" s="87"/>
      <c r="G3347" s="88"/>
      <c r="H3347" s="89"/>
      <c r="I3347" s="90"/>
      <c r="K3347" s="91"/>
      <c r="L3347" s="88"/>
      <c r="M3347" s="92"/>
      <c r="N3347" s="86"/>
    </row>
    <row r="3348" spans="5:14">
      <c r="E3348" s="86"/>
      <c r="F3348" s="87"/>
      <c r="G3348" s="88"/>
      <c r="H3348" s="89"/>
      <c r="I3348" s="90"/>
      <c r="K3348" s="91"/>
      <c r="L3348" s="88"/>
      <c r="M3348" s="92"/>
      <c r="N3348" s="86"/>
    </row>
    <row r="3349" spans="5:14">
      <c r="E3349" s="86"/>
      <c r="F3349" s="87"/>
      <c r="G3349" s="88"/>
      <c r="H3349" s="89"/>
      <c r="I3349" s="90"/>
      <c r="K3349" s="91"/>
      <c r="L3349" s="88"/>
      <c r="M3349" s="92"/>
      <c r="N3349" s="86"/>
    </row>
    <row r="3350" spans="5:14">
      <c r="E3350" s="86"/>
      <c r="F3350" s="87"/>
      <c r="G3350" s="88"/>
      <c r="H3350" s="89"/>
      <c r="I3350" s="90"/>
      <c r="K3350" s="91"/>
      <c r="L3350" s="88"/>
      <c r="M3350" s="92"/>
      <c r="N3350" s="86"/>
    </row>
    <row r="3351" spans="5:14">
      <c r="E3351" s="86"/>
      <c r="F3351" s="87"/>
      <c r="G3351" s="88"/>
      <c r="H3351" s="89"/>
      <c r="I3351" s="90"/>
      <c r="K3351" s="91"/>
      <c r="L3351" s="88"/>
      <c r="M3351" s="92"/>
      <c r="N3351" s="86"/>
    </row>
    <row r="3352" spans="5:14">
      <c r="E3352" s="86"/>
      <c r="F3352" s="87"/>
      <c r="G3352" s="88"/>
      <c r="H3352" s="89"/>
      <c r="I3352" s="90"/>
      <c r="K3352" s="91"/>
      <c r="L3352" s="88"/>
      <c r="M3352" s="92"/>
      <c r="N3352" s="86"/>
    </row>
    <row r="3353" spans="5:14">
      <c r="E3353" s="86"/>
      <c r="F3353" s="87"/>
      <c r="G3353" s="88"/>
      <c r="H3353" s="89"/>
      <c r="I3353" s="90"/>
      <c r="K3353" s="91"/>
      <c r="L3353" s="88"/>
      <c r="M3353" s="92"/>
      <c r="N3353" s="86"/>
    </row>
    <row r="3354" spans="5:14">
      <c r="E3354" s="86"/>
      <c r="F3354" s="87"/>
      <c r="G3354" s="88"/>
      <c r="H3354" s="89"/>
      <c r="I3354" s="90"/>
      <c r="K3354" s="91"/>
      <c r="L3354" s="88"/>
      <c r="M3354" s="92"/>
      <c r="N3354" s="86"/>
    </row>
    <row r="3355" spans="5:14">
      <c r="E3355" s="86"/>
      <c r="F3355" s="87"/>
      <c r="G3355" s="88"/>
      <c r="H3355" s="89"/>
      <c r="I3355" s="90"/>
      <c r="K3355" s="91"/>
      <c r="L3355" s="88"/>
      <c r="M3355" s="92"/>
      <c r="N3355" s="86"/>
    </row>
    <row r="3356" spans="5:14">
      <c r="E3356" s="86"/>
      <c r="F3356" s="87"/>
      <c r="G3356" s="88"/>
      <c r="H3356" s="89"/>
      <c r="I3356" s="90"/>
      <c r="K3356" s="91"/>
      <c r="L3356" s="88"/>
      <c r="M3356" s="92"/>
      <c r="N3356" s="86"/>
    </row>
    <row r="3357" spans="5:14">
      <c r="E3357" s="86"/>
      <c r="F3357" s="87"/>
      <c r="G3357" s="88"/>
      <c r="H3357" s="89"/>
      <c r="I3357" s="90"/>
      <c r="K3357" s="91"/>
      <c r="L3357" s="88"/>
      <c r="M3357" s="92"/>
      <c r="N3357" s="86"/>
    </row>
    <row r="3358" spans="5:14">
      <c r="E3358" s="86"/>
      <c r="F3358" s="87"/>
      <c r="G3358" s="88"/>
      <c r="H3358" s="89"/>
      <c r="I3358" s="90"/>
      <c r="K3358" s="91"/>
      <c r="L3358" s="88"/>
      <c r="M3358" s="92"/>
      <c r="N3358" s="86"/>
    </row>
    <row r="3359" spans="5:14">
      <c r="E3359" s="86"/>
      <c r="F3359" s="87"/>
      <c r="G3359" s="88"/>
      <c r="H3359" s="89"/>
      <c r="I3359" s="90"/>
      <c r="K3359" s="91"/>
      <c r="L3359" s="88"/>
      <c r="M3359" s="92"/>
      <c r="N3359" s="86"/>
    </row>
    <row r="3360" spans="5:14">
      <c r="E3360" s="86"/>
      <c r="F3360" s="87"/>
      <c r="G3360" s="88"/>
      <c r="H3360" s="89"/>
      <c r="I3360" s="90"/>
      <c r="K3360" s="91"/>
      <c r="L3360" s="88"/>
      <c r="M3360" s="92"/>
      <c r="N3360" s="86"/>
    </row>
    <row r="3361" spans="5:14">
      <c r="E3361" s="86"/>
      <c r="F3361" s="87"/>
      <c r="G3361" s="88"/>
      <c r="H3361" s="89"/>
      <c r="I3361" s="90"/>
      <c r="K3361" s="91"/>
      <c r="L3361" s="88"/>
      <c r="M3361" s="92"/>
      <c r="N3361" s="86"/>
    </row>
    <row r="3362" spans="5:14">
      <c r="E3362" s="86"/>
      <c r="F3362" s="87"/>
      <c r="G3362" s="88"/>
      <c r="H3362" s="89"/>
      <c r="I3362" s="90"/>
      <c r="K3362" s="91"/>
      <c r="L3362" s="88"/>
      <c r="M3362" s="92"/>
      <c r="N3362" s="86"/>
    </row>
    <row r="3363" spans="5:14">
      <c r="E3363" s="86"/>
      <c r="F3363" s="87"/>
      <c r="G3363" s="88"/>
      <c r="H3363" s="89"/>
      <c r="I3363" s="90"/>
      <c r="K3363" s="91"/>
      <c r="L3363" s="88"/>
      <c r="M3363" s="92"/>
      <c r="N3363" s="86"/>
    </row>
    <row r="3364" spans="5:14">
      <c r="E3364" s="86"/>
      <c r="F3364" s="87"/>
      <c r="G3364" s="88"/>
      <c r="H3364" s="89"/>
      <c r="I3364" s="90"/>
      <c r="K3364" s="91"/>
      <c r="L3364" s="88"/>
      <c r="M3364" s="92"/>
      <c r="N3364" s="86"/>
    </row>
    <row r="3365" spans="5:14">
      <c r="E3365" s="86"/>
      <c r="F3365" s="87"/>
      <c r="G3365" s="88"/>
      <c r="H3365" s="89"/>
      <c r="I3365" s="90"/>
      <c r="K3365" s="91"/>
      <c r="L3365" s="88"/>
      <c r="M3365" s="92"/>
      <c r="N3365" s="86"/>
    </row>
    <row r="3366" spans="5:14">
      <c r="E3366" s="86"/>
      <c r="F3366" s="87"/>
      <c r="G3366" s="88"/>
      <c r="H3366" s="89"/>
      <c r="I3366" s="90"/>
      <c r="K3366" s="91"/>
      <c r="L3366" s="88"/>
      <c r="M3366" s="92"/>
      <c r="N3366" s="86"/>
    </row>
    <row r="3367" spans="5:14">
      <c r="E3367" s="86"/>
      <c r="F3367" s="87"/>
      <c r="G3367" s="88"/>
      <c r="H3367" s="89"/>
      <c r="I3367" s="90"/>
      <c r="K3367" s="91"/>
      <c r="L3367" s="88"/>
      <c r="M3367" s="92"/>
      <c r="N3367" s="86"/>
    </row>
    <row r="3368" spans="5:14">
      <c r="E3368" s="86"/>
      <c r="F3368" s="87"/>
      <c r="G3368" s="88"/>
      <c r="H3368" s="89"/>
      <c r="I3368" s="90"/>
      <c r="K3368" s="91"/>
      <c r="L3368" s="88"/>
      <c r="M3368" s="92"/>
      <c r="N3368" s="86"/>
    </row>
    <row r="3369" spans="5:14">
      <c r="E3369" s="86"/>
      <c r="F3369" s="87"/>
      <c r="G3369" s="88"/>
      <c r="H3369" s="89"/>
      <c r="I3369" s="90"/>
      <c r="K3369" s="91"/>
      <c r="L3369" s="88"/>
      <c r="M3369" s="92"/>
      <c r="N3369" s="86"/>
    </row>
    <row r="3370" spans="5:14">
      <c r="E3370" s="86"/>
      <c r="F3370" s="87"/>
      <c r="G3370" s="88"/>
      <c r="H3370" s="89"/>
      <c r="I3370" s="90"/>
      <c r="K3370" s="91"/>
      <c r="L3370" s="88"/>
      <c r="M3370" s="92"/>
      <c r="N3370" s="86"/>
    </row>
    <row r="3371" spans="5:14">
      <c r="E3371" s="86"/>
      <c r="F3371" s="87"/>
      <c r="G3371" s="88"/>
      <c r="H3371" s="89"/>
      <c r="I3371" s="90"/>
      <c r="K3371" s="91"/>
      <c r="L3371" s="88"/>
      <c r="M3371" s="92"/>
      <c r="N3371" s="86"/>
    </row>
    <row r="3372" spans="5:14">
      <c r="E3372" s="86"/>
      <c r="F3372" s="87"/>
      <c r="G3372" s="88"/>
      <c r="H3372" s="89"/>
      <c r="I3372" s="90"/>
      <c r="K3372" s="91"/>
      <c r="L3372" s="88"/>
      <c r="M3372" s="92"/>
      <c r="N3372" s="86"/>
    </row>
    <row r="3373" spans="5:14">
      <c r="E3373" s="86"/>
      <c r="F3373" s="87"/>
      <c r="G3373" s="88"/>
      <c r="H3373" s="89"/>
      <c r="I3373" s="90"/>
      <c r="K3373" s="91"/>
      <c r="L3373" s="88"/>
      <c r="M3373" s="92"/>
      <c r="N3373" s="86"/>
    </row>
    <row r="3374" spans="5:14">
      <c r="E3374" s="86"/>
      <c r="F3374" s="87"/>
      <c r="G3374" s="88"/>
      <c r="H3374" s="89"/>
      <c r="I3374" s="90"/>
      <c r="K3374" s="91"/>
      <c r="L3374" s="88"/>
      <c r="M3374" s="92"/>
      <c r="N3374" s="86"/>
    </row>
    <row r="3375" spans="5:14">
      <c r="E3375" s="86"/>
      <c r="F3375" s="87"/>
      <c r="G3375" s="88"/>
      <c r="H3375" s="89"/>
      <c r="I3375" s="90"/>
      <c r="K3375" s="91"/>
      <c r="L3375" s="88"/>
      <c r="M3375" s="92"/>
      <c r="N3375" s="86"/>
    </row>
    <row r="3376" spans="5:14">
      <c r="E3376" s="86"/>
      <c r="F3376" s="87"/>
      <c r="G3376" s="88"/>
      <c r="H3376" s="89"/>
      <c r="I3376" s="90"/>
      <c r="K3376" s="91"/>
      <c r="L3376" s="88"/>
      <c r="M3376" s="92"/>
      <c r="N3376" s="86"/>
    </row>
    <row r="3377" spans="5:14">
      <c r="E3377" s="86"/>
      <c r="F3377" s="87"/>
      <c r="G3377" s="88"/>
      <c r="H3377" s="89"/>
      <c r="I3377" s="90"/>
      <c r="K3377" s="91"/>
      <c r="L3377" s="88"/>
      <c r="M3377" s="92"/>
      <c r="N3377" s="86"/>
    </row>
    <row r="3378" spans="5:14">
      <c r="E3378" s="86"/>
      <c r="F3378" s="87"/>
      <c r="G3378" s="88"/>
      <c r="H3378" s="89"/>
      <c r="I3378" s="90"/>
      <c r="K3378" s="91"/>
      <c r="L3378" s="88"/>
      <c r="M3378" s="92"/>
      <c r="N3378" s="86"/>
    </row>
    <row r="3379" spans="5:14">
      <c r="E3379" s="86"/>
      <c r="F3379" s="87"/>
      <c r="G3379" s="88"/>
      <c r="H3379" s="89"/>
      <c r="I3379" s="90"/>
      <c r="K3379" s="91"/>
      <c r="L3379" s="88"/>
      <c r="M3379" s="92"/>
      <c r="N3379" s="86"/>
    </row>
    <row r="3380" spans="5:14">
      <c r="E3380" s="86"/>
      <c r="F3380" s="87"/>
      <c r="G3380" s="88"/>
      <c r="H3380" s="89"/>
      <c r="I3380" s="90"/>
      <c r="K3380" s="91"/>
      <c r="L3380" s="88"/>
      <c r="M3380" s="92"/>
      <c r="N3380" s="86"/>
    </row>
    <row r="3381" spans="5:14">
      <c r="E3381" s="86"/>
      <c r="F3381" s="87"/>
      <c r="G3381" s="88"/>
      <c r="H3381" s="89"/>
      <c r="I3381" s="90"/>
      <c r="K3381" s="91"/>
      <c r="L3381" s="88"/>
      <c r="M3381" s="92"/>
      <c r="N3381" s="86"/>
    </row>
    <row r="3382" spans="5:14">
      <c r="E3382" s="86"/>
      <c r="F3382" s="87"/>
      <c r="G3382" s="88"/>
      <c r="H3382" s="89"/>
      <c r="I3382" s="90"/>
      <c r="K3382" s="91"/>
      <c r="L3382" s="88"/>
      <c r="M3382" s="92"/>
      <c r="N3382" s="86"/>
    </row>
    <row r="3383" spans="5:14">
      <c r="E3383" s="86"/>
      <c r="F3383" s="87"/>
      <c r="G3383" s="88"/>
      <c r="H3383" s="89"/>
      <c r="I3383" s="90"/>
      <c r="K3383" s="91"/>
      <c r="L3383" s="88"/>
      <c r="M3383" s="92"/>
      <c r="N3383" s="86"/>
    </row>
    <row r="3384" spans="5:14">
      <c r="E3384" s="86"/>
      <c r="F3384" s="87"/>
      <c r="G3384" s="88"/>
      <c r="H3384" s="89"/>
      <c r="I3384" s="90"/>
      <c r="K3384" s="91"/>
      <c r="L3384" s="88"/>
      <c r="M3384" s="92"/>
      <c r="N3384" s="86"/>
    </row>
    <row r="3385" spans="5:14">
      <c r="E3385" s="86"/>
      <c r="F3385" s="87"/>
      <c r="G3385" s="88"/>
      <c r="H3385" s="89"/>
      <c r="I3385" s="90"/>
      <c r="K3385" s="91"/>
      <c r="L3385" s="88"/>
      <c r="M3385" s="92"/>
      <c r="N3385" s="86"/>
    </row>
    <row r="3386" spans="5:14">
      <c r="E3386" s="86"/>
      <c r="F3386" s="87"/>
      <c r="G3386" s="88"/>
      <c r="H3386" s="89"/>
      <c r="I3386" s="90"/>
      <c r="K3386" s="91"/>
      <c r="L3386" s="88"/>
      <c r="M3386" s="92"/>
      <c r="N3386" s="86"/>
    </row>
    <row r="3387" spans="5:14">
      <c r="E3387" s="86"/>
      <c r="F3387" s="87"/>
      <c r="G3387" s="88"/>
      <c r="H3387" s="89"/>
      <c r="I3387" s="90"/>
      <c r="K3387" s="91"/>
      <c r="L3387" s="88"/>
      <c r="M3387" s="92"/>
      <c r="N3387" s="86"/>
    </row>
    <row r="3388" spans="5:14">
      <c r="E3388" s="86"/>
      <c r="F3388" s="87"/>
      <c r="G3388" s="88"/>
      <c r="H3388" s="89"/>
      <c r="I3388" s="90"/>
      <c r="K3388" s="91"/>
      <c r="L3388" s="88"/>
      <c r="M3388" s="92"/>
      <c r="N3388" s="86"/>
    </row>
    <row r="3389" spans="5:14">
      <c r="E3389" s="86"/>
      <c r="F3389" s="87"/>
      <c r="G3389" s="88"/>
      <c r="H3389" s="89"/>
      <c r="I3389" s="90"/>
      <c r="K3389" s="91"/>
      <c r="L3389" s="88"/>
      <c r="M3389" s="92"/>
      <c r="N3389" s="86"/>
    </row>
    <row r="3390" spans="5:14">
      <c r="E3390" s="86"/>
      <c r="F3390" s="87"/>
      <c r="G3390" s="88"/>
      <c r="H3390" s="89"/>
      <c r="I3390" s="90"/>
      <c r="K3390" s="91"/>
      <c r="L3390" s="88"/>
      <c r="M3390" s="92"/>
      <c r="N3390" s="86"/>
    </row>
    <row r="3391" spans="5:14">
      <c r="E3391" s="86"/>
      <c r="F3391" s="87"/>
      <c r="G3391" s="88"/>
      <c r="H3391" s="89"/>
      <c r="I3391" s="90"/>
      <c r="K3391" s="91"/>
      <c r="L3391" s="88"/>
      <c r="M3391" s="92"/>
      <c r="N3391" s="86"/>
    </row>
    <row r="3392" spans="5:14">
      <c r="E3392" s="86"/>
      <c r="F3392" s="87"/>
      <c r="G3392" s="88"/>
      <c r="H3392" s="89"/>
      <c r="I3392" s="90"/>
      <c r="K3392" s="91"/>
      <c r="L3392" s="88"/>
      <c r="M3392" s="92"/>
      <c r="N3392" s="86"/>
    </row>
    <row r="3393" spans="5:14">
      <c r="E3393" s="86"/>
      <c r="F3393" s="87"/>
      <c r="G3393" s="88"/>
      <c r="H3393" s="89"/>
      <c r="I3393" s="90"/>
      <c r="K3393" s="91"/>
      <c r="L3393" s="88"/>
      <c r="M3393" s="92"/>
      <c r="N3393" s="86"/>
    </row>
    <row r="3394" spans="5:14">
      <c r="E3394" s="86"/>
      <c r="F3394" s="87"/>
      <c r="G3394" s="88"/>
      <c r="H3394" s="89"/>
      <c r="I3394" s="90"/>
      <c r="K3394" s="91"/>
      <c r="L3394" s="88"/>
      <c r="M3394" s="92"/>
      <c r="N3394" s="86"/>
    </row>
    <row r="3395" spans="5:14">
      <c r="E3395" s="86"/>
      <c r="F3395" s="87"/>
      <c r="G3395" s="88"/>
      <c r="H3395" s="89"/>
      <c r="I3395" s="90"/>
      <c r="K3395" s="91"/>
      <c r="L3395" s="88"/>
      <c r="M3395" s="92"/>
      <c r="N3395" s="86"/>
    </row>
    <row r="3396" spans="5:14">
      <c r="E3396" s="86"/>
      <c r="F3396" s="87"/>
      <c r="G3396" s="88"/>
      <c r="H3396" s="89"/>
      <c r="I3396" s="90"/>
      <c r="K3396" s="91"/>
      <c r="L3396" s="88"/>
      <c r="M3396" s="92"/>
      <c r="N3396" s="86"/>
    </row>
    <row r="3397" spans="5:14">
      <c r="E3397" s="86"/>
      <c r="F3397" s="87"/>
      <c r="G3397" s="88"/>
      <c r="H3397" s="89"/>
      <c r="I3397" s="90"/>
      <c r="K3397" s="91"/>
      <c r="L3397" s="88"/>
      <c r="M3397" s="92"/>
      <c r="N3397" s="86"/>
    </row>
    <row r="3398" spans="5:14">
      <c r="E3398" s="86"/>
      <c r="F3398" s="87"/>
      <c r="G3398" s="88"/>
      <c r="H3398" s="89"/>
      <c r="I3398" s="90"/>
      <c r="K3398" s="91"/>
      <c r="L3398" s="88"/>
      <c r="M3398" s="92"/>
      <c r="N3398" s="86"/>
    </row>
    <row r="3399" spans="5:14">
      <c r="E3399" s="86"/>
      <c r="F3399" s="87"/>
      <c r="G3399" s="88"/>
      <c r="H3399" s="89"/>
      <c r="I3399" s="90"/>
      <c r="K3399" s="91"/>
      <c r="L3399" s="88"/>
      <c r="M3399" s="92"/>
      <c r="N3399" s="86"/>
    </row>
    <row r="3400" spans="5:14">
      <c r="E3400" s="86"/>
      <c r="F3400" s="87"/>
      <c r="G3400" s="88"/>
      <c r="H3400" s="89"/>
      <c r="I3400" s="90"/>
      <c r="K3400" s="91"/>
      <c r="L3400" s="88"/>
      <c r="M3400" s="92"/>
      <c r="N3400" s="86"/>
    </row>
    <row r="3401" spans="5:14">
      <c r="E3401" s="86"/>
      <c r="F3401" s="87"/>
      <c r="G3401" s="88"/>
      <c r="H3401" s="89"/>
      <c r="I3401" s="90"/>
      <c r="K3401" s="91"/>
      <c r="L3401" s="88"/>
      <c r="M3401" s="92"/>
      <c r="N3401" s="86"/>
    </row>
    <row r="3402" spans="5:14">
      <c r="E3402" s="86"/>
      <c r="F3402" s="87"/>
      <c r="G3402" s="88"/>
      <c r="H3402" s="89"/>
      <c r="I3402" s="90"/>
      <c r="K3402" s="91"/>
      <c r="L3402" s="88"/>
      <c r="M3402" s="92"/>
      <c r="N3402" s="86"/>
    </row>
    <row r="3403" spans="5:14">
      <c r="E3403" s="86"/>
      <c r="F3403" s="87"/>
      <c r="G3403" s="88"/>
      <c r="H3403" s="89"/>
      <c r="I3403" s="90"/>
      <c r="K3403" s="91"/>
      <c r="L3403" s="88"/>
      <c r="M3403" s="92"/>
      <c r="N3403" s="86"/>
    </row>
    <row r="3404" spans="5:14">
      <c r="E3404" s="86"/>
      <c r="F3404" s="87"/>
      <c r="G3404" s="88"/>
      <c r="H3404" s="89"/>
      <c r="I3404" s="90"/>
      <c r="K3404" s="91"/>
      <c r="L3404" s="88"/>
      <c r="M3404" s="92"/>
      <c r="N3404" s="86"/>
    </row>
    <row r="3405" spans="5:14">
      <c r="E3405" s="86"/>
      <c r="F3405" s="87"/>
      <c r="G3405" s="88"/>
      <c r="H3405" s="89"/>
      <c r="I3405" s="90"/>
      <c r="K3405" s="91"/>
      <c r="L3405" s="88"/>
      <c r="M3405" s="92"/>
      <c r="N3405" s="86"/>
    </row>
    <row r="3406" spans="5:14">
      <c r="E3406" s="86"/>
      <c r="F3406" s="87"/>
      <c r="G3406" s="88"/>
      <c r="H3406" s="89"/>
      <c r="I3406" s="90"/>
      <c r="K3406" s="91"/>
      <c r="L3406" s="88"/>
      <c r="M3406" s="92"/>
      <c r="N3406" s="86"/>
    </row>
    <row r="3407" spans="5:14">
      <c r="E3407" s="86"/>
      <c r="F3407" s="87"/>
      <c r="G3407" s="88"/>
      <c r="H3407" s="89"/>
      <c r="I3407" s="90"/>
      <c r="K3407" s="91"/>
      <c r="L3407" s="88"/>
      <c r="M3407" s="92"/>
      <c r="N3407" s="86"/>
    </row>
    <row r="3408" spans="5:14">
      <c r="E3408" s="86"/>
      <c r="F3408" s="87"/>
      <c r="G3408" s="88"/>
      <c r="H3408" s="89"/>
      <c r="I3408" s="90"/>
      <c r="K3408" s="91"/>
      <c r="L3408" s="88"/>
      <c r="M3408" s="92"/>
      <c r="N3408" s="86"/>
    </row>
    <row r="3409" spans="5:14">
      <c r="E3409" s="86"/>
      <c r="F3409" s="87"/>
      <c r="G3409" s="88"/>
      <c r="H3409" s="89"/>
      <c r="I3409" s="90"/>
      <c r="K3409" s="91"/>
      <c r="L3409" s="88"/>
      <c r="M3409" s="92"/>
      <c r="N3409" s="86"/>
    </row>
    <row r="3410" spans="5:14">
      <c r="E3410" s="86"/>
      <c r="F3410" s="87"/>
      <c r="G3410" s="88"/>
      <c r="H3410" s="89"/>
      <c r="I3410" s="90"/>
      <c r="K3410" s="91"/>
      <c r="L3410" s="88"/>
      <c r="M3410" s="92"/>
      <c r="N3410" s="86"/>
    </row>
    <row r="3411" spans="5:14">
      <c r="E3411" s="86"/>
      <c r="F3411" s="87"/>
      <c r="G3411" s="88"/>
      <c r="H3411" s="89"/>
      <c r="I3411" s="90"/>
      <c r="K3411" s="91"/>
      <c r="L3411" s="88"/>
      <c r="M3411" s="92"/>
      <c r="N3411" s="86"/>
    </row>
    <row r="3412" spans="5:14">
      <c r="E3412" s="86"/>
      <c r="F3412" s="87"/>
      <c r="G3412" s="88"/>
      <c r="H3412" s="89"/>
      <c r="I3412" s="90"/>
      <c r="K3412" s="91"/>
      <c r="L3412" s="88"/>
      <c r="M3412" s="92"/>
      <c r="N3412" s="86"/>
    </row>
    <row r="3413" spans="5:14">
      <c r="E3413" s="86"/>
      <c r="F3413" s="87"/>
      <c r="G3413" s="88"/>
      <c r="H3413" s="89"/>
      <c r="I3413" s="90"/>
      <c r="K3413" s="91"/>
      <c r="L3413" s="88"/>
      <c r="M3413" s="92"/>
      <c r="N3413" s="86"/>
    </row>
    <row r="3414" spans="5:14">
      <c r="E3414" s="86"/>
      <c r="F3414" s="87"/>
      <c r="G3414" s="88"/>
      <c r="H3414" s="89"/>
      <c r="I3414" s="90"/>
      <c r="K3414" s="91"/>
      <c r="L3414" s="88"/>
      <c r="M3414" s="92"/>
      <c r="N3414" s="86"/>
    </row>
    <row r="3415" spans="5:14">
      <c r="E3415" s="86"/>
      <c r="F3415" s="87"/>
      <c r="G3415" s="88"/>
      <c r="H3415" s="89"/>
      <c r="I3415" s="90"/>
      <c r="K3415" s="91"/>
      <c r="L3415" s="88"/>
      <c r="M3415" s="92"/>
      <c r="N3415" s="86"/>
    </row>
    <row r="3416" spans="5:14">
      <c r="E3416" s="86"/>
      <c r="F3416" s="87"/>
      <c r="G3416" s="88"/>
      <c r="H3416" s="89"/>
      <c r="I3416" s="90"/>
      <c r="K3416" s="91"/>
      <c r="L3416" s="88"/>
      <c r="M3416" s="92"/>
      <c r="N3416" s="86"/>
    </row>
    <row r="3417" spans="5:14">
      <c r="E3417" s="86"/>
      <c r="F3417" s="87"/>
      <c r="G3417" s="88"/>
      <c r="H3417" s="89"/>
      <c r="I3417" s="90"/>
      <c r="K3417" s="91"/>
      <c r="L3417" s="88"/>
      <c r="M3417" s="92"/>
      <c r="N3417" s="86"/>
    </row>
    <row r="3418" spans="5:14">
      <c r="E3418" s="86"/>
      <c r="F3418" s="87"/>
      <c r="G3418" s="88"/>
      <c r="H3418" s="89"/>
      <c r="I3418" s="90"/>
      <c r="K3418" s="91"/>
      <c r="L3418" s="88"/>
      <c r="M3418" s="92"/>
      <c r="N3418" s="86"/>
    </row>
    <row r="3419" spans="5:14">
      <c r="E3419" s="86"/>
      <c r="F3419" s="87"/>
      <c r="G3419" s="88"/>
      <c r="H3419" s="89"/>
      <c r="I3419" s="90"/>
      <c r="K3419" s="91"/>
      <c r="L3419" s="88"/>
      <c r="M3419" s="92"/>
      <c r="N3419" s="86"/>
    </row>
    <row r="3420" spans="5:14">
      <c r="E3420" s="86"/>
      <c r="F3420" s="87"/>
      <c r="G3420" s="88"/>
      <c r="H3420" s="89"/>
      <c r="I3420" s="90"/>
      <c r="K3420" s="91"/>
      <c r="L3420" s="88"/>
      <c r="M3420" s="92"/>
      <c r="N3420" s="86"/>
    </row>
    <row r="3421" spans="5:14">
      <c r="E3421" s="86"/>
      <c r="F3421" s="87"/>
      <c r="G3421" s="88"/>
      <c r="H3421" s="89"/>
      <c r="I3421" s="90"/>
      <c r="K3421" s="91"/>
      <c r="L3421" s="88"/>
      <c r="M3421" s="92"/>
      <c r="N3421" s="86"/>
    </row>
    <row r="3422" spans="5:14">
      <c r="E3422" s="86"/>
      <c r="F3422" s="87"/>
      <c r="G3422" s="88"/>
      <c r="H3422" s="89"/>
      <c r="I3422" s="90"/>
      <c r="K3422" s="91"/>
      <c r="L3422" s="88"/>
      <c r="M3422" s="92"/>
      <c r="N3422" s="86"/>
    </row>
    <row r="3423" spans="5:14">
      <c r="E3423" s="86"/>
      <c r="F3423" s="87"/>
      <c r="G3423" s="88"/>
      <c r="H3423" s="89"/>
      <c r="I3423" s="90"/>
      <c r="K3423" s="91"/>
      <c r="L3423" s="88"/>
      <c r="M3423" s="92"/>
      <c r="N3423" s="86"/>
    </row>
    <row r="3424" spans="5:14">
      <c r="E3424" s="86"/>
      <c r="F3424" s="87"/>
      <c r="G3424" s="88"/>
      <c r="H3424" s="89"/>
      <c r="I3424" s="90"/>
      <c r="K3424" s="91"/>
      <c r="L3424" s="88"/>
      <c r="M3424" s="92"/>
      <c r="N3424" s="86"/>
    </row>
    <row r="3425" spans="5:14">
      <c r="E3425" s="86"/>
      <c r="F3425" s="87"/>
      <c r="G3425" s="88"/>
      <c r="H3425" s="89"/>
      <c r="I3425" s="90"/>
      <c r="K3425" s="91"/>
      <c r="L3425" s="88"/>
      <c r="M3425" s="92"/>
      <c r="N3425" s="86"/>
    </row>
    <row r="3426" spans="5:14">
      <c r="E3426" s="86"/>
      <c r="F3426" s="87"/>
      <c r="G3426" s="88"/>
      <c r="H3426" s="89"/>
      <c r="I3426" s="90"/>
      <c r="K3426" s="91"/>
      <c r="L3426" s="88"/>
      <c r="M3426" s="92"/>
      <c r="N3426" s="86"/>
    </row>
    <row r="3427" spans="5:14">
      <c r="E3427" s="86"/>
      <c r="F3427" s="87"/>
      <c r="G3427" s="88"/>
      <c r="H3427" s="89"/>
      <c r="I3427" s="90"/>
      <c r="K3427" s="91"/>
      <c r="L3427" s="88"/>
      <c r="M3427" s="92"/>
      <c r="N3427" s="86"/>
    </row>
    <row r="3428" spans="5:14">
      <c r="E3428" s="86"/>
      <c r="F3428" s="87"/>
      <c r="G3428" s="88"/>
      <c r="H3428" s="89"/>
      <c r="I3428" s="90"/>
      <c r="K3428" s="91"/>
      <c r="L3428" s="88"/>
      <c r="M3428" s="92"/>
      <c r="N3428" s="86"/>
    </row>
    <row r="3429" spans="5:14">
      <c r="E3429" s="86"/>
      <c r="F3429" s="87"/>
      <c r="G3429" s="88"/>
      <c r="H3429" s="89"/>
      <c r="I3429" s="90"/>
      <c r="K3429" s="91"/>
      <c r="L3429" s="88"/>
      <c r="M3429" s="92"/>
      <c r="N3429" s="86"/>
    </row>
    <row r="3430" spans="5:14">
      <c r="E3430" s="86"/>
      <c r="F3430" s="87"/>
      <c r="G3430" s="88"/>
      <c r="H3430" s="89"/>
      <c r="I3430" s="90"/>
      <c r="K3430" s="91"/>
      <c r="L3430" s="88"/>
      <c r="M3430" s="92"/>
      <c r="N3430" s="86"/>
    </row>
    <row r="3431" spans="5:14">
      <c r="E3431" s="86"/>
      <c r="F3431" s="87"/>
      <c r="G3431" s="88"/>
      <c r="H3431" s="89"/>
      <c r="I3431" s="90"/>
      <c r="K3431" s="91"/>
      <c r="L3431" s="88"/>
      <c r="M3431" s="92"/>
      <c r="N3431" s="86"/>
    </row>
    <row r="3432" spans="5:14">
      <c r="E3432" s="86"/>
      <c r="F3432" s="87"/>
      <c r="G3432" s="88"/>
      <c r="H3432" s="89"/>
      <c r="I3432" s="90"/>
      <c r="K3432" s="91"/>
      <c r="L3432" s="88"/>
      <c r="M3432" s="92"/>
      <c r="N3432" s="86"/>
    </row>
    <row r="3433" spans="5:14">
      <c r="E3433" s="86"/>
      <c r="F3433" s="87"/>
      <c r="G3433" s="88"/>
      <c r="H3433" s="89"/>
      <c r="I3433" s="90"/>
      <c r="K3433" s="91"/>
      <c r="L3433" s="88"/>
      <c r="M3433" s="92"/>
      <c r="N3433" s="86"/>
    </row>
    <row r="3434" spans="5:14">
      <c r="E3434" s="86"/>
      <c r="F3434" s="87"/>
      <c r="G3434" s="88"/>
      <c r="H3434" s="89"/>
      <c r="I3434" s="90"/>
      <c r="K3434" s="91"/>
      <c r="L3434" s="88"/>
      <c r="M3434" s="92"/>
      <c r="N3434" s="86"/>
    </row>
    <row r="3435" spans="5:14">
      <c r="E3435" s="86"/>
      <c r="F3435" s="87"/>
      <c r="G3435" s="88"/>
      <c r="H3435" s="89"/>
      <c r="I3435" s="90"/>
      <c r="K3435" s="91"/>
      <c r="L3435" s="88"/>
      <c r="M3435" s="92"/>
      <c r="N3435" s="86"/>
    </row>
    <row r="3436" spans="5:14">
      <c r="E3436" s="86"/>
      <c r="F3436" s="87"/>
      <c r="G3436" s="88"/>
      <c r="H3436" s="89"/>
      <c r="I3436" s="90"/>
      <c r="K3436" s="91"/>
      <c r="L3436" s="88"/>
      <c r="M3436" s="92"/>
      <c r="N3436" s="86"/>
    </row>
    <row r="3437" spans="5:14">
      <c r="E3437" s="86"/>
      <c r="F3437" s="87"/>
      <c r="G3437" s="88"/>
      <c r="H3437" s="89"/>
      <c r="I3437" s="90"/>
      <c r="K3437" s="91"/>
      <c r="L3437" s="88"/>
      <c r="M3437" s="92"/>
      <c r="N3437" s="86"/>
    </row>
    <row r="3438" spans="5:14">
      <c r="E3438" s="86"/>
      <c r="F3438" s="87"/>
      <c r="G3438" s="88"/>
      <c r="H3438" s="89"/>
      <c r="I3438" s="90"/>
      <c r="K3438" s="91"/>
      <c r="L3438" s="88"/>
      <c r="M3438" s="92"/>
      <c r="N3438" s="86"/>
    </row>
    <row r="3439" spans="5:14">
      <c r="E3439" s="86"/>
      <c r="F3439" s="87"/>
      <c r="G3439" s="88"/>
      <c r="H3439" s="89"/>
      <c r="I3439" s="90"/>
      <c r="K3439" s="91"/>
      <c r="L3439" s="88"/>
      <c r="M3439" s="92"/>
      <c r="N3439" s="86"/>
    </row>
    <row r="3440" spans="5:14">
      <c r="E3440" s="86"/>
      <c r="F3440" s="87"/>
      <c r="G3440" s="88"/>
      <c r="H3440" s="89"/>
      <c r="I3440" s="90"/>
      <c r="K3440" s="91"/>
      <c r="L3440" s="88"/>
      <c r="M3440" s="92"/>
      <c r="N3440" s="86"/>
    </row>
    <row r="3441" spans="5:14">
      <c r="E3441" s="86"/>
      <c r="F3441" s="87"/>
      <c r="G3441" s="88"/>
      <c r="H3441" s="89"/>
      <c r="I3441" s="90"/>
      <c r="K3441" s="91"/>
      <c r="L3441" s="88"/>
      <c r="M3441" s="92"/>
      <c r="N3441" s="86"/>
    </row>
    <row r="3442" spans="5:14">
      <c r="E3442" s="86"/>
      <c r="F3442" s="87"/>
      <c r="G3442" s="88"/>
      <c r="H3442" s="89"/>
      <c r="I3442" s="90"/>
      <c r="K3442" s="91"/>
      <c r="L3442" s="88"/>
      <c r="M3442" s="92"/>
      <c r="N3442" s="86"/>
    </row>
    <row r="3443" spans="5:14">
      <c r="E3443" s="86"/>
      <c r="F3443" s="87"/>
      <c r="G3443" s="88"/>
      <c r="H3443" s="89"/>
      <c r="I3443" s="90"/>
      <c r="K3443" s="91"/>
      <c r="L3443" s="88"/>
      <c r="M3443" s="92"/>
      <c r="N3443" s="86"/>
    </row>
    <row r="3444" spans="5:14">
      <c r="E3444" s="86"/>
      <c r="F3444" s="87"/>
      <c r="G3444" s="88"/>
      <c r="H3444" s="89"/>
      <c r="I3444" s="90"/>
      <c r="K3444" s="91"/>
      <c r="L3444" s="88"/>
      <c r="M3444" s="92"/>
      <c r="N3444" s="86"/>
    </row>
    <row r="3445" spans="5:14">
      <c r="E3445" s="86"/>
      <c r="F3445" s="87"/>
      <c r="G3445" s="88"/>
      <c r="H3445" s="89"/>
      <c r="I3445" s="90"/>
      <c r="K3445" s="91"/>
      <c r="L3445" s="88"/>
      <c r="M3445" s="92"/>
      <c r="N3445" s="86"/>
    </row>
    <row r="3446" spans="5:14">
      <c r="E3446" s="86"/>
      <c r="F3446" s="87"/>
      <c r="G3446" s="88"/>
      <c r="H3446" s="89"/>
      <c r="I3446" s="90"/>
      <c r="K3446" s="91"/>
      <c r="L3446" s="88"/>
      <c r="M3446" s="92"/>
      <c r="N3446" s="86"/>
    </row>
    <row r="3447" spans="5:14">
      <c r="E3447" s="86"/>
      <c r="F3447" s="87"/>
      <c r="G3447" s="88"/>
      <c r="H3447" s="89"/>
      <c r="I3447" s="90"/>
      <c r="K3447" s="91"/>
      <c r="L3447" s="88"/>
      <c r="M3447" s="92"/>
      <c r="N3447" s="86"/>
    </row>
    <row r="3448" spans="5:14">
      <c r="E3448" s="86"/>
      <c r="F3448" s="87"/>
      <c r="G3448" s="88"/>
      <c r="H3448" s="89"/>
      <c r="I3448" s="90"/>
      <c r="K3448" s="91"/>
      <c r="L3448" s="88"/>
      <c r="M3448" s="92"/>
      <c r="N3448" s="86"/>
    </row>
    <row r="3449" spans="5:14">
      <c r="E3449" s="86"/>
      <c r="F3449" s="87"/>
      <c r="G3449" s="88"/>
      <c r="H3449" s="89"/>
      <c r="I3449" s="90"/>
      <c r="K3449" s="91"/>
      <c r="L3449" s="88"/>
      <c r="M3449" s="92"/>
      <c r="N3449" s="86"/>
    </row>
    <row r="3450" spans="5:14">
      <c r="E3450" s="86"/>
      <c r="F3450" s="87"/>
      <c r="G3450" s="88"/>
      <c r="H3450" s="89"/>
      <c r="I3450" s="90"/>
      <c r="K3450" s="91"/>
      <c r="L3450" s="88"/>
      <c r="M3450" s="92"/>
      <c r="N3450" s="86"/>
    </row>
    <row r="3451" spans="5:14">
      <c r="E3451" s="86"/>
      <c r="F3451" s="87"/>
      <c r="G3451" s="88"/>
      <c r="H3451" s="89"/>
      <c r="I3451" s="90"/>
      <c r="K3451" s="91"/>
      <c r="L3451" s="88"/>
      <c r="M3451" s="92"/>
      <c r="N3451" s="86"/>
    </row>
    <row r="3452" spans="5:14">
      <c r="E3452" s="86"/>
      <c r="F3452" s="87"/>
      <c r="G3452" s="88"/>
      <c r="H3452" s="89"/>
      <c r="I3452" s="90"/>
      <c r="K3452" s="91"/>
      <c r="L3452" s="88"/>
      <c r="M3452" s="92"/>
      <c r="N3452" s="86"/>
    </row>
    <row r="3453" spans="5:14">
      <c r="E3453" s="86"/>
      <c r="F3453" s="87"/>
      <c r="G3453" s="88"/>
      <c r="H3453" s="89"/>
      <c r="I3453" s="90"/>
      <c r="K3453" s="91"/>
      <c r="L3453" s="88"/>
      <c r="M3453" s="92"/>
      <c r="N3453" s="86"/>
    </row>
    <row r="3454" spans="5:14">
      <c r="E3454" s="86"/>
      <c r="F3454" s="87"/>
      <c r="G3454" s="88"/>
      <c r="H3454" s="89"/>
      <c r="I3454" s="90"/>
      <c r="K3454" s="91"/>
      <c r="L3454" s="88"/>
      <c r="M3454" s="92"/>
      <c r="N3454" s="86"/>
    </row>
    <row r="3455" spans="5:14">
      <c r="E3455" s="86"/>
      <c r="F3455" s="87"/>
      <c r="G3455" s="88"/>
      <c r="H3455" s="89"/>
      <c r="I3455" s="90"/>
      <c r="K3455" s="91"/>
      <c r="L3455" s="88"/>
      <c r="M3455" s="92"/>
      <c r="N3455" s="86"/>
    </row>
    <row r="3456" spans="5:14">
      <c r="E3456" s="86"/>
      <c r="F3456" s="87"/>
      <c r="G3456" s="88"/>
      <c r="H3456" s="89"/>
      <c r="I3456" s="90"/>
      <c r="K3456" s="91"/>
      <c r="L3456" s="88"/>
      <c r="M3456" s="92"/>
      <c r="N3456" s="86"/>
    </row>
    <row r="3457" spans="5:14">
      <c r="E3457" s="86"/>
      <c r="F3457" s="87"/>
      <c r="G3457" s="88"/>
      <c r="H3457" s="89"/>
      <c r="I3457" s="90"/>
      <c r="K3457" s="91"/>
      <c r="L3457" s="88"/>
      <c r="M3457" s="92"/>
      <c r="N3457" s="86"/>
    </row>
    <row r="3458" spans="5:14">
      <c r="E3458" s="86"/>
      <c r="F3458" s="87"/>
      <c r="G3458" s="88"/>
      <c r="H3458" s="89"/>
      <c r="I3458" s="90"/>
      <c r="K3458" s="91"/>
      <c r="L3458" s="88"/>
      <c r="M3458" s="92"/>
      <c r="N3458" s="86"/>
    </row>
    <row r="3459" spans="5:14">
      <c r="E3459" s="86"/>
      <c r="F3459" s="87"/>
      <c r="G3459" s="88"/>
      <c r="H3459" s="89"/>
      <c r="I3459" s="90"/>
      <c r="K3459" s="91"/>
      <c r="L3459" s="88"/>
      <c r="M3459" s="92"/>
      <c r="N3459" s="86"/>
    </row>
    <row r="3460" spans="5:14">
      <c r="E3460" s="86"/>
      <c r="F3460" s="87"/>
      <c r="G3460" s="88"/>
      <c r="H3460" s="89"/>
      <c r="I3460" s="90"/>
      <c r="K3460" s="91"/>
      <c r="L3460" s="88"/>
      <c r="M3460" s="92"/>
      <c r="N3460" s="86"/>
    </row>
    <row r="3461" spans="5:14">
      <c r="E3461" s="86"/>
      <c r="F3461" s="87"/>
      <c r="G3461" s="88"/>
      <c r="H3461" s="89"/>
      <c r="I3461" s="90"/>
      <c r="K3461" s="91"/>
      <c r="L3461" s="88"/>
      <c r="M3461" s="92"/>
      <c r="N3461" s="86"/>
    </row>
    <row r="3462" spans="5:14">
      <c r="E3462" s="86"/>
      <c r="F3462" s="87"/>
      <c r="G3462" s="88"/>
      <c r="H3462" s="89"/>
      <c r="I3462" s="90"/>
      <c r="K3462" s="91"/>
      <c r="L3462" s="88"/>
      <c r="M3462" s="92"/>
      <c r="N3462" s="86"/>
    </row>
    <row r="3463" spans="5:14">
      <c r="E3463" s="86"/>
      <c r="F3463" s="87"/>
      <c r="G3463" s="88"/>
      <c r="H3463" s="89"/>
      <c r="I3463" s="90"/>
      <c r="K3463" s="91"/>
      <c r="L3463" s="88"/>
      <c r="M3463" s="92"/>
      <c r="N3463" s="86"/>
    </row>
    <row r="3464" spans="5:14">
      <c r="E3464" s="86"/>
      <c r="F3464" s="87"/>
      <c r="G3464" s="88"/>
      <c r="H3464" s="89"/>
      <c r="I3464" s="90"/>
      <c r="K3464" s="91"/>
      <c r="L3464" s="88"/>
      <c r="M3464" s="92"/>
      <c r="N3464" s="86"/>
    </row>
    <row r="3465" spans="5:14">
      <c r="E3465" s="86"/>
      <c r="F3465" s="87"/>
      <c r="G3465" s="88"/>
      <c r="H3465" s="89"/>
      <c r="I3465" s="90"/>
      <c r="K3465" s="91"/>
      <c r="L3465" s="88"/>
      <c r="M3465" s="92"/>
      <c r="N3465" s="86"/>
    </row>
    <row r="3466" spans="5:14">
      <c r="E3466" s="86"/>
      <c r="F3466" s="87"/>
      <c r="G3466" s="88"/>
      <c r="H3466" s="89"/>
      <c r="I3466" s="90"/>
      <c r="K3466" s="91"/>
      <c r="L3466" s="88"/>
      <c r="M3466" s="92"/>
      <c r="N3466" s="86"/>
    </row>
    <row r="3467" spans="5:14">
      <c r="E3467" s="86"/>
      <c r="F3467" s="87"/>
      <c r="G3467" s="88"/>
      <c r="H3467" s="89"/>
      <c r="I3467" s="90"/>
      <c r="K3467" s="91"/>
      <c r="L3467" s="88"/>
      <c r="M3467" s="92"/>
      <c r="N3467" s="86"/>
    </row>
    <row r="3468" spans="5:14">
      <c r="E3468" s="86"/>
      <c r="F3468" s="87"/>
      <c r="G3468" s="88"/>
      <c r="H3468" s="89"/>
      <c r="I3468" s="90"/>
      <c r="K3468" s="91"/>
      <c r="L3468" s="88"/>
      <c r="M3468" s="92"/>
      <c r="N3468" s="86"/>
    </row>
    <row r="3469" spans="5:14">
      <c r="E3469" s="86"/>
      <c r="F3469" s="87"/>
      <c r="G3469" s="88"/>
      <c r="H3469" s="89"/>
      <c r="I3469" s="90"/>
      <c r="K3469" s="91"/>
      <c r="L3469" s="88"/>
      <c r="M3469" s="92"/>
      <c r="N3469" s="86"/>
    </row>
    <row r="3470" spans="5:14">
      <c r="E3470" s="86"/>
      <c r="F3470" s="87"/>
      <c r="G3470" s="88"/>
      <c r="H3470" s="89"/>
      <c r="I3470" s="90"/>
      <c r="K3470" s="91"/>
      <c r="L3470" s="88"/>
      <c r="M3470" s="92"/>
      <c r="N3470" s="86"/>
    </row>
    <row r="3471" spans="5:14">
      <c r="E3471" s="86"/>
      <c r="F3471" s="87"/>
      <c r="G3471" s="88"/>
      <c r="H3471" s="89"/>
      <c r="I3471" s="90"/>
      <c r="K3471" s="91"/>
      <c r="L3471" s="88"/>
      <c r="M3471" s="92"/>
      <c r="N3471" s="86"/>
    </row>
    <row r="3472" spans="5:14">
      <c r="E3472" s="86"/>
      <c r="F3472" s="87"/>
      <c r="G3472" s="88"/>
      <c r="H3472" s="89"/>
      <c r="I3472" s="90"/>
      <c r="K3472" s="91"/>
      <c r="L3472" s="88"/>
      <c r="M3472" s="92"/>
      <c r="N3472" s="86"/>
    </row>
    <row r="3473" spans="5:14">
      <c r="E3473" s="86"/>
      <c r="F3473" s="87"/>
      <c r="G3473" s="88"/>
      <c r="H3473" s="89"/>
      <c r="I3473" s="90"/>
      <c r="K3473" s="91"/>
      <c r="L3473" s="88"/>
      <c r="M3473" s="92"/>
      <c r="N3473" s="86"/>
    </row>
    <row r="3474" spans="5:14">
      <c r="E3474" s="86"/>
      <c r="F3474" s="87"/>
      <c r="G3474" s="88"/>
      <c r="H3474" s="89"/>
      <c r="I3474" s="90"/>
      <c r="K3474" s="91"/>
      <c r="L3474" s="88"/>
      <c r="M3474" s="92"/>
      <c r="N3474" s="86"/>
    </row>
    <row r="3475" spans="5:14">
      <c r="E3475" s="86"/>
      <c r="F3475" s="87"/>
      <c r="G3475" s="88"/>
      <c r="H3475" s="89"/>
      <c r="I3475" s="90"/>
      <c r="K3475" s="91"/>
      <c r="L3475" s="88"/>
      <c r="M3475" s="92"/>
      <c r="N3475" s="86"/>
    </row>
    <row r="3476" spans="5:14">
      <c r="E3476" s="86"/>
      <c r="F3476" s="87"/>
      <c r="G3476" s="88"/>
      <c r="H3476" s="89"/>
      <c r="I3476" s="90"/>
      <c r="K3476" s="91"/>
      <c r="L3476" s="88"/>
      <c r="M3476" s="92"/>
      <c r="N3476" s="86"/>
    </row>
    <row r="3477" spans="5:14">
      <c r="E3477" s="86"/>
      <c r="F3477" s="87"/>
      <c r="G3477" s="88"/>
      <c r="H3477" s="89"/>
      <c r="I3477" s="90"/>
      <c r="K3477" s="91"/>
      <c r="L3477" s="88"/>
      <c r="M3477" s="92"/>
      <c r="N3477" s="86"/>
    </row>
    <row r="3478" spans="5:14">
      <c r="E3478" s="86"/>
      <c r="F3478" s="87"/>
      <c r="G3478" s="88"/>
      <c r="H3478" s="89"/>
      <c r="I3478" s="90"/>
      <c r="K3478" s="91"/>
      <c r="L3478" s="88"/>
      <c r="M3478" s="92"/>
      <c r="N3478" s="86"/>
    </row>
    <row r="3479" spans="5:14">
      <c r="E3479" s="86"/>
      <c r="F3479" s="87"/>
      <c r="G3479" s="88"/>
      <c r="H3479" s="89"/>
      <c r="I3479" s="90"/>
      <c r="K3479" s="91"/>
      <c r="L3479" s="88"/>
      <c r="M3479" s="92"/>
      <c r="N3479" s="86"/>
    </row>
    <row r="3480" spans="5:14">
      <c r="E3480" s="86"/>
      <c r="F3480" s="87"/>
      <c r="G3480" s="88"/>
      <c r="H3480" s="89"/>
      <c r="I3480" s="90"/>
      <c r="K3480" s="91"/>
      <c r="L3480" s="88"/>
      <c r="M3480" s="92"/>
      <c r="N3480" s="86"/>
    </row>
    <row r="3481" spans="5:14">
      <c r="E3481" s="86"/>
      <c r="F3481" s="87"/>
      <c r="G3481" s="88"/>
      <c r="H3481" s="89"/>
      <c r="I3481" s="90"/>
      <c r="K3481" s="91"/>
      <c r="L3481" s="88"/>
      <c r="M3481" s="92"/>
      <c r="N3481" s="86"/>
    </row>
    <row r="3482" spans="5:14">
      <c r="E3482" s="86"/>
      <c r="F3482" s="87"/>
      <c r="G3482" s="88"/>
      <c r="H3482" s="89"/>
      <c r="I3482" s="90"/>
      <c r="K3482" s="91"/>
      <c r="L3482" s="88"/>
      <c r="M3482" s="92"/>
      <c r="N3482" s="86"/>
    </row>
    <row r="3483" spans="5:14">
      <c r="E3483" s="86"/>
      <c r="F3483" s="87"/>
      <c r="G3483" s="88"/>
      <c r="H3483" s="89"/>
      <c r="I3483" s="90"/>
      <c r="K3483" s="91"/>
      <c r="L3483" s="88"/>
      <c r="M3483" s="92"/>
      <c r="N3483" s="86"/>
    </row>
    <row r="3484" spans="5:14">
      <c r="E3484" s="86"/>
      <c r="F3484" s="87"/>
      <c r="G3484" s="88"/>
      <c r="H3484" s="89"/>
      <c r="I3484" s="90"/>
      <c r="K3484" s="91"/>
      <c r="L3484" s="88"/>
      <c r="M3484" s="92"/>
      <c r="N3484" s="86"/>
    </row>
    <row r="3485" spans="5:14">
      <c r="E3485" s="86"/>
      <c r="F3485" s="87"/>
      <c r="G3485" s="88"/>
      <c r="H3485" s="89"/>
      <c r="I3485" s="90"/>
      <c r="K3485" s="91"/>
      <c r="L3485" s="88"/>
      <c r="M3485" s="92"/>
      <c r="N3485" s="86"/>
    </row>
    <row r="3486" spans="5:14">
      <c r="E3486" s="86"/>
      <c r="F3486" s="87"/>
      <c r="G3486" s="88"/>
      <c r="H3486" s="89"/>
      <c r="I3486" s="90"/>
      <c r="K3486" s="91"/>
      <c r="L3486" s="88"/>
      <c r="M3486" s="92"/>
      <c r="N3486" s="86"/>
    </row>
    <row r="3487" spans="5:14">
      <c r="E3487" s="86"/>
      <c r="F3487" s="87"/>
      <c r="G3487" s="88"/>
      <c r="H3487" s="89"/>
      <c r="I3487" s="90"/>
      <c r="K3487" s="91"/>
      <c r="L3487" s="88"/>
      <c r="M3487" s="92"/>
      <c r="N3487" s="86"/>
    </row>
    <row r="3488" spans="5:14">
      <c r="E3488" s="86"/>
      <c r="F3488" s="87"/>
      <c r="G3488" s="88"/>
      <c r="H3488" s="89"/>
      <c r="I3488" s="90"/>
      <c r="K3488" s="91"/>
      <c r="L3488" s="88"/>
      <c r="M3488" s="92"/>
      <c r="N3488" s="86"/>
    </row>
    <row r="3489" spans="5:14">
      <c r="E3489" s="86"/>
      <c r="F3489" s="87"/>
      <c r="G3489" s="88"/>
      <c r="H3489" s="89"/>
      <c r="I3489" s="90"/>
      <c r="K3489" s="91"/>
      <c r="L3489" s="88"/>
      <c r="M3489" s="92"/>
      <c r="N3489" s="86"/>
    </row>
    <row r="3490" spans="5:14">
      <c r="E3490" s="86"/>
      <c r="F3490" s="87"/>
      <c r="G3490" s="88"/>
      <c r="H3490" s="89"/>
      <c r="I3490" s="90"/>
      <c r="K3490" s="91"/>
      <c r="L3490" s="88"/>
      <c r="M3490" s="92"/>
      <c r="N3490" s="86"/>
    </row>
    <row r="3491" spans="5:14">
      <c r="E3491" s="86"/>
      <c r="F3491" s="87"/>
      <c r="G3491" s="88"/>
      <c r="H3491" s="89"/>
      <c r="I3491" s="90"/>
      <c r="K3491" s="91"/>
      <c r="L3491" s="88"/>
      <c r="M3491" s="92"/>
      <c r="N3491" s="86"/>
    </row>
    <row r="3492" spans="5:14">
      <c r="E3492" s="86"/>
      <c r="F3492" s="87"/>
      <c r="G3492" s="88"/>
      <c r="H3492" s="89"/>
      <c r="I3492" s="90"/>
      <c r="K3492" s="91"/>
      <c r="L3492" s="88"/>
      <c r="M3492" s="92"/>
      <c r="N3492" s="86"/>
    </row>
    <row r="3493" spans="5:14">
      <c r="E3493" s="86"/>
      <c r="F3493" s="87"/>
      <c r="G3493" s="88"/>
      <c r="H3493" s="89"/>
      <c r="I3493" s="90"/>
      <c r="K3493" s="91"/>
      <c r="L3493" s="88"/>
      <c r="M3493" s="92"/>
      <c r="N3493" s="86"/>
    </row>
    <row r="3494" spans="5:14">
      <c r="E3494" s="86"/>
      <c r="F3494" s="87"/>
      <c r="G3494" s="88"/>
      <c r="H3494" s="89"/>
      <c r="I3494" s="90"/>
      <c r="K3494" s="91"/>
      <c r="L3494" s="88"/>
      <c r="M3494" s="92"/>
      <c r="N3494" s="86"/>
    </row>
    <row r="3495" spans="5:14">
      <c r="E3495" s="86"/>
      <c r="F3495" s="87"/>
      <c r="G3495" s="88"/>
      <c r="H3495" s="89"/>
      <c r="I3495" s="90"/>
      <c r="K3495" s="91"/>
      <c r="L3495" s="88"/>
      <c r="M3495" s="92"/>
      <c r="N3495" s="86"/>
    </row>
    <row r="3496" spans="5:14">
      <c r="E3496" s="86"/>
      <c r="F3496" s="87"/>
      <c r="G3496" s="88"/>
      <c r="H3496" s="89"/>
      <c r="I3496" s="90"/>
      <c r="K3496" s="91"/>
      <c r="L3496" s="88"/>
      <c r="M3496" s="92"/>
      <c r="N3496" s="86"/>
    </row>
    <row r="3497" spans="5:14">
      <c r="E3497" s="86"/>
      <c r="F3497" s="87"/>
      <c r="G3497" s="88"/>
      <c r="H3497" s="89"/>
      <c r="I3497" s="90"/>
      <c r="K3497" s="91"/>
      <c r="L3497" s="88"/>
      <c r="M3497" s="92"/>
      <c r="N3497" s="86"/>
    </row>
    <row r="3498" spans="5:14">
      <c r="E3498" s="86"/>
      <c r="F3498" s="87"/>
      <c r="G3498" s="88"/>
      <c r="H3498" s="89"/>
      <c r="I3498" s="90"/>
      <c r="K3498" s="91"/>
      <c r="L3498" s="88"/>
      <c r="M3498" s="92"/>
      <c r="N3498" s="86"/>
    </row>
    <row r="3499" spans="5:14">
      <c r="E3499" s="86"/>
      <c r="F3499" s="87"/>
      <c r="G3499" s="88"/>
      <c r="H3499" s="89"/>
      <c r="I3499" s="90"/>
      <c r="K3499" s="91"/>
      <c r="L3499" s="88"/>
      <c r="M3499" s="92"/>
      <c r="N3499" s="86"/>
    </row>
    <row r="3500" spans="5:14">
      <c r="E3500" s="86"/>
      <c r="F3500" s="87"/>
      <c r="G3500" s="88"/>
      <c r="H3500" s="89"/>
      <c r="I3500" s="90"/>
      <c r="K3500" s="91"/>
      <c r="L3500" s="88"/>
      <c r="M3500" s="92"/>
      <c r="N3500" s="86"/>
    </row>
    <row r="3501" spans="5:14">
      <c r="E3501" s="86"/>
      <c r="F3501" s="87"/>
      <c r="G3501" s="88"/>
      <c r="H3501" s="89"/>
      <c r="I3501" s="90"/>
      <c r="K3501" s="91"/>
      <c r="L3501" s="88"/>
      <c r="M3501" s="92"/>
      <c r="N3501" s="86"/>
    </row>
    <row r="3502" spans="5:14">
      <c r="E3502" s="86"/>
      <c r="F3502" s="87"/>
      <c r="G3502" s="88"/>
      <c r="H3502" s="89"/>
      <c r="I3502" s="90"/>
      <c r="K3502" s="91"/>
      <c r="L3502" s="88"/>
      <c r="M3502" s="92"/>
      <c r="N3502" s="86"/>
    </row>
    <row r="3503" spans="5:14">
      <c r="E3503" s="86"/>
      <c r="F3503" s="87"/>
      <c r="G3503" s="88"/>
      <c r="H3503" s="89"/>
      <c r="I3503" s="90"/>
      <c r="K3503" s="91"/>
      <c r="L3503" s="88"/>
      <c r="M3503" s="92"/>
      <c r="N3503" s="86"/>
    </row>
    <row r="3504" spans="5:14">
      <c r="E3504" s="86"/>
      <c r="F3504" s="87"/>
      <c r="G3504" s="88"/>
      <c r="H3504" s="89"/>
      <c r="I3504" s="90"/>
      <c r="K3504" s="91"/>
      <c r="L3504" s="88"/>
      <c r="M3504" s="92"/>
      <c r="N3504" s="86"/>
    </row>
    <row r="3505" spans="5:14">
      <c r="E3505" s="86"/>
      <c r="F3505" s="87"/>
      <c r="G3505" s="88"/>
      <c r="H3505" s="89"/>
      <c r="I3505" s="90"/>
      <c r="K3505" s="91"/>
      <c r="L3505" s="88"/>
      <c r="M3505" s="92"/>
      <c r="N3505" s="86"/>
    </row>
    <row r="3506" spans="5:14">
      <c r="E3506" s="86"/>
      <c r="F3506" s="87"/>
      <c r="G3506" s="88"/>
      <c r="H3506" s="89"/>
      <c r="I3506" s="90"/>
      <c r="K3506" s="91"/>
      <c r="L3506" s="88"/>
      <c r="M3506" s="92"/>
      <c r="N3506" s="86"/>
    </row>
    <row r="3507" spans="5:14">
      <c r="E3507" s="86"/>
      <c r="F3507" s="87"/>
      <c r="G3507" s="88"/>
      <c r="H3507" s="89"/>
      <c r="I3507" s="90"/>
      <c r="K3507" s="91"/>
      <c r="L3507" s="88"/>
      <c r="M3507" s="92"/>
      <c r="N3507" s="86"/>
    </row>
    <row r="3508" spans="5:14">
      <c r="E3508" s="86"/>
      <c r="F3508" s="87"/>
      <c r="G3508" s="88"/>
      <c r="H3508" s="89"/>
      <c r="I3508" s="90"/>
      <c r="K3508" s="91"/>
      <c r="L3508" s="88"/>
      <c r="M3508" s="92"/>
      <c r="N3508" s="86"/>
    </row>
    <row r="3509" spans="5:14">
      <c r="E3509" s="86"/>
      <c r="F3509" s="87"/>
      <c r="G3509" s="88"/>
      <c r="H3509" s="89"/>
      <c r="I3509" s="90"/>
      <c r="K3509" s="91"/>
      <c r="L3509" s="88"/>
      <c r="M3509" s="92"/>
      <c r="N3509" s="86"/>
    </row>
    <row r="3510" spans="5:14">
      <c r="E3510" s="86"/>
      <c r="F3510" s="87"/>
      <c r="G3510" s="88"/>
      <c r="H3510" s="89"/>
      <c r="I3510" s="90"/>
      <c r="K3510" s="91"/>
      <c r="L3510" s="88"/>
      <c r="M3510" s="92"/>
      <c r="N3510" s="86"/>
    </row>
    <row r="3511" spans="5:14">
      <c r="E3511" s="86"/>
      <c r="F3511" s="87"/>
      <c r="G3511" s="88"/>
      <c r="H3511" s="89"/>
      <c r="I3511" s="90"/>
      <c r="K3511" s="91"/>
      <c r="L3511" s="88"/>
      <c r="M3511" s="92"/>
      <c r="N3511" s="86"/>
    </row>
    <row r="3512" spans="5:14">
      <c r="E3512" s="86"/>
      <c r="F3512" s="87"/>
      <c r="G3512" s="88"/>
      <c r="H3512" s="89"/>
      <c r="I3512" s="90"/>
      <c r="K3512" s="91"/>
      <c r="L3512" s="88"/>
      <c r="M3512" s="92"/>
      <c r="N3512" s="86"/>
    </row>
    <row r="3513" spans="5:14">
      <c r="E3513" s="86"/>
      <c r="F3513" s="87"/>
      <c r="G3513" s="88"/>
      <c r="H3513" s="89"/>
      <c r="I3513" s="90"/>
      <c r="K3513" s="91"/>
      <c r="L3513" s="88"/>
      <c r="M3513" s="92"/>
      <c r="N3513" s="86"/>
    </row>
    <row r="3514" spans="5:14">
      <c r="E3514" s="86"/>
      <c r="F3514" s="87"/>
      <c r="G3514" s="88"/>
      <c r="H3514" s="89"/>
      <c r="I3514" s="90"/>
      <c r="K3514" s="91"/>
      <c r="L3514" s="88"/>
      <c r="M3514" s="92"/>
      <c r="N3514" s="86"/>
    </row>
    <row r="3515" spans="5:14">
      <c r="E3515" s="86"/>
      <c r="F3515" s="87"/>
      <c r="G3515" s="88"/>
      <c r="H3515" s="89"/>
      <c r="I3515" s="90"/>
      <c r="K3515" s="91"/>
      <c r="L3515" s="88"/>
      <c r="M3515" s="92"/>
      <c r="N3515" s="86"/>
    </row>
    <row r="3516" spans="5:14">
      <c r="E3516" s="86"/>
      <c r="F3516" s="87"/>
      <c r="G3516" s="88"/>
      <c r="H3516" s="89"/>
      <c r="I3516" s="90"/>
      <c r="K3516" s="91"/>
      <c r="L3516" s="88"/>
      <c r="M3516" s="92"/>
      <c r="N3516" s="86"/>
    </row>
    <row r="3517" spans="5:14">
      <c r="E3517" s="86"/>
      <c r="F3517" s="87"/>
      <c r="G3517" s="88"/>
      <c r="H3517" s="89"/>
      <c r="I3517" s="90"/>
      <c r="K3517" s="91"/>
      <c r="L3517" s="88"/>
      <c r="M3517" s="92"/>
      <c r="N3517" s="86"/>
    </row>
    <row r="3518" spans="5:14">
      <c r="E3518" s="86"/>
      <c r="F3518" s="87"/>
      <c r="G3518" s="88"/>
      <c r="H3518" s="89"/>
      <c r="I3518" s="90"/>
      <c r="K3518" s="91"/>
      <c r="L3518" s="88"/>
      <c r="M3518" s="92"/>
      <c r="N3518" s="86"/>
    </row>
  </sheetData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5" r:id="rId13" xr:uid="{00000000-0004-0000-0A00-00000C000000}"/>
    <hyperlink ref="B16" r:id="rId14" xr:uid="{00000000-0004-0000-0A00-00000D000000}"/>
    <hyperlink ref="B17" r:id="rId15" xr:uid="{00000000-0004-0000-0A00-00000E000000}"/>
    <hyperlink ref="B18" r:id="rId16" xr:uid="{00000000-0004-0000-0A00-00000F000000}"/>
    <hyperlink ref="B19" r:id="rId17" xr:uid="{00000000-0004-0000-0A00-000010000000}"/>
    <hyperlink ref="B20" r:id="rId18" xr:uid="{00000000-0004-0000-0A00-000011000000}"/>
    <hyperlink ref="B21" r:id="rId19" xr:uid="{00000000-0004-0000-0A00-000012000000}"/>
    <hyperlink ref="B22" r:id="rId20" xr:uid="{00000000-0004-0000-0A00-000013000000}"/>
    <hyperlink ref="B23" r:id="rId21" xr:uid="{00000000-0004-0000-0A00-000014000000}"/>
    <hyperlink ref="B25" r:id="rId22" xr:uid="{00000000-0004-0000-0A00-000015000000}"/>
    <hyperlink ref="B26" r:id="rId23" xr:uid="{00000000-0004-0000-0A00-000016000000}"/>
    <hyperlink ref="B27" r:id="rId24" xr:uid="{00000000-0004-0000-0A00-000017000000}"/>
    <hyperlink ref="B28" r:id="rId25" xr:uid="{00000000-0004-0000-0A00-000018000000}"/>
    <hyperlink ref="B29" r:id="rId26" xr:uid="{00000000-0004-0000-0A00-000019000000}"/>
    <hyperlink ref="B30" r:id="rId27" xr:uid="{00000000-0004-0000-0A00-00001A000000}"/>
    <hyperlink ref="B31" r:id="rId28" xr:uid="{00000000-0004-0000-0A00-00001B000000}"/>
    <hyperlink ref="B32" r:id="rId29" xr:uid="{00000000-0004-0000-0A00-00001C000000}"/>
    <hyperlink ref="B33" r:id="rId30" xr:uid="{00000000-0004-0000-0A00-00001D000000}"/>
    <hyperlink ref="B34" r:id="rId31" xr:uid="{00000000-0004-0000-0A00-00001E000000}"/>
    <hyperlink ref="B36" r:id="rId32" xr:uid="{00000000-0004-0000-0A00-00001F000000}"/>
    <hyperlink ref="B37" r:id="rId33" xr:uid="{00000000-0004-0000-0A00-000020000000}"/>
    <hyperlink ref="B38" r:id="rId34" xr:uid="{00000000-0004-0000-0A00-000021000000}"/>
    <hyperlink ref="B39" r:id="rId35" xr:uid="{00000000-0004-0000-0A00-000022000000}"/>
    <hyperlink ref="B40" r:id="rId36" xr:uid="{00000000-0004-0000-0A00-000023000000}"/>
    <hyperlink ref="B41" r:id="rId37" xr:uid="{00000000-0004-0000-0A00-000024000000}"/>
    <hyperlink ref="B42" r:id="rId38" xr:uid="{00000000-0004-0000-0A00-000025000000}"/>
    <hyperlink ref="B43" r:id="rId39" xr:uid="{00000000-0004-0000-0A00-000026000000}"/>
    <hyperlink ref="B44" r:id="rId40" xr:uid="{00000000-0004-0000-0A00-000027000000}"/>
    <hyperlink ref="B45" r:id="rId41" xr:uid="{00000000-0004-0000-0A00-000028000000}"/>
    <hyperlink ref="B46" r:id="rId42" xr:uid="{00000000-0004-0000-0A00-000029000000}"/>
    <hyperlink ref="B47" r:id="rId43" xr:uid="{00000000-0004-0000-0A00-00002A000000}"/>
    <hyperlink ref="B48" r:id="rId44" xr:uid="{00000000-0004-0000-0A00-00002B000000}"/>
    <hyperlink ref="B49" r:id="rId45" xr:uid="{00000000-0004-0000-0A00-00002C000000}"/>
    <hyperlink ref="B51" r:id="rId46" xr:uid="{00000000-0004-0000-0A00-00002D000000}"/>
    <hyperlink ref="B52" r:id="rId47" xr:uid="{00000000-0004-0000-0A00-00002E000000}"/>
    <hyperlink ref="B53" r:id="rId48" xr:uid="{00000000-0004-0000-0A00-00002F000000}"/>
    <hyperlink ref="B54" r:id="rId49" xr:uid="{00000000-0004-0000-0A00-000030000000}"/>
    <hyperlink ref="B55" r:id="rId50" xr:uid="{00000000-0004-0000-0A00-000031000000}"/>
    <hyperlink ref="B56" r:id="rId51" xr:uid="{00000000-0004-0000-0A00-000032000000}"/>
    <hyperlink ref="B57" r:id="rId52" xr:uid="{00000000-0004-0000-0A00-000033000000}"/>
    <hyperlink ref="B58" r:id="rId53" xr:uid="{00000000-0004-0000-0A00-000034000000}"/>
    <hyperlink ref="B59" r:id="rId54" xr:uid="{00000000-0004-0000-0A00-000035000000}"/>
    <hyperlink ref="B60" r:id="rId55" xr:uid="{00000000-0004-0000-0A00-000036000000}"/>
    <hyperlink ref="B61" r:id="rId56" xr:uid="{00000000-0004-0000-0A00-000037000000}"/>
    <hyperlink ref="B63" r:id="rId57" xr:uid="{00000000-0004-0000-0A00-000038000000}"/>
    <hyperlink ref="B64" r:id="rId58" xr:uid="{00000000-0004-0000-0A00-000039000000}"/>
    <hyperlink ref="B66" r:id="rId59" xr:uid="{00000000-0004-0000-0A00-00003A000000}"/>
    <hyperlink ref="B67" r:id="rId60" xr:uid="{00000000-0004-0000-0A00-00003B000000}"/>
    <hyperlink ref="B68" r:id="rId61" xr:uid="{00000000-0004-0000-0A00-00003C000000}"/>
    <hyperlink ref="B69" r:id="rId62" xr:uid="{00000000-0004-0000-0A00-00003D000000}"/>
    <hyperlink ref="B70" r:id="rId63" xr:uid="{00000000-0004-0000-0A00-00003E000000}"/>
    <hyperlink ref="B71" r:id="rId64" xr:uid="{00000000-0004-0000-0A00-00003F000000}"/>
    <hyperlink ref="B73" r:id="rId65" xr:uid="{00000000-0004-0000-0A00-000040000000}"/>
    <hyperlink ref="B74" r:id="rId66" xr:uid="{00000000-0004-0000-0A00-000041000000}"/>
    <hyperlink ref="B75" r:id="rId67" xr:uid="{00000000-0004-0000-0A00-000042000000}"/>
    <hyperlink ref="B76" r:id="rId68" xr:uid="{00000000-0004-0000-0A00-000043000000}"/>
    <hyperlink ref="B77" r:id="rId69" xr:uid="{00000000-0004-0000-0A00-000044000000}"/>
    <hyperlink ref="B78" r:id="rId70" xr:uid="{00000000-0004-0000-0A00-000045000000}"/>
    <hyperlink ref="B79" r:id="rId71" xr:uid="{00000000-0004-0000-0A00-000046000000}"/>
    <hyperlink ref="B80" r:id="rId72" xr:uid="{00000000-0004-0000-0A00-000047000000}"/>
    <hyperlink ref="B82" r:id="rId73" xr:uid="{00000000-0004-0000-0A00-000048000000}"/>
    <hyperlink ref="B83" r:id="rId74" xr:uid="{00000000-0004-0000-0A00-000049000000}"/>
    <hyperlink ref="B84" r:id="rId75" xr:uid="{00000000-0004-0000-0A00-00004A000000}"/>
    <hyperlink ref="B85" r:id="rId76" xr:uid="{00000000-0004-0000-0A00-00004B000000}"/>
    <hyperlink ref="B86" r:id="rId77" xr:uid="{00000000-0004-0000-0A00-00004C000000}"/>
    <hyperlink ref="B87" r:id="rId78" xr:uid="{00000000-0004-0000-0A00-00004D000000}"/>
    <hyperlink ref="B88" r:id="rId79" xr:uid="{00000000-0004-0000-0A00-00004E000000}"/>
    <hyperlink ref="B89" r:id="rId80" xr:uid="{00000000-0004-0000-0A00-00004F000000}"/>
    <hyperlink ref="B90" r:id="rId81" xr:uid="{00000000-0004-0000-0A00-000050000000}"/>
    <hyperlink ref="B91" r:id="rId82" xr:uid="{00000000-0004-0000-0A00-000051000000}"/>
    <hyperlink ref="B92" r:id="rId83" xr:uid="{00000000-0004-0000-0A00-000052000000}"/>
    <hyperlink ref="B93" r:id="rId84" xr:uid="{00000000-0004-0000-0A00-000053000000}"/>
    <hyperlink ref="B94" r:id="rId85" xr:uid="{00000000-0004-0000-0A00-000054000000}"/>
    <hyperlink ref="B95" r:id="rId86" xr:uid="{00000000-0004-0000-0A00-000055000000}"/>
    <hyperlink ref="B96" r:id="rId87" xr:uid="{00000000-0004-0000-0A00-000056000000}"/>
    <hyperlink ref="B97" r:id="rId88" xr:uid="{00000000-0004-0000-0A00-000057000000}"/>
    <hyperlink ref="B98" r:id="rId89" xr:uid="{00000000-0004-0000-0A00-000058000000}"/>
    <hyperlink ref="B99" r:id="rId90" xr:uid="{00000000-0004-0000-0A00-000059000000}"/>
    <hyperlink ref="B100" r:id="rId91" xr:uid="{00000000-0004-0000-0A00-00005A000000}"/>
    <hyperlink ref="B101" r:id="rId92" xr:uid="{00000000-0004-0000-0A00-00005B000000}"/>
    <hyperlink ref="B102" r:id="rId93" xr:uid="{00000000-0004-0000-0A00-00005C000000}"/>
    <hyperlink ref="B103" r:id="rId94" xr:uid="{00000000-0004-0000-0A00-00005D000000}"/>
    <hyperlink ref="B104" r:id="rId95" xr:uid="{00000000-0004-0000-0A00-00005E000000}"/>
    <hyperlink ref="B105" r:id="rId96" xr:uid="{00000000-0004-0000-0A00-00005F000000}"/>
    <hyperlink ref="B106" r:id="rId97" xr:uid="{00000000-0004-0000-0A00-000060000000}"/>
    <hyperlink ref="B107" r:id="rId98" xr:uid="{00000000-0004-0000-0A00-000061000000}"/>
    <hyperlink ref="B108" r:id="rId99" xr:uid="{00000000-0004-0000-0A00-000062000000}"/>
    <hyperlink ref="B109" r:id="rId100" xr:uid="{00000000-0004-0000-0A00-000063000000}"/>
    <hyperlink ref="B111" r:id="rId101" xr:uid="{00000000-0004-0000-0A00-000064000000}"/>
    <hyperlink ref="B112" r:id="rId102" xr:uid="{00000000-0004-0000-0A00-000065000000}"/>
    <hyperlink ref="B113" r:id="rId103" xr:uid="{00000000-0004-0000-0A00-000066000000}"/>
    <hyperlink ref="B114" r:id="rId104" xr:uid="{00000000-0004-0000-0A00-000067000000}"/>
    <hyperlink ref="B115" r:id="rId105" xr:uid="{00000000-0004-0000-0A00-000068000000}"/>
    <hyperlink ref="B116" r:id="rId106" xr:uid="{00000000-0004-0000-0A00-000069000000}"/>
    <hyperlink ref="B117" r:id="rId107" xr:uid="{00000000-0004-0000-0A00-00006A000000}"/>
    <hyperlink ref="B118" r:id="rId108" xr:uid="{00000000-0004-0000-0A00-00006B000000}"/>
    <hyperlink ref="B119" r:id="rId109" xr:uid="{00000000-0004-0000-0A00-00006C000000}"/>
    <hyperlink ref="B120" r:id="rId110" xr:uid="{00000000-0004-0000-0A00-00006D000000}"/>
    <hyperlink ref="B121" r:id="rId111" xr:uid="{00000000-0004-0000-0A00-00006E000000}"/>
    <hyperlink ref="B122" r:id="rId112" xr:uid="{00000000-0004-0000-0A00-00006F000000}"/>
    <hyperlink ref="B123" r:id="rId113" xr:uid="{00000000-0004-0000-0A00-000070000000}"/>
    <hyperlink ref="B124" r:id="rId114" xr:uid="{00000000-0004-0000-0A00-000071000000}"/>
    <hyperlink ref="B125" r:id="rId115" xr:uid="{00000000-0004-0000-0A00-000072000000}"/>
    <hyperlink ref="B126" r:id="rId116" xr:uid="{00000000-0004-0000-0A00-000073000000}"/>
    <hyperlink ref="B127" r:id="rId117" xr:uid="{00000000-0004-0000-0A00-000074000000}"/>
    <hyperlink ref="B128" r:id="rId118" xr:uid="{00000000-0004-0000-0A00-000075000000}"/>
    <hyperlink ref="B129" r:id="rId119" xr:uid="{00000000-0004-0000-0A00-000076000000}"/>
    <hyperlink ref="B130" r:id="rId120" xr:uid="{00000000-0004-0000-0A00-000077000000}"/>
    <hyperlink ref="B131" r:id="rId121" xr:uid="{00000000-0004-0000-0A00-000078000000}"/>
    <hyperlink ref="B132" r:id="rId122" xr:uid="{00000000-0004-0000-0A00-000079000000}"/>
    <hyperlink ref="B133" r:id="rId123" xr:uid="{00000000-0004-0000-0A00-00007A000000}"/>
    <hyperlink ref="B134" r:id="rId124" xr:uid="{00000000-0004-0000-0A00-00007B000000}"/>
    <hyperlink ref="B135" r:id="rId125" xr:uid="{00000000-0004-0000-0A00-00007C000000}"/>
    <hyperlink ref="B136" r:id="rId126" xr:uid="{00000000-0004-0000-0A00-00007D000000}"/>
    <hyperlink ref="B137" r:id="rId127" xr:uid="{00000000-0004-0000-0A00-00007E000000}"/>
    <hyperlink ref="B138" r:id="rId128" xr:uid="{00000000-0004-0000-0A00-00007F000000}"/>
    <hyperlink ref="B139" r:id="rId129" xr:uid="{00000000-0004-0000-0A00-000080000000}"/>
    <hyperlink ref="B140" r:id="rId130" xr:uid="{00000000-0004-0000-0A00-000081000000}"/>
    <hyperlink ref="B141" r:id="rId131" xr:uid="{00000000-0004-0000-0A00-000082000000}"/>
    <hyperlink ref="B142" r:id="rId132" xr:uid="{00000000-0004-0000-0A00-000083000000}"/>
    <hyperlink ref="B143" r:id="rId133" xr:uid="{00000000-0004-0000-0A00-000084000000}"/>
    <hyperlink ref="B144" r:id="rId134" xr:uid="{00000000-0004-0000-0A00-000085000000}"/>
    <hyperlink ref="B145" r:id="rId135" xr:uid="{00000000-0004-0000-0A00-000086000000}"/>
    <hyperlink ref="B146" r:id="rId136" xr:uid="{00000000-0004-0000-0A00-000087000000}"/>
    <hyperlink ref="B147" r:id="rId137" xr:uid="{00000000-0004-0000-0A00-000088000000}"/>
    <hyperlink ref="B148" r:id="rId138" xr:uid="{00000000-0004-0000-0A00-000089000000}"/>
    <hyperlink ref="B149" r:id="rId139" xr:uid="{00000000-0004-0000-0A00-00008A000000}"/>
    <hyperlink ref="B150" r:id="rId140" xr:uid="{00000000-0004-0000-0A00-00008B000000}"/>
    <hyperlink ref="B151" r:id="rId141" xr:uid="{00000000-0004-0000-0A00-00008C000000}"/>
    <hyperlink ref="B153" r:id="rId142" xr:uid="{00000000-0004-0000-0A00-00008D000000}"/>
    <hyperlink ref="B154" r:id="rId143" xr:uid="{00000000-0004-0000-0A00-00008E000000}"/>
    <hyperlink ref="B155" r:id="rId144" xr:uid="{00000000-0004-0000-0A00-00008F000000}"/>
    <hyperlink ref="B157" r:id="rId145" xr:uid="{00000000-0004-0000-0A00-000090000000}"/>
    <hyperlink ref="B158" r:id="rId146" xr:uid="{00000000-0004-0000-0A00-000091000000}"/>
    <hyperlink ref="B159" r:id="rId147" xr:uid="{00000000-0004-0000-0A00-000092000000}"/>
    <hyperlink ref="B162" r:id="rId148" xr:uid="{00000000-0004-0000-0A00-000093000000}"/>
    <hyperlink ref="B163" r:id="rId149" xr:uid="{00000000-0004-0000-0A00-000094000000}"/>
    <hyperlink ref="B164" r:id="rId150" xr:uid="{00000000-0004-0000-0A00-000095000000}"/>
    <hyperlink ref="B165" r:id="rId151" xr:uid="{00000000-0004-0000-0A00-000096000000}"/>
    <hyperlink ref="B166" r:id="rId152" xr:uid="{00000000-0004-0000-0A00-000097000000}"/>
    <hyperlink ref="B167" r:id="rId153" xr:uid="{00000000-0004-0000-0A00-000098000000}"/>
    <hyperlink ref="B168" r:id="rId154" xr:uid="{00000000-0004-0000-0A00-000099000000}"/>
    <hyperlink ref="B169" r:id="rId155" xr:uid="{00000000-0004-0000-0A00-00009A000000}"/>
    <hyperlink ref="B170" r:id="rId156" xr:uid="{00000000-0004-0000-0A00-00009B000000}"/>
    <hyperlink ref="B171" r:id="rId157" xr:uid="{00000000-0004-0000-0A00-00009C000000}"/>
    <hyperlink ref="B172" r:id="rId158" xr:uid="{00000000-0004-0000-0A00-00009D000000}"/>
    <hyperlink ref="B173" r:id="rId159" xr:uid="{00000000-0004-0000-0A00-00009E000000}"/>
    <hyperlink ref="B174" r:id="rId160" xr:uid="{00000000-0004-0000-0A00-00009F000000}"/>
    <hyperlink ref="B175" r:id="rId161" xr:uid="{00000000-0004-0000-0A00-0000A0000000}"/>
    <hyperlink ref="B176" r:id="rId162" xr:uid="{00000000-0004-0000-0A00-0000A1000000}"/>
    <hyperlink ref="B178" r:id="rId163" xr:uid="{00000000-0004-0000-0A00-0000A2000000}"/>
    <hyperlink ref="B179" r:id="rId164" xr:uid="{00000000-0004-0000-0A00-0000A3000000}"/>
    <hyperlink ref="B180" r:id="rId165" xr:uid="{00000000-0004-0000-0A00-0000A4000000}"/>
    <hyperlink ref="B181" r:id="rId166" xr:uid="{00000000-0004-0000-0A00-0000A5000000}"/>
    <hyperlink ref="B182" r:id="rId167" xr:uid="{00000000-0004-0000-0A00-0000A6000000}"/>
    <hyperlink ref="B183" r:id="rId168" xr:uid="{00000000-0004-0000-0A00-0000A7000000}"/>
    <hyperlink ref="B184" r:id="rId169" xr:uid="{00000000-0004-0000-0A00-0000A8000000}"/>
    <hyperlink ref="B185" r:id="rId170" xr:uid="{00000000-0004-0000-0A00-0000A9000000}"/>
    <hyperlink ref="B186" r:id="rId171" xr:uid="{00000000-0004-0000-0A00-0000AA000000}"/>
    <hyperlink ref="B188" r:id="rId172" xr:uid="{00000000-0004-0000-0A00-0000AB000000}"/>
    <hyperlink ref="B189" r:id="rId173" xr:uid="{00000000-0004-0000-0A00-0000AC000000}"/>
    <hyperlink ref="B190" r:id="rId174" xr:uid="{00000000-0004-0000-0A00-0000AD000000}"/>
    <hyperlink ref="B191" r:id="rId175" xr:uid="{00000000-0004-0000-0A00-0000AE000000}"/>
    <hyperlink ref="B192" r:id="rId176" xr:uid="{00000000-0004-0000-0A00-0000AF000000}"/>
    <hyperlink ref="B193" r:id="rId177" xr:uid="{00000000-0004-0000-0A00-0000B0000000}"/>
    <hyperlink ref="B194" r:id="rId178" xr:uid="{00000000-0004-0000-0A00-0000B1000000}"/>
    <hyperlink ref="B195" r:id="rId179" xr:uid="{00000000-0004-0000-0A00-0000B2000000}"/>
    <hyperlink ref="B196" r:id="rId180" xr:uid="{00000000-0004-0000-0A00-0000B3000000}"/>
    <hyperlink ref="B197" r:id="rId181" xr:uid="{00000000-0004-0000-0A00-0000B4000000}"/>
    <hyperlink ref="B198" r:id="rId182" xr:uid="{00000000-0004-0000-0A00-0000B5000000}"/>
    <hyperlink ref="B199" r:id="rId183" xr:uid="{00000000-0004-0000-0A00-0000B6000000}"/>
    <hyperlink ref="B200" r:id="rId184" xr:uid="{00000000-0004-0000-0A00-0000B7000000}"/>
    <hyperlink ref="B201" r:id="rId185" xr:uid="{00000000-0004-0000-0A00-0000B8000000}"/>
    <hyperlink ref="B202" r:id="rId186" xr:uid="{00000000-0004-0000-0A00-0000B9000000}"/>
    <hyperlink ref="B203" r:id="rId187" xr:uid="{00000000-0004-0000-0A00-0000BA000000}"/>
    <hyperlink ref="B204" r:id="rId188" xr:uid="{00000000-0004-0000-0A00-0000BB000000}"/>
    <hyperlink ref="B205" r:id="rId189" xr:uid="{00000000-0004-0000-0A00-0000BC000000}"/>
    <hyperlink ref="B206" r:id="rId190" xr:uid="{00000000-0004-0000-0A00-0000BD000000}"/>
    <hyperlink ref="B207" r:id="rId191" xr:uid="{00000000-0004-0000-0A00-0000BE000000}"/>
    <hyperlink ref="B208" r:id="rId192" xr:uid="{00000000-0004-0000-0A00-0000BF000000}"/>
    <hyperlink ref="B209" r:id="rId193" xr:uid="{00000000-0004-0000-0A00-0000C0000000}"/>
    <hyperlink ref="B210" r:id="rId194" xr:uid="{00000000-0004-0000-0A00-0000C1000000}"/>
    <hyperlink ref="B211" r:id="rId195" xr:uid="{00000000-0004-0000-0A00-0000C2000000}"/>
    <hyperlink ref="B212" r:id="rId196" xr:uid="{00000000-0004-0000-0A00-0000C3000000}"/>
    <hyperlink ref="B213" r:id="rId197" xr:uid="{00000000-0004-0000-0A00-0000C4000000}"/>
    <hyperlink ref="B214" r:id="rId198" xr:uid="{00000000-0004-0000-0A00-0000C5000000}"/>
    <hyperlink ref="B215" r:id="rId199" xr:uid="{00000000-0004-0000-0A00-0000C6000000}"/>
    <hyperlink ref="B216" r:id="rId200" xr:uid="{00000000-0004-0000-0A00-0000C7000000}"/>
    <hyperlink ref="B217" r:id="rId201" xr:uid="{00000000-0004-0000-0A00-0000C8000000}"/>
    <hyperlink ref="B218" r:id="rId202" xr:uid="{00000000-0004-0000-0A00-0000C9000000}"/>
    <hyperlink ref="B219" r:id="rId203" xr:uid="{00000000-0004-0000-0A00-0000CA000000}"/>
    <hyperlink ref="B220" r:id="rId204" xr:uid="{00000000-0004-0000-0A00-0000CB000000}"/>
    <hyperlink ref="B221" r:id="rId205" xr:uid="{00000000-0004-0000-0A00-0000CC000000}"/>
    <hyperlink ref="B222" r:id="rId206" xr:uid="{00000000-0004-0000-0A00-0000CD000000}"/>
    <hyperlink ref="B223" r:id="rId207" xr:uid="{00000000-0004-0000-0A00-0000CE000000}"/>
    <hyperlink ref="B225" r:id="rId208" xr:uid="{00000000-0004-0000-0A00-0000CF000000}"/>
    <hyperlink ref="B226" r:id="rId209" xr:uid="{00000000-0004-0000-0A00-0000D0000000}"/>
    <hyperlink ref="B227" r:id="rId210" xr:uid="{00000000-0004-0000-0A00-0000D1000000}"/>
    <hyperlink ref="B228" r:id="rId211" xr:uid="{00000000-0004-0000-0A00-0000D2000000}"/>
    <hyperlink ref="B230" r:id="rId212" xr:uid="{00000000-0004-0000-0A00-0000D3000000}"/>
    <hyperlink ref="B231" r:id="rId213" xr:uid="{00000000-0004-0000-0A00-0000D4000000}"/>
    <hyperlink ref="B232" r:id="rId214" xr:uid="{00000000-0004-0000-0A00-0000D5000000}"/>
    <hyperlink ref="B233" r:id="rId215" xr:uid="{00000000-0004-0000-0A00-0000D6000000}"/>
    <hyperlink ref="B234" r:id="rId216" xr:uid="{00000000-0004-0000-0A00-0000D7000000}"/>
    <hyperlink ref="B235" r:id="rId217" xr:uid="{00000000-0004-0000-0A00-0000D8000000}"/>
    <hyperlink ref="B236" r:id="rId218" xr:uid="{00000000-0004-0000-0A00-0000D9000000}"/>
    <hyperlink ref="B237" r:id="rId219" xr:uid="{00000000-0004-0000-0A00-0000DA000000}"/>
    <hyperlink ref="B238" r:id="rId220" xr:uid="{00000000-0004-0000-0A00-0000DB000000}"/>
    <hyperlink ref="B239" r:id="rId221" xr:uid="{00000000-0004-0000-0A00-0000DC000000}"/>
    <hyperlink ref="B240" r:id="rId222" xr:uid="{00000000-0004-0000-0A00-0000DD000000}"/>
    <hyperlink ref="B241" r:id="rId223" xr:uid="{00000000-0004-0000-0A00-0000DE000000}"/>
    <hyperlink ref="B242" r:id="rId224" xr:uid="{00000000-0004-0000-0A00-0000DF000000}"/>
    <hyperlink ref="B243" r:id="rId225" xr:uid="{00000000-0004-0000-0A00-0000E0000000}"/>
    <hyperlink ref="B244" r:id="rId226" xr:uid="{00000000-0004-0000-0A00-0000E1000000}"/>
    <hyperlink ref="B245" r:id="rId227" xr:uid="{00000000-0004-0000-0A00-0000E2000000}"/>
    <hyperlink ref="B246" r:id="rId228" xr:uid="{00000000-0004-0000-0A00-0000E3000000}"/>
    <hyperlink ref="B247" r:id="rId229" xr:uid="{00000000-0004-0000-0A00-0000E4000000}"/>
    <hyperlink ref="B248" r:id="rId230" xr:uid="{00000000-0004-0000-0A00-0000E5000000}"/>
    <hyperlink ref="B249" r:id="rId231" xr:uid="{00000000-0004-0000-0A00-0000E6000000}"/>
    <hyperlink ref="B250" r:id="rId232" xr:uid="{00000000-0004-0000-0A00-0000E7000000}"/>
    <hyperlink ref="B251" r:id="rId233" xr:uid="{00000000-0004-0000-0A00-0000E8000000}"/>
    <hyperlink ref="B252" r:id="rId234" xr:uid="{00000000-0004-0000-0A00-0000E9000000}"/>
    <hyperlink ref="B253" r:id="rId235" xr:uid="{00000000-0004-0000-0A00-0000EA000000}"/>
    <hyperlink ref="B254" r:id="rId236" xr:uid="{00000000-0004-0000-0A00-0000EB000000}"/>
    <hyperlink ref="B255" r:id="rId237" xr:uid="{00000000-0004-0000-0A00-0000EC000000}"/>
    <hyperlink ref="B256" r:id="rId238" xr:uid="{00000000-0004-0000-0A00-0000ED000000}"/>
    <hyperlink ref="B257" r:id="rId239" xr:uid="{00000000-0004-0000-0A00-0000EE000000}"/>
    <hyperlink ref="B258" r:id="rId240" xr:uid="{00000000-0004-0000-0A00-0000EF000000}"/>
    <hyperlink ref="B259" r:id="rId241" xr:uid="{00000000-0004-0000-0A00-0000F0000000}"/>
    <hyperlink ref="B260" r:id="rId242" xr:uid="{00000000-0004-0000-0A00-0000F1000000}"/>
    <hyperlink ref="B261" r:id="rId243" xr:uid="{00000000-0004-0000-0A00-0000F2000000}"/>
    <hyperlink ref="B262" r:id="rId244" xr:uid="{00000000-0004-0000-0A00-0000F3000000}"/>
    <hyperlink ref="B263" r:id="rId245" xr:uid="{00000000-0004-0000-0A00-0000F4000000}"/>
    <hyperlink ref="B265" r:id="rId246" xr:uid="{00000000-0004-0000-0A00-0000F5000000}"/>
    <hyperlink ref="B266" r:id="rId247" xr:uid="{00000000-0004-0000-0A00-0000F6000000}"/>
    <hyperlink ref="B267" r:id="rId248" xr:uid="{00000000-0004-0000-0A00-0000F7000000}"/>
    <hyperlink ref="B268" r:id="rId249" xr:uid="{00000000-0004-0000-0A00-0000F8000000}"/>
    <hyperlink ref="B269" r:id="rId250" xr:uid="{00000000-0004-0000-0A00-0000F9000000}"/>
    <hyperlink ref="B270" r:id="rId251" xr:uid="{00000000-0004-0000-0A00-0000FA000000}"/>
    <hyperlink ref="B271" r:id="rId252" xr:uid="{00000000-0004-0000-0A00-0000FB000000}"/>
    <hyperlink ref="B272" r:id="rId253" xr:uid="{00000000-0004-0000-0A00-0000FC000000}"/>
    <hyperlink ref="B273" r:id="rId254" xr:uid="{00000000-0004-0000-0A00-0000FD000000}"/>
    <hyperlink ref="B274" r:id="rId255" xr:uid="{00000000-0004-0000-0A00-0000FE000000}"/>
    <hyperlink ref="B275" r:id="rId256" xr:uid="{00000000-0004-0000-0A00-0000FF000000}"/>
    <hyperlink ref="B276" r:id="rId257" xr:uid="{00000000-0004-0000-0A00-000000010000}"/>
    <hyperlink ref="B277" r:id="rId258" xr:uid="{00000000-0004-0000-0A00-000001010000}"/>
    <hyperlink ref="B278" r:id="rId259" xr:uid="{00000000-0004-0000-0A00-000002010000}"/>
    <hyperlink ref="B279" r:id="rId260" xr:uid="{00000000-0004-0000-0A00-000003010000}"/>
    <hyperlink ref="B280" r:id="rId261" xr:uid="{00000000-0004-0000-0A00-000004010000}"/>
    <hyperlink ref="B281" r:id="rId262" xr:uid="{00000000-0004-0000-0A00-000005010000}"/>
    <hyperlink ref="B282" r:id="rId263" xr:uid="{00000000-0004-0000-0A00-000006010000}"/>
    <hyperlink ref="B283" r:id="rId264" xr:uid="{00000000-0004-0000-0A00-000007010000}"/>
    <hyperlink ref="B284" r:id="rId265" xr:uid="{00000000-0004-0000-0A00-000008010000}"/>
    <hyperlink ref="B285" r:id="rId266" xr:uid="{00000000-0004-0000-0A00-000009010000}"/>
    <hyperlink ref="B286" r:id="rId267" xr:uid="{00000000-0004-0000-0A00-00000A010000}"/>
    <hyperlink ref="B287" r:id="rId268" xr:uid="{00000000-0004-0000-0A00-00000B010000}"/>
    <hyperlink ref="B288" r:id="rId269" xr:uid="{00000000-0004-0000-0A00-00000C010000}"/>
    <hyperlink ref="B290" r:id="rId270" xr:uid="{00000000-0004-0000-0A00-00000D010000}"/>
    <hyperlink ref="B291" r:id="rId271" xr:uid="{00000000-0004-0000-0A00-00000E010000}"/>
    <hyperlink ref="B292" r:id="rId272" xr:uid="{00000000-0004-0000-0A00-00000F010000}"/>
    <hyperlink ref="B293" r:id="rId273" xr:uid="{00000000-0004-0000-0A00-000010010000}"/>
    <hyperlink ref="B294" r:id="rId274" xr:uid="{00000000-0004-0000-0A00-000011010000}"/>
    <hyperlink ref="B295" r:id="rId275" xr:uid="{00000000-0004-0000-0A00-000012010000}"/>
    <hyperlink ref="B296" r:id="rId276" xr:uid="{00000000-0004-0000-0A00-000013010000}"/>
    <hyperlink ref="B297" r:id="rId277" xr:uid="{00000000-0004-0000-0A00-000014010000}"/>
    <hyperlink ref="B298" r:id="rId278" xr:uid="{00000000-0004-0000-0A00-000015010000}"/>
    <hyperlink ref="B299" r:id="rId279" xr:uid="{00000000-0004-0000-0A00-000016010000}"/>
    <hyperlink ref="B300" r:id="rId280" xr:uid="{00000000-0004-0000-0A00-000017010000}"/>
    <hyperlink ref="B301" r:id="rId281" xr:uid="{00000000-0004-0000-0A00-000018010000}"/>
    <hyperlink ref="B302" r:id="rId282" xr:uid="{00000000-0004-0000-0A00-000019010000}"/>
    <hyperlink ref="B303" r:id="rId283" xr:uid="{00000000-0004-0000-0A00-00001A010000}"/>
    <hyperlink ref="B304" r:id="rId284" xr:uid="{00000000-0004-0000-0A00-00001B010000}"/>
    <hyperlink ref="B305" r:id="rId285" xr:uid="{00000000-0004-0000-0A00-00001C010000}"/>
    <hyperlink ref="B306" r:id="rId286" xr:uid="{00000000-0004-0000-0A00-00001D010000}"/>
    <hyperlink ref="B307" r:id="rId287" xr:uid="{00000000-0004-0000-0A00-00001E010000}"/>
    <hyperlink ref="B308" r:id="rId288" xr:uid="{00000000-0004-0000-0A00-00001F010000}"/>
    <hyperlink ref="B309" r:id="rId289" xr:uid="{00000000-0004-0000-0A00-000020010000}"/>
    <hyperlink ref="B310" r:id="rId290" xr:uid="{00000000-0004-0000-0A00-000021010000}"/>
    <hyperlink ref="B312" r:id="rId291" xr:uid="{00000000-0004-0000-0A00-000022010000}"/>
    <hyperlink ref="B313" r:id="rId292" xr:uid="{00000000-0004-0000-0A00-000023010000}"/>
    <hyperlink ref="B314" r:id="rId293" xr:uid="{00000000-0004-0000-0A00-000024010000}"/>
    <hyperlink ref="B315" r:id="rId294" xr:uid="{00000000-0004-0000-0A00-000025010000}"/>
    <hyperlink ref="B316" r:id="rId295" xr:uid="{00000000-0004-0000-0A00-000026010000}"/>
    <hyperlink ref="B317" r:id="rId296" xr:uid="{00000000-0004-0000-0A00-000027010000}"/>
    <hyperlink ref="B318" r:id="rId297" xr:uid="{00000000-0004-0000-0A00-000028010000}"/>
    <hyperlink ref="B319" r:id="rId298" xr:uid="{00000000-0004-0000-0A00-000029010000}"/>
    <hyperlink ref="B320" r:id="rId299" xr:uid="{00000000-0004-0000-0A00-00002A010000}"/>
    <hyperlink ref="B321" r:id="rId300" xr:uid="{00000000-0004-0000-0A00-00002B010000}"/>
    <hyperlink ref="B322" r:id="rId301" xr:uid="{00000000-0004-0000-0A00-00002C010000}"/>
    <hyperlink ref="B323" r:id="rId302" xr:uid="{00000000-0004-0000-0A00-00002D010000}"/>
    <hyperlink ref="B324" r:id="rId303" xr:uid="{00000000-0004-0000-0A00-00002E010000}"/>
    <hyperlink ref="B325" r:id="rId304" xr:uid="{00000000-0004-0000-0A00-00002F010000}"/>
    <hyperlink ref="B326" r:id="rId305" xr:uid="{00000000-0004-0000-0A00-000030010000}"/>
    <hyperlink ref="B327" r:id="rId306" xr:uid="{00000000-0004-0000-0A00-000031010000}"/>
    <hyperlink ref="B328" r:id="rId307" xr:uid="{00000000-0004-0000-0A00-000032010000}"/>
    <hyperlink ref="B329" r:id="rId308" xr:uid="{00000000-0004-0000-0A00-000033010000}"/>
    <hyperlink ref="B330" r:id="rId309" xr:uid="{00000000-0004-0000-0A00-000034010000}"/>
    <hyperlink ref="B331" r:id="rId310" xr:uid="{00000000-0004-0000-0A00-000035010000}"/>
    <hyperlink ref="B332" r:id="rId311" xr:uid="{00000000-0004-0000-0A00-000036010000}"/>
    <hyperlink ref="B333" r:id="rId312" xr:uid="{00000000-0004-0000-0A00-000037010000}"/>
    <hyperlink ref="B334" r:id="rId313" xr:uid="{00000000-0004-0000-0A00-000038010000}"/>
    <hyperlink ref="B335" r:id="rId314" xr:uid="{00000000-0004-0000-0A00-000039010000}"/>
    <hyperlink ref="B336" r:id="rId315" xr:uid="{00000000-0004-0000-0A00-00003A010000}"/>
    <hyperlink ref="B337" r:id="rId316" xr:uid="{00000000-0004-0000-0A00-00003B010000}"/>
    <hyperlink ref="B338" r:id="rId317" xr:uid="{00000000-0004-0000-0A00-00003C010000}"/>
    <hyperlink ref="B339" r:id="rId318" xr:uid="{00000000-0004-0000-0A00-00003D010000}"/>
    <hyperlink ref="B340" r:id="rId319" xr:uid="{00000000-0004-0000-0A00-00003E010000}"/>
    <hyperlink ref="B341" r:id="rId320" xr:uid="{00000000-0004-0000-0A00-00003F010000}"/>
    <hyperlink ref="B342" r:id="rId321" xr:uid="{00000000-0004-0000-0A00-000040010000}"/>
    <hyperlink ref="B343" r:id="rId322" xr:uid="{00000000-0004-0000-0A00-000041010000}"/>
    <hyperlink ref="B344" r:id="rId323" xr:uid="{00000000-0004-0000-0A00-000042010000}"/>
    <hyperlink ref="B345" r:id="rId324" xr:uid="{00000000-0004-0000-0A00-000043010000}"/>
    <hyperlink ref="B346" r:id="rId325" xr:uid="{00000000-0004-0000-0A00-000044010000}"/>
    <hyperlink ref="B347" r:id="rId326" xr:uid="{00000000-0004-0000-0A00-000045010000}"/>
    <hyperlink ref="B348" r:id="rId327" xr:uid="{00000000-0004-0000-0A00-000046010000}"/>
    <hyperlink ref="B349" r:id="rId328" xr:uid="{00000000-0004-0000-0A00-000047010000}"/>
    <hyperlink ref="B350" r:id="rId329" xr:uid="{00000000-0004-0000-0A00-000048010000}"/>
    <hyperlink ref="B351" r:id="rId330" xr:uid="{00000000-0004-0000-0A00-000049010000}"/>
    <hyperlink ref="B352" r:id="rId331" xr:uid="{00000000-0004-0000-0A00-00004A010000}"/>
    <hyperlink ref="B353" r:id="rId332" xr:uid="{00000000-0004-0000-0A00-00004B010000}"/>
    <hyperlink ref="B354" r:id="rId333" xr:uid="{00000000-0004-0000-0A00-00004C010000}"/>
    <hyperlink ref="B355" r:id="rId334" xr:uid="{00000000-0004-0000-0A00-00004D010000}"/>
    <hyperlink ref="B356" r:id="rId335" xr:uid="{00000000-0004-0000-0A00-00004E010000}"/>
    <hyperlink ref="B357" r:id="rId336" xr:uid="{00000000-0004-0000-0A00-00004F01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6"/>
  <sheetViews>
    <sheetView tabSelected="1" workbookViewId="0"/>
  </sheetViews>
  <sheetFormatPr defaultColWidth="12.6328125" defaultRowHeight="15" customHeight="1"/>
  <cols>
    <col min="1" max="1" width="14.36328125" customWidth="1"/>
    <col min="2" max="3" width="13.36328125" customWidth="1"/>
    <col min="6" max="6" width="34.453125" customWidth="1"/>
    <col min="7" max="7" width="33.36328125" customWidth="1"/>
    <col min="8" max="9" width="38.90625" customWidth="1"/>
    <col min="10" max="10" width="110.7265625" customWidth="1"/>
    <col min="11" max="11" width="195.26953125" customWidth="1"/>
  </cols>
  <sheetData>
    <row r="1" spans="1:26" ht="15" customHeight="1">
      <c r="A1" s="54" t="s">
        <v>45</v>
      </c>
      <c r="B1" s="54" t="s">
        <v>48</v>
      </c>
      <c r="C1" s="95" t="s">
        <v>7767</v>
      </c>
      <c r="D1" s="54" t="s">
        <v>12619</v>
      </c>
      <c r="E1" s="54" t="s">
        <v>12620</v>
      </c>
      <c r="F1" s="54" t="s">
        <v>12621</v>
      </c>
      <c r="G1" s="54" t="s">
        <v>12622</v>
      </c>
      <c r="H1" s="54" t="s">
        <v>12623</v>
      </c>
      <c r="I1" s="54" t="s">
        <v>12624</v>
      </c>
      <c r="J1" s="54" t="s">
        <v>12625</v>
      </c>
      <c r="K1" s="96" t="s">
        <v>12626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">
      <c r="A2" s="50" t="s">
        <v>6996</v>
      </c>
      <c r="B2" s="50" t="s">
        <v>6997</v>
      </c>
      <c r="C2" s="55" t="s">
        <v>7774</v>
      </c>
      <c r="D2" s="50">
        <v>1</v>
      </c>
      <c r="E2" s="50" t="str">
        <f t="shared" ref="E2:E256" si="0">CONCATENATE("E",C2)</f>
        <v>E1.1.1.1</v>
      </c>
      <c r="F2" s="97" t="s">
        <v>12782</v>
      </c>
      <c r="G2" s="97" t="s">
        <v>12783</v>
      </c>
      <c r="H2" s="97" t="s">
        <v>12784</v>
      </c>
      <c r="I2" s="97" t="s">
        <v>12785</v>
      </c>
      <c r="J2" s="50" t="str">
        <f t="shared" ref="J2:J230" si="1">CONCATENATE("(${Variables:",E2,"_kcat","} * ",E2," * ",G2,")","/(${Variables:",E2,"_km","} + (",E2," * ",G2,"))")</f>
        <v>(${Variables:E1.1.1.1_kcat} * E1.1.1.1 * C00114 * C00003)/(${Variables:E1.1.1.1_km} + (E1.1.1.1 * C00114 * C00003))</v>
      </c>
      <c r="K2" s="98" t="str">
        <f t="shared" ref="K2:K230" si="2">CONCATENATE("r",D2,": ",F2," -&gt; ",H2," | ",J2)</f>
        <v>r1: C00114 + C00003 -&gt; C00576 + C00004 + C00080 | (${Variables:E1.1.1.1_kcat} * E1.1.1.1 * C00114 * C00003)/(${Variables:E1.1.1.1_km} + (E1.1.1.1 * C00114 * C00003))</v>
      </c>
    </row>
    <row r="3" spans="1:26" ht="14">
      <c r="A3" s="50" t="s">
        <v>6996</v>
      </c>
      <c r="B3" s="50" t="s">
        <v>6997</v>
      </c>
      <c r="C3" s="55" t="s">
        <v>7774</v>
      </c>
      <c r="D3" s="50">
        <v>2</v>
      </c>
      <c r="E3" s="50" t="str">
        <f t="shared" si="0"/>
        <v>E1.1.1.1</v>
      </c>
      <c r="F3" s="97" t="s">
        <v>12786</v>
      </c>
      <c r="G3" s="97" t="s">
        <v>12787</v>
      </c>
      <c r="H3" s="97" t="s">
        <v>12788</v>
      </c>
      <c r="I3" s="97" t="s">
        <v>12789</v>
      </c>
      <c r="J3" s="50" t="str">
        <f t="shared" si="1"/>
        <v>(${Variables:E1.1.1.1_kcat} * E1.1.1.1 * C00114 * C00006)/(${Variables:E1.1.1.1_km} + (E1.1.1.1 * C00114 * C00006))</v>
      </c>
      <c r="K3" s="98" t="str">
        <f t="shared" si="2"/>
        <v>r2: C00114 + C00006 -&gt; C00576 + C00005 + C00080 | (${Variables:E1.1.1.1_kcat} * E1.1.1.1 * C00114 * C00006)/(${Variables:E1.1.1.1_km} + (E1.1.1.1 * C00114 * C00006))</v>
      </c>
    </row>
    <row r="4" spans="1:26" ht="14">
      <c r="A4" s="50" t="s">
        <v>6996</v>
      </c>
      <c r="B4" s="50" t="s">
        <v>6997</v>
      </c>
      <c r="C4" s="55" t="s">
        <v>7774</v>
      </c>
      <c r="D4" s="50">
        <v>3</v>
      </c>
      <c r="E4" s="50" t="str">
        <f t="shared" si="0"/>
        <v>E1.1.1.1</v>
      </c>
      <c r="F4" s="99" t="s">
        <v>12790</v>
      </c>
      <c r="G4" s="99" t="s">
        <v>12791</v>
      </c>
      <c r="H4" s="97" t="s">
        <v>12792</v>
      </c>
      <c r="I4" s="97" t="s">
        <v>12793</v>
      </c>
      <c r="J4" s="50" t="str">
        <f t="shared" si="1"/>
        <v>(${Variables:E1.1.1.1_kcat} * E1.1.1.1 * C00226 * C00003)/(${Variables:E1.1.1.1_km} + (E1.1.1.1 * C00226 * C00003))</v>
      </c>
      <c r="K4" s="98" t="str">
        <f t="shared" si="2"/>
        <v>r3: C00226 + C00003 -&gt; C00071 + C00004 + C00080 | (${Variables:E1.1.1.1_kcat} * E1.1.1.1 * C00226 * C00003)/(${Variables:E1.1.1.1_km} + (E1.1.1.1 * C00226 * C00003))</v>
      </c>
    </row>
    <row r="5" spans="1:26" ht="14">
      <c r="A5" s="50" t="s">
        <v>6996</v>
      </c>
      <c r="B5" s="50" t="s">
        <v>6997</v>
      </c>
      <c r="C5" s="55" t="s">
        <v>7774</v>
      </c>
      <c r="D5" s="50">
        <v>4</v>
      </c>
      <c r="E5" s="50" t="str">
        <f t="shared" si="0"/>
        <v>E1.1.1.1</v>
      </c>
      <c r="F5" s="97" t="s">
        <v>12794</v>
      </c>
      <c r="G5" s="97" t="s">
        <v>12795</v>
      </c>
      <c r="H5" s="97" t="s">
        <v>12796</v>
      </c>
      <c r="I5" s="97" t="s">
        <v>12797</v>
      </c>
      <c r="J5" s="50" t="str">
        <f t="shared" si="1"/>
        <v>(${Variables:E1.1.1.1_kcat} * E1.1.1.1 * C00418 * C00003)/(${Variables:E1.1.1.1_km} + (E1.1.1.1 * C00418 * C00003))</v>
      </c>
      <c r="K5" s="98" t="str">
        <f t="shared" si="2"/>
        <v>r4: C00418 + C00003 -&gt; C00772 + C00004 + C00080 | (${Variables:E1.1.1.1_kcat} * E1.1.1.1 * C00418 * C00003)/(${Variables:E1.1.1.1_km} + (E1.1.1.1 * C00418 * C00003))</v>
      </c>
    </row>
    <row r="6" spans="1:26" ht="14">
      <c r="A6" s="50" t="s">
        <v>6996</v>
      </c>
      <c r="B6" s="50" t="s">
        <v>6997</v>
      </c>
      <c r="C6" s="55" t="s">
        <v>7774</v>
      </c>
      <c r="D6" s="50">
        <v>5</v>
      </c>
      <c r="E6" s="50" t="str">
        <f t="shared" si="0"/>
        <v>E1.1.1.1</v>
      </c>
      <c r="F6" s="99" t="s">
        <v>12798</v>
      </c>
      <c r="G6" s="99" t="s">
        <v>12799</v>
      </c>
      <c r="H6" s="97" t="s">
        <v>12800</v>
      </c>
      <c r="I6" s="97" t="s">
        <v>12801</v>
      </c>
      <c r="J6" s="50" t="str">
        <f t="shared" si="1"/>
        <v>(${Variables:E1.1.1.1_kcat} * E1.1.1.1 * C00469 * C00003)/(${Variables:E1.1.1.1_km} + (E1.1.1.1 * C00469 * C00003))</v>
      </c>
      <c r="K6" s="98" t="str">
        <f t="shared" si="2"/>
        <v>r5: C00469 + C00003 -&gt; C00084 + C00004 + C00080 | (${Variables:E1.1.1.1_kcat} * E1.1.1.1 * C00469 * C00003)/(${Variables:E1.1.1.1_km} + (E1.1.1.1 * C00469 * C00003))</v>
      </c>
    </row>
    <row r="7" spans="1:26" ht="14">
      <c r="A7" s="50" t="s">
        <v>6996</v>
      </c>
      <c r="B7" s="50" t="s">
        <v>6997</v>
      </c>
      <c r="C7" s="55" t="s">
        <v>7774</v>
      </c>
      <c r="D7" s="50">
        <v>6</v>
      </c>
      <c r="E7" s="50" t="str">
        <f t="shared" si="0"/>
        <v>E1.1.1.1</v>
      </c>
      <c r="F7" s="99" t="s">
        <v>12802</v>
      </c>
      <c r="G7" s="99" t="s">
        <v>12803</v>
      </c>
      <c r="H7" s="97" t="s">
        <v>12804</v>
      </c>
      <c r="I7" s="97" t="s">
        <v>12805</v>
      </c>
      <c r="J7" s="50" t="str">
        <f t="shared" si="1"/>
        <v>(${Variables:E1.1.1.1_kcat} * E1.1.1.1 * C00473 * C00003)/(${Variables:E1.1.1.1_km} + (E1.1.1.1 * C00473 * C00003))</v>
      </c>
      <c r="K7" s="98" t="str">
        <f t="shared" si="2"/>
        <v>r6: C00473 + C00003 -&gt; C00376 + C00004 + C00080 | (${Variables:E1.1.1.1_kcat} * E1.1.1.1 * C00473 * C00003)/(${Variables:E1.1.1.1_km} + (E1.1.1.1 * C00473 * C00003))</v>
      </c>
    </row>
    <row r="8" spans="1:26" ht="14">
      <c r="A8" s="50" t="s">
        <v>6996</v>
      </c>
      <c r="B8" s="50" t="s">
        <v>6997</v>
      </c>
      <c r="C8" s="55" t="s">
        <v>7774</v>
      </c>
      <c r="D8" s="50">
        <v>7</v>
      </c>
      <c r="E8" s="50" t="str">
        <f t="shared" si="0"/>
        <v>E1.1.1.1</v>
      </c>
      <c r="F8" s="99" t="s">
        <v>12806</v>
      </c>
      <c r="G8" s="99" t="s">
        <v>12807</v>
      </c>
      <c r="H8" s="97" t="s">
        <v>12808</v>
      </c>
      <c r="I8" s="97" t="s">
        <v>12809</v>
      </c>
      <c r="J8" s="50" t="str">
        <f t="shared" si="1"/>
        <v>(${Variables:E1.1.1.1_kcat} * E1.1.1.1 * C00756 * C00003)/(${Variables:E1.1.1.1_km} + (E1.1.1.1 * C00756 * C00003))</v>
      </c>
      <c r="K8" s="98" t="str">
        <f t="shared" si="2"/>
        <v>r7: C00756 + C00003 -&gt; C01545 + C00004 + C00080 | (${Variables:E1.1.1.1_kcat} * E1.1.1.1 * C00756 * C00003)/(${Variables:E1.1.1.1_km} + (E1.1.1.1 * C00756 * C00003))</v>
      </c>
    </row>
    <row r="9" spans="1:26" ht="14">
      <c r="A9" s="50" t="s">
        <v>6996</v>
      </c>
      <c r="B9" s="50" t="s">
        <v>6997</v>
      </c>
      <c r="C9" s="55" t="s">
        <v>7774</v>
      </c>
      <c r="D9" s="50">
        <v>8</v>
      </c>
      <c r="E9" s="50" t="str">
        <f t="shared" si="0"/>
        <v>E1.1.1.1</v>
      </c>
      <c r="F9" s="97" t="s">
        <v>12810</v>
      </c>
      <c r="G9" s="97" t="s">
        <v>12811</v>
      </c>
      <c r="H9" s="97" t="s">
        <v>12812</v>
      </c>
      <c r="I9" s="97" t="s">
        <v>12813</v>
      </c>
      <c r="J9" s="50" t="str">
        <f t="shared" si="1"/>
        <v>(${Variables:E1.1.1.1_kcat} * E1.1.1.1 * C01612 * C00003)/(${Variables:E1.1.1.1_km} + (E1.1.1.1 * C01612 * C00003))</v>
      </c>
      <c r="K9" s="98" t="str">
        <f t="shared" si="2"/>
        <v>r8: C01612 + C00003 -&gt; C01450 + C00004 + C00080 | (${Variables:E1.1.1.1_kcat} * E1.1.1.1 * C01612 * C00003)/(${Variables:E1.1.1.1_km} + (E1.1.1.1 * C01612 * C00003))</v>
      </c>
    </row>
    <row r="10" spans="1:26" ht="14">
      <c r="A10" s="50" t="s">
        <v>6996</v>
      </c>
      <c r="B10" s="50" t="s">
        <v>6997</v>
      </c>
      <c r="C10" s="55" t="s">
        <v>7774</v>
      </c>
      <c r="D10" s="50">
        <v>9</v>
      </c>
      <c r="E10" s="50" t="str">
        <f t="shared" si="0"/>
        <v>E1.1.1.1</v>
      </c>
      <c r="F10" s="97" t="s">
        <v>12814</v>
      </c>
      <c r="G10" s="97" t="s">
        <v>12815</v>
      </c>
      <c r="H10" s="97" t="s">
        <v>12816</v>
      </c>
      <c r="I10" s="97" t="s">
        <v>12817</v>
      </c>
      <c r="J10" s="50" t="str">
        <f t="shared" si="1"/>
        <v>(${Variables:E1.1.1.1_kcat} * E1.1.1.1 * C02909 * C00003)/(${Variables:E1.1.1.1_km} + (E1.1.1.1 * C02909 * C00003))</v>
      </c>
      <c r="K10" s="98" t="str">
        <f t="shared" si="2"/>
        <v>r9: C02909 + C00003 -&gt; C14099 + C00004 + C00080 | (${Variables:E1.1.1.1_kcat} * E1.1.1.1 * C02909 * C00003)/(${Variables:E1.1.1.1_km} + (E1.1.1.1 * C02909 * C00003))</v>
      </c>
    </row>
    <row r="11" spans="1:26" ht="14">
      <c r="A11" s="50" t="s">
        <v>6996</v>
      </c>
      <c r="B11" s="50" t="s">
        <v>6997</v>
      </c>
      <c r="C11" s="55" t="s">
        <v>7774</v>
      </c>
      <c r="D11" s="50">
        <v>10</v>
      </c>
      <c r="E11" s="50" t="str">
        <f t="shared" si="0"/>
        <v>E1.1.1.1</v>
      </c>
      <c r="F11" s="97" t="s">
        <v>12818</v>
      </c>
      <c r="G11" s="97" t="s">
        <v>12819</v>
      </c>
      <c r="H11" s="97" t="s">
        <v>12820</v>
      </c>
      <c r="I11" s="97" t="s">
        <v>12821</v>
      </c>
      <c r="J11" s="50" t="str">
        <f t="shared" si="1"/>
        <v>(${Variables:E1.1.1.1_kcat} * E1.1.1.1 * C05444 * C00003)/(${Variables:E1.1.1.1_km} + (E1.1.1.1 * C05444 * C00003))</v>
      </c>
      <c r="K11" s="98" t="str">
        <f t="shared" si="2"/>
        <v>r10: C05444 + C00003 -&gt; C05445 + C00004 + C00080 | (${Variables:E1.1.1.1_kcat} * E1.1.1.1 * C05444 * C00003)/(${Variables:E1.1.1.1_km} + (E1.1.1.1 * C05444 * C00003))</v>
      </c>
    </row>
    <row r="12" spans="1:26" ht="14">
      <c r="A12" s="50" t="s">
        <v>6996</v>
      </c>
      <c r="B12" s="50" t="s">
        <v>6997</v>
      </c>
      <c r="C12" s="55" t="s">
        <v>7774</v>
      </c>
      <c r="D12" s="50">
        <v>11</v>
      </c>
      <c r="E12" s="50" t="str">
        <f t="shared" si="0"/>
        <v>E1.1.1.1</v>
      </c>
      <c r="F12" s="97" t="s">
        <v>12822</v>
      </c>
      <c r="G12" s="97" t="s">
        <v>12823</v>
      </c>
      <c r="H12" s="97" t="s">
        <v>12824</v>
      </c>
      <c r="I12" s="97" t="s">
        <v>12825</v>
      </c>
      <c r="J12" s="50" t="str">
        <f t="shared" si="1"/>
        <v>(${Variables:E1.1.1.1_kcat} * E1.1.1.1 * C05576 * C00003)/(${Variables:E1.1.1.1_km} + (E1.1.1.1 * C05576 * C00003))</v>
      </c>
      <c r="K12" s="98" t="str">
        <f t="shared" si="2"/>
        <v>r11: C05576 + C00003 -&gt; C05577 + C00004 + C00080 | (${Variables:E1.1.1.1_kcat} * E1.1.1.1 * C05576 * C00003)/(${Variables:E1.1.1.1_km} + (E1.1.1.1 * C05576 * C00003))</v>
      </c>
    </row>
    <row r="13" spans="1:26" ht="14">
      <c r="A13" s="50" t="s">
        <v>6996</v>
      </c>
      <c r="B13" s="50" t="s">
        <v>6997</v>
      </c>
      <c r="C13" s="55" t="s">
        <v>7774</v>
      </c>
      <c r="D13" s="50">
        <v>12</v>
      </c>
      <c r="E13" s="50" t="str">
        <f t="shared" si="0"/>
        <v>E1.1.1.1</v>
      </c>
      <c r="F13" s="97" t="s">
        <v>12826</v>
      </c>
      <c r="G13" s="97" t="s">
        <v>12827</v>
      </c>
      <c r="H13" s="97" t="s">
        <v>12828</v>
      </c>
      <c r="I13" s="97" t="s">
        <v>12829</v>
      </c>
      <c r="J13" s="50" t="str">
        <f t="shared" si="1"/>
        <v>(${Variables:E1.1.1.1_kcat} * E1.1.1.1 * C06611 * C00003)/(${Variables:E1.1.1.1_km} + (E1.1.1.1 * C06611 * C00003))</v>
      </c>
      <c r="K13" s="98" t="str">
        <f t="shared" si="2"/>
        <v>r12: C06611 + C00003 -&gt; C06613 + C00004 + C00080 | (${Variables:E1.1.1.1_kcat} * E1.1.1.1 * C06611 * C00003)/(${Variables:E1.1.1.1_km} + (E1.1.1.1 * C06611 * C00003))</v>
      </c>
    </row>
    <row r="14" spans="1:26" ht="14">
      <c r="A14" s="50" t="s">
        <v>6996</v>
      </c>
      <c r="B14" s="50" t="s">
        <v>6997</v>
      </c>
      <c r="C14" s="55" t="s">
        <v>7774</v>
      </c>
      <c r="D14" s="50">
        <v>13</v>
      </c>
      <c r="E14" s="50" t="str">
        <f t="shared" si="0"/>
        <v>E1.1.1.1</v>
      </c>
      <c r="F14" s="99" t="s">
        <v>12830</v>
      </c>
      <c r="G14" s="99" t="s">
        <v>12831</v>
      </c>
      <c r="H14" s="97" t="s">
        <v>12832</v>
      </c>
      <c r="I14" s="97" t="s">
        <v>12833</v>
      </c>
      <c r="J14" s="50" t="str">
        <f t="shared" si="1"/>
        <v>(${Variables:E1.1.1.1_kcat} * E1.1.1.1 * C06612 * C00003)/(${Variables:E1.1.1.1_km} + (E1.1.1.1 * C06612 * C00003))</v>
      </c>
      <c r="K14" s="98" t="str">
        <f t="shared" si="2"/>
        <v>r13: C06612 + C00003 -&gt; C16348 + C00004 + C00080 | (${Variables:E1.1.1.1_kcat} * E1.1.1.1 * C06612 * C00003)/(${Variables:E1.1.1.1_km} + (E1.1.1.1 * C06612 * C00003))</v>
      </c>
    </row>
    <row r="15" spans="1:26" ht="14">
      <c r="A15" s="50" t="s">
        <v>6996</v>
      </c>
      <c r="B15" s="50" t="s">
        <v>6997</v>
      </c>
      <c r="C15" s="55" t="s">
        <v>7774</v>
      </c>
      <c r="D15" s="50">
        <v>14</v>
      </c>
      <c r="E15" s="50" t="str">
        <f t="shared" si="0"/>
        <v>E1.1.1.1</v>
      </c>
      <c r="F15" s="97" t="s">
        <v>12834</v>
      </c>
      <c r="G15" s="97" t="s">
        <v>12835</v>
      </c>
      <c r="H15" s="97" t="s">
        <v>12836</v>
      </c>
      <c r="I15" s="97" t="s">
        <v>12837</v>
      </c>
      <c r="J15" s="50" t="str">
        <f t="shared" si="1"/>
        <v>(${Variables:E1.1.1.1_kcat} * E1.1.1.1 * C06899 * C00004 * C00080)/(${Variables:E1.1.1.1_km} + (E1.1.1.1 * C06899 * C00004 * C00080))</v>
      </c>
      <c r="K15" s="98" t="str">
        <f t="shared" si="2"/>
        <v>r14: C06899 + C00004 + C00080 -&gt; C07490 + C00003 + C00001 | (${Variables:E1.1.1.1_kcat} * E1.1.1.1 * C06899 * C00004 * C00080)/(${Variables:E1.1.1.1_km} + (E1.1.1.1 * C06899 * C00004 * C00080))</v>
      </c>
    </row>
    <row r="16" spans="1:26" ht="14">
      <c r="A16" s="50" t="s">
        <v>6996</v>
      </c>
      <c r="B16" s="50" t="s">
        <v>6997</v>
      </c>
      <c r="C16" s="55" t="s">
        <v>7774</v>
      </c>
      <c r="D16" s="50">
        <v>15</v>
      </c>
      <c r="E16" s="50" t="str">
        <f t="shared" si="0"/>
        <v>E1.1.1.1</v>
      </c>
      <c r="F16" s="97" t="s">
        <v>12838</v>
      </c>
      <c r="G16" s="97" t="s">
        <v>12839</v>
      </c>
      <c r="H16" s="97" t="s">
        <v>12840</v>
      </c>
      <c r="I16" s="97" t="s">
        <v>12841</v>
      </c>
      <c r="J16" s="50" t="str">
        <f t="shared" si="1"/>
        <v>(${Variables:E1.1.1.1_kcat} * E1.1.1.1 * C07645 * C00004 * C00080)/(${Variables:E1.1.1.1_km} + (E1.1.1.1 * C07645 * C00004 * C00080))</v>
      </c>
      <c r="K16" s="98" t="str">
        <f t="shared" si="2"/>
        <v>r15: C07645 + C00004 + C00080 -&gt; C16551 + C00003 | (${Variables:E1.1.1.1_kcat} * E1.1.1.1 * C07645 * C00004 * C00080)/(${Variables:E1.1.1.1_km} + (E1.1.1.1 * C07645 * C00004 * C00080))</v>
      </c>
    </row>
    <row r="17" spans="1:11" ht="14">
      <c r="A17" s="50" t="s">
        <v>6996</v>
      </c>
      <c r="B17" s="50" t="s">
        <v>6997</v>
      </c>
      <c r="C17" s="55" t="s">
        <v>7774</v>
      </c>
      <c r="D17" s="50">
        <v>16</v>
      </c>
      <c r="E17" s="50" t="str">
        <f t="shared" si="0"/>
        <v>E1.1.1.1</v>
      </c>
      <c r="F17" s="99" t="s">
        <v>12842</v>
      </c>
      <c r="G17" s="99" t="s">
        <v>12843</v>
      </c>
      <c r="H17" s="97" t="s">
        <v>12844</v>
      </c>
      <c r="I17" s="97" t="s">
        <v>12845</v>
      </c>
      <c r="J17" s="50" t="str">
        <f t="shared" si="1"/>
        <v>(${Variables:E1.1.1.1_kcat} * E1.1.1.1 * C14089 * C00003)/(${Variables:E1.1.1.1_km} + (E1.1.1.1 * C14089 * C00003))</v>
      </c>
      <c r="K17" s="98" t="str">
        <f t="shared" si="2"/>
        <v>r16: C14089 + C00003 -&gt; C14090 + C00004 + C00080 | (${Variables:E1.1.1.1_kcat} * E1.1.1.1 * C14089 * C00003)/(${Variables:E1.1.1.1_km} + (E1.1.1.1 * C14089 * C00003))</v>
      </c>
    </row>
    <row r="18" spans="1:11" ht="14">
      <c r="A18" s="50" t="s">
        <v>6996</v>
      </c>
      <c r="B18" s="50" t="s">
        <v>6997</v>
      </c>
      <c r="C18" s="55" t="s">
        <v>7774</v>
      </c>
      <c r="D18" s="50">
        <v>17</v>
      </c>
      <c r="E18" s="50" t="str">
        <f t="shared" si="0"/>
        <v>E1.1.1.1</v>
      </c>
      <c r="F18" s="97" t="s">
        <v>12846</v>
      </c>
      <c r="G18" s="97" t="s">
        <v>12847</v>
      </c>
      <c r="H18" s="97" t="s">
        <v>12848</v>
      </c>
      <c r="I18" s="97" t="s">
        <v>12849</v>
      </c>
      <c r="J18" s="50" t="str">
        <f t="shared" si="1"/>
        <v>(${Variables:E1.1.1.1_kcat} * E1.1.1.1 * C16310 * C00004 * C00080)/(${Variables:E1.1.1.1_km} + (E1.1.1.1 * C16310 * C00004 * C00080))</v>
      </c>
      <c r="K18" s="98" t="str">
        <f t="shared" si="2"/>
        <v>r17: C16310 + C00004 + C00080 -&gt; C08492 + C00003 | (${Variables:E1.1.1.1_kcat} * E1.1.1.1 * C16310 * C00004 * C00080)/(${Variables:E1.1.1.1_km} + (E1.1.1.1 * C16310 * C00004 * C00080))</v>
      </c>
    </row>
    <row r="19" spans="1:11" ht="14">
      <c r="A19" s="50" t="s">
        <v>6996</v>
      </c>
      <c r="B19" s="50" t="s">
        <v>6997</v>
      </c>
      <c r="C19" s="55" t="s">
        <v>7774</v>
      </c>
      <c r="D19" s="50">
        <v>18</v>
      </c>
      <c r="E19" s="50" t="str">
        <f t="shared" si="0"/>
        <v>E1.1.1.1</v>
      </c>
      <c r="F19" s="97" t="s">
        <v>12850</v>
      </c>
      <c r="G19" s="97" t="s">
        <v>12851</v>
      </c>
      <c r="H19" s="97" t="s">
        <v>12852</v>
      </c>
      <c r="I19" s="97" t="s">
        <v>12853</v>
      </c>
      <c r="J19" s="50" t="str">
        <f t="shared" si="1"/>
        <v>(${Variables:E1.1.1.1_kcat} * E1.1.1.1 * C16586 * C00003)/(${Variables:E1.1.1.1_km} + (E1.1.1.1 * C16586 * C00003))</v>
      </c>
      <c r="K19" s="98" t="str">
        <f t="shared" si="2"/>
        <v>r18: C16586 + C00003 -&gt; C16587 + C00004 + C00080 | (${Variables:E1.1.1.1_kcat} * E1.1.1.1 * C16586 * C00003)/(${Variables:E1.1.1.1_km} + (E1.1.1.1 * C16586 * C00003))</v>
      </c>
    </row>
    <row r="20" spans="1:11" ht="14">
      <c r="A20" s="50" t="s">
        <v>6996</v>
      </c>
      <c r="B20" s="50" t="s">
        <v>6997</v>
      </c>
      <c r="C20" s="55" t="s">
        <v>7774</v>
      </c>
      <c r="D20" s="50">
        <v>19</v>
      </c>
      <c r="E20" s="50" t="str">
        <f t="shared" si="0"/>
        <v>E1.1.1.1</v>
      </c>
      <c r="F20" s="97" t="s">
        <v>12854</v>
      </c>
      <c r="G20" s="97" t="s">
        <v>12855</v>
      </c>
      <c r="H20" s="97" t="s">
        <v>12856</v>
      </c>
      <c r="I20" s="97" t="s">
        <v>12857</v>
      </c>
      <c r="J20" s="50" t="str">
        <f t="shared" si="1"/>
        <v>(${Variables:E1.1.1.1_kcat} * E1.1.1.1 * C16595 * C00003)/(${Variables:E1.1.1.1_km} + (E1.1.1.1 * C16595 * C00003))</v>
      </c>
      <c r="K20" s="98" t="str">
        <f t="shared" si="2"/>
        <v>r19: C16595 + C00003 -&gt; C16596 + C00004 + C00080 | (${Variables:E1.1.1.1_kcat} * E1.1.1.1 * C16595 * C00003)/(${Variables:E1.1.1.1_km} + (E1.1.1.1 * C16595 * C00003))</v>
      </c>
    </row>
    <row r="21" spans="1:11" ht="14">
      <c r="A21" s="50" t="s">
        <v>2986</v>
      </c>
      <c r="B21" s="50" t="s">
        <v>2987</v>
      </c>
      <c r="C21" s="55" t="s">
        <v>7795</v>
      </c>
      <c r="D21" s="50">
        <v>20</v>
      </c>
      <c r="E21" s="50" t="str">
        <f t="shared" si="0"/>
        <v>E1.1.1.100</v>
      </c>
      <c r="F21" s="97" t="s">
        <v>12858</v>
      </c>
      <c r="G21" s="97" t="s">
        <v>12859</v>
      </c>
      <c r="H21" s="97" t="s">
        <v>12860</v>
      </c>
      <c r="I21" s="97" t="s">
        <v>12861</v>
      </c>
      <c r="J21" s="50" t="str">
        <f t="shared" si="1"/>
        <v>(${Variables:E1.1.1.100_kcat} * E1.1.1.100 * C01271 * C00006)/(${Variables:E1.1.1.100_km} + (E1.1.1.100 * C01271 * C00006))</v>
      </c>
      <c r="K21" s="98" t="str">
        <f t="shared" si="2"/>
        <v>r20: C01271 + C00006 -&gt; C00685 + C00005 + C00080 | (${Variables:E1.1.1.100_kcat} * E1.1.1.100 * C01271 * C00006)/(${Variables:E1.1.1.100_km} + (E1.1.1.100 * C01271 * C00006))</v>
      </c>
    </row>
    <row r="22" spans="1:11" ht="14">
      <c r="A22" s="50" t="s">
        <v>2986</v>
      </c>
      <c r="B22" s="50" t="s">
        <v>2987</v>
      </c>
      <c r="C22" s="55" t="s">
        <v>7795</v>
      </c>
      <c r="D22" s="50">
        <v>21</v>
      </c>
      <c r="E22" s="50" t="str">
        <f t="shared" si="0"/>
        <v>E1.1.1.100</v>
      </c>
      <c r="F22" s="97" t="s">
        <v>12862</v>
      </c>
      <c r="G22" s="97" t="s">
        <v>12863</v>
      </c>
      <c r="H22" s="97" t="s">
        <v>12864</v>
      </c>
      <c r="I22" s="97" t="s">
        <v>12865</v>
      </c>
      <c r="J22" s="50" t="str">
        <f t="shared" si="1"/>
        <v>(${Variables:E1.1.1.100_kcat} * E1.1.1.100 * C04618 * C00006)/(${Variables:E1.1.1.100_km} + (E1.1.1.100 * C04618 * C00006))</v>
      </c>
      <c r="K22" s="98" t="str">
        <f t="shared" si="2"/>
        <v>r21: C04618 + C00006 -&gt; C05744 + C00005 + C00080 | (${Variables:E1.1.1.100_kcat} * E1.1.1.100 * C04618 * C00006)/(${Variables:E1.1.1.100_km} + (E1.1.1.100 * C04618 * C00006))</v>
      </c>
    </row>
    <row r="23" spans="1:11" ht="14">
      <c r="A23" s="50" t="s">
        <v>2986</v>
      </c>
      <c r="B23" s="50" t="s">
        <v>2987</v>
      </c>
      <c r="C23" s="55" t="s">
        <v>7795</v>
      </c>
      <c r="D23" s="50">
        <v>22</v>
      </c>
      <c r="E23" s="50" t="str">
        <f t="shared" si="0"/>
        <v>E1.1.1.100</v>
      </c>
      <c r="F23" s="97" t="s">
        <v>12866</v>
      </c>
      <c r="G23" s="97" t="s">
        <v>12867</v>
      </c>
      <c r="H23" s="97" t="s">
        <v>12868</v>
      </c>
      <c r="I23" s="97" t="s">
        <v>12869</v>
      </c>
      <c r="J23" s="50" t="str">
        <f t="shared" si="1"/>
        <v>(${Variables:E1.1.1.100_kcat} * E1.1.1.100 * C04619 * C00006)/(${Variables:E1.1.1.100_km} + (E1.1.1.100 * C04619 * C00006))</v>
      </c>
      <c r="K23" s="98" t="str">
        <f t="shared" si="2"/>
        <v>r22: C04619 + C00006 -&gt; C05753 + C00005 | (${Variables:E1.1.1.100_kcat} * E1.1.1.100 * C04619 * C00006)/(${Variables:E1.1.1.100_km} + (E1.1.1.100 * C04619 * C00006))</v>
      </c>
    </row>
    <row r="24" spans="1:11" ht="14">
      <c r="A24" s="50" t="s">
        <v>2986</v>
      </c>
      <c r="B24" s="50" t="s">
        <v>2987</v>
      </c>
      <c r="C24" s="55" t="s">
        <v>7795</v>
      </c>
      <c r="D24" s="50">
        <v>23</v>
      </c>
      <c r="E24" s="50" t="str">
        <f t="shared" si="0"/>
        <v>E1.1.1.100</v>
      </c>
      <c r="F24" s="97" t="s">
        <v>12870</v>
      </c>
      <c r="G24" s="97" t="s">
        <v>12871</v>
      </c>
      <c r="H24" s="97" t="s">
        <v>12872</v>
      </c>
      <c r="I24" s="97" t="s">
        <v>12873</v>
      </c>
      <c r="J24" s="50" t="str">
        <f t="shared" si="1"/>
        <v>(${Variables:E1.1.1.100_kcat} * E1.1.1.100 * C04620 * C00006)/(${Variables:E1.1.1.100_km} + (E1.1.1.100 * C04620 * C00006))</v>
      </c>
      <c r="K24" s="98" t="str">
        <f t="shared" si="2"/>
        <v>r23: C04620 + C00006 -&gt; C05750 + C00005 + C00080 | (${Variables:E1.1.1.100_kcat} * E1.1.1.100 * C04620 * C00006)/(${Variables:E1.1.1.100_km} + (E1.1.1.100 * C04620 * C00006))</v>
      </c>
    </row>
    <row r="25" spans="1:11" ht="14">
      <c r="A25" s="50" t="s">
        <v>2986</v>
      </c>
      <c r="B25" s="50" t="s">
        <v>2987</v>
      </c>
      <c r="C25" s="55" t="s">
        <v>7795</v>
      </c>
      <c r="D25" s="50">
        <v>24</v>
      </c>
      <c r="E25" s="50" t="str">
        <f t="shared" si="0"/>
        <v>E1.1.1.100</v>
      </c>
      <c r="F25" s="97" t="s">
        <v>12874</v>
      </c>
      <c r="G25" s="97" t="s">
        <v>12875</v>
      </c>
      <c r="H25" s="97" t="s">
        <v>12876</v>
      </c>
      <c r="I25" s="97" t="s">
        <v>12877</v>
      </c>
      <c r="J25" s="50" t="str">
        <f t="shared" si="1"/>
        <v>(${Variables:E1.1.1.100_kcat} * E1.1.1.100 * C04633 * C00006)/(${Variables:E1.1.1.100_km} + (E1.1.1.100 * C04633 * C00006))</v>
      </c>
      <c r="K25" s="98" t="str">
        <f t="shared" si="2"/>
        <v>r24: C04633 + C00006 -&gt; C05762 + C00005 + C00080 | (${Variables:E1.1.1.100_kcat} * E1.1.1.100 * C04633 * C00006)/(${Variables:E1.1.1.100_km} + (E1.1.1.100 * C04633 * C00006))</v>
      </c>
    </row>
    <row r="26" spans="1:11" ht="14">
      <c r="A26" s="50" t="s">
        <v>2986</v>
      </c>
      <c r="B26" s="50" t="s">
        <v>2987</v>
      </c>
      <c r="C26" s="55" t="s">
        <v>7795</v>
      </c>
      <c r="D26" s="50">
        <v>25</v>
      </c>
      <c r="E26" s="50" t="str">
        <f t="shared" si="0"/>
        <v>E1.1.1.100</v>
      </c>
      <c r="F26" s="97" t="s">
        <v>12878</v>
      </c>
      <c r="G26" s="97" t="s">
        <v>12879</v>
      </c>
      <c r="H26" s="97" t="s">
        <v>12880</v>
      </c>
      <c r="I26" s="97" t="s">
        <v>12881</v>
      </c>
      <c r="J26" s="50" t="str">
        <f t="shared" si="1"/>
        <v>(${Variables:E1.1.1.100_kcat} * E1.1.1.100 * C04688 * C00006)/(${Variables:E1.1.1.100_km} + (E1.1.1.100 * C04688 * C00006))</v>
      </c>
      <c r="K26" s="98" t="str">
        <f t="shared" si="2"/>
        <v>r25: C04688 + C00006 -&gt; C05759 + C00005 + C00080 | (${Variables:E1.1.1.100_kcat} * E1.1.1.100 * C04688 * C00006)/(${Variables:E1.1.1.100_km} + (E1.1.1.100 * C04688 * C00006))</v>
      </c>
    </row>
    <row r="27" spans="1:11" ht="14">
      <c r="A27" s="50" t="s">
        <v>2986</v>
      </c>
      <c r="B27" s="50" t="s">
        <v>2987</v>
      </c>
      <c r="C27" s="55" t="s">
        <v>7795</v>
      </c>
      <c r="D27" s="50">
        <v>26</v>
      </c>
      <c r="E27" s="50" t="str">
        <f t="shared" si="0"/>
        <v>E1.1.1.100</v>
      </c>
      <c r="F27" s="97" t="s">
        <v>12882</v>
      </c>
      <c r="G27" s="97" t="s">
        <v>12883</v>
      </c>
      <c r="H27" s="97" t="s">
        <v>12884</v>
      </c>
      <c r="I27" s="97" t="s">
        <v>12885</v>
      </c>
      <c r="J27" s="50" t="str">
        <f t="shared" si="1"/>
        <v>(${Variables:E1.1.1.100_kcat} * E1.1.1.100 * C05747 * C00006)/(${Variables:E1.1.1.100_km} + (E1.1.1.100 * C05747 * C00006))</v>
      </c>
      <c r="K27" s="98" t="str">
        <f t="shared" si="2"/>
        <v>r26: C05747 + C00006 -&gt; C05746 + C00005 + C00080 | (${Variables:E1.1.1.100_kcat} * E1.1.1.100 * C05747 * C00006)/(${Variables:E1.1.1.100_km} + (E1.1.1.100 * C05747 * C00006))</v>
      </c>
    </row>
    <row r="28" spans="1:11" ht="14">
      <c r="A28" s="50" t="s">
        <v>2986</v>
      </c>
      <c r="B28" s="50" t="s">
        <v>2987</v>
      </c>
      <c r="C28" s="55" t="s">
        <v>7795</v>
      </c>
      <c r="D28" s="50">
        <v>27</v>
      </c>
      <c r="E28" s="50" t="str">
        <f t="shared" si="0"/>
        <v>E1.1.1.100</v>
      </c>
      <c r="F28" s="97" t="s">
        <v>12886</v>
      </c>
      <c r="G28" s="97" t="s">
        <v>12887</v>
      </c>
      <c r="H28" s="97" t="s">
        <v>12888</v>
      </c>
      <c r="I28" s="97" t="s">
        <v>12889</v>
      </c>
      <c r="J28" s="50" t="str">
        <f t="shared" si="1"/>
        <v>(${Variables:E1.1.1.100_kcat} * E1.1.1.100 * C05757 * C00006)/(${Variables:E1.1.1.100_km} + (E1.1.1.100 * C05757 * C00006))</v>
      </c>
      <c r="K28" s="98" t="str">
        <f t="shared" si="2"/>
        <v>r27: C05757 + C00006 -&gt; C05756 + C00005 + C00080 | (${Variables:E1.1.1.100_kcat} * E1.1.1.100 * C05757 * C00006)/(${Variables:E1.1.1.100_km} + (E1.1.1.100 * C05757 * C00006))</v>
      </c>
    </row>
    <row r="29" spans="1:11" ht="14">
      <c r="A29" s="50" t="s">
        <v>2986</v>
      </c>
      <c r="B29" s="50" t="s">
        <v>2987</v>
      </c>
      <c r="C29" s="55" t="s">
        <v>7795</v>
      </c>
      <c r="D29" s="50">
        <v>28</v>
      </c>
      <c r="E29" s="50" t="str">
        <f t="shared" si="0"/>
        <v>E1.1.1.100</v>
      </c>
      <c r="F29" s="50" t="s">
        <v>12627</v>
      </c>
      <c r="G29" s="50" t="s">
        <v>12628</v>
      </c>
      <c r="H29" s="97" t="s">
        <v>12890</v>
      </c>
      <c r="I29" s="97" t="s">
        <v>12891</v>
      </c>
      <c r="J29" s="50" t="str">
        <f t="shared" si="1"/>
        <v>(${Variables:E1.1.1.100_kcat} * E1.1.1.100 * C16219 * C00005 * C00080)/(${Variables:E1.1.1.100_km} + (E1.1.1.100 * C16219 * C00005 * C00080))</v>
      </c>
      <c r="K29" s="98" t="str">
        <f t="shared" si="2"/>
        <v>r28: C16219 + C00005 + C00080 -&gt; C16220 + C00006 | (${Variables:E1.1.1.100_kcat} * E1.1.1.100 * C16219 * C00005 * C00080)/(${Variables:E1.1.1.100_km} + (E1.1.1.100 * C16219 * C00005 * C00080))</v>
      </c>
    </row>
    <row r="30" spans="1:11" ht="14">
      <c r="A30" s="50" t="s">
        <v>2986</v>
      </c>
      <c r="B30" s="50" t="s">
        <v>2987</v>
      </c>
      <c r="C30" s="55" t="s">
        <v>7795</v>
      </c>
      <c r="D30" s="50">
        <v>29</v>
      </c>
      <c r="E30" s="50" t="str">
        <f t="shared" si="0"/>
        <v>E1.1.1.100</v>
      </c>
      <c r="F30" s="97" t="s">
        <v>12892</v>
      </c>
      <c r="G30" s="97" t="s">
        <v>12893</v>
      </c>
      <c r="H30" s="97" t="s">
        <v>12894</v>
      </c>
      <c r="I30" s="97" t="s">
        <v>12895</v>
      </c>
      <c r="J30" s="50" t="str">
        <f t="shared" si="1"/>
        <v>(${Variables:E1.1.1.100_kcat} * E1.1.1.100 * C20372 * C00005 * C00080)/(${Variables:E1.1.1.100_km} + (E1.1.1.100 * C20372 * C00005 * C00080))</v>
      </c>
      <c r="K30" s="98" t="str">
        <f t="shared" si="2"/>
        <v>r29: C20372 + C00005 + C00080 -&gt; C20373 + C00006 | (${Variables:E1.1.1.100_kcat} * E1.1.1.100 * C20372 * C00005 * C00080)/(${Variables:E1.1.1.100_km} + (E1.1.1.100 * C20372 * C00005 * C00080))</v>
      </c>
    </row>
    <row r="31" spans="1:11" ht="14">
      <c r="A31" s="50" t="s">
        <v>2986</v>
      </c>
      <c r="B31" s="50" t="s">
        <v>2987</v>
      </c>
      <c r="C31" s="55" t="s">
        <v>7795</v>
      </c>
      <c r="D31" s="50">
        <v>30</v>
      </c>
      <c r="E31" s="50" t="str">
        <f t="shared" si="0"/>
        <v>E1.1.1.100</v>
      </c>
      <c r="F31" s="97" t="s">
        <v>12896</v>
      </c>
      <c r="G31" s="97" t="s">
        <v>12897</v>
      </c>
      <c r="H31" s="97" t="s">
        <v>12898</v>
      </c>
      <c r="I31" s="97" t="s">
        <v>12899</v>
      </c>
      <c r="J31" s="50" t="str">
        <f t="shared" si="1"/>
        <v>(${Variables:E1.1.1.100_kcat} * E1.1.1.100 * C20376 * C00005 * C00080)/(${Variables:E1.1.1.100_km} + (E1.1.1.100 * C20376 * C00005 * C00080))</v>
      </c>
      <c r="K31" s="98" t="str">
        <f t="shared" si="2"/>
        <v>r30: C20376 + C00005 + C00080 -&gt; C20377 + C00006 | (${Variables:E1.1.1.100_kcat} * E1.1.1.100 * C20376 * C00005 * C00080)/(${Variables:E1.1.1.100_km} + (E1.1.1.100 * C20376 * C00005 * C00080))</v>
      </c>
    </row>
    <row r="32" spans="1:11" ht="14">
      <c r="A32" s="50" t="s">
        <v>1385</v>
      </c>
      <c r="B32" s="50" t="s">
        <v>1386</v>
      </c>
      <c r="C32" s="55" t="s">
        <v>7809</v>
      </c>
      <c r="D32" s="50">
        <v>31</v>
      </c>
      <c r="E32" s="50" t="str">
        <f t="shared" si="0"/>
        <v>E1.1.1.169</v>
      </c>
      <c r="F32" s="97" t="s">
        <v>12900</v>
      </c>
      <c r="G32" s="97" t="s">
        <v>12901</v>
      </c>
      <c r="H32" s="97" t="s">
        <v>12902</v>
      </c>
      <c r="I32" s="97" t="s">
        <v>12903</v>
      </c>
      <c r="J32" s="50" t="str">
        <f t="shared" si="1"/>
        <v>(${Variables:E1.1.1.169_kcat} * E1.1.1.169 * C00522 * C00006)/(${Variables:E1.1.1.169_km} + (E1.1.1.169 * C00522 * C00006))</v>
      </c>
      <c r="K32" s="98" t="str">
        <f t="shared" si="2"/>
        <v>r31: C00522 + C00006 -&gt; C00966 + C00005 + C00080 | (${Variables:E1.1.1.169_kcat} * E1.1.1.169 * C00522 * C00006)/(${Variables:E1.1.1.169_km} + (E1.1.1.169 * C00522 * C00006))</v>
      </c>
    </row>
    <row r="33" spans="1:11" ht="14">
      <c r="A33" s="50" t="s">
        <v>4093</v>
      </c>
      <c r="B33" s="50" t="s">
        <v>4094</v>
      </c>
      <c r="C33" s="55" t="s">
        <v>7812</v>
      </c>
      <c r="D33" s="50">
        <v>32</v>
      </c>
      <c r="E33" s="50" t="str">
        <f t="shared" si="0"/>
        <v>E1.1.1.17</v>
      </c>
      <c r="F33" s="97" t="s">
        <v>12904</v>
      </c>
      <c r="G33" s="97" t="s">
        <v>12905</v>
      </c>
      <c r="H33" s="97" t="s">
        <v>12906</v>
      </c>
      <c r="I33" s="97" t="s">
        <v>12907</v>
      </c>
      <c r="J33" s="50" t="str">
        <f t="shared" si="1"/>
        <v>(${Variables:E1.1.1.17_kcat} * E1.1.1.17 * C00644 * C00003)/(${Variables:E1.1.1.17_km} + (E1.1.1.17 * C00644 * C00003))</v>
      </c>
      <c r="K33" s="98" t="str">
        <f t="shared" si="2"/>
        <v>r32: C00644 + C00003 -&gt; C00085 + C00004 + C00080 | (${Variables:E1.1.1.17_kcat} * E1.1.1.17 * C00644 * C00003)/(${Variables:E1.1.1.17_km} + (E1.1.1.17 * C00644 * C00003))</v>
      </c>
    </row>
    <row r="34" spans="1:11" ht="14">
      <c r="A34" s="50" t="s">
        <v>4093</v>
      </c>
      <c r="B34" s="50" t="s">
        <v>4094</v>
      </c>
      <c r="C34" s="55" t="s">
        <v>7812</v>
      </c>
      <c r="D34" s="50">
        <v>33</v>
      </c>
      <c r="E34" s="50" t="str">
        <f t="shared" si="0"/>
        <v>E1.1.1.17</v>
      </c>
      <c r="F34" s="97" t="s">
        <v>12908</v>
      </c>
      <c r="G34" s="97" t="s">
        <v>12909</v>
      </c>
      <c r="H34" s="97" t="s">
        <v>12910</v>
      </c>
      <c r="I34" s="97" t="s">
        <v>12911</v>
      </c>
      <c r="J34" s="50" t="str">
        <f t="shared" si="1"/>
        <v>(${Variables:E1.1.1.17_kcat} * E1.1.1.17 * C00644 * C00003)/(${Variables:E1.1.1.17_km} + (E1.1.1.17 * C00644 * C00003))</v>
      </c>
      <c r="K34" s="98" t="str">
        <f t="shared" si="2"/>
        <v>r33: C00644 + C00003 -&gt; C05345 + C00004 + C00080 | (${Variables:E1.1.1.17_kcat} * E1.1.1.17 * C00644 * C00003)/(${Variables:E1.1.1.17_km} + (E1.1.1.17 * C00644 * C00003))</v>
      </c>
    </row>
    <row r="35" spans="1:11" ht="14">
      <c r="A35" s="100"/>
      <c r="B35" s="50" t="s">
        <v>4541</v>
      </c>
      <c r="C35" s="56" t="s">
        <v>12912</v>
      </c>
      <c r="D35" s="50">
        <v>36</v>
      </c>
      <c r="E35" s="50" t="str">
        <f t="shared" si="0"/>
        <v>E1.1.1.18</v>
      </c>
      <c r="F35" s="99" t="s">
        <v>12913</v>
      </c>
      <c r="G35" s="99" t="s">
        <v>12914</v>
      </c>
      <c r="H35" s="97" t="s">
        <v>12915</v>
      </c>
      <c r="I35" s="97" t="s">
        <v>12916</v>
      </c>
      <c r="J35" s="50" t="str">
        <f t="shared" si="1"/>
        <v>(${Variables:E1.1.1.18_kcat} * E1.1.1.18 * C00137 * C00003)/(${Variables:E1.1.1.18_km} + (E1.1.1.18 * C00137 * C00003))</v>
      </c>
      <c r="K35" s="98" t="str">
        <f t="shared" si="2"/>
        <v>r36: C00137 + C00003 -&gt; C00691 + C00004 + C00080 | (${Variables:E1.1.1.18_kcat} * E1.1.1.18 * C00137 * C00003)/(${Variables:E1.1.1.18_km} + (E1.1.1.18 * C00137 * C00003))</v>
      </c>
    </row>
    <row r="36" spans="1:11" ht="14">
      <c r="A36" s="50" t="s">
        <v>4587</v>
      </c>
      <c r="B36" s="50" t="s">
        <v>4588</v>
      </c>
      <c r="C36" s="56" t="s">
        <v>12917</v>
      </c>
      <c r="D36" s="50">
        <v>37</v>
      </c>
      <c r="E36" s="50" t="str">
        <f t="shared" si="0"/>
        <v>E1.1.1.205</v>
      </c>
      <c r="F36" s="97" t="s">
        <v>12918</v>
      </c>
      <c r="G36" s="97" t="s">
        <v>12919</v>
      </c>
      <c r="H36" s="97" t="s">
        <v>12920</v>
      </c>
      <c r="I36" s="97" t="s">
        <v>12921</v>
      </c>
      <c r="J36" s="50" t="str">
        <f t="shared" si="1"/>
        <v>(${Variables:E1.1.1.205_kcat} * E1.1.1.205 * C00130 * C00003 * C00001)/(${Variables:E1.1.1.205_km} + (E1.1.1.205 * C00130 * C00003 * C00001))</v>
      </c>
      <c r="K36" s="98" t="str">
        <f t="shared" si="2"/>
        <v>r37: C00130 + C00003 + C00001 -&gt; C00655 + C00004 + C00080 | (${Variables:E1.1.1.205_kcat} * E1.1.1.205 * C00130 * C00003 * C00001)/(${Variables:E1.1.1.205_km} + (E1.1.1.205 * C00130 * C00003 * C00001))</v>
      </c>
    </row>
    <row r="37" spans="1:11" ht="14">
      <c r="A37" s="50" t="s">
        <v>4587</v>
      </c>
      <c r="B37" s="50" t="s">
        <v>4588</v>
      </c>
      <c r="C37" s="56" t="s">
        <v>12922</v>
      </c>
      <c r="D37" s="50">
        <v>38</v>
      </c>
      <c r="E37" s="50" t="str">
        <f t="shared" si="0"/>
        <v>E1.1.1.205</v>
      </c>
      <c r="F37" s="97" t="s">
        <v>12923</v>
      </c>
      <c r="G37" s="97" t="s">
        <v>12924</v>
      </c>
      <c r="H37" s="97" t="s">
        <v>12925</v>
      </c>
      <c r="I37" s="97" t="s">
        <v>12926</v>
      </c>
      <c r="J37" s="50" t="str">
        <f t="shared" si="1"/>
        <v>(${Variables:E1.1.1.205_kcat} * E1.1.1.205 * C04646 * C00003 * C00001)/(${Variables:E1.1.1.205_km} + (E1.1.1.205 * C04646 * C00003 * C00001))</v>
      </c>
      <c r="K37" s="98" t="str">
        <f t="shared" si="2"/>
        <v>r38: C04646 + C00003 + C00001 -&gt; C16618 + C00004 + C00080 | (${Variables:E1.1.1.205_kcat} * E1.1.1.205 * C04646 * C00003 * C00001)/(${Variables:E1.1.1.205_km} + (E1.1.1.205 * C04646 * C00003 * C00001))</v>
      </c>
    </row>
    <row r="38" spans="1:11" ht="14">
      <c r="A38" s="50" t="s">
        <v>1360</v>
      </c>
      <c r="B38" s="50" t="s">
        <v>1361</v>
      </c>
      <c r="C38" s="55" t="s">
        <v>7821</v>
      </c>
      <c r="D38" s="50">
        <v>39</v>
      </c>
      <c r="E38" s="50" t="str">
        <f t="shared" si="0"/>
        <v>E1.1.1.23</v>
      </c>
      <c r="F38" s="101" t="s">
        <v>17357</v>
      </c>
      <c r="G38" s="101" t="s">
        <v>17358</v>
      </c>
      <c r="H38" s="101" t="s">
        <v>12933</v>
      </c>
      <c r="I38" s="101" t="s">
        <v>12934</v>
      </c>
      <c r="J38" s="50" t="str">
        <f>CONCATENATE("(${Variables:",E38,"_kcat","} * ",E38," * ",G38,")","/(${Variables:",E38,"_km","} + (",E38," * ",G38,"))")</f>
        <v>(${Variables:E1.1.1.23_kcat} * E1.1.1.23 * C00860 * C00003 * C00001)/(${Variables:E1.1.1.23_km} + (E1.1.1.23 * C00860 * C00003 * C00001))</v>
      </c>
      <c r="K38" s="98" t="str">
        <f t="shared" si="2"/>
        <v>r39: C00860 + C00003 + C00001 -&gt; C00135 + C00004 + C00080 | (${Variables:E1.1.1.23_kcat} * E1.1.1.23 * C00860 * C00003 * C00001)/(${Variables:E1.1.1.23_km} + (E1.1.1.23 * C00860 * C00003 * C00001))</v>
      </c>
    </row>
    <row r="39" spans="1:11" ht="14">
      <c r="A39" s="50" t="s">
        <v>1360</v>
      </c>
      <c r="B39" s="50" t="s">
        <v>1361</v>
      </c>
      <c r="C39" s="55" t="s">
        <v>7821</v>
      </c>
      <c r="D39" s="50">
        <v>40</v>
      </c>
      <c r="E39" s="50" t="str">
        <f t="shared" si="0"/>
        <v>E1.1.1.23</v>
      </c>
      <c r="F39" s="97" t="s">
        <v>12927</v>
      </c>
      <c r="G39" s="97" t="s">
        <v>12928</v>
      </c>
      <c r="H39" s="97" t="s">
        <v>12929</v>
      </c>
      <c r="I39" s="97" t="s">
        <v>12930</v>
      </c>
      <c r="J39" s="50" t="str">
        <f t="shared" si="1"/>
        <v>(${Variables:E1.1.1.23_kcat} * E1.1.1.23 * C00860 * C00003)/(${Variables:E1.1.1.23_km} + (E1.1.1.23 * C00860 * C00003))</v>
      </c>
      <c r="K39" s="98" t="str">
        <f t="shared" si="2"/>
        <v>r40: C00860 + C00003 -&gt; C01929 + C00004 + C00080 | (${Variables:E1.1.1.23_kcat} * E1.1.1.23 * C00860 * C00003)/(${Variables:E1.1.1.23_km} + (E1.1.1.23 * C00860 * C00003))</v>
      </c>
    </row>
    <row r="40" spans="1:11" ht="14">
      <c r="A40" s="50" t="s">
        <v>1360</v>
      </c>
      <c r="B40" s="50" t="s">
        <v>1361</v>
      </c>
      <c r="C40" s="55" t="s">
        <v>7821</v>
      </c>
      <c r="D40" s="50">
        <v>41</v>
      </c>
      <c r="E40" s="50" t="str">
        <f t="shared" si="0"/>
        <v>E1.1.1.23</v>
      </c>
      <c r="F40" s="97" t="s">
        <v>12931</v>
      </c>
      <c r="G40" s="97" t="s">
        <v>12932</v>
      </c>
      <c r="H40" s="97" t="s">
        <v>12933</v>
      </c>
      <c r="I40" s="97" t="s">
        <v>12934</v>
      </c>
      <c r="J40" s="50" t="str">
        <f t="shared" si="1"/>
        <v>(${Variables:E1.1.1.23_kcat} * E1.1.1.23 * C01929 * C00001 * C00003)/(${Variables:E1.1.1.23_km} + (E1.1.1.23 * C01929 * C00001 * C00003))</v>
      </c>
      <c r="K40" s="98" t="str">
        <f t="shared" si="2"/>
        <v>r41: C01929 + C00001 + C00003 -&gt; C00135 + C00004 + C00080 | (${Variables:E1.1.1.23_kcat} * E1.1.1.23 * C01929 * C00001 * C00003)/(${Variables:E1.1.1.23_km} + (E1.1.1.23 * C01929 * C00001 * C00003))</v>
      </c>
    </row>
    <row r="41" spans="1:11" ht="14">
      <c r="A41" s="50" t="s">
        <v>3874</v>
      </c>
      <c r="B41" s="50" t="s">
        <v>3875</v>
      </c>
      <c r="C41" s="55" t="s">
        <v>7826</v>
      </c>
      <c r="D41" s="50">
        <v>42</v>
      </c>
      <c r="E41" s="50" t="str">
        <f t="shared" si="0"/>
        <v>E1.1.1.25</v>
      </c>
      <c r="F41" s="97" t="s">
        <v>12935</v>
      </c>
      <c r="G41" s="97" t="s">
        <v>12936</v>
      </c>
      <c r="H41" s="97" t="s">
        <v>12937</v>
      </c>
      <c r="I41" s="97" t="s">
        <v>12938</v>
      </c>
      <c r="J41" s="50" t="str">
        <f t="shared" si="1"/>
        <v>(${Variables:E1.1.1.25_kcat} * E1.1.1.25 * C00493 * C00006)/(${Variables:E1.1.1.25_km} + (E1.1.1.25 * C00493 * C00006))</v>
      </c>
      <c r="K41" s="98" t="str">
        <f t="shared" si="2"/>
        <v>r42: C00493 + C00006 -&gt; C02637 + C00005 + C00080 | (${Variables:E1.1.1.25_kcat} * E1.1.1.25 * C00493 * C00006)/(${Variables:E1.1.1.25_km} + (E1.1.1.25 * C00493 * C00006))</v>
      </c>
    </row>
    <row r="42" spans="1:11" ht="14">
      <c r="A42" s="50" t="s">
        <v>3874</v>
      </c>
      <c r="B42" s="50" t="s">
        <v>3875</v>
      </c>
      <c r="C42" s="55" t="s">
        <v>7826</v>
      </c>
      <c r="D42" s="50">
        <v>43</v>
      </c>
      <c r="E42" s="50" t="str">
        <f t="shared" si="0"/>
        <v>E1.1.1.25</v>
      </c>
      <c r="F42" s="97" t="s">
        <v>12939</v>
      </c>
      <c r="G42" s="97" t="s">
        <v>12940</v>
      </c>
      <c r="H42" s="97" t="s">
        <v>12941</v>
      </c>
      <c r="I42" s="97" t="s">
        <v>12942</v>
      </c>
      <c r="J42" s="50" t="str">
        <f t="shared" si="1"/>
        <v>(${Variables:E1.1.1.25_kcat} * E1.1.1.25 * C02637 * C00006)/(${Variables:E1.1.1.25_km} + (E1.1.1.25 * C02637 * C00006))</v>
      </c>
      <c r="K42" s="98" t="str">
        <f t="shared" si="2"/>
        <v>r43: C02637 + C00006 -&gt; C22438 + C00005 + C00080 | (${Variables:E1.1.1.25_kcat} * E1.1.1.25 * C02637 * C00006)/(${Variables:E1.1.1.25_km} + (E1.1.1.25 * C02637 * C00006))</v>
      </c>
    </row>
    <row r="43" spans="1:11" ht="14">
      <c r="A43" s="50" t="s">
        <v>675</v>
      </c>
      <c r="B43" s="50" t="s">
        <v>5663</v>
      </c>
      <c r="C43" s="56" t="s">
        <v>12943</v>
      </c>
      <c r="D43" s="50">
        <v>46</v>
      </c>
      <c r="E43" s="50" t="str">
        <f t="shared" si="0"/>
        <v>E1.1.1.262</v>
      </c>
      <c r="F43" s="97" t="s">
        <v>12944</v>
      </c>
      <c r="G43" s="97" t="s">
        <v>12945</v>
      </c>
      <c r="H43" s="97" t="s">
        <v>12946</v>
      </c>
      <c r="I43" s="97" t="s">
        <v>12947</v>
      </c>
      <c r="J43" s="50" t="str">
        <f t="shared" si="1"/>
        <v>(${Variables:E1.1.1.262_kcat} * E1.1.1.262 * C06055 * C00003)/(${Variables:E1.1.1.262_km} + (E1.1.1.262 * C06055 * C00003))</v>
      </c>
      <c r="K43" s="98" t="str">
        <f t="shared" si="2"/>
        <v>r46: C06055 + C00003 -&gt; C07335 + C00004 + C00080 | (${Variables:E1.1.1.262_kcat} * E1.1.1.262 * C06055 * C00003)/(${Variables:E1.1.1.262_km} + (E1.1.1.262 * C06055 * C00003))</v>
      </c>
    </row>
    <row r="44" spans="1:11" ht="14">
      <c r="A44" s="50" t="s">
        <v>675</v>
      </c>
      <c r="B44" s="50" t="s">
        <v>5663</v>
      </c>
      <c r="C44" s="56" t="s">
        <v>12948</v>
      </c>
      <c r="D44" s="50">
        <v>47</v>
      </c>
      <c r="E44" s="50" t="str">
        <f t="shared" si="0"/>
        <v>E1.1.1.262</v>
      </c>
      <c r="F44" s="97" t="s">
        <v>12949</v>
      </c>
      <c r="G44" s="97" t="s">
        <v>12950</v>
      </c>
      <c r="H44" s="97" t="s">
        <v>12951</v>
      </c>
      <c r="I44" s="97" t="s">
        <v>12952</v>
      </c>
      <c r="J44" s="50" t="str">
        <f t="shared" si="1"/>
        <v>(${Variables:E1.1.1.262_kcat} * E1.1.1.262 * C06055 * C00003)/(${Variables:E1.1.1.262_km} + (E1.1.1.262 * C06055 * C00003))</v>
      </c>
      <c r="K44" s="98" t="str">
        <f t="shared" si="2"/>
        <v>r47: C06055 + C00003 -&gt; C11638 + C00004 + C00080 + C00011 | (${Variables:E1.1.1.262_kcat} * E1.1.1.262 * C06055 * C00003)/(${Variables:E1.1.1.262_km} + (E1.1.1.262 * C06055 * C00003))</v>
      </c>
    </row>
    <row r="45" spans="1:11" ht="14">
      <c r="A45" s="50" t="s">
        <v>675</v>
      </c>
      <c r="B45" s="50" t="s">
        <v>5663</v>
      </c>
      <c r="C45" s="56" t="s">
        <v>12953</v>
      </c>
      <c r="D45" s="50">
        <v>48</v>
      </c>
      <c r="E45" s="50" t="str">
        <f t="shared" si="0"/>
        <v>E1.1.1.262</v>
      </c>
      <c r="F45" s="102" t="s">
        <v>12954</v>
      </c>
      <c r="G45" s="102" t="s">
        <v>12955</v>
      </c>
      <c r="H45" s="97" t="s">
        <v>12956</v>
      </c>
      <c r="I45" s="97" t="s">
        <v>12957</v>
      </c>
      <c r="J45" s="50" t="str">
        <f t="shared" si="1"/>
        <v>(${Variables:E1.1.1.262_kcat} * E1.1.1.262 * C07335)/(${Variables:E1.1.1.262_km} + (E1.1.1.262 * C07335))</v>
      </c>
      <c r="K45" s="98" t="str">
        <f t="shared" si="2"/>
        <v>r48: C07335 -&gt; C11638 + C00011 | (${Variables:E1.1.1.262_kcat} * E1.1.1.262 * C07335)/(${Variables:E1.1.1.262_km} + (E1.1.1.262 * C07335))</v>
      </c>
    </row>
    <row r="46" spans="1:11" ht="14">
      <c r="A46" s="50" t="s">
        <v>6046</v>
      </c>
      <c r="B46" s="50" t="s">
        <v>6047</v>
      </c>
      <c r="C46" s="55" t="s">
        <v>7834</v>
      </c>
      <c r="D46" s="50">
        <v>49</v>
      </c>
      <c r="E46" s="50" t="str">
        <f t="shared" si="0"/>
        <v>E1.1.1.27</v>
      </c>
      <c r="F46" s="97" t="s">
        <v>12958</v>
      </c>
      <c r="G46" s="97" t="s">
        <v>12959</v>
      </c>
      <c r="H46" s="97" t="s">
        <v>12960</v>
      </c>
      <c r="I46" s="97" t="s">
        <v>12961</v>
      </c>
      <c r="J46" s="50" t="str">
        <f t="shared" si="1"/>
        <v>(${Variables:E1.1.1.27_kcat} * E1.1.1.27 * C00186 * C00003)/(${Variables:E1.1.1.27_km} + (E1.1.1.27 * C00186 * C00003))</v>
      </c>
      <c r="K46" s="98" t="str">
        <f t="shared" si="2"/>
        <v>r49: C00186 + C00003 -&gt; C00022 + C00004 + C00080 | (${Variables:E1.1.1.27_kcat} * E1.1.1.27 * C00186 * C00003)/(${Variables:E1.1.1.27_km} + (E1.1.1.27 * C00186 * C00003))</v>
      </c>
    </row>
    <row r="47" spans="1:11" ht="14">
      <c r="A47" s="50" t="s">
        <v>6046</v>
      </c>
      <c r="B47" s="50" t="s">
        <v>6047</v>
      </c>
      <c r="C47" s="55" t="s">
        <v>7834</v>
      </c>
      <c r="D47" s="50">
        <v>50</v>
      </c>
      <c r="E47" s="50" t="str">
        <f t="shared" si="0"/>
        <v>E1.1.1.27</v>
      </c>
      <c r="F47" s="97" t="s">
        <v>12962</v>
      </c>
      <c r="G47" s="97" t="s">
        <v>12963</v>
      </c>
      <c r="H47" s="97" t="s">
        <v>12964</v>
      </c>
      <c r="I47" s="97" t="s">
        <v>12965</v>
      </c>
      <c r="J47" s="50" t="str">
        <f t="shared" si="1"/>
        <v>(${Variables:E1.1.1.27_kcat} * E1.1.1.27 * C05823 * C00003)/(${Variables:E1.1.1.27_km} + (E1.1.1.27 * C05823 * C00003))</v>
      </c>
      <c r="K47" s="98" t="str">
        <f t="shared" si="2"/>
        <v>r50: C05823 + C00003 -&gt; C00957 + C00004 + C00080 | (${Variables:E1.1.1.27_kcat} * E1.1.1.27 * C05823 * C00003)/(${Variables:E1.1.1.27_km} + (E1.1.1.27 * C05823 * C00003))</v>
      </c>
    </row>
    <row r="48" spans="1:11" ht="14">
      <c r="A48" s="50" t="s">
        <v>6046</v>
      </c>
      <c r="B48" s="50" t="s">
        <v>6047</v>
      </c>
      <c r="C48" s="55" t="s">
        <v>7834</v>
      </c>
      <c r="D48" s="50">
        <v>51</v>
      </c>
      <c r="E48" s="50" t="str">
        <f t="shared" si="0"/>
        <v>E1.1.1.27</v>
      </c>
      <c r="F48" s="97" t="s">
        <v>12966</v>
      </c>
      <c r="G48" s="97" t="s">
        <v>12967</v>
      </c>
      <c r="H48" s="97" t="s">
        <v>12968</v>
      </c>
      <c r="I48" s="97" t="s">
        <v>12969</v>
      </c>
      <c r="J48" s="50" t="str">
        <f t="shared" si="1"/>
        <v>(${Variables:E1.1.1.27_kcat} * E1.1.1.27 * C05984 * C00003)/(${Variables:E1.1.1.27_km} + (E1.1.1.27 * C05984 * C00003))</v>
      </c>
      <c r="K48" s="98" t="str">
        <f t="shared" si="2"/>
        <v>r51: C05984 + C00003 -&gt; C00109 + C00004 + C00080 | (${Variables:E1.1.1.27_kcat} * E1.1.1.27 * C05984 * C00003)/(${Variables:E1.1.1.27_km} + (E1.1.1.27 * C05984 * C00003))</v>
      </c>
    </row>
    <row r="49" spans="1:11" ht="14">
      <c r="A49" s="50" t="s">
        <v>3213</v>
      </c>
      <c r="B49" s="50" t="s">
        <v>3214</v>
      </c>
      <c r="C49" s="55" t="s">
        <v>7839</v>
      </c>
      <c r="D49" s="50">
        <v>55</v>
      </c>
      <c r="E49" s="50" t="str">
        <f t="shared" si="0"/>
        <v>E1.1.1.3</v>
      </c>
      <c r="F49" s="97" t="s">
        <v>12970</v>
      </c>
      <c r="G49" s="97" t="s">
        <v>12971</v>
      </c>
      <c r="H49" s="97" t="s">
        <v>12972</v>
      </c>
      <c r="I49" s="97" t="s">
        <v>12973</v>
      </c>
      <c r="J49" s="50" t="str">
        <f t="shared" si="1"/>
        <v>(${Variables:E1.1.1.3_kcat} * E1.1.1.3 * C00263 * C00003)/(${Variables:E1.1.1.3_km} + (E1.1.1.3 * C00263 * C00003))</v>
      </c>
      <c r="K49" s="98" t="str">
        <f t="shared" si="2"/>
        <v>r55: C00263 + C00003 -&gt; C00441 + C00004 + C00080 | (${Variables:E1.1.1.3_kcat} * E1.1.1.3 * C00263 * C00003)/(${Variables:E1.1.1.3_km} + (E1.1.1.3 * C00263 * C00003))</v>
      </c>
    </row>
    <row r="50" spans="1:11" ht="14">
      <c r="A50" s="50" t="s">
        <v>3213</v>
      </c>
      <c r="B50" s="50" t="s">
        <v>3214</v>
      </c>
      <c r="C50" s="55" t="s">
        <v>7839</v>
      </c>
      <c r="D50" s="50">
        <v>56</v>
      </c>
      <c r="E50" s="50" t="str">
        <f t="shared" si="0"/>
        <v>E1.1.1.3</v>
      </c>
      <c r="F50" s="97" t="s">
        <v>12974</v>
      </c>
      <c r="G50" s="97" t="s">
        <v>12975</v>
      </c>
      <c r="H50" s="97" t="s">
        <v>12976</v>
      </c>
      <c r="I50" s="97" t="s">
        <v>12977</v>
      </c>
      <c r="J50" s="50" t="str">
        <f t="shared" si="1"/>
        <v>(${Variables:E1.1.1.3_kcat} * E1.1.1.3 * C00263 * C00006)/(${Variables:E1.1.1.3_km} + (E1.1.1.3 * C00263 * C00006))</v>
      </c>
      <c r="K50" s="98" t="str">
        <f t="shared" si="2"/>
        <v>r56: C00263 + C00006 -&gt; C00441 + C00005 + C00080 | (${Variables:E1.1.1.3_kcat} * E1.1.1.3 * C00263 * C00006)/(${Variables:E1.1.1.3_km} + (E1.1.1.3 * C00263 * C00006))</v>
      </c>
    </row>
    <row r="51" spans="1:11" ht="14">
      <c r="A51" s="50" t="s">
        <v>4525</v>
      </c>
      <c r="B51" s="50" t="s">
        <v>4526</v>
      </c>
      <c r="C51" s="55" t="s">
        <v>7843</v>
      </c>
      <c r="D51" s="50">
        <v>57</v>
      </c>
      <c r="E51" s="50" t="str">
        <f t="shared" si="0"/>
        <v>E1.1.1.343</v>
      </c>
      <c r="F51" s="97" t="s">
        <v>12978</v>
      </c>
      <c r="G51" s="97" t="s">
        <v>12979</v>
      </c>
      <c r="H51" s="50" t="s">
        <v>12629</v>
      </c>
      <c r="I51" s="50" t="s">
        <v>12630</v>
      </c>
      <c r="J51" s="50" t="str">
        <f t="shared" si="1"/>
        <v>(${Variables:E1.1.1.343_kcat} * E1.1.1.343 * C00345 * C00003)/(${Variables:E1.1.1.343_km} + (E1.1.1.343 * C00345 * C00003))</v>
      </c>
      <c r="K51" s="98" t="str">
        <f t="shared" si="2"/>
        <v>r57: C00345 + C00003 -&gt; C00199 + C00011 + C00004 + C00080 | (${Variables:E1.1.1.343_kcat} * E1.1.1.343 * C00345 * C00003)/(${Variables:E1.1.1.343_km} + (E1.1.1.343 * C00345 * C00003))</v>
      </c>
    </row>
    <row r="52" spans="1:11" ht="14">
      <c r="A52" s="50" t="s">
        <v>2110</v>
      </c>
      <c r="B52" s="50" t="s">
        <v>2111</v>
      </c>
      <c r="C52" s="50" t="s">
        <v>7847</v>
      </c>
      <c r="D52" s="50">
        <v>58</v>
      </c>
      <c r="E52" s="50" t="str">
        <f t="shared" si="0"/>
        <v>E1.1.1.44</v>
      </c>
      <c r="F52" s="97" t="s">
        <v>12980</v>
      </c>
      <c r="G52" s="97" t="s">
        <v>12981</v>
      </c>
      <c r="H52" s="97" t="s">
        <v>12982</v>
      </c>
      <c r="I52" s="97" t="s">
        <v>12983</v>
      </c>
      <c r="J52" s="50" t="str">
        <f t="shared" si="1"/>
        <v>(${Variables:E1.1.1.44_kcat} * E1.1.1.44 * C00345 * C00006)/(${Variables:E1.1.1.44_km} + (E1.1.1.44 * C00345 * C00006))</v>
      </c>
      <c r="K52" s="98" t="str">
        <f t="shared" si="2"/>
        <v>r58: C00345 + C00006 -&gt; C00199 + C00011 + C00005 + C00080 | (${Variables:E1.1.1.44_kcat} * E1.1.1.44 * C00345 * C00006)/(${Variables:E1.1.1.44_km} + (E1.1.1.44 * C00345 * C00006))</v>
      </c>
    </row>
    <row r="53" spans="1:11" ht="14">
      <c r="A53" s="50" t="s">
        <v>7004</v>
      </c>
      <c r="B53" s="50" t="s">
        <v>7005</v>
      </c>
      <c r="C53" s="55" t="s">
        <v>7850</v>
      </c>
      <c r="D53" s="50">
        <v>59</v>
      </c>
      <c r="E53" s="50" t="str">
        <f t="shared" si="0"/>
        <v>E1.1.1.49</v>
      </c>
      <c r="F53" s="50" t="s">
        <v>12631</v>
      </c>
      <c r="G53" s="50" t="s">
        <v>12632</v>
      </c>
      <c r="H53" s="97" t="s">
        <v>12984</v>
      </c>
      <c r="I53" s="97" t="s">
        <v>12985</v>
      </c>
      <c r="J53" s="50" t="str">
        <f t="shared" si="1"/>
        <v>(${Variables:E1.1.1.49_kcat} * E1.1.1.49 * C00092 * C00006)/(${Variables:E1.1.1.49_km} + (E1.1.1.49 * C00092 * C00006))</v>
      </c>
      <c r="K53" s="98" t="str">
        <f t="shared" si="2"/>
        <v>r59: C00092 + C00006 -&gt; C01236 + C00005 + C00080 | (${Variables:E1.1.1.49_kcat} * E1.1.1.49 * C00092 * C00006)/(${Variables:E1.1.1.49_km} + (E1.1.1.49 * C00092 * C00006))</v>
      </c>
    </row>
    <row r="54" spans="1:11" ht="14">
      <c r="A54" s="50" t="s">
        <v>7004</v>
      </c>
      <c r="B54" s="50" t="s">
        <v>7005</v>
      </c>
      <c r="C54" s="55" t="s">
        <v>7850</v>
      </c>
      <c r="D54" s="50">
        <v>60</v>
      </c>
      <c r="E54" s="50" t="str">
        <f t="shared" si="0"/>
        <v>E1.1.1.49</v>
      </c>
      <c r="F54" s="97" t="s">
        <v>12986</v>
      </c>
      <c r="G54" s="97" t="s">
        <v>12987</v>
      </c>
      <c r="H54" s="97" t="s">
        <v>12988</v>
      </c>
      <c r="I54" s="97" t="s">
        <v>12989</v>
      </c>
      <c r="J54" s="50" t="str">
        <f t="shared" si="1"/>
        <v>(${Variables:E1.1.1.49_kcat} * E1.1.1.49 * C01172 * C00006)/(${Variables:E1.1.1.49_km} + (E1.1.1.49 * C01172 * C00006))</v>
      </c>
      <c r="K54" s="98" t="str">
        <f t="shared" si="2"/>
        <v>r60: C01172 + C00006 -&gt; C01236 + C00005 + C00080 | (${Variables:E1.1.1.49_kcat} * E1.1.1.49 * C01172 * C00006)/(${Variables:E1.1.1.49_km} + (E1.1.1.49 * C01172 * C00006))</v>
      </c>
    </row>
    <row r="55" spans="1:11" ht="14">
      <c r="A55" s="50" t="s">
        <v>2426</v>
      </c>
      <c r="B55" s="50" t="s">
        <v>2427</v>
      </c>
      <c r="C55" s="55" t="s">
        <v>7855</v>
      </c>
      <c r="D55" s="50">
        <v>61</v>
      </c>
      <c r="E55" s="50" t="str">
        <f t="shared" si="0"/>
        <v>E1.1.1.88</v>
      </c>
      <c r="F55" s="97" t="s">
        <v>17359</v>
      </c>
      <c r="G55" s="97" t="s">
        <v>17360</v>
      </c>
      <c r="H55" s="97" t="s">
        <v>17361</v>
      </c>
      <c r="I55" s="97" t="s">
        <v>17362</v>
      </c>
      <c r="J55" s="50" t="str">
        <f t="shared" si="1"/>
        <v>(${Variables:E1.1.1.88_kcat} * E1.1.1.88 * C00418 * C00010 * C00003)/(${Variables:E1.1.1.88_km} + (E1.1.1.88 * C00418 * C00010 * C00003))</v>
      </c>
      <c r="K55" s="98" t="str">
        <f t="shared" si="2"/>
        <v>r61: C00418 + C00010 + C00003 -&gt; C00356 + C00004 + C00080 | (${Variables:E1.1.1.88_kcat} * E1.1.1.88 * C00418 * C00010 * C00003)/(${Variables:E1.1.1.88_km} + (E1.1.1.88 * C00418 * C00010 * C00003))</v>
      </c>
    </row>
    <row r="56" spans="1:11" ht="14">
      <c r="A56" s="50" t="s">
        <v>7524</v>
      </c>
      <c r="B56" s="50" t="s">
        <v>7525</v>
      </c>
      <c r="C56" s="55" t="s">
        <v>7858</v>
      </c>
      <c r="D56" s="50">
        <v>62</v>
      </c>
      <c r="E56" s="50" t="str">
        <f t="shared" si="0"/>
        <v>E1.1.1.94</v>
      </c>
      <c r="F56" s="97" t="s">
        <v>12990</v>
      </c>
      <c r="G56" s="97" t="s">
        <v>12991</v>
      </c>
      <c r="H56" s="97" t="s">
        <v>12992</v>
      </c>
      <c r="I56" s="97" t="s">
        <v>12993</v>
      </c>
      <c r="J56" s="50" t="str">
        <f t="shared" si="1"/>
        <v>(${Variables:E1.1.1.94_kcat} * E1.1.1.94 * C00093 * C00003)/(${Variables:E1.1.1.94_km} + (E1.1.1.94 * C00093 * C00003))</v>
      </c>
      <c r="K56" s="98" t="str">
        <f t="shared" si="2"/>
        <v>r62: C00093 + C00003 -&gt; C00111 + C00004 + C00080 | (${Variables:E1.1.1.94_kcat} * E1.1.1.94 * C00093 * C00003)/(${Variables:E1.1.1.94_km} + (E1.1.1.94 * C00093 * C00003))</v>
      </c>
    </row>
    <row r="57" spans="1:11" ht="14">
      <c r="A57" s="50" t="s">
        <v>7524</v>
      </c>
      <c r="B57" s="50" t="s">
        <v>7525</v>
      </c>
      <c r="C57" s="55" t="s">
        <v>7858</v>
      </c>
      <c r="D57" s="50">
        <v>63</v>
      </c>
      <c r="E57" s="50" t="str">
        <f t="shared" si="0"/>
        <v>E1.1.1.94</v>
      </c>
      <c r="F57" s="97" t="s">
        <v>12994</v>
      </c>
      <c r="G57" s="97" t="s">
        <v>12995</v>
      </c>
      <c r="H57" s="97" t="s">
        <v>12996</v>
      </c>
      <c r="I57" s="97" t="s">
        <v>12997</v>
      </c>
      <c r="J57" s="50" t="str">
        <f t="shared" si="1"/>
        <v>(${Variables:E1.1.1.94_kcat} * E1.1.1.94 * C00093 * C00006)/(${Variables:E1.1.1.94_km} + (E1.1.1.94 * C00093 * C00006))</v>
      </c>
      <c r="K57" s="98" t="str">
        <f t="shared" si="2"/>
        <v>r63: C00093 + C00006 -&gt; C00111 + C00005 + C00080 | (${Variables:E1.1.1.94_kcat} * E1.1.1.94 * C00093 * C00006)/(${Variables:E1.1.1.94_km} + (E1.1.1.94 * C00093 * C00006))</v>
      </c>
    </row>
    <row r="58" spans="1:11" ht="14">
      <c r="A58" s="50" t="s">
        <v>6153</v>
      </c>
      <c r="B58" s="50" t="s">
        <v>6154</v>
      </c>
      <c r="C58" s="56" t="s">
        <v>12998</v>
      </c>
      <c r="D58" s="50">
        <v>64</v>
      </c>
      <c r="E58" s="50" t="str">
        <f t="shared" si="0"/>
        <v>E1.11.1.26</v>
      </c>
      <c r="F58" s="103" t="s">
        <v>12633</v>
      </c>
      <c r="G58" s="103" t="s">
        <v>12634</v>
      </c>
      <c r="H58" s="50" t="s">
        <v>12635</v>
      </c>
      <c r="I58" s="50" t="s">
        <v>12636</v>
      </c>
      <c r="J58" s="50" t="str">
        <f t="shared" si="1"/>
        <v>(${Variables:E1.11.1.26_kcat} * E1.11.1.26 * C00004 * C15498 * C00080)/(${Variables:E1.11.1.26_km} + (E1.11.1.26 * C00004 * C15498 * C00080))</v>
      </c>
      <c r="K58" s="98" t="str">
        <f t="shared" si="2"/>
        <v>r64: C00004 + C15498 + C00080 -&gt; C00003 + C00001 + C01335 | (${Variables:E1.11.1.26_kcat} * E1.11.1.26 * C00004 * C15498 * C00080)/(${Variables:E1.11.1.26_km} + (E1.11.1.26 * C00004 * C15498 * C00080))</v>
      </c>
    </row>
    <row r="59" spans="1:11" ht="14">
      <c r="A59" s="50" t="s">
        <v>2589</v>
      </c>
      <c r="B59" s="50" t="s">
        <v>2590</v>
      </c>
      <c r="C59" s="56" t="s">
        <v>12999</v>
      </c>
      <c r="D59" s="50">
        <v>65</v>
      </c>
      <c r="E59" s="50" t="str">
        <f t="shared" si="0"/>
        <v>E1.15.1.1</v>
      </c>
      <c r="F59" s="97" t="s">
        <v>17363</v>
      </c>
      <c r="G59" s="97" t="s">
        <v>17364</v>
      </c>
      <c r="H59" s="97" t="s">
        <v>13000</v>
      </c>
      <c r="I59" s="97" t="s">
        <v>13001</v>
      </c>
      <c r="J59" s="50" t="str">
        <f t="shared" si="1"/>
        <v>(${Variables:E1.15.1.1_kcat} * E1.15.1.1 * C00704 * C00080)/(${Variables:E1.15.1.1_km} + (E1.15.1.1 * C00704 * C00080))</v>
      </c>
      <c r="K59" s="98" t="str">
        <f t="shared" si="2"/>
        <v>r65: C00704 + C00080 -&gt; C00027 + C00007 | (${Variables:E1.15.1.1_kcat} * E1.15.1.1 * C00704 * C00080)/(${Variables:E1.15.1.1_km} + (E1.15.1.1 * C00704 * C00080))</v>
      </c>
    </row>
    <row r="60" spans="1:11" ht="14">
      <c r="A60" s="50" t="s">
        <v>4918</v>
      </c>
      <c r="B60" s="50" t="s">
        <v>4919</v>
      </c>
      <c r="C60" s="56" t="s">
        <v>13002</v>
      </c>
      <c r="D60" s="50">
        <v>66</v>
      </c>
      <c r="E60" s="50" t="str">
        <f t="shared" si="0"/>
        <v>E1.17.1.8</v>
      </c>
      <c r="F60" s="97" t="s">
        <v>13003</v>
      </c>
      <c r="G60" s="97" t="s">
        <v>13004</v>
      </c>
      <c r="H60" s="97" t="s">
        <v>13005</v>
      </c>
      <c r="I60" s="97" t="s">
        <v>13006</v>
      </c>
      <c r="J60" s="50" t="str">
        <f t="shared" si="1"/>
        <v>(${Variables:E1.17.1.8_kcat} * E1.17.1.8 * C03972 * C00003 * C00001)/(${Variables:E1.17.1.8_km} + (E1.17.1.8 * C03972 * C00003 * C00001))</v>
      </c>
      <c r="K60" s="98" t="str">
        <f t="shared" si="2"/>
        <v>r66: C03972 + C00003 + C00001 -&gt; C20258 + C00004 + C00080 | (${Variables:E1.17.1.8_kcat} * E1.17.1.8 * C03972 * C00003 * C00001)/(${Variables:E1.17.1.8_km} + (E1.17.1.8 * C03972 * C00003 * C00001))</v>
      </c>
    </row>
    <row r="61" spans="1:11" ht="14">
      <c r="A61" s="50" t="s">
        <v>4918</v>
      </c>
      <c r="B61" s="50" t="s">
        <v>4919</v>
      </c>
      <c r="C61" s="56" t="s">
        <v>13007</v>
      </c>
      <c r="D61" s="50">
        <v>67</v>
      </c>
      <c r="E61" s="50" t="str">
        <f t="shared" si="0"/>
        <v>E1.17.1.8</v>
      </c>
      <c r="F61" s="97" t="s">
        <v>13008</v>
      </c>
      <c r="G61" s="97" t="s">
        <v>13009</v>
      </c>
      <c r="H61" s="97" t="s">
        <v>13010</v>
      </c>
      <c r="I61" s="97" t="s">
        <v>13011</v>
      </c>
      <c r="J61" s="50" t="str">
        <f t="shared" si="1"/>
        <v>(${Variables:E1.17.1.8_kcat} * E1.17.1.8 * C03972 * C00006 * C00001)/(${Variables:E1.17.1.8_km} + (E1.17.1.8 * C03972 * C00006 * C00001))</v>
      </c>
      <c r="K61" s="98" t="str">
        <f t="shared" si="2"/>
        <v>r67: C03972 + C00006 + C00001 -&gt; C20258 + C00005 + C00080 | (${Variables:E1.17.1.8_kcat} * E1.17.1.8 * C03972 * C00006 * C00001)/(${Variables:E1.17.1.8_km} + (E1.17.1.8 * C03972 * C00006 * C00001))</v>
      </c>
    </row>
    <row r="62" spans="1:11" ht="14">
      <c r="A62" s="50" t="s">
        <v>1466</v>
      </c>
      <c r="B62" s="50" t="s">
        <v>1467</v>
      </c>
      <c r="C62" s="56" t="s">
        <v>13012</v>
      </c>
      <c r="D62" s="50">
        <v>68</v>
      </c>
      <c r="E62" s="50" t="str">
        <f t="shared" si="0"/>
        <v>E1.17.4.1</v>
      </c>
      <c r="F62" s="97" t="s">
        <v>13013</v>
      </c>
      <c r="G62" s="97" t="s">
        <v>13014</v>
      </c>
      <c r="H62" s="97" t="s">
        <v>13015</v>
      </c>
      <c r="I62" s="97" t="s">
        <v>13016</v>
      </c>
      <c r="J62" s="50" t="str">
        <f t="shared" si="1"/>
        <v>(${Variables:E1.17.4.1_kcat} * E1.17.4.1 * C00206 * C00343 * C00001)/(${Variables:E1.17.4.1_km} + (E1.17.4.1 * C00206 * C00343 * C00001))</v>
      </c>
      <c r="K62" s="98" t="str">
        <f t="shared" si="2"/>
        <v>r68: C00206 + C00343 + C00001 -&gt; C00342 + C00008 | (${Variables:E1.17.4.1_kcat} * E1.17.4.1 * C00206 * C00343 * C00001)/(${Variables:E1.17.4.1_km} + (E1.17.4.1 * C00206 * C00343 * C00001))</v>
      </c>
    </row>
    <row r="63" spans="1:11" ht="14">
      <c r="A63" s="50" t="s">
        <v>1466</v>
      </c>
      <c r="B63" s="50" t="s">
        <v>1467</v>
      </c>
      <c r="C63" s="56" t="s">
        <v>13017</v>
      </c>
      <c r="D63" s="50">
        <v>69</v>
      </c>
      <c r="E63" s="50" t="str">
        <f t="shared" si="0"/>
        <v>E1.17.4.1</v>
      </c>
      <c r="F63" s="97" t="s">
        <v>13018</v>
      </c>
      <c r="G63" s="97" t="s">
        <v>13019</v>
      </c>
      <c r="H63" s="97" t="s">
        <v>13020</v>
      </c>
      <c r="I63" s="97" t="s">
        <v>13021</v>
      </c>
      <c r="J63" s="50" t="str">
        <f t="shared" si="1"/>
        <v>(${Variables:E1.17.4.1_kcat} * E1.17.4.1 * C00361 * C00343 * C00001)/(${Variables:E1.17.4.1_km} + (E1.17.4.1 * C00361 * C00343 * C00001))</v>
      </c>
      <c r="K63" s="98" t="str">
        <f t="shared" si="2"/>
        <v>r69: C00361 + C00343 + C00001 -&gt; C00035 + C00342 | (${Variables:E1.17.4.1_kcat} * E1.17.4.1 * C00361 * C00343 * C00001)/(${Variables:E1.17.4.1_km} + (E1.17.4.1 * C00361 * C00343 * C00001))</v>
      </c>
    </row>
    <row r="64" spans="1:11" ht="14">
      <c r="A64" s="50" t="s">
        <v>1466</v>
      </c>
      <c r="B64" s="50" t="s">
        <v>1467</v>
      </c>
      <c r="C64" s="56" t="s">
        <v>13022</v>
      </c>
      <c r="D64" s="50">
        <v>70</v>
      </c>
      <c r="E64" s="50" t="str">
        <f t="shared" si="0"/>
        <v>E1.17.4.1</v>
      </c>
      <c r="F64" s="97" t="s">
        <v>13023</v>
      </c>
      <c r="G64" s="97" t="s">
        <v>13024</v>
      </c>
      <c r="H64" s="97" t="s">
        <v>13025</v>
      </c>
      <c r="I64" s="97" t="s">
        <v>13026</v>
      </c>
      <c r="J64" s="50" t="str">
        <f t="shared" si="1"/>
        <v>(${Variables:E1.17.4.1_kcat} * E1.17.4.1 * C00705 * C00343 * C00001)/(${Variables:E1.17.4.1_km} + (E1.17.4.1 * C00705 * C00343 * C00001))</v>
      </c>
      <c r="K64" s="98" t="str">
        <f t="shared" si="2"/>
        <v>r70: C00705 + C00343 + C00001 -&gt; C00342 + C00112 | (${Variables:E1.17.4.1_kcat} * E1.17.4.1 * C00705 * C00343 * C00001)/(${Variables:E1.17.4.1_km} + (E1.17.4.1 * C00705 * C00343 * C00001))</v>
      </c>
    </row>
    <row r="65" spans="1:11" ht="14">
      <c r="A65" s="50" t="s">
        <v>1466</v>
      </c>
      <c r="B65" s="50" t="s">
        <v>1467</v>
      </c>
      <c r="C65" s="56" t="s">
        <v>13027</v>
      </c>
      <c r="D65" s="50">
        <v>71</v>
      </c>
      <c r="E65" s="50" t="str">
        <f t="shared" si="0"/>
        <v>E1.17.4.1</v>
      </c>
      <c r="F65" s="97" t="s">
        <v>13028</v>
      </c>
      <c r="G65" s="97" t="s">
        <v>13029</v>
      </c>
      <c r="H65" s="97" t="s">
        <v>13030</v>
      </c>
      <c r="I65" s="97" t="s">
        <v>13031</v>
      </c>
      <c r="J65" s="50" t="str">
        <f t="shared" si="1"/>
        <v>(${Variables:E1.17.4.1_kcat} * E1.17.4.1 * C01346 * C00343 * C00001)/(${Variables:E1.17.4.1_km} + (E1.17.4.1 * C01346 * C00343 * C00001))</v>
      </c>
      <c r="K65" s="98" t="str">
        <f t="shared" si="2"/>
        <v>r71: C01346 + C00343 + C00001 -&gt; C00342 + C00015 | (${Variables:E1.17.4.1_kcat} * E1.17.4.1 * C01346 * C00343 * C00001)/(${Variables:E1.17.4.1_km} + (E1.17.4.1 * C01346 * C00343 * C00001))</v>
      </c>
    </row>
    <row r="66" spans="1:11" ht="14">
      <c r="A66" s="50" t="s">
        <v>1466</v>
      </c>
      <c r="B66" s="50" t="s">
        <v>1467</v>
      </c>
      <c r="C66" s="56" t="s">
        <v>13032</v>
      </c>
      <c r="D66" s="50">
        <v>72</v>
      </c>
      <c r="E66" s="50" t="str">
        <f t="shared" si="0"/>
        <v>E1.17.4.1</v>
      </c>
      <c r="F66" s="97" t="s">
        <v>13033</v>
      </c>
      <c r="G66" s="97" t="s">
        <v>13034</v>
      </c>
      <c r="H66" s="97" t="s">
        <v>13035</v>
      </c>
      <c r="I66" s="97" t="s">
        <v>13036</v>
      </c>
      <c r="J66" s="50" t="str">
        <f t="shared" si="1"/>
        <v>(${Variables:E1.17.4.1_kcat} * E1.17.4.1 * C04232 * C00343 * C00001)/(${Variables:E1.17.4.1_km} + (E1.17.4.1 * C04232 * C00343 * C00001))</v>
      </c>
      <c r="K66" s="98" t="str">
        <f t="shared" si="2"/>
        <v>r72: C04232 + C00343 + C00001 -&gt; C03723 + C00342 | (${Variables:E1.17.4.1_kcat} * E1.17.4.1 * C04232 * C00343 * C00001)/(${Variables:E1.17.4.1_km} + (E1.17.4.1 * C04232 * C00343 * C00001))</v>
      </c>
    </row>
    <row r="67" spans="1:11" ht="14">
      <c r="A67" s="50" t="s">
        <v>1466</v>
      </c>
      <c r="B67" s="50" t="s">
        <v>1467</v>
      </c>
      <c r="C67" s="56" t="s">
        <v>13037</v>
      </c>
      <c r="D67" s="50">
        <v>73</v>
      </c>
      <c r="E67" s="50" t="str">
        <f t="shared" si="0"/>
        <v>E1.17.4.1</v>
      </c>
      <c r="F67" s="97" t="s">
        <v>13038</v>
      </c>
      <c r="G67" s="97" t="s">
        <v>13039</v>
      </c>
      <c r="H67" s="97" t="s">
        <v>13040</v>
      </c>
      <c r="I67" s="97" t="s">
        <v>13041</v>
      </c>
      <c r="J67" s="50" t="str">
        <f t="shared" si="1"/>
        <v>(${Variables:E1.17.4.1_kcat} * E1.17.4.1 * C04232 * C03170 * C00001)/(${Variables:E1.17.4.1_km} + (E1.17.4.1 * C04232 * C03170 * C00001))</v>
      </c>
      <c r="K67" s="98" t="str">
        <f t="shared" si="2"/>
        <v>r73: C04232 + C03170 + C00001 -&gt; C03723 + C02090 | (${Variables:E1.17.4.1_kcat} * E1.17.4.1 * C04232 * C03170 * C00001)/(${Variables:E1.17.4.1_km} + (E1.17.4.1 * C04232 * C03170 * C00001))</v>
      </c>
    </row>
    <row r="68" spans="1:11" ht="14">
      <c r="A68" s="50" t="s">
        <v>1466</v>
      </c>
      <c r="B68" s="50" t="s">
        <v>1467</v>
      </c>
      <c r="C68" s="56" t="s">
        <v>13042</v>
      </c>
      <c r="D68" s="50">
        <v>74</v>
      </c>
      <c r="E68" s="50" t="str">
        <f t="shared" si="0"/>
        <v>E1.17.4.1</v>
      </c>
      <c r="F68" s="97" t="s">
        <v>13043</v>
      </c>
      <c r="G68" s="97" t="s">
        <v>13044</v>
      </c>
      <c r="H68" s="97" t="s">
        <v>13045</v>
      </c>
      <c r="I68" s="97" t="s">
        <v>13046</v>
      </c>
      <c r="J68" s="50" t="str">
        <f t="shared" si="1"/>
        <v>(${Variables:E1.17.4.1_kcat} * E1.17.4.1 * C04232 * C16664 * C00001)/(${Variables:E1.17.4.1_km} + (E1.17.4.1 * C04232 * C16664 * C00001))</v>
      </c>
      <c r="K68" s="98" t="str">
        <f t="shared" si="2"/>
        <v>r74: C04232 + C16664 + C00001 -&gt; C03723 + C16663 | (${Variables:E1.17.4.1_kcat} * E1.17.4.1 * C04232 * C16664 * C00001)/(${Variables:E1.17.4.1_km} + (E1.17.4.1 * C04232 * C16664 * C00001))</v>
      </c>
    </row>
    <row r="69" spans="1:11" ht="14">
      <c r="A69" s="50" t="s">
        <v>1466</v>
      </c>
      <c r="B69" s="50" t="s">
        <v>1467</v>
      </c>
      <c r="C69" s="56" t="s">
        <v>13047</v>
      </c>
      <c r="D69" s="50">
        <v>75</v>
      </c>
      <c r="E69" s="50" t="str">
        <f t="shared" si="0"/>
        <v>E1.17.4.1</v>
      </c>
      <c r="F69" s="97" t="s">
        <v>13048</v>
      </c>
      <c r="G69" s="97" t="s">
        <v>13049</v>
      </c>
      <c r="H69" s="97" t="s">
        <v>13050</v>
      </c>
      <c r="I69" s="97" t="s">
        <v>13051</v>
      </c>
      <c r="J69" s="50" t="str">
        <f t="shared" si="1"/>
        <v>(${Variables:E1.17.4.1_kcat} * E1.17.4.1 * C21750 * C00343 * C00001)/(${Variables:E1.17.4.1_km} + (E1.17.4.1 * C21750 * C00343 * C00001))</v>
      </c>
      <c r="K69" s="98" t="str">
        <f t="shared" si="2"/>
        <v>r75: C21750 + C00343 + C00001 -&gt; C21748 + C00342 | (${Variables:E1.17.4.1_kcat} * E1.17.4.1 * C21750 * C00343 * C00001)/(${Variables:E1.17.4.1_km} + (E1.17.4.1 * C21750 * C00343 * C00001))</v>
      </c>
    </row>
    <row r="70" spans="1:11" ht="14">
      <c r="A70" s="50" t="s">
        <v>3570</v>
      </c>
      <c r="B70" s="50" t="s">
        <v>3571</v>
      </c>
      <c r="C70" s="56" t="s">
        <v>13052</v>
      </c>
      <c r="D70" s="50">
        <v>100</v>
      </c>
      <c r="E70" s="50" t="str">
        <f t="shared" si="0"/>
        <v>E1.17.4.2</v>
      </c>
      <c r="F70" s="97" t="s">
        <v>13053</v>
      </c>
      <c r="G70" s="97" t="s">
        <v>13054</v>
      </c>
      <c r="H70" s="97" t="s">
        <v>13055</v>
      </c>
      <c r="I70" s="97" t="s">
        <v>13056</v>
      </c>
      <c r="J70" s="50" t="str">
        <f t="shared" si="1"/>
        <v>(${Variables:E1.17.4.2_kcat} * E1.17.4.2 * C00131 * C00343 * C00001)/(${Variables:E1.17.4.2_km} + (E1.17.4.2 * C00131 * C00343 * C00001))</v>
      </c>
      <c r="K70" s="98" t="str">
        <f t="shared" si="2"/>
        <v>r100: C00131 + C00343 + C00001 -&gt; C00002 + C00342 | (${Variables:E1.17.4.2_kcat} * E1.17.4.2 * C00131 * C00343 * C00001)/(${Variables:E1.17.4.2_km} + (E1.17.4.2 * C00131 * C00343 * C00001))</v>
      </c>
    </row>
    <row r="71" spans="1:11" ht="14">
      <c r="A71" s="50" t="s">
        <v>3570</v>
      </c>
      <c r="B71" s="50" t="s">
        <v>3571</v>
      </c>
      <c r="C71" s="56" t="s">
        <v>13057</v>
      </c>
      <c r="D71" s="50">
        <v>101</v>
      </c>
      <c r="E71" s="50" t="str">
        <f t="shared" si="0"/>
        <v>E1.17.4.2</v>
      </c>
      <c r="F71" s="99" t="s">
        <v>13058</v>
      </c>
      <c r="G71" s="99" t="s">
        <v>13059</v>
      </c>
      <c r="H71" s="97" t="s">
        <v>13060</v>
      </c>
      <c r="I71" s="97" t="s">
        <v>13061</v>
      </c>
      <c r="J71" s="50" t="str">
        <f t="shared" si="1"/>
        <v>(${Variables:E1.17.4.2_kcat} * E1.17.4.2 * C00286 * C00343 * C00001)/(${Variables:E1.17.4.2_km} + (E1.17.4.2 * C00286 * C00343 * C00001))</v>
      </c>
      <c r="K71" s="98" t="str">
        <f t="shared" si="2"/>
        <v>r101: C00286 + C00343 + C00001 -&gt; C00044 + C00342 | (${Variables:E1.17.4.2_kcat} * E1.17.4.2 * C00286 * C00343 * C00001)/(${Variables:E1.17.4.2_km} + (E1.17.4.2 * C00286 * C00343 * C00001))</v>
      </c>
    </row>
    <row r="72" spans="1:11" ht="14">
      <c r="A72" s="50" t="s">
        <v>3570</v>
      </c>
      <c r="B72" s="50" t="s">
        <v>3571</v>
      </c>
      <c r="C72" s="56" t="s">
        <v>13062</v>
      </c>
      <c r="D72" s="50">
        <v>102</v>
      </c>
      <c r="E72" s="50" t="str">
        <f t="shared" si="0"/>
        <v>E1.17.4.2</v>
      </c>
      <c r="F72" s="97" t="s">
        <v>13063</v>
      </c>
      <c r="G72" s="97" t="s">
        <v>13064</v>
      </c>
      <c r="H72" s="97" t="s">
        <v>13065</v>
      </c>
      <c r="I72" s="97" t="s">
        <v>13066</v>
      </c>
      <c r="J72" s="50" t="str">
        <f t="shared" si="1"/>
        <v>(${Variables:E1.17.4.2_kcat} * E1.17.4.2 * C00458* C00343 * C00001)/(${Variables:E1.17.4.2_km} + (E1.17.4.2 * C00458* C00343 * C00001))</v>
      </c>
      <c r="K72" s="98" t="str">
        <f t="shared" si="2"/>
        <v>r102: C00458+ C00343 + C00001 -&gt; C00063 + C00342 | (${Variables:E1.17.4.2_kcat} * E1.17.4.2 * C00458* C00343 * C00001)/(${Variables:E1.17.4.2_km} + (E1.17.4.2 * C00458* C00343 * C00001))</v>
      </c>
    </row>
    <row r="73" spans="1:11" ht="14">
      <c r="A73" s="50" t="s">
        <v>3570</v>
      </c>
      <c r="B73" s="50" t="s">
        <v>3571</v>
      </c>
      <c r="C73" s="56" t="s">
        <v>13067</v>
      </c>
      <c r="D73" s="50">
        <v>103</v>
      </c>
      <c r="E73" s="50" t="str">
        <f t="shared" si="0"/>
        <v>E1.17.4.2</v>
      </c>
      <c r="F73" s="97" t="s">
        <v>13068</v>
      </c>
      <c r="G73" s="97" t="s">
        <v>13069</v>
      </c>
      <c r="H73" s="97" t="s">
        <v>13070</v>
      </c>
      <c r="I73" s="97" t="s">
        <v>13071</v>
      </c>
      <c r="J73" s="50" t="str">
        <f t="shared" si="1"/>
        <v>(${Variables:E1.17.4.2_kcat} * E1.17.4.2 * C00460 * C00343 * C00001)/(${Variables:E1.17.4.2_km} + (E1.17.4.2 * C00460 * C00343 * C00001))</v>
      </c>
      <c r="K73" s="98" t="str">
        <f t="shared" si="2"/>
        <v>r103: C00460 + C00343 + C00001 -&gt; C00075 + C00342 | (${Variables:E1.17.4.2_kcat} * E1.17.4.2 * C00460 * C00343 * C00001)/(${Variables:E1.17.4.2_km} + (E1.17.4.2 * C00460 * C00343 * C00001))</v>
      </c>
    </row>
    <row r="74" spans="1:11" ht="14">
      <c r="A74" s="50" t="s">
        <v>3570</v>
      </c>
      <c r="B74" s="50" t="s">
        <v>3571</v>
      </c>
      <c r="C74" s="56" t="s">
        <v>13072</v>
      </c>
      <c r="D74" s="50">
        <v>104</v>
      </c>
      <c r="E74" s="50" t="str">
        <f t="shared" si="0"/>
        <v>E1.17.4.2</v>
      </c>
      <c r="F74" s="97" t="s">
        <v>13073</v>
      </c>
      <c r="G74" s="97" t="s">
        <v>13074</v>
      </c>
      <c r="H74" s="97" t="s">
        <v>13075</v>
      </c>
      <c r="I74" s="97" t="s">
        <v>13076</v>
      </c>
      <c r="J74" s="50" t="str">
        <f t="shared" si="1"/>
        <v>(${Variables:E1.17.4.2_kcat} * E1.17.4.2 * C00677 * C00343 * C00001)/(${Variables:E1.17.4.2_km} + (E1.17.4.2 * C00677 * C00343 * C00001))</v>
      </c>
      <c r="K74" s="98" t="str">
        <f t="shared" si="2"/>
        <v>r104: C00677 + C00343 + C00001 -&gt; C03802 + C00342 | (${Variables:E1.17.4.2_kcat} * E1.17.4.2 * C00677 * C00343 * C00001)/(${Variables:E1.17.4.2_km} + (E1.17.4.2 * C00677 * C00343 * C00001))</v>
      </c>
    </row>
    <row r="75" spans="1:11" ht="14">
      <c r="A75" s="50" t="s">
        <v>3359</v>
      </c>
      <c r="B75" s="50" t="s">
        <v>3360</v>
      </c>
      <c r="C75" s="56" t="s">
        <v>13077</v>
      </c>
      <c r="D75" s="50">
        <v>110</v>
      </c>
      <c r="E75" s="50" t="str">
        <f t="shared" si="0"/>
        <v>E1.17.99.6</v>
      </c>
      <c r="F75" s="97" t="s">
        <v>13078</v>
      </c>
      <c r="G75" s="97" t="s">
        <v>13079</v>
      </c>
      <c r="H75" s="97" t="s">
        <v>13080</v>
      </c>
      <c r="I75" s="97" t="s">
        <v>13081</v>
      </c>
      <c r="J75" s="50" t="str">
        <f t="shared" si="1"/>
        <v>(${Variables:E1.17.99.6_kcat} * E1.17.99.6 * C01978 * C00028 * C00001)/(${Variables:E1.17.99.6_km} + (E1.17.99.6 * C01978 * C00028 * C00001))</v>
      </c>
      <c r="K75" s="98" t="str">
        <f t="shared" si="2"/>
        <v>r110: C01978 + C00028 + C00001 -&gt; C19647 + C00030 | (${Variables:E1.17.99.6_kcat} * E1.17.99.6 * C01978 * C00028 * C00001)/(${Variables:E1.17.99.6_km} + (E1.17.99.6 * C01978 * C00028 * C00001))</v>
      </c>
    </row>
    <row r="76" spans="1:11" ht="14">
      <c r="A76" s="50" t="s">
        <v>6996</v>
      </c>
      <c r="B76" s="50" t="s">
        <v>6997</v>
      </c>
      <c r="C76" s="57" t="s">
        <v>7889</v>
      </c>
      <c r="D76" s="50">
        <v>111</v>
      </c>
      <c r="E76" s="50" t="str">
        <f t="shared" si="0"/>
        <v>E1.2.1.10</v>
      </c>
      <c r="F76" s="50" t="s">
        <v>12637</v>
      </c>
      <c r="G76" s="50" t="s">
        <v>12638</v>
      </c>
      <c r="H76" s="97" t="s">
        <v>13082</v>
      </c>
      <c r="I76" s="97" t="s">
        <v>13083</v>
      </c>
      <c r="J76" s="50" t="str">
        <f t="shared" si="1"/>
        <v>(${Variables:E1.2.1.10_kcat} * E1.2.1.10 * C00084 * C00010 * C00003)/(${Variables:E1.2.1.10_km} + (E1.2.1.10 * C00084 * C00010 * C00003))</v>
      </c>
      <c r="K76" s="98" t="str">
        <f t="shared" si="2"/>
        <v>r111: C00084 + C00010 + C00003 -&gt; C00024 + C00004 + C00080 | (${Variables:E1.2.1.10_kcat} * E1.2.1.10 * C00084 * C00010 * C00003)/(${Variables:E1.2.1.10_km} + (E1.2.1.10 * C00084 * C00010 * C00003))</v>
      </c>
    </row>
    <row r="77" spans="1:11" ht="14">
      <c r="A77" s="50" t="s">
        <v>6996</v>
      </c>
      <c r="B77" s="50" t="s">
        <v>6997</v>
      </c>
      <c r="C77" s="57" t="s">
        <v>7889</v>
      </c>
      <c r="D77" s="50">
        <v>112</v>
      </c>
      <c r="E77" s="50" t="str">
        <f t="shared" si="0"/>
        <v>E1.2.1.10</v>
      </c>
      <c r="F77" s="97" t="s">
        <v>13084</v>
      </c>
      <c r="G77" s="97" t="s">
        <v>13085</v>
      </c>
      <c r="H77" s="97" t="s">
        <v>13086</v>
      </c>
      <c r="I77" s="97" t="s">
        <v>13087</v>
      </c>
      <c r="J77" s="50" t="str">
        <f t="shared" si="1"/>
        <v>(${Variables:E1.2.1.10_kcat} * E1.2.1.10 * C01412 * C00010 * C00003)/(${Variables:E1.2.1.10_km} + (E1.2.1.10 * C01412 * C00010 * C00003))</v>
      </c>
      <c r="K77" s="98" t="str">
        <f t="shared" si="2"/>
        <v>r112: C01412 + C00010 + C00003 -&gt; C00136 + C00004 + C00080 | (${Variables:E1.2.1.10_kcat} * E1.2.1.10 * C01412 * C00010 * C00003)/(${Variables:E1.2.1.10_km} + (E1.2.1.10 * C01412 * C00010 * C00003))</v>
      </c>
    </row>
    <row r="78" spans="1:11" ht="14">
      <c r="A78" s="50" t="s">
        <v>4895</v>
      </c>
      <c r="B78" s="50" t="s">
        <v>4896</v>
      </c>
      <c r="C78" s="56" t="s">
        <v>13088</v>
      </c>
      <c r="D78" s="50">
        <v>113</v>
      </c>
      <c r="E78" s="50" t="str">
        <f t="shared" si="0"/>
        <v>E1.2.1.11</v>
      </c>
      <c r="F78" s="97" t="s">
        <v>13089</v>
      </c>
      <c r="G78" s="97" t="s">
        <v>13090</v>
      </c>
      <c r="H78" s="97" t="s">
        <v>13091</v>
      </c>
      <c r="I78" s="97" t="s">
        <v>13092</v>
      </c>
      <c r="J78" s="50" t="str">
        <f t="shared" si="1"/>
        <v>(${Variables:E1.2.1.11_kcat} * E1.2.1.11 * C00441 * C00009 * C00006)/(${Variables:E1.2.1.11_km} + (E1.2.1.11 * C00441 * C00009 * C00006))</v>
      </c>
      <c r="K78" s="98" t="str">
        <f t="shared" si="2"/>
        <v>r113: C00441 + C00009 + C00006 -&gt; C03082 + C00005 + C00080 | (${Variables:E1.2.1.11_kcat} * E1.2.1.11 * C00441 * C00009 * C00006)/(${Variables:E1.2.1.11_km} + (E1.2.1.11 * C00441 * C00009 * C00006))</v>
      </c>
    </row>
    <row r="79" spans="1:11" ht="14">
      <c r="A79" s="50" t="s">
        <v>3719</v>
      </c>
      <c r="B79" s="50" t="s">
        <v>3720</v>
      </c>
      <c r="C79" s="56" t="s">
        <v>13093</v>
      </c>
      <c r="D79" s="50">
        <v>114</v>
      </c>
      <c r="E79" s="50" t="str">
        <f t="shared" si="0"/>
        <v>E1.2.1.41</v>
      </c>
      <c r="F79" s="97" t="s">
        <v>13094</v>
      </c>
      <c r="G79" s="97" t="s">
        <v>13095</v>
      </c>
      <c r="H79" s="97" t="s">
        <v>13096</v>
      </c>
      <c r="I79" s="97" t="s">
        <v>13097</v>
      </c>
      <c r="J79" s="50" t="str">
        <f t="shared" si="1"/>
        <v>(${Variables:E1.2.1.41_kcat} * E1.2.1.41 * C01165 * C00009 * C00006)/(${Variables:E1.2.1.41_km} + (E1.2.1.41 * C01165 * C00009 * C00006))</v>
      </c>
      <c r="K79" s="98" t="str">
        <f t="shared" si="2"/>
        <v>r114: C01165 + C00009 + C00006 -&gt; C03287 + C00005 + C00080 | (${Variables:E1.2.1.41_kcat} * E1.2.1.41 * C01165 * C00009 * C00006)/(${Variables:E1.2.1.41_km} + (E1.2.1.41 * C01165 * C00009 * C00006))</v>
      </c>
    </row>
    <row r="80" spans="1:11" ht="14">
      <c r="A80" s="50" t="s">
        <v>2420</v>
      </c>
      <c r="B80" s="50" t="s">
        <v>2421</v>
      </c>
      <c r="C80" s="56" t="s">
        <v>13098</v>
      </c>
      <c r="D80" s="50">
        <v>115</v>
      </c>
      <c r="E80" s="50" t="str">
        <f t="shared" si="0"/>
        <v>E1.2.3.3</v>
      </c>
      <c r="F80" s="97" t="s">
        <v>13099</v>
      </c>
      <c r="G80" s="97" t="s">
        <v>13100</v>
      </c>
      <c r="H80" s="97" t="s">
        <v>13101</v>
      </c>
      <c r="I80" s="97" t="s">
        <v>13102</v>
      </c>
      <c r="J80" s="50" t="str">
        <f t="shared" si="1"/>
        <v>(${Variables:E1.2.3.3_kcat} * E1.2.3.3 * C00022 * C00009 * C00007)/(${Variables:E1.2.3.3_km} + (E1.2.3.3 * C00022 * C00009 * C00007))</v>
      </c>
      <c r="K80" s="98" t="str">
        <f t="shared" si="2"/>
        <v>r115: C00022 + C00009 + C00007 -&gt; C00227 + C00027 + C00011 | (${Variables:E1.2.3.3_kcat} * E1.2.3.3 * C00022 * C00009 * C00007)/(${Variables:E1.2.3.3_km} + (E1.2.3.3 * C00022 * C00009 * C00007))</v>
      </c>
    </row>
    <row r="81" spans="1:11" ht="14">
      <c r="A81" s="50" t="s">
        <v>5479</v>
      </c>
      <c r="B81" s="50" t="s">
        <v>5480</v>
      </c>
      <c r="C81" s="56" t="s">
        <v>13103</v>
      </c>
      <c r="D81" s="50">
        <v>118</v>
      </c>
      <c r="E81" s="50" t="str">
        <f t="shared" si="0"/>
        <v>E1.20.4.4</v>
      </c>
      <c r="F81" s="97" t="s">
        <v>13104</v>
      </c>
      <c r="G81" s="97" t="s">
        <v>13105</v>
      </c>
      <c r="H81" s="97" t="s">
        <v>13106</v>
      </c>
      <c r="I81" s="97" t="s">
        <v>13107</v>
      </c>
      <c r="J81" s="50" t="str">
        <f t="shared" si="1"/>
        <v>(${Variables:E1.20.4.4_kcat} * E1.20.4.4 * C11215 * C00342)/(${Variables:E1.20.4.4_km} + (E1.20.4.4 * C11215 * C00342))</v>
      </c>
      <c r="K81" s="98" t="str">
        <f t="shared" si="2"/>
        <v>r118: C11215 + C00342 -&gt; C06697 + C00343 + C00001 | (${Variables:E1.20.4.4_kcat} * E1.20.4.4 * C11215 * C00342)/(${Variables:E1.20.4.4_km} + (E1.20.4.4 * C11215 * C00342))</v>
      </c>
    </row>
    <row r="82" spans="1:11" ht="14">
      <c r="A82" s="50" t="s">
        <v>1412</v>
      </c>
      <c r="B82" s="50" t="s">
        <v>1413</v>
      </c>
      <c r="C82" s="56" t="s">
        <v>13108</v>
      </c>
      <c r="D82" s="50">
        <v>119</v>
      </c>
      <c r="E82" s="50" t="str">
        <f t="shared" si="0"/>
        <v>E1.3.1.14</v>
      </c>
      <c r="F82" s="97" t="s">
        <v>13109</v>
      </c>
      <c r="G82" s="97" t="s">
        <v>13110</v>
      </c>
      <c r="H82" s="97" t="s">
        <v>13111</v>
      </c>
      <c r="I82" s="97" t="s">
        <v>13112</v>
      </c>
      <c r="J82" s="50" t="str">
        <f t="shared" si="1"/>
        <v>(${Variables:E1.3.1.14_kcat} * E1.3.1.14 * C00337 * C00003)/(${Variables:E1.3.1.14_km} + (E1.3.1.14 * C00337 * C00003))</v>
      </c>
      <c r="K82" s="98" t="str">
        <f t="shared" si="2"/>
        <v>r119: C00337 + C00003 -&gt; C00295 + C00080 + C00004 | (${Variables:E1.3.1.14_kcat} * E1.3.1.14 * C00337 * C00003)/(${Variables:E1.3.1.14_km} + (E1.3.1.14 * C00337 * C00003))</v>
      </c>
    </row>
    <row r="83" spans="1:11" ht="14">
      <c r="A83" s="50" t="s">
        <v>6832</v>
      </c>
      <c r="B83" s="50" t="s">
        <v>6833</v>
      </c>
      <c r="C83" s="56" t="s">
        <v>13113</v>
      </c>
      <c r="D83" s="50">
        <v>120</v>
      </c>
      <c r="E83" s="50" t="str">
        <f t="shared" si="0"/>
        <v>E1.3.1.95</v>
      </c>
      <c r="F83" s="97" t="s">
        <v>13114</v>
      </c>
      <c r="G83" s="97" t="s">
        <v>13115</v>
      </c>
      <c r="H83" s="97" t="s">
        <v>13116</v>
      </c>
      <c r="I83" s="97" t="s">
        <v>13117</v>
      </c>
      <c r="J83" s="50" t="str">
        <f t="shared" si="1"/>
        <v>(${Variables:E1.3.1.95_kcat} * E1.3.1.95 * C00100 * C00003)/(${Variables:E1.3.1.95_km} + (E1.3.1.95 * C00100 * C00003))</v>
      </c>
      <c r="K83" s="98" t="str">
        <f t="shared" si="2"/>
        <v>r120: C00100 + C00003 -&gt; C00894 + C00004 + C00080 | (${Variables:E1.3.1.95_kcat} * E1.3.1.95 * C00100 * C00003)/(${Variables:E1.3.1.95_km} + (E1.3.1.95 * C00100 * C00003))</v>
      </c>
    </row>
    <row r="84" spans="1:11" ht="14">
      <c r="A84" s="50" t="s">
        <v>87</v>
      </c>
      <c r="B84" s="50" t="s">
        <v>88</v>
      </c>
      <c r="C84" s="56" t="s">
        <v>13118</v>
      </c>
      <c r="D84" s="50">
        <v>121</v>
      </c>
      <c r="E84" s="50" t="str">
        <f t="shared" si="0"/>
        <v>E1.3.1.98</v>
      </c>
      <c r="F84" s="97" t="s">
        <v>13119</v>
      </c>
      <c r="G84" s="97" t="s">
        <v>13120</v>
      </c>
      <c r="H84" s="97" t="s">
        <v>13121</v>
      </c>
      <c r="I84" s="97" t="s">
        <v>13122</v>
      </c>
      <c r="J84" s="50" t="str">
        <f t="shared" si="1"/>
        <v>(${Variables:E1.3.1.98_kcat} * E1.3.1.98 * C01050 * C00003)/(${Variables:E1.3.1.98_km} + (E1.3.1.98 * C01050 * C00003))</v>
      </c>
      <c r="K84" s="98" t="str">
        <f t="shared" si="2"/>
        <v>r121: C01050 + C00003 -&gt; C04631 + C00004 + C00080 | (${Variables:E1.3.1.98_kcat} * E1.3.1.98 * C01050 * C00003)/(${Variables:E1.3.1.98_km} + (E1.3.1.98 * C01050 * C00003))</v>
      </c>
    </row>
    <row r="85" spans="1:11" ht="14">
      <c r="A85" s="50" t="s">
        <v>87</v>
      </c>
      <c r="B85" s="50" t="s">
        <v>88</v>
      </c>
      <c r="C85" s="56" t="s">
        <v>13123</v>
      </c>
      <c r="D85" s="50">
        <v>122</v>
      </c>
      <c r="E85" s="50" t="str">
        <f t="shared" si="0"/>
        <v>E1.3.1.98</v>
      </c>
      <c r="F85" s="97" t="s">
        <v>13124</v>
      </c>
      <c r="G85" s="97" t="s">
        <v>13125</v>
      </c>
      <c r="H85" s="97" t="s">
        <v>13126</v>
      </c>
      <c r="I85" s="97" t="s">
        <v>13127</v>
      </c>
      <c r="J85" s="50" t="str">
        <f t="shared" si="1"/>
        <v>(${Variables:E1.3.1.98_kcat} * E1.3.1.98 * C01050 * C00006)/(${Variables:E1.3.1.98_km} + (E1.3.1.98 * C01050 * C00006))</v>
      </c>
      <c r="K85" s="98" t="str">
        <f t="shared" si="2"/>
        <v>r122: C01050 + C00006 -&gt; C04631 + C00005 + C00080 | (${Variables:E1.3.1.98_kcat} * E1.3.1.98 * C01050 * C00006)/(${Variables:E1.3.1.98_km} + (E1.3.1.98 * C01050 * C00006))</v>
      </c>
    </row>
    <row r="86" spans="1:11" ht="14">
      <c r="A86" s="50" t="s">
        <v>2268</v>
      </c>
      <c r="B86" s="50" t="s">
        <v>2269</v>
      </c>
      <c r="C86" s="56" t="s">
        <v>13128</v>
      </c>
      <c r="D86" s="50">
        <v>123</v>
      </c>
      <c r="E86" s="50" t="str">
        <f t="shared" si="0"/>
        <v>E1.3.98.1</v>
      </c>
      <c r="F86" s="97" t="s">
        <v>13129</v>
      </c>
      <c r="G86" s="97" t="s">
        <v>13130</v>
      </c>
      <c r="H86" s="97" t="s">
        <v>13131</v>
      </c>
      <c r="I86" s="97" t="s">
        <v>13132</v>
      </c>
      <c r="J86" s="50" t="str">
        <f t="shared" si="1"/>
        <v>(${Variables:E1.3.98.1_kcat} * E1.3.98.1 * C00337 * C00122)/(${Variables:E1.3.98.1_km} + (E1.3.98.1 * C00337 * C00122))</v>
      </c>
      <c r="K86" s="98" t="str">
        <f t="shared" si="2"/>
        <v>r123: C00337 + C00122 -&gt; C00295 + C00042 | (${Variables:E1.3.98.1_kcat} * E1.3.98.1 * C00337 * C00122)/(${Variables:E1.3.98.1_km} + (E1.3.98.1 * C00337 * C00122))</v>
      </c>
    </row>
    <row r="87" spans="1:11" ht="14">
      <c r="A87" s="50" t="s">
        <v>6029</v>
      </c>
      <c r="B87" s="50" t="s">
        <v>6030</v>
      </c>
      <c r="C87" s="56" t="s">
        <v>13133</v>
      </c>
      <c r="D87" s="50">
        <v>124</v>
      </c>
      <c r="E87" s="50" t="str">
        <f t="shared" si="0"/>
        <v>E1.4.1.13</v>
      </c>
      <c r="F87" s="97" t="s">
        <v>17365</v>
      </c>
      <c r="G87" s="97" t="s">
        <v>17366</v>
      </c>
      <c r="H87" s="97" t="s">
        <v>13134</v>
      </c>
      <c r="I87" s="97" t="s">
        <v>13135</v>
      </c>
      <c r="J87" s="50" t="str">
        <f t="shared" si="1"/>
        <v>(${Variables:E1.4.1.13_kcat} * E1.4.1.13 * C00025 * C00006)/(${Variables:E1.4.1.13_km} + (E1.4.1.13 * C00025 * C00006))</v>
      </c>
      <c r="K87" s="98" t="str">
        <f t="shared" si="2"/>
        <v>r124: C00025 + C00006 -&gt; C00064 + C00026 + C00005 + C00080 | (${Variables:E1.4.1.13_kcat} * E1.4.1.13 * C00025 * C00006)/(${Variables:E1.4.1.13_km} + (E1.4.1.13 * C00025 * C00006))</v>
      </c>
    </row>
    <row r="88" spans="1:11" ht="14">
      <c r="A88" s="50" t="s">
        <v>6029</v>
      </c>
      <c r="B88" s="50" t="s">
        <v>6030</v>
      </c>
      <c r="C88" s="56" t="s">
        <v>13136</v>
      </c>
      <c r="D88" s="50">
        <v>125</v>
      </c>
      <c r="E88" s="50" t="str">
        <f t="shared" si="0"/>
        <v>E1.4.1.13</v>
      </c>
      <c r="F88" s="97" t="s">
        <v>13137</v>
      </c>
      <c r="G88" s="97" t="s">
        <v>13138</v>
      </c>
      <c r="H88" s="97" t="s">
        <v>13139</v>
      </c>
      <c r="I88" s="97" t="s">
        <v>13140</v>
      </c>
      <c r="J88" s="50" t="str">
        <f t="shared" si="1"/>
        <v>(${Variables:E1.4.1.13_kcat} * E1.4.1.13 * C00025 * C00006 * C00001)/(${Variables:E1.4.1.13_km} + (E1.4.1.13 * C00025 * C00006 * C00001))</v>
      </c>
      <c r="K88" s="98" t="str">
        <f t="shared" si="2"/>
        <v>r125: C00025 + C00006 + C00001 -&gt; C00026 + C00014 + C00005 + C00080 | (${Variables:E1.4.1.13_kcat} * E1.4.1.13 * C00025 * C00006 * C00001)/(${Variables:E1.4.1.13_km} + (E1.4.1.13 * C00025 * C00006 * C00001))</v>
      </c>
    </row>
    <row r="89" spans="1:11" ht="14">
      <c r="A89" s="50" t="s">
        <v>6029</v>
      </c>
      <c r="B89" s="50" t="s">
        <v>6030</v>
      </c>
      <c r="C89" s="56" t="s">
        <v>13141</v>
      </c>
      <c r="D89" s="50">
        <v>126</v>
      </c>
      <c r="E89" s="50" t="str">
        <f t="shared" si="0"/>
        <v>E1.4.1.13</v>
      </c>
      <c r="F89" s="97" t="s">
        <v>13142</v>
      </c>
      <c r="G89" s="97" t="s">
        <v>13143</v>
      </c>
      <c r="H89" s="97" t="s">
        <v>13144</v>
      </c>
      <c r="I89" s="97" t="s">
        <v>13145</v>
      </c>
      <c r="J89" s="50" t="str">
        <f t="shared" si="1"/>
        <v>(${Variables:E1.4.1.13_kcat} * E1.4.1.13 * C00064 * C00001)/(${Variables:E1.4.1.13_km} + (E1.4.1.13 * C00064 * C00001))</v>
      </c>
      <c r="K89" s="98" t="str">
        <f t="shared" si="2"/>
        <v>r126: C00064 + C00001 -&gt; C00025 + C00014 | (${Variables:E1.4.1.13_kcat} * E1.4.1.13 * C00064 * C00001)/(${Variables:E1.4.1.13_km} + (E1.4.1.13 * C00064 * C00001))</v>
      </c>
    </row>
    <row r="90" spans="1:11" ht="14">
      <c r="A90" s="50" t="s">
        <v>6658</v>
      </c>
      <c r="B90" s="50" t="s">
        <v>6659</v>
      </c>
      <c r="C90" s="56" t="s">
        <v>13146</v>
      </c>
      <c r="D90" s="50">
        <v>128</v>
      </c>
      <c r="E90" s="50" t="str">
        <f t="shared" si="0"/>
        <v>E1.4.1.4</v>
      </c>
      <c r="F90" s="97" t="s">
        <v>13147</v>
      </c>
      <c r="G90" s="97" t="s">
        <v>13148</v>
      </c>
      <c r="H90" s="97" t="s">
        <v>13149</v>
      </c>
      <c r="I90" s="97" t="s">
        <v>13150</v>
      </c>
      <c r="J90" s="50" t="str">
        <f t="shared" si="1"/>
        <v>(${Variables:E1.4.1.4_kcat} * E1.4.1.4 * C05167 * C00001 * C00003)/(${Variables:E1.4.1.4_km} + (E1.4.1.4 * C05167 * C00001 * C00003))</v>
      </c>
      <c r="K90" s="98" t="str">
        <f t="shared" si="2"/>
        <v>r128: C05167 + C00001 + C00003 -&gt; C00161 + C00014 + C00004 + C00080 | (${Variables:E1.4.1.4_kcat} * E1.4.1.4 * C05167 * C00001 * C00003)/(${Variables:E1.4.1.4_km} + (E1.4.1.4 * C05167 * C00001 * C00003))</v>
      </c>
    </row>
    <row r="91" spans="1:11" ht="14">
      <c r="A91" s="50" t="s">
        <v>6658</v>
      </c>
      <c r="B91" s="50" t="s">
        <v>6659</v>
      </c>
      <c r="C91" s="56" t="s">
        <v>13151</v>
      </c>
      <c r="D91" s="50">
        <v>129</v>
      </c>
      <c r="E91" s="50" t="str">
        <f t="shared" si="0"/>
        <v>E1.4.1.4</v>
      </c>
      <c r="F91" s="97" t="s">
        <v>13152</v>
      </c>
      <c r="G91" s="97" t="s">
        <v>13153</v>
      </c>
      <c r="H91" s="97" t="s">
        <v>13154</v>
      </c>
      <c r="I91" s="97" t="s">
        <v>13155</v>
      </c>
      <c r="J91" s="50" t="str">
        <f t="shared" si="1"/>
        <v>(${Variables:E1.4.1.4_kcat} * E1.4.1.4 * C05167 * C00001 * C00006)/(${Variables:E1.4.1.4_km} + (E1.4.1.4 * C05167 * C00001 * C00006))</v>
      </c>
      <c r="K91" s="98" t="str">
        <f t="shared" si="2"/>
        <v>r129: C05167 + C00001 + C00006 -&gt; C00161 + C00014 + C00005 + C00080 | (${Variables:E1.4.1.4_kcat} * E1.4.1.4 * C05167 * C00001 * C00006)/(${Variables:E1.4.1.4_km} + (E1.4.1.4 * C05167 * C00001 * C00006))</v>
      </c>
    </row>
    <row r="92" spans="1:11" ht="14">
      <c r="A92" s="50" t="s">
        <v>4643</v>
      </c>
      <c r="B92" s="50" t="s">
        <v>4644</v>
      </c>
      <c r="C92" s="57" t="s">
        <v>7918</v>
      </c>
      <c r="D92" s="50">
        <v>130</v>
      </c>
      <c r="E92" s="50" t="str">
        <f t="shared" si="0"/>
        <v>E1.4.3.5</v>
      </c>
      <c r="F92" s="97" t="s">
        <v>13156</v>
      </c>
      <c r="G92" s="97" t="s">
        <v>13157</v>
      </c>
      <c r="H92" s="97" t="s">
        <v>13158</v>
      </c>
      <c r="I92" s="97" t="s">
        <v>13159</v>
      </c>
      <c r="J92" s="50" t="str">
        <f t="shared" si="1"/>
        <v>(${Variables:E1.4.3.5_kcat} * E1.4.3.5 * C00314 * C00007)/(${Variables:E1.4.3.5_km} + (E1.4.3.5 * C00314 * C00007))</v>
      </c>
      <c r="K92" s="98" t="str">
        <f t="shared" si="2"/>
        <v>r130: C00314 + C00007 -&gt; C00250 + C00027 | (${Variables:E1.4.3.5_kcat} * E1.4.3.5 * C00314 * C00007)/(${Variables:E1.4.3.5_km} + (E1.4.3.5 * C00314 * C00007))</v>
      </c>
    </row>
    <row r="93" spans="1:11" ht="14">
      <c r="A93" s="50" t="s">
        <v>4643</v>
      </c>
      <c r="B93" s="50" t="s">
        <v>4644</v>
      </c>
      <c r="C93" s="57" t="s">
        <v>7918</v>
      </c>
      <c r="D93" s="50">
        <v>131</v>
      </c>
      <c r="E93" s="50" t="str">
        <f t="shared" si="0"/>
        <v>E1.4.3.5</v>
      </c>
      <c r="F93" s="50" t="s">
        <v>12639</v>
      </c>
      <c r="G93" s="50" t="s">
        <v>12640</v>
      </c>
      <c r="H93" s="97" t="s">
        <v>13160</v>
      </c>
      <c r="I93" s="97" t="s">
        <v>13161</v>
      </c>
      <c r="J93" s="50" t="str">
        <f t="shared" si="1"/>
        <v>(${Variables:E1.4.3.5_kcat} * E1.4.3.5 * C00534 * C00001 * C00007)/(${Variables:E1.4.3.5_km} + (E1.4.3.5 * C00534 * C00001 * C00007))</v>
      </c>
      <c r="K93" s="98" t="str">
        <f t="shared" si="2"/>
        <v>r131: C00534 + C00001 + C00007 -&gt; C00250 + C00014 + C00027 | (${Variables:E1.4.3.5_kcat} * E1.4.3.5 * C00534 * C00001 * C00007)/(${Variables:E1.4.3.5_km} + (E1.4.3.5 * C00534 * C00001 * C00007))</v>
      </c>
    </row>
    <row r="94" spans="1:11" ht="14">
      <c r="A94" s="50" t="s">
        <v>4643</v>
      </c>
      <c r="B94" s="50" t="s">
        <v>4644</v>
      </c>
      <c r="C94" s="57" t="s">
        <v>7918</v>
      </c>
      <c r="D94" s="50">
        <v>132</v>
      </c>
      <c r="E94" s="50" t="str">
        <f t="shared" si="0"/>
        <v>E1.4.3.5</v>
      </c>
      <c r="F94" s="97" t="s">
        <v>13162</v>
      </c>
      <c r="G94" s="97" t="s">
        <v>13163</v>
      </c>
      <c r="H94" s="97" t="s">
        <v>13164</v>
      </c>
      <c r="I94" s="97" t="s">
        <v>13165</v>
      </c>
      <c r="J94" s="50" t="str">
        <f t="shared" si="1"/>
        <v>(${Variables:E1.4.3.5_kcat} * E1.4.3.5 * C00627 * C00007)/(${Variables:E1.4.3.5_km} + (E1.4.3.5 * C00627 * C00007))</v>
      </c>
      <c r="K94" s="98" t="str">
        <f t="shared" si="2"/>
        <v>r132: C00627 + C00007 -&gt; C00027 + C00018 | (${Variables:E1.4.3.5_kcat} * E1.4.3.5 * C00627 * C00007)/(${Variables:E1.4.3.5_km} + (E1.4.3.5 * C00627 * C00007))</v>
      </c>
    </row>
    <row r="95" spans="1:11" ht="14">
      <c r="A95" s="50" t="s">
        <v>4643</v>
      </c>
      <c r="B95" s="50" t="s">
        <v>4644</v>
      </c>
      <c r="C95" s="57" t="s">
        <v>7918</v>
      </c>
      <c r="D95" s="50">
        <v>133</v>
      </c>
      <c r="E95" s="50" t="str">
        <f t="shared" si="0"/>
        <v>E1.4.3.5</v>
      </c>
      <c r="F95" s="97" t="s">
        <v>13166</v>
      </c>
      <c r="G95" s="97" t="s">
        <v>13167</v>
      </c>
      <c r="H95" s="97" t="s">
        <v>13168</v>
      </c>
      <c r="I95" s="97" t="s">
        <v>13169</v>
      </c>
      <c r="J95" s="50" t="str">
        <f t="shared" si="1"/>
        <v>(${Variables:E1.4.3.5_kcat} * E1.4.3.5 * C00647 * C00001 * C00007)/(${Variables:E1.4.3.5_km} + (E1.4.3.5 * C00647 * C00001 * C00007))</v>
      </c>
      <c r="K95" s="98" t="str">
        <f t="shared" si="2"/>
        <v>r133: C00647 + C00001 + C00007 -&gt; C00018 + C00014 + C00027 | (${Variables:E1.4.3.5_kcat} * E1.4.3.5 * C00647 * C00001 * C00007)/(${Variables:E1.4.3.5_km} + (E1.4.3.5 * C00647 * C00001 * C00007))</v>
      </c>
    </row>
    <row r="96" spans="1:11" ht="14">
      <c r="A96" s="50" t="s">
        <v>2486</v>
      </c>
      <c r="B96" s="50" t="s">
        <v>2487</v>
      </c>
      <c r="C96" s="56" t="s">
        <v>13170</v>
      </c>
      <c r="D96" s="50">
        <v>134</v>
      </c>
      <c r="E96" s="50" t="str">
        <f t="shared" si="0"/>
        <v>E1.5.1.2</v>
      </c>
      <c r="F96" s="99" t="s">
        <v>13171</v>
      </c>
      <c r="G96" s="99" t="s">
        <v>13172</v>
      </c>
      <c r="H96" s="97" t="s">
        <v>13173</v>
      </c>
      <c r="I96" s="97" t="s">
        <v>13174</v>
      </c>
      <c r="J96" s="50" t="str">
        <f t="shared" si="1"/>
        <v>(${Variables:E1.5.1.2_kcat} * E1.5.1.2 * C00148 * C00003)/(${Variables:E1.5.1.2_km} + (E1.5.1.2 * C00148 * C00003))</v>
      </c>
      <c r="K96" s="98" t="str">
        <f t="shared" si="2"/>
        <v>r134: C00148 + C00003 -&gt; C03912 + C00004 + C00080 | (${Variables:E1.5.1.2_kcat} * E1.5.1.2 * C00148 * C00003)/(${Variables:E1.5.1.2_km} + (E1.5.1.2 * C00148 * C00003))</v>
      </c>
    </row>
    <row r="97" spans="1:11" ht="14">
      <c r="A97" s="50" t="s">
        <v>2486</v>
      </c>
      <c r="B97" s="50" t="s">
        <v>2487</v>
      </c>
      <c r="C97" s="56" t="s">
        <v>13175</v>
      </c>
      <c r="D97" s="50">
        <v>135</v>
      </c>
      <c r="E97" s="50" t="str">
        <f t="shared" si="0"/>
        <v>E1.5.1.2</v>
      </c>
      <c r="F97" s="97" t="s">
        <v>13176</v>
      </c>
      <c r="G97" s="97" t="s">
        <v>13177</v>
      </c>
      <c r="H97" s="97" t="s">
        <v>13178</v>
      </c>
      <c r="I97" s="97" t="s">
        <v>13179</v>
      </c>
      <c r="J97" s="50" t="str">
        <f t="shared" si="1"/>
        <v>(${Variables:E1.5.1.2_kcat} * E1.5.1.2 * C00148 * C00006)/(${Variables:E1.5.1.2_km} + (E1.5.1.2 * C00148 * C00006))</v>
      </c>
      <c r="K97" s="98" t="str">
        <f t="shared" si="2"/>
        <v>r135: C00148 + C00006 -&gt; C03912 + C00005 + C00080 | (${Variables:E1.5.1.2_kcat} * E1.5.1.2 * C00148 * C00006)/(${Variables:E1.5.1.2_km} + (E1.5.1.2 * C00148 * C00006))</v>
      </c>
    </row>
    <row r="98" spans="1:11" ht="14">
      <c r="A98" s="50" t="s">
        <v>2486</v>
      </c>
      <c r="B98" s="50" t="s">
        <v>2487</v>
      </c>
      <c r="C98" s="56" t="s">
        <v>13180</v>
      </c>
      <c r="D98" s="50">
        <v>136</v>
      </c>
      <c r="E98" s="50" t="str">
        <f t="shared" si="0"/>
        <v>E1.5.1.2</v>
      </c>
      <c r="F98" s="97" t="s">
        <v>13181</v>
      </c>
      <c r="G98" s="97" t="s">
        <v>13182</v>
      </c>
      <c r="H98" s="97" t="s">
        <v>13183</v>
      </c>
      <c r="I98" s="97" t="s">
        <v>13184</v>
      </c>
      <c r="J98" s="50" t="str">
        <f t="shared" si="1"/>
        <v>(${Variables:E1.5.1.2_kcat} * E1.5.1.2 * C01157 * C00003)/(${Variables:E1.5.1.2_km} + (E1.5.1.2 * C01157 * C00003))</v>
      </c>
      <c r="K98" s="98" t="str">
        <f t="shared" si="2"/>
        <v>r136: C01157 + C00003 -&gt; C04281 + C00004 + C00080 | (${Variables:E1.5.1.2_kcat} * E1.5.1.2 * C01157 * C00003)/(${Variables:E1.5.1.2_km} + (E1.5.1.2 * C01157 * C00003))</v>
      </c>
    </row>
    <row r="99" spans="1:11" ht="14">
      <c r="A99" s="50" t="s">
        <v>2486</v>
      </c>
      <c r="B99" s="50" t="s">
        <v>2487</v>
      </c>
      <c r="C99" s="56" t="s">
        <v>13185</v>
      </c>
      <c r="D99" s="50">
        <v>137</v>
      </c>
      <c r="E99" s="50" t="str">
        <f t="shared" si="0"/>
        <v>E1.5.1.2</v>
      </c>
      <c r="F99" s="97" t="s">
        <v>13186</v>
      </c>
      <c r="G99" s="97" t="s">
        <v>13187</v>
      </c>
      <c r="H99" s="97" t="s">
        <v>13188</v>
      </c>
      <c r="I99" s="97" t="s">
        <v>13189</v>
      </c>
      <c r="J99" s="50" t="str">
        <f t="shared" si="1"/>
        <v>(${Variables:E1.5.1.2_kcat} * E1.5.1.2 * C01157 * C00006)/(${Variables:E1.5.1.2_km} + (E1.5.1.2 * C01157 * C00006))</v>
      </c>
      <c r="K99" s="98" t="str">
        <f t="shared" si="2"/>
        <v>r137: C01157 + C00006 -&gt; C04281 + C00005 + C00080 | (${Variables:E1.5.1.2_kcat} * E1.5.1.2 * C01157 * C00006)/(${Variables:E1.5.1.2_km} + (E1.5.1.2 * C01157 * C00006))</v>
      </c>
    </row>
    <row r="100" spans="1:11" ht="14">
      <c r="A100" s="50" t="s">
        <v>6626</v>
      </c>
      <c r="B100" s="50" t="s">
        <v>6627</v>
      </c>
      <c r="C100" s="56" t="s">
        <v>13190</v>
      </c>
      <c r="D100" s="50">
        <v>138</v>
      </c>
      <c r="E100" s="50" t="str">
        <f t="shared" si="0"/>
        <v>E1.5.1.20</v>
      </c>
      <c r="F100" s="97" t="s">
        <v>13191</v>
      </c>
      <c r="G100" s="97" t="s">
        <v>13192</v>
      </c>
      <c r="H100" s="97" t="s">
        <v>13193</v>
      </c>
      <c r="I100" s="97" t="s">
        <v>13194</v>
      </c>
      <c r="J100" s="50" t="str">
        <f t="shared" si="1"/>
        <v>(${Variables:E1.5.1.20_kcat} * E1.5.1.20 * C00440 * C00003)/(${Variables:E1.5.1.20_km} + (E1.5.1.20 * C00440 * C00003))</v>
      </c>
      <c r="K100" s="98" t="str">
        <f t="shared" si="2"/>
        <v>r138: C00440 + C00003 -&gt; C00143 + C00004 + C00080 | (${Variables:E1.5.1.20_kcat} * E1.5.1.20 * C00440 * C00003)/(${Variables:E1.5.1.20_km} + (E1.5.1.20 * C00440 * C00003))</v>
      </c>
    </row>
    <row r="101" spans="1:11" ht="14">
      <c r="A101" s="50" t="s">
        <v>6626</v>
      </c>
      <c r="B101" s="50" t="s">
        <v>6627</v>
      </c>
      <c r="C101" s="56" t="s">
        <v>13195</v>
      </c>
      <c r="D101" s="50">
        <v>139</v>
      </c>
      <c r="E101" s="50" t="str">
        <f t="shared" si="0"/>
        <v>E1.5.1.20</v>
      </c>
      <c r="F101" s="50" t="s">
        <v>12641</v>
      </c>
      <c r="G101" s="50" t="s">
        <v>12642</v>
      </c>
      <c r="H101" s="97" t="s">
        <v>13196</v>
      </c>
      <c r="I101" s="97" t="s">
        <v>13197</v>
      </c>
      <c r="J101" s="50" t="str">
        <f t="shared" si="1"/>
        <v>(${Variables:E1.5.1.20_kcat} * E1.5.1.20 * C00440 * C00006 )/(${Variables:E1.5.1.20_km} + (E1.5.1.20 * C00440 * C00006 ))</v>
      </c>
      <c r="K101" s="98" t="str">
        <f t="shared" si="2"/>
        <v>r139: C00440 + C00006  -&gt; C00143 + C00005 + C00080 | (${Variables:E1.5.1.20_kcat} * E1.5.1.20 * C00440 * C00006 )/(${Variables:E1.5.1.20_km} + (E1.5.1.20 * C00440 * C00006 ))</v>
      </c>
    </row>
    <row r="102" spans="1:11" ht="14">
      <c r="A102" s="50" t="s">
        <v>1214</v>
      </c>
      <c r="B102" s="50" t="s">
        <v>1215</v>
      </c>
      <c r="C102" s="56" t="s">
        <v>13198</v>
      </c>
      <c r="D102" s="50">
        <v>140</v>
      </c>
      <c r="E102" s="50" t="str">
        <f t="shared" si="0"/>
        <v>E1.5.1.3</v>
      </c>
      <c r="F102" s="97" t="s">
        <v>17367</v>
      </c>
      <c r="G102" s="97" t="s">
        <v>17368</v>
      </c>
      <c r="H102" s="97" t="s">
        <v>17369</v>
      </c>
      <c r="I102" s="97" t="s">
        <v>17370</v>
      </c>
      <c r="J102" s="50" t="str">
        <f t="shared" si="1"/>
        <v>(${Variables:E1.5.1.3_kcat} * E1.5.1.3 * C00101 * C00003)/(${Variables:E1.5.1.3_km} + (E1.5.1.3 * C00101 * C00003))</v>
      </c>
      <c r="K102" s="98" t="str">
        <f t="shared" si="2"/>
        <v>r140: C00101 + C00003 -&gt; C00504 + C00004 + C00080 | (${Variables:E1.5.1.3_kcat} * E1.5.1.3 * C00101 * C00003)/(${Variables:E1.5.1.3_km} + (E1.5.1.3 * C00101 * C00003))</v>
      </c>
    </row>
    <row r="103" spans="1:11" ht="14">
      <c r="A103" s="50" t="s">
        <v>1214</v>
      </c>
      <c r="B103" s="50" t="s">
        <v>1215</v>
      </c>
      <c r="C103" s="56" t="s">
        <v>13199</v>
      </c>
      <c r="D103" s="50">
        <v>141</v>
      </c>
      <c r="E103" s="50" t="str">
        <f t="shared" si="0"/>
        <v>E1.5.1.3</v>
      </c>
      <c r="F103" s="97" t="s">
        <v>17371</v>
      </c>
      <c r="G103" s="97" t="s">
        <v>17372</v>
      </c>
      <c r="H103" s="97" t="s">
        <v>17373</v>
      </c>
      <c r="I103" s="97" t="s">
        <v>17374</v>
      </c>
      <c r="J103" s="50" t="str">
        <f t="shared" si="1"/>
        <v>(${Variables:E1.5.1.3_kcat} * E1.5.1.3 * C00101 * C00006)/(${Variables:E1.5.1.3_km} + (E1.5.1.3 * C00101 * C00006))</v>
      </c>
      <c r="K103" s="98" t="str">
        <f t="shared" si="2"/>
        <v>r141: C00101 + C00006 -&gt; C00504 + C00005 + C00080 | (${Variables:E1.5.1.3_kcat} * E1.5.1.3 * C00101 * C00006)/(${Variables:E1.5.1.3_km} + (E1.5.1.3 * C00101 * C00006))</v>
      </c>
    </row>
    <row r="104" spans="1:11" ht="14">
      <c r="A104" s="50" t="s">
        <v>1214</v>
      </c>
      <c r="B104" s="50" t="s">
        <v>1215</v>
      </c>
      <c r="C104" s="56" t="s">
        <v>13200</v>
      </c>
      <c r="D104" s="50">
        <v>142</v>
      </c>
      <c r="E104" s="50" t="str">
        <f t="shared" si="0"/>
        <v>E1.5.1.3</v>
      </c>
      <c r="F104" s="97" t="s">
        <v>13201</v>
      </c>
      <c r="G104" s="97" t="s">
        <v>13202</v>
      </c>
      <c r="H104" s="97" t="s">
        <v>13203</v>
      </c>
      <c r="I104" s="97" t="s">
        <v>13204</v>
      </c>
      <c r="J104" s="50" t="str">
        <f t="shared" si="1"/>
        <v>(${Variables:E1.5.1.3_kcat} * E1.5.1.3 * C00101 * C00003)/(${Variables:E1.5.1.3_km} + (E1.5.1.3 * C00101 * C00003))</v>
      </c>
      <c r="K104" s="98" t="str">
        <f t="shared" si="2"/>
        <v>r142: C00101 + C00003 -&gt; C00415 + C00004 + C00080 | (${Variables:E1.5.1.3_kcat} * E1.5.1.3 * C00101 * C00003)/(${Variables:E1.5.1.3_km} + (E1.5.1.3 * C00101 * C00003))</v>
      </c>
    </row>
    <row r="105" spans="1:11" ht="14">
      <c r="A105" s="50" t="s">
        <v>1214</v>
      </c>
      <c r="B105" s="50" t="s">
        <v>1215</v>
      </c>
      <c r="C105" s="56" t="s">
        <v>13205</v>
      </c>
      <c r="D105" s="50">
        <v>143</v>
      </c>
      <c r="E105" s="50" t="str">
        <f t="shared" si="0"/>
        <v>E1.5.1.3</v>
      </c>
      <c r="F105" s="97" t="s">
        <v>13206</v>
      </c>
      <c r="G105" s="97" t="s">
        <v>13207</v>
      </c>
      <c r="H105" s="97" t="s">
        <v>13208</v>
      </c>
      <c r="I105" s="97" t="s">
        <v>13209</v>
      </c>
      <c r="J105" s="50" t="str">
        <f t="shared" si="1"/>
        <v>(${Variables:E1.5.1.3_kcat} * E1.5.1.3 * C00101 * C00006)/(${Variables:E1.5.1.3_km} + (E1.5.1.3 * C00101 * C00006))</v>
      </c>
      <c r="K105" s="98" t="str">
        <f t="shared" si="2"/>
        <v>r143: C00101 + C00006 -&gt; C00415 + C00005 + C00080 | (${Variables:E1.5.1.3_kcat} * E1.5.1.3 * C00101 * C00006)/(${Variables:E1.5.1.3_km} + (E1.5.1.3 * C00101 * C00006))</v>
      </c>
    </row>
    <row r="106" spans="1:11" ht="14">
      <c r="A106" s="50" t="s">
        <v>1214</v>
      </c>
      <c r="B106" s="50" t="s">
        <v>1215</v>
      </c>
      <c r="C106" s="56" t="s">
        <v>13210</v>
      </c>
      <c r="D106" s="50">
        <v>144</v>
      </c>
      <c r="E106" s="50" t="str">
        <f t="shared" si="0"/>
        <v>E1.5.1.3</v>
      </c>
      <c r="F106" s="97" t="s">
        <v>13211</v>
      </c>
      <c r="G106" s="97" t="s">
        <v>13212</v>
      </c>
      <c r="H106" s="97" t="s">
        <v>13213</v>
      </c>
      <c r="I106" s="97" t="s">
        <v>13214</v>
      </c>
      <c r="J106" s="50" t="str">
        <f t="shared" si="1"/>
        <v>(${Variables:E1.5.1.3_kcat} * E1.5.1.3 * C00272 * C00006)/(${Variables:E1.5.1.3_km} + (E1.5.1.3 * C00272 * C00006))</v>
      </c>
      <c r="K106" s="98" t="str">
        <f t="shared" si="2"/>
        <v>r144: C00272 + C00006 -&gt; C02953 + C00005 + C00080 | (${Variables:E1.5.1.3_kcat} * E1.5.1.3 * C00272 * C00006)/(${Variables:E1.5.1.3_km} + (E1.5.1.3 * C00272 * C00006))</v>
      </c>
    </row>
    <row r="107" spans="1:11" ht="14">
      <c r="A107" s="50" t="s">
        <v>1214</v>
      </c>
      <c r="B107" s="50" t="s">
        <v>1215</v>
      </c>
      <c r="C107" s="56" t="s">
        <v>13215</v>
      </c>
      <c r="D107" s="50">
        <v>145</v>
      </c>
      <c r="E107" s="50" t="str">
        <f t="shared" si="0"/>
        <v>E1.5.1.3</v>
      </c>
      <c r="F107" s="97" t="s">
        <v>13216</v>
      </c>
      <c r="G107" s="97" t="s">
        <v>13217</v>
      </c>
      <c r="H107" s="97" t="s">
        <v>13218</v>
      </c>
      <c r="I107" s="97" t="s">
        <v>13219</v>
      </c>
      <c r="J107" s="50" t="str">
        <f t="shared" si="1"/>
        <v>(${Variables:E1.5.1.3_kcat} * E1.5.1.3 * C00415 * C00003)/(${Variables:E1.5.1.3_km} + (E1.5.1.3 * C00415 * C00003))</v>
      </c>
      <c r="K107" s="98" t="str">
        <f t="shared" si="2"/>
        <v>r145: C00415 + C00003 -&gt; C00504 + C00004 + C00080 | (${Variables:E1.5.1.3_kcat} * E1.5.1.3 * C00415 * C00003)/(${Variables:E1.5.1.3_km} + (E1.5.1.3 * C00415 * C00003))</v>
      </c>
    </row>
    <row r="108" spans="1:11" ht="14">
      <c r="A108" s="50" t="s">
        <v>1214</v>
      </c>
      <c r="B108" s="50" t="s">
        <v>1215</v>
      </c>
      <c r="C108" s="56" t="s">
        <v>13220</v>
      </c>
      <c r="D108" s="50">
        <v>146</v>
      </c>
      <c r="E108" s="50" t="str">
        <f t="shared" si="0"/>
        <v>E1.5.1.3</v>
      </c>
      <c r="F108" s="97" t="s">
        <v>13221</v>
      </c>
      <c r="G108" s="97" t="s">
        <v>13222</v>
      </c>
      <c r="H108" s="97" t="s">
        <v>13223</v>
      </c>
      <c r="I108" s="97" t="s">
        <v>13224</v>
      </c>
      <c r="J108" s="50" t="str">
        <f t="shared" si="1"/>
        <v>(${Variables:E1.5.1.3_kcat} * E1.5.1.3 * C00415 * C00006)/(${Variables:E1.5.1.3_km} + (E1.5.1.3 * C00415 * C00006))</v>
      </c>
      <c r="K108" s="98" t="str">
        <f t="shared" si="2"/>
        <v>r146: C00415 + C00006 -&gt; C00504 + C00005 + C00080 | (${Variables:E1.5.1.3_kcat} * E1.5.1.3 * C00415 * C00006)/(${Variables:E1.5.1.3_km} + (E1.5.1.3 * C00415 * C00006))</v>
      </c>
    </row>
    <row r="109" spans="1:11" ht="14">
      <c r="A109" s="50" t="s">
        <v>1984</v>
      </c>
      <c r="B109" s="50" t="s">
        <v>1985</v>
      </c>
      <c r="C109" s="56" t="s">
        <v>13225</v>
      </c>
      <c r="D109" s="50">
        <v>147</v>
      </c>
      <c r="E109" s="50" t="str">
        <f t="shared" si="0"/>
        <v>E1.5.1.5</v>
      </c>
      <c r="F109" s="97" t="s">
        <v>13226</v>
      </c>
      <c r="G109" s="97" t="s">
        <v>13227</v>
      </c>
      <c r="H109" s="97" t="s">
        <v>13228</v>
      </c>
      <c r="I109" s="97" t="s">
        <v>13229</v>
      </c>
      <c r="J109" s="50" t="str">
        <f t="shared" si="1"/>
        <v>(${Variables:E1.5.1.5_kcat} * E1.5.1.5 * C00143 * C00006)/(${Variables:E1.5.1.5_km} + (E1.5.1.5 * C00143 * C00006))</v>
      </c>
      <c r="K109" s="98" t="str">
        <f t="shared" si="2"/>
        <v>r147: C00143 + C00006 -&gt; C00445 + C00005 | (${Variables:E1.5.1.5_kcat} * E1.5.1.5 * C00143 * C00006)/(${Variables:E1.5.1.5_km} + (E1.5.1.5 * C00143 * C00006))</v>
      </c>
    </row>
    <row r="110" spans="1:11" ht="14">
      <c r="A110" s="50" t="s">
        <v>7406</v>
      </c>
      <c r="B110" s="50" t="s">
        <v>7407</v>
      </c>
      <c r="C110" s="56" t="s">
        <v>13230</v>
      </c>
      <c r="D110" s="50">
        <v>148</v>
      </c>
      <c r="E110" s="50" t="str">
        <f t="shared" si="0"/>
        <v>E1.7.1.7</v>
      </c>
      <c r="F110" s="97" t="s">
        <v>13231</v>
      </c>
      <c r="G110" s="97" t="s">
        <v>13232</v>
      </c>
      <c r="H110" s="97" t="s">
        <v>13233</v>
      </c>
      <c r="I110" s="97" t="s">
        <v>13234</v>
      </c>
      <c r="J110" s="50" t="str">
        <f t="shared" si="1"/>
        <v>(${Variables:E1.7.1.7_kcat} * E1.7.1.7 * C00130 * C00014 * C00006)/(${Variables:E1.7.1.7_km} + (E1.7.1.7 * C00130 * C00014 * C00006))</v>
      </c>
      <c r="K110" s="98" t="str">
        <f t="shared" si="2"/>
        <v>r148: C00130 + C00014 + C00006 -&gt; C00144 + C00005 + C00080 | (${Variables:E1.7.1.7_kcat} * E1.7.1.7 * C00130 * C00014 * C00006)/(${Variables:E1.7.1.7_km} + (E1.7.1.7 * C00130 * C00014 * C00006))</v>
      </c>
    </row>
    <row r="111" spans="1:11" ht="14">
      <c r="A111" s="50" t="s">
        <v>997</v>
      </c>
      <c r="B111" s="50" t="s">
        <v>998</v>
      </c>
      <c r="C111" s="55" t="s">
        <v>7946</v>
      </c>
      <c r="D111" s="50">
        <v>149</v>
      </c>
      <c r="E111" s="50" t="str">
        <f t="shared" si="0"/>
        <v>E1.8.1.4</v>
      </c>
      <c r="F111" s="97" t="s">
        <v>13235</v>
      </c>
      <c r="G111" s="97" t="s">
        <v>13236</v>
      </c>
      <c r="H111" s="97" t="s">
        <v>13237</v>
      </c>
      <c r="I111" s="97" t="s">
        <v>13238</v>
      </c>
      <c r="J111" s="50" t="str">
        <f t="shared" si="1"/>
        <v>(${Variables:E1.8.1.4_kcat} * E1.8.1.4 * C00579 * C00003)/(${Variables:E1.8.1.4_km} + (E1.8.1.4 * C00579 * C00003))</v>
      </c>
      <c r="K111" s="98" t="str">
        <f t="shared" si="2"/>
        <v>r149: C00579 + C00003 -&gt; C00248 + C00004 + C00080 | (${Variables:E1.8.1.4_kcat} * E1.8.1.4 * C00579 * C00003)/(${Variables:E1.8.1.4_km} + (E1.8.1.4 * C00579 * C00003))</v>
      </c>
    </row>
    <row r="112" spans="1:11" ht="14">
      <c r="A112" s="50" t="s">
        <v>997</v>
      </c>
      <c r="B112" s="50" t="s">
        <v>998</v>
      </c>
      <c r="C112" s="55" t="s">
        <v>7946</v>
      </c>
      <c r="D112" s="50">
        <v>150</v>
      </c>
      <c r="E112" s="50" t="str">
        <f t="shared" si="0"/>
        <v>E1.8.1.4</v>
      </c>
      <c r="F112" s="97" t="s">
        <v>13239</v>
      </c>
      <c r="G112" s="97" t="s">
        <v>13240</v>
      </c>
      <c r="H112" s="97" t="s">
        <v>13241</v>
      </c>
      <c r="I112" s="97" t="s">
        <v>13242</v>
      </c>
      <c r="J112" s="50" t="str">
        <f t="shared" si="1"/>
        <v>(${Variables:E1.8.1.4_kcat} * E1.8.1.4 * C02972 * C00003)/(${Variables:E1.8.1.4_km} + (E1.8.1.4 * C02972 * C00003))</v>
      </c>
      <c r="K112" s="98" t="str">
        <f t="shared" si="2"/>
        <v>r150: C02972 + C00003 -&gt; C02051 + C00004 + C00080 | (${Variables:E1.8.1.4_kcat} * E1.8.1.4 * C02972 * C00003)/(${Variables:E1.8.1.4_km} + (E1.8.1.4 * C02972 * C00003))</v>
      </c>
    </row>
    <row r="113" spans="1:11" ht="14">
      <c r="A113" s="50" t="s">
        <v>997</v>
      </c>
      <c r="B113" s="50" t="s">
        <v>998</v>
      </c>
      <c r="C113" s="55" t="s">
        <v>7946</v>
      </c>
      <c r="D113" s="50">
        <v>151</v>
      </c>
      <c r="E113" s="50" t="str">
        <f t="shared" si="0"/>
        <v>E1.8.1.4</v>
      </c>
      <c r="F113" s="97" t="s">
        <v>13243</v>
      </c>
      <c r="G113" s="97" t="s">
        <v>13244</v>
      </c>
      <c r="H113" s="97" t="s">
        <v>13245</v>
      </c>
      <c r="I113" s="97" t="s">
        <v>13246</v>
      </c>
      <c r="J113" s="50" t="str">
        <f t="shared" si="1"/>
        <v>(${Variables:E1.8.1.4_kcat} * E1.8.1.4 * C15973 * C00003)/(${Variables:E1.8.1.4_km} + (E1.8.1.4 * C15973 * C00003))</v>
      </c>
      <c r="K113" s="98" t="str">
        <f t="shared" si="2"/>
        <v>r151: C15973 + C00003 -&gt; C15972 + C00004 + C00080 | (${Variables:E1.8.1.4_kcat} * E1.8.1.4 * C15973 * C00003)/(${Variables:E1.8.1.4_km} + (E1.8.1.4 * C15973 * C00003))</v>
      </c>
    </row>
    <row r="114" spans="1:11" ht="14">
      <c r="A114" s="50" t="s">
        <v>997</v>
      </c>
      <c r="B114" s="50" t="s">
        <v>998</v>
      </c>
      <c r="C114" s="55" t="s">
        <v>7946</v>
      </c>
      <c r="D114" s="50">
        <v>152</v>
      </c>
      <c r="E114" s="50" t="str">
        <f t="shared" si="0"/>
        <v>E1.8.1.4</v>
      </c>
      <c r="F114" s="97" t="s">
        <v>13247</v>
      </c>
      <c r="G114" s="97" t="s">
        <v>13248</v>
      </c>
      <c r="H114" s="97" t="s">
        <v>13249</v>
      </c>
      <c r="I114" s="97" t="s">
        <v>13250</v>
      </c>
      <c r="J114" s="50" t="str">
        <f t="shared" si="1"/>
        <v>(${Variables:E1.8.1.4_kcat} * E1.8.1.4 * C16832 * C00003)/(${Variables:E1.8.1.4_km} + (E1.8.1.4 * C16832 * C00003))</v>
      </c>
      <c r="K114" s="98" t="str">
        <f t="shared" si="2"/>
        <v>r152: C16832 + C00003 -&gt; C16237 + C00004 + C00080 | (${Variables:E1.8.1.4_kcat} * E1.8.1.4 * C16832 * C00003)/(${Variables:E1.8.1.4_km} + (E1.8.1.4 * C16832 * C00003))</v>
      </c>
    </row>
    <row r="115" spans="1:11" ht="14">
      <c r="A115" s="50" t="s">
        <v>7527</v>
      </c>
      <c r="B115" s="50" t="s">
        <v>7528</v>
      </c>
      <c r="C115" s="56" t="s">
        <v>13251</v>
      </c>
      <c r="D115" s="50">
        <v>157</v>
      </c>
      <c r="E115" s="50" t="str">
        <f t="shared" si="0"/>
        <v>E1.8.1.9</v>
      </c>
      <c r="F115" s="97" t="s">
        <v>17375</v>
      </c>
      <c r="G115" s="97" t="s">
        <v>17376</v>
      </c>
      <c r="H115" s="97" t="s">
        <v>17377</v>
      </c>
      <c r="I115" s="97" t="s">
        <v>17378</v>
      </c>
      <c r="J115" s="50" t="str">
        <f t="shared" si="1"/>
        <v>(${Variables:E1.8.1.9_kcat} * E1.8.1.9 * C00005 * C00080 * C18902)/(${Variables:E1.8.1.9_km} + (E1.8.1.9 * C00005 * C00080 * C18902))</v>
      </c>
      <c r="K115" s="98" t="str">
        <f t="shared" si="2"/>
        <v>r157: C00005 + C00080 + C18902 -&gt; C00006 + C00001 + C05703 | (${Variables:E1.8.1.9_kcat} * E1.8.1.9 * C00005 * C00080 * C18902)/(${Variables:E1.8.1.9_km} + (E1.8.1.9 * C00005 * C00080 * C18902))</v>
      </c>
    </row>
    <row r="116" spans="1:11" ht="14">
      <c r="A116" s="50" t="s">
        <v>7527</v>
      </c>
      <c r="B116" s="50" t="s">
        <v>7528</v>
      </c>
      <c r="C116" s="56" t="s">
        <v>13252</v>
      </c>
      <c r="D116" s="50">
        <v>158</v>
      </c>
      <c r="E116" s="50" t="str">
        <f t="shared" si="0"/>
        <v>E1.8.1.9</v>
      </c>
      <c r="F116" s="97" t="s">
        <v>13253</v>
      </c>
      <c r="G116" s="97" t="s">
        <v>13254</v>
      </c>
      <c r="H116" s="97" t="s">
        <v>13255</v>
      </c>
      <c r="I116" s="97" t="s">
        <v>13256</v>
      </c>
      <c r="J116" s="50" t="str">
        <f t="shared" si="1"/>
        <v>(${Variables:E1.8.1.9_kcat} * E1.8.1.9 * C00097 * C00051 * C00006)/(${Variables:E1.8.1.9_km} + (E1.8.1.9 * C00097 * C00051 * C00006))</v>
      </c>
      <c r="K116" s="98" t="str">
        <f t="shared" si="2"/>
        <v>r158: C00097 + C00051 + C00006 -&gt; C05526 + C00005 | (${Variables:E1.8.1.9_kcat} * E1.8.1.9 * C00097 * C00051 * C00006)/(${Variables:E1.8.1.9_km} + (E1.8.1.9 * C00097 * C00051 * C00006))</v>
      </c>
    </row>
    <row r="117" spans="1:11" ht="14">
      <c r="A117" s="50" t="s">
        <v>7527</v>
      </c>
      <c r="B117" s="50" t="s">
        <v>7528</v>
      </c>
      <c r="C117" s="56" t="s">
        <v>13257</v>
      </c>
      <c r="D117" s="50">
        <v>159</v>
      </c>
      <c r="E117" s="50" t="str">
        <f t="shared" si="0"/>
        <v>E1.8.1.9</v>
      </c>
      <c r="F117" s="97" t="s">
        <v>13258</v>
      </c>
      <c r="G117" s="97" t="s">
        <v>13259</v>
      </c>
      <c r="H117" s="97" t="s">
        <v>13260</v>
      </c>
      <c r="I117" s="97" t="s">
        <v>13261</v>
      </c>
      <c r="J117" s="50" t="str">
        <f t="shared" si="1"/>
        <v>(${Variables:E1.8.1.9_kcat} * E1.8.1.9 * C00342 * C00006)/(${Variables:E1.8.1.9_km} + (E1.8.1.9 * C00342 * C00006))</v>
      </c>
      <c r="K117" s="98" t="str">
        <f t="shared" si="2"/>
        <v>r159: C00342 + C00006 -&gt; C00343 + C00005 + C00080 | (${Variables:E1.8.1.9_kcat} * E1.8.1.9 * C00342 * C00006)/(${Variables:E1.8.1.9_km} + (E1.8.1.9 * C00342 * C00006))</v>
      </c>
    </row>
    <row r="118" spans="1:11" ht="14">
      <c r="A118" s="50" t="s">
        <v>7527</v>
      </c>
      <c r="B118" s="50" t="s">
        <v>7528</v>
      </c>
      <c r="C118" s="56" t="s">
        <v>13262</v>
      </c>
      <c r="D118" s="50">
        <v>160</v>
      </c>
      <c r="E118" s="50" t="str">
        <f t="shared" si="0"/>
        <v>E1.8.1.9</v>
      </c>
      <c r="F118" s="97" t="s">
        <v>17405</v>
      </c>
      <c r="G118" s="97" t="s">
        <v>17406</v>
      </c>
      <c r="H118" s="97" t="s">
        <v>17409</v>
      </c>
      <c r="I118" s="97" t="s">
        <v>17410</v>
      </c>
      <c r="J118" s="50" t="str">
        <f t="shared" si="1"/>
        <v>(${Variables:E1.8.1.9_kcat} * E1.8.1.9 * C01528 * C00006 * C00001)/(${Variables:E1.8.1.9_km} + (E1.8.1.9 * C01528 * C00006 * C00001))</v>
      </c>
      <c r="K118" s="98" t="str">
        <f t="shared" si="2"/>
        <v>r160: C01528 + C00006 + C00001 -&gt; C05684 + C00005 + C00080 | (${Variables:E1.8.1.9_kcat} * E1.8.1.9 * C01528 * C00006 * C00001)/(${Variables:E1.8.1.9_km} + (E1.8.1.9 * C01528 * C00006 * C00001))</v>
      </c>
    </row>
    <row r="119" spans="1:11" ht="14">
      <c r="A119" s="50" t="s">
        <v>661</v>
      </c>
      <c r="B119" s="50" t="s">
        <v>662</v>
      </c>
      <c r="C119" s="56" t="s">
        <v>13263</v>
      </c>
      <c r="D119" s="50">
        <v>161</v>
      </c>
      <c r="E119" s="50" t="str">
        <f t="shared" si="0"/>
        <v>E1.8.4.11</v>
      </c>
      <c r="F119" s="97" t="s">
        <v>13264</v>
      </c>
      <c r="G119" s="97" t="s">
        <v>13265</v>
      </c>
      <c r="H119" s="97" t="s">
        <v>13266</v>
      </c>
      <c r="I119" s="97" t="s">
        <v>13267</v>
      </c>
      <c r="J119" s="50" t="str">
        <f t="shared" si="1"/>
        <v>(${Variables:E1.8.4.11_kcat} * E1.8.4.11 * C00073 * C00343 * C00001)/(${Variables:E1.8.4.11_km} + (E1.8.4.11 * C00073 * C00343 * C00001))</v>
      </c>
      <c r="K119" s="98" t="str">
        <f t="shared" si="2"/>
        <v>r161: C00073 + C00343 + C00001 -&gt; C15999 + C00342 | (${Variables:E1.8.4.11_kcat} * E1.8.4.11 * C00073 * C00343 * C00001)/(${Variables:E1.8.4.11_km} + (E1.8.4.11 * C00073 * C00343 * C00001))</v>
      </c>
    </row>
    <row r="120" spans="1:11" ht="14">
      <c r="A120" s="50" t="s">
        <v>661</v>
      </c>
      <c r="B120" s="50" t="s">
        <v>662</v>
      </c>
      <c r="C120" s="56" t="s">
        <v>13268</v>
      </c>
      <c r="D120" s="50">
        <v>162</v>
      </c>
      <c r="E120" s="50" t="str">
        <f t="shared" si="0"/>
        <v>E1.8.4.11</v>
      </c>
      <c r="F120" s="97" t="s">
        <v>13269</v>
      </c>
      <c r="G120" s="97" t="s">
        <v>13270</v>
      </c>
      <c r="H120" s="97" t="s">
        <v>13271</v>
      </c>
      <c r="I120" s="97" t="s">
        <v>13272</v>
      </c>
      <c r="J120" s="50" t="str">
        <f t="shared" si="1"/>
        <v>(${Variables:E1.8.4.11_kcat} * E1.8.4.11 * C03023 * C00343 * C00001)/(${Variables:E1.8.4.11_km} + (E1.8.4.11 * C03023 * C00343 * C00001))</v>
      </c>
      <c r="K120" s="98" t="str">
        <f t="shared" si="2"/>
        <v>r162: C03023 + C00343 + C00001 -&gt; C03895 + C00342 | (${Variables:E1.8.4.11_kcat} * E1.8.4.11 * C03023 * C00343 * C00001)/(${Variables:E1.8.4.11_km} + (E1.8.4.11 * C03023 * C00343 * C00001))</v>
      </c>
    </row>
    <row r="121" spans="1:11" ht="14">
      <c r="A121" s="50" t="s">
        <v>1624</v>
      </c>
      <c r="B121" s="50" t="s">
        <v>1625</v>
      </c>
      <c r="C121" s="56" t="s">
        <v>13273</v>
      </c>
      <c r="D121" s="50">
        <v>165</v>
      </c>
      <c r="E121" s="50" t="str">
        <f t="shared" si="0"/>
        <v>E1.8.4.12</v>
      </c>
      <c r="F121" s="97" t="s">
        <v>13274</v>
      </c>
      <c r="G121" s="97" t="s">
        <v>13275</v>
      </c>
      <c r="H121" s="97" t="s">
        <v>13276</v>
      </c>
      <c r="I121" s="97" t="s">
        <v>13277</v>
      </c>
      <c r="J121" s="50" t="str">
        <f t="shared" si="1"/>
        <v>(${Variables:E1.8.4.12_kcat} * E1.8.4.12 * C03023 * C00343 * C00001)/(${Variables:E1.8.4.12_km} + (E1.8.4.12 * C03023 * C00343 * C00001))</v>
      </c>
      <c r="K121" s="98" t="str">
        <f t="shared" si="2"/>
        <v>r165: C03023 + C00343 + C00001 -&gt; C15653 + C00342 | (${Variables:E1.8.4.12_kcat} * E1.8.4.12 * C03023 * C00343 * C00001)/(${Variables:E1.8.4.12_km} + (E1.8.4.12 * C03023 * C00343 * C00001))</v>
      </c>
    </row>
    <row r="122" spans="1:11" ht="14">
      <c r="A122" s="50" t="s">
        <v>1299</v>
      </c>
      <c r="B122" s="50" t="s">
        <v>1300</v>
      </c>
      <c r="C122" s="56" t="s">
        <v>13278</v>
      </c>
      <c r="D122" s="50">
        <v>166</v>
      </c>
      <c r="E122" s="50" t="str">
        <f t="shared" si="0"/>
        <v>E1.97.1.4</v>
      </c>
      <c r="F122" s="97" t="s">
        <v>13279</v>
      </c>
      <c r="G122" s="97" t="s">
        <v>13280</v>
      </c>
      <c r="H122" s="97" t="s">
        <v>13281</v>
      </c>
      <c r="I122" s="97" t="s">
        <v>13282</v>
      </c>
      <c r="J122" s="50" t="str">
        <f t="shared" si="1"/>
        <v>(${Variables:E1.97.1.4_kcat} * E1.97.1.4 * C00019 * C05196 * C05197)/(${Variables:E1.97.1.4_km} + (E1.97.1.4 * C00019 * C05196 * C05197))</v>
      </c>
      <c r="K122" s="98" t="str">
        <f t="shared" si="2"/>
        <v>r166: C00019 + C05196 + C05197 -&gt; C05198 + C00073 + C05199 + C05312 | (${Variables:E1.97.1.4_kcat} * E1.97.1.4 * C00019 * C05196 * C05197)/(${Variables:E1.97.1.4_km} + (E1.97.1.4 * C00019 * C05196 * C05197))</v>
      </c>
    </row>
    <row r="123" spans="1:11" ht="14">
      <c r="A123" s="50" t="s">
        <v>6628</v>
      </c>
      <c r="B123" s="50" t="s">
        <v>6629</v>
      </c>
      <c r="C123" s="56" t="s">
        <v>13283</v>
      </c>
      <c r="D123" s="50">
        <v>167</v>
      </c>
      <c r="E123" s="50" t="str">
        <f t="shared" si="0"/>
        <v>E2.1.1.14</v>
      </c>
      <c r="F123" s="97" t="s">
        <v>13284</v>
      </c>
      <c r="G123" s="97" t="s">
        <v>13285</v>
      </c>
      <c r="H123" s="97" t="s">
        <v>13286</v>
      </c>
      <c r="I123" s="97" t="s">
        <v>13287</v>
      </c>
      <c r="J123" s="50" t="str">
        <f t="shared" si="1"/>
        <v>(${Variables:E2.1.1.14_kcat} * E2.1.1.14 * C04489 * C00155)/(${Variables:E2.1.1.14_km} + (E2.1.1.14 * C04489 * C00155))</v>
      </c>
      <c r="K123" s="98" t="str">
        <f t="shared" si="2"/>
        <v>r167: C04489 + C00155 -&gt; C04144 + C00073 | (${Variables:E2.1.1.14_kcat} * E2.1.1.14 * C04489 * C00155)/(${Variables:E2.1.1.14_km} + (E2.1.1.14 * C04489 * C00155))</v>
      </c>
    </row>
    <row r="124" spans="1:11" ht="14">
      <c r="A124" s="50" t="s">
        <v>6628</v>
      </c>
      <c r="B124" s="50" t="s">
        <v>6629</v>
      </c>
      <c r="C124" s="56" t="s">
        <v>13288</v>
      </c>
      <c r="D124" s="50">
        <v>168</v>
      </c>
      <c r="E124" s="50" t="str">
        <f t="shared" si="0"/>
        <v>E2.1.1.14</v>
      </c>
      <c r="F124" s="97" t="s">
        <v>13289</v>
      </c>
      <c r="G124" s="97" t="s">
        <v>13290</v>
      </c>
      <c r="H124" s="97" t="s">
        <v>13291</v>
      </c>
      <c r="I124" s="97" t="s">
        <v>13292</v>
      </c>
      <c r="J124" s="50" t="str">
        <f t="shared" si="1"/>
        <v>(${Variables:E2.1.1.14_kcat} * E2.1.1.14 * C05698 * C04489)/(${Variables:E2.1.1.14_km} + (E2.1.1.14 * C05698 * C04489))</v>
      </c>
      <c r="K124" s="98" t="str">
        <f t="shared" si="2"/>
        <v>r168: C05698 + C04489 -&gt; C05335 + C04144 | (${Variables:E2.1.1.14_kcat} * E2.1.1.14 * C05698 * C04489)/(${Variables:E2.1.1.14_km} + (E2.1.1.14 * C05698 * C04489))</v>
      </c>
    </row>
    <row r="125" spans="1:11" ht="14">
      <c r="A125" s="50" t="s">
        <v>4610</v>
      </c>
      <c r="B125" s="50" t="s">
        <v>4611</v>
      </c>
      <c r="C125" s="56" t="s">
        <v>13293</v>
      </c>
      <c r="D125" s="50">
        <v>169</v>
      </c>
      <c r="E125" s="50" t="str">
        <f t="shared" si="0"/>
        <v>E2.1.1.170</v>
      </c>
      <c r="F125" s="104" t="s">
        <v>7965</v>
      </c>
      <c r="G125" s="104" t="s">
        <v>7965</v>
      </c>
      <c r="H125" s="104" t="s">
        <v>7966</v>
      </c>
      <c r="I125" s="104" t="s">
        <v>7966</v>
      </c>
      <c r="J125" s="50" t="str">
        <f t="shared" si="1"/>
        <v>(${Variables:E2.1.1.170_kcat} * E2.1.1.170 * C00019)/(${Variables:E2.1.1.170_km} + (E2.1.1.170 * C00019))</v>
      </c>
      <c r="K125" s="98" t="str">
        <f t="shared" si="2"/>
        <v>r169: C00019 -&gt; C00021 | (${Variables:E2.1.1.170_kcat} * E2.1.1.170 * C00019)/(${Variables:E2.1.1.170_km} + (E2.1.1.170 * C00019))</v>
      </c>
    </row>
    <row r="126" spans="1:11" ht="14">
      <c r="A126" s="50" t="s">
        <v>1022</v>
      </c>
      <c r="B126" s="50" t="s">
        <v>1023</v>
      </c>
      <c r="C126" s="56" t="s">
        <v>13294</v>
      </c>
      <c r="D126" s="50">
        <v>170</v>
      </c>
      <c r="E126" s="50" t="str">
        <f t="shared" si="0"/>
        <v>E2.1.1.171</v>
      </c>
      <c r="F126" s="97" t="s">
        <v>13295</v>
      </c>
      <c r="G126" s="97" t="s">
        <v>13296</v>
      </c>
      <c r="H126" s="97" t="s">
        <v>13297</v>
      </c>
      <c r="I126" s="97" t="s">
        <v>13298</v>
      </c>
      <c r="J126" s="50" t="str">
        <f t="shared" si="1"/>
        <v>(${Variables:E2.1.1.171_kcat} * E2.1.1.171 * C00019 * C00240)/(${Variables:E2.1.1.171_km} + (E2.1.1.171 * C00019 * C00240))</v>
      </c>
      <c r="K126" s="98" t="str">
        <f t="shared" si="2"/>
        <v>r170: C00019 + C00240 -&gt; C00021 + C04153 | (${Variables:E2.1.1.171_kcat} * E2.1.1.171 * C00019 * C00240)/(${Variables:E2.1.1.171_km} + (E2.1.1.171 * C00019 * C00240))</v>
      </c>
    </row>
    <row r="127" spans="1:11" ht="14">
      <c r="A127" s="50" t="s">
        <v>5930</v>
      </c>
      <c r="B127" s="50" t="s">
        <v>5931</v>
      </c>
      <c r="C127" s="56" t="s">
        <v>13299</v>
      </c>
      <c r="D127" s="50">
        <v>175</v>
      </c>
      <c r="E127" s="50" t="str">
        <f t="shared" si="0"/>
        <v>E2.1.1.182</v>
      </c>
      <c r="F127" s="97" t="s">
        <v>17379</v>
      </c>
      <c r="G127" s="97" t="s">
        <v>17380</v>
      </c>
      <c r="H127" s="97" t="s">
        <v>17381</v>
      </c>
      <c r="I127" s="97" t="s">
        <v>17382</v>
      </c>
      <c r="J127" s="50" t="str">
        <f t="shared" si="1"/>
        <v>(${Variables:E2.1.1.182_kcat} * E2.1.1.182 * C00019 * C20648)/(${Variables:E2.1.1.182_km} + (E2.1.1.182 * C00019 * C20648))</v>
      </c>
      <c r="K127" s="98" t="str">
        <f t="shared" si="2"/>
        <v>r175: C00019 + C20648 -&gt; C00021 + C20796 | (${Variables:E2.1.1.182_kcat} * E2.1.1.182 * C00019 * C20648)/(${Variables:E2.1.1.182_km} + (E2.1.1.182 * C00019 * C20648))</v>
      </c>
    </row>
    <row r="128" spans="1:11" ht="14">
      <c r="A128" s="50" t="s">
        <v>3378</v>
      </c>
      <c r="B128" s="50" t="s">
        <v>3379</v>
      </c>
      <c r="C128" s="56" t="s">
        <v>13300</v>
      </c>
      <c r="D128" s="50">
        <v>181</v>
      </c>
      <c r="E128" s="50" t="str">
        <f t="shared" si="0"/>
        <v>E2.1.1.222</v>
      </c>
      <c r="F128" s="97" t="s">
        <v>13301</v>
      </c>
      <c r="G128" s="97" t="s">
        <v>13302</v>
      </c>
      <c r="H128" s="97" t="s">
        <v>13303</v>
      </c>
      <c r="I128" s="97" t="s">
        <v>13304</v>
      </c>
      <c r="J128" s="50" t="str">
        <f t="shared" si="1"/>
        <v>(${Variables:E2.1.1.222_kcat} * E2.1.1.222 * C05811 * C00019)/(${Variables:E2.1.1.222_km} + (E2.1.1.222 * C05811 * C00019))</v>
      </c>
      <c r="K128" s="98" t="str">
        <f t="shared" si="2"/>
        <v>r181: C05811 + C00019 -&gt; C05812 + C00021 | (${Variables:E2.1.1.222_kcat} * E2.1.1.222 * C05811 * C00019)/(${Variables:E2.1.1.222_km} + (E2.1.1.222 * C05811 * C00019))</v>
      </c>
    </row>
    <row r="129" spans="1:11" ht="14">
      <c r="A129" s="50" t="s">
        <v>3378</v>
      </c>
      <c r="B129" s="50" t="s">
        <v>3379</v>
      </c>
      <c r="C129" s="56" t="s">
        <v>13305</v>
      </c>
      <c r="D129" s="50">
        <v>182</v>
      </c>
      <c r="E129" s="50" t="str">
        <f t="shared" si="0"/>
        <v>E2.1.1.222</v>
      </c>
      <c r="F129" s="97" t="s">
        <v>13306</v>
      </c>
      <c r="G129" s="97" t="s">
        <v>13307</v>
      </c>
      <c r="H129" s="97" t="s">
        <v>13308</v>
      </c>
      <c r="I129" s="97" t="s">
        <v>13309</v>
      </c>
      <c r="J129" s="50" t="str">
        <f t="shared" si="1"/>
        <v>(${Variables:E2.1.1.222_kcat} * E2.1.1.222 * C17551 * C00019)/(${Variables:E2.1.1.222_km} + (E2.1.1.222 * C17551 * C00019))</v>
      </c>
      <c r="K129" s="98" t="str">
        <f t="shared" si="2"/>
        <v>r182: C17551 + C00019 -&gt; C17552 + C00021 | (${Variables:E2.1.1.222_kcat} * E2.1.1.222 * C17551 * C00019)/(${Variables:E2.1.1.222_km} + (E2.1.1.222 * C17551 * C00019))</v>
      </c>
    </row>
    <row r="130" spans="1:11" ht="14">
      <c r="A130" s="50" t="s">
        <v>1846</v>
      </c>
      <c r="B130" s="50" t="s">
        <v>1847</v>
      </c>
      <c r="C130" s="56" t="s">
        <v>13310</v>
      </c>
      <c r="D130" s="50">
        <v>188</v>
      </c>
      <c r="E130" s="50" t="str">
        <f t="shared" si="0"/>
        <v>E2.1.1.228</v>
      </c>
      <c r="F130" s="97" t="s">
        <v>13311</v>
      </c>
      <c r="G130" s="97" t="s">
        <v>13312</v>
      </c>
      <c r="H130" s="97" t="s">
        <v>13313</v>
      </c>
      <c r="I130" s="97" t="s">
        <v>13314</v>
      </c>
      <c r="J130" s="50" t="str">
        <f t="shared" si="1"/>
        <v>(${Variables:E2.1.1.228_kcat} * E2.1.1.228 * C00019 * C01977)/(${Variables:E2.1.1.228_km} + (E2.1.1.228 * C00019 * C01977))</v>
      </c>
      <c r="K130" s="98" t="str">
        <f t="shared" si="2"/>
        <v>r188: C00019 + C01977 -&gt; C00021 + C04157 | (${Variables:E2.1.1.228_kcat} * E2.1.1.228 * C00019 * C01977)/(${Variables:E2.1.1.228_km} + (E2.1.1.228 * C00019 * C01977))</v>
      </c>
    </row>
    <row r="131" spans="1:11" ht="14">
      <c r="A131" s="50" t="s">
        <v>520</v>
      </c>
      <c r="B131" s="50" t="s">
        <v>521</v>
      </c>
      <c r="C131" s="56" t="s">
        <v>13315</v>
      </c>
      <c r="D131" s="50">
        <v>189</v>
      </c>
      <c r="E131" s="50" t="str">
        <f t="shared" si="0"/>
        <v>E2.1.1.297</v>
      </c>
      <c r="F131" s="97" t="s">
        <v>13316</v>
      </c>
      <c r="G131" s="97" t="s">
        <v>13317</v>
      </c>
      <c r="H131" s="97" t="s">
        <v>13318</v>
      </c>
      <c r="I131" s="97" t="s">
        <v>13319</v>
      </c>
      <c r="J131" s="50" t="str">
        <f t="shared" si="1"/>
        <v>(${Variables:E2.1.1.297_kcat} * E2.1.1.297 * C02583 * C00019)/(${Variables:E2.1.1.297_km} + (E2.1.1.297 * C02583 * C00019))</v>
      </c>
      <c r="K131" s="98" t="str">
        <f t="shared" si="2"/>
        <v>r189: C02583 + C00019 -&gt; C20858 + C00021 | (${Variables:E2.1.1.297_kcat} * E2.1.1.297 * C02583 * C00019)/(${Variables:E2.1.1.297_km} + (E2.1.1.297 * C02583 * C00019))</v>
      </c>
    </row>
    <row r="132" spans="1:11" ht="14">
      <c r="A132" s="50" t="s">
        <v>2228</v>
      </c>
      <c r="B132" s="50" t="s">
        <v>2229</v>
      </c>
      <c r="C132" s="50" t="s">
        <v>7988</v>
      </c>
      <c r="D132" s="50">
        <v>190</v>
      </c>
      <c r="E132" s="50" t="str">
        <f t="shared" si="0"/>
        <v>E2.1.1.33</v>
      </c>
      <c r="F132" s="97" t="s">
        <v>13320</v>
      </c>
      <c r="G132" s="97" t="s">
        <v>13321</v>
      </c>
      <c r="H132" s="97" t="s">
        <v>13322</v>
      </c>
      <c r="I132" s="97" t="s">
        <v>13323</v>
      </c>
      <c r="J132" s="50" t="str">
        <f t="shared" si="1"/>
        <v>(${Variables:E2.1.1.33_kcat} * E2.1.1.33 * C00019 * C01977)/(${Variables:E2.1.1.33_km} + (E2.1.1.33 * C00019 * C01977))</v>
      </c>
      <c r="K132" s="98" t="str">
        <f t="shared" si="2"/>
        <v>r190: C00019 + C01977 -&gt; C00021 + C04160 | (${Variables:E2.1.1.33_kcat} * E2.1.1.33 * C00019 * C01977)/(${Variables:E2.1.1.33_km} + (E2.1.1.33 * C00019 * C01977))</v>
      </c>
    </row>
    <row r="133" spans="1:11" ht="14">
      <c r="A133" s="50" t="s">
        <v>1211</v>
      </c>
      <c r="B133" s="50" t="s">
        <v>1212</v>
      </c>
      <c r="C133" s="56" t="s">
        <v>13324</v>
      </c>
      <c r="D133" s="50">
        <v>191</v>
      </c>
      <c r="E133" s="50" t="str">
        <f t="shared" si="0"/>
        <v>E2.1.1.45</v>
      </c>
      <c r="F133" s="97" t="s">
        <v>13325</v>
      </c>
      <c r="G133" s="97" t="s">
        <v>13326</v>
      </c>
      <c r="H133" s="97" t="s">
        <v>13327</v>
      </c>
      <c r="I133" s="97" t="s">
        <v>13328</v>
      </c>
      <c r="J133" s="50" t="str">
        <f t="shared" si="1"/>
        <v>(${Variables:E2.1.1.45_kcat} * E2.1.1.45 * C00365 * C00143)/(${Variables:E2.1.1.45_km} + (E2.1.1.45 * C00365 * C00143))</v>
      </c>
      <c r="K133" s="98" t="str">
        <f t="shared" si="2"/>
        <v>r191: C00365 + C00143 -&gt; C00415 + C00364 | (${Variables:E2.1.1.45_kcat} * E2.1.1.45 * C00365 * C00143)/(${Variables:E2.1.1.45_km} + (E2.1.1.45 * C00365 * C00143))</v>
      </c>
    </row>
    <row r="134" spans="1:11" ht="14">
      <c r="A134" s="50" t="s">
        <v>4768</v>
      </c>
      <c r="B134" s="50" t="s">
        <v>4769</v>
      </c>
      <c r="C134" s="56" t="s">
        <v>13329</v>
      </c>
      <c r="D134" s="50">
        <v>192</v>
      </c>
      <c r="E134" s="50" t="str">
        <f t="shared" si="0"/>
        <v>E2.1.1.63</v>
      </c>
      <c r="F134" s="97" t="s">
        <v>13330</v>
      </c>
      <c r="G134" s="97" t="s">
        <v>13331</v>
      </c>
      <c r="H134" s="97" t="s">
        <v>13332</v>
      </c>
      <c r="I134" s="97" t="s">
        <v>13333</v>
      </c>
      <c r="J134" s="50" t="str">
        <f t="shared" si="1"/>
        <v>(${Variables:E2.1.1.63_kcat} * E2.1.1.63 * C04250 * C02743)/(${Variables:E2.1.1.63_km} + (E2.1.1.63 * C04250 * C02743))</v>
      </c>
      <c r="K134" s="98" t="str">
        <f t="shared" si="2"/>
        <v>r192: C04250 + C02743 -&gt; C03800 + C11475 | (${Variables:E2.1.1.63_kcat} * E2.1.1.63 * C04250 * C02743)/(${Variables:E2.1.1.63_km} + (E2.1.1.63 * C04250 * C02743))</v>
      </c>
    </row>
    <row r="135" spans="1:11" ht="14">
      <c r="A135" s="50" t="s">
        <v>3378</v>
      </c>
      <c r="B135" s="50" t="s">
        <v>3379</v>
      </c>
      <c r="C135" s="57" t="s">
        <v>7995</v>
      </c>
      <c r="D135" s="50">
        <v>193</v>
      </c>
      <c r="E135" s="50" t="str">
        <f t="shared" si="0"/>
        <v>E2.1.1.64</v>
      </c>
      <c r="F135" s="97" t="s">
        <v>13334</v>
      </c>
      <c r="G135" s="97" t="s">
        <v>13335</v>
      </c>
      <c r="H135" s="97" t="s">
        <v>13336</v>
      </c>
      <c r="I135" s="97" t="s">
        <v>13337</v>
      </c>
      <c r="J135" s="50" t="str">
        <f t="shared" si="1"/>
        <v>(${Variables:E2.1.1.64_kcat} * E2.1.1.64 * C00019 * C21860)/(${Variables:E2.1.1.64_km} + (E2.1.1.64 * C00019 * C21860))</v>
      </c>
      <c r="K135" s="98" t="str">
        <f t="shared" si="2"/>
        <v>r193: C00019 + C21860 -&gt; C00021 + C00390 | (${Variables:E2.1.1.64_kcat} * E2.1.1.64 * C00019 * C21860)/(${Variables:E2.1.1.64_km} + (E2.1.1.64 * C00019 * C21860))</v>
      </c>
    </row>
    <row r="136" spans="1:11" ht="14">
      <c r="A136" s="50" t="s">
        <v>3378</v>
      </c>
      <c r="B136" s="50" t="s">
        <v>3379</v>
      </c>
      <c r="C136" s="57" t="s">
        <v>7995</v>
      </c>
      <c r="D136" s="50">
        <v>194</v>
      </c>
      <c r="E136" s="50" t="str">
        <f t="shared" si="0"/>
        <v>E2.1.1.64</v>
      </c>
      <c r="F136" s="97" t="s">
        <v>13338</v>
      </c>
      <c r="G136" s="97" t="s">
        <v>13339</v>
      </c>
      <c r="H136" s="97" t="s">
        <v>13340</v>
      </c>
      <c r="I136" s="97" t="s">
        <v>13341</v>
      </c>
      <c r="J136" s="50" t="str">
        <f t="shared" si="1"/>
        <v>(${Variables:E2.1.1.64_kcat} * E2.1.1.64 * C17562 * C00019)/(${Variables:E2.1.1.64_km} + (E2.1.1.64 * C17562 * C00019))</v>
      </c>
      <c r="K136" s="98" t="str">
        <f t="shared" si="2"/>
        <v>r194: C17562 + C00019 -&gt; C00399 + C00021 | (${Variables:E2.1.1.64_kcat} * E2.1.1.64 * C17562 * C00019)/(${Variables:E2.1.1.64_km} + (E2.1.1.64 * C17562 * C00019))</v>
      </c>
    </row>
    <row r="137" spans="1:11" ht="14">
      <c r="A137" s="50" t="s">
        <v>3069</v>
      </c>
      <c r="B137" s="50" t="s">
        <v>3070</v>
      </c>
      <c r="C137" s="56" t="s">
        <v>13342</v>
      </c>
      <c r="D137" s="50">
        <v>199</v>
      </c>
      <c r="E137" s="50" t="str">
        <f t="shared" si="0"/>
        <v>E2.1.1.72</v>
      </c>
      <c r="F137" s="97" t="s">
        <v>13343</v>
      </c>
      <c r="G137" s="97" t="s">
        <v>13344</v>
      </c>
      <c r="H137" s="97" t="s">
        <v>13345</v>
      </c>
      <c r="I137" s="97" t="s">
        <v>13346</v>
      </c>
      <c r="J137" s="50" t="str">
        <f t="shared" si="1"/>
        <v>(${Variables:E2.1.1.72_kcat} * E2.1.1.72 * C00019 * C00821)/(${Variables:E2.1.1.72_km} + (E2.1.1.72 * C00019 * C00821))</v>
      </c>
      <c r="K137" s="98" t="str">
        <f t="shared" si="2"/>
        <v>r199: C00019 + C00821 -&gt; C00021 + C03391 | (${Variables:E2.1.1.72_kcat} * E2.1.1.72 * C00019 * C00821)/(${Variables:E2.1.1.72_km} + (E2.1.1.72 * C00019 * C00821))</v>
      </c>
    </row>
    <row r="138" spans="1:11" ht="14">
      <c r="A138" s="50" t="s">
        <v>527</v>
      </c>
      <c r="B138" s="50" t="s">
        <v>528</v>
      </c>
      <c r="C138" s="56" t="s">
        <v>13347</v>
      </c>
      <c r="D138" s="50">
        <v>200</v>
      </c>
      <c r="E138" s="50" t="str">
        <f t="shared" si="0"/>
        <v>E2.1.2.1</v>
      </c>
      <c r="F138" s="97" t="s">
        <v>13348</v>
      </c>
      <c r="G138" s="97" t="s">
        <v>13349</v>
      </c>
      <c r="H138" s="97" t="s">
        <v>13350</v>
      </c>
      <c r="I138" s="97" t="s">
        <v>13351</v>
      </c>
      <c r="J138" s="50" t="str">
        <f t="shared" si="1"/>
        <v>(${Variables:E2.1.2.1_kcat} * E2.1.2.1 * C00065 * C01217)/(${Variables:E2.1.2.1_km} + (E2.1.2.1 * C00065 * C01217))</v>
      </c>
      <c r="K138" s="98" t="str">
        <f t="shared" si="2"/>
        <v>r200: C00065 + C01217 -&gt; C04377 + C00037 + C00001 | (${Variables:E2.1.2.1_kcat} * E2.1.2.1 * C00065 * C01217)/(${Variables:E2.1.2.1_km} + (E2.1.2.1 * C00065 * C01217))</v>
      </c>
    </row>
    <row r="139" spans="1:11" ht="14">
      <c r="A139" s="50" t="s">
        <v>527</v>
      </c>
      <c r="B139" s="50" t="s">
        <v>528</v>
      </c>
      <c r="C139" s="56" t="s">
        <v>13352</v>
      </c>
      <c r="D139" s="50">
        <v>201</v>
      </c>
      <c r="E139" s="50" t="str">
        <f t="shared" si="0"/>
        <v>E2.1.2.1</v>
      </c>
      <c r="F139" s="97" t="s">
        <v>13353</v>
      </c>
      <c r="G139" s="97" t="s">
        <v>13354</v>
      </c>
      <c r="H139" s="97" t="s">
        <v>13355</v>
      </c>
      <c r="I139" s="97" t="s">
        <v>13356</v>
      </c>
      <c r="J139" s="50" t="str">
        <f t="shared" si="1"/>
        <v>(${Variables:E2.1.2.1_kcat} * E2.1.2.1 * C00143 * C00037 * C00001)/(${Variables:E2.1.2.1_km} + (E2.1.2.1 * C00143 * C00037 * C00001))</v>
      </c>
      <c r="K139" s="98" t="str">
        <f t="shared" si="2"/>
        <v>r201: C00143 + C00037 + C00001 -&gt; C00101 + C00065 | (${Variables:E2.1.2.1_kcat} * E2.1.2.1 * C00143 * C00037 * C00001)/(${Variables:E2.1.2.1_km} + (E2.1.2.1 * C00143 * C00037 * C00001))</v>
      </c>
    </row>
    <row r="140" spans="1:11" ht="14">
      <c r="A140" s="50" t="s">
        <v>2316</v>
      </c>
      <c r="B140" s="50" t="s">
        <v>2317</v>
      </c>
      <c r="C140" s="56" t="s">
        <v>13357</v>
      </c>
      <c r="D140" s="50">
        <v>202</v>
      </c>
      <c r="E140" s="50" t="str">
        <f t="shared" si="0"/>
        <v>E2.1.2.2</v>
      </c>
      <c r="F140" s="97" t="s">
        <v>13358</v>
      </c>
      <c r="G140" s="97" t="s">
        <v>13359</v>
      </c>
      <c r="H140" s="97" t="s">
        <v>13360</v>
      </c>
      <c r="I140" s="97" t="s">
        <v>13361</v>
      </c>
      <c r="J140" s="50" t="str">
        <f t="shared" si="1"/>
        <v>(${Variables:E2.1.2.2_kcat} * E2.1.2.2 * C00234 * C03838)/(${Variables:E2.1.2.2_km} + (E2.1.2.2 * C00234 * C03838))</v>
      </c>
      <c r="K140" s="98" t="str">
        <f t="shared" si="2"/>
        <v>r202: C00234 + C03838 -&gt; C00101 + C04376 | (${Variables:E2.1.2.2_kcat} * E2.1.2.2 * C00234 * C03838)/(${Variables:E2.1.2.2_km} + (E2.1.2.2 * C00234 * C03838))</v>
      </c>
    </row>
    <row r="141" spans="1:11" ht="14">
      <c r="A141" s="50" t="s">
        <v>2316</v>
      </c>
      <c r="B141" s="50" t="s">
        <v>2317</v>
      </c>
      <c r="C141" s="56" t="s">
        <v>13362</v>
      </c>
      <c r="D141" s="50">
        <v>203</v>
      </c>
      <c r="E141" s="50" t="str">
        <f t="shared" si="0"/>
        <v>E2.1.2.2</v>
      </c>
      <c r="F141" s="97" t="s">
        <v>13363</v>
      </c>
      <c r="G141" s="97" t="s">
        <v>13364</v>
      </c>
      <c r="H141" s="97" t="s">
        <v>13365</v>
      </c>
      <c r="I141" s="97" t="s">
        <v>13366</v>
      </c>
      <c r="J141" s="50" t="str">
        <f t="shared" si="1"/>
        <v>(${Variables:E2.1.2.2_kcat} * E2.1.2.2 * C03838 * C00445 * C00001)/(${Variables:E2.1.2.2_km} + (E2.1.2.2 * C03838 * C00445 * C00001))</v>
      </c>
      <c r="K141" s="98" t="str">
        <f t="shared" si="2"/>
        <v>r203: C03838 + C00445 + C00001 -&gt; C04376 + C00101 | (${Variables:E2.1.2.2_kcat} * E2.1.2.2 * C03838 * C00445 * C00001)/(${Variables:E2.1.2.2_km} + (E2.1.2.2 * C03838 * C00445 * C00001))</v>
      </c>
    </row>
    <row r="142" spans="1:11" ht="14">
      <c r="A142" s="50" t="s">
        <v>2312</v>
      </c>
      <c r="B142" s="50" t="s">
        <v>2313</v>
      </c>
      <c r="C142" s="56" t="s">
        <v>13367</v>
      </c>
      <c r="D142" s="50">
        <v>204</v>
      </c>
      <c r="E142" s="50" t="str">
        <f t="shared" si="0"/>
        <v>E2.1.2.3</v>
      </c>
      <c r="F142" s="97" t="s">
        <v>13368</v>
      </c>
      <c r="G142" s="97" t="s">
        <v>13369</v>
      </c>
      <c r="H142" s="97" t="s">
        <v>13370</v>
      </c>
      <c r="I142" s="97" t="s">
        <v>13371</v>
      </c>
      <c r="J142" s="50" t="str">
        <f t="shared" si="1"/>
        <v>(${Variables:E2.1.2.3_kcat} * E2.1.2.3 * C00234 * C04677)/(${Variables:E2.1.2.3_km} + (E2.1.2.3 * C00234 * C04677))</v>
      </c>
      <c r="K142" s="98" t="str">
        <f t="shared" si="2"/>
        <v>r204: C00234 + C04677 -&gt; C00101 + C04734 | (${Variables:E2.1.2.3_kcat} * E2.1.2.3 * C00234 * C04677)/(${Variables:E2.1.2.3_km} + (E2.1.2.3 * C00234 * C04677))</v>
      </c>
    </row>
    <row r="143" spans="1:11" ht="14">
      <c r="A143" s="50" t="s">
        <v>1939</v>
      </c>
      <c r="B143" s="50" t="s">
        <v>1940</v>
      </c>
      <c r="C143" s="56" t="s">
        <v>13372</v>
      </c>
      <c r="D143" s="50">
        <v>205</v>
      </c>
      <c r="E143" s="50" t="str">
        <f t="shared" si="0"/>
        <v>E2.1.2.9</v>
      </c>
      <c r="F143" s="97" t="s">
        <v>13373</v>
      </c>
      <c r="G143" s="97" t="s">
        <v>13374</v>
      </c>
      <c r="H143" s="97" t="s">
        <v>13375</v>
      </c>
      <c r="I143" s="97" t="s">
        <v>13376</v>
      </c>
      <c r="J143" s="50" t="str">
        <f t="shared" si="1"/>
        <v>(${Variables:E2.1.2.9_kcat} * E2.1.2.9 * C02430 * C00234)/(${Variables:E2.1.2.9_km} + (E2.1.2.9 * C02430 * C00234))</v>
      </c>
      <c r="K143" s="98" t="str">
        <f t="shared" si="2"/>
        <v>r205: C02430 + C00234 -&gt; C00101 + C03294 | (${Variables:E2.1.2.9_kcat} * E2.1.2.9 * C02430 * C00234)/(${Variables:E2.1.2.9_km} + (E2.1.2.9 * C02430 * C00234))</v>
      </c>
    </row>
    <row r="144" spans="1:11" ht="14">
      <c r="A144" s="50" t="s">
        <v>1425</v>
      </c>
      <c r="B144" s="50" t="s">
        <v>1426</v>
      </c>
      <c r="C144" s="56" t="s">
        <v>13377</v>
      </c>
      <c r="D144" s="50">
        <v>206</v>
      </c>
      <c r="E144" s="50" t="str">
        <f t="shared" si="0"/>
        <v>E2.1.3.2</v>
      </c>
      <c r="F144" s="97" t="s">
        <v>13378</v>
      </c>
      <c r="G144" s="97" t="s">
        <v>13379</v>
      </c>
      <c r="H144" s="97" t="s">
        <v>13380</v>
      </c>
      <c r="I144" s="97" t="s">
        <v>13381</v>
      </c>
      <c r="J144" s="50" t="str">
        <f t="shared" si="1"/>
        <v>(${Variables:E2.1.3.2_kcat} * E2.1.3.2 * C00169 * C00049)/(${Variables:E2.1.3.2_km} + (E2.1.3.2 * C00169 * C00049))</v>
      </c>
      <c r="K144" s="98" t="str">
        <f t="shared" si="2"/>
        <v>r206: C00169 + C00049 -&gt; C00009 + C00438 | (${Variables:E2.1.3.2_kcat} * E2.1.3.2 * C00169 * C00049)/(${Variables:E2.1.3.2_km} + (E2.1.3.2 * C00169 * C00049))</v>
      </c>
    </row>
    <row r="145" spans="1:11" ht="14">
      <c r="A145" s="50" t="s">
        <v>5610</v>
      </c>
      <c r="B145" s="50" t="s">
        <v>5611</v>
      </c>
      <c r="C145" s="50" t="s">
        <v>8013</v>
      </c>
      <c r="D145" s="50">
        <v>207</v>
      </c>
      <c r="E145" s="50" t="str">
        <f t="shared" si="0"/>
        <v>E2.2.1.2</v>
      </c>
      <c r="F145" s="97" t="s">
        <v>13382</v>
      </c>
      <c r="G145" s="97" t="s">
        <v>13383</v>
      </c>
      <c r="H145" s="97" t="s">
        <v>13384</v>
      </c>
      <c r="I145" s="97" t="s">
        <v>13385</v>
      </c>
      <c r="J145" s="50" t="str">
        <f t="shared" si="1"/>
        <v>(${Variables:E2.2.1.2_kcat} * E2.2.1.2 * C05382 * C00118)/(${Variables:E2.2.1.2_km} + (E2.2.1.2 * C05382 * C00118))</v>
      </c>
      <c r="K145" s="98" t="str">
        <f t="shared" si="2"/>
        <v>r207: C05382 + C00118 -&gt; C00279 + C00085 | (${Variables:E2.2.1.2_kcat} * E2.2.1.2 * C05382 * C00118)/(${Variables:E2.2.1.2_km} + (E2.2.1.2 * C05382 * C00118))</v>
      </c>
    </row>
    <row r="146" spans="1:11" ht="14">
      <c r="A146" s="50" t="s">
        <v>2573</v>
      </c>
      <c r="B146" s="50" t="s">
        <v>2574</v>
      </c>
      <c r="C146" s="56" t="s">
        <v>13386</v>
      </c>
      <c r="D146" s="50">
        <v>208</v>
      </c>
      <c r="E146" s="50" t="str">
        <f t="shared" si="0"/>
        <v>E2.2.1.6</v>
      </c>
      <c r="F146" s="97" t="s">
        <v>13387</v>
      </c>
      <c r="G146" s="97" t="s">
        <v>13388</v>
      </c>
      <c r="H146" s="97" t="s">
        <v>13389</v>
      </c>
      <c r="I146" s="97" t="s">
        <v>13390</v>
      </c>
      <c r="J146" s="50" t="str">
        <f t="shared" si="1"/>
        <v>(${Variables:E2.2.1.6_kcat} * E2.2.1.6 * C00022 * C00068)/(${Variables:E2.2.1.6_km} + (E2.2.1.6 * C00022 * C00068))</v>
      </c>
      <c r="K146" s="98" t="str">
        <f t="shared" si="2"/>
        <v>r208: C00022 + C00068 -&gt; C05125 + C00011 | (${Variables:E2.2.1.6_kcat} * E2.2.1.6 * C00022 * C00068)/(${Variables:E2.2.1.6_km} + (E2.2.1.6 * C00022 * C00068))</v>
      </c>
    </row>
    <row r="147" spans="1:11" ht="14">
      <c r="A147" s="50" t="s">
        <v>2573</v>
      </c>
      <c r="B147" s="50" t="s">
        <v>2574</v>
      </c>
      <c r="C147" s="56" t="s">
        <v>13391</v>
      </c>
      <c r="D147" s="50">
        <v>209</v>
      </c>
      <c r="E147" s="50" t="str">
        <f t="shared" si="0"/>
        <v>E2.2.1.6</v>
      </c>
      <c r="F147" s="97" t="s">
        <v>13392</v>
      </c>
      <c r="G147" s="97" t="s">
        <v>13393</v>
      </c>
      <c r="H147" s="97" t="s">
        <v>13394</v>
      </c>
      <c r="I147" s="97" t="s">
        <v>13395</v>
      </c>
      <c r="J147" s="50" t="str">
        <f t="shared" si="1"/>
        <v>(${Variables:E2.2.1.6_kcat} * E2.2.1.6 * C00022 * C00109)/(${Variables:E2.2.1.6_km} + (E2.2.1.6 * C00022 * C00109))</v>
      </c>
      <c r="K147" s="98" t="str">
        <f t="shared" si="2"/>
        <v>r209: C00022 + C00109 -&gt; C06006 + C00011 | (${Variables:E2.2.1.6_kcat} * E2.2.1.6 * C00022 * C00109)/(${Variables:E2.2.1.6_km} + (E2.2.1.6 * C00022 * C00109))</v>
      </c>
    </row>
    <row r="148" spans="1:11" ht="14">
      <c r="A148" s="50" t="s">
        <v>2573</v>
      </c>
      <c r="B148" s="50" t="s">
        <v>2574</v>
      </c>
      <c r="C148" s="56" t="s">
        <v>13396</v>
      </c>
      <c r="D148" s="50">
        <v>210</v>
      </c>
      <c r="E148" s="50" t="str">
        <f t="shared" si="0"/>
        <v>E2.2.1.6</v>
      </c>
      <c r="F148" s="97" t="s">
        <v>13397</v>
      </c>
      <c r="G148" s="97" t="s">
        <v>13398</v>
      </c>
      <c r="H148" s="97" t="s">
        <v>13399</v>
      </c>
      <c r="I148" s="97" t="s">
        <v>13400</v>
      </c>
      <c r="J148" s="50" t="str">
        <f t="shared" si="1"/>
        <v>(${Variables:E2.2.1.6_kcat} * E2.2.1.6 * C00109 * C05125)/(${Variables:E2.2.1.6_km} + (E2.2.1.6 * C00109 * C05125))</v>
      </c>
      <c r="K148" s="98" t="str">
        <f t="shared" si="2"/>
        <v>r210: C00109 + C05125 -&gt; C06006 + C00068 | (${Variables:E2.2.1.6_kcat} * E2.2.1.6 * C00109 * C05125)/(${Variables:E2.2.1.6_km} + (E2.2.1.6 * C00109 * C05125))</v>
      </c>
    </row>
    <row r="149" spans="1:11" ht="14">
      <c r="A149" s="50" t="s">
        <v>2573</v>
      </c>
      <c r="B149" s="50" t="s">
        <v>2574</v>
      </c>
      <c r="C149" s="56" t="s">
        <v>13401</v>
      </c>
      <c r="D149" s="50">
        <v>211</v>
      </c>
      <c r="E149" s="50" t="str">
        <f t="shared" si="0"/>
        <v>E2.2.1.6</v>
      </c>
      <c r="F149" s="97" t="s">
        <v>13402</v>
      </c>
      <c r="G149" s="97" t="s">
        <v>13403</v>
      </c>
      <c r="H149" s="97" t="s">
        <v>10997</v>
      </c>
      <c r="I149" s="97" t="s">
        <v>10997</v>
      </c>
      <c r="J149" s="50" t="str">
        <f t="shared" si="1"/>
        <v>(${Variables:E2.2.1.6_kcat} * E2.2.1.6 * C00900 * C00011)/(${Variables:E2.2.1.6_km} + (E2.2.1.6 * C00900 * C00011))</v>
      </c>
      <c r="K149" s="98" t="str">
        <f t="shared" si="2"/>
        <v>r211: C00900 + C00011 -&gt; C00022 | (${Variables:E2.2.1.6_kcat} * E2.2.1.6 * C00900 * C00011)/(${Variables:E2.2.1.6_km} + (E2.2.1.6 * C00900 * C00011))</v>
      </c>
    </row>
    <row r="150" spans="1:11" ht="14">
      <c r="A150" s="50" t="s">
        <v>2573</v>
      </c>
      <c r="B150" s="50" t="s">
        <v>2574</v>
      </c>
      <c r="C150" s="56" t="s">
        <v>13404</v>
      </c>
      <c r="D150" s="50">
        <v>212</v>
      </c>
      <c r="E150" s="50" t="str">
        <f t="shared" si="0"/>
        <v>E2.2.1.6</v>
      </c>
      <c r="F150" s="97" t="s">
        <v>13405</v>
      </c>
      <c r="G150" s="97" t="s">
        <v>13406</v>
      </c>
      <c r="H150" s="97" t="s">
        <v>13407</v>
      </c>
      <c r="I150" s="97" t="s">
        <v>13408</v>
      </c>
      <c r="J150" s="50" t="str">
        <f t="shared" si="1"/>
        <v>(${Variables:E2.2.1.6_kcat} * E2.2.1.6 * C00900 * C00068)/(${Variables:E2.2.1.6_km} + (E2.2.1.6 * C00900 * C00068))</v>
      </c>
      <c r="K150" s="98" t="str">
        <f t="shared" si="2"/>
        <v>r212: C00900 + C00068 -&gt; C05125 + C00022 | (${Variables:E2.2.1.6_kcat} * E2.2.1.6 * C00900 * C00068)/(${Variables:E2.2.1.6_km} + (E2.2.1.6 * C00900 * C00068))</v>
      </c>
    </row>
    <row r="151" spans="1:11" ht="14">
      <c r="A151" s="50" t="s">
        <v>2573</v>
      </c>
      <c r="B151" s="50" t="s">
        <v>2574</v>
      </c>
      <c r="C151" s="56" t="s">
        <v>13409</v>
      </c>
      <c r="D151" s="50">
        <v>213</v>
      </c>
      <c r="E151" s="50" t="str">
        <f t="shared" si="0"/>
        <v>E2.2.1.6</v>
      </c>
      <c r="F151" s="97" t="s">
        <v>13410</v>
      </c>
      <c r="G151" s="97" t="s">
        <v>13411</v>
      </c>
      <c r="H151" s="97" t="s">
        <v>10997</v>
      </c>
      <c r="I151" s="97" t="s">
        <v>10997</v>
      </c>
      <c r="J151" s="50" t="str">
        <f t="shared" si="1"/>
        <v>(${Variables:E2.2.1.6_kcat} * E2.2.1.6 * C06010 * C00011)/(${Variables:E2.2.1.6_km} + (E2.2.1.6 * C06010 * C00011))</v>
      </c>
      <c r="K151" s="98" t="str">
        <f t="shared" si="2"/>
        <v>r213: C06010 + C00011 -&gt; C00022 | (${Variables:E2.2.1.6_kcat} * E2.2.1.6 * C06010 * C00011)/(${Variables:E2.2.1.6_km} + (E2.2.1.6 * C06010 * C00011))</v>
      </c>
    </row>
    <row r="152" spans="1:11" ht="14">
      <c r="A152" s="50" t="s">
        <v>2573</v>
      </c>
      <c r="B152" s="50" t="s">
        <v>2574</v>
      </c>
      <c r="C152" s="56" t="s">
        <v>13412</v>
      </c>
      <c r="D152" s="50">
        <v>214</v>
      </c>
      <c r="E152" s="50" t="str">
        <f t="shared" si="0"/>
        <v>E2.2.1.6</v>
      </c>
      <c r="F152" s="97" t="s">
        <v>13413</v>
      </c>
      <c r="G152" s="97" t="s">
        <v>13414</v>
      </c>
      <c r="H152" s="97" t="s">
        <v>13415</v>
      </c>
      <c r="I152" s="97" t="s">
        <v>13416</v>
      </c>
      <c r="J152" s="50" t="str">
        <f t="shared" si="1"/>
        <v>(${Variables:E2.2.1.6_kcat} * E2.2.1.6 * C06010 * C00068)/(${Variables:E2.2.1.6_km} + (E2.2.1.6 * C06010 * C00068))</v>
      </c>
      <c r="K152" s="98" t="str">
        <f t="shared" si="2"/>
        <v>r214: C06010 + C00068 -&gt; C05125 + C00022 | (${Variables:E2.2.1.6_kcat} * E2.2.1.6 * C06010 * C00068)/(${Variables:E2.2.1.6_km} + (E2.2.1.6 * C06010 * C00068))</v>
      </c>
    </row>
    <row r="153" spans="1:11" ht="14">
      <c r="A153" s="50" t="s">
        <v>1283</v>
      </c>
      <c r="B153" s="50" t="s">
        <v>1284</v>
      </c>
      <c r="C153" s="56" t="s">
        <v>13417</v>
      </c>
      <c r="D153" s="50">
        <v>215</v>
      </c>
      <c r="E153" s="50" t="str">
        <f t="shared" si="0"/>
        <v>E2.3.1.15</v>
      </c>
      <c r="F153" s="97" t="s">
        <v>13418</v>
      </c>
      <c r="G153" s="97" t="s">
        <v>13419</v>
      </c>
      <c r="H153" s="97" t="s">
        <v>13420</v>
      </c>
      <c r="I153" s="97" t="s">
        <v>13421</v>
      </c>
      <c r="J153" s="50" t="str">
        <f t="shared" si="1"/>
        <v>(${Variables:E2.3.1.15_kcat} * E2.3.1.15 * C00093 * C00040)/(${Variables:E2.3.1.15_km} + (E2.3.1.15 * C00093 * C00040))</v>
      </c>
      <c r="K153" s="98" t="str">
        <f t="shared" si="2"/>
        <v>r215: C00093 + C00040 -&gt; C00681 + C00010 | (${Variables:E2.3.1.15_kcat} * E2.3.1.15 * C00093 * C00040)/(${Variables:E2.3.1.15_km} + (E2.3.1.15 * C00093 * C00040))</v>
      </c>
    </row>
    <row r="154" spans="1:11" ht="14">
      <c r="A154" s="50" t="s">
        <v>1283</v>
      </c>
      <c r="B154" s="50" t="s">
        <v>1284</v>
      </c>
      <c r="C154" s="56" t="s">
        <v>13422</v>
      </c>
      <c r="D154" s="50">
        <v>216</v>
      </c>
      <c r="E154" s="50" t="str">
        <f t="shared" si="0"/>
        <v>E2.3.1.15</v>
      </c>
      <c r="F154" s="97" t="s">
        <v>13423</v>
      </c>
      <c r="G154" s="97" t="s">
        <v>13424</v>
      </c>
      <c r="H154" s="97" t="s">
        <v>13425</v>
      </c>
      <c r="I154" s="97" t="s">
        <v>13426</v>
      </c>
      <c r="J154" s="50" t="str">
        <f t="shared" si="1"/>
        <v>(${Variables:E2.3.1.15_kcat} * E2.3.1.15 * C00173 * C00093)/(${Variables:E2.3.1.15_km} + (E2.3.1.15 * C00173 * C00093))</v>
      </c>
      <c r="K154" s="98" t="str">
        <f t="shared" si="2"/>
        <v>r216: C00173 + C00093 -&gt; C00681 + C00229 | (${Variables:E2.3.1.15_kcat} * E2.3.1.15 * C00173 * C00093)/(${Variables:E2.3.1.15_km} + (E2.3.1.15 * C00173 * C00093))</v>
      </c>
    </row>
    <row r="155" spans="1:11" ht="14">
      <c r="A155" s="50" t="s">
        <v>1283</v>
      </c>
      <c r="B155" s="50" t="s">
        <v>1284</v>
      </c>
      <c r="C155" s="56" t="s">
        <v>13427</v>
      </c>
      <c r="D155" s="50">
        <v>217</v>
      </c>
      <c r="E155" s="50" t="str">
        <f t="shared" si="0"/>
        <v>E2.3.1.15</v>
      </c>
      <c r="F155" s="97" t="s">
        <v>13428</v>
      </c>
      <c r="G155" s="97" t="s">
        <v>13429</v>
      </c>
      <c r="H155" s="97" t="s">
        <v>13430</v>
      </c>
      <c r="I155" s="97" t="s">
        <v>13431</v>
      </c>
      <c r="J155" s="50" t="str">
        <f t="shared" si="1"/>
        <v>(${Variables:E2.3.1.15_kcat} * E2.3.1.15 * C00605 * C00093)/(${Variables:E2.3.1.15_km} + (E2.3.1.15 * C00605 * C00093))</v>
      </c>
      <c r="K155" s="98" t="str">
        <f t="shared" si="2"/>
        <v>r217: C00605 + C00093 -&gt; C00010 + C00681 | (${Variables:E2.3.1.15_kcat} * E2.3.1.15 * C00605 * C00093)/(${Variables:E2.3.1.15_km} + (E2.3.1.15 * C00605 * C00093))</v>
      </c>
    </row>
    <row r="156" spans="1:11" ht="14">
      <c r="A156" s="50" t="s">
        <v>5955</v>
      </c>
      <c r="B156" s="50" t="s">
        <v>5956</v>
      </c>
      <c r="C156" s="56" t="s">
        <v>13432</v>
      </c>
      <c r="D156" s="50">
        <v>218</v>
      </c>
      <c r="E156" s="50" t="str">
        <f t="shared" si="0"/>
        <v>E2.3.1.157</v>
      </c>
      <c r="F156" s="97" t="s">
        <v>13433</v>
      </c>
      <c r="G156" s="97" t="s">
        <v>13434</v>
      </c>
      <c r="H156" s="97" t="s">
        <v>13435</v>
      </c>
      <c r="I156" s="97" t="s">
        <v>13436</v>
      </c>
      <c r="J156" s="50" t="str">
        <f t="shared" si="1"/>
        <v>(${Variables:E2.3.1.157_kcat} * E2.3.1.157 * C00024 * C06156)/(${Variables:E2.3.1.157_km} + (E2.3.1.157 * C00024 * C06156))</v>
      </c>
      <c r="K156" s="98" t="str">
        <f t="shared" si="2"/>
        <v>r218: C00024 + C06156 -&gt; C00010 + C04501 | (${Variables:E2.3.1.157_kcat} * E2.3.1.157 * C00024 * C06156)/(${Variables:E2.3.1.157_km} + (E2.3.1.157 * C00024 * C06156))</v>
      </c>
    </row>
    <row r="157" spans="1:11" ht="14">
      <c r="A157" s="50" t="s">
        <v>2429</v>
      </c>
      <c r="B157" s="50" t="s">
        <v>2430</v>
      </c>
      <c r="C157" s="56" t="s">
        <v>13437</v>
      </c>
      <c r="D157" s="50">
        <v>219</v>
      </c>
      <c r="E157" s="50" t="str">
        <f t="shared" si="0"/>
        <v>E2.3.1.16</v>
      </c>
      <c r="F157" s="105" t="s">
        <v>10999</v>
      </c>
      <c r="G157" s="105" t="s">
        <v>10999</v>
      </c>
      <c r="H157" s="97" t="s">
        <v>13438</v>
      </c>
      <c r="I157" s="97" t="s">
        <v>13439</v>
      </c>
      <c r="J157" s="50" t="str">
        <f t="shared" si="1"/>
        <v>(${Variables:E2.3.1.16_kcat} * E2.3.1.16 * C00024)/(${Variables:E2.3.1.16_km} + (E2.3.1.16 * C00024))</v>
      </c>
      <c r="K157" s="98" t="str">
        <f t="shared" si="2"/>
        <v>r219: C00024 -&gt; C00010 + C00332 | (${Variables:E2.3.1.16_kcat} * E2.3.1.16 * C00024)/(${Variables:E2.3.1.16_km} + (E2.3.1.16 * C00024))</v>
      </c>
    </row>
    <row r="158" spans="1:11" ht="14">
      <c r="A158" s="50" t="s">
        <v>2429</v>
      </c>
      <c r="B158" s="50" t="s">
        <v>2430</v>
      </c>
      <c r="C158" s="56" t="s">
        <v>13440</v>
      </c>
      <c r="D158" s="50">
        <v>220</v>
      </c>
      <c r="E158" s="50" t="str">
        <f t="shared" si="0"/>
        <v>E2.3.1.16</v>
      </c>
      <c r="F158" s="97" t="s">
        <v>13441</v>
      </c>
      <c r="G158" s="97" t="s">
        <v>13442</v>
      </c>
      <c r="H158" s="97" t="s">
        <v>13443</v>
      </c>
      <c r="I158" s="97" t="s">
        <v>13444</v>
      </c>
      <c r="J158" s="50" t="str">
        <f t="shared" si="1"/>
        <v>(${Variables:E2.3.1.16_kcat} * E2.3.1.16 * C00024 * C00136)/(${Variables:E2.3.1.16_km} + (E2.3.1.16 * C00024 * C00136))</v>
      </c>
      <c r="K158" s="98" t="str">
        <f t="shared" si="2"/>
        <v>r220: C00024 + C00136 -&gt; C00010 + C05269 | (${Variables:E2.3.1.16_kcat} * E2.3.1.16 * C00024 * C00136)/(${Variables:E2.3.1.16_km} + (E2.3.1.16 * C00024 * C00136))</v>
      </c>
    </row>
    <row r="159" spans="1:11" ht="14">
      <c r="A159" s="50" t="s">
        <v>2429</v>
      </c>
      <c r="B159" s="50" t="s">
        <v>2430</v>
      </c>
      <c r="C159" s="56" t="s">
        <v>13445</v>
      </c>
      <c r="D159" s="50">
        <v>221</v>
      </c>
      <c r="E159" s="50" t="str">
        <f t="shared" si="0"/>
        <v>E2.3.1.16</v>
      </c>
      <c r="F159" s="97" t="s">
        <v>13446</v>
      </c>
      <c r="G159" s="97" t="s">
        <v>13447</v>
      </c>
      <c r="H159" s="97" t="s">
        <v>13448</v>
      </c>
      <c r="I159" s="97" t="s">
        <v>13449</v>
      </c>
      <c r="J159" s="50" t="str">
        <f t="shared" si="1"/>
        <v>(${Variables:E2.3.1.16_kcat} * E2.3.1.16 * C00040 * C00024)/(${Variables:E2.3.1.16_km} + (E2.3.1.16 * C00040 * C00024))</v>
      </c>
      <c r="K159" s="98" t="str">
        <f t="shared" si="2"/>
        <v>r221: C00040 + C00024 -&gt; C00010 + C00264 | (${Variables:E2.3.1.16_kcat} * E2.3.1.16 * C00040 * C00024)/(${Variables:E2.3.1.16_km} + (E2.3.1.16 * C00040 * C00024))</v>
      </c>
    </row>
    <row r="160" spans="1:11" ht="14">
      <c r="A160" s="50" t="s">
        <v>2429</v>
      </c>
      <c r="B160" s="50" t="s">
        <v>2430</v>
      </c>
      <c r="C160" s="56" t="s">
        <v>13450</v>
      </c>
      <c r="D160" s="50">
        <v>222</v>
      </c>
      <c r="E160" s="50" t="str">
        <f t="shared" si="0"/>
        <v>E2.3.1.16</v>
      </c>
      <c r="F160" s="97" t="s">
        <v>13451</v>
      </c>
      <c r="G160" s="97" t="s">
        <v>13452</v>
      </c>
      <c r="H160" s="97" t="s">
        <v>13453</v>
      </c>
      <c r="I160" s="97" t="s">
        <v>13454</v>
      </c>
      <c r="J160" s="50" t="str">
        <f t="shared" si="1"/>
        <v>(${Variables:E2.3.1.16_kcat} * E2.3.1.16 * C00091 * C00024)/(${Variables:E2.3.1.16_km} + (E2.3.1.16 * C00091 * C00024))</v>
      </c>
      <c r="K160" s="98" t="str">
        <f t="shared" si="2"/>
        <v>r222: C00091 + C00024 -&gt; C00010 + C02232 | (${Variables:E2.3.1.16_kcat} * E2.3.1.16 * C00091 * C00024)/(${Variables:E2.3.1.16_km} + (E2.3.1.16 * C00091 * C00024))</v>
      </c>
    </row>
    <row r="161" spans="1:11" ht="14">
      <c r="A161" s="50" t="s">
        <v>2429</v>
      </c>
      <c r="B161" s="50" t="s">
        <v>2430</v>
      </c>
      <c r="C161" s="56" t="s">
        <v>13455</v>
      </c>
      <c r="D161" s="50">
        <v>223</v>
      </c>
      <c r="E161" s="50" t="str">
        <f t="shared" si="0"/>
        <v>E2.3.1.16</v>
      </c>
      <c r="F161" s="97" t="s">
        <v>13456</v>
      </c>
      <c r="G161" s="97" t="s">
        <v>13457</v>
      </c>
      <c r="H161" s="97" t="s">
        <v>13458</v>
      </c>
      <c r="I161" s="97" t="s">
        <v>13459</v>
      </c>
      <c r="J161" s="50" t="str">
        <f t="shared" si="1"/>
        <v>(${Variables:E2.3.1.16_kcat} * E2.3.1.16 * C00100 * C00024)/(${Variables:E2.3.1.16_km} + (E2.3.1.16 * C00100 * C00024))</v>
      </c>
      <c r="K161" s="98" t="str">
        <f t="shared" si="2"/>
        <v>r223: C00100 + C00024 -&gt; C00010 + C03344 | (${Variables:E2.3.1.16_kcat} * E2.3.1.16 * C00100 * C00024)/(${Variables:E2.3.1.16_km} + (E2.3.1.16 * C00100 * C00024))</v>
      </c>
    </row>
    <row r="162" spans="1:11" ht="14">
      <c r="A162" s="50" t="s">
        <v>2429</v>
      </c>
      <c r="B162" s="50" t="s">
        <v>2430</v>
      </c>
      <c r="C162" s="56" t="s">
        <v>13460</v>
      </c>
      <c r="D162" s="50">
        <v>224</v>
      </c>
      <c r="E162" s="50" t="str">
        <f t="shared" si="0"/>
        <v>E2.3.1.16</v>
      </c>
      <c r="F162" s="97" t="s">
        <v>13461</v>
      </c>
      <c r="G162" s="97" t="s">
        <v>13462</v>
      </c>
      <c r="H162" s="97" t="s">
        <v>13463</v>
      </c>
      <c r="I162" s="97" t="s">
        <v>13464</v>
      </c>
      <c r="J162" s="50" t="str">
        <f t="shared" si="1"/>
        <v>(${Variables:E2.3.1.16_kcat} * E2.3.1.16 * C01832 * C00024)/(${Variables:E2.3.1.16_km} + (E2.3.1.16 * C01832 * C00024))</v>
      </c>
      <c r="K162" s="98" t="str">
        <f t="shared" si="2"/>
        <v>r224: C01832 + C00024 -&gt; C00010 + C05261 | (${Variables:E2.3.1.16_kcat} * E2.3.1.16 * C01832 * C00024)/(${Variables:E2.3.1.16_km} + (E2.3.1.16 * C01832 * C00024))</v>
      </c>
    </row>
    <row r="163" spans="1:11" ht="14">
      <c r="A163" s="50" t="s">
        <v>2429</v>
      </c>
      <c r="B163" s="50" t="s">
        <v>2430</v>
      </c>
      <c r="C163" s="56" t="s">
        <v>13465</v>
      </c>
      <c r="D163" s="50">
        <v>225</v>
      </c>
      <c r="E163" s="50" t="str">
        <f t="shared" si="0"/>
        <v>E2.3.1.16</v>
      </c>
      <c r="F163" s="97" t="s">
        <v>13466</v>
      </c>
      <c r="G163" s="97" t="s">
        <v>13467</v>
      </c>
      <c r="H163" s="97" t="s">
        <v>13468</v>
      </c>
      <c r="I163" s="97" t="s">
        <v>13469</v>
      </c>
      <c r="J163" s="50" t="str">
        <f t="shared" si="1"/>
        <v>(${Variables:E2.3.1.16_kcat} * E2.3.1.16 * C01944 * C00024)/(${Variables:E2.3.1.16_km} + (E2.3.1.16 * C01944 * C00024))</v>
      </c>
      <c r="K163" s="98" t="str">
        <f t="shared" si="2"/>
        <v>r225: C01944 + C00024 -&gt; C00010 + C05265 | (${Variables:E2.3.1.16_kcat} * E2.3.1.16 * C01944 * C00024)/(${Variables:E2.3.1.16_km} + (E2.3.1.16 * C01944 * C00024))</v>
      </c>
    </row>
    <row r="164" spans="1:11" ht="14">
      <c r="A164" s="50" t="s">
        <v>2429</v>
      </c>
      <c r="B164" s="50" t="s">
        <v>2430</v>
      </c>
      <c r="C164" s="56" t="s">
        <v>13470</v>
      </c>
      <c r="D164" s="50">
        <v>226</v>
      </c>
      <c r="E164" s="50" t="str">
        <f t="shared" si="0"/>
        <v>E2.3.1.16</v>
      </c>
      <c r="F164" s="97" t="s">
        <v>13471</v>
      </c>
      <c r="G164" s="97" t="s">
        <v>13472</v>
      </c>
      <c r="H164" s="97" t="s">
        <v>13473</v>
      </c>
      <c r="I164" s="97" t="s">
        <v>13474</v>
      </c>
      <c r="J164" s="50" t="str">
        <f t="shared" si="1"/>
        <v>(${Variables:E2.3.1.16_kcat} * E2.3.1.16 * C02593 * C00024)/(${Variables:E2.3.1.16_km} + (E2.3.1.16 * C02593 * C00024))</v>
      </c>
      <c r="K164" s="98" t="str">
        <f t="shared" si="2"/>
        <v>r226: C02593 + C00024 -&gt; C00010 + C05259 | (${Variables:E2.3.1.16_kcat} * E2.3.1.16 * C02593 * C00024)/(${Variables:E2.3.1.16_km} + (E2.3.1.16 * C02593 * C00024))</v>
      </c>
    </row>
    <row r="165" spans="1:11" ht="14">
      <c r="A165" s="50" t="s">
        <v>2429</v>
      </c>
      <c r="B165" s="50" t="s">
        <v>2430</v>
      </c>
      <c r="C165" s="56" t="s">
        <v>13475</v>
      </c>
      <c r="D165" s="50">
        <v>227</v>
      </c>
      <c r="E165" s="50" t="str">
        <f t="shared" si="0"/>
        <v>E2.3.1.16</v>
      </c>
      <c r="F165" s="97" t="s">
        <v>13476</v>
      </c>
      <c r="G165" s="97" t="s">
        <v>13477</v>
      </c>
      <c r="H165" s="97" t="s">
        <v>13478</v>
      </c>
      <c r="I165" s="97" t="s">
        <v>13479</v>
      </c>
      <c r="J165" s="50" t="str">
        <f t="shared" si="1"/>
        <v>(${Variables:E2.3.1.16_kcat} * E2.3.1.16 * C05270 * C00024)/(${Variables:E2.3.1.16_km} + (E2.3.1.16 * C05270 * C00024))</v>
      </c>
      <c r="K165" s="98" t="str">
        <f t="shared" si="2"/>
        <v>r227: C05270 + C00024 -&gt; C00010 + C05267 | (${Variables:E2.3.1.16_kcat} * E2.3.1.16 * C05270 * C00024)/(${Variables:E2.3.1.16_km} + (E2.3.1.16 * C05270 * C00024))</v>
      </c>
    </row>
    <row r="166" spans="1:11" ht="14">
      <c r="A166" s="50" t="s">
        <v>2429</v>
      </c>
      <c r="B166" s="50" t="s">
        <v>2430</v>
      </c>
      <c r="C166" s="56" t="s">
        <v>13480</v>
      </c>
      <c r="D166" s="50">
        <v>228</v>
      </c>
      <c r="E166" s="50" t="str">
        <f t="shared" si="0"/>
        <v>E2.3.1.16</v>
      </c>
      <c r="F166" s="97" t="s">
        <v>13481</v>
      </c>
      <c r="G166" s="97" t="s">
        <v>13482</v>
      </c>
      <c r="H166" s="97" t="s">
        <v>13483</v>
      </c>
      <c r="I166" s="97" t="s">
        <v>13484</v>
      </c>
      <c r="J166" s="50" t="str">
        <f t="shared" si="1"/>
        <v>(${Variables:E2.3.1.16_kcat} * E2.3.1.16 * C05274 * C00024)/(${Variables:E2.3.1.16_km} + (E2.3.1.16 * C05274 * C00024))</v>
      </c>
      <c r="K166" s="98" t="str">
        <f t="shared" si="2"/>
        <v>r228: C05274 + C00024 -&gt; C00010 + C05263 | (${Variables:E2.3.1.16_kcat} * E2.3.1.16 * C05274 * C00024)/(${Variables:E2.3.1.16_km} + (E2.3.1.16 * C05274 * C00024))</v>
      </c>
    </row>
    <row r="167" spans="1:11" ht="14">
      <c r="A167" s="50" t="s">
        <v>2429</v>
      </c>
      <c r="B167" s="50" t="s">
        <v>2430</v>
      </c>
      <c r="C167" s="56" t="s">
        <v>13485</v>
      </c>
      <c r="D167" s="50">
        <v>229</v>
      </c>
      <c r="E167" s="50" t="str">
        <f t="shared" si="0"/>
        <v>E2.3.1.16</v>
      </c>
      <c r="F167" s="97" t="s">
        <v>13486</v>
      </c>
      <c r="G167" s="97" t="s">
        <v>13487</v>
      </c>
      <c r="H167" s="97" t="s">
        <v>13488</v>
      </c>
      <c r="I167" s="97" t="s">
        <v>13489</v>
      </c>
      <c r="J167" s="50" t="str">
        <f t="shared" si="1"/>
        <v>(${Variables:E2.3.1.16_kcat} * E2.3.1.16 * C06715 * C00010)/(${Variables:E2.3.1.16_km} + (E2.3.1.16 * C06715 * C00010))</v>
      </c>
      <c r="K167" s="98" t="str">
        <f t="shared" si="2"/>
        <v>r229: C06715 + C00010 -&gt; C00527 + C00024 | (${Variables:E2.3.1.16_kcat} * E2.3.1.16 * C06715 * C00010)/(${Variables:E2.3.1.16_km} + (E2.3.1.16 * C06715 * C00010))</v>
      </c>
    </row>
    <row r="168" spans="1:11" ht="14">
      <c r="A168" s="50" t="s">
        <v>2429</v>
      </c>
      <c r="B168" s="50" t="s">
        <v>2430</v>
      </c>
      <c r="C168" s="56" t="s">
        <v>13490</v>
      </c>
      <c r="D168" s="50">
        <v>230</v>
      </c>
      <c r="E168" s="50" t="str">
        <f t="shared" si="0"/>
        <v>E2.3.1.16</v>
      </c>
      <c r="F168" s="97" t="s">
        <v>13491</v>
      </c>
      <c r="G168" s="97" t="s">
        <v>13492</v>
      </c>
      <c r="H168" s="97" t="s">
        <v>13493</v>
      </c>
      <c r="I168" s="97" t="s">
        <v>13494</v>
      </c>
      <c r="J168" s="50" t="str">
        <f t="shared" si="1"/>
        <v>(${Variables:E2.3.1.16_kcat} * E2.3.1.16 * C07118 * C00010)/(${Variables:E2.3.1.16_km} + (E2.3.1.16 * C07118 * C00010))</v>
      </c>
      <c r="K168" s="98" t="str">
        <f t="shared" si="2"/>
        <v>r230: C07118 + C00010 -&gt; C00512 + C00024 | (${Variables:E2.3.1.16_kcat} * E2.3.1.16 * C07118 * C00010)/(${Variables:E2.3.1.16_km} + (E2.3.1.16 * C07118 * C00010))</v>
      </c>
    </row>
    <row r="169" spans="1:11" ht="14">
      <c r="A169" s="50" t="s">
        <v>2429</v>
      </c>
      <c r="B169" s="50" t="s">
        <v>2430</v>
      </c>
      <c r="C169" s="56" t="s">
        <v>13495</v>
      </c>
      <c r="D169" s="50">
        <v>231</v>
      </c>
      <c r="E169" s="50" t="str">
        <f t="shared" si="0"/>
        <v>E2.3.1.16</v>
      </c>
      <c r="F169" s="97" t="s">
        <v>13496</v>
      </c>
      <c r="G169" s="97" t="s">
        <v>13497</v>
      </c>
      <c r="H169" s="97" t="s">
        <v>13498</v>
      </c>
      <c r="I169" s="97" t="s">
        <v>13499</v>
      </c>
      <c r="J169" s="50" t="str">
        <f t="shared" si="1"/>
        <v>(${Variables:E2.3.1.16_kcat} * E2.3.1.16 * C16169 * C00024)/(${Variables:E2.3.1.16_km} + (E2.3.1.16 * C16169 * C00024))</v>
      </c>
      <c r="K169" s="98" t="str">
        <f t="shared" si="2"/>
        <v>r231: C16169 + C00024 -&gt; C00010 + C16376 | (${Variables:E2.3.1.16_kcat} * E2.3.1.16 * C16169 * C00024)/(${Variables:E2.3.1.16_km} + (E2.3.1.16 * C16169 * C00024))</v>
      </c>
    </row>
    <row r="170" spans="1:11" ht="14">
      <c r="A170" s="50" t="s">
        <v>2429</v>
      </c>
      <c r="B170" s="50" t="s">
        <v>2430</v>
      </c>
      <c r="C170" s="56" t="s">
        <v>13500</v>
      </c>
      <c r="D170" s="50">
        <v>232</v>
      </c>
      <c r="E170" s="50" t="str">
        <f t="shared" si="0"/>
        <v>E2.3.1.16</v>
      </c>
      <c r="F170" s="97" t="s">
        <v>13501</v>
      </c>
      <c r="G170" s="97" t="s">
        <v>13502</v>
      </c>
      <c r="H170" s="97" t="s">
        <v>13503</v>
      </c>
      <c r="I170" s="97" t="s">
        <v>13504</v>
      </c>
      <c r="J170" s="50" t="str">
        <f t="shared" si="1"/>
        <v>(${Variables:E2.3.1.16_kcat} * E2.3.1.16 * C16173 * C00024)/(${Variables:E2.3.1.16_km} + (E2.3.1.16 * C16173 * C00024))</v>
      </c>
      <c r="K170" s="98" t="str">
        <f t="shared" si="2"/>
        <v>r232: C16173 + C00024 -&gt; C00010 + C16389 | (${Variables:E2.3.1.16_kcat} * E2.3.1.16 * C16173 * C00024)/(${Variables:E2.3.1.16_km} + (E2.3.1.16 * C16173 * C00024))</v>
      </c>
    </row>
    <row r="171" spans="1:11" ht="14">
      <c r="A171" s="50" t="s">
        <v>2429</v>
      </c>
      <c r="B171" s="50" t="s">
        <v>2430</v>
      </c>
      <c r="C171" s="56" t="s">
        <v>13505</v>
      </c>
      <c r="D171" s="50">
        <v>233</v>
      </c>
      <c r="E171" s="50" t="str">
        <f t="shared" si="0"/>
        <v>E2.3.1.16</v>
      </c>
      <c r="F171" s="97" t="s">
        <v>13506</v>
      </c>
      <c r="G171" s="97" t="s">
        <v>13507</v>
      </c>
      <c r="H171" s="97" t="s">
        <v>13508</v>
      </c>
      <c r="I171" s="97" t="s">
        <v>13509</v>
      </c>
      <c r="J171" s="50" t="str">
        <f t="shared" si="1"/>
        <v>(${Variables:E2.3.1.16_kcat} * E2.3.1.16 * C16331 * C00024)/(${Variables:E2.3.1.16_km} + (E2.3.1.16 * C16331 * C00024))</v>
      </c>
      <c r="K171" s="98" t="str">
        <f t="shared" si="2"/>
        <v>r233: C16331 + C00024 -&gt; C00010 + C16330 | (${Variables:E2.3.1.16_kcat} * E2.3.1.16 * C16331 * C00024)/(${Variables:E2.3.1.16_km} + (E2.3.1.16 * C16331 * C00024))</v>
      </c>
    </row>
    <row r="172" spans="1:11" ht="14">
      <c r="A172" s="50" t="s">
        <v>2429</v>
      </c>
      <c r="B172" s="50" t="s">
        <v>2430</v>
      </c>
      <c r="C172" s="56" t="s">
        <v>13510</v>
      </c>
      <c r="D172" s="50">
        <v>234</v>
      </c>
      <c r="E172" s="50" t="str">
        <f t="shared" si="0"/>
        <v>E2.3.1.16</v>
      </c>
      <c r="F172" s="97" t="s">
        <v>13511</v>
      </c>
      <c r="G172" s="97" t="s">
        <v>13512</v>
      </c>
      <c r="H172" s="97" t="s">
        <v>13513</v>
      </c>
      <c r="I172" s="97" t="s">
        <v>13514</v>
      </c>
      <c r="J172" s="50" t="str">
        <f t="shared" si="1"/>
        <v>(${Variables:E2.3.1.16_kcat} * E2.3.1.16 * C16335 * C00024)/(${Variables:E2.3.1.16_km} + (E2.3.1.16 * C16335 * C00024))</v>
      </c>
      <c r="K172" s="98" t="str">
        <f t="shared" si="2"/>
        <v>r234: C16335 + C00024 -&gt; C00010 + C16334 | (${Variables:E2.3.1.16_kcat} * E2.3.1.16 * C16335 * C00024)/(${Variables:E2.3.1.16_km} + (E2.3.1.16 * C16335 * C00024))</v>
      </c>
    </row>
    <row r="173" spans="1:11" ht="14">
      <c r="A173" s="50" t="s">
        <v>2429</v>
      </c>
      <c r="B173" s="50" t="s">
        <v>2430</v>
      </c>
      <c r="C173" s="56" t="s">
        <v>13515</v>
      </c>
      <c r="D173" s="50">
        <v>235</v>
      </c>
      <c r="E173" s="50" t="str">
        <f t="shared" si="0"/>
        <v>E2.3.1.16</v>
      </c>
      <c r="F173" s="97" t="s">
        <v>13516</v>
      </c>
      <c r="G173" s="97" t="s">
        <v>13517</v>
      </c>
      <c r="H173" s="97" t="s">
        <v>13518</v>
      </c>
      <c r="I173" s="97" t="s">
        <v>13519</v>
      </c>
      <c r="J173" s="50" t="str">
        <f t="shared" si="1"/>
        <v>(${Variables:E2.3.1.16_kcat} * E2.3.1.16 * C16339 * C00024)/(${Variables:E2.3.1.16_km} + (E2.3.1.16 * C16339 * C00024))</v>
      </c>
      <c r="K173" s="98" t="str">
        <f t="shared" si="2"/>
        <v>r235: C16339 + C00024 -&gt; C00010 + C16338 | (${Variables:E2.3.1.16_kcat} * E2.3.1.16 * C16339 * C00024)/(${Variables:E2.3.1.16_km} + (E2.3.1.16 * C16339 * C00024))</v>
      </c>
    </row>
    <row r="174" spans="1:11" ht="14">
      <c r="A174" s="50" t="s">
        <v>2429</v>
      </c>
      <c r="B174" s="50" t="s">
        <v>2430</v>
      </c>
      <c r="C174" s="56" t="s">
        <v>13520</v>
      </c>
      <c r="D174" s="50">
        <v>236</v>
      </c>
      <c r="E174" s="50" t="str">
        <f t="shared" si="0"/>
        <v>E2.3.1.16</v>
      </c>
      <c r="F174" s="97" t="s">
        <v>13521</v>
      </c>
      <c r="G174" s="97" t="s">
        <v>13522</v>
      </c>
      <c r="H174" s="97" t="s">
        <v>13523</v>
      </c>
      <c r="I174" s="97" t="s">
        <v>13524</v>
      </c>
      <c r="J174" s="50" t="str">
        <f t="shared" si="1"/>
        <v>(${Variables:E2.3.1.16_kcat} * E2.3.1.16 * C16466 * C00010)/(${Variables:E2.3.1.16_km} + (E2.3.1.16 * C16466 * C00010))</v>
      </c>
      <c r="K174" s="98" t="str">
        <f t="shared" si="2"/>
        <v>r236: C16466 + C00010 -&gt; C16470 + C00024 | (${Variables:E2.3.1.16_kcat} * E2.3.1.16 * C16466 * C00010)/(${Variables:E2.3.1.16_km} + (E2.3.1.16 * C16466 * C00010))</v>
      </c>
    </row>
    <row r="175" spans="1:11" ht="14">
      <c r="A175" s="50" t="s">
        <v>2429</v>
      </c>
      <c r="B175" s="50" t="s">
        <v>2430</v>
      </c>
      <c r="C175" s="56" t="s">
        <v>13525</v>
      </c>
      <c r="D175" s="50">
        <v>237</v>
      </c>
      <c r="E175" s="50" t="str">
        <f t="shared" si="0"/>
        <v>E2.3.1.16</v>
      </c>
      <c r="F175" s="97" t="s">
        <v>13526</v>
      </c>
      <c r="G175" s="97" t="s">
        <v>13527</v>
      </c>
      <c r="H175" s="97" t="s">
        <v>13528</v>
      </c>
      <c r="I175" s="97" t="s">
        <v>13529</v>
      </c>
      <c r="J175" s="50" t="str">
        <f t="shared" si="1"/>
        <v>(${Variables:E2.3.1.16_kcat} * E2.3.1.16 * C16471 * C00010)/(${Variables:E2.3.1.16_km} + (E2.3.1.16 * C16471 * C00010))</v>
      </c>
      <c r="K175" s="98" t="str">
        <f t="shared" si="2"/>
        <v>r237: C16471 + C00010 -&gt; C03069 + C00024 | (${Variables:E2.3.1.16_kcat} * E2.3.1.16 * C16471 * C00010)/(${Variables:E2.3.1.16_km} + (E2.3.1.16 * C16471 * C00010))</v>
      </c>
    </row>
    <row r="176" spans="1:11" ht="14">
      <c r="A176" s="50" t="s">
        <v>2429</v>
      </c>
      <c r="B176" s="50" t="s">
        <v>2430</v>
      </c>
      <c r="C176" s="56" t="s">
        <v>13530</v>
      </c>
      <c r="D176" s="50">
        <v>238</v>
      </c>
      <c r="E176" s="50" t="str">
        <f t="shared" si="0"/>
        <v>E2.3.1.16</v>
      </c>
      <c r="F176" s="97" t="s">
        <v>13531</v>
      </c>
      <c r="G176" s="97" t="s">
        <v>13532</v>
      </c>
      <c r="H176" s="97" t="s">
        <v>13533</v>
      </c>
      <c r="I176" s="97" t="s">
        <v>13534</v>
      </c>
      <c r="J176" s="50" t="str">
        <f t="shared" si="1"/>
        <v>(${Variables:E2.3.1.16_kcat} * E2.3.1.16 * C23006 * C00010)/(${Variables:E2.3.1.16_km} + (E2.3.1.16 * C23006 * C00010))</v>
      </c>
      <c r="K176" s="98" t="str">
        <f t="shared" si="2"/>
        <v>r238: C23006 + C00010 -&gt; C23007 + C00024 | (${Variables:E2.3.1.16_kcat} * E2.3.1.16 * C23006 * C00010)/(${Variables:E2.3.1.16_km} + (E2.3.1.16 * C23006 * C00010))</v>
      </c>
    </row>
    <row r="177" spans="1:11" ht="14">
      <c r="A177" s="50" t="s">
        <v>2429</v>
      </c>
      <c r="B177" s="50" t="s">
        <v>2430</v>
      </c>
      <c r="C177" s="56" t="s">
        <v>13535</v>
      </c>
      <c r="D177" s="50">
        <v>239</v>
      </c>
      <c r="E177" s="50" t="str">
        <f t="shared" si="0"/>
        <v>E2.3.1.16</v>
      </c>
      <c r="F177" s="97" t="s">
        <v>13536</v>
      </c>
      <c r="G177" s="97" t="s">
        <v>13537</v>
      </c>
      <c r="H177" s="97" t="s">
        <v>13538</v>
      </c>
      <c r="I177" s="97" t="s">
        <v>13539</v>
      </c>
      <c r="J177" s="50" t="str">
        <f t="shared" si="1"/>
        <v>(${Variables:E2.3.1.16_kcat} * E2.3.1.16 * C23013 * C00010)/(${Variables:E2.3.1.16_km} + (E2.3.1.16 * C23013 * C00010))</v>
      </c>
      <c r="K177" s="98" t="str">
        <f t="shared" si="2"/>
        <v>r239: C23013 + C00010 -&gt; C21906 + C00100 | (${Variables:E2.3.1.16_kcat} * E2.3.1.16 * C23013 * C00010)/(${Variables:E2.3.1.16_km} + (E2.3.1.16 * C23013 * C00010))</v>
      </c>
    </row>
    <row r="178" spans="1:11" ht="14">
      <c r="A178" s="50" t="s">
        <v>2429</v>
      </c>
      <c r="B178" s="50" t="s">
        <v>2430</v>
      </c>
      <c r="C178" s="56" t="s">
        <v>13540</v>
      </c>
      <c r="D178" s="50">
        <v>240</v>
      </c>
      <c r="E178" s="50" t="str">
        <f t="shared" si="0"/>
        <v>E2.3.1.16</v>
      </c>
      <c r="F178" s="97" t="s">
        <v>13541</v>
      </c>
      <c r="G178" s="97" t="s">
        <v>13542</v>
      </c>
      <c r="H178" s="97" t="s">
        <v>13543</v>
      </c>
      <c r="I178" s="97" t="s">
        <v>13544</v>
      </c>
      <c r="J178" s="50" t="str">
        <f t="shared" si="1"/>
        <v>(${Variables:E2.3.1.16_kcat} * E2.3.1.16 * C23016 * C00010)/(${Variables:E2.3.1.16_km} + (E2.3.1.16 * C23016 * C00010))</v>
      </c>
      <c r="K178" s="98" t="str">
        <f t="shared" si="2"/>
        <v>r240: C23016 + C00010 -&gt; C23017 + C00024 | (${Variables:E2.3.1.16_kcat} * E2.3.1.16 * C23016 * C00010)/(${Variables:E2.3.1.16_km} + (E2.3.1.16 * C23016 * C00010))</v>
      </c>
    </row>
    <row r="179" spans="1:11" ht="14">
      <c r="A179" s="50" t="s">
        <v>2429</v>
      </c>
      <c r="B179" s="50" t="s">
        <v>2430</v>
      </c>
      <c r="C179" s="56" t="s">
        <v>13545</v>
      </c>
      <c r="D179" s="50">
        <v>241</v>
      </c>
      <c r="E179" s="50" t="str">
        <f t="shared" si="0"/>
        <v>E2.3.1.16</v>
      </c>
      <c r="F179" s="97" t="s">
        <v>13546</v>
      </c>
      <c r="G179" s="97" t="s">
        <v>13547</v>
      </c>
      <c r="H179" s="97" t="s">
        <v>13548</v>
      </c>
      <c r="I179" s="97" t="s">
        <v>13549</v>
      </c>
      <c r="J179" s="50" t="str">
        <f t="shared" si="1"/>
        <v>(${Variables:E2.3.1.16_kcat} * E2.3.1.16 * C23021 * C00010)/(${Variables:E2.3.1.16_km} + (E2.3.1.16 * C23021 * C00010))</v>
      </c>
      <c r="K179" s="98" t="str">
        <f t="shared" si="2"/>
        <v>r241: C23021 + C00010 -&gt; C23022 + C00024 | (${Variables:E2.3.1.16_kcat} * E2.3.1.16 * C23021 * C00010)/(${Variables:E2.3.1.16_km} + (E2.3.1.16 * C23021 * C00010))</v>
      </c>
    </row>
    <row r="180" spans="1:11" ht="14">
      <c r="A180" s="50" t="s">
        <v>3116</v>
      </c>
      <c r="B180" s="50" t="s">
        <v>3117</v>
      </c>
      <c r="C180" s="56" t="s">
        <v>13550</v>
      </c>
      <c r="D180" s="50">
        <v>242</v>
      </c>
      <c r="E180" s="50" t="str">
        <f t="shared" si="0"/>
        <v>E2.3.1.179</v>
      </c>
      <c r="F180" s="97" t="s">
        <v>13551</v>
      </c>
      <c r="G180" s="97" t="s">
        <v>13552</v>
      </c>
      <c r="H180" s="97" t="s">
        <v>13553</v>
      </c>
      <c r="I180" s="97" t="s">
        <v>13554</v>
      </c>
      <c r="J180" s="50" t="str">
        <f t="shared" si="1"/>
        <v>(${Variables:E2.3.1.179_kcat} * E2.3.1.179 * C00173 * C01209)/(${Variables:E2.3.1.179_km} + (E2.3.1.179 * C00173 * C01209))</v>
      </c>
      <c r="K180" s="98" t="str">
        <f t="shared" si="2"/>
        <v>r242: C00173 + C01209 -&gt; C00685 + C00011 + C00229 | (${Variables:E2.3.1.179_kcat} * E2.3.1.179 * C00173 * C01209)/(${Variables:E2.3.1.179_km} + (E2.3.1.179 * C00173 * C01209))</v>
      </c>
    </row>
    <row r="181" spans="1:11" ht="14">
      <c r="A181" s="50" t="s">
        <v>3116</v>
      </c>
      <c r="B181" s="50" t="s">
        <v>3117</v>
      </c>
      <c r="C181" s="56" t="s">
        <v>13555</v>
      </c>
      <c r="D181" s="50">
        <v>243</v>
      </c>
      <c r="E181" s="50" t="str">
        <f t="shared" si="0"/>
        <v>E2.3.1.179</v>
      </c>
      <c r="F181" s="97" t="s">
        <v>13556</v>
      </c>
      <c r="G181" s="97" t="s">
        <v>13557</v>
      </c>
      <c r="H181" s="97" t="s">
        <v>13558</v>
      </c>
      <c r="I181" s="97" t="s">
        <v>13559</v>
      </c>
      <c r="J181" s="50" t="str">
        <f t="shared" si="1"/>
        <v>(${Variables:E2.3.1.179_kcat} * E2.3.1.179 * C03939 * C01209)/(${Variables:E2.3.1.179_km} + (E2.3.1.179 * C03939 * C01209))</v>
      </c>
      <c r="K181" s="98" t="str">
        <f t="shared" si="2"/>
        <v>r243: C03939 + C01209 -&gt; C05744 + C00011 + C00229 | (${Variables:E2.3.1.179_kcat} * E2.3.1.179 * C03939 * C01209)/(${Variables:E2.3.1.179_km} + (E2.3.1.179 * C03939 * C01209))</v>
      </c>
    </row>
    <row r="182" spans="1:11" ht="14">
      <c r="A182" s="50" t="s">
        <v>3116</v>
      </c>
      <c r="B182" s="50" t="s">
        <v>3117</v>
      </c>
      <c r="C182" s="56" t="s">
        <v>13560</v>
      </c>
      <c r="D182" s="50">
        <v>244</v>
      </c>
      <c r="E182" s="50" t="str">
        <f t="shared" si="0"/>
        <v>E2.3.1.179</v>
      </c>
      <c r="F182" s="50" t="s">
        <v>12643</v>
      </c>
      <c r="G182" s="50" t="s">
        <v>12644</v>
      </c>
      <c r="H182" s="97" t="s">
        <v>13561</v>
      </c>
      <c r="I182" s="97" t="s">
        <v>13562</v>
      </c>
      <c r="J182" s="50" t="str">
        <f t="shared" si="1"/>
        <v>(${Variables:E2.3.1.179_kcat} * E2.3.1.179 * C05223 * C01209)/(${Variables:E2.3.1.179_km} + (E2.3.1.179 * C05223 * C01209))</v>
      </c>
      <c r="K182" s="98" t="str">
        <f t="shared" si="2"/>
        <v>r244: C05223 + C01209 -&gt; C05759 + C00011 + C00229 | (${Variables:E2.3.1.179_kcat} * E2.3.1.179 * C05223 * C01209)/(${Variables:E2.3.1.179_km} + (E2.3.1.179 * C05223 * C01209))</v>
      </c>
    </row>
    <row r="183" spans="1:11" ht="14">
      <c r="A183" s="50" t="s">
        <v>3116</v>
      </c>
      <c r="B183" s="50" t="s">
        <v>3117</v>
      </c>
      <c r="C183" s="56" t="s">
        <v>13563</v>
      </c>
      <c r="D183" s="50">
        <v>245</v>
      </c>
      <c r="E183" s="50" t="str">
        <f t="shared" si="0"/>
        <v>E2.3.1.179</v>
      </c>
      <c r="F183" s="97" t="s">
        <v>13564</v>
      </c>
      <c r="G183" s="97" t="s">
        <v>13565</v>
      </c>
      <c r="H183" s="97" t="s">
        <v>13566</v>
      </c>
      <c r="I183" s="97" t="s">
        <v>13567</v>
      </c>
      <c r="J183" s="50" t="str">
        <f t="shared" si="1"/>
        <v>(${Variables:E2.3.1.179_kcat} * E2.3.1.179 * C05745 * C01209)/(${Variables:E2.3.1.179_km} + (E2.3.1.179 * C05745 * C01209))</v>
      </c>
      <c r="K183" s="98" t="str">
        <f t="shared" si="2"/>
        <v>r245: C05745 + C01209 -&gt; C05746 + C00011 + C00229 | (${Variables:E2.3.1.179_kcat} * E2.3.1.179 * C05745 * C01209)/(${Variables:E2.3.1.179_km} + (E2.3.1.179 * C05745 * C01209))</v>
      </c>
    </row>
    <row r="184" spans="1:11" ht="14">
      <c r="A184" s="50" t="s">
        <v>3116</v>
      </c>
      <c r="B184" s="50" t="s">
        <v>3117</v>
      </c>
      <c r="C184" s="56" t="s">
        <v>13568</v>
      </c>
      <c r="D184" s="50">
        <v>246</v>
      </c>
      <c r="E184" s="50" t="str">
        <f t="shared" si="0"/>
        <v>E2.3.1.179</v>
      </c>
      <c r="F184" s="97" t="s">
        <v>13569</v>
      </c>
      <c r="G184" s="97" t="s">
        <v>13570</v>
      </c>
      <c r="H184" s="97" t="s">
        <v>13571</v>
      </c>
      <c r="I184" s="97" t="s">
        <v>13572</v>
      </c>
      <c r="J184" s="50" t="str">
        <f t="shared" si="1"/>
        <v>(${Variables:E2.3.1.179_kcat} * E2.3.1.179 * C05749 * C01209)/(${Variables:E2.3.1.179_km} + (E2.3.1.179 * C05749 * C01209))</v>
      </c>
      <c r="K184" s="98" t="str">
        <f t="shared" si="2"/>
        <v>r246: C05749 + C01209 -&gt; C05750 + C00011 + C00229 | (${Variables:E2.3.1.179_kcat} * E2.3.1.179 * C05749 * C01209)/(${Variables:E2.3.1.179_km} + (E2.3.1.179 * C05749 * C01209))</v>
      </c>
    </row>
    <row r="185" spans="1:11" ht="14">
      <c r="A185" s="50" t="s">
        <v>3116</v>
      </c>
      <c r="B185" s="50" t="s">
        <v>3117</v>
      </c>
      <c r="C185" s="56" t="s">
        <v>13573</v>
      </c>
      <c r="D185" s="50">
        <v>247</v>
      </c>
      <c r="E185" s="50" t="str">
        <f t="shared" si="0"/>
        <v>E2.3.1.179</v>
      </c>
      <c r="F185" s="97" t="s">
        <v>13574</v>
      </c>
      <c r="G185" s="97" t="s">
        <v>13575</v>
      </c>
      <c r="H185" s="97" t="s">
        <v>13576</v>
      </c>
      <c r="I185" s="97" t="s">
        <v>13577</v>
      </c>
      <c r="J185" s="50" t="str">
        <f t="shared" si="1"/>
        <v>(${Variables:E2.3.1.179_kcat} * E2.3.1.179 * C05752 * C01209)/(${Variables:E2.3.1.179_km} + (E2.3.1.179 * C05752 * C01209))</v>
      </c>
      <c r="K185" s="98" t="str">
        <f t="shared" si="2"/>
        <v>r247: C05752 + C01209 -&gt; C05753 + C00011 + C00229 | (${Variables:E2.3.1.179_kcat} * E2.3.1.179 * C05752 * C01209)/(${Variables:E2.3.1.179_km} + (E2.3.1.179 * C05752 * C01209))</v>
      </c>
    </row>
    <row r="186" spans="1:11" ht="14">
      <c r="A186" s="50" t="s">
        <v>3116</v>
      </c>
      <c r="B186" s="50" t="s">
        <v>3117</v>
      </c>
      <c r="C186" s="56" t="s">
        <v>13578</v>
      </c>
      <c r="D186" s="50">
        <v>248</v>
      </c>
      <c r="E186" s="50" t="str">
        <f t="shared" si="0"/>
        <v>E2.3.1.179</v>
      </c>
      <c r="F186" s="97" t="s">
        <v>13579</v>
      </c>
      <c r="G186" s="97" t="s">
        <v>13580</v>
      </c>
      <c r="H186" s="97" t="s">
        <v>13581</v>
      </c>
      <c r="I186" s="97" t="s">
        <v>13582</v>
      </c>
      <c r="J186" s="50" t="str">
        <f t="shared" si="1"/>
        <v>(${Variables:E2.3.1.179_kcat} * E2.3.1.179 * C05755 * C01209)/(${Variables:E2.3.1.179_km} + (E2.3.1.179 * C05755 * C01209))</v>
      </c>
      <c r="K186" s="98" t="str">
        <f t="shared" si="2"/>
        <v>r248: C05755 + C01209 -&gt; C05756 + C00011 + C00229 | (${Variables:E2.3.1.179_kcat} * E2.3.1.179 * C05755 * C01209)/(${Variables:E2.3.1.179_km} + (E2.3.1.179 * C05755 * C01209))</v>
      </c>
    </row>
    <row r="187" spans="1:11" ht="14">
      <c r="A187" s="50" t="s">
        <v>3116</v>
      </c>
      <c r="B187" s="50" t="s">
        <v>3117</v>
      </c>
      <c r="C187" s="56" t="s">
        <v>13583</v>
      </c>
      <c r="D187" s="50">
        <v>249</v>
      </c>
      <c r="E187" s="50" t="str">
        <f t="shared" si="0"/>
        <v>E2.3.1.179</v>
      </c>
      <c r="F187" s="97" t="s">
        <v>13584</v>
      </c>
      <c r="G187" s="97" t="s">
        <v>13585</v>
      </c>
      <c r="H187" s="97" t="s">
        <v>13586</v>
      </c>
      <c r="I187" s="97" t="s">
        <v>13587</v>
      </c>
      <c r="J187" s="50" t="str">
        <f t="shared" si="1"/>
        <v>(${Variables:E2.3.1.179_kcat} * E2.3.1.179 * C05761 * C01209)/(${Variables:E2.3.1.179_km} + (E2.3.1.179 * C05761 * C01209))</v>
      </c>
      <c r="K187" s="98" t="str">
        <f t="shared" si="2"/>
        <v>r249: C05761 + C01209 -&gt; C05762 + C00011 + C00229 | (${Variables:E2.3.1.179_kcat} * E2.3.1.179 * C05761 * C01209)/(${Variables:E2.3.1.179_km} + (E2.3.1.179 * C05761 * C01209))</v>
      </c>
    </row>
    <row r="188" spans="1:11" ht="14">
      <c r="A188" s="50" t="s">
        <v>3116</v>
      </c>
      <c r="B188" s="50" t="s">
        <v>3117</v>
      </c>
      <c r="C188" s="56" t="s">
        <v>13588</v>
      </c>
      <c r="D188" s="50">
        <v>250</v>
      </c>
      <c r="E188" s="50" t="str">
        <f t="shared" si="0"/>
        <v>E2.3.1.179</v>
      </c>
      <c r="F188" s="97" t="s">
        <v>13589</v>
      </c>
      <c r="G188" s="97" t="s">
        <v>13590</v>
      </c>
      <c r="H188" s="97" t="s">
        <v>13591</v>
      </c>
      <c r="I188" s="97" t="s">
        <v>13592</v>
      </c>
      <c r="J188" s="50" t="str">
        <f t="shared" si="1"/>
        <v>(${Variables:E2.3.1.179_kcat} * E2.3.1.179 * C05764 * C01209)/(${Variables:E2.3.1.179_km} + (E2.3.1.179 * C05764 * C01209))</v>
      </c>
      <c r="K188" s="98" t="str">
        <f t="shared" si="2"/>
        <v>r250: C05764 + C01209 -&gt; C16219 + C00229 + C00011 | (${Variables:E2.3.1.179_kcat} * E2.3.1.179 * C05764 * C01209)/(${Variables:E2.3.1.179_km} + (E2.3.1.179 * C05764 * C01209))</v>
      </c>
    </row>
    <row r="189" spans="1:11" ht="14">
      <c r="A189" s="50" t="s">
        <v>3116</v>
      </c>
      <c r="B189" s="50" t="s">
        <v>3117</v>
      </c>
      <c r="C189" s="56" t="s">
        <v>13593</v>
      </c>
      <c r="D189" s="50">
        <v>251</v>
      </c>
      <c r="E189" s="50" t="str">
        <f t="shared" si="0"/>
        <v>E2.3.1.179</v>
      </c>
      <c r="F189" s="97" t="s">
        <v>13594</v>
      </c>
      <c r="G189" s="97" t="s">
        <v>13595</v>
      </c>
      <c r="H189" s="97" t="s">
        <v>13596</v>
      </c>
      <c r="I189" s="97" t="s">
        <v>13597</v>
      </c>
      <c r="J189" s="50" t="str">
        <f t="shared" si="1"/>
        <v>(${Variables:E2.3.1.179_kcat} * E2.3.1.179 * C19673 * C01209)/(${Variables:E2.3.1.179_km} + (E2.3.1.179 * C19673 * C01209))</v>
      </c>
      <c r="K189" s="98" t="str">
        <f t="shared" si="2"/>
        <v>r251: C19673 + C01209 -&gt; C20372 + C00011 + C00229 | (${Variables:E2.3.1.179_kcat} * E2.3.1.179 * C19673 * C01209)/(${Variables:E2.3.1.179_km} + (E2.3.1.179 * C19673 * C01209))</v>
      </c>
    </row>
    <row r="190" spans="1:11" ht="14">
      <c r="A190" s="50" t="s">
        <v>3116</v>
      </c>
      <c r="B190" s="50" t="s">
        <v>3117</v>
      </c>
      <c r="C190" s="56" t="s">
        <v>13598</v>
      </c>
      <c r="D190" s="50">
        <v>252</v>
      </c>
      <c r="E190" s="50" t="str">
        <f t="shared" si="0"/>
        <v>E2.3.1.179</v>
      </c>
      <c r="F190" s="97" t="s">
        <v>13599</v>
      </c>
      <c r="G190" s="97" t="s">
        <v>13600</v>
      </c>
      <c r="H190" s="97" t="s">
        <v>13601</v>
      </c>
      <c r="I190" s="97" t="s">
        <v>13602</v>
      </c>
      <c r="J190" s="50" t="str">
        <f t="shared" si="1"/>
        <v>(${Variables:E2.3.1.179_kcat} * E2.3.1.179 * C20375 * C01209)/(${Variables:E2.3.1.179_km} + (E2.3.1.179 * C20375 * C01209))</v>
      </c>
      <c r="K190" s="98" t="str">
        <f t="shared" si="2"/>
        <v>r252: C20375 + C01209 -&gt; C20376 + C00011 + C00229 | (${Variables:E2.3.1.179_kcat} * E2.3.1.179 * C20375 * C01209)/(${Variables:E2.3.1.179_km} + (E2.3.1.179 * C20375 * C01209))</v>
      </c>
    </row>
    <row r="191" spans="1:11" ht="14">
      <c r="A191" s="50" t="s">
        <v>3130</v>
      </c>
      <c r="B191" s="50" t="s">
        <v>3131</v>
      </c>
      <c r="C191" s="56" t="s">
        <v>13603</v>
      </c>
      <c r="D191" s="50">
        <v>253</v>
      </c>
      <c r="E191" s="50" t="str">
        <f t="shared" si="0"/>
        <v>E2.3.1.180</v>
      </c>
      <c r="F191" s="97" t="s">
        <v>13604</v>
      </c>
      <c r="G191" s="97" t="s">
        <v>13605</v>
      </c>
      <c r="H191" s="97" t="s">
        <v>13606</v>
      </c>
      <c r="I191" s="97" t="s">
        <v>13607</v>
      </c>
      <c r="J191" s="50" t="str">
        <f t="shared" si="1"/>
        <v>(${Variables:E2.3.1.180_kcat} * E2.3.1.180 * C00024 * C01209)/(${Variables:E2.3.1.180_km} + (E2.3.1.180 * C00024 * C01209))</v>
      </c>
      <c r="K191" s="98" t="str">
        <f t="shared" si="2"/>
        <v>r253: C00024 + C01209 -&gt; C05744 + C00010 + C00011 | (${Variables:E2.3.1.180_kcat} * E2.3.1.180 * C00024 * C01209)/(${Variables:E2.3.1.180_km} + (E2.3.1.180 * C00024 * C01209))</v>
      </c>
    </row>
    <row r="192" spans="1:11" ht="14">
      <c r="A192" s="50" t="s">
        <v>3443</v>
      </c>
      <c r="B192" s="50" t="s">
        <v>3444</v>
      </c>
      <c r="C192" s="56" t="s">
        <v>13608</v>
      </c>
      <c r="D192" s="50">
        <v>254</v>
      </c>
      <c r="E192" s="50" t="str">
        <f t="shared" si="0"/>
        <v>E2.3.1.234</v>
      </c>
      <c r="F192" s="97" t="s">
        <v>13609</v>
      </c>
      <c r="G192" s="97" t="s">
        <v>13610</v>
      </c>
      <c r="H192" s="97" t="s">
        <v>13611</v>
      </c>
      <c r="I192" s="97" t="s">
        <v>13612</v>
      </c>
      <c r="J192" s="50" t="str">
        <f t="shared" si="1"/>
        <v>(${Variables:E2.3.1.234_kcat} * E2.3.1.234 * C20641 * C17324)/(${Variables:E2.3.1.234_km} + (E2.3.1.234 * C20641 * C17324))</v>
      </c>
      <c r="K192" s="98" t="str">
        <f t="shared" si="2"/>
        <v>r254: C20641 + C17324 -&gt; C00020 + C20751 | (${Variables:E2.3.1.234_kcat} * E2.3.1.234 * C20641 * C17324)/(${Variables:E2.3.1.234_km} + (E2.3.1.234 * C20641 * C17324))</v>
      </c>
    </row>
    <row r="193" spans="1:11" ht="14">
      <c r="A193" s="50" t="s">
        <v>3447</v>
      </c>
      <c r="B193" s="50" t="s">
        <v>3448</v>
      </c>
      <c r="C193" s="56" t="s">
        <v>13613</v>
      </c>
      <c r="D193" s="50">
        <v>256</v>
      </c>
      <c r="E193" s="50" t="str">
        <f t="shared" si="0"/>
        <v>E2.3.1.266</v>
      </c>
      <c r="F193" s="97" t="s">
        <v>13614</v>
      </c>
      <c r="G193" s="97" t="s">
        <v>13615</v>
      </c>
      <c r="H193" s="97" t="s">
        <v>13616</v>
      </c>
      <c r="I193" s="97" t="s">
        <v>13617</v>
      </c>
      <c r="J193" s="50" t="str">
        <f t="shared" si="1"/>
        <v>(${Variables:E2.3.1.266_kcat} * E2.3.1.266 * C00024 * C03803)/(${Variables:E2.3.1.266_km} + (E2.3.1.266 * C00024 * C03803))</v>
      </c>
      <c r="K193" s="98" t="str">
        <f t="shared" si="2"/>
        <v>r256: C00024 + C03803 -&gt; C00010 + C04341 | (${Variables:E2.3.1.266_kcat} * E2.3.1.266 * C00024 * C03803)/(${Variables:E2.3.1.266_km} + (E2.3.1.266 * C00024 * C03803))</v>
      </c>
    </row>
    <row r="194" spans="1:11" ht="14">
      <c r="A194" s="50" t="s">
        <v>1899</v>
      </c>
      <c r="B194" s="50" t="s">
        <v>1900</v>
      </c>
      <c r="C194" s="50" t="s">
        <v>8073</v>
      </c>
      <c r="D194" s="50">
        <v>257</v>
      </c>
      <c r="E194" s="50" t="str">
        <f t="shared" si="0"/>
        <v>E2.3.1.274</v>
      </c>
      <c r="F194" s="97" t="s">
        <v>13618</v>
      </c>
      <c r="G194" s="97" t="s">
        <v>13619</v>
      </c>
      <c r="H194" s="97" t="s">
        <v>13620</v>
      </c>
      <c r="I194" s="97" t="s">
        <v>13621</v>
      </c>
      <c r="J194" s="50" t="str">
        <f t="shared" si="1"/>
        <v>(${Variables:E2.3.1.274_kcat} * E2.3.1.274 * C00173 * C00009)/(${Variables:E2.3.1.274_km} + (E2.3.1.274 * C00173 * C00009))</v>
      </c>
      <c r="K194" s="98" t="str">
        <f t="shared" si="2"/>
        <v>r257: C00173 + C00009 -&gt; C02133 + C00229 | (${Variables:E2.3.1.274_kcat} * E2.3.1.274 * C00173 * C00009)/(${Variables:E2.3.1.274_km} + (E2.3.1.274 * C00173 * C00009))</v>
      </c>
    </row>
    <row r="195" spans="1:11" ht="14">
      <c r="A195" s="50" t="s">
        <v>5886</v>
      </c>
      <c r="B195" s="50" t="s">
        <v>5887</v>
      </c>
      <c r="C195" s="56" t="s">
        <v>13622</v>
      </c>
      <c r="D195" s="50">
        <v>258</v>
      </c>
      <c r="E195" s="50" t="str">
        <f t="shared" si="0"/>
        <v>E2.3.1.286</v>
      </c>
      <c r="F195" s="97" t="s">
        <v>13623</v>
      </c>
      <c r="G195" s="97" t="s">
        <v>13624</v>
      </c>
      <c r="H195" s="97" t="s">
        <v>13625</v>
      </c>
      <c r="I195" s="97" t="s">
        <v>13626</v>
      </c>
      <c r="J195" s="50" t="str">
        <f t="shared" si="1"/>
        <v>(${Variables:E2.3.1.286_kcat} * E2.3.1.286 * C00003 * C01997 * C00001)/(${Variables:E2.3.1.286_km} + (E2.3.1.286 * C00003 * C01997 * C00001))</v>
      </c>
      <c r="K195" s="98" t="str">
        <f t="shared" si="2"/>
        <v>r258: C00003 + C01997 + C00001 -&gt; C00153 + C02415 + C20658 + C00080 | (${Variables:E2.3.1.286_kcat} * E2.3.1.286 * C00003 * C01997 * C00001)/(${Variables:E2.3.1.286_km} + (E2.3.1.286 * C00003 * C01997 * C00001))</v>
      </c>
    </row>
    <row r="196" spans="1:11" ht="14">
      <c r="A196" s="50" t="s">
        <v>5886</v>
      </c>
      <c r="B196" s="50" t="s">
        <v>5887</v>
      </c>
      <c r="C196" s="56" t="s">
        <v>13627</v>
      </c>
      <c r="D196" s="50">
        <v>259</v>
      </c>
      <c r="E196" s="50" t="str">
        <f t="shared" si="0"/>
        <v>E2.3.1.286</v>
      </c>
      <c r="F196" s="97" t="s">
        <v>13628</v>
      </c>
      <c r="G196" s="97" t="s">
        <v>13629</v>
      </c>
      <c r="H196" s="97" t="s">
        <v>13630</v>
      </c>
      <c r="I196" s="97" t="s">
        <v>13631</v>
      </c>
      <c r="J196" s="50" t="str">
        <f t="shared" si="1"/>
        <v>(${Variables:E2.3.1.286_kcat} * E2.3.1.286 * C00003 * C20743 * C00001)/(${Variables:E2.3.1.286_km} + (E2.3.1.286 * C00003 * C20743 * C00001))</v>
      </c>
      <c r="K196" s="98" t="str">
        <f t="shared" si="2"/>
        <v>r259: C00003 + C20743 + C00001 -&gt; C00153 + C02188 + C20658 + C00080 | (${Variables:E2.3.1.286_kcat} * E2.3.1.286 * C00003 * C20743 * C00001)/(${Variables:E2.3.1.286_km} + (E2.3.1.286 * C00003 * C20743 * C00001))</v>
      </c>
    </row>
    <row r="197" spans="1:11" ht="14">
      <c r="A197" s="50" t="s">
        <v>3122</v>
      </c>
      <c r="B197" s="50" t="s">
        <v>3123</v>
      </c>
      <c r="C197" s="56" t="s">
        <v>13632</v>
      </c>
      <c r="D197" s="50">
        <v>260</v>
      </c>
      <c r="E197" s="50" t="str">
        <f t="shared" si="0"/>
        <v>E2.3.1.39</v>
      </c>
      <c r="F197" s="97" t="s">
        <v>13633</v>
      </c>
      <c r="G197" s="97" t="s">
        <v>13634</v>
      </c>
      <c r="H197" s="97" t="s">
        <v>13635</v>
      </c>
      <c r="I197" s="97" t="s">
        <v>13636</v>
      </c>
      <c r="J197" s="50" t="str">
        <f t="shared" si="1"/>
        <v>(${Variables:E2.3.1.39_kcat} * E2.3.1.39 * C00083 * C00229)/(${Variables:E2.3.1.39_km} + (E2.3.1.39 * C00083 * C00229))</v>
      </c>
      <c r="K197" s="98" t="str">
        <f t="shared" si="2"/>
        <v>r260: C00083 + C00229 -&gt; C00010 + C01209 | (${Variables:E2.3.1.39_kcat} * E2.3.1.39 * C00083 * C00229)/(${Variables:E2.3.1.39_km} + (E2.3.1.39 * C00083 * C00229))</v>
      </c>
    </row>
    <row r="198" spans="1:11" ht="14">
      <c r="A198" s="50" t="s">
        <v>1295</v>
      </c>
      <c r="B198" s="50" t="s">
        <v>1296</v>
      </c>
      <c r="C198" s="56" t="s">
        <v>13637</v>
      </c>
      <c r="D198" s="50">
        <v>261</v>
      </c>
      <c r="E198" s="50" t="str">
        <f t="shared" si="0"/>
        <v>E2.3.1.54</v>
      </c>
      <c r="F198" s="97" t="s">
        <v>13638</v>
      </c>
      <c r="G198" s="97" t="s">
        <v>13639</v>
      </c>
      <c r="H198" s="97" t="s">
        <v>13640</v>
      </c>
      <c r="I198" s="97" t="s">
        <v>13641</v>
      </c>
      <c r="J198" s="50" t="str">
        <f t="shared" si="1"/>
        <v>(${Variables:E2.3.1.54_kcat} * E2.3.1.54 * C00024 * C00058)/(${Variables:E2.3.1.54_km} + (E2.3.1.54 * C00024 * C00058))</v>
      </c>
      <c r="K198" s="98" t="str">
        <f t="shared" si="2"/>
        <v>r261: C00024 + C00058 -&gt; C00010 + C00022 | (${Variables:E2.3.1.54_kcat} * E2.3.1.54 * C00024 * C00058)/(${Variables:E2.3.1.54_km} + (E2.3.1.54 * C00024 * C00058))</v>
      </c>
    </row>
    <row r="199" spans="1:11" ht="14">
      <c r="A199" s="50" t="s">
        <v>1295</v>
      </c>
      <c r="B199" s="50" t="s">
        <v>1296</v>
      </c>
      <c r="C199" s="56" t="s">
        <v>13642</v>
      </c>
      <c r="D199" s="50">
        <v>262</v>
      </c>
      <c r="E199" s="50" t="str">
        <f t="shared" si="0"/>
        <v>E2.3.1.54</v>
      </c>
      <c r="F199" s="97" t="s">
        <v>13643</v>
      </c>
      <c r="G199" s="97" t="s">
        <v>13644</v>
      </c>
      <c r="H199" s="97" t="s">
        <v>13645</v>
      </c>
      <c r="I199" s="97" t="s">
        <v>13646</v>
      </c>
      <c r="J199" s="50" t="str">
        <f t="shared" si="1"/>
        <v>(${Variables:E2.3.1.54_kcat} * E2.3.1.54 * C00109 * C00010)/(${Variables:E2.3.1.54_km} + (E2.3.1.54 * C00109 * C00010))</v>
      </c>
      <c r="K199" s="98" t="str">
        <f t="shared" si="2"/>
        <v>r262: C00109 + C00010 -&gt; C00100 + C00058 | (${Variables:E2.3.1.54_kcat} * E2.3.1.54 * C00109 * C00010)/(${Variables:E2.3.1.54_km} + (E2.3.1.54 * C00109 * C00010))</v>
      </c>
    </row>
    <row r="200" spans="1:11" ht="14">
      <c r="A200" s="50" t="s">
        <v>67</v>
      </c>
      <c r="B200" s="50" t="s">
        <v>68</v>
      </c>
      <c r="C200" s="56" t="s">
        <v>13647</v>
      </c>
      <c r="D200" s="50">
        <v>263</v>
      </c>
      <c r="E200" s="50" t="str">
        <f t="shared" si="0"/>
        <v>E2.3.1.8</v>
      </c>
      <c r="F200" s="97" t="s">
        <v>13648</v>
      </c>
      <c r="G200" s="97" t="s">
        <v>13649</v>
      </c>
      <c r="H200" s="97" t="s">
        <v>13650</v>
      </c>
      <c r="I200" s="97" t="s">
        <v>13651</v>
      </c>
      <c r="J200" s="50" t="str">
        <f t="shared" si="1"/>
        <v>(${Variables:E2.3.1.8_kcat} * E2.3.1.8 * C00024 * C00009)/(${Variables:E2.3.1.8_km} + (E2.3.1.8 * C00024 * C00009))</v>
      </c>
      <c r="K200" s="98" t="str">
        <f t="shared" si="2"/>
        <v>r263: C00024 + C00009 -&gt; C00010 + C00227 | (${Variables:E2.3.1.8_kcat} * E2.3.1.8 * C00024 * C00009)/(${Variables:E2.3.1.8_km} + (E2.3.1.8 * C00024 * C00009))</v>
      </c>
    </row>
    <row r="201" spans="1:11" ht="14">
      <c r="A201" s="50" t="s">
        <v>67</v>
      </c>
      <c r="B201" s="50" t="s">
        <v>68</v>
      </c>
      <c r="C201" s="56" t="s">
        <v>13652</v>
      </c>
      <c r="D201" s="50">
        <v>264</v>
      </c>
      <c r="E201" s="50" t="str">
        <f t="shared" si="0"/>
        <v>E2.3.1.8</v>
      </c>
      <c r="F201" s="97" t="s">
        <v>13653</v>
      </c>
      <c r="G201" s="97" t="s">
        <v>13654</v>
      </c>
      <c r="H201" s="97" t="s">
        <v>13655</v>
      </c>
      <c r="I201" s="97" t="s">
        <v>13656</v>
      </c>
      <c r="J201" s="50" t="str">
        <f t="shared" si="1"/>
        <v>(${Variables:E2.3.1.8_kcat} * E2.3.1.8 * C00100 * C00009)/(${Variables:E2.3.1.8_km} + (E2.3.1.8 * C00100 * C00009))</v>
      </c>
      <c r="K201" s="98" t="str">
        <f t="shared" si="2"/>
        <v>r264: C00100 + C00009 -&gt; C02876 + C00010 | (${Variables:E2.3.1.8_kcat} * E2.3.1.8 * C00100 * C00009)/(${Variables:E2.3.1.8_km} + (E2.3.1.8 * C00100 * C00009))</v>
      </c>
    </row>
    <row r="202" spans="1:11" ht="14">
      <c r="A202" s="50" t="s">
        <v>4908</v>
      </c>
      <c r="B202" s="50" t="s">
        <v>4909</v>
      </c>
      <c r="C202" s="56" t="s">
        <v>13657</v>
      </c>
      <c r="D202" s="50">
        <v>265</v>
      </c>
      <c r="E202" s="50" t="str">
        <f t="shared" si="0"/>
        <v>E2.3.1.89</v>
      </c>
      <c r="F202" s="97" t="s">
        <v>13658</v>
      </c>
      <c r="G202" s="97" t="s">
        <v>13659</v>
      </c>
      <c r="H202" s="97" t="s">
        <v>13660</v>
      </c>
      <c r="I202" s="97" t="s">
        <v>13661</v>
      </c>
      <c r="J202" s="50" t="str">
        <f t="shared" si="1"/>
        <v>(${Variables:E2.3.1.89_kcat} * E2.3.1.89 * C03972 * C00024 * C00001)/(${Variables:E2.3.1.89_km} + (E2.3.1.89 * C03972 * C00024 * C00001))</v>
      </c>
      <c r="K202" s="98" t="str">
        <f t="shared" si="2"/>
        <v>r265: C03972 + C00024 + C00001 -&gt; C05539 + C00010 | (${Variables:E2.3.1.89_kcat} * E2.3.1.89 * C03972 * C00024 * C00001)/(${Variables:E2.3.1.89_km} + (E2.3.1.89 * C03972 * C00024 * C00001))</v>
      </c>
    </row>
    <row r="203" spans="1:11" ht="14">
      <c r="A203" s="50" t="s">
        <v>2423</v>
      </c>
      <c r="B203" s="50" t="s">
        <v>2424</v>
      </c>
      <c r="C203" s="56" t="s">
        <v>13662</v>
      </c>
      <c r="D203" s="50">
        <v>266</v>
      </c>
      <c r="E203" s="50" t="str">
        <f t="shared" si="0"/>
        <v>E2.3.3.10</v>
      </c>
      <c r="F203" s="97" t="s">
        <v>13663</v>
      </c>
      <c r="G203" s="97" t="s">
        <v>13664</v>
      </c>
      <c r="H203" s="97" t="s">
        <v>13665</v>
      </c>
      <c r="I203" s="97" t="s">
        <v>13666</v>
      </c>
      <c r="J203" s="50" t="str">
        <f t="shared" si="1"/>
        <v>(${Variables:E2.3.3.10_kcat} * E2.3.3.10 * C00356 * C00010)/(${Variables:E2.3.3.10_km} + (E2.3.3.10 * C00356 * C00010))</v>
      </c>
      <c r="K203" s="98" t="str">
        <f t="shared" si="2"/>
        <v>r266: C00356 + C00010 -&gt; C00024 + C00001 + C00332 | (${Variables:E2.3.3.10_kcat} * E2.3.3.10 * C00356 * C00010)/(${Variables:E2.3.3.10_km} + (E2.3.3.10 * C00356 * C00010))</v>
      </c>
    </row>
    <row r="204" spans="1:11" ht="14">
      <c r="A204" s="50" t="s">
        <v>2900</v>
      </c>
      <c r="B204" s="50" t="s">
        <v>2901</v>
      </c>
      <c r="C204" s="56" t="s">
        <v>13667</v>
      </c>
      <c r="D204" s="50">
        <v>267</v>
      </c>
      <c r="E204" s="50" t="str">
        <f t="shared" si="0"/>
        <v>E2.4.1.1</v>
      </c>
      <c r="F204" s="97" t="s">
        <v>13668</v>
      </c>
      <c r="G204" s="97" t="s">
        <v>13669</v>
      </c>
      <c r="H204" s="97" t="s">
        <v>13670</v>
      </c>
      <c r="I204" s="97" t="s">
        <v>13671</v>
      </c>
      <c r="J204" s="50" t="str">
        <f t="shared" si="1"/>
        <v>(${Variables:E2.4.1.1_kcat} * E2.4.1.1 * C00369 * C00009)/(${Variables:E2.4.1.1_km} + (E2.4.1.1 * C00369 * C00009))</v>
      </c>
      <c r="K204" s="98" t="str">
        <f t="shared" si="2"/>
        <v>r267: C00369 + C00009 -&gt; C00718 + C00103 | (${Variables:E2.4.1.1_kcat} * E2.4.1.1 * C00369 * C00009)/(${Variables:E2.4.1.1_km} + (E2.4.1.1 * C00369 * C00009))</v>
      </c>
    </row>
    <row r="205" spans="1:11" ht="14">
      <c r="A205" s="50" t="s">
        <v>2900</v>
      </c>
      <c r="B205" s="50" t="s">
        <v>2901</v>
      </c>
      <c r="C205" s="56" t="s">
        <v>13672</v>
      </c>
      <c r="D205" s="50">
        <v>268</v>
      </c>
      <c r="E205" s="50" t="str">
        <f t="shared" si="0"/>
        <v>E2.4.1.1</v>
      </c>
      <c r="F205" s="97" t="s">
        <v>13673</v>
      </c>
      <c r="G205" s="97" t="s">
        <v>13674</v>
      </c>
      <c r="H205" s="97" t="s">
        <v>13675</v>
      </c>
      <c r="I205" s="97" t="s">
        <v>13676</v>
      </c>
      <c r="J205" s="50" t="str">
        <f t="shared" si="1"/>
        <v>(${Variables:E2.4.1.1_kcat} * E2.4.1.1 * C00718 * C00009)/(${Variables:E2.4.1.1_km} + (E2.4.1.1 * C00718 * C00009))</v>
      </c>
      <c r="K205" s="98" t="str">
        <f t="shared" si="2"/>
        <v>r268: C00718 + C00009 -&gt; C00718 + C00103 | (${Variables:E2.4.1.1_kcat} * E2.4.1.1 * C00718 * C00009)/(${Variables:E2.4.1.1_km} + (E2.4.1.1 * C00718 * C00009))</v>
      </c>
    </row>
    <row r="206" spans="1:11" ht="14">
      <c r="A206" s="50" t="s">
        <v>2900</v>
      </c>
      <c r="B206" s="50" t="s">
        <v>2901</v>
      </c>
      <c r="C206" s="56" t="s">
        <v>13677</v>
      </c>
      <c r="D206" s="50">
        <v>269</v>
      </c>
      <c r="E206" s="50" t="str">
        <f t="shared" si="0"/>
        <v>E2.4.1.1</v>
      </c>
      <c r="F206" s="97" t="s">
        <v>17411</v>
      </c>
      <c r="G206" s="97" t="s">
        <v>17412</v>
      </c>
      <c r="H206" s="97" t="s">
        <v>17426</v>
      </c>
      <c r="I206" s="97" t="s">
        <v>17427</v>
      </c>
      <c r="J206" s="50" t="str">
        <f t="shared" si="1"/>
        <v>(${Variables:E2.4.1.1_kcat} * E2.4.1.1 * G10495 * C00009)/(${Variables:E2.4.1.1_km} + (E2.4.1.1 * G10495 * C00009))</v>
      </c>
      <c r="K206" s="98" t="str">
        <f t="shared" si="2"/>
        <v>r269: G10495 + C00009 -&gt; G10495 + C00103 | (${Variables:E2.4.1.1_kcat} * E2.4.1.1 * G10495 * C00009)/(${Variables:E2.4.1.1_km} + (E2.4.1.1 * G10495 * C00009))</v>
      </c>
    </row>
    <row r="207" spans="1:11" ht="14">
      <c r="A207" s="50" t="s">
        <v>2900</v>
      </c>
      <c r="B207" s="50" t="s">
        <v>2901</v>
      </c>
      <c r="C207" s="56" t="s">
        <v>13678</v>
      </c>
      <c r="D207" s="50">
        <v>270</v>
      </c>
      <c r="E207" s="50" t="str">
        <f t="shared" si="0"/>
        <v>E2.4.1.1</v>
      </c>
      <c r="F207" s="97" t="s">
        <v>13679</v>
      </c>
      <c r="G207" s="97" t="s">
        <v>13680</v>
      </c>
      <c r="H207" s="97" t="s">
        <v>13681</v>
      </c>
      <c r="I207" s="97" t="s">
        <v>13682</v>
      </c>
      <c r="J207" s="50" t="str">
        <f t="shared" si="1"/>
        <v>(${Variables:E2.4.1.1_kcat} * E2.4.1.1 * G10545 * C00009)/(${Variables:E2.4.1.1_km} + (E2.4.1.1 * G10545 * C00009))</v>
      </c>
      <c r="K207" s="98" t="str">
        <f t="shared" si="2"/>
        <v>r270: G10545 + C00009 -&gt; G10495 + C00103 | (${Variables:E2.4.1.1_kcat} * E2.4.1.1 * G10545 * C00009)/(${Variables:E2.4.1.1_km} + (E2.4.1.1 * G10545 * C00009))</v>
      </c>
    </row>
    <row r="208" spans="1:11" ht="14">
      <c r="A208" s="50" t="s">
        <v>2904</v>
      </c>
      <c r="B208" s="50" t="s">
        <v>2905</v>
      </c>
      <c r="C208" s="56" t="s">
        <v>13683</v>
      </c>
      <c r="D208" s="50">
        <v>271</v>
      </c>
      <c r="E208" s="50" t="str">
        <f t="shared" si="0"/>
        <v>E2.4.1.21</v>
      </c>
      <c r="F208" s="50" t="s">
        <v>12645</v>
      </c>
      <c r="G208" s="50" t="s">
        <v>12646</v>
      </c>
      <c r="H208" s="97" t="s">
        <v>13684</v>
      </c>
      <c r="I208" s="97" t="s">
        <v>13685</v>
      </c>
      <c r="J208" s="50" t="str">
        <f t="shared" si="1"/>
        <v>(${Variables:E2.4.1.21_kcat} * E2.4.1.21 * C00498 * C00718)/(${Variables:E2.4.1.21_km} + (E2.4.1.21 * C00498 * C00718))</v>
      </c>
      <c r="K208" s="98" t="str">
        <f t="shared" si="2"/>
        <v>r271: C00498 + C00718 -&gt; C00008 + C00718 | (${Variables:E2.4.1.21_kcat} * E2.4.1.21 * C00498 * C00718)/(${Variables:E2.4.1.21_km} + (E2.4.1.21 * C00498 * C00718))</v>
      </c>
    </row>
    <row r="209" spans="1:11" ht="14">
      <c r="A209" s="50" t="s">
        <v>2904</v>
      </c>
      <c r="B209" s="50" t="s">
        <v>2905</v>
      </c>
      <c r="C209" s="56" t="s">
        <v>13686</v>
      </c>
      <c r="D209" s="50">
        <v>272</v>
      </c>
      <c r="E209" s="50" t="str">
        <f t="shared" si="0"/>
        <v>E2.4.1.21</v>
      </c>
      <c r="F209" s="50" t="s">
        <v>17413</v>
      </c>
      <c r="G209" s="50" t="s">
        <v>17414</v>
      </c>
      <c r="H209" s="97" t="s">
        <v>17423</v>
      </c>
      <c r="I209" s="97" t="s">
        <v>17432</v>
      </c>
      <c r="J209" s="50" t="str">
        <f t="shared" si="1"/>
        <v>(${Variables:E2.4.1.21_kcat} * E2.4.1.21 * G10495 * G11109)/(${Variables:E2.4.1.21_km} + (E2.4.1.21 * G10495 * G11109))</v>
      </c>
      <c r="K209" s="98" t="str">
        <f t="shared" si="2"/>
        <v>r272: G10495 + G11109 -&gt; G10495 + G11113 | (${Variables:E2.4.1.21_kcat} * E2.4.1.21 * G10495 * G11109)/(${Variables:E2.4.1.21_km} + (E2.4.1.21 * G10495 * G11109))</v>
      </c>
    </row>
    <row r="210" spans="1:11" ht="14">
      <c r="A210" s="50" t="s">
        <v>888</v>
      </c>
      <c r="B210" s="50" t="s">
        <v>889</v>
      </c>
      <c r="C210" s="55" t="s">
        <v>8101</v>
      </c>
      <c r="D210" s="50">
        <v>273</v>
      </c>
      <c r="E210" s="50" t="str">
        <f t="shared" si="0"/>
        <v>E2.4.1.227</v>
      </c>
      <c r="F210" s="50" t="s">
        <v>12648</v>
      </c>
      <c r="G210" s="50" t="s">
        <v>12649</v>
      </c>
      <c r="H210" s="97" t="s">
        <v>13687</v>
      </c>
      <c r="I210" s="97" t="s">
        <v>13688</v>
      </c>
      <c r="J210" s="50" t="str">
        <f t="shared" si="1"/>
        <v>(${Variables:E2.4.1.227_kcat} * E2.4.1.227 * C04851 * C00043)/(${Variables:E2.4.1.227_km} + (E2.4.1.227 * C04851 * C00043))</v>
      </c>
      <c r="K210" s="98" t="str">
        <f t="shared" si="2"/>
        <v>r273: C04851 + C00043 -&gt; C05893 + C00015 | (${Variables:E2.4.1.227_kcat} * E2.4.1.227 * C04851 * C00043)/(${Variables:E2.4.1.227_km} + (E2.4.1.227 * C04851 * C00043))</v>
      </c>
    </row>
    <row r="211" spans="1:11" ht="14">
      <c r="A211" s="50" t="s">
        <v>888</v>
      </c>
      <c r="B211" s="50" t="s">
        <v>889</v>
      </c>
      <c r="C211" s="55" t="s">
        <v>8101</v>
      </c>
      <c r="D211" s="50">
        <v>274</v>
      </c>
      <c r="E211" s="50" t="str">
        <f t="shared" si="0"/>
        <v>E2.4.1.227</v>
      </c>
      <c r="F211" s="50" t="s">
        <v>12652</v>
      </c>
      <c r="G211" s="50" t="s">
        <v>12653</v>
      </c>
      <c r="H211" s="97" t="s">
        <v>13689</v>
      </c>
      <c r="I211" s="97" t="s">
        <v>13690</v>
      </c>
      <c r="J211" s="50" t="str">
        <f t="shared" si="1"/>
        <v>(${Variables:E2.4.1.227_kcat} * E2.4.1.227 * C05897 * C00043)/(${Variables:E2.4.1.227_km} + (E2.4.1.227 * C05897 * C00043))</v>
      </c>
      <c r="K211" s="98" t="str">
        <f t="shared" si="2"/>
        <v>r274: C05897 + C00043 -&gt; C05898 + C00015 | (${Variables:E2.4.1.227_kcat} * E2.4.1.227 * C05897 * C00043)/(${Variables:E2.4.1.227_km} + (E2.4.1.227 * C05897 * C00043))</v>
      </c>
    </row>
    <row r="212" spans="1:11" ht="14">
      <c r="A212" s="50" t="s">
        <v>888</v>
      </c>
      <c r="B212" s="50" t="s">
        <v>889</v>
      </c>
      <c r="C212" s="55" t="s">
        <v>8101</v>
      </c>
      <c r="D212" s="50">
        <v>275</v>
      </c>
      <c r="E212" s="50" t="str">
        <f t="shared" si="0"/>
        <v>E2.4.1.227</v>
      </c>
      <c r="F212" s="50" t="s">
        <v>12654</v>
      </c>
      <c r="G212" s="50" t="s">
        <v>12655</v>
      </c>
      <c r="H212" s="97" t="s">
        <v>13691</v>
      </c>
      <c r="I212" s="97" t="s">
        <v>13692</v>
      </c>
      <c r="J212" s="50" t="str">
        <f t="shared" si="1"/>
        <v>(${Variables:E2.4.1.227_kcat} * E2.4.1.227 * G10551 * G10610)/(${Variables:E2.4.1.227_km} + (E2.4.1.227 * G10551 * G10610))</v>
      </c>
      <c r="K212" s="98" t="str">
        <f t="shared" si="2"/>
        <v>r275: G10551 + G10610 -&gt; G10550 + G10619 | (${Variables:E2.4.1.227_kcat} * E2.4.1.227 * G10551 * G10610)/(${Variables:E2.4.1.227_km} + (E2.4.1.227 * G10551 * G10610))</v>
      </c>
    </row>
    <row r="213" spans="1:11" ht="14">
      <c r="A213" s="50" t="s">
        <v>888</v>
      </c>
      <c r="B213" s="50" t="s">
        <v>889</v>
      </c>
      <c r="C213" s="55" t="s">
        <v>8101</v>
      </c>
      <c r="D213" s="50">
        <v>276</v>
      </c>
      <c r="E213" s="50" t="str">
        <f t="shared" si="0"/>
        <v>E2.4.1.227</v>
      </c>
      <c r="F213" s="50" t="s">
        <v>12650</v>
      </c>
      <c r="G213" s="50" t="s">
        <v>12651</v>
      </c>
      <c r="H213" s="97" t="s">
        <v>13693</v>
      </c>
      <c r="I213" s="97" t="s">
        <v>13694</v>
      </c>
      <c r="J213" s="50" t="str">
        <f t="shared" si="1"/>
        <v>(${Variables:E2.4.1.227_kcat} * E2.4.1.227 * G10552 * G10610)/(${Variables:E2.4.1.227_km} + (E2.4.1.227 * G10552 * G10610))</v>
      </c>
      <c r="K213" s="98" t="str">
        <f t="shared" si="2"/>
        <v>r276: G10552 + G10610 -&gt; G10553 + G10619 | (${Variables:E2.4.1.227_kcat} * E2.4.1.227 * G10552 * G10610)/(${Variables:E2.4.1.227_km} + (E2.4.1.227 * G10552 * G10610))</v>
      </c>
    </row>
    <row r="214" spans="1:11" ht="12.5">
      <c r="A214" s="50" t="s">
        <v>888</v>
      </c>
      <c r="B214" s="50" t="s">
        <v>889</v>
      </c>
      <c r="C214" s="55" t="s">
        <v>8101</v>
      </c>
      <c r="D214" s="50">
        <v>277</v>
      </c>
      <c r="E214" s="50" t="str">
        <f t="shared" si="0"/>
        <v>E2.4.1.227</v>
      </c>
      <c r="F214" s="50" t="s">
        <v>12656</v>
      </c>
      <c r="G214" s="50" t="s">
        <v>12657</v>
      </c>
      <c r="H214" s="50" t="s">
        <v>12658</v>
      </c>
      <c r="I214" s="50" t="s">
        <v>12659</v>
      </c>
      <c r="J214" s="50" t="str">
        <f t="shared" si="1"/>
        <v>(${Variables:E2.4.1.227_kcat} * E2.4.1.227 * G10556 * G10610)/(${Variables:E2.4.1.227_km} + (E2.4.1.227 * G10556 * G10610))</v>
      </c>
      <c r="K214" s="98" t="str">
        <f t="shared" si="2"/>
        <v>r277: G10556 + G10610 -&gt; G10555 + G10619 | (${Variables:E2.4.1.227_kcat} * E2.4.1.227 * G10556 * G10610)/(${Variables:E2.4.1.227_km} + (E2.4.1.227 * G10556 * G10610))</v>
      </c>
    </row>
    <row r="215" spans="1:11" ht="14">
      <c r="A215" s="50" t="s">
        <v>2324</v>
      </c>
      <c r="B215" s="50" t="s">
        <v>2325</v>
      </c>
      <c r="C215" s="55" t="s">
        <v>8114</v>
      </c>
      <c r="D215" s="50">
        <v>278</v>
      </c>
      <c r="E215" s="50" t="str">
        <f t="shared" si="0"/>
        <v>E2.4.2.14</v>
      </c>
      <c r="F215" s="97" t="s">
        <v>13695</v>
      </c>
      <c r="G215" s="97" t="s">
        <v>13696</v>
      </c>
      <c r="H215" s="50" t="s">
        <v>12660</v>
      </c>
      <c r="I215" s="50" t="s">
        <v>12661</v>
      </c>
      <c r="J215" s="50" t="str">
        <f t="shared" si="1"/>
        <v>(${Variables:E2.4.2.14_kcat} * E2.4.2.14 * C03090 * C00013 * C00025)/(${Variables:E2.4.2.14_km} + (E2.4.2.14 * C03090 * C00013 * C00025))</v>
      </c>
      <c r="K215" s="98" t="str">
        <f t="shared" si="2"/>
        <v>r278: C03090 + C00013 + C00025 -&gt; C00064 + C00119 + C00001 | (${Variables:E2.4.2.14_kcat} * E2.4.2.14 * C03090 * C00013 * C00025)/(${Variables:E2.4.2.14_km} + (E2.4.2.14 * C03090 * C00013 * C00025))</v>
      </c>
    </row>
    <row r="216" spans="1:11" ht="14">
      <c r="A216" s="50" t="s">
        <v>1364</v>
      </c>
      <c r="B216" s="50" t="s">
        <v>1365</v>
      </c>
      <c r="C216" s="56" t="s">
        <v>13697</v>
      </c>
      <c r="D216" s="50">
        <v>279</v>
      </c>
      <c r="E216" s="50" t="str">
        <f t="shared" si="0"/>
        <v>E2.4.2.17</v>
      </c>
      <c r="F216" s="97" t="s">
        <v>13698</v>
      </c>
      <c r="G216" s="97" t="s">
        <v>13699</v>
      </c>
      <c r="H216" s="50" t="s">
        <v>12662</v>
      </c>
      <c r="I216" s="50" t="s">
        <v>12663</v>
      </c>
      <c r="J216" s="50" t="str">
        <f t="shared" si="1"/>
        <v>(${Variables:E2.4.2.17_kcat} * E2.4.2.17 * C02739 * C00013)/(${Variables:E2.4.2.17_km} + (E2.4.2.17 * C02739 * C00013))</v>
      </c>
      <c r="K216" s="98" t="str">
        <f t="shared" si="2"/>
        <v>r279: C02739 + C00013 -&gt; C00002 + C00119 | (${Variables:E2.4.2.17_kcat} * E2.4.2.17 * C02739 * C00013)/(${Variables:E2.4.2.17_km} + (E2.4.2.17 * C02739 * C00013))</v>
      </c>
    </row>
    <row r="217" spans="1:11" ht="14">
      <c r="A217" s="50" t="s">
        <v>4937</v>
      </c>
      <c r="B217" s="50" t="s">
        <v>4938</v>
      </c>
      <c r="C217" s="56" t="s">
        <v>13700</v>
      </c>
      <c r="D217" s="50">
        <v>280</v>
      </c>
      <c r="E217" s="50" t="str">
        <f t="shared" si="0"/>
        <v>E2.4.2.18</v>
      </c>
      <c r="F217" s="97" t="s">
        <v>13701</v>
      </c>
      <c r="G217" s="97" t="s">
        <v>13702</v>
      </c>
      <c r="H217" s="97" t="s">
        <v>13703</v>
      </c>
      <c r="I217" s="97" t="s">
        <v>13704</v>
      </c>
      <c r="J217" s="50" t="str">
        <f t="shared" si="1"/>
        <v>(${Variables:E2.4.2.18_kcat} * E2.4.2.18 * C04302 * C00013)/(${Variables:E2.4.2.18_km} + (E2.4.2.18 * C04302 * C00013))</v>
      </c>
      <c r="K217" s="98" t="str">
        <f t="shared" si="2"/>
        <v>r280: C04302 + C00013 -&gt; C00108 + C00119 | (${Variables:E2.4.2.18_kcat} * E2.4.2.18 * C04302 * C00013)/(${Variables:E2.4.2.18_km} + (E2.4.2.18 * C04302 * C00013))</v>
      </c>
    </row>
    <row r="218" spans="1:11" ht="14">
      <c r="A218" s="50" t="s">
        <v>3333</v>
      </c>
      <c r="B218" s="50" t="s">
        <v>3334</v>
      </c>
      <c r="C218" s="55" t="s">
        <v>8123</v>
      </c>
      <c r="D218" s="50">
        <v>281</v>
      </c>
      <c r="E218" s="50" t="str">
        <f t="shared" si="0"/>
        <v>E2.4.2.2</v>
      </c>
      <c r="F218" s="97" t="s">
        <v>13705</v>
      </c>
      <c r="G218" s="97" t="s">
        <v>13706</v>
      </c>
      <c r="H218" s="97" t="s">
        <v>13707</v>
      </c>
      <c r="I218" s="97" t="s">
        <v>13708</v>
      </c>
      <c r="J218" s="50" t="str">
        <f t="shared" si="1"/>
        <v>(${Variables:E2.4.2.2_kcat} * E2.4.2.2 * C00214 * C00009)/(${Variables:E2.4.2.2_km} + (E2.4.2.2 * C00214 * C00009))</v>
      </c>
      <c r="K218" s="98" t="str">
        <f t="shared" si="2"/>
        <v>r281: C00214 + C00009 -&gt; C00178 + C00672 | (${Variables:E2.4.2.2_kcat} * E2.4.2.2 * C00214 * C00009)/(${Variables:E2.4.2.2_km} + (E2.4.2.2 * C00214 * C00009))</v>
      </c>
    </row>
    <row r="219" spans="1:11" ht="12.5">
      <c r="A219" s="50" t="s">
        <v>3333</v>
      </c>
      <c r="B219" s="50" t="s">
        <v>3334</v>
      </c>
      <c r="C219" s="55" t="s">
        <v>8123</v>
      </c>
      <c r="D219" s="50">
        <v>282</v>
      </c>
      <c r="E219" s="50" t="str">
        <f t="shared" si="0"/>
        <v>E2.4.2.2</v>
      </c>
      <c r="F219" s="50" t="s">
        <v>12664</v>
      </c>
      <c r="G219" s="50" t="s">
        <v>12665</v>
      </c>
      <c r="H219" s="50" t="s">
        <v>12666</v>
      </c>
      <c r="I219" s="50" t="s">
        <v>12667</v>
      </c>
      <c r="J219" s="50" t="str">
        <f t="shared" si="1"/>
        <v>(${Variables:E2.4.2.2_kcat} * E2.4.2.2 * C00299 * C00009)/(${Variables:E2.4.2.2_km} + (E2.4.2.2 * C00299 * C00009))</v>
      </c>
      <c r="K219" s="98" t="str">
        <f t="shared" si="2"/>
        <v>r282: C00299 + C00009 -&gt; C00106 + C00620 | (${Variables:E2.4.2.2_kcat} * E2.4.2.2 * C00299 * C00009)/(${Variables:E2.4.2.2_km} + (E2.4.2.2 * C00299 * C00009))</v>
      </c>
    </row>
    <row r="220" spans="1:11" ht="12.5">
      <c r="A220" s="50" t="s">
        <v>3333</v>
      </c>
      <c r="B220" s="50" t="s">
        <v>3334</v>
      </c>
      <c r="C220" s="55" t="s">
        <v>8123</v>
      </c>
      <c r="D220" s="50">
        <v>283</v>
      </c>
      <c r="E220" s="50" t="str">
        <f t="shared" si="0"/>
        <v>E2.4.2.2</v>
      </c>
      <c r="F220" s="50" t="s">
        <v>12668</v>
      </c>
      <c r="G220" s="50" t="s">
        <v>12669</v>
      </c>
      <c r="H220" s="50" t="s">
        <v>12670</v>
      </c>
      <c r="I220" s="50" t="s">
        <v>12671</v>
      </c>
      <c r="J220" s="50" t="str">
        <f t="shared" si="1"/>
        <v>(${Variables:E2.4.2.2_kcat} * E2.4.2.2 * C00475 * C00009)/(${Variables:E2.4.2.2_km} + (E2.4.2.2 * C00475 * C00009))</v>
      </c>
      <c r="K220" s="98" t="str">
        <f t="shared" si="2"/>
        <v>r283: C00475 + C00009 -&gt; C00380 + C00620 | (${Variables:E2.4.2.2_kcat} * E2.4.2.2 * C00475 * C00009)/(${Variables:E2.4.2.2_km} + (E2.4.2.2 * C00475 * C00009))</v>
      </c>
    </row>
    <row r="221" spans="1:11" ht="12.5">
      <c r="A221" s="50" t="s">
        <v>3333</v>
      </c>
      <c r="B221" s="50" t="s">
        <v>3334</v>
      </c>
      <c r="C221" s="55" t="s">
        <v>8123</v>
      </c>
      <c r="D221" s="50">
        <v>284</v>
      </c>
      <c r="E221" s="50" t="str">
        <f t="shared" si="0"/>
        <v>E2.4.2.2</v>
      </c>
      <c r="F221" s="50" t="s">
        <v>12672</v>
      </c>
      <c r="G221" s="50" t="s">
        <v>12673</v>
      </c>
      <c r="H221" s="50" t="s">
        <v>12674</v>
      </c>
      <c r="I221" s="50" t="s">
        <v>12675</v>
      </c>
      <c r="J221" s="50" t="str">
        <f t="shared" si="1"/>
        <v>(${Variables:E2.4.2.2_kcat} * E2.4.2.2 * C00526 * C00009)/(${Variables:E2.4.2.2_km} + (E2.4.2.2 * C00526 * C00009))</v>
      </c>
      <c r="K221" s="98" t="str">
        <f t="shared" si="2"/>
        <v>r284: C00526 + C00009 -&gt; C00106 + C00672 | (${Variables:E2.4.2.2_kcat} * E2.4.2.2 * C00526 * C00009)/(${Variables:E2.4.2.2_km} + (E2.4.2.2 * C00526 * C00009))</v>
      </c>
    </row>
    <row r="222" spans="1:11" ht="12.5">
      <c r="A222" s="50" t="s">
        <v>3333</v>
      </c>
      <c r="B222" s="50" t="s">
        <v>3334</v>
      </c>
      <c r="C222" s="55" t="s">
        <v>8123</v>
      </c>
      <c r="D222" s="50">
        <v>285</v>
      </c>
      <c r="E222" s="50" t="str">
        <f t="shared" si="0"/>
        <v>E2.4.2.2</v>
      </c>
      <c r="F222" s="50" t="s">
        <v>12676</v>
      </c>
      <c r="G222" s="50" t="s">
        <v>12677</v>
      </c>
      <c r="H222" s="50" t="s">
        <v>12678</v>
      </c>
      <c r="I222" s="50" t="s">
        <v>12679</v>
      </c>
      <c r="J222" s="50" t="str">
        <f t="shared" si="1"/>
        <v>(${Variables:E2.4.2.2_kcat} * E2.4.2.2 * C03169 * C00009)/(${Variables:E2.4.2.2_km} + (E2.4.2.2 * C03169 * C00009))</v>
      </c>
      <c r="K222" s="98" t="str">
        <f t="shared" si="2"/>
        <v>r285: C03169 + C00009 -&gt; C00396 + C00620 + C00080 | (${Variables:E2.4.2.2_kcat} * E2.4.2.2 * C03169 * C00009)/(${Variables:E2.4.2.2_km} + (E2.4.2.2 * C03169 * C00009))</v>
      </c>
    </row>
    <row r="223" spans="1:11" ht="12.5">
      <c r="A223" s="50" t="s">
        <v>380</v>
      </c>
      <c r="B223" s="50" t="s">
        <v>381</v>
      </c>
      <c r="C223" s="55" t="s">
        <v>8138</v>
      </c>
      <c r="D223" s="50">
        <v>286</v>
      </c>
      <c r="E223" s="50" t="str">
        <f t="shared" si="0"/>
        <v>E2.4.2.22</v>
      </c>
      <c r="F223" s="50" t="s">
        <v>12680</v>
      </c>
      <c r="G223" s="50" t="s">
        <v>12681</v>
      </c>
      <c r="H223" s="50" t="s">
        <v>12682</v>
      </c>
      <c r="I223" s="50" t="s">
        <v>12683</v>
      </c>
      <c r="J223" s="50" t="str">
        <f t="shared" si="1"/>
        <v>(${Variables:E2.4.2.22_kcat} * E2.4.2.22 * C00144 * C00013)/(${Variables:E2.4.2.22_km} + (E2.4.2.22 * C00144 * C00013))</v>
      </c>
      <c r="K223" s="98" t="str">
        <f t="shared" si="2"/>
        <v>r286: C00144 + C00013 -&gt; C00242 + C00119 | (${Variables:E2.4.2.22_kcat} * E2.4.2.22 * C00144 * C00013)/(${Variables:E2.4.2.22_km} + (E2.4.2.22 * C00144 * C00013))</v>
      </c>
    </row>
    <row r="224" spans="1:11" ht="14">
      <c r="A224" s="50" t="s">
        <v>380</v>
      </c>
      <c r="B224" s="50" t="s">
        <v>381</v>
      </c>
      <c r="C224" s="55" t="s">
        <v>8138</v>
      </c>
      <c r="D224" s="50">
        <v>287</v>
      </c>
      <c r="E224" s="50" t="str">
        <f t="shared" si="0"/>
        <v>E2.4.2.22</v>
      </c>
      <c r="F224" s="97" t="s">
        <v>13709</v>
      </c>
      <c r="G224" s="97" t="s">
        <v>13710</v>
      </c>
      <c r="H224" s="97" t="s">
        <v>13711</v>
      </c>
      <c r="I224" s="97" t="s">
        <v>13712</v>
      </c>
      <c r="J224" s="50" t="str">
        <f t="shared" si="1"/>
        <v>(${Variables:E2.4.2.22_kcat} * E2.4.2.22 * C00655 * C00013)/(${Variables:E2.4.2.22_km} + (E2.4.2.22 * C00655 * C00013))</v>
      </c>
      <c r="K224" s="98" t="str">
        <f t="shared" si="2"/>
        <v>r287: C00655 + C00013 -&gt; C00385 + C00119 | (${Variables:E2.4.2.22_kcat} * E2.4.2.22 * C00655 * C00013)/(${Variables:E2.4.2.22_km} + (E2.4.2.22 * C00655 * C00013))</v>
      </c>
    </row>
    <row r="225" spans="1:11" ht="14">
      <c r="A225" s="50" t="s">
        <v>6989</v>
      </c>
      <c r="B225" s="50" t="s">
        <v>6990</v>
      </c>
      <c r="C225" s="55" t="s">
        <v>8144</v>
      </c>
      <c r="D225" s="50">
        <v>288</v>
      </c>
      <c r="E225" s="50" t="str">
        <f t="shared" si="0"/>
        <v>E2.4.2.29</v>
      </c>
      <c r="F225" s="97" t="s">
        <v>13713</v>
      </c>
      <c r="G225" s="97" t="s">
        <v>13714</v>
      </c>
      <c r="H225" s="97" t="s">
        <v>13715</v>
      </c>
      <c r="I225" s="97" t="s">
        <v>13716</v>
      </c>
      <c r="J225" s="50" t="str">
        <f t="shared" si="1"/>
        <v>(${Variables:E2.4.2.29_kcat} * E2.4.2.29 * C01977 * C16675)/(${Variables:E2.4.2.29_km} + (E2.4.2.29 * C01977 * C16675))</v>
      </c>
      <c r="K225" s="98" t="str">
        <f t="shared" si="2"/>
        <v>r288: C01977 + C16675 -&gt; C20446 + C00242 | (${Variables:E2.4.2.29_kcat} * E2.4.2.29 * C01977 * C16675)/(${Variables:E2.4.2.29_km} + (E2.4.2.29 * C01977 * C16675))</v>
      </c>
    </row>
    <row r="226" spans="1:11" ht="14">
      <c r="A226" s="50" t="s">
        <v>2601</v>
      </c>
      <c r="B226" s="50" t="s">
        <v>2602</v>
      </c>
      <c r="C226" s="55" t="s">
        <v>8147</v>
      </c>
      <c r="D226" s="50">
        <v>289</v>
      </c>
      <c r="E226" s="50" t="str">
        <f t="shared" si="0"/>
        <v>E2.4.2.52</v>
      </c>
      <c r="F226" s="97" t="s">
        <v>13717</v>
      </c>
      <c r="G226" s="97" t="s">
        <v>13718</v>
      </c>
      <c r="H226" s="97" t="s">
        <v>13719</v>
      </c>
      <c r="I226" s="97" t="s">
        <v>13720</v>
      </c>
      <c r="J226" s="50" t="str">
        <f t="shared" si="1"/>
        <v>(${Variables:E2.4.2.52_kcat} * E2.4.2.52 * C00002 * C00882)/(${Variables:E2.4.2.52_km} + (E2.4.2.52 * C00002 * C00882))</v>
      </c>
      <c r="K226" s="98" t="str">
        <f t="shared" si="2"/>
        <v>r289: C00002 + C00882 -&gt; C19771 + C00147 | (${Variables:E2.4.2.52_kcat} * E2.4.2.52 * C00002 * C00882)/(${Variables:E2.4.2.52_km} + (E2.4.2.52 * C00002 * C00882))</v>
      </c>
    </row>
    <row r="227" spans="1:11" ht="14">
      <c r="A227" s="50" t="s">
        <v>1712</v>
      </c>
      <c r="B227" s="50" t="s">
        <v>1713</v>
      </c>
      <c r="C227" s="55" t="s">
        <v>8150</v>
      </c>
      <c r="D227" s="50">
        <v>290</v>
      </c>
      <c r="E227" s="50" t="str">
        <f t="shared" si="0"/>
        <v>E2.4.2.7</v>
      </c>
      <c r="F227" s="97" t="s">
        <v>13721</v>
      </c>
      <c r="G227" s="97" t="s">
        <v>13722</v>
      </c>
      <c r="H227" s="50" t="s">
        <v>12684</v>
      </c>
      <c r="I227" s="50" t="s">
        <v>12685</v>
      </c>
      <c r="J227" s="50" t="str">
        <f t="shared" si="1"/>
        <v>(${Variables:E2.4.2.7_kcat} * E2.4.2.7 * C00020 * C00013)/(${Variables:E2.4.2.7_km} + (E2.4.2.7 * C00020 * C00013))</v>
      </c>
      <c r="K227" s="98" t="str">
        <f t="shared" si="2"/>
        <v>r290: C00020 + C00013 -&gt; C00147 + C00119 | (${Variables:E2.4.2.7_kcat} * E2.4.2.7 * C00020 * C00013)/(${Variables:E2.4.2.7_km} + (E2.4.2.7 * C00020 * C00013))</v>
      </c>
    </row>
    <row r="228" spans="1:11" ht="12.5">
      <c r="A228" s="50" t="s">
        <v>1712</v>
      </c>
      <c r="B228" s="50" t="s">
        <v>1713</v>
      </c>
      <c r="C228" s="55" t="s">
        <v>8150</v>
      </c>
      <c r="D228" s="50">
        <v>291</v>
      </c>
      <c r="E228" s="50" t="str">
        <f t="shared" si="0"/>
        <v>E2.4.2.7</v>
      </c>
      <c r="F228" s="50" t="s">
        <v>12686</v>
      </c>
      <c r="G228" s="50" t="s">
        <v>12687</v>
      </c>
      <c r="H228" s="50" t="s">
        <v>12688</v>
      </c>
      <c r="I228" s="50" t="s">
        <v>12689</v>
      </c>
      <c r="J228" s="50" t="str">
        <f t="shared" si="1"/>
        <v>(${Variables:E2.4.2.7_kcat} * E2.4.2.7 * C04677 * C00013)/(${Variables:E2.4.2.7_km} + (E2.4.2.7 * C04677 * C00013))</v>
      </c>
      <c r="K228" s="98" t="str">
        <f t="shared" si="2"/>
        <v>r291: C04677 + C00013 -&gt; C04051 + C00119 | (${Variables:E2.4.2.7_kcat} * E2.4.2.7 * C04677 * C00013)/(${Variables:E2.4.2.7_km} + (E2.4.2.7 * C04677 * C00013))</v>
      </c>
    </row>
    <row r="229" spans="1:11" ht="14">
      <c r="A229" s="50" t="s">
        <v>531</v>
      </c>
      <c r="B229" s="50" t="s">
        <v>532</v>
      </c>
      <c r="C229" s="55" t="s">
        <v>8159</v>
      </c>
      <c r="D229" s="50">
        <v>294</v>
      </c>
      <c r="E229" s="50" t="str">
        <f t="shared" si="0"/>
        <v>E2.4.2.9</v>
      </c>
      <c r="F229" s="97" t="s">
        <v>13723</v>
      </c>
      <c r="G229" s="97" t="s">
        <v>13724</v>
      </c>
      <c r="H229" s="97" t="s">
        <v>13725</v>
      </c>
      <c r="I229" s="97" t="s">
        <v>13726</v>
      </c>
      <c r="J229" s="50" t="str">
        <f t="shared" si="1"/>
        <v>(${Variables:E2.4.2.9_kcat} * E2.4.2.9 * C00105 * C00013)/(${Variables:E2.4.2.9_km} + (E2.4.2.9 * C00105 * C00013))</v>
      </c>
      <c r="K229" s="98" t="str">
        <f t="shared" si="2"/>
        <v>r294: C00105 + C00013 -&gt; C00106 + C00119 | (${Variables:E2.4.2.9_kcat} * E2.4.2.9 * C00105 * C00013)/(${Variables:E2.4.2.9_km} + (E2.4.2.9 * C00105 * C00013))</v>
      </c>
    </row>
    <row r="230" spans="1:11" ht="14">
      <c r="A230" s="50" t="s">
        <v>6985</v>
      </c>
      <c r="B230" s="50" t="s">
        <v>6986</v>
      </c>
      <c r="C230" s="55" t="s">
        <v>8162</v>
      </c>
      <c r="D230" s="50">
        <v>296</v>
      </c>
      <c r="E230" s="50" t="str">
        <f t="shared" si="0"/>
        <v>E2.4.99.17</v>
      </c>
      <c r="F230" s="97" t="s">
        <v>13727</v>
      </c>
      <c r="G230" s="97" t="s">
        <v>13728</v>
      </c>
      <c r="H230" s="97" t="s">
        <v>13729</v>
      </c>
      <c r="I230" s="97" t="s">
        <v>13730</v>
      </c>
      <c r="J230" s="50" t="str">
        <f t="shared" si="1"/>
        <v>(${Variables:E2.4.99.17_kcat} * E2.4.99.17 * C00019 * C20446)/(${Variables:E2.4.99.17_km} + (E2.4.99.17 * C00019 * C20446))</v>
      </c>
      <c r="K230" s="98" t="str">
        <f t="shared" si="2"/>
        <v>r296: C00019 + C20446 -&gt; C00073 + C00147 + C19647 | (${Variables:E2.4.99.17_kcat} * E2.4.99.17 * C00019 * C20446)/(${Variables:E2.4.99.17_km} + (E2.4.99.17 * C00019 * C20446))</v>
      </c>
    </row>
    <row r="231" spans="1:11" ht="12.5">
      <c r="A231" s="50" t="s">
        <v>7522</v>
      </c>
      <c r="B231" s="50" t="s">
        <v>7523</v>
      </c>
      <c r="C231" s="55" t="s">
        <v>8165</v>
      </c>
      <c r="D231" s="50">
        <v>297</v>
      </c>
      <c r="E231" s="50" t="str">
        <f t="shared" si="0"/>
        <v>E2.5.1.145</v>
      </c>
      <c r="F231" s="50"/>
      <c r="G231" s="50"/>
      <c r="H231" s="50"/>
      <c r="I231" s="50"/>
      <c r="J231" s="100"/>
      <c r="K231" s="98"/>
    </row>
    <row r="232" spans="1:11" ht="12.5">
      <c r="A232" s="50" t="s">
        <v>3561</v>
      </c>
      <c r="B232" s="50" t="s">
        <v>3562</v>
      </c>
      <c r="C232" s="55" t="s">
        <v>8167</v>
      </c>
      <c r="D232" s="50">
        <v>298</v>
      </c>
      <c r="E232" s="50" t="str">
        <f t="shared" si="0"/>
        <v>E2.5.1.17</v>
      </c>
      <c r="F232" s="50" t="s">
        <v>17383</v>
      </c>
      <c r="G232" s="50" t="s">
        <v>17384</v>
      </c>
      <c r="H232" s="50" t="s">
        <v>17385</v>
      </c>
      <c r="I232" s="50" t="s">
        <v>17386</v>
      </c>
      <c r="J232" s="50" t="str">
        <f t="shared" ref="J232:J486" si="3">CONCATENATE("(${Variables:",E232,"_kcat","} * ",E232," * ",G232,")","/(${Variables:",E232,"_km","} + (",E232," * ",G232,"))")</f>
        <v>(${Variables:E2.5.1.17_kcat} * E2.5.1.17 * C00002 * C00541 * C03024)/(${Variables:E2.5.1.17_km} + (E2.5.1.17 * C00002 * C00541 * C03024))</v>
      </c>
      <c r="K232" s="98" t="str">
        <f t="shared" ref="K232:K486" si="4">CONCATENATE("r",D232,": ",F232," -&gt; ",H232," | ",J232)</f>
        <v>r298: C00002 + C00541 + C03024 -&gt; C00536 + C00194 + C03161 | (${Variables:E2.5.1.17_kcat} * E2.5.1.17 * C00002 * C00541 * C03024)/(${Variables:E2.5.1.17_km} + (E2.5.1.17 * C00002 * C00541 * C03024))</v>
      </c>
    </row>
    <row r="233" spans="1:11" ht="12.5">
      <c r="A233" s="50" t="s">
        <v>3561</v>
      </c>
      <c r="B233" s="50" t="s">
        <v>3562</v>
      </c>
      <c r="C233" s="55" t="s">
        <v>8167</v>
      </c>
      <c r="D233" s="50">
        <v>299</v>
      </c>
      <c r="E233" s="50" t="str">
        <f t="shared" si="0"/>
        <v>E2.5.1.17</v>
      </c>
      <c r="F233" s="50" t="s">
        <v>17387</v>
      </c>
      <c r="G233" s="50" t="s">
        <v>17388</v>
      </c>
      <c r="H233" s="50" t="s">
        <v>17389</v>
      </c>
      <c r="I233" s="50" t="s">
        <v>17390</v>
      </c>
      <c r="J233" s="50" t="str">
        <f t="shared" si="3"/>
        <v>(${Variables:E2.5.1.17_kcat} * E2.5.1.17 * C00002 * C06504 * C03024)/(${Variables:E2.5.1.17_km} + (E2.5.1.17 * C00002 * C06504 * C03024))</v>
      </c>
      <c r="K233" s="98" t="str">
        <f t="shared" si="4"/>
        <v>r299: C00002 + C06504 + C03024 -&gt; C00536 + C06506 + C03161 | (${Variables:E2.5.1.17_kcat} * E2.5.1.17 * C00002 * C06504 * C03024)/(${Variables:E2.5.1.17_km} + (E2.5.1.17 * C00002 * C06504 * C03024))</v>
      </c>
    </row>
    <row r="234" spans="1:11" ht="12.5">
      <c r="A234" s="50" t="s">
        <v>3561</v>
      </c>
      <c r="B234" s="50" t="s">
        <v>3562</v>
      </c>
      <c r="C234" s="55" t="s">
        <v>8167</v>
      </c>
      <c r="D234" s="50">
        <v>300</v>
      </c>
      <c r="E234" s="50" t="str">
        <f t="shared" si="0"/>
        <v>E2.5.1.17</v>
      </c>
      <c r="F234" s="50" t="s">
        <v>12694</v>
      </c>
      <c r="G234" s="50" t="s">
        <v>12695</v>
      </c>
      <c r="H234" s="50" t="s">
        <v>12696</v>
      </c>
      <c r="I234" s="50" t="s">
        <v>12697</v>
      </c>
      <c r="J234" s="50" t="str">
        <f t="shared" si="3"/>
        <v>(${Variables:E2.5.1.17_kcat} * E2.5.1.17 * C00002 * C00853)/(${Variables:E2.5.1.17_km} + (E2.5.1.17 * C00002 * C00853))</v>
      </c>
      <c r="K234" s="98" t="str">
        <f t="shared" si="4"/>
        <v>r300: C00002 + C00853 -&gt; C00536 + C00194 | (${Variables:E2.5.1.17_kcat} * E2.5.1.17 * C00002 * C00853)/(${Variables:E2.5.1.17_km} + (E2.5.1.17 * C00002 * C00853))</v>
      </c>
    </row>
    <row r="235" spans="1:11" ht="14">
      <c r="A235" s="50" t="s">
        <v>3561</v>
      </c>
      <c r="B235" s="50" t="s">
        <v>3562</v>
      </c>
      <c r="C235" s="55" t="s">
        <v>8167</v>
      </c>
      <c r="D235" s="50">
        <v>301</v>
      </c>
      <c r="E235" s="50" t="str">
        <f t="shared" si="0"/>
        <v>E2.5.1.17</v>
      </c>
      <c r="F235" s="50" t="s">
        <v>12702</v>
      </c>
      <c r="G235" s="50" t="s">
        <v>12703</v>
      </c>
      <c r="H235" s="97" t="s">
        <v>13731</v>
      </c>
      <c r="I235" s="97" t="s">
        <v>13732</v>
      </c>
      <c r="J235" s="50" t="str">
        <f t="shared" si="3"/>
        <v>(${Variables:E2.5.1.17_kcat} * E2.5.1.17 * C00002 * C05774)/(${Variables:E2.5.1.17_km} + (E2.5.1.17 * C00002 * C05774))</v>
      </c>
      <c r="K235" s="98" t="str">
        <f t="shared" si="4"/>
        <v>r301: C00002 + C05774 -&gt; C00536 + C06508 | (${Variables:E2.5.1.17_kcat} * E2.5.1.17 * C00002 * C05774)/(${Variables:E2.5.1.17_km} + (E2.5.1.17 * C00002 * C05774))</v>
      </c>
    </row>
    <row r="236" spans="1:11" ht="12.5">
      <c r="A236" s="50" t="s">
        <v>3561</v>
      </c>
      <c r="B236" s="50" t="s">
        <v>3562</v>
      </c>
      <c r="C236" s="55" t="s">
        <v>8167</v>
      </c>
      <c r="D236" s="50">
        <v>302</v>
      </c>
      <c r="E236" s="50" t="str">
        <f t="shared" si="0"/>
        <v>E2.5.1.17</v>
      </c>
      <c r="F236" s="50" t="s">
        <v>12698</v>
      </c>
      <c r="G236" s="50" t="s">
        <v>12699</v>
      </c>
      <c r="H236" s="50" t="s">
        <v>12700</v>
      </c>
      <c r="I236" s="50" t="s">
        <v>12701</v>
      </c>
      <c r="J236" s="50" t="str">
        <f t="shared" si="3"/>
        <v>(${Variables:E2.5.1.17_kcat} * E2.5.1.17 * C06505 * C00002)/(${Variables:E2.5.1.17_km} + (E2.5.1.17 * C06505 * C00002))</v>
      </c>
      <c r="K236" s="98" t="str">
        <f t="shared" si="4"/>
        <v>r302: C06505 + C00002 -&gt; C06506 + C00536 | (${Variables:E2.5.1.17_kcat} * E2.5.1.17 * C06505 * C00002)/(${Variables:E2.5.1.17_km} + (E2.5.1.17 * C06505 * C00002))</v>
      </c>
    </row>
    <row r="237" spans="1:11" ht="14">
      <c r="A237" s="50" t="s">
        <v>4333</v>
      </c>
      <c r="B237" s="50" t="s">
        <v>4334</v>
      </c>
      <c r="C237" s="55" t="s">
        <v>8183</v>
      </c>
      <c r="D237" s="50">
        <v>303</v>
      </c>
      <c r="E237" s="50" t="str">
        <f t="shared" si="0"/>
        <v>E2.5.1.3</v>
      </c>
      <c r="F237" s="97" t="s">
        <v>13733</v>
      </c>
      <c r="G237" s="97" t="s">
        <v>13734</v>
      </c>
      <c r="H237" s="97" t="s">
        <v>13735</v>
      </c>
      <c r="I237" s="97" t="s">
        <v>13736</v>
      </c>
      <c r="J237" s="50" t="str">
        <f t="shared" si="3"/>
        <v>(${Variables:E2.5.1.3_kcat} * E2.5.1.3 * C04752 * C04327)/(${Variables:E2.5.1.3_km} + (E2.5.1.3 * C04752 * C04327))</v>
      </c>
      <c r="K237" s="98" t="str">
        <f t="shared" si="4"/>
        <v>r303: C04752 + C04327 -&gt; C00013 + C01081 | (${Variables:E2.5.1.3_kcat} * E2.5.1.3 * C04752 * C04327)/(${Variables:E2.5.1.3_km} + (E2.5.1.3 * C04752 * C04327))</v>
      </c>
    </row>
    <row r="238" spans="1:11" ht="14">
      <c r="A238" s="50" t="s">
        <v>4333</v>
      </c>
      <c r="B238" s="50" t="s">
        <v>4334</v>
      </c>
      <c r="C238" s="55" t="s">
        <v>8183</v>
      </c>
      <c r="D238" s="50">
        <v>304</v>
      </c>
      <c r="E238" s="50" t="str">
        <f t="shared" si="0"/>
        <v>E2.5.1.3</v>
      </c>
      <c r="F238" s="50" t="s">
        <v>12708</v>
      </c>
      <c r="G238" s="50" t="s">
        <v>12709</v>
      </c>
      <c r="H238" s="97" t="s">
        <v>13737</v>
      </c>
      <c r="I238" s="97" t="s">
        <v>13738</v>
      </c>
      <c r="J238" s="50" t="str">
        <f t="shared" si="3"/>
        <v>(${Variables:E2.5.1.3_kcat} * E2.5.1.3 * C04752 * C20246)/(${Variables:E2.5.1.3_km} + (E2.5.1.3 * C04752 * C20246))</v>
      </c>
      <c r="K238" s="98" t="str">
        <f t="shared" si="4"/>
        <v>r304: C04752 + C20246 -&gt; C00013 + C01081 + C00011 | (${Variables:E2.5.1.3_kcat} * E2.5.1.3 * C04752 * C20246)/(${Variables:E2.5.1.3_km} + (E2.5.1.3 * C04752 * C20246))</v>
      </c>
    </row>
    <row r="239" spans="1:11" ht="12.5">
      <c r="A239" s="50" t="s">
        <v>4333</v>
      </c>
      <c r="B239" s="50" t="s">
        <v>4334</v>
      </c>
      <c r="C239" s="55" t="s">
        <v>8183</v>
      </c>
      <c r="D239" s="50">
        <v>305</v>
      </c>
      <c r="E239" s="50" t="str">
        <f t="shared" si="0"/>
        <v>E2.5.1.3</v>
      </c>
      <c r="F239" s="50" t="s">
        <v>12704</v>
      </c>
      <c r="G239" s="50" t="s">
        <v>12705</v>
      </c>
      <c r="H239" s="50" t="s">
        <v>12706</v>
      </c>
      <c r="I239" s="50" t="s">
        <v>12707</v>
      </c>
      <c r="J239" s="50" t="str">
        <f t="shared" si="3"/>
        <v>(${Variables:E2.5.1.3_kcat} * E2.5.1.3 * C04752 * C20247)/(${Variables:E2.5.1.3_km} + (E2.5.1.3 * C04752 * C20247))</v>
      </c>
      <c r="K239" s="98" t="str">
        <f t="shared" si="4"/>
        <v>r305: C04752 + C20247 -&gt; C01081 + C00013 + C00011 | (${Variables:E2.5.1.3_kcat} * E2.5.1.3 * C04752 * C20247)/(${Variables:E2.5.1.3_km} + (E2.5.1.3 * C04752 * C20247))</v>
      </c>
    </row>
    <row r="240" spans="1:11" ht="14">
      <c r="A240" s="50" t="s">
        <v>3868</v>
      </c>
      <c r="B240" s="50" t="s">
        <v>3869</v>
      </c>
      <c r="C240" s="55" t="s">
        <v>8191</v>
      </c>
      <c r="D240" s="50">
        <v>306</v>
      </c>
      <c r="E240" s="50" t="str">
        <f t="shared" si="0"/>
        <v>E2.5.1.47</v>
      </c>
      <c r="F240" s="50" t="s">
        <v>12710</v>
      </c>
      <c r="G240" s="50" t="s">
        <v>12711</v>
      </c>
      <c r="H240" s="97" t="s">
        <v>13739</v>
      </c>
      <c r="I240" s="97" t="s">
        <v>13740</v>
      </c>
      <c r="J240" s="50" t="str">
        <f t="shared" si="3"/>
        <v>(${Variables:E2.5.1.47_kcat} * E2.5.1.47 * C00979 * C00283)/(${Variables:E2.5.1.47_km} + (E2.5.1.47 * C00979 * C00283))</v>
      </c>
      <c r="K240" s="98" t="str">
        <f t="shared" si="4"/>
        <v>r306: C00979 + C00283 -&gt; C00097 + C00033 | (${Variables:E2.5.1.47_kcat} * E2.5.1.47 * C00979 * C00283)/(${Variables:E2.5.1.47_km} + (E2.5.1.47 * C00979 * C00283))</v>
      </c>
    </row>
    <row r="241" spans="1:11" ht="14">
      <c r="A241" s="50" t="s">
        <v>3868</v>
      </c>
      <c r="B241" s="50" t="s">
        <v>3869</v>
      </c>
      <c r="C241" s="55" t="s">
        <v>8191</v>
      </c>
      <c r="D241" s="50">
        <v>307</v>
      </c>
      <c r="E241" s="50" t="str">
        <f t="shared" si="0"/>
        <v>E2.5.1.47</v>
      </c>
      <c r="F241" s="50" t="s">
        <v>12716</v>
      </c>
      <c r="G241" s="50" t="s">
        <v>12717</v>
      </c>
      <c r="H241" s="97" t="s">
        <v>13741</v>
      </c>
      <c r="I241" s="97" t="s">
        <v>13742</v>
      </c>
      <c r="J241" s="50" t="str">
        <f t="shared" si="3"/>
        <v>(${Variables:E2.5.1.47_kcat} * E2.5.1.47 * C00979 * C00320 * C00342 * C00080)/(${Variables:E2.5.1.47_km} + (E2.5.1.47 * C00979 * C00320 * C00342 * C00080))</v>
      </c>
      <c r="K241" s="98" t="str">
        <f t="shared" si="4"/>
        <v>r307: C00979 + C00320 + C00342 + C00080 -&gt; C00097 + C00094 + C00343 + C00033 | (${Variables:E2.5.1.47_kcat} * E2.5.1.47 * C00979 * C00320 * C00342 * C00080)/(${Variables:E2.5.1.47_km} + (E2.5.1.47 * C00979 * C00320 * C00342 * C00080))</v>
      </c>
    </row>
    <row r="242" spans="1:11" ht="12.5">
      <c r="A242" s="50" t="s">
        <v>3868</v>
      </c>
      <c r="B242" s="50" t="s">
        <v>3869</v>
      </c>
      <c r="C242" s="55" t="s">
        <v>8191</v>
      </c>
      <c r="D242" s="50">
        <v>308</v>
      </c>
      <c r="E242" s="50" t="str">
        <f t="shared" si="0"/>
        <v>E2.5.1.47</v>
      </c>
      <c r="F242" s="50" t="s">
        <v>12712</v>
      </c>
      <c r="G242" s="50" t="s">
        <v>12713</v>
      </c>
      <c r="H242" s="50" t="s">
        <v>12714</v>
      </c>
      <c r="I242" s="50" t="s">
        <v>12715</v>
      </c>
      <c r="J242" s="50" t="str">
        <f t="shared" si="3"/>
        <v>(${Variables:E2.5.1.47_kcat} * E2.5.1.47 * C00979 * C01528)/(${Variables:E2.5.1.47_km} + (E2.5.1.47 * C00979 * C01528))</v>
      </c>
      <c r="K242" s="98" t="str">
        <f t="shared" si="4"/>
        <v>r308: C00979 + C01528 -&gt; C05688 + C00033 | (${Variables:E2.5.1.47_kcat} * E2.5.1.47 * C00979 * C01528)/(${Variables:E2.5.1.47_km} + (E2.5.1.47 * C00979 * C01528))</v>
      </c>
    </row>
    <row r="243" spans="1:11" ht="14">
      <c r="A243" s="50" t="s">
        <v>3868</v>
      </c>
      <c r="B243" s="50" t="s">
        <v>3869</v>
      </c>
      <c r="C243" s="55" t="s">
        <v>8191</v>
      </c>
      <c r="D243" s="50">
        <v>309</v>
      </c>
      <c r="E243" s="50" t="str">
        <f t="shared" si="0"/>
        <v>E2.5.1.47</v>
      </c>
      <c r="F243" s="97" t="s">
        <v>13743</v>
      </c>
      <c r="G243" s="97" t="s">
        <v>13744</v>
      </c>
      <c r="H243" s="50" t="s">
        <v>12718</v>
      </c>
      <c r="I243" s="50" t="s">
        <v>12719</v>
      </c>
      <c r="J243" s="50" t="str">
        <f t="shared" si="3"/>
        <v>(${Variables:E2.5.1.47_kcat} * E2.5.1.47 * C01005 * C00283)/(${Variables:E2.5.1.47_km} + (E2.5.1.47 * C01005 * C00283))</v>
      </c>
      <c r="K243" s="98" t="str">
        <f t="shared" si="4"/>
        <v>r309: C01005 + C00283 -&gt; C00097 + C00009 | (${Variables:E2.5.1.47_kcat} * E2.5.1.47 * C01005 * C00283)/(${Variables:E2.5.1.47_km} + (E2.5.1.47 * C01005 * C00283))</v>
      </c>
    </row>
    <row r="244" spans="1:11" ht="14">
      <c r="A244" s="50" t="s">
        <v>7216</v>
      </c>
      <c r="B244" s="50" t="s">
        <v>7217</v>
      </c>
      <c r="C244" s="55" t="s">
        <v>8202</v>
      </c>
      <c r="D244" s="50">
        <v>310</v>
      </c>
      <c r="E244" s="50" t="str">
        <f t="shared" si="0"/>
        <v>E2.5.1.6</v>
      </c>
      <c r="F244" s="50" t="s">
        <v>12722</v>
      </c>
      <c r="G244" s="50" t="s">
        <v>12723</v>
      </c>
      <c r="H244" s="97" t="s">
        <v>13745</v>
      </c>
      <c r="I244" s="97" t="s">
        <v>13746</v>
      </c>
      <c r="J244" s="50" t="str">
        <f t="shared" si="3"/>
        <v>(${Variables:E2.5.1.6_kcat} * E2.5.1.6 * C00002 * C05335 * C00001)/(${Variables:E2.5.1.6_km} + (E2.5.1.6 * C00002 * C05335 * C00001))</v>
      </c>
      <c r="K244" s="98" t="str">
        <f t="shared" si="4"/>
        <v>r310: C00002 + C05335 + C00001 -&gt; C00009 + C00013 + C05691 | (${Variables:E2.5.1.6_kcat} * E2.5.1.6 * C00002 * C05335 * C00001)/(${Variables:E2.5.1.6_km} + (E2.5.1.6 * C00002 * C05335 * C00001))</v>
      </c>
    </row>
    <row r="245" spans="1:11" ht="14">
      <c r="A245" s="50" t="s">
        <v>7216</v>
      </c>
      <c r="B245" s="50" t="s">
        <v>7217</v>
      </c>
      <c r="C245" s="55" t="s">
        <v>8202</v>
      </c>
      <c r="D245" s="50">
        <v>311</v>
      </c>
      <c r="E245" s="50" t="str">
        <f t="shared" si="0"/>
        <v>E2.5.1.6</v>
      </c>
      <c r="F245" s="50" t="s">
        <v>12720</v>
      </c>
      <c r="G245" s="50" t="s">
        <v>12721</v>
      </c>
      <c r="H245" s="97" t="s">
        <v>13747</v>
      </c>
      <c r="I245" s="97" t="s">
        <v>13748</v>
      </c>
      <c r="J245" s="50" t="str">
        <f t="shared" si="3"/>
        <v>(${Variables:E2.5.1.6_kcat} * E2.5.1.6 * C00009 * C00013 * C00019)/(${Variables:E2.5.1.6_km} + (E2.5.1.6 * C00009 * C00013 * C00019))</v>
      </c>
      <c r="K245" s="98" t="str">
        <f t="shared" si="4"/>
        <v>r311: C00009 + C00013 + C00019 -&gt; C00002 + C00073 + C00001 | (${Variables:E2.5.1.6_kcat} * E2.5.1.6 * C00009 * C00013 * C00019)/(${Variables:E2.5.1.6_km} + (E2.5.1.6 * C00009 * C00013 * C00019))</v>
      </c>
    </row>
    <row r="246" spans="1:11" ht="14">
      <c r="A246" s="50" t="s">
        <v>5990</v>
      </c>
      <c r="B246" s="50" t="s">
        <v>5991</v>
      </c>
      <c r="C246" s="55" t="s">
        <v>8208</v>
      </c>
      <c r="D246" s="50">
        <v>312</v>
      </c>
      <c r="E246" s="50" t="str">
        <f t="shared" si="0"/>
        <v>E2.5.1.7</v>
      </c>
      <c r="F246" s="97" t="s">
        <v>13749</v>
      </c>
      <c r="G246" s="97" t="s">
        <v>13750</v>
      </c>
      <c r="H246" s="97" t="s">
        <v>13751</v>
      </c>
      <c r="I246" s="97" t="s">
        <v>13752</v>
      </c>
      <c r="J246" s="50" t="str">
        <f t="shared" si="3"/>
        <v>(${Variables:E2.5.1.7_kcat} * E2.5.1.7 * C00074 * C00043)/(${Variables:E2.5.1.7_km} + (E2.5.1.7 * C00074 * C00043))</v>
      </c>
      <c r="K246" s="98" t="str">
        <f t="shared" si="4"/>
        <v>r312: C00074 + C00043 -&gt; C04631 + C00009 | (${Variables:E2.5.1.7_kcat} * E2.5.1.7 * C00074 * C00043)/(${Variables:E2.5.1.7_km} + (E2.5.1.7 * C00074 * C00043))</v>
      </c>
    </row>
    <row r="247" spans="1:11" ht="14">
      <c r="A247" s="50" t="s">
        <v>3245</v>
      </c>
      <c r="B247" s="50" t="s">
        <v>3246</v>
      </c>
      <c r="C247" s="56" t="s">
        <v>13753</v>
      </c>
      <c r="D247" s="50">
        <v>313</v>
      </c>
      <c r="E247" s="50" t="str">
        <f t="shared" si="0"/>
        <v>E2.5.1.74</v>
      </c>
      <c r="F247" s="97" t="s">
        <v>13754</v>
      </c>
      <c r="G247" s="97" t="s">
        <v>13755</v>
      </c>
      <c r="H247" s="97" t="s">
        <v>13756</v>
      </c>
      <c r="I247" s="97" t="s">
        <v>13757</v>
      </c>
      <c r="J247" s="50" t="str">
        <f t="shared" si="3"/>
        <v>(${Variables:E2.5.1.74_kcat} * E2.5.1.74 * C05847 * C03657)/(${Variables:E2.5.1.74_km} + (E2.5.1.74 * C05847 * C03657))</v>
      </c>
      <c r="K247" s="98" t="str">
        <f t="shared" si="4"/>
        <v>r313: C05847 + C03657 -&gt; C19847 + C00013 + C00011 | (${Variables:E2.5.1.74_kcat} * E2.5.1.74 * C05847 * C03657)/(${Variables:E2.5.1.74_km} + (E2.5.1.74 * C05847 * C03657))</v>
      </c>
    </row>
    <row r="248" spans="1:11" ht="14">
      <c r="A248" s="50" t="s">
        <v>2035</v>
      </c>
      <c r="B248" s="50" t="s">
        <v>2036</v>
      </c>
      <c r="C248" s="56" t="s">
        <v>13758</v>
      </c>
      <c r="D248" s="50">
        <v>315</v>
      </c>
      <c r="E248" s="50" t="str">
        <f t="shared" si="0"/>
        <v>E2.5.1.75</v>
      </c>
      <c r="F248" s="97" t="s">
        <v>13759</v>
      </c>
      <c r="G248" s="97" t="s">
        <v>13760</v>
      </c>
      <c r="H248" s="50" t="s">
        <v>12724</v>
      </c>
      <c r="I248" s="50" t="s">
        <v>12725</v>
      </c>
      <c r="J248" s="50" t="str">
        <f t="shared" si="3"/>
        <v>(${Variables:E2.5.1.75_kcat} * E2.5.1.75 * C00235 * C17324)/(${Variables:E2.5.1.75_km} + (E2.5.1.75 * C00235 * C17324))</v>
      </c>
      <c r="K248" s="98" t="str">
        <f t="shared" si="4"/>
        <v>r315: C00235 + C17324 -&gt; C00013 + C04432 | (${Variables:E2.5.1.75_kcat} * E2.5.1.75 * C00235 * C17324)/(${Variables:E2.5.1.75_km} + (E2.5.1.75 * C00235 * C17324))</v>
      </c>
    </row>
    <row r="249" spans="1:11" ht="14">
      <c r="A249" s="50" t="s">
        <v>131</v>
      </c>
      <c r="B249" s="50" t="s">
        <v>132</v>
      </c>
      <c r="C249" s="58" t="s">
        <v>8216</v>
      </c>
      <c r="D249" s="50">
        <v>316</v>
      </c>
      <c r="E249" s="50" t="str">
        <f t="shared" si="0"/>
        <v>E2.6.1.16</v>
      </c>
      <c r="F249" s="97" t="s">
        <v>13761</v>
      </c>
      <c r="G249" s="97" t="s">
        <v>13762</v>
      </c>
      <c r="H249" s="50" t="s">
        <v>12726</v>
      </c>
      <c r="I249" s="50" t="s">
        <v>12727</v>
      </c>
      <c r="J249" s="50" t="str">
        <f t="shared" si="3"/>
        <v>(${Variables:E2.6.1.16_kcat} * E2.6.1.16 * C00064 * C00085)/(${Variables:E2.6.1.16_km} + (E2.6.1.16 * C00064 * C00085))</v>
      </c>
      <c r="K249" s="98" t="str">
        <f t="shared" si="4"/>
        <v>r316: C00064 + C00085 -&gt; C00025 + C00352 | (${Variables:E2.6.1.16_kcat} * E2.6.1.16 * C00064 * C00085)/(${Variables:E2.6.1.16_km} + (E2.6.1.16 * C00064 * C00085))</v>
      </c>
    </row>
    <row r="250" spans="1:11" ht="12.5">
      <c r="A250" s="50" t="s">
        <v>2918</v>
      </c>
      <c r="B250" s="50" t="s">
        <v>2919</v>
      </c>
      <c r="C250" s="55" t="s">
        <v>8220</v>
      </c>
      <c r="D250" s="50">
        <v>317</v>
      </c>
      <c r="E250" s="50" t="str">
        <f t="shared" si="0"/>
        <v>E2.6.1.42</v>
      </c>
      <c r="F250" s="50" t="s">
        <v>12728</v>
      </c>
      <c r="G250" s="50" t="s">
        <v>12729</v>
      </c>
      <c r="H250" s="50" t="s">
        <v>12730</v>
      </c>
      <c r="I250" s="50" t="s">
        <v>12731</v>
      </c>
      <c r="J250" s="50" t="str">
        <f t="shared" si="3"/>
        <v>(${Variables:E2.6.1.42_kcat} * E2.6.1.42 * C00123 * C00026)/(${Variables:E2.6.1.42_km} + (E2.6.1.42 * C00123 * C00026))</v>
      </c>
      <c r="K250" s="98" t="str">
        <f t="shared" si="4"/>
        <v>r317: C00123 + C00026 -&gt; C00233 + C00025 | (${Variables:E2.6.1.42_kcat} * E2.6.1.42 * C00123 * C00026)/(${Variables:E2.6.1.42_km} + (E2.6.1.42 * C00123 * C00026))</v>
      </c>
    </row>
    <row r="251" spans="1:11" ht="12.5">
      <c r="A251" s="50" t="s">
        <v>2918</v>
      </c>
      <c r="B251" s="50" t="s">
        <v>2919</v>
      </c>
      <c r="C251" s="55" t="s">
        <v>8220</v>
      </c>
      <c r="D251" s="50">
        <v>318</v>
      </c>
      <c r="E251" s="50" t="str">
        <f t="shared" si="0"/>
        <v>E2.6.1.42</v>
      </c>
      <c r="F251" s="50" t="s">
        <v>12732</v>
      </c>
      <c r="G251" s="50" t="s">
        <v>12733</v>
      </c>
      <c r="H251" s="50" t="s">
        <v>12734</v>
      </c>
      <c r="I251" s="50" t="s">
        <v>12735</v>
      </c>
      <c r="J251" s="50" t="str">
        <f t="shared" si="3"/>
        <v>(${Variables:E2.6.1.42_kcat} * E2.6.1.42 * C00183 * C00026)/(${Variables:E2.6.1.42_km} + (E2.6.1.42 * C00183 * C00026))</v>
      </c>
      <c r="K251" s="98" t="str">
        <f t="shared" si="4"/>
        <v>r318: C00183 + C00026 -&gt; C00141 + C00025 | (${Variables:E2.6.1.42_kcat} * E2.6.1.42 * C00183 * C00026)/(${Variables:E2.6.1.42_km} + (E2.6.1.42 * C00183 * C00026))</v>
      </c>
    </row>
    <row r="252" spans="1:11" ht="12.5">
      <c r="A252" s="50" t="s">
        <v>2918</v>
      </c>
      <c r="B252" s="50" t="s">
        <v>2919</v>
      </c>
      <c r="C252" s="55" t="s">
        <v>8220</v>
      </c>
      <c r="D252" s="50">
        <v>319</v>
      </c>
      <c r="E252" s="50" t="str">
        <f t="shared" si="0"/>
        <v>E2.6.1.42</v>
      </c>
      <c r="F252" s="50" t="s">
        <v>12736</v>
      </c>
      <c r="G252" s="50" t="s">
        <v>12737</v>
      </c>
      <c r="H252" s="50" t="s">
        <v>12738</v>
      </c>
      <c r="I252" s="50" t="s">
        <v>12739</v>
      </c>
      <c r="J252" s="50" t="str">
        <f t="shared" si="3"/>
        <v>(${Variables:E2.6.1.42_kcat} * E2.6.1.42 * C00407 * C00026)/(${Variables:E2.6.1.42_km} + (E2.6.1.42 * C00407 * C00026))</v>
      </c>
      <c r="K252" s="98" t="str">
        <f t="shared" si="4"/>
        <v>r319: C00407 + C00026 -&gt; C00671 + C00025 | (${Variables:E2.6.1.42_kcat} * E2.6.1.42 * C00407 * C00026)/(${Variables:E2.6.1.42_km} + (E2.6.1.42 * C00407 * C00026))</v>
      </c>
    </row>
    <row r="253" spans="1:11" ht="12.5">
      <c r="A253" s="50" t="s">
        <v>2918</v>
      </c>
      <c r="B253" s="50" t="s">
        <v>2919</v>
      </c>
      <c r="C253" s="55" t="s">
        <v>8220</v>
      </c>
      <c r="D253" s="50">
        <v>320</v>
      </c>
      <c r="E253" s="50" t="str">
        <f t="shared" si="0"/>
        <v>E2.6.1.42</v>
      </c>
      <c r="F253" s="50" t="s">
        <v>12740</v>
      </c>
      <c r="G253" s="50" t="s">
        <v>12741</v>
      </c>
      <c r="H253" s="50" t="s">
        <v>12742</v>
      </c>
      <c r="I253" s="50" t="s">
        <v>12743</v>
      </c>
      <c r="J253" s="50" t="str">
        <f t="shared" si="3"/>
        <v>(${Variables:E2.6.1.42_kcat} * E2.6.1.42 * C02356 * C00026)/(${Variables:E2.6.1.42_km} + (E2.6.1.42 * C02356 * C00026))</v>
      </c>
      <c r="K253" s="98" t="str">
        <f t="shared" si="4"/>
        <v>r320: C02356 + C00026 -&gt; C00109 + C00025 | (${Variables:E2.6.1.42_kcat} * E2.6.1.42 * C02356 * C00026)/(${Variables:E2.6.1.42_km} + (E2.6.1.42 * C02356 * C00026))</v>
      </c>
    </row>
    <row r="254" spans="1:11" ht="14">
      <c r="A254" s="50" t="s">
        <v>1332</v>
      </c>
      <c r="B254" s="50" t="s">
        <v>1333</v>
      </c>
      <c r="C254" s="56" t="s">
        <v>13763</v>
      </c>
      <c r="D254" s="50">
        <v>321</v>
      </c>
      <c r="E254" s="50" t="str">
        <f t="shared" si="0"/>
        <v>E2.6.1.9</v>
      </c>
      <c r="F254" s="50" t="s">
        <v>12744</v>
      </c>
      <c r="G254" s="50" t="s">
        <v>12745</v>
      </c>
      <c r="H254" s="97" t="s">
        <v>13764</v>
      </c>
      <c r="I254" s="97" t="s">
        <v>13765</v>
      </c>
      <c r="J254" s="50" t="str">
        <f t="shared" si="3"/>
        <v>(${Variables:E2.6.1.9_kcat} * E2.6.1.9 * C00079 * C00026)/(${Variables:E2.6.1.9_km} + (E2.6.1.9 * C00079 * C00026))</v>
      </c>
      <c r="K254" s="98" t="str">
        <f t="shared" si="4"/>
        <v>r321: C00079 + C00026 -&gt; C00166 + C00025 | (${Variables:E2.6.1.9_kcat} * E2.6.1.9 * C00079 * C00026)/(${Variables:E2.6.1.9_km} + (E2.6.1.9 * C00079 * C00026))</v>
      </c>
    </row>
    <row r="255" spans="1:11" ht="12.5">
      <c r="A255" s="50" t="s">
        <v>1332</v>
      </c>
      <c r="B255" s="50" t="s">
        <v>1333</v>
      </c>
      <c r="C255" s="56" t="s">
        <v>13766</v>
      </c>
      <c r="D255" s="50">
        <v>322</v>
      </c>
      <c r="E255" s="50" t="str">
        <f t="shared" si="0"/>
        <v>E2.6.1.9</v>
      </c>
      <c r="F255" s="50" t="s">
        <v>12746</v>
      </c>
      <c r="G255" s="50" t="s">
        <v>12747</v>
      </c>
      <c r="H255" s="50" t="s">
        <v>12748</v>
      </c>
      <c r="I255" s="50" t="s">
        <v>12749</v>
      </c>
      <c r="J255" s="50" t="str">
        <f t="shared" si="3"/>
        <v>(${Variables:E2.6.1.9_kcat} * E2.6.1.9 * C00082 * C00026)/(${Variables:E2.6.1.9_km} + (E2.6.1.9 * C00082 * C00026))</v>
      </c>
      <c r="K255" s="98" t="str">
        <f t="shared" si="4"/>
        <v>r322: C00082 + C00026 -&gt; C01179 + C00025 | (${Variables:E2.6.1.9_kcat} * E2.6.1.9 * C00082 * C00026)/(${Variables:E2.6.1.9_km} + (E2.6.1.9 * C00082 * C00026))</v>
      </c>
    </row>
    <row r="256" spans="1:11" ht="14">
      <c r="A256" s="50" t="s">
        <v>1332</v>
      </c>
      <c r="B256" s="50" t="s">
        <v>1333</v>
      </c>
      <c r="C256" s="56" t="s">
        <v>13767</v>
      </c>
      <c r="D256" s="50">
        <v>323</v>
      </c>
      <c r="E256" s="50" t="str">
        <f t="shared" si="0"/>
        <v>E2.6.1.9</v>
      </c>
      <c r="F256" s="97" t="s">
        <v>13768</v>
      </c>
      <c r="G256" s="97" t="s">
        <v>13769</v>
      </c>
      <c r="H256" s="97" t="s">
        <v>13770</v>
      </c>
      <c r="I256" s="97" t="s">
        <v>13771</v>
      </c>
      <c r="J256" s="50" t="str">
        <f t="shared" si="3"/>
        <v>(${Variables:E2.6.1.9_kcat} * E2.6.1.9 * C01100 * C00026)/(${Variables:E2.6.1.9_km} + (E2.6.1.9 * C01100 * C00026))</v>
      </c>
      <c r="K256" s="98" t="str">
        <f t="shared" si="4"/>
        <v>r323: C01100 + C00026 -&gt; C01267 + C00025 | (${Variables:E2.6.1.9_kcat} * E2.6.1.9 * C01100 * C00026)/(${Variables:E2.6.1.9_km} + (E2.6.1.9 * C01100 * C00026))</v>
      </c>
    </row>
    <row r="257" spans="1:11" ht="14">
      <c r="A257" s="50" t="s">
        <v>249</v>
      </c>
      <c r="B257" s="50" t="s">
        <v>250</v>
      </c>
      <c r="C257" s="55" t="s">
        <v>8241</v>
      </c>
      <c r="D257" s="50">
        <v>327</v>
      </c>
      <c r="E257" s="50" t="str">
        <f t="shared" ref="E257:E511" si="5">CONCATENATE("E",C257)</f>
        <v>E2.7.1.107</v>
      </c>
      <c r="F257" s="97" t="s">
        <v>13772</v>
      </c>
      <c r="G257" s="97" t="s">
        <v>13773</v>
      </c>
      <c r="H257" s="50" t="s">
        <v>12750</v>
      </c>
      <c r="I257" s="50" t="s">
        <v>12751</v>
      </c>
      <c r="J257" s="50" t="str">
        <f t="shared" si="3"/>
        <v>(${Variables:E2.7.1.107_kcat} * E2.7.1.107 * C00002 * C00641)/(${Variables:E2.7.1.107_km} + (E2.7.1.107 * C00002 * C00641))</v>
      </c>
      <c r="K257" s="98" t="str">
        <f t="shared" si="4"/>
        <v>r327: C00002 + C00641 -&gt; C00008 + C00416 | (${Variables:E2.7.1.107_kcat} * E2.7.1.107 * C00002 * C00641)/(${Variables:E2.7.1.107_km} + (E2.7.1.107 * C00002 * C00641))</v>
      </c>
    </row>
    <row r="258" spans="1:11" ht="14">
      <c r="A258" s="50" t="s">
        <v>1139</v>
      </c>
      <c r="B258" s="50" t="s">
        <v>1140</v>
      </c>
      <c r="C258" s="56" t="s">
        <v>13774</v>
      </c>
      <c r="D258" s="50">
        <v>328</v>
      </c>
      <c r="E258" s="50" t="str">
        <f t="shared" si="5"/>
        <v>E2.7.1.11</v>
      </c>
      <c r="F258" s="97" t="s">
        <v>13775</v>
      </c>
      <c r="G258" s="97" t="s">
        <v>13776</v>
      </c>
      <c r="H258" s="50" t="s">
        <v>12754</v>
      </c>
      <c r="I258" s="50" t="s">
        <v>12755</v>
      </c>
      <c r="J258" s="50" t="str">
        <f t="shared" si="3"/>
        <v>(${Variables:E2.7.1.11_kcat} * E2.7.1.11 * C00002 * C00085)/(${Variables:E2.7.1.11_km} + (E2.7.1.11 * C00002 * C00085))</v>
      </c>
      <c r="K258" s="98" t="str">
        <f t="shared" si="4"/>
        <v>r328: C00002 + C00085 -&gt; C00008 + C00354 | (${Variables:E2.7.1.11_kcat} * E2.7.1.11 * C00002 * C00085)/(${Variables:E2.7.1.11_km} + (E2.7.1.11 * C00002 * C00085))</v>
      </c>
    </row>
    <row r="259" spans="1:11" ht="14">
      <c r="A259" s="50" t="s">
        <v>1139</v>
      </c>
      <c r="B259" s="50" t="s">
        <v>1140</v>
      </c>
      <c r="C259" s="56" t="s">
        <v>13777</v>
      </c>
      <c r="D259" s="50">
        <v>329</v>
      </c>
      <c r="E259" s="50" t="str">
        <f t="shared" si="5"/>
        <v>E2.7.1.11</v>
      </c>
      <c r="F259" s="97" t="s">
        <v>13778</v>
      </c>
      <c r="G259" s="97" t="s">
        <v>13779</v>
      </c>
      <c r="H259" s="50" t="s">
        <v>12752</v>
      </c>
      <c r="I259" s="50" t="s">
        <v>12753</v>
      </c>
      <c r="J259" s="50" t="str">
        <f t="shared" si="3"/>
        <v>(${Variables:E2.7.1.11_kcat} * E2.7.1.11 * C00002 * C05345)/(${Variables:E2.7.1.11_km} + (E2.7.1.11 * C00002 * C05345))</v>
      </c>
      <c r="K259" s="98" t="str">
        <f t="shared" si="4"/>
        <v>r329: C00002 + C05345 -&gt; C00008 + C05378 | (${Variables:E2.7.1.11_kcat} * E2.7.1.11 * C00002 * C05345)/(${Variables:E2.7.1.11_km} + (E2.7.1.11 * C00002 * C05345))</v>
      </c>
    </row>
    <row r="260" spans="1:11" ht="14">
      <c r="A260" s="50" t="s">
        <v>1139</v>
      </c>
      <c r="B260" s="50" t="s">
        <v>1140</v>
      </c>
      <c r="C260" s="56" t="s">
        <v>13780</v>
      </c>
      <c r="D260" s="50">
        <v>330</v>
      </c>
      <c r="E260" s="50" t="str">
        <f t="shared" si="5"/>
        <v>E2.7.1.11</v>
      </c>
      <c r="F260" s="97" t="s">
        <v>13781</v>
      </c>
      <c r="G260" s="97" t="s">
        <v>13782</v>
      </c>
      <c r="H260" s="97" t="s">
        <v>13783</v>
      </c>
      <c r="I260" s="97" t="s">
        <v>13784</v>
      </c>
      <c r="J260" s="50" t="str">
        <f t="shared" si="3"/>
        <v>(${Variables:E2.7.1.11_kcat} * E2.7.1.11 * C00002 * C05382)/(${Variables:E2.7.1.11_km} + (E2.7.1.11 * C00002 * C05382))</v>
      </c>
      <c r="K260" s="98" t="str">
        <f t="shared" si="4"/>
        <v>r330: C00002 + C05382 -&gt; C00008 + C00447 | (${Variables:E2.7.1.11_kcat} * E2.7.1.11 * C00002 * C05382)/(${Variables:E2.7.1.11_km} + (E2.7.1.11 * C00002 * C05382))</v>
      </c>
    </row>
    <row r="261" spans="1:11" ht="12.5">
      <c r="A261" s="50" t="s">
        <v>1139</v>
      </c>
      <c r="B261" s="50" t="s">
        <v>1140</v>
      </c>
      <c r="C261" s="56" t="s">
        <v>13785</v>
      </c>
      <c r="D261" s="50">
        <v>331</v>
      </c>
      <c r="E261" s="50" t="str">
        <f t="shared" si="5"/>
        <v>E2.7.1.11</v>
      </c>
      <c r="F261" s="50" t="s">
        <v>12756</v>
      </c>
      <c r="G261" s="50" t="s">
        <v>12757</v>
      </c>
      <c r="H261" s="50" t="s">
        <v>12758</v>
      </c>
      <c r="I261" s="50" t="s">
        <v>12759</v>
      </c>
      <c r="J261" s="50" t="str">
        <f t="shared" si="3"/>
        <v>(${Variables:E2.7.1.11_kcat} * E2.7.1.11 * C00063 * C00085)/(${Variables:E2.7.1.11_km} + (E2.7.1.11 * C00063 * C00085))</v>
      </c>
      <c r="K261" s="98" t="str">
        <f t="shared" si="4"/>
        <v>r331: C00063 + C00085 -&gt; C00112 + C00354 | (${Variables:E2.7.1.11_kcat} * E2.7.1.11 * C00063 * C00085)/(${Variables:E2.7.1.11_km} + (E2.7.1.11 * C00063 * C00085))</v>
      </c>
    </row>
    <row r="262" spans="1:11" ht="14">
      <c r="A262" s="50" t="s">
        <v>1139</v>
      </c>
      <c r="B262" s="50" t="s">
        <v>1140</v>
      </c>
      <c r="C262" s="56" t="s">
        <v>13786</v>
      </c>
      <c r="D262" s="50">
        <v>332</v>
      </c>
      <c r="E262" s="50" t="str">
        <f t="shared" si="5"/>
        <v>E2.7.1.11</v>
      </c>
      <c r="F262" s="97" t="s">
        <v>13787</v>
      </c>
      <c r="G262" s="97" t="s">
        <v>13788</v>
      </c>
      <c r="H262" s="50" t="s">
        <v>12768</v>
      </c>
      <c r="I262" s="50" t="s">
        <v>12769</v>
      </c>
      <c r="J262" s="50" t="str">
        <f t="shared" si="3"/>
        <v>(${Variables:E2.7.1.11_kcat} * E2.7.1.11 * C00063 * C01097)/(${Variables:E2.7.1.11_km} + (E2.7.1.11 * C00063 * C01097))</v>
      </c>
      <c r="K262" s="98" t="str">
        <f t="shared" si="4"/>
        <v>r332: C00063 + C01097 -&gt; C00112 + C03785 | (${Variables:E2.7.1.11_kcat} * E2.7.1.11 * C00063 * C01097)/(${Variables:E2.7.1.11_km} + (E2.7.1.11 * C00063 * C01097))</v>
      </c>
    </row>
    <row r="263" spans="1:11" ht="12.5">
      <c r="A263" s="50" t="s">
        <v>1139</v>
      </c>
      <c r="B263" s="50" t="s">
        <v>1140</v>
      </c>
      <c r="C263" s="56" t="s">
        <v>13789</v>
      </c>
      <c r="D263" s="50">
        <v>333</v>
      </c>
      <c r="E263" s="50" t="str">
        <f t="shared" si="5"/>
        <v>E2.7.1.11</v>
      </c>
      <c r="F263" s="50" t="s">
        <v>12760</v>
      </c>
      <c r="G263" s="50" t="s">
        <v>12761</v>
      </c>
      <c r="H263" s="50" t="s">
        <v>12762</v>
      </c>
      <c r="I263" s="50" t="s">
        <v>12763</v>
      </c>
      <c r="J263" s="50" t="str">
        <f t="shared" si="3"/>
        <v>(${Variables:E2.7.1.11_kcat} * E2.7.1.11 * C00075 * C00085)/(${Variables:E2.7.1.11_km} + (E2.7.1.11 * C00075 * C00085))</v>
      </c>
      <c r="K263" s="98" t="str">
        <f t="shared" si="4"/>
        <v>r333: C00075 + C00085 -&gt; C00015 + C00354 | (${Variables:E2.7.1.11_kcat} * E2.7.1.11 * C00075 * C00085)/(${Variables:E2.7.1.11_km} + (E2.7.1.11 * C00075 * C00085))</v>
      </c>
    </row>
    <row r="264" spans="1:11" ht="12.5">
      <c r="A264" s="50" t="s">
        <v>1139</v>
      </c>
      <c r="B264" s="50" t="s">
        <v>1140</v>
      </c>
      <c r="C264" s="56" t="s">
        <v>13790</v>
      </c>
      <c r="D264" s="50">
        <v>334</v>
      </c>
      <c r="E264" s="50" t="str">
        <f t="shared" si="5"/>
        <v>E2.7.1.11</v>
      </c>
      <c r="F264" s="50" t="s">
        <v>12770</v>
      </c>
      <c r="G264" s="50" t="s">
        <v>12771</v>
      </c>
      <c r="H264" s="50" t="s">
        <v>12772</v>
      </c>
      <c r="I264" s="50" t="s">
        <v>12773</v>
      </c>
      <c r="J264" s="50" t="str">
        <f t="shared" si="3"/>
        <v>(${Variables:E2.7.1.11_kcat} * E2.7.1.11 * C00075 * C01097)/(${Variables:E2.7.1.11_km} + (E2.7.1.11 * C00075 * C01097))</v>
      </c>
      <c r="K264" s="98" t="str">
        <f t="shared" si="4"/>
        <v>r334: C00075 + C01097 -&gt; C00015 + C03785 | (${Variables:E2.7.1.11_kcat} * E2.7.1.11 * C00075 * C01097)/(${Variables:E2.7.1.11_km} + (E2.7.1.11 * C00075 * C01097))</v>
      </c>
    </row>
    <row r="265" spans="1:11" ht="14">
      <c r="A265" s="50" t="s">
        <v>1139</v>
      </c>
      <c r="B265" s="50" t="s">
        <v>1140</v>
      </c>
      <c r="C265" s="56" t="s">
        <v>13791</v>
      </c>
      <c r="D265" s="50">
        <v>335</v>
      </c>
      <c r="E265" s="50" t="str">
        <f t="shared" si="5"/>
        <v>E2.7.1.11</v>
      </c>
      <c r="F265" s="50" t="s">
        <v>12764</v>
      </c>
      <c r="G265" s="50" t="s">
        <v>12765</v>
      </c>
      <c r="H265" s="97" t="s">
        <v>13792</v>
      </c>
      <c r="I265" s="97" t="s">
        <v>13793</v>
      </c>
      <c r="J265" s="50" t="str">
        <f t="shared" si="3"/>
        <v>(${Variables:E2.7.1.11_kcat} * E2.7.1.11 * C00081 * C00085)/(${Variables:E2.7.1.11_km} + (E2.7.1.11 * C00081 * C00085))</v>
      </c>
      <c r="K265" s="98" t="str">
        <f t="shared" si="4"/>
        <v>r335: C00081 + C00085 -&gt; C00104 + C00354 | (${Variables:E2.7.1.11_kcat} * E2.7.1.11 * C00081 * C00085)/(${Variables:E2.7.1.11_km} + (E2.7.1.11 * C00081 * C00085))</v>
      </c>
    </row>
    <row r="266" spans="1:11" ht="14">
      <c r="A266" s="50" t="s">
        <v>1139</v>
      </c>
      <c r="B266" s="50" t="s">
        <v>1140</v>
      </c>
      <c r="C266" s="56" t="s">
        <v>13794</v>
      </c>
      <c r="D266" s="50">
        <v>336</v>
      </c>
      <c r="E266" s="50" t="str">
        <f t="shared" si="5"/>
        <v>E2.7.1.11</v>
      </c>
      <c r="F266" s="97" t="s">
        <v>13795</v>
      </c>
      <c r="G266" s="97" t="s">
        <v>13796</v>
      </c>
      <c r="H266" s="50" t="s">
        <v>12774</v>
      </c>
      <c r="I266" s="50" t="s">
        <v>12775</v>
      </c>
      <c r="J266" s="50" t="str">
        <f t="shared" si="3"/>
        <v>(${Variables:E2.7.1.11_kcat} * E2.7.1.11 * C00081 * C01097)/(${Variables:E2.7.1.11_km} + (E2.7.1.11 * C00081 * C01097))</v>
      </c>
      <c r="K266" s="98" t="str">
        <f t="shared" si="4"/>
        <v>r336: C00081 + C01097 -&gt; C00104 + C03785 | (${Variables:E2.7.1.11_kcat} * E2.7.1.11 * C00081 * C01097)/(${Variables:E2.7.1.11_km} + (E2.7.1.11 * C00081 * C01097))</v>
      </c>
    </row>
    <row r="267" spans="1:11" ht="14">
      <c r="A267" s="50" t="s">
        <v>1139</v>
      </c>
      <c r="B267" s="50" t="s">
        <v>1140</v>
      </c>
      <c r="C267" s="56" t="s">
        <v>13797</v>
      </c>
      <c r="D267" s="50">
        <v>337</v>
      </c>
      <c r="E267" s="50" t="str">
        <f t="shared" si="5"/>
        <v>E2.7.1.11</v>
      </c>
      <c r="F267" s="97" t="s">
        <v>13798</v>
      </c>
      <c r="G267" s="97" t="s">
        <v>13799</v>
      </c>
      <c r="H267" s="50" t="s">
        <v>12766</v>
      </c>
      <c r="I267" s="50" t="s">
        <v>12767</v>
      </c>
      <c r="J267" s="50" t="str">
        <f t="shared" si="3"/>
        <v>(${Variables:E2.7.1.11_kcat} * E2.7.1.11 * C01097 * C00002)/(${Variables:E2.7.1.11_km} + (E2.7.1.11 * C01097 * C00002))</v>
      </c>
      <c r="K267" s="98" t="str">
        <f t="shared" si="4"/>
        <v>r337: C01097 + C00002 -&gt; C03785 + C00008 | (${Variables:E2.7.1.11_kcat} * E2.7.1.11 * C01097 * C00002)/(${Variables:E2.7.1.11_km} + (E2.7.1.11 * C01097 * C00002))</v>
      </c>
    </row>
    <row r="268" spans="1:11" ht="14">
      <c r="A268" s="50" t="s">
        <v>4523</v>
      </c>
      <c r="B268" s="50" t="s">
        <v>4524</v>
      </c>
      <c r="C268" s="56" t="s">
        <v>13800</v>
      </c>
      <c r="D268" s="50">
        <v>338</v>
      </c>
      <c r="E268" s="50" t="str">
        <f t="shared" si="5"/>
        <v>E2.7.1.12</v>
      </c>
      <c r="F268" s="97" t="s">
        <v>13801</v>
      </c>
      <c r="G268" s="97" t="s">
        <v>13802</v>
      </c>
      <c r="H268" s="50" t="s">
        <v>12776</v>
      </c>
      <c r="I268" s="50" t="s">
        <v>12777</v>
      </c>
      <c r="J268" s="50" t="str">
        <f t="shared" si="3"/>
        <v>(${Variables:E2.7.1.12_kcat} * E2.7.1.12 * C00002 * C00257)/(${Variables:E2.7.1.12_km} + (E2.7.1.12 * C00002 * C00257))</v>
      </c>
      <c r="K268" s="98" t="str">
        <f t="shared" si="4"/>
        <v>r338: C00002 + C00257 -&gt; C00008 + C00345 | (${Variables:E2.7.1.12_kcat} * E2.7.1.12 * C00002 * C00257)/(${Variables:E2.7.1.12_km} + (E2.7.1.12 * C00002 * C00257))</v>
      </c>
    </row>
    <row r="269" spans="1:11" ht="14">
      <c r="A269" s="50" t="s">
        <v>3997</v>
      </c>
      <c r="B269" s="50" t="s">
        <v>3998</v>
      </c>
      <c r="C269" s="56" t="s">
        <v>13803</v>
      </c>
      <c r="D269" s="50">
        <v>339</v>
      </c>
      <c r="E269" s="50" t="str">
        <f t="shared" si="5"/>
        <v>E2.7.1.121</v>
      </c>
      <c r="F269" s="97" t="s">
        <v>13804</v>
      </c>
      <c r="G269" s="97" t="s">
        <v>13805</v>
      </c>
      <c r="H269" s="97" t="s">
        <v>13806</v>
      </c>
      <c r="I269" s="97" t="s">
        <v>13807</v>
      </c>
      <c r="J269" s="50" t="str">
        <f t="shared" si="3"/>
        <v>(${Variables:E2.7.1.121_kcat} * E2.7.1.121 * C00074 * C00184)/(${Variables:E2.7.1.121_km} + (E2.7.1.121 * C00074 * C00184))</v>
      </c>
      <c r="K269" s="98" t="str">
        <f t="shared" si="4"/>
        <v>r339: C00074 + C00184 -&gt; C00022 + C00111 | (${Variables:E2.7.1.121_kcat} * E2.7.1.121 * C00074 * C00184)/(${Variables:E2.7.1.121_km} + (E2.7.1.121 * C00074 * C00184))</v>
      </c>
    </row>
    <row r="270" spans="1:11" ht="14">
      <c r="A270" s="50" t="s">
        <v>5936</v>
      </c>
      <c r="B270" s="50" t="s">
        <v>5937</v>
      </c>
      <c r="C270" s="56" t="s">
        <v>13808</v>
      </c>
      <c r="D270" s="50">
        <v>344</v>
      </c>
      <c r="E270" s="50" t="str">
        <f t="shared" si="5"/>
        <v>E2.7.1.148</v>
      </c>
      <c r="F270" s="97" t="s">
        <v>13809</v>
      </c>
      <c r="G270" s="97" t="s">
        <v>13810</v>
      </c>
      <c r="H270" s="50" t="s">
        <v>12778</v>
      </c>
      <c r="I270" s="50" t="s">
        <v>12779</v>
      </c>
      <c r="J270" s="50" t="str">
        <f t="shared" si="3"/>
        <v>(${Variables:E2.7.1.148_kcat} * E2.7.1.148 * C11435 * C00002)/(${Variables:E2.7.1.148_km} + (E2.7.1.148 * C11435 * C00002))</v>
      </c>
      <c r="K270" s="98" t="str">
        <f t="shared" si="4"/>
        <v>r344: C11435 + C00002 -&gt; C11436 + C00008 | (${Variables:E2.7.1.148_kcat} * E2.7.1.148 * C11435 * C00002)/(${Variables:E2.7.1.148_km} + (E2.7.1.148 * C11435 * C00002))</v>
      </c>
    </row>
    <row r="271" spans="1:11" ht="14">
      <c r="A271" s="50" t="s">
        <v>4303</v>
      </c>
      <c r="B271" s="50" t="s">
        <v>4304</v>
      </c>
      <c r="C271" s="55" t="s">
        <v>8276</v>
      </c>
      <c r="D271" s="50">
        <v>345</v>
      </c>
      <c r="E271" s="50" t="str">
        <f t="shared" si="5"/>
        <v>E2.7.1.15</v>
      </c>
      <c r="F271" s="97" t="s">
        <v>13811</v>
      </c>
      <c r="G271" s="97" t="s">
        <v>13812</v>
      </c>
      <c r="H271" s="97" t="s">
        <v>13813</v>
      </c>
      <c r="I271" s="97" t="s">
        <v>13814</v>
      </c>
      <c r="J271" s="50" t="str">
        <f t="shared" si="3"/>
        <v>(${Variables:E2.7.1.15_kcat} * E2.7.1.15 * C00002 * C00121)/(${Variables:E2.7.1.15_km} + (E2.7.1.15 * C00002 * C00121))</v>
      </c>
      <c r="K271" s="98" t="str">
        <f t="shared" si="4"/>
        <v>r345: C00002 + C00121 -&gt; C00008 + C00117 | (${Variables:E2.7.1.15_kcat} * E2.7.1.15 * C00002 * C00121)/(${Variables:E2.7.1.15_km} + (E2.7.1.15 * C00002 * C00121))</v>
      </c>
    </row>
    <row r="272" spans="1:11" ht="14">
      <c r="A272" s="50" t="s">
        <v>4303</v>
      </c>
      <c r="B272" s="50" t="s">
        <v>4304</v>
      </c>
      <c r="C272" s="55" t="s">
        <v>8276</v>
      </c>
      <c r="D272" s="50">
        <v>346</v>
      </c>
      <c r="E272" s="50" t="str">
        <f t="shared" si="5"/>
        <v>E2.7.1.15</v>
      </c>
      <c r="F272" s="97" t="s">
        <v>13815</v>
      </c>
      <c r="G272" s="97" t="s">
        <v>13816</v>
      </c>
      <c r="H272" s="97" t="s">
        <v>13817</v>
      </c>
      <c r="I272" s="97" t="s">
        <v>13818</v>
      </c>
      <c r="J272" s="50" t="str">
        <f t="shared" si="3"/>
        <v>(${Variables:E2.7.1.15_kcat} * E2.7.1.15 * C00673 * C00008)/(${Variables:E2.7.1.15_km} + (E2.7.1.15 * C00673 * C00008))</v>
      </c>
      <c r="K272" s="98" t="str">
        <f t="shared" si="4"/>
        <v>r346: C00673 + C00008 -&gt; C01801 + C00002 | (${Variables:E2.7.1.15_kcat} * E2.7.1.15 * C00673 * C00008)/(${Variables:E2.7.1.15_km} + (E2.7.1.15 * C00673 * C00008))</v>
      </c>
    </row>
    <row r="273" spans="1:11" ht="14">
      <c r="A273" s="100"/>
      <c r="B273" s="50" t="s">
        <v>5519</v>
      </c>
      <c r="C273" s="56" t="s">
        <v>13819</v>
      </c>
      <c r="D273" s="50">
        <v>347</v>
      </c>
      <c r="E273" s="50" t="str">
        <f t="shared" si="5"/>
        <v>E2.7.1.17</v>
      </c>
      <c r="F273" s="99" t="s">
        <v>13820</v>
      </c>
      <c r="G273" s="99" t="s">
        <v>13821</v>
      </c>
      <c r="H273" s="97" t="s">
        <v>13822</v>
      </c>
      <c r="I273" s="97" t="s">
        <v>13823</v>
      </c>
      <c r="J273" s="50" t="str">
        <f t="shared" si="3"/>
        <v>(${Variables:E2.7.1.17_kcat} * E2.7.1.17 * C00002 * C00310)/(${Variables:E2.7.1.17_km} + (E2.7.1.17 * C00002 * C00310))</v>
      </c>
      <c r="K273" s="98" t="str">
        <f t="shared" si="4"/>
        <v>r347: C00002 + C00310 -&gt; C00008 + C00231 | (${Variables:E2.7.1.17_kcat} * E2.7.1.17 * C00002 * C00310)/(${Variables:E2.7.1.17_km} + (E2.7.1.17 * C00002 * C00310))</v>
      </c>
    </row>
    <row r="274" spans="1:11" ht="14">
      <c r="A274" s="50" t="s">
        <v>4097</v>
      </c>
      <c r="B274" s="50" t="s">
        <v>4098</v>
      </c>
      <c r="C274" s="55" t="s">
        <v>8282</v>
      </c>
      <c r="D274" s="50">
        <v>348</v>
      </c>
      <c r="E274" s="50" t="str">
        <f t="shared" si="5"/>
        <v>E2.7.1.197</v>
      </c>
      <c r="F274" s="97" t="s">
        <v>13824</v>
      </c>
      <c r="G274" s="97" t="s">
        <v>13825</v>
      </c>
      <c r="H274" s="97" t="s">
        <v>13826</v>
      </c>
      <c r="I274" s="97" t="s">
        <v>13827</v>
      </c>
      <c r="J274" s="50" t="str">
        <f t="shared" si="3"/>
        <v>(${Variables:E2.7.1.197_kcat} * E2.7.1.197 * C04261 * C00392)/(${Variables:E2.7.1.197_km} + (E2.7.1.197 * C04261 * C00392))</v>
      </c>
      <c r="K274" s="98" t="str">
        <f t="shared" si="4"/>
        <v>r348: C04261 + C00392 -&gt; C00615 + C00644 | (${Variables:E2.7.1.197_kcat} * E2.7.1.197 * C04261 * C00392)/(${Variables:E2.7.1.197_km} + (E2.7.1.197 * C04261 * C00392))</v>
      </c>
    </row>
    <row r="275" spans="1:11" ht="14">
      <c r="A275" s="50" t="s">
        <v>2044</v>
      </c>
      <c r="B275" s="50" t="s">
        <v>2045</v>
      </c>
      <c r="C275" s="56" t="s">
        <v>13828</v>
      </c>
      <c r="D275" s="50">
        <v>350</v>
      </c>
      <c r="E275" s="50" t="str">
        <f t="shared" si="5"/>
        <v>E2.7.1.2</v>
      </c>
      <c r="F275" s="97" t="s">
        <v>13829</v>
      </c>
      <c r="G275" s="97" t="s">
        <v>13830</v>
      </c>
      <c r="H275" s="97" t="s">
        <v>13831</v>
      </c>
      <c r="I275" s="97" t="s">
        <v>13832</v>
      </c>
      <c r="J275" s="50" t="str">
        <f t="shared" si="3"/>
        <v>(${Variables:E2.7.1.2_kcat} * E2.7.1.2 * C00002 * C00031)/(${Variables:E2.7.1.2_km} + (E2.7.1.2 * C00002 * C00031))</v>
      </c>
      <c r="K275" s="98" t="str">
        <f t="shared" si="4"/>
        <v>r350: C00002 + C00031 -&gt; C00008 + C00092 | (${Variables:E2.7.1.2_kcat} * E2.7.1.2 * C00002 * C00031)/(${Variables:E2.7.1.2_km} + (E2.7.1.2 * C00002 * C00031))</v>
      </c>
    </row>
    <row r="276" spans="1:11" ht="14">
      <c r="A276" s="50" t="s">
        <v>2044</v>
      </c>
      <c r="B276" s="50" t="s">
        <v>2045</v>
      </c>
      <c r="C276" s="56" t="s">
        <v>13833</v>
      </c>
      <c r="D276" s="50">
        <v>351</v>
      </c>
      <c r="E276" s="50" t="str">
        <f t="shared" si="5"/>
        <v>E2.7.1.2</v>
      </c>
      <c r="F276" s="97" t="s">
        <v>13834</v>
      </c>
      <c r="G276" s="97" t="s">
        <v>13835</v>
      </c>
      <c r="H276" s="97" t="s">
        <v>13836</v>
      </c>
      <c r="I276" s="97" t="s">
        <v>13837</v>
      </c>
      <c r="J276" s="50" t="str">
        <f t="shared" si="3"/>
        <v>(${Variables:E2.7.1.2_kcat} * E2.7.1.2 * C00002 * C00221)/(${Variables:E2.7.1.2_km} + (E2.7.1.2 * C00002 * C00221))</v>
      </c>
      <c r="K276" s="98" t="str">
        <f t="shared" si="4"/>
        <v>r351: C00002 + C00221 -&gt; C00008 + C01172 | (${Variables:E2.7.1.2_kcat} * E2.7.1.2 * C00002 * C00221)/(${Variables:E2.7.1.2_km} + (E2.7.1.2 * C00002 * C00221))</v>
      </c>
    </row>
    <row r="277" spans="1:11" ht="14">
      <c r="A277" s="50" t="s">
        <v>2044</v>
      </c>
      <c r="B277" s="50" t="s">
        <v>2045</v>
      </c>
      <c r="C277" s="56" t="s">
        <v>13838</v>
      </c>
      <c r="D277" s="50">
        <v>352</v>
      </c>
      <c r="E277" s="50" t="str">
        <f t="shared" si="5"/>
        <v>E2.7.1.2</v>
      </c>
      <c r="F277" s="97" t="s">
        <v>13839</v>
      </c>
      <c r="G277" s="97" t="s">
        <v>13840</v>
      </c>
      <c r="H277" s="97" t="s">
        <v>13841</v>
      </c>
      <c r="I277" s="97" t="s">
        <v>13842</v>
      </c>
      <c r="J277" s="50" t="str">
        <f t="shared" si="3"/>
        <v>(${Variables:E2.7.1.2_kcat} * E2.7.1.2 * C00002 * C00267)/(${Variables:E2.7.1.2_km} + (E2.7.1.2 * C00002 * C00267))</v>
      </c>
      <c r="K277" s="98" t="str">
        <f t="shared" si="4"/>
        <v>r352: C00002 + C00267 -&gt; C00008 + C00668 | (${Variables:E2.7.1.2_kcat} * E2.7.1.2 * C00002 * C00267)/(${Variables:E2.7.1.2_km} + (E2.7.1.2 * C00002 * C00267))</v>
      </c>
    </row>
    <row r="278" spans="1:11" ht="14">
      <c r="A278" s="50" t="s">
        <v>512</v>
      </c>
      <c r="B278" s="50" t="s">
        <v>513</v>
      </c>
      <c r="C278" s="56" t="s">
        <v>13843</v>
      </c>
      <c r="D278" s="50">
        <v>353</v>
      </c>
      <c r="E278" s="50" t="str">
        <f t="shared" si="5"/>
        <v>E2.7.1.21</v>
      </c>
      <c r="F278" s="97" t="s">
        <v>13844</v>
      </c>
      <c r="G278" s="97" t="s">
        <v>13845</v>
      </c>
      <c r="H278" s="97" t="s">
        <v>13846</v>
      </c>
      <c r="I278" s="97" t="s">
        <v>13847</v>
      </c>
      <c r="J278" s="50" t="str">
        <f t="shared" si="3"/>
        <v>(${Variables:E2.7.1.21_kcat} * E2.7.1.21 * C00002 * C00214)/(${Variables:E2.7.1.21_km} + (E2.7.1.21 * C00002 * C00214))</v>
      </c>
      <c r="K278" s="98" t="str">
        <f t="shared" si="4"/>
        <v>r353: C00002 + C00214 -&gt; C00008 + C00364 | (${Variables:E2.7.1.21_kcat} * E2.7.1.21 * C00002 * C00214)/(${Variables:E2.7.1.21_km} + (E2.7.1.21 * C00002 * C00214))</v>
      </c>
    </row>
    <row r="279" spans="1:11" ht="14">
      <c r="A279" s="106" t="s">
        <v>512</v>
      </c>
      <c r="B279" s="106" t="s">
        <v>513</v>
      </c>
      <c r="C279" s="107" t="s">
        <v>13848</v>
      </c>
      <c r="D279" s="50">
        <v>354</v>
      </c>
      <c r="E279" s="50" t="str">
        <f t="shared" si="5"/>
        <v>E2.7.1.21</v>
      </c>
      <c r="F279" s="97" t="s">
        <v>13849</v>
      </c>
      <c r="G279" s="97" t="s">
        <v>13850</v>
      </c>
      <c r="H279" s="97" t="s">
        <v>13851</v>
      </c>
      <c r="I279" s="97" t="s">
        <v>13852</v>
      </c>
      <c r="J279" s="50" t="str">
        <f t="shared" si="3"/>
        <v>(${Variables:E2.7.1.21_kcat} * E2.7.1.21 * C00002 * C00526)/(${Variables:E2.7.1.21_km} + (E2.7.1.21 * C00002 * C00526))</v>
      </c>
      <c r="K279" s="98" t="str">
        <f t="shared" si="4"/>
        <v>r354: C00002 + C00526 -&gt; C00008 + C00365 | (${Variables:E2.7.1.21_kcat} * E2.7.1.21 * C00002 * C00526)/(${Variables:E2.7.1.21_km} + (E2.7.1.21 * C00002 * C00526))</v>
      </c>
    </row>
    <row r="280" spans="1:11" ht="14">
      <c r="A280" s="106" t="s">
        <v>512</v>
      </c>
      <c r="B280" s="106" t="s">
        <v>513</v>
      </c>
      <c r="C280" s="107" t="s">
        <v>13853</v>
      </c>
      <c r="D280" s="50">
        <v>355</v>
      </c>
      <c r="E280" s="50" t="str">
        <f t="shared" si="5"/>
        <v>E2.7.1.21</v>
      </c>
      <c r="F280" s="97" t="s">
        <v>13854</v>
      </c>
      <c r="G280" s="97" t="s">
        <v>13855</v>
      </c>
      <c r="H280" s="97" t="s">
        <v>13856</v>
      </c>
      <c r="I280" s="97" t="s">
        <v>13857</v>
      </c>
      <c r="J280" s="50" t="str">
        <f t="shared" si="3"/>
        <v>(${Variables:E2.7.1.21_kcat} * E2.7.1.21 * C11736 * C00002)/(${Variables:E2.7.1.21_km} + (E2.7.1.21 * C11736 * C00002))</v>
      </c>
      <c r="K280" s="98" t="str">
        <f t="shared" si="4"/>
        <v>r355: C11736 + C00002 -&gt; C04242 + C00008 | (${Variables:E2.7.1.21_kcat} * E2.7.1.21 * C11736 * C00002)/(${Variables:E2.7.1.21_km} + (E2.7.1.21 * C11736 * C00002))</v>
      </c>
    </row>
    <row r="281" spans="1:11" ht="14">
      <c r="A281" s="50" t="s">
        <v>7385</v>
      </c>
      <c r="B281" s="50" t="s">
        <v>7386</v>
      </c>
      <c r="C281" s="56" t="s">
        <v>13858</v>
      </c>
      <c r="D281" s="50">
        <v>356</v>
      </c>
      <c r="E281" s="50" t="str">
        <f t="shared" si="5"/>
        <v>E2.7.1.23</v>
      </c>
      <c r="F281" s="97" t="s">
        <v>13859</v>
      </c>
      <c r="G281" s="97" t="s">
        <v>13860</v>
      </c>
      <c r="H281" s="97" t="s">
        <v>13861</v>
      </c>
      <c r="I281" s="97" t="s">
        <v>13862</v>
      </c>
      <c r="J281" s="50" t="str">
        <f t="shared" si="3"/>
        <v>(${Variables:E2.7.1.23_kcat} * E2.7.1.23 * C00002 * C00003)/(${Variables:E2.7.1.23_km} + (E2.7.1.23 * C00002 * C00003))</v>
      </c>
      <c r="K281" s="98" t="str">
        <f t="shared" si="4"/>
        <v>r356: C00002 + C00003 -&gt; C00008 + C00006 | (${Variables:E2.7.1.23_kcat} * E2.7.1.23 * C00002 * C00003)/(${Variables:E2.7.1.23_km} + (E2.7.1.23 * C00002 * C00003))</v>
      </c>
    </row>
    <row r="282" spans="1:11" ht="14">
      <c r="A282" s="50" t="s">
        <v>2197</v>
      </c>
      <c r="B282" s="50" t="s">
        <v>2198</v>
      </c>
      <c r="C282" s="56" t="s">
        <v>13863</v>
      </c>
      <c r="D282" s="50">
        <v>357</v>
      </c>
      <c r="E282" s="50" t="str">
        <f t="shared" si="5"/>
        <v>E2.7.1.24</v>
      </c>
      <c r="F282" s="97" t="s">
        <v>13864</v>
      </c>
      <c r="G282" s="97" t="s">
        <v>13865</v>
      </c>
      <c r="H282" s="97" t="s">
        <v>13866</v>
      </c>
      <c r="I282" s="97" t="s">
        <v>13867</v>
      </c>
      <c r="J282" s="50" t="str">
        <f t="shared" si="3"/>
        <v>(${Variables:E2.7.1.24_kcat} * E2.7.1.24 * C00002 * C00882)/(${Variables:E2.7.1.24_km} + (E2.7.1.24 * C00002 * C00882))</v>
      </c>
      <c r="K282" s="98" t="str">
        <f t="shared" si="4"/>
        <v>r357: C00002 + C00882 -&gt; C00008 + C00010 | (${Variables:E2.7.1.24_kcat} * E2.7.1.24 * C00002 * C00882)/(${Variables:E2.7.1.24_km} + (E2.7.1.24 * C00002 * C00882))</v>
      </c>
    </row>
    <row r="283" spans="1:11" ht="14">
      <c r="A283" s="50" t="s">
        <v>1751</v>
      </c>
      <c r="B283" s="50" t="s">
        <v>1752</v>
      </c>
      <c r="C283" s="56" t="s">
        <v>13868</v>
      </c>
      <c r="D283" s="50">
        <v>358</v>
      </c>
      <c r="E283" s="50" t="str">
        <f t="shared" si="5"/>
        <v>E2.7.1.26</v>
      </c>
      <c r="F283" s="97" t="s">
        <v>13869</v>
      </c>
      <c r="G283" s="97" t="s">
        <v>13870</v>
      </c>
      <c r="H283" s="97" t="s">
        <v>13871</v>
      </c>
      <c r="I283" s="97" t="s">
        <v>13872</v>
      </c>
      <c r="J283" s="50" t="str">
        <f t="shared" si="3"/>
        <v>(${Variables:E2.7.1.26_kcat} * E2.7.1.26 * C00002 * C00255)/(${Variables:E2.7.1.26_km} + (E2.7.1.26 * C00002 * C00255))</v>
      </c>
      <c r="K283" s="98" t="str">
        <f t="shared" si="4"/>
        <v>r358: C00002 + C00255 -&gt; C00008 + C00061 | (${Variables:E2.7.1.26_kcat} * E2.7.1.26 * C00002 * C00255)/(${Variables:E2.7.1.26_km} + (E2.7.1.26 * C00002 * C00255))</v>
      </c>
    </row>
    <row r="284" spans="1:11" ht="14">
      <c r="A284" s="50" t="s">
        <v>5775</v>
      </c>
      <c r="B284" s="50" t="s">
        <v>5776</v>
      </c>
      <c r="C284" s="56" t="s">
        <v>13873</v>
      </c>
      <c r="D284" s="50">
        <v>359</v>
      </c>
      <c r="E284" s="50" t="str">
        <f t="shared" si="5"/>
        <v>E2.7.1.30</v>
      </c>
      <c r="F284" s="97" t="s">
        <v>13874</v>
      </c>
      <c r="G284" s="97" t="s">
        <v>13875</v>
      </c>
      <c r="H284" s="97" t="s">
        <v>13876</v>
      </c>
      <c r="I284" s="97" t="s">
        <v>13877</v>
      </c>
      <c r="J284" s="50" t="str">
        <f t="shared" si="3"/>
        <v>(${Variables:E2.7.1.30_kcat} * E2.7.1.30 * C00002 * C00116)/(${Variables:E2.7.1.30_km} + (E2.7.1.30 * C00002 * C00116))</v>
      </c>
      <c r="K284" s="98" t="str">
        <f t="shared" si="4"/>
        <v>r359: C00002 + C00116 -&gt; C00008 + C00093 | (${Variables:E2.7.1.30_kcat} * E2.7.1.30 * C00002 * C00116)/(${Variables:E2.7.1.30_km} + (E2.7.1.30 * C00002 * C00116))</v>
      </c>
    </row>
    <row r="285" spans="1:11" ht="14">
      <c r="A285" s="50" t="s">
        <v>2742</v>
      </c>
      <c r="B285" s="50" t="s">
        <v>2743</v>
      </c>
      <c r="C285" s="56" t="s">
        <v>13878</v>
      </c>
      <c r="D285" s="50">
        <v>361</v>
      </c>
      <c r="E285" s="50" t="str">
        <f t="shared" si="5"/>
        <v>E2.7.1.33</v>
      </c>
      <c r="F285" s="97" t="s">
        <v>13879</v>
      </c>
      <c r="G285" s="97" t="s">
        <v>13880</v>
      </c>
      <c r="H285" s="97" t="s">
        <v>13881</v>
      </c>
      <c r="I285" s="97" t="s">
        <v>13882</v>
      </c>
      <c r="J285" s="50" t="str">
        <f t="shared" si="3"/>
        <v>(${Variables:E2.7.1.33_kcat} * E2.7.1.33 * C00002 * C00831)/(${Variables:E2.7.1.33_km} + (E2.7.1.33 * C00002 * C00831))</v>
      </c>
      <c r="K285" s="98" t="str">
        <f t="shared" si="4"/>
        <v>r361: C00002 + C00831 -&gt; C00008 + C01134 | (${Variables:E2.7.1.33_kcat} * E2.7.1.33 * C00002 * C00831)/(${Variables:E2.7.1.33_km} + (E2.7.1.33 * C00002 * C00831))</v>
      </c>
    </row>
    <row r="286" spans="1:11" ht="14">
      <c r="A286" s="50" t="s">
        <v>2742</v>
      </c>
      <c r="B286" s="50" t="s">
        <v>2743</v>
      </c>
      <c r="C286" s="56" t="s">
        <v>13883</v>
      </c>
      <c r="D286" s="50">
        <v>362</v>
      </c>
      <c r="E286" s="50" t="str">
        <f t="shared" si="5"/>
        <v>E2.7.1.33</v>
      </c>
      <c r="F286" s="50" t="s">
        <v>12780</v>
      </c>
      <c r="G286" s="50" t="s">
        <v>12781</v>
      </c>
      <c r="H286" s="97" t="s">
        <v>13884</v>
      </c>
      <c r="I286" s="97" t="s">
        <v>13885</v>
      </c>
      <c r="J286" s="50" t="str">
        <f t="shared" si="3"/>
        <v>(${Variables:E2.7.1.33_kcat} * E2.7.1.33 * C00002 * C00864)/(${Variables:E2.7.1.33_km} + (E2.7.1.33 * C00002 * C00864))</v>
      </c>
      <c r="K286" s="98" t="str">
        <f t="shared" si="4"/>
        <v>r362: C00002 + C00864 -&gt; C00008 + C03492 | (${Variables:E2.7.1.33_kcat} * E2.7.1.33 * C00002 * C00864)/(${Variables:E2.7.1.33_km} + (E2.7.1.33 * C00002 * C00864))</v>
      </c>
    </row>
    <row r="287" spans="1:11" ht="14">
      <c r="A287" s="50" t="s">
        <v>2742</v>
      </c>
      <c r="B287" s="50" t="s">
        <v>2743</v>
      </c>
      <c r="C287" s="56" t="s">
        <v>13886</v>
      </c>
      <c r="D287" s="50">
        <v>363</v>
      </c>
      <c r="E287" s="50" t="str">
        <f t="shared" si="5"/>
        <v>E2.7.1.33</v>
      </c>
      <c r="F287" s="97" t="s">
        <v>13887</v>
      </c>
      <c r="G287" s="97" t="s">
        <v>13888</v>
      </c>
      <c r="H287" s="97" t="s">
        <v>13889</v>
      </c>
      <c r="I287" s="97" t="s">
        <v>13890</v>
      </c>
      <c r="J287" s="50" t="str">
        <f t="shared" si="3"/>
        <v>(${Variables:E2.7.1.33_kcat} * E2.7.1.33 * C00002 * C04079)/(${Variables:E2.7.1.33_km} + (E2.7.1.33 * C00002 * C04079))</v>
      </c>
      <c r="K287" s="98" t="str">
        <f t="shared" si="4"/>
        <v>r363: C00002 + C04079 -&gt; C00008 + C04352 | (${Variables:E2.7.1.33_kcat} * E2.7.1.33 * C00002 * C04079)/(${Variables:E2.7.1.33_km} + (E2.7.1.33 * C00002 * C04079))</v>
      </c>
    </row>
    <row r="288" spans="1:11" ht="14">
      <c r="A288" s="50" t="s">
        <v>1537</v>
      </c>
      <c r="B288" s="50" t="s">
        <v>1538</v>
      </c>
      <c r="C288" s="56" t="s">
        <v>13891</v>
      </c>
      <c r="D288" s="50">
        <v>364</v>
      </c>
      <c r="E288" s="50" t="str">
        <f t="shared" si="5"/>
        <v>E2.7.1.36</v>
      </c>
      <c r="F288" s="97" t="s">
        <v>13892</v>
      </c>
      <c r="G288" s="97" t="s">
        <v>13893</v>
      </c>
      <c r="H288" s="97" t="s">
        <v>13894</v>
      </c>
      <c r="I288" s="97" t="s">
        <v>13895</v>
      </c>
      <c r="J288" s="50" t="str">
        <f t="shared" si="3"/>
        <v>(${Variables:E2.7.1.36_kcat} * E2.7.1.36 * C00002 * C00418)/(${Variables:E2.7.1.36_km} + (E2.7.1.36 * C00002 * C00418))</v>
      </c>
      <c r="K288" s="98" t="str">
        <f t="shared" si="4"/>
        <v>r364: C00002 + C00418 -&gt; C00008 + C01107 | (${Variables:E2.7.1.36_kcat} * E2.7.1.36 * C00002 * C00418)/(${Variables:E2.7.1.36_km} + (E2.7.1.36 * C00002 * C00418))</v>
      </c>
    </row>
    <row r="289" spans="1:11" ht="14">
      <c r="A289" s="50" t="s">
        <v>3206</v>
      </c>
      <c r="B289" s="50" t="s">
        <v>3207</v>
      </c>
      <c r="C289" s="56" t="s">
        <v>13896</v>
      </c>
      <c r="D289" s="50">
        <v>365</v>
      </c>
      <c r="E289" s="50" t="str">
        <f t="shared" si="5"/>
        <v>E2.7.1.39</v>
      </c>
      <c r="F289" s="97" t="s">
        <v>13897</v>
      </c>
      <c r="G289" s="97" t="s">
        <v>13898</v>
      </c>
      <c r="H289" s="97" t="s">
        <v>13899</v>
      </c>
      <c r="I289" s="97" t="s">
        <v>13900</v>
      </c>
      <c r="J289" s="50" t="str">
        <f t="shared" si="3"/>
        <v>(${Variables:E2.7.1.39_kcat} * E2.7.1.39 * C00002 * C00263)/(${Variables:E2.7.1.39_km} + (E2.7.1.39 * C00002 * C00263))</v>
      </c>
      <c r="K289" s="98" t="str">
        <f t="shared" si="4"/>
        <v>r365: C00002 + C00263 -&gt; C00008 + C01102 | (${Variables:E2.7.1.39_kcat} * E2.7.1.39 * C00002 * C00263)/(${Variables:E2.7.1.39_km} + (E2.7.1.39 * C00002 * C00263))</v>
      </c>
    </row>
    <row r="290" spans="1:11" ht="14">
      <c r="A290" s="50" t="s">
        <v>1143</v>
      </c>
      <c r="B290" s="50" t="s">
        <v>1144</v>
      </c>
      <c r="C290" s="56" t="s">
        <v>13901</v>
      </c>
      <c r="D290" s="50">
        <v>366</v>
      </c>
      <c r="E290" s="50" t="str">
        <f t="shared" si="5"/>
        <v>E2.7.1.40</v>
      </c>
      <c r="F290" s="97" t="s">
        <v>13902</v>
      </c>
      <c r="G290" s="97" t="s">
        <v>13903</v>
      </c>
      <c r="H290" s="97" t="s">
        <v>13904</v>
      </c>
      <c r="I290" s="97" t="s">
        <v>13905</v>
      </c>
      <c r="J290" s="50" t="str">
        <f t="shared" si="3"/>
        <v>(${Variables:E2.7.1.40_kcat} * E2.7.1.40 * C00002 * C00022)/(${Variables:E2.7.1.40_km} + (E2.7.1.40 * C00002 * C00022))</v>
      </c>
      <c r="K290" s="98" t="str">
        <f t="shared" si="4"/>
        <v>r366: C00002 + C00022 -&gt; C00008 + C00074 | (${Variables:E2.7.1.40_kcat} * E2.7.1.40 * C00002 * C00022)/(${Variables:E2.7.1.40_km} + (E2.7.1.40 * C00002 * C00022))</v>
      </c>
    </row>
    <row r="291" spans="1:11" ht="14">
      <c r="A291" s="50" t="s">
        <v>1143</v>
      </c>
      <c r="B291" s="50" t="s">
        <v>1144</v>
      </c>
      <c r="C291" s="56" t="s">
        <v>13906</v>
      </c>
      <c r="D291" s="50">
        <v>367</v>
      </c>
      <c r="E291" s="50" t="str">
        <f t="shared" si="5"/>
        <v>E2.7.1.40</v>
      </c>
      <c r="F291" s="97" t="s">
        <v>13907</v>
      </c>
      <c r="G291" s="97" t="s">
        <v>13908</v>
      </c>
      <c r="H291" s="97" t="s">
        <v>13909</v>
      </c>
      <c r="I291" s="97" t="s">
        <v>13910</v>
      </c>
      <c r="J291" s="50" t="str">
        <f t="shared" si="3"/>
        <v>(${Variables:E2.7.1.40_kcat} * E2.7.1.40 * C00044 * C00022)/(${Variables:E2.7.1.40_km} + (E2.7.1.40 * C00044 * C00022))</v>
      </c>
      <c r="K291" s="98" t="str">
        <f t="shared" si="4"/>
        <v>r367: C00044 + C00022 -&gt; C00035 + C00074 | (${Variables:E2.7.1.40_kcat} * E2.7.1.40 * C00044 * C00022)/(${Variables:E2.7.1.40_km} + (E2.7.1.40 * C00044 * C00022))</v>
      </c>
    </row>
    <row r="292" spans="1:11" ht="14">
      <c r="A292" s="50" t="s">
        <v>1143</v>
      </c>
      <c r="B292" s="50" t="s">
        <v>1144</v>
      </c>
      <c r="C292" s="56" t="s">
        <v>13911</v>
      </c>
      <c r="D292" s="50">
        <v>368</v>
      </c>
      <c r="E292" s="50" t="str">
        <f t="shared" si="5"/>
        <v>E2.7.1.40</v>
      </c>
      <c r="F292" s="97" t="s">
        <v>13912</v>
      </c>
      <c r="G292" s="97" t="s">
        <v>13913</v>
      </c>
      <c r="H292" s="97" t="s">
        <v>13914</v>
      </c>
      <c r="I292" s="97" t="s">
        <v>13915</v>
      </c>
      <c r="J292" s="50" t="str">
        <f t="shared" si="3"/>
        <v>(${Variables:E2.7.1.40_kcat} * E2.7.1.40 * C00063 * C00022)/(${Variables:E2.7.1.40_km} + (E2.7.1.40 * C00063 * C00022))</v>
      </c>
      <c r="K292" s="98" t="str">
        <f t="shared" si="4"/>
        <v>r368: C00063 + C00022 -&gt; C00112 + C00074 | (${Variables:E2.7.1.40_kcat} * E2.7.1.40 * C00063 * C00022)/(${Variables:E2.7.1.40_km} + (E2.7.1.40 * C00063 * C00022))</v>
      </c>
    </row>
    <row r="293" spans="1:11" ht="14">
      <c r="A293" s="50" t="s">
        <v>1143</v>
      </c>
      <c r="B293" s="50" t="s">
        <v>1144</v>
      </c>
      <c r="C293" s="56" t="s">
        <v>13916</v>
      </c>
      <c r="D293" s="50">
        <v>369</v>
      </c>
      <c r="E293" s="50" t="str">
        <f t="shared" si="5"/>
        <v>E2.7.1.40</v>
      </c>
      <c r="F293" s="97" t="s">
        <v>13917</v>
      </c>
      <c r="G293" s="97" t="s">
        <v>13918</v>
      </c>
      <c r="H293" s="97" t="s">
        <v>13919</v>
      </c>
      <c r="I293" s="97" t="s">
        <v>13920</v>
      </c>
      <c r="J293" s="50" t="str">
        <f t="shared" si="3"/>
        <v>(${Variables:E2.7.1.40_kcat} * E2.7.1.40 * C00075 * C00022)/(${Variables:E2.7.1.40_km} + (E2.7.1.40 * C00075 * C00022))</v>
      </c>
      <c r="K293" s="98" t="str">
        <f t="shared" si="4"/>
        <v>r369: C00075 + C00022 -&gt; C00015 + C00074 | (${Variables:E2.7.1.40_kcat} * E2.7.1.40 * C00075 * C00022)/(${Variables:E2.7.1.40_km} + (E2.7.1.40 * C00075 * C00022))</v>
      </c>
    </row>
    <row r="294" spans="1:11" ht="14">
      <c r="A294" s="50" t="s">
        <v>1143</v>
      </c>
      <c r="B294" s="50" t="s">
        <v>1144</v>
      </c>
      <c r="C294" s="56" t="s">
        <v>13921</v>
      </c>
      <c r="D294" s="50">
        <v>370</v>
      </c>
      <c r="E294" s="50" t="str">
        <f t="shared" si="5"/>
        <v>E2.7.1.40</v>
      </c>
      <c r="F294" s="97" t="s">
        <v>13922</v>
      </c>
      <c r="G294" s="97" t="s">
        <v>13923</v>
      </c>
      <c r="H294" s="97" t="s">
        <v>13924</v>
      </c>
      <c r="I294" s="97" t="s">
        <v>13925</v>
      </c>
      <c r="J294" s="50" t="str">
        <f t="shared" si="3"/>
        <v>(${Variables:E2.7.1.40_kcat} * E2.7.1.40 * C00081 * C00022)/(${Variables:E2.7.1.40_km} + (E2.7.1.40 * C00081 * C00022))</v>
      </c>
      <c r="K294" s="98" t="str">
        <f t="shared" si="4"/>
        <v>r370: C00081 + C00022 -&gt; C00104 + C00074 | (${Variables:E2.7.1.40_kcat} * E2.7.1.40 * C00081 * C00022)/(${Variables:E2.7.1.40_km} + (E2.7.1.40 * C00081 * C00022))</v>
      </c>
    </row>
    <row r="295" spans="1:11" ht="14">
      <c r="A295" s="50" t="s">
        <v>1143</v>
      </c>
      <c r="B295" s="50" t="s">
        <v>1144</v>
      </c>
      <c r="C295" s="56" t="s">
        <v>13926</v>
      </c>
      <c r="D295" s="50">
        <v>371</v>
      </c>
      <c r="E295" s="50" t="str">
        <f t="shared" si="5"/>
        <v>E2.7.1.40</v>
      </c>
      <c r="F295" s="97" t="s">
        <v>13927</v>
      </c>
      <c r="G295" s="97" t="s">
        <v>13928</v>
      </c>
      <c r="H295" s="97" t="s">
        <v>13929</v>
      </c>
      <c r="I295" s="97" t="s">
        <v>13930</v>
      </c>
      <c r="J295" s="50" t="str">
        <f t="shared" si="3"/>
        <v>(${Variables:E2.7.1.40_kcat} * E2.7.1.40 * C00131 * C00022)/(${Variables:E2.7.1.40_km} + (E2.7.1.40 * C00131 * C00022))</v>
      </c>
      <c r="K295" s="98" t="str">
        <f t="shared" si="4"/>
        <v>r371: C00131 + C00022 -&gt; C00206 + C00074 | (${Variables:E2.7.1.40_kcat} * E2.7.1.40 * C00131 * C00022)/(${Variables:E2.7.1.40_km} + (E2.7.1.40 * C00131 * C00022))</v>
      </c>
    </row>
    <row r="296" spans="1:11" ht="14">
      <c r="A296" s="50" t="s">
        <v>1143</v>
      </c>
      <c r="B296" s="50" t="s">
        <v>1144</v>
      </c>
      <c r="C296" s="56" t="s">
        <v>13931</v>
      </c>
      <c r="D296" s="50">
        <v>372</v>
      </c>
      <c r="E296" s="50" t="str">
        <f t="shared" si="5"/>
        <v>E2.7.1.40</v>
      </c>
      <c r="F296" s="97" t="s">
        <v>13932</v>
      </c>
      <c r="G296" s="97" t="s">
        <v>13933</v>
      </c>
      <c r="H296" s="97" t="s">
        <v>13934</v>
      </c>
      <c r="I296" s="97" t="s">
        <v>13935</v>
      </c>
      <c r="J296" s="50" t="str">
        <f t="shared" si="3"/>
        <v>(${Variables:E2.7.1.40_kcat} * E2.7.1.40 * C00201 * C00022)/(${Variables:E2.7.1.40_km} + (E2.7.1.40 * C00201 * C00022))</v>
      </c>
      <c r="K296" s="98" t="str">
        <f t="shared" si="4"/>
        <v>r372: C00201 + C00022 -&gt; C00454 + C00074 | (${Variables:E2.7.1.40_kcat} * E2.7.1.40 * C00201 * C00022)/(${Variables:E2.7.1.40_km} + (E2.7.1.40 * C00201 * C00022))</v>
      </c>
    </row>
    <row r="297" spans="1:11" ht="14">
      <c r="A297" s="50" t="s">
        <v>1143</v>
      </c>
      <c r="B297" s="50" t="s">
        <v>1144</v>
      </c>
      <c r="C297" s="56" t="s">
        <v>13936</v>
      </c>
      <c r="D297" s="50">
        <v>373</v>
      </c>
      <c r="E297" s="50" t="str">
        <f t="shared" si="5"/>
        <v>E2.7.1.40</v>
      </c>
      <c r="F297" s="97" t="s">
        <v>13937</v>
      </c>
      <c r="G297" s="97" t="s">
        <v>13938</v>
      </c>
      <c r="H297" s="97" t="s">
        <v>13939</v>
      </c>
      <c r="I297" s="97" t="s">
        <v>13940</v>
      </c>
      <c r="J297" s="50" t="str">
        <f t="shared" si="3"/>
        <v>(${Variables:E2.7.1.40_kcat} * E2.7.1.40 * C00286 * C00022)/(${Variables:E2.7.1.40_km} + (E2.7.1.40 * C00286 * C00022))</v>
      </c>
      <c r="K297" s="98" t="str">
        <f t="shared" si="4"/>
        <v>r373: C00286 + C00022 -&gt; C00361 + C00074 | (${Variables:E2.7.1.40_kcat} * E2.7.1.40 * C00286 * C00022)/(${Variables:E2.7.1.40_km} + (E2.7.1.40 * C00286 * C00022))</v>
      </c>
    </row>
    <row r="298" spans="1:11" ht="14">
      <c r="A298" s="50" t="s">
        <v>2074</v>
      </c>
      <c r="B298" s="50" t="s">
        <v>2075</v>
      </c>
      <c r="C298" s="56" t="s">
        <v>13941</v>
      </c>
      <c r="D298" s="50">
        <v>374</v>
      </c>
      <c r="E298" s="50" t="str">
        <f t="shared" si="5"/>
        <v>E2.7.1.48</v>
      </c>
      <c r="F298" s="97" t="s">
        <v>13942</v>
      </c>
      <c r="G298" s="97" t="s">
        <v>13943</v>
      </c>
      <c r="H298" s="97" t="s">
        <v>13944</v>
      </c>
      <c r="I298" s="97" t="s">
        <v>13945</v>
      </c>
      <c r="J298" s="50" t="str">
        <f t="shared" si="3"/>
        <v>(${Variables:E2.7.1.48_kcat} * E2.7.1.48 * C00002 * C00299)/(${Variables:E2.7.1.48_km} + (E2.7.1.48 * C00002 * C00299))</v>
      </c>
      <c r="K298" s="98" t="str">
        <f t="shared" si="4"/>
        <v>r374: C00002 + C00299 -&gt; C00008 + C00105 | (${Variables:E2.7.1.48_kcat} * E2.7.1.48 * C00002 * C00299)/(${Variables:E2.7.1.48_km} + (E2.7.1.48 * C00002 * C00299))</v>
      </c>
    </row>
    <row r="299" spans="1:11" ht="14">
      <c r="A299" s="50" t="s">
        <v>2074</v>
      </c>
      <c r="B299" s="50" t="s">
        <v>2075</v>
      </c>
      <c r="C299" s="56" t="s">
        <v>13946</v>
      </c>
      <c r="D299" s="50">
        <v>375</v>
      </c>
      <c r="E299" s="50" t="str">
        <f t="shared" si="5"/>
        <v>E2.7.1.48</v>
      </c>
      <c r="F299" s="97" t="s">
        <v>13947</v>
      </c>
      <c r="G299" s="97" t="s">
        <v>13948</v>
      </c>
      <c r="H299" s="97" t="s">
        <v>13949</v>
      </c>
      <c r="I299" s="97" t="s">
        <v>13950</v>
      </c>
      <c r="J299" s="50" t="str">
        <f t="shared" si="3"/>
        <v>(${Variables:E2.7.1.48_kcat} * E2.7.1.48 * C00002 * C00475)/(${Variables:E2.7.1.48_km} + (E2.7.1.48 * C00002 * C00475))</v>
      </c>
      <c r="K299" s="98" t="str">
        <f t="shared" si="4"/>
        <v>r375: C00002 + C00475 -&gt; C00008 + C00055 | (${Variables:E2.7.1.48_kcat} * E2.7.1.48 * C00002 * C00475)/(${Variables:E2.7.1.48_km} + (E2.7.1.48 * C00002 * C00475))</v>
      </c>
    </row>
    <row r="300" spans="1:11" ht="14">
      <c r="A300" s="50" t="s">
        <v>2074</v>
      </c>
      <c r="B300" s="50" t="s">
        <v>2075</v>
      </c>
      <c r="C300" s="56" t="s">
        <v>13951</v>
      </c>
      <c r="D300" s="50">
        <v>376</v>
      </c>
      <c r="E300" s="50" t="str">
        <f t="shared" si="5"/>
        <v>E2.7.1.48</v>
      </c>
      <c r="F300" s="97" t="s">
        <v>13952</v>
      </c>
      <c r="G300" s="97" t="s">
        <v>13953</v>
      </c>
      <c r="H300" s="97" t="s">
        <v>13954</v>
      </c>
      <c r="I300" s="97" t="s">
        <v>13955</v>
      </c>
      <c r="J300" s="50" t="str">
        <f t="shared" si="3"/>
        <v>(${Variables:E2.7.1.48_kcat} * E2.7.1.48 * C00044 * C00299)/(${Variables:E2.7.1.48_km} + (E2.7.1.48 * C00044 * C00299))</v>
      </c>
      <c r="K300" s="98" t="str">
        <f t="shared" si="4"/>
        <v>r376: C00044 + C00299 -&gt; C00035 + C00105 | (${Variables:E2.7.1.48_kcat} * E2.7.1.48 * C00044 * C00299)/(${Variables:E2.7.1.48_km} + (E2.7.1.48 * C00044 * C00299))</v>
      </c>
    </row>
    <row r="301" spans="1:11" ht="14">
      <c r="A301" s="50" t="s">
        <v>2074</v>
      </c>
      <c r="B301" s="50" t="s">
        <v>2075</v>
      </c>
      <c r="C301" s="56" t="s">
        <v>13956</v>
      </c>
      <c r="D301" s="50">
        <v>377</v>
      </c>
      <c r="E301" s="50" t="str">
        <f t="shared" si="5"/>
        <v>E2.7.1.48</v>
      </c>
      <c r="F301" s="97" t="s">
        <v>13957</v>
      </c>
      <c r="G301" s="97" t="s">
        <v>13958</v>
      </c>
      <c r="H301" s="97" t="s">
        <v>13959</v>
      </c>
      <c r="I301" s="97" t="s">
        <v>13960</v>
      </c>
      <c r="J301" s="50" t="str">
        <f t="shared" si="3"/>
        <v>(${Variables:E2.7.1.48_kcat} * E2.7.1.48 * C00044 * C00475)/(${Variables:E2.7.1.48_km} + (E2.7.1.48 * C00044 * C00475))</v>
      </c>
      <c r="K301" s="98" t="str">
        <f t="shared" si="4"/>
        <v>r377: C00044 + C00475 -&gt; C00035 + C00055 | (${Variables:E2.7.1.48_kcat} * E2.7.1.48 * C00044 * C00475)/(${Variables:E2.7.1.48_km} + (E2.7.1.48 * C00044 * C00475))</v>
      </c>
    </row>
    <row r="302" spans="1:11" ht="14">
      <c r="A302" s="50" t="s">
        <v>2074</v>
      </c>
      <c r="B302" s="50" t="s">
        <v>2075</v>
      </c>
      <c r="C302" s="56" t="s">
        <v>13961</v>
      </c>
      <c r="D302" s="50">
        <v>378</v>
      </c>
      <c r="E302" s="50" t="str">
        <f t="shared" si="5"/>
        <v>E2.7.1.48</v>
      </c>
      <c r="F302" s="97" t="s">
        <v>13962</v>
      </c>
      <c r="G302" s="97" t="s">
        <v>13963</v>
      </c>
      <c r="H302" s="97" t="s">
        <v>13964</v>
      </c>
      <c r="I302" s="97" t="s">
        <v>13965</v>
      </c>
      <c r="J302" s="50" t="str">
        <f t="shared" si="3"/>
        <v>(${Variables:E2.7.1.48_kcat} * E2.7.1.48 * C16633 * C00002)/(${Variables:E2.7.1.48_km} + (E2.7.1.48 * C16633 * C00002))</v>
      </c>
      <c r="K302" s="98" t="str">
        <f t="shared" si="4"/>
        <v>r378: C16633 + C00002 -&gt; C16634 + C00008 | (${Variables:E2.7.1.48_kcat} * E2.7.1.48 * C16633 * C00002)/(${Variables:E2.7.1.48_km} + (E2.7.1.48 * C16633 * C00002))</v>
      </c>
    </row>
    <row r="303" spans="1:11" ht="14">
      <c r="A303" s="50" t="s">
        <v>4330</v>
      </c>
      <c r="B303" s="50" t="s">
        <v>4331</v>
      </c>
      <c r="C303" s="56" t="s">
        <v>13966</v>
      </c>
      <c r="D303" s="50">
        <v>379</v>
      </c>
      <c r="E303" s="50" t="str">
        <f t="shared" si="5"/>
        <v>E2.7.1.49</v>
      </c>
      <c r="F303" s="97" t="s">
        <v>13967</v>
      </c>
      <c r="G303" s="97" t="s">
        <v>13968</v>
      </c>
      <c r="H303" s="97" t="s">
        <v>13969</v>
      </c>
      <c r="I303" s="97" t="s">
        <v>13970</v>
      </c>
      <c r="J303" s="50" t="str">
        <f t="shared" si="3"/>
        <v>(${Variables:E2.7.1.49_kcat} * E2.7.1.49 * C00002 * C01279)/(${Variables:E2.7.1.49_km} + (E2.7.1.49 * C00002 * C01279))</v>
      </c>
      <c r="K303" s="98" t="str">
        <f t="shared" si="4"/>
        <v>r379: C00002 + C01279 -&gt; C00008 + C04556 | (${Variables:E2.7.1.49_kcat} * E2.7.1.49 * C00002 * C01279)/(${Variables:E2.7.1.49_km} + (E2.7.1.49 * C00002 * C01279))</v>
      </c>
    </row>
    <row r="304" spans="1:11" ht="14">
      <c r="A304" s="50" t="s">
        <v>1092</v>
      </c>
      <c r="B304" s="50" t="s">
        <v>1093</v>
      </c>
      <c r="C304" s="56" t="s">
        <v>13971</v>
      </c>
      <c r="D304" s="50">
        <v>381</v>
      </c>
      <c r="E304" s="50" t="str">
        <f t="shared" si="5"/>
        <v>E2.7.1.56</v>
      </c>
      <c r="F304" s="97" t="s">
        <v>13972</v>
      </c>
      <c r="G304" s="97" t="s">
        <v>13973</v>
      </c>
      <c r="H304" s="97" t="s">
        <v>13974</v>
      </c>
      <c r="I304" s="97" t="s">
        <v>13975</v>
      </c>
      <c r="J304" s="50" t="str">
        <f t="shared" si="3"/>
        <v>(${Variables:E2.7.1.56_kcat} * E2.7.1.56 * C00002 * C01094)/(${Variables:E2.7.1.56_km} + (E2.7.1.56 * C00002 * C01094))</v>
      </c>
      <c r="K304" s="98" t="str">
        <f t="shared" si="4"/>
        <v>r381: C00002 + C01094 -&gt; C00008 + C00354 | (${Variables:E2.7.1.56_kcat} * E2.7.1.56 * C00002 * C01094)/(${Variables:E2.7.1.56_km} + (E2.7.1.56 * C00002 * C01094))</v>
      </c>
    </row>
    <row r="305" spans="1:11" ht="14">
      <c r="A305" s="50" t="s">
        <v>1092</v>
      </c>
      <c r="B305" s="50" t="s">
        <v>1093</v>
      </c>
      <c r="C305" s="56" t="s">
        <v>13976</v>
      </c>
      <c r="D305" s="50">
        <v>382</v>
      </c>
      <c r="E305" s="50" t="str">
        <f t="shared" si="5"/>
        <v>E2.7.1.56</v>
      </c>
      <c r="F305" s="97" t="s">
        <v>13977</v>
      </c>
      <c r="G305" s="97" t="s">
        <v>13978</v>
      </c>
      <c r="H305" s="97" t="s">
        <v>13979</v>
      </c>
      <c r="I305" s="97" t="s">
        <v>13980</v>
      </c>
      <c r="J305" s="50" t="str">
        <f t="shared" si="3"/>
        <v>(${Variables:E2.7.1.56_kcat} * E2.7.1.56 * C00002 * C01094)/(${Variables:E2.7.1.56_km} + (E2.7.1.56 * C00002 * C01094))</v>
      </c>
      <c r="K305" s="98" t="str">
        <f t="shared" si="4"/>
        <v>r382: C00002 + C01094 -&gt; C00008 + C05378 | (${Variables:E2.7.1.56_kcat} * E2.7.1.56 * C00002 * C01094)/(${Variables:E2.7.1.56_km} + (E2.7.1.56 * C00002 * C01094))</v>
      </c>
    </row>
    <row r="306" spans="1:11" ht="14">
      <c r="A306" s="50" t="s">
        <v>6741</v>
      </c>
      <c r="B306" s="50" t="s">
        <v>6742</v>
      </c>
      <c r="C306" s="56" t="s">
        <v>13981</v>
      </c>
      <c r="D306" s="50">
        <v>387</v>
      </c>
      <c r="E306" s="50" t="str">
        <f t="shared" si="5"/>
        <v>E2.7.1.6</v>
      </c>
      <c r="F306" s="97" t="s">
        <v>13982</v>
      </c>
      <c r="G306" s="97" t="s">
        <v>13983</v>
      </c>
      <c r="H306" s="97" t="s">
        <v>13984</v>
      </c>
      <c r="I306" s="97" t="s">
        <v>13985</v>
      </c>
      <c r="J306" s="50" t="str">
        <f t="shared" si="3"/>
        <v>(${Variables:E2.7.1.6_kcat} * E2.7.1.6 * C00002 * C00984)/(${Variables:E2.7.1.6_km} + (E2.7.1.6 * C00002 * C00984))</v>
      </c>
      <c r="K306" s="98" t="str">
        <f t="shared" si="4"/>
        <v>r387: C00002 + C00984 -&gt; C00008 + C00446 | (${Variables:E2.7.1.6_kcat} * E2.7.1.6 * C00002 * C00984)/(${Variables:E2.7.1.6_km} + (E2.7.1.6 * C00002 * C00984))</v>
      </c>
    </row>
    <row r="307" spans="1:11" ht="14">
      <c r="A307" s="50" t="s">
        <v>4554</v>
      </c>
      <c r="B307" s="50" t="s">
        <v>4555</v>
      </c>
      <c r="C307" s="56" t="s">
        <v>13986</v>
      </c>
      <c r="D307" s="50">
        <v>388</v>
      </c>
      <c r="E307" s="50" t="str">
        <f t="shared" si="5"/>
        <v>E2.7.1.92</v>
      </c>
      <c r="F307" s="97" t="s">
        <v>13987</v>
      </c>
      <c r="G307" s="97" t="s">
        <v>13988</v>
      </c>
      <c r="H307" s="97" t="s">
        <v>13989</v>
      </c>
      <c r="I307" s="97" t="s">
        <v>13990</v>
      </c>
      <c r="J307" s="50" t="str">
        <f t="shared" si="3"/>
        <v>(${Variables:E2.7.1.92_kcat} * E2.7.1.92 * C06892 * C00002)/(${Variables:E2.7.1.92_km} + (E2.7.1.92 * C06892 * C00002))</v>
      </c>
      <c r="K307" s="98" t="str">
        <f t="shared" si="4"/>
        <v>r388: C06892 + C00002 -&gt; C06893 + C00008 | (${Variables:E2.7.1.92_kcat} * E2.7.1.92 * C06892 * C00002)/(${Variables:E2.7.1.92_km} + (E2.7.1.92 * C06892 * C00002))</v>
      </c>
    </row>
    <row r="308" spans="1:11" ht="14">
      <c r="A308" s="50" t="s">
        <v>2973</v>
      </c>
      <c r="B308" s="50" t="s">
        <v>2974</v>
      </c>
      <c r="C308" s="56" t="s">
        <v>13991</v>
      </c>
      <c r="D308" s="50">
        <v>389</v>
      </c>
      <c r="E308" s="50" t="str">
        <f t="shared" si="5"/>
        <v>E2.7.10.2</v>
      </c>
      <c r="F308" s="97" t="s">
        <v>13992</v>
      </c>
      <c r="G308" s="97" t="s">
        <v>13993</v>
      </c>
      <c r="H308" s="97" t="s">
        <v>13994</v>
      </c>
      <c r="I308" s="97" t="s">
        <v>13995</v>
      </c>
      <c r="J308" s="50" t="str">
        <f t="shared" si="3"/>
        <v>(${Variables:E2.7.10.2_kcat} * E2.7.10.2 * C00002 * C00585)/(${Variables:E2.7.10.2_km} + (E2.7.10.2 * C00002 * C00585))</v>
      </c>
      <c r="K308" s="98" t="str">
        <f t="shared" si="4"/>
        <v>r389: C00002 + C00585 -&gt; C00008 + C01167 | (${Variables:E2.7.10.2_kcat} * E2.7.10.2 * C00002 * C00585)/(${Variables:E2.7.10.2_km} + (E2.7.10.2 * C00002 * C00585))</v>
      </c>
    </row>
    <row r="309" spans="1:11" ht="14">
      <c r="A309" s="50" t="s">
        <v>3250</v>
      </c>
      <c r="B309" s="50" t="s">
        <v>3251</v>
      </c>
      <c r="C309" s="56" t="s">
        <v>13996</v>
      </c>
      <c r="D309" s="50">
        <v>394</v>
      </c>
      <c r="E309" s="50" t="str">
        <f t="shared" si="5"/>
        <v>E2.7.2.1</v>
      </c>
      <c r="F309" s="97" t="s">
        <v>13997</v>
      </c>
      <c r="G309" s="97" t="s">
        <v>13998</v>
      </c>
      <c r="H309" s="97" t="s">
        <v>13999</v>
      </c>
      <c r="I309" s="97" t="s">
        <v>14000</v>
      </c>
      <c r="J309" s="50" t="str">
        <f t="shared" si="3"/>
        <v>(${Variables:E2.7.2.1_kcat} * E2.7.2.1 * C00002 * C00033)/(${Variables:E2.7.2.1_km} + (E2.7.2.1 * C00002 * C00033))</v>
      </c>
      <c r="K309" s="98" t="str">
        <f t="shared" si="4"/>
        <v>r394: C00002 + C00033 -&gt; C00008 + C00227 | (${Variables:E2.7.2.1_kcat} * E2.7.2.1 * C00002 * C00033)/(${Variables:E2.7.2.1_km} + (E2.7.2.1 * C00002 * C00033))</v>
      </c>
    </row>
    <row r="310" spans="1:11" ht="14">
      <c r="A310" s="50" t="s">
        <v>3250</v>
      </c>
      <c r="B310" s="50" t="s">
        <v>3251</v>
      </c>
      <c r="C310" s="56" t="s">
        <v>14001</v>
      </c>
      <c r="D310" s="50">
        <v>395</v>
      </c>
      <c r="E310" s="50" t="str">
        <f t="shared" si="5"/>
        <v>E2.7.2.1</v>
      </c>
      <c r="F310" s="97" t="s">
        <v>14002</v>
      </c>
      <c r="G310" s="97" t="s">
        <v>14003</v>
      </c>
      <c r="H310" s="97" t="s">
        <v>14004</v>
      </c>
      <c r="I310" s="97" t="s">
        <v>14005</v>
      </c>
      <c r="J310" s="50" t="str">
        <f t="shared" si="3"/>
        <v>(${Variables:E2.7.2.1_kcat} * E2.7.2.1 * C00002 * C00163)/(${Variables:E2.7.2.1_km} + (E2.7.2.1 * C00002 * C00163))</v>
      </c>
      <c r="K310" s="98" t="str">
        <f t="shared" si="4"/>
        <v>r395: C00002 + C00163 -&gt; C00008 + C02876 | (${Variables:E2.7.2.1_kcat} * E2.7.2.1 * C00002 * C00163)/(${Variables:E2.7.2.1_km} + (E2.7.2.1 * C00002 * C00163))</v>
      </c>
    </row>
    <row r="311" spans="1:11" ht="14">
      <c r="A311" s="50" t="s">
        <v>3723</v>
      </c>
      <c r="B311" s="50" t="s">
        <v>3724</v>
      </c>
      <c r="C311" s="56" t="s">
        <v>14006</v>
      </c>
      <c r="D311" s="50">
        <v>398</v>
      </c>
      <c r="E311" s="50" t="str">
        <f t="shared" si="5"/>
        <v>E2.7.2.11</v>
      </c>
      <c r="F311" s="97" t="s">
        <v>14007</v>
      </c>
      <c r="G311" s="97" t="s">
        <v>14008</v>
      </c>
      <c r="H311" s="97" t="s">
        <v>14009</v>
      </c>
      <c r="I311" s="97" t="s">
        <v>14010</v>
      </c>
      <c r="J311" s="50" t="str">
        <f t="shared" si="3"/>
        <v>(${Variables:E2.7.2.11_kcat} * E2.7.2.11 * C00002 * C00025)/(${Variables:E2.7.2.11_km} + (E2.7.2.11 * C00002 * C00025))</v>
      </c>
      <c r="K311" s="98" t="str">
        <f t="shared" si="4"/>
        <v>r398: C00002 + C00025 -&gt; C00008 + C03287 | (${Variables:E2.7.2.11_kcat} * E2.7.2.11 * C00002 * C00025)/(${Variables:E2.7.2.11_km} + (E2.7.2.11 * C00002 * C00025))</v>
      </c>
    </row>
    <row r="312" spans="1:11" ht="14">
      <c r="A312" s="50" t="s">
        <v>3216</v>
      </c>
      <c r="B312" s="50" t="s">
        <v>3217</v>
      </c>
      <c r="C312" s="56" t="s">
        <v>14011</v>
      </c>
      <c r="D312" s="50">
        <v>399</v>
      </c>
      <c r="E312" s="50" t="str">
        <f t="shared" si="5"/>
        <v>E2.7.2.4</v>
      </c>
      <c r="F312" s="97" t="s">
        <v>14012</v>
      </c>
      <c r="G312" s="97" t="s">
        <v>14013</v>
      </c>
      <c r="H312" s="97" t="s">
        <v>14014</v>
      </c>
      <c r="I312" s="97" t="s">
        <v>14015</v>
      </c>
      <c r="J312" s="50" t="str">
        <f t="shared" si="3"/>
        <v>(${Variables:E2.7.2.4_kcat} * E2.7.2.4 * C00002 * C00049)/(${Variables:E2.7.2.4_km} + (E2.7.2.4 * C00002 * C00049))</v>
      </c>
      <c r="K312" s="98" t="str">
        <f t="shared" si="4"/>
        <v>r399: C00002 + C00049 -&gt; C00008 + C03082 | (${Variables:E2.7.2.4_kcat} * E2.7.2.4 * C00002 * C00049)/(${Variables:E2.7.2.4_km} + (E2.7.2.4 * C00002 * C00049))</v>
      </c>
    </row>
    <row r="313" spans="1:11" ht="14">
      <c r="A313" s="50" t="s">
        <v>1398</v>
      </c>
      <c r="B313" s="50" t="s">
        <v>1399</v>
      </c>
      <c r="C313" s="56" t="s">
        <v>14016</v>
      </c>
      <c r="D313" s="50">
        <v>401</v>
      </c>
      <c r="E313" s="50" t="str">
        <f t="shared" si="5"/>
        <v>E2.7.2.7</v>
      </c>
      <c r="F313" s="97" t="s">
        <v>14017</v>
      </c>
      <c r="G313" s="97" t="s">
        <v>14018</v>
      </c>
      <c r="H313" s="97" t="s">
        <v>14019</v>
      </c>
      <c r="I313" s="97" t="s">
        <v>14020</v>
      </c>
      <c r="J313" s="50" t="str">
        <f t="shared" si="3"/>
        <v>(${Variables:E2.7.2.7_kcat} * E2.7.2.7 * C00002 * C00246)/(${Variables:E2.7.2.7_km} + (E2.7.2.7 * C00002 * C00246))</v>
      </c>
      <c r="K313" s="98" t="str">
        <f t="shared" si="4"/>
        <v>r401: C00002 + C00246 -&gt; C00008 + C02527 | (${Variables:E2.7.2.7_kcat} * E2.7.2.7 * C00002 * C00246)/(${Variables:E2.7.2.7_km} + (E2.7.2.7 * C00002 * C00246))</v>
      </c>
    </row>
    <row r="314" spans="1:11" ht="14">
      <c r="A314" s="50" t="s">
        <v>2359</v>
      </c>
      <c r="B314" s="50" t="s">
        <v>2360</v>
      </c>
      <c r="C314" s="56" t="s">
        <v>14021</v>
      </c>
      <c r="D314" s="50">
        <v>402</v>
      </c>
      <c r="E314" s="50" t="str">
        <f t="shared" si="5"/>
        <v>E2.7.3.9</v>
      </c>
      <c r="F314" s="97" t="s">
        <v>14022</v>
      </c>
      <c r="G314" s="97" t="s">
        <v>14023</v>
      </c>
      <c r="H314" s="97" t="s">
        <v>14024</v>
      </c>
      <c r="I314" s="97" t="s">
        <v>14025</v>
      </c>
      <c r="J314" s="50" t="str">
        <f t="shared" si="3"/>
        <v>(${Variables:E2.7.3.9_kcat} * E2.7.3.9 * C00074 * C00615)/(${Variables:E2.7.3.9_km} + (E2.7.3.9 * C00074 * C00615))</v>
      </c>
      <c r="K314" s="98" t="str">
        <f t="shared" si="4"/>
        <v>r402: C00074 + C00615 -&gt; C00022 + C04261 | (${Variables:E2.7.3.9_kcat} * E2.7.3.9 * C00074 * C00615)/(${Variables:E2.7.3.9_km} + (E2.7.3.9 * C00074 * C00615))</v>
      </c>
    </row>
    <row r="315" spans="1:11" ht="14">
      <c r="A315" s="50" t="s">
        <v>5869</v>
      </c>
      <c r="B315" s="50" t="s">
        <v>5870</v>
      </c>
      <c r="C315" s="56" t="s">
        <v>14026</v>
      </c>
      <c r="D315" s="50">
        <v>403</v>
      </c>
      <c r="E315" s="50" t="str">
        <f t="shared" si="5"/>
        <v>E2.7.4.1</v>
      </c>
      <c r="F315" s="97" t="s">
        <v>14027</v>
      </c>
      <c r="G315" s="97" t="s">
        <v>14028</v>
      </c>
      <c r="H315" s="97" t="s">
        <v>14029</v>
      </c>
      <c r="I315" s="97" t="s">
        <v>14030</v>
      </c>
      <c r="J315" s="50" t="str">
        <f t="shared" si="3"/>
        <v>(${Variables:E2.7.4.1_kcat} * E2.7.4.1 * C00002 * C00404)/(${Variables:E2.7.4.1_km} + (E2.7.4.1 * C00002 * C00404))</v>
      </c>
      <c r="K315" s="98" t="str">
        <f t="shared" si="4"/>
        <v>r403: C00002 + C00404 -&gt; C00008 + C00404 | (${Variables:E2.7.4.1_kcat} * E2.7.4.1 * C00002 * C00404)/(${Variables:E2.7.4.1_km} + (E2.7.4.1 * C00002 * C00404))</v>
      </c>
    </row>
    <row r="316" spans="1:11" ht="14">
      <c r="A316" s="50" t="s">
        <v>337</v>
      </c>
      <c r="B316" s="50" t="s">
        <v>338</v>
      </c>
      <c r="C316" s="56" t="s">
        <v>14031</v>
      </c>
      <c r="D316" s="50">
        <v>404</v>
      </c>
      <c r="E316" s="50" t="str">
        <f t="shared" si="5"/>
        <v>E2.7.4.2</v>
      </c>
      <c r="F316" s="97" t="s">
        <v>14032</v>
      </c>
      <c r="G316" s="97" t="s">
        <v>14033</v>
      </c>
      <c r="H316" s="97" t="s">
        <v>14034</v>
      </c>
      <c r="I316" s="97" t="s">
        <v>14035</v>
      </c>
      <c r="J316" s="50" t="str">
        <f t="shared" si="3"/>
        <v>(${Variables:E2.7.4.2_kcat} * E2.7.4.2 * C00002 * C01107)/(${Variables:E2.7.4.2_km} + (E2.7.4.2 * C00002 * C01107))</v>
      </c>
      <c r="K316" s="98" t="str">
        <f t="shared" si="4"/>
        <v>r404: C00002 + C01107 -&gt; C00008 + C01143 | (${Variables:E2.7.4.2_kcat} * E2.7.4.2 * C00002 * C01107)/(${Variables:E2.7.4.2_km} + (E2.7.4.2 * C00002 * C01107))</v>
      </c>
    </row>
    <row r="317" spans="1:11" ht="14">
      <c r="A317" s="50" t="s">
        <v>1805</v>
      </c>
      <c r="B317" s="50" t="s">
        <v>1806</v>
      </c>
      <c r="C317" s="56" t="s">
        <v>14036</v>
      </c>
      <c r="D317" s="50">
        <v>405</v>
      </c>
      <c r="E317" s="50" t="str">
        <f t="shared" si="5"/>
        <v>E2.7.4.22</v>
      </c>
      <c r="F317" s="97" t="s">
        <v>14037</v>
      </c>
      <c r="G317" s="97" t="s">
        <v>14038</v>
      </c>
      <c r="H317" s="97" t="s">
        <v>14039</v>
      </c>
      <c r="I317" s="97" t="s">
        <v>14040</v>
      </c>
      <c r="J317" s="50" t="str">
        <f t="shared" si="3"/>
        <v>(${Variables:E2.7.4.22_kcat} * E2.7.4.22 * C00002 * C00105)/(${Variables:E2.7.4.22_km} + (E2.7.4.22 * C00002 * C00105))</v>
      </c>
      <c r="K317" s="98" t="str">
        <f t="shared" si="4"/>
        <v>r405: C00002 + C00105 -&gt; C00008 + C00015 | (${Variables:E2.7.4.22_kcat} * E2.7.4.22 * C00002 * C00105)/(${Variables:E2.7.4.22_km} + (E2.7.4.22 * C00002 * C00105))</v>
      </c>
    </row>
    <row r="318" spans="1:11" ht="14">
      <c r="A318" s="50" t="s">
        <v>1183</v>
      </c>
      <c r="B318" s="50" t="s">
        <v>1184</v>
      </c>
      <c r="C318" s="56" t="s">
        <v>14041</v>
      </c>
      <c r="D318" s="50">
        <v>406</v>
      </c>
      <c r="E318" s="50" t="str">
        <f t="shared" si="5"/>
        <v>E2.7.4.25</v>
      </c>
      <c r="F318" s="97" t="s">
        <v>14042</v>
      </c>
      <c r="G318" s="97" t="s">
        <v>14043</v>
      </c>
      <c r="H318" s="97" t="s">
        <v>14044</v>
      </c>
      <c r="I318" s="97" t="s">
        <v>14045</v>
      </c>
      <c r="J318" s="50" t="str">
        <f t="shared" si="3"/>
        <v>(${Variables:E2.7.4.25_kcat} * E2.7.4.25 * C00002 * C00055)/(${Variables:E2.7.4.25_km} + (E2.7.4.25 * C00002 * C00055))</v>
      </c>
      <c r="K318" s="98" t="str">
        <f t="shared" si="4"/>
        <v>r406: C00002 + C00055 -&gt; C00008 + C00112 | (${Variables:E2.7.4.25_kcat} * E2.7.4.25 * C00002 * C00055)/(${Variables:E2.7.4.25_km} + (E2.7.4.25 * C00002 * C00055))</v>
      </c>
    </row>
    <row r="319" spans="1:11" ht="14">
      <c r="A319" s="50" t="s">
        <v>1183</v>
      </c>
      <c r="B319" s="50" t="s">
        <v>1184</v>
      </c>
      <c r="C319" s="56" t="s">
        <v>14046</v>
      </c>
      <c r="D319" s="50">
        <v>407</v>
      </c>
      <c r="E319" s="50" t="str">
        <f t="shared" si="5"/>
        <v>E2.7.4.25</v>
      </c>
      <c r="F319" s="97" t="s">
        <v>14047</v>
      </c>
      <c r="G319" s="97" t="s">
        <v>14048</v>
      </c>
      <c r="H319" s="97" t="s">
        <v>14049</v>
      </c>
      <c r="I319" s="97" t="s">
        <v>14050</v>
      </c>
      <c r="J319" s="50" t="str">
        <f t="shared" si="3"/>
        <v>(${Variables:E2.7.4.25_kcat} * E2.7.4.25 * C00002 * C00239)/(${Variables:E2.7.4.25_km} + (E2.7.4.25 * C00002 * C00239))</v>
      </c>
      <c r="K319" s="98" t="str">
        <f t="shared" si="4"/>
        <v>r407: C00002 + C00239 -&gt; C00008 + C00705 | (${Variables:E2.7.4.25_kcat} * E2.7.4.25 * C00002 * C00239)/(${Variables:E2.7.4.25_km} + (E2.7.4.25 * C00002 * C00239))</v>
      </c>
    </row>
    <row r="320" spans="1:11" ht="14">
      <c r="A320" s="50" t="s">
        <v>6247</v>
      </c>
      <c r="B320" s="50" t="s">
        <v>6248</v>
      </c>
      <c r="C320" s="56" t="s">
        <v>14051</v>
      </c>
      <c r="D320" s="50">
        <v>409</v>
      </c>
      <c r="E320" s="50" t="str">
        <f t="shared" si="5"/>
        <v>E2.7.4.3</v>
      </c>
      <c r="F320" s="97" t="s">
        <v>14052</v>
      </c>
      <c r="G320" s="97" t="s">
        <v>14053</v>
      </c>
      <c r="H320" s="105" t="s">
        <v>10973</v>
      </c>
      <c r="I320" s="105" t="s">
        <v>10973</v>
      </c>
      <c r="J320" s="50" t="str">
        <f t="shared" si="3"/>
        <v>(${Variables:E2.7.4.3_kcat} * E2.7.4.3 * C00002 * C00020)/(${Variables:E2.7.4.3_km} + (E2.7.4.3 * C00002 * C00020))</v>
      </c>
      <c r="K320" s="98" t="str">
        <f t="shared" si="4"/>
        <v>r409: C00002 + C00020 -&gt; C00008 | (${Variables:E2.7.4.3_kcat} * E2.7.4.3 * C00002 * C00020)/(${Variables:E2.7.4.3_km} + (E2.7.4.3 * C00002 * C00020))</v>
      </c>
    </row>
    <row r="321" spans="1:11" ht="14">
      <c r="A321" s="50" t="s">
        <v>6247</v>
      </c>
      <c r="B321" s="50" t="s">
        <v>6248</v>
      </c>
      <c r="C321" s="56" t="s">
        <v>14054</v>
      </c>
      <c r="D321" s="50">
        <v>410</v>
      </c>
      <c r="E321" s="50" t="str">
        <f t="shared" si="5"/>
        <v>E2.7.4.3</v>
      </c>
      <c r="F321" s="97" t="s">
        <v>14055</v>
      </c>
      <c r="G321" s="97" t="s">
        <v>14056</v>
      </c>
      <c r="H321" s="97" t="s">
        <v>14057</v>
      </c>
      <c r="I321" s="97" t="s">
        <v>14058</v>
      </c>
      <c r="J321" s="50" t="str">
        <f t="shared" si="3"/>
        <v>(${Variables:E2.7.4.3_kcat} * E2.7.4.3 * C00002 * C00360)/(${Variables:E2.7.4.3_km} + (E2.7.4.3 * C00002 * C00360))</v>
      </c>
      <c r="K321" s="98" t="str">
        <f t="shared" si="4"/>
        <v>r410: C00002 + C00360 -&gt; C00008 + C00206 | (${Variables:E2.7.4.3_kcat} * E2.7.4.3 * C00002 * C00360)/(${Variables:E2.7.4.3_km} + (E2.7.4.3 * C00002 * C00360))</v>
      </c>
    </row>
    <row r="322" spans="1:11" ht="14">
      <c r="A322" s="50" t="s">
        <v>6247</v>
      </c>
      <c r="B322" s="50" t="s">
        <v>6248</v>
      </c>
      <c r="C322" s="56" t="s">
        <v>14059</v>
      </c>
      <c r="D322" s="50">
        <v>411</v>
      </c>
      <c r="E322" s="50" t="str">
        <f t="shared" si="5"/>
        <v>E2.7.4.3</v>
      </c>
      <c r="F322" s="97" t="s">
        <v>14060</v>
      </c>
      <c r="G322" s="97" t="s">
        <v>14061</v>
      </c>
      <c r="H322" s="97" t="s">
        <v>14062</v>
      </c>
      <c r="I322" s="97" t="s">
        <v>14063</v>
      </c>
      <c r="J322" s="50" t="str">
        <f t="shared" si="3"/>
        <v>(${Variables:E2.7.4.3_kcat} * E2.7.4.3 * C00068 * C00008)/(${Variables:E2.7.4.3_km} + (E2.7.4.3 * C00068 * C00008))</v>
      </c>
      <c r="K322" s="98" t="str">
        <f t="shared" si="4"/>
        <v>r411: C00068 + C00008 -&gt; C03028 + C00020 | (${Variables:E2.7.4.3_kcat} * E2.7.4.3 * C00068 * C00008)/(${Variables:E2.7.4.3_km} + (E2.7.4.3 * C00068 * C00008))</v>
      </c>
    </row>
    <row r="323" spans="1:11" ht="14">
      <c r="A323" s="50" t="s">
        <v>6928</v>
      </c>
      <c r="B323" s="50" t="s">
        <v>6929</v>
      </c>
      <c r="C323" s="56" t="s">
        <v>14064</v>
      </c>
      <c r="D323" s="50">
        <v>412</v>
      </c>
      <c r="E323" s="50" t="str">
        <f t="shared" si="5"/>
        <v>E2.7.4.6</v>
      </c>
      <c r="F323" s="97" t="s">
        <v>14065</v>
      </c>
      <c r="G323" s="97" t="s">
        <v>14066</v>
      </c>
      <c r="H323" s="97" t="s">
        <v>14067</v>
      </c>
      <c r="I323" s="97" t="s">
        <v>14068</v>
      </c>
      <c r="J323" s="50" t="str">
        <f t="shared" si="3"/>
        <v>(${Variables:E2.7.4.6_kcat} * E2.7.4.6 * C00002 * C00008)/(${Variables:E2.7.4.6_km} + (E2.7.4.6 * C00002 * C00008))</v>
      </c>
      <c r="K323" s="98" t="str">
        <f t="shared" si="4"/>
        <v>r412: C00002 + C00008 -&gt; C00008 + C00002 | (${Variables:E2.7.4.6_kcat} * E2.7.4.6 * C00002 * C00008)/(${Variables:E2.7.4.6_km} + (E2.7.4.6 * C00002 * C00008))</v>
      </c>
    </row>
    <row r="324" spans="1:11" ht="14">
      <c r="A324" s="50" t="s">
        <v>6928</v>
      </c>
      <c r="B324" s="50" t="s">
        <v>6929</v>
      </c>
      <c r="C324" s="56" t="s">
        <v>14069</v>
      </c>
      <c r="D324" s="50">
        <v>413</v>
      </c>
      <c r="E324" s="50" t="str">
        <f t="shared" si="5"/>
        <v>E2.7.4.6</v>
      </c>
      <c r="F324" s="97" t="s">
        <v>14070</v>
      </c>
      <c r="G324" s="97" t="s">
        <v>14071</v>
      </c>
      <c r="H324" s="97" t="s">
        <v>14072</v>
      </c>
      <c r="I324" s="97" t="s">
        <v>14073</v>
      </c>
      <c r="J324" s="50" t="str">
        <f t="shared" si="3"/>
        <v>(${Variables:E2.7.4.6_kcat} * E2.7.4.6 * C00002 * C00015)/(${Variables:E2.7.4.6_km} + (E2.7.4.6 * C00002 * C00015))</v>
      </c>
      <c r="K324" s="98" t="str">
        <f t="shared" si="4"/>
        <v>r413: C00002 + C00015 -&gt; C00008 + C00075 | (${Variables:E2.7.4.6_kcat} * E2.7.4.6 * C00002 * C00015)/(${Variables:E2.7.4.6_km} + (E2.7.4.6 * C00002 * C00015))</v>
      </c>
    </row>
    <row r="325" spans="1:11" ht="14">
      <c r="A325" s="50" t="s">
        <v>6928</v>
      </c>
      <c r="B325" s="50" t="s">
        <v>6929</v>
      </c>
      <c r="C325" s="56" t="s">
        <v>14074</v>
      </c>
      <c r="D325" s="50">
        <v>414</v>
      </c>
      <c r="E325" s="50" t="str">
        <f t="shared" si="5"/>
        <v>E2.7.4.6</v>
      </c>
      <c r="F325" s="97" t="s">
        <v>14075</v>
      </c>
      <c r="G325" s="97" t="s">
        <v>14076</v>
      </c>
      <c r="H325" s="97" t="s">
        <v>14077</v>
      </c>
      <c r="I325" s="97" t="s">
        <v>14078</v>
      </c>
      <c r="J325" s="50" t="str">
        <f t="shared" si="3"/>
        <v>(${Variables:E2.7.4.6_kcat} * E2.7.4.6 * C00002 * C00035)/(${Variables:E2.7.4.6_km} + (E2.7.4.6 * C00002 * C00035))</v>
      </c>
      <c r="K325" s="98" t="str">
        <f t="shared" si="4"/>
        <v>r414: C00002 + C00035 -&gt; C00008 + C00044 | (${Variables:E2.7.4.6_kcat} * E2.7.4.6 * C00002 * C00035)/(${Variables:E2.7.4.6_km} + (E2.7.4.6 * C00002 * C00035))</v>
      </c>
    </row>
    <row r="326" spans="1:11" ht="14">
      <c r="A326" s="50" t="s">
        <v>6928</v>
      </c>
      <c r="B326" s="50" t="s">
        <v>6929</v>
      </c>
      <c r="C326" s="56" t="s">
        <v>14079</v>
      </c>
      <c r="D326" s="50">
        <v>415</v>
      </c>
      <c r="E326" s="50" t="str">
        <f t="shared" si="5"/>
        <v>E2.7.4.6</v>
      </c>
      <c r="F326" s="97" t="s">
        <v>14080</v>
      </c>
      <c r="G326" s="97" t="s">
        <v>14081</v>
      </c>
      <c r="H326" s="97" t="s">
        <v>14082</v>
      </c>
      <c r="I326" s="97" t="s">
        <v>14083</v>
      </c>
      <c r="J326" s="50" t="str">
        <f t="shared" si="3"/>
        <v>(${Variables:E2.7.4.6_kcat} * E2.7.4.6 * C00002 * C00104)/(${Variables:E2.7.4.6_km} + (E2.7.4.6 * C00002 * C00104))</v>
      </c>
      <c r="K326" s="98" t="str">
        <f t="shared" si="4"/>
        <v>r415: C00002 + C00104 -&gt; C00008 + C00081 | (${Variables:E2.7.4.6_kcat} * E2.7.4.6 * C00002 * C00104)/(${Variables:E2.7.4.6_km} + (E2.7.4.6 * C00002 * C00104))</v>
      </c>
    </row>
    <row r="327" spans="1:11" ht="14">
      <c r="A327" s="50" t="s">
        <v>6928</v>
      </c>
      <c r="B327" s="50" t="s">
        <v>6929</v>
      </c>
      <c r="C327" s="56" t="s">
        <v>14084</v>
      </c>
      <c r="D327" s="50">
        <v>416</v>
      </c>
      <c r="E327" s="50" t="str">
        <f t="shared" si="5"/>
        <v>E2.7.4.6</v>
      </c>
      <c r="F327" s="97" t="s">
        <v>14085</v>
      </c>
      <c r="G327" s="97" t="s">
        <v>14086</v>
      </c>
      <c r="H327" s="97" t="s">
        <v>14087</v>
      </c>
      <c r="I327" s="97" t="s">
        <v>14088</v>
      </c>
      <c r="J327" s="50" t="str">
        <f t="shared" si="3"/>
        <v>(${Variables:E2.7.4.6_kcat} * E2.7.4.6 * C00002 * C00112)/(${Variables:E2.7.4.6_km} + (E2.7.4.6 * C00002 * C00112))</v>
      </c>
      <c r="K327" s="98" t="str">
        <f t="shared" si="4"/>
        <v>r416: C00002 + C00112 -&gt; C00008 + C00063 | (${Variables:E2.7.4.6_kcat} * E2.7.4.6 * C00002 * C00112)/(${Variables:E2.7.4.6_km} + (E2.7.4.6 * C00002 * C00112))</v>
      </c>
    </row>
    <row r="328" spans="1:11" ht="14">
      <c r="A328" s="50" t="s">
        <v>6928</v>
      </c>
      <c r="B328" s="50" t="s">
        <v>6929</v>
      </c>
      <c r="C328" s="56" t="s">
        <v>14089</v>
      </c>
      <c r="D328" s="50">
        <v>417</v>
      </c>
      <c r="E328" s="50" t="str">
        <f t="shared" si="5"/>
        <v>E2.7.4.6</v>
      </c>
      <c r="F328" s="97" t="s">
        <v>14090</v>
      </c>
      <c r="G328" s="97" t="s">
        <v>14091</v>
      </c>
      <c r="H328" s="97" t="s">
        <v>14092</v>
      </c>
      <c r="I328" s="97" t="s">
        <v>14093</v>
      </c>
      <c r="J328" s="50" t="str">
        <f t="shared" si="3"/>
        <v>(${Variables:E2.7.4.6_kcat} * E2.7.4.6 * C00002 * C00206)/(${Variables:E2.7.4.6_km} + (E2.7.4.6 * C00002 * C00206))</v>
      </c>
      <c r="K328" s="98" t="str">
        <f t="shared" si="4"/>
        <v>r417: C00002 + C00206 -&gt; C00008 + C00131 | (${Variables:E2.7.4.6_kcat} * E2.7.4.6 * C00002 * C00206)/(${Variables:E2.7.4.6_km} + (E2.7.4.6 * C00002 * C00206))</v>
      </c>
    </row>
    <row r="329" spans="1:11" ht="14">
      <c r="A329" s="50" t="s">
        <v>6928</v>
      </c>
      <c r="B329" s="50" t="s">
        <v>6929</v>
      </c>
      <c r="C329" s="56" t="s">
        <v>14094</v>
      </c>
      <c r="D329" s="50">
        <v>418</v>
      </c>
      <c r="E329" s="50" t="str">
        <f t="shared" si="5"/>
        <v>E2.7.4.6</v>
      </c>
      <c r="F329" s="97" t="s">
        <v>14095</v>
      </c>
      <c r="G329" s="97" t="s">
        <v>14096</v>
      </c>
      <c r="H329" s="97" t="s">
        <v>14097</v>
      </c>
      <c r="I329" s="97" t="s">
        <v>14098</v>
      </c>
      <c r="J329" s="50" t="str">
        <f t="shared" si="3"/>
        <v>(${Variables:E2.7.4.6_kcat} * E2.7.4.6 * C00002 * C00361)/(${Variables:E2.7.4.6_km} + (E2.7.4.6 * C00002 * C00361))</v>
      </c>
      <c r="K329" s="98" t="str">
        <f t="shared" si="4"/>
        <v>r418: C00002 + C00361 -&gt; C00008 + C00286 | (${Variables:E2.7.4.6_kcat} * E2.7.4.6 * C00002 * C00361)/(${Variables:E2.7.4.6_km} + (E2.7.4.6 * C00002 * C00361))</v>
      </c>
    </row>
    <row r="330" spans="1:11" ht="14">
      <c r="A330" s="50" t="s">
        <v>6928</v>
      </c>
      <c r="B330" s="50" t="s">
        <v>6929</v>
      </c>
      <c r="C330" s="56" t="s">
        <v>14099</v>
      </c>
      <c r="D330" s="50">
        <v>419</v>
      </c>
      <c r="E330" s="50" t="str">
        <f t="shared" si="5"/>
        <v>E2.7.4.6</v>
      </c>
      <c r="F330" s="97" t="s">
        <v>14100</v>
      </c>
      <c r="G330" s="97" t="s">
        <v>14101</v>
      </c>
      <c r="H330" s="97" t="s">
        <v>14102</v>
      </c>
      <c r="I330" s="97" t="s">
        <v>14103</v>
      </c>
      <c r="J330" s="50" t="str">
        <f t="shared" si="3"/>
        <v>(${Variables:E2.7.4.6_kcat} * E2.7.4.6 * C00002 * C00363)/(${Variables:E2.7.4.6_km} + (E2.7.4.6 * C00002 * C00363))</v>
      </c>
      <c r="K330" s="98" t="str">
        <f t="shared" si="4"/>
        <v>r419: C00002 + C00363 -&gt; C00008 + C00459 | (${Variables:E2.7.4.6_kcat} * E2.7.4.6 * C00002 * C00363)/(${Variables:E2.7.4.6_km} + (E2.7.4.6 * C00002 * C00363))</v>
      </c>
    </row>
    <row r="331" spans="1:11" ht="14">
      <c r="A331" s="50" t="s">
        <v>6928</v>
      </c>
      <c r="B331" s="50" t="s">
        <v>6929</v>
      </c>
      <c r="C331" s="56" t="s">
        <v>14104</v>
      </c>
      <c r="D331" s="50">
        <v>420</v>
      </c>
      <c r="E331" s="50" t="str">
        <f t="shared" si="5"/>
        <v>E2.7.4.6</v>
      </c>
      <c r="F331" s="97" t="s">
        <v>14105</v>
      </c>
      <c r="G331" s="97" t="s">
        <v>14106</v>
      </c>
      <c r="H331" s="97" t="s">
        <v>14107</v>
      </c>
      <c r="I331" s="97" t="s">
        <v>14108</v>
      </c>
      <c r="J331" s="50" t="str">
        <f t="shared" si="3"/>
        <v>(${Variables:E2.7.4.6_kcat} * E2.7.4.6 * C00002 * C00454)/(${Variables:E2.7.4.6_km} + (E2.7.4.6 * C00002 * C00454))</v>
      </c>
      <c r="K331" s="98" t="str">
        <f t="shared" si="4"/>
        <v>r420: C00002 + C00454 -&gt; C00008 + C00201 | (${Variables:E2.7.4.6_kcat} * E2.7.4.6 * C00002 * C00454)/(${Variables:E2.7.4.6_km} + (E2.7.4.6 * C00002 * C00454))</v>
      </c>
    </row>
    <row r="332" spans="1:11" ht="14">
      <c r="A332" s="50" t="s">
        <v>6928</v>
      </c>
      <c r="B332" s="50" t="s">
        <v>6929</v>
      </c>
      <c r="C332" s="56" t="s">
        <v>14109</v>
      </c>
      <c r="D332" s="50">
        <v>421</v>
      </c>
      <c r="E332" s="50" t="str">
        <f t="shared" si="5"/>
        <v>E2.7.4.6</v>
      </c>
      <c r="F332" s="97" t="s">
        <v>14110</v>
      </c>
      <c r="G332" s="97" t="s">
        <v>14111</v>
      </c>
      <c r="H332" s="97" t="s">
        <v>14112</v>
      </c>
      <c r="I332" s="97" t="s">
        <v>14113</v>
      </c>
      <c r="J332" s="50" t="str">
        <f t="shared" si="3"/>
        <v>(${Variables:E2.7.4.6_kcat} * E2.7.4.6 * C00002 * C00705)/(${Variables:E2.7.4.6_km} + (E2.7.4.6 * C00002 * C00705))</v>
      </c>
      <c r="K332" s="98" t="str">
        <f t="shared" si="4"/>
        <v>r421: C00002 + C00705 -&gt; C00008 + C00458 | (${Variables:E2.7.4.6_kcat} * E2.7.4.6 * C00002 * C00705)/(${Variables:E2.7.4.6_km} + (E2.7.4.6 * C00002 * C00705))</v>
      </c>
    </row>
    <row r="333" spans="1:11" ht="14">
      <c r="A333" s="50" t="s">
        <v>6928</v>
      </c>
      <c r="B333" s="50" t="s">
        <v>6929</v>
      </c>
      <c r="C333" s="56" t="s">
        <v>14114</v>
      </c>
      <c r="D333" s="50">
        <v>422</v>
      </c>
      <c r="E333" s="50" t="str">
        <f t="shared" si="5"/>
        <v>E2.7.4.6</v>
      </c>
      <c r="F333" s="97" t="s">
        <v>14115</v>
      </c>
      <c r="G333" s="97" t="s">
        <v>14116</v>
      </c>
      <c r="H333" s="97" t="s">
        <v>14117</v>
      </c>
      <c r="I333" s="97" t="s">
        <v>14118</v>
      </c>
      <c r="J333" s="50" t="str">
        <f t="shared" si="3"/>
        <v>(${Variables:E2.7.4.6_kcat} * E2.7.4.6 * C00002 * C01344)/(${Variables:E2.7.4.6_km} + (E2.7.4.6 * C00002 * C01344))</v>
      </c>
      <c r="K333" s="98" t="str">
        <f t="shared" si="4"/>
        <v>r422: C00002 + C01344 -&gt; C00008 + C01345 | (${Variables:E2.7.4.6_kcat} * E2.7.4.6 * C00002 * C01344)/(${Variables:E2.7.4.6_km} + (E2.7.4.6 * C00002 * C01344))</v>
      </c>
    </row>
    <row r="334" spans="1:11" ht="14">
      <c r="A334" s="50" t="s">
        <v>6928</v>
      </c>
      <c r="B334" s="50" t="s">
        <v>6929</v>
      </c>
      <c r="C334" s="56" t="s">
        <v>14119</v>
      </c>
      <c r="D334" s="50">
        <v>423</v>
      </c>
      <c r="E334" s="50" t="str">
        <f t="shared" si="5"/>
        <v>E2.7.4.6</v>
      </c>
      <c r="F334" s="97" t="s">
        <v>14120</v>
      </c>
      <c r="G334" s="97" t="s">
        <v>14121</v>
      </c>
      <c r="H334" s="97" t="s">
        <v>14122</v>
      </c>
      <c r="I334" s="97" t="s">
        <v>14123</v>
      </c>
      <c r="J334" s="50" t="str">
        <f t="shared" si="3"/>
        <v>(${Variables:E2.7.4.6_kcat} * E2.7.4.6 * C00002 * C01346)/(${Variables:E2.7.4.6_km} + (E2.7.4.6 * C00002 * C01346))</v>
      </c>
      <c r="K334" s="98" t="str">
        <f t="shared" si="4"/>
        <v>r423: C00002 + C01346 -&gt; C00008 + C00460 | (${Variables:E2.7.4.6_kcat} * E2.7.4.6 * C00002 * C01346)/(${Variables:E2.7.4.6_km} + (E2.7.4.6 * C00002 * C01346))</v>
      </c>
    </row>
    <row r="335" spans="1:11" ht="14">
      <c r="A335" s="50" t="s">
        <v>6928</v>
      </c>
      <c r="B335" s="50" t="s">
        <v>6929</v>
      </c>
      <c r="C335" s="56" t="s">
        <v>14124</v>
      </c>
      <c r="D335" s="50">
        <v>424</v>
      </c>
      <c r="E335" s="50" t="str">
        <f t="shared" si="5"/>
        <v>E2.7.4.6</v>
      </c>
      <c r="F335" s="97" t="s">
        <v>14125</v>
      </c>
      <c r="G335" s="97" t="s">
        <v>14126</v>
      </c>
      <c r="H335" s="97" t="s">
        <v>14127</v>
      </c>
      <c r="I335" s="97" t="s">
        <v>14128</v>
      </c>
      <c r="J335" s="50" t="str">
        <f t="shared" si="3"/>
        <v>(${Variables:E2.7.4.6_kcat} * E2.7.4.6 * C00002 * C21748)/(${Variables:E2.7.4.6_km} + (E2.7.4.6 * C00002 * C21748))</v>
      </c>
      <c r="K335" s="98" t="str">
        <f t="shared" si="4"/>
        <v>r424: C00002 + C21748 -&gt; C00008 + C21749 | (${Variables:E2.7.4.6_kcat} * E2.7.4.6 * C00002 * C21748)/(${Variables:E2.7.4.6_km} + (E2.7.4.6 * C00002 * C21748))</v>
      </c>
    </row>
    <row r="336" spans="1:11" ht="14">
      <c r="A336" s="50" t="s">
        <v>6928</v>
      </c>
      <c r="B336" s="50" t="s">
        <v>6929</v>
      </c>
      <c r="C336" s="56" t="s">
        <v>14129</v>
      </c>
      <c r="D336" s="50">
        <v>425</v>
      </c>
      <c r="E336" s="50" t="str">
        <f t="shared" si="5"/>
        <v>E2.7.4.6</v>
      </c>
      <c r="F336" s="97" t="s">
        <v>14130</v>
      </c>
      <c r="G336" s="97" t="s">
        <v>14131</v>
      </c>
      <c r="H336" s="97" t="s">
        <v>14132</v>
      </c>
      <c r="I336" s="97" t="s">
        <v>14133</v>
      </c>
      <c r="J336" s="50" t="str">
        <f t="shared" si="3"/>
        <v>(${Variables:E2.7.4.6_kcat} * E2.7.4.6 * C00002 * C21750)/(${Variables:E2.7.4.6_km} + (E2.7.4.6 * C00002 * C21750))</v>
      </c>
      <c r="K336" s="98" t="str">
        <f t="shared" si="4"/>
        <v>r425: C00002 + C21750 -&gt; C00008 + C21751 | (${Variables:E2.7.4.6_kcat} * E2.7.4.6 * C00002 * C21750)/(${Variables:E2.7.4.6_km} + (E2.7.4.6 * C00002 * C21750))</v>
      </c>
    </row>
    <row r="337" spans="1:11" ht="14">
      <c r="A337" s="50" t="s">
        <v>6928</v>
      </c>
      <c r="B337" s="50" t="s">
        <v>6929</v>
      </c>
      <c r="C337" s="56" t="s">
        <v>14134</v>
      </c>
      <c r="D337" s="50">
        <v>426</v>
      </c>
      <c r="E337" s="50" t="str">
        <f t="shared" si="5"/>
        <v>E2.7.4.6</v>
      </c>
      <c r="F337" s="97" t="s">
        <v>14135</v>
      </c>
      <c r="G337" s="97" t="s">
        <v>14136</v>
      </c>
      <c r="H337" s="97" t="s">
        <v>14137</v>
      </c>
      <c r="I337" s="97" t="s">
        <v>14138</v>
      </c>
      <c r="J337" s="50" t="str">
        <f t="shared" si="3"/>
        <v>(${Variables:E2.7.4.6_kcat} * E2.7.4.6 * C11038 * C00002)/(${Variables:E2.7.4.6_km} + (E2.7.4.6 * C11038 * C00002))</v>
      </c>
      <c r="K337" s="98" t="str">
        <f t="shared" si="4"/>
        <v>r426: C11038 + C00002 -&gt; C11039 + C00008 | (${Variables:E2.7.4.6_kcat} * E2.7.4.6 * C11038 * C00002)/(${Variables:E2.7.4.6_km} + (E2.7.4.6 * C11038 * C00002))</v>
      </c>
    </row>
    <row r="338" spans="1:11" ht="14">
      <c r="A338" s="50" t="s">
        <v>6928</v>
      </c>
      <c r="B338" s="50" t="s">
        <v>6929</v>
      </c>
      <c r="C338" s="56" t="s">
        <v>14139</v>
      </c>
      <c r="D338" s="50">
        <v>427</v>
      </c>
      <c r="E338" s="50" t="str">
        <f t="shared" si="5"/>
        <v>E2.7.4.6</v>
      </c>
      <c r="F338" s="97" t="s">
        <v>14140</v>
      </c>
      <c r="G338" s="97" t="s">
        <v>14141</v>
      </c>
      <c r="H338" s="97" t="s">
        <v>14142</v>
      </c>
      <c r="I338" s="97" t="s">
        <v>14143</v>
      </c>
      <c r="J338" s="50" t="str">
        <f t="shared" si="3"/>
        <v>(${Variables:E2.7.4.6_kcat} * E2.7.4.6 * C22442 * C00002)/(${Variables:E2.7.4.6_km} + (E2.7.4.6 * C22442 * C00002))</v>
      </c>
      <c r="K338" s="98" t="str">
        <f t="shared" si="4"/>
        <v>r427: C22442 + C00002 -&gt; C22443 + C00008 | (${Variables:E2.7.4.6_kcat} * E2.7.4.6 * C22442 * C00002)/(${Variables:E2.7.4.6_km} + (E2.7.4.6 * C22442 * C00002))</v>
      </c>
    </row>
    <row r="339" spans="1:11" ht="14">
      <c r="A339" s="50" t="s">
        <v>4330</v>
      </c>
      <c r="B339" s="50" t="s">
        <v>4331</v>
      </c>
      <c r="C339" s="58" t="s">
        <v>8286</v>
      </c>
      <c r="D339" s="50">
        <v>428</v>
      </c>
      <c r="E339" s="50" t="str">
        <f t="shared" si="5"/>
        <v>E2.7.4.7</v>
      </c>
      <c r="F339" s="99" t="s">
        <v>14144</v>
      </c>
      <c r="G339" s="99" t="s">
        <v>14145</v>
      </c>
      <c r="H339" s="97" t="s">
        <v>14146</v>
      </c>
      <c r="I339" s="97" t="s">
        <v>14147</v>
      </c>
      <c r="J339" s="50" t="str">
        <f t="shared" si="3"/>
        <v>(${Variables:E2.7.4.7_kcat} * E2.7.4.7 * C00002 * C04556)/(${Variables:E2.7.4.7_km} + (E2.7.4.7 * C00002 * C04556))</v>
      </c>
      <c r="K339" s="98" t="str">
        <f t="shared" si="4"/>
        <v>r428: C00002 + C04556 -&gt; C00008 + C04752 | (${Variables:E2.7.4.7_kcat} * E2.7.4.7 * C00002 * C04556)/(${Variables:E2.7.4.7_km} + (E2.7.4.7 * C00002 * C04556))</v>
      </c>
    </row>
    <row r="340" spans="1:11" ht="14">
      <c r="A340" s="50" t="s">
        <v>1955</v>
      </c>
      <c r="B340" s="50" t="s">
        <v>1956</v>
      </c>
      <c r="C340" s="56" t="s">
        <v>14148</v>
      </c>
      <c r="D340" s="50">
        <v>430</v>
      </c>
      <c r="E340" s="50" t="str">
        <f t="shared" si="5"/>
        <v>E2.7.4.8</v>
      </c>
      <c r="F340" s="97" t="s">
        <v>14149</v>
      </c>
      <c r="G340" s="97" t="s">
        <v>14150</v>
      </c>
      <c r="H340" s="97" t="s">
        <v>14151</v>
      </c>
      <c r="I340" s="97" t="s">
        <v>14152</v>
      </c>
      <c r="J340" s="50" t="str">
        <f t="shared" si="3"/>
        <v>(${Variables:E2.7.4.8_kcat} * E2.7.4.8 * C00002 * C00144)/(${Variables:E2.7.4.8_km} + (E2.7.4.8 * C00002 * C00144))</v>
      </c>
      <c r="K340" s="98" t="str">
        <f t="shared" si="4"/>
        <v>r430: C00002 + C00144 -&gt; C00008 + C00035 | (${Variables:E2.7.4.8_kcat} * E2.7.4.8 * C00002 * C00144)/(${Variables:E2.7.4.8_km} + (E2.7.4.8 * C00002 * C00144))</v>
      </c>
    </row>
    <row r="341" spans="1:11" ht="14">
      <c r="A341" s="50" t="s">
        <v>1955</v>
      </c>
      <c r="B341" s="50" t="s">
        <v>1956</v>
      </c>
      <c r="C341" s="56" t="s">
        <v>14153</v>
      </c>
      <c r="D341" s="50">
        <v>431</v>
      </c>
      <c r="E341" s="50" t="str">
        <f t="shared" si="5"/>
        <v>E2.7.4.8</v>
      </c>
      <c r="F341" s="97" t="s">
        <v>14154</v>
      </c>
      <c r="G341" s="97" t="s">
        <v>14155</v>
      </c>
      <c r="H341" s="97" t="s">
        <v>14156</v>
      </c>
      <c r="I341" s="97" t="s">
        <v>14157</v>
      </c>
      <c r="J341" s="50" t="str">
        <f t="shared" si="3"/>
        <v>(${Variables:E2.7.4.8_kcat} * E2.7.4.8 * C00002 * C00362)/(${Variables:E2.7.4.8_km} + (E2.7.4.8 * C00002 * C00362))</v>
      </c>
      <c r="K341" s="98" t="str">
        <f t="shared" si="4"/>
        <v>r431: C00002 + C00362 -&gt; C00008 + C00361 | (${Variables:E2.7.4.8_kcat} * E2.7.4.8 * C00002 * C00362)/(${Variables:E2.7.4.8_km} + (E2.7.4.8 * C00002 * C00362))</v>
      </c>
    </row>
    <row r="342" spans="1:11" ht="14">
      <c r="A342" s="50" t="s">
        <v>1955</v>
      </c>
      <c r="B342" s="50" t="s">
        <v>1956</v>
      </c>
      <c r="C342" s="56" t="s">
        <v>14158</v>
      </c>
      <c r="D342" s="50">
        <v>432</v>
      </c>
      <c r="E342" s="50" t="str">
        <f t="shared" si="5"/>
        <v>E2.7.4.8</v>
      </c>
      <c r="F342" s="97" t="s">
        <v>14159</v>
      </c>
      <c r="G342" s="97" t="s">
        <v>14160</v>
      </c>
      <c r="H342" s="97" t="s">
        <v>14161</v>
      </c>
      <c r="I342" s="97" t="s">
        <v>14162</v>
      </c>
      <c r="J342" s="50" t="str">
        <f t="shared" si="3"/>
        <v>(${Variables:E2.7.4.8_kcat} * E2.7.4.8 * C22441 * C00002)/(${Variables:E2.7.4.8_km} + (E2.7.4.8 * C22441 * C00002))</v>
      </c>
      <c r="K342" s="98" t="str">
        <f t="shared" si="4"/>
        <v>r432: C22441 + C00002 -&gt; C22442 + C00008 | (${Variables:E2.7.4.8_kcat} * E2.7.4.8 * C22441 * C00002)/(${Variables:E2.7.4.8_km} + (E2.7.4.8 * C22441 * C00002))</v>
      </c>
    </row>
    <row r="343" spans="1:11" ht="14">
      <c r="A343" s="50" t="s">
        <v>3480</v>
      </c>
      <c r="B343" s="50" t="s">
        <v>3481</v>
      </c>
      <c r="C343" s="56" t="s">
        <v>14163</v>
      </c>
      <c r="D343" s="50">
        <v>433</v>
      </c>
      <c r="E343" s="50" t="str">
        <f t="shared" si="5"/>
        <v>E2.7.4.9</v>
      </c>
      <c r="F343" s="97" t="s">
        <v>14164</v>
      </c>
      <c r="G343" s="97" t="s">
        <v>14165</v>
      </c>
      <c r="H343" s="97" t="s">
        <v>14166</v>
      </c>
      <c r="I343" s="97" t="s">
        <v>14167</v>
      </c>
      <c r="J343" s="50" t="str">
        <f t="shared" si="3"/>
        <v>(${Variables:E2.7.4.9_kcat} * E2.7.4.9 * C00002 * C00364)/(${Variables:E2.7.4.9_km} + (E2.7.4.9 * C00002 * C00364))</v>
      </c>
      <c r="K343" s="98" t="str">
        <f t="shared" si="4"/>
        <v>r433: C00002 + C00364 -&gt; C00008 + C00363 | (${Variables:E2.7.4.9_kcat} * E2.7.4.9 * C00002 * C00364)/(${Variables:E2.7.4.9_km} + (E2.7.4.9 * C00002 * C00364))</v>
      </c>
    </row>
    <row r="344" spans="1:11" ht="14">
      <c r="A344" s="50" t="s">
        <v>3480</v>
      </c>
      <c r="B344" s="50" t="s">
        <v>3481</v>
      </c>
      <c r="C344" s="56" t="s">
        <v>14168</v>
      </c>
      <c r="D344" s="50">
        <v>434</v>
      </c>
      <c r="E344" s="50" t="str">
        <f t="shared" si="5"/>
        <v>E2.7.4.9</v>
      </c>
      <c r="F344" s="97" t="s">
        <v>14169</v>
      </c>
      <c r="G344" s="97" t="s">
        <v>14170</v>
      </c>
      <c r="H344" s="97" t="s">
        <v>14171</v>
      </c>
      <c r="I344" s="97" t="s">
        <v>14172</v>
      </c>
      <c r="J344" s="50" t="str">
        <f t="shared" si="3"/>
        <v>(${Variables:E2.7.4.9_kcat} * E2.7.4.9 * C00002 * C00365)/(${Variables:E2.7.4.9_km} + (E2.7.4.9 * C00002 * C00365))</v>
      </c>
      <c r="K344" s="98" t="str">
        <f t="shared" si="4"/>
        <v>r434: C00002 + C00365 -&gt; C00008 + C01346 | (${Variables:E2.7.4.9_kcat} * E2.7.4.9 * C00002 * C00365)/(${Variables:E2.7.4.9_km} + (E2.7.4.9 * C00002 * C00365))</v>
      </c>
    </row>
    <row r="345" spans="1:11" ht="14">
      <c r="A345" s="100"/>
      <c r="B345" s="50" t="s">
        <v>5200</v>
      </c>
      <c r="C345" s="56" t="s">
        <v>14173</v>
      </c>
      <c r="D345" s="50">
        <v>435</v>
      </c>
      <c r="E345" s="50" t="str">
        <f t="shared" si="5"/>
        <v>E2.7.6.1</v>
      </c>
      <c r="F345" s="97" t="s">
        <v>14174</v>
      </c>
      <c r="G345" s="97" t="s">
        <v>14175</v>
      </c>
      <c r="H345" s="97" t="s">
        <v>14176</v>
      </c>
      <c r="I345" s="97" t="s">
        <v>14177</v>
      </c>
      <c r="J345" s="50" t="str">
        <f t="shared" si="3"/>
        <v>(${Variables:E2.7.6.1_kcat} * E2.7.6.1 * C00002 * C00117)/(${Variables:E2.7.6.1_km} + (E2.7.6.1 * C00002 * C00117))</v>
      </c>
      <c r="K345" s="98" t="str">
        <f t="shared" si="4"/>
        <v>r435: C00002 + C00117 -&gt; C00020 + C00119 | (${Variables:E2.7.6.1_kcat} * E2.7.6.1 * C00002 * C00117)/(${Variables:E2.7.6.1_km} + (E2.7.6.1 * C00002 * C00117))</v>
      </c>
    </row>
    <row r="346" spans="1:11" ht="14">
      <c r="A346" s="50" t="s">
        <v>1916</v>
      </c>
      <c r="B346" s="50" t="s">
        <v>1917</v>
      </c>
      <c r="C346" s="50" t="s">
        <v>8287</v>
      </c>
      <c r="D346" s="50">
        <v>437</v>
      </c>
      <c r="E346" s="50" t="str">
        <f t="shared" si="5"/>
        <v>E2.7.6.2</v>
      </c>
      <c r="F346" s="97" t="s">
        <v>14178</v>
      </c>
      <c r="G346" s="97" t="s">
        <v>14179</v>
      </c>
      <c r="H346" s="97" t="s">
        <v>14180</v>
      </c>
      <c r="I346" s="97" t="s">
        <v>14181</v>
      </c>
      <c r="J346" s="50" t="str">
        <f t="shared" si="3"/>
        <v>(${Variables:E2.7.6.2_kcat} * E2.7.6.2 * C00002 * C00378)/(${Variables:E2.7.6.2_km} + (E2.7.6.2 * C00002 * C00378))</v>
      </c>
      <c r="K346" s="98" t="str">
        <f t="shared" si="4"/>
        <v>r437: C00002 + C00378 -&gt; C00020 + C00068 | (${Variables:E2.7.6.2_kcat} * E2.7.6.2 * C00002 * C00378)/(${Variables:E2.7.6.2_km} + (E2.7.6.2 * C00002 * C00378))</v>
      </c>
    </row>
    <row r="347" spans="1:11" ht="14">
      <c r="A347" s="50" t="s">
        <v>1662</v>
      </c>
      <c r="B347" s="50" t="s">
        <v>1663</v>
      </c>
      <c r="C347" s="56" t="s">
        <v>14182</v>
      </c>
      <c r="D347" s="50">
        <v>438</v>
      </c>
      <c r="E347" s="50" t="str">
        <f t="shared" si="5"/>
        <v>E2.7.6.5</v>
      </c>
      <c r="F347" s="97" t="s">
        <v>14183</v>
      </c>
      <c r="G347" s="97" t="s">
        <v>14184</v>
      </c>
      <c r="H347" s="97" t="s">
        <v>14185</v>
      </c>
      <c r="I347" s="97" t="s">
        <v>14186</v>
      </c>
      <c r="J347" s="50" t="str">
        <f t="shared" si="3"/>
        <v>(${Variables:E2.7.6.5_kcat} * E2.7.6.5 * C00002 * C00044)/(${Variables:E2.7.6.5_km} + (E2.7.6.5 * C00002 * C00044))</v>
      </c>
      <c r="K347" s="98" t="str">
        <f t="shared" si="4"/>
        <v>r438: C00002 + C00044 -&gt; C00020 + C04494 | (${Variables:E2.7.6.5_kcat} * E2.7.6.5 * C00002 * C00044)/(${Variables:E2.7.6.5_km} + (E2.7.6.5 * C00002 * C00044))</v>
      </c>
    </row>
    <row r="348" spans="1:11" ht="14">
      <c r="A348" s="50" t="s">
        <v>6746</v>
      </c>
      <c r="B348" s="50" t="s">
        <v>6747</v>
      </c>
      <c r="C348" s="56" t="s">
        <v>14187</v>
      </c>
      <c r="D348" s="50">
        <v>439</v>
      </c>
      <c r="E348" s="50" t="str">
        <f t="shared" si="5"/>
        <v>E2.7.7.12</v>
      </c>
      <c r="F348" s="97" t="s">
        <v>14188</v>
      </c>
      <c r="G348" s="97" t="s">
        <v>14189</v>
      </c>
      <c r="H348" s="97" t="s">
        <v>14190</v>
      </c>
      <c r="I348" s="97" t="s">
        <v>14191</v>
      </c>
      <c r="J348" s="50" t="str">
        <f t="shared" si="3"/>
        <v>(${Variables:E2.7.7.12_kcat} * E2.7.7.12 * C00029 * C00446)/(${Variables:E2.7.7.12_km} + (E2.7.7.12 * C00029 * C00446))</v>
      </c>
      <c r="K348" s="98" t="str">
        <f t="shared" si="4"/>
        <v>r439: C00029 + C00446 -&gt; C00103 + C00052 | (${Variables:E2.7.7.12_kcat} * E2.7.7.12 * C00029 * C00446)/(${Variables:E2.7.7.12_km} + (E2.7.7.12 * C00029 * C00446))</v>
      </c>
    </row>
    <row r="349" spans="1:11" ht="14">
      <c r="A349" s="50" t="s">
        <v>2132</v>
      </c>
      <c r="B349" s="50" t="s">
        <v>2133</v>
      </c>
      <c r="C349" s="56" t="s">
        <v>14192</v>
      </c>
      <c r="D349" s="50">
        <v>440</v>
      </c>
      <c r="E349" s="50" t="str">
        <f t="shared" si="5"/>
        <v>E2.7.7.18</v>
      </c>
      <c r="F349" s="97" t="s">
        <v>14193</v>
      </c>
      <c r="G349" s="97" t="s">
        <v>14194</v>
      </c>
      <c r="H349" s="97" t="s">
        <v>14195</v>
      </c>
      <c r="I349" s="97" t="s">
        <v>14196</v>
      </c>
      <c r="J349" s="50" t="str">
        <f t="shared" si="3"/>
        <v>(${Variables:E2.7.7.18_kcat} * E2.7.7.18 * C00002 * C00455)/(${Variables:E2.7.7.18_km} + (E2.7.7.18 * C00002 * C00455))</v>
      </c>
      <c r="K349" s="98" t="str">
        <f t="shared" si="4"/>
        <v>r440: C00002 + C00455 -&gt; C00013 + C00003 | (${Variables:E2.7.7.18_kcat} * E2.7.7.18 * C00002 * C00455)/(${Variables:E2.7.7.18_km} + (E2.7.7.18 * C00002 * C00455))</v>
      </c>
    </row>
    <row r="350" spans="1:11" ht="14">
      <c r="A350" s="50" t="s">
        <v>2132</v>
      </c>
      <c r="B350" s="50" t="s">
        <v>2133</v>
      </c>
      <c r="C350" s="56" t="s">
        <v>14197</v>
      </c>
      <c r="D350" s="50">
        <v>441</v>
      </c>
      <c r="E350" s="50" t="str">
        <f t="shared" si="5"/>
        <v>E2.7.7.18</v>
      </c>
      <c r="F350" s="97" t="s">
        <v>14198</v>
      </c>
      <c r="G350" s="97" t="s">
        <v>14199</v>
      </c>
      <c r="H350" s="97" t="s">
        <v>14200</v>
      </c>
      <c r="I350" s="97" t="s">
        <v>14201</v>
      </c>
      <c r="J350" s="50" t="str">
        <f t="shared" si="3"/>
        <v>(${Variables:E2.7.7.18_kcat} * E2.7.7.18 * C00002 * C01185)/(${Variables:E2.7.7.18_km} + (E2.7.7.18 * C00002 * C01185))</v>
      </c>
      <c r="K350" s="98" t="str">
        <f t="shared" si="4"/>
        <v>r441: C00002 + C01185 -&gt; C00013 + C00857 | (${Variables:E2.7.7.18_kcat} * E2.7.7.18 * C00002 * C01185)/(${Variables:E2.7.7.18_km} + (E2.7.7.18 * C00002 * C01185))</v>
      </c>
    </row>
    <row r="351" spans="1:11" ht="14">
      <c r="A351" s="50" t="s">
        <v>1751</v>
      </c>
      <c r="B351" s="50" t="s">
        <v>1752</v>
      </c>
      <c r="C351" s="57" t="s">
        <v>8288</v>
      </c>
      <c r="D351" s="50">
        <v>442</v>
      </c>
      <c r="E351" s="50" t="str">
        <f t="shared" si="5"/>
        <v>E2.7.7.2</v>
      </c>
      <c r="F351" s="97" t="s">
        <v>14202</v>
      </c>
      <c r="G351" s="97" t="s">
        <v>14203</v>
      </c>
      <c r="H351" s="97" t="s">
        <v>14204</v>
      </c>
      <c r="I351" s="97" t="s">
        <v>14205</v>
      </c>
      <c r="J351" s="50" t="str">
        <f t="shared" si="3"/>
        <v>(${Variables:E2.7.7.2_kcat} * E2.7.7.2 * C00002 * C00061)/(${Variables:E2.7.7.2_km} + (E2.7.7.2 * C00002 * C00061))</v>
      </c>
      <c r="K351" s="98" t="str">
        <f t="shared" si="4"/>
        <v>r442: C00002 + C00061 -&gt; C00013 + C00016 | (${Variables:E2.7.7.2_kcat} * E2.7.7.2 * C00002 * C00061)/(${Variables:E2.7.7.2_km} + (E2.7.7.2 * C00002 * C00061))</v>
      </c>
    </row>
    <row r="352" spans="1:11" ht="14">
      <c r="A352" s="50" t="s">
        <v>5955</v>
      </c>
      <c r="B352" s="50" t="s">
        <v>5956</v>
      </c>
      <c r="C352" s="57" t="s">
        <v>8289</v>
      </c>
      <c r="D352" s="50">
        <v>443</v>
      </c>
      <c r="E352" s="50" t="str">
        <f t="shared" si="5"/>
        <v>E2.7.7.23</v>
      </c>
      <c r="F352" s="97" t="s">
        <v>14206</v>
      </c>
      <c r="G352" s="97" t="s">
        <v>14207</v>
      </c>
      <c r="H352" s="97" t="s">
        <v>14208</v>
      </c>
      <c r="I352" s="97" t="s">
        <v>14209</v>
      </c>
      <c r="J352" s="50" t="str">
        <f t="shared" si="3"/>
        <v>(${Variables:E2.7.7.23_kcat} * E2.7.7.23 * C00075 * C04501)/(${Variables:E2.7.7.23_km} + (E2.7.7.23 * C00075 * C04501))</v>
      </c>
      <c r="K352" s="98" t="str">
        <f t="shared" si="4"/>
        <v>r443: C00075 + C04501 -&gt; C00013 + C00043 | (${Variables:E2.7.7.23_kcat} * E2.7.7.23 * C00075 * C04501)/(${Variables:E2.7.7.23_km} + (E2.7.7.23 * C00075 * C04501))</v>
      </c>
    </row>
    <row r="353" spans="1:11" ht="14">
      <c r="A353" s="50" t="s">
        <v>2908</v>
      </c>
      <c r="B353" s="50" t="s">
        <v>2909</v>
      </c>
      <c r="C353" s="56" t="s">
        <v>14210</v>
      </c>
      <c r="D353" s="50">
        <v>444</v>
      </c>
      <c r="E353" s="50" t="str">
        <f t="shared" si="5"/>
        <v>E2.7.7.27</v>
      </c>
      <c r="F353" s="97" t="s">
        <v>14211</v>
      </c>
      <c r="G353" s="97" t="s">
        <v>14212</v>
      </c>
      <c r="H353" s="97" t="s">
        <v>14213</v>
      </c>
      <c r="I353" s="97" t="s">
        <v>14214</v>
      </c>
      <c r="J353" s="50" t="str">
        <f t="shared" si="3"/>
        <v>(${Variables:E2.7.7.27_kcat} * E2.7.7.27 * C00002 * C00103)/(${Variables:E2.7.7.27_km} + (E2.7.7.27 * C00002 * C00103))</v>
      </c>
      <c r="K353" s="98" t="str">
        <f t="shared" si="4"/>
        <v>r444: C00002 + C00103 -&gt; C00013 + C00498 | (${Variables:E2.7.7.27_kcat} * E2.7.7.27 * C00002 * C00103)/(${Variables:E2.7.7.27_km} + (E2.7.7.27 * C00002 * C00103))</v>
      </c>
    </row>
    <row r="354" spans="1:11" ht="14">
      <c r="A354" s="50" t="s">
        <v>1026</v>
      </c>
      <c r="B354" s="50" t="s">
        <v>1027</v>
      </c>
      <c r="C354" s="56" t="s">
        <v>14215</v>
      </c>
      <c r="D354" s="50">
        <v>446</v>
      </c>
      <c r="E354" s="50" t="str">
        <f t="shared" si="5"/>
        <v>E2.7.7.3</v>
      </c>
      <c r="F354" s="97" t="s">
        <v>14216</v>
      </c>
      <c r="G354" s="97" t="s">
        <v>14217</v>
      </c>
      <c r="H354" s="97" t="s">
        <v>14218</v>
      </c>
      <c r="I354" s="97" t="s">
        <v>14219</v>
      </c>
      <c r="J354" s="50" t="str">
        <f t="shared" si="3"/>
        <v>(${Variables:E2.7.7.3_kcat} * E2.7.7.3 * C00002 * C01134)/(${Variables:E2.7.7.3_km} + (E2.7.7.3 * C00002 * C01134))</v>
      </c>
      <c r="K354" s="98" t="str">
        <f t="shared" si="4"/>
        <v>r446: C00002 + C01134 -&gt; C00013 + C00882 | (${Variables:E2.7.7.3_kcat} * E2.7.7.3 * C00002 * C01134)/(${Variables:E2.7.7.3_km} + (E2.7.7.3 * C00002 * C01134))</v>
      </c>
    </row>
    <row r="355" spans="1:11" ht="14">
      <c r="A355" s="50" t="s">
        <v>570</v>
      </c>
      <c r="B355" s="50" t="s">
        <v>571</v>
      </c>
      <c r="C355" s="56" t="s">
        <v>14220</v>
      </c>
      <c r="D355" s="50">
        <v>447</v>
      </c>
      <c r="E355" s="50" t="str">
        <f t="shared" si="5"/>
        <v>E2.7.7.6</v>
      </c>
      <c r="F355" s="97" t="s">
        <v>14221</v>
      </c>
      <c r="G355" s="97" t="s">
        <v>14222</v>
      </c>
      <c r="H355" s="97" t="s">
        <v>14223</v>
      </c>
      <c r="I355" s="97" t="s">
        <v>14224</v>
      </c>
      <c r="J355" s="50" t="str">
        <f t="shared" si="3"/>
        <v>(${Variables:E2.7.7.6_kcat} * E2.7.7.6 * C00002 * C00046)/(${Variables:E2.7.7.6_km} + (E2.7.7.6 * C00002 * C00046))</v>
      </c>
      <c r="K355" s="98" t="str">
        <f t="shared" si="4"/>
        <v>r447: C00002 + C00046 -&gt; C00013 + C00046 | (${Variables:E2.7.7.6_kcat} * E2.7.7.6 * C00002 * C00046)/(${Variables:E2.7.7.6_km} + (E2.7.7.6 * C00002 * C00046))</v>
      </c>
    </row>
    <row r="356" spans="1:11" ht="14">
      <c r="A356" s="50" t="s">
        <v>570</v>
      </c>
      <c r="B356" s="50" t="s">
        <v>571</v>
      </c>
      <c r="C356" s="56" t="s">
        <v>14225</v>
      </c>
      <c r="D356" s="50">
        <v>448</v>
      </c>
      <c r="E356" s="50" t="str">
        <f t="shared" si="5"/>
        <v>E2.7.7.6</v>
      </c>
      <c r="F356" s="97" t="s">
        <v>14226</v>
      </c>
      <c r="G356" s="97" t="s">
        <v>14227</v>
      </c>
      <c r="H356" s="97" t="s">
        <v>14228</v>
      </c>
      <c r="I356" s="97" t="s">
        <v>14229</v>
      </c>
      <c r="J356" s="50" t="str">
        <f t="shared" si="3"/>
        <v>(${Variables:E2.7.7.6_kcat} * E2.7.7.6 * C00044 * C00046)/(${Variables:E2.7.7.6_km} + (E2.7.7.6 * C00044 * C00046))</v>
      </c>
      <c r="K356" s="98" t="str">
        <f t="shared" si="4"/>
        <v>r448: C00044 + C00046 -&gt; C00013 + C00046 | (${Variables:E2.7.7.6_kcat} * E2.7.7.6 * C00044 * C00046)/(${Variables:E2.7.7.6_km} + (E2.7.7.6 * C00044 * C00046))</v>
      </c>
    </row>
    <row r="357" spans="1:11" ht="14">
      <c r="A357" s="50" t="s">
        <v>570</v>
      </c>
      <c r="B357" s="50" t="s">
        <v>571</v>
      </c>
      <c r="C357" s="56" t="s">
        <v>14230</v>
      </c>
      <c r="D357" s="50">
        <v>449</v>
      </c>
      <c r="E357" s="50" t="str">
        <f t="shared" si="5"/>
        <v>E2.7.7.6</v>
      </c>
      <c r="F357" s="97" t="s">
        <v>14231</v>
      </c>
      <c r="G357" s="97" t="s">
        <v>14232</v>
      </c>
      <c r="H357" s="97" t="s">
        <v>14233</v>
      </c>
      <c r="I357" s="97" t="s">
        <v>14234</v>
      </c>
      <c r="J357" s="50" t="str">
        <f t="shared" si="3"/>
        <v>(${Variables:E2.7.7.6_kcat} * E2.7.7.6 * C00063 * C00046)/(${Variables:E2.7.7.6_km} + (E2.7.7.6 * C00063 * C00046))</v>
      </c>
      <c r="K357" s="98" t="str">
        <f t="shared" si="4"/>
        <v>r449: C00063 + C00046 -&gt; C00013 + C00046 | (${Variables:E2.7.7.6_kcat} * E2.7.7.6 * C00063 * C00046)/(${Variables:E2.7.7.6_km} + (E2.7.7.6 * C00063 * C00046))</v>
      </c>
    </row>
    <row r="358" spans="1:11" ht="14">
      <c r="A358" s="50" t="s">
        <v>570</v>
      </c>
      <c r="B358" s="50" t="s">
        <v>571</v>
      </c>
      <c r="C358" s="56" t="s">
        <v>14235</v>
      </c>
      <c r="D358" s="50">
        <v>450</v>
      </c>
      <c r="E358" s="50" t="str">
        <f t="shared" si="5"/>
        <v>E2.7.7.6</v>
      </c>
      <c r="F358" s="97" t="s">
        <v>14236</v>
      </c>
      <c r="G358" s="97" t="s">
        <v>14237</v>
      </c>
      <c r="H358" s="97" t="s">
        <v>14238</v>
      </c>
      <c r="I358" s="97" t="s">
        <v>14239</v>
      </c>
      <c r="J358" s="50" t="str">
        <f t="shared" si="3"/>
        <v>(${Variables:E2.7.7.6_kcat} * E2.7.7.6 * C00075 * C00046)/(${Variables:E2.7.7.6_km} + (E2.7.7.6 * C00075 * C00046))</v>
      </c>
      <c r="K358" s="98" t="str">
        <f t="shared" si="4"/>
        <v>r450: C00075 + C00046 -&gt; C00013 + C00046 | (${Variables:E2.7.7.6_kcat} * E2.7.7.6 * C00075 * C00046)/(${Variables:E2.7.7.6_km} + (E2.7.7.6 * C00075 * C00046))</v>
      </c>
    </row>
    <row r="359" spans="1:11" ht="14">
      <c r="A359" s="50" t="s">
        <v>570</v>
      </c>
      <c r="B359" s="50" t="s">
        <v>571</v>
      </c>
      <c r="C359" s="56" t="s">
        <v>14240</v>
      </c>
      <c r="D359" s="50">
        <v>451</v>
      </c>
      <c r="E359" s="50" t="str">
        <f t="shared" si="5"/>
        <v>E2.7.7.6</v>
      </c>
      <c r="F359" s="97" t="s">
        <v>14241</v>
      </c>
      <c r="G359" s="97" t="s">
        <v>14242</v>
      </c>
      <c r="H359" s="97" t="s">
        <v>14243</v>
      </c>
      <c r="I359" s="97" t="s">
        <v>14244</v>
      </c>
      <c r="J359" s="50" t="str">
        <f t="shared" si="3"/>
        <v>(${Variables:E2.7.7.6_kcat} * E2.7.7.6 * C00201 * C00046)/(${Variables:E2.7.7.6_km} + (E2.7.7.6 * C00201 * C00046))</v>
      </c>
      <c r="K359" s="98" t="str">
        <f t="shared" si="4"/>
        <v>r451: C00201 + C00046 -&gt; C00013 + C00046 | (${Variables:E2.7.7.6_kcat} * E2.7.7.6 * C00201 * C00046)/(${Variables:E2.7.7.6_km} + (E2.7.7.6 * C00201 * C00046))</v>
      </c>
    </row>
    <row r="360" spans="1:11" ht="14">
      <c r="A360" s="50" t="s">
        <v>570</v>
      </c>
      <c r="B360" s="50" t="s">
        <v>571</v>
      </c>
      <c r="C360" s="56" t="s">
        <v>14245</v>
      </c>
      <c r="D360" s="50">
        <v>452</v>
      </c>
      <c r="E360" s="50" t="str">
        <f t="shared" si="5"/>
        <v>E2.7.7.6</v>
      </c>
      <c r="F360" s="108" t="s">
        <v>11217</v>
      </c>
      <c r="G360" s="108" t="s">
        <v>11217</v>
      </c>
      <c r="H360" s="97" t="s">
        <v>17428</v>
      </c>
      <c r="I360" s="97" t="s">
        <v>17429</v>
      </c>
      <c r="J360" s="50" t="str">
        <f t="shared" si="3"/>
        <v>(${Variables:E2.7.7.6_kcat} * E2.7.7.6 * C00201)/(${Variables:E2.7.7.6_km} + (E2.7.7.6 * C00201))</v>
      </c>
      <c r="K360" s="98" t="str">
        <f t="shared" si="4"/>
        <v>r452: C00201 -&gt; C20864 +  C00013 | (${Variables:E2.7.7.6_kcat} * E2.7.7.6 * C00201)/(${Variables:E2.7.7.6_km} + (E2.7.7.6 * C00201))</v>
      </c>
    </row>
    <row r="361" spans="1:11" ht="14">
      <c r="A361" s="50" t="s">
        <v>2610</v>
      </c>
      <c r="B361" s="50" t="s">
        <v>2611</v>
      </c>
      <c r="C361" s="56" t="s">
        <v>14246</v>
      </c>
      <c r="D361" s="50">
        <v>489</v>
      </c>
      <c r="E361" s="50" t="str">
        <f t="shared" si="5"/>
        <v>E2.7.7.61</v>
      </c>
      <c r="F361" s="97" t="s">
        <v>14247</v>
      </c>
      <c r="G361" s="97" t="s">
        <v>14248</v>
      </c>
      <c r="H361" s="97" t="s">
        <v>14249</v>
      </c>
      <c r="I361" s="97" t="s">
        <v>14250</v>
      </c>
      <c r="J361" s="50" t="str">
        <f t="shared" si="3"/>
        <v>(${Variables:E2.7.7.61_kcat} * E2.7.7.61 * C19771 * C03688)/(${Variables:E2.7.7.61_km} + (E2.7.7.61 * C19771 * C03688))</v>
      </c>
      <c r="K361" s="98" t="str">
        <f t="shared" si="4"/>
        <v>r489: C19771 + C03688 -&gt; C00229 + C00013 | (${Variables:E2.7.7.61_kcat} * E2.7.7.61 * C19771 * C03688)/(${Variables:E2.7.7.61_km} + (E2.7.7.61 * C19771 * C03688))</v>
      </c>
    </row>
    <row r="362" spans="1:11" ht="14">
      <c r="A362" s="50" t="s">
        <v>1037</v>
      </c>
      <c r="B362" s="50" t="s">
        <v>1038</v>
      </c>
      <c r="C362" s="56" t="s">
        <v>14251</v>
      </c>
      <c r="D362" s="50">
        <v>490</v>
      </c>
      <c r="E362" s="50" t="str">
        <f t="shared" si="5"/>
        <v>E2.7.7.7</v>
      </c>
      <c r="F362" s="97" t="s">
        <v>14252</v>
      </c>
      <c r="G362" s="97" t="s">
        <v>14253</v>
      </c>
      <c r="H362" s="97" t="s">
        <v>14254</v>
      </c>
      <c r="I362" s="97" t="s">
        <v>14255</v>
      </c>
      <c r="J362" s="50" t="str">
        <f t="shared" si="3"/>
        <v>(${Variables:E2.7.7.7_kcat} * E2.7.7.7 * C00131 * C00039)/(${Variables:E2.7.7.7_km} + (E2.7.7.7 * C00131 * C00039))</v>
      </c>
      <c r="K362" s="98" t="str">
        <f t="shared" si="4"/>
        <v>r490: C00131 + C00039 -&gt; C00013 + C00039 | (${Variables:E2.7.7.7_kcat} * E2.7.7.7 * C00131 * C00039)/(${Variables:E2.7.7.7_km} + (E2.7.7.7 * C00131 * C00039))</v>
      </c>
    </row>
    <row r="363" spans="1:11" ht="14">
      <c r="A363" s="50" t="s">
        <v>1037</v>
      </c>
      <c r="B363" s="50" t="s">
        <v>1038</v>
      </c>
      <c r="C363" s="56" t="s">
        <v>14256</v>
      </c>
      <c r="D363" s="50">
        <v>491</v>
      </c>
      <c r="E363" s="50" t="str">
        <f t="shared" si="5"/>
        <v>E2.7.7.7</v>
      </c>
      <c r="F363" s="97" t="s">
        <v>14257</v>
      </c>
      <c r="G363" s="97" t="s">
        <v>14258</v>
      </c>
      <c r="H363" s="97" t="s">
        <v>14259</v>
      </c>
      <c r="I363" s="97" t="s">
        <v>14260</v>
      </c>
      <c r="J363" s="50" t="str">
        <f t="shared" si="3"/>
        <v>(${Variables:E2.7.7.7_kcat} * E2.7.7.7 * C00286 * C00039)/(${Variables:E2.7.7.7_km} + (E2.7.7.7 * C00286 * C00039))</v>
      </c>
      <c r="K363" s="98" t="str">
        <f t="shared" si="4"/>
        <v>r491: C00286 + C00039 -&gt; C00013 + C00039 | (${Variables:E2.7.7.7_kcat} * E2.7.7.7 * C00286 * C00039)/(${Variables:E2.7.7.7_km} + (E2.7.7.7 * C00286 * C00039))</v>
      </c>
    </row>
    <row r="364" spans="1:11" ht="14">
      <c r="A364" s="50" t="s">
        <v>1037</v>
      </c>
      <c r="B364" s="50" t="s">
        <v>1038</v>
      </c>
      <c r="C364" s="56" t="s">
        <v>14261</v>
      </c>
      <c r="D364" s="50">
        <v>492</v>
      </c>
      <c r="E364" s="50" t="str">
        <f t="shared" si="5"/>
        <v>E2.7.7.7</v>
      </c>
      <c r="F364" s="97" t="s">
        <v>14262</v>
      </c>
      <c r="G364" s="97" t="s">
        <v>14263</v>
      </c>
      <c r="H364" s="97" t="s">
        <v>14264</v>
      </c>
      <c r="I364" s="97" t="s">
        <v>14265</v>
      </c>
      <c r="J364" s="50" t="str">
        <f t="shared" si="3"/>
        <v>(${Variables:E2.7.7.7_kcat} * E2.7.7.7 * C00458 * C00039)/(${Variables:E2.7.7.7_km} + (E2.7.7.7 * C00458 * C00039))</v>
      </c>
      <c r="K364" s="98" t="str">
        <f t="shared" si="4"/>
        <v>r492: C00458 + C00039 -&gt; C00013 + C00039 | (${Variables:E2.7.7.7_kcat} * E2.7.7.7 * C00458 * C00039)/(${Variables:E2.7.7.7_km} + (E2.7.7.7 * C00458 * C00039))</v>
      </c>
    </row>
    <row r="365" spans="1:11" ht="14">
      <c r="A365" s="50" t="s">
        <v>1037</v>
      </c>
      <c r="B365" s="50" t="s">
        <v>1038</v>
      </c>
      <c r="C365" s="56" t="s">
        <v>14266</v>
      </c>
      <c r="D365" s="50">
        <v>493</v>
      </c>
      <c r="E365" s="50" t="str">
        <f t="shared" si="5"/>
        <v>E2.7.7.7</v>
      </c>
      <c r="F365" s="97" t="s">
        <v>14267</v>
      </c>
      <c r="G365" s="97" t="s">
        <v>14268</v>
      </c>
      <c r="H365" s="97" t="s">
        <v>14269</v>
      </c>
      <c r="I365" s="97" t="s">
        <v>14270</v>
      </c>
      <c r="J365" s="50" t="str">
        <f t="shared" si="3"/>
        <v>(${Variables:E2.7.7.7_kcat} * E2.7.7.7 * C00459 * C00039)/(${Variables:E2.7.7.7_km} + (E2.7.7.7 * C00459 * C00039))</v>
      </c>
      <c r="K365" s="98" t="str">
        <f t="shared" si="4"/>
        <v>r493: C00459 + C00039 -&gt; C00013 + C00039 | (${Variables:E2.7.7.7_kcat} * E2.7.7.7 * C00459 * C00039)/(${Variables:E2.7.7.7_km} + (E2.7.7.7 * C00459 * C00039))</v>
      </c>
    </row>
    <row r="366" spans="1:11" ht="14">
      <c r="A366" s="50" t="s">
        <v>1037</v>
      </c>
      <c r="B366" s="50" t="s">
        <v>1038</v>
      </c>
      <c r="C366" s="56" t="s">
        <v>14271</v>
      </c>
      <c r="D366" s="50">
        <v>494</v>
      </c>
      <c r="E366" s="50" t="str">
        <f t="shared" si="5"/>
        <v>E2.7.7.7</v>
      </c>
      <c r="F366" s="97" t="s">
        <v>17415</v>
      </c>
      <c r="G366" s="97" t="s">
        <v>17416</v>
      </c>
      <c r="H366" s="97" t="s">
        <v>17424</v>
      </c>
      <c r="I366" s="97" t="s">
        <v>17433</v>
      </c>
      <c r="J366" s="50" t="str">
        <f t="shared" si="3"/>
        <v>(${Variables:E2.7.7.7_kcat} * E2.7.7.7 * C00677 * C00039)/(${Variables:E2.7.7.7_km} + (E2.7.7.7 * C00677 * C00039))</v>
      </c>
      <c r="K366" s="98" t="str">
        <f t="shared" si="4"/>
        <v>r494: C00677 + C00039 -&gt; C00013 + C00039 | (${Variables:E2.7.7.7_kcat} * E2.7.7.7 * C00677 * C00039)/(${Variables:E2.7.7.7_km} + (E2.7.7.7 * C00677 * C00039))</v>
      </c>
    </row>
    <row r="367" spans="1:11" ht="12.5">
      <c r="A367" s="50" t="s">
        <v>1037</v>
      </c>
      <c r="B367" s="50" t="s">
        <v>1038</v>
      </c>
      <c r="C367" s="56" t="s">
        <v>14272</v>
      </c>
      <c r="D367" s="50">
        <v>495</v>
      </c>
      <c r="E367" s="50" t="str">
        <f t="shared" si="5"/>
        <v>E2.7.7.7</v>
      </c>
      <c r="F367" s="102" t="s">
        <v>14273</v>
      </c>
      <c r="G367" s="102" t="s">
        <v>14274</v>
      </c>
      <c r="H367" s="102" t="s">
        <v>14275</v>
      </c>
      <c r="I367" s="102" t="s">
        <v>14276</v>
      </c>
      <c r="J367" s="50" t="str">
        <f t="shared" si="3"/>
        <v>(${Variables:E2.7.7.7_kcat} * E2.7.7.7 * C11039)/(${Variables:E2.7.7.7_km} + (E2.7.7.7 * C11039))</v>
      </c>
      <c r="K367" s="98" t="str">
        <f t="shared" si="4"/>
        <v>r495: C11039 -&gt; C21031 | (${Variables:E2.7.7.7_kcat} * E2.7.7.7 * C11039)/(${Variables:E2.7.7.7_km} + (E2.7.7.7 * C11039))</v>
      </c>
    </row>
    <row r="368" spans="1:11" ht="14">
      <c r="A368" s="50" t="s">
        <v>1203</v>
      </c>
      <c r="B368" s="50" t="s">
        <v>1204</v>
      </c>
      <c r="C368" s="56" t="s">
        <v>14277</v>
      </c>
      <c r="D368" s="50">
        <v>538</v>
      </c>
      <c r="E368" s="50" t="str">
        <f t="shared" si="5"/>
        <v>E2.7.7.72</v>
      </c>
      <c r="F368" s="97" t="s">
        <v>17391</v>
      </c>
      <c r="G368" s="97" t="s">
        <v>17392</v>
      </c>
      <c r="H368" s="97" t="s">
        <v>17407</v>
      </c>
      <c r="I368" s="97" t="s">
        <v>17408</v>
      </c>
      <c r="J368" s="50" t="str">
        <f t="shared" si="3"/>
        <v>(${Variables:E2.7.7.72_kcat} * E2.7.7.72 * C02211 * C00063 * C00002)/(${Variables:E2.7.7.72_km} + (E2.7.7.72 * C02211 * C00063 * C00002))</v>
      </c>
      <c r="K368" s="98" t="str">
        <f t="shared" si="4"/>
        <v>r538: C02211 + C00063 + C00002 -&gt; C19085 + C00013 | (${Variables:E2.7.7.72_kcat} * E2.7.7.72 * C02211 * C00063 * C00002)/(${Variables:E2.7.7.72_km} + (E2.7.7.72 * C02211 * C00063 * C00002))</v>
      </c>
    </row>
    <row r="369" spans="1:11" ht="14">
      <c r="A369" s="50" t="s">
        <v>1203</v>
      </c>
      <c r="B369" s="50" t="s">
        <v>1204</v>
      </c>
      <c r="C369" s="56" t="s">
        <v>14278</v>
      </c>
      <c r="D369" s="50">
        <v>539</v>
      </c>
      <c r="E369" s="50" t="str">
        <f t="shared" si="5"/>
        <v>E2.7.7.72</v>
      </c>
      <c r="F369" s="97" t="s">
        <v>14279</v>
      </c>
      <c r="G369" s="97" t="s">
        <v>14280</v>
      </c>
      <c r="H369" s="97" t="s">
        <v>14281</v>
      </c>
      <c r="I369" s="97" t="s">
        <v>14282</v>
      </c>
      <c r="J369" s="50" t="str">
        <f t="shared" si="3"/>
        <v>(${Variables:E2.7.7.72_kcat} * E2.7.7.72 * C02211 * C00063)/(${Variables:E2.7.7.72_km} + (E2.7.7.72 * C02211 * C00063))</v>
      </c>
      <c r="K369" s="98" t="str">
        <f t="shared" si="4"/>
        <v>r539: C02211 + C00063 -&gt; C19078 + C00013 | (${Variables:E2.7.7.72_kcat} * E2.7.7.72 * C02211 * C00063)/(${Variables:E2.7.7.72_km} + (E2.7.7.72 * C02211 * C00063))</v>
      </c>
    </row>
    <row r="370" spans="1:11" ht="14">
      <c r="A370" s="50" t="s">
        <v>1203</v>
      </c>
      <c r="B370" s="50" t="s">
        <v>1204</v>
      </c>
      <c r="C370" s="56" t="s">
        <v>14283</v>
      </c>
      <c r="D370" s="50">
        <v>540</v>
      </c>
      <c r="E370" s="50" t="str">
        <f t="shared" si="5"/>
        <v>E2.7.7.72</v>
      </c>
      <c r="F370" s="97" t="s">
        <v>14284</v>
      </c>
      <c r="G370" s="97" t="s">
        <v>14285</v>
      </c>
      <c r="H370" s="97" t="s">
        <v>14286</v>
      </c>
      <c r="I370" s="97" t="s">
        <v>14287</v>
      </c>
      <c r="J370" s="50" t="str">
        <f t="shared" si="3"/>
        <v>(${Variables:E2.7.7.72_kcat} * E2.7.7.72 * C19078 * C00063)/(${Variables:E2.7.7.72_km} + (E2.7.7.72 * C19078 * C00063))</v>
      </c>
      <c r="K370" s="98" t="str">
        <f t="shared" si="4"/>
        <v>r540: C19078 + C00063 -&gt; C19080 + C00013 | (${Variables:E2.7.7.72_kcat} * E2.7.7.72 * C19078 * C00063)/(${Variables:E2.7.7.72_km} + (E2.7.7.72 * C19078 * C00063))</v>
      </c>
    </row>
    <row r="371" spans="1:11" ht="14">
      <c r="A371" s="50" t="s">
        <v>1203</v>
      </c>
      <c r="B371" s="50" t="s">
        <v>1204</v>
      </c>
      <c r="C371" s="56" t="s">
        <v>14288</v>
      </c>
      <c r="D371" s="50">
        <v>541</v>
      </c>
      <c r="E371" s="50" t="str">
        <f t="shared" si="5"/>
        <v>E2.7.7.72</v>
      </c>
      <c r="F371" s="97" t="s">
        <v>14289</v>
      </c>
      <c r="G371" s="97" t="s">
        <v>14290</v>
      </c>
      <c r="H371" s="97" t="s">
        <v>14291</v>
      </c>
      <c r="I371" s="97" t="s">
        <v>14292</v>
      </c>
      <c r="J371" s="50" t="str">
        <f t="shared" si="3"/>
        <v>(${Variables:E2.7.7.72_kcat} * E2.7.7.72 * C19080 * C00002)/(${Variables:E2.7.7.72_km} + (E2.7.7.72 * C19080 * C00002))</v>
      </c>
      <c r="K371" s="98" t="str">
        <f t="shared" si="4"/>
        <v>r541: C19080 + C00002 -&gt; C19085 + C00013 | (${Variables:E2.7.7.72_kcat} * E2.7.7.72 * C19080 * C00002)/(${Variables:E2.7.7.72_km} + (E2.7.7.72 * C19080 * C00002))</v>
      </c>
    </row>
    <row r="372" spans="1:11" ht="14">
      <c r="A372" s="50" t="s">
        <v>120</v>
      </c>
      <c r="B372" s="50" t="s">
        <v>121</v>
      </c>
      <c r="C372" s="55" t="s">
        <v>8290</v>
      </c>
      <c r="D372" s="50">
        <v>542</v>
      </c>
      <c r="E372" s="50" t="str">
        <f t="shared" si="5"/>
        <v>E2.7.7.85</v>
      </c>
      <c r="F372" s="105" t="s">
        <v>10961</v>
      </c>
      <c r="G372" s="105" t="s">
        <v>10961</v>
      </c>
      <c r="H372" s="97" t="s">
        <v>17393</v>
      </c>
      <c r="I372" s="97" t="s">
        <v>17394</v>
      </c>
      <c r="J372" s="50" t="str">
        <f t="shared" si="3"/>
        <v>(${Variables:E2.7.7.85_kcat} * E2.7.7.85 * C00002)/(${Variables:E2.7.7.85_km} + (E2.7.7.85 * C00002))</v>
      </c>
      <c r="K372" s="98" t="str">
        <f t="shared" si="4"/>
        <v>r542: C00002 -&gt; C00013 + C20565 | (${Variables:E2.7.7.85_kcat} * E2.7.7.85 * C00002)/(${Variables:E2.7.7.85_km} + (E2.7.7.85 * C00002))</v>
      </c>
    </row>
    <row r="373" spans="1:11" ht="14">
      <c r="A373" s="50" t="s">
        <v>523</v>
      </c>
      <c r="B373" s="50" t="s">
        <v>524</v>
      </c>
      <c r="C373" s="56" t="s">
        <v>14293</v>
      </c>
      <c r="D373" s="50">
        <v>543</v>
      </c>
      <c r="E373" s="50" t="str">
        <f t="shared" si="5"/>
        <v>E2.7.7.87</v>
      </c>
      <c r="F373" s="97" t="s">
        <v>14294</v>
      </c>
      <c r="G373" s="97" t="s">
        <v>14295</v>
      </c>
      <c r="H373" s="97" t="s">
        <v>14296</v>
      </c>
      <c r="I373" s="97" t="s">
        <v>14297</v>
      </c>
      <c r="J373" s="50" t="str">
        <f t="shared" si="3"/>
        <v>(${Variables:E2.7.7.87_kcat} * E2.7.7.87 * C00188 * C00002 * C00288 * C00080)/(${Variables:E2.7.7.87_km} + (E2.7.7.87 * C00188 * C00002 * C00288 * C00080))</v>
      </c>
      <c r="K373" s="98" t="str">
        <f t="shared" si="4"/>
        <v>r543: C00188 + C00002 + C00288 + C00080 -&gt; C20641 + C00013 + C00001 | (${Variables:E2.7.7.87_kcat} * E2.7.7.87 * C00188 * C00002 * C00288 * C00080)/(${Variables:E2.7.7.87_km} + (E2.7.7.87 * C00188 * C00002 * C00288 * C00080))</v>
      </c>
    </row>
    <row r="374" spans="1:11" ht="14">
      <c r="A374" s="50" t="s">
        <v>341</v>
      </c>
      <c r="B374" s="50" t="s">
        <v>342</v>
      </c>
      <c r="C374" s="56" t="s">
        <v>14298</v>
      </c>
      <c r="D374" s="50">
        <v>544</v>
      </c>
      <c r="E374" s="50" t="str">
        <f t="shared" si="5"/>
        <v>E2.7.7.9</v>
      </c>
      <c r="F374" s="97" t="s">
        <v>14299</v>
      </c>
      <c r="G374" s="97" t="s">
        <v>14300</v>
      </c>
      <c r="H374" s="97" t="s">
        <v>14301</v>
      </c>
      <c r="I374" s="97" t="s">
        <v>14302</v>
      </c>
      <c r="J374" s="50" t="str">
        <f t="shared" si="3"/>
        <v>(${Variables:E2.7.7.9_kcat} * E2.7.7.9 * C00075 * C00103)/(${Variables:E2.7.7.9_km} + (E2.7.7.9 * C00075 * C00103))</v>
      </c>
      <c r="K374" s="98" t="str">
        <f t="shared" si="4"/>
        <v>r544: C00075 + C00103 -&gt; C00013 + C00029 | (${Variables:E2.7.7.9_kcat} * E2.7.7.9 * C00075 * C00103)/(${Variables:E2.7.7.9_km} + (E2.7.7.9 * C00075 * C00103))</v>
      </c>
    </row>
    <row r="375" spans="1:11" ht="14">
      <c r="A375" s="50" t="s">
        <v>880</v>
      </c>
      <c r="B375" s="50" t="s">
        <v>881</v>
      </c>
      <c r="C375" s="56" t="s">
        <v>14303</v>
      </c>
      <c r="D375" s="50">
        <v>545</v>
      </c>
      <c r="E375" s="50" t="str">
        <f t="shared" si="5"/>
        <v>E2.7.8.13</v>
      </c>
      <c r="F375" s="97" t="s">
        <v>14304</v>
      </c>
      <c r="G375" s="97" t="s">
        <v>14305</v>
      </c>
      <c r="H375" s="97" t="s">
        <v>14306</v>
      </c>
      <c r="I375" s="97" t="s">
        <v>14307</v>
      </c>
      <c r="J375" s="50" t="str">
        <f t="shared" si="3"/>
        <v>(${Variables:E2.7.8.13_kcat} * E2.7.8.13 * C04702 * C17556)/(${Variables:E2.7.8.13_km} + (E2.7.8.13 * C04702 * C17556))</v>
      </c>
      <c r="K375" s="98" t="str">
        <f t="shared" si="4"/>
        <v>r545: C04702 + C17556 -&gt; C00105 + C04851 | (${Variables:E2.7.8.13_kcat} * E2.7.8.13 * C04702 * C17556)/(${Variables:E2.7.8.13_km} + (E2.7.8.13 * C04702 * C17556))</v>
      </c>
    </row>
    <row r="376" spans="1:11" ht="14">
      <c r="A376" s="50" t="s">
        <v>880</v>
      </c>
      <c r="B376" s="50" t="s">
        <v>881</v>
      </c>
      <c r="C376" s="56" t="s">
        <v>14308</v>
      </c>
      <c r="D376" s="50">
        <v>546</v>
      </c>
      <c r="E376" s="50" t="str">
        <f t="shared" si="5"/>
        <v>E2.7.8.13</v>
      </c>
      <c r="F376" s="97" t="s">
        <v>14309</v>
      </c>
      <c r="G376" s="97" t="s">
        <v>14310</v>
      </c>
      <c r="H376" s="97" t="s">
        <v>14311</v>
      </c>
      <c r="I376" s="97" t="s">
        <v>14312</v>
      </c>
      <c r="J376" s="50" t="str">
        <f t="shared" si="3"/>
        <v>(${Variables:E2.7.8.13_kcat} * E2.7.8.13 * C04882 * C17556)/(${Variables:E2.7.8.13_km} + (E2.7.8.13 * C04882 * C17556))</v>
      </c>
      <c r="K376" s="98" t="str">
        <f t="shared" si="4"/>
        <v>r546: C04882 + C17556 -&gt; C00105 + C05897 | (${Variables:E2.7.8.13_kcat} * E2.7.8.13 * C04882 * C17556)/(${Variables:E2.7.8.13_km} + (E2.7.8.13 * C04882 * C17556))</v>
      </c>
    </row>
    <row r="377" spans="1:11" ht="14">
      <c r="A377" s="50" t="s">
        <v>7438</v>
      </c>
      <c r="B377" s="50" t="s">
        <v>7439</v>
      </c>
      <c r="C377" s="56" t="s">
        <v>14313</v>
      </c>
      <c r="D377" s="50">
        <v>547</v>
      </c>
      <c r="E377" s="50" t="str">
        <f t="shared" si="5"/>
        <v>E2.7.8.5</v>
      </c>
      <c r="F377" s="97" t="s">
        <v>14314</v>
      </c>
      <c r="G377" s="97" t="s">
        <v>14315</v>
      </c>
      <c r="H377" s="97" t="s">
        <v>14316</v>
      </c>
      <c r="I377" s="97" t="s">
        <v>14317</v>
      </c>
      <c r="J377" s="50" t="str">
        <f t="shared" si="3"/>
        <v>(${Variables:E2.7.8.5_kcat} * E2.7.8.5 * C00269 * C00093)/(${Variables:E2.7.8.5_km} + (E2.7.8.5 * C00269 * C00093))</v>
      </c>
      <c r="K377" s="98" t="str">
        <f t="shared" si="4"/>
        <v>r547: C00269 + C00093 -&gt; C00055 + C03892 | (${Variables:E2.7.8.5_kcat} * E2.7.8.5 * C00269 * C00093)/(${Variables:E2.7.8.5_km} + (E2.7.8.5 * C00269 * C00093))</v>
      </c>
    </row>
    <row r="378" spans="1:11" ht="14">
      <c r="A378" s="50" t="s">
        <v>6014</v>
      </c>
      <c r="B378" s="50" t="s">
        <v>6015</v>
      </c>
      <c r="C378" s="56" t="s">
        <v>14318</v>
      </c>
      <c r="D378" s="50">
        <v>548</v>
      </c>
      <c r="E378" s="50" t="str">
        <f t="shared" si="5"/>
        <v>E2.7.8.7</v>
      </c>
      <c r="F378" s="97" t="s">
        <v>14319</v>
      </c>
      <c r="G378" s="97" t="s">
        <v>14320</v>
      </c>
      <c r="H378" s="97" t="s">
        <v>14321</v>
      </c>
      <c r="I378" s="97" t="s">
        <v>14322</v>
      </c>
      <c r="J378" s="50" t="str">
        <f t="shared" si="3"/>
        <v>(${Variables:E2.7.8.7_kcat} * E2.7.8.7 * C00010 * C03688)/(${Variables:E2.7.8.7_km} + (E2.7.8.7 * C00010 * C03688))</v>
      </c>
      <c r="K378" s="98" t="str">
        <f t="shared" si="4"/>
        <v>r548: C00010 + C03688 -&gt; C00054 + C00229 | (${Variables:E2.7.8.7_kcat} * E2.7.8.7 * C00010 * C03688)/(${Variables:E2.7.8.7_km} + (E2.7.8.7 * C00010 * C03688))</v>
      </c>
    </row>
    <row r="379" spans="1:11" ht="14">
      <c r="A379" s="50" t="s">
        <v>3691</v>
      </c>
      <c r="B379" s="50" t="s">
        <v>3692</v>
      </c>
      <c r="C379" s="56" t="s">
        <v>14323</v>
      </c>
      <c r="D379" s="50">
        <v>549</v>
      </c>
      <c r="E379" s="50" t="str">
        <f t="shared" si="5"/>
        <v>E2.7.9.1</v>
      </c>
      <c r="F379" s="97" t="s">
        <v>14324</v>
      </c>
      <c r="G379" s="97" t="s">
        <v>14325</v>
      </c>
      <c r="H379" s="97" t="s">
        <v>14326</v>
      </c>
      <c r="I379" s="97" t="s">
        <v>14327</v>
      </c>
      <c r="J379" s="50" t="str">
        <f t="shared" si="3"/>
        <v>(${Variables:E2.7.9.1_kcat} * E2.7.9.1 * C00002 * C00022 * C00009)/(${Variables:E2.7.9.1_km} + (E2.7.9.1 * C00002 * C00022 * C00009))</v>
      </c>
      <c r="K379" s="98" t="str">
        <f t="shared" si="4"/>
        <v>r549: C00002 + C00022 + C00009 -&gt; C00020 + C00074 + C00013 | (${Variables:E2.7.9.1_kcat} * E2.7.9.1 * C00002 * C00022 * C00009)/(${Variables:E2.7.9.1_km} + (E2.7.9.1 * C00002 * C00022 * C00009))</v>
      </c>
    </row>
    <row r="380" spans="1:11" ht="14">
      <c r="A380" s="50" t="s">
        <v>950</v>
      </c>
      <c r="B380" s="50" t="s">
        <v>951</v>
      </c>
      <c r="C380" s="56" t="s">
        <v>14328</v>
      </c>
      <c r="D380" s="50">
        <v>550</v>
      </c>
      <c r="E380" s="50" t="str">
        <f t="shared" si="5"/>
        <v>E2.8.1.13</v>
      </c>
      <c r="F380" s="97" t="s">
        <v>14329</v>
      </c>
      <c r="G380" s="97" t="s">
        <v>14330</v>
      </c>
      <c r="H380" s="97" t="s">
        <v>14331</v>
      </c>
      <c r="I380" s="97" t="s">
        <v>14332</v>
      </c>
      <c r="J380" s="50" t="str">
        <f t="shared" si="3"/>
        <v>(${Variables:E2.8.1.13_kcat} * E2.8.1.13 * C00868 * C15812 * C00002)/(${Variables:E2.8.1.13_km} + (E2.8.1.13 * C00868 * C15812 * C00002))</v>
      </c>
      <c r="K380" s="98" t="str">
        <f t="shared" si="4"/>
        <v>r550: C00868 + C15812 + C00002 -&gt; C17322 + C15811 + C00020 + C00013 | (${Variables:E2.8.1.13_kcat} * E2.8.1.13 * C00868 * C15812 * C00002)/(${Variables:E2.8.1.13_km} + (E2.8.1.13 * C00868 * C15812 * C00002))</v>
      </c>
    </row>
    <row r="381" spans="1:11" ht="14">
      <c r="A381" s="50" t="s">
        <v>811</v>
      </c>
      <c r="B381" s="50" t="s">
        <v>812</v>
      </c>
      <c r="C381" s="56" t="s">
        <v>14333</v>
      </c>
      <c r="D381" s="50">
        <v>551</v>
      </c>
      <c r="E381" s="50" t="str">
        <f t="shared" si="5"/>
        <v>E2.8.1.4</v>
      </c>
      <c r="F381" s="97" t="s">
        <v>14334</v>
      </c>
      <c r="G381" s="97" t="s">
        <v>14335</v>
      </c>
      <c r="H381" s="97" t="s">
        <v>14336</v>
      </c>
      <c r="I381" s="97" t="s">
        <v>14337</v>
      </c>
      <c r="J381" s="50" t="str">
        <f t="shared" si="3"/>
        <v>(${Variables:E2.8.1.4_kcat} * E2.8.1.4 * C00097 * C02342)/(${Variables:E2.8.1.4_km} + (E2.8.1.4 * C00097 * C02342))</v>
      </c>
      <c r="K381" s="98" t="str">
        <f t="shared" si="4"/>
        <v>r551: C00097 + C02342 -&gt; C00065 + C04161 | (${Variables:E2.8.1.4_kcat} * E2.8.1.4 * C00097 * C02342)/(${Variables:E2.8.1.4_km} + (E2.8.1.4 * C00097 * C02342))</v>
      </c>
    </row>
    <row r="382" spans="1:11" ht="14">
      <c r="A382" s="50" t="s">
        <v>811</v>
      </c>
      <c r="B382" s="50" t="s">
        <v>812</v>
      </c>
      <c r="C382" s="56" t="s">
        <v>14338</v>
      </c>
      <c r="D382" s="50">
        <v>552</v>
      </c>
      <c r="E382" s="50" t="str">
        <f t="shared" si="5"/>
        <v>E2.8.1.4</v>
      </c>
      <c r="F382" s="97" t="s">
        <v>14339</v>
      </c>
      <c r="G382" s="97" t="s">
        <v>14340</v>
      </c>
      <c r="H382" s="97" t="s">
        <v>14341</v>
      </c>
      <c r="I382" s="97" t="s">
        <v>14342</v>
      </c>
      <c r="J382" s="50" t="str">
        <f t="shared" si="3"/>
        <v>(${Variables:E2.8.1.4_kcat} * E2.8.1.4 * C15812 * C15813 * C00030)/(${Variables:E2.8.1.4_km} + (E2.8.1.4 * C15812 * C15813 * C00030))</v>
      </c>
      <c r="K382" s="98" t="str">
        <f t="shared" si="4"/>
        <v>r552: C15812 + C15813 + C00030 -&gt; C00020 + C15814 + C15811 + C00028 | (${Variables:E2.8.1.4_kcat} * E2.8.1.4 * C15812 * C15813 * C00030)/(${Variables:E2.8.1.4_km} + (E2.8.1.4 * C15812 * C15813 * C00030))</v>
      </c>
    </row>
    <row r="383" spans="1:11" ht="14">
      <c r="A383" s="50" t="s">
        <v>2614</v>
      </c>
      <c r="B383" s="50" t="s">
        <v>2615</v>
      </c>
      <c r="C383" s="50" t="s">
        <v>8291</v>
      </c>
      <c r="D383" s="50">
        <v>553</v>
      </c>
      <c r="E383" s="50" t="str">
        <f t="shared" si="5"/>
        <v>E2.8.3.10</v>
      </c>
      <c r="F383" s="97" t="s">
        <v>14343</v>
      </c>
      <c r="G383" s="97" t="s">
        <v>14344</v>
      </c>
      <c r="H383" s="97" t="s">
        <v>14345</v>
      </c>
      <c r="I383" s="97" t="s">
        <v>14346</v>
      </c>
      <c r="J383" s="50" t="str">
        <f t="shared" si="3"/>
        <v>(${Variables:E2.8.3.10_kcat} * E2.8.3.10 * C00024 * C00158)/(${Variables:E2.8.3.10_km} + (E2.8.3.10 * C00024 * C00158))</v>
      </c>
      <c r="K383" s="98" t="str">
        <f t="shared" si="4"/>
        <v>r553: C00024 + C00158 -&gt; C00033 + C00566 | (${Variables:E2.8.3.10_kcat} * E2.8.3.10 * C00024 * C00158)/(${Variables:E2.8.3.10_km} + (E2.8.3.10 * C00024 * C00158))</v>
      </c>
    </row>
    <row r="384" spans="1:11" ht="14">
      <c r="A384" s="50" t="s">
        <v>6050</v>
      </c>
      <c r="B384" s="50" t="s">
        <v>6051</v>
      </c>
      <c r="C384" s="56" t="s">
        <v>14347</v>
      </c>
      <c r="D384" s="50">
        <v>554</v>
      </c>
      <c r="E384" s="50" t="str">
        <f t="shared" si="5"/>
        <v>E3.1.1.29</v>
      </c>
      <c r="F384" s="97" t="s">
        <v>14348</v>
      </c>
      <c r="G384" s="97" t="s">
        <v>14349</v>
      </c>
      <c r="H384" s="97" t="s">
        <v>14350</v>
      </c>
      <c r="I384" s="97" t="s">
        <v>14351</v>
      </c>
      <c r="J384" s="50" t="str">
        <f t="shared" si="3"/>
        <v>(${Variables:E3.1.1.29_kcat} * E3.1.1.29 * C03880 * C00001)/(${Variables:E3.1.1.29_km} + (E3.1.1.29 * C03880 * C00001))</v>
      </c>
      <c r="K384" s="98" t="str">
        <f t="shared" si="4"/>
        <v>r554: C03880 + C00001 -&gt; C03523 + C00066 | (${Variables:E3.1.1.29_kcat} * E3.1.1.29 * C03880 * C00001)/(${Variables:E3.1.1.29_km} + (E3.1.1.29 * C03880 * C00001))</v>
      </c>
    </row>
    <row r="385" spans="1:11" ht="14">
      <c r="A385" s="50" t="s">
        <v>2751</v>
      </c>
      <c r="B385" s="50" t="s">
        <v>2752</v>
      </c>
      <c r="C385" s="56" t="s">
        <v>14352</v>
      </c>
      <c r="D385" s="50">
        <v>560</v>
      </c>
      <c r="E385" s="50" t="str">
        <f t="shared" si="5"/>
        <v>E3.1.2.20</v>
      </c>
      <c r="F385" s="97" t="s">
        <v>14353</v>
      </c>
      <c r="G385" s="97" t="s">
        <v>14354</v>
      </c>
      <c r="H385" s="97" t="s">
        <v>14355</v>
      </c>
      <c r="I385" s="97" t="s">
        <v>14356</v>
      </c>
      <c r="J385" s="50" t="str">
        <f t="shared" si="3"/>
        <v>(${Variables:E3.1.2.20_kcat} * E3.1.2.20 * C00040 * C00001)/(${Variables:E3.1.2.20_km} + (E3.1.2.20 * C00040 * C00001))</v>
      </c>
      <c r="K385" s="98" t="str">
        <f t="shared" si="4"/>
        <v>r560: C00040 + C00001 -&gt; C00010 + C00060 | (${Variables:E3.1.2.20_kcat} * E3.1.2.20 * C00040 * C00001)/(${Variables:E3.1.2.20_km} + (E3.1.2.20 * C00040 * C00001))</v>
      </c>
    </row>
    <row r="386" spans="1:11" ht="14">
      <c r="A386" s="50" t="s">
        <v>2928</v>
      </c>
      <c r="B386" s="50" t="s">
        <v>2929</v>
      </c>
      <c r="C386" s="56" t="s">
        <v>14357</v>
      </c>
      <c r="D386" s="50">
        <v>570</v>
      </c>
      <c r="E386" s="50" t="str">
        <f t="shared" si="5"/>
        <v>E3.1.3.11</v>
      </c>
      <c r="F386" s="97" t="s">
        <v>14358</v>
      </c>
      <c r="G386" s="97" t="s">
        <v>14359</v>
      </c>
      <c r="H386" s="97" t="s">
        <v>14360</v>
      </c>
      <c r="I386" s="97" t="s">
        <v>14361</v>
      </c>
      <c r="J386" s="50" t="str">
        <f t="shared" si="3"/>
        <v>(${Variables:E3.1.3.11_kcat} * E3.1.3.11 * C00354 * C00001)/(${Variables:E3.1.3.11_km} + (E3.1.3.11 * C00354 * C00001))</v>
      </c>
      <c r="K386" s="98" t="str">
        <f t="shared" si="4"/>
        <v>r570: C00354 + C00001 -&gt; C00085 + C00009 | (${Variables:E3.1.3.11_kcat} * E3.1.3.11 * C00354 * C00001)/(${Variables:E3.1.3.11_km} + (E3.1.3.11 * C00354 * C00001))</v>
      </c>
    </row>
    <row r="387" spans="1:11" ht="14">
      <c r="A387" s="50" t="s">
        <v>2928</v>
      </c>
      <c r="B387" s="50" t="s">
        <v>2929</v>
      </c>
      <c r="C387" s="56" t="s">
        <v>14362</v>
      </c>
      <c r="D387" s="50">
        <v>571</v>
      </c>
      <c r="E387" s="50" t="str">
        <f t="shared" si="5"/>
        <v>E3.1.3.11</v>
      </c>
      <c r="F387" s="97" t="s">
        <v>14363</v>
      </c>
      <c r="G387" s="97" t="s">
        <v>14364</v>
      </c>
      <c r="H387" s="97" t="s">
        <v>14365</v>
      </c>
      <c r="I387" s="97" t="s">
        <v>14366</v>
      </c>
      <c r="J387" s="50" t="str">
        <f t="shared" si="3"/>
        <v>(${Variables:E3.1.3.11_kcat} * E3.1.3.11 * C00447 * C00001)/(${Variables:E3.1.3.11_km} + (E3.1.3.11 * C00447 * C00001))</v>
      </c>
      <c r="K387" s="98" t="str">
        <f t="shared" si="4"/>
        <v>r571: C00447 + C00001 -&gt; C05382 + C00009 | (${Variables:E3.1.3.11_kcat} * E3.1.3.11 * C00447 * C00001)/(${Variables:E3.1.3.11_km} + (E3.1.3.11 * C00447 * C00001))</v>
      </c>
    </row>
    <row r="388" spans="1:11" ht="14">
      <c r="A388" s="50" t="s">
        <v>2928</v>
      </c>
      <c r="B388" s="50" t="s">
        <v>2929</v>
      </c>
      <c r="C388" s="56" t="s">
        <v>14367</v>
      </c>
      <c r="D388" s="50">
        <v>572</v>
      </c>
      <c r="E388" s="50" t="str">
        <f t="shared" si="5"/>
        <v>E3.1.3.11</v>
      </c>
      <c r="F388" s="97" t="s">
        <v>14368</v>
      </c>
      <c r="G388" s="97" t="s">
        <v>14369</v>
      </c>
      <c r="H388" s="97" t="s">
        <v>14370</v>
      </c>
      <c r="I388" s="97" t="s">
        <v>14371</v>
      </c>
      <c r="J388" s="50" t="str">
        <f t="shared" si="3"/>
        <v>(${Variables:E3.1.3.11_kcat} * E3.1.3.11 * C05378 * C00001)/(${Variables:E3.1.3.11_km} + (E3.1.3.11 * C05378 * C00001))</v>
      </c>
      <c r="K388" s="98" t="str">
        <f t="shared" si="4"/>
        <v>r572: C05378 + C00001 -&gt; C05345 + C00009 | (${Variables:E3.1.3.11_kcat} * E3.1.3.11 * C05378 * C00001)/(${Variables:E3.1.3.11_km} + (E3.1.3.11 * C05378 * C00001))</v>
      </c>
    </row>
    <row r="389" spans="1:11" ht="14">
      <c r="A389" s="50" t="s">
        <v>7140</v>
      </c>
      <c r="B389" s="50" t="s">
        <v>7141</v>
      </c>
      <c r="C389" s="56" t="s">
        <v>14372</v>
      </c>
      <c r="D389" s="50">
        <v>573</v>
      </c>
      <c r="E389" s="50" t="str">
        <f t="shared" si="5"/>
        <v>E3.1.3.27</v>
      </c>
      <c r="F389" s="97" t="s">
        <v>14373</v>
      </c>
      <c r="G389" s="97" t="s">
        <v>14374</v>
      </c>
      <c r="H389" s="97" t="s">
        <v>14375</v>
      </c>
      <c r="I389" s="97" t="s">
        <v>14376</v>
      </c>
      <c r="J389" s="50" t="str">
        <f t="shared" si="3"/>
        <v>(${Variables:E3.1.3.27_kcat} * E3.1.3.27 * C03892 * C00001)/(${Variables:E3.1.3.27_km} + (E3.1.3.27 * C03892 * C00001))</v>
      </c>
      <c r="K389" s="98" t="str">
        <f t="shared" si="4"/>
        <v>r573: C03892 + C00001 -&gt; C00344 + C00009 | (${Variables:E3.1.3.27_kcat} * E3.1.3.27 * C03892 * C00001)/(${Variables:E3.1.3.27_km} + (E3.1.3.27 * C03892 * C00001))</v>
      </c>
    </row>
    <row r="390" spans="1:11" ht="14">
      <c r="A390" s="50" t="s">
        <v>7106</v>
      </c>
      <c r="B390" s="50" t="s">
        <v>7107</v>
      </c>
      <c r="C390" s="56" t="s">
        <v>14377</v>
      </c>
      <c r="D390" s="50">
        <v>574</v>
      </c>
      <c r="E390" s="50" t="str">
        <f t="shared" si="5"/>
        <v>E3.1.3.5</v>
      </c>
      <c r="F390" s="97" t="s">
        <v>14378</v>
      </c>
      <c r="G390" s="97" t="s">
        <v>14379</v>
      </c>
      <c r="H390" s="97" t="s">
        <v>14380</v>
      </c>
      <c r="I390" s="97" t="s">
        <v>14381</v>
      </c>
      <c r="J390" s="50" t="str">
        <f t="shared" si="3"/>
        <v>(${Variables:E3.1.3.5_kcat} * E3.1.3.5 * C00020 * C00001)/(${Variables:E3.1.3.5_km} + (E3.1.3.5 * C00020 * C00001))</v>
      </c>
      <c r="K390" s="98" t="str">
        <f t="shared" si="4"/>
        <v>r574: C00020 + C00001 -&gt; C00212 + C00009 | (${Variables:E3.1.3.5_kcat} * E3.1.3.5 * C00020 * C00001)/(${Variables:E3.1.3.5_km} + (E3.1.3.5 * C00020 * C00001))</v>
      </c>
    </row>
    <row r="391" spans="1:11" ht="14">
      <c r="A391" s="50" t="s">
        <v>7106</v>
      </c>
      <c r="B391" s="50" t="s">
        <v>7107</v>
      </c>
      <c r="C391" s="56" t="s">
        <v>14382</v>
      </c>
      <c r="D391" s="50">
        <v>575</v>
      </c>
      <c r="E391" s="50" t="str">
        <f t="shared" si="5"/>
        <v>E3.1.3.5</v>
      </c>
      <c r="F391" s="97" t="s">
        <v>14383</v>
      </c>
      <c r="G391" s="97" t="s">
        <v>14384</v>
      </c>
      <c r="H391" s="97" t="s">
        <v>14385</v>
      </c>
      <c r="I391" s="97" t="s">
        <v>14386</v>
      </c>
      <c r="J391" s="50" t="str">
        <f t="shared" si="3"/>
        <v>(${Variables:E3.1.3.5_kcat} * E3.1.3.5 * C00055 * C00001)/(${Variables:E3.1.3.5_km} + (E3.1.3.5 * C00055 * C00001))</v>
      </c>
      <c r="K391" s="98" t="str">
        <f t="shared" si="4"/>
        <v>r575: C00055 + C00001 -&gt; C00475 + C00009 | (${Variables:E3.1.3.5_kcat} * E3.1.3.5 * C00055 * C00001)/(${Variables:E3.1.3.5_km} + (E3.1.3.5 * C00055 * C00001))</v>
      </c>
    </row>
    <row r="392" spans="1:11" ht="14">
      <c r="A392" s="50" t="s">
        <v>7106</v>
      </c>
      <c r="B392" s="50" t="s">
        <v>7107</v>
      </c>
      <c r="C392" s="56" t="s">
        <v>14387</v>
      </c>
      <c r="D392" s="50">
        <v>576</v>
      </c>
      <c r="E392" s="50" t="str">
        <f t="shared" si="5"/>
        <v>E3.1.3.5</v>
      </c>
      <c r="F392" s="97" t="s">
        <v>14388</v>
      </c>
      <c r="G392" s="97" t="s">
        <v>14389</v>
      </c>
      <c r="H392" s="97" t="s">
        <v>14390</v>
      </c>
      <c r="I392" s="97" t="s">
        <v>14391</v>
      </c>
      <c r="J392" s="50" t="str">
        <f t="shared" si="3"/>
        <v>(${Variables:E3.1.3.5_kcat} * E3.1.3.5 * C00105 * C00001)/(${Variables:E3.1.3.5_km} + (E3.1.3.5 * C00105 * C00001))</v>
      </c>
      <c r="K392" s="98" t="str">
        <f t="shared" si="4"/>
        <v>r576: C00105 + C00001 -&gt; C00299 + C00009 | (${Variables:E3.1.3.5_kcat} * E3.1.3.5 * C00105 * C00001)/(${Variables:E3.1.3.5_km} + (E3.1.3.5 * C00105 * C00001))</v>
      </c>
    </row>
    <row r="393" spans="1:11" ht="14">
      <c r="A393" s="50" t="s">
        <v>7106</v>
      </c>
      <c r="B393" s="50" t="s">
        <v>7107</v>
      </c>
      <c r="C393" s="56" t="s">
        <v>14392</v>
      </c>
      <c r="D393" s="50">
        <v>577</v>
      </c>
      <c r="E393" s="50" t="str">
        <f t="shared" si="5"/>
        <v>E3.1.3.5</v>
      </c>
      <c r="F393" s="97" t="s">
        <v>14393</v>
      </c>
      <c r="G393" s="97" t="s">
        <v>14394</v>
      </c>
      <c r="H393" s="97" t="s">
        <v>14395</v>
      </c>
      <c r="I393" s="97" t="s">
        <v>14396</v>
      </c>
      <c r="J393" s="50" t="str">
        <f t="shared" si="3"/>
        <v>(${Variables:E3.1.3.5_kcat} * E3.1.3.5 * C00130 * C00001)/(${Variables:E3.1.3.5_km} + (E3.1.3.5 * C00130 * C00001))</v>
      </c>
      <c r="K393" s="98" t="str">
        <f t="shared" si="4"/>
        <v>r577: C00130 + C00001 -&gt; C00294 + C00009 | (${Variables:E3.1.3.5_kcat} * E3.1.3.5 * C00130 * C00001)/(${Variables:E3.1.3.5_km} + (E3.1.3.5 * C00130 * C00001))</v>
      </c>
    </row>
    <row r="394" spans="1:11" ht="14">
      <c r="A394" s="50" t="s">
        <v>7106</v>
      </c>
      <c r="B394" s="50" t="s">
        <v>7107</v>
      </c>
      <c r="C394" s="56" t="s">
        <v>14397</v>
      </c>
      <c r="D394" s="50">
        <v>578</v>
      </c>
      <c r="E394" s="50" t="str">
        <f t="shared" si="5"/>
        <v>E3.1.3.5</v>
      </c>
      <c r="F394" s="97" t="s">
        <v>14398</v>
      </c>
      <c r="G394" s="97" t="s">
        <v>14399</v>
      </c>
      <c r="H394" s="97" t="s">
        <v>14400</v>
      </c>
      <c r="I394" s="97" t="s">
        <v>14401</v>
      </c>
      <c r="J394" s="50" t="str">
        <f t="shared" si="3"/>
        <v>(${Variables:E3.1.3.5_kcat} * E3.1.3.5 * C00144 * C00001)/(${Variables:E3.1.3.5_km} + (E3.1.3.5 * C00144 * C00001))</v>
      </c>
      <c r="K394" s="98" t="str">
        <f t="shared" si="4"/>
        <v>r578: C00144 + C00001 -&gt; C00387 + C00009 | (${Variables:E3.1.3.5_kcat} * E3.1.3.5 * C00144 * C00001)/(${Variables:E3.1.3.5_km} + (E3.1.3.5 * C00144 * C00001))</v>
      </c>
    </row>
    <row r="395" spans="1:11" ht="14">
      <c r="A395" s="50" t="s">
        <v>7106</v>
      </c>
      <c r="B395" s="50" t="s">
        <v>7107</v>
      </c>
      <c r="C395" s="56" t="s">
        <v>14402</v>
      </c>
      <c r="D395" s="50">
        <v>579</v>
      </c>
      <c r="E395" s="50" t="str">
        <f t="shared" si="5"/>
        <v>E3.1.3.5</v>
      </c>
      <c r="F395" s="97" t="s">
        <v>14403</v>
      </c>
      <c r="G395" s="97" t="s">
        <v>14404</v>
      </c>
      <c r="H395" s="97" t="s">
        <v>14405</v>
      </c>
      <c r="I395" s="97" t="s">
        <v>14406</v>
      </c>
      <c r="J395" s="50" t="str">
        <f t="shared" si="3"/>
        <v>(${Variables:E3.1.3.5_kcat} * E3.1.3.5 * C00239 * C00001)/(${Variables:E3.1.3.5_km} + (E3.1.3.5 * C00239 * C00001))</v>
      </c>
      <c r="K395" s="98" t="str">
        <f t="shared" si="4"/>
        <v>r579: C00239 + C00001 -&gt; C00881 + C00009 | (${Variables:E3.1.3.5_kcat} * E3.1.3.5 * C00239 * C00001)/(${Variables:E3.1.3.5_km} + (E3.1.3.5 * C00239 * C00001))</v>
      </c>
    </row>
    <row r="396" spans="1:11" ht="14">
      <c r="A396" s="50" t="s">
        <v>7106</v>
      </c>
      <c r="B396" s="50" t="s">
        <v>7107</v>
      </c>
      <c r="C396" s="56" t="s">
        <v>14407</v>
      </c>
      <c r="D396" s="50">
        <v>580</v>
      </c>
      <c r="E396" s="50" t="str">
        <f t="shared" si="5"/>
        <v>E3.1.3.5</v>
      </c>
      <c r="F396" s="97" t="s">
        <v>14408</v>
      </c>
      <c r="G396" s="97" t="s">
        <v>14409</v>
      </c>
      <c r="H396" s="97" t="s">
        <v>14410</v>
      </c>
      <c r="I396" s="97" t="s">
        <v>14411</v>
      </c>
      <c r="J396" s="50" t="str">
        <f t="shared" si="3"/>
        <v>(${Variables:E3.1.3.5_kcat} * E3.1.3.5 * C00360 * C00001)/(${Variables:E3.1.3.5_km} + (E3.1.3.5 * C00360 * C00001))</v>
      </c>
      <c r="K396" s="98" t="str">
        <f t="shared" si="4"/>
        <v>r580: C00360 + C00001 -&gt; C00559 + C00009 | (${Variables:E3.1.3.5_kcat} * E3.1.3.5 * C00360 * C00001)/(${Variables:E3.1.3.5_km} + (E3.1.3.5 * C00360 * C00001))</v>
      </c>
    </row>
    <row r="397" spans="1:11" ht="14">
      <c r="A397" s="50" t="s">
        <v>7106</v>
      </c>
      <c r="B397" s="50" t="s">
        <v>7107</v>
      </c>
      <c r="C397" s="56" t="s">
        <v>14412</v>
      </c>
      <c r="D397" s="50">
        <v>581</v>
      </c>
      <c r="E397" s="50" t="str">
        <f t="shared" si="5"/>
        <v>E3.1.3.5</v>
      </c>
      <c r="F397" s="97" t="s">
        <v>14413</v>
      </c>
      <c r="G397" s="97" t="s">
        <v>14414</v>
      </c>
      <c r="H397" s="97" t="s">
        <v>14415</v>
      </c>
      <c r="I397" s="97" t="s">
        <v>14416</v>
      </c>
      <c r="J397" s="50" t="str">
        <f t="shared" si="3"/>
        <v>(${Variables:E3.1.3.5_kcat} * E3.1.3.5 * C00362 * C00001)/(${Variables:E3.1.3.5_km} + (E3.1.3.5 * C00362 * C00001))</v>
      </c>
      <c r="K397" s="98" t="str">
        <f t="shared" si="4"/>
        <v>r581: C00362 + C00001 -&gt; C00330 + C00009 | (${Variables:E3.1.3.5_kcat} * E3.1.3.5 * C00362 * C00001)/(${Variables:E3.1.3.5_km} + (E3.1.3.5 * C00362 * C00001))</v>
      </c>
    </row>
    <row r="398" spans="1:11" ht="14">
      <c r="A398" s="50" t="s">
        <v>7106</v>
      </c>
      <c r="B398" s="50" t="s">
        <v>7107</v>
      </c>
      <c r="C398" s="56" t="s">
        <v>14417</v>
      </c>
      <c r="D398" s="50">
        <v>582</v>
      </c>
      <c r="E398" s="50" t="str">
        <f t="shared" si="5"/>
        <v>E3.1.3.5</v>
      </c>
      <c r="F398" s="97" t="s">
        <v>14418</v>
      </c>
      <c r="G398" s="97" t="s">
        <v>14419</v>
      </c>
      <c r="H398" s="97" t="s">
        <v>14420</v>
      </c>
      <c r="I398" s="97" t="s">
        <v>14421</v>
      </c>
      <c r="J398" s="50" t="str">
        <f t="shared" si="3"/>
        <v>(${Variables:E3.1.3.5_kcat} * E3.1.3.5 * C00364 * C00001)/(${Variables:E3.1.3.5_km} + (E3.1.3.5 * C00364 * C00001))</v>
      </c>
      <c r="K398" s="98" t="str">
        <f t="shared" si="4"/>
        <v>r582: C00364 + C00001 -&gt; C00214 + C00009 | (${Variables:E3.1.3.5_kcat} * E3.1.3.5 * C00364 * C00001)/(${Variables:E3.1.3.5_km} + (E3.1.3.5 * C00364 * C00001))</v>
      </c>
    </row>
    <row r="399" spans="1:11" ht="14">
      <c r="A399" s="50" t="s">
        <v>7106</v>
      </c>
      <c r="B399" s="50" t="s">
        <v>7107</v>
      </c>
      <c r="C399" s="56" t="s">
        <v>14422</v>
      </c>
      <c r="D399" s="50">
        <v>583</v>
      </c>
      <c r="E399" s="50" t="str">
        <f t="shared" si="5"/>
        <v>E3.1.3.5</v>
      </c>
      <c r="F399" s="97" t="s">
        <v>14423</v>
      </c>
      <c r="G399" s="97" t="s">
        <v>14424</v>
      </c>
      <c r="H399" s="97" t="s">
        <v>14425</v>
      </c>
      <c r="I399" s="97" t="s">
        <v>14426</v>
      </c>
      <c r="J399" s="50" t="str">
        <f t="shared" si="3"/>
        <v>(${Variables:E3.1.3.5_kcat} * E3.1.3.5 * C00365 * C00001)/(${Variables:E3.1.3.5_km} + (E3.1.3.5 * C00365 * C00001))</v>
      </c>
      <c r="K399" s="98" t="str">
        <f t="shared" si="4"/>
        <v>r583: C00365 + C00001 -&gt; C00526 + C00009 | (${Variables:E3.1.3.5_kcat} * E3.1.3.5 * C00365 * C00001)/(${Variables:E3.1.3.5_km} + (E3.1.3.5 * C00365 * C00001))</v>
      </c>
    </row>
    <row r="400" spans="1:11" ht="14">
      <c r="A400" s="50" t="s">
        <v>7106</v>
      </c>
      <c r="B400" s="50" t="s">
        <v>7107</v>
      </c>
      <c r="C400" s="56" t="s">
        <v>14427</v>
      </c>
      <c r="D400" s="50">
        <v>584</v>
      </c>
      <c r="E400" s="50" t="str">
        <f t="shared" si="5"/>
        <v>E3.1.3.5</v>
      </c>
      <c r="F400" s="97" t="s">
        <v>14428</v>
      </c>
      <c r="G400" s="97" t="s">
        <v>14429</v>
      </c>
      <c r="H400" s="97" t="s">
        <v>14430</v>
      </c>
      <c r="I400" s="97" t="s">
        <v>14431</v>
      </c>
      <c r="J400" s="50" t="str">
        <f t="shared" si="3"/>
        <v>(${Variables:E3.1.3.5_kcat} * E3.1.3.5 * C00455 * C00001)/(${Variables:E3.1.3.5_km} + (E3.1.3.5 * C00455 * C00001))</v>
      </c>
      <c r="K400" s="98" t="str">
        <f t="shared" si="4"/>
        <v>r584: C00455 + C00001 -&gt; C03150 + C00009 | (${Variables:E3.1.3.5_kcat} * E3.1.3.5 * C00455 * C00001)/(${Variables:E3.1.3.5_km} + (E3.1.3.5 * C00455 * C00001))</v>
      </c>
    </row>
    <row r="401" spans="1:11" ht="14">
      <c r="A401" s="50" t="s">
        <v>7106</v>
      </c>
      <c r="B401" s="50" t="s">
        <v>7107</v>
      </c>
      <c r="C401" s="56" t="s">
        <v>14432</v>
      </c>
      <c r="D401" s="50">
        <v>585</v>
      </c>
      <c r="E401" s="50" t="str">
        <f t="shared" si="5"/>
        <v>E3.1.3.5</v>
      </c>
      <c r="F401" s="97" t="s">
        <v>14433</v>
      </c>
      <c r="G401" s="97" t="s">
        <v>14434</v>
      </c>
      <c r="H401" s="97" t="s">
        <v>14435</v>
      </c>
      <c r="I401" s="97" t="s">
        <v>14436</v>
      </c>
      <c r="J401" s="50" t="str">
        <f t="shared" si="3"/>
        <v>(${Variables:E3.1.3.5_kcat} * E3.1.3.5 * C00655 * C00001)/(${Variables:E3.1.3.5_km} + (E3.1.3.5 * C00655 * C00001))</v>
      </c>
      <c r="K401" s="98" t="str">
        <f t="shared" si="4"/>
        <v>r585: C00655 + C00001 -&gt; C01762 + C00009 | (${Variables:E3.1.3.5_kcat} * E3.1.3.5 * C00655 * C00001)/(${Variables:E3.1.3.5_km} + (E3.1.3.5 * C00655 * C00001))</v>
      </c>
    </row>
    <row r="402" spans="1:11" ht="14">
      <c r="A402" s="50" t="s">
        <v>7106</v>
      </c>
      <c r="B402" s="50" t="s">
        <v>7107</v>
      </c>
      <c r="C402" s="56" t="s">
        <v>14437</v>
      </c>
      <c r="D402" s="50">
        <v>586</v>
      </c>
      <c r="E402" s="50" t="str">
        <f t="shared" si="5"/>
        <v>E3.1.3.5</v>
      </c>
      <c r="F402" s="97" t="s">
        <v>14438</v>
      </c>
      <c r="G402" s="97" t="s">
        <v>14439</v>
      </c>
      <c r="H402" s="97" t="s">
        <v>14440</v>
      </c>
      <c r="I402" s="97" t="s">
        <v>14441</v>
      </c>
      <c r="J402" s="50" t="str">
        <f t="shared" si="3"/>
        <v>(${Variables:E3.1.3.5_kcat} * E3.1.3.5 * C01185 * C00001)/(${Variables:E3.1.3.5_km} + (E3.1.3.5 * C01185 * C00001))</v>
      </c>
      <c r="K402" s="98" t="str">
        <f t="shared" si="4"/>
        <v>r586: C01185 + C00001 -&gt; C05841 + C00009 | (${Variables:E3.1.3.5_kcat} * E3.1.3.5 * C01185 * C00001)/(${Variables:E3.1.3.5_km} + (E3.1.3.5 * C01185 * C00001))</v>
      </c>
    </row>
    <row r="403" spans="1:11" ht="14">
      <c r="A403" s="50" t="s">
        <v>7106</v>
      </c>
      <c r="B403" s="50" t="s">
        <v>7107</v>
      </c>
      <c r="C403" s="56" t="s">
        <v>14442</v>
      </c>
      <c r="D403" s="50">
        <v>587</v>
      </c>
      <c r="E403" s="50" t="str">
        <f t="shared" si="5"/>
        <v>E3.1.3.5</v>
      </c>
      <c r="F403" s="97" t="s">
        <v>14443</v>
      </c>
      <c r="G403" s="97" t="s">
        <v>14444</v>
      </c>
      <c r="H403" s="97" t="s">
        <v>14445</v>
      </c>
      <c r="I403" s="97" t="s">
        <v>14446</v>
      </c>
      <c r="J403" s="50" t="str">
        <f t="shared" si="3"/>
        <v>(${Variables:E3.1.3.5_kcat} * E3.1.3.5 * C02520 * C00001)/(${Variables:E3.1.3.5_km} + (E3.1.3.5 * C02520 * C00001))</v>
      </c>
      <c r="K403" s="98" t="str">
        <f t="shared" si="4"/>
        <v>r587: C02520 + C00001 -&gt; C00911 + C00009 | (${Variables:E3.1.3.5_kcat} * E3.1.3.5 * C02520 * C00001)/(${Variables:E3.1.3.5_km} + (E3.1.3.5 * C02520 * C00001))</v>
      </c>
    </row>
    <row r="404" spans="1:11" ht="14">
      <c r="A404" s="50" t="s">
        <v>7106</v>
      </c>
      <c r="B404" s="50" t="s">
        <v>7107</v>
      </c>
      <c r="C404" s="56" t="s">
        <v>14447</v>
      </c>
      <c r="D404" s="50">
        <v>588</v>
      </c>
      <c r="E404" s="50" t="str">
        <f t="shared" si="5"/>
        <v>E3.1.3.5</v>
      </c>
      <c r="F404" s="97" t="s">
        <v>14448</v>
      </c>
      <c r="G404" s="97" t="s">
        <v>14449</v>
      </c>
      <c r="H404" s="97" t="s">
        <v>14450</v>
      </c>
      <c r="I404" s="97" t="s">
        <v>14451</v>
      </c>
      <c r="J404" s="50" t="str">
        <f t="shared" si="3"/>
        <v>(${Variables:E3.1.3.5_kcat} * E3.1.3.5 * C06196 * C00001)/(${Variables:E3.1.3.5_km} + (E3.1.3.5 * C06196 * C00001))</v>
      </c>
      <c r="K404" s="98" t="str">
        <f t="shared" si="4"/>
        <v>r588: C06196 + C00001 -&gt; C05512 + C00009 | (${Variables:E3.1.3.5_kcat} * E3.1.3.5 * C06196 * C00001)/(${Variables:E3.1.3.5_km} + (E3.1.3.5 * C06196 * C00001))</v>
      </c>
    </row>
    <row r="405" spans="1:11" ht="14">
      <c r="A405" s="50" t="s">
        <v>5439</v>
      </c>
      <c r="B405" s="50" t="s">
        <v>5440</v>
      </c>
      <c r="C405" s="56" t="s">
        <v>14452</v>
      </c>
      <c r="D405" s="50">
        <v>589</v>
      </c>
      <c r="E405" s="50" t="str">
        <f t="shared" si="5"/>
        <v>E3.1.3.7</v>
      </c>
      <c r="F405" s="97" t="s">
        <v>14453</v>
      </c>
      <c r="G405" s="97" t="s">
        <v>14454</v>
      </c>
      <c r="H405" s="97" t="s">
        <v>14455</v>
      </c>
      <c r="I405" s="97" t="s">
        <v>14456</v>
      </c>
      <c r="J405" s="50" t="str">
        <f t="shared" si="3"/>
        <v>(${Variables:E3.1.3.7_kcat} * E3.1.3.7 * C00053 * C00001)/(${Variables:E3.1.3.7_km} + (E3.1.3.7 * C00053 * C00001))</v>
      </c>
      <c r="K405" s="98" t="str">
        <f t="shared" si="4"/>
        <v>r589: C00053 + C00001 -&gt; C00224 + C00009 | (${Variables:E3.1.3.7_kcat} * E3.1.3.7 * C00053 * C00001)/(${Variables:E3.1.3.7_km} + (E3.1.3.7 * C00053 * C00001))</v>
      </c>
    </row>
    <row r="406" spans="1:11" ht="14">
      <c r="A406" s="50" t="s">
        <v>5439</v>
      </c>
      <c r="B406" s="50" t="s">
        <v>5440</v>
      </c>
      <c r="C406" s="56" t="s">
        <v>14457</v>
      </c>
      <c r="D406" s="50">
        <v>590</v>
      </c>
      <c r="E406" s="50" t="str">
        <f t="shared" si="5"/>
        <v>E3.1.3.7</v>
      </c>
      <c r="F406" s="97" t="s">
        <v>14458</v>
      </c>
      <c r="G406" s="97" t="s">
        <v>14459</v>
      </c>
      <c r="H406" s="97" t="s">
        <v>14460</v>
      </c>
      <c r="I406" s="97" t="s">
        <v>14461</v>
      </c>
      <c r="J406" s="50" t="str">
        <f t="shared" si="3"/>
        <v>(${Variables:E3.1.3.7_kcat} * E3.1.3.7 * C00054 * C00001)/(${Variables:E3.1.3.7_km} + (E3.1.3.7 * C00054 * C00001))</v>
      </c>
      <c r="K406" s="98" t="str">
        <f t="shared" si="4"/>
        <v>r590: C00054 + C00001 -&gt; C00020 + C00009 | (${Variables:E3.1.3.7_kcat} * E3.1.3.7 * C00054 * C00001)/(${Variables:E3.1.3.7_km} + (E3.1.3.7 * C00054 * C00001))</v>
      </c>
    </row>
    <row r="407" spans="1:11" ht="14">
      <c r="A407" s="50" t="s">
        <v>4239</v>
      </c>
      <c r="B407" s="50" t="s">
        <v>4240</v>
      </c>
      <c r="C407" s="56" t="s">
        <v>14462</v>
      </c>
      <c r="D407" s="50">
        <v>593</v>
      </c>
      <c r="E407" s="50" t="str">
        <f t="shared" si="5"/>
        <v>E3.1.6.1</v>
      </c>
      <c r="F407" s="97" t="s">
        <v>14463</v>
      </c>
      <c r="G407" s="97" t="s">
        <v>14464</v>
      </c>
      <c r="H407" s="97" t="s">
        <v>14465</v>
      </c>
      <c r="I407" s="97" t="s">
        <v>14466</v>
      </c>
      <c r="J407" s="50" t="str">
        <f t="shared" si="3"/>
        <v>(${Variables:E3.1.6.1_kcat} * E3.1.6.1 * C00850 * C00001)/(${Variables:E3.1.6.1_km} + (E3.1.6.1 * C00850 * C00001))</v>
      </c>
      <c r="K407" s="98" t="str">
        <f t="shared" si="4"/>
        <v>r593: C00850 + C00001 -&gt; C15584 + C00059 | (${Variables:E3.1.6.1_kcat} * E3.1.6.1 * C00850 * C00001)/(${Variables:E3.1.6.1_km} + (E3.1.6.1 * C00850 * C00001))</v>
      </c>
    </row>
    <row r="408" spans="1:11" ht="14">
      <c r="A408" s="50" t="s">
        <v>4239</v>
      </c>
      <c r="B408" s="50" t="s">
        <v>4240</v>
      </c>
      <c r="C408" s="56" t="s">
        <v>14467</v>
      </c>
      <c r="D408" s="50">
        <v>594</v>
      </c>
      <c r="E408" s="50" t="str">
        <f t="shared" si="5"/>
        <v>E3.1.6.1</v>
      </c>
      <c r="F408" s="97" t="s">
        <v>14468</v>
      </c>
      <c r="G408" s="97" t="s">
        <v>14469</v>
      </c>
      <c r="H408" s="97" t="s">
        <v>14470</v>
      </c>
      <c r="I408" s="97" t="s">
        <v>14471</v>
      </c>
      <c r="J408" s="50" t="str">
        <f t="shared" si="3"/>
        <v>(${Variables:E3.1.6.1_kcat} * E3.1.6.1 * C02538 * C00001)/(${Variables:E3.1.6.1_km} + (E3.1.6.1 * C02538 * C00001))</v>
      </c>
      <c r="K408" s="98" t="str">
        <f t="shared" si="4"/>
        <v>r594: C02538 + C00001 -&gt; C00059 + C00468 | (${Variables:E3.1.6.1_kcat} * E3.1.6.1 * C02538 * C00001)/(${Variables:E3.1.6.1_km} + (E3.1.6.1 * C02538 * C00001))</v>
      </c>
    </row>
    <row r="409" spans="1:11" ht="14">
      <c r="A409" s="50" t="s">
        <v>4239</v>
      </c>
      <c r="B409" s="50" t="s">
        <v>4240</v>
      </c>
      <c r="C409" s="56" t="s">
        <v>14472</v>
      </c>
      <c r="D409" s="50">
        <v>595</v>
      </c>
      <c r="E409" s="50" t="str">
        <f t="shared" si="5"/>
        <v>E3.1.6.1</v>
      </c>
      <c r="F409" s="97" t="s">
        <v>14473</v>
      </c>
      <c r="G409" s="97" t="s">
        <v>14474</v>
      </c>
      <c r="H409" s="97" t="s">
        <v>14475</v>
      </c>
      <c r="I409" s="97" t="s">
        <v>14476</v>
      </c>
      <c r="J409" s="50" t="str">
        <f t="shared" si="3"/>
        <v>(${Variables:E3.1.6.1_kcat} * E3.1.6.1 * C06125 * C00001)/(${Variables:E3.1.6.1_km} + (E3.1.6.1 * C06125 * C00001))</v>
      </c>
      <c r="K409" s="98" t="str">
        <f t="shared" si="4"/>
        <v>r595: C06125 + C00001 -&gt; C02686 + C00059 | (${Variables:E3.1.6.1_kcat} * E3.1.6.1 * C06125 * C00001)/(${Variables:E3.1.6.1_km} + (E3.1.6.1 * C06125 * C00001))</v>
      </c>
    </row>
    <row r="410" spans="1:11" ht="14">
      <c r="A410" s="50" t="s">
        <v>4239</v>
      </c>
      <c r="B410" s="50" t="s">
        <v>4240</v>
      </c>
      <c r="C410" s="56" t="s">
        <v>14477</v>
      </c>
      <c r="D410" s="50">
        <v>596</v>
      </c>
      <c r="E410" s="50" t="str">
        <f t="shared" si="5"/>
        <v>E3.1.6.1</v>
      </c>
      <c r="F410" s="97" t="s">
        <v>14478</v>
      </c>
      <c r="G410" s="97" t="s">
        <v>14479</v>
      </c>
      <c r="H410" s="97" t="s">
        <v>14480</v>
      </c>
      <c r="I410" s="97" t="s">
        <v>14481</v>
      </c>
      <c r="J410" s="50" t="str">
        <f t="shared" si="3"/>
        <v>(${Variables:E3.1.6.1_kcat} * E3.1.6.1 * G11122 * C00001)/(${Variables:E3.1.6.1_km} + (E3.1.6.1 * G11122 * C00001))</v>
      </c>
      <c r="K410" s="98" t="str">
        <f t="shared" si="4"/>
        <v>r596: G11122 + C00001 -&gt; G11121 + C00059 | (${Variables:E3.1.6.1_kcat} * E3.1.6.1 * G11122 * C00001)/(${Variables:E3.1.6.1_km} + (E3.1.6.1 * G11122 * C00001))</v>
      </c>
    </row>
    <row r="411" spans="1:11" ht="14">
      <c r="A411" s="50" t="s">
        <v>7615</v>
      </c>
      <c r="B411" s="50" t="s">
        <v>7616</v>
      </c>
      <c r="C411" s="56" t="s">
        <v>14482</v>
      </c>
      <c r="D411" s="50">
        <v>597</v>
      </c>
      <c r="E411" s="50" t="str">
        <f t="shared" si="5"/>
        <v>E3.2.1.20</v>
      </c>
      <c r="F411" s="97" t="s">
        <v>14483</v>
      </c>
      <c r="G411" s="97" t="s">
        <v>14484</v>
      </c>
      <c r="H411" s="97" t="s">
        <v>14485</v>
      </c>
      <c r="I411" s="97" t="s">
        <v>14486</v>
      </c>
      <c r="J411" s="50" t="str">
        <f t="shared" si="3"/>
        <v>(${Variables:E3.2.1.20_kcat} * E3.2.1.20 * C00089 * C00001)/(${Variables:E3.2.1.20_km} + (E3.2.1.20 * C00089 * C00001))</v>
      </c>
      <c r="K411" s="98" t="str">
        <f t="shared" si="4"/>
        <v>r597: C00089 + C00001 -&gt; C00095 + C00031 | (${Variables:E3.2.1.20_kcat} * E3.2.1.20 * C00089 * C00001)/(${Variables:E3.2.1.20_km} + (E3.2.1.20 * C00089 * C00001))</v>
      </c>
    </row>
    <row r="412" spans="1:11" ht="14">
      <c r="A412" s="50" t="s">
        <v>7615</v>
      </c>
      <c r="B412" s="50" t="s">
        <v>7616</v>
      </c>
      <c r="C412" s="56" t="s">
        <v>14487</v>
      </c>
      <c r="D412" s="50">
        <v>598</v>
      </c>
      <c r="E412" s="50" t="str">
        <f t="shared" si="5"/>
        <v>E3.2.1.20</v>
      </c>
      <c r="F412" s="97" t="s">
        <v>14488</v>
      </c>
      <c r="G412" s="97" t="s">
        <v>14489</v>
      </c>
      <c r="H412" s="97" t="s">
        <v>14490</v>
      </c>
      <c r="I412" s="97" t="s">
        <v>14491</v>
      </c>
      <c r="J412" s="50" t="str">
        <f t="shared" si="3"/>
        <v>(${Variables:E3.2.1.20_kcat} * E3.2.1.20 * C00089 * C00001)/(${Variables:E3.2.1.20_km} + (E3.2.1.20 * C00089 * C00001))</v>
      </c>
      <c r="K412" s="98" t="str">
        <f t="shared" si="4"/>
        <v>r598: C00089 + C00001 -&gt; C02336 + C00267 | (${Variables:E3.2.1.20_kcat} * E3.2.1.20 * C00089 * C00001)/(${Variables:E3.2.1.20_km} + (E3.2.1.20 * C00089 * C00001))</v>
      </c>
    </row>
    <row r="413" spans="1:11" ht="14">
      <c r="A413" s="50" t="s">
        <v>7615</v>
      </c>
      <c r="B413" s="50" t="s">
        <v>7616</v>
      </c>
      <c r="C413" s="56" t="s">
        <v>14492</v>
      </c>
      <c r="D413" s="50">
        <v>599</v>
      </c>
      <c r="E413" s="50" t="str">
        <f t="shared" si="5"/>
        <v>E3.2.1.20</v>
      </c>
      <c r="F413" s="97" t="s">
        <v>14493</v>
      </c>
      <c r="G413" s="97" t="s">
        <v>14494</v>
      </c>
      <c r="H413" s="105" t="s">
        <v>11013</v>
      </c>
      <c r="I413" s="105" t="s">
        <v>11013</v>
      </c>
      <c r="J413" s="50" t="str">
        <f t="shared" si="3"/>
        <v>(${Variables:E3.2.1.20_kcat} * E3.2.1.20 * C00208 * C00001)/(${Variables:E3.2.1.20_km} + (E3.2.1.20 * C00208 * C00001))</v>
      </c>
      <c r="K413" s="98" t="str">
        <f t="shared" si="4"/>
        <v>r599: C00208 + C00001 -&gt; C00031 | (${Variables:E3.2.1.20_kcat} * E3.2.1.20 * C00208 * C00001)/(${Variables:E3.2.1.20_km} + (E3.2.1.20 * C00208 * C00001))</v>
      </c>
    </row>
    <row r="414" spans="1:11" ht="14">
      <c r="A414" s="50" t="s">
        <v>7615</v>
      </c>
      <c r="B414" s="50" t="s">
        <v>7616</v>
      </c>
      <c r="C414" s="56" t="s">
        <v>14495</v>
      </c>
      <c r="D414" s="50">
        <v>600</v>
      </c>
      <c r="E414" s="50" t="str">
        <f t="shared" si="5"/>
        <v>E3.2.1.20</v>
      </c>
      <c r="F414" s="97" t="s">
        <v>14496</v>
      </c>
      <c r="G414" s="97" t="s">
        <v>14497</v>
      </c>
      <c r="H414" s="105" t="s">
        <v>11276</v>
      </c>
      <c r="I414" s="105" t="s">
        <v>11276</v>
      </c>
      <c r="J414" s="50" t="str">
        <f t="shared" si="3"/>
        <v>(${Variables:E3.2.1.20_kcat} * E3.2.1.20 * G00275 * C00001)/(${Variables:E3.2.1.20_km} + (E3.2.1.20 * G00275 * C00001))</v>
      </c>
      <c r="K414" s="98" t="str">
        <f t="shared" si="4"/>
        <v>r600: G00275 + C00001 -&gt; C00267 | (${Variables:E3.2.1.20_kcat} * E3.2.1.20 * G00275 * C00001)/(${Variables:E3.2.1.20_km} + (E3.2.1.20 * G00275 * C00001))</v>
      </c>
    </row>
    <row r="415" spans="1:11" ht="14">
      <c r="A415" s="50" t="s">
        <v>7615</v>
      </c>
      <c r="B415" s="50" t="s">
        <v>7616</v>
      </c>
      <c r="C415" s="56" t="s">
        <v>14498</v>
      </c>
      <c r="D415" s="50">
        <v>601</v>
      </c>
      <c r="E415" s="50" t="str">
        <f t="shared" si="5"/>
        <v>E3.2.1.20</v>
      </c>
      <c r="F415" s="97" t="s">
        <v>14499</v>
      </c>
      <c r="G415" s="97" t="s">
        <v>14500</v>
      </c>
      <c r="H415" s="97" t="s">
        <v>14501</v>
      </c>
      <c r="I415" s="97" t="s">
        <v>14502</v>
      </c>
      <c r="J415" s="50" t="str">
        <f t="shared" si="3"/>
        <v>(${Variables:E3.2.1.20_kcat} * E3.2.1.20 * G00370 * C00001)/(${Variables:E3.2.1.20_km} + (E3.2.1.20 * G00370 * C00001))</v>
      </c>
      <c r="K415" s="98" t="str">
        <f t="shared" si="4"/>
        <v>r601: G00370 + C00001 -&gt; C00095 + C00031 | (${Variables:E3.2.1.20_kcat} * E3.2.1.20 * G00370 * C00001)/(${Variables:E3.2.1.20_km} + (E3.2.1.20 * G00370 * C00001))</v>
      </c>
    </row>
    <row r="416" spans="1:11" ht="14">
      <c r="A416" s="50" t="s">
        <v>7615</v>
      </c>
      <c r="B416" s="50" t="s">
        <v>7616</v>
      </c>
      <c r="C416" s="56" t="s">
        <v>14503</v>
      </c>
      <c r="D416" s="50">
        <v>602</v>
      </c>
      <c r="E416" s="50" t="str">
        <f t="shared" si="5"/>
        <v>E3.2.1.20</v>
      </c>
      <c r="F416" s="97" t="s">
        <v>14504</v>
      </c>
      <c r="G416" s="97" t="s">
        <v>14505</v>
      </c>
      <c r="H416" s="97" t="s">
        <v>14506</v>
      </c>
      <c r="I416" s="97" t="s">
        <v>14507</v>
      </c>
      <c r="J416" s="50" t="str">
        <f t="shared" si="3"/>
        <v>(${Variables:E3.2.1.20_kcat} * E3.2.1.20 * G00370 * C00001)/(${Variables:E3.2.1.20_km} + (E3.2.1.20 * G00370 * C00001))</v>
      </c>
      <c r="K416" s="98" t="str">
        <f t="shared" si="4"/>
        <v>r602: G00370 + C00001 -&gt; C02336 + C00267 | (${Variables:E3.2.1.20_kcat} * E3.2.1.20 * G00370 * C00001)/(${Variables:E3.2.1.20_km} + (E3.2.1.20 * G00370 * C00001))</v>
      </c>
    </row>
    <row r="417" spans="1:11" ht="14">
      <c r="A417" s="50" t="s">
        <v>181</v>
      </c>
      <c r="B417" s="50" t="s">
        <v>182</v>
      </c>
      <c r="C417" s="56" t="s">
        <v>14508</v>
      </c>
      <c r="D417" s="50">
        <v>603</v>
      </c>
      <c r="E417" s="50" t="str">
        <f t="shared" si="5"/>
        <v>E3.2.1.22</v>
      </c>
      <c r="F417" s="97" t="s">
        <v>14509</v>
      </c>
      <c r="G417" s="97" t="s">
        <v>14510</v>
      </c>
      <c r="H417" s="97" t="s">
        <v>14511</v>
      </c>
      <c r="I417" s="97" t="s">
        <v>14512</v>
      </c>
      <c r="J417" s="50" t="str">
        <f t="shared" si="3"/>
        <v>(${Variables:E3.2.1.22_kcat} * E3.2.1.22 * C00001 * G00093)/(${Variables:E3.2.1.22_km} + (E3.2.1.22 * C00001 * G00093))</v>
      </c>
      <c r="K417" s="98" t="str">
        <f t="shared" si="4"/>
        <v>r603: C00001 + G00093 -&gt; C00124 + G00092 | (${Variables:E3.2.1.22_kcat} * E3.2.1.22 * C00001 * G00093)/(${Variables:E3.2.1.22_km} + (E3.2.1.22 * C00001 * G00093))</v>
      </c>
    </row>
    <row r="418" spans="1:11" ht="14">
      <c r="A418" s="50" t="s">
        <v>181</v>
      </c>
      <c r="B418" s="50" t="s">
        <v>182</v>
      </c>
      <c r="C418" s="56" t="s">
        <v>14513</v>
      </c>
      <c r="D418" s="50">
        <v>604</v>
      </c>
      <c r="E418" s="50" t="str">
        <f t="shared" si="5"/>
        <v>E3.2.1.22</v>
      </c>
      <c r="F418" s="97" t="s">
        <v>14514</v>
      </c>
      <c r="G418" s="97" t="s">
        <v>14515</v>
      </c>
      <c r="H418" s="97" t="s">
        <v>14516</v>
      </c>
      <c r="I418" s="97" t="s">
        <v>14517</v>
      </c>
      <c r="J418" s="50" t="str">
        <f t="shared" si="3"/>
        <v>(${Variables:E3.2.1.22_kcat} * E3.2.1.22 * C00492 * C00001)/(${Variables:E3.2.1.22_km} + (E3.2.1.22 * C00492 * C00001))</v>
      </c>
      <c r="K418" s="98" t="str">
        <f t="shared" si="4"/>
        <v>r604: C00492 + C00001 -&gt; C00124 + C00089 | (${Variables:E3.2.1.22_kcat} * E3.2.1.22 * C00492 * C00001)/(${Variables:E3.2.1.22_km} + (E3.2.1.22 * C00492 * C00001))</v>
      </c>
    </row>
    <row r="419" spans="1:11" ht="14">
      <c r="A419" s="50" t="s">
        <v>181</v>
      </c>
      <c r="B419" s="50" t="s">
        <v>182</v>
      </c>
      <c r="C419" s="56" t="s">
        <v>14518</v>
      </c>
      <c r="D419" s="50">
        <v>605</v>
      </c>
      <c r="E419" s="50" t="str">
        <f t="shared" si="5"/>
        <v>E3.2.1.22</v>
      </c>
      <c r="F419" s="97" t="s">
        <v>14519</v>
      </c>
      <c r="G419" s="97" t="s">
        <v>14520</v>
      </c>
      <c r="H419" s="97" t="s">
        <v>14521</v>
      </c>
      <c r="I419" s="97" t="s">
        <v>14522</v>
      </c>
      <c r="J419" s="50" t="str">
        <f t="shared" si="3"/>
        <v>(${Variables:E3.2.1.22_kcat} * E3.2.1.22 * C01235 * C00001)/(${Variables:E3.2.1.22_km} + (E3.2.1.22 * C01235 * C00001))</v>
      </c>
      <c r="K419" s="98" t="str">
        <f t="shared" si="4"/>
        <v>r605: C01235 + C00001 -&gt; C00137 + C00124 | (${Variables:E3.2.1.22_kcat} * E3.2.1.22 * C01235 * C00001)/(${Variables:E3.2.1.22_km} + (E3.2.1.22 * C01235 * C00001))</v>
      </c>
    </row>
    <row r="420" spans="1:11" ht="14">
      <c r="A420" s="50" t="s">
        <v>181</v>
      </c>
      <c r="B420" s="50" t="s">
        <v>182</v>
      </c>
      <c r="C420" s="56" t="s">
        <v>14523</v>
      </c>
      <c r="D420" s="50">
        <v>606</v>
      </c>
      <c r="E420" s="50" t="str">
        <f t="shared" si="5"/>
        <v>E3.2.1.22</v>
      </c>
      <c r="F420" s="97" t="s">
        <v>14524</v>
      </c>
      <c r="G420" s="97" t="s">
        <v>14525</v>
      </c>
      <c r="H420" s="97" t="s">
        <v>14526</v>
      </c>
      <c r="I420" s="97" t="s">
        <v>14527</v>
      </c>
      <c r="J420" s="50" t="str">
        <f t="shared" si="3"/>
        <v>(${Variables:E3.2.1.22_kcat} * E3.2.1.22 * C01613 * C00001)/(${Variables:E3.2.1.22_km} + (E3.2.1.22 * C01613 * C00001))</v>
      </c>
      <c r="K420" s="98" t="str">
        <f t="shared" si="4"/>
        <v>r606: C01613 + C00001 -&gt; C00492 + C00124 | (${Variables:E3.2.1.22_kcat} * E3.2.1.22 * C01613 * C00001)/(${Variables:E3.2.1.22_km} + (E3.2.1.22 * C01613 * C00001))</v>
      </c>
    </row>
    <row r="421" spans="1:11" ht="14">
      <c r="A421" s="50" t="s">
        <v>181</v>
      </c>
      <c r="B421" s="50" t="s">
        <v>182</v>
      </c>
      <c r="C421" s="56" t="s">
        <v>14528</v>
      </c>
      <c r="D421" s="50">
        <v>607</v>
      </c>
      <c r="E421" s="50" t="str">
        <f t="shared" si="5"/>
        <v>E3.2.1.22</v>
      </c>
      <c r="F421" s="97" t="s">
        <v>14529</v>
      </c>
      <c r="G421" s="97" t="s">
        <v>14530</v>
      </c>
      <c r="H421" s="97" t="s">
        <v>14531</v>
      </c>
      <c r="I421" s="97" t="s">
        <v>14532</v>
      </c>
      <c r="J421" s="50" t="str">
        <f t="shared" si="3"/>
        <v>(${Variables:E3.2.1.22_kcat} * E3.2.1.22 * C04737 * C00001)/(${Variables:E3.2.1.22_km} + (E3.2.1.22 * C04737 * C00001))</v>
      </c>
      <c r="K421" s="98" t="str">
        <f t="shared" si="4"/>
        <v>r607: C04737 + C00001 -&gt; C00124 + C01290 | (${Variables:E3.2.1.22_kcat} * E3.2.1.22 * C04737 * C00001)/(${Variables:E3.2.1.22_km} + (E3.2.1.22 * C04737 * C00001))</v>
      </c>
    </row>
    <row r="422" spans="1:11" ht="14">
      <c r="A422" s="50" t="s">
        <v>181</v>
      </c>
      <c r="B422" s="50" t="s">
        <v>182</v>
      </c>
      <c r="C422" s="56" t="s">
        <v>14533</v>
      </c>
      <c r="D422" s="50">
        <v>608</v>
      </c>
      <c r="E422" s="50" t="str">
        <f t="shared" si="5"/>
        <v>E3.2.1.22</v>
      </c>
      <c r="F422" s="97" t="s">
        <v>14534</v>
      </c>
      <c r="G422" s="97" t="s">
        <v>14535</v>
      </c>
      <c r="H422" s="97" t="s">
        <v>14536</v>
      </c>
      <c r="I422" s="97" t="s">
        <v>14537</v>
      </c>
      <c r="J422" s="50" t="str">
        <f t="shared" si="3"/>
        <v>(${Variables:E3.2.1.22_kcat} * E3.2.1.22 * C05399 * C00001)/(${Variables:E3.2.1.22_km} + (E3.2.1.22 * C05399 * C00001))</v>
      </c>
      <c r="K422" s="98" t="str">
        <f t="shared" si="4"/>
        <v>r608: C05399 + C00001 -&gt; C00794 + C00124 | (${Variables:E3.2.1.22_kcat} * E3.2.1.22 * C05399 * C00001)/(${Variables:E3.2.1.22_km} + (E3.2.1.22 * C05399 * C00001))</v>
      </c>
    </row>
    <row r="423" spans="1:11" ht="14">
      <c r="A423" s="50" t="s">
        <v>181</v>
      </c>
      <c r="B423" s="50" t="s">
        <v>182</v>
      </c>
      <c r="C423" s="56" t="s">
        <v>14538</v>
      </c>
      <c r="D423" s="50">
        <v>609</v>
      </c>
      <c r="E423" s="50" t="str">
        <f t="shared" si="5"/>
        <v>E3.2.1.22</v>
      </c>
      <c r="F423" s="97" t="s">
        <v>14539</v>
      </c>
      <c r="G423" s="97" t="s">
        <v>14540</v>
      </c>
      <c r="H423" s="97" t="s">
        <v>14541</v>
      </c>
      <c r="I423" s="97" t="s">
        <v>14542</v>
      </c>
      <c r="J423" s="50" t="str">
        <f t="shared" si="3"/>
        <v>(${Variables:E3.2.1.22_kcat} * E3.2.1.22 * C05400 * C00001)/(${Variables:E3.2.1.22_km} + (E3.2.1.22 * C05400 * C00001))</v>
      </c>
      <c r="K423" s="98" t="str">
        <f t="shared" si="4"/>
        <v>r609: C05400 + C00001 -&gt; C00159 + C00124 | (${Variables:E3.2.1.22_kcat} * E3.2.1.22 * C05400 * C00001)/(${Variables:E3.2.1.22_km} + (E3.2.1.22 * C05400 * C00001))</v>
      </c>
    </row>
    <row r="424" spans="1:11" ht="14">
      <c r="A424" s="50" t="s">
        <v>181</v>
      </c>
      <c r="B424" s="50" t="s">
        <v>182</v>
      </c>
      <c r="C424" s="56" t="s">
        <v>14543</v>
      </c>
      <c r="D424" s="50">
        <v>610</v>
      </c>
      <c r="E424" s="50" t="str">
        <f t="shared" si="5"/>
        <v>E3.2.1.22</v>
      </c>
      <c r="F424" s="97" t="s">
        <v>14544</v>
      </c>
      <c r="G424" s="97" t="s">
        <v>14545</v>
      </c>
      <c r="H424" s="97" t="s">
        <v>14546</v>
      </c>
      <c r="I424" s="97" t="s">
        <v>14547</v>
      </c>
      <c r="J424" s="50" t="str">
        <f t="shared" si="3"/>
        <v>(${Variables:E3.2.1.22_kcat} * E3.2.1.22 * C05401 * C00001)/(${Variables:E3.2.1.22_km} + (E3.2.1.22 * C05401 * C00001))</v>
      </c>
      <c r="K424" s="98" t="str">
        <f t="shared" si="4"/>
        <v>r610: C05401 + C00001 -&gt; C00124 + C00116 | (${Variables:E3.2.1.22_kcat} * E3.2.1.22 * C05401 * C00001)/(${Variables:E3.2.1.22_km} + (E3.2.1.22 * C05401 * C00001))</v>
      </c>
    </row>
    <row r="425" spans="1:11" ht="14">
      <c r="A425" s="50" t="s">
        <v>181</v>
      </c>
      <c r="B425" s="50" t="s">
        <v>182</v>
      </c>
      <c r="C425" s="56" t="s">
        <v>14548</v>
      </c>
      <c r="D425" s="50">
        <v>611</v>
      </c>
      <c r="E425" s="50" t="str">
        <f t="shared" si="5"/>
        <v>E3.2.1.22</v>
      </c>
      <c r="F425" s="97" t="s">
        <v>14549</v>
      </c>
      <c r="G425" s="97" t="s">
        <v>14550</v>
      </c>
      <c r="H425" s="97" t="s">
        <v>14551</v>
      </c>
      <c r="I425" s="97" t="s">
        <v>14552</v>
      </c>
      <c r="J425" s="50" t="str">
        <f t="shared" si="3"/>
        <v>(${Variables:E3.2.1.22_kcat} * E3.2.1.22 * C05402 * C00001)/(${Variables:E3.2.1.22_km} + (E3.2.1.22 * C05402 * C00001))</v>
      </c>
      <c r="K425" s="98" t="str">
        <f t="shared" si="4"/>
        <v>r611: C05402 + C00001 -&gt; C00124 + C00031 | (${Variables:E3.2.1.22_kcat} * E3.2.1.22 * C05402 * C00001)/(${Variables:E3.2.1.22_km} + (E3.2.1.22 * C05402 * C00001))</v>
      </c>
    </row>
    <row r="426" spans="1:11" ht="14">
      <c r="A426" s="50" t="s">
        <v>181</v>
      </c>
      <c r="B426" s="50" t="s">
        <v>182</v>
      </c>
      <c r="C426" s="56" t="s">
        <v>14553</v>
      </c>
      <c r="D426" s="50">
        <v>612</v>
      </c>
      <c r="E426" s="50" t="str">
        <f t="shared" si="5"/>
        <v>E3.2.1.22</v>
      </c>
      <c r="F426" s="97" t="s">
        <v>14554</v>
      </c>
      <c r="G426" s="97" t="s">
        <v>14555</v>
      </c>
      <c r="H426" s="97" t="s">
        <v>14556</v>
      </c>
      <c r="I426" s="97" t="s">
        <v>14557</v>
      </c>
      <c r="J426" s="50" t="str">
        <f t="shared" si="3"/>
        <v>(${Variables:E3.2.1.22_kcat} * E3.2.1.22 * C05404 * C00001)/(${Variables:E3.2.1.22_km} + (E3.2.1.22 * C05404 * C00001))</v>
      </c>
      <c r="K426" s="98" t="str">
        <f t="shared" si="4"/>
        <v>r612: C05404 + C00001 -&gt; C00124 + C05402 | (${Variables:E3.2.1.22_kcat} * E3.2.1.22 * C05404 * C00001)/(${Variables:E3.2.1.22_km} + (E3.2.1.22 * C05404 * C00001))</v>
      </c>
    </row>
    <row r="427" spans="1:11" ht="14">
      <c r="A427" s="50" t="s">
        <v>181</v>
      </c>
      <c r="B427" s="50" t="s">
        <v>182</v>
      </c>
      <c r="C427" s="56" t="s">
        <v>14558</v>
      </c>
      <c r="D427" s="50">
        <v>613</v>
      </c>
      <c r="E427" s="50" t="str">
        <f t="shared" si="5"/>
        <v>E3.2.1.22</v>
      </c>
      <c r="F427" s="97" t="s">
        <v>14559</v>
      </c>
      <c r="G427" s="97" t="s">
        <v>14560</v>
      </c>
      <c r="H427" s="97" t="s">
        <v>14561</v>
      </c>
      <c r="I427" s="97" t="s">
        <v>14562</v>
      </c>
      <c r="J427" s="50" t="str">
        <f t="shared" si="3"/>
        <v>(${Variables:E3.2.1.22_kcat} * E3.2.1.22 * C06037 * C00001)/(${Variables:E3.2.1.22_km} + (E3.2.1.22 * C06037 * C00001))</v>
      </c>
      <c r="K427" s="98" t="str">
        <f t="shared" si="4"/>
        <v>r613: C06037 + C00001 -&gt; C03692 + C00124 | (${Variables:E3.2.1.22_kcat} * E3.2.1.22 * C06037 * C00001)/(${Variables:E3.2.1.22_km} + (E3.2.1.22 * C06037 * C00001))</v>
      </c>
    </row>
    <row r="428" spans="1:11" ht="14">
      <c r="A428" s="50" t="s">
        <v>181</v>
      </c>
      <c r="B428" s="50" t="s">
        <v>182</v>
      </c>
      <c r="C428" s="56" t="s">
        <v>14563</v>
      </c>
      <c r="D428" s="50">
        <v>614</v>
      </c>
      <c r="E428" s="50" t="str">
        <f t="shared" si="5"/>
        <v>E3.2.1.22</v>
      </c>
      <c r="F428" s="97" t="s">
        <v>14564</v>
      </c>
      <c r="G428" s="97" t="s">
        <v>14565</v>
      </c>
      <c r="H428" s="97" t="s">
        <v>14566</v>
      </c>
      <c r="I428" s="97" t="s">
        <v>14567</v>
      </c>
      <c r="J428" s="50" t="str">
        <f t="shared" si="3"/>
        <v>(${Variables:E3.2.1.22_kcat} * E3.2.1.22 * C06126 * C00001)/(${Variables:E3.2.1.22_km} + (E3.2.1.22 * C06126 * C00001))</v>
      </c>
      <c r="K428" s="98" t="str">
        <f t="shared" si="4"/>
        <v>r614: C06126 + C00001 -&gt; C02686 + C00124 | (${Variables:E3.2.1.22_kcat} * E3.2.1.22 * C06126 * C00001)/(${Variables:E3.2.1.22_km} + (E3.2.1.22 * C06126 * C00001))</v>
      </c>
    </row>
    <row r="429" spans="1:11" ht="14">
      <c r="A429" s="50" t="s">
        <v>181</v>
      </c>
      <c r="B429" s="50" t="s">
        <v>182</v>
      </c>
      <c r="C429" s="56" t="s">
        <v>14568</v>
      </c>
      <c r="D429" s="50">
        <v>615</v>
      </c>
      <c r="E429" s="50" t="str">
        <f t="shared" si="5"/>
        <v>E3.2.1.22</v>
      </c>
      <c r="F429" s="97" t="s">
        <v>14569</v>
      </c>
      <c r="G429" s="97" t="s">
        <v>14570</v>
      </c>
      <c r="H429" s="97" t="s">
        <v>14571</v>
      </c>
      <c r="I429" s="97" t="s">
        <v>14572</v>
      </c>
      <c r="J429" s="50" t="str">
        <f t="shared" si="3"/>
        <v>(${Variables:E3.2.1.22_kcat} * E3.2.1.22 * G00249 * C00001)/(${Variables:E3.2.1.22_km} + (E3.2.1.22 * G00249 * C00001))</v>
      </c>
      <c r="K429" s="98" t="str">
        <f t="shared" si="4"/>
        <v>r615: G00249 + C00001 -&gt; C00124 + G00370 | (${Variables:E3.2.1.22_kcat} * E3.2.1.22 * G00249 * C00001)/(${Variables:E3.2.1.22_km} + (E3.2.1.22 * G00249 * C00001))</v>
      </c>
    </row>
    <row r="430" spans="1:11" ht="14">
      <c r="A430" s="50" t="s">
        <v>181</v>
      </c>
      <c r="B430" s="50" t="s">
        <v>182</v>
      </c>
      <c r="C430" s="56" t="s">
        <v>14573</v>
      </c>
      <c r="D430" s="50">
        <v>616</v>
      </c>
      <c r="E430" s="50" t="str">
        <f t="shared" si="5"/>
        <v>E3.2.1.22</v>
      </c>
      <c r="F430" s="97" t="s">
        <v>14574</v>
      </c>
      <c r="G430" s="97" t="s">
        <v>14575</v>
      </c>
      <c r="H430" s="97" t="s">
        <v>14576</v>
      </c>
      <c r="I430" s="97" t="s">
        <v>14577</v>
      </c>
      <c r="J430" s="50" t="str">
        <f t="shared" si="3"/>
        <v>(${Variables:E3.2.1.22_kcat} * E3.2.1.22 * G00278 * C00001)/(${Variables:E3.2.1.22_km} + (E3.2.1.22 * G00278 * C00001))</v>
      </c>
      <c r="K430" s="98" t="str">
        <f t="shared" si="4"/>
        <v>r616: G00278 + C00001 -&gt; G00249 + C00124 | (${Variables:E3.2.1.22_kcat} * E3.2.1.22 * G00278 * C00001)/(${Variables:E3.2.1.22_km} + (E3.2.1.22 * G00278 * C00001))</v>
      </c>
    </row>
    <row r="431" spans="1:11" ht="14">
      <c r="A431" s="50" t="s">
        <v>181</v>
      </c>
      <c r="B431" s="50" t="s">
        <v>182</v>
      </c>
      <c r="C431" s="56" t="s">
        <v>14578</v>
      </c>
      <c r="D431" s="50">
        <v>617</v>
      </c>
      <c r="E431" s="50" t="str">
        <f t="shared" si="5"/>
        <v>E3.2.1.22</v>
      </c>
      <c r="F431" s="97" t="s">
        <v>14579</v>
      </c>
      <c r="G431" s="97" t="s">
        <v>14580</v>
      </c>
      <c r="H431" s="97" t="s">
        <v>14581</v>
      </c>
      <c r="I431" s="97" t="s">
        <v>14582</v>
      </c>
      <c r="J431" s="50" t="str">
        <f t="shared" si="3"/>
        <v>(${Variables:E3.2.1.22_kcat} * E3.2.1.22 * G00497 * C00001)/(${Variables:E3.2.1.22_km} + (E3.2.1.22 * G00497 * C00001))</v>
      </c>
      <c r="K431" s="98" t="str">
        <f t="shared" si="4"/>
        <v>r617: G00497 + C00001 -&gt; G11121 + C00124 | (${Variables:E3.2.1.22_kcat} * E3.2.1.22 * G00497 * C00001)/(${Variables:E3.2.1.22_km} + (E3.2.1.22 * G00497 * C00001))</v>
      </c>
    </row>
    <row r="432" spans="1:11" ht="14">
      <c r="A432" s="50" t="s">
        <v>181</v>
      </c>
      <c r="B432" s="50" t="s">
        <v>182</v>
      </c>
      <c r="C432" s="56" t="s">
        <v>14583</v>
      </c>
      <c r="D432" s="50">
        <v>618</v>
      </c>
      <c r="E432" s="50" t="str">
        <f t="shared" si="5"/>
        <v>E3.2.1.22</v>
      </c>
      <c r="F432" s="97" t="s">
        <v>14584</v>
      </c>
      <c r="G432" s="97" t="s">
        <v>14585</v>
      </c>
      <c r="H432" s="97" t="s">
        <v>14586</v>
      </c>
      <c r="I432" s="97" t="s">
        <v>14587</v>
      </c>
      <c r="J432" s="50" t="str">
        <f t="shared" si="3"/>
        <v>(${Variables:E3.2.1.22_kcat} * E3.2.1.22 * G00501 * C00001)/(${Variables:E3.2.1.22_km} + (E3.2.1.22 * G00501 * C00001))</v>
      </c>
      <c r="K432" s="98" t="str">
        <f t="shared" si="4"/>
        <v>r618: G00501 + C00001 -&gt; C00124 + G01275 | (${Variables:E3.2.1.22_kcat} * E3.2.1.22 * G00501 * C00001)/(${Variables:E3.2.1.22_km} + (E3.2.1.22 * G00501 * C00001))</v>
      </c>
    </row>
    <row r="433" spans="1:11" ht="14">
      <c r="A433" s="50" t="s">
        <v>181</v>
      </c>
      <c r="B433" s="50" t="s">
        <v>182</v>
      </c>
      <c r="C433" s="56" t="s">
        <v>14588</v>
      </c>
      <c r="D433" s="50">
        <v>619</v>
      </c>
      <c r="E433" s="50" t="str">
        <f t="shared" si="5"/>
        <v>E3.2.1.22</v>
      </c>
      <c r="F433" s="97" t="s">
        <v>14589</v>
      </c>
      <c r="G433" s="97" t="s">
        <v>14590</v>
      </c>
      <c r="H433" s="97" t="s">
        <v>14591</v>
      </c>
      <c r="I433" s="97" t="s">
        <v>14592</v>
      </c>
      <c r="J433" s="50" t="str">
        <f t="shared" si="3"/>
        <v>(${Variables:E3.2.1.22_kcat} * E3.2.1.22 * G01275 * C00001)/(${Variables:E3.2.1.22_km} + (E3.2.1.22 * G01275 * C00001))</v>
      </c>
      <c r="K433" s="98" t="str">
        <f t="shared" si="4"/>
        <v>r619: G01275 + C00001 -&gt; C00124 + C00031 | (${Variables:E3.2.1.22_kcat} * E3.2.1.22 * G01275 * C00001)/(${Variables:E3.2.1.22_km} + (E3.2.1.22 * G01275 * C00001))</v>
      </c>
    </row>
    <row r="434" spans="1:11" ht="14">
      <c r="A434" s="50" t="s">
        <v>181</v>
      </c>
      <c r="B434" s="50" t="s">
        <v>182</v>
      </c>
      <c r="C434" s="56" t="s">
        <v>14593</v>
      </c>
      <c r="D434" s="50">
        <v>620</v>
      </c>
      <c r="E434" s="50" t="str">
        <f t="shared" si="5"/>
        <v>E3.2.1.22</v>
      </c>
      <c r="F434" s="97" t="s">
        <v>14594</v>
      </c>
      <c r="G434" s="97" t="s">
        <v>14595</v>
      </c>
      <c r="H434" s="97" t="s">
        <v>14596</v>
      </c>
      <c r="I434" s="97" t="s">
        <v>14597</v>
      </c>
      <c r="J434" s="50" t="str">
        <f t="shared" si="3"/>
        <v>(${Variables:E3.2.1.22_kcat} * E3.2.1.22 * G10488 * C00001)/(${Variables:E3.2.1.22_km} + (E3.2.1.22 * G10488 * C00001))</v>
      </c>
      <c r="K434" s="98" t="str">
        <f t="shared" si="4"/>
        <v>r620: G10488 + C00001 -&gt; C00137 + C00124 | (${Variables:E3.2.1.22_kcat} * E3.2.1.22 * G10488 * C00001)/(${Variables:E3.2.1.22_km} + (E3.2.1.22 * G10488 * C00001))</v>
      </c>
    </row>
    <row r="435" spans="1:11" ht="14">
      <c r="A435" s="50" t="s">
        <v>181</v>
      </c>
      <c r="B435" s="50" t="s">
        <v>182</v>
      </c>
      <c r="C435" s="56" t="s">
        <v>14598</v>
      </c>
      <c r="D435" s="50">
        <v>621</v>
      </c>
      <c r="E435" s="50" t="str">
        <f t="shared" si="5"/>
        <v>E3.2.1.22</v>
      </c>
      <c r="F435" s="97" t="s">
        <v>14599</v>
      </c>
      <c r="G435" s="97" t="s">
        <v>14600</v>
      </c>
      <c r="H435" s="97" t="s">
        <v>14601</v>
      </c>
      <c r="I435" s="97" t="s">
        <v>14602</v>
      </c>
      <c r="J435" s="50" t="str">
        <f t="shared" si="3"/>
        <v>(${Variables:E3.2.1.22_kcat} * E3.2.1.22 * G10529 * C00001)/(${Variables:E3.2.1.22_km} + (E3.2.1.22 * G10529 * C00001))</v>
      </c>
      <c r="K435" s="98" t="str">
        <f t="shared" si="4"/>
        <v>r621: G10529 + C00001 -&gt; C00159 + C00124 | (${Variables:E3.2.1.22_kcat} * E3.2.1.22 * G10529 * C00001)/(${Variables:E3.2.1.22_km} + (E3.2.1.22 * G10529 * C00001))</v>
      </c>
    </row>
    <row r="436" spans="1:11" ht="14">
      <c r="A436" s="50" t="s">
        <v>4134</v>
      </c>
      <c r="B436" s="50" t="s">
        <v>4135</v>
      </c>
      <c r="C436" s="56" t="s">
        <v>14603</v>
      </c>
      <c r="D436" s="50">
        <v>641</v>
      </c>
      <c r="E436" s="50" t="str">
        <f t="shared" si="5"/>
        <v>E3.2.1.23</v>
      </c>
      <c r="F436" s="97" t="s">
        <v>14604</v>
      </c>
      <c r="G436" s="97" t="s">
        <v>14605</v>
      </c>
      <c r="H436" s="97" t="s">
        <v>14606</v>
      </c>
      <c r="I436" s="97" t="s">
        <v>14607</v>
      </c>
      <c r="J436" s="50" t="str">
        <f t="shared" si="3"/>
        <v>(${Variables:E3.2.1.23_kcat} * E3.2.1.23 * C00243 * C00001)/(${Variables:E3.2.1.23_km} + (E3.2.1.23 * C00243 * C00001))</v>
      </c>
      <c r="K436" s="98" t="str">
        <f t="shared" si="4"/>
        <v>r641: C00243 + C00001 -&gt; C00031 + C00962 | (${Variables:E3.2.1.23_kcat} * E3.2.1.23 * C00243 * C00001)/(${Variables:E3.2.1.23_km} + (E3.2.1.23 * C00243 * C00001))</v>
      </c>
    </row>
    <row r="437" spans="1:11" ht="14">
      <c r="A437" s="50" t="s">
        <v>4134</v>
      </c>
      <c r="B437" s="50" t="s">
        <v>4135</v>
      </c>
      <c r="C437" s="56" t="s">
        <v>14608</v>
      </c>
      <c r="D437" s="50">
        <v>642</v>
      </c>
      <c r="E437" s="50" t="str">
        <f t="shared" si="5"/>
        <v>E3.2.1.23</v>
      </c>
      <c r="F437" s="97" t="s">
        <v>14609</v>
      </c>
      <c r="G437" s="97" t="s">
        <v>14610</v>
      </c>
      <c r="H437" s="97" t="s">
        <v>14611</v>
      </c>
      <c r="I437" s="97" t="s">
        <v>14612</v>
      </c>
      <c r="J437" s="50" t="str">
        <f t="shared" si="3"/>
        <v>(${Variables:E3.2.1.23_kcat} * E3.2.1.23 * C00243 * C00001)/(${Variables:E3.2.1.23_km} + (E3.2.1.23 * C00243 * C00001))</v>
      </c>
      <c r="K437" s="98" t="str">
        <f t="shared" si="4"/>
        <v>r642: C00243 + C00001 -&gt; C00267 + C00124 | (${Variables:E3.2.1.23_kcat} * E3.2.1.23 * C00243 * C00001)/(${Variables:E3.2.1.23_km} + (E3.2.1.23 * C00243 * C00001))</v>
      </c>
    </row>
    <row r="438" spans="1:11" ht="14">
      <c r="A438" s="50" t="s">
        <v>4134</v>
      </c>
      <c r="B438" s="50" t="s">
        <v>4135</v>
      </c>
      <c r="C438" s="56" t="s">
        <v>14613</v>
      </c>
      <c r="D438" s="50">
        <v>643</v>
      </c>
      <c r="E438" s="50" t="str">
        <f t="shared" si="5"/>
        <v>E3.2.1.23</v>
      </c>
      <c r="F438" s="97" t="s">
        <v>14614</v>
      </c>
      <c r="G438" s="97" t="s">
        <v>14615</v>
      </c>
      <c r="H438" s="97" t="s">
        <v>14616</v>
      </c>
      <c r="I438" s="97" t="s">
        <v>14617</v>
      </c>
      <c r="J438" s="50" t="str">
        <f t="shared" si="3"/>
        <v>(${Variables:E3.2.1.23_kcat} * E3.2.1.23 * C01290 * C00001)/(${Variables:E3.2.1.23_km} + (E3.2.1.23 * C01290 * C00001))</v>
      </c>
      <c r="K438" s="98" t="str">
        <f t="shared" si="4"/>
        <v>r643: C01290 + C00001 -&gt; C01190 + C00124 | (${Variables:E3.2.1.23_kcat} * E3.2.1.23 * C01290 * C00001)/(${Variables:E3.2.1.23_km} + (E3.2.1.23 * C01290 * C00001))</v>
      </c>
    </row>
    <row r="439" spans="1:11" ht="14">
      <c r="A439" s="50" t="s">
        <v>4134</v>
      </c>
      <c r="B439" s="50" t="s">
        <v>4135</v>
      </c>
      <c r="C439" s="56" t="s">
        <v>14618</v>
      </c>
      <c r="D439" s="50">
        <v>644</v>
      </c>
      <c r="E439" s="50" t="str">
        <f t="shared" si="5"/>
        <v>E3.2.1.23</v>
      </c>
      <c r="F439" s="97" t="s">
        <v>14619</v>
      </c>
      <c r="G439" s="97" t="s">
        <v>14620</v>
      </c>
      <c r="H439" s="97" t="s">
        <v>14621</v>
      </c>
      <c r="I439" s="97" t="s">
        <v>14622</v>
      </c>
      <c r="J439" s="50" t="str">
        <f t="shared" si="3"/>
        <v>(${Variables:E3.2.1.23_kcat} * E3.2.1.23 * C04911 * C00001)/(${Variables:E3.2.1.23_km} + (E3.2.1.23 * C04911 * C00001))</v>
      </c>
      <c r="K439" s="98" t="str">
        <f t="shared" si="4"/>
        <v>r644: C04911 + C00001 -&gt; C04884 + C00124 | (${Variables:E3.2.1.23_kcat} * E3.2.1.23 * C04911 * C00001)/(${Variables:E3.2.1.23_km} + (E3.2.1.23 * C04911 * C00001))</v>
      </c>
    </row>
    <row r="440" spans="1:11" ht="14">
      <c r="A440" s="50" t="s">
        <v>4134</v>
      </c>
      <c r="B440" s="50" t="s">
        <v>4135</v>
      </c>
      <c r="C440" s="56" t="s">
        <v>14623</v>
      </c>
      <c r="D440" s="50">
        <v>645</v>
      </c>
      <c r="E440" s="50" t="str">
        <f t="shared" si="5"/>
        <v>E3.2.1.23</v>
      </c>
      <c r="F440" s="97" t="s">
        <v>14624</v>
      </c>
      <c r="G440" s="97" t="s">
        <v>14625</v>
      </c>
      <c r="H440" s="97" t="s">
        <v>14626</v>
      </c>
      <c r="I440" s="97" t="s">
        <v>14627</v>
      </c>
      <c r="J440" s="50" t="str">
        <f t="shared" si="3"/>
        <v>(${Variables:E3.2.1.23_kcat} * E3.2.1.23 * C05403 * C00001)/(${Variables:E3.2.1.23_km} + (E3.2.1.23 * C05403 * C00001))</v>
      </c>
      <c r="K440" s="98" t="str">
        <f t="shared" si="4"/>
        <v>r645: C05403 + C00001 -&gt; C05394 + C00221 | (${Variables:E3.2.1.23_kcat} * E3.2.1.23 * C05403 * C00001)/(${Variables:E3.2.1.23_km} + (E3.2.1.23 * C05403 * C00001))</v>
      </c>
    </row>
    <row r="441" spans="1:11" ht="14">
      <c r="A441" s="50" t="s">
        <v>4134</v>
      </c>
      <c r="B441" s="50" t="s">
        <v>4135</v>
      </c>
      <c r="C441" s="56" t="s">
        <v>14628</v>
      </c>
      <c r="D441" s="50">
        <v>646</v>
      </c>
      <c r="E441" s="50" t="str">
        <f t="shared" si="5"/>
        <v>E3.2.1.23</v>
      </c>
      <c r="F441" s="97" t="s">
        <v>14629</v>
      </c>
      <c r="G441" s="97" t="s">
        <v>14630</v>
      </c>
      <c r="H441" s="97" t="s">
        <v>14631</v>
      </c>
      <c r="I441" s="97" t="s">
        <v>14632</v>
      </c>
      <c r="J441" s="50" t="str">
        <f t="shared" si="3"/>
        <v>(${Variables:E3.2.1.23_kcat} * E3.2.1.23 * C05796 * C00001)/(${Variables:E3.2.1.23_km} + (E3.2.1.23 * C05796 * C00001))</v>
      </c>
      <c r="K441" s="98" t="str">
        <f t="shared" si="4"/>
        <v>r646: C05796 + C00001 -&gt; C00124 + C05796 | (${Variables:E3.2.1.23_kcat} * E3.2.1.23 * C05796 * C00001)/(${Variables:E3.2.1.23_km} + (E3.2.1.23 * C05796 * C00001))</v>
      </c>
    </row>
    <row r="442" spans="1:11" ht="14">
      <c r="A442" s="50" t="s">
        <v>4134</v>
      </c>
      <c r="B442" s="50" t="s">
        <v>4135</v>
      </c>
      <c r="C442" s="56" t="s">
        <v>14633</v>
      </c>
      <c r="D442" s="50">
        <v>647</v>
      </c>
      <c r="E442" s="50" t="str">
        <f t="shared" si="5"/>
        <v>E3.2.1.23</v>
      </c>
      <c r="F442" s="97" t="s">
        <v>14634</v>
      </c>
      <c r="G442" s="97" t="s">
        <v>14635</v>
      </c>
      <c r="H442" s="97" t="s">
        <v>14636</v>
      </c>
      <c r="I442" s="97" t="s">
        <v>14637</v>
      </c>
      <c r="J442" s="50" t="str">
        <f t="shared" si="3"/>
        <v>(${Variables:E3.2.1.23_kcat} * E3.2.1.23 * C06136 * C00001)/(${Variables:E3.2.1.23_km} + (E3.2.1.23 * C06136 * C00001))</v>
      </c>
      <c r="K442" s="98" t="str">
        <f t="shared" si="4"/>
        <v>r647: C06136 + C00001 -&gt; C06135 + C00124 | (${Variables:E3.2.1.23_kcat} * E3.2.1.23 * C06136 * C00001)/(${Variables:E3.2.1.23_km} + (E3.2.1.23 * C06136 * C00001))</v>
      </c>
    </row>
    <row r="443" spans="1:11" ht="14">
      <c r="A443" s="50" t="s">
        <v>4134</v>
      </c>
      <c r="B443" s="50" t="s">
        <v>4135</v>
      </c>
      <c r="C443" s="56" t="s">
        <v>14638</v>
      </c>
      <c r="D443" s="50">
        <v>648</v>
      </c>
      <c r="E443" s="50" t="str">
        <f t="shared" si="5"/>
        <v>E3.2.1.23</v>
      </c>
      <c r="F443" s="97" t="s">
        <v>14639</v>
      </c>
      <c r="G443" s="97" t="s">
        <v>14640</v>
      </c>
      <c r="H443" s="97" t="s">
        <v>14641</v>
      </c>
      <c r="I443" s="97" t="s">
        <v>14642</v>
      </c>
      <c r="J443" s="50" t="str">
        <f t="shared" si="3"/>
        <v>(${Variables:E3.2.1.23_kcat} * E3.2.1.23 * G00092 * C00001)/(${Variables:E3.2.1.23_km} + (E3.2.1.23 * G00092 * C00001))</v>
      </c>
      <c r="K443" s="98" t="str">
        <f t="shared" si="4"/>
        <v>r648: G00092 + C00001 -&gt; G10238 + C00124 | (${Variables:E3.2.1.23_kcat} * E3.2.1.23 * G00092 * C00001)/(${Variables:E3.2.1.23_km} + (E3.2.1.23 * G00092 * C00001))</v>
      </c>
    </row>
    <row r="444" spans="1:11" ht="14">
      <c r="A444" s="50" t="s">
        <v>4134</v>
      </c>
      <c r="B444" s="50" t="s">
        <v>4135</v>
      </c>
      <c r="C444" s="56" t="s">
        <v>14643</v>
      </c>
      <c r="D444" s="50">
        <v>649</v>
      </c>
      <c r="E444" s="50" t="str">
        <f t="shared" si="5"/>
        <v>E3.2.1.23</v>
      </c>
      <c r="F444" s="97" t="s">
        <v>14644</v>
      </c>
      <c r="G444" s="97" t="s">
        <v>14645</v>
      </c>
      <c r="H444" s="97" t="s">
        <v>14646</v>
      </c>
      <c r="I444" s="97" t="s">
        <v>14647</v>
      </c>
      <c r="J444" s="50" t="str">
        <f t="shared" si="3"/>
        <v>(${Variables:E3.2.1.23_kcat} * E3.2.1.23 * G00110 * C00001)/(${Variables:E3.2.1.23_km} + (E3.2.1.23 * G00110 * C00001))</v>
      </c>
      <c r="K444" s="98" t="str">
        <f t="shared" si="4"/>
        <v>r649: G00110 + C00001 -&gt; G00109 + C00124 | (${Variables:E3.2.1.23_kcat} * E3.2.1.23 * G00110 * C00001)/(${Variables:E3.2.1.23_km} + (E3.2.1.23 * G00110 * C00001))</v>
      </c>
    </row>
    <row r="445" spans="1:11" ht="14">
      <c r="A445" s="50" t="s">
        <v>4134</v>
      </c>
      <c r="B445" s="50" t="s">
        <v>4135</v>
      </c>
      <c r="C445" s="56" t="s">
        <v>14648</v>
      </c>
      <c r="D445" s="50">
        <v>650</v>
      </c>
      <c r="E445" s="50" t="str">
        <f t="shared" si="5"/>
        <v>E3.2.1.23</v>
      </c>
      <c r="F445" s="97" t="s">
        <v>14649</v>
      </c>
      <c r="G445" s="97" t="s">
        <v>14650</v>
      </c>
      <c r="H445" s="97" t="s">
        <v>14651</v>
      </c>
      <c r="I445" s="97" t="s">
        <v>14652</v>
      </c>
      <c r="J445" s="50" t="str">
        <f t="shared" si="3"/>
        <v>(${Variables:E3.2.1.23_kcat} * E3.2.1.23 * G00124 * C00001)/(${Variables:E3.2.1.23_km} + (E3.2.1.23 * G00124 * C00001))</v>
      </c>
      <c r="K445" s="98" t="str">
        <f t="shared" si="4"/>
        <v>r650: G00124 + C00001 -&gt; G00123 + C00124 | (${Variables:E3.2.1.23_kcat} * E3.2.1.23 * G00124 * C00001)/(${Variables:E3.2.1.23_km} + (E3.2.1.23 * G00124 * C00001))</v>
      </c>
    </row>
    <row r="446" spans="1:11" ht="14">
      <c r="A446" s="50" t="s">
        <v>4134</v>
      </c>
      <c r="B446" s="50" t="s">
        <v>4135</v>
      </c>
      <c r="C446" s="56" t="s">
        <v>14653</v>
      </c>
      <c r="D446" s="50">
        <v>651</v>
      </c>
      <c r="E446" s="50" t="str">
        <f t="shared" si="5"/>
        <v>E3.2.1.23</v>
      </c>
      <c r="F446" s="97" t="s">
        <v>14654</v>
      </c>
      <c r="G446" s="97" t="s">
        <v>14655</v>
      </c>
      <c r="H446" s="97" t="s">
        <v>14656</v>
      </c>
      <c r="I446" s="97" t="s">
        <v>14657</v>
      </c>
      <c r="J446" s="50" t="str">
        <f t="shared" si="3"/>
        <v>(${Variables:E3.2.1.23_kcat} * E3.2.1.23 * G01977 * C00001)/(${Variables:E3.2.1.23_km} + (E3.2.1.23 * G01977 * C00001))</v>
      </c>
      <c r="K446" s="98" t="str">
        <f t="shared" si="4"/>
        <v>r651: G01977 + C00001 -&gt; G13073 + C00124 | (${Variables:E3.2.1.23_kcat} * E3.2.1.23 * G01977 * C00001)/(${Variables:E3.2.1.23_km} + (E3.2.1.23 * G01977 * C00001))</v>
      </c>
    </row>
    <row r="447" spans="1:11" ht="14">
      <c r="A447" s="50" t="s">
        <v>4134</v>
      </c>
      <c r="B447" s="50" t="s">
        <v>4135</v>
      </c>
      <c r="C447" s="56" t="s">
        <v>14658</v>
      </c>
      <c r="D447" s="50">
        <v>652</v>
      </c>
      <c r="E447" s="50" t="str">
        <f t="shared" si="5"/>
        <v>E3.2.1.23</v>
      </c>
      <c r="F447" s="97" t="s">
        <v>14659</v>
      </c>
      <c r="G447" s="97" t="s">
        <v>14660</v>
      </c>
      <c r="H447" s="97" t="s">
        <v>14661</v>
      </c>
      <c r="I447" s="97" t="s">
        <v>14662</v>
      </c>
      <c r="J447" s="50" t="str">
        <f t="shared" si="3"/>
        <v>(${Variables:E3.2.1.23_kcat} * E3.2.1.23 * G10504 * C00001)/(${Variables:E3.2.1.23_km} + (E3.2.1.23 * G10504 * C00001))</v>
      </c>
      <c r="K447" s="98" t="str">
        <f t="shared" si="4"/>
        <v>r652: G10504 + C00001 -&gt; C00267 + C00124 | (${Variables:E3.2.1.23_kcat} * E3.2.1.23 * G10504 * C00001)/(${Variables:E3.2.1.23_km} + (E3.2.1.23 * G10504 * C00001))</v>
      </c>
    </row>
    <row r="448" spans="1:11" ht="14">
      <c r="A448" s="50" t="s">
        <v>4134</v>
      </c>
      <c r="B448" s="50" t="s">
        <v>4135</v>
      </c>
      <c r="C448" s="56" t="s">
        <v>14663</v>
      </c>
      <c r="D448" s="50">
        <v>653</v>
      </c>
      <c r="E448" s="50" t="str">
        <f t="shared" si="5"/>
        <v>E3.2.1.23</v>
      </c>
      <c r="F448" s="97" t="s">
        <v>14664</v>
      </c>
      <c r="G448" s="97" t="s">
        <v>14665</v>
      </c>
      <c r="H448" s="97" t="s">
        <v>14666</v>
      </c>
      <c r="I448" s="97" t="s">
        <v>14667</v>
      </c>
      <c r="J448" s="50" t="str">
        <f t="shared" si="3"/>
        <v>(${Variables:E3.2.1.23_kcat} * E3.2.1.23 * G10504 * C00001)/(${Variables:E3.2.1.23_km} + (E3.2.1.23 * G10504 * C00001))</v>
      </c>
      <c r="K448" s="98" t="str">
        <f t="shared" si="4"/>
        <v>r653: G10504 + C00001 -&gt; C00031 + C00962 | (${Variables:E3.2.1.23_kcat} * E3.2.1.23 * G10504 * C00001)/(${Variables:E3.2.1.23_km} + (E3.2.1.23 * G10504 * C00001))</v>
      </c>
    </row>
    <row r="449" spans="1:11" ht="14">
      <c r="A449" s="50" t="s">
        <v>4134</v>
      </c>
      <c r="B449" s="50" t="s">
        <v>4135</v>
      </c>
      <c r="C449" s="56" t="s">
        <v>14668</v>
      </c>
      <c r="D449" s="50">
        <v>654</v>
      </c>
      <c r="E449" s="50" t="str">
        <f t="shared" si="5"/>
        <v>E3.2.1.23</v>
      </c>
      <c r="F449" s="97" t="s">
        <v>14669</v>
      </c>
      <c r="G449" s="97" t="s">
        <v>14670</v>
      </c>
      <c r="H449" s="97" t="s">
        <v>14671</v>
      </c>
      <c r="I449" s="97" t="s">
        <v>14672</v>
      </c>
      <c r="J449" s="50" t="str">
        <f t="shared" si="3"/>
        <v>(${Variables:E3.2.1.23_kcat} * E3.2.1.23 * G10531 * C00001)/(${Variables:E3.2.1.23_km} + (E3.2.1.23 * G10531 * C00001))</v>
      </c>
      <c r="K449" s="98" t="str">
        <f t="shared" si="4"/>
        <v>r654: G10531 + C00001 -&gt; C05394 + C00221 | (${Variables:E3.2.1.23_kcat} * E3.2.1.23 * G10531 * C00001)/(${Variables:E3.2.1.23_km} + (E3.2.1.23 * G10531 * C00001))</v>
      </c>
    </row>
    <row r="450" spans="1:11" ht="14">
      <c r="A450" s="50" t="s">
        <v>4134</v>
      </c>
      <c r="B450" s="50" t="s">
        <v>4135</v>
      </c>
      <c r="C450" s="56" t="s">
        <v>14673</v>
      </c>
      <c r="D450" s="50">
        <v>655</v>
      </c>
      <c r="E450" s="50" t="str">
        <f t="shared" si="5"/>
        <v>E3.2.1.23</v>
      </c>
      <c r="F450" s="97" t="s">
        <v>17425</v>
      </c>
      <c r="G450" s="97" t="s">
        <v>17434</v>
      </c>
      <c r="H450" s="97" t="s">
        <v>17417</v>
      </c>
      <c r="I450" s="97" t="s">
        <v>17418</v>
      </c>
      <c r="J450" s="50" t="str">
        <f t="shared" si="3"/>
        <v>(${Variables:E3.2.1.23_kcat} * E3.2.1.23 * G10534 * C00001)/(${Variables:E3.2.1.23_km} + (E3.2.1.23 * G10534 * C00001))</v>
      </c>
      <c r="K450" s="98" t="str">
        <f t="shared" si="4"/>
        <v>r655: G10534 + C00001 -&gt; C00124 + G10534 | (${Variables:E3.2.1.23_kcat} * E3.2.1.23 * G10534 * C00001)/(${Variables:E3.2.1.23_km} + (E3.2.1.23 * G10534 * C00001))</v>
      </c>
    </row>
    <row r="451" spans="1:11" ht="14">
      <c r="A451" s="50" t="s">
        <v>3089</v>
      </c>
      <c r="B451" s="50" t="s">
        <v>3090</v>
      </c>
      <c r="C451" s="56" t="s">
        <v>14674</v>
      </c>
      <c r="D451" s="50">
        <v>658</v>
      </c>
      <c r="E451" s="50" t="str">
        <f t="shared" si="5"/>
        <v>E3.2.1.26</v>
      </c>
      <c r="F451" s="97" t="s">
        <v>14675</v>
      </c>
      <c r="G451" s="97" t="s">
        <v>14676</v>
      </c>
      <c r="H451" s="97" t="s">
        <v>14677</v>
      </c>
      <c r="I451" s="97" t="s">
        <v>14678</v>
      </c>
      <c r="J451" s="50" t="str">
        <f t="shared" si="3"/>
        <v>(${Variables:E3.2.1.26_kcat} * E3.2.1.26 * C00492 * C00001)/(${Variables:E3.2.1.26_km} + (E3.2.1.26 * C00492 * C00001))</v>
      </c>
      <c r="K451" s="98" t="str">
        <f t="shared" si="4"/>
        <v>r658: C00492 + C00001 -&gt; C05402 + C00095 | (${Variables:E3.2.1.26_kcat} * E3.2.1.26 * C00492 * C00001)/(${Variables:E3.2.1.26_km} + (E3.2.1.26 * C00492 * C00001))</v>
      </c>
    </row>
    <row r="452" spans="1:11" ht="14">
      <c r="A452" s="50" t="s">
        <v>3089</v>
      </c>
      <c r="B452" s="50" t="s">
        <v>3090</v>
      </c>
      <c r="C452" s="56" t="s">
        <v>14679</v>
      </c>
      <c r="D452" s="50">
        <v>659</v>
      </c>
      <c r="E452" s="50" t="str">
        <f t="shared" si="5"/>
        <v>E3.2.1.26</v>
      </c>
      <c r="F452" s="97" t="s">
        <v>14680</v>
      </c>
      <c r="G452" s="97" t="s">
        <v>14681</v>
      </c>
      <c r="H452" s="97" t="s">
        <v>14682</v>
      </c>
      <c r="I452" s="97" t="s">
        <v>14683</v>
      </c>
      <c r="J452" s="50" t="str">
        <f t="shared" si="3"/>
        <v>(${Variables:E3.2.1.26_kcat} * E3.2.1.26 * C01613 * C00001)/(${Variables:E3.2.1.26_km} + (E3.2.1.26 * C01613 * C00001))</v>
      </c>
      <c r="K452" s="98" t="str">
        <f t="shared" si="4"/>
        <v>r659: C01613 + C00001 -&gt; C05404 + C00095 | (${Variables:E3.2.1.26_kcat} * E3.2.1.26 * C01613 * C00001)/(${Variables:E3.2.1.26_km} + (E3.2.1.26 * C01613 * C00001))</v>
      </c>
    </row>
    <row r="453" spans="1:11" ht="14">
      <c r="A453" s="50" t="s">
        <v>3089</v>
      </c>
      <c r="B453" s="50" t="s">
        <v>3090</v>
      </c>
      <c r="C453" s="56" t="s">
        <v>14684</v>
      </c>
      <c r="D453" s="50">
        <v>660</v>
      </c>
      <c r="E453" s="50" t="str">
        <f t="shared" si="5"/>
        <v>E3.2.1.26</v>
      </c>
      <c r="F453" s="97" t="s">
        <v>14685</v>
      </c>
      <c r="G453" s="97" t="s">
        <v>14686</v>
      </c>
      <c r="H453" s="97" t="s">
        <v>14687</v>
      </c>
      <c r="I453" s="97" t="s">
        <v>14688</v>
      </c>
      <c r="J453" s="50" t="str">
        <f t="shared" si="3"/>
        <v>(${Variables:E3.2.1.26_kcat} * E3.2.1.26 * C16688 * C00001)/(${Variables:E3.2.1.26_km} + (E3.2.1.26 * C16688 * C00001))</v>
      </c>
      <c r="K453" s="98" t="str">
        <f t="shared" si="4"/>
        <v>r660: C16688 + C00001 -&gt; C00095 + C00092 | (${Variables:E3.2.1.26_kcat} * E3.2.1.26 * C16688 * C00001)/(${Variables:E3.2.1.26_km} + (E3.2.1.26 * C16688 * C00001))</v>
      </c>
    </row>
    <row r="454" spans="1:11" ht="14">
      <c r="A454" s="50" t="s">
        <v>3089</v>
      </c>
      <c r="B454" s="50" t="s">
        <v>3090</v>
      </c>
      <c r="C454" s="56" t="s">
        <v>14689</v>
      </c>
      <c r="D454" s="50">
        <v>663</v>
      </c>
      <c r="E454" s="50" t="str">
        <f t="shared" si="5"/>
        <v>E3.2.1.26</v>
      </c>
      <c r="F454" s="97" t="s">
        <v>14690</v>
      </c>
      <c r="G454" s="97" t="s">
        <v>14691</v>
      </c>
      <c r="H454" s="97" t="s">
        <v>14692</v>
      </c>
      <c r="I454" s="97" t="s">
        <v>14693</v>
      </c>
      <c r="J454" s="50" t="str">
        <f t="shared" si="3"/>
        <v>(${Variables:E3.2.1.26_kcat} * E3.2.1.26 * G00249 * C00001)/(${Variables:E3.2.1.26_km} + (E3.2.1.26 * G00249 * C00001))</v>
      </c>
      <c r="K454" s="98" t="str">
        <f t="shared" si="4"/>
        <v>r663: G00249 + C00001 -&gt; G01275 + C00095 | (${Variables:E3.2.1.26_kcat} * E3.2.1.26 * G00249 * C00001)/(${Variables:E3.2.1.26_km} + (E3.2.1.26 * G00249 * C00001))</v>
      </c>
    </row>
    <row r="455" spans="1:11" ht="14">
      <c r="A455" s="50" t="s">
        <v>3089</v>
      </c>
      <c r="B455" s="50" t="s">
        <v>3090</v>
      </c>
      <c r="C455" s="56" t="s">
        <v>14694</v>
      </c>
      <c r="D455" s="50">
        <v>664</v>
      </c>
      <c r="E455" s="50" t="str">
        <f t="shared" si="5"/>
        <v>E3.2.1.26</v>
      </c>
      <c r="F455" s="97" t="s">
        <v>14695</v>
      </c>
      <c r="G455" s="97" t="s">
        <v>14696</v>
      </c>
      <c r="H455" s="97" t="s">
        <v>14697</v>
      </c>
      <c r="I455" s="97" t="s">
        <v>14698</v>
      </c>
      <c r="J455" s="50" t="str">
        <f t="shared" si="3"/>
        <v>(${Variables:E3.2.1.26_kcat} * E3.2.1.26 * G00278 * C00001)/(${Variables:E3.2.1.26_km} + (E3.2.1.26 * G00278 * C00001))</v>
      </c>
      <c r="K455" s="98" t="str">
        <f t="shared" si="4"/>
        <v>r664: G00278 + C00001 -&gt; G00501 + C00095 | (${Variables:E3.2.1.26_kcat} * E3.2.1.26 * G00278 * C00001)/(${Variables:E3.2.1.26_km} + (E3.2.1.26 * G00278 * C00001))</v>
      </c>
    </row>
    <row r="456" spans="1:11" ht="14">
      <c r="A456" s="50" t="s">
        <v>3089</v>
      </c>
      <c r="B456" s="50" t="s">
        <v>3090</v>
      </c>
      <c r="C456" s="56" t="s">
        <v>14699</v>
      </c>
      <c r="D456" s="50">
        <v>665</v>
      </c>
      <c r="E456" s="50" t="str">
        <f t="shared" si="5"/>
        <v>E3.2.1.26</v>
      </c>
      <c r="F456" s="97" t="s">
        <v>14700</v>
      </c>
      <c r="G456" s="97" t="s">
        <v>14701</v>
      </c>
      <c r="H456" s="97" t="s">
        <v>14702</v>
      </c>
      <c r="I456" s="97" t="s">
        <v>14703</v>
      </c>
      <c r="J456" s="50" t="str">
        <f t="shared" si="3"/>
        <v>(${Variables:E3.2.1.26_kcat} * E3.2.1.26 * G10508 * C00001)/(${Variables:E3.2.1.26_km} + (E3.2.1.26 * G10508 * C00001))</v>
      </c>
      <c r="K456" s="98" t="str">
        <f t="shared" si="4"/>
        <v>r665: G10508 + C00001 -&gt; C02336 + C00668 | (${Variables:E3.2.1.26_kcat} * E3.2.1.26 * G10508 * C00001)/(${Variables:E3.2.1.26_km} + (E3.2.1.26 * G10508 * C00001))</v>
      </c>
    </row>
    <row r="457" spans="1:11" ht="14">
      <c r="A457" s="50" t="s">
        <v>2405</v>
      </c>
      <c r="B457" s="50" t="s">
        <v>2406</v>
      </c>
      <c r="C457" s="56" t="s">
        <v>14704</v>
      </c>
      <c r="D457" s="50">
        <v>666</v>
      </c>
      <c r="E457" s="50" t="str">
        <f t="shared" si="5"/>
        <v>E3.2.1.86</v>
      </c>
      <c r="F457" s="97" t="s">
        <v>14705</v>
      </c>
      <c r="G457" s="97" t="s">
        <v>14706</v>
      </c>
      <c r="H457" s="97" t="s">
        <v>14707</v>
      </c>
      <c r="I457" s="97" t="s">
        <v>14708</v>
      </c>
      <c r="J457" s="50" t="str">
        <f t="shared" si="3"/>
        <v>(${Variables:E3.2.1.86_kcat} * E3.2.1.86 * C04534 * C00001)/(${Variables:E3.2.1.86_km} + (E3.2.1.86 * C04534 * C00001))</v>
      </c>
      <c r="K457" s="98" t="str">
        <f t="shared" si="4"/>
        <v>r666: C04534 + C00001 -&gt; C00031 + C00092 | (${Variables:E3.2.1.86_kcat} * E3.2.1.86 * C04534 * C00001)/(${Variables:E3.2.1.86_km} + (E3.2.1.86 * C04534 * C00001))</v>
      </c>
    </row>
    <row r="458" spans="1:11" ht="14">
      <c r="A458" s="50" t="s">
        <v>2405</v>
      </c>
      <c r="B458" s="50" t="s">
        <v>2406</v>
      </c>
      <c r="C458" s="56" t="s">
        <v>14709</v>
      </c>
      <c r="D458" s="50">
        <v>667</v>
      </c>
      <c r="E458" s="50" t="str">
        <f t="shared" si="5"/>
        <v>E3.2.1.86</v>
      </c>
      <c r="F458" s="97" t="s">
        <v>14710</v>
      </c>
      <c r="G458" s="97" t="s">
        <v>14711</v>
      </c>
      <c r="H458" s="97" t="s">
        <v>14712</v>
      </c>
      <c r="I458" s="97" t="s">
        <v>14713</v>
      </c>
      <c r="J458" s="50" t="str">
        <f t="shared" si="3"/>
        <v>(${Variables:E3.2.1.86_kcat} * E3.2.1.86 * C06187 * C00001)/(${Variables:E3.2.1.86_km} + (E3.2.1.86 * C06187 * C00001))</v>
      </c>
      <c r="K458" s="98" t="str">
        <f t="shared" si="4"/>
        <v>r667: C06187 + C00001 -&gt; C00530 + C01172 | (${Variables:E3.2.1.86_kcat} * E3.2.1.86 * C06187 * C00001)/(${Variables:E3.2.1.86_km} + (E3.2.1.86 * C06187 * C00001))</v>
      </c>
    </row>
    <row r="459" spans="1:11" ht="14">
      <c r="A459" s="50" t="s">
        <v>2405</v>
      </c>
      <c r="B459" s="50" t="s">
        <v>2406</v>
      </c>
      <c r="C459" s="56" t="s">
        <v>14714</v>
      </c>
      <c r="D459" s="50">
        <v>668</v>
      </c>
      <c r="E459" s="50" t="str">
        <f t="shared" si="5"/>
        <v>E3.2.1.86</v>
      </c>
      <c r="F459" s="97" t="s">
        <v>14715</v>
      </c>
      <c r="G459" s="97" t="s">
        <v>14716</v>
      </c>
      <c r="H459" s="97" t="s">
        <v>14717</v>
      </c>
      <c r="I459" s="97" t="s">
        <v>14718</v>
      </c>
      <c r="J459" s="50" t="str">
        <f t="shared" si="3"/>
        <v>(${Variables:E3.2.1.86_kcat} * E3.2.1.86 * C06188 * C00001)/(${Variables:E3.2.1.86_km} + (E3.2.1.86 * C06188 * C00001))</v>
      </c>
      <c r="K459" s="98" t="str">
        <f t="shared" si="4"/>
        <v>r668: C06188 + C00001 -&gt; C02323 + C01172 | (${Variables:E3.2.1.86_kcat} * E3.2.1.86 * C06188 * C00001)/(${Variables:E3.2.1.86_km} + (E3.2.1.86 * C06188 * C00001))</v>
      </c>
    </row>
    <row r="460" spans="1:11" ht="14">
      <c r="A460" s="50" t="s">
        <v>2405</v>
      </c>
      <c r="B460" s="50" t="s">
        <v>2406</v>
      </c>
      <c r="C460" s="56" t="s">
        <v>14719</v>
      </c>
      <c r="D460" s="50">
        <v>669</v>
      </c>
      <c r="E460" s="50" t="str">
        <f t="shared" si="5"/>
        <v>E3.2.1.86</v>
      </c>
      <c r="F460" s="97" t="s">
        <v>14720</v>
      </c>
      <c r="G460" s="97" t="s">
        <v>14721</v>
      </c>
      <c r="H460" s="97" t="s">
        <v>14722</v>
      </c>
      <c r="I460" s="97" t="s">
        <v>14723</v>
      </c>
      <c r="J460" s="50" t="str">
        <f t="shared" si="3"/>
        <v>(${Variables:E3.2.1.86_kcat} * E3.2.1.86 * G10518 * C00001)/(${Variables:E3.2.1.86_km} + (E3.2.1.86 * G10518 * C00001))</v>
      </c>
      <c r="K460" s="98" t="str">
        <f t="shared" si="4"/>
        <v>r669: G10518 + C00001 -&gt; C00031 + C00092 | (${Variables:E3.2.1.86_kcat} * E3.2.1.86 * G10518 * C00001)/(${Variables:E3.2.1.86_km} + (E3.2.1.86 * G10518 * C00001))</v>
      </c>
    </row>
    <row r="461" spans="1:11" ht="14">
      <c r="A461" s="50" t="s">
        <v>6644</v>
      </c>
      <c r="B461" s="50" t="s">
        <v>6645</v>
      </c>
      <c r="C461" s="56" t="s">
        <v>14724</v>
      </c>
      <c r="D461" s="50">
        <v>674</v>
      </c>
      <c r="E461" s="50" t="str">
        <f t="shared" si="5"/>
        <v>E3.2.1.93</v>
      </c>
      <c r="F461" s="97" t="s">
        <v>14725</v>
      </c>
      <c r="G461" s="97" t="s">
        <v>14726</v>
      </c>
      <c r="H461" s="97" t="s">
        <v>14727</v>
      </c>
      <c r="I461" s="97" t="s">
        <v>14728</v>
      </c>
      <c r="J461" s="50" t="str">
        <f t="shared" si="3"/>
        <v>(${Variables:E3.2.1.93_kcat} * E3.2.1.93 * C00001 * C00689)/(${Variables:E3.2.1.93_km} + (E3.2.1.93 * C00001 * C00689))</v>
      </c>
      <c r="K461" s="98" t="str">
        <f t="shared" si="4"/>
        <v>r674: C00001 + C00689 -&gt; C00031 + C00092 | (${Variables:E3.2.1.93_kcat} * E3.2.1.93 * C00001 * C00689)/(${Variables:E3.2.1.93_km} + (E3.2.1.93 * C00001 * C00689))</v>
      </c>
    </row>
    <row r="462" spans="1:11" ht="14">
      <c r="A462" s="50" t="s">
        <v>6644</v>
      </c>
      <c r="B462" s="50" t="s">
        <v>6645</v>
      </c>
      <c r="C462" s="56" t="s">
        <v>14729</v>
      </c>
      <c r="D462" s="50">
        <v>675</v>
      </c>
      <c r="E462" s="50" t="str">
        <f t="shared" si="5"/>
        <v>E3.2.1.93</v>
      </c>
      <c r="F462" s="97" t="s">
        <v>14730</v>
      </c>
      <c r="G462" s="97" t="s">
        <v>14731</v>
      </c>
      <c r="H462" s="97" t="s">
        <v>14732</v>
      </c>
      <c r="I462" s="97" t="s">
        <v>14733</v>
      </c>
      <c r="J462" s="50" t="str">
        <f t="shared" si="3"/>
        <v>(${Variables:E3.2.1.93_kcat} * E3.2.1.93 * C00001 * G09795)/(${Variables:E3.2.1.93_km} + (E3.2.1.93 * C00001 * G09795))</v>
      </c>
      <c r="K462" s="98" t="str">
        <f t="shared" si="4"/>
        <v>r675: C00001 + G09795 -&gt; C00031 + C00092 | (${Variables:E3.2.1.93_kcat} * E3.2.1.93 * C00001 * G09795)/(${Variables:E3.2.1.93_km} + (E3.2.1.93 * C00001 * G09795))</v>
      </c>
    </row>
    <row r="463" spans="1:11" ht="14">
      <c r="A463" s="50" t="s">
        <v>938</v>
      </c>
      <c r="B463" s="50" t="s">
        <v>939</v>
      </c>
      <c r="C463" s="56" t="s">
        <v>14734</v>
      </c>
      <c r="D463" s="50">
        <v>679</v>
      </c>
      <c r="E463" s="50" t="str">
        <f t="shared" si="5"/>
        <v>E3.2.2.9</v>
      </c>
      <c r="F463" s="97" t="s">
        <v>14735</v>
      </c>
      <c r="G463" s="97" t="s">
        <v>14736</v>
      </c>
      <c r="H463" s="97" t="s">
        <v>14737</v>
      </c>
      <c r="I463" s="97" t="s">
        <v>14738</v>
      </c>
      <c r="J463" s="50" t="str">
        <f t="shared" si="3"/>
        <v>(${Variables:E3.2.2.9_kcat} * E3.2.2.9 * C00021 * C00001)/(${Variables:E3.2.2.9_km} + (E3.2.2.9 * C00021 * C00001))</v>
      </c>
      <c r="K463" s="98" t="str">
        <f t="shared" si="4"/>
        <v>r679: C00021 + C00001 -&gt; C03539 + C00147 | (${Variables:E3.2.2.9_kcat} * E3.2.2.9 * C00021 * C00001)/(${Variables:E3.2.2.9_km} + (E3.2.2.9 * C00021 * C00001))</v>
      </c>
    </row>
    <row r="464" spans="1:11" ht="14">
      <c r="A464" s="50" t="s">
        <v>938</v>
      </c>
      <c r="B464" s="50" t="s">
        <v>939</v>
      </c>
      <c r="C464" s="56" t="s">
        <v>14739</v>
      </c>
      <c r="D464" s="50">
        <v>680</v>
      </c>
      <c r="E464" s="50" t="str">
        <f t="shared" si="5"/>
        <v>E3.2.2.9</v>
      </c>
      <c r="F464" s="97" t="s">
        <v>14740</v>
      </c>
      <c r="G464" s="97" t="s">
        <v>14741</v>
      </c>
      <c r="H464" s="97" t="s">
        <v>14742</v>
      </c>
      <c r="I464" s="97" t="s">
        <v>14743</v>
      </c>
      <c r="J464" s="50" t="str">
        <f t="shared" si="3"/>
        <v>(${Variables:E3.2.2.9_kcat} * E3.2.2.9 * C00170 * C00001)/(${Variables:E3.2.2.9_km} + (E3.2.2.9 * C00170 * C00001))</v>
      </c>
      <c r="K464" s="98" t="str">
        <f t="shared" si="4"/>
        <v>r680: C00170 + C00001 -&gt; C00147 + C03089 | (${Variables:E3.2.2.9_kcat} * E3.2.2.9 * C00170 * C00001)/(${Variables:E3.2.2.9_km} + (E3.2.2.9 * C00170 * C00001))</v>
      </c>
    </row>
    <row r="465" spans="1:11" ht="14">
      <c r="A465" s="50" t="s">
        <v>938</v>
      </c>
      <c r="B465" s="50" t="s">
        <v>939</v>
      </c>
      <c r="C465" s="56" t="s">
        <v>14744</v>
      </c>
      <c r="D465" s="50">
        <v>681</v>
      </c>
      <c r="E465" s="50" t="str">
        <f t="shared" si="5"/>
        <v>E3.2.2.9</v>
      </c>
      <c r="F465" s="97" t="s">
        <v>14745</v>
      </c>
      <c r="G465" s="97" t="s">
        <v>14746</v>
      </c>
      <c r="H465" s="97" t="s">
        <v>14747</v>
      </c>
      <c r="I465" s="97" t="s">
        <v>14748</v>
      </c>
      <c r="J465" s="50" t="str">
        <f t="shared" si="3"/>
        <v>(${Variables:E3.2.2.9_kcat} * E3.2.2.9 * C05198 * C00001)/(${Variables:E3.2.2.9_km} + (E3.2.2.9 * C05198 * C00001))</v>
      </c>
      <c r="K465" s="98" t="str">
        <f t="shared" si="4"/>
        <v>r681: C05198 + C00001 -&gt; C22288 + C00147 | (${Variables:E3.2.2.9_kcat} * E3.2.2.9 * C05198 * C00001)/(${Variables:E3.2.2.9_km} + (E3.2.2.9 * C05198 * C00001))</v>
      </c>
    </row>
    <row r="466" spans="1:11" ht="14">
      <c r="A466" s="50" t="s">
        <v>5902</v>
      </c>
      <c r="B466" s="50" t="s">
        <v>5903</v>
      </c>
      <c r="C466" s="56" t="s">
        <v>14749</v>
      </c>
      <c r="D466" s="50">
        <v>684</v>
      </c>
      <c r="E466" s="50" t="str">
        <f t="shared" si="5"/>
        <v>E3.4.11.5</v>
      </c>
      <c r="F466" s="97" t="s">
        <v>14750</v>
      </c>
      <c r="G466" s="97" t="s">
        <v>14751</v>
      </c>
      <c r="H466" s="97" t="s">
        <v>14752</v>
      </c>
      <c r="I466" s="97" t="s">
        <v>14753</v>
      </c>
      <c r="J466" s="50" t="str">
        <f t="shared" si="3"/>
        <v>(${Variables:E3.4.11.5_kcat} * E3.4.11.5 * C00012 * C00001)/(${Variables:E3.4.11.5_km} + (E3.4.11.5 * C00012 * C00001))</v>
      </c>
      <c r="K466" s="98" t="str">
        <f t="shared" si="4"/>
        <v>r684: C00012 + C00001 -&gt; C00148 + C00012 | (${Variables:E3.4.11.5_kcat} * E3.4.11.5 * C00012 * C00001)/(${Variables:E3.4.11.5_km} + (E3.4.11.5 * C00012 * C00001))</v>
      </c>
    </row>
    <row r="467" spans="1:11" ht="14">
      <c r="A467" s="50" t="s">
        <v>2332</v>
      </c>
      <c r="B467" s="50" t="s">
        <v>2333</v>
      </c>
      <c r="C467" s="56" t="s">
        <v>14754</v>
      </c>
      <c r="D467" s="50">
        <v>696</v>
      </c>
      <c r="E467" s="50" t="str">
        <f t="shared" si="5"/>
        <v>E3.5.1.2</v>
      </c>
      <c r="F467" s="97" t="s">
        <v>14755</v>
      </c>
      <c r="G467" s="97" t="s">
        <v>14756</v>
      </c>
      <c r="H467" s="97" t="s">
        <v>14757</v>
      </c>
      <c r="I467" s="97" t="s">
        <v>14758</v>
      </c>
      <c r="J467" s="50" t="str">
        <f t="shared" si="3"/>
        <v>(${Variables:E3.5.1.2_kcat} * E3.5.1.2 * C00241 * C00001)/(${Variables:E3.5.1.2_km} + (E3.5.1.2 * C00241 * C00001))</v>
      </c>
      <c r="K467" s="98" t="str">
        <f t="shared" si="4"/>
        <v>r696: C00241 + C00001 -&gt; C00060 + C00014 | (${Variables:E3.5.1.2_kcat} * E3.5.1.2 * C00241 * C00001)/(${Variables:E3.5.1.2_km} + (E3.5.1.2 * C00241 * C00001))</v>
      </c>
    </row>
    <row r="468" spans="1:11" ht="14">
      <c r="A468" s="50" t="s">
        <v>2332</v>
      </c>
      <c r="B468" s="50" t="s">
        <v>2333</v>
      </c>
      <c r="C468" s="56" t="s">
        <v>14759</v>
      </c>
      <c r="D468" s="50">
        <v>697</v>
      </c>
      <c r="E468" s="50" t="str">
        <f t="shared" si="5"/>
        <v>E3.5.1.2</v>
      </c>
      <c r="F468" s="97" t="s">
        <v>14760</v>
      </c>
      <c r="G468" s="97" t="s">
        <v>14761</v>
      </c>
      <c r="H468" s="97" t="s">
        <v>14762</v>
      </c>
      <c r="I468" s="97" t="s">
        <v>14763</v>
      </c>
      <c r="J468" s="50" t="str">
        <f t="shared" si="3"/>
        <v>(${Variables:E3.5.1.2_kcat} * E3.5.1.2 * C00819 * C00001)/(${Variables:E3.5.1.2_km} + (E3.5.1.2 * C00819 * C00001))</v>
      </c>
      <c r="K468" s="98" t="str">
        <f t="shared" si="4"/>
        <v>r697: C00819 + C00001 -&gt; C00217 + C00014 | (${Variables:E3.5.1.2_kcat} * E3.5.1.2 * C00819 * C00001)/(${Variables:E3.5.1.2_km} + (E3.5.1.2 * C00819 * C00001))</v>
      </c>
    </row>
    <row r="469" spans="1:11" ht="14">
      <c r="A469" s="50" t="s">
        <v>2482</v>
      </c>
      <c r="B469" s="50" t="s">
        <v>2483</v>
      </c>
      <c r="C469" s="56" t="s">
        <v>14764</v>
      </c>
      <c r="D469" s="50">
        <v>698</v>
      </c>
      <c r="E469" s="50" t="str">
        <f t="shared" si="5"/>
        <v>E3.5.1.25</v>
      </c>
      <c r="F469" s="97" t="s">
        <v>14765</v>
      </c>
      <c r="G469" s="97" t="s">
        <v>14766</v>
      </c>
      <c r="H469" s="97" t="s">
        <v>14767</v>
      </c>
      <c r="I469" s="97" t="s">
        <v>14768</v>
      </c>
      <c r="J469" s="50" t="str">
        <f t="shared" si="3"/>
        <v>(${Variables:E3.5.1.25_kcat} * E3.5.1.25 * C00357 * C00001)/(${Variables:E3.5.1.25_km} + (E3.5.1.25 * C00357 * C00001))</v>
      </c>
      <c r="K469" s="98" t="str">
        <f t="shared" si="4"/>
        <v>r698: C00357 + C00001 -&gt; C00352 + C00033 | (${Variables:E3.5.1.25_kcat} * E3.5.1.25 * C00357 * C00001)/(${Variables:E3.5.1.25_km} + (E3.5.1.25 * C00357 * C00001))</v>
      </c>
    </row>
    <row r="470" spans="1:11" ht="14">
      <c r="A470" s="50" t="s">
        <v>1652</v>
      </c>
      <c r="B470" s="50" t="s">
        <v>1653</v>
      </c>
      <c r="C470" s="56" t="s">
        <v>14769</v>
      </c>
      <c r="D470" s="50">
        <v>700</v>
      </c>
      <c r="E470" s="50" t="str">
        <f t="shared" si="5"/>
        <v>E3.5.1.28</v>
      </c>
      <c r="F470" s="97" t="s">
        <v>14770</v>
      </c>
      <c r="G470" s="97" t="s">
        <v>14771</v>
      </c>
      <c r="H470" s="97" t="s">
        <v>14772</v>
      </c>
      <c r="I470" s="97" t="s">
        <v>14773</v>
      </c>
      <c r="J470" s="50" t="str">
        <f t="shared" si="3"/>
        <v>(${Variables:E3.5.1.28_kcat} * E3.5.1.28 * C02999 * C00001)/(${Variables:E3.5.1.28_km} + (E3.5.1.28 * C02999 * C00001))</v>
      </c>
      <c r="K470" s="98" t="str">
        <f t="shared" si="4"/>
        <v>r700: C02999 + C00001 -&gt; C02713 + C00041 | (${Variables:E3.5.1.28_kcat} * E3.5.1.28 * C02999 * C00001)/(${Variables:E3.5.1.28_km} + (E3.5.1.28 * C02999 * C00001))</v>
      </c>
    </row>
    <row r="471" spans="1:11" ht="14">
      <c r="A471" s="50" t="s">
        <v>3555</v>
      </c>
      <c r="B471" s="50" t="s">
        <v>3556</v>
      </c>
      <c r="C471" s="56" t="s">
        <v>14774</v>
      </c>
      <c r="D471" s="50">
        <v>701</v>
      </c>
      <c r="E471" s="50" t="str">
        <f t="shared" si="5"/>
        <v>E3.5.1.4</v>
      </c>
      <c r="F471" s="97" t="s">
        <v>14775</v>
      </c>
      <c r="G471" s="97" t="s">
        <v>14776</v>
      </c>
      <c r="H471" s="97" t="s">
        <v>14777</v>
      </c>
      <c r="I471" s="97" t="s">
        <v>14778</v>
      </c>
      <c r="J471" s="50" t="str">
        <f t="shared" si="3"/>
        <v>(${Variables:E3.5.1.4_kcat} * E3.5.1.4 * C00511 * C00014)/(${Variables:E3.5.1.4_km} + (E3.5.1.4 * C00511 * C00014))</v>
      </c>
      <c r="K471" s="98" t="str">
        <f t="shared" si="4"/>
        <v>r701: C00511 + C00014 -&gt; C01659 + C00001 | (${Variables:E3.5.1.4_kcat} * E3.5.1.4 * C00511 * C00014)/(${Variables:E3.5.1.4_km} + (E3.5.1.4 * C00511 * C00014))</v>
      </c>
    </row>
    <row r="472" spans="1:11" ht="14">
      <c r="A472" s="50" t="s">
        <v>3555</v>
      </c>
      <c r="B472" s="50" t="s">
        <v>3556</v>
      </c>
      <c r="C472" s="56" t="s">
        <v>14779</v>
      </c>
      <c r="D472" s="50">
        <v>702</v>
      </c>
      <c r="E472" s="50" t="str">
        <f t="shared" si="5"/>
        <v>E3.5.1.4</v>
      </c>
      <c r="F472" s="97" t="s">
        <v>14780</v>
      </c>
      <c r="G472" s="97" t="s">
        <v>14781</v>
      </c>
      <c r="H472" s="97" t="s">
        <v>14782</v>
      </c>
      <c r="I472" s="97" t="s">
        <v>14783</v>
      </c>
      <c r="J472" s="50" t="str">
        <f t="shared" si="3"/>
        <v>(${Variables:E3.5.1.4_kcat} * E3.5.1.4 * C02505 * C00001)/(${Variables:E3.5.1.4_km} + (E3.5.1.4 * C02505 * C00001))</v>
      </c>
      <c r="K472" s="98" t="str">
        <f t="shared" si="4"/>
        <v>r702: C02505 + C00001 -&gt; C07086 + C00014 | (${Variables:E3.5.1.4_kcat} * E3.5.1.4 * C02505 * C00001)/(${Variables:E3.5.1.4_km} + (E3.5.1.4 * C02505 * C00001))</v>
      </c>
    </row>
    <row r="473" spans="1:11" ht="14">
      <c r="A473" s="50" t="s">
        <v>3555</v>
      </c>
      <c r="B473" s="50" t="s">
        <v>3556</v>
      </c>
      <c r="C473" s="56" t="s">
        <v>14784</v>
      </c>
      <c r="D473" s="50">
        <v>703</v>
      </c>
      <c r="E473" s="50" t="str">
        <f t="shared" si="5"/>
        <v>E3.5.1.4</v>
      </c>
      <c r="F473" s="97" t="s">
        <v>14785</v>
      </c>
      <c r="G473" s="97" t="s">
        <v>14786</v>
      </c>
      <c r="H473" s="97" t="s">
        <v>14787</v>
      </c>
      <c r="I473" s="97" t="s">
        <v>14788</v>
      </c>
      <c r="J473" s="50" t="str">
        <f t="shared" si="3"/>
        <v>(${Variables:E3.5.1.4_kcat} * E3.5.1.4 * C02693 * C00001)/(${Variables:E3.5.1.4_km} + (E3.5.1.4 * C02693 * C00001))</v>
      </c>
      <c r="K473" s="98" t="str">
        <f t="shared" si="4"/>
        <v>r703: C02693 + C00001 -&gt; C00954 + C00014 | (${Variables:E3.5.1.4_kcat} * E3.5.1.4 * C02693 * C00001)/(${Variables:E3.5.1.4_km} + (E3.5.1.4 * C02693 * C00001))</v>
      </c>
    </row>
    <row r="474" spans="1:11" ht="14">
      <c r="A474" s="50" t="s">
        <v>3555</v>
      </c>
      <c r="B474" s="50" t="s">
        <v>3556</v>
      </c>
      <c r="C474" s="56" t="s">
        <v>14789</v>
      </c>
      <c r="D474" s="50">
        <v>704</v>
      </c>
      <c r="E474" s="50" t="str">
        <f t="shared" si="5"/>
        <v>E3.5.1.4</v>
      </c>
      <c r="F474" s="97" t="s">
        <v>14790</v>
      </c>
      <c r="G474" s="97" t="s">
        <v>14791</v>
      </c>
      <c r="H474" s="97" t="s">
        <v>14792</v>
      </c>
      <c r="I474" s="97" t="s">
        <v>14793</v>
      </c>
      <c r="J474" s="50" t="str">
        <f t="shared" si="3"/>
        <v>(${Variables:E3.5.1.4_kcat} * E3.5.1.4 * C03078 * C00001)/(${Variables:E3.5.1.4_km} + (E3.5.1.4 * C03078 * C00001))</v>
      </c>
      <c r="K474" s="98" t="str">
        <f t="shared" si="4"/>
        <v>r704: C03078 + C00001 -&gt; C01035 + C00014 | (${Variables:E3.5.1.4_kcat} * E3.5.1.4 * C03078 * C00001)/(${Variables:E3.5.1.4_km} + (E3.5.1.4 * C03078 * C00001))</v>
      </c>
    </row>
    <row r="475" spans="1:11" ht="14">
      <c r="A475" s="50" t="s">
        <v>3555</v>
      </c>
      <c r="B475" s="50" t="s">
        <v>3556</v>
      </c>
      <c r="C475" s="56" t="s">
        <v>14794</v>
      </c>
      <c r="D475" s="50">
        <v>705</v>
      </c>
      <c r="E475" s="50" t="str">
        <f t="shared" si="5"/>
        <v>E3.5.1.4</v>
      </c>
      <c r="F475" s="97" t="s">
        <v>14795</v>
      </c>
      <c r="G475" s="97" t="s">
        <v>14796</v>
      </c>
      <c r="H475" s="97" t="s">
        <v>14797</v>
      </c>
      <c r="I475" s="97" t="s">
        <v>14798</v>
      </c>
      <c r="J475" s="50" t="str">
        <f t="shared" si="3"/>
        <v>(${Variables:E3.5.1.4_kcat} * E3.5.1.4 * C03620 * C00001)/(${Variables:E3.5.1.4_km} + (E3.5.1.4 * C03620 * C00001))</v>
      </c>
      <c r="K475" s="98" t="str">
        <f t="shared" si="4"/>
        <v>r705: C03620 + C00001 -&gt; C00060 + C00014 | (${Variables:E3.5.1.4_kcat} * E3.5.1.4 * C03620 * C00001)/(${Variables:E3.5.1.4_km} + (E3.5.1.4 * C03620 * C00001))</v>
      </c>
    </row>
    <row r="476" spans="1:11" ht="14">
      <c r="A476" s="50" t="s">
        <v>3555</v>
      </c>
      <c r="B476" s="50" t="s">
        <v>3556</v>
      </c>
      <c r="C476" s="56" t="s">
        <v>14799</v>
      </c>
      <c r="D476" s="50">
        <v>706</v>
      </c>
      <c r="E476" s="50" t="str">
        <f t="shared" si="5"/>
        <v>E3.5.1.4</v>
      </c>
      <c r="F476" s="97" t="s">
        <v>14800</v>
      </c>
      <c r="G476" s="97" t="s">
        <v>14801</v>
      </c>
      <c r="H476" s="97" t="s">
        <v>14802</v>
      </c>
      <c r="I476" s="97" t="s">
        <v>14803</v>
      </c>
      <c r="J476" s="50" t="str">
        <f t="shared" si="3"/>
        <v>(${Variables:E3.5.1.4_kcat} * E3.5.1.4 * C06244 * C00001)/(${Variables:E3.5.1.4_km} + (E3.5.1.4 * C06244 * C00001))</v>
      </c>
      <c r="K476" s="98" t="str">
        <f t="shared" si="4"/>
        <v>r706: C06244 + C00001 -&gt; C00033 + C00014 | (${Variables:E3.5.1.4_kcat} * E3.5.1.4 * C06244 * C00001)/(${Variables:E3.5.1.4_km} + (E3.5.1.4 * C06244 * C00001))</v>
      </c>
    </row>
    <row r="477" spans="1:11" ht="14">
      <c r="A477" s="50" t="s">
        <v>3555</v>
      </c>
      <c r="B477" s="50" t="s">
        <v>3556</v>
      </c>
      <c r="C477" s="56" t="s">
        <v>14804</v>
      </c>
      <c r="D477" s="50">
        <v>707</v>
      </c>
      <c r="E477" s="50" t="str">
        <f t="shared" si="5"/>
        <v>E3.5.1.4</v>
      </c>
      <c r="F477" s="97" t="s">
        <v>14805</v>
      </c>
      <c r="G477" s="97" t="s">
        <v>14806</v>
      </c>
      <c r="H477" s="97" t="s">
        <v>14807</v>
      </c>
      <c r="I477" s="97" t="s">
        <v>14808</v>
      </c>
      <c r="J477" s="50" t="str">
        <f t="shared" si="3"/>
        <v>(${Variables:E3.5.1.4_kcat} * E3.5.1.4 * C09815 * C00001)/(${Variables:E3.5.1.4_km} + (E3.5.1.4 * C09815 * C00001))</v>
      </c>
      <c r="K477" s="98" t="str">
        <f t="shared" si="4"/>
        <v>r707: C09815 + C00001 -&gt; C00180 + C00014 | (${Variables:E3.5.1.4_kcat} * E3.5.1.4 * C09815 * C00001)/(${Variables:E3.5.1.4_km} + (E3.5.1.4 * C09815 * C00001))</v>
      </c>
    </row>
    <row r="478" spans="1:11" ht="14">
      <c r="A478" s="50" t="s">
        <v>980</v>
      </c>
      <c r="B478" s="50" t="s">
        <v>981</v>
      </c>
      <c r="C478" s="56" t="s">
        <v>14809</v>
      </c>
      <c r="D478" s="50">
        <v>709</v>
      </c>
      <c r="E478" s="50" t="str">
        <f t="shared" si="5"/>
        <v>E3.5.1.88</v>
      </c>
      <c r="F478" s="97" t="s">
        <v>14810</v>
      </c>
      <c r="G478" s="97" t="s">
        <v>14811</v>
      </c>
      <c r="H478" s="97" t="s">
        <v>14812</v>
      </c>
      <c r="I478" s="97" t="s">
        <v>14813</v>
      </c>
      <c r="J478" s="50" t="str">
        <f t="shared" si="3"/>
        <v>(${Variables:E3.5.1.88_kcat} * E3.5.1.88 * C04258 * C00001)/(${Variables:E3.5.1.88_km} + (E3.5.1.88 * C04258 * C00001))</v>
      </c>
      <c r="K478" s="98" t="str">
        <f t="shared" si="4"/>
        <v>r709: C04258 + C00001 -&gt; C00058 + C03617 | (${Variables:E3.5.1.88_kcat} * E3.5.1.88 * C04258 * C00001)/(${Variables:E3.5.1.88_km} + (E3.5.1.88 * C04258 * C00001))</v>
      </c>
    </row>
    <row r="479" spans="1:11" ht="14">
      <c r="A479" s="50" t="s">
        <v>980</v>
      </c>
      <c r="B479" s="50" t="s">
        <v>981</v>
      </c>
      <c r="C479" s="56" t="s">
        <v>14814</v>
      </c>
      <c r="D479" s="50">
        <v>710</v>
      </c>
      <c r="E479" s="50" t="str">
        <f t="shared" si="5"/>
        <v>E3.5.1.88</v>
      </c>
      <c r="F479" s="97" t="s">
        <v>14815</v>
      </c>
      <c r="G479" s="97" t="s">
        <v>14816</v>
      </c>
      <c r="H479" s="97" t="s">
        <v>14817</v>
      </c>
      <c r="I479" s="97" t="s">
        <v>14818</v>
      </c>
      <c r="J479" s="50" t="str">
        <f t="shared" si="3"/>
        <v>(${Variables:E3.5.1.88_kcat} * E3.5.1.88 * C11439 * C00001)/(${Variables:E3.5.1.88_km} + (E3.5.1.88 * C11439 * C00001))</v>
      </c>
      <c r="K479" s="98" t="str">
        <f t="shared" si="4"/>
        <v>r710: C11439 + C00001 -&gt; C11440 + C00058 | (${Variables:E3.5.1.88_kcat} * E3.5.1.88 * C11439 * C00001)/(${Variables:E3.5.1.88_km} + (E3.5.1.88 * C11439 * C00001))</v>
      </c>
    </row>
    <row r="480" spans="1:11" ht="14">
      <c r="A480" s="50" t="s">
        <v>1422</v>
      </c>
      <c r="B480" s="50" t="s">
        <v>1423</v>
      </c>
      <c r="C480" s="56" t="s">
        <v>14819</v>
      </c>
      <c r="D480" s="50">
        <v>711</v>
      </c>
      <c r="E480" s="50" t="str">
        <f t="shared" si="5"/>
        <v>E3.5.2.3</v>
      </c>
      <c r="F480" s="97" t="s">
        <v>14820</v>
      </c>
      <c r="G480" s="97" t="s">
        <v>14821</v>
      </c>
      <c r="H480" s="102" t="s">
        <v>14822</v>
      </c>
      <c r="I480" s="102" t="s">
        <v>14823</v>
      </c>
      <c r="J480" s="50" t="str">
        <f t="shared" si="3"/>
        <v>(${Variables:E3.5.2.3_kcat} * E3.5.2.3 * C00337 * C00001)/(${Variables:E3.5.2.3_km} + (E3.5.2.3 * C00337 * C00001))</v>
      </c>
      <c r="K480" s="98" t="str">
        <f t="shared" si="4"/>
        <v>r711: C00337 + C00001 -&gt; C00438 | (${Variables:E3.5.2.3_kcat} * E3.5.2.3 * C00337 * C00001)/(${Variables:E3.5.2.3_km} + (E3.5.2.3 * C00337 * C00001))</v>
      </c>
    </row>
    <row r="481" spans="1:11" ht="14">
      <c r="A481" s="50" t="s">
        <v>2312</v>
      </c>
      <c r="B481" s="50" t="s">
        <v>2313</v>
      </c>
      <c r="C481" s="57" t="s">
        <v>8293</v>
      </c>
      <c r="D481" s="50">
        <v>713</v>
      </c>
      <c r="E481" s="50" t="str">
        <f t="shared" si="5"/>
        <v>E3.5.4.10</v>
      </c>
      <c r="F481" s="97" t="s">
        <v>14824</v>
      </c>
      <c r="G481" s="97" t="s">
        <v>14825</v>
      </c>
      <c r="H481" s="102" t="s">
        <v>14826</v>
      </c>
      <c r="I481" s="102" t="s">
        <v>14827</v>
      </c>
      <c r="J481" s="50" t="str">
        <f t="shared" si="3"/>
        <v>(${Variables:E3.5.4.10_kcat} * E3.5.4.10 * C00130 * C00001)/(${Variables:E3.5.4.10_km} + (E3.5.4.10 * C00130 * C00001))</v>
      </c>
      <c r="K481" s="98" t="str">
        <f t="shared" si="4"/>
        <v>r713: C00130 + C00001 -&gt; C04734 | (${Variables:E3.5.4.10_kcat} * E3.5.4.10 * C00130 * C00001)/(${Variables:E3.5.4.10_km} + (E3.5.4.10 * C00130 * C00001))</v>
      </c>
    </row>
    <row r="482" spans="1:11" ht="14">
      <c r="A482" s="50" t="s">
        <v>1340</v>
      </c>
      <c r="B482" s="50" t="s">
        <v>1341</v>
      </c>
      <c r="C482" s="56" t="s">
        <v>14828</v>
      </c>
      <c r="D482" s="50">
        <v>714</v>
      </c>
      <c r="E482" s="50" t="str">
        <f t="shared" si="5"/>
        <v>E3.5.4.19</v>
      </c>
      <c r="F482" s="97" t="s">
        <v>14829</v>
      </c>
      <c r="G482" s="97" t="s">
        <v>14830</v>
      </c>
      <c r="H482" s="102" t="s">
        <v>14831</v>
      </c>
      <c r="I482" s="102" t="s">
        <v>14832</v>
      </c>
      <c r="J482" s="50" t="str">
        <f t="shared" si="3"/>
        <v>(${Variables:E3.5.4.19_kcat} * E3.5.4.19 * C02741 * C00001)/(${Variables:E3.5.4.19_km} + (E3.5.4.19 * C02741 * C00001))</v>
      </c>
      <c r="K482" s="98" t="str">
        <f t="shared" si="4"/>
        <v>r714: C02741 + C00001 -&gt; C04896 | (${Variables:E3.5.4.19_kcat} * E3.5.4.19 * C02741 * C00001)/(${Variables:E3.5.4.19_km} + (E3.5.4.19 * C02741 * C00001))</v>
      </c>
    </row>
    <row r="483" spans="1:11" ht="14">
      <c r="A483" s="50" t="s">
        <v>427</v>
      </c>
      <c r="B483" s="50" t="s">
        <v>428</v>
      </c>
      <c r="C483" s="56" t="s">
        <v>14833</v>
      </c>
      <c r="D483" s="50">
        <v>715</v>
      </c>
      <c r="E483" s="50" t="str">
        <f t="shared" si="5"/>
        <v>E3.5.4.33</v>
      </c>
      <c r="F483" s="97" t="s">
        <v>14834</v>
      </c>
      <c r="G483" s="97" t="s">
        <v>14835</v>
      </c>
      <c r="H483" s="97" t="s">
        <v>14836</v>
      </c>
      <c r="I483" s="97" t="s">
        <v>14837</v>
      </c>
      <c r="J483" s="50" t="str">
        <f t="shared" si="3"/>
        <v>(${Variables:E3.5.4.33_kcat} * E3.5.4.33 * C17324 * C00001)/(${Variables:E3.5.4.33_km} + (E3.5.4.33 * C17324 * C00001))</v>
      </c>
      <c r="K483" s="98" t="str">
        <f t="shared" si="4"/>
        <v>r715: C17324 + C00001 -&gt; C20451 + C00014 | (${Variables:E3.5.4.33_kcat} * E3.5.4.33 * C17324 * C00001)/(${Variables:E3.5.4.33_km} + (E3.5.4.33 * C17324 * C00001))</v>
      </c>
    </row>
    <row r="484" spans="1:11" ht="14">
      <c r="A484" s="50" t="s">
        <v>3337</v>
      </c>
      <c r="B484" s="50" t="s">
        <v>3338</v>
      </c>
      <c r="C484" s="56" t="s">
        <v>14838</v>
      </c>
      <c r="D484" s="50">
        <v>717</v>
      </c>
      <c r="E484" s="50" t="str">
        <f t="shared" si="5"/>
        <v>E3.5.4.4</v>
      </c>
      <c r="F484" s="97" t="s">
        <v>14839</v>
      </c>
      <c r="G484" s="97" t="s">
        <v>14840</v>
      </c>
      <c r="H484" s="97" t="s">
        <v>14841</v>
      </c>
      <c r="I484" s="97" t="s">
        <v>14842</v>
      </c>
      <c r="J484" s="50" t="str">
        <f t="shared" si="3"/>
        <v>(${Variables:E3.5.4.4_kcat} * E3.5.4.4 * C00212 * C00001)/(${Variables:E3.5.4.4_km} + (E3.5.4.4 * C00212 * C00001))</v>
      </c>
      <c r="K484" s="98" t="str">
        <f t="shared" si="4"/>
        <v>r717: C00212 + C00001 -&gt; C00294 + C00014 | (${Variables:E3.5.4.4_kcat} * E3.5.4.4 * C00212 * C00001)/(${Variables:E3.5.4.4_km} + (E3.5.4.4 * C00212 * C00001))</v>
      </c>
    </row>
    <row r="485" spans="1:11" ht="14">
      <c r="A485" s="50" t="s">
        <v>3337</v>
      </c>
      <c r="B485" s="50" t="s">
        <v>3338</v>
      </c>
      <c r="C485" s="56" t="s">
        <v>14843</v>
      </c>
      <c r="D485" s="50">
        <v>718</v>
      </c>
      <c r="E485" s="50" t="str">
        <f t="shared" si="5"/>
        <v>E3.5.4.4</v>
      </c>
      <c r="F485" s="97" t="s">
        <v>14844</v>
      </c>
      <c r="G485" s="97" t="s">
        <v>14845</v>
      </c>
      <c r="H485" s="97" t="s">
        <v>14846</v>
      </c>
      <c r="I485" s="97" t="s">
        <v>14847</v>
      </c>
      <c r="J485" s="50" t="str">
        <f t="shared" si="3"/>
        <v>(${Variables:E3.5.4.4_kcat} * E3.5.4.4 * C00559 * C00001)/(${Variables:E3.5.4.4_km} + (E3.5.4.4 * C00559 * C00001))</v>
      </c>
      <c r="K485" s="98" t="str">
        <f t="shared" si="4"/>
        <v>r718: C00559 + C00001 -&gt; C05512 + C00014 | (${Variables:E3.5.4.4_kcat} * E3.5.4.4 * C00559 * C00001)/(${Variables:E3.5.4.4_km} + (E3.5.4.4 * C00559 * C00001))</v>
      </c>
    </row>
    <row r="486" spans="1:11" ht="14">
      <c r="A486" s="50" t="s">
        <v>1596</v>
      </c>
      <c r="B486" s="50" t="s">
        <v>1597</v>
      </c>
      <c r="C486" s="56" t="s">
        <v>14848</v>
      </c>
      <c r="D486" s="50">
        <v>719</v>
      </c>
      <c r="E486" s="50" t="str">
        <f t="shared" si="5"/>
        <v>E3.5.4.5</v>
      </c>
      <c r="F486" s="97" t="s">
        <v>14849</v>
      </c>
      <c r="G486" s="97" t="s">
        <v>14850</v>
      </c>
      <c r="H486" s="97" t="s">
        <v>14851</v>
      </c>
      <c r="I486" s="97" t="s">
        <v>14852</v>
      </c>
      <c r="J486" s="50" t="str">
        <f t="shared" si="3"/>
        <v>(${Variables:E3.5.4.5_kcat} * E3.5.4.5 * C00475 * C00001)/(${Variables:E3.5.4.5_km} + (E3.5.4.5 * C00475 * C00001))</v>
      </c>
      <c r="K486" s="98" t="str">
        <f t="shared" si="4"/>
        <v>r719: C00475 + C00001 -&gt; C00299 + C00014 | (${Variables:E3.5.4.5_kcat} * E3.5.4.5 * C00475 * C00001)/(${Variables:E3.5.4.5_km} + (E3.5.4.5 * C00475 * C00001))</v>
      </c>
    </row>
    <row r="487" spans="1:11" ht="14">
      <c r="A487" s="50" t="s">
        <v>1596</v>
      </c>
      <c r="B487" s="50" t="s">
        <v>1597</v>
      </c>
      <c r="C487" s="56" t="s">
        <v>14853</v>
      </c>
      <c r="D487" s="50">
        <v>720</v>
      </c>
      <c r="E487" s="50" t="str">
        <f t="shared" si="5"/>
        <v>E3.5.4.5</v>
      </c>
      <c r="F487" s="97" t="s">
        <v>14854</v>
      </c>
      <c r="G487" s="97" t="s">
        <v>14855</v>
      </c>
      <c r="H487" s="97" t="s">
        <v>14856</v>
      </c>
      <c r="I487" s="97" t="s">
        <v>14857</v>
      </c>
      <c r="J487" s="50" t="str">
        <f t="shared" ref="J487:J678" si="6">CONCATENATE("(${Variables:",E487,"_kcat","} * ",E487," * ",G487,")","/(${Variables:",E487,"_km","} + (",E487," * ",G487,"))")</f>
        <v>(${Variables:E3.5.4.5_kcat} * E3.5.4.5 * C00881 * C00001)/(${Variables:E3.5.4.5_km} + (E3.5.4.5 * C00881 * C00001))</v>
      </c>
      <c r="K487" s="98" t="str">
        <f t="shared" ref="K487:K678" si="7">CONCATENATE("r",D487,": ",F487," -&gt; ",H487," | ",J487)</f>
        <v>r720: C00881 + C00001 -&gt; C00526 + C00014 | (${Variables:E3.5.4.5_kcat} * E3.5.4.5 * C00881 * C00001)/(${Variables:E3.5.4.5_km} + (E3.5.4.5 * C00881 * C00001))</v>
      </c>
    </row>
    <row r="488" spans="1:11" ht="14">
      <c r="A488" s="50" t="s">
        <v>1596</v>
      </c>
      <c r="B488" s="50" t="s">
        <v>1597</v>
      </c>
      <c r="C488" s="56" t="s">
        <v>14858</v>
      </c>
      <c r="D488" s="50">
        <v>721</v>
      </c>
      <c r="E488" s="50" t="str">
        <f t="shared" si="5"/>
        <v>E3.5.4.5</v>
      </c>
      <c r="F488" s="97" t="s">
        <v>14859</v>
      </c>
      <c r="G488" s="97" t="s">
        <v>14860</v>
      </c>
      <c r="H488" s="97" t="s">
        <v>14861</v>
      </c>
      <c r="I488" s="97" t="s">
        <v>14862</v>
      </c>
      <c r="J488" s="50" t="str">
        <f t="shared" si="6"/>
        <v>(${Variables:E3.5.4.5_kcat} * E3.5.4.5 * C16635 * C00001)/(${Variables:E3.5.4.5_km} + (E3.5.4.5 * C16635 * C00001))</v>
      </c>
      <c r="K488" s="98" t="str">
        <f t="shared" si="7"/>
        <v>r721: C16635 + C00001 -&gt; C12739 + C00014 | (${Variables:E3.5.4.5_kcat} * E3.5.4.5 * C16635 * C00001)/(${Variables:E3.5.4.5_km} + (E3.5.4.5 * C16635 * C00001))</v>
      </c>
    </row>
    <row r="489" spans="1:11" ht="14">
      <c r="A489" s="50" t="s">
        <v>1984</v>
      </c>
      <c r="B489" s="50" t="s">
        <v>1985</v>
      </c>
      <c r="C489" s="57" t="s">
        <v>8294</v>
      </c>
      <c r="D489" s="50">
        <v>722</v>
      </c>
      <c r="E489" s="50" t="str">
        <f t="shared" si="5"/>
        <v>E3.5.4.9</v>
      </c>
      <c r="F489" s="97" t="s">
        <v>14863</v>
      </c>
      <c r="G489" s="97" t="s">
        <v>14864</v>
      </c>
      <c r="H489" s="97" t="s">
        <v>14865</v>
      </c>
      <c r="I489" s="97" t="s">
        <v>14866</v>
      </c>
      <c r="J489" s="50" t="str">
        <f t="shared" si="6"/>
        <v>(${Variables:E3.5.4.9_kcat} * E3.5.4.9 * C00445 * C00001)/(${Variables:E3.5.4.9_km} + (E3.5.4.9 * C00445 * C00001))</v>
      </c>
      <c r="K489" s="98" t="str">
        <f t="shared" si="7"/>
        <v>r722: C00445 + C00001 -&gt; C00234 + C00080 | (${Variables:E3.5.4.9_kcat} * E3.5.4.9 * C00445 * C00001)/(${Variables:E3.5.4.9_km} + (E3.5.4.9 * C00445 * C00001))</v>
      </c>
    </row>
    <row r="490" spans="1:11" ht="14">
      <c r="A490" s="50" t="s">
        <v>4344</v>
      </c>
      <c r="B490" s="50" t="s">
        <v>4345</v>
      </c>
      <c r="C490" s="56" t="s">
        <v>14867</v>
      </c>
      <c r="D490" s="50">
        <v>723</v>
      </c>
      <c r="E490" s="50" t="str">
        <f t="shared" si="5"/>
        <v>E3.5.99.2</v>
      </c>
      <c r="F490" s="97" t="s">
        <v>14868</v>
      </c>
      <c r="G490" s="97" t="s">
        <v>14869</v>
      </c>
      <c r="H490" s="97" t="s">
        <v>14870</v>
      </c>
      <c r="I490" s="97" t="s">
        <v>14871</v>
      </c>
      <c r="J490" s="50" t="str">
        <f t="shared" si="6"/>
        <v>(${Variables:E3.5.99.2_kcat} * E3.5.99.2 * C00378 * C00001)/(${Variables:E3.5.99.2_km} + (E3.5.99.2 * C00378 * C00001))</v>
      </c>
      <c r="K490" s="98" t="str">
        <f t="shared" si="7"/>
        <v>r723: C00378 + C00001 -&gt; C01279 + C04294 + C00080 | (${Variables:E3.5.99.2_kcat} * E3.5.99.2 * C00378 * C00001)/(${Variables:E3.5.99.2_km} + (E3.5.99.2 * C00378 * C00001))</v>
      </c>
    </row>
    <row r="491" spans="1:11" ht="14">
      <c r="A491" s="50" t="s">
        <v>4344</v>
      </c>
      <c r="B491" s="50" t="s">
        <v>4345</v>
      </c>
      <c r="C491" s="56" t="s">
        <v>14872</v>
      </c>
      <c r="D491" s="50">
        <v>724</v>
      </c>
      <c r="E491" s="50" t="str">
        <f t="shared" si="5"/>
        <v>E3.5.99.2</v>
      </c>
      <c r="F491" s="97" t="s">
        <v>14873</v>
      </c>
      <c r="G491" s="97" t="s">
        <v>14874</v>
      </c>
      <c r="H491" s="97" t="s">
        <v>14875</v>
      </c>
      <c r="I491" s="97" t="s">
        <v>14876</v>
      </c>
      <c r="J491" s="50" t="str">
        <f t="shared" si="6"/>
        <v>(${Variables:E3.5.99.2_kcat} * E3.5.99.2 * C20267 * C00001)/(${Variables:E3.5.99.2_km} + (E3.5.99.2 * C20267 * C00001))</v>
      </c>
      <c r="K491" s="98" t="str">
        <f t="shared" si="7"/>
        <v>r724: C20267 + C00001 -&gt; C01279 + C00014 | (${Variables:E3.5.99.2_kcat} * E3.5.99.2 * C20267 * C00001)/(${Variables:E3.5.99.2_km} + (E3.5.99.2 * C20267 * C00001))</v>
      </c>
    </row>
    <row r="492" spans="1:11" ht="14">
      <c r="A492" s="50" t="s">
        <v>5183</v>
      </c>
      <c r="B492" s="50" t="s">
        <v>5184</v>
      </c>
      <c r="C492" s="56" t="s">
        <v>14877</v>
      </c>
      <c r="D492" s="50">
        <v>725</v>
      </c>
      <c r="E492" s="50" t="str">
        <f t="shared" si="5"/>
        <v>E3.5.99.6</v>
      </c>
      <c r="F492" s="97" t="s">
        <v>14878</v>
      </c>
      <c r="G492" s="97" t="s">
        <v>14879</v>
      </c>
      <c r="H492" s="97" t="s">
        <v>14880</v>
      </c>
      <c r="I492" s="97" t="s">
        <v>14881</v>
      </c>
      <c r="J492" s="50" t="str">
        <f t="shared" si="6"/>
        <v>(${Variables:E3.5.99.6_kcat} * E3.5.99.6 * C00352 * C00001)/(${Variables:E3.5.99.6_km} + (E3.5.99.6 * C00352 * C00001))</v>
      </c>
      <c r="K492" s="98" t="str">
        <f t="shared" si="7"/>
        <v>r725: C00352 + C00001 -&gt; C00085 + C00014 | (${Variables:E3.5.99.6_kcat} * E3.5.99.6 * C00352 * C00001)/(${Variables:E3.5.99.6_km} + (E3.5.99.6 * C00352 * C00001))</v>
      </c>
    </row>
    <row r="493" spans="1:11" ht="14">
      <c r="A493" s="50" t="s">
        <v>1304</v>
      </c>
      <c r="B493" s="50" t="s">
        <v>1305</v>
      </c>
      <c r="C493" s="56" t="s">
        <v>14882</v>
      </c>
      <c r="D493" s="50">
        <v>726</v>
      </c>
      <c r="E493" s="50" t="str">
        <f t="shared" si="5"/>
        <v>E3.6.1.1</v>
      </c>
      <c r="F493" s="97" t="s">
        <v>14883</v>
      </c>
      <c r="G493" s="97" t="s">
        <v>14884</v>
      </c>
      <c r="H493" s="105" t="s">
        <v>10975</v>
      </c>
      <c r="I493" s="105" t="s">
        <v>10975</v>
      </c>
      <c r="J493" s="50" t="str">
        <f t="shared" si="6"/>
        <v>(${Variables:E3.6.1.1_kcat} * E3.6.1.1 * C00013 * C00001)/(${Variables:E3.6.1.1_km} + (E3.6.1.1 * C00013 * C00001))</v>
      </c>
      <c r="K493" s="98" t="str">
        <f t="shared" si="7"/>
        <v>r726: C00013 + C00001 -&gt; C00009 | (${Variables:E3.6.1.1_kcat} * E3.6.1.1 * C00013 * C00001)/(${Variables:E3.6.1.1_km} + (E3.6.1.1 * C00013 * C00001))</v>
      </c>
    </row>
    <row r="494" spans="1:11" ht="14">
      <c r="A494" s="50" t="s">
        <v>5872</v>
      </c>
      <c r="B494" s="50" t="s">
        <v>5873</v>
      </c>
      <c r="C494" s="55" t="s">
        <v>8295</v>
      </c>
      <c r="D494" s="50">
        <v>727</v>
      </c>
      <c r="E494" s="50" t="str">
        <f t="shared" si="5"/>
        <v>E3.6.1.11</v>
      </c>
      <c r="F494" s="97" t="s">
        <v>17419</v>
      </c>
      <c r="G494" s="97" t="s">
        <v>17420</v>
      </c>
      <c r="H494" s="97" t="s">
        <v>17430</v>
      </c>
      <c r="I494" s="97" t="s">
        <v>17431</v>
      </c>
      <c r="J494" s="50" t="str">
        <f t="shared" si="6"/>
        <v>(${Variables:E3.6.1.11_kcat} * E3.6.1.11 * C00404 * C00001)/(${Variables:E3.6.1.11_km} + (E3.6.1.11 * C00404 * C00001))</v>
      </c>
      <c r="K494" s="98" t="str">
        <f t="shared" si="7"/>
        <v>r727: C00404 + C00001 -&gt; C00404 + C00009 | (${Variables:E3.6.1.11_kcat} * E3.6.1.11 * C00404 * C00001)/(${Variables:E3.6.1.11_km} + (E3.6.1.11 * C00404 * C00001))</v>
      </c>
    </row>
    <row r="495" spans="1:11" ht="14">
      <c r="A495" s="50" t="s">
        <v>5872</v>
      </c>
      <c r="B495" s="50" t="s">
        <v>5873</v>
      </c>
      <c r="C495" s="55" t="s">
        <v>8295</v>
      </c>
      <c r="D495" s="50">
        <v>728</v>
      </c>
      <c r="E495" s="50" t="str">
        <f t="shared" si="5"/>
        <v>E3.6.1.11</v>
      </c>
      <c r="F495" s="97" t="s">
        <v>14885</v>
      </c>
      <c r="G495" s="97" t="s">
        <v>14886</v>
      </c>
      <c r="H495" s="97" t="s">
        <v>14887</v>
      </c>
      <c r="I495" s="97" t="s">
        <v>14888</v>
      </c>
      <c r="J495" s="50" t="str">
        <f t="shared" si="6"/>
        <v>(${Variables:E3.6.1.11_kcat} * E3.6.1.11 * C04494 * C00001)/(${Variables:E3.6.1.11_km} + (E3.6.1.11 * C04494 * C00001))</v>
      </c>
      <c r="K495" s="98" t="str">
        <f t="shared" si="7"/>
        <v>r728: C04494 + C00001 -&gt; C01228 + C00009 | (${Variables:E3.6.1.11_kcat} * E3.6.1.11 * C04494 * C00001)/(${Variables:E3.6.1.11_km} + (E3.6.1.11 * C04494 * C00001))</v>
      </c>
    </row>
    <row r="496" spans="1:11" ht="14">
      <c r="A496" s="50" t="s">
        <v>7396</v>
      </c>
      <c r="B496" s="50" t="s">
        <v>7397</v>
      </c>
      <c r="C496" s="56" t="s">
        <v>14889</v>
      </c>
      <c r="D496" s="50">
        <v>729</v>
      </c>
      <c r="E496" s="50" t="str">
        <f t="shared" si="5"/>
        <v>E3.6.1.27</v>
      </c>
      <c r="F496" s="97" t="s">
        <v>14890</v>
      </c>
      <c r="G496" s="97" t="s">
        <v>14891</v>
      </c>
      <c r="H496" s="97" t="s">
        <v>14892</v>
      </c>
      <c r="I496" s="97" t="s">
        <v>14893</v>
      </c>
      <c r="J496" s="50" t="str">
        <f t="shared" si="6"/>
        <v>(${Variables:E3.6.1.27_kcat} * E3.6.1.27 * C04574 * C00001)/(${Variables:E3.6.1.27_km} + (E3.6.1.27 * C04574 * C00001))</v>
      </c>
      <c r="K496" s="98" t="str">
        <f t="shared" si="7"/>
        <v>r729: C04574 + C00001 -&gt; C17556 + C00009 | (${Variables:E3.6.1.27_kcat} * E3.6.1.27 * C04574 * C00001)/(${Variables:E3.6.1.27_km} + (E3.6.1.27 * C04574 * C00001))</v>
      </c>
    </row>
    <row r="497" spans="1:11" ht="14">
      <c r="A497" s="50" t="s">
        <v>1336</v>
      </c>
      <c r="B497" s="50" t="s">
        <v>1337</v>
      </c>
      <c r="C497" s="56" t="s">
        <v>14894</v>
      </c>
      <c r="D497" s="50">
        <v>730</v>
      </c>
      <c r="E497" s="50" t="str">
        <f t="shared" si="5"/>
        <v>E3.6.1.31</v>
      </c>
      <c r="F497" s="97" t="s">
        <v>14895</v>
      </c>
      <c r="G497" s="97" t="s">
        <v>14896</v>
      </c>
      <c r="H497" s="97" t="s">
        <v>14897</v>
      </c>
      <c r="I497" s="97" t="s">
        <v>14898</v>
      </c>
      <c r="J497" s="50" t="str">
        <f t="shared" si="6"/>
        <v>(${Variables:E3.6.1.31_kcat} * E3.6.1.31 * C02739 * C00001)/(${Variables:E3.6.1.31_km} + (E3.6.1.31 * C02739 * C00001))</v>
      </c>
      <c r="K497" s="98" t="str">
        <f t="shared" si="7"/>
        <v>r730: C02739 + C00001 -&gt; C02741 + C00013 | (${Variables:E3.6.1.31_kcat} * E3.6.1.31 * C02739 * C00001)/(${Variables:E3.6.1.31_km} + (E3.6.1.31 * C02739 * C00001))</v>
      </c>
    </row>
    <row r="498" spans="1:11" ht="14">
      <c r="A498" s="50" t="s">
        <v>2129</v>
      </c>
      <c r="B498" s="50" t="s">
        <v>2130</v>
      </c>
      <c r="C498" s="56" t="s">
        <v>14899</v>
      </c>
      <c r="D498" s="50">
        <v>731</v>
      </c>
      <c r="E498" s="50" t="str">
        <f t="shared" si="5"/>
        <v>E3.6.1.41</v>
      </c>
      <c r="F498" s="97" t="s">
        <v>14900</v>
      </c>
      <c r="G498" s="97" t="s">
        <v>14901</v>
      </c>
      <c r="H498" s="105" t="s">
        <v>10973</v>
      </c>
      <c r="I498" s="105" t="s">
        <v>10973</v>
      </c>
      <c r="J498" s="50" t="str">
        <f t="shared" si="6"/>
        <v>(${Variables:E3.6.1.41_kcat} * E3.6.1.41 * C01260 * C00001)/(${Variables:E3.6.1.41_km} + (E3.6.1.41 * C01260 * C00001))</v>
      </c>
      <c r="K498" s="98" t="str">
        <f t="shared" si="7"/>
        <v>r731: C01260 + C00001 -&gt; C00008 | (${Variables:E3.6.1.41_kcat} * E3.6.1.41 * C01260 * C00001)/(${Variables:E3.6.1.41_km} + (E3.6.1.41 * C01260 * C00001))</v>
      </c>
    </row>
    <row r="499" spans="1:11" ht="14">
      <c r="A499" s="50" t="s">
        <v>1727</v>
      </c>
      <c r="B499" s="50" t="s">
        <v>1728</v>
      </c>
      <c r="C499" s="56" t="s">
        <v>14902</v>
      </c>
      <c r="D499" s="50">
        <v>739</v>
      </c>
      <c r="E499" s="50" t="str">
        <f t="shared" si="5"/>
        <v>E3.6.5.n1</v>
      </c>
      <c r="F499" s="97" t="s">
        <v>14903</v>
      </c>
      <c r="G499" s="97" t="s">
        <v>14904</v>
      </c>
      <c r="H499" s="102" t="s">
        <v>14905</v>
      </c>
      <c r="I499" s="102" t="s">
        <v>14906</v>
      </c>
      <c r="J499" s="50" t="str">
        <f t="shared" si="6"/>
        <v>(${Variables:E3.6.5.n1_kcat} * E3.6.5.n1 * C04287 * C00001)/(${Variables:E3.6.5.n1_km} + (E3.6.5.n1 * C04287 * C00001))</v>
      </c>
      <c r="K499" s="98" t="str">
        <f t="shared" si="7"/>
        <v>r739: C04287 + C00001 -&gt; C16737 | (${Variables:E3.6.5.n1_kcat} * E3.6.5.n1 * C04287 * C00001)/(${Variables:E3.6.5.n1_km} + (E3.6.5.n1 * C04287 * C00001))</v>
      </c>
    </row>
    <row r="500" spans="1:11" ht="14">
      <c r="A500" s="50" t="s">
        <v>4550</v>
      </c>
      <c r="B500" s="50" t="s">
        <v>4551</v>
      </c>
      <c r="C500" s="56" t="s">
        <v>14907</v>
      </c>
      <c r="D500" s="50">
        <v>740</v>
      </c>
      <c r="E500" s="50" t="str">
        <f t="shared" si="5"/>
        <v>E3.7.1.22</v>
      </c>
      <c r="F500" s="102" t="s">
        <v>14908</v>
      </c>
      <c r="G500" s="102" t="s">
        <v>14909</v>
      </c>
      <c r="H500" s="97" t="s">
        <v>14910</v>
      </c>
      <c r="I500" s="97" t="s">
        <v>14911</v>
      </c>
      <c r="J500" s="50" t="str">
        <f t="shared" si="6"/>
        <v>(${Variables:E3.7.1.22_kcat} * E3.7.1.22 * C00149)/(${Variables:E3.7.1.22_km} + (E3.7.1.22 * C00149))</v>
      </c>
      <c r="K500" s="98" t="str">
        <f t="shared" si="7"/>
        <v>r740: C00149 -&gt; C00186 + C00011 | (${Variables:E3.7.1.22_kcat} * E3.7.1.22 * C00149)/(${Variables:E3.7.1.22_km} + (E3.7.1.22 * C00149))</v>
      </c>
    </row>
    <row r="501" spans="1:11" ht="14">
      <c r="A501" s="50" t="s">
        <v>6909</v>
      </c>
      <c r="B501" s="50" t="s">
        <v>6910</v>
      </c>
      <c r="C501" s="56" t="s">
        <v>14912</v>
      </c>
      <c r="D501" s="50">
        <v>741</v>
      </c>
      <c r="E501" s="50" t="str">
        <f t="shared" si="5"/>
        <v>E4.1.1.101</v>
      </c>
      <c r="F501" s="102" t="s">
        <v>14913</v>
      </c>
      <c r="G501" s="102" t="s">
        <v>14914</v>
      </c>
      <c r="H501" s="97" t="s">
        <v>14915</v>
      </c>
      <c r="I501" s="97" t="s">
        <v>14916</v>
      </c>
      <c r="J501" s="50" t="str">
        <f t="shared" si="6"/>
        <v>(${Variables:E4.1.1.101_kcat} * E4.1.1.101 * C00036)/(${Variables:E4.1.1.101_km} + (E4.1.1.101 * C00036))</v>
      </c>
      <c r="K501" s="98" t="str">
        <f t="shared" si="7"/>
        <v>r741: C00036 -&gt; C00022 + C00011 | (${Variables:E4.1.1.101_kcat} * E4.1.1.101 * C00036)/(${Variables:E4.1.1.101_km} + (E4.1.1.101 * C00036))</v>
      </c>
    </row>
    <row r="502" spans="1:11" ht="14">
      <c r="A502" s="50" t="s">
        <v>2606</v>
      </c>
      <c r="B502" s="50" t="s">
        <v>2607</v>
      </c>
      <c r="C502" s="56" t="s">
        <v>14917</v>
      </c>
      <c r="D502" s="50">
        <v>742</v>
      </c>
      <c r="E502" s="50" t="str">
        <f t="shared" si="5"/>
        <v>E4.1.1.112</v>
      </c>
      <c r="F502" s="102" t="s">
        <v>14918</v>
      </c>
      <c r="G502" s="102" t="s">
        <v>14919</v>
      </c>
      <c r="H502" s="97" t="s">
        <v>14920</v>
      </c>
      <c r="I502" s="97" t="s">
        <v>14921</v>
      </c>
      <c r="J502" s="50" t="str">
        <f t="shared" si="6"/>
        <v>(${Variables:E4.1.1.112_kcat} * E4.1.1.112 * C00049)/(${Variables:E4.1.1.112_km} + (E4.1.1.112 * C00049))</v>
      </c>
      <c r="K502" s="98" t="str">
        <f t="shared" si="7"/>
        <v>r742: C00049 -&gt; C00041 + C00011 | (${Variables:E4.1.1.112_kcat} * E4.1.1.112 * C00049)/(${Variables:E4.1.1.112_km} + (E4.1.1.112 * C00049))</v>
      </c>
    </row>
    <row r="503" spans="1:11" ht="14">
      <c r="A503" s="50" t="s">
        <v>2606</v>
      </c>
      <c r="B503" s="50" t="s">
        <v>2607</v>
      </c>
      <c r="C503" s="56" t="s">
        <v>14922</v>
      </c>
      <c r="D503" s="50">
        <v>743</v>
      </c>
      <c r="E503" s="50" t="str">
        <f t="shared" si="5"/>
        <v>E4.1.1.112</v>
      </c>
      <c r="F503" s="102" t="s">
        <v>14923</v>
      </c>
      <c r="G503" s="102" t="s">
        <v>14924</v>
      </c>
      <c r="H503" s="97" t="s">
        <v>14925</v>
      </c>
      <c r="I503" s="97" t="s">
        <v>14926</v>
      </c>
      <c r="J503" s="50" t="str">
        <f t="shared" si="6"/>
        <v>(${Variables:E4.1.1.112_kcat} * E4.1.1.112 * C06030)/(${Variables:E4.1.1.112_km} + (E4.1.1.112 * C06030))</v>
      </c>
      <c r="K503" s="98" t="str">
        <f t="shared" si="7"/>
        <v>r743: C06030 -&gt; C00109 + C00011 | (${Variables:E4.1.1.112_kcat} * E4.1.1.112 * C06030)/(${Variables:E4.1.1.112_km} + (E4.1.1.112 * C06030))</v>
      </c>
    </row>
    <row r="504" spans="1:11" ht="14">
      <c r="A504" s="50" t="s">
        <v>5531</v>
      </c>
      <c r="B504" s="50" t="s">
        <v>5532</v>
      </c>
      <c r="C504" s="56" t="s">
        <v>14927</v>
      </c>
      <c r="D504" s="50">
        <v>744</v>
      </c>
      <c r="E504" s="50" t="str">
        <f t="shared" si="5"/>
        <v>E4.1.1.12</v>
      </c>
      <c r="F504" s="102" t="s">
        <v>14928</v>
      </c>
      <c r="G504" s="102" t="s">
        <v>14929</v>
      </c>
      <c r="H504" s="97" t="s">
        <v>14930</v>
      </c>
      <c r="I504" s="97" t="s">
        <v>14931</v>
      </c>
      <c r="J504" s="50" t="str">
        <f t="shared" si="6"/>
        <v>(${Variables:E4.1.1.12_kcat} * E4.1.1.12 * C00606)/(${Variables:E4.1.1.12_km} + (E4.1.1.12 * C00606))</v>
      </c>
      <c r="K504" s="98" t="str">
        <f t="shared" si="7"/>
        <v>r744: C00606 -&gt; C00041 + C09306 | (${Variables:E4.1.1.12_kcat} * E4.1.1.12 * C00606)/(${Variables:E4.1.1.12_km} + (E4.1.1.12 * C00606))</v>
      </c>
    </row>
    <row r="505" spans="1:11" ht="14">
      <c r="A505" s="50" t="s">
        <v>5531</v>
      </c>
      <c r="B505" s="50" t="s">
        <v>5532</v>
      </c>
      <c r="C505" s="56" t="s">
        <v>14932</v>
      </c>
      <c r="D505" s="50">
        <v>745</v>
      </c>
      <c r="E505" s="50" t="str">
        <f t="shared" si="5"/>
        <v>E4.1.1.12</v>
      </c>
      <c r="F505" s="102" t="s">
        <v>14933</v>
      </c>
      <c r="G505" s="102" t="s">
        <v>14934</v>
      </c>
      <c r="H505" s="97" t="s">
        <v>14935</v>
      </c>
      <c r="I505" s="97" t="s">
        <v>14936</v>
      </c>
      <c r="J505" s="50" t="str">
        <f t="shared" si="6"/>
        <v>(${Variables:E4.1.1.12_kcat} * E4.1.1.12 * C00680)/(${Variables:E4.1.1.12_km} + (E4.1.1.12 * C00680))</v>
      </c>
      <c r="K505" s="98" t="str">
        <f t="shared" si="7"/>
        <v>r745: C00680 -&gt; C00047 + C00011 | (${Variables:E4.1.1.12_kcat} * E4.1.1.12 * C00680)/(${Variables:E4.1.1.12_km} + (E4.1.1.12 * C00680))</v>
      </c>
    </row>
    <row r="506" spans="1:11" ht="14">
      <c r="A506" s="50" t="s">
        <v>4905</v>
      </c>
      <c r="B506" s="50" t="s">
        <v>4906</v>
      </c>
      <c r="C506" s="56" t="s">
        <v>14937</v>
      </c>
      <c r="D506" s="50">
        <v>746</v>
      </c>
      <c r="E506" s="50" t="str">
        <f t="shared" si="5"/>
        <v>E4.1.1.20</v>
      </c>
      <c r="F506" s="102" t="s">
        <v>14938</v>
      </c>
      <c r="G506" s="102" t="s">
        <v>14939</v>
      </c>
      <c r="H506" s="97" t="s">
        <v>14940</v>
      </c>
      <c r="I506" s="97" t="s">
        <v>14941</v>
      </c>
      <c r="J506" s="50" t="str">
        <f t="shared" si="6"/>
        <v>(${Variables:E4.1.1.20_kcat} * E4.1.1.20 * C04751)/(${Variables:E4.1.1.20_km} + (E4.1.1.20 * C04751))</v>
      </c>
      <c r="K506" s="98" t="str">
        <f t="shared" si="7"/>
        <v>r746: C04751 -&gt; C03373 + C00011 | (${Variables:E4.1.1.20_kcat} * E4.1.1.20 * C04751)/(${Variables:E4.1.1.20_km} + (E4.1.1.20 * C04751))</v>
      </c>
    </row>
    <row r="507" spans="1:11" ht="14">
      <c r="A507" s="50" t="s">
        <v>2348</v>
      </c>
      <c r="B507" s="50" t="s">
        <v>2349</v>
      </c>
      <c r="C507" s="56" t="s">
        <v>14942</v>
      </c>
      <c r="D507" s="50">
        <v>747</v>
      </c>
      <c r="E507" s="50" t="str">
        <f t="shared" si="5"/>
        <v>E4.1.1.21</v>
      </c>
      <c r="F507" s="102" t="s">
        <v>14943</v>
      </c>
      <c r="G507" s="102" t="s">
        <v>14944</v>
      </c>
      <c r="H507" s="97" t="s">
        <v>14945</v>
      </c>
      <c r="I507" s="97" t="s">
        <v>14946</v>
      </c>
      <c r="J507" s="50" t="str">
        <f t="shared" si="6"/>
        <v>(${Variables:E4.1.1.21_kcat} * E4.1.1.21 * C01103)/(${Variables:E4.1.1.21_km} + (E4.1.1.21 * C01103))</v>
      </c>
      <c r="K507" s="98" t="str">
        <f t="shared" si="7"/>
        <v>r747: C01103 -&gt; C00105 + C00011 | (${Variables:E4.1.1.21_kcat} * E4.1.1.21 * C01103)/(${Variables:E4.1.1.21_km} + (E4.1.1.21 * C01103))</v>
      </c>
    </row>
    <row r="508" spans="1:11" ht="14">
      <c r="A508" s="50" t="s">
        <v>1409</v>
      </c>
      <c r="B508" s="50" t="s">
        <v>1410</v>
      </c>
      <c r="C508" s="56" t="s">
        <v>14947</v>
      </c>
      <c r="D508" s="50">
        <v>748</v>
      </c>
      <c r="E508" s="50" t="str">
        <f t="shared" si="5"/>
        <v>E4.1.1.23</v>
      </c>
      <c r="F508" s="97" t="s">
        <v>14948</v>
      </c>
      <c r="G508" s="97" t="s">
        <v>14949</v>
      </c>
      <c r="H508" s="97" t="s">
        <v>14950</v>
      </c>
      <c r="I508" s="97" t="s">
        <v>14951</v>
      </c>
      <c r="J508" s="50" t="str">
        <f t="shared" si="6"/>
        <v>(${Variables:E4.1.1.23_kcat} * E4.1.1.23 * C00002 * C01143)/(${Variables:E4.1.1.23_km} + (E4.1.1.23 * C00002 * C01143))</v>
      </c>
      <c r="K508" s="98" t="str">
        <f t="shared" si="7"/>
        <v>r748: C00002 + C01143 -&gt; C00008 + C00009 + C00129 + C00011 | (${Variables:E4.1.1.23_kcat} * E4.1.1.23 * C00002 * C01143)/(${Variables:E4.1.1.23_km} + (E4.1.1.23 * C00002 * C01143))</v>
      </c>
    </row>
    <row r="509" spans="1:11" ht="14">
      <c r="A509" s="50" t="s">
        <v>1541</v>
      </c>
      <c r="B509" s="50" t="s">
        <v>1542</v>
      </c>
      <c r="C509" s="56" t="s">
        <v>14952</v>
      </c>
      <c r="D509" s="50">
        <v>749</v>
      </c>
      <c r="E509" s="50" t="str">
        <f t="shared" si="5"/>
        <v>E4.1.1.33</v>
      </c>
      <c r="F509" s="102" t="s">
        <v>14953</v>
      </c>
      <c r="G509" s="102" t="s">
        <v>14954</v>
      </c>
      <c r="H509" s="97" t="s">
        <v>14955</v>
      </c>
      <c r="I509" s="97" t="s">
        <v>14956</v>
      </c>
      <c r="J509" s="50" t="str">
        <f t="shared" si="6"/>
        <v>(${Variables:E4.1.1.33_kcat} * E4.1.1.33 * C04352)/(${Variables:E4.1.1.33_km} + (E4.1.1.33 * C04352))</v>
      </c>
      <c r="K509" s="98" t="str">
        <f t="shared" si="7"/>
        <v>r749: C04352 -&gt; C01134 + C00011 | (${Variables:E4.1.1.33_kcat} * E4.1.1.33 * C04352)/(${Variables:E4.1.1.33_km} + (E4.1.1.33 * C04352))</v>
      </c>
    </row>
    <row r="510" spans="1:11" ht="14">
      <c r="A510" s="50" t="s">
        <v>1947</v>
      </c>
      <c r="B510" s="50" t="s">
        <v>1948</v>
      </c>
      <c r="C510" s="56" t="s">
        <v>14957</v>
      </c>
      <c r="D510" s="50">
        <v>750</v>
      </c>
      <c r="E510" s="50" t="str">
        <f t="shared" si="5"/>
        <v>E4.1.1.36</v>
      </c>
      <c r="F510" s="102" t="s">
        <v>14958</v>
      </c>
      <c r="G510" s="102" t="s">
        <v>14959</v>
      </c>
      <c r="H510" s="97" t="s">
        <v>14960</v>
      </c>
      <c r="I510" s="97" t="s">
        <v>14961</v>
      </c>
      <c r="J510" s="50" t="str">
        <f t="shared" si="6"/>
        <v>(${Variables:E4.1.1.36_kcat} * E4.1.1.36 * C01302)/(${Variables:E4.1.1.36_km} + (E4.1.1.36 * C01302))</v>
      </c>
      <c r="K510" s="98" t="str">
        <f t="shared" si="7"/>
        <v>r750: C01302 -&gt; C03506 + C00011 + C00001 | (${Variables:E4.1.1.36_kcat} * E4.1.1.36 * C01302)/(${Variables:E4.1.1.36_km} + (E4.1.1.36 * C01302))</v>
      </c>
    </row>
    <row r="511" spans="1:11" ht="14">
      <c r="A511" s="50" t="s">
        <v>4940</v>
      </c>
      <c r="B511" s="50" t="s">
        <v>4941</v>
      </c>
      <c r="C511" s="56" t="s">
        <v>14962</v>
      </c>
      <c r="D511" s="50">
        <v>751</v>
      </c>
      <c r="E511" s="50" t="str">
        <f t="shared" si="5"/>
        <v>E4.1.1.48</v>
      </c>
      <c r="F511" s="97" t="s">
        <v>14963</v>
      </c>
      <c r="G511" s="97" t="s">
        <v>14964</v>
      </c>
      <c r="H511" s="97" t="s">
        <v>14965</v>
      </c>
      <c r="I511" s="97" t="s">
        <v>14966</v>
      </c>
      <c r="J511" s="50" t="str">
        <f t="shared" si="6"/>
        <v>(${Variables:E4.1.1.48_kcat} * E4.1.1.48 * C00002 * C00036)/(${Variables:E4.1.1.48_km} + (E4.1.1.48 * C00002 * C00036))</v>
      </c>
      <c r="K511" s="98" t="str">
        <f t="shared" si="7"/>
        <v>r751: C00002 + C00036 -&gt; C00008 + C00074 + C00011 | (${Variables:E4.1.1.48_kcat} * E4.1.1.48 * C00002 * C00036)/(${Variables:E4.1.1.48_km} + (E4.1.1.48 * C00002 * C00036))</v>
      </c>
    </row>
    <row r="512" spans="1:11" ht="14">
      <c r="A512" s="50" t="s">
        <v>2517</v>
      </c>
      <c r="B512" s="50" t="s">
        <v>2518</v>
      </c>
      <c r="C512" s="56" t="s">
        <v>14967</v>
      </c>
      <c r="D512" s="50">
        <v>752</v>
      </c>
      <c r="E512" s="50" t="str">
        <f t="shared" ref="E512:E678" si="8">CONCATENATE("E",C512)</f>
        <v>E4.1.1.49</v>
      </c>
      <c r="F512" s="102" t="s">
        <v>14968</v>
      </c>
      <c r="G512" s="102" t="s">
        <v>14969</v>
      </c>
      <c r="H512" s="97" t="s">
        <v>14970</v>
      </c>
      <c r="I512" s="97" t="s">
        <v>14971</v>
      </c>
      <c r="J512" s="50" t="str">
        <f t="shared" si="6"/>
        <v>(${Variables:E4.1.1.49_kcat} * E4.1.1.49 * C06010)/(${Variables:E4.1.1.49_km} + (E4.1.1.49 * C06010))</v>
      </c>
      <c r="K512" s="98" t="str">
        <f t="shared" si="7"/>
        <v>r752: C06010 -&gt; C00810 + C00011 | (${Variables:E4.1.1.49_kcat} * E4.1.1.49 * C06010)/(${Variables:E4.1.1.49_km} + (E4.1.1.49 * C06010))</v>
      </c>
    </row>
    <row r="513" spans="1:11" ht="14">
      <c r="A513" s="50" t="s">
        <v>2569</v>
      </c>
      <c r="B513" s="50" t="s">
        <v>2570</v>
      </c>
      <c r="C513" s="56" t="s">
        <v>14972</v>
      </c>
      <c r="D513" s="50">
        <v>753</v>
      </c>
      <c r="E513" s="50" t="str">
        <f t="shared" si="8"/>
        <v>E4.1.1.5</v>
      </c>
      <c r="F513" s="97" t="s">
        <v>14973</v>
      </c>
      <c r="G513" s="97" t="s">
        <v>14974</v>
      </c>
      <c r="H513" s="97" t="s">
        <v>14975</v>
      </c>
      <c r="I513" s="97" t="s">
        <v>14976</v>
      </c>
      <c r="J513" s="50" t="str">
        <f t="shared" si="6"/>
        <v>(${Variables:E4.1.1.5_kcat} * E4.1.1.5 * C14899 * C00080)/(${Variables:E4.1.1.5_km} + (E4.1.1.5 * C14899 * C00080))</v>
      </c>
      <c r="K513" s="98" t="str">
        <f t="shared" si="7"/>
        <v>r753: C14899 + C00080 -&gt; C03291 + C00011 | (${Variables:E4.1.1.5_kcat} * E4.1.1.5 * C14899 * C00080)/(${Variables:E4.1.1.5_km} + (E4.1.1.5 * C14899 * C00080))</v>
      </c>
    </row>
    <row r="514" spans="1:11" ht="14">
      <c r="A514" s="50" t="s">
        <v>5580</v>
      </c>
      <c r="B514" s="50" t="s">
        <v>5581</v>
      </c>
      <c r="C514" s="56" t="s">
        <v>14977</v>
      </c>
      <c r="D514" s="50">
        <v>754</v>
      </c>
      <c r="E514" s="50" t="str">
        <f t="shared" si="8"/>
        <v>E4.1.1.85</v>
      </c>
      <c r="F514" s="102" t="s">
        <v>14978</v>
      </c>
      <c r="G514" s="102" t="s">
        <v>14979</v>
      </c>
      <c r="H514" s="97" t="s">
        <v>14980</v>
      </c>
      <c r="I514" s="97" t="s">
        <v>14981</v>
      </c>
      <c r="J514" s="50" t="str">
        <f t="shared" si="6"/>
        <v>(${Variables:E4.1.1.85_kcat} * E4.1.1.85 * C00354)/(${Variables:E4.1.1.85_km} + (E4.1.1.85 * C00354))</v>
      </c>
      <c r="K514" s="98" t="str">
        <f t="shared" si="7"/>
        <v>r754: C00354 -&gt; C00111 + C00118 | (${Variables:E4.1.1.85_kcat} * E4.1.1.85 * C00354)/(${Variables:E4.1.1.85_km} + (E4.1.1.85 * C00354))</v>
      </c>
    </row>
    <row r="515" spans="1:11" ht="14">
      <c r="A515" s="50" t="s">
        <v>3971</v>
      </c>
      <c r="B515" s="50" t="s">
        <v>3972</v>
      </c>
      <c r="C515" s="56" t="s">
        <v>14982</v>
      </c>
      <c r="D515" s="50">
        <v>755</v>
      </c>
      <c r="E515" s="50" t="str">
        <f t="shared" si="8"/>
        <v>E4.1.2.13</v>
      </c>
      <c r="F515" s="102" t="s">
        <v>14983</v>
      </c>
      <c r="G515" s="102" t="s">
        <v>14984</v>
      </c>
      <c r="H515" s="97" t="s">
        <v>14985</v>
      </c>
      <c r="I515" s="97" t="s">
        <v>14986</v>
      </c>
      <c r="J515" s="50" t="str">
        <f t="shared" si="6"/>
        <v>(${Variables:E4.1.2.13_kcat} * E4.1.2.13 * C00447)/(${Variables:E4.1.2.13_km} + (E4.1.2.13 * C00447))</v>
      </c>
      <c r="K515" s="98" t="str">
        <f t="shared" si="7"/>
        <v>r755: C00447 -&gt; C00111 + C00279 | (${Variables:E4.1.2.13_kcat} * E4.1.2.13 * C00447)/(${Variables:E4.1.2.13_km} + (E4.1.2.13 * C00447))</v>
      </c>
    </row>
    <row r="516" spans="1:11" ht="14">
      <c r="A516" s="50" t="s">
        <v>5504</v>
      </c>
      <c r="B516" s="50" t="s">
        <v>5505</v>
      </c>
      <c r="C516" s="56" t="s">
        <v>14987</v>
      </c>
      <c r="D516" s="50">
        <v>756</v>
      </c>
      <c r="E516" s="50" t="str">
        <f t="shared" si="8"/>
        <v>E4.1.2.13</v>
      </c>
      <c r="F516" s="102" t="s">
        <v>14988</v>
      </c>
      <c r="G516" s="102" t="s">
        <v>14989</v>
      </c>
      <c r="H516" s="97" t="s">
        <v>14990</v>
      </c>
      <c r="I516" s="97" t="s">
        <v>14991</v>
      </c>
      <c r="J516" s="50" t="str">
        <f t="shared" si="6"/>
        <v>(${Variables:E4.1.2.13_kcat} * E4.1.2.13 * C00673)/(${Variables:E4.1.2.13_km} + (E4.1.2.13 * C00673))</v>
      </c>
      <c r="K516" s="98" t="str">
        <f t="shared" si="7"/>
        <v>r756: C00673 -&gt; C00118 + C00084 | (${Variables:E4.1.2.13_kcat} * E4.1.2.13 * C00673)/(${Variables:E4.1.2.13_km} + (E4.1.2.13 * C00673))</v>
      </c>
    </row>
    <row r="517" spans="1:11" ht="14">
      <c r="A517" s="50" t="s">
        <v>3971</v>
      </c>
      <c r="B517" s="50" t="s">
        <v>3972</v>
      </c>
      <c r="C517" s="56" t="s">
        <v>14992</v>
      </c>
      <c r="D517" s="50">
        <v>757</v>
      </c>
      <c r="E517" s="50" t="str">
        <f t="shared" si="8"/>
        <v>E4.1.2.13</v>
      </c>
      <c r="F517" s="102" t="s">
        <v>14993</v>
      </c>
      <c r="G517" s="102" t="s">
        <v>14994</v>
      </c>
      <c r="H517" s="97" t="s">
        <v>14995</v>
      </c>
      <c r="I517" s="97" t="s">
        <v>14996</v>
      </c>
      <c r="J517" s="50" t="str">
        <f t="shared" si="6"/>
        <v>(${Variables:E4.1.2.13_kcat} * E4.1.2.13 * C01094)/(${Variables:E4.1.2.13_km} + (E4.1.2.13 * C01094))</v>
      </c>
      <c r="K517" s="98" t="str">
        <f t="shared" si="7"/>
        <v>r757: C01094 -&gt; C00111 + C00577 | (${Variables:E4.1.2.13_kcat} * E4.1.2.13 * C01094)/(${Variables:E4.1.2.13_km} + (E4.1.2.13 * C01094))</v>
      </c>
    </row>
    <row r="518" spans="1:11" ht="14">
      <c r="A518" s="50" t="s">
        <v>3971</v>
      </c>
      <c r="B518" s="50" t="s">
        <v>3972</v>
      </c>
      <c r="C518" s="56" t="s">
        <v>14997</v>
      </c>
      <c r="D518" s="50">
        <v>766</v>
      </c>
      <c r="E518" s="50" t="str">
        <f t="shared" si="8"/>
        <v>E4.1.2.13</v>
      </c>
      <c r="F518" s="102" t="s">
        <v>14998</v>
      </c>
      <c r="G518" s="102" t="s">
        <v>14999</v>
      </c>
      <c r="H518" s="97" t="s">
        <v>15000</v>
      </c>
      <c r="I518" s="97" t="s">
        <v>15001</v>
      </c>
      <c r="J518" s="50" t="str">
        <f t="shared" si="6"/>
        <v>(${Variables:E4.1.2.13_kcat} * E4.1.2.13 * C05378)/(${Variables:E4.1.2.13_km} + (E4.1.2.13 * C05378))</v>
      </c>
      <c r="K518" s="98" t="str">
        <f t="shared" si="7"/>
        <v>r766: C05378 -&gt; C00111 + C00118 | (${Variables:E4.1.2.13_kcat} * E4.1.2.13 * C05378)/(${Variables:E4.1.2.13_km} + (E4.1.2.13 * C05378))</v>
      </c>
    </row>
    <row r="519" spans="1:11" ht="14">
      <c r="A519" s="50" t="s">
        <v>5103</v>
      </c>
      <c r="B519" s="50" t="s">
        <v>5104</v>
      </c>
      <c r="C519" s="56" t="s">
        <v>15002</v>
      </c>
      <c r="D519" s="50">
        <v>768</v>
      </c>
      <c r="E519" s="50" t="str">
        <f t="shared" si="8"/>
        <v>E4.1.2.4</v>
      </c>
      <c r="F519" s="97" t="s">
        <v>15003</v>
      </c>
      <c r="G519" s="97" t="s">
        <v>15004</v>
      </c>
      <c r="H519" s="102" t="s">
        <v>15005</v>
      </c>
      <c r="I519" s="102" t="s">
        <v>15006</v>
      </c>
      <c r="J519" s="50" t="str">
        <f t="shared" si="6"/>
        <v>(${Variables:E4.1.2.4_kcat} * E4.1.2.4 * C00199 * C00067)/(${Variables:E4.1.2.4_km} + (E4.1.2.4 * C00199 * C00067))</v>
      </c>
      <c r="K519" s="98" t="str">
        <f t="shared" si="7"/>
        <v>r768: C00199 + C00067 -&gt; C06019 | (${Variables:E4.1.2.4_kcat} * E4.1.2.4 * C00199 * C00067)/(${Variables:E4.1.2.4_km} + (E4.1.2.4 * C00199 * C00067))</v>
      </c>
    </row>
    <row r="520" spans="1:11" ht="14">
      <c r="A520" s="50" t="s">
        <v>4189</v>
      </c>
      <c r="B520" s="50" t="s">
        <v>4190</v>
      </c>
      <c r="C520" s="56" t="s">
        <v>15007</v>
      </c>
      <c r="D520" s="50">
        <v>770</v>
      </c>
      <c r="E520" s="50" t="str">
        <f t="shared" si="8"/>
        <v>E4.1.2.43</v>
      </c>
      <c r="F520" s="102" t="s">
        <v>15008</v>
      </c>
      <c r="G520" s="102" t="s">
        <v>15009</v>
      </c>
      <c r="H520" s="97" t="s">
        <v>15010</v>
      </c>
      <c r="I520" s="97" t="s">
        <v>15011</v>
      </c>
      <c r="J520" s="50" t="str">
        <f t="shared" si="6"/>
        <v>(${Variables:E4.1.2.43_kcat} * E4.1.2.43 * C00158)/(${Variables:E4.1.2.43_km} + (E4.1.2.43 * C00158))</v>
      </c>
      <c r="K520" s="98" t="str">
        <f t="shared" si="7"/>
        <v>r770: C00158 -&gt; C00033 + C00036 | (${Variables:E4.1.2.43_kcat} * E4.1.2.43 * C00158)/(${Variables:E4.1.2.43_km} + (E4.1.2.43 * C00158))</v>
      </c>
    </row>
    <row r="521" spans="1:11" ht="14">
      <c r="A521" s="50" t="s">
        <v>2621</v>
      </c>
      <c r="B521" s="50" t="s">
        <v>2622</v>
      </c>
      <c r="C521" s="56" t="s">
        <v>15012</v>
      </c>
      <c r="D521" s="50">
        <v>772</v>
      </c>
      <c r="E521" s="50" t="str">
        <f t="shared" si="8"/>
        <v>E4.1.3.6</v>
      </c>
      <c r="F521" s="102" t="s">
        <v>15013</v>
      </c>
      <c r="G521" s="102" t="s">
        <v>15014</v>
      </c>
      <c r="H521" s="97" t="s">
        <v>15015</v>
      </c>
      <c r="I521" s="97" t="s">
        <v>15016</v>
      </c>
      <c r="J521" s="50" t="str">
        <f t="shared" si="6"/>
        <v>(${Variables:E4.1.3.6_kcat} * E4.1.3.6 * C00631)/(${Variables:E4.1.3.6_km} + (E4.1.3.6 * C00631))</v>
      </c>
      <c r="K521" s="98" t="str">
        <f t="shared" si="7"/>
        <v>r772: C00631 -&gt; C00074 + C00001 | (${Variables:E4.1.3.6_kcat} * E4.1.3.6 * C00631)/(${Variables:E4.1.3.6_km} + (E4.1.3.6 * C00631))</v>
      </c>
    </row>
    <row r="522" spans="1:11" ht="14">
      <c r="A522" s="50" t="s">
        <v>7588</v>
      </c>
      <c r="B522" s="50" t="s">
        <v>7589</v>
      </c>
      <c r="C522" s="56" t="s">
        <v>15017</v>
      </c>
      <c r="D522" s="50">
        <v>773</v>
      </c>
      <c r="E522" s="50" t="str">
        <f t="shared" si="8"/>
        <v>E4.2.1.11</v>
      </c>
      <c r="F522" s="97" t="s">
        <v>15018</v>
      </c>
      <c r="G522" s="97" t="s">
        <v>15019</v>
      </c>
      <c r="H522" s="102" t="s">
        <v>15020</v>
      </c>
      <c r="I522" s="102" t="s">
        <v>15021</v>
      </c>
      <c r="J522" s="50" t="str">
        <f t="shared" si="6"/>
        <v>(${Variables:E4.2.1.11_kcat} * E4.2.1.11 * C02730 * C00001)/(${Variables:E4.2.1.11_km} + (E4.2.1.11 * C02730 * C00001))</v>
      </c>
      <c r="K522" s="98" t="str">
        <f t="shared" si="7"/>
        <v>r773: C02730 + C00001 -&gt; C05817 | (${Variables:E4.2.1.11_kcat} * E4.2.1.11 * C02730 * C00001)/(${Variables:E4.2.1.11_km} + (E4.2.1.11 * C02730 * C00001))</v>
      </c>
    </row>
    <row r="523" spans="1:11" ht="14">
      <c r="A523" s="50" t="s">
        <v>7588</v>
      </c>
      <c r="B523" s="50" t="s">
        <v>7589</v>
      </c>
      <c r="C523" s="56" t="s">
        <v>15022</v>
      </c>
      <c r="D523" s="50">
        <v>774</v>
      </c>
      <c r="E523" s="50" t="str">
        <f t="shared" si="8"/>
        <v>E4.2.1.11</v>
      </c>
      <c r="F523" s="102" t="s">
        <v>15023</v>
      </c>
      <c r="G523" s="102" t="s">
        <v>15024</v>
      </c>
      <c r="H523" s="97" t="s">
        <v>15025</v>
      </c>
      <c r="I523" s="97" t="s">
        <v>15026</v>
      </c>
      <c r="J523" s="50" t="str">
        <f t="shared" si="6"/>
        <v>(${Variables:E4.2.1.11_kcat} * E4.2.1.11 * C03356)/(${Variables:E4.2.1.11_km} + (E4.2.1.11 * C03356))</v>
      </c>
      <c r="K523" s="98" t="str">
        <f t="shared" si="7"/>
        <v>r774: C03356 -&gt; C04309 + C00001 | (${Variables:E4.2.1.11_kcat} * E4.2.1.11 * C03356)/(${Variables:E4.2.1.11_km} + (E4.2.1.11 * C03356))</v>
      </c>
    </row>
    <row r="524" spans="1:11" ht="14">
      <c r="A524" s="50" t="s">
        <v>4146</v>
      </c>
      <c r="B524" s="50" t="s">
        <v>4147</v>
      </c>
      <c r="C524" s="56" t="s">
        <v>15027</v>
      </c>
      <c r="D524" s="50">
        <v>775</v>
      </c>
      <c r="E524" s="50" t="str">
        <f t="shared" si="8"/>
        <v>E4.2.1.113</v>
      </c>
      <c r="F524" s="97" t="s">
        <v>15028</v>
      </c>
      <c r="G524" s="97" t="s">
        <v>15029</v>
      </c>
      <c r="H524" s="97" t="s">
        <v>15030</v>
      </c>
      <c r="I524" s="97" t="s">
        <v>15031</v>
      </c>
      <c r="J524" s="50" t="str">
        <f t="shared" si="6"/>
        <v>(${Variables:E4.2.1.113_kcat} * E4.2.1.113 * C00256 * C00357)/(${Variables:E4.2.1.113_km} + (E4.2.1.113 * C00256 * C00357))</v>
      </c>
      <c r="K524" s="98" t="str">
        <f t="shared" si="7"/>
        <v>r775: C00256 + C00357 -&gt; C16698 + C00001 | (${Variables:E4.2.1.113_kcat} * E4.2.1.113 * C00256 * C00357)/(${Variables:E4.2.1.113_km} + (E4.2.1.113 * C00256 * C00357))</v>
      </c>
    </row>
    <row r="525" spans="1:11" ht="14">
      <c r="A525" s="50" t="s">
        <v>5451</v>
      </c>
      <c r="B525" s="50" t="s">
        <v>5452</v>
      </c>
      <c r="C525" s="56" t="s">
        <v>15032</v>
      </c>
      <c r="D525" s="50">
        <v>777</v>
      </c>
      <c r="E525" s="50" t="str">
        <f t="shared" si="8"/>
        <v>E4.2.1.126</v>
      </c>
      <c r="F525" s="102" t="s">
        <v>15033</v>
      </c>
      <c r="G525" s="102" t="s">
        <v>15034</v>
      </c>
      <c r="H525" s="97" t="s">
        <v>15035</v>
      </c>
      <c r="I525" s="97" t="s">
        <v>15036</v>
      </c>
      <c r="J525" s="50" t="str">
        <f t="shared" si="6"/>
        <v>(${Variables:E4.2.1.126_kcat} * E4.2.1.126 * C04666)/(${Variables:E4.2.1.126_km} + (E4.2.1.126 * C04666))</v>
      </c>
      <c r="K525" s="98" t="str">
        <f t="shared" si="7"/>
        <v>r777: C04666 -&gt; C01267 + C00001 | (${Variables:E4.2.1.126_kcat} * E4.2.1.126 * C04666)/(${Variables:E4.2.1.126_km} + (E4.2.1.126 * C04666))</v>
      </c>
    </row>
    <row r="526" spans="1:11" ht="12.5">
      <c r="A526" s="50" t="s">
        <v>1356</v>
      </c>
      <c r="B526" s="50" t="s">
        <v>1357</v>
      </c>
      <c r="C526" s="56" t="s">
        <v>15037</v>
      </c>
      <c r="D526" s="50">
        <v>778</v>
      </c>
      <c r="E526" s="50" t="str">
        <f t="shared" si="8"/>
        <v>E4.2.1.19</v>
      </c>
      <c r="F526" s="102" t="s">
        <v>15038</v>
      </c>
      <c r="G526" s="102" t="s">
        <v>15039</v>
      </c>
      <c r="H526" s="102" t="s">
        <v>15040</v>
      </c>
      <c r="I526" s="102" t="s">
        <v>15041</v>
      </c>
      <c r="J526" s="50" t="str">
        <f t="shared" si="6"/>
        <v>(${Variables:E4.2.1.19_kcat} * E4.2.1.19 * C00149)/(${Variables:E4.2.1.19_km} + (E4.2.1.19 * C00149))</v>
      </c>
      <c r="K526" s="98" t="str">
        <f t="shared" si="7"/>
        <v>r778: C00149 -&gt; C00149 | (${Variables:E4.2.1.19_kcat} * E4.2.1.19 * C00149)/(${Variables:E4.2.1.19_km} + (E4.2.1.19 * C00149))</v>
      </c>
    </row>
    <row r="527" spans="1:11" ht="14">
      <c r="A527" s="50" t="s">
        <v>6417</v>
      </c>
      <c r="B527" s="50" t="s">
        <v>6418</v>
      </c>
      <c r="C527" s="56" t="s">
        <v>15042</v>
      </c>
      <c r="D527" s="50">
        <v>779</v>
      </c>
      <c r="E527" s="50" t="str">
        <f t="shared" si="8"/>
        <v>E4.2.1.2</v>
      </c>
      <c r="F527" s="97" t="s">
        <v>15043</v>
      </c>
      <c r="G527" s="97" t="s">
        <v>15044</v>
      </c>
      <c r="H527" s="97" t="s">
        <v>15045</v>
      </c>
      <c r="I527" s="97" t="s">
        <v>15046</v>
      </c>
      <c r="J527" s="50" t="str">
        <f t="shared" si="6"/>
        <v>(${Variables:E4.2.1.2_kcat} * E4.2.1.2 * C00065 * C00463)/(${Variables:E4.2.1.2_km} + (E4.2.1.2 * C00065 * C00463))</v>
      </c>
      <c r="K527" s="98" t="str">
        <f t="shared" si="7"/>
        <v>r779: C00065 + C00463 -&gt; C00078 + C00001 | (${Variables:E4.2.1.2_kcat} * E4.2.1.2 * C00065 * C00463)/(${Variables:E4.2.1.2_km} + (E4.2.1.2 * C00065 * C00463))</v>
      </c>
    </row>
    <row r="528" spans="1:11" ht="14">
      <c r="A528" s="50" t="s">
        <v>4948</v>
      </c>
      <c r="B528" s="50" t="s">
        <v>4949</v>
      </c>
      <c r="C528" s="56" t="s">
        <v>15047</v>
      </c>
      <c r="D528" s="50">
        <v>780</v>
      </c>
      <c r="E528" s="50" t="str">
        <f t="shared" si="8"/>
        <v>E4.2.1.20</v>
      </c>
      <c r="F528" s="97" t="s">
        <v>15048</v>
      </c>
      <c r="G528" s="97" t="s">
        <v>15049</v>
      </c>
      <c r="H528" s="97" t="s">
        <v>15050</v>
      </c>
      <c r="I528" s="97" t="s">
        <v>15051</v>
      </c>
      <c r="J528" s="50" t="str">
        <f t="shared" si="6"/>
        <v>(${Variables:E4.2.1.20_kcat} * E4.2.1.20 * C00065 * C03506)/(${Variables:E4.2.1.20_km} + (E4.2.1.20 * C00065 * C03506))</v>
      </c>
      <c r="K528" s="98" t="str">
        <f t="shared" si="7"/>
        <v>r780: C00065 + C03506 -&gt; C00078 + C00118 + C00001 | (${Variables:E4.2.1.20_kcat} * E4.2.1.20 * C00065 * C03506)/(${Variables:E4.2.1.20_km} + (E4.2.1.20 * C00065 * C03506))</v>
      </c>
    </row>
    <row r="529" spans="1:11" ht="14">
      <c r="A529" s="50" t="s">
        <v>4951</v>
      </c>
      <c r="B529" s="50" t="s">
        <v>4952</v>
      </c>
      <c r="C529" s="56" t="s">
        <v>15052</v>
      </c>
      <c r="D529" s="50">
        <v>781</v>
      </c>
      <c r="E529" s="50" t="str">
        <f t="shared" si="8"/>
        <v>E4.2.1.20</v>
      </c>
      <c r="F529" s="102" t="s">
        <v>15053</v>
      </c>
      <c r="G529" s="102" t="s">
        <v>15054</v>
      </c>
      <c r="H529" s="97" t="s">
        <v>15055</v>
      </c>
      <c r="I529" s="97" t="s">
        <v>15056</v>
      </c>
      <c r="J529" s="50" t="str">
        <f t="shared" si="6"/>
        <v>(${Variables:E4.2.1.20_kcat} * E4.2.1.20 * C00691)/(${Variables:E4.2.1.20_km} + (E4.2.1.20 * C00691))</v>
      </c>
      <c r="K529" s="98" t="str">
        <f t="shared" si="7"/>
        <v>r781: C00691 -&gt; C04287 + C00001 | (${Variables:E4.2.1.20_kcat} * E4.2.1.20 * C00691)/(${Variables:E4.2.1.20_km} + (E4.2.1.20 * C00691))</v>
      </c>
    </row>
    <row r="530" spans="1:11" ht="14">
      <c r="A530" s="50" t="s">
        <v>4948</v>
      </c>
      <c r="B530" s="50" t="s">
        <v>4949</v>
      </c>
      <c r="C530" s="56" t="s">
        <v>15057</v>
      </c>
      <c r="D530" s="50">
        <v>785</v>
      </c>
      <c r="E530" s="50" t="str">
        <f t="shared" si="8"/>
        <v>E4.2.1.20</v>
      </c>
      <c r="F530" s="102" t="s">
        <v>15058</v>
      </c>
      <c r="G530" s="102" t="s">
        <v>15059</v>
      </c>
      <c r="H530" s="97" t="s">
        <v>15060</v>
      </c>
      <c r="I530" s="97" t="s">
        <v>15061</v>
      </c>
      <c r="J530" s="50" t="str">
        <f t="shared" si="6"/>
        <v>(${Variables:E4.2.1.20_kcat} * E4.2.1.20 * C03506)/(${Variables:E4.2.1.20_km} + (E4.2.1.20 * C03506))</v>
      </c>
      <c r="K530" s="98" t="str">
        <f t="shared" si="7"/>
        <v>r785: C03506 -&gt; C00463 + C00118 | (${Variables:E4.2.1.20_kcat} * E4.2.1.20 * C03506)/(${Variables:E4.2.1.20_km} + (E4.2.1.20 * C03506))</v>
      </c>
    </row>
    <row r="531" spans="1:11" ht="14">
      <c r="A531" s="50" t="s">
        <v>4539</v>
      </c>
      <c r="B531" s="50" t="s">
        <v>4540</v>
      </c>
      <c r="C531" s="56" t="s">
        <v>15062</v>
      </c>
      <c r="D531" s="50">
        <v>786</v>
      </c>
      <c r="E531" s="50" t="str">
        <f t="shared" si="8"/>
        <v>E4.2.1.44</v>
      </c>
      <c r="F531" s="102" t="s">
        <v>15063</v>
      </c>
      <c r="G531" s="102" t="s">
        <v>15064</v>
      </c>
      <c r="H531" s="97" t="s">
        <v>15065</v>
      </c>
      <c r="I531" s="97" t="s">
        <v>15066</v>
      </c>
      <c r="J531" s="50" t="str">
        <f t="shared" si="6"/>
        <v>(${Variables:E4.2.1.44_kcat} * E4.2.1.44 * C03195)/(${Variables:E4.2.1.44_km} + (E4.2.1.44 * C03195))</v>
      </c>
      <c r="K531" s="98" t="str">
        <f t="shared" si="7"/>
        <v>r786: C03195 -&gt; C00712 + C00001 | (${Variables:E4.2.1.44_kcat} * E4.2.1.44 * C03195)/(${Variables:E4.2.1.44_km} + (E4.2.1.44 * C03195))</v>
      </c>
    </row>
    <row r="532" spans="1:11" ht="14">
      <c r="A532" s="50" t="s">
        <v>4011</v>
      </c>
      <c r="B532" s="50" t="s">
        <v>4012</v>
      </c>
      <c r="C532" s="56" t="s">
        <v>15067</v>
      </c>
      <c r="D532" s="50">
        <v>787</v>
      </c>
      <c r="E532" s="50" t="str">
        <f t="shared" si="8"/>
        <v>E4.2.1.53</v>
      </c>
      <c r="F532" s="102" t="s">
        <v>15068</v>
      </c>
      <c r="G532" s="102" t="s">
        <v>15069</v>
      </c>
      <c r="H532" s="97" t="s">
        <v>15070</v>
      </c>
      <c r="I532" s="97" t="s">
        <v>15071</v>
      </c>
      <c r="J532" s="50" t="str">
        <f t="shared" si="6"/>
        <v>(${Variables:E4.2.1.53_kcat} * E4.2.1.53 * C01271)/(${Variables:E4.2.1.53_km} + (E4.2.1.53 * C01271))</v>
      </c>
      <c r="K532" s="98" t="str">
        <f t="shared" si="7"/>
        <v>r787: C01271 -&gt; C00693 + C00001 | (${Variables:E4.2.1.53_kcat} * E4.2.1.53 * C01271)/(${Variables:E4.2.1.53_km} + (E4.2.1.53 * C01271))</v>
      </c>
    </row>
    <row r="533" spans="1:11" ht="14">
      <c r="A533" s="50" t="s">
        <v>3108</v>
      </c>
      <c r="B533" s="50" t="s">
        <v>3109</v>
      </c>
      <c r="C533" s="50" t="s">
        <v>8296</v>
      </c>
      <c r="D533" s="50">
        <v>788</v>
      </c>
      <c r="E533" s="50" t="str">
        <f t="shared" si="8"/>
        <v>E4.2.1.59</v>
      </c>
      <c r="F533" s="97" t="s">
        <v>15072</v>
      </c>
      <c r="G533" s="97" t="s">
        <v>15073</v>
      </c>
      <c r="H533" s="97" t="s">
        <v>15074</v>
      </c>
      <c r="I533" s="97" t="s">
        <v>15075</v>
      </c>
      <c r="J533" s="50" t="str">
        <f t="shared" si="6"/>
        <v>(${Variables:E4.2.1.59_kcat} * E4.2.1.59 * C01102 * C00001)/(${Variables:E4.2.1.59_km} + (E4.2.1.59 * C01102 * C00001))</v>
      </c>
      <c r="K533" s="98" t="str">
        <f t="shared" si="7"/>
        <v>r788: C01102 + C00001 -&gt; C00188 + C00009 | (${Variables:E4.2.1.59_kcat} * E4.2.1.59 * C01102 * C00001)/(${Variables:E4.2.1.59_km} + (E4.2.1.59 * C01102 * C00001))</v>
      </c>
    </row>
    <row r="534" spans="1:11" ht="14">
      <c r="A534" s="50" t="s">
        <v>3108</v>
      </c>
      <c r="B534" s="50" t="s">
        <v>3109</v>
      </c>
      <c r="C534" s="50" t="s">
        <v>8296</v>
      </c>
      <c r="D534" s="50">
        <v>789</v>
      </c>
      <c r="E534" s="50" t="str">
        <f t="shared" si="8"/>
        <v>E4.2.1.59</v>
      </c>
      <c r="F534" s="102" t="s">
        <v>15076</v>
      </c>
      <c r="G534" s="102" t="s">
        <v>15077</v>
      </c>
      <c r="H534" s="97" t="s">
        <v>15078</v>
      </c>
      <c r="I534" s="97" t="s">
        <v>15079</v>
      </c>
      <c r="J534" s="50" t="str">
        <f t="shared" si="6"/>
        <v>(${Variables:E4.2.1.59_kcat} * E4.2.1.59 * C04618)/(${Variables:E4.2.1.59_km} + (E4.2.1.59 * C04618))</v>
      </c>
      <c r="K534" s="98" t="str">
        <f t="shared" si="7"/>
        <v>r789: C04618 -&gt; C04246 + C00001 | (${Variables:E4.2.1.59_kcat} * E4.2.1.59 * C04618)/(${Variables:E4.2.1.59_km} + (E4.2.1.59 * C04618))</v>
      </c>
    </row>
    <row r="535" spans="1:11" ht="14">
      <c r="A535" s="50" t="s">
        <v>3108</v>
      </c>
      <c r="B535" s="50" t="s">
        <v>3109</v>
      </c>
      <c r="C535" s="50" t="s">
        <v>8296</v>
      </c>
      <c r="D535" s="50">
        <v>790</v>
      </c>
      <c r="E535" s="50" t="str">
        <f t="shared" si="8"/>
        <v>E4.2.1.59</v>
      </c>
      <c r="F535" s="102" t="s">
        <v>15080</v>
      </c>
      <c r="G535" s="102" t="s">
        <v>15081</v>
      </c>
      <c r="H535" s="97" t="s">
        <v>15082</v>
      </c>
      <c r="I535" s="97" t="s">
        <v>15083</v>
      </c>
      <c r="J535" s="50" t="str">
        <f t="shared" si="6"/>
        <v>(${Variables:E4.2.1.59_kcat} * E4.2.1.59 * C04619)/(${Variables:E4.2.1.59_km} + (E4.2.1.59 * C04619))</v>
      </c>
      <c r="K535" s="98" t="str">
        <f t="shared" si="7"/>
        <v>r790: C04619 -&gt; C05754 + C00001 | (${Variables:E4.2.1.59_kcat} * E4.2.1.59 * C04619)/(${Variables:E4.2.1.59_km} + (E4.2.1.59 * C04619))</v>
      </c>
    </row>
    <row r="536" spans="1:11" ht="14">
      <c r="A536" s="50" t="s">
        <v>3108</v>
      </c>
      <c r="B536" s="50" t="s">
        <v>3109</v>
      </c>
      <c r="C536" s="50" t="s">
        <v>8296</v>
      </c>
      <c r="D536" s="50">
        <v>791</v>
      </c>
      <c r="E536" s="50" t="str">
        <f t="shared" si="8"/>
        <v>E4.2.1.59</v>
      </c>
      <c r="F536" s="102" t="s">
        <v>15084</v>
      </c>
      <c r="G536" s="102" t="s">
        <v>15085</v>
      </c>
      <c r="H536" s="97" t="s">
        <v>15086</v>
      </c>
      <c r="I536" s="97" t="s">
        <v>15087</v>
      </c>
      <c r="J536" s="50" t="str">
        <f t="shared" si="6"/>
        <v>(${Variables:E4.2.1.59_kcat} * E4.2.1.59 * C04620)/(${Variables:E4.2.1.59_km} + (E4.2.1.59 * C04620))</v>
      </c>
      <c r="K536" s="98" t="str">
        <f t="shared" si="7"/>
        <v>r791: C04620 -&gt; C05751 + C00001 | (${Variables:E4.2.1.59_kcat} * E4.2.1.59 * C04620)/(${Variables:E4.2.1.59_km} + (E4.2.1.59 * C04620))</v>
      </c>
    </row>
    <row r="537" spans="1:11" ht="14">
      <c r="A537" s="50" t="s">
        <v>3108</v>
      </c>
      <c r="B537" s="50" t="s">
        <v>3109</v>
      </c>
      <c r="C537" s="50" t="s">
        <v>8296</v>
      </c>
      <c r="D537" s="50">
        <v>792</v>
      </c>
      <c r="E537" s="50" t="str">
        <f t="shared" si="8"/>
        <v>E4.2.1.59</v>
      </c>
      <c r="F537" s="102" t="s">
        <v>15088</v>
      </c>
      <c r="G537" s="102" t="s">
        <v>15089</v>
      </c>
      <c r="H537" s="97" t="s">
        <v>15090</v>
      </c>
      <c r="I537" s="97" t="s">
        <v>15091</v>
      </c>
      <c r="J537" s="50" t="str">
        <f t="shared" si="6"/>
        <v>(${Variables:E4.2.1.59_kcat} * E4.2.1.59 * C04633)/(${Variables:E4.2.1.59_km} + (E4.2.1.59 * C04633))</v>
      </c>
      <c r="K537" s="98" t="str">
        <f t="shared" si="7"/>
        <v>r792: C04633 -&gt; C05763 + C00001 | (${Variables:E4.2.1.59_kcat} * E4.2.1.59 * C04633)/(${Variables:E4.2.1.59_km} + (E4.2.1.59 * C04633))</v>
      </c>
    </row>
    <row r="538" spans="1:11" ht="14">
      <c r="A538" s="50" t="s">
        <v>3108</v>
      </c>
      <c r="B538" s="50" t="s">
        <v>3109</v>
      </c>
      <c r="C538" s="50" t="s">
        <v>8296</v>
      </c>
      <c r="D538" s="50">
        <v>793</v>
      </c>
      <c r="E538" s="50" t="str">
        <f t="shared" si="8"/>
        <v>E4.2.1.59</v>
      </c>
      <c r="F538" s="102" t="s">
        <v>15092</v>
      </c>
      <c r="G538" s="102" t="s">
        <v>15093</v>
      </c>
      <c r="H538" s="97" t="s">
        <v>15094</v>
      </c>
      <c r="I538" s="97" t="s">
        <v>15095</v>
      </c>
      <c r="J538" s="50" t="str">
        <f t="shared" si="6"/>
        <v>(${Variables:E4.2.1.59_kcat} * E4.2.1.59 * C04688)/(${Variables:E4.2.1.59_km} + (E4.2.1.59 * C04688))</v>
      </c>
      <c r="K538" s="98" t="str">
        <f t="shared" si="7"/>
        <v>r793: C04688 -&gt; C05760 + C00001 | (${Variables:E4.2.1.59_kcat} * E4.2.1.59 * C04688)/(${Variables:E4.2.1.59_km} + (E4.2.1.59 * C04688))</v>
      </c>
    </row>
    <row r="539" spans="1:11" ht="14">
      <c r="A539" s="50" t="s">
        <v>3108</v>
      </c>
      <c r="B539" s="50" t="s">
        <v>3109</v>
      </c>
      <c r="C539" s="50" t="s">
        <v>8296</v>
      </c>
      <c r="D539" s="50">
        <v>794</v>
      </c>
      <c r="E539" s="50" t="str">
        <f t="shared" si="8"/>
        <v>E4.2.1.59</v>
      </c>
      <c r="F539" s="102" t="s">
        <v>15096</v>
      </c>
      <c r="G539" s="102" t="s">
        <v>15097</v>
      </c>
      <c r="H539" s="97" t="s">
        <v>15098</v>
      </c>
      <c r="I539" s="97" t="s">
        <v>15099</v>
      </c>
      <c r="J539" s="50" t="str">
        <f t="shared" si="6"/>
        <v>(${Variables:E4.2.1.59_kcat} * E4.2.1.59 * C05747)/(${Variables:E4.2.1.59_km} + (E4.2.1.59 * C05747))</v>
      </c>
      <c r="K539" s="98" t="str">
        <f t="shared" si="7"/>
        <v>r794: C05747 -&gt; C05748 + C00001 | (${Variables:E4.2.1.59_kcat} * E4.2.1.59 * C05747)/(${Variables:E4.2.1.59_km} + (E4.2.1.59 * C05747))</v>
      </c>
    </row>
    <row r="540" spans="1:11" ht="14">
      <c r="A540" s="50" t="s">
        <v>3108</v>
      </c>
      <c r="B540" s="50" t="s">
        <v>3109</v>
      </c>
      <c r="C540" s="50" t="s">
        <v>8296</v>
      </c>
      <c r="D540" s="50">
        <v>795</v>
      </c>
      <c r="E540" s="50" t="str">
        <f t="shared" si="8"/>
        <v>E4.2.1.59</v>
      </c>
      <c r="F540" s="102" t="s">
        <v>15100</v>
      </c>
      <c r="G540" s="102" t="s">
        <v>15101</v>
      </c>
      <c r="H540" s="97" t="s">
        <v>15102</v>
      </c>
      <c r="I540" s="97" t="s">
        <v>15103</v>
      </c>
      <c r="J540" s="50" t="str">
        <f t="shared" si="6"/>
        <v>(${Variables:E4.2.1.59_kcat} * E4.2.1.59 * C05757)/(${Variables:E4.2.1.59_km} + (E4.2.1.59 * C05757))</v>
      </c>
      <c r="K540" s="98" t="str">
        <f t="shared" si="7"/>
        <v>r795: C05757 -&gt; C05758 + C00001 | (${Variables:E4.2.1.59_kcat} * E4.2.1.59 * C05757)/(${Variables:E4.2.1.59_km} + (E4.2.1.59 * C05757))</v>
      </c>
    </row>
    <row r="541" spans="1:11" ht="14">
      <c r="A541" s="50" t="s">
        <v>3108</v>
      </c>
      <c r="B541" s="50" t="s">
        <v>3109</v>
      </c>
      <c r="C541" s="50" t="s">
        <v>8296</v>
      </c>
      <c r="D541" s="50">
        <v>796</v>
      </c>
      <c r="E541" s="50" t="str">
        <f t="shared" si="8"/>
        <v>E4.2.1.59</v>
      </c>
      <c r="F541" s="102" t="s">
        <v>15104</v>
      </c>
      <c r="G541" s="102" t="s">
        <v>15105</v>
      </c>
      <c r="H541" s="97" t="s">
        <v>15106</v>
      </c>
      <c r="I541" s="97" t="s">
        <v>15107</v>
      </c>
      <c r="J541" s="50" t="str">
        <f t="shared" si="6"/>
        <v>(${Variables:E4.2.1.59_kcat} * E4.2.1.59 * C20373)/(${Variables:E4.2.1.59_km} + (E4.2.1.59 * C20373))</v>
      </c>
      <c r="K541" s="98" t="str">
        <f t="shared" si="7"/>
        <v>r796: C20373 -&gt; C20374 + C00001 | (${Variables:E4.2.1.59_kcat} * E4.2.1.59 * C20373)/(${Variables:E4.2.1.59_km} + (E4.2.1.59 * C20373))</v>
      </c>
    </row>
    <row r="542" spans="1:11" ht="14">
      <c r="A542" s="50" t="s">
        <v>3108</v>
      </c>
      <c r="B542" s="50" t="s">
        <v>3109</v>
      </c>
      <c r="C542" s="50" t="s">
        <v>8296</v>
      </c>
      <c r="D542" s="50">
        <v>797</v>
      </c>
      <c r="E542" s="50" t="str">
        <f t="shared" si="8"/>
        <v>E4.2.1.59</v>
      </c>
      <c r="F542" s="102" t="s">
        <v>15108</v>
      </c>
      <c r="G542" s="102" t="s">
        <v>15109</v>
      </c>
      <c r="H542" s="97" t="s">
        <v>15110</v>
      </c>
      <c r="I542" s="97" t="s">
        <v>15111</v>
      </c>
      <c r="J542" s="50" t="str">
        <f t="shared" si="6"/>
        <v>(${Variables:E4.2.1.59_kcat} * E4.2.1.59 * C20377)/(${Variables:E4.2.1.59_km} + (E4.2.1.59 * C20377))</v>
      </c>
      <c r="K542" s="98" t="str">
        <f t="shared" si="7"/>
        <v>r797: C20377 -&gt; C20378 + C00001 | (${Variables:E4.2.1.59_kcat} * E4.2.1.59 * C20377)/(${Variables:E4.2.1.59_km} + (E4.2.1.59 * C20377))</v>
      </c>
    </row>
    <row r="543" spans="1:11" ht="14">
      <c r="A543" s="50" t="s">
        <v>3210</v>
      </c>
      <c r="B543" s="50" t="s">
        <v>3211</v>
      </c>
      <c r="C543" s="56" t="s">
        <v>15112</v>
      </c>
      <c r="D543" s="50">
        <v>798</v>
      </c>
      <c r="E543" s="50" t="str">
        <f t="shared" si="8"/>
        <v>E4.2.3.1</v>
      </c>
      <c r="F543" s="97" t="s">
        <v>15113</v>
      </c>
      <c r="G543" s="97" t="s">
        <v>15114</v>
      </c>
      <c r="H543" s="97" t="s">
        <v>15115</v>
      </c>
      <c r="I543" s="97" t="s">
        <v>15116</v>
      </c>
      <c r="J543" s="50" t="str">
        <f t="shared" si="6"/>
        <v>(${Variables:E4.2.3.1_kcat} * E4.2.3.1 * C06055 * C00001)/(${Variables:E4.2.3.1_km} + (E4.2.3.1 * C06055 * C00001))</v>
      </c>
      <c r="K543" s="98" t="str">
        <f t="shared" si="7"/>
        <v>r798: C06055 + C00001 -&gt; C06056 + C00009 | (${Variables:E4.2.3.1_kcat} * E4.2.3.1 * C06055 * C00001)/(${Variables:E4.2.3.1_km} + (E4.2.3.1 * C06055 * C00001))</v>
      </c>
    </row>
    <row r="544" spans="1:11" ht="14">
      <c r="A544" s="50" t="s">
        <v>1510</v>
      </c>
      <c r="B544" s="50" t="s">
        <v>1511</v>
      </c>
      <c r="C544" s="56" t="s">
        <v>15117</v>
      </c>
      <c r="D544" s="50">
        <v>800</v>
      </c>
      <c r="E544" s="50" t="str">
        <f t="shared" si="8"/>
        <v>E4.2.99.18</v>
      </c>
      <c r="F544" s="102" t="s">
        <v>15118</v>
      </c>
      <c r="G544" s="102" t="s">
        <v>15119</v>
      </c>
      <c r="H544" s="97" t="s">
        <v>15120</v>
      </c>
      <c r="I544" s="97" t="s">
        <v>15121</v>
      </c>
      <c r="J544" s="50" t="str">
        <f t="shared" si="6"/>
        <v>(${Variables:E4.2.99.18_kcat} * E4.2.99.18 * C00065)/(${Variables:E4.2.99.18_km} + (E4.2.99.18 * C00065))</v>
      </c>
      <c r="K544" s="98" t="str">
        <f t="shared" si="7"/>
        <v>r800: C00065 -&gt; C00022 + C00014 | (${Variables:E4.2.99.18_kcat} * E4.2.99.18 * C00065)/(${Variables:E4.2.99.18_km} + (E4.2.99.18 * C00065))</v>
      </c>
    </row>
    <row r="545" spans="1:11" ht="14">
      <c r="A545" s="50" t="s">
        <v>650</v>
      </c>
      <c r="B545" s="50" t="s">
        <v>651</v>
      </c>
      <c r="C545" s="56" t="s">
        <v>15122</v>
      </c>
      <c r="D545" s="50">
        <v>801</v>
      </c>
      <c r="E545" s="50" t="str">
        <f t="shared" si="8"/>
        <v>E4.3.1.17</v>
      </c>
      <c r="F545" s="109" t="s">
        <v>15123</v>
      </c>
      <c r="G545" s="109" t="s">
        <v>15124</v>
      </c>
      <c r="H545" s="97" t="s">
        <v>15125</v>
      </c>
      <c r="I545" s="97" t="s">
        <v>15126</v>
      </c>
      <c r="J545" s="50" t="str">
        <f t="shared" si="6"/>
        <v>(${Variables:E4.3.1.17_kcat} * E4.3.1.17 * C00065)/(${Variables:E4.3.1.17_km} + (E4.3.1.17 * C00065))</v>
      </c>
      <c r="K545" s="98" t="str">
        <f t="shared" si="7"/>
        <v>r801: C00065 -&gt; C02218 + C00001 | (${Variables:E4.3.1.17_kcat} * E4.3.1.17 * C00065)/(${Variables:E4.3.1.17_km} + (E4.3.1.17 * C00065))</v>
      </c>
    </row>
    <row r="546" spans="1:11" ht="12.5">
      <c r="A546" s="50" t="s">
        <v>650</v>
      </c>
      <c r="B546" s="50" t="s">
        <v>651</v>
      </c>
      <c r="C546" s="56" t="s">
        <v>15127</v>
      </c>
      <c r="D546" s="50">
        <v>802</v>
      </c>
      <c r="E546" s="50" t="str">
        <f t="shared" si="8"/>
        <v>E4.3.1.17</v>
      </c>
      <c r="F546" s="102" t="s">
        <v>15128</v>
      </c>
      <c r="G546" s="102" t="s">
        <v>15129</v>
      </c>
      <c r="H546" s="102" t="s">
        <v>15130</v>
      </c>
      <c r="I546" s="102" t="s">
        <v>15131</v>
      </c>
      <c r="J546" s="50" t="str">
        <f t="shared" si="6"/>
        <v>(${Variables:E4.3.1.17_kcat} * E4.3.1.17 * C02218)/(${Variables:E4.3.1.17_km} + (E4.3.1.17 * C02218))</v>
      </c>
      <c r="K546" s="98" t="str">
        <f t="shared" si="7"/>
        <v>r802: C02218 -&gt; C20904 | (${Variables:E4.3.1.17_kcat} * E4.3.1.17 * C02218)/(${Variables:E4.3.1.17_km} + (E4.3.1.17 * C02218))</v>
      </c>
    </row>
    <row r="547" spans="1:11" ht="14">
      <c r="A547" s="50" t="s">
        <v>654</v>
      </c>
      <c r="B547" s="50" t="s">
        <v>655</v>
      </c>
      <c r="C547" s="56" t="s">
        <v>15132</v>
      </c>
      <c r="D547" s="50">
        <v>803</v>
      </c>
      <c r="E547" s="50" t="str">
        <f t="shared" si="8"/>
        <v>E4.3.1.17</v>
      </c>
      <c r="F547" s="102" t="s">
        <v>15133</v>
      </c>
      <c r="G547" s="102" t="s">
        <v>15134</v>
      </c>
      <c r="H547" s="97" t="s">
        <v>15135</v>
      </c>
      <c r="I547" s="97" t="s">
        <v>15136</v>
      </c>
      <c r="J547" s="50" t="str">
        <f t="shared" si="6"/>
        <v>(${Variables:E4.3.1.17_kcat} * E4.3.1.17 * C03406)/(${Variables:E4.3.1.17_km} + (E4.3.1.17 * C03406))</v>
      </c>
      <c r="K547" s="98" t="str">
        <f t="shared" si="7"/>
        <v>r803: C03406 -&gt; C00122 + C00062 | (${Variables:E4.3.1.17_kcat} * E4.3.1.17 * C03406)/(${Variables:E4.3.1.17_km} + (E4.3.1.17 * C03406))</v>
      </c>
    </row>
    <row r="548" spans="1:11" ht="14">
      <c r="A548" s="50" t="s">
        <v>650</v>
      </c>
      <c r="B548" s="50" t="s">
        <v>651</v>
      </c>
      <c r="C548" s="56" t="s">
        <v>15137</v>
      </c>
      <c r="D548" s="50">
        <v>804</v>
      </c>
      <c r="E548" s="50" t="str">
        <f t="shared" si="8"/>
        <v>E4.3.1.17</v>
      </c>
      <c r="F548" s="102" t="s">
        <v>15138</v>
      </c>
      <c r="G548" s="102" t="s">
        <v>15139</v>
      </c>
      <c r="H548" s="97" t="s">
        <v>15140</v>
      </c>
      <c r="I548" s="97" t="s">
        <v>15141</v>
      </c>
      <c r="J548" s="50" t="str">
        <f t="shared" si="6"/>
        <v>(${Variables:E4.3.1.17_kcat} * E4.3.1.17 * C05167)/(${Variables:E4.3.1.17_km} + (E4.3.1.17 * C05167))</v>
      </c>
      <c r="K548" s="98" t="str">
        <f t="shared" si="7"/>
        <v>r804: C05167 -&gt; C00161 + C00014 | (${Variables:E4.3.1.17_kcat} * E4.3.1.17 * C05167)/(${Variables:E4.3.1.17_km} + (E4.3.1.17 * C05167))</v>
      </c>
    </row>
    <row r="549" spans="1:11" ht="14">
      <c r="A549" s="50" t="s">
        <v>650</v>
      </c>
      <c r="B549" s="50" t="s">
        <v>651</v>
      </c>
      <c r="C549" s="56" t="s">
        <v>15142</v>
      </c>
      <c r="D549" s="50">
        <v>810</v>
      </c>
      <c r="E549" s="50" t="str">
        <f t="shared" si="8"/>
        <v>E4.3.1.17</v>
      </c>
      <c r="F549" s="97" t="s">
        <v>15143</v>
      </c>
      <c r="G549" s="97" t="s">
        <v>15144</v>
      </c>
      <c r="H549" s="97" t="s">
        <v>15145</v>
      </c>
      <c r="I549" s="97" t="s">
        <v>15146</v>
      </c>
      <c r="J549" s="50" t="str">
        <f t="shared" si="6"/>
        <v>(${Variables:E4.3.1.17_kcat} * E4.3.1.17 * C20904 * C00001)/(${Variables:E4.3.1.17_km} + (E4.3.1.17 * C20904 * C00001))</v>
      </c>
      <c r="K549" s="98" t="str">
        <f t="shared" si="7"/>
        <v>r810: C20904 + C00001 -&gt; C00022 + C00014 | (${Variables:E4.3.1.17_kcat} * E4.3.1.17 * C20904 * C00001)/(${Variables:E4.3.1.17_km} + (E4.3.1.17 * C20904 * C00001))</v>
      </c>
    </row>
    <row r="550" spans="1:11" ht="14">
      <c r="A550" s="50" t="s">
        <v>1352</v>
      </c>
      <c r="B550" s="50" t="s">
        <v>1353</v>
      </c>
      <c r="C550" s="56" t="s">
        <v>15147</v>
      </c>
      <c r="D550" s="50">
        <v>812</v>
      </c>
      <c r="E550" s="50" t="str">
        <f t="shared" si="8"/>
        <v>E4.3.2.10</v>
      </c>
      <c r="F550" s="102" t="s">
        <v>15148</v>
      </c>
      <c r="G550" s="102" t="s">
        <v>15149</v>
      </c>
      <c r="H550" s="97" t="s">
        <v>15150</v>
      </c>
      <c r="I550" s="97" t="s">
        <v>15151</v>
      </c>
      <c r="J550" s="50" t="str">
        <f t="shared" si="6"/>
        <v>(${Variables:E4.3.2.10_kcat} * E4.3.2.10 * C03794)/(${Variables:E4.3.2.10_km} + (E4.3.2.10 * C03794))</v>
      </c>
      <c r="K550" s="98" t="str">
        <f t="shared" si="7"/>
        <v>r812: C03794 -&gt; C00122 + C00020 | (${Variables:E4.3.2.10_kcat} * E4.3.2.10 * C03794)/(${Variables:E4.3.2.10_km} + (E4.3.2.10 * C03794))</v>
      </c>
    </row>
    <row r="551" spans="1:11" ht="14">
      <c r="A551" s="50" t="s">
        <v>1344</v>
      </c>
      <c r="B551" s="50" t="s">
        <v>1345</v>
      </c>
      <c r="C551" s="56" t="s">
        <v>15152</v>
      </c>
      <c r="D551" s="50">
        <v>813</v>
      </c>
      <c r="E551" s="50" t="str">
        <f t="shared" si="8"/>
        <v>E4.3.2.10</v>
      </c>
      <c r="F551" s="97" t="s">
        <v>15153</v>
      </c>
      <c r="G551" s="97" t="s">
        <v>15154</v>
      </c>
      <c r="H551" s="97" t="s">
        <v>15155</v>
      </c>
      <c r="I551" s="97" t="s">
        <v>15156</v>
      </c>
      <c r="J551" s="50" t="str">
        <f t="shared" si="6"/>
        <v>(${Variables:E4.3.2.10_kcat} * E4.3.2.10 * C04916 * C00014)/(${Variables:E4.3.2.10_km} + (E4.3.2.10 * C04916 * C00014))</v>
      </c>
      <c r="K551" s="98" t="str">
        <f t="shared" si="7"/>
        <v>r813: C04916 + C00014 -&gt; C04677 + C04666 + C00001 | (${Variables:E4.3.2.10_kcat} * E4.3.2.10 * C04916 * C00014)/(${Variables:E4.3.2.10_km} + (E4.3.2.10 * C04916 * C00014))</v>
      </c>
    </row>
    <row r="552" spans="1:11" ht="14">
      <c r="A552" s="50" t="s">
        <v>1344</v>
      </c>
      <c r="B552" s="50" t="s">
        <v>1345</v>
      </c>
      <c r="C552" s="56" t="s">
        <v>15157</v>
      </c>
      <c r="D552" s="50">
        <v>817</v>
      </c>
      <c r="E552" s="50" t="str">
        <f t="shared" si="8"/>
        <v>E4.3.2.10</v>
      </c>
      <c r="F552" s="97" t="s">
        <v>15158</v>
      </c>
      <c r="G552" s="97" t="s">
        <v>15159</v>
      </c>
      <c r="H552" s="97" t="s">
        <v>15160</v>
      </c>
      <c r="I552" s="97" t="s">
        <v>15161</v>
      </c>
      <c r="J552" s="50" t="str">
        <f t="shared" si="6"/>
        <v>(${Variables:E4.3.2.10_kcat} * E4.3.2.10 * C04916 * C00064)/(${Variables:E4.3.2.10_km} + (E4.3.2.10 * C04916 * C00064))</v>
      </c>
      <c r="K552" s="98" t="str">
        <f t="shared" si="7"/>
        <v>r817: C04916 + C00064 -&gt; C04666 + C04677 + C00025 | (${Variables:E4.3.2.10_kcat} * E4.3.2.10 * C04916 * C00064)/(${Variables:E4.3.2.10_km} + (E4.3.2.10 * C04916 * C00064))</v>
      </c>
    </row>
    <row r="553" spans="1:11" ht="14">
      <c r="A553" s="50" t="s">
        <v>390</v>
      </c>
      <c r="B553" s="50" t="s">
        <v>391</v>
      </c>
      <c r="C553" s="56" t="s">
        <v>15162</v>
      </c>
      <c r="D553" s="50">
        <v>818</v>
      </c>
      <c r="E553" s="50" t="str">
        <f t="shared" si="8"/>
        <v>E4.3.2.2</v>
      </c>
      <c r="F553" s="97" t="s">
        <v>15163</v>
      </c>
      <c r="G553" s="97" t="s">
        <v>15164</v>
      </c>
      <c r="H553" s="97" t="s">
        <v>15165</v>
      </c>
      <c r="I553" s="97" t="s">
        <v>15166</v>
      </c>
      <c r="J553" s="50" t="str">
        <f t="shared" si="6"/>
        <v>(${Variables:E4.3.2.2_kcat} * E4.3.2.2 * C00441 * C00022)/(${Variables:E4.3.2.2_km} + (E4.3.2.2 * C00441 * C00022))</v>
      </c>
      <c r="K553" s="98" t="str">
        <f t="shared" si="7"/>
        <v>r818: C00441 + C00022 -&gt; C20258 + C00001 | (${Variables:E4.3.2.2_kcat} * E4.3.2.2 * C00441 * C00022)/(${Variables:E4.3.2.2_km} + (E4.3.2.2 * C00441 * C00022))</v>
      </c>
    </row>
    <row r="554" spans="1:11" ht="14">
      <c r="A554" s="50" t="s">
        <v>390</v>
      </c>
      <c r="B554" s="50" t="s">
        <v>391</v>
      </c>
      <c r="C554" s="56" t="s">
        <v>15167</v>
      </c>
      <c r="D554" s="50">
        <v>819</v>
      </c>
      <c r="E554" s="50" t="str">
        <f t="shared" si="8"/>
        <v>E4.3.2.2</v>
      </c>
      <c r="F554" s="102" t="s">
        <v>15168</v>
      </c>
      <c r="G554" s="102" t="s">
        <v>15169</v>
      </c>
      <c r="H554" s="97" t="s">
        <v>15170</v>
      </c>
      <c r="I554" s="97" t="s">
        <v>15171</v>
      </c>
      <c r="J554" s="50" t="str">
        <f t="shared" si="6"/>
        <v>(${Variables:E4.3.2.2_kcat} * E4.3.2.2 * C04823)/(${Variables:E4.3.2.2_km} + (E4.3.2.2 * C04823))</v>
      </c>
      <c r="K554" s="98" t="str">
        <f t="shared" si="7"/>
        <v>r819: C04823 -&gt; C00122 + C04677 | (${Variables:E4.3.2.2_kcat} * E4.3.2.2 * C04823)/(${Variables:E4.3.2.2_km} + (E4.3.2.2 * C04823))</v>
      </c>
    </row>
    <row r="555" spans="1:11" ht="14">
      <c r="A555" s="50" t="s">
        <v>390</v>
      </c>
      <c r="B555" s="50" t="s">
        <v>391</v>
      </c>
      <c r="C555" s="56" t="s">
        <v>15172</v>
      </c>
      <c r="D555" s="50">
        <v>820</v>
      </c>
      <c r="E555" s="50" t="str">
        <f t="shared" si="8"/>
        <v>E4.3.2.2</v>
      </c>
      <c r="F555" s="102" t="s">
        <v>15173</v>
      </c>
      <c r="G555" s="102" t="s">
        <v>15174</v>
      </c>
      <c r="H555" s="97" t="s">
        <v>15175</v>
      </c>
      <c r="I555" s="97" t="s">
        <v>15176</v>
      </c>
      <c r="J555" s="50" t="str">
        <f t="shared" si="6"/>
        <v>(${Variables:E4.3.2.2_kcat} * E4.3.2.2 * C22395)/(${Variables:E4.3.2.2_km} + (E4.3.2.2 * C22395))</v>
      </c>
      <c r="K555" s="98" t="str">
        <f t="shared" si="7"/>
        <v>r820: C22395 -&gt; C22441 + C00122 | (${Variables:E4.3.2.2_kcat} * E4.3.2.2 * C22395)/(${Variables:E4.3.2.2_km} + (E4.3.2.2 * C22395))</v>
      </c>
    </row>
    <row r="556" spans="1:11" ht="14">
      <c r="A556" s="50" t="s">
        <v>5642</v>
      </c>
      <c r="B556" s="50" t="s">
        <v>5643</v>
      </c>
      <c r="C556" s="56" t="s">
        <v>15177</v>
      </c>
      <c r="D556" s="50">
        <v>822</v>
      </c>
      <c r="E556" s="50" t="str">
        <f t="shared" si="8"/>
        <v>E4.3.3.7</v>
      </c>
      <c r="F556" s="97" t="s">
        <v>15178</v>
      </c>
      <c r="G556" s="97" t="s">
        <v>15179</v>
      </c>
      <c r="H556" s="97" t="s">
        <v>15180</v>
      </c>
      <c r="I556" s="97" t="s">
        <v>15181</v>
      </c>
      <c r="J556" s="50" t="str">
        <f t="shared" si="6"/>
        <v>(${Variables:E4.3.3.7_kcat} * E4.3.3.7 * C02882 * C00001)/(${Variables:E4.3.3.7_km} + (E4.3.3.7 * C02882 * C00001))</v>
      </c>
      <c r="K556" s="98" t="str">
        <f t="shared" si="7"/>
        <v>r822: C02882 + C00001 -&gt; C00145 + C00014 + C00022 | (${Variables:E4.3.3.7_kcat} * E4.3.3.7 * C02882 * C00001)/(${Variables:E4.3.3.7_km} + (E4.3.3.7 * C02882 * C00001))</v>
      </c>
    </row>
    <row r="557" spans="1:11" ht="14">
      <c r="A557" s="50" t="s">
        <v>4378</v>
      </c>
      <c r="B557" s="50" t="s">
        <v>4379</v>
      </c>
      <c r="C557" s="56" t="s">
        <v>15182</v>
      </c>
      <c r="D557" s="50">
        <v>823</v>
      </c>
      <c r="E557" s="50" t="str">
        <f t="shared" si="8"/>
        <v>E4.4.1.13</v>
      </c>
      <c r="F557" s="97" t="s">
        <v>15183</v>
      </c>
      <c r="G557" s="97" t="s">
        <v>15184</v>
      </c>
      <c r="H557" s="97" t="s">
        <v>15185</v>
      </c>
      <c r="I557" s="97" t="s">
        <v>15186</v>
      </c>
      <c r="J557" s="50" t="str">
        <f t="shared" si="6"/>
        <v>(${Variables:E4.4.1.13_kcat} * E4.4.1.13 * C00097 * C00001)/(${Variables:E4.4.1.13_km} + (E4.4.1.13 * C00097 * C00001))</v>
      </c>
      <c r="K557" s="98" t="str">
        <f t="shared" si="7"/>
        <v>r823: C00097 + C00001 -&gt; C00283 + C00022 + C00014 | (${Variables:E4.4.1.13_kcat} * E4.4.1.13 * C00097 * C00001)/(${Variables:E4.4.1.13_km} + (E4.4.1.13 * C00097 * C00001))</v>
      </c>
    </row>
    <row r="558" spans="1:11" ht="14">
      <c r="A558" s="50" t="s">
        <v>4378</v>
      </c>
      <c r="B558" s="50" t="s">
        <v>4379</v>
      </c>
      <c r="C558" s="56" t="s">
        <v>15187</v>
      </c>
      <c r="D558" s="50">
        <v>824</v>
      </c>
      <c r="E558" s="50" t="str">
        <f t="shared" si="8"/>
        <v>E4.4.1.13</v>
      </c>
      <c r="F558" s="97" t="s">
        <v>15188</v>
      </c>
      <c r="G558" s="97" t="s">
        <v>15189</v>
      </c>
      <c r="H558" s="97" t="s">
        <v>15190</v>
      </c>
      <c r="I558" s="97" t="s">
        <v>15191</v>
      </c>
      <c r="J558" s="50" t="str">
        <f t="shared" si="6"/>
        <v>(${Variables:E4.4.1.13_kcat} * E4.4.1.13 * C00491 * C00001)/(${Variables:E4.4.1.13_km} + (E4.4.1.13 * C00491 * C00001))</v>
      </c>
      <c r="K558" s="98" t="str">
        <f t="shared" si="7"/>
        <v>r824: C00491 + C00001 -&gt; C00022 + C00014 + C01962 | (${Variables:E4.4.1.13_kcat} * E4.4.1.13 * C00491 * C00001)/(${Variables:E4.4.1.13_km} + (E4.4.1.13 * C00491 * C00001))</v>
      </c>
    </row>
    <row r="559" spans="1:11" ht="14">
      <c r="A559" s="50" t="s">
        <v>4378</v>
      </c>
      <c r="B559" s="50" t="s">
        <v>4379</v>
      </c>
      <c r="C559" s="56" t="s">
        <v>15192</v>
      </c>
      <c r="D559" s="50">
        <v>825</v>
      </c>
      <c r="E559" s="50" t="str">
        <f t="shared" si="8"/>
        <v>E4.4.1.13</v>
      </c>
      <c r="F559" s="97" t="s">
        <v>15193</v>
      </c>
      <c r="G559" s="97" t="s">
        <v>15194</v>
      </c>
      <c r="H559" s="97" t="s">
        <v>15195</v>
      </c>
      <c r="I559" s="97" t="s">
        <v>15196</v>
      </c>
      <c r="J559" s="50" t="str">
        <f t="shared" si="6"/>
        <v>(${Variables:E4.4.1.13_kcat} * E4.4.1.13 * C02291 * C00001)/(${Variables:E4.4.1.13_km} + (E4.4.1.13 * C02291 * C00001))</v>
      </c>
      <c r="K559" s="98" t="str">
        <f t="shared" si="7"/>
        <v>r825: C02291 + C00001 -&gt; C00155 + C00014 + C00022 | (${Variables:E4.4.1.13_kcat} * E4.4.1.13 * C02291 * C00001)/(${Variables:E4.4.1.13_km} + (E4.4.1.13 * C02291 * C00001))</v>
      </c>
    </row>
    <row r="560" spans="1:11" ht="14">
      <c r="A560" s="50" t="s">
        <v>4378</v>
      </c>
      <c r="B560" s="50" t="s">
        <v>4379</v>
      </c>
      <c r="C560" s="56" t="s">
        <v>15197</v>
      </c>
      <c r="D560" s="50">
        <v>826</v>
      </c>
      <c r="E560" s="50" t="str">
        <f t="shared" si="8"/>
        <v>E4.4.1.13</v>
      </c>
      <c r="F560" s="97" t="s">
        <v>15198</v>
      </c>
      <c r="G560" s="97" t="s">
        <v>15199</v>
      </c>
      <c r="H560" s="97" t="s">
        <v>15200</v>
      </c>
      <c r="I560" s="97" t="s">
        <v>15201</v>
      </c>
      <c r="J560" s="50" t="str">
        <f t="shared" si="6"/>
        <v>(${Variables:E4.4.1.13_kcat} * E4.4.1.13 * C02749 * C00001)/(${Variables:E4.4.1.13_km} + (E4.4.1.13 * C02749 * C00001))</v>
      </c>
      <c r="K560" s="98" t="str">
        <f t="shared" si="7"/>
        <v>r826: C02749 + C00001 -&gt; C00812 + C00014 + C00022 | (${Variables:E4.4.1.13_kcat} * E4.4.1.13 * C02749 * C00001)/(${Variables:E4.4.1.13_km} + (E4.4.1.13 * C02749 * C00001))</v>
      </c>
    </row>
    <row r="561" spans="1:11" ht="14">
      <c r="A561" s="50" t="s">
        <v>4378</v>
      </c>
      <c r="B561" s="50" t="s">
        <v>4379</v>
      </c>
      <c r="C561" s="56" t="s">
        <v>15202</v>
      </c>
      <c r="D561" s="50">
        <v>827</v>
      </c>
      <c r="E561" s="50" t="str">
        <f t="shared" si="8"/>
        <v>E4.4.1.13</v>
      </c>
      <c r="F561" s="97" t="s">
        <v>15203</v>
      </c>
      <c r="G561" s="97" t="s">
        <v>15204</v>
      </c>
      <c r="H561" s="97" t="s">
        <v>15205</v>
      </c>
      <c r="I561" s="97" t="s">
        <v>15206</v>
      </c>
      <c r="J561" s="50" t="str">
        <f t="shared" si="6"/>
        <v>(${Variables:E4.4.1.13_kcat} * E4.4.1.13 * C02882 * C00001)/(${Variables:E4.4.1.13_km} + (E4.4.1.13 * C02882 * C00001))</v>
      </c>
      <c r="K561" s="98" t="str">
        <f t="shared" si="7"/>
        <v>r827: C02882 + C00001 -&gt; C01336 + C00014 + C00022 | (${Variables:E4.4.1.13_kcat} * E4.4.1.13 * C02882 * C00001)/(${Variables:E4.4.1.13_km} + (E4.4.1.13 * C02882 * C00001))</v>
      </c>
    </row>
    <row r="562" spans="1:11" ht="14">
      <c r="A562" s="50" t="s">
        <v>7363</v>
      </c>
      <c r="B562" s="50" t="s">
        <v>7364</v>
      </c>
      <c r="C562" s="56" t="s">
        <v>15207</v>
      </c>
      <c r="D562" s="50">
        <v>828</v>
      </c>
      <c r="E562" s="50" t="str">
        <f t="shared" si="8"/>
        <v>E4.4.1.13</v>
      </c>
      <c r="F562" s="102" t="s">
        <v>15208</v>
      </c>
      <c r="G562" s="102" t="s">
        <v>15209</v>
      </c>
      <c r="H562" s="97" t="s">
        <v>15210</v>
      </c>
      <c r="I562" s="97" t="s">
        <v>15211</v>
      </c>
      <c r="J562" s="50" t="str">
        <f t="shared" si="6"/>
        <v>(${Variables:E4.4.1.13_kcat} * E4.4.1.13 * C03539)/(${Variables:E4.4.1.13_km} + (E4.4.1.13 * C03539))</v>
      </c>
      <c r="K562" s="98" t="str">
        <f t="shared" si="7"/>
        <v>r828: C03539 -&gt; C11838 + C00155 | (${Variables:E4.4.1.13_kcat} * E4.4.1.13 * C03539)/(${Variables:E4.4.1.13_km} + (E4.4.1.13 * C03539))</v>
      </c>
    </row>
    <row r="563" spans="1:11" ht="14">
      <c r="A563" s="50" t="s">
        <v>4378</v>
      </c>
      <c r="B563" s="50" t="s">
        <v>4379</v>
      </c>
      <c r="C563" s="56" t="s">
        <v>15212</v>
      </c>
      <c r="D563" s="50">
        <v>829</v>
      </c>
      <c r="E563" s="50" t="str">
        <f t="shared" si="8"/>
        <v>E4.4.1.13</v>
      </c>
      <c r="F563" s="97" t="s">
        <v>15213</v>
      </c>
      <c r="G563" s="97" t="s">
        <v>15214</v>
      </c>
      <c r="H563" s="97" t="s">
        <v>15215</v>
      </c>
      <c r="I563" s="97" t="s">
        <v>15216</v>
      </c>
      <c r="J563" s="50" t="str">
        <f t="shared" si="6"/>
        <v>(${Variables:E4.4.1.13_kcat} * E4.4.1.13 * C05689 * C00001)/(${Variables:E4.4.1.13_km} + (E4.4.1.13 * C05689 * C00001))</v>
      </c>
      <c r="K563" s="98" t="str">
        <f t="shared" si="7"/>
        <v>r829: C05689 + C00001 -&gt; C00022 + C00014 + C05703 | (${Variables:E4.4.1.13_kcat} * E4.4.1.13 * C05689 * C00001)/(${Variables:E4.4.1.13_km} + (E4.4.1.13 * C05689 * C00001))</v>
      </c>
    </row>
    <row r="564" spans="1:11" ht="14">
      <c r="A564" s="50" t="s">
        <v>4378</v>
      </c>
      <c r="B564" s="50" t="s">
        <v>4379</v>
      </c>
      <c r="C564" s="56" t="s">
        <v>15217</v>
      </c>
      <c r="D564" s="50">
        <v>838</v>
      </c>
      <c r="E564" s="50" t="str">
        <f t="shared" si="8"/>
        <v>E4.4.1.13</v>
      </c>
      <c r="F564" s="97" t="s">
        <v>15218</v>
      </c>
      <c r="G564" s="97" t="s">
        <v>15219</v>
      </c>
      <c r="H564" s="97" t="s">
        <v>15220</v>
      </c>
      <c r="I564" s="97" t="s">
        <v>15221</v>
      </c>
      <c r="J564" s="50" t="str">
        <f t="shared" si="6"/>
        <v>(${Variables:E4.4.1.13_kcat} * E4.4.1.13 * C05699 * C00001)/(${Variables:E4.4.1.13_km} + (E4.4.1.13 * C05699 * C00001))</v>
      </c>
      <c r="K564" s="98" t="str">
        <f t="shared" si="7"/>
        <v>r838: C05699 + C00001 -&gt; C05698 + C00014 + C00022 | (${Variables:E4.4.1.13_kcat} * E4.4.1.13 * C05699 * C00001)/(${Variables:E4.4.1.13_km} + (E4.4.1.13 * C05699 * C00001))</v>
      </c>
    </row>
    <row r="565" spans="1:11" ht="12.5">
      <c r="A565" s="50" t="s">
        <v>6969</v>
      </c>
      <c r="B565" s="50" t="s">
        <v>6970</v>
      </c>
      <c r="C565" s="56" t="s">
        <v>15222</v>
      </c>
      <c r="D565" s="50">
        <v>839</v>
      </c>
      <c r="E565" s="50" t="str">
        <f t="shared" si="8"/>
        <v>E4.4.1.21</v>
      </c>
      <c r="F565" s="110" t="s">
        <v>8297</v>
      </c>
      <c r="G565" s="110" t="s">
        <v>8297</v>
      </c>
      <c r="H565" s="102" t="s">
        <v>15223</v>
      </c>
      <c r="I565" s="102" t="s">
        <v>15224</v>
      </c>
      <c r="J565" s="50" t="str">
        <f t="shared" si="6"/>
        <v>(${Variables:E4.4.1.21_kcat} * E4.4.1.21 * C00041)/(${Variables:E4.4.1.21_km} + (E4.4.1.21 * C00041))</v>
      </c>
      <c r="K565" s="98" t="str">
        <f t="shared" si="7"/>
        <v>r839: C00041 -&gt; C00133 | (${Variables:E4.4.1.21_kcat} * E4.4.1.21 * C00041)/(${Variables:E4.4.1.21_km} + (E4.4.1.21 * C00041))</v>
      </c>
    </row>
    <row r="566" spans="1:11" ht="12.5">
      <c r="A566" s="50" t="s">
        <v>6017</v>
      </c>
      <c r="B566" s="50" t="s">
        <v>6018</v>
      </c>
      <c r="C566" s="56" t="s">
        <v>15225</v>
      </c>
      <c r="D566" s="50">
        <v>840</v>
      </c>
      <c r="E566" s="50" t="str">
        <f t="shared" si="8"/>
        <v>E5.1.1.1</v>
      </c>
      <c r="F566" s="102" t="s">
        <v>15226</v>
      </c>
      <c r="G566" s="102" t="s">
        <v>15227</v>
      </c>
      <c r="H566" s="102" t="s">
        <v>15228</v>
      </c>
      <c r="I566" s="102" t="s">
        <v>15229</v>
      </c>
      <c r="J566" s="50" t="str">
        <f t="shared" si="6"/>
        <v>(${Variables:E5.1.1.1_kcat} * E5.1.1.1 * C00025)/(${Variables:E5.1.1.1_km} + (E5.1.1.1 * C00025))</v>
      </c>
      <c r="K566" s="98" t="str">
        <f t="shared" si="7"/>
        <v>r840: C00025 -&gt; C00217 | (${Variables:E5.1.1.1_kcat} * E5.1.1.1 * C00025)/(${Variables:E5.1.1.1_km} + (E5.1.1.1 * C00025))</v>
      </c>
    </row>
    <row r="567" spans="1:11" ht="12.5">
      <c r="A567" s="50" t="s">
        <v>7071</v>
      </c>
      <c r="B567" s="50" t="s">
        <v>7072</v>
      </c>
      <c r="C567" s="56" t="s">
        <v>15230</v>
      </c>
      <c r="D567" s="50">
        <v>841</v>
      </c>
      <c r="E567" s="50" t="str">
        <f t="shared" si="8"/>
        <v>E5.1.1.3</v>
      </c>
      <c r="F567" s="102" t="s">
        <v>15231</v>
      </c>
      <c r="G567" s="102" t="s">
        <v>15232</v>
      </c>
      <c r="H567" s="102" t="s">
        <v>15233</v>
      </c>
      <c r="I567" s="102" t="s">
        <v>15234</v>
      </c>
      <c r="J567" s="50" t="str">
        <f t="shared" si="6"/>
        <v>(${Variables:E5.1.1.3_kcat} * E5.1.1.3 * C00666)/(${Variables:E5.1.1.3_km} + (E5.1.1.3 * C00666))</v>
      </c>
      <c r="K567" s="98" t="str">
        <f t="shared" si="7"/>
        <v>r841: C00666 -&gt; C00680 | (${Variables:E5.1.1.3_kcat} * E5.1.1.3 * C00666)/(${Variables:E5.1.1.3_km} + (E5.1.1.3 * C00666))</v>
      </c>
    </row>
    <row r="568" spans="1:11" ht="12.5">
      <c r="A568" s="50" t="s">
        <v>4897</v>
      </c>
      <c r="B568" s="50" t="s">
        <v>4898</v>
      </c>
      <c r="C568" s="56" t="s">
        <v>15235</v>
      </c>
      <c r="D568" s="50">
        <v>842</v>
      </c>
      <c r="E568" s="50" t="str">
        <f t="shared" si="8"/>
        <v>E5.1.1.7</v>
      </c>
      <c r="F568" s="102" t="s">
        <v>15236</v>
      </c>
      <c r="G568" s="102" t="s">
        <v>15237</v>
      </c>
      <c r="H568" s="102" t="s">
        <v>15238</v>
      </c>
      <c r="I568" s="102" t="s">
        <v>15239</v>
      </c>
      <c r="J568" s="50" t="str">
        <f t="shared" si="6"/>
        <v>(${Variables:E5.1.1.7_kcat} * E5.1.1.7 * C00199)/(${Variables:E5.1.1.7_km} + (E5.1.1.7 * C00199))</v>
      </c>
      <c r="K568" s="98" t="str">
        <f t="shared" si="7"/>
        <v>r842: C00199 -&gt; C00231 | (${Variables:E5.1.1.7_kcat} * E5.1.1.7 * C00199)/(${Variables:E5.1.1.7_km} + (E5.1.1.7 * C00199))</v>
      </c>
    </row>
    <row r="569" spans="1:11" ht="12.5">
      <c r="A569" s="50" t="s">
        <v>5558</v>
      </c>
      <c r="B569" s="50" t="s">
        <v>5559</v>
      </c>
      <c r="C569" s="56" t="s">
        <v>15240</v>
      </c>
      <c r="D569" s="50">
        <v>844</v>
      </c>
      <c r="E569" s="50" t="str">
        <f t="shared" si="8"/>
        <v>E5.1.3.1</v>
      </c>
      <c r="F569" s="102" t="s">
        <v>15241</v>
      </c>
      <c r="G569" s="102" t="s">
        <v>15242</v>
      </c>
      <c r="H569" s="102" t="s">
        <v>15243</v>
      </c>
      <c r="I569" s="102" t="s">
        <v>15244</v>
      </c>
      <c r="J569" s="50" t="str">
        <f t="shared" si="6"/>
        <v>(${Variables:E5.1.3.1_kcat} * E5.1.3.1 * C00029)/(${Variables:E5.1.3.1_km} + (E5.1.3.1 * C00029))</v>
      </c>
      <c r="K569" s="98" t="str">
        <f t="shared" si="7"/>
        <v>r844: C00029 -&gt; C00052 | (${Variables:E5.1.3.1_kcat} * E5.1.3.1 * C00029)/(${Variables:E5.1.3.1_km} + (E5.1.3.1 * C00029))</v>
      </c>
    </row>
    <row r="570" spans="1:11" ht="12.5">
      <c r="A570" s="50" t="s">
        <v>6744</v>
      </c>
      <c r="B570" s="50" t="s">
        <v>6745</v>
      </c>
      <c r="C570" s="56" t="s">
        <v>15245</v>
      </c>
      <c r="D570" s="50">
        <v>845</v>
      </c>
      <c r="E570" s="50" t="str">
        <f t="shared" si="8"/>
        <v>E5.1.3.2</v>
      </c>
      <c r="F570" s="102" t="s">
        <v>15246</v>
      </c>
      <c r="G570" s="102" t="s">
        <v>15247</v>
      </c>
      <c r="H570" s="102" t="s">
        <v>15248</v>
      </c>
      <c r="I570" s="102" t="s">
        <v>15249</v>
      </c>
      <c r="J570" s="50" t="str">
        <f t="shared" si="6"/>
        <v>(${Variables:E5.1.3.2_kcat} * E5.1.3.2 * C00043)/(${Variables:E5.1.3.2_km} + (E5.1.3.2 * C00043))</v>
      </c>
      <c r="K570" s="98" t="str">
        <f t="shared" si="7"/>
        <v>r845: C00043 -&gt; C00203 | (${Variables:E5.1.3.2_kcat} * E5.1.3.2 * C00043)/(${Variables:E5.1.3.2_km} + (E5.1.3.2 * C00043))</v>
      </c>
    </row>
    <row r="571" spans="1:11" ht="12.5">
      <c r="A571" s="50" t="s">
        <v>6744</v>
      </c>
      <c r="B571" s="50" t="s">
        <v>6745</v>
      </c>
      <c r="C571" s="56" t="s">
        <v>15250</v>
      </c>
      <c r="D571" s="50">
        <v>846</v>
      </c>
      <c r="E571" s="50" t="str">
        <f t="shared" si="8"/>
        <v>E5.1.3.2</v>
      </c>
      <c r="F571" s="102" t="s">
        <v>15251</v>
      </c>
      <c r="G571" s="102" t="s">
        <v>15252</v>
      </c>
      <c r="H571" s="102" t="s">
        <v>15253</v>
      </c>
      <c r="I571" s="102" t="s">
        <v>15254</v>
      </c>
      <c r="J571" s="50" t="str">
        <f t="shared" si="6"/>
        <v>(${Variables:E5.1.3.2_kcat} * E5.1.3.2 * C00842)/(${Variables:E5.1.3.2_km} + (E5.1.3.2 * C00842))</v>
      </c>
      <c r="K571" s="98" t="str">
        <f t="shared" si="7"/>
        <v>r846: C00842 -&gt; C02097 | (${Variables:E5.1.3.2_kcat} * E5.1.3.2 * C00842)/(${Variables:E5.1.3.2_km} + (E5.1.3.2 * C00842))</v>
      </c>
    </row>
    <row r="572" spans="1:11" ht="12.5">
      <c r="A572" s="50" t="s">
        <v>6744</v>
      </c>
      <c r="B572" s="50" t="s">
        <v>6745</v>
      </c>
      <c r="C572" s="56" t="s">
        <v>15255</v>
      </c>
      <c r="D572" s="50">
        <v>847</v>
      </c>
      <c r="E572" s="50" t="str">
        <f t="shared" si="8"/>
        <v>E5.1.3.2</v>
      </c>
      <c r="F572" s="102" t="s">
        <v>15256</v>
      </c>
      <c r="G572" s="102" t="s">
        <v>15257</v>
      </c>
      <c r="H572" s="102" t="s">
        <v>15258</v>
      </c>
      <c r="I572" s="102" t="s">
        <v>15259</v>
      </c>
      <c r="J572" s="50" t="str">
        <f t="shared" si="6"/>
        <v>(${Variables:E5.1.3.2_kcat} * E5.1.3.2 * C01101)/(${Variables:E5.1.3.2_km} + (E5.1.3.2 * C01101))</v>
      </c>
      <c r="K572" s="98" t="str">
        <f t="shared" si="7"/>
        <v>r847: C01101 -&gt; C00231 | (${Variables:E5.1.3.2_kcat} * E5.1.3.2 * C01101)/(${Variables:E5.1.3.2_km} + (E5.1.3.2 * C01101))</v>
      </c>
    </row>
    <row r="573" spans="1:11" ht="12.5">
      <c r="A573" s="50" t="s">
        <v>5590</v>
      </c>
      <c r="B573" s="50" t="s">
        <v>5591</v>
      </c>
      <c r="C573" s="56" t="s">
        <v>15260</v>
      </c>
      <c r="D573" s="50">
        <v>848</v>
      </c>
      <c r="E573" s="50" t="str">
        <f t="shared" si="8"/>
        <v>E5.1.3.4</v>
      </c>
      <c r="F573" s="102" t="s">
        <v>15261</v>
      </c>
      <c r="G573" s="102" t="s">
        <v>15262</v>
      </c>
      <c r="H573" s="102" t="s">
        <v>15263</v>
      </c>
      <c r="I573" s="102" t="s">
        <v>15264</v>
      </c>
      <c r="J573" s="50" t="str">
        <f t="shared" si="6"/>
        <v>(${Variables:E5.1.3.4_kcat} * E5.1.3.4 * C03798)/(${Variables:E5.1.3.4_km} + (E5.1.3.4 * C03798))</v>
      </c>
      <c r="K573" s="98" t="str">
        <f t="shared" si="7"/>
        <v>r848: C03798 -&gt; C03633 | (${Variables:E5.1.3.4_kcat} * E5.1.3.4 * C03798)/(${Variables:E5.1.3.4_km} + (E5.1.3.4 * C03798))</v>
      </c>
    </row>
    <row r="574" spans="1:11" ht="12.5">
      <c r="A574" s="50" t="s">
        <v>7145</v>
      </c>
      <c r="B574" s="50" t="s">
        <v>7146</v>
      </c>
      <c r="C574" s="56" t="s">
        <v>15265</v>
      </c>
      <c r="D574" s="50">
        <v>852</v>
      </c>
      <c r="E574" s="50" t="str">
        <f t="shared" si="8"/>
        <v>E5.2.1.8</v>
      </c>
      <c r="F574" s="102" t="s">
        <v>15266</v>
      </c>
      <c r="G574" s="102" t="s">
        <v>15267</v>
      </c>
      <c r="H574" s="102" t="s">
        <v>15268</v>
      </c>
      <c r="I574" s="102" t="s">
        <v>15269</v>
      </c>
      <c r="J574" s="50" t="str">
        <f t="shared" si="6"/>
        <v>(${Variables:E5.2.1.8_kcat} * E5.2.1.8 * C00118)/(${Variables:E5.2.1.8_km} + (E5.2.1.8 * C00118))</v>
      </c>
      <c r="K574" s="98" t="str">
        <f t="shared" si="7"/>
        <v>r852: C00118 -&gt; C00111 | (${Variables:E5.2.1.8_kcat} * E5.2.1.8 * C00118)/(${Variables:E5.2.1.8_km} + (E5.2.1.8 * C00118))</v>
      </c>
    </row>
    <row r="575" spans="1:11" ht="12.5">
      <c r="A575" s="50" t="s">
        <v>7586</v>
      </c>
      <c r="B575" s="50" t="s">
        <v>7587</v>
      </c>
      <c r="C575" s="56" t="s">
        <v>15270</v>
      </c>
      <c r="D575" s="50">
        <v>854</v>
      </c>
      <c r="E575" s="50" t="str">
        <f t="shared" si="8"/>
        <v>E5.3.1.1</v>
      </c>
      <c r="F575" s="102" t="s">
        <v>15271</v>
      </c>
      <c r="G575" s="102" t="s">
        <v>15272</v>
      </c>
      <c r="H575" s="102" t="s">
        <v>15273</v>
      </c>
      <c r="I575" s="102" t="s">
        <v>15274</v>
      </c>
      <c r="J575" s="50" t="str">
        <f t="shared" si="6"/>
        <v>(${Variables:E5.3.1.1_kcat} * E5.3.1.1 * C04896)/(${Variables:E5.3.1.1_km} + (E5.3.1.1 * C04896))</v>
      </c>
      <c r="K575" s="98" t="str">
        <f t="shared" si="7"/>
        <v>r854: C04896 -&gt; C04916 | (${Variables:E5.3.1.1_kcat} * E5.3.1.1 * C04896)/(${Variables:E5.3.1.1_km} + (E5.3.1.1 * C04896))</v>
      </c>
    </row>
    <row r="576" spans="1:11" ht="12.5">
      <c r="A576" s="50" t="s">
        <v>1348</v>
      </c>
      <c r="B576" s="50" t="s">
        <v>1349</v>
      </c>
      <c r="C576" s="56" t="s">
        <v>15275</v>
      </c>
      <c r="D576" s="50">
        <v>855</v>
      </c>
      <c r="E576" s="50" t="str">
        <f t="shared" si="8"/>
        <v>E5.3.1.16</v>
      </c>
      <c r="F576" s="102" t="s">
        <v>15276</v>
      </c>
      <c r="G576" s="102" t="s">
        <v>15277</v>
      </c>
      <c r="H576" s="102" t="s">
        <v>15278</v>
      </c>
      <c r="I576" s="102" t="s">
        <v>15279</v>
      </c>
      <c r="J576" s="50" t="str">
        <f t="shared" si="6"/>
        <v>(${Variables:E5.3.1.16_kcat} * E5.3.1.16 * C01113)/(${Variables:E5.3.1.16_km} + (E5.3.1.16 * C01113))</v>
      </c>
      <c r="K576" s="98" t="str">
        <f t="shared" si="7"/>
        <v>r855: C01113 -&gt; C01097 | (${Variables:E5.3.1.16_kcat} * E5.3.1.16 * C01113)/(${Variables:E5.3.1.16_km} + (E5.3.1.16 * C01113))</v>
      </c>
    </row>
    <row r="577" spans="1:11" ht="12.5">
      <c r="A577" s="50" t="s">
        <v>6780</v>
      </c>
      <c r="B577" s="50" t="s">
        <v>6781</v>
      </c>
      <c r="C577" s="56" t="s">
        <v>15280</v>
      </c>
      <c r="D577" s="50">
        <v>857</v>
      </c>
      <c r="E577" s="50" t="str">
        <f t="shared" si="8"/>
        <v>E5.3.1.26</v>
      </c>
      <c r="F577" s="102" t="s">
        <v>15281</v>
      </c>
      <c r="G577" s="102" t="s">
        <v>15282</v>
      </c>
      <c r="H577" s="102" t="s">
        <v>15283</v>
      </c>
      <c r="I577" s="102" t="s">
        <v>15284</v>
      </c>
      <c r="J577" s="50" t="str">
        <f t="shared" si="6"/>
        <v>(${Variables:E5.3.1.26_kcat} * E5.3.1.26 * C06019)/(${Variables:E5.3.1.26_km} + (E5.3.1.26 * C06019))</v>
      </c>
      <c r="K577" s="98" t="str">
        <f t="shared" si="7"/>
        <v>r857: C06019 -&gt; C00085 | (${Variables:E5.3.1.26_kcat} * E5.3.1.26 * C06019)/(${Variables:E5.3.1.26_km} + (E5.3.1.26 * C06019))</v>
      </c>
    </row>
    <row r="578" spans="1:11" ht="12.5">
      <c r="A578" s="50" t="s">
        <v>4101</v>
      </c>
      <c r="B578" s="50" t="s">
        <v>4102</v>
      </c>
      <c r="C578" s="56" t="s">
        <v>15285</v>
      </c>
      <c r="D578" s="50">
        <v>858</v>
      </c>
      <c r="E578" s="50" t="str">
        <f t="shared" si="8"/>
        <v>E5.3.1.27</v>
      </c>
      <c r="F578" s="102" t="s">
        <v>15286</v>
      </c>
      <c r="G578" s="102" t="s">
        <v>15287</v>
      </c>
      <c r="H578" s="102" t="s">
        <v>15288</v>
      </c>
      <c r="I578" s="102" t="s">
        <v>15289</v>
      </c>
      <c r="J578" s="50" t="str">
        <f t="shared" si="6"/>
        <v>(${Variables:E5.3.1.27_kcat} * E5.3.1.27 * C06019)/(${Variables:E5.3.1.27_km} + (E5.3.1.27 * C06019))</v>
      </c>
      <c r="K578" s="98" t="str">
        <f t="shared" si="7"/>
        <v>r858: C06019 -&gt; C05345 | (${Variables:E5.3.1.27_kcat} * E5.3.1.27 * C06019)/(${Variables:E5.3.1.27_km} + (E5.3.1.27 * C06019))</v>
      </c>
    </row>
    <row r="579" spans="1:11" ht="12.5">
      <c r="A579" s="50" t="s">
        <v>4187</v>
      </c>
      <c r="B579" s="50" t="s">
        <v>4188</v>
      </c>
      <c r="C579" s="56" t="s">
        <v>15290</v>
      </c>
      <c r="D579" s="50">
        <v>861</v>
      </c>
      <c r="E579" s="50" t="str">
        <f t="shared" si="8"/>
        <v>E5.3.1.27</v>
      </c>
      <c r="F579" s="102" t="s">
        <v>15291</v>
      </c>
      <c r="G579" s="102" t="s">
        <v>15292</v>
      </c>
      <c r="H579" s="102" t="s">
        <v>15293</v>
      </c>
      <c r="I579" s="102" t="s">
        <v>15294</v>
      </c>
      <c r="J579" s="50" t="str">
        <f t="shared" si="6"/>
        <v>(${Variables:E5.3.1.27_kcat} * E5.3.1.27 * C16737)/(${Variables:E5.3.1.27_km} + (E5.3.1.27 * C16737))</v>
      </c>
      <c r="K579" s="98" t="str">
        <f t="shared" si="7"/>
        <v>r861: C16737 -&gt; C06892 | (${Variables:E5.3.1.27_kcat} * E5.3.1.27 * C16737)/(${Variables:E5.3.1.27_km} + (E5.3.1.27 * C16737))</v>
      </c>
    </row>
    <row r="580" spans="1:11" ht="12.5">
      <c r="A580" s="50" t="s">
        <v>4557</v>
      </c>
      <c r="B580" s="50" t="s">
        <v>4558</v>
      </c>
      <c r="C580" s="56" t="s">
        <v>15295</v>
      </c>
      <c r="D580" s="50">
        <v>862</v>
      </c>
      <c r="E580" s="50" t="str">
        <f t="shared" si="8"/>
        <v>E5.3.1.30</v>
      </c>
      <c r="F580" s="102" t="s">
        <v>15296</v>
      </c>
      <c r="G580" s="102" t="s">
        <v>15297</v>
      </c>
      <c r="H580" s="102" t="s">
        <v>15298</v>
      </c>
      <c r="I580" s="102" t="s">
        <v>15299</v>
      </c>
      <c r="J580" s="50" t="str">
        <f t="shared" si="6"/>
        <v>(${Variables:E5.3.1.30_kcat} * E5.3.1.30 * C00117)/(${Variables:E5.3.1.30_km} + (E5.3.1.30 * C00117))</v>
      </c>
      <c r="K580" s="98" t="str">
        <f t="shared" si="7"/>
        <v>r862: C00117 -&gt; C00199 | (${Variables:E5.3.1.30_kcat} * E5.3.1.30 * C00117)/(${Variables:E5.3.1.30_km} + (E5.3.1.30 * C00117))</v>
      </c>
    </row>
    <row r="581" spans="1:11" ht="12.5">
      <c r="A581" s="50" t="s">
        <v>5744</v>
      </c>
      <c r="B581" s="50" t="s">
        <v>5745</v>
      </c>
      <c r="C581" s="56" t="s">
        <v>15300</v>
      </c>
      <c r="D581" s="50">
        <v>863</v>
      </c>
      <c r="E581" s="50" t="str">
        <f t="shared" si="8"/>
        <v>E5.3.1.6</v>
      </c>
      <c r="F581" s="102" t="s">
        <v>15301</v>
      </c>
      <c r="G581" s="102" t="s">
        <v>15302</v>
      </c>
      <c r="H581" s="102" t="s">
        <v>15303</v>
      </c>
      <c r="I581" s="102" t="s">
        <v>15304</v>
      </c>
      <c r="J581" s="50" t="str">
        <f t="shared" si="6"/>
        <v>(${Variables:E5.3.1.6_kcat} * E5.3.1.6 * C00275)/(${Variables:E5.3.1.6_km} + (E5.3.1.6 * C00275))</v>
      </c>
      <c r="K581" s="98" t="str">
        <f t="shared" si="7"/>
        <v>r863: C00275 -&gt; C00085 | (${Variables:E5.3.1.6_kcat} * E5.3.1.6 * C00275)/(${Variables:E5.3.1.6_km} + (E5.3.1.6 * C00275))</v>
      </c>
    </row>
    <row r="582" spans="1:11" ht="12.5">
      <c r="A582" s="50" t="s">
        <v>5568</v>
      </c>
      <c r="B582" s="50" t="s">
        <v>5569</v>
      </c>
      <c r="C582" s="56" t="s">
        <v>15305</v>
      </c>
      <c r="D582" s="50">
        <v>866</v>
      </c>
      <c r="E582" s="50" t="str">
        <f t="shared" si="8"/>
        <v>E5.3.1.6</v>
      </c>
      <c r="F582" s="102" t="s">
        <v>15306</v>
      </c>
      <c r="G582" s="102" t="s">
        <v>15307</v>
      </c>
      <c r="H582" s="102" t="s">
        <v>15308</v>
      </c>
      <c r="I582" s="102" t="s">
        <v>15309</v>
      </c>
      <c r="J582" s="50" t="str">
        <f t="shared" si="6"/>
        <v>(${Variables:E5.3.1.6_kcat} * E5.3.1.6 * C02962)/(${Variables:E5.3.1.6_km} + (E5.3.1.6 * C02962))</v>
      </c>
      <c r="K582" s="98" t="str">
        <f t="shared" si="7"/>
        <v>r866: C02962 -&gt; C18096 | (${Variables:E5.3.1.6_kcat} * E5.3.1.6 * C02962)/(${Variables:E5.3.1.6_km} + (E5.3.1.6 * C02962))</v>
      </c>
    </row>
    <row r="583" spans="1:11" ht="12.5">
      <c r="A583" s="50" t="s">
        <v>4403</v>
      </c>
      <c r="B583" s="50" t="s">
        <v>4404</v>
      </c>
      <c r="C583" s="56" t="s">
        <v>15310</v>
      </c>
      <c r="D583" s="50">
        <v>867</v>
      </c>
      <c r="E583" s="50" t="str">
        <f t="shared" si="8"/>
        <v>E5.3.1.8</v>
      </c>
      <c r="F583" s="102" t="s">
        <v>15311</v>
      </c>
      <c r="G583" s="102" t="s">
        <v>15312</v>
      </c>
      <c r="H583" s="102" t="s">
        <v>15313</v>
      </c>
      <c r="I583" s="102" t="s">
        <v>15314</v>
      </c>
      <c r="J583" s="50" t="str">
        <f t="shared" si="6"/>
        <v>(${Variables:E5.3.1.8_kcat} * E5.3.1.8 * C00275)/(${Variables:E5.3.1.8_km} + (E5.3.1.8 * C00275))</v>
      </c>
      <c r="K583" s="98" t="str">
        <f t="shared" si="7"/>
        <v>r867: C00275 -&gt; C05345 | (${Variables:E5.3.1.8_kcat} * E5.3.1.8 * C00275)/(${Variables:E5.3.1.8_km} + (E5.3.1.8 * C00275))</v>
      </c>
    </row>
    <row r="584" spans="1:11" ht="12.5">
      <c r="A584" s="50" t="s">
        <v>4403</v>
      </c>
      <c r="B584" s="50" t="s">
        <v>4404</v>
      </c>
      <c r="C584" s="56" t="s">
        <v>15315</v>
      </c>
      <c r="D584" s="50">
        <v>868</v>
      </c>
      <c r="E584" s="50" t="str">
        <f t="shared" si="8"/>
        <v>E5.3.1.8</v>
      </c>
      <c r="F584" s="102" t="s">
        <v>15316</v>
      </c>
      <c r="G584" s="102" t="s">
        <v>15317</v>
      </c>
      <c r="H584" s="102" t="s">
        <v>15318</v>
      </c>
      <c r="I584" s="102" t="s">
        <v>15319</v>
      </c>
      <c r="J584" s="50" t="str">
        <f t="shared" si="6"/>
        <v>(${Variables:E5.3.1.8_kcat} * E5.3.1.8 * C00668)/(${Variables:E5.3.1.8_km} + (E5.3.1.8 * C00668))</v>
      </c>
      <c r="K584" s="98" t="str">
        <f t="shared" si="7"/>
        <v>r868: C00668 -&gt; C05345 | (${Variables:E5.3.1.8_kcat} * E5.3.1.8 * C00668)/(${Variables:E5.3.1.8_km} + (E5.3.1.8 * C00668))</v>
      </c>
    </row>
    <row r="585" spans="1:11" ht="12.5">
      <c r="A585" s="50" t="s">
        <v>406</v>
      </c>
      <c r="B585" s="50" t="s">
        <v>407</v>
      </c>
      <c r="C585" s="56" t="s">
        <v>15320</v>
      </c>
      <c r="D585" s="50">
        <v>869</v>
      </c>
      <c r="E585" s="50" t="str">
        <f t="shared" si="8"/>
        <v>E5.3.1.9</v>
      </c>
      <c r="F585" s="102" t="s">
        <v>15321</v>
      </c>
      <c r="G585" s="102" t="s">
        <v>15322</v>
      </c>
      <c r="H585" s="102" t="s">
        <v>15323</v>
      </c>
      <c r="I585" s="102" t="s">
        <v>15324</v>
      </c>
      <c r="J585" s="50" t="str">
        <f t="shared" si="6"/>
        <v>(${Variables:E5.3.1.9_kcat} * E5.3.1.9 * C00092)/(${Variables:E5.3.1.9_km} + (E5.3.1.9 * C00092))</v>
      </c>
      <c r="K585" s="98" t="str">
        <f t="shared" si="7"/>
        <v>r869: C00092 -&gt; C00085 | (${Variables:E5.3.1.9_kcat} * E5.3.1.9 * C00092)/(${Variables:E5.3.1.9_km} + (E5.3.1.9 * C00092))</v>
      </c>
    </row>
    <row r="586" spans="1:11" ht="12.5">
      <c r="A586" s="50" t="s">
        <v>406</v>
      </c>
      <c r="B586" s="50" t="s">
        <v>407</v>
      </c>
      <c r="C586" s="56" t="s">
        <v>15325</v>
      </c>
      <c r="D586" s="50">
        <v>870</v>
      </c>
      <c r="E586" s="50" t="str">
        <f t="shared" si="8"/>
        <v>E5.3.1.9</v>
      </c>
      <c r="F586" s="102" t="s">
        <v>15326</v>
      </c>
      <c r="G586" s="102" t="s">
        <v>15327</v>
      </c>
      <c r="H586" s="102" t="s">
        <v>15328</v>
      </c>
      <c r="I586" s="102" t="s">
        <v>15329</v>
      </c>
      <c r="J586" s="50" t="str">
        <f t="shared" si="6"/>
        <v>(${Variables:E5.3.1.9_kcat} * E5.3.1.9 * C00668)/(${Variables:E5.3.1.9_km} + (E5.3.1.9 * C00668))</v>
      </c>
      <c r="K586" s="98" t="str">
        <f t="shared" si="7"/>
        <v>r870: C00668 -&gt; C01172 | (${Variables:E5.3.1.9_kcat} * E5.3.1.9 * C00668)/(${Variables:E5.3.1.9_km} + (E5.3.1.9 * C00668))</v>
      </c>
    </row>
    <row r="587" spans="1:11" ht="12.5">
      <c r="A587" s="50" t="s">
        <v>406</v>
      </c>
      <c r="B587" s="50" t="s">
        <v>407</v>
      </c>
      <c r="C587" s="56" t="s">
        <v>15330</v>
      </c>
      <c r="D587" s="50">
        <v>871</v>
      </c>
      <c r="E587" s="50" t="str">
        <f t="shared" si="8"/>
        <v>E5.3.1.9</v>
      </c>
      <c r="F587" s="102" t="s">
        <v>15331</v>
      </c>
      <c r="G587" s="102" t="s">
        <v>15332</v>
      </c>
      <c r="H587" s="102" t="s">
        <v>15333</v>
      </c>
      <c r="I587" s="102" t="s">
        <v>15334</v>
      </c>
      <c r="J587" s="50" t="str">
        <f t="shared" si="6"/>
        <v>(${Variables:E5.3.1.9_kcat} * E5.3.1.9 * C00668)/(${Variables:E5.3.1.9_km} + (E5.3.1.9 * C00668))</v>
      </c>
      <c r="K587" s="98" t="str">
        <f t="shared" si="7"/>
        <v>r871: C00668 -&gt; C00085 | (${Variables:E5.3.1.9_kcat} * E5.3.1.9 * C00668)/(${Variables:E5.3.1.9_km} + (E5.3.1.9 * C00668))</v>
      </c>
    </row>
    <row r="588" spans="1:11" ht="12.5">
      <c r="A588" s="50" t="s">
        <v>406</v>
      </c>
      <c r="B588" s="50" t="s">
        <v>407</v>
      </c>
      <c r="C588" s="56" t="s">
        <v>15335</v>
      </c>
      <c r="D588" s="50">
        <v>872</v>
      </c>
      <c r="E588" s="50" t="str">
        <f t="shared" si="8"/>
        <v>E5.3.1.9</v>
      </c>
      <c r="F588" s="102" t="s">
        <v>15336</v>
      </c>
      <c r="G588" s="102" t="s">
        <v>15337</v>
      </c>
      <c r="H588" s="102" t="s">
        <v>15338</v>
      </c>
      <c r="I588" s="102" t="s">
        <v>15339</v>
      </c>
      <c r="J588" s="50" t="str">
        <f t="shared" si="6"/>
        <v>(${Variables:E5.3.1.9_kcat} * E5.3.1.9 * C01172)/(${Variables:E5.3.1.9_km} + (E5.3.1.9 * C01172))</v>
      </c>
      <c r="K588" s="98" t="str">
        <f t="shared" si="7"/>
        <v>r872: C01172 -&gt; C05345 | (${Variables:E5.3.1.9_kcat} * E5.3.1.9 * C01172)/(${Variables:E5.3.1.9_km} + (E5.3.1.9 * C01172))</v>
      </c>
    </row>
    <row r="589" spans="1:11" ht="12.5">
      <c r="A589" s="50" t="s">
        <v>406</v>
      </c>
      <c r="B589" s="50" t="s">
        <v>407</v>
      </c>
      <c r="C589" s="56" t="s">
        <v>15340</v>
      </c>
      <c r="D589" s="50">
        <v>873</v>
      </c>
      <c r="E589" s="50" t="str">
        <f t="shared" si="8"/>
        <v>E5.3.1.9</v>
      </c>
      <c r="F589" s="102" t="s">
        <v>15341</v>
      </c>
      <c r="G589" s="102" t="s">
        <v>15342</v>
      </c>
      <c r="H589" s="102" t="s">
        <v>15343</v>
      </c>
      <c r="I589" s="102" t="s">
        <v>15344</v>
      </c>
      <c r="J589" s="50" t="str">
        <f t="shared" si="6"/>
        <v>(${Variables:E5.3.1.9_kcat} * E5.3.1.9 * C02501)/(${Variables:E5.3.1.9_km} + (E5.3.1.9 * C02501))</v>
      </c>
      <c r="K589" s="98" t="str">
        <f t="shared" si="7"/>
        <v>r873: C02501 -&gt; C03453 | (${Variables:E5.3.1.9_kcat} * E5.3.1.9 * C02501)/(${Variables:E5.3.1.9_km} + (E5.3.1.9 * C02501))</v>
      </c>
    </row>
    <row r="590" spans="1:11" ht="12.5">
      <c r="A590" s="50" t="s">
        <v>1558</v>
      </c>
      <c r="B590" s="50" t="s">
        <v>1559</v>
      </c>
      <c r="C590" s="50" t="s">
        <v>8298</v>
      </c>
      <c r="D590" s="50">
        <v>874</v>
      </c>
      <c r="E590" s="50" t="str">
        <f t="shared" si="8"/>
        <v>E5.3.2.6</v>
      </c>
      <c r="F590" s="102" t="s">
        <v>15345</v>
      </c>
      <c r="G590" s="102" t="s">
        <v>15346</v>
      </c>
      <c r="H590" s="102" t="s">
        <v>15347</v>
      </c>
      <c r="I590" s="102" t="s">
        <v>15348</v>
      </c>
      <c r="J590" s="50" t="str">
        <f t="shared" si="6"/>
        <v>(${Variables:E5.3.2.6_kcat} * E5.3.2.6 * C00129)/(${Variables:E5.3.2.6_km} + (E5.3.2.6 * C00129))</v>
      </c>
      <c r="K590" s="98" t="str">
        <f t="shared" si="7"/>
        <v>r874: C00129 -&gt; C00235 | (${Variables:E5.3.2.6_kcat} * E5.3.2.6 * C00129)/(${Variables:E5.3.2.6_km} + (E5.3.2.6 * C00129))</v>
      </c>
    </row>
    <row r="591" spans="1:11" ht="12.5">
      <c r="A591" s="50" t="s">
        <v>1558</v>
      </c>
      <c r="B591" s="50" t="s">
        <v>1559</v>
      </c>
      <c r="C591" s="50" t="s">
        <v>8298</v>
      </c>
      <c r="D591" s="50">
        <v>875</v>
      </c>
      <c r="E591" s="50" t="str">
        <f t="shared" si="8"/>
        <v>E5.3.2.6</v>
      </c>
      <c r="F591" s="102" t="s">
        <v>15349</v>
      </c>
      <c r="G591" s="102" t="s">
        <v>15350</v>
      </c>
      <c r="H591" s="102" t="s">
        <v>15351</v>
      </c>
      <c r="I591" s="102" t="s">
        <v>15352</v>
      </c>
      <c r="J591" s="50" t="str">
        <f t="shared" si="6"/>
        <v>(${Variables:E5.3.2.6_kcat} * E5.3.2.6 * C07478)/(${Variables:E5.3.2.6_km} + (E5.3.2.6 * C07478))</v>
      </c>
      <c r="K591" s="98" t="str">
        <f t="shared" si="7"/>
        <v>r875: C07478 -&gt; C07479 | (${Variables:E5.3.2.6_kcat} * E5.3.2.6 * C07478)/(${Variables:E5.3.2.6_km} + (E5.3.2.6 * C07478))</v>
      </c>
    </row>
    <row r="592" spans="1:11" ht="12.5">
      <c r="A592" s="50" t="s">
        <v>1545</v>
      </c>
      <c r="B592" s="50" t="s">
        <v>1546</v>
      </c>
      <c r="C592" s="56" t="s">
        <v>15353</v>
      </c>
      <c r="D592" s="50">
        <v>876</v>
      </c>
      <c r="E592" s="50" t="str">
        <f t="shared" si="8"/>
        <v>E5.3.3.2</v>
      </c>
      <c r="F592" s="102" t="s">
        <v>15354</v>
      </c>
      <c r="G592" s="102" t="s">
        <v>15355</v>
      </c>
      <c r="H592" s="102" t="s">
        <v>15356</v>
      </c>
      <c r="I592" s="102" t="s">
        <v>15357</v>
      </c>
      <c r="J592" s="50" t="str">
        <f t="shared" si="6"/>
        <v>(${Variables:E5.3.3.2_kcat} * E5.3.3.2 * C06156)/(${Variables:E5.3.3.2_km} + (E5.3.3.2 * C06156))</v>
      </c>
      <c r="K592" s="98" t="str">
        <f t="shared" si="7"/>
        <v>r876: C06156 -&gt; C00352 | (${Variables:E5.3.3.2_kcat} * E5.3.3.2 * C06156)/(${Variables:E5.3.3.2_km} + (E5.3.3.2 * C06156))</v>
      </c>
    </row>
    <row r="593" spans="1:11" ht="14">
      <c r="A593" s="50" t="s">
        <v>127</v>
      </c>
      <c r="B593" s="50" t="s">
        <v>128</v>
      </c>
      <c r="C593" s="56" t="s">
        <v>15358</v>
      </c>
      <c r="D593" s="50">
        <v>877</v>
      </c>
      <c r="E593" s="50" t="str">
        <f t="shared" si="8"/>
        <v>E5.4.2.10</v>
      </c>
      <c r="F593" s="97" t="s">
        <v>15359</v>
      </c>
      <c r="G593" s="97" t="s">
        <v>15360</v>
      </c>
      <c r="H593" s="97" t="s">
        <v>15361</v>
      </c>
      <c r="I593" s="97" t="s">
        <v>15362</v>
      </c>
      <c r="J593" s="50" t="str">
        <f t="shared" si="6"/>
        <v>(${Variables:E5.4.2.10_kcat} * E5.4.2.10 * C01159 * C00615)/(${Variables:E5.4.2.10_km} + (E5.4.2.10 * C01159 * C00615))</v>
      </c>
      <c r="K593" s="98" t="str">
        <f t="shared" si="7"/>
        <v>r877: C01159 + C00615 -&gt; C00197 + C04262 | (${Variables:E5.4.2.10_kcat} * E5.4.2.10 * C01159 * C00615)/(${Variables:E5.4.2.10_km} + (E5.4.2.10 * C01159 * C00615))</v>
      </c>
    </row>
    <row r="594" spans="1:11" ht="12.5">
      <c r="A594" s="50" t="s">
        <v>3166</v>
      </c>
      <c r="B594" s="50" t="s">
        <v>3167</v>
      </c>
      <c r="C594" s="56" t="s">
        <v>15363</v>
      </c>
      <c r="D594" s="50">
        <v>878</v>
      </c>
      <c r="E594" s="50" t="str">
        <f t="shared" si="8"/>
        <v>E5.4.2.11</v>
      </c>
      <c r="F594" s="102" t="s">
        <v>15364</v>
      </c>
      <c r="G594" s="102" t="s">
        <v>15365</v>
      </c>
      <c r="H594" s="102" t="s">
        <v>15366</v>
      </c>
      <c r="I594" s="102" t="s">
        <v>15367</v>
      </c>
      <c r="J594" s="50" t="str">
        <f t="shared" si="6"/>
        <v>(${Variables:E5.4.2.11_kcat} * E5.4.2.11 * C00631)/(${Variables:E5.4.2.11_km} + (E5.4.2.11 * C00631))</v>
      </c>
      <c r="K594" s="98" t="str">
        <f t="shared" si="7"/>
        <v>r878: C00631 -&gt; C00197 | (${Variables:E5.4.2.11_kcat} * E5.4.2.11 * C00631)/(${Variables:E5.4.2.11_km} + (E5.4.2.11 * C00631))</v>
      </c>
    </row>
    <row r="595" spans="1:11" ht="12.5">
      <c r="A595" s="50" t="s">
        <v>3166</v>
      </c>
      <c r="B595" s="50" t="s">
        <v>3167</v>
      </c>
      <c r="C595" s="56" t="s">
        <v>15368</v>
      </c>
      <c r="D595" s="50">
        <v>879</v>
      </c>
      <c r="E595" s="50" t="str">
        <f t="shared" si="8"/>
        <v>E5.4.2.11</v>
      </c>
      <c r="F595" s="102" t="s">
        <v>15369</v>
      </c>
      <c r="G595" s="102" t="s">
        <v>15370</v>
      </c>
      <c r="H595" s="102" t="s">
        <v>15371</v>
      </c>
      <c r="I595" s="102" t="s">
        <v>15372</v>
      </c>
      <c r="J595" s="50" t="str">
        <f t="shared" si="6"/>
        <v>(${Variables:E5.4.2.11_kcat} * E5.4.2.11 * C00663)/(${Variables:E5.4.2.11_km} + (E5.4.2.11 * C00663))</v>
      </c>
      <c r="K595" s="98" t="str">
        <f t="shared" si="7"/>
        <v>r879: C00663 -&gt; C01172 | (${Variables:E5.4.2.11_kcat} * E5.4.2.11 * C00663)/(${Variables:E5.4.2.11_km} + (E5.4.2.11 * C00663))</v>
      </c>
    </row>
    <row r="596" spans="1:11" ht="12.5">
      <c r="A596" s="50" t="s">
        <v>7623</v>
      </c>
      <c r="B596" s="50" t="s">
        <v>7624</v>
      </c>
      <c r="C596" s="56" t="s">
        <v>15373</v>
      </c>
      <c r="D596" s="50">
        <v>880</v>
      </c>
      <c r="E596" s="50" t="str">
        <f t="shared" si="8"/>
        <v>E5.4.2.6</v>
      </c>
      <c r="F596" s="102" t="s">
        <v>15374</v>
      </c>
      <c r="G596" s="102" t="s">
        <v>15375</v>
      </c>
      <c r="H596" s="102" t="s">
        <v>15376</v>
      </c>
      <c r="I596" s="102" t="s">
        <v>15377</v>
      </c>
      <c r="J596" s="50" t="str">
        <f t="shared" si="6"/>
        <v>(${Variables:E5.4.2.6_kcat} * E5.4.2.6 * C00620)/(${Variables:E5.4.2.6_km} + (E5.4.2.6 * C00620))</v>
      </c>
      <c r="K596" s="98" t="str">
        <f t="shared" si="7"/>
        <v>r880: C00620 -&gt; C00117 | (${Variables:E5.4.2.6_kcat} * E5.4.2.6 * C00620)/(${Variables:E5.4.2.6_km} + (E5.4.2.6 * C00620))</v>
      </c>
    </row>
    <row r="597" spans="1:11" ht="12.5">
      <c r="A597" s="50" t="s">
        <v>7623</v>
      </c>
      <c r="B597" s="50" t="s">
        <v>7624</v>
      </c>
      <c r="C597" s="56" t="s">
        <v>15378</v>
      </c>
      <c r="D597" s="50">
        <v>881</v>
      </c>
      <c r="E597" s="50" t="str">
        <f t="shared" si="8"/>
        <v>E5.4.2.6</v>
      </c>
      <c r="F597" s="102" t="s">
        <v>15379</v>
      </c>
      <c r="G597" s="102" t="s">
        <v>15380</v>
      </c>
      <c r="H597" s="102" t="s">
        <v>15381</v>
      </c>
      <c r="I597" s="102" t="s">
        <v>15382</v>
      </c>
      <c r="J597" s="50" t="str">
        <f t="shared" si="6"/>
        <v>(${Variables:E5.4.2.6_kcat} * E5.4.2.6 * C00663)/(${Variables:E5.4.2.6_km} + (E5.4.2.6 * C00663))</v>
      </c>
      <c r="K597" s="98" t="str">
        <f t="shared" si="7"/>
        <v>r881: C00663 -&gt; C00092 | (${Variables:E5.4.2.6_kcat} * E5.4.2.6 * C00663)/(${Variables:E5.4.2.6_km} + (E5.4.2.6 * C00663))</v>
      </c>
    </row>
    <row r="598" spans="1:11" ht="12.5">
      <c r="A598" s="50" t="s">
        <v>4438</v>
      </c>
      <c r="B598" s="50" t="s">
        <v>4439</v>
      </c>
      <c r="C598" s="56" t="s">
        <v>15383</v>
      </c>
      <c r="D598" s="50">
        <v>882</v>
      </c>
      <c r="E598" s="50" t="str">
        <f t="shared" si="8"/>
        <v>E5.4.2.7</v>
      </c>
      <c r="F598" s="102" t="s">
        <v>15384</v>
      </c>
      <c r="G598" s="102" t="s">
        <v>15385</v>
      </c>
      <c r="H598" s="102" t="s">
        <v>15386</v>
      </c>
      <c r="I598" s="102" t="s">
        <v>15387</v>
      </c>
      <c r="J598" s="50" t="str">
        <f t="shared" si="6"/>
        <v>(${Variables:E5.4.2.7_kcat} * E5.4.2.7 * C00672)/(${Variables:E5.4.2.7_km} + (E5.4.2.7 * C00672))</v>
      </c>
      <c r="K598" s="98" t="str">
        <f t="shared" si="7"/>
        <v>r882: C00672 -&gt; C00673 | (${Variables:E5.4.2.7_kcat} * E5.4.2.7 * C00672)/(${Variables:E5.4.2.7_km} + (E5.4.2.7 * C00672))</v>
      </c>
    </row>
    <row r="599" spans="1:11" ht="12.5">
      <c r="A599" s="50" t="s">
        <v>4438</v>
      </c>
      <c r="B599" s="50" t="s">
        <v>4439</v>
      </c>
      <c r="C599" s="56" t="s">
        <v>15388</v>
      </c>
      <c r="D599" s="50">
        <v>883</v>
      </c>
      <c r="E599" s="50" t="str">
        <f t="shared" si="8"/>
        <v>E5.4.2.7</v>
      </c>
      <c r="F599" s="102" t="s">
        <v>15389</v>
      </c>
      <c r="G599" s="102" t="s">
        <v>15390</v>
      </c>
      <c r="H599" s="102" t="s">
        <v>15391</v>
      </c>
      <c r="I599" s="102" t="s">
        <v>15392</v>
      </c>
      <c r="J599" s="50" t="str">
        <f t="shared" si="6"/>
        <v>(${Variables:E5.4.2.7_kcat} * E5.4.2.7 * C00868)/(${Variables:E5.4.2.7_km} + (E5.4.2.7 * C00868))</v>
      </c>
      <c r="K599" s="98" t="str">
        <f t="shared" si="7"/>
        <v>r883: C00868 -&gt; C02764 | (${Variables:E5.4.2.7_kcat} * E5.4.2.7 * C00868)/(${Variables:E5.4.2.7_km} + (E5.4.2.7 * C00868))</v>
      </c>
    </row>
    <row r="600" spans="1:11" ht="12.5">
      <c r="A600" s="50" t="s">
        <v>6281</v>
      </c>
      <c r="B600" s="50" t="s">
        <v>6282</v>
      </c>
      <c r="C600" s="56" t="s">
        <v>15393</v>
      </c>
      <c r="D600" s="50">
        <v>884</v>
      </c>
      <c r="E600" s="50" t="str">
        <f t="shared" si="8"/>
        <v>E5.4.99.12</v>
      </c>
      <c r="F600" s="102" t="s">
        <v>15394</v>
      </c>
      <c r="G600" s="102" t="s">
        <v>15395</v>
      </c>
      <c r="H600" s="102" t="s">
        <v>15396</v>
      </c>
      <c r="I600" s="102" t="s">
        <v>15397</v>
      </c>
      <c r="J600" s="50" t="str">
        <f t="shared" si="6"/>
        <v>(${Variables:E5.4.99.12_kcat} * E5.4.99.12 * C15667)/(${Variables:E5.4.99.12_km} + (E5.4.99.12 * C15667))</v>
      </c>
      <c r="K600" s="98" t="str">
        <f t="shared" si="7"/>
        <v>r884: C15667 -&gt; C04751 | (${Variables:E5.4.99.12_kcat} * E5.4.99.12 * C15667)/(${Variables:E5.4.99.12_km} + (E5.4.99.12 * C15667))</v>
      </c>
    </row>
    <row r="601" spans="1:11" ht="12.5">
      <c r="A601" s="50" t="s">
        <v>1755</v>
      </c>
      <c r="B601" s="50" t="s">
        <v>1756</v>
      </c>
      <c r="C601" s="56" t="s">
        <v>15398</v>
      </c>
      <c r="D601" s="50">
        <v>886</v>
      </c>
      <c r="E601" s="50" t="str">
        <f t="shared" si="8"/>
        <v>E5.4.99.25</v>
      </c>
      <c r="F601" s="102" t="s">
        <v>15399</v>
      </c>
      <c r="G601" s="102" t="s">
        <v>15400</v>
      </c>
      <c r="H601" s="102" t="s">
        <v>15401</v>
      </c>
      <c r="I601" s="102" t="s">
        <v>15402</v>
      </c>
      <c r="J601" s="50" t="str">
        <f t="shared" si="6"/>
        <v>(${Variables:E5.4.99.25_kcat} * E5.4.99.25 * C08353)/(${Variables:E5.4.99.25_km} + (E5.4.99.25 * C08353))</v>
      </c>
      <c r="K601" s="98" t="str">
        <f t="shared" si="7"/>
        <v>r886: C08353 -&gt; C16639 | (${Variables:E5.4.99.25_kcat} * E5.4.99.25 * C08353)/(${Variables:E5.4.99.25_km} + (E5.4.99.25 * C08353))</v>
      </c>
    </row>
    <row r="602" spans="1:11" ht="12.5">
      <c r="A602" s="50" t="s">
        <v>4318</v>
      </c>
      <c r="B602" s="50" t="s">
        <v>4319</v>
      </c>
      <c r="C602" s="56" t="s">
        <v>15403</v>
      </c>
      <c r="D602" s="50">
        <v>887</v>
      </c>
      <c r="E602" s="50" t="str">
        <f t="shared" si="8"/>
        <v>E5.4.99.62</v>
      </c>
      <c r="F602" s="102" t="s">
        <v>15404</v>
      </c>
      <c r="G602" s="102" t="s">
        <v>15405</v>
      </c>
      <c r="H602" s="102" t="s">
        <v>15406</v>
      </c>
      <c r="I602" s="102" t="s">
        <v>15407</v>
      </c>
      <c r="J602" s="50" t="str">
        <f t="shared" si="6"/>
        <v>(${Variables:E5.4.99.62_kcat} * E5.4.99.62 * C00052)/(${Variables:E5.4.99.62_km} + (E5.4.99.62 * C00052))</v>
      </c>
      <c r="K602" s="98" t="str">
        <f t="shared" si="7"/>
        <v>r887: C00052 -&gt; C03733 | (${Variables:E5.4.99.62_kcat} * E5.4.99.62 * C00052)/(${Variables:E5.4.99.62_km} + (E5.4.99.62 * C00052))</v>
      </c>
    </row>
    <row r="603" spans="1:11" ht="12.5">
      <c r="A603" s="50" t="s">
        <v>2949</v>
      </c>
      <c r="B603" s="50" t="s">
        <v>2950</v>
      </c>
      <c r="C603" s="56" t="s">
        <v>15408</v>
      </c>
      <c r="D603" s="50">
        <v>888</v>
      </c>
      <c r="E603" s="50" t="str">
        <f t="shared" si="8"/>
        <v>E5.4.99.9</v>
      </c>
      <c r="F603" s="102" t="s">
        <v>15409</v>
      </c>
      <c r="G603" s="102" t="s">
        <v>15410</v>
      </c>
      <c r="H603" s="102" t="s">
        <v>15411</v>
      </c>
      <c r="I603" s="102" t="s">
        <v>15412</v>
      </c>
      <c r="J603" s="50" t="str">
        <f t="shared" si="6"/>
        <v>(${Variables:E5.4.99.9_kcat} * E5.4.99.9 * C00935)/(${Variables:E5.4.99.9_km} + (E5.4.99.9 * C00935))</v>
      </c>
      <c r="K603" s="98" t="str">
        <f t="shared" si="7"/>
        <v>r888: C00935 -&gt; C18094 | (${Variables:E5.4.99.9_kcat} * E5.4.99.9 * C00935)/(${Variables:E5.4.99.9_km} + (E5.4.99.9 * C00935))</v>
      </c>
    </row>
    <row r="604" spans="1:11" ht="14">
      <c r="A604" s="50" t="s">
        <v>5111</v>
      </c>
      <c r="B604" s="50" t="s">
        <v>5112</v>
      </c>
      <c r="C604" s="56" t="s">
        <v>15413</v>
      </c>
      <c r="D604" s="50">
        <v>894</v>
      </c>
      <c r="E604" s="50" t="str">
        <f t="shared" si="8"/>
        <v>E5.6.2.2</v>
      </c>
      <c r="F604" s="97" t="s">
        <v>15414</v>
      </c>
      <c r="G604" s="97" t="s">
        <v>15415</v>
      </c>
      <c r="H604" s="97" t="s">
        <v>15416</v>
      </c>
      <c r="I604" s="97" t="s">
        <v>15417</v>
      </c>
      <c r="J604" s="50" t="str">
        <f t="shared" si="6"/>
        <v>(${Variables:E5.6.2.2_kcat} * E5.6.2.2 * C00002 * C00082 * C00787)/(${Variables:E5.6.2.2_km} + (E5.6.2.2 * C00002 * C00082 * C00787))</v>
      </c>
      <c r="K604" s="98" t="str">
        <f t="shared" si="7"/>
        <v>r894: C00002 + C00082 + C00787 -&gt; C00020 + C00013 + C02839 | (${Variables:E5.6.2.2_kcat} * E5.6.2.2 * C00002 * C00082 * C00787)/(${Variables:E5.6.2.2_km} + (E5.6.2.2 * C00002 * C00082 * C00787))</v>
      </c>
    </row>
    <row r="605" spans="1:11" ht="14">
      <c r="A605" s="50" t="s">
        <v>2886</v>
      </c>
      <c r="B605" s="50" t="s">
        <v>2887</v>
      </c>
      <c r="C605" s="56" t="s">
        <v>15418</v>
      </c>
      <c r="D605" s="50">
        <v>895</v>
      </c>
      <c r="E605" s="50" t="str">
        <f t="shared" si="8"/>
        <v>E6.1.1.1</v>
      </c>
      <c r="F605" s="97" t="s">
        <v>15419</v>
      </c>
      <c r="G605" s="97" t="s">
        <v>15420</v>
      </c>
      <c r="H605" s="97" t="s">
        <v>15421</v>
      </c>
      <c r="I605" s="97" t="s">
        <v>15422</v>
      </c>
      <c r="J605" s="50" t="str">
        <f t="shared" si="6"/>
        <v>(${Variables:E6.1.1.1_kcat} * E6.1.1.1 * C00002 * C00073 * C01647)/(${Variables:E6.1.1.1_km} + (E6.1.1.1 * C00002 * C00073 * C01647))</v>
      </c>
      <c r="K605" s="98" t="str">
        <f t="shared" si="7"/>
        <v>r895: C00002 + C00073 + C01647 -&gt; C00020 + C00013 + C02430 | (${Variables:E6.1.1.1_kcat} * E6.1.1.1 * C00002 * C00073 * C01647)/(${Variables:E6.1.1.1_km} + (E6.1.1.1 * C00002 * C00073 * C01647))</v>
      </c>
    </row>
    <row r="606" spans="1:11" ht="14">
      <c r="A606" s="100"/>
      <c r="B606" s="50" t="s">
        <v>5904</v>
      </c>
      <c r="C606" s="56" t="s">
        <v>15423</v>
      </c>
      <c r="D606" s="50">
        <v>896</v>
      </c>
      <c r="E606" s="50" t="str">
        <f t="shared" si="8"/>
        <v>E6.1.1.10</v>
      </c>
      <c r="F606" s="97" t="s">
        <v>15424</v>
      </c>
      <c r="G606" s="97" t="s">
        <v>15425</v>
      </c>
      <c r="H606" s="97" t="s">
        <v>15426</v>
      </c>
      <c r="I606" s="97" t="s">
        <v>15427</v>
      </c>
      <c r="J606" s="50" t="str">
        <f t="shared" si="6"/>
        <v>(${Variables:E6.1.1.10_kcat} * E6.1.1.10 * C00002 * C00065 * C01650)/(${Variables:E6.1.1.10_km} + (E6.1.1.10 * C00002 * C00065 * C01650))</v>
      </c>
      <c r="K606" s="98" t="str">
        <f t="shared" si="7"/>
        <v>r896: C00002 + C00065 + C01650 -&gt; C00020 + C00013 + C02553 | (${Variables:E6.1.1.10_kcat} * E6.1.1.10 * C00002 * C00065 * C01650)/(${Variables:E6.1.1.10_km} + (E6.1.1.10 * C00002 * C00065 * C01650))</v>
      </c>
    </row>
    <row r="607" spans="1:11" ht="14">
      <c r="A607" s="100"/>
      <c r="B607" s="50" t="s">
        <v>5904</v>
      </c>
      <c r="C607" s="56" t="s">
        <v>15428</v>
      </c>
      <c r="D607" s="50">
        <v>897</v>
      </c>
      <c r="E607" s="50" t="str">
        <f t="shared" si="8"/>
        <v>E6.1.1.10</v>
      </c>
      <c r="F607" s="97" t="s">
        <v>15429</v>
      </c>
      <c r="G607" s="97" t="s">
        <v>15430</v>
      </c>
      <c r="H607" s="97" t="s">
        <v>15431</v>
      </c>
      <c r="I607" s="97" t="s">
        <v>15432</v>
      </c>
      <c r="J607" s="50" t="str">
        <f t="shared" si="6"/>
        <v>(${Variables:E6.1.1.10_kcat} * E6.1.1.10 * C00002 * C05335 * C01647)/(${Variables:E6.1.1.10_km} + (E6.1.1.10 * C00002 * C05335 * C01647))</v>
      </c>
      <c r="K607" s="98" t="str">
        <f t="shared" si="7"/>
        <v>r897: C00002 + C05335 + C01647 -&gt; C00020 + C00013 + C05336 | (${Variables:E6.1.1.10_kcat} * E6.1.1.10 * C00002 * C05335 * C01647)/(${Variables:E6.1.1.10_km} + (E6.1.1.10 * C00002 * C05335 * C01647))</v>
      </c>
    </row>
    <row r="608" spans="1:11" ht="14">
      <c r="A608" s="50" t="s">
        <v>2559</v>
      </c>
      <c r="B608" s="50" t="s">
        <v>2560</v>
      </c>
      <c r="C608" s="56" t="s">
        <v>15433</v>
      </c>
      <c r="D608" s="50">
        <v>898</v>
      </c>
      <c r="E608" s="50" t="str">
        <f t="shared" si="8"/>
        <v>E6.1.1.11</v>
      </c>
      <c r="F608" s="97" t="s">
        <v>15434</v>
      </c>
      <c r="G608" s="97" t="s">
        <v>15435</v>
      </c>
      <c r="H608" s="97" t="s">
        <v>15436</v>
      </c>
      <c r="I608" s="97" t="s">
        <v>15437</v>
      </c>
      <c r="J608" s="50" t="str">
        <f t="shared" si="6"/>
        <v>(${Variables:E6.1.1.11_kcat} * E6.1.1.11 * C00002 * C00065 * C16636)/(${Variables:E6.1.1.11_km} + (E6.1.1.11 * C00002 * C00065 * C16636))</v>
      </c>
      <c r="K608" s="98" t="str">
        <f t="shared" si="7"/>
        <v>r898: C00002 + C00065 + C16636 -&gt; C00020 + C00013 + C06481 | (${Variables:E6.1.1.11_kcat} * E6.1.1.11 * C00002 * C00065 * C16636)/(${Variables:E6.1.1.11_km} + (E6.1.1.11 * C00002 * C00065 * C16636))</v>
      </c>
    </row>
    <row r="609" spans="1:11" ht="14">
      <c r="A609" s="50" t="s">
        <v>2559</v>
      </c>
      <c r="B609" s="50" t="s">
        <v>2560</v>
      </c>
      <c r="C609" s="56" t="s">
        <v>15438</v>
      </c>
      <c r="D609" s="50">
        <v>899</v>
      </c>
      <c r="E609" s="50" t="str">
        <f t="shared" si="8"/>
        <v>E6.1.1.11</v>
      </c>
      <c r="F609" s="97" t="s">
        <v>15439</v>
      </c>
      <c r="G609" s="97" t="s">
        <v>15440</v>
      </c>
      <c r="H609" s="97" t="s">
        <v>15441</v>
      </c>
      <c r="I609" s="97" t="s">
        <v>15442</v>
      </c>
      <c r="J609" s="50" t="str">
        <f t="shared" si="6"/>
        <v>(${Variables:E6.1.1.11_kcat} * E6.1.1.11 * C01638 * C00049 * C00002)/(${Variables:E6.1.1.11_km} + (E6.1.1.11 * C01638 * C00049 * C00002))</v>
      </c>
      <c r="K609" s="98" t="str">
        <f t="shared" si="7"/>
        <v>r899: C01638 + C00049 + C00002 -&gt; C02984 + C00013 + C00020 | (${Variables:E6.1.1.11_kcat} * E6.1.1.11 * C01638 * C00049 * C00002)/(${Variables:E6.1.1.11_km} + (E6.1.1.11 * C01638 * C00049 * C00002))</v>
      </c>
    </row>
    <row r="610" spans="1:11" ht="14">
      <c r="A610" s="50" t="s">
        <v>1628</v>
      </c>
      <c r="B610" s="50" t="s">
        <v>1629</v>
      </c>
      <c r="C610" s="56" t="s">
        <v>15443</v>
      </c>
      <c r="D610" s="50">
        <v>900</v>
      </c>
      <c r="E610" s="50" t="str">
        <f t="shared" si="8"/>
        <v>E6.1.1.12</v>
      </c>
      <c r="F610" s="97" t="s">
        <v>15444</v>
      </c>
      <c r="G610" s="97" t="s">
        <v>15445</v>
      </c>
      <c r="H610" s="97" t="s">
        <v>15446</v>
      </c>
      <c r="I610" s="97" t="s">
        <v>15447</v>
      </c>
      <c r="J610" s="50" t="str">
        <f t="shared" si="6"/>
        <v>(${Variables:E6.1.1.12_kcat} * E6.1.1.12 * C00002 * C00133 * C00653)/(${Variables:E6.1.1.12_km} + (E6.1.1.12 * C00002 * C00133 * C00653))</v>
      </c>
      <c r="K610" s="98" t="str">
        <f t="shared" si="7"/>
        <v>r900: C00002 + C00133 + C00653 -&gt; C00020 + C00013 + C04260 | (${Variables:E6.1.1.12_kcat} * E6.1.1.12 * C00002 * C00133 * C00653)/(${Variables:E6.1.1.12_km} + (E6.1.1.12 * C00002 * C00133 * C00653))</v>
      </c>
    </row>
    <row r="611" spans="1:11" ht="14">
      <c r="A611" s="50" t="s">
        <v>7061</v>
      </c>
      <c r="B611" s="50" t="s">
        <v>7062</v>
      </c>
      <c r="C611" s="56" t="s">
        <v>15448</v>
      </c>
      <c r="D611" s="50">
        <v>901</v>
      </c>
      <c r="E611" s="50" t="str">
        <f t="shared" si="8"/>
        <v>E6.1.1.13</v>
      </c>
      <c r="F611" s="97" t="s">
        <v>15449</v>
      </c>
      <c r="G611" s="97" t="s">
        <v>15450</v>
      </c>
      <c r="H611" s="97" t="s">
        <v>15451</v>
      </c>
      <c r="I611" s="97" t="s">
        <v>15452</v>
      </c>
      <c r="J611" s="50" t="str">
        <f t="shared" si="6"/>
        <v>(${Variables:E6.1.1.13_kcat} * E6.1.1.13 * C00002 * C00037 * C01642)/(${Variables:E6.1.1.13_km} + (E6.1.1.13 * C00002 * C00037 * C01642))</v>
      </c>
      <c r="K611" s="98" t="str">
        <f t="shared" si="7"/>
        <v>r901: C00002 + C00037 + C01642 -&gt; C00020 + C00013 + C02412 | (${Variables:E6.1.1.13_kcat} * E6.1.1.13 * C00002 * C00037 * C01642)/(${Variables:E6.1.1.13_km} + (E6.1.1.13 * C00002 * C00037 * C01642))</v>
      </c>
    </row>
    <row r="612" spans="1:11" ht="14">
      <c r="A612" s="50" t="s">
        <v>7053</v>
      </c>
      <c r="B612" s="50" t="s">
        <v>7054</v>
      </c>
      <c r="C612" s="56" t="s">
        <v>15453</v>
      </c>
      <c r="D612" s="50">
        <v>902</v>
      </c>
      <c r="E612" s="50" t="str">
        <f t="shared" si="8"/>
        <v>E6.1.1.13</v>
      </c>
      <c r="F612" s="97" t="s">
        <v>15454</v>
      </c>
      <c r="G612" s="97" t="s">
        <v>15455</v>
      </c>
      <c r="H612" s="97" t="s">
        <v>15456</v>
      </c>
      <c r="I612" s="97" t="s">
        <v>15457</v>
      </c>
      <c r="J612" s="50" t="str">
        <f t="shared" si="6"/>
        <v>(${Variables:E6.1.1.13_kcat} * E6.1.1.13 * C00002 * C00133 * G13167)/(${Variables:E6.1.1.13_km} + (E6.1.1.13 * C00002 * C00133 * G13167))</v>
      </c>
      <c r="K612" s="98" t="str">
        <f t="shared" si="7"/>
        <v>r902: C00002 + C00133 + G13167 -&gt; C00020 + C00013 + G13180 | (${Variables:E6.1.1.13_kcat} * E6.1.1.13 * C00002 * C00133 * G13167)/(${Variables:E6.1.1.13_km} + (E6.1.1.13 * C00002 * C00133 * G13167))</v>
      </c>
    </row>
    <row r="613" spans="1:11" ht="14">
      <c r="A613" s="50" t="s">
        <v>7053</v>
      </c>
      <c r="B613" s="50" t="s">
        <v>7054</v>
      </c>
      <c r="C613" s="56" t="s">
        <v>15458</v>
      </c>
      <c r="D613" s="50">
        <v>903</v>
      </c>
      <c r="E613" s="50" t="str">
        <f t="shared" si="8"/>
        <v>E6.1.1.13</v>
      </c>
      <c r="F613" s="97" t="s">
        <v>15459</v>
      </c>
      <c r="G613" s="97" t="s">
        <v>15460</v>
      </c>
      <c r="H613" s="97" t="s">
        <v>15461</v>
      </c>
      <c r="I613" s="97" t="s">
        <v>15462</v>
      </c>
      <c r="J613" s="50" t="str">
        <f t="shared" si="6"/>
        <v>(${Variables:E6.1.1.13_kcat} * E6.1.1.13 * C00002 * C00133 * G13170)/(${Variables:E6.1.1.13_km} + (E6.1.1.13 * C00002 * C00133 * G13170))</v>
      </c>
      <c r="K613" s="98" t="str">
        <f t="shared" si="7"/>
        <v>r903: C00002 + C00133 + G13170 -&gt; C00020 + C00013 + G13171 | (${Variables:E6.1.1.13_kcat} * E6.1.1.13 * C00002 * C00133 * G13170)/(${Variables:E6.1.1.13_km} + (E6.1.1.13 * C00002 * C00133 * G13170))</v>
      </c>
    </row>
    <row r="614" spans="1:11" ht="14">
      <c r="A614" s="50" t="s">
        <v>7053</v>
      </c>
      <c r="B614" s="50" t="s">
        <v>7054</v>
      </c>
      <c r="C614" s="56" t="s">
        <v>15463</v>
      </c>
      <c r="D614" s="50">
        <v>904</v>
      </c>
      <c r="E614" s="50" t="str">
        <f t="shared" si="8"/>
        <v>E6.1.1.13</v>
      </c>
      <c r="F614" s="97" t="s">
        <v>15464</v>
      </c>
      <c r="G614" s="97" t="s">
        <v>15465</v>
      </c>
      <c r="H614" s="97" t="s">
        <v>15466</v>
      </c>
      <c r="I614" s="97" t="s">
        <v>15467</v>
      </c>
      <c r="J614" s="50" t="str">
        <f t="shared" si="6"/>
        <v>(${Variables:E6.1.1.13_kcat} * E6.1.1.13 * C00002 * C00133 * G13174)/(${Variables:E6.1.1.13_km} + (E6.1.1.13 * C00002 * C00133 * G13174))</v>
      </c>
      <c r="K614" s="98" t="str">
        <f t="shared" si="7"/>
        <v>r904: C00002 + C00133 + G13174 -&gt; C00020 + C00013 + G13175 | (${Variables:E6.1.1.13_kcat} * E6.1.1.13 * C00002 * C00133 * G13174)/(${Variables:E6.1.1.13_km} + (E6.1.1.13 * C00002 * C00133 * G13174))</v>
      </c>
    </row>
    <row r="615" spans="1:11" ht="14">
      <c r="A615" s="50" t="s">
        <v>7053</v>
      </c>
      <c r="B615" s="50" t="s">
        <v>7054</v>
      </c>
      <c r="C615" s="56" t="s">
        <v>15468</v>
      </c>
      <c r="D615" s="50">
        <v>905</v>
      </c>
      <c r="E615" s="50" t="str">
        <f t="shared" si="8"/>
        <v>E6.1.1.13</v>
      </c>
      <c r="F615" s="97" t="s">
        <v>15469</v>
      </c>
      <c r="G615" s="97" t="s">
        <v>15470</v>
      </c>
      <c r="H615" s="97" t="s">
        <v>15471</v>
      </c>
      <c r="I615" s="97" t="s">
        <v>15472</v>
      </c>
      <c r="J615" s="50" t="str">
        <f t="shared" si="6"/>
        <v>(${Variables:E6.1.1.13_kcat} * E6.1.1.13 * C00002 * C00133 * G13176)/(${Variables:E6.1.1.13_km} + (E6.1.1.13 * C00002 * C00133 * G13176))</v>
      </c>
      <c r="K615" s="98" t="str">
        <f t="shared" si="7"/>
        <v>r905: C00002 + C00133 + G13176 -&gt; C00020 + C00013 + G13177 | (${Variables:E6.1.1.13_kcat} * E6.1.1.13 * C00002 * C00133 * G13176)/(${Variables:E6.1.1.13_km} + (E6.1.1.13 * C00002 * C00133 * G13176))</v>
      </c>
    </row>
    <row r="616" spans="1:11" ht="14">
      <c r="A616" s="50" t="s">
        <v>7053</v>
      </c>
      <c r="B616" s="50" t="s">
        <v>7054</v>
      </c>
      <c r="C616" s="56" t="s">
        <v>15473</v>
      </c>
      <c r="D616" s="50">
        <v>906</v>
      </c>
      <c r="E616" s="50" t="str">
        <f t="shared" si="8"/>
        <v>E6.1.1.13</v>
      </c>
      <c r="F616" s="97" t="s">
        <v>15474</v>
      </c>
      <c r="G616" s="97" t="s">
        <v>15475</v>
      </c>
      <c r="H616" s="97" t="s">
        <v>15476</v>
      </c>
      <c r="I616" s="97" t="s">
        <v>15477</v>
      </c>
      <c r="J616" s="50" t="str">
        <f t="shared" si="6"/>
        <v>(${Variables:E6.1.1.13_kcat} * E6.1.1.13 * C00002 * C00133 * G13178)/(${Variables:E6.1.1.13_km} + (E6.1.1.13 * C00002 * C00133 * G13178))</v>
      </c>
      <c r="K616" s="98" t="str">
        <f t="shared" si="7"/>
        <v>r906: C00002 + C00133 + G13178 -&gt; C00020 + C00013 + G13179 | (${Variables:E6.1.1.13_kcat} * E6.1.1.13 * C00002 * C00133 * G13178)/(${Variables:E6.1.1.13_km} + (E6.1.1.13 * C00002 * C00133 * G13178))</v>
      </c>
    </row>
    <row r="617" spans="1:11" ht="14">
      <c r="A617" s="50" t="s">
        <v>7053</v>
      </c>
      <c r="B617" s="50" t="s">
        <v>7054</v>
      </c>
      <c r="C617" s="56" t="s">
        <v>15478</v>
      </c>
      <c r="D617" s="50">
        <v>907</v>
      </c>
      <c r="E617" s="50" t="str">
        <f t="shared" si="8"/>
        <v>E6.1.1.13</v>
      </c>
      <c r="F617" s="97" t="s">
        <v>15479</v>
      </c>
      <c r="G617" s="97" t="s">
        <v>15480</v>
      </c>
      <c r="H617" s="97" t="s">
        <v>15481</v>
      </c>
      <c r="I617" s="97" t="s">
        <v>15482</v>
      </c>
      <c r="J617" s="50" t="str">
        <f t="shared" si="6"/>
        <v>(${Variables:E6.1.1.13_kcat} * E6.1.1.13 * C00002 * C00133 * G13185)/(${Variables:E6.1.1.13_km} + (E6.1.1.13 * C00002 * C00133 * G13185))</v>
      </c>
      <c r="K617" s="98" t="str">
        <f t="shared" si="7"/>
        <v>r907: C00002 + C00133 + G13185 -&gt; C00020 + C00013 + G13186 | (${Variables:E6.1.1.13_kcat} * E6.1.1.13 * C00002 * C00133 * G13185)/(${Variables:E6.1.1.13_km} + (E6.1.1.13 * C00002 * C00133 * G13185))</v>
      </c>
    </row>
    <row r="618" spans="1:11" ht="14">
      <c r="A618" s="50" t="s">
        <v>7053</v>
      </c>
      <c r="B618" s="50" t="s">
        <v>7054</v>
      </c>
      <c r="C618" s="56" t="s">
        <v>15483</v>
      </c>
      <c r="D618" s="50">
        <v>916</v>
      </c>
      <c r="E618" s="50" t="str">
        <f t="shared" si="8"/>
        <v>E6.1.1.13</v>
      </c>
      <c r="F618" s="97" t="s">
        <v>15484</v>
      </c>
      <c r="G618" s="97" t="s">
        <v>15485</v>
      </c>
      <c r="H618" s="97" t="s">
        <v>15486</v>
      </c>
      <c r="I618" s="97" t="s">
        <v>15487</v>
      </c>
      <c r="J618" s="50" t="str">
        <f t="shared" si="6"/>
        <v>(${Variables:E6.1.1.13_kcat} * E6.1.1.13 * C00002 * C00133 * G13192)/(${Variables:E6.1.1.13_km} + (E6.1.1.13 * C00002 * C00133 * G13192))</v>
      </c>
      <c r="K618" s="98" t="str">
        <f t="shared" si="7"/>
        <v>r916: C00002 + C00133 + G13192 -&gt; C00020 + C00013 + G13193 | (${Variables:E6.1.1.13_kcat} * E6.1.1.13 * C00002 * C00133 * G13192)/(${Variables:E6.1.1.13_km} + (E6.1.1.13 * C00002 * C00133 * G13192))</v>
      </c>
    </row>
    <row r="619" spans="1:11" ht="14">
      <c r="A619" s="50" t="s">
        <v>1581</v>
      </c>
      <c r="B619" s="50" t="s">
        <v>1582</v>
      </c>
      <c r="C619" s="56" t="s">
        <v>15488</v>
      </c>
      <c r="D619" s="50">
        <v>918</v>
      </c>
      <c r="E619" s="50" t="str">
        <f t="shared" si="8"/>
        <v>E6.1.1.14</v>
      </c>
      <c r="F619" s="97" t="s">
        <v>15489</v>
      </c>
      <c r="G619" s="97" t="s">
        <v>15490</v>
      </c>
      <c r="H619" s="97" t="s">
        <v>15491</v>
      </c>
      <c r="I619" s="97" t="s">
        <v>15492</v>
      </c>
      <c r="J619" s="50" t="str">
        <f t="shared" si="6"/>
        <v>(${Variables:E6.1.1.14_kcat} * E6.1.1.14 * C00002 * C00148 * C01649)/(${Variables:E6.1.1.14_km} + (E6.1.1.14 * C00002 * C00148 * C01649))</v>
      </c>
      <c r="K619" s="98" t="str">
        <f t="shared" si="7"/>
        <v>r918: C00002 + C00148 + C01649 -&gt; C00020 + C00013 + C02702 | (${Variables:E6.1.1.14_kcat} * E6.1.1.14 * C00002 * C00148 * C01649)/(${Variables:E6.1.1.14_km} + (E6.1.1.14 * C00002 * C00148 * C01649))</v>
      </c>
    </row>
    <row r="620" spans="1:11" ht="14">
      <c r="A620" s="50" t="s">
        <v>1787</v>
      </c>
      <c r="B620" s="50" t="s">
        <v>1788</v>
      </c>
      <c r="C620" s="56" t="s">
        <v>15493</v>
      </c>
      <c r="D620" s="50">
        <v>919</v>
      </c>
      <c r="E620" s="50" t="str">
        <f t="shared" si="8"/>
        <v>E6.1.1.15</v>
      </c>
      <c r="F620" s="97" t="s">
        <v>15494</v>
      </c>
      <c r="G620" s="97" t="s">
        <v>15495</v>
      </c>
      <c r="H620" s="97" t="s">
        <v>15496</v>
      </c>
      <c r="I620" s="97" t="s">
        <v>15497</v>
      </c>
      <c r="J620" s="50" t="str">
        <f t="shared" si="6"/>
        <v>(${Variables:E6.1.1.15_kcat} * E6.1.1.15 * C00002 * C00097 * C01639)/(${Variables:E6.1.1.15_km} + (E6.1.1.15 * C00002 * C00097 * C01639))</v>
      </c>
      <c r="K620" s="98" t="str">
        <f t="shared" si="7"/>
        <v>r919: C00002 + C00097 + C01639 -&gt; C00020 + C00013 + C03125 | (${Variables:E6.1.1.15_kcat} * E6.1.1.15 * C00002 * C00097 * C01639)/(${Variables:E6.1.1.15_km} + (E6.1.1.15 * C00002 * C00097 * C01639))</v>
      </c>
    </row>
    <row r="621" spans="1:11" ht="14">
      <c r="A621" s="50" t="s">
        <v>3627</v>
      </c>
      <c r="B621" s="50" t="s">
        <v>3628</v>
      </c>
      <c r="C621" s="56" t="s">
        <v>15498</v>
      </c>
      <c r="D621" s="50">
        <v>920</v>
      </c>
      <c r="E621" s="50" t="str">
        <f t="shared" si="8"/>
        <v>E6.1.1.16</v>
      </c>
      <c r="F621" s="97" t="s">
        <v>15499</v>
      </c>
      <c r="G621" s="97" t="s">
        <v>15500</v>
      </c>
      <c r="H621" s="97" t="s">
        <v>15501</v>
      </c>
      <c r="I621" s="97" t="s">
        <v>15502</v>
      </c>
      <c r="J621" s="50" t="str">
        <f t="shared" si="6"/>
        <v>(${Variables:E6.1.1.16_kcat} * E6.1.1.16 * C01641 * C00025 * C00002)/(${Variables:E6.1.1.16_km} + (E6.1.1.16 * C01641 * C00025 * C00002))</v>
      </c>
      <c r="K621" s="98" t="str">
        <f t="shared" si="7"/>
        <v>r920: C01641 + C00025 + C00002 -&gt; C02987 + C00013 + C00020 | (${Variables:E6.1.1.16_kcat} * E6.1.1.16 * C01641 * C00025 * C00002)/(${Variables:E6.1.1.16_km} + (E6.1.1.16 * C01641 * C00025 * C00002))</v>
      </c>
    </row>
    <row r="622" spans="1:11" ht="14">
      <c r="A622" s="50" t="s">
        <v>3639</v>
      </c>
      <c r="B622" s="50" t="s">
        <v>3640</v>
      </c>
      <c r="C622" s="56" t="s">
        <v>15503</v>
      </c>
      <c r="D622" s="50">
        <v>921</v>
      </c>
      <c r="E622" s="50" t="str">
        <f t="shared" si="8"/>
        <v>E6.1.1.17</v>
      </c>
      <c r="F622" s="97" t="s">
        <v>15504</v>
      </c>
      <c r="G622" s="97" t="s">
        <v>15505</v>
      </c>
      <c r="H622" s="97" t="s">
        <v>15506</v>
      </c>
      <c r="I622" s="97" t="s">
        <v>15507</v>
      </c>
      <c r="J622" s="50" t="str">
        <f t="shared" si="6"/>
        <v>(${Variables:E6.1.1.17_kcat} * E6.1.1.17 * C00002 * C00062 * C01636)/(${Variables:E6.1.1.17_km} + (E6.1.1.17 * C00002 * C00062 * C01636))</v>
      </c>
      <c r="K622" s="98" t="str">
        <f t="shared" si="7"/>
        <v>r921: C00002 + C00062 + C01636 -&gt; C00020 + C00013 + C02163 | (${Variables:E6.1.1.17_kcat} * E6.1.1.17 * C00002 * C00062 * C01636)/(${Variables:E6.1.1.17_km} + (E6.1.1.17 * C00002 * C00062 * C01636))</v>
      </c>
    </row>
    <row r="623" spans="1:11" ht="14">
      <c r="A623" s="50" t="s">
        <v>2259</v>
      </c>
      <c r="B623" s="50" t="s">
        <v>2260</v>
      </c>
      <c r="C623" s="58" t="s">
        <v>8299</v>
      </c>
      <c r="D623" s="50">
        <v>922</v>
      </c>
      <c r="E623" s="50" t="str">
        <f t="shared" si="8"/>
        <v>E6.1.1.19</v>
      </c>
      <c r="F623" s="97" t="s">
        <v>15508</v>
      </c>
      <c r="G623" s="97" t="s">
        <v>15509</v>
      </c>
      <c r="H623" s="97" t="s">
        <v>15510</v>
      </c>
      <c r="I623" s="97" t="s">
        <v>15511</v>
      </c>
      <c r="J623" s="50" t="str">
        <f t="shared" si="6"/>
        <v>(${Variables:E6.1.1.19_kcat} * E6.1.1.19 * C00002 * C00078 * C01652)/(${Variables:E6.1.1.19_km} + (E6.1.1.19 * C00002 * C00078 * C01652))</v>
      </c>
      <c r="K623" s="98" t="str">
        <f t="shared" si="7"/>
        <v>r922: C00002 + C00078 + C01652 -&gt; C00020 + C00013 + C03512 | (${Variables:E6.1.1.19_kcat} * E6.1.1.19 * C00002 * C00078 * C01652)/(${Variables:E6.1.1.19_km} + (E6.1.1.19 * C00002 * C00078 * C01652))</v>
      </c>
    </row>
    <row r="624" spans="1:11" ht="14">
      <c r="A624" s="50" t="s">
        <v>5848</v>
      </c>
      <c r="B624" s="50" t="s">
        <v>5849</v>
      </c>
      <c r="C624" s="56" t="s">
        <v>15512</v>
      </c>
      <c r="D624" s="50">
        <v>923</v>
      </c>
      <c r="E624" s="50" t="str">
        <f t="shared" si="8"/>
        <v>E6.1.1.2</v>
      </c>
      <c r="F624" s="97" t="s">
        <v>15513</v>
      </c>
      <c r="G624" s="97" t="s">
        <v>15514</v>
      </c>
      <c r="H624" s="97" t="s">
        <v>15515</v>
      </c>
      <c r="I624" s="97" t="s">
        <v>15516</v>
      </c>
      <c r="J624" s="50" t="str">
        <f t="shared" si="6"/>
        <v>(${Variables:E6.1.1.2_kcat} * E6.1.1.2 * C00002 * C00079 * C01648)/(${Variables:E6.1.1.2_km} + (E6.1.1.2 * C00002 * C00079 * C01648))</v>
      </c>
      <c r="K624" s="98" t="str">
        <f t="shared" si="7"/>
        <v>r923: C00002 + C00079 + C01648 -&gt; C00020 + C00013 + C03511 | (${Variables:E6.1.1.2_kcat} * E6.1.1.2 * C00002 * C00079 * C01648)/(${Variables:E6.1.1.2_km} + (E6.1.1.2 * C00002 * C00079 * C01648))</v>
      </c>
    </row>
    <row r="625" spans="1:11" ht="14">
      <c r="A625" s="50" t="s">
        <v>2086</v>
      </c>
      <c r="B625" s="50" t="s">
        <v>2087</v>
      </c>
      <c r="C625" s="56" t="s">
        <v>15517</v>
      </c>
      <c r="D625" s="50">
        <v>925</v>
      </c>
      <c r="E625" s="50" t="str">
        <f t="shared" si="8"/>
        <v>E6.1.1.20</v>
      </c>
      <c r="F625" s="97" t="s">
        <v>15518</v>
      </c>
      <c r="G625" s="97" t="s">
        <v>15519</v>
      </c>
      <c r="H625" s="97" t="s">
        <v>15520</v>
      </c>
      <c r="I625" s="97" t="s">
        <v>15521</v>
      </c>
      <c r="J625" s="50" t="str">
        <f t="shared" si="6"/>
        <v>(${Variables:E6.1.1.20_kcat} * E6.1.1.20 * C00002 * C00135 * C01643)/(${Variables:E6.1.1.20_km} + (E6.1.1.20 * C00002 * C00135 * C01643))</v>
      </c>
      <c r="K625" s="98" t="str">
        <f t="shared" si="7"/>
        <v>r925: C00002 + C00135 + C01643 -&gt; C00020 + C00013 + C02988 | (${Variables:E6.1.1.20_kcat} * E6.1.1.20 * C00002 * C00135 * C01643)/(${Variables:E6.1.1.20_km} + (E6.1.1.20 * C00002 * C00135 * C01643))</v>
      </c>
    </row>
    <row r="626" spans="1:11" ht="14">
      <c r="A626" s="50" t="s">
        <v>1632</v>
      </c>
      <c r="B626" s="50" t="s">
        <v>1633</v>
      </c>
      <c r="C626" s="56" t="s">
        <v>15522</v>
      </c>
      <c r="D626" s="50">
        <v>926</v>
      </c>
      <c r="E626" s="50" t="str">
        <f t="shared" si="8"/>
        <v>E6.1.1.21</v>
      </c>
      <c r="F626" s="97" t="s">
        <v>15523</v>
      </c>
      <c r="G626" s="97" t="s">
        <v>15524</v>
      </c>
      <c r="H626" s="97" t="s">
        <v>15525</v>
      </c>
      <c r="I626" s="97" t="s">
        <v>15526</v>
      </c>
      <c r="J626" s="50" t="str">
        <f t="shared" si="6"/>
        <v>(${Variables:E6.1.1.21_kcat} * E6.1.1.21 * C00002 * C00152 * C01637)/(${Variables:E6.1.1.21_km} + (E6.1.1.21 * C00002 * C00152 * C01637))</v>
      </c>
      <c r="K626" s="98" t="str">
        <f t="shared" si="7"/>
        <v>r926: C00002 + C00152 + C01637 -&gt; C00020 + C00013 + C03402 | (${Variables:E6.1.1.21_kcat} * E6.1.1.21 * C00002 * C00152 * C01637)/(${Variables:E6.1.1.21_km} + (E6.1.1.21 * C00002 * C00152 * C01637))</v>
      </c>
    </row>
    <row r="627" spans="1:11" ht="14">
      <c r="A627" s="50" t="s">
        <v>1517</v>
      </c>
      <c r="B627" s="50" t="s">
        <v>1518</v>
      </c>
      <c r="C627" s="56" t="s">
        <v>15527</v>
      </c>
      <c r="D627" s="50">
        <v>927</v>
      </c>
      <c r="E627" s="50" t="str">
        <f t="shared" si="8"/>
        <v>E6.1.1.22</v>
      </c>
      <c r="F627" s="97" t="s">
        <v>15528</v>
      </c>
      <c r="G627" s="97" t="s">
        <v>15529</v>
      </c>
      <c r="H627" s="97" t="s">
        <v>15530</v>
      </c>
      <c r="I627" s="97" t="s">
        <v>15531</v>
      </c>
      <c r="J627" s="50" t="str">
        <f t="shared" si="6"/>
        <v>(${Variables:E6.1.1.22_kcat} * E6.1.1.22 * C00002 * C00188 * C01651)/(${Variables:E6.1.1.22_km} + (E6.1.1.22 * C00002 * C00188 * C01651))</v>
      </c>
      <c r="K627" s="98" t="str">
        <f t="shared" si="7"/>
        <v>r927: C00002 + C00188 + C01651 -&gt; C00020 + C00013 + C02992 | (${Variables:E6.1.1.22_kcat} * E6.1.1.22 * C00002 * C00188 * C01651)/(${Variables:E6.1.1.22_km} + (E6.1.1.22 * C00002 * C00188 * C01651))</v>
      </c>
    </row>
    <row r="628" spans="1:11" ht="14">
      <c r="A628" s="100"/>
      <c r="B628" s="50" t="s">
        <v>2177</v>
      </c>
      <c r="C628" s="56" t="s">
        <v>15532</v>
      </c>
      <c r="D628" s="50">
        <v>928</v>
      </c>
      <c r="E628" s="50" t="str">
        <f t="shared" si="8"/>
        <v>E6.1.1.3</v>
      </c>
      <c r="F628" s="97" t="s">
        <v>15533</v>
      </c>
      <c r="G628" s="97" t="s">
        <v>15534</v>
      </c>
      <c r="H628" s="97" t="s">
        <v>15535</v>
      </c>
      <c r="I628" s="97" t="s">
        <v>15536</v>
      </c>
      <c r="J628" s="50" t="str">
        <f t="shared" si="6"/>
        <v>(${Variables:E6.1.1.3_kcat} * E6.1.1.3 * C00002 * C00123 * C01645)/(${Variables:E6.1.1.3_km} + (E6.1.1.3 * C00002 * C00123 * C01645))</v>
      </c>
      <c r="K628" s="98" t="str">
        <f t="shared" si="7"/>
        <v>r928: C00002 + C00123 + C01645 -&gt; C00020 + C00013 + C02047 | (${Variables:E6.1.1.3_kcat} * E6.1.1.3 * C00002 * C00123 * C01645)/(${Variables:E6.1.1.3_km} + (E6.1.1.3 * C00002 * C00123 * C01645))</v>
      </c>
    </row>
    <row r="629" spans="1:11" ht="14">
      <c r="A629" s="50" t="s">
        <v>7230</v>
      </c>
      <c r="B629" s="50" t="s">
        <v>7231</v>
      </c>
      <c r="C629" s="56" t="s">
        <v>15537</v>
      </c>
      <c r="D629" s="50">
        <v>929</v>
      </c>
      <c r="E629" s="50" t="str">
        <f t="shared" si="8"/>
        <v>E6.1.1.4</v>
      </c>
      <c r="F629" s="97" t="s">
        <v>15538</v>
      </c>
      <c r="G629" s="97" t="s">
        <v>15539</v>
      </c>
      <c r="H629" s="97" t="s">
        <v>15540</v>
      </c>
      <c r="I629" s="97" t="s">
        <v>15541</v>
      </c>
      <c r="J629" s="50" t="str">
        <f t="shared" si="6"/>
        <v>(${Variables:E6.1.1.4_kcat} * E6.1.1.4 * C00002 * C00407 * C01644)/(${Variables:E6.1.1.4_km} + (E6.1.1.4 * C00002 * C00407 * C01644))</v>
      </c>
      <c r="K629" s="98" t="str">
        <f t="shared" si="7"/>
        <v>r929: C00002 + C00407 + C01644 -&gt; C00020 + C00013 + C03127 | (${Variables:E6.1.1.4_kcat} * E6.1.1.4 * C00002 * C00407 * C01644)/(${Variables:E6.1.1.4_km} + (E6.1.1.4 * C00002 * C00407 * C01644))</v>
      </c>
    </row>
    <row r="630" spans="1:11" ht="14">
      <c r="A630" s="50" t="s">
        <v>915</v>
      </c>
      <c r="B630" s="50" t="s">
        <v>916</v>
      </c>
      <c r="C630" s="56" t="s">
        <v>15542</v>
      </c>
      <c r="D630" s="50">
        <v>930</v>
      </c>
      <c r="E630" s="50" t="str">
        <f t="shared" si="8"/>
        <v>E6.1.1.5</v>
      </c>
      <c r="F630" s="97" t="s">
        <v>15543</v>
      </c>
      <c r="G630" s="97" t="s">
        <v>15544</v>
      </c>
      <c r="H630" s="97" t="s">
        <v>15545</v>
      </c>
      <c r="I630" s="97" t="s">
        <v>15546</v>
      </c>
      <c r="J630" s="50" t="str">
        <f t="shared" si="6"/>
        <v>(${Variables:E6.1.1.5_kcat} * E6.1.1.5 * C00002 * C00047 * C01646)/(${Variables:E6.1.1.5_km} + (E6.1.1.5 * C00002 * C00047 * C01646))</v>
      </c>
      <c r="K630" s="98" t="str">
        <f t="shared" si="7"/>
        <v>r930: C00002 + C00047 + C01646 -&gt; C00020 + C00013 + C01931 | (${Variables:E6.1.1.5_kcat} * E6.1.1.5 * C00002 * C00047 * C01646)/(${Variables:E6.1.1.5_km} + (E6.1.1.5 * C00002 * C00047 * C01646))</v>
      </c>
    </row>
    <row r="631" spans="1:11" ht="14">
      <c r="A631" s="100"/>
      <c r="B631" s="50" t="s">
        <v>6097</v>
      </c>
      <c r="C631" s="56" t="s">
        <v>15547</v>
      </c>
      <c r="D631" s="50">
        <v>931</v>
      </c>
      <c r="E631" s="50" t="str">
        <f t="shared" si="8"/>
        <v>E6.1.1.6</v>
      </c>
      <c r="F631" s="97" t="s">
        <v>15548</v>
      </c>
      <c r="G631" s="97" t="s">
        <v>15549</v>
      </c>
      <c r="H631" s="97" t="s">
        <v>15550</v>
      </c>
      <c r="I631" s="97" t="s">
        <v>15551</v>
      </c>
      <c r="J631" s="50" t="str">
        <f t="shared" si="6"/>
        <v>(${Variables:E6.1.1.6_kcat} * E6.1.1.6 * C00002 * C00041 * C01635)/(${Variables:E6.1.1.6_km} + (E6.1.1.6 * C00002 * C00041 * C01635))</v>
      </c>
      <c r="K631" s="98" t="str">
        <f t="shared" si="7"/>
        <v>r931: C00002 + C00041 + C01635 -&gt; C00020 + C00013 + C00886 | (${Variables:E6.1.1.6_kcat} * E6.1.1.6 * C00002 * C00041 * C01635)/(${Variables:E6.1.1.6_km} + (E6.1.1.6 * C00002 * C00041 * C01635))</v>
      </c>
    </row>
    <row r="632" spans="1:11" ht="14">
      <c r="A632" s="50" t="s">
        <v>7019</v>
      </c>
      <c r="B632" s="50" t="s">
        <v>7020</v>
      </c>
      <c r="C632" s="56" t="s">
        <v>15552</v>
      </c>
      <c r="D632" s="50">
        <v>932</v>
      </c>
      <c r="E632" s="50" t="str">
        <f t="shared" si="8"/>
        <v>E6.1.1.7</v>
      </c>
      <c r="F632" s="97" t="s">
        <v>15553</v>
      </c>
      <c r="G632" s="97" t="s">
        <v>15554</v>
      </c>
      <c r="H632" s="97" t="s">
        <v>15555</v>
      </c>
      <c r="I632" s="97" t="s">
        <v>15556</v>
      </c>
      <c r="J632" s="50" t="str">
        <f t="shared" si="6"/>
        <v>(${Variables:E6.1.1.7_kcat} * E6.1.1.7 * C00002 * C00183 * C01653)/(${Variables:E6.1.1.7_km} + (E6.1.1.7 * C00002 * C00183 * C01653))</v>
      </c>
      <c r="K632" s="98" t="str">
        <f t="shared" si="7"/>
        <v>r932: C00002 + C00183 + C01653 -&gt; C00020 + C00013 + C02554 | (${Variables:E6.1.1.7_kcat} * E6.1.1.7 * C00002 * C00183 * C01653)/(${Variables:E6.1.1.7_km} + (E6.1.1.7 * C00002 * C00183 * C01653))</v>
      </c>
    </row>
    <row r="633" spans="1:11" ht="14">
      <c r="A633" s="50" t="s">
        <v>817</v>
      </c>
      <c r="B633" s="50" t="s">
        <v>818</v>
      </c>
      <c r="C633" s="56" t="s">
        <v>15557</v>
      </c>
      <c r="D633" s="50">
        <v>933</v>
      </c>
      <c r="E633" s="50" t="str">
        <f t="shared" si="8"/>
        <v>E6.1.1.9</v>
      </c>
      <c r="F633" s="97" t="s">
        <v>15558</v>
      </c>
      <c r="G633" s="97" t="s">
        <v>15559</v>
      </c>
      <c r="H633" s="97" t="s">
        <v>15560</v>
      </c>
      <c r="I633" s="97" t="s">
        <v>15561</v>
      </c>
      <c r="J633" s="50" t="str">
        <f t="shared" si="6"/>
        <v>(${Variables:E6.1.1.9_kcat} * E6.1.1.9 * C00002 * C00033 * C04298)/(${Variables:E6.1.1.9_km} + (E6.1.1.9 * C00002 * C00033 * C04298))</v>
      </c>
      <c r="K633" s="98" t="str">
        <f t="shared" si="7"/>
        <v>r933: C00002 + C00033 + C04298 -&gt; C00020 + C00013 + C04334 | (${Variables:E6.1.1.9_kcat} * E6.1.1.9 * C00002 * C00033 * C04298)/(${Variables:E6.1.1.9_km} + (E6.1.1.9 * C00002 * C00033 * C04298))</v>
      </c>
    </row>
    <row r="634" spans="1:11" ht="14">
      <c r="A634" s="50" t="s">
        <v>2625</v>
      </c>
      <c r="B634" s="50" t="s">
        <v>2626</v>
      </c>
      <c r="C634" s="56" t="s">
        <v>15562</v>
      </c>
      <c r="D634" s="50">
        <v>934</v>
      </c>
      <c r="E634" s="50" t="str">
        <f t="shared" si="8"/>
        <v>E6.2.1.22</v>
      </c>
      <c r="F634" s="97" t="s">
        <v>15563</v>
      </c>
      <c r="G634" s="97" t="s">
        <v>15564</v>
      </c>
      <c r="H634" s="97" t="s">
        <v>15565</v>
      </c>
      <c r="I634" s="97" t="s">
        <v>15566</v>
      </c>
      <c r="J634" s="50" t="str">
        <f t="shared" si="6"/>
        <v>(${Variables:E6.2.1.22_kcat} * E6.2.1.22 * C00002 * C00025 * C00014)/(${Variables:E6.2.1.22_km} + (E6.2.1.22 * C00002 * C00025 * C00014))</v>
      </c>
      <c r="K634" s="98" t="str">
        <f t="shared" si="7"/>
        <v>r934: C00002 + C00025 + C00014 -&gt; C00008 + C00009 + C00064 | (${Variables:E6.2.1.22_kcat} * E6.2.1.22 * C00002 * C00025 * C00014)/(${Variables:E6.2.1.22_km} + (E6.2.1.22 * C00002 * C00025 * C00014))</v>
      </c>
    </row>
    <row r="635" spans="1:11" ht="14">
      <c r="A635" s="50" t="s">
        <v>2023</v>
      </c>
      <c r="B635" s="50" t="s">
        <v>2024</v>
      </c>
      <c r="C635" s="56" t="s">
        <v>15567</v>
      </c>
      <c r="D635" s="50">
        <v>935</v>
      </c>
      <c r="E635" s="50" t="str">
        <f t="shared" si="8"/>
        <v>E6.3.1.2</v>
      </c>
      <c r="F635" s="97" t="s">
        <v>15568</v>
      </c>
      <c r="G635" s="97" t="s">
        <v>15569</v>
      </c>
      <c r="H635" s="97" t="s">
        <v>15570</v>
      </c>
      <c r="I635" s="97" t="s">
        <v>15571</v>
      </c>
      <c r="J635" s="50" t="str">
        <f t="shared" si="6"/>
        <v>(${Variables:E6.3.1.2_kcat} * E6.3.1.2 * C00002 * C16241 * C16240)/(${Variables:E6.3.1.2_km} + (E6.3.1.2 * C00002 * C16241 * C16240))</v>
      </c>
      <c r="K635" s="98" t="str">
        <f t="shared" si="7"/>
        <v>r935: C00002 + C16241 + C16240 -&gt; C16237 + C00020 + C00013 | (${Variables:E6.3.1.2_kcat} * E6.3.1.2 * C00002 * C16241 * C16240)/(${Variables:E6.3.1.2_km} + (E6.3.1.2 * C00002 * C16241 * C16240))</v>
      </c>
    </row>
    <row r="636" spans="1:11" ht="14">
      <c r="A636" s="50" t="s">
        <v>1477</v>
      </c>
      <c r="B636" s="50" t="s">
        <v>1478</v>
      </c>
      <c r="C636" s="56" t="s">
        <v>15572</v>
      </c>
      <c r="D636" s="50">
        <v>936</v>
      </c>
      <c r="E636" s="50" t="str">
        <f t="shared" si="8"/>
        <v>E6.3.1.20</v>
      </c>
      <c r="F636" s="97" t="s">
        <v>15573</v>
      </c>
      <c r="G636" s="97" t="s">
        <v>15574</v>
      </c>
      <c r="H636" s="97" t="s">
        <v>15575</v>
      </c>
      <c r="I636" s="97" t="s">
        <v>15576</v>
      </c>
      <c r="J636" s="50" t="str">
        <f t="shared" si="6"/>
        <v>(${Variables:E6.3.1.20_kcat} * E6.3.1.20 * C00002 * C00857 * C00014)/(${Variables:E6.3.1.20_km} + (E6.3.1.20 * C00002 * C00857 * C00014))</v>
      </c>
      <c r="K636" s="98" t="str">
        <f t="shared" si="7"/>
        <v>r936: C00002 + C00857 + C00014 -&gt; C00020 + C00013 + C00003 | (${Variables:E6.3.1.20_kcat} * E6.3.1.20 * C00002 * C00857 * C00014)/(${Variables:E6.3.1.20_km} + (E6.3.1.20 * C00002 * C00857 * C00014))</v>
      </c>
    </row>
    <row r="637" spans="1:11" ht="14">
      <c r="A637" s="50" t="s">
        <v>1477</v>
      </c>
      <c r="B637" s="50" t="s">
        <v>1478</v>
      </c>
      <c r="C637" s="56" t="s">
        <v>15577</v>
      </c>
      <c r="D637" s="50">
        <v>937</v>
      </c>
      <c r="E637" s="50" t="str">
        <f t="shared" si="8"/>
        <v>E6.3.1.20</v>
      </c>
      <c r="F637" s="97" t="s">
        <v>15578</v>
      </c>
      <c r="G637" s="97" t="s">
        <v>15579</v>
      </c>
      <c r="H637" s="97" t="s">
        <v>15580</v>
      </c>
      <c r="I637" s="97" t="s">
        <v>15581</v>
      </c>
      <c r="J637" s="50" t="str">
        <f t="shared" si="6"/>
        <v>(${Variables:E6.3.1.20_kcat} * E6.3.1.20 * C00002 * C06423 * C22158)/(${Variables:E6.3.1.20_km} + (E6.3.1.20 * C00002 * C06423 * C22158))</v>
      </c>
      <c r="K637" s="98" t="str">
        <f t="shared" si="7"/>
        <v>r937: C00002 + C06423 + C22158 -&gt; C22160 + C00020 + C00013 | (${Variables:E6.3.1.20_kcat} * E6.3.1.20 * C00002 * C06423 * C22158)/(${Variables:E6.3.1.20_km} + (E6.3.1.20 * C00002 * C06423 * C22158))</v>
      </c>
    </row>
    <row r="638" spans="1:11" ht="14">
      <c r="A638" s="50" t="s">
        <v>1477</v>
      </c>
      <c r="B638" s="50" t="s">
        <v>1478</v>
      </c>
      <c r="C638" s="56" t="s">
        <v>15582</v>
      </c>
      <c r="D638" s="50">
        <v>938</v>
      </c>
      <c r="E638" s="50" t="str">
        <f t="shared" si="8"/>
        <v>E6.3.1.20</v>
      </c>
      <c r="F638" s="97" t="s">
        <v>15583</v>
      </c>
      <c r="G638" s="97" t="s">
        <v>15584</v>
      </c>
      <c r="H638" s="97" t="s">
        <v>15585</v>
      </c>
      <c r="I638" s="97" t="s">
        <v>15586</v>
      </c>
      <c r="J638" s="50" t="str">
        <f t="shared" si="6"/>
        <v>(${Variables:E6.3.1.20_kcat} * E6.3.1.20 * C00002 * C16241)/(${Variables:E6.3.1.20_km} + (E6.3.1.20 * C00002 * C16241))</v>
      </c>
      <c r="K638" s="98" t="str">
        <f t="shared" si="7"/>
        <v>r938: C00002 + C16241 -&gt; C00013 + C16238 | (${Variables:E6.3.1.20_kcat} * E6.3.1.20 * C00002 * C16241)/(${Variables:E6.3.1.20_km} + (E6.3.1.20 * C00002 * C16241))</v>
      </c>
    </row>
    <row r="639" spans="1:11" ht="14">
      <c r="A639" s="50" t="s">
        <v>1477</v>
      </c>
      <c r="B639" s="50" t="s">
        <v>1478</v>
      </c>
      <c r="C639" s="56" t="s">
        <v>15587</v>
      </c>
      <c r="D639" s="50">
        <v>939</v>
      </c>
      <c r="E639" s="50" t="str">
        <f t="shared" si="8"/>
        <v>E6.3.1.20</v>
      </c>
      <c r="F639" s="97" t="s">
        <v>15588</v>
      </c>
      <c r="G639" s="97" t="s">
        <v>15589</v>
      </c>
      <c r="H639" s="97" t="s">
        <v>15590</v>
      </c>
      <c r="I639" s="97" t="s">
        <v>15591</v>
      </c>
      <c r="J639" s="50" t="str">
        <f t="shared" si="6"/>
        <v>(${Variables:E6.3.1.20_kcat} * E6.3.1.20 * C00002 * C16241 * C22157)/(${Variables:E6.3.1.20_km} + (E6.3.1.20 * C00002 * C16241 * C22157))</v>
      </c>
      <c r="K639" s="98" t="str">
        <f t="shared" si="7"/>
        <v>r939: C00002 + C16241 + C22157 -&gt; C02051 + C00020 + C00013 | (${Variables:E6.3.1.20_kcat} * E6.3.1.20 * C00002 * C16241 * C22157)/(${Variables:E6.3.1.20_km} + (E6.3.1.20 * C00002 * C16241 * C22157))</v>
      </c>
    </row>
    <row r="640" spans="1:11" ht="14">
      <c r="A640" s="50" t="s">
        <v>1477</v>
      </c>
      <c r="B640" s="50" t="s">
        <v>1478</v>
      </c>
      <c r="C640" s="56" t="s">
        <v>15592</v>
      </c>
      <c r="D640" s="50">
        <v>940</v>
      </c>
      <c r="E640" s="50" t="str">
        <f t="shared" si="8"/>
        <v>E6.3.1.20</v>
      </c>
      <c r="F640" s="97" t="s">
        <v>15593</v>
      </c>
      <c r="G640" s="97" t="s">
        <v>15594</v>
      </c>
      <c r="H640" s="97" t="s">
        <v>15595</v>
      </c>
      <c r="I640" s="97" t="s">
        <v>15596</v>
      </c>
      <c r="J640" s="50" t="str">
        <f t="shared" si="6"/>
        <v>(${Variables:E6.3.1.20_kcat} * E6.3.1.20 * C00002 * C16241 * C22158)/(${Variables:E6.3.1.20_km} + (E6.3.1.20 * C00002 * C16241 * C22158))</v>
      </c>
      <c r="K640" s="98" t="str">
        <f t="shared" si="7"/>
        <v>r940: C00002 + C16241 + C22158 -&gt; C15972 + C00020 + C00013 | (${Variables:E6.3.1.20_kcat} * E6.3.1.20 * C00002 * C16241 * C22158)/(${Variables:E6.3.1.20_km} + (E6.3.1.20 * C00002 * C16241 * C22158))</v>
      </c>
    </row>
    <row r="641" spans="1:11" ht="14">
      <c r="A641" s="50" t="s">
        <v>1477</v>
      </c>
      <c r="B641" s="50" t="s">
        <v>1478</v>
      </c>
      <c r="C641" s="56" t="s">
        <v>15597</v>
      </c>
      <c r="D641" s="50">
        <v>941</v>
      </c>
      <c r="E641" s="50" t="str">
        <f t="shared" si="8"/>
        <v>E6.3.1.20</v>
      </c>
      <c r="F641" s="97" t="s">
        <v>15598</v>
      </c>
      <c r="G641" s="97" t="s">
        <v>15599</v>
      </c>
      <c r="H641" s="97" t="s">
        <v>15600</v>
      </c>
      <c r="I641" s="97" t="s">
        <v>15601</v>
      </c>
      <c r="J641" s="50" t="str">
        <f t="shared" si="6"/>
        <v>(${Variables:E6.3.1.20_kcat} * E6.3.1.20 * C16238 * C16240)/(${Variables:E6.3.1.20_km} + (E6.3.1.20 * C16238 * C16240))</v>
      </c>
      <c r="K641" s="98" t="str">
        <f t="shared" si="7"/>
        <v>r941: C16238 + C16240 -&gt; C16237 + C00020 | (${Variables:E6.3.1.20_kcat} * E6.3.1.20 * C16238 * C16240)/(${Variables:E6.3.1.20_km} + (E6.3.1.20 * C16238 * C16240))</v>
      </c>
    </row>
    <row r="642" spans="1:11" ht="14">
      <c r="A642" s="50" t="s">
        <v>2470</v>
      </c>
      <c r="B642" s="50" t="s">
        <v>2471</v>
      </c>
      <c r="C642" s="56" t="s">
        <v>15602</v>
      </c>
      <c r="D642" s="50">
        <v>942</v>
      </c>
      <c r="E642" s="50" t="str">
        <f t="shared" si="8"/>
        <v>E6.3.1.5</v>
      </c>
      <c r="F642" s="97" t="s">
        <v>15603</v>
      </c>
      <c r="G642" s="97" t="s">
        <v>15604</v>
      </c>
      <c r="H642" s="97" t="s">
        <v>15605</v>
      </c>
      <c r="I642" s="97" t="s">
        <v>15606</v>
      </c>
      <c r="J642" s="50" t="str">
        <f t="shared" si="6"/>
        <v>(${Variables:E6.3.1.5_kcat} * E6.3.1.5 * C00002 * C05892 * C00993)/(${Variables:E6.3.1.5_km} + (E6.3.1.5 * C00002 * C05892 * C00993))</v>
      </c>
      <c r="K642" s="98" t="str">
        <f t="shared" si="7"/>
        <v>r942: C00002 + C05892 + C00993 -&gt; C00008 + C00009 + C04702 | (${Variables:E6.3.1.5_kcat} * E6.3.1.5 * C00002 * C05892 * C00993)/(${Variables:E6.3.1.5_km} + (E6.3.1.5 * C00002 * C05892 * C00993))</v>
      </c>
    </row>
    <row r="643" spans="1:11" ht="14">
      <c r="A643" s="50" t="s">
        <v>6004</v>
      </c>
      <c r="B643" s="50" t="s">
        <v>6005</v>
      </c>
      <c r="C643" s="56" t="s">
        <v>15607</v>
      </c>
      <c r="D643" s="50">
        <v>943</v>
      </c>
      <c r="E643" s="50" t="str">
        <f t="shared" si="8"/>
        <v>E6.3.2.10</v>
      </c>
      <c r="F643" s="97" t="s">
        <v>15608</v>
      </c>
      <c r="G643" s="97" t="s">
        <v>15609</v>
      </c>
      <c r="H643" s="97" t="s">
        <v>15610</v>
      </c>
      <c r="I643" s="97" t="s">
        <v>15611</v>
      </c>
      <c r="J643" s="50" t="str">
        <f t="shared" si="6"/>
        <v>(${Variables:E6.3.2.10_kcat} * E6.3.2.10 * C00002 * C00692 * C00680)/(${Variables:E6.3.2.10_km} + (E6.3.2.10 * C00002 * C00692 * C00680))</v>
      </c>
      <c r="K643" s="98" t="str">
        <f t="shared" si="7"/>
        <v>r943: C00002 + C00692 + C00680 -&gt; C00008 + C00009 + C04877 | (${Variables:E6.3.2.10_kcat} * E6.3.2.10 * C00002 * C00692 * C00680)/(${Variables:E6.3.2.10_km} + (E6.3.2.10 * C00002 * C00692 * C00680))</v>
      </c>
    </row>
    <row r="644" spans="1:11" ht="14">
      <c r="A644" s="50" t="s">
        <v>6004</v>
      </c>
      <c r="B644" s="50" t="s">
        <v>6005</v>
      </c>
      <c r="C644" s="56" t="s">
        <v>15612</v>
      </c>
      <c r="D644" s="50">
        <v>944</v>
      </c>
      <c r="E644" s="50" t="str">
        <f t="shared" si="8"/>
        <v>E6.3.2.10</v>
      </c>
      <c r="F644" s="97" t="s">
        <v>15613</v>
      </c>
      <c r="G644" s="97" t="s">
        <v>15614</v>
      </c>
      <c r="H644" s="97" t="s">
        <v>15615</v>
      </c>
      <c r="I644" s="97" t="s">
        <v>15616</v>
      </c>
      <c r="J644" s="50" t="str">
        <f t="shared" si="6"/>
        <v>(${Variables:E6.3.2.10_kcat} * E6.3.2.10 * C00002 * C04877 * C00993)/(${Variables:E6.3.2.10_km} + (E6.3.2.10 * C00002 * C04877 * C00993))</v>
      </c>
      <c r="K644" s="98" t="str">
        <f t="shared" si="7"/>
        <v>r944: C00002 + C04877 + C00993 -&gt; C00008 + C00009 + C04882 | (${Variables:E6.3.2.10_kcat} * E6.3.2.10 * C00002 * C04877 * C00993)/(${Variables:E6.3.2.10_km} + (E6.3.2.10 * C00002 * C04877 * C00993))</v>
      </c>
    </row>
    <row r="645" spans="1:11" ht="14">
      <c r="A645" s="50" t="s">
        <v>4571</v>
      </c>
      <c r="B645" s="50" t="s">
        <v>4572</v>
      </c>
      <c r="C645" s="56" t="s">
        <v>15617</v>
      </c>
      <c r="D645" s="50">
        <v>945</v>
      </c>
      <c r="E645" s="50" t="str">
        <f t="shared" si="8"/>
        <v>E6.3.2.13</v>
      </c>
      <c r="F645" s="97" t="s">
        <v>17395</v>
      </c>
      <c r="G645" s="97" t="s">
        <v>17396</v>
      </c>
      <c r="H645" s="97" t="s">
        <v>15618</v>
      </c>
      <c r="I645" s="97" t="s">
        <v>15619</v>
      </c>
      <c r="J645" s="50" t="str">
        <f t="shared" si="6"/>
        <v>(${Variables:E6.3.2.13_kcat} * E6.3.2.13 * C00002 * C00133)/(${Variables:E6.3.2.13_km} + (E6.3.2.13 * C00002 * C00133))</v>
      </c>
      <c r="K645" s="98" t="str">
        <f t="shared" si="7"/>
        <v>r945: C00002 + C00133 -&gt; C00008 + C00009 + C00993 | (${Variables:E6.3.2.13_kcat} * E6.3.2.13 * C00002 * C00133)/(${Variables:E6.3.2.13_km} + (E6.3.2.13 * C00002 * C00133))</v>
      </c>
    </row>
    <row r="646" spans="1:11" ht="14">
      <c r="A646" s="50" t="s">
        <v>4770</v>
      </c>
      <c r="B646" s="50" t="s">
        <v>4771</v>
      </c>
      <c r="C646" s="56" t="s">
        <v>15620</v>
      </c>
      <c r="D646" s="50">
        <v>946</v>
      </c>
      <c r="E646" s="50" t="str">
        <f t="shared" si="8"/>
        <v>E6.3.2.4</v>
      </c>
      <c r="F646" s="97" t="s">
        <v>15621</v>
      </c>
      <c r="G646" s="97" t="s">
        <v>15622</v>
      </c>
      <c r="H646" s="97" t="s">
        <v>15623</v>
      </c>
      <c r="I646" s="97" t="s">
        <v>15624</v>
      </c>
      <c r="J646" s="50" t="str">
        <f t="shared" si="6"/>
        <v>(${Variables:E6.3.2.4_kcat} * E6.3.2.4 * C00063 * C03492 * C00097)/(${Variables:E6.3.2.4_km} + (E6.3.2.4 * C00063 * C03492 * C00097))</v>
      </c>
      <c r="K646" s="98" t="str">
        <f t="shared" si="7"/>
        <v>r946: C00063 + C03492 + C00097 -&gt; C00055 + C00013 + C04352 | (${Variables:E6.3.2.4_kcat} * E6.3.2.4 * C00063 * C03492 * C00097)/(${Variables:E6.3.2.4_km} + (E6.3.2.4 * C00063 * C03492 * C00097))</v>
      </c>
    </row>
    <row r="647" spans="1:11" ht="14">
      <c r="A647" s="50" t="s">
        <v>1947</v>
      </c>
      <c r="B647" s="50" t="s">
        <v>1948</v>
      </c>
      <c r="C647" s="56" t="s">
        <v>15625</v>
      </c>
      <c r="D647" s="50">
        <v>947</v>
      </c>
      <c r="E647" s="50" t="str">
        <f t="shared" si="8"/>
        <v>E6.3.2.5</v>
      </c>
      <c r="F647" s="97" t="s">
        <v>15626</v>
      </c>
      <c r="G647" s="97" t="s">
        <v>15627</v>
      </c>
      <c r="H647" s="97" t="s">
        <v>15628</v>
      </c>
      <c r="I647" s="97" t="s">
        <v>15629</v>
      </c>
      <c r="J647" s="50" t="str">
        <f t="shared" si="6"/>
        <v>(${Variables:E6.3.2.5_kcat} * E6.3.2.5 * C00002 * C04751 * C00049)/(${Variables:E6.3.2.5_km} + (E6.3.2.5 * C00002 * C04751 * C00049))</v>
      </c>
      <c r="K647" s="98" t="str">
        <f t="shared" si="7"/>
        <v>r947: C00002 + C04751 + C00049 -&gt; C00008 + C00009 + C04823 | (${Variables:E6.3.2.5_kcat} * E6.3.2.5 * C00002 * C04751 * C00049)/(${Variables:E6.3.2.5_km} + (E6.3.2.5 * C00002 * C04751 * C00049))</v>
      </c>
    </row>
    <row r="648" spans="1:11" ht="14">
      <c r="A648" s="50" t="s">
        <v>2340</v>
      </c>
      <c r="B648" s="50" t="s">
        <v>2341</v>
      </c>
      <c r="C648" s="56" t="s">
        <v>15630</v>
      </c>
      <c r="D648" s="50">
        <v>948</v>
      </c>
      <c r="E648" s="50" t="str">
        <f t="shared" si="8"/>
        <v>E6.3.2.6</v>
      </c>
      <c r="F648" s="97" t="s">
        <v>15631</v>
      </c>
      <c r="G648" s="97" t="s">
        <v>15632</v>
      </c>
      <c r="H648" s="97" t="s">
        <v>15633</v>
      </c>
      <c r="I648" s="97" t="s">
        <v>15634</v>
      </c>
      <c r="J648" s="50" t="str">
        <f t="shared" si="6"/>
        <v>(${Variables:E6.3.2.6_kcat} * E6.3.2.6 * C00002 * C01050 * C00041)/(${Variables:E6.3.2.6_km} + (E6.3.2.6 * C00002 * C01050 * C00041))</v>
      </c>
      <c r="K648" s="98" t="str">
        <f t="shared" si="7"/>
        <v>r948: C00002 + C01050 + C00041 -&gt; C00008 + C00009 + C01212 | (${Variables:E6.3.2.6_kcat} * E6.3.2.6 * C00002 * C01050 * C00041)/(${Variables:E6.3.2.6_km} + (E6.3.2.6 * C00002 * C01050 * C00041))</v>
      </c>
    </row>
    <row r="649" spans="1:11" ht="14">
      <c r="A649" s="50" t="s">
        <v>2212</v>
      </c>
      <c r="B649" s="50" t="s">
        <v>2213</v>
      </c>
      <c r="C649" s="56" t="s">
        <v>15635</v>
      </c>
      <c r="D649" s="50">
        <v>949</v>
      </c>
      <c r="E649" s="50" t="str">
        <f t="shared" si="8"/>
        <v>E6.3.2.8</v>
      </c>
      <c r="F649" s="97" t="s">
        <v>15636</v>
      </c>
      <c r="G649" s="97" t="s">
        <v>15637</v>
      </c>
      <c r="H649" s="97" t="s">
        <v>15638</v>
      </c>
      <c r="I649" s="97" t="s">
        <v>15639</v>
      </c>
      <c r="J649" s="50" t="str">
        <f t="shared" si="6"/>
        <v>(${Variables:E6.3.2.8_kcat} * E6.3.2.8 * C00002 * C01212 * C00217)/(${Variables:E6.3.2.8_km} + (E6.3.2.8 * C00002 * C01212 * C00217))</v>
      </c>
      <c r="K649" s="98" t="str">
        <f t="shared" si="7"/>
        <v>r949: C00002 + C01212 + C00217 -&gt; C00008 + C00009 + C00692 | (${Variables:E6.3.2.8_kcat} * E6.3.2.8 * C00002 * C01212 * C00217)/(${Variables:E6.3.2.8_km} + (E6.3.2.8 * C00002 * C01212 * C00217))</v>
      </c>
    </row>
    <row r="650" spans="1:11" ht="14">
      <c r="A650" s="50" t="s">
        <v>884</v>
      </c>
      <c r="B650" s="50" t="s">
        <v>885</v>
      </c>
      <c r="C650" s="56" t="s">
        <v>15640</v>
      </c>
      <c r="D650" s="50">
        <v>950</v>
      </c>
      <c r="E650" s="50" t="str">
        <f t="shared" si="8"/>
        <v>E6.3.2.9</v>
      </c>
      <c r="F650" s="97" t="s">
        <v>15641</v>
      </c>
      <c r="G650" s="97" t="s">
        <v>15642</v>
      </c>
      <c r="H650" s="97" t="s">
        <v>15643</v>
      </c>
      <c r="I650" s="97" t="s">
        <v>15644</v>
      </c>
      <c r="J650" s="50" t="str">
        <f t="shared" si="6"/>
        <v>(${Variables:E6.3.2.9_kcat} * E6.3.2.9 * C00002 * C04640)/(${Variables:E6.3.2.9_km} + (E6.3.2.9 * C00002 * C04640))</v>
      </c>
      <c r="K650" s="98" t="str">
        <f t="shared" si="7"/>
        <v>r950: C00002 + C04640 -&gt; C00008 + C00009 + C03373 | (${Variables:E6.3.2.9_kcat} * E6.3.2.9 * C00002 * C04640)/(${Variables:E6.3.2.9_km} + (E6.3.2.9 * C00002 * C04640))</v>
      </c>
    </row>
    <row r="651" spans="1:11" ht="14">
      <c r="A651" s="50" t="s">
        <v>2320</v>
      </c>
      <c r="B651" s="50" t="s">
        <v>2321</v>
      </c>
      <c r="C651" s="56" t="s">
        <v>15645</v>
      </c>
      <c r="D651" s="50">
        <v>951</v>
      </c>
      <c r="E651" s="50" t="str">
        <f t="shared" si="8"/>
        <v>E6.3.3.1</v>
      </c>
      <c r="F651" s="97" t="s">
        <v>15646</v>
      </c>
      <c r="G651" s="97" t="s">
        <v>15647</v>
      </c>
      <c r="H651" s="97" t="s">
        <v>15648</v>
      </c>
      <c r="I651" s="97" t="s">
        <v>15649</v>
      </c>
      <c r="J651" s="50" t="str">
        <f t="shared" si="6"/>
        <v>(${Variables:E6.3.3.1_kcat} * E6.3.3.1 * C00002 * C03479 * C00080)/(${Variables:E6.3.3.1_km} + (E6.3.3.1 * C00002 * C03479 * C00080))</v>
      </c>
      <c r="K651" s="98" t="str">
        <f t="shared" si="7"/>
        <v>r951: C00002 + C03479 + C00080 -&gt; C00008 + C00009 + C00445 | (${Variables:E6.3.3.1_kcat} * E6.3.3.1 * C00002 * C03479 * C00080)/(${Variables:E6.3.3.1_km} + (E6.3.3.1 * C00002 * C03479 * C00080))</v>
      </c>
    </row>
    <row r="652" spans="1:11" ht="14">
      <c r="A652" s="50" t="s">
        <v>6899</v>
      </c>
      <c r="B652" s="50" t="s">
        <v>6900</v>
      </c>
      <c r="C652" s="56" t="s">
        <v>15650</v>
      </c>
      <c r="D652" s="50">
        <v>952</v>
      </c>
      <c r="E652" s="50" t="str">
        <f t="shared" si="8"/>
        <v>E6.3.3.2</v>
      </c>
      <c r="F652" s="97" t="s">
        <v>15651</v>
      </c>
      <c r="G652" s="97" t="s">
        <v>15652</v>
      </c>
      <c r="H652" s="97" t="s">
        <v>15653</v>
      </c>
      <c r="I652" s="97" t="s">
        <v>15654</v>
      </c>
      <c r="J652" s="50" t="str">
        <f t="shared" si="6"/>
        <v>(${Variables:E6.3.3.2_kcat} * E6.3.3.2 * C00002 * C03090 * C00037)/(${Variables:E6.3.3.2_km} + (E6.3.3.2 * C00002 * C03090 * C00037))</v>
      </c>
      <c r="K652" s="98" t="str">
        <f t="shared" si="7"/>
        <v>r952: C00002 + C03090 + C00037 -&gt; C00008 + C00009 + C03838 | (${Variables:E6.3.3.2_kcat} * E6.3.3.2 * C00002 * C03090 * C00037)/(${Variables:E6.3.3.2_km} + (E6.3.3.2 * C00002 * C03090 * C00037))</v>
      </c>
    </row>
    <row r="653" spans="1:11" ht="14">
      <c r="A653" s="50" t="s">
        <v>2308</v>
      </c>
      <c r="B653" s="50" t="s">
        <v>2309</v>
      </c>
      <c r="C653" s="56" t="s">
        <v>15655</v>
      </c>
      <c r="D653" s="50">
        <v>953</v>
      </c>
      <c r="E653" s="50" t="str">
        <f t="shared" si="8"/>
        <v>E6.3.4.13</v>
      </c>
      <c r="F653" s="97" t="s">
        <v>15656</v>
      </c>
      <c r="G653" s="97" t="s">
        <v>15657</v>
      </c>
      <c r="H653" s="97" t="s">
        <v>15658</v>
      </c>
      <c r="I653" s="97" t="s">
        <v>15659</v>
      </c>
      <c r="J653" s="50" t="str">
        <f t="shared" si="6"/>
        <v>(${Variables:E6.3.4.13_kcat} * E6.3.4.13 * C00002 * C00120 * C04735)/(${Variables:E6.3.4.13_km} + (E6.3.4.13 * C00002 * C00120 * C04735))</v>
      </c>
      <c r="K653" s="98" t="str">
        <f t="shared" si="7"/>
        <v>r953: C00002 + C00120 + C04735 -&gt; C00020 + C00013 + C04681 | (${Variables:E6.3.4.13_kcat} * E6.3.4.13 * C00002 * C00120 * C04735)/(${Variables:E6.3.4.13_km} + (E6.3.4.13 * C00002 * C00120 * C04735))</v>
      </c>
    </row>
    <row r="654" spans="1:11" ht="14">
      <c r="A654" s="50" t="s">
        <v>7110</v>
      </c>
      <c r="B654" s="50" t="s">
        <v>7111</v>
      </c>
      <c r="C654" s="56" t="s">
        <v>15660</v>
      </c>
      <c r="D654" s="50">
        <v>954</v>
      </c>
      <c r="E654" s="50" t="str">
        <f t="shared" si="8"/>
        <v>E6.3.4.15</v>
      </c>
      <c r="F654" s="97" t="s">
        <v>15661</v>
      </c>
      <c r="G654" s="97" t="s">
        <v>15662</v>
      </c>
      <c r="H654" s="97" t="s">
        <v>15663</v>
      </c>
      <c r="I654" s="97" t="s">
        <v>15664</v>
      </c>
      <c r="J654" s="50" t="str">
        <f t="shared" si="6"/>
        <v>(${Variables:E6.3.4.15_kcat} * E6.3.4.15 * C00002 * C00120)/(${Variables:E6.3.4.15_km} + (E6.3.4.15 * C00002 * C00120))</v>
      </c>
      <c r="K654" s="98" t="str">
        <f t="shared" si="7"/>
        <v>r954: C00002 + C00120 -&gt; C00013 + C05921 | (${Variables:E6.3.4.15_kcat} * E6.3.4.15 * C00002 * C00120)/(${Variables:E6.3.4.15_km} + (E6.3.4.15 * C00002 * C00120))</v>
      </c>
    </row>
    <row r="655" spans="1:11" ht="14">
      <c r="A655" s="50" t="s">
        <v>7110</v>
      </c>
      <c r="B655" s="50" t="s">
        <v>7111</v>
      </c>
      <c r="C655" s="56" t="s">
        <v>15665</v>
      </c>
      <c r="D655" s="50">
        <v>955</v>
      </c>
      <c r="E655" s="50" t="str">
        <f t="shared" si="8"/>
        <v>E6.3.4.15</v>
      </c>
      <c r="F655" s="97" t="s">
        <v>15666</v>
      </c>
      <c r="G655" s="97" t="s">
        <v>15667</v>
      </c>
      <c r="H655" s="97" t="s">
        <v>15668</v>
      </c>
      <c r="I655" s="97" t="s">
        <v>15669</v>
      </c>
      <c r="J655" s="50" t="str">
        <f t="shared" si="6"/>
        <v>(${Variables:E6.3.4.15_kcat} * E6.3.4.15 * C00002 * C03373 * C00288)/(${Variables:E6.3.4.15_km} + (E6.3.4.15 * C00002 * C03373 * C00288))</v>
      </c>
      <c r="K655" s="98" t="str">
        <f t="shared" si="7"/>
        <v>r955: C00002 + C03373 + C00288 -&gt; C00008 + C00009 + C15667 | (${Variables:E6.3.4.15_kcat} * E6.3.4.15 * C00002 * C03373 * C00288)/(${Variables:E6.3.4.15_km} + (E6.3.4.15 * C00002 * C03373 * C00288))</v>
      </c>
    </row>
    <row r="656" spans="1:11" ht="14">
      <c r="A656" s="50" t="s">
        <v>7110</v>
      </c>
      <c r="B656" s="50" t="s">
        <v>7111</v>
      </c>
      <c r="C656" s="56" t="s">
        <v>15670</v>
      </c>
      <c r="D656" s="50">
        <v>956</v>
      </c>
      <c r="E656" s="50" t="str">
        <f t="shared" si="8"/>
        <v>E6.3.4.15</v>
      </c>
      <c r="F656" s="97" t="s">
        <v>15671</v>
      </c>
      <c r="G656" s="97" t="s">
        <v>15672</v>
      </c>
      <c r="H656" s="97" t="s">
        <v>15673</v>
      </c>
      <c r="I656" s="97" t="s">
        <v>15674</v>
      </c>
      <c r="J656" s="50" t="str">
        <f t="shared" si="6"/>
        <v>(${Variables:E6.3.4.15_kcat} * E6.3.4.15 * C05921 * C06249)/(${Variables:E6.3.4.15_km} + (E6.3.4.15 * C05921 * C06249))</v>
      </c>
      <c r="K656" s="98" t="str">
        <f t="shared" si="7"/>
        <v>r956: C05921 + C06249 -&gt; C00020 + C06250 | (${Variables:E6.3.4.15_kcat} * E6.3.4.15 * C05921 * C06249)/(${Variables:E6.3.4.15_km} + (E6.3.4.15 * C05921 * C06249))</v>
      </c>
    </row>
    <row r="657" spans="1:11" ht="14">
      <c r="A657" s="50" t="s">
        <v>2344</v>
      </c>
      <c r="B657" s="50" t="s">
        <v>2345</v>
      </c>
      <c r="C657" s="56" t="s">
        <v>15675</v>
      </c>
      <c r="D657" s="50">
        <v>957</v>
      </c>
      <c r="E657" s="50" t="str">
        <f t="shared" si="8"/>
        <v>E6.3.4.18</v>
      </c>
      <c r="F657" s="97" t="s">
        <v>15676</v>
      </c>
      <c r="G657" s="97" t="s">
        <v>15677</v>
      </c>
      <c r="H657" s="97" t="s">
        <v>15678</v>
      </c>
      <c r="I657" s="97" t="s">
        <v>15679</v>
      </c>
      <c r="J657" s="50" t="str">
        <f t="shared" si="6"/>
        <v>(${Variables:E6.3.4.18_kcat} * E6.3.4.18 * C19722 * C00047 * C00002)/(${Variables:E6.3.4.18_km} + (E6.3.4.18 * C19722 * C00047 * C00002))</v>
      </c>
      <c r="K657" s="98" t="str">
        <f t="shared" si="7"/>
        <v>r957: C19722 + C00047 + C00002 -&gt; C19723 + C00020 + C00013 + C00001 | (${Variables:E6.3.4.18_kcat} * E6.3.4.18 * C19722 * C00047 * C00002)/(${Variables:E6.3.4.18_km} + (E6.3.4.18 * C19722 * C00047 * C00002))</v>
      </c>
    </row>
    <row r="658" spans="1:11" ht="14">
      <c r="A658" s="50" t="s">
        <v>5987</v>
      </c>
      <c r="B658" s="50" t="s">
        <v>5988</v>
      </c>
      <c r="C658" s="56" t="s">
        <v>15680</v>
      </c>
      <c r="D658" s="50">
        <v>959</v>
      </c>
      <c r="E658" s="50" t="str">
        <f t="shared" si="8"/>
        <v>E6.3.4.2</v>
      </c>
      <c r="F658" s="97" t="s">
        <v>15681</v>
      </c>
      <c r="G658" s="97" t="s">
        <v>15682</v>
      </c>
      <c r="H658" s="97" t="s">
        <v>15683</v>
      </c>
      <c r="I658" s="97" t="s">
        <v>15684</v>
      </c>
      <c r="J658" s="50" t="str">
        <f t="shared" si="6"/>
        <v>(${Variables:E6.3.4.2_kcat} * E6.3.4.2 * C00002 * C00075 * C00014)/(${Variables:E6.3.4.2_km} + (E6.3.4.2 * C00002 * C00075 * C00014))</v>
      </c>
      <c r="K658" s="98" t="str">
        <f t="shared" si="7"/>
        <v>r959: C00002 + C00075 + C00014 -&gt; C00008 + C00009 + C00063 | (${Variables:E6.3.4.2_kcat} * E6.3.4.2 * C00002 * C00075 * C00014)/(${Variables:E6.3.4.2_km} + (E6.3.4.2 * C00002 * C00075 * C00014))</v>
      </c>
    </row>
    <row r="659" spans="1:11" ht="14">
      <c r="A659" s="50" t="s">
        <v>5987</v>
      </c>
      <c r="B659" s="50" t="s">
        <v>5988</v>
      </c>
      <c r="C659" s="56" t="s">
        <v>15685</v>
      </c>
      <c r="D659" s="50">
        <v>960</v>
      </c>
      <c r="E659" s="50" t="str">
        <f t="shared" si="8"/>
        <v>E6.3.4.2</v>
      </c>
      <c r="F659" s="97" t="s">
        <v>15686</v>
      </c>
      <c r="G659" s="97" t="s">
        <v>15687</v>
      </c>
      <c r="H659" s="97" t="s">
        <v>15688</v>
      </c>
      <c r="I659" s="97" t="s">
        <v>15689</v>
      </c>
      <c r="J659" s="50" t="str">
        <f t="shared" si="6"/>
        <v>(${Variables:E6.3.4.2_kcat} * E6.3.4.2 * C00002 * C00075 * C00064 * C00001)/(${Variables:E6.3.4.2_km} + (E6.3.4.2 * C00002 * C00075 * C00064 * C00001))</v>
      </c>
      <c r="K659" s="98" t="str">
        <f t="shared" si="7"/>
        <v>r960: C00002 + C00075 + C00064 + C00001 -&gt; C00008 + C00009 + C00063 + C00025 | (${Variables:E6.3.4.2_kcat} * E6.3.4.2 * C00002 * C00075 * C00064 * C00001)/(${Variables:E6.3.4.2_km} + (E6.3.4.2 * C00002 * C00075 * C00064 * C00001))</v>
      </c>
    </row>
    <row r="660" spans="1:11" ht="14">
      <c r="A660" s="50" t="s">
        <v>5987</v>
      </c>
      <c r="B660" s="50" t="s">
        <v>5988</v>
      </c>
      <c r="C660" s="56" t="s">
        <v>15690</v>
      </c>
      <c r="D660" s="50">
        <v>961</v>
      </c>
      <c r="E660" s="50" t="str">
        <f t="shared" si="8"/>
        <v>E6.3.4.2</v>
      </c>
      <c r="F660" s="97" t="s">
        <v>15691</v>
      </c>
      <c r="G660" s="97" t="s">
        <v>15692</v>
      </c>
      <c r="H660" s="97" t="s">
        <v>15693</v>
      </c>
      <c r="I660" s="97" t="s">
        <v>15694</v>
      </c>
      <c r="J660" s="50" t="str">
        <f t="shared" si="6"/>
        <v>(${Variables:E6.3.4.2_kcat} * E6.3.4.2 * C01185 * C00013 * C00008 * C00009)/(${Variables:E6.3.4.2_km} + (E6.3.4.2 * C01185 * C00013 * C00008 * C00009))</v>
      </c>
      <c r="K660" s="98" t="str">
        <f t="shared" si="7"/>
        <v>r961: C01185 + C00013 + C00008 + C00009 -&gt; C00253 + C00119 + C00002 + C00001 + C00080 | (${Variables:E6.3.4.2_kcat} * E6.3.4.2 * C01185 * C00013 * C00008 * C00009)/(${Variables:E6.3.4.2_km} + (E6.3.4.2 * C01185 * C00013 * C00008 * C00009))</v>
      </c>
    </row>
    <row r="661" spans="1:11" ht="14">
      <c r="A661" s="50" t="s">
        <v>5465</v>
      </c>
      <c r="B661" s="50" t="s">
        <v>5466</v>
      </c>
      <c r="C661" s="56" t="s">
        <v>15695</v>
      </c>
      <c r="D661" s="50">
        <v>963</v>
      </c>
      <c r="E661" s="50" t="str">
        <f t="shared" si="8"/>
        <v>E6.3.4.21</v>
      </c>
      <c r="F661" s="97" t="s">
        <v>15696</v>
      </c>
      <c r="G661" s="97" t="s">
        <v>15697</v>
      </c>
      <c r="H661" s="97" t="s">
        <v>15698</v>
      </c>
      <c r="I661" s="97" t="s">
        <v>15699</v>
      </c>
      <c r="J661" s="50" t="str">
        <f t="shared" si="6"/>
        <v>(${Variables:E6.3.4.21_kcat} * E6.3.4.21 * C00101 * C00058 * C00002)/(${Variables:E6.3.4.21_km} + (E6.3.4.21 * C00101 * C00058 * C00002))</v>
      </c>
      <c r="K661" s="98" t="str">
        <f t="shared" si="7"/>
        <v>r963: C00101 + C00058 + C00002 -&gt; C00008 + C00009 + C00234 | (${Variables:E6.3.4.21_kcat} * E6.3.4.21 * C00101 * C00058 * C00002)/(${Variables:E6.3.4.21_km} + (E6.3.4.21 * C00101 * C00058 * C00002))</v>
      </c>
    </row>
    <row r="662" spans="1:11" ht="14">
      <c r="A662" s="50" t="s">
        <v>1442</v>
      </c>
      <c r="B662" s="50" t="s">
        <v>1443</v>
      </c>
      <c r="C662" s="56" t="s">
        <v>15700</v>
      </c>
      <c r="D662" s="50">
        <v>964</v>
      </c>
      <c r="E662" s="50" t="str">
        <f t="shared" si="8"/>
        <v>E6.3.4.3</v>
      </c>
      <c r="F662" s="97" t="s">
        <v>15701</v>
      </c>
      <c r="G662" s="97" t="s">
        <v>15702</v>
      </c>
      <c r="H662" s="97" t="s">
        <v>15703</v>
      </c>
      <c r="I662" s="97" t="s">
        <v>15704</v>
      </c>
      <c r="J662" s="50" t="str">
        <f t="shared" si="6"/>
        <v>(${Variables:E6.3.4.3_kcat} * E6.3.4.3 * C00044 * C00130 * C00049)/(${Variables:E6.3.4.3_km} + (E6.3.4.3 * C00044 * C00130 * C00049))</v>
      </c>
      <c r="K662" s="98" t="str">
        <f t="shared" si="7"/>
        <v>r964: C00044 + C00130 + C00049 -&gt; C00035 + C00009 + C03794 | (${Variables:E6.3.4.3_kcat} * E6.3.4.3 * C00044 * C00130 * C00049)/(${Variables:E6.3.4.3_km} + (E6.3.4.3 * C00044 * C00130 * C00049))</v>
      </c>
    </row>
    <row r="663" spans="1:11" ht="14">
      <c r="A663" s="50" t="s">
        <v>4819</v>
      </c>
      <c r="B663" s="50" t="s">
        <v>4820</v>
      </c>
      <c r="C663" s="56" t="s">
        <v>15705</v>
      </c>
      <c r="D663" s="50">
        <v>965</v>
      </c>
      <c r="E663" s="50" t="str">
        <f t="shared" si="8"/>
        <v>E6.3.4.4</v>
      </c>
      <c r="F663" s="97" t="s">
        <v>15706</v>
      </c>
      <c r="G663" s="97" t="s">
        <v>15707</v>
      </c>
      <c r="H663" s="97" t="s">
        <v>15708</v>
      </c>
      <c r="I663" s="97" t="s">
        <v>15709</v>
      </c>
      <c r="J663" s="50" t="str">
        <f t="shared" si="6"/>
        <v>(${Variables:E6.3.4.4_kcat} * E6.3.4.4 * C00002 * C00327 * C00049)/(${Variables:E6.3.4.4_km} + (E6.3.4.4 * C00002 * C00327 * C00049))</v>
      </c>
      <c r="K663" s="98" t="str">
        <f t="shared" si="7"/>
        <v>r965: C00002 + C00327 + C00049 -&gt; C00020 + C00013 + C03406 | (${Variables:E6.3.4.4_kcat} * E6.3.4.4 * C00002 * C00327 * C00049)/(${Variables:E6.3.4.4_km} + (E6.3.4.4 * C00002 * C00327 * C00049))</v>
      </c>
    </row>
    <row r="664" spans="1:11" ht="14">
      <c r="A664" s="50" t="s">
        <v>2738</v>
      </c>
      <c r="B664" s="50" t="s">
        <v>2739</v>
      </c>
      <c r="C664" s="56" t="s">
        <v>15710</v>
      </c>
      <c r="D664" s="50">
        <v>967</v>
      </c>
      <c r="E664" s="50" t="str">
        <f t="shared" si="8"/>
        <v>E6.3.5.2</v>
      </c>
      <c r="F664" s="97" t="s">
        <v>15711</v>
      </c>
      <c r="G664" s="97" t="s">
        <v>15712</v>
      </c>
      <c r="H664" s="97" t="s">
        <v>15713</v>
      </c>
      <c r="I664" s="97" t="s">
        <v>15714</v>
      </c>
      <c r="J664" s="50" t="str">
        <f t="shared" si="6"/>
        <v>(${Variables:E6.3.5.2_kcat} * E6.3.5.2 * C00002 * C00655 * C00014)/(${Variables:E6.3.5.2_km} + (E6.3.5.2 * C00002 * C00655 * C00014))</v>
      </c>
      <c r="K664" s="98" t="str">
        <f t="shared" si="7"/>
        <v>r967: C00002 + C00655 + C00014 -&gt; C00020 + C00013 + C00144 | (${Variables:E6.3.5.2_kcat} * E6.3.5.2 * C00002 * C00655 * C00014)/(${Variables:E6.3.5.2_km} + (E6.3.5.2 * C00002 * C00655 * C00014))</v>
      </c>
    </row>
    <row r="665" spans="1:11" ht="14">
      <c r="A665" s="50" t="s">
        <v>2738</v>
      </c>
      <c r="B665" s="50" t="s">
        <v>2739</v>
      </c>
      <c r="C665" s="56" t="s">
        <v>15715</v>
      </c>
      <c r="D665" s="50">
        <v>968</v>
      </c>
      <c r="E665" s="50" t="str">
        <f t="shared" si="8"/>
        <v>E6.3.5.2</v>
      </c>
      <c r="F665" s="97" t="s">
        <v>15716</v>
      </c>
      <c r="G665" s="97" t="s">
        <v>15717</v>
      </c>
      <c r="H665" s="97" t="s">
        <v>15718</v>
      </c>
      <c r="I665" s="97" t="s">
        <v>15719</v>
      </c>
      <c r="J665" s="50" t="str">
        <f t="shared" si="6"/>
        <v>(${Variables:E6.3.5.2_kcat} * E6.3.5.2 * C00002 * C00655 * C00064 * C00001)/(${Variables:E6.3.5.2_km} + (E6.3.5.2 * C00002 * C00655 * C00064 * C00001))</v>
      </c>
      <c r="K665" s="98" t="str">
        <f t="shared" si="7"/>
        <v>r968: C00002 + C00655 + C00064 + C00001 -&gt; C00020 + C00013 + C00144 + C00025 | (${Variables:E6.3.5.2_kcat} * E6.3.5.2 * C00002 * C00655 * C00064 * C00001)/(${Variables:E6.3.5.2_km} + (E6.3.5.2 * C00002 * C00655 * C00064 * C00001))</v>
      </c>
    </row>
    <row r="666" spans="1:11" ht="14">
      <c r="A666" s="50" t="s">
        <v>2738</v>
      </c>
      <c r="B666" s="50" t="s">
        <v>2739</v>
      </c>
      <c r="C666" s="56" t="s">
        <v>15720</v>
      </c>
      <c r="D666" s="50">
        <v>969</v>
      </c>
      <c r="E666" s="50" t="str">
        <f t="shared" si="8"/>
        <v>E6.3.5.2</v>
      </c>
      <c r="F666" s="97" t="s">
        <v>15721</v>
      </c>
      <c r="G666" s="97" t="s">
        <v>15722</v>
      </c>
      <c r="H666" s="97" t="s">
        <v>15723</v>
      </c>
      <c r="I666" s="97" t="s">
        <v>15724</v>
      </c>
      <c r="J666" s="50" t="str">
        <f t="shared" si="6"/>
        <v>(${Variables:E6.3.5.2_kcat} * E6.3.5.2 * C00002 * C04376 * C00064 * C00001)/(${Variables:E6.3.5.2_km} + (E6.3.5.2 * C00002 * C04376 * C00064 * C00001))</v>
      </c>
      <c r="K666" s="98" t="str">
        <f t="shared" si="7"/>
        <v>r969: C00002 + C04376 + C00064 + C00001 -&gt; C00008 + C00009 + C04640 + C00025 | (${Variables:E6.3.5.2_kcat} * E6.3.5.2 * C00002 * C04376 * C00064 * C00001)/(${Variables:E6.3.5.2_km} + (E6.3.5.2 * C00002 * C04376 * C00064 * C00001))</v>
      </c>
    </row>
    <row r="667" spans="1:11" ht="14">
      <c r="A667" s="50" t="s">
        <v>2738</v>
      </c>
      <c r="B667" s="50" t="s">
        <v>2739</v>
      </c>
      <c r="C667" s="56" t="s">
        <v>15725</v>
      </c>
      <c r="D667" s="50">
        <v>970</v>
      </c>
      <c r="E667" s="50" t="str">
        <f t="shared" si="8"/>
        <v>E6.3.5.2</v>
      </c>
      <c r="F667" s="97" t="s">
        <v>15726</v>
      </c>
      <c r="G667" s="97" t="s">
        <v>15727</v>
      </c>
      <c r="H667" s="97" t="s">
        <v>15728</v>
      </c>
      <c r="I667" s="97" t="s">
        <v>15729</v>
      </c>
      <c r="J667" s="50" t="str">
        <f t="shared" si="6"/>
        <v>(${Variables:E6.3.5.2_kcat} * E6.3.5.2 * C16618 * C00002 * C00064 * C00001)/(${Variables:E6.3.5.2_km} + (E6.3.5.2 * C16618 * C00002 * C00064 * C00001))</v>
      </c>
      <c r="K667" s="98" t="str">
        <f t="shared" si="7"/>
        <v>r970: C16618 + C00002 + C00064 + C00001 -&gt; C16619 + C00020 + C00013 + C00025 | (${Variables:E6.3.5.2_kcat} * E6.3.5.2 * C16618 * C00002 * C00064 * C00001)/(${Variables:E6.3.5.2_km} + (E6.3.5.2 * C16618 * C00002 * C00064 * C00001))</v>
      </c>
    </row>
    <row r="668" spans="1:11" ht="14">
      <c r="A668" s="50" t="s">
        <v>3240</v>
      </c>
      <c r="B668" s="50" t="s">
        <v>3241</v>
      </c>
      <c r="C668" s="56" t="s">
        <v>15730</v>
      </c>
      <c r="D668" s="50">
        <v>974</v>
      </c>
      <c r="E668" s="50" t="str">
        <f t="shared" si="8"/>
        <v>E6.3.5.4</v>
      </c>
      <c r="F668" s="97" t="s">
        <v>15731</v>
      </c>
      <c r="G668" s="97" t="s">
        <v>15732</v>
      </c>
      <c r="H668" s="97" t="s">
        <v>15733</v>
      </c>
      <c r="I668" s="97" t="s">
        <v>15734</v>
      </c>
      <c r="J668" s="50" t="str">
        <f t="shared" si="6"/>
        <v>(${Variables:E6.3.5.4_kcat} * E6.3.5.4 * C00002 * C00049 * C00014)/(${Variables:E6.3.5.4_km} + (E6.3.5.4 * C00002 * C00049 * C00014))</v>
      </c>
      <c r="K668" s="98" t="str">
        <f t="shared" si="7"/>
        <v>r974: C00002 + C00049 + C00014 -&gt; C00020 + C00013 + C00152 | (${Variables:E6.3.5.4_kcat} * E6.3.5.4 * C00002 * C00049 * C00014)/(${Variables:E6.3.5.4_km} + (E6.3.5.4 * C00002 * C00049 * C00014))</v>
      </c>
    </row>
    <row r="669" spans="1:11" ht="14">
      <c r="A669" s="50" t="s">
        <v>3240</v>
      </c>
      <c r="B669" s="50" t="s">
        <v>3241</v>
      </c>
      <c r="C669" s="56" t="s">
        <v>15735</v>
      </c>
      <c r="D669" s="50">
        <v>975</v>
      </c>
      <c r="E669" s="50" t="str">
        <f t="shared" si="8"/>
        <v>E6.3.5.4</v>
      </c>
      <c r="F669" s="97" t="s">
        <v>15736</v>
      </c>
      <c r="G669" s="97" t="s">
        <v>15737</v>
      </c>
      <c r="H669" s="97" t="s">
        <v>15738</v>
      </c>
      <c r="I669" s="97" t="s">
        <v>15739</v>
      </c>
      <c r="J669" s="50" t="str">
        <f t="shared" si="6"/>
        <v>(${Variables:E6.3.5.4_kcat} * E6.3.5.4 * C00002 * C00049 * C00064 * C00001)/(${Variables:E6.3.5.4_km} + (E6.3.5.4 * C00002 * C00049 * C00064 * C00001))</v>
      </c>
      <c r="K669" s="98" t="str">
        <f t="shared" si="7"/>
        <v>r975: C00002 + C00049 + C00064 + C00001 -&gt; C00020 + C00013 + C00152 + C00025 | (${Variables:E6.3.5.4_kcat} * E6.3.5.4 * C00002 * C00049 * C00064 * C00001)/(${Variables:E6.3.5.4_km} + (E6.3.5.4 * C00002 * C00049 * C00064 * C00001))</v>
      </c>
    </row>
    <row r="670" spans="1:11" ht="14">
      <c r="A670" s="50" t="s">
        <v>1416</v>
      </c>
      <c r="B670" s="50" t="s">
        <v>1417</v>
      </c>
      <c r="C670" s="56" t="s">
        <v>15740</v>
      </c>
      <c r="D670" s="50">
        <v>977</v>
      </c>
      <c r="E670" s="50" t="str">
        <f t="shared" si="8"/>
        <v>E6.3.5.5</v>
      </c>
      <c r="F670" s="97" t="s">
        <v>17397</v>
      </c>
      <c r="G670" s="97" t="s">
        <v>17398</v>
      </c>
      <c r="H670" s="97" t="s">
        <v>17399</v>
      </c>
      <c r="I670" s="97" t="s">
        <v>17400</v>
      </c>
      <c r="J670" s="50" t="str">
        <f t="shared" si="6"/>
        <v>(${Variables:E6.3.5.5_kcat} * E6.3.5.5 * C00002 * C00064 * C00288 * C00001)/(${Variables:E6.3.5.5_km} + (E6.3.5.5 * C00002 * C00064 * C00288 * C00001))</v>
      </c>
      <c r="K670" s="98" t="str">
        <f t="shared" si="7"/>
        <v>r977: C00002 + C00064 + C00288 + C00001 -&gt; C00008 + C00009 + C00025 + C00169 | (${Variables:E6.3.5.5_kcat} * E6.3.5.5 * C00002 * C00064 * C00288 * C00001)/(${Variables:E6.3.5.5_km} + (E6.3.5.5 * C00002 * C00064 * C00288 * C00001))</v>
      </c>
    </row>
    <row r="671" spans="1:11" ht="14">
      <c r="A671" s="50" t="s">
        <v>1416</v>
      </c>
      <c r="B671" s="50" t="s">
        <v>1417</v>
      </c>
      <c r="C671" s="56" t="s">
        <v>15741</v>
      </c>
      <c r="D671" s="50">
        <v>978</v>
      </c>
      <c r="E671" s="50" t="str">
        <f t="shared" si="8"/>
        <v>E6.3.5.5</v>
      </c>
      <c r="F671" s="97" t="s">
        <v>17401</v>
      </c>
      <c r="G671" s="97" t="s">
        <v>17402</v>
      </c>
      <c r="H671" s="97" t="s">
        <v>17403</v>
      </c>
      <c r="I671" s="97" t="s">
        <v>17404</v>
      </c>
      <c r="J671" s="50" t="str">
        <f t="shared" si="6"/>
        <v>(${Variables:E6.3.5.5_kcat} * E6.3.5.5 * C00002 * C00288 * C00014)/(${Variables:E6.3.5.5_km} + (E6.3.5.5 * C00002 * C00288 * C00014))</v>
      </c>
      <c r="K671" s="98" t="str">
        <f t="shared" si="7"/>
        <v>r978: C00002 + C00288 + C00014 -&gt; C00008 + C00009 + C00169 | (${Variables:E6.3.5.5_kcat} * E6.3.5.5 * C00002 * C00288 * C00014)/(${Variables:E6.3.5.5_km} + (E6.3.5.5 * C00002 * C00288 * C00014))</v>
      </c>
    </row>
    <row r="672" spans="1:11" ht="14">
      <c r="A672" s="50" t="s">
        <v>1416</v>
      </c>
      <c r="B672" s="50" t="s">
        <v>1417</v>
      </c>
      <c r="C672" s="56" t="s">
        <v>15742</v>
      </c>
      <c r="D672" s="50">
        <v>979</v>
      </c>
      <c r="E672" s="50" t="str">
        <f t="shared" si="8"/>
        <v>E6.3.5.5</v>
      </c>
      <c r="F672" s="97" t="s">
        <v>15743</v>
      </c>
      <c r="G672" s="97" t="s">
        <v>15744</v>
      </c>
      <c r="H672" s="97" t="s">
        <v>15745</v>
      </c>
      <c r="I672" s="97" t="s">
        <v>15746</v>
      </c>
      <c r="J672" s="50" t="str">
        <f t="shared" si="6"/>
        <v>(${Variables:E6.3.5.5_kcat} * E6.3.5.5 * C00002 * C00022 * C00288)/(${Variables:E6.3.5.5_km} + (E6.3.5.5 * C00002 * C00022 * C00288))</v>
      </c>
      <c r="K672" s="98" t="str">
        <f t="shared" si="7"/>
        <v>r979: C00002 + C00022 + C00288 -&gt; C00008 + C00009 + C00036 | (${Variables:E6.3.5.5_kcat} * E6.3.5.5 * C00002 * C00022 * C00288)/(${Variables:E6.3.5.5_km} + (E6.3.5.5 * C00002 * C00022 * C00288))</v>
      </c>
    </row>
    <row r="673" spans="1:11" ht="14">
      <c r="A673" s="50" t="s">
        <v>1416</v>
      </c>
      <c r="B673" s="50" t="s">
        <v>1417</v>
      </c>
      <c r="C673" s="56" t="s">
        <v>15747</v>
      </c>
      <c r="D673" s="50">
        <v>980</v>
      </c>
      <c r="E673" s="50" t="str">
        <f t="shared" si="8"/>
        <v>E6.3.5.5</v>
      </c>
      <c r="F673" s="97" t="s">
        <v>15748</v>
      </c>
      <c r="G673" s="97" t="s">
        <v>15749</v>
      </c>
      <c r="H673" s="97" t="s">
        <v>15750</v>
      </c>
      <c r="I673" s="97" t="s">
        <v>15751</v>
      </c>
      <c r="J673" s="50" t="str">
        <f t="shared" si="6"/>
        <v>(${Variables:E6.3.5.5_kcat} * E6.3.5.5 * C00002 * C00288)/(${Variables:E6.3.5.5_km} + (E6.3.5.5 * C00002 * C00288))</v>
      </c>
      <c r="K673" s="98" t="str">
        <f t="shared" si="7"/>
        <v>r980: C00002 + C00288 -&gt; C00008 + C20969 | (${Variables:E6.3.5.5_kcat} * E6.3.5.5 * C00002 * C00288)/(${Variables:E6.3.5.5_km} + (E6.3.5.5 * C00002 * C00288))</v>
      </c>
    </row>
    <row r="674" spans="1:11" ht="14">
      <c r="A674" s="50" t="s">
        <v>1416</v>
      </c>
      <c r="B674" s="50" t="s">
        <v>1417</v>
      </c>
      <c r="C674" s="56" t="s">
        <v>15752</v>
      </c>
      <c r="D674" s="50">
        <v>981</v>
      </c>
      <c r="E674" s="50" t="str">
        <f t="shared" si="8"/>
        <v>E6.3.5.5</v>
      </c>
      <c r="F674" s="97" t="s">
        <v>15753</v>
      </c>
      <c r="G674" s="97" t="s">
        <v>15754</v>
      </c>
      <c r="H674" s="97" t="s">
        <v>15755</v>
      </c>
      <c r="I674" s="97" t="s">
        <v>15756</v>
      </c>
      <c r="J674" s="50" t="str">
        <f t="shared" si="6"/>
        <v>(${Variables:E6.3.5.5_kcat} * E6.3.5.5 * C00002 * C01563)/(${Variables:E6.3.5.5_km} + (E6.3.5.5 * C00002 * C01563))</v>
      </c>
      <c r="K674" s="98" t="str">
        <f t="shared" si="7"/>
        <v>r981: C00002 + C01563 -&gt; C00008 + C00169 | (${Variables:E6.3.5.5_kcat} * E6.3.5.5 * C00002 * C01563)/(${Variables:E6.3.5.5_km} + (E6.3.5.5 * C00002 * C01563))</v>
      </c>
    </row>
    <row r="675" spans="1:11" ht="14">
      <c r="A675" s="50" t="s">
        <v>1416</v>
      </c>
      <c r="B675" s="50" t="s">
        <v>1417</v>
      </c>
      <c r="C675" s="56" t="s">
        <v>15757</v>
      </c>
      <c r="D675" s="50">
        <v>982</v>
      </c>
      <c r="E675" s="50" t="str">
        <f t="shared" si="8"/>
        <v>E6.3.5.5</v>
      </c>
      <c r="F675" s="97" t="s">
        <v>15758</v>
      </c>
      <c r="G675" s="97" t="s">
        <v>15759</v>
      </c>
      <c r="H675" s="97" t="s">
        <v>15760</v>
      </c>
      <c r="I675" s="97" t="s">
        <v>15761</v>
      </c>
      <c r="J675" s="50" t="str">
        <f t="shared" si="6"/>
        <v>(${Variables:E6.3.5.5_kcat} * E6.3.5.5 * C00014 * C20969)/(${Variables:E6.3.5.5_km} + (E6.3.5.5 * C00014 * C20969))</v>
      </c>
      <c r="K675" s="98" t="str">
        <f t="shared" si="7"/>
        <v>r982: C00014 + C20969 -&gt; C01563 + C00009 | (${Variables:E6.3.5.5_kcat} * E6.3.5.5 * C00014 * C20969)/(${Variables:E6.3.5.5_km} + (E6.3.5.5 * C00014 * C20969))</v>
      </c>
    </row>
    <row r="676" spans="1:11" ht="14">
      <c r="A676" s="50" t="s">
        <v>1015</v>
      </c>
      <c r="B676" s="50" t="s">
        <v>1016</v>
      </c>
      <c r="C676" s="56" t="s">
        <v>15762</v>
      </c>
      <c r="D676" s="50">
        <v>983</v>
      </c>
      <c r="E676" s="50" t="str">
        <f t="shared" si="8"/>
        <v>E6.4.1.1</v>
      </c>
      <c r="F676" s="97" t="s">
        <v>15763</v>
      </c>
      <c r="G676" s="97" t="s">
        <v>15764</v>
      </c>
      <c r="H676" s="97" t="s">
        <v>15765</v>
      </c>
      <c r="I676" s="97" t="s">
        <v>15766</v>
      </c>
      <c r="J676" s="50" t="str">
        <f t="shared" si="6"/>
        <v>(${Variables:E6.4.1.1_kcat} * E6.4.1.1 * C00002 * C00024 * C00288)/(${Variables:E6.4.1.1_km} + (E6.4.1.1 * C00002 * C00024 * C00288))</v>
      </c>
      <c r="K676" s="98" t="str">
        <f t="shared" si="7"/>
        <v>r983: C00002 + C00024 + C00288 -&gt; C00008 + C00009 + C00083 | (${Variables:E6.4.1.1_kcat} * E6.4.1.1 * C00002 * C00024 * C00288)/(${Variables:E6.4.1.1_km} + (E6.4.1.1 * C00002 * C00024 * C00288))</v>
      </c>
    </row>
    <row r="677" spans="1:11" ht="14">
      <c r="A677" s="50" t="s">
        <v>3112</v>
      </c>
      <c r="B677" s="50" t="s">
        <v>3113</v>
      </c>
      <c r="C677" s="56" t="s">
        <v>15767</v>
      </c>
      <c r="D677" s="50">
        <v>985</v>
      </c>
      <c r="E677" s="50" t="str">
        <f t="shared" si="8"/>
        <v>E6.4.1.2</v>
      </c>
      <c r="F677" s="97" t="s">
        <v>17421</v>
      </c>
      <c r="G677" s="97" t="s">
        <v>17422</v>
      </c>
      <c r="H677" s="97" t="s">
        <v>17435</v>
      </c>
      <c r="I677" s="97" t="s">
        <v>17436</v>
      </c>
      <c r="J677" s="50" t="str">
        <f t="shared" si="6"/>
        <v>(${Variables:E6.4.1.2_kcat} * E6.4.1.2 * C00003 * C00039 * C02128)/(${Variables:E6.4.1.2_km} + (E6.4.1.2 * C00003 * C00039 * C02128))</v>
      </c>
      <c r="K677" s="98" t="str">
        <f t="shared" si="7"/>
        <v>r985: C00003 + C00039 + C02128 -&gt; C00020 + C00455 + C00039 | (${Variables:E6.4.1.2_kcat} * E6.4.1.2 * C00003 * C00039 * C02128)/(${Variables:E6.4.1.2_km} + (E6.4.1.2 * C00003 * C00039 * C02128))</v>
      </c>
    </row>
    <row r="678" spans="1:11" ht="14">
      <c r="A678" s="50" t="s">
        <v>4812</v>
      </c>
      <c r="B678" s="50" t="s">
        <v>4813</v>
      </c>
      <c r="C678" s="56" t="s">
        <v>15768</v>
      </c>
      <c r="D678" s="50">
        <v>987</v>
      </c>
      <c r="E678" s="50" t="str">
        <f t="shared" si="8"/>
        <v>E7.1.2.1</v>
      </c>
      <c r="F678" s="97" t="s">
        <v>15769</v>
      </c>
      <c r="G678" s="97" t="s">
        <v>15770</v>
      </c>
      <c r="H678" s="97" t="s">
        <v>15771</v>
      </c>
      <c r="I678" s="97" t="s">
        <v>15772</v>
      </c>
      <c r="J678" s="50" t="str">
        <f t="shared" si="6"/>
        <v>(${Variables:E7.1.2.1_kcat} * E7.1.2.1 * C00002 * C00001)/(${Variables:E7.1.2.1_km} + (E7.1.2.1 * C00002 * C00001))</v>
      </c>
      <c r="K678" s="98" t="str">
        <f t="shared" si="7"/>
        <v>r987: C00002 + C00001 -&gt; C00008 + C00009 | (${Variables:E7.1.2.1_kcat} * E7.1.2.1 * C00002 * C00001)/(${Variables:E7.1.2.1_km} + (E7.1.2.1 * C00002 * C00001))</v>
      </c>
    </row>
    <row r="801" spans="12:12" ht="12.5">
      <c r="L801" s="37" t="str">
        <f>CONCATENATE("r",E801,": ",G801," -&gt; ",I801," | ",K801)</f>
        <v xml:space="preserve">r:  -&gt;  | </v>
      </c>
    </row>
    <row r="1006" spans="12:26" ht="13"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</sheetData>
  <hyperlinks>
    <hyperlink ref="C2" r:id="rId1" xr:uid="{00000000-0004-0000-0700-000000000000}"/>
    <hyperlink ref="F2" r:id="rId2" xr:uid="{00000000-0004-0000-0700-000001000000}"/>
    <hyperlink ref="G2" r:id="rId3" xr:uid="{00000000-0004-0000-0700-000002000000}"/>
    <hyperlink ref="H2" r:id="rId4" xr:uid="{00000000-0004-0000-0700-000003000000}"/>
    <hyperlink ref="I2" r:id="rId5" xr:uid="{00000000-0004-0000-0700-000004000000}"/>
    <hyperlink ref="C3" r:id="rId6" xr:uid="{00000000-0004-0000-0700-000005000000}"/>
    <hyperlink ref="F3" r:id="rId7" xr:uid="{00000000-0004-0000-0700-000006000000}"/>
    <hyperlink ref="G3" r:id="rId8" xr:uid="{00000000-0004-0000-0700-000007000000}"/>
    <hyperlink ref="H3" r:id="rId9" xr:uid="{00000000-0004-0000-0700-000008000000}"/>
    <hyperlink ref="I3" r:id="rId10" xr:uid="{00000000-0004-0000-0700-000009000000}"/>
    <hyperlink ref="C4" r:id="rId11" xr:uid="{00000000-0004-0000-0700-00000A000000}"/>
    <hyperlink ref="F4" r:id="rId12" xr:uid="{00000000-0004-0000-0700-00000B000000}"/>
    <hyperlink ref="G4" r:id="rId13" xr:uid="{00000000-0004-0000-0700-00000C000000}"/>
    <hyperlink ref="H4" r:id="rId14" xr:uid="{00000000-0004-0000-0700-00000D000000}"/>
    <hyperlink ref="I4" r:id="rId15" xr:uid="{00000000-0004-0000-0700-00000E000000}"/>
    <hyperlink ref="C5" r:id="rId16" xr:uid="{00000000-0004-0000-0700-00000F000000}"/>
    <hyperlink ref="F5" r:id="rId17" xr:uid="{00000000-0004-0000-0700-000010000000}"/>
    <hyperlink ref="G5" r:id="rId18" xr:uid="{00000000-0004-0000-0700-000011000000}"/>
    <hyperlink ref="H5" r:id="rId19" xr:uid="{00000000-0004-0000-0700-000012000000}"/>
    <hyperlink ref="I5" r:id="rId20" xr:uid="{00000000-0004-0000-0700-000013000000}"/>
    <hyperlink ref="C6" r:id="rId21" xr:uid="{00000000-0004-0000-0700-000014000000}"/>
    <hyperlink ref="F6" r:id="rId22" xr:uid="{00000000-0004-0000-0700-000015000000}"/>
    <hyperlink ref="G6" r:id="rId23" xr:uid="{00000000-0004-0000-0700-000016000000}"/>
    <hyperlink ref="H6" r:id="rId24" xr:uid="{00000000-0004-0000-0700-000017000000}"/>
    <hyperlink ref="I6" r:id="rId25" xr:uid="{00000000-0004-0000-0700-000018000000}"/>
    <hyperlink ref="C7" r:id="rId26" xr:uid="{00000000-0004-0000-0700-000019000000}"/>
    <hyperlink ref="F7" r:id="rId27" xr:uid="{00000000-0004-0000-0700-00001A000000}"/>
    <hyperlink ref="G7" r:id="rId28" xr:uid="{00000000-0004-0000-0700-00001B000000}"/>
    <hyperlink ref="H7" r:id="rId29" xr:uid="{00000000-0004-0000-0700-00001C000000}"/>
    <hyperlink ref="I7" r:id="rId30" xr:uid="{00000000-0004-0000-0700-00001D000000}"/>
    <hyperlink ref="C8" r:id="rId31" xr:uid="{00000000-0004-0000-0700-00001E000000}"/>
    <hyperlink ref="F8" r:id="rId32" xr:uid="{00000000-0004-0000-0700-00001F000000}"/>
    <hyperlink ref="G8" r:id="rId33" xr:uid="{00000000-0004-0000-0700-000020000000}"/>
    <hyperlink ref="H8" r:id="rId34" xr:uid="{00000000-0004-0000-0700-000021000000}"/>
    <hyperlink ref="I8" r:id="rId35" xr:uid="{00000000-0004-0000-0700-000022000000}"/>
    <hyperlink ref="C9" r:id="rId36" xr:uid="{00000000-0004-0000-0700-000023000000}"/>
    <hyperlink ref="F9" r:id="rId37" xr:uid="{00000000-0004-0000-0700-000024000000}"/>
    <hyperlink ref="G9" r:id="rId38" xr:uid="{00000000-0004-0000-0700-000025000000}"/>
    <hyperlink ref="H9" r:id="rId39" xr:uid="{00000000-0004-0000-0700-000026000000}"/>
    <hyperlink ref="I9" r:id="rId40" xr:uid="{00000000-0004-0000-0700-000027000000}"/>
    <hyperlink ref="C10" r:id="rId41" xr:uid="{00000000-0004-0000-0700-000028000000}"/>
    <hyperlink ref="F10" r:id="rId42" xr:uid="{00000000-0004-0000-0700-000029000000}"/>
    <hyperlink ref="G10" r:id="rId43" xr:uid="{00000000-0004-0000-0700-00002A000000}"/>
    <hyperlink ref="H10" r:id="rId44" xr:uid="{00000000-0004-0000-0700-00002B000000}"/>
    <hyperlink ref="I10" r:id="rId45" xr:uid="{00000000-0004-0000-0700-00002C000000}"/>
    <hyperlink ref="C11" r:id="rId46" xr:uid="{00000000-0004-0000-0700-00002D000000}"/>
    <hyperlink ref="F11" r:id="rId47" xr:uid="{00000000-0004-0000-0700-00002E000000}"/>
    <hyperlink ref="G11" r:id="rId48" xr:uid="{00000000-0004-0000-0700-00002F000000}"/>
    <hyperlink ref="H11" r:id="rId49" xr:uid="{00000000-0004-0000-0700-000030000000}"/>
    <hyperlink ref="I11" r:id="rId50" xr:uid="{00000000-0004-0000-0700-000031000000}"/>
    <hyperlink ref="C12" r:id="rId51" xr:uid="{00000000-0004-0000-0700-000032000000}"/>
    <hyperlink ref="F12" r:id="rId52" xr:uid="{00000000-0004-0000-0700-000033000000}"/>
    <hyperlink ref="G12" r:id="rId53" xr:uid="{00000000-0004-0000-0700-000034000000}"/>
    <hyperlink ref="H12" r:id="rId54" xr:uid="{00000000-0004-0000-0700-000035000000}"/>
    <hyperlink ref="I12" r:id="rId55" xr:uid="{00000000-0004-0000-0700-000036000000}"/>
    <hyperlink ref="C13" r:id="rId56" xr:uid="{00000000-0004-0000-0700-000037000000}"/>
    <hyperlink ref="F13" r:id="rId57" xr:uid="{00000000-0004-0000-0700-000038000000}"/>
    <hyperlink ref="G13" r:id="rId58" xr:uid="{00000000-0004-0000-0700-000039000000}"/>
    <hyperlink ref="H13" r:id="rId59" xr:uid="{00000000-0004-0000-0700-00003A000000}"/>
    <hyperlink ref="I13" r:id="rId60" xr:uid="{00000000-0004-0000-0700-00003B000000}"/>
    <hyperlink ref="C14" r:id="rId61" xr:uid="{00000000-0004-0000-0700-00003C000000}"/>
    <hyperlink ref="F14" r:id="rId62" xr:uid="{00000000-0004-0000-0700-00003D000000}"/>
    <hyperlink ref="G14" r:id="rId63" xr:uid="{00000000-0004-0000-0700-00003E000000}"/>
    <hyperlink ref="H14" r:id="rId64" xr:uid="{00000000-0004-0000-0700-00003F000000}"/>
    <hyperlink ref="I14" r:id="rId65" xr:uid="{00000000-0004-0000-0700-000040000000}"/>
    <hyperlink ref="C15" r:id="rId66" xr:uid="{00000000-0004-0000-0700-000041000000}"/>
    <hyperlink ref="F15" r:id="rId67" xr:uid="{00000000-0004-0000-0700-000042000000}"/>
    <hyperlink ref="G15" r:id="rId68" xr:uid="{00000000-0004-0000-0700-000043000000}"/>
    <hyperlink ref="H15" r:id="rId69" xr:uid="{00000000-0004-0000-0700-000044000000}"/>
    <hyperlink ref="I15" r:id="rId70" xr:uid="{00000000-0004-0000-0700-000045000000}"/>
    <hyperlink ref="C16" r:id="rId71" xr:uid="{00000000-0004-0000-0700-000046000000}"/>
    <hyperlink ref="F16" r:id="rId72" xr:uid="{00000000-0004-0000-0700-000047000000}"/>
    <hyperlink ref="G16" r:id="rId73" xr:uid="{00000000-0004-0000-0700-000048000000}"/>
    <hyperlink ref="H16" r:id="rId74" xr:uid="{00000000-0004-0000-0700-000049000000}"/>
    <hyperlink ref="I16" r:id="rId75" xr:uid="{00000000-0004-0000-0700-00004A000000}"/>
    <hyperlink ref="C17" r:id="rId76" xr:uid="{00000000-0004-0000-0700-00004B000000}"/>
    <hyperlink ref="F17" r:id="rId77" xr:uid="{00000000-0004-0000-0700-00004C000000}"/>
    <hyperlink ref="G17" r:id="rId78" xr:uid="{00000000-0004-0000-0700-00004D000000}"/>
    <hyperlink ref="H17" r:id="rId79" xr:uid="{00000000-0004-0000-0700-00004E000000}"/>
    <hyperlink ref="I17" r:id="rId80" xr:uid="{00000000-0004-0000-0700-00004F000000}"/>
    <hyperlink ref="C18" r:id="rId81" xr:uid="{00000000-0004-0000-0700-000050000000}"/>
    <hyperlink ref="F18" r:id="rId82" xr:uid="{00000000-0004-0000-0700-000051000000}"/>
    <hyperlink ref="G18" r:id="rId83" xr:uid="{00000000-0004-0000-0700-000052000000}"/>
    <hyperlink ref="H18" r:id="rId84" xr:uid="{00000000-0004-0000-0700-000053000000}"/>
    <hyperlink ref="I18" r:id="rId85" xr:uid="{00000000-0004-0000-0700-000054000000}"/>
    <hyperlink ref="C19" r:id="rId86" xr:uid="{00000000-0004-0000-0700-000055000000}"/>
    <hyperlink ref="F19" r:id="rId87" xr:uid="{00000000-0004-0000-0700-000056000000}"/>
    <hyperlink ref="G19" r:id="rId88" xr:uid="{00000000-0004-0000-0700-000057000000}"/>
    <hyperlink ref="H19" r:id="rId89" xr:uid="{00000000-0004-0000-0700-000058000000}"/>
    <hyperlink ref="I19" r:id="rId90" xr:uid="{00000000-0004-0000-0700-000059000000}"/>
    <hyperlink ref="C20" r:id="rId91" xr:uid="{00000000-0004-0000-0700-00005A000000}"/>
    <hyperlink ref="F20" r:id="rId92" xr:uid="{00000000-0004-0000-0700-00005B000000}"/>
    <hyperlink ref="G20" r:id="rId93" xr:uid="{00000000-0004-0000-0700-00005C000000}"/>
    <hyperlink ref="H20" r:id="rId94" xr:uid="{00000000-0004-0000-0700-00005D000000}"/>
    <hyperlink ref="I20" r:id="rId95" xr:uid="{00000000-0004-0000-0700-00005E000000}"/>
    <hyperlink ref="C21" r:id="rId96" xr:uid="{00000000-0004-0000-0700-00005F000000}"/>
    <hyperlink ref="F21" r:id="rId97" xr:uid="{00000000-0004-0000-0700-000060000000}"/>
    <hyperlink ref="G21" r:id="rId98" xr:uid="{00000000-0004-0000-0700-000061000000}"/>
    <hyperlink ref="H21" r:id="rId99" xr:uid="{00000000-0004-0000-0700-000062000000}"/>
    <hyperlink ref="I21" r:id="rId100" xr:uid="{00000000-0004-0000-0700-000063000000}"/>
    <hyperlink ref="C22" r:id="rId101" xr:uid="{00000000-0004-0000-0700-000064000000}"/>
    <hyperlink ref="F22" r:id="rId102" xr:uid="{00000000-0004-0000-0700-000065000000}"/>
    <hyperlink ref="G22" r:id="rId103" xr:uid="{00000000-0004-0000-0700-000066000000}"/>
    <hyperlink ref="H22" r:id="rId104" xr:uid="{00000000-0004-0000-0700-000067000000}"/>
    <hyperlink ref="I22" r:id="rId105" xr:uid="{00000000-0004-0000-0700-000068000000}"/>
    <hyperlink ref="C23" r:id="rId106" xr:uid="{00000000-0004-0000-0700-000069000000}"/>
    <hyperlink ref="F23" r:id="rId107" xr:uid="{00000000-0004-0000-0700-00006A000000}"/>
    <hyperlink ref="G23" r:id="rId108" xr:uid="{00000000-0004-0000-0700-00006B000000}"/>
    <hyperlink ref="H23" r:id="rId109" xr:uid="{00000000-0004-0000-0700-00006C000000}"/>
    <hyperlink ref="I23" r:id="rId110" xr:uid="{00000000-0004-0000-0700-00006D000000}"/>
    <hyperlink ref="C24" r:id="rId111" xr:uid="{00000000-0004-0000-0700-00006E000000}"/>
    <hyperlink ref="F24" r:id="rId112" xr:uid="{00000000-0004-0000-0700-00006F000000}"/>
    <hyperlink ref="G24" r:id="rId113" xr:uid="{00000000-0004-0000-0700-000070000000}"/>
    <hyperlink ref="H24" r:id="rId114" xr:uid="{00000000-0004-0000-0700-000071000000}"/>
    <hyperlink ref="I24" r:id="rId115" xr:uid="{00000000-0004-0000-0700-000072000000}"/>
    <hyperlink ref="C25" r:id="rId116" xr:uid="{00000000-0004-0000-0700-000073000000}"/>
    <hyperlink ref="F25" r:id="rId117" xr:uid="{00000000-0004-0000-0700-000074000000}"/>
    <hyperlink ref="G25" r:id="rId118" xr:uid="{00000000-0004-0000-0700-000075000000}"/>
    <hyperlink ref="H25" r:id="rId119" xr:uid="{00000000-0004-0000-0700-000076000000}"/>
    <hyperlink ref="I25" r:id="rId120" xr:uid="{00000000-0004-0000-0700-000077000000}"/>
    <hyperlink ref="C26" r:id="rId121" xr:uid="{00000000-0004-0000-0700-000078000000}"/>
    <hyperlink ref="F26" r:id="rId122" xr:uid="{00000000-0004-0000-0700-000079000000}"/>
    <hyperlink ref="G26" r:id="rId123" xr:uid="{00000000-0004-0000-0700-00007A000000}"/>
    <hyperlink ref="H26" r:id="rId124" xr:uid="{00000000-0004-0000-0700-00007B000000}"/>
    <hyperlink ref="I26" r:id="rId125" xr:uid="{00000000-0004-0000-0700-00007C000000}"/>
    <hyperlink ref="C27" r:id="rId126" xr:uid="{00000000-0004-0000-0700-00007D000000}"/>
    <hyperlink ref="F27" r:id="rId127" xr:uid="{00000000-0004-0000-0700-00007E000000}"/>
    <hyperlink ref="G27" r:id="rId128" xr:uid="{00000000-0004-0000-0700-00007F000000}"/>
    <hyperlink ref="H27" r:id="rId129" xr:uid="{00000000-0004-0000-0700-000080000000}"/>
    <hyperlink ref="I27" r:id="rId130" xr:uid="{00000000-0004-0000-0700-000081000000}"/>
    <hyperlink ref="C28" r:id="rId131" xr:uid="{00000000-0004-0000-0700-000082000000}"/>
    <hyperlink ref="F28" r:id="rId132" xr:uid="{00000000-0004-0000-0700-000083000000}"/>
    <hyperlink ref="G28" r:id="rId133" xr:uid="{00000000-0004-0000-0700-000084000000}"/>
    <hyperlink ref="H28" r:id="rId134" xr:uid="{00000000-0004-0000-0700-000085000000}"/>
    <hyperlink ref="I28" r:id="rId135" xr:uid="{00000000-0004-0000-0700-000086000000}"/>
    <hyperlink ref="C29" r:id="rId136" xr:uid="{00000000-0004-0000-0700-000087000000}"/>
    <hyperlink ref="H29" r:id="rId137" xr:uid="{00000000-0004-0000-0700-000088000000}"/>
    <hyperlink ref="I29" r:id="rId138" xr:uid="{00000000-0004-0000-0700-000089000000}"/>
    <hyperlink ref="C30" r:id="rId139" xr:uid="{00000000-0004-0000-0700-00008A000000}"/>
    <hyperlink ref="F30" r:id="rId140" xr:uid="{00000000-0004-0000-0700-00008B000000}"/>
    <hyperlink ref="G30" r:id="rId141" xr:uid="{00000000-0004-0000-0700-00008C000000}"/>
    <hyperlink ref="H30" r:id="rId142" xr:uid="{00000000-0004-0000-0700-00008D000000}"/>
    <hyperlink ref="I30" r:id="rId143" xr:uid="{00000000-0004-0000-0700-00008E000000}"/>
    <hyperlink ref="C31" r:id="rId144" xr:uid="{00000000-0004-0000-0700-00008F000000}"/>
    <hyperlink ref="F31" r:id="rId145" xr:uid="{00000000-0004-0000-0700-000090000000}"/>
    <hyperlink ref="G31" r:id="rId146" xr:uid="{00000000-0004-0000-0700-000091000000}"/>
    <hyperlink ref="H31" r:id="rId147" xr:uid="{00000000-0004-0000-0700-000092000000}"/>
    <hyperlink ref="I31" r:id="rId148" xr:uid="{00000000-0004-0000-0700-000093000000}"/>
    <hyperlink ref="C32" r:id="rId149" xr:uid="{00000000-0004-0000-0700-000094000000}"/>
    <hyperlink ref="F32" r:id="rId150" xr:uid="{00000000-0004-0000-0700-000095000000}"/>
    <hyperlink ref="G32" r:id="rId151" xr:uid="{00000000-0004-0000-0700-000096000000}"/>
    <hyperlink ref="H32" r:id="rId152" xr:uid="{00000000-0004-0000-0700-000097000000}"/>
    <hyperlink ref="I32" r:id="rId153" xr:uid="{00000000-0004-0000-0700-000098000000}"/>
    <hyperlink ref="C33" r:id="rId154" xr:uid="{00000000-0004-0000-0700-000099000000}"/>
    <hyperlink ref="F33" r:id="rId155" xr:uid="{00000000-0004-0000-0700-00009A000000}"/>
    <hyperlink ref="G33" r:id="rId156" xr:uid="{00000000-0004-0000-0700-00009B000000}"/>
    <hyperlink ref="H33" r:id="rId157" xr:uid="{00000000-0004-0000-0700-00009C000000}"/>
    <hyperlink ref="I33" r:id="rId158" xr:uid="{00000000-0004-0000-0700-00009D000000}"/>
    <hyperlink ref="C34" r:id="rId159" xr:uid="{00000000-0004-0000-0700-00009E000000}"/>
    <hyperlink ref="F34" r:id="rId160" xr:uid="{00000000-0004-0000-0700-00009F000000}"/>
    <hyperlink ref="G34" r:id="rId161" xr:uid="{00000000-0004-0000-0700-0000A0000000}"/>
    <hyperlink ref="H34" r:id="rId162" xr:uid="{00000000-0004-0000-0700-0000A1000000}"/>
    <hyperlink ref="I34" r:id="rId163" xr:uid="{00000000-0004-0000-0700-0000A2000000}"/>
    <hyperlink ref="C35" r:id="rId164" xr:uid="{00000000-0004-0000-0700-0000A3000000}"/>
    <hyperlink ref="F35" r:id="rId165" xr:uid="{00000000-0004-0000-0700-0000A4000000}"/>
    <hyperlink ref="G35" r:id="rId166" xr:uid="{00000000-0004-0000-0700-0000A5000000}"/>
    <hyperlink ref="H35" r:id="rId167" xr:uid="{00000000-0004-0000-0700-0000A6000000}"/>
    <hyperlink ref="I35" r:id="rId168" xr:uid="{00000000-0004-0000-0700-0000A7000000}"/>
    <hyperlink ref="C36" r:id="rId169" xr:uid="{00000000-0004-0000-0700-0000A8000000}"/>
    <hyperlink ref="F36" r:id="rId170" xr:uid="{00000000-0004-0000-0700-0000A9000000}"/>
    <hyperlink ref="G36" r:id="rId171" xr:uid="{00000000-0004-0000-0700-0000AA000000}"/>
    <hyperlink ref="H36" r:id="rId172" xr:uid="{00000000-0004-0000-0700-0000AB000000}"/>
    <hyperlink ref="I36" r:id="rId173" xr:uid="{00000000-0004-0000-0700-0000AC000000}"/>
    <hyperlink ref="C37" r:id="rId174" xr:uid="{00000000-0004-0000-0700-0000AD000000}"/>
    <hyperlink ref="F37" r:id="rId175" xr:uid="{00000000-0004-0000-0700-0000AE000000}"/>
    <hyperlink ref="G37" r:id="rId176" xr:uid="{00000000-0004-0000-0700-0000AF000000}"/>
    <hyperlink ref="H37" r:id="rId177" xr:uid="{00000000-0004-0000-0700-0000B0000000}"/>
    <hyperlink ref="I37" r:id="rId178" xr:uid="{00000000-0004-0000-0700-0000B1000000}"/>
    <hyperlink ref="C38" r:id="rId179" xr:uid="{00000000-0004-0000-0700-0000B2000000}"/>
    <hyperlink ref="F38" r:id="rId180" display="C00860 + 2 C00003 + C00001" xr:uid="{00000000-0004-0000-0700-0000B3000000}"/>
    <hyperlink ref="G38" r:id="rId181" display="C00860 * 2 C00003 * C00001" xr:uid="{00000000-0004-0000-0700-0000B4000000}"/>
    <hyperlink ref="H38" r:id="rId182" display="C00135 + 2 C00004 + 2 C00080" xr:uid="{00000000-0004-0000-0700-0000B5000000}"/>
    <hyperlink ref="I38" r:id="rId183" display="C00135 * 2 C00004 * 2 C00080" xr:uid="{00000000-0004-0000-0700-0000B6000000}"/>
    <hyperlink ref="C39" r:id="rId184" xr:uid="{00000000-0004-0000-0700-0000B7000000}"/>
    <hyperlink ref="F39" r:id="rId185" xr:uid="{00000000-0004-0000-0700-0000B8000000}"/>
    <hyperlink ref="G39" r:id="rId186" xr:uid="{00000000-0004-0000-0700-0000B9000000}"/>
    <hyperlink ref="H39" r:id="rId187" xr:uid="{00000000-0004-0000-0700-0000BA000000}"/>
    <hyperlink ref="I39" r:id="rId188" xr:uid="{00000000-0004-0000-0700-0000BB000000}"/>
    <hyperlink ref="C40" r:id="rId189" xr:uid="{00000000-0004-0000-0700-0000BC000000}"/>
    <hyperlink ref="F40" r:id="rId190" xr:uid="{00000000-0004-0000-0700-0000BD000000}"/>
    <hyperlink ref="G40" r:id="rId191" xr:uid="{00000000-0004-0000-0700-0000BE000000}"/>
    <hyperlink ref="H40" r:id="rId192" xr:uid="{00000000-0004-0000-0700-0000BF000000}"/>
    <hyperlink ref="I40" r:id="rId193" xr:uid="{00000000-0004-0000-0700-0000C0000000}"/>
    <hyperlink ref="C41" r:id="rId194" xr:uid="{00000000-0004-0000-0700-0000C1000000}"/>
    <hyperlink ref="F41" r:id="rId195" xr:uid="{00000000-0004-0000-0700-0000C2000000}"/>
    <hyperlink ref="G41" r:id="rId196" xr:uid="{00000000-0004-0000-0700-0000C3000000}"/>
    <hyperlink ref="H41" r:id="rId197" xr:uid="{00000000-0004-0000-0700-0000C4000000}"/>
    <hyperlink ref="I41" r:id="rId198" xr:uid="{00000000-0004-0000-0700-0000C5000000}"/>
    <hyperlink ref="C42" r:id="rId199" xr:uid="{00000000-0004-0000-0700-0000C6000000}"/>
    <hyperlink ref="F42" r:id="rId200" xr:uid="{00000000-0004-0000-0700-0000C7000000}"/>
    <hyperlink ref="G42" r:id="rId201" xr:uid="{00000000-0004-0000-0700-0000C8000000}"/>
    <hyperlink ref="H42" r:id="rId202" xr:uid="{00000000-0004-0000-0700-0000C9000000}"/>
    <hyperlink ref="I42" r:id="rId203" xr:uid="{00000000-0004-0000-0700-0000CA000000}"/>
    <hyperlink ref="C43" r:id="rId204" xr:uid="{00000000-0004-0000-0700-0000CB000000}"/>
    <hyperlink ref="F43" r:id="rId205" xr:uid="{00000000-0004-0000-0700-0000CC000000}"/>
    <hyperlink ref="G43" r:id="rId206" xr:uid="{00000000-0004-0000-0700-0000CD000000}"/>
    <hyperlink ref="H43" r:id="rId207" xr:uid="{00000000-0004-0000-0700-0000CE000000}"/>
    <hyperlink ref="I43" r:id="rId208" xr:uid="{00000000-0004-0000-0700-0000CF000000}"/>
    <hyperlink ref="C44" r:id="rId209" xr:uid="{00000000-0004-0000-0700-0000D0000000}"/>
    <hyperlink ref="F44" r:id="rId210" xr:uid="{00000000-0004-0000-0700-0000D1000000}"/>
    <hyperlink ref="G44" r:id="rId211" xr:uid="{00000000-0004-0000-0700-0000D2000000}"/>
    <hyperlink ref="H44" r:id="rId212" xr:uid="{00000000-0004-0000-0700-0000D3000000}"/>
    <hyperlink ref="I44" r:id="rId213" xr:uid="{00000000-0004-0000-0700-0000D4000000}"/>
    <hyperlink ref="C45" r:id="rId214" xr:uid="{00000000-0004-0000-0700-0000D5000000}"/>
    <hyperlink ref="F45" r:id="rId215" xr:uid="{00000000-0004-0000-0700-0000D6000000}"/>
    <hyperlink ref="G45" r:id="rId216" xr:uid="{00000000-0004-0000-0700-0000D7000000}"/>
    <hyperlink ref="H45" r:id="rId217" xr:uid="{00000000-0004-0000-0700-0000D8000000}"/>
    <hyperlink ref="I45" r:id="rId218" xr:uid="{00000000-0004-0000-0700-0000D9000000}"/>
    <hyperlink ref="C46" r:id="rId219" xr:uid="{00000000-0004-0000-0700-0000DA000000}"/>
    <hyperlink ref="F46" r:id="rId220" xr:uid="{00000000-0004-0000-0700-0000DB000000}"/>
    <hyperlink ref="G46" r:id="rId221" xr:uid="{00000000-0004-0000-0700-0000DC000000}"/>
    <hyperlink ref="H46" r:id="rId222" xr:uid="{00000000-0004-0000-0700-0000DD000000}"/>
    <hyperlink ref="I46" r:id="rId223" xr:uid="{00000000-0004-0000-0700-0000DE000000}"/>
    <hyperlink ref="C47" r:id="rId224" xr:uid="{00000000-0004-0000-0700-0000DF000000}"/>
    <hyperlink ref="F47" r:id="rId225" xr:uid="{00000000-0004-0000-0700-0000E0000000}"/>
    <hyperlink ref="G47" r:id="rId226" xr:uid="{00000000-0004-0000-0700-0000E1000000}"/>
    <hyperlink ref="H47" r:id="rId227" xr:uid="{00000000-0004-0000-0700-0000E2000000}"/>
    <hyperlink ref="I47" r:id="rId228" xr:uid="{00000000-0004-0000-0700-0000E3000000}"/>
    <hyperlink ref="C48" r:id="rId229" xr:uid="{00000000-0004-0000-0700-0000E4000000}"/>
    <hyperlink ref="F48" r:id="rId230" xr:uid="{00000000-0004-0000-0700-0000E5000000}"/>
    <hyperlink ref="G48" r:id="rId231" xr:uid="{00000000-0004-0000-0700-0000E6000000}"/>
    <hyperlink ref="H48" r:id="rId232" xr:uid="{00000000-0004-0000-0700-0000E7000000}"/>
    <hyperlink ref="I48" r:id="rId233" xr:uid="{00000000-0004-0000-0700-0000E8000000}"/>
    <hyperlink ref="C49" r:id="rId234" xr:uid="{00000000-0004-0000-0700-0000E9000000}"/>
    <hyperlink ref="F49" r:id="rId235" xr:uid="{00000000-0004-0000-0700-0000EA000000}"/>
    <hyperlink ref="G49" r:id="rId236" xr:uid="{00000000-0004-0000-0700-0000EB000000}"/>
    <hyperlink ref="H49" r:id="rId237" xr:uid="{00000000-0004-0000-0700-0000EC000000}"/>
    <hyperlink ref="I49" r:id="rId238" xr:uid="{00000000-0004-0000-0700-0000ED000000}"/>
    <hyperlink ref="C50" r:id="rId239" xr:uid="{00000000-0004-0000-0700-0000EE000000}"/>
    <hyperlink ref="F50" r:id="rId240" xr:uid="{00000000-0004-0000-0700-0000EF000000}"/>
    <hyperlink ref="G50" r:id="rId241" xr:uid="{00000000-0004-0000-0700-0000F0000000}"/>
    <hyperlink ref="H50" r:id="rId242" xr:uid="{00000000-0004-0000-0700-0000F1000000}"/>
    <hyperlink ref="I50" r:id="rId243" xr:uid="{00000000-0004-0000-0700-0000F2000000}"/>
    <hyperlink ref="C51" r:id="rId244" xr:uid="{00000000-0004-0000-0700-0000F3000000}"/>
    <hyperlink ref="F51" r:id="rId245" xr:uid="{00000000-0004-0000-0700-0000F4000000}"/>
    <hyperlink ref="G51" r:id="rId246" xr:uid="{00000000-0004-0000-0700-0000F5000000}"/>
    <hyperlink ref="F52" r:id="rId247" xr:uid="{00000000-0004-0000-0700-0000F6000000}"/>
    <hyperlink ref="G52" r:id="rId248" xr:uid="{00000000-0004-0000-0700-0000F7000000}"/>
    <hyperlink ref="H52" r:id="rId249" xr:uid="{00000000-0004-0000-0700-0000F8000000}"/>
    <hyperlink ref="I52" r:id="rId250" xr:uid="{00000000-0004-0000-0700-0000F9000000}"/>
    <hyperlink ref="C53" r:id="rId251" xr:uid="{00000000-0004-0000-0700-0000FA000000}"/>
    <hyperlink ref="H53" r:id="rId252" xr:uid="{00000000-0004-0000-0700-0000FB000000}"/>
    <hyperlink ref="I53" r:id="rId253" xr:uid="{00000000-0004-0000-0700-0000FC000000}"/>
    <hyperlink ref="C54" r:id="rId254" xr:uid="{00000000-0004-0000-0700-0000FD000000}"/>
    <hyperlink ref="F54" r:id="rId255" xr:uid="{00000000-0004-0000-0700-0000FE000000}"/>
    <hyperlink ref="G54" r:id="rId256" xr:uid="{00000000-0004-0000-0700-0000FF000000}"/>
    <hyperlink ref="H54" r:id="rId257" xr:uid="{00000000-0004-0000-0700-000000010000}"/>
    <hyperlink ref="I54" r:id="rId258" xr:uid="{00000000-0004-0000-0700-000001010000}"/>
    <hyperlink ref="C55" r:id="rId259" xr:uid="{00000000-0004-0000-0700-000002010000}"/>
    <hyperlink ref="F55" r:id="rId260" display="C00418 + C00010 + 2 C00003" xr:uid="{00000000-0004-0000-0700-000003010000}"/>
    <hyperlink ref="G55" r:id="rId261" display="C00418 * C00010 * 2 C00003" xr:uid="{00000000-0004-0000-0700-000004010000}"/>
    <hyperlink ref="H55" r:id="rId262" display="C00356 + 2 C00004 + 2 C00080" xr:uid="{00000000-0004-0000-0700-000005010000}"/>
    <hyperlink ref="I55" r:id="rId263" display="C00356 * 2 C00004 * 2 C00080" xr:uid="{00000000-0004-0000-0700-000006010000}"/>
    <hyperlink ref="C56" r:id="rId264" xr:uid="{00000000-0004-0000-0700-000007010000}"/>
    <hyperlink ref="F56" r:id="rId265" xr:uid="{00000000-0004-0000-0700-000008010000}"/>
    <hyperlink ref="G56" r:id="rId266" xr:uid="{00000000-0004-0000-0700-000009010000}"/>
    <hyperlink ref="H56" r:id="rId267" xr:uid="{00000000-0004-0000-0700-00000A010000}"/>
    <hyperlink ref="I56" r:id="rId268" xr:uid="{00000000-0004-0000-0700-00000B010000}"/>
    <hyperlink ref="C57" r:id="rId269" xr:uid="{00000000-0004-0000-0700-00000C010000}"/>
    <hyperlink ref="F57" r:id="rId270" xr:uid="{00000000-0004-0000-0700-00000D010000}"/>
    <hyperlink ref="G57" r:id="rId271" xr:uid="{00000000-0004-0000-0700-00000E010000}"/>
    <hyperlink ref="H57" r:id="rId272" xr:uid="{00000000-0004-0000-0700-00000F010000}"/>
    <hyperlink ref="I57" r:id="rId273" xr:uid="{00000000-0004-0000-0700-000010010000}"/>
    <hyperlink ref="C58" r:id="rId274" xr:uid="{00000000-0004-0000-0700-000011010000}"/>
    <hyperlink ref="C59" r:id="rId275" xr:uid="{00000000-0004-0000-0700-000012010000}"/>
    <hyperlink ref="F59" r:id="rId276" display="2 C00704 + 2 C00080" xr:uid="{00000000-0004-0000-0700-000013010000}"/>
    <hyperlink ref="G59" r:id="rId277" display="2 C00704 * 2 C00080" xr:uid="{00000000-0004-0000-0700-000014010000}"/>
    <hyperlink ref="H59" r:id="rId278" xr:uid="{00000000-0004-0000-0700-000015010000}"/>
    <hyperlink ref="I59" r:id="rId279" xr:uid="{00000000-0004-0000-0700-000016010000}"/>
    <hyperlink ref="C60" r:id="rId280" xr:uid="{00000000-0004-0000-0700-000017010000}"/>
    <hyperlink ref="F60" r:id="rId281" xr:uid="{00000000-0004-0000-0700-000018010000}"/>
    <hyperlink ref="G60" r:id="rId282" xr:uid="{00000000-0004-0000-0700-000019010000}"/>
    <hyperlink ref="H60" r:id="rId283" xr:uid="{00000000-0004-0000-0700-00001A010000}"/>
    <hyperlink ref="I60" r:id="rId284" xr:uid="{00000000-0004-0000-0700-00001B010000}"/>
    <hyperlink ref="C61" r:id="rId285" xr:uid="{00000000-0004-0000-0700-00001C010000}"/>
    <hyperlink ref="F61" r:id="rId286" xr:uid="{00000000-0004-0000-0700-00001D010000}"/>
    <hyperlink ref="G61" r:id="rId287" xr:uid="{00000000-0004-0000-0700-00001E010000}"/>
    <hyperlink ref="H61" r:id="rId288" xr:uid="{00000000-0004-0000-0700-00001F010000}"/>
    <hyperlink ref="I61" r:id="rId289" xr:uid="{00000000-0004-0000-0700-000020010000}"/>
    <hyperlink ref="C62" r:id="rId290" xr:uid="{00000000-0004-0000-0700-000021010000}"/>
    <hyperlink ref="F62" r:id="rId291" xr:uid="{00000000-0004-0000-0700-000022010000}"/>
    <hyperlink ref="G62" r:id="rId292" xr:uid="{00000000-0004-0000-0700-000023010000}"/>
    <hyperlink ref="H62" r:id="rId293" xr:uid="{00000000-0004-0000-0700-000024010000}"/>
    <hyperlink ref="I62" r:id="rId294" xr:uid="{00000000-0004-0000-0700-000025010000}"/>
    <hyperlink ref="C63" r:id="rId295" xr:uid="{00000000-0004-0000-0700-000026010000}"/>
    <hyperlink ref="F63" r:id="rId296" xr:uid="{00000000-0004-0000-0700-000027010000}"/>
    <hyperlink ref="G63" r:id="rId297" xr:uid="{00000000-0004-0000-0700-000028010000}"/>
    <hyperlink ref="H63" r:id="rId298" xr:uid="{00000000-0004-0000-0700-000029010000}"/>
    <hyperlink ref="I63" r:id="rId299" xr:uid="{00000000-0004-0000-0700-00002A010000}"/>
    <hyperlink ref="C64" r:id="rId300" xr:uid="{00000000-0004-0000-0700-00002B010000}"/>
    <hyperlink ref="F64" r:id="rId301" xr:uid="{00000000-0004-0000-0700-00002C010000}"/>
    <hyperlink ref="G64" r:id="rId302" xr:uid="{00000000-0004-0000-0700-00002D010000}"/>
    <hyperlink ref="H64" r:id="rId303" xr:uid="{00000000-0004-0000-0700-00002E010000}"/>
    <hyperlink ref="I64" r:id="rId304" xr:uid="{00000000-0004-0000-0700-00002F010000}"/>
    <hyperlink ref="C65" r:id="rId305" xr:uid="{00000000-0004-0000-0700-000030010000}"/>
    <hyperlink ref="F65" r:id="rId306" xr:uid="{00000000-0004-0000-0700-000031010000}"/>
    <hyperlink ref="G65" r:id="rId307" xr:uid="{00000000-0004-0000-0700-000032010000}"/>
    <hyperlink ref="H65" r:id="rId308" xr:uid="{00000000-0004-0000-0700-000033010000}"/>
    <hyperlink ref="I65" r:id="rId309" xr:uid="{00000000-0004-0000-0700-000034010000}"/>
    <hyperlink ref="C66" r:id="rId310" xr:uid="{00000000-0004-0000-0700-000035010000}"/>
    <hyperlink ref="F66" r:id="rId311" xr:uid="{00000000-0004-0000-0700-000036010000}"/>
    <hyperlink ref="G66" r:id="rId312" xr:uid="{00000000-0004-0000-0700-000037010000}"/>
    <hyperlink ref="H66" r:id="rId313" xr:uid="{00000000-0004-0000-0700-000038010000}"/>
    <hyperlink ref="I66" r:id="rId314" xr:uid="{00000000-0004-0000-0700-000039010000}"/>
    <hyperlink ref="C67" r:id="rId315" xr:uid="{00000000-0004-0000-0700-00003A010000}"/>
    <hyperlink ref="F67" r:id="rId316" xr:uid="{00000000-0004-0000-0700-00003B010000}"/>
    <hyperlink ref="G67" r:id="rId317" xr:uid="{00000000-0004-0000-0700-00003C010000}"/>
    <hyperlink ref="H67" r:id="rId318" xr:uid="{00000000-0004-0000-0700-00003D010000}"/>
    <hyperlink ref="I67" r:id="rId319" xr:uid="{00000000-0004-0000-0700-00003E010000}"/>
    <hyperlink ref="C68" r:id="rId320" xr:uid="{00000000-0004-0000-0700-00003F010000}"/>
    <hyperlink ref="F68" r:id="rId321" xr:uid="{00000000-0004-0000-0700-000040010000}"/>
    <hyperlink ref="G68" r:id="rId322" xr:uid="{00000000-0004-0000-0700-000041010000}"/>
    <hyperlink ref="H68" r:id="rId323" xr:uid="{00000000-0004-0000-0700-000042010000}"/>
    <hyperlink ref="I68" r:id="rId324" xr:uid="{00000000-0004-0000-0700-000043010000}"/>
    <hyperlink ref="C69" r:id="rId325" xr:uid="{00000000-0004-0000-0700-000044010000}"/>
    <hyperlink ref="F69" r:id="rId326" xr:uid="{00000000-0004-0000-0700-000045010000}"/>
    <hyperlink ref="G69" r:id="rId327" xr:uid="{00000000-0004-0000-0700-000046010000}"/>
    <hyperlink ref="H69" r:id="rId328" xr:uid="{00000000-0004-0000-0700-000047010000}"/>
    <hyperlink ref="I69" r:id="rId329" xr:uid="{00000000-0004-0000-0700-000048010000}"/>
    <hyperlink ref="C70" r:id="rId330" xr:uid="{00000000-0004-0000-0700-000049010000}"/>
    <hyperlink ref="F70" r:id="rId331" xr:uid="{00000000-0004-0000-0700-00004A010000}"/>
    <hyperlink ref="G70" r:id="rId332" xr:uid="{00000000-0004-0000-0700-00004B010000}"/>
    <hyperlink ref="H70" r:id="rId333" xr:uid="{00000000-0004-0000-0700-00004C010000}"/>
    <hyperlink ref="I70" r:id="rId334" xr:uid="{00000000-0004-0000-0700-00004D010000}"/>
    <hyperlink ref="C71" r:id="rId335" xr:uid="{00000000-0004-0000-0700-00004E010000}"/>
    <hyperlink ref="F71" r:id="rId336" xr:uid="{00000000-0004-0000-0700-00004F010000}"/>
    <hyperlink ref="G71" r:id="rId337" xr:uid="{00000000-0004-0000-0700-000050010000}"/>
    <hyperlink ref="H71" r:id="rId338" xr:uid="{00000000-0004-0000-0700-000051010000}"/>
    <hyperlink ref="I71" r:id="rId339" xr:uid="{00000000-0004-0000-0700-000052010000}"/>
    <hyperlink ref="C72" r:id="rId340" xr:uid="{00000000-0004-0000-0700-000053010000}"/>
    <hyperlink ref="F72" r:id="rId341" xr:uid="{00000000-0004-0000-0700-000054010000}"/>
    <hyperlink ref="G72" r:id="rId342" xr:uid="{00000000-0004-0000-0700-000055010000}"/>
    <hyperlink ref="H72" r:id="rId343" xr:uid="{00000000-0004-0000-0700-000056010000}"/>
    <hyperlink ref="I72" r:id="rId344" xr:uid="{00000000-0004-0000-0700-000057010000}"/>
    <hyperlink ref="C73" r:id="rId345" xr:uid="{00000000-0004-0000-0700-000058010000}"/>
    <hyperlink ref="F73" r:id="rId346" xr:uid="{00000000-0004-0000-0700-000059010000}"/>
    <hyperlink ref="G73" r:id="rId347" xr:uid="{00000000-0004-0000-0700-00005A010000}"/>
    <hyperlink ref="H73" r:id="rId348" xr:uid="{00000000-0004-0000-0700-00005B010000}"/>
    <hyperlink ref="I73" r:id="rId349" xr:uid="{00000000-0004-0000-0700-00005C010000}"/>
    <hyperlink ref="C74" r:id="rId350" xr:uid="{00000000-0004-0000-0700-00005D010000}"/>
    <hyperlink ref="F74" r:id="rId351" xr:uid="{00000000-0004-0000-0700-00005E010000}"/>
    <hyperlink ref="G74" r:id="rId352" xr:uid="{00000000-0004-0000-0700-00005F010000}"/>
    <hyperlink ref="H74" r:id="rId353" xr:uid="{00000000-0004-0000-0700-000060010000}"/>
    <hyperlink ref="I74" r:id="rId354" xr:uid="{00000000-0004-0000-0700-000061010000}"/>
    <hyperlink ref="C75" r:id="rId355" xr:uid="{00000000-0004-0000-0700-000062010000}"/>
    <hyperlink ref="F75" r:id="rId356" xr:uid="{00000000-0004-0000-0700-000063010000}"/>
    <hyperlink ref="G75" r:id="rId357" xr:uid="{00000000-0004-0000-0700-000064010000}"/>
    <hyperlink ref="H75" r:id="rId358" xr:uid="{00000000-0004-0000-0700-000065010000}"/>
    <hyperlink ref="I75" r:id="rId359" xr:uid="{00000000-0004-0000-0700-000066010000}"/>
    <hyperlink ref="H76" r:id="rId360" xr:uid="{00000000-0004-0000-0700-000067010000}"/>
    <hyperlink ref="I76" r:id="rId361" xr:uid="{00000000-0004-0000-0700-000068010000}"/>
    <hyperlink ref="F77" r:id="rId362" xr:uid="{00000000-0004-0000-0700-000069010000}"/>
    <hyperlink ref="G77" r:id="rId363" xr:uid="{00000000-0004-0000-0700-00006A010000}"/>
    <hyperlink ref="H77" r:id="rId364" xr:uid="{00000000-0004-0000-0700-00006B010000}"/>
    <hyperlink ref="I77" r:id="rId365" xr:uid="{00000000-0004-0000-0700-00006C010000}"/>
    <hyperlink ref="C78" r:id="rId366" xr:uid="{00000000-0004-0000-0700-00006D010000}"/>
    <hyperlink ref="F78" r:id="rId367" xr:uid="{00000000-0004-0000-0700-00006E010000}"/>
    <hyperlink ref="G78" r:id="rId368" xr:uid="{00000000-0004-0000-0700-00006F010000}"/>
    <hyperlink ref="H78" r:id="rId369" xr:uid="{00000000-0004-0000-0700-000070010000}"/>
    <hyperlink ref="I78" r:id="rId370" xr:uid="{00000000-0004-0000-0700-000071010000}"/>
    <hyperlink ref="C79" r:id="rId371" xr:uid="{00000000-0004-0000-0700-000072010000}"/>
    <hyperlink ref="F79" r:id="rId372" xr:uid="{00000000-0004-0000-0700-000073010000}"/>
    <hyperlink ref="G79" r:id="rId373" xr:uid="{00000000-0004-0000-0700-000074010000}"/>
    <hyperlink ref="H79" r:id="rId374" xr:uid="{00000000-0004-0000-0700-000075010000}"/>
    <hyperlink ref="I79" r:id="rId375" xr:uid="{00000000-0004-0000-0700-000076010000}"/>
    <hyperlink ref="C80" r:id="rId376" xr:uid="{00000000-0004-0000-0700-000077010000}"/>
    <hyperlink ref="F80" r:id="rId377" xr:uid="{00000000-0004-0000-0700-000078010000}"/>
    <hyperlink ref="G80" r:id="rId378" xr:uid="{00000000-0004-0000-0700-000079010000}"/>
    <hyperlink ref="H80" r:id="rId379" xr:uid="{00000000-0004-0000-0700-00007A010000}"/>
    <hyperlink ref="I80" r:id="rId380" xr:uid="{00000000-0004-0000-0700-00007B010000}"/>
    <hyperlink ref="C81" r:id="rId381" xr:uid="{00000000-0004-0000-0700-00007C010000}"/>
    <hyperlink ref="F81" r:id="rId382" xr:uid="{00000000-0004-0000-0700-00007D010000}"/>
    <hyperlink ref="G81" r:id="rId383" xr:uid="{00000000-0004-0000-0700-00007E010000}"/>
    <hyperlink ref="H81" r:id="rId384" xr:uid="{00000000-0004-0000-0700-00007F010000}"/>
    <hyperlink ref="I81" r:id="rId385" xr:uid="{00000000-0004-0000-0700-000080010000}"/>
    <hyperlink ref="C82" r:id="rId386" xr:uid="{00000000-0004-0000-0700-000081010000}"/>
    <hyperlink ref="F82" r:id="rId387" xr:uid="{00000000-0004-0000-0700-000082010000}"/>
    <hyperlink ref="G82" r:id="rId388" xr:uid="{00000000-0004-0000-0700-000083010000}"/>
    <hyperlink ref="H82" r:id="rId389" xr:uid="{00000000-0004-0000-0700-000084010000}"/>
    <hyperlink ref="I82" r:id="rId390" xr:uid="{00000000-0004-0000-0700-000085010000}"/>
    <hyperlink ref="C83" r:id="rId391" xr:uid="{00000000-0004-0000-0700-000086010000}"/>
    <hyperlink ref="F83" r:id="rId392" xr:uid="{00000000-0004-0000-0700-000087010000}"/>
    <hyperlink ref="G83" r:id="rId393" xr:uid="{00000000-0004-0000-0700-000088010000}"/>
    <hyperlink ref="H83" r:id="rId394" xr:uid="{00000000-0004-0000-0700-000089010000}"/>
    <hyperlink ref="I83" r:id="rId395" xr:uid="{00000000-0004-0000-0700-00008A010000}"/>
    <hyperlink ref="C84" r:id="rId396" xr:uid="{00000000-0004-0000-0700-00008B010000}"/>
    <hyperlink ref="F84" r:id="rId397" xr:uid="{00000000-0004-0000-0700-00008C010000}"/>
    <hyperlink ref="G84" r:id="rId398" xr:uid="{00000000-0004-0000-0700-00008D010000}"/>
    <hyperlink ref="H84" r:id="rId399" xr:uid="{00000000-0004-0000-0700-00008E010000}"/>
    <hyperlink ref="I84" r:id="rId400" xr:uid="{00000000-0004-0000-0700-00008F010000}"/>
    <hyperlink ref="C85" r:id="rId401" xr:uid="{00000000-0004-0000-0700-000090010000}"/>
    <hyperlink ref="F85" r:id="rId402" xr:uid="{00000000-0004-0000-0700-000091010000}"/>
    <hyperlink ref="G85" r:id="rId403" xr:uid="{00000000-0004-0000-0700-000092010000}"/>
    <hyperlink ref="H85" r:id="rId404" xr:uid="{00000000-0004-0000-0700-000093010000}"/>
    <hyperlink ref="I85" r:id="rId405" xr:uid="{00000000-0004-0000-0700-000094010000}"/>
    <hyperlink ref="C86" r:id="rId406" xr:uid="{00000000-0004-0000-0700-000095010000}"/>
    <hyperlink ref="F86" r:id="rId407" xr:uid="{00000000-0004-0000-0700-000096010000}"/>
    <hyperlink ref="G86" r:id="rId408" xr:uid="{00000000-0004-0000-0700-000097010000}"/>
    <hyperlink ref="H86" r:id="rId409" xr:uid="{00000000-0004-0000-0700-000098010000}"/>
    <hyperlink ref="I86" r:id="rId410" xr:uid="{00000000-0004-0000-0700-000099010000}"/>
    <hyperlink ref="C87" r:id="rId411" xr:uid="{00000000-0004-0000-0700-00009A010000}"/>
    <hyperlink ref="F87" r:id="rId412" display="2 C00025 + C00006" xr:uid="{00000000-0004-0000-0700-00009B010000}"/>
    <hyperlink ref="G87" r:id="rId413" display="2 C00025 * C00006" xr:uid="{00000000-0004-0000-0700-00009C010000}"/>
    <hyperlink ref="H87" r:id="rId414" xr:uid="{00000000-0004-0000-0700-00009D010000}"/>
    <hyperlink ref="I87" r:id="rId415" xr:uid="{00000000-0004-0000-0700-00009E010000}"/>
    <hyperlink ref="C88" r:id="rId416" xr:uid="{00000000-0004-0000-0700-00009F010000}"/>
    <hyperlink ref="F88" r:id="rId417" xr:uid="{00000000-0004-0000-0700-0000A0010000}"/>
    <hyperlink ref="G88" r:id="rId418" xr:uid="{00000000-0004-0000-0700-0000A1010000}"/>
    <hyperlink ref="H88" r:id="rId419" xr:uid="{00000000-0004-0000-0700-0000A2010000}"/>
    <hyperlink ref="I88" r:id="rId420" xr:uid="{00000000-0004-0000-0700-0000A3010000}"/>
    <hyperlink ref="C89" r:id="rId421" xr:uid="{00000000-0004-0000-0700-0000A4010000}"/>
    <hyperlink ref="F89" r:id="rId422" xr:uid="{00000000-0004-0000-0700-0000A5010000}"/>
    <hyperlink ref="G89" r:id="rId423" xr:uid="{00000000-0004-0000-0700-0000A6010000}"/>
    <hyperlink ref="H89" r:id="rId424" xr:uid="{00000000-0004-0000-0700-0000A7010000}"/>
    <hyperlink ref="I89" r:id="rId425" xr:uid="{00000000-0004-0000-0700-0000A8010000}"/>
    <hyperlink ref="C90" r:id="rId426" xr:uid="{00000000-0004-0000-0700-0000A9010000}"/>
    <hyperlink ref="F90" r:id="rId427" xr:uid="{00000000-0004-0000-0700-0000AA010000}"/>
    <hyperlink ref="G90" r:id="rId428" xr:uid="{00000000-0004-0000-0700-0000AB010000}"/>
    <hyperlink ref="H90" r:id="rId429" xr:uid="{00000000-0004-0000-0700-0000AC010000}"/>
    <hyperlink ref="I90" r:id="rId430" xr:uid="{00000000-0004-0000-0700-0000AD010000}"/>
    <hyperlink ref="C91" r:id="rId431" xr:uid="{00000000-0004-0000-0700-0000AE010000}"/>
    <hyperlink ref="F91" r:id="rId432" xr:uid="{00000000-0004-0000-0700-0000AF010000}"/>
    <hyperlink ref="G91" r:id="rId433" xr:uid="{00000000-0004-0000-0700-0000B0010000}"/>
    <hyperlink ref="H91" r:id="rId434" xr:uid="{00000000-0004-0000-0700-0000B1010000}"/>
    <hyperlink ref="I91" r:id="rId435" xr:uid="{00000000-0004-0000-0700-0000B2010000}"/>
    <hyperlink ref="F92" r:id="rId436" xr:uid="{00000000-0004-0000-0700-0000B3010000}"/>
    <hyperlink ref="G92" r:id="rId437" xr:uid="{00000000-0004-0000-0700-0000B4010000}"/>
    <hyperlink ref="H92" r:id="rId438" xr:uid="{00000000-0004-0000-0700-0000B5010000}"/>
    <hyperlink ref="I92" r:id="rId439" xr:uid="{00000000-0004-0000-0700-0000B6010000}"/>
    <hyperlink ref="H93" r:id="rId440" xr:uid="{00000000-0004-0000-0700-0000B7010000}"/>
    <hyperlink ref="I93" r:id="rId441" xr:uid="{00000000-0004-0000-0700-0000B8010000}"/>
    <hyperlink ref="F94" r:id="rId442" xr:uid="{00000000-0004-0000-0700-0000B9010000}"/>
    <hyperlink ref="G94" r:id="rId443" xr:uid="{00000000-0004-0000-0700-0000BA010000}"/>
    <hyperlink ref="H94" r:id="rId444" xr:uid="{00000000-0004-0000-0700-0000BB010000}"/>
    <hyperlink ref="I94" r:id="rId445" xr:uid="{00000000-0004-0000-0700-0000BC010000}"/>
    <hyperlink ref="F95" r:id="rId446" xr:uid="{00000000-0004-0000-0700-0000BD010000}"/>
    <hyperlink ref="G95" r:id="rId447" xr:uid="{00000000-0004-0000-0700-0000BE010000}"/>
    <hyperlink ref="H95" r:id="rId448" xr:uid="{00000000-0004-0000-0700-0000BF010000}"/>
    <hyperlink ref="I95" r:id="rId449" xr:uid="{00000000-0004-0000-0700-0000C0010000}"/>
    <hyperlink ref="C96" r:id="rId450" xr:uid="{00000000-0004-0000-0700-0000C1010000}"/>
    <hyperlink ref="F96" r:id="rId451" xr:uid="{00000000-0004-0000-0700-0000C2010000}"/>
    <hyperlink ref="G96" r:id="rId452" xr:uid="{00000000-0004-0000-0700-0000C3010000}"/>
    <hyperlink ref="H96" r:id="rId453" xr:uid="{00000000-0004-0000-0700-0000C4010000}"/>
    <hyperlink ref="I96" r:id="rId454" xr:uid="{00000000-0004-0000-0700-0000C5010000}"/>
    <hyperlink ref="C97" r:id="rId455" xr:uid="{00000000-0004-0000-0700-0000C6010000}"/>
    <hyperlink ref="F97" r:id="rId456" xr:uid="{00000000-0004-0000-0700-0000C7010000}"/>
    <hyperlink ref="G97" r:id="rId457" xr:uid="{00000000-0004-0000-0700-0000C8010000}"/>
    <hyperlink ref="H97" r:id="rId458" xr:uid="{00000000-0004-0000-0700-0000C9010000}"/>
    <hyperlink ref="I97" r:id="rId459" xr:uid="{00000000-0004-0000-0700-0000CA010000}"/>
    <hyperlink ref="C98" r:id="rId460" xr:uid="{00000000-0004-0000-0700-0000CB010000}"/>
    <hyperlink ref="F98" r:id="rId461" xr:uid="{00000000-0004-0000-0700-0000CC010000}"/>
    <hyperlink ref="G98" r:id="rId462" xr:uid="{00000000-0004-0000-0700-0000CD010000}"/>
    <hyperlink ref="H98" r:id="rId463" xr:uid="{00000000-0004-0000-0700-0000CE010000}"/>
    <hyperlink ref="I98" r:id="rId464" xr:uid="{00000000-0004-0000-0700-0000CF010000}"/>
    <hyperlink ref="C99" r:id="rId465" xr:uid="{00000000-0004-0000-0700-0000D0010000}"/>
    <hyperlink ref="F99" r:id="rId466" xr:uid="{00000000-0004-0000-0700-0000D1010000}"/>
    <hyperlink ref="G99" r:id="rId467" xr:uid="{00000000-0004-0000-0700-0000D2010000}"/>
    <hyperlink ref="H99" r:id="rId468" xr:uid="{00000000-0004-0000-0700-0000D3010000}"/>
    <hyperlink ref="I99" r:id="rId469" xr:uid="{00000000-0004-0000-0700-0000D4010000}"/>
    <hyperlink ref="C100" r:id="rId470" xr:uid="{00000000-0004-0000-0700-0000D5010000}"/>
    <hyperlink ref="F100" r:id="rId471" xr:uid="{00000000-0004-0000-0700-0000D6010000}"/>
    <hyperlink ref="G100" r:id="rId472" xr:uid="{00000000-0004-0000-0700-0000D7010000}"/>
    <hyperlink ref="H100" r:id="rId473" xr:uid="{00000000-0004-0000-0700-0000D8010000}"/>
    <hyperlink ref="I100" r:id="rId474" xr:uid="{00000000-0004-0000-0700-0000D9010000}"/>
    <hyperlink ref="C101" r:id="rId475" xr:uid="{00000000-0004-0000-0700-0000DA010000}"/>
    <hyperlink ref="H101" r:id="rId476" xr:uid="{00000000-0004-0000-0700-0000DB010000}"/>
    <hyperlink ref="I101" r:id="rId477" xr:uid="{00000000-0004-0000-0700-0000DC010000}"/>
    <hyperlink ref="C102" r:id="rId478" xr:uid="{00000000-0004-0000-0700-0000DD010000}"/>
    <hyperlink ref="F102" r:id="rId479" display="C00101 + 2 C00003" xr:uid="{00000000-0004-0000-0700-0000DE010000}"/>
    <hyperlink ref="G102" r:id="rId480" display="C00101 * 2 C00003" xr:uid="{00000000-0004-0000-0700-0000DF010000}"/>
    <hyperlink ref="H102" r:id="rId481" display="C00504 + 2 C00004 + 2 C00080" xr:uid="{00000000-0004-0000-0700-0000E0010000}"/>
    <hyperlink ref="I102" r:id="rId482" display="C00504 * 2 C00004 * 2 C00080" xr:uid="{00000000-0004-0000-0700-0000E1010000}"/>
    <hyperlink ref="C103" r:id="rId483" xr:uid="{00000000-0004-0000-0700-0000E2010000}"/>
    <hyperlink ref="F103" r:id="rId484" display="C00101 + 2 C00006" xr:uid="{00000000-0004-0000-0700-0000E3010000}"/>
    <hyperlink ref="G103" r:id="rId485" display="C00101 * 2 C00006" xr:uid="{00000000-0004-0000-0700-0000E4010000}"/>
    <hyperlink ref="H103" r:id="rId486" display="C00504 + 2 C00005 + 2 C00080" xr:uid="{00000000-0004-0000-0700-0000E5010000}"/>
    <hyperlink ref="I103" r:id="rId487" display="C00504 * 2 C00005 * 2 C00080" xr:uid="{00000000-0004-0000-0700-0000E6010000}"/>
    <hyperlink ref="C104" r:id="rId488" xr:uid="{00000000-0004-0000-0700-0000E7010000}"/>
    <hyperlink ref="F104" r:id="rId489" xr:uid="{00000000-0004-0000-0700-0000E8010000}"/>
    <hyperlink ref="G104" r:id="rId490" xr:uid="{00000000-0004-0000-0700-0000E9010000}"/>
    <hyperlink ref="H104" r:id="rId491" xr:uid="{00000000-0004-0000-0700-0000EA010000}"/>
    <hyperlink ref="I104" r:id="rId492" xr:uid="{00000000-0004-0000-0700-0000EB010000}"/>
    <hyperlink ref="C105" r:id="rId493" xr:uid="{00000000-0004-0000-0700-0000EC010000}"/>
    <hyperlink ref="F105" r:id="rId494" xr:uid="{00000000-0004-0000-0700-0000ED010000}"/>
    <hyperlink ref="G105" r:id="rId495" xr:uid="{00000000-0004-0000-0700-0000EE010000}"/>
    <hyperlink ref="H105" r:id="rId496" xr:uid="{00000000-0004-0000-0700-0000EF010000}"/>
    <hyperlink ref="I105" r:id="rId497" xr:uid="{00000000-0004-0000-0700-0000F0010000}"/>
    <hyperlink ref="C106" r:id="rId498" xr:uid="{00000000-0004-0000-0700-0000F1010000}"/>
    <hyperlink ref="F106" r:id="rId499" xr:uid="{00000000-0004-0000-0700-0000F2010000}"/>
    <hyperlink ref="G106" r:id="rId500" xr:uid="{00000000-0004-0000-0700-0000F3010000}"/>
    <hyperlink ref="H106" r:id="rId501" xr:uid="{00000000-0004-0000-0700-0000F4010000}"/>
    <hyperlink ref="I106" r:id="rId502" xr:uid="{00000000-0004-0000-0700-0000F5010000}"/>
    <hyperlink ref="C107" r:id="rId503" xr:uid="{00000000-0004-0000-0700-0000F6010000}"/>
    <hyperlink ref="F107" r:id="rId504" xr:uid="{00000000-0004-0000-0700-0000F7010000}"/>
    <hyperlink ref="G107" r:id="rId505" xr:uid="{00000000-0004-0000-0700-0000F8010000}"/>
    <hyperlink ref="H107" r:id="rId506" xr:uid="{00000000-0004-0000-0700-0000F9010000}"/>
    <hyperlink ref="I107" r:id="rId507" xr:uid="{00000000-0004-0000-0700-0000FA010000}"/>
    <hyperlink ref="C108" r:id="rId508" xr:uid="{00000000-0004-0000-0700-0000FB010000}"/>
    <hyperlink ref="F108" r:id="rId509" xr:uid="{00000000-0004-0000-0700-0000FC010000}"/>
    <hyperlink ref="G108" r:id="rId510" xr:uid="{00000000-0004-0000-0700-0000FD010000}"/>
    <hyperlink ref="H108" r:id="rId511" xr:uid="{00000000-0004-0000-0700-0000FE010000}"/>
    <hyperlink ref="I108" r:id="rId512" xr:uid="{00000000-0004-0000-0700-0000FF010000}"/>
    <hyperlink ref="C109" r:id="rId513" xr:uid="{00000000-0004-0000-0700-000000020000}"/>
    <hyperlink ref="F109" r:id="rId514" xr:uid="{00000000-0004-0000-0700-000001020000}"/>
    <hyperlink ref="G109" r:id="rId515" xr:uid="{00000000-0004-0000-0700-000002020000}"/>
    <hyperlink ref="H109" r:id="rId516" xr:uid="{00000000-0004-0000-0700-000003020000}"/>
    <hyperlink ref="I109" r:id="rId517" xr:uid="{00000000-0004-0000-0700-000004020000}"/>
    <hyperlink ref="C110" r:id="rId518" xr:uid="{00000000-0004-0000-0700-000005020000}"/>
    <hyperlink ref="F110" r:id="rId519" xr:uid="{00000000-0004-0000-0700-000006020000}"/>
    <hyperlink ref="G110" r:id="rId520" xr:uid="{00000000-0004-0000-0700-000007020000}"/>
    <hyperlink ref="H110" r:id="rId521" xr:uid="{00000000-0004-0000-0700-000008020000}"/>
    <hyperlink ref="I110" r:id="rId522" xr:uid="{00000000-0004-0000-0700-000009020000}"/>
    <hyperlink ref="C111" r:id="rId523" xr:uid="{00000000-0004-0000-0700-00000A020000}"/>
    <hyperlink ref="F111" r:id="rId524" xr:uid="{00000000-0004-0000-0700-00000B020000}"/>
    <hyperlink ref="G111" r:id="rId525" xr:uid="{00000000-0004-0000-0700-00000C020000}"/>
    <hyperlink ref="H111" r:id="rId526" xr:uid="{00000000-0004-0000-0700-00000D020000}"/>
    <hyperlink ref="I111" r:id="rId527" xr:uid="{00000000-0004-0000-0700-00000E020000}"/>
    <hyperlink ref="C112" r:id="rId528" xr:uid="{00000000-0004-0000-0700-00000F020000}"/>
    <hyperlink ref="F112" r:id="rId529" xr:uid="{00000000-0004-0000-0700-000010020000}"/>
    <hyperlink ref="G112" r:id="rId530" xr:uid="{00000000-0004-0000-0700-000011020000}"/>
    <hyperlink ref="H112" r:id="rId531" xr:uid="{00000000-0004-0000-0700-000012020000}"/>
    <hyperlink ref="I112" r:id="rId532" xr:uid="{00000000-0004-0000-0700-000013020000}"/>
    <hyperlink ref="C113" r:id="rId533" xr:uid="{00000000-0004-0000-0700-000014020000}"/>
    <hyperlink ref="F113" r:id="rId534" xr:uid="{00000000-0004-0000-0700-000015020000}"/>
    <hyperlink ref="G113" r:id="rId535" xr:uid="{00000000-0004-0000-0700-000016020000}"/>
    <hyperlink ref="H113" r:id="rId536" xr:uid="{00000000-0004-0000-0700-000017020000}"/>
    <hyperlink ref="I113" r:id="rId537" xr:uid="{00000000-0004-0000-0700-000018020000}"/>
    <hyperlink ref="C114" r:id="rId538" xr:uid="{00000000-0004-0000-0700-000019020000}"/>
    <hyperlink ref="F114" r:id="rId539" xr:uid="{00000000-0004-0000-0700-00001A020000}"/>
    <hyperlink ref="G114" r:id="rId540" xr:uid="{00000000-0004-0000-0700-00001B020000}"/>
    <hyperlink ref="H114" r:id="rId541" xr:uid="{00000000-0004-0000-0700-00001C020000}"/>
    <hyperlink ref="I114" r:id="rId542" xr:uid="{00000000-0004-0000-0700-00001D020000}"/>
    <hyperlink ref="C115" r:id="rId543" xr:uid="{00000000-0004-0000-0700-00001E020000}"/>
    <hyperlink ref="F115" r:id="rId544" display="2 C00005 + 2 C00080 + C18902" xr:uid="{00000000-0004-0000-0700-00001F020000}"/>
    <hyperlink ref="G115" r:id="rId545" display="2 C00005 * 2 C00080 * C18902" xr:uid="{00000000-0004-0000-0700-000020020000}"/>
    <hyperlink ref="H115" r:id="rId546" display="2 C00006 + 2 C00001 + C05703" xr:uid="{00000000-0004-0000-0700-000021020000}"/>
    <hyperlink ref="I115" r:id="rId547" display="2 C00006 * 2 C00001 * C05703" xr:uid="{00000000-0004-0000-0700-000022020000}"/>
    <hyperlink ref="C116" r:id="rId548" xr:uid="{00000000-0004-0000-0700-000023020000}"/>
    <hyperlink ref="F116" r:id="rId549" xr:uid="{00000000-0004-0000-0700-000024020000}"/>
    <hyperlink ref="G116" r:id="rId550" xr:uid="{00000000-0004-0000-0700-000025020000}"/>
    <hyperlink ref="H116" r:id="rId551" xr:uid="{00000000-0004-0000-0700-000026020000}"/>
    <hyperlink ref="I116" r:id="rId552" xr:uid="{00000000-0004-0000-0700-000027020000}"/>
    <hyperlink ref="C117" r:id="rId553" xr:uid="{00000000-0004-0000-0700-000028020000}"/>
    <hyperlink ref="F117" r:id="rId554" xr:uid="{00000000-0004-0000-0700-000029020000}"/>
    <hyperlink ref="G117" r:id="rId555" xr:uid="{00000000-0004-0000-0700-00002A020000}"/>
    <hyperlink ref="H117" r:id="rId556" xr:uid="{00000000-0004-0000-0700-00002B020000}"/>
    <hyperlink ref="I117" r:id="rId557" xr:uid="{00000000-0004-0000-0700-00002C020000}"/>
    <hyperlink ref="C118" r:id="rId558" xr:uid="{00000000-0004-0000-0700-00002D020000}"/>
    <hyperlink ref="F118" r:id="rId559" display="C01528 + 3 C00006 + 3 C00001" xr:uid="{00000000-0004-0000-0700-00002E020000}"/>
    <hyperlink ref="G118" r:id="rId560" display="C01528 * 3 C00006 * 3 C00001" xr:uid="{00000000-0004-0000-0700-00002F020000}"/>
    <hyperlink ref="H118" r:id="rId561" display="C05684 + 3 C00005 + 5 C00080" xr:uid="{00000000-0004-0000-0700-000030020000}"/>
    <hyperlink ref="I118" r:id="rId562" display="C05684 * 3 C00005 * 5 C00080" xr:uid="{00000000-0004-0000-0700-000031020000}"/>
    <hyperlink ref="C119" r:id="rId563" xr:uid="{00000000-0004-0000-0700-000032020000}"/>
    <hyperlink ref="F119" r:id="rId564" xr:uid="{00000000-0004-0000-0700-000033020000}"/>
    <hyperlink ref="G119" r:id="rId565" xr:uid="{00000000-0004-0000-0700-000034020000}"/>
    <hyperlink ref="H119" r:id="rId566" xr:uid="{00000000-0004-0000-0700-000035020000}"/>
    <hyperlink ref="I119" r:id="rId567" xr:uid="{00000000-0004-0000-0700-000036020000}"/>
    <hyperlink ref="C120" r:id="rId568" xr:uid="{00000000-0004-0000-0700-000037020000}"/>
    <hyperlink ref="F120" r:id="rId569" xr:uid="{00000000-0004-0000-0700-000038020000}"/>
    <hyperlink ref="G120" r:id="rId570" xr:uid="{00000000-0004-0000-0700-000039020000}"/>
    <hyperlink ref="H120" r:id="rId571" xr:uid="{00000000-0004-0000-0700-00003A020000}"/>
    <hyperlink ref="I120" r:id="rId572" xr:uid="{00000000-0004-0000-0700-00003B020000}"/>
    <hyperlink ref="C121" r:id="rId573" xr:uid="{00000000-0004-0000-0700-00003C020000}"/>
    <hyperlink ref="F121" r:id="rId574" xr:uid="{00000000-0004-0000-0700-00003D020000}"/>
    <hyperlink ref="G121" r:id="rId575" xr:uid="{00000000-0004-0000-0700-00003E020000}"/>
    <hyperlink ref="H121" r:id="rId576" xr:uid="{00000000-0004-0000-0700-00003F020000}"/>
    <hyperlink ref="I121" r:id="rId577" xr:uid="{00000000-0004-0000-0700-000040020000}"/>
    <hyperlink ref="C122" r:id="rId578" xr:uid="{00000000-0004-0000-0700-000041020000}"/>
    <hyperlink ref="F122" r:id="rId579" xr:uid="{00000000-0004-0000-0700-000042020000}"/>
    <hyperlink ref="G122" r:id="rId580" xr:uid="{00000000-0004-0000-0700-000043020000}"/>
    <hyperlink ref="H122" r:id="rId581" xr:uid="{00000000-0004-0000-0700-000044020000}"/>
    <hyperlink ref="I122" r:id="rId582" xr:uid="{00000000-0004-0000-0700-000045020000}"/>
    <hyperlink ref="C123" r:id="rId583" xr:uid="{00000000-0004-0000-0700-000046020000}"/>
    <hyperlink ref="F123" r:id="rId584" xr:uid="{00000000-0004-0000-0700-000047020000}"/>
    <hyperlink ref="G123" r:id="rId585" xr:uid="{00000000-0004-0000-0700-000048020000}"/>
    <hyperlink ref="H123" r:id="rId586" xr:uid="{00000000-0004-0000-0700-000049020000}"/>
    <hyperlink ref="I123" r:id="rId587" xr:uid="{00000000-0004-0000-0700-00004A020000}"/>
    <hyperlink ref="C124" r:id="rId588" xr:uid="{00000000-0004-0000-0700-00004B020000}"/>
    <hyperlink ref="F124" r:id="rId589" xr:uid="{00000000-0004-0000-0700-00004C020000}"/>
    <hyperlink ref="G124" r:id="rId590" xr:uid="{00000000-0004-0000-0700-00004D020000}"/>
    <hyperlink ref="H124" r:id="rId591" xr:uid="{00000000-0004-0000-0700-00004E020000}"/>
    <hyperlink ref="I124" r:id="rId592" xr:uid="{00000000-0004-0000-0700-00004F020000}"/>
    <hyperlink ref="C125" r:id="rId593" xr:uid="{00000000-0004-0000-0700-000050020000}"/>
    <hyperlink ref="F125" r:id="rId594" xr:uid="{00000000-0004-0000-0700-000051020000}"/>
    <hyperlink ref="G125" r:id="rId595" xr:uid="{00000000-0004-0000-0700-000052020000}"/>
    <hyperlink ref="H125" r:id="rId596" xr:uid="{00000000-0004-0000-0700-000053020000}"/>
    <hyperlink ref="I125" r:id="rId597" xr:uid="{00000000-0004-0000-0700-000054020000}"/>
    <hyperlink ref="C126" r:id="rId598" xr:uid="{00000000-0004-0000-0700-000055020000}"/>
    <hyperlink ref="F126" r:id="rId599" xr:uid="{00000000-0004-0000-0700-000056020000}"/>
    <hyperlink ref="G126" r:id="rId600" xr:uid="{00000000-0004-0000-0700-000057020000}"/>
    <hyperlink ref="H126" r:id="rId601" xr:uid="{00000000-0004-0000-0700-000058020000}"/>
    <hyperlink ref="I126" r:id="rId602" xr:uid="{00000000-0004-0000-0700-000059020000}"/>
    <hyperlink ref="C127" r:id="rId603" xr:uid="{00000000-0004-0000-0700-00005A020000}"/>
    <hyperlink ref="F127" r:id="rId604" display="2 C00019 + C20648" xr:uid="{00000000-0004-0000-0700-00005B020000}"/>
    <hyperlink ref="G127" r:id="rId605" display="2 C00019 * C20648" xr:uid="{00000000-0004-0000-0700-00005C020000}"/>
    <hyperlink ref="H127" r:id="rId606" display="2 C00021 + C20796" xr:uid="{00000000-0004-0000-0700-00005D020000}"/>
    <hyperlink ref="I127" r:id="rId607" display="2 C00021 * C20796" xr:uid="{00000000-0004-0000-0700-00005E020000}"/>
    <hyperlink ref="C128" r:id="rId608" xr:uid="{00000000-0004-0000-0700-00005F020000}"/>
    <hyperlink ref="F128" r:id="rId609" xr:uid="{00000000-0004-0000-0700-000060020000}"/>
    <hyperlink ref="G128" r:id="rId610" xr:uid="{00000000-0004-0000-0700-000061020000}"/>
    <hyperlink ref="H128" r:id="rId611" xr:uid="{00000000-0004-0000-0700-000062020000}"/>
    <hyperlink ref="I128" r:id="rId612" xr:uid="{00000000-0004-0000-0700-000063020000}"/>
    <hyperlink ref="C129" r:id="rId613" xr:uid="{00000000-0004-0000-0700-000064020000}"/>
    <hyperlink ref="F129" r:id="rId614" xr:uid="{00000000-0004-0000-0700-000065020000}"/>
    <hyperlink ref="G129" r:id="rId615" xr:uid="{00000000-0004-0000-0700-000066020000}"/>
    <hyperlink ref="H129" r:id="rId616" xr:uid="{00000000-0004-0000-0700-000067020000}"/>
    <hyperlink ref="I129" r:id="rId617" xr:uid="{00000000-0004-0000-0700-000068020000}"/>
    <hyperlink ref="C130" r:id="rId618" xr:uid="{00000000-0004-0000-0700-000069020000}"/>
    <hyperlink ref="F130" r:id="rId619" xr:uid="{00000000-0004-0000-0700-00006A020000}"/>
    <hyperlink ref="G130" r:id="rId620" xr:uid="{00000000-0004-0000-0700-00006B020000}"/>
    <hyperlink ref="H130" r:id="rId621" xr:uid="{00000000-0004-0000-0700-00006C020000}"/>
    <hyperlink ref="I130" r:id="rId622" xr:uid="{00000000-0004-0000-0700-00006D020000}"/>
    <hyperlink ref="C131" r:id="rId623" xr:uid="{00000000-0004-0000-0700-00006E020000}"/>
    <hyperlink ref="F131" r:id="rId624" xr:uid="{00000000-0004-0000-0700-00006F020000}"/>
    <hyperlink ref="G131" r:id="rId625" xr:uid="{00000000-0004-0000-0700-000070020000}"/>
    <hyperlink ref="H131" r:id="rId626" xr:uid="{00000000-0004-0000-0700-000071020000}"/>
    <hyperlink ref="I131" r:id="rId627" xr:uid="{00000000-0004-0000-0700-000072020000}"/>
    <hyperlink ref="F132" r:id="rId628" xr:uid="{00000000-0004-0000-0700-000073020000}"/>
    <hyperlink ref="G132" r:id="rId629" xr:uid="{00000000-0004-0000-0700-000074020000}"/>
    <hyperlink ref="H132" r:id="rId630" xr:uid="{00000000-0004-0000-0700-000075020000}"/>
    <hyperlink ref="I132" r:id="rId631" xr:uid="{00000000-0004-0000-0700-000076020000}"/>
    <hyperlink ref="C133" r:id="rId632" xr:uid="{00000000-0004-0000-0700-000077020000}"/>
    <hyperlink ref="F133" r:id="rId633" xr:uid="{00000000-0004-0000-0700-000078020000}"/>
    <hyperlink ref="G133" r:id="rId634" xr:uid="{00000000-0004-0000-0700-000079020000}"/>
    <hyperlink ref="H133" r:id="rId635" xr:uid="{00000000-0004-0000-0700-00007A020000}"/>
    <hyperlink ref="I133" r:id="rId636" xr:uid="{00000000-0004-0000-0700-00007B020000}"/>
    <hyperlink ref="C134" r:id="rId637" xr:uid="{00000000-0004-0000-0700-00007C020000}"/>
    <hyperlink ref="F134" r:id="rId638" xr:uid="{00000000-0004-0000-0700-00007D020000}"/>
    <hyperlink ref="G134" r:id="rId639" xr:uid="{00000000-0004-0000-0700-00007E020000}"/>
    <hyperlink ref="H134" r:id="rId640" xr:uid="{00000000-0004-0000-0700-00007F020000}"/>
    <hyperlink ref="I134" r:id="rId641" xr:uid="{00000000-0004-0000-0700-000080020000}"/>
    <hyperlink ref="F135" r:id="rId642" xr:uid="{00000000-0004-0000-0700-000081020000}"/>
    <hyperlink ref="G135" r:id="rId643" xr:uid="{00000000-0004-0000-0700-000082020000}"/>
    <hyperlink ref="H135" r:id="rId644" xr:uid="{00000000-0004-0000-0700-000083020000}"/>
    <hyperlink ref="I135" r:id="rId645" xr:uid="{00000000-0004-0000-0700-000084020000}"/>
    <hyperlink ref="F136" r:id="rId646" xr:uid="{00000000-0004-0000-0700-000085020000}"/>
    <hyperlink ref="G136" r:id="rId647" xr:uid="{00000000-0004-0000-0700-000086020000}"/>
    <hyperlink ref="H136" r:id="rId648" xr:uid="{00000000-0004-0000-0700-000087020000}"/>
    <hyperlink ref="I136" r:id="rId649" xr:uid="{00000000-0004-0000-0700-000088020000}"/>
    <hyperlink ref="C137" r:id="rId650" xr:uid="{00000000-0004-0000-0700-000089020000}"/>
    <hyperlink ref="F137" r:id="rId651" xr:uid="{00000000-0004-0000-0700-00008A020000}"/>
    <hyperlink ref="G137" r:id="rId652" xr:uid="{00000000-0004-0000-0700-00008B020000}"/>
    <hyperlink ref="H137" r:id="rId653" xr:uid="{00000000-0004-0000-0700-00008C020000}"/>
    <hyperlink ref="I137" r:id="rId654" xr:uid="{00000000-0004-0000-0700-00008D020000}"/>
    <hyperlink ref="C138" r:id="rId655" xr:uid="{00000000-0004-0000-0700-00008E020000}"/>
    <hyperlink ref="F138" r:id="rId656" xr:uid="{00000000-0004-0000-0700-00008F020000}"/>
    <hyperlink ref="G138" r:id="rId657" xr:uid="{00000000-0004-0000-0700-000090020000}"/>
    <hyperlink ref="H138" r:id="rId658" xr:uid="{00000000-0004-0000-0700-000091020000}"/>
    <hyperlink ref="I138" r:id="rId659" xr:uid="{00000000-0004-0000-0700-000092020000}"/>
    <hyperlink ref="C139" r:id="rId660" xr:uid="{00000000-0004-0000-0700-000093020000}"/>
    <hyperlink ref="F139" r:id="rId661" xr:uid="{00000000-0004-0000-0700-000094020000}"/>
    <hyperlink ref="G139" r:id="rId662" xr:uid="{00000000-0004-0000-0700-000095020000}"/>
    <hyperlink ref="H139" r:id="rId663" xr:uid="{00000000-0004-0000-0700-000096020000}"/>
    <hyperlink ref="I139" r:id="rId664" xr:uid="{00000000-0004-0000-0700-000097020000}"/>
    <hyperlink ref="C140" r:id="rId665" xr:uid="{00000000-0004-0000-0700-000098020000}"/>
    <hyperlink ref="F140" r:id="rId666" xr:uid="{00000000-0004-0000-0700-000099020000}"/>
    <hyperlink ref="G140" r:id="rId667" xr:uid="{00000000-0004-0000-0700-00009A020000}"/>
    <hyperlink ref="H140" r:id="rId668" xr:uid="{00000000-0004-0000-0700-00009B020000}"/>
    <hyperlink ref="I140" r:id="rId669" xr:uid="{00000000-0004-0000-0700-00009C020000}"/>
    <hyperlink ref="C141" r:id="rId670" xr:uid="{00000000-0004-0000-0700-00009D020000}"/>
    <hyperlink ref="F141" r:id="rId671" xr:uid="{00000000-0004-0000-0700-00009E020000}"/>
    <hyperlink ref="G141" r:id="rId672" xr:uid="{00000000-0004-0000-0700-00009F020000}"/>
    <hyperlink ref="H141" r:id="rId673" xr:uid="{00000000-0004-0000-0700-0000A0020000}"/>
    <hyperlink ref="I141" r:id="rId674" xr:uid="{00000000-0004-0000-0700-0000A1020000}"/>
    <hyperlink ref="C142" r:id="rId675" xr:uid="{00000000-0004-0000-0700-0000A2020000}"/>
    <hyperlink ref="F142" r:id="rId676" xr:uid="{00000000-0004-0000-0700-0000A3020000}"/>
    <hyperlink ref="G142" r:id="rId677" xr:uid="{00000000-0004-0000-0700-0000A4020000}"/>
    <hyperlink ref="H142" r:id="rId678" xr:uid="{00000000-0004-0000-0700-0000A5020000}"/>
    <hyperlink ref="I142" r:id="rId679" xr:uid="{00000000-0004-0000-0700-0000A6020000}"/>
    <hyperlink ref="C143" r:id="rId680" xr:uid="{00000000-0004-0000-0700-0000A7020000}"/>
    <hyperlink ref="F143" r:id="rId681" xr:uid="{00000000-0004-0000-0700-0000A8020000}"/>
    <hyperlink ref="G143" r:id="rId682" xr:uid="{00000000-0004-0000-0700-0000A9020000}"/>
    <hyperlink ref="H143" r:id="rId683" xr:uid="{00000000-0004-0000-0700-0000AA020000}"/>
    <hyperlink ref="I143" r:id="rId684" xr:uid="{00000000-0004-0000-0700-0000AB020000}"/>
    <hyperlink ref="C144" r:id="rId685" xr:uid="{00000000-0004-0000-0700-0000AC020000}"/>
    <hyperlink ref="F144" r:id="rId686" xr:uid="{00000000-0004-0000-0700-0000AD020000}"/>
    <hyperlink ref="G144" r:id="rId687" xr:uid="{00000000-0004-0000-0700-0000AE020000}"/>
    <hyperlink ref="H144" r:id="rId688" xr:uid="{00000000-0004-0000-0700-0000AF020000}"/>
    <hyperlink ref="I144" r:id="rId689" xr:uid="{00000000-0004-0000-0700-0000B0020000}"/>
    <hyperlink ref="F145" r:id="rId690" xr:uid="{00000000-0004-0000-0700-0000B1020000}"/>
    <hyperlink ref="G145" r:id="rId691" xr:uid="{00000000-0004-0000-0700-0000B2020000}"/>
    <hyperlink ref="H145" r:id="rId692" xr:uid="{00000000-0004-0000-0700-0000B3020000}"/>
    <hyperlink ref="I145" r:id="rId693" xr:uid="{00000000-0004-0000-0700-0000B4020000}"/>
    <hyperlink ref="C146" r:id="rId694" xr:uid="{00000000-0004-0000-0700-0000B5020000}"/>
    <hyperlink ref="F146" r:id="rId695" xr:uid="{00000000-0004-0000-0700-0000B6020000}"/>
    <hyperlink ref="G146" r:id="rId696" xr:uid="{00000000-0004-0000-0700-0000B7020000}"/>
    <hyperlink ref="H146" r:id="rId697" xr:uid="{00000000-0004-0000-0700-0000B8020000}"/>
    <hyperlink ref="I146" r:id="rId698" xr:uid="{00000000-0004-0000-0700-0000B9020000}"/>
    <hyperlink ref="C147" r:id="rId699" xr:uid="{00000000-0004-0000-0700-0000BA020000}"/>
    <hyperlink ref="F147" r:id="rId700" xr:uid="{00000000-0004-0000-0700-0000BB020000}"/>
    <hyperlink ref="G147" r:id="rId701" xr:uid="{00000000-0004-0000-0700-0000BC020000}"/>
    <hyperlink ref="H147" r:id="rId702" xr:uid="{00000000-0004-0000-0700-0000BD020000}"/>
    <hyperlink ref="I147" r:id="rId703" xr:uid="{00000000-0004-0000-0700-0000BE020000}"/>
    <hyperlink ref="C148" r:id="rId704" xr:uid="{00000000-0004-0000-0700-0000BF020000}"/>
    <hyperlink ref="F148" r:id="rId705" xr:uid="{00000000-0004-0000-0700-0000C0020000}"/>
    <hyperlink ref="G148" r:id="rId706" xr:uid="{00000000-0004-0000-0700-0000C1020000}"/>
    <hyperlink ref="H148" r:id="rId707" xr:uid="{00000000-0004-0000-0700-0000C2020000}"/>
    <hyperlink ref="I148" r:id="rId708" xr:uid="{00000000-0004-0000-0700-0000C3020000}"/>
    <hyperlink ref="C149" r:id="rId709" xr:uid="{00000000-0004-0000-0700-0000C4020000}"/>
    <hyperlink ref="F149" r:id="rId710" xr:uid="{00000000-0004-0000-0700-0000C5020000}"/>
    <hyperlink ref="G149" r:id="rId711" xr:uid="{00000000-0004-0000-0700-0000C6020000}"/>
    <hyperlink ref="H149" r:id="rId712" display="2 C00022" xr:uid="{00000000-0004-0000-0700-0000C7020000}"/>
    <hyperlink ref="I149" r:id="rId713" display="2 C00022" xr:uid="{00000000-0004-0000-0700-0000C8020000}"/>
    <hyperlink ref="C150" r:id="rId714" xr:uid="{00000000-0004-0000-0700-0000C9020000}"/>
    <hyperlink ref="F150" r:id="rId715" xr:uid="{00000000-0004-0000-0700-0000CA020000}"/>
    <hyperlink ref="G150" r:id="rId716" xr:uid="{00000000-0004-0000-0700-0000CB020000}"/>
    <hyperlink ref="H150" r:id="rId717" xr:uid="{00000000-0004-0000-0700-0000CC020000}"/>
    <hyperlink ref="I150" r:id="rId718" xr:uid="{00000000-0004-0000-0700-0000CD020000}"/>
    <hyperlink ref="C151" r:id="rId719" xr:uid="{00000000-0004-0000-0700-0000CE020000}"/>
    <hyperlink ref="F151" r:id="rId720" xr:uid="{00000000-0004-0000-0700-0000CF020000}"/>
    <hyperlink ref="G151" r:id="rId721" xr:uid="{00000000-0004-0000-0700-0000D0020000}"/>
    <hyperlink ref="H151" r:id="rId722" display="2 C00022" xr:uid="{00000000-0004-0000-0700-0000D1020000}"/>
    <hyperlink ref="I151" r:id="rId723" display="2 C00022" xr:uid="{00000000-0004-0000-0700-0000D2020000}"/>
    <hyperlink ref="C152" r:id="rId724" xr:uid="{00000000-0004-0000-0700-0000D3020000}"/>
    <hyperlink ref="F152" r:id="rId725" xr:uid="{00000000-0004-0000-0700-0000D4020000}"/>
    <hyperlink ref="G152" r:id="rId726" xr:uid="{00000000-0004-0000-0700-0000D5020000}"/>
    <hyperlink ref="H152" r:id="rId727" xr:uid="{00000000-0004-0000-0700-0000D6020000}"/>
    <hyperlink ref="I152" r:id="rId728" xr:uid="{00000000-0004-0000-0700-0000D7020000}"/>
    <hyperlink ref="C153" r:id="rId729" xr:uid="{00000000-0004-0000-0700-0000D8020000}"/>
    <hyperlink ref="F153" r:id="rId730" xr:uid="{00000000-0004-0000-0700-0000D9020000}"/>
    <hyperlink ref="G153" r:id="rId731" xr:uid="{00000000-0004-0000-0700-0000DA020000}"/>
    <hyperlink ref="H153" r:id="rId732" xr:uid="{00000000-0004-0000-0700-0000DB020000}"/>
    <hyperlink ref="I153" r:id="rId733" xr:uid="{00000000-0004-0000-0700-0000DC020000}"/>
    <hyperlink ref="C154" r:id="rId734" xr:uid="{00000000-0004-0000-0700-0000DD020000}"/>
    <hyperlink ref="F154" r:id="rId735" xr:uid="{00000000-0004-0000-0700-0000DE020000}"/>
    <hyperlink ref="G154" r:id="rId736" xr:uid="{00000000-0004-0000-0700-0000DF020000}"/>
    <hyperlink ref="H154" r:id="rId737" xr:uid="{00000000-0004-0000-0700-0000E0020000}"/>
    <hyperlink ref="I154" r:id="rId738" xr:uid="{00000000-0004-0000-0700-0000E1020000}"/>
    <hyperlink ref="C155" r:id="rId739" xr:uid="{00000000-0004-0000-0700-0000E2020000}"/>
    <hyperlink ref="F155" r:id="rId740" xr:uid="{00000000-0004-0000-0700-0000E3020000}"/>
    <hyperlink ref="G155" r:id="rId741" xr:uid="{00000000-0004-0000-0700-0000E4020000}"/>
    <hyperlink ref="H155" r:id="rId742" xr:uid="{00000000-0004-0000-0700-0000E5020000}"/>
    <hyperlink ref="I155" r:id="rId743" xr:uid="{00000000-0004-0000-0700-0000E6020000}"/>
    <hyperlink ref="C156" r:id="rId744" xr:uid="{00000000-0004-0000-0700-0000E7020000}"/>
    <hyperlink ref="F156" r:id="rId745" xr:uid="{00000000-0004-0000-0700-0000E8020000}"/>
    <hyperlink ref="G156" r:id="rId746" xr:uid="{00000000-0004-0000-0700-0000E9020000}"/>
    <hyperlink ref="H156" r:id="rId747" xr:uid="{00000000-0004-0000-0700-0000EA020000}"/>
    <hyperlink ref="I156" r:id="rId748" xr:uid="{00000000-0004-0000-0700-0000EB020000}"/>
    <hyperlink ref="C157" r:id="rId749" xr:uid="{00000000-0004-0000-0700-0000EC020000}"/>
    <hyperlink ref="F157" r:id="rId750" display="2 C00024" xr:uid="{00000000-0004-0000-0700-0000ED020000}"/>
    <hyperlink ref="G157" r:id="rId751" display="2 C00024" xr:uid="{00000000-0004-0000-0700-0000EE020000}"/>
    <hyperlink ref="H157" r:id="rId752" xr:uid="{00000000-0004-0000-0700-0000EF020000}"/>
    <hyperlink ref="I157" r:id="rId753" xr:uid="{00000000-0004-0000-0700-0000F0020000}"/>
    <hyperlink ref="C158" r:id="rId754" xr:uid="{00000000-0004-0000-0700-0000F1020000}"/>
    <hyperlink ref="F158" r:id="rId755" xr:uid="{00000000-0004-0000-0700-0000F2020000}"/>
    <hyperlink ref="G158" r:id="rId756" xr:uid="{00000000-0004-0000-0700-0000F3020000}"/>
    <hyperlink ref="H158" r:id="rId757" xr:uid="{00000000-0004-0000-0700-0000F4020000}"/>
    <hyperlink ref="I158" r:id="rId758" xr:uid="{00000000-0004-0000-0700-0000F5020000}"/>
    <hyperlink ref="C159" r:id="rId759" xr:uid="{00000000-0004-0000-0700-0000F6020000}"/>
    <hyperlink ref="F159" r:id="rId760" xr:uid="{00000000-0004-0000-0700-0000F7020000}"/>
    <hyperlink ref="G159" r:id="rId761" xr:uid="{00000000-0004-0000-0700-0000F8020000}"/>
    <hyperlink ref="H159" r:id="rId762" xr:uid="{00000000-0004-0000-0700-0000F9020000}"/>
    <hyperlink ref="I159" r:id="rId763" xr:uid="{00000000-0004-0000-0700-0000FA020000}"/>
    <hyperlink ref="C160" r:id="rId764" xr:uid="{00000000-0004-0000-0700-0000FB020000}"/>
    <hyperlink ref="F160" r:id="rId765" xr:uid="{00000000-0004-0000-0700-0000FC020000}"/>
    <hyperlink ref="G160" r:id="rId766" xr:uid="{00000000-0004-0000-0700-0000FD020000}"/>
    <hyperlink ref="H160" r:id="rId767" xr:uid="{00000000-0004-0000-0700-0000FE020000}"/>
    <hyperlink ref="I160" r:id="rId768" xr:uid="{00000000-0004-0000-0700-0000FF020000}"/>
    <hyperlink ref="C161" r:id="rId769" xr:uid="{00000000-0004-0000-0700-000000030000}"/>
    <hyperlink ref="F161" r:id="rId770" xr:uid="{00000000-0004-0000-0700-000001030000}"/>
    <hyperlink ref="G161" r:id="rId771" xr:uid="{00000000-0004-0000-0700-000002030000}"/>
    <hyperlink ref="H161" r:id="rId772" xr:uid="{00000000-0004-0000-0700-000003030000}"/>
    <hyperlink ref="I161" r:id="rId773" xr:uid="{00000000-0004-0000-0700-000004030000}"/>
    <hyperlink ref="C162" r:id="rId774" xr:uid="{00000000-0004-0000-0700-000005030000}"/>
    <hyperlink ref="F162" r:id="rId775" xr:uid="{00000000-0004-0000-0700-000006030000}"/>
    <hyperlink ref="G162" r:id="rId776" xr:uid="{00000000-0004-0000-0700-000007030000}"/>
    <hyperlink ref="H162" r:id="rId777" xr:uid="{00000000-0004-0000-0700-000008030000}"/>
    <hyperlink ref="I162" r:id="rId778" xr:uid="{00000000-0004-0000-0700-000009030000}"/>
    <hyperlink ref="C163" r:id="rId779" xr:uid="{00000000-0004-0000-0700-00000A030000}"/>
    <hyperlink ref="F163" r:id="rId780" xr:uid="{00000000-0004-0000-0700-00000B030000}"/>
    <hyperlink ref="G163" r:id="rId781" xr:uid="{00000000-0004-0000-0700-00000C030000}"/>
    <hyperlink ref="H163" r:id="rId782" xr:uid="{00000000-0004-0000-0700-00000D030000}"/>
    <hyperlink ref="I163" r:id="rId783" xr:uid="{00000000-0004-0000-0700-00000E030000}"/>
    <hyperlink ref="C164" r:id="rId784" xr:uid="{00000000-0004-0000-0700-00000F030000}"/>
    <hyperlink ref="F164" r:id="rId785" xr:uid="{00000000-0004-0000-0700-000010030000}"/>
    <hyperlink ref="G164" r:id="rId786" xr:uid="{00000000-0004-0000-0700-000011030000}"/>
    <hyperlink ref="H164" r:id="rId787" xr:uid="{00000000-0004-0000-0700-000012030000}"/>
    <hyperlink ref="I164" r:id="rId788" xr:uid="{00000000-0004-0000-0700-000013030000}"/>
    <hyperlink ref="C165" r:id="rId789" xr:uid="{00000000-0004-0000-0700-000014030000}"/>
    <hyperlink ref="F165" r:id="rId790" xr:uid="{00000000-0004-0000-0700-000015030000}"/>
    <hyperlink ref="G165" r:id="rId791" xr:uid="{00000000-0004-0000-0700-000016030000}"/>
    <hyperlink ref="H165" r:id="rId792" xr:uid="{00000000-0004-0000-0700-000017030000}"/>
    <hyperlink ref="I165" r:id="rId793" xr:uid="{00000000-0004-0000-0700-000018030000}"/>
    <hyperlink ref="C166" r:id="rId794" xr:uid="{00000000-0004-0000-0700-000019030000}"/>
    <hyperlink ref="F166" r:id="rId795" xr:uid="{00000000-0004-0000-0700-00001A030000}"/>
    <hyperlink ref="G166" r:id="rId796" xr:uid="{00000000-0004-0000-0700-00001B030000}"/>
    <hyperlink ref="H166" r:id="rId797" xr:uid="{00000000-0004-0000-0700-00001C030000}"/>
    <hyperlink ref="I166" r:id="rId798" xr:uid="{00000000-0004-0000-0700-00001D030000}"/>
    <hyperlink ref="C167" r:id="rId799" xr:uid="{00000000-0004-0000-0700-00001E030000}"/>
    <hyperlink ref="F167" r:id="rId800" xr:uid="{00000000-0004-0000-0700-00001F030000}"/>
    <hyperlink ref="G167" r:id="rId801" xr:uid="{00000000-0004-0000-0700-000020030000}"/>
    <hyperlink ref="H167" r:id="rId802" xr:uid="{00000000-0004-0000-0700-000021030000}"/>
    <hyperlink ref="I167" r:id="rId803" xr:uid="{00000000-0004-0000-0700-000022030000}"/>
    <hyperlink ref="C168" r:id="rId804" xr:uid="{00000000-0004-0000-0700-000023030000}"/>
    <hyperlink ref="F168" r:id="rId805" xr:uid="{00000000-0004-0000-0700-000024030000}"/>
    <hyperlink ref="G168" r:id="rId806" xr:uid="{00000000-0004-0000-0700-000025030000}"/>
    <hyperlink ref="H168" r:id="rId807" xr:uid="{00000000-0004-0000-0700-000026030000}"/>
    <hyperlink ref="I168" r:id="rId808" xr:uid="{00000000-0004-0000-0700-000027030000}"/>
    <hyperlink ref="C169" r:id="rId809" xr:uid="{00000000-0004-0000-0700-000028030000}"/>
    <hyperlink ref="F169" r:id="rId810" xr:uid="{00000000-0004-0000-0700-000029030000}"/>
    <hyperlink ref="G169" r:id="rId811" xr:uid="{00000000-0004-0000-0700-00002A030000}"/>
    <hyperlink ref="H169" r:id="rId812" xr:uid="{00000000-0004-0000-0700-00002B030000}"/>
    <hyperlink ref="I169" r:id="rId813" xr:uid="{00000000-0004-0000-0700-00002C030000}"/>
    <hyperlink ref="C170" r:id="rId814" xr:uid="{00000000-0004-0000-0700-00002D030000}"/>
    <hyperlink ref="F170" r:id="rId815" xr:uid="{00000000-0004-0000-0700-00002E030000}"/>
    <hyperlink ref="G170" r:id="rId816" xr:uid="{00000000-0004-0000-0700-00002F030000}"/>
    <hyperlink ref="H170" r:id="rId817" xr:uid="{00000000-0004-0000-0700-000030030000}"/>
    <hyperlink ref="I170" r:id="rId818" xr:uid="{00000000-0004-0000-0700-000031030000}"/>
    <hyperlink ref="C171" r:id="rId819" xr:uid="{00000000-0004-0000-0700-000032030000}"/>
    <hyperlink ref="F171" r:id="rId820" xr:uid="{00000000-0004-0000-0700-000033030000}"/>
    <hyperlink ref="G171" r:id="rId821" xr:uid="{00000000-0004-0000-0700-000034030000}"/>
    <hyperlink ref="H171" r:id="rId822" xr:uid="{00000000-0004-0000-0700-000035030000}"/>
    <hyperlink ref="I171" r:id="rId823" xr:uid="{00000000-0004-0000-0700-000036030000}"/>
    <hyperlink ref="C172" r:id="rId824" xr:uid="{00000000-0004-0000-0700-000037030000}"/>
    <hyperlink ref="F172" r:id="rId825" xr:uid="{00000000-0004-0000-0700-000038030000}"/>
    <hyperlink ref="G172" r:id="rId826" xr:uid="{00000000-0004-0000-0700-000039030000}"/>
    <hyperlink ref="H172" r:id="rId827" xr:uid="{00000000-0004-0000-0700-00003A030000}"/>
    <hyperlink ref="I172" r:id="rId828" xr:uid="{00000000-0004-0000-0700-00003B030000}"/>
    <hyperlink ref="C173" r:id="rId829" xr:uid="{00000000-0004-0000-0700-00003C030000}"/>
    <hyperlink ref="F173" r:id="rId830" xr:uid="{00000000-0004-0000-0700-00003D030000}"/>
    <hyperlink ref="G173" r:id="rId831" xr:uid="{00000000-0004-0000-0700-00003E030000}"/>
    <hyperlink ref="H173" r:id="rId832" xr:uid="{00000000-0004-0000-0700-00003F030000}"/>
    <hyperlink ref="I173" r:id="rId833" xr:uid="{00000000-0004-0000-0700-000040030000}"/>
    <hyperlink ref="C174" r:id="rId834" xr:uid="{00000000-0004-0000-0700-000041030000}"/>
    <hyperlink ref="F174" r:id="rId835" xr:uid="{00000000-0004-0000-0700-000042030000}"/>
    <hyperlink ref="G174" r:id="rId836" xr:uid="{00000000-0004-0000-0700-000043030000}"/>
    <hyperlink ref="H174" r:id="rId837" xr:uid="{00000000-0004-0000-0700-000044030000}"/>
    <hyperlink ref="I174" r:id="rId838" xr:uid="{00000000-0004-0000-0700-000045030000}"/>
    <hyperlink ref="C175" r:id="rId839" xr:uid="{00000000-0004-0000-0700-000046030000}"/>
    <hyperlink ref="F175" r:id="rId840" xr:uid="{00000000-0004-0000-0700-000047030000}"/>
    <hyperlink ref="G175" r:id="rId841" xr:uid="{00000000-0004-0000-0700-000048030000}"/>
    <hyperlink ref="H175" r:id="rId842" xr:uid="{00000000-0004-0000-0700-000049030000}"/>
    <hyperlink ref="I175" r:id="rId843" xr:uid="{00000000-0004-0000-0700-00004A030000}"/>
    <hyperlink ref="C176" r:id="rId844" xr:uid="{00000000-0004-0000-0700-00004B030000}"/>
    <hyperlink ref="F176" r:id="rId845" xr:uid="{00000000-0004-0000-0700-00004C030000}"/>
    <hyperlink ref="G176" r:id="rId846" xr:uid="{00000000-0004-0000-0700-00004D030000}"/>
    <hyperlink ref="H176" r:id="rId847" xr:uid="{00000000-0004-0000-0700-00004E030000}"/>
    <hyperlink ref="I176" r:id="rId848" xr:uid="{00000000-0004-0000-0700-00004F030000}"/>
    <hyperlink ref="C177" r:id="rId849" xr:uid="{00000000-0004-0000-0700-000050030000}"/>
    <hyperlink ref="F177" r:id="rId850" xr:uid="{00000000-0004-0000-0700-000051030000}"/>
    <hyperlink ref="G177" r:id="rId851" xr:uid="{00000000-0004-0000-0700-000052030000}"/>
    <hyperlink ref="H177" r:id="rId852" xr:uid="{00000000-0004-0000-0700-000053030000}"/>
    <hyperlink ref="I177" r:id="rId853" xr:uid="{00000000-0004-0000-0700-000054030000}"/>
    <hyperlink ref="C178" r:id="rId854" xr:uid="{00000000-0004-0000-0700-000055030000}"/>
    <hyperlink ref="F178" r:id="rId855" xr:uid="{00000000-0004-0000-0700-000056030000}"/>
    <hyperlink ref="G178" r:id="rId856" xr:uid="{00000000-0004-0000-0700-000057030000}"/>
    <hyperlink ref="H178" r:id="rId857" xr:uid="{00000000-0004-0000-0700-000058030000}"/>
    <hyperlink ref="I178" r:id="rId858" xr:uid="{00000000-0004-0000-0700-000059030000}"/>
    <hyperlink ref="C179" r:id="rId859" xr:uid="{00000000-0004-0000-0700-00005A030000}"/>
    <hyperlink ref="F179" r:id="rId860" xr:uid="{00000000-0004-0000-0700-00005B030000}"/>
    <hyperlink ref="G179" r:id="rId861" xr:uid="{00000000-0004-0000-0700-00005C030000}"/>
    <hyperlink ref="H179" r:id="rId862" xr:uid="{00000000-0004-0000-0700-00005D030000}"/>
    <hyperlink ref="I179" r:id="rId863" xr:uid="{00000000-0004-0000-0700-00005E030000}"/>
    <hyperlink ref="C180" r:id="rId864" xr:uid="{00000000-0004-0000-0700-00005F030000}"/>
    <hyperlink ref="F180" r:id="rId865" xr:uid="{00000000-0004-0000-0700-000060030000}"/>
    <hyperlink ref="G180" r:id="rId866" xr:uid="{00000000-0004-0000-0700-000061030000}"/>
    <hyperlink ref="H180" r:id="rId867" xr:uid="{00000000-0004-0000-0700-000062030000}"/>
    <hyperlink ref="I180" r:id="rId868" xr:uid="{00000000-0004-0000-0700-000063030000}"/>
    <hyperlink ref="C181" r:id="rId869" xr:uid="{00000000-0004-0000-0700-000064030000}"/>
    <hyperlink ref="F181" r:id="rId870" xr:uid="{00000000-0004-0000-0700-000065030000}"/>
    <hyperlink ref="G181" r:id="rId871" xr:uid="{00000000-0004-0000-0700-000066030000}"/>
    <hyperlink ref="H181" r:id="rId872" xr:uid="{00000000-0004-0000-0700-000067030000}"/>
    <hyperlink ref="I181" r:id="rId873" xr:uid="{00000000-0004-0000-0700-000068030000}"/>
    <hyperlink ref="C182" r:id="rId874" xr:uid="{00000000-0004-0000-0700-000069030000}"/>
    <hyperlink ref="H182" r:id="rId875" xr:uid="{00000000-0004-0000-0700-00006A030000}"/>
    <hyperlink ref="I182" r:id="rId876" xr:uid="{00000000-0004-0000-0700-00006B030000}"/>
    <hyperlink ref="C183" r:id="rId877" xr:uid="{00000000-0004-0000-0700-00006C030000}"/>
    <hyperlink ref="F183" r:id="rId878" xr:uid="{00000000-0004-0000-0700-00006D030000}"/>
    <hyperlink ref="G183" r:id="rId879" xr:uid="{00000000-0004-0000-0700-00006E030000}"/>
    <hyperlink ref="H183" r:id="rId880" xr:uid="{00000000-0004-0000-0700-00006F030000}"/>
    <hyperlink ref="I183" r:id="rId881" xr:uid="{00000000-0004-0000-0700-000070030000}"/>
    <hyperlink ref="C184" r:id="rId882" xr:uid="{00000000-0004-0000-0700-000071030000}"/>
    <hyperlink ref="F184" r:id="rId883" xr:uid="{00000000-0004-0000-0700-000072030000}"/>
    <hyperlink ref="G184" r:id="rId884" xr:uid="{00000000-0004-0000-0700-000073030000}"/>
    <hyperlink ref="H184" r:id="rId885" xr:uid="{00000000-0004-0000-0700-000074030000}"/>
    <hyperlink ref="I184" r:id="rId886" xr:uid="{00000000-0004-0000-0700-000075030000}"/>
    <hyperlink ref="C185" r:id="rId887" xr:uid="{00000000-0004-0000-0700-000076030000}"/>
    <hyperlink ref="F185" r:id="rId888" xr:uid="{00000000-0004-0000-0700-000077030000}"/>
    <hyperlink ref="G185" r:id="rId889" xr:uid="{00000000-0004-0000-0700-000078030000}"/>
    <hyperlink ref="H185" r:id="rId890" xr:uid="{00000000-0004-0000-0700-000079030000}"/>
    <hyperlink ref="I185" r:id="rId891" xr:uid="{00000000-0004-0000-0700-00007A030000}"/>
    <hyperlink ref="C186" r:id="rId892" xr:uid="{00000000-0004-0000-0700-00007B030000}"/>
    <hyperlink ref="F186" r:id="rId893" xr:uid="{00000000-0004-0000-0700-00007C030000}"/>
    <hyperlink ref="G186" r:id="rId894" xr:uid="{00000000-0004-0000-0700-00007D030000}"/>
    <hyperlink ref="H186" r:id="rId895" xr:uid="{00000000-0004-0000-0700-00007E030000}"/>
    <hyperlink ref="I186" r:id="rId896" xr:uid="{00000000-0004-0000-0700-00007F030000}"/>
    <hyperlink ref="C187" r:id="rId897" xr:uid="{00000000-0004-0000-0700-000080030000}"/>
    <hyperlink ref="F187" r:id="rId898" xr:uid="{00000000-0004-0000-0700-000081030000}"/>
    <hyperlink ref="G187" r:id="rId899" xr:uid="{00000000-0004-0000-0700-000082030000}"/>
    <hyperlink ref="H187" r:id="rId900" xr:uid="{00000000-0004-0000-0700-000083030000}"/>
    <hyperlink ref="I187" r:id="rId901" xr:uid="{00000000-0004-0000-0700-000084030000}"/>
    <hyperlink ref="C188" r:id="rId902" xr:uid="{00000000-0004-0000-0700-000085030000}"/>
    <hyperlink ref="F188" r:id="rId903" xr:uid="{00000000-0004-0000-0700-000086030000}"/>
    <hyperlink ref="G188" r:id="rId904" xr:uid="{00000000-0004-0000-0700-000087030000}"/>
    <hyperlink ref="H188" r:id="rId905" xr:uid="{00000000-0004-0000-0700-000088030000}"/>
    <hyperlink ref="I188" r:id="rId906" xr:uid="{00000000-0004-0000-0700-000089030000}"/>
    <hyperlink ref="C189" r:id="rId907" xr:uid="{00000000-0004-0000-0700-00008A030000}"/>
    <hyperlink ref="F189" r:id="rId908" xr:uid="{00000000-0004-0000-0700-00008B030000}"/>
    <hyperlink ref="G189" r:id="rId909" xr:uid="{00000000-0004-0000-0700-00008C030000}"/>
    <hyperlink ref="H189" r:id="rId910" xr:uid="{00000000-0004-0000-0700-00008D030000}"/>
    <hyperlink ref="I189" r:id="rId911" xr:uid="{00000000-0004-0000-0700-00008E030000}"/>
    <hyperlink ref="C190" r:id="rId912" xr:uid="{00000000-0004-0000-0700-00008F030000}"/>
    <hyperlink ref="F190" r:id="rId913" xr:uid="{00000000-0004-0000-0700-000090030000}"/>
    <hyperlink ref="G190" r:id="rId914" xr:uid="{00000000-0004-0000-0700-000091030000}"/>
    <hyperlink ref="H190" r:id="rId915" xr:uid="{00000000-0004-0000-0700-000092030000}"/>
    <hyperlink ref="I190" r:id="rId916" xr:uid="{00000000-0004-0000-0700-000093030000}"/>
    <hyperlink ref="C191" r:id="rId917" xr:uid="{00000000-0004-0000-0700-000094030000}"/>
    <hyperlink ref="F191" r:id="rId918" xr:uid="{00000000-0004-0000-0700-000095030000}"/>
    <hyperlink ref="G191" r:id="rId919" xr:uid="{00000000-0004-0000-0700-000096030000}"/>
    <hyperlink ref="H191" r:id="rId920" xr:uid="{00000000-0004-0000-0700-000097030000}"/>
    <hyperlink ref="I191" r:id="rId921" xr:uid="{00000000-0004-0000-0700-000098030000}"/>
    <hyperlink ref="C192" r:id="rId922" xr:uid="{00000000-0004-0000-0700-000099030000}"/>
    <hyperlink ref="F192" r:id="rId923" xr:uid="{00000000-0004-0000-0700-00009A030000}"/>
    <hyperlink ref="G192" r:id="rId924" xr:uid="{00000000-0004-0000-0700-00009B030000}"/>
    <hyperlink ref="H192" r:id="rId925" xr:uid="{00000000-0004-0000-0700-00009C030000}"/>
    <hyperlink ref="I192" r:id="rId926" xr:uid="{00000000-0004-0000-0700-00009D030000}"/>
    <hyperlink ref="C193" r:id="rId927" xr:uid="{00000000-0004-0000-0700-00009E030000}"/>
    <hyperlink ref="F193" r:id="rId928" xr:uid="{00000000-0004-0000-0700-00009F030000}"/>
    <hyperlink ref="G193" r:id="rId929" xr:uid="{00000000-0004-0000-0700-0000A0030000}"/>
    <hyperlink ref="H193" r:id="rId930" xr:uid="{00000000-0004-0000-0700-0000A1030000}"/>
    <hyperlink ref="I193" r:id="rId931" xr:uid="{00000000-0004-0000-0700-0000A2030000}"/>
    <hyperlink ref="F194" r:id="rId932" xr:uid="{00000000-0004-0000-0700-0000A3030000}"/>
    <hyperlink ref="G194" r:id="rId933" xr:uid="{00000000-0004-0000-0700-0000A4030000}"/>
    <hyperlink ref="H194" r:id="rId934" xr:uid="{00000000-0004-0000-0700-0000A5030000}"/>
    <hyperlink ref="I194" r:id="rId935" xr:uid="{00000000-0004-0000-0700-0000A6030000}"/>
    <hyperlink ref="C195" r:id="rId936" xr:uid="{00000000-0004-0000-0700-0000A7030000}"/>
    <hyperlink ref="F195" r:id="rId937" xr:uid="{00000000-0004-0000-0700-0000A8030000}"/>
    <hyperlink ref="G195" r:id="rId938" xr:uid="{00000000-0004-0000-0700-0000A9030000}"/>
    <hyperlink ref="H195" r:id="rId939" xr:uid="{00000000-0004-0000-0700-0000AA030000}"/>
    <hyperlink ref="I195" r:id="rId940" xr:uid="{00000000-0004-0000-0700-0000AB030000}"/>
    <hyperlink ref="C196" r:id="rId941" xr:uid="{00000000-0004-0000-0700-0000AC030000}"/>
    <hyperlink ref="F196" r:id="rId942" xr:uid="{00000000-0004-0000-0700-0000AD030000}"/>
    <hyperlink ref="G196" r:id="rId943" xr:uid="{00000000-0004-0000-0700-0000AE030000}"/>
    <hyperlink ref="H196" r:id="rId944" xr:uid="{00000000-0004-0000-0700-0000AF030000}"/>
    <hyperlink ref="I196" r:id="rId945" xr:uid="{00000000-0004-0000-0700-0000B0030000}"/>
    <hyperlink ref="C197" r:id="rId946" xr:uid="{00000000-0004-0000-0700-0000B1030000}"/>
    <hyperlink ref="F197" r:id="rId947" xr:uid="{00000000-0004-0000-0700-0000B2030000}"/>
    <hyperlink ref="G197" r:id="rId948" xr:uid="{00000000-0004-0000-0700-0000B3030000}"/>
    <hyperlink ref="H197" r:id="rId949" xr:uid="{00000000-0004-0000-0700-0000B4030000}"/>
    <hyperlink ref="I197" r:id="rId950" xr:uid="{00000000-0004-0000-0700-0000B5030000}"/>
    <hyperlink ref="C198" r:id="rId951" xr:uid="{00000000-0004-0000-0700-0000B6030000}"/>
    <hyperlink ref="F198" r:id="rId952" xr:uid="{00000000-0004-0000-0700-0000B7030000}"/>
    <hyperlink ref="G198" r:id="rId953" xr:uid="{00000000-0004-0000-0700-0000B8030000}"/>
    <hyperlink ref="H198" r:id="rId954" xr:uid="{00000000-0004-0000-0700-0000B9030000}"/>
    <hyperlink ref="I198" r:id="rId955" xr:uid="{00000000-0004-0000-0700-0000BA030000}"/>
    <hyperlink ref="C199" r:id="rId956" xr:uid="{00000000-0004-0000-0700-0000BB030000}"/>
    <hyperlink ref="F199" r:id="rId957" xr:uid="{00000000-0004-0000-0700-0000BC030000}"/>
    <hyperlink ref="G199" r:id="rId958" xr:uid="{00000000-0004-0000-0700-0000BD030000}"/>
    <hyperlink ref="H199" r:id="rId959" xr:uid="{00000000-0004-0000-0700-0000BE030000}"/>
    <hyperlink ref="I199" r:id="rId960" xr:uid="{00000000-0004-0000-0700-0000BF030000}"/>
    <hyperlink ref="C200" r:id="rId961" xr:uid="{00000000-0004-0000-0700-0000C0030000}"/>
    <hyperlink ref="F200" r:id="rId962" xr:uid="{00000000-0004-0000-0700-0000C1030000}"/>
    <hyperlink ref="G200" r:id="rId963" xr:uid="{00000000-0004-0000-0700-0000C2030000}"/>
    <hyperlink ref="H200" r:id="rId964" xr:uid="{00000000-0004-0000-0700-0000C3030000}"/>
    <hyperlink ref="I200" r:id="rId965" xr:uid="{00000000-0004-0000-0700-0000C4030000}"/>
    <hyperlink ref="C201" r:id="rId966" xr:uid="{00000000-0004-0000-0700-0000C5030000}"/>
    <hyperlink ref="F201" r:id="rId967" xr:uid="{00000000-0004-0000-0700-0000C6030000}"/>
    <hyperlink ref="G201" r:id="rId968" xr:uid="{00000000-0004-0000-0700-0000C7030000}"/>
    <hyperlink ref="H201" r:id="rId969" xr:uid="{00000000-0004-0000-0700-0000C8030000}"/>
    <hyperlink ref="I201" r:id="rId970" xr:uid="{00000000-0004-0000-0700-0000C9030000}"/>
    <hyperlink ref="C202" r:id="rId971" xr:uid="{00000000-0004-0000-0700-0000CA030000}"/>
    <hyperlink ref="F202" r:id="rId972" xr:uid="{00000000-0004-0000-0700-0000CB030000}"/>
    <hyperlink ref="G202" r:id="rId973" xr:uid="{00000000-0004-0000-0700-0000CC030000}"/>
    <hyperlink ref="H202" r:id="rId974" xr:uid="{00000000-0004-0000-0700-0000CD030000}"/>
    <hyperlink ref="I202" r:id="rId975" xr:uid="{00000000-0004-0000-0700-0000CE030000}"/>
    <hyperlink ref="C203" r:id="rId976" xr:uid="{00000000-0004-0000-0700-0000CF030000}"/>
    <hyperlink ref="F203" r:id="rId977" xr:uid="{00000000-0004-0000-0700-0000D0030000}"/>
    <hyperlink ref="G203" r:id="rId978" xr:uid="{00000000-0004-0000-0700-0000D1030000}"/>
    <hyperlink ref="H203" r:id="rId979" xr:uid="{00000000-0004-0000-0700-0000D2030000}"/>
    <hyperlink ref="I203" r:id="rId980" xr:uid="{00000000-0004-0000-0700-0000D3030000}"/>
    <hyperlink ref="C204" r:id="rId981" xr:uid="{00000000-0004-0000-0700-0000D4030000}"/>
    <hyperlink ref="F204" r:id="rId982" xr:uid="{00000000-0004-0000-0700-0000D5030000}"/>
    <hyperlink ref="G204" r:id="rId983" xr:uid="{00000000-0004-0000-0700-0000D6030000}"/>
    <hyperlink ref="H204" r:id="rId984" xr:uid="{00000000-0004-0000-0700-0000D7030000}"/>
    <hyperlink ref="I204" r:id="rId985" xr:uid="{00000000-0004-0000-0700-0000D8030000}"/>
    <hyperlink ref="C205" r:id="rId986" xr:uid="{00000000-0004-0000-0700-0000D9030000}"/>
    <hyperlink ref="F205" r:id="rId987" xr:uid="{00000000-0004-0000-0700-0000DA030000}"/>
    <hyperlink ref="G205" r:id="rId988" xr:uid="{00000000-0004-0000-0700-0000DB030000}"/>
    <hyperlink ref="H205" r:id="rId989" xr:uid="{00000000-0004-0000-0700-0000DC030000}"/>
    <hyperlink ref="I205" r:id="rId990" xr:uid="{00000000-0004-0000-0700-0000DD030000}"/>
    <hyperlink ref="C206" r:id="rId991" xr:uid="{00000000-0004-0000-0700-0000DE030000}"/>
    <hyperlink ref="F206" r:id="rId992" display="G10495(n) + C00009" xr:uid="{00000000-0004-0000-0700-0000DF030000}"/>
    <hyperlink ref="G206" r:id="rId993" display="G10495(n) * C00009" xr:uid="{00000000-0004-0000-0700-0000E0030000}"/>
    <hyperlink ref="H206" r:id="rId994" display="G10495(n-1) + C00103" xr:uid="{00000000-0004-0000-0700-0000E1030000}"/>
    <hyperlink ref="I206" r:id="rId995" display="G10495(n-1) * C00103" xr:uid="{00000000-0004-0000-0700-0000E2030000}"/>
    <hyperlink ref="C207" r:id="rId996" xr:uid="{00000000-0004-0000-0700-0000E3030000}"/>
    <hyperlink ref="F207" r:id="rId997" xr:uid="{00000000-0004-0000-0700-0000E4030000}"/>
    <hyperlink ref="G207" r:id="rId998" xr:uid="{00000000-0004-0000-0700-0000E5030000}"/>
    <hyperlink ref="H207" r:id="rId999" xr:uid="{00000000-0004-0000-0700-0000E6030000}"/>
    <hyperlink ref="I207" r:id="rId1000" xr:uid="{00000000-0004-0000-0700-0000E7030000}"/>
    <hyperlink ref="C208" r:id="rId1001" xr:uid="{00000000-0004-0000-0700-0000E8030000}"/>
    <hyperlink ref="H208" r:id="rId1002" xr:uid="{00000000-0004-0000-0700-0000E9030000}"/>
    <hyperlink ref="I208" r:id="rId1003" xr:uid="{00000000-0004-0000-0700-0000EA030000}"/>
    <hyperlink ref="C209" r:id="rId1004" xr:uid="{00000000-0004-0000-0700-0000EB030000}"/>
    <hyperlink ref="H209" r:id="rId1005" display="G10495(n+1) + G11113" xr:uid="{00000000-0004-0000-0700-0000EC030000}"/>
    <hyperlink ref="I209" r:id="rId1006" display="G10495(n*1) * G11113" xr:uid="{00000000-0004-0000-0700-0000ED030000}"/>
    <hyperlink ref="C210" r:id="rId1007" xr:uid="{00000000-0004-0000-0700-0000EE030000}"/>
    <hyperlink ref="H210" r:id="rId1008" xr:uid="{00000000-0004-0000-0700-0000EF030000}"/>
    <hyperlink ref="I210" r:id="rId1009" xr:uid="{00000000-0004-0000-0700-0000F0030000}"/>
    <hyperlink ref="C211" r:id="rId1010" xr:uid="{00000000-0004-0000-0700-0000F1030000}"/>
    <hyperlink ref="H211" r:id="rId1011" xr:uid="{00000000-0004-0000-0700-0000F2030000}"/>
    <hyperlink ref="I211" r:id="rId1012" xr:uid="{00000000-0004-0000-0700-0000F3030000}"/>
    <hyperlink ref="C212" r:id="rId1013" xr:uid="{00000000-0004-0000-0700-0000F4030000}"/>
    <hyperlink ref="H212" r:id="rId1014" xr:uid="{00000000-0004-0000-0700-0000F5030000}"/>
    <hyperlink ref="I212" r:id="rId1015" xr:uid="{00000000-0004-0000-0700-0000F6030000}"/>
    <hyperlink ref="C213" r:id="rId1016" xr:uid="{00000000-0004-0000-0700-0000F7030000}"/>
    <hyperlink ref="H213" r:id="rId1017" xr:uid="{00000000-0004-0000-0700-0000F8030000}"/>
    <hyperlink ref="I213" r:id="rId1018" xr:uid="{00000000-0004-0000-0700-0000F9030000}"/>
    <hyperlink ref="C214" r:id="rId1019" xr:uid="{00000000-0004-0000-0700-0000FA030000}"/>
    <hyperlink ref="C215" r:id="rId1020" xr:uid="{00000000-0004-0000-0700-0000FB030000}"/>
    <hyperlink ref="F215" r:id="rId1021" xr:uid="{00000000-0004-0000-0700-0000FC030000}"/>
    <hyperlink ref="G215" r:id="rId1022" xr:uid="{00000000-0004-0000-0700-0000FD030000}"/>
    <hyperlink ref="C216" r:id="rId1023" xr:uid="{00000000-0004-0000-0700-0000FE030000}"/>
    <hyperlink ref="F216" r:id="rId1024" xr:uid="{00000000-0004-0000-0700-0000FF030000}"/>
    <hyperlink ref="G216" r:id="rId1025" xr:uid="{00000000-0004-0000-0700-000000040000}"/>
    <hyperlink ref="C217" r:id="rId1026" xr:uid="{00000000-0004-0000-0700-000001040000}"/>
    <hyperlink ref="F217" r:id="rId1027" xr:uid="{00000000-0004-0000-0700-000002040000}"/>
    <hyperlink ref="G217" r:id="rId1028" xr:uid="{00000000-0004-0000-0700-000003040000}"/>
    <hyperlink ref="H217" r:id="rId1029" xr:uid="{00000000-0004-0000-0700-000004040000}"/>
    <hyperlink ref="I217" r:id="rId1030" xr:uid="{00000000-0004-0000-0700-000005040000}"/>
    <hyperlink ref="C218" r:id="rId1031" xr:uid="{00000000-0004-0000-0700-000006040000}"/>
    <hyperlink ref="F218" r:id="rId1032" xr:uid="{00000000-0004-0000-0700-000007040000}"/>
    <hyperlink ref="G218" r:id="rId1033" xr:uid="{00000000-0004-0000-0700-000008040000}"/>
    <hyperlink ref="H218" r:id="rId1034" xr:uid="{00000000-0004-0000-0700-000009040000}"/>
    <hyperlink ref="I218" r:id="rId1035" xr:uid="{00000000-0004-0000-0700-00000A040000}"/>
    <hyperlink ref="C219" r:id="rId1036" xr:uid="{00000000-0004-0000-0700-00000B040000}"/>
    <hyperlink ref="C220" r:id="rId1037" xr:uid="{00000000-0004-0000-0700-00000C040000}"/>
    <hyperlink ref="C221" r:id="rId1038" xr:uid="{00000000-0004-0000-0700-00000D040000}"/>
    <hyperlink ref="C222" r:id="rId1039" xr:uid="{00000000-0004-0000-0700-00000E040000}"/>
    <hyperlink ref="C223" r:id="rId1040" xr:uid="{00000000-0004-0000-0700-00000F040000}"/>
    <hyperlink ref="C224" r:id="rId1041" xr:uid="{00000000-0004-0000-0700-000010040000}"/>
    <hyperlink ref="F224" r:id="rId1042" xr:uid="{00000000-0004-0000-0700-000011040000}"/>
    <hyperlink ref="G224" r:id="rId1043" xr:uid="{00000000-0004-0000-0700-000012040000}"/>
    <hyperlink ref="H224" r:id="rId1044" xr:uid="{00000000-0004-0000-0700-000013040000}"/>
    <hyperlink ref="I224" r:id="rId1045" xr:uid="{00000000-0004-0000-0700-000014040000}"/>
    <hyperlink ref="C225" r:id="rId1046" xr:uid="{00000000-0004-0000-0700-000015040000}"/>
    <hyperlink ref="F225" r:id="rId1047" xr:uid="{00000000-0004-0000-0700-000016040000}"/>
    <hyperlink ref="G225" r:id="rId1048" xr:uid="{00000000-0004-0000-0700-000017040000}"/>
    <hyperlink ref="H225" r:id="rId1049" xr:uid="{00000000-0004-0000-0700-000018040000}"/>
    <hyperlink ref="I225" r:id="rId1050" xr:uid="{00000000-0004-0000-0700-000019040000}"/>
    <hyperlink ref="C226" r:id="rId1051" xr:uid="{00000000-0004-0000-0700-00001A040000}"/>
    <hyperlink ref="F226" r:id="rId1052" xr:uid="{00000000-0004-0000-0700-00001B040000}"/>
    <hyperlink ref="G226" r:id="rId1053" xr:uid="{00000000-0004-0000-0700-00001C040000}"/>
    <hyperlink ref="H226" r:id="rId1054" xr:uid="{00000000-0004-0000-0700-00001D040000}"/>
    <hyperlink ref="I226" r:id="rId1055" xr:uid="{00000000-0004-0000-0700-00001E040000}"/>
    <hyperlink ref="C227" r:id="rId1056" xr:uid="{00000000-0004-0000-0700-00001F040000}"/>
    <hyperlink ref="F227" r:id="rId1057" xr:uid="{00000000-0004-0000-0700-000020040000}"/>
    <hyperlink ref="G227" r:id="rId1058" xr:uid="{00000000-0004-0000-0700-000021040000}"/>
    <hyperlink ref="C228" r:id="rId1059" xr:uid="{00000000-0004-0000-0700-000022040000}"/>
    <hyperlink ref="C229" r:id="rId1060" xr:uid="{00000000-0004-0000-0700-000023040000}"/>
    <hyperlink ref="F229" r:id="rId1061" xr:uid="{00000000-0004-0000-0700-000024040000}"/>
    <hyperlink ref="G229" r:id="rId1062" xr:uid="{00000000-0004-0000-0700-000025040000}"/>
    <hyperlink ref="H229" r:id="rId1063" xr:uid="{00000000-0004-0000-0700-000026040000}"/>
    <hyperlink ref="I229" r:id="rId1064" xr:uid="{00000000-0004-0000-0700-000027040000}"/>
    <hyperlink ref="C230" r:id="rId1065" xr:uid="{00000000-0004-0000-0700-000028040000}"/>
    <hyperlink ref="F230" r:id="rId1066" xr:uid="{00000000-0004-0000-0700-000029040000}"/>
    <hyperlink ref="G230" r:id="rId1067" xr:uid="{00000000-0004-0000-0700-00002A040000}"/>
    <hyperlink ref="H230" r:id="rId1068" xr:uid="{00000000-0004-0000-0700-00002B040000}"/>
    <hyperlink ref="I230" r:id="rId1069" xr:uid="{00000000-0004-0000-0700-00002C040000}"/>
    <hyperlink ref="C231" r:id="rId1070" xr:uid="{00000000-0004-0000-0700-00002D040000}"/>
    <hyperlink ref="C232" r:id="rId1071" xr:uid="{00000000-0004-0000-0700-00002E040000}"/>
    <hyperlink ref="C233" r:id="rId1072" xr:uid="{00000000-0004-0000-0700-00002F040000}"/>
    <hyperlink ref="C234" r:id="rId1073" xr:uid="{00000000-0004-0000-0700-000030040000}"/>
    <hyperlink ref="C235" r:id="rId1074" xr:uid="{00000000-0004-0000-0700-000031040000}"/>
    <hyperlink ref="H235" r:id="rId1075" xr:uid="{00000000-0004-0000-0700-000032040000}"/>
    <hyperlink ref="I235" r:id="rId1076" xr:uid="{00000000-0004-0000-0700-000033040000}"/>
    <hyperlink ref="C236" r:id="rId1077" xr:uid="{00000000-0004-0000-0700-000034040000}"/>
    <hyperlink ref="C237" r:id="rId1078" xr:uid="{00000000-0004-0000-0700-000035040000}"/>
    <hyperlink ref="F237" r:id="rId1079" xr:uid="{00000000-0004-0000-0700-000036040000}"/>
    <hyperlink ref="G237" r:id="rId1080" xr:uid="{00000000-0004-0000-0700-000037040000}"/>
    <hyperlink ref="H237" r:id="rId1081" xr:uid="{00000000-0004-0000-0700-000038040000}"/>
    <hyperlink ref="I237" r:id="rId1082" xr:uid="{00000000-0004-0000-0700-000039040000}"/>
    <hyperlink ref="C238" r:id="rId1083" xr:uid="{00000000-0004-0000-0700-00003A040000}"/>
    <hyperlink ref="H238" r:id="rId1084" xr:uid="{00000000-0004-0000-0700-00003B040000}"/>
    <hyperlink ref="I238" r:id="rId1085" xr:uid="{00000000-0004-0000-0700-00003C040000}"/>
    <hyperlink ref="C239" r:id="rId1086" xr:uid="{00000000-0004-0000-0700-00003D040000}"/>
    <hyperlink ref="C240" r:id="rId1087" xr:uid="{00000000-0004-0000-0700-00003E040000}"/>
    <hyperlink ref="H240" r:id="rId1088" xr:uid="{00000000-0004-0000-0700-00003F040000}"/>
    <hyperlink ref="I240" r:id="rId1089" xr:uid="{00000000-0004-0000-0700-000040040000}"/>
    <hyperlink ref="C241" r:id="rId1090" xr:uid="{00000000-0004-0000-0700-000041040000}"/>
    <hyperlink ref="H241" r:id="rId1091" xr:uid="{00000000-0004-0000-0700-000042040000}"/>
    <hyperlink ref="I241" r:id="rId1092" xr:uid="{00000000-0004-0000-0700-000043040000}"/>
    <hyperlink ref="C242" r:id="rId1093" xr:uid="{00000000-0004-0000-0700-000044040000}"/>
    <hyperlink ref="C243" r:id="rId1094" xr:uid="{00000000-0004-0000-0700-000045040000}"/>
    <hyperlink ref="F243" r:id="rId1095" xr:uid="{00000000-0004-0000-0700-000046040000}"/>
    <hyperlink ref="G243" r:id="rId1096" xr:uid="{00000000-0004-0000-0700-000047040000}"/>
    <hyperlink ref="C244" r:id="rId1097" xr:uid="{00000000-0004-0000-0700-000048040000}"/>
    <hyperlink ref="H244" r:id="rId1098" xr:uid="{00000000-0004-0000-0700-000049040000}"/>
    <hyperlink ref="I244" r:id="rId1099" xr:uid="{00000000-0004-0000-0700-00004A040000}"/>
    <hyperlink ref="C245" r:id="rId1100" xr:uid="{00000000-0004-0000-0700-00004B040000}"/>
    <hyperlink ref="H245" r:id="rId1101" xr:uid="{00000000-0004-0000-0700-00004C040000}"/>
    <hyperlink ref="I245" r:id="rId1102" xr:uid="{00000000-0004-0000-0700-00004D040000}"/>
    <hyperlink ref="C246" r:id="rId1103" xr:uid="{00000000-0004-0000-0700-00004E040000}"/>
    <hyperlink ref="F246" r:id="rId1104" xr:uid="{00000000-0004-0000-0700-00004F040000}"/>
    <hyperlink ref="G246" r:id="rId1105" xr:uid="{00000000-0004-0000-0700-000050040000}"/>
    <hyperlink ref="H246" r:id="rId1106" xr:uid="{00000000-0004-0000-0700-000051040000}"/>
    <hyperlink ref="I246" r:id="rId1107" xr:uid="{00000000-0004-0000-0700-000052040000}"/>
    <hyperlink ref="C247" r:id="rId1108" xr:uid="{00000000-0004-0000-0700-000053040000}"/>
    <hyperlink ref="F247" r:id="rId1109" xr:uid="{00000000-0004-0000-0700-000054040000}"/>
    <hyperlink ref="G247" r:id="rId1110" xr:uid="{00000000-0004-0000-0700-000055040000}"/>
    <hyperlink ref="H247" r:id="rId1111" xr:uid="{00000000-0004-0000-0700-000056040000}"/>
    <hyperlink ref="I247" r:id="rId1112" xr:uid="{00000000-0004-0000-0700-000057040000}"/>
    <hyperlink ref="C248" r:id="rId1113" xr:uid="{00000000-0004-0000-0700-000058040000}"/>
    <hyperlink ref="F248" r:id="rId1114" xr:uid="{00000000-0004-0000-0700-000059040000}"/>
    <hyperlink ref="G248" r:id="rId1115" xr:uid="{00000000-0004-0000-0700-00005A040000}"/>
    <hyperlink ref="F249" r:id="rId1116" xr:uid="{00000000-0004-0000-0700-00005B040000}"/>
    <hyperlink ref="G249" r:id="rId1117" xr:uid="{00000000-0004-0000-0700-00005C040000}"/>
    <hyperlink ref="C250" r:id="rId1118" xr:uid="{00000000-0004-0000-0700-00005D040000}"/>
    <hyperlink ref="C251" r:id="rId1119" xr:uid="{00000000-0004-0000-0700-00005E040000}"/>
    <hyperlink ref="C252" r:id="rId1120" xr:uid="{00000000-0004-0000-0700-00005F040000}"/>
    <hyperlink ref="C253" r:id="rId1121" xr:uid="{00000000-0004-0000-0700-000060040000}"/>
    <hyperlink ref="C254" r:id="rId1122" xr:uid="{00000000-0004-0000-0700-000061040000}"/>
    <hyperlink ref="H254" r:id="rId1123" xr:uid="{00000000-0004-0000-0700-000062040000}"/>
    <hyperlink ref="I254" r:id="rId1124" xr:uid="{00000000-0004-0000-0700-000063040000}"/>
    <hyperlink ref="C255" r:id="rId1125" xr:uid="{00000000-0004-0000-0700-000064040000}"/>
    <hyperlink ref="C256" r:id="rId1126" xr:uid="{00000000-0004-0000-0700-000065040000}"/>
    <hyperlink ref="F256" r:id="rId1127" xr:uid="{00000000-0004-0000-0700-000066040000}"/>
    <hyperlink ref="G256" r:id="rId1128" xr:uid="{00000000-0004-0000-0700-000067040000}"/>
    <hyperlink ref="H256" r:id="rId1129" xr:uid="{00000000-0004-0000-0700-000068040000}"/>
    <hyperlink ref="I256" r:id="rId1130" xr:uid="{00000000-0004-0000-0700-000069040000}"/>
    <hyperlink ref="C257" r:id="rId1131" xr:uid="{00000000-0004-0000-0700-00006A040000}"/>
    <hyperlink ref="F257" r:id="rId1132" xr:uid="{00000000-0004-0000-0700-00006B040000}"/>
    <hyperlink ref="G257" r:id="rId1133" xr:uid="{00000000-0004-0000-0700-00006C040000}"/>
    <hyperlink ref="C258" r:id="rId1134" xr:uid="{00000000-0004-0000-0700-00006D040000}"/>
    <hyperlink ref="F258" r:id="rId1135" xr:uid="{00000000-0004-0000-0700-00006E040000}"/>
    <hyperlink ref="G258" r:id="rId1136" xr:uid="{00000000-0004-0000-0700-00006F040000}"/>
    <hyperlink ref="C259" r:id="rId1137" xr:uid="{00000000-0004-0000-0700-000070040000}"/>
    <hyperlink ref="F259" r:id="rId1138" xr:uid="{00000000-0004-0000-0700-000071040000}"/>
    <hyperlink ref="G259" r:id="rId1139" xr:uid="{00000000-0004-0000-0700-000072040000}"/>
    <hyperlink ref="C260" r:id="rId1140" xr:uid="{00000000-0004-0000-0700-000073040000}"/>
    <hyperlink ref="F260" r:id="rId1141" xr:uid="{00000000-0004-0000-0700-000074040000}"/>
    <hyperlink ref="G260" r:id="rId1142" xr:uid="{00000000-0004-0000-0700-000075040000}"/>
    <hyperlink ref="H260" r:id="rId1143" xr:uid="{00000000-0004-0000-0700-000076040000}"/>
    <hyperlink ref="I260" r:id="rId1144" xr:uid="{00000000-0004-0000-0700-000077040000}"/>
    <hyperlink ref="C261" r:id="rId1145" xr:uid="{00000000-0004-0000-0700-000078040000}"/>
    <hyperlink ref="C262" r:id="rId1146" xr:uid="{00000000-0004-0000-0700-000079040000}"/>
    <hyperlink ref="F262" r:id="rId1147" xr:uid="{00000000-0004-0000-0700-00007A040000}"/>
    <hyperlink ref="G262" r:id="rId1148" xr:uid="{00000000-0004-0000-0700-00007B040000}"/>
    <hyperlink ref="C263" r:id="rId1149" xr:uid="{00000000-0004-0000-0700-00007C040000}"/>
    <hyperlink ref="C264" r:id="rId1150" xr:uid="{00000000-0004-0000-0700-00007D040000}"/>
    <hyperlink ref="C265" r:id="rId1151" xr:uid="{00000000-0004-0000-0700-00007E040000}"/>
    <hyperlink ref="H265" r:id="rId1152" xr:uid="{00000000-0004-0000-0700-00007F040000}"/>
    <hyperlink ref="I265" r:id="rId1153" xr:uid="{00000000-0004-0000-0700-000080040000}"/>
    <hyperlink ref="C266" r:id="rId1154" xr:uid="{00000000-0004-0000-0700-000081040000}"/>
    <hyperlink ref="F266" r:id="rId1155" xr:uid="{00000000-0004-0000-0700-000082040000}"/>
    <hyperlink ref="G266" r:id="rId1156" xr:uid="{00000000-0004-0000-0700-000083040000}"/>
    <hyperlink ref="C267" r:id="rId1157" xr:uid="{00000000-0004-0000-0700-000084040000}"/>
    <hyperlink ref="F267" r:id="rId1158" xr:uid="{00000000-0004-0000-0700-000085040000}"/>
    <hyperlink ref="G267" r:id="rId1159" xr:uid="{00000000-0004-0000-0700-000086040000}"/>
    <hyperlink ref="C268" r:id="rId1160" xr:uid="{00000000-0004-0000-0700-000087040000}"/>
    <hyperlink ref="F268" r:id="rId1161" xr:uid="{00000000-0004-0000-0700-000088040000}"/>
    <hyperlink ref="G268" r:id="rId1162" xr:uid="{00000000-0004-0000-0700-000089040000}"/>
    <hyperlink ref="C269" r:id="rId1163" xr:uid="{00000000-0004-0000-0700-00008A040000}"/>
    <hyperlink ref="F269" r:id="rId1164" xr:uid="{00000000-0004-0000-0700-00008B040000}"/>
    <hyperlink ref="G269" r:id="rId1165" xr:uid="{00000000-0004-0000-0700-00008C040000}"/>
    <hyperlink ref="H269" r:id="rId1166" xr:uid="{00000000-0004-0000-0700-00008D040000}"/>
    <hyperlink ref="I269" r:id="rId1167" xr:uid="{00000000-0004-0000-0700-00008E040000}"/>
    <hyperlink ref="C270" r:id="rId1168" xr:uid="{00000000-0004-0000-0700-00008F040000}"/>
    <hyperlink ref="F270" r:id="rId1169" xr:uid="{00000000-0004-0000-0700-000090040000}"/>
    <hyperlink ref="G270" r:id="rId1170" xr:uid="{00000000-0004-0000-0700-000091040000}"/>
    <hyperlink ref="C271" r:id="rId1171" xr:uid="{00000000-0004-0000-0700-000092040000}"/>
    <hyperlink ref="F271" r:id="rId1172" xr:uid="{00000000-0004-0000-0700-000093040000}"/>
    <hyperlink ref="G271" r:id="rId1173" xr:uid="{00000000-0004-0000-0700-000094040000}"/>
    <hyperlink ref="H271" r:id="rId1174" xr:uid="{00000000-0004-0000-0700-000095040000}"/>
    <hyperlink ref="I271" r:id="rId1175" xr:uid="{00000000-0004-0000-0700-000096040000}"/>
    <hyperlink ref="C272" r:id="rId1176" xr:uid="{00000000-0004-0000-0700-000097040000}"/>
    <hyperlink ref="F272" r:id="rId1177" xr:uid="{00000000-0004-0000-0700-000098040000}"/>
    <hyperlink ref="G272" r:id="rId1178" xr:uid="{00000000-0004-0000-0700-000099040000}"/>
    <hyperlink ref="H272" r:id="rId1179" xr:uid="{00000000-0004-0000-0700-00009A040000}"/>
    <hyperlink ref="I272" r:id="rId1180" xr:uid="{00000000-0004-0000-0700-00009B040000}"/>
    <hyperlink ref="C273" r:id="rId1181" xr:uid="{00000000-0004-0000-0700-00009C040000}"/>
    <hyperlink ref="F273" r:id="rId1182" xr:uid="{00000000-0004-0000-0700-00009D040000}"/>
    <hyperlink ref="G273" r:id="rId1183" xr:uid="{00000000-0004-0000-0700-00009E040000}"/>
    <hyperlink ref="H273" r:id="rId1184" xr:uid="{00000000-0004-0000-0700-00009F040000}"/>
    <hyperlink ref="I273" r:id="rId1185" xr:uid="{00000000-0004-0000-0700-0000A0040000}"/>
    <hyperlink ref="C274" r:id="rId1186" xr:uid="{00000000-0004-0000-0700-0000A1040000}"/>
    <hyperlink ref="F274" r:id="rId1187" xr:uid="{00000000-0004-0000-0700-0000A2040000}"/>
    <hyperlink ref="G274" r:id="rId1188" xr:uid="{00000000-0004-0000-0700-0000A3040000}"/>
    <hyperlink ref="H274" r:id="rId1189" xr:uid="{00000000-0004-0000-0700-0000A4040000}"/>
    <hyperlink ref="I274" r:id="rId1190" xr:uid="{00000000-0004-0000-0700-0000A5040000}"/>
    <hyperlink ref="C275" r:id="rId1191" xr:uid="{00000000-0004-0000-0700-0000A6040000}"/>
    <hyperlink ref="F275" r:id="rId1192" xr:uid="{00000000-0004-0000-0700-0000A7040000}"/>
    <hyperlink ref="G275" r:id="rId1193" xr:uid="{00000000-0004-0000-0700-0000A8040000}"/>
    <hyperlink ref="H275" r:id="rId1194" xr:uid="{00000000-0004-0000-0700-0000A9040000}"/>
    <hyperlink ref="I275" r:id="rId1195" xr:uid="{00000000-0004-0000-0700-0000AA040000}"/>
    <hyperlink ref="C276" r:id="rId1196" xr:uid="{00000000-0004-0000-0700-0000AB040000}"/>
    <hyperlink ref="F276" r:id="rId1197" xr:uid="{00000000-0004-0000-0700-0000AC040000}"/>
    <hyperlink ref="G276" r:id="rId1198" xr:uid="{00000000-0004-0000-0700-0000AD040000}"/>
    <hyperlink ref="H276" r:id="rId1199" xr:uid="{00000000-0004-0000-0700-0000AE040000}"/>
    <hyperlink ref="I276" r:id="rId1200" xr:uid="{00000000-0004-0000-0700-0000AF040000}"/>
    <hyperlink ref="C277" r:id="rId1201" xr:uid="{00000000-0004-0000-0700-0000B0040000}"/>
    <hyperlink ref="F277" r:id="rId1202" xr:uid="{00000000-0004-0000-0700-0000B1040000}"/>
    <hyperlink ref="G277" r:id="rId1203" xr:uid="{00000000-0004-0000-0700-0000B2040000}"/>
    <hyperlink ref="H277" r:id="rId1204" xr:uid="{00000000-0004-0000-0700-0000B3040000}"/>
    <hyperlink ref="I277" r:id="rId1205" xr:uid="{00000000-0004-0000-0700-0000B4040000}"/>
    <hyperlink ref="C278" r:id="rId1206" xr:uid="{00000000-0004-0000-0700-0000B5040000}"/>
    <hyperlink ref="F278" r:id="rId1207" xr:uid="{00000000-0004-0000-0700-0000B6040000}"/>
    <hyperlink ref="G278" r:id="rId1208" xr:uid="{00000000-0004-0000-0700-0000B7040000}"/>
    <hyperlink ref="H278" r:id="rId1209" xr:uid="{00000000-0004-0000-0700-0000B8040000}"/>
    <hyperlink ref="I278" r:id="rId1210" xr:uid="{00000000-0004-0000-0700-0000B9040000}"/>
    <hyperlink ref="C279" r:id="rId1211" xr:uid="{00000000-0004-0000-0700-0000BA040000}"/>
    <hyperlink ref="F279" r:id="rId1212" xr:uid="{00000000-0004-0000-0700-0000BB040000}"/>
    <hyperlink ref="G279" r:id="rId1213" xr:uid="{00000000-0004-0000-0700-0000BC040000}"/>
    <hyperlink ref="H279" r:id="rId1214" xr:uid="{00000000-0004-0000-0700-0000BD040000}"/>
    <hyperlink ref="I279" r:id="rId1215" xr:uid="{00000000-0004-0000-0700-0000BE040000}"/>
    <hyperlink ref="C280" r:id="rId1216" xr:uid="{00000000-0004-0000-0700-0000BF040000}"/>
    <hyperlink ref="F280" r:id="rId1217" xr:uid="{00000000-0004-0000-0700-0000C0040000}"/>
    <hyperlink ref="G280" r:id="rId1218" xr:uid="{00000000-0004-0000-0700-0000C1040000}"/>
    <hyperlink ref="H280" r:id="rId1219" xr:uid="{00000000-0004-0000-0700-0000C2040000}"/>
    <hyperlink ref="I280" r:id="rId1220" xr:uid="{00000000-0004-0000-0700-0000C3040000}"/>
    <hyperlink ref="C281" r:id="rId1221" xr:uid="{00000000-0004-0000-0700-0000C4040000}"/>
    <hyperlink ref="F281" r:id="rId1222" xr:uid="{00000000-0004-0000-0700-0000C5040000}"/>
    <hyperlink ref="G281" r:id="rId1223" xr:uid="{00000000-0004-0000-0700-0000C6040000}"/>
    <hyperlink ref="H281" r:id="rId1224" xr:uid="{00000000-0004-0000-0700-0000C7040000}"/>
    <hyperlink ref="I281" r:id="rId1225" xr:uid="{00000000-0004-0000-0700-0000C8040000}"/>
    <hyperlink ref="C282" r:id="rId1226" xr:uid="{00000000-0004-0000-0700-0000C9040000}"/>
    <hyperlink ref="F282" r:id="rId1227" xr:uid="{00000000-0004-0000-0700-0000CA040000}"/>
    <hyperlink ref="G282" r:id="rId1228" xr:uid="{00000000-0004-0000-0700-0000CB040000}"/>
    <hyperlink ref="H282" r:id="rId1229" xr:uid="{00000000-0004-0000-0700-0000CC040000}"/>
    <hyperlink ref="I282" r:id="rId1230" xr:uid="{00000000-0004-0000-0700-0000CD040000}"/>
    <hyperlink ref="C283" r:id="rId1231" xr:uid="{00000000-0004-0000-0700-0000CE040000}"/>
    <hyperlink ref="F283" r:id="rId1232" xr:uid="{00000000-0004-0000-0700-0000CF040000}"/>
    <hyperlink ref="G283" r:id="rId1233" xr:uid="{00000000-0004-0000-0700-0000D0040000}"/>
    <hyperlink ref="H283" r:id="rId1234" xr:uid="{00000000-0004-0000-0700-0000D1040000}"/>
    <hyperlink ref="I283" r:id="rId1235" xr:uid="{00000000-0004-0000-0700-0000D2040000}"/>
    <hyperlink ref="C284" r:id="rId1236" xr:uid="{00000000-0004-0000-0700-0000D3040000}"/>
    <hyperlink ref="F284" r:id="rId1237" xr:uid="{00000000-0004-0000-0700-0000D4040000}"/>
    <hyperlink ref="G284" r:id="rId1238" xr:uid="{00000000-0004-0000-0700-0000D5040000}"/>
    <hyperlink ref="H284" r:id="rId1239" xr:uid="{00000000-0004-0000-0700-0000D6040000}"/>
    <hyperlink ref="I284" r:id="rId1240" xr:uid="{00000000-0004-0000-0700-0000D7040000}"/>
    <hyperlink ref="C285" r:id="rId1241" xr:uid="{00000000-0004-0000-0700-0000D8040000}"/>
    <hyperlink ref="F285" r:id="rId1242" xr:uid="{00000000-0004-0000-0700-0000D9040000}"/>
    <hyperlink ref="G285" r:id="rId1243" xr:uid="{00000000-0004-0000-0700-0000DA040000}"/>
    <hyperlink ref="H285" r:id="rId1244" xr:uid="{00000000-0004-0000-0700-0000DB040000}"/>
    <hyperlink ref="I285" r:id="rId1245" xr:uid="{00000000-0004-0000-0700-0000DC040000}"/>
    <hyperlink ref="C286" r:id="rId1246" xr:uid="{00000000-0004-0000-0700-0000DD040000}"/>
    <hyperlink ref="H286" r:id="rId1247" xr:uid="{00000000-0004-0000-0700-0000DE040000}"/>
    <hyperlink ref="I286" r:id="rId1248" xr:uid="{00000000-0004-0000-0700-0000DF040000}"/>
    <hyperlink ref="C287" r:id="rId1249" xr:uid="{00000000-0004-0000-0700-0000E0040000}"/>
    <hyperlink ref="F287" r:id="rId1250" xr:uid="{00000000-0004-0000-0700-0000E1040000}"/>
    <hyperlink ref="G287" r:id="rId1251" xr:uid="{00000000-0004-0000-0700-0000E2040000}"/>
    <hyperlink ref="H287" r:id="rId1252" xr:uid="{00000000-0004-0000-0700-0000E3040000}"/>
    <hyperlink ref="I287" r:id="rId1253" xr:uid="{00000000-0004-0000-0700-0000E4040000}"/>
    <hyperlink ref="C288" r:id="rId1254" xr:uid="{00000000-0004-0000-0700-0000E5040000}"/>
    <hyperlink ref="F288" r:id="rId1255" xr:uid="{00000000-0004-0000-0700-0000E6040000}"/>
    <hyperlink ref="G288" r:id="rId1256" xr:uid="{00000000-0004-0000-0700-0000E7040000}"/>
    <hyperlink ref="H288" r:id="rId1257" xr:uid="{00000000-0004-0000-0700-0000E8040000}"/>
    <hyperlink ref="I288" r:id="rId1258" xr:uid="{00000000-0004-0000-0700-0000E9040000}"/>
    <hyperlink ref="C289" r:id="rId1259" xr:uid="{00000000-0004-0000-0700-0000EA040000}"/>
    <hyperlink ref="F289" r:id="rId1260" xr:uid="{00000000-0004-0000-0700-0000EB040000}"/>
    <hyperlink ref="G289" r:id="rId1261" xr:uid="{00000000-0004-0000-0700-0000EC040000}"/>
    <hyperlink ref="H289" r:id="rId1262" xr:uid="{00000000-0004-0000-0700-0000ED040000}"/>
    <hyperlink ref="I289" r:id="rId1263" xr:uid="{00000000-0004-0000-0700-0000EE040000}"/>
    <hyperlink ref="C290" r:id="rId1264" xr:uid="{00000000-0004-0000-0700-0000EF040000}"/>
    <hyperlink ref="F290" r:id="rId1265" xr:uid="{00000000-0004-0000-0700-0000F0040000}"/>
    <hyperlink ref="G290" r:id="rId1266" xr:uid="{00000000-0004-0000-0700-0000F1040000}"/>
    <hyperlink ref="H290" r:id="rId1267" xr:uid="{00000000-0004-0000-0700-0000F2040000}"/>
    <hyperlink ref="I290" r:id="rId1268" xr:uid="{00000000-0004-0000-0700-0000F3040000}"/>
    <hyperlink ref="C291" r:id="rId1269" xr:uid="{00000000-0004-0000-0700-0000F4040000}"/>
    <hyperlink ref="F291" r:id="rId1270" xr:uid="{00000000-0004-0000-0700-0000F5040000}"/>
    <hyperlink ref="G291" r:id="rId1271" xr:uid="{00000000-0004-0000-0700-0000F6040000}"/>
    <hyperlink ref="H291" r:id="rId1272" xr:uid="{00000000-0004-0000-0700-0000F7040000}"/>
    <hyperlink ref="I291" r:id="rId1273" xr:uid="{00000000-0004-0000-0700-0000F8040000}"/>
    <hyperlink ref="C292" r:id="rId1274" xr:uid="{00000000-0004-0000-0700-0000F9040000}"/>
    <hyperlink ref="F292" r:id="rId1275" xr:uid="{00000000-0004-0000-0700-0000FA040000}"/>
    <hyperlink ref="G292" r:id="rId1276" xr:uid="{00000000-0004-0000-0700-0000FB040000}"/>
    <hyperlink ref="H292" r:id="rId1277" xr:uid="{00000000-0004-0000-0700-0000FC040000}"/>
    <hyperlink ref="I292" r:id="rId1278" xr:uid="{00000000-0004-0000-0700-0000FD040000}"/>
    <hyperlink ref="C293" r:id="rId1279" xr:uid="{00000000-0004-0000-0700-0000FE040000}"/>
    <hyperlink ref="F293" r:id="rId1280" xr:uid="{00000000-0004-0000-0700-0000FF040000}"/>
    <hyperlink ref="G293" r:id="rId1281" xr:uid="{00000000-0004-0000-0700-000000050000}"/>
    <hyperlink ref="H293" r:id="rId1282" xr:uid="{00000000-0004-0000-0700-000001050000}"/>
    <hyperlink ref="I293" r:id="rId1283" xr:uid="{00000000-0004-0000-0700-000002050000}"/>
    <hyperlink ref="C294" r:id="rId1284" xr:uid="{00000000-0004-0000-0700-000003050000}"/>
    <hyperlink ref="F294" r:id="rId1285" xr:uid="{00000000-0004-0000-0700-000004050000}"/>
    <hyperlink ref="G294" r:id="rId1286" xr:uid="{00000000-0004-0000-0700-000005050000}"/>
    <hyperlink ref="H294" r:id="rId1287" xr:uid="{00000000-0004-0000-0700-000006050000}"/>
    <hyperlink ref="I294" r:id="rId1288" xr:uid="{00000000-0004-0000-0700-000007050000}"/>
    <hyperlink ref="C295" r:id="rId1289" xr:uid="{00000000-0004-0000-0700-000008050000}"/>
    <hyperlink ref="F295" r:id="rId1290" xr:uid="{00000000-0004-0000-0700-000009050000}"/>
    <hyperlink ref="G295" r:id="rId1291" xr:uid="{00000000-0004-0000-0700-00000A050000}"/>
    <hyperlink ref="H295" r:id="rId1292" xr:uid="{00000000-0004-0000-0700-00000B050000}"/>
    <hyperlink ref="I295" r:id="rId1293" xr:uid="{00000000-0004-0000-0700-00000C050000}"/>
    <hyperlink ref="C296" r:id="rId1294" xr:uid="{00000000-0004-0000-0700-00000D050000}"/>
    <hyperlink ref="F296" r:id="rId1295" xr:uid="{00000000-0004-0000-0700-00000E050000}"/>
    <hyperlink ref="G296" r:id="rId1296" xr:uid="{00000000-0004-0000-0700-00000F050000}"/>
    <hyperlink ref="H296" r:id="rId1297" xr:uid="{00000000-0004-0000-0700-000010050000}"/>
    <hyperlink ref="I296" r:id="rId1298" xr:uid="{00000000-0004-0000-0700-000011050000}"/>
    <hyperlink ref="C297" r:id="rId1299" xr:uid="{00000000-0004-0000-0700-000012050000}"/>
    <hyperlink ref="F297" r:id="rId1300" xr:uid="{00000000-0004-0000-0700-000013050000}"/>
    <hyperlink ref="G297" r:id="rId1301" xr:uid="{00000000-0004-0000-0700-000014050000}"/>
    <hyperlink ref="H297" r:id="rId1302" xr:uid="{00000000-0004-0000-0700-000015050000}"/>
    <hyperlink ref="I297" r:id="rId1303" xr:uid="{00000000-0004-0000-0700-000016050000}"/>
    <hyperlink ref="C298" r:id="rId1304" xr:uid="{00000000-0004-0000-0700-000017050000}"/>
    <hyperlink ref="F298" r:id="rId1305" xr:uid="{00000000-0004-0000-0700-000018050000}"/>
    <hyperlink ref="G298" r:id="rId1306" xr:uid="{00000000-0004-0000-0700-000019050000}"/>
    <hyperlink ref="H298" r:id="rId1307" xr:uid="{00000000-0004-0000-0700-00001A050000}"/>
    <hyperlink ref="I298" r:id="rId1308" xr:uid="{00000000-0004-0000-0700-00001B050000}"/>
    <hyperlink ref="C299" r:id="rId1309" xr:uid="{00000000-0004-0000-0700-00001C050000}"/>
    <hyperlink ref="F299" r:id="rId1310" xr:uid="{00000000-0004-0000-0700-00001D050000}"/>
    <hyperlink ref="G299" r:id="rId1311" xr:uid="{00000000-0004-0000-0700-00001E050000}"/>
    <hyperlink ref="H299" r:id="rId1312" xr:uid="{00000000-0004-0000-0700-00001F050000}"/>
    <hyperlink ref="I299" r:id="rId1313" xr:uid="{00000000-0004-0000-0700-000020050000}"/>
    <hyperlink ref="C300" r:id="rId1314" xr:uid="{00000000-0004-0000-0700-000021050000}"/>
    <hyperlink ref="F300" r:id="rId1315" xr:uid="{00000000-0004-0000-0700-000022050000}"/>
    <hyperlink ref="G300" r:id="rId1316" xr:uid="{00000000-0004-0000-0700-000023050000}"/>
    <hyperlink ref="H300" r:id="rId1317" xr:uid="{00000000-0004-0000-0700-000024050000}"/>
    <hyperlink ref="I300" r:id="rId1318" xr:uid="{00000000-0004-0000-0700-000025050000}"/>
    <hyperlink ref="C301" r:id="rId1319" xr:uid="{00000000-0004-0000-0700-000026050000}"/>
    <hyperlink ref="F301" r:id="rId1320" xr:uid="{00000000-0004-0000-0700-000027050000}"/>
    <hyperlink ref="G301" r:id="rId1321" xr:uid="{00000000-0004-0000-0700-000028050000}"/>
    <hyperlink ref="H301" r:id="rId1322" xr:uid="{00000000-0004-0000-0700-000029050000}"/>
    <hyperlink ref="I301" r:id="rId1323" xr:uid="{00000000-0004-0000-0700-00002A050000}"/>
    <hyperlink ref="C302" r:id="rId1324" xr:uid="{00000000-0004-0000-0700-00002B050000}"/>
    <hyperlink ref="F302" r:id="rId1325" xr:uid="{00000000-0004-0000-0700-00002C050000}"/>
    <hyperlink ref="G302" r:id="rId1326" xr:uid="{00000000-0004-0000-0700-00002D050000}"/>
    <hyperlink ref="H302" r:id="rId1327" xr:uid="{00000000-0004-0000-0700-00002E050000}"/>
    <hyperlink ref="I302" r:id="rId1328" xr:uid="{00000000-0004-0000-0700-00002F050000}"/>
    <hyperlink ref="C303" r:id="rId1329" xr:uid="{00000000-0004-0000-0700-000030050000}"/>
    <hyperlink ref="F303" r:id="rId1330" xr:uid="{00000000-0004-0000-0700-000031050000}"/>
    <hyperlink ref="G303" r:id="rId1331" xr:uid="{00000000-0004-0000-0700-000032050000}"/>
    <hyperlink ref="H303" r:id="rId1332" xr:uid="{00000000-0004-0000-0700-000033050000}"/>
    <hyperlink ref="I303" r:id="rId1333" xr:uid="{00000000-0004-0000-0700-000034050000}"/>
    <hyperlink ref="C304" r:id="rId1334" xr:uid="{00000000-0004-0000-0700-000035050000}"/>
    <hyperlink ref="F304" r:id="rId1335" xr:uid="{00000000-0004-0000-0700-000036050000}"/>
    <hyperlink ref="G304" r:id="rId1336" xr:uid="{00000000-0004-0000-0700-000037050000}"/>
    <hyperlink ref="H304" r:id="rId1337" xr:uid="{00000000-0004-0000-0700-000038050000}"/>
    <hyperlink ref="I304" r:id="rId1338" xr:uid="{00000000-0004-0000-0700-000039050000}"/>
    <hyperlink ref="C305" r:id="rId1339" xr:uid="{00000000-0004-0000-0700-00003A050000}"/>
    <hyperlink ref="F305" r:id="rId1340" xr:uid="{00000000-0004-0000-0700-00003B050000}"/>
    <hyperlink ref="G305" r:id="rId1341" xr:uid="{00000000-0004-0000-0700-00003C050000}"/>
    <hyperlink ref="H305" r:id="rId1342" xr:uid="{00000000-0004-0000-0700-00003D050000}"/>
    <hyperlink ref="I305" r:id="rId1343" xr:uid="{00000000-0004-0000-0700-00003E050000}"/>
    <hyperlink ref="C306" r:id="rId1344" xr:uid="{00000000-0004-0000-0700-00003F050000}"/>
    <hyperlink ref="F306" r:id="rId1345" xr:uid="{00000000-0004-0000-0700-000040050000}"/>
    <hyperlink ref="G306" r:id="rId1346" xr:uid="{00000000-0004-0000-0700-000041050000}"/>
    <hyperlink ref="H306" r:id="rId1347" xr:uid="{00000000-0004-0000-0700-000042050000}"/>
    <hyperlink ref="I306" r:id="rId1348" xr:uid="{00000000-0004-0000-0700-000043050000}"/>
    <hyperlink ref="C307" r:id="rId1349" xr:uid="{00000000-0004-0000-0700-000044050000}"/>
    <hyperlink ref="F307" r:id="rId1350" xr:uid="{00000000-0004-0000-0700-000045050000}"/>
    <hyperlink ref="G307" r:id="rId1351" xr:uid="{00000000-0004-0000-0700-000046050000}"/>
    <hyperlink ref="H307" r:id="rId1352" xr:uid="{00000000-0004-0000-0700-000047050000}"/>
    <hyperlink ref="I307" r:id="rId1353" xr:uid="{00000000-0004-0000-0700-000048050000}"/>
    <hyperlink ref="C308" r:id="rId1354" xr:uid="{00000000-0004-0000-0700-000049050000}"/>
    <hyperlink ref="F308" r:id="rId1355" xr:uid="{00000000-0004-0000-0700-00004A050000}"/>
    <hyperlink ref="G308" r:id="rId1356" xr:uid="{00000000-0004-0000-0700-00004B050000}"/>
    <hyperlink ref="H308" r:id="rId1357" xr:uid="{00000000-0004-0000-0700-00004C050000}"/>
    <hyperlink ref="I308" r:id="rId1358" xr:uid="{00000000-0004-0000-0700-00004D050000}"/>
    <hyperlink ref="C309" r:id="rId1359" xr:uid="{00000000-0004-0000-0700-00004E050000}"/>
    <hyperlink ref="F309" r:id="rId1360" xr:uid="{00000000-0004-0000-0700-00004F050000}"/>
    <hyperlink ref="G309" r:id="rId1361" xr:uid="{00000000-0004-0000-0700-000050050000}"/>
    <hyperlink ref="H309" r:id="rId1362" xr:uid="{00000000-0004-0000-0700-000051050000}"/>
    <hyperlink ref="I309" r:id="rId1363" xr:uid="{00000000-0004-0000-0700-000052050000}"/>
    <hyperlink ref="C310" r:id="rId1364" xr:uid="{00000000-0004-0000-0700-000053050000}"/>
    <hyperlink ref="F310" r:id="rId1365" xr:uid="{00000000-0004-0000-0700-000054050000}"/>
    <hyperlink ref="G310" r:id="rId1366" xr:uid="{00000000-0004-0000-0700-000055050000}"/>
    <hyperlink ref="H310" r:id="rId1367" xr:uid="{00000000-0004-0000-0700-000056050000}"/>
    <hyperlink ref="I310" r:id="rId1368" xr:uid="{00000000-0004-0000-0700-000057050000}"/>
    <hyperlink ref="C311" r:id="rId1369" xr:uid="{00000000-0004-0000-0700-000058050000}"/>
    <hyperlink ref="F311" r:id="rId1370" xr:uid="{00000000-0004-0000-0700-000059050000}"/>
    <hyperlink ref="G311" r:id="rId1371" xr:uid="{00000000-0004-0000-0700-00005A050000}"/>
    <hyperlink ref="H311" r:id="rId1372" xr:uid="{00000000-0004-0000-0700-00005B050000}"/>
    <hyperlink ref="I311" r:id="rId1373" xr:uid="{00000000-0004-0000-0700-00005C050000}"/>
    <hyperlink ref="C312" r:id="rId1374" xr:uid="{00000000-0004-0000-0700-00005D050000}"/>
    <hyperlink ref="F312" r:id="rId1375" xr:uid="{00000000-0004-0000-0700-00005E050000}"/>
    <hyperlink ref="G312" r:id="rId1376" xr:uid="{00000000-0004-0000-0700-00005F050000}"/>
    <hyperlink ref="H312" r:id="rId1377" xr:uid="{00000000-0004-0000-0700-000060050000}"/>
    <hyperlink ref="I312" r:id="rId1378" xr:uid="{00000000-0004-0000-0700-000061050000}"/>
    <hyperlink ref="C313" r:id="rId1379" xr:uid="{00000000-0004-0000-0700-000062050000}"/>
    <hyperlink ref="F313" r:id="rId1380" xr:uid="{00000000-0004-0000-0700-000063050000}"/>
    <hyperlink ref="G313" r:id="rId1381" xr:uid="{00000000-0004-0000-0700-000064050000}"/>
    <hyperlink ref="H313" r:id="rId1382" xr:uid="{00000000-0004-0000-0700-000065050000}"/>
    <hyperlink ref="I313" r:id="rId1383" xr:uid="{00000000-0004-0000-0700-000066050000}"/>
    <hyperlink ref="C314" r:id="rId1384" xr:uid="{00000000-0004-0000-0700-000067050000}"/>
    <hyperlink ref="F314" r:id="rId1385" xr:uid="{00000000-0004-0000-0700-000068050000}"/>
    <hyperlink ref="G314" r:id="rId1386" xr:uid="{00000000-0004-0000-0700-000069050000}"/>
    <hyperlink ref="H314" r:id="rId1387" xr:uid="{00000000-0004-0000-0700-00006A050000}"/>
    <hyperlink ref="I314" r:id="rId1388" xr:uid="{00000000-0004-0000-0700-00006B050000}"/>
    <hyperlink ref="C315" r:id="rId1389" xr:uid="{00000000-0004-0000-0700-00006C050000}"/>
    <hyperlink ref="F315" r:id="rId1390" xr:uid="{00000000-0004-0000-0700-00006D050000}"/>
    <hyperlink ref="G315" r:id="rId1391" xr:uid="{00000000-0004-0000-0700-00006E050000}"/>
    <hyperlink ref="H315" r:id="rId1392" xr:uid="{00000000-0004-0000-0700-00006F050000}"/>
    <hyperlink ref="I315" r:id="rId1393" xr:uid="{00000000-0004-0000-0700-000070050000}"/>
    <hyperlink ref="C316" r:id="rId1394" xr:uid="{00000000-0004-0000-0700-000071050000}"/>
    <hyperlink ref="F316" r:id="rId1395" xr:uid="{00000000-0004-0000-0700-000072050000}"/>
    <hyperlink ref="G316" r:id="rId1396" xr:uid="{00000000-0004-0000-0700-000073050000}"/>
    <hyperlink ref="H316" r:id="rId1397" xr:uid="{00000000-0004-0000-0700-000074050000}"/>
    <hyperlink ref="I316" r:id="rId1398" xr:uid="{00000000-0004-0000-0700-000075050000}"/>
    <hyperlink ref="C317" r:id="rId1399" xr:uid="{00000000-0004-0000-0700-000076050000}"/>
    <hyperlink ref="F317" r:id="rId1400" xr:uid="{00000000-0004-0000-0700-000077050000}"/>
    <hyperlink ref="G317" r:id="rId1401" xr:uid="{00000000-0004-0000-0700-000078050000}"/>
    <hyperlink ref="H317" r:id="rId1402" xr:uid="{00000000-0004-0000-0700-000079050000}"/>
    <hyperlink ref="I317" r:id="rId1403" xr:uid="{00000000-0004-0000-0700-00007A050000}"/>
    <hyperlink ref="C318" r:id="rId1404" xr:uid="{00000000-0004-0000-0700-00007B050000}"/>
    <hyperlink ref="F318" r:id="rId1405" xr:uid="{00000000-0004-0000-0700-00007C050000}"/>
    <hyperlink ref="G318" r:id="rId1406" xr:uid="{00000000-0004-0000-0700-00007D050000}"/>
    <hyperlink ref="H318" r:id="rId1407" xr:uid="{00000000-0004-0000-0700-00007E050000}"/>
    <hyperlink ref="I318" r:id="rId1408" xr:uid="{00000000-0004-0000-0700-00007F050000}"/>
    <hyperlink ref="C319" r:id="rId1409" xr:uid="{00000000-0004-0000-0700-000080050000}"/>
    <hyperlink ref="F319" r:id="rId1410" xr:uid="{00000000-0004-0000-0700-000081050000}"/>
    <hyperlink ref="G319" r:id="rId1411" xr:uid="{00000000-0004-0000-0700-000082050000}"/>
    <hyperlink ref="H319" r:id="rId1412" xr:uid="{00000000-0004-0000-0700-000083050000}"/>
    <hyperlink ref="I319" r:id="rId1413" xr:uid="{00000000-0004-0000-0700-000084050000}"/>
    <hyperlink ref="C320" r:id="rId1414" xr:uid="{00000000-0004-0000-0700-000085050000}"/>
    <hyperlink ref="F320" r:id="rId1415" xr:uid="{00000000-0004-0000-0700-000086050000}"/>
    <hyperlink ref="G320" r:id="rId1416" xr:uid="{00000000-0004-0000-0700-000087050000}"/>
    <hyperlink ref="H320" r:id="rId1417" display="2 C00008" xr:uid="{00000000-0004-0000-0700-000088050000}"/>
    <hyperlink ref="I320" r:id="rId1418" display="2 C00008" xr:uid="{00000000-0004-0000-0700-000089050000}"/>
    <hyperlink ref="C321" r:id="rId1419" xr:uid="{00000000-0004-0000-0700-00008A050000}"/>
    <hyperlink ref="F321" r:id="rId1420" xr:uid="{00000000-0004-0000-0700-00008B050000}"/>
    <hyperlink ref="G321" r:id="rId1421" xr:uid="{00000000-0004-0000-0700-00008C050000}"/>
    <hyperlink ref="H321" r:id="rId1422" xr:uid="{00000000-0004-0000-0700-00008D050000}"/>
    <hyperlink ref="I321" r:id="rId1423" xr:uid="{00000000-0004-0000-0700-00008E050000}"/>
    <hyperlink ref="C322" r:id="rId1424" xr:uid="{00000000-0004-0000-0700-00008F050000}"/>
    <hyperlink ref="F322" r:id="rId1425" xr:uid="{00000000-0004-0000-0700-000090050000}"/>
    <hyperlink ref="G322" r:id="rId1426" xr:uid="{00000000-0004-0000-0700-000091050000}"/>
    <hyperlink ref="H322" r:id="rId1427" xr:uid="{00000000-0004-0000-0700-000092050000}"/>
    <hyperlink ref="I322" r:id="rId1428" xr:uid="{00000000-0004-0000-0700-000093050000}"/>
    <hyperlink ref="C323" r:id="rId1429" xr:uid="{00000000-0004-0000-0700-000094050000}"/>
    <hyperlink ref="F323" r:id="rId1430" xr:uid="{00000000-0004-0000-0700-000095050000}"/>
    <hyperlink ref="G323" r:id="rId1431" xr:uid="{00000000-0004-0000-0700-000096050000}"/>
    <hyperlink ref="H323" r:id="rId1432" xr:uid="{00000000-0004-0000-0700-000097050000}"/>
    <hyperlink ref="I323" r:id="rId1433" xr:uid="{00000000-0004-0000-0700-000098050000}"/>
    <hyperlink ref="C324" r:id="rId1434" xr:uid="{00000000-0004-0000-0700-000099050000}"/>
    <hyperlink ref="F324" r:id="rId1435" xr:uid="{00000000-0004-0000-0700-00009A050000}"/>
    <hyperlink ref="G324" r:id="rId1436" xr:uid="{00000000-0004-0000-0700-00009B050000}"/>
    <hyperlink ref="H324" r:id="rId1437" xr:uid="{00000000-0004-0000-0700-00009C050000}"/>
    <hyperlink ref="I324" r:id="rId1438" xr:uid="{00000000-0004-0000-0700-00009D050000}"/>
    <hyperlink ref="C325" r:id="rId1439" xr:uid="{00000000-0004-0000-0700-00009E050000}"/>
    <hyperlink ref="F325" r:id="rId1440" xr:uid="{00000000-0004-0000-0700-00009F050000}"/>
    <hyperlink ref="G325" r:id="rId1441" xr:uid="{00000000-0004-0000-0700-0000A0050000}"/>
    <hyperlink ref="H325" r:id="rId1442" xr:uid="{00000000-0004-0000-0700-0000A1050000}"/>
    <hyperlink ref="I325" r:id="rId1443" xr:uid="{00000000-0004-0000-0700-0000A2050000}"/>
    <hyperlink ref="C326" r:id="rId1444" xr:uid="{00000000-0004-0000-0700-0000A3050000}"/>
    <hyperlink ref="F326" r:id="rId1445" xr:uid="{00000000-0004-0000-0700-0000A4050000}"/>
    <hyperlink ref="G326" r:id="rId1446" xr:uid="{00000000-0004-0000-0700-0000A5050000}"/>
    <hyperlink ref="H326" r:id="rId1447" xr:uid="{00000000-0004-0000-0700-0000A6050000}"/>
    <hyperlink ref="I326" r:id="rId1448" xr:uid="{00000000-0004-0000-0700-0000A7050000}"/>
    <hyperlink ref="C327" r:id="rId1449" xr:uid="{00000000-0004-0000-0700-0000A8050000}"/>
    <hyperlink ref="F327" r:id="rId1450" xr:uid="{00000000-0004-0000-0700-0000A9050000}"/>
    <hyperlink ref="G327" r:id="rId1451" xr:uid="{00000000-0004-0000-0700-0000AA050000}"/>
    <hyperlink ref="H327" r:id="rId1452" xr:uid="{00000000-0004-0000-0700-0000AB050000}"/>
    <hyperlink ref="I327" r:id="rId1453" xr:uid="{00000000-0004-0000-0700-0000AC050000}"/>
    <hyperlink ref="C328" r:id="rId1454" xr:uid="{00000000-0004-0000-0700-0000AD050000}"/>
    <hyperlink ref="F328" r:id="rId1455" xr:uid="{00000000-0004-0000-0700-0000AE050000}"/>
    <hyperlink ref="G328" r:id="rId1456" xr:uid="{00000000-0004-0000-0700-0000AF050000}"/>
    <hyperlink ref="H328" r:id="rId1457" xr:uid="{00000000-0004-0000-0700-0000B0050000}"/>
    <hyperlink ref="I328" r:id="rId1458" xr:uid="{00000000-0004-0000-0700-0000B1050000}"/>
    <hyperlink ref="C329" r:id="rId1459" xr:uid="{00000000-0004-0000-0700-0000B2050000}"/>
    <hyperlink ref="F329" r:id="rId1460" xr:uid="{00000000-0004-0000-0700-0000B3050000}"/>
    <hyperlink ref="G329" r:id="rId1461" xr:uid="{00000000-0004-0000-0700-0000B4050000}"/>
    <hyperlink ref="H329" r:id="rId1462" xr:uid="{00000000-0004-0000-0700-0000B5050000}"/>
    <hyperlink ref="I329" r:id="rId1463" xr:uid="{00000000-0004-0000-0700-0000B6050000}"/>
    <hyperlink ref="C330" r:id="rId1464" xr:uid="{00000000-0004-0000-0700-0000B7050000}"/>
    <hyperlink ref="F330" r:id="rId1465" xr:uid="{00000000-0004-0000-0700-0000B8050000}"/>
    <hyperlink ref="G330" r:id="rId1466" xr:uid="{00000000-0004-0000-0700-0000B9050000}"/>
    <hyperlink ref="H330" r:id="rId1467" xr:uid="{00000000-0004-0000-0700-0000BA050000}"/>
    <hyperlink ref="I330" r:id="rId1468" xr:uid="{00000000-0004-0000-0700-0000BB050000}"/>
    <hyperlink ref="C331" r:id="rId1469" xr:uid="{00000000-0004-0000-0700-0000BC050000}"/>
    <hyperlink ref="F331" r:id="rId1470" xr:uid="{00000000-0004-0000-0700-0000BD050000}"/>
    <hyperlink ref="G331" r:id="rId1471" xr:uid="{00000000-0004-0000-0700-0000BE050000}"/>
    <hyperlink ref="H331" r:id="rId1472" xr:uid="{00000000-0004-0000-0700-0000BF050000}"/>
    <hyperlink ref="I331" r:id="rId1473" xr:uid="{00000000-0004-0000-0700-0000C0050000}"/>
    <hyperlink ref="C332" r:id="rId1474" xr:uid="{00000000-0004-0000-0700-0000C1050000}"/>
    <hyperlink ref="F332" r:id="rId1475" xr:uid="{00000000-0004-0000-0700-0000C2050000}"/>
    <hyperlink ref="G332" r:id="rId1476" xr:uid="{00000000-0004-0000-0700-0000C3050000}"/>
    <hyperlink ref="H332" r:id="rId1477" xr:uid="{00000000-0004-0000-0700-0000C4050000}"/>
    <hyperlink ref="I332" r:id="rId1478" xr:uid="{00000000-0004-0000-0700-0000C5050000}"/>
    <hyperlink ref="C333" r:id="rId1479" xr:uid="{00000000-0004-0000-0700-0000C6050000}"/>
    <hyperlink ref="F333" r:id="rId1480" xr:uid="{00000000-0004-0000-0700-0000C7050000}"/>
    <hyperlink ref="G333" r:id="rId1481" xr:uid="{00000000-0004-0000-0700-0000C8050000}"/>
    <hyperlink ref="H333" r:id="rId1482" xr:uid="{00000000-0004-0000-0700-0000C9050000}"/>
    <hyperlink ref="I333" r:id="rId1483" xr:uid="{00000000-0004-0000-0700-0000CA050000}"/>
    <hyperlink ref="C334" r:id="rId1484" xr:uid="{00000000-0004-0000-0700-0000CB050000}"/>
    <hyperlink ref="F334" r:id="rId1485" xr:uid="{00000000-0004-0000-0700-0000CC050000}"/>
    <hyperlink ref="G334" r:id="rId1486" xr:uid="{00000000-0004-0000-0700-0000CD050000}"/>
    <hyperlink ref="H334" r:id="rId1487" xr:uid="{00000000-0004-0000-0700-0000CE050000}"/>
    <hyperlink ref="I334" r:id="rId1488" xr:uid="{00000000-0004-0000-0700-0000CF050000}"/>
    <hyperlink ref="C335" r:id="rId1489" xr:uid="{00000000-0004-0000-0700-0000D0050000}"/>
    <hyperlink ref="F335" r:id="rId1490" xr:uid="{00000000-0004-0000-0700-0000D1050000}"/>
    <hyperlink ref="G335" r:id="rId1491" xr:uid="{00000000-0004-0000-0700-0000D2050000}"/>
    <hyperlink ref="H335" r:id="rId1492" xr:uid="{00000000-0004-0000-0700-0000D3050000}"/>
    <hyperlink ref="I335" r:id="rId1493" xr:uid="{00000000-0004-0000-0700-0000D4050000}"/>
    <hyperlink ref="C336" r:id="rId1494" xr:uid="{00000000-0004-0000-0700-0000D5050000}"/>
    <hyperlink ref="F336" r:id="rId1495" xr:uid="{00000000-0004-0000-0700-0000D6050000}"/>
    <hyperlink ref="G336" r:id="rId1496" xr:uid="{00000000-0004-0000-0700-0000D7050000}"/>
    <hyperlink ref="H336" r:id="rId1497" xr:uid="{00000000-0004-0000-0700-0000D8050000}"/>
    <hyperlink ref="I336" r:id="rId1498" xr:uid="{00000000-0004-0000-0700-0000D9050000}"/>
    <hyperlink ref="C337" r:id="rId1499" xr:uid="{00000000-0004-0000-0700-0000DA050000}"/>
    <hyperlink ref="F337" r:id="rId1500" xr:uid="{00000000-0004-0000-0700-0000DB050000}"/>
    <hyperlink ref="G337" r:id="rId1501" xr:uid="{00000000-0004-0000-0700-0000DC050000}"/>
    <hyperlink ref="H337" r:id="rId1502" xr:uid="{00000000-0004-0000-0700-0000DD050000}"/>
    <hyperlink ref="I337" r:id="rId1503" xr:uid="{00000000-0004-0000-0700-0000DE050000}"/>
    <hyperlink ref="C338" r:id="rId1504" xr:uid="{00000000-0004-0000-0700-0000DF050000}"/>
    <hyperlink ref="F338" r:id="rId1505" xr:uid="{00000000-0004-0000-0700-0000E0050000}"/>
    <hyperlink ref="G338" r:id="rId1506" xr:uid="{00000000-0004-0000-0700-0000E1050000}"/>
    <hyperlink ref="H338" r:id="rId1507" xr:uid="{00000000-0004-0000-0700-0000E2050000}"/>
    <hyperlink ref="I338" r:id="rId1508" xr:uid="{00000000-0004-0000-0700-0000E3050000}"/>
    <hyperlink ref="F339" r:id="rId1509" xr:uid="{00000000-0004-0000-0700-0000E4050000}"/>
    <hyperlink ref="G339" r:id="rId1510" xr:uid="{00000000-0004-0000-0700-0000E5050000}"/>
    <hyperlink ref="H339" r:id="rId1511" xr:uid="{00000000-0004-0000-0700-0000E6050000}"/>
    <hyperlink ref="I339" r:id="rId1512" xr:uid="{00000000-0004-0000-0700-0000E7050000}"/>
    <hyperlink ref="C340" r:id="rId1513" xr:uid="{00000000-0004-0000-0700-0000E8050000}"/>
    <hyperlink ref="F340" r:id="rId1514" xr:uid="{00000000-0004-0000-0700-0000E9050000}"/>
    <hyperlink ref="G340" r:id="rId1515" xr:uid="{00000000-0004-0000-0700-0000EA050000}"/>
    <hyperlink ref="H340" r:id="rId1516" xr:uid="{00000000-0004-0000-0700-0000EB050000}"/>
    <hyperlink ref="I340" r:id="rId1517" xr:uid="{00000000-0004-0000-0700-0000EC050000}"/>
    <hyperlink ref="C341" r:id="rId1518" xr:uid="{00000000-0004-0000-0700-0000ED050000}"/>
    <hyperlink ref="F341" r:id="rId1519" xr:uid="{00000000-0004-0000-0700-0000EE050000}"/>
    <hyperlink ref="G341" r:id="rId1520" xr:uid="{00000000-0004-0000-0700-0000EF050000}"/>
    <hyperlink ref="H341" r:id="rId1521" xr:uid="{00000000-0004-0000-0700-0000F0050000}"/>
    <hyperlink ref="I341" r:id="rId1522" xr:uid="{00000000-0004-0000-0700-0000F1050000}"/>
    <hyperlink ref="C342" r:id="rId1523" xr:uid="{00000000-0004-0000-0700-0000F2050000}"/>
    <hyperlink ref="F342" r:id="rId1524" xr:uid="{00000000-0004-0000-0700-0000F3050000}"/>
    <hyperlink ref="G342" r:id="rId1525" xr:uid="{00000000-0004-0000-0700-0000F4050000}"/>
    <hyperlink ref="H342" r:id="rId1526" xr:uid="{00000000-0004-0000-0700-0000F5050000}"/>
    <hyperlink ref="I342" r:id="rId1527" xr:uid="{00000000-0004-0000-0700-0000F6050000}"/>
    <hyperlink ref="C343" r:id="rId1528" xr:uid="{00000000-0004-0000-0700-0000F7050000}"/>
    <hyperlink ref="F343" r:id="rId1529" xr:uid="{00000000-0004-0000-0700-0000F8050000}"/>
    <hyperlink ref="G343" r:id="rId1530" xr:uid="{00000000-0004-0000-0700-0000F9050000}"/>
    <hyperlink ref="H343" r:id="rId1531" xr:uid="{00000000-0004-0000-0700-0000FA050000}"/>
    <hyperlink ref="I343" r:id="rId1532" xr:uid="{00000000-0004-0000-0700-0000FB050000}"/>
    <hyperlink ref="C344" r:id="rId1533" xr:uid="{00000000-0004-0000-0700-0000FC050000}"/>
    <hyperlink ref="F344" r:id="rId1534" xr:uid="{00000000-0004-0000-0700-0000FD050000}"/>
    <hyperlink ref="G344" r:id="rId1535" xr:uid="{00000000-0004-0000-0700-0000FE050000}"/>
    <hyperlink ref="H344" r:id="rId1536" xr:uid="{00000000-0004-0000-0700-0000FF050000}"/>
    <hyperlink ref="I344" r:id="rId1537" xr:uid="{00000000-0004-0000-0700-000000060000}"/>
    <hyperlink ref="C345" r:id="rId1538" xr:uid="{00000000-0004-0000-0700-000001060000}"/>
    <hyperlink ref="F345" r:id="rId1539" xr:uid="{00000000-0004-0000-0700-000002060000}"/>
    <hyperlink ref="G345" r:id="rId1540" xr:uid="{00000000-0004-0000-0700-000003060000}"/>
    <hyperlink ref="H345" r:id="rId1541" xr:uid="{00000000-0004-0000-0700-000004060000}"/>
    <hyperlink ref="I345" r:id="rId1542" xr:uid="{00000000-0004-0000-0700-000005060000}"/>
    <hyperlink ref="F346" r:id="rId1543" xr:uid="{00000000-0004-0000-0700-000006060000}"/>
    <hyperlink ref="G346" r:id="rId1544" xr:uid="{00000000-0004-0000-0700-000007060000}"/>
    <hyperlink ref="H346" r:id="rId1545" xr:uid="{00000000-0004-0000-0700-000008060000}"/>
    <hyperlink ref="I346" r:id="rId1546" xr:uid="{00000000-0004-0000-0700-000009060000}"/>
    <hyperlink ref="C347" r:id="rId1547" xr:uid="{00000000-0004-0000-0700-00000A060000}"/>
    <hyperlink ref="F347" r:id="rId1548" xr:uid="{00000000-0004-0000-0700-00000B060000}"/>
    <hyperlink ref="G347" r:id="rId1549" xr:uid="{00000000-0004-0000-0700-00000C060000}"/>
    <hyperlink ref="H347" r:id="rId1550" xr:uid="{00000000-0004-0000-0700-00000D060000}"/>
    <hyperlink ref="I347" r:id="rId1551" xr:uid="{00000000-0004-0000-0700-00000E060000}"/>
    <hyperlink ref="C348" r:id="rId1552" xr:uid="{00000000-0004-0000-0700-00000F060000}"/>
    <hyperlink ref="F348" r:id="rId1553" xr:uid="{00000000-0004-0000-0700-000010060000}"/>
    <hyperlink ref="G348" r:id="rId1554" xr:uid="{00000000-0004-0000-0700-000011060000}"/>
    <hyperlink ref="H348" r:id="rId1555" xr:uid="{00000000-0004-0000-0700-000012060000}"/>
    <hyperlink ref="I348" r:id="rId1556" xr:uid="{00000000-0004-0000-0700-000013060000}"/>
    <hyperlink ref="C349" r:id="rId1557" xr:uid="{00000000-0004-0000-0700-000014060000}"/>
    <hyperlink ref="F349" r:id="rId1558" xr:uid="{00000000-0004-0000-0700-000015060000}"/>
    <hyperlink ref="G349" r:id="rId1559" xr:uid="{00000000-0004-0000-0700-000016060000}"/>
    <hyperlink ref="H349" r:id="rId1560" xr:uid="{00000000-0004-0000-0700-000017060000}"/>
    <hyperlink ref="I349" r:id="rId1561" xr:uid="{00000000-0004-0000-0700-000018060000}"/>
    <hyperlink ref="C350" r:id="rId1562" xr:uid="{00000000-0004-0000-0700-000019060000}"/>
    <hyperlink ref="F350" r:id="rId1563" xr:uid="{00000000-0004-0000-0700-00001A060000}"/>
    <hyperlink ref="G350" r:id="rId1564" xr:uid="{00000000-0004-0000-0700-00001B060000}"/>
    <hyperlink ref="H350" r:id="rId1565" xr:uid="{00000000-0004-0000-0700-00001C060000}"/>
    <hyperlink ref="I350" r:id="rId1566" xr:uid="{00000000-0004-0000-0700-00001D060000}"/>
    <hyperlink ref="F351" r:id="rId1567" xr:uid="{00000000-0004-0000-0700-00001E060000}"/>
    <hyperlink ref="G351" r:id="rId1568" xr:uid="{00000000-0004-0000-0700-00001F060000}"/>
    <hyperlink ref="H351" r:id="rId1569" xr:uid="{00000000-0004-0000-0700-000020060000}"/>
    <hyperlink ref="I351" r:id="rId1570" xr:uid="{00000000-0004-0000-0700-000021060000}"/>
    <hyperlink ref="F352" r:id="rId1571" xr:uid="{00000000-0004-0000-0700-000022060000}"/>
    <hyperlink ref="G352" r:id="rId1572" xr:uid="{00000000-0004-0000-0700-000023060000}"/>
    <hyperlink ref="H352" r:id="rId1573" xr:uid="{00000000-0004-0000-0700-000024060000}"/>
    <hyperlink ref="I352" r:id="rId1574" xr:uid="{00000000-0004-0000-0700-000025060000}"/>
    <hyperlink ref="C353" r:id="rId1575" xr:uid="{00000000-0004-0000-0700-000026060000}"/>
    <hyperlink ref="F353" r:id="rId1576" xr:uid="{00000000-0004-0000-0700-000027060000}"/>
    <hyperlink ref="G353" r:id="rId1577" xr:uid="{00000000-0004-0000-0700-000028060000}"/>
    <hyperlink ref="H353" r:id="rId1578" xr:uid="{00000000-0004-0000-0700-000029060000}"/>
    <hyperlink ref="I353" r:id="rId1579" xr:uid="{00000000-0004-0000-0700-00002A060000}"/>
    <hyperlink ref="C354" r:id="rId1580" xr:uid="{00000000-0004-0000-0700-00002B060000}"/>
    <hyperlink ref="F354" r:id="rId1581" xr:uid="{00000000-0004-0000-0700-00002C060000}"/>
    <hyperlink ref="G354" r:id="rId1582" xr:uid="{00000000-0004-0000-0700-00002D060000}"/>
    <hyperlink ref="H354" r:id="rId1583" xr:uid="{00000000-0004-0000-0700-00002E060000}"/>
    <hyperlink ref="I354" r:id="rId1584" xr:uid="{00000000-0004-0000-0700-00002F060000}"/>
    <hyperlink ref="C355" r:id="rId1585" xr:uid="{00000000-0004-0000-0700-000030060000}"/>
    <hyperlink ref="F355" r:id="rId1586" xr:uid="{00000000-0004-0000-0700-000031060000}"/>
    <hyperlink ref="G355" r:id="rId1587" xr:uid="{00000000-0004-0000-0700-000032060000}"/>
    <hyperlink ref="H355" r:id="rId1588" xr:uid="{00000000-0004-0000-0700-000033060000}"/>
    <hyperlink ref="I355" r:id="rId1589" xr:uid="{00000000-0004-0000-0700-000034060000}"/>
    <hyperlink ref="C356" r:id="rId1590" xr:uid="{00000000-0004-0000-0700-000035060000}"/>
    <hyperlink ref="F356" r:id="rId1591" xr:uid="{00000000-0004-0000-0700-000036060000}"/>
    <hyperlink ref="G356" r:id="rId1592" xr:uid="{00000000-0004-0000-0700-000037060000}"/>
    <hyperlink ref="H356" r:id="rId1593" xr:uid="{00000000-0004-0000-0700-000038060000}"/>
    <hyperlink ref="I356" r:id="rId1594" xr:uid="{00000000-0004-0000-0700-000039060000}"/>
    <hyperlink ref="C357" r:id="rId1595" xr:uid="{00000000-0004-0000-0700-00003A060000}"/>
    <hyperlink ref="F357" r:id="rId1596" xr:uid="{00000000-0004-0000-0700-00003B060000}"/>
    <hyperlink ref="G357" r:id="rId1597" xr:uid="{00000000-0004-0000-0700-00003C060000}"/>
    <hyperlink ref="H357" r:id="rId1598" xr:uid="{00000000-0004-0000-0700-00003D060000}"/>
    <hyperlink ref="I357" r:id="rId1599" xr:uid="{00000000-0004-0000-0700-00003E060000}"/>
    <hyperlink ref="C358" r:id="rId1600" xr:uid="{00000000-0004-0000-0700-00003F060000}"/>
    <hyperlink ref="F358" r:id="rId1601" xr:uid="{00000000-0004-0000-0700-000040060000}"/>
    <hyperlink ref="G358" r:id="rId1602" xr:uid="{00000000-0004-0000-0700-000041060000}"/>
    <hyperlink ref="H358" r:id="rId1603" xr:uid="{00000000-0004-0000-0700-000042060000}"/>
    <hyperlink ref="I358" r:id="rId1604" xr:uid="{00000000-0004-0000-0700-000043060000}"/>
    <hyperlink ref="C359" r:id="rId1605" xr:uid="{00000000-0004-0000-0700-000044060000}"/>
    <hyperlink ref="F359" r:id="rId1606" xr:uid="{00000000-0004-0000-0700-000045060000}"/>
    <hyperlink ref="G359" r:id="rId1607" xr:uid="{00000000-0004-0000-0700-000046060000}"/>
    <hyperlink ref="H359" r:id="rId1608" xr:uid="{00000000-0004-0000-0700-000047060000}"/>
    <hyperlink ref="I359" r:id="rId1609" xr:uid="{00000000-0004-0000-0700-000048060000}"/>
    <hyperlink ref="C360" r:id="rId1610" xr:uid="{00000000-0004-0000-0700-000049060000}"/>
    <hyperlink ref="F360" r:id="rId1611" display="n C00201" xr:uid="{00000000-0004-0000-0700-00004A060000}"/>
    <hyperlink ref="G360" r:id="rId1612" display="n C00201" xr:uid="{00000000-0004-0000-0700-00004B060000}"/>
    <hyperlink ref="H360" r:id="rId1613" display="C20864(n) + (n-1) C00013" xr:uid="{00000000-0004-0000-0700-00004C060000}"/>
    <hyperlink ref="I360" r:id="rId1614" display="C20864(n) * (n-1) C00013" xr:uid="{00000000-0004-0000-0700-00004D060000}"/>
    <hyperlink ref="C361" r:id="rId1615" xr:uid="{00000000-0004-0000-0700-00004E060000}"/>
    <hyperlink ref="F361" r:id="rId1616" xr:uid="{00000000-0004-0000-0700-00004F060000}"/>
    <hyperlink ref="G361" r:id="rId1617" xr:uid="{00000000-0004-0000-0700-000050060000}"/>
    <hyperlink ref="H361" r:id="rId1618" xr:uid="{00000000-0004-0000-0700-000051060000}"/>
    <hyperlink ref="I361" r:id="rId1619" xr:uid="{00000000-0004-0000-0700-000052060000}"/>
    <hyperlink ref="C362" r:id="rId1620" xr:uid="{00000000-0004-0000-0700-000053060000}"/>
    <hyperlink ref="F362" r:id="rId1621" xr:uid="{00000000-0004-0000-0700-000054060000}"/>
    <hyperlink ref="G362" r:id="rId1622" xr:uid="{00000000-0004-0000-0700-000055060000}"/>
    <hyperlink ref="H362" r:id="rId1623" xr:uid="{00000000-0004-0000-0700-000056060000}"/>
    <hyperlink ref="I362" r:id="rId1624" xr:uid="{00000000-0004-0000-0700-000057060000}"/>
    <hyperlink ref="C363" r:id="rId1625" xr:uid="{00000000-0004-0000-0700-000058060000}"/>
    <hyperlink ref="F363" r:id="rId1626" xr:uid="{00000000-0004-0000-0700-000059060000}"/>
    <hyperlink ref="G363" r:id="rId1627" xr:uid="{00000000-0004-0000-0700-00005A060000}"/>
    <hyperlink ref="H363" r:id="rId1628" xr:uid="{00000000-0004-0000-0700-00005B060000}"/>
    <hyperlink ref="I363" r:id="rId1629" xr:uid="{00000000-0004-0000-0700-00005C060000}"/>
    <hyperlink ref="C364" r:id="rId1630" xr:uid="{00000000-0004-0000-0700-00005D060000}"/>
    <hyperlink ref="F364" r:id="rId1631" xr:uid="{00000000-0004-0000-0700-00005E060000}"/>
    <hyperlink ref="G364" r:id="rId1632" xr:uid="{00000000-0004-0000-0700-00005F060000}"/>
    <hyperlink ref="H364" r:id="rId1633" xr:uid="{00000000-0004-0000-0700-000060060000}"/>
    <hyperlink ref="I364" r:id="rId1634" xr:uid="{00000000-0004-0000-0700-000061060000}"/>
    <hyperlink ref="C365" r:id="rId1635" xr:uid="{00000000-0004-0000-0700-000062060000}"/>
    <hyperlink ref="F365" r:id="rId1636" xr:uid="{00000000-0004-0000-0700-000063060000}"/>
    <hyperlink ref="G365" r:id="rId1637" xr:uid="{00000000-0004-0000-0700-000064060000}"/>
    <hyperlink ref="H365" r:id="rId1638" xr:uid="{00000000-0004-0000-0700-000065060000}"/>
    <hyperlink ref="I365" r:id="rId1639" xr:uid="{00000000-0004-0000-0700-000066060000}"/>
    <hyperlink ref="C366" r:id="rId1640" xr:uid="{00000000-0004-0000-0700-000067060000}"/>
    <hyperlink ref="F366" r:id="rId1641" display="C00677 + C00039(n)" xr:uid="{00000000-0004-0000-0700-000068060000}"/>
    <hyperlink ref="G366" r:id="rId1642" display="C00677 * C00039(n)" xr:uid="{00000000-0004-0000-0700-000069060000}"/>
    <hyperlink ref="H366" r:id="rId1643" display="C00013 + C00039(n+1)" xr:uid="{00000000-0004-0000-0700-00006A060000}"/>
    <hyperlink ref="I366" r:id="rId1644" display="C00013 * C00039(n*1)" xr:uid="{00000000-0004-0000-0700-00006B060000}"/>
    <hyperlink ref="C367" r:id="rId1645" xr:uid="{00000000-0004-0000-0700-00006C060000}"/>
    <hyperlink ref="F367" r:id="rId1646" xr:uid="{00000000-0004-0000-0700-00006D060000}"/>
    <hyperlink ref="G367" r:id="rId1647" xr:uid="{00000000-0004-0000-0700-00006E060000}"/>
    <hyperlink ref="H367" r:id="rId1648" xr:uid="{00000000-0004-0000-0700-00006F060000}"/>
    <hyperlink ref="I367" r:id="rId1649" xr:uid="{00000000-0004-0000-0700-000070060000}"/>
    <hyperlink ref="C368" r:id="rId1650" xr:uid="{00000000-0004-0000-0700-000071060000}"/>
    <hyperlink ref="F368" r:id="rId1651" display="C02211 + 2 C00063 + C00002" xr:uid="{00000000-0004-0000-0700-000072060000}"/>
    <hyperlink ref="G368" r:id="rId1652" display="C02211 * 2 C00063 * C00002" xr:uid="{00000000-0004-0000-0700-000073060000}"/>
    <hyperlink ref="H368" r:id="rId1653" display="C19085 + 3 C00013" xr:uid="{00000000-0004-0000-0700-000074060000}"/>
    <hyperlink ref="I368" r:id="rId1654" display="C19085 * 3 C00013" xr:uid="{00000000-0004-0000-0700-000075060000}"/>
    <hyperlink ref="C369" r:id="rId1655" xr:uid="{00000000-0004-0000-0700-000076060000}"/>
    <hyperlink ref="F369" r:id="rId1656" xr:uid="{00000000-0004-0000-0700-000077060000}"/>
    <hyperlink ref="G369" r:id="rId1657" xr:uid="{00000000-0004-0000-0700-000078060000}"/>
    <hyperlink ref="H369" r:id="rId1658" xr:uid="{00000000-0004-0000-0700-000079060000}"/>
    <hyperlink ref="I369" r:id="rId1659" xr:uid="{00000000-0004-0000-0700-00007A060000}"/>
    <hyperlink ref="C370" r:id="rId1660" xr:uid="{00000000-0004-0000-0700-00007B060000}"/>
    <hyperlink ref="F370" r:id="rId1661" xr:uid="{00000000-0004-0000-0700-00007C060000}"/>
    <hyperlink ref="G370" r:id="rId1662" xr:uid="{00000000-0004-0000-0700-00007D060000}"/>
    <hyperlink ref="H370" r:id="rId1663" xr:uid="{00000000-0004-0000-0700-00007E060000}"/>
    <hyperlink ref="I370" r:id="rId1664" xr:uid="{00000000-0004-0000-0700-00007F060000}"/>
    <hyperlink ref="C371" r:id="rId1665" xr:uid="{00000000-0004-0000-0700-000080060000}"/>
    <hyperlink ref="F371" r:id="rId1666" xr:uid="{00000000-0004-0000-0700-000081060000}"/>
    <hyperlink ref="G371" r:id="rId1667" xr:uid="{00000000-0004-0000-0700-000082060000}"/>
    <hyperlink ref="H371" r:id="rId1668" xr:uid="{00000000-0004-0000-0700-000083060000}"/>
    <hyperlink ref="I371" r:id="rId1669" xr:uid="{00000000-0004-0000-0700-000084060000}"/>
    <hyperlink ref="C372" r:id="rId1670" xr:uid="{00000000-0004-0000-0700-000085060000}"/>
    <hyperlink ref="F372" r:id="rId1671" display="2 C00002" xr:uid="{00000000-0004-0000-0700-000086060000}"/>
    <hyperlink ref="G372" r:id="rId1672" display="2 C00002" xr:uid="{00000000-0004-0000-0700-000087060000}"/>
    <hyperlink ref="H372" r:id="rId1673" display="2 C00013 + C20565" xr:uid="{00000000-0004-0000-0700-000088060000}"/>
    <hyperlink ref="I372" r:id="rId1674" display="2 C00013 * C20565" xr:uid="{00000000-0004-0000-0700-000089060000}"/>
    <hyperlink ref="C373" r:id="rId1675" xr:uid="{00000000-0004-0000-0700-00008A060000}"/>
    <hyperlink ref="F373" r:id="rId1676" xr:uid="{00000000-0004-0000-0700-00008B060000}"/>
    <hyperlink ref="G373" r:id="rId1677" xr:uid="{00000000-0004-0000-0700-00008C060000}"/>
    <hyperlink ref="H373" r:id="rId1678" xr:uid="{00000000-0004-0000-0700-00008D060000}"/>
    <hyperlink ref="I373" r:id="rId1679" xr:uid="{00000000-0004-0000-0700-00008E060000}"/>
    <hyperlink ref="C374" r:id="rId1680" xr:uid="{00000000-0004-0000-0700-00008F060000}"/>
    <hyperlink ref="F374" r:id="rId1681" xr:uid="{00000000-0004-0000-0700-000090060000}"/>
    <hyperlink ref="G374" r:id="rId1682" xr:uid="{00000000-0004-0000-0700-000091060000}"/>
    <hyperlink ref="H374" r:id="rId1683" xr:uid="{00000000-0004-0000-0700-000092060000}"/>
    <hyperlink ref="I374" r:id="rId1684" xr:uid="{00000000-0004-0000-0700-000093060000}"/>
    <hyperlink ref="C375" r:id="rId1685" xr:uid="{00000000-0004-0000-0700-000094060000}"/>
    <hyperlink ref="F375" r:id="rId1686" xr:uid="{00000000-0004-0000-0700-000095060000}"/>
    <hyperlink ref="G375" r:id="rId1687" xr:uid="{00000000-0004-0000-0700-000096060000}"/>
    <hyperlink ref="H375" r:id="rId1688" xr:uid="{00000000-0004-0000-0700-000097060000}"/>
    <hyperlink ref="I375" r:id="rId1689" xr:uid="{00000000-0004-0000-0700-000098060000}"/>
    <hyperlink ref="C376" r:id="rId1690" xr:uid="{00000000-0004-0000-0700-000099060000}"/>
    <hyperlink ref="F376" r:id="rId1691" xr:uid="{00000000-0004-0000-0700-00009A060000}"/>
    <hyperlink ref="G376" r:id="rId1692" xr:uid="{00000000-0004-0000-0700-00009B060000}"/>
    <hyperlink ref="H376" r:id="rId1693" xr:uid="{00000000-0004-0000-0700-00009C060000}"/>
    <hyperlink ref="I376" r:id="rId1694" xr:uid="{00000000-0004-0000-0700-00009D060000}"/>
    <hyperlink ref="C377" r:id="rId1695" xr:uid="{00000000-0004-0000-0700-00009E060000}"/>
    <hyperlink ref="F377" r:id="rId1696" xr:uid="{00000000-0004-0000-0700-00009F060000}"/>
    <hyperlink ref="G377" r:id="rId1697" xr:uid="{00000000-0004-0000-0700-0000A0060000}"/>
    <hyperlink ref="H377" r:id="rId1698" xr:uid="{00000000-0004-0000-0700-0000A1060000}"/>
    <hyperlink ref="I377" r:id="rId1699" xr:uid="{00000000-0004-0000-0700-0000A2060000}"/>
    <hyperlink ref="C378" r:id="rId1700" xr:uid="{00000000-0004-0000-0700-0000A3060000}"/>
    <hyperlink ref="F378" r:id="rId1701" xr:uid="{00000000-0004-0000-0700-0000A4060000}"/>
    <hyperlink ref="G378" r:id="rId1702" xr:uid="{00000000-0004-0000-0700-0000A5060000}"/>
    <hyperlink ref="H378" r:id="rId1703" xr:uid="{00000000-0004-0000-0700-0000A6060000}"/>
    <hyperlink ref="I378" r:id="rId1704" xr:uid="{00000000-0004-0000-0700-0000A7060000}"/>
    <hyperlink ref="C379" r:id="rId1705" xr:uid="{00000000-0004-0000-0700-0000A8060000}"/>
    <hyperlink ref="F379" r:id="rId1706" xr:uid="{00000000-0004-0000-0700-0000A9060000}"/>
    <hyperlink ref="G379" r:id="rId1707" xr:uid="{00000000-0004-0000-0700-0000AA060000}"/>
    <hyperlink ref="H379" r:id="rId1708" xr:uid="{00000000-0004-0000-0700-0000AB060000}"/>
    <hyperlink ref="I379" r:id="rId1709" xr:uid="{00000000-0004-0000-0700-0000AC060000}"/>
    <hyperlink ref="C380" r:id="rId1710" xr:uid="{00000000-0004-0000-0700-0000AD060000}"/>
    <hyperlink ref="F380" r:id="rId1711" xr:uid="{00000000-0004-0000-0700-0000AE060000}"/>
    <hyperlink ref="G380" r:id="rId1712" xr:uid="{00000000-0004-0000-0700-0000AF060000}"/>
    <hyperlink ref="H380" r:id="rId1713" xr:uid="{00000000-0004-0000-0700-0000B0060000}"/>
    <hyperlink ref="I380" r:id="rId1714" xr:uid="{00000000-0004-0000-0700-0000B1060000}"/>
    <hyperlink ref="C381" r:id="rId1715" xr:uid="{00000000-0004-0000-0700-0000B2060000}"/>
    <hyperlink ref="F381" r:id="rId1716" xr:uid="{00000000-0004-0000-0700-0000B3060000}"/>
    <hyperlink ref="G381" r:id="rId1717" xr:uid="{00000000-0004-0000-0700-0000B4060000}"/>
    <hyperlink ref="H381" r:id="rId1718" xr:uid="{00000000-0004-0000-0700-0000B5060000}"/>
    <hyperlink ref="I381" r:id="rId1719" xr:uid="{00000000-0004-0000-0700-0000B6060000}"/>
    <hyperlink ref="C382" r:id="rId1720" xr:uid="{00000000-0004-0000-0700-0000B7060000}"/>
    <hyperlink ref="F382" r:id="rId1721" xr:uid="{00000000-0004-0000-0700-0000B8060000}"/>
    <hyperlink ref="G382" r:id="rId1722" xr:uid="{00000000-0004-0000-0700-0000B9060000}"/>
    <hyperlink ref="H382" r:id="rId1723" xr:uid="{00000000-0004-0000-0700-0000BA060000}"/>
    <hyperlink ref="I382" r:id="rId1724" xr:uid="{00000000-0004-0000-0700-0000BB060000}"/>
    <hyperlink ref="F383" r:id="rId1725" xr:uid="{00000000-0004-0000-0700-0000BC060000}"/>
    <hyperlink ref="G383" r:id="rId1726" xr:uid="{00000000-0004-0000-0700-0000BD060000}"/>
    <hyperlink ref="H383" r:id="rId1727" xr:uid="{00000000-0004-0000-0700-0000BE060000}"/>
    <hyperlink ref="I383" r:id="rId1728" xr:uid="{00000000-0004-0000-0700-0000BF060000}"/>
    <hyperlink ref="C384" r:id="rId1729" xr:uid="{00000000-0004-0000-0700-0000C0060000}"/>
    <hyperlink ref="F384" r:id="rId1730" xr:uid="{00000000-0004-0000-0700-0000C1060000}"/>
    <hyperlink ref="G384" r:id="rId1731" xr:uid="{00000000-0004-0000-0700-0000C2060000}"/>
    <hyperlink ref="H384" r:id="rId1732" xr:uid="{00000000-0004-0000-0700-0000C3060000}"/>
    <hyperlink ref="I384" r:id="rId1733" xr:uid="{00000000-0004-0000-0700-0000C4060000}"/>
    <hyperlink ref="C385" r:id="rId1734" xr:uid="{00000000-0004-0000-0700-0000C5060000}"/>
    <hyperlink ref="F385" r:id="rId1735" xr:uid="{00000000-0004-0000-0700-0000C6060000}"/>
    <hyperlink ref="G385" r:id="rId1736" xr:uid="{00000000-0004-0000-0700-0000C7060000}"/>
    <hyperlink ref="H385" r:id="rId1737" xr:uid="{00000000-0004-0000-0700-0000C8060000}"/>
    <hyperlink ref="I385" r:id="rId1738" xr:uid="{00000000-0004-0000-0700-0000C9060000}"/>
    <hyperlink ref="C386" r:id="rId1739" xr:uid="{00000000-0004-0000-0700-0000CA060000}"/>
    <hyperlink ref="F386" r:id="rId1740" xr:uid="{00000000-0004-0000-0700-0000CB060000}"/>
    <hyperlink ref="G386" r:id="rId1741" xr:uid="{00000000-0004-0000-0700-0000CC060000}"/>
    <hyperlink ref="H386" r:id="rId1742" xr:uid="{00000000-0004-0000-0700-0000CD060000}"/>
    <hyperlink ref="I386" r:id="rId1743" xr:uid="{00000000-0004-0000-0700-0000CE060000}"/>
    <hyperlink ref="C387" r:id="rId1744" xr:uid="{00000000-0004-0000-0700-0000CF060000}"/>
    <hyperlink ref="F387" r:id="rId1745" xr:uid="{00000000-0004-0000-0700-0000D0060000}"/>
    <hyperlink ref="G387" r:id="rId1746" xr:uid="{00000000-0004-0000-0700-0000D1060000}"/>
    <hyperlink ref="H387" r:id="rId1747" xr:uid="{00000000-0004-0000-0700-0000D2060000}"/>
    <hyperlink ref="I387" r:id="rId1748" xr:uid="{00000000-0004-0000-0700-0000D3060000}"/>
    <hyperlink ref="C388" r:id="rId1749" xr:uid="{00000000-0004-0000-0700-0000D4060000}"/>
    <hyperlink ref="F388" r:id="rId1750" xr:uid="{00000000-0004-0000-0700-0000D5060000}"/>
    <hyperlink ref="G388" r:id="rId1751" xr:uid="{00000000-0004-0000-0700-0000D6060000}"/>
    <hyperlink ref="H388" r:id="rId1752" xr:uid="{00000000-0004-0000-0700-0000D7060000}"/>
    <hyperlink ref="I388" r:id="rId1753" xr:uid="{00000000-0004-0000-0700-0000D8060000}"/>
    <hyperlink ref="C389" r:id="rId1754" xr:uid="{00000000-0004-0000-0700-0000D9060000}"/>
    <hyperlink ref="F389" r:id="rId1755" xr:uid="{00000000-0004-0000-0700-0000DA060000}"/>
    <hyperlink ref="G389" r:id="rId1756" xr:uid="{00000000-0004-0000-0700-0000DB060000}"/>
    <hyperlink ref="H389" r:id="rId1757" xr:uid="{00000000-0004-0000-0700-0000DC060000}"/>
    <hyperlink ref="I389" r:id="rId1758" xr:uid="{00000000-0004-0000-0700-0000DD060000}"/>
    <hyperlink ref="C390" r:id="rId1759" xr:uid="{00000000-0004-0000-0700-0000DE060000}"/>
    <hyperlink ref="F390" r:id="rId1760" xr:uid="{00000000-0004-0000-0700-0000DF060000}"/>
    <hyperlink ref="G390" r:id="rId1761" xr:uid="{00000000-0004-0000-0700-0000E0060000}"/>
    <hyperlink ref="H390" r:id="rId1762" xr:uid="{00000000-0004-0000-0700-0000E1060000}"/>
    <hyperlink ref="I390" r:id="rId1763" xr:uid="{00000000-0004-0000-0700-0000E2060000}"/>
    <hyperlink ref="C391" r:id="rId1764" xr:uid="{00000000-0004-0000-0700-0000E3060000}"/>
    <hyperlink ref="F391" r:id="rId1765" xr:uid="{00000000-0004-0000-0700-0000E4060000}"/>
    <hyperlink ref="G391" r:id="rId1766" xr:uid="{00000000-0004-0000-0700-0000E5060000}"/>
    <hyperlink ref="H391" r:id="rId1767" xr:uid="{00000000-0004-0000-0700-0000E6060000}"/>
    <hyperlink ref="I391" r:id="rId1768" xr:uid="{00000000-0004-0000-0700-0000E7060000}"/>
    <hyperlink ref="C392" r:id="rId1769" xr:uid="{00000000-0004-0000-0700-0000E8060000}"/>
    <hyperlink ref="F392" r:id="rId1770" xr:uid="{00000000-0004-0000-0700-0000E9060000}"/>
    <hyperlink ref="G392" r:id="rId1771" xr:uid="{00000000-0004-0000-0700-0000EA060000}"/>
    <hyperlink ref="H392" r:id="rId1772" xr:uid="{00000000-0004-0000-0700-0000EB060000}"/>
    <hyperlink ref="I392" r:id="rId1773" xr:uid="{00000000-0004-0000-0700-0000EC060000}"/>
    <hyperlink ref="C393" r:id="rId1774" xr:uid="{00000000-0004-0000-0700-0000ED060000}"/>
    <hyperlink ref="F393" r:id="rId1775" xr:uid="{00000000-0004-0000-0700-0000EE060000}"/>
    <hyperlink ref="G393" r:id="rId1776" xr:uid="{00000000-0004-0000-0700-0000EF060000}"/>
    <hyperlink ref="H393" r:id="rId1777" xr:uid="{00000000-0004-0000-0700-0000F0060000}"/>
    <hyperlink ref="I393" r:id="rId1778" xr:uid="{00000000-0004-0000-0700-0000F1060000}"/>
    <hyperlink ref="C394" r:id="rId1779" xr:uid="{00000000-0004-0000-0700-0000F2060000}"/>
    <hyperlink ref="F394" r:id="rId1780" xr:uid="{00000000-0004-0000-0700-0000F3060000}"/>
    <hyperlink ref="G394" r:id="rId1781" xr:uid="{00000000-0004-0000-0700-0000F4060000}"/>
    <hyperlink ref="H394" r:id="rId1782" xr:uid="{00000000-0004-0000-0700-0000F5060000}"/>
    <hyperlink ref="I394" r:id="rId1783" xr:uid="{00000000-0004-0000-0700-0000F6060000}"/>
    <hyperlink ref="C395" r:id="rId1784" xr:uid="{00000000-0004-0000-0700-0000F7060000}"/>
    <hyperlink ref="F395" r:id="rId1785" xr:uid="{00000000-0004-0000-0700-0000F8060000}"/>
    <hyperlink ref="G395" r:id="rId1786" xr:uid="{00000000-0004-0000-0700-0000F9060000}"/>
    <hyperlink ref="H395" r:id="rId1787" xr:uid="{00000000-0004-0000-0700-0000FA060000}"/>
    <hyperlink ref="I395" r:id="rId1788" xr:uid="{00000000-0004-0000-0700-0000FB060000}"/>
    <hyperlink ref="C396" r:id="rId1789" xr:uid="{00000000-0004-0000-0700-0000FC060000}"/>
    <hyperlink ref="F396" r:id="rId1790" xr:uid="{00000000-0004-0000-0700-0000FD060000}"/>
    <hyperlink ref="G396" r:id="rId1791" xr:uid="{00000000-0004-0000-0700-0000FE060000}"/>
    <hyperlink ref="H396" r:id="rId1792" xr:uid="{00000000-0004-0000-0700-0000FF060000}"/>
    <hyperlink ref="I396" r:id="rId1793" xr:uid="{00000000-0004-0000-0700-000000070000}"/>
    <hyperlink ref="C397" r:id="rId1794" xr:uid="{00000000-0004-0000-0700-000001070000}"/>
    <hyperlink ref="F397" r:id="rId1795" xr:uid="{00000000-0004-0000-0700-000002070000}"/>
    <hyperlink ref="G397" r:id="rId1796" xr:uid="{00000000-0004-0000-0700-000003070000}"/>
    <hyperlink ref="H397" r:id="rId1797" xr:uid="{00000000-0004-0000-0700-000004070000}"/>
    <hyperlink ref="I397" r:id="rId1798" xr:uid="{00000000-0004-0000-0700-000005070000}"/>
    <hyperlink ref="C398" r:id="rId1799" xr:uid="{00000000-0004-0000-0700-000006070000}"/>
    <hyperlink ref="F398" r:id="rId1800" xr:uid="{00000000-0004-0000-0700-000007070000}"/>
    <hyperlink ref="G398" r:id="rId1801" xr:uid="{00000000-0004-0000-0700-000008070000}"/>
    <hyperlink ref="H398" r:id="rId1802" xr:uid="{00000000-0004-0000-0700-000009070000}"/>
    <hyperlink ref="I398" r:id="rId1803" xr:uid="{00000000-0004-0000-0700-00000A070000}"/>
    <hyperlink ref="C399" r:id="rId1804" xr:uid="{00000000-0004-0000-0700-00000B070000}"/>
    <hyperlink ref="F399" r:id="rId1805" xr:uid="{00000000-0004-0000-0700-00000C070000}"/>
    <hyperlink ref="G399" r:id="rId1806" xr:uid="{00000000-0004-0000-0700-00000D070000}"/>
    <hyperlink ref="H399" r:id="rId1807" xr:uid="{00000000-0004-0000-0700-00000E070000}"/>
    <hyperlink ref="I399" r:id="rId1808" xr:uid="{00000000-0004-0000-0700-00000F070000}"/>
    <hyperlink ref="C400" r:id="rId1809" xr:uid="{00000000-0004-0000-0700-000010070000}"/>
    <hyperlink ref="F400" r:id="rId1810" xr:uid="{00000000-0004-0000-0700-000011070000}"/>
    <hyperlink ref="G400" r:id="rId1811" xr:uid="{00000000-0004-0000-0700-000012070000}"/>
    <hyperlink ref="H400" r:id="rId1812" xr:uid="{00000000-0004-0000-0700-000013070000}"/>
    <hyperlink ref="I400" r:id="rId1813" xr:uid="{00000000-0004-0000-0700-000014070000}"/>
    <hyperlink ref="C401" r:id="rId1814" xr:uid="{00000000-0004-0000-0700-000015070000}"/>
    <hyperlink ref="F401" r:id="rId1815" xr:uid="{00000000-0004-0000-0700-000016070000}"/>
    <hyperlink ref="G401" r:id="rId1816" xr:uid="{00000000-0004-0000-0700-000017070000}"/>
    <hyperlink ref="H401" r:id="rId1817" xr:uid="{00000000-0004-0000-0700-000018070000}"/>
    <hyperlink ref="I401" r:id="rId1818" xr:uid="{00000000-0004-0000-0700-000019070000}"/>
    <hyperlink ref="C402" r:id="rId1819" xr:uid="{00000000-0004-0000-0700-00001A070000}"/>
    <hyperlink ref="F402" r:id="rId1820" xr:uid="{00000000-0004-0000-0700-00001B070000}"/>
    <hyperlink ref="G402" r:id="rId1821" xr:uid="{00000000-0004-0000-0700-00001C070000}"/>
    <hyperlink ref="H402" r:id="rId1822" xr:uid="{00000000-0004-0000-0700-00001D070000}"/>
    <hyperlink ref="I402" r:id="rId1823" xr:uid="{00000000-0004-0000-0700-00001E070000}"/>
    <hyperlink ref="C403" r:id="rId1824" xr:uid="{00000000-0004-0000-0700-00001F070000}"/>
    <hyperlink ref="F403" r:id="rId1825" xr:uid="{00000000-0004-0000-0700-000020070000}"/>
    <hyperlink ref="G403" r:id="rId1826" xr:uid="{00000000-0004-0000-0700-000021070000}"/>
    <hyperlink ref="H403" r:id="rId1827" xr:uid="{00000000-0004-0000-0700-000022070000}"/>
    <hyperlink ref="I403" r:id="rId1828" xr:uid="{00000000-0004-0000-0700-000023070000}"/>
    <hyperlink ref="C404" r:id="rId1829" xr:uid="{00000000-0004-0000-0700-000024070000}"/>
    <hyperlink ref="F404" r:id="rId1830" xr:uid="{00000000-0004-0000-0700-000025070000}"/>
    <hyperlink ref="G404" r:id="rId1831" xr:uid="{00000000-0004-0000-0700-000026070000}"/>
    <hyperlink ref="H404" r:id="rId1832" xr:uid="{00000000-0004-0000-0700-000027070000}"/>
    <hyperlink ref="I404" r:id="rId1833" xr:uid="{00000000-0004-0000-0700-000028070000}"/>
    <hyperlink ref="C405" r:id="rId1834" xr:uid="{00000000-0004-0000-0700-000029070000}"/>
    <hyperlink ref="F405" r:id="rId1835" xr:uid="{00000000-0004-0000-0700-00002A070000}"/>
    <hyperlink ref="G405" r:id="rId1836" xr:uid="{00000000-0004-0000-0700-00002B070000}"/>
    <hyperlink ref="H405" r:id="rId1837" xr:uid="{00000000-0004-0000-0700-00002C070000}"/>
    <hyperlink ref="I405" r:id="rId1838" xr:uid="{00000000-0004-0000-0700-00002D070000}"/>
    <hyperlink ref="C406" r:id="rId1839" xr:uid="{00000000-0004-0000-0700-00002E070000}"/>
    <hyperlink ref="F406" r:id="rId1840" xr:uid="{00000000-0004-0000-0700-00002F070000}"/>
    <hyperlink ref="G406" r:id="rId1841" xr:uid="{00000000-0004-0000-0700-000030070000}"/>
    <hyperlink ref="H406" r:id="rId1842" xr:uid="{00000000-0004-0000-0700-000031070000}"/>
    <hyperlink ref="I406" r:id="rId1843" xr:uid="{00000000-0004-0000-0700-000032070000}"/>
    <hyperlink ref="C407" r:id="rId1844" xr:uid="{00000000-0004-0000-0700-000033070000}"/>
    <hyperlink ref="F407" r:id="rId1845" xr:uid="{00000000-0004-0000-0700-000034070000}"/>
    <hyperlink ref="G407" r:id="rId1846" xr:uid="{00000000-0004-0000-0700-000035070000}"/>
    <hyperlink ref="H407" r:id="rId1847" xr:uid="{00000000-0004-0000-0700-000036070000}"/>
    <hyperlink ref="I407" r:id="rId1848" xr:uid="{00000000-0004-0000-0700-000037070000}"/>
    <hyperlink ref="C408" r:id="rId1849" xr:uid="{00000000-0004-0000-0700-000038070000}"/>
    <hyperlink ref="F408" r:id="rId1850" xr:uid="{00000000-0004-0000-0700-000039070000}"/>
    <hyperlink ref="G408" r:id="rId1851" xr:uid="{00000000-0004-0000-0700-00003A070000}"/>
    <hyperlink ref="H408" r:id="rId1852" xr:uid="{00000000-0004-0000-0700-00003B070000}"/>
    <hyperlink ref="I408" r:id="rId1853" xr:uid="{00000000-0004-0000-0700-00003C070000}"/>
    <hyperlink ref="C409" r:id="rId1854" xr:uid="{00000000-0004-0000-0700-00003D070000}"/>
    <hyperlink ref="F409" r:id="rId1855" xr:uid="{00000000-0004-0000-0700-00003E070000}"/>
    <hyperlink ref="G409" r:id="rId1856" xr:uid="{00000000-0004-0000-0700-00003F070000}"/>
    <hyperlink ref="H409" r:id="rId1857" xr:uid="{00000000-0004-0000-0700-000040070000}"/>
    <hyperlink ref="I409" r:id="rId1858" xr:uid="{00000000-0004-0000-0700-000041070000}"/>
    <hyperlink ref="C410" r:id="rId1859" xr:uid="{00000000-0004-0000-0700-000042070000}"/>
    <hyperlink ref="F410" r:id="rId1860" xr:uid="{00000000-0004-0000-0700-000043070000}"/>
    <hyperlink ref="G410" r:id="rId1861" xr:uid="{00000000-0004-0000-0700-000044070000}"/>
    <hyperlink ref="H410" r:id="rId1862" xr:uid="{00000000-0004-0000-0700-000045070000}"/>
    <hyperlink ref="I410" r:id="rId1863" xr:uid="{00000000-0004-0000-0700-000046070000}"/>
    <hyperlink ref="C411" r:id="rId1864" xr:uid="{00000000-0004-0000-0700-000047070000}"/>
    <hyperlink ref="F411" r:id="rId1865" xr:uid="{00000000-0004-0000-0700-000048070000}"/>
    <hyperlink ref="G411" r:id="rId1866" xr:uid="{00000000-0004-0000-0700-000049070000}"/>
    <hyperlink ref="H411" r:id="rId1867" xr:uid="{00000000-0004-0000-0700-00004A070000}"/>
    <hyperlink ref="I411" r:id="rId1868" xr:uid="{00000000-0004-0000-0700-00004B070000}"/>
    <hyperlink ref="C412" r:id="rId1869" xr:uid="{00000000-0004-0000-0700-00004C070000}"/>
    <hyperlink ref="F412" r:id="rId1870" xr:uid="{00000000-0004-0000-0700-00004D070000}"/>
    <hyperlink ref="G412" r:id="rId1871" xr:uid="{00000000-0004-0000-0700-00004E070000}"/>
    <hyperlink ref="H412" r:id="rId1872" xr:uid="{00000000-0004-0000-0700-00004F070000}"/>
    <hyperlink ref="I412" r:id="rId1873" xr:uid="{00000000-0004-0000-0700-000050070000}"/>
    <hyperlink ref="C413" r:id="rId1874" xr:uid="{00000000-0004-0000-0700-000051070000}"/>
    <hyperlink ref="F413" r:id="rId1875" xr:uid="{00000000-0004-0000-0700-000052070000}"/>
    <hyperlink ref="G413" r:id="rId1876" xr:uid="{00000000-0004-0000-0700-000053070000}"/>
    <hyperlink ref="H413" r:id="rId1877" display="2 C00031" xr:uid="{00000000-0004-0000-0700-000054070000}"/>
    <hyperlink ref="I413" r:id="rId1878" display="2 C00031" xr:uid="{00000000-0004-0000-0700-000055070000}"/>
    <hyperlink ref="C414" r:id="rId1879" xr:uid="{00000000-0004-0000-0700-000056070000}"/>
    <hyperlink ref="F414" r:id="rId1880" xr:uid="{00000000-0004-0000-0700-000057070000}"/>
    <hyperlink ref="G414" r:id="rId1881" xr:uid="{00000000-0004-0000-0700-000058070000}"/>
    <hyperlink ref="H414" r:id="rId1882" display="2 C00267" xr:uid="{00000000-0004-0000-0700-000059070000}"/>
    <hyperlink ref="I414" r:id="rId1883" display="2 C00267" xr:uid="{00000000-0004-0000-0700-00005A070000}"/>
    <hyperlink ref="C415" r:id="rId1884" xr:uid="{00000000-0004-0000-0700-00005B070000}"/>
    <hyperlink ref="F415" r:id="rId1885" xr:uid="{00000000-0004-0000-0700-00005C070000}"/>
    <hyperlink ref="G415" r:id="rId1886" xr:uid="{00000000-0004-0000-0700-00005D070000}"/>
    <hyperlink ref="H415" r:id="rId1887" xr:uid="{00000000-0004-0000-0700-00005E070000}"/>
    <hyperlink ref="I415" r:id="rId1888" xr:uid="{00000000-0004-0000-0700-00005F070000}"/>
    <hyperlink ref="C416" r:id="rId1889" xr:uid="{00000000-0004-0000-0700-000060070000}"/>
    <hyperlink ref="F416" r:id="rId1890" xr:uid="{00000000-0004-0000-0700-000061070000}"/>
    <hyperlink ref="G416" r:id="rId1891" xr:uid="{00000000-0004-0000-0700-000062070000}"/>
    <hyperlink ref="H416" r:id="rId1892" xr:uid="{00000000-0004-0000-0700-000063070000}"/>
    <hyperlink ref="I416" r:id="rId1893" xr:uid="{00000000-0004-0000-0700-000064070000}"/>
    <hyperlink ref="C417" r:id="rId1894" xr:uid="{00000000-0004-0000-0700-000065070000}"/>
    <hyperlink ref="F417" r:id="rId1895" xr:uid="{00000000-0004-0000-0700-000066070000}"/>
    <hyperlink ref="G417" r:id="rId1896" xr:uid="{00000000-0004-0000-0700-000067070000}"/>
    <hyperlink ref="H417" r:id="rId1897" xr:uid="{00000000-0004-0000-0700-000068070000}"/>
    <hyperlink ref="I417" r:id="rId1898" xr:uid="{00000000-0004-0000-0700-000069070000}"/>
    <hyperlink ref="C418" r:id="rId1899" xr:uid="{00000000-0004-0000-0700-00006A070000}"/>
    <hyperlink ref="F418" r:id="rId1900" xr:uid="{00000000-0004-0000-0700-00006B070000}"/>
    <hyperlink ref="G418" r:id="rId1901" xr:uid="{00000000-0004-0000-0700-00006C070000}"/>
    <hyperlink ref="H418" r:id="rId1902" xr:uid="{00000000-0004-0000-0700-00006D070000}"/>
    <hyperlink ref="I418" r:id="rId1903" xr:uid="{00000000-0004-0000-0700-00006E070000}"/>
    <hyperlink ref="C419" r:id="rId1904" xr:uid="{00000000-0004-0000-0700-00006F070000}"/>
    <hyperlink ref="F419" r:id="rId1905" xr:uid="{00000000-0004-0000-0700-000070070000}"/>
    <hyperlink ref="G419" r:id="rId1906" xr:uid="{00000000-0004-0000-0700-000071070000}"/>
    <hyperlink ref="H419" r:id="rId1907" xr:uid="{00000000-0004-0000-0700-000072070000}"/>
    <hyperlink ref="I419" r:id="rId1908" xr:uid="{00000000-0004-0000-0700-000073070000}"/>
    <hyperlink ref="C420" r:id="rId1909" xr:uid="{00000000-0004-0000-0700-000074070000}"/>
    <hyperlink ref="F420" r:id="rId1910" xr:uid="{00000000-0004-0000-0700-000075070000}"/>
    <hyperlink ref="G420" r:id="rId1911" xr:uid="{00000000-0004-0000-0700-000076070000}"/>
    <hyperlink ref="H420" r:id="rId1912" xr:uid="{00000000-0004-0000-0700-000077070000}"/>
    <hyperlink ref="I420" r:id="rId1913" xr:uid="{00000000-0004-0000-0700-000078070000}"/>
    <hyperlink ref="C421" r:id="rId1914" xr:uid="{00000000-0004-0000-0700-000079070000}"/>
    <hyperlink ref="F421" r:id="rId1915" xr:uid="{00000000-0004-0000-0700-00007A070000}"/>
    <hyperlink ref="G421" r:id="rId1916" xr:uid="{00000000-0004-0000-0700-00007B070000}"/>
    <hyperlink ref="H421" r:id="rId1917" xr:uid="{00000000-0004-0000-0700-00007C070000}"/>
    <hyperlink ref="I421" r:id="rId1918" xr:uid="{00000000-0004-0000-0700-00007D070000}"/>
    <hyperlink ref="C422" r:id="rId1919" xr:uid="{00000000-0004-0000-0700-00007E070000}"/>
    <hyperlink ref="F422" r:id="rId1920" xr:uid="{00000000-0004-0000-0700-00007F070000}"/>
    <hyperlink ref="G422" r:id="rId1921" xr:uid="{00000000-0004-0000-0700-000080070000}"/>
    <hyperlink ref="H422" r:id="rId1922" xr:uid="{00000000-0004-0000-0700-000081070000}"/>
    <hyperlink ref="I422" r:id="rId1923" xr:uid="{00000000-0004-0000-0700-000082070000}"/>
    <hyperlink ref="C423" r:id="rId1924" xr:uid="{00000000-0004-0000-0700-000083070000}"/>
    <hyperlink ref="F423" r:id="rId1925" xr:uid="{00000000-0004-0000-0700-000084070000}"/>
    <hyperlink ref="G423" r:id="rId1926" xr:uid="{00000000-0004-0000-0700-000085070000}"/>
    <hyperlink ref="H423" r:id="rId1927" xr:uid="{00000000-0004-0000-0700-000086070000}"/>
    <hyperlink ref="I423" r:id="rId1928" xr:uid="{00000000-0004-0000-0700-000087070000}"/>
    <hyperlink ref="C424" r:id="rId1929" xr:uid="{00000000-0004-0000-0700-000088070000}"/>
    <hyperlink ref="F424" r:id="rId1930" xr:uid="{00000000-0004-0000-0700-000089070000}"/>
    <hyperlink ref="G424" r:id="rId1931" xr:uid="{00000000-0004-0000-0700-00008A070000}"/>
    <hyperlink ref="H424" r:id="rId1932" xr:uid="{00000000-0004-0000-0700-00008B070000}"/>
    <hyperlink ref="I424" r:id="rId1933" xr:uid="{00000000-0004-0000-0700-00008C070000}"/>
    <hyperlink ref="C425" r:id="rId1934" xr:uid="{00000000-0004-0000-0700-00008D070000}"/>
    <hyperlink ref="F425" r:id="rId1935" xr:uid="{00000000-0004-0000-0700-00008E070000}"/>
    <hyperlink ref="G425" r:id="rId1936" xr:uid="{00000000-0004-0000-0700-00008F070000}"/>
    <hyperlink ref="H425" r:id="rId1937" xr:uid="{00000000-0004-0000-0700-000090070000}"/>
    <hyperlink ref="I425" r:id="rId1938" xr:uid="{00000000-0004-0000-0700-000091070000}"/>
    <hyperlink ref="C426" r:id="rId1939" xr:uid="{00000000-0004-0000-0700-000092070000}"/>
    <hyperlink ref="F426" r:id="rId1940" xr:uid="{00000000-0004-0000-0700-000093070000}"/>
    <hyperlink ref="G426" r:id="rId1941" xr:uid="{00000000-0004-0000-0700-000094070000}"/>
    <hyperlink ref="H426" r:id="rId1942" xr:uid="{00000000-0004-0000-0700-000095070000}"/>
    <hyperlink ref="I426" r:id="rId1943" xr:uid="{00000000-0004-0000-0700-000096070000}"/>
    <hyperlink ref="C427" r:id="rId1944" xr:uid="{00000000-0004-0000-0700-000097070000}"/>
    <hyperlink ref="F427" r:id="rId1945" xr:uid="{00000000-0004-0000-0700-000098070000}"/>
    <hyperlink ref="G427" r:id="rId1946" xr:uid="{00000000-0004-0000-0700-000099070000}"/>
    <hyperlink ref="H427" r:id="rId1947" xr:uid="{00000000-0004-0000-0700-00009A070000}"/>
    <hyperlink ref="I427" r:id="rId1948" xr:uid="{00000000-0004-0000-0700-00009B070000}"/>
    <hyperlink ref="C428" r:id="rId1949" xr:uid="{00000000-0004-0000-0700-00009C070000}"/>
    <hyperlink ref="F428" r:id="rId1950" xr:uid="{00000000-0004-0000-0700-00009D070000}"/>
    <hyperlink ref="G428" r:id="rId1951" xr:uid="{00000000-0004-0000-0700-00009E070000}"/>
    <hyperlink ref="H428" r:id="rId1952" xr:uid="{00000000-0004-0000-0700-00009F070000}"/>
    <hyperlink ref="I428" r:id="rId1953" xr:uid="{00000000-0004-0000-0700-0000A0070000}"/>
    <hyperlink ref="C429" r:id="rId1954" xr:uid="{00000000-0004-0000-0700-0000A1070000}"/>
    <hyperlink ref="F429" r:id="rId1955" xr:uid="{00000000-0004-0000-0700-0000A2070000}"/>
    <hyperlink ref="G429" r:id="rId1956" xr:uid="{00000000-0004-0000-0700-0000A3070000}"/>
    <hyperlink ref="H429" r:id="rId1957" xr:uid="{00000000-0004-0000-0700-0000A4070000}"/>
    <hyperlink ref="I429" r:id="rId1958" xr:uid="{00000000-0004-0000-0700-0000A5070000}"/>
    <hyperlink ref="C430" r:id="rId1959" xr:uid="{00000000-0004-0000-0700-0000A6070000}"/>
    <hyperlink ref="F430" r:id="rId1960" xr:uid="{00000000-0004-0000-0700-0000A7070000}"/>
    <hyperlink ref="G430" r:id="rId1961" xr:uid="{00000000-0004-0000-0700-0000A8070000}"/>
    <hyperlink ref="H430" r:id="rId1962" xr:uid="{00000000-0004-0000-0700-0000A9070000}"/>
    <hyperlink ref="I430" r:id="rId1963" xr:uid="{00000000-0004-0000-0700-0000AA070000}"/>
    <hyperlink ref="C431" r:id="rId1964" xr:uid="{00000000-0004-0000-0700-0000AB070000}"/>
    <hyperlink ref="F431" r:id="rId1965" xr:uid="{00000000-0004-0000-0700-0000AC070000}"/>
    <hyperlink ref="G431" r:id="rId1966" xr:uid="{00000000-0004-0000-0700-0000AD070000}"/>
    <hyperlink ref="H431" r:id="rId1967" xr:uid="{00000000-0004-0000-0700-0000AE070000}"/>
    <hyperlink ref="I431" r:id="rId1968" xr:uid="{00000000-0004-0000-0700-0000AF070000}"/>
    <hyperlink ref="C432" r:id="rId1969" xr:uid="{00000000-0004-0000-0700-0000B0070000}"/>
    <hyperlink ref="F432" r:id="rId1970" xr:uid="{00000000-0004-0000-0700-0000B1070000}"/>
    <hyperlink ref="G432" r:id="rId1971" xr:uid="{00000000-0004-0000-0700-0000B2070000}"/>
    <hyperlink ref="H432" r:id="rId1972" xr:uid="{00000000-0004-0000-0700-0000B3070000}"/>
    <hyperlink ref="I432" r:id="rId1973" xr:uid="{00000000-0004-0000-0700-0000B4070000}"/>
    <hyperlink ref="C433" r:id="rId1974" xr:uid="{00000000-0004-0000-0700-0000B5070000}"/>
    <hyperlink ref="F433" r:id="rId1975" xr:uid="{00000000-0004-0000-0700-0000B6070000}"/>
    <hyperlink ref="G433" r:id="rId1976" xr:uid="{00000000-0004-0000-0700-0000B7070000}"/>
    <hyperlink ref="H433" r:id="rId1977" xr:uid="{00000000-0004-0000-0700-0000B8070000}"/>
    <hyperlink ref="I433" r:id="rId1978" xr:uid="{00000000-0004-0000-0700-0000B9070000}"/>
    <hyperlink ref="C434" r:id="rId1979" xr:uid="{00000000-0004-0000-0700-0000BA070000}"/>
    <hyperlink ref="F434" r:id="rId1980" xr:uid="{00000000-0004-0000-0700-0000BB070000}"/>
    <hyperlink ref="G434" r:id="rId1981" xr:uid="{00000000-0004-0000-0700-0000BC070000}"/>
    <hyperlink ref="H434" r:id="rId1982" xr:uid="{00000000-0004-0000-0700-0000BD070000}"/>
    <hyperlink ref="I434" r:id="rId1983" xr:uid="{00000000-0004-0000-0700-0000BE070000}"/>
    <hyperlink ref="C435" r:id="rId1984" xr:uid="{00000000-0004-0000-0700-0000BF070000}"/>
    <hyperlink ref="F435" r:id="rId1985" xr:uid="{00000000-0004-0000-0700-0000C0070000}"/>
    <hyperlink ref="G435" r:id="rId1986" xr:uid="{00000000-0004-0000-0700-0000C1070000}"/>
    <hyperlink ref="H435" r:id="rId1987" xr:uid="{00000000-0004-0000-0700-0000C2070000}"/>
    <hyperlink ref="I435" r:id="rId1988" xr:uid="{00000000-0004-0000-0700-0000C3070000}"/>
    <hyperlink ref="C436" r:id="rId1989" xr:uid="{00000000-0004-0000-0700-0000C4070000}"/>
    <hyperlink ref="F436" r:id="rId1990" xr:uid="{00000000-0004-0000-0700-0000C5070000}"/>
    <hyperlink ref="G436" r:id="rId1991" xr:uid="{00000000-0004-0000-0700-0000C6070000}"/>
    <hyperlink ref="H436" r:id="rId1992" xr:uid="{00000000-0004-0000-0700-0000C7070000}"/>
    <hyperlink ref="I436" r:id="rId1993" xr:uid="{00000000-0004-0000-0700-0000C8070000}"/>
    <hyperlink ref="C437" r:id="rId1994" xr:uid="{00000000-0004-0000-0700-0000C9070000}"/>
    <hyperlink ref="F437" r:id="rId1995" xr:uid="{00000000-0004-0000-0700-0000CA070000}"/>
    <hyperlink ref="G437" r:id="rId1996" xr:uid="{00000000-0004-0000-0700-0000CB070000}"/>
    <hyperlink ref="H437" r:id="rId1997" xr:uid="{00000000-0004-0000-0700-0000CC070000}"/>
    <hyperlink ref="I437" r:id="rId1998" xr:uid="{00000000-0004-0000-0700-0000CD070000}"/>
    <hyperlink ref="C438" r:id="rId1999" xr:uid="{00000000-0004-0000-0700-0000CE070000}"/>
    <hyperlink ref="F438" r:id="rId2000" xr:uid="{00000000-0004-0000-0700-0000CF070000}"/>
    <hyperlink ref="G438" r:id="rId2001" xr:uid="{00000000-0004-0000-0700-0000D0070000}"/>
    <hyperlink ref="H438" r:id="rId2002" xr:uid="{00000000-0004-0000-0700-0000D1070000}"/>
    <hyperlink ref="I438" r:id="rId2003" xr:uid="{00000000-0004-0000-0700-0000D2070000}"/>
    <hyperlink ref="C439" r:id="rId2004" xr:uid="{00000000-0004-0000-0700-0000D3070000}"/>
    <hyperlink ref="F439" r:id="rId2005" xr:uid="{00000000-0004-0000-0700-0000D4070000}"/>
    <hyperlink ref="G439" r:id="rId2006" xr:uid="{00000000-0004-0000-0700-0000D5070000}"/>
    <hyperlink ref="H439" r:id="rId2007" xr:uid="{00000000-0004-0000-0700-0000D6070000}"/>
    <hyperlink ref="I439" r:id="rId2008" xr:uid="{00000000-0004-0000-0700-0000D7070000}"/>
    <hyperlink ref="C440" r:id="rId2009" xr:uid="{00000000-0004-0000-0700-0000D8070000}"/>
    <hyperlink ref="F440" r:id="rId2010" xr:uid="{00000000-0004-0000-0700-0000D9070000}"/>
    <hyperlink ref="G440" r:id="rId2011" xr:uid="{00000000-0004-0000-0700-0000DA070000}"/>
    <hyperlink ref="H440" r:id="rId2012" xr:uid="{00000000-0004-0000-0700-0000DB070000}"/>
    <hyperlink ref="I440" r:id="rId2013" xr:uid="{00000000-0004-0000-0700-0000DC070000}"/>
    <hyperlink ref="C441" r:id="rId2014" xr:uid="{00000000-0004-0000-0700-0000DD070000}"/>
    <hyperlink ref="F441" r:id="rId2015" xr:uid="{00000000-0004-0000-0700-0000DE070000}"/>
    <hyperlink ref="G441" r:id="rId2016" xr:uid="{00000000-0004-0000-0700-0000DF070000}"/>
    <hyperlink ref="H441" r:id="rId2017" xr:uid="{00000000-0004-0000-0700-0000E0070000}"/>
    <hyperlink ref="I441" r:id="rId2018" xr:uid="{00000000-0004-0000-0700-0000E1070000}"/>
    <hyperlink ref="C442" r:id="rId2019" xr:uid="{00000000-0004-0000-0700-0000E2070000}"/>
    <hyperlink ref="F442" r:id="rId2020" xr:uid="{00000000-0004-0000-0700-0000E3070000}"/>
    <hyperlink ref="G442" r:id="rId2021" xr:uid="{00000000-0004-0000-0700-0000E4070000}"/>
    <hyperlink ref="H442" r:id="rId2022" xr:uid="{00000000-0004-0000-0700-0000E5070000}"/>
    <hyperlink ref="I442" r:id="rId2023" xr:uid="{00000000-0004-0000-0700-0000E6070000}"/>
    <hyperlink ref="C443" r:id="rId2024" xr:uid="{00000000-0004-0000-0700-0000E7070000}"/>
    <hyperlink ref="F443" r:id="rId2025" xr:uid="{00000000-0004-0000-0700-0000E8070000}"/>
    <hyperlink ref="G443" r:id="rId2026" xr:uid="{00000000-0004-0000-0700-0000E9070000}"/>
    <hyperlink ref="H443" r:id="rId2027" xr:uid="{00000000-0004-0000-0700-0000EA070000}"/>
    <hyperlink ref="I443" r:id="rId2028" xr:uid="{00000000-0004-0000-0700-0000EB070000}"/>
    <hyperlink ref="C444" r:id="rId2029" xr:uid="{00000000-0004-0000-0700-0000EC070000}"/>
    <hyperlink ref="F444" r:id="rId2030" xr:uid="{00000000-0004-0000-0700-0000ED070000}"/>
    <hyperlink ref="G444" r:id="rId2031" xr:uid="{00000000-0004-0000-0700-0000EE070000}"/>
    <hyperlink ref="H444" r:id="rId2032" xr:uid="{00000000-0004-0000-0700-0000EF070000}"/>
    <hyperlink ref="I444" r:id="rId2033" xr:uid="{00000000-0004-0000-0700-0000F0070000}"/>
    <hyperlink ref="C445" r:id="rId2034" xr:uid="{00000000-0004-0000-0700-0000F1070000}"/>
    <hyperlink ref="F445" r:id="rId2035" xr:uid="{00000000-0004-0000-0700-0000F2070000}"/>
    <hyperlink ref="G445" r:id="rId2036" xr:uid="{00000000-0004-0000-0700-0000F3070000}"/>
    <hyperlink ref="H445" r:id="rId2037" xr:uid="{00000000-0004-0000-0700-0000F4070000}"/>
    <hyperlink ref="I445" r:id="rId2038" xr:uid="{00000000-0004-0000-0700-0000F5070000}"/>
    <hyperlink ref="C446" r:id="rId2039" xr:uid="{00000000-0004-0000-0700-0000F6070000}"/>
    <hyperlink ref="F446" r:id="rId2040" xr:uid="{00000000-0004-0000-0700-0000F7070000}"/>
    <hyperlink ref="G446" r:id="rId2041" xr:uid="{00000000-0004-0000-0700-0000F8070000}"/>
    <hyperlink ref="H446" r:id="rId2042" xr:uid="{00000000-0004-0000-0700-0000F9070000}"/>
    <hyperlink ref="I446" r:id="rId2043" xr:uid="{00000000-0004-0000-0700-0000FA070000}"/>
    <hyperlink ref="C447" r:id="rId2044" xr:uid="{00000000-0004-0000-0700-0000FB070000}"/>
    <hyperlink ref="F447" r:id="rId2045" xr:uid="{00000000-0004-0000-0700-0000FC070000}"/>
    <hyperlink ref="G447" r:id="rId2046" xr:uid="{00000000-0004-0000-0700-0000FD070000}"/>
    <hyperlink ref="H447" r:id="rId2047" xr:uid="{00000000-0004-0000-0700-0000FE070000}"/>
    <hyperlink ref="I447" r:id="rId2048" xr:uid="{00000000-0004-0000-0700-0000FF070000}"/>
    <hyperlink ref="C448" r:id="rId2049" xr:uid="{00000000-0004-0000-0700-000000080000}"/>
    <hyperlink ref="F448" r:id="rId2050" xr:uid="{00000000-0004-0000-0700-000001080000}"/>
    <hyperlink ref="G448" r:id="rId2051" xr:uid="{00000000-0004-0000-0700-000002080000}"/>
    <hyperlink ref="H448" r:id="rId2052" xr:uid="{00000000-0004-0000-0700-000003080000}"/>
    <hyperlink ref="I448" r:id="rId2053" xr:uid="{00000000-0004-0000-0700-000004080000}"/>
    <hyperlink ref="C449" r:id="rId2054" xr:uid="{00000000-0004-0000-0700-000005080000}"/>
    <hyperlink ref="F449" r:id="rId2055" xr:uid="{00000000-0004-0000-0700-000006080000}"/>
    <hyperlink ref="G449" r:id="rId2056" xr:uid="{00000000-0004-0000-0700-000007080000}"/>
    <hyperlink ref="H449" r:id="rId2057" xr:uid="{00000000-0004-0000-0700-000008080000}"/>
    <hyperlink ref="I449" r:id="rId2058" xr:uid="{00000000-0004-0000-0700-000009080000}"/>
    <hyperlink ref="C450" r:id="rId2059" xr:uid="{00000000-0004-0000-0700-00000A080000}"/>
    <hyperlink ref="F450" r:id="rId2060" display="G10534(n+1) + C00001" xr:uid="{00000000-0004-0000-0700-00000B080000}"/>
    <hyperlink ref="G450" r:id="rId2061" display="G10534(n*1) * C00001" xr:uid="{00000000-0004-0000-0700-00000C080000}"/>
    <hyperlink ref="H450" r:id="rId2062" display="C00124 + G10534(n)" xr:uid="{00000000-0004-0000-0700-00000D080000}"/>
    <hyperlink ref="I450" r:id="rId2063" display="C00124 * G10534(n)" xr:uid="{00000000-0004-0000-0700-00000E080000}"/>
    <hyperlink ref="C451" r:id="rId2064" xr:uid="{00000000-0004-0000-0700-00000F080000}"/>
    <hyperlink ref="F451" r:id="rId2065" xr:uid="{00000000-0004-0000-0700-000010080000}"/>
    <hyperlink ref="G451" r:id="rId2066" xr:uid="{00000000-0004-0000-0700-000011080000}"/>
    <hyperlink ref="H451" r:id="rId2067" xr:uid="{00000000-0004-0000-0700-000012080000}"/>
    <hyperlink ref="I451" r:id="rId2068" xr:uid="{00000000-0004-0000-0700-000013080000}"/>
    <hyperlink ref="C452" r:id="rId2069" xr:uid="{00000000-0004-0000-0700-000014080000}"/>
    <hyperlink ref="F452" r:id="rId2070" xr:uid="{00000000-0004-0000-0700-000015080000}"/>
    <hyperlink ref="G452" r:id="rId2071" xr:uid="{00000000-0004-0000-0700-000016080000}"/>
    <hyperlink ref="H452" r:id="rId2072" xr:uid="{00000000-0004-0000-0700-000017080000}"/>
    <hyperlink ref="I452" r:id="rId2073" xr:uid="{00000000-0004-0000-0700-000018080000}"/>
    <hyperlink ref="C453" r:id="rId2074" xr:uid="{00000000-0004-0000-0700-000019080000}"/>
    <hyperlink ref="F453" r:id="rId2075" xr:uid="{00000000-0004-0000-0700-00001A080000}"/>
    <hyperlink ref="G453" r:id="rId2076" xr:uid="{00000000-0004-0000-0700-00001B080000}"/>
    <hyperlink ref="H453" r:id="rId2077" xr:uid="{00000000-0004-0000-0700-00001C080000}"/>
    <hyperlink ref="I453" r:id="rId2078" xr:uid="{00000000-0004-0000-0700-00001D080000}"/>
    <hyperlink ref="C454" r:id="rId2079" xr:uid="{00000000-0004-0000-0700-00001E080000}"/>
    <hyperlink ref="F454" r:id="rId2080" xr:uid="{00000000-0004-0000-0700-00001F080000}"/>
    <hyperlink ref="G454" r:id="rId2081" xr:uid="{00000000-0004-0000-0700-000020080000}"/>
    <hyperlink ref="H454" r:id="rId2082" xr:uid="{00000000-0004-0000-0700-000021080000}"/>
    <hyperlink ref="I454" r:id="rId2083" xr:uid="{00000000-0004-0000-0700-000022080000}"/>
    <hyperlink ref="C455" r:id="rId2084" xr:uid="{00000000-0004-0000-0700-000023080000}"/>
    <hyperlink ref="F455" r:id="rId2085" xr:uid="{00000000-0004-0000-0700-000024080000}"/>
    <hyperlink ref="G455" r:id="rId2086" xr:uid="{00000000-0004-0000-0700-000025080000}"/>
    <hyperlink ref="H455" r:id="rId2087" xr:uid="{00000000-0004-0000-0700-000026080000}"/>
    <hyperlink ref="I455" r:id="rId2088" xr:uid="{00000000-0004-0000-0700-000027080000}"/>
    <hyperlink ref="C456" r:id="rId2089" xr:uid="{00000000-0004-0000-0700-000028080000}"/>
    <hyperlink ref="F456" r:id="rId2090" xr:uid="{00000000-0004-0000-0700-000029080000}"/>
    <hyperlink ref="G456" r:id="rId2091" xr:uid="{00000000-0004-0000-0700-00002A080000}"/>
    <hyperlink ref="H456" r:id="rId2092" xr:uid="{00000000-0004-0000-0700-00002B080000}"/>
    <hyperlink ref="I456" r:id="rId2093" xr:uid="{00000000-0004-0000-0700-00002C080000}"/>
    <hyperlink ref="C457" r:id="rId2094" xr:uid="{00000000-0004-0000-0700-00002D080000}"/>
    <hyperlink ref="F457" r:id="rId2095" xr:uid="{00000000-0004-0000-0700-00002E080000}"/>
    <hyperlink ref="G457" r:id="rId2096" xr:uid="{00000000-0004-0000-0700-00002F080000}"/>
    <hyperlink ref="H457" r:id="rId2097" xr:uid="{00000000-0004-0000-0700-000030080000}"/>
    <hyperlink ref="I457" r:id="rId2098" xr:uid="{00000000-0004-0000-0700-000031080000}"/>
    <hyperlink ref="C458" r:id="rId2099" xr:uid="{00000000-0004-0000-0700-000032080000}"/>
    <hyperlink ref="F458" r:id="rId2100" xr:uid="{00000000-0004-0000-0700-000033080000}"/>
    <hyperlink ref="G458" r:id="rId2101" xr:uid="{00000000-0004-0000-0700-000034080000}"/>
    <hyperlink ref="H458" r:id="rId2102" xr:uid="{00000000-0004-0000-0700-000035080000}"/>
    <hyperlink ref="I458" r:id="rId2103" xr:uid="{00000000-0004-0000-0700-000036080000}"/>
    <hyperlink ref="C459" r:id="rId2104" xr:uid="{00000000-0004-0000-0700-000037080000}"/>
    <hyperlink ref="F459" r:id="rId2105" xr:uid="{00000000-0004-0000-0700-000038080000}"/>
    <hyperlink ref="G459" r:id="rId2106" xr:uid="{00000000-0004-0000-0700-000039080000}"/>
    <hyperlink ref="H459" r:id="rId2107" xr:uid="{00000000-0004-0000-0700-00003A080000}"/>
    <hyperlink ref="I459" r:id="rId2108" xr:uid="{00000000-0004-0000-0700-00003B080000}"/>
    <hyperlink ref="C460" r:id="rId2109" xr:uid="{00000000-0004-0000-0700-00003C080000}"/>
    <hyperlink ref="F460" r:id="rId2110" xr:uid="{00000000-0004-0000-0700-00003D080000}"/>
    <hyperlink ref="G460" r:id="rId2111" xr:uid="{00000000-0004-0000-0700-00003E080000}"/>
    <hyperlink ref="H460" r:id="rId2112" xr:uid="{00000000-0004-0000-0700-00003F080000}"/>
    <hyperlink ref="I460" r:id="rId2113" xr:uid="{00000000-0004-0000-0700-000040080000}"/>
    <hyperlink ref="C461" r:id="rId2114" xr:uid="{00000000-0004-0000-0700-000041080000}"/>
    <hyperlink ref="F461" r:id="rId2115" xr:uid="{00000000-0004-0000-0700-000042080000}"/>
    <hyperlink ref="G461" r:id="rId2116" xr:uid="{00000000-0004-0000-0700-000043080000}"/>
    <hyperlink ref="H461" r:id="rId2117" xr:uid="{00000000-0004-0000-0700-000044080000}"/>
    <hyperlink ref="I461" r:id="rId2118" xr:uid="{00000000-0004-0000-0700-000045080000}"/>
    <hyperlink ref="C462" r:id="rId2119" xr:uid="{00000000-0004-0000-0700-000046080000}"/>
    <hyperlink ref="F462" r:id="rId2120" xr:uid="{00000000-0004-0000-0700-000047080000}"/>
    <hyperlink ref="G462" r:id="rId2121" xr:uid="{00000000-0004-0000-0700-000048080000}"/>
    <hyperlink ref="H462" r:id="rId2122" xr:uid="{00000000-0004-0000-0700-000049080000}"/>
    <hyperlink ref="I462" r:id="rId2123" xr:uid="{00000000-0004-0000-0700-00004A080000}"/>
    <hyperlink ref="C463" r:id="rId2124" xr:uid="{00000000-0004-0000-0700-00004B080000}"/>
    <hyperlink ref="F463" r:id="rId2125" xr:uid="{00000000-0004-0000-0700-00004C080000}"/>
    <hyperlink ref="G463" r:id="rId2126" xr:uid="{00000000-0004-0000-0700-00004D080000}"/>
    <hyperlink ref="H463" r:id="rId2127" xr:uid="{00000000-0004-0000-0700-00004E080000}"/>
    <hyperlink ref="I463" r:id="rId2128" xr:uid="{00000000-0004-0000-0700-00004F080000}"/>
    <hyperlink ref="C464" r:id="rId2129" xr:uid="{00000000-0004-0000-0700-000050080000}"/>
    <hyperlink ref="F464" r:id="rId2130" xr:uid="{00000000-0004-0000-0700-000051080000}"/>
    <hyperlink ref="G464" r:id="rId2131" xr:uid="{00000000-0004-0000-0700-000052080000}"/>
    <hyperlink ref="H464" r:id="rId2132" xr:uid="{00000000-0004-0000-0700-000053080000}"/>
    <hyperlink ref="I464" r:id="rId2133" xr:uid="{00000000-0004-0000-0700-000054080000}"/>
    <hyperlink ref="C465" r:id="rId2134" xr:uid="{00000000-0004-0000-0700-000055080000}"/>
    <hyperlink ref="F465" r:id="rId2135" xr:uid="{00000000-0004-0000-0700-000056080000}"/>
    <hyperlink ref="G465" r:id="rId2136" xr:uid="{00000000-0004-0000-0700-000057080000}"/>
    <hyperlink ref="H465" r:id="rId2137" xr:uid="{00000000-0004-0000-0700-000058080000}"/>
    <hyperlink ref="I465" r:id="rId2138" xr:uid="{00000000-0004-0000-0700-000059080000}"/>
    <hyperlink ref="C466" r:id="rId2139" xr:uid="{00000000-0004-0000-0700-00005A080000}"/>
    <hyperlink ref="F466" r:id="rId2140" xr:uid="{00000000-0004-0000-0700-00005B080000}"/>
    <hyperlink ref="G466" r:id="rId2141" xr:uid="{00000000-0004-0000-0700-00005C080000}"/>
    <hyperlink ref="H466" r:id="rId2142" xr:uid="{00000000-0004-0000-0700-00005D080000}"/>
    <hyperlink ref="I466" r:id="rId2143" xr:uid="{00000000-0004-0000-0700-00005E080000}"/>
    <hyperlink ref="C467" r:id="rId2144" xr:uid="{00000000-0004-0000-0700-00005F080000}"/>
    <hyperlink ref="F467" r:id="rId2145" xr:uid="{00000000-0004-0000-0700-000060080000}"/>
    <hyperlink ref="G467" r:id="rId2146" xr:uid="{00000000-0004-0000-0700-000061080000}"/>
    <hyperlink ref="H467" r:id="rId2147" xr:uid="{00000000-0004-0000-0700-000062080000}"/>
    <hyperlink ref="I467" r:id="rId2148" xr:uid="{00000000-0004-0000-0700-000063080000}"/>
    <hyperlink ref="C468" r:id="rId2149" xr:uid="{00000000-0004-0000-0700-000064080000}"/>
    <hyperlink ref="F468" r:id="rId2150" xr:uid="{00000000-0004-0000-0700-000065080000}"/>
    <hyperlink ref="G468" r:id="rId2151" xr:uid="{00000000-0004-0000-0700-000066080000}"/>
    <hyperlink ref="H468" r:id="rId2152" xr:uid="{00000000-0004-0000-0700-000067080000}"/>
    <hyperlink ref="I468" r:id="rId2153" xr:uid="{00000000-0004-0000-0700-000068080000}"/>
    <hyperlink ref="C469" r:id="rId2154" xr:uid="{00000000-0004-0000-0700-000069080000}"/>
    <hyperlink ref="F469" r:id="rId2155" xr:uid="{00000000-0004-0000-0700-00006A080000}"/>
    <hyperlink ref="G469" r:id="rId2156" xr:uid="{00000000-0004-0000-0700-00006B080000}"/>
    <hyperlink ref="H469" r:id="rId2157" xr:uid="{00000000-0004-0000-0700-00006C080000}"/>
    <hyperlink ref="I469" r:id="rId2158" xr:uid="{00000000-0004-0000-0700-00006D080000}"/>
    <hyperlink ref="C470" r:id="rId2159" xr:uid="{00000000-0004-0000-0700-00006E080000}"/>
    <hyperlink ref="F470" r:id="rId2160" xr:uid="{00000000-0004-0000-0700-00006F080000}"/>
    <hyperlink ref="G470" r:id="rId2161" xr:uid="{00000000-0004-0000-0700-000070080000}"/>
    <hyperlink ref="H470" r:id="rId2162" xr:uid="{00000000-0004-0000-0700-000071080000}"/>
    <hyperlink ref="I470" r:id="rId2163" xr:uid="{00000000-0004-0000-0700-000072080000}"/>
    <hyperlink ref="C471" r:id="rId2164" xr:uid="{00000000-0004-0000-0700-000073080000}"/>
    <hyperlink ref="F471" r:id="rId2165" xr:uid="{00000000-0004-0000-0700-000074080000}"/>
    <hyperlink ref="G471" r:id="rId2166" xr:uid="{00000000-0004-0000-0700-000075080000}"/>
    <hyperlink ref="H471" r:id="rId2167" xr:uid="{00000000-0004-0000-0700-000076080000}"/>
    <hyperlink ref="I471" r:id="rId2168" xr:uid="{00000000-0004-0000-0700-000077080000}"/>
    <hyperlink ref="C472" r:id="rId2169" xr:uid="{00000000-0004-0000-0700-000078080000}"/>
    <hyperlink ref="F472" r:id="rId2170" xr:uid="{00000000-0004-0000-0700-000079080000}"/>
    <hyperlink ref="G472" r:id="rId2171" xr:uid="{00000000-0004-0000-0700-00007A080000}"/>
    <hyperlink ref="H472" r:id="rId2172" xr:uid="{00000000-0004-0000-0700-00007B080000}"/>
    <hyperlink ref="I472" r:id="rId2173" xr:uid="{00000000-0004-0000-0700-00007C080000}"/>
    <hyperlink ref="C473" r:id="rId2174" xr:uid="{00000000-0004-0000-0700-00007D080000}"/>
    <hyperlink ref="F473" r:id="rId2175" xr:uid="{00000000-0004-0000-0700-00007E080000}"/>
    <hyperlink ref="G473" r:id="rId2176" xr:uid="{00000000-0004-0000-0700-00007F080000}"/>
    <hyperlink ref="H473" r:id="rId2177" xr:uid="{00000000-0004-0000-0700-000080080000}"/>
    <hyperlink ref="I473" r:id="rId2178" xr:uid="{00000000-0004-0000-0700-000081080000}"/>
    <hyperlink ref="C474" r:id="rId2179" xr:uid="{00000000-0004-0000-0700-000082080000}"/>
    <hyperlink ref="F474" r:id="rId2180" xr:uid="{00000000-0004-0000-0700-000083080000}"/>
    <hyperlink ref="G474" r:id="rId2181" xr:uid="{00000000-0004-0000-0700-000084080000}"/>
    <hyperlink ref="H474" r:id="rId2182" xr:uid="{00000000-0004-0000-0700-000085080000}"/>
    <hyperlink ref="I474" r:id="rId2183" xr:uid="{00000000-0004-0000-0700-000086080000}"/>
    <hyperlink ref="C475" r:id="rId2184" xr:uid="{00000000-0004-0000-0700-000087080000}"/>
    <hyperlink ref="F475" r:id="rId2185" xr:uid="{00000000-0004-0000-0700-000088080000}"/>
    <hyperlink ref="G475" r:id="rId2186" xr:uid="{00000000-0004-0000-0700-000089080000}"/>
    <hyperlink ref="H475" r:id="rId2187" xr:uid="{00000000-0004-0000-0700-00008A080000}"/>
    <hyperlink ref="I475" r:id="rId2188" xr:uid="{00000000-0004-0000-0700-00008B080000}"/>
    <hyperlink ref="C476" r:id="rId2189" xr:uid="{00000000-0004-0000-0700-00008C080000}"/>
    <hyperlink ref="F476" r:id="rId2190" xr:uid="{00000000-0004-0000-0700-00008D080000}"/>
    <hyperlink ref="G476" r:id="rId2191" xr:uid="{00000000-0004-0000-0700-00008E080000}"/>
    <hyperlink ref="H476" r:id="rId2192" xr:uid="{00000000-0004-0000-0700-00008F080000}"/>
    <hyperlink ref="I476" r:id="rId2193" xr:uid="{00000000-0004-0000-0700-000090080000}"/>
    <hyperlink ref="C477" r:id="rId2194" xr:uid="{00000000-0004-0000-0700-000091080000}"/>
    <hyperlink ref="F477" r:id="rId2195" xr:uid="{00000000-0004-0000-0700-000092080000}"/>
    <hyperlink ref="G477" r:id="rId2196" xr:uid="{00000000-0004-0000-0700-000093080000}"/>
    <hyperlink ref="H477" r:id="rId2197" xr:uid="{00000000-0004-0000-0700-000094080000}"/>
    <hyperlink ref="I477" r:id="rId2198" xr:uid="{00000000-0004-0000-0700-000095080000}"/>
    <hyperlink ref="C478" r:id="rId2199" xr:uid="{00000000-0004-0000-0700-000096080000}"/>
    <hyperlink ref="F478" r:id="rId2200" xr:uid="{00000000-0004-0000-0700-000097080000}"/>
    <hyperlink ref="G478" r:id="rId2201" xr:uid="{00000000-0004-0000-0700-000098080000}"/>
    <hyperlink ref="H478" r:id="rId2202" xr:uid="{00000000-0004-0000-0700-000099080000}"/>
    <hyperlink ref="I478" r:id="rId2203" xr:uid="{00000000-0004-0000-0700-00009A080000}"/>
    <hyperlink ref="C479" r:id="rId2204" xr:uid="{00000000-0004-0000-0700-00009B080000}"/>
    <hyperlink ref="F479" r:id="rId2205" xr:uid="{00000000-0004-0000-0700-00009C080000}"/>
    <hyperlink ref="G479" r:id="rId2206" xr:uid="{00000000-0004-0000-0700-00009D080000}"/>
    <hyperlink ref="H479" r:id="rId2207" xr:uid="{00000000-0004-0000-0700-00009E080000}"/>
    <hyperlink ref="I479" r:id="rId2208" xr:uid="{00000000-0004-0000-0700-00009F080000}"/>
    <hyperlink ref="C480" r:id="rId2209" xr:uid="{00000000-0004-0000-0700-0000A0080000}"/>
    <hyperlink ref="F480" r:id="rId2210" xr:uid="{00000000-0004-0000-0700-0000A1080000}"/>
    <hyperlink ref="G480" r:id="rId2211" xr:uid="{00000000-0004-0000-0700-0000A2080000}"/>
    <hyperlink ref="H480" r:id="rId2212" xr:uid="{00000000-0004-0000-0700-0000A3080000}"/>
    <hyperlink ref="I480" r:id="rId2213" xr:uid="{00000000-0004-0000-0700-0000A4080000}"/>
    <hyperlink ref="F481" r:id="rId2214" xr:uid="{00000000-0004-0000-0700-0000A5080000}"/>
    <hyperlink ref="G481" r:id="rId2215" xr:uid="{00000000-0004-0000-0700-0000A6080000}"/>
    <hyperlink ref="H481" r:id="rId2216" xr:uid="{00000000-0004-0000-0700-0000A7080000}"/>
    <hyperlink ref="I481" r:id="rId2217" xr:uid="{00000000-0004-0000-0700-0000A8080000}"/>
    <hyperlink ref="C482" r:id="rId2218" xr:uid="{00000000-0004-0000-0700-0000A9080000}"/>
    <hyperlink ref="F482" r:id="rId2219" xr:uid="{00000000-0004-0000-0700-0000AA080000}"/>
    <hyperlink ref="G482" r:id="rId2220" xr:uid="{00000000-0004-0000-0700-0000AB080000}"/>
    <hyperlink ref="H482" r:id="rId2221" xr:uid="{00000000-0004-0000-0700-0000AC080000}"/>
    <hyperlink ref="I482" r:id="rId2222" xr:uid="{00000000-0004-0000-0700-0000AD080000}"/>
    <hyperlink ref="C483" r:id="rId2223" xr:uid="{00000000-0004-0000-0700-0000AE080000}"/>
    <hyperlink ref="F483" r:id="rId2224" xr:uid="{00000000-0004-0000-0700-0000AF080000}"/>
    <hyperlink ref="G483" r:id="rId2225" xr:uid="{00000000-0004-0000-0700-0000B0080000}"/>
    <hyperlink ref="H483" r:id="rId2226" xr:uid="{00000000-0004-0000-0700-0000B1080000}"/>
    <hyperlink ref="I483" r:id="rId2227" xr:uid="{00000000-0004-0000-0700-0000B2080000}"/>
    <hyperlink ref="C484" r:id="rId2228" xr:uid="{00000000-0004-0000-0700-0000B3080000}"/>
    <hyperlink ref="F484" r:id="rId2229" xr:uid="{00000000-0004-0000-0700-0000B4080000}"/>
    <hyperlink ref="G484" r:id="rId2230" xr:uid="{00000000-0004-0000-0700-0000B5080000}"/>
    <hyperlink ref="H484" r:id="rId2231" xr:uid="{00000000-0004-0000-0700-0000B6080000}"/>
    <hyperlink ref="I484" r:id="rId2232" xr:uid="{00000000-0004-0000-0700-0000B7080000}"/>
    <hyperlink ref="C485" r:id="rId2233" xr:uid="{00000000-0004-0000-0700-0000B8080000}"/>
    <hyperlink ref="F485" r:id="rId2234" xr:uid="{00000000-0004-0000-0700-0000B9080000}"/>
    <hyperlink ref="G485" r:id="rId2235" xr:uid="{00000000-0004-0000-0700-0000BA080000}"/>
    <hyperlink ref="H485" r:id="rId2236" xr:uid="{00000000-0004-0000-0700-0000BB080000}"/>
    <hyperlink ref="I485" r:id="rId2237" xr:uid="{00000000-0004-0000-0700-0000BC080000}"/>
    <hyperlink ref="C486" r:id="rId2238" xr:uid="{00000000-0004-0000-0700-0000BD080000}"/>
    <hyperlink ref="F486" r:id="rId2239" xr:uid="{00000000-0004-0000-0700-0000BE080000}"/>
    <hyperlink ref="G486" r:id="rId2240" xr:uid="{00000000-0004-0000-0700-0000BF080000}"/>
    <hyperlink ref="H486" r:id="rId2241" xr:uid="{00000000-0004-0000-0700-0000C0080000}"/>
    <hyperlink ref="I486" r:id="rId2242" xr:uid="{00000000-0004-0000-0700-0000C1080000}"/>
    <hyperlink ref="C487" r:id="rId2243" xr:uid="{00000000-0004-0000-0700-0000C2080000}"/>
    <hyperlink ref="F487" r:id="rId2244" xr:uid="{00000000-0004-0000-0700-0000C3080000}"/>
    <hyperlink ref="G487" r:id="rId2245" xr:uid="{00000000-0004-0000-0700-0000C4080000}"/>
    <hyperlink ref="H487" r:id="rId2246" xr:uid="{00000000-0004-0000-0700-0000C5080000}"/>
    <hyperlink ref="I487" r:id="rId2247" xr:uid="{00000000-0004-0000-0700-0000C6080000}"/>
    <hyperlink ref="C488" r:id="rId2248" xr:uid="{00000000-0004-0000-0700-0000C7080000}"/>
    <hyperlink ref="F488" r:id="rId2249" xr:uid="{00000000-0004-0000-0700-0000C8080000}"/>
    <hyperlink ref="G488" r:id="rId2250" xr:uid="{00000000-0004-0000-0700-0000C9080000}"/>
    <hyperlink ref="H488" r:id="rId2251" xr:uid="{00000000-0004-0000-0700-0000CA080000}"/>
    <hyperlink ref="I488" r:id="rId2252" xr:uid="{00000000-0004-0000-0700-0000CB080000}"/>
    <hyperlink ref="F489" r:id="rId2253" xr:uid="{00000000-0004-0000-0700-0000CC080000}"/>
    <hyperlink ref="G489" r:id="rId2254" xr:uid="{00000000-0004-0000-0700-0000CD080000}"/>
    <hyperlink ref="H489" r:id="rId2255" xr:uid="{00000000-0004-0000-0700-0000CE080000}"/>
    <hyperlink ref="I489" r:id="rId2256" xr:uid="{00000000-0004-0000-0700-0000CF080000}"/>
    <hyperlink ref="C490" r:id="rId2257" xr:uid="{00000000-0004-0000-0700-0000D0080000}"/>
    <hyperlink ref="F490" r:id="rId2258" xr:uid="{00000000-0004-0000-0700-0000D1080000}"/>
    <hyperlink ref="G490" r:id="rId2259" xr:uid="{00000000-0004-0000-0700-0000D2080000}"/>
    <hyperlink ref="H490" r:id="rId2260" xr:uid="{00000000-0004-0000-0700-0000D3080000}"/>
    <hyperlink ref="I490" r:id="rId2261" xr:uid="{00000000-0004-0000-0700-0000D4080000}"/>
    <hyperlink ref="C491" r:id="rId2262" xr:uid="{00000000-0004-0000-0700-0000D5080000}"/>
    <hyperlink ref="F491" r:id="rId2263" xr:uid="{00000000-0004-0000-0700-0000D6080000}"/>
    <hyperlink ref="G491" r:id="rId2264" xr:uid="{00000000-0004-0000-0700-0000D7080000}"/>
    <hyperlink ref="H491" r:id="rId2265" xr:uid="{00000000-0004-0000-0700-0000D8080000}"/>
    <hyperlink ref="I491" r:id="rId2266" xr:uid="{00000000-0004-0000-0700-0000D9080000}"/>
    <hyperlink ref="C492" r:id="rId2267" xr:uid="{00000000-0004-0000-0700-0000DA080000}"/>
    <hyperlink ref="F492" r:id="rId2268" xr:uid="{00000000-0004-0000-0700-0000DB080000}"/>
    <hyperlink ref="G492" r:id="rId2269" xr:uid="{00000000-0004-0000-0700-0000DC080000}"/>
    <hyperlink ref="H492" r:id="rId2270" xr:uid="{00000000-0004-0000-0700-0000DD080000}"/>
    <hyperlink ref="I492" r:id="rId2271" xr:uid="{00000000-0004-0000-0700-0000DE080000}"/>
    <hyperlink ref="C493" r:id="rId2272" xr:uid="{00000000-0004-0000-0700-0000DF080000}"/>
    <hyperlink ref="F493" r:id="rId2273" xr:uid="{00000000-0004-0000-0700-0000E0080000}"/>
    <hyperlink ref="G493" r:id="rId2274" xr:uid="{00000000-0004-0000-0700-0000E1080000}"/>
    <hyperlink ref="H493" r:id="rId2275" display="2 C00009" xr:uid="{00000000-0004-0000-0700-0000E2080000}"/>
    <hyperlink ref="I493" r:id="rId2276" display="2 C00009" xr:uid="{00000000-0004-0000-0700-0000E3080000}"/>
    <hyperlink ref="C494" r:id="rId2277" xr:uid="{00000000-0004-0000-0700-0000E4080000}"/>
    <hyperlink ref="F494" r:id="rId2278" display="C00404(n) + C00001" xr:uid="{00000000-0004-0000-0700-0000E5080000}"/>
    <hyperlink ref="G494" r:id="rId2279" display="C00404(n) * C00001" xr:uid="{00000000-0004-0000-0700-0000E6080000}"/>
    <hyperlink ref="H494" r:id="rId2280" display="C00404(n-1) + C00009" xr:uid="{00000000-0004-0000-0700-0000E7080000}"/>
    <hyperlink ref="I494" r:id="rId2281" display="C00404(n-1) * C00009" xr:uid="{00000000-0004-0000-0700-0000E8080000}"/>
    <hyperlink ref="C495" r:id="rId2282" xr:uid="{00000000-0004-0000-0700-0000E9080000}"/>
    <hyperlink ref="F495" r:id="rId2283" xr:uid="{00000000-0004-0000-0700-0000EA080000}"/>
    <hyperlink ref="G495" r:id="rId2284" xr:uid="{00000000-0004-0000-0700-0000EB080000}"/>
    <hyperlink ref="H495" r:id="rId2285" xr:uid="{00000000-0004-0000-0700-0000EC080000}"/>
    <hyperlink ref="I495" r:id="rId2286" xr:uid="{00000000-0004-0000-0700-0000ED080000}"/>
    <hyperlink ref="C496" r:id="rId2287" xr:uid="{00000000-0004-0000-0700-0000EE080000}"/>
    <hyperlink ref="F496" r:id="rId2288" xr:uid="{00000000-0004-0000-0700-0000EF080000}"/>
    <hyperlink ref="G496" r:id="rId2289" xr:uid="{00000000-0004-0000-0700-0000F0080000}"/>
    <hyperlink ref="H496" r:id="rId2290" xr:uid="{00000000-0004-0000-0700-0000F1080000}"/>
    <hyperlink ref="I496" r:id="rId2291" xr:uid="{00000000-0004-0000-0700-0000F2080000}"/>
    <hyperlink ref="C497" r:id="rId2292" xr:uid="{00000000-0004-0000-0700-0000F3080000}"/>
    <hyperlink ref="F497" r:id="rId2293" xr:uid="{00000000-0004-0000-0700-0000F4080000}"/>
    <hyperlink ref="G497" r:id="rId2294" xr:uid="{00000000-0004-0000-0700-0000F5080000}"/>
    <hyperlink ref="H497" r:id="rId2295" xr:uid="{00000000-0004-0000-0700-0000F6080000}"/>
    <hyperlink ref="I497" r:id="rId2296" xr:uid="{00000000-0004-0000-0700-0000F7080000}"/>
    <hyperlink ref="C498" r:id="rId2297" xr:uid="{00000000-0004-0000-0700-0000F8080000}"/>
    <hyperlink ref="F498" r:id="rId2298" xr:uid="{00000000-0004-0000-0700-0000F9080000}"/>
    <hyperlink ref="G498" r:id="rId2299" xr:uid="{00000000-0004-0000-0700-0000FA080000}"/>
    <hyperlink ref="H498" r:id="rId2300" display="2 C00008" xr:uid="{00000000-0004-0000-0700-0000FB080000}"/>
    <hyperlink ref="I498" r:id="rId2301" display="2 C00008" xr:uid="{00000000-0004-0000-0700-0000FC080000}"/>
    <hyperlink ref="C499" r:id="rId2302" xr:uid="{00000000-0004-0000-0700-0000FD080000}"/>
    <hyperlink ref="F499" r:id="rId2303" xr:uid="{00000000-0004-0000-0700-0000FE080000}"/>
    <hyperlink ref="G499" r:id="rId2304" xr:uid="{00000000-0004-0000-0700-0000FF080000}"/>
    <hyperlink ref="H499" r:id="rId2305" xr:uid="{00000000-0004-0000-0700-000000090000}"/>
    <hyperlink ref="I499" r:id="rId2306" xr:uid="{00000000-0004-0000-0700-000001090000}"/>
    <hyperlink ref="C500" r:id="rId2307" xr:uid="{00000000-0004-0000-0700-000002090000}"/>
    <hyperlink ref="F500" r:id="rId2308" xr:uid="{00000000-0004-0000-0700-000003090000}"/>
    <hyperlink ref="G500" r:id="rId2309" xr:uid="{00000000-0004-0000-0700-000004090000}"/>
    <hyperlink ref="H500" r:id="rId2310" xr:uid="{00000000-0004-0000-0700-000005090000}"/>
    <hyperlink ref="I500" r:id="rId2311" xr:uid="{00000000-0004-0000-0700-000006090000}"/>
    <hyperlink ref="C501" r:id="rId2312" xr:uid="{00000000-0004-0000-0700-000007090000}"/>
    <hyperlink ref="F501" r:id="rId2313" xr:uid="{00000000-0004-0000-0700-000008090000}"/>
    <hyperlink ref="G501" r:id="rId2314" xr:uid="{00000000-0004-0000-0700-000009090000}"/>
    <hyperlink ref="H501" r:id="rId2315" xr:uid="{00000000-0004-0000-0700-00000A090000}"/>
    <hyperlink ref="I501" r:id="rId2316" xr:uid="{00000000-0004-0000-0700-00000B090000}"/>
    <hyperlink ref="C502" r:id="rId2317" xr:uid="{00000000-0004-0000-0700-00000C090000}"/>
    <hyperlink ref="F502" r:id="rId2318" xr:uid="{00000000-0004-0000-0700-00000D090000}"/>
    <hyperlink ref="G502" r:id="rId2319" xr:uid="{00000000-0004-0000-0700-00000E090000}"/>
    <hyperlink ref="H502" r:id="rId2320" xr:uid="{00000000-0004-0000-0700-00000F090000}"/>
    <hyperlink ref="I502" r:id="rId2321" xr:uid="{00000000-0004-0000-0700-000010090000}"/>
    <hyperlink ref="C503" r:id="rId2322" xr:uid="{00000000-0004-0000-0700-000011090000}"/>
    <hyperlink ref="F503" r:id="rId2323" xr:uid="{00000000-0004-0000-0700-000012090000}"/>
    <hyperlink ref="G503" r:id="rId2324" xr:uid="{00000000-0004-0000-0700-000013090000}"/>
    <hyperlink ref="H503" r:id="rId2325" xr:uid="{00000000-0004-0000-0700-000014090000}"/>
    <hyperlink ref="I503" r:id="rId2326" xr:uid="{00000000-0004-0000-0700-000015090000}"/>
    <hyperlink ref="C504" r:id="rId2327" xr:uid="{00000000-0004-0000-0700-000016090000}"/>
    <hyperlink ref="F504" r:id="rId2328" xr:uid="{00000000-0004-0000-0700-000017090000}"/>
    <hyperlink ref="G504" r:id="rId2329" xr:uid="{00000000-0004-0000-0700-000018090000}"/>
    <hyperlink ref="H504" r:id="rId2330" xr:uid="{00000000-0004-0000-0700-000019090000}"/>
    <hyperlink ref="I504" r:id="rId2331" xr:uid="{00000000-0004-0000-0700-00001A090000}"/>
    <hyperlink ref="C505" r:id="rId2332" xr:uid="{00000000-0004-0000-0700-00001B090000}"/>
    <hyperlink ref="F505" r:id="rId2333" xr:uid="{00000000-0004-0000-0700-00001C090000}"/>
    <hyperlink ref="G505" r:id="rId2334" xr:uid="{00000000-0004-0000-0700-00001D090000}"/>
    <hyperlink ref="H505" r:id="rId2335" xr:uid="{00000000-0004-0000-0700-00001E090000}"/>
    <hyperlink ref="I505" r:id="rId2336" xr:uid="{00000000-0004-0000-0700-00001F090000}"/>
    <hyperlink ref="C506" r:id="rId2337" xr:uid="{00000000-0004-0000-0700-000020090000}"/>
    <hyperlink ref="F506" r:id="rId2338" xr:uid="{00000000-0004-0000-0700-000021090000}"/>
    <hyperlink ref="G506" r:id="rId2339" xr:uid="{00000000-0004-0000-0700-000022090000}"/>
    <hyperlink ref="H506" r:id="rId2340" xr:uid="{00000000-0004-0000-0700-000023090000}"/>
    <hyperlink ref="I506" r:id="rId2341" xr:uid="{00000000-0004-0000-0700-000024090000}"/>
    <hyperlink ref="C507" r:id="rId2342" xr:uid="{00000000-0004-0000-0700-000025090000}"/>
    <hyperlink ref="F507" r:id="rId2343" xr:uid="{00000000-0004-0000-0700-000026090000}"/>
    <hyperlink ref="G507" r:id="rId2344" xr:uid="{00000000-0004-0000-0700-000027090000}"/>
    <hyperlink ref="H507" r:id="rId2345" xr:uid="{00000000-0004-0000-0700-000028090000}"/>
    <hyperlink ref="I507" r:id="rId2346" xr:uid="{00000000-0004-0000-0700-000029090000}"/>
    <hyperlink ref="C508" r:id="rId2347" xr:uid="{00000000-0004-0000-0700-00002A090000}"/>
    <hyperlink ref="F508" r:id="rId2348" xr:uid="{00000000-0004-0000-0700-00002B090000}"/>
    <hyperlink ref="G508" r:id="rId2349" xr:uid="{00000000-0004-0000-0700-00002C090000}"/>
    <hyperlink ref="H508" r:id="rId2350" xr:uid="{00000000-0004-0000-0700-00002D090000}"/>
    <hyperlink ref="I508" r:id="rId2351" xr:uid="{00000000-0004-0000-0700-00002E090000}"/>
    <hyperlink ref="C509" r:id="rId2352" xr:uid="{00000000-0004-0000-0700-00002F090000}"/>
    <hyperlink ref="F509" r:id="rId2353" xr:uid="{00000000-0004-0000-0700-000030090000}"/>
    <hyperlink ref="G509" r:id="rId2354" xr:uid="{00000000-0004-0000-0700-000031090000}"/>
    <hyperlink ref="H509" r:id="rId2355" xr:uid="{00000000-0004-0000-0700-000032090000}"/>
    <hyperlink ref="I509" r:id="rId2356" xr:uid="{00000000-0004-0000-0700-000033090000}"/>
    <hyperlink ref="C510" r:id="rId2357" xr:uid="{00000000-0004-0000-0700-000034090000}"/>
    <hyperlink ref="F510" r:id="rId2358" xr:uid="{00000000-0004-0000-0700-000035090000}"/>
    <hyperlink ref="G510" r:id="rId2359" xr:uid="{00000000-0004-0000-0700-000036090000}"/>
    <hyperlink ref="H510" r:id="rId2360" xr:uid="{00000000-0004-0000-0700-000037090000}"/>
    <hyperlink ref="I510" r:id="rId2361" xr:uid="{00000000-0004-0000-0700-000038090000}"/>
    <hyperlink ref="C511" r:id="rId2362" xr:uid="{00000000-0004-0000-0700-000039090000}"/>
    <hyperlink ref="F511" r:id="rId2363" xr:uid="{00000000-0004-0000-0700-00003A090000}"/>
    <hyperlink ref="G511" r:id="rId2364" xr:uid="{00000000-0004-0000-0700-00003B090000}"/>
    <hyperlink ref="H511" r:id="rId2365" xr:uid="{00000000-0004-0000-0700-00003C090000}"/>
    <hyperlink ref="I511" r:id="rId2366" xr:uid="{00000000-0004-0000-0700-00003D090000}"/>
    <hyperlink ref="C512" r:id="rId2367" xr:uid="{00000000-0004-0000-0700-00003E090000}"/>
    <hyperlink ref="F512" r:id="rId2368" xr:uid="{00000000-0004-0000-0700-00003F090000}"/>
    <hyperlink ref="G512" r:id="rId2369" xr:uid="{00000000-0004-0000-0700-000040090000}"/>
    <hyperlink ref="H512" r:id="rId2370" xr:uid="{00000000-0004-0000-0700-000041090000}"/>
    <hyperlink ref="I512" r:id="rId2371" xr:uid="{00000000-0004-0000-0700-000042090000}"/>
    <hyperlink ref="C513" r:id="rId2372" xr:uid="{00000000-0004-0000-0700-000043090000}"/>
    <hyperlink ref="F513" r:id="rId2373" xr:uid="{00000000-0004-0000-0700-000044090000}"/>
    <hyperlink ref="G513" r:id="rId2374" xr:uid="{00000000-0004-0000-0700-000045090000}"/>
    <hyperlink ref="H513" r:id="rId2375" xr:uid="{00000000-0004-0000-0700-000046090000}"/>
    <hyperlink ref="I513" r:id="rId2376" xr:uid="{00000000-0004-0000-0700-000047090000}"/>
    <hyperlink ref="C514" r:id="rId2377" xr:uid="{00000000-0004-0000-0700-000048090000}"/>
    <hyperlink ref="F514" r:id="rId2378" xr:uid="{00000000-0004-0000-0700-000049090000}"/>
    <hyperlink ref="G514" r:id="rId2379" xr:uid="{00000000-0004-0000-0700-00004A090000}"/>
    <hyperlink ref="H514" r:id="rId2380" xr:uid="{00000000-0004-0000-0700-00004B090000}"/>
    <hyperlink ref="I514" r:id="rId2381" xr:uid="{00000000-0004-0000-0700-00004C090000}"/>
    <hyperlink ref="C515" r:id="rId2382" xr:uid="{00000000-0004-0000-0700-00004D090000}"/>
    <hyperlink ref="F515" r:id="rId2383" xr:uid="{00000000-0004-0000-0700-00004E090000}"/>
    <hyperlink ref="G515" r:id="rId2384" xr:uid="{00000000-0004-0000-0700-00004F090000}"/>
    <hyperlink ref="H515" r:id="rId2385" xr:uid="{00000000-0004-0000-0700-000050090000}"/>
    <hyperlink ref="I515" r:id="rId2386" xr:uid="{00000000-0004-0000-0700-000051090000}"/>
    <hyperlink ref="C516" r:id="rId2387" xr:uid="{00000000-0004-0000-0700-000052090000}"/>
    <hyperlink ref="F516" r:id="rId2388" xr:uid="{00000000-0004-0000-0700-000053090000}"/>
    <hyperlink ref="G516" r:id="rId2389" xr:uid="{00000000-0004-0000-0700-000054090000}"/>
    <hyperlink ref="H516" r:id="rId2390" xr:uid="{00000000-0004-0000-0700-000055090000}"/>
    <hyperlink ref="I516" r:id="rId2391" xr:uid="{00000000-0004-0000-0700-000056090000}"/>
    <hyperlink ref="C517" r:id="rId2392" xr:uid="{00000000-0004-0000-0700-000057090000}"/>
    <hyperlink ref="F517" r:id="rId2393" xr:uid="{00000000-0004-0000-0700-000058090000}"/>
    <hyperlink ref="G517" r:id="rId2394" xr:uid="{00000000-0004-0000-0700-000059090000}"/>
    <hyperlink ref="H517" r:id="rId2395" xr:uid="{00000000-0004-0000-0700-00005A090000}"/>
    <hyperlink ref="I517" r:id="rId2396" xr:uid="{00000000-0004-0000-0700-00005B090000}"/>
    <hyperlink ref="C518" r:id="rId2397" xr:uid="{00000000-0004-0000-0700-00005C090000}"/>
    <hyperlink ref="F518" r:id="rId2398" xr:uid="{00000000-0004-0000-0700-00005D090000}"/>
    <hyperlink ref="G518" r:id="rId2399" xr:uid="{00000000-0004-0000-0700-00005E090000}"/>
    <hyperlink ref="H518" r:id="rId2400" xr:uid="{00000000-0004-0000-0700-00005F090000}"/>
    <hyperlink ref="I518" r:id="rId2401" xr:uid="{00000000-0004-0000-0700-000060090000}"/>
    <hyperlink ref="C519" r:id="rId2402" xr:uid="{00000000-0004-0000-0700-000061090000}"/>
    <hyperlink ref="F519" r:id="rId2403" xr:uid="{00000000-0004-0000-0700-000062090000}"/>
    <hyperlink ref="G519" r:id="rId2404" xr:uid="{00000000-0004-0000-0700-000063090000}"/>
    <hyperlink ref="H519" r:id="rId2405" xr:uid="{00000000-0004-0000-0700-000064090000}"/>
    <hyperlink ref="I519" r:id="rId2406" xr:uid="{00000000-0004-0000-0700-000065090000}"/>
    <hyperlink ref="C520" r:id="rId2407" xr:uid="{00000000-0004-0000-0700-000066090000}"/>
    <hyperlink ref="F520" r:id="rId2408" xr:uid="{00000000-0004-0000-0700-000067090000}"/>
    <hyperlink ref="G520" r:id="rId2409" xr:uid="{00000000-0004-0000-0700-000068090000}"/>
    <hyperlink ref="H520" r:id="rId2410" xr:uid="{00000000-0004-0000-0700-000069090000}"/>
    <hyperlink ref="I520" r:id="rId2411" xr:uid="{00000000-0004-0000-0700-00006A090000}"/>
    <hyperlink ref="C521" r:id="rId2412" xr:uid="{00000000-0004-0000-0700-00006B090000}"/>
    <hyperlink ref="F521" r:id="rId2413" xr:uid="{00000000-0004-0000-0700-00006C090000}"/>
    <hyperlink ref="G521" r:id="rId2414" xr:uid="{00000000-0004-0000-0700-00006D090000}"/>
    <hyperlink ref="H521" r:id="rId2415" xr:uid="{00000000-0004-0000-0700-00006E090000}"/>
    <hyperlink ref="I521" r:id="rId2416" xr:uid="{00000000-0004-0000-0700-00006F090000}"/>
    <hyperlink ref="C522" r:id="rId2417" xr:uid="{00000000-0004-0000-0700-000070090000}"/>
    <hyperlink ref="F522" r:id="rId2418" xr:uid="{00000000-0004-0000-0700-000071090000}"/>
    <hyperlink ref="G522" r:id="rId2419" xr:uid="{00000000-0004-0000-0700-000072090000}"/>
    <hyperlink ref="H522" r:id="rId2420" xr:uid="{00000000-0004-0000-0700-000073090000}"/>
    <hyperlink ref="I522" r:id="rId2421" xr:uid="{00000000-0004-0000-0700-000074090000}"/>
    <hyperlink ref="C523" r:id="rId2422" xr:uid="{00000000-0004-0000-0700-000075090000}"/>
    <hyperlink ref="F523" r:id="rId2423" xr:uid="{00000000-0004-0000-0700-000076090000}"/>
    <hyperlink ref="G523" r:id="rId2424" xr:uid="{00000000-0004-0000-0700-000077090000}"/>
    <hyperlink ref="H523" r:id="rId2425" xr:uid="{00000000-0004-0000-0700-000078090000}"/>
    <hyperlink ref="I523" r:id="rId2426" xr:uid="{00000000-0004-0000-0700-000079090000}"/>
    <hyperlink ref="C524" r:id="rId2427" xr:uid="{00000000-0004-0000-0700-00007A090000}"/>
    <hyperlink ref="F524" r:id="rId2428" xr:uid="{00000000-0004-0000-0700-00007B090000}"/>
    <hyperlink ref="G524" r:id="rId2429" xr:uid="{00000000-0004-0000-0700-00007C090000}"/>
    <hyperlink ref="H524" r:id="rId2430" xr:uid="{00000000-0004-0000-0700-00007D090000}"/>
    <hyperlink ref="I524" r:id="rId2431" xr:uid="{00000000-0004-0000-0700-00007E090000}"/>
    <hyperlink ref="C525" r:id="rId2432" xr:uid="{00000000-0004-0000-0700-00007F090000}"/>
    <hyperlink ref="F525" r:id="rId2433" xr:uid="{00000000-0004-0000-0700-000080090000}"/>
    <hyperlink ref="G525" r:id="rId2434" xr:uid="{00000000-0004-0000-0700-000081090000}"/>
    <hyperlink ref="H525" r:id="rId2435" xr:uid="{00000000-0004-0000-0700-000082090000}"/>
    <hyperlink ref="I525" r:id="rId2436" xr:uid="{00000000-0004-0000-0700-000083090000}"/>
    <hyperlink ref="C526" r:id="rId2437" xr:uid="{00000000-0004-0000-0700-000084090000}"/>
    <hyperlink ref="F526" r:id="rId2438" xr:uid="{00000000-0004-0000-0700-000085090000}"/>
    <hyperlink ref="G526" r:id="rId2439" xr:uid="{00000000-0004-0000-0700-000086090000}"/>
    <hyperlink ref="H526" r:id="rId2440" xr:uid="{00000000-0004-0000-0700-000087090000}"/>
    <hyperlink ref="I526" r:id="rId2441" xr:uid="{00000000-0004-0000-0700-000088090000}"/>
    <hyperlink ref="C527" r:id="rId2442" xr:uid="{00000000-0004-0000-0700-000089090000}"/>
    <hyperlink ref="F527" r:id="rId2443" xr:uid="{00000000-0004-0000-0700-00008A090000}"/>
    <hyperlink ref="G527" r:id="rId2444" xr:uid="{00000000-0004-0000-0700-00008B090000}"/>
    <hyperlink ref="H527" r:id="rId2445" xr:uid="{00000000-0004-0000-0700-00008C090000}"/>
    <hyperlink ref="I527" r:id="rId2446" xr:uid="{00000000-0004-0000-0700-00008D090000}"/>
    <hyperlink ref="C528" r:id="rId2447" xr:uid="{00000000-0004-0000-0700-00008E090000}"/>
    <hyperlink ref="F528" r:id="rId2448" xr:uid="{00000000-0004-0000-0700-00008F090000}"/>
    <hyperlink ref="G528" r:id="rId2449" xr:uid="{00000000-0004-0000-0700-000090090000}"/>
    <hyperlink ref="H528" r:id="rId2450" xr:uid="{00000000-0004-0000-0700-000091090000}"/>
    <hyperlink ref="I528" r:id="rId2451" xr:uid="{00000000-0004-0000-0700-000092090000}"/>
    <hyperlink ref="C529" r:id="rId2452" xr:uid="{00000000-0004-0000-0700-000093090000}"/>
    <hyperlink ref="F529" r:id="rId2453" xr:uid="{00000000-0004-0000-0700-000094090000}"/>
    <hyperlink ref="G529" r:id="rId2454" xr:uid="{00000000-0004-0000-0700-000095090000}"/>
    <hyperlink ref="H529" r:id="rId2455" xr:uid="{00000000-0004-0000-0700-000096090000}"/>
    <hyperlink ref="I529" r:id="rId2456" xr:uid="{00000000-0004-0000-0700-000097090000}"/>
    <hyperlink ref="C530" r:id="rId2457" xr:uid="{00000000-0004-0000-0700-000098090000}"/>
    <hyperlink ref="F530" r:id="rId2458" xr:uid="{00000000-0004-0000-0700-000099090000}"/>
    <hyperlink ref="G530" r:id="rId2459" xr:uid="{00000000-0004-0000-0700-00009A090000}"/>
    <hyperlink ref="H530" r:id="rId2460" xr:uid="{00000000-0004-0000-0700-00009B090000}"/>
    <hyperlink ref="I530" r:id="rId2461" xr:uid="{00000000-0004-0000-0700-00009C090000}"/>
    <hyperlink ref="C531" r:id="rId2462" xr:uid="{00000000-0004-0000-0700-00009D090000}"/>
    <hyperlink ref="F531" r:id="rId2463" xr:uid="{00000000-0004-0000-0700-00009E090000}"/>
    <hyperlink ref="G531" r:id="rId2464" xr:uid="{00000000-0004-0000-0700-00009F090000}"/>
    <hyperlink ref="H531" r:id="rId2465" xr:uid="{00000000-0004-0000-0700-0000A0090000}"/>
    <hyperlink ref="I531" r:id="rId2466" xr:uid="{00000000-0004-0000-0700-0000A1090000}"/>
    <hyperlink ref="C532" r:id="rId2467" xr:uid="{00000000-0004-0000-0700-0000A2090000}"/>
    <hyperlink ref="F532" r:id="rId2468" xr:uid="{00000000-0004-0000-0700-0000A3090000}"/>
    <hyperlink ref="G532" r:id="rId2469" xr:uid="{00000000-0004-0000-0700-0000A4090000}"/>
    <hyperlink ref="H532" r:id="rId2470" xr:uid="{00000000-0004-0000-0700-0000A5090000}"/>
    <hyperlink ref="I532" r:id="rId2471" xr:uid="{00000000-0004-0000-0700-0000A6090000}"/>
    <hyperlink ref="F533" r:id="rId2472" xr:uid="{00000000-0004-0000-0700-0000A7090000}"/>
    <hyperlink ref="G533" r:id="rId2473" xr:uid="{00000000-0004-0000-0700-0000A8090000}"/>
    <hyperlink ref="H533" r:id="rId2474" xr:uid="{00000000-0004-0000-0700-0000A9090000}"/>
    <hyperlink ref="I533" r:id="rId2475" xr:uid="{00000000-0004-0000-0700-0000AA090000}"/>
    <hyperlink ref="F534" r:id="rId2476" xr:uid="{00000000-0004-0000-0700-0000AB090000}"/>
    <hyperlink ref="G534" r:id="rId2477" xr:uid="{00000000-0004-0000-0700-0000AC090000}"/>
    <hyperlink ref="H534" r:id="rId2478" xr:uid="{00000000-0004-0000-0700-0000AD090000}"/>
    <hyperlink ref="I534" r:id="rId2479" xr:uid="{00000000-0004-0000-0700-0000AE090000}"/>
    <hyperlink ref="F535" r:id="rId2480" xr:uid="{00000000-0004-0000-0700-0000AF090000}"/>
    <hyperlink ref="G535" r:id="rId2481" xr:uid="{00000000-0004-0000-0700-0000B0090000}"/>
    <hyperlink ref="H535" r:id="rId2482" xr:uid="{00000000-0004-0000-0700-0000B1090000}"/>
    <hyperlink ref="I535" r:id="rId2483" xr:uid="{00000000-0004-0000-0700-0000B2090000}"/>
    <hyperlink ref="F536" r:id="rId2484" xr:uid="{00000000-0004-0000-0700-0000B3090000}"/>
    <hyperlink ref="G536" r:id="rId2485" xr:uid="{00000000-0004-0000-0700-0000B4090000}"/>
    <hyperlink ref="H536" r:id="rId2486" xr:uid="{00000000-0004-0000-0700-0000B5090000}"/>
    <hyperlink ref="I536" r:id="rId2487" xr:uid="{00000000-0004-0000-0700-0000B6090000}"/>
    <hyperlink ref="F537" r:id="rId2488" xr:uid="{00000000-0004-0000-0700-0000B7090000}"/>
    <hyperlink ref="G537" r:id="rId2489" xr:uid="{00000000-0004-0000-0700-0000B8090000}"/>
    <hyperlink ref="H537" r:id="rId2490" xr:uid="{00000000-0004-0000-0700-0000B9090000}"/>
    <hyperlink ref="I537" r:id="rId2491" xr:uid="{00000000-0004-0000-0700-0000BA090000}"/>
    <hyperlink ref="F538" r:id="rId2492" xr:uid="{00000000-0004-0000-0700-0000BB090000}"/>
    <hyperlink ref="G538" r:id="rId2493" xr:uid="{00000000-0004-0000-0700-0000BC090000}"/>
    <hyperlink ref="H538" r:id="rId2494" xr:uid="{00000000-0004-0000-0700-0000BD090000}"/>
    <hyperlink ref="I538" r:id="rId2495" xr:uid="{00000000-0004-0000-0700-0000BE090000}"/>
    <hyperlink ref="F539" r:id="rId2496" xr:uid="{00000000-0004-0000-0700-0000BF090000}"/>
    <hyperlink ref="G539" r:id="rId2497" xr:uid="{00000000-0004-0000-0700-0000C0090000}"/>
    <hyperlink ref="H539" r:id="rId2498" xr:uid="{00000000-0004-0000-0700-0000C1090000}"/>
    <hyperlink ref="I539" r:id="rId2499" xr:uid="{00000000-0004-0000-0700-0000C2090000}"/>
    <hyperlink ref="F540" r:id="rId2500" xr:uid="{00000000-0004-0000-0700-0000C3090000}"/>
    <hyperlink ref="G540" r:id="rId2501" xr:uid="{00000000-0004-0000-0700-0000C4090000}"/>
    <hyperlink ref="H540" r:id="rId2502" xr:uid="{00000000-0004-0000-0700-0000C5090000}"/>
    <hyperlink ref="I540" r:id="rId2503" xr:uid="{00000000-0004-0000-0700-0000C6090000}"/>
    <hyperlink ref="F541" r:id="rId2504" xr:uid="{00000000-0004-0000-0700-0000C7090000}"/>
    <hyperlink ref="G541" r:id="rId2505" xr:uid="{00000000-0004-0000-0700-0000C8090000}"/>
    <hyperlink ref="H541" r:id="rId2506" xr:uid="{00000000-0004-0000-0700-0000C9090000}"/>
    <hyperlink ref="I541" r:id="rId2507" xr:uid="{00000000-0004-0000-0700-0000CA090000}"/>
    <hyperlink ref="F542" r:id="rId2508" xr:uid="{00000000-0004-0000-0700-0000CB090000}"/>
    <hyperlink ref="G542" r:id="rId2509" xr:uid="{00000000-0004-0000-0700-0000CC090000}"/>
    <hyperlink ref="H542" r:id="rId2510" xr:uid="{00000000-0004-0000-0700-0000CD090000}"/>
    <hyperlink ref="I542" r:id="rId2511" xr:uid="{00000000-0004-0000-0700-0000CE090000}"/>
    <hyperlink ref="C543" r:id="rId2512" xr:uid="{00000000-0004-0000-0700-0000CF090000}"/>
    <hyperlink ref="F543" r:id="rId2513" xr:uid="{00000000-0004-0000-0700-0000D0090000}"/>
    <hyperlink ref="G543" r:id="rId2514" xr:uid="{00000000-0004-0000-0700-0000D1090000}"/>
    <hyperlink ref="H543" r:id="rId2515" xr:uid="{00000000-0004-0000-0700-0000D2090000}"/>
    <hyperlink ref="I543" r:id="rId2516" xr:uid="{00000000-0004-0000-0700-0000D3090000}"/>
    <hyperlink ref="C544" r:id="rId2517" xr:uid="{00000000-0004-0000-0700-0000D4090000}"/>
    <hyperlink ref="F544" r:id="rId2518" xr:uid="{00000000-0004-0000-0700-0000D5090000}"/>
    <hyperlink ref="G544" r:id="rId2519" xr:uid="{00000000-0004-0000-0700-0000D6090000}"/>
    <hyperlink ref="H544" r:id="rId2520" xr:uid="{00000000-0004-0000-0700-0000D7090000}"/>
    <hyperlink ref="I544" r:id="rId2521" xr:uid="{00000000-0004-0000-0700-0000D8090000}"/>
    <hyperlink ref="C545" r:id="rId2522" xr:uid="{00000000-0004-0000-0700-0000D9090000}"/>
    <hyperlink ref="F545" r:id="rId2523" xr:uid="{00000000-0004-0000-0700-0000DA090000}"/>
    <hyperlink ref="G545" r:id="rId2524" xr:uid="{00000000-0004-0000-0700-0000DB090000}"/>
    <hyperlink ref="H545" r:id="rId2525" xr:uid="{00000000-0004-0000-0700-0000DC090000}"/>
    <hyperlink ref="I545" r:id="rId2526" xr:uid="{00000000-0004-0000-0700-0000DD090000}"/>
    <hyperlink ref="C546" r:id="rId2527" xr:uid="{00000000-0004-0000-0700-0000DE090000}"/>
    <hyperlink ref="F546" r:id="rId2528" xr:uid="{00000000-0004-0000-0700-0000DF090000}"/>
    <hyperlink ref="G546" r:id="rId2529" xr:uid="{00000000-0004-0000-0700-0000E0090000}"/>
    <hyperlink ref="H546" r:id="rId2530" xr:uid="{00000000-0004-0000-0700-0000E1090000}"/>
    <hyperlink ref="I546" r:id="rId2531" xr:uid="{00000000-0004-0000-0700-0000E2090000}"/>
    <hyperlink ref="C547" r:id="rId2532" xr:uid="{00000000-0004-0000-0700-0000E3090000}"/>
    <hyperlink ref="F547" r:id="rId2533" xr:uid="{00000000-0004-0000-0700-0000E4090000}"/>
    <hyperlink ref="G547" r:id="rId2534" xr:uid="{00000000-0004-0000-0700-0000E5090000}"/>
    <hyperlink ref="H547" r:id="rId2535" xr:uid="{00000000-0004-0000-0700-0000E6090000}"/>
    <hyperlink ref="I547" r:id="rId2536" xr:uid="{00000000-0004-0000-0700-0000E7090000}"/>
    <hyperlink ref="C548" r:id="rId2537" xr:uid="{00000000-0004-0000-0700-0000E8090000}"/>
    <hyperlink ref="F548" r:id="rId2538" xr:uid="{00000000-0004-0000-0700-0000E9090000}"/>
    <hyperlink ref="G548" r:id="rId2539" xr:uid="{00000000-0004-0000-0700-0000EA090000}"/>
    <hyperlink ref="H548" r:id="rId2540" xr:uid="{00000000-0004-0000-0700-0000EB090000}"/>
    <hyperlink ref="I548" r:id="rId2541" xr:uid="{00000000-0004-0000-0700-0000EC090000}"/>
    <hyperlink ref="C549" r:id="rId2542" xr:uid="{00000000-0004-0000-0700-0000ED090000}"/>
    <hyperlink ref="F549" r:id="rId2543" xr:uid="{00000000-0004-0000-0700-0000EE090000}"/>
    <hyperlink ref="G549" r:id="rId2544" xr:uid="{00000000-0004-0000-0700-0000EF090000}"/>
    <hyperlink ref="H549" r:id="rId2545" xr:uid="{00000000-0004-0000-0700-0000F0090000}"/>
    <hyperlink ref="I549" r:id="rId2546" xr:uid="{00000000-0004-0000-0700-0000F1090000}"/>
    <hyperlink ref="C550" r:id="rId2547" xr:uid="{00000000-0004-0000-0700-0000F2090000}"/>
    <hyperlink ref="F550" r:id="rId2548" xr:uid="{00000000-0004-0000-0700-0000F3090000}"/>
    <hyperlink ref="G550" r:id="rId2549" xr:uid="{00000000-0004-0000-0700-0000F4090000}"/>
    <hyperlink ref="H550" r:id="rId2550" xr:uid="{00000000-0004-0000-0700-0000F5090000}"/>
    <hyperlink ref="I550" r:id="rId2551" xr:uid="{00000000-0004-0000-0700-0000F6090000}"/>
    <hyperlink ref="C551" r:id="rId2552" xr:uid="{00000000-0004-0000-0700-0000F7090000}"/>
    <hyperlink ref="F551" r:id="rId2553" xr:uid="{00000000-0004-0000-0700-0000F8090000}"/>
    <hyperlink ref="G551" r:id="rId2554" xr:uid="{00000000-0004-0000-0700-0000F9090000}"/>
    <hyperlink ref="H551" r:id="rId2555" xr:uid="{00000000-0004-0000-0700-0000FA090000}"/>
    <hyperlink ref="I551" r:id="rId2556" xr:uid="{00000000-0004-0000-0700-0000FB090000}"/>
    <hyperlink ref="C552" r:id="rId2557" xr:uid="{00000000-0004-0000-0700-0000FC090000}"/>
    <hyperlink ref="F552" r:id="rId2558" xr:uid="{00000000-0004-0000-0700-0000FD090000}"/>
    <hyperlink ref="G552" r:id="rId2559" xr:uid="{00000000-0004-0000-0700-0000FE090000}"/>
    <hyperlink ref="H552" r:id="rId2560" xr:uid="{00000000-0004-0000-0700-0000FF090000}"/>
    <hyperlink ref="I552" r:id="rId2561" xr:uid="{00000000-0004-0000-0700-0000000A0000}"/>
    <hyperlink ref="C553" r:id="rId2562" xr:uid="{00000000-0004-0000-0700-0000010A0000}"/>
    <hyperlink ref="F553" r:id="rId2563" xr:uid="{00000000-0004-0000-0700-0000020A0000}"/>
    <hyperlink ref="G553" r:id="rId2564" xr:uid="{00000000-0004-0000-0700-0000030A0000}"/>
    <hyperlink ref="H553" r:id="rId2565" xr:uid="{00000000-0004-0000-0700-0000040A0000}"/>
    <hyperlink ref="I553" r:id="rId2566" xr:uid="{00000000-0004-0000-0700-0000050A0000}"/>
    <hyperlink ref="C554" r:id="rId2567" xr:uid="{00000000-0004-0000-0700-0000060A0000}"/>
    <hyperlink ref="F554" r:id="rId2568" xr:uid="{00000000-0004-0000-0700-0000070A0000}"/>
    <hyperlink ref="G554" r:id="rId2569" xr:uid="{00000000-0004-0000-0700-0000080A0000}"/>
    <hyperlink ref="H554" r:id="rId2570" xr:uid="{00000000-0004-0000-0700-0000090A0000}"/>
    <hyperlink ref="I554" r:id="rId2571" xr:uid="{00000000-0004-0000-0700-00000A0A0000}"/>
    <hyperlink ref="C555" r:id="rId2572" xr:uid="{00000000-0004-0000-0700-00000B0A0000}"/>
    <hyperlink ref="F555" r:id="rId2573" xr:uid="{00000000-0004-0000-0700-00000C0A0000}"/>
    <hyperlink ref="G555" r:id="rId2574" xr:uid="{00000000-0004-0000-0700-00000D0A0000}"/>
    <hyperlink ref="H555" r:id="rId2575" xr:uid="{00000000-0004-0000-0700-00000E0A0000}"/>
    <hyperlink ref="I555" r:id="rId2576" xr:uid="{00000000-0004-0000-0700-00000F0A0000}"/>
    <hyperlink ref="C556" r:id="rId2577" xr:uid="{00000000-0004-0000-0700-0000100A0000}"/>
    <hyperlink ref="F556" r:id="rId2578" xr:uid="{00000000-0004-0000-0700-0000110A0000}"/>
    <hyperlink ref="G556" r:id="rId2579" xr:uid="{00000000-0004-0000-0700-0000120A0000}"/>
    <hyperlink ref="H556" r:id="rId2580" xr:uid="{00000000-0004-0000-0700-0000130A0000}"/>
    <hyperlink ref="I556" r:id="rId2581" xr:uid="{00000000-0004-0000-0700-0000140A0000}"/>
    <hyperlink ref="C557" r:id="rId2582" xr:uid="{00000000-0004-0000-0700-0000150A0000}"/>
    <hyperlink ref="F557" r:id="rId2583" xr:uid="{00000000-0004-0000-0700-0000160A0000}"/>
    <hyperlink ref="G557" r:id="rId2584" xr:uid="{00000000-0004-0000-0700-0000170A0000}"/>
    <hyperlink ref="H557" r:id="rId2585" xr:uid="{00000000-0004-0000-0700-0000180A0000}"/>
    <hyperlink ref="I557" r:id="rId2586" xr:uid="{00000000-0004-0000-0700-0000190A0000}"/>
    <hyperlink ref="C558" r:id="rId2587" xr:uid="{00000000-0004-0000-0700-00001A0A0000}"/>
    <hyperlink ref="F558" r:id="rId2588" xr:uid="{00000000-0004-0000-0700-00001B0A0000}"/>
    <hyperlink ref="G558" r:id="rId2589" xr:uid="{00000000-0004-0000-0700-00001C0A0000}"/>
    <hyperlink ref="H558" r:id="rId2590" xr:uid="{00000000-0004-0000-0700-00001D0A0000}"/>
    <hyperlink ref="I558" r:id="rId2591" xr:uid="{00000000-0004-0000-0700-00001E0A0000}"/>
    <hyperlink ref="C559" r:id="rId2592" xr:uid="{00000000-0004-0000-0700-00001F0A0000}"/>
    <hyperlink ref="F559" r:id="rId2593" xr:uid="{00000000-0004-0000-0700-0000200A0000}"/>
    <hyperlink ref="G559" r:id="rId2594" xr:uid="{00000000-0004-0000-0700-0000210A0000}"/>
    <hyperlink ref="H559" r:id="rId2595" xr:uid="{00000000-0004-0000-0700-0000220A0000}"/>
    <hyperlink ref="I559" r:id="rId2596" xr:uid="{00000000-0004-0000-0700-0000230A0000}"/>
    <hyperlink ref="C560" r:id="rId2597" xr:uid="{00000000-0004-0000-0700-0000240A0000}"/>
    <hyperlink ref="F560" r:id="rId2598" xr:uid="{00000000-0004-0000-0700-0000250A0000}"/>
    <hyperlink ref="G560" r:id="rId2599" xr:uid="{00000000-0004-0000-0700-0000260A0000}"/>
    <hyperlink ref="H560" r:id="rId2600" xr:uid="{00000000-0004-0000-0700-0000270A0000}"/>
    <hyperlink ref="I560" r:id="rId2601" xr:uid="{00000000-0004-0000-0700-0000280A0000}"/>
    <hyperlink ref="C561" r:id="rId2602" xr:uid="{00000000-0004-0000-0700-0000290A0000}"/>
    <hyperlink ref="F561" r:id="rId2603" xr:uid="{00000000-0004-0000-0700-00002A0A0000}"/>
    <hyperlink ref="G561" r:id="rId2604" xr:uid="{00000000-0004-0000-0700-00002B0A0000}"/>
    <hyperlink ref="H561" r:id="rId2605" xr:uid="{00000000-0004-0000-0700-00002C0A0000}"/>
    <hyperlink ref="I561" r:id="rId2606" xr:uid="{00000000-0004-0000-0700-00002D0A0000}"/>
    <hyperlink ref="C562" r:id="rId2607" xr:uid="{00000000-0004-0000-0700-00002E0A0000}"/>
    <hyperlink ref="F562" r:id="rId2608" xr:uid="{00000000-0004-0000-0700-00002F0A0000}"/>
    <hyperlink ref="G562" r:id="rId2609" xr:uid="{00000000-0004-0000-0700-0000300A0000}"/>
    <hyperlink ref="H562" r:id="rId2610" xr:uid="{00000000-0004-0000-0700-0000310A0000}"/>
    <hyperlink ref="I562" r:id="rId2611" xr:uid="{00000000-0004-0000-0700-0000320A0000}"/>
    <hyperlink ref="C563" r:id="rId2612" xr:uid="{00000000-0004-0000-0700-0000330A0000}"/>
    <hyperlink ref="F563" r:id="rId2613" xr:uid="{00000000-0004-0000-0700-0000340A0000}"/>
    <hyperlink ref="G563" r:id="rId2614" xr:uid="{00000000-0004-0000-0700-0000350A0000}"/>
    <hyperlink ref="H563" r:id="rId2615" xr:uid="{00000000-0004-0000-0700-0000360A0000}"/>
    <hyperlink ref="I563" r:id="rId2616" xr:uid="{00000000-0004-0000-0700-0000370A0000}"/>
    <hyperlink ref="C564" r:id="rId2617" xr:uid="{00000000-0004-0000-0700-0000380A0000}"/>
    <hyperlink ref="F564" r:id="rId2618" xr:uid="{00000000-0004-0000-0700-0000390A0000}"/>
    <hyperlink ref="G564" r:id="rId2619" xr:uid="{00000000-0004-0000-0700-00003A0A0000}"/>
    <hyperlink ref="H564" r:id="rId2620" xr:uid="{00000000-0004-0000-0700-00003B0A0000}"/>
    <hyperlink ref="I564" r:id="rId2621" xr:uid="{00000000-0004-0000-0700-00003C0A0000}"/>
    <hyperlink ref="C565" r:id="rId2622" xr:uid="{00000000-0004-0000-0700-00003D0A0000}"/>
    <hyperlink ref="F565" r:id="rId2623" xr:uid="{00000000-0004-0000-0700-00003E0A0000}"/>
    <hyperlink ref="G565" r:id="rId2624" xr:uid="{00000000-0004-0000-0700-00003F0A0000}"/>
    <hyperlink ref="H565" r:id="rId2625" xr:uid="{00000000-0004-0000-0700-0000400A0000}"/>
    <hyperlink ref="I565" r:id="rId2626" xr:uid="{00000000-0004-0000-0700-0000410A0000}"/>
    <hyperlink ref="C566" r:id="rId2627" xr:uid="{00000000-0004-0000-0700-0000420A0000}"/>
    <hyperlink ref="F566" r:id="rId2628" xr:uid="{00000000-0004-0000-0700-0000430A0000}"/>
    <hyperlink ref="G566" r:id="rId2629" xr:uid="{00000000-0004-0000-0700-0000440A0000}"/>
    <hyperlink ref="H566" r:id="rId2630" xr:uid="{00000000-0004-0000-0700-0000450A0000}"/>
    <hyperlink ref="I566" r:id="rId2631" xr:uid="{00000000-0004-0000-0700-0000460A0000}"/>
    <hyperlink ref="C567" r:id="rId2632" xr:uid="{00000000-0004-0000-0700-0000470A0000}"/>
    <hyperlink ref="F567" r:id="rId2633" xr:uid="{00000000-0004-0000-0700-0000480A0000}"/>
    <hyperlink ref="G567" r:id="rId2634" xr:uid="{00000000-0004-0000-0700-0000490A0000}"/>
    <hyperlink ref="H567" r:id="rId2635" xr:uid="{00000000-0004-0000-0700-00004A0A0000}"/>
    <hyperlink ref="I567" r:id="rId2636" xr:uid="{00000000-0004-0000-0700-00004B0A0000}"/>
    <hyperlink ref="C568" r:id="rId2637" xr:uid="{00000000-0004-0000-0700-00004C0A0000}"/>
    <hyperlink ref="F568" r:id="rId2638" xr:uid="{00000000-0004-0000-0700-00004D0A0000}"/>
    <hyperlink ref="G568" r:id="rId2639" xr:uid="{00000000-0004-0000-0700-00004E0A0000}"/>
    <hyperlink ref="H568" r:id="rId2640" xr:uid="{00000000-0004-0000-0700-00004F0A0000}"/>
    <hyperlink ref="I568" r:id="rId2641" xr:uid="{00000000-0004-0000-0700-0000500A0000}"/>
    <hyperlink ref="C569" r:id="rId2642" xr:uid="{00000000-0004-0000-0700-0000510A0000}"/>
    <hyperlink ref="F569" r:id="rId2643" xr:uid="{00000000-0004-0000-0700-0000520A0000}"/>
    <hyperlink ref="G569" r:id="rId2644" xr:uid="{00000000-0004-0000-0700-0000530A0000}"/>
    <hyperlink ref="H569" r:id="rId2645" xr:uid="{00000000-0004-0000-0700-0000540A0000}"/>
    <hyperlink ref="I569" r:id="rId2646" xr:uid="{00000000-0004-0000-0700-0000550A0000}"/>
    <hyperlink ref="C570" r:id="rId2647" xr:uid="{00000000-0004-0000-0700-0000560A0000}"/>
    <hyperlink ref="F570" r:id="rId2648" xr:uid="{00000000-0004-0000-0700-0000570A0000}"/>
    <hyperlink ref="G570" r:id="rId2649" xr:uid="{00000000-0004-0000-0700-0000580A0000}"/>
    <hyperlink ref="H570" r:id="rId2650" xr:uid="{00000000-0004-0000-0700-0000590A0000}"/>
    <hyperlink ref="I570" r:id="rId2651" xr:uid="{00000000-0004-0000-0700-00005A0A0000}"/>
    <hyperlink ref="C571" r:id="rId2652" xr:uid="{00000000-0004-0000-0700-00005B0A0000}"/>
    <hyperlink ref="F571" r:id="rId2653" xr:uid="{00000000-0004-0000-0700-00005C0A0000}"/>
    <hyperlink ref="G571" r:id="rId2654" xr:uid="{00000000-0004-0000-0700-00005D0A0000}"/>
    <hyperlink ref="H571" r:id="rId2655" xr:uid="{00000000-0004-0000-0700-00005E0A0000}"/>
    <hyperlink ref="I571" r:id="rId2656" xr:uid="{00000000-0004-0000-0700-00005F0A0000}"/>
    <hyperlink ref="C572" r:id="rId2657" xr:uid="{00000000-0004-0000-0700-0000600A0000}"/>
    <hyperlink ref="F572" r:id="rId2658" xr:uid="{00000000-0004-0000-0700-0000610A0000}"/>
    <hyperlink ref="G572" r:id="rId2659" xr:uid="{00000000-0004-0000-0700-0000620A0000}"/>
    <hyperlink ref="H572" r:id="rId2660" xr:uid="{00000000-0004-0000-0700-0000630A0000}"/>
    <hyperlink ref="I572" r:id="rId2661" xr:uid="{00000000-0004-0000-0700-0000640A0000}"/>
    <hyperlink ref="C573" r:id="rId2662" xr:uid="{00000000-0004-0000-0700-0000650A0000}"/>
    <hyperlink ref="F573" r:id="rId2663" xr:uid="{00000000-0004-0000-0700-0000660A0000}"/>
    <hyperlink ref="G573" r:id="rId2664" xr:uid="{00000000-0004-0000-0700-0000670A0000}"/>
    <hyperlink ref="H573" r:id="rId2665" xr:uid="{00000000-0004-0000-0700-0000680A0000}"/>
    <hyperlink ref="I573" r:id="rId2666" xr:uid="{00000000-0004-0000-0700-0000690A0000}"/>
    <hyperlink ref="C574" r:id="rId2667" xr:uid="{00000000-0004-0000-0700-00006A0A0000}"/>
    <hyperlink ref="F574" r:id="rId2668" xr:uid="{00000000-0004-0000-0700-00006B0A0000}"/>
    <hyperlink ref="G574" r:id="rId2669" xr:uid="{00000000-0004-0000-0700-00006C0A0000}"/>
    <hyperlink ref="H574" r:id="rId2670" xr:uid="{00000000-0004-0000-0700-00006D0A0000}"/>
    <hyperlink ref="I574" r:id="rId2671" xr:uid="{00000000-0004-0000-0700-00006E0A0000}"/>
    <hyperlink ref="C575" r:id="rId2672" xr:uid="{00000000-0004-0000-0700-00006F0A0000}"/>
    <hyperlink ref="F575" r:id="rId2673" xr:uid="{00000000-0004-0000-0700-0000700A0000}"/>
    <hyperlink ref="G575" r:id="rId2674" xr:uid="{00000000-0004-0000-0700-0000710A0000}"/>
    <hyperlink ref="H575" r:id="rId2675" xr:uid="{00000000-0004-0000-0700-0000720A0000}"/>
    <hyperlink ref="I575" r:id="rId2676" xr:uid="{00000000-0004-0000-0700-0000730A0000}"/>
    <hyperlink ref="C576" r:id="rId2677" xr:uid="{00000000-0004-0000-0700-0000740A0000}"/>
    <hyperlink ref="F576" r:id="rId2678" xr:uid="{00000000-0004-0000-0700-0000750A0000}"/>
    <hyperlink ref="G576" r:id="rId2679" xr:uid="{00000000-0004-0000-0700-0000760A0000}"/>
    <hyperlink ref="H576" r:id="rId2680" xr:uid="{00000000-0004-0000-0700-0000770A0000}"/>
    <hyperlink ref="I576" r:id="rId2681" xr:uid="{00000000-0004-0000-0700-0000780A0000}"/>
    <hyperlink ref="C577" r:id="rId2682" xr:uid="{00000000-0004-0000-0700-0000790A0000}"/>
    <hyperlink ref="F577" r:id="rId2683" xr:uid="{00000000-0004-0000-0700-00007A0A0000}"/>
    <hyperlink ref="G577" r:id="rId2684" xr:uid="{00000000-0004-0000-0700-00007B0A0000}"/>
    <hyperlink ref="H577" r:id="rId2685" xr:uid="{00000000-0004-0000-0700-00007C0A0000}"/>
    <hyperlink ref="I577" r:id="rId2686" xr:uid="{00000000-0004-0000-0700-00007D0A0000}"/>
    <hyperlink ref="C578" r:id="rId2687" xr:uid="{00000000-0004-0000-0700-00007E0A0000}"/>
    <hyperlink ref="F578" r:id="rId2688" xr:uid="{00000000-0004-0000-0700-00007F0A0000}"/>
    <hyperlink ref="G578" r:id="rId2689" xr:uid="{00000000-0004-0000-0700-0000800A0000}"/>
    <hyperlink ref="H578" r:id="rId2690" xr:uid="{00000000-0004-0000-0700-0000810A0000}"/>
    <hyperlink ref="I578" r:id="rId2691" xr:uid="{00000000-0004-0000-0700-0000820A0000}"/>
    <hyperlink ref="C579" r:id="rId2692" xr:uid="{00000000-0004-0000-0700-0000830A0000}"/>
    <hyperlink ref="F579" r:id="rId2693" xr:uid="{00000000-0004-0000-0700-0000840A0000}"/>
    <hyperlink ref="G579" r:id="rId2694" xr:uid="{00000000-0004-0000-0700-0000850A0000}"/>
    <hyperlink ref="H579" r:id="rId2695" xr:uid="{00000000-0004-0000-0700-0000860A0000}"/>
    <hyperlink ref="I579" r:id="rId2696" xr:uid="{00000000-0004-0000-0700-0000870A0000}"/>
    <hyperlink ref="C580" r:id="rId2697" xr:uid="{00000000-0004-0000-0700-0000880A0000}"/>
    <hyperlink ref="F580" r:id="rId2698" xr:uid="{00000000-0004-0000-0700-0000890A0000}"/>
    <hyperlink ref="G580" r:id="rId2699" xr:uid="{00000000-0004-0000-0700-00008A0A0000}"/>
    <hyperlink ref="H580" r:id="rId2700" xr:uid="{00000000-0004-0000-0700-00008B0A0000}"/>
    <hyperlink ref="I580" r:id="rId2701" xr:uid="{00000000-0004-0000-0700-00008C0A0000}"/>
    <hyperlink ref="C581" r:id="rId2702" xr:uid="{00000000-0004-0000-0700-00008D0A0000}"/>
    <hyperlink ref="F581" r:id="rId2703" xr:uid="{00000000-0004-0000-0700-00008E0A0000}"/>
    <hyperlink ref="G581" r:id="rId2704" xr:uid="{00000000-0004-0000-0700-00008F0A0000}"/>
    <hyperlink ref="H581" r:id="rId2705" xr:uid="{00000000-0004-0000-0700-0000900A0000}"/>
    <hyperlink ref="I581" r:id="rId2706" xr:uid="{00000000-0004-0000-0700-0000910A0000}"/>
    <hyperlink ref="C582" r:id="rId2707" xr:uid="{00000000-0004-0000-0700-0000920A0000}"/>
    <hyperlink ref="F582" r:id="rId2708" xr:uid="{00000000-0004-0000-0700-0000930A0000}"/>
    <hyperlink ref="G582" r:id="rId2709" xr:uid="{00000000-0004-0000-0700-0000940A0000}"/>
    <hyperlink ref="H582" r:id="rId2710" xr:uid="{00000000-0004-0000-0700-0000950A0000}"/>
    <hyperlink ref="I582" r:id="rId2711" xr:uid="{00000000-0004-0000-0700-0000960A0000}"/>
    <hyperlink ref="C583" r:id="rId2712" xr:uid="{00000000-0004-0000-0700-0000970A0000}"/>
    <hyperlink ref="F583" r:id="rId2713" xr:uid="{00000000-0004-0000-0700-0000980A0000}"/>
    <hyperlink ref="G583" r:id="rId2714" xr:uid="{00000000-0004-0000-0700-0000990A0000}"/>
    <hyperlink ref="H583" r:id="rId2715" xr:uid="{00000000-0004-0000-0700-00009A0A0000}"/>
    <hyperlink ref="I583" r:id="rId2716" xr:uid="{00000000-0004-0000-0700-00009B0A0000}"/>
    <hyperlink ref="C584" r:id="rId2717" xr:uid="{00000000-0004-0000-0700-00009C0A0000}"/>
    <hyperlink ref="F584" r:id="rId2718" xr:uid="{00000000-0004-0000-0700-00009D0A0000}"/>
    <hyperlink ref="G584" r:id="rId2719" xr:uid="{00000000-0004-0000-0700-00009E0A0000}"/>
    <hyperlink ref="H584" r:id="rId2720" xr:uid="{00000000-0004-0000-0700-00009F0A0000}"/>
    <hyperlink ref="I584" r:id="rId2721" xr:uid="{00000000-0004-0000-0700-0000A00A0000}"/>
    <hyperlink ref="C585" r:id="rId2722" xr:uid="{00000000-0004-0000-0700-0000A10A0000}"/>
    <hyperlink ref="F585" r:id="rId2723" xr:uid="{00000000-0004-0000-0700-0000A20A0000}"/>
    <hyperlink ref="G585" r:id="rId2724" xr:uid="{00000000-0004-0000-0700-0000A30A0000}"/>
    <hyperlink ref="H585" r:id="rId2725" xr:uid="{00000000-0004-0000-0700-0000A40A0000}"/>
    <hyperlink ref="I585" r:id="rId2726" xr:uid="{00000000-0004-0000-0700-0000A50A0000}"/>
    <hyperlink ref="C586" r:id="rId2727" xr:uid="{00000000-0004-0000-0700-0000A60A0000}"/>
    <hyperlink ref="F586" r:id="rId2728" xr:uid="{00000000-0004-0000-0700-0000A70A0000}"/>
    <hyperlink ref="G586" r:id="rId2729" xr:uid="{00000000-0004-0000-0700-0000A80A0000}"/>
    <hyperlink ref="H586" r:id="rId2730" xr:uid="{00000000-0004-0000-0700-0000A90A0000}"/>
    <hyperlink ref="I586" r:id="rId2731" xr:uid="{00000000-0004-0000-0700-0000AA0A0000}"/>
    <hyperlink ref="C587" r:id="rId2732" xr:uid="{00000000-0004-0000-0700-0000AB0A0000}"/>
    <hyperlink ref="F587" r:id="rId2733" xr:uid="{00000000-0004-0000-0700-0000AC0A0000}"/>
    <hyperlink ref="G587" r:id="rId2734" xr:uid="{00000000-0004-0000-0700-0000AD0A0000}"/>
    <hyperlink ref="H587" r:id="rId2735" xr:uid="{00000000-0004-0000-0700-0000AE0A0000}"/>
    <hyperlink ref="I587" r:id="rId2736" xr:uid="{00000000-0004-0000-0700-0000AF0A0000}"/>
    <hyperlink ref="C588" r:id="rId2737" xr:uid="{00000000-0004-0000-0700-0000B00A0000}"/>
    <hyperlink ref="F588" r:id="rId2738" xr:uid="{00000000-0004-0000-0700-0000B10A0000}"/>
    <hyperlink ref="G588" r:id="rId2739" xr:uid="{00000000-0004-0000-0700-0000B20A0000}"/>
    <hyperlink ref="H588" r:id="rId2740" xr:uid="{00000000-0004-0000-0700-0000B30A0000}"/>
    <hyperlink ref="I588" r:id="rId2741" xr:uid="{00000000-0004-0000-0700-0000B40A0000}"/>
    <hyperlink ref="C589" r:id="rId2742" xr:uid="{00000000-0004-0000-0700-0000B50A0000}"/>
    <hyperlink ref="F589" r:id="rId2743" xr:uid="{00000000-0004-0000-0700-0000B60A0000}"/>
    <hyperlink ref="G589" r:id="rId2744" xr:uid="{00000000-0004-0000-0700-0000B70A0000}"/>
    <hyperlink ref="H589" r:id="rId2745" xr:uid="{00000000-0004-0000-0700-0000B80A0000}"/>
    <hyperlink ref="I589" r:id="rId2746" xr:uid="{00000000-0004-0000-0700-0000B90A0000}"/>
    <hyperlink ref="F590" r:id="rId2747" xr:uid="{00000000-0004-0000-0700-0000BA0A0000}"/>
    <hyperlink ref="G590" r:id="rId2748" xr:uid="{00000000-0004-0000-0700-0000BB0A0000}"/>
    <hyperlink ref="H590" r:id="rId2749" xr:uid="{00000000-0004-0000-0700-0000BC0A0000}"/>
    <hyperlink ref="I590" r:id="rId2750" xr:uid="{00000000-0004-0000-0700-0000BD0A0000}"/>
    <hyperlink ref="F591" r:id="rId2751" xr:uid="{00000000-0004-0000-0700-0000BE0A0000}"/>
    <hyperlink ref="G591" r:id="rId2752" xr:uid="{00000000-0004-0000-0700-0000BF0A0000}"/>
    <hyperlink ref="H591" r:id="rId2753" xr:uid="{00000000-0004-0000-0700-0000C00A0000}"/>
    <hyperlink ref="I591" r:id="rId2754" xr:uid="{00000000-0004-0000-0700-0000C10A0000}"/>
    <hyperlink ref="C592" r:id="rId2755" xr:uid="{00000000-0004-0000-0700-0000C20A0000}"/>
    <hyperlink ref="F592" r:id="rId2756" xr:uid="{00000000-0004-0000-0700-0000C30A0000}"/>
    <hyperlink ref="G592" r:id="rId2757" xr:uid="{00000000-0004-0000-0700-0000C40A0000}"/>
    <hyperlink ref="H592" r:id="rId2758" xr:uid="{00000000-0004-0000-0700-0000C50A0000}"/>
    <hyperlink ref="I592" r:id="rId2759" xr:uid="{00000000-0004-0000-0700-0000C60A0000}"/>
    <hyperlink ref="C593" r:id="rId2760" xr:uid="{00000000-0004-0000-0700-0000C70A0000}"/>
    <hyperlink ref="F593" r:id="rId2761" xr:uid="{00000000-0004-0000-0700-0000C80A0000}"/>
    <hyperlink ref="G593" r:id="rId2762" xr:uid="{00000000-0004-0000-0700-0000C90A0000}"/>
    <hyperlink ref="H593" r:id="rId2763" xr:uid="{00000000-0004-0000-0700-0000CA0A0000}"/>
    <hyperlink ref="I593" r:id="rId2764" xr:uid="{00000000-0004-0000-0700-0000CB0A0000}"/>
    <hyperlink ref="C594" r:id="rId2765" xr:uid="{00000000-0004-0000-0700-0000CC0A0000}"/>
    <hyperlink ref="F594" r:id="rId2766" xr:uid="{00000000-0004-0000-0700-0000CD0A0000}"/>
    <hyperlink ref="G594" r:id="rId2767" xr:uid="{00000000-0004-0000-0700-0000CE0A0000}"/>
    <hyperlink ref="H594" r:id="rId2768" xr:uid="{00000000-0004-0000-0700-0000CF0A0000}"/>
    <hyperlink ref="I594" r:id="rId2769" xr:uid="{00000000-0004-0000-0700-0000D00A0000}"/>
    <hyperlink ref="C595" r:id="rId2770" xr:uid="{00000000-0004-0000-0700-0000D10A0000}"/>
    <hyperlink ref="F595" r:id="rId2771" xr:uid="{00000000-0004-0000-0700-0000D20A0000}"/>
    <hyperlink ref="G595" r:id="rId2772" xr:uid="{00000000-0004-0000-0700-0000D30A0000}"/>
    <hyperlink ref="H595" r:id="rId2773" xr:uid="{00000000-0004-0000-0700-0000D40A0000}"/>
    <hyperlink ref="I595" r:id="rId2774" xr:uid="{00000000-0004-0000-0700-0000D50A0000}"/>
    <hyperlink ref="C596" r:id="rId2775" xr:uid="{00000000-0004-0000-0700-0000D60A0000}"/>
    <hyperlink ref="F596" r:id="rId2776" xr:uid="{00000000-0004-0000-0700-0000D70A0000}"/>
    <hyperlink ref="G596" r:id="rId2777" xr:uid="{00000000-0004-0000-0700-0000D80A0000}"/>
    <hyperlink ref="H596" r:id="rId2778" xr:uid="{00000000-0004-0000-0700-0000D90A0000}"/>
    <hyperlink ref="I596" r:id="rId2779" xr:uid="{00000000-0004-0000-0700-0000DA0A0000}"/>
    <hyperlink ref="C597" r:id="rId2780" xr:uid="{00000000-0004-0000-0700-0000DB0A0000}"/>
    <hyperlink ref="F597" r:id="rId2781" xr:uid="{00000000-0004-0000-0700-0000DC0A0000}"/>
    <hyperlink ref="G597" r:id="rId2782" xr:uid="{00000000-0004-0000-0700-0000DD0A0000}"/>
    <hyperlink ref="H597" r:id="rId2783" xr:uid="{00000000-0004-0000-0700-0000DE0A0000}"/>
    <hyperlink ref="I597" r:id="rId2784" xr:uid="{00000000-0004-0000-0700-0000DF0A0000}"/>
    <hyperlink ref="C598" r:id="rId2785" xr:uid="{00000000-0004-0000-0700-0000E00A0000}"/>
    <hyperlink ref="F598" r:id="rId2786" xr:uid="{00000000-0004-0000-0700-0000E10A0000}"/>
    <hyperlink ref="G598" r:id="rId2787" xr:uid="{00000000-0004-0000-0700-0000E20A0000}"/>
    <hyperlink ref="H598" r:id="rId2788" xr:uid="{00000000-0004-0000-0700-0000E30A0000}"/>
    <hyperlink ref="I598" r:id="rId2789" xr:uid="{00000000-0004-0000-0700-0000E40A0000}"/>
    <hyperlink ref="C599" r:id="rId2790" xr:uid="{00000000-0004-0000-0700-0000E50A0000}"/>
    <hyperlink ref="F599" r:id="rId2791" xr:uid="{00000000-0004-0000-0700-0000E60A0000}"/>
    <hyperlink ref="G599" r:id="rId2792" xr:uid="{00000000-0004-0000-0700-0000E70A0000}"/>
    <hyperlink ref="H599" r:id="rId2793" xr:uid="{00000000-0004-0000-0700-0000E80A0000}"/>
    <hyperlink ref="I599" r:id="rId2794" xr:uid="{00000000-0004-0000-0700-0000E90A0000}"/>
    <hyperlink ref="C600" r:id="rId2795" xr:uid="{00000000-0004-0000-0700-0000EA0A0000}"/>
    <hyperlink ref="F600" r:id="rId2796" xr:uid="{00000000-0004-0000-0700-0000EB0A0000}"/>
    <hyperlink ref="G600" r:id="rId2797" xr:uid="{00000000-0004-0000-0700-0000EC0A0000}"/>
    <hyperlink ref="H600" r:id="rId2798" xr:uid="{00000000-0004-0000-0700-0000ED0A0000}"/>
    <hyperlink ref="I600" r:id="rId2799" xr:uid="{00000000-0004-0000-0700-0000EE0A0000}"/>
    <hyperlink ref="C601" r:id="rId2800" xr:uid="{00000000-0004-0000-0700-0000EF0A0000}"/>
    <hyperlink ref="F601" r:id="rId2801" xr:uid="{00000000-0004-0000-0700-0000F00A0000}"/>
    <hyperlink ref="G601" r:id="rId2802" xr:uid="{00000000-0004-0000-0700-0000F10A0000}"/>
    <hyperlink ref="H601" r:id="rId2803" xr:uid="{00000000-0004-0000-0700-0000F20A0000}"/>
    <hyperlink ref="I601" r:id="rId2804" xr:uid="{00000000-0004-0000-0700-0000F30A0000}"/>
    <hyperlink ref="C602" r:id="rId2805" xr:uid="{00000000-0004-0000-0700-0000F40A0000}"/>
    <hyperlink ref="F602" r:id="rId2806" xr:uid="{00000000-0004-0000-0700-0000F50A0000}"/>
    <hyperlink ref="G602" r:id="rId2807" xr:uid="{00000000-0004-0000-0700-0000F60A0000}"/>
    <hyperlink ref="H602" r:id="rId2808" xr:uid="{00000000-0004-0000-0700-0000F70A0000}"/>
    <hyperlink ref="I602" r:id="rId2809" xr:uid="{00000000-0004-0000-0700-0000F80A0000}"/>
    <hyperlink ref="C603" r:id="rId2810" xr:uid="{00000000-0004-0000-0700-0000F90A0000}"/>
    <hyperlink ref="F603" r:id="rId2811" xr:uid="{00000000-0004-0000-0700-0000FA0A0000}"/>
    <hyperlink ref="G603" r:id="rId2812" xr:uid="{00000000-0004-0000-0700-0000FB0A0000}"/>
    <hyperlink ref="H603" r:id="rId2813" xr:uid="{00000000-0004-0000-0700-0000FC0A0000}"/>
    <hyperlink ref="I603" r:id="rId2814" xr:uid="{00000000-0004-0000-0700-0000FD0A0000}"/>
    <hyperlink ref="C604" r:id="rId2815" xr:uid="{00000000-0004-0000-0700-0000FE0A0000}"/>
    <hyperlink ref="F604" r:id="rId2816" xr:uid="{00000000-0004-0000-0700-0000FF0A0000}"/>
    <hyperlink ref="G604" r:id="rId2817" xr:uid="{00000000-0004-0000-0700-0000000B0000}"/>
    <hyperlink ref="H604" r:id="rId2818" xr:uid="{00000000-0004-0000-0700-0000010B0000}"/>
    <hyperlink ref="I604" r:id="rId2819" xr:uid="{00000000-0004-0000-0700-0000020B0000}"/>
    <hyperlink ref="C605" r:id="rId2820" xr:uid="{00000000-0004-0000-0700-0000030B0000}"/>
    <hyperlink ref="F605" r:id="rId2821" xr:uid="{00000000-0004-0000-0700-0000040B0000}"/>
    <hyperlink ref="G605" r:id="rId2822" xr:uid="{00000000-0004-0000-0700-0000050B0000}"/>
    <hyperlink ref="H605" r:id="rId2823" xr:uid="{00000000-0004-0000-0700-0000060B0000}"/>
    <hyperlink ref="I605" r:id="rId2824" xr:uid="{00000000-0004-0000-0700-0000070B0000}"/>
    <hyperlink ref="C606" r:id="rId2825" xr:uid="{00000000-0004-0000-0700-0000080B0000}"/>
    <hyperlink ref="F606" r:id="rId2826" xr:uid="{00000000-0004-0000-0700-0000090B0000}"/>
    <hyperlink ref="G606" r:id="rId2827" xr:uid="{00000000-0004-0000-0700-00000A0B0000}"/>
    <hyperlink ref="H606" r:id="rId2828" xr:uid="{00000000-0004-0000-0700-00000B0B0000}"/>
    <hyperlink ref="I606" r:id="rId2829" xr:uid="{00000000-0004-0000-0700-00000C0B0000}"/>
    <hyperlink ref="C607" r:id="rId2830" xr:uid="{00000000-0004-0000-0700-00000D0B0000}"/>
    <hyperlink ref="F607" r:id="rId2831" xr:uid="{00000000-0004-0000-0700-00000E0B0000}"/>
    <hyperlink ref="G607" r:id="rId2832" xr:uid="{00000000-0004-0000-0700-00000F0B0000}"/>
    <hyperlink ref="H607" r:id="rId2833" xr:uid="{00000000-0004-0000-0700-0000100B0000}"/>
    <hyperlink ref="I607" r:id="rId2834" xr:uid="{00000000-0004-0000-0700-0000110B0000}"/>
    <hyperlink ref="C608" r:id="rId2835" xr:uid="{00000000-0004-0000-0700-0000120B0000}"/>
    <hyperlink ref="F608" r:id="rId2836" xr:uid="{00000000-0004-0000-0700-0000130B0000}"/>
    <hyperlink ref="G608" r:id="rId2837" xr:uid="{00000000-0004-0000-0700-0000140B0000}"/>
    <hyperlink ref="H608" r:id="rId2838" xr:uid="{00000000-0004-0000-0700-0000150B0000}"/>
    <hyperlink ref="I608" r:id="rId2839" xr:uid="{00000000-0004-0000-0700-0000160B0000}"/>
    <hyperlink ref="C609" r:id="rId2840" xr:uid="{00000000-0004-0000-0700-0000170B0000}"/>
    <hyperlink ref="F609" r:id="rId2841" xr:uid="{00000000-0004-0000-0700-0000180B0000}"/>
    <hyperlink ref="G609" r:id="rId2842" xr:uid="{00000000-0004-0000-0700-0000190B0000}"/>
    <hyperlink ref="H609" r:id="rId2843" xr:uid="{00000000-0004-0000-0700-00001A0B0000}"/>
    <hyperlink ref="I609" r:id="rId2844" xr:uid="{00000000-0004-0000-0700-00001B0B0000}"/>
    <hyperlink ref="C610" r:id="rId2845" xr:uid="{00000000-0004-0000-0700-00001C0B0000}"/>
    <hyperlink ref="F610" r:id="rId2846" xr:uid="{00000000-0004-0000-0700-00001D0B0000}"/>
    <hyperlink ref="G610" r:id="rId2847" xr:uid="{00000000-0004-0000-0700-00001E0B0000}"/>
    <hyperlink ref="H610" r:id="rId2848" xr:uid="{00000000-0004-0000-0700-00001F0B0000}"/>
    <hyperlink ref="I610" r:id="rId2849" xr:uid="{00000000-0004-0000-0700-0000200B0000}"/>
    <hyperlink ref="C611" r:id="rId2850" xr:uid="{00000000-0004-0000-0700-0000210B0000}"/>
    <hyperlink ref="F611" r:id="rId2851" xr:uid="{00000000-0004-0000-0700-0000220B0000}"/>
    <hyperlink ref="G611" r:id="rId2852" xr:uid="{00000000-0004-0000-0700-0000230B0000}"/>
    <hyperlink ref="H611" r:id="rId2853" xr:uid="{00000000-0004-0000-0700-0000240B0000}"/>
    <hyperlink ref="I611" r:id="rId2854" xr:uid="{00000000-0004-0000-0700-0000250B0000}"/>
    <hyperlink ref="C612" r:id="rId2855" xr:uid="{00000000-0004-0000-0700-0000260B0000}"/>
    <hyperlink ref="F612" r:id="rId2856" xr:uid="{00000000-0004-0000-0700-0000270B0000}"/>
    <hyperlink ref="G612" r:id="rId2857" xr:uid="{00000000-0004-0000-0700-0000280B0000}"/>
    <hyperlink ref="H612" r:id="rId2858" xr:uid="{00000000-0004-0000-0700-0000290B0000}"/>
    <hyperlink ref="I612" r:id="rId2859" xr:uid="{00000000-0004-0000-0700-00002A0B0000}"/>
    <hyperlink ref="C613" r:id="rId2860" xr:uid="{00000000-0004-0000-0700-00002B0B0000}"/>
    <hyperlink ref="F613" r:id="rId2861" xr:uid="{00000000-0004-0000-0700-00002C0B0000}"/>
    <hyperlink ref="G613" r:id="rId2862" xr:uid="{00000000-0004-0000-0700-00002D0B0000}"/>
    <hyperlink ref="H613" r:id="rId2863" xr:uid="{00000000-0004-0000-0700-00002E0B0000}"/>
    <hyperlink ref="I613" r:id="rId2864" xr:uid="{00000000-0004-0000-0700-00002F0B0000}"/>
    <hyperlink ref="C614" r:id="rId2865" xr:uid="{00000000-0004-0000-0700-0000300B0000}"/>
    <hyperlink ref="F614" r:id="rId2866" xr:uid="{00000000-0004-0000-0700-0000310B0000}"/>
    <hyperlink ref="G614" r:id="rId2867" xr:uid="{00000000-0004-0000-0700-0000320B0000}"/>
    <hyperlink ref="H614" r:id="rId2868" xr:uid="{00000000-0004-0000-0700-0000330B0000}"/>
    <hyperlink ref="I614" r:id="rId2869" xr:uid="{00000000-0004-0000-0700-0000340B0000}"/>
    <hyperlink ref="C615" r:id="rId2870" xr:uid="{00000000-0004-0000-0700-0000350B0000}"/>
    <hyperlink ref="F615" r:id="rId2871" xr:uid="{00000000-0004-0000-0700-0000360B0000}"/>
    <hyperlink ref="G615" r:id="rId2872" xr:uid="{00000000-0004-0000-0700-0000370B0000}"/>
    <hyperlink ref="H615" r:id="rId2873" xr:uid="{00000000-0004-0000-0700-0000380B0000}"/>
    <hyperlink ref="I615" r:id="rId2874" xr:uid="{00000000-0004-0000-0700-0000390B0000}"/>
    <hyperlink ref="C616" r:id="rId2875" xr:uid="{00000000-0004-0000-0700-00003A0B0000}"/>
    <hyperlink ref="F616" r:id="rId2876" xr:uid="{00000000-0004-0000-0700-00003B0B0000}"/>
    <hyperlink ref="G616" r:id="rId2877" xr:uid="{00000000-0004-0000-0700-00003C0B0000}"/>
    <hyperlink ref="H616" r:id="rId2878" xr:uid="{00000000-0004-0000-0700-00003D0B0000}"/>
    <hyperlink ref="I616" r:id="rId2879" xr:uid="{00000000-0004-0000-0700-00003E0B0000}"/>
    <hyperlink ref="C617" r:id="rId2880" xr:uid="{00000000-0004-0000-0700-00003F0B0000}"/>
    <hyperlink ref="F617" r:id="rId2881" xr:uid="{00000000-0004-0000-0700-0000400B0000}"/>
    <hyperlink ref="G617" r:id="rId2882" xr:uid="{00000000-0004-0000-0700-0000410B0000}"/>
    <hyperlink ref="H617" r:id="rId2883" xr:uid="{00000000-0004-0000-0700-0000420B0000}"/>
    <hyperlink ref="I617" r:id="rId2884" xr:uid="{00000000-0004-0000-0700-0000430B0000}"/>
    <hyperlink ref="C618" r:id="rId2885" xr:uid="{00000000-0004-0000-0700-0000440B0000}"/>
    <hyperlink ref="F618" r:id="rId2886" xr:uid="{00000000-0004-0000-0700-0000450B0000}"/>
    <hyperlink ref="G618" r:id="rId2887" xr:uid="{00000000-0004-0000-0700-0000460B0000}"/>
    <hyperlink ref="H618" r:id="rId2888" xr:uid="{00000000-0004-0000-0700-0000470B0000}"/>
    <hyperlink ref="I618" r:id="rId2889" xr:uid="{00000000-0004-0000-0700-0000480B0000}"/>
    <hyperlink ref="C619" r:id="rId2890" xr:uid="{00000000-0004-0000-0700-0000490B0000}"/>
    <hyperlink ref="F619" r:id="rId2891" xr:uid="{00000000-0004-0000-0700-00004A0B0000}"/>
    <hyperlink ref="G619" r:id="rId2892" xr:uid="{00000000-0004-0000-0700-00004B0B0000}"/>
    <hyperlink ref="H619" r:id="rId2893" xr:uid="{00000000-0004-0000-0700-00004C0B0000}"/>
    <hyperlink ref="I619" r:id="rId2894" xr:uid="{00000000-0004-0000-0700-00004D0B0000}"/>
    <hyperlink ref="C620" r:id="rId2895" xr:uid="{00000000-0004-0000-0700-00004E0B0000}"/>
    <hyperlink ref="F620" r:id="rId2896" xr:uid="{00000000-0004-0000-0700-00004F0B0000}"/>
    <hyperlink ref="G620" r:id="rId2897" xr:uid="{00000000-0004-0000-0700-0000500B0000}"/>
    <hyperlink ref="H620" r:id="rId2898" xr:uid="{00000000-0004-0000-0700-0000510B0000}"/>
    <hyperlink ref="I620" r:id="rId2899" xr:uid="{00000000-0004-0000-0700-0000520B0000}"/>
    <hyperlink ref="C621" r:id="rId2900" xr:uid="{00000000-0004-0000-0700-0000530B0000}"/>
    <hyperlink ref="F621" r:id="rId2901" xr:uid="{00000000-0004-0000-0700-0000540B0000}"/>
    <hyperlink ref="G621" r:id="rId2902" xr:uid="{00000000-0004-0000-0700-0000550B0000}"/>
    <hyperlink ref="H621" r:id="rId2903" xr:uid="{00000000-0004-0000-0700-0000560B0000}"/>
    <hyperlink ref="I621" r:id="rId2904" xr:uid="{00000000-0004-0000-0700-0000570B0000}"/>
    <hyperlink ref="C622" r:id="rId2905" xr:uid="{00000000-0004-0000-0700-0000580B0000}"/>
    <hyperlink ref="F622" r:id="rId2906" xr:uid="{00000000-0004-0000-0700-0000590B0000}"/>
    <hyperlink ref="G622" r:id="rId2907" xr:uid="{00000000-0004-0000-0700-00005A0B0000}"/>
    <hyperlink ref="H622" r:id="rId2908" xr:uid="{00000000-0004-0000-0700-00005B0B0000}"/>
    <hyperlink ref="I622" r:id="rId2909" xr:uid="{00000000-0004-0000-0700-00005C0B0000}"/>
    <hyperlink ref="F623" r:id="rId2910" xr:uid="{00000000-0004-0000-0700-00005D0B0000}"/>
    <hyperlink ref="G623" r:id="rId2911" xr:uid="{00000000-0004-0000-0700-00005E0B0000}"/>
    <hyperlink ref="H623" r:id="rId2912" xr:uid="{00000000-0004-0000-0700-00005F0B0000}"/>
    <hyperlink ref="I623" r:id="rId2913" xr:uid="{00000000-0004-0000-0700-0000600B0000}"/>
    <hyperlink ref="C624" r:id="rId2914" xr:uid="{00000000-0004-0000-0700-0000610B0000}"/>
    <hyperlink ref="F624" r:id="rId2915" xr:uid="{00000000-0004-0000-0700-0000620B0000}"/>
    <hyperlink ref="G624" r:id="rId2916" xr:uid="{00000000-0004-0000-0700-0000630B0000}"/>
    <hyperlink ref="H624" r:id="rId2917" xr:uid="{00000000-0004-0000-0700-0000640B0000}"/>
    <hyperlink ref="I624" r:id="rId2918" xr:uid="{00000000-0004-0000-0700-0000650B0000}"/>
    <hyperlink ref="C625" r:id="rId2919" xr:uid="{00000000-0004-0000-0700-0000660B0000}"/>
    <hyperlink ref="F625" r:id="rId2920" xr:uid="{00000000-0004-0000-0700-0000670B0000}"/>
    <hyperlink ref="G625" r:id="rId2921" xr:uid="{00000000-0004-0000-0700-0000680B0000}"/>
    <hyperlink ref="H625" r:id="rId2922" xr:uid="{00000000-0004-0000-0700-0000690B0000}"/>
    <hyperlink ref="I625" r:id="rId2923" xr:uid="{00000000-0004-0000-0700-00006A0B0000}"/>
    <hyperlink ref="C626" r:id="rId2924" xr:uid="{00000000-0004-0000-0700-00006B0B0000}"/>
    <hyperlink ref="F626" r:id="rId2925" xr:uid="{00000000-0004-0000-0700-00006C0B0000}"/>
    <hyperlink ref="G626" r:id="rId2926" xr:uid="{00000000-0004-0000-0700-00006D0B0000}"/>
    <hyperlink ref="H626" r:id="rId2927" xr:uid="{00000000-0004-0000-0700-00006E0B0000}"/>
    <hyperlink ref="I626" r:id="rId2928" xr:uid="{00000000-0004-0000-0700-00006F0B0000}"/>
    <hyperlink ref="C627" r:id="rId2929" xr:uid="{00000000-0004-0000-0700-0000700B0000}"/>
    <hyperlink ref="F627" r:id="rId2930" xr:uid="{00000000-0004-0000-0700-0000710B0000}"/>
    <hyperlink ref="G627" r:id="rId2931" xr:uid="{00000000-0004-0000-0700-0000720B0000}"/>
    <hyperlink ref="H627" r:id="rId2932" xr:uid="{00000000-0004-0000-0700-0000730B0000}"/>
    <hyperlink ref="I627" r:id="rId2933" xr:uid="{00000000-0004-0000-0700-0000740B0000}"/>
    <hyperlink ref="C628" r:id="rId2934" xr:uid="{00000000-0004-0000-0700-0000750B0000}"/>
    <hyperlink ref="F628" r:id="rId2935" xr:uid="{00000000-0004-0000-0700-0000760B0000}"/>
    <hyperlink ref="G628" r:id="rId2936" xr:uid="{00000000-0004-0000-0700-0000770B0000}"/>
    <hyperlink ref="H628" r:id="rId2937" xr:uid="{00000000-0004-0000-0700-0000780B0000}"/>
    <hyperlink ref="I628" r:id="rId2938" xr:uid="{00000000-0004-0000-0700-0000790B0000}"/>
    <hyperlink ref="C629" r:id="rId2939" xr:uid="{00000000-0004-0000-0700-00007A0B0000}"/>
    <hyperlink ref="F629" r:id="rId2940" xr:uid="{00000000-0004-0000-0700-00007B0B0000}"/>
    <hyperlink ref="G629" r:id="rId2941" xr:uid="{00000000-0004-0000-0700-00007C0B0000}"/>
    <hyperlink ref="H629" r:id="rId2942" xr:uid="{00000000-0004-0000-0700-00007D0B0000}"/>
    <hyperlink ref="I629" r:id="rId2943" xr:uid="{00000000-0004-0000-0700-00007E0B0000}"/>
    <hyperlink ref="C630" r:id="rId2944" xr:uid="{00000000-0004-0000-0700-00007F0B0000}"/>
    <hyperlink ref="F630" r:id="rId2945" xr:uid="{00000000-0004-0000-0700-0000800B0000}"/>
    <hyperlink ref="G630" r:id="rId2946" xr:uid="{00000000-0004-0000-0700-0000810B0000}"/>
    <hyperlink ref="H630" r:id="rId2947" xr:uid="{00000000-0004-0000-0700-0000820B0000}"/>
    <hyperlink ref="I630" r:id="rId2948" xr:uid="{00000000-0004-0000-0700-0000830B0000}"/>
    <hyperlink ref="C631" r:id="rId2949" xr:uid="{00000000-0004-0000-0700-0000840B0000}"/>
    <hyperlink ref="F631" r:id="rId2950" xr:uid="{00000000-0004-0000-0700-0000850B0000}"/>
    <hyperlink ref="G631" r:id="rId2951" xr:uid="{00000000-0004-0000-0700-0000860B0000}"/>
    <hyperlink ref="H631" r:id="rId2952" xr:uid="{00000000-0004-0000-0700-0000870B0000}"/>
    <hyperlink ref="I631" r:id="rId2953" xr:uid="{00000000-0004-0000-0700-0000880B0000}"/>
    <hyperlink ref="C632" r:id="rId2954" xr:uid="{00000000-0004-0000-0700-0000890B0000}"/>
    <hyperlink ref="F632" r:id="rId2955" xr:uid="{00000000-0004-0000-0700-00008A0B0000}"/>
    <hyperlink ref="G632" r:id="rId2956" xr:uid="{00000000-0004-0000-0700-00008B0B0000}"/>
    <hyperlink ref="H632" r:id="rId2957" xr:uid="{00000000-0004-0000-0700-00008C0B0000}"/>
    <hyperlink ref="I632" r:id="rId2958" xr:uid="{00000000-0004-0000-0700-00008D0B0000}"/>
    <hyperlink ref="C633" r:id="rId2959" xr:uid="{00000000-0004-0000-0700-00008E0B0000}"/>
    <hyperlink ref="F633" r:id="rId2960" xr:uid="{00000000-0004-0000-0700-00008F0B0000}"/>
    <hyperlink ref="G633" r:id="rId2961" xr:uid="{00000000-0004-0000-0700-0000900B0000}"/>
    <hyperlink ref="H633" r:id="rId2962" xr:uid="{00000000-0004-0000-0700-0000910B0000}"/>
    <hyperlink ref="I633" r:id="rId2963" xr:uid="{00000000-0004-0000-0700-0000920B0000}"/>
    <hyperlink ref="C634" r:id="rId2964" xr:uid="{00000000-0004-0000-0700-0000930B0000}"/>
    <hyperlink ref="F634" r:id="rId2965" xr:uid="{00000000-0004-0000-0700-0000940B0000}"/>
    <hyperlink ref="G634" r:id="rId2966" xr:uid="{00000000-0004-0000-0700-0000950B0000}"/>
    <hyperlink ref="H634" r:id="rId2967" xr:uid="{00000000-0004-0000-0700-0000960B0000}"/>
    <hyperlink ref="I634" r:id="rId2968" xr:uid="{00000000-0004-0000-0700-0000970B0000}"/>
    <hyperlink ref="C635" r:id="rId2969" xr:uid="{00000000-0004-0000-0700-0000980B0000}"/>
    <hyperlink ref="F635" r:id="rId2970" xr:uid="{00000000-0004-0000-0700-0000990B0000}"/>
    <hyperlink ref="G635" r:id="rId2971" xr:uid="{00000000-0004-0000-0700-00009A0B0000}"/>
    <hyperlink ref="H635" r:id="rId2972" xr:uid="{00000000-0004-0000-0700-00009B0B0000}"/>
    <hyperlink ref="I635" r:id="rId2973" xr:uid="{00000000-0004-0000-0700-00009C0B0000}"/>
    <hyperlink ref="C636" r:id="rId2974" xr:uid="{00000000-0004-0000-0700-00009D0B0000}"/>
    <hyperlink ref="F636" r:id="rId2975" xr:uid="{00000000-0004-0000-0700-00009E0B0000}"/>
    <hyperlink ref="G636" r:id="rId2976" xr:uid="{00000000-0004-0000-0700-00009F0B0000}"/>
    <hyperlink ref="H636" r:id="rId2977" xr:uid="{00000000-0004-0000-0700-0000A00B0000}"/>
    <hyperlink ref="I636" r:id="rId2978" xr:uid="{00000000-0004-0000-0700-0000A10B0000}"/>
    <hyperlink ref="C637" r:id="rId2979" xr:uid="{00000000-0004-0000-0700-0000A20B0000}"/>
    <hyperlink ref="F637" r:id="rId2980" xr:uid="{00000000-0004-0000-0700-0000A30B0000}"/>
    <hyperlink ref="G637" r:id="rId2981" xr:uid="{00000000-0004-0000-0700-0000A40B0000}"/>
    <hyperlink ref="H637" r:id="rId2982" xr:uid="{00000000-0004-0000-0700-0000A50B0000}"/>
    <hyperlink ref="I637" r:id="rId2983" xr:uid="{00000000-0004-0000-0700-0000A60B0000}"/>
    <hyperlink ref="C638" r:id="rId2984" xr:uid="{00000000-0004-0000-0700-0000A70B0000}"/>
    <hyperlink ref="F638" r:id="rId2985" xr:uid="{00000000-0004-0000-0700-0000A80B0000}"/>
    <hyperlink ref="G638" r:id="rId2986" xr:uid="{00000000-0004-0000-0700-0000A90B0000}"/>
    <hyperlink ref="H638" r:id="rId2987" xr:uid="{00000000-0004-0000-0700-0000AA0B0000}"/>
    <hyperlink ref="I638" r:id="rId2988" xr:uid="{00000000-0004-0000-0700-0000AB0B0000}"/>
    <hyperlink ref="C639" r:id="rId2989" xr:uid="{00000000-0004-0000-0700-0000AC0B0000}"/>
    <hyperlink ref="F639" r:id="rId2990" xr:uid="{00000000-0004-0000-0700-0000AD0B0000}"/>
    <hyperlink ref="G639" r:id="rId2991" xr:uid="{00000000-0004-0000-0700-0000AE0B0000}"/>
    <hyperlink ref="H639" r:id="rId2992" xr:uid="{00000000-0004-0000-0700-0000AF0B0000}"/>
    <hyperlink ref="I639" r:id="rId2993" xr:uid="{00000000-0004-0000-0700-0000B00B0000}"/>
    <hyperlink ref="C640" r:id="rId2994" xr:uid="{00000000-0004-0000-0700-0000B10B0000}"/>
    <hyperlink ref="F640" r:id="rId2995" xr:uid="{00000000-0004-0000-0700-0000B20B0000}"/>
    <hyperlink ref="G640" r:id="rId2996" xr:uid="{00000000-0004-0000-0700-0000B30B0000}"/>
    <hyperlink ref="H640" r:id="rId2997" xr:uid="{00000000-0004-0000-0700-0000B40B0000}"/>
    <hyperlink ref="I640" r:id="rId2998" xr:uid="{00000000-0004-0000-0700-0000B50B0000}"/>
    <hyperlink ref="C641" r:id="rId2999" xr:uid="{00000000-0004-0000-0700-0000B60B0000}"/>
    <hyperlink ref="F641" r:id="rId3000" xr:uid="{00000000-0004-0000-0700-0000B70B0000}"/>
    <hyperlink ref="G641" r:id="rId3001" xr:uid="{00000000-0004-0000-0700-0000B80B0000}"/>
    <hyperlink ref="H641" r:id="rId3002" xr:uid="{00000000-0004-0000-0700-0000B90B0000}"/>
    <hyperlink ref="I641" r:id="rId3003" xr:uid="{00000000-0004-0000-0700-0000BA0B0000}"/>
    <hyperlink ref="C642" r:id="rId3004" xr:uid="{00000000-0004-0000-0700-0000BB0B0000}"/>
    <hyperlink ref="F642" r:id="rId3005" xr:uid="{00000000-0004-0000-0700-0000BC0B0000}"/>
    <hyperlink ref="G642" r:id="rId3006" xr:uid="{00000000-0004-0000-0700-0000BD0B0000}"/>
    <hyperlink ref="H642" r:id="rId3007" xr:uid="{00000000-0004-0000-0700-0000BE0B0000}"/>
    <hyperlink ref="I642" r:id="rId3008" xr:uid="{00000000-0004-0000-0700-0000BF0B0000}"/>
    <hyperlink ref="C643" r:id="rId3009" xr:uid="{00000000-0004-0000-0700-0000C00B0000}"/>
    <hyperlink ref="F643" r:id="rId3010" xr:uid="{00000000-0004-0000-0700-0000C10B0000}"/>
    <hyperlink ref="G643" r:id="rId3011" xr:uid="{00000000-0004-0000-0700-0000C20B0000}"/>
    <hyperlink ref="H643" r:id="rId3012" xr:uid="{00000000-0004-0000-0700-0000C30B0000}"/>
    <hyperlink ref="I643" r:id="rId3013" xr:uid="{00000000-0004-0000-0700-0000C40B0000}"/>
    <hyperlink ref="C644" r:id="rId3014" xr:uid="{00000000-0004-0000-0700-0000C50B0000}"/>
    <hyperlink ref="F644" r:id="rId3015" xr:uid="{00000000-0004-0000-0700-0000C60B0000}"/>
    <hyperlink ref="G644" r:id="rId3016" xr:uid="{00000000-0004-0000-0700-0000C70B0000}"/>
    <hyperlink ref="H644" r:id="rId3017" xr:uid="{00000000-0004-0000-0700-0000C80B0000}"/>
    <hyperlink ref="I644" r:id="rId3018" xr:uid="{00000000-0004-0000-0700-0000C90B0000}"/>
    <hyperlink ref="C645" r:id="rId3019" xr:uid="{00000000-0004-0000-0700-0000CA0B0000}"/>
    <hyperlink ref="F645" r:id="rId3020" display="C00002 + 2 C00133" xr:uid="{00000000-0004-0000-0700-0000CB0B0000}"/>
    <hyperlink ref="G645" r:id="rId3021" display="C00002 * 2 C00133" xr:uid="{00000000-0004-0000-0700-0000CC0B0000}"/>
    <hyperlink ref="H645" r:id="rId3022" xr:uid="{00000000-0004-0000-0700-0000CD0B0000}"/>
    <hyperlink ref="I645" r:id="rId3023" xr:uid="{00000000-0004-0000-0700-0000CE0B0000}"/>
    <hyperlink ref="C646" r:id="rId3024" xr:uid="{00000000-0004-0000-0700-0000CF0B0000}"/>
    <hyperlink ref="F646" r:id="rId3025" xr:uid="{00000000-0004-0000-0700-0000D00B0000}"/>
    <hyperlink ref="G646" r:id="rId3026" xr:uid="{00000000-0004-0000-0700-0000D10B0000}"/>
    <hyperlink ref="H646" r:id="rId3027" xr:uid="{00000000-0004-0000-0700-0000D20B0000}"/>
    <hyperlink ref="I646" r:id="rId3028" xr:uid="{00000000-0004-0000-0700-0000D30B0000}"/>
    <hyperlink ref="C647" r:id="rId3029" xr:uid="{00000000-0004-0000-0700-0000D40B0000}"/>
    <hyperlink ref="F647" r:id="rId3030" xr:uid="{00000000-0004-0000-0700-0000D50B0000}"/>
    <hyperlink ref="G647" r:id="rId3031" xr:uid="{00000000-0004-0000-0700-0000D60B0000}"/>
    <hyperlink ref="H647" r:id="rId3032" xr:uid="{00000000-0004-0000-0700-0000D70B0000}"/>
    <hyperlink ref="I647" r:id="rId3033" xr:uid="{00000000-0004-0000-0700-0000D80B0000}"/>
    <hyperlink ref="C648" r:id="rId3034" xr:uid="{00000000-0004-0000-0700-0000D90B0000}"/>
    <hyperlink ref="F648" r:id="rId3035" xr:uid="{00000000-0004-0000-0700-0000DA0B0000}"/>
    <hyperlink ref="G648" r:id="rId3036" xr:uid="{00000000-0004-0000-0700-0000DB0B0000}"/>
    <hyperlink ref="H648" r:id="rId3037" xr:uid="{00000000-0004-0000-0700-0000DC0B0000}"/>
    <hyperlink ref="I648" r:id="rId3038" xr:uid="{00000000-0004-0000-0700-0000DD0B0000}"/>
    <hyperlink ref="C649" r:id="rId3039" xr:uid="{00000000-0004-0000-0700-0000DE0B0000}"/>
    <hyperlink ref="F649" r:id="rId3040" xr:uid="{00000000-0004-0000-0700-0000DF0B0000}"/>
    <hyperlink ref="G649" r:id="rId3041" xr:uid="{00000000-0004-0000-0700-0000E00B0000}"/>
    <hyperlink ref="H649" r:id="rId3042" xr:uid="{00000000-0004-0000-0700-0000E10B0000}"/>
    <hyperlink ref="I649" r:id="rId3043" xr:uid="{00000000-0004-0000-0700-0000E20B0000}"/>
    <hyperlink ref="C650" r:id="rId3044" xr:uid="{00000000-0004-0000-0700-0000E30B0000}"/>
    <hyperlink ref="F650" r:id="rId3045" xr:uid="{00000000-0004-0000-0700-0000E40B0000}"/>
    <hyperlink ref="G650" r:id="rId3046" xr:uid="{00000000-0004-0000-0700-0000E50B0000}"/>
    <hyperlink ref="H650" r:id="rId3047" xr:uid="{00000000-0004-0000-0700-0000E60B0000}"/>
    <hyperlink ref="I650" r:id="rId3048" xr:uid="{00000000-0004-0000-0700-0000E70B0000}"/>
    <hyperlink ref="C651" r:id="rId3049" xr:uid="{00000000-0004-0000-0700-0000E80B0000}"/>
    <hyperlink ref="F651" r:id="rId3050" xr:uid="{00000000-0004-0000-0700-0000E90B0000}"/>
    <hyperlink ref="G651" r:id="rId3051" xr:uid="{00000000-0004-0000-0700-0000EA0B0000}"/>
    <hyperlink ref="H651" r:id="rId3052" xr:uid="{00000000-0004-0000-0700-0000EB0B0000}"/>
    <hyperlink ref="I651" r:id="rId3053" xr:uid="{00000000-0004-0000-0700-0000EC0B0000}"/>
    <hyperlink ref="C652" r:id="rId3054" xr:uid="{00000000-0004-0000-0700-0000ED0B0000}"/>
    <hyperlink ref="F652" r:id="rId3055" xr:uid="{00000000-0004-0000-0700-0000EE0B0000}"/>
    <hyperlink ref="G652" r:id="rId3056" xr:uid="{00000000-0004-0000-0700-0000EF0B0000}"/>
    <hyperlink ref="H652" r:id="rId3057" xr:uid="{00000000-0004-0000-0700-0000F00B0000}"/>
    <hyperlink ref="I652" r:id="rId3058" xr:uid="{00000000-0004-0000-0700-0000F10B0000}"/>
    <hyperlink ref="C653" r:id="rId3059" xr:uid="{00000000-0004-0000-0700-0000F20B0000}"/>
    <hyperlink ref="F653" r:id="rId3060" xr:uid="{00000000-0004-0000-0700-0000F30B0000}"/>
    <hyperlink ref="G653" r:id="rId3061" xr:uid="{00000000-0004-0000-0700-0000F40B0000}"/>
    <hyperlink ref="H653" r:id="rId3062" xr:uid="{00000000-0004-0000-0700-0000F50B0000}"/>
    <hyperlink ref="I653" r:id="rId3063" xr:uid="{00000000-0004-0000-0700-0000F60B0000}"/>
    <hyperlink ref="C654" r:id="rId3064" xr:uid="{00000000-0004-0000-0700-0000F70B0000}"/>
    <hyperlink ref="F654" r:id="rId3065" xr:uid="{00000000-0004-0000-0700-0000F80B0000}"/>
    <hyperlink ref="G654" r:id="rId3066" xr:uid="{00000000-0004-0000-0700-0000F90B0000}"/>
    <hyperlink ref="H654" r:id="rId3067" xr:uid="{00000000-0004-0000-0700-0000FA0B0000}"/>
    <hyperlink ref="I654" r:id="rId3068" xr:uid="{00000000-0004-0000-0700-0000FB0B0000}"/>
    <hyperlink ref="C655" r:id="rId3069" xr:uid="{00000000-0004-0000-0700-0000FC0B0000}"/>
    <hyperlink ref="F655" r:id="rId3070" xr:uid="{00000000-0004-0000-0700-0000FD0B0000}"/>
    <hyperlink ref="G655" r:id="rId3071" xr:uid="{00000000-0004-0000-0700-0000FE0B0000}"/>
    <hyperlink ref="H655" r:id="rId3072" xr:uid="{00000000-0004-0000-0700-0000FF0B0000}"/>
    <hyperlink ref="I655" r:id="rId3073" xr:uid="{00000000-0004-0000-0700-0000000C0000}"/>
    <hyperlink ref="C656" r:id="rId3074" xr:uid="{00000000-0004-0000-0700-0000010C0000}"/>
    <hyperlink ref="F656" r:id="rId3075" xr:uid="{00000000-0004-0000-0700-0000020C0000}"/>
    <hyperlink ref="G656" r:id="rId3076" xr:uid="{00000000-0004-0000-0700-0000030C0000}"/>
    <hyperlink ref="H656" r:id="rId3077" xr:uid="{00000000-0004-0000-0700-0000040C0000}"/>
    <hyperlink ref="I656" r:id="rId3078" xr:uid="{00000000-0004-0000-0700-0000050C0000}"/>
    <hyperlink ref="C657" r:id="rId3079" xr:uid="{00000000-0004-0000-0700-0000060C0000}"/>
    <hyperlink ref="F657" r:id="rId3080" xr:uid="{00000000-0004-0000-0700-0000070C0000}"/>
    <hyperlink ref="G657" r:id="rId3081" xr:uid="{00000000-0004-0000-0700-0000080C0000}"/>
    <hyperlink ref="H657" r:id="rId3082" xr:uid="{00000000-0004-0000-0700-0000090C0000}"/>
    <hyperlink ref="I657" r:id="rId3083" xr:uid="{00000000-0004-0000-0700-00000A0C0000}"/>
    <hyperlink ref="C658" r:id="rId3084" xr:uid="{00000000-0004-0000-0700-00000B0C0000}"/>
    <hyperlink ref="F658" r:id="rId3085" xr:uid="{00000000-0004-0000-0700-00000C0C0000}"/>
    <hyperlink ref="G658" r:id="rId3086" xr:uid="{00000000-0004-0000-0700-00000D0C0000}"/>
    <hyperlink ref="H658" r:id="rId3087" xr:uid="{00000000-0004-0000-0700-00000E0C0000}"/>
    <hyperlink ref="I658" r:id="rId3088" xr:uid="{00000000-0004-0000-0700-00000F0C0000}"/>
    <hyperlink ref="C659" r:id="rId3089" xr:uid="{00000000-0004-0000-0700-0000100C0000}"/>
    <hyperlink ref="F659" r:id="rId3090" xr:uid="{00000000-0004-0000-0700-0000110C0000}"/>
    <hyperlink ref="G659" r:id="rId3091" xr:uid="{00000000-0004-0000-0700-0000120C0000}"/>
    <hyperlink ref="H659" r:id="rId3092" xr:uid="{00000000-0004-0000-0700-0000130C0000}"/>
    <hyperlink ref="I659" r:id="rId3093" xr:uid="{00000000-0004-0000-0700-0000140C0000}"/>
    <hyperlink ref="C660" r:id="rId3094" xr:uid="{00000000-0004-0000-0700-0000150C0000}"/>
    <hyperlink ref="F660" r:id="rId3095" xr:uid="{00000000-0004-0000-0700-0000160C0000}"/>
    <hyperlink ref="G660" r:id="rId3096" xr:uid="{00000000-0004-0000-0700-0000170C0000}"/>
    <hyperlink ref="H660" r:id="rId3097" xr:uid="{00000000-0004-0000-0700-0000180C0000}"/>
    <hyperlink ref="I660" r:id="rId3098" xr:uid="{00000000-0004-0000-0700-0000190C0000}"/>
    <hyperlink ref="C661" r:id="rId3099" xr:uid="{00000000-0004-0000-0700-00001A0C0000}"/>
    <hyperlink ref="F661" r:id="rId3100" xr:uid="{00000000-0004-0000-0700-00001B0C0000}"/>
    <hyperlink ref="G661" r:id="rId3101" xr:uid="{00000000-0004-0000-0700-00001C0C0000}"/>
    <hyperlink ref="H661" r:id="rId3102" xr:uid="{00000000-0004-0000-0700-00001D0C0000}"/>
    <hyperlink ref="I661" r:id="rId3103" xr:uid="{00000000-0004-0000-0700-00001E0C0000}"/>
    <hyperlink ref="C662" r:id="rId3104" xr:uid="{00000000-0004-0000-0700-00001F0C0000}"/>
    <hyperlink ref="F662" r:id="rId3105" xr:uid="{00000000-0004-0000-0700-0000200C0000}"/>
    <hyperlink ref="G662" r:id="rId3106" xr:uid="{00000000-0004-0000-0700-0000210C0000}"/>
    <hyperlink ref="H662" r:id="rId3107" xr:uid="{00000000-0004-0000-0700-0000220C0000}"/>
    <hyperlink ref="I662" r:id="rId3108" xr:uid="{00000000-0004-0000-0700-0000230C0000}"/>
    <hyperlink ref="C663" r:id="rId3109" xr:uid="{00000000-0004-0000-0700-0000240C0000}"/>
    <hyperlink ref="F663" r:id="rId3110" xr:uid="{00000000-0004-0000-0700-0000250C0000}"/>
    <hyperlink ref="G663" r:id="rId3111" xr:uid="{00000000-0004-0000-0700-0000260C0000}"/>
    <hyperlink ref="H663" r:id="rId3112" xr:uid="{00000000-0004-0000-0700-0000270C0000}"/>
    <hyperlink ref="I663" r:id="rId3113" xr:uid="{00000000-0004-0000-0700-0000280C0000}"/>
    <hyperlink ref="C664" r:id="rId3114" xr:uid="{00000000-0004-0000-0700-0000290C0000}"/>
    <hyperlink ref="F664" r:id="rId3115" xr:uid="{00000000-0004-0000-0700-00002A0C0000}"/>
    <hyperlink ref="G664" r:id="rId3116" xr:uid="{00000000-0004-0000-0700-00002B0C0000}"/>
    <hyperlink ref="H664" r:id="rId3117" xr:uid="{00000000-0004-0000-0700-00002C0C0000}"/>
    <hyperlink ref="I664" r:id="rId3118" xr:uid="{00000000-0004-0000-0700-00002D0C0000}"/>
    <hyperlink ref="C665" r:id="rId3119" xr:uid="{00000000-0004-0000-0700-00002E0C0000}"/>
    <hyperlink ref="F665" r:id="rId3120" xr:uid="{00000000-0004-0000-0700-00002F0C0000}"/>
    <hyperlink ref="G665" r:id="rId3121" xr:uid="{00000000-0004-0000-0700-0000300C0000}"/>
    <hyperlink ref="H665" r:id="rId3122" xr:uid="{00000000-0004-0000-0700-0000310C0000}"/>
    <hyperlink ref="I665" r:id="rId3123" xr:uid="{00000000-0004-0000-0700-0000320C0000}"/>
    <hyperlink ref="C666" r:id="rId3124" xr:uid="{00000000-0004-0000-0700-0000330C0000}"/>
    <hyperlink ref="F666" r:id="rId3125" xr:uid="{00000000-0004-0000-0700-0000340C0000}"/>
    <hyperlink ref="G666" r:id="rId3126" xr:uid="{00000000-0004-0000-0700-0000350C0000}"/>
    <hyperlink ref="H666" r:id="rId3127" xr:uid="{00000000-0004-0000-0700-0000360C0000}"/>
    <hyperlink ref="I666" r:id="rId3128" xr:uid="{00000000-0004-0000-0700-0000370C0000}"/>
    <hyperlink ref="C667" r:id="rId3129" xr:uid="{00000000-0004-0000-0700-0000380C0000}"/>
    <hyperlink ref="F667" r:id="rId3130" xr:uid="{00000000-0004-0000-0700-0000390C0000}"/>
    <hyperlink ref="G667" r:id="rId3131" xr:uid="{00000000-0004-0000-0700-00003A0C0000}"/>
    <hyperlink ref="H667" r:id="rId3132" xr:uid="{00000000-0004-0000-0700-00003B0C0000}"/>
    <hyperlink ref="I667" r:id="rId3133" xr:uid="{00000000-0004-0000-0700-00003C0C0000}"/>
    <hyperlink ref="C668" r:id="rId3134" xr:uid="{00000000-0004-0000-0700-00003D0C0000}"/>
    <hyperlink ref="F668" r:id="rId3135" xr:uid="{00000000-0004-0000-0700-00003E0C0000}"/>
    <hyperlink ref="G668" r:id="rId3136" xr:uid="{00000000-0004-0000-0700-00003F0C0000}"/>
    <hyperlink ref="H668" r:id="rId3137" xr:uid="{00000000-0004-0000-0700-0000400C0000}"/>
    <hyperlink ref="I668" r:id="rId3138" xr:uid="{00000000-0004-0000-0700-0000410C0000}"/>
    <hyperlink ref="C669" r:id="rId3139" xr:uid="{00000000-0004-0000-0700-0000420C0000}"/>
    <hyperlink ref="F669" r:id="rId3140" xr:uid="{00000000-0004-0000-0700-0000430C0000}"/>
    <hyperlink ref="G669" r:id="rId3141" xr:uid="{00000000-0004-0000-0700-0000440C0000}"/>
    <hyperlink ref="H669" r:id="rId3142" xr:uid="{00000000-0004-0000-0700-0000450C0000}"/>
    <hyperlink ref="I669" r:id="rId3143" xr:uid="{00000000-0004-0000-0700-0000460C0000}"/>
    <hyperlink ref="C670" r:id="rId3144" xr:uid="{00000000-0004-0000-0700-0000470C0000}"/>
    <hyperlink ref="F670" r:id="rId3145" display="2 C00002 + C00064 + C00288 + C00001" xr:uid="{00000000-0004-0000-0700-0000480C0000}"/>
    <hyperlink ref="G670" r:id="rId3146" display="2 C00002 * C00064 * C00288 * C00001" xr:uid="{00000000-0004-0000-0700-0000490C0000}"/>
    <hyperlink ref="H670" r:id="rId3147" display="2 C00008 + C00009 + C00025 + C00169" xr:uid="{00000000-0004-0000-0700-00004A0C0000}"/>
    <hyperlink ref="I670" r:id="rId3148" display="2 C00008 * C00009 * C00025 * C00169" xr:uid="{00000000-0004-0000-0700-00004B0C0000}"/>
    <hyperlink ref="C671" r:id="rId3149" xr:uid="{00000000-0004-0000-0700-00004C0C0000}"/>
    <hyperlink ref="F671" r:id="rId3150" display="2 C00002 + C00288 + C00014" xr:uid="{00000000-0004-0000-0700-00004D0C0000}"/>
    <hyperlink ref="G671" r:id="rId3151" display="2 C00002 * C00288 * C00014" xr:uid="{00000000-0004-0000-0700-00004E0C0000}"/>
    <hyperlink ref="H671" r:id="rId3152" display="2 C00008 + C00009 + C00169" xr:uid="{00000000-0004-0000-0700-00004F0C0000}"/>
    <hyperlink ref="I671" r:id="rId3153" display="2 C00008 * C00009 * C00169" xr:uid="{00000000-0004-0000-0700-0000500C0000}"/>
    <hyperlink ref="C672" r:id="rId3154" xr:uid="{00000000-0004-0000-0700-0000510C0000}"/>
    <hyperlink ref="F672" r:id="rId3155" xr:uid="{00000000-0004-0000-0700-0000520C0000}"/>
    <hyperlink ref="G672" r:id="rId3156" xr:uid="{00000000-0004-0000-0700-0000530C0000}"/>
    <hyperlink ref="H672" r:id="rId3157" xr:uid="{00000000-0004-0000-0700-0000540C0000}"/>
    <hyperlink ref="I672" r:id="rId3158" xr:uid="{00000000-0004-0000-0700-0000550C0000}"/>
    <hyperlink ref="C673" r:id="rId3159" xr:uid="{00000000-0004-0000-0700-0000560C0000}"/>
    <hyperlink ref="F673" r:id="rId3160" xr:uid="{00000000-0004-0000-0700-0000570C0000}"/>
    <hyperlink ref="G673" r:id="rId3161" xr:uid="{00000000-0004-0000-0700-0000580C0000}"/>
    <hyperlink ref="H673" r:id="rId3162" xr:uid="{00000000-0004-0000-0700-0000590C0000}"/>
    <hyperlink ref="I673" r:id="rId3163" xr:uid="{00000000-0004-0000-0700-00005A0C0000}"/>
    <hyperlink ref="C674" r:id="rId3164" xr:uid="{00000000-0004-0000-0700-00005B0C0000}"/>
    <hyperlink ref="F674" r:id="rId3165" xr:uid="{00000000-0004-0000-0700-00005C0C0000}"/>
    <hyperlink ref="G674" r:id="rId3166" xr:uid="{00000000-0004-0000-0700-00005D0C0000}"/>
    <hyperlink ref="H674" r:id="rId3167" xr:uid="{00000000-0004-0000-0700-00005E0C0000}"/>
    <hyperlink ref="I674" r:id="rId3168" xr:uid="{00000000-0004-0000-0700-00005F0C0000}"/>
    <hyperlink ref="C675" r:id="rId3169" xr:uid="{00000000-0004-0000-0700-0000600C0000}"/>
    <hyperlink ref="F675" r:id="rId3170" xr:uid="{00000000-0004-0000-0700-0000610C0000}"/>
    <hyperlink ref="G675" r:id="rId3171" xr:uid="{00000000-0004-0000-0700-0000620C0000}"/>
    <hyperlink ref="H675" r:id="rId3172" xr:uid="{00000000-0004-0000-0700-0000630C0000}"/>
    <hyperlink ref="I675" r:id="rId3173" xr:uid="{00000000-0004-0000-0700-0000640C0000}"/>
    <hyperlink ref="C676" r:id="rId3174" xr:uid="{00000000-0004-0000-0700-0000650C0000}"/>
    <hyperlink ref="F676" r:id="rId3175" xr:uid="{00000000-0004-0000-0700-0000660C0000}"/>
    <hyperlink ref="G676" r:id="rId3176" xr:uid="{00000000-0004-0000-0700-0000670C0000}"/>
    <hyperlink ref="H676" r:id="rId3177" xr:uid="{00000000-0004-0000-0700-0000680C0000}"/>
    <hyperlink ref="I676" r:id="rId3178" xr:uid="{00000000-0004-0000-0700-0000690C0000}"/>
    <hyperlink ref="C677" r:id="rId3179" xr:uid="{00000000-0004-0000-0700-00006A0C0000}"/>
    <hyperlink ref="F677" r:id="rId3180" display="C00003 + C00039(n) + C02128(m)" xr:uid="{00000000-0004-0000-0700-00006B0C0000}"/>
    <hyperlink ref="G677" r:id="rId3181" display="C00003 * C00039(n) * C02128(m)" xr:uid="{00000000-0004-0000-0700-00006C0C0000}"/>
    <hyperlink ref="H677" r:id="rId3182" display="C00020 + C00455 + C00039(n+m)" xr:uid="{00000000-0004-0000-0700-00006D0C0000}"/>
    <hyperlink ref="I677" r:id="rId3183" display="C00020 * C00455 * C00039(n*m)" xr:uid="{00000000-0004-0000-0700-00006E0C0000}"/>
    <hyperlink ref="C678" r:id="rId3184" xr:uid="{00000000-0004-0000-0700-00006F0C0000}"/>
    <hyperlink ref="F678" r:id="rId3185" xr:uid="{00000000-0004-0000-0700-0000700C0000}"/>
    <hyperlink ref="G678" r:id="rId3186" xr:uid="{00000000-0004-0000-0700-0000710C0000}"/>
    <hyperlink ref="H678" r:id="rId3187" xr:uid="{00000000-0004-0000-0700-0000720C0000}"/>
    <hyperlink ref="I678" r:id="rId3188" xr:uid="{00000000-0004-0000-0700-0000730C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678"/>
  <sheetViews>
    <sheetView workbookViewId="0"/>
  </sheetViews>
  <sheetFormatPr defaultColWidth="12.6328125" defaultRowHeight="15" customHeight="1"/>
  <cols>
    <col min="1" max="1" width="34.453125" customWidth="1"/>
  </cols>
  <sheetData>
    <row r="1" spans="1:6" ht="13">
      <c r="A1" s="36" t="s">
        <v>12621</v>
      </c>
      <c r="C1" s="4" t="str">
        <f ca="1">IFERROR(__xludf.DUMMYFUNCTION("ARRAYFORMULA(SPLIT(A2:A677, ""+""))"),"2 C00002")</f>
        <v>2 C00002</v>
      </c>
      <c r="D1" s="4"/>
      <c r="E1" s="4"/>
      <c r="F1" s="4"/>
    </row>
    <row r="2" spans="1:6" ht="14">
      <c r="A2" s="27" t="s">
        <v>15773</v>
      </c>
      <c r="C2" s="4" t="str">
        <f ca="1">IFERROR(__xludf.DUMMYFUNCTION("""COMPUTED_VALUE"""),"2 C00002 ")</f>
        <v xml:space="preserve">2 C00002 </v>
      </c>
      <c r="D2" s="4" t="str">
        <f ca="1">IFERROR(__xludf.DUMMYFUNCTION("""COMPUTED_VALUE""")," 2 C00541 ")</f>
        <v xml:space="preserve"> 2 C00541 </v>
      </c>
      <c r="E2" s="4" t="str">
        <f ca="1">IFERROR(__xludf.DUMMYFUNCTION("""COMPUTED_VALUE""")," C03024")</f>
        <v xml:space="preserve"> C03024</v>
      </c>
      <c r="F2" s="4"/>
    </row>
    <row r="3" spans="1:6" ht="15" customHeight="1">
      <c r="A3" s="4" t="s">
        <v>12690</v>
      </c>
      <c r="C3" s="4" t="str">
        <f ca="1">IFERROR(__xludf.DUMMYFUNCTION("""COMPUTED_VALUE"""),"2 C00002 ")</f>
        <v xml:space="preserve">2 C00002 </v>
      </c>
      <c r="D3" s="4" t="str">
        <f ca="1">IFERROR(__xludf.DUMMYFUNCTION("""COMPUTED_VALUE""")," 2 C06504 ")</f>
        <v xml:space="preserve"> 2 C06504 </v>
      </c>
      <c r="E3" s="4" t="str">
        <f ca="1">IFERROR(__xludf.DUMMYFUNCTION("""COMPUTED_VALUE""")," C03024")</f>
        <v xml:space="preserve"> C03024</v>
      </c>
      <c r="F3" s="4"/>
    </row>
    <row r="4" spans="1:6" ht="15" customHeight="1">
      <c r="A4" s="4" t="s">
        <v>12692</v>
      </c>
      <c r="C4" s="4" t="str">
        <f ca="1">IFERROR(__xludf.DUMMYFUNCTION("""COMPUTED_VALUE"""),"2 C00002 ")</f>
        <v xml:space="preserve">2 C00002 </v>
      </c>
      <c r="D4" s="4" t="str">
        <f ca="1">IFERROR(__xludf.DUMMYFUNCTION("""COMPUTED_VALUE""")," C00064 ")</f>
        <v xml:space="preserve"> C00064 </v>
      </c>
      <c r="E4" s="4" t="str">
        <f ca="1">IFERROR(__xludf.DUMMYFUNCTION("""COMPUTED_VALUE""")," C00288 ")</f>
        <v xml:space="preserve"> C00288 </v>
      </c>
      <c r="F4" s="4" t="str">
        <f ca="1">IFERROR(__xludf.DUMMYFUNCTION("""COMPUTED_VALUE""")," C00001")</f>
        <v xml:space="preserve"> C00001</v>
      </c>
    </row>
    <row r="5" spans="1:6" ht="14">
      <c r="A5" s="22" t="s">
        <v>15774</v>
      </c>
      <c r="C5" s="4" t="str">
        <f ca="1">IFERROR(__xludf.DUMMYFUNCTION("""COMPUTED_VALUE"""),"2 C00002 ")</f>
        <v xml:space="preserve">2 C00002 </v>
      </c>
      <c r="D5" s="4" t="str">
        <f ca="1">IFERROR(__xludf.DUMMYFUNCTION("""COMPUTED_VALUE""")," C00288 ")</f>
        <v xml:space="preserve"> C00288 </v>
      </c>
      <c r="E5" s="4" t="str">
        <f ca="1">IFERROR(__xludf.DUMMYFUNCTION("""COMPUTED_VALUE""")," C00014")</f>
        <v xml:space="preserve"> C00014</v>
      </c>
      <c r="F5" s="4"/>
    </row>
    <row r="6" spans="1:6" ht="14">
      <c r="A6" s="22" t="s">
        <v>15775</v>
      </c>
      <c r="C6" s="4" t="str">
        <f ca="1">IFERROR(__xludf.DUMMYFUNCTION("""COMPUTED_VALUE"""),"2 C00005 ")</f>
        <v xml:space="preserve">2 C00005 </v>
      </c>
      <c r="D6" s="4" t="str">
        <f ca="1">IFERROR(__xludf.DUMMYFUNCTION("""COMPUTED_VALUE""")," 2 C00080 ")</f>
        <v xml:space="preserve"> 2 C00080 </v>
      </c>
      <c r="E6" s="4" t="str">
        <f ca="1">IFERROR(__xludf.DUMMYFUNCTION("""COMPUTED_VALUE""")," C18902")</f>
        <v xml:space="preserve"> C18902</v>
      </c>
      <c r="F6" s="4"/>
    </row>
    <row r="7" spans="1:6" ht="14">
      <c r="A7" s="22" t="s">
        <v>15776</v>
      </c>
      <c r="C7" s="4" t="str">
        <f ca="1">IFERROR(__xludf.DUMMYFUNCTION("""COMPUTED_VALUE"""),"2 C00019 ")</f>
        <v xml:space="preserve">2 C00019 </v>
      </c>
      <c r="D7" s="4" t="str">
        <f ca="1">IFERROR(__xludf.DUMMYFUNCTION("""COMPUTED_VALUE""")," C20648")</f>
        <v xml:space="preserve"> C20648</v>
      </c>
      <c r="E7" s="4"/>
      <c r="F7" s="4"/>
    </row>
    <row r="8" spans="1:6" ht="14">
      <c r="A8" s="22" t="s">
        <v>15777</v>
      </c>
      <c r="C8" s="4" t="str">
        <f ca="1">IFERROR(__xludf.DUMMYFUNCTION("""COMPUTED_VALUE"""),"2 C00024")</f>
        <v>2 C00024</v>
      </c>
      <c r="D8" s="4"/>
      <c r="E8" s="4"/>
      <c r="F8" s="4"/>
    </row>
    <row r="9" spans="1:6" ht="14">
      <c r="A9" s="27" t="s">
        <v>15778</v>
      </c>
      <c r="C9" s="4" t="str">
        <f ca="1">IFERROR(__xludf.DUMMYFUNCTION("""COMPUTED_VALUE"""),"2 C00025 ")</f>
        <v xml:space="preserve">2 C00025 </v>
      </c>
      <c r="D9" s="4" t="str">
        <f ca="1">IFERROR(__xludf.DUMMYFUNCTION("""COMPUTED_VALUE""")," C00006")</f>
        <v xml:space="preserve"> C00006</v>
      </c>
      <c r="E9" s="4"/>
      <c r="F9" s="4"/>
    </row>
    <row r="10" spans="1:6" ht="14">
      <c r="A10" s="22" t="s">
        <v>15779</v>
      </c>
      <c r="C10" s="4" t="str">
        <f ca="1">IFERROR(__xludf.DUMMYFUNCTION("""COMPUTED_VALUE"""),"2 C00704 ")</f>
        <v xml:space="preserve">2 C00704 </v>
      </c>
      <c r="D10" s="4" t="str">
        <f ca="1">IFERROR(__xludf.DUMMYFUNCTION("""COMPUTED_VALUE""")," 2 C00080")</f>
        <v xml:space="preserve"> 2 C00080</v>
      </c>
      <c r="E10" s="4"/>
      <c r="F10" s="4"/>
    </row>
    <row r="11" spans="1:6" ht="14">
      <c r="A11" s="22" t="s">
        <v>15780</v>
      </c>
      <c r="C11" s="4" t="str">
        <f ca="1">IFERROR(__xludf.DUMMYFUNCTION("""COMPUTED_VALUE"""),"C00001 ")</f>
        <v xml:space="preserve">C00001 </v>
      </c>
      <c r="D11" s="4" t="str">
        <f ca="1">IFERROR(__xludf.DUMMYFUNCTION("""COMPUTED_VALUE""")," C00689")</f>
        <v xml:space="preserve"> C00689</v>
      </c>
      <c r="E11" s="4"/>
      <c r="F11" s="4"/>
    </row>
    <row r="12" spans="1:6" ht="14">
      <c r="A12" s="22" t="s">
        <v>15781</v>
      </c>
      <c r="C12" s="4" t="str">
        <f ca="1">IFERROR(__xludf.DUMMYFUNCTION("""COMPUTED_VALUE"""),"C00001 ")</f>
        <v xml:space="preserve">C00001 </v>
      </c>
      <c r="D12" s="4" t="str">
        <f ca="1">IFERROR(__xludf.DUMMYFUNCTION("""COMPUTED_VALUE""")," G00093")</f>
        <v xml:space="preserve"> G00093</v>
      </c>
      <c r="E12" s="4"/>
      <c r="F12" s="4"/>
    </row>
    <row r="13" spans="1:6" ht="14">
      <c r="A13" s="22" t="s">
        <v>15782</v>
      </c>
      <c r="C13" s="4" t="str">
        <f ca="1">IFERROR(__xludf.DUMMYFUNCTION("""COMPUTED_VALUE"""),"C00001 ")</f>
        <v xml:space="preserve">C00001 </v>
      </c>
      <c r="D13" s="4" t="str">
        <f ca="1">IFERROR(__xludf.DUMMYFUNCTION("""COMPUTED_VALUE""")," G09795")</f>
        <v xml:space="preserve"> G09795</v>
      </c>
      <c r="E13" s="4"/>
      <c r="F13" s="4"/>
    </row>
    <row r="14" spans="1:6" ht="14">
      <c r="A14" s="22" t="s">
        <v>15783</v>
      </c>
      <c r="C14" s="4" t="str">
        <f ca="1">IFERROR(__xludf.DUMMYFUNCTION("""COMPUTED_VALUE"""),"C00002 ")</f>
        <v xml:space="preserve">C00002 </v>
      </c>
      <c r="D14" s="4" t="str">
        <f ca="1">IFERROR(__xludf.DUMMYFUNCTION("""COMPUTED_VALUE""")," 2 C00133")</f>
        <v xml:space="preserve"> 2 C00133</v>
      </c>
      <c r="E14" s="4"/>
      <c r="F14" s="4"/>
    </row>
    <row r="15" spans="1:6" ht="14">
      <c r="A15" s="22" t="s">
        <v>15784</v>
      </c>
      <c r="C15" s="4" t="str">
        <f ca="1">IFERROR(__xludf.DUMMYFUNCTION("""COMPUTED_VALUE"""),"C00002 ")</f>
        <v xml:space="preserve">C00002 </v>
      </c>
      <c r="D15" s="4" t="str">
        <f ca="1">IFERROR(__xludf.DUMMYFUNCTION("""COMPUTED_VALUE""")," C00001")</f>
        <v xml:space="preserve"> C00001</v>
      </c>
      <c r="E15" s="4"/>
      <c r="F15" s="4"/>
    </row>
    <row r="16" spans="1:6" ht="14">
      <c r="A16" s="22" t="s">
        <v>15785</v>
      </c>
      <c r="C16" s="4" t="str">
        <f ca="1">IFERROR(__xludf.DUMMYFUNCTION("""COMPUTED_VALUE"""),"C00002 ")</f>
        <v xml:space="preserve">C00002 </v>
      </c>
      <c r="D16" s="4" t="str">
        <f ca="1">IFERROR(__xludf.DUMMYFUNCTION("""COMPUTED_VALUE""")," C00003")</f>
        <v xml:space="preserve"> C00003</v>
      </c>
      <c r="E16" s="4"/>
      <c r="F16" s="4"/>
    </row>
    <row r="17" spans="1:6" ht="14">
      <c r="A17" s="22" t="s">
        <v>15786</v>
      </c>
      <c r="C17" s="4" t="str">
        <f ca="1">IFERROR(__xludf.DUMMYFUNCTION("""COMPUTED_VALUE"""),"C00002 ")</f>
        <v xml:space="preserve">C00002 </v>
      </c>
      <c r="D17" s="4" t="str">
        <f ca="1">IFERROR(__xludf.DUMMYFUNCTION("""COMPUTED_VALUE""")," C00008")</f>
        <v xml:space="preserve"> C00008</v>
      </c>
      <c r="E17" s="4"/>
      <c r="F17" s="4"/>
    </row>
    <row r="18" spans="1:6" ht="14">
      <c r="A18" s="22" t="s">
        <v>15787</v>
      </c>
      <c r="C18" s="4" t="str">
        <f ca="1">IFERROR(__xludf.DUMMYFUNCTION("""COMPUTED_VALUE"""),"C00002 ")</f>
        <v xml:space="preserve">C00002 </v>
      </c>
      <c r="D18" s="4" t="str">
        <f ca="1">IFERROR(__xludf.DUMMYFUNCTION("""COMPUTED_VALUE""")," C00015")</f>
        <v xml:space="preserve"> C00015</v>
      </c>
      <c r="E18" s="4"/>
      <c r="F18" s="4"/>
    </row>
    <row r="19" spans="1:6" ht="14">
      <c r="A19" s="22" t="s">
        <v>15788</v>
      </c>
      <c r="C19" s="4" t="str">
        <f ca="1">IFERROR(__xludf.DUMMYFUNCTION("""COMPUTED_VALUE"""),"C00002 ")</f>
        <v xml:space="preserve">C00002 </v>
      </c>
      <c r="D19" s="4" t="str">
        <f ca="1">IFERROR(__xludf.DUMMYFUNCTION("""COMPUTED_VALUE""")," C00020")</f>
        <v xml:space="preserve"> C00020</v>
      </c>
      <c r="E19" s="4"/>
      <c r="F19" s="4"/>
    </row>
    <row r="20" spans="1:6" ht="14">
      <c r="A20" s="22" t="s">
        <v>15789</v>
      </c>
      <c r="C20" s="4" t="str">
        <f ca="1">IFERROR(__xludf.DUMMYFUNCTION("""COMPUTED_VALUE"""),"C00002 ")</f>
        <v xml:space="preserve">C00002 </v>
      </c>
      <c r="D20" s="4" t="str">
        <f ca="1">IFERROR(__xludf.DUMMYFUNCTION("""COMPUTED_VALUE""")," C00022")</f>
        <v xml:space="preserve"> C00022</v>
      </c>
      <c r="E20" s="4"/>
      <c r="F20" s="4"/>
    </row>
    <row r="21" spans="1:6" ht="14">
      <c r="A21" s="22" t="s">
        <v>15790</v>
      </c>
      <c r="C21" s="4" t="str">
        <f ca="1">IFERROR(__xludf.DUMMYFUNCTION("""COMPUTED_VALUE"""),"C00002 ")</f>
        <v xml:space="preserve">C00002 </v>
      </c>
      <c r="D21" s="4" t="str">
        <f ca="1">IFERROR(__xludf.DUMMYFUNCTION("""COMPUTED_VALUE""")," C00022 ")</f>
        <v xml:space="preserve"> C00022 </v>
      </c>
      <c r="E21" s="4" t="str">
        <f ca="1">IFERROR(__xludf.DUMMYFUNCTION("""COMPUTED_VALUE""")," C00009")</f>
        <v xml:space="preserve"> C00009</v>
      </c>
      <c r="F21" s="4"/>
    </row>
    <row r="22" spans="1:6" ht="14">
      <c r="A22" s="22" t="s">
        <v>15791</v>
      </c>
      <c r="C22" s="4" t="str">
        <f ca="1">IFERROR(__xludf.DUMMYFUNCTION("""COMPUTED_VALUE"""),"C00002 ")</f>
        <v xml:space="preserve">C00002 </v>
      </c>
      <c r="D22" s="4" t="str">
        <f ca="1">IFERROR(__xludf.DUMMYFUNCTION("""COMPUTED_VALUE""")," C00022 ")</f>
        <v xml:space="preserve"> C00022 </v>
      </c>
      <c r="E22" s="4" t="str">
        <f ca="1">IFERROR(__xludf.DUMMYFUNCTION("""COMPUTED_VALUE""")," C00288")</f>
        <v xml:space="preserve"> C00288</v>
      </c>
      <c r="F22" s="4"/>
    </row>
    <row r="23" spans="1:6" ht="14">
      <c r="A23" s="22" t="s">
        <v>15792</v>
      </c>
      <c r="C23" s="4" t="str">
        <f ca="1">IFERROR(__xludf.DUMMYFUNCTION("""COMPUTED_VALUE"""),"C00002 ")</f>
        <v xml:space="preserve">C00002 </v>
      </c>
      <c r="D23" s="4" t="str">
        <f ca="1">IFERROR(__xludf.DUMMYFUNCTION("""COMPUTED_VALUE""")," C00024 ")</f>
        <v xml:space="preserve"> C00024 </v>
      </c>
      <c r="E23" s="4" t="str">
        <f ca="1">IFERROR(__xludf.DUMMYFUNCTION("""COMPUTED_VALUE""")," C00288")</f>
        <v xml:space="preserve"> C00288</v>
      </c>
      <c r="F23" s="4"/>
    </row>
    <row r="24" spans="1:6" ht="14">
      <c r="A24" s="22" t="s">
        <v>15793</v>
      </c>
      <c r="C24" s="4" t="str">
        <f ca="1">IFERROR(__xludf.DUMMYFUNCTION("""COMPUTED_VALUE"""),"C00002 ")</f>
        <v xml:space="preserve">C00002 </v>
      </c>
      <c r="D24" s="4" t="str">
        <f ca="1">IFERROR(__xludf.DUMMYFUNCTION("""COMPUTED_VALUE""")," C00025")</f>
        <v xml:space="preserve"> C00025</v>
      </c>
      <c r="E24" s="4"/>
      <c r="F24" s="4"/>
    </row>
    <row r="25" spans="1:6" ht="14">
      <c r="A25" s="22" t="s">
        <v>15794</v>
      </c>
      <c r="C25" s="4" t="str">
        <f ca="1">IFERROR(__xludf.DUMMYFUNCTION("""COMPUTED_VALUE"""),"C00002 ")</f>
        <v xml:space="preserve">C00002 </v>
      </c>
      <c r="D25" s="4" t="str">
        <f ca="1">IFERROR(__xludf.DUMMYFUNCTION("""COMPUTED_VALUE""")," C00025 ")</f>
        <v xml:space="preserve"> C00025 </v>
      </c>
      <c r="E25" s="4" t="str">
        <f ca="1">IFERROR(__xludf.DUMMYFUNCTION("""COMPUTED_VALUE""")," C00014")</f>
        <v xml:space="preserve"> C00014</v>
      </c>
      <c r="F25" s="4"/>
    </row>
    <row r="26" spans="1:6" ht="14">
      <c r="A26" s="22" t="s">
        <v>15795</v>
      </c>
      <c r="C26" s="4" t="str">
        <f ca="1">IFERROR(__xludf.DUMMYFUNCTION("""COMPUTED_VALUE"""),"C00002 ")</f>
        <v xml:space="preserve">C00002 </v>
      </c>
      <c r="D26" s="4" t="str">
        <f ca="1">IFERROR(__xludf.DUMMYFUNCTION("""COMPUTED_VALUE""")," C00031")</f>
        <v xml:space="preserve"> C00031</v>
      </c>
      <c r="E26" s="4"/>
      <c r="F26" s="4"/>
    </row>
    <row r="27" spans="1:6" ht="14">
      <c r="A27" s="22" t="s">
        <v>15796</v>
      </c>
      <c r="C27" s="4" t="str">
        <f ca="1">IFERROR(__xludf.DUMMYFUNCTION("""COMPUTED_VALUE"""),"C00002 ")</f>
        <v xml:space="preserve">C00002 </v>
      </c>
      <c r="D27" s="4" t="str">
        <f ca="1">IFERROR(__xludf.DUMMYFUNCTION("""COMPUTED_VALUE""")," C00033")</f>
        <v xml:space="preserve"> C00033</v>
      </c>
      <c r="E27" s="4"/>
      <c r="F27" s="4"/>
    </row>
    <row r="28" spans="1:6" ht="14">
      <c r="A28" s="22" t="s">
        <v>15797</v>
      </c>
      <c r="C28" s="4" t="str">
        <f ca="1">IFERROR(__xludf.DUMMYFUNCTION("""COMPUTED_VALUE"""),"C00002 ")</f>
        <v xml:space="preserve">C00002 </v>
      </c>
      <c r="D28" s="4" t="str">
        <f ca="1">IFERROR(__xludf.DUMMYFUNCTION("""COMPUTED_VALUE""")," C00033 ")</f>
        <v xml:space="preserve"> C00033 </v>
      </c>
      <c r="E28" s="4" t="str">
        <f ca="1">IFERROR(__xludf.DUMMYFUNCTION("""COMPUTED_VALUE""")," C04298")</f>
        <v xml:space="preserve"> C04298</v>
      </c>
      <c r="F28" s="4"/>
    </row>
    <row r="29" spans="1:6" ht="14">
      <c r="A29" s="22" t="s">
        <v>15798</v>
      </c>
      <c r="C29" s="4" t="str">
        <f ca="1">IFERROR(__xludf.DUMMYFUNCTION("""COMPUTED_VALUE"""),"C00002 ")</f>
        <v xml:space="preserve">C00002 </v>
      </c>
      <c r="D29" s="4" t="str">
        <f ca="1">IFERROR(__xludf.DUMMYFUNCTION("""COMPUTED_VALUE""")," C00035")</f>
        <v xml:space="preserve"> C00035</v>
      </c>
      <c r="E29" s="4"/>
      <c r="F29" s="4"/>
    </row>
    <row r="30" spans="1:6" ht="14">
      <c r="A30" s="22" t="s">
        <v>15799</v>
      </c>
      <c r="C30" s="4" t="str">
        <f ca="1">IFERROR(__xludf.DUMMYFUNCTION("""COMPUTED_VALUE"""),"C00002 ")</f>
        <v xml:space="preserve">C00002 </v>
      </c>
      <c r="D30" s="4" t="str">
        <f ca="1">IFERROR(__xludf.DUMMYFUNCTION("""COMPUTED_VALUE""")," C00036")</f>
        <v xml:space="preserve"> C00036</v>
      </c>
      <c r="E30" s="4"/>
      <c r="F30" s="4"/>
    </row>
    <row r="31" spans="1:6" ht="14">
      <c r="A31" s="22" t="s">
        <v>15800</v>
      </c>
      <c r="C31" s="4" t="str">
        <f ca="1">IFERROR(__xludf.DUMMYFUNCTION("""COMPUTED_VALUE"""),"C00002 ")</f>
        <v xml:space="preserve">C00002 </v>
      </c>
      <c r="D31" s="4" t="str">
        <f ca="1">IFERROR(__xludf.DUMMYFUNCTION("""COMPUTED_VALUE""")," C00037 ")</f>
        <v xml:space="preserve"> C00037 </v>
      </c>
      <c r="E31" s="4" t="str">
        <f ca="1">IFERROR(__xludf.DUMMYFUNCTION("""COMPUTED_VALUE""")," C01642")</f>
        <v xml:space="preserve"> C01642</v>
      </c>
      <c r="F31" s="4"/>
    </row>
    <row r="32" spans="1:6" ht="14">
      <c r="A32" s="22" t="s">
        <v>15801</v>
      </c>
      <c r="C32" s="4" t="str">
        <f ca="1">IFERROR(__xludf.DUMMYFUNCTION("""COMPUTED_VALUE"""),"C00002 ")</f>
        <v xml:space="preserve">C00002 </v>
      </c>
      <c r="D32" s="4" t="str">
        <f ca="1">IFERROR(__xludf.DUMMYFUNCTION("""COMPUTED_VALUE""")," C00041 ")</f>
        <v xml:space="preserve"> C00041 </v>
      </c>
      <c r="E32" s="4" t="str">
        <f ca="1">IFERROR(__xludf.DUMMYFUNCTION("""COMPUTED_VALUE""")," C01635")</f>
        <v xml:space="preserve"> C01635</v>
      </c>
      <c r="F32" s="4"/>
    </row>
    <row r="33" spans="1:6" ht="14">
      <c r="A33" s="22" t="s">
        <v>15802</v>
      </c>
      <c r="C33" s="4" t="str">
        <f ca="1">IFERROR(__xludf.DUMMYFUNCTION("""COMPUTED_VALUE"""),"C00002 ")</f>
        <v xml:space="preserve">C00002 </v>
      </c>
      <c r="D33" s="4" t="str">
        <f ca="1">IFERROR(__xludf.DUMMYFUNCTION("""COMPUTED_VALUE""")," C00044")</f>
        <v xml:space="preserve"> C00044</v>
      </c>
      <c r="E33" s="4"/>
      <c r="F33" s="4"/>
    </row>
    <row r="34" spans="1:6" ht="14">
      <c r="A34" s="22" t="s">
        <v>15803</v>
      </c>
      <c r="C34" s="4" t="str">
        <f ca="1">IFERROR(__xludf.DUMMYFUNCTION("""COMPUTED_VALUE"""),"C00002 ")</f>
        <v xml:space="preserve">C00002 </v>
      </c>
      <c r="D34" s="4" t="str">
        <f ca="1">IFERROR(__xludf.DUMMYFUNCTION("""COMPUTED_VALUE""")," C00046")</f>
        <v xml:space="preserve"> C00046</v>
      </c>
      <c r="E34" s="4"/>
      <c r="F34" s="4"/>
    </row>
    <row r="35" spans="1:6" ht="14">
      <c r="A35" s="22" t="s">
        <v>15804</v>
      </c>
      <c r="C35" s="4" t="str">
        <f ca="1">IFERROR(__xludf.DUMMYFUNCTION("""COMPUTED_VALUE"""),"C00002 ")</f>
        <v xml:space="preserve">C00002 </v>
      </c>
      <c r="D35" s="4" t="str">
        <f ca="1">IFERROR(__xludf.DUMMYFUNCTION("""COMPUTED_VALUE""")," C00047 ")</f>
        <v xml:space="preserve"> C00047 </v>
      </c>
      <c r="E35" s="4" t="str">
        <f ca="1">IFERROR(__xludf.DUMMYFUNCTION("""COMPUTED_VALUE""")," C01646")</f>
        <v xml:space="preserve"> C01646</v>
      </c>
      <c r="F35" s="4"/>
    </row>
    <row r="36" spans="1:6" ht="14">
      <c r="A36" s="22" t="s">
        <v>15805</v>
      </c>
      <c r="C36" s="4" t="str">
        <f ca="1">IFERROR(__xludf.DUMMYFUNCTION("""COMPUTED_VALUE"""),"C00002 ")</f>
        <v xml:space="preserve">C00002 </v>
      </c>
      <c r="D36" s="4" t="str">
        <f ca="1">IFERROR(__xludf.DUMMYFUNCTION("""COMPUTED_VALUE""")," C00049")</f>
        <v xml:space="preserve"> C00049</v>
      </c>
      <c r="E36" s="4"/>
      <c r="F36" s="4"/>
    </row>
    <row r="37" spans="1:6" ht="14">
      <c r="A37" s="22" t="s">
        <v>15806</v>
      </c>
      <c r="C37" s="4" t="str">
        <f ca="1">IFERROR(__xludf.DUMMYFUNCTION("""COMPUTED_VALUE"""),"C00002 ")</f>
        <v xml:space="preserve">C00002 </v>
      </c>
      <c r="D37" s="4" t="str">
        <f ca="1">IFERROR(__xludf.DUMMYFUNCTION("""COMPUTED_VALUE""")," C00049 ")</f>
        <v xml:space="preserve"> C00049 </v>
      </c>
      <c r="E37" s="4" t="str">
        <f ca="1">IFERROR(__xludf.DUMMYFUNCTION("""COMPUTED_VALUE""")," C00014")</f>
        <v xml:space="preserve"> C00014</v>
      </c>
      <c r="F37" s="4"/>
    </row>
    <row r="38" spans="1:6" ht="14">
      <c r="A38" s="22" t="s">
        <v>15807</v>
      </c>
      <c r="C38" s="4" t="str">
        <f ca="1">IFERROR(__xludf.DUMMYFUNCTION("""COMPUTED_VALUE"""),"C00002 ")</f>
        <v xml:space="preserve">C00002 </v>
      </c>
      <c r="D38" s="4" t="str">
        <f ca="1">IFERROR(__xludf.DUMMYFUNCTION("""COMPUTED_VALUE""")," C00049 ")</f>
        <v xml:space="preserve"> C00049 </v>
      </c>
      <c r="E38" s="4" t="str">
        <f ca="1">IFERROR(__xludf.DUMMYFUNCTION("""COMPUTED_VALUE""")," C00064 ")</f>
        <v xml:space="preserve"> C00064 </v>
      </c>
      <c r="F38" s="4" t="str">
        <f ca="1">IFERROR(__xludf.DUMMYFUNCTION("""COMPUTED_VALUE""")," C00001")</f>
        <v xml:space="preserve"> C00001</v>
      </c>
    </row>
    <row r="39" spans="1:6" ht="14">
      <c r="A39" s="22" t="s">
        <v>15808</v>
      </c>
      <c r="C39" s="4" t="str">
        <f ca="1">IFERROR(__xludf.DUMMYFUNCTION("""COMPUTED_VALUE"""),"C00002 ")</f>
        <v xml:space="preserve">C00002 </v>
      </c>
      <c r="D39" s="4" t="str">
        <f ca="1">IFERROR(__xludf.DUMMYFUNCTION("""COMPUTED_VALUE""")," C00055")</f>
        <v xml:space="preserve"> C00055</v>
      </c>
      <c r="E39" s="4"/>
      <c r="F39" s="4"/>
    </row>
    <row r="40" spans="1:6" ht="14">
      <c r="A40" s="22" t="s">
        <v>15809</v>
      </c>
      <c r="C40" s="4" t="str">
        <f ca="1">IFERROR(__xludf.DUMMYFUNCTION("""COMPUTED_VALUE"""),"C00002 ")</f>
        <v xml:space="preserve">C00002 </v>
      </c>
      <c r="D40" s="4" t="str">
        <f ca="1">IFERROR(__xludf.DUMMYFUNCTION("""COMPUTED_VALUE""")," C00061")</f>
        <v xml:space="preserve"> C00061</v>
      </c>
      <c r="E40" s="4"/>
      <c r="F40" s="4"/>
    </row>
    <row r="41" spans="1:6" ht="14">
      <c r="A41" s="22" t="s">
        <v>15810</v>
      </c>
      <c r="C41" s="4" t="str">
        <f ca="1">IFERROR(__xludf.DUMMYFUNCTION("""COMPUTED_VALUE"""),"C00002 ")</f>
        <v xml:space="preserve">C00002 </v>
      </c>
      <c r="D41" s="4" t="str">
        <f ca="1">IFERROR(__xludf.DUMMYFUNCTION("""COMPUTED_VALUE""")," C00062 ")</f>
        <v xml:space="preserve"> C00062 </v>
      </c>
      <c r="E41" s="4" t="str">
        <f ca="1">IFERROR(__xludf.DUMMYFUNCTION("""COMPUTED_VALUE""")," C01636")</f>
        <v xml:space="preserve"> C01636</v>
      </c>
      <c r="F41" s="4"/>
    </row>
    <row r="42" spans="1:6" ht="14">
      <c r="A42" s="22" t="s">
        <v>15811</v>
      </c>
      <c r="C42" s="4" t="str">
        <f ca="1">IFERROR(__xludf.DUMMYFUNCTION("""COMPUTED_VALUE"""),"C00002 ")</f>
        <v xml:space="preserve">C00002 </v>
      </c>
      <c r="D42" s="4" t="str">
        <f ca="1">IFERROR(__xludf.DUMMYFUNCTION("""COMPUTED_VALUE""")," C00065 ")</f>
        <v xml:space="preserve"> C00065 </v>
      </c>
      <c r="E42" s="4" t="str">
        <f ca="1">IFERROR(__xludf.DUMMYFUNCTION("""COMPUTED_VALUE""")," C01650")</f>
        <v xml:space="preserve"> C01650</v>
      </c>
      <c r="F42" s="4"/>
    </row>
    <row r="43" spans="1:6" ht="14">
      <c r="A43" s="22" t="s">
        <v>15812</v>
      </c>
      <c r="C43" s="4" t="str">
        <f ca="1">IFERROR(__xludf.DUMMYFUNCTION("""COMPUTED_VALUE"""),"C00002 ")</f>
        <v xml:space="preserve">C00002 </v>
      </c>
      <c r="D43" s="4" t="str">
        <f ca="1">IFERROR(__xludf.DUMMYFUNCTION("""COMPUTED_VALUE""")," C00065 ")</f>
        <v xml:space="preserve"> C00065 </v>
      </c>
      <c r="E43" s="4" t="str">
        <f ca="1">IFERROR(__xludf.DUMMYFUNCTION("""COMPUTED_VALUE""")," C16636")</f>
        <v xml:space="preserve"> C16636</v>
      </c>
      <c r="F43" s="4"/>
    </row>
    <row r="44" spans="1:6" ht="14">
      <c r="A44" s="22" t="s">
        <v>15813</v>
      </c>
      <c r="C44" s="4" t="str">
        <f ca="1">IFERROR(__xludf.DUMMYFUNCTION("""COMPUTED_VALUE"""),"C00002 ")</f>
        <v xml:space="preserve">C00002 </v>
      </c>
      <c r="D44" s="4" t="str">
        <f ca="1">IFERROR(__xludf.DUMMYFUNCTION("""COMPUTED_VALUE""")," C00073 ")</f>
        <v xml:space="preserve"> C00073 </v>
      </c>
      <c r="E44" s="4" t="str">
        <f ca="1">IFERROR(__xludf.DUMMYFUNCTION("""COMPUTED_VALUE""")," C01647")</f>
        <v xml:space="preserve"> C01647</v>
      </c>
      <c r="F44" s="4"/>
    </row>
    <row r="45" spans="1:6" ht="14">
      <c r="A45" s="22" t="s">
        <v>15814</v>
      </c>
      <c r="C45" s="4" t="str">
        <f ca="1">IFERROR(__xludf.DUMMYFUNCTION("""COMPUTED_VALUE"""),"C00002 ")</f>
        <v xml:space="preserve">C00002 </v>
      </c>
      <c r="D45" s="4" t="str">
        <f ca="1">IFERROR(__xludf.DUMMYFUNCTION("""COMPUTED_VALUE""")," C00075 ")</f>
        <v xml:space="preserve"> C00075 </v>
      </c>
      <c r="E45" s="4" t="str">
        <f ca="1">IFERROR(__xludf.DUMMYFUNCTION("""COMPUTED_VALUE""")," C00014")</f>
        <v xml:space="preserve"> C00014</v>
      </c>
      <c r="F45" s="4"/>
    </row>
    <row r="46" spans="1:6" ht="14">
      <c r="A46" s="22" t="s">
        <v>15815</v>
      </c>
      <c r="C46" s="4" t="str">
        <f ca="1">IFERROR(__xludf.DUMMYFUNCTION("""COMPUTED_VALUE"""),"C00002 ")</f>
        <v xml:space="preserve">C00002 </v>
      </c>
      <c r="D46" s="4" t="str">
        <f ca="1">IFERROR(__xludf.DUMMYFUNCTION("""COMPUTED_VALUE""")," C00075 ")</f>
        <v xml:space="preserve"> C00075 </v>
      </c>
      <c r="E46" s="4" t="str">
        <f ca="1">IFERROR(__xludf.DUMMYFUNCTION("""COMPUTED_VALUE""")," C00064 ")</f>
        <v xml:space="preserve"> C00064 </v>
      </c>
      <c r="F46" s="4" t="str">
        <f ca="1">IFERROR(__xludf.DUMMYFUNCTION("""COMPUTED_VALUE""")," C00001")</f>
        <v xml:space="preserve"> C00001</v>
      </c>
    </row>
    <row r="47" spans="1:6" ht="14">
      <c r="A47" s="22" t="s">
        <v>15816</v>
      </c>
      <c r="C47" s="4" t="str">
        <f ca="1">IFERROR(__xludf.DUMMYFUNCTION("""COMPUTED_VALUE"""),"C00002 ")</f>
        <v xml:space="preserve">C00002 </v>
      </c>
      <c r="D47" s="4" t="str">
        <f ca="1">IFERROR(__xludf.DUMMYFUNCTION("""COMPUTED_VALUE""")," C00078 ")</f>
        <v xml:space="preserve"> C00078 </v>
      </c>
      <c r="E47" s="4" t="str">
        <f ca="1">IFERROR(__xludf.DUMMYFUNCTION("""COMPUTED_VALUE""")," C01652")</f>
        <v xml:space="preserve"> C01652</v>
      </c>
      <c r="F47" s="4"/>
    </row>
    <row r="48" spans="1:6" ht="14">
      <c r="A48" s="22" t="s">
        <v>15817</v>
      </c>
      <c r="C48" s="4" t="str">
        <f ca="1">IFERROR(__xludf.DUMMYFUNCTION("""COMPUTED_VALUE"""),"C00002 ")</f>
        <v xml:space="preserve">C00002 </v>
      </c>
      <c r="D48" s="4" t="str">
        <f ca="1">IFERROR(__xludf.DUMMYFUNCTION("""COMPUTED_VALUE""")," C00079 ")</f>
        <v xml:space="preserve"> C00079 </v>
      </c>
      <c r="E48" s="4" t="str">
        <f ca="1">IFERROR(__xludf.DUMMYFUNCTION("""COMPUTED_VALUE""")," C01648")</f>
        <v xml:space="preserve"> C01648</v>
      </c>
      <c r="F48" s="4"/>
    </row>
    <row r="49" spans="1:6" ht="14">
      <c r="A49" s="22" t="s">
        <v>15818</v>
      </c>
      <c r="C49" s="4" t="str">
        <f ca="1">IFERROR(__xludf.DUMMYFUNCTION("""COMPUTED_VALUE"""),"C00002 ")</f>
        <v xml:space="preserve">C00002 </v>
      </c>
      <c r="D49" s="4" t="str">
        <f ca="1">IFERROR(__xludf.DUMMYFUNCTION("""COMPUTED_VALUE""")," C00082 ")</f>
        <v xml:space="preserve"> C00082 </v>
      </c>
      <c r="E49" s="4" t="str">
        <f ca="1">IFERROR(__xludf.DUMMYFUNCTION("""COMPUTED_VALUE""")," C00787")</f>
        <v xml:space="preserve"> C00787</v>
      </c>
      <c r="F49" s="4"/>
    </row>
    <row r="50" spans="1:6" ht="14">
      <c r="A50" s="22" t="s">
        <v>15819</v>
      </c>
      <c r="C50" s="4" t="str">
        <f ca="1">IFERROR(__xludf.DUMMYFUNCTION("""COMPUTED_VALUE"""),"C00002 ")</f>
        <v xml:space="preserve">C00002 </v>
      </c>
      <c r="D50" s="4" t="str">
        <f ca="1">IFERROR(__xludf.DUMMYFUNCTION("""COMPUTED_VALUE""")," C00085")</f>
        <v xml:space="preserve"> C00085</v>
      </c>
      <c r="E50" s="4"/>
      <c r="F50" s="4"/>
    </row>
    <row r="51" spans="1:6" ht="14">
      <c r="A51" s="22" t="s">
        <v>15820</v>
      </c>
      <c r="C51" s="4" t="str">
        <f ca="1">IFERROR(__xludf.DUMMYFUNCTION("""COMPUTED_VALUE"""),"C00002 ")</f>
        <v xml:space="preserve">C00002 </v>
      </c>
      <c r="D51" s="4" t="str">
        <f ca="1">IFERROR(__xludf.DUMMYFUNCTION("""COMPUTED_VALUE""")," C00097 ")</f>
        <v xml:space="preserve"> C00097 </v>
      </c>
      <c r="E51" s="4" t="str">
        <f ca="1">IFERROR(__xludf.DUMMYFUNCTION("""COMPUTED_VALUE""")," C01639")</f>
        <v xml:space="preserve"> C01639</v>
      </c>
      <c r="F51" s="4"/>
    </row>
    <row r="52" spans="1:6" ht="14">
      <c r="A52" s="22" t="s">
        <v>15821</v>
      </c>
      <c r="C52" s="4" t="str">
        <f ca="1">IFERROR(__xludf.DUMMYFUNCTION("""COMPUTED_VALUE"""),"C00002 ")</f>
        <v xml:space="preserve">C00002 </v>
      </c>
      <c r="D52" s="4" t="str">
        <f ca="1">IFERROR(__xludf.DUMMYFUNCTION("""COMPUTED_VALUE""")," C00103")</f>
        <v xml:space="preserve"> C00103</v>
      </c>
      <c r="E52" s="4"/>
      <c r="F52" s="4"/>
    </row>
    <row r="53" spans="1:6" ht="14">
      <c r="A53" s="22" t="s">
        <v>15822</v>
      </c>
      <c r="C53" s="4" t="str">
        <f ca="1">IFERROR(__xludf.DUMMYFUNCTION("""COMPUTED_VALUE"""),"C00002 ")</f>
        <v xml:space="preserve">C00002 </v>
      </c>
      <c r="D53" s="4" t="str">
        <f ca="1">IFERROR(__xludf.DUMMYFUNCTION("""COMPUTED_VALUE""")," C00104")</f>
        <v xml:space="preserve"> C00104</v>
      </c>
      <c r="E53" s="4"/>
      <c r="F53" s="4"/>
    </row>
    <row r="54" spans="1:6" ht="14">
      <c r="A54" s="22" t="s">
        <v>15823</v>
      </c>
      <c r="C54" s="4" t="str">
        <f ca="1">IFERROR(__xludf.DUMMYFUNCTION("""COMPUTED_VALUE"""),"C00002 ")</f>
        <v xml:space="preserve">C00002 </v>
      </c>
      <c r="D54" s="4" t="str">
        <f ca="1">IFERROR(__xludf.DUMMYFUNCTION("""COMPUTED_VALUE""")," C00105")</f>
        <v xml:space="preserve"> C00105</v>
      </c>
      <c r="E54" s="4"/>
      <c r="F54" s="4"/>
    </row>
    <row r="55" spans="1:6" ht="14">
      <c r="A55" s="22" t="s">
        <v>15824</v>
      </c>
      <c r="C55" s="4" t="str">
        <f ca="1">IFERROR(__xludf.DUMMYFUNCTION("""COMPUTED_VALUE"""),"C00002 ")</f>
        <v xml:space="preserve">C00002 </v>
      </c>
      <c r="D55" s="4" t="str">
        <f ca="1">IFERROR(__xludf.DUMMYFUNCTION("""COMPUTED_VALUE""")," C00112")</f>
        <v xml:space="preserve"> C00112</v>
      </c>
      <c r="E55" s="4"/>
      <c r="F55" s="4"/>
    </row>
    <row r="56" spans="1:6" ht="14">
      <c r="A56" s="22" t="s">
        <v>15825</v>
      </c>
      <c r="C56" s="4" t="str">
        <f ca="1">IFERROR(__xludf.DUMMYFUNCTION("""COMPUTED_VALUE"""),"C00002 ")</f>
        <v xml:space="preserve">C00002 </v>
      </c>
      <c r="D56" s="4" t="str">
        <f ca="1">IFERROR(__xludf.DUMMYFUNCTION("""COMPUTED_VALUE""")," C00116")</f>
        <v xml:space="preserve"> C00116</v>
      </c>
      <c r="E56" s="4"/>
      <c r="F56" s="4"/>
    </row>
    <row r="57" spans="1:6" ht="14">
      <c r="A57" s="22" t="s">
        <v>15826</v>
      </c>
      <c r="C57" s="4" t="str">
        <f ca="1">IFERROR(__xludf.DUMMYFUNCTION("""COMPUTED_VALUE"""),"C00002 ")</f>
        <v xml:space="preserve">C00002 </v>
      </c>
      <c r="D57" s="4" t="str">
        <f ca="1">IFERROR(__xludf.DUMMYFUNCTION("""COMPUTED_VALUE""")," C00117")</f>
        <v xml:space="preserve"> C00117</v>
      </c>
      <c r="E57" s="4"/>
      <c r="F57" s="4"/>
    </row>
    <row r="58" spans="1:6" ht="14">
      <c r="A58" s="22" t="s">
        <v>15827</v>
      </c>
      <c r="C58" s="4" t="str">
        <f ca="1">IFERROR(__xludf.DUMMYFUNCTION("""COMPUTED_VALUE"""),"C00002 ")</f>
        <v xml:space="preserve">C00002 </v>
      </c>
      <c r="D58" s="4" t="str">
        <f ca="1">IFERROR(__xludf.DUMMYFUNCTION("""COMPUTED_VALUE""")," C00120")</f>
        <v xml:space="preserve"> C00120</v>
      </c>
      <c r="E58" s="4"/>
      <c r="F58" s="4"/>
    </row>
    <row r="59" spans="1:6" ht="14">
      <c r="A59" s="22" t="s">
        <v>15828</v>
      </c>
      <c r="C59" s="4" t="str">
        <f ca="1">IFERROR(__xludf.DUMMYFUNCTION("""COMPUTED_VALUE"""),"C00002 ")</f>
        <v xml:space="preserve">C00002 </v>
      </c>
      <c r="D59" s="4" t="str">
        <f ca="1">IFERROR(__xludf.DUMMYFUNCTION("""COMPUTED_VALUE""")," C00120 ")</f>
        <v xml:space="preserve"> C00120 </v>
      </c>
      <c r="E59" s="4" t="str">
        <f ca="1">IFERROR(__xludf.DUMMYFUNCTION("""COMPUTED_VALUE""")," C04735")</f>
        <v xml:space="preserve"> C04735</v>
      </c>
      <c r="F59" s="4"/>
    </row>
    <row r="60" spans="1:6" ht="14">
      <c r="A60" s="22" t="s">
        <v>15829</v>
      </c>
      <c r="C60" s="4" t="str">
        <f ca="1">IFERROR(__xludf.DUMMYFUNCTION("""COMPUTED_VALUE"""),"C00002 ")</f>
        <v xml:space="preserve">C00002 </v>
      </c>
      <c r="D60" s="4" t="str">
        <f ca="1">IFERROR(__xludf.DUMMYFUNCTION("""COMPUTED_VALUE""")," C00121")</f>
        <v xml:space="preserve"> C00121</v>
      </c>
      <c r="E60" s="4"/>
      <c r="F60" s="4"/>
    </row>
    <row r="61" spans="1:6" ht="14">
      <c r="A61" s="22" t="s">
        <v>15830</v>
      </c>
      <c r="C61" s="4" t="str">
        <f ca="1">IFERROR(__xludf.DUMMYFUNCTION("""COMPUTED_VALUE"""),"C00002 ")</f>
        <v xml:space="preserve">C00002 </v>
      </c>
      <c r="D61" s="4" t="str">
        <f ca="1">IFERROR(__xludf.DUMMYFUNCTION("""COMPUTED_VALUE""")," C00123 ")</f>
        <v xml:space="preserve"> C00123 </v>
      </c>
      <c r="E61" s="4" t="str">
        <f ca="1">IFERROR(__xludf.DUMMYFUNCTION("""COMPUTED_VALUE""")," C01645")</f>
        <v xml:space="preserve"> C01645</v>
      </c>
      <c r="F61" s="4"/>
    </row>
    <row r="62" spans="1:6" ht="14">
      <c r="A62" s="22" t="s">
        <v>15831</v>
      </c>
      <c r="C62" s="4" t="str">
        <f ca="1">IFERROR(__xludf.DUMMYFUNCTION("""COMPUTED_VALUE"""),"C00002 ")</f>
        <v xml:space="preserve">C00002 </v>
      </c>
      <c r="D62" s="4" t="str">
        <f ca="1">IFERROR(__xludf.DUMMYFUNCTION("""COMPUTED_VALUE""")," C00133 ")</f>
        <v xml:space="preserve"> C00133 </v>
      </c>
      <c r="E62" s="4" t="str">
        <f ca="1">IFERROR(__xludf.DUMMYFUNCTION("""COMPUTED_VALUE""")," C00653")</f>
        <v xml:space="preserve"> C00653</v>
      </c>
      <c r="F62" s="4"/>
    </row>
    <row r="63" spans="1:6" ht="14">
      <c r="A63" s="22" t="s">
        <v>15832</v>
      </c>
      <c r="C63" s="4" t="str">
        <f ca="1">IFERROR(__xludf.DUMMYFUNCTION("""COMPUTED_VALUE"""),"C00002 ")</f>
        <v xml:space="preserve">C00002 </v>
      </c>
      <c r="D63" s="4" t="str">
        <f ca="1">IFERROR(__xludf.DUMMYFUNCTION("""COMPUTED_VALUE""")," C00133 ")</f>
        <v xml:space="preserve"> C00133 </v>
      </c>
      <c r="E63" s="4" t="str">
        <f ca="1">IFERROR(__xludf.DUMMYFUNCTION("""COMPUTED_VALUE""")," G13167")</f>
        <v xml:space="preserve"> G13167</v>
      </c>
      <c r="F63" s="4"/>
    </row>
    <row r="64" spans="1:6" ht="14">
      <c r="A64" s="22" t="s">
        <v>15833</v>
      </c>
      <c r="C64" s="4" t="str">
        <f ca="1">IFERROR(__xludf.DUMMYFUNCTION("""COMPUTED_VALUE"""),"C00002 ")</f>
        <v xml:space="preserve">C00002 </v>
      </c>
      <c r="D64" s="4" t="str">
        <f ca="1">IFERROR(__xludf.DUMMYFUNCTION("""COMPUTED_VALUE""")," C00133 ")</f>
        <v xml:space="preserve"> C00133 </v>
      </c>
      <c r="E64" s="4" t="str">
        <f ca="1">IFERROR(__xludf.DUMMYFUNCTION("""COMPUTED_VALUE""")," G13170")</f>
        <v xml:space="preserve"> G13170</v>
      </c>
      <c r="F64" s="4"/>
    </row>
    <row r="65" spans="1:6" ht="14">
      <c r="A65" s="22" t="s">
        <v>15834</v>
      </c>
      <c r="C65" s="4" t="str">
        <f ca="1">IFERROR(__xludf.DUMMYFUNCTION("""COMPUTED_VALUE"""),"C00002 ")</f>
        <v xml:space="preserve">C00002 </v>
      </c>
      <c r="D65" s="4" t="str">
        <f ca="1">IFERROR(__xludf.DUMMYFUNCTION("""COMPUTED_VALUE""")," C00133 ")</f>
        <v xml:space="preserve"> C00133 </v>
      </c>
      <c r="E65" s="4" t="str">
        <f ca="1">IFERROR(__xludf.DUMMYFUNCTION("""COMPUTED_VALUE""")," G13174")</f>
        <v xml:space="preserve"> G13174</v>
      </c>
      <c r="F65" s="4"/>
    </row>
    <row r="66" spans="1:6" ht="14">
      <c r="A66" s="22" t="s">
        <v>15835</v>
      </c>
      <c r="C66" s="4" t="str">
        <f ca="1">IFERROR(__xludf.DUMMYFUNCTION("""COMPUTED_VALUE"""),"C00002 ")</f>
        <v xml:space="preserve">C00002 </v>
      </c>
      <c r="D66" s="4" t="str">
        <f ca="1">IFERROR(__xludf.DUMMYFUNCTION("""COMPUTED_VALUE""")," C00133 ")</f>
        <v xml:space="preserve"> C00133 </v>
      </c>
      <c r="E66" s="4" t="str">
        <f ca="1">IFERROR(__xludf.DUMMYFUNCTION("""COMPUTED_VALUE""")," G13176")</f>
        <v xml:space="preserve"> G13176</v>
      </c>
      <c r="F66" s="4"/>
    </row>
    <row r="67" spans="1:6" ht="14">
      <c r="A67" s="22" t="s">
        <v>15836</v>
      </c>
      <c r="C67" s="4" t="str">
        <f ca="1">IFERROR(__xludf.DUMMYFUNCTION("""COMPUTED_VALUE"""),"C00002 ")</f>
        <v xml:space="preserve">C00002 </v>
      </c>
      <c r="D67" s="4" t="str">
        <f ca="1">IFERROR(__xludf.DUMMYFUNCTION("""COMPUTED_VALUE""")," C00133 ")</f>
        <v xml:space="preserve"> C00133 </v>
      </c>
      <c r="E67" s="4" t="str">
        <f ca="1">IFERROR(__xludf.DUMMYFUNCTION("""COMPUTED_VALUE""")," G13178")</f>
        <v xml:space="preserve"> G13178</v>
      </c>
      <c r="F67" s="4"/>
    </row>
    <row r="68" spans="1:6" ht="14">
      <c r="A68" s="22" t="s">
        <v>15837</v>
      </c>
      <c r="C68" s="4" t="str">
        <f ca="1">IFERROR(__xludf.DUMMYFUNCTION("""COMPUTED_VALUE"""),"C00002 ")</f>
        <v xml:space="preserve">C00002 </v>
      </c>
      <c r="D68" s="4" t="str">
        <f ca="1">IFERROR(__xludf.DUMMYFUNCTION("""COMPUTED_VALUE""")," C00133 ")</f>
        <v xml:space="preserve"> C00133 </v>
      </c>
      <c r="E68" s="4" t="str">
        <f ca="1">IFERROR(__xludf.DUMMYFUNCTION("""COMPUTED_VALUE""")," G13185")</f>
        <v xml:space="preserve"> G13185</v>
      </c>
      <c r="F68" s="4"/>
    </row>
    <row r="69" spans="1:6" ht="14">
      <c r="A69" s="22" t="s">
        <v>15838</v>
      </c>
      <c r="C69" s="4" t="str">
        <f ca="1">IFERROR(__xludf.DUMMYFUNCTION("""COMPUTED_VALUE"""),"C00002 ")</f>
        <v xml:space="preserve">C00002 </v>
      </c>
      <c r="D69" s="4" t="str">
        <f ca="1">IFERROR(__xludf.DUMMYFUNCTION("""COMPUTED_VALUE""")," C00133 ")</f>
        <v xml:space="preserve"> C00133 </v>
      </c>
      <c r="E69" s="4" t="str">
        <f ca="1">IFERROR(__xludf.DUMMYFUNCTION("""COMPUTED_VALUE""")," G13192")</f>
        <v xml:space="preserve"> G13192</v>
      </c>
      <c r="F69" s="4"/>
    </row>
    <row r="70" spans="1:6" ht="14">
      <c r="A70" s="22" t="s">
        <v>15839</v>
      </c>
      <c r="C70" s="4" t="str">
        <f ca="1">IFERROR(__xludf.DUMMYFUNCTION("""COMPUTED_VALUE"""),"C00002 ")</f>
        <v xml:space="preserve">C00002 </v>
      </c>
      <c r="D70" s="4" t="str">
        <f ca="1">IFERROR(__xludf.DUMMYFUNCTION("""COMPUTED_VALUE""")," C00135 ")</f>
        <v xml:space="preserve"> C00135 </v>
      </c>
      <c r="E70" s="4" t="str">
        <f ca="1">IFERROR(__xludf.DUMMYFUNCTION("""COMPUTED_VALUE""")," C01643")</f>
        <v xml:space="preserve"> C01643</v>
      </c>
      <c r="F70" s="4"/>
    </row>
    <row r="71" spans="1:6" ht="14">
      <c r="A71" s="22" t="s">
        <v>15840</v>
      </c>
      <c r="C71" s="4" t="str">
        <f ca="1">IFERROR(__xludf.DUMMYFUNCTION("""COMPUTED_VALUE"""),"C00002 ")</f>
        <v xml:space="preserve">C00002 </v>
      </c>
      <c r="D71" s="4" t="str">
        <f ca="1">IFERROR(__xludf.DUMMYFUNCTION("""COMPUTED_VALUE""")," C00144")</f>
        <v xml:space="preserve"> C00144</v>
      </c>
      <c r="E71" s="4"/>
      <c r="F71" s="4"/>
    </row>
    <row r="72" spans="1:6" ht="14">
      <c r="A72" s="22" t="s">
        <v>15841</v>
      </c>
      <c r="C72" s="4" t="str">
        <f ca="1">IFERROR(__xludf.DUMMYFUNCTION("""COMPUTED_VALUE"""),"C00002 ")</f>
        <v xml:space="preserve">C00002 </v>
      </c>
      <c r="D72" s="4" t="str">
        <f ca="1">IFERROR(__xludf.DUMMYFUNCTION("""COMPUTED_VALUE""")," C00148 ")</f>
        <v xml:space="preserve"> C00148 </v>
      </c>
      <c r="E72" s="4" t="str">
        <f ca="1">IFERROR(__xludf.DUMMYFUNCTION("""COMPUTED_VALUE""")," C01649")</f>
        <v xml:space="preserve"> C01649</v>
      </c>
      <c r="F72" s="4"/>
    </row>
    <row r="73" spans="1:6" ht="14">
      <c r="A73" s="22" t="s">
        <v>15842</v>
      </c>
      <c r="C73" s="4" t="str">
        <f ca="1">IFERROR(__xludf.DUMMYFUNCTION("""COMPUTED_VALUE"""),"C00002 ")</f>
        <v xml:space="preserve">C00002 </v>
      </c>
      <c r="D73" s="4" t="str">
        <f ca="1">IFERROR(__xludf.DUMMYFUNCTION("""COMPUTED_VALUE""")," C00152 ")</f>
        <v xml:space="preserve"> C00152 </v>
      </c>
      <c r="E73" s="4" t="str">
        <f ca="1">IFERROR(__xludf.DUMMYFUNCTION("""COMPUTED_VALUE""")," C01637")</f>
        <v xml:space="preserve"> C01637</v>
      </c>
      <c r="F73" s="4"/>
    </row>
    <row r="74" spans="1:6" ht="14">
      <c r="A74" s="22" t="s">
        <v>15843</v>
      </c>
      <c r="C74" s="4" t="str">
        <f ca="1">IFERROR(__xludf.DUMMYFUNCTION("""COMPUTED_VALUE"""),"C00002 ")</f>
        <v xml:space="preserve">C00002 </v>
      </c>
      <c r="D74" s="4" t="str">
        <f ca="1">IFERROR(__xludf.DUMMYFUNCTION("""COMPUTED_VALUE""")," C00163")</f>
        <v xml:space="preserve"> C00163</v>
      </c>
      <c r="E74" s="4"/>
      <c r="F74" s="4"/>
    </row>
    <row r="75" spans="1:6" ht="14">
      <c r="A75" s="22" t="s">
        <v>15844</v>
      </c>
      <c r="C75" s="4" t="str">
        <f ca="1">IFERROR(__xludf.DUMMYFUNCTION("""COMPUTED_VALUE"""),"C00002 ")</f>
        <v xml:space="preserve">C00002 </v>
      </c>
      <c r="D75" s="4" t="str">
        <f ca="1">IFERROR(__xludf.DUMMYFUNCTION("""COMPUTED_VALUE""")," C00183 ")</f>
        <v xml:space="preserve"> C00183 </v>
      </c>
      <c r="E75" s="4" t="str">
        <f ca="1">IFERROR(__xludf.DUMMYFUNCTION("""COMPUTED_VALUE""")," C01653")</f>
        <v xml:space="preserve"> C01653</v>
      </c>
      <c r="F75" s="4"/>
    </row>
    <row r="76" spans="1:6" ht="14">
      <c r="A76" s="22" t="s">
        <v>15845</v>
      </c>
      <c r="C76" s="4" t="str">
        <f ca="1">IFERROR(__xludf.DUMMYFUNCTION("""COMPUTED_VALUE"""),"C00002 ")</f>
        <v xml:space="preserve">C00002 </v>
      </c>
      <c r="D76" s="4" t="str">
        <f ca="1">IFERROR(__xludf.DUMMYFUNCTION("""COMPUTED_VALUE""")," C00188 ")</f>
        <v xml:space="preserve"> C00188 </v>
      </c>
      <c r="E76" s="4" t="str">
        <f ca="1">IFERROR(__xludf.DUMMYFUNCTION("""COMPUTED_VALUE""")," C01651")</f>
        <v xml:space="preserve"> C01651</v>
      </c>
      <c r="F76" s="4"/>
    </row>
    <row r="77" spans="1:6" ht="14">
      <c r="A77" s="22" t="s">
        <v>15846</v>
      </c>
      <c r="C77" s="4" t="str">
        <f ca="1">IFERROR(__xludf.DUMMYFUNCTION("""COMPUTED_VALUE"""),"C00002 ")</f>
        <v xml:space="preserve">C00002 </v>
      </c>
      <c r="D77" s="4" t="str">
        <f ca="1">IFERROR(__xludf.DUMMYFUNCTION("""COMPUTED_VALUE""")," C00206")</f>
        <v xml:space="preserve"> C00206</v>
      </c>
      <c r="E77" s="4"/>
      <c r="F77" s="4"/>
    </row>
    <row r="78" spans="1:6" ht="14">
      <c r="A78" s="22" t="s">
        <v>15847</v>
      </c>
      <c r="C78" s="4" t="str">
        <f ca="1">IFERROR(__xludf.DUMMYFUNCTION("""COMPUTED_VALUE"""),"C00002 ")</f>
        <v xml:space="preserve">C00002 </v>
      </c>
      <c r="D78" s="4" t="str">
        <f ca="1">IFERROR(__xludf.DUMMYFUNCTION("""COMPUTED_VALUE""")," C00214")</f>
        <v xml:space="preserve"> C00214</v>
      </c>
      <c r="E78" s="4"/>
      <c r="F78" s="4"/>
    </row>
    <row r="79" spans="1:6" ht="14">
      <c r="A79" s="22" t="s">
        <v>15848</v>
      </c>
      <c r="C79" s="4" t="str">
        <f ca="1">IFERROR(__xludf.DUMMYFUNCTION("""COMPUTED_VALUE"""),"C00002 ")</f>
        <v xml:space="preserve">C00002 </v>
      </c>
      <c r="D79" s="4" t="str">
        <f ca="1">IFERROR(__xludf.DUMMYFUNCTION("""COMPUTED_VALUE""")," C00221")</f>
        <v xml:space="preserve"> C00221</v>
      </c>
      <c r="E79" s="4"/>
      <c r="F79" s="4"/>
    </row>
    <row r="80" spans="1:6" ht="14">
      <c r="A80" s="22" t="s">
        <v>15849</v>
      </c>
      <c r="C80" s="4" t="str">
        <f ca="1">IFERROR(__xludf.DUMMYFUNCTION("""COMPUTED_VALUE"""),"C00002 ")</f>
        <v xml:space="preserve">C00002 </v>
      </c>
      <c r="D80" s="4" t="str">
        <f ca="1">IFERROR(__xludf.DUMMYFUNCTION("""COMPUTED_VALUE""")," C00239")</f>
        <v xml:space="preserve"> C00239</v>
      </c>
      <c r="E80" s="4"/>
      <c r="F80" s="4"/>
    </row>
    <row r="81" spans="1:6" ht="14">
      <c r="A81" s="22" t="s">
        <v>15850</v>
      </c>
      <c r="C81" s="4" t="str">
        <f ca="1">IFERROR(__xludf.DUMMYFUNCTION("""COMPUTED_VALUE"""),"C00002 ")</f>
        <v xml:space="preserve">C00002 </v>
      </c>
      <c r="D81" s="4" t="str">
        <f ca="1">IFERROR(__xludf.DUMMYFUNCTION("""COMPUTED_VALUE""")," C00246")</f>
        <v xml:space="preserve"> C00246</v>
      </c>
      <c r="E81" s="4"/>
      <c r="F81" s="4"/>
    </row>
    <row r="82" spans="1:6" ht="14">
      <c r="A82" s="22" t="s">
        <v>15851</v>
      </c>
      <c r="C82" s="4" t="str">
        <f ca="1">IFERROR(__xludf.DUMMYFUNCTION("""COMPUTED_VALUE"""),"C00002 ")</f>
        <v xml:space="preserve">C00002 </v>
      </c>
      <c r="D82" s="4" t="str">
        <f ca="1">IFERROR(__xludf.DUMMYFUNCTION("""COMPUTED_VALUE""")," C00255")</f>
        <v xml:space="preserve"> C00255</v>
      </c>
      <c r="E82" s="4"/>
      <c r="F82" s="4"/>
    </row>
    <row r="83" spans="1:6" ht="14">
      <c r="A83" s="22" t="s">
        <v>15852</v>
      </c>
      <c r="C83" s="4" t="str">
        <f ca="1">IFERROR(__xludf.DUMMYFUNCTION("""COMPUTED_VALUE"""),"C00002 ")</f>
        <v xml:space="preserve">C00002 </v>
      </c>
      <c r="D83" s="4" t="str">
        <f ca="1">IFERROR(__xludf.DUMMYFUNCTION("""COMPUTED_VALUE""")," C00257")</f>
        <v xml:space="preserve"> C00257</v>
      </c>
      <c r="E83" s="4"/>
      <c r="F83" s="4"/>
    </row>
    <row r="84" spans="1:6" ht="14">
      <c r="A84" s="22" t="s">
        <v>15853</v>
      </c>
      <c r="C84" s="4" t="str">
        <f ca="1">IFERROR(__xludf.DUMMYFUNCTION("""COMPUTED_VALUE"""),"C00002 ")</f>
        <v xml:space="preserve">C00002 </v>
      </c>
      <c r="D84" s="4" t="str">
        <f ca="1">IFERROR(__xludf.DUMMYFUNCTION("""COMPUTED_VALUE""")," C00263")</f>
        <v xml:space="preserve"> C00263</v>
      </c>
      <c r="E84" s="4"/>
      <c r="F84" s="4"/>
    </row>
    <row r="85" spans="1:6" ht="14">
      <c r="A85" s="22" t="s">
        <v>15854</v>
      </c>
      <c r="C85" s="4" t="str">
        <f ca="1">IFERROR(__xludf.DUMMYFUNCTION("""COMPUTED_VALUE"""),"C00002 ")</f>
        <v xml:space="preserve">C00002 </v>
      </c>
      <c r="D85" s="4" t="str">
        <f ca="1">IFERROR(__xludf.DUMMYFUNCTION("""COMPUTED_VALUE""")," C00267")</f>
        <v xml:space="preserve"> C00267</v>
      </c>
      <c r="E85" s="4"/>
      <c r="F85" s="4"/>
    </row>
    <row r="86" spans="1:6" ht="14">
      <c r="A86" s="22" t="s">
        <v>15855</v>
      </c>
      <c r="C86" s="4" t="str">
        <f ca="1">IFERROR(__xludf.DUMMYFUNCTION("""COMPUTED_VALUE"""),"C00002 ")</f>
        <v xml:space="preserve">C00002 </v>
      </c>
      <c r="D86" s="4" t="str">
        <f ca="1">IFERROR(__xludf.DUMMYFUNCTION("""COMPUTED_VALUE""")," C00288")</f>
        <v xml:space="preserve"> C00288</v>
      </c>
      <c r="E86" s="4"/>
      <c r="F86" s="4"/>
    </row>
    <row r="87" spans="1:6" ht="14">
      <c r="A87" s="22" t="s">
        <v>15856</v>
      </c>
      <c r="C87" s="4" t="str">
        <f ca="1">IFERROR(__xludf.DUMMYFUNCTION("""COMPUTED_VALUE"""),"C00002 ")</f>
        <v xml:space="preserve">C00002 </v>
      </c>
      <c r="D87" s="4" t="str">
        <f ca="1">IFERROR(__xludf.DUMMYFUNCTION("""COMPUTED_VALUE""")," C00299")</f>
        <v xml:space="preserve"> C00299</v>
      </c>
      <c r="E87" s="4"/>
      <c r="F87" s="4"/>
    </row>
    <row r="88" spans="1:6" ht="14">
      <c r="A88" s="22" t="s">
        <v>15857</v>
      </c>
      <c r="C88" s="4" t="str">
        <f ca="1">IFERROR(__xludf.DUMMYFUNCTION("""COMPUTED_VALUE"""),"C00002 ")</f>
        <v xml:space="preserve">C00002 </v>
      </c>
      <c r="D88" s="4" t="str">
        <f ca="1">IFERROR(__xludf.DUMMYFUNCTION("""COMPUTED_VALUE""")," C00310")</f>
        <v xml:space="preserve"> C00310</v>
      </c>
      <c r="E88" s="4"/>
      <c r="F88" s="4"/>
    </row>
    <row r="89" spans="1:6" ht="14">
      <c r="A89" s="21" t="s">
        <v>15858</v>
      </c>
      <c r="C89" s="4" t="str">
        <f ca="1">IFERROR(__xludf.DUMMYFUNCTION("""COMPUTED_VALUE"""),"C00002 ")</f>
        <v xml:space="preserve">C00002 </v>
      </c>
      <c r="D89" s="4" t="str">
        <f ca="1">IFERROR(__xludf.DUMMYFUNCTION("""COMPUTED_VALUE""")," C00327 ")</f>
        <v xml:space="preserve"> C00327 </v>
      </c>
      <c r="E89" s="4" t="str">
        <f ca="1">IFERROR(__xludf.DUMMYFUNCTION("""COMPUTED_VALUE""")," C00049")</f>
        <v xml:space="preserve"> C00049</v>
      </c>
      <c r="F89" s="4"/>
    </row>
    <row r="90" spans="1:6" ht="14">
      <c r="A90" s="22" t="s">
        <v>15859</v>
      </c>
      <c r="C90" s="4" t="str">
        <f ca="1">IFERROR(__xludf.DUMMYFUNCTION("""COMPUTED_VALUE"""),"C00002 ")</f>
        <v xml:space="preserve">C00002 </v>
      </c>
      <c r="D90" s="4" t="str">
        <f ca="1">IFERROR(__xludf.DUMMYFUNCTION("""COMPUTED_VALUE""")," C00360")</f>
        <v xml:space="preserve"> C00360</v>
      </c>
      <c r="E90" s="4"/>
      <c r="F90" s="4"/>
    </row>
    <row r="91" spans="1:6" ht="14">
      <c r="A91" s="22" t="s">
        <v>15860</v>
      </c>
      <c r="C91" s="4" t="str">
        <f ca="1">IFERROR(__xludf.DUMMYFUNCTION("""COMPUTED_VALUE"""),"C00002 ")</f>
        <v xml:space="preserve">C00002 </v>
      </c>
      <c r="D91" s="4" t="str">
        <f ca="1">IFERROR(__xludf.DUMMYFUNCTION("""COMPUTED_VALUE""")," C00361")</f>
        <v xml:space="preserve"> C00361</v>
      </c>
      <c r="E91" s="4"/>
      <c r="F91" s="4"/>
    </row>
    <row r="92" spans="1:6" ht="14">
      <c r="A92" s="22" t="s">
        <v>15861</v>
      </c>
      <c r="C92" s="4" t="str">
        <f ca="1">IFERROR(__xludf.DUMMYFUNCTION("""COMPUTED_VALUE"""),"C00002 ")</f>
        <v xml:space="preserve">C00002 </v>
      </c>
      <c r="D92" s="4" t="str">
        <f ca="1">IFERROR(__xludf.DUMMYFUNCTION("""COMPUTED_VALUE""")," C00362")</f>
        <v xml:space="preserve"> C00362</v>
      </c>
      <c r="E92" s="4"/>
      <c r="F92" s="4"/>
    </row>
    <row r="93" spans="1:6" ht="14">
      <c r="A93" s="22" t="s">
        <v>15862</v>
      </c>
      <c r="C93" s="4" t="str">
        <f ca="1">IFERROR(__xludf.DUMMYFUNCTION("""COMPUTED_VALUE"""),"C00002 ")</f>
        <v xml:space="preserve">C00002 </v>
      </c>
      <c r="D93" s="4" t="str">
        <f ca="1">IFERROR(__xludf.DUMMYFUNCTION("""COMPUTED_VALUE""")," C00363")</f>
        <v xml:space="preserve"> C00363</v>
      </c>
      <c r="E93" s="4"/>
      <c r="F93" s="4"/>
    </row>
    <row r="94" spans="1:6" ht="14">
      <c r="A94" s="22" t="s">
        <v>15863</v>
      </c>
      <c r="C94" s="4" t="str">
        <f ca="1">IFERROR(__xludf.DUMMYFUNCTION("""COMPUTED_VALUE"""),"C00002 ")</f>
        <v xml:space="preserve">C00002 </v>
      </c>
      <c r="D94" s="4" t="str">
        <f ca="1">IFERROR(__xludf.DUMMYFUNCTION("""COMPUTED_VALUE""")," C00364")</f>
        <v xml:space="preserve"> C00364</v>
      </c>
      <c r="E94" s="4"/>
      <c r="F94" s="4"/>
    </row>
    <row r="95" spans="1:6" ht="14">
      <c r="A95" s="22" t="s">
        <v>15864</v>
      </c>
      <c r="C95" s="4" t="str">
        <f ca="1">IFERROR(__xludf.DUMMYFUNCTION("""COMPUTED_VALUE"""),"C00002 ")</f>
        <v xml:space="preserve">C00002 </v>
      </c>
      <c r="D95" s="4" t="str">
        <f ca="1">IFERROR(__xludf.DUMMYFUNCTION("""COMPUTED_VALUE""")," C00365")</f>
        <v xml:space="preserve"> C00365</v>
      </c>
      <c r="E95" s="4"/>
      <c r="F95" s="4"/>
    </row>
    <row r="96" spans="1:6" ht="14">
      <c r="A96" s="22" t="s">
        <v>15865</v>
      </c>
      <c r="C96" s="4" t="str">
        <f ca="1">IFERROR(__xludf.DUMMYFUNCTION("""COMPUTED_VALUE"""),"C00002 ")</f>
        <v xml:space="preserve">C00002 </v>
      </c>
      <c r="D96" s="4" t="str">
        <f ca="1">IFERROR(__xludf.DUMMYFUNCTION("""COMPUTED_VALUE""")," C00378")</f>
        <v xml:space="preserve"> C00378</v>
      </c>
      <c r="E96" s="4"/>
      <c r="F96" s="4"/>
    </row>
    <row r="97" spans="1:6" ht="14">
      <c r="A97" s="22" t="s">
        <v>15866</v>
      </c>
      <c r="C97" s="4" t="str">
        <f ca="1">IFERROR(__xludf.DUMMYFUNCTION("""COMPUTED_VALUE"""),"C00002 ")</f>
        <v xml:space="preserve">C00002 </v>
      </c>
      <c r="D97" s="4" t="str">
        <f ca="1">IFERROR(__xludf.DUMMYFUNCTION("""COMPUTED_VALUE""")," C00404")</f>
        <v xml:space="preserve"> C00404</v>
      </c>
      <c r="E97" s="4"/>
      <c r="F97" s="4"/>
    </row>
    <row r="98" spans="1:6" ht="14">
      <c r="A98" s="22" t="s">
        <v>15867</v>
      </c>
      <c r="C98" s="4" t="str">
        <f ca="1">IFERROR(__xludf.DUMMYFUNCTION("""COMPUTED_VALUE"""),"C00002 ")</f>
        <v xml:space="preserve">C00002 </v>
      </c>
      <c r="D98" s="4" t="str">
        <f ca="1">IFERROR(__xludf.DUMMYFUNCTION("""COMPUTED_VALUE""")," C00407 ")</f>
        <v xml:space="preserve"> C00407 </v>
      </c>
      <c r="E98" s="4" t="str">
        <f ca="1">IFERROR(__xludf.DUMMYFUNCTION("""COMPUTED_VALUE""")," C01644")</f>
        <v xml:space="preserve"> C01644</v>
      </c>
      <c r="F98" s="4"/>
    </row>
    <row r="99" spans="1:6" ht="14">
      <c r="A99" s="22" t="s">
        <v>15868</v>
      </c>
      <c r="C99" s="4" t="str">
        <f ca="1">IFERROR(__xludf.DUMMYFUNCTION("""COMPUTED_VALUE"""),"C00002 ")</f>
        <v xml:space="preserve">C00002 </v>
      </c>
      <c r="D99" s="4" t="str">
        <f ca="1">IFERROR(__xludf.DUMMYFUNCTION("""COMPUTED_VALUE""")," C00418")</f>
        <v xml:space="preserve"> C00418</v>
      </c>
      <c r="E99" s="4"/>
      <c r="F99" s="4"/>
    </row>
    <row r="100" spans="1:6" ht="14">
      <c r="A100" s="22" t="s">
        <v>15869</v>
      </c>
      <c r="C100" s="4" t="str">
        <f ca="1">IFERROR(__xludf.DUMMYFUNCTION("""COMPUTED_VALUE"""),"C00002 ")</f>
        <v xml:space="preserve">C00002 </v>
      </c>
      <c r="D100" s="4" t="str">
        <f ca="1">IFERROR(__xludf.DUMMYFUNCTION("""COMPUTED_VALUE""")," C00454")</f>
        <v xml:space="preserve"> C00454</v>
      </c>
      <c r="E100" s="4"/>
      <c r="F100" s="4"/>
    </row>
    <row r="101" spans="1:6" ht="14">
      <c r="A101" s="22" t="s">
        <v>15870</v>
      </c>
      <c r="C101" s="4" t="str">
        <f ca="1">IFERROR(__xludf.DUMMYFUNCTION("""COMPUTED_VALUE"""),"C00002 ")</f>
        <v xml:space="preserve">C00002 </v>
      </c>
      <c r="D101" s="4" t="str">
        <f ca="1">IFERROR(__xludf.DUMMYFUNCTION("""COMPUTED_VALUE""")," C00455")</f>
        <v xml:space="preserve"> C00455</v>
      </c>
      <c r="E101" s="4"/>
      <c r="F101" s="4"/>
    </row>
    <row r="102" spans="1:6" ht="14">
      <c r="A102" s="22" t="s">
        <v>15871</v>
      </c>
      <c r="C102" s="4" t="str">
        <f ca="1">IFERROR(__xludf.DUMMYFUNCTION("""COMPUTED_VALUE"""),"C00002 ")</f>
        <v xml:space="preserve">C00002 </v>
      </c>
      <c r="D102" s="4" t="str">
        <f ca="1">IFERROR(__xludf.DUMMYFUNCTION("""COMPUTED_VALUE""")," C00475")</f>
        <v xml:space="preserve"> C00475</v>
      </c>
      <c r="E102" s="4"/>
      <c r="F102" s="4"/>
    </row>
    <row r="103" spans="1:6" ht="14">
      <c r="A103" s="22" t="s">
        <v>15872</v>
      </c>
      <c r="C103" s="4" t="str">
        <f ca="1">IFERROR(__xludf.DUMMYFUNCTION("""COMPUTED_VALUE"""),"C00002 ")</f>
        <v xml:space="preserve">C00002 </v>
      </c>
      <c r="D103" s="4" t="str">
        <f ca="1">IFERROR(__xludf.DUMMYFUNCTION("""COMPUTED_VALUE""")," C00526")</f>
        <v xml:space="preserve"> C00526</v>
      </c>
      <c r="E103" s="4"/>
      <c r="F103" s="4"/>
    </row>
    <row r="104" spans="1:6" ht="14">
      <c r="A104" s="22" t="s">
        <v>15873</v>
      </c>
      <c r="C104" s="4" t="str">
        <f ca="1">IFERROR(__xludf.DUMMYFUNCTION("""COMPUTED_VALUE"""),"C00002 ")</f>
        <v xml:space="preserve">C00002 </v>
      </c>
      <c r="D104" s="4" t="str">
        <f ca="1">IFERROR(__xludf.DUMMYFUNCTION("""COMPUTED_VALUE""")," C00585")</f>
        <v xml:space="preserve"> C00585</v>
      </c>
      <c r="E104" s="4"/>
      <c r="F104" s="4"/>
    </row>
    <row r="105" spans="1:6" ht="14">
      <c r="A105" s="22" t="s">
        <v>15874</v>
      </c>
      <c r="C105" s="4" t="str">
        <f ca="1">IFERROR(__xludf.DUMMYFUNCTION("""COMPUTED_VALUE"""),"C00002 ")</f>
        <v xml:space="preserve">C00002 </v>
      </c>
      <c r="D105" s="4" t="str">
        <f ca="1">IFERROR(__xludf.DUMMYFUNCTION("""COMPUTED_VALUE""")," C00641")</f>
        <v xml:space="preserve"> C00641</v>
      </c>
      <c r="E105" s="4"/>
      <c r="F105" s="4"/>
    </row>
    <row r="106" spans="1:6" ht="14">
      <c r="A106" s="22" t="s">
        <v>15875</v>
      </c>
      <c r="C106" s="4" t="str">
        <f ca="1">IFERROR(__xludf.DUMMYFUNCTION("""COMPUTED_VALUE"""),"C00002 ")</f>
        <v xml:space="preserve">C00002 </v>
      </c>
      <c r="D106" s="4" t="str">
        <f ca="1">IFERROR(__xludf.DUMMYFUNCTION("""COMPUTED_VALUE""")," C00655 ")</f>
        <v xml:space="preserve"> C00655 </v>
      </c>
      <c r="E106" s="4" t="str">
        <f ca="1">IFERROR(__xludf.DUMMYFUNCTION("""COMPUTED_VALUE""")," C00014")</f>
        <v xml:space="preserve"> C00014</v>
      </c>
      <c r="F106" s="4"/>
    </row>
    <row r="107" spans="1:6" ht="14">
      <c r="A107" s="22" t="s">
        <v>15876</v>
      </c>
      <c r="C107" s="4" t="str">
        <f ca="1">IFERROR(__xludf.DUMMYFUNCTION("""COMPUTED_VALUE"""),"C00002 ")</f>
        <v xml:space="preserve">C00002 </v>
      </c>
      <c r="D107" s="4" t="str">
        <f ca="1">IFERROR(__xludf.DUMMYFUNCTION("""COMPUTED_VALUE""")," C00655 ")</f>
        <v xml:space="preserve"> C00655 </v>
      </c>
      <c r="E107" s="4" t="str">
        <f ca="1">IFERROR(__xludf.DUMMYFUNCTION("""COMPUTED_VALUE""")," C00064 ")</f>
        <v xml:space="preserve"> C00064 </v>
      </c>
      <c r="F107" s="4" t="str">
        <f ca="1">IFERROR(__xludf.DUMMYFUNCTION("""COMPUTED_VALUE""")," C00001")</f>
        <v xml:space="preserve"> C00001</v>
      </c>
    </row>
    <row r="108" spans="1:6" ht="14">
      <c r="A108" s="22" t="s">
        <v>15877</v>
      </c>
      <c r="C108" s="4" t="str">
        <f ca="1">IFERROR(__xludf.DUMMYFUNCTION("""COMPUTED_VALUE"""),"C00002 ")</f>
        <v xml:space="preserve">C00002 </v>
      </c>
      <c r="D108" s="4" t="str">
        <f ca="1">IFERROR(__xludf.DUMMYFUNCTION("""COMPUTED_VALUE""")," C00692 ")</f>
        <v xml:space="preserve"> C00692 </v>
      </c>
      <c r="E108" s="4" t="str">
        <f ca="1">IFERROR(__xludf.DUMMYFUNCTION("""COMPUTED_VALUE""")," C00680")</f>
        <v xml:space="preserve"> C00680</v>
      </c>
      <c r="F108" s="4"/>
    </row>
    <row r="109" spans="1:6" ht="14">
      <c r="A109" s="22" t="s">
        <v>15878</v>
      </c>
      <c r="C109" s="4" t="str">
        <f ca="1">IFERROR(__xludf.DUMMYFUNCTION("""COMPUTED_VALUE"""),"C00002 ")</f>
        <v xml:space="preserve">C00002 </v>
      </c>
      <c r="D109" s="4" t="str">
        <f ca="1">IFERROR(__xludf.DUMMYFUNCTION("""COMPUTED_VALUE""")," C00705")</f>
        <v xml:space="preserve"> C00705</v>
      </c>
      <c r="E109" s="4"/>
      <c r="F109" s="4"/>
    </row>
    <row r="110" spans="1:6" ht="14">
      <c r="A110" s="22" t="s">
        <v>15879</v>
      </c>
      <c r="C110" s="4" t="str">
        <f ca="1">IFERROR(__xludf.DUMMYFUNCTION("""COMPUTED_VALUE"""),"C00002 ")</f>
        <v xml:space="preserve">C00002 </v>
      </c>
      <c r="D110" s="4" t="str">
        <f ca="1">IFERROR(__xludf.DUMMYFUNCTION("""COMPUTED_VALUE""")," C00831")</f>
        <v xml:space="preserve"> C00831</v>
      </c>
      <c r="E110" s="4"/>
      <c r="F110" s="4"/>
    </row>
    <row r="111" spans="1:6" ht="14">
      <c r="A111" s="22" t="s">
        <v>15880</v>
      </c>
      <c r="C111" s="4" t="str">
        <f ca="1">IFERROR(__xludf.DUMMYFUNCTION("""COMPUTED_VALUE"""),"C00002 ")</f>
        <v xml:space="preserve">C00002 </v>
      </c>
      <c r="D111" s="4" t="str">
        <f ca="1">IFERROR(__xludf.DUMMYFUNCTION("""COMPUTED_VALUE""")," C00853")</f>
        <v xml:space="preserve"> C00853</v>
      </c>
      <c r="E111" s="4"/>
      <c r="F111" s="4"/>
    </row>
    <row r="112" spans="1:6" ht="12.5">
      <c r="A112" s="4" t="s">
        <v>12694</v>
      </c>
      <c r="C112" s="4" t="str">
        <f ca="1">IFERROR(__xludf.DUMMYFUNCTION("""COMPUTED_VALUE"""),"C00002 ")</f>
        <v xml:space="preserve">C00002 </v>
      </c>
      <c r="D112" s="4" t="str">
        <f ca="1">IFERROR(__xludf.DUMMYFUNCTION("""COMPUTED_VALUE""")," C00857 ")</f>
        <v xml:space="preserve"> C00857 </v>
      </c>
      <c r="E112" s="4" t="str">
        <f ca="1">IFERROR(__xludf.DUMMYFUNCTION("""COMPUTED_VALUE""")," C00014")</f>
        <v xml:space="preserve"> C00014</v>
      </c>
      <c r="F112" s="4"/>
    </row>
    <row r="113" spans="1:6" ht="14">
      <c r="A113" s="22" t="s">
        <v>15881</v>
      </c>
      <c r="C113" s="4" t="str">
        <f ca="1">IFERROR(__xludf.DUMMYFUNCTION("""COMPUTED_VALUE"""),"C00002 ")</f>
        <v xml:space="preserve">C00002 </v>
      </c>
      <c r="D113" s="4" t="str">
        <f ca="1">IFERROR(__xludf.DUMMYFUNCTION("""COMPUTED_VALUE""")," C00864")</f>
        <v xml:space="preserve"> C00864</v>
      </c>
      <c r="E113" s="4"/>
      <c r="F113" s="4"/>
    </row>
    <row r="114" spans="1:6" ht="12.5">
      <c r="A114" s="4" t="s">
        <v>12780</v>
      </c>
      <c r="C114" s="4" t="str">
        <f ca="1">IFERROR(__xludf.DUMMYFUNCTION("""COMPUTED_VALUE"""),"C00002 ")</f>
        <v xml:space="preserve">C00002 </v>
      </c>
      <c r="D114" s="4" t="str">
        <f ca="1">IFERROR(__xludf.DUMMYFUNCTION("""COMPUTED_VALUE""")," C00882")</f>
        <v xml:space="preserve"> C00882</v>
      </c>
      <c r="E114" s="4"/>
      <c r="F114" s="4"/>
    </row>
    <row r="115" spans="1:6" ht="14">
      <c r="A115" s="22" t="s">
        <v>15882</v>
      </c>
      <c r="C115" s="4" t="str">
        <f ca="1">IFERROR(__xludf.DUMMYFUNCTION("""COMPUTED_VALUE"""),"C00002 ")</f>
        <v xml:space="preserve">C00002 </v>
      </c>
      <c r="D115" s="4" t="str">
        <f ca="1">IFERROR(__xludf.DUMMYFUNCTION("""COMPUTED_VALUE""")," C00882")</f>
        <v xml:space="preserve"> C00882</v>
      </c>
      <c r="E115" s="4"/>
      <c r="F115" s="4"/>
    </row>
    <row r="116" spans="1:6" ht="14">
      <c r="A116" s="22" t="s">
        <v>15883</v>
      </c>
      <c r="C116" s="4" t="str">
        <f ca="1">IFERROR(__xludf.DUMMYFUNCTION("""COMPUTED_VALUE"""),"C00002 ")</f>
        <v xml:space="preserve">C00002 </v>
      </c>
      <c r="D116" s="4" t="str">
        <f ca="1">IFERROR(__xludf.DUMMYFUNCTION("""COMPUTED_VALUE""")," C00984")</f>
        <v xml:space="preserve"> C00984</v>
      </c>
      <c r="E116" s="4"/>
      <c r="F116" s="4"/>
    </row>
    <row r="117" spans="1:6" ht="14">
      <c r="A117" s="22" t="s">
        <v>15884</v>
      </c>
      <c r="C117" s="4" t="str">
        <f ca="1">IFERROR(__xludf.DUMMYFUNCTION("""COMPUTED_VALUE"""),"C00002 ")</f>
        <v xml:space="preserve">C00002 </v>
      </c>
      <c r="D117" s="4" t="str">
        <f ca="1">IFERROR(__xludf.DUMMYFUNCTION("""COMPUTED_VALUE""")," C01050 ")</f>
        <v xml:space="preserve"> C01050 </v>
      </c>
      <c r="E117" s="4" t="str">
        <f ca="1">IFERROR(__xludf.DUMMYFUNCTION("""COMPUTED_VALUE""")," C00041")</f>
        <v xml:space="preserve"> C00041</v>
      </c>
      <c r="F117" s="4"/>
    </row>
    <row r="118" spans="1:6" ht="14">
      <c r="A118" s="22" t="s">
        <v>15885</v>
      </c>
      <c r="C118" s="4" t="str">
        <f ca="1">IFERROR(__xludf.DUMMYFUNCTION("""COMPUTED_VALUE"""),"C00002 ")</f>
        <v xml:space="preserve">C00002 </v>
      </c>
      <c r="D118" s="4" t="str">
        <f ca="1">IFERROR(__xludf.DUMMYFUNCTION("""COMPUTED_VALUE""")," C01094")</f>
        <v xml:space="preserve"> C01094</v>
      </c>
      <c r="E118" s="4"/>
      <c r="F118" s="4"/>
    </row>
    <row r="119" spans="1:6" ht="14">
      <c r="A119" s="22" t="s">
        <v>15886</v>
      </c>
      <c r="C119" s="4" t="str">
        <f ca="1">IFERROR(__xludf.DUMMYFUNCTION("""COMPUTED_VALUE"""),"C00002 ")</f>
        <v xml:space="preserve">C00002 </v>
      </c>
      <c r="D119" s="4" t="str">
        <f ca="1">IFERROR(__xludf.DUMMYFUNCTION("""COMPUTED_VALUE""")," C01094")</f>
        <v xml:space="preserve"> C01094</v>
      </c>
      <c r="E119" s="4"/>
      <c r="F119" s="4"/>
    </row>
    <row r="120" spans="1:6" ht="14">
      <c r="A120" s="22" t="s">
        <v>15887</v>
      </c>
      <c r="C120" s="4" t="str">
        <f ca="1">IFERROR(__xludf.DUMMYFUNCTION("""COMPUTED_VALUE"""),"C00002 ")</f>
        <v xml:space="preserve">C00002 </v>
      </c>
      <c r="D120" s="4" t="str">
        <f ca="1">IFERROR(__xludf.DUMMYFUNCTION("""COMPUTED_VALUE""")," C01107")</f>
        <v xml:space="preserve"> C01107</v>
      </c>
      <c r="E120" s="4"/>
      <c r="F120" s="4"/>
    </row>
    <row r="121" spans="1:6" ht="14">
      <c r="A121" s="22" t="s">
        <v>15888</v>
      </c>
      <c r="C121" s="4" t="str">
        <f ca="1">IFERROR(__xludf.DUMMYFUNCTION("""COMPUTED_VALUE"""),"C00002 ")</f>
        <v xml:space="preserve">C00002 </v>
      </c>
      <c r="D121" s="4" t="str">
        <f ca="1">IFERROR(__xludf.DUMMYFUNCTION("""COMPUTED_VALUE""")," C01134")</f>
        <v xml:space="preserve"> C01134</v>
      </c>
      <c r="E121" s="4"/>
      <c r="F121" s="4"/>
    </row>
    <row r="122" spans="1:6" ht="14">
      <c r="A122" s="22" t="s">
        <v>15889</v>
      </c>
      <c r="C122" s="4" t="str">
        <f ca="1">IFERROR(__xludf.DUMMYFUNCTION("""COMPUTED_VALUE"""),"C00002 ")</f>
        <v xml:space="preserve">C00002 </v>
      </c>
      <c r="D122" s="4" t="str">
        <f ca="1">IFERROR(__xludf.DUMMYFUNCTION("""COMPUTED_VALUE""")," C01143")</f>
        <v xml:space="preserve"> C01143</v>
      </c>
      <c r="E122" s="4"/>
      <c r="F122" s="4"/>
    </row>
    <row r="123" spans="1:6" ht="14">
      <c r="A123" s="22" t="s">
        <v>15890</v>
      </c>
      <c r="C123" s="4" t="str">
        <f ca="1">IFERROR(__xludf.DUMMYFUNCTION("""COMPUTED_VALUE"""),"C00002 ")</f>
        <v xml:space="preserve">C00002 </v>
      </c>
      <c r="D123" s="4" t="str">
        <f ca="1">IFERROR(__xludf.DUMMYFUNCTION("""COMPUTED_VALUE""")," C01185")</f>
        <v xml:space="preserve"> C01185</v>
      </c>
      <c r="E123" s="4"/>
      <c r="F123" s="4"/>
    </row>
    <row r="124" spans="1:6" ht="14">
      <c r="A124" s="22" t="s">
        <v>15891</v>
      </c>
      <c r="C124" s="4" t="str">
        <f ca="1">IFERROR(__xludf.DUMMYFUNCTION("""COMPUTED_VALUE"""),"C00002 ")</f>
        <v xml:space="preserve">C00002 </v>
      </c>
      <c r="D124" s="4" t="str">
        <f ca="1">IFERROR(__xludf.DUMMYFUNCTION("""COMPUTED_VALUE""")," C01212 ")</f>
        <v xml:space="preserve"> C01212 </v>
      </c>
      <c r="E124" s="4" t="str">
        <f ca="1">IFERROR(__xludf.DUMMYFUNCTION("""COMPUTED_VALUE""")," C00217")</f>
        <v xml:space="preserve"> C00217</v>
      </c>
      <c r="F124" s="4"/>
    </row>
    <row r="125" spans="1:6" ht="14">
      <c r="A125" s="22" t="s">
        <v>15892</v>
      </c>
      <c r="C125" s="4" t="str">
        <f ca="1">IFERROR(__xludf.DUMMYFUNCTION("""COMPUTED_VALUE"""),"C00002 ")</f>
        <v xml:space="preserve">C00002 </v>
      </c>
      <c r="D125" s="4" t="str">
        <f ca="1">IFERROR(__xludf.DUMMYFUNCTION("""COMPUTED_VALUE""")," C01279")</f>
        <v xml:space="preserve"> C01279</v>
      </c>
      <c r="E125" s="4"/>
      <c r="F125" s="4"/>
    </row>
    <row r="126" spans="1:6" ht="14">
      <c r="A126" s="22" t="s">
        <v>15893</v>
      </c>
      <c r="C126" s="4" t="str">
        <f ca="1">IFERROR(__xludf.DUMMYFUNCTION("""COMPUTED_VALUE"""),"C00002 ")</f>
        <v xml:space="preserve">C00002 </v>
      </c>
      <c r="D126" s="4" t="str">
        <f ca="1">IFERROR(__xludf.DUMMYFUNCTION("""COMPUTED_VALUE""")," C01344")</f>
        <v xml:space="preserve"> C01344</v>
      </c>
      <c r="E126" s="4"/>
      <c r="F126" s="4"/>
    </row>
    <row r="127" spans="1:6" ht="14">
      <c r="A127" s="22" t="s">
        <v>15894</v>
      </c>
      <c r="C127" s="4" t="str">
        <f ca="1">IFERROR(__xludf.DUMMYFUNCTION("""COMPUTED_VALUE"""),"C00002 ")</f>
        <v xml:space="preserve">C00002 </v>
      </c>
      <c r="D127" s="4" t="str">
        <f ca="1">IFERROR(__xludf.DUMMYFUNCTION("""COMPUTED_VALUE""")," C01346")</f>
        <v xml:space="preserve"> C01346</v>
      </c>
      <c r="E127" s="4"/>
      <c r="F127" s="4"/>
    </row>
    <row r="128" spans="1:6" ht="14">
      <c r="A128" s="22" t="s">
        <v>15895</v>
      </c>
      <c r="C128" s="4" t="str">
        <f ca="1">IFERROR(__xludf.DUMMYFUNCTION("""COMPUTED_VALUE"""),"C00002 ")</f>
        <v xml:space="preserve">C00002 </v>
      </c>
      <c r="D128" s="4" t="str">
        <f ca="1">IFERROR(__xludf.DUMMYFUNCTION("""COMPUTED_VALUE""")," C01563")</f>
        <v xml:space="preserve"> C01563</v>
      </c>
      <c r="E128" s="4"/>
      <c r="F128" s="4"/>
    </row>
    <row r="129" spans="1:6" ht="14">
      <c r="A129" s="22" t="s">
        <v>15896</v>
      </c>
      <c r="C129" s="4" t="str">
        <f ca="1">IFERROR(__xludf.DUMMYFUNCTION("""COMPUTED_VALUE"""),"C00002 ")</f>
        <v xml:space="preserve">C00002 </v>
      </c>
      <c r="D129" s="4" t="str">
        <f ca="1">IFERROR(__xludf.DUMMYFUNCTION("""COMPUTED_VALUE""")," C03090 ")</f>
        <v xml:space="preserve"> C03090 </v>
      </c>
      <c r="E129" s="4" t="str">
        <f ca="1">IFERROR(__xludf.DUMMYFUNCTION("""COMPUTED_VALUE""")," C00037")</f>
        <v xml:space="preserve"> C00037</v>
      </c>
      <c r="F129" s="4"/>
    </row>
    <row r="130" spans="1:6" ht="14">
      <c r="A130" s="22" t="s">
        <v>15897</v>
      </c>
      <c r="C130" s="4" t="str">
        <f ca="1">IFERROR(__xludf.DUMMYFUNCTION("""COMPUTED_VALUE"""),"C00002 ")</f>
        <v xml:space="preserve">C00002 </v>
      </c>
      <c r="D130" s="4" t="str">
        <f ca="1">IFERROR(__xludf.DUMMYFUNCTION("""COMPUTED_VALUE""")," C03373 ")</f>
        <v xml:space="preserve"> C03373 </v>
      </c>
      <c r="E130" s="4" t="str">
        <f ca="1">IFERROR(__xludf.DUMMYFUNCTION("""COMPUTED_VALUE""")," C00288")</f>
        <v xml:space="preserve"> C00288</v>
      </c>
      <c r="F130" s="4"/>
    </row>
    <row r="131" spans="1:6" ht="14">
      <c r="A131" s="22" t="s">
        <v>15898</v>
      </c>
      <c r="C131" s="4" t="str">
        <f ca="1">IFERROR(__xludf.DUMMYFUNCTION("""COMPUTED_VALUE"""),"C00002 ")</f>
        <v xml:space="preserve">C00002 </v>
      </c>
      <c r="D131" s="4" t="str">
        <f ca="1">IFERROR(__xludf.DUMMYFUNCTION("""COMPUTED_VALUE""")," C03479 ")</f>
        <v xml:space="preserve"> C03479 </v>
      </c>
      <c r="E131" s="4" t="str">
        <f ca="1">IFERROR(__xludf.DUMMYFUNCTION("""COMPUTED_VALUE""")," C00080")</f>
        <v xml:space="preserve"> C00080</v>
      </c>
      <c r="F131" s="4"/>
    </row>
    <row r="132" spans="1:6" ht="14">
      <c r="A132" s="22" t="s">
        <v>15899</v>
      </c>
      <c r="C132" s="4" t="str">
        <f ca="1">IFERROR(__xludf.DUMMYFUNCTION("""COMPUTED_VALUE"""),"C00002 ")</f>
        <v xml:space="preserve">C00002 </v>
      </c>
      <c r="D132" s="4" t="str">
        <f ca="1">IFERROR(__xludf.DUMMYFUNCTION("""COMPUTED_VALUE""")," C04079")</f>
        <v xml:space="preserve"> C04079</v>
      </c>
      <c r="E132" s="4"/>
      <c r="F132" s="4"/>
    </row>
    <row r="133" spans="1:6" ht="14">
      <c r="A133" s="22" t="s">
        <v>15900</v>
      </c>
      <c r="C133" s="4" t="str">
        <f ca="1">IFERROR(__xludf.DUMMYFUNCTION("""COMPUTED_VALUE"""),"C00002 ")</f>
        <v xml:space="preserve">C00002 </v>
      </c>
      <c r="D133" s="4" t="str">
        <f ca="1">IFERROR(__xludf.DUMMYFUNCTION("""COMPUTED_VALUE""")," C04376 ")</f>
        <v xml:space="preserve"> C04376 </v>
      </c>
      <c r="E133" s="4" t="str">
        <f ca="1">IFERROR(__xludf.DUMMYFUNCTION("""COMPUTED_VALUE""")," C00064 ")</f>
        <v xml:space="preserve"> C00064 </v>
      </c>
      <c r="F133" s="4" t="str">
        <f ca="1">IFERROR(__xludf.DUMMYFUNCTION("""COMPUTED_VALUE""")," C00001")</f>
        <v xml:space="preserve"> C00001</v>
      </c>
    </row>
    <row r="134" spans="1:6" ht="14">
      <c r="A134" s="22" t="s">
        <v>15901</v>
      </c>
      <c r="C134" s="4" t="str">
        <f ca="1">IFERROR(__xludf.DUMMYFUNCTION("""COMPUTED_VALUE"""),"C00002 ")</f>
        <v xml:space="preserve">C00002 </v>
      </c>
      <c r="D134" s="4" t="str">
        <f ca="1">IFERROR(__xludf.DUMMYFUNCTION("""COMPUTED_VALUE""")," C04556")</f>
        <v xml:space="preserve"> C04556</v>
      </c>
      <c r="E134" s="4"/>
      <c r="F134" s="4"/>
    </row>
    <row r="135" spans="1:6" ht="14">
      <c r="A135" s="21" t="s">
        <v>15902</v>
      </c>
      <c r="C135" s="4" t="str">
        <f ca="1">IFERROR(__xludf.DUMMYFUNCTION("""COMPUTED_VALUE"""),"C00002 ")</f>
        <v xml:space="preserve">C00002 </v>
      </c>
      <c r="D135" s="4" t="str">
        <f ca="1">IFERROR(__xludf.DUMMYFUNCTION("""COMPUTED_VALUE""")," C04640")</f>
        <v xml:space="preserve"> C04640</v>
      </c>
      <c r="E135" s="4"/>
      <c r="F135" s="4"/>
    </row>
    <row r="136" spans="1:6" ht="14">
      <c r="A136" s="22" t="s">
        <v>15903</v>
      </c>
      <c r="C136" s="4" t="str">
        <f ca="1">IFERROR(__xludf.DUMMYFUNCTION("""COMPUTED_VALUE"""),"C00002 ")</f>
        <v xml:space="preserve">C00002 </v>
      </c>
      <c r="D136" s="4" t="str">
        <f ca="1">IFERROR(__xludf.DUMMYFUNCTION("""COMPUTED_VALUE""")," C04751 ")</f>
        <v xml:space="preserve"> C04751 </v>
      </c>
      <c r="E136" s="4" t="str">
        <f ca="1">IFERROR(__xludf.DUMMYFUNCTION("""COMPUTED_VALUE""")," C00049")</f>
        <v xml:space="preserve"> C00049</v>
      </c>
      <c r="F136" s="4"/>
    </row>
    <row r="137" spans="1:6" ht="14">
      <c r="A137" s="22" t="s">
        <v>15904</v>
      </c>
      <c r="C137" s="4" t="str">
        <f ca="1">IFERROR(__xludf.DUMMYFUNCTION("""COMPUTED_VALUE"""),"C00002 ")</f>
        <v xml:space="preserve">C00002 </v>
      </c>
      <c r="D137" s="4" t="str">
        <f ca="1">IFERROR(__xludf.DUMMYFUNCTION("""COMPUTED_VALUE""")," C04877 ")</f>
        <v xml:space="preserve"> C04877 </v>
      </c>
      <c r="E137" s="4" t="str">
        <f ca="1">IFERROR(__xludf.DUMMYFUNCTION("""COMPUTED_VALUE""")," C00993")</f>
        <v xml:space="preserve"> C00993</v>
      </c>
      <c r="F137" s="4"/>
    </row>
    <row r="138" spans="1:6" ht="14">
      <c r="A138" s="22" t="s">
        <v>15905</v>
      </c>
      <c r="C138" s="4" t="str">
        <f ca="1">IFERROR(__xludf.DUMMYFUNCTION("""COMPUTED_VALUE"""),"C00002 ")</f>
        <v xml:space="preserve">C00002 </v>
      </c>
      <c r="D138" s="4" t="str">
        <f ca="1">IFERROR(__xludf.DUMMYFUNCTION("""COMPUTED_VALUE""")," C05335 ")</f>
        <v xml:space="preserve"> C05335 </v>
      </c>
      <c r="E138" s="4" t="str">
        <f ca="1">IFERROR(__xludf.DUMMYFUNCTION("""COMPUTED_VALUE""")," C00001")</f>
        <v xml:space="preserve"> C00001</v>
      </c>
      <c r="F138" s="4"/>
    </row>
    <row r="139" spans="1:6" ht="12.5">
      <c r="A139" s="4" t="s">
        <v>12722</v>
      </c>
      <c r="C139" s="4" t="str">
        <f ca="1">IFERROR(__xludf.DUMMYFUNCTION("""COMPUTED_VALUE"""),"C00002 ")</f>
        <v xml:space="preserve">C00002 </v>
      </c>
      <c r="D139" s="4" t="str">
        <f ca="1">IFERROR(__xludf.DUMMYFUNCTION("""COMPUTED_VALUE""")," C05335 ")</f>
        <v xml:space="preserve"> C05335 </v>
      </c>
      <c r="E139" s="4" t="str">
        <f ca="1">IFERROR(__xludf.DUMMYFUNCTION("""COMPUTED_VALUE""")," C01647")</f>
        <v xml:space="preserve"> C01647</v>
      </c>
      <c r="F139" s="4"/>
    </row>
    <row r="140" spans="1:6" ht="14">
      <c r="A140" s="22" t="s">
        <v>15906</v>
      </c>
      <c r="C140" s="4" t="str">
        <f ca="1">IFERROR(__xludf.DUMMYFUNCTION("""COMPUTED_VALUE"""),"C00002 ")</f>
        <v xml:space="preserve">C00002 </v>
      </c>
      <c r="D140" s="4" t="str">
        <f ca="1">IFERROR(__xludf.DUMMYFUNCTION("""COMPUTED_VALUE""")," C05345")</f>
        <v xml:space="preserve"> C05345</v>
      </c>
      <c r="E140" s="4"/>
      <c r="F140" s="4"/>
    </row>
    <row r="141" spans="1:6" ht="14">
      <c r="A141" s="22" t="s">
        <v>15907</v>
      </c>
      <c r="C141" s="4" t="str">
        <f ca="1">IFERROR(__xludf.DUMMYFUNCTION("""COMPUTED_VALUE"""),"C00002 ")</f>
        <v xml:space="preserve">C00002 </v>
      </c>
      <c r="D141" s="4" t="str">
        <f ca="1">IFERROR(__xludf.DUMMYFUNCTION("""COMPUTED_VALUE""")," C05382")</f>
        <v xml:space="preserve"> C05382</v>
      </c>
      <c r="E141" s="4"/>
      <c r="F141" s="4"/>
    </row>
    <row r="142" spans="1:6" ht="14">
      <c r="A142" s="22" t="s">
        <v>15908</v>
      </c>
      <c r="C142" s="4" t="str">
        <f ca="1">IFERROR(__xludf.DUMMYFUNCTION("""COMPUTED_VALUE"""),"C00002 ")</f>
        <v xml:space="preserve">C00002 </v>
      </c>
      <c r="D142" s="4" t="str">
        <f ca="1">IFERROR(__xludf.DUMMYFUNCTION("""COMPUTED_VALUE""")," C05774")</f>
        <v xml:space="preserve"> C05774</v>
      </c>
      <c r="E142" s="4"/>
      <c r="F142" s="4"/>
    </row>
    <row r="143" spans="1:6" ht="12.5">
      <c r="A143" s="4" t="s">
        <v>12702</v>
      </c>
      <c r="C143" s="4" t="str">
        <f ca="1">IFERROR(__xludf.DUMMYFUNCTION("""COMPUTED_VALUE"""),"C00002 ")</f>
        <v xml:space="preserve">C00002 </v>
      </c>
      <c r="D143" s="4" t="str">
        <f ca="1">IFERROR(__xludf.DUMMYFUNCTION("""COMPUTED_VALUE""")," C05892 ")</f>
        <v xml:space="preserve"> C05892 </v>
      </c>
      <c r="E143" s="4" t="str">
        <f ca="1">IFERROR(__xludf.DUMMYFUNCTION("""COMPUTED_VALUE""")," C00993")</f>
        <v xml:space="preserve"> C00993</v>
      </c>
      <c r="F143" s="4"/>
    </row>
    <row r="144" spans="1:6" ht="14">
      <c r="A144" s="22" t="s">
        <v>15909</v>
      </c>
      <c r="C144" s="4" t="str">
        <f ca="1">IFERROR(__xludf.DUMMYFUNCTION("""COMPUTED_VALUE"""),"C00002 ")</f>
        <v xml:space="preserve">C00002 </v>
      </c>
      <c r="D144" s="4" t="str">
        <f ca="1">IFERROR(__xludf.DUMMYFUNCTION("""COMPUTED_VALUE""")," C06423 ")</f>
        <v xml:space="preserve"> C06423 </v>
      </c>
      <c r="E144" s="4" t="str">
        <f ca="1">IFERROR(__xludf.DUMMYFUNCTION("""COMPUTED_VALUE""")," C22158")</f>
        <v xml:space="preserve"> C22158</v>
      </c>
      <c r="F144" s="4"/>
    </row>
    <row r="145" spans="1:6" ht="14">
      <c r="A145" s="22" t="s">
        <v>15910</v>
      </c>
      <c r="C145" s="4" t="str">
        <f ca="1">IFERROR(__xludf.DUMMYFUNCTION("""COMPUTED_VALUE"""),"C00002 ")</f>
        <v xml:space="preserve">C00002 </v>
      </c>
      <c r="D145" s="4" t="str">
        <f ca="1">IFERROR(__xludf.DUMMYFUNCTION("""COMPUTED_VALUE""")," C16241")</f>
        <v xml:space="preserve"> C16241</v>
      </c>
      <c r="E145" s="4"/>
      <c r="F145" s="4"/>
    </row>
    <row r="146" spans="1:6" ht="14">
      <c r="A146" s="22" t="s">
        <v>15911</v>
      </c>
      <c r="C146" s="4" t="str">
        <f ca="1">IFERROR(__xludf.DUMMYFUNCTION("""COMPUTED_VALUE"""),"C00002 ")</f>
        <v xml:space="preserve">C00002 </v>
      </c>
      <c r="D146" s="4" t="str">
        <f ca="1">IFERROR(__xludf.DUMMYFUNCTION("""COMPUTED_VALUE""")," C16241 ")</f>
        <v xml:space="preserve"> C16241 </v>
      </c>
      <c r="E146" s="4" t="str">
        <f ca="1">IFERROR(__xludf.DUMMYFUNCTION("""COMPUTED_VALUE""")," C16240")</f>
        <v xml:space="preserve"> C16240</v>
      </c>
      <c r="F146" s="4"/>
    </row>
    <row r="147" spans="1:6" ht="14">
      <c r="A147" s="22" t="s">
        <v>15912</v>
      </c>
      <c r="C147" s="4" t="str">
        <f ca="1">IFERROR(__xludf.DUMMYFUNCTION("""COMPUTED_VALUE"""),"C00002 ")</f>
        <v xml:space="preserve">C00002 </v>
      </c>
      <c r="D147" s="4" t="str">
        <f ca="1">IFERROR(__xludf.DUMMYFUNCTION("""COMPUTED_VALUE""")," C16241 ")</f>
        <v xml:space="preserve"> C16241 </v>
      </c>
      <c r="E147" s="4" t="str">
        <f ca="1">IFERROR(__xludf.DUMMYFUNCTION("""COMPUTED_VALUE""")," C22157")</f>
        <v xml:space="preserve"> C22157</v>
      </c>
      <c r="F147" s="4"/>
    </row>
    <row r="148" spans="1:6" ht="14">
      <c r="A148" s="22" t="s">
        <v>15913</v>
      </c>
      <c r="C148" s="4" t="str">
        <f ca="1">IFERROR(__xludf.DUMMYFUNCTION("""COMPUTED_VALUE"""),"C00002 ")</f>
        <v xml:space="preserve">C00002 </v>
      </c>
      <c r="D148" s="4" t="str">
        <f ca="1">IFERROR(__xludf.DUMMYFUNCTION("""COMPUTED_VALUE""")," C16241 ")</f>
        <v xml:space="preserve"> C16241 </v>
      </c>
      <c r="E148" s="4" t="str">
        <f ca="1">IFERROR(__xludf.DUMMYFUNCTION("""COMPUTED_VALUE""")," C22158")</f>
        <v xml:space="preserve"> C22158</v>
      </c>
      <c r="F148" s="4"/>
    </row>
    <row r="149" spans="1:6" ht="14">
      <c r="A149" s="22" t="s">
        <v>15914</v>
      </c>
      <c r="C149" s="4" t="str">
        <f ca="1">IFERROR(__xludf.DUMMYFUNCTION("""COMPUTED_VALUE"""),"C00002 ")</f>
        <v xml:space="preserve">C00002 </v>
      </c>
      <c r="D149" s="4" t="str">
        <f ca="1">IFERROR(__xludf.DUMMYFUNCTION("""COMPUTED_VALUE""")," C21748")</f>
        <v xml:space="preserve"> C21748</v>
      </c>
      <c r="E149" s="4"/>
      <c r="F149" s="4"/>
    </row>
    <row r="150" spans="1:6" ht="14">
      <c r="A150" s="22" t="s">
        <v>15915</v>
      </c>
      <c r="C150" s="4" t="str">
        <f ca="1">IFERROR(__xludf.DUMMYFUNCTION("""COMPUTED_VALUE"""),"C00002 ")</f>
        <v xml:space="preserve">C00002 </v>
      </c>
      <c r="D150" s="4" t="str">
        <f ca="1">IFERROR(__xludf.DUMMYFUNCTION("""COMPUTED_VALUE""")," C21750")</f>
        <v xml:space="preserve"> C21750</v>
      </c>
      <c r="E150" s="4"/>
      <c r="F150" s="4"/>
    </row>
    <row r="151" spans="1:6" ht="14">
      <c r="A151" s="22" t="s">
        <v>15916</v>
      </c>
      <c r="C151" s="4" t="str">
        <f ca="1">IFERROR(__xludf.DUMMYFUNCTION("""COMPUTED_VALUE"""),"C00003 ")</f>
        <v xml:space="preserve">C00003 </v>
      </c>
      <c r="D151" s="4" t="str">
        <f ca="1">IFERROR(__xludf.DUMMYFUNCTION("""COMPUTED_VALUE""")," C00039(n) ")</f>
        <v xml:space="preserve"> C00039(n) </v>
      </c>
      <c r="E151" s="4" t="str">
        <f ca="1">IFERROR(__xludf.DUMMYFUNCTION("""COMPUTED_VALUE""")," C02128(m)")</f>
        <v xml:space="preserve"> C02128(m)</v>
      </c>
      <c r="F151" s="4"/>
    </row>
    <row r="152" spans="1:6" ht="14">
      <c r="A152" s="22" t="s">
        <v>15917</v>
      </c>
      <c r="C152" s="4" t="str">
        <f ca="1">IFERROR(__xludf.DUMMYFUNCTION("""COMPUTED_VALUE"""),"C00003 ")</f>
        <v xml:space="preserve">C00003 </v>
      </c>
      <c r="D152" s="4" t="str">
        <f ca="1">IFERROR(__xludf.DUMMYFUNCTION("""COMPUTED_VALUE""")," C01997 ")</f>
        <v xml:space="preserve"> C01997 </v>
      </c>
      <c r="E152" s="4" t="str">
        <f ca="1">IFERROR(__xludf.DUMMYFUNCTION("""COMPUTED_VALUE""")," C00001")</f>
        <v xml:space="preserve"> C00001</v>
      </c>
      <c r="F152" s="4"/>
    </row>
    <row r="153" spans="1:6" ht="14">
      <c r="A153" s="22" t="s">
        <v>15918</v>
      </c>
      <c r="C153" s="4" t="str">
        <f ca="1">IFERROR(__xludf.DUMMYFUNCTION("""COMPUTED_VALUE"""),"C00003 ")</f>
        <v xml:space="preserve">C00003 </v>
      </c>
      <c r="D153" s="4" t="str">
        <f ca="1">IFERROR(__xludf.DUMMYFUNCTION("""COMPUTED_VALUE""")," C20743 ")</f>
        <v xml:space="preserve"> C20743 </v>
      </c>
      <c r="E153" s="4" t="str">
        <f ca="1">IFERROR(__xludf.DUMMYFUNCTION("""COMPUTED_VALUE""")," C00001")</f>
        <v xml:space="preserve"> C00001</v>
      </c>
      <c r="F153" s="4"/>
    </row>
    <row r="154" spans="1:6" ht="14">
      <c r="A154" s="22" t="s">
        <v>15919</v>
      </c>
      <c r="C154" s="4" t="str">
        <f ca="1">IFERROR(__xludf.DUMMYFUNCTION("""COMPUTED_VALUE"""),"C00004 ")</f>
        <v xml:space="preserve">C00004 </v>
      </c>
      <c r="D154" s="4" t="str">
        <f ca="1">IFERROR(__xludf.DUMMYFUNCTION("""COMPUTED_VALUE""")," C15498 ")</f>
        <v xml:space="preserve"> C15498 </v>
      </c>
      <c r="E154" s="4" t="str">
        <f ca="1">IFERROR(__xludf.DUMMYFUNCTION("""COMPUTED_VALUE""")," C00080")</f>
        <v xml:space="preserve"> C00080</v>
      </c>
      <c r="F154" s="4"/>
    </row>
    <row r="155" spans="1:6" ht="14">
      <c r="A155" s="24" t="s">
        <v>12633</v>
      </c>
      <c r="C155" s="4" t="str">
        <f ca="1">IFERROR(__xludf.DUMMYFUNCTION("""COMPUTED_VALUE"""),"C00009 ")</f>
        <v xml:space="preserve">C00009 </v>
      </c>
      <c r="D155" s="4" t="str">
        <f ca="1">IFERROR(__xludf.DUMMYFUNCTION("""COMPUTED_VALUE""")," C00013 ")</f>
        <v xml:space="preserve"> C00013 </v>
      </c>
      <c r="E155" s="4" t="str">
        <f ca="1">IFERROR(__xludf.DUMMYFUNCTION("""COMPUTED_VALUE""")," C00019")</f>
        <v xml:space="preserve"> C00019</v>
      </c>
      <c r="F155" s="4"/>
    </row>
    <row r="156" spans="1:6" ht="12.5">
      <c r="A156" s="4" t="s">
        <v>12720</v>
      </c>
      <c r="C156" s="4" t="str">
        <f ca="1">IFERROR(__xludf.DUMMYFUNCTION("""COMPUTED_VALUE"""),"C00010 ")</f>
        <v xml:space="preserve">C00010 </v>
      </c>
      <c r="D156" s="4" t="str">
        <f ca="1">IFERROR(__xludf.DUMMYFUNCTION("""COMPUTED_VALUE""")," C03688")</f>
        <v xml:space="preserve"> C03688</v>
      </c>
      <c r="E156" s="4"/>
      <c r="F156" s="4"/>
    </row>
    <row r="157" spans="1:6" ht="14">
      <c r="A157" s="22" t="s">
        <v>15920</v>
      </c>
      <c r="C157" s="4" t="str">
        <f ca="1">IFERROR(__xludf.DUMMYFUNCTION("""COMPUTED_VALUE"""),"C00012 ")</f>
        <v xml:space="preserve">C00012 </v>
      </c>
      <c r="D157" s="4" t="str">
        <f ca="1">IFERROR(__xludf.DUMMYFUNCTION("""COMPUTED_VALUE""")," C00001")</f>
        <v xml:space="preserve"> C00001</v>
      </c>
      <c r="E157" s="4"/>
      <c r="F157" s="4"/>
    </row>
    <row r="158" spans="1:6" ht="14">
      <c r="A158" s="22" t="s">
        <v>15921</v>
      </c>
      <c r="C158" s="4" t="str">
        <f ca="1">IFERROR(__xludf.DUMMYFUNCTION("""COMPUTED_VALUE"""),"C00013 ")</f>
        <v xml:space="preserve">C00013 </v>
      </c>
      <c r="D158" s="4" t="str">
        <f ca="1">IFERROR(__xludf.DUMMYFUNCTION("""COMPUTED_VALUE""")," C00001")</f>
        <v xml:space="preserve"> C00001</v>
      </c>
      <c r="E158" s="4"/>
      <c r="F158" s="4"/>
    </row>
    <row r="159" spans="1:6" ht="14">
      <c r="A159" s="22" t="s">
        <v>15922</v>
      </c>
      <c r="C159" s="4" t="str">
        <f ca="1">IFERROR(__xludf.DUMMYFUNCTION("""COMPUTED_VALUE"""),"C00014 ")</f>
        <v xml:space="preserve">C00014 </v>
      </c>
      <c r="D159" s="4" t="str">
        <f ca="1">IFERROR(__xludf.DUMMYFUNCTION("""COMPUTED_VALUE""")," C20969")</f>
        <v xml:space="preserve"> C20969</v>
      </c>
      <c r="E159" s="4"/>
      <c r="F159" s="4"/>
    </row>
    <row r="160" spans="1:6" ht="14">
      <c r="A160" s="22" t="s">
        <v>15923</v>
      </c>
      <c r="C160" s="4" t="str">
        <f ca="1">IFERROR(__xludf.DUMMYFUNCTION("""COMPUTED_VALUE"""),"C00019")</f>
        <v>C00019</v>
      </c>
      <c r="D160" s="4"/>
      <c r="E160" s="4"/>
      <c r="F160" s="4"/>
    </row>
    <row r="161" spans="1:6" ht="14">
      <c r="A161" s="25" t="s">
        <v>7965</v>
      </c>
      <c r="C161" s="4" t="str">
        <f ca="1">IFERROR(__xludf.DUMMYFUNCTION("""COMPUTED_VALUE"""),"C00019 ")</f>
        <v xml:space="preserve">C00019 </v>
      </c>
      <c r="D161" s="4" t="str">
        <f ca="1">IFERROR(__xludf.DUMMYFUNCTION("""COMPUTED_VALUE""")," C00240")</f>
        <v xml:space="preserve"> C00240</v>
      </c>
      <c r="E161" s="4"/>
      <c r="F161" s="4"/>
    </row>
    <row r="162" spans="1:6" ht="14">
      <c r="A162" s="22" t="s">
        <v>15924</v>
      </c>
      <c r="C162" s="4" t="str">
        <f ca="1">IFERROR(__xludf.DUMMYFUNCTION("""COMPUTED_VALUE"""),"C00019 ")</f>
        <v xml:space="preserve">C00019 </v>
      </c>
      <c r="D162" s="4" t="str">
        <f ca="1">IFERROR(__xludf.DUMMYFUNCTION("""COMPUTED_VALUE""")," C00821")</f>
        <v xml:space="preserve"> C00821</v>
      </c>
      <c r="E162" s="4"/>
      <c r="F162" s="4"/>
    </row>
    <row r="163" spans="1:6" ht="14">
      <c r="A163" s="22" t="s">
        <v>15925</v>
      </c>
      <c r="C163" s="4" t="str">
        <f ca="1">IFERROR(__xludf.DUMMYFUNCTION("""COMPUTED_VALUE"""),"C00019 ")</f>
        <v xml:space="preserve">C00019 </v>
      </c>
      <c r="D163" s="4" t="str">
        <f ca="1">IFERROR(__xludf.DUMMYFUNCTION("""COMPUTED_VALUE""")," C01977")</f>
        <v xml:space="preserve"> C01977</v>
      </c>
      <c r="E163" s="4"/>
      <c r="F163" s="4"/>
    </row>
    <row r="164" spans="1:6" ht="14">
      <c r="A164" s="22" t="s">
        <v>15926</v>
      </c>
      <c r="C164" s="4" t="str">
        <f ca="1">IFERROR(__xludf.DUMMYFUNCTION("""COMPUTED_VALUE"""),"C00019 ")</f>
        <v xml:space="preserve">C00019 </v>
      </c>
      <c r="D164" s="4" t="str">
        <f ca="1">IFERROR(__xludf.DUMMYFUNCTION("""COMPUTED_VALUE""")," C01977")</f>
        <v xml:space="preserve"> C01977</v>
      </c>
      <c r="E164" s="4"/>
      <c r="F164" s="4"/>
    </row>
    <row r="165" spans="1:6" ht="14">
      <c r="A165" s="22" t="s">
        <v>15927</v>
      </c>
      <c r="C165" s="4" t="str">
        <f ca="1">IFERROR(__xludf.DUMMYFUNCTION("""COMPUTED_VALUE"""),"C00019 ")</f>
        <v xml:space="preserve">C00019 </v>
      </c>
      <c r="D165" s="4" t="str">
        <f ca="1">IFERROR(__xludf.DUMMYFUNCTION("""COMPUTED_VALUE""")," C05196 ")</f>
        <v xml:space="preserve"> C05196 </v>
      </c>
      <c r="E165" s="4" t="str">
        <f ca="1">IFERROR(__xludf.DUMMYFUNCTION("""COMPUTED_VALUE""")," C05197")</f>
        <v xml:space="preserve"> C05197</v>
      </c>
      <c r="F165" s="4"/>
    </row>
    <row r="166" spans="1:6" ht="14">
      <c r="A166" s="22" t="s">
        <v>15928</v>
      </c>
      <c r="C166" s="4" t="str">
        <f ca="1">IFERROR(__xludf.DUMMYFUNCTION("""COMPUTED_VALUE"""),"C00019 ")</f>
        <v xml:space="preserve">C00019 </v>
      </c>
      <c r="D166" s="4" t="str">
        <f ca="1">IFERROR(__xludf.DUMMYFUNCTION("""COMPUTED_VALUE""")," C20446")</f>
        <v xml:space="preserve"> C20446</v>
      </c>
      <c r="E166" s="4"/>
      <c r="F166" s="4"/>
    </row>
    <row r="167" spans="1:6" ht="14">
      <c r="A167" s="22" t="s">
        <v>15929</v>
      </c>
      <c r="C167" s="4" t="str">
        <f ca="1">IFERROR(__xludf.DUMMYFUNCTION("""COMPUTED_VALUE"""),"C00019 ")</f>
        <v xml:space="preserve">C00019 </v>
      </c>
      <c r="D167" s="4" t="str">
        <f ca="1">IFERROR(__xludf.DUMMYFUNCTION("""COMPUTED_VALUE""")," C21860")</f>
        <v xml:space="preserve"> C21860</v>
      </c>
      <c r="E167" s="4"/>
      <c r="F167" s="4"/>
    </row>
    <row r="168" spans="1:6" ht="14">
      <c r="A168" s="22" t="s">
        <v>15930</v>
      </c>
      <c r="C168" s="4" t="str">
        <f ca="1">IFERROR(__xludf.DUMMYFUNCTION("""COMPUTED_VALUE"""),"C00020 ")</f>
        <v xml:space="preserve">C00020 </v>
      </c>
      <c r="D168" s="4" t="str">
        <f ca="1">IFERROR(__xludf.DUMMYFUNCTION("""COMPUTED_VALUE""")," C00001")</f>
        <v xml:space="preserve"> C00001</v>
      </c>
      <c r="E168" s="4"/>
      <c r="F168" s="4"/>
    </row>
    <row r="169" spans="1:6" ht="14">
      <c r="A169" s="22" t="s">
        <v>15931</v>
      </c>
      <c r="C169" s="4" t="str">
        <f ca="1">IFERROR(__xludf.DUMMYFUNCTION("""COMPUTED_VALUE"""),"C00020 ")</f>
        <v xml:space="preserve">C00020 </v>
      </c>
      <c r="D169" s="4" t="str">
        <f ca="1">IFERROR(__xludf.DUMMYFUNCTION("""COMPUTED_VALUE""")," C00013")</f>
        <v xml:space="preserve"> C00013</v>
      </c>
      <c r="E169" s="4"/>
      <c r="F169" s="4"/>
    </row>
    <row r="170" spans="1:6" ht="14">
      <c r="A170" s="22" t="s">
        <v>15932</v>
      </c>
      <c r="C170" s="4" t="str">
        <f ca="1">IFERROR(__xludf.DUMMYFUNCTION("""COMPUTED_VALUE"""),"C00021 ")</f>
        <v xml:space="preserve">C00021 </v>
      </c>
      <c r="D170" s="4" t="str">
        <f ca="1">IFERROR(__xludf.DUMMYFUNCTION("""COMPUTED_VALUE""")," C00001")</f>
        <v xml:space="preserve"> C00001</v>
      </c>
      <c r="E170" s="4"/>
      <c r="F170" s="4"/>
    </row>
    <row r="171" spans="1:6" ht="14">
      <c r="A171" s="22" t="s">
        <v>15933</v>
      </c>
      <c r="C171" s="4" t="str">
        <f ca="1">IFERROR(__xludf.DUMMYFUNCTION("""COMPUTED_VALUE"""),"C00022 ")</f>
        <v xml:space="preserve">C00022 </v>
      </c>
      <c r="D171" s="4" t="str">
        <f ca="1">IFERROR(__xludf.DUMMYFUNCTION("""COMPUTED_VALUE""")," C00009 ")</f>
        <v xml:space="preserve"> C00009 </v>
      </c>
      <c r="E171" s="4" t="str">
        <f ca="1">IFERROR(__xludf.DUMMYFUNCTION("""COMPUTED_VALUE""")," C00007")</f>
        <v xml:space="preserve"> C00007</v>
      </c>
      <c r="F171" s="4"/>
    </row>
    <row r="172" spans="1:6" ht="14">
      <c r="A172" s="22" t="s">
        <v>15934</v>
      </c>
      <c r="C172" s="4" t="str">
        <f ca="1">IFERROR(__xludf.DUMMYFUNCTION("""COMPUTED_VALUE"""),"C00022 ")</f>
        <v xml:space="preserve">C00022 </v>
      </c>
      <c r="D172" s="4" t="str">
        <f ca="1">IFERROR(__xludf.DUMMYFUNCTION("""COMPUTED_VALUE""")," C00068")</f>
        <v xml:space="preserve"> C00068</v>
      </c>
      <c r="E172" s="4"/>
      <c r="F172" s="4"/>
    </row>
    <row r="173" spans="1:6" ht="14">
      <c r="A173" s="22" t="s">
        <v>15935</v>
      </c>
      <c r="C173" s="4" t="str">
        <f ca="1">IFERROR(__xludf.DUMMYFUNCTION("""COMPUTED_VALUE"""),"C00022 ")</f>
        <v xml:space="preserve">C00022 </v>
      </c>
      <c r="D173" s="4" t="str">
        <f ca="1">IFERROR(__xludf.DUMMYFUNCTION("""COMPUTED_VALUE""")," C00109")</f>
        <v xml:space="preserve"> C00109</v>
      </c>
      <c r="E173" s="4"/>
      <c r="F173" s="4"/>
    </row>
    <row r="174" spans="1:6" ht="14">
      <c r="A174" s="22" t="s">
        <v>15936</v>
      </c>
      <c r="C174" s="4" t="str">
        <f ca="1">IFERROR(__xludf.DUMMYFUNCTION("""COMPUTED_VALUE"""),"C00024 ")</f>
        <v xml:space="preserve">C00024 </v>
      </c>
      <c r="D174" s="4" t="str">
        <f ca="1">IFERROR(__xludf.DUMMYFUNCTION("""COMPUTED_VALUE""")," C00009")</f>
        <v xml:space="preserve"> C00009</v>
      </c>
      <c r="E174" s="4"/>
      <c r="F174" s="4"/>
    </row>
    <row r="175" spans="1:6" ht="14">
      <c r="A175" s="22" t="s">
        <v>15937</v>
      </c>
      <c r="C175" s="4" t="str">
        <f ca="1">IFERROR(__xludf.DUMMYFUNCTION("""COMPUTED_VALUE"""),"C00024 ")</f>
        <v xml:space="preserve">C00024 </v>
      </c>
      <c r="D175" s="4" t="str">
        <f ca="1">IFERROR(__xludf.DUMMYFUNCTION("""COMPUTED_VALUE""")," C00058")</f>
        <v xml:space="preserve"> C00058</v>
      </c>
      <c r="E175" s="4"/>
      <c r="F175" s="4"/>
    </row>
    <row r="176" spans="1:6" ht="14">
      <c r="A176" s="22" t="s">
        <v>15938</v>
      </c>
      <c r="C176" s="4" t="str">
        <f ca="1">IFERROR(__xludf.DUMMYFUNCTION("""COMPUTED_VALUE"""),"C00024 ")</f>
        <v xml:space="preserve">C00024 </v>
      </c>
      <c r="D176" s="4" t="str">
        <f ca="1">IFERROR(__xludf.DUMMYFUNCTION("""COMPUTED_VALUE""")," C00136")</f>
        <v xml:space="preserve"> C00136</v>
      </c>
      <c r="E176" s="4"/>
      <c r="F176" s="4"/>
    </row>
    <row r="177" spans="1:6" ht="14">
      <c r="A177" s="22" t="s">
        <v>15939</v>
      </c>
      <c r="C177" s="4" t="str">
        <f ca="1">IFERROR(__xludf.DUMMYFUNCTION("""COMPUTED_VALUE"""),"C00024 ")</f>
        <v xml:space="preserve">C00024 </v>
      </c>
      <c r="D177" s="4" t="str">
        <f ca="1">IFERROR(__xludf.DUMMYFUNCTION("""COMPUTED_VALUE""")," C00158")</f>
        <v xml:space="preserve"> C00158</v>
      </c>
      <c r="E177" s="4"/>
      <c r="F177" s="4"/>
    </row>
    <row r="178" spans="1:6" ht="14">
      <c r="A178" s="22" t="s">
        <v>15940</v>
      </c>
      <c r="C178" s="4" t="str">
        <f ca="1">IFERROR(__xludf.DUMMYFUNCTION("""COMPUTED_VALUE"""),"C00024 ")</f>
        <v xml:space="preserve">C00024 </v>
      </c>
      <c r="D178" s="4" t="str">
        <f ca="1">IFERROR(__xludf.DUMMYFUNCTION("""COMPUTED_VALUE""")," C01209")</f>
        <v xml:space="preserve"> C01209</v>
      </c>
      <c r="E178" s="4"/>
      <c r="F178" s="4"/>
    </row>
    <row r="179" spans="1:6" ht="14">
      <c r="A179" s="22" t="s">
        <v>15941</v>
      </c>
      <c r="C179" s="4" t="str">
        <f ca="1">IFERROR(__xludf.DUMMYFUNCTION("""COMPUTED_VALUE"""),"C00024 ")</f>
        <v xml:space="preserve">C00024 </v>
      </c>
      <c r="D179" s="4" t="str">
        <f ca="1">IFERROR(__xludf.DUMMYFUNCTION("""COMPUTED_VALUE""")," C03803")</f>
        <v xml:space="preserve"> C03803</v>
      </c>
      <c r="E179" s="4"/>
      <c r="F179" s="4"/>
    </row>
    <row r="180" spans="1:6" ht="14">
      <c r="A180" s="22" t="s">
        <v>15942</v>
      </c>
      <c r="C180" s="4" t="str">
        <f ca="1">IFERROR(__xludf.DUMMYFUNCTION("""COMPUTED_VALUE"""),"C00024 ")</f>
        <v xml:space="preserve">C00024 </v>
      </c>
      <c r="D180" s="4" t="str">
        <f ca="1">IFERROR(__xludf.DUMMYFUNCTION("""COMPUTED_VALUE""")," C06156")</f>
        <v xml:space="preserve"> C06156</v>
      </c>
      <c r="E180" s="4"/>
      <c r="F180" s="4"/>
    </row>
    <row r="181" spans="1:6" ht="14">
      <c r="A181" s="22" t="s">
        <v>15943</v>
      </c>
      <c r="C181" s="4" t="str">
        <f ca="1">IFERROR(__xludf.DUMMYFUNCTION("""COMPUTED_VALUE"""),"C00025")</f>
        <v>C00025</v>
      </c>
      <c r="D181" s="4"/>
      <c r="E181" s="4"/>
      <c r="F181" s="4"/>
    </row>
    <row r="182" spans="1:6" ht="12.5">
      <c r="A182" s="2" t="s">
        <v>15944</v>
      </c>
      <c r="C182" s="4" t="str">
        <f ca="1">IFERROR(__xludf.DUMMYFUNCTION("""COMPUTED_VALUE"""),"C00025 ")</f>
        <v xml:space="preserve">C00025 </v>
      </c>
      <c r="D182" s="4" t="str">
        <f ca="1">IFERROR(__xludf.DUMMYFUNCTION("""COMPUTED_VALUE""")," C00006 ")</f>
        <v xml:space="preserve"> C00006 </v>
      </c>
      <c r="E182" s="4" t="str">
        <f ca="1">IFERROR(__xludf.DUMMYFUNCTION("""COMPUTED_VALUE""")," C00001")</f>
        <v xml:space="preserve"> C00001</v>
      </c>
      <c r="F182" s="4"/>
    </row>
    <row r="183" spans="1:6" ht="14">
      <c r="A183" s="22" t="s">
        <v>15945</v>
      </c>
      <c r="C183" s="4" t="str">
        <f ca="1">IFERROR(__xludf.DUMMYFUNCTION("""COMPUTED_VALUE"""),"C00029")</f>
        <v>C00029</v>
      </c>
      <c r="D183" s="4"/>
      <c r="E183" s="4"/>
      <c r="F183" s="4"/>
    </row>
    <row r="184" spans="1:6" ht="12.5">
      <c r="A184" s="2" t="s">
        <v>15946</v>
      </c>
      <c r="C184" s="4" t="str">
        <f ca="1">IFERROR(__xludf.DUMMYFUNCTION("""COMPUTED_VALUE"""),"C00029 ")</f>
        <v xml:space="preserve">C00029 </v>
      </c>
      <c r="D184" s="4" t="str">
        <f ca="1">IFERROR(__xludf.DUMMYFUNCTION("""COMPUTED_VALUE""")," C00446")</f>
        <v xml:space="preserve"> C00446</v>
      </c>
      <c r="E184" s="4"/>
      <c r="F184" s="4"/>
    </row>
    <row r="185" spans="1:6" ht="14">
      <c r="A185" s="22" t="s">
        <v>15947</v>
      </c>
      <c r="C185" s="4" t="str">
        <f ca="1">IFERROR(__xludf.DUMMYFUNCTION("""COMPUTED_VALUE"""),"C00036")</f>
        <v>C00036</v>
      </c>
      <c r="D185" s="4"/>
      <c r="E185" s="4"/>
      <c r="F185" s="4"/>
    </row>
    <row r="186" spans="1:6" ht="12.5">
      <c r="A186" s="2" t="s">
        <v>15948</v>
      </c>
      <c r="C186" s="4" t="str">
        <f ca="1">IFERROR(__xludf.DUMMYFUNCTION("""COMPUTED_VALUE"""),"C00040 ")</f>
        <v xml:space="preserve">C00040 </v>
      </c>
      <c r="D186" s="4" t="str">
        <f ca="1">IFERROR(__xludf.DUMMYFUNCTION("""COMPUTED_VALUE""")," C00001")</f>
        <v xml:space="preserve"> C00001</v>
      </c>
      <c r="E186" s="4"/>
      <c r="F186" s="4"/>
    </row>
    <row r="187" spans="1:6" ht="14">
      <c r="A187" s="22" t="s">
        <v>15949</v>
      </c>
      <c r="C187" s="4" t="str">
        <f ca="1">IFERROR(__xludf.DUMMYFUNCTION("""COMPUTED_VALUE"""),"C00040 ")</f>
        <v xml:space="preserve">C00040 </v>
      </c>
      <c r="D187" s="4" t="str">
        <f ca="1">IFERROR(__xludf.DUMMYFUNCTION("""COMPUTED_VALUE""")," C00024")</f>
        <v xml:space="preserve"> C00024</v>
      </c>
      <c r="E187" s="4"/>
      <c r="F187" s="4"/>
    </row>
    <row r="188" spans="1:6" ht="14">
      <c r="A188" s="22" t="s">
        <v>15950</v>
      </c>
      <c r="C188" s="4" t="str">
        <f ca="1">IFERROR(__xludf.DUMMYFUNCTION("""COMPUTED_VALUE"""),"C00041")</f>
        <v>C00041</v>
      </c>
      <c r="D188" s="4"/>
      <c r="E188" s="4"/>
      <c r="F188" s="4"/>
    </row>
    <row r="189" spans="1:6" ht="12.5">
      <c r="A189" s="23" t="s">
        <v>8297</v>
      </c>
      <c r="C189" s="4" t="str">
        <f ca="1">IFERROR(__xludf.DUMMYFUNCTION("""COMPUTED_VALUE"""),"C00043")</f>
        <v>C00043</v>
      </c>
      <c r="D189" s="4"/>
      <c r="E189" s="4"/>
      <c r="F189" s="4"/>
    </row>
    <row r="190" spans="1:6" ht="12.5">
      <c r="A190" s="2" t="s">
        <v>15951</v>
      </c>
      <c r="C190" s="4" t="str">
        <f ca="1">IFERROR(__xludf.DUMMYFUNCTION("""COMPUTED_VALUE"""),"C00044 ")</f>
        <v xml:space="preserve">C00044 </v>
      </c>
      <c r="D190" s="4" t="str">
        <f ca="1">IFERROR(__xludf.DUMMYFUNCTION("""COMPUTED_VALUE""")," C00022")</f>
        <v xml:space="preserve"> C00022</v>
      </c>
      <c r="E190" s="4"/>
      <c r="F190" s="4"/>
    </row>
    <row r="191" spans="1:6" ht="14">
      <c r="A191" s="22" t="s">
        <v>15952</v>
      </c>
      <c r="C191" s="4" t="str">
        <f ca="1">IFERROR(__xludf.DUMMYFUNCTION("""COMPUTED_VALUE"""),"C00044 ")</f>
        <v xml:space="preserve">C00044 </v>
      </c>
      <c r="D191" s="4" t="str">
        <f ca="1">IFERROR(__xludf.DUMMYFUNCTION("""COMPUTED_VALUE""")," C00046")</f>
        <v xml:space="preserve"> C00046</v>
      </c>
      <c r="E191" s="4"/>
      <c r="F191" s="4"/>
    </row>
    <row r="192" spans="1:6" ht="14">
      <c r="A192" s="22" t="s">
        <v>15953</v>
      </c>
      <c r="C192" s="4" t="str">
        <f ca="1">IFERROR(__xludf.DUMMYFUNCTION("""COMPUTED_VALUE"""),"C00044 ")</f>
        <v xml:space="preserve">C00044 </v>
      </c>
      <c r="D192" s="4" t="str">
        <f ca="1">IFERROR(__xludf.DUMMYFUNCTION("""COMPUTED_VALUE""")," C00130 ")</f>
        <v xml:space="preserve"> C00130 </v>
      </c>
      <c r="E192" s="4" t="str">
        <f ca="1">IFERROR(__xludf.DUMMYFUNCTION("""COMPUTED_VALUE""")," C00049")</f>
        <v xml:space="preserve"> C00049</v>
      </c>
      <c r="F192" s="4"/>
    </row>
    <row r="193" spans="1:6" ht="14">
      <c r="A193" s="22" t="s">
        <v>15954</v>
      </c>
      <c r="C193" s="4" t="str">
        <f ca="1">IFERROR(__xludf.DUMMYFUNCTION("""COMPUTED_VALUE"""),"C00044 ")</f>
        <v xml:space="preserve">C00044 </v>
      </c>
      <c r="D193" s="4" t="str">
        <f ca="1">IFERROR(__xludf.DUMMYFUNCTION("""COMPUTED_VALUE""")," C00299")</f>
        <v xml:space="preserve"> C00299</v>
      </c>
      <c r="E193" s="4"/>
      <c r="F193" s="4"/>
    </row>
    <row r="194" spans="1:6" ht="14">
      <c r="A194" s="22" t="s">
        <v>15955</v>
      </c>
      <c r="C194" s="4" t="str">
        <f ca="1">IFERROR(__xludf.DUMMYFUNCTION("""COMPUTED_VALUE"""),"C00044 ")</f>
        <v xml:space="preserve">C00044 </v>
      </c>
      <c r="D194" s="4" t="str">
        <f ca="1">IFERROR(__xludf.DUMMYFUNCTION("""COMPUTED_VALUE""")," C00475")</f>
        <v xml:space="preserve"> C00475</v>
      </c>
      <c r="E194" s="4"/>
      <c r="F194" s="4"/>
    </row>
    <row r="195" spans="1:6" ht="14">
      <c r="A195" s="22" t="s">
        <v>15956</v>
      </c>
      <c r="C195" s="4" t="str">
        <f ca="1">IFERROR(__xludf.DUMMYFUNCTION("""COMPUTED_VALUE"""),"C00049")</f>
        <v>C00049</v>
      </c>
      <c r="D195" s="4"/>
      <c r="E195" s="4"/>
      <c r="F195" s="4"/>
    </row>
    <row r="196" spans="1:6" ht="12.5">
      <c r="A196" s="2" t="s">
        <v>15957</v>
      </c>
      <c r="C196" s="4" t="str">
        <f ca="1">IFERROR(__xludf.DUMMYFUNCTION("""COMPUTED_VALUE"""),"C00052")</f>
        <v>C00052</v>
      </c>
      <c r="D196" s="4"/>
      <c r="E196" s="4"/>
      <c r="F196" s="4"/>
    </row>
    <row r="197" spans="1:6" ht="12.5">
      <c r="A197" s="2" t="s">
        <v>15958</v>
      </c>
      <c r="C197" s="4" t="str">
        <f ca="1">IFERROR(__xludf.DUMMYFUNCTION("""COMPUTED_VALUE"""),"C00053 ")</f>
        <v xml:space="preserve">C00053 </v>
      </c>
      <c r="D197" s="4" t="str">
        <f ca="1">IFERROR(__xludf.DUMMYFUNCTION("""COMPUTED_VALUE""")," C00001")</f>
        <v xml:space="preserve"> C00001</v>
      </c>
      <c r="E197" s="4"/>
      <c r="F197" s="4"/>
    </row>
    <row r="198" spans="1:6" ht="14">
      <c r="A198" s="22" t="s">
        <v>15959</v>
      </c>
      <c r="C198" s="4" t="str">
        <f ca="1">IFERROR(__xludf.DUMMYFUNCTION("""COMPUTED_VALUE"""),"C00054 ")</f>
        <v xml:space="preserve">C00054 </v>
      </c>
      <c r="D198" s="4" t="str">
        <f ca="1">IFERROR(__xludf.DUMMYFUNCTION("""COMPUTED_VALUE""")," C00001")</f>
        <v xml:space="preserve"> C00001</v>
      </c>
      <c r="E198" s="4"/>
      <c r="F198" s="4"/>
    </row>
    <row r="199" spans="1:6" ht="14">
      <c r="A199" s="22" t="s">
        <v>15960</v>
      </c>
      <c r="C199" s="4" t="str">
        <f ca="1">IFERROR(__xludf.DUMMYFUNCTION("""COMPUTED_VALUE"""),"C00055 ")</f>
        <v xml:space="preserve">C00055 </v>
      </c>
      <c r="D199" s="4" t="str">
        <f ca="1">IFERROR(__xludf.DUMMYFUNCTION("""COMPUTED_VALUE""")," C00001")</f>
        <v xml:space="preserve"> C00001</v>
      </c>
      <c r="E199" s="4"/>
      <c r="F199" s="4"/>
    </row>
    <row r="200" spans="1:6" ht="14">
      <c r="A200" s="22" t="s">
        <v>15961</v>
      </c>
      <c r="C200" s="4" t="str">
        <f ca="1">IFERROR(__xludf.DUMMYFUNCTION("""COMPUTED_VALUE"""),"C00063 ")</f>
        <v xml:space="preserve">C00063 </v>
      </c>
      <c r="D200" s="4" t="str">
        <f ca="1">IFERROR(__xludf.DUMMYFUNCTION("""COMPUTED_VALUE""")," C00022")</f>
        <v xml:space="preserve"> C00022</v>
      </c>
      <c r="E200" s="4"/>
      <c r="F200" s="4"/>
    </row>
    <row r="201" spans="1:6" ht="14">
      <c r="A201" s="22" t="s">
        <v>15962</v>
      </c>
      <c r="C201" s="4" t="str">
        <f ca="1">IFERROR(__xludf.DUMMYFUNCTION("""COMPUTED_VALUE"""),"C00063 ")</f>
        <v xml:space="preserve">C00063 </v>
      </c>
      <c r="D201" s="4" t="str">
        <f ca="1">IFERROR(__xludf.DUMMYFUNCTION("""COMPUTED_VALUE""")," C00046")</f>
        <v xml:space="preserve"> C00046</v>
      </c>
      <c r="E201" s="4"/>
      <c r="F201" s="4"/>
    </row>
    <row r="202" spans="1:6" ht="14">
      <c r="A202" s="22" t="s">
        <v>15963</v>
      </c>
      <c r="C202" s="4" t="str">
        <f ca="1">IFERROR(__xludf.DUMMYFUNCTION("""COMPUTED_VALUE"""),"C00063 ")</f>
        <v xml:space="preserve">C00063 </v>
      </c>
      <c r="D202" s="4" t="str">
        <f ca="1">IFERROR(__xludf.DUMMYFUNCTION("""COMPUTED_VALUE""")," C00085")</f>
        <v xml:space="preserve"> C00085</v>
      </c>
      <c r="E202" s="4"/>
      <c r="F202" s="4"/>
    </row>
    <row r="203" spans="1:6" ht="12.5">
      <c r="A203" s="4" t="s">
        <v>12756</v>
      </c>
      <c r="C203" s="4" t="str">
        <f ca="1">IFERROR(__xludf.DUMMYFUNCTION("""COMPUTED_VALUE"""),"C00063 ")</f>
        <v xml:space="preserve">C00063 </v>
      </c>
      <c r="D203" s="4" t="str">
        <f ca="1">IFERROR(__xludf.DUMMYFUNCTION("""COMPUTED_VALUE""")," C01097")</f>
        <v xml:space="preserve"> C01097</v>
      </c>
      <c r="E203" s="4"/>
      <c r="F203" s="4"/>
    </row>
    <row r="204" spans="1:6" ht="14">
      <c r="A204" s="22" t="s">
        <v>15964</v>
      </c>
      <c r="C204" s="4" t="str">
        <f ca="1">IFERROR(__xludf.DUMMYFUNCTION("""COMPUTED_VALUE"""),"C00063 ")</f>
        <v xml:space="preserve">C00063 </v>
      </c>
      <c r="D204" s="4" t="str">
        <f ca="1">IFERROR(__xludf.DUMMYFUNCTION("""COMPUTED_VALUE""")," C03492 ")</f>
        <v xml:space="preserve"> C03492 </v>
      </c>
      <c r="E204" s="4" t="str">
        <f ca="1">IFERROR(__xludf.DUMMYFUNCTION("""COMPUTED_VALUE""")," C00097")</f>
        <v xml:space="preserve"> C00097</v>
      </c>
      <c r="F204" s="4"/>
    </row>
    <row r="205" spans="1:6" ht="14">
      <c r="A205" s="22" t="s">
        <v>15965</v>
      </c>
      <c r="C205" s="4" t="str">
        <f ca="1">IFERROR(__xludf.DUMMYFUNCTION("""COMPUTED_VALUE"""),"C00064 ")</f>
        <v xml:space="preserve">C00064 </v>
      </c>
      <c r="D205" s="4" t="str">
        <f ca="1">IFERROR(__xludf.DUMMYFUNCTION("""COMPUTED_VALUE""")," C00001")</f>
        <v xml:space="preserve"> C00001</v>
      </c>
      <c r="E205" s="4"/>
      <c r="F205" s="4"/>
    </row>
    <row r="206" spans="1:6" ht="14">
      <c r="A206" s="22" t="s">
        <v>15966</v>
      </c>
      <c r="C206" s="4" t="str">
        <f ca="1">IFERROR(__xludf.DUMMYFUNCTION("""COMPUTED_VALUE"""),"C00064 ")</f>
        <v xml:space="preserve">C00064 </v>
      </c>
      <c r="D206" s="4" t="str">
        <f ca="1">IFERROR(__xludf.DUMMYFUNCTION("""COMPUTED_VALUE""")," C00085")</f>
        <v xml:space="preserve"> C00085</v>
      </c>
      <c r="E206" s="4"/>
      <c r="F206" s="4"/>
    </row>
    <row r="207" spans="1:6" ht="14">
      <c r="A207" s="22" t="s">
        <v>15967</v>
      </c>
      <c r="C207" s="4" t="str">
        <f ca="1">IFERROR(__xludf.DUMMYFUNCTION("""COMPUTED_VALUE"""),"C00065")</f>
        <v>C00065</v>
      </c>
      <c r="D207" s="4"/>
      <c r="E207" s="4"/>
      <c r="F207" s="4"/>
    </row>
    <row r="208" spans="1:6" ht="12.5">
      <c r="A208" s="2" t="s">
        <v>15968</v>
      </c>
      <c r="C208" s="4" t="str">
        <f ca="1">IFERROR(__xludf.DUMMYFUNCTION("""COMPUTED_VALUE"""),"C00065")</f>
        <v>C00065</v>
      </c>
      <c r="D208" s="4"/>
      <c r="E208" s="4"/>
      <c r="F208" s="4"/>
    </row>
    <row r="209" spans="1:6" ht="14">
      <c r="A209" s="34" t="s">
        <v>15969</v>
      </c>
      <c r="C209" s="4" t="str">
        <f ca="1">IFERROR(__xludf.DUMMYFUNCTION("""COMPUTED_VALUE"""),"C00065 ")</f>
        <v xml:space="preserve">C00065 </v>
      </c>
      <c r="D209" s="4" t="str">
        <f ca="1">IFERROR(__xludf.DUMMYFUNCTION("""COMPUTED_VALUE""")," C00463")</f>
        <v xml:space="preserve"> C00463</v>
      </c>
      <c r="E209" s="4"/>
      <c r="F209" s="4"/>
    </row>
    <row r="210" spans="1:6" ht="14">
      <c r="A210" s="22" t="s">
        <v>15970</v>
      </c>
      <c r="C210" s="4" t="str">
        <f ca="1">IFERROR(__xludf.DUMMYFUNCTION("""COMPUTED_VALUE"""),"C00065 ")</f>
        <v xml:space="preserve">C00065 </v>
      </c>
      <c r="D210" s="4" t="str">
        <f ca="1">IFERROR(__xludf.DUMMYFUNCTION("""COMPUTED_VALUE""")," C01217")</f>
        <v xml:space="preserve"> C01217</v>
      </c>
      <c r="E210" s="4"/>
      <c r="F210" s="4"/>
    </row>
    <row r="211" spans="1:6" ht="14">
      <c r="A211" s="22" t="s">
        <v>15971</v>
      </c>
      <c r="C211" s="4" t="str">
        <f ca="1">IFERROR(__xludf.DUMMYFUNCTION("""COMPUTED_VALUE"""),"C00065 ")</f>
        <v xml:space="preserve">C00065 </v>
      </c>
      <c r="D211" s="4" t="str">
        <f ca="1">IFERROR(__xludf.DUMMYFUNCTION("""COMPUTED_VALUE""")," C03506")</f>
        <v xml:space="preserve"> C03506</v>
      </c>
      <c r="E211" s="4"/>
      <c r="F211" s="4"/>
    </row>
    <row r="212" spans="1:6" ht="14">
      <c r="A212" s="22" t="s">
        <v>15972</v>
      </c>
      <c r="C212" s="4" t="str">
        <f ca="1">IFERROR(__xludf.DUMMYFUNCTION("""COMPUTED_VALUE"""),"C00068 ")</f>
        <v xml:space="preserve">C00068 </v>
      </c>
      <c r="D212" s="4" t="str">
        <f ca="1">IFERROR(__xludf.DUMMYFUNCTION("""COMPUTED_VALUE""")," C00008")</f>
        <v xml:space="preserve"> C00008</v>
      </c>
      <c r="E212" s="4"/>
      <c r="F212" s="4"/>
    </row>
    <row r="213" spans="1:6" ht="14">
      <c r="A213" s="22" t="s">
        <v>15973</v>
      </c>
      <c r="C213" s="4" t="str">
        <f ca="1">IFERROR(__xludf.DUMMYFUNCTION("""COMPUTED_VALUE"""),"C00073 ")</f>
        <v xml:space="preserve">C00073 </v>
      </c>
      <c r="D213" s="4" t="str">
        <f ca="1">IFERROR(__xludf.DUMMYFUNCTION("""COMPUTED_VALUE""")," C00343 ")</f>
        <v xml:space="preserve"> C00343 </v>
      </c>
      <c r="E213" s="4" t="str">
        <f ca="1">IFERROR(__xludf.DUMMYFUNCTION("""COMPUTED_VALUE""")," C00001")</f>
        <v xml:space="preserve"> C00001</v>
      </c>
      <c r="F213" s="4"/>
    </row>
    <row r="214" spans="1:6" ht="14">
      <c r="A214" s="22" t="s">
        <v>15974</v>
      </c>
      <c r="C214" s="4" t="str">
        <f ca="1">IFERROR(__xludf.DUMMYFUNCTION("""COMPUTED_VALUE"""),"C00074 ")</f>
        <v xml:space="preserve">C00074 </v>
      </c>
      <c r="D214" s="4" t="str">
        <f ca="1">IFERROR(__xludf.DUMMYFUNCTION("""COMPUTED_VALUE""")," C00043")</f>
        <v xml:space="preserve"> C00043</v>
      </c>
      <c r="E214" s="4"/>
      <c r="F214" s="4"/>
    </row>
    <row r="215" spans="1:6" ht="14">
      <c r="A215" s="22" t="s">
        <v>15975</v>
      </c>
      <c r="C215" s="4" t="str">
        <f ca="1">IFERROR(__xludf.DUMMYFUNCTION("""COMPUTED_VALUE"""),"C00074 ")</f>
        <v xml:space="preserve">C00074 </v>
      </c>
      <c r="D215" s="4" t="str">
        <f ca="1">IFERROR(__xludf.DUMMYFUNCTION("""COMPUTED_VALUE""")," C00184")</f>
        <v xml:space="preserve"> C00184</v>
      </c>
      <c r="E215" s="4"/>
      <c r="F215" s="4"/>
    </row>
    <row r="216" spans="1:6" ht="14">
      <c r="A216" s="22" t="s">
        <v>15976</v>
      </c>
      <c r="C216" s="4" t="str">
        <f ca="1">IFERROR(__xludf.DUMMYFUNCTION("""COMPUTED_VALUE"""),"C00074 ")</f>
        <v xml:space="preserve">C00074 </v>
      </c>
      <c r="D216" s="4" t="str">
        <f ca="1">IFERROR(__xludf.DUMMYFUNCTION("""COMPUTED_VALUE""")," C00615")</f>
        <v xml:space="preserve"> C00615</v>
      </c>
      <c r="E216" s="4"/>
      <c r="F216" s="4"/>
    </row>
    <row r="217" spans="1:6" ht="14">
      <c r="A217" s="22" t="s">
        <v>15977</v>
      </c>
      <c r="C217" s="4" t="str">
        <f ca="1">IFERROR(__xludf.DUMMYFUNCTION("""COMPUTED_VALUE"""),"C00075 ")</f>
        <v xml:space="preserve">C00075 </v>
      </c>
      <c r="D217" s="4" t="str">
        <f ca="1">IFERROR(__xludf.DUMMYFUNCTION("""COMPUTED_VALUE""")," C00022")</f>
        <v xml:space="preserve"> C00022</v>
      </c>
      <c r="E217" s="4"/>
      <c r="F217" s="4"/>
    </row>
    <row r="218" spans="1:6" ht="14">
      <c r="A218" s="22" t="s">
        <v>15978</v>
      </c>
      <c r="C218" s="4" t="str">
        <f ca="1">IFERROR(__xludf.DUMMYFUNCTION("""COMPUTED_VALUE"""),"C00075 ")</f>
        <v xml:space="preserve">C00075 </v>
      </c>
      <c r="D218" s="4" t="str">
        <f ca="1">IFERROR(__xludf.DUMMYFUNCTION("""COMPUTED_VALUE""")," C00046")</f>
        <v xml:space="preserve"> C00046</v>
      </c>
      <c r="E218" s="4"/>
      <c r="F218" s="4"/>
    </row>
    <row r="219" spans="1:6" ht="14">
      <c r="A219" s="22" t="s">
        <v>15979</v>
      </c>
      <c r="C219" s="4" t="str">
        <f ca="1">IFERROR(__xludf.DUMMYFUNCTION("""COMPUTED_VALUE"""),"C00075 ")</f>
        <v xml:space="preserve">C00075 </v>
      </c>
      <c r="D219" s="4" t="str">
        <f ca="1">IFERROR(__xludf.DUMMYFUNCTION("""COMPUTED_VALUE""")," C00085")</f>
        <v xml:space="preserve"> C00085</v>
      </c>
      <c r="E219" s="4"/>
      <c r="F219" s="4"/>
    </row>
    <row r="220" spans="1:6" ht="12.5">
      <c r="A220" s="4" t="s">
        <v>12760</v>
      </c>
      <c r="C220" s="4" t="str">
        <f ca="1">IFERROR(__xludf.DUMMYFUNCTION("""COMPUTED_VALUE"""),"C00075 ")</f>
        <v xml:space="preserve">C00075 </v>
      </c>
      <c r="D220" s="4" t="str">
        <f ca="1">IFERROR(__xludf.DUMMYFUNCTION("""COMPUTED_VALUE""")," C00103")</f>
        <v xml:space="preserve"> C00103</v>
      </c>
      <c r="E220" s="4"/>
      <c r="F220" s="4"/>
    </row>
    <row r="221" spans="1:6" ht="14">
      <c r="A221" s="22" t="s">
        <v>15980</v>
      </c>
      <c r="C221" s="4" t="str">
        <f ca="1">IFERROR(__xludf.DUMMYFUNCTION("""COMPUTED_VALUE"""),"C00075 ")</f>
        <v xml:space="preserve">C00075 </v>
      </c>
      <c r="D221" s="4" t="str">
        <f ca="1">IFERROR(__xludf.DUMMYFUNCTION("""COMPUTED_VALUE""")," C01097")</f>
        <v xml:space="preserve"> C01097</v>
      </c>
      <c r="E221" s="4"/>
      <c r="F221" s="4"/>
    </row>
    <row r="222" spans="1:6" ht="12.5">
      <c r="A222" s="4" t="s">
        <v>12770</v>
      </c>
      <c r="C222" s="4" t="str">
        <f ca="1">IFERROR(__xludf.DUMMYFUNCTION("""COMPUTED_VALUE"""),"C00075 ")</f>
        <v xml:space="preserve">C00075 </v>
      </c>
      <c r="D222" s="4" t="str">
        <f ca="1">IFERROR(__xludf.DUMMYFUNCTION("""COMPUTED_VALUE""")," C04501")</f>
        <v xml:space="preserve"> C04501</v>
      </c>
      <c r="E222" s="4"/>
      <c r="F222" s="4"/>
    </row>
    <row r="223" spans="1:6" ht="14">
      <c r="A223" s="22" t="s">
        <v>15981</v>
      </c>
      <c r="C223" s="4" t="str">
        <f ca="1">IFERROR(__xludf.DUMMYFUNCTION("""COMPUTED_VALUE"""),"C00079 ")</f>
        <v xml:space="preserve">C00079 </v>
      </c>
      <c r="D223" s="4" t="str">
        <f ca="1">IFERROR(__xludf.DUMMYFUNCTION("""COMPUTED_VALUE""")," C00026")</f>
        <v xml:space="preserve"> C00026</v>
      </c>
      <c r="E223" s="4"/>
      <c r="F223" s="4"/>
    </row>
    <row r="224" spans="1:6" ht="12.5">
      <c r="A224" s="4" t="s">
        <v>12744</v>
      </c>
      <c r="C224" s="4" t="str">
        <f ca="1">IFERROR(__xludf.DUMMYFUNCTION("""COMPUTED_VALUE"""),"C00081 ")</f>
        <v xml:space="preserve">C00081 </v>
      </c>
      <c r="D224" s="4" t="str">
        <f ca="1">IFERROR(__xludf.DUMMYFUNCTION("""COMPUTED_VALUE""")," C00022")</f>
        <v xml:space="preserve"> C00022</v>
      </c>
      <c r="E224" s="4"/>
      <c r="F224" s="4"/>
    </row>
    <row r="225" spans="1:6" ht="14">
      <c r="A225" s="22" t="s">
        <v>15982</v>
      </c>
      <c r="C225" s="4" t="str">
        <f ca="1">IFERROR(__xludf.DUMMYFUNCTION("""COMPUTED_VALUE"""),"C00081 ")</f>
        <v xml:space="preserve">C00081 </v>
      </c>
      <c r="D225" s="4" t="str">
        <f ca="1">IFERROR(__xludf.DUMMYFUNCTION("""COMPUTED_VALUE""")," C00085")</f>
        <v xml:space="preserve"> C00085</v>
      </c>
      <c r="E225" s="4"/>
      <c r="F225" s="4"/>
    </row>
    <row r="226" spans="1:6" ht="12.5">
      <c r="A226" s="4" t="s">
        <v>12764</v>
      </c>
      <c r="C226" s="4" t="str">
        <f ca="1">IFERROR(__xludf.DUMMYFUNCTION("""COMPUTED_VALUE"""),"C00081 ")</f>
        <v xml:space="preserve">C00081 </v>
      </c>
      <c r="D226" s="4" t="str">
        <f ca="1">IFERROR(__xludf.DUMMYFUNCTION("""COMPUTED_VALUE""")," C01097")</f>
        <v xml:space="preserve"> C01097</v>
      </c>
      <c r="E226" s="4"/>
      <c r="F226" s="4"/>
    </row>
    <row r="227" spans="1:6" ht="14">
      <c r="A227" s="22" t="s">
        <v>15983</v>
      </c>
      <c r="C227" s="4" t="str">
        <f ca="1">IFERROR(__xludf.DUMMYFUNCTION("""COMPUTED_VALUE"""),"C00082 ")</f>
        <v xml:space="preserve">C00082 </v>
      </c>
      <c r="D227" s="4" t="str">
        <f ca="1">IFERROR(__xludf.DUMMYFUNCTION("""COMPUTED_VALUE""")," C00026")</f>
        <v xml:space="preserve"> C00026</v>
      </c>
      <c r="E227" s="4"/>
      <c r="F227" s="4"/>
    </row>
    <row r="228" spans="1:6" ht="12.5">
      <c r="A228" s="4" t="s">
        <v>12746</v>
      </c>
      <c r="C228" s="4" t="str">
        <f ca="1">IFERROR(__xludf.DUMMYFUNCTION("""COMPUTED_VALUE"""),"C00083 ")</f>
        <v xml:space="preserve">C00083 </v>
      </c>
      <c r="D228" s="4" t="str">
        <f ca="1">IFERROR(__xludf.DUMMYFUNCTION("""COMPUTED_VALUE""")," C00229")</f>
        <v xml:space="preserve"> C00229</v>
      </c>
      <c r="E228" s="4"/>
      <c r="F228" s="4"/>
    </row>
    <row r="229" spans="1:6" ht="14">
      <c r="A229" s="22" t="s">
        <v>15984</v>
      </c>
      <c r="C229" s="4" t="str">
        <f ca="1">IFERROR(__xludf.DUMMYFUNCTION("""COMPUTED_VALUE"""),"C00084 ")</f>
        <v xml:space="preserve">C00084 </v>
      </c>
      <c r="D229" s="4" t="str">
        <f ca="1">IFERROR(__xludf.DUMMYFUNCTION("""COMPUTED_VALUE""")," C00010 ")</f>
        <v xml:space="preserve"> C00010 </v>
      </c>
      <c r="E229" s="4" t="str">
        <f ca="1">IFERROR(__xludf.DUMMYFUNCTION("""COMPUTED_VALUE""")," C00003")</f>
        <v xml:space="preserve"> C00003</v>
      </c>
      <c r="F229" s="4"/>
    </row>
    <row r="230" spans="1:6" ht="12.5">
      <c r="A230" s="4" t="s">
        <v>12637</v>
      </c>
      <c r="C230" s="4" t="str">
        <f ca="1">IFERROR(__xludf.DUMMYFUNCTION("""COMPUTED_VALUE"""),"C00089 ")</f>
        <v xml:space="preserve">C00089 </v>
      </c>
      <c r="D230" s="4" t="str">
        <f ca="1">IFERROR(__xludf.DUMMYFUNCTION("""COMPUTED_VALUE""")," C00001")</f>
        <v xml:space="preserve"> C00001</v>
      </c>
      <c r="E230" s="4"/>
      <c r="F230" s="4"/>
    </row>
    <row r="231" spans="1:6" ht="14">
      <c r="A231" s="22" t="s">
        <v>15985</v>
      </c>
      <c r="C231" s="4" t="str">
        <f ca="1">IFERROR(__xludf.DUMMYFUNCTION("""COMPUTED_VALUE"""),"C00089 ")</f>
        <v xml:space="preserve">C00089 </v>
      </c>
      <c r="D231" s="4" t="str">
        <f ca="1">IFERROR(__xludf.DUMMYFUNCTION("""COMPUTED_VALUE""")," C00001")</f>
        <v xml:space="preserve"> C00001</v>
      </c>
      <c r="E231" s="4"/>
      <c r="F231" s="4"/>
    </row>
    <row r="232" spans="1:6" ht="14">
      <c r="A232" s="22" t="s">
        <v>15986</v>
      </c>
      <c r="C232" s="4" t="str">
        <f ca="1">IFERROR(__xludf.DUMMYFUNCTION("""COMPUTED_VALUE"""),"C00091 ")</f>
        <v xml:space="preserve">C00091 </v>
      </c>
      <c r="D232" s="4" t="str">
        <f ca="1">IFERROR(__xludf.DUMMYFUNCTION("""COMPUTED_VALUE""")," C00024")</f>
        <v xml:space="preserve"> C00024</v>
      </c>
      <c r="E232" s="4"/>
      <c r="F232" s="4"/>
    </row>
    <row r="233" spans="1:6" ht="14">
      <c r="A233" s="22" t="s">
        <v>15987</v>
      </c>
      <c r="C233" s="4" t="str">
        <f ca="1">IFERROR(__xludf.DUMMYFUNCTION("""COMPUTED_VALUE"""),"C00092")</f>
        <v>C00092</v>
      </c>
      <c r="D233" s="4"/>
      <c r="E233" s="4"/>
      <c r="F233" s="4"/>
    </row>
    <row r="234" spans="1:6" ht="12.5">
      <c r="A234" s="2" t="s">
        <v>15988</v>
      </c>
      <c r="C234" s="4" t="str">
        <f ca="1">IFERROR(__xludf.DUMMYFUNCTION("""COMPUTED_VALUE"""),"C00092 ")</f>
        <v xml:space="preserve">C00092 </v>
      </c>
      <c r="D234" s="4" t="str">
        <f ca="1">IFERROR(__xludf.DUMMYFUNCTION("""COMPUTED_VALUE""")," C00006")</f>
        <v xml:space="preserve"> C00006</v>
      </c>
      <c r="E234" s="4"/>
      <c r="F234" s="4"/>
    </row>
    <row r="235" spans="1:6" ht="12.5">
      <c r="A235" s="4" t="s">
        <v>12631</v>
      </c>
      <c r="C235" s="4" t="str">
        <f ca="1">IFERROR(__xludf.DUMMYFUNCTION("""COMPUTED_VALUE"""),"C00093 ")</f>
        <v xml:space="preserve">C00093 </v>
      </c>
      <c r="D235" s="4" t="str">
        <f ca="1">IFERROR(__xludf.DUMMYFUNCTION("""COMPUTED_VALUE""")," C00003")</f>
        <v xml:space="preserve"> C00003</v>
      </c>
      <c r="E235" s="4"/>
      <c r="F235" s="4"/>
    </row>
    <row r="236" spans="1:6" ht="14">
      <c r="A236" s="22" t="s">
        <v>15989</v>
      </c>
      <c r="C236" s="4" t="str">
        <f ca="1">IFERROR(__xludf.DUMMYFUNCTION("""COMPUTED_VALUE"""),"C00093 ")</f>
        <v xml:space="preserve">C00093 </v>
      </c>
      <c r="D236" s="4" t="str">
        <f ca="1">IFERROR(__xludf.DUMMYFUNCTION("""COMPUTED_VALUE""")," C00006")</f>
        <v xml:space="preserve"> C00006</v>
      </c>
      <c r="E236" s="4"/>
      <c r="F236" s="4"/>
    </row>
    <row r="237" spans="1:6" ht="14">
      <c r="A237" s="22" t="s">
        <v>15990</v>
      </c>
      <c r="C237" s="4" t="str">
        <f ca="1">IFERROR(__xludf.DUMMYFUNCTION("""COMPUTED_VALUE"""),"C00093 ")</f>
        <v xml:space="preserve">C00093 </v>
      </c>
      <c r="D237" s="4" t="str">
        <f ca="1">IFERROR(__xludf.DUMMYFUNCTION("""COMPUTED_VALUE""")," C00040")</f>
        <v xml:space="preserve"> C00040</v>
      </c>
      <c r="E237" s="4"/>
      <c r="F237" s="4"/>
    </row>
    <row r="238" spans="1:6" ht="14">
      <c r="A238" s="22" t="s">
        <v>15991</v>
      </c>
      <c r="C238" s="4" t="str">
        <f ca="1">IFERROR(__xludf.DUMMYFUNCTION("""COMPUTED_VALUE"""),"C00097 ")</f>
        <v xml:space="preserve">C00097 </v>
      </c>
      <c r="D238" s="4" t="str">
        <f ca="1">IFERROR(__xludf.DUMMYFUNCTION("""COMPUTED_VALUE""")," C00001")</f>
        <v xml:space="preserve"> C00001</v>
      </c>
      <c r="E238" s="4"/>
      <c r="F238" s="4"/>
    </row>
    <row r="239" spans="1:6" ht="14">
      <c r="A239" s="22" t="s">
        <v>15992</v>
      </c>
      <c r="C239" s="4" t="str">
        <f ca="1">IFERROR(__xludf.DUMMYFUNCTION("""COMPUTED_VALUE"""),"C00097 ")</f>
        <v xml:space="preserve">C00097 </v>
      </c>
      <c r="D239" s="4" t="str">
        <f ca="1">IFERROR(__xludf.DUMMYFUNCTION("""COMPUTED_VALUE""")," C00051 ")</f>
        <v xml:space="preserve"> C00051 </v>
      </c>
      <c r="E239" s="4" t="str">
        <f ca="1">IFERROR(__xludf.DUMMYFUNCTION("""COMPUTED_VALUE""")," C00006")</f>
        <v xml:space="preserve"> C00006</v>
      </c>
      <c r="F239" s="4"/>
    </row>
    <row r="240" spans="1:6" ht="14">
      <c r="A240" s="22" t="s">
        <v>15993</v>
      </c>
      <c r="C240" s="4" t="str">
        <f ca="1">IFERROR(__xludf.DUMMYFUNCTION("""COMPUTED_VALUE"""),"C00097 ")</f>
        <v xml:space="preserve">C00097 </v>
      </c>
      <c r="D240" s="4" t="str">
        <f ca="1">IFERROR(__xludf.DUMMYFUNCTION("""COMPUTED_VALUE""")," C02342")</f>
        <v xml:space="preserve"> C02342</v>
      </c>
      <c r="E240" s="4"/>
      <c r="F240" s="4"/>
    </row>
    <row r="241" spans="1:6" ht="14">
      <c r="A241" s="22" t="s">
        <v>15994</v>
      </c>
      <c r="C241" s="4" t="str">
        <f ca="1">IFERROR(__xludf.DUMMYFUNCTION("""COMPUTED_VALUE"""),"C00100 ")</f>
        <v xml:space="preserve">C00100 </v>
      </c>
      <c r="D241" s="4" t="str">
        <f ca="1">IFERROR(__xludf.DUMMYFUNCTION("""COMPUTED_VALUE""")," C00003")</f>
        <v xml:space="preserve"> C00003</v>
      </c>
      <c r="E241" s="4"/>
      <c r="F241" s="4"/>
    </row>
    <row r="242" spans="1:6" ht="14">
      <c r="A242" s="22" t="s">
        <v>15995</v>
      </c>
      <c r="C242" s="4" t="str">
        <f ca="1">IFERROR(__xludf.DUMMYFUNCTION("""COMPUTED_VALUE"""),"C00100 ")</f>
        <v xml:space="preserve">C00100 </v>
      </c>
      <c r="D242" s="4" t="str">
        <f ca="1">IFERROR(__xludf.DUMMYFUNCTION("""COMPUTED_VALUE""")," C00009")</f>
        <v xml:space="preserve"> C00009</v>
      </c>
      <c r="E242" s="4"/>
      <c r="F242" s="4"/>
    </row>
    <row r="243" spans="1:6" ht="14">
      <c r="A243" s="22" t="s">
        <v>15996</v>
      </c>
      <c r="C243" s="4" t="str">
        <f ca="1">IFERROR(__xludf.DUMMYFUNCTION("""COMPUTED_VALUE"""),"C00100 ")</f>
        <v xml:space="preserve">C00100 </v>
      </c>
      <c r="D243" s="4" t="str">
        <f ca="1">IFERROR(__xludf.DUMMYFUNCTION("""COMPUTED_VALUE""")," C00024")</f>
        <v xml:space="preserve"> C00024</v>
      </c>
      <c r="E243" s="4"/>
      <c r="F243" s="4"/>
    </row>
    <row r="244" spans="1:6" ht="14">
      <c r="A244" s="22" t="s">
        <v>15997</v>
      </c>
      <c r="C244" s="4" t="str">
        <f ca="1">IFERROR(__xludf.DUMMYFUNCTION("""COMPUTED_VALUE"""),"C00101 ")</f>
        <v xml:space="preserve">C00101 </v>
      </c>
      <c r="D244" s="4" t="str">
        <f ca="1">IFERROR(__xludf.DUMMYFUNCTION("""COMPUTED_VALUE""")," 2 C00003")</f>
        <v xml:space="preserve"> 2 C00003</v>
      </c>
      <c r="E244" s="4"/>
      <c r="F244" s="4"/>
    </row>
    <row r="245" spans="1:6" ht="14">
      <c r="A245" s="22" t="s">
        <v>15998</v>
      </c>
      <c r="C245" s="4" t="str">
        <f ca="1">IFERROR(__xludf.DUMMYFUNCTION("""COMPUTED_VALUE"""),"C00101 ")</f>
        <v xml:space="preserve">C00101 </v>
      </c>
      <c r="D245" s="4" t="str">
        <f ca="1">IFERROR(__xludf.DUMMYFUNCTION("""COMPUTED_VALUE""")," 2 C00006")</f>
        <v xml:space="preserve"> 2 C00006</v>
      </c>
      <c r="E245" s="4"/>
      <c r="F245" s="4"/>
    </row>
    <row r="246" spans="1:6" ht="14">
      <c r="A246" s="22" t="s">
        <v>15999</v>
      </c>
      <c r="C246" s="4" t="str">
        <f ca="1">IFERROR(__xludf.DUMMYFUNCTION("""COMPUTED_VALUE"""),"C00101 ")</f>
        <v xml:space="preserve">C00101 </v>
      </c>
      <c r="D246" s="4" t="str">
        <f ca="1">IFERROR(__xludf.DUMMYFUNCTION("""COMPUTED_VALUE""")," C00003")</f>
        <v xml:space="preserve"> C00003</v>
      </c>
      <c r="E246" s="4"/>
      <c r="F246" s="4"/>
    </row>
    <row r="247" spans="1:6" ht="14">
      <c r="A247" s="22" t="s">
        <v>16000</v>
      </c>
      <c r="C247" s="4" t="str">
        <f ca="1">IFERROR(__xludf.DUMMYFUNCTION("""COMPUTED_VALUE"""),"C00101 ")</f>
        <v xml:space="preserve">C00101 </v>
      </c>
      <c r="D247" s="4" t="str">
        <f ca="1">IFERROR(__xludf.DUMMYFUNCTION("""COMPUTED_VALUE""")," C00006")</f>
        <v xml:space="preserve"> C00006</v>
      </c>
      <c r="E247" s="4"/>
      <c r="F247" s="4"/>
    </row>
    <row r="248" spans="1:6" ht="14">
      <c r="A248" s="22" t="s">
        <v>16001</v>
      </c>
      <c r="C248" s="4" t="str">
        <f ca="1">IFERROR(__xludf.DUMMYFUNCTION("""COMPUTED_VALUE"""),"C00101 ")</f>
        <v xml:space="preserve">C00101 </v>
      </c>
      <c r="D248" s="4" t="str">
        <f ca="1">IFERROR(__xludf.DUMMYFUNCTION("""COMPUTED_VALUE""")," C00058 ")</f>
        <v xml:space="preserve"> C00058 </v>
      </c>
      <c r="E248" s="4" t="str">
        <f ca="1">IFERROR(__xludf.DUMMYFUNCTION("""COMPUTED_VALUE""")," C00002")</f>
        <v xml:space="preserve"> C00002</v>
      </c>
      <c r="F248" s="4"/>
    </row>
    <row r="249" spans="1:6" ht="14">
      <c r="A249" s="22" t="s">
        <v>16002</v>
      </c>
      <c r="C249" s="4" t="str">
        <f ca="1">IFERROR(__xludf.DUMMYFUNCTION("""COMPUTED_VALUE"""),"C00105 ")</f>
        <v xml:space="preserve">C00105 </v>
      </c>
      <c r="D249" s="4" t="str">
        <f ca="1">IFERROR(__xludf.DUMMYFUNCTION("""COMPUTED_VALUE""")," C00001")</f>
        <v xml:space="preserve"> C00001</v>
      </c>
      <c r="E249" s="4"/>
      <c r="F249" s="4"/>
    </row>
    <row r="250" spans="1:6" ht="14">
      <c r="A250" s="22" t="s">
        <v>16003</v>
      </c>
      <c r="C250" s="4" t="str">
        <f ca="1">IFERROR(__xludf.DUMMYFUNCTION("""COMPUTED_VALUE"""),"C00105 ")</f>
        <v xml:space="preserve">C00105 </v>
      </c>
      <c r="D250" s="4" t="str">
        <f ca="1">IFERROR(__xludf.DUMMYFUNCTION("""COMPUTED_VALUE""")," C00013")</f>
        <v xml:space="preserve"> C00013</v>
      </c>
      <c r="E250" s="4"/>
      <c r="F250" s="4"/>
    </row>
    <row r="251" spans="1:6" ht="14">
      <c r="A251" s="22" t="s">
        <v>16004</v>
      </c>
      <c r="C251" s="4" t="str">
        <f ca="1">IFERROR(__xludf.DUMMYFUNCTION("""COMPUTED_VALUE"""),"C00109 ")</f>
        <v xml:space="preserve">C00109 </v>
      </c>
      <c r="D251" s="4" t="str">
        <f ca="1">IFERROR(__xludf.DUMMYFUNCTION("""COMPUTED_VALUE""")," C00010")</f>
        <v xml:space="preserve"> C00010</v>
      </c>
      <c r="E251" s="4"/>
      <c r="F251" s="4"/>
    </row>
    <row r="252" spans="1:6" ht="14">
      <c r="A252" s="22" t="s">
        <v>16005</v>
      </c>
      <c r="C252" s="4" t="str">
        <f ca="1">IFERROR(__xludf.DUMMYFUNCTION("""COMPUTED_VALUE"""),"C00109 ")</f>
        <v xml:space="preserve">C00109 </v>
      </c>
      <c r="D252" s="4" t="str">
        <f ca="1">IFERROR(__xludf.DUMMYFUNCTION("""COMPUTED_VALUE""")," C05125")</f>
        <v xml:space="preserve"> C05125</v>
      </c>
      <c r="E252" s="4"/>
      <c r="F252" s="4"/>
    </row>
    <row r="253" spans="1:6" ht="14">
      <c r="A253" s="22" t="s">
        <v>16006</v>
      </c>
      <c r="C253" s="4" t="str">
        <f ca="1">IFERROR(__xludf.DUMMYFUNCTION("""COMPUTED_VALUE"""),"C00114 ")</f>
        <v xml:space="preserve">C00114 </v>
      </c>
      <c r="D253" s="4" t="str">
        <f ca="1">IFERROR(__xludf.DUMMYFUNCTION("""COMPUTED_VALUE""")," C00003")</f>
        <v xml:space="preserve"> C00003</v>
      </c>
      <c r="E253" s="4"/>
      <c r="F253" s="4"/>
    </row>
    <row r="254" spans="1:6" ht="14">
      <c r="A254" s="22" t="s">
        <v>16007</v>
      </c>
      <c r="C254" s="4" t="str">
        <f ca="1">IFERROR(__xludf.DUMMYFUNCTION("""COMPUTED_VALUE"""),"C00114 ")</f>
        <v xml:space="preserve">C00114 </v>
      </c>
      <c r="D254" s="4" t="str">
        <f ca="1">IFERROR(__xludf.DUMMYFUNCTION("""COMPUTED_VALUE""")," C00006")</f>
        <v xml:space="preserve"> C00006</v>
      </c>
      <c r="E254" s="4"/>
      <c r="F254" s="4"/>
    </row>
    <row r="255" spans="1:6" ht="14">
      <c r="A255" s="22" t="s">
        <v>16008</v>
      </c>
      <c r="C255" s="4" t="str">
        <f ca="1">IFERROR(__xludf.DUMMYFUNCTION("""COMPUTED_VALUE"""),"C00117")</f>
        <v>C00117</v>
      </c>
      <c r="D255" s="4"/>
      <c r="E255" s="4"/>
      <c r="F255" s="4"/>
    </row>
    <row r="256" spans="1:6" ht="12.5">
      <c r="A256" s="2" t="s">
        <v>16009</v>
      </c>
      <c r="C256" s="4" t="str">
        <f ca="1">IFERROR(__xludf.DUMMYFUNCTION("""COMPUTED_VALUE"""),"C00118")</f>
        <v>C00118</v>
      </c>
      <c r="D256" s="4"/>
      <c r="E256" s="4"/>
      <c r="F256" s="4"/>
    </row>
    <row r="257" spans="1:6" ht="12.5">
      <c r="A257" s="2" t="s">
        <v>16010</v>
      </c>
      <c r="C257" s="4" t="str">
        <f ca="1">IFERROR(__xludf.DUMMYFUNCTION("""COMPUTED_VALUE"""),"C00123 ")</f>
        <v xml:space="preserve">C00123 </v>
      </c>
      <c r="D257" s="4" t="str">
        <f ca="1">IFERROR(__xludf.DUMMYFUNCTION("""COMPUTED_VALUE""")," C00026")</f>
        <v xml:space="preserve"> C00026</v>
      </c>
      <c r="E257" s="4"/>
      <c r="F257" s="4"/>
    </row>
    <row r="258" spans="1:6" ht="12.5">
      <c r="A258" s="4" t="s">
        <v>12728</v>
      </c>
      <c r="C258" s="4" t="str">
        <f ca="1">IFERROR(__xludf.DUMMYFUNCTION("""COMPUTED_VALUE"""),"C00129")</f>
        <v>C00129</v>
      </c>
      <c r="D258" s="4"/>
      <c r="E258" s="4"/>
      <c r="F258" s="4"/>
    </row>
    <row r="259" spans="1:6" ht="12.5">
      <c r="A259" s="2" t="s">
        <v>16011</v>
      </c>
      <c r="C259" s="4" t="str">
        <f ca="1">IFERROR(__xludf.DUMMYFUNCTION("""COMPUTED_VALUE"""),"C00130 ")</f>
        <v xml:space="preserve">C00130 </v>
      </c>
      <c r="D259" s="4" t="str">
        <f ca="1">IFERROR(__xludf.DUMMYFUNCTION("""COMPUTED_VALUE""")," C00001")</f>
        <v xml:space="preserve"> C00001</v>
      </c>
      <c r="E259" s="4"/>
      <c r="F259" s="4"/>
    </row>
    <row r="260" spans="1:6" ht="14">
      <c r="A260" s="22" t="s">
        <v>16012</v>
      </c>
      <c r="C260" s="4" t="str">
        <f ca="1">IFERROR(__xludf.DUMMYFUNCTION("""COMPUTED_VALUE"""),"C00130 ")</f>
        <v xml:space="preserve">C00130 </v>
      </c>
      <c r="D260" s="4" t="str">
        <f ca="1">IFERROR(__xludf.DUMMYFUNCTION("""COMPUTED_VALUE""")," C00001")</f>
        <v xml:space="preserve"> C00001</v>
      </c>
      <c r="E260" s="4"/>
      <c r="F260" s="4"/>
    </row>
    <row r="261" spans="1:6" ht="14">
      <c r="A261" s="22" t="s">
        <v>16013</v>
      </c>
      <c r="C261" s="4" t="str">
        <f ca="1">IFERROR(__xludf.DUMMYFUNCTION("""COMPUTED_VALUE"""),"C00130 ")</f>
        <v xml:space="preserve">C00130 </v>
      </c>
      <c r="D261" s="4" t="str">
        <f ca="1">IFERROR(__xludf.DUMMYFUNCTION("""COMPUTED_VALUE""")," C00003 ")</f>
        <v xml:space="preserve"> C00003 </v>
      </c>
      <c r="E261" s="4" t="str">
        <f ca="1">IFERROR(__xludf.DUMMYFUNCTION("""COMPUTED_VALUE""")," C00001")</f>
        <v xml:space="preserve"> C00001</v>
      </c>
      <c r="F261" s="4"/>
    </row>
    <row r="262" spans="1:6" ht="14">
      <c r="A262" s="22" t="s">
        <v>16014</v>
      </c>
      <c r="C262" s="4" t="str">
        <f ca="1">IFERROR(__xludf.DUMMYFUNCTION("""COMPUTED_VALUE"""),"C00130 ")</f>
        <v xml:space="preserve">C00130 </v>
      </c>
      <c r="D262" s="4" t="str">
        <f ca="1">IFERROR(__xludf.DUMMYFUNCTION("""COMPUTED_VALUE""")," C00014 ")</f>
        <v xml:space="preserve"> C00014 </v>
      </c>
      <c r="E262" s="4" t="str">
        <f ca="1">IFERROR(__xludf.DUMMYFUNCTION("""COMPUTED_VALUE""")," C00006")</f>
        <v xml:space="preserve"> C00006</v>
      </c>
      <c r="F262" s="4"/>
    </row>
    <row r="263" spans="1:6" ht="14">
      <c r="A263" s="22" t="s">
        <v>16015</v>
      </c>
      <c r="C263" s="4" t="str">
        <f ca="1">IFERROR(__xludf.DUMMYFUNCTION("""COMPUTED_VALUE"""),"C00131 ")</f>
        <v xml:space="preserve">C00131 </v>
      </c>
      <c r="D263" s="4" t="str">
        <f ca="1">IFERROR(__xludf.DUMMYFUNCTION("""COMPUTED_VALUE""")," C00022")</f>
        <v xml:space="preserve"> C00022</v>
      </c>
      <c r="E263" s="4"/>
      <c r="F263" s="4"/>
    </row>
    <row r="264" spans="1:6" ht="14">
      <c r="A264" s="22" t="s">
        <v>16016</v>
      </c>
      <c r="C264" s="4" t="str">
        <f ca="1">IFERROR(__xludf.DUMMYFUNCTION("""COMPUTED_VALUE"""),"C00131 ")</f>
        <v xml:space="preserve">C00131 </v>
      </c>
      <c r="D264" s="4" t="str">
        <f ca="1">IFERROR(__xludf.DUMMYFUNCTION("""COMPUTED_VALUE""")," C00039")</f>
        <v xml:space="preserve"> C00039</v>
      </c>
      <c r="E264" s="4"/>
      <c r="F264" s="4"/>
    </row>
    <row r="265" spans="1:6" ht="14">
      <c r="A265" s="22" t="s">
        <v>16017</v>
      </c>
      <c r="C265" s="4" t="str">
        <f ca="1">IFERROR(__xludf.DUMMYFUNCTION("""COMPUTED_VALUE"""),"C00131 ")</f>
        <v xml:space="preserve">C00131 </v>
      </c>
      <c r="D265" s="4" t="str">
        <f ca="1">IFERROR(__xludf.DUMMYFUNCTION("""COMPUTED_VALUE""")," C00343 ")</f>
        <v xml:space="preserve"> C00343 </v>
      </c>
      <c r="E265" s="4" t="str">
        <f ca="1">IFERROR(__xludf.DUMMYFUNCTION("""COMPUTED_VALUE""")," C00001")</f>
        <v xml:space="preserve"> C00001</v>
      </c>
      <c r="F265" s="4"/>
    </row>
    <row r="266" spans="1:6" ht="14">
      <c r="A266" s="22" t="s">
        <v>16018</v>
      </c>
      <c r="C266" s="4" t="str">
        <f ca="1">IFERROR(__xludf.DUMMYFUNCTION("""COMPUTED_VALUE"""),"C00137 ")</f>
        <v xml:space="preserve">C00137 </v>
      </c>
      <c r="D266" s="4" t="str">
        <f ca="1">IFERROR(__xludf.DUMMYFUNCTION("""COMPUTED_VALUE""")," C00003")</f>
        <v xml:space="preserve"> C00003</v>
      </c>
      <c r="E266" s="4"/>
      <c r="F266" s="4"/>
    </row>
    <row r="267" spans="1:6" ht="14">
      <c r="A267" s="21" t="s">
        <v>16019</v>
      </c>
      <c r="C267" s="4" t="str">
        <f ca="1">IFERROR(__xludf.DUMMYFUNCTION("""COMPUTED_VALUE"""),"C00143 ")</f>
        <v xml:space="preserve">C00143 </v>
      </c>
      <c r="D267" s="4" t="str">
        <f ca="1">IFERROR(__xludf.DUMMYFUNCTION("""COMPUTED_VALUE""")," C00006")</f>
        <v xml:space="preserve"> C00006</v>
      </c>
      <c r="E267" s="4"/>
      <c r="F267" s="4"/>
    </row>
    <row r="268" spans="1:6" ht="14">
      <c r="A268" s="22" t="s">
        <v>16020</v>
      </c>
      <c r="C268" s="4" t="str">
        <f ca="1">IFERROR(__xludf.DUMMYFUNCTION("""COMPUTED_VALUE"""),"C00143 ")</f>
        <v xml:space="preserve">C00143 </v>
      </c>
      <c r="D268" s="4" t="str">
        <f ca="1">IFERROR(__xludf.DUMMYFUNCTION("""COMPUTED_VALUE""")," C00037 ")</f>
        <v xml:space="preserve"> C00037 </v>
      </c>
      <c r="E268" s="4" t="str">
        <f ca="1">IFERROR(__xludf.DUMMYFUNCTION("""COMPUTED_VALUE""")," C00001")</f>
        <v xml:space="preserve"> C00001</v>
      </c>
      <c r="F268" s="4"/>
    </row>
    <row r="269" spans="1:6" ht="14">
      <c r="A269" s="22" t="s">
        <v>16021</v>
      </c>
      <c r="C269" s="4" t="str">
        <f ca="1">IFERROR(__xludf.DUMMYFUNCTION("""COMPUTED_VALUE"""),"C00144 ")</f>
        <v xml:space="preserve">C00144 </v>
      </c>
      <c r="D269" s="4" t="str">
        <f ca="1">IFERROR(__xludf.DUMMYFUNCTION("""COMPUTED_VALUE""")," C00001")</f>
        <v xml:space="preserve"> C00001</v>
      </c>
      <c r="E269" s="4"/>
      <c r="F269" s="4"/>
    </row>
    <row r="270" spans="1:6" ht="14">
      <c r="A270" s="22" t="s">
        <v>16022</v>
      </c>
      <c r="C270" s="4" t="str">
        <f ca="1">IFERROR(__xludf.DUMMYFUNCTION("""COMPUTED_VALUE"""),"C00144 ")</f>
        <v xml:space="preserve">C00144 </v>
      </c>
      <c r="D270" s="4" t="str">
        <f ca="1">IFERROR(__xludf.DUMMYFUNCTION("""COMPUTED_VALUE""")," C00013")</f>
        <v xml:space="preserve"> C00013</v>
      </c>
      <c r="E270" s="4"/>
      <c r="F270" s="4"/>
    </row>
    <row r="271" spans="1:6" ht="12.5">
      <c r="A271" s="4" t="s">
        <v>12680</v>
      </c>
      <c r="C271" s="4" t="str">
        <f ca="1">IFERROR(__xludf.DUMMYFUNCTION("""COMPUTED_VALUE"""),"C00148 ")</f>
        <v xml:space="preserve">C00148 </v>
      </c>
      <c r="D271" s="4" t="str">
        <f ca="1">IFERROR(__xludf.DUMMYFUNCTION("""COMPUTED_VALUE""")," C00003")</f>
        <v xml:space="preserve"> C00003</v>
      </c>
      <c r="E271" s="4"/>
      <c r="F271" s="4"/>
    </row>
    <row r="272" spans="1:6" ht="14">
      <c r="A272" s="21" t="s">
        <v>16023</v>
      </c>
      <c r="C272" s="4" t="str">
        <f ca="1">IFERROR(__xludf.DUMMYFUNCTION("""COMPUTED_VALUE"""),"C00148 ")</f>
        <v xml:space="preserve">C00148 </v>
      </c>
      <c r="D272" s="4" t="str">
        <f ca="1">IFERROR(__xludf.DUMMYFUNCTION("""COMPUTED_VALUE""")," C00006")</f>
        <v xml:space="preserve"> C00006</v>
      </c>
      <c r="E272" s="4"/>
      <c r="F272" s="4"/>
    </row>
    <row r="273" spans="1:6" ht="14">
      <c r="A273" s="22" t="s">
        <v>16024</v>
      </c>
      <c r="C273" s="4" t="str">
        <f ca="1">IFERROR(__xludf.DUMMYFUNCTION("""COMPUTED_VALUE"""),"C00149")</f>
        <v>C00149</v>
      </c>
      <c r="D273" s="4"/>
      <c r="E273" s="4"/>
      <c r="F273" s="4"/>
    </row>
    <row r="274" spans="1:6" ht="12.5">
      <c r="A274" s="2" t="s">
        <v>16025</v>
      </c>
      <c r="C274" s="4" t="str">
        <f ca="1">IFERROR(__xludf.DUMMYFUNCTION("""COMPUTED_VALUE"""),"C00149")</f>
        <v>C00149</v>
      </c>
      <c r="D274" s="4"/>
      <c r="E274" s="4"/>
      <c r="F274" s="4"/>
    </row>
    <row r="275" spans="1:6" ht="12.5">
      <c r="A275" s="2" t="s">
        <v>16026</v>
      </c>
      <c r="C275" s="4" t="str">
        <f ca="1">IFERROR(__xludf.DUMMYFUNCTION("""COMPUTED_VALUE"""),"C00158")</f>
        <v>C00158</v>
      </c>
      <c r="D275" s="4"/>
      <c r="E275" s="4"/>
      <c r="F275" s="4"/>
    </row>
    <row r="276" spans="1:6" ht="12.5">
      <c r="A276" s="2" t="s">
        <v>16027</v>
      </c>
      <c r="C276" s="4" t="str">
        <f ca="1">IFERROR(__xludf.DUMMYFUNCTION("""COMPUTED_VALUE"""),"C00169 ")</f>
        <v xml:space="preserve">C00169 </v>
      </c>
      <c r="D276" s="4" t="str">
        <f ca="1">IFERROR(__xludf.DUMMYFUNCTION("""COMPUTED_VALUE""")," C00049")</f>
        <v xml:space="preserve"> C00049</v>
      </c>
      <c r="E276" s="4"/>
      <c r="F276" s="4"/>
    </row>
    <row r="277" spans="1:6" ht="14">
      <c r="A277" s="22" t="s">
        <v>16028</v>
      </c>
      <c r="C277" s="4" t="str">
        <f ca="1">IFERROR(__xludf.DUMMYFUNCTION("""COMPUTED_VALUE"""),"C00170 ")</f>
        <v xml:space="preserve">C00170 </v>
      </c>
      <c r="D277" s="4" t="str">
        <f ca="1">IFERROR(__xludf.DUMMYFUNCTION("""COMPUTED_VALUE""")," C00001")</f>
        <v xml:space="preserve"> C00001</v>
      </c>
      <c r="E277" s="4"/>
      <c r="F277" s="4"/>
    </row>
    <row r="278" spans="1:6" ht="14">
      <c r="A278" s="22" t="s">
        <v>16029</v>
      </c>
      <c r="C278" s="4" t="str">
        <f ca="1">IFERROR(__xludf.DUMMYFUNCTION("""COMPUTED_VALUE"""),"C00173 ")</f>
        <v xml:space="preserve">C00173 </v>
      </c>
      <c r="D278" s="4" t="str">
        <f ca="1">IFERROR(__xludf.DUMMYFUNCTION("""COMPUTED_VALUE""")," C00009")</f>
        <v xml:space="preserve"> C00009</v>
      </c>
      <c r="E278" s="4"/>
      <c r="F278" s="4"/>
    </row>
    <row r="279" spans="1:6" ht="14">
      <c r="A279" s="22" t="s">
        <v>16030</v>
      </c>
      <c r="C279" s="4" t="str">
        <f ca="1">IFERROR(__xludf.DUMMYFUNCTION("""COMPUTED_VALUE"""),"C00173 ")</f>
        <v xml:space="preserve">C00173 </v>
      </c>
      <c r="D279" s="4" t="str">
        <f ca="1">IFERROR(__xludf.DUMMYFUNCTION("""COMPUTED_VALUE""")," C00093")</f>
        <v xml:space="preserve"> C00093</v>
      </c>
      <c r="E279" s="4"/>
      <c r="F279" s="4"/>
    </row>
    <row r="280" spans="1:6" ht="14">
      <c r="A280" s="22" t="s">
        <v>16031</v>
      </c>
      <c r="C280" s="4" t="str">
        <f ca="1">IFERROR(__xludf.DUMMYFUNCTION("""COMPUTED_VALUE"""),"C00173 ")</f>
        <v xml:space="preserve">C00173 </v>
      </c>
      <c r="D280" s="4" t="str">
        <f ca="1">IFERROR(__xludf.DUMMYFUNCTION("""COMPUTED_VALUE""")," C01209")</f>
        <v xml:space="preserve"> C01209</v>
      </c>
      <c r="E280" s="4"/>
      <c r="F280" s="4"/>
    </row>
    <row r="281" spans="1:6" ht="14">
      <c r="A281" s="22" t="s">
        <v>16032</v>
      </c>
      <c r="C281" s="4" t="str">
        <f ca="1">IFERROR(__xludf.DUMMYFUNCTION("""COMPUTED_VALUE"""),"C00183 ")</f>
        <v xml:space="preserve">C00183 </v>
      </c>
      <c r="D281" s="4" t="str">
        <f ca="1">IFERROR(__xludf.DUMMYFUNCTION("""COMPUTED_VALUE""")," C00026")</f>
        <v xml:space="preserve"> C00026</v>
      </c>
      <c r="E281" s="4"/>
      <c r="F281" s="4"/>
    </row>
    <row r="282" spans="1:6" ht="12.5">
      <c r="A282" s="4" t="s">
        <v>12732</v>
      </c>
      <c r="C282" s="4" t="str">
        <f ca="1">IFERROR(__xludf.DUMMYFUNCTION("""COMPUTED_VALUE"""),"C00186 ")</f>
        <v xml:space="preserve">C00186 </v>
      </c>
      <c r="D282" s="4" t="str">
        <f ca="1">IFERROR(__xludf.DUMMYFUNCTION("""COMPUTED_VALUE""")," C00003")</f>
        <v xml:space="preserve"> C00003</v>
      </c>
      <c r="E282" s="4"/>
      <c r="F282" s="4"/>
    </row>
    <row r="283" spans="1:6" ht="14">
      <c r="A283" s="22" t="s">
        <v>16033</v>
      </c>
      <c r="C283" s="4" t="str">
        <f ca="1">IFERROR(__xludf.DUMMYFUNCTION("""COMPUTED_VALUE"""),"C00188 ")</f>
        <v xml:space="preserve">C00188 </v>
      </c>
      <c r="D283" s="4" t="str">
        <f ca="1">IFERROR(__xludf.DUMMYFUNCTION("""COMPUTED_VALUE""")," C00002 ")</f>
        <v xml:space="preserve"> C00002 </v>
      </c>
      <c r="E283" s="4" t="str">
        <f ca="1">IFERROR(__xludf.DUMMYFUNCTION("""COMPUTED_VALUE""")," C00288 ")</f>
        <v xml:space="preserve"> C00288 </v>
      </c>
      <c r="F283" s="4" t="str">
        <f ca="1">IFERROR(__xludf.DUMMYFUNCTION("""COMPUTED_VALUE""")," C00080")</f>
        <v xml:space="preserve"> C00080</v>
      </c>
    </row>
    <row r="284" spans="1:6" ht="14">
      <c r="A284" s="22" t="s">
        <v>16034</v>
      </c>
      <c r="C284" s="4" t="str">
        <f ca="1">IFERROR(__xludf.DUMMYFUNCTION("""COMPUTED_VALUE"""),"C00199")</f>
        <v>C00199</v>
      </c>
      <c r="D284" s="4"/>
      <c r="E284" s="4"/>
      <c r="F284" s="4"/>
    </row>
    <row r="285" spans="1:6" ht="12.5">
      <c r="A285" s="2" t="s">
        <v>16035</v>
      </c>
      <c r="C285" s="4" t="str">
        <f ca="1">IFERROR(__xludf.DUMMYFUNCTION("""COMPUTED_VALUE"""),"C00199 ")</f>
        <v xml:space="preserve">C00199 </v>
      </c>
      <c r="D285" s="4" t="str">
        <f ca="1">IFERROR(__xludf.DUMMYFUNCTION("""COMPUTED_VALUE""")," C00067")</f>
        <v xml:space="preserve"> C00067</v>
      </c>
      <c r="E285" s="4"/>
      <c r="F285" s="4"/>
    </row>
    <row r="286" spans="1:6" ht="14">
      <c r="A286" s="22" t="s">
        <v>16036</v>
      </c>
      <c r="C286" s="4" t="str">
        <f ca="1">IFERROR(__xludf.DUMMYFUNCTION("""COMPUTED_VALUE"""),"C00201 ")</f>
        <v xml:space="preserve">C00201 </v>
      </c>
      <c r="D286" s="4" t="str">
        <f ca="1">IFERROR(__xludf.DUMMYFUNCTION("""COMPUTED_VALUE""")," C00022")</f>
        <v xml:space="preserve"> C00022</v>
      </c>
      <c r="E286" s="4"/>
      <c r="F286" s="4"/>
    </row>
    <row r="287" spans="1:6" ht="14">
      <c r="A287" s="22" t="s">
        <v>16037</v>
      </c>
      <c r="C287" s="4" t="str">
        <f ca="1">IFERROR(__xludf.DUMMYFUNCTION("""COMPUTED_VALUE"""),"C00201 ")</f>
        <v xml:space="preserve">C00201 </v>
      </c>
      <c r="D287" s="4" t="str">
        <f ca="1">IFERROR(__xludf.DUMMYFUNCTION("""COMPUTED_VALUE""")," C00046")</f>
        <v xml:space="preserve"> C00046</v>
      </c>
      <c r="E287" s="4"/>
      <c r="F287" s="4"/>
    </row>
    <row r="288" spans="1:6" ht="14">
      <c r="A288" s="22" t="s">
        <v>16038</v>
      </c>
      <c r="C288" s="4" t="str">
        <f ca="1">IFERROR(__xludf.DUMMYFUNCTION("""COMPUTED_VALUE"""),"C00206 ")</f>
        <v xml:space="preserve">C00206 </v>
      </c>
      <c r="D288" s="4" t="str">
        <f ca="1">IFERROR(__xludf.DUMMYFUNCTION("""COMPUTED_VALUE""")," C00343 ")</f>
        <v xml:space="preserve"> C00343 </v>
      </c>
      <c r="E288" s="4" t="str">
        <f ca="1">IFERROR(__xludf.DUMMYFUNCTION("""COMPUTED_VALUE""")," C00001")</f>
        <v xml:space="preserve"> C00001</v>
      </c>
      <c r="F288" s="4"/>
    </row>
    <row r="289" spans="1:6" ht="14">
      <c r="A289" s="22" t="s">
        <v>16039</v>
      </c>
      <c r="C289" s="4" t="str">
        <f ca="1">IFERROR(__xludf.DUMMYFUNCTION("""COMPUTED_VALUE"""),"C00208 ")</f>
        <v xml:space="preserve">C00208 </v>
      </c>
      <c r="D289" s="4" t="str">
        <f ca="1">IFERROR(__xludf.DUMMYFUNCTION("""COMPUTED_VALUE""")," C00001")</f>
        <v xml:space="preserve"> C00001</v>
      </c>
      <c r="E289" s="4"/>
      <c r="F289" s="4"/>
    </row>
    <row r="290" spans="1:6" ht="14">
      <c r="A290" s="22" t="s">
        <v>16040</v>
      </c>
      <c r="C290" s="4" t="str">
        <f ca="1">IFERROR(__xludf.DUMMYFUNCTION("""COMPUTED_VALUE"""),"C00212 ")</f>
        <v xml:space="preserve">C00212 </v>
      </c>
      <c r="D290" s="4" t="str">
        <f ca="1">IFERROR(__xludf.DUMMYFUNCTION("""COMPUTED_VALUE""")," C00001")</f>
        <v xml:space="preserve"> C00001</v>
      </c>
      <c r="E290" s="4"/>
      <c r="F290" s="4"/>
    </row>
    <row r="291" spans="1:6" ht="14">
      <c r="A291" s="22" t="s">
        <v>16041</v>
      </c>
      <c r="C291" s="4" t="str">
        <f ca="1">IFERROR(__xludf.DUMMYFUNCTION("""COMPUTED_VALUE"""),"C00214 ")</f>
        <v xml:space="preserve">C00214 </v>
      </c>
      <c r="D291" s="4" t="str">
        <f ca="1">IFERROR(__xludf.DUMMYFUNCTION("""COMPUTED_VALUE""")," C00009")</f>
        <v xml:space="preserve"> C00009</v>
      </c>
      <c r="E291" s="4"/>
      <c r="F291" s="4"/>
    </row>
    <row r="292" spans="1:6" ht="14">
      <c r="A292" s="22" t="s">
        <v>16042</v>
      </c>
      <c r="C292" s="4" t="str">
        <f ca="1">IFERROR(__xludf.DUMMYFUNCTION("""COMPUTED_VALUE"""),"C00226 ")</f>
        <v xml:space="preserve">C00226 </v>
      </c>
      <c r="D292" s="4" t="str">
        <f ca="1">IFERROR(__xludf.DUMMYFUNCTION("""COMPUTED_VALUE""")," C00003")</f>
        <v xml:space="preserve"> C00003</v>
      </c>
      <c r="E292" s="4"/>
      <c r="F292" s="4"/>
    </row>
    <row r="293" spans="1:6" ht="14">
      <c r="A293" s="21" t="s">
        <v>16043</v>
      </c>
      <c r="C293" s="4" t="str">
        <f ca="1">IFERROR(__xludf.DUMMYFUNCTION("""COMPUTED_VALUE"""),"C00234 ")</f>
        <v xml:space="preserve">C00234 </v>
      </c>
      <c r="D293" s="4" t="str">
        <f ca="1">IFERROR(__xludf.DUMMYFUNCTION("""COMPUTED_VALUE""")," C03838")</f>
        <v xml:space="preserve"> C03838</v>
      </c>
      <c r="E293" s="4"/>
      <c r="F293" s="4"/>
    </row>
    <row r="294" spans="1:6" ht="14">
      <c r="A294" s="22" t="s">
        <v>16044</v>
      </c>
      <c r="C294" s="4" t="str">
        <f ca="1">IFERROR(__xludf.DUMMYFUNCTION("""COMPUTED_VALUE"""),"C00234 ")</f>
        <v xml:space="preserve">C00234 </v>
      </c>
      <c r="D294" s="4" t="str">
        <f ca="1">IFERROR(__xludf.DUMMYFUNCTION("""COMPUTED_VALUE""")," C04677")</f>
        <v xml:space="preserve"> C04677</v>
      </c>
      <c r="E294" s="4"/>
      <c r="F294" s="4"/>
    </row>
    <row r="295" spans="1:6" ht="14">
      <c r="A295" s="22" t="s">
        <v>16045</v>
      </c>
      <c r="C295" s="4" t="str">
        <f ca="1">IFERROR(__xludf.DUMMYFUNCTION("""COMPUTED_VALUE"""),"C00235 ")</f>
        <v xml:space="preserve">C00235 </v>
      </c>
      <c r="D295" s="4" t="str">
        <f ca="1">IFERROR(__xludf.DUMMYFUNCTION("""COMPUTED_VALUE""")," C17324")</f>
        <v xml:space="preserve"> C17324</v>
      </c>
      <c r="E295" s="4"/>
      <c r="F295" s="4"/>
    </row>
    <row r="296" spans="1:6" ht="14">
      <c r="A296" s="22" t="s">
        <v>16046</v>
      </c>
      <c r="C296" s="4" t="str">
        <f ca="1">IFERROR(__xludf.DUMMYFUNCTION("""COMPUTED_VALUE"""),"C00239 ")</f>
        <v xml:space="preserve">C00239 </v>
      </c>
      <c r="D296" s="4" t="str">
        <f ca="1">IFERROR(__xludf.DUMMYFUNCTION("""COMPUTED_VALUE""")," C00001")</f>
        <v xml:space="preserve"> C00001</v>
      </c>
      <c r="E296" s="4"/>
      <c r="F296" s="4"/>
    </row>
    <row r="297" spans="1:6" ht="14">
      <c r="A297" s="22" t="s">
        <v>16047</v>
      </c>
      <c r="C297" s="4" t="str">
        <f ca="1">IFERROR(__xludf.DUMMYFUNCTION("""COMPUTED_VALUE"""),"C00241 ")</f>
        <v xml:space="preserve">C00241 </v>
      </c>
      <c r="D297" s="4" t="str">
        <f ca="1">IFERROR(__xludf.DUMMYFUNCTION("""COMPUTED_VALUE""")," C00001")</f>
        <v xml:space="preserve"> C00001</v>
      </c>
      <c r="E297" s="4"/>
      <c r="F297" s="4"/>
    </row>
    <row r="298" spans="1:6" ht="14">
      <c r="A298" s="22" t="s">
        <v>16048</v>
      </c>
      <c r="C298" s="4" t="str">
        <f ca="1">IFERROR(__xludf.DUMMYFUNCTION("""COMPUTED_VALUE"""),"C00243 ")</f>
        <v xml:space="preserve">C00243 </v>
      </c>
      <c r="D298" s="4" t="str">
        <f ca="1">IFERROR(__xludf.DUMMYFUNCTION("""COMPUTED_VALUE""")," C00001")</f>
        <v xml:space="preserve"> C00001</v>
      </c>
      <c r="E298" s="4"/>
      <c r="F298" s="4"/>
    </row>
    <row r="299" spans="1:6" ht="14">
      <c r="A299" s="22" t="s">
        <v>16049</v>
      </c>
      <c r="C299" s="4" t="str">
        <f ca="1">IFERROR(__xludf.DUMMYFUNCTION("""COMPUTED_VALUE"""),"C00243 ")</f>
        <v xml:space="preserve">C00243 </v>
      </c>
      <c r="D299" s="4" t="str">
        <f ca="1">IFERROR(__xludf.DUMMYFUNCTION("""COMPUTED_VALUE""")," C00001")</f>
        <v xml:space="preserve"> C00001</v>
      </c>
      <c r="E299" s="4"/>
      <c r="F299" s="4"/>
    </row>
    <row r="300" spans="1:6" ht="14">
      <c r="A300" s="22" t="s">
        <v>16050</v>
      </c>
      <c r="C300" s="4" t="str">
        <f ca="1">IFERROR(__xludf.DUMMYFUNCTION("""COMPUTED_VALUE"""),"C00256 ")</f>
        <v xml:space="preserve">C00256 </v>
      </c>
      <c r="D300" s="4" t="str">
        <f ca="1">IFERROR(__xludf.DUMMYFUNCTION("""COMPUTED_VALUE""")," C00357")</f>
        <v xml:space="preserve"> C00357</v>
      </c>
      <c r="E300" s="4"/>
      <c r="F300" s="4"/>
    </row>
    <row r="301" spans="1:6" ht="14">
      <c r="A301" s="22" t="s">
        <v>16051</v>
      </c>
      <c r="C301" s="4" t="str">
        <f ca="1">IFERROR(__xludf.DUMMYFUNCTION("""COMPUTED_VALUE"""),"C00263 ")</f>
        <v xml:space="preserve">C00263 </v>
      </c>
      <c r="D301" s="4" t="str">
        <f ca="1">IFERROR(__xludf.DUMMYFUNCTION("""COMPUTED_VALUE""")," C00003")</f>
        <v xml:space="preserve"> C00003</v>
      </c>
      <c r="E301" s="4"/>
      <c r="F301" s="4"/>
    </row>
    <row r="302" spans="1:6" ht="14">
      <c r="A302" s="22" t="s">
        <v>16052</v>
      </c>
      <c r="C302" s="4" t="str">
        <f ca="1">IFERROR(__xludf.DUMMYFUNCTION("""COMPUTED_VALUE"""),"C00263 ")</f>
        <v xml:space="preserve">C00263 </v>
      </c>
      <c r="D302" s="4" t="str">
        <f ca="1">IFERROR(__xludf.DUMMYFUNCTION("""COMPUTED_VALUE""")," C00006")</f>
        <v xml:space="preserve"> C00006</v>
      </c>
      <c r="E302" s="4"/>
      <c r="F302" s="4"/>
    </row>
    <row r="303" spans="1:6" ht="14">
      <c r="A303" s="22" t="s">
        <v>16053</v>
      </c>
      <c r="C303" s="4" t="str">
        <f ca="1">IFERROR(__xludf.DUMMYFUNCTION("""COMPUTED_VALUE"""),"C00269 ")</f>
        <v xml:space="preserve">C00269 </v>
      </c>
      <c r="D303" s="4" t="str">
        <f ca="1">IFERROR(__xludf.DUMMYFUNCTION("""COMPUTED_VALUE""")," C00093")</f>
        <v xml:space="preserve"> C00093</v>
      </c>
      <c r="E303" s="4"/>
      <c r="F303" s="4"/>
    </row>
    <row r="304" spans="1:6" ht="14">
      <c r="A304" s="22" t="s">
        <v>16054</v>
      </c>
      <c r="C304" s="4" t="str">
        <f ca="1">IFERROR(__xludf.DUMMYFUNCTION("""COMPUTED_VALUE"""),"C00272 ")</f>
        <v xml:space="preserve">C00272 </v>
      </c>
      <c r="D304" s="4" t="str">
        <f ca="1">IFERROR(__xludf.DUMMYFUNCTION("""COMPUTED_VALUE""")," C00006")</f>
        <v xml:space="preserve"> C00006</v>
      </c>
      <c r="E304" s="4"/>
      <c r="F304" s="4"/>
    </row>
    <row r="305" spans="1:6" ht="14">
      <c r="A305" s="22" t="s">
        <v>16055</v>
      </c>
      <c r="C305" s="4" t="str">
        <f ca="1">IFERROR(__xludf.DUMMYFUNCTION("""COMPUTED_VALUE"""),"C00275")</f>
        <v>C00275</v>
      </c>
      <c r="D305" s="4"/>
      <c r="E305" s="4"/>
      <c r="F305" s="4"/>
    </row>
    <row r="306" spans="1:6" ht="12.5">
      <c r="A306" s="2" t="s">
        <v>16056</v>
      </c>
      <c r="C306" s="4" t="str">
        <f ca="1">IFERROR(__xludf.DUMMYFUNCTION("""COMPUTED_VALUE"""),"C00275")</f>
        <v>C00275</v>
      </c>
      <c r="D306" s="4"/>
      <c r="E306" s="4"/>
      <c r="F306" s="4"/>
    </row>
    <row r="307" spans="1:6" ht="12.5">
      <c r="A307" s="2" t="s">
        <v>16057</v>
      </c>
      <c r="C307" s="4" t="str">
        <f ca="1">IFERROR(__xludf.DUMMYFUNCTION("""COMPUTED_VALUE"""),"C00286 ")</f>
        <v xml:space="preserve">C00286 </v>
      </c>
      <c r="D307" s="4" t="str">
        <f ca="1">IFERROR(__xludf.DUMMYFUNCTION("""COMPUTED_VALUE""")," C00022")</f>
        <v xml:space="preserve"> C00022</v>
      </c>
      <c r="E307" s="4"/>
      <c r="F307" s="4"/>
    </row>
    <row r="308" spans="1:6" ht="14">
      <c r="A308" s="22" t="s">
        <v>16058</v>
      </c>
      <c r="C308" s="4" t="str">
        <f ca="1">IFERROR(__xludf.DUMMYFUNCTION("""COMPUTED_VALUE"""),"C00286 ")</f>
        <v xml:space="preserve">C00286 </v>
      </c>
      <c r="D308" s="4" t="str">
        <f ca="1">IFERROR(__xludf.DUMMYFUNCTION("""COMPUTED_VALUE""")," C00039")</f>
        <v xml:space="preserve"> C00039</v>
      </c>
      <c r="E308" s="4"/>
      <c r="F308" s="4"/>
    </row>
    <row r="309" spans="1:6" ht="14">
      <c r="A309" s="22" t="s">
        <v>16059</v>
      </c>
      <c r="C309" s="4" t="str">
        <f ca="1">IFERROR(__xludf.DUMMYFUNCTION("""COMPUTED_VALUE"""),"C00286 ")</f>
        <v xml:space="preserve">C00286 </v>
      </c>
      <c r="D309" s="4" t="str">
        <f ca="1">IFERROR(__xludf.DUMMYFUNCTION("""COMPUTED_VALUE""")," C00343 ")</f>
        <v xml:space="preserve"> C00343 </v>
      </c>
      <c r="E309" s="4" t="str">
        <f ca="1">IFERROR(__xludf.DUMMYFUNCTION("""COMPUTED_VALUE""")," C00001")</f>
        <v xml:space="preserve"> C00001</v>
      </c>
      <c r="F309" s="4"/>
    </row>
    <row r="310" spans="1:6" ht="14">
      <c r="A310" s="21" t="s">
        <v>16060</v>
      </c>
      <c r="C310" s="4" t="str">
        <f ca="1">IFERROR(__xludf.DUMMYFUNCTION("""COMPUTED_VALUE"""),"C00299 ")</f>
        <v xml:space="preserve">C00299 </v>
      </c>
      <c r="D310" s="4" t="str">
        <f ca="1">IFERROR(__xludf.DUMMYFUNCTION("""COMPUTED_VALUE""")," C00009")</f>
        <v xml:space="preserve"> C00009</v>
      </c>
      <c r="E310" s="4"/>
      <c r="F310" s="4"/>
    </row>
    <row r="311" spans="1:6" ht="12.5">
      <c r="A311" s="4" t="s">
        <v>12664</v>
      </c>
      <c r="C311" s="4" t="str">
        <f ca="1">IFERROR(__xludf.DUMMYFUNCTION("""COMPUTED_VALUE"""),"C00314 ")</f>
        <v xml:space="preserve">C00314 </v>
      </c>
      <c r="D311" s="4" t="str">
        <f ca="1">IFERROR(__xludf.DUMMYFUNCTION("""COMPUTED_VALUE""")," C00007")</f>
        <v xml:space="preserve"> C00007</v>
      </c>
      <c r="E311" s="4"/>
      <c r="F311" s="4"/>
    </row>
    <row r="312" spans="1:6" ht="14">
      <c r="A312" s="22" t="s">
        <v>16061</v>
      </c>
      <c r="C312" s="4" t="str">
        <f ca="1">IFERROR(__xludf.DUMMYFUNCTION("""COMPUTED_VALUE"""),"C00337 ")</f>
        <v xml:space="preserve">C00337 </v>
      </c>
      <c r="D312" s="4" t="str">
        <f ca="1">IFERROR(__xludf.DUMMYFUNCTION("""COMPUTED_VALUE""")," C00001")</f>
        <v xml:space="preserve"> C00001</v>
      </c>
      <c r="E312" s="4"/>
      <c r="F312" s="4"/>
    </row>
    <row r="313" spans="1:6" ht="14">
      <c r="A313" s="22" t="s">
        <v>16062</v>
      </c>
      <c r="C313" s="4" t="str">
        <f ca="1">IFERROR(__xludf.DUMMYFUNCTION("""COMPUTED_VALUE"""),"C00337 ")</f>
        <v xml:space="preserve">C00337 </v>
      </c>
      <c r="D313" s="4" t="str">
        <f ca="1">IFERROR(__xludf.DUMMYFUNCTION("""COMPUTED_VALUE""")," C00003")</f>
        <v xml:space="preserve"> C00003</v>
      </c>
      <c r="E313" s="4"/>
      <c r="F313" s="4"/>
    </row>
    <row r="314" spans="1:6" ht="14">
      <c r="A314" s="22" t="s">
        <v>16063</v>
      </c>
      <c r="C314" s="4" t="str">
        <f ca="1">IFERROR(__xludf.DUMMYFUNCTION("""COMPUTED_VALUE"""),"C00337 ")</f>
        <v xml:space="preserve">C00337 </v>
      </c>
      <c r="D314" s="4" t="str">
        <f ca="1">IFERROR(__xludf.DUMMYFUNCTION("""COMPUTED_VALUE""")," C00122")</f>
        <v xml:space="preserve"> C00122</v>
      </c>
      <c r="E314" s="4"/>
      <c r="F314" s="4"/>
    </row>
    <row r="315" spans="1:6" ht="14">
      <c r="A315" s="22" t="s">
        <v>16064</v>
      </c>
      <c r="C315" s="4" t="str">
        <f ca="1">IFERROR(__xludf.DUMMYFUNCTION("""COMPUTED_VALUE"""),"C00342 ")</f>
        <v xml:space="preserve">C00342 </v>
      </c>
      <c r="D315" s="4" t="str">
        <f ca="1">IFERROR(__xludf.DUMMYFUNCTION("""COMPUTED_VALUE""")," C00006")</f>
        <v xml:space="preserve"> C00006</v>
      </c>
      <c r="E315" s="4"/>
      <c r="F315" s="4"/>
    </row>
    <row r="316" spans="1:6" ht="14">
      <c r="A316" s="22" t="s">
        <v>16065</v>
      </c>
      <c r="C316" s="4" t="str">
        <f ca="1">IFERROR(__xludf.DUMMYFUNCTION("""COMPUTED_VALUE"""),"C00345 ")</f>
        <v xml:space="preserve">C00345 </v>
      </c>
      <c r="D316" s="4" t="str">
        <f ca="1">IFERROR(__xludf.DUMMYFUNCTION("""COMPUTED_VALUE""")," C00003")</f>
        <v xml:space="preserve"> C00003</v>
      </c>
      <c r="E316" s="4"/>
      <c r="F316" s="4"/>
    </row>
    <row r="317" spans="1:6" ht="14">
      <c r="A317" s="22" t="s">
        <v>16066</v>
      </c>
      <c r="C317" s="4" t="str">
        <f ca="1">IFERROR(__xludf.DUMMYFUNCTION("""COMPUTED_VALUE"""),"C00345 ")</f>
        <v xml:space="preserve">C00345 </v>
      </c>
      <c r="D317" s="4" t="str">
        <f ca="1">IFERROR(__xludf.DUMMYFUNCTION("""COMPUTED_VALUE""")," C00006")</f>
        <v xml:space="preserve"> C00006</v>
      </c>
      <c r="E317" s="4"/>
      <c r="F317" s="4"/>
    </row>
    <row r="318" spans="1:6" ht="14">
      <c r="A318" s="22" t="s">
        <v>16067</v>
      </c>
      <c r="C318" s="4" t="str">
        <f ca="1">IFERROR(__xludf.DUMMYFUNCTION("""COMPUTED_VALUE"""),"C00352 ")</f>
        <v xml:space="preserve">C00352 </v>
      </c>
      <c r="D318" s="4" t="str">
        <f ca="1">IFERROR(__xludf.DUMMYFUNCTION("""COMPUTED_VALUE""")," C00001")</f>
        <v xml:space="preserve"> C00001</v>
      </c>
      <c r="E318" s="4"/>
      <c r="F318" s="4"/>
    </row>
    <row r="319" spans="1:6" ht="14">
      <c r="A319" s="22" t="s">
        <v>16068</v>
      </c>
      <c r="C319" s="4" t="str">
        <f ca="1">IFERROR(__xludf.DUMMYFUNCTION("""COMPUTED_VALUE"""),"C00354")</f>
        <v>C00354</v>
      </c>
      <c r="D319" s="4"/>
      <c r="E319" s="4"/>
      <c r="F319" s="4"/>
    </row>
    <row r="320" spans="1:6" ht="12.5">
      <c r="A320" s="2" t="s">
        <v>16069</v>
      </c>
      <c r="C320" s="4" t="str">
        <f ca="1">IFERROR(__xludf.DUMMYFUNCTION("""COMPUTED_VALUE"""),"C00354 ")</f>
        <v xml:space="preserve">C00354 </v>
      </c>
      <c r="D320" s="4" t="str">
        <f ca="1">IFERROR(__xludf.DUMMYFUNCTION("""COMPUTED_VALUE""")," C00001")</f>
        <v xml:space="preserve"> C00001</v>
      </c>
      <c r="E320" s="4"/>
      <c r="F320" s="4"/>
    </row>
    <row r="321" spans="1:6" ht="14">
      <c r="A321" s="22" t="s">
        <v>16070</v>
      </c>
      <c r="C321" s="4" t="str">
        <f ca="1">IFERROR(__xludf.DUMMYFUNCTION("""COMPUTED_VALUE"""),"C00356 ")</f>
        <v xml:space="preserve">C00356 </v>
      </c>
      <c r="D321" s="4" t="str">
        <f ca="1">IFERROR(__xludf.DUMMYFUNCTION("""COMPUTED_VALUE""")," C00010")</f>
        <v xml:space="preserve"> C00010</v>
      </c>
      <c r="E321" s="4"/>
      <c r="F321" s="4"/>
    </row>
    <row r="322" spans="1:6" ht="14">
      <c r="A322" s="22" t="s">
        <v>16071</v>
      </c>
      <c r="C322" s="4" t="str">
        <f ca="1">IFERROR(__xludf.DUMMYFUNCTION("""COMPUTED_VALUE"""),"C00357 ")</f>
        <v xml:space="preserve">C00357 </v>
      </c>
      <c r="D322" s="4" t="str">
        <f ca="1">IFERROR(__xludf.DUMMYFUNCTION("""COMPUTED_VALUE""")," C00001")</f>
        <v xml:space="preserve"> C00001</v>
      </c>
      <c r="E322" s="4"/>
      <c r="F322" s="4"/>
    </row>
    <row r="323" spans="1:6" ht="14">
      <c r="A323" s="22" t="s">
        <v>16072</v>
      </c>
      <c r="C323" s="4" t="str">
        <f ca="1">IFERROR(__xludf.DUMMYFUNCTION("""COMPUTED_VALUE"""),"C00360 ")</f>
        <v xml:space="preserve">C00360 </v>
      </c>
      <c r="D323" s="4" t="str">
        <f ca="1">IFERROR(__xludf.DUMMYFUNCTION("""COMPUTED_VALUE""")," C00001")</f>
        <v xml:space="preserve"> C00001</v>
      </c>
      <c r="E323" s="4"/>
      <c r="F323" s="4"/>
    </row>
    <row r="324" spans="1:6" ht="14">
      <c r="A324" s="22" t="s">
        <v>16073</v>
      </c>
      <c r="C324" s="4" t="str">
        <f ca="1">IFERROR(__xludf.DUMMYFUNCTION("""COMPUTED_VALUE"""),"C00361 ")</f>
        <v xml:space="preserve">C00361 </v>
      </c>
      <c r="D324" s="4" t="str">
        <f ca="1">IFERROR(__xludf.DUMMYFUNCTION("""COMPUTED_VALUE""")," C00343 ")</f>
        <v xml:space="preserve"> C00343 </v>
      </c>
      <c r="E324" s="4" t="str">
        <f ca="1">IFERROR(__xludf.DUMMYFUNCTION("""COMPUTED_VALUE""")," C00001")</f>
        <v xml:space="preserve"> C00001</v>
      </c>
      <c r="F324" s="4"/>
    </row>
    <row r="325" spans="1:6" ht="14">
      <c r="A325" s="22" t="s">
        <v>16074</v>
      </c>
      <c r="C325" s="4" t="str">
        <f ca="1">IFERROR(__xludf.DUMMYFUNCTION("""COMPUTED_VALUE"""),"C00362 ")</f>
        <v xml:space="preserve">C00362 </v>
      </c>
      <c r="D325" s="4" t="str">
        <f ca="1">IFERROR(__xludf.DUMMYFUNCTION("""COMPUTED_VALUE""")," C00001")</f>
        <v xml:space="preserve"> C00001</v>
      </c>
      <c r="E325" s="4"/>
      <c r="F325" s="4"/>
    </row>
    <row r="326" spans="1:6" ht="14">
      <c r="A326" s="22" t="s">
        <v>16075</v>
      </c>
      <c r="C326" s="4" t="str">
        <f ca="1">IFERROR(__xludf.DUMMYFUNCTION("""COMPUTED_VALUE"""),"C00364 ")</f>
        <v xml:space="preserve">C00364 </v>
      </c>
      <c r="D326" s="4" t="str">
        <f ca="1">IFERROR(__xludf.DUMMYFUNCTION("""COMPUTED_VALUE""")," C00001")</f>
        <v xml:space="preserve"> C00001</v>
      </c>
      <c r="E326" s="4"/>
      <c r="F326" s="4"/>
    </row>
    <row r="327" spans="1:6" ht="14">
      <c r="A327" s="22" t="s">
        <v>16076</v>
      </c>
      <c r="C327" s="4" t="str">
        <f ca="1">IFERROR(__xludf.DUMMYFUNCTION("""COMPUTED_VALUE"""),"C00365 ")</f>
        <v xml:space="preserve">C00365 </v>
      </c>
      <c r="D327" s="4" t="str">
        <f ca="1">IFERROR(__xludf.DUMMYFUNCTION("""COMPUTED_VALUE""")," C00001")</f>
        <v xml:space="preserve"> C00001</v>
      </c>
      <c r="E327" s="4"/>
      <c r="F327" s="4"/>
    </row>
    <row r="328" spans="1:6" ht="14">
      <c r="A328" s="22" t="s">
        <v>16077</v>
      </c>
      <c r="C328" s="4" t="str">
        <f ca="1">IFERROR(__xludf.DUMMYFUNCTION("""COMPUTED_VALUE"""),"C00365 ")</f>
        <v xml:space="preserve">C00365 </v>
      </c>
      <c r="D328" s="4" t="str">
        <f ca="1">IFERROR(__xludf.DUMMYFUNCTION("""COMPUTED_VALUE""")," C00143")</f>
        <v xml:space="preserve"> C00143</v>
      </c>
      <c r="E328" s="4"/>
      <c r="F328" s="4"/>
    </row>
    <row r="329" spans="1:6" ht="14">
      <c r="A329" s="22" t="s">
        <v>16078</v>
      </c>
      <c r="C329" s="4" t="str">
        <f ca="1">IFERROR(__xludf.DUMMYFUNCTION("""COMPUTED_VALUE"""),"C00369 ")</f>
        <v xml:space="preserve">C00369 </v>
      </c>
      <c r="D329" s="4" t="str">
        <f ca="1">IFERROR(__xludf.DUMMYFUNCTION("""COMPUTED_VALUE""")," C00009")</f>
        <v xml:space="preserve"> C00009</v>
      </c>
      <c r="E329" s="4"/>
      <c r="F329" s="4"/>
    </row>
    <row r="330" spans="1:6" ht="14">
      <c r="A330" s="22" t="s">
        <v>16079</v>
      </c>
      <c r="C330" s="4" t="str">
        <f ca="1">IFERROR(__xludf.DUMMYFUNCTION("""COMPUTED_VALUE"""),"C00378 ")</f>
        <v xml:space="preserve">C00378 </v>
      </c>
      <c r="D330" s="4" t="str">
        <f ca="1">IFERROR(__xludf.DUMMYFUNCTION("""COMPUTED_VALUE""")," C00001")</f>
        <v xml:space="preserve"> C00001</v>
      </c>
      <c r="E330" s="4"/>
      <c r="F330" s="4"/>
    </row>
    <row r="331" spans="1:6" ht="14">
      <c r="A331" s="22" t="s">
        <v>16080</v>
      </c>
      <c r="C331" s="4" t="str">
        <f ca="1">IFERROR(__xludf.DUMMYFUNCTION("""COMPUTED_VALUE"""),"C00404(n) ")</f>
        <v xml:space="preserve">C00404(n) </v>
      </c>
      <c r="D331" s="4" t="str">
        <f ca="1">IFERROR(__xludf.DUMMYFUNCTION("""COMPUTED_VALUE""")," C00001")</f>
        <v xml:space="preserve"> C00001</v>
      </c>
      <c r="E331" s="4"/>
      <c r="F331" s="4"/>
    </row>
    <row r="332" spans="1:6" ht="14">
      <c r="A332" s="22" t="s">
        <v>16081</v>
      </c>
      <c r="C332" s="4" t="str">
        <f ca="1">IFERROR(__xludf.DUMMYFUNCTION("""COMPUTED_VALUE"""),"C00407 ")</f>
        <v xml:space="preserve">C00407 </v>
      </c>
      <c r="D332" s="4" t="str">
        <f ca="1">IFERROR(__xludf.DUMMYFUNCTION("""COMPUTED_VALUE""")," C00026")</f>
        <v xml:space="preserve"> C00026</v>
      </c>
      <c r="E332" s="4"/>
      <c r="F332" s="4"/>
    </row>
    <row r="333" spans="1:6" ht="12.5">
      <c r="A333" s="4" t="s">
        <v>12736</v>
      </c>
      <c r="C333" s="4" t="str">
        <f ca="1">IFERROR(__xludf.DUMMYFUNCTION("""COMPUTED_VALUE"""),"C00415 ")</f>
        <v xml:space="preserve">C00415 </v>
      </c>
      <c r="D333" s="4" t="str">
        <f ca="1">IFERROR(__xludf.DUMMYFUNCTION("""COMPUTED_VALUE""")," C00003")</f>
        <v xml:space="preserve"> C00003</v>
      </c>
      <c r="E333" s="4"/>
      <c r="F333" s="4"/>
    </row>
    <row r="334" spans="1:6" ht="14">
      <c r="A334" s="22" t="s">
        <v>16082</v>
      </c>
      <c r="C334" s="4" t="str">
        <f ca="1">IFERROR(__xludf.DUMMYFUNCTION("""COMPUTED_VALUE"""),"C00415 ")</f>
        <v xml:space="preserve">C00415 </v>
      </c>
      <c r="D334" s="4" t="str">
        <f ca="1">IFERROR(__xludf.DUMMYFUNCTION("""COMPUTED_VALUE""")," C00006")</f>
        <v xml:space="preserve"> C00006</v>
      </c>
      <c r="E334" s="4"/>
      <c r="F334" s="4"/>
    </row>
    <row r="335" spans="1:6" ht="14">
      <c r="A335" s="22" t="s">
        <v>16083</v>
      </c>
      <c r="C335" s="4" t="str">
        <f ca="1">IFERROR(__xludf.DUMMYFUNCTION("""COMPUTED_VALUE"""),"C00418 ")</f>
        <v xml:space="preserve">C00418 </v>
      </c>
      <c r="D335" s="4" t="str">
        <f ca="1">IFERROR(__xludf.DUMMYFUNCTION("""COMPUTED_VALUE""")," C00003")</f>
        <v xml:space="preserve"> C00003</v>
      </c>
      <c r="E335" s="4"/>
      <c r="F335" s="4"/>
    </row>
    <row r="336" spans="1:6" ht="14">
      <c r="A336" s="22" t="s">
        <v>16084</v>
      </c>
      <c r="C336" s="4" t="str">
        <f ca="1">IFERROR(__xludf.DUMMYFUNCTION("""COMPUTED_VALUE"""),"C00418 ")</f>
        <v xml:space="preserve">C00418 </v>
      </c>
      <c r="D336" s="4" t="str">
        <f ca="1">IFERROR(__xludf.DUMMYFUNCTION("""COMPUTED_VALUE""")," C00010 ")</f>
        <v xml:space="preserve"> C00010 </v>
      </c>
      <c r="E336" s="4" t="str">
        <f ca="1">IFERROR(__xludf.DUMMYFUNCTION("""COMPUTED_VALUE""")," 2 C00003")</f>
        <v xml:space="preserve"> 2 C00003</v>
      </c>
      <c r="F336" s="4"/>
    </row>
    <row r="337" spans="1:6" ht="14">
      <c r="A337" s="22" t="s">
        <v>16085</v>
      </c>
      <c r="C337" s="4" t="str">
        <f ca="1">IFERROR(__xludf.DUMMYFUNCTION("""COMPUTED_VALUE"""),"C00440 ")</f>
        <v xml:space="preserve">C00440 </v>
      </c>
      <c r="D337" s="4" t="str">
        <f ca="1">IFERROR(__xludf.DUMMYFUNCTION("""COMPUTED_VALUE""")," C00003")</f>
        <v xml:space="preserve"> C00003</v>
      </c>
      <c r="E337" s="4"/>
      <c r="F337" s="4"/>
    </row>
    <row r="338" spans="1:6" ht="14">
      <c r="A338" s="22" t="s">
        <v>16086</v>
      </c>
      <c r="C338" s="4" t="str">
        <f ca="1">IFERROR(__xludf.DUMMYFUNCTION("""COMPUTED_VALUE"""),"C00440 ")</f>
        <v xml:space="preserve">C00440 </v>
      </c>
      <c r="D338" s="4" t="str">
        <f ca="1">IFERROR(__xludf.DUMMYFUNCTION("""COMPUTED_VALUE""")," C00006 ")</f>
        <v xml:space="preserve"> C00006 </v>
      </c>
      <c r="E338" s="4"/>
      <c r="F338" s="4"/>
    </row>
    <row r="339" spans="1:6" ht="12.5">
      <c r="A339" s="4" t="s">
        <v>12641</v>
      </c>
      <c r="C339" s="4" t="str">
        <f ca="1">IFERROR(__xludf.DUMMYFUNCTION("""COMPUTED_VALUE"""),"C00441 ")</f>
        <v xml:space="preserve">C00441 </v>
      </c>
      <c r="D339" s="4" t="str">
        <f ca="1">IFERROR(__xludf.DUMMYFUNCTION("""COMPUTED_VALUE""")," C00009 ")</f>
        <v xml:space="preserve"> C00009 </v>
      </c>
      <c r="E339" s="4" t="str">
        <f ca="1">IFERROR(__xludf.DUMMYFUNCTION("""COMPUTED_VALUE""")," C00006")</f>
        <v xml:space="preserve"> C00006</v>
      </c>
      <c r="F339" s="4"/>
    </row>
    <row r="340" spans="1:6" ht="14">
      <c r="A340" s="22" t="s">
        <v>16087</v>
      </c>
      <c r="C340" s="4" t="str">
        <f ca="1">IFERROR(__xludf.DUMMYFUNCTION("""COMPUTED_VALUE"""),"C00441 ")</f>
        <v xml:space="preserve">C00441 </v>
      </c>
      <c r="D340" s="4" t="str">
        <f ca="1">IFERROR(__xludf.DUMMYFUNCTION("""COMPUTED_VALUE""")," C00022")</f>
        <v xml:space="preserve"> C00022</v>
      </c>
      <c r="E340" s="4"/>
      <c r="F340" s="4"/>
    </row>
    <row r="341" spans="1:6" ht="14">
      <c r="A341" s="22" t="s">
        <v>16088</v>
      </c>
      <c r="C341" s="4" t="str">
        <f ca="1">IFERROR(__xludf.DUMMYFUNCTION("""COMPUTED_VALUE"""),"C00445 ")</f>
        <v xml:space="preserve">C00445 </v>
      </c>
      <c r="D341" s="4" t="str">
        <f ca="1">IFERROR(__xludf.DUMMYFUNCTION("""COMPUTED_VALUE""")," C00001")</f>
        <v xml:space="preserve"> C00001</v>
      </c>
      <c r="E341" s="4"/>
      <c r="F341" s="4"/>
    </row>
    <row r="342" spans="1:6" ht="14">
      <c r="A342" s="22" t="s">
        <v>16089</v>
      </c>
      <c r="C342" s="4" t="str">
        <f ca="1">IFERROR(__xludf.DUMMYFUNCTION("""COMPUTED_VALUE"""),"C00447")</f>
        <v>C00447</v>
      </c>
      <c r="D342" s="4"/>
      <c r="E342" s="4"/>
      <c r="F342" s="4"/>
    </row>
    <row r="343" spans="1:6" ht="12.5">
      <c r="A343" s="2" t="s">
        <v>16090</v>
      </c>
      <c r="C343" s="4" t="str">
        <f ca="1">IFERROR(__xludf.DUMMYFUNCTION("""COMPUTED_VALUE"""),"C00447 ")</f>
        <v xml:space="preserve">C00447 </v>
      </c>
      <c r="D343" s="4" t="str">
        <f ca="1">IFERROR(__xludf.DUMMYFUNCTION("""COMPUTED_VALUE""")," C00001")</f>
        <v xml:space="preserve"> C00001</v>
      </c>
      <c r="E343" s="4"/>
      <c r="F343" s="4"/>
    </row>
    <row r="344" spans="1:6" ht="14">
      <c r="A344" s="22" t="s">
        <v>16091</v>
      </c>
      <c r="C344" s="4" t="str">
        <f ca="1">IFERROR(__xludf.DUMMYFUNCTION("""COMPUTED_VALUE"""),"C00455 ")</f>
        <v xml:space="preserve">C00455 </v>
      </c>
      <c r="D344" s="4" t="str">
        <f ca="1">IFERROR(__xludf.DUMMYFUNCTION("""COMPUTED_VALUE""")," C00001")</f>
        <v xml:space="preserve"> C00001</v>
      </c>
      <c r="E344" s="4"/>
      <c r="F344" s="4"/>
    </row>
    <row r="345" spans="1:6" ht="14">
      <c r="A345" s="22" t="s">
        <v>16092</v>
      </c>
      <c r="C345" s="4" t="str">
        <f ca="1">IFERROR(__xludf.DUMMYFUNCTION("""COMPUTED_VALUE"""),"C00458 ")</f>
        <v xml:space="preserve">C00458 </v>
      </c>
      <c r="D345" s="4" t="str">
        <f ca="1">IFERROR(__xludf.DUMMYFUNCTION("""COMPUTED_VALUE""")," C00039")</f>
        <v xml:space="preserve"> C00039</v>
      </c>
      <c r="E345" s="4"/>
      <c r="F345" s="4"/>
    </row>
    <row r="346" spans="1:6" ht="14">
      <c r="A346" s="22" t="s">
        <v>16093</v>
      </c>
      <c r="C346" s="4" t="str">
        <f ca="1">IFERROR(__xludf.DUMMYFUNCTION("""COMPUTED_VALUE"""),"C00458")</f>
        <v>C00458</v>
      </c>
      <c r="D346" s="4" t="str">
        <f ca="1">IFERROR(__xludf.DUMMYFUNCTION("""COMPUTED_VALUE""")," C00343 ")</f>
        <v xml:space="preserve"> C00343 </v>
      </c>
      <c r="E346" s="4" t="str">
        <f ca="1">IFERROR(__xludf.DUMMYFUNCTION("""COMPUTED_VALUE""")," C00001")</f>
        <v xml:space="preserve"> C00001</v>
      </c>
      <c r="F346" s="4"/>
    </row>
    <row r="347" spans="1:6" ht="14">
      <c r="A347" s="22" t="s">
        <v>16094</v>
      </c>
      <c r="C347" s="4" t="str">
        <f ca="1">IFERROR(__xludf.DUMMYFUNCTION("""COMPUTED_VALUE"""),"C00459 ")</f>
        <v xml:space="preserve">C00459 </v>
      </c>
      <c r="D347" s="4" t="str">
        <f ca="1">IFERROR(__xludf.DUMMYFUNCTION("""COMPUTED_VALUE""")," C00039")</f>
        <v xml:space="preserve"> C00039</v>
      </c>
      <c r="E347" s="4"/>
      <c r="F347" s="4"/>
    </row>
    <row r="348" spans="1:6" ht="14">
      <c r="A348" s="22" t="s">
        <v>16095</v>
      </c>
      <c r="C348" s="4" t="str">
        <f ca="1">IFERROR(__xludf.DUMMYFUNCTION("""COMPUTED_VALUE"""),"C00460 ")</f>
        <v xml:space="preserve">C00460 </v>
      </c>
      <c r="D348" s="4" t="str">
        <f ca="1">IFERROR(__xludf.DUMMYFUNCTION("""COMPUTED_VALUE""")," C00343 ")</f>
        <v xml:space="preserve"> C00343 </v>
      </c>
      <c r="E348" s="4" t="str">
        <f ca="1">IFERROR(__xludf.DUMMYFUNCTION("""COMPUTED_VALUE""")," C00001")</f>
        <v xml:space="preserve"> C00001</v>
      </c>
      <c r="F348" s="4"/>
    </row>
    <row r="349" spans="1:6" ht="14">
      <c r="A349" s="22" t="s">
        <v>16096</v>
      </c>
      <c r="C349" s="4" t="str">
        <f ca="1">IFERROR(__xludf.DUMMYFUNCTION("""COMPUTED_VALUE"""),"C00469 ")</f>
        <v xml:space="preserve">C00469 </v>
      </c>
      <c r="D349" s="4" t="str">
        <f ca="1">IFERROR(__xludf.DUMMYFUNCTION("""COMPUTED_VALUE""")," C00003")</f>
        <v xml:space="preserve"> C00003</v>
      </c>
      <c r="E349" s="4"/>
      <c r="F349" s="4"/>
    </row>
    <row r="350" spans="1:6" ht="14">
      <c r="A350" s="21" t="s">
        <v>16097</v>
      </c>
      <c r="C350" s="4" t="str">
        <f ca="1">IFERROR(__xludf.DUMMYFUNCTION("""COMPUTED_VALUE"""),"C00473 ")</f>
        <v xml:space="preserve">C00473 </v>
      </c>
      <c r="D350" s="4" t="str">
        <f ca="1">IFERROR(__xludf.DUMMYFUNCTION("""COMPUTED_VALUE""")," C00003")</f>
        <v xml:space="preserve"> C00003</v>
      </c>
      <c r="E350" s="4"/>
      <c r="F350" s="4"/>
    </row>
    <row r="351" spans="1:6" ht="14">
      <c r="A351" s="21" t="s">
        <v>16098</v>
      </c>
      <c r="C351" s="4" t="str">
        <f ca="1">IFERROR(__xludf.DUMMYFUNCTION("""COMPUTED_VALUE"""),"C00475 ")</f>
        <v xml:space="preserve">C00475 </v>
      </c>
      <c r="D351" s="4" t="str">
        <f ca="1">IFERROR(__xludf.DUMMYFUNCTION("""COMPUTED_VALUE""")," C00001")</f>
        <v xml:space="preserve"> C00001</v>
      </c>
      <c r="E351" s="4"/>
      <c r="F351" s="4"/>
    </row>
    <row r="352" spans="1:6" ht="14">
      <c r="A352" s="22" t="s">
        <v>16099</v>
      </c>
      <c r="C352" s="4" t="str">
        <f ca="1">IFERROR(__xludf.DUMMYFUNCTION("""COMPUTED_VALUE"""),"C00475 ")</f>
        <v xml:space="preserve">C00475 </v>
      </c>
      <c r="D352" s="4" t="str">
        <f ca="1">IFERROR(__xludf.DUMMYFUNCTION("""COMPUTED_VALUE""")," C00009")</f>
        <v xml:space="preserve"> C00009</v>
      </c>
      <c r="E352" s="4"/>
      <c r="F352" s="4"/>
    </row>
    <row r="353" spans="1:6" ht="12.5">
      <c r="A353" s="4" t="s">
        <v>12668</v>
      </c>
      <c r="C353" s="4" t="str">
        <f ca="1">IFERROR(__xludf.DUMMYFUNCTION("""COMPUTED_VALUE"""),"C00491 ")</f>
        <v xml:space="preserve">C00491 </v>
      </c>
      <c r="D353" s="4" t="str">
        <f ca="1">IFERROR(__xludf.DUMMYFUNCTION("""COMPUTED_VALUE""")," C00001")</f>
        <v xml:space="preserve"> C00001</v>
      </c>
      <c r="E353" s="4"/>
      <c r="F353" s="4"/>
    </row>
    <row r="354" spans="1:6" ht="14">
      <c r="A354" s="22" t="s">
        <v>16100</v>
      </c>
      <c r="C354" s="4" t="str">
        <f ca="1">IFERROR(__xludf.DUMMYFUNCTION("""COMPUTED_VALUE"""),"C00492 ")</f>
        <v xml:space="preserve">C00492 </v>
      </c>
      <c r="D354" s="4" t="str">
        <f ca="1">IFERROR(__xludf.DUMMYFUNCTION("""COMPUTED_VALUE""")," C00001")</f>
        <v xml:space="preserve"> C00001</v>
      </c>
      <c r="E354" s="4"/>
      <c r="F354" s="4"/>
    </row>
    <row r="355" spans="1:6" ht="14">
      <c r="A355" s="22" t="s">
        <v>16101</v>
      </c>
      <c r="C355" s="4" t="str">
        <f ca="1">IFERROR(__xludf.DUMMYFUNCTION("""COMPUTED_VALUE"""),"C00492 ")</f>
        <v xml:space="preserve">C00492 </v>
      </c>
      <c r="D355" s="4" t="str">
        <f ca="1">IFERROR(__xludf.DUMMYFUNCTION("""COMPUTED_VALUE""")," C00001")</f>
        <v xml:space="preserve"> C00001</v>
      </c>
      <c r="E355" s="4"/>
      <c r="F355" s="4"/>
    </row>
    <row r="356" spans="1:6" ht="14">
      <c r="A356" s="22" t="s">
        <v>16102</v>
      </c>
      <c r="C356" s="4" t="str">
        <f ca="1">IFERROR(__xludf.DUMMYFUNCTION("""COMPUTED_VALUE"""),"C00493 ")</f>
        <v xml:space="preserve">C00493 </v>
      </c>
      <c r="D356" s="4" t="str">
        <f ca="1">IFERROR(__xludf.DUMMYFUNCTION("""COMPUTED_VALUE""")," C00006")</f>
        <v xml:space="preserve"> C00006</v>
      </c>
      <c r="E356" s="4"/>
      <c r="F356" s="4"/>
    </row>
    <row r="357" spans="1:6" ht="14">
      <c r="A357" s="22" t="s">
        <v>16103</v>
      </c>
      <c r="C357" s="4" t="str">
        <f ca="1">IFERROR(__xludf.DUMMYFUNCTION("""COMPUTED_VALUE"""),"C00498 ")</f>
        <v xml:space="preserve">C00498 </v>
      </c>
      <c r="D357" s="4" t="str">
        <f ca="1">IFERROR(__xludf.DUMMYFUNCTION("""COMPUTED_VALUE""")," C00718")</f>
        <v xml:space="preserve"> C00718</v>
      </c>
      <c r="E357" s="4"/>
      <c r="F357" s="4"/>
    </row>
    <row r="358" spans="1:6" ht="12.5">
      <c r="A358" s="4" t="s">
        <v>12645</v>
      </c>
      <c r="C358" s="4" t="str">
        <f ca="1">IFERROR(__xludf.DUMMYFUNCTION("""COMPUTED_VALUE"""),"C00511 ")</f>
        <v xml:space="preserve">C00511 </v>
      </c>
      <c r="D358" s="4" t="str">
        <f ca="1">IFERROR(__xludf.DUMMYFUNCTION("""COMPUTED_VALUE""")," C00014")</f>
        <v xml:space="preserve"> C00014</v>
      </c>
      <c r="E358" s="4"/>
      <c r="F358" s="4"/>
    </row>
    <row r="359" spans="1:6" ht="14">
      <c r="A359" s="22" t="s">
        <v>16104</v>
      </c>
      <c r="C359" s="4" t="str">
        <f ca="1">IFERROR(__xludf.DUMMYFUNCTION("""COMPUTED_VALUE"""),"C00522 ")</f>
        <v xml:space="preserve">C00522 </v>
      </c>
      <c r="D359" s="4" t="str">
        <f ca="1">IFERROR(__xludf.DUMMYFUNCTION("""COMPUTED_VALUE""")," C00006")</f>
        <v xml:space="preserve"> C00006</v>
      </c>
      <c r="E359" s="4"/>
      <c r="F359" s="4"/>
    </row>
    <row r="360" spans="1:6" ht="14">
      <c r="A360" s="22" t="s">
        <v>16105</v>
      </c>
      <c r="C360" s="4" t="str">
        <f ca="1">IFERROR(__xludf.DUMMYFUNCTION("""COMPUTED_VALUE"""),"C00526 ")</f>
        <v xml:space="preserve">C00526 </v>
      </c>
      <c r="D360" s="4" t="str">
        <f ca="1">IFERROR(__xludf.DUMMYFUNCTION("""COMPUTED_VALUE""")," C00009")</f>
        <v xml:space="preserve"> C00009</v>
      </c>
      <c r="E360" s="4"/>
      <c r="F360" s="4"/>
    </row>
    <row r="361" spans="1:6" ht="12.5">
      <c r="A361" s="4" t="s">
        <v>12672</v>
      </c>
      <c r="C361" s="4" t="str">
        <f ca="1">IFERROR(__xludf.DUMMYFUNCTION("""COMPUTED_VALUE"""),"C00534 ")</f>
        <v xml:space="preserve">C00534 </v>
      </c>
      <c r="D361" s="4" t="str">
        <f ca="1">IFERROR(__xludf.DUMMYFUNCTION("""COMPUTED_VALUE""")," C00001 ")</f>
        <v xml:space="preserve"> C00001 </v>
      </c>
      <c r="E361" s="4" t="str">
        <f ca="1">IFERROR(__xludf.DUMMYFUNCTION("""COMPUTED_VALUE""")," C00007")</f>
        <v xml:space="preserve"> C00007</v>
      </c>
      <c r="F361" s="4"/>
    </row>
    <row r="362" spans="1:6" ht="12.5">
      <c r="A362" s="4" t="s">
        <v>12639</v>
      </c>
      <c r="C362" s="4" t="str">
        <f ca="1">IFERROR(__xludf.DUMMYFUNCTION("""COMPUTED_VALUE"""),"C00559 ")</f>
        <v xml:space="preserve">C00559 </v>
      </c>
      <c r="D362" s="4" t="str">
        <f ca="1">IFERROR(__xludf.DUMMYFUNCTION("""COMPUTED_VALUE""")," C00001")</f>
        <v xml:space="preserve"> C00001</v>
      </c>
      <c r="E362" s="4"/>
      <c r="F362" s="4"/>
    </row>
    <row r="363" spans="1:6" ht="14">
      <c r="A363" s="22" t="s">
        <v>16106</v>
      </c>
      <c r="C363" s="4" t="str">
        <f ca="1">IFERROR(__xludf.DUMMYFUNCTION("""COMPUTED_VALUE"""),"C00579 ")</f>
        <v xml:space="preserve">C00579 </v>
      </c>
      <c r="D363" s="4" t="str">
        <f ca="1">IFERROR(__xludf.DUMMYFUNCTION("""COMPUTED_VALUE""")," C00003")</f>
        <v xml:space="preserve"> C00003</v>
      </c>
      <c r="E363" s="4"/>
      <c r="F363" s="4"/>
    </row>
    <row r="364" spans="1:6" ht="14">
      <c r="A364" s="22" t="s">
        <v>16107</v>
      </c>
      <c r="C364" s="4" t="str">
        <f ca="1">IFERROR(__xludf.DUMMYFUNCTION("""COMPUTED_VALUE"""),"C00605 ")</f>
        <v xml:space="preserve">C00605 </v>
      </c>
      <c r="D364" s="4" t="str">
        <f ca="1">IFERROR(__xludf.DUMMYFUNCTION("""COMPUTED_VALUE""")," C00093")</f>
        <v xml:space="preserve"> C00093</v>
      </c>
      <c r="E364" s="4"/>
      <c r="F364" s="4"/>
    </row>
    <row r="365" spans="1:6" ht="14">
      <c r="A365" s="22" t="s">
        <v>16108</v>
      </c>
      <c r="C365" s="4" t="str">
        <f ca="1">IFERROR(__xludf.DUMMYFUNCTION("""COMPUTED_VALUE"""),"C00606")</f>
        <v>C00606</v>
      </c>
      <c r="D365" s="4"/>
      <c r="E365" s="4"/>
      <c r="F365" s="4"/>
    </row>
    <row r="366" spans="1:6" ht="12.5">
      <c r="A366" s="2" t="s">
        <v>16109</v>
      </c>
      <c r="C366" s="4" t="str">
        <f ca="1">IFERROR(__xludf.DUMMYFUNCTION("""COMPUTED_VALUE"""),"C00620")</f>
        <v>C00620</v>
      </c>
      <c r="D366" s="4"/>
      <c r="E366" s="4"/>
      <c r="F366" s="4"/>
    </row>
    <row r="367" spans="1:6" ht="12.5">
      <c r="A367" s="2" t="s">
        <v>16110</v>
      </c>
      <c r="C367" s="4" t="str">
        <f ca="1">IFERROR(__xludf.DUMMYFUNCTION("""COMPUTED_VALUE"""),"C00627 ")</f>
        <v xml:space="preserve">C00627 </v>
      </c>
      <c r="D367" s="4" t="str">
        <f ca="1">IFERROR(__xludf.DUMMYFUNCTION("""COMPUTED_VALUE""")," C00007")</f>
        <v xml:space="preserve"> C00007</v>
      </c>
      <c r="E367" s="4"/>
      <c r="F367" s="4"/>
    </row>
    <row r="368" spans="1:6" ht="14">
      <c r="A368" s="22" t="s">
        <v>16111</v>
      </c>
      <c r="C368" s="4" t="str">
        <f ca="1">IFERROR(__xludf.DUMMYFUNCTION("""COMPUTED_VALUE"""),"C00631")</f>
        <v>C00631</v>
      </c>
      <c r="D368" s="4"/>
      <c r="E368" s="4"/>
      <c r="F368" s="4"/>
    </row>
    <row r="369" spans="1:6" ht="12.5">
      <c r="A369" s="2" t="s">
        <v>16112</v>
      </c>
      <c r="C369" s="4" t="str">
        <f ca="1">IFERROR(__xludf.DUMMYFUNCTION("""COMPUTED_VALUE"""),"C00631")</f>
        <v>C00631</v>
      </c>
      <c r="D369" s="4"/>
      <c r="E369" s="4"/>
      <c r="F369" s="4"/>
    </row>
    <row r="370" spans="1:6" ht="12.5">
      <c r="A370" s="2" t="s">
        <v>16113</v>
      </c>
      <c r="C370" s="4" t="str">
        <f ca="1">IFERROR(__xludf.DUMMYFUNCTION("""COMPUTED_VALUE"""),"C00644 ")</f>
        <v xml:space="preserve">C00644 </v>
      </c>
      <c r="D370" s="4" t="str">
        <f ca="1">IFERROR(__xludf.DUMMYFUNCTION("""COMPUTED_VALUE""")," C00003")</f>
        <v xml:space="preserve"> C00003</v>
      </c>
      <c r="E370" s="4"/>
      <c r="F370" s="4"/>
    </row>
    <row r="371" spans="1:6" ht="14">
      <c r="A371" s="22" t="s">
        <v>16114</v>
      </c>
      <c r="C371" s="4" t="str">
        <f ca="1">IFERROR(__xludf.DUMMYFUNCTION("""COMPUTED_VALUE"""),"C00644 ")</f>
        <v xml:space="preserve">C00644 </v>
      </c>
      <c r="D371" s="4" t="str">
        <f ca="1">IFERROR(__xludf.DUMMYFUNCTION("""COMPUTED_VALUE""")," C00003")</f>
        <v xml:space="preserve"> C00003</v>
      </c>
      <c r="E371" s="4"/>
      <c r="F371" s="4"/>
    </row>
    <row r="372" spans="1:6" ht="14">
      <c r="A372" s="22" t="s">
        <v>16115</v>
      </c>
      <c r="C372" s="4" t="str">
        <f ca="1">IFERROR(__xludf.DUMMYFUNCTION("""COMPUTED_VALUE"""),"C00647 ")</f>
        <v xml:space="preserve">C00647 </v>
      </c>
      <c r="D372" s="4" t="str">
        <f ca="1">IFERROR(__xludf.DUMMYFUNCTION("""COMPUTED_VALUE""")," C00001 ")</f>
        <v xml:space="preserve"> C00001 </v>
      </c>
      <c r="E372" s="4" t="str">
        <f ca="1">IFERROR(__xludf.DUMMYFUNCTION("""COMPUTED_VALUE""")," C00007")</f>
        <v xml:space="preserve"> C00007</v>
      </c>
      <c r="F372" s="4"/>
    </row>
    <row r="373" spans="1:6" ht="14">
      <c r="A373" s="22" t="s">
        <v>16116</v>
      </c>
      <c r="C373" s="4" t="str">
        <f ca="1">IFERROR(__xludf.DUMMYFUNCTION("""COMPUTED_VALUE"""),"C00655 ")</f>
        <v xml:space="preserve">C00655 </v>
      </c>
      <c r="D373" s="4" t="str">
        <f ca="1">IFERROR(__xludf.DUMMYFUNCTION("""COMPUTED_VALUE""")," C00001")</f>
        <v xml:space="preserve"> C00001</v>
      </c>
      <c r="E373" s="4"/>
      <c r="F373" s="4"/>
    </row>
    <row r="374" spans="1:6" ht="14">
      <c r="A374" s="22" t="s">
        <v>16117</v>
      </c>
      <c r="C374" s="4" t="str">
        <f ca="1">IFERROR(__xludf.DUMMYFUNCTION("""COMPUTED_VALUE"""),"C00655 ")</f>
        <v xml:space="preserve">C00655 </v>
      </c>
      <c r="D374" s="4" t="str">
        <f ca="1">IFERROR(__xludf.DUMMYFUNCTION("""COMPUTED_VALUE""")," C00013")</f>
        <v xml:space="preserve"> C00013</v>
      </c>
      <c r="E374" s="4"/>
      <c r="F374" s="4"/>
    </row>
    <row r="375" spans="1:6" ht="14">
      <c r="A375" s="22" t="s">
        <v>16118</v>
      </c>
      <c r="C375" s="4" t="str">
        <f ca="1">IFERROR(__xludf.DUMMYFUNCTION("""COMPUTED_VALUE"""),"C00663")</f>
        <v>C00663</v>
      </c>
      <c r="D375" s="4"/>
      <c r="E375" s="4"/>
      <c r="F375" s="4"/>
    </row>
    <row r="376" spans="1:6" ht="12.5">
      <c r="A376" s="2" t="s">
        <v>16119</v>
      </c>
      <c r="C376" s="4" t="str">
        <f ca="1">IFERROR(__xludf.DUMMYFUNCTION("""COMPUTED_VALUE"""),"C00663")</f>
        <v>C00663</v>
      </c>
      <c r="D376" s="4"/>
      <c r="E376" s="4"/>
      <c r="F376" s="4"/>
    </row>
    <row r="377" spans="1:6" ht="12.5">
      <c r="A377" s="2" t="s">
        <v>16120</v>
      </c>
      <c r="C377" s="4" t="str">
        <f ca="1">IFERROR(__xludf.DUMMYFUNCTION("""COMPUTED_VALUE"""),"C00666")</f>
        <v>C00666</v>
      </c>
      <c r="D377" s="4"/>
      <c r="E377" s="4"/>
      <c r="F377" s="4"/>
    </row>
    <row r="378" spans="1:6" ht="12.5">
      <c r="A378" s="2" t="s">
        <v>16121</v>
      </c>
      <c r="C378" s="4" t="str">
        <f ca="1">IFERROR(__xludf.DUMMYFUNCTION("""COMPUTED_VALUE"""),"C00668")</f>
        <v>C00668</v>
      </c>
      <c r="D378" s="4"/>
      <c r="E378" s="4"/>
      <c r="F378" s="4"/>
    </row>
    <row r="379" spans="1:6" ht="12.5">
      <c r="A379" s="2" t="s">
        <v>16122</v>
      </c>
      <c r="C379" s="4" t="str">
        <f ca="1">IFERROR(__xludf.DUMMYFUNCTION("""COMPUTED_VALUE"""),"C00668")</f>
        <v>C00668</v>
      </c>
      <c r="D379" s="4"/>
      <c r="E379" s="4"/>
      <c r="F379" s="4"/>
    </row>
    <row r="380" spans="1:6" ht="12.5">
      <c r="A380" s="2" t="s">
        <v>16123</v>
      </c>
      <c r="C380" s="4" t="str">
        <f ca="1">IFERROR(__xludf.DUMMYFUNCTION("""COMPUTED_VALUE"""),"C00668")</f>
        <v>C00668</v>
      </c>
      <c r="D380" s="4"/>
      <c r="E380" s="4"/>
      <c r="F380" s="4"/>
    </row>
    <row r="381" spans="1:6" ht="12.5">
      <c r="A381" s="2" t="s">
        <v>16124</v>
      </c>
      <c r="C381" s="4" t="str">
        <f ca="1">IFERROR(__xludf.DUMMYFUNCTION("""COMPUTED_VALUE"""),"C00672")</f>
        <v>C00672</v>
      </c>
      <c r="D381" s="4"/>
      <c r="E381" s="4"/>
      <c r="F381" s="4"/>
    </row>
    <row r="382" spans="1:6" ht="12.5">
      <c r="A382" s="2" t="s">
        <v>16125</v>
      </c>
      <c r="C382" s="4" t="str">
        <f ca="1">IFERROR(__xludf.DUMMYFUNCTION("""COMPUTED_VALUE"""),"C00673")</f>
        <v>C00673</v>
      </c>
      <c r="D382" s="4"/>
      <c r="E382" s="4"/>
      <c r="F382" s="4"/>
    </row>
    <row r="383" spans="1:6" ht="12.5">
      <c r="A383" s="2" t="s">
        <v>16126</v>
      </c>
      <c r="C383" s="4" t="str">
        <f ca="1">IFERROR(__xludf.DUMMYFUNCTION("""COMPUTED_VALUE"""),"C00673 ")</f>
        <v xml:space="preserve">C00673 </v>
      </c>
      <c r="D383" s="4" t="str">
        <f ca="1">IFERROR(__xludf.DUMMYFUNCTION("""COMPUTED_VALUE""")," C00008")</f>
        <v xml:space="preserve"> C00008</v>
      </c>
      <c r="E383" s="4"/>
      <c r="F383" s="4"/>
    </row>
    <row r="384" spans="1:6" ht="14">
      <c r="A384" s="22" t="s">
        <v>16127</v>
      </c>
      <c r="C384" s="4" t="str">
        <f ca="1">IFERROR(__xludf.DUMMYFUNCTION("""COMPUTED_VALUE"""),"C00677 ")</f>
        <v xml:space="preserve">C00677 </v>
      </c>
      <c r="D384" s="4" t="str">
        <f ca="1">IFERROR(__xludf.DUMMYFUNCTION("""COMPUTED_VALUE""")," C00039(n)")</f>
        <v xml:space="preserve"> C00039(n)</v>
      </c>
      <c r="E384" s="4"/>
      <c r="F384" s="4"/>
    </row>
    <row r="385" spans="1:6" ht="14">
      <c r="A385" s="22" t="s">
        <v>16128</v>
      </c>
      <c r="C385" s="4" t="str">
        <f ca="1">IFERROR(__xludf.DUMMYFUNCTION("""COMPUTED_VALUE"""),"C00677 ")</f>
        <v xml:space="preserve">C00677 </v>
      </c>
      <c r="D385" s="4" t="str">
        <f ca="1">IFERROR(__xludf.DUMMYFUNCTION("""COMPUTED_VALUE""")," C00343 ")</f>
        <v xml:space="preserve"> C00343 </v>
      </c>
      <c r="E385" s="4" t="str">
        <f ca="1">IFERROR(__xludf.DUMMYFUNCTION("""COMPUTED_VALUE""")," C00001")</f>
        <v xml:space="preserve"> C00001</v>
      </c>
      <c r="F385" s="4"/>
    </row>
    <row r="386" spans="1:6" ht="14">
      <c r="A386" s="22" t="s">
        <v>16129</v>
      </c>
      <c r="C386" s="4" t="str">
        <f ca="1">IFERROR(__xludf.DUMMYFUNCTION("""COMPUTED_VALUE"""),"C00680")</f>
        <v>C00680</v>
      </c>
      <c r="D386" s="4"/>
      <c r="E386" s="4"/>
      <c r="F386" s="4"/>
    </row>
    <row r="387" spans="1:6" ht="12.5">
      <c r="A387" s="2" t="s">
        <v>16130</v>
      </c>
      <c r="C387" s="4" t="str">
        <f ca="1">IFERROR(__xludf.DUMMYFUNCTION("""COMPUTED_VALUE"""),"C00691")</f>
        <v>C00691</v>
      </c>
      <c r="D387" s="4"/>
      <c r="E387" s="4"/>
      <c r="F387" s="4"/>
    </row>
    <row r="388" spans="1:6" ht="12.5">
      <c r="A388" s="2" t="s">
        <v>16131</v>
      </c>
      <c r="C388" s="4" t="str">
        <f ca="1">IFERROR(__xludf.DUMMYFUNCTION("""COMPUTED_VALUE"""),"C00705 ")</f>
        <v xml:space="preserve">C00705 </v>
      </c>
      <c r="D388" s="4" t="str">
        <f ca="1">IFERROR(__xludf.DUMMYFUNCTION("""COMPUTED_VALUE""")," C00343 ")</f>
        <v xml:space="preserve"> C00343 </v>
      </c>
      <c r="E388" s="4" t="str">
        <f ca="1">IFERROR(__xludf.DUMMYFUNCTION("""COMPUTED_VALUE""")," C00001")</f>
        <v xml:space="preserve"> C00001</v>
      </c>
      <c r="F388" s="4"/>
    </row>
    <row r="389" spans="1:6" ht="14">
      <c r="A389" s="22" t="s">
        <v>16132</v>
      </c>
      <c r="C389" s="4" t="str">
        <f ca="1">IFERROR(__xludf.DUMMYFUNCTION("""COMPUTED_VALUE"""),"C00718 ")</f>
        <v xml:space="preserve">C00718 </v>
      </c>
      <c r="D389" s="4" t="str">
        <f ca="1">IFERROR(__xludf.DUMMYFUNCTION("""COMPUTED_VALUE""")," C00009")</f>
        <v xml:space="preserve"> C00009</v>
      </c>
      <c r="E389" s="4"/>
      <c r="F389" s="4"/>
    </row>
    <row r="390" spans="1:6" ht="14">
      <c r="A390" s="22" t="s">
        <v>16133</v>
      </c>
      <c r="C390" s="4" t="str">
        <f ca="1">IFERROR(__xludf.DUMMYFUNCTION("""COMPUTED_VALUE"""),"C00756 ")</f>
        <v xml:space="preserve">C00756 </v>
      </c>
      <c r="D390" s="4" t="str">
        <f ca="1">IFERROR(__xludf.DUMMYFUNCTION("""COMPUTED_VALUE""")," C00003")</f>
        <v xml:space="preserve"> C00003</v>
      </c>
      <c r="E390" s="4"/>
      <c r="F390" s="4"/>
    </row>
    <row r="391" spans="1:6" ht="14">
      <c r="A391" s="21" t="s">
        <v>16134</v>
      </c>
      <c r="C391" s="4" t="str">
        <f ca="1">IFERROR(__xludf.DUMMYFUNCTION("""COMPUTED_VALUE"""),"C00819 ")</f>
        <v xml:space="preserve">C00819 </v>
      </c>
      <c r="D391" s="4" t="str">
        <f ca="1">IFERROR(__xludf.DUMMYFUNCTION("""COMPUTED_VALUE""")," C00001")</f>
        <v xml:space="preserve"> C00001</v>
      </c>
      <c r="E391" s="4"/>
      <c r="F391" s="4"/>
    </row>
    <row r="392" spans="1:6" ht="14">
      <c r="A392" s="22" t="s">
        <v>16135</v>
      </c>
      <c r="C392" s="4" t="str">
        <f ca="1">IFERROR(__xludf.DUMMYFUNCTION("""COMPUTED_VALUE"""),"C00842")</f>
        <v>C00842</v>
      </c>
      <c r="D392" s="4"/>
      <c r="E392" s="4"/>
      <c r="F392" s="4"/>
    </row>
    <row r="393" spans="1:6" ht="12.5">
      <c r="A393" s="2" t="s">
        <v>16136</v>
      </c>
      <c r="C393" s="4" t="str">
        <f ca="1">IFERROR(__xludf.DUMMYFUNCTION("""COMPUTED_VALUE"""),"C00850 ")</f>
        <v xml:space="preserve">C00850 </v>
      </c>
      <c r="D393" s="4" t="str">
        <f ca="1">IFERROR(__xludf.DUMMYFUNCTION("""COMPUTED_VALUE""")," C00001")</f>
        <v xml:space="preserve"> C00001</v>
      </c>
      <c r="E393" s="4"/>
      <c r="F393" s="4"/>
    </row>
    <row r="394" spans="1:6" ht="14">
      <c r="A394" s="22" t="s">
        <v>16137</v>
      </c>
      <c r="C394" s="4" t="str">
        <f ca="1">IFERROR(__xludf.DUMMYFUNCTION("""COMPUTED_VALUE"""),"C00860 ")</f>
        <v xml:space="preserve">C00860 </v>
      </c>
      <c r="D394" s="4" t="str">
        <f ca="1">IFERROR(__xludf.DUMMYFUNCTION("""COMPUTED_VALUE""")," 2 C00003 ")</f>
        <v xml:space="preserve"> 2 C00003 </v>
      </c>
      <c r="E394" s="4" t="str">
        <f ca="1">IFERROR(__xludf.DUMMYFUNCTION("""COMPUTED_VALUE""")," C00001")</f>
        <v xml:space="preserve"> C00001</v>
      </c>
      <c r="F394" s="4"/>
    </row>
    <row r="395" spans="1:6" ht="14">
      <c r="A395" s="22" t="s">
        <v>16138</v>
      </c>
      <c r="C395" s="4" t="str">
        <f ca="1">IFERROR(__xludf.DUMMYFUNCTION("""COMPUTED_VALUE"""),"C00860 ")</f>
        <v xml:space="preserve">C00860 </v>
      </c>
      <c r="D395" s="4" t="str">
        <f ca="1">IFERROR(__xludf.DUMMYFUNCTION("""COMPUTED_VALUE""")," C00003")</f>
        <v xml:space="preserve"> C00003</v>
      </c>
      <c r="E395" s="4"/>
      <c r="F395" s="4"/>
    </row>
    <row r="396" spans="1:6" ht="14">
      <c r="A396" s="22" t="s">
        <v>16139</v>
      </c>
      <c r="C396" s="4" t="str">
        <f ca="1">IFERROR(__xludf.DUMMYFUNCTION("""COMPUTED_VALUE"""),"C00868")</f>
        <v>C00868</v>
      </c>
      <c r="D396" s="4"/>
      <c r="E396" s="4"/>
      <c r="F396" s="4"/>
    </row>
    <row r="397" spans="1:6" ht="12.5">
      <c r="A397" s="2" t="s">
        <v>16140</v>
      </c>
      <c r="C397" s="4" t="str">
        <f ca="1">IFERROR(__xludf.DUMMYFUNCTION("""COMPUTED_VALUE"""),"C00868 ")</f>
        <v xml:space="preserve">C00868 </v>
      </c>
      <c r="D397" s="4" t="str">
        <f ca="1">IFERROR(__xludf.DUMMYFUNCTION("""COMPUTED_VALUE""")," C15812 ")</f>
        <v xml:space="preserve"> C15812 </v>
      </c>
      <c r="E397" s="4" t="str">
        <f ca="1">IFERROR(__xludf.DUMMYFUNCTION("""COMPUTED_VALUE""")," C00002")</f>
        <v xml:space="preserve"> C00002</v>
      </c>
      <c r="F397" s="4"/>
    </row>
    <row r="398" spans="1:6" ht="14">
      <c r="A398" s="22" t="s">
        <v>16141</v>
      </c>
      <c r="C398" s="4" t="str">
        <f ca="1">IFERROR(__xludf.DUMMYFUNCTION("""COMPUTED_VALUE"""),"C00881 ")</f>
        <v xml:space="preserve">C00881 </v>
      </c>
      <c r="D398" s="4" t="str">
        <f ca="1">IFERROR(__xludf.DUMMYFUNCTION("""COMPUTED_VALUE""")," C00001")</f>
        <v xml:space="preserve"> C00001</v>
      </c>
      <c r="E398" s="4"/>
      <c r="F398" s="4"/>
    </row>
    <row r="399" spans="1:6" ht="14">
      <c r="A399" s="22" t="s">
        <v>16142</v>
      </c>
      <c r="C399" s="4" t="str">
        <f ca="1">IFERROR(__xludf.DUMMYFUNCTION("""COMPUTED_VALUE"""),"C00900 ")</f>
        <v xml:space="preserve">C00900 </v>
      </c>
      <c r="D399" s="4" t="str">
        <f ca="1">IFERROR(__xludf.DUMMYFUNCTION("""COMPUTED_VALUE""")," C00011")</f>
        <v xml:space="preserve"> C00011</v>
      </c>
      <c r="E399" s="4"/>
      <c r="F399" s="4"/>
    </row>
    <row r="400" spans="1:6" ht="14">
      <c r="A400" s="22" t="s">
        <v>16143</v>
      </c>
      <c r="C400" s="4" t="str">
        <f ca="1">IFERROR(__xludf.DUMMYFUNCTION("""COMPUTED_VALUE"""),"C00900 ")</f>
        <v xml:space="preserve">C00900 </v>
      </c>
      <c r="D400" s="4" t="str">
        <f ca="1">IFERROR(__xludf.DUMMYFUNCTION("""COMPUTED_VALUE""")," C00068")</f>
        <v xml:space="preserve"> C00068</v>
      </c>
      <c r="E400" s="4"/>
      <c r="F400" s="4"/>
    </row>
    <row r="401" spans="1:6" ht="14">
      <c r="A401" s="22" t="s">
        <v>16144</v>
      </c>
      <c r="C401" s="4" t="str">
        <f ca="1">IFERROR(__xludf.DUMMYFUNCTION("""COMPUTED_VALUE"""),"C00935")</f>
        <v>C00935</v>
      </c>
      <c r="D401" s="4"/>
      <c r="E401" s="4"/>
      <c r="F401" s="4"/>
    </row>
    <row r="402" spans="1:6" ht="12.5">
      <c r="A402" s="2" t="s">
        <v>16145</v>
      </c>
      <c r="C402" s="4" t="str">
        <f ca="1">IFERROR(__xludf.DUMMYFUNCTION("""COMPUTED_VALUE"""),"C00979 ")</f>
        <v xml:space="preserve">C00979 </v>
      </c>
      <c r="D402" s="4" t="str">
        <f ca="1">IFERROR(__xludf.DUMMYFUNCTION("""COMPUTED_VALUE""")," C00283")</f>
        <v xml:space="preserve"> C00283</v>
      </c>
      <c r="E402" s="4"/>
      <c r="F402" s="4"/>
    </row>
    <row r="403" spans="1:6" ht="12.5">
      <c r="A403" s="4" t="s">
        <v>12710</v>
      </c>
      <c r="C403" s="4" t="str">
        <f ca="1">IFERROR(__xludf.DUMMYFUNCTION("""COMPUTED_VALUE"""),"C00979 ")</f>
        <v xml:space="preserve">C00979 </v>
      </c>
      <c r="D403" s="4" t="str">
        <f ca="1">IFERROR(__xludf.DUMMYFUNCTION("""COMPUTED_VALUE""")," C00320 ")</f>
        <v xml:space="preserve"> C00320 </v>
      </c>
      <c r="E403" s="4" t="str">
        <f ca="1">IFERROR(__xludf.DUMMYFUNCTION("""COMPUTED_VALUE""")," C00342 ")</f>
        <v xml:space="preserve"> C00342 </v>
      </c>
      <c r="F403" s="4" t="str">
        <f ca="1">IFERROR(__xludf.DUMMYFUNCTION("""COMPUTED_VALUE""")," C00080")</f>
        <v xml:space="preserve"> C00080</v>
      </c>
    </row>
    <row r="404" spans="1:6" ht="12.5">
      <c r="A404" s="4" t="s">
        <v>12716</v>
      </c>
      <c r="C404" s="4" t="str">
        <f ca="1">IFERROR(__xludf.DUMMYFUNCTION("""COMPUTED_VALUE"""),"C00979 ")</f>
        <v xml:space="preserve">C00979 </v>
      </c>
      <c r="D404" s="4" t="str">
        <f ca="1">IFERROR(__xludf.DUMMYFUNCTION("""COMPUTED_VALUE""")," C01528")</f>
        <v xml:space="preserve"> C01528</v>
      </c>
      <c r="E404" s="4"/>
      <c r="F404" s="4"/>
    </row>
    <row r="405" spans="1:6" ht="12.5">
      <c r="A405" s="4" t="s">
        <v>12712</v>
      </c>
      <c r="C405" s="4" t="str">
        <f ca="1">IFERROR(__xludf.DUMMYFUNCTION("""COMPUTED_VALUE"""),"C01005 ")</f>
        <v xml:space="preserve">C01005 </v>
      </c>
      <c r="D405" s="4" t="str">
        <f ca="1">IFERROR(__xludf.DUMMYFUNCTION("""COMPUTED_VALUE""")," C00283")</f>
        <v xml:space="preserve"> C00283</v>
      </c>
      <c r="E405" s="4"/>
      <c r="F405" s="4"/>
    </row>
    <row r="406" spans="1:6" ht="14">
      <c r="A406" s="22" t="s">
        <v>16146</v>
      </c>
      <c r="C406" s="4" t="str">
        <f ca="1">IFERROR(__xludf.DUMMYFUNCTION("""COMPUTED_VALUE"""),"C01050 ")</f>
        <v xml:space="preserve">C01050 </v>
      </c>
      <c r="D406" s="4" t="str">
        <f ca="1">IFERROR(__xludf.DUMMYFUNCTION("""COMPUTED_VALUE""")," C00003")</f>
        <v xml:space="preserve"> C00003</v>
      </c>
      <c r="E406" s="4"/>
      <c r="F406" s="4"/>
    </row>
    <row r="407" spans="1:6" ht="14">
      <c r="A407" s="22" t="s">
        <v>16147</v>
      </c>
      <c r="C407" s="4" t="str">
        <f ca="1">IFERROR(__xludf.DUMMYFUNCTION("""COMPUTED_VALUE"""),"C01050 ")</f>
        <v xml:space="preserve">C01050 </v>
      </c>
      <c r="D407" s="4" t="str">
        <f ca="1">IFERROR(__xludf.DUMMYFUNCTION("""COMPUTED_VALUE""")," C00006")</f>
        <v xml:space="preserve"> C00006</v>
      </c>
      <c r="E407" s="4"/>
      <c r="F407" s="4"/>
    </row>
    <row r="408" spans="1:6" ht="14">
      <c r="A408" s="22" t="s">
        <v>16148</v>
      </c>
      <c r="C408" s="4" t="str">
        <f ca="1">IFERROR(__xludf.DUMMYFUNCTION("""COMPUTED_VALUE"""),"C01094")</f>
        <v>C01094</v>
      </c>
      <c r="D408" s="4"/>
      <c r="E408" s="4"/>
      <c r="F408" s="4"/>
    </row>
    <row r="409" spans="1:6" ht="12.5">
      <c r="A409" s="2" t="s">
        <v>16149</v>
      </c>
      <c r="C409" s="4" t="str">
        <f ca="1">IFERROR(__xludf.DUMMYFUNCTION("""COMPUTED_VALUE"""),"C01097 ")</f>
        <v xml:space="preserve">C01097 </v>
      </c>
      <c r="D409" s="4" t="str">
        <f ca="1">IFERROR(__xludf.DUMMYFUNCTION("""COMPUTED_VALUE""")," C00002")</f>
        <v xml:space="preserve"> C00002</v>
      </c>
      <c r="E409" s="4"/>
      <c r="F409" s="4"/>
    </row>
    <row r="410" spans="1:6" ht="14">
      <c r="A410" s="22" t="s">
        <v>16150</v>
      </c>
      <c r="C410" s="4" t="str">
        <f ca="1">IFERROR(__xludf.DUMMYFUNCTION("""COMPUTED_VALUE"""),"C01100 ")</f>
        <v xml:space="preserve">C01100 </v>
      </c>
      <c r="D410" s="4" t="str">
        <f ca="1">IFERROR(__xludf.DUMMYFUNCTION("""COMPUTED_VALUE""")," C00026")</f>
        <v xml:space="preserve"> C00026</v>
      </c>
      <c r="E410" s="4"/>
      <c r="F410" s="4"/>
    </row>
    <row r="411" spans="1:6" ht="14">
      <c r="A411" s="22" t="s">
        <v>16151</v>
      </c>
      <c r="C411" s="4" t="str">
        <f ca="1">IFERROR(__xludf.DUMMYFUNCTION("""COMPUTED_VALUE"""),"C01101")</f>
        <v>C01101</v>
      </c>
      <c r="D411" s="4"/>
      <c r="E411" s="4"/>
      <c r="F411" s="4"/>
    </row>
    <row r="412" spans="1:6" ht="12.5">
      <c r="A412" s="2" t="s">
        <v>16152</v>
      </c>
      <c r="C412" s="4" t="str">
        <f ca="1">IFERROR(__xludf.DUMMYFUNCTION("""COMPUTED_VALUE"""),"C01102 ")</f>
        <v xml:space="preserve">C01102 </v>
      </c>
      <c r="D412" s="4" t="str">
        <f ca="1">IFERROR(__xludf.DUMMYFUNCTION("""COMPUTED_VALUE""")," C00001")</f>
        <v xml:space="preserve"> C00001</v>
      </c>
      <c r="E412" s="4"/>
      <c r="F412" s="4"/>
    </row>
    <row r="413" spans="1:6" ht="14">
      <c r="A413" s="22" t="s">
        <v>16153</v>
      </c>
      <c r="C413" s="4" t="str">
        <f ca="1">IFERROR(__xludf.DUMMYFUNCTION("""COMPUTED_VALUE"""),"C01103")</f>
        <v>C01103</v>
      </c>
      <c r="D413" s="4"/>
      <c r="E413" s="4"/>
      <c r="F413" s="4"/>
    </row>
    <row r="414" spans="1:6" ht="12.5">
      <c r="A414" s="2" t="s">
        <v>16154</v>
      </c>
      <c r="C414" s="4" t="str">
        <f ca="1">IFERROR(__xludf.DUMMYFUNCTION("""COMPUTED_VALUE"""),"C01113")</f>
        <v>C01113</v>
      </c>
      <c r="D414" s="4"/>
      <c r="E414" s="4"/>
      <c r="F414" s="4"/>
    </row>
    <row r="415" spans="1:6" ht="12.5">
      <c r="A415" s="2" t="s">
        <v>16155</v>
      </c>
      <c r="C415" s="4" t="str">
        <f ca="1">IFERROR(__xludf.DUMMYFUNCTION("""COMPUTED_VALUE"""),"C01157 ")</f>
        <v xml:space="preserve">C01157 </v>
      </c>
      <c r="D415" s="4" t="str">
        <f ca="1">IFERROR(__xludf.DUMMYFUNCTION("""COMPUTED_VALUE""")," C00003")</f>
        <v xml:space="preserve"> C00003</v>
      </c>
      <c r="E415" s="4"/>
      <c r="F415" s="4"/>
    </row>
    <row r="416" spans="1:6" ht="14">
      <c r="A416" s="22" t="s">
        <v>16156</v>
      </c>
      <c r="C416" s="4" t="str">
        <f ca="1">IFERROR(__xludf.DUMMYFUNCTION("""COMPUTED_VALUE"""),"C01157 ")</f>
        <v xml:space="preserve">C01157 </v>
      </c>
      <c r="D416" s="4" t="str">
        <f ca="1">IFERROR(__xludf.DUMMYFUNCTION("""COMPUTED_VALUE""")," C00006")</f>
        <v xml:space="preserve"> C00006</v>
      </c>
      <c r="E416" s="4"/>
      <c r="F416" s="4"/>
    </row>
    <row r="417" spans="1:6" ht="14">
      <c r="A417" s="22" t="s">
        <v>16157</v>
      </c>
      <c r="C417" s="4" t="str">
        <f ca="1">IFERROR(__xludf.DUMMYFUNCTION("""COMPUTED_VALUE"""),"C01159 ")</f>
        <v xml:space="preserve">C01159 </v>
      </c>
      <c r="D417" s="4" t="str">
        <f ca="1">IFERROR(__xludf.DUMMYFUNCTION("""COMPUTED_VALUE""")," C00615")</f>
        <v xml:space="preserve"> C00615</v>
      </c>
      <c r="E417" s="4"/>
      <c r="F417" s="4"/>
    </row>
    <row r="418" spans="1:6" ht="14">
      <c r="A418" s="22" t="s">
        <v>16158</v>
      </c>
      <c r="C418" s="4" t="str">
        <f ca="1">IFERROR(__xludf.DUMMYFUNCTION("""COMPUTED_VALUE"""),"C01165 ")</f>
        <v xml:space="preserve">C01165 </v>
      </c>
      <c r="D418" s="4" t="str">
        <f ca="1">IFERROR(__xludf.DUMMYFUNCTION("""COMPUTED_VALUE""")," C00009 ")</f>
        <v xml:space="preserve"> C00009 </v>
      </c>
      <c r="E418" s="4" t="str">
        <f ca="1">IFERROR(__xludf.DUMMYFUNCTION("""COMPUTED_VALUE""")," C00006")</f>
        <v xml:space="preserve"> C00006</v>
      </c>
      <c r="F418" s="4"/>
    </row>
    <row r="419" spans="1:6" ht="14">
      <c r="A419" s="22" t="s">
        <v>16159</v>
      </c>
      <c r="C419" s="4" t="str">
        <f ca="1">IFERROR(__xludf.DUMMYFUNCTION("""COMPUTED_VALUE"""),"C01172")</f>
        <v>C01172</v>
      </c>
      <c r="D419" s="4"/>
      <c r="E419" s="4"/>
      <c r="F419" s="4"/>
    </row>
    <row r="420" spans="1:6" ht="12.5">
      <c r="A420" s="2" t="s">
        <v>16160</v>
      </c>
      <c r="C420" s="4" t="str">
        <f ca="1">IFERROR(__xludf.DUMMYFUNCTION("""COMPUTED_VALUE"""),"C01172 ")</f>
        <v xml:space="preserve">C01172 </v>
      </c>
      <c r="D420" s="4" t="str">
        <f ca="1">IFERROR(__xludf.DUMMYFUNCTION("""COMPUTED_VALUE""")," C00006")</f>
        <v xml:space="preserve"> C00006</v>
      </c>
      <c r="E420" s="4"/>
      <c r="F420" s="4"/>
    </row>
    <row r="421" spans="1:6" ht="14">
      <c r="A421" s="22" t="s">
        <v>16161</v>
      </c>
      <c r="C421" s="4" t="str">
        <f ca="1">IFERROR(__xludf.DUMMYFUNCTION("""COMPUTED_VALUE"""),"C01185 ")</f>
        <v xml:space="preserve">C01185 </v>
      </c>
      <c r="D421" s="4" t="str">
        <f ca="1">IFERROR(__xludf.DUMMYFUNCTION("""COMPUTED_VALUE""")," C00001")</f>
        <v xml:space="preserve"> C00001</v>
      </c>
      <c r="E421" s="4"/>
      <c r="F421" s="4"/>
    </row>
    <row r="422" spans="1:6" ht="14">
      <c r="A422" s="22" t="s">
        <v>16162</v>
      </c>
      <c r="C422" s="4" t="str">
        <f ca="1">IFERROR(__xludf.DUMMYFUNCTION("""COMPUTED_VALUE"""),"C01185 ")</f>
        <v xml:space="preserve">C01185 </v>
      </c>
      <c r="D422" s="4" t="str">
        <f ca="1">IFERROR(__xludf.DUMMYFUNCTION("""COMPUTED_VALUE""")," C00013 ")</f>
        <v xml:space="preserve"> C00013 </v>
      </c>
      <c r="E422" s="4" t="str">
        <f ca="1">IFERROR(__xludf.DUMMYFUNCTION("""COMPUTED_VALUE""")," C00008 ")</f>
        <v xml:space="preserve"> C00008 </v>
      </c>
      <c r="F422" s="4" t="str">
        <f ca="1">IFERROR(__xludf.DUMMYFUNCTION("""COMPUTED_VALUE""")," C00009")</f>
        <v xml:space="preserve"> C00009</v>
      </c>
    </row>
    <row r="423" spans="1:6" ht="14">
      <c r="A423" s="22" t="s">
        <v>16163</v>
      </c>
      <c r="C423" s="4" t="str">
        <f ca="1">IFERROR(__xludf.DUMMYFUNCTION("""COMPUTED_VALUE"""),"C01235 ")</f>
        <v xml:space="preserve">C01235 </v>
      </c>
      <c r="D423" s="4" t="str">
        <f ca="1">IFERROR(__xludf.DUMMYFUNCTION("""COMPUTED_VALUE""")," C00001")</f>
        <v xml:space="preserve"> C00001</v>
      </c>
      <c r="E423" s="4"/>
      <c r="F423" s="4"/>
    </row>
    <row r="424" spans="1:6" ht="14">
      <c r="A424" s="22" t="s">
        <v>16164</v>
      </c>
      <c r="C424" s="4" t="str">
        <f ca="1">IFERROR(__xludf.DUMMYFUNCTION("""COMPUTED_VALUE"""),"C01260 ")</f>
        <v xml:space="preserve">C01260 </v>
      </c>
      <c r="D424" s="4" t="str">
        <f ca="1">IFERROR(__xludf.DUMMYFUNCTION("""COMPUTED_VALUE""")," C00001")</f>
        <v xml:space="preserve"> C00001</v>
      </c>
      <c r="E424" s="4"/>
      <c r="F424" s="4"/>
    </row>
    <row r="425" spans="1:6" ht="14">
      <c r="A425" s="22" t="s">
        <v>16165</v>
      </c>
      <c r="C425" s="4" t="str">
        <f ca="1">IFERROR(__xludf.DUMMYFUNCTION("""COMPUTED_VALUE"""),"C01271")</f>
        <v>C01271</v>
      </c>
      <c r="D425" s="4"/>
      <c r="E425" s="4"/>
      <c r="F425" s="4"/>
    </row>
    <row r="426" spans="1:6" ht="12.5">
      <c r="A426" s="2" t="s">
        <v>16166</v>
      </c>
      <c r="C426" s="4" t="str">
        <f ca="1">IFERROR(__xludf.DUMMYFUNCTION("""COMPUTED_VALUE"""),"C01271 ")</f>
        <v xml:space="preserve">C01271 </v>
      </c>
      <c r="D426" s="4" t="str">
        <f ca="1">IFERROR(__xludf.DUMMYFUNCTION("""COMPUTED_VALUE""")," C00006")</f>
        <v xml:space="preserve"> C00006</v>
      </c>
      <c r="E426" s="4"/>
      <c r="F426" s="4"/>
    </row>
    <row r="427" spans="1:6" ht="14">
      <c r="A427" s="22" t="s">
        <v>16167</v>
      </c>
      <c r="C427" s="4" t="str">
        <f ca="1">IFERROR(__xludf.DUMMYFUNCTION("""COMPUTED_VALUE"""),"C01290 ")</f>
        <v xml:space="preserve">C01290 </v>
      </c>
      <c r="D427" s="4" t="str">
        <f ca="1">IFERROR(__xludf.DUMMYFUNCTION("""COMPUTED_VALUE""")," C00001")</f>
        <v xml:space="preserve"> C00001</v>
      </c>
      <c r="E427" s="4"/>
      <c r="F427" s="4"/>
    </row>
    <row r="428" spans="1:6" ht="14">
      <c r="A428" s="22" t="s">
        <v>16168</v>
      </c>
      <c r="C428" s="4" t="str">
        <f ca="1">IFERROR(__xludf.DUMMYFUNCTION("""COMPUTED_VALUE"""),"C01302")</f>
        <v>C01302</v>
      </c>
      <c r="D428" s="4"/>
      <c r="E428" s="4"/>
      <c r="F428" s="4"/>
    </row>
    <row r="429" spans="1:6" ht="12.5">
      <c r="A429" s="2" t="s">
        <v>16169</v>
      </c>
      <c r="C429" s="4" t="str">
        <f ca="1">IFERROR(__xludf.DUMMYFUNCTION("""COMPUTED_VALUE"""),"C01346 ")</f>
        <v xml:space="preserve">C01346 </v>
      </c>
      <c r="D429" s="4" t="str">
        <f ca="1">IFERROR(__xludf.DUMMYFUNCTION("""COMPUTED_VALUE""")," C00343 ")</f>
        <v xml:space="preserve"> C00343 </v>
      </c>
      <c r="E429" s="4" t="str">
        <f ca="1">IFERROR(__xludf.DUMMYFUNCTION("""COMPUTED_VALUE""")," C00001")</f>
        <v xml:space="preserve"> C00001</v>
      </c>
      <c r="F429" s="4"/>
    </row>
    <row r="430" spans="1:6" ht="14">
      <c r="A430" s="22" t="s">
        <v>16170</v>
      </c>
      <c r="C430" s="4" t="str">
        <f ca="1">IFERROR(__xludf.DUMMYFUNCTION("""COMPUTED_VALUE"""),"C01412 ")</f>
        <v xml:space="preserve">C01412 </v>
      </c>
      <c r="D430" s="4" t="str">
        <f ca="1">IFERROR(__xludf.DUMMYFUNCTION("""COMPUTED_VALUE""")," C00010 ")</f>
        <v xml:space="preserve"> C00010 </v>
      </c>
      <c r="E430" s="4" t="str">
        <f ca="1">IFERROR(__xludf.DUMMYFUNCTION("""COMPUTED_VALUE""")," C00003")</f>
        <v xml:space="preserve"> C00003</v>
      </c>
      <c r="F430" s="4"/>
    </row>
    <row r="431" spans="1:6" ht="14">
      <c r="A431" s="22" t="s">
        <v>16171</v>
      </c>
      <c r="C431" s="4" t="str">
        <f ca="1">IFERROR(__xludf.DUMMYFUNCTION("""COMPUTED_VALUE"""),"C01528 ")</f>
        <v xml:space="preserve">C01528 </v>
      </c>
      <c r="D431" s="4" t="str">
        <f ca="1">IFERROR(__xludf.DUMMYFUNCTION("""COMPUTED_VALUE""")," 3 C00006 ")</f>
        <v xml:space="preserve"> 3 C00006 </v>
      </c>
      <c r="E431" s="4" t="str">
        <f ca="1">IFERROR(__xludf.DUMMYFUNCTION("""COMPUTED_VALUE""")," 3 C00001")</f>
        <v xml:space="preserve"> 3 C00001</v>
      </c>
      <c r="F431" s="4"/>
    </row>
    <row r="432" spans="1:6" ht="14">
      <c r="A432" s="22" t="s">
        <v>16172</v>
      </c>
      <c r="C432" s="4" t="str">
        <f ca="1">IFERROR(__xludf.DUMMYFUNCTION("""COMPUTED_VALUE"""),"C01612 ")</f>
        <v xml:space="preserve">C01612 </v>
      </c>
      <c r="D432" s="4" t="str">
        <f ca="1">IFERROR(__xludf.DUMMYFUNCTION("""COMPUTED_VALUE""")," C00003")</f>
        <v xml:space="preserve"> C00003</v>
      </c>
      <c r="E432" s="4"/>
      <c r="F432" s="4"/>
    </row>
    <row r="433" spans="1:6" ht="14">
      <c r="A433" s="22" t="s">
        <v>16173</v>
      </c>
      <c r="C433" s="4" t="str">
        <f ca="1">IFERROR(__xludf.DUMMYFUNCTION("""COMPUTED_VALUE"""),"C01613 ")</f>
        <v xml:space="preserve">C01613 </v>
      </c>
      <c r="D433" s="4" t="str">
        <f ca="1">IFERROR(__xludf.DUMMYFUNCTION("""COMPUTED_VALUE""")," C00001")</f>
        <v xml:space="preserve"> C00001</v>
      </c>
      <c r="E433" s="4"/>
      <c r="F433" s="4"/>
    </row>
    <row r="434" spans="1:6" ht="14">
      <c r="A434" s="22" t="s">
        <v>16174</v>
      </c>
      <c r="C434" s="4" t="str">
        <f ca="1">IFERROR(__xludf.DUMMYFUNCTION("""COMPUTED_VALUE"""),"C01613 ")</f>
        <v xml:space="preserve">C01613 </v>
      </c>
      <c r="D434" s="4" t="str">
        <f ca="1">IFERROR(__xludf.DUMMYFUNCTION("""COMPUTED_VALUE""")," C00001")</f>
        <v xml:space="preserve"> C00001</v>
      </c>
      <c r="E434" s="4"/>
      <c r="F434" s="4"/>
    </row>
    <row r="435" spans="1:6" ht="14">
      <c r="A435" s="22" t="s">
        <v>16175</v>
      </c>
      <c r="C435" s="4" t="str">
        <f ca="1">IFERROR(__xludf.DUMMYFUNCTION("""COMPUTED_VALUE"""),"C01638 ")</f>
        <v xml:space="preserve">C01638 </v>
      </c>
      <c r="D435" s="4" t="str">
        <f ca="1">IFERROR(__xludf.DUMMYFUNCTION("""COMPUTED_VALUE""")," C00049 ")</f>
        <v xml:space="preserve"> C00049 </v>
      </c>
      <c r="E435" s="4" t="str">
        <f ca="1">IFERROR(__xludf.DUMMYFUNCTION("""COMPUTED_VALUE""")," C00002")</f>
        <v xml:space="preserve"> C00002</v>
      </c>
      <c r="F435" s="4"/>
    </row>
    <row r="436" spans="1:6" ht="14">
      <c r="A436" s="22" t="s">
        <v>16176</v>
      </c>
      <c r="C436" s="4" t="str">
        <f ca="1">IFERROR(__xludf.DUMMYFUNCTION("""COMPUTED_VALUE"""),"C01641 ")</f>
        <v xml:space="preserve">C01641 </v>
      </c>
      <c r="D436" s="4" t="str">
        <f ca="1">IFERROR(__xludf.DUMMYFUNCTION("""COMPUTED_VALUE""")," C00025 ")</f>
        <v xml:space="preserve"> C00025 </v>
      </c>
      <c r="E436" s="4" t="str">
        <f ca="1">IFERROR(__xludf.DUMMYFUNCTION("""COMPUTED_VALUE""")," C00002")</f>
        <v xml:space="preserve"> C00002</v>
      </c>
      <c r="F436" s="4"/>
    </row>
    <row r="437" spans="1:6" ht="14">
      <c r="A437" s="22" t="s">
        <v>16177</v>
      </c>
      <c r="C437" s="4" t="str">
        <f ca="1">IFERROR(__xludf.DUMMYFUNCTION("""COMPUTED_VALUE"""),"C01832 ")</f>
        <v xml:space="preserve">C01832 </v>
      </c>
      <c r="D437" s="4" t="str">
        <f ca="1">IFERROR(__xludf.DUMMYFUNCTION("""COMPUTED_VALUE""")," C00024")</f>
        <v xml:space="preserve"> C00024</v>
      </c>
      <c r="E437" s="4"/>
      <c r="F437" s="4"/>
    </row>
    <row r="438" spans="1:6" ht="14">
      <c r="A438" s="22" t="s">
        <v>16178</v>
      </c>
      <c r="C438" s="4" t="str">
        <f ca="1">IFERROR(__xludf.DUMMYFUNCTION("""COMPUTED_VALUE"""),"C01929 ")</f>
        <v xml:space="preserve">C01929 </v>
      </c>
      <c r="D438" s="4" t="str">
        <f ca="1">IFERROR(__xludf.DUMMYFUNCTION("""COMPUTED_VALUE""")," C00001 ")</f>
        <v xml:space="preserve"> C00001 </v>
      </c>
      <c r="E438" s="4" t="str">
        <f ca="1">IFERROR(__xludf.DUMMYFUNCTION("""COMPUTED_VALUE""")," C00003")</f>
        <v xml:space="preserve"> C00003</v>
      </c>
      <c r="F438" s="4"/>
    </row>
    <row r="439" spans="1:6" ht="14">
      <c r="A439" s="22" t="s">
        <v>16179</v>
      </c>
      <c r="C439" s="4" t="str">
        <f ca="1">IFERROR(__xludf.DUMMYFUNCTION("""COMPUTED_VALUE"""),"C01944 ")</f>
        <v xml:space="preserve">C01944 </v>
      </c>
      <c r="D439" s="4" t="str">
        <f ca="1">IFERROR(__xludf.DUMMYFUNCTION("""COMPUTED_VALUE""")," C00024")</f>
        <v xml:space="preserve"> C00024</v>
      </c>
      <c r="E439" s="4"/>
      <c r="F439" s="4"/>
    </row>
    <row r="440" spans="1:6" ht="14">
      <c r="A440" s="22" t="s">
        <v>16180</v>
      </c>
      <c r="C440" s="4" t="str">
        <f ca="1">IFERROR(__xludf.DUMMYFUNCTION("""COMPUTED_VALUE"""),"C01977 ")</f>
        <v xml:space="preserve">C01977 </v>
      </c>
      <c r="D440" s="4" t="str">
        <f ca="1">IFERROR(__xludf.DUMMYFUNCTION("""COMPUTED_VALUE""")," C16675")</f>
        <v xml:space="preserve"> C16675</v>
      </c>
      <c r="E440" s="4"/>
      <c r="F440" s="4"/>
    </row>
    <row r="441" spans="1:6" ht="14">
      <c r="A441" s="22" t="s">
        <v>16181</v>
      </c>
      <c r="C441" s="4" t="str">
        <f ca="1">IFERROR(__xludf.DUMMYFUNCTION("""COMPUTED_VALUE"""),"C01978 ")</f>
        <v xml:space="preserve">C01978 </v>
      </c>
      <c r="D441" s="4" t="str">
        <f ca="1">IFERROR(__xludf.DUMMYFUNCTION("""COMPUTED_VALUE""")," C00028 ")</f>
        <v xml:space="preserve"> C00028 </v>
      </c>
      <c r="E441" s="4" t="str">
        <f ca="1">IFERROR(__xludf.DUMMYFUNCTION("""COMPUTED_VALUE""")," C00001")</f>
        <v xml:space="preserve"> C00001</v>
      </c>
      <c r="F441" s="4"/>
    </row>
    <row r="442" spans="1:6" ht="14">
      <c r="A442" s="22" t="s">
        <v>16182</v>
      </c>
      <c r="C442" s="4" t="str">
        <f ca="1">IFERROR(__xludf.DUMMYFUNCTION("""COMPUTED_VALUE"""),"C02211 ")</f>
        <v xml:space="preserve">C02211 </v>
      </c>
      <c r="D442" s="4" t="str">
        <f ca="1">IFERROR(__xludf.DUMMYFUNCTION("""COMPUTED_VALUE""")," 2 C00063 ")</f>
        <v xml:space="preserve"> 2 C00063 </v>
      </c>
      <c r="E442" s="4" t="str">
        <f ca="1">IFERROR(__xludf.DUMMYFUNCTION("""COMPUTED_VALUE""")," C00002")</f>
        <v xml:space="preserve"> C00002</v>
      </c>
      <c r="F442" s="4"/>
    </row>
    <row r="443" spans="1:6" ht="14">
      <c r="A443" s="22" t="s">
        <v>16183</v>
      </c>
      <c r="C443" s="4" t="str">
        <f ca="1">IFERROR(__xludf.DUMMYFUNCTION("""COMPUTED_VALUE"""),"C02211 ")</f>
        <v xml:space="preserve">C02211 </v>
      </c>
      <c r="D443" s="4" t="str">
        <f ca="1">IFERROR(__xludf.DUMMYFUNCTION("""COMPUTED_VALUE""")," C00063")</f>
        <v xml:space="preserve"> C00063</v>
      </c>
      <c r="E443" s="4"/>
      <c r="F443" s="4"/>
    </row>
    <row r="444" spans="1:6" ht="14">
      <c r="A444" s="22" t="s">
        <v>16184</v>
      </c>
      <c r="C444" s="4" t="str">
        <f ca="1">IFERROR(__xludf.DUMMYFUNCTION("""COMPUTED_VALUE"""),"C02218")</f>
        <v>C02218</v>
      </c>
      <c r="D444" s="4"/>
      <c r="E444" s="4"/>
      <c r="F444" s="4"/>
    </row>
    <row r="445" spans="1:6" ht="12.5">
      <c r="A445" s="2" t="s">
        <v>16185</v>
      </c>
      <c r="C445" s="4" t="str">
        <f ca="1">IFERROR(__xludf.DUMMYFUNCTION("""COMPUTED_VALUE"""),"C02291 ")</f>
        <v xml:space="preserve">C02291 </v>
      </c>
      <c r="D445" s="4" t="str">
        <f ca="1">IFERROR(__xludf.DUMMYFUNCTION("""COMPUTED_VALUE""")," C00001")</f>
        <v xml:space="preserve"> C00001</v>
      </c>
      <c r="E445" s="4"/>
      <c r="F445" s="4"/>
    </row>
    <row r="446" spans="1:6" ht="14">
      <c r="A446" s="22" t="s">
        <v>16186</v>
      </c>
      <c r="C446" s="4" t="str">
        <f ca="1">IFERROR(__xludf.DUMMYFUNCTION("""COMPUTED_VALUE"""),"C02356 ")</f>
        <v xml:space="preserve">C02356 </v>
      </c>
      <c r="D446" s="4" t="str">
        <f ca="1">IFERROR(__xludf.DUMMYFUNCTION("""COMPUTED_VALUE""")," C00026")</f>
        <v xml:space="preserve"> C00026</v>
      </c>
      <c r="E446" s="4"/>
      <c r="F446" s="4"/>
    </row>
    <row r="447" spans="1:6" ht="12.5">
      <c r="A447" s="4" t="s">
        <v>12740</v>
      </c>
      <c r="C447" s="4" t="str">
        <f ca="1">IFERROR(__xludf.DUMMYFUNCTION("""COMPUTED_VALUE"""),"C02430 ")</f>
        <v xml:space="preserve">C02430 </v>
      </c>
      <c r="D447" s="4" t="str">
        <f ca="1">IFERROR(__xludf.DUMMYFUNCTION("""COMPUTED_VALUE""")," C00234")</f>
        <v xml:space="preserve"> C00234</v>
      </c>
      <c r="E447" s="4"/>
      <c r="F447" s="4"/>
    </row>
    <row r="448" spans="1:6" ht="14">
      <c r="A448" s="22" t="s">
        <v>16187</v>
      </c>
      <c r="C448" s="4" t="str">
        <f ca="1">IFERROR(__xludf.DUMMYFUNCTION("""COMPUTED_VALUE"""),"C02501")</f>
        <v>C02501</v>
      </c>
      <c r="D448" s="4"/>
      <c r="E448" s="4"/>
      <c r="F448" s="4"/>
    </row>
    <row r="449" spans="1:6" ht="12.5">
      <c r="A449" s="2" t="s">
        <v>16188</v>
      </c>
      <c r="C449" s="4" t="str">
        <f ca="1">IFERROR(__xludf.DUMMYFUNCTION("""COMPUTED_VALUE"""),"C02505 ")</f>
        <v xml:space="preserve">C02505 </v>
      </c>
      <c r="D449" s="4" t="str">
        <f ca="1">IFERROR(__xludf.DUMMYFUNCTION("""COMPUTED_VALUE""")," C00001")</f>
        <v xml:space="preserve"> C00001</v>
      </c>
      <c r="E449" s="4"/>
      <c r="F449" s="4"/>
    </row>
    <row r="450" spans="1:6" ht="14">
      <c r="A450" s="22" t="s">
        <v>16189</v>
      </c>
      <c r="C450" s="4" t="str">
        <f ca="1">IFERROR(__xludf.DUMMYFUNCTION("""COMPUTED_VALUE"""),"C02520 ")</f>
        <v xml:space="preserve">C02520 </v>
      </c>
      <c r="D450" s="4" t="str">
        <f ca="1">IFERROR(__xludf.DUMMYFUNCTION("""COMPUTED_VALUE""")," C00001")</f>
        <v xml:space="preserve"> C00001</v>
      </c>
      <c r="E450" s="4"/>
      <c r="F450" s="4"/>
    </row>
    <row r="451" spans="1:6" ht="14">
      <c r="A451" s="22" t="s">
        <v>16190</v>
      </c>
      <c r="C451" s="4" t="str">
        <f ca="1">IFERROR(__xludf.DUMMYFUNCTION("""COMPUTED_VALUE"""),"C02538 ")</f>
        <v xml:space="preserve">C02538 </v>
      </c>
      <c r="D451" s="4" t="str">
        <f ca="1">IFERROR(__xludf.DUMMYFUNCTION("""COMPUTED_VALUE""")," C00001")</f>
        <v xml:space="preserve"> C00001</v>
      </c>
      <c r="E451" s="4"/>
      <c r="F451" s="4"/>
    </row>
    <row r="452" spans="1:6" ht="14">
      <c r="A452" s="22" t="s">
        <v>16191</v>
      </c>
      <c r="C452" s="4" t="str">
        <f ca="1">IFERROR(__xludf.DUMMYFUNCTION("""COMPUTED_VALUE"""),"C02583 ")</f>
        <v xml:space="preserve">C02583 </v>
      </c>
      <c r="D452" s="4" t="str">
        <f ca="1">IFERROR(__xludf.DUMMYFUNCTION("""COMPUTED_VALUE""")," C00019")</f>
        <v xml:space="preserve"> C00019</v>
      </c>
      <c r="E452" s="4"/>
      <c r="F452" s="4"/>
    </row>
    <row r="453" spans="1:6" ht="14">
      <c r="A453" s="22" t="s">
        <v>16192</v>
      </c>
      <c r="C453" s="4" t="str">
        <f ca="1">IFERROR(__xludf.DUMMYFUNCTION("""COMPUTED_VALUE"""),"C02593 ")</f>
        <v xml:space="preserve">C02593 </v>
      </c>
      <c r="D453" s="4" t="str">
        <f ca="1">IFERROR(__xludf.DUMMYFUNCTION("""COMPUTED_VALUE""")," C00024")</f>
        <v xml:space="preserve"> C00024</v>
      </c>
      <c r="E453" s="4"/>
      <c r="F453" s="4"/>
    </row>
    <row r="454" spans="1:6" ht="14">
      <c r="A454" s="22" t="s">
        <v>16193</v>
      </c>
      <c r="C454" s="4" t="str">
        <f ca="1">IFERROR(__xludf.DUMMYFUNCTION("""COMPUTED_VALUE"""),"C02637 ")</f>
        <v xml:space="preserve">C02637 </v>
      </c>
      <c r="D454" s="4" t="str">
        <f ca="1">IFERROR(__xludf.DUMMYFUNCTION("""COMPUTED_VALUE""")," C00006")</f>
        <v xml:space="preserve"> C00006</v>
      </c>
      <c r="E454" s="4"/>
      <c r="F454" s="4"/>
    </row>
    <row r="455" spans="1:6" ht="14">
      <c r="A455" s="22" t="s">
        <v>16194</v>
      </c>
      <c r="C455" s="4" t="str">
        <f ca="1">IFERROR(__xludf.DUMMYFUNCTION("""COMPUTED_VALUE"""),"C02693 ")</f>
        <v xml:space="preserve">C02693 </v>
      </c>
      <c r="D455" s="4" t="str">
        <f ca="1">IFERROR(__xludf.DUMMYFUNCTION("""COMPUTED_VALUE""")," C00001")</f>
        <v xml:space="preserve"> C00001</v>
      </c>
      <c r="E455" s="4"/>
      <c r="F455" s="4"/>
    </row>
    <row r="456" spans="1:6" ht="14">
      <c r="A456" s="22" t="s">
        <v>16195</v>
      </c>
      <c r="C456" s="4" t="str">
        <f ca="1">IFERROR(__xludf.DUMMYFUNCTION("""COMPUTED_VALUE"""),"C02730 ")</f>
        <v xml:space="preserve">C02730 </v>
      </c>
      <c r="D456" s="4" t="str">
        <f ca="1">IFERROR(__xludf.DUMMYFUNCTION("""COMPUTED_VALUE""")," C00001")</f>
        <v xml:space="preserve"> C00001</v>
      </c>
      <c r="E456" s="4"/>
      <c r="F456" s="4"/>
    </row>
    <row r="457" spans="1:6" ht="14">
      <c r="A457" s="22" t="s">
        <v>16196</v>
      </c>
      <c r="C457" s="4" t="str">
        <f ca="1">IFERROR(__xludf.DUMMYFUNCTION("""COMPUTED_VALUE"""),"C02739 ")</f>
        <v xml:space="preserve">C02739 </v>
      </c>
      <c r="D457" s="4" t="str">
        <f ca="1">IFERROR(__xludf.DUMMYFUNCTION("""COMPUTED_VALUE""")," C00001")</f>
        <v xml:space="preserve"> C00001</v>
      </c>
      <c r="E457" s="4"/>
      <c r="F457" s="4"/>
    </row>
    <row r="458" spans="1:6" ht="14">
      <c r="A458" s="22" t="s">
        <v>16197</v>
      </c>
      <c r="C458" s="4" t="str">
        <f ca="1">IFERROR(__xludf.DUMMYFUNCTION("""COMPUTED_VALUE"""),"C02739 ")</f>
        <v xml:space="preserve">C02739 </v>
      </c>
      <c r="D458" s="4" t="str">
        <f ca="1">IFERROR(__xludf.DUMMYFUNCTION("""COMPUTED_VALUE""")," C00013")</f>
        <v xml:space="preserve"> C00013</v>
      </c>
      <c r="E458" s="4"/>
      <c r="F458" s="4"/>
    </row>
    <row r="459" spans="1:6" ht="14">
      <c r="A459" s="22" t="s">
        <v>16198</v>
      </c>
      <c r="C459" s="4" t="str">
        <f ca="1">IFERROR(__xludf.DUMMYFUNCTION("""COMPUTED_VALUE"""),"C02741 ")</f>
        <v xml:space="preserve">C02741 </v>
      </c>
      <c r="D459" s="4" t="str">
        <f ca="1">IFERROR(__xludf.DUMMYFUNCTION("""COMPUTED_VALUE""")," C00001")</f>
        <v xml:space="preserve"> C00001</v>
      </c>
      <c r="E459" s="4"/>
      <c r="F459" s="4"/>
    </row>
    <row r="460" spans="1:6" ht="14">
      <c r="A460" s="22" t="s">
        <v>16199</v>
      </c>
      <c r="C460" s="4" t="str">
        <f ca="1">IFERROR(__xludf.DUMMYFUNCTION("""COMPUTED_VALUE"""),"C02749 ")</f>
        <v xml:space="preserve">C02749 </v>
      </c>
      <c r="D460" s="4" t="str">
        <f ca="1">IFERROR(__xludf.DUMMYFUNCTION("""COMPUTED_VALUE""")," C00001")</f>
        <v xml:space="preserve"> C00001</v>
      </c>
      <c r="E460" s="4"/>
      <c r="F460" s="4"/>
    </row>
    <row r="461" spans="1:6" ht="14">
      <c r="A461" s="22" t="s">
        <v>16200</v>
      </c>
      <c r="C461" s="4" t="str">
        <f ca="1">IFERROR(__xludf.DUMMYFUNCTION("""COMPUTED_VALUE"""),"C02882 ")</f>
        <v xml:space="preserve">C02882 </v>
      </c>
      <c r="D461" s="4" t="str">
        <f ca="1">IFERROR(__xludf.DUMMYFUNCTION("""COMPUTED_VALUE""")," C00001")</f>
        <v xml:space="preserve"> C00001</v>
      </c>
      <c r="E461" s="4"/>
      <c r="F461" s="4"/>
    </row>
    <row r="462" spans="1:6" ht="14">
      <c r="A462" s="22" t="s">
        <v>16201</v>
      </c>
      <c r="C462" s="4" t="str">
        <f ca="1">IFERROR(__xludf.DUMMYFUNCTION("""COMPUTED_VALUE"""),"C02882 ")</f>
        <v xml:space="preserve">C02882 </v>
      </c>
      <c r="D462" s="4" t="str">
        <f ca="1">IFERROR(__xludf.DUMMYFUNCTION("""COMPUTED_VALUE""")," C00001")</f>
        <v xml:space="preserve"> C00001</v>
      </c>
      <c r="E462" s="4"/>
      <c r="F462" s="4"/>
    </row>
    <row r="463" spans="1:6" ht="14">
      <c r="A463" s="22" t="s">
        <v>16202</v>
      </c>
      <c r="C463" s="4" t="str">
        <f ca="1">IFERROR(__xludf.DUMMYFUNCTION("""COMPUTED_VALUE"""),"C02909 ")</f>
        <v xml:space="preserve">C02909 </v>
      </c>
      <c r="D463" s="4" t="str">
        <f ca="1">IFERROR(__xludf.DUMMYFUNCTION("""COMPUTED_VALUE""")," C00003")</f>
        <v xml:space="preserve"> C00003</v>
      </c>
      <c r="E463" s="4"/>
      <c r="F463" s="4"/>
    </row>
    <row r="464" spans="1:6" ht="14">
      <c r="A464" s="22" t="s">
        <v>16203</v>
      </c>
      <c r="C464" s="4" t="str">
        <f ca="1">IFERROR(__xludf.DUMMYFUNCTION("""COMPUTED_VALUE"""),"C02962")</f>
        <v>C02962</v>
      </c>
      <c r="D464" s="4"/>
      <c r="E464" s="4"/>
      <c r="F464" s="4"/>
    </row>
    <row r="465" spans="1:6" ht="12.5">
      <c r="A465" s="2" t="s">
        <v>16204</v>
      </c>
      <c r="C465" s="4" t="str">
        <f ca="1">IFERROR(__xludf.DUMMYFUNCTION("""COMPUTED_VALUE"""),"C02972 ")</f>
        <v xml:space="preserve">C02972 </v>
      </c>
      <c r="D465" s="4" t="str">
        <f ca="1">IFERROR(__xludf.DUMMYFUNCTION("""COMPUTED_VALUE""")," C00003")</f>
        <v xml:space="preserve"> C00003</v>
      </c>
      <c r="E465" s="4"/>
      <c r="F465" s="4"/>
    </row>
    <row r="466" spans="1:6" ht="14">
      <c r="A466" s="22" t="s">
        <v>16205</v>
      </c>
      <c r="C466" s="4" t="str">
        <f ca="1">IFERROR(__xludf.DUMMYFUNCTION("""COMPUTED_VALUE"""),"C02999 ")</f>
        <v xml:space="preserve">C02999 </v>
      </c>
      <c r="D466" s="4" t="str">
        <f ca="1">IFERROR(__xludf.DUMMYFUNCTION("""COMPUTED_VALUE""")," C00001")</f>
        <v xml:space="preserve"> C00001</v>
      </c>
      <c r="E466" s="4"/>
      <c r="F466" s="4"/>
    </row>
    <row r="467" spans="1:6" ht="14">
      <c r="A467" s="22" t="s">
        <v>16206</v>
      </c>
      <c r="C467" s="4" t="str">
        <f ca="1">IFERROR(__xludf.DUMMYFUNCTION("""COMPUTED_VALUE"""),"C03023 ")</f>
        <v xml:space="preserve">C03023 </v>
      </c>
      <c r="D467" s="4" t="str">
        <f ca="1">IFERROR(__xludf.DUMMYFUNCTION("""COMPUTED_VALUE""")," C00343 ")</f>
        <v xml:space="preserve"> C00343 </v>
      </c>
      <c r="E467" s="4" t="str">
        <f ca="1">IFERROR(__xludf.DUMMYFUNCTION("""COMPUTED_VALUE""")," C00001")</f>
        <v xml:space="preserve"> C00001</v>
      </c>
      <c r="F467" s="4"/>
    </row>
    <row r="468" spans="1:6" ht="14">
      <c r="A468" s="22" t="s">
        <v>16207</v>
      </c>
      <c r="C468" s="4" t="str">
        <f ca="1">IFERROR(__xludf.DUMMYFUNCTION("""COMPUTED_VALUE"""),"C03023 ")</f>
        <v xml:space="preserve">C03023 </v>
      </c>
      <c r="D468" s="4" t="str">
        <f ca="1">IFERROR(__xludf.DUMMYFUNCTION("""COMPUTED_VALUE""")," C00343 ")</f>
        <v xml:space="preserve"> C00343 </v>
      </c>
      <c r="E468" s="4" t="str">
        <f ca="1">IFERROR(__xludf.DUMMYFUNCTION("""COMPUTED_VALUE""")," C00001")</f>
        <v xml:space="preserve"> C00001</v>
      </c>
      <c r="F468" s="4"/>
    </row>
    <row r="469" spans="1:6" ht="14">
      <c r="A469" s="22" t="s">
        <v>16208</v>
      </c>
      <c r="C469" s="4" t="str">
        <f ca="1">IFERROR(__xludf.DUMMYFUNCTION("""COMPUTED_VALUE"""),"C03078 ")</f>
        <v xml:space="preserve">C03078 </v>
      </c>
      <c r="D469" s="4" t="str">
        <f ca="1">IFERROR(__xludf.DUMMYFUNCTION("""COMPUTED_VALUE""")," C00001")</f>
        <v xml:space="preserve"> C00001</v>
      </c>
      <c r="E469" s="4"/>
      <c r="F469" s="4"/>
    </row>
    <row r="470" spans="1:6" ht="14">
      <c r="A470" s="22" t="s">
        <v>16209</v>
      </c>
      <c r="C470" s="4" t="str">
        <f ca="1">IFERROR(__xludf.DUMMYFUNCTION("""COMPUTED_VALUE"""),"C03090 ")</f>
        <v xml:space="preserve">C03090 </v>
      </c>
      <c r="D470" s="4" t="str">
        <f ca="1">IFERROR(__xludf.DUMMYFUNCTION("""COMPUTED_VALUE""")," C00013 ")</f>
        <v xml:space="preserve"> C00013 </v>
      </c>
      <c r="E470" s="4" t="str">
        <f ca="1">IFERROR(__xludf.DUMMYFUNCTION("""COMPUTED_VALUE""")," C00025")</f>
        <v xml:space="preserve"> C00025</v>
      </c>
      <c r="F470" s="4"/>
    </row>
    <row r="471" spans="1:6" ht="14">
      <c r="A471" s="22" t="s">
        <v>16210</v>
      </c>
      <c r="C471" s="4" t="str">
        <f ca="1">IFERROR(__xludf.DUMMYFUNCTION("""COMPUTED_VALUE"""),"C03169 ")</f>
        <v xml:space="preserve">C03169 </v>
      </c>
      <c r="D471" s="4" t="str">
        <f ca="1">IFERROR(__xludf.DUMMYFUNCTION("""COMPUTED_VALUE""")," C00009")</f>
        <v xml:space="preserve"> C00009</v>
      </c>
      <c r="E471" s="4"/>
      <c r="F471" s="4"/>
    </row>
    <row r="472" spans="1:6" ht="12.5">
      <c r="A472" s="4" t="s">
        <v>12676</v>
      </c>
      <c r="C472" s="4" t="str">
        <f ca="1">IFERROR(__xludf.DUMMYFUNCTION("""COMPUTED_VALUE"""),"C03195")</f>
        <v>C03195</v>
      </c>
      <c r="D472" s="4"/>
      <c r="E472" s="4"/>
      <c r="F472" s="4"/>
    </row>
    <row r="473" spans="1:6" ht="12.5">
      <c r="A473" s="2" t="s">
        <v>16211</v>
      </c>
      <c r="C473" s="4" t="str">
        <f ca="1">IFERROR(__xludf.DUMMYFUNCTION("""COMPUTED_VALUE"""),"C03356")</f>
        <v>C03356</v>
      </c>
      <c r="D473" s="4"/>
      <c r="E473" s="4"/>
      <c r="F473" s="4"/>
    </row>
    <row r="474" spans="1:6" ht="12.5">
      <c r="A474" s="2" t="s">
        <v>16212</v>
      </c>
      <c r="C474" s="4" t="str">
        <f ca="1">IFERROR(__xludf.DUMMYFUNCTION("""COMPUTED_VALUE"""),"C03406")</f>
        <v>C03406</v>
      </c>
      <c r="D474" s="4"/>
      <c r="E474" s="4"/>
      <c r="F474" s="4"/>
    </row>
    <row r="475" spans="1:6" ht="12.5">
      <c r="A475" s="2" t="s">
        <v>16213</v>
      </c>
      <c r="C475" s="4" t="str">
        <f ca="1">IFERROR(__xludf.DUMMYFUNCTION("""COMPUTED_VALUE"""),"C03506")</f>
        <v>C03506</v>
      </c>
      <c r="D475" s="4"/>
      <c r="E475" s="4"/>
      <c r="F475" s="4"/>
    </row>
    <row r="476" spans="1:6" ht="12.5">
      <c r="A476" s="2" t="s">
        <v>16214</v>
      </c>
      <c r="C476" s="4" t="str">
        <f ca="1">IFERROR(__xludf.DUMMYFUNCTION("""COMPUTED_VALUE"""),"C03539")</f>
        <v>C03539</v>
      </c>
      <c r="D476" s="4"/>
      <c r="E476" s="4"/>
      <c r="F476" s="4"/>
    </row>
    <row r="477" spans="1:6" ht="12.5">
      <c r="A477" s="2" t="s">
        <v>16215</v>
      </c>
      <c r="C477" s="4" t="str">
        <f ca="1">IFERROR(__xludf.DUMMYFUNCTION("""COMPUTED_VALUE"""),"C03620 ")</f>
        <v xml:space="preserve">C03620 </v>
      </c>
      <c r="D477" s="4" t="str">
        <f ca="1">IFERROR(__xludf.DUMMYFUNCTION("""COMPUTED_VALUE""")," C00001")</f>
        <v xml:space="preserve"> C00001</v>
      </c>
      <c r="E477" s="4"/>
      <c r="F477" s="4"/>
    </row>
    <row r="478" spans="1:6" ht="14">
      <c r="A478" s="22" t="s">
        <v>16216</v>
      </c>
      <c r="C478" s="4" t="str">
        <f ca="1">IFERROR(__xludf.DUMMYFUNCTION("""COMPUTED_VALUE"""),"C03794")</f>
        <v>C03794</v>
      </c>
      <c r="D478" s="4"/>
      <c r="E478" s="4"/>
      <c r="F478" s="4"/>
    </row>
    <row r="479" spans="1:6" ht="12.5">
      <c r="A479" s="2" t="s">
        <v>16217</v>
      </c>
      <c r="C479" s="4" t="str">
        <f ca="1">IFERROR(__xludf.DUMMYFUNCTION("""COMPUTED_VALUE"""),"C03798")</f>
        <v>C03798</v>
      </c>
      <c r="D479" s="4"/>
      <c r="E479" s="4"/>
      <c r="F479" s="4"/>
    </row>
    <row r="480" spans="1:6" ht="12.5">
      <c r="A480" s="2" t="s">
        <v>16218</v>
      </c>
      <c r="C480" s="4" t="str">
        <f ca="1">IFERROR(__xludf.DUMMYFUNCTION("""COMPUTED_VALUE"""),"C03838 ")</f>
        <v xml:space="preserve">C03838 </v>
      </c>
      <c r="D480" s="4" t="str">
        <f ca="1">IFERROR(__xludf.DUMMYFUNCTION("""COMPUTED_VALUE""")," C00445 ")</f>
        <v xml:space="preserve"> C00445 </v>
      </c>
      <c r="E480" s="4" t="str">
        <f ca="1">IFERROR(__xludf.DUMMYFUNCTION("""COMPUTED_VALUE""")," C00001")</f>
        <v xml:space="preserve"> C00001</v>
      </c>
      <c r="F480" s="4"/>
    </row>
    <row r="481" spans="1:6" ht="14">
      <c r="A481" s="22" t="s">
        <v>16219</v>
      </c>
      <c r="C481" s="4" t="str">
        <f ca="1">IFERROR(__xludf.DUMMYFUNCTION("""COMPUTED_VALUE"""),"C03880 ")</f>
        <v xml:space="preserve">C03880 </v>
      </c>
      <c r="D481" s="4" t="str">
        <f ca="1">IFERROR(__xludf.DUMMYFUNCTION("""COMPUTED_VALUE""")," C00001")</f>
        <v xml:space="preserve"> C00001</v>
      </c>
      <c r="E481" s="4"/>
      <c r="F481" s="4"/>
    </row>
    <row r="482" spans="1:6" ht="14">
      <c r="A482" s="22" t="s">
        <v>16220</v>
      </c>
      <c r="C482" s="4" t="str">
        <f ca="1">IFERROR(__xludf.DUMMYFUNCTION("""COMPUTED_VALUE"""),"C03892 ")</f>
        <v xml:space="preserve">C03892 </v>
      </c>
      <c r="D482" s="4" t="str">
        <f ca="1">IFERROR(__xludf.DUMMYFUNCTION("""COMPUTED_VALUE""")," C00001")</f>
        <v xml:space="preserve"> C00001</v>
      </c>
      <c r="E482" s="4"/>
      <c r="F482" s="4"/>
    </row>
    <row r="483" spans="1:6" ht="14">
      <c r="A483" s="22" t="s">
        <v>16221</v>
      </c>
      <c r="C483" s="4" t="str">
        <f ca="1">IFERROR(__xludf.DUMMYFUNCTION("""COMPUTED_VALUE"""),"C03939 ")</f>
        <v xml:space="preserve">C03939 </v>
      </c>
      <c r="D483" s="4" t="str">
        <f ca="1">IFERROR(__xludf.DUMMYFUNCTION("""COMPUTED_VALUE""")," C01209")</f>
        <v xml:space="preserve"> C01209</v>
      </c>
      <c r="E483" s="4"/>
      <c r="F483" s="4"/>
    </row>
    <row r="484" spans="1:6" ht="14">
      <c r="A484" s="22" t="s">
        <v>16222</v>
      </c>
      <c r="C484" s="4" t="str">
        <f ca="1">IFERROR(__xludf.DUMMYFUNCTION("""COMPUTED_VALUE"""),"C03972 ")</f>
        <v xml:space="preserve">C03972 </v>
      </c>
      <c r="D484" s="4" t="str">
        <f ca="1">IFERROR(__xludf.DUMMYFUNCTION("""COMPUTED_VALUE""")," C00003 ")</f>
        <v xml:space="preserve"> C00003 </v>
      </c>
      <c r="E484" s="4" t="str">
        <f ca="1">IFERROR(__xludf.DUMMYFUNCTION("""COMPUTED_VALUE""")," C00001")</f>
        <v xml:space="preserve"> C00001</v>
      </c>
      <c r="F484" s="4"/>
    </row>
    <row r="485" spans="1:6" ht="14">
      <c r="A485" s="22" t="s">
        <v>16223</v>
      </c>
      <c r="C485" s="4" t="str">
        <f ca="1">IFERROR(__xludf.DUMMYFUNCTION("""COMPUTED_VALUE"""),"C03972 ")</f>
        <v xml:space="preserve">C03972 </v>
      </c>
      <c r="D485" s="4" t="str">
        <f ca="1">IFERROR(__xludf.DUMMYFUNCTION("""COMPUTED_VALUE""")," C00006 ")</f>
        <v xml:space="preserve"> C00006 </v>
      </c>
      <c r="E485" s="4" t="str">
        <f ca="1">IFERROR(__xludf.DUMMYFUNCTION("""COMPUTED_VALUE""")," C00001")</f>
        <v xml:space="preserve"> C00001</v>
      </c>
      <c r="F485" s="4"/>
    </row>
    <row r="486" spans="1:6" ht="14">
      <c r="A486" s="22" t="s">
        <v>16224</v>
      </c>
      <c r="C486" s="4" t="str">
        <f ca="1">IFERROR(__xludf.DUMMYFUNCTION("""COMPUTED_VALUE"""),"C03972 ")</f>
        <v xml:space="preserve">C03972 </v>
      </c>
      <c r="D486" s="4" t="str">
        <f ca="1">IFERROR(__xludf.DUMMYFUNCTION("""COMPUTED_VALUE""")," C00024 ")</f>
        <v xml:space="preserve"> C00024 </v>
      </c>
      <c r="E486" s="4" t="str">
        <f ca="1">IFERROR(__xludf.DUMMYFUNCTION("""COMPUTED_VALUE""")," C00001")</f>
        <v xml:space="preserve"> C00001</v>
      </c>
      <c r="F486" s="4"/>
    </row>
    <row r="487" spans="1:6" ht="14">
      <c r="A487" s="22" t="s">
        <v>16225</v>
      </c>
      <c r="C487" s="4" t="str">
        <f ca="1">IFERROR(__xludf.DUMMYFUNCTION("""COMPUTED_VALUE"""),"C04232 ")</f>
        <v xml:space="preserve">C04232 </v>
      </c>
      <c r="D487" s="4" t="str">
        <f ca="1">IFERROR(__xludf.DUMMYFUNCTION("""COMPUTED_VALUE""")," C00343 ")</f>
        <v xml:space="preserve"> C00343 </v>
      </c>
      <c r="E487" s="4" t="str">
        <f ca="1">IFERROR(__xludf.DUMMYFUNCTION("""COMPUTED_VALUE""")," C00001")</f>
        <v xml:space="preserve"> C00001</v>
      </c>
      <c r="F487" s="4"/>
    </row>
    <row r="488" spans="1:6" ht="14">
      <c r="A488" s="22" t="s">
        <v>16226</v>
      </c>
      <c r="C488" s="4" t="str">
        <f ca="1">IFERROR(__xludf.DUMMYFUNCTION("""COMPUTED_VALUE"""),"C04232 ")</f>
        <v xml:space="preserve">C04232 </v>
      </c>
      <c r="D488" s="4" t="str">
        <f ca="1">IFERROR(__xludf.DUMMYFUNCTION("""COMPUTED_VALUE""")," C03170 ")</f>
        <v xml:space="preserve"> C03170 </v>
      </c>
      <c r="E488" s="4" t="str">
        <f ca="1">IFERROR(__xludf.DUMMYFUNCTION("""COMPUTED_VALUE""")," C00001")</f>
        <v xml:space="preserve"> C00001</v>
      </c>
      <c r="F488" s="4"/>
    </row>
    <row r="489" spans="1:6" ht="14">
      <c r="A489" s="22" t="s">
        <v>16227</v>
      </c>
      <c r="C489" s="4" t="str">
        <f ca="1">IFERROR(__xludf.DUMMYFUNCTION("""COMPUTED_VALUE"""),"C04232 ")</f>
        <v xml:space="preserve">C04232 </v>
      </c>
      <c r="D489" s="4" t="str">
        <f ca="1">IFERROR(__xludf.DUMMYFUNCTION("""COMPUTED_VALUE""")," C16664 ")</f>
        <v xml:space="preserve"> C16664 </v>
      </c>
      <c r="E489" s="4" t="str">
        <f ca="1">IFERROR(__xludf.DUMMYFUNCTION("""COMPUTED_VALUE""")," C00001")</f>
        <v xml:space="preserve"> C00001</v>
      </c>
      <c r="F489" s="4"/>
    </row>
    <row r="490" spans="1:6" ht="14">
      <c r="A490" s="22" t="s">
        <v>16228</v>
      </c>
      <c r="C490" s="4" t="str">
        <f ca="1">IFERROR(__xludf.DUMMYFUNCTION("""COMPUTED_VALUE"""),"C04250 ")</f>
        <v xml:space="preserve">C04250 </v>
      </c>
      <c r="D490" s="4" t="str">
        <f ca="1">IFERROR(__xludf.DUMMYFUNCTION("""COMPUTED_VALUE""")," C02743")</f>
        <v xml:space="preserve"> C02743</v>
      </c>
      <c r="E490" s="4"/>
      <c r="F490" s="4"/>
    </row>
    <row r="491" spans="1:6" ht="14">
      <c r="A491" s="22" t="s">
        <v>16229</v>
      </c>
      <c r="C491" s="4" t="str">
        <f ca="1">IFERROR(__xludf.DUMMYFUNCTION("""COMPUTED_VALUE"""),"C04258 ")</f>
        <v xml:space="preserve">C04258 </v>
      </c>
      <c r="D491" s="4" t="str">
        <f ca="1">IFERROR(__xludf.DUMMYFUNCTION("""COMPUTED_VALUE""")," C00001")</f>
        <v xml:space="preserve"> C00001</v>
      </c>
      <c r="E491" s="4"/>
      <c r="F491" s="4"/>
    </row>
    <row r="492" spans="1:6" ht="14">
      <c r="A492" s="22" t="s">
        <v>16230</v>
      </c>
      <c r="C492" s="4" t="str">
        <f ca="1">IFERROR(__xludf.DUMMYFUNCTION("""COMPUTED_VALUE"""),"C04261 ")</f>
        <v xml:space="preserve">C04261 </v>
      </c>
      <c r="D492" s="4" t="str">
        <f ca="1">IFERROR(__xludf.DUMMYFUNCTION("""COMPUTED_VALUE""")," C00392")</f>
        <v xml:space="preserve"> C00392</v>
      </c>
      <c r="E492" s="4"/>
      <c r="F492" s="4"/>
    </row>
    <row r="493" spans="1:6" ht="14">
      <c r="A493" s="22" t="s">
        <v>16231</v>
      </c>
      <c r="C493" s="4" t="str">
        <f ca="1">IFERROR(__xludf.DUMMYFUNCTION("""COMPUTED_VALUE"""),"C04287 ")</f>
        <v xml:space="preserve">C04287 </v>
      </c>
      <c r="D493" s="4" t="str">
        <f ca="1">IFERROR(__xludf.DUMMYFUNCTION("""COMPUTED_VALUE""")," C00001")</f>
        <v xml:space="preserve"> C00001</v>
      </c>
      <c r="E493" s="4"/>
      <c r="F493" s="4"/>
    </row>
    <row r="494" spans="1:6" ht="14">
      <c r="A494" s="22" t="s">
        <v>16232</v>
      </c>
      <c r="C494" s="4" t="str">
        <f ca="1">IFERROR(__xludf.DUMMYFUNCTION("""COMPUTED_VALUE"""),"C04302 ")</f>
        <v xml:space="preserve">C04302 </v>
      </c>
      <c r="D494" s="4" t="str">
        <f ca="1">IFERROR(__xludf.DUMMYFUNCTION("""COMPUTED_VALUE""")," C00013")</f>
        <v xml:space="preserve"> C00013</v>
      </c>
      <c r="E494" s="4"/>
      <c r="F494" s="4"/>
    </row>
    <row r="495" spans="1:6" ht="14">
      <c r="A495" s="22" t="s">
        <v>16233</v>
      </c>
      <c r="C495" s="4" t="str">
        <f ca="1">IFERROR(__xludf.DUMMYFUNCTION("""COMPUTED_VALUE"""),"C04352")</f>
        <v>C04352</v>
      </c>
      <c r="D495" s="4"/>
      <c r="E495" s="4"/>
      <c r="F495" s="4"/>
    </row>
    <row r="496" spans="1:6" ht="12.5">
      <c r="A496" s="2" t="s">
        <v>16234</v>
      </c>
      <c r="C496" s="4" t="str">
        <f ca="1">IFERROR(__xludf.DUMMYFUNCTION("""COMPUTED_VALUE"""),"C04489 ")</f>
        <v xml:space="preserve">C04489 </v>
      </c>
      <c r="D496" s="4" t="str">
        <f ca="1">IFERROR(__xludf.DUMMYFUNCTION("""COMPUTED_VALUE""")," C00155")</f>
        <v xml:space="preserve"> C00155</v>
      </c>
      <c r="E496" s="4"/>
      <c r="F496" s="4"/>
    </row>
    <row r="497" spans="1:6" ht="14">
      <c r="A497" s="22" t="s">
        <v>16235</v>
      </c>
      <c r="C497" s="4" t="str">
        <f ca="1">IFERROR(__xludf.DUMMYFUNCTION("""COMPUTED_VALUE"""),"C04494 ")</f>
        <v xml:space="preserve">C04494 </v>
      </c>
      <c r="D497" s="4" t="str">
        <f ca="1">IFERROR(__xludf.DUMMYFUNCTION("""COMPUTED_VALUE""")," C00001")</f>
        <v xml:space="preserve"> C00001</v>
      </c>
      <c r="E497" s="4"/>
      <c r="F497" s="4"/>
    </row>
    <row r="498" spans="1:6" ht="14">
      <c r="A498" s="22" t="s">
        <v>16236</v>
      </c>
      <c r="C498" s="4" t="str">
        <f ca="1">IFERROR(__xludf.DUMMYFUNCTION("""COMPUTED_VALUE"""),"C04534 ")</f>
        <v xml:space="preserve">C04534 </v>
      </c>
      <c r="D498" s="4" t="str">
        <f ca="1">IFERROR(__xludf.DUMMYFUNCTION("""COMPUTED_VALUE""")," C00001")</f>
        <v xml:space="preserve"> C00001</v>
      </c>
      <c r="E498" s="4"/>
      <c r="F498" s="4"/>
    </row>
    <row r="499" spans="1:6" ht="14">
      <c r="A499" s="22" t="s">
        <v>16237</v>
      </c>
      <c r="C499" s="4" t="str">
        <f ca="1">IFERROR(__xludf.DUMMYFUNCTION("""COMPUTED_VALUE"""),"C04574 ")</f>
        <v xml:space="preserve">C04574 </v>
      </c>
      <c r="D499" s="4" t="str">
        <f ca="1">IFERROR(__xludf.DUMMYFUNCTION("""COMPUTED_VALUE""")," C00001")</f>
        <v xml:space="preserve"> C00001</v>
      </c>
      <c r="E499" s="4"/>
      <c r="F499" s="4"/>
    </row>
    <row r="500" spans="1:6" ht="14">
      <c r="A500" s="22" t="s">
        <v>16238</v>
      </c>
      <c r="C500" s="4" t="str">
        <f ca="1">IFERROR(__xludf.DUMMYFUNCTION("""COMPUTED_VALUE"""),"C04618")</f>
        <v>C04618</v>
      </c>
      <c r="D500" s="4"/>
      <c r="E500" s="4"/>
      <c r="F500" s="4"/>
    </row>
    <row r="501" spans="1:6" ht="12.5">
      <c r="A501" s="2" t="s">
        <v>16239</v>
      </c>
      <c r="C501" s="4" t="str">
        <f ca="1">IFERROR(__xludf.DUMMYFUNCTION("""COMPUTED_VALUE"""),"C04618 ")</f>
        <v xml:space="preserve">C04618 </v>
      </c>
      <c r="D501" s="4" t="str">
        <f ca="1">IFERROR(__xludf.DUMMYFUNCTION("""COMPUTED_VALUE""")," C00006")</f>
        <v xml:space="preserve"> C00006</v>
      </c>
      <c r="E501" s="4"/>
      <c r="F501" s="4"/>
    </row>
    <row r="502" spans="1:6" ht="14">
      <c r="A502" s="22" t="s">
        <v>16240</v>
      </c>
      <c r="C502" s="4" t="str">
        <f ca="1">IFERROR(__xludf.DUMMYFUNCTION("""COMPUTED_VALUE"""),"C04619")</f>
        <v>C04619</v>
      </c>
      <c r="D502" s="4"/>
      <c r="E502" s="4"/>
      <c r="F502" s="4"/>
    </row>
    <row r="503" spans="1:6" ht="12.5">
      <c r="A503" s="2" t="s">
        <v>16241</v>
      </c>
      <c r="C503" s="4" t="str">
        <f ca="1">IFERROR(__xludf.DUMMYFUNCTION("""COMPUTED_VALUE"""),"C04619 ")</f>
        <v xml:space="preserve">C04619 </v>
      </c>
      <c r="D503" s="4" t="str">
        <f ca="1">IFERROR(__xludf.DUMMYFUNCTION("""COMPUTED_VALUE""")," C00006")</f>
        <v xml:space="preserve"> C00006</v>
      </c>
      <c r="E503" s="4"/>
      <c r="F503" s="4"/>
    </row>
    <row r="504" spans="1:6" ht="14">
      <c r="A504" s="22" t="s">
        <v>16242</v>
      </c>
      <c r="C504" s="4" t="str">
        <f ca="1">IFERROR(__xludf.DUMMYFUNCTION("""COMPUTED_VALUE"""),"C04620")</f>
        <v>C04620</v>
      </c>
      <c r="D504" s="4"/>
      <c r="E504" s="4"/>
      <c r="F504" s="4"/>
    </row>
    <row r="505" spans="1:6" ht="12.5">
      <c r="A505" s="2" t="s">
        <v>16243</v>
      </c>
      <c r="C505" s="4" t="str">
        <f ca="1">IFERROR(__xludf.DUMMYFUNCTION("""COMPUTED_VALUE"""),"C04620 ")</f>
        <v xml:space="preserve">C04620 </v>
      </c>
      <c r="D505" s="4" t="str">
        <f ca="1">IFERROR(__xludf.DUMMYFUNCTION("""COMPUTED_VALUE""")," C00006")</f>
        <v xml:space="preserve"> C00006</v>
      </c>
      <c r="E505" s="4"/>
      <c r="F505" s="4"/>
    </row>
    <row r="506" spans="1:6" ht="14">
      <c r="A506" s="22" t="s">
        <v>16244</v>
      </c>
      <c r="C506" s="4" t="str">
        <f ca="1">IFERROR(__xludf.DUMMYFUNCTION("""COMPUTED_VALUE"""),"C04633")</f>
        <v>C04633</v>
      </c>
      <c r="D506" s="4"/>
      <c r="E506" s="4"/>
      <c r="F506" s="4"/>
    </row>
    <row r="507" spans="1:6" ht="12.5">
      <c r="A507" s="2" t="s">
        <v>16245</v>
      </c>
      <c r="C507" s="4" t="str">
        <f ca="1">IFERROR(__xludf.DUMMYFUNCTION("""COMPUTED_VALUE"""),"C04633 ")</f>
        <v xml:space="preserve">C04633 </v>
      </c>
      <c r="D507" s="4" t="str">
        <f ca="1">IFERROR(__xludf.DUMMYFUNCTION("""COMPUTED_VALUE""")," C00006")</f>
        <v xml:space="preserve"> C00006</v>
      </c>
      <c r="E507" s="4"/>
      <c r="F507" s="4"/>
    </row>
    <row r="508" spans="1:6" ht="14">
      <c r="A508" s="22" t="s">
        <v>16246</v>
      </c>
      <c r="C508" s="4" t="str">
        <f ca="1">IFERROR(__xludf.DUMMYFUNCTION("""COMPUTED_VALUE"""),"C04646 ")</f>
        <v xml:space="preserve">C04646 </v>
      </c>
      <c r="D508" s="4" t="str">
        <f ca="1">IFERROR(__xludf.DUMMYFUNCTION("""COMPUTED_VALUE""")," C00003 ")</f>
        <v xml:space="preserve"> C00003 </v>
      </c>
      <c r="E508" s="4" t="str">
        <f ca="1">IFERROR(__xludf.DUMMYFUNCTION("""COMPUTED_VALUE""")," C00001")</f>
        <v xml:space="preserve"> C00001</v>
      </c>
      <c r="F508" s="4"/>
    </row>
    <row r="509" spans="1:6" ht="14">
      <c r="A509" s="22" t="s">
        <v>16247</v>
      </c>
      <c r="C509" s="4" t="str">
        <f ca="1">IFERROR(__xludf.DUMMYFUNCTION("""COMPUTED_VALUE"""),"C04666")</f>
        <v>C04666</v>
      </c>
      <c r="D509" s="4"/>
      <c r="E509" s="4"/>
      <c r="F509" s="4"/>
    </row>
    <row r="510" spans="1:6" ht="12.5">
      <c r="A510" s="2" t="s">
        <v>16248</v>
      </c>
      <c r="C510" s="4" t="str">
        <f ca="1">IFERROR(__xludf.DUMMYFUNCTION("""COMPUTED_VALUE"""),"C04677 ")</f>
        <v xml:space="preserve">C04677 </v>
      </c>
      <c r="D510" s="4" t="str">
        <f ca="1">IFERROR(__xludf.DUMMYFUNCTION("""COMPUTED_VALUE""")," C00013")</f>
        <v xml:space="preserve"> C00013</v>
      </c>
      <c r="E510" s="4"/>
      <c r="F510" s="4"/>
    </row>
    <row r="511" spans="1:6" ht="12.5">
      <c r="A511" s="4" t="s">
        <v>12686</v>
      </c>
      <c r="C511" s="4" t="str">
        <f ca="1">IFERROR(__xludf.DUMMYFUNCTION("""COMPUTED_VALUE"""),"C04688")</f>
        <v>C04688</v>
      </c>
      <c r="D511" s="4"/>
      <c r="E511" s="4"/>
      <c r="F511" s="4"/>
    </row>
    <row r="512" spans="1:6" ht="12.5">
      <c r="A512" s="2" t="s">
        <v>16249</v>
      </c>
      <c r="C512" s="4" t="str">
        <f ca="1">IFERROR(__xludf.DUMMYFUNCTION("""COMPUTED_VALUE"""),"C04688 ")</f>
        <v xml:space="preserve">C04688 </v>
      </c>
      <c r="D512" s="4" t="str">
        <f ca="1">IFERROR(__xludf.DUMMYFUNCTION("""COMPUTED_VALUE""")," C00006")</f>
        <v xml:space="preserve"> C00006</v>
      </c>
      <c r="E512" s="4"/>
      <c r="F512" s="4"/>
    </row>
    <row r="513" spans="1:6" ht="14">
      <c r="A513" s="22" t="s">
        <v>16250</v>
      </c>
      <c r="C513" s="4" t="str">
        <f ca="1">IFERROR(__xludf.DUMMYFUNCTION("""COMPUTED_VALUE"""),"C04702 ")</f>
        <v xml:space="preserve">C04702 </v>
      </c>
      <c r="D513" s="4" t="str">
        <f ca="1">IFERROR(__xludf.DUMMYFUNCTION("""COMPUTED_VALUE""")," C17556")</f>
        <v xml:space="preserve"> C17556</v>
      </c>
      <c r="E513" s="4"/>
      <c r="F513" s="4"/>
    </row>
    <row r="514" spans="1:6" ht="14">
      <c r="A514" s="22" t="s">
        <v>16251</v>
      </c>
      <c r="C514" s="4" t="str">
        <f ca="1">IFERROR(__xludf.DUMMYFUNCTION("""COMPUTED_VALUE"""),"C04737 ")</f>
        <v xml:space="preserve">C04737 </v>
      </c>
      <c r="D514" s="4" t="str">
        <f ca="1">IFERROR(__xludf.DUMMYFUNCTION("""COMPUTED_VALUE""")," C00001")</f>
        <v xml:space="preserve"> C00001</v>
      </c>
      <c r="E514" s="4"/>
      <c r="F514" s="4"/>
    </row>
    <row r="515" spans="1:6" ht="14">
      <c r="A515" s="22" t="s">
        <v>16252</v>
      </c>
      <c r="C515" s="4" t="str">
        <f ca="1">IFERROR(__xludf.DUMMYFUNCTION("""COMPUTED_VALUE"""),"C04751")</f>
        <v>C04751</v>
      </c>
      <c r="D515" s="4"/>
      <c r="E515" s="4"/>
      <c r="F515" s="4"/>
    </row>
    <row r="516" spans="1:6" ht="12.5">
      <c r="A516" s="2" t="s">
        <v>16253</v>
      </c>
      <c r="C516" s="4" t="str">
        <f ca="1">IFERROR(__xludf.DUMMYFUNCTION("""COMPUTED_VALUE"""),"C04752 ")</f>
        <v xml:space="preserve">C04752 </v>
      </c>
      <c r="D516" s="4" t="str">
        <f ca="1">IFERROR(__xludf.DUMMYFUNCTION("""COMPUTED_VALUE""")," C04327")</f>
        <v xml:space="preserve"> C04327</v>
      </c>
      <c r="E516" s="4"/>
      <c r="F516" s="4"/>
    </row>
    <row r="517" spans="1:6" ht="14">
      <c r="A517" s="22" t="s">
        <v>16254</v>
      </c>
      <c r="C517" s="4" t="str">
        <f ca="1">IFERROR(__xludf.DUMMYFUNCTION("""COMPUTED_VALUE"""),"C04752 ")</f>
        <v xml:space="preserve">C04752 </v>
      </c>
      <c r="D517" s="4" t="str">
        <f ca="1">IFERROR(__xludf.DUMMYFUNCTION("""COMPUTED_VALUE""")," C20246")</f>
        <v xml:space="preserve"> C20246</v>
      </c>
      <c r="E517" s="4"/>
      <c r="F517" s="4"/>
    </row>
    <row r="518" spans="1:6" ht="12.5">
      <c r="A518" s="4" t="s">
        <v>12708</v>
      </c>
      <c r="C518" s="4" t="str">
        <f ca="1">IFERROR(__xludf.DUMMYFUNCTION("""COMPUTED_VALUE"""),"C04752 ")</f>
        <v xml:space="preserve">C04752 </v>
      </c>
      <c r="D518" s="4" t="str">
        <f ca="1">IFERROR(__xludf.DUMMYFUNCTION("""COMPUTED_VALUE""")," C20247")</f>
        <v xml:space="preserve"> C20247</v>
      </c>
      <c r="E518" s="4"/>
      <c r="F518" s="4"/>
    </row>
    <row r="519" spans="1:6" ht="12.5">
      <c r="A519" s="4" t="s">
        <v>12704</v>
      </c>
      <c r="C519" s="4" t="str">
        <f ca="1">IFERROR(__xludf.DUMMYFUNCTION("""COMPUTED_VALUE"""),"C04823")</f>
        <v>C04823</v>
      </c>
      <c r="D519" s="4"/>
      <c r="E519" s="4"/>
      <c r="F519" s="4"/>
    </row>
    <row r="520" spans="1:6" ht="12.5">
      <c r="A520" s="2" t="s">
        <v>16255</v>
      </c>
      <c r="C520" s="4" t="str">
        <f ca="1">IFERROR(__xludf.DUMMYFUNCTION("""COMPUTED_VALUE"""),"C04851 ")</f>
        <v xml:space="preserve">C04851 </v>
      </c>
      <c r="D520" s="4" t="str">
        <f ca="1">IFERROR(__xludf.DUMMYFUNCTION("""COMPUTED_VALUE""")," C00043")</f>
        <v xml:space="preserve"> C00043</v>
      </c>
      <c r="E520" s="4"/>
      <c r="F520" s="4"/>
    </row>
    <row r="521" spans="1:6" ht="12.5">
      <c r="A521" s="4" t="s">
        <v>12648</v>
      </c>
      <c r="C521" s="4" t="str">
        <f ca="1">IFERROR(__xludf.DUMMYFUNCTION("""COMPUTED_VALUE"""),"C04882 ")</f>
        <v xml:space="preserve">C04882 </v>
      </c>
      <c r="D521" s="4" t="str">
        <f ca="1">IFERROR(__xludf.DUMMYFUNCTION("""COMPUTED_VALUE""")," C17556")</f>
        <v xml:space="preserve"> C17556</v>
      </c>
      <c r="E521" s="4"/>
      <c r="F521" s="4"/>
    </row>
    <row r="522" spans="1:6" ht="14">
      <c r="A522" s="22" t="s">
        <v>16256</v>
      </c>
      <c r="C522" s="4" t="str">
        <f ca="1">IFERROR(__xludf.DUMMYFUNCTION("""COMPUTED_VALUE"""),"C04896")</f>
        <v>C04896</v>
      </c>
      <c r="D522" s="4"/>
      <c r="E522" s="4"/>
      <c r="F522" s="4"/>
    </row>
    <row r="523" spans="1:6" ht="12.5">
      <c r="A523" s="2" t="s">
        <v>16257</v>
      </c>
      <c r="C523" s="4" t="str">
        <f ca="1">IFERROR(__xludf.DUMMYFUNCTION("""COMPUTED_VALUE"""),"C04911 ")</f>
        <v xml:space="preserve">C04911 </v>
      </c>
      <c r="D523" s="4" t="str">
        <f ca="1">IFERROR(__xludf.DUMMYFUNCTION("""COMPUTED_VALUE""")," C00001")</f>
        <v xml:space="preserve"> C00001</v>
      </c>
      <c r="E523" s="4"/>
      <c r="F523" s="4"/>
    </row>
    <row r="524" spans="1:6" ht="14">
      <c r="A524" s="22" t="s">
        <v>16258</v>
      </c>
      <c r="C524" s="4" t="str">
        <f ca="1">IFERROR(__xludf.DUMMYFUNCTION("""COMPUTED_VALUE"""),"C04916 ")</f>
        <v xml:space="preserve">C04916 </v>
      </c>
      <c r="D524" s="4" t="str">
        <f ca="1">IFERROR(__xludf.DUMMYFUNCTION("""COMPUTED_VALUE""")," C00014")</f>
        <v xml:space="preserve"> C00014</v>
      </c>
      <c r="E524" s="4"/>
      <c r="F524" s="4"/>
    </row>
    <row r="525" spans="1:6" ht="14">
      <c r="A525" s="22" t="s">
        <v>16259</v>
      </c>
      <c r="C525" s="4" t="str">
        <f ca="1">IFERROR(__xludf.DUMMYFUNCTION("""COMPUTED_VALUE"""),"C04916 ")</f>
        <v xml:space="preserve">C04916 </v>
      </c>
      <c r="D525" s="4" t="str">
        <f ca="1">IFERROR(__xludf.DUMMYFUNCTION("""COMPUTED_VALUE""")," C00064")</f>
        <v xml:space="preserve"> C00064</v>
      </c>
      <c r="E525" s="4"/>
      <c r="F525" s="4"/>
    </row>
    <row r="526" spans="1:6" ht="14">
      <c r="A526" s="22" t="s">
        <v>16260</v>
      </c>
      <c r="C526" s="4" t="str">
        <f ca="1">IFERROR(__xludf.DUMMYFUNCTION("""COMPUTED_VALUE"""),"C05167")</f>
        <v>C05167</v>
      </c>
      <c r="D526" s="4"/>
      <c r="E526" s="4"/>
      <c r="F526" s="4"/>
    </row>
    <row r="527" spans="1:6" ht="12.5">
      <c r="A527" s="2" t="s">
        <v>16261</v>
      </c>
      <c r="C527" s="4" t="str">
        <f ca="1">IFERROR(__xludf.DUMMYFUNCTION("""COMPUTED_VALUE"""),"C05167 ")</f>
        <v xml:space="preserve">C05167 </v>
      </c>
      <c r="D527" s="4" t="str">
        <f ca="1">IFERROR(__xludf.DUMMYFUNCTION("""COMPUTED_VALUE""")," C00001 ")</f>
        <v xml:space="preserve"> C00001 </v>
      </c>
      <c r="E527" s="4" t="str">
        <f ca="1">IFERROR(__xludf.DUMMYFUNCTION("""COMPUTED_VALUE""")," C00003")</f>
        <v xml:space="preserve"> C00003</v>
      </c>
      <c r="F527" s="4"/>
    </row>
    <row r="528" spans="1:6" ht="14">
      <c r="A528" s="22" t="s">
        <v>16262</v>
      </c>
      <c r="C528" s="4" t="str">
        <f ca="1">IFERROR(__xludf.DUMMYFUNCTION("""COMPUTED_VALUE"""),"C05167 ")</f>
        <v xml:space="preserve">C05167 </v>
      </c>
      <c r="D528" s="4" t="str">
        <f ca="1">IFERROR(__xludf.DUMMYFUNCTION("""COMPUTED_VALUE""")," C00001 ")</f>
        <v xml:space="preserve"> C00001 </v>
      </c>
      <c r="E528" s="4" t="str">
        <f ca="1">IFERROR(__xludf.DUMMYFUNCTION("""COMPUTED_VALUE""")," C00006")</f>
        <v xml:space="preserve"> C00006</v>
      </c>
      <c r="F528" s="4"/>
    </row>
    <row r="529" spans="1:6" ht="14">
      <c r="A529" s="22" t="s">
        <v>16263</v>
      </c>
      <c r="C529" s="4" t="str">
        <f ca="1">IFERROR(__xludf.DUMMYFUNCTION("""COMPUTED_VALUE"""),"C05198 ")</f>
        <v xml:space="preserve">C05198 </v>
      </c>
      <c r="D529" s="4" t="str">
        <f ca="1">IFERROR(__xludf.DUMMYFUNCTION("""COMPUTED_VALUE""")," C00001")</f>
        <v xml:space="preserve"> C00001</v>
      </c>
      <c r="E529" s="4"/>
      <c r="F529" s="4"/>
    </row>
    <row r="530" spans="1:6" ht="14">
      <c r="A530" s="22" t="s">
        <v>16264</v>
      </c>
      <c r="C530" s="4" t="str">
        <f ca="1">IFERROR(__xludf.DUMMYFUNCTION("""COMPUTED_VALUE"""),"C05223 ")</f>
        <v xml:space="preserve">C05223 </v>
      </c>
      <c r="D530" s="4" t="str">
        <f ca="1">IFERROR(__xludf.DUMMYFUNCTION("""COMPUTED_VALUE""")," C01209")</f>
        <v xml:space="preserve"> C01209</v>
      </c>
      <c r="E530" s="4"/>
      <c r="F530" s="4"/>
    </row>
    <row r="531" spans="1:6" ht="12.5">
      <c r="A531" s="4" t="s">
        <v>12643</v>
      </c>
      <c r="C531" s="4" t="str">
        <f ca="1">IFERROR(__xludf.DUMMYFUNCTION("""COMPUTED_VALUE"""),"C05270 ")</f>
        <v xml:space="preserve">C05270 </v>
      </c>
      <c r="D531" s="4" t="str">
        <f ca="1">IFERROR(__xludf.DUMMYFUNCTION("""COMPUTED_VALUE""")," C00024")</f>
        <v xml:space="preserve"> C00024</v>
      </c>
      <c r="E531" s="4"/>
      <c r="F531" s="4"/>
    </row>
    <row r="532" spans="1:6" ht="14">
      <c r="A532" s="22" t="s">
        <v>16265</v>
      </c>
      <c r="C532" s="4" t="str">
        <f ca="1">IFERROR(__xludf.DUMMYFUNCTION("""COMPUTED_VALUE"""),"C05274 ")</f>
        <v xml:space="preserve">C05274 </v>
      </c>
      <c r="D532" s="4" t="str">
        <f ca="1">IFERROR(__xludf.DUMMYFUNCTION("""COMPUTED_VALUE""")," C00024")</f>
        <v xml:space="preserve"> C00024</v>
      </c>
      <c r="E532" s="4"/>
      <c r="F532" s="4"/>
    </row>
    <row r="533" spans="1:6" ht="14">
      <c r="A533" s="22" t="s">
        <v>16266</v>
      </c>
      <c r="C533" s="4" t="str">
        <f ca="1">IFERROR(__xludf.DUMMYFUNCTION("""COMPUTED_VALUE"""),"C05378")</f>
        <v>C05378</v>
      </c>
      <c r="D533" s="4"/>
      <c r="E533" s="4"/>
      <c r="F533" s="4"/>
    </row>
    <row r="534" spans="1:6" ht="12.5">
      <c r="A534" s="2" t="s">
        <v>16267</v>
      </c>
      <c r="C534" s="4" t="str">
        <f ca="1">IFERROR(__xludf.DUMMYFUNCTION("""COMPUTED_VALUE"""),"C05378 ")</f>
        <v xml:space="preserve">C05378 </v>
      </c>
      <c r="D534" s="4" t="str">
        <f ca="1">IFERROR(__xludf.DUMMYFUNCTION("""COMPUTED_VALUE""")," C00001")</f>
        <v xml:space="preserve"> C00001</v>
      </c>
      <c r="E534" s="4"/>
      <c r="F534" s="4"/>
    </row>
    <row r="535" spans="1:6" ht="14">
      <c r="A535" s="22" t="s">
        <v>16268</v>
      </c>
      <c r="C535" s="4" t="str">
        <f ca="1">IFERROR(__xludf.DUMMYFUNCTION("""COMPUTED_VALUE"""),"C05382 ")</f>
        <v xml:space="preserve">C05382 </v>
      </c>
      <c r="D535" s="4" t="str">
        <f ca="1">IFERROR(__xludf.DUMMYFUNCTION("""COMPUTED_VALUE""")," C00118")</f>
        <v xml:space="preserve"> C00118</v>
      </c>
      <c r="E535" s="4"/>
      <c r="F535" s="4"/>
    </row>
    <row r="536" spans="1:6" ht="14">
      <c r="A536" s="22" t="s">
        <v>16269</v>
      </c>
      <c r="C536" s="4" t="str">
        <f ca="1">IFERROR(__xludf.DUMMYFUNCTION("""COMPUTED_VALUE"""),"C05399 ")</f>
        <v xml:space="preserve">C05399 </v>
      </c>
      <c r="D536" s="4" t="str">
        <f ca="1">IFERROR(__xludf.DUMMYFUNCTION("""COMPUTED_VALUE""")," C00001")</f>
        <v xml:space="preserve"> C00001</v>
      </c>
      <c r="E536" s="4"/>
      <c r="F536" s="4"/>
    </row>
    <row r="537" spans="1:6" ht="14">
      <c r="A537" s="22" t="s">
        <v>16270</v>
      </c>
      <c r="C537" s="4" t="str">
        <f ca="1">IFERROR(__xludf.DUMMYFUNCTION("""COMPUTED_VALUE"""),"C05400 ")</f>
        <v xml:space="preserve">C05400 </v>
      </c>
      <c r="D537" s="4" t="str">
        <f ca="1">IFERROR(__xludf.DUMMYFUNCTION("""COMPUTED_VALUE""")," C00001")</f>
        <v xml:space="preserve"> C00001</v>
      </c>
      <c r="E537" s="4"/>
      <c r="F537" s="4"/>
    </row>
    <row r="538" spans="1:6" ht="14">
      <c r="A538" s="22" t="s">
        <v>16271</v>
      </c>
      <c r="C538" s="4" t="str">
        <f ca="1">IFERROR(__xludf.DUMMYFUNCTION("""COMPUTED_VALUE"""),"C05401 ")</f>
        <v xml:space="preserve">C05401 </v>
      </c>
      <c r="D538" s="4" t="str">
        <f ca="1">IFERROR(__xludf.DUMMYFUNCTION("""COMPUTED_VALUE""")," C00001")</f>
        <v xml:space="preserve"> C00001</v>
      </c>
      <c r="E538" s="4"/>
      <c r="F538" s="4"/>
    </row>
    <row r="539" spans="1:6" ht="14">
      <c r="A539" s="22" t="s">
        <v>16272</v>
      </c>
      <c r="C539" s="4" t="str">
        <f ca="1">IFERROR(__xludf.DUMMYFUNCTION("""COMPUTED_VALUE"""),"C05402 ")</f>
        <v xml:space="preserve">C05402 </v>
      </c>
      <c r="D539" s="4" t="str">
        <f ca="1">IFERROR(__xludf.DUMMYFUNCTION("""COMPUTED_VALUE""")," C00001")</f>
        <v xml:space="preserve"> C00001</v>
      </c>
      <c r="E539" s="4"/>
      <c r="F539" s="4"/>
    </row>
    <row r="540" spans="1:6" ht="14">
      <c r="A540" s="22" t="s">
        <v>16273</v>
      </c>
      <c r="C540" s="4" t="str">
        <f ca="1">IFERROR(__xludf.DUMMYFUNCTION("""COMPUTED_VALUE"""),"C05403 ")</f>
        <v xml:space="preserve">C05403 </v>
      </c>
      <c r="D540" s="4" t="str">
        <f ca="1">IFERROR(__xludf.DUMMYFUNCTION("""COMPUTED_VALUE""")," C00001")</f>
        <v xml:space="preserve"> C00001</v>
      </c>
      <c r="E540" s="4"/>
      <c r="F540" s="4"/>
    </row>
    <row r="541" spans="1:6" ht="14">
      <c r="A541" s="22" t="s">
        <v>16274</v>
      </c>
      <c r="C541" s="4" t="str">
        <f ca="1">IFERROR(__xludf.DUMMYFUNCTION("""COMPUTED_VALUE"""),"C05404 ")</f>
        <v xml:space="preserve">C05404 </v>
      </c>
      <c r="D541" s="4" t="str">
        <f ca="1">IFERROR(__xludf.DUMMYFUNCTION("""COMPUTED_VALUE""")," C00001")</f>
        <v xml:space="preserve"> C00001</v>
      </c>
      <c r="E541" s="4"/>
      <c r="F541" s="4"/>
    </row>
    <row r="542" spans="1:6" ht="14">
      <c r="A542" s="22" t="s">
        <v>16275</v>
      </c>
      <c r="C542" s="4" t="str">
        <f ca="1">IFERROR(__xludf.DUMMYFUNCTION("""COMPUTED_VALUE"""),"C05444 ")</f>
        <v xml:space="preserve">C05444 </v>
      </c>
      <c r="D542" s="4" t="str">
        <f ca="1">IFERROR(__xludf.DUMMYFUNCTION("""COMPUTED_VALUE""")," C00003")</f>
        <v xml:space="preserve"> C00003</v>
      </c>
      <c r="E542" s="4"/>
      <c r="F542" s="4"/>
    </row>
    <row r="543" spans="1:6" ht="14">
      <c r="A543" s="22" t="s">
        <v>16276</v>
      </c>
      <c r="C543" s="4" t="str">
        <f ca="1">IFERROR(__xludf.DUMMYFUNCTION("""COMPUTED_VALUE"""),"C05576 ")</f>
        <v xml:space="preserve">C05576 </v>
      </c>
      <c r="D543" s="4" t="str">
        <f ca="1">IFERROR(__xludf.DUMMYFUNCTION("""COMPUTED_VALUE""")," C00003")</f>
        <v xml:space="preserve"> C00003</v>
      </c>
      <c r="E543" s="4"/>
      <c r="F543" s="4"/>
    </row>
    <row r="544" spans="1:6" ht="14">
      <c r="A544" s="22" t="s">
        <v>16277</v>
      </c>
      <c r="C544" s="4" t="str">
        <f ca="1">IFERROR(__xludf.DUMMYFUNCTION("""COMPUTED_VALUE"""),"C05689 ")</f>
        <v xml:space="preserve">C05689 </v>
      </c>
      <c r="D544" s="4" t="str">
        <f ca="1">IFERROR(__xludf.DUMMYFUNCTION("""COMPUTED_VALUE""")," C00001")</f>
        <v xml:space="preserve"> C00001</v>
      </c>
      <c r="E544" s="4"/>
      <c r="F544" s="4"/>
    </row>
    <row r="545" spans="1:6" ht="14">
      <c r="A545" s="22" t="s">
        <v>16278</v>
      </c>
      <c r="C545" s="4" t="str">
        <f ca="1">IFERROR(__xludf.DUMMYFUNCTION("""COMPUTED_VALUE"""),"C05698 ")</f>
        <v xml:space="preserve">C05698 </v>
      </c>
      <c r="D545" s="4" t="str">
        <f ca="1">IFERROR(__xludf.DUMMYFUNCTION("""COMPUTED_VALUE""")," C04489")</f>
        <v xml:space="preserve"> C04489</v>
      </c>
      <c r="E545" s="4"/>
      <c r="F545" s="4"/>
    </row>
    <row r="546" spans="1:6" ht="14">
      <c r="A546" s="22" t="s">
        <v>16279</v>
      </c>
      <c r="C546" s="4" t="str">
        <f ca="1">IFERROR(__xludf.DUMMYFUNCTION("""COMPUTED_VALUE"""),"C05699 ")</f>
        <v xml:space="preserve">C05699 </v>
      </c>
      <c r="D546" s="4" t="str">
        <f ca="1">IFERROR(__xludf.DUMMYFUNCTION("""COMPUTED_VALUE""")," C00001")</f>
        <v xml:space="preserve"> C00001</v>
      </c>
      <c r="E546" s="4"/>
      <c r="F546" s="4"/>
    </row>
    <row r="547" spans="1:6" ht="14">
      <c r="A547" s="22" t="s">
        <v>16280</v>
      </c>
      <c r="C547" s="4" t="str">
        <f ca="1">IFERROR(__xludf.DUMMYFUNCTION("""COMPUTED_VALUE"""),"C05745 ")</f>
        <v xml:space="preserve">C05745 </v>
      </c>
      <c r="D547" s="4" t="str">
        <f ca="1">IFERROR(__xludf.DUMMYFUNCTION("""COMPUTED_VALUE""")," C01209")</f>
        <v xml:space="preserve"> C01209</v>
      </c>
      <c r="E547" s="4"/>
      <c r="F547" s="4"/>
    </row>
    <row r="548" spans="1:6" ht="14">
      <c r="A548" s="22" t="s">
        <v>16281</v>
      </c>
      <c r="C548" s="4" t="str">
        <f ca="1">IFERROR(__xludf.DUMMYFUNCTION("""COMPUTED_VALUE"""),"C05747")</f>
        <v>C05747</v>
      </c>
      <c r="D548" s="4"/>
      <c r="E548" s="4"/>
      <c r="F548" s="4"/>
    </row>
    <row r="549" spans="1:6" ht="12.5">
      <c r="A549" s="2" t="s">
        <v>16282</v>
      </c>
      <c r="C549" s="4" t="str">
        <f ca="1">IFERROR(__xludf.DUMMYFUNCTION("""COMPUTED_VALUE"""),"C05747 ")</f>
        <v xml:space="preserve">C05747 </v>
      </c>
      <c r="D549" s="4" t="str">
        <f ca="1">IFERROR(__xludf.DUMMYFUNCTION("""COMPUTED_VALUE""")," C00006")</f>
        <v xml:space="preserve"> C00006</v>
      </c>
      <c r="E549" s="4"/>
      <c r="F549" s="4"/>
    </row>
    <row r="550" spans="1:6" ht="14">
      <c r="A550" s="22" t="s">
        <v>16283</v>
      </c>
      <c r="C550" s="4" t="str">
        <f ca="1">IFERROR(__xludf.DUMMYFUNCTION("""COMPUTED_VALUE"""),"C05749 ")</f>
        <v xml:space="preserve">C05749 </v>
      </c>
      <c r="D550" s="4" t="str">
        <f ca="1">IFERROR(__xludf.DUMMYFUNCTION("""COMPUTED_VALUE""")," C01209")</f>
        <v xml:space="preserve"> C01209</v>
      </c>
      <c r="E550" s="4"/>
      <c r="F550" s="4"/>
    </row>
    <row r="551" spans="1:6" ht="14">
      <c r="A551" s="22" t="s">
        <v>16284</v>
      </c>
      <c r="C551" s="4" t="str">
        <f ca="1">IFERROR(__xludf.DUMMYFUNCTION("""COMPUTED_VALUE"""),"C05752 ")</f>
        <v xml:space="preserve">C05752 </v>
      </c>
      <c r="D551" s="4" t="str">
        <f ca="1">IFERROR(__xludf.DUMMYFUNCTION("""COMPUTED_VALUE""")," C01209")</f>
        <v xml:space="preserve"> C01209</v>
      </c>
      <c r="E551" s="4"/>
      <c r="F551" s="4"/>
    </row>
    <row r="552" spans="1:6" ht="14">
      <c r="A552" s="22" t="s">
        <v>16285</v>
      </c>
      <c r="C552" s="4" t="str">
        <f ca="1">IFERROR(__xludf.DUMMYFUNCTION("""COMPUTED_VALUE"""),"C05755 ")</f>
        <v xml:space="preserve">C05755 </v>
      </c>
      <c r="D552" s="4" t="str">
        <f ca="1">IFERROR(__xludf.DUMMYFUNCTION("""COMPUTED_VALUE""")," C01209")</f>
        <v xml:space="preserve"> C01209</v>
      </c>
      <c r="E552" s="4"/>
      <c r="F552" s="4"/>
    </row>
    <row r="553" spans="1:6" ht="14">
      <c r="A553" s="22" t="s">
        <v>16286</v>
      </c>
      <c r="C553" s="4" t="str">
        <f ca="1">IFERROR(__xludf.DUMMYFUNCTION("""COMPUTED_VALUE"""),"C05757")</f>
        <v>C05757</v>
      </c>
      <c r="D553" s="4"/>
      <c r="E553" s="4"/>
      <c r="F553" s="4"/>
    </row>
    <row r="554" spans="1:6" ht="12.5">
      <c r="A554" s="2" t="s">
        <v>16287</v>
      </c>
      <c r="C554" s="4" t="str">
        <f ca="1">IFERROR(__xludf.DUMMYFUNCTION("""COMPUTED_VALUE"""),"C05757 ")</f>
        <v xml:space="preserve">C05757 </v>
      </c>
      <c r="D554" s="4" t="str">
        <f ca="1">IFERROR(__xludf.DUMMYFUNCTION("""COMPUTED_VALUE""")," C00006")</f>
        <v xml:space="preserve"> C00006</v>
      </c>
      <c r="E554" s="4"/>
      <c r="F554" s="4"/>
    </row>
    <row r="555" spans="1:6" ht="14">
      <c r="A555" s="22" t="s">
        <v>16288</v>
      </c>
      <c r="C555" s="4" t="str">
        <f ca="1">IFERROR(__xludf.DUMMYFUNCTION("""COMPUTED_VALUE"""),"C05761 ")</f>
        <v xml:space="preserve">C05761 </v>
      </c>
      <c r="D555" s="4" t="str">
        <f ca="1">IFERROR(__xludf.DUMMYFUNCTION("""COMPUTED_VALUE""")," C01209")</f>
        <v xml:space="preserve"> C01209</v>
      </c>
      <c r="E555" s="4"/>
      <c r="F555" s="4"/>
    </row>
    <row r="556" spans="1:6" ht="14">
      <c r="A556" s="22" t="s">
        <v>16289</v>
      </c>
      <c r="C556" s="4" t="str">
        <f ca="1">IFERROR(__xludf.DUMMYFUNCTION("""COMPUTED_VALUE"""),"C05764 ")</f>
        <v xml:space="preserve">C05764 </v>
      </c>
      <c r="D556" s="4" t="str">
        <f ca="1">IFERROR(__xludf.DUMMYFUNCTION("""COMPUTED_VALUE""")," C01209")</f>
        <v xml:space="preserve"> C01209</v>
      </c>
      <c r="E556" s="4"/>
      <c r="F556" s="4"/>
    </row>
    <row r="557" spans="1:6" ht="14">
      <c r="A557" s="22" t="s">
        <v>16290</v>
      </c>
      <c r="C557" s="4" t="str">
        <f ca="1">IFERROR(__xludf.DUMMYFUNCTION("""COMPUTED_VALUE"""),"C05796 ")</f>
        <v xml:space="preserve">C05796 </v>
      </c>
      <c r="D557" s="4" t="str">
        <f ca="1">IFERROR(__xludf.DUMMYFUNCTION("""COMPUTED_VALUE""")," C00001")</f>
        <v xml:space="preserve"> C00001</v>
      </c>
      <c r="E557" s="4"/>
      <c r="F557" s="4"/>
    </row>
    <row r="558" spans="1:6" ht="14">
      <c r="A558" s="22" t="s">
        <v>16291</v>
      </c>
      <c r="C558" s="4" t="str">
        <f ca="1">IFERROR(__xludf.DUMMYFUNCTION("""COMPUTED_VALUE"""),"C05811 ")</f>
        <v xml:space="preserve">C05811 </v>
      </c>
      <c r="D558" s="4" t="str">
        <f ca="1">IFERROR(__xludf.DUMMYFUNCTION("""COMPUTED_VALUE""")," C00019")</f>
        <v xml:space="preserve"> C00019</v>
      </c>
      <c r="E558" s="4"/>
      <c r="F558" s="4"/>
    </row>
    <row r="559" spans="1:6" ht="14">
      <c r="A559" s="22" t="s">
        <v>16292</v>
      </c>
      <c r="C559" s="4" t="str">
        <f ca="1">IFERROR(__xludf.DUMMYFUNCTION("""COMPUTED_VALUE"""),"C05823 ")</f>
        <v xml:space="preserve">C05823 </v>
      </c>
      <c r="D559" s="4" t="str">
        <f ca="1">IFERROR(__xludf.DUMMYFUNCTION("""COMPUTED_VALUE""")," C00003")</f>
        <v xml:space="preserve"> C00003</v>
      </c>
      <c r="E559" s="4"/>
      <c r="F559" s="4"/>
    </row>
    <row r="560" spans="1:6" ht="14">
      <c r="A560" s="22" t="s">
        <v>16293</v>
      </c>
      <c r="C560" s="4" t="str">
        <f ca="1">IFERROR(__xludf.DUMMYFUNCTION("""COMPUTED_VALUE"""),"C05847 ")</f>
        <v xml:space="preserve">C05847 </v>
      </c>
      <c r="D560" s="4" t="str">
        <f ca="1">IFERROR(__xludf.DUMMYFUNCTION("""COMPUTED_VALUE""")," C03657")</f>
        <v xml:space="preserve"> C03657</v>
      </c>
      <c r="E560" s="4"/>
      <c r="F560" s="4"/>
    </row>
    <row r="561" spans="1:6" ht="14">
      <c r="A561" s="22" t="s">
        <v>16294</v>
      </c>
      <c r="C561" s="4" t="str">
        <f ca="1">IFERROR(__xludf.DUMMYFUNCTION("""COMPUTED_VALUE"""),"C05897 ")</f>
        <v xml:space="preserve">C05897 </v>
      </c>
      <c r="D561" s="4" t="str">
        <f ca="1">IFERROR(__xludf.DUMMYFUNCTION("""COMPUTED_VALUE""")," C00043")</f>
        <v xml:space="preserve"> C00043</v>
      </c>
      <c r="E561" s="4"/>
      <c r="F561" s="4"/>
    </row>
    <row r="562" spans="1:6" ht="12.5">
      <c r="A562" s="4" t="s">
        <v>12652</v>
      </c>
      <c r="C562" s="4" t="str">
        <f ca="1">IFERROR(__xludf.DUMMYFUNCTION("""COMPUTED_VALUE"""),"C05921 ")</f>
        <v xml:space="preserve">C05921 </v>
      </c>
      <c r="D562" s="4" t="str">
        <f ca="1">IFERROR(__xludf.DUMMYFUNCTION("""COMPUTED_VALUE""")," C06249")</f>
        <v xml:space="preserve"> C06249</v>
      </c>
      <c r="E562" s="4"/>
      <c r="F562" s="4"/>
    </row>
    <row r="563" spans="1:6" ht="14">
      <c r="A563" s="22" t="s">
        <v>16295</v>
      </c>
      <c r="C563" s="4" t="str">
        <f ca="1">IFERROR(__xludf.DUMMYFUNCTION("""COMPUTED_VALUE"""),"C05984 ")</f>
        <v xml:space="preserve">C05984 </v>
      </c>
      <c r="D563" s="4" t="str">
        <f ca="1">IFERROR(__xludf.DUMMYFUNCTION("""COMPUTED_VALUE""")," C00003")</f>
        <v xml:space="preserve"> C00003</v>
      </c>
      <c r="E563" s="4"/>
      <c r="F563" s="4"/>
    </row>
    <row r="564" spans="1:6" ht="14">
      <c r="A564" s="22" t="s">
        <v>16296</v>
      </c>
      <c r="C564" s="4" t="str">
        <f ca="1">IFERROR(__xludf.DUMMYFUNCTION("""COMPUTED_VALUE"""),"C06010")</f>
        <v>C06010</v>
      </c>
      <c r="D564" s="4"/>
      <c r="E564" s="4"/>
      <c r="F564" s="4"/>
    </row>
    <row r="565" spans="1:6" ht="12.5">
      <c r="A565" s="2" t="s">
        <v>16297</v>
      </c>
      <c r="C565" s="4" t="str">
        <f ca="1">IFERROR(__xludf.DUMMYFUNCTION("""COMPUTED_VALUE"""),"C06010 ")</f>
        <v xml:space="preserve">C06010 </v>
      </c>
      <c r="D565" s="4" t="str">
        <f ca="1">IFERROR(__xludf.DUMMYFUNCTION("""COMPUTED_VALUE""")," C00011")</f>
        <v xml:space="preserve"> C00011</v>
      </c>
      <c r="E565" s="4"/>
      <c r="F565" s="4"/>
    </row>
    <row r="566" spans="1:6" ht="14">
      <c r="A566" s="22" t="s">
        <v>16298</v>
      </c>
      <c r="C566" s="4" t="str">
        <f ca="1">IFERROR(__xludf.DUMMYFUNCTION("""COMPUTED_VALUE"""),"C06010 ")</f>
        <v xml:space="preserve">C06010 </v>
      </c>
      <c r="D566" s="4" t="str">
        <f ca="1">IFERROR(__xludf.DUMMYFUNCTION("""COMPUTED_VALUE""")," C00068")</f>
        <v xml:space="preserve"> C00068</v>
      </c>
      <c r="E566" s="4"/>
      <c r="F566" s="4"/>
    </row>
    <row r="567" spans="1:6" ht="14">
      <c r="A567" s="22" t="s">
        <v>16299</v>
      </c>
      <c r="C567" s="4" t="str">
        <f ca="1">IFERROR(__xludf.DUMMYFUNCTION("""COMPUTED_VALUE"""),"C06019")</f>
        <v>C06019</v>
      </c>
      <c r="D567" s="4"/>
      <c r="E567" s="4"/>
      <c r="F567" s="4"/>
    </row>
    <row r="568" spans="1:6" ht="12.5">
      <c r="A568" s="2" t="s">
        <v>16300</v>
      </c>
      <c r="C568" s="4" t="str">
        <f ca="1">IFERROR(__xludf.DUMMYFUNCTION("""COMPUTED_VALUE"""),"C06019")</f>
        <v>C06019</v>
      </c>
      <c r="D568" s="4"/>
      <c r="E568" s="4"/>
      <c r="F568" s="4"/>
    </row>
    <row r="569" spans="1:6" ht="12.5">
      <c r="A569" s="2" t="s">
        <v>16301</v>
      </c>
      <c r="C569" s="4" t="str">
        <f ca="1">IFERROR(__xludf.DUMMYFUNCTION("""COMPUTED_VALUE"""),"C06030")</f>
        <v>C06030</v>
      </c>
      <c r="D569" s="4"/>
      <c r="E569" s="4"/>
      <c r="F569" s="4"/>
    </row>
    <row r="570" spans="1:6" ht="12.5">
      <c r="A570" s="2" t="s">
        <v>16302</v>
      </c>
      <c r="C570" s="4" t="str">
        <f ca="1">IFERROR(__xludf.DUMMYFUNCTION("""COMPUTED_VALUE"""),"C06037 ")</f>
        <v xml:space="preserve">C06037 </v>
      </c>
      <c r="D570" s="4" t="str">
        <f ca="1">IFERROR(__xludf.DUMMYFUNCTION("""COMPUTED_VALUE""")," C00001")</f>
        <v xml:space="preserve"> C00001</v>
      </c>
      <c r="E570" s="4"/>
      <c r="F570" s="4"/>
    </row>
    <row r="571" spans="1:6" ht="14">
      <c r="A571" s="22" t="s">
        <v>16303</v>
      </c>
      <c r="C571" s="4" t="str">
        <f ca="1">IFERROR(__xludf.DUMMYFUNCTION("""COMPUTED_VALUE"""),"C06055 ")</f>
        <v xml:space="preserve">C06055 </v>
      </c>
      <c r="D571" s="4" t="str">
        <f ca="1">IFERROR(__xludf.DUMMYFUNCTION("""COMPUTED_VALUE""")," C00001")</f>
        <v xml:space="preserve"> C00001</v>
      </c>
      <c r="E571" s="4"/>
      <c r="F571" s="4"/>
    </row>
    <row r="572" spans="1:6" ht="14">
      <c r="A572" s="22" t="s">
        <v>16304</v>
      </c>
      <c r="C572" s="4" t="str">
        <f ca="1">IFERROR(__xludf.DUMMYFUNCTION("""COMPUTED_VALUE"""),"C06055 ")</f>
        <v xml:space="preserve">C06055 </v>
      </c>
      <c r="D572" s="4" t="str">
        <f ca="1">IFERROR(__xludf.DUMMYFUNCTION("""COMPUTED_VALUE""")," C00003")</f>
        <v xml:space="preserve"> C00003</v>
      </c>
      <c r="E572" s="4"/>
      <c r="F572" s="4"/>
    </row>
    <row r="573" spans="1:6" ht="14">
      <c r="A573" s="22" t="s">
        <v>16305</v>
      </c>
      <c r="C573" s="4" t="str">
        <f ca="1">IFERROR(__xludf.DUMMYFUNCTION("""COMPUTED_VALUE"""),"C06055 ")</f>
        <v xml:space="preserve">C06055 </v>
      </c>
      <c r="D573" s="4" t="str">
        <f ca="1">IFERROR(__xludf.DUMMYFUNCTION("""COMPUTED_VALUE""")," C00003")</f>
        <v xml:space="preserve"> C00003</v>
      </c>
      <c r="E573" s="4"/>
      <c r="F573" s="4"/>
    </row>
    <row r="574" spans="1:6" ht="14">
      <c r="A574" s="22" t="s">
        <v>16306</v>
      </c>
      <c r="C574" s="4" t="str">
        <f ca="1">IFERROR(__xludf.DUMMYFUNCTION("""COMPUTED_VALUE"""),"C06125 ")</f>
        <v xml:space="preserve">C06125 </v>
      </c>
      <c r="D574" s="4" t="str">
        <f ca="1">IFERROR(__xludf.DUMMYFUNCTION("""COMPUTED_VALUE""")," C00001")</f>
        <v xml:space="preserve"> C00001</v>
      </c>
      <c r="E574" s="4"/>
      <c r="F574" s="4"/>
    </row>
    <row r="575" spans="1:6" ht="14">
      <c r="A575" s="22" t="s">
        <v>16307</v>
      </c>
      <c r="C575" s="4" t="str">
        <f ca="1">IFERROR(__xludf.DUMMYFUNCTION("""COMPUTED_VALUE"""),"C06126 ")</f>
        <v xml:space="preserve">C06126 </v>
      </c>
      <c r="D575" s="4" t="str">
        <f ca="1">IFERROR(__xludf.DUMMYFUNCTION("""COMPUTED_VALUE""")," C00001")</f>
        <v xml:space="preserve"> C00001</v>
      </c>
      <c r="E575" s="4"/>
      <c r="F575" s="4"/>
    </row>
    <row r="576" spans="1:6" ht="14">
      <c r="A576" s="22" t="s">
        <v>16308</v>
      </c>
      <c r="C576" s="4" t="str">
        <f ca="1">IFERROR(__xludf.DUMMYFUNCTION("""COMPUTED_VALUE"""),"C06136 ")</f>
        <v xml:space="preserve">C06136 </v>
      </c>
      <c r="D576" s="4" t="str">
        <f ca="1">IFERROR(__xludf.DUMMYFUNCTION("""COMPUTED_VALUE""")," C00001")</f>
        <v xml:space="preserve"> C00001</v>
      </c>
      <c r="E576" s="4"/>
      <c r="F576" s="4"/>
    </row>
    <row r="577" spans="1:6" ht="14">
      <c r="A577" s="22" t="s">
        <v>16309</v>
      </c>
      <c r="C577" s="4" t="str">
        <f ca="1">IFERROR(__xludf.DUMMYFUNCTION("""COMPUTED_VALUE"""),"C06156")</f>
        <v>C06156</v>
      </c>
      <c r="D577" s="4"/>
      <c r="E577" s="4"/>
      <c r="F577" s="4"/>
    </row>
    <row r="578" spans="1:6" ht="12.5">
      <c r="A578" s="2" t="s">
        <v>16310</v>
      </c>
      <c r="C578" s="4" t="str">
        <f ca="1">IFERROR(__xludf.DUMMYFUNCTION("""COMPUTED_VALUE"""),"C06187 ")</f>
        <v xml:space="preserve">C06187 </v>
      </c>
      <c r="D578" s="4" t="str">
        <f ca="1">IFERROR(__xludf.DUMMYFUNCTION("""COMPUTED_VALUE""")," C00001")</f>
        <v xml:space="preserve"> C00001</v>
      </c>
      <c r="E578" s="4"/>
      <c r="F578" s="4"/>
    </row>
    <row r="579" spans="1:6" ht="14">
      <c r="A579" s="22" t="s">
        <v>16311</v>
      </c>
      <c r="C579" s="4" t="str">
        <f ca="1">IFERROR(__xludf.DUMMYFUNCTION("""COMPUTED_VALUE"""),"C06188 ")</f>
        <v xml:space="preserve">C06188 </v>
      </c>
      <c r="D579" s="4" t="str">
        <f ca="1">IFERROR(__xludf.DUMMYFUNCTION("""COMPUTED_VALUE""")," C00001")</f>
        <v xml:space="preserve"> C00001</v>
      </c>
      <c r="E579" s="4"/>
      <c r="F579" s="4"/>
    </row>
    <row r="580" spans="1:6" ht="14">
      <c r="A580" s="22" t="s">
        <v>16312</v>
      </c>
      <c r="C580" s="4" t="str">
        <f ca="1">IFERROR(__xludf.DUMMYFUNCTION("""COMPUTED_VALUE"""),"C06196 ")</f>
        <v xml:space="preserve">C06196 </v>
      </c>
      <c r="D580" s="4" t="str">
        <f ca="1">IFERROR(__xludf.DUMMYFUNCTION("""COMPUTED_VALUE""")," C00001")</f>
        <v xml:space="preserve"> C00001</v>
      </c>
      <c r="E580" s="4"/>
      <c r="F580" s="4"/>
    </row>
    <row r="581" spans="1:6" ht="14">
      <c r="A581" s="22" t="s">
        <v>16313</v>
      </c>
      <c r="C581" s="4" t="str">
        <f ca="1">IFERROR(__xludf.DUMMYFUNCTION("""COMPUTED_VALUE"""),"C06244 ")</f>
        <v xml:space="preserve">C06244 </v>
      </c>
      <c r="D581" s="4" t="str">
        <f ca="1">IFERROR(__xludf.DUMMYFUNCTION("""COMPUTED_VALUE""")," C00001")</f>
        <v xml:space="preserve"> C00001</v>
      </c>
      <c r="E581" s="4"/>
      <c r="F581" s="4"/>
    </row>
    <row r="582" spans="1:6" ht="14">
      <c r="A582" s="22" t="s">
        <v>16314</v>
      </c>
      <c r="C582" s="4" t="str">
        <f ca="1">IFERROR(__xludf.DUMMYFUNCTION("""COMPUTED_VALUE"""),"C06505 ")</f>
        <v xml:space="preserve">C06505 </v>
      </c>
      <c r="D582" s="4" t="str">
        <f ca="1">IFERROR(__xludf.DUMMYFUNCTION("""COMPUTED_VALUE""")," C00002")</f>
        <v xml:space="preserve"> C00002</v>
      </c>
      <c r="E582" s="4"/>
      <c r="F582" s="4"/>
    </row>
    <row r="583" spans="1:6" ht="12.5">
      <c r="A583" s="4" t="s">
        <v>12698</v>
      </c>
      <c r="C583" s="4" t="str">
        <f ca="1">IFERROR(__xludf.DUMMYFUNCTION("""COMPUTED_VALUE"""),"C06611 ")</f>
        <v xml:space="preserve">C06611 </v>
      </c>
      <c r="D583" s="4" t="str">
        <f ca="1">IFERROR(__xludf.DUMMYFUNCTION("""COMPUTED_VALUE""")," C00003")</f>
        <v xml:space="preserve"> C00003</v>
      </c>
      <c r="E583" s="4"/>
      <c r="F583" s="4"/>
    </row>
    <row r="584" spans="1:6" ht="14">
      <c r="A584" s="22" t="s">
        <v>16315</v>
      </c>
      <c r="C584" s="4" t="str">
        <f ca="1">IFERROR(__xludf.DUMMYFUNCTION("""COMPUTED_VALUE"""),"C06612 ")</f>
        <v xml:space="preserve">C06612 </v>
      </c>
      <c r="D584" s="4" t="str">
        <f ca="1">IFERROR(__xludf.DUMMYFUNCTION("""COMPUTED_VALUE""")," C00003")</f>
        <v xml:space="preserve"> C00003</v>
      </c>
      <c r="E584" s="4"/>
      <c r="F584" s="4"/>
    </row>
    <row r="585" spans="1:6" ht="14">
      <c r="A585" s="21" t="s">
        <v>16316</v>
      </c>
      <c r="C585" s="4" t="str">
        <f ca="1">IFERROR(__xludf.DUMMYFUNCTION("""COMPUTED_VALUE"""),"C06715 ")</f>
        <v xml:space="preserve">C06715 </v>
      </c>
      <c r="D585" s="4" t="str">
        <f ca="1">IFERROR(__xludf.DUMMYFUNCTION("""COMPUTED_VALUE""")," C00010")</f>
        <v xml:space="preserve"> C00010</v>
      </c>
      <c r="E585" s="4"/>
      <c r="F585" s="4"/>
    </row>
    <row r="586" spans="1:6" ht="14">
      <c r="A586" s="22" t="s">
        <v>16317</v>
      </c>
      <c r="C586" s="4" t="str">
        <f ca="1">IFERROR(__xludf.DUMMYFUNCTION("""COMPUTED_VALUE"""),"C06892 ")</f>
        <v xml:space="preserve">C06892 </v>
      </c>
      <c r="D586" s="4" t="str">
        <f ca="1">IFERROR(__xludf.DUMMYFUNCTION("""COMPUTED_VALUE""")," C00002")</f>
        <v xml:space="preserve"> C00002</v>
      </c>
      <c r="E586" s="4"/>
      <c r="F586" s="4"/>
    </row>
    <row r="587" spans="1:6" ht="14">
      <c r="A587" s="22" t="s">
        <v>16318</v>
      </c>
      <c r="C587" s="4" t="str">
        <f ca="1">IFERROR(__xludf.DUMMYFUNCTION("""COMPUTED_VALUE"""),"C06899 ")</f>
        <v xml:space="preserve">C06899 </v>
      </c>
      <c r="D587" s="4" t="str">
        <f ca="1">IFERROR(__xludf.DUMMYFUNCTION("""COMPUTED_VALUE""")," C00004 ")</f>
        <v xml:space="preserve"> C00004 </v>
      </c>
      <c r="E587" s="4" t="str">
        <f ca="1">IFERROR(__xludf.DUMMYFUNCTION("""COMPUTED_VALUE""")," C00080")</f>
        <v xml:space="preserve"> C00080</v>
      </c>
      <c r="F587" s="4"/>
    </row>
    <row r="588" spans="1:6" ht="14">
      <c r="A588" s="22" t="s">
        <v>16319</v>
      </c>
      <c r="C588" s="4" t="str">
        <f ca="1">IFERROR(__xludf.DUMMYFUNCTION("""COMPUTED_VALUE"""),"C07118 ")</f>
        <v xml:space="preserve">C07118 </v>
      </c>
      <c r="D588" s="4" t="str">
        <f ca="1">IFERROR(__xludf.DUMMYFUNCTION("""COMPUTED_VALUE""")," C00010")</f>
        <v xml:space="preserve"> C00010</v>
      </c>
      <c r="E588" s="4"/>
      <c r="F588" s="4"/>
    </row>
    <row r="589" spans="1:6" ht="14">
      <c r="A589" s="22" t="s">
        <v>16320</v>
      </c>
      <c r="C589" s="4" t="str">
        <f ca="1">IFERROR(__xludf.DUMMYFUNCTION("""COMPUTED_VALUE"""),"C07335")</f>
        <v>C07335</v>
      </c>
      <c r="D589" s="4"/>
      <c r="E589" s="4"/>
      <c r="F589" s="4"/>
    </row>
    <row r="590" spans="1:6" ht="12.5">
      <c r="A590" s="2" t="s">
        <v>16321</v>
      </c>
      <c r="C590" s="4" t="str">
        <f ca="1">IFERROR(__xludf.DUMMYFUNCTION("""COMPUTED_VALUE"""),"C07478")</f>
        <v>C07478</v>
      </c>
      <c r="D590" s="4"/>
      <c r="E590" s="4"/>
      <c r="F590" s="4"/>
    </row>
    <row r="591" spans="1:6" ht="12.5">
      <c r="A591" s="2" t="s">
        <v>16322</v>
      </c>
      <c r="C591" s="4" t="str">
        <f ca="1">IFERROR(__xludf.DUMMYFUNCTION("""COMPUTED_VALUE"""),"C07645 ")</f>
        <v xml:space="preserve">C07645 </v>
      </c>
      <c r="D591" s="4" t="str">
        <f ca="1">IFERROR(__xludf.DUMMYFUNCTION("""COMPUTED_VALUE""")," C00004 ")</f>
        <v xml:space="preserve"> C00004 </v>
      </c>
      <c r="E591" s="4" t="str">
        <f ca="1">IFERROR(__xludf.DUMMYFUNCTION("""COMPUTED_VALUE""")," C00080")</f>
        <v xml:space="preserve"> C00080</v>
      </c>
      <c r="F591" s="4"/>
    </row>
    <row r="592" spans="1:6" ht="14">
      <c r="A592" s="22" t="s">
        <v>16323</v>
      </c>
      <c r="C592" s="4" t="str">
        <f ca="1">IFERROR(__xludf.DUMMYFUNCTION("""COMPUTED_VALUE"""),"C08353")</f>
        <v>C08353</v>
      </c>
      <c r="D592" s="4"/>
      <c r="E592" s="4"/>
      <c r="F592" s="4"/>
    </row>
    <row r="593" spans="1:6" ht="12.5">
      <c r="A593" s="2" t="s">
        <v>16324</v>
      </c>
      <c r="C593" s="4" t="str">
        <f ca="1">IFERROR(__xludf.DUMMYFUNCTION("""COMPUTED_VALUE"""),"C09815 ")</f>
        <v xml:space="preserve">C09815 </v>
      </c>
      <c r="D593" s="4" t="str">
        <f ca="1">IFERROR(__xludf.DUMMYFUNCTION("""COMPUTED_VALUE""")," C00001")</f>
        <v xml:space="preserve"> C00001</v>
      </c>
      <c r="E593" s="4"/>
      <c r="F593" s="4"/>
    </row>
    <row r="594" spans="1:6" ht="14">
      <c r="A594" s="22" t="s">
        <v>16325</v>
      </c>
      <c r="C594" s="4" t="str">
        <f ca="1">IFERROR(__xludf.DUMMYFUNCTION("""COMPUTED_VALUE"""),"C11038 ")</f>
        <v xml:space="preserve">C11038 </v>
      </c>
      <c r="D594" s="4" t="str">
        <f ca="1">IFERROR(__xludf.DUMMYFUNCTION("""COMPUTED_VALUE""")," C00002")</f>
        <v xml:space="preserve"> C00002</v>
      </c>
      <c r="E594" s="4"/>
      <c r="F594" s="4"/>
    </row>
    <row r="595" spans="1:6" ht="14">
      <c r="A595" s="22" t="s">
        <v>16326</v>
      </c>
      <c r="C595" s="4" t="str">
        <f ca="1">IFERROR(__xludf.DUMMYFUNCTION("""COMPUTED_VALUE"""),"C11039")</f>
        <v>C11039</v>
      </c>
      <c r="D595" s="4"/>
      <c r="E595" s="4"/>
      <c r="F595" s="4"/>
    </row>
    <row r="596" spans="1:6" ht="12.5">
      <c r="A596" s="2" t="s">
        <v>16327</v>
      </c>
      <c r="C596" s="4" t="str">
        <f ca="1">IFERROR(__xludf.DUMMYFUNCTION("""COMPUTED_VALUE"""),"C11215 ")</f>
        <v xml:space="preserve">C11215 </v>
      </c>
      <c r="D596" s="4" t="str">
        <f ca="1">IFERROR(__xludf.DUMMYFUNCTION("""COMPUTED_VALUE""")," C00342")</f>
        <v xml:space="preserve"> C00342</v>
      </c>
      <c r="E596" s="4"/>
      <c r="F596" s="4"/>
    </row>
    <row r="597" spans="1:6" ht="14">
      <c r="A597" s="22" t="s">
        <v>16328</v>
      </c>
      <c r="C597" s="4" t="str">
        <f ca="1">IFERROR(__xludf.DUMMYFUNCTION("""COMPUTED_VALUE"""),"C11435 ")</f>
        <v xml:space="preserve">C11435 </v>
      </c>
      <c r="D597" s="4" t="str">
        <f ca="1">IFERROR(__xludf.DUMMYFUNCTION("""COMPUTED_VALUE""")," C00002")</f>
        <v xml:space="preserve"> C00002</v>
      </c>
      <c r="E597" s="4"/>
      <c r="F597" s="4"/>
    </row>
    <row r="598" spans="1:6" ht="14">
      <c r="A598" s="22" t="s">
        <v>16329</v>
      </c>
      <c r="C598" s="4" t="str">
        <f ca="1">IFERROR(__xludf.DUMMYFUNCTION("""COMPUTED_VALUE"""),"C11439 ")</f>
        <v xml:space="preserve">C11439 </v>
      </c>
      <c r="D598" s="4" t="str">
        <f ca="1">IFERROR(__xludf.DUMMYFUNCTION("""COMPUTED_VALUE""")," C00001")</f>
        <v xml:space="preserve"> C00001</v>
      </c>
      <c r="E598" s="4"/>
      <c r="F598" s="4"/>
    </row>
    <row r="599" spans="1:6" ht="14">
      <c r="A599" s="22" t="s">
        <v>16330</v>
      </c>
      <c r="C599" s="4" t="str">
        <f ca="1">IFERROR(__xludf.DUMMYFUNCTION("""COMPUTED_VALUE"""),"C11736 ")</f>
        <v xml:space="preserve">C11736 </v>
      </c>
      <c r="D599" s="4" t="str">
        <f ca="1">IFERROR(__xludf.DUMMYFUNCTION("""COMPUTED_VALUE""")," C00002")</f>
        <v xml:space="preserve"> C00002</v>
      </c>
      <c r="E599" s="4"/>
      <c r="F599" s="4"/>
    </row>
    <row r="600" spans="1:6" ht="14">
      <c r="A600" s="22" t="s">
        <v>16331</v>
      </c>
      <c r="C600" s="4" t="str">
        <f ca="1">IFERROR(__xludf.DUMMYFUNCTION("""COMPUTED_VALUE"""),"C14089 ")</f>
        <v xml:space="preserve">C14089 </v>
      </c>
      <c r="D600" s="4" t="str">
        <f ca="1">IFERROR(__xludf.DUMMYFUNCTION("""COMPUTED_VALUE""")," C00003")</f>
        <v xml:space="preserve"> C00003</v>
      </c>
      <c r="E600" s="4"/>
      <c r="F600" s="4"/>
    </row>
    <row r="601" spans="1:6" ht="14">
      <c r="A601" s="21" t="s">
        <v>16332</v>
      </c>
      <c r="C601" s="4" t="str">
        <f ca="1">IFERROR(__xludf.DUMMYFUNCTION("""COMPUTED_VALUE"""),"C14899 ")</f>
        <v xml:space="preserve">C14899 </v>
      </c>
      <c r="D601" s="4" t="str">
        <f ca="1">IFERROR(__xludf.DUMMYFUNCTION("""COMPUTED_VALUE""")," C00080")</f>
        <v xml:space="preserve"> C00080</v>
      </c>
      <c r="E601" s="4"/>
      <c r="F601" s="4"/>
    </row>
    <row r="602" spans="1:6" ht="14">
      <c r="A602" s="22" t="s">
        <v>16333</v>
      </c>
      <c r="C602" s="4" t="str">
        <f ca="1">IFERROR(__xludf.DUMMYFUNCTION("""COMPUTED_VALUE"""),"C15667")</f>
        <v>C15667</v>
      </c>
      <c r="D602" s="4"/>
      <c r="E602" s="4"/>
      <c r="F602" s="4"/>
    </row>
    <row r="603" spans="1:6" ht="12.5">
      <c r="A603" s="2" t="s">
        <v>16334</v>
      </c>
      <c r="C603" s="4" t="str">
        <f ca="1">IFERROR(__xludf.DUMMYFUNCTION("""COMPUTED_VALUE"""),"C15812 ")</f>
        <v xml:space="preserve">C15812 </v>
      </c>
      <c r="D603" s="4" t="str">
        <f ca="1">IFERROR(__xludf.DUMMYFUNCTION("""COMPUTED_VALUE""")," C15813 ")</f>
        <v xml:space="preserve"> C15813 </v>
      </c>
      <c r="E603" s="4" t="str">
        <f ca="1">IFERROR(__xludf.DUMMYFUNCTION("""COMPUTED_VALUE""")," C00030")</f>
        <v xml:space="preserve"> C00030</v>
      </c>
      <c r="F603" s="4"/>
    </row>
    <row r="604" spans="1:6" ht="14">
      <c r="A604" s="22" t="s">
        <v>16335</v>
      </c>
      <c r="C604" s="4" t="str">
        <f ca="1">IFERROR(__xludf.DUMMYFUNCTION("""COMPUTED_VALUE"""),"C15973 ")</f>
        <v xml:space="preserve">C15973 </v>
      </c>
      <c r="D604" s="4" t="str">
        <f ca="1">IFERROR(__xludf.DUMMYFUNCTION("""COMPUTED_VALUE""")," C00003")</f>
        <v xml:space="preserve"> C00003</v>
      </c>
      <c r="E604" s="4"/>
      <c r="F604" s="4"/>
    </row>
    <row r="605" spans="1:6" ht="14">
      <c r="A605" s="22" t="s">
        <v>16336</v>
      </c>
      <c r="C605" s="4" t="str">
        <f ca="1">IFERROR(__xludf.DUMMYFUNCTION("""COMPUTED_VALUE"""),"C16169 ")</f>
        <v xml:space="preserve">C16169 </v>
      </c>
      <c r="D605" s="4" t="str">
        <f ca="1">IFERROR(__xludf.DUMMYFUNCTION("""COMPUTED_VALUE""")," C00024")</f>
        <v xml:space="preserve"> C00024</v>
      </c>
      <c r="E605" s="4"/>
      <c r="F605" s="4"/>
    </row>
    <row r="606" spans="1:6" ht="14">
      <c r="A606" s="22" t="s">
        <v>16337</v>
      </c>
      <c r="C606" s="4" t="str">
        <f ca="1">IFERROR(__xludf.DUMMYFUNCTION("""COMPUTED_VALUE"""),"C16173 ")</f>
        <v xml:space="preserve">C16173 </v>
      </c>
      <c r="D606" s="4" t="str">
        <f ca="1">IFERROR(__xludf.DUMMYFUNCTION("""COMPUTED_VALUE""")," C00024")</f>
        <v xml:space="preserve"> C00024</v>
      </c>
      <c r="E606" s="4"/>
      <c r="F606" s="4"/>
    </row>
    <row r="607" spans="1:6" ht="14">
      <c r="A607" s="22" t="s">
        <v>16338</v>
      </c>
      <c r="C607" s="4" t="str">
        <f ca="1">IFERROR(__xludf.DUMMYFUNCTION("""COMPUTED_VALUE"""),"C16219 ")</f>
        <v xml:space="preserve">C16219 </v>
      </c>
      <c r="D607" s="4" t="str">
        <f ca="1">IFERROR(__xludf.DUMMYFUNCTION("""COMPUTED_VALUE""")," C00005 ")</f>
        <v xml:space="preserve"> C00005 </v>
      </c>
      <c r="E607" s="4" t="str">
        <f ca="1">IFERROR(__xludf.DUMMYFUNCTION("""COMPUTED_VALUE""")," C00080")</f>
        <v xml:space="preserve"> C00080</v>
      </c>
      <c r="F607" s="4"/>
    </row>
    <row r="608" spans="1:6" ht="12.5">
      <c r="A608" s="4" t="s">
        <v>12627</v>
      </c>
      <c r="C608" s="4" t="str">
        <f ca="1">IFERROR(__xludf.DUMMYFUNCTION("""COMPUTED_VALUE"""),"C16238 ")</f>
        <v xml:space="preserve">C16238 </v>
      </c>
      <c r="D608" s="4" t="str">
        <f ca="1">IFERROR(__xludf.DUMMYFUNCTION("""COMPUTED_VALUE""")," C16240")</f>
        <v xml:space="preserve"> C16240</v>
      </c>
      <c r="E608" s="4"/>
      <c r="F608" s="4"/>
    </row>
    <row r="609" spans="1:6" ht="14">
      <c r="A609" s="22" t="s">
        <v>16339</v>
      </c>
      <c r="C609" s="4" t="str">
        <f ca="1">IFERROR(__xludf.DUMMYFUNCTION("""COMPUTED_VALUE"""),"C16310 ")</f>
        <v xml:space="preserve">C16310 </v>
      </c>
      <c r="D609" s="4" t="str">
        <f ca="1">IFERROR(__xludf.DUMMYFUNCTION("""COMPUTED_VALUE""")," C00004 ")</f>
        <v xml:space="preserve"> C00004 </v>
      </c>
      <c r="E609" s="4" t="str">
        <f ca="1">IFERROR(__xludf.DUMMYFUNCTION("""COMPUTED_VALUE""")," C00080")</f>
        <v xml:space="preserve"> C00080</v>
      </c>
      <c r="F609" s="4"/>
    </row>
    <row r="610" spans="1:6" ht="14">
      <c r="A610" s="22" t="s">
        <v>16340</v>
      </c>
      <c r="C610" s="4" t="str">
        <f ca="1">IFERROR(__xludf.DUMMYFUNCTION("""COMPUTED_VALUE"""),"C16331 ")</f>
        <v xml:space="preserve">C16331 </v>
      </c>
      <c r="D610" s="4" t="str">
        <f ca="1">IFERROR(__xludf.DUMMYFUNCTION("""COMPUTED_VALUE""")," C00024")</f>
        <v xml:space="preserve"> C00024</v>
      </c>
      <c r="E610" s="4"/>
      <c r="F610" s="4"/>
    </row>
    <row r="611" spans="1:6" ht="14">
      <c r="A611" s="22" t="s">
        <v>16341</v>
      </c>
      <c r="C611" s="4" t="str">
        <f ca="1">IFERROR(__xludf.DUMMYFUNCTION("""COMPUTED_VALUE"""),"C16335 ")</f>
        <v xml:space="preserve">C16335 </v>
      </c>
      <c r="D611" s="4" t="str">
        <f ca="1">IFERROR(__xludf.DUMMYFUNCTION("""COMPUTED_VALUE""")," C00024")</f>
        <v xml:space="preserve"> C00024</v>
      </c>
      <c r="E611" s="4"/>
      <c r="F611" s="4"/>
    </row>
    <row r="612" spans="1:6" ht="14">
      <c r="A612" s="22" t="s">
        <v>16342</v>
      </c>
      <c r="C612" s="4" t="str">
        <f ca="1">IFERROR(__xludf.DUMMYFUNCTION("""COMPUTED_VALUE"""),"C16339 ")</f>
        <v xml:space="preserve">C16339 </v>
      </c>
      <c r="D612" s="4" t="str">
        <f ca="1">IFERROR(__xludf.DUMMYFUNCTION("""COMPUTED_VALUE""")," C00024")</f>
        <v xml:space="preserve"> C00024</v>
      </c>
      <c r="E612" s="4"/>
      <c r="F612" s="4"/>
    </row>
    <row r="613" spans="1:6" ht="14">
      <c r="A613" s="22" t="s">
        <v>16343</v>
      </c>
      <c r="C613" s="4" t="str">
        <f ca="1">IFERROR(__xludf.DUMMYFUNCTION("""COMPUTED_VALUE"""),"C16466 ")</f>
        <v xml:space="preserve">C16466 </v>
      </c>
      <c r="D613" s="4" t="str">
        <f ca="1">IFERROR(__xludf.DUMMYFUNCTION("""COMPUTED_VALUE""")," C00010")</f>
        <v xml:space="preserve"> C00010</v>
      </c>
      <c r="E613" s="4"/>
      <c r="F613" s="4"/>
    </row>
    <row r="614" spans="1:6" ht="14">
      <c r="A614" s="22" t="s">
        <v>16344</v>
      </c>
      <c r="C614" s="4" t="str">
        <f ca="1">IFERROR(__xludf.DUMMYFUNCTION("""COMPUTED_VALUE"""),"C16471 ")</f>
        <v xml:space="preserve">C16471 </v>
      </c>
      <c r="D614" s="4" t="str">
        <f ca="1">IFERROR(__xludf.DUMMYFUNCTION("""COMPUTED_VALUE""")," C00010")</f>
        <v xml:space="preserve"> C00010</v>
      </c>
      <c r="E614" s="4"/>
      <c r="F614" s="4"/>
    </row>
    <row r="615" spans="1:6" ht="14">
      <c r="A615" s="22" t="s">
        <v>16345</v>
      </c>
      <c r="C615" s="4" t="str">
        <f ca="1">IFERROR(__xludf.DUMMYFUNCTION("""COMPUTED_VALUE"""),"C16586 ")</f>
        <v xml:space="preserve">C16586 </v>
      </c>
      <c r="D615" s="4" t="str">
        <f ca="1">IFERROR(__xludf.DUMMYFUNCTION("""COMPUTED_VALUE""")," C00003")</f>
        <v xml:space="preserve"> C00003</v>
      </c>
      <c r="E615" s="4"/>
      <c r="F615" s="4"/>
    </row>
    <row r="616" spans="1:6" ht="14">
      <c r="A616" s="22" t="s">
        <v>16346</v>
      </c>
      <c r="C616" s="4" t="str">
        <f ca="1">IFERROR(__xludf.DUMMYFUNCTION("""COMPUTED_VALUE"""),"C16595 ")</f>
        <v xml:space="preserve">C16595 </v>
      </c>
      <c r="D616" s="4" t="str">
        <f ca="1">IFERROR(__xludf.DUMMYFUNCTION("""COMPUTED_VALUE""")," C00003")</f>
        <v xml:space="preserve"> C00003</v>
      </c>
      <c r="E616" s="4"/>
      <c r="F616" s="4"/>
    </row>
    <row r="617" spans="1:6" ht="14">
      <c r="A617" s="22" t="s">
        <v>16347</v>
      </c>
      <c r="C617" s="4" t="str">
        <f ca="1">IFERROR(__xludf.DUMMYFUNCTION("""COMPUTED_VALUE"""),"C16618 ")</f>
        <v xml:space="preserve">C16618 </v>
      </c>
      <c r="D617" s="4" t="str">
        <f ca="1">IFERROR(__xludf.DUMMYFUNCTION("""COMPUTED_VALUE""")," C00002 ")</f>
        <v xml:space="preserve"> C00002 </v>
      </c>
      <c r="E617" s="4" t="str">
        <f ca="1">IFERROR(__xludf.DUMMYFUNCTION("""COMPUTED_VALUE""")," C00064 ")</f>
        <v xml:space="preserve"> C00064 </v>
      </c>
      <c r="F617" s="4" t="str">
        <f ca="1">IFERROR(__xludf.DUMMYFUNCTION("""COMPUTED_VALUE""")," C00001")</f>
        <v xml:space="preserve"> C00001</v>
      </c>
    </row>
    <row r="618" spans="1:6" ht="14">
      <c r="A618" s="22" t="s">
        <v>16348</v>
      </c>
      <c r="C618" s="4" t="str">
        <f ca="1">IFERROR(__xludf.DUMMYFUNCTION("""COMPUTED_VALUE"""),"C16633 ")</f>
        <v xml:space="preserve">C16633 </v>
      </c>
      <c r="D618" s="4" t="str">
        <f ca="1">IFERROR(__xludf.DUMMYFUNCTION("""COMPUTED_VALUE""")," C00002")</f>
        <v xml:space="preserve"> C00002</v>
      </c>
      <c r="E618" s="4"/>
      <c r="F618" s="4"/>
    </row>
    <row r="619" spans="1:6" ht="14">
      <c r="A619" s="22" t="s">
        <v>16349</v>
      </c>
      <c r="C619" s="4" t="str">
        <f ca="1">IFERROR(__xludf.DUMMYFUNCTION("""COMPUTED_VALUE"""),"C16635 ")</f>
        <v xml:space="preserve">C16635 </v>
      </c>
      <c r="D619" s="4" t="str">
        <f ca="1">IFERROR(__xludf.DUMMYFUNCTION("""COMPUTED_VALUE""")," C00001")</f>
        <v xml:space="preserve"> C00001</v>
      </c>
      <c r="E619" s="4"/>
      <c r="F619" s="4"/>
    </row>
    <row r="620" spans="1:6" ht="14">
      <c r="A620" s="22" t="s">
        <v>16350</v>
      </c>
      <c r="C620" s="4" t="str">
        <f ca="1">IFERROR(__xludf.DUMMYFUNCTION("""COMPUTED_VALUE"""),"C16688 ")</f>
        <v xml:space="preserve">C16688 </v>
      </c>
      <c r="D620" s="4" t="str">
        <f ca="1">IFERROR(__xludf.DUMMYFUNCTION("""COMPUTED_VALUE""")," C00001")</f>
        <v xml:space="preserve"> C00001</v>
      </c>
      <c r="E620" s="4"/>
      <c r="F620" s="4"/>
    </row>
    <row r="621" spans="1:6" ht="14">
      <c r="A621" s="22" t="s">
        <v>16351</v>
      </c>
      <c r="C621" s="4" t="str">
        <f ca="1">IFERROR(__xludf.DUMMYFUNCTION("""COMPUTED_VALUE"""),"C16737")</f>
        <v>C16737</v>
      </c>
      <c r="D621" s="4"/>
      <c r="E621" s="4"/>
      <c r="F621" s="4"/>
    </row>
    <row r="622" spans="1:6" ht="12.5">
      <c r="A622" s="2" t="s">
        <v>16352</v>
      </c>
      <c r="C622" s="4" t="str">
        <f ca="1">IFERROR(__xludf.DUMMYFUNCTION("""COMPUTED_VALUE"""),"C16832 ")</f>
        <v xml:space="preserve">C16832 </v>
      </c>
      <c r="D622" s="4" t="str">
        <f ca="1">IFERROR(__xludf.DUMMYFUNCTION("""COMPUTED_VALUE""")," C00003")</f>
        <v xml:space="preserve"> C00003</v>
      </c>
      <c r="E622" s="4"/>
      <c r="F622" s="4"/>
    </row>
    <row r="623" spans="1:6" ht="14">
      <c r="A623" s="22" t="s">
        <v>16353</v>
      </c>
      <c r="C623" s="4" t="str">
        <f ca="1">IFERROR(__xludf.DUMMYFUNCTION("""COMPUTED_VALUE"""),"C17324 ")</f>
        <v xml:space="preserve">C17324 </v>
      </c>
      <c r="D623" s="4" t="str">
        <f ca="1">IFERROR(__xludf.DUMMYFUNCTION("""COMPUTED_VALUE""")," C00001")</f>
        <v xml:space="preserve"> C00001</v>
      </c>
      <c r="E623" s="4"/>
      <c r="F623" s="4"/>
    </row>
    <row r="624" spans="1:6" ht="14">
      <c r="A624" s="22" t="s">
        <v>16354</v>
      </c>
      <c r="C624" s="4" t="str">
        <f ca="1">IFERROR(__xludf.DUMMYFUNCTION("""COMPUTED_VALUE"""),"C17551 ")</f>
        <v xml:space="preserve">C17551 </v>
      </c>
      <c r="D624" s="4" t="str">
        <f ca="1">IFERROR(__xludf.DUMMYFUNCTION("""COMPUTED_VALUE""")," C00019")</f>
        <v xml:space="preserve"> C00019</v>
      </c>
      <c r="E624" s="4"/>
      <c r="F624" s="4"/>
    </row>
    <row r="625" spans="1:6" ht="14">
      <c r="A625" s="22" t="s">
        <v>16355</v>
      </c>
      <c r="C625" s="4" t="str">
        <f ca="1">IFERROR(__xludf.DUMMYFUNCTION("""COMPUTED_VALUE"""),"C17562 ")</f>
        <v xml:space="preserve">C17562 </v>
      </c>
      <c r="D625" s="4" t="str">
        <f ca="1">IFERROR(__xludf.DUMMYFUNCTION("""COMPUTED_VALUE""")," C00019")</f>
        <v xml:space="preserve"> C00019</v>
      </c>
      <c r="E625" s="4"/>
      <c r="F625" s="4"/>
    </row>
    <row r="626" spans="1:6" ht="14">
      <c r="A626" s="22" t="s">
        <v>16356</v>
      </c>
      <c r="C626" s="4" t="str">
        <f ca="1">IFERROR(__xludf.DUMMYFUNCTION("""COMPUTED_VALUE"""),"C19078 ")</f>
        <v xml:space="preserve">C19078 </v>
      </c>
      <c r="D626" s="4" t="str">
        <f ca="1">IFERROR(__xludf.DUMMYFUNCTION("""COMPUTED_VALUE""")," C00063")</f>
        <v xml:space="preserve"> C00063</v>
      </c>
      <c r="E626" s="4"/>
      <c r="F626" s="4"/>
    </row>
    <row r="627" spans="1:6" ht="14">
      <c r="A627" s="22" t="s">
        <v>16357</v>
      </c>
      <c r="C627" s="4" t="str">
        <f ca="1">IFERROR(__xludf.DUMMYFUNCTION("""COMPUTED_VALUE"""),"C19080 ")</f>
        <v xml:space="preserve">C19080 </v>
      </c>
      <c r="D627" s="4" t="str">
        <f ca="1">IFERROR(__xludf.DUMMYFUNCTION("""COMPUTED_VALUE""")," C00002")</f>
        <v xml:space="preserve"> C00002</v>
      </c>
      <c r="E627" s="4"/>
      <c r="F627" s="4"/>
    </row>
    <row r="628" spans="1:6" ht="14">
      <c r="A628" s="22" t="s">
        <v>16358</v>
      </c>
      <c r="C628" s="4" t="str">
        <f ca="1">IFERROR(__xludf.DUMMYFUNCTION("""COMPUTED_VALUE"""),"C19673 ")</f>
        <v xml:space="preserve">C19673 </v>
      </c>
      <c r="D628" s="4" t="str">
        <f ca="1">IFERROR(__xludf.DUMMYFUNCTION("""COMPUTED_VALUE""")," C01209")</f>
        <v xml:space="preserve"> C01209</v>
      </c>
      <c r="E628" s="4"/>
      <c r="F628" s="4"/>
    </row>
    <row r="629" spans="1:6" ht="14">
      <c r="A629" s="22" t="s">
        <v>16359</v>
      </c>
      <c r="C629" s="4" t="str">
        <f ca="1">IFERROR(__xludf.DUMMYFUNCTION("""COMPUTED_VALUE"""),"C19722 ")</f>
        <v xml:space="preserve">C19722 </v>
      </c>
      <c r="D629" s="4" t="str">
        <f ca="1">IFERROR(__xludf.DUMMYFUNCTION("""COMPUTED_VALUE""")," C00047 ")</f>
        <v xml:space="preserve"> C00047 </v>
      </c>
      <c r="E629" s="4" t="str">
        <f ca="1">IFERROR(__xludf.DUMMYFUNCTION("""COMPUTED_VALUE""")," C00002")</f>
        <v xml:space="preserve"> C00002</v>
      </c>
      <c r="F629" s="4"/>
    </row>
    <row r="630" spans="1:6" ht="14">
      <c r="A630" s="22" t="s">
        <v>16360</v>
      </c>
      <c r="C630" s="4" t="str">
        <f ca="1">IFERROR(__xludf.DUMMYFUNCTION("""COMPUTED_VALUE"""),"C19771 ")</f>
        <v xml:space="preserve">C19771 </v>
      </c>
      <c r="D630" s="4" t="str">
        <f ca="1">IFERROR(__xludf.DUMMYFUNCTION("""COMPUTED_VALUE""")," C03688")</f>
        <v xml:space="preserve"> C03688</v>
      </c>
      <c r="E630" s="4"/>
      <c r="F630" s="4"/>
    </row>
    <row r="631" spans="1:6" ht="14">
      <c r="A631" s="22" t="s">
        <v>16361</v>
      </c>
      <c r="C631" s="4" t="str">
        <f ca="1">IFERROR(__xludf.DUMMYFUNCTION("""COMPUTED_VALUE"""),"C20267 ")</f>
        <v xml:space="preserve">C20267 </v>
      </c>
      <c r="D631" s="4" t="str">
        <f ca="1">IFERROR(__xludf.DUMMYFUNCTION("""COMPUTED_VALUE""")," C00001")</f>
        <v xml:space="preserve"> C00001</v>
      </c>
      <c r="E631" s="4"/>
      <c r="F631" s="4"/>
    </row>
    <row r="632" spans="1:6" ht="14">
      <c r="A632" s="22" t="s">
        <v>16362</v>
      </c>
      <c r="C632" s="4" t="str">
        <f ca="1">IFERROR(__xludf.DUMMYFUNCTION("""COMPUTED_VALUE"""),"C20372 ")</f>
        <v xml:space="preserve">C20372 </v>
      </c>
      <c r="D632" s="4" t="str">
        <f ca="1">IFERROR(__xludf.DUMMYFUNCTION("""COMPUTED_VALUE""")," C00005 ")</f>
        <v xml:space="preserve"> C00005 </v>
      </c>
      <c r="E632" s="4" t="str">
        <f ca="1">IFERROR(__xludf.DUMMYFUNCTION("""COMPUTED_VALUE""")," C00080")</f>
        <v xml:space="preserve"> C00080</v>
      </c>
      <c r="F632" s="4"/>
    </row>
    <row r="633" spans="1:6" ht="14">
      <c r="A633" s="22" t="s">
        <v>16363</v>
      </c>
      <c r="C633" s="4" t="str">
        <f ca="1">IFERROR(__xludf.DUMMYFUNCTION("""COMPUTED_VALUE"""),"C20373")</f>
        <v>C20373</v>
      </c>
      <c r="D633" s="4"/>
      <c r="E633" s="4"/>
      <c r="F633" s="4"/>
    </row>
    <row r="634" spans="1:6" ht="12.5">
      <c r="A634" s="2" t="s">
        <v>16364</v>
      </c>
      <c r="C634" s="4" t="str">
        <f ca="1">IFERROR(__xludf.DUMMYFUNCTION("""COMPUTED_VALUE"""),"C20375 ")</f>
        <v xml:space="preserve">C20375 </v>
      </c>
      <c r="D634" s="4" t="str">
        <f ca="1">IFERROR(__xludf.DUMMYFUNCTION("""COMPUTED_VALUE""")," C01209")</f>
        <v xml:space="preserve"> C01209</v>
      </c>
      <c r="E634" s="4"/>
      <c r="F634" s="4"/>
    </row>
    <row r="635" spans="1:6" ht="14">
      <c r="A635" s="22" t="s">
        <v>16365</v>
      </c>
      <c r="C635" s="4" t="str">
        <f ca="1">IFERROR(__xludf.DUMMYFUNCTION("""COMPUTED_VALUE"""),"C20376 ")</f>
        <v xml:space="preserve">C20376 </v>
      </c>
      <c r="D635" s="4" t="str">
        <f ca="1">IFERROR(__xludf.DUMMYFUNCTION("""COMPUTED_VALUE""")," C00005 ")</f>
        <v xml:space="preserve"> C00005 </v>
      </c>
      <c r="E635" s="4" t="str">
        <f ca="1">IFERROR(__xludf.DUMMYFUNCTION("""COMPUTED_VALUE""")," C00080")</f>
        <v xml:space="preserve"> C00080</v>
      </c>
      <c r="F635" s="4"/>
    </row>
    <row r="636" spans="1:6" ht="14">
      <c r="A636" s="22" t="s">
        <v>16366</v>
      </c>
      <c r="C636" s="4" t="str">
        <f ca="1">IFERROR(__xludf.DUMMYFUNCTION("""COMPUTED_VALUE"""),"C20377")</f>
        <v>C20377</v>
      </c>
      <c r="D636" s="4"/>
      <c r="E636" s="4"/>
      <c r="F636" s="4"/>
    </row>
    <row r="637" spans="1:6" ht="12.5">
      <c r="A637" s="2" t="s">
        <v>16367</v>
      </c>
      <c r="C637" s="4" t="str">
        <f ca="1">IFERROR(__xludf.DUMMYFUNCTION("""COMPUTED_VALUE"""),"C20641 ")</f>
        <v xml:space="preserve">C20641 </v>
      </c>
      <c r="D637" s="4" t="str">
        <f ca="1">IFERROR(__xludf.DUMMYFUNCTION("""COMPUTED_VALUE""")," C17324")</f>
        <v xml:space="preserve"> C17324</v>
      </c>
      <c r="E637" s="4"/>
      <c r="F637" s="4"/>
    </row>
    <row r="638" spans="1:6" ht="14">
      <c r="A638" s="22" t="s">
        <v>16368</v>
      </c>
      <c r="C638" s="4" t="str">
        <f ca="1">IFERROR(__xludf.DUMMYFUNCTION("""COMPUTED_VALUE"""),"C20904 ")</f>
        <v xml:space="preserve">C20904 </v>
      </c>
      <c r="D638" s="4" t="str">
        <f ca="1">IFERROR(__xludf.DUMMYFUNCTION("""COMPUTED_VALUE""")," C00001")</f>
        <v xml:space="preserve"> C00001</v>
      </c>
      <c r="E638" s="4"/>
      <c r="F638" s="4"/>
    </row>
    <row r="639" spans="1:6" ht="14">
      <c r="A639" s="22" t="s">
        <v>16369</v>
      </c>
      <c r="C639" s="4" t="str">
        <f ca="1">IFERROR(__xludf.DUMMYFUNCTION("""COMPUTED_VALUE"""),"C21750 ")</f>
        <v xml:space="preserve">C21750 </v>
      </c>
      <c r="D639" s="4" t="str">
        <f ca="1">IFERROR(__xludf.DUMMYFUNCTION("""COMPUTED_VALUE""")," C00343 ")</f>
        <v xml:space="preserve"> C00343 </v>
      </c>
      <c r="E639" s="4" t="str">
        <f ca="1">IFERROR(__xludf.DUMMYFUNCTION("""COMPUTED_VALUE""")," C00001")</f>
        <v xml:space="preserve"> C00001</v>
      </c>
      <c r="F639" s="4"/>
    </row>
    <row r="640" spans="1:6" ht="14">
      <c r="A640" s="22" t="s">
        <v>16370</v>
      </c>
      <c r="C640" s="4" t="str">
        <f ca="1">IFERROR(__xludf.DUMMYFUNCTION("""COMPUTED_VALUE"""),"C22395")</f>
        <v>C22395</v>
      </c>
      <c r="D640" s="4"/>
      <c r="E640" s="4"/>
      <c r="F640" s="4"/>
    </row>
    <row r="641" spans="1:6" ht="12.5">
      <c r="A641" s="2" t="s">
        <v>16371</v>
      </c>
      <c r="C641" s="4" t="str">
        <f ca="1">IFERROR(__xludf.DUMMYFUNCTION("""COMPUTED_VALUE"""),"C22441 ")</f>
        <v xml:space="preserve">C22441 </v>
      </c>
      <c r="D641" s="4" t="str">
        <f ca="1">IFERROR(__xludf.DUMMYFUNCTION("""COMPUTED_VALUE""")," C00002")</f>
        <v xml:space="preserve"> C00002</v>
      </c>
      <c r="E641" s="4"/>
      <c r="F641" s="4"/>
    </row>
    <row r="642" spans="1:6" ht="14">
      <c r="A642" s="22" t="s">
        <v>16372</v>
      </c>
      <c r="C642" s="4" t="str">
        <f ca="1">IFERROR(__xludf.DUMMYFUNCTION("""COMPUTED_VALUE"""),"C22442 ")</f>
        <v xml:space="preserve">C22442 </v>
      </c>
      <c r="D642" s="4" t="str">
        <f ca="1">IFERROR(__xludf.DUMMYFUNCTION("""COMPUTED_VALUE""")," C00002")</f>
        <v xml:space="preserve"> C00002</v>
      </c>
      <c r="E642" s="4"/>
      <c r="F642" s="4"/>
    </row>
    <row r="643" spans="1:6" ht="14">
      <c r="A643" s="22" t="s">
        <v>16373</v>
      </c>
      <c r="C643" s="4" t="str">
        <f ca="1">IFERROR(__xludf.DUMMYFUNCTION("""COMPUTED_VALUE"""),"C23006 ")</f>
        <v xml:space="preserve">C23006 </v>
      </c>
      <c r="D643" s="4" t="str">
        <f ca="1">IFERROR(__xludf.DUMMYFUNCTION("""COMPUTED_VALUE""")," C00010")</f>
        <v xml:space="preserve"> C00010</v>
      </c>
      <c r="E643" s="4"/>
      <c r="F643" s="4"/>
    </row>
    <row r="644" spans="1:6" ht="14">
      <c r="A644" s="22" t="s">
        <v>16374</v>
      </c>
      <c r="C644" s="4" t="str">
        <f ca="1">IFERROR(__xludf.DUMMYFUNCTION("""COMPUTED_VALUE"""),"C23013 ")</f>
        <v xml:space="preserve">C23013 </v>
      </c>
      <c r="D644" s="4" t="str">
        <f ca="1">IFERROR(__xludf.DUMMYFUNCTION("""COMPUTED_VALUE""")," C00010")</f>
        <v xml:space="preserve"> C00010</v>
      </c>
      <c r="E644" s="4"/>
      <c r="F644" s="4"/>
    </row>
    <row r="645" spans="1:6" ht="14">
      <c r="A645" s="22" t="s">
        <v>16375</v>
      </c>
      <c r="C645" s="4" t="str">
        <f ca="1">IFERROR(__xludf.DUMMYFUNCTION("""COMPUTED_VALUE"""),"C23016 ")</f>
        <v xml:space="preserve">C23016 </v>
      </c>
      <c r="D645" s="4" t="str">
        <f ca="1">IFERROR(__xludf.DUMMYFUNCTION("""COMPUTED_VALUE""")," C00010")</f>
        <v xml:space="preserve"> C00010</v>
      </c>
      <c r="E645" s="4"/>
      <c r="F645" s="4"/>
    </row>
    <row r="646" spans="1:6" ht="14">
      <c r="A646" s="22" t="s">
        <v>16376</v>
      </c>
      <c r="C646" s="4" t="str">
        <f ca="1">IFERROR(__xludf.DUMMYFUNCTION("""COMPUTED_VALUE"""),"C23021 ")</f>
        <v xml:space="preserve">C23021 </v>
      </c>
      <c r="D646" s="4" t="str">
        <f ca="1">IFERROR(__xludf.DUMMYFUNCTION("""COMPUTED_VALUE""")," C00010")</f>
        <v xml:space="preserve"> C00010</v>
      </c>
      <c r="E646" s="4"/>
      <c r="F646" s="4"/>
    </row>
    <row r="647" spans="1:6" ht="14">
      <c r="A647" s="22" t="s">
        <v>16377</v>
      </c>
      <c r="C647" s="4" t="str">
        <f ca="1">IFERROR(__xludf.DUMMYFUNCTION("""COMPUTED_VALUE"""),"G00092 ")</f>
        <v xml:space="preserve">G00092 </v>
      </c>
      <c r="D647" s="4" t="str">
        <f ca="1">IFERROR(__xludf.DUMMYFUNCTION("""COMPUTED_VALUE""")," C00001")</f>
        <v xml:space="preserve"> C00001</v>
      </c>
      <c r="E647" s="4"/>
      <c r="F647" s="4"/>
    </row>
    <row r="648" spans="1:6" ht="14">
      <c r="A648" s="22" t="s">
        <v>16378</v>
      </c>
      <c r="C648" s="4" t="str">
        <f ca="1">IFERROR(__xludf.DUMMYFUNCTION("""COMPUTED_VALUE"""),"G00110 ")</f>
        <v xml:space="preserve">G00110 </v>
      </c>
      <c r="D648" s="4" t="str">
        <f ca="1">IFERROR(__xludf.DUMMYFUNCTION("""COMPUTED_VALUE""")," C00001")</f>
        <v xml:space="preserve"> C00001</v>
      </c>
      <c r="E648" s="4"/>
      <c r="F648" s="4"/>
    </row>
    <row r="649" spans="1:6" ht="14">
      <c r="A649" s="22" t="s">
        <v>16379</v>
      </c>
      <c r="C649" s="4" t="str">
        <f ca="1">IFERROR(__xludf.DUMMYFUNCTION("""COMPUTED_VALUE"""),"G00124 ")</f>
        <v xml:space="preserve">G00124 </v>
      </c>
      <c r="D649" s="4" t="str">
        <f ca="1">IFERROR(__xludf.DUMMYFUNCTION("""COMPUTED_VALUE""")," C00001")</f>
        <v xml:space="preserve"> C00001</v>
      </c>
      <c r="E649" s="4"/>
      <c r="F649" s="4"/>
    </row>
    <row r="650" spans="1:6" ht="14">
      <c r="A650" s="22" t="s">
        <v>16380</v>
      </c>
      <c r="C650" s="4" t="str">
        <f ca="1">IFERROR(__xludf.DUMMYFUNCTION("""COMPUTED_VALUE"""),"G00249 ")</f>
        <v xml:space="preserve">G00249 </v>
      </c>
      <c r="D650" s="4" t="str">
        <f ca="1">IFERROR(__xludf.DUMMYFUNCTION("""COMPUTED_VALUE""")," C00001")</f>
        <v xml:space="preserve"> C00001</v>
      </c>
      <c r="E650" s="4"/>
      <c r="F650" s="4"/>
    </row>
    <row r="651" spans="1:6" ht="14">
      <c r="A651" s="22" t="s">
        <v>16381</v>
      </c>
      <c r="C651" s="4" t="str">
        <f ca="1">IFERROR(__xludf.DUMMYFUNCTION("""COMPUTED_VALUE"""),"G00249 ")</f>
        <v xml:space="preserve">G00249 </v>
      </c>
      <c r="D651" s="4" t="str">
        <f ca="1">IFERROR(__xludf.DUMMYFUNCTION("""COMPUTED_VALUE""")," C00001")</f>
        <v xml:space="preserve"> C00001</v>
      </c>
      <c r="E651" s="4"/>
      <c r="F651" s="4"/>
    </row>
    <row r="652" spans="1:6" ht="14">
      <c r="A652" s="22" t="s">
        <v>16382</v>
      </c>
      <c r="C652" s="4" t="str">
        <f ca="1">IFERROR(__xludf.DUMMYFUNCTION("""COMPUTED_VALUE"""),"G00275 ")</f>
        <v xml:space="preserve">G00275 </v>
      </c>
      <c r="D652" s="4" t="str">
        <f ca="1">IFERROR(__xludf.DUMMYFUNCTION("""COMPUTED_VALUE""")," C00001")</f>
        <v xml:space="preserve"> C00001</v>
      </c>
      <c r="E652" s="4"/>
      <c r="F652" s="4"/>
    </row>
    <row r="653" spans="1:6" ht="14">
      <c r="A653" s="22" t="s">
        <v>16383</v>
      </c>
      <c r="C653" s="4" t="str">
        <f ca="1">IFERROR(__xludf.DUMMYFUNCTION("""COMPUTED_VALUE"""),"G00278 ")</f>
        <v xml:space="preserve">G00278 </v>
      </c>
      <c r="D653" s="4" t="str">
        <f ca="1">IFERROR(__xludf.DUMMYFUNCTION("""COMPUTED_VALUE""")," C00001")</f>
        <v xml:space="preserve"> C00001</v>
      </c>
      <c r="E653" s="4"/>
      <c r="F653" s="4"/>
    </row>
    <row r="654" spans="1:6" ht="14">
      <c r="A654" s="22" t="s">
        <v>16384</v>
      </c>
      <c r="C654" s="4" t="str">
        <f ca="1">IFERROR(__xludf.DUMMYFUNCTION("""COMPUTED_VALUE"""),"G00278 ")</f>
        <v xml:space="preserve">G00278 </v>
      </c>
      <c r="D654" s="4" t="str">
        <f ca="1">IFERROR(__xludf.DUMMYFUNCTION("""COMPUTED_VALUE""")," C00001")</f>
        <v xml:space="preserve"> C00001</v>
      </c>
      <c r="E654" s="4"/>
      <c r="F654" s="4"/>
    </row>
    <row r="655" spans="1:6" ht="14">
      <c r="A655" s="22" t="s">
        <v>16385</v>
      </c>
      <c r="C655" s="4" t="str">
        <f ca="1">IFERROR(__xludf.DUMMYFUNCTION("""COMPUTED_VALUE"""),"G00370 ")</f>
        <v xml:space="preserve">G00370 </v>
      </c>
      <c r="D655" s="4" t="str">
        <f ca="1">IFERROR(__xludf.DUMMYFUNCTION("""COMPUTED_VALUE""")," C00001")</f>
        <v xml:space="preserve"> C00001</v>
      </c>
      <c r="E655" s="4"/>
      <c r="F655" s="4"/>
    </row>
    <row r="656" spans="1:6" ht="14">
      <c r="A656" s="22" t="s">
        <v>16386</v>
      </c>
      <c r="C656" s="4" t="str">
        <f ca="1">IFERROR(__xludf.DUMMYFUNCTION("""COMPUTED_VALUE"""),"G00370 ")</f>
        <v xml:space="preserve">G00370 </v>
      </c>
      <c r="D656" s="4" t="str">
        <f ca="1">IFERROR(__xludf.DUMMYFUNCTION("""COMPUTED_VALUE""")," C00001")</f>
        <v xml:space="preserve"> C00001</v>
      </c>
      <c r="E656" s="4"/>
      <c r="F656" s="4"/>
    </row>
    <row r="657" spans="1:6" ht="14">
      <c r="A657" s="22" t="s">
        <v>16387</v>
      </c>
      <c r="C657" s="4" t="str">
        <f ca="1">IFERROR(__xludf.DUMMYFUNCTION("""COMPUTED_VALUE"""),"G00497 ")</f>
        <v xml:space="preserve">G00497 </v>
      </c>
      <c r="D657" s="4" t="str">
        <f ca="1">IFERROR(__xludf.DUMMYFUNCTION("""COMPUTED_VALUE""")," C00001")</f>
        <v xml:space="preserve"> C00001</v>
      </c>
      <c r="E657" s="4"/>
      <c r="F657" s="4"/>
    </row>
    <row r="658" spans="1:6" ht="14">
      <c r="A658" s="22" t="s">
        <v>16388</v>
      </c>
      <c r="C658" s="4" t="str">
        <f ca="1">IFERROR(__xludf.DUMMYFUNCTION("""COMPUTED_VALUE"""),"G00501 ")</f>
        <v xml:space="preserve">G00501 </v>
      </c>
      <c r="D658" s="4" t="str">
        <f ca="1">IFERROR(__xludf.DUMMYFUNCTION("""COMPUTED_VALUE""")," C00001")</f>
        <v xml:space="preserve"> C00001</v>
      </c>
      <c r="E658" s="4"/>
      <c r="F658" s="4"/>
    </row>
    <row r="659" spans="1:6" ht="14">
      <c r="A659" s="22" t="s">
        <v>16389</v>
      </c>
      <c r="C659" s="4" t="str">
        <f ca="1">IFERROR(__xludf.DUMMYFUNCTION("""COMPUTED_VALUE"""),"G01275 ")</f>
        <v xml:space="preserve">G01275 </v>
      </c>
      <c r="D659" s="4" t="str">
        <f ca="1">IFERROR(__xludf.DUMMYFUNCTION("""COMPUTED_VALUE""")," C00001")</f>
        <v xml:space="preserve"> C00001</v>
      </c>
      <c r="E659" s="4"/>
      <c r="F659" s="4"/>
    </row>
    <row r="660" spans="1:6" ht="14">
      <c r="A660" s="22" t="s">
        <v>16390</v>
      </c>
      <c r="C660" s="4" t="str">
        <f ca="1">IFERROR(__xludf.DUMMYFUNCTION("""COMPUTED_VALUE"""),"G01977 ")</f>
        <v xml:space="preserve">G01977 </v>
      </c>
      <c r="D660" s="4" t="str">
        <f ca="1">IFERROR(__xludf.DUMMYFUNCTION("""COMPUTED_VALUE""")," C00001")</f>
        <v xml:space="preserve"> C00001</v>
      </c>
      <c r="E660" s="4"/>
      <c r="F660" s="4"/>
    </row>
    <row r="661" spans="1:6" ht="14">
      <c r="A661" s="22" t="s">
        <v>16391</v>
      </c>
      <c r="C661" s="4" t="str">
        <f ca="1">IFERROR(__xludf.DUMMYFUNCTION("""COMPUTED_VALUE"""),"G10488 ")</f>
        <v xml:space="preserve">G10488 </v>
      </c>
      <c r="D661" s="4" t="str">
        <f ca="1">IFERROR(__xludf.DUMMYFUNCTION("""COMPUTED_VALUE""")," C00001")</f>
        <v xml:space="preserve"> C00001</v>
      </c>
      <c r="E661" s="4"/>
      <c r="F661" s="4"/>
    </row>
    <row r="662" spans="1:6" ht="14">
      <c r="A662" s="22" t="s">
        <v>16392</v>
      </c>
      <c r="C662" s="4" t="str">
        <f ca="1">IFERROR(__xludf.DUMMYFUNCTION("""COMPUTED_VALUE"""),"G10495(n) ")</f>
        <v xml:space="preserve">G10495(n) </v>
      </c>
      <c r="D662" s="4" t="str">
        <f ca="1">IFERROR(__xludf.DUMMYFUNCTION("""COMPUTED_VALUE""")," C00009")</f>
        <v xml:space="preserve"> C00009</v>
      </c>
      <c r="E662" s="4"/>
      <c r="F662" s="4"/>
    </row>
    <row r="663" spans="1:6" ht="14">
      <c r="A663" s="22" t="s">
        <v>16393</v>
      </c>
      <c r="C663" s="4" t="str">
        <f ca="1">IFERROR(__xludf.DUMMYFUNCTION("""COMPUTED_VALUE"""),"G10495(n) ")</f>
        <v xml:space="preserve">G10495(n) </v>
      </c>
      <c r="D663" s="4" t="str">
        <f ca="1">IFERROR(__xludf.DUMMYFUNCTION("""COMPUTED_VALUE""")," G11109")</f>
        <v xml:space="preserve"> G11109</v>
      </c>
      <c r="E663" s="4"/>
      <c r="F663" s="4"/>
    </row>
    <row r="664" spans="1:6" ht="12.5">
      <c r="A664" s="4" t="s">
        <v>12647</v>
      </c>
      <c r="C664" s="4" t="str">
        <f ca="1">IFERROR(__xludf.DUMMYFUNCTION("""COMPUTED_VALUE"""),"G10504 ")</f>
        <v xml:space="preserve">G10504 </v>
      </c>
      <c r="D664" s="4" t="str">
        <f ca="1">IFERROR(__xludf.DUMMYFUNCTION("""COMPUTED_VALUE""")," C00001")</f>
        <v xml:space="preserve"> C00001</v>
      </c>
      <c r="E664" s="4"/>
      <c r="F664" s="4"/>
    </row>
    <row r="665" spans="1:6" ht="14">
      <c r="A665" s="22" t="s">
        <v>16394</v>
      </c>
      <c r="C665" s="4" t="str">
        <f ca="1">IFERROR(__xludf.DUMMYFUNCTION("""COMPUTED_VALUE"""),"G10504 ")</f>
        <v xml:space="preserve">G10504 </v>
      </c>
      <c r="D665" s="4" t="str">
        <f ca="1">IFERROR(__xludf.DUMMYFUNCTION("""COMPUTED_VALUE""")," C00001")</f>
        <v xml:space="preserve"> C00001</v>
      </c>
      <c r="E665" s="4"/>
      <c r="F665" s="4"/>
    </row>
    <row r="666" spans="1:6" ht="14">
      <c r="A666" s="22" t="s">
        <v>16395</v>
      </c>
      <c r="C666" s="4" t="str">
        <f ca="1">IFERROR(__xludf.DUMMYFUNCTION("""COMPUTED_VALUE"""),"G10508 ")</f>
        <v xml:space="preserve">G10508 </v>
      </c>
      <c r="D666" s="4" t="str">
        <f ca="1">IFERROR(__xludf.DUMMYFUNCTION("""COMPUTED_VALUE""")," C00001")</f>
        <v xml:space="preserve"> C00001</v>
      </c>
      <c r="E666" s="4"/>
      <c r="F666" s="4"/>
    </row>
    <row r="667" spans="1:6" ht="14">
      <c r="A667" s="22" t="s">
        <v>16396</v>
      </c>
      <c r="C667" s="4" t="str">
        <f ca="1">IFERROR(__xludf.DUMMYFUNCTION("""COMPUTED_VALUE"""),"G10518 ")</f>
        <v xml:space="preserve">G10518 </v>
      </c>
      <c r="D667" s="4" t="str">
        <f ca="1">IFERROR(__xludf.DUMMYFUNCTION("""COMPUTED_VALUE""")," C00001")</f>
        <v xml:space="preserve"> C00001</v>
      </c>
      <c r="E667" s="4"/>
      <c r="F667" s="4"/>
    </row>
    <row r="668" spans="1:6" ht="14">
      <c r="A668" s="22" t="s">
        <v>16397</v>
      </c>
      <c r="C668" s="4" t="str">
        <f ca="1">IFERROR(__xludf.DUMMYFUNCTION("""COMPUTED_VALUE"""),"G10529 ")</f>
        <v xml:space="preserve">G10529 </v>
      </c>
      <c r="D668" s="4" t="str">
        <f ca="1">IFERROR(__xludf.DUMMYFUNCTION("""COMPUTED_VALUE""")," C00001")</f>
        <v xml:space="preserve"> C00001</v>
      </c>
      <c r="E668" s="4"/>
      <c r="F668" s="4"/>
    </row>
    <row r="669" spans="1:6" ht="14">
      <c r="A669" s="22" t="s">
        <v>16398</v>
      </c>
      <c r="C669" s="4" t="str">
        <f ca="1">IFERROR(__xludf.DUMMYFUNCTION("""COMPUTED_VALUE"""),"G10531 ")</f>
        <v xml:space="preserve">G10531 </v>
      </c>
      <c r="D669" s="4" t="str">
        <f ca="1">IFERROR(__xludf.DUMMYFUNCTION("""COMPUTED_VALUE""")," C00001")</f>
        <v xml:space="preserve"> C00001</v>
      </c>
      <c r="E669" s="4"/>
      <c r="F669" s="4"/>
    </row>
    <row r="670" spans="1:6" ht="14">
      <c r="A670" s="22" t="s">
        <v>16399</v>
      </c>
      <c r="C670" s="4" t="str">
        <f ca="1">IFERROR(__xludf.DUMMYFUNCTION("""COMPUTED_VALUE"""),"G10534(n")</f>
        <v>G10534(n</v>
      </c>
      <c r="D670" s="4" t="str">
        <f ca="1">IFERROR(__xludf.DUMMYFUNCTION("""COMPUTED_VALUE"""),"1) ")</f>
        <v xml:space="preserve">1) </v>
      </c>
      <c r="E670" s="4" t="str">
        <f ca="1">IFERROR(__xludf.DUMMYFUNCTION("""COMPUTED_VALUE""")," C00001")</f>
        <v xml:space="preserve"> C00001</v>
      </c>
      <c r="F670" s="4"/>
    </row>
    <row r="671" spans="1:6" ht="14">
      <c r="A671" s="22" t="s">
        <v>16400</v>
      </c>
      <c r="C671" s="4" t="str">
        <f ca="1">IFERROR(__xludf.DUMMYFUNCTION("""COMPUTED_VALUE"""),"G10545 ")</f>
        <v xml:space="preserve">G10545 </v>
      </c>
      <c r="D671" s="4" t="str">
        <f ca="1">IFERROR(__xludf.DUMMYFUNCTION("""COMPUTED_VALUE""")," C00009")</f>
        <v xml:space="preserve"> C00009</v>
      </c>
      <c r="E671" s="4"/>
      <c r="F671" s="4"/>
    </row>
    <row r="672" spans="1:6" ht="14">
      <c r="A672" s="22" t="s">
        <v>16401</v>
      </c>
      <c r="C672" s="4" t="str">
        <f ca="1">IFERROR(__xludf.DUMMYFUNCTION("""COMPUTED_VALUE"""),"G10551 ")</f>
        <v xml:space="preserve">G10551 </v>
      </c>
      <c r="D672" s="4" t="str">
        <f ca="1">IFERROR(__xludf.DUMMYFUNCTION("""COMPUTED_VALUE""")," G10610")</f>
        <v xml:space="preserve"> G10610</v>
      </c>
      <c r="E672" s="4"/>
      <c r="F672" s="4"/>
    </row>
    <row r="673" spans="1:6" ht="12.5">
      <c r="A673" s="4" t="s">
        <v>12654</v>
      </c>
      <c r="C673" s="4" t="str">
        <f ca="1">IFERROR(__xludf.DUMMYFUNCTION("""COMPUTED_VALUE"""),"G10552 ")</f>
        <v xml:space="preserve">G10552 </v>
      </c>
      <c r="D673" s="4" t="str">
        <f ca="1">IFERROR(__xludf.DUMMYFUNCTION("""COMPUTED_VALUE""")," G10610")</f>
        <v xml:space="preserve"> G10610</v>
      </c>
      <c r="E673" s="4"/>
      <c r="F673" s="4"/>
    </row>
    <row r="674" spans="1:6" ht="12.5">
      <c r="A674" s="4" t="s">
        <v>12650</v>
      </c>
      <c r="C674" s="4" t="str">
        <f ca="1">IFERROR(__xludf.DUMMYFUNCTION("""COMPUTED_VALUE"""),"G10556 ")</f>
        <v xml:space="preserve">G10556 </v>
      </c>
      <c r="D674" s="4" t="str">
        <f ca="1">IFERROR(__xludf.DUMMYFUNCTION("""COMPUTED_VALUE""")," G10610")</f>
        <v xml:space="preserve"> G10610</v>
      </c>
      <c r="E674" s="4"/>
      <c r="F674" s="4"/>
    </row>
    <row r="675" spans="1:6" ht="12.5">
      <c r="A675" s="4" t="s">
        <v>12656</v>
      </c>
      <c r="C675" s="4" t="str">
        <f ca="1">IFERROR(__xludf.DUMMYFUNCTION("""COMPUTED_VALUE"""),"G11122 ")</f>
        <v xml:space="preserve">G11122 </v>
      </c>
      <c r="D675" s="4" t="str">
        <f ca="1">IFERROR(__xludf.DUMMYFUNCTION("""COMPUTED_VALUE""")," C00001")</f>
        <v xml:space="preserve"> C00001</v>
      </c>
      <c r="E675" s="4"/>
      <c r="F675" s="4"/>
    </row>
    <row r="676" spans="1:6" ht="14">
      <c r="A676" s="22" t="s">
        <v>16402</v>
      </c>
      <c r="C676" s="4" t="str">
        <f ca="1">IFERROR(__xludf.DUMMYFUNCTION("""COMPUTED_VALUE"""),"n C00201")</f>
        <v>n C00201</v>
      </c>
      <c r="D676" s="4"/>
      <c r="E676" s="4"/>
      <c r="F676" s="4"/>
    </row>
    <row r="677" spans="1:6" ht="14">
      <c r="A677" s="27" t="s">
        <v>16403</v>
      </c>
    </row>
    <row r="678" spans="1:6" ht="12.5">
      <c r="A678" s="4"/>
    </row>
  </sheetData>
  <hyperlinks>
    <hyperlink ref="A2" r:id="rId1" xr:uid="{00000000-0004-0000-0800-000000000000}"/>
    <hyperlink ref="A5" r:id="rId2" xr:uid="{00000000-0004-0000-0800-000001000000}"/>
    <hyperlink ref="A6" r:id="rId3" xr:uid="{00000000-0004-0000-0800-000002000000}"/>
    <hyperlink ref="A7" r:id="rId4" xr:uid="{00000000-0004-0000-0800-000003000000}"/>
    <hyperlink ref="A8" r:id="rId5" xr:uid="{00000000-0004-0000-0800-000004000000}"/>
    <hyperlink ref="A9" r:id="rId6" xr:uid="{00000000-0004-0000-0800-000005000000}"/>
    <hyperlink ref="A10" r:id="rId7" xr:uid="{00000000-0004-0000-0800-000006000000}"/>
    <hyperlink ref="A11" r:id="rId8" xr:uid="{00000000-0004-0000-0800-000007000000}"/>
    <hyperlink ref="A12" r:id="rId9" xr:uid="{00000000-0004-0000-0800-000008000000}"/>
    <hyperlink ref="A13" r:id="rId10" xr:uid="{00000000-0004-0000-0800-000009000000}"/>
    <hyperlink ref="A14" r:id="rId11" xr:uid="{00000000-0004-0000-0800-00000A000000}"/>
    <hyperlink ref="A15" r:id="rId12" xr:uid="{00000000-0004-0000-0800-00000B000000}"/>
    <hyperlink ref="A16" r:id="rId13" xr:uid="{00000000-0004-0000-0800-00000C000000}"/>
    <hyperlink ref="A17" r:id="rId14" xr:uid="{00000000-0004-0000-0800-00000D000000}"/>
    <hyperlink ref="A18" r:id="rId15" xr:uid="{00000000-0004-0000-0800-00000E000000}"/>
    <hyperlink ref="A19" r:id="rId16" xr:uid="{00000000-0004-0000-0800-00000F000000}"/>
    <hyperlink ref="A20" r:id="rId17" xr:uid="{00000000-0004-0000-0800-000010000000}"/>
    <hyperlink ref="A21" r:id="rId18" xr:uid="{00000000-0004-0000-0800-000011000000}"/>
    <hyperlink ref="A22" r:id="rId19" xr:uid="{00000000-0004-0000-0800-000012000000}"/>
    <hyperlink ref="A23" r:id="rId20" xr:uid="{00000000-0004-0000-0800-000013000000}"/>
    <hyperlink ref="A24" r:id="rId21" xr:uid="{00000000-0004-0000-0800-000014000000}"/>
    <hyperlink ref="A25" r:id="rId22" xr:uid="{00000000-0004-0000-0800-000015000000}"/>
    <hyperlink ref="A26" r:id="rId23" xr:uid="{00000000-0004-0000-0800-000016000000}"/>
    <hyperlink ref="A27" r:id="rId24" xr:uid="{00000000-0004-0000-0800-000017000000}"/>
    <hyperlink ref="A28" r:id="rId25" xr:uid="{00000000-0004-0000-0800-000018000000}"/>
    <hyperlink ref="A29" r:id="rId26" xr:uid="{00000000-0004-0000-0800-000019000000}"/>
    <hyperlink ref="A30" r:id="rId27" xr:uid="{00000000-0004-0000-0800-00001A000000}"/>
    <hyperlink ref="A31" r:id="rId28" xr:uid="{00000000-0004-0000-0800-00001B000000}"/>
    <hyperlink ref="A32" r:id="rId29" xr:uid="{00000000-0004-0000-0800-00001C000000}"/>
    <hyperlink ref="A33" r:id="rId30" xr:uid="{00000000-0004-0000-0800-00001D000000}"/>
    <hyperlink ref="A34" r:id="rId31" xr:uid="{00000000-0004-0000-0800-00001E000000}"/>
    <hyperlink ref="A35" r:id="rId32" xr:uid="{00000000-0004-0000-0800-00001F000000}"/>
    <hyperlink ref="A36" r:id="rId33" xr:uid="{00000000-0004-0000-0800-000020000000}"/>
    <hyperlink ref="A37" r:id="rId34" xr:uid="{00000000-0004-0000-0800-000021000000}"/>
    <hyperlink ref="A38" r:id="rId35" xr:uid="{00000000-0004-0000-0800-000022000000}"/>
    <hyperlink ref="A39" r:id="rId36" xr:uid="{00000000-0004-0000-0800-000023000000}"/>
    <hyperlink ref="A40" r:id="rId37" xr:uid="{00000000-0004-0000-0800-000024000000}"/>
    <hyperlink ref="A41" r:id="rId38" xr:uid="{00000000-0004-0000-0800-000025000000}"/>
    <hyperlink ref="A42" r:id="rId39" xr:uid="{00000000-0004-0000-0800-000026000000}"/>
    <hyperlink ref="A43" r:id="rId40" xr:uid="{00000000-0004-0000-0800-000027000000}"/>
    <hyperlink ref="A44" r:id="rId41" xr:uid="{00000000-0004-0000-0800-000028000000}"/>
    <hyperlink ref="A45" r:id="rId42" xr:uid="{00000000-0004-0000-0800-000029000000}"/>
    <hyperlink ref="A46" r:id="rId43" xr:uid="{00000000-0004-0000-0800-00002A000000}"/>
    <hyperlink ref="A47" r:id="rId44" xr:uid="{00000000-0004-0000-0800-00002B000000}"/>
    <hyperlink ref="A48" r:id="rId45" xr:uid="{00000000-0004-0000-0800-00002C000000}"/>
    <hyperlink ref="A49" r:id="rId46" xr:uid="{00000000-0004-0000-0800-00002D000000}"/>
    <hyperlink ref="A50" r:id="rId47" xr:uid="{00000000-0004-0000-0800-00002E000000}"/>
    <hyperlink ref="A51" r:id="rId48" xr:uid="{00000000-0004-0000-0800-00002F000000}"/>
    <hyperlink ref="A52" r:id="rId49" xr:uid="{00000000-0004-0000-0800-000030000000}"/>
    <hyperlink ref="A53" r:id="rId50" xr:uid="{00000000-0004-0000-0800-000031000000}"/>
    <hyperlink ref="A54" r:id="rId51" xr:uid="{00000000-0004-0000-0800-000032000000}"/>
    <hyperlink ref="A55" r:id="rId52" xr:uid="{00000000-0004-0000-0800-000033000000}"/>
    <hyperlink ref="A56" r:id="rId53" xr:uid="{00000000-0004-0000-0800-000034000000}"/>
    <hyperlink ref="A57" r:id="rId54" xr:uid="{00000000-0004-0000-0800-000035000000}"/>
    <hyperlink ref="A58" r:id="rId55" xr:uid="{00000000-0004-0000-0800-000036000000}"/>
    <hyperlink ref="A59" r:id="rId56" xr:uid="{00000000-0004-0000-0800-000037000000}"/>
    <hyperlink ref="A60" r:id="rId57" xr:uid="{00000000-0004-0000-0800-000038000000}"/>
    <hyperlink ref="A61" r:id="rId58" xr:uid="{00000000-0004-0000-0800-000039000000}"/>
    <hyperlink ref="A62" r:id="rId59" xr:uid="{00000000-0004-0000-0800-00003A000000}"/>
    <hyperlink ref="A63" r:id="rId60" xr:uid="{00000000-0004-0000-0800-00003B000000}"/>
    <hyperlink ref="A64" r:id="rId61" xr:uid="{00000000-0004-0000-0800-00003C000000}"/>
    <hyperlink ref="A65" r:id="rId62" xr:uid="{00000000-0004-0000-0800-00003D000000}"/>
    <hyperlink ref="A66" r:id="rId63" xr:uid="{00000000-0004-0000-0800-00003E000000}"/>
    <hyperlink ref="A67" r:id="rId64" xr:uid="{00000000-0004-0000-0800-00003F000000}"/>
    <hyperlink ref="A68" r:id="rId65" xr:uid="{00000000-0004-0000-0800-000040000000}"/>
    <hyperlink ref="A69" r:id="rId66" xr:uid="{00000000-0004-0000-0800-000041000000}"/>
    <hyperlink ref="A70" r:id="rId67" xr:uid="{00000000-0004-0000-0800-000042000000}"/>
    <hyperlink ref="A71" r:id="rId68" xr:uid="{00000000-0004-0000-0800-000043000000}"/>
    <hyperlink ref="A72" r:id="rId69" xr:uid="{00000000-0004-0000-0800-000044000000}"/>
    <hyperlink ref="A73" r:id="rId70" xr:uid="{00000000-0004-0000-0800-000045000000}"/>
    <hyperlink ref="A74" r:id="rId71" xr:uid="{00000000-0004-0000-0800-000046000000}"/>
    <hyperlink ref="A75" r:id="rId72" xr:uid="{00000000-0004-0000-0800-000047000000}"/>
    <hyperlink ref="A76" r:id="rId73" xr:uid="{00000000-0004-0000-0800-000048000000}"/>
    <hyperlink ref="A77" r:id="rId74" xr:uid="{00000000-0004-0000-0800-000049000000}"/>
    <hyperlink ref="A78" r:id="rId75" xr:uid="{00000000-0004-0000-0800-00004A000000}"/>
    <hyperlink ref="A79" r:id="rId76" xr:uid="{00000000-0004-0000-0800-00004B000000}"/>
    <hyperlink ref="A80" r:id="rId77" xr:uid="{00000000-0004-0000-0800-00004C000000}"/>
    <hyperlink ref="A81" r:id="rId78" xr:uid="{00000000-0004-0000-0800-00004D000000}"/>
    <hyperlink ref="A82" r:id="rId79" xr:uid="{00000000-0004-0000-0800-00004E000000}"/>
    <hyperlink ref="A83" r:id="rId80" xr:uid="{00000000-0004-0000-0800-00004F000000}"/>
    <hyperlink ref="A84" r:id="rId81" xr:uid="{00000000-0004-0000-0800-000050000000}"/>
    <hyperlink ref="A85" r:id="rId82" xr:uid="{00000000-0004-0000-0800-000051000000}"/>
    <hyperlink ref="A86" r:id="rId83" xr:uid="{00000000-0004-0000-0800-000052000000}"/>
    <hyperlink ref="A87" r:id="rId84" xr:uid="{00000000-0004-0000-0800-000053000000}"/>
    <hyperlink ref="A88" r:id="rId85" xr:uid="{00000000-0004-0000-0800-000054000000}"/>
    <hyperlink ref="A89" r:id="rId86" xr:uid="{00000000-0004-0000-0800-000055000000}"/>
    <hyperlink ref="A90" r:id="rId87" xr:uid="{00000000-0004-0000-0800-000056000000}"/>
    <hyperlink ref="A91" r:id="rId88" xr:uid="{00000000-0004-0000-0800-000057000000}"/>
    <hyperlink ref="A92" r:id="rId89" xr:uid="{00000000-0004-0000-0800-000058000000}"/>
    <hyperlink ref="A93" r:id="rId90" xr:uid="{00000000-0004-0000-0800-000059000000}"/>
    <hyperlink ref="A94" r:id="rId91" xr:uid="{00000000-0004-0000-0800-00005A000000}"/>
    <hyperlink ref="A95" r:id="rId92" xr:uid="{00000000-0004-0000-0800-00005B000000}"/>
    <hyperlink ref="A96" r:id="rId93" xr:uid="{00000000-0004-0000-0800-00005C000000}"/>
    <hyperlink ref="A97" r:id="rId94" xr:uid="{00000000-0004-0000-0800-00005D000000}"/>
    <hyperlink ref="A98" r:id="rId95" xr:uid="{00000000-0004-0000-0800-00005E000000}"/>
    <hyperlink ref="A99" r:id="rId96" xr:uid="{00000000-0004-0000-0800-00005F000000}"/>
    <hyperlink ref="A100" r:id="rId97" xr:uid="{00000000-0004-0000-0800-000060000000}"/>
    <hyperlink ref="A101" r:id="rId98" xr:uid="{00000000-0004-0000-0800-000061000000}"/>
    <hyperlink ref="A102" r:id="rId99" xr:uid="{00000000-0004-0000-0800-000062000000}"/>
    <hyperlink ref="A103" r:id="rId100" xr:uid="{00000000-0004-0000-0800-000063000000}"/>
    <hyperlink ref="A104" r:id="rId101" xr:uid="{00000000-0004-0000-0800-000064000000}"/>
    <hyperlink ref="A105" r:id="rId102" xr:uid="{00000000-0004-0000-0800-000065000000}"/>
    <hyperlink ref="A106" r:id="rId103" xr:uid="{00000000-0004-0000-0800-000066000000}"/>
    <hyperlink ref="A107" r:id="rId104" xr:uid="{00000000-0004-0000-0800-000067000000}"/>
    <hyperlink ref="A108" r:id="rId105" xr:uid="{00000000-0004-0000-0800-000068000000}"/>
    <hyperlink ref="A109" r:id="rId106" xr:uid="{00000000-0004-0000-0800-000069000000}"/>
    <hyperlink ref="A110" r:id="rId107" xr:uid="{00000000-0004-0000-0800-00006A000000}"/>
    <hyperlink ref="A111" r:id="rId108" xr:uid="{00000000-0004-0000-0800-00006B000000}"/>
    <hyperlink ref="A113" r:id="rId109" xr:uid="{00000000-0004-0000-0800-00006C000000}"/>
    <hyperlink ref="A115" r:id="rId110" xr:uid="{00000000-0004-0000-0800-00006D000000}"/>
    <hyperlink ref="A116" r:id="rId111" xr:uid="{00000000-0004-0000-0800-00006E000000}"/>
    <hyperlink ref="A117" r:id="rId112" xr:uid="{00000000-0004-0000-0800-00006F000000}"/>
    <hyperlink ref="A118" r:id="rId113" xr:uid="{00000000-0004-0000-0800-000070000000}"/>
    <hyperlink ref="A119" r:id="rId114" xr:uid="{00000000-0004-0000-0800-000071000000}"/>
    <hyperlink ref="A120" r:id="rId115" xr:uid="{00000000-0004-0000-0800-000072000000}"/>
    <hyperlink ref="A121" r:id="rId116" xr:uid="{00000000-0004-0000-0800-000073000000}"/>
    <hyperlink ref="A122" r:id="rId117" xr:uid="{00000000-0004-0000-0800-000074000000}"/>
    <hyperlink ref="A123" r:id="rId118" xr:uid="{00000000-0004-0000-0800-000075000000}"/>
    <hyperlink ref="A124" r:id="rId119" xr:uid="{00000000-0004-0000-0800-000076000000}"/>
    <hyperlink ref="A125" r:id="rId120" xr:uid="{00000000-0004-0000-0800-000077000000}"/>
    <hyperlink ref="A126" r:id="rId121" xr:uid="{00000000-0004-0000-0800-000078000000}"/>
    <hyperlink ref="A127" r:id="rId122" xr:uid="{00000000-0004-0000-0800-000079000000}"/>
    <hyperlink ref="A128" r:id="rId123" xr:uid="{00000000-0004-0000-0800-00007A000000}"/>
    <hyperlink ref="A129" r:id="rId124" xr:uid="{00000000-0004-0000-0800-00007B000000}"/>
    <hyperlink ref="A130" r:id="rId125" xr:uid="{00000000-0004-0000-0800-00007C000000}"/>
    <hyperlink ref="A131" r:id="rId126" xr:uid="{00000000-0004-0000-0800-00007D000000}"/>
    <hyperlink ref="A132" r:id="rId127" xr:uid="{00000000-0004-0000-0800-00007E000000}"/>
    <hyperlink ref="A133" r:id="rId128" xr:uid="{00000000-0004-0000-0800-00007F000000}"/>
    <hyperlink ref="A134" r:id="rId129" xr:uid="{00000000-0004-0000-0800-000080000000}"/>
    <hyperlink ref="A135" r:id="rId130" xr:uid="{00000000-0004-0000-0800-000081000000}"/>
    <hyperlink ref="A136" r:id="rId131" xr:uid="{00000000-0004-0000-0800-000082000000}"/>
    <hyperlink ref="A137" r:id="rId132" xr:uid="{00000000-0004-0000-0800-000083000000}"/>
    <hyperlink ref="A138" r:id="rId133" xr:uid="{00000000-0004-0000-0800-000084000000}"/>
    <hyperlink ref="A140" r:id="rId134" xr:uid="{00000000-0004-0000-0800-000085000000}"/>
    <hyperlink ref="A141" r:id="rId135" xr:uid="{00000000-0004-0000-0800-000086000000}"/>
    <hyperlink ref="A142" r:id="rId136" xr:uid="{00000000-0004-0000-0800-000087000000}"/>
    <hyperlink ref="A144" r:id="rId137" xr:uid="{00000000-0004-0000-0800-000088000000}"/>
    <hyperlink ref="A145" r:id="rId138" xr:uid="{00000000-0004-0000-0800-000089000000}"/>
    <hyperlink ref="A146" r:id="rId139" xr:uid="{00000000-0004-0000-0800-00008A000000}"/>
    <hyperlink ref="A147" r:id="rId140" xr:uid="{00000000-0004-0000-0800-00008B000000}"/>
    <hyperlink ref="A148" r:id="rId141" xr:uid="{00000000-0004-0000-0800-00008C000000}"/>
    <hyperlink ref="A149" r:id="rId142" xr:uid="{00000000-0004-0000-0800-00008D000000}"/>
    <hyperlink ref="A150" r:id="rId143" xr:uid="{00000000-0004-0000-0800-00008E000000}"/>
    <hyperlink ref="A151" r:id="rId144" xr:uid="{00000000-0004-0000-0800-00008F000000}"/>
    <hyperlink ref="A152" r:id="rId145" xr:uid="{00000000-0004-0000-0800-000090000000}"/>
    <hyperlink ref="A153" r:id="rId146" xr:uid="{00000000-0004-0000-0800-000091000000}"/>
    <hyperlink ref="A154" r:id="rId147" xr:uid="{00000000-0004-0000-0800-000092000000}"/>
    <hyperlink ref="A157" r:id="rId148" xr:uid="{00000000-0004-0000-0800-000093000000}"/>
    <hyperlink ref="A158" r:id="rId149" xr:uid="{00000000-0004-0000-0800-000094000000}"/>
    <hyperlink ref="A159" r:id="rId150" xr:uid="{00000000-0004-0000-0800-000095000000}"/>
    <hyperlink ref="A160" r:id="rId151" xr:uid="{00000000-0004-0000-0800-000096000000}"/>
    <hyperlink ref="A161" r:id="rId152" xr:uid="{00000000-0004-0000-0800-000097000000}"/>
    <hyperlink ref="A162" r:id="rId153" xr:uid="{00000000-0004-0000-0800-000098000000}"/>
    <hyperlink ref="A163" r:id="rId154" xr:uid="{00000000-0004-0000-0800-000099000000}"/>
    <hyperlink ref="A164" r:id="rId155" xr:uid="{00000000-0004-0000-0800-00009A000000}"/>
    <hyperlink ref="A165" r:id="rId156" xr:uid="{00000000-0004-0000-0800-00009B000000}"/>
    <hyperlink ref="A166" r:id="rId157" xr:uid="{00000000-0004-0000-0800-00009C000000}"/>
    <hyperlink ref="A167" r:id="rId158" xr:uid="{00000000-0004-0000-0800-00009D000000}"/>
    <hyperlink ref="A168" r:id="rId159" xr:uid="{00000000-0004-0000-0800-00009E000000}"/>
    <hyperlink ref="A169" r:id="rId160" xr:uid="{00000000-0004-0000-0800-00009F000000}"/>
    <hyperlink ref="A170" r:id="rId161" xr:uid="{00000000-0004-0000-0800-0000A0000000}"/>
    <hyperlink ref="A171" r:id="rId162" xr:uid="{00000000-0004-0000-0800-0000A1000000}"/>
    <hyperlink ref="A172" r:id="rId163" xr:uid="{00000000-0004-0000-0800-0000A2000000}"/>
    <hyperlink ref="A173" r:id="rId164" xr:uid="{00000000-0004-0000-0800-0000A3000000}"/>
    <hyperlink ref="A174" r:id="rId165" xr:uid="{00000000-0004-0000-0800-0000A4000000}"/>
    <hyperlink ref="A175" r:id="rId166" xr:uid="{00000000-0004-0000-0800-0000A5000000}"/>
    <hyperlink ref="A176" r:id="rId167" xr:uid="{00000000-0004-0000-0800-0000A6000000}"/>
    <hyperlink ref="A177" r:id="rId168" xr:uid="{00000000-0004-0000-0800-0000A7000000}"/>
    <hyperlink ref="A178" r:id="rId169" xr:uid="{00000000-0004-0000-0800-0000A8000000}"/>
    <hyperlink ref="A179" r:id="rId170" xr:uid="{00000000-0004-0000-0800-0000A9000000}"/>
    <hyperlink ref="A180" r:id="rId171" xr:uid="{00000000-0004-0000-0800-0000AA000000}"/>
    <hyperlink ref="A181" r:id="rId172" xr:uid="{00000000-0004-0000-0800-0000AB000000}"/>
    <hyperlink ref="A182" r:id="rId173" xr:uid="{00000000-0004-0000-0800-0000AC000000}"/>
    <hyperlink ref="A183" r:id="rId174" xr:uid="{00000000-0004-0000-0800-0000AD000000}"/>
    <hyperlink ref="A184" r:id="rId175" xr:uid="{00000000-0004-0000-0800-0000AE000000}"/>
    <hyperlink ref="A185" r:id="rId176" xr:uid="{00000000-0004-0000-0800-0000AF000000}"/>
    <hyperlink ref="A186" r:id="rId177" xr:uid="{00000000-0004-0000-0800-0000B0000000}"/>
    <hyperlink ref="A187" r:id="rId178" xr:uid="{00000000-0004-0000-0800-0000B1000000}"/>
    <hyperlink ref="A188" r:id="rId179" xr:uid="{00000000-0004-0000-0800-0000B2000000}"/>
    <hyperlink ref="A189" r:id="rId180" xr:uid="{00000000-0004-0000-0800-0000B3000000}"/>
    <hyperlink ref="A190" r:id="rId181" xr:uid="{00000000-0004-0000-0800-0000B4000000}"/>
    <hyperlink ref="A191" r:id="rId182" xr:uid="{00000000-0004-0000-0800-0000B5000000}"/>
    <hyperlink ref="A192" r:id="rId183" xr:uid="{00000000-0004-0000-0800-0000B6000000}"/>
    <hyperlink ref="A193" r:id="rId184" xr:uid="{00000000-0004-0000-0800-0000B7000000}"/>
    <hyperlink ref="A194" r:id="rId185" xr:uid="{00000000-0004-0000-0800-0000B8000000}"/>
    <hyperlink ref="A195" r:id="rId186" xr:uid="{00000000-0004-0000-0800-0000B9000000}"/>
    <hyperlink ref="A196" r:id="rId187" xr:uid="{00000000-0004-0000-0800-0000BA000000}"/>
    <hyperlink ref="A197" r:id="rId188" xr:uid="{00000000-0004-0000-0800-0000BB000000}"/>
    <hyperlink ref="A198" r:id="rId189" xr:uid="{00000000-0004-0000-0800-0000BC000000}"/>
    <hyperlink ref="A199" r:id="rId190" xr:uid="{00000000-0004-0000-0800-0000BD000000}"/>
    <hyperlink ref="A200" r:id="rId191" xr:uid="{00000000-0004-0000-0800-0000BE000000}"/>
    <hyperlink ref="A201" r:id="rId192" xr:uid="{00000000-0004-0000-0800-0000BF000000}"/>
    <hyperlink ref="A202" r:id="rId193" xr:uid="{00000000-0004-0000-0800-0000C0000000}"/>
    <hyperlink ref="A204" r:id="rId194" xr:uid="{00000000-0004-0000-0800-0000C1000000}"/>
    <hyperlink ref="A205" r:id="rId195" xr:uid="{00000000-0004-0000-0800-0000C2000000}"/>
    <hyperlink ref="A206" r:id="rId196" xr:uid="{00000000-0004-0000-0800-0000C3000000}"/>
    <hyperlink ref="A207" r:id="rId197" xr:uid="{00000000-0004-0000-0800-0000C4000000}"/>
    <hyperlink ref="A208" r:id="rId198" xr:uid="{00000000-0004-0000-0800-0000C5000000}"/>
    <hyperlink ref="A209" r:id="rId199" xr:uid="{00000000-0004-0000-0800-0000C6000000}"/>
    <hyperlink ref="A210" r:id="rId200" xr:uid="{00000000-0004-0000-0800-0000C7000000}"/>
    <hyperlink ref="A211" r:id="rId201" xr:uid="{00000000-0004-0000-0800-0000C8000000}"/>
    <hyperlink ref="A212" r:id="rId202" xr:uid="{00000000-0004-0000-0800-0000C9000000}"/>
    <hyperlink ref="A213" r:id="rId203" xr:uid="{00000000-0004-0000-0800-0000CA000000}"/>
    <hyperlink ref="A214" r:id="rId204" xr:uid="{00000000-0004-0000-0800-0000CB000000}"/>
    <hyperlink ref="A215" r:id="rId205" xr:uid="{00000000-0004-0000-0800-0000CC000000}"/>
    <hyperlink ref="A216" r:id="rId206" xr:uid="{00000000-0004-0000-0800-0000CD000000}"/>
    <hyperlink ref="A217" r:id="rId207" xr:uid="{00000000-0004-0000-0800-0000CE000000}"/>
    <hyperlink ref="A218" r:id="rId208" xr:uid="{00000000-0004-0000-0800-0000CF000000}"/>
    <hyperlink ref="A219" r:id="rId209" xr:uid="{00000000-0004-0000-0800-0000D0000000}"/>
    <hyperlink ref="A221" r:id="rId210" xr:uid="{00000000-0004-0000-0800-0000D1000000}"/>
    <hyperlink ref="A223" r:id="rId211" xr:uid="{00000000-0004-0000-0800-0000D2000000}"/>
    <hyperlink ref="A225" r:id="rId212" xr:uid="{00000000-0004-0000-0800-0000D3000000}"/>
    <hyperlink ref="A227" r:id="rId213" xr:uid="{00000000-0004-0000-0800-0000D4000000}"/>
    <hyperlink ref="A229" r:id="rId214" xr:uid="{00000000-0004-0000-0800-0000D5000000}"/>
    <hyperlink ref="A231" r:id="rId215" xr:uid="{00000000-0004-0000-0800-0000D6000000}"/>
    <hyperlink ref="A232" r:id="rId216" xr:uid="{00000000-0004-0000-0800-0000D7000000}"/>
    <hyperlink ref="A233" r:id="rId217" xr:uid="{00000000-0004-0000-0800-0000D8000000}"/>
    <hyperlink ref="A234" r:id="rId218" xr:uid="{00000000-0004-0000-0800-0000D9000000}"/>
    <hyperlink ref="A236" r:id="rId219" xr:uid="{00000000-0004-0000-0800-0000DA000000}"/>
    <hyperlink ref="A237" r:id="rId220" xr:uid="{00000000-0004-0000-0800-0000DB000000}"/>
    <hyperlink ref="A238" r:id="rId221" xr:uid="{00000000-0004-0000-0800-0000DC000000}"/>
    <hyperlink ref="A239" r:id="rId222" xr:uid="{00000000-0004-0000-0800-0000DD000000}"/>
    <hyperlink ref="A240" r:id="rId223" xr:uid="{00000000-0004-0000-0800-0000DE000000}"/>
    <hyperlink ref="A241" r:id="rId224" xr:uid="{00000000-0004-0000-0800-0000DF000000}"/>
    <hyperlink ref="A242" r:id="rId225" xr:uid="{00000000-0004-0000-0800-0000E0000000}"/>
    <hyperlink ref="A243" r:id="rId226" xr:uid="{00000000-0004-0000-0800-0000E1000000}"/>
    <hyperlink ref="A244" r:id="rId227" xr:uid="{00000000-0004-0000-0800-0000E2000000}"/>
    <hyperlink ref="A245" r:id="rId228" xr:uid="{00000000-0004-0000-0800-0000E3000000}"/>
    <hyperlink ref="A246" r:id="rId229" xr:uid="{00000000-0004-0000-0800-0000E4000000}"/>
    <hyperlink ref="A247" r:id="rId230" xr:uid="{00000000-0004-0000-0800-0000E5000000}"/>
    <hyperlink ref="A248" r:id="rId231" xr:uid="{00000000-0004-0000-0800-0000E6000000}"/>
    <hyperlink ref="A249" r:id="rId232" xr:uid="{00000000-0004-0000-0800-0000E7000000}"/>
    <hyperlink ref="A250" r:id="rId233" xr:uid="{00000000-0004-0000-0800-0000E8000000}"/>
    <hyperlink ref="A251" r:id="rId234" xr:uid="{00000000-0004-0000-0800-0000E9000000}"/>
    <hyperlink ref="A252" r:id="rId235" xr:uid="{00000000-0004-0000-0800-0000EA000000}"/>
    <hyperlink ref="A253" r:id="rId236" xr:uid="{00000000-0004-0000-0800-0000EB000000}"/>
    <hyperlink ref="A254" r:id="rId237" xr:uid="{00000000-0004-0000-0800-0000EC000000}"/>
    <hyperlink ref="A255" r:id="rId238" xr:uid="{00000000-0004-0000-0800-0000ED000000}"/>
    <hyperlink ref="A256" r:id="rId239" xr:uid="{00000000-0004-0000-0800-0000EE000000}"/>
    <hyperlink ref="A257" r:id="rId240" xr:uid="{00000000-0004-0000-0800-0000EF000000}"/>
    <hyperlink ref="A259" r:id="rId241" xr:uid="{00000000-0004-0000-0800-0000F0000000}"/>
    <hyperlink ref="A260" r:id="rId242" xr:uid="{00000000-0004-0000-0800-0000F1000000}"/>
    <hyperlink ref="A261" r:id="rId243" xr:uid="{00000000-0004-0000-0800-0000F2000000}"/>
    <hyperlink ref="A262" r:id="rId244" xr:uid="{00000000-0004-0000-0800-0000F3000000}"/>
    <hyperlink ref="A263" r:id="rId245" xr:uid="{00000000-0004-0000-0800-0000F4000000}"/>
    <hyperlink ref="A264" r:id="rId246" xr:uid="{00000000-0004-0000-0800-0000F5000000}"/>
    <hyperlink ref="A265" r:id="rId247" xr:uid="{00000000-0004-0000-0800-0000F6000000}"/>
    <hyperlink ref="A266" r:id="rId248" xr:uid="{00000000-0004-0000-0800-0000F7000000}"/>
    <hyperlink ref="A267" r:id="rId249" xr:uid="{00000000-0004-0000-0800-0000F8000000}"/>
    <hyperlink ref="A268" r:id="rId250" xr:uid="{00000000-0004-0000-0800-0000F9000000}"/>
    <hyperlink ref="A269" r:id="rId251" xr:uid="{00000000-0004-0000-0800-0000FA000000}"/>
    <hyperlink ref="A270" r:id="rId252" xr:uid="{00000000-0004-0000-0800-0000FB000000}"/>
    <hyperlink ref="A272" r:id="rId253" xr:uid="{00000000-0004-0000-0800-0000FC000000}"/>
    <hyperlink ref="A273" r:id="rId254" xr:uid="{00000000-0004-0000-0800-0000FD000000}"/>
    <hyperlink ref="A274" r:id="rId255" xr:uid="{00000000-0004-0000-0800-0000FE000000}"/>
    <hyperlink ref="A275" r:id="rId256" xr:uid="{00000000-0004-0000-0800-0000FF000000}"/>
    <hyperlink ref="A276" r:id="rId257" xr:uid="{00000000-0004-0000-0800-000000010000}"/>
    <hyperlink ref="A277" r:id="rId258" xr:uid="{00000000-0004-0000-0800-000001010000}"/>
    <hyperlink ref="A278" r:id="rId259" xr:uid="{00000000-0004-0000-0800-000002010000}"/>
    <hyperlink ref="A279" r:id="rId260" xr:uid="{00000000-0004-0000-0800-000003010000}"/>
    <hyperlink ref="A280" r:id="rId261" xr:uid="{00000000-0004-0000-0800-000004010000}"/>
    <hyperlink ref="A281" r:id="rId262" xr:uid="{00000000-0004-0000-0800-000005010000}"/>
    <hyperlink ref="A283" r:id="rId263" xr:uid="{00000000-0004-0000-0800-000006010000}"/>
    <hyperlink ref="A284" r:id="rId264" xr:uid="{00000000-0004-0000-0800-000007010000}"/>
    <hyperlink ref="A285" r:id="rId265" xr:uid="{00000000-0004-0000-0800-000008010000}"/>
    <hyperlink ref="A286" r:id="rId266" xr:uid="{00000000-0004-0000-0800-000009010000}"/>
    <hyperlink ref="A287" r:id="rId267" xr:uid="{00000000-0004-0000-0800-00000A010000}"/>
    <hyperlink ref="A288" r:id="rId268" xr:uid="{00000000-0004-0000-0800-00000B010000}"/>
    <hyperlink ref="A289" r:id="rId269" xr:uid="{00000000-0004-0000-0800-00000C010000}"/>
    <hyperlink ref="A290" r:id="rId270" xr:uid="{00000000-0004-0000-0800-00000D010000}"/>
    <hyperlink ref="A291" r:id="rId271" xr:uid="{00000000-0004-0000-0800-00000E010000}"/>
    <hyperlink ref="A292" r:id="rId272" xr:uid="{00000000-0004-0000-0800-00000F010000}"/>
    <hyperlink ref="A293" r:id="rId273" xr:uid="{00000000-0004-0000-0800-000010010000}"/>
    <hyperlink ref="A294" r:id="rId274" xr:uid="{00000000-0004-0000-0800-000011010000}"/>
    <hyperlink ref="A295" r:id="rId275" xr:uid="{00000000-0004-0000-0800-000012010000}"/>
    <hyperlink ref="A296" r:id="rId276" xr:uid="{00000000-0004-0000-0800-000013010000}"/>
    <hyperlink ref="A297" r:id="rId277" xr:uid="{00000000-0004-0000-0800-000014010000}"/>
    <hyperlink ref="A298" r:id="rId278" xr:uid="{00000000-0004-0000-0800-000015010000}"/>
    <hyperlink ref="A299" r:id="rId279" xr:uid="{00000000-0004-0000-0800-000016010000}"/>
    <hyperlink ref="A300" r:id="rId280" xr:uid="{00000000-0004-0000-0800-000017010000}"/>
    <hyperlink ref="A301" r:id="rId281" xr:uid="{00000000-0004-0000-0800-000018010000}"/>
    <hyperlink ref="A302" r:id="rId282" xr:uid="{00000000-0004-0000-0800-000019010000}"/>
    <hyperlink ref="A303" r:id="rId283" xr:uid="{00000000-0004-0000-0800-00001A010000}"/>
    <hyperlink ref="A304" r:id="rId284" xr:uid="{00000000-0004-0000-0800-00001B010000}"/>
    <hyperlink ref="A305" r:id="rId285" xr:uid="{00000000-0004-0000-0800-00001C010000}"/>
    <hyperlink ref="A306" r:id="rId286" xr:uid="{00000000-0004-0000-0800-00001D010000}"/>
    <hyperlink ref="A307" r:id="rId287" xr:uid="{00000000-0004-0000-0800-00001E010000}"/>
    <hyperlink ref="A308" r:id="rId288" xr:uid="{00000000-0004-0000-0800-00001F010000}"/>
    <hyperlink ref="A309" r:id="rId289" xr:uid="{00000000-0004-0000-0800-000020010000}"/>
    <hyperlink ref="A310" r:id="rId290" xr:uid="{00000000-0004-0000-0800-000021010000}"/>
    <hyperlink ref="A312" r:id="rId291" xr:uid="{00000000-0004-0000-0800-000022010000}"/>
    <hyperlink ref="A313" r:id="rId292" xr:uid="{00000000-0004-0000-0800-000023010000}"/>
    <hyperlink ref="A314" r:id="rId293" xr:uid="{00000000-0004-0000-0800-000024010000}"/>
    <hyperlink ref="A315" r:id="rId294" xr:uid="{00000000-0004-0000-0800-000025010000}"/>
    <hyperlink ref="A316" r:id="rId295" xr:uid="{00000000-0004-0000-0800-000026010000}"/>
    <hyperlink ref="A317" r:id="rId296" xr:uid="{00000000-0004-0000-0800-000027010000}"/>
    <hyperlink ref="A318" r:id="rId297" xr:uid="{00000000-0004-0000-0800-000028010000}"/>
    <hyperlink ref="A319" r:id="rId298" xr:uid="{00000000-0004-0000-0800-000029010000}"/>
    <hyperlink ref="A320" r:id="rId299" xr:uid="{00000000-0004-0000-0800-00002A010000}"/>
    <hyperlink ref="A321" r:id="rId300" xr:uid="{00000000-0004-0000-0800-00002B010000}"/>
    <hyperlink ref="A322" r:id="rId301" xr:uid="{00000000-0004-0000-0800-00002C010000}"/>
    <hyperlink ref="A323" r:id="rId302" xr:uid="{00000000-0004-0000-0800-00002D010000}"/>
    <hyperlink ref="A324" r:id="rId303" xr:uid="{00000000-0004-0000-0800-00002E010000}"/>
    <hyperlink ref="A325" r:id="rId304" xr:uid="{00000000-0004-0000-0800-00002F010000}"/>
    <hyperlink ref="A326" r:id="rId305" xr:uid="{00000000-0004-0000-0800-000030010000}"/>
    <hyperlink ref="A327" r:id="rId306" xr:uid="{00000000-0004-0000-0800-000031010000}"/>
    <hyperlink ref="A328" r:id="rId307" xr:uid="{00000000-0004-0000-0800-000032010000}"/>
    <hyperlink ref="A329" r:id="rId308" xr:uid="{00000000-0004-0000-0800-000033010000}"/>
    <hyperlink ref="A330" r:id="rId309" xr:uid="{00000000-0004-0000-0800-000034010000}"/>
    <hyperlink ref="A331" r:id="rId310" xr:uid="{00000000-0004-0000-0800-000035010000}"/>
    <hyperlink ref="A332" r:id="rId311" xr:uid="{00000000-0004-0000-0800-000036010000}"/>
    <hyperlink ref="A334" r:id="rId312" xr:uid="{00000000-0004-0000-0800-000037010000}"/>
    <hyperlink ref="A335" r:id="rId313" xr:uid="{00000000-0004-0000-0800-000038010000}"/>
    <hyperlink ref="A336" r:id="rId314" xr:uid="{00000000-0004-0000-0800-000039010000}"/>
    <hyperlink ref="A337" r:id="rId315" xr:uid="{00000000-0004-0000-0800-00003A010000}"/>
    <hyperlink ref="A338" r:id="rId316" xr:uid="{00000000-0004-0000-0800-00003B010000}"/>
    <hyperlink ref="A340" r:id="rId317" xr:uid="{00000000-0004-0000-0800-00003C010000}"/>
    <hyperlink ref="A341" r:id="rId318" xr:uid="{00000000-0004-0000-0800-00003D010000}"/>
    <hyperlink ref="A342" r:id="rId319" xr:uid="{00000000-0004-0000-0800-00003E010000}"/>
    <hyperlink ref="A343" r:id="rId320" xr:uid="{00000000-0004-0000-0800-00003F010000}"/>
    <hyperlink ref="A344" r:id="rId321" xr:uid="{00000000-0004-0000-0800-000040010000}"/>
    <hyperlink ref="A345" r:id="rId322" xr:uid="{00000000-0004-0000-0800-000041010000}"/>
    <hyperlink ref="A346" r:id="rId323" xr:uid="{00000000-0004-0000-0800-000042010000}"/>
    <hyperlink ref="A347" r:id="rId324" xr:uid="{00000000-0004-0000-0800-000043010000}"/>
    <hyperlink ref="A348" r:id="rId325" xr:uid="{00000000-0004-0000-0800-000044010000}"/>
    <hyperlink ref="A349" r:id="rId326" xr:uid="{00000000-0004-0000-0800-000045010000}"/>
    <hyperlink ref="A350" r:id="rId327" xr:uid="{00000000-0004-0000-0800-000046010000}"/>
    <hyperlink ref="A351" r:id="rId328" xr:uid="{00000000-0004-0000-0800-000047010000}"/>
    <hyperlink ref="A352" r:id="rId329" xr:uid="{00000000-0004-0000-0800-000048010000}"/>
    <hyperlink ref="A354" r:id="rId330" xr:uid="{00000000-0004-0000-0800-000049010000}"/>
    <hyperlink ref="A355" r:id="rId331" xr:uid="{00000000-0004-0000-0800-00004A010000}"/>
    <hyperlink ref="A356" r:id="rId332" xr:uid="{00000000-0004-0000-0800-00004B010000}"/>
    <hyperlink ref="A357" r:id="rId333" xr:uid="{00000000-0004-0000-0800-00004C010000}"/>
    <hyperlink ref="A359" r:id="rId334" xr:uid="{00000000-0004-0000-0800-00004D010000}"/>
    <hyperlink ref="A360" r:id="rId335" xr:uid="{00000000-0004-0000-0800-00004E010000}"/>
    <hyperlink ref="A363" r:id="rId336" xr:uid="{00000000-0004-0000-0800-00004F010000}"/>
    <hyperlink ref="A364" r:id="rId337" xr:uid="{00000000-0004-0000-0800-000050010000}"/>
    <hyperlink ref="A365" r:id="rId338" xr:uid="{00000000-0004-0000-0800-000051010000}"/>
    <hyperlink ref="A366" r:id="rId339" xr:uid="{00000000-0004-0000-0800-000052010000}"/>
    <hyperlink ref="A367" r:id="rId340" xr:uid="{00000000-0004-0000-0800-000053010000}"/>
    <hyperlink ref="A368" r:id="rId341" xr:uid="{00000000-0004-0000-0800-000054010000}"/>
    <hyperlink ref="A369" r:id="rId342" xr:uid="{00000000-0004-0000-0800-000055010000}"/>
    <hyperlink ref="A370" r:id="rId343" xr:uid="{00000000-0004-0000-0800-000056010000}"/>
    <hyperlink ref="A371" r:id="rId344" xr:uid="{00000000-0004-0000-0800-000057010000}"/>
    <hyperlink ref="A372" r:id="rId345" xr:uid="{00000000-0004-0000-0800-000058010000}"/>
    <hyperlink ref="A373" r:id="rId346" xr:uid="{00000000-0004-0000-0800-000059010000}"/>
    <hyperlink ref="A374" r:id="rId347" xr:uid="{00000000-0004-0000-0800-00005A010000}"/>
    <hyperlink ref="A375" r:id="rId348" xr:uid="{00000000-0004-0000-0800-00005B010000}"/>
    <hyperlink ref="A376" r:id="rId349" xr:uid="{00000000-0004-0000-0800-00005C010000}"/>
    <hyperlink ref="A377" r:id="rId350" xr:uid="{00000000-0004-0000-0800-00005D010000}"/>
    <hyperlink ref="A378" r:id="rId351" xr:uid="{00000000-0004-0000-0800-00005E010000}"/>
    <hyperlink ref="A379" r:id="rId352" xr:uid="{00000000-0004-0000-0800-00005F010000}"/>
    <hyperlink ref="A380" r:id="rId353" xr:uid="{00000000-0004-0000-0800-000060010000}"/>
    <hyperlink ref="A381" r:id="rId354" xr:uid="{00000000-0004-0000-0800-000061010000}"/>
    <hyperlink ref="A382" r:id="rId355" xr:uid="{00000000-0004-0000-0800-000062010000}"/>
    <hyperlink ref="A383" r:id="rId356" xr:uid="{00000000-0004-0000-0800-000063010000}"/>
    <hyperlink ref="A384" r:id="rId357" xr:uid="{00000000-0004-0000-0800-000064010000}"/>
    <hyperlink ref="A385" r:id="rId358" xr:uid="{00000000-0004-0000-0800-000065010000}"/>
    <hyperlink ref="A386" r:id="rId359" xr:uid="{00000000-0004-0000-0800-000066010000}"/>
    <hyperlink ref="A387" r:id="rId360" xr:uid="{00000000-0004-0000-0800-000067010000}"/>
    <hyperlink ref="A388" r:id="rId361" xr:uid="{00000000-0004-0000-0800-000068010000}"/>
    <hyperlink ref="A389" r:id="rId362" xr:uid="{00000000-0004-0000-0800-000069010000}"/>
    <hyperlink ref="A390" r:id="rId363" xr:uid="{00000000-0004-0000-0800-00006A010000}"/>
    <hyperlink ref="A391" r:id="rId364" xr:uid="{00000000-0004-0000-0800-00006B010000}"/>
    <hyperlink ref="A392" r:id="rId365" xr:uid="{00000000-0004-0000-0800-00006C010000}"/>
    <hyperlink ref="A393" r:id="rId366" xr:uid="{00000000-0004-0000-0800-00006D010000}"/>
    <hyperlink ref="A394" r:id="rId367" xr:uid="{00000000-0004-0000-0800-00006E010000}"/>
    <hyperlink ref="A395" r:id="rId368" xr:uid="{00000000-0004-0000-0800-00006F010000}"/>
    <hyperlink ref="A396" r:id="rId369" xr:uid="{00000000-0004-0000-0800-000070010000}"/>
    <hyperlink ref="A397" r:id="rId370" xr:uid="{00000000-0004-0000-0800-000071010000}"/>
    <hyperlink ref="A398" r:id="rId371" xr:uid="{00000000-0004-0000-0800-000072010000}"/>
    <hyperlink ref="A399" r:id="rId372" xr:uid="{00000000-0004-0000-0800-000073010000}"/>
    <hyperlink ref="A400" r:id="rId373" xr:uid="{00000000-0004-0000-0800-000074010000}"/>
    <hyperlink ref="A401" r:id="rId374" xr:uid="{00000000-0004-0000-0800-000075010000}"/>
    <hyperlink ref="A402" r:id="rId375" xr:uid="{00000000-0004-0000-0800-000076010000}"/>
    <hyperlink ref="A406" r:id="rId376" xr:uid="{00000000-0004-0000-0800-000077010000}"/>
    <hyperlink ref="A407" r:id="rId377" xr:uid="{00000000-0004-0000-0800-000078010000}"/>
    <hyperlink ref="A408" r:id="rId378" xr:uid="{00000000-0004-0000-0800-000079010000}"/>
    <hyperlink ref="A409" r:id="rId379" xr:uid="{00000000-0004-0000-0800-00007A010000}"/>
    <hyperlink ref="A410" r:id="rId380" xr:uid="{00000000-0004-0000-0800-00007B010000}"/>
    <hyperlink ref="A411" r:id="rId381" xr:uid="{00000000-0004-0000-0800-00007C010000}"/>
    <hyperlink ref="A412" r:id="rId382" xr:uid="{00000000-0004-0000-0800-00007D010000}"/>
    <hyperlink ref="A413" r:id="rId383" xr:uid="{00000000-0004-0000-0800-00007E010000}"/>
    <hyperlink ref="A414" r:id="rId384" xr:uid="{00000000-0004-0000-0800-00007F010000}"/>
    <hyperlink ref="A415" r:id="rId385" xr:uid="{00000000-0004-0000-0800-000080010000}"/>
    <hyperlink ref="A416" r:id="rId386" xr:uid="{00000000-0004-0000-0800-000081010000}"/>
    <hyperlink ref="A417" r:id="rId387" xr:uid="{00000000-0004-0000-0800-000082010000}"/>
    <hyperlink ref="A418" r:id="rId388" xr:uid="{00000000-0004-0000-0800-000083010000}"/>
    <hyperlink ref="A419" r:id="rId389" xr:uid="{00000000-0004-0000-0800-000084010000}"/>
    <hyperlink ref="A420" r:id="rId390" xr:uid="{00000000-0004-0000-0800-000085010000}"/>
    <hyperlink ref="A421" r:id="rId391" xr:uid="{00000000-0004-0000-0800-000086010000}"/>
    <hyperlink ref="A422" r:id="rId392" xr:uid="{00000000-0004-0000-0800-000087010000}"/>
    <hyperlink ref="A423" r:id="rId393" xr:uid="{00000000-0004-0000-0800-000088010000}"/>
    <hyperlink ref="A424" r:id="rId394" xr:uid="{00000000-0004-0000-0800-000089010000}"/>
    <hyperlink ref="A425" r:id="rId395" xr:uid="{00000000-0004-0000-0800-00008A010000}"/>
    <hyperlink ref="A426" r:id="rId396" xr:uid="{00000000-0004-0000-0800-00008B010000}"/>
    <hyperlink ref="A427" r:id="rId397" xr:uid="{00000000-0004-0000-0800-00008C010000}"/>
    <hyperlink ref="A428" r:id="rId398" xr:uid="{00000000-0004-0000-0800-00008D010000}"/>
    <hyperlink ref="A429" r:id="rId399" xr:uid="{00000000-0004-0000-0800-00008E010000}"/>
    <hyperlink ref="A430" r:id="rId400" xr:uid="{00000000-0004-0000-0800-00008F010000}"/>
    <hyperlink ref="A431" r:id="rId401" xr:uid="{00000000-0004-0000-0800-000090010000}"/>
    <hyperlink ref="A432" r:id="rId402" xr:uid="{00000000-0004-0000-0800-000091010000}"/>
    <hyperlink ref="A433" r:id="rId403" xr:uid="{00000000-0004-0000-0800-000092010000}"/>
    <hyperlink ref="A434" r:id="rId404" xr:uid="{00000000-0004-0000-0800-000093010000}"/>
    <hyperlink ref="A435" r:id="rId405" xr:uid="{00000000-0004-0000-0800-000094010000}"/>
    <hyperlink ref="A436" r:id="rId406" xr:uid="{00000000-0004-0000-0800-000095010000}"/>
    <hyperlink ref="A437" r:id="rId407" xr:uid="{00000000-0004-0000-0800-000096010000}"/>
    <hyperlink ref="A438" r:id="rId408" xr:uid="{00000000-0004-0000-0800-000097010000}"/>
    <hyperlink ref="A439" r:id="rId409" xr:uid="{00000000-0004-0000-0800-000098010000}"/>
    <hyperlink ref="A440" r:id="rId410" xr:uid="{00000000-0004-0000-0800-000099010000}"/>
    <hyperlink ref="A441" r:id="rId411" xr:uid="{00000000-0004-0000-0800-00009A010000}"/>
    <hyperlink ref="A442" r:id="rId412" xr:uid="{00000000-0004-0000-0800-00009B010000}"/>
    <hyperlink ref="A443" r:id="rId413" xr:uid="{00000000-0004-0000-0800-00009C010000}"/>
    <hyperlink ref="A444" r:id="rId414" xr:uid="{00000000-0004-0000-0800-00009D010000}"/>
    <hyperlink ref="A445" r:id="rId415" xr:uid="{00000000-0004-0000-0800-00009E010000}"/>
    <hyperlink ref="A446" r:id="rId416" xr:uid="{00000000-0004-0000-0800-00009F010000}"/>
    <hyperlink ref="A448" r:id="rId417" xr:uid="{00000000-0004-0000-0800-0000A0010000}"/>
    <hyperlink ref="A449" r:id="rId418" xr:uid="{00000000-0004-0000-0800-0000A1010000}"/>
    <hyperlink ref="A450" r:id="rId419" xr:uid="{00000000-0004-0000-0800-0000A2010000}"/>
    <hyperlink ref="A451" r:id="rId420" xr:uid="{00000000-0004-0000-0800-0000A3010000}"/>
    <hyperlink ref="A452" r:id="rId421" xr:uid="{00000000-0004-0000-0800-0000A4010000}"/>
    <hyperlink ref="A453" r:id="rId422" xr:uid="{00000000-0004-0000-0800-0000A5010000}"/>
    <hyperlink ref="A454" r:id="rId423" xr:uid="{00000000-0004-0000-0800-0000A6010000}"/>
    <hyperlink ref="A455" r:id="rId424" xr:uid="{00000000-0004-0000-0800-0000A7010000}"/>
    <hyperlink ref="A456" r:id="rId425" xr:uid="{00000000-0004-0000-0800-0000A8010000}"/>
    <hyperlink ref="A457" r:id="rId426" xr:uid="{00000000-0004-0000-0800-0000A9010000}"/>
    <hyperlink ref="A458" r:id="rId427" xr:uid="{00000000-0004-0000-0800-0000AA010000}"/>
    <hyperlink ref="A459" r:id="rId428" xr:uid="{00000000-0004-0000-0800-0000AB010000}"/>
    <hyperlink ref="A460" r:id="rId429" xr:uid="{00000000-0004-0000-0800-0000AC010000}"/>
    <hyperlink ref="A461" r:id="rId430" xr:uid="{00000000-0004-0000-0800-0000AD010000}"/>
    <hyperlink ref="A462" r:id="rId431" xr:uid="{00000000-0004-0000-0800-0000AE010000}"/>
    <hyperlink ref="A463" r:id="rId432" xr:uid="{00000000-0004-0000-0800-0000AF010000}"/>
    <hyperlink ref="A464" r:id="rId433" xr:uid="{00000000-0004-0000-0800-0000B0010000}"/>
    <hyperlink ref="A465" r:id="rId434" xr:uid="{00000000-0004-0000-0800-0000B1010000}"/>
    <hyperlink ref="A466" r:id="rId435" xr:uid="{00000000-0004-0000-0800-0000B2010000}"/>
    <hyperlink ref="A467" r:id="rId436" xr:uid="{00000000-0004-0000-0800-0000B3010000}"/>
    <hyperlink ref="A468" r:id="rId437" xr:uid="{00000000-0004-0000-0800-0000B4010000}"/>
    <hyperlink ref="A469" r:id="rId438" xr:uid="{00000000-0004-0000-0800-0000B5010000}"/>
    <hyperlink ref="A470" r:id="rId439" xr:uid="{00000000-0004-0000-0800-0000B6010000}"/>
    <hyperlink ref="A471" r:id="rId440" xr:uid="{00000000-0004-0000-0800-0000B7010000}"/>
    <hyperlink ref="A473" r:id="rId441" xr:uid="{00000000-0004-0000-0800-0000B8010000}"/>
    <hyperlink ref="A474" r:id="rId442" xr:uid="{00000000-0004-0000-0800-0000B9010000}"/>
    <hyperlink ref="A475" r:id="rId443" xr:uid="{00000000-0004-0000-0800-0000BA010000}"/>
    <hyperlink ref="A476" r:id="rId444" xr:uid="{00000000-0004-0000-0800-0000BB010000}"/>
    <hyperlink ref="A477" r:id="rId445" xr:uid="{00000000-0004-0000-0800-0000BC010000}"/>
    <hyperlink ref="A478" r:id="rId446" xr:uid="{00000000-0004-0000-0800-0000BD010000}"/>
    <hyperlink ref="A479" r:id="rId447" xr:uid="{00000000-0004-0000-0800-0000BE010000}"/>
    <hyperlink ref="A480" r:id="rId448" xr:uid="{00000000-0004-0000-0800-0000BF010000}"/>
    <hyperlink ref="A481" r:id="rId449" xr:uid="{00000000-0004-0000-0800-0000C0010000}"/>
    <hyperlink ref="A482" r:id="rId450" xr:uid="{00000000-0004-0000-0800-0000C1010000}"/>
    <hyperlink ref="A483" r:id="rId451" xr:uid="{00000000-0004-0000-0800-0000C2010000}"/>
    <hyperlink ref="A484" r:id="rId452" xr:uid="{00000000-0004-0000-0800-0000C3010000}"/>
    <hyperlink ref="A485" r:id="rId453" xr:uid="{00000000-0004-0000-0800-0000C4010000}"/>
    <hyperlink ref="A486" r:id="rId454" xr:uid="{00000000-0004-0000-0800-0000C5010000}"/>
    <hyperlink ref="A487" r:id="rId455" xr:uid="{00000000-0004-0000-0800-0000C6010000}"/>
    <hyperlink ref="A488" r:id="rId456" xr:uid="{00000000-0004-0000-0800-0000C7010000}"/>
    <hyperlink ref="A489" r:id="rId457" xr:uid="{00000000-0004-0000-0800-0000C8010000}"/>
    <hyperlink ref="A490" r:id="rId458" xr:uid="{00000000-0004-0000-0800-0000C9010000}"/>
    <hyperlink ref="A491" r:id="rId459" xr:uid="{00000000-0004-0000-0800-0000CA010000}"/>
    <hyperlink ref="A492" r:id="rId460" xr:uid="{00000000-0004-0000-0800-0000CB010000}"/>
    <hyperlink ref="A493" r:id="rId461" xr:uid="{00000000-0004-0000-0800-0000CC010000}"/>
    <hyperlink ref="A494" r:id="rId462" xr:uid="{00000000-0004-0000-0800-0000CD010000}"/>
    <hyperlink ref="A495" r:id="rId463" xr:uid="{00000000-0004-0000-0800-0000CE010000}"/>
    <hyperlink ref="A496" r:id="rId464" xr:uid="{00000000-0004-0000-0800-0000CF010000}"/>
    <hyperlink ref="A497" r:id="rId465" xr:uid="{00000000-0004-0000-0800-0000D0010000}"/>
    <hyperlink ref="A498" r:id="rId466" xr:uid="{00000000-0004-0000-0800-0000D1010000}"/>
    <hyperlink ref="A499" r:id="rId467" xr:uid="{00000000-0004-0000-0800-0000D2010000}"/>
    <hyperlink ref="A500" r:id="rId468" xr:uid="{00000000-0004-0000-0800-0000D3010000}"/>
    <hyperlink ref="A501" r:id="rId469" xr:uid="{00000000-0004-0000-0800-0000D4010000}"/>
    <hyperlink ref="A502" r:id="rId470" xr:uid="{00000000-0004-0000-0800-0000D5010000}"/>
    <hyperlink ref="A503" r:id="rId471" xr:uid="{00000000-0004-0000-0800-0000D6010000}"/>
    <hyperlink ref="A504" r:id="rId472" xr:uid="{00000000-0004-0000-0800-0000D7010000}"/>
    <hyperlink ref="A505" r:id="rId473" xr:uid="{00000000-0004-0000-0800-0000D8010000}"/>
    <hyperlink ref="A506" r:id="rId474" xr:uid="{00000000-0004-0000-0800-0000D9010000}"/>
    <hyperlink ref="A507" r:id="rId475" xr:uid="{00000000-0004-0000-0800-0000DA010000}"/>
    <hyperlink ref="A508" r:id="rId476" xr:uid="{00000000-0004-0000-0800-0000DB010000}"/>
    <hyperlink ref="A509" r:id="rId477" xr:uid="{00000000-0004-0000-0800-0000DC010000}"/>
    <hyperlink ref="A510" r:id="rId478" xr:uid="{00000000-0004-0000-0800-0000DD010000}"/>
    <hyperlink ref="A512" r:id="rId479" xr:uid="{00000000-0004-0000-0800-0000DE010000}"/>
    <hyperlink ref="A513" r:id="rId480" xr:uid="{00000000-0004-0000-0800-0000DF010000}"/>
    <hyperlink ref="A514" r:id="rId481" xr:uid="{00000000-0004-0000-0800-0000E0010000}"/>
    <hyperlink ref="A515" r:id="rId482" xr:uid="{00000000-0004-0000-0800-0000E1010000}"/>
    <hyperlink ref="A516" r:id="rId483" xr:uid="{00000000-0004-0000-0800-0000E2010000}"/>
    <hyperlink ref="A517" r:id="rId484" xr:uid="{00000000-0004-0000-0800-0000E3010000}"/>
    <hyperlink ref="A520" r:id="rId485" xr:uid="{00000000-0004-0000-0800-0000E4010000}"/>
    <hyperlink ref="A522" r:id="rId486" xr:uid="{00000000-0004-0000-0800-0000E5010000}"/>
    <hyperlink ref="A523" r:id="rId487" xr:uid="{00000000-0004-0000-0800-0000E6010000}"/>
    <hyperlink ref="A524" r:id="rId488" xr:uid="{00000000-0004-0000-0800-0000E7010000}"/>
    <hyperlink ref="A525" r:id="rId489" xr:uid="{00000000-0004-0000-0800-0000E8010000}"/>
    <hyperlink ref="A526" r:id="rId490" xr:uid="{00000000-0004-0000-0800-0000E9010000}"/>
    <hyperlink ref="A527" r:id="rId491" xr:uid="{00000000-0004-0000-0800-0000EA010000}"/>
    <hyperlink ref="A528" r:id="rId492" xr:uid="{00000000-0004-0000-0800-0000EB010000}"/>
    <hyperlink ref="A529" r:id="rId493" xr:uid="{00000000-0004-0000-0800-0000EC010000}"/>
    <hyperlink ref="A530" r:id="rId494" xr:uid="{00000000-0004-0000-0800-0000ED010000}"/>
    <hyperlink ref="A532" r:id="rId495" xr:uid="{00000000-0004-0000-0800-0000EE010000}"/>
    <hyperlink ref="A533" r:id="rId496" xr:uid="{00000000-0004-0000-0800-0000EF010000}"/>
    <hyperlink ref="A534" r:id="rId497" xr:uid="{00000000-0004-0000-0800-0000F0010000}"/>
    <hyperlink ref="A535" r:id="rId498" xr:uid="{00000000-0004-0000-0800-0000F1010000}"/>
    <hyperlink ref="A536" r:id="rId499" xr:uid="{00000000-0004-0000-0800-0000F2010000}"/>
    <hyperlink ref="A537" r:id="rId500" xr:uid="{00000000-0004-0000-0800-0000F3010000}"/>
    <hyperlink ref="A538" r:id="rId501" xr:uid="{00000000-0004-0000-0800-0000F4010000}"/>
    <hyperlink ref="A539" r:id="rId502" xr:uid="{00000000-0004-0000-0800-0000F5010000}"/>
    <hyperlink ref="A540" r:id="rId503" xr:uid="{00000000-0004-0000-0800-0000F6010000}"/>
    <hyperlink ref="A541" r:id="rId504" xr:uid="{00000000-0004-0000-0800-0000F7010000}"/>
    <hyperlink ref="A542" r:id="rId505" xr:uid="{00000000-0004-0000-0800-0000F8010000}"/>
    <hyperlink ref="A543" r:id="rId506" xr:uid="{00000000-0004-0000-0800-0000F9010000}"/>
    <hyperlink ref="A544" r:id="rId507" xr:uid="{00000000-0004-0000-0800-0000FA010000}"/>
    <hyperlink ref="A545" r:id="rId508" xr:uid="{00000000-0004-0000-0800-0000FB010000}"/>
    <hyperlink ref="A546" r:id="rId509" xr:uid="{00000000-0004-0000-0800-0000FC010000}"/>
    <hyperlink ref="A547" r:id="rId510" xr:uid="{00000000-0004-0000-0800-0000FD010000}"/>
    <hyperlink ref="A548" r:id="rId511" xr:uid="{00000000-0004-0000-0800-0000FE010000}"/>
    <hyperlink ref="A549" r:id="rId512" xr:uid="{00000000-0004-0000-0800-0000FF010000}"/>
    <hyperlink ref="A550" r:id="rId513" xr:uid="{00000000-0004-0000-0800-000000020000}"/>
    <hyperlink ref="A551" r:id="rId514" xr:uid="{00000000-0004-0000-0800-000001020000}"/>
    <hyperlink ref="A552" r:id="rId515" xr:uid="{00000000-0004-0000-0800-000002020000}"/>
    <hyperlink ref="A553" r:id="rId516" xr:uid="{00000000-0004-0000-0800-000003020000}"/>
    <hyperlink ref="A554" r:id="rId517" xr:uid="{00000000-0004-0000-0800-000004020000}"/>
    <hyperlink ref="A555" r:id="rId518" xr:uid="{00000000-0004-0000-0800-000005020000}"/>
    <hyperlink ref="A556" r:id="rId519" xr:uid="{00000000-0004-0000-0800-000006020000}"/>
    <hyperlink ref="A557" r:id="rId520" xr:uid="{00000000-0004-0000-0800-000007020000}"/>
    <hyperlink ref="A558" r:id="rId521" xr:uid="{00000000-0004-0000-0800-000008020000}"/>
    <hyperlink ref="A559" r:id="rId522" xr:uid="{00000000-0004-0000-0800-000009020000}"/>
    <hyperlink ref="A560" r:id="rId523" xr:uid="{00000000-0004-0000-0800-00000A020000}"/>
    <hyperlink ref="A561" r:id="rId524" xr:uid="{00000000-0004-0000-0800-00000B020000}"/>
    <hyperlink ref="A563" r:id="rId525" xr:uid="{00000000-0004-0000-0800-00000C020000}"/>
    <hyperlink ref="A564" r:id="rId526" xr:uid="{00000000-0004-0000-0800-00000D020000}"/>
    <hyperlink ref="A565" r:id="rId527" xr:uid="{00000000-0004-0000-0800-00000E020000}"/>
    <hyperlink ref="A566" r:id="rId528" xr:uid="{00000000-0004-0000-0800-00000F020000}"/>
    <hyperlink ref="A567" r:id="rId529" xr:uid="{00000000-0004-0000-0800-000010020000}"/>
    <hyperlink ref="A568" r:id="rId530" xr:uid="{00000000-0004-0000-0800-000011020000}"/>
    <hyperlink ref="A569" r:id="rId531" xr:uid="{00000000-0004-0000-0800-000012020000}"/>
    <hyperlink ref="A570" r:id="rId532" xr:uid="{00000000-0004-0000-0800-000013020000}"/>
    <hyperlink ref="A571" r:id="rId533" xr:uid="{00000000-0004-0000-0800-000014020000}"/>
    <hyperlink ref="A572" r:id="rId534" xr:uid="{00000000-0004-0000-0800-000015020000}"/>
    <hyperlink ref="A573" r:id="rId535" xr:uid="{00000000-0004-0000-0800-000016020000}"/>
    <hyperlink ref="A574" r:id="rId536" xr:uid="{00000000-0004-0000-0800-000017020000}"/>
    <hyperlink ref="A575" r:id="rId537" xr:uid="{00000000-0004-0000-0800-000018020000}"/>
    <hyperlink ref="A576" r:id="rId538" xr:uid="{00000000-0004-0000-0800-000019020000}"/>
    <hyperlink ref="A577" r:id="rId539" xr:uid="{00000000-0004-0000-0800-00001A020000}"/>
    <hyperlink ref="A578" r:id="rId540" xr:uid="{00000000-0004-0000-0800-00001B020000}"/>
    <hyperlink ref="A579" r:id="rId541" xr:uid="{00000000-0004-0000-0800-00001C020000}"/>
    <hyperlink ref="A580" r:id="rId542" xr:uid="{00000000-0004-0000-0800-00001D020000}"/>
    <hyperlink ref="A581" r:id="rId543" xr:uid="{00000000-0004-0000-0800-00001E020000}"/>
    <hyperlink ref="A582" r:id="rId544" xr:uid="{00000000-0004-0000-0800-00001F020000}"/>
    <hyperlink ref="A584" r:id="rId545" xr:uid="{00000000-0004-0000-0800-000020020000}"/>
    <hyperlink ref="A585" r:id="rId546" xr:uid="{00000000-0004-0000-0800-000021020000}"/>
    <hyperlink ref="A586" r:id="rId547" xr:uid="{00000000-0004-0000-0800-000022020000}"/>
    <hyperlink ref="A587" r:id="rId548" xr:uid="{00000000-0004-0000-0800-000023020000}"/>
    <hyperlink ref="A588" r:id="rId549" xr:uid="{00000000-0004-0000-0800-000024020000}"/>
    <hyperlink ref="A589" r:id="rId550" xr:uid="{00000000-0004-0000-0800-000025020000}"/>
    <hyperlink ref="A590" r:id="rId551" xr:uid="{00000000-0004-0000-0800-000026020000}"/>
    <hyperlink ref="A591" r:id="rId552" xr:uid="{00000000-0004-0000-0800-000027020000}"/>
    <hyperlink ref="A592" r:id="rId553" xr:uid="{00000000-0004-0000-0800-000028020000}"/>
    <hyperlink ref="A593" r:id="rId554" xr:uid="{00000000-0004-0000-0800-000029020000}"/>
    <hyperlink ref="A594" r:id="rId555" xr:uid="{00000000-0004-0000-0800-00002A020000}"/>
    <hyperlink ref="A595" r:id="rId556" xr:uid="{00000000-0004-0000-0800-00002B020000}"/>
    <hyperlink ref="A596" r:id="rId557" xr:uid="{00000000-0004-0000-0800-00002C020000}"/>
    <hyperlink ref="A597" r:id="rId558" xr:uid="{00000000-0004-0000-0800-00002D020000}"/>
    <hyperlink ref="A598" r:id="rId559" xr:uid="{00000000-0004-0000-0800-00002E020000}"/>
    <hyperlink ref="A599" r:id="rId560" xr:uid="{00000000-0004-0000-0800-00002F020000}"/>
    <hyperlink ref="A600" r:id="rId561" xr:uid="{00000000-0004-0000-0800-000030020000}"/>
    <hyperlink ref="A601" r:id="rId562" xr:uid="{00000000-0004-0000-0800-000031020000}"/>
    <hyperlink ref="A602" r:id="rId563" xr:uid="{00000000-0004-0000-0800-000032020000}"/>
    <hyperlink ref="A603" r:id="rId564" xr:uid="{00000000-0004-0000-0800-000033020000}"/>
    <hyperlink ref="A604" r:id="rId565" xr:uid="{00000000-0004-0000-0800-000034020000}"/>
    <hyperlink ref="A605" r:id="rId566" xr:uid="{00000000-0004-0000-0800-000035020000}"/>
    <hyperlink ref="A606" r:id="rId567" xr:uid="{00000000-0004-0000-0800-000036020000}"/>
    <hyperlink ref="A607" r:id="rId568" xr:uid="{00000000-0004-0000-0800-000037020000}"/>
    <hyperlink ref="A609" r:id="rId569" xr:uid="{00000000-0004-0000-0800-000038020000}"/>
    <hyperlink ref="A610" r:id="rId570" xr:uid="{00000000-0004-0000-0800-000039020000}"/>
    <hyperlink ref="A611" r:id="rId571" xr:uid="{00000000-0004-0000-0800-00003A020000}"/>
    <hyperlink ref="A612" r:id="rId572" xr:uid="{00000000-0004-0000-0800-00003B020000}"/>
    <hyperlink ref="A613" r:id="rId573" xr:uid="{00000000-0004-0000-0800-00003C020000}"/>
    <hyperlink ref="A614" r:id="rId574" xr:uid="{00000000-0004-0000-0800-00003D020000}"/>
    <hyperlink ref="A615" r:id="rId575" xr:uid="{00000000-0004-0000-0800-00003E020000}"/>
    <hyperlink ref="A616" r:id="rId576" xr:uid="{00000000-0004-0000-0800-00003F020000}"/>
    <hyperlink ref="A617" r:id="rId577" xr:uid="{00000000-0004-0000-0800-000040020000}"/>
    <hyperlink ref="A618" r:id="rId578" xr:uid="{00000000-0004-0000-0800-000041020000}"/>
    <hyperlink ref="A619" r:id="rId579" xr:uid="{00000000-0004-0000-0800-000042020000}"/>
    <hyperlink ref="A620" r:id="rId580" xr:uid="{00000000-0004-0000-0800-000043020000}"/>
    <hyperlink ref="A621" r:id="rId581" xr:uid="{00000000-0004-0000-0800-000044020000}"/>
    <hyperlink ref="A622" r:id="rId582" xr:uid="{00000000-0004-0000-0800-000045020000}"/>
    <hyperlink ref="A623" r:id="rId583" xr:uid="{00000000-0004-0000-0800-000046020000}"/>
    <hyperlink ref="A624" r:id="rId584" xr:uid="{00000000-0004-0000-0800-000047020000}"/>
    <hyperlink ref="A625" r:id="rId585" xr:uid="{00000000-0004-0000-0800-000048020000}"/>
    <hyperlink ref="A626" r:id="rId586" xr:uid="{00000000-0004-0000-0800-000049020000}"/>
    <hyperlink ref="A627" r:id="rId587" xr:uid="{00000000-0004-0000-0800-00004A020000}"/>
    <hyperlink ref="A628" r:id="rId588" xr:uid="{00000000-0004-0000-0800-00004B020000}"/>
    <hyperlink ref="A629" r:id="rId589" xr:uid="{00000000-0004-0000-0800-00004C020000}"/>
    <hyperlink ref="A630" r:id="rId590" xr:uid="{00000000-0004-0000-0800-00004D020000}"/>
    <hyperlink ref="A631" r:id="rId591" xr:uid="{00000000-0004-0000-0800-00004E020000}"/>
    <hyperlink ref="A632" r:id="rId592" xr:uid="{00000000-0004-0000-0800-00004F020000}"/>
    <hyperlink ref="A633" r:id="rId593" xr:uid="{00000000-0004-0000-0800-000050020000}"/>
    <hyperlink ref="A634" r:id="rId594" xr:uid="{00000000-0004-0000-0800-000051020000}"/>
    <hyperlink ref="A635" r:id="rId595" xr:uid="{00000000-0004-0000-0800-000052020000}"/>
    <hyperlink ref="A636" r:id="rId596" xr:uid="{00000000-0004-0000-0800-000053020000}"/>
    <hyperlink ref="A637" r:id="rId597" xr:uid="{00000000-0004-0000-0800-000054020000}"/>
    <hyperlink ref="A638" r:id="rId598" xr:uid="{00000000-0004-0000-0800-000055020000}"/>
    <hyperlink ref="A639" r:id="rId599" xr:uid="{00000000-0004-0000-0800-000056020000}"/>
    <hyperlink ref="A640" r:id="rId600" xr:uid="{00000000-0004-0000-0800-000057020000}"/>
    <hyperlink ref="A641" r:id="rId601" xr:uid="{00000000-0004-0000-0800-000058020000}"/>
    <hyperlink ref="A642" r:id="rId602" xr:uid="{00000000-0004-0000-0800-000059020000}"/>
    <hyperlink ref="A643" r:id="rId603" xr:uid="{00000000-0004-0000-0800-00005A020000}"/>
    <hyperlink ref="A644" r:id="rId604" xr:uid="{00000000-0004-0000-0800-00005B020000}"/>
    <hyperlink ref="A645" r:id="rId605" xr:uid="{00000000-0004-0000-0800-00005C020000}"/>
    <hyperlink ref="A646" r:id="rId606" xr:uid="{00000000-0004-0000-0800-00005D020000}"/>
    <hyperlink ref="A647" r:id="rId607" xr:uid="{00000000-0004-0000-0800-00005E020000}"/>
    <hyperlink ref="A648" r:id="rId608" xr:uid="{00000000-0004-0000-0800-00005F020000}"/>
    <hyperlink ref="A649" r:id="rId609" xr:uid="{00000000-0004-0000-0800-000060020000}"/>
    <hyperlink ref="A650" r:id="rId610" xr:uid="{00000000-0004-0000-0800-000061020000}"/>
    <hyperlink ref="A651" r:id="rId611" xr:uid="{00000000-0004-0000-0800-000062020000}"/>
    <hyperlink ref="A652" r:id="rId612" xr:uid="{00000000-0004-0000-0800-000063020000}"/>
    <hyperlink ref="A653" r:id="rId613" xr:uid="{00000000-0004-0000-0800-000064020000}"/>
    <hyperlink ref="A654" r:id="rId614" xr:uid="{00000000-0004-0000-0800-000065020000}"/>
    <hyperlink ref="A655" r:id="rId615" xr:uid="{00000000-0004-0000-0800-000066020000}"/>
    <hyperlink ref="A656" r:id="rId616" xr:uid="{00000000-0004-0000-0800-000067020000}"/>
    <hyperlink ref="A657" r:id="rId617" xr:uid="{00000000-0004-0000-0800-000068020000}"/>
    <hyperlink ref="A658" r:id="rId618" xr:uid="{00000000-0004-0000-0800-000069020000}"/>
    <hyperlink ref="A659" r:id="rId619" xr:uid="{00000000-0004-0000-0800-00006A020000}"/>
    <hyperlink ref="A660" r:id="rId620" xr:uid="{00000000-0004-0000-0800-00006B020000}"/>
    <hyperlink ref="A661" r:id="rId621" xr:uid="{00000000-0004-0000-0800-00006C020000}"/>
    <hyperlink ref="A662" r:id="rId622" xr:uid="{00000000-0004-0000-0800-00006D020000}"/>
    <hyperlink ref="A663" r:id="rId623" xr:uid="{00000000-0004-0000-0800-00006E020000}"/>
    <hyperlink ref="A665" r:id="rId624" xr:uid="{00000000-0004-0000-0800-00006F020000}"/>
    <hyperlink ref="A666" r:id="rId625" xr:uid="{00000000-0004-0000-0800-000070020000}"/>
    <hyperlink ref="A667" r:id="rId626" xr:uid="{00000000-0004-0000-0800-000071020000}"/>
    <hyperlink ref="A668" r:id="rId627" xr:uid="{00000000-0004-0000-0800-000072020000}"/>
    <hyperlink ref="A669" r:id="rId628" xr:uid="{00000000-0004-0000-0800-000073020000}"/>
    <hyperlink ref="A670" r:id="rId629" xr:uid="{00000000-0004-0000-0800-000074020000}"/>
    <hyperlink ref="A671" r:id="rId630" xr:uid="{00000000-0004-0000-0800-000075020000}"/>
    <hyperlink ref="A672" r:id="rId631" xr:uid="{00000000-0004-0000-0800-000076020000}"/>
    <hyperlink ref="A676" r:id="rId632" xr:uid="{00000000-0004-0000-0800-000077020000}"/>
    <hyperlink ref="A677" r:id="rId633" xr:uid="{00000000-0004-0000-0800-00007802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678"/>
  <sheetViews>
    <sheetView workbookViewId="0"/>
  </sheetViews>
  <sheetFormatPr defaultColWidth="12.6328125" defaultRowHeight="15" customHeight="1"/>
  <cols>
    <col min="1" max="1" width="38.90625" customWidth="1"/>
  </cols>
  <sheetData>
    <row r="1" spans="1:7" ht="13">
      <c r="A1" s="36" t="s">
        <v>12623</v>
      </c>
      <c r="C1" s="4" t="str">
        <f ca="1">IFERROR(__xludf.DUMMYFUNCTION("ARRAYFORMULA(SPLIT(A2:A677, ""+""))"),"2 C00013 ")</f>
        <v xml:space="preserve">2 C00013 </v>
      </c>
      <c r="D1" s="4" t="str">
        <f ca="1">IFERROR(__xludf.DUMMYFUNCTION("""COMPUTED_VALUE""")," C20565")</f>
        <v xml:space="preserve"> C20565</v>
      </c>
      <c r="E1" s="4"/>
      <c r="F1" s="4"/>
      <c r="G1" s="4"/>
    </row>
    <row r="2" spans="1:7" ht="14">
      <c r="A2" s="22" t="s">
        <v>16404</v>
      </c>
      <c r="C2" s="4" t="str">
        <f ca="1">IFERROR(__xludf.DUMMYFUNCTION("""COMPUTED_VALUE"""),"2 C00536 ")</f>
        <v xml:space="preserve">2 C00536 </v>
      </c>
      <c r="D2" s="4" t="str">
        <f ca="1">IFERROR(__xludf.DUMMYFUNCTION("""COMPUTED_VALUE""")," 2 C00194 ")</f>
        <v xml:space="preserve"> 2 C00194 </v>
      </c>
      <c r="E2" s="4" t="str">
        <f ca="1">IFERROR(__xludf.DUMMYFUNCTION("""COMPUTED_VALUE""")," C03161")</f>
        <v xml:space="preserve"> C03161</v>
      </c>
      <c r="F2" s="4"/>
      <c r="G2" s="4"/>
    </row>
    <row r="3" spans="1:7" ht="15" customHeight="1">
      <c r="A3" s="4" t="s">
        <v>12691</v>
      </c>
      <c r="C3" s="4" t="str">
        <f ca="1">IFERROR(__xludf.DUMMYFUNCTION("""COMPUTED_VALUE"""),"2 C00536 ")</f>
        <v xml:space="preserve">2 C00536 </v>
      </c>
      <c r="D3" s="4" t="str">
        <f ca="1">IFERROR(__xludf.DUMMYFUNCTION("""COMPUTED_VALUE""")," 2 C06506 ")</f>
        <v xml:space="preserve"> 2 C06506 </v>
      </c>
      <c r="E3" s="4" t="str">
        <f ca="1">IFERROR(__xludf.DUMMYFUNCTION("""COMPUTED_VALUE""")," C03161")</f>
        <v xml:space="preserve"> C03161</v>
      </c>
      <c r="F3" s="4"/>
      <c r="G3" s="4"/>
    </row>
    <row r="4" spans="1:7" ht="15" customHeight="1">
      <c r="A4" s="4" t="s">
        <v>12693</v>
      </c>
      <c r="C4" s="4" t="str">
        <f ca="1">IFERROR(__xludf.DUMMYFUNCTION("""COMPUTED_VALUE"""),"2 C00008 ")</f>
        <v xml:space="preserve">2 C00008 </v>
      </c>
      <c r="D4" s="4" t="str">
        <f ca="1">IFERROR(__xludf.DUMMYFUNCTION("""COMPUTED_VALUE""")," C00009 ")</f>
        <v xml:space="preserve"> C00009 </v>
      </c>
      <c r="E4" s="4" t="str">
        <f ca="1">IFERROR(__xludf.DUMMYFUNCTION("""COMPUTED_VALUE""")," C00025 ")</f>
        <v xml:space="preserve"> C00025 </v>
      </c>
      <c r="F4" s="4" t="str">
        <f ca="1">IFERROR(__xludf.DUMMYFUNCTION("""COMPUTED_VALUE""")," C00169")</f>
        <v xml:space="preserve"> C00169</v>
      </c>
      <c r="G4" s="4"/>
    </row>
    <row r="5" spans="1:7" ht="14">
      <c r="A5" s="22" t="s">
        <v>16405</v>
      </c>
      <c r="C5" s="4" t="str">
        <f ca="1">IFERROR(__xludf.DUMMYFUNCTION("""COMPUTED_VALUE"""),"2 C00008 ")</f>
        <v xml:space="preserve">2 C00008 </v>
      </c>
      <c r="D5" s="4" t="str">
        <f ca="1">IFERROR(__xludf.DUMMYFUNCTION("""COMPUTED_VALUE""")," C00009 ")</f>
        <v xml:space="preserve"> C00009 </v>
      </c>
      <c r="E5" s="4" t="str">
        <f ca="1">IFERROR(__xludf.DUMMYFUNCTION("""COMPUTED_VALUE""")," C00169")</f>
        <v xml:space="preserve"> C00169</v>
      </c>
      <c r="F5" s="4"/>
      <c r="G5" s="4"/>
    </row>
    <row r="6" spans="1:7" ht="14">
      <c r="A6" s="22" t="s">
        <v>16406</v>
      </c>
      <c r="C6" s="4" t="str">
        <f ca="1">IFERROR(__xludf.DUMMYFUNCTION("""COMPUTED_VALUE"""),"2 C00006 ")</f>
        <v xml:space="preserve">2 C00006 </v>
      </c>
      <c r="D6" s="4" t="str">
        <f ca="1">IFERROR(__xludf.DUMMYFUNCTION("""COMPUTED_VALUE""")," 2 C00001 ")</f>
        <v xml:space="preserve"> 2 C00001 </v>
      </c>
      <c r="E6" s="4" t="str">
        <f ca="1">IFERROR(__xludf.DUMMYFUNCTION("""COMPUTED_VALUE""")," C05703")</f>
        <v xml:space="preserve"> C05703</v>
      </c>
      <c r="F6" s="4"/>
      <c r="G6" s="4"/>
    </row>
    <row r="7" spans="1:7" ht="14">
      <c r="A7" s="22" t="s">
        <v>16407</v>
      </c>
      <c r="C7" s="4" t="str">
        <f ca="1">IFERROR(__xludf.DUMMYFUNCTION("""COMPUTED_VALUE"""),"2 C00021 ")</f>
        <v xml:space="preserve">2 C00021 </v>
      </c>
      <c r="D7" s="4" t="str">
        <f ca="1">IFERROR(__xludf.DUMMYFUNCTION("""COMPUTED_VALUE""")," C20796")</f>
        <v xml:space="preserve"> C20796</v>
      </c>
      <c r="E7" s="4"/>
      <c r="F7" s="4"/>
      <c r="G7" s="4"/>
    </row>
    <row r="8" spans="1:7" ht="14">
      <c r="A8" s="22" t="s">
        <v>16408</v>
      </c>
      <c r="C8" s="4" t="str">
        <f ca="1">IFERROR(__xludf.DUMMYFUNCTION("""COMPUTED_VALUE"""),"C00010 ")</f>
        <v xml:space="preserve">C00010 </v>
      </c>
      <c r="D8" s="4" t="str">
        <f ca="1">IFERROR(__xludf.DUMMYFUNCTION("""COMPUTED_VALUE""")," C00332")</f>
        <v xml:space="preserve"> C00332</v>
      </c>
      <c r="E8" s="4"/>
      <c r="F8" s="4"/>
      <c r="G8" s="4"/>
    </row>
    <row r="9" spans="1:7" ht="14">
      <c r="A9" s="22" t="s">
        <v>16409</v>
      </c>
      <c r="C9" s="4" t="str">
        <f ca="1">IFERROR(__xludf.DUMMYFUNCTION("""COMPUTED_VALUE"""),"C00064 ")</f>
        <v xml:space="preserve">C00064 </v>
      </c>
      <c r="D9" s="4" t="str">
        <f ca="1">IFERROR(__xludf.DUMMYFUNCTION("""COMPUTED_VALUE""")," C00026 ")</f>
        <v xml:space="preserve"> C00026 </v>
      </c>
      <c r="E9" s="4" t="str">
        <f ca="1">IFERROR(__xludf.DUMMYFUNCTION("""COMPUTED_VALUE""")," C00005 ")</f>
        <v xml:space="preserve"> C00005 </v>
      </c>
      <c r="F9" s="4" t="str">
        <f ca="1">IFERROR(__xludf.DUMMYFUNCTION("""COMPUTED_VALUE""")," C00080")</f>
        <v xml:space="preserve"> C00080</v>
      </c>
      <c r="G9" s="4"/>
    </row>
    <row r="10" spans="1:7" ht="14">
      <c r="A10" s="22" t="s">
        <v>16410</v>
      </c>
      <c r="C10" s="4" t="str">
        <f ca="1">IFERROR(__xludf.DUMMYFUNCTION("""COMPUTED_VALUE"""),"C00027 ")</f>
        <v xml:space="preserve">C00027 </v>
      </c>
      <c r="D10" s="4" t="str">
        <f ca="1">IFERROR(__xludf.DUMMYFUNCTION("""COMPUTED_VALUE""")," C00007")</f>
        <v xml:space="preserve"> C00007</v>
      </c>
      <c r="E10" s="4"/>
      <c r="F10" s="4"/>
      <c r="G10" s="4"/>
    </row>
    <row r="11" spans="1:7" ht="14">
      <c r="A11" s="22" t="s">
        <v>16411</v>
      </c>
      <c r="C11" s="4" t="str">
        <f ca="1">IFERROR(__xludf.DUMMYFUNCTION("""COMPUTED_VALUE"""),"C00031 ")</f>
        <v xml:space="preserve">C00031 </v>
      </c>
      <c r="D11" s="4" t="str">
        <f ca="1">IFERROR(__xludf.DUMMYFUNCTION("""COMPUTED_VALUE""")," C00092")</f>
        <v xml:space="preserve"> C00092</v>
      </c>
      <c r="E11" s="4"/>
      <c r="F11" s="4"/>
      <c r="G11" s="4"/>
    </row>
    <row r="12" spans="1:7" ht="14">
      <c r="A12" s="22" t="s">
        <v>16412</v>
      </c>
      <c r="C12" s="4" t="str">
        <f ca="1">IFERROR(__xludf.DUMMYFUNCTION("""COMPUTED_VALUE"""),"C00124 ")</f>
        <v xml:space="preserve">C00124 </v>
      </c>
      <c r="D12" s="4" t="str">
        <f ca="1">IFERROR(__xludf.DUMMYFUNCTION("""COMPUTED_VALUE""")," G00092")</f>
        <v xml:space="preserve"> G00092</v>
      </c>
      <c r="E12" s="4"/>
      <c r="F12" s="4"/>
      <c r="G12" s="4"/>
    </row>
    <row r="13" spans="1:7" ht="14">
      <c r="A13" s="22" t="s">
        <v>16413</v>
      </c>
      <c r="C13" s="4" t="str">
        <f ca="1">IFERROR(__xludf.DUMMYFUNCTION("""COMPUTED_VALUE"""),"C00031 ")</f>
        <v xml:space="preserve">C00031 </v>
      </c>
      <c r="D13" s="4" t="str">
        <f ca="1">IFERROR(__xludf.DUMMYFUNCTION("""COMPUTED_VALUE""")," C00092")</f>
        <v xml:space="preserve"> C00092</v>
      </c>
      <c r="E13" s="4"/>
      <c r="F13" s="4"/>
      <c r="G13" s="4"/>
    </row>
    <row r="14" spans="1:7" ht="14">
      <c r="A14" s="22" t="s">
        <v>16414</v>
      </c>
      <c r="C14" s="4" t="str">
        <f ca="1">IFERROR(__xludf.DUMMYFUNCTION("""COMPUTED_VALUE"""),"C00008 ")</f>
        <v xml:space="preserve">C00008 </v>
      </c>
      <c r="D14" s="4" t="str">
        <f ca="1">IFERROR(__xludf.DUMMYFUNCTION("""COMPUTED_VALUE""")," C00009 ")</f>
        <v xml:space="preserve"> C00009 </v>
      </c>
      <c r="E14" s="4" t="str">
        <f ca="1">IFERROR(__xludf.DUMMYFUNCTION("""COMPUTED_VALUE""")," C00993")</f>
        <v xml:space="preserve"> C00993</v>
      </c>
      <c r="F14" s="4"/>
      <c r="G14" s="4"/>
    </row>
    <row r="15" spans="1:7" ht="14">
      <c r="A15" s="22" t="s">
        <v>16415</v>
      </c>
      <c r="C15" s="4" t="str">
        <f ca="1">IFERROR(__xludf.DUMMYFUNCTION("""COMPUTED_VALUE"""),"C00008 ")</f>
        <v xml:space="preserve">C00008 </v>
      </c>
      <c r="D15" s="4" t="str">
        <f ca="1">IFERROR(__xludf.DUMMYFUNCTION("""COMPUTED_VALUE""")," C00009")</f>
        <v xml:space="preserve"> C00009</v>
      </c>
      <c r="E15" s="4"/>
      <c r="F15" s="4"/>
      <c r="G15" s="4"/>
    </row>
    <row r="16" spans="1:7" ht="14">
      <c r="A16" s="22" t="s">
        <v>16416</v>
      </c>
      <c r="C16" s="4" t="str">
        <f ca="1">IFERROR(__xludf.DUMMYFUNCTION("""COMPUTED_VALUE"""),"C00008 ")</f>
        <v xml:space="preserve">C00008 </v>
      </c>
      <c r="D16" s="4" t="str">
        <f ca="1">IFERROR(__xludf.DUMMYFUNCTION("""COMPUTED_VALUE""")," C00006")</f>
        <v xml:space="preserve"> C00006</v>
      </c>
      <c r="E16" s="4"/>
      <c r="F16" s="4"/>
      <c r="G16" s="4"/>
    </row>
    <row r="17" spans="1:7" ht="14">
      <c r="A17" s="22" t="s">
        <v>16417</v>
      </c>
      <c r="C17" s="4" t="str">
        <f ca="1">IFERROR(__xludf.DUMMYFUNCTION("""COMPUTED_VALUE"""),"C00008 ")</f>
        <v xml:space="preserve">C00008 </v>
      </c>
      <c r="D17" s="4" t="str">
        <f ca="1">IFERROR(__xludf.DUMMYFUNCTION("""COMPUTED_VALUE""")," C00002")</f>
        <v xml:space="preserve"> C00002</v>
      </c>
      <c r="E17" s="4"/>
      <c r="F17" s="4"/>
      <c r="G17" s="4"/>
    </row>
    <row r="18" spans="1:7" ht="14">
      <c r="A18" s="22" t="s">
        <v>16418</v>
      </c>
      <c r="C18" s="4" t="str">
        <f ca="1">IFERROR(__xludf.DUMMYFUNCTION("""COMPUTED_VALUE"""),"C00008 ")</f>
        <v xml:space="preserve">C00008 </v>
      </c>
      <c r="D18" s="4" t="str">
        <f ca="1">IFERROR(__xludf.DUMMYFUNCTION("""COMPUTED_VALUE""")," C00075")</f>
        <v xml:space="preserve"> C00075</v>
      </c>
      <c r="E18" s="4"/>
      <c r="F18" s="4"/>
      <c r="G18" s="4"/>
    </row>
    <row r="19" spans="1:7" ht="14">
      <c r="A19" s="22" t="s">
        <v>16419</v>
      </c>
      <c r="C19" s="4" t="str">
        <f ca="1">IFERROR(__xludf.DUMMYFUNCTION("""COMPUTED_VALUE"""),"2 C00008")</f>
        <v>2 C00008</v>
      </c>
      <c r="D19" s="4"/>
      <c r="E19" s="4"/>
      <c r="F19" s="4"/>
      <c r="G19" s="4"/>
    </row>
    <row r="20" spans="1:7" ht="14">
      <c r="A20" s="27" t="s">
        <v>16420</v>
      </c>
      <c r="C20" s="4" t="str">
        <f ca="1">IFERROR(__xludf.DUMMYFUNCTION("""COMPUTED_VALUE"""),"C00008 ")</f>
        <v xml:space="preserve">C00008 </v>
      </c>
      <c r="D20" s="4" t="str">
        <f ca="1">IFERROR(__xludf.DUMMYFUNCTION("""COMPUTED_VALUE""")," C00074")</f>
        <v xml:space="preserve"> C00074</v>
      </c>
      <c r="E20" s="4"/>
      <c r="F20" s="4"/>
      <c r="G20" s="4"/>
    </row>
    <row r="21" spans="1:7" ht="14">
      <c r="A21" s="22" t="s">
        <v>16421</v>
      </c>
      <c r="C21" s="4" t="str">
        <f ca="1">IFERROR(__xludf.DUMMYFUNCTION("""COMPUTED_VALUE"""),"C00020 ")</f>
        <v xml:space="preserve">C00020 </v>
      </c>
      <c r="D21" s="4" t="str">
        <f ca="1">IFERROR(__xludf.DUMMYFUNCTION("""COMPUTED_VALUE""")," C00074 ")</f>
        <v xml:space="preserve"> C00074 </v>
      </c>
      <c r="E21" s="4" t="str">
        <f ca="1">IFERROR(__xludf.DUMMYFUNCTION("""COMPUTED_VALUE""")," C00013")</f>
        <v xml:space="preserve"> C00013</v>
      </c>
      <c r="F21" s="4"/>
      <c r="G21" s="4"/>
    </row>
    <row r="22" spans="1:7" ht="14">
      <c r="A22" s="22" t="s">
        <v>16422</v>
      </c>
      <c r="C22" s="4" t="str">
        <f ca="1">IFERROR(__xludf.DUMMYFUNCTION("""COMPUTED_VALUE"""),"C00008 ")</f>
        <v xml:space="preserve">C00008 </v>
      </c>
      <c r="D22" s="4" t="str">
        <f ca="1">IFERROR(__xludf.DUMMYFUNCTION("""COMPUTED_VALUE""")," C00009 ")</f>
        <v xml:space="preserve"> C00009 </v>
      </c>
      <c r="E22" s="4" t="str">
        <f ca="1">IFERROR(__xludf.DUMMYFUNCTION("""COMPUTED_VALUE""")," C00036")</f>
        <v xml:space="preserve"> C00036</v>
      </c>
      <c r="F22" s="4"/>
      <c r="G22" s="4"/>
    </row>
    <row r="23" spans="1:7" ht="14">
      <c r="A23" s="22" t="s">
        <v>16423</v>
      </c>
      <c r="C23" s="4" t="str">
        <f ca="1">IFERROR(__xludf.DUMMYFUNCTION("""COMPUTED_VALUE"""),"C00008 ")</f>
        <v xml:space="preserve">C00008 </v>
      </c>
      <c r="D23" s="4" t="str">
        <f ca="1">IFERROR(__xludf.DUMMYFUNCTION("""COMPUTED_VALUE""")," C00009 ")</f>
        <v xml:space="preserve"> C00009 </v>
      </c>
      <c r="E23" s="4" t="str">
        <f ca="1">IFERROR(__xludf.DUMMYFUNCTION("""COMPUTED_VALUE""")," C00083")</f>
        <v xml:space="preserve"> C00083</v>
      </c>
      <c r="F23" s="4"/>
      <c r="G23" s="4"/>
    </row>
    <row r="24" spans="1:7" ht="14">
      <c r="A24" s="22" t="s">
        <v>16424</v>
      </c>
      <c r="C24" s="4" t="str">
        <f ca="1">IFERROR(__xludf.DUMMYFUNCTION("""COMPUTED_VALUE"""),"C00008 ")</f>
        <v xml:space="preserve">C00008 </v>
      </c>
      <c r="D24" s="4" t="str">
        <f ca="1">IFERROR(__xludf.DUMMYFUNCTION("""COMPUTED_VALUE""")," C03287")</f>
        <v xml:space="preserve"> C03287</v>
      </c>
      <c r="E24" s="4"/>
      <c r="F24" s="4"/>
      <c r="G24" s="4"/>
    </row>
    <row r="25" spans="1:7" ht="14">
      <c r="A25" s="22" t="s">
        <v>16425</v>
      </c>
      <c r="C25" s="4" t="str">
        <f ca="1">IFERROR(__xludf.DUMMYFUNCTION("""COMPUTED_VALUE"""),"C00008 ")</f>
        <v xml:space="preserve">C00008 </v>
      </c>
      <c r="D25" s="4" t="str">
        <f ca="1">IFERROR(__xludf.DUMMYFUNCTION("""COMPUTED_VALUE""")," C00009 ")</f>
        <v xml:space="preserve"> C00009 </v>
      </c>
      <c r="E25" s="4" t="str">
        <f ca="1">IFERROR(__xludf.DUMMYFUNCTION("""COMPUTED_VALUE""")," C00064")</f>
        <v xml:space="preserve"> C00064</v>
      </c>
      <c r="F25" s="4"/>
      <c r="G25" s="4"/>
    </row>
    <row r="26" spans="1:7" ht="14">
      <c r="A26" s="22" t="s">
        <v>16426</v>
      </c>
      <c r="C26" s="4" t="str">
        <f ca="1">IFERROR(__xludf.DUMMYFUNCTION("""COMPUTED_VALUE"""),"C00008 ")</f>
        <v xml:space="preserve">C00008 </v>
      </c>
      <c r="D26" s="4" t="str">
        <f ca="1">IFERROR(__xludf.DUMMYFUNCTION("""COMPUTED_VALUE""")," C00092")</f>
        <v xml:space="preserve"> C00092</v>
      </c>
      <c r="E26" s="4"/>
      <c r="F26" s="4"/>
      <c r="G26" s="4"/>
    </row>
    <row r="27" spans="1:7" ht="14">
      <c r="A27" s="22" t="s">
        <v>16427</v>
      </c>
      <c r="C27" s="4" t="str">
        <f ca="1">IFERROR(__xludf.DUMMYFUNCTION("""COMPUTED_VALUE"""),"C00008 ")</f>
        <v xml:space="preserve">C00008 </v>
      </c>
      <c r="D27" s="4" t="str">
        <f ca="1">IFERROR(__xludf.DUMMYFUNCTION("""COMPUTED_VALUE""")," C00227")</f>
        <v xml:space="preserve"> C00227</v>
      </c>
      <c r="E27" s="4"/>
      <c r="F27" s="4"/>
      <c r="G27" s="4"/>
    </row>
    <row r="28" spans="1:7" ht="14">
      <c r="A28" s="22" t="s">
        <v>16428</v>
      </c>
      <c r="C28" s="4" t="str">
        <f ca="1">IFERROR(__xludf.DUMMYFUNCTION("""COMPUTED_VALUE"""),"C00020 ")</f>
        <v xml:space="preserve">C00020 </v>
      </c>
      <c r="D28" s="4" t="str">
        <f ca="1">IFERROR(__xludf.DUMMYFUNCTION("""COMPUTED_VALUE""")," C00013 ")</f>
        <v xml:space="preserve"> C00013 </v>
      </c>
      <c r="E28" s="4" t="str">
        <f ca="1">IFERROR(__xludf.DUMMYFUNCTION("""COMPUTED_VALUE""")," C04334")</f>
        <v xml:space="preserve"> C04334</v>
      </c>
      <c r="F28" s="4"/>
      <c r="G28" s="4"/>
    </row>
    <row r="29" spans="1:7" ht="14">
      <c r="A29" s="22" t="s">
        <v>16429</v>
      </c>
      <c r="C29" s="4" t="str">
        <f ca="1">IFERROR(__xludf.DUMMYFUNCTION("""COMPUTED_VALUE"""),"C00008 ")</f>
        <v xml:space="preserve">C00008 </v>
      </c>
      <c r="D29" s="4" t="str">
        <f ca="1">IFERROR(__xludf.DUMMYFUNCTION("""COMPUTED_VALUE""")," C00044")</f>
        <v xml:space="preserve"> C00044</v>
      </c>
      <c r="E29" s="4"/>
      <c r="F29" s="4"/>
      <c r="G29" s="4"/>
    </row>
    <row r="30" spans="1:7" ht="14">
      <c r="A30" s="22" t="s">
        <v>16430</v>
      </c>
      <c r="C30" s="4" t="str">
        <f ca="1">IFERROR(__xludf.DUMMYFUNCTION("""COMPUTED_VALUE"""),"C00008 ")</f>
        <v xml:space="preserve">C00008 </v>
      </c>
      <c r="D30" s="4" t="str">
        <f ca="1">IFERROR(__xludf.DUMMYFUNCTION("""COMPUTED_VALUE""")," C00074 ")</f>
        <v xml:space="preserve"> C00074 </v>
      </c>
      <c r="E30" s="4" t="str">
        <f ca="1">IFERROR(__xludf.DUMMYFUNCTION("""COMPUTED_VALUE""")," C00011")</f>
        <v xml:space="preserve"> C00011</v>
      </c>
      <c r="F30" s="4"/>
      <c r="G30" s="4"/>
    </row>
    <row r="31" spans="1:7" ht="14">
      <c r="A31" s="22" t="s">
        <v>16431</v>
      </c>
      <c r="C31" s="4" t="str">
        <f ca="1">IFERROR(__xludf.DUMMYFUNCTION("""COMPUTED_VALUE"""),"C00020 ")</f>
        <v xml:space="preserve">C00020 </v>
      </c>
      <c r="D31" s="4" t="str">
        <f ca="1">IFERROR(__xludf.DUMMYFUNCTION("""COMPUTED_VALUE""")," C00013 ")</f>
        <v xml:space="preserve"> C00013 </v>
      </c>
      <c r="E31" s="4" t="str">
        <f ca="1">IFERROR(__xludf.DUMMYFUNCTION("""COMPUTED_VALUE""")," C02412")</f>
        <v xml:space="preserve"> C02412</v>
      </c>
      <c r="F31" s="4"/>
      <c r="G31" s="4"/>
    </row>
    <row r="32" spans="1:7" ht="14">
      <c r="A32" s="22" t="s">
        <v>16432</v>
      </c>
      <c r="C32" s="4" t="str">
        <f ca="1">IFERROR(__xludf.DUMMYFUNCTION("""COMPUTED_VALUE"""),"C00020 ")</f>
        <v xml:space="preserve">C00020 </v>
      </c>
      <c r="D32" s="4" t="str">
        <f ca="1">IFERROR(__xludf.DUMMYFUNCTION("""COMPUTED_VALUE""")," C00013 ")</f>
        <v xml:space="preserve"> C00013 </v>
      </c>
      <c r="E32" s="4" t="str">
        <f ca="1">IFERROR(__xludf.DUMMYFUNCTION("""COMPUTED_VALUE""")," C00886")</f>
        <v xml:space="preserve"> C00886</v>
      </c>
      <c r="F32" s="4"/>
      <c r="G32" s="4"/>
    </row>
    <row r="33" spans="1:7" ht="14">
      <c r="A33" s="22" t="s">
        <v>16433</v>
      </c>
      <c r="C33" s="4" t="str">
        <f ca="1">IFERROR(__xludf.DUMMYFUNCTION("""COMPUTED_VALUE"""),"C00020 ")</f>
        <v xml:space="preserve">C00020 </v>
      </c>
      <c r="D33" s="4" t="str">
        <f ca="1">IFERROR(__xludf.DUMMYFUNCTION("""COMPUTED_VALUE""")," C04494")</f>
        <v xml:space="preserve"> C04494</v>
      </c>
      <c r="E33" s="4"/>
      <c r="F33" s="4"/>
      <c r="G33" s="4"/>
    </row>
    <row r="34" spans="1:7" ht="14">
      <c r="A34" s="22" t="s">
        <v>16434</v>
      </c>
      <c r="C34" s="4" t="str">
        <f ca="1">IFERROR(__xludf.DUMMYFUNCTION("""COMPUTED_VALUE"""),"C00013 ")</f>
        <v xml:space="preserve">C00013 </v>
      </c>
      <c r="D34" s="4" t="str">
        <f ca="1">IFERROR(__xludf.DUMMYFUNCTION("""COMPUTED_VALUE""")," C00046")</f>
        <v xml:space="preserve"> C00046</v>
      </c>
      <c r="E34" s="4"/>
      <c r="F34" s="4"/>
      <c r="G34" s="4"/>
    </row>
    <row r="35" spans="1:7" ht="14">
      <c r="A35" s="22" t="s">
        <v>16435</v>
      </c>
      <c r="C35" s="4" t="str">
        <f ca="1">IFERROR(__xludf.DUMMYFUNCTION("""COMPUTED_VALUE"""),"C00020 ")</f>
        <v xml:space="preserve">C00020 </v>
      </c>
      <c r="D35" s="4" t="str">
        <f ca="1">IFERROR(__xludf.DUMMYFUNCTION("""COMPUTED_VALUE""")," C00013 ")</f>
        <v xml:space="preserve"> C00013 </v>
      </c>
      <c r="E35" s="4" t="str">
        <f ca="1">IFERROR(__xludf.DUMMYFUNCTION("""COMPUTED_VALUE""")," C01931")</f>
        <v xml:space="preserve"> C01931</v>
      </c>
      <c r="F35" s="4"/>
      <c r="G35" s="4"/>
    </row>
    <row r="36" spans="1:7" ht="14">
      <c r="A36" s="22" t="s">
        <v>16436</v>
      </c>
      <c r="C36" s="4" t="str">
        <f ca="1">IFERROR(__xludf.DUMMYFUNCTION("""COMPUTED_VALUE"""),"C00008 ")</f>
        <v xml:space="preserve">C00008 </v>
      </c>
      <c r="D36" s="4" t="str">
        <f ca="1">IFERROR(__xludf.DUMMYFUNCTION("""COMPUTED_VALUE""")," C03082")</f>
        <v xml:space="preserve"> C03082</v>
      </c>
      <c r="E36" s="4"/>
      <c r="F36" s="4"/>
      <c r="G36" s="4"/>
    </row>
    <row r="37" spans="1:7" ht="14">
      <c r="A37" s="22" t="s">
        <v>16437</v>
      </c>
      <c r="C37" s="4" t="str">
        <f ca="1">IFERROR(__xludf.DUMMYFUNCTION("""COMPUTED_VALUE"""),"C00020 ")</f>
        <v xml:space="preserve">C00020 </v>
      </c>
      <c r="D37" s="4" t="str">
        <f ca="1">IFERROR(__xludf.DUMMYFUNCTION("""COMPUTED_VALUE""")," C00013 ")</f>
        <v xml:space="preserve"> C00013 </v>
      </c>
      <c r="E37" s="4" t="str">
        <f ca="1">IFERROR(__xludf.DUMMYFUNCTION("""COMPUTED_VALUE""")," C00152")</f>
        <v xml:space="preserve"> C00152</v>
      </c>
      <c r="F37" s="4"/>
      <c r="G37" s="4"/>
    </row>
    <row r="38" spans="1:7" ht="14">
      <c r="A38" s="22" t="s">
        <v>16438</v>
      </c>
      <c r="C38" s="4" t="str">
        <f ca="1">IFERROR(__xludf.DUMMYFUNCTION("""COMPUTED_VALUE"""),"C00020 ")</f>
        <v xml:space="preserve">C00020 </v>
      </c>
      <c r="D38" s="4" t="str">
        <f ca="1">IFERROR(__xludf.DUMMYFUNCTION("""COMPUTED_VALUE""")," C00013 ")</f>
        <v xml:space="preserve"> C00013 </v>
      </c>
      <c r="E38" s="4" t="str">
        <f ca="1">IFERROR(__xludf.DUMMYFUNCTION("""COMPUTED_VALUE""")," C00152 ")</f>
        <v xml:space="preserve"> C00152 </v>
      </c>
      <c r="F38" s="4" t="str">
        <f ca="1">IFERROR(__xludf.DUMMYFUNCTION("""COMPUTED_VALUE""")," C00025")</f>
        <v xml:space="preserve"> C00025</v>
      </c>
      <c r="G38" s="4"/>
    </row>
    <row r="39" spans="1:7" ht="14">
      <c r="A39" s="22" t="s">
        <v>16439</v>
      </c>
      <c r="C39" s="4" t="str">
        <f ca="1">IFERROR(__xludf.DUMMYFUNCTION("""COMPUTED_VALUE"""),"C00008 ")</f>
        <v xml:space="preserve">C00008 </v>
      </c>
      <c r="D39" s="4" t="str">
        <f ca="1">IFERROR(__xludf.DUMMYFUNCTION("""COMPUTED_VALUE""")," C00112")</f>
        <v xml:space="preserve"> C00112</v>
      </c>
      <c r="E39" s="4"/>
      <c r="F39" s="4"/>
      <c r="G39" s="4"/>
    </row>
    <row r="40" spans="1:7" ht="14">
      <c r="A40" s="22" t="s">
        <v>16440</v>
      </c>
      <c r="C40" s="4" t="str">
        <f ca="1">IFERROR(__xludf.DUMMYFUNCTION("""COMPUTED_VALUE"""),"C00013 ")</f>
        <v xml:space="preserve">C00013 </v>
      </c>
      <c r="D40" s="4" t="str">
        <f ca="1">IFERROR(__xludf.DUMMYFUNCTION("""COMPUTED_VALUE""")," C00016")</f>
        <v xml:space="preserve"> C00016</v>
      </c>
      <c r="E40" s="4"/>
      <c r="F40" s="4"/>
      <c r="G40" s="4"/>
    </row>
    <row r="41" spans="1:7" ht="14">
      <c r="A41" s="22" t="s">
        <v>16441</v>
      </c>
      <c r="C41" s="4" t="str">
        <f ca="1">IFERROR(__xludf.DUMMYFUNCTION("""COMPUTED_VALUE"""),"C00020 ")</f>
        <v xml:space="preserve">C00020 </v>
      </c>
      <c r="D41" s="4" t="str">
        <f ca="1">IFERROR(__xludf.DUMMYFUNCTION("""COMPUTED_VALUE""")," C00013 ")</f>
        <v xml:space="preserve"> C00013 </v>
      </c>
      <c r="E41" s="4" t="str">
        <f ca="1">IFERROR(__xludf.DUMMYFUNCTION("""COMPUTED_VALUE""")," C02163")</f>
        <v xml:space="preserve"> C02163</v>
      </c>
      <c r="F41" s="4"/>
      <c r="G41" s="4"/>
    </row>
    <row r="42" spans="1:7" ht="14">
      <c r="A42" s="22" t="s">
        <v>16442</v>
      </c>
      <c r="C42" s="4" t="str">
        <f ca="1">IFERROR(__xludf.DUMMYFUNCTION("""COMPUTED_VALUE"""),"C00020 ")</f>
        <v xml:space="preserve">C00020 </v>
      </c>
      <c r="D42" s="4" t="str">
        <f ca="1">IFERROR(__xludf.DUMMYFUNCTION("""COMPUTED_VALUE""")," C00013 ")</f>
        <v xml:space="preserve"> C00013 </v>
      </c>
      <c r="E42" s="4" t="str">
        <f ca="1">IFERROR(__xludf.DUMMYFUNCTION("""COMPUTED_VALUE""")," C02553")</f>
        <v xml:space="preserve"> C02553</v>
      </c>
      <c r="F42" s="4"/>
      <c r="G42" s="4"/>
    </row>
    <row r="43" spans="1:7" ht="14">
      <c r="A43" s="22" t="s">
        <v>16443</v>
      </c>
      <c r="C43" s="4" t="str">
        <f ca="1">IFERROR(__xludf.DUMMYFUNCTION("""COMPUTED_VALUE"""),"C00020 ")</f>
        <v xml:space="preserve">C00020 </v>
      </c>
      <c r="D43" s="4" t="str">
        <f ca="1">IFERROR(__xludf.DUMMYFUNCTION("""COMPUTED_VALUE""")," C00013 ")</f>
        <v xml:space="preserve"> C00013 </v>
      </c>
      <c r="E43" s="4" t="str">
        <f ca="1">IFERROR(__xludf.DUMMYFUNCTION("""COMPUTED_VALUE""")," C06481")</f>
        <v xml:space="preserve"> C06481</v>
      </c>
      <c r="F43" s="4"/>
      <c r="G43" s="4"/>
    </row>
    <row r="44" spans="1:7" ht="14">
      <c r="A44" s="22" t="s">
        <v>16444</v>
      </c>
      <c r="C44" s="4" t="str">
        <f ca="1">IFERROR(__xludf.DUMMYFUNCTION("""COMPUTED_VALUE"""),"C00020 ")</f>
        <v xml:space="preserve">C00020 </v>
      </c>
      <c r="D44" s="4" t="str">
        <f ca="1">IFERROR(__xludf.DUMMYFUNCTION("""COMPUTED_VALUE""")," C00013 ")</f>
        <v xml:space="preserve"> C00013 </v>
      </c>
      <c r="E44" s="4" t="str">
        <f ca="1">IFERROR(__xludf.DUMMYFUNCTION("""COMPUTED_VALUE""")," C02430")</f>
        <v xml:space="preserve"> C02430</v>
      </c>
      <c r="F44" s="4"/>
      <c r="G44" s="4"/>
    </row>
    <row r="45" spans="1:7" ht="14">
      <c r="A45" s="22" t="s">
        <v>16445</v>
      </c>
      <c r="C45" s="4" t="str">
        <f ca="1">IFERROR(__xludf.DUMMYFUNCTION("""COMPUTED_VALUE"""),"C00008 ")</f>
        <v xml:space="preserve">C00008 </v>
      </c>
      <c r="D45" s="4" t="str">
        <f ca="1">IFERROR(__xludf.DUMMYFUNCTION("""COMPUTED_VALUE""")," C00009 ")</f>
        <v xml:space="preserve"> C00009 </v>
      </c>
      <c r="E45" s="4" t="str">
        <f ca="1">IFERROR(__xludf.DUMMYFUNCTION("""COMPUTED_VALUE""")," C00063")</f>
        <v xml:space="preserve"> C00063</v>
      </c>
      <c r="F45" s="4"/>
      <c r="G45" s="4"/>
    </row>
    <row r="46" spans="1:7" ht="14">
      <c r="A46" s="22" t="s">
        <v>16446</v>
      </c>
      <c r="C46" s="4" t="str">
        <f ca="1">IFERROR(__xludf.DUMMYFUNCTION("""COMPUTED_VALUE"""),"C00008 ")</f>
        <v xml:space="preserve">C00008 </v>
      </c>
      <c r="D46" s="4" t="str">
        <f ca="1">IFERROR(__xludf.DUMMYFUNCTION("""COMPUTED_VALUE""")," C00009 ")</f>
        <v xml:space="preserve"> C00009 </v>
      </c>
      <c r="E46" s="4" t="str">
        <f ca="1">IFERROR(__xludf.DUMMYFUNCTION("""COMPUTED_VALUE""")," C00063 ")</f>
        <v xml:space="preserve"> C00063 </v>
      </c>
      <c r="F46" s="4" t="str">
        <f ca="1">IFERROR(__xludf.DUMMYFUNCTION("""COMPUTED_VALUE""")," C00025")</f>
        <v xml:space="preserve"> C00025</v>
      </c>
      <c r="G46" s="4"/>
    </row>
    <row r="47" spans="1:7" ht="14">
      <c r="A47" s="22" t="s">
        <v>16447</v>
      </c>
      <c r="C47" s="4" t="str">
        <f ca="1">IFERROR(__xludf.DUMMYFUNCTION("""COMPUTED_VALUE"""),"C00020 ")</f>
        <v xml:space="preserve">C00020 </v>
      </c>
      <c r="D47" s="4" t="str">
        <f ca="1">IFERROR(__xludf.DUMMYFUNCTION("""COMPUTED_VALUE""")," C00013 ")</f>
        <v xml:space="preserve"> C00013 </v>
      </c>
      <c r="E47" s="4" t="str">
        <f ca="1">IFERROR(__xludf.DUMMYFUNCTION("""COMPUTED_VALUE""")," C03512")</f>
        <v xml:space="preserve"> C03512</v>
      </c>
      <c r="F47" s="4"/>
      <c r="G47" s="4"/>
    </row>
    <row r="48" spans="1:7" ht="14">
      <c r="A48" s="22" t="s">
        <v>16448</v>
      </c>
      <c r="C48" s="4" t="str">
        <f ca="1">IFERROR(__xludf.DUMMYFUNCTION("""COMPUTED_VALUE"""),"C00020 ")</f>
        <v xml:space="preserve">C00020 </v>
      </c>
      <c r="D48" s="4" t="str">
        <f ca="1">IFERROR(__xludf.DUMMYFUNCTION("""COMPUTED_VALUE""")," C00013 ")</f>
        <v xml:space="preserve"> C00013 </v>
      </c>
      <c r="E48" s="4" t="str">
        <f ca="1">IFERROR(__xludf.DUMMYFUNCTION("""COMPUTED_VALUE""")," C03511")</f>
        <v xml:space="preserve"> C03511</v>
      </c>
      <c r="F48" s="4"/>
      <c r="G48" s="4"/>
    </row>
    <row r="49" spans="1:7" ht="14">
      <c r="A49" s="22" t="s">
        <v>16449</v>
      </c>
      <c r="C49" s="4" t="str">
        <f ca="1">IFERROR(__xludf.DUMMYFUNCTION("""COMPUTED_VALUE"""),"C00020 ")</f>
        <v xml:space="preserve">C00020 </v>
      </c>
      <c r="D49" s="4" t="str">
        <f ca="1">IFERROR(__xludf.DUMMYFUNCTION("""COMPUTED_VALUE""")," C00013 ")</f>
        <v xml:space="preserve"> C00013 </v>
      </c>
      <c r="E49" s="4" t="str">
        <f ca="1">IFERROR(__xludf.DUMMYFUNCTION("""COMPUTED_VALUE""")," C02839")</f>
        <v xml:space="preserve"> C02839</v>
      </c>
      <c r="F49" s="4"/>
      <c r="G49" s="4"/>
    </row>
    <row r="50" spans="1:7" ht="14">
      <c r="A50" s="22" t="s">
        <v>16450</v>
      </c>
      <c r="C50" s="4" t="str">
        <f ca="1">IFERROR(__xludf.DUMMYFUNCTION("""COMPUTED_VALUE"""),"C00008 ")</f>
        <v xml:space="preserve">C00008 </v>
      </c>
      <c r="D50" s="4" t="str">
        <f ca="1">IFERROR(__xludf.DUMMYFUNCTION("""COMPUTED_VALUE""")," C00354")</f>
        <v xml:space="preserve"> C00354</v>
      </c>
      <c r="E50" s="4"/>
      <c r="F50" s="4"/>
      <c r="G50" s="4"/>
    </row>
    <row r="51" spans="1:7" ht="12.5">
      <c r="A51" s="4" t="s">
        <v>12754</v>
      </c>
      <c r="C51" s="4" t="str">
        <f ca="1">IFERROR(__xludf.DUMMYFUNCTION("""COMPUTED_VALUE"""),"C00020 ")</f>
        <v xml:space="preserve">C00020 </v>
      </c>
      <c r="D51" s="4" t="str">
        <f ca="1">IFERROR(__xludf.DUMMYFUNCTION("""COMPUTED_VALUE""")," C00013 ")</f>
        <v xml:space="preserve"> C00013 </v>
      </c>
      <c r="E51" s="4" t="str">
        <f ca="1">IFERROR(__xludf.DUMMYFUNCTION("""COMPUTED_VALUE""")," C03125")</f>
        <v xml:space="preserve"> C03125</v>
      </c>
      <c r="F51" s="4"/>
      <c r="G51" s="4"/>
    </row>
    <row r="52" spans="1:7" ht="14">
      <c r="A52" s="22" t="s">
        <v>16451</v>
      </c>
      <c r="C52" s="4" t="str">
        <f ca="1">IFERROR(__xludf.DUMMYFUNCTION("""COMPUTED_VALUE"""),"C00013 ")</f>
        <v xml:space="preserve">C00013 </v>
      </c>
      <c r="D52" s="4" t="str">
        <f ca="1">IFERROR(__xludf.DUMMYFUNCTION("""COMPUTED_VALUE""")," C00498")</f>
        <v xml:space="preserve"> C00498</v>
      </c>
      <c r="E52" s="4"/>
      <c r="F52" s="4"/>
      <c r="G52" s="4"/>
    </row>
    <row r="53" spans="1:7" ht="14">
      <c r="A53" s="22" t="s">
        <v>16452</v>
      </c>
      <c r="C53" s="4" t="str">
        <f ca="1">IFERROR(__xludf.DUMMYFUNCTION("""COMPUTED_VALUE"""),"C00008 ")</f>
        <v xml:space="preserve">C00008 </v>
      </c>
      <c r="D53" s="4" t="str">
        <f ca="1">IFERROR(__xludf.DUMMYFUNCTION("""COMPUTED_VALUE""")," C00081")</f>
        <v xml:space="preserve"> C00081</v>
      </c>
      <c r="E53" s="4"/>
      <c r="F53" s="4"/>
      <c r="G53" s="4"/>
    </row>
    <row r="54" spans="1:7" ht="14">
      <c r="A54" s="22" t="s">
        <v>16453</v>
      </c>
      <c r="C54" s="4" t="str">
        <f ca="1">IFERROR(__xludf.DUMMYFUNCTION("""COMPUTED_VALUE"""),"C00008 ")</f>
        <v xml:space="preserve">C00008 </v>
      </c>
      <c r="D54" s="4" t="str">
        <f ca="1">IFERROR(__xludf.DUMMYFUNCTION("""COMPUTED_VALUE""")," C00015")</f>
        <v xml:space="preserve"> C00015</v>
      </c>
      <c r="E54" s="4"/>
      <c r="F54" s="4"/>
      <c r="G54" s="4"/>
    </row>
    <row r="55" spans="1:7" ht="14">
      <c r="A55" s="22" t="s">
        <v>16454</v>
      </c>
      <c r="C55" s="4" t="str">
        <f ca="1">IFERROR(__xludf.DUMMYFUNCTION("""COMPUTED_VALUE"""),"C00008 ")</f>
        <v xml:space="preserve">C00008 </v>
      </c>
      <c r="D55" s="4" t="str">
        <f ca="1">IFERROR(__xludf.DUMMYFUNCTION("""COMPUTED_VALUE""")," C00063")</f>
        <v xml:space="preserve"> C00063</v>
      </c>
      <c r="E55" s="4"/>
      <c r="F55" s="4"/>
      <c r="G55" s="4"/>
    </row>
    <row r="56" spans="1:7" ht="14">
      <c r="A56" s="22" t="s">
        <v>16455</v>
      </c>
      <c r="C56" s="4" t="str">
        <f ca="1">IFERROR(__xludf.DUMMYFUNCTION("""COMPUTED_VALUE"""),"C00008 ")</f>
        <v xml:space="preserve">C00008 </v>
      </c>
      <c r="D56" s="4" t="str">
        <f ca="1">IFERROR(__xludf.DUMMYFUNCTION("""COMPUTED_VALUE""")," C00093")</f>
        <v xml:space="preserve"> C00093</v>
      </c>
      <c r="E56" s="4"/>
      <c r="F56" s="4"/>
      <c r="G56" s="4"/>
    </row>
    <row r="57" spans="1:7" ht="14">
      <c r="A57" s="22" t="s">
        <v>16456</v>
      </c>
      <c r="C57" s="4" t="str">
        <f ca="1">IFERROR(__xludf.DUMMYFUNCTION("""COMPUTED_VALUE"""),"C00020 ")</f>
        <v xml:space="preserve">C00020 </v>
      </c>
      <c r="D57" s="4" t="str">
        <f ca="1">IFERROR(__xludf.DUMMYFUNCTION("""COMPUTED_VALUE""")," C00119")</f>
        <v xml:space="preserve"> C00119</v>
      </c>
      <c r="E57" s="4"/>
      <c r="F57" s="4"/>
      <c r="G57" s="4"/>
    </row>
    <row r="58" spans="1:7" ht="14">
      <c r="A58" s="22" t="s">
        <v>16457</v>
      </c>
      <c r="C58" s="4" t="str">
        <f ca="1">IFERROR(__xludf.DUMMYFUNCTION("""COMPUTED_VALUE"""),"C00013 ")</f>
        <v xml:space="preserve">C00013 </v>
      </c>
      <c r="D58" s="4" t="str">
        <f ca="1">IFERROR(__xludf.DUMMYFUNCTION("""COMPUTED_VALUE""")," C05921")</f>
        <v xml:space="preserve"> C05921</v>
      </c>
      <c r="E58" s="4"/>
      <c r="F58" s="4"/>
      <c r="G58" s="4"/>
    </row>
    <row r="59" spans="1:7" ht="14">
      <c r="A59" s="22" t="s">
        <v>16458</v>
      </c>
      <c r="C59" s="4" t="str">
        <f ca="1">IFERROR(__xludf.DUMMYFUNCTION("""COMPUTED_VALUE"""),"C00020 ")</f>
        <v xml:space="preserve">C00020 </v>
      </c>
      <c r="D59" s="4" t="str">
        <f ca="1">IFERROR(__xludf.DUMMYFUNCTION("""COMPUTED_VALUE""")," C00013 ")</f>
        <v xml:space="preserve"> C00013 </v>
      </c>
      <c r="E59" s="4" t="str">
        <f ca="1">IFERROR(__xludf.DUMMYFUNCTION("""COMPUTED_VALUE""")," C04681")</f>
        <v xml:space="preserve"> C04681</v>
      </c>
      <c r="F59" s="4"/>
      <c r="G59" s="4"/>
    </row>
    <row r="60" spans="1:7" ht="14">
      <c r="A60" s="22" t="s">
        <v>16459</v>
      </c>
      <c r="C60" s="4" t="str">
        <f ca="1">IFERROR(__xludf.DUMMYFUNCTION("""COMPUTED_VALUE"""),"C00008 ")</f>
        <v xml:space="preserve">C00008 </v>
      </c>
      <c r="D60" s="4" t="str">
        <f ca="1">IFERROR(__xludf.DUMMYFUNCTION("""COMPUTED_VALUE""")," C00117")</f>
        <v xml:space="preserve"> C00117</v>
      </c>
      <c r="E60" s="4"/>
      <c r="F60" s="4"/>
      <c r="G60" s="4"/>
    </row>
    <row r="61" spans="1:7" ht="14">
      <c r="A61" s="22" t="s">
        <v>16460</v>
      </c>
      <c r="C61" s="4" t="str">
        <f ca="1">IFERROR(__xludf.DUMMYFUNCTION("""COMPUTED_VALUE"""),"C00020 ")</f>
        <v xml:space="preserve">C00020 </v>
      </c>
      <c r="D61" s="4" t="str">
        <f ca="1">IFERROR(__xludf.DUMMYFUNCTION("""COMPUTED_VALUE""")," C00013 ")</f>
        <v xml:space="preserve"> C00013 </v>
      </c>
      <c r="E61" s="4" t="str">
        <f ca="1">IFERROR(__xludf.DUMMYFUNCTION("""COMPUTED_VALUE""")," C02047")</f>
        <v xml:space="preserve"> C02047</v>
      </c>
      <c r="F61" s="4"/>
      <c r="G61" s="4"/>
    </row>
    <row r="62" spans="1:7" ht="14">
      <c r="A62" s="22" t="s">
        <v>16461</v>
      </c>
      <c r="C62" s="4" t="str">
        <f ca="1">IFERROR(__xludf.DUMMYFUNCTION("""COMPUTED_VALUE"""),"C00020 ")</f>
        <v xml:space="preserve">C00020 </v>
      </c>
      <c r="D62" s="4" t="str">
        <f ca="1">IFERROR(__xludf.DUMMYFUNCTION("""COMPUTED_VALUE""")," C00013 ")</f>
        <v xml:space="preserve"> C00013 </v>
      </c>
      <c r="E62" s="4" t="str">
        <f ca="1">IFERROR(__xludf.DUMMYFUNCTION("""COMPUTED_VALUE""")," C04260")</f>
        <v xml:space="preserve"> C04260</v>
      </c>
      <c r="F62" s="4"/>
      <c r="G62" s="4"/>
    </row>
    <row r="63" spans="1:7" ht="14">
      <c r="A63" s="22" t="s">
        <v>16462</v>
      </c>
      <c r="C63" s="4" t="str">
        <f ca="1">IFERROR(__xludf.DUMMYFUNCTION("""COMPUTED_VALUE"""),"C00020 ")</f>
        <v xml:space="preserve">C00020 </v>
      </c>
      <c r="D63" s="4" t="str">
        <f ca="1">IFERROR(__xludf.DUMMYFUNCTION("""COMPUTED_VALUE""")," C00013 ")</f>
        <v xml:space="preserve"> C00013 </v>
      </c>
      <c r="E63" s="4" t="str">
        <f ca="1">IFERROR(__xludf.DUMMYFUNCTION("""COMPUTED_VALUE""")," G13180")</f>
        <v xml:space="preserve"> G13180</v>
      </c>
      <c r="F63" s="4"/>
      <c r="G63" s="4"/>
    </row>
    <row r="64" spans="1:7" ht="14">
      <c r="A64" s="22" t="s">
        <v>16463</v>
      </c>
      <c r="C64" s="4" t="str">
        <f ca="1">IFERROR(__xludf.DUMMYFUNCTION("""COMPUTED_VALUE"""),"C00020 ")</f>
        <v xml:space="preserve">C00020 </v>
      </c>
      <c r="D64" s="4" t="str">
        <f ca="1">IFERROR(__xludf.DUMMYFUNCTION("""COMPUTED_VALUE""")," C00013 ")</f>
        <v xml:space="preserve"> C00013 </v>
      </c>
      <c r="E64" s="4" t="str">
        <f ca="1">IFERROR(__xludf.DUMMYFUNCTION("""COMPUTED_VALUE""")," G13171")</f>
        <v xml:space="preserve"> G13171</v>
      </c>
      <c r="F64" s="4"/>
      <c r="G64" s="4"/>
    </row>
    <row r="65" spans="1:7" ht="14">
      <c r="A65" s="22" t="s">
        <v>16464</v>
      </c>
      <c r="C65" s="4" t="str">
        <f ca="1">IFERROR(__xludf.DUMMYFUNCTION("""COMPUTED_VALUE"""),"C00020 ")</f>
        <v xml:space="preserve">C00020 </v>
      </c>
      <c r="D65" s="4" t="str">
        <f ca="1">IFERROR(__xludf.DUMMYFUNCTION("""COMPUTED_VALUE""")," C00013 ")</f>
        <v xml:space="preserve"> C00013 </v>
      </c>
      <c r="E65" s="4" t="str">
        <f ca="1">IFERROR(__xludf.DUMMYFUNCTION("""COMPUTED_VALUE""")," G13175")</f>
        <v xml:space="preserve"> G13175</v>
      </c>
      <c r="F65" s="4"/>
      <c r="G65" s="4"/>
    </row>
    <row r="66" spans="1:7" ht="14">
      <c r="A66" s="22" t="s">
        <v>16465</v>
      </c>
      <c r="C66" s="4" t="str">
        <f ca="1">IFERROR(__xludf.DUMMYFUNCTION("""COMPUTED_VALUE"""),"C00020 ")</f>
        <v xml:space="preserve">C00020 </v>
      </c>
      <c r="D66" s="4" t="str">
        <f ca="1">IFERROR(__xludf.DUMMYFUNCTION("""COMPUTED_VALUE""")," C00013 ")</f>
        <v xml:space="preserve"> C00013 </v>
      </c>
      <c r="E66" s="4" t="str">
        <f ca="1">IFERROR(__xludf.DUMMYFUNCTION("""COMPUTED_VALUE""")," G13177")</f>
        <v xml:space="preserve"> G13177</v>
      </c>
      <c r="F66" s="4"/>
      <c r="G66" s="4"/>
    </row>
    <row r="67" spans="1:7" ht="14">
      <c r="A67" s="22" t="s">
        <v>16466</v>
      </c>
      <c r="C67" s="4" t="str">
        <f ca="1">IFERROR(__xludf.DUMMYFUNCTION("""COMPUTED_VALUE"""),"C00020 ")</f>
        <v xml:space="preserve">C00020 </v>
      </c>
      <c r="D67" s="4" t="str">
        <f ca="1">IFERROR(__xludf.DUMMYFUNCTION("""COMPUTED_VALUE""")," C00013 ")</f>
        <v xml:space="preserve"> C00013 </v>
      </c>
      <c r="E67" s="4" t="str">
        <f ca="1">IFERROR(__xludf.DUMMYFUNCTION("""COMPUTED_VALUE""")," G13179")</f>
        <v xml:space="preserve"> G13179</v>
      </c>
      <c r="F67" s="4"/>
      <c r="G67" s="4"/>
    </row>
    <row r="68" spans="1:7" ht="14">
      <c r="A68" s="22" t="s">
        <v>16467</v>
      </c>
      <c r="C68" s="4" t="str">
        <f ca="1">IFERROR(__xludf.DUMMYFUNCTION("""COMPUTED_VALUE"""),"C00020 ")</f>
        <v xml:space="preserve">C00020 </v>
      </c>
      <c r="D68" s="4" t="str">
        <f ca="1">IFERROR(__xludf.DUMMYFUNCTION("""COMPUTED_VALUE""")," C00013 ")</f>
        <v xml:space="preserve"> C00013 </v>
      </c>
      <c r="E68" s="4" t="str">
        <f ca="1">IFERROR(__xludf.DUMMYFUNCTION("""COMPUTED_VALUE""")," G13186")</f>
        <v xml:space="preserve"> G13186</v>
      </c>
      <c r="F68" s="4"/>
      <c r="G68" s="4"/>
    </row>
    <row r="69" spans="1:7" ht="14">
      <c r="A69" s="22" t="s">
        <v>16468</v>
      </c>
      <c r="C69" s="4" t="str">
        <f ca="1">IFERROR(__xludf.DUMMYFUNCTION("""COMPUTED_VALUE"""),"C00020 ")</f>
        <v xml:space="preserve">C00020 </v>
      </c>
      <c r="D69" s="4" t="str">
        <f ca="1">IFERROR(__xludf.DUMMYFUNCTION("""COMPUTED_VALUE""")," C00013 ")</f>
        <v xml:space="preserve"> C00013 </v>
      </c>
      <c r="E69" s="4" t="str">
        <f ca="1">IFERROR(__xludf.DUMMYFUNCTION("""COMPUTED_VALUE""")," G13193")</f>
        <v xml:space="preserve"> G13193</v>
      </c>
      <c r="F69" s="4"/>
      <c r="G69" s="4"/>
    </row>
    <row r="70" spans="1:7" ht="14">
      <c r="A70" s="22" t="s">
        <v>16469</v>
      </c>
      <c r="C70" s="4" t="str">
        <f ca="1">IFERROR(__xludf.DUMMYFUNCTION("""COMPUTED_VALUE"""),"C00020 ")</f>
        <v xml:space="preserve">C00020 </v>
      </c>
      <c r="D70" s="4" t="str">
        <f ca="1">IFERROR(__xludf.DUMMYFUNCTION("""COMPUTED_VALUE""")," C00013 ")</f>
        <v xml:space="preserve"> C00013 </v>
      </c>
      <c r="E70" s="4" t="str">
        <f ca="1">IFERROR(__xludf.DUMMYFUNCTION("""COMPUTED_VALUE""")," C02988")</f>
        <v xml:space="preserve"> C02988</v>
      </c>
      <c r="F70" s="4"/>
      <c r="G70" s="4"/>
    </row>
    <row r="71" spans="1:7" ht="14">
      <c r="A71" s="22" t="s">
        <v>16470</v>
      </c>
      <c r="C71" s="4" t="str">
        <f ca="1">IFERROR(__xludf.DUMMYFUNCTION("""COMPUTED_VALUE"""),"C00008 ")</f>
        <v xml:space="preserve">C00008 </v>
      </c>
      <c r="D71" s="4" t="str">
        <f ca="1">IFERROR(__xludf.DUMMYFUNCTION("""COMPUTED_VALUE""")," C00035")</f>
        <v xml:space="preserve"> C00035</v>
      </c>
      <c r="E71" s="4"/>
      <c r="F71" s="4"/>
      <c r="G71" s="4"/>
    </row>
    <row r="72" spans="1:7" ht="14">
      <c r="A72" s="22" t="s">
        <v>16471</v>
      </c>
      <c r="C72" s="4" t="str">
        <f ca="1">IFERROR(__xludf.DUMMYFUNCTION("""COMPUTED_VALUE"""),"C00020 ")</f>
        <v xml:space="preserve">C00020 </v>
      </c>
      <c r="D72" s="4" t="str">
        <f ca="1">IFERROR(__xludf.DUMMYFUNCTION("""COMPUTED_VALUE""")," C00013 ")</f>
        <v xml:space="preserve"> C00013 </v>
      </c>
      <c r="E72" s="4" t="str">
        <f ca="1">IFERROR(__xludf.DUMMYFUNCTION("""COMPUTED_VALUE""")," C02702")</f>
        <v xml:space="preserve"> C02702</v>
      </c>
      <c r="F72" s="4"/>
      <c r="G72" s="4"/>
    </row>
    <row r="73" spans="1:7" ht="14">
      <c r="A73" s="22" t="s">
        <v>16472</v>
      </c>
      <c r="C73" s="4" t="str">
        <f ca="1">IFERROR(__xludf.DUMMYFUNCTION("""COMPUTED_VALUE"""),"C00020 ")</f>
        <v xml:space="preserve">C00020 </v>
      </c>
      <c r="D73" s="4" t="str">
        <f ca="1">IFERROR(__xludf.DUMMYFUNCTION("""COMPUTED_VALUE""")," C00013 ")</f>
        <v xml:space="preserve"> C00013 </v>
      </c>
      <c r="E73" s="4" t="str">
        <f ca="1">IFERROR(__xludf.DUMMYFUNCTION("""COMPUTED_VALUE""")," C03402")</f>
        <v xml:space="preserve"> C03402</v>
      </c>
      <c r="F73" s="4"/>
      <c r="G73" s="4"/>
    </row>
    <row r="74" spans="1:7" ht="14">
      <c r="A74" s="22" t="s">
        <v>16473</v>
      </c>
      <c r="C74" s="4" t="str">
        <f ca="1">IFERROR(__xludf.DUMMYFUNCTION("""COMPUTED_VALUE"""),"C00008 ")</f>
        <v xml:space="preserve">C00008 </v>
      </c>
      <c r="D74" s="4" t="str">
        <f ca="1">IFERROR(__xludf.DUMMYFUNCTION("""COMPUTED_VALUE""")," C02876")</f>
        <v xml:space="preserve"> C02876</v>
      </c>
      <c r="E74" s="4"/>
      <c r="F74" s="4"/>
      <c r="G74" s="4"/>
    </row>
    <row r="75" spans="1:7" ht="14">
      <c r="A75" s="22" t="s">
        <v>16474</v>
      </c>
      <c r="C75" s="4" t="str">
        <f ca="1">IFERROR(__xludf.DUMMYFUNCTION("""COMPUTED_VALUE"""),"C00020 ")</f>
        <v xml:space="preserve">C00020 </v>
      </c>
      <c r="D75" s="4" t="str">
        <f ca="1">IFERROR(__xludf.DUMMYFUNCTION("""COMPUTED_VALUE""")," C00013 ")</f>
        <v xml:space="preserve"> C00013 </v>
      </c>
      <c r="E75" s="4" t="str">
        <f ca="1">IFERROR(__xludf.DUMMYFUNCTION("""COMPUTED_VALUE""")," C02554")</f>
        <v xml:space="preserve"> C02554</v>
      </c>
      <c r="F75" s="4"/>
      <c r="G75" s="4"/>
    </row>
    <row r="76" spans="1:7" ht="14">
      <c r="A76" s="22" t="s">
        <v>16475</v>
      </c>
      <c r="C76" s="4" t="str">
        <f ca="1">IFERROR(__xludf.DUMMYFUNCTION("""COMPUTED_VALUE"""),"C00020 ")</f>
        <v xml:space="preserve">C00020 </v>
      </c>
      <c r="D76" s="4" t="str">
        <f ca="1">IFERROR(__xludf.DUMMYFUNCTION("""COMPUTED_VALUE""")," C00013 ")</f>
        <v xml:space="preserve"> C00013 </v>
      </c>
      <c r="E76" s="4" t="str">
        <f ca="1">IFERROR(__xludf.DUMMYFUNCTION("""COMPUTED_VALUE""")," C02992")</f>
        <v xml:space="preserve"> C02992</v>
      </c>
      <c r="F76" s="4"/>
      <c r="G76" s="4"/>
    </row>
    <row r="77" spans="1:7" ht="14">
      <c r="A77" s="22" t="s">
        <v>16476</v>
      </c>
      <c r="C77" s="4" t="str">
        <f ca="1">IFERROR(__xludf.DUMMYFUNCTION("""COMPUTED_VALUE"""),"C00008 ")</f>
        <v xml:space="preserve">C00008 </v>
      </c>
      <c r="D77" s="4" t="str">
        <f ca="1">IFERROR(__xludf.DUMMYFUNCTION("""COMPUTED_VALUE""")," C00131")</f>
        <v xml:space="preserve"> C00131</v>
      </c>
      <c r="E77" s="4"/>
      <c r="F77" s="4"/>
      <c r="G77" s="4"/>
    </row>
    <row r="78" spans="1:7" ht="14">
      <c r="A78" s="22" t="s">
        <v>16477</v>
      </c>
      <c r="C78" s="4" t="str">
        <f ca="1">IFERROR(__xludf.DUMMYFUNCTION("""COMPUTED_VALUE"""),"C00008 ")</f>
        <v xml:space="preserve">C00008 </v>
      </c>
      <c r="D78" s="4" t="str">
        <f ca="1">IFERROR(__xludf.DUMMYFUNCTION("""COMPUTED_VALUE""")," C00364")</f>
        <v xml:space="preserve"> C00364</v>
      </c>
      <c r="E78" s="4"/>
      <c r="F78" s="4"/>
      <c r="G78" s="4"/>
    </row>
    <row r="79" spans="1:7" ht="14">
      <c r="A79" s="22" t="s">
        <v>16478</v>
      </c>
      <c r="C79" s="4" t="str">
        <f ca="1">IFERROR(__xludf.DUMMYFUNCTION("""COMPUTED_VALUE"""),"C00008 ")</f>
        <v xml:space="preserve">C00008 </v>
      </c>
      <c r="D79" s="4" t="str">
        <f ca="1">IFERROR(__xludf.DUMMYFUNCTION("""COMPUTED_VALUE""")," C01172")</f>
        <v xml:space="preserve"> C01172</v>
      </c>
      <c r="E79" s="4"/>
      <c r="F79" s="4"/>
      <c r="G79" s="4"/>
    </row>
    <row r="80" spans="1:7" ht="14">
      <c r="A80" s="22" t="s">
        <v>16479</v>
      </c>
      <c r="C80" s="4" t="str">
        <f ca="1">IFERROR(__xludf.DUMMYFUNCTION("""COMPUTED_VALUE"""),"C00008 ")</f>
        <v xml:space="preserve">C00008 </v>
      </c>
      <c r="D80" s="4" t="str">
        <f ca="1">IFERROR(__xludf.DUMMYFUNCTION("""COMPUTED_VALUE""")," C00705")</f>
        <v xml:space="preserve"> C00705</v>
      </c>
      <c r="E80" s="4"/>
      <c r="F80" s="4"/>
      <c r="G80" s="4"/>
    </row>
    <row r="81" spans="1:7" ht="14">
      <c r="A81" s="22" t="s">
        <v>16480</v>
      </c>
      <c r="C81" s="4" t="str">
        <f ca="1">IFERROR(__xludf.DUMMYFUNCTION("""COMPUTED_VALUE"""),"C00008 ")</f>
        <v xml:space="preserve">C00008 </v>
      </c>
      <c r="D81" s="4" t="str">
        <f ca="1">IFERROR(__xludf.DUMMYFUNCTION("""COMPUTED_VALUE""")," C02527")</f>
        <v xml:space="preserve"> C02527</v>
      </c>
      <c r="E81" s="4"/>
      <c r="F81" s="4"/>
      <c r="G81" s="4"/>
    </row>
    <row r="82" spans="1:7" ht="14">
      <c r="A82" s="22" t="s">
        <v>16481</v>
      </c>
      <c r="C82" s="4" t="str">
        <f ca="1">IFERROR(__xludf.DUMMYFUNCTION("""COMPUTED_VALUE"""),"C00008 ")</f>
        <v xml:space="preserve">C00008 </v>
      </c>
      <c r="D82" s="4" t="str">
        <f ca="1">IFERROR(__xludf.DUMMYFUNCTION("""COMPUTED_VALUE""")," C00061")</f>
        <v xml:space="preserve"> C00061</v>
      </c>
      <c r="E82" s="4"/>
      <c r="F82" s="4"/>
      <c r="G82" s="4"/>
    </row>
    <row r="83" spans="1:7" ht="14">
      <c r="A83" s="22" t="s">
        <v>16482</v>
      </c>
      <c r="C83" s="4" t="str">
        <f ca="1">IFERROR(__xludf.DUMMYFUNCTION("""COMPUTED_VALUE"""),"C00008 ")</f>
        <v xml:space="preserve">C00008 </v>
      </c>
      <c r="D83" s="4" t="str">
        <f ca="1">IFERROR(__xludf.DUMMYFUNCTION("""COMPUTED_VALUE""")," C00345")</f>
        <v xml:space="preserve"> C00345</v>
      </c>
      <c r="E83" s="4"/>
      <c r="F83" s="4"/>
      <c r="G83" s="4"/>
    </row>
    <row r="84" spans="1:7" ht="12.5">
      <c r="A84" s="4" t="s">
        <v>12776</v>
      </c>
      <c r="C84" s="4" t="str">
        <f ca="1">IFERROR(__xludf.DUMMYFUNCTION("""COMPUTED_VALUE"""),"C00008 ")</f>
        <v xml:space="preserve">C00008 </v>
      </c>
      <c r="D84" s="4" t="str">
        <f ca="1">IFERROR(__xludf.DUMMYFUNCTION("""COMPUTED_VALUE""")," C01102")</f>
        <v xml:space="preserve"> C01102</v>
      </c>
      <c r="E84" s="4"/>
      <c r="F84" s="4"/>
      <c r="G84" s="4"/>
    </row>
    <row r="85" spans="1:7" ht="14">
      <c r="A85" s="22" t="s">
        <v>16483</v>
      </c>
      <c r="C85" s="4" t="str">
        <f ca="1">IFERROR(__xludf.DUMMYFUNCTION("""COMPUTED_VALUE"""),"C00008 ")</f>
        <v xml:space="preserve">C00008 </v>
      </c>
      <c r="D85" s="4" t="str">
        <f ca="1">IFERROR(__xludf.DUMMYFUNCTION("""COMPUTED_VALUE""")," C00668")</f>
        <v xml:space="preserve"> C00668</v>
      </c>
      <c r="E85" s="4"/>
      <c r="F85" s="4"/>
      <c r="G85" s="4"/>
    </row>
    <row r="86" spans="1:7" ht="14">
      <c r="A86" s="22" t="s">
        <v>16484</v>
      </c>
      <c r="C86" s="4" t="str">
        <f ca="1">IFERROR(__xludf.DUMMYFUNCTION("""COMPUTED_VALUE"""),"C00008 ")</f>
        <v xml:space="preserve">C00008 </v>
      </c>
      <c r="D86" s="4" t="str">
        <f ca="1">IFERROR(__xludf.DUMMYFUNCTION("""COMPUTED_VALUE""")," C20969")</f>
        <v xml:space="preserve"> C20969</v>
      </c>
      <c r="E86" s="4"/>
      <c r="F86" s="4"/>
      <c r="G86" s="4"/>
    </row>
    <row r="87" spans="1:7" ht="14">
      <c r="A87" s="22" t="s">
        <v>16485</v>
      </c>
      <c r="C87" s="4" t="str">
        <f ca="1">IFERROR(__xludf.DUMMYFUNCTION("""COMPUTED_VALUE"""),"C00008 ")</f>
        <v xml:space="preserve">C00008 </v>
      </c>
      <c r="D87" s="4" t="str">
        <f ca="1">IFERROR(__xludf.DUMMYFUNCTION("""COMPUTED_VALUE""")," C00105")</f>
        <v xml:space="preserve"> C00105</v>
      </c>
      <c r="E87" s="4"/>
      <c r="F87" s="4"/>
      <c r="G87" s="4"/>
    </row>
    <row r="88" spans="1:7" ht="14">
      <c r="A88" s="22" t="s">
        <v>16486</v>
      </c>
      <c r="C88" s="4" t="str">
        <f ca="1">IFERROR(__xludf.DUMMYFUNCTION("""COMPUTED_VALUE"""),"C00008 ")</f>
        <v xml:space="preserve">C00008 </v>
      </c>
      <c r="D88" s="4" t="str">
        <f ca="1">IFERROR(__xludf.DUMMYFUNCTION("""COMPUTED_VALUE""")," C00231")</f>
        <v xml:space="preserve"> C00231</v>
      </c>
      <c r="E88" s="4"/>
      <c r="F88" s="4"/>
      <c r="G88" s="4"/>
    </row>
    <row r="89" spans="1:7" ht="14">
      <c r="A89" s="22" t="s">
        <v>16487</v>
      </c>
      <c r="C89" s="4" t="str">
        <f ca="1">IFERROR(__xludf.DUMMYFUNCTION("""COMPUTED_VALUE"""),"C00020 ")</f>
        <v xml:space="preserve">C00020 </v>
      </c>
      <c r="D89" s="4" t="str">
        <f ca="1">IFERROR(__xludf.DUMMYFUNCTION("""COMPUTED_VALUE""")," C00013 ")</f>
        <v xml:space="preserve"> C00013 </v>
      </c>
      <c r="E89" s="4" t="str">
        <f ca="1">IFERROR(__xludf.DUMMYFUNCTION("""COMPUTED_VALUE""")," C03406")</f>
        <v xml:space="preserve"> C03406</v>
      </c>
      <c r="F89" s="4"/>
      <c r="G89" s="4"/>
    </row>
    <row r="90" spans="1:7" ht="14">
      <c r="A90" s="22" t="s">
        <v>16488</v>
      </c>
      <c r="C90" s="4" t="str">
        <f ca="1">IFERROR(__xludf.DUMMYFUNCTION("""COMPUTED_VALUE"""),"C00008 ")</f>
        <v xml:space="preserve">C00008 </v>
      </c>
      <c r="D90" s="4" t="str">
        <f ca="1">IFERROR(__xludf.DUMMYFUNCTION("""COMPUTED_VALUE""")," C00206")</f>
        <v xml:space="preserve"> C00206</v>
      </c>
      <c r="E90" s="4"/>
      <c r="F90" s="4"/>
      <c r="G90" s="4"/>
    </row>
    <row r="91" spans="1:7" ht="14">
      <c r="A91" s="22" t="s">
        <v>16489</v>
      </c>
      <c r="C91" s="4" t="str">
        <f ca="1">IFERROR(__xludf.DUMMYFUNCTION("""COMPUTED_VALUE"""),"C00008 ")</f>
        <v xml:space="preserve">C00008 </v>
      </c>
      <c r="D91" s="4" t="str">
        <f ca="1">IFERROR(__xludf.DUMMYFUNCTION("""COMPUTED_VALUE""")," C00286")</f>
        <v xml:space="preserve"> C00286</v>
      </c>
      <c r="E91" s="4"/>
      <c r="F91" s="4"/>
      <c r="G91" s="4"/>
    </row>
    <row r="92" spans="1:7" ht="14">
      <c r="A92" s="22" t="s">
        <v>16490</v>
      </c>
      <c r="C92" s="4" t="str">
        <f ca="1">IFERROR(__xludf.DUMMYFUNCTION("""COMPUTED_VALUE"""),"C00008 ")</f>
        <v xml:space="preserve">C00008 </v>
      </c>
      <c r="D92" s="4" t="str">
        <f ca="1">IFERROR(__xludf.DUMMYFUNCTION("""COMPUTED_VALUE""")," C00361")</f>
        <v xml:space="preserve"> C00361</v>
      </c>
      <c r="E92" s="4"/>
      <c r="F92" s="4"/>
      <c r="G92" s="4"/>
    </row>
    <row r="93" spans="1:7" ht="14">
      <c r="A93" s="22" t="s">
        <v>16491</v>
      </c>
      <c r="C93" s="4" t="str">
        <f ca="1">IFERROR(__xludf.DUMMYFUNCTION("""COMPUTED_VALUE"""),"C00008 ")</f>
        <v xml:space="preserve">C00008 </v>
      </c>
      <c r="D93" s="4" t="str">
        <f ca="1">IFERROR(__xludf.DUMMYFUNCTION("""COMPUTED_VALUE""")," C00459")</f>
        <v xml:space="preserve"> C00459</v>
      </c>
      <c r="E93" s="4"/>
      <c r="F93" s="4"/>
      <c r="G93" s="4"/>
    </row>
    <row r="94" spans="1:7" ht="14">
      <c r="A94" s="22" t="s">
        <v>16492</v>
      </c>
      <c r="C94" s="4" t="str">
        <f ca="1">IFERROR(__xludf.DUMMYFUNCTION("""COMPUTED_VALUE"""),"C00008 ")</f>
        <v xml:space="preserve">C00008 </v>
      </c>
      <c r="D94" s="4" t="str">
        <f ca="1">IFERROR(__xludf.DUMMYFUNCTION("""COMPUTED_VALUE""")," C00363")</f>
        <v xml:space="preserve"> C00363</v>
      </c>
      <c r="E94" s="4"/>
      <c r="F94" s="4"/>
      <c r="G94" s="4"/>
    </row>
    <row r="95" spans="1:7" ht="14">
      <c r="A95" s="22" t="s">
        <v>16493</v>
      </c>
      <c r="C95" s="4" t="str">
        <f ca="1">IFERROR(__xludf.DUMMYFUNCTION("""COMPUTED_VALUE"""),"C00008 ")</f>
        <v xml:space="preserve">C00008 </v>
      </c>
      <c r="D95" s="4" t="str">
        <f ca="1">IFERROR(__xludf.DUMMYFUNCTION("""COMPUTED_VALUE""")," C01346")</f>
        <v xml:space="preserve"> C01346</v>
      </c>
      <c r="E95" s="4"/>
      <c r="F95" s="4"/>
      <c r="G95" s="4"/>
    </row>
    <row r="96" spans="1:7" ht="14">
      <c r="A96" s="22" t="s">
        <v>16494</v>
      </c>
      <c r="C96" s="4" t="str">
        <f ca="1">IFERROR(__xludf.DUMMYFUNCTION("""COMPUTED_VALUE"""),"C00020 ")</f>
        <v xml:space="preserve">C00020 </v>
      </c>
      <c r="D96" s="4" t="str">
        <f ca="1">IFERROR(__xludf.DUMMYFUNCTION("""COMPUTED_VALUE""")," C00068")</f>
        <v xml:space="preserve"> C00068</v>
      </c>
      <c r="E96" s="4"/>
      <c r="F96" s="4"/>
      <c r="G96" s="4"/>
    </row>
    <row r="97" spans="1:7" ht="14">
      <c r="A97" s="22" t="s">
        <v>16495</v>
      </c>
      <c r="C97" s="4" t="str">
        <f ca="1">IFERROR(__xludf.DUMMYFUNCTION("""COMPUTED_VALUE"""),"C00008 ")</f>
        <v xml:space="preserve">C00008 </v>
      </c>
      <c r="D97" s="4" t="str">
        <f ca="1">IFERROR(__xludf.DUMMYFUNCTION("""COMPUTED_VALUE""")," C00404")</f>
        <v xml:space="preserve"> C00404</v>
      </c>
      <c r="E97" s="4"/>
      <c r="F97" s="4"/>
      <c r="G97" s="4"/>
    </row>
    <row r="98" spans="1:7" ht="14">
      <c r="A98" s="22" t="s">
        <v>16496</v>
      </c>
      <c r="C98" s="4" t="str">
        <f ca="1">IFERROR(__xludf.DUMMYFUNCTION("""COMPUTED_VALUE"""),"C00020 ")</f>
        <v xml:space="preserve">C00020 </v>
      </c>
      <c r="D98" s="4" t="str">
        <f ca="1">IFERROR(__xludf.DUMMYFUNCTION("""COMPUTED_VALUE""")," C00013 ")</f>
        <v xml:space="preserve"> C00013 </v>
      </c>
      <c r="E98" s="4" t="str">
        <f ca="1">IFERROR(__xludf.DUMMYFUNCTION("""COMPUTED_VALUE""")," C03127")</f>
        <v xml:space="preserve"> C03127</v>
      </c>
      <c r="F98" s="4"/>
      <c r="G98" s="4"/>
    </row>
    <row r="99" spans="1:7" ht="14">
      <c r="A99" s="22" t="s">
        <v>16497</v>
      </c>
      <c r="C99" s="4" t="str">
        <f ca="1">IFERROR(__xludf.DUMMYFUNCTION("""COMPUTED_VALUE"""),"C00008 ")</f>
        <v xml:space="preserve">C00008 </v>
      </c>
      <c r="D99" s="4" t="str">
        <f ca="1">IFERROR(__xludf.DUMMYFUNCTION("""COMPUTED_VALUE""")," C01107")</f>
        <v xml:space="preserve"> C01107</v>
      </c>
      <c r="E99" s="4"/>
      <c r="F99" s="4"/>
      <c r="G99" s="4"/>
    </row>
    <row r="100" spans="1:7" ht="14">
      <c r="A100" s="22" t="s">
        <v>16498</v>
      </c>
      <c r="C100" s="4" t="str">
        <f ca="1">IFERROR(__xludf.DUMMYFUNCTION("""COMPUTED_VALUE"""),"C00008 ")</f>
        <v xml:space="preserve">C00008 </v>
      </c>
      <c r="D100" s="4" t="str">
        <f ca="1">IFERROR(__xludf.DUMMYFUNCTION("""COMPUTED_VALUE""")," C00201")</f>
        <v xml:space="preserve"> C00201</v>
      </c>
      <c r="E100" s="4"/>
      <c r="F100" s="4"/>
      <c r="G100" s="4"/>
    </row>
    <row r="101" spans="1:7" ht="14">
      <c r="A101" s="22" t="s">
        <v>16499</v>
      </c>
      <c r="C101" s="4" t="str">
        <f ca="1">IFERROR(__xludf.DUMMYFUNCTION("""COMPUTED_VALUE"""),"C00013 ")</f>
        <v xml:space="preserve">C00013 </v>
      </c>
      <c r="D101" s="4" t="str">
        <f ca="1">IFERROR(__xludf.DUMMYFUNCTION("""COMPUTED_VALUE""")," C00003")</f>
        <v xml:space="preserve"> C00003</v>
      </c>
      <c r="E101" s="4"/>
      <c r="F101" s="4"/>
      <c r="G101" s="4"/>
    </row>
    <row r="102" spans="1:7" ht="14">
      <c r="A102" s="22" t="s">
        <v>16500</v>
      </c>
      <c r="C102" s="4" t="str">
        <f ca="1">IFERROR(__xludf.DUMMYFUNCTION("""COMPUTED_VALUE"""),"C00008 ")</f>
        <v xml:space="preserve">C00008 </v>
      </c>
      <c r="D102" s="4" t="str">
        <f ca="1">IFERROR(__xludf.DUMMYFUNCTION("""COMPUTED_VALUE""")," C00055")</f>
        <v xml:space="preserve"> C00055</v>
      </c>
      <c r="E102" s="4"/>
      <c r="F102" s="4"/>
      <c r="G102" s="4"/>
    </row>
    <row r="103" spans="1:7" ht="14">
      <c r="A103" s="22" t="s">
        <v>16501</v>
      </c>
      <c r="C103" s="4" t="str">
        <f ca="1">IFERROR(__xludf.DUMMYFUNCTION("""COMPUTED_VALUE"""),"C00008 ")</f>
        <v xml:space="preserve">C00008 </v>
      </c>
      <c r="D103" s="4" t="str">
        <f ca="1">IFERROR(__xludf.DUMMYFUNCTION("""COMPUTED_VALUE""")," C00365")</f>
        <v xml:space="preserve"> C00365</v>
      </c>
      <c r="E103" s="4"/>
      <c r="F103" s="4"/>
      <c r="G103" s="4"/>
    </row>
    <row r="104" spans="1:7" ht="14">
      <c r="A104" s="22" t="s">
        <v>16502</v>
      </c>
      <c r="C104" s="4" t="str">
        <f ca="1">IFERROR(__xludf.DUMMYFUNCTION("""COMPUTED_VALUE"""),"C00008 ")</f>
        <v xml:space="preserve">C00008 </v>
      </c>
      <c r="D104" s="4" t="str">
        <f ca="1">IFERROR(__xludf.DUMMYFUNCTION("""COMPUTED_VALUE""")," C01167")</f>
        <v xml:space="preserve"> C01167</v>
      </c>
      <c r="E104" s="4"/>
      <c r="F104" s="4"/>
      <c r="G104" s="4"/>
    </row>
    <row r="105" spans="1:7" ht="14">
      <c r="A105" s="22" t="s">
        <v>16503</v>
      </c>
      <c r="C105" s="4" t="str">
        <f ca="1">IFERROR(__xludf.DUMMYFUNCTION("""COMPUTED_VALUE"""),"C00008 ")</f>
        <v xml:space="preserve">C00008 </v>
      </c>
      <c r="D105" s="4" t="str">
        <f ca="1">IFERROR(__xludf.DUMMYFUNCTION("""COMPUTED_VALUE""")," C00416")</f>
        <v xml:space="preserve"> C00416</v>
      </c>
      <c r="E105" s="4"/>
      <c r="F105" s="4"/>
      <c r="G105" s="4"/>
    </row>
    <row r="106" spans="1:7" ht="12.5">
      <c r="A106" s="4" t="s">
        <v>12750</v>
      </c>
      <c r="C106" s="4" t="str">
        <f ca="1">IFERROR(__xludf.DUMMYFUNCTION("""COMPUTED_VALUE"""),"C00020 ")</f>
        <v xml:space="preserve">C00020 </v>
      </c>
      <c r="D106" s="4" t="str">
        <f ca="1">IFERROR(__xludf.DUMMYFUNCTION("""COMPUTED_VALUE""")," C00013 ")</f>
        <v xml:space="preserve"> C00013 </v>
      </c>
      <c r="E106" s="4" t="str">
        <f ca="1">IFERROR(__xludf.DUMMYFUNCTION("""COMPUTED_VALUE""")," C00144")</f>
        <v xml:space="preserve"> C00144</v>
      </c>
      <c r="F106" s="4"/>
      <c r="G106" s="4"/>
    </row>
    <row r="107" spans="1:7" ht="14">
      <c r="A107" s="22" t="s">
        <v>16504</v>
      </c>
      <c r="C107" s="4" t="str">
        <f ca="1">IFERROR(__xludf.DUMMYFUNCTION("""COMPUTED_VALUE"""),"C00020 ")</f>
        <v xml:space="preserve">C00020 </v>
      </c>
      <c r="D107" s="4" t="str">
        <f ca="1">IFERROR(__xludf.DUMMYFUNCTION("""COMPUTED_VALUE""")," C00013 ")</f>
        <v xml:space="preserve"> C00013 </v>
      </c>
      <c r="E107" s="4" t="str">
        <f ca="1">IFERROR(__xludf.DUMMYFUNCTION("""COMPUTED_VALUE""")," C00144 ")</f>
        <v xml:space="preserve"> C00144 </v>
      </c>
      <c r="F107" s="4" t="str">
        <f ca="1">IFERROR(__xludf.DUMMYFUNCTION("""COMPUTED_VALUE""")," C00025")</f>
        <v xml:space="preserve"> C00025</v>
      </c>
      <c r="G107" s="4"/>
    </row>
    <row r="108" spans="1:7" ht="14">
      <c r="A108" s="22" t="s">
        <v>16505</v>
      </c>
      <c r="C108" s="4" t="str">
        <f ca="1">IFERROR(__xludf.DUMMYFUNCTION("""COMPUTED_VALUE"""),"C00008 ")</f>
        <v xml:space="preserve">C00008 </v>
      </c>
      <c r="D108" s="4" t="str">
        <f ca="1">IFERROR(__xludf.DUMMYFUNCTION("""COMPUTED_VALUE""")," C00009 ")</f>
        <v xml:space="preserve"> C00009 </v>
      </c>
      <c r="E108" s="4" t="str">
        <f ca="1">IFERROR(__xludf.DUMMYFUNCTION("""COMPUTED_VALUE""")," C04877")</f>
        <v xml:space="preserve"> C04877</v>
      </c>
      <c r="F108" s="4"/>
      <c r="G108" s="4"/>
    </row>
    <row r="109" spans="1:7" ht="14">
      <c r="A109" s="22" t="s">
        <v>16506</v>
      </c>
      <c r="C109" s="4" t="str">
        <f ca="1">IFERROR(__xludf.DUMMYFUNCTION("""COMPUTED_VALUE"""),"C00008 ")</f>
        <v xml:space="preserve">C00008 </v>
      </c>
      <c r="D109" s="4" t="str">
        <f ca="1">IFERROR(__xludf.DUMMYFUNCTION("""COMPUTED_VALUE""")," C00458")</f>
        <v xml:space="preserve"> C00458</v>
      </c>
      <c r="E109" s="4"/>
      <c r="F109" s="4"/>
      <c r="G109" s="4"/>
    </row>
    <row r="110" spans="1:7" ht="14">
      <c r="A110" s="22" t="s">
        <v>16507</v>
      </c>
      <c r="C110" s="4" t="str">
        <f ca="1">IFERROR(__xludf.DUMMYFUNCTION("""COMPUTED_VALUE"""),"C00008 ")</f>
        <v xml:space="preserve">C00008 </v>
      </c>
      <c r="D110" s="4" t="str">
        <f ca="1">IFERROR(__xludf.DUMMYFUNCTION("""COMPUTED_VALUE""")," C01134")</f>
        <v xml:space="preserve"> C01134</v>
      </c>
      <c r="E110" s="4"/>
      <c r="F110" s="4"/>
      <c r="G110" s="4"/>
    </row>
    <row r="111" spans="1:7" ht="14">
      <c r="A111" s="22" t="s">
        <v>16508</v>
      </c>
      <c r="C111" s="4" t="str">
        <f ca="1">IFERROR(__xludf.DUMMYFUNCTION("""COMPUTED_VALUE"""),"C00536 ")</f>
        <v xml:space="preserve">C00536 </v>
      </c>
      <c r="D111" s="4" t="str">
        <f ca="1">IFERROR(__xludf.DUMMYFUNCTION("""COMPUTED_VALUE""")," C00194")</f>
        <v xml:space="preserve"> C00194</v>
      </c>
      <c r="E111" s="4"/>
      <c r="F111" s="4"/>
      <c r="G111" s="4"/>
    </row>
    <row r="112" spans="1:7" ht="12.5">
      <c r="A112" s="4" t="s">
        <v>12696</v>
      </c>
      <c r="C112" s="4" t="str">
        <f ca="1">IFERROR(__xludf.DUMMYFUNCTION("""COMPUTED_VALUE"""),"C00020 ")</f>
        <v xml:space="preserve">C00020 </v>
      </c>
      <c r="D112" s="4" t="str">
        <f ca="1">IFERROR(__xludf.DUMMYFUNCTION("""COMPUTED_VALUE""")," C00013 ")</f>
        <v xml:space="preserve"> C00013 </v>
      </c>
      <c r="E112" s="4" t="str">
        <f ca="1">IFERROR(__xludf.DUMMYFUNCTION("""COMPUTED_VALUE""")," C00003")</f>
        <v xml:space="preserve"> C00003</v>
      </c>
      <c r="F112" s="4"/>
      <c r="G112" s="4"/>
    </row>
    <row r="113" spans="1:7" ht="14">
      <c r="A113" s="22" t="s">
        <v>16509</v>
      </c>
      <c r="C113" s="4" t="str">
        <f ca="1">IFERROR(__xludf.DUMMYFUNCTION("""COMPUTED_VALUE"""),"C00008 ")</f>
        <v xml:space="preserve">C00008 </v>
      </c>
      <c r="D113" s="4" t="str">
        <f ca="1">IFERROR(__xludf.DUMMYFUNCTION("""COMPUTED_VALUE""")," C03492")</f>
        <v xml:space="preserve"> C03492</v>
      </c>
      <c r="E113" s="4"/>
      <c r="F113" s="4"/>
      <c r="G113" s="4"/>
    </row>
    <row r="114" spans="1:7" ht="14">
      <c r="A114" s="22" t="s">
        <v>16510</v>
      </c>
      <c r="C114" s="4" t="str">
        <f ca="1">IFERROR(__xludf.DUMMYFUNCTION("""COMPUTED_VALUE"""),"C00008 ")</f>
        <v xml:space="preserve">C00008 </v>
      </c>
      <c r="D114" s="4" t="str">
        <f ca="1">IFERROR(__xludf.DUMMYFUNCTION("""COMPUTED_VALUE""")," C00010")</f>
        <v xml:space="preserve"> C00010</v>
      </c>
      <c r="E114" s="4"/>
      <c r="F114" s="4"/>
      <c r="G114" s="4"/>
    </row>
    <row r="115" spans="1:7" ht="14">
      <c r="A115" s="22" t="s">
        <v>16511</v>
      </c>
      <c r="C115" s="4" t="str">
        <f ca="1">IFERROR(__xludf.DUMMYFUNCTION("""COMPUTED_VALUE"""),"C19771 ")</f>
        <v xml:space="preserve">C19771 </v>
      </c>
      <c r="D115" s="4" t="str">
        <f ca="1">IFERROR(__xludf.DUMMYFUNCTION("""COMPUTED_VALUE""")," C00147")</f>
        <v xml:space="preserve"> C00147</v>
      </c>
      <c r="E115" s="4"/>
      <c r="F115" s="4"/>
      <c r="G115" s="4"/>
    </row>
    <row r="116" spans="1:7" ht="14">
      <c r="A116" s="22" t="s">
        <v>16512</v>
      </c>
      <c r="C116" s="4" t="str">
        <f ca="1">IFERROR(__xludf.DUMMYFUNCTION("""COMPUTED_VALUE"""),"C00008 ")</f>
        <v xml:space="preserve">C00008 </v>
      </c>
      <c r="D116" s="4" t="str">
        <f ca="1">IFERROR(__xludf.DUMMYFUNCTION("""COMPUTED_VALUE""")," C00446")</f>
        <v xml:space="preserve"> C00446</v>
      </c>
      <c r="E116" s="4"/>
      <c r="F116" s="4"/>
      <c r="G116" s="4"/>
    </row>
    <row r="117" spans="1:7" ht="14">
      <c r="A117" s="22" t="s">
        <v>16513</v>
      </c>
      <c r="C117" s="4" t="str">
        <f ca="1">IFERROR(__xludf.DUMMYFUNCTION("""COMPUTED_VALUE"""),"C00008 ")</f>
        <v xml:space="preserve">C00008 </v>
      </c>
      <c r="D117" s="4" t="str">
        <f ca="1">IFERROR(__xludf.DUMMYFUNCTION("""COMPUTED_VALUE""")," C00009 ")</f>
        <v xml:space="preserve"> C00009 </v>
      </c>
      <c r="E117" s="4" t="str">
        <f ca="1">IFERROR(__xludf.DUMMYFUNCTION("""COMPUTED_VALUE""")," C01212")</f>
        <v xml:space="preserve"> C01212</v>
      </c>
      <c r="F117" s="4"/>
      <c r="G117" s="4"/>
    </row>
    <row r="118" spans="1:7" ht="14">
      <c r="A118" s="22" t="s">
        <v>16514</v>
      </c>
      <c r="C118" s="4" t="str">
        <f ca="1">IFERROR(__xludf.DUMMYFUNCTION("""COMPUTED_VALUE"""),"C00008 ")</f>
        <v xml:space="preserve">C00008 </v>
      </c>
      <c r="D118" s="4" t="str">
        <f ca="1">IFERROR(__xludf.DUMMYFUNCTION("""COMPUTED_VALUE""")," C00354")</f>
        <v xml:space="preserve"> C00354</v>
      </c>
      <c r="E118" s="4"/>
      <c r="F118" s="4"/>
      <c r="G118" s="4"/>
    </row>
    <row r="119" spans="1:7" ht="14">
      <c r="A119" s="22" t="s">
        <v>16515</v>
      </c>
      <c r="C119" s="4" t="str">
        <f ca="1">IFERROR(__xludf.DUMMYFUNCTION("""COMPUTED_VALUE"""),"C00008 ")</f>
        <v xml:space="preserve">C00008 </v>
      </c>
      <c r="D119" s="4" t="str">
        <f ca="1">IFERROR(__xludf.DUMMYFUNCTION("""COMPUTED_VALUE""")," C05378")</f>
        <v xml:space="preserve"> C05378</v>
      </c>
      <c r="E119" s="4"/>
      <c r="F119" s="4"/>
      <c r="G119" s="4"/>
    </row>
    <row r="120" spans="1:7" ht="14">
      <c r="A120" s="22" t="s">
        <v>16516</v>
      </c>
      <c r="C120" s="4" t="str">
        <f ca="1">IFERROR(__xludf.DUMMYFUNCTION("""COMPUTED_VALUE"""),"C00008 ")</f>
        <v xml:space="preserve">C00008 </v>
      </c>
      <c r="D120" s="4" t="str">
        <f ca="1">IFERROR(__xludf.DUMMYFUNCTION("""COMPUTED_VALUE""")," C01143")</f>
        <v xml:space="preserve"> C01143</v>
      </c>
      <c r="E120" s="4"/>
      <c r="F120" s="4"/>
      <c r="G120" s="4"/>
    </row>
    <row r="121" spans="1:7" ht="14">
      <c r="A121" s="22" t="s">
        <v>16517</v>
      </c>
      <c r="C121" s="4" t="str">
        <f ca="1">IFERROR(__xludf.DUMMYFUNCTION("""COMPUTED_VALUE"""),"C00013 ")</f>
        <v xml:space="preserve">C00013 </v>
      </c>
      <c r="D121" s="4" t="str">
        <f ca="1">IFERROR(__xludf.DUMMYFUNCTION("""COMPUTED_VALUE""")," C00882")</f>
        <v xml:space="preserve"> C00882</v>
      </c>
      <c r="E121" s="4"/>
      <c r="F121" s="4"/>
      <c r="G121" s="4"/>
    </row>
    <row r="122" spans="1:7" ht="14">
      <c r="A122" s="22" t="s">
        <v>16518</v>
      </c>
      <c r="C122" s="4" t="str">
        <f ca="1">IFERROR(__xludf.DUMMYFUNCTION("""COMPUTED_VALUE"""),"C00008 ")</f>
        <v xml:space="preserve">C00008 </v>
      </c>
      <c r="D122" s="4" t="str">
        <f ca="1">IFERROR(__xludf.DUMMYFUNCTION("""COMPUTED_VALUE""")," C00009 ")</f>
        <v xml:space="preserve"> C00009 </v>
      </c>
      <c r="E122" s="4" t="str">
        <f ca="1">IFERROR(__xludf.DUMMYFUNCTION("""COMPUTED_VALUE""")," C00129 ")</f>
        <v xml:space="preserve"> C00129 </v>
      </c>
      <c r="F122" s="4" t="str">
        <f ca="1">IFERROR(__xludf.DUMMYFUNCTION("""COMPUTED_VALUE""")," C00011")</f>
        <v xml:space="preserve"> C00011</v>
      </c>
      <c r="G122" s="4"/>
    </row>
    <row r="123" spans="1:7" ht="14">
      <c r="A123" s="22" t="s">
        <v>16519</v>
      </c>
      <c r="C123" s="4" t="str">
        <f ca="1">IFERROR(__xludf.DUMMYFUNCTION("""COMPUTED_VALUE"""),"C00013 ")</f>
        <v xml:space="preserve">C00013 </v>
      </c>
      <c r="D123" s="4" t="str">
        <f ca="1">IFERROR(__xludf.DUMMYFUNCTION("""COMPUTED_VALUE""")," C00857")</f>
        <v xml:space="preserve"> C00857</v>
      </c>
      <c r="E123" s="4"/>
      <c r="F123" s="4"/>
      <c r="G123" s="4"/>
    </row>
    <row r="124" spans="1:7" ht="14">
      <c r="A124" s="22" t="s">
        <v>16520</v>
      </c>
      <c r="C124" s="4" t="str">
        <f ca="1">IFERROR(__xludf.DUMMYFUNCTION("""COMPUTED_VALUE"""),"C00008 ")</f>
        <v xml:space="preserve">C00008 </v>
      </c>
      <c r="D124" s="4" t="str">
        <f ca="1">IFERROR(__xludf.DUMMYFUNCTION("""COMPUTED_VALUE""")," C00009 ")</f>
        <v xml:space="preserve"> C00009 </v>
      </c>
      <c r="E124" s="4" t="str">
        <f ca="1">IFERROR(__xludf.DUMMYFUNCTION("""COMPUTED_VALUE""")," C00692")</f>
        <v xml:space="preserve"> C00692</v>
      </c>
      <c r="F124" s="4"/>
      <c r="G124" s="4"/>
    </row>
    <row r="125" spans="1:7" ht="14">
      <c r="A125" s="22" t="s">
        <v>16521</v>
      </c>
      <c r="C125" s="4" t="str">
        <f ca="1">IFERROR(__xludf.DUMMYFUNCTION("""COMPUTED_VALUE"""),"C00008 ")</f>
        <v xml:space="preserve">C00008 </v>
      </c>
      <c r="D125" s="4" t="str">
        <f ca="1">IFERROR(__xludf.DUMMYFUNCTION("""COMPUTED_VALUE""")," C04556")</f>
        <v xml:space="preserve"> C04556</v>
      </c>
      <c r="E125" s="4"/>
      <c r="F125" s="4"/>
      <c r="G125" s="4"/>
    </row>
    <row r="126" spans="1:7" ht="14">
      <c r="A126" s="22" t="s">
        <v>16522</v>
      </c>
      <c r="C126" s="4" t="str">
        <f ca="1">IFERROR(__xludf.DUMMYFUNCTION("""COMPUTED_VALUE"""),"C00008 ")</f>
        <v xml:space="preserve">C00008 </v>
      </c>
      <c r="D126" s="4" t="str">
        <f ca="1">IFERROR(__xludf.DUMMYFUNCTION("""COMPUTED_VALUE""")," C01345")</f>
        <v xml:space="preserve"> C01345</v>
      </c>
      <c r="E126" s="4"/>
      <c r="F126" s="4"/>
      <c r="G126" s="4"/>
    </row>
    <row r="127" spans="1:7" ht="14">
      <c r="A127" s="22" t="s">
        <v>16523</v>
      </c>
      <c r="C127" s="4" t="str">
        <f ca="1">IFERROR(__xludf.DUMMYFUNCTION("""COMPUTED_VALUE"""),"C00008 ")</f>
        <v xml:space="preserve">C00008 </v>
      </c>
      <c r="D127" s="4" t="str">
        <f ca="1">IFERROR(__xludf.DUMMYFUNCTION("""COMPUTED_VALUE""")," C00460")</f>
        <v xml:space="preserve"> C00460</v>
      </c>
      <c r="E127" s="4"/>
      <c r="F127" s="4"/>
      <c r="G127" s="4"/>
    </row>
    <row r="128" spans="1:7" ht="14">
      <c r="A128" s="22" t="s">
        <v>16524</v>
      </c>
      <c r="C128" s="4" t="str">
        <f ca="1">IFERROR(__xludf.DUMMYFUNCTION("""COMPUTED_VALUE"""),"C00008 ")</f>
        <v xml:space="preserve">C00008 </v>
      </c>
      <c r="D128" s="4" t="str">
        <f ca="1">IFERROR(__xludf.DUMMYFUNCTION("""COMPUTED_VALUE""")," C00169")</f>
        <v xml:space="preserve"> C00169</v>
      </c>
      <c r="E128" s="4"/>
      <c r="F128" s="4"/>
      <c r="G128" s="4"/>
    </row>
    <row r="129" spans="1:7" ht="14">
      <c r="A129" s="22" t="s">
        <v>16525</v>
      </c>
      <c r="C129" s="4" t="str">
        <f ca="1">IFERROR(__xludf.DUMMYFUNCTION("""COMPUTED_VALUE"""),"C00008 ")</f>
        <v xml:space="preserve">C00008 </v>
      </c>
      <c r="D129" s="4" t="str">
        <f ca="1">IFERROR(__xludf.DUMMYFUNCTION("""COMPUTED_VALUE""")," C00009 ")</f>
        <v xml:space="preserve"> C00009 </v>
      </c>
      <c r="E129" s="4" t="str">
        <f ca="1">IFERROR(__xludf.DUMMYFUNCTION("""COMPUTED_VALUE""")," C03838")</f>
        <v xml:space="preserve"> C03838</v>
      </c>
      <c r="F129" s="4"/>
      <c r="G129" s="4"/>
    </row>
    <row r="130" spans="1:7" ht="14">
      <c r="A130" s="22" t="s">
        <v>16526</v>
      </c>
      <c r="C130" s="4" t="str">
        <f ca="1">IFERROR(__xludf.DUMMYFUNCTION("""COMPUTED_VALUE"""),"C00008 ")</f>
        <v xml:space="preserve">C00008 </v>
      </c>
      <c r="D130" s="4" t="str">
        <f ca="1">IFERROR(__xludf.DUMMYFUNCTION("""COMPUTED_VALUE""")," C00009 ")</f>
        <v xml:space="preserve"> C00009 </v>
      </c>
      <c r="E130" s="4" t="str">
        <f ca="1">IFERROR(__xludf.DUMMYFUNCTION("""COMPUTED_VALUE""")," C15667")</f>
        <v xml:space="preserve"> C15667</v>
      </c>
      <c r="F130" s="4"/>
      <c r="G130" s="4"/>
    </row>
    <row r="131" spans="1:7" ht="14">
      <c r="A131" s="22" t="s">
        <v>16527</v>
      </c>
      <c r="C131" s="4" t="str">
        <f ca="1">IFERROR(__xludf.DUMMYFUNCTION("""COMPUTED_VALUE"""),"C00008 ")</f>
        <v xml:space="preserve">C00008 </v>
      </c>
      <c r="D131" s="4" t="str">
        <f ca="1">IFERROR(__xludf.DUMMYFUNCTION("""COMPUTED_VALUE""")," C00009 ")</f>
        <v xml:space="preserve"> C00009 </v>
      </c>
      <c r="E131" s="4" t="str">
        <f ca="1">IFERROR(__xludf.DUMMYFUNCTION("""COMPUTED_VALUE""")," C00445")</f>
        <v xml:space="preserve"> C00445</v>
      </c>
      <c r="F131" s="4"/>
      <c r="G131" s="4"/>
    </row>
    <row r="132" spans="1:7" ht="14">
      <c r="A132" s="22" t="s">
        <v>16528</v>
      </c>
      <c r="C132" s="4" t="str">
        <f ca="1">IFERROR(__xludf.DUMMYFUNCTION("""COMPUTED_VALUE"""),"C00008 ")</f>
        <v xml:space="preserve">C00008 </v>
      </c>
      <c r="D132" s="4" t="str">
        <f ca="1">IFERROR(__xludf.DUMMYFUNCTION("""COMPUTED_VALUE""")," C04352")</f>
        <v xml:space="preserve"> C04352</v>
      </c>
      <c r="E132" s="4"/>
      <c r="F132" s="4"/>
      <c r="G132" s="4"/>
    </row>
    <row r="133" spans="1:7" ht="14">
      <c r="A133" s="22" t="s">
        <v>16529</v>
      </c>
      <c r="C133" s="4" t="str">
        <f ca="1">IFERROR(__xludf.DUMMYFUNCTION("""COMPUTED_VALUE"""),"C00008 ")</f>
        <v xml:space="preserve">C00008 </v>
      </c>
      <c r="D133" s="4" t="str">
        <f ca="1">IFERROR(__xludf.DUMMYFUNCTION("""COMPUTED_VALUE""")," C00009 ")</f>
        <v xml:space="preserve"> C00009 </v>
      </c>
      <c r="E133" s="4" t="str">
        <f ca="1">IFERROR(__xludf.DUMMYFUNCTION("""COMPUTED_VALUE""")," C04640 ")</f>
        <v xml:space="preserve"> C04640 </v>
      </c>
      <c r="F133" s="4" t="str">
        <f ca="1">IFERROR(__xludf.DUMMYFUNCTION("""COMPUTED_VALUE""")," C00025")</f>
        <v xml:space="preserve"> C00025</v>
      </c>
      <c r="G133" s="4"/>
    </row>
    <row r="134" spans="1:7" ht="14">
      <c r="A134" s="22" t="s">
        <v>16530</v>
      </c>
      <c r="C134" s="4" t="str">
        <f ca="1">IFERROR(__xludf.DUMMYFUNCTION("""COMPUTED_VALUE"""),"C00008 ")</f>
        <v xml:space="preserve">C00008 </v>
      </c>
      <c r="D134" s="4" t="str">
        <f ca="1">IFERROR(__xludf.DUMMYFUNCTION("""COMPUTED_VALUE""")," C04752")</f>
        <v xml:space="preserve"> C04752</v>
      </c>
      <c r="E134" s="4"/>
      <c r="F134" s="4"/>
      <c r="G134" s="4"/>
    </row>
    <row r="135" spans="1:7" ht="14">
      <c r="A135" s="22" t="s">
        <v>16531</v>
      </c>
      <c r="C135" s="4" t="str">
        <f ca="1">IFERROR(__xludf.DUMMYFUNCTION("""COMPUTED_VALUE"""),"C00008 ")</f>
        <v xml:space="preserve">C00008 </v>
      </c>
      <c r="D135" s="4" t="str">
        <f ca="1">IFERROR(__xludf.DUMMYFUNCTION("""COMPUTED_VALUE""")," C00009 ")</f>
        <v xml:space="preserve"> C00009 </v>
      </c>
      <c r="E135" s="4" t="str">
        <f ca="1">IFERROR(__xludf.DUMMYFUNCTION("""COMPUTED_VALUE""")," C03373")</f>
        <v xml:space="preserve"> C03373</v>
      </c>
      <c r="F135" s="4"/>
      <c r="G135" s="4"/>
    </row>
    <row r="136" spans="1:7" ht="14">
      <c r="A136" s="22" t="s">
        <v>16532</v>
      </c>
      <c r="C136" s="4" t="str">
        <f ca="1">IFERROR(__xludf.DUMMYFUNCTION("""COMPUTED_VALUE"""),"C00008 ")</f>
        <v xml:space="preserve">C00008 </v>
      </c>
      <c r="D136" s="4" t="str">
        <f ca="1">IFERROR(__xludf.DUMMYFUNCTION("""COMPUTED_VALUE""")," C00009 ")</f>
        <v xml:space="preserve"> C00009 </v>
      </c>
      <c r="E136" s="4" t="str">
        <f ca="1">IFERROR(__xludf.DUMMYFUNCTION("""COMPUTED_VALUE""")," C04823")</f>
        <v xml:space="preserve"> C04823</v>
      </c>
      <c r="F136" s="4"/>
      <c r="G136" s="4"/>
    </row>
    <row r="137" spans="1:7" ht="14">
      <c r="A137" s="22" t="s">
        <v>16533</v>
      </c>
      <c r="C137" s="4" t="str">
        <f ca="1">IFERROR(__xludf.DUMMYFUNCTION("""COMPUTED_VALUE"""),"C00008 ")</f>
        <v xml:space="preserve">C00008 </v>
      </c>
      <c r="D137" s="4" t="str">
        <f ca="1">IFERROR(__xludf.DUMMYFUNCTION("""COMPUTED_VALUE""")," C00009 ")</f>
        <v xml:space="preserve"> C00009 </v>
      </c>
      <c r="E137" s="4" t="str">
        <f ca="1">IFERROR(__xludf.DUMMYFUNCTION("""COMPUTED_VALUE""")," C04882")</f>
        <v xml:space="preserve"> C04882</v>
      </c>
      <c r="F137" s="4"/>
      <c r="G137" s="4"/>
    </row>
    <row r="138" spans="1:7" ht="14">
      <c r="A138" s="22" t="s">
        <v>16534</v>
      </c>
      <c r="C138" s="4" t="str">
        <f ca="1">IFERROR(__xludf.DUMMYFUNCTION("""COMPUTED_VALUE"""),"C00009 ")</f>
        <v xml:space="preserve">C00009 </v>
      </c>
      <c r="D138" s="4" t="str">
        <f ca="1">IFERROR(__xludf.DUMMYFUNCTION("""COMPUTED_VALUE""")," C00013 ")</f>
        <v xml:space="preserve"> C00013 </v>
      </c>
      <c r="E138" s="4" t="str">
        <f ca="1">IFERROR(__xludf.DUMMYFUNCTION("""COMPUTED_VALUE""")," C05691")</f>
        <v xml:space="preserve"> C05691</v>
      </c>
      <c r="F138" s="4"/>
      <c r="G138" s="4"/>
    </row>
    <row r="139" spans="1:7" ht="14">
      <c r="A139" s="22" t="s">
        <v>16535</v>
      </c>
      <c r="C139" s="4" t="str">
        <f ca="1">IFERROR(__xludf.DUMMYFUNCTION("""COMPUTED_VALUE"""),"C00020 ")</f>
        <v xml:space="preserve">C00020 </v>
      </c>
      <c r="D139" s="4" t="str">
        <f ca="1">IFERROR(__xludf.DUMMYFUNCTION("""COMPUTED_VALUE""")," C00013 ")</f>
        <v xml:space="preserve"> C00013 </v>
      </c>
      <c r="E139" s="4" t="str">
        <f ca="1">IFERROR(__xludf.DUMMYFUNCTION("""COMPUTED_VALUE""")," C05336")</f>
        <v xml:space="preserve"> C05336</v>
      </c>
      <c r="F139" s="4"/>
      <c r="G139" s="4"/>
    </row>
    <row r="140" spans="1:7" ht="14">
      <c r="A140" s="22" t="s">
        <v>16536</v>
      </c>
      <c r="C140" s="4" t="str">
        <f ca="1">IFERROR(__xludf.DUMMYFUNCTION("""COMPUTED_VALUE"""),"C00008 ")</f>
        <v xml:space="preserve">C00008 </v>
      </c>
      <c r="D140" s="4" t="str">
        <f ca="1">IFERROR(__xludf.DUMMYFUNCTION("""COMPUTED_VALUE""")," C05378")</f>
        <v xml:space="preserve"> C05378</v>
      </c>
      <c r="E140" s="4"/>
      <c r="F140" s="4"/>
      <c r="G140" s="4"/>
    </row>
    <row r="141" spans="1:7" ht="12.5">
      <c r="A141" s="4" t="s">
        <v>12752</v>
      </c>
      <c r="C141" s="4" t="str">
        <f ca="1">IFERROR(__xludf.DUMMYFUNCTION("""COMPUTED_VALUE"""),"C00008 ")</f>
        <v xml:space="preserve">C00008 </v>
      </c>
      <c r="D141" s="4" t="str">
        <f ca="1">IFERROR(__xludf.DUMMYFUNCTION("""COMPUTED_VALUE""")," C00447")</f>
        <v xml:space="preserve"> C00447</v>
      </c>
      <c r="E141" s="4"/>
      <c r="F141" s="4"/>
      <c r="G141" s="4"/>
    </row>
    <row r="142" spans="1:7" ht="14">
      <c r="A142" s="22" t="s">
        <v>16537</v>
      </c>
      <c r="C142" s="4" t="str">
        <f ca="1">IFERROR(__xludf.DUMMYFUNCTION("""COMPUTED_VALUE"""),"C00536 ")</f>
        <v xml:space="preserve">C00536 </v>
      </c>
      <c r="D142" s="4" t="str">
        <f ca="1">IFERROR(__xludf.DUMMYFUNCTION("""COMPUTED_VALUE""")," C06508")</f>
        <v xml:space="preserve"> C06508</v>
      </c>
      <c r="E142" s="4"/>
      <c r="F142" s="4"/>
      <c r="G142" s="4"/>
    </row>
    <row r="143" spans="1:7" ht="14">
      <c r="A143" s="22" t="s">
        <v>16538</v>
      </c>
      <c r="C143" s="4" t="str">
        <f ca="1">IFERROR(__xludf.DUMMYFUNCTION("""COMPUTED_VALUE"""),"C00008 ")</f>
        <v xml:space="preserve">C00008 </v>
      </c>
      <c r="D143" s="4" t="str">
        <f ca="1">IFERROR(__xludf.DUMMYFUNCTION("""COMPUTED_VALUE""")," C00009 ")</f>
        <v xml:space="preserve"> C00009 </v>
      </c>
      <c r="E143" s="4" t="str">
        <f ca="1">IFERROR(__xludf.DUMMYFUNCTION("""COMPUTED_VALUE""")," C04702")</f>
        <v xml:space="preserve"> C04702</v>
      </c>
      <c r="F143" s="4"/>
      <c r="G143" s="4"/>
    </row>
    <row r="144" spans="1:7" ht="14">
      <c r="A144" s="22" t="s">
        <v>16539</v>
      </c>
      <c r="C144" s="4" t="str">
        <f ca="1">IFERROR(__xludf.DUMMYFUNCTION("""COMPUTED_VALUE"""),"C22160 ")</f>
        <v xml:space="preserve">C22160 </v>
      </c>
      <c r="D144" s="4" t="str">
        <f ca="1">IFERROR(__xludf.DUMMYFUNCTION("""COMPUTED_VALUE""")," C00020 ")</f>
        <v xml:space="preserve"> C00020 </v>
      </c>
      <c r="E144" s="4" t="str">
        <f ca="1">IFERROR(__xludf.DUMMYFUNCTION("""COMPUTED_VALUE""")," C00013")</f>
        <v xml:space="preserve"> C00013</v>
      </c>
      <c r="F144" s="4"/>
      <c r="G144" s="4"/>
    </row>
    <row r="145" spans="1:7" ht="14">
      <c r="A145" s="22" t="s">
        <v>16540</v>
      </c>
      <c r="C145" s="4" t="str">
        <f ca="1">IFERROR(__xludf.DUMMYFUNCTION("""COMPUTED_VALUE"""),"C00013 ")</f>
        <v xml:space="preserve">C00013 </v>
      </c>
      <c r="D145" s="4" t="str">
        <f ca="1">IFERROR(__xludf.DUMMYFUNCTION("""COMPUTED_VALUE""")," C16238")</f>
        <v xml:space="preserve"> C16238</v>
      </c>
      <c r="E145" s="4"/>
      <c r="F145" s="4"/>
      <c r="G145" s="4"/>
    </row>
    <row r="146" spans="1:7" ht="14">
      <c r="A146" s="22" t="s">
        <v>16541</v>
      </c>
      <c r="C146" s="4" t="str">
        <f ca="1">IFERROR(__xludf.DUMMYFUNCTION("""COMPUTED_VALUE"""),"C16237 ")</f>
        <v xml:space="preserve">C16237 </v>
      </c>
      <c r="D146" s="4" t="str">
        <f ca="1">IFERROR(__xludf.DUMMYFUNCTION("""COMPUTED_VALUE""")," C00020 ")</f>
        <v xml:space="preserve"> C00020 </v>
      </c>
      <c r="E146" s="4" t="str">
        <f ca="1">IFERROR(__xludf.DUMMYFUNCTION("""COMPUTED_VALUE""")," C00013")</f>
        <v xml:space="preserve"> C00013</v>
      </c>
      <c r="F146" s="4"/>
      <c r="G146" s="4"/>
    </row>
    <row r="147" spans="1:7" ht="14">
      <c r="A147" s="22" t="s">
        <v>16542</v>
      </c>
      <c r="C147" s="4" t="str">
        <f ca="1">IFERROR(__xludf.DUMMYFUNCTION("""COMPUTED_VALUE"""),"C02051 ")</f>
        <v xml:space="preserve">C02051 </v>
      </c>
      <c r="D147" s="4" t="str">
        <f ca="1">IFERROR(__xludf.DUMMYFUNCTION("""COMPUTED_VALUE""")," C00020 ")</f>
        <v xml:space="preserve"> C00020 </v>
      </c>
      <c r="E147" s="4" t="str">
        <f ca="1">IFERROR(__xludf.DUMMYFUNCTION("""COMPUTED_VALUE""")," C00013")</f>
        <v xml:space="preserve"> C00013</v>
      </c>
      <c r="F147" s="4"/>
      <c r="G147" s="4"/>
    </row>
    <row r="148" spans="1:7" ht="14">
      <c r="A148" s="22" t="s">
        <v>16543</v>
      </c>
      <c r="C148" s="4" t="str">
        <f ca="1">IFERROR(__xludf.DUMMYFUNCTION("""COMPUTED_VALUE"""),"C15972 ")</f>
        <v xml:space="preserve">C15972 </v>
      </c>
      <c r="D148" s="4" t="str">
        <f ca="1">IFERROR(__xludf.DUMMYFUNCTION("""COMPUTED_VALUE""")," C00020 ")</f>
        <v xml:space="preserve"> C00020 </v>
      </c>
      <c r="E148" s="4" t="str">
        <f ca="1">IFERROR(__xludf.DUMMYFUNCTION("""COMPUTED_VALUE""")," C00013")</f>
        <v xml:space="preserve"> C00013</v>
      </c>
      <c r="F148" s="4"/>
      <c r="G148" s="4"/>
    </row>
    <row r="149" spans="1:7" ht="14">
      <c r="A149" s="22" t="s">
        <v>16544</v>
      </c>
      <c r="C149" s="4" t="str">
        <f ca="1">IFERROR(__xludf.DUMMYFUNCTION("""COMPUTED_VALUE"""),"C00008 ")</f>
        <v xml:space="preserve">C00008 </v>
      </c>
      <c r="D149" s="4" t="str">
        <f ca="1">IFERROR(__xludf.DUMMYFUNCTION("""COMPUTED_VALUE""")," C21749")</f>
        <v xml:space="preserve"> C21749</v>
      </c>
      <c r="E149" s="4"/>
      <c r="F149" s="4"/>
      <c r="G149" s="4"/>
    </row>
    <row r="150" spans="1:7" ht="14">
      <c r="A150" s="22" t="s">
        <v>16545</v>
      </c>
      <c r="C150" s="4" t="str">
        <f ca="1">IFERROR(__xludf.DUMMYFUNCTION("""COMPUTED_VALUE"""),"C00008 ")</f>
        <v xml:space="preserve">C00008 </v>
      </c>
      <c r="D150" s="4" t="str">
        <f ca="1">IFERROR(__xludf.DUMMYFUNCTION("""COMPUTED_VALUE""")," C21751")</f>
        <v xml:space="preserve"> C21751</v>
      </c>
      <c r="E150" s="4"/>
      <c r="F150" s="4"/>
      <c r="G150" s="4"/>
    </row>
    <row r="151" spans="1:7" ht="14">
      <c r="A151" s="22" t="s">
        <v>16546</v>
      </c>
      <c r="C151" s="4" t="str">
        <f ca="1">IFERROR(__xludf.DUMMYFUNCTION("""COMPUTED_VALUE"""),"C00020 ")</f>
        <v xml:space="preserve">C00020 </v>
      </c>
      <c r="D151" s="4" t="str">
        <f ca="1">IFERROR(__xludf.DUMMYFUNCTION("""COMPUTED_VALUE""")," C00455 ")</f>
        <v xml:space="preserve"> C00455 </v>
      </c>
      <c r="E151" s="4" t="str">
        <f ca="1">IFERROR(__xludf.DUMMYFUNCTION("""COMPUTED_VALUE""")," C00039(n")</f>
        <v xml:space="preserve"> C00039(n</v>
      </c>
      <c r="F151" s="4" t="str">
        <f ca="1">IFERROR(__xludf.DUMMYFUNCTION("""COMPUTED_VALUE"""),"m)")</f>
        <v>m)</v>
      </c>
      <c r="G151" s="4"/>
    </row>
    <row r="152" spans="1:7" ht="14">
      <c r="A152" s="22" t="s">
        <v>16547</v>
      </c>
      <c r="C152" s="4" t="str">
        <f ca="1">IFERROR(__xludf.DUMMYFUNCTION("""COMPUTED_VALUE"""),"C00153 ")</f>
        <v xml:space="preserve">C00153 </v>
      </c>
      <c r="D152" s="4" t="str">
        <f ca="1">IFERROR(__xludf.DUMMYFUNCTION("""COMPUTED_VALUE""")," C02415 ")</f>
        <v xml:space="preserve"> C02415 </v>
      </c>
      <c r="E152" s="4" t="str">
        <f ca="1">IFERROR(__xludf.DUMMYFUNCTION("""COMPUTED_VALUE""")," C20658 ")</f>
        <v xml:space="preserve"> C20658 </v>
      </c>
      <c r="F152" s="4" t="str">
        <f ca="1">IFERROR(__xludf.DUMMYFUNCTION("""COMPUTED_VALUE""")," C00080")</f>
        <v xml:space="preserve"> C00080</v>
      </c>
      <c r="G152" s="4"/>
    </row>
    <row r="153" spans="1:7" ht="14">
      <c r="A153" s="22" t="s">
        <v>16548</v>
      </c>
      <c r="C153" s="4" t="str">
        <f ca="1">IFERROR(__xludf.DUMMYFUNCTION("""COMPUTED_VALUE"""),"C00153 ")</f>
        <v xml:space="preserve">C00153 </v>
      </c>
      <c r="D153" s="4" t="str">
        <f ca="1">IFERROR(__xludf.DUMMYFUNCTION("""COMPUTED_VALUE""")," C02188 ")</f>
        <v xml:space="preserve"> C02188 </v>
      </c>
      <c r="E153" s="4" t="str">
        <f ca="1">IFERROR(__xludf.DUMMYFUNCTION("""COMPUTED_VALUE""")," C20658 ")</f>
        <v xml:space="preserve"> C20658 </v>
      </c>
      <c r="F153" s="4" t="str">
        <f ca="1">IFERROR(__xludf.DUMMYFUNCTION("""COMPUTED_VALUE""")," C00080")</f>
        <v xml:space="preserve"> C00080</v>
      </c>
      <c r="G153" s="4"/>
    </row>
    <row r="154" spans="1:7" ht="14">
      <c r="A154" s="22" t="s">
        <v>16549</v>
      </c>
      <c r="C154" s="4" t="str">
        <f ca="1">IFERROR(__xludf.DUMMYFUNCTION("""COMPUTED_VALUE"""),"C00003 ")</f>
        <v xml:space="preserve">C00003 </v>
      </c>
      <c r="D154" s="4" t="str">
        <f ca="1">IFERROR(__xludf.DUMMYFUNCTION("""COMPUTED_VALUE""")," C00001 ")</f>
        <v xml:space="preserve"> C00001 </v>
      </c>
      <c r="E154" s="4" t="str">
        <f ca="1">IFERROR(__xludf.DUMMYFUNCTION("""COMPUTED_VALUE""")," C01335")</f>
        <v xml:space="preserve"> C01335</v>
      </c>
      <c r="F154" s="4"/>
      <c r="G154" s="4"/>
    </row>
    <row r="155" spans="1:7" ht="12.5">
      <c r="A155" s="4" t="s">
        <v>12635</v>
      </c>
      <c r="C155" s="4" t="str">
        <f ca="1">IFERROR(__xludf.DUMMYFUNCTION("""COMPUTED_VALUE"""),"C00002 ")</f>
        <v xml:space="preserve">C00002 </v>
      </c>
      <c r="D155" s="4" t="str">
        <f ca="1">IFERROR(__xludf.DUMMYFUNCTION("""COMPUTED_VALUE""")," C00073 ")</f>
        <v xml:space="preserve"> C00073 </v>
      </c>
      <c r="E155" s="4" t="str">
        <f ca="1">IFERROR(__xludf.DUMMYFUNCTION("""COMPUTED_VALUE""")," C00001")</f>
        <v xml:space="preserve"> C00001</v>
      </c>
      <c r="F155" s="4"/>
      <c r="G155" s="4"/>
    </row>
    <row r="156" spans="1:7" ht="14">
      <c r="A156" s="22" t="s">
        <v>16550</v>
      </c>
      <c r="C156" s="4" t="str">
        <f ca="1">IFERROR(__xludf.DUMMYFUNCTION("""COMPUTED_VALUE"""),"C00054 ")</f>
        <v xml:space="preserve">C00054 </v>
      </c>
      <c r="D156" s="4" t="str">
        <f ca="1">IFERROR(__xludf.DUMMYFUNCTION("""COMPUTED_VALUE""")," C00229")</f>
        <v xml:space="preserve"> C00229</v>
      </c>
      <c r="E156" s="4"/>
      <c r="F156" s="4"/>
      <c r="G156" s="4"/>
    </row>
    <row r="157" spans="1:7" ht="14">
      <c r="A157" s="22" t="s">
        <v>16551</v>
      </c>
      <c r="C157" s="4" t="str">
        <f ca="1">IFERROR(__xludf.DUMMYFUNCTION("""COMPUTED_VALUE"""),"C00148 ")</f>
        <v xml:space="preserve">C00148 </v>
      </c>
      <c r="D157" s="4" t="str">
        <f ca="1">IFERROR(__xludf.DUMMYFUNCTION("""COMPUTED_VALUE""")," C00012")</f>
        <v xml:space="preserve"> C00012</v>
      </c>
      <c r="E157" s="4"/>
      <c r="F157" s="4"/>
      <c r="G157" s="4"/>
    </row>
    <row r="158" spans="1:7" ht="14">
      <c r="A158" s="22" t="s">
        <v>16552</v>
      </c>
      <c r="C158" s="4" t="str">
        <f ca="1">IFERROR(__xludf.DUMMYFUNCTION("""COMPUTED_VALUE"""),"2 C00009")</f>
        <v>2 C00009</v>
      </c>
      <c r="D158" s="4"/>
      <c r="E158" s="4"/>
      <c r="F158" s="4"/>
      <c r="G158" s="4"/>
    </row>
    <row r="159" spans="1:7" ht="14">
      <c r="A159" s="27" t="s">
        <v>16553</v>
      </c>
      <c r="C159" s="4" t="str">
        <f ca="1">IFERROR(__xludf.DUMMYFUNCTION("""COMPUTED_VALUE"""),"C01563 ")</f>
        <v xml:space="preserve">C01563 </v>
      </c>
      <c r="D159" s="4" t="str">
        <f ca="1">IFERROR(__xludf.DUMMYFUNCTION("""COMPUTED_VALUE""")," C00009")</f>
        <v xml:space="preserve"> C00009</v>
      </c>
      <c r="E159" s="4"/>
      <c r="F159" s="4"/>
      <c r="G159" s="4"/>
    </row>
    <row r="160" spans="1:7" ht="14">
      <c r="A160" s="22" t="s">
        <v>16554</v>
      </c>
      <c r="C160" s="4" t="str">
        <f ca="1">IFERROR(__xludf.DUMMYFUNCTION("""COMPUTED_VALUE"""),"C00021")</f>
        <v>C00021</v>
      </c>
      <c r="D160" s="4"/>
      <c r="E160" s="4"/>
      <c r="F160" s="4"/>
      <c r="G160" s="4"/>
    </row>
    <row r="161" spans="1:7" ht="14">
      <c r="A161" s="25" t="s">
        <v>7966</v>
      </c>
      <c r="C161" s="4" t="str">
        <f ca="1">IFERROR(__xludf.DUMMYFUNCTION("""COMPUTED_VALUE"""),"C00021 ")</f>
        <v xml:space="preserve">C00021 </v>
      </c>
      <c r="D161" s="4" t="str">
        <f ca="1">IFERROR(__xludf.DUMMYFUNCTION("""COMPUTED_VALUE""")," C04153")</f>
        <v xml:space="preserve"> C04153</v>
      </c>
      <c r="E161" s="4"/>
      <c r="F161" s="4"/>
      <c r="G161" s="4"/>
    </row>
    <row r="162" spans="1:7" ht="14">
      <c r="A162" s="22" t="s">
        <v>16555</v>
      </c>
      <c r="C162" s="4" t="str">
        <f ca="1">IFERROR(__xludf.DUMMYFUNCTION("""COMPUTED_VALUE"""),"C00021 ")</f>
        <v xml:space="preserve">C00021 </v>
      </c>
      <c r="D162" s="4" t="str">
        <f ca="1">IFERROR(__xludf.DUMMYFUNCTION("""COMPUTED_VALUE""")," C03391")</f>
        <v xml:space="preserve"> C03391</v>
      </c>
      <c r="E162" s="4"/>
      <c r="F162" s="4"/>
      <c r="G162" s="4"/>
    </row>
    <row r="163" spans="1:7" ht="14">
      <c r="A163" s="22" t="s">
        <v>16556</v>
      </c>
      <c r="C163" s="4" t="str">
        <f ca="1">IFERROR(__xludf.DUMMYFUNCTION("""COMPUTED_VALUE"""),"C00021 ")</f>
        <v xml:space="preserve">C00021 </v>
      </c>
      <c r="D163" s="4" t="str">
        <f ca="1">IFERROR(__xludf.DUMMYFUNCTION("""COMPUTED_VALUE""")," C04157")</f>
        <v xml:space="preserve"> C04157</v>
      </c>
      <c r="E163" s="4"/>
      <c r="F163" s="4"/>
      <c r="G163" s="4"/>
    </row>
    <row r="164" spans="1:7" ht="14">
      <c r="A164" s="22" t="s">
        <v>16557</v>
      </c>
      <c r="C164" s="4" t="str">
        <f ca="1">IFERROR(__xludf.DUMMYFUNCTION("""COMPUTED_VALUE"""),"C00021 ")</f>
        <v xml:space="preserve">C00021 </v>
      </c>
      <c r="D164" s="4" t="str">
        <f ca="1">IFERROR(__xludf.DUMMYFUNCTION("""COMPUTED_VALUE""")," C04160")</f>
        <v xml:space="preserve"> C04160</v>
      </c>
      <c r="E164" s="4"/>
      <c r="F164" s="4"/>
      <c r="G164" s="4"/>
    </row>
    <row r="165" spans="1:7" ht="14">
      <c r="A165" s="22" t="s">
        <v>16558</v>
      </c>
      <c r="C165" s="4" t="str">
        <f ca="1">IFERROR(__xludf.DUMMYFUNCTION("""COMPUTED_VALUE"""),"C05198 ")</f>
        <v xml:space="preserve">C05198 </v>
      </c>
      <c r="D165" s="4" t="str">
        <f ca="1">IFERROR(__xludf.DUMMYFUNCTION("""COMPUTED_VALUE""")," C00073 ")</f>
        <v xml:space="preserve"> C00073 </v>
      </c>
      <c r="E165" s="4" t="str">
        <f ca="1">IFERROR(__xludf.DUMMYFUNCTION("""COMPUTED_VALUE""")," C05199 ")</f>
        <v xml:space="preserve"> C05199 </v>
      </c>
      <c r="F165" s="4" t="str">
        <f ca="1">IFERROR(__xludf.DUMMYFUNCTION("""COMPUTED_VALUE""")," C05312")</f>
        <v xml:space="preserve"> C05312</v>
      </c>
      <c r="G165" s="4"/>
    </row>
    <row r="166" spans="1:7" ht="14">
      <c r="A166" s="22" t="s">
        <v>16559</v>
      </c>
      <c r="C166" s="4" t="str">
        <f ca="1">IFERROR(__xludf.DUMMYFUNCTION("""COMPUTED_VALUE"""),"C00073 ")</f>
        <v xml:space="preserve">C00073 </v>
      </c>
      <c r="D166" s="4" t="str">
        <f ca="1">IFERROR(__xludf.DUMMYFUNCTION("""COMPUTED_VALUE""")," C00147 ")</f>
        <v xml:space="preserve"> C00147 </v>
      </c>
      <c r="E166" s="4" t="str">
        <f ca="1">IFERROR(__xludf.DUMMYFUNCTION("""COMPUTED_VALUE""")," C19647")</f>
        <v xml:space="preserve"> C19647</v>
      </c>
      <c r="F166" s="4"/>
      <c r="G166" s="4"/>
    </row>
    <row r="167" spans="1:7" ht="14">
      <c r="A167" s="22" t="s">
        <v>16560</v>
      </c>
      <c r="C167" s="4" t="str">
        <f ca="1">IFERROR(__xludf.DUMMYFUNCTION("""COMPUTED_VALUE"""),"C00021 ")</f>
        <v xml:space="preserve">C00021 </v>
      </c>
      <c r="D167" s="4" t="str">
        <f ca="1">IFERROR(__xludf.DUMMYFUNCTION("""COMPUTED_VALUE""")," C00390")</f>
        <v xml:space="preserve"> C00390</v>
      </c>
      <c r="E167" s="4"/>
      <c r="F167" s="4"/>
      <c r="G167" s="4"/>
    </row>
    <row r="168" spans="1:7" ht="14">
      <c r="A168" s="22" t="s">
        <v>16561</v>
      </c>
      <c r="C168" s="4" t="str">
        <f ca="1">IFERROR(__xludf.DUMMYFUNCTION("""COMPUTED_VALUE"""),"C00212 ")</f>
        <v xml:space="preserve">C00212 </v>
      </c>
      <c r="D168" s="4" t="str">
        <f ca="1">IFERROR(__xludf.DUMMYFUNCTION("""COMPUTED_VALUE""")," C00009")</f>
        <v xml:space="preserve"> C00009</v>
      </c>
      <c r="E168" s="4"/>
      <c r="F168" s="4"/>
      <c r="G168" s="4"/>
    </row>
    <row r="169" spans="1:7" ht="14">
      <c r="A169" s="22" t="s">
        <v>16562</v>
      </c>
      <c r="C169" s="4" t="str">
        <f ca="1">IFERROR(__xludf.DUMMYFUNCTION("""COMPUTED_VALUE"""),"C00147 ")</f>
        <v xml:space="preserve">C00147 </v>
      </c>
      <c r="D169" s="4" t="str">
        <f ca="1">IFERROR(__xludf.DUMMYFUNCTION("""COMPUTED_VALUE""")," C00119")</f>
        <v xml:space="preserve"> C00119</v>
      </c>
      <c r="E169" s="4"/>
      <c r="F169" s="4"/>
      <c r="G169" s="4"/>
    </row>
    <row r="170" spans="1:7" ht="12.5">
      <c r="A170" s="4" t="s">
        <v>12684</v>
      </c>
      <c r="C170" s="4" t="str">
        <f ca="1">IFERROR(__xludf.DUMMYFUNCTION("""COMPUTED_VALUE"""),"C03539 ")</f>
        <v xml:space="preserve">C03539 </v>
      </c>
      <c r="D170" s="4" t="str">
        <f ca="1">IFERROR(__xludf.DUMMYFUNCTION("""COMPUTED_VALUE""")," C00147")</f>
        <v xml:space="preserve"> C00147</v>
      </c>
      <c r="E170" s="4"/>
      <c r="F170" s="4"/>
      <c r="G170" s="4"/>
    </row>
    <row r="171" spans="1:7" ht="14">
      <c r="A171" s="22" t="s">
        <v>16563</v>
      </c>
      <c r="C171" s="4" t="str">
        <f ca="1">IFERROR(__xludf.DUMMYFUNCTION("""COMPUTED_VALUE"""),"C00227 ")</f>
        <v xml:space="preserve">C00227 </v>
      </c>
      <c r="D171" s="4" t="str">
        <f ca="1">IFERROR(__xludf.DUMMYFUNCTION("""COMPUTED_VALUE""")," C00027 ")</f>
        <v xml:space="preserve"> C00027 </v>
      </c>
      <c r="E171" s="4" t="str">
        <f ca="1">IFERROR(__xludf.DUMMYFUNCTION("""COMPUTED_VALUE""")," C00011")</f>
        <v xml:space="preserve"> C00011</v>
      </c>
      <c r="F171" s="4"/>
      <c r="G171" s="4"/>
    </row>
    <row r="172" spans="1:7" ht="14">
      <c r="A172" s="22" t="s">
        <v>16564</v>
      </c>
      <c r="C172" s="4" t="str">
        <f ca="1">IFERROR(__xludf.DUMMYFUNCTION("""COMPUTED_VALUE"""),"C05125 ")</f>
        <v xml:space="preserve">C05125 </v>
      </c>
      <c r="D172" s="4" t="str">
        <f ca="1">IFERROR(__xludf.DUMMYFUNCTION("""COMPUTED_VALUE""")," C00011")</f>
        <v xml:space="preserve"> C00011</v>
      </c>
      <c r="E172" s="4"/>
      <c r="F172" s="4"/>
      <c r="G172" s="4"/>
    </row>
    <row r="173" spans="1:7" ht="14">
      <c r="A173" s="22" t="s">
        <v>16565</v>
      </c>
      <c r="C173" s="4" t="str">
        <f ca="1">IFERROR(__xludf.DUMMYFUNCTION("""COMPUTED_VALUE"""),"C06006 ")</f>
        <v xml:space="preserve">C06006 </v>
      </c>
      <c r="D173" s="4" t="str">
        <f ca="1">IFERROR(__xludf.DUMMYFUNCTION("""COMPUTED_VALUE""")," C00011")</f>
        <v xml:space="preserve"> C00011</v>
      </c>
      <c r="E173" s="4"/>
      <c r="F173" s="4"/>
      <c r="G173" s="4"/>
    </row>
    <row r="174" spans="1:7" ht="14">
      <c r="A174" s="22" t="s">
        <v>16566</v>
      </c>
      <c r="C174" s="4" t="str">
        <f ca="1">IFERROR(__xludf.DUMMYFUNCTION("""COMPUTED_VALUE"""),"C00010 ")</f>
        <v xml:space="preserve">C00010 </v>
      </c>
      <c r="D174" s="4" t="str">
        <f ca="1">IFERROR(__xludf.DUMMYFUNCTION("""COMPUTED_VALUE""")," C00227")</f>
        <v xml:space="preserve"> C00227</v>
      </c>
      <c r="E174" s="4"/>
      <c r="F174" s="4"/>
      <c r="G174" s="4"/>
    </row>
    <row r="175" spans="1:7" ht="14">
      <c r="A175" s="22" t="s">
        <v>16567</v>
      </c>
      <c r="C175" s="4" t="str">
        <f ca="1">IFERROR(__xludf.DUMMYFUNCTION("""COMPUTED_VALUE"""),"C00010 ")</f>
        <v xml:space="preserve">C00010 </v>
      </c>
      <c r="D175" s="4" t="str">
        <f ca="1">IFERROR(__xludf.DUMMYFUNCTION("""COMPUTED_VALUE""")," C00022")</f>
        <v xml:space="preserve"> C00022</v>
      </c>
      <c r="E175" s="4"/>
      <c r="F175" s="4"/>
      <c r="G175" s="4"/>
    </row>
    <row r="176" spans="1:7" ht="14">
      <c r="A176" s="22" t="s">
        <v>16568</v>
      </c>
      <c r="C176" s="4" t="str">
        <f ca="1">IFERROR(__xludf.DUMMYFUNCTION("""COMPUTED_VALUE"""),"C00010 ")</f>
        <v xml:space="preserve">C00010 </v>
      </c>
      <c r="D176" s="4" t="str">
        <f ca="1">IFERROR(__xludf.DUMMYFUNCTION("""COMPUTED_VALUE""")," C05269")</f>
        <v xml:space="preserve"> C05269</v>
      </c>
      <c r="E176" s="4"/>
      <c r="F176" s="4"/>
      <c r="G176" s="4"/>
    </row>
    <row r="177" spans="1:7" ht="14">
      <c r="A177" s="22" t="s">
        <v>16569</v>
      </c>
      <c r="C177" s="4" t="str">
        <f ca="1">IFERROR(__xludf.DUMMYFUNCTION("""COMPUTED_VALUE"""),"C00033 ")</f>
        <v xml:space="preserve">C00033 </v>
      </c>
      <c r="D177" s="4" t="str">
        <f ca="1">IFERROR(__xludf.DUMMYFUNCTION("""COMPUTED_VALUE""")," C00566")</f>
        <v xml:space="preserve"> C00566</v>
      </c>
      <c r="E177" s="4"/>
      <c r="F177" s="4"/>
      <c r="G177" s="4"/>
    </row>
    <row r="178" spans="1:7" ht="14">
      <c r="A178" s="22" t="s">
        <v>16570</v>
      </c>
      <c r="C178" s="4" t="str">
        <f ca="1">IFERROR(__xludf.DUMMYFUNCTION("""COMPUTED_VALUE"""),"C05744 ")</f>
        <v xml:space="preserve">C05744 </v>
      </c>
      <c r="D178" s="4" t="str">
        <f ca="1">IFERROR(__xludf.DUMMYFUNCTION("""COMPUTED_VALUE""")," C00010 ")</f>
        <v xml:space="preserve"> C00010 </v>
      </c>
      <c r="E178" s="4" t="str">
        <f ca="1">IFERROR(__xludf.DUMMYFUNCTION("""COMPUTED_VALUE""")," C00011")</f>
        <v xml:space="preserve"> C00011</v>
      </c>
      <c r="F178" s="4"/>
      <c r="G178" s="4"/>
    </row>
    <row r="179" spans="1:7" ht="14">
      <c r="A179" s="22" t="s">
        <v>16571</v>
      </c>
      <c r="C179" s="4" t="str">
        <f ca="1">IFERROR(__xludf.DUMMYFUNCTION("""COMPUTED_VALUE"""),"C00010 ")</f>
        <v xml:space="preserve">C00010 </v>
      </c>
      <c r="D179" s="4" t="str">
        <f ca="1">IFERROR(__xludf.DUMMYFUNCTION("""COMPUTED_VALUE""")," C04341")</f>
        <v xml:space="preserve"> C04341</v>
      </c>
      <c r="E179" s="4"/>
      <c r="F179" s="4"/>
      <c r="G179" s="4"/>
    </row>
    <row r="180" spans="1:7" ht="14">
      <c r="A180" s="22" t="s">
        <v>16572</v>
      </c>
      <c r="C180" s="4" t="str">
        <f ca="1">IFERROR(__xludf.DUMMYFUNCTION("""COMPUTED_VALUE"""),"C00010 ")</f>
        <v xml:space="preserve">C00010 </v>
      </c>
      <c r="D180" s="4" t="str">
        <f ca="1">IFERROR(__xludf.DUMMYFUNCTION("""COMPUTED_VALUE""")," C04501")</f>
        <v xml:space="preserve"> C04501</v>
      </c>
      <c r="E180" s="4"/>
      <c r="F180" s="4"/>
      <c r="G180" s="4"/>
    </row>
    <row r="181" spans="1:7" ht="14">
      <c r="A181" s="22" t="s">
        <v>16573</v>
      </c>
      <c r="C181" s="4" t="str">
        <f ca="1">IFERROR(__xludf.DUMMYFUNCTION("""COMPUTED_VALUE"""),"C00217")</f>
        <v>C00217</v>
      </c>
      <c r="D181" s="4"/>
      <c r="E181" s="4"/>
      <c r="F181" s="4"/>
      <c r="G181" s="4"/>
    </row>
    <row r="182" spans="1:7" ht="12.5">
      <c r="A182" s="2" t="s">
        <v>16574</v>
      </c>
      <c r="C182" s="4" t="str">
        <f ca="1">IFERROR(__xludf.DUMMYFUNCTION("""COMPUTED_VALUE"""),"C00026 ")</f>
        <v xml:space="preserve">C00026 </v>
      </c>
      <c r="D182" s="4" t="str">
        <f ca="1">IFERROR(__xludf.DUMMYFUNCTION("""COMPUTED_VALUE""")," C00014 ")</f>
        <v xml:space="preserve"> C00014 </v>
      </c>
      <c r="E182" s="4" t="str">
        <f ca="1">IFERROR(__xludf.DUMMYFUNCTION("""COMPUTED_VALUE""")," C00005 ")</f>
        <v xml:space="preserve"> C00005 </v>
      </c>
      <c r="F182" s="4" t="str">
        <f ca="1">IFERROR(__xludf.DUMMYFUNCTION("""COMPUTED_VALUE""")," C00080")</f>
        <v xml:space="preserve"> C00080</v>
      </c>
      <c r="G182" s="4"/>
    </row>
    <row r="183" spans="1:7" ht="14">
      <c r="A183" s="22" t="s">
        <v>16575</v>
      </c>
      <c r="C183" s="4" t="str">
        <f ca="1">IFERROR(__xludf.DUMMYFUNCTION("""COMPUTED_VALUE"""),"C00052")</f>
        <v>C00052</v>
      </c>
      <c r="D183" s="4"/>
      <c r="E183" s="4"/>
      <c r="F183" s="4"/>
      <c r="G183" s="4"/>
    </row>
    <row r="184" spans="1:7" ht="12.5">
      <c r="A184" s="2" t="s">
        <v>16576</v>
      </c>
      <c r="C184" s="4" t="str">
        <f ca="1">IFERROR(__xludf.DUMMYFUNCTION("""COMPUTED_VALUE"""),"C00103 ")</f>
        <v xml:space="preserve">C00103 </v>
      </c>
      <c r="D184" s="4" t="str">
        <f ca="1">IFERROR(__xludf.DUMMYFUNCTION("""COMPUTED_VALUE""")," C00052")</f>
        <v xml:space="preserve"> C00052</v>
      </c>
      <c r="E184" s="4"/>
      <c r="F184" s="4"/>
      <c r="G184" s="4"/>
    </row>
    <row r="185" spans="1:7" ht="14">
      <c r="A185" s="22" t="s">
        <v>16577</v>
      </c>
      <c r="C185" s="4" t="str">
        <f ca="1">IFERROR(__xludf.DUMMYFUNCTION("""COMPUTED_VALUE"""),"C00022 ")</f>
        <v xml:space="preserve">C00022 </v>
      </c>
      <c r="D185" s="4" t="str">
        <f ca="1">IFERROR(__xludf.DUMMYFUNCTION("""COMPUTED_VALUE""")," C00011")</f>
        <v xml:space="preserve"> C00011</v>
      </c>
      <c r="E185" s="4"/>
      <c r="F185" s="4"/>
      <c r="G185" s="4"/>
    </row>
    <row r="186" spans="1:7" ht="14">
      <c r="A186" s="22" t="s">
        <v>16578</v>
      </c>
      <c r="C186" s="4" t="str">
        <f ca="1">IFERROR(__xludf.DUMMYFUNCTION("""COMPUTED_VALUE"""),"C00010 ")</f>
        <v xml:space="preserve">C00010 </v>
      </c>
      <c r="D186" s="4" t="str">
        <f ca="1">IFERROR(__xludf.DUMMYFUNCTION("""COMPUTED_VALUE""")," C00060")</f>
        <v xml:space="preserve"> C00060</v>
      </c>
      <c r="E186" s="4"/>
      <c r="F186" s="4"/>
      <c r="G186" s="4"/>
    </row>
    <row r="187" spans="1:7" ht="14">
      <c r="A187" s="22" t="s">
        <v>16579</v>
      </c>
      <c r="C187" s="4" t="str">
        <f ca="1">IFERROR(__xludf.DUMMYFUNCTION("""COMPUTED_VALUE"""),"C00010 ")</f>
        <v xml:space="preserve">C00010 </v>
      </c>
      <c r="D187" s="4" t="str">
        <f ca="1">IFERROR(__xludf.DUMMYFUNCTION("""COMPUTED_VALUE""")," C00264")</f>
        <v xml:space="preserve"> C00264</v>
      </c>
      <c r="E187" s="4"/>
      <c r="F187" s="4"/>
      <c r="G187" s="4"/>
    </row>
    <row r="188" spans="1:7" ht="14">
      <c r="A188" s="22" t="s">
        <v>16580</v>
      </c>
      <c r="C188" s="4" t="str">
        <f ca="1">IFERROR(__xludf.DUMMYFUNCTION("""COMPUTED_VALUE"""),"C00133")</f>
        <v>C00133</v>
      </c>
      <c r="D188" s="4"/>
      <c r="E188" s="4"/>
      <c r="F188" s="4"/>
      <c r="G188" s="4"/>
    </row>
    <row r="189" spans="1:7" ht="12.5">
      <c r="A189" s="2" t="s">
        <v>16581</v>
      </c>
      <c r="C189" s="4" t="str">
        <f ca="1">IFERROR(__xludf.DUMMYFUNCTION("""COMPUTED_VALUE"""),"C00203")</f>
        <v>C00203</v>
      </c>
      <c r="D189" s="4"/>
      <c r="E189" s="4"/>
      <c r="F189" s="4"/>
      <c r="G189" s="4"/>
    </row>
    <row r="190" spans="1:7" ht="12.5">
      <c r="A190" s="2" t="s">
        <v>16582</v>
      </c>
      <c r="C190" s="4" t="str">
        <f ca="1">IFERROR(__xludf.DUMMYFUNCTION("""COMPUTED_VALUE"""),"C00035 ")</f>
        <v xml:space="preserve">C00035 </v>
      </c>
      <c r="D190" s="4" t="str">
        <f ca="1">IFERROR(__xludf.DUMMYFUNCTION("""COMPUTED_VALUE""")," C00074")</f>
        <v xml:space="preserve"> C00074</v>
      </c>
      <c r="E190" s="4"/>
      <c r="F190" s="4"/>
      <c r="G190" s="4"/>
    </row>
    <row r="191" spans="1:7" ht="14">
      <c r="A191" s="22" t="s">
        <v>16583</v>
      </c>
      <c r="C191" s="4" t="str">
        <f ca="1">IFERROR(__xludf.DUMMYFUNCTION("""COMPUTED_VALUE"""),"C00013 ")</f>
        <v xml:space="preserve">C00013 </v>
      </c>
      <c r="D191" s="4" t="str">
        <f ca="1">IFERROR(__xludf.DUMMYFUNCTION("""COMPUTED_VALUE""")," C00046")</f>
        <v xml:space="preserve"> C00046</v>
      </c>
      <c r="E191" s="4"/>
      <c r="F191" s="4"/>
      <c r="G191" s="4"/>
    </row>
    <row r="192" spans="1:7" ht="14">
      <c r="A192" s="22" t="s">
        <v>16584</v>
      </c>
      <c r="C192" s="4" t="str">
        <f ca="1">IFERROR(__xludf.DUMMYFUNCTION("""COMPUTED_VALUE"""),"C00035 ")</f>
        <v xml:space="preserve">C00035 </v>
      </c>
      <c r="D192" s="4" t="str">
        <f ca="1">IFERROR(__xludf.DUMMYFUNCTION("""COMPUTED_VALUE""")," C00009 ")</f>
        <v xml:space="preserve"> C00009 </v>
      </c>
      <c r="E192" s="4" t="str">
        <f ca="1">IFERROR(__xludf.DUMMYFUNCTION("""COMPUTED_VALUE""")," C03794")</f>
        <v xml:space="preserve"> C03794</v>
      </c>
      <c r="F192" s="4"/>
      <c r="G192" s="4"/>
    </row>
    <row r="193" spans="1:7" ht="14">
      <c r="A193" s="22" t="s">
        <v>16585</v>
      </c>
      <c r="C193" s="4" t="str">
        <f ca="1">IFERROR(__xludf.DUMMYFUNCTION("""COMPUTED_VALUE"""),"C00035 ")</f>
        <v xml:space="preserve">C00035 </v>
      </c>
      <c r="D193" s="4" t="str">
        <f ca="1">IFERROR(__xludf.DUMMYFUNCTION("""COMPUTED_VALUE""")," C00105")</f>
        <v xml:space="preserve"> C00105</v>
      </c>
      <c r="E193" s="4"/>
      <c r="F193" s="4"/>
      <c r="G193" s="4"/>
    </row>
    <row r="194" spans="1:7" ht="14">
      <c r="A194" s="22" t="s">
        <v>16586</v>
      </c>
      <c r="C194" s="4" t="str">
        <f ca="1">IFERROR(__xludf.DUMMYFUNCTION("""COMPUTED_VALUE"""),"C00035 ")</f>
        <v xml:space="preserve">C00035 </v>
      </c>
      <c r="D194" s="4" t="str">
        <f ca="1">IFERROR(__xludf.DUMMYFUNCTION("""COMPUTED_VALUE""")," C00055")</f>
        <v xml:space="preserve"> C00055</v>
      </c>
      <c r="E194" s="4"/>
      <c r="F194" s="4"/>
      <c r="G194" s="4"/>
    </row>
    <row r="195" spans="1:7" ht="14">
      <c r="A195" s="22" t="s">
        <v>16587</v>
      </c>
      <c r="C195" s="4" t="str">
        <f ca="1">IFERROR(__xludf.DUMMYFUNCTION("""COMPUTED_VALUE"""),"C00041 ")</f>
        <v xml:space="preserve">C00041 </v>
      </c>
      <c r="D195" s="4" t="str">
        <f ca="1">IFERROR(__xludf.DUMMYFUNCTION("""COMPUTED_VALUE""")," C00011")</f>
        <v xml:space="preserve"> C00011</v>
      </c>
      <c r="E195" s="4"/>
      <c r="F195" s="4"/>
      <c r="G195" s="4"/>
    </row>
    <row r="196" spans="1:7" ht="14">
      <c r="A196" s="22" t="s">
        <v>16588</v>
      </c>
      <c r="C196" s="4" t="str">
        <f ca="1">IFERROR(__xludf.DUMMYFUNCTION("""COMPUTED_VALUE"""),"C03733")</f>
        <v>C03733</v>
      </c>
      <c r="D196" s="4"/>
      <c r="E196" s="4"/>
      <c r="F196" s="4"/>
      <c r="G196" s="4"/>
    </row>
    <row r="197" spans="1:7" ht="12.5">
      <c r="A197" s="2" t="s">
        <v>16589</v>
      </c>
      <c r="C197" s="4" t="str">
        <f ca="1">IFERROR(__xludf.DUMMYFUNCTION("""COMPUTED_VALUE"""),"C00224 ")</f>
        <v xml:space="preserve">C00224 </v>
      </c>
      <c r="D197" s="4" t="str">
        <f ca="1">IFERROR(__xludf.DUMMYFUNCTION("""COMPUTED_VALUE""")," C00009")</f>
        <v xml:space="preserve"> C00009</v>
      </c>
      <c r="E197" s="4"/>
      <c r="F197" s="4"/>
      <c r="G197" s="4"/>
    </row>
    <row r="198" spans="1:7" ht="14">
      <c r="A198" s="22" t="s">
        <v>16590</v>
      </c>
      <c r="C198" s="4" t="str">
        <f ca="1">IFERROR(__xludf.DUMMYFUNCTION("""COMPUTED_VALUE"""),"C00020 ")</f>
        <v xml:space="preserve">C00020 </v>
      </c>
      <c r="D198" s="4" t="str">
        <f ca="1">IFERROR(__xludf.DUMMYFUNCTION("""COMPUTED_VALUE""")," C00009")</f>
        <v xml:space="preserve"> C00009</v>
      </c>
      <c r="E198" s="4"/>
      <c r="F198" s="4"/>
      <c r="G198" s="4"/>
    </row>
    <row r="199" spans="1:7" ht="14">
      <c r="A199" s="22" t="s">
        <v>16591</v>
      </c>
      <c r="C199" s="4" t="str">
        <f ca="1">IFERROR(__xludf.DUMMYFUNCTION("""COMPUTED_VALUE"""),"C00475 ")</f>
        <v xml:space="preserve">C00475 </v>
      </c>
      <c r="D199" s="4" t="str">
        <f ca="1">IFERROR(__xludf.DUMMYFUNCTION("""COMPUTED_VALUE""")," C00009")</f>
        <v xml:space="preserve"> C00009</v>
      </c>
      <c r="E199" s="4"/>
      <c r="F199" s="4"/>
      <c r="G199" s="4"/>
    </row>
    <row r="200" spans="1:7" ht="14">
      <c r="A200" s="22" t="s">
        <v>16592</v>
      </c>
      <c r="C200" s="4" t="str">
        <f ca="1">IFERROR(__xludf.DUMMYFUNCTION("""COMPUTED_VALUE"""),"C00112 ")</f>
        <v xml:space="preserve">C00112 </v>
      </c>
      <c r="D200" s="4" t="str">
        <f ca="1">IFERROR(__xludf.DUMMYFUNCTION("""COMPUTED_VALUE""")," C00074")</f>
        <v xml:space="preserve"> C00074</v>
      </c>
      <c r="E200" s="4"/>
      <c r="F200" s="4"/>
      <c r="G200" s="4"/>
    </row>
    <row r="201" spans="1:7" ht="14">
      <c r="A201" s="22" t="s">
        <v>16593</v>
      </c>
      <c r="C201" s="4" t="str">
        <f ca="1">IFERROR(__xludf.DUMMYFUNCTION("""COMPUTED_VALUE"""),"C00013 ")</f>
        <v xml:space="preserve">C00013 </v>
      </c>
      <c r="D201" s="4" t="str">
        <f ca="1">IFERROR(__xludf.DUMMYFUNCTION("""COMPUTED_VALUE""")," C00046")</f>
        <v xml:space="preserve"> C00046</v>
      </c>
      <c r="E201" s="4"/>
      <c r="F201" s="4"/>
      <c r="G201" s="4"/>
    </row>
    <row r="202" spans="1:7" ht="14">
      <c r="A202" s="22" t="s">
        <v>16594</v>
      </c>
      <c r="C202" s="4" t="str">
        <f ca="1">IFERROR(__xludf.DUMMYFUNCTION("""COMPUTED_VALUE"""),"C00112 ")</f>
        <v xml:space="preserve">C00112 </v>
      </c>
      <c r="D202" s="4" t="str">
        <f ca="1">IFERROR(__xludf.DUMMYFUNCTION("""COMPUTED_VALUE""")," C00354")</f>
        <v xml:space="preserve"> C00354</v>
      </c>
      <c r="E202" s="4"/>
      <c r="F202" s="4"/>
      <c r="G202" s="4"/>
    </row>
    <row r="203" spans="1:7" ht="12.5">
      <c r="A203" s="4" t="s">
        <v>12758</v>
      </c>
      <c r="C203" s="4" t="str">
        <f ca="1">IFERROR(__xludf.DUMMYFUNCTION("""COMPUTED_VALUE"""),"C00112 ")</f>
        <v xml:space="preserve">C00112 </v>
      </c>
      <c r="D203" s="4" t="str">
        <f ca="1">IFERROR(__xludf.DUMMYFUNCTION("""COMPUTED_VALUE""")," C03785")</f>
        <v xml:space="preserve"> C03785</v>
      </c>
      <c r="E203" s="4"/>
      <c r="F203" s="4"/>
      <c r="G203" s="4"/>
    </row>
    <row r="204" spans="1:7" ht="12.5">
      <c r="A204" s="4" t="s">
        <v>12768</v>
      </c>
      <c r="C204" s="4" t="str">
        <f ca="1">IFERROR(__xludf.DUMMYFUNCTION("""COMPUTED_VALUE"""),"C00055 ")</f>
        <v xml:space="preserve">C00055 </v>
      </c>
      <c r="D204" s="4" t="str">
        <f ca="1">IFERROR(__xludf.DUMMYFUNCTION("""COMPUTED_VALUE""")," C00013 ")</f>
        <v xml:space="preserve"> C00013 </v>
      </c>
      <c r="E204" s="4" t="str">
        <f ca="1">IFERROR(__xludf.DUMMYFUNCTION("""COMPUTED_VALUE""")," C04352")</f>
        <v xml:space="preserve"> C04352</v>
      </c>
      <c r="F204" s="4"/>
      <c r="G204" s="4"/>
    </row>
    <row r="205" spans="1:7" ht="14">
      <c r="A205" s="22" t="s">
        <v>16595</v>
      </c>
      <c r="C205" s="4" t="str">
        <f ca="1">IFERROR(__xludf.DUMMYFUNCTION("""COMPUTED_VALUE"""),"C00025 ")</f>
        <v xml:space="preserve">C00025 </v>
      </c>
      <c r="D205" s="4" t="str">
        <f ca="1">IFERROR(__xludf.DUMMYFUNCTION("""COMPUTED_VALUE""")," C00014")</f>
        <v xml:space="preserve"> C00014</v>
      </c>
      <c r="E205" s="4"/>
      <c r="F205" s="4"/>
      <c r="G205" s="4"/>
    </row>
    <row r="206" spans="1:7" ht="14">
      <c r="A206" s="22" t="s">
        <v>16596</v>
      </c>
      <c r="C206" s="4" t="str">
        <f ca="1">IFERROR(__xludf.DUMMYFUNCTION("""COMPUTED_VALUE"""),"C00025 ")</f>
        <v xml:space="preserve">C00025 </v>
      </c>
      <c r="D206" s="4" t="str">
        <f ca="1">IFERROR(__xludf.DUMMYFUNCTION("""COMPUTED_VALUE""")," C00352")</f>
        <v xml:space="preserve"> C00352</v>
      </c>
      <c r="E206" s="4"/>
      <c r="F206" s="4"/>
      <c r="G206" s="4"/>
    </row>
    <row r="207" spans="1:7" ht="12.5">
      <c r="A207" s="4" t="s">
        <v>12726</v>
      </c>
      <c r="C207" s="4" t="str">
        <f ca="1">IFERROR(__xludf.DUMMYFUNCTION("""COMPUTED_VALUE"""),"C00022 ")</f>
        <v xml:space="preserve">C00022 </v>
      </c>
      <c r="D207" s="4" t="str">
        <f ca="1">IFERROR(__xludf.DUMMYFUNCTION("""COMPUTED_VALUE""")," C00014")</f>
        <v xml:space="preserve"> C00014</v>
      </c>
      <c r="E207" s="4"/>
      <c r="F207" s="4"/>
      <c r="G207" s="4"/>
    </row>
    <row r="208" spans="1:7" ht="14">
      <c r="A208" s="22" t="s">
        <v>16597</v>
      </c>
      <c r="C208" s="4" t="str">
        <f ca="1">IFERROR(__xludf.DUMMYFUNCTION("""COMPUTED_VALUE"""),"C02218 ")</f>
        <v xml:space="preserve">C02218 </v>
      </c>
      <c r="D208" s="4" t="str">
        <f ca="1">IFERROR(__xludf.DUMMYFUNCTION("""COMPUTED_VALUE""")," C00001")</f>
        <v xml:space="preserve"> C00001</v>
      </c>
      <c r="E208" s="4"/>
      <c r="F208" s="4"/>
      <c r="G208" s="4"/>
    </row>
    <row r="209" spans="1:7" ht="14">
      <c r="A209" s="22" t="s">
        <v>16598</v>
      </c>
      <c r="C209" s="4" t="str">
        <f ca="1">IFERROR(__xludf.DUMMYFUNCTION("""COMPUTED_VALUE"""),"C00078 ")</f>
        <v xml:space="preserve">C00078 </v>
      </c>
      <c r="D209" s="4" t="str">
        <f ca="1">IFERROR(__xludf.DUMMYFUNCTION("""COMPUTED_VALUE""")," C00001")</f>
        <v xml:space="preserve"> C00001</v>
      </c>
      <c r="E209" s="4"/>
      <c r="F209" s="4"/>
      <c r="G209" s="4"/>
    </row>
    <row r="210" spans="1:7" ht="14">
      <c r="A210" s="22" t="s">
        <v>16599</v>
      </c>
      <c r="C210" s="4" t="str">
        <f ca="1">IFERROR(__xludf.DUMMYFUNCTION("""COMPUTED_VALUE"""),"C04377 ")</f>
        <v xml:space="preserve">C04377 </v>
      </c>
      <c r="D210" s="4" t="str">
        <f ca="1">IFERROR(__xludf.DUMMYFUNCTION("""COMPUTED_VALUE""")," C00037 ")</f>
        <v xml:space="preserve"> C00037 </v>
      </c>
      <c r="E210" s="4" t="str">
        <f ca="1">IFERROR(__xludf.DUMMYFUNCTION("""COMPUTED_VALUE""")," C00001")</f>
        <v xml:space="preserve"> C00001</v>
      </c>
      <c r="F210" s="4"/>
      <c r="G210" s="4"/>
    </row>
    <row r="211" spans="1:7" ht="14">
      <c r="A211" s="22" t="s">
        <v>16600</v>
      </c>
      <c r="C211" s="4" t="str">
        <f ca="1">IFERROR(__xludf.DUMMYFUNCTION("""COMPUTED_VALUE"""),"C00078 ")</f>
        <v xml:space="preserve">C00078 </v>
      </c>
      <c r="D211" s="4" t="str">
        <f ca="1">IFERROR(__xludf.DUMMYFUNCTION("""COMPUTED_VALUE""")," C00118 ")</f>
        <v xml:space="preserve"> C00118 </v>
      </c>
      <c r="E211" s="4" t="str">
        <f ca="1">IFERROR(__xludf.DUMMYFUNCTION("""COMPUTED_VALUE""")," C00001")</f>
        <v xml:space="preserve"> C00001</v>
      </c>
      <c r="F211" s="4"/>
      <c r="G211" s="4"/>
    </row>
    <row r="212" spans="1:7" ht="14">
      <c r="A212" s="22" t="s">
        <v>16601</v>
      </c>
      <c r="C212" s="4" t="str">
        <f ca="1">IFERROR(__xludf.DUMMYFUNCTION("""COMPUTED_VALUE"""),"C03028 ")</f>
        <v xml:space="preserve">C03028 </v>
      </c>
      <c r="D212" s="4" t="str">
        <f ca="1">IFERROR(__xludf.DUMMYFUNCTION("""COMPUTED_VALUE""")," C00020")</f>
        <v xml:space="preserve"> C00020</v>
      </c>
      <c r="E212" s="4"/>
      <c r="F212" s="4"/>
      <c r="G212" s="4"/>
    </row>
    <row r="213" spans="1:7" ht="14">
      <c r="A213" s="22" t="s">
        <v>16602</v>
      </c>
      <c r="C213" s="4" t="str">
        <f ca="1">IFERROR(__xludf.DUMMYFUNCTION("""COMPUTED_VALUE"""),"C15999 ")</f>
        <v xml:space="preserve">C15999 </v>
      </c>
      <c r="D213" s="4" t="str">
        <f ca="1">IFERROR(__xludf.DUMMYFUNCTION("""COMPUTED_VALUE""")," C00342")</f>
        <v xml:space="preserve"> C00342</v>
      </c>
      <c r="E213" s="4"/>
      <c r="F213" s="4"/>
      <c r="G213" s="4"/>
    </row>
    <row r="214" spans="1:7" ht="14">
      <c r="A214" s="22" t="s">
        <v>16603</v>
      </c>
      <c r="C214" s="4" t="str">
        <f ca="1">IFERROR(__xludf.DUMMYFUNCTION("""COMPUTED_VALUE"""),"C04631 ")</f>
        <v xml:space="preserve">C04631 </v>
      </c>
      <c r="D214" s="4" t="str">
        <f ca="1">IFERROR(__xludf.DUMMYFUNCTION("""COMPUTED_VALUE""")," C00009")</f>
        <v xml:space="preserve"> C00009</v>
      </c>
      <c r="E214" s="4"/>
      <c r="F214" s="4"/>
      <c r="G214" s="4"/>
    </row>
    <row r="215" spans="1:7" ht="14">
      <c r="A215" s="22" t="s">
        <v>16604</v>
      </c>
      <c r="C215" s="4" t="str">
        <f ca="1">IFERROR(__xludf.DUMMYFUNCTION("""COMPUTED_VALUE"""),"C00022 ")</f>
        <v xml:space="preserve">C00022 </v>
      </c>
      <c r="D215" s="4" t="str">
        <f ca="1">IFERROR(__xludf.DUMMYFUNCTION("""COMPUTED_VALUE""")," C00111")</f>
        <v xml:space="preserve"> C00111</v>
      </c>
      <c r="E215" s="4"/>
      <c r="F215" s="4"/>
      <c r="G215" s="4"/>
    </row>
    <row r="216" spans="1:7" ht="14">
      <c r="A216" s="22" t="s">
        <v>16605</v>
      </c>
      <c r="C216" s="4" t="str">
        <f ca="1">IFERROR(__xludf.DUMMYFUNCTION("""COMPUTED_VALUE"""),"C00022 ")</f>
        <v xml:space="preserve">C00022 </v>
      </c>
      <c r="D216" s="4" t="str">
        <f ca="1">IFERROR(__xludf.DUMMYFUNCTION("""COMPUTED_VALUE""")," C04261")</f>
        <v xml:space="preserve"> C04261</v>
      </c>
      <c r="E216" s="4"/>
      <c r="F216" s="4"/>
      <c r="G216" s="4"/>
    </row>
    <row r="217" spans="1:7" ht="14">
      <c r="A217" s="22" t="s">
        <v>16606</v>
      </c>
      <c r="C217" s="4" t="str">
        <f ca="1">IFERROR(__xludf.DUMMYFUNCTION("""COMPUTED_VALUE"""),"C00015 ")</f>
        <v xml:space="preserve">C00015 </v>
      </c>
      <c r="D217" s="4" t="str">
        <f ca="1">IFERROR(__xludf.DUMMYFUNCTION("""COMPUTED_VALUE""")," C00074")</f>
        <v xml:space="preserve"> C00074</v>
      </c>
      <c r="E217" s="4"/>
      <c r="F217" s="4"/>
      <c r="G217" s="4"/>
    </row>
    <row r="218" spans="1:7" ht="14">
      <c r="A218" s="22" t="s">
        <v>16607</v>
      </c>
      <c r="C218" s="4" t="str">
        <f ca="1">IFERROR(__xludf.DUMMYFUNCTION("""COMPUTED_VALUE"""),"C00013 ")</f>
        <v xml:space="preserve">C00013 </v>
      </c>
      <c r="D218" s="4" t="str">
        <f ca="1">IFERROR(__xludf.DUMMYFUNCTION("""COMPUTED_VALUE""")," C00046")</f>
        <v xml:space="preserve"> C00046</v>
      </c>
      <c r="E218" s="4"/>
      <c r="F218" s="4"/>
      <c r="G218" s="4"/>
    </row>
    <row r="219" spans="1:7" ht="14">
      <c r="A219" s="22" t="s">
        <v>16608</v>
      </c>
      <c r="C219" s="4" t="str">
        <f ca="1">IFERROR(__xludf.DUMMYFUNCTION("""COMPUTED_VALUE"""),"C00015 ")</f>
        <v xml:space="preserve">C00015 </v>
      </c>
      <c r="D219" s="4" t="str">
        <f ca="1">IFERROR(__xludf.DUMMYFUNCTION("""COMPUTED_VALUE""")," C00354")</f>
        <v xml:space="preserve"> C00354</v>
      </c>
      <c r="E219" s="4"/>
      <c r="F219" s="4"/>
      <c r="G219" s="4"/>
    </row>
    <row r="220" spans="1:7" ht="12.5">
      <c r="A220" s="4" t="s">
        <v>12762</v>
      </c>
      <c r="C220" s="4" t="str">
        <f ca="1">IFERROR(__xludf.DUMMYFUNCTION("""COMPUTED_VALUE"""),"C00013 ")</f>
        <v xml:space="preserve">C00013 </v>
      </c>
      <c r="D220" s="4" t="str">
        <f ca="1">IFERROR(__xludf.DUMMYFUNCTION("""COMPUTED_VALUE""")," C00029")</f>
        <v xml:space="preserve"> C00029</v>
      </c>
      <c r="E220" s="4"/>
      <c r="F220" s="4"/>
      <c r="G220" s="4"/>
    </row>
    <row r="221" spans="1:7" ht="14">
      <c r="A221" s="22" t="s">
        <v>16609</v>
      </c>
      <c r="C221" s="4" t="str">
        <f ca="1">IFERROR(__xludf.DUMMYFUNCTION("""COMPUTED_VALUE"""),"C00015 ")</f>
        <v xml:space="preserve">C00015 </v>
      </c>
      <c r="D221" s="4" t="str">
        <f ca="1">IFERROR(__xludf.DUMMYFUNCTION("""COMPUTED_VALUE""")," C03785")</f>
        <v xml:space="preserve"> C03785</v>
      </c>
      <c r="E221" s="4"/>
      <c r="F221" s="4"/>
      <c r="G221" s="4"/>
    </row>
    <row r="222" spans="1:7" ht="12.5">
      <c r="A222" s="4" t="s">
        <v>12772</v>
      </c>
      <c r="C222" s="4" t="str">
        <f ca="1">IFERROR(__xludf.DUMMYFUNCTION("""COMPUTED_VALUE"""),"C00013 ")</f>
        <v xml:space="preserve">C00013 </v>
      </c>
      <c r="D222" s="4" t="str">
        <f ca="1">IFERROR(__xludf.DUMMYFUNCTION("""COMPUTED_VALUE""")," C00043")</f>
        <v xml:space="preserve"> C00043</v>
      </c>
      <c r="E222" s="4"/>
      <c r="F222" s="4"/>
      <c r="G222" s="4"/>
    </row>
    <row r="223" spans="1:7" ht="14">
      <c r="A223" s="22" t="s">
        <v>16610</v>
      </c>
      <c r="C223" s="4" t="str">
        <f ca="1">IFERROR(__xludf.DUMMYFUNCTION("""COMPUTED_VALUE"""),"C00166 ")</f>
        <v xml:space="preserve">C00166 </v>
      </c>
      <c r="D223" s="4" t="str">
        <f ca="1">IFERROR(__xludf.DUMMYFUNCTION("""COMPUTED_VALUE""")," C00025")</f>
        <v xml:space="preserve"> C00025</v>
      </c>
      <c r="E223" s="4"/>
      <c r="F223" s="4"/>
      <c r="G223" s="4"/>
    </row>
    <row r="224" spans="1:7" ht="14">
      <c r="A224" s="22" t="s">
        <v>16611</v>
      </c>
      <c r="C224" s="4" t="str">
        <f ca="1">IFERROR(__xludf.DUMMYFUNCTION("""COMPUTED_VALUE"""),"C00104 ")</f>
        <v xml:space="preserve">C00104 </v>
      </c>
      <c r="D224" s="4" t="str">
        <f ca="1">IFERROR(__xludf.DUMMYFUNCTION("""COMPUTED_VALUE""")," C00074")</f>
        <v xml:space="preserve"> C00074</v>
      </c>
      <c r="E224" s="4"/>
      <c r="F224" s="4"/>
      <c r="G224" s="4"/>
    </row>
    <row r="225" spans="1:7" ht="14">
      <c r="A225" s="22" t="s">
        <v>16612</v>
      </c>
      <c r="C225" s="4" t="str">
        <f ca="1">IFERROR(__xludf.DUMMYFUNCTION("""COMPUTED_VALUE"""),"C00104 ")</f>
        <v xml:space="preserve">C00104 </v>
      </c>
      <c r="D225" s="4" t="str">
        <f ca="1">IFERROR(__xludf.DUMMYFUNCTION("""COMPUTED_VALUE""")," C00354")</f>
        <v xml:space="preserve"> C00354</v>
      </c>
      <c r="E225" s="4"/>
      <c r="F225" s="4"/>
      <c r="G225" s="4"/>
    </row>
    <row r="226" spans="1:7" ht="14">
      <c r="A226" s="22" t="s">
        <v>16613</v>
      </c>
      <c r="C226" s="4" t="str">
        <f ca="1">IFERROR(__xludf.DUMMYFUNCTION("""COMPUTED_VALUE"""),"C00104 ")</f>
        <v xml:space="preserve">C00104 </v>
      </c>
      <c r="D226" s="4" t="str">
        <f ca="1">IFERROR(__xludf.DUMMYFUNCTION("""COMPUTED_VALUE""")," C03785")</f>
        <v xml:space="preserve"> C03785</v>
      </c>
      <c r="E226" s="4"/>
      <c r="F226" s="4"/>
      <c r="G226" s="4"/>
    </row>
    <row r="227" spans="1:7" ht="12.5">
      <c r="A227" s="4" t="s">
        <v>12774</v>
      </c>
      <c r="C227" s="4" t="str">
        <f ca="1">IFERROR(__xludf.DUMMYFUNCTION("""COMPUTED_VALUE"""),"C01179 ")</f>
        <v xml:space="preserve">C01179 </v>
      </c>
      <c r="D227" s="4" t="str">
        <f ca="1">IFERROR(__xludf.DUMMYFUNCTION("""COMPUTED_VALUE""")," C00025")</f>
        <v xml:space="preserve"> C00025</v>
      </c>
      <c r="E227" s="4"/>
      <c r="F227" s="4"/>
      <c r="G227" s="4"/>
    </row>
    <row r="228" spans="1:7" ht="12.5">
      <c r="A228" s="4" t="s">
        <v>12748</v>
      </c>
      <c r="C228" s="4" t="str">
        <f ca="1">IFERROR(__xludf.DUMMYFUNCTION("""COMPUTED_VALUE"""),"C00010 ")</f>
        <v xml:space="preserve">C00010 </v>
      </c>
      <c r="D228" s="4" t="str">
        <f ca="1">IFERROR(__xludf.DUMMYFUNCTION("""COMPUTED_VALUE""")," C01209")</f>
        <v xml:space="preserve"> C01209</v>
      </c>
      <c r="E228" s="4"/>
      <c r="F228" s="4"/>
      <c r="G228" s="4"/>
    </row>
    <row r="229" spans="1:7" ht="14">
      <c r="A229" s="22" t="s">
        <v>16614</v>
      </c>
      <c r="C229" s="4" t="str">
        <f ca="1">IFERROR(__xludf.DUMMYFUNCTION("""COMPUTED_VALUE"""),"C00024 ")</f>
        <v xml:space="preserve">C00024 </v>
      </c>
      <c r="D229" s="4" t="str">
        <f ca="1">IFERROR(__xludf.DUMMYFUNCTION("""COMPUTED_VALUE""")," C00004 ")</f>
        <v xml:space="preserve"> C00004 </v>
      </c>
      <c r="E229" s="4" t="str">
        <f ca="1">IFERROR(__xludf.DUMMYFUNCTION("""COMPUTED_VALUE""")," C00080")</f>
        <v xml:space="preserve"> C00080</v>
      </c>
      <c r="F229" s="4"/>
      <c r="G229" s="4"/>
    </row>
    <row r="230" spans="1:7" ht="14">
      <c r="A230" s="22" t="s">
        <v>16615</v>
      </c>
      <c r="C230" s="4" t="str">
        <f ca="1">IFERROR(__xludf.DUMMYFUNCTION("""COMPUTED_VALUE"""),"C00095 ")</f>
        <v xml:space="preserve">C00095 </v>
      </c>
      <c r="D230" s="4" t="str">
        <f ca="1">IFERROR(__xludf.DUMMYFUNCTION("""COMPUTED_VALUE""")," C00031")</f>
        <v xml:space="preserve"> C00031</v>
      </c>
      <c r="E230" s="4"/>
      <c r="F230" s="4"/>
      <c r="G230" s="4"/>
    </row>
    <row r="231" spans="1:7" ht="14">
      <c r="A231" s="22" t="s">
        <v>16616</v>
      </c>
      <c r="C231" s="4" t="str">
        <f ca="1">IFERROR(__xludf.DUMMYFUNCTION("""COMPUTED_VALUE"""),"C02336 ")</f>
        <v xml:space="preserve">C02336 </v>
      </c>
      <c r="D231" s="4" t="str">
        <f ca="1">IFERROR(__xludf.DUMMYFUNCTION("""COMPUTED_VALUE""")," C00267")</f>
        <v xml:space="preserve"> C00267</v>
      </c>
      <c r="E231" s="4"/>
      <c r="F231" s="4"/>
      <c r="G231" s="4"/>
    </row>
    <row r="232" spans="1:7" ht="14">
      <c r="A232" s="22" t="s">
        <v>16617</v>
      </c>
      <c r="C232" s="4" t="str">
        <f ca="1">IFERROR(__xludf.DUMMYFUNCTION("""COMPUTED_VALUE"""),"C00010 ")</f>
        <v xml:space="preserve">C00010 </v>
      </c>
      <c r="D232" s="4" t="str">
        <f ca="1">IFERROR(__xludf.DUMMYFUNCTION("""COMPUTED_VALUE""")," C02232")</f>
        <v xml:space="preserve"> C02232</v>
      </c>
      <c r="E232" s="4"/>
      <c r="F232" s="4"/>
      <c r="G232" s="4"/>
    </row>
    <row r="233" spans="1:7" ht="14">
      <c r="A233" s="22" t="s">
        <v>16618</v>
      </c>
      <c r="C233" s="4" t="str">
        <f ca="1">IFERROR(__xludf.DUMMYFUNCTION("""COMPUTED_VALUE"""),"C00085")</f>
        <v>C00085</v>
      </c>
      <c r="D233" s="4"/>
      <c r="E233" s="4"/>
      <c r="F233" s="4"/>
      <c r="G233" s="4"/>
    </row>
    <row r="234" spans="1:7" ht="12.5">
      <c r="A234" s="2" t="s">
        <v>16619</v>
      </c>
      <c r="C234" s="4" t="str">
        <f ca="1">IFERROR(__xludf.DUMMYFUNCTION("""COMPUTED_VALUE"""),"C01236 ")</f>
        <v xml:space="preserve">C01236 </v>
      </c>
      <c r="D234" s="4" t="str">
        <f ca="1">IFERROR(__xludf.DUMMYFUNCTION("""COMPUTED_VALUE""")," C00005 ")</f>
        <v xml:space="preserve"> C00005 </v>
      </c>
      <c r="E234" s="4" t="str">
        <f ca="1">IFERROR(__xludf.DUMMYFUNCTION("""COMPUTED_VALUE""")," C00080")</f>
        <v xml:space="preserve"> C00080</v>
      </c>
      <c r="F234" s="4"/>
      <c r="G234" s="4"/>
    </row>
    <row r="235" spans="1:7" ht="14">
      <c r="A235" s="22" t="s">
        <v>16620</v>
      </c>
      <c r="C235" s="4" t="str">
        <f ca="1">IFERROR(__xludf.DUMMYFUNCTION("""COMPUTED_VALUE"""),"C00111 ")</f>
        <v xml:space="preserve">C00111 </v>
      </c>
      <c r="D235" s="4" t="str">
        <f ca="1">IFERROR(__xludf.DUMMYFUNCTION("""COMPUTED_VALUE""")," C00004 ")</f>
        <v xml:space="preserve"> C00004 </v>
      </c>
      <c r="E235" s="4" t="str">
        <f ca="1">IFERROR(__xludf.DUMMYFUNCTION("""COMPUTED_VALUE""")," C00080")</f>
        <v xml:space="preserve"> C00080</v>
      </c>
      <c r="F235" s="4"/>
      <c r="G235" s="4"/>
    </row>
    <row r="236" spans="1:7" ht="14">
      <c r="A236" s="22" t="s">
        <v>16621</v>
      </c>
      <c r="C236" s="4" t="str">
        <f ca="1">IFERROR(__xludf.DUMMYFUNCTION("""COMPUTED_VALUE"""),"C00111 ")</f>
        <v xml:space="preserve">C00111 </v>
      </c>
      <c r="D236" s="4" t="str">
        <f ca="1">IFERROR(__xludf.DUMMYFUNCTION("""COMPUTED_VALUE""")," C00005 ")</f>
        <v xml:space="preserve"> C00005 </v>
      </c>
      <c r="E236" s="4" t="str">
        <f ca="1">IFERROR(__xludf.DUMMYFUNCTION("""COMPUTED_VALUE""")," C00080")</f>
        <v xml:space="preserve"> C00080</v>
      </c>
      <c r="F236" s="4"/>
      <c r="G236" s="4"/>
    </row>
    <row r="237" spans="1:7" ht="14">
      <c r="A237" s="22" t="s">
        <v>16622</v>
      </c>
      <c r="C237" s="4" t="str">
        <f ca="1">IFERROR(__xludf.DUMMYFUNCTION("""COMPUTED_VALUE"""),"C00681 ")</f>
        <v xml:space="preserve">C00681 </v>
      </c>
      <c r="D237" s="4" t="str">
        <f ca="1">IFERROR(__xludf.DUMMYFUNCTION("""COMPUTED_VALUE""")," C00010")</f>
        <v xml:space="preserve"> C00010</v>
      </c>
      <c r="E237" s="4"/>
      <c r="F237" s="4"/>
      <c r="G237" s="4"/>
    </row>
    <row r="238" spans="1:7" ht="14">
      <c r="A238" s="22" t="s">
        <v>16623</v>
      </c>
      <c r="C238" s="4" t="str">
        <f ca="1">IFERROR(__xludf.DUMMYFUNCTION("""COMPUTED_VALUE"""),"C00283 ")</f>
        <v xml:space="preserve">C00283 </v>
      </c>
      <c r="D238" s="4" t="str">
        <f ca="1">IFERROR(__xludf.DUMMYFUNCTION("""COMPUTED_VALUE""")," C00022 ")</f>
        <v xml:space="preserve"> C00022 </v>
      </c>
      <c r="E238" s="4" t="str">
        <f ca="1">IFERROR(__xludf.DUMMYFUNCTION("""COMPUTED_VALUE""")," C00014")</f>
        <v xml:space="preserve"> C00014</v>
      </c>
      <c r="F238" s="4"/>
      <c r="G238" s="4"/>
    </row>
    <row r="239" spans="1:7" ht="14">
      <c r="A239" s="22" t="s">
        <v>16624</v>
      </c>
      <c r="C239" s="4" t="str">
        <f ca="1">IFERROR(__xludf.DUMMYFUNCTION("""COMPUTED_VALUE"""),"C05526 ")</f>
        <v xml:space="preserve">C05526 </v>
      </c>
      <c r="D239" s="4" t="str">
        <f ca="1">IFERROR(__xludf.DUMMYFUNCTION("""COMPUTED_VALUE""")," C00005")</f>
        <v xml:space="preserve"> C00005</v>
      </c>
      <c r="E239" s="4"/>
      <c r="F239" s="4"/>
      <c r="G239" s="4"/>
    </row>
    <row r="240" spans="1:7" ht="14">
      <c r="A240" s="22" t="s">
        <v>16625</v>
      </c>
      <c r="C240" s="4" t="str">
        <f ca="1">IFERROR(__xludf.DUMMYFUNCTION("""COMPUTED_VALUE"""),"C00065 ")</f>
        <v xml:space="preserve">C00065 </v>
      </c>
      <c r="D240" s="4" t="str">
        <f ca="1">IFERROR(__xludf.DUMMYFUNCTION("""COMPUTED_VALUE""")," C04161")</f>
        <v xml:space="preserve"> C04161</v>
      </c>
      <c r="E240" s="4"/>
      <c r="F240" s="4"/>
      <c r="G240" s="4"/>
    </row>
    <row r="241" spans="1:7" ht="14">
      <c r="A241" s="22" t="s">
        <v>16626</v>
      </c>
      <c r="C241" s="4" t="str">
        <f ca="1">IFERROR(__xludf.DUMMYFUNCTION("""COMPUTED_VALUE"""),"C00894 ")</f>
        <v xml:space="preserve">C00894 </v>
      </c>
      <c r="D241" s="4" t="str">
        <f ca="1">IFERROR(__xludf.DUMMYFUNCTION("""COMPUTED_VALUE""")," C00004 ")</f>
        <v xml:space="preserve"> C00004 </v>
      </c>
      <c r="E241" s="4" t="str">
        <f ca="1">IFERROR(__xludf.DUMMYFUNCTION("""COMPUTED_VALUE""")," C00080")</f>
        <v xml:space="preserve"> C00080</v>
      </c>
      <c r="F241" s="4"/>
      <c r="G241" s="4"/>
    </row>
    <row r="242" spans="1:7" ht="14">
      <c r="A242" s="22" t="s">
        <v>16627</v>
      </c>
      <c r="C242" s="4" t="str">
        <f ca="1">IFERROR(__xludf.DUMMYFUNCTION("""COMPUTED_VALUE"""),"C02876 ")</f>
        <v xml:space="preserve">C02876 </v>
      </c>
      <c r="D242" s="4" t="str">
        <f ca="1">IFERROR(__xludf.DUMMYFUNCTION("""COMPUTED_VALUE""")," C00010")</f>
        <v xml:space="preserve"> C00010</v>
      </c>
      <c r="E242" s="4"/>
      <c r="F242" s="4"/>
      <c r="G242" s="4"/>
    </row>
    <row r="243" spans="1:7" ht="14">
      <c r="A243" s="22" t="s">
        <v>16628</v>
      </c>
      <c r="C243" s="4" t="str">
        <f ca="1">IFERROR(__xludf.DUMMYFUNCTION("""COMPUTED_VALUE"""),"C00010 ")</f>
        <v xml:space="preserve">C00010 </v>
      </c>
      <c r="D243" s="4" t="str">
        <f ca="1">IFERROR(__xludf.DUMMYFUNCTION("""COMPUTED_VALUE""")," C03344")</f>
        <v xml:space="preserve"> C03344</v>
      </c>
      <c r="E243" s="4"/>
      <c r="F243" s="4"/>
      <c r="G243" s="4"/>
    </row>
    <row r="244" spans="1:7" ht="14">
      <c r="A244" s="22" t="s">
        <v>16629</v>
      </c>
      <c r="C244" s="4" t="str">
        <f ca="1">IFERROR(__xludf.DUMMYFUNCTION("""COMPUTED_VALUE"""),"C00504 ")</f>
        <v xml:space="preserve">C00504 </v>
      </c>
      <c r="D244" s="4" t="str">
        <f ca="1">IFERROR(__xludf.DUMMYFUNCTION("""COMPUTED_VALUE""")," 2 C00004 ")</f>
        <v xml:space="preserve"> 2 C00004 </v>
      </c>
      <c r="E244" s="4" t="str">
        <f ca="1">IFERROR(__xludf.DUMMYFUNCTION("""COMPUTED_VALUE""")," 2 C00080")</f>
        <v xml:space="preserve"> 2 C00080</v>
      </c>
      <c r="F244" s="4"/>
      <c r="G244" s="4"/>
    </row>
    <row r="245" spans="1:7" ht="14">
      <c r="A245" s="22" t="s">
        <v>16630</v>
      </c>
      <c r="C245" s="4" t="str">
        <f ca="1">IFERROR(__xludf.DUMMYFUNCTION("""COMPUTED_VALUE"""),"C00504 ")</f>
        <v xml:space="preserve">C00504 </v>
      </c>
      <c r="D245" s="4" t="str">
        <f ca="1">IFERROR(__xludf.DUMMYFUNCTION("""COMPUTED_VALUE""")," 2 C00005 ")</f>
        <v xml:space="preserve"> 2 C00005 </v>
      </c>
      <c r="E245" s="4" t="str">
        <f ca="1">IFERROR(__xludf.DUMMYFUNCTION("""COMPUTED_VALUE""")," 2 C00080")</f>
        <v xml:space="preserve"> 2 C00080</v>
      </c>
      <c r="F245" s="4"/>
      <c r="G245" s="4"/>
    </row>
    <row r="246" spans="1:7" ht="14">
      <c r="A246" s="22" t="s">
        <v>16631</v>
      </c>
      <c r="C246" s="4" t="str">
        <f ca="1">IFERROR(__xludf.DUMMYFUNCTION("""COMPUTED_VALUE"""),"C00415 ")</f>
        <v xml:space="preserve">C00415 </v>
      </c>
      <c r="D246" s="4" t="str">
        <f ca="1">IFERROR(__xludf.DUMMYFUNCTION("""COMPUTED_VALUE""")," C00004 ")</f>
        <v xml:space="preserve"> C00004 </v>
      </c>
      <c r="E246" s="4" t="str">
        <f ca="1">IFERROR(__xludf.DUMMYFUNCTION("""COMPUTED_VALUE""")," C00080")</f>
        <v xml:space="preserve"> C00080</v>
      </c>
      <c r="F246" s="4"/>
      <c r="G246" s="4"/>
    </row>
    <row r="247" spans="1:7" ht="14">
      <c r="A247" s="22" t="s">
        <v>16632</v>
      </c>
      <c r="C247" s="4" t="str">
        <f ca="1">IFERROR(__xludf.DUMMYFUNCTION("""COMPUTED_VALUE"""),"C00415 ")</f>
        <v xml:space="preserve">C00415 </v>
      </c>
      <c r="D247" s="4" t="str">
        <f ca="1">IFERROR(__xludf.DUMMYFUNCTION("""COMPUTED_VALUE""")," C00005 ")</f>
        <v xml:space="preserve"> C00005 </v>
      </c>
      <c r="E247" s="4" t="str">
        <f ca="1">IFERROR(__xludf.DUMMYFUNCTION("""COMPUTED_VALUE""")," C00080")</f>
        <v xml:space="preserve"> C00080</v>
      </c>
      <c r="F247" s="4"/>
      <c r="G247" s="4"/>
    </row>
    <row r="248" spans="1:7" ht="14">
      <c r="A248" s="22" t="s">
        <v>16633</v>
      </c>
      <c r="C248" s="4" t="str">
        <f ca="1">IFERROR(__xludf.DUMMYFUNCTION("""COMPUTED_VALUE"""),"C00008 ")</f>
        <v xml:space="preserve">C00008 </v>
      </c>
      <c r="D248" s="4" t="str">
        <f ca="1">IFERROR(__xludf.DUMMYFUNCTION("""COMPUTED_VALUE""")," C00009 ")</f>
        <v xml:space="preserve"> C00009 </v>
      </c>
      <c r="E248" s="4" t="str">
        <f ca="1">IFERROR(__xludf.DUMMYFUNCTION("""COMPUTED_VALUE""")," C00234")</f>
        <v xml:space="preserve"> C00234</v>
      </c>
      <c r="F248" s="4"/>
      <c r="G248" s="4"/>
    </row>
    <row r="249" spans="1:7" ht="14">
      <c r="A249" s="22" t="s">
        <v>16634</v>
      </c>
      <c r="C249" s="4" t="str">
        <f ca="1">IFERROR(__xludf.DUMMYFUNCTION("""COMPUTED_VALUE"""),"C00299 ")</f>
        <v xml:space="preserve">C00299 </v>
      </c>
      <c r="D249" s="4" t="str">
        <f ca="1">IFERROR(__xludf.DUMMYFUNCTION("""COMPUTED_VALUE""")," C00009")</f>
        <v xml:space="preserve"> C00009</v>
      </c>
      <c r="E249" s="4"/>
      <c r="F249" s="4"/>
      <c r="G249" s="4"/>
    </row>
    <row r="250" spans="1:7" ht="14">
      <c r="A250" s="22" t="s">
        <v>16635</v>
      </c>
      <c r="C250" s="4" t="str">
        <f ca="1">IFERROR(__xludf.DUMMYFUNCTION("""COMPUTED_VALUE"""),"C00106 ")</f>
        <v xml:space="preserve">C00106 </v>
      </c>
      <c r="D250" s="4" t="str">
        <f ca="1">IFERROR(__xludf.DUMMYFUNCTION("""COMPUTED_VALUE""")," C00119")</f>
        <v xml:space="preserve"> C00119</v>
      </c>
      <c r="E250" s="4"/>
      <c r="F250" s="4"/>
      <c r="G250" s="4"/>
    </row>
    <row r="251" spans="1:7" ht="14">
      <c r="A251" s="22" t="s">
        <v>16636</v>
      </c>
      <c r="C251" s="4" t="str">
        <f ca="1">IFERROR(__xludf.DUMMYFUNCTION("""COMPUTED_VALUE"""),"C00100 ")</f>
        <v xml:space="preserve">C00100 </v>
      </c>
      <c r="D251" s="4" t="str">
        <f ca="1">IFERROR(__xludf.DUMMYFUNCTION("""COMPUTED_VALUE""")," C00058")</f>
        <v xml:space="preserve"> C00058</v>
      </c>
      <c r="E251" s="4"/>
      <c r="F251" s="4"/>
      <c r="G251" s="4"/>
    </row>
    <row r="252" spans="1:7" ht="14">
      <c r="A252" s="22" t="s">
        <v>16637</v>
      </c>
      <c r="C252" s="4" t="str">
        <f ca="1">IFERROR(__xludf.DUMMYFUNCTION("""COMPUTED_VALUE"""),"C06006 ")</f>
        <v xml:space="preserve">C06006 </v>
      </c>
      <c r="D252" s="4" t="str">
        <f ca="1">IFERROR(__xludf.DUMMYFUNCTION("""COMPUTED_VALUE""")," C00068")</f>
        <v xml:space="preserve"> C00068</v>
      </c>
      <c r="E252" s="4"/>
      <c r="F252" s="4"/>
      <c r="G252" s="4"/>
    </row>
    <row r="253" spans="1:7" ht="14">
      <c r="A253" s="22" t="s">
        <v>16638</v>
      </c>
      <c r="C253" s="4" t="str">
        <f ca="1">IFERROR(__xludf.DUMMYFUNCTION("""COMPUTED_VALUE"""),"C00576 ")</f>
        <v xml:space="preserve">C00576 </v>
      </c>
      <c r="D253" s="4" t="str">
        <f ca="1">IFERROR(__xludf.DUMMYFUNCTION("""COMPUTED_VALUE""")," C00004 ")</f>
        <v xml:space="preserve"> C00004 </v>
      </c>
      <c r="E253" s="4" t="str">
        <f ca="1">IFERROR(__xludf.DUMMYFUNCTION("""COMPUTED_VALUE""")," C00080")</f>
        <v xml:space="preserve"> C00080</v>
      </c>
      <c r="F253" s="4"/>
      <c r="G253" s="4"/>
    </row>
    <row r="254" spans="1:7" ht="14">
      <c r="A254" s="22" t="s">
        <v>16639</v>
      </c>
      <c r="C254" s="4" t="str">
        <f ca="1">IFERROR(__xludf.DUMMYFUNCTION("""COMPUTED_VALUE"""),"C00576 ")</f>
        <v xml:space="preserve">C00576 </v>
      </c>
      <c r="D254" s="4" t="str">
        <f ca="1">IFERROR(__xludf.DUMMYFUNCTION("""COMPUTED_VALUE""")," C00005 ")</f>
        <v xml:space="preserve"> C00005 </v>
      </c>
      <c r="E254" s="4" t="str">
        <f ca="1">IFERROR(__xludf.DUMMYFUNCTION("""COMPUTED_VALUE""")," C00080")</f>
        <v xml:space="preserve"> C00080</v>
      </c>
      <c r="F254" s="4"/>
      <c r="G254" s="4"/>
    </row>
    <row r="255" spans="1:7" ht="14">
      <c r="A255" s="22" t="s">
        <v>16640</v>
      </c>
      <c r="C255" s="4" t="str">
        <f ca="1">IFERROR(__xludf.DUMMYFUNCTION("""COMPUTED_VALUE"""),"C00199")</f>
        <v>C00199</v>
      </c>
      <c r="D255" s="4"/>
      <c r="E255" s="4"/>
      <c r="F255" s="4"/>
      <c r="G255" s="4"/>
    </row>
    <row r="256" spans="1:7" ht="12.5">
      <c r="A256" s="2" t="s">
        <v>16641</v>
      </c>
      <c r="C256" s="4" t="str">
        <f ca="1">IFERROR(__xludf.DUMMYFUNCTION("""COMPUTED_VALUE"""),"C00111")</f>
        <v>C00111</v>
      </c>
      <c r="D256" s="4"/>
      <c r="E256" s="4"/>
      <c r="F256" s="4"/>
      <c r="G256" s="4"/>
    </row>
    <row r="257" spans="1:7" ht="12.5">
      <c r="A257" s="2" t="s">
        <v>16642</v>
      </c>
      <c r="C257" s="4" t="str">
        <f ca="1">IFERROR(__xludf.DUMMYFUNCTION("""COMPUTED_VALUE"""),"C00233 ")</f>
        <v xml:space="preserve">C00233 </v>
      </c>
      <c r="D257" s="4" t="str">
        <f ca="1">IFERROR(__xludf.DUMMYFUNCTION("""COMPUTED_VALUE""")," C00025")</f>
        <v xml:space="preserve"> C00025</v>
      </c>
      <c r="E257" s="4"/>
      <c r="F257" s="4"/>
      <c r="G257" s="4"/>
    </row>
    <row r="258" spans="1:7" ht="12.5">
      <c r="A258" s="4" t="s">
        <v>12730</v>
      </c>
      <c r="C258" s="4" t="str">
        <f ca="1">IFERROR(__xludf.DUMMYFUNCTION("""COMPUTED_VALUE"""),"C00235")</f>
        <v>C00235</v>
      </c>
      <c r="D258" s="4"/>
      <c r="E258" s="4"/>
      <c r="F258" s="4"/>
      <c r="G258" s="4"/>
    </row>
    <row r="259" spans="1:7" ht="12.5">
      <c r="A259" s="2" t="s">
        <v>16643</v>
      </c>
      <c r="C259" s="4" t="str">
        <f ca="1">IFERROR(__xludf.DUMMYFUNCTION("""COMPUTED_VALUE"""),"C00294 ")</f>
        <v xml:space="preserve">C00294 </v>
      </c>
      <c r="D259" s="4" t="str">
        <f ca="1">IFERROR(__xludf.DUMMYFUNCTION("""COMPUTED_VALUE""")," C00009")</f>
        <v xml:space="preserve"> C00009</v>
      </c>
      <c r="E259" s="4"/>
      <c r="F259" s="4"/>
      <c r="G259" s="4"/>
    </row>
    <row r="260" spans="1:7" ht="14">
      <c r="A260" s="22" t="s">
        <v>16644</v>
      </c>
      <c r="C260" s="4" t="str">
        <f ca="1">IFERROR(__xludf.DUMMYFUNCTION("""COMPUTED_VALUE"""),"C04734")</f>
        <v>C04734</v>
      </c>
      <c r="D260" s="4"/>
      <c r="E260" s="4"/>
      <c r="F260" s="4"/>
      <c r="G260" s="4"/>
    </row>
    <row r="261" spans="1:7" ht="12.5">
      <c r="A261" s="2" t="s">
        <v>16645</v>
      </c>
      <c r="C261" s="4" t="str">
        <f ca="1">IFERROR(__xludf.DUMMYFUNCTION("""COMPUTED_VALUE"""),"C00655 ")</f>
        <v xml:space="preserve">C00655 </v>
      </c>
      <c r="D261" s="4" t="str">
        <f ca="1">IFERROR(__xludf.DUMMYFUNCTION("""COMPUTED_VALUE""")," C00004 ")</f>
        <v xml:space="preserve"> C00004 </v>
      </c>
      <c r="E261" s="4" t="str">
        <f ca="1">IFERROR(__xludf.DUMMYFUNCTION("""COMPUTED_VALUE""")," C00080")</f>
        <v xml:space="preserve"> C00080</v>
      </c>
      <c r="F261" s="4"/>
      <c r="G261" s="4"/>
    </row>
    <row r="262" spans="1:7" ht="14">
      <c r="A262" s="22" t="s">
        <v>16646</v>
      </c>
      <c r="C262" s="4" t="str">
        <f ca="1">IFERROR(__xludf.DUMMYFUNCTION("""COMPUTED_VALUE"""),"C00144 ")</f>
        <v xml:space="preserve">C00144 </v>
      </c>
      <c r="D262" s="4" t="str">
        <f ca="1">IFERROR(__xludf.DUMMYFUNCTION("""COMPUTED_VALUE""")," C00005 ")</f>
        <v xml:space="preserve"> C00005 </v>
      </c>
      <c r="E262" s="4" t="str">
        <f ca="1">IFERROR(__xludf.DUMMYFUNCTION("""COMPUTED_VALUE""")," C00080")</f>
        <v xml:space="preserve"> C00080</v>
      </c>
      <c r="F262" s="4"/>
      <c r="G262" s="4"/>
    </row>
    <row r="263" spans="1:7" ht="14">
      <c r="A263" s="22" t="s">
        <v>16647</v>
      </c>
      <c r="C263" s="4" t="str">
        <f ca="1">IFERROR(__xludf.DUMMYFUNCTION("""COMPUTED_VALUE"""),"C00206 ")</f>
        <v xml:space="preserve">C00206 </v>
      </c>
      <c r="D263" s="4" t="str">
        <f ca="1">IFERROR(__xludf.DUMMYFUNCTION("""COMPUTED_VALUE""")," C00074")</f>
        <v xml:space="preserve"> C00074</v>
      </c>
      <c r="E263" s="4"/>
      <c r="F263" s="4"/>
      <c r="G263" s="4"/>
    </row>
    <row r="264" spans="1:7" ht="14">
      <c r="A264" s="22" t="s">
        <v>16648</v>
      </c>
      <c r="C264" s="4" t="str">
        <f ca="1">IFERROR(__xludf.DUMMYFUNCTION("""COMPUTED_VALUE"""),"C00013 ")</f>
        <v xml:space="preserve">C00013 </v>
      </c>
      <c r="D264" s="4" t="str">
        <f ca="1">IFERROR(__xludf.DUMMYFUNCTION("""COMPUTED_VALUE""")," C00039")</f>
        <v xml:space="preserve"> C00039</v>
      </c>
      <c r="E264" s="4"/>
      <c r="F264" s="4"/>
      <c r="G264" s="4"/>
    </row>
    <row r="265" spans="1:7" ht="14">
      <c r="A265" s="22" t="s">
        <v>16649</v>
      </c>
      <c r="C265" s="4" t="str">
        <f ca="1">IFERROR(__xludf.DUMMYFUNCTION("""COMPUTED_VALUE"""),"C00002 ")</f>
        <v xml:space="preserve">C00002 </v>
      </c>
      <c r="D265" s="4" t="str">
        <f ca="1">IFERROR(__xludf.DUMMYFUNCTION("""COMPUTED_VALUE""")," C00342")</f>
        <v xml:space="preserve"> C00342</v>
      </c>
      <c r="E265" s="4"/>
      <c r="F265" s="4"/>
      <c r="G265" s="4"/>
    </row>
    <row r="266" spans="1:7" ht="14">
      <c r="A266" s="22" t="s">
        <v>16650</v>
      </c>
      <c r="C266" s="4" t="str">
        <f ca="1">IFERROR(__xludf.DUMMYFUNCTION("""COMPUTED_VALUE"""),"C00691 ")</f>
        <v xml:space="preserve">C00691 </v>
      </c>
      <c r="D266" s="4" t="str">
        <f ca="1">IFERROR(__xludf.DUMMYFUNCTION("""COMPUTED_VALUE""")," C00004 ")</f>
        <v xml:space="preserve"> C00004 </v>
      </c>
      <c r="E266" s="4" t="str">
        <f ca="1">IFERROR(__xludf.DUMMYFUNCTION("""COMPUTED_VALUE""")," C00080")</f>
        <v xml:space="preserve"> C00080</v>
      </c>
      <c r="F266" s="4"/>
      <c r="G266" s="4"/>
    </row>
    <row r="267" spans="1:7" ht="14">
      <c r="A267" s="22" t="s">
        <v>16651</v>
      </c>
      <c r="C267" s="4" t="str">
        <f ca="1">IFERROR(__xludf.DUMMYFUNCTION("""COMPUTED_VALUE"""),"C00445 ")</f>
        <v xml:space="preserve">C00445 </v>
      </c>
      <c r="D267" s="4" t="str">
        <f ca="1">IFERROR(__xludf.DUMMYFUNCTION("""COMPUTED_VALUE""")," C00005")</f>
        <v xml:space="preserve"> C00005</v>
      </c>
      <c r="E267" s="4"/>
      <c r="F267" s="4"/>
      <c r="G267" s="4"/>
    </row>
    <row r="268" spans="1:7" ht="14">
      <c r="A268" s="22" t="s">
        <v>16652</v>
      </c>
      <c r="C268" s="4" t="str">
        <f ca="1">IFERROR(__xludf.DUMMYFUNCTION("""COMPUTED_VALUE"""),"C00101 ")</f>
        <v xml:space="preserve">C00101 </v>
      </c>
      <c r="D268" s="4" t="str">
        <f ca="1">IFERROR(__xludf.DUMMYFUNCTION("""COMPUTED_VALUE""")," C00065")</f>
        <v xml:space="preserve"> C00065</v>
      </c>
      <c r="E268" s="4"/>
      <c r="F268" s="4"/>
      <c r="G268" s="4"/>
    </row>
    <row r="269" spans="1:7" ht="14">
      <c r="A269" s="22" t="s">
        <v>16653</v>
      </c>
      <c r="C269" s="4" t="str">
        <f ca="1">IFERROR(__xludf.DUMMYFUNCTION("""COMPUTED_VALUE"""),"C00387 ")</f>
        <v xml:space="preserve">C00387 </v>
      </c>
      <c r="D269" s="4" t="str">
        <f ca="1">IFERROR(__xludf.DUMMYFUNCTION("""COMPUTED_VALUE""")," C00009")</f>
        <v xml:space="preserve"> C00009</v>
      </c>
      <c r="E269" s="4"/>
      <c r="F269" s="4"/>
      <c r="G269" s="4"/>
    </row>
    <row r="270" spans="1:7" ht="14">
      <c r="A270" s="22" t="s">
        <v>16654</v>
      </c>
      <c r="C270" s="4" t="str">
        <f ca="1">IFERROR(__xludf.DUMMYFUNCTION("""COMPUTED_VALUE"""),"C00242 ")</f>
        <v xml:space="preserve">C00242 </v>
      </c>
      <c r="D270" s="4" t="str">
        <f ca="1">IFERROR(__xludf.DUMMYFUNCTION("""COMPUTED_VALUE""")," C00119")</f>
        <v xml:space="preserve"> C00119</v>
      </c>
      <c r="E270" s="4"/>
      <c r="F270" s="4"/>
      <c r="G270" s="4"/>
    </row>
    <row r="271" spans="1:7" ht="12.5">
      <c r="A271" s="4" t="s">
        <v>12682</v>
      </c>
      <c r="C271" s="4" t="str">
        <f ca="1">IFERROR(__xludf.DUMMYFUNCTION("""COMPUTED_VALUE"""),"C03912 ")</f>
        <v xml:space="preserve">C03912 </v>
      </c>
      <c r="D271" s="4" t="str">
        <f ca="1">IFERROR(__xludf.DUMMYFUNCTION("""COMPUTED_VALUE""")," C00004 ")</f>
        <v xml:space="preserve"> C00004 </v>
      </c>
      <c r="E271" s="4" t="str">
        <f ca="1">IFERROR(__xludf.DUMMYFUNCTION("""COMPUTED_VALUE""")," C00080")</f>
        <v xml:space="preserve"> C00080</v>
      </c>
      <c r="F271" s="4"/>
      <c r="G271" s="4"/>
    </row>
    <row r="272" spans="1:7" ht="14">
      <c r="A272" s="22" t="s">
        <v>16655</v>
      </c>
      <c r="C272" s="4" t="str">
        <f ca="1">IFERROR(__xludf.DUMMYFUNCTION("""COMPUTED_VALUE"""),"C03912 ")</f>
        <v xml:space="preserve">C03912 </v>
      </c>
      <c r="D272" s="4" t="str">
        <f ca="1">IFERROR(__xludf.DUMMYFUNCTION("""COMPUTED_VALUE""")," C00005 ")</f>
        <v xml:space="preserve"> C00005 </v>
      </c>
      <c r="E272" s="4" t="str">
        <f ca="1">IFERROR(__xludf.DUMMYFUNCTION("""COMPUTED_VALUE""")," C00080")</f>
        <v xml:space="preserve"> C00080</v>
      </c>
      <c r="F272" s="4"/>
      <c r="G272" s="4"/>
    </row>
    <row r="273" spans="1:7" ht="14">
      <c r="A273" s="22" t="s">
        <v>16656</v>
      </c>
      <c r="C273" s="4" t="str">
        <f ca="1">IFERROR(__xludf.DUMMYFUNCTION("""COMPUTED_VALUE"""),"C00149")</f>
        <v>C00149</v>
      </c>
      <c r="D273" s="4"/>
      <c r="E273" s="4"/>
      <c r="F273" s="4"/>
      <c r="G273" s="4"/>
    </row>
    <row r="274" spans="1:7" ht="12.5">
      <c r="A274" s="2" t="s">
        <v>16657</v>
      </c>
      <c r="C274" s="4" t="str">
        <f ca="1">IFERROR(__xludf.DUMMYFUNCTION("""COMPUTED_VALUE"""),"C00186 ")</f>
        <v xml:space="preserve">C00186 </v>
      </c>
      <c r="D274" s="4" t="str">
        <f ca="1">IFERROR(__xludf.DUMMYFUNCTION("""COMPUTED_VALUE""")," C00011")</f>
        <v xml:space="preserve"> C00011</v>
      </c>
      <c r="E274" s="4"/>
      <c r="F274" s="4"/>
      <c r="G274" s="4"/>
    </row>
    <row r="275" spans="1:7" ht="14">
      <c r="A275" s="22" t="s">
        <v>16658</v>
      </c>
      <c r="C275" s="4" t="str">
        <f ca="1">IFERROR(__xludf.DUMMYFUNCTION("""COMPUTED_VALUE"""),"C00033 ")</f>
        <v xml:space="preserve">C00033 </v>
      </c>
      <c r="D275" s="4" t="str">
        <f ca="1">IFERROR(__xludf.DUMMYFUNCTION("""COMPUTED_VALUE""")," C00036")</f>
        <v xml:space="preserve"> C00036</v>
      </c>
      <c r="E275" s="4"/>
      <c r="F275" s="4"/>
      <c r="G275" s="4"/>
    </row>
    <row r="276" spans="1:7" ht="14">
      <c r="A276" s="22" t="s">
        <v>16659</v>
      </c>
      <c r="C276" s="4" t="str">
        <f ca="1">IFERROR(__xludf.DUMMYFUNCTION("""COMPUTED_VALUE"""),"C00009 ")</f>
        <v xml:space="preserve">C00009 </v>
      </c>
      <c r="D276" s="4" t="str">
        <f ca="1">IFERROR(__xludf.DUMMYFUNCTION("""COMPUTED_VALUE""")," C00438")</f>
        <v xml:space="preserve"> C00438</v>
      </c>
      <c r="E276" s="4"/>
      <c r="F276" s="4"/>
      <c r="G276" s="4"/>
    </row>
    <row r="277" spans="1:7" ht="14">
      <c r="A277" s="22" t="s">
        <v>16660</v>
      </c>
      <c r="C277" s="4" t="str">
        <f ca="1">IFERROR(__xludf.DUMMYFUNCTION("""COMPUTED_VALUE"""),"C00147 ")</f>
        <v xml:space="preserve">C00147 </v>
      </c>
      <c r="D277" s="4" t="str">
        <f ca="1">IFERROR(__xludf.DUMMYFUNCTION("""COMPUTED_VALUE""")," C03089")</f>
        <v xml:space="preserve"> C03089</v>
      </c>
      <c r="E277" s="4"/>
      <c r="F277" s="4"/>
      <c r="G277" s="4"/>
    </row>
    <row r="278" spans="1:7" ht="14">
      <c r="A278" s="22" t="s">
        <v>16661</v>
      </c>
      <c r="C278" s="4" t="str">
        <f ca="1">IFERROR(__xludf.DUMMYFUNCTION("""COMPUTED_VALUE"""),"C02133 ")</f>
        <v xml:space="preserve">C02133 </v>
      </c>
      <c r="D278" s="4" t="str">
        <f ca="1">IFERROR(__xludf.DUMMYFUNCTION("""COMPUTED_VALUE""")," C00229")</f>
        <v xml:space="preserve"> C00229</v>
      </c>
      <c r="E278" s="4"/>
      <c r="F278" s="4"/>
      <c r="G278" s="4"/>
    </row>
    <row r="279" spans="1:7" ht="14">
      <c r="A279" s="22" t="s">
        <v>16662</v>
      </c>
      <c r="C279" s="4" t="str">
        <f ca="1">IFERROR(__xludf.DUMMYFUNCTION("""COMPUTED_VALUE"""),"C00681 ")</f>
        <v xml:space="preserve">C00681 </v>
      </c>
      <c r="D279" s="4" t="str">
        <f ca="1">IFERROR(__xludf.DUMMYFUNCTION("""COMPUTED_VALUE""")," C00229")</f>
        <v xml:space="preserve"> C00229</v>
      </c>
      <c r="E279" s="4"/>
      <c r="F279" s="4"/>
      <c r="G279" s="4"/>
    </row>
    <row r="280" spans="1:7" ht="14">
      <c r="A280" s="22" t="s">
        <v>16663</v>
      </c>
      <c r="C280" s="4" t="str">
        <f ca="1">IFERROR(__xludf.DUMMYFUNCTION("""COMPUTED_VALUE"""),"C00685 ")</f>
        <v xml:space="preserve">C00685 </v>
      </c>
      <c r="D280" s="4" t="str">
        <f ca="1">IFERROR(__xludf.DUMMYFUNCTION("""COMPUTED_VALUE""")," C00011 ")</f>
        <v xml:space="preserve"> C00011 </v>
      </c>
      <c r="E280" s="4" t="str">
        <f ca="1">IFERROR(__xludf.DUMMYFUNCTION("""COMPUTED_VALUE""")," C00229")</f>
        <v xml:space="preserve"> C00229</v>
      </c>
      <c r="F280" s="4"/>
      <c r="G280" s="4"/>
    </row>
    <row r="281" spans="1:7" ht="14">
      <c r="A281" s="22" t="s">
        <v>16664</v>
      </c>
      <c r="C281" s="4" t="str">
        <f ca="1">IFERROR(__xludf.DUMMYFUNCTION("""COMPUTED_VALUE"""),"C00141 ")</f>
        <v xml:space="preserve">C00141 </v>
      </c>
      <c r="D281" s="4" t="str">
        <f ca="1">IFERROR(__xludf.DUMMYFUNCTION("""COMPUTED_VALUE""")," C00025")</f>
        <v xml:space="preserve"> C00025</v>
      </c>
      <c r="E281" s="4"/>
      <c r="F281" s="4"/>
      <c r="G281" s="4"/>
    </row>
    <row r="282" spans="1:7" ht="12.5">
      <c r="A282" s="4" t="s">
        <v>12734</v>
      </c>
      <c r="C282" s="4" t="str">
        <f ca="1">IFERROR(__xludf.DUMMYFUNCTION("""COMPUTED_VALUE"""),"C00022 ")</f>
        <v xml:space="preserve">C00022 </v>
      </c>
      <c r="D282" s="4" t="str">
        <f ca="1">IFERROR(__xludf.DUMMYFUNCTION("""COMPUTED_VALUE""")," C00004 ")</f>
        <v xml:space="preserve"> C00004 </v>
      </c>
      <c r="E282" s="4" t="str">
        <f ca="1">IFERROR(__xludf.DUMMYFUNCTION("""COMPUTED_VALUE""")," C00080")</f>
        <v xml:space="preserve"> C00080</v>
      </c>
      <c r="F282" s="4"/>
      <c r="G282" s="4"/>
    </row>
    <row r="283" spans="1:7" ht="14">
      <c r="A283" s="22" t="s">
        <v>16665</v>
      </c>
      <c r="C283" s="4" t="str">
        <f ca="1">IFERROR(__xludf.DUMMYFUNCTION("""COMPUTED_VALUE"""),"C20641 ")</f>
        <v xml:space="preserve">C20641 </v>
      </c>
      <c r="D283" s="4" t="str">
        <f ca="1">IFERROR(__xludf.DUMMYFUNCTION("""COMPUTED_VALUE""")," C00013 ")</f>
        <v xml:space="preserve"> C00013 </v>
      </c>
      <c r="E283" s="4" t="str">
        <f ca="1">IFERROR(__xludf.DUMMYFUNCTION("""COMPUTED_VALUE""")," C00001")</f>
        <v xml:space="preserve"> C00001</v>
      </c>
      <c r="F283" s="4"/>
      <c r="G283" s="4"/>
    </row>
    <row r="284" spans="1:7" ht="14">
      <c r="A284" s="22" t="s">
        <v>16666</v>
      </c>
      <c r="C284" s="4" t="str">
        <f ca="1">IFERROR(__xludf.DUMMYFUNCTION("""COMPUTED_VALUE"""),"C00231")</f>
        <v>C00231</v>
      </c>
      <c r="D284" s="4"/>
      <c r="E284" s="4"/>
      <c r="F284" s="4"/>
      <c r="G284" s="4"/>
    </row>
    <row r="285" spans="1:7" ht="12.5">
      <c r="A285" s="2" t="s">
        <v>16667</v>
      </c>
      <c r="C285" s="4" t="str">
        <f ca="1">IFERROR(__xludf.DUMMYFUNCTION("""COMPUTED_VALUE"""),"C06019")</f>
        <v>C06019</v>
      </c>
      <c r="D285" s="4"/>
      <c r="E285" s="4"/>
      <c r="F285" s="4"/>
      <c r="G285" s="4"/>
    </row>
    <row r="286" spans="1:7" ht="12.5">
      <c r="A286" s="2" t="s">
        <v>16668</v>
      </c>
      <c r="C286" s="4" t="str">
        <f ca="1">IFERROR(__xludf.DUMMYFUNCTION("""COMPUTED_VALUE"""),"C00454 ")</f>
        <v xml:space="preserve">C00454 </v>
      </c>
      <c r="D286" s="4" t="str">
        <f ca="1">IFERROR(__xludf.DUMMYFUNCTION("""COMPUTED_VALUE""")," C00074")</f>
        <v xml:space="preserve"> C00074</v>
      </c>
      <c r="E286" s="4"/>
      <c r="F286" s="4"/>
      <c r="G286" s="4"/>
    </row>
    <row r="287" spans="1:7" ht="14">
      <c r="A287" s="22" t="s">
        <v>16669</v>
      </c>
      <c r="C287" s="4" t="str">
        <f ca="1">IFERROR(__xludf.DUMMYFUNCTION("""COMPUTED_VALUE"""),"C00013 ")</f>
        <v xml:space="preserve">C00013 </v>
      </c>
      <c r="D287" s="4" t="str">
        <f ca="1">IFERROR(__xludf.DUMMYFUNCTION("""COMPUTED_VALUE""")," C00046")</f>
        <v xml:space="preserve"> C00046</v>
      </c>
      <c r="E287" s="4"/>
      <c r="F287" s="4"/>
      <c r="G287" s="4"/>
    </row>
    <row r="288" spans="1:7" ht="14">
      <c r="A288" s="22" t="s">
        <v>16670</v>
      </c>
      <c r="C288" s="4" t="str">
        <f ca="1">IFERROR(__xludf.DUMMYFUNCTION("""COMPUTED_VALUE"""),"C00342 ")</f>
        <v xml:space="preserve">C00342 </v>
      </c>
      <c r="D288" s="4" t="str">
        <f ca="1">IFERROR(__xludf.DUMMYFUNCTION("""COMPUTED_VALUE""")," C00008")</f>
        <v xml:space="preserve"> C00008</v>
      </c>
      <c r="E288" s="4"/>
      <c r="F288" s="4"/>
      <c r="G288" s="4"/>
    </row>
    <row r="289" spans="1:7" ht="14">
      <c r="A289" s="22" t="s">
        <v>16671</v>
      </c>
      <c r="C289" s="4" t="str">
        <f ca="1">IFERROR(__xludf.DUMMYFUNCTION("""COMPUTED_VALUE"""),"2 C00031")</f>
        <v>2 C00031</v>
      </c>
      <c r="D289" s="4"/>
      <c r="E289" s="4"/>
      <c r="F289" s="4"/>
      <c r="G289" s="4"/>
    </row>
    <row r="290" spans="1:7" ht="14">
      <c r="A290" s="27" t="s">
        <v>16672</v>
      </c>
      <c r="C290" s="4" t="str">
        <f ca="1">IFERROR(__xludf.DUMMYFUNCTION("""COMPUTED_VALUE"""),"C00294 ")</f>
        <v xml:space="preserve">C00294 </v>
      </c>
      <c r="D290" s="4" t="str">
        <f ca="1">IFERROR(__xludf.DUMMYFUNCTION("""COMPUTED_VALUE""")," C00014")</f>
        <v xml:space="preserve"> C00014</v>
      </c>
      <c r="E290" s="4"/>
      <c r="F290" s="4"/>
      <c r="G290" s="4"/>
    </row>
    <row r="291" spans="1:7" ht="14">
      <c r="A291" s="22" t="s">
        <v>16673</v>
      </c>
      <c r="C291" s="4" t="str">
        <f ca="1">IFERROR(__xludf.DUMMYFUNCTION("""COMPUTED_VALUE"""),"C00178 ")</f>
        <v xml:space="preserve">C00178 </v>
      </c>
      <c r="D291" s="4" t="str">
        <f ca="1">IFERROR(__xludf.DUMMYFUNCTION("""COMPUTED_VALUE""")," C00672")</f>
        <v xml:space="preserve"> C00672</v>
      </c>
      <c r="E291" s="4"/>
      <c r="F291" s="4"/>
      <c r="G291" s="4"/>
    </row>
    <row r="292" spans="1:7" ht="14">
      <c r="A292" s="22" t="s">
        <v>16674</v>
      </c>
      <c r="C292" s="4" t="str">
        <f ca="1">IFERROR(__xludf.DUMMYFUNCTION("""COMPUTED_VALUE"""),"C00071 ")</f>
        <v xml:space="preserve">C00071 </v>
      </c>
      <c r="D292" s="4" t="str">
        <f ca="1">IFERROR(__xludf.DUMMYFUNCTION("""COMPUTED_VALUE""")," C00004 ")</f>
        <v xml:space="preserve"> C00004 </v>
      </c>
      <c r="E292" s="4" t="str">
        <f ca="1">IFERROR(__xludf.DUMMYFUNCTION("""COMPUTED_VALUE""")," C00080")</f>
        <v xml:space="preserve"> C00080</v>
      </c>
      <c r="F292" s="4"/>
      <c r="G292" s="4"/>
    </row>
    <row r="293" spans="1:7" ht="14">
      <c r="A293" s="22" t="s">
        <v>16675</v>
      </c>
      <c r="C293" s="4" t="str">
        <f ca="1">IFERROR(__xludf.DUMMYFUNCTION("""COMPUTED_VALUE"""),"C00101 ")</f>
        <v xml:space="preserve">C00101 </v>
      </c>
      <c r="D293" s="4" t="str">
        <f ca="1">IFERROR(__xludf.DUMMYFUNCTION("""COMPUTED_VALUE""")," C04376")</f>
        <v xml:space="preserve"> C04376</v>
      </c>
      <c r="E293" s="4"/>
      <c r="F293" s="4"/>
      <c r="G293" s="4"/>
    </row>
    <row r="294" spans="1:7" ht="14">
      <c r="A294" s="22" t="s">
        <v>16676</v>
      </c>
      <c r="C294" s="4" t="str">
        <f ca="1">IFERROR(__xludf.DUMMYFUNCTION("""COMPUTED_VALUE"""),"C00101 ")</f>
        <v xml:space="preserve">C00101 </v>
      </c>
      <c r="D294" s="4" t="str">
        <f ca="1">IFERROR(__xludf.DUMMYFUNCTION("""COMPUTED_VALUE""")," C04734")</f>
        <v xml:space="preserve"> C04734</v>
      </c>
      <c r="E294" s="4"/>
      <c r="F294" s="4"/>
      <c r="G294" s="4"/>
    </row>
    <row r="295" spans="1:7" ht="14">
      <c r="A295" s="22" t="s">
        <v>16677</v>
      </c>
      <c r="C295" s="4" t="str">
        <f ca="1">IFERROR(__xludf.DUMMYFUNCTION("""COMPUTED_VALUE"""),"C00013 ")</f>
        <v xml:space="preserve">C00013 </v>
      </c>
      <c r="D295" s="4" t="str">
        <f ca="1">IFERROR(__xludf.DUMMYFUNCTION("""COMPUTED_VALUE""")," C04432")</f>
        <v xml:space="preserve"> C04432</v>
      </c>
      <c r="E295" s="4"/>
      <c r="F295" s="4"/>
      <c r="G295" s="4"/>
    </row>
    <row r="296" spans="1:7" ht="12.5">
      <c r="A296" s="4" t="s">
        <v>12724</v>
      </c>
      <c r="C296" s="4" t="str">
        <f ca="1">IFERROR(__xludf.DUMMYFUNCTION("""COMPUTED_VALUE"""),"C00881 ")</f>
        <v xml:space="preserve">C00881 </v>
      </c>
      <c r="D296" s="4" t="str">
        <f ca="1">IFERROR(__xludf.DUMMYFUNCTION("""COMPUTED_VALUE""")," C00009")</f>
        <v xml:space="preserve"> C00009</v>
      </c>
      <c r="E296" s="4"/>
      <c r="F296" s="4"/>
      <c r="G296" s="4"/>
    </row>
    <row r="297" spans="1:7" ht="14">
      <c r="A297" s="22" t="s">
        <v>16678</v>
      </c>
      <c r="C297" s="4" t="str">
        <f ca="1">IFERROR(__xludf.DUMMYFUNCTION("""COMPUTED_VALUE"""),"C00060 ")</f>
        <v xml:space="preserve">C00060 </v>
      </c>
      <c r="D297" s="4" t="str">
        <f ca="1">IFERROR(__xludf.DUMMYFUNCTION("""COMPUTED_VALUE""")," C00014")</f>
        <v xml:space="preserve"> C00014</v>
      </c>
      <c r="E297" s="4"/>
      <c r="F297" s="4"/>
      <c r="G297" s="4"/>
    </row>
    <row r="298" spans="1:7" ht="14">
      <c r="A298" s="22" t="s">
        <v>16679</v>
      </c>
      <c r="C298" s="4" t="str">
        <f ca="1">IFERROR(__xludf.DUMMYFUNCTION("""COMPUTED_VALUE"""),"C00031 ")</f>
        <v xml:space="preserve">C00031 </v>
      </c>
      <c r="D298" s="4" t="str">
        <f ca="1">IFERROR(__xludf.DUMMYFUNCTION("""COMPUTED_VALUE""")," C00962")</f>
        <v xml:space="preserve"> C00962</v>
      </c>
      <c r="E298" s="4"/>
      <c r="F298" s="4"/>
      <c r="G298" s="4"/>
    </row>
    <row r="299" spans="1:7" ht="14">
      <c r="A299" s="22" t="s">
        <v>16680</v>
      </c>
      <c r="C299" s="4" t="str">
        <f ca="1">IFERROR(__xludf.DUMMYFUNCTION("""COMPUTED_VALUE"""),"C00267 ")</f>
        <v xml:space="preserve">C00267 </v>
      </c>
      <c r="D299" s="4" t="str">
        <f ca="1">IFERROR(__xludf.DUMMYFUNCTION("""COMPUTED_VALUE""")," C00124")</f>
        <v xml:space="preserve"> C00124</v>
      </c>
      <c r="E299" s="4"/>
      <c r="F299" s="4"/>
      <c r="G299" s="4"/>
    </row>
    <row r="300" spans="1:7" ht="14">
      <c r="A300" s="22" t="s">
        <v>16681</v>
      </c>
      <c r="C300" s="4" t="str">
        <f ca="1">IFERROR(__xludf.DUMMYFUNCTION("""COMPUTED_VALUE"""),"C16698 ")</f>
        <v xml:space="preserve">C16698 </v>
      </c>
      <c r="D300" s="4" t="str">
        <f ca="1">IFERROR(__xludf.DUMMYFUNCTION("""COMPUTED_VALUE""")," C00001")</f>
        <v xml:space="preserve"> C00001</v>
      </c>
      <c r="E300" s="4"/>
      <c r="F300" s="4"/>
      <c r="G300" s="4"/>
    </row>
    <row r="301" spans="1:7" ht="14">
      <c r="A301" s="22" t="s">
        <v>16682</v>
      </c>
      <c r="C301" s="4" t="str">
        <f ca="1">IFERROR(__xludf.DUMMYFUNCTION("""COMPUTED_VALUE"""),"C00441 ")</f>
        <v xml:space="preserve">C00441 </v>
      </c>
      <c r="D301" s="4" t="str">
        <f ca="1">IFERROR(__xludf.DUMMYFUNCTION("""COMPUTED_VALUE""")," C00004 ")</f>
        <v xml:space="preserve"> C00004 </v>
      </c>
      <c r="E301" s="4" t="str">
        <f ca="1">IFERROR(__xludf.DUMMYFUNCTION("""COMPUTED_VALUE""")," C00080")</f>
        <v xml:space="preserve"> C00080</v>
      </c>
      <c r="F301" s="4"/>
      <c r="G301" s="4"/>
    </row>
    <row r="302" spans="1:7" ht="14">
      <c r="A302" s="22" t="s">
        <v>16683</v>
      </c>
      <c r="C302" s="4" t="str">
        <f ca="1">IFERROR(__xludf.DUMMYFUNCTION("""COMPUTED_VALUE"""),"C00441 ")</f>
        <v xml:space="preserve">C00441 </v>
      </c>
      <c r="D302" s="4" t="str">
        <f ca="1">IFERROR(__xludf.DUMMYFUNCTION("""COMPUTED_VALUE""")," C00005 ")</f>
        <v xml:space="preserve"> C00005 </v>
      </c>
      <c r="E302" s="4" t="str">
        <f ca="1">IFERROR(__xludf.DUMMYFUNCTION("""COMPUTED_VALUE""")," C00080")</f>
        <v xml:space="preserve"> C00080</v>
      </c>
      <c r="F302" s="4"/>
      <c r="G302" s="4"/>
    </row>
    <row r="303" spans="1:7" ht="14">
      <c r="A303" s="22" t="s">
        <v>16684</v>
      </c>
      <c r="C303" s="4" t="str">
        <f ca="1">IFERROR(__xludf.DUMMYFUNCTION("""COMPUTED_VALUE"""),"C00055 ")</f>
        <v xml:space="preserve">C00055 </v>
      </c>
      <c r="D303" s="4" t="str">
        <f ca="1">IFERROR(__xludf.DUMMYFUNCTION("""COMPUTED_VALUE""")," C03892")</f>
        <v xml:space="preserve"> C03892</v>
      </c>
      <c r="E303" s="4"/>
      <c r="F303" s="4"/>
      <c r="G303" s="4"/>
    </row>
    <row r="304" spans="1:7" ht="14">
      <c r="A304" s="22" t="s">
        <v>16685</v>
      </c>
      <c r="C304" s="4" t="str">
        <f ca="1">IFERROR(__xludf.DUMMYFUNCTION("""COMPUTED_VALUE"""),"C02953 ")</f>
        <v xml:space="preserve">C02953 </v>
      </c>
      <c r="D304" s="4" t="str">
        <f ca="1">IFERROR(__xludf.DUMMYFUNCTION("""COMPUTED_VALUE""")," C00005 ")</f>
        <v xml:space="preserve"> C00005 </v>
      </c>
      <c r="E304" s="4" t="str">
        <f ca="1">IFERROR(__xludf.DUMMYFUNCTION("""COMPUTED_VALUE""")," C00080")</f>
        <v xml:space="preserve"> C00080</v>
      </c>
      <c r="F304" s="4"/>
      <c r="G304" s="4"/>
    </row>
    <row r="305" spans="1:7" ht="14">
      <c r="A305" s="22" t="s">
        <v>16686</v>
      </c>
      <c r="C305" s="4" t="str">
        <f ca="1">IFERROR(__xludf.DUMMYFUNCTION("""COMPUTED_VALUE"""),"C00085")</f>
        <v>C00085</v>
      </c>
      <c r="D305" s="4"/>
      <c r="E305" s="4"/>
      <c r="F305" s="4"/>
      <c r="G305" s="4"/>
    </row>
    <row r="306" spans="1:7" ht="12.5">
      <c r="A306" s="2" t="s">
        <v>16687</v>
      </c>
      <c r="C306" s="4" t="str">
        <f ca="1">IFERROR(__xludf.DUMMYFUNCTION("""COMPUTED_VALUE"""),"C05345")</f>
        <v>C05345</v>
      </c>
      <c r="D306" s="4"/>
      <c r="E306" s="4"/>
      <c r="F306" s="4"/>
      <c r="G306" s="4"/>
    </row>
    <row r="307" spans="1:7" ht="12.5">
      <c r="A307" s="2" t="s">
        <v>16688</v>
      </c>
      <c r="C307" s="4" t="str">
        <f ca="1">IFERROR(__xludf.DUMMYFUNCTION("""COMPUTED_VALUE"""),"C00361 ")</f>
        <v xml:space="preserve">C00361 </v>
      </c>
      <c r="D307" s="4" t="str">
        <f ca="1">IFERROR(__xludf.DUMMYFUNCTION("""COMPUTED_VALUE""")," C00074")</f>
        <v xml:space="preserve"> C00074</v>
      </c>
      <c r="E307" s="4"/>
      <c r="F307" s="4"/>
      <c r="G307" s="4"/>
    </row>
    <row r="308" spans="1:7" ht="14">
      <c r="A308" s="22" t="s">
        <v>16689</v>
      </c>
      <c r="C308" s="4" t="str">
        <f ca="1">IFERROR(__xludf.DUMMYFUNCTION("""COMPUTED_VALUE"""),"C00013 ")</f>
        <v xml:space="preserve">C00013 </v>
      </c>
      <c r="D308" s="4" t="str">
        <f ca="1">IFERROR(__xludf.DUMMYFUNCTION("""COMPUTED_VALUE""")," C00039")</f>
        <v xml:space="preserve"> C00039</v>
      </c>
      <c r="E308" s="4"/>
      <c r="F308" s="4"/>
      <c r="G308" s="4"/>
    </row>
    <row r="309" spans="1:7" ht="14">
      <c r="A309" s="22" t="s">
        <v>16690</v>
      </c>
      <c r="C309" s="4" t="str">
        <f ca="1">IFERROR(__xludf.DUMMYFUNCTION("""COMPUTED_VALUE"""),"C00044 ")</f>
        <v xml:space="preserve">C00044 </v>
      </c>
      <c r="D309" s="4" t="str">
        <f ca="1">IFERROR(__xludf.DUMMYFUNCTION("""COMPUTED_VALUE""")," C00342")</f>
        <v xml:space="preserve"> C00342</v>
      </c>
      <c r="E309" s="4"/>
      <c r="F309" s="4"/>
      <c r="G309" s="4"/>
    </row>
    <row r="310" spans="1:7" ht="14">
      <c r="A310" s="22" t="s">
        <v>16691</v>
      </c>
      <c r="C310" s="4" t="str">
        <f ca="1">IFERROR(__xludf.DUMMYFUNCTION("""COMPUTED_VALUE"""),"C00106 ")</f>
        <v xml:space="preserve">C00106 </v>
      </c>
      <c r="D310" s="4" t="str">
        <f ca="1">IFERROR(__xludf.DUMMYFUNCTION("""COMPUTED_VALUE""")," C00620")</f>
        <v xml:space="preserve"> C00620</v>
      </c>
      <c r="E310" s="4"/>
      <c r="F310" s="4"/>
      <c r="G310" s="4"/>
    </row>
    <row r="311" spans="1:7" ht="12.5">
      <c r="A311" s="4" t="s">
        <v>12666</v>
      </c>
      <c r="C311" s="4" t="str">
        <f ca="1">IFERROR(__xludf.DUMMYFUNCTION("""COMPUTED_VALUE"""),"C00250 ")</f>
        <v xml:space="preserve">C00250 </v>
      </c>
      <c r="D311" s="4" t="str">
        <f ca="1">IFERROR(__xludf.DUMMYFUNCTION("""COMPUTED_VALUE""")," C00027")</f>
        <v xml:space="preserve"> C00027</v>
      </c>
      <c r="E311" s="4"/>
      <c r="F311" s="4"/>
      <c r="G311" s="4"/>
    </row>
    <row r="312" spans="1:7" ht="14">
      <c r="A312" s="22" t="s">
        <v>16692</v>
      </c>
      <c r="C312" s="4" t="str">
        <f ca="1">IFERROR(__xludf.DUMMYFUNCTION("""COMPUTED_VALUE"""),"C00438")</f>
        <v>C00438</v>
      </c>
      <c r="D312" s="4"/>
      <c r="E312" s="4"/>
      <c r="F312" s="4"/>
      <c r="G312" s="4"/>
    </row>
    <row r="313" spans="1:7" ht="12.5">
      <c r="A313" s="2" t="s">
        <v>16693</v>
      </c>
      <c r="C313" s="4" t="str">
        <f ca="1">IFERROR(__xludf.DUMMYFUNCTION("""COMPUTED_VALUE"""),"C00295 ")</f>
        <v xml:space="preserve">C00295 </v>
      </c>
      <c r="D313" s="4" t="str">
        <f ca="1">IFERROR(__xludf.DUMMYFUNCTION("""COMPUTED_VALUE""")," C00080 ")</f>
        <v xml:space="preserve"> C00080 </v>
      </c>
      <c r="E313" s="4" t="str">
        <f ca="1">IFERROR(__xludf.DUMMYFUNCTION("""COMPUTED_VALUE""")," C00004")</f>
        <v xml:space="preserve"> C00004</v>
      </c>
      <c r="F313" s="4"/>
      <c r="G313" s="4"/>
    </row>
    <row r="314" spans="1:7" ht="14">
      <c r="A314" s="22" t="s">
        <v>16694</v>
      </c>
      <c r="C314" s="4" t="str">
        <f ca="1">IFERROR(__xludf.DUMMYFUNCTION("""COMPUTED_VALUE"""),"C00295 ")</f>
        <v xml:space="preserve">C00295 </v>
      </c>
      <c r="D314" s="4" t="str">
        <f ca="1">IFERROR(__xludf.DUMMYFUNCTION("""COMPUTED_VALUE""")," C00042")</f>
        <v xml:space="preserve"> C00042</v>
      </c>
      <c r="E314" s="4"/>
      <c r="F314" s="4"/>
      <c r="G314" s="4"/>
    </row>
    <row r="315" spans="1:7" ht="14">
      <c r="A315" s="22" t="s">
        <v>16695</v>
      </c>
      <c r="C315" s="4" t="str">
        <f ca="1">IFERROR(__xludf.DUMMYFUNCTION("""COMPUTED_VALUE"""),"C00343 ")</f>
        <v xml:space="preserve">C00343 </v>
      </c>
      <c r="D315" s="4" t="str">
        <f ca="1">IFERROR(__xludf.DUMMYFUNCTION("""COMPUTED_VALUE""")," C00005 ")</f>
        <v xml:space="preserve"> C00005 </v>
      </c>
      <c r="E315" s="4" t="str">
        <f ca="1">IFERROR(__xludf.DUMMYFUNCTION("""COMPUTED_VALUE""")," C00080")</f>
        <v xml:space="preserve"> C00080</v>
      </c>
      <c r="F315" s="4"/>
      <c r="G315" s="4"/>
    </row>
    <row r="316" spans="1:7" ht="14">
      <c r="A316" s="22" t="s">
        <v>16696</v>
      </c>
      <c r="C316" s="4" t="str">
        <f ca="1">IFERROR(__xludf.DUMMYFUNCTION("""COMPUTED_VALUE"""),"C00199 ")</f>
        <v xml:space="preserve">C00199 </v>
      </c>
      <c r="D316" s="4" t="str">
        <f ca="1">IFERROR(__xludf.DUMMYFUNCTION("""COMPUTED_VALUE""")," C00011 ")</f>
        <v xml:space="preserve"> C00011 </v>
      </c>
      <c r="E316" s="4" t="str">
        <f ca="1">IFERROR(__xludf.DUMMYFUNCTION("""COMPUTED_VALUE""")," C00004 ")</f>
        <v xml:space="preserve"> C00004 </v>
      </c>
      <c r="F316" s="4" t="str">
        <f ca="1">IFERROR(__xludf.DUMMYFUNCTION("""COMPUTED_VALUE""")," C00080")</f>
        <v xml:space="preserve"> C00080</v>
      </c>
      <c r="G316" s="4"/>
    </row>
    <row r="317" spans="1:7" ht="12.5">
      <c r="A317" s="4" t="s">
        <v>12629</v>
      </c>
      <c r="C317" s="4" t="str">
        <f ca="1">IFERROR(__xludf.DUMMYFUNCTION("""COMPUTED_VALUE"""),"C00199 ")</f>
        <v xml:space="preserve">C00199 </v>
      </c>
      <c r="D317" s="4" t="str">
        <f ca="1">IFERROR(__xludf.DUMMYFUNCTION("""COMPUTED_VALUE""")," C00011 ")</f>
        <v xml:space="preserve"> C00011 </v>
      </c>
      <c r="E317" s="4" t="str">
        <f ca="1">IFERROR(__xludf.DUMMYFUNCTION("""COMPUTED_VALUE""")," C00005 ")</f>
        <v xml:space="preserve"> C00005 </v>
      </c>
      <c r="F317" s="4" t="str">
        <f ca="1">IFERROR(__xludf.DUMMYFUNCTION("""COMPUTED_VALUE""")," C00080")</f>
        <v xml:space="preserve"> C00080</v>
      </c>
      <c r="G317" s="4"/>
    </row>
    <row r="318" spans="1:7" ht="14">
      <c r="A318" s="22" t="s">
        <v>16697</v>
      </c>
      <c r="C318" s="4" t="str">
        <f ca="1">IFERROR(__xludf.DUMMYFUNCTION("""COMPUTED_VALUE"""),"C00085 ")</f>
        <v xml:space="preserve">C00085 </v>
      </c>
      <c r="D318" s="4" t="str">
        <f ca="1">IFERROR(__xludf.DUMMYFUNCTION("""COMPUTED_VALUE""")," C00014")</f>
        <v xml:space="preserve"> C00014</v>
      </c>
      <c r="E318" s="4"/>
      <c r="F318" s="4"/>
      <c r="G318" s="4"/>
    </row>
    <row r="319" spans="1:7" ht="14">
      <c r="A319" s="22" t="s">
        <v>16698</v>
      </c>
      <c r="C319" s="4" t="str">
        <f ca="1">IFERROR(__xludf.DUMMYFUNCTION("""COMPUTED_VALUE"""),"C00111 ")</f>
        <v xml:space="preserve">C00111 </v>
      </c>
      <c r="D319" s="4" t="str">
        <f ca="1">IFERROR(__xludf.DUMMYFUNCTION("""COMPUTED_VALUE""")," C00118")</f>
        <v xml:space="preserve"> C00118</v>
      </c>
      <c r="E319" s="4"/>
      <c r="F319" s="4"/>
      <c r="G319" s="4"/>
    </row>
    <row r="320" spans="1:7" ht="14">
      <c r="A320" s="22" t="s">
        <v>16699</v>
      </c>
      <c r="C320" s="4" t="str">
        <f ca="1">IFERROR(__xludf.DUMMYFUNCTION("""COMPUTED_VALUE"""),"C00085 ")</f>
        <v xml:space="preserve">C00085 </v>
      </c>
      <c r="D320" s="4" t="str">
        <f ca="1">IFERROR(__xludf.DUMMYFUNCTION("""COMPUTED_VALUE""")," C00009")</f>
        <v xml:space="preserve"> C00009</v>
      </c>
      <c r="E320" s="4"/>
      <c r="F320" s="4"/>
      <c r="G320" s="4"/>
    </row>
    <row r="321" spans="1:7" ht="14">
      <c r="A321" s="22" t="s">
        <v>16700</v>
      </c>
      <c r="C321" s="4" t="str">
        <f ca="1">IFERROR(__xludf.DUMMYFUNCTION("""COMPUTED_VALUE"""),"C00024 ")</f>
        <v xml:space="preserve">C00024 </v>
      </c>
      <c r="D321" s="4" t="str">
        <f ca="1">IFERROR(__xludf.DUMMYFUNCTION("""COMPUTED_VALUE""")," C00001 ")</f>
        <v xml:space="preserve"> C00001 </v>
      </c>
      <c r="E321" s="4" t="str">
        <f ca="1">IFERROR(__xludf.DUMMYFUNCTION("""COMPUTED_VALUE""")," C00332")</f>
        <v xml:space="preserve"> C00332</v>
      </c>
      <c r="F321" s="4"/>
      <c r="G321" s="4"/>
    </row>
    <row r="322" spans="1:7" ht="14">
      <c r="A322" s="22" t="s">
        <v>16701</v>
      </c>
      <c r="C322" s="4" t="str">
        <f ca="1">IFERROR(__xludf.DUMMYFUNCTION("""COMPUTED_VALUE"""),"C00352 ")</f>
        <v xml:space="preserve">C00352 </v>
      </c>
      <c r="D322" s="4" t="str">
        <f ca="1">IFERROR(__xludf.DUMMYFUNCTION("""COMPUTED_VALUE""")," C00033")</f>
        <v xml:space="preserve"> C00033</v>
      </c>
      <c r="E322" s="4"/>
      <c r="F322" s="4"/>
      <c r="G322" s="4"/>
    </row>
    <row r="323" spans="1:7" ht="14">
      <c r="A323" s="22" t="s">
        <v>16702</v>
      </c>
      <c r="C323" s="4" t="str">
        <f ca="1">IFERROR(__xludf.DUMMYFUNCTION("""COMPUTED_VALUE"""),"C00559 ")</f>
        <v xml:space="preserve">C00559 </v>
      </c>
      <c r="D323" s="4" t="str">
        <f ca="1">IFERROR(__xludf.DUMMYFUNCTION("""COMPUTED_VALUE""")," C00009")</f>
        <v xml:space="preserve"> C00009</v>
      </c>
      <c r="E323" s="4"/>
      <c r="F323" s="4"/>
      <c r="G323" s="4"/>
    </row>
    <row r="324" spans="1:7" ht="14">
      <c r="A324" s="22" t="s">
        <v>16703</v>
      </c>
      <c r="C324" s="4" t="str">
        <f ca="1">IFERROR(__xludf.DUMMYFUNCTION("""COMPUTED_VALUE"""),"C00035 ")</f>
        <v xml:space="preserve">C00035 </v>
      </c>
      <c r="D324" s="4" t="str">
        <f ca="1">IFERROR(__xludf.DUMMYFUNCTION("""COMPUTED_VALUE""")," C00342")</f>
        <v xml:space="preserve"> C00342</v>
      </c>
      <c r="E324" s="4"/>
      <c r="F324" s="4"/>
      <c r="G324" s="4"/>
    </row>
    <row r="325" spans="1:7" ht="14">
      <c r="A325" s="22" t="s">
        <v>16704</v>
      </c>
      <c r="C325" s="4" t="str">
        <f ca="1">IFERROR(__xludf.DUMMYFUNCTION("""COMPUTED_VALUE"""),"C00330 ")</f>
        <v xml:space="preserve">C00330 </v>
      </c>
      <c r="D325" s="4" t="str">
        <f ca="1">IFERROR(__xludf.DUMMYFUNCTION("""COMPUTED_VALUE""")," C00009")</f>
        <v xml:space="preserve"> C00009</v>
      </c>
      <c r="E325" s="4"/>
      <c r="F325" s="4"/>
      <c r="G325" s="4"/>
    </row>
    <row r="326" spans="1:7" ht="14">
      <c r="A326" s="22" t="s">
        <v>16705</v>
      </c>
      <c r="C326" s="4" t="str">
        <f ca="1">IFERROR(__xludf.DUMMYFUNCTION("""COMPUTED_VALUE"""),"C00214 ")</f>
        <v xml:space="preserve">C00214 </v>
      </c>
      <c r="D326" s="4" t="str">
        <f ca="1">IFERROR(__xludf.DUMMYFUNCTION("""COMPUTED_VALUE""")," C00009")</f>
        <v xml:space="preserve"> C00009</v>
      </c>
      <c r="E326" s="4"/>
      <c r="F326" s="4"/>
      <c r="G326" s="4"/>
    </row>
    <row r="327" spans="1:7" ht="14">
      <c r="A327" s="22" t="s">
        <v>16706</v>
      </c>
      <c r="C327" s="4" t="str">
        <f ca="1">IFERROR(__xludf.DUMMYFUNCTION("""COMPUTED_VALUE"""),"C00526 ")</f>
        <v xml:space="preserve">C00526 </v>
      </c>
      <c r="D327" s="4" t="str">
        <f ca="1">IFERROR(__xludf.DUMMYFUNCTION("""COMPUTED_VALUE""")," C00009")</f>
        <v xml:space="preserve"> C00009</v>
      </c>
      <c r="E327" s="4"/>
      <c r="F327" s="4"/>
      <c r="G327" s="4"/>
    </row>
    <row r="328" spans="1:7" ht="14">
      <c r="A328" s="22" t="s">
        <v>16707</v>
      </c>
      <c r="C328" s="4" t="str">
        <f ca="1">IFERROR(__xludf.DUMMYFUNCTION("""COMPUTED_VALUE"""),"C00415 ")</f>
        <v xml:space="preserve">C00415 </v>
      </c>
      <c r="D328" s="4" t="str">
        <f ca="1">IFERROR(__xludf.DUMMYFUNCTION("""COMPUTED_VALUE""")," C00364")</f>
        <v xml:space="preserve"> C00364</v>
      </c>
      <c r="E328" s="4"/>
      <c r="F328" s="4"/>
      <c r="G328" s="4"/>
    </row>
    <row r="329" spans="1:7" ht="14">
      <c r="A329" s="22" t="s">
        <v>16708</v>
      </c>
      <c r="C329" s="4" t="str">
        <f ca="1">IFERROR(__xludf.DUMMYFUNCTION("""COMPUTED_VALUE"""),"C00718 ")</f>
        <v xml:space="preserve">C00718 </v>
      </c>
      <c r="D329" s="4" t="str">
        <f ca="1">IFERROR(__xludf.DUMMYFUNCTION("""COMPUTED_VALUE""")," C00103")</f>
        <v xml:space="preserve"> C00103</v>
      </c>
      <c r="E329" s="4"/>
      <c r="F329" s="4"/>
      <c r="G329" s="4"/>
    </row>
    <row r="330" spans="1:7" ht="14">
      <c r="A330" s="22" t="s">
        <v>16709</v>
      </c>
      <c r="C330" s="4" t="str">
        <f ca="1">IFERROR(__xludf.DUMMYFUNCTION("""COMPUTED_VALUE"""),"C01279 ")</f>
        <v xml:space="preserve">C01279 </v>
      </c>
      <c r="D330" s="4" t="str">
        <f ca="1">IFERROR(__xludf.DUMMYFUNCTION("""COMPUTED_VALUE""")," C04294 ")</f>
        <v xml:space="preserve"> C04294 </v>
      </c>
      <c r="E330" s="4" t="str">
        <f ca="1">IFERROR(__xludf.DUMMYFUNCTION("""COMPUTED_VALUE""")," C00080")</f>
        <v xml:space="preserve"> C00080</v>
      </c>
      <c r="F330" s="4"/>
      <c r="G330" s="4"/>
    </row>
    <row r="331" spans="1:7" ht="14">
      <c r="A331" s="22" t="s">
        <v>16710</v>
      </c>
      <c r="C331" s="4" t="str">
        <f ca="1">IFERROR(__xludf.DUMMYFUNCTION("""COMPUTED_VALUE"""),"C00404(n-1) ")</f>
        <v xml:space="preserve">C00404(n-1) </v>
      </c>
      <c r="D331" s="4" t="str">
        <f ca="1">IFERROR(__xludf.DUMMYFUNCTION("""COMPUTED_VALUE""")," C00009")</f>
        <v xml:space="preserve"> C00009</v>
      </c>
      <c r="E331" s="4"/>
      <c r="F331" s="4"/>
      <c r="G331" s="4"/>
    </row>
    <row r="332" spans="1:7" ht="14">
      <c r="A332" s="22" t="s">
        <v>16711</v>
      </c>
      <c r="C332" s="4" t="str">
        <f ca="1">IFERROR(__xludf.DUMMYFUNCTION("""COMPUTED_VALUE"""),"C00671 ")</f>
        <v xml:space="preserve">C00671 </v>
      </c>
      <c r="D332" s="4" t="str">
        <f ca="1">IFERROR(__xludf.DUMMYFUNCTION("""COMPUTED_VALUE""")," C00025")</f>
        <v xml:space="preserve"> C00025</v>
      </c>
      <c r="E332" s="4"/>
      <c r="F332" s="4"/>
      <c r="G332" s="4"/>
    </row>
    <row r="333" spans="1:7" ht="12.5">
      <c r="A333" s="4" t="s">
        <v>12738</v>
      </c>
      <c r="C333" s="4" t="str">
        <f ca="1">IFERROR(__xludf.DUMMYFUNCTION("""COMPUTED_VALUE"""),"C00504 ")</f>
        <v xml:space="preserve">C00504 </v>
      </c>
      <c r="D333" s="4" t="str">
        <f ca="1">IFERROR(__xludf.DUMMYFUNCTION("""COMPUTED_VALUE""")," C00004 ")</f>
        <v xml:space="preserve"> C00004 </v>
      </c>
      <c r="E333" s="4" t="str">
        <f ca="1">IFERROR(__xludf.DUMMYFUNCTION("""COMPUTED_VALUE""")," C00080")</f>
        <v xml:space="preserve"> C00080</v>
      </c>
      <c r="F333" s="4"/>
      <c r="G333" s="4"/>
    </row>
    <row r="334" spans="1:7" ht="14">
      <c r="A334" s="22" t="s">
        <v>16712</v>
      </c>
      <c r="C334" s="4" t="str">
        <f ca="1">IFERROR(__xludf.DUMMYFUNCTION("""COMPUTED_VALUE"""),"C00504 ")</f>
        <v xml:space="preserve">C00504 </v>
      </c>
      <c r="D334" s="4" t="str">
        <f ca="1">IFERROR(__xludf.DUMMYFUNCTION("""COMPUTED_VALUE""")," C00005 ")</f>
        <v xml:space="preserve"> C00005 </v>
      </c>
      <c r="E334" s="4" t="str">
        <f ca="1">IFERROR(__xludf.DUMMYFUNCTION("""COMPUTED_VALUE""")," C00080")</f>
        <v xml:space="preserve"> C00080</v>
      </c>
      <c r="F334" s="4"/>
      <c r="G334" s="4"/>
    </row>
    <row r="335" spans="1:7" ht="14">
      <c r="A335" s="22" t="s">
        <v>16713</v>
      </c>
      <c r="C335" s="4" t="str">
        <f ca="1">IFERROR(__xludf.DUMMYFUNCTION("""COMPUTED_VALUE"""),"C00772 ")</f>
        <v xml:space="preserve">C00772 </v>
      </c>
      <c r="D335" s="4" t="str">
        <f ca="1">IFERROR(__xludf.DUMMYFUNCTION("""COMPUTED_VALUE""")," C00004 ")</f>
        <v xml:space="preserve"> C00004 </v>
      </c>
      <c r="E335" s="4" t="str">
        <f ca="1">IFERROR(__xludf.DUMMYFUNCTION("""COMPUTED_VALUE""")," C00080")</f>
        <v xml:space="preserve"> C00080</v>
      </c>
      <c r="F335" s="4"/>
      <c r="G335" s="4"/>
    </row>
    <row r="336" spans="1:7" ht="14">
      <c r="A336" s="22" t="s">
        <v>16714</v>
      </c>
      <c r="C336" s="4" t="str">
        <f ca="1">IFERROR(__xludf.DUMMYFUNCTION("""COMPUTED_VALUE"""),"C00356 ")</f>
        <v xml:space="preserve">C00356 </v>
      </c>
      <c r="D336" s="4" t="str">
        <f ca="1">IFERROR(__xludf.DUMMYFUNCTION("""COMPUTED_VALUE""")," 2 C00004 ")</f>
        <v xml:space="preserve"> 2 C00004 </v>
      </c>
      <c r="E336" s="4" t="str">
        <f ca="1">IFERROR(__xludf.DUMMYFUNCTION("""COMPUTED_VALUE""")," 2 C00080")</f>
        <v xml:space="preserve"> 2 C00080</v>
      </c>
      <c r="F336" s="4"/>
      <c r="G336" s="4"/>
    </row>
    <row r="337" spans="1:7" ht="14">
      <c r="A337" s="22" t="s">
        <v>16715</v>
      </c>
      <c r="C337" s="4" t="str">
        <f ca="1">IFERROR(__xludf.DUMMYFUNCTION("""COMPUTED_VALUE"""),"C00143 ")</f>
        <v xml:space="preserve">C00143 </v>
      </c>
      <c r="D337" s="4" t="str">
        <f ca="1">IFERROR(__xludf.DUMMYFUNCTION("""COMPUTED_VALUE""")," C00004 ")</f>
        <v xml:space="preserve"> C00004 </v>
      </c>
      <c r="E337" s="4" t="str">
        <f ca="1">IFERROR(__xludf.DUMMYFUNCTION("""COMPUTED_VALUE""")," C00080")</f>
        <v xml:space="preserve"> C00080</v>
      </c>
      <c r="F337" s="4"/>
      <c r="G337" s="4"/>
    </row>
    <row r="338" spans="1:7" ht="14">
      <c r="A338" s="22" t="s">
        <v>16716</v>
      </c>
      <c r="C338" s="4" t="str">
        <f ca="1">IFERROR(__xludf.DUMMYFUNCTION("""COMPUTED_VALUE"""),"C00143 ")</f>
        <v xml:space="preserve">C00143 </v>
      </c>
      <c r="D338" s="4" t="str">
        <f ca="1">IFERROR(__xludf.DUMMYFUNCTION("""COMPUTED_VALUE""")," C00005 ")</f>
        <v xml:space="preserve"> C00005 </v>
      </c>
      <c r="E338" s="4" t="str">
        <f ca="1">IFERROR(__xludf.DUMMYFUNCTION("""COMPUTED_VALUE""")," C00080")</f>
        <v xml:space="preserve"> C00080</v>
      </c>
      <c r="F338" s="4"/>
      <c r="G338" s="4"/>
    </row>
    <row r="339" spans="1:7" ht="14">
      <c r="A339" s="22" t="s">
        <v>16717</v>
      </c>
      <c r="C339" s="4" t="str">
        <f ca="1">IFERROR(__xludf.DUMMYFUNCTION("""COMPUTED_VALUE"""),"C03082 ")</f>
        <v xml:space="preserve">C03082 </v>
      </c>
      <c r="D339" s="4" t="str">
        <f ca="1">IFERROR(__xludf.DUMMYFUNCTION("""COMPUTED_VALUE""")," C00005 ")</f>
        <v xml:space="preserve"> C00005 </v>
      </c>
      <c r="E339" s="4" t="str">
        <f ca="1">IFERROR(__xludf.DUMMYFUNCTION("""COMPUTED_VALUE""")," C00080")</f>
        <v xml:space="preserve"> C00080</v>
      </c>
      <c r="F339" s="4"/>
      <c r="G339" s="4"/>
    </row>
    <row r="340" spans="1:7" ht="14">
      <c r="A340" s="22" t="s">
        <v>16718</v>
      </c>
      <c r="C340" s="4" t="str">
        <f ca="1">IFERROR(__xludf.DUMMYFUNCTION("""COMPUTED_VALUE"""),"C20258 ")</f>
        <v xml:space="preserve">C20258 </v>
      </c>
      <c r="D340" s="4" t="str">
        <f ca="1">IFERROR(__xludf.DUMMYFUNCTION("""COMPUTED_VALUE""")," C00001")</f>
        <v xml:space="preserve"> C00001</v>
      </c>
      <c r="E340" s="4"/>
      <c r="F340" s="4"/>
      <c r="G340" s="4"/>
    </row>
    <row r="341" spans="1:7" ht="14">
      <c r="A341" s="22" t="s">
        <v>16719</v>
      </c>
      <c r="C341" s="4" t="str">
        <f ca="1">IFERROR(__xludf.DUMMYFUNCTION("""COMPUTED_VALUE"""),"C00234 ")</f>
        <v xml:space="preserve">C00234 </v>
      </c>
      <c r="D341" s="4" t="str">
        <f ca="1">IFERROR(__xludf.DUMMYFUNCTION("""COMPUTED_VALUE""")," C00080")</f>
        <v xml:space="preserve"> C00080</v>
      </c>
      <c r="E341" s="4"/>
      <c r="F341" s="4"/>
      <c r="G341" s="4"/>
    </row>
    <row r="342" spans="1:7" ht="14">
      <c r="A342" s="22" t="s">
        <v>16720</v>
      </c>
      <c r="C342" s="4" t="str">
        <f ca="1">IFERROR(__xludf.DUMMYFUNCTION("""COMPUTED_VALUE"""),"C00111 ")</f>
        <v xml:space="preserve">C00111 </v>
      </c>
      <c r="D342" s="4" t="str">
        <f ca="1">IFERROR(__xludf.DUMMYFUNCTION("""COMPUTED_VALUE""")," C00279")</f>
        <v xml:space="preserve"> C00279</v>
      </c>
      <c r="E342" s="4"/>
      <c r="F342" s="4"/>
      <c r="G342" s="4"/>
    </row>
    <row r="343" spans="1:7" ht="14">
      <c r="A343" s="22" t="s">
        <v>16721</v>
      </c>
      <c r="C343" s="4" t="str">
        <f ca="1">IFERROR(__xludf.DUMMYFUNCTION("""COMPUTED_VALUE"""),"C05382 ")</f>
        <v xml:space="preserve">C05382 </v>
      </c>
      <c r="D343" s="4" t="str">
        <f ca="1">IFERROR(__xludf.DUMMYFUNCTION("""COMPUTED_VALUE""")," C00009")</f>
        <v xml:space="preserve"> C00009</v>
      </c>
      <c r="E343" s="4"/>
      <c r="F343" s="4"/>
      <c r="G343" s="4"/>
    </row>
    <row r="344" spans="1:7" ht="14">
      <c r="A344" s="22" t="s">
        <v>16722</v>
      </c>
      <c r="C344" s="4" t="str">
        <f ca="1">IFERROR(__xludf.DUMMYFUNCTION("""COMPUTED_VALUE"""),"C03150 ")</f>
        <v xml:space="preserve">C03150 </v>
      </c>
      <c r="D344" s="4" t="str">
        <f ca="1">IFERROR(__xludf.DUMMYFUNCTION("""COMPUTED_VALUE""")," C00009")</f>
        <v xml:space="preserve"> C00009</v>
      </c>
      <c r="E344" s="4"/>
      <c r="F344" s="4"/>
      <c r="G344" s="4"/>
    </row>
    <row r="345" spans="1:7" ht="14">
      <c r="A345" s="22" t="s">
        <v>16723</v>
      </c>
      <c r="C345" s="4" t="str">
        <f ca="1">IFERROR(__xludf.DUMMYFUNCTION("""COMPUTED_VALUE"""),"C00013 ")</f>
        <v xml:space="preserve">C00013 </v>
      </c>
      <c r="D345" s="4" t="str">
        <f ca="1">IFERROR(__xludf.DUMMYFUNCTION("""COMPUTED_VALUE""")," C00039")</f>
        <v xml:space="preserve"> C00039</v>
      </c>
      <c r="E345" s="4"/>
      <c r="F345" s="4"/>
      <c r="G345" s="4"/>
    </row>
    <row r="346" spans="1:7" ht="14">
      <c r="A346" s="22" t="s">
        <v>16724</v>
      </c>
      <c r="C346" s="4" t="str">
        <f ca="1">IFERROR(__xludf.DUMMYFUNCTION("""COMPUTED_VALUE"""),"C00063 ")</f>
        <v xml:space="preserve">C00063 </v>
      </c>
      <c r="D346" s="4" t="str">
        <f ca="1">IFERROR(__xludf.DUMMYFUNCTION("""COMPUTED_VALUE""")," C00342")</f>
        <v xml:space="preserve"> C00342</v>
      </c>
      <c r="E346" s="4"/>
      <c r="F346" s="4"/>
      <c r="G346" s="4"/>
    </row>
    <row r="347" spans="1:7" ht="14">
      <c r="A347" s="22" t="s">
        <v>16725</v>
      </c>
      <c r="C347" s="4" t="str">
        <f ca="1">IFERROR(__xludf.DUMMYFUNCTION("""COMPUTED_VALUE"""),"C00013 ")</f>
        <v xml:space="preserve">C00013 </v>
      </c>
      <c r="D347" s="4" t="str">
        <f ca="1">IFERROR(__xludf.DUMMYFUNCTION("""COMPUTED_VALUE""")," C00039")</f>
        <v xml:space="preserve"> C00039</v>
      </c>
      <c r="E347" s="4"/>
      <c r="F347" s="4"/>
      <c r="G347" s="4"/>
    </row>
    <row r="348" spans="1:7" ht="14">
      <c r="A348" s="22" t="s">
        <v>16726</v>
      </c>
      <c r="C348" s="4" t="str">
        <f ca="1">IFERROR(__xludf.DUMMYFUNCTION("""COMPUTED_VALUE"""),"C00075 ")</f>
        <v xml:space="preserve">C00075 </v>
      </c>
      <c r="D348" s="4" t="str">
        <f ca="1">IFERROR(__xludf.DUMMYFUNCTION("""COMPUTED_VALUE""")," C00342")</f>
        <v xml:space="preserve"> C00342</v>
      </c>
      <c r="E348" s="4"/>
      <c r="F348" s="4"/>
      <c r="G348" s="4"/>
    </row>
    <row r="349" spans="1:7" ht="14">
      <c r="A349" s="22" t="s">
        <v>16727</v>
      </c>
      <c r="C349" s="4" t="str">
        <f ca="1">IFERROR(__xludf.DUMMYFUNCTION("""COMPUTED_VALUE"""),"C00084 ")</f>
        <v xml:space="preserve">C00084 </v>
      </c>
      <c r="D349" s="4" t="str">
        <f ca="1">IFERROR(__xludf.DUMMYFUNCTION("""COMPUTED_VALUE""")," C00004 ")</f>
        <v xml:space="preserve"> C00004 </v>
      </c>
      <c r="E349" s="4" t="str">
        <f ca="1">IFERROR(__xludf.DUMMYFUNCTION("""COMPUTED_VALUE""")," C00080")</f>
        <v xml:space="preserve"> C00080</v>
      </c>
      <c r="F349" s="4"/>
      <c r="G349" s="4"/>
    </row>
    <row r="350" spans="1:7" ht="14">
      <c r="A350" s="22" t="s">
        <v>16728</v>
      </c>
      <c r="C350" s="4" t="str">
        <f ca="1">IFERROR(__xludf.DUMMYFUNCTION("""COMPUTED_VALUE"""),"C00376 ")</f>
        <v xml:space="preserve">C00376 </v>
      </c>
      <c r="D350" s="4" t="str">
        <f ca="1">IFERROR(__xludf.DUMMYFUNCTION("""COMPUTED_VALUE""")," C00004 ")</f>
        <v xml:space="preserve"> C00004 </v>
      </c>
      <c r="E350" s="4" t="str">
        <f ca="1">IFERROR(__xludf.DUMMYFUNCTION("""COMPUTED_VALUE""")," C00080")</f>
        <v xml:space="preserve"> C00080</v>
      </c>
      <c r="F350" s="4"/>
      <c r="G350" s="4"/>
    </row>
    <row r="351" spans="1:7" ht="14">
      <c r="A351" s="22" t="s">
        <v>16729</v>
      </c>
      <c r="C351" s="4" t="str">
        <f ca="1">IFERROR(__xludf.DUMMYFUNCTION("""COMPUTED_VALUE"""),"C00299 ")</f>
        <v xml:space="preserve">C00299 </v>
      </c>
      <c r="D351" s="4" t="str">
        <f ca="1">IFERROR(__xludf.DUMMYFUNCTION("""COMPUTED_VALUE""")," C00014")</f>
        <v xml:space="preserve"> C00014</v>
      </c>
      <c r="E351" s="4"/>
      <c r="F351" s="4"/>
      <c r="G351" s="4"/>
    </row>
    <row r="352" spans="1:7" ht="14">
      <c r="A352" s="22" t="s">
        <v>16730</v>
      </c>
      <c r="C352" s="4" t="str">
        <f ca="1">IFERROR(__xludf.DUMMYFUNCTION("""COMPUTED_VALUE"""),"C00380 ")</f>
        <v xml:space="preserve">C00380 </v>
      </c>
      <c r="D352" s="4" t="str">
        <f ca="1">IFERROR(__xludf.DUMMYFUNCTION("""COMPUTED_VALUE""")," C00620")</f>
        <v xml:space="preserve"> C00620</v>
      </c>
      <c r="E352" s="4"/>
      <c r="F352" s="4"/>
      <c r="G352" s="4"/>
    </row>
    <row r="353" spans="1:7" ht="12.5">
      <c r="A353" s="4" t="s">
        <v>12670</v>
      </c>
      <c r="C353" s="4" t="str">
        <f ca="1">IFERROR(__xludf.DUMMYFUNCTION("""COMPUTED_VALUE"""),"C00022 ")</f>
        <v xml:space="preserve">C00022 </v>
      </c>
      <c r="D353" s="4" t="str">
        <f ca="1">IFERROR(__xludf.DUMMYFUNCTION("""COMPUTED_VALUE""")," C00014 ")</f>
        <v xml:space="preserve"> C00014 </v>
      </c>
      <c r="E353" s="4" t="str">
        <f ca="1">IFERROR(__xludf.DUMMYFUNCTION("""COMPUTED_VALUE""")," C01962")</f>
        <v xml:space="preserve"> C01962</v>
      </c>
      <c r="F353" s="4"/>
      <c r="G353" s="4"/>
    </row>
    <row r="354" spans="1:7" ht="14">
      <c r="A354" s="22" t="s">
        <v>16731</v>
      </c>
      <c r="C354" s="4" t="str">
        <f ca="1">IFERROR(__xludf.DUMMYFUNCTION("""COMPUTED_VALUE"""),"C00124 ")</f>
        <v xml:space="preserve">C00124 </v>
      </c>
      <c r="D354" s="4" t="str">
        <f ca="1">IFERROR(__xludf.DUMMYFUNCTION("""COMPUTED_VALUE""")," C00089")</f>
        <v xml:space="preserve"> C00089</v>
      </c>
      <c r="E354" s="4"/>
      <c r="F354" s="4"/>
      <c r="G354" s="4"/>
    </row>
    <row r="355" spans="1:7" ht="14">
      <c r="A355" s="22" t="s">
        <v>16732</v>
      </c>
      <c r="C355" s="4" t="str">
        <f ca="1">IFERROR(__xludf.DUMMYFUNCTION("""COMPUTED_VALUE"""),"C05402 ")</f>
        <v xml:space="preserve">C05402 </v>
      </c>
      <c r="D355" s="4" t="str">
        <f ca="1">IFERROR(__xludf.DUMMYFUNCTION("""COMPUTED_VALUE""")," C00095")</f>
        <v xml:space="preserve"> C00095</v>
      </c>
      <c r="E355" s="4"/>
      <c r="F355" s="4"/>
      <c r="G355" s="4"/>
    </row>
    <row r="356" spans="1:7" ht="14">
      <c r="A356" s="22" t="s">
        <v>16733</v>
      </c>
      <c r="C356" s="4" t="str">
        <f ca="1">IFERROR(__xludf.DUMMYFUNCTION("""COMPUTED_VALUE"""),"C02637 ")</f>
        <v xml:space="preserve">C02637 </v>
      </c>
      <c r="D356" s="4" t="str">
        <f ca="1">IFERROR(__xludf.DUMMYFUNCTION("""COMPUTED_VALUE""")," C00005 ")</f>
        <v xml:space="preserve"> C00005 </v>
      </c>
      <c r="E356" s="4" t="str">
        <f ca="1">IFERROR(__xludf.DUMMYFUNCTION("""COMPUTED_VALUE""")," C00080")</f>
        <v xml:space="preserve"> C00080</v>
      </c>
      <c r="F356" s="4"/>
      <c r="G356" s="4"/>
    </row>
    <row r="357" spans="1:7" ht="14">
      <c r="A357" s="22" t="s">
        <v>16734</v>
      </c>
      <c r="C357" s="4" t="str">
        <f ca="1">IFERROR(__xludf.DUMMYFUNCTION("""COMPUTED_VALUE"""),"C00008 ")</f>
        <v xml:space="preserve">C00008 </v>
      </c>
      <c r="D357" s="4" t="str">
        <f ca="1">IFERROR(__xludf.DUMMYFUNCTION("""COMPUTED_VALUE""")," C00718")</f>
        <v xml:space="preserve"> C00718</v>
      </c>
      <c r="E357" s="4"/>
      <c r="F357" s="4"/>
      <c r="G357" s="4"/>
    </row>
    <row r="358" spans="1:7" ht="14">
      <c r="A358" s="22" t="s">
        <v>16735</v>
      </c>
      <c r="C358" s="4" t="str">
        <f ca="1">IFERROR(__xludf.DUMMYFUNCTION("""COMPUTED_VALUE"""),"C01659 ")</f>
        <v xml:space="preserve">C01659 </v>
      </c>
      <c r="D358" s="4" t="str">
        <f ca="1">IFERROR(__xludf.DUMMYFUNCTION("""COMPUTED_VALUE""")," C00001")</f>
        <v xml:space="preserve"> C00001</v>
      </c>
      <c r="E358" s="4"/>
      <c r="F358" s="4"/>
      <c r="G358" s="4"/>
    </row>
    <row r="359" spans="1:7" ht="14">
      <c r="A359" s="22" t="s">
        <v>16736</v>
      </c>
      <c r="C359" s="4" t="str">
        <f ca="1">IFERROR(__xludf.DUMMYFUNCTION("""COMPUTED_VALUE"""),"C00966 ")</f>
        <v xml:space="preserve">C00966 </v>
      </c>
      <c r="D359" s="4" t="str">
        <f ca="1">IFERROR(__xludf.DUMMYFUNCTION("""COMPUTED_VALUE""")," C00005 ")</f>
        <v xml:space="preserve"> C00005 </v>
      </c>
      <c r="E359" s="4" t="str">
        <f ca="1">IFERROR(__xludf.DUMMYFUNCTION("""COMPUTED_VALUE""")," C00080")</f>
        <v xml:space="preserve"> C00080</v>
      </c>
      <c r="F359" s="4"/>
      <c r="G359" s="4"/>
    </row>
    <row r="360" spans="1:7" ht="14">
      <c r="A360" s="22" t="s">
        <v>16737</v>
      </c>
      <c r="C360" s="4" t="str">
        <f ca="1">IFERROR(__xludf.DUMMYFUNCTION("""COMPUTED_VALUE"""),"C00106 ")</f>
        <v xml:space="preserve">C00106 </v>
      </c>
      <c r="D360" s="4" t="str">
        <f ca="1">IFERROR(__xludf.DUMMYFUNCTION("""COMPUTED_VALUE""")," C00672")</f>
        <v xml:space="preserve"> C00672</v>
      </c>
      <c r="E360" s="4"/>
      <c r="F360" s="4"/>
      <c r="G360" s="4"/>
    </row>
    <row r="361" spans="1:7" ht="12.5">
      <c r="A361" s="4" t="s">
        <v>12674</v>
      </c>
      <c r="C361" s="4" t="str">
        <f ca="1">IFERROR(__xludf.DUMMYFUNCTION("""COMPUTED_VALUE"""),"C00250 ")</f>
        <v xml:space="preserve">C00250 </v>
      </c>
      <c r="D361" s="4" t="str">
        <f ca="1">IFERROR(__xludf.DUMMYFUNCTION("""COMPUTED_VALUE""")," C00014 ")</f>
        <v xml:space="preserve"> C00014 </v>
      </c>
      <c r="E361" s="4" t="str">
        <f ca="1">IFERROR(__xludf.DUMMYFUNCTION("""COMPUTED_VALUE""")," C00027")</f>
        <v xml:space="preserve"> C00027</v>
      </c>
      <c r="F361" s="4"/>
      <c r="G361" s="4"/>
    </row>
    <row r="362" spans="1:7" ht="14">
      <c r="A362" s="22" t="s">
        <v>16738</v>
      </c>
      <c r="C362" s="4" t="str">
        <f ca="1">IFERROR(__xludf.DUMMYFUNCTION("""COMPUTED_VALUE"""),"C05512 ")</f>
        <v xml:space="preserve">C05512 </v>
      </c>
      <c r="D362" s="4" t="str">
        <f ca="1">IFERROR(__xludf.DUMMYFUNCTION("""COMPUTED_VALUE""")," C00014")</f>
        <v xml:space="preserve"> C00014</v>
      </c>
      <c r="E362" s="4"/>
      <c r="F362" s="4"/>
      <c r="G362" s="4"/>
    </row>
    <row r="363" spans="1:7" ht="14">
      <c r="A363" s="22" t="s">
        <v>16739</v>
      </c>
      <c r="C363" s="4" t="str">
        <f ca="1">IFERROR(__xludf.DUMMYFUNCTION("""COMPUTED_VALUE"""),"C00248 ")</f>
        <v xml:space="preserve">C00248 </v>
      </c>
      <c r="D363" s="4" t="str">
        <f ca="1">IFERROR(__xludf.DUMMYFUNCTION("""COMPUTED_VALUE""")," C00004 ")</f>
        <v xml:space="preserve"> C00004 </v>
      </c>
      <c r="E363" s="4" t="str">
        <f ca="1">IFERROR(__xludf.DUMMYFUNCTION("""COMPUTED_VALUE""")," C00080")</f>
        <v xml:space="preserve"> C00080</v>
      </c>
      <c r="F363" s="4"/>
      <c r="G363" s="4"/>
    </row>
    <row r="364" spans="1:7" ht="14">
      <c r="A364" s="22" t="s">
        <v>16740</v>
      </c>
      <c r="C364" s="4" t="str">
        <f ca="1">IFERROR(__xludf.DUMMYFUNCTION("""COMPUTED_VALUE"""),"C00010 ")</f>
        <v xml:space="preserve">C00010 </v>
      </c>
      <c r="D364" s="4" t="str">
        <f ca="1">IFERROR(__xludf.DUMMYFUNCTION("""COMPUTED_VALUE""")," C00681")</f>
        <v xml:space="preserve"> C00681</v>
      </c>
      <c r="E364" s="4"/>
      <c r="F364" s="4"/>
      <c r="G364" s="4"/>
    </row>
    <row r="365" spans="1:7" ht="14">
      <c r="A365" s="22" t="s">
        <v>16741</v>
      </c>
      <c r="C365" s="4" t="str">
        <f ca="1">IFERROR(__xludf.DUMMYFUNCTION("""COMPUTED_VALUE"""),"C00041 ")</f>
        <v xml:space="preserve">C00041 </v>
      </c>
      <c r="D365" s="4" t="str">
        <f ca="1">IFERROR(__xludf.DUMMYFUNCTION("""COMPUTED_VALUE""")," C09306")</f>
        <v xml:space="preserve"> C09306</v>
      </c>
      <c r="E365" s="4"/>
      <c r="F365" s="4"/>
      <c r="G365" s="4"/>
    </row>
    <row r="366" spans="1:7" ht="14">
      <c r="A366" s="22" t="s">
        <v>16742</v>
      </c>
      <c r="C366" s="4" t="str">
        <f ca="1">IFERROR(__xludf.DUMMYFUNCTION("""COMPUTED_VALUE"""),"C00117")</f>
        <v>C00117</v>
      </c>
      <c r="D366" s="4"/>
      <c r="E366" s="4"/>
      <c r="F366" s="4"/>
      <c r="G366" s="4"/>
    </row>
    <row r="367" spans="1:7" ht="12.5">
      <c r="A367" s="2" t="s">
        <v>16743</v>
      </c>
      <c r="C367" s="4" t="str">
        <f ca="1">IFERROR(__xludf.DUMMYFUNCTION("""COMPUTED_VALUE"""),"C00027 ")</f>
        <v xml:space="preserve">C00027 </v>
      </c>
      <c r="D367" s="4" t="str">
        <f ca="1">IFERROR(__xludf.DUMMYFUNCTION("""COMPUTED_VALUE""")," C00018")</f>
        <v xml:space="preserve"> C00018</v>
      </c>
      <c r="E367" s="4"/>
      <c r="F367" s="4"/>
      <c r="G367" s="4"/>
    </row>
    <row r="368" spans="1:7" ht="14">
      <c r="A368" s="22" t="s">
        <v>16744</v>
      </c>
      <c r="C368" s="4" t="str">
        <f ca="1">IFERROR(__xludf.DUMMYFUNCTION("""COMPUTED_VALUE"""),"C00074 ")</f>
        <v xml:space="preserve">C00074 </v>
      </c>
      <c r="D368" s="4" t="str">
        <f ca="1">IFERROR(__xludf.DUMMYFUNCTION("""COMPUTED_VALUE""")," C00001")</f>
        <v xml:space="preserve"> C00001</v>
      </c>
      <c r="E368" s="4"/>
      <c r="F368" s="4"/>
      <c r="G368" s="4"/>
    </row>
    <row r="369" spans="1:7" ht="14">
      <c r="A369" s="22" t="s">
        <v>16745</v>
      </c>
      <c r="C369" s="4" t="str">
        <f ca="1">IFERROR(__xludf.DUMMYFUNCTION("""COMPUTED_VALUE"""),"C00197")</f>
        <v>C00197</v>
      </c>
      <c r="D369" s="4"/>
      <c r="E369" s="4"/>
      <c r="F369" s="4"/>
      <c r="G369" s="4"/>
    </row>
    <row r="370" spans="1:7" ht="12.5">
      <c r="A370" s="2" t="s">
        <v>16746</v>
      </c>
      <c r="C370" s="4" t="str">
        <f ca="1">IFERROR(__xludf.DUMMYFUNCTION("""COMPUTED_VALUE"""),"C00085 ")</f>
        <v xml:space="preserve">C00085 </v>
      </c>
      <c r="D370" s="4" t="str">
        <f ca="1">IFERROR(__xludf.DUMMYFUNCTION("""COMPUTED_VALUE""")," C00004 ")</f>
        <v xml:space="preserve"> C00004 </v>
      </c>
      <c r="E370" s="4" t="str">
        <f ca="1">IFERROR(__xludf.DUMMYFUNCTION("""COMPUTED_VALUE""")," C00080")</f>
        <v xml:space="preserve"> C00080</v>
      </c>
      <c r="F370" s="4"/>
      <c r="G370" s="4"/>
    </row>
    <row r="371" spans="1:7" ht="14">
      <c r="A371" s="22" t="s">
        <v>16747</v>
      </c>
      <c r="C371" s="4" t="str">
        <f ca="1">IFERROR(__xludf.DUMMYFUNCTION("""COMPUTED_VALUE"""),"C05345 ")</f>
        <v xml:space="preserve">C05345 </v>
      </c>
      <c r="D371" s="4" t="str">
        <f ca="1">IFERROR(__xludf.DUMMYFUNCTION("""COMPUTED_VALUE""")," C00004 ")</f>
        <v xml:space="preserve"> C00004 </v>
      </c>
      <c r="E371" s="4" t="str">
        <f ca="1">IFERROR(__xludf.DUMMYFUNCTION("""COMPUTED_VALUE""")," C00080")</f>
        <v xml:space="preserve"> C00080</v>
      </c>
      <c r="F371" s="4"/>
      <c r="G371" s="4"/>
    </row>
    <row r="372" spans="1:7" ht="14">
      <c r="A372" s="22" t="s">
        <v>16748</v>
      </c>
      <c r="C372" s="4" t="str">
        <f ca="1">IFERROR(__xludf.DUMMYFUNCTION("""COMPUTED_VALUE"""),"C00018 ")</f>
        <v xml:space="preserve">C00018 </v>
      </c>
      <c r="D372" s="4" t="str">
        <f ca="1">IFERROR(__xludf.DUMMYFUNCTION("""COMPUTED_VALUE""")," C00014 ")</f>
        <v xml:space="preserve"> C00014 </v>
      </c>
      <c r="E372" s="4" t="str">
        <f ca="1">IFERROR(__xludf.DUMMYFUNCTION("""COMPUTED_VALUE""")," C00027")</f>
        <v xml:space="preserve"> C00027</v>
      </c>
      <c r="F372" s="4"/>
      <c r="G372" s="4"/>
    </row>
    <row r="373" spans="1:7" ht="14">
      <c r="A373" s="22" t="s">
        <v>16749</v>
      </c>
      <c r="C373" s="4" t="str">
        <f ca="1">IFERROR(__xludf.DUMMYFUNCTION("""COMPUTED_VALUE"""),"C01762 ")</f>
        <v xml:space="preserve">C01762 </v>
      </c>
      <c r="D373" s="4" t="str">
        <f ca="1">IFERROR(__xludf.DUMMYFUNCTION("""COMPUTED_VALUE""")," C00009")</f>
        <v xml:space="preserve"> C00009</v>
      </c>
      <c r="E373" s="4"/>
      <c r="F373" s="4"/>
      <c r="G373" s="4"/>
    </row>
    <row r="374" spans="1:7" ht="14">
      <c r="A374" s="22" t="s">
        <v>16750</v>
      </c>
      <c r="C374" s="4" t="str">
        <f ca="1">IFERROR(__xludf.DUMMYFUNCTION("""COMPUTED_VALUE"""),"C00385 ")</f>
        <v xml:space="preserve">C00385 </v>
      </c>
      <c r="D374" s="4" t="str">
        <f ca="1">IFERROR(__xludf.DUMMYFUNCTION("""COMPUTED_VALUE""")," C00119")</f>
        <v xml:space="preserve"> C00119</v>
      </c>
      <c r="E374" s="4"/>
      <c r="F374" s="4"/>
      <c r="G374" s="4"/>
    </row>
    <row r="375" spans="1:7" ht="14">
      <c r="A375" s="22" t="s">
        <v>16751</v>
      </c>
      <c r="C375" s="4" t="str">
        <f ca="1">IFERROR(__xludf.DUMMYFUNCTION("""COMPUTED_VALUE"""),"C00092")</f>
        <v>C00092</v>
      </c>
      <c r="D375" s="4"/>
      <c r="E375" s="4"/>
      <c r="F375" s="4"/>
      <c r="G375" s="4"/>
    </row>
    <row r="376" spans="1:7" ht="12.5">
      <c r="A376" s="2" t="s">
        <v>16752</v>
      </c>
      <c r="C376" s="4" t="str">
        <f ca="1">IFERROR(__xludf.DUMMYFUNCTION("""COMPUTED_VALUE"""),"C01172")</f>
        <v>C01172</v>
      </c>
      <c r="D376" s="4"/>
      <c r="E376" s="4"/>
      <c r="F376" s="4"/>
      <c r="G376" s="4"/>
    </row>
    <row r="377" spans="1:7" ht="12.5">
      <c r="A377" s="2" t="s">
        <v>16753</v>
      </c>
      <c r="C377" s="4" t="str">
        <f ca="1">IFERROR(__xludf.DUMMYFUNCTION("""COMPUTED_VALUE"""),"C00680")</f>
        <v>C00680</v>
      </c>
      <c r="D377" s="4"/>
      <c r="E377" s="4"/>
      <c r="F377" s="4"/>
      <c r="G377" s="4"/>
    </row>
    <row r="378" spans="1:7" ht="12.5">
      <c r="A378" s="2" t="s">
        <v>16754</v>
      </c>
      <c r="C378" s="4" t="str">
        <f ca="1">IFERROR(__xludf.DUMMYFUNCTION("""COMPUTED_VALUE"""),"C00085")</f>
        <v>C00085</v>
      </c>
      <c r="D378" s="4"/>
      <c r="E378" s="4"/>
      <c r="F378" s="4"/>
      <c r="G378" s="4"/>
    </row>
    <row r="379" spans="1:7" ht="12.5">
      <c r="A379" s="2" t="s">
        <v>16755</v>
      </c>
      <c r="C379" s="4" t="str">
        <f ca="1">IFERROR(__xludf.DUMMYFUNCTION("""COMPUTED_VALUE"""),"C01172")</f>
        <v>C01172</v>
      </c>
      <c r="D379" s="4"/>
      <c r="E379" s="4"/>
      <c r="F379" s="4"/>
      <c r="G379" s="4"/>
    </row>
    <row r="380" spans="1:7" ht="12.5">
      <c r="A380" s="2" t="s">
        <v>16756</v>
      </c>
      <c r="C380" s="4" t="str">
        <f ca="1">IFERROR(__xludf.DUMMYFUNCTION("""COMPUTED_VALUE"""),"C05345")</f>
        <v>C05345</v>
      </c>
      <c r="D380" s="4"/>
      <c r="E380" s="4"/>
      <c r="F380" s="4"/>
      <c r="G380" s="4"/>
    </row>
    <row r="381" spans="1:7" ht="12.5">
      <c r="A381" s="2" t="s">
        <v>16757</v>
      </c>
      <c r="C381" s="4" t="str">
        <f ca="1">IFERROR(__xludf.DUMMYFUNCTION("""COMPUTED_VALUE"""),"C00673")</f>
        <v>C00673</v>
      </c>
      <c r="D381" s="4"/>
      <c r="E381" s="4"/>
      <c r="F381" s="4"/>
      <c r="G381" s="4"/>
    </row>
    <row r="382" spans="1:7" ht="12.5">
      <c r="A382" s="2" t="s">
        <v>16758</v>
      </c>
      <c r="C382" s="4" t="str">
        <f ca="1">IFERROR(__xludf.DUMMYFUNCTION("""COMPUTED_VALUE"""),"C00118 ")</f>
        <v xml:space="preserve">C00118 </v>
      </c>
      <c r="D382" s="4" t="str">
        <f ca="1">IFERROR(__xludf.DUMMYFUNCTION("""COMPUTED_VALUE""")," C00084")</f>
        <v xml:space="preserve"> C00084</v>
      </c>
      <c r="E382" s="4"/>
      <c r="F382" s="4"/>
      <c r="G382" s="4"/>
    </row>
    <row r="383" spans="1:7" ht="14">
      <c r="A383" s="22" t="s">
        <v>16759</v>
      </c>
      <c r="C383" s="4" t="str">
        <f ca="1">IFERROR(__xludf.DUMMYFUNCTION("""COMPUTED_VALUE"""),"C01801 ")</f>
        <v xml:space="preserve">C01801 </v>
      </c>
      <c r="D383" s="4" t="str">
        <f ca="1">IFERROR(__xludf.DUMMYFUNCTION("""COMPUTED_VALUE""")," C00002")</f>
        <v xml:space="preserve"> C00002</v>
      </c>
      <c r="E383" s="4"/>
      <c r="F383" s="4"/>
      <c r="G383" s="4"/>
    </row>
    <row r="384" spans="1:7" ht="14">
      <c r="A384" s="22" t="s">
        <v>16760</v>
      </c>
      <c r="C384" s="4" t="str">
        <f ca="1">IFERROR(__xludf.DUMMYFUNCTION("""COMPUTED_VALUE"""),"C00013 ")</f>
        <v xml:space="preserve">C00013 </v>
      </c>
      <c r="D384" s="4" t="str">
        <f ca="1">IFERROR(__xludf.DUMMYFUNCTION("""COMPUTED_VALUE""")," C00039(n")</f>
        <v xml:space="preserve"> C00039(n</v>
      </c>
      <c r="E384" s="4" t="str">
        <f ca="1">IFERROR(__xludf.DUMMYFUNCTION("""COMPUTED_VALUE"""),"1)")</f>
        <v>1)</v>
      </c>
      <c r="F384" s="4"/>
      <c r="G384" s="4"/>
    </row>
    <row r="385" spans="1:7" ht="14">
      <c r="A385" s="22" t="s">
        <v>16761</v>
      </c>
      <c r="C385" s="4" t="str">
        <f ca="1">IFERROR(__xludf.DUMMYFUNCTION("""COMPUTED_VALUE"""),"C03802 ")</f>
        <v xml:space="preserve">C03802 </v>
      </c>
      <c r="D385" s="4" t="str">
        <f ca="1">IFERROR(__xludf.DUMMYFUNCTION("""COMPUTED_VALUE""")," C00342")</f>
        <v xml:space="preserve"> C00342</v>
      </c>
      <c r="E385" s="4"/>
      <c r="F385" s="4"/>
      <c r="G385" s="4"/>
    </row>
    <row r="386" spans="1:7" ht="14">
      <c r="A386" s="22" t="s">
        <v>16762</v>
      </c>
      <c r="C386" s="4" t="str">
        <f ca="1">IFERROR(__xludf.DUMMYFUNCTION("""COMPUTED_VALUE"""),"C00047 ")</f>
        <v xml:space="preserve">C00047 </v>
      </c>
      <c r="D386" s="4" t="str">
        <f ca="1">IFERROR(__xludf.DUMMYFUNCTION("""COMPUTED_VALUE""")," C00011")</f>
        <v xml:space="preserve"> C00011</v>
      </c>
      <c r="E386" s="4"/>
      <c r="F386" s="4"/>
      <c r="G386" s="4"/>
    </row>
    <row r="387" spans="1:7" ht="14">
      <c r="A387" s="22" t="s">
        <v>16763</v>
      </c>
      <c r="C387" s="4" t="str">
        <f ca="1">IFERROR(__xludf.DUMMYFUNCTION("""COMPUTED_VALUE"""),"C04287 ")</f>
        <v xml:space="preserve">C04287 </v>
      </c>
      <c r="D387" s="4" t="str">
        <f ca="1">IFERROR(__xludf.DUMMYFUNCTION("""COMPUTED_VALUE""")," C00001")</f>
        <v xml:space="preserve"> C00001</v>
      </c>
      <c r="E387" s="4"/>
      <c r="F387" s="4"/>
      <c r="G387" s="4"/>
    </row>
    <row r="388" spans="1:7" ht="14">
      <c r="A388" s="22" t="s">
        <v>16764</v>
      </c>
      <c r="C388" s="4" t="str">
        <f ca="1">IFERROR(__xludf.DUMMYFUNCTION("""COMPUTED_VALUE"""),"C00342 ")</f>
        <v xml:space="preserve">C00342 </v>
      </c>
      <c r="D388" s="4" t="str">
        <f ca="1">IFERROR(__xludf.DUMMYFUNCTION("""COMPUTED_VALUE""")," C00112")</f>
        <v xml:space="preserve"> C00112</v>
      </c>
      <c r="E388" s="4"/>
      <c r="F388" s="4"/>
      <c r="G388" s="4"/>
    </row>
    <row r="389" spans="1:7" ht="14">
      <c r="A389" s="22" t="s">
        <v>16765</v>
      </c>
      <c r="C389" s="4" t="str">
        <f ca="1">IFERROR(__xludf.DUMMYFUNCTION("""COMPUTED_VALUE"""),"C00718 ")</f>
        <v xml:space="preserve">C00718 </v>
      </c>
      <c r="D389" s="4" t="str">
        <f ca="1">IFERROR(__xludf.DUMMYFUNCTION("""COMPUTED_VALUE""")," C00103")</f>
        <v xml:space="preserve"> C00103</v>
      </c>
      <c r="E389" s="4"/>
      <c r="F389" s="4"/>
      <c r="G389" s="4"/>
    </row>
    <row r="390" spans="1:7" ht="14">
      <c r="A390" s="22" t="s">
        <v>16766</v>
      </c>
      <c r="C390" s="4" t="str">
        <f ca="1">IFERROR(__xludf.DUMMYFUNCTION("""COMPUTED_VALUE"""),"C01545 ")</f>
        <v xml:space="preserve">C01545 </v>
      </c>
      <c r="D390" s="4" t="str">
        <f ca="1">IFERROR(__xludf.DUMMYFUNCTION("""COMPUTED_VALUE""")," C00004 ")</f>
        <v xml:space="preserve"> C00004 </v>
      </c>
      <c r="E390" s="4" t="str">
        <f ca="1">IFERROR(__xludf.DUMMYFUNCTION("""COMPUTED_VALUE""")," C00080")</f>
        <v xml:space="preserve"> C00080</v>
      </c>
      <c r="F390" s="4"/>
      <c r="G390" s="4"/>
    </row>
    <row r="391" spans="1:7" ht="14">
      <c r="A391" s="22" t="s">
        <v>16767</v>
      </c>
      <c r="C391" s="4" t="str">
        <f ca="1">IFERROR(__xludf.DUMMYFUNCTION("""COMPUTED_VALUE"""),"C00217 ")</f>
        <v xml:space="preserve">C00217 </v>
      </c>
      <c r="D391" s="4" t="str">
        <f ca="1">IFERROR(__xludf.DUMMYFUNCTION("""COMPUTED_VALUE""")," C00014")</f>
        <v xml:space="preserve"> C00014</v>
      </c>
      <c r="E391" s="4"/>
      <c r="F391" s="4"/>
      <c r="G391" s="4"/>
    </row>
    <row r="392" spans="1:7" ht="14">
      <c r="A392" s="22" t="s">
        <v>16768</v>
      </c>
      <c r="C392" s="4" t="str">
        <f ca="1">IFERROR(__xludf.DUMMYFUNCTION("""COMPUTED_VALUE"""),"C02097")</f>
        <v>C02097</v>
      </c>
      <c r="D392" s="4"/>
      <c r="E392" s="4"/>
      <c r="F392" s="4"/>
      <c r="G392" s="4"/>
    </row>
    <row r="393" spans="1:7" ht="12.5">
      <c r="A393" s="2" t="s">
        <v>16769</v>
      </c>
      <c r="C393" s="4" t="str">
        <f ca="1">IFERROR(__xludf.DUMMYFUNCTION("""COMPUTED_VALUE"""),"C15584 ")</f>
        <v xml:space="preserve">C15584 </v>
      </c>
      <c r="D393" s="4" t="str">
        <f ca="1">IFERROR(__xludf.DUMMYFUNCTION("""COMPUTED_VALUE""")," C00059")</f>
        <v xml:space="preserve"> C00059</v>
      </c>
      <c r="E393" s="4"/>
      <c r="F393" s="4"/>
      <c r="G393" s="4"/>
    </row>
    <row r="394" spans="1:7" ht="14">
      <c r="A394" s="22" t="s">
        <v>16770</v>
      </c>
      <c r="C394" s="4" t="str">
        <f ca="1">IFERROR(__xludf.DUMMYFUNCTION("""COMPUTED_VALUE"""),"C00135 ")</f>
        <v xml:space="preserve">C00135 </v>
      </c>
      <c r="D394" s="4" t="str">
        <f ca="1">IFERROR(__xludf.DUMMYFUNCTION("""COMPUTED_VALUE""")," 2 C00004 ")</f>
        <v xml:space="preserve"> 2 C00004 </v>
      </c>
      <c r="E394" s="4" t="str">
        <f ca="1">IFERROR(__xludf.DUMMYFUNCTION("""COMPUTED_VALUE""")," 2 C00080")</f>
        <v xml:space="preserve"> 2 C00080</v>
      </c>
      <c r="F394" s="4"/>
      <c r="G394" s="4"/>
    </row>
    <row r="395" spans="1:7" ht="14">
      <c r="A395" s="22" t="s">
        <v>16771</v>
      </c>
      <c r="C395" s="4" t="str">
        <f ca="1">IFERROR(__xludf.DUMMYFUNCTION("""COMPUTED_VALUE"""),"C01929 ")</f>
        <v xml:space="preserve">C01929 </v>
      </c>
      <c r="D395" s="4" t="str">
        <f ca="1">IFERROR(__xludf.DUMMYFUNCTION("""COMPUTED_VALUE""")," C00004 ")</f>
        <v xml:space="preserve"> C00004 </v>
      </c>
      <c r="E395" s="4" t="str">
        <f ca="1">IFERROR(__xludf.DUMMYFUNCTION("""COMPUTED_VALUE""")," C00080")</f>
        <v xml:space="preserve"> C00080</v>
      </c>
      <c r="F395" s="4"/>
      <c r="G395" s="4"/>
    </row>
    <row r="396" spans="1:7" ht="14">
      <c r="A396" s="22" t="s">
        <v>16772</v>
      </c>
      <c r="C396" s="4" t="str">
        <f ca="1">IFERROR(__xludf.DUMMYFUNCTION("""COMPUTED_VALUE"""),"C02764")</f>
        <v>C02764</v>
      </c>
      <c r="D396" s="4"/>
      <c r="E396" s="4"/>
      <c r="F396" s="4"/>
      <c r="G396" s="4"/>
    </row>
    <row r="397" spans="1:7" ht="12.5">
      <c r="A397" s="2" t="s">
        <v>16773</v>
      </c>
      <c r="C397" s="4" t="str">
        <f ca="1">IFERROR(__xludf.DUMMYFUNCTION("""COMPUTED_VALUE"""),"C17322 ")</f>
        <v xml:space="preserve">C17322 </v>
      </c>
      <c r="D397" s="4" t="str">
        <f ca="1">IFERROR(__xludf.DUMMYFUNCTION("""COMPUTED_VALUE""")," C15811 ")</f>
        <v xml:space="preserve"> C15811 </v>
      </c>
      <c r="E397" s="4" t="str">
        <f ca="1">IFERROR(__xludf.DUMMYFUNCTION("""COMPUTED_VALUE""")," C00020 ")</f>
        <v xml:space="preserve"> C00020 </v>
      </c>
      <c r="F397" s="4" t="str">
        <f ca="1">IFERROR(__xludf.DUMMYFUNCTION("""COMPUTED_VALUE""")," C00013")</f>
        <v xml:space="preserve"> C00013</v>
      </c>
      <c r="G397" s="4"/>
    </row>
    <row r="398" spans="1:7" ht="14">
      <c r="A398" s="22" t="s">
        <v>16774</v>
      </c>
      <c r="C398" s="4" t="str">
        <f ca="1">IFERROR(__xludf.DUMMYFUNCTION("""COMPUTED_VALUE"""),"C00526 ")</f>
        <v xml:space="preserve">C00526 </v>
      </c>
      <c r="D398" s="4" t="str">
        <f ca="1">IFERROR(__xludf.DUMMYFUNCTION("""COMPUTED_VALUE""")," C00014")</f>
        <v xml:space="preserve"> C00014</v>
      </c>
      <c r="E398" s="4"/>
      <c r="F398" s="4"/>
      <c r="G398" s="4"/>
    </row>
    <row r="399" spans="1:7" ht="14">
      <c r="A399" s="22" t="s">
        <v>16775</v>
      </c>
      <c r="C399" s="4" t="str">
        <f ca="1">IFERROR(__xludf.DUMMYFUNCTION("""COMPUTED_VALUE"""),"2 C00022")</f>
        <v>2 C00022</v>
      </c>
      <c r="D399" s="4"/>
      <c r="E399" s="4"/>
      <c r="F399" s="4"/>
      <c r="G399" s="4"/>
    </row>
    <row r="400" spans="1:7" ht="14">
      <c r="A400" s="22" t="s">
        <v>16776</v>
      </c>
      <c r="C400" s="4" t="str">
        <f ca="1">IFERROR(__xludf.DUMMYFUNCTION("""COMPUTED_VALUE"""),"C05125 ")</f>
        <v xml:space="preserve">C05125 </v>
      </c>
      <c r="D400" s="4" t="str">
        <f ca="1">IFERROR(__xludf.DUMMYFUNCTION("""COMPUTED_VALUE""")," C00022")</f>
        <v xml:space="preserve"> C00022</v>
      </c>
      <c r="E400" s="4"/>
      <c r="F400" s="4"/>
      <c r="G400" s="4"/>
    </row>
    <row r="401" spans="1:7" ht="14">
      <c r="A401" s="22" t="s">
        <v>16777</v>
      </c>
      <c r="C401" s="4" t="str">
        <f ca="1">IFERROR(__xludf.DUMMYFUNCTION("""COMPUTED_VALUE"""),"C18094")</f>
        <v>C18094</v>
      </c>
      <c r="D401" s="4"/>
      <c r="E401" s="4"/>
      <c r="F401" s="4"/>
      <c r="G401" s="4"/>
    </row>
    <row r="402" spans="1:7" ht="12.5">
      <c r="A402" s="2" t="s">
        <v>16778</v>
      </c>
      <c r="C402" s="4" t="str">
        <f ca="1">IFERROR(__xludf.DUMMYFUNCTION("""COMPUTED_VALUE"""),"C00097 ")</f>
        <v xml:space="preserve">C00097 </v>
      </c>
      <c r="D402" s="4" t="str">
        <f ca="1">IFERROR(__xludf.DUMMYFUNCTION("""COMPUTED_VALUE""")," C00033")</f>
        <v xml:space="preserve"> C00033</v>
      </c>
      <c r="E402" s="4"/>
      <c r="F402" s="4"/>
      <c r="G402" s="4"/>
    </row>
    <row r="403" spans="1:7" ht="14">
      <c r="A403" s="22" t="s">
        <v>16779</v>
      </c>
      <c r="C403" s="4" t="str">
        <f ca="1">IFERROR(__xludf.DUMMYFUNCTION("""COMPUTED_VALUE"""),"C00097 ")</f>
        <v xml:space="preserve">C00097 </v>
      </c>
      <c r="D403" s="4" t="str">
        <f ca="1">IFERROR(__xludf.DUMMYFUNCTION("""COMPUTED_VALUE""")," C00094 ")</f>
        <v xml:space="preserve"> C00094 </v>
      </c>
      <c r="E403" s="4" t="str">
        <f ca="1">IFERROR(__xludf.DUMMYFUNCTION("""COMPUTED_VALUE""")," C00343 ")</f>
        <v xml:space="preserve"> C00343 </v>
      </c>
      <c r="F403" s="4" t="str">
        <f ca="1">IFERROR(__xludf.DUMMYFUNCTION("""COMPUTED_VALUE""")," C00033")</f>
        <v xml:space="preserve"> C00033</v>
      </c>
      <c r="G403" s="4"/>
    </row>
    <row r="404" spans="1:7" ht="14">
      <c r="A404" s="22" t="s">
        <v>16780</v>
      </c>
      <c r="C404" s="4" t="str">
        <f ca="1">IFERROR(__xludf.DUMMYFUNCTION("""COMPUTED_VALUE"""),"C05688 ")</f>
        <v xml:space="preserve">C05688 </v>
      </c>
      <c r="D404" s="4" t="str">
        <f ca="1">IFERROR(__xludf.DUMMYFUNCTION("""COMPUTED_VALUE""")," C00033")</f>
        <v xml:space="preserve"> C00033</v>
      </c>
      <c r="E404" s="4"/>
      <c r="F404" s="4"/>
      <c r="G404" s="4"/>
    </row>
    <row r="405" spans="1:7" ht="12.5">
      <c r="A405" s="4" t="s">
        <v>12714</v>
      </c>
      <c r="C405" s="4" t="str">
        <f ca="1">IFERROR(__xludf.DUMMYFUNCTION("""COMPUTED_VALUE"""),"C00097 ")</f>
        <v xml:space="preserve">C00097 </v>
      </c>
      <c r="D405" s="4" t="str">
        <f ca="1">IFERROR(__xludf.DUMMYFUNCTION("""COMPUTED_VALUE""")," C00009")</f>
        <v xml:space="preserve"> C00009</v>
      </c>
      <c r="E405" s="4"/>
      <c r="F405" s="4"/>
      <c r="G405" s="4"/>
    </row>
    <row r="406" spans="1:7" ht="12.5">
      <c r="A406" s="4" t="s">
        <v>12718</v>
      </c>
      <c r="C406" s="4" t="str">
        <f ca="1">IFERROR(__xludf.DUMMYFUNCTION("""COMPUTED_VALUE"""),"C04631 ")</f>
        <v xml:space="preserve">C04631 </v>
      </c>
      <c r="D406" s="4" t="str">
        <f ca="1">IFERROR(__xludf.DUMMYFUNCTION("""COMPUTED_VALUE""")," C00004 ")</f>
        <v xml:space="preserve"> C00004 </v>
      </c>
      <c r="E406" s="4" t="str">
        <f ca="1">IFERROR(__xludf.DUMMYFUNCTION("""COMPUTED_VALUE""")," C00080")</f>
        <v xml:space="preserve"> C00080</v>
      </c>
      <c r="F406" s="4"/>
      <c r="G406" s="4"/>
    </row>
    <row r="407" spans="1:7" ht="14">
      <c r="A407" s="22" t="s">
        <v>16781</v>
      </c>
      <c r="C407" s="4" t="str">
        <f ca="1">IFERROR(__xludf.DUMMYFUNCTION("""COMPUTED_VALUE"""),"C04631 ")</f>
        <v xml:space="preserve">C04631 </v>
      </c>
      <c r="D407" s="4" t="str">
        <f ca="1">IFERROR(__xludf.DUMMYFUNCTION("""COMPUTED_VALUE""")," C00005 ")</f>
        <v xml:space="preserve"> C00005 </v>
      </c>
      <c r="E407" s="4" t="str">
        <f ca="1">IFERROR(__xludf.DUMMYFUNCTION("""COMPUTED_VALUE""")," C00080")</f>
        <v xml:space="preserve"> C00080</v>
      </c>
      <c r="F407" s="4"/>
      <c r="G407" s="4"/>
    </row>
    <row r="408" spans="1:7" ht="14">
      <c r="A408" s="22" t="s">
        <v>16782</v>
      </c>
      <c r="C408" s="4" t="str">
        <f ca="1">IFERROR(__xludf.DUMMYFUNCTION("""COMPUTED_VALUE"""),"C00111 ")</f>
        <v xml:space="preserve">C00111 </v>
      </c>
      <c r="D408" s="4" t="str">
        <f ca="1">IFERROR(__xludf.DUMMYFUNCTION("""COMPUTED_VALUE""")," C00577")</f>
        <v xml:space="preserve"> C00577</v>
      </c>
      <c r="E408" s="4"/>
      <c r="F408" s="4"/>
      <c r="G408" s="4"/>
    </row>
    <row r="409" spans="1:7" ht="14">
      <c r="A409" s="22" t="s">
        <v>16783</v>
      </c>
      <c r="C409" s="4" t="str">
        <f ca="1">IFERROR(__xludf.DUMMYFUNCTION("""COMPUTED_VALUE"""),"C03785 ")</f>
        <v xml:space="preserve">C03785 </v>
      </c>
      <c r="D409" s="4" t="str">
        <f ca="1">IFERROR(__xludf.DUMMYFUNCTION("""COMPUTED_VALUE""")," C00008")</f>
        <v xml:space="preserve"> C00008</v>
      </c>
      <c r="E409" s="4"/>
      <c r="F409" s="4"/>
      <c r="G409" s="4"/>
    </row>
    <row r="410" spans="1:7" ht="12.5">
      <c r="A410" s="4" t="s">
        <v>12766</v>
      </c>
      <c r="C410" s="4" t="str">
        <f ca="1">IFERROR(__xludf.DUMMYFUNCTION("""COMPUTED_VALUE"""),"C01267 ")</f>
        <v xml:space="preserve">C01267 </v>
      </c>
      <c r="D410" s="4" t="str">
        <f ca="1">IFERROR(__xludf.DUMMYFUNCTION("""COMPUTED_VALUE""")," C00025")</f>
        <v xml:space="preserve"> C00025</v>
      </c>
      <c r="E410" s="4"/>
      <c r="F410" s="4"/>
      <c r="G410" s="4"/>
    </row>
    <row r="411" spans="1:7" ht="14">
      <c r="A411" s="22" t="s">
        <v>16784</v>
      </c>
      <c r="C411" s="4" t="str">
        <f ca="1">IFERROR(__xludf.DUMMYFUNCTION("""COMPUTED_VALUE"""),"C00231")</f>
        <v>C00231</v>
      </c>
      <c r="D411" s="4"/>
      <c r="E411" s="4"/>
      <c r="F411" s="4"/>
      <c r="G411" s="4"/>
    </row>
    <row r="412" spans="1:7" ht="12.5">
      <c r="A412" s="2" t="s">
        <v>16785</v>
      </c>
      <c r="C412" s="4" t="str">
        <f ca="1">IFERROR(__xludf.DUMMYFUNCTION("""COMPUTED_VALUE"""),"C00188 ")</f>
        <v xml:space="preserve">C00188 </v>
      </c>
      <c r="D412" s="4" t="str">
        <f ca="1">IFERROR(__xludf.DUMMYFUNCTION("""COMPUTED_VALUE""")," C00009")</f>
        <v xml:space="preserve"> C00009</v>
      </c>
      <c r="E412" s="4"/>
      <c r="F412" s="4"/>
      <c r="G412" s="4"/>
    </row>
    <row r="413" spans="1:7" ht="14">
      <c r="A413" s="22" t="s">
        <v>16786</v>
      </c>
      <c r="C413" s="4" t="str">
        <f ca="1">IFERROR(__xludf.DUMMYFUNCTION("""COMPUTED_VALUE"""),"C00105 ")</f>
        <v xml:space="preserve">C00105 </v>
      </c>
      <c r="D413" s="4" t="str">
        <f ca="1">IFERROR(__xludf.DUMMYFUNCTION("""COMPUTED_VALUE""")," C00011")</f>
        <v xml:space="preserve"> C00011</v>
      </c>
      <c r="E413" s="4"/>
      <c r="F413" s="4"/>
      <c r="G413" s="4"/>
    </row>
    <row r="414" spans="1:7" ht="14">
      <c r="A414" s="22" t="s">
        <v>16787</v>
      </c>
      <c r="C414" s="4" t="str">
        <f ca="1">IFERROR(__xludf.DUMMYFUNCTION("""COMPUTED_VALUE"""),"C01097")</f>
        <v>C01097</v>
      </c>
      <c r="D414" s="4"/>
      <c r="E414" s="4"/>
      <c r="F414" s="4"/>
      <c r="G414" s="4"/>
    </row>
    <row r="415" spans="1:7" ht="12.5">
      <c r="A415" s="2" t="s">
        <v>16788</v>
      </c>
      <c r="C415" s="4" t="str">
        <f ca="1">IFERROR(__xludf.DUMMYFUNCTION("""COMPUTED_VALUE"""),"C04281 ")</f>
        <v xml:space="preserve">C04281 </v>
      </c>
      <c r="D415" s="4" t="str">
        <f ca="1">IFERROR(__xludf.DUMMYFUNCTION("""COMPUTED_VALUE""")," C00004 ")</f>
        <v xml:space="preserve"> C00004 </v>
      </c>
      <c r="E415" s="4" t="str">
        <f ca="1">IFERROR(__xludf.DUMMYFUNCTION("""COMPUTED_VALUE""")," C00080")</f>
        <v xml:space="preserve"> C00080</v>
      </c>
      <c r="F415" s="4"/>
      <c r="G415" s="4"/>
    </row>
    <row r="416" spans="1:7" ht="14">
      <c r="A416" s="22" t="s">
        <v>16789</v>
      </c>
      <c r="C416" s="4" t="str">
        <f ca="1">IFERROR(__xludf.DUMMYFUNCTION("""COMPUTED_VALUE"""),"C04281 ")</f>
        <v xml:space="preserve">C04281 </v>
      </c>
      <c r="D416" s="4" t="str">
        <f ca="1">IFERROR(__xludf.DUMMYFUNCTION("""COMPUTED_VALUE""")," C00005 ")</f>
        <v xml:space="preserve"> C00005 </v>
      </c>
      <c r="E416" s="4" t="str">
        <f ca="1">IFERROR(__xludf.DUMMYFUNCTION("""COMPUTED_VALUE""")," C00080")</f>
        <v xml:space="preserve"> C00080</v>
      </c>
      <c r="F416" s="4"/>
      <c r="G416" s="4"/>
    </row>
    <row r="417" spans="1:7" ht="14">
      <c r="A417" s="22" t="s">
        <v>16790</v>
      </c>
      <c r="C417" s="4" t="str">
        <f ca="1">IFERROR(__xludf.DUMMYFUNCTION("""COMPUTED_VALUE"""),"C00197 ")</f>
        <v xml:space="preserve">C00197 </v>
      </c>
      <c r="D417" s="4" t="str">
        <f ca="1">IFERROR(__xludf.DUMMYFUNCTION("""COMPUTED_VALUE""")," C04262")</f>
        <v xml:space="preserve"> C04262</v>
      </c>
      <c r="E417" s="4"/>
      <c r="F417" s="4"/>
      <c r="G417" s="4"/>
    </row>
    <row r="418" spans="1:7" ht="14">
      <c r="A418" s="22" t="s">
        <v>16791</v>
      </c>
      <c r="C418" s="4" t="str">
        <f ca="1">IFERROR(__xludf.DUMMYFUNCTION("""COMPUTED_VALUE"""),"C03287 ")</f>
        <v xml:space="preserve">C03287 </v>
      </c>
      <c r="D418" s="4" t="str">
        <f ca="1">IFERROR(__xludf.DUMMYFUNCTION("""COMPUTED_VALUE""")," C00005 ")</f>
        <v xml:space="preserve"> C00005 </v>
      </c>
      <c r="E418" s="4" t="str">
        <f ca="1">IFERROR(__xludf.DUMMYFUNCTION("""COMPUTED_VALUE""")," C00080")</f>
        <v xml:space="preserve"> C00080</v>
      </c>
      <c r="F418" s="4"/>
      <c r="G418" s="4"/>
    </row>
    <row r="419" spans="1:7" ht="14">
      <c r="A419" s="22" t="s">
        <v>16792</v>
      </c>
      <c r="C419" s="4" t="str">
        <f ca="1">IFERROR(__xludf.DUMMYFUNCTION("""COMPUTED_VALUE"""),"C05345")</f>
        <v>C05345</v>
      </c>
      <c r="D419" s="4"/>
      <c r="E419" s="4"/>
      <c r="F419" s="4"/>
      <c r="G419" s="4"/>
    </row>
    <row r="420" spans="1:7" ht="12.5">
      <c r="A420" s="2" t="s">
        <v>16793</v>
      </c>
      <c r="C420" s="4" t="str">
        <f ca="1">IFERROR(__xludf.DUMMYFUNCTION("""COMPUTED_VALUE"""),"C01236 ")</f>
        <v xml:space="preserve">C01236 </v>
      </c>
      <c r="D420" s="4" t="str">
        <f ca="1">IFERROR(__xludf.DUMMYFUNCTION("""COMPUTED_VALUE""")," C00005 ")</f>
        <v xml:space="preserve"> C00005 </v>
      </c>
      <c r="E420" s="4" t="str">
        <f ca="1">IFERROR(__xludf.DUMMYFUNCTION("""COMPUTED_VALUE""")," C00080")</f>
        <v xml:space="preserve"> C00080</v>
      </c>
      <c r="F420" s="4"/>
      <c r="G420" s="4"/>
    </row>
    <row r="421" spans="1:7" ht="14">
      <c r="A421" s="22" t="s">
        <v>16794</v>
      </c>
      <c r="C421" s="4" t="str">
        <f ca="1">IFERROR(__xludf.DUMMYFUNCTION("""COMPUTED_VALUE"""),"C05841 ")</f>
        <v xml:space="preserve">C05841 </v>
      </c>
      <c r="D421" s="4" t="str">
        <f ca="1">IFERROR(__xludf.DUMMYFUNCTION("""COMPUTED_VALUE""")," C00009")</f>
        <v xml:space="preserve"> C00009</v>
      </c>
      <c r="E421" s="4"/>
      <c r="F421" s="4"/>
      <c r="G421" s="4"/>
    </row>
    <row r="422" spans="1:7" ht="14">
      <c r="A422" s="22" t="s">
        <v>16795</v>
      </c>
      <c r="C422" s="4" t="str">
        <f ca="1">IFERROR(__xludf.DUMMYFUNCTION("""COMPUTED_VALUE"""),"C00253 ")</f>
        <v xml:space="preserve">C00253 </v>
      </c>
      <c r="D422" s="4" t="str">
        <f ca="1">IFERROR(__xludf.DUMMYFUNCTION("""COMPUTED_VALUE""")," C00119 ")</f>
        <v xml:space="preserve"> C00119 </v>
      </c>
      <c r="E422" s="4" t="str">
        <f ca="1">IFERROR(__xludf.DUMMYFUNCTION("""COMPUTED_VALUE""")," C00002 ")</f>
        <v xml:space="preserve"> C00002 </v>
      </c>
      <c r="F422" s="4" t="str">
        <f ca="1">IFERROR(__xludf.DUMMYFUNCTION("""COMPUTED_VALUE""")," C00001 ")</f>
        <v xml:space="preserve"> C00001 </v>
      </c>
      <c r="G422" s="4" t="str">
        <f ca="1">IFERROR(__xludf.DUMMYFUNCTION("""COMPUTED_VALUE""")," C00080")</f>
        <v xml:space="preserve"> C00080</v>
      </c>
    </row>
    <row r="423" spans="1:7" ht="14">
      <c r="A423" s="22" t="s">
        <v>16796</v>
      </c>
      <c r="C423" s="4" t="str">
        <f ca="1">IFERROR(__xludf.DUMMYFUNCTION("""COMPUTED_VALUE"""),"C00137 ")</f>
        <v xml:space="preserve">C00137 </v>
      </c>
      <c r="D423" s="4" t="str">
        <f ca="1">IFERROR(__xludf.DUMMYFUNCTION("""COMPUTED_VALUE""")," C00124")</f>
        <v xml:space="preserve"> C00124</v>
      </c>
      <c r="E423" s="4"/>
      <c r="F423" s="4"/>
      <c r="G423" s="4"/>
    </row>
    <row r="424" spans="1:7" ht="14">
      <c r="A424" s="22" t="s">
        <v>16797</v>
      </c>
      <c r="C424" s="4" t="str">
        <f ca="1">IFERROR(__xludf.DUMMYFUNCTION("""COMPUTED_VALUE"""),"2 C00008")</f>
        <v>2 C00008</v>
      </c>
      <c r="D424" s="4"/>
      <c r="E424" s="4"/>
      <c r="F424" s="4"/>
      <c r="G424" s="4"/>
    </row>
    <row r="425" spans="1:7" ht="14">
      <c r="A425" s="27" t="s">
        <v>16798</v>
      </c>
      <c r="C425" s="4" t="str">
        <f ca="1">IFERROR(__xludf.DUMMYFUNCTION("""COMPUTED_VALUE"""),"C00693 ")</f>
        <v xml:space="preserve">C00693 </v>
      </c>
      <c r="D425" s="4" t="str">
        <f ca="1">IFERROR(__xludf.DUMMYFUNCTION("""COMPUTED_VALUE""")," C00001")</f>
        <v xml:space="preserve"> C00001</v>
      </c>
      <c r="E425" s="4"/>
      <c r="F425" s="4"/>
      <c r="G425" s="4"/>
    </row>
    <row r="426" spans="1:7" ht="14">
      <c r="A426" s="22" t="s">
        <v>16799</v>
      </c>
      <c r="C426" s="4" t="str">
        <f ca="1">IFERROR(__xludf.DUMMYFUNCTION("""COMPUTED_VALUE"""),"C00685 ")</f>
        <v xml:space="preserve">C00685 </v>
      </c>
      <c r="D426" s="4" t="str">
        <f ca="1">IFERROR(__xludf.DUMMYFUNCTION("""COMPUTED_VALUE""")," C00005 ")</f>
        <v xml:space="preserve"> C00005 </v>
      </c>
      <c r="E426" s="4" t="str">
        <f ca="1">IFERROR(__xludf.DUMMYFUNCTION("""COMPUTED_VALUE""")," C00080")</f>
        <v xml:space="preserve"> C00080</v>
      </c>
      <c r="F426" s="4"/>
      <c r="G426" s="4"/>
    </row>
    <row r="427" spans="1:7" ht="14">
      <c r="A427" s="22" t="s">
        <v>16800</v>
      </c>
      <c r="C427" s="4" t="str">
        <f ca="1">IFERROR(__xludf.DUMMYFUNCTION("""COMPUTED_VALUE"""),"C01190 ")</f>
        <v xml:space="preserve">C01190 </v>
      </c>
      <c r="D427" s="4" t="str">
        <f ca="1">IFERROR(__xludf.DUMMYFUNCTION("""COMPUTED_VALUE""")," C00124")</f>
        <v xml:space="preserve"> C00124</v>
      </c>
      <c r="E427" s="4"/>
      <c r="F427" s="4"/>
      <c r="G427" s="4"/>
    </row>
    <row r="428" spans="1:7" ht="14">
      <c r="A428" s="22" t="s">
        <v>16801</v>
      </c>
      <c r="C428" s="4" t="str">
        <f ca="1">IFERROR(__xludf.DUMMYFUNCTION("""COMPUTED_VALUE"""),"C03506 ")</f>
        <v xml:space="preserve">C03506 </v>
      </c>
      <c r="D428" s="4" t="str">
        <f ca="1">IFERROR(__xludf.DUMMYFUNCTION("""COMPUTED_VALUE""")," C00011 ")</f>
        <v xml:space="preserve"> C00011 </v>
      </c>
      <c r="E428" s="4" t="str">
        <f ca="1">IFERROR(__xludf.DUMMYFUNCTION("""COMPUTED_VALUE""")," C00001")</f>
        <v xml:space="preserve"> C00001</v>
      </c>
      <c r="F428" s="4"/>
      <c r="G428" s="4"/>
    </row>
    <row r="429" spans="1:7" ht="14">
      <c r="A429" s="22" t="s">
        <v>16802</v>
      </c>
      <c r="C429" s="4" t="str">
        <f ca="1">IFERROR(__xludf.DUMMYFUNCTION("""COMPUTED_VALUE"""),"C00342 ")</f>
        <v xml:space="preserve">C00342 </v>
      </c>
      <c r="D429" s="4" t="str">
        <f ca="1">IFERROR(__xludf.DUMMYFUNCTION("""COMPUTED_VALUE""")," C00015")</f>
        <v xml:space="preserve"> C00015</v>
      </c>
      <c r="E429" s="4"/>
      <c r="F429" s="4"/>
      <c r="G429" s="4"/>
    </row>
    <row r="430" spans="1:7" ht="14">
      <c r="A430" s="22" t="s">
        <v>16803</v>
      </c>
      <c r="C430" s="4" t="str">
        <f ca="1">IFERROR(__xludf.DUMMYFUNCTION("""COMPUTED_VALUE"""),"C00136 ")</f>
        <v xml:space="preserve">C00136 </v>
      </c>
      <c r="D430" s="4" t="str">
        <f ca="1">IFERROR(__xludf.DUMMYFUNCTION("""COMPUTED_VALUE""")," C00004 ")</f>
        <v xml:space="preserve"> C00004 </v>
      </c>
      <c r="E430" s="4" t="str">
        <f ca="1">IFERROR(__xludf.DUMMYFUNCTION("""COMPUTED_VALUE""")," C00080")</f>
        <v xml:space="preserve"> C00080</v>
      </c>
      <c r="F430" s="4"/>
      <c r="G430" s="4"/>
    </row>
    <row r="431" spans="1:7" ht="14">
      <c r="A431" s="22" t="s">
        <v>16804</v>
      </c>
      <c r="C431" s="4" t="str">
        <f ca="1">IFERROR(__xludf.DUMMYFUNCTION("""COMPUTED_VALUE"""),"C05684 ")</f>
        <v xml:space="preserve">C05684 </v>
      </c>
      <c r="D431" s="4" t="str">
        <f ca="1">IFERROR(__xludf.DUMMYFUNCTION("""COMPUTED_VALUE""")," 3 C00005 ")</f>
        <v xml:space="preserve"> 3 C00005 </v>
      </c>
      <c r="E431" s="4" t="str">
        <f ca="1">IFERROR(__xludf.DUMMYFUNCTION("""COMPUTED_VALUE""")," 5 C00080")</f>
        <v xml:space="preserve"> 5 C00080</v>
      </c>
      <c r="F431" s="4"/>
      <c r="G431" s="4"/>
    </row>
    <row r="432" spans="1:7" ht="14">
      <c r="A432" s="22" t="s">
        <v>16805</v>
      </c>
      <c r="C432" s="4" t="str">
        <f ca="1">IFERROR(__xludf.DUMMYFUNCTION("""COMPUTED_VALUE"""),"C01450 ")</f>
        <v xml:space="preserve">C01450 </v>
      </c>
      <c r="D432" s="4" t="str">
        <f ca="1">IFERROR(__xludf.DUMMYFUNCTION("""COMPUTED_VALUE""")," C00004 ")</f>
        <v xml:space="preserve"> C00004 </v>
      </c>
      <c r="E432" s="4" t="str">
        <f ca="1">IFERROR(__xludf.DUMMYFUNCTION("""COMPUTED_VALUE""")," C00080")</f>
        <v xml:space="preserve"> C00080</v>
      </c>
      <c r="F432" s="4"/>
      <c r="G432" s="4"/>
    </row>
    <row r="433" spans="1:7" ht="14">
      <c r="A433" s="22" t="s">
        <v>16806</v>
      </c>
      <c r="C433" s="4" t="str">
        <f ca="1">IFERROR(__xludf.DUMMYFUNCTION("""COMPUTED_VALUE"""),"C00492 ")</f>
        <v xml:space="preserve">C00492 </v>
      </c>
      <c r="D433" s="4" t="str">
        <f ca="1">IFERROR(__xludf.DUMMYFUNCTION("""COMPUTED_VALUE""")," C00124")</f>
        <v xml:space="preserve"> C00124</v>
      </c>
      <c r="E433" s="4"/>
      <c r="F433" s="4"/>
      <c r="G433" s="4"/>
    </row>
    <row r="434" spans="1:7" ht="14">
      <c r="A434" s="22" t="s">
        <v>16807</v>
      </c>
      <c r="C434" s="4" t="str">
        <f ca="1">IFERROR(__xludf.DUMMYFUNCTION("""COMPUTED_VALUE"""),"C05404 ")</f>
        <v xml:space="preserve">C05404 </v>
      </c>
      <c r="D434" s="4" t="str">
        <f ca="1">IFERROR(__xludf.DUMMYFUNCTION("""COMPUTED_VALUE""")," C00095")</f>
        <v xml:space="preserve"> C00095</v>
      </c>
      <c r="E434" s="4"/>
      <c r="F434" s="4"/>
      <c r="G434" s="4"/>
    </row>
    <row r="435" spans="1:7" ht="14">
      <c r="A435" s="22" t="s">
        <v>16808</v>
      </c>
      <c r="C435" s="4" t="str">
        <f ca="1">IFERROR(__xludf.DUMMYFUNCTION("""COMPUTED_VALUE"""),"C02984 ")</f>
        <v xml:space="preserve">C02984 </v>
      </c>
      <c r="D435" s="4" t="str">
        <f ca="1">IFERROR(__xludf.DUMMYFUNCTION("""COMPUTED_VALUE""")," C00013 ")</f>
        <v xml:space="preserve"> C00013 </v>
      </c>
      <c r="E435" s="4" t="str">
        <f ca="1">IFERROR(__xludf.DUMMYFUNCTION("""COMPUTED_VALUE""")," C00020")</f>
        <v xml:space="preserve"> C00020</v>
      </c>
      <c r="F435" s="4"/>
      <c r="G435" s="4"/>
    </row>
    <row r="436" spans="1:7" ht="14">
      <c r="A436" s="22" t="s">
        <v>16809</v>
      </c>
      <c r="C436" s="4" t="str">
        <f ca="1">IFERROR(__xludf.DUMMYFUNCTION("""COMPUTED_VALUE"""),"C02987 ")</f>
        <v xml:space="preserve">C02987 </v>
      </c>
      <c r="D436" s="4" t="str">
        <f ca="1">IFERROR(__xludf.DUMMYFUNCTION("""COMPUTED_VALUE""")," C00013 ")</f>
        <v xml:space="preserve"> C00013 </v>
      </c>
      <c r="E436" s="4" t="str">
        <f ca="1">IFERROR(__xludf.DUMMYFUNCTION("""COMPUTED_VALUE""")," C00020")</f>
        <v xml:space="preserve"> C00020</v>
      </c>
      <c r="F436" s="4"/>
      <c r="G436" s="4"/>
    </row>
    <row r="437" spans="1:7" ht="14">
      <c r="A437" s="22" t="s">
        <v>16810</v>
      </c>
      <c r="C437" s="4" t="str">
        <f ca="1">IFERROR(__xludf.DUMMYFUNCTION("""COMPUTED_VALUE"""),"C00010 ")</f>
        <v xml:space="preserve">C00010 </v>
      </c>
      <c r="D437" s="4" t="str">
        <f ca="1">IFERROR(__xludf.DUMMYFUNCTION("""COMPUTED_VALUE""")," C05261")</f>
        <v xml:space="preserve"> C05261</v>
      </c>
      <c r="E437" s="4"/>
      <c r="F437" s="4"/>
      <c r="G437" s="4"/>
    </row>
    <row r="438" spans="1:7" ht="14">
      <c r="A438" s="22" t="s">
        <v>16811</v>
      </c>
      <c r="C438" s="4" t="str">
        <f ca="1">IFERROR(__xludf.DUMMYFUNCTION("""COMPUTED_VALUE"""),"C00135 ")</f>
        <v xml:space="preserve">C00135 </v>
      </c>
      <c r="D438" s="4" t="str">
        <f ca="1">IFERROR(__xludf.DUMMYFUNCTION("""COMPUTED_VALUE""")," C00004 ")</f>
        <v xml:space="preserve"> C00004 </v>
      </c>
      <c r="E438" s="4" t="str">
        <f ca="1">IFERROR(__xludf.DUMMYFUNCTION("""COMPUTED_VALUE""")," C00080")</f>
        <v xml:space="preserve"> C00080</v>
      </c>
      <c r="F438" s="4"/>
      <c r="G438" s="4"/>
    </row>
    <row r="439" spans="1:7" ht="14">
      <c r="A439" s="22" t="s">
        <v>16812</v>
      </c>
      <c r="C439" s="4" t="str">
        <f ca="1">IFERROR(__xludf.DUMMYFUNCTION("""COMPUTED_VALUE"""),"C00010 ")</f>
        <v xml:space="preserve">C00010 </v>
      </c>
      <c r="D439" s="4" t="str">
        <f ca="1">IFERROR(__xludf.DUMMYFUNCTION("""COMPUTED_VALUE""")," C05265")</f>
        <v xml:space="preserve"> C05265</v>
      </c>
      <c r="E439" s="4"/>
      <c r="F439" s="4"/>
      <c r="G439" s="4"/>
    </row>
    <row r="440" spans="1:7" ht="14">
      <c r="A440" s="22" t="s">
        <v>16813</v>
      </c>
      <c r="C440" s="4" t="str">
        <f ca="1">IFERROR(__xludf.DUMMYFUNCTION("""COMPUTED_VALUE"""),"C20446 ")</f>
        <v xml:space="preserve">C20446 </v>
      </c>
      <c r="D440" s="4" t="str">
        <f ca="1">IFERROR(__xludf.DUMMYFUNCTION("""COMPUTED_VALUE""")," C00242")</f>
        <v xml:space="preserve"> C00242</v>
      </c>
      <c r="E440" s="4"/>
      <c r="F440" s="4"/>
      <c r="G440" s="4"/>
    </row>
    <row r="441" spans="1:7" ht="14">
      <c r="A441" s="22" t="s">
        <v>16814</v>
      </c>
      <c r="C441" s="4" t="str">
        <f ca="1">IFERROR(__xludf.DUMMYFUNCTION("""COMPUTED_VALUE"""),"C19647 ")</f>
        <v xml:space="preserve">C19647 </v>
      </c>
      <c r="D441" s="4" t="str">
        <f ca="1">IFERROR(__xludf.DUMMYFUNCTION("""COMPUTED_VALUE""")," C00030")</f>
        <v xml:space="preserve"> C00030</v>
      </c>
      <c r="E441" s="4"/>
      <c r="F441" s="4"/>
      <c r="G441" s="4"/>
    </row>
    <row r="442" spans="1:7" ht="14">
      <c r="A442" s="22" t="s">
        <v>16815</v>
      </c>
      <c r="C442" s="4" t="str">
        <f ca="1">IFERROR(__xludf.DUMMYFUNCTION("""COMPUTED_VALUE"""),"C19085 ")</f>
        <v xml:space="preserve">C19085 </v>
      </c>
      <c r="D442" s="4" t="str">
        <f ca="1">IFERROR(__xludf.DUMMYFUNCTION("""COMPUTED_VALUE""")," 3 C00013")</f>
        <v xml:space="preserve"> 3 C00013</v>
      </c>
      <c r="E442" s="4"/>
      <c r="F442" s="4"/>
      <c r="G442" s="4"/>
    </row>
    <row r="443" spans="1:7" ht="14">
      <c r="A443" s="22" t="s">
        <v>16816</v>
      </c>
      <c r="C443" s="4" t="str">
        <f ca="1">IFERROR(__xludf.DUMMYFUNCTION("""COMPUTED_VALUE"""),"C19078 ")</f>
        <v xml:space="preserve">C19078 </v>
      </c>
      <c r="D443" s="4" t="str">
        <f ca="1">IFERROR(__xludf.DUMMYFUNCTION("""COMPUTED_VALUE""")," C00013")</f>
        <v xml:space="preserve"> C00013</v>
      </c>
      <c r="E443" s="4"/>
      <c r="F443" s="4"/>
      <c r="G443" s="4"/>
    </row>
    <row r="444" spans="1:7" ht="14">
      <c r="A444" s="22" t="s">
        <v>16817</v>
      </c>
      <c r="C444" s="4" t="str">
        <f ca="1">IFERROR(__xludf.DUMMYFUNCTION("""COMPUTED_VALUE"""),"C20904")</f>
        <v>C20904</v>
      </c>
      <c r="D444" s="4"/>
      <c r="E444" s="4"/>
      <c r="F444" s="4"/>
      <c r="G444" s="4"/>
    </row>
    <row r="445" spans="1:7" ht="12.5">
      <c r="A445" s="2" t="s">
        <v>16818</v>
      </c>
      <c r="C445" s="4" t="str">
        <f ca="1">IFERROR(__xludf.DUMMYFUNCTION("""COMPUTED_VALUE"""),"C00155 ")</f>
        <v xml:space="preserve">C00155 </v>
      </c>
      <c r="D445" s="4" t="str">
        <f ca="1">IFERROR(__xludf.DUMMYFUNCTION("""COMPUTED_VALUE""")," C00014 ")</f>
        <v xml:space="preserve"> C00014 </v>
      </c>
      <c r="E445" s="4" t="str">
        <f ca="1">IFERROR(__xludf.DUMMYFUNCTION("""COMPUTED_VALUE""")," C00022")</f>
        <v xml:space="preserve"> C00022</v>
      </c>
      <c r="F445" s="4"/>
      <c r="G445" s="4"/>
    </row>
    <row r="446" spans="1:7" ht="14">
      <c r="A446" s="22" t="s">
        <v>16819</v>
      </c>
      <c r="C446" s="4" t="str">
        <f ca="1">IFERROR(__xludf.DUMMYFUNCTION("""COMPUTED_VALUE"""),"C00109 ")</f>
        <v xml:space="preserve">C00109 </v>
      </c>
      <c r="D446" s="4" t="str">
        <f ca="1">IFERROR(__xludf.DUMMYFUNCTION("""COMPUTED_VALUE""")," C00025")</f>
        <v xml:space="preserve"> C00025</v>
      </c>
      <c r="E446" s="4"/>
      <c r="F446" s="4"/>
      <c r="G446" s="4"/>
    </row>
    <row r="447" spans="1:7" ht="12.5">
      <c r="A447" s="4" t="s">
        <v>12742</v>
      </c>
      <c r="C447" s="4" t="str">
        <f ca="1">IFERROR(__xludf.DUMMYFUNCTION("""COMPUTED_VALUE"""),"C00101 ")</f>
        <v xml:space="preserve">C00101 </v>
      </c>
      <c r="D447" s="4" t="str">
        <f ca="1">IFERROR(__xludf.DUMMYFUNCTION("""COMPUTED_VALUE""")," C03294")</f>
        <v xml:space="preserve"> C03294</v>
      </c>
      <c r="E447" s="4"/>
      <c r="F447" s="4"/>
      <c r="G447" s="4"/>
    </row>
    <row r="448" spans="1:7" ht="14">
      <c r="A448" s="22" t="s">
        <v>16820</v>
      </c>
      <c r="C448" s="4" t="str">
        <f ca="1">IFERROR(__xludf.DUMMYFUNCTION("""COMPUTED_VALUE"""),"C03453")</f>
        <v>C03453</v>
      </c>
      <c r="D448" s="4"/>
      <c r="E448" s="4"/>
      <c r="F448" s="4"/>
      <c r="G448" s="4"/>
    </row>
    <row r="449" spans="1:7" ht="12.5">
      <c r="A449" s="2" t="s">
        <v>16821</v>
      </c>
      <c r="C449" s="4" t="str">
        <f ca="1">IFERROR(__xludf.DUMMYFUNCTION("""COMPUTED_VALUE"""),"C07086 ")</f>
        <v xml:space="preserve">C07086 </v>
      </c>
      <c r="D449" s="4" t="str">
        <f ca="1">IFERROR(__xludf.DUMMYFUNCTION("""COMPUTED_VALUE""")," C00014")</f>
        <v xml:space="preserve"> C00014</v>
      </c>
      <c r="E449" s="4"/>
      <c r="F449" s="4"/>
      <c r="G449" s="4"/>
    </row>
    <row r="450" spans="1:7" ht="14">
      <c r="A450" s="22" t="s">
        <v>16822</v>
      </c>
      <c r="C450" s="4" t="str">
        <f ca="1">IFERROR(__xludf.DUMMYFUNCTION("""COMPUTED_VALUE"""),"C00911 ")</f>
        <v xml:space="preserve">C00911 </v>
      </c>
      <c r="D450" s="4" t="str">
        <f ca="1">IFERROR(__xludf.DUMMYFUNCTION("""COMPUTED_VALUE""")," C00009")</f>
        <v xml:space="preserve"> C00009</v>
      </c>
      <c r="E450" s="4"/>
      <c r="F450" s="4"/>
      <c r="G450" s="4"/>
    </row>
    <row r="451" spans="1:7" ht="14">
      <c r="A451" s="22" t="s">
        <v>16823</v>
      </c>
      <c r="C451" s="4" t="str">
        <f ca="1">IFERROR(__xludf.DUMMYFUNCTION("""COMPUTED_VALUE"""),"C00059 ")</f>
        <v xml:space="preserve">C00059 </v>
      </c>
      <c r="D451" s="4" t="str">
        <f ca="1">IFERROR(__xludf.DUMMYFUNCTION("""COMPUTED_VALUE""")," C00468")</f>
        <v xml:space="preserve"> C00468</v>
      </c>
      <c r="E451" s="4"/>
      <c r="F451" s="4"/>
      <c r="G451" s="4"/>
    </row>
    <row r="452" spans="1:7" ht="14">
      <c r="A452" s="22" t="s">
        <v>16824</v>
      </c>
      <c r="C452" s="4" t="str">
        <f ca="1">IFERROR(__xludf.DUMMYFUNCTION("""COMPUTED_VALUE"""),"C20858 ")</f>
        <v xml:space="preserve">C20858 </v>
      </c>
      <c r="D452" s="4" t="str">
        <f ca="1">IFERROR(__xludf.DUMMYFUNCTION("""COMPUTED_VALUE""")," C00021")</f>
        <v xml:space="preserve"> C00021</v>
      </c>
      <c r="E452" s="4"/>
      <c r="F452" s="4"/>
      <c r="G452" s="4"/>
    </row>
    <row r="453" spans="1:7" ht="14">
      <c r="A453" s="22" t="s">
        <v>16825</v>
      </c>
      <c r="C453" s="4" t="str">
        <f ca="1">IFERROR(__xludf.DUMMYFUNCTION("""COMPUTED_VALUE"""),"C00010 ")</f>
        <v xml:space="preserve">C00010 </v>
      </c>
      <c r="D453" s="4" t="str">
        <f ca="1">IFERROR(__xludf.DUMMYFUNCTION("""COMPUTED_VALUE""")," C05259")</f>
        <v xml:space="preserve"> C05259</v>
      </c>
      <c r="E453" s="4"/>
      <c r="F453" s="4"/>
      <c r="G453" s="4"/>
    </row>
    <row r="454" spans="1:7" ht="14">
      <c r="A454" s="22" t="s">
        <v>16826</v>
      </c>
      <c r="C454" s="4" t="str">
        <f ca="1">IFERROR(__xludf.DUMMYFUNCTION("""COMPUTED_VALUE"""),"C22438 ")</f>
        <v xml:space="preserve">C22438 </v>
      </c>
      <c r="D454" s="4" t="str">
        <f ca="1">IFERROR(__xludf.DUMMYFUNCTION("""COMPUTED_VALUE""")," C00005 ")</f>
        <v xml:space="preserve"> C00005 </v>
      </c>
      <c r="E454" s="4" t="str">
        <f ca="1">IFERROR(__xludf.DUMMYFUNCTION("""COMPUTED_VALUE""")," C00080")</f>
        <v xml:space="preserve"> C00080</v>
      </c>
      <c r="F454" s="4"/>
      <c r="G454" s="4"/>
    </row>
    <row r="455" spans="1:7" ht="14">
      <c r="A455" s="22" t="s">
        <v>16827</v>
      </c>
      <c r="C455" s="4" t="str">
        <f ca="1">IFERROR(__xludf.DUMMYFUNCTION("""COMPUTED_VALUE"""),"C00954 ")</f>
        <v xml:space="preserve">C00954 </v>
      </c>
      <c r="D455" s="4" t="str">
        <f ca="1">IFERROR(__xludf.DUMMYFUNCTION("""COMPUTED_VALUE""")," C00014")</f>
        <v xml:space="preserve"> C00014</v>
      </c>
      <c r="E455" s="4"/>
      <c r="F455" s="4"/>
      <c r="G455" s="4"/>
    </row>
    <row r="456" spans="1:7" ht="14">
      <c r="A456" s="22" t="s">
        <v>16828</v>
      </c>
      <c r="C456" s="4" t="str">
        <f ca="1">IFERROR(__xludf.DUMMYFUNCTION("""COMPUTED_VALUE"""),"C05817")</f>
        <v>C05817</v>
      </c>
      <c r="D456" s="4"/>
      <c r="E456" s="4"/>
      <c r="F456" s="4"/>
      <c r="G456" s="4"/>
    </row>
    <row r="457" spans="1:7" ht="12.5">
      <c r="A457" s="2" t="s">
        <v>16829</v>
      </c>
      <c r="C457" s="4" t="str">
        <f ca="1">IFERROR(__xludf.DUMMYFUNCTION("""COMPUTED_VALUE"""),"C02741 ")</f>
        <v xml:space="preserve">C02741 </v>
      </c>
      <c r="D457" s="4" t="str">
        <f ca="1">IFERROR(__xludf.DUMMYFUNCTION("""COMPUTED_VALUE""")," C00013")</f>
        <v xml:space="preserve"> C00013</v>
      </c>
      <c r="E457" s="4"/>
      <c r="F457" s="4"/>
      <c r="G457" s="4"/>
    </row>
    <row r="458" spans="1:7" ht="14">
      <c r="A458" s="22" t="s">
        <v>16830</v>
      </c>
      <c r="C458" s="4" t="str">
        <f ca="1">IFERROR(__xludf.DUMMYFUNCTION("""COMPUTED_VALUE"""),"C00002 ")</f>
        <v xml:space="preserve">C00002 </v>
      </c>
      <c r="D458" s="4" t="str">
        <f ca="1">IFERROR(__xludf.DUMMYFUNCTION("""COMPUTED_VALUE""")," C00119")</f>
        <v xml:space="preserve"> C00119</v>
      </c>
      <c r="E458" s="4"/>
      <c r="F458" s="4"/>
      <c r="G458" s="4"/>
    </row>
    <row r="459" spans="1:7" ht="12.5">
      <c r="A459" s="4" t="s">
        <v>12662</v>
      </c>
      <c r="C459" s="4" t="str">
        <f ca="1">IFERROR(__xludf.DUMMYFUNCTION("""COMPUTED_VALUE"""),"C04896")</f>
        <v>C04896</v>
      </c>
      <c r="D459" s="4"/>
      <c r="E459" s="4"/>
      <c r="F459" s="4"/>
      <c r="G459" s="4"/>
    </row>
    <row r="460" spans="1:7" ht="12.5">
      <c r="A460" s="2" t="s">
        <v>16831</v>
      </c>
      <c r="C460" s="4" t="str">
        <f ca="1">IFERROR(__xludf.DUMMYFUNCTION("""COMPUTED_VALUE"""),"C00812 ")</f>
        <v xml:space="preserve">C00812 </v>
      </c>
      <c r="D460" s="4" t="str">
        <f ca="1">IFERROR(__xludf.DUMMYFUNCTION("""COMPUTED_VALUE""")," C00014 ")</f>
        <v xml:space="preserve"> C00014 </v>
      </c>
      <c r="E460" s="4" t="str">
        <f ca="1">IFERROR(__xludf.DUMMYFUNCTION("""COMPUTED_VALUE""")," C00022")</f>
        <v xml:space="preserve"> C00022</v>
      </c>
      <c r="F460" s="4"/>
      <c r="G460" s="4"/>
    </row>
    <row r="461" spans="1:7" ht="14">
      <c r="A461" s="22" t="s">
        <v>16832</v>
      </c>
      <c r="C461" s="4" t="str">
        <f ca="1">IFERROR(__xludf.DUMMYFUNCTION("""COMPUTED_VALUE"""),"C00145 ")</f>
        <v xml:space="preserve">C00145 </v>
      </c>
      <c r="D461" s="4" t="str">
        <f ca="1">IFERROR(__xludf.DUMMYFUNCTION("""COMPUTED_VALUE""")," C00014 ")</f>
        <v xml:space="preserve"> C00014 </v>
      </c>
      <c r="E461" s="4" t="str">
        <f ca="1">IFERROR(__xludf.DUMMYFUNCTION("""COMPUTED_VALUE""")," C00022")</f>
        <v xml:space="preserve"> C00022</v>
      </c>
      <c r="F461" s="4"/>
      <c r="G461" s="4"/>
    </row>
    <row r="462" spans="1:7" ht="14">
      <c r="A462" s="22" t="s">
        <v>16833</v>
      </c>
      <c r="C462" s="4" t="str">
        <f ca="1">IFERROR(__xludf.DUMMYFUNCTION("""COMPUTED_VALUE"""),"C01336 ")</f>
        <v xml:space="preserve">C01336 </v>
      </c>
      <c r="D462" s="4" t="str">
        <f ca="1">IFERROR(__xludf.DUMMYFUNCTION("""COMPUTED_VALUE""")," C00014 ")</f>
        <v xml:space="preserve"> C00014 </v>
      </c>
      <c r="E462" s="4" t="str">
        <f ca="1">IFERROR(__xludf.DUMMYFUNCTION("""COMPUTED_VALUE""")," C00022")</f>
        <v xml:space="preserve"> C00022</v>
      </c>
      <c r="F462" s="4"/>
      <c r="G462" s="4"/>
    </row>
    <row r="463" spans="1:7" ht="14">
      <c r="A463" s="22" t="s">
        <v>16834</v>
      </c>
      <c r="C463" s="4" t="str">
        <f ca="1">IFERROR(__xludf.DUMMYFUNCTION("""COMPUTED_VALUE"""),"C14099 ")</f>
        <v xml:space="preserve">C14099 </v>
      </c>
      <c r="D463" s="4" t="str">
        <f ca="1">IFERROR(__xludf.DUMMYFUNCTION("""COMPUTED_VALUE""")," C00004 ")</f>
        <v xml:space="preserve"> C00004 </v>
      </c>
      <c r="E463" s="4" t="str">
        <f ca="1">IFERROR(__xludf.DUMMYFUNCTION("""COMPUTED_VALUE""")," C00080")</f>
        <v xml:space="preserve"> C00080</v>
      </c>
      <c r="F463" s="4"/>
      <c r="G463" s="4"/>
    </row>
    <row r="464" spans="1:7" ht="14">
      <c r="A464" s="22" t="s">
        <v>16835</v>
      </c>
      <c r="C464" s="4" t="str">
        <f ca="1">IFERROR(__xludf.DUMMYFUNCTION("""COMPUTED_VALUE"""),"C18096")</f>
        <v>C18096</v>
      </c>
      <c r="D464" s="4"/>
      <c r="E464" s="4"/>
      <c r="F464" s="4"/>
      <c r="G464" s="4"/>
    </row>
    <row r="465" spans="1:7" ht="12.5">
      <c r="A465" s="2" t="s">
        <v>16836</v>
      </c>
      <c r="C465" s="4" t="str">
        <f ca="1">IFERROR(__xludf.DUMMYFUNCTION("""COMPUTED_VALUE"""),"C02051 ")</f>
        <v xml:space="preserve">C02051 </v>
      </c>
      <c r="D465" s="4" t="str">
        <f ca="1">IFERROR(__xludf.DUMMYFUNCTION("""COMPUTED_VALUE""")," C00004 ")</f>
        <v xml:space="preserve"> C00004 </v>
      </c>
      <c r="E465" s="4" t="str">
        <f ca="1">IFERROR(__xludf.DUMMYFUNCTION("""COMPUTED_VALUE""")," C00080")</f>
        <v xml:space="preserve"> C00080</v>
      </c>
      <c r="F465" s="4"/>
      <c r="G465" s="4"/>
    </row>
    <row r="466" spans="1:7" ht="14">
      <c r="A466" s="22" t="s">
        <v>16837</v>
      </c>
      <c r="C466" s="4" t="str">
        <f ca="1">IFERROR(__xludf.DUMMYFUNCTION("""COMPUTED_VALUE"""),"C02713 ")</f>
        <v xml:space="preserve">C02713 </v>
      </c>
      <c r="D466" s="4" t="str">
        <f ca="1">IFERROR(__xludf.DUMMYFUNCTION("""COMPUTED_VALUE""")," C00041")</f>
        <v xml:space="preserve"> C00041</v>
      </c>
      <c r="E466" s="4"/>
      <c r="F466" s="4"/>
      <c r="G466" s="4"/>
    </row>
    <row r="467" spans="1:7" ht="14">
      <c r="A467" s="22" t="s">
        <v>16838</v>
      </c>
      <c r="C467" s="4" t="str">
        <f ca="1">IFERROR(__xludf.DUMMYFUNCTION("""COMPUTED_VALUE"""),"C03895 ")</f>
        <v xml:space="preserve">C03895 </v>
      </c>
      <c r="D467" s="4" t="str">
        <f ca="1">IFERROR(__xludf.DUMMYFUNCTION("""COMPUTED_VALUE""")," C00342")</f>
        <v xml:space="preserve"> C00342</v>
      </c>
      <c r="E467" s="4"/>
      <c r="F467" s="4"/>
      <c r="G467" s="4"/>
    </row>
    <row r="468" spans="1:7" ht="14">
      <c r="A468" s="22" t="s">
        <v>16839</v>
      </c>
      <c r="C468" s="4" t="str">
        <f ca="1">IFERROR(__xludf.DUMMYFUNCTION("""COMPUTED_VALUE"""),"C15653 ")</f>
        <v xml:space="preserve">C15653 </v>
      </c>
      <c r="D468" s="4" t="str">
        <f ca="1">IFERROR(__xludf.DUMMYFUNCTION("""COMPUTED_VALUE""")," C00342")</f>
        <v xml:space="preserve"> C00342</v>
      </c>
      <c r="E468" s="4"/>
      <c r="F468" s="4"/>
      <c r="G468" s="4"/>
    </row>
    <row r="469" spans="1:7" ht="14">
      <c r="A469" s="22" t="s">
        <v>16840</v>
      </c>
      <c r="C469" s="4" t="str">
        <f ca="1">IFERROR(__xludf.DUMMYFUNCTION("""COMPUTED_VALUE"""),"C01035 ")</f>
        <v xml:space="preserve">C01035 </v>
      </c>
      <c r="D469" s="4" t="str">
        <f ca="1">IFERROR(__xludf.DUMMYFUNCTION("""COMPUTED_VALUE""")," C00014")</f>
        <v xml:space="preserve"> C00014</v>
      </c>
      <c r="E469" s="4"/>
      <c r="F469" s="4"/>
      <c r="G469" s="4"/>
    </row>
    <row r="470" spans="1:7" ht="14">
      <c r="A470" s="22" t="s">
        <v>16841</v>
      </c>
      <c r="C470" s="4" t="str">
        <f ca="1">IFERROR(__xludf.DUMMYFUNCTION("""COMPUTED_VALUE"""),"C00064 ")</f>
        <v xml:space="preserve">C00064 </v>
      </c>
      <c r="D470" s="4" t="str">
        <f ca="1">IFERROR(__xludf.DUMMYFUNCTION("""COMPUTED_VALUE""")," C00119 ")</f>
        <v xml:space="preserve"> C00119 </v>
      </c>
      <c r="E470" s="4" t="str">
        <f ca="1">IFERROR(__xludf.DUMMYFUNCTION("""COMPUTED_VALUE""")," C00001")</f>
        <v xml:space="preserve"> C00001</v>
      </c>
      <c r="F470" s="4"/>
      <c r="G470" s="4"/>
    </row>
    <row r="471" spans="1:7" ht="12.5">
      <c r="A471" s="4" t="s">
        <v>12660</v>
      </c>
      <c r="C471" s="4" t="str">
        <f ca="1">IFERROR(__xludf.DUMMYFUNCTION("""COMPUTED_VALUE"""),"C00396 ")</f>
        <v xml:space="preserve">C00396 </v>
      </c>
      <c r="D471" s="4" t="str">
        <f ca="1">IFERROR(__xludf.DUMMYFUNCTION("""COMPUTED_VALUE""")," C00620 ")</f>
        <v xml:space="preserve"> C00620 </v>
      </c>
      <c r="E471" s="4" t="str">
        <f ca="1">IFERROR(__xludf.DUMMYFUNCTION("""COMPUTED_VALUE""")," C00080")</f>
        <v xml:space="preserve"> C00080</v>
      </c>
      <c r="F471" s="4"/>
      <c r="G471" s="4"/>
    </row>
    <row r="472" spans="1:7" ht="12.5">
      <c r="A472" s="4" t="s">
        <v>12678</v>
      </c>
      <c r="C472" s="4" t="str">
        <f ca="1">IFERROR(__xludf.DUMMYFUNCTION("""COMPUTED_VALUE"""),"C00712 ")</f>
        <v xml:space="preserve">C00712 </v>
      </c>
      <c r="D472" s="4" t="str">
        <f ca="1">IFERROR(__xludf.DUMMYFUNCTION("""COMPUTED_VALUE""")," C00001")</f>
        <v xml:space="preserve"> C00001</v>
      </c>
      <c r="E472" s="4"/>
      <c r="F472" s="4"/>
      <c r="G472" s="4"/>
    </row>
    <row r="473" spans="1:7" ht="14">
      <c r="A473" s="22" t="s">
        <v>16842</v>
      </c>
      <c r="C473" s="4" t="str">
        <f ca="1">IFERROR(__xludf.DUMMYFUNCTION("""COMPUTED_VALUE"""),"C04309 ")</f>
        <v xml:space="preserve">C04309 </v>
      </c>
      <c r="D473" s="4" t="str">
        <f ca="1">IFERROR(__xludf.DUMMYFUNCTION("""COMPUTED_VALUE""")," C00001")</f>
        <v xml:space="preserve"> C00001</v>
      </c>
      <c r="E473" s="4"/>
      <c r="F473" s="4"/>
      <c r="G473" s="4"/>
    </row>
    <row r="474" spans="1:7" ht="14">
      <c r="A474" s="22" t="s">
        <v>16843</v>
      </c>
      <c r="C474" s="4" t="str">
        <f ca="1">IFERROR(__xludf.DUMMYFUNCTION("""COMPUTED_VALUE"""),"C00122 ")</f>
        <v xml:space="preserve">C00122 </v>
      </c>
      <c r="D474" s="4" t="str">
        <f ca="1">IFERROR(__xludf.DUMMYFUNCTION("""COMPUTED_VALUE""")," C00062")</f>
        <v xml:space="preserve"> C00062</v>
      </c>
      <c r="E474" s="4"/>
      <c r="F474" s="4"/>
      <c r="G474" s="4"/>
    </row>
    <row r="475" spans="1:7" ht="14">
      <c r="A475" s="22" t="s">
        <v>16844</v>
      </c>
      <c r="C475" s="4" t="str">
        <f ca="1">IFERROR(__xludf.DUMMYFUNCTION("""COMPUTED_VALUE"""),"C00463 ")</f>
        <v xml:space="preserve">C00463 </v>
      </c>
      <c r="D475" s="4" t="str">
        <f ca="1">IFERROR(__xludf.DUMMYFUNCTION("""COMPUTED_VALUE""")," C00118")</f>
        <v xml:space="preserve"> C00118</v>
      </c>
      <c r="E475" s="4"/>
      <c r="F475" s="4"/>
      <c r="G475" s="4"/>
    </row>
    <row r="476" spans="1:7" ht="14">
      <c r="A476" s="22" t="s">
        <v>16845</v>
      </c>
      <c r="C476" s="4" t="str">
        <f ca="1">IFERROR(__xludf.DUMMYFUNCTION("""COMPUTED_VALUE"""),"C11838 ")</f>
        <v xml:space="preserve">C11838 </v>
      </c>
      <c r="D476" s="4" t="str">
        <f ca="1">IFERROR(__xludf.DUMMYFUNCTION("""COMPUTED_VALUE""")," C00155")</f>
        <v xml:space="preserve"> C00155</v>
      </c>
      <c r="E476" s="4"/>
      <c r="F476" s="4"/>
      <c r="G476" s="4"/>
    </row>
    <row r="477" spans="1:7" ht="14">
      <c r="A477" s="22" t="s">
        <v>16846</v>
      </c>
      <c r="C477" s="4" t="str">
        <f ca="1">IFERROR(__xludf.DUMMYFUNCTION("""COMPUTED_VALUE"""),"C00060 ")</f>
        <v xml:space="preserve">C00060 </v>
      </c>
      <c r="D477" s="4" t="str">
        <f ca="1">IFERROR(__xludf.DUMMYFUNCTION("""COMPUTED_VALUE""")," C00014")</f>
        <v xml:space="preserve"> C00014</v>
      </c>
      <c r="E477" s="4"/>
      <c r="F477" s="4"/>
      <c r="G477" s="4"/>
    </row>
    <row r="478" spans="1:7" ht="14">
      <c r="A478" s="22" t="s">
        <v>16847</v>
      </c>
      <c r="C478" s="4" t="str">
        <f ca="1">IFERROR(__xludf.DUMMYFUNCTION("""COMPUTED_VALUE"""),"C00122 ")</f>
        <v xml:space="preserve">C00122 </v>
      </c>
      <c r="D478" s="4" t="str">
        <f ca="1">IFERROR(__xludf.DUMMYFUNCTION("""COMPUTED_VALUE""")," C00020")</f>
        <v xml:space="preserve"> C00020</v>
      </c>
      <c r="E478" s="4"/>
      <c r="F478" s="4"/>
      <c r="G478" s="4"/>
    </row>
    <row r="479" spans="1:7" ht="14">
      <c r="A479" s="22" t="s">
        <v>16848</v>
      </c>
      <c r="C479" s="4" t="str">
        <f ca="1">IFERROR(__xludf.DUMMYFUNCTION("""COMPUTED_VALUE"""),"C03633")</f>
        <v>C03633</v>
      </c>
      <c r="D479" s="4"/>
      <c r="E479" s="4"/>
      <c r="F479" s="4"/>
      <c r="G479" s="4"/>
    </row>
    <row r="480" spans="1:7" ht="12.5">
      <c r="A480" s="2" t="s">
        <v>16849</v>
      </c>
      <c r="C480" s="4" t="str">
        <f ca="1">IFERROR(__xludf.DUMMYFUNCTION("""COMPUTED_VALUE"""),"C04376 ")</f>
        <v xml:space="preserve">C04376 </v>
      </c>
      <c r="D480" s="4" t="str">
        <f ca="1">IFERROR(__xludf.DUMMYFUNCTION("""COMPUTED_VALUE""")," C00101")</f>
        <v xml:space="preserve"> C00101</v>
      </c>
      <c r="E480" s="4"/>
      <c r="F480" s="4"/>
      <c r="G480" s="4"/>
    </row>
    <row r="481" spans="1:7" ht="14">
      <c r="A481" s="22" t="s">
        <v>16850</v>
      </c>
      <c r="C481" s="4" t="str">
        <f ca="1">IFERROR(__xludf.DUMMYFUNCTION("""COMPUTED_VALUE"""),"C03523 ")</f>
        <v xml:space="preserve">C03523 </v>
      </c>
      <c r="D481" s="4" t="str">
        <f ca="1">IFERROR(__xludf.DUMMYFUNCTION("""COMPUTED_VALUE""")," C00066")</f>
        <v xml:space="preserve"> C00066</v>
      </c>
      <c r="E481" s="4"/>
      <c r="F481" s="4"/>
      <c r="G481" s="4"/>
    </row>
    <row r="482" spans="1:7" ht="14">
      <c r="A482" s="22" t="s">
        <v>16851</v>
      </c>
      <c r="C482" s="4" t="str">
        <f ca="1">IFERROR(__xludf.DUMMYFUNCTION("""COMPUTED_VALUE"""),"C00344 ")</f>
        <v xml:space="preserve">C00344 </v>
      </c>
      <c r="D482" s="4" t="str">
        <f ca="1">IFERROR(__xludf.DUMMYFUNCTION("""COMPUTED_VALUE""")," C00009")</f>
        <v xml:space="preserve"> C00009</v>
      </c>
      <c r="E482" s="4"/>
      <c r="F482" s="4"/>
      <c r="G482" s="4"/>
    </row>
    <row r="483" spans="1:7" ht="14">
      <c r="A483" s="22" t="s">
        <v>16852</v>
      </c>
      <c r="C483" s="4" t="str">
        <f ca="1">IFERROR(__xludf.DUMMYFUNCTION("""COMPUTED_VALUE"""),"C05744 ")</f>
        <v xml:space="preserve">C05744 </v>
      </c>
      <c r="D483" s="4" t="str">
        <f ca="1">IFERROR(__xludf.DUMMYFUNCTION("""COMPUTED_VALUE""")," C00011 ")</f>
        <v xml:space="preserve"> C00011 </v>
      </c>
      <c r="E483" s="4" t="str">
        <f ca="1">IFERROR(__xludf.DUMMYFUNCTION("""COMPUTED_VALUE""")," C00229")</f>
        <v xml:space="preserve"> C00229</v>
      </c>
      <c r="F483" s="4"/>
      <c r="G483" s="4"/>
    </row>
    <row r="484" spans="1:7" ht="14">
      <c r="A484" s="22" t="s">
        <v>16853</v>
      </c>
      <c r="C484" s="4" t="str">
        <f ca="1">IFERROR(__xludf.DUMMYFUNCTION("""COMPUTED_VALUE"""),"C20258 ")</f>
        <v xml:space="preserve">C20258 </v>
      </c>
      <c r="D484" s="4" t="str">
        <f ca="1">IFERROR(__xludf.DUMMYFUNCTION("""COMPUTED_VALUE""")," C00004 ")</f>
        <v xml:space="preserve"> C00004 </v>
      </c>
      <c r="E484" s="4" t="str">
        <f ca="1">IFERROR(__xludf.DUMMYFUNCTION("""COMPUTED_VALUE""")," C00080")</f>
        <v xml:space="preserve"> C00080</v>
      </c>
      <c r="F484" s="4"/>
      <c r="G484" s="4"/>
    </row>
    <row r="485" spans="1:7" ht="14">
      <c r="A485" s="22" t="s">
        <v>16854</v>
      </c>
      <c r="C485" s="4" t="str">
        <f ca="1">IFERROR(__xludf.DUMMYFUNCTION("""COMPUTED_VALUE"""),"C20258 ")</f>
        <v xml:space="preserve">C20258 </v>
      </c>
      <c r="D485" s="4" t="str">
        <f ca="1">IFERROR(__xludf.DUMMYFUNCTION("""COMPUTED_VALUE""")," C00005 ")</f>
        <v xml:space="preserve"> C00005 </v>
      </c>
      <c r="E485" s="4" t="str">
        <f ca="1">IFERROR(__xludf.DUMMYFUNCTION("""COMPUTED_VALUE""")," C00080")</f>
        <v xml:space="preserve"> C00080</v>
      </c>
      <c r="F485" s="4"/>
      <c r="G485" s="4"/>
    </row>
    <row r="486" spans="1:7" ht="14">
      <c r="A486" s="22" t="s">
        <v>16855</v>
      </c>
      <c r="C486" s="4" t="str">
        <f ca="1">IFERROR(__xludf.DUMMYFUNCTION("""COMPUTED_VALUE"""),"C05539 ")</f>
        <v xml:space="preserve">C05539 </v>
      </c>
      <c r="D486" s="4" t="str">
        <f ca="1">IFERROR(__xludf.DUMMYFUNCTION("""COMPUTED_VALUE""")," C00010")</f>
        <v xml:space="preserve"> C00010</v>
      </c>
      <c r="E486" s="4"/>
      <c r="F486" s="4"/>
      <c r="G486" s="4"/>
    </row>
    <row r="487" spans="1:7" ht="14">
      <c r="A487" s="22" t="s">
        <v>16856</v>
      </c>
      <c r="C487" s="4" t="str">
        <f ca="1">IFERROR(__xludf.DUMMYFUNCTION("""COMPUTED_VALUE"""),"C03723 ")</f>
        <v xml:space="preserve">C03723 </v>
      </c>
      <c r="D487" s="4" t="str">
        <f ca="1">IFERROR(__xludf.DUMMYFUNCTION("""COMPUTED_VALUE""")," C00342")</f>
        <v xml:space="preserve"> C00342</v>
      </c>
      <c r="E487" s="4"/>
      <c r="F487" s="4"/>
      <c r="G487" s="4"/>
    </row>
    <row r="488" spans="1:7" ht="14">
      <c r="A488" s="22" t="s">
        <v>16857</v>
      </c>
      <c r="C488" s="4" t="str">
        <f ca="1">IFERROR(__xludf.DUMMYFUNCTION("""COMPUTED_VALUE"""),"C03723 ")</f>
        <v xml:space="preserve">C03723 </v>
      </c>
      <c r="D488" s="4" t="str">
        <f ca="1">IFERROR(__xludf.DUMMYFUNCTION("""COMPUTED_VALUE""")," C02090")</f>
        <v xml:space="preserve"> C02090</v>
      </c>
      <c r="E488" s="4"/>
      <c r="F488" s="4"/>
      <c r="G488" s="4"/>
    </row>
    <row r="489" spans="1:7" ht="14">
      <c r="A489" s="22" t="s">
        <v>16858</v>
      </c>
      <c r="C489" s="4" t="str">
        <f ca="1">IFERROR(__xludf.DUMMYFUNCTION("""COMPUTED_VALUE"""),"C03723 ")</f>
        <v xml:space="preserve">C03723 </v>
      </c>
      <c r="D489" s="4" t="str">
        <f ca="1">IFERROR(__xludf.DUMMYFUNCTION("""COMPUTED_VALUE""")," C16663")</f>
        <v xml:space="preserve"> C16663</v>
      </c>
      <c r="E489" s="4"/>
      <c r="F489" s="4"/>
      <c r="G489" s="4"/>
    </row>
    <row r="490" spans="1:7" ht="14">
      <c r="A490" s="22" t="s">
        <v>16859</v>
      </c>
      <c r="C490" s="4" t="str">
        <f ca="1">IFERROR(__xludf.DUMMYFUNCTION("""COMPUTED_VALUE"""),"C03800 ")</f>
        <v xml:space="preserve">C03800 </v>
      </c>
      <c r="D490" s="4" t="str">
        <f ca="1">IFERROR(__xludf.DUMMYFUNCTION("""COMPUTED_VALUE""")," C11475")</f>
        <v xml:space="preserve"> C11475</v>
      </c>
      <c r="E490" s="4"/>
      <c r="F490" s="4"/>
      <c r="G490" s="4"/>
    </row>
    <row r="491" spans="1:7" ht="14">
      <c r="A491" s="22" t="s">
        <v>16860</v>
      </c>
      <c r="C491" s="4" t="str">
        <f ca="1">IFERROR(__xludf.DUMMYFUNCTION("""COMPUTED_VALUE"""),"C00058 ")</f>
        <v xml:space="preserve">C00058 </v>
      </c>
      <c r="D491" s="4" t="str">
        <f ca="1">IFERROR(__xludf.DUMMYFUNCTION("""COMPUTED_VALUE""")," C03617")</f>
        <v xml:space="preserve"> C03617</v>
      </c>
      <c r="E491" s="4"/>
      <c r="F491" s="4"/>
      <c r="G491" s="4"/>
    </row>
    <row r="492" spans="1:7" ht="14">
      <c r="A492" s="22" t="s">
        <v>16861</v>
      </c>
      <c r="C492" s="4" t="str">
        <f ca="1">IFERROR(__xludf.DUMMYFUNCTION("""COMPUTED_VALUE"""),"C00615 ")</f>
        <v xml:space="preserve">C00615 </v>
      </c>
      <c r="D492" s="4" t="str">
        <f ca="1">IFERROR(__xludf.DUMMYFUNCTION("""COMPUTED_VALUE""")," C00644")</f>
        <v xml:space="preserve"> C00644</v>
      </c>
      <c r="E492" s="4"/>
      <c r="F492" s="4"/>
      <c r="G492" s="4"/>
    </row>
    <row r="493" spans="1:7" ht="14">
      <c r="A493" s="22" t="s">
        <v>16862</v>
      </c>
      <c r="C493" s="4" t="str">
        <f ca="1">IFERROR(__xludf.DUMMYFUNCTION("""COMPUTED_VALUE"""),"C16737")</f>
        <v>C16737</v>
      </c>
      <c r="D493" s="4"/>
      <c r="E493" s="4"/>
      <c r="F493" s="4"/>
      <c r="G493" s="4"/>
    </row>
    <row r="494" spans="1:7" ht="12.5">
      <c r="A494" s="2" t="s">
        <v>16863</v>
      </c>
      <c r="C494" s="4" t="str">
        <f ca="1">IFERROR(__xludf.DUMMYFUNCTION("""COMPUTED_VALUE"""),"C00108 ")</f>
        <v xml:space="preserve">C00108 </v>
      </c>
      <c r="D494" s="4" t="str">
        <f ca="1">IFERROR(__xludf.DUMMYFUNCTION("""COMPUTED_VALUE""")," C00119")</f>
        <v xml:space="preserve"> C00119</v>
      </c>
      <c r="E494" s="4"/>
      <c r="F494" s="4"/>
      <c r="G494" s="4"/>
    </row>
    <row r="495" spans="1:7" ht="14">
      <c r="A495" s="22" t="s">
        <v>16864</v>
      </c>
      <c r="C495" s="4" t="str">
        <f ca="1">IFERROR(__xludf.DUMMYFUNCTION("""COMPUTED_VALUE"""),"C01134 ")</f>
        <v xml:space="preserve">C01134 </v>
      </c>
      <c r="D495" s="4" t="str">
        <f ca="1">IFERROR(__xludf.DUMMYFUNCTION("""COMPUTED_VALUE""")," C00011")</f>
        <v xml:space="preserve"> C00011</v>
      </c>
      <c r="E495" s="4"/>
      <c r="F495" s="4"/>
      <c r="G495" s="4"/>
    </row>
    <row r="496" spans="1:7" ht="14">
      <c r="A496" s="22" t="s">
        <v>16865</v>
      </c>
      <c r="C496" s="4" t="str">
        <f ca="1">IFERROR(__xludf.DUMMYFUNCTION("""COMPUTED_VALUE"""),"C04144 ")</f>
        <v xml:space="preserve">C04144 </v>
      </c>
      <c r="D496" s="4" t="str">
        <f ca="1">IFERROR(__xludf.DUMMYFUNCTION("""COMPUTED_VALUE""")," C00073")</f>
        <v xml:space="preserve"> C00073</v>
      </c>
      <c r="E496" s="4"/>
      <c r="F496" s="4"/>
      <c r="G496" s="4"/>
    </row>
    <row r="497" spans="1:7" ht="14">
      <c r="A497" s="22" t="s">
        <v>16866</v>
      </c>
      <c r="C497" s="4" t="str">
        <f ca="1">IFERROR(__xludf.DUMMYFUNCTION("""COMPUTED_VALUE"""),"C01228 ")</f>
        <v xml:space="preserve">C01228 </v>
      </c>
      <c r="D497" s="4" t="str">
        <f ca="1">IFERROR(__xludf.DUMMYFUNCTION("""COMPUTED_VALUE""")," C00009")</f>
        <v xml:space="preserve"> C00009</v>
      </c>
      <c r="E497" s="4"/>
      <c r="F497" s="4"/>
      <c r="G497" s="4"/>
    </row>
    <row r="498" spans="1:7" ht="14">
      <c r="A498" s="22" t="s">
        <v>16867</v>
      </c>
      <c r="C498" s="4" t="str">
        <f ca="1">IFERROR(__xludf.DUMMYFUNCTION("""COMPUTED_VALUE"""),"C00031 ")</f>
        <v xml:space="preserve">C00031 </v>
      </c>
      <c r="D498" s="4" t="str">
        <f ca="1">IFERROR(__xludf.DUMMYFUNCTION("""COMPUTED_VALUE""")," C00092")</f>
        <v xml:space="preserve"> C00092</v>
      </c>
      <c r="E498" s="4"/>
      <c r="F498" s="4"/>
      <c r="G498" s="4"/>
    </row>
    <row r="499" spans="1:7" ht="14">
      <c r="A499" s="22" t="s">
        <v>16868</v>
      </c>
      <c r="C499" s="4" t="str">
        <f ca="1">IFERROR(__xludf.DUMMYFUNCTION("""COMPUTED_VALUE"""),"C17556 ")</f>
        <v xml:space="preserve">C17556 </v>
      </c>
      <c r="D499" s="4" t="str">
        <f ca="1">IFERROR(__xludf.DUMMYFUNCTION("""COMPUTED_VALUE""")," C00009")</f>
        <v xml:space="preserve"> C00009</v>
      </c>
      <c r="E499" s="4"/>
      <c r="F499" s="4"/>
      <c r="G499" s="4"/>
    </row>
    <row r="500" spans="1:7" ht="14">
      <c r="A500" s="22" t="s">
        <v>16869</v>
      </c>
      <c r="C500" s="4" t="str">
        <f ca="1">IFERROR(__xludf.DUMMYFUNCTION("""COMPUTED_VALUE"""),"C04246 ")</f>
        <v xml:space="preserve">C04246 </v>
      </c>
      <c r="D500" s="4" t="str">
        <f ca="1">IFERROR(__xludf.DUMMYFUNCTION("""COMPUTED_VALUE""")," C00001")</f>
        <v xml:space="preserve"> C00001</v>
      </c>
      <c r="E500" s="4"/>
      <c r="F500" s="4"/>
      <c r="G500" s="4"/>
    </row>
    <row r="501" spans="1:7" ht="14">
      <c r="A501" s="22" t="s">
        <v>16870</v>
      </c>
      <c r="C501" s="4" t="str">
        <f ca="1">IFERROR(__xludf.DUMMYFUNCTION("""COMPUTED_VALUE"""),"C05744 ")</f>
        <v xml:space="preserve">C05744 </v>
      </c>
      <c r="D501" s="4" t="str">
        <f ca="1">IFERROR(__xludf.DUMMYFUNCTION("""COMPUTED_VALUE""")," C00005 ")</f>
        <v xml:space="preserve"> C00005 </v>
      </c>
      <c r="E501" s="4" t="str">
        <f ca="1">IFERROR(__xludf.DUMMYFUNCTION("""COMPUTED_VALUE""")," C00080")</f>
        <v xml:space="preserve"> C00080</v>
      </c>
      <c r="F501" s="4"/>
      <c r="G501" s="4"/>
    </row>
    <row r="502" spans="1:7" ht="14">
      <c r="A502" s="22" t="s">
        <v>16871</v>
      </c>
      <c r="C502" s="4" t="str">
        <f ca="1">IFERROR(__xludf.DUMMYFUNCTION("""COMPUTED_VALUE"""),"C05754 ")</f>
        <v xml:space="preserve">C05754 </v>
      </c>
      <c r="D502" s="4" t="str">
        <f ca="1">IFERROR(__xludf.DUMMYFUNCTION("""COMPUTED_VALUE""")," C00001")</f>
        <v xml:space="preserve"> C00001</v>
      </c>
      <c r="E502" s="4"/>
      <c r="F502" s="4"/>
      <c r="G502" s="4"/>
    </row>
    <row r="503" spans="1:7" ht="14">
      <c r="A503" s="22" t="s">
        <v>16872</v>
      </c>
      <c r="C503" s="4" t="str">
        <f ca="1">IFERROR(__xludf.DUMMYFUNCTION("""COMPUTED_VALUE"""),"C05753 ")</f>
        <v xml:space="preserve">C05753 </v>
      </c>
      <c r="D503" s="4" t="str">
        <f ca="1">IFERROR(__xludf.DUMMYFUNCTION("""COMPUTED_VALUE""")," C00005")</f>
        <v xml:space="preserve"> C00005</v>
      </c>
      <c r="E503" s="4"/>
      <c r="F503" s="4"/>
      <c r="G503" s="4"/>
    </row>
    <row r="504" spans="1:7" ht="14">
      <c r="A504" s="22" t="s">
        <v>16873</v>
      </c>
      <c r="C504" s="4" t="str">
        <f ca="1">IFERROR(__xludf.DUMMYFUNCTION("""COMPUTED_VALUE"""),"C05751 ")</f>
        <v xml:space="preserve">C05751 </v>
      </c>
      <c r="D504" s="4" t="str">
        <f ca="1">IFERROR(__xludf.DUMMYFUNCTION("""COMPUTED_VALUE""")," C00001")</f>
        <v xml:space="preserve"> C00001</v>
      </c>
      <c r="E504" s="4"/>
      <c r="F504" s="4"/>
      <c r="G504" s="4"/>
    </row>
    <row r="505" spans="1:7" ht="14">
      <c r="A505" s="22" t="s">
        <v>16874</v>
      </c>
      <c r="C505" s="4" t="str">
        <f ca="1">IFERROR(__xludf.DUMMYFUNCTION("""COMPUTED_VALUE"""),"C05750 ")</f>
        <v xml:space="preserve">C05750 </v>
      </c>
      <c r="D505" s="4" t="str">
        <f ca="1">IFERROR(__xludf.DUMMYFUNCTION("""COMPUTED_VALUE""")," C00005 ")</f>
        <v xml:space="preserve"> C00005 </v>
      </c>
      <c r="E505" s="4" t="str">
        <f ca="1">IFERROR(__xludf.DUMMYFUNCTION("""COMPUTED_VALUE""")," C00080")</f>
        <v xml:space="preserve"> C00080</v>
      </c>
      <c r="F505" s="4"/>
      <c r="G505" s="4"/>
    </row>
    <row r="506" spans="1:7" ht="14">
      <c r="A506" s="22" t="s">
        <v>16875</v>
      </c>
      <c r="C506" s="4" t="str">
        <f ca="1">IFERROR(__xludf.DUMMYFUNCTION("""COMPUTED_VALUE"""),"C05763 ")</f>
        <v xml:space="preserve">C05763 </v>
      </c>
      <c r="D506" s="4" t="str">
        <f ca="1">IFERROR(__xludf.DUMMYFUNCTION("""COMPUTED_VALUE""")," C00001")</f>
        <v xml:space="preserve"> C00001</v>
      </c>
      <c r="E506" s="4"/>
      <c r="F506" s="4"/>
      <c r="G506" s="4"/>
    </row>
    <row r="507" spans="1:7" ht="14">
      <c r="A507" s="22" t="s">
        <v>16876</v>
      </c>
      <c r="C507" s="4" t="str">
        <f ca="1">IFERROR(__xludf.DUMMYFUNCTION("""COMPUTED_VALUE"""),"C05762 ")</f>
        <v xml:space="preserve">C05762 </v>
      </c>
      <c r="D507" s="4" t="str">
        <f ca="1">IFERROR(__xludf.DUMMYFUNCTION("""COMPUTED_VALUE""")," C00005 ")</f>
        <v xml:space="preserve"> C00005 </v>
      </c>
      <c r="E507" s="4" t="str">
        <f ca="1">IFERROR(__xludf.DUMMYFUNCTION("""COMPUTED_VALUE""")," C00080")</f>
        <v xml:space="preserve"> C00080</v>
      </c>
      <c r="F507" s="4"/>
      <c r="G507" s="4"/>
    </row>
    <row r="508" spans="1:7" ht="14">
      <c r="A508" s="22" t="s">
        <v>16877</v>
      </c>
      <c r="C508" s="4" t="str">
        <f ca="1">IFERROR(__xludf.DUMMYFUNCTION("""COMPUTED_VALUE"""),"C16618 ")</f>
        <v xml:space="preserve">C16618 </v>
      </c>
      <c r="D508" s="4" t="str">
        <f ca="1">IFERROR(__xludf.DUMMYFUNCTION("""COMPUTED_VALUE""")," C00004 ")</f>
        <v xml:space="preserve"> C00004 </v>
      </c>
      <c r="E508" s="4" t="str">
        <f ca="1">IFERROR(__xludf.DUMMYFUNCTION("""COMPUTED_VALUE""")," C00080")</f>
        <v xml:space="preserve"> C00080</v>
      </c>
      <c r="F508" s="4"/>
      <c r="G508" s="4"/>
    </row>
    <row r="509" spans="1:7" ht="14">
      <c r="A509" s="22" t="s">
        <v>16878</v>
      </c>
      <c r="C509" s="4" t="str">
        <f ca="1">IFERROR(__xludf.DUMMYFUNCTION("""COMPUTED_VALUE"""),"C01267 ")</f>
        <v xml:space="preserve">C01267 </v>
      </c>
      <c r="D509" s="4" t="str">
        <f ca="1">IFERROR(__xludf.DUMMYFUNCTION("""COMPUTED_VALUE""")," C00001")</f>
        <v xml:space="preserve"> C00001</v>
      </c>
      <c r="E509" s="4"/>
      <c r="F509" s="4"/>
      <c r="G509" s="4"/>
    </row>
    <row r="510" spans="1:7" ht="14">
      <c r="A510" s="22" t="s">
        <v>16879</v>
      </c>
      <c r="C510" s="4" t="str">
        <f ca="1">IFERROR(__xludf.DUMMYFUNCTION("""COMPUTED_VALUE"""),"C04051 ")</f>
        <v xml:space="preserve">C04051 </v>
      </c>
      <c r="D510" s="4" t="str">
        <f ca="1">IFERROR(__xludf.DUMMYFUNCTION("""COMPUTED_VALUE""")," C00119")</f>
        <v xml:space="preserve"> C00119</v>
      </c>
      <c r="E510" s="4"/>
      <c r="F510" s="4"/>
      <c r="G510" s="4"/>
    </row>
    <row r="511" spans="1:7" ht="12.5">
      <c r="A511" s="4" t="s">
        <v>12688</v>
      </c>
      <c r="C511" s="4" t="str">
        <f ca="1">IFERROR(__xludf.DUMMYFUNCTION("""COMPUTED_VALUE"""),"C05760 ")</f>
        <v xml:space="preserve">C05760 </v>
      </c>
      <c r="D511" s="4" t="str">
        <f ca="1">IFERROR(__xludf.DUMMYFUNCTION("""COMPUTED_VALUE""")," C00001")</f>
        <v xml:space="preserve"> C00001</v>
      </c>
      <c r="E511" s="4"/>
      <c r="F511" s="4"/>
      <c r="G511" s="4"/>
    </row>
    <row r="512" spans="1:7" ht="14">
      <c r="A512" s="22" t="s">
        <v>16880</v>
      </c>
      <c r="C512" s="4" t="str">
        <f ca="1">IFERROR(__xludf.DUMMYFUNCTION("""COMPUTED_VALUE"""),"C05759 ")</f>
        <v xml:space="preserve">C05759 </v>
      </c>
      <c r="D512" s="4" t="str">
        <f ca="1">IFERROR(__xludf.DUMMYFUNCTION("""COMPUTED_VALUE""")," C00005 ")</f>
        <v xml:space="preserve"> C00005 </v>
      </c>
      <c r="E512" s="4" t="str">
        <f ca="1">IFERROR(__xludf.DUMMYFUNCTION("""COMPUTED_VALUE""")," C00080")</f>
        <v xml:space="preserve"> C00080</v>
      </c>
      <c r="F512" s="4"/>
      <c r="G512" s="4"/>
    </row>
    <row r="513" spans="1:7" ht="14">
      <c r="A513" s="22" t="s">
        <v>16881</v>
      </c>
      <c r="C513" s="4" t="str">
        <f ca="1">IFERROR(__xludf.DUMMYFUNCTION("""COMPUTED_VALUE"""),"C00105 ")</f>
        <v xml:space="preserve">C00105 </v>
      </c>
      <c r="D513" s="4" t="str">
        <f ca="1">IFERROR(__xludf.DUMMYFUNCTION("""COMPUTED_VALUE""")," C04851")</f>
        <v xml:space="preserve"> C04851</v>
      </c>
      <c r="E513" s="4"/>
      <c r="F513" s="4"/>
      <c r="G513" s="4"/>
    </row>
    <row r="514" spans="1:7" ht="14">
      <c r="A514" s="22" t="s">
        <v>16882</v>
      </c>
      <c r="C514" s="4" t="str">
        <f ca="1">IFERROR(__xludf.DUMMYFUNCTION("""COMPUTED_VALUE"""),"C00124 ")</f>
        <v xml:space="preserve">C00124 </v>
      </c>
      <c r="D514" s="4" t="str">
        <f ca="1">IFERROR(__xludf.DUMMYFUNCTION("""COMPUTED_VALUE""")," C01290")</f>
        <v xml:space="preserve"> C01290</v>
      </c>
      <c r="E514" s="4"/>
      <c r="F514" s="4"/>
      <c r="G514" s="4"/>
    </row>
    <row r="515" spans="1:7" ht="14">
      <c r="A515" s="22" t="s">
        <v>16883</v>
      </c>
      <c r="C515" s="4" t="str">
        <f ca="1">IFERROR(__xludf.DUMMYFUNCTION("""COMPUTED_VALUE"""),"C03373 ")</f>
        <v xml:space="preserve">C03373 </v>
      </c>
      <c r="D515" s="4" t="str">
        <f ca="1">IFERROR(__xludf.DUMMYFUNCTION("""COMPUTED_VALUE""")," C00011")</f>
        <v xml:space="preserve"> C00011</v>
      </c>
      <c r="E515" s="4"/>
      <c r="F515" s="4"/>
      <c r="G515" s="4"/>
    </row>
    <row r="516" spans="1:7" ht="14">
      <c r="A516" s="22" t="s">
        <v>16884</v>
      </c>
      <c r="C516" s="4" t="str">
        <f ca="1">IFERROR(__xludf.DUMMYFUNCTION("""COMPUTED_VALUE"""),"C00013 ")</f>
        <v xml:space="preserve">C00013 </v>
      </c>
      <c r="D516" s="4" t="str">
        <f ca="1">IFERROR(__xludf.DUMMYFUNCTION("""COMPUTED_VALUE""")," C01081")</f>
        <v xml:space="preserve"> C01081</v>
      </c>
      <c r="E516" s="4"/>
      <c r="F516" s="4"/>
      <c r="G516" s="4"/>
    </row>
    <row r="517" spans="1:7" ht="14">
      <c r="A517" s="22" t="s">
        <v>16885</v>
      </c>
      <c r="C517" s="4" t="str">
        <f ca="1">IFERROR(__xludf.DUMMYFUNCTION("""COMPUTED_VALUE"""),"C00013 ")</f>
        <v xml:space="preserve">C00013 </v>
      </c>
      <c r="D517" s="4" t="str">
        <f ca="1">IFERROR(__xludf.DUMMYFUNCTION("""COMPUTED_VALUE""")," C01081 ")</f>
        <v xml:space="preserve"> C01081 </v>
      </c>
      <c r="E517" s="4" t="str">
        <f ca="1">IFERROR(__xludf.DUMMYFUNCTION("""COMPUTED_VALUE""")," C00011")</f>
        <v xml:space="preserve"> C00011</v>
      </c>
      <c r="F517" s="4"/>
      <c r="G517" s="4"/>
    </row>
    <row r="518" spans="1:7" ht="14">
      <c r="A518" s="22" t="s">
        <v>16886</v>
      </c>
      <c r="C518" s="4" t="str">
        <f ca="1">IFERROR(__xludf.DUMMYFUNCTION("""COMPUTED_VALUE"""),"C01081 ")</f>
        <v xml:space="preserve">C01081 </v>
      </c>
      <c r="D518" s="4" t="str">
        <f ca="1">IFERROR(__xludf.DUMMYFUNCTION("""COMPUTED_VALUE""")," C00013 ")</f>
        <v xml:space="preserve"> C00013 </v>
      </c>
      <c r="E518" s="4" t="str">
        <f ca="1">IFERROR(__xludf.DUMMYFUNCTION("""COMPUTED_VALUE""")," C00011")</f>
        <v xml:space="preserve"> C00011</v>
      </c>
      <c r="F518" s="4"/>
      <c r="G518" s="4"/>
    </row>
    <row r="519" spans="1:7" ht="12.5">
      <c r="A519" s="4" t="s">
        <v>12706</v>
      </c>
      <c r="C519" s="4" t="str">
        <f ca="1">IFERROR(__xludf.DUMMYFUNCTION("""COMPUTED_VALUE"""),"C00122 ")</f>
        <v xml:space="preserve">C00122 </v>
      </c>
      <c r="D519" s="4" t="str">
        <f ca="1">IFERROR(__xludf.DUMMYFUNCTION("""COMPUTED_VALUE""")," C04677")</f>
        <v xml:space="preserve"> C04677</v>
      </c>
      <c r="E519" s="4"/>
      <c r="F519" s="4"/>
      <c r="G519" s="4"/>
    </row>
    <row r="520" spans="1:7" ht="14">
      <c r="A520" s="22" t="s">
        <v>16887</v>
      </c>
      <c r="C520" s="4" t="str">
        <f ca="1">IFERROR(__xludf.DUMMYFUNCTION("""COMPUTED_VALUE"""),"C05893 ")</f>
        <v xml:space="preserve">C05893 </v>
      </c>
      <c r="D520" s="4" t="str">
        <f ca="1">IFERROR(__xludf.DUMMYFUNCTION("""COMPUTED_VALUE""")," C00015")</f>
        <v xml:space="preserve"> C00015</v>
      </c>
      <c r="E520" s="4"/>
      <c r="F520" s="4"/>
      <c r="G520" s="4"/>
    </row>
    <row r="521" spans="1:7" ht="14">
      <c r="A521" s="22" t="s">
        <v>16888</v>
      </c>
      <c r="C521" s="4" t="str">
        <f ca="1">IFERROR(__xludf.DUMMYFUNCTION("""COMPUTED_VALUE"""),"C00105 ")</f>
        <v xml:space="preserve">C00105 </v>
      </c>
      <c r="D521" s="4" t="str">
        <f ca="1">IFERROR(__xludf.DUMMYFUNCTION("""COMPUTED_VALUE""")," C05897")</f>
        <v xml:space="preserve"> C05897</v>
      </c>
      <c r="E521" s="4"/>
      <c r="F521" s="4"/>
      <c r="G521" s="4"/>
    </row>
    <row r="522" spans="1:7" ht="14">
      <c r="A522" s="22" t="s">
        <v>16889</v>
      </c>
      <c r="C522" s="4" t="str">
        <f ca="1">IFERROR(__xludf.DUMMYFUNCTION("""COMPUTED_VALUE"""),"C04916")</f>
        <v>C04916</v>
      </c>
      <c r="D522" s="4"/>
      <c r="E522" s="4"/>
      <c r="F522" s="4"/>
      <c r="G522" s="4"/>
    </row>
    <row r="523" spans="1:7" ht="12.5">
      <c r="A523" s="2" t="s">
        <v>16890</v>
      </c>
      <c r="C523" s="4" t="str">
        <f ca="1">IFERROR(__xludf.DUMMYFUNCTION("""COMPUTED_VALUE"""),"C04884 ")</f>
        <v xml:space="preserve">C04884 </v>
      </c>
      <c r="D523" s="4" t="str">
        <f ca="1">IFERROR(__xludf.DUMMYFUNCTION("""COMPUTED_VALUE""")," C00124")</f>
        <v xml:space="preserve"> C00124</v>
      </c>
      <c r="E523" s="4"/>
      <c r="F523" s="4"/>
      <c r="G523" s="4"/>
    </row>
    <row r="524" spans="1:7" ht="14">
      <c r="A524" s="22" t="s">
        <v>16891</v>
      </c>
      <c r="C524" s="4" t="str">
        <f ca="1">IFERROR(__xludf.DUMMYFUNCTION("""COMPUTED_VALUE"""),"C04677 ")</f>
        <v xml:space="preserve">C04677 </v>
      </c>
      <c r="D524" s="4" t="str">
        <f ca="1">IFERROR(__xludf.DUMMYFUNCTION("""COMPUTED_VALUE""")," C04666 ")</f>
        <v xml:space="preserve"> C04666 </v>
      </c>
      <c r="E524" s="4" t="str">
        <f ca="1">IFERROR(__xludf.DUMMYFUNCTION("""COMPUTED_VALUE""")," C00001")</f>
        <v xml:space="preserve"> C00001</v>
      </c>
      <c r="F524" s="4"/>
      <c r="G524" s="4"/>
    </row>
    <row r="525" spans="1:7" ht="14">
      <c r="A525" s="22" t="s">
        <v>16892</v>
      </c>
      <c r="C525" s="4" t="str">
        <f ca="1">IFERROR(__xludf.DUMMYFUNCTION("""COMPUTED_VALUE"""),"C04666 ")</f>
        <v xml:space="preserve">C04666 </v>
      </c>
      <c r="D525" s="4" t="str">
        <f ca="1">IFERROR(__xludf.DUMMYFUNCTION("""COMPUTED_VALUE""")," C04677 ")</f>
        <v xml:space="preserve"> C04677 </v>
      </c>
      <c r="E525" s="4" t="str">
        <f ca="1">IFERROR(__xludf.DUMMYFUNCTION("""COMPUTED_VALUE""")," C00025")</f>
        <v xml:space="preserve"> C00025</v>
      </c>
      <c r="F525" s="4"/>
      <c r="G525" s="4"/>
    </row>
    <row r="526" spans="1:7" ht="14">
      <c r="A526" s="22" t="s">
        <v>16893</v>
      </c>
      <c r="C526" s="4" t="str">
        <f ca="1">IFERROR(__xludf.DUMMYFUNCTION("""COMPUTED_VALUE"""),"C00161 ")</f>
        <v xml:space="preserve">C00161 </v>
      </c>
      <c r="D526" s="4" t="str">
        <f ca="1">IFERROR(__xludf.DUMMYFUNCTION("""COMPUTED_VALUE""")," C00014")</f>
        <v xml:space="preserve"> C00014</v>
      </c>
      <c r="E526" s="4"/>
      <c r="F526" s="4"/>
      <c r="G526" s="4"/>
    </row>
    <row r="527" spans="1:7" ht="14">
      <c r="A527" s="22" t="s">
        <v>16894</v>
      </c>
      <c r="C527" s="4" t="str">
        <f ca="1">IFERROR(__xludf.DUMMYFUNCTION("""COMPUTED_VALUE"""),"C00161 ")</f>
        <v xml:space="preserve">C00161 </v>
      </c>
      <c r="D527" s="4" t="str">
        <f ca="1">IFERROR(__xludf.DUMMYFUNCTION("""COMPUTED_VALUE""")," C00014 ")</f>
        <v xml:space="preserve"> C00014 </v>
      </c>
      <c r="E527" s="4" t="str">
        <f ca="1">IFERROR(__xludf.DUMMYFUNCTION("""COMPUTED_VALUE""")," C00004 ")</f>
        <v xml:space="preserve"> C00004 </v>
      </c>
      <c r="F527" s="4" t="str">
        <f ca="1">IFERROR(__xludf.DUMMYFUNCTION("""COMPUTED_VALUE""")," C00080")</f>
        <v xml:space="preserve"> C00080</v>
      </c>
      <c r="G527" s="4"/>
    </row>
    <row r="528" spans="1:7" ht="14">
      <c r="A528" s="22" t="s">
        <v>16895</v>
      </c>
      <c r="C528" s="4" t="str">
        <f ca="1">IFERROR(__xludf.DUMMYFUNCTION("""COMPUTED_VALUE"""),"C00161 ")</f>
        <v xml:space="preserve">C00161 </v>
      </c>
      <c r="D528" s="4" t="str">
        <f ca="1">IFERROR(__xludf.DUMMYFUNCTION("""COMPUTED_VALUE""")," C00014 ")</f>
        <v xml:space="preserve"> C00014 </v>
      </c>
      <c r="E528" s="4" t="str">
        <f ca="1">IFERROR(__xludf.DUMMYFUNCTION("""COMPUTED_VALUE""")," C00005 ")</f>
        <v xml:space="preserve"> C00005 </v>
      </c>
      <c r="F528" s="4" t="str">
        <f ca="1">IFERROR(__xludf.DUMMYFUNCTION("""COMPUTED_VALUE""")," C00080")</f>
        <v xml:space="preserve"> C00080</v>
      </c>
      <c r="G528" s="4"/>
    </row>
    <row r="529" spans="1:7" ht="14">
      <c r="A529" s="22" t="s">
        <v>16896</v>
      </c>
      <c r="C529" s="4" t="str">
        <f ca="1">IFERROR(__xludf.DUMMYFUNCTION("""COMPUTED_VALUE"""),"C22288 ")</f>
        <v xml:space="preserve">C22288 </v>
      </c>
      <c r="D529" s="4" t="str">
        <f ca="1">IFERROR(__xludf.DUMMYFUNCTION("""COMPUTED_VALUE""")," C00147")</f>
        <v xml:space="preserve"> C00147</v>
      </c>
      <c r="E529" s="4"/>
      <c r="F529" s="4"/>
      <c r="G529" s="4"/>
    </row>
    <row r="530" spans="1:7" ht="14">
      <c r="A530" s="22" t="s">
        <v>16897</v>
      </c>
      <c r="C530" s="4" t="str">
        <f ca="1">IFERROR(__xludf.DUMMYFUNCTION("""COMPUTED_VALUE"""),"C05759 ")</f>
        <v xml:space="preserve">C05759 </v>
      </c>
      <c r="D530" s="4" t="str">
        <f ca="1">IFERROR(__xludf.DUMMYFUNCTION("""COMPUTED_VALUE""")," C00011 ")</f>
        <v xml:space="preserve"> C00011 </v>
      </c>
      <c r="E530" s="4" t="str">
        <f ca="1">IFERROR(__xludf.DUMMYFUNCTION("""COMPUTED_VALUE""")," C00229")</f>
        <v xml:space="preserve"> C00229</v>
      </c>
      <c r="F530" s="4"/>
      <c r="G530" s="4"/>
    </row>
    <row r="531" spans="1:7" ht="14">
      <c r="A531" s="22" t="s">
        <v>16898</v>
      </c>
      <c r="C531" s="4" t="str">
        <f ca="1">IFERROR(__xludf.DUMMYFUNCTION("""COMPUTED_VALUE"""),"C00010 ")</f>
        <v xml:space="preserve">C00010 </v>
      </c>
      <c r="D531" s="4" t="str">
        <f ca="1">IFERROR(__xludf.DUMMYFUNCTION("""COMPUTED_VALUE""")," C05267")</f>
        <v xml:space="preserve"> C05267</v>
      </c>
      <c r="E531" s="4"/>
      <c r="F531" s="4"/>
      <c r="G531" s="4"/>
    </row>
    <row r="532" spans="1:7" ht="14">
      <c r="A532" s="22" t="s">
        <v>16899</v>
      </c>
      <c r="C532" s="4" t="str">
        <f ca="1">IFERROR(__xludf.DUMMYFUNCTION("""COMPUTED_VALUE"""),"C00010 ")</f>
        <v xml:space="preserve">C00010 </v>
      </c>
      <c r="D532" s="4" t="str">
        <f ca="1">IFERROR(__xludf.DUMMYFUNCTION("""COMPUTED_VALUE""")," C05263")</f>
        <v xml:space="preserve"> C05263</v>
      </c>
      <c r="E532" s="4"/>
      <c r="F532" s="4"/>
      <c r="G532" s="4"/>
    </row>
    <row r="533" spans="1:7" ht="14">
      <c r="A533" s="22" t="s">
        <v>16900</v>
      </c>
      <c r="C533" s="4" t="str">
        <f ca="1">IFERROR(__xludf.DUMMYFUNCTION("""COMPUTED_VALUE"""),"C00111 ")</f>
        <v xml:space="preserve">C00111 </v>
      </c>
      <c r="D533" s="4" t="str">
        <f ca="1">IFERROR(__xludf.DUMMYFUNCTION("""COMPUTED_VALUE""")," C00118")</f>
        <v xml:space="preserve"> C00118</v>
      </c>
      <c r="E533" s="4"/>
      <c r="F533" s="4"/>
      <c r="G533" s="4"/>
    </row>
    <row r="534" spans="1:7" ht="14">
      <c r="A534" s="22" t="s">
        <v>16901</v>
      </c>
      <c r="C534" s="4" t="str">
        <f ca="1">IFERROR(__xludf.DUMMYFUNCTION("""COMPUTED_VALUE"""),"C05345 ")</f>
        <v xml:space="preserve">C05345 </v>
      </c>
      <c r="D534" s="4" t="str">
        <f ca="1">IFERROR(__xludf.DUMMYFUNCTION("""COMPUTED_VALUE""")," C00009")</f>
        <v xml:space="preserve"> C00009</v>
      </c>
      <c r="E534" s="4"/>
      <c r="F534" s="4"/>
      <c r="G534" s="4"/>
    </row>
    <row r="535" spans="1:7" ht="14">
      <c r="A535" s="22" t="s">
        <v>16902</v>
      </c>
      <c r="C535" s="4" t="str">
        <f ca="1">IFERROR(__xludf.DUMMYFUNCTION("""COMPUTED_VALUE"""),"C00279 ")</f>
        <v xml:space="preserve">C00279 </v>
      </c>
      <c r="D535" s="4" t="str">
        <f ca="1">IFERROR(__xludf.DUMMYFUNCTION("""COMPUTED_VALUE""")," C00085")</f>
        <v xml:space="preserve"> C00085</v>
      </c>
      <c r="E535" s="4"/>
      <c r="F535" s="4"/>
      <c r="G535" s="4"/>
    </row>
    <row r="536" spans="1:7" ht="14">
      <c r="A536" s="22" t="s">
        <v>16903</v>
      </c>
      <c r="C536" s="4" t="str">
        <f ca="1">IFERROR(__xludf.DUMMYFUNCTION("""COMPUTED_VALUE"""),"C00794 ")</f>
        <v xml:space="preserve">C00794 </v>
      </c>
      <c r="D536" s="4" t="str">
        <f ca="1">IFERROR(__xludf.DUMMYFUNCTION("""COMPUTED_VALUE""")," C00124")</f>
        <v xml:space="preserve"> C00124</v>
      </c>
      <c r="E536" s="4"/>
      <c r="F536" s="4"/>
      <c r="G536" s="4"/>
    </row>
    <row r="537" spans="1:7" ht="14">
      <c r="A537" s="22" t="s">
        <v>16904</v>
      </c>
      <c r="C537" s="4" t="str">
        <f ca="1">IFERROR(__xludf.DUMMYFUNCTION("""COMPUTED_VALUE"""),"C00159 ")</f>
        <v xml:space="preserve">C00159 </v>
      </c>
      <c r="D537" s="4" t="str">
        <f ca="1">IFERROR(__xludf.DUMMYFUNCTION("""COMPUTED_VALUE""")," C00124")</f>
        <v xml:space="preserve"> C00124</v>
      </c>
      <c r="E537" s="4"/>
      <c r="F537" s="4"/>
      <c r="G537" s="4"/>
    </row>
    <row r="538" spans="1:7" ht="14">
      <c r="A538" s="22" t="s">
        <v>16905</v>
      </c>
      <c r="C538" s="4" t="str">
        <f ca="1">IFERROR(__xludf.DUMMYFUNCTION("""COMPUTED_VALUE"""),"C00124 ")</f>
        <v xml:space="preserve">C00124 </v>
      </c>
      <c r="D538" s="4" t="str">
        <f ca="1">IFERROR(__xludf.DUMMYFUNCTION("""COMPUTED_VALUE""")," C00116")</f>
        <v xml:space="preserve"> C00116</v>
      </c>
      <c r="E538" s="4"/>
      <c r="F538" s="4"/>
      <c r="G538" s="4"/>
    </row>
    <row r="539" spans="1:7" ht="14">
      <c r="A539" s="22" t="s">
        <v>16906</v>
      </c>
      <c r="C539" s="4" t="str">
        <f ca="1">IFERROR(__xludf.DUMMYFUNCTION("""COMPUTED_VALUE"""),"C00124 ")</f>
        <v xml:space="preserve">C00124 </v>
      </c>
      <c r="D539" s="4" t="str">
        <f ca="1">IFERROR(__xludf.DUMMYFUNCTION("""COMPUTED_VALUE""")," C00031")</f>
        <v xml:space="preserve"> C00031</v>
      </c>
      <c r="E539" s="4"/>
      <c r="F539" s="4"/>
      <c r="G539" s="4"/>
    </row>
    <row r="540" spans="1:7" ht="14">
      <c r="A540" s="22" t="s">
        <v>16907</v>
      </c>
      <c r="C540" s="4" t="str">
        <f ca="1">IFERROR(__xludf.DUMMYFUNCTION("""COMPUTED_VALUE"""),"C05394 ")</f>
        <v xml:space="preserve">C05394 </v>
      </c>
      <c r="D540" s="4" t="str">
        <f ca="1">IFERROR(__xludf.DUMMYFUNCTION("""COMPUTED_VALUE""")," C00221")</f>
        <v xml:space="preserve"> C00221</v>
      </c>
      <c r="E540" s="4"/>
      <c r="F540" s="4"/>
      <c r="G540" s="4"/>
    </row>
    <row r="541" spans="1:7" ht="14">
      <c r="A541" s="22" t="s">
        <v>16908</v>
      </c>
      <c r="C541" s="4" t="str">
        <f ca="1">IFERROR(__xludf.DUMMYFUNCTION("""COMPUTED_VALUE"""),"C00124 ")</f>
        <v xml:space="preserve">C00124 </v>
      </c>
      <c r="D541" s="4" t="str">
        <f ca="1">IFERROR(__xludf.DUMMYFUNCTION("""COMPUTED_VALUE""")," C05402")</f>
        <v xml:space="preserve"> C05402</v>
      </c>
      <c r="E541" s="4"/>
      <c r="F541" s="4"/>
      <c r="G541" s="4"/>
    </row>
    <row r="542" spans="1:7" ht="14">
      <c r="A542" s="22" t="s">
        <v>16909</v>
      </c>
      <c r="C542" s="4" t="str">
        <f ca="1">IFERROR(__xludf.DUMMYFUNCTION("""COMPUTED_VALUE"""),"C05445 ")</f>
        <v xml:space="preserve">C05445 </v>
      </c>
      <c r="D542" s="4" t="str">
        <f ca="1">IFERROR(__xludf.DUMMYFUNCTION("""COMPUTED_VALUE""")," C00004 ")</f>
        <v xml:space="preserve"> C00004 </v>
      </c>
      <c r="E542" s="4" t="str">
        <f ca="1">IFERROR(__xludf.DUMMYFUNCTION("""COMPUTED_VALUE""")," C00080")</f>
        <v xml:space="preserve"> C00080</v>
      </c>
      <c r="F542" s="4"/>
      <c r="G542" s="4"/>
    </row>
    <row r="543" spans="1:7" ht="14">
      <c r="A543" s="22" t="s">
        <v>16910</v>
      </c>
      <c r="C543" s="4" t="str">
        <f ca="1">IFERROR(__xludf.DUMMYFUNCTION("""COMPUTED_VALUE"""),"C05577 ")</f>
        <v xml:space="preserve">C05577 </v>
      </c>
      <c r="D543" s="4" t="str">
        <f ca="1">IFERROR(__xludf.DUMMYFUNCTION("""COMPUTED_VALUE""")," C00004 ")</f>
        <v xml:space="preserve"> C00004 </v>
      </c>
      <c r="E543" s="4" t="str">
        <f ca="1">IFERROR(__xludf.DUMMYFUNCTION("""COMPUTED_VALUE""")," C00080")</f>
        <v xml:space="preserve"> C00080</v>
      </c>
      <c r="F543" s="4"/>
      <c r="G543" s="4"/>
    </row>
    <row r="544" spans="1:7" ht="14">
      <c r="A544" s="22" t="s">
        <v>16911</v>
      </c>
      <c r="C544" s="4" t="str">
        <f ca="1">IFERROR(__xludf.DUMMYFUNCTION("""COMPUTED_VALUE"""),"C00022 ")</f>
        <v xml:space="preserve">C00022 </v>
      </c>
      <c r="D544" s="4" t="str">
        <f ca="1">IFERROR(__xludf.DUMMYFUNCTION("""COMPUTED_VALUE""")," C00014 ")</f>
        <v xml:space="preserve"> C00014 </v>
      </c>
      <c r="E544" s="4" t="str">
        <f ca="1">IFERROR(__xludf.DUMMYFUNCTION("""COMPUTED_VALUE""")," C05703")</f>
        <v xml:space="preserve"> C05703</v>
      </c>
      <c r="F544" s="4"/>
      <c r="G544" s="4"/>
    </row>
    <row r="545" spans="1:7" ht="14">
      <c r="A545" s="22" t="s">
        <v>16912</v>
      </c>
      <c r="C545" s="4" t="str">
        <f ca="1">IFERROR(__xludf.DUMMYFUNCTION("""COMPUTED_VALUE"""),"C05335 ")</f>
        <v xml:space="preserve">C05335 </v>
      </c>
      <c r="D545" s="4" t="str">
        <f ca="1">IFERROR(__xludf.DUMMYFUNCTION("""COMPUTED_VALUE""")," C04144")</f>
        <v xml:space="preserve"> C04144</v>
      </c>
      <c r="E545" s="4"/>
      <c r="F545" s="4"/>
      <c r="G545" s="4"/>
    </row>
    <row r="546" spans="1:7" ht="14">
      <c r="A546" s="22" t="s">
        <v>16913</v>
      </c>
      <c r="C546" s="4" t="str">
        <f ca="1">IFERROR(__xludf.DUMMYFUNCTION("""COMPUTED_VALUE"""),"C05698 ")</f>
        <v xml:space="preserve">C05698 </v>
      </c>
      <c r="D546" s="4" t="str">
        <f ca="1">IFERROR(__xludf.DUMMYFUNCTION("""COMPUTED_VALUE""")," C00014 ")</f>
        <v xml:space="preserve"> C00014 </v>
      </c>
      <c r="E546" s="4" t="str">
        <f ca="1">IFERROR(__xludf.DUMMYFUNCTION("""COMPUTED_VALUE""")," C00022")</f>
        <v xml:space="preserve"> C00022</v>
      </c>
      <c r="F546" s="4"/>
      <c r="G546" s="4"/>
    </row>
    <row r="547" spans="1:7" ht="14">
      <c r="A547" s="22" t="s">
        <v>16914</v>
      </c>
      <c r="C547" s="4" t="str">
        <f ca="1">IFERROR(__xludf.DUMMYFUNCTION("""COMPUTED_VALUE"""),"C05746 ")</f>
        <v xml:space="preserve">C05746 </v>
      </c>
      <c r="D547" s="4" t="str">
        <f ca="1">IFERROR(__xludf.DUMMYFUNCTION("""COMPUTED_VALUE""")," C00011 ")</f>
        <v xml:space="preserve"> C00011 </v>
      </c>
      <c r="E547" s="4" t="str">
        <f ca="1">IFERROR(__xludf.DUMMYFUNCTION("""COMPUTED_VALUE""")," C00229")</f>
        <v xml:space="preserve"> C00229</v>
      </c>
      <c r="F547" s="4"/>
      <c r="G547" s="4"/>
    </row>
    <row r="548" spans="1:7" ht="14">
      <c r="A548" s="22" t="s">
        <v>16915</v>
      </c>
      <c r="C548" s="4" t="str">
        <f ca="1">IFERROR(__xludf.DUMMYFUNCTION("""COMPUTED_VALUE"""),"C05748 ")</f>
        <v xml:space="preserve">C05748 </v>
      </c>
      <c r="D548" s="4" t="str">
        <f ca="1">IFERROR(__xludf.DUMMYFUNCTION("""COMPUTED_VALUE""")," C00001")</f>
        <v xml:space="preserve"> C00001</v>
      </c>
      <c r="E548" s="4"/>
      <c r="F548" s="4"/>
      <c r="G548" s="4"/>
    </row>
    <row r="549" spans="1:7" ht="14">
      <c r="A549" s="22" t="s">
        <v>16916</v>
      </c>
      <c r="C549" s="4" t="str">
        <f ca="1">IFERROR(__xludf.DUMMYFUNCTION("""COMPUTED_VALUE"""),"C05746 ")</f>
        <v xml:space="preserve">C05746 </v>
      </c>
      <c r="D549" s="4" t="str">
        <f ca="1">IFERROR(__xludf.DUMMYFUNCTION("""COMPUTED_VALUE""")," C00005 ")</f>
        <v xml:space="preserve"> C00005 </v>
      </c>
      <c r="E549" s="4" t="str">
        <f ca="1">IFERROR(__xludf.DUMMYFUNCTION("""COMPUTED_VALUE""")," C00080")</f>
        <v xml:space="preserve"> C00080</v>
      </c>
      <c r="F549" s="4"/>
      <c r="G549" s="4"/>
    </row>
    <row r="550" spans="1:7" ht="14">
      <c r="A550" s="22" t="s">
        <v>16917</v>
      </c>
      <c r="C550" s="4" t="str">
        <f ca="1">IFERROR(__xludf.DUMMYFUNCTION("""COMPUTED_VALUE"""),"C05750 ")</f>
        <v xml:space="preserve">C05750 </v>
      </c>
      <c r="D550" s="4" t="str">
        <f ca="1">IFERROR(__xludf.DUMMYFUNCTION("""COMPUTED_VALUE""")," C00011 ")</f>
        <v xml:space="preserve"> C00011 </v>
      </c>
      <c r="E550" s="4" t="str">
        <f ca="1">IFERROR(__xludf.DUMMYFUNCTION("""COMPUTED_VALUE""")," C00229")</f>
        <v xml:space="preserve"> C00229</v>
      </c>
      <c r="F550" s="4"/>
      <c r="G550" s="4"/>
    </row>
    <row r="551" spans="1:7" ht="14">
      <c r="A551" s="22" t="s">
        <v>16918</v>
      </c>
      <c r="C551" s="4" t="str">
        <f ca="1">IFERROR(__xludf.DUMMYFUNCTION("""COMPUTED_VALUE"""),"C05753 ")</f>
        <v xml:space="preserve">C05753 </v>
      </c>
      <c r="D551" s="4" t="str">
        <f ca="1">IFERROR(__xludf.DUMMYFUNCTION("""COMPUTED_VALUE""")," C00011 ")</f>
        <v xml:space="preserve"> C00011 </v>
      </c>
      <c r="E551" s="4" t="str">
        <f ca="1">IFERROR(__xludf.DUMMYFUNCTION("""COMPUTED_VALUE""")," C00229")</f>
        <v xml:space="preserve"> C00229</v>
      </c>
      <c r="F551" s="4"/>
      <c r="G551" s="4"/>
    </row>
    <row r="552" spans="1:7" ht="14">
      <c r="A552" s="22" t="s">
        <v>16919</v>
      </c>
      <c r="C552" s="4" t="str">
        <f ca="1">IFERROR(__xludf.DUMMYFUNCTION("""COMPUTED_VALUE"""),"C05756 ")</f>
        <v xml:space="preserve">C05756 </v>
      </c>
      <c r="D552" s="4" t="str">
        <f ca="1">IFERROR(__xludf.DUMMYFUNCTION("""COMPUTED_VALUE""")," C00011 ")</f>
        <v xml:space="preserve"> C00011 </v>
      </c>
      <c r="E552" s="4" t="str">
        <f ca="1">IFERROR(__xludf.DUMMYFUNCTION("""COMPUTED_VALUE""")," C00229")</f>
        <v xml:space="preserve"> C00229</v>
      </c>
      <c r="F552" s="4"/>
      <c r="G552" s="4"/>
    </row>
    <row r="553" spans="1:7" ht="14">
      <c r="A553" s="22" t="s">
        <v>16920</v>
      </c>
      <c r="C553" s="4" t="str">
        <f ca="1">IFERROR(__xludf.DUMMYFUNCTION("""COMPUTED_VALUE"""),"C05758 ")</f>
        <v xml:space="preserve">C05758 </v>
      </c>
      <c r="D553" s="4" t="str">
        <f ca="1">IFERROR(__xludf.DUMMYFUNCTION("""COMPUTED_VALUE""")," C00001")</f>
        <v xml:space="preserve"> C00001</v>
      </c>
      <c r="E553" s="4"/>
      <c r="F553" s="4"/>
      <c r="G553" s="4"/>
    </row>
    <row r="554" spans="1:7" ht="14">
      <c r="A554" s="22" t="s">
        <v>16921</v>
      </c>
      <c r="C554" s="4" t="str">
        <f ca="1">IFERROR(__xludf.DUMMYFUNCTION("""COMPUTED_VALUE"""),"C05756 ")</f>
        <v xml:space="preserve">C05756 </v>
      </c>
      <c r="D554" s="4" t="str">
        <f ca="1">IFERROR(__xludf.DUMMYFUNCTION("""COMPUTED_VALUE""")," C00005 ")</f>
        <v xml:space="preserve"> C00005 </v>
      </c>
      <c r="E554" s="4" t="str">
        <f ca="1">IFERROR(__xludf.DUMMYFUNCTION("""COMPUTED_VALUE""")," C00080")</f>
        <v xml:space="preserve"> C00080</v>
      </c>
      <c r="F554" s="4"/>
      <c r="G554" s="4"/>
    </row>
    <row r="555" spans="1:7" ht="14">
      <c r="A555" s="22" t="s">
        <v>16922</v>
      </c>
      <c r="C555" s="4" t="str">
        <f ca="1">IFERROR(__xludf.DUMMYFUNCTION("""COMPUTED_VALUE"""),"C05762 ")</f>
        <v xml:space="preserve">C05762 </v>
      </c>
      <c r="D555" s="4" t="str">
        <f ca="1">IFERROR(__xludf.DUMMYFUNCTION("""COMPUTED_VALUE""")," C00011 ")</f>
        <v xml:space="preserve"> C00011 </v>
      </c>
      <c r="E555" s="4" t="str">
        <f ca="1">IFERROR(__xludf.DUMMYFUNCTION("""COMPUTED_VALUE""")," C00229")</f>
        <v xml:space="preserve"> C00229</v>
      </c>
      <c r="F555" s="4"/>
      <c r="G555" s="4"/>
    </row>
    <row r="556" spans="1:7" ht="14">
      <c r="A556" s="22" t="s">
        <v>16923</v>
      </c>
      <c r="C556" s="4" t="str">
        <f ca="1">IFERROR(__xludf.DUMMYFUNCTION("""COMPUTED_VALUE"""),"C16219 ")</f>
        <v xml:space="preserve">C16219 </v>
      </c>
      <c r="D556" s="4" t="str">
        <f ca="1">IFERROR(__xludf.DUMMYFUNCTION("""COMPUTED_VALUE""")," C00229 ")</f>
        <v xml:space="preserve"> C00229 </v>
      </c>
      <c r="E556" s="4" t="str">
        <f ca="1">IFERROR(__xludf.DUMMYFUNCTION("""COMPUTED_VALUE""")," C00011")</f>
        <v xml:space="preserve"> C00011</v>
      </c>
      <c r="F556" s="4"/>
      <c r="G556" s="4"/>
    </row>
    <row r="557" spans="1:7" ht="14">
      <c r="A557" s="22" t="s">
        <v>16924</v>
      </c>
      <c r="C557" s="4" t="str">
        <f ca="1">IFERROR(__xludf.DUMMYFUNCTION("""COMPUTED_VALUE"""),"C00124 ")</f>
        <v xml:space="preserve">C00124 </v>
      </c>
      <c r="D557" s="4" t="str">
        <f ca="1">IFERROR(__xludf.DUMMYFUNCTION("""COMPUTED_VALUE""")," C05796")</f>
        <v xml:space="preserve"> C05796</v>
      </c>
      <c r="E557" s="4"/>
      <c r="F557" s="4"/>
      <c r="G557" s="4"/>
    </row>
    <row r="558" spans="1:7" ht="14">
      <c r="A558" s="22" t="s">
        <v>16925</v>
      </c>
      <c r="C558" s="4" t="str">
        <f ca="1">IFERROR(__xludf.DUMMYFUNCTION("""COMPUTED_VALUE"""),"C05812 ")</f>
        <v xml:space="preserve">C05812 </v>
      </c>
      <c r="D558" s="4" t="str">
        <f ca="1">IFERROR(__xludf.DUMMYFUNCTION("""COMPUTED_VALUE""")," C00021")</f>
        <v xml:space="preserve"> C00021</v>
      </c>
      <c r="E558" s="4"/>
      <c r="F558" s="4"/>
      <c r="G558" s="4"/>
    </row>
    <row r="559" spans="1:7" ht="14">
      <c r="A559" s="22" t="s">
        <v>16926</v>
      </c>
      <c r="C559" s="4" t="str">
        <f ca="1">IFERROR(__xludf.DUMMYFUNCTION("""COMPUTED_VALUE"""),"C00957 ")</f>
        <v xml:space="preserve">C00957 </v>
      </c>
      <c r="D559" s="4" t="str">
        <f ca="1">IFERROR(__xludf.DUMMYFUNCTION("""COMPUTED_VALUE""")," C00004 ")</f>
        <v xml:space="preserve"> C00004 </v>
      </c>
      <c r="E559" s="4" t="str">
        <f ca="1">IFERROR(__xludf.DUMMYFUNCTION("""COMPUTED_VALUE""")," C00080")</f>
        <v xml:space="preserve"> C00080</v>
      </c>
      <c r="F559" s="4"/>
      <c r="G559" s="4"/>
    </row>
    <row r="560" spans="1:7" ht="14">
      <c r="A560" s="22" t="s">
        <v>16927</v>
      </c>
      <c r="C560" s="4" t="str">
        <f ca="1">IFERROR(__xludf.DUMMYFUNCTION("""COMPUTED_VALUE"""),"C19847 ")</f>
        <v xml:space="preserve">C19847 </v>
      </c>
      <c r="D560" s="4" t="str">
        <f ca="1">IFERROR(__xludf.DUMMYFUNCTION("""COMPUTED_VALUE""")," C00013 ")</f>
        <v xml:space="preserve"> C00013 </v>
      </c>
      <c r="E560" s="4" t="str">
        <f ca="1">IFERROR(__xludf.DUMMYFUNCTION("""COMPUTED_VALUE""")," C00011")</f>
        <v xml:space="preserve"> C00011</v>
      </c>
      <c r="F560" s="4"/>
      <c r="G560" s="4"/>
    </row>
    <row r="561" spans="1:7" ht="14">
      <c r="A561" s="22" t="s">
        <v>16928</v>
      </c>
      <c r="C561" s="4" t="str">
        <f ca="1">IFERROR(__xludf.DUMMYFUNCTION("""COMPUTED_VALUE"""),"C05898 ")</f>
        <v xml:space="preserve">C05898 </v>
      </c>
      <c r="D561" s="4" t="str">
        <f ca="1">IFERROR(__xludf.DUMMYFUNCTION("""COMPUTED_VALUE""")," C00015")</f>
        <v xml:space="preserve"> C00015</v>
      </c>
      <c r="E561" s="4"/>
      <c r="F561" s="4"/>
      <c r="G561" s="4"/>
    </row>
    <row r="562" spans="1:7" ht="14">
      <c r="A562" s="22" t="s">
        <v>16929</v>
      </c>
      <c r="C562" s="4" t="str">
        <f ca="1">IFERROR(__xludf.DUMMYFUNCTION("""COMPUTED_VALUE"""),"C00020 ")</f>
        <v xml:space="preserve">C00020 </v>
      </c>
      <c r="D562" s="4" t="str">
        <f ca="1">IFERROR(__xludf.DUMMYFUNCTION("""COMPUTED_VALUE""")," C06250")</f>
        <v xml:space="preserve"> C06250</v>
      </c>
      <c r="E562" s="4"/>
      <c r="F562" s="4"/>
      <c r="G562" s="4"/>
    </row>
    <row r="563" spans="1:7" ht="14">
      <c r="A563" s="22" t="s">
        <v>16930</v>
      </c>
      <c r="C563" s="4" t="str">
        <f ca="1">IFERROR(__xludf.DUMMYFUNCTION("""COMPUTED_VALUE"""),"C00109 ")</f>
        <v xml:space="preserve">C00109 </v>
      </c>
      <c r="D563" s="4" t="str">
        <f ca="1">IFERROR(__xludf.DUMMYFUNCTION("""COMPUTED_VALUE""")," C00004 ")</f>
        <v xml:space="preserve"> C00004 </v>
      </c>
      <c r="E563" s="4" t="str">
        <f ca="1">IFERROR(__xludf.DUMMYFUNCTION("""COMPUTED_VALUE""")," C00080")</f>
        <v xml:space="preserve"> C00080</v>
      </c>
      <c r="F563" s="4"/>
      <c r="G563" s="4"/>
    </row>
    <row r="564" spans="1:7" ht="14">
      <c r="A564" s="22" t="s">
        <v>16931</v>
      </c>
      <c r="C564" s="4" t="str">
        <f ca="1">IFERROR(__xludf.DUMMYFUNCTION("""COMPUTED_VALUE"""),"C00810 ")</f>
        <v xml:space="preserve">C00810 </v>
      </c>
      <c r="D564" s="4" t="str">
        <f ca="1">IFERROR(__xludf.DUMMYFUNCTION("""COMPUTED_VALUE""")," C00011")</f>
        <v xml:space="preserve"> C00011</v>
      </c>
      <c r="E564" s="4"/>
      <c r="F564" s="4"/>
      <c r="G564" s="4"/>
    </row>
    <row r="565" spans="1:7" ht="14">
      <c r="A565" s="22" t="s">
        <v>16932</v>
      </c>
      <c r="C565" s="4" t="str">
        <f ca="1">IFERROR(__xludf.DUMMYFUNCTION("""COMPUTED_VALUE"""),"2 C00022")</f>
        <v>2 C00022</v>
      </c>
      <c r="D565" s="4"/>
      <c r="E565" s="4"/>
      <c r="F565" s="4"/>
      <c r="G565" s="4"/>
    </row>
    <row r="566" spans="1:7" ht="14">
      <c r="A566" s="22" t="s">
        <v>16933</v>
      </c>
      <c r="C566" s="4" t="str">
        <f ca="1">IFERROR(__xludf.DUMMYFUNCTION("""COMPUTED_VALUE"""),"C05125 ")</f>
        <v xml:space="preserve">C05125 </v>
      </c>
      <c r="D566" s="4" t="str">
        <f ca="1">IFERROR(__xludf.DUMMYFUNCTION("""COMPUTED_VALUE""")," C00022")</f>
        <v xml:space="preserve"> C00022</v>
      </c>
      <c r="E566" s="4"/>
      <c r="F566" s="4"/>
      <c r="G566" s="4"/>
    </row>
    <row r="567" spans="1:7" ht="14">
      <c r="A567" s="22" t="s">
        <v>16934</v>
      </c>
      <c r="C567" s="4" t="str">
        <f ca="1">IFERROR(__xludf.DUMMYFUNCTION("""COMPUTED_VALUE"""),"C00085")</f>
        <v>C00085</v>
      </c>
      <c r="D567" s="4"/>
      <c r="E567" s="4"/>
      <c r="F567" s="4"/>
      <c r="G567" s="4"/>
    </row>
    <row r="568" spans="1:7" ht="12.5">
      <c r="A568" s="2" t="s">
        <v>16935</v>
      </c>
      <c r="C568" s="4" t="str">
        <f ca="1">IFERROR(__xludf.DUMMYFUNCTION("""COMPUTED_VALUE"""),"C05345")</f>
        <v>C05345</v>
      </c>
      <c r="D568" s="4"/>
      <c r="E568" s="4"/>
      <c r="F568" s="4"/>
      <c r="G568" s="4"/>
    </row>
    <row r="569" spans="1:7" ht="12.5">
      <c r="A569" s="2" t="s">
        <v>16936</v>
      </c>
      <c r="C569" s="4" t="str">
        <f ca="1">IFERROR(__xludf.DUMMYFUNCTION("""COMPUTED_VALUE"""),"C00109 ")</f>
        <v xml:space="preserve">C00109 </v>
      </c>
      <c r="D569" s="4" t="str">
        <f ca="1">IFERROR(__xludf.DUMMYFUNCTION("""COMPUTED_VALUE""")," C00011")</f>
        <v xml:space="preserve"> C00011</v>
      </c>
      <c r="E569" s="4"/>
      <c r="F569" s="4"/>
      <c r="G569" s="4"/>
    </row>
    <row r="570" spans="1:7" ht="14">
      <c r="A570" s="22" t="s">
        <v>16937</v>
      </c>
      <c r="C570" s="4" t="str">
        <f ca="1">IFERROR(__xludf.DUMMYFUNCTION("""COMPUTED_VALUE"""),"C03692 ")</f>
        <v xml:space="preserve">C03692 </v>
      </c>
      <c r="D570" s="4" t="str">
        <f ca="1">IFERROR(__xludf.DUMMYFUNCTION("""COMPUTED_VALUE""")," C00124")</f>
        <v xml:space="preserve"> C00124</v>
      </c>
      <c r="E570" s="4"/>
      <c r="F570" s="4"/>
      <c r="G570" s="4"/>
    </row>
    <row r="571" spans="1:7" ht="14">
      <c r="A571" s="22" t="s">
        <v>16938</v>
      </c>
      <c r="C571" s="4" t="str">
        <f ca="1">IFERROR(__xludf.DUMMYFUNCTION("""COMPUTED_VALUE"""),"C06056 ")</f>
        <v xml:space="preserve">C06056 </v>
      </c>
      <c r="D571" s="4" t="str">
        <f ca="1">IFERROR(__xludf.DUMMYFUNCTION("""COMPUTED_VALUE""")," C00009")</f>
        <v xml:space="preserve"> C00009</v>
      </c>
      <c r="E571" s="4"/>
      <c r="F571" s="4"/>
      <c r="G571" s="4"/>
    </row>
    <row r="572" spans="1:7" ht="14">
      <c r="A572" s="22" t="s">
        <v>16939</v>
      </c>
      <c r="C572" s="4" t="str">
        <f ca="1">IFERROR(__xludf.DUMMYFUNCTION("""COMPUTED_VALUE"""),"C07335 ")</f>
        <v xml:space="preserve">C07335 </v>
      </c>
      <c r="D572" s="4" t="str">
        <f ca="1">IFERROR(__xludf.DUMMYFUNCTION("""COMPUTED_VALUE""")," C00004 ")</f>
        <v xml:space="preserve"> C00004 </v>
      </c>
      <c r="E572" s="4" t="str">
        <f ca="1">IFERROR(__xludf.DUMMYFUNCTION("""COMPUTED_VALUE""")," C00080")</f>
        <v xml:space="preserve"> C00080</v>
      </c>
      <c r="F572" s="4"/>
      <c r="G572" s="4"/>
    </row>
    <row r="573" spans="1:7" ht="14">
      <c r="A573" s="22" t="s">
        <v>16940</v>
      </c>
      <c r="C573" s="4" t="str">
        <f ca="1">IFERROR(__xludf.DUMMYFUNCTION("""COMPUTED_VALUE"""),"C11638 ")</f>
        <v xml:space="preserve">C11638 </v>
      </c>
      <c r="D573" s="4" t="str">
        <f ca="1">IFERROR(__xludf.DUMMYFUNCTION("""COMPUTED_VALUE""")," C00004 ")</f>
        <v xml:space="preserve"> C00004 </v>
      </c>
      <c r="E573" s="4" t="str">
        <f ca="1">IFERROR(__xludf.DUMMYFUNCTION("""COMPUTED_VALUE""")," C00080 ")</f>
        <v xml:space="preserve"> C00080 </v>
      </c>
      <c r="F573" s="4" t="str">
        <f ca="1">IFERROR(__xludf.DUMMYFUNCTION("""COMPUTED_VALUE""")," C00011")</f>
        <v xml:space="preserve"> C00011</v>
      </c>
      <c r="G573" s="4"/>
    </row>
    <row r="574" spans="1:7" ht="14">
      <c r="A574" s="22" t="s">
        <v>16941</v>
      </c>
      <c r="C574" s="4" t="str">
        <f ca="1">IFERROR(__xludf.DUMMYFUNCTION("""COMPUTED_VALUE"""),"C02686 ")</f>
        <v xml:space="preserve">C02686 </v>
      </c>
      <c r="D574" s="4" t="str">
        <f ca="1">IFERROR(__xludf.DUMMYFUNCTION("""COMPUTED_VALUE""")," C00059")</f>
        <v xml:space="preserve"> C00059</v>
      </c>
      <c r="E574" s="4"/>
      <c r="F574" s="4"/>
      <c r="G574" s="4"/>
    </row>
    <row r="575" spans="1:7" ht="14">
      <c r="A575" s="22" t="s">
        <v>16942</v>
      </c>
      <c r="C575" s="4" t="str">
        <f ca="1">IFERROR(__xludf.DUMMYFUNCTION("""COMPUTED_VALUE"""),"C02686 ")</f>
        <v xml:space="preserve">C02686 </v>
      </c>
      <c r="D575" s="4" t="str">
        <f ca="1">IFERROR(__xludf.DUMMYFUNCTION("""COMPUTED_VALUE""")," C00124")</f>
        <v xml:space="preserve"> C00124</v>
      </c>
      <c r="E575" s="4"/>
      <c r="F575" s="4"/>
      <c r="G575" s="4"/>
    </row>
    <row r="576" spans="1:7" ht="14">
      <c r="A576" s="22" t="s">
        <v>16943</v>
      </c>
      <c r="C576" s="4" t="str">
        <f ca="1">IFERROR(__xludf.DUMMYFUNCTION("""COMPUTED_VALUE"""),"C06135 ")</f>
        <v xml:space="preserve">C06135 </v>
      </c>
      <c r="D576" s="4" t="str">
        <f ca="1">IFERROR(__xludf.DUMMYFUNCTION("""COMPUTED_VALUE""")," C00124")</f>
        <v xml:space="preserve"> C00124</v>
      </c>
      <c r="E576" s="4"/>
      <c r="F576" s="4"/>
      <c r="G576" s="4"/>
    </row>
    <row r="577" spans="1:7" ht="14">
      <c r="A577" s="22" t="s">
        <v>16944</v>
      </c>
      <c r="C577" s="4" t="str">
        <f ca="1">IFERROR(__xludf.DUMMYFUNCTION("""COMPUTED_VALUE"""),"C00352")</f>
        <v>C00352</v>
      </c>
      <c r="D577" s="4"/>
      <c r="E577" s="4"/>
      <c r="F577" s="4"/>
      <c r="G577" s="4"/>
    </row>
    <row r="578" spans="1:7" ht="12.5">
      <c r="A578" s="2" t="s">
        <v>16945</v>
      </c>
      <c r="C578" s="4" t="str">
        <f ca="1">IFERROR(__xludf.DUMMYFUNCTION("""COMPUTED_VALUE"""),"C00530 ")</f>
        <v xml:space="preserve">C00530 </v>
      </c>
      <c r="D578" s="4" t="str">
        <f ca="1">IFERROR(__xludf.DUMMYFUNCTION("""COMPUTED_VALUE""")," C01172")</f>
        <v xml:space="preserve"> C01172</v>
      </c>
      <c r="E578" s="4"/>
      <c r="F578" s="4"/>
      <c r="G578" s="4"/>
    </row>
    <row r="579" spans="1:7" ht="14">
      <c r="A579" s="22" t="s">
        <v>16946</v>
      </c>
      <c r="C579" s="4" t="str">
        <f ca="1">IFERROR(__xludf.DUMMYFUNCTION("""COMPUTED_VALUE"""),"C02323 ")</f>
        <v xml:space="preserve">C02323 </v>
      </c>
      <c r="D579" s="4" t="str">
        <f ca="1">IFERROR(__xludf.DUMMYFUNCTION("""COMPUTED_VALUE""")," C01172")</f>
        <v xml:space="preserve"> C01172</v>
      </c>
      <c r="E579" s="4"/>
      <c r="F579" s="4"/>
      <c r="G579" s="4"/>
    </row>
    <row r="580" spans="1:7" ht="14">
      <c r="A580" s="22" t="s">
        <v>16947</v>
      </c>
      <c r="C580" s="4" t="str">
        <f ca="1">IFERROR(__xludf.DUMMYFUNCTION("""COMPUTED_VALUE"""),"C05512 ")</f>
        <v xml:space="preserve">C05512 </v>
      </c>
      <c r="D580" s="4" t="str">
        <f ca="1">IFERROR(__xludf.DUMMYFUNCTION("""COMPUTED_VALUE""")," C00009")</f>
        <v xml:space="preserve"> C00009</v>
      </c>
      <c r="E580" s="4"/>
      <c r="F580" s="4"/>
      <c r="G580" s="4"/>
    </row>
    <row r="581" spans="1:7" ht="14">
      <c r="A581" s="22" t="s">
        <v>16948</v>
      </c>
      <c r="C581" s="4" t="str">
        <f ca="1">IFERROR(__xludf.DUMMYFUNCTION("""COMPUTED_VALUE"""),"C00033 ")</f>
        <v xml:space="preserve">C00033 </v>
      </c>
      <c r="D581" s="4" t="str">
        <f ca="1">IFERROR(__xludf.DUMMYFUNCTION("""COMPUTED_VALUE""")," C00014")</f>
        <v xml:space="preserve"> C00014</v>
      </c>
      <c r="E581" s="4"/>
      <c r="F581" s="4"/>
      <c r="G581" s="4"/>
    </row>
    <row r="582" spans="1:7" ht="14">
      <c r="A582" s="22" t="s">
        <v>16949</v>
      </c>
      <c r="C582" s="4" t="str">
        <f ca="1">IFERROR(__xludf.DUMMYFUNCTION("""COMPUTED_VALUE"""),"C06506 ")</f>
        <v xml:space="preserve">C06506 </v>
      </c>
      <c r="D582" s="4" t="str">
        <f ca="1">IFERROR(__xludf.DUMMYFUNCTION("""COMPUTED_VALUE""")," C00536")</f>
        <v xml:space="preserve"> C00536</v>
      </c>
      <c r="E582" s="4"/>
      <c r="F582" s="4"/>
      <c r="G582" s="4"/>
    </row>
    <row r="583" spans="1:7" ht="12.5">
      <c r="A583" s="4" t="s">
        <v>12700</v>
      </c>
      <c r="C583" s="4" t="str">
        <f ca="1">IFERROR(__xludf.DUMMYFUNCTION("""COMPUTED_VALUE"""),"C06613 ")</f>
        <v xml:space="preserve">C06613 </v>
      </c>
      <c r="D583" s="4" t="str">
        <f ca="1">IFERROR(__xludf.DUMMYFUNCTION("""COMPUTED_VALUE""")," C00004 ")</f>
        <v xml:space="preserve"> C00004 </v>
      </c>
      <c r="E583" s="4" t="str">
        <f ca="1">IFERROR(__xludf.DUMMYFUNCTION("""COMPUTED_VALUE""")," C00080")</f>
        <v xml:space="preserve"> C00080</v>
      </c>
      <c r="F583" s="4"/>
      <c r="G583" s="4"/>
    </row>
    <row r="584" spans="1:7" ht="14">
      <c r="A584" s="22" t="s">
        <v>16950</v>
      </c>
      <c r="C584" s="4" t="str">
        <f ca="1">IFERROR(__xludf.DUMMYFUNCTION("""COMPUTED_VALUE"""),"C16348 ")</f>
        <v xml:space="preserve">C16348 </v>
      </c>
      <c r="D584" s="4" t="str">
        <f ca="1">IFERROR(__xludf.DUMMYFUNCTION("""COMPUTED_VALUE""")," C00004 ")</f>
        <v xml:space="preserve"> C00004 </v>
      </c>
      <c r="E584" s="4" t="str">
        <f ca="1">IFERROR(__xludf.DUMMYFUNCTION("""COMPUTED_VALUE""")," C00080")</f>
        <v xml:space="preserve"> C00080</v>
      </c>
      <c r="F584" s="4"/>
      <c r="G584" s="4"/>
    </row>
    <row r="585" spans="1:7" ht="14">
      <c r="A585" s="22" t="s">
        <v>16951</v>
      </c>
      <c r="C585" s="4" t="str">
        <f ca="1">IFERROR(__xludf.DUMMYFUNCTION("""COMPUTED_VALUE"""),"C00527 ")</f>
        <v xml:space="preserve">C00527 </v>
      </c>
      <c r="D585" s="4" t="str">
        <f ca="1">IFERROR(__xludf.DUMMYFUNCTION("""COMPUTED_VALUE""")," C00024")</f>
        <v xml:space="preserve"> C00024</v>
      </c>
      <c r="E585" s="4"/>
      <c r="F585" s="4"/>
      <c r="G585" s="4"/>
    </row>
    <row r="586" spans="1:7" ht="14">
      <c r="A586" s="22" t="s">
        <v>16952</v>
      </c>
      <c r="C586" s="4" t="str">
        <f ca="1">IFERROR(__xludf.DUMMYFUNCTION("""COMPUTED_VALUE"""),"C06893 ")</f>
        <v xml:space="preserve">C06893 </v>
      </c>
      <c r="D586" s="4" t="str">
        <f ca="1">IFERROR(__xludf.DUMMYFUNCTION("""COMPUTED_VALUE""")," C00008")</f>
        <v xml:space="preserve"> C00008</v>
      </c>
      <c r="E586" s="4"/>
      <c r="F586" s="4"/>
      <c r="G586" s="4"/>
    </row>
    <row r="587" spans="1:7" ht="14">
      <c r="A587" s="22" t="s">
        <v>16953</v>
      </c>
      <c r="C587" s="4" t="str">
        <f ca="1">IFERROR(__xludf.DUMMYFUNCTION("""COMPUTED_VALUE"""),"C07490 ")</f>
        <v xml:space="preserve">C07490 </v>
      </c>
      <c r="D587" s="4" t="str">
        <f ca="1">IFERROR(__xludf.DUMMYFUNCTION("""COMPUTED_VALUE""")," C00003 ")</f>
        <v xml:space="preserve"> C00003 </v>
      </c>
      <c r="E587" s="4" t="str">
        <f ca="1">IFERROR(__xludf.DUMMYFUNCTION("""COMPUTED_VALUE""")," C00001")</f>
        <v xml:space="preserve"> C00001</v>
      </c>
      <c r="F587" s="4"/>
      <c r="G587" s="4"/>
    </row>
    <row r="588" spans="1:7" ht="14">
      <c r="A588" s="22" t="s">
        <v>16954</v>
      </c>
      <c r="C588" s="4" t="str">
        <f ca="1">IFERROR(__xludf.DUMMYFUNCTION("""COMPUTED_VALUE"""),"C00512 ")</f>
        <v xml:space="preserve">C00512 </v>
      </c>
      <c r="D588" s="4" t="str">
        <f ca="1">IFERROR(__xludf.DUMMYFUNCTION("""COMPUTED_VALUE""")," C00024")</f>
        <v xml:space="preserve"> C00024</v>
      </c>
      <c r="E588" s="4"/>
      <c r="F588" s="4"/>
      <c r="G588" s="4"/>
    </row>
    <row r="589" spans="1:7" ht="14">
      <c r="A589" s="22" t="s">
        <v>16955</v>
      </c>
      <c r="C589" s="4" t="str">
        <f ca="1">IFERROR(__xludf.DUMMYFUNCTION("""COMPUTED_VALUE"""),"C11638 ")</f>
        <v xml:space="preserve">C11638 </v>
      </c>
      <c r="D589" s="4" t="str">
        <f ca="1">IFERROR(__xludf.DUMMYFUNCTION("""COMPUTED_VALUE""")," C00011")</f>
        <v xml:space="preserve"> C00011</v>
      </c>
      <c r="E589" s="4"/>
      <c r="F589" s="4"/>
      <c r="G589" s="4"/>
    </row>
    <row r="590" spans="1:7" ht="14">
      <c r="A590" s="22" t="s">
        <v>16956</v>
      </c>
      <c r="C590" s="4" t="str">
        <f ca="1">IFERROR(__xludf.DUMMYFUNCTION("""COMPUTED_VALUE"""),"C07479")</f>
        <v>C07479</v>
      </c>
      <c r="D590" s="4"/>
      <c r="E590" s="4"/>
      <c r="F590" s="4"/>
      <c r="G590" s="4"/>
    </row>
    <row r="591" spans="1:7" ht="12.5">
      <c r="A591" s="2" t="s">
        <v>16957</v>
      </c>
      <c r="C591" s="4" t="str">
        <f ca="1">IFERROR(__xludf.DUMMYFUNCTION("""COMPUTED_VALUE"""),"C16551 ")</f>
        <v xml:space="preserve">C16551 </v>
      </c>
      <c r="D591" s="4" t="str">
        <f ca="1">IFERROR(__xludf.DUMMYFUNCTION("""COMPUTED_VALUE""")," C00003")</f>
        <v xml:space="preserve"> C00003</v>
      </c>
      <c r="E591" s="4"/>
      <c r="F591" s="4"/>
      <c r="G591" s="4"/>
    </row>
    <row r="592" spans="1:7" ht="14">
      <c r="A592" s="22" t="s">
        <v>16958</v>
      </c>
      <c r="C592" s="4" t="str">
        <f ca="1">IFERROR(__xludf.DUMMYFUNCTION("""COMPUTED_VALUE"""),"C16639")</f>
        <v>C16639</v>
      </c>
      <c r="D592" s="4"/>
      <c r="E592" s="4"/>
      <c r="F592" s="4"/>
      <c r="G592" s="4"/>
    </row>
    <row r="593" spans="1:7" ht="12.5">
      <c r="A593" s="2" t="s">
        <v>16959</v>
      </c>
      <c r="C593" s="4" t="str">
        <f ca="1">IFERROR(__xludf.DUMMYFUNCTION("""COMPUTED_VALUE"""),"C00180 ")</f>
        <v xml:space="preserve">C00180 </v>
      </c>
      <c r="D593" s="4" t="str">
        <f ca="1">IFERROR(__xludf.DUMMYFUNCTION("""COMPUTED_VALUE""")," C00014")</f>
        <v xml:space="preserve"> C00014</v>
      </c>
      <c r="E593" s="4"/>
      <c r="F593" s="4"/>
      <c r="G593" s="4"/>
    </row>
    <row r="594" spans="1:7" ht="14">
      <c r="A594" s="22" t="s">
        <v>16960</v>
      </c>
      <c r="C594" s="4" t="str">
        <f ca="1">IFERROR(__xludf.DUMMYFUNCTION("""COMPUTED_VALUE"""),"C11039 ")</f>
        <v xml:space="preserve">C11039 </v>
      </c>
      <c r="D594" s="4" t="str">
        <f ca="1">IFERROR(__xludf.DUMMYFUNCTION("""COMPUTED_VALUE""")," C00008")</f>
        <v xml:space="preserve"> C00008</v>
      </c>
      <c r="E594" s="4"/>
      <c r="F594" s="4"/>
      <c r="G594" s="4"/>
    </row>
    <row r="595" spans="1:7" ht="14">
      <c r="A595" s="22" t="s">
        <v>16961</v>
      </c>
      <c r="C595" s="4" t="str">
        <f ca="1">IFERROR(__xludf.DUMMYFUNCTION("""COMPUTED_VALUE"""),"C21031")</f>
        <v>C21031</v>
      </c>
      <c r="D595" s="4"/>
      <c r="E595" s="4"/>
      <c r="F595" s="4"/>
      <c r="G595" s="4"/>
    </row>
    <row r="596" spans="1:7" ht="12.5">
      <c r="A596" s="2" t="s">
        <v>16962</v>
      </c>
      <c r="C596" s="4" t="str">
        <f ca="1">IFERROR(__xludf.DUMMYFUNCTION("""COMPUTED_VALUE"""),"C06697 ")</f>
        <v xml:space="preserve">C06697 </v>
      </c>
      <c r="D596" s="4" t="str">
        <f ca="1">IFERROR(__xludf.DUMMYFUNCTION("""COMPUTED_VALUE""")," C00343 ")</f>
        <v xml:space="preserve"> C00343 </v>
      </c>
      <c r="E596" s="4" t="str">
        <f ca="1">IFERROR(__xludf.DUMMYFUNCTION("""COMPUTED_VALUE""")," C00001")</f>
        <v xml:space="preserve"> C00001</v>
      </c>
      <c r="F596" s="4"/>
      <c r="G596" s="4"/>
    </row>
    <row r="597" spans="1:7" ht="14">
      <c r="A597" s="22" t="s">
        <v>16963</v>
      </c>
      <c r="C597" s="4" t="str">
        <f ca="1">IFERROR(__xludf.DUMMYFUNCTION("""COMPUTED_VALUE"""),"C11436 ")</f>
        <v xml:space="preserve">C11436 </v>
      </c>
      <c r="D597" s="4" t="str">
        <f ca="1">IFERROR(__xludf.DUMMYFUNCTION("""COMPUTED_VALUE""")," C00008")</f>
        <v xml:space="preserve"> C00008</v>
      </c>
      <c r="E597" s="4"/>
      <c r="F597" s="4"/>
      <c r="G597" s="4"/>
    </row>
    <row r="598" spans="1:7" ht="12.5">
      <c r="A598" s="4" t="s">
        <v>12778</v>
      </c>
      <c r="C598" s="4" t="str">
        <f ca="1">IFERROR(__xludf.DUMMYFUNCTION("""COMPUTED_VALUE"""),"C11440 ")</f>
        <v xml:space="preserve">C11440 </v>
      </c>
      <c r="D598" s="4" t="str">
        <f ca="1">IFERROR(__xludf.DUMMYFUNCTION("""COMPUTED_VALUE""")," C00058")</f>
        <v xml:space="preserve"> C00058</v>
      </c>
      <c r="E598" s="4"/>
      <c r="F598" s="4"/>
      <c r="G598" s="4"/>
    </row>
    <row r="599" spans="1:7" ht="14">
      <c r="A599" s="22" t="s">
        <v>16964</v>
      </c>
      <c r="C599" s="4" t="str">
        <f ca="1">IFERROR(__xludf.DUMMYFUNCTION("""COMPUTED_VALUE"""),"C04242 ")</f>
        <v xml:space="preserve">C04242 </v>
      </c>
      <c r="D599" s="4" t="str">
        <f ca="1">IFERROR(__xludf.DUMMYFUNCTION("""COMPUTED_VALUE""")," C00008")</f>
        <v xml:space="preserve"> C00008</v>
      </c>
      <c r="E599" s="4"/>
      <c r="F599" s="4"/>
      <c r="G599" s="4"/>
    </row>
    <row r="600" spans="1:7" ht="14">
      <c r="A600" s="22" t="s">
        <v>16965</v>
      </c>
      <c r="C600" s="4" t="str">
        <f ca="1">IFERROR(__xludf.DUMMYFUNCTION("""COMPUTED_VALUE"""),"C14090 ")</f>
        <v xml:space="preserve">C14090 </v>
      </c>
      <c r="D600" s="4" t="str">
        <f ca="1">IFERROR(__xludf.DUMMYFUNCTION("""COMPUTED_VALUE""")," C00004 ")</f>
        <v xml:space="preserve"> C00004 </v>
      </c>
      <c r="E600" s="4" t="str">
        <f ca="1">IFERROR(__xludf.DUMMYFUNCTION("""COMPUTED_VALUE""")," C00080")</f>
        <v xml:space="preserve"> C00080</v>
      </c>
      <c r="F600" s="4"/>
      <c r="G600" s="4"/>
    </row>
    <row r="601" spans="1:7" ht="14">
      <c r="A601" s="22" t="s">
        <v>16966</v>
      </c>
      <c r="C601" s="4" t="str">
        <f ca="1">IFERROR(__xludf.DUMMYFUNCTION("""COMPUTED_VALUE"""),"C03291 ")</f>
        <v xml:space="preserve">C03291 </v>
      </c>
      <c r="D601" s="4" t="str">
        <f ca="1">IFERROR(__xludf.DUMMYFUNCTION("""COMPUTED_VALUE""")," C00011")</f>
        <v xml:space="preserve"> C00011</v>
      </c>
      <c r="E601" s="4"/>
      <c r="F601" s="4"/>
      <c r="G601" s="4"/>
    </row>
    <row r="602" spans="1:7" ht="14">
      <c r="A602" s="22" t="s">
        <v>16967</v>
      </c>
      <c r="C602" s="4" t="str">
        <f ca="1">IFERROR(__xludf.DUMMYFUNCTION("""COMPUTED_VALUE"""),"C04751")</f>
        <v>C04751</v>
      </c>
      <c r="D602" s="4"/>
      <c r="E602" s="4"/>
      <c r="F602" s="4"/>
      <c r="G602" s="4"/>
    </row>
    <row r="603" spans="1:7" ht="12.5">
      <c r="A603" s="2" t="s">
        <v>16968</v>
      </c>
      <c r="C603" s="4" t="str">
        <f ca="1">IFERROR(__xludf.DUMMYFUNCTION("""COMPUTED_VALUE"""),"C00020 ")</f>
        <v xml:space="preserve">C00020 </v>
      </c>
      <c r="D603" s="4" t="str">
        <f ca="1">IFERROR(__xludf.DUMMYFUNCTION("""COMPUTED_VALUE""")," C15814 ")</f>
        <v xml:space="preserve"> C15814 </v>
      </c>
      <c r="E603" s="4" t="str">
        <f ca="1">IFERROR(__xludf.DUMMYFUNCTION("""COMPUTED_VALUE""")," C15811 ")</f>
        <v xml:space="preserve"> C15811 </v>
      </c>
      <c r="F603" s="4" t="str">
        <f ca="1">IFERROR(__xludf.DUMMYFUNCTION("""COMPUTED_VALUE""")," C00028")</f>
        <v xml:space="preserve"> C00028</v>
      </c>
      <c r="G603" s="4"/>
    </row>
    <row r="604" spans="1:7" ht="14">
      <c r="A604" s="22" t="s">
        <v>16969</v>
      </c>
      <c r="C604" s="4" t="str">
        <f ca="1">IFERROR(__xludf.DUMMYFUNCTION("""COMPUTED_VALUE"""),"C15972 ")</f>
        <v xml:space="preserve">C15972 </v>
      </c>
      <c r="D604" s="4" t="str">
        <f ca="1">IFERROR(__xludf.DUMMYFUNCTION("""COMPUTED_VALUE""")," C00004 ")</f>
        <v xml:space="preserve"> C00004 </v>
      </c>
      <c r="E604" s="4" t="str">
        <f ca="1">IFERROR(__xludf.DUMMYFUNCTION("""COMPUTED_VALUE""")," C00080")</f>
        <v xml:space="preserve"> C00080</v>
      </c>
      <c r="F604" s="4"/>
      <c r="G604" s="4"/>
    </row>
    <row r="605" spans="1:7" ht="14">
      <c r="A605" s="22" t="s">
        <v>16970</v>
      </c>
      <c r="C605" s="4" t="str">
        <f ca="1">IFERROR(__xludf.DUMMYFUNCTION("""COMPUTED_VALUE"""),"C00010 ")</f>
        <v xml:space="preserve">C00010 </v>
      </c>
      <c r="D605" s="4" t="str">
        <f ca="1">IFERROR(__xludf.DUMMYFUNCTION("""COMPUTED_VALUE""")," C16376")</f>
        <v xml:space="preserve"> C16376</v>
      </c>
      <c r="E605" s="4"/>
      <c r="F605" s="4"/>
      <c r="G605" s="4"/>
    </row>
    <row r="606" spans="1:7" ht="14">
      <c r="A606" s="22" t="s">
        <v>16971</v>
      </c>
      <c r="C606" s="4" t="str">
        <f ca="1">IFERROR(__xludf.DUMMYFUNCTION("""COMPUTED_VALUE"""),"C00010 ")</f>
        <v xml:space="preserve">C00010 </v>
      </c>
      <c r="D606" s="4" t="str">
        <f ca="1">IFERROR(__xludf.DUMMYFUNCTION("""COMPUTED_VALUE""")," C16389")</f>
        <v xml:space="preserve"> C16389</v>
      </c>
      <c r="E606" s="4"/>
      <c r="F606" s="4"/>
      <c r="G606" s="4"/>
    </row>
    <row r="607" spans="1:7" ht="14">
      <c r="A607" s="22" t="s">
        <v>16972</v>
      </c>
      <c r="C607" s="4" t="str">
        <f ca="1">IFERROR(__xludf.DUMMYFUNCTION("""COMPUTED_VALUE"""),"C16220 ")</f>
        <v xml:space="preserve">C16220 </v>
      </c>
      <c r="D607" s="4" t="str">
        <f ca="1">IFERROR(__xludf.DUMMYFUNCTION("""COMPUTED_VALUE""")," C00006")</f>
        <v xml:space="preserve"> C00006</v>
      </c>
      <c r="E607" s="4"/>
      <c r="F607" s="4"/>
      <c r="G607" s="4"/>
    </row>
    <row r="608" spans="1:7" ht="14">
      <c r="A608" s="22" t="s">
        <v>16973</v>
      </c>
      <c r="C608" s="4" t="str">
        <f ca="1">IFERROR(__xludf.DUMMYFUNCTION("""COMPUTED_VALUE"""),"C16237 ")</f>
        <v xml:space="preserve">C16237 </v>
      </c>
      <c r="D608" s="4" t="str">
        <f ca="1">IFERROR(__xludf.DUMMYFUNCTION("""COMPUTED_VALUE""")," C00020")</f>
        <v xml:space="preserve"> C00020</v>
      </c>
      <c r="E608" s="4"/>
      <c r="F608" s="4"/>
      <c r="G608" s="4"/>
    </row>
    <row r="609" spans="1:7" ht="14">
      <c r="A609" s="22" t="s">
        <v>16974</v>
      </c>
      <c r="C609" s="4" t="str">
        <f ca="1">IFERROR(__xludf.DUMMYFUNCTION("""COMPUTED_VALUE"""),"C08492 ")</f>
        <v xml:space="preserve">C08492 </v>
      </c>
      <c r="D609" s="4" t="str">
        <f ca="1">IFERROR(__xludf.DUMMYFUNCTION("""COMPUTED_VALUE""")," C00003")</f>
        <v xml:space="preserve"> C00003</v>
      </c>
      <c r="E609" s="4"/>
      <c r="F609" s="4"/>
      <c r="G609" s="4"/>
    </row>
    <row r="610" spans="1:7" ht="14">
      <c r="A610" s="22" t="s">
        <v>16975</v>
      </c>
      <c r="C610" s="4" t="str">
        <f ca="1">IFERROR(__xludf.DUMMYFUNCTION("""COMPUTED_VALUE"""),"C00010 ")</f>
        <v xml:space="preserve">C00010 </v>
      </c>
      <c r="D610" s="4" t="str">
        <f ca="1">IFERROR(__xludf.DUMMYFUNCTION("""COMPUTED_VALUE""")," C16330")</f>
        <v xml:space="preserve"> C16330</v>
      </c>
      <c r="E610" s="4"/>
      <c r="F610" s="4"/>
      <c r="G610" s="4"/>
    </row>
    <row r="611" spans="1:7" ht="14">
      <c r="A611" s="22" t="s">
        <v>16976</v>
      </c>
      <c r="C611" s="4" t="str">
        <f ca="1">IFERROR(__xludf.DUMMYFUNCTION("""COMPUTED_VALUE"""),"C00010 ")</f>
        <v xml:space="preserve">C00010 </v>
      </c>
      <c r="D611" s="4" t="str">
        <f ca="1">IFERROR(__xludf.DUMMYFUNCTION("""COMPUTED_VALUE""")," C16334")</f>
        <v xml:space="preserve"> C16334</v>
      </c>
      <c r="E611" s="4"/>
      <c r="F611" s="4"/>
      <c r="G611" s="4"/>
    </row>
    <row r="612" spans="1:7" ht="14">
      <c r="A612" s="22" t="s">
        <v>16977</v>
      </c>
      <c r="C612" s="4" t="str">
        <f ca="1">IFERROR(__xludf.DUMMYFUNCTION("""COMPUTED_VALUE"""),"C00010 ")</f>
        <v xml:space="preserve">C00010 </v>
      </c>
      <c r="D612" s="4" t="str">
        <f ca="1">IFERROR(__xludf.DUMMYFUNCTION("""COMPUTED_VALUE""")," C16338")</f>
        <v xml:space="preserve"> C16338</v>
      </c>
      <c r="E612" s="4"/>
      <c r="F612" s="4"/>
      <c r="G612" s="4"/>
    </row>
    <row r="613" spans="1:7" ht="14">
      <c r="A613" s="22" t="s">
        <v>16978</v>
      </c>
      <c r="C613" s="4" t="str">
        <f ca="1">IFERROR(__xludf.DUMMYFUNCTION("""COMPUTED_VALUE"""),"C16470 ")</f>
        <v xml:space="preserve">C16470 </v>
      </c>
      <c r="D613" s="4" t="str">
        <f ca="1">IFERROR(__xludf.DUMMYFUNCTION("""COMPUTED_VALUE""")," C00024")</f>
        <v xml:space="preserve"> C00024</v>
      </c>
      <c r="E613" s="4"/>
      <c r="F613" s="4"/>
      <c r="G613" s="4"/>
    </row>
    <row r="614" spans="1:7" ht="14">
      <c r="A614" s="22" t="s">
        <v>16979</v>
      </c>
      <c r="C614" s="4" t="str">
        <f ca="1">IFERROR(__xludf.DUMMYFUNCTION("""COMPUTED_VALUE"""),"C03069 ")</f>
        <v xml:space="preserve">C03069 </v>
      </c>
      <c r="D614" s="4" t="str">
        <f ca="1">IFERROR(__xludf.DUMMYFUNCTION("""COMPUTED_VALUE""")," C00024")</f>
        <v xml:space="preserve"> C00024</v>
      </c>
      <c r="E614" s="4"/>
      <c r="F614" s="4"/>
      <c r="G614" s="4"/>
    </row>
    <row r="615" spans="1:7" ht="14">
      <c r="A615" s="22" t="s">
        <v>16980</v>
      </c>
      <c r="C615" s="4" t="str">
        <f ca="1">IFERROR(__xludf.DUMMYFUNCTION("""COMPUTED_VALUE"""),"C16587 ")</f>
        <v xml:space="preserve">C16587 </v>
      </c>
      <c r="D615" s="4" t="str">
        <f ca="1">IFERROR(__xludf.DUMMYFUNCTION("""COMPUTED_VALUE""")," C00004 ")</f>
        <v xml:space="preserve"> C00004 </v>
      </c>
      <c r="E615" s="4" t="str">
        <f ca="1">IFERROR(__xludf.DUMMYFUNCTION("""COMPUTED_VALUE""")," C00080")</f>
        <v xml:space="preserve"> C00080</v>
      </c>
      <c r="F615" s="4"/>
      <c r="G615" s="4"/>
    </row>
    <row r="616" spans="1:7" ht="14">
      <c r="A616" s="22" t="s">
        <v>16981</v>
      </c>
      <c r="C616" s="4" t="str">
        <f ca="1">IFERROR(__xludf.DUMMYFUNCTION("""COMPUTED_VALUE"""),"C16596 ")</f>
        <v xml:space="preserve">C16596 </v>
      </c>
      <c r="D616" s="4" t="str">
        <f ca="1">IFERROR(__xludf.DUMMYFUNCTION("""COMPUTED_VALUE""")," C00004 ")</f>
        <v xml:space="preserve"> C00004 </v>
      </c>
      <c r="E616" s="4" t="str">
        <f ca="1">IFERROR(__xludf.DUMMYFUNCTION("""COMPUTED_VALUE""")," C00080")</f>
        <v xml:space="preserve"> C00080</v>
      </c>
      <c r="F616" s="4"/>
      <c r="G616" s="4"/>
    </row>
    <row r="617" spans="1:7" ht="14">
      <c r="A617" s="22" t="s">
        <v>16982</v>
      </c>
      <c r="C617" s="4" t="str">
        <f ca="1">IFERROR(__xludf.DUMMYFUNCTION("""COMPUTED_VALUE"""),"C16619 ")</f>
        <v xml:space="preserve">C16619 </v>
      </c>
      <c r="D617" s="4" t="str">
        <f ca="1">IFERROR(__xludf.DUMMYFUNCTION("""COMPUTED_VALUE""")," C00020 ")</f>
        <v xml:space="preserve"> C00020 </v>
      </c>
      <c r="E617" s="4" t="str">
        <f ca="1">IFERROR(__xludf.DUMMYFUNCTION("""COMPUTED_VALUE""")," C00013 ")</f>
        <v xml:space="preserve"> C00013 </v>
      </c>
      <c r="F617" s="4" t="str">
        <f ca="1">IFERROR(__xludf.DUMMYFUNCTION("""COMPUTED_VALUE""")," C00025")</f>
        <v xml:space="preserve"> C00025</v>
      </c>
      <c r="G617" s="4"/>
    </row>
    <row r="618" spans="1:7" ht="14">
      <c r="A618" s="22" t="s">
        <v>16983</v>
      </c>
      <c r="C618" s="4" t="str">
        <f ca="1">IFERROR(__xludf.DUMMYFUNCTION("""COMPUTED_VALUE"""),"C16634 ")</f>
        <v xml:space="preserve">C16634 </v>
      </c>
      <c r="D618" s="4" t="str">
        <f ca="1">IFERROR(__xludf.DUMMYFUNCTION("""COMPUTED_VALUE""")," C00008")</f>
        <v xml:space="preserve"> C00008</v>
      </c>
      <c r="E618" s="4"/>
      <c r="F618" s="4"/>
      <c r="G618" s="4"/>
    </row>
    <row r="619" spans="1:7" ht="14">
      <c r="A619" s="22" t="s">
        <v>16984</v>
      </c>
      <c r="C619" s="4" t="str">
        <f ca="1">IFERROR(__xludf.DUMMYFUNCTION("""COMPUTED_VALUE"""),"C12739 ")</f>
        <v xml:space="preserve">C12739 </v>
      </c>
      <c r="D619" s="4" t="str">
        <f ca="1">IFERROR(__xludf.DUMMYFUNCTION("""COMPUTED_VALUE""")," C00014")</f>
        <v xml:space="preserve"> C00014</v>
      </c>
      <c r="E619" s="4"/>
      <c r="F619" s="4"/>
      <c r="G619" s="4"/>
    </row>
    <row r="620" spans="1:7" ht="14">
      <c r="A620" s="22" t="s">
        <v>16985</v>
      </c>
      <c r="C620" s="4" t="str">
        <f ca="1">IFERROR(__xludf.DUMMYFUNCTION("""COMPUTED_VALUE"""),"C00095 ")</f>
        <v xml:space="preserve">C00095 </v>
      </c>
      <c r="D620" s="4" t="str">
        <f ca="1">IFERROR(__xludf.DUMMYFUNCTION("""COMPUTED_VALUE""")," C00092")</f>
        <v xml:space="preserve"> C00092</v>
      </c>
      <c r="E620" s="4"/>
      <c r="F620" s="4"/>
      <c r="G620" s="4"/>
    </row>
    <row r="621" spans="1:7" ht="14">
      <c r="A621" s="22" t="s">
        <v>16986</v>
      </c>
      <c r="C621" s="4" t="str">
        <f ca="1">IFERROR(__xludf.DUMMYFUNCTION("""COMPUTED_VALUE"""),"C06892")</f>
        <v>C06892</v>
      </c>
      <c r="D621" s="4"/>
      <c r="E621" s="4"/>
      <c r="F621" s="4"/>
      <c r="G621" s="4"/>
    </row>
    <row r="622" spans="1:7" ht="12.5">
      <c r="A622" s="2" t="s">
        <v>16987</v>
      </c>
      <c r="C622" s="4" t="str">
        <f ca="1">IFERROR(__xludf.DUMMYFUNCTION("""COMPUTED_VALUE"""),"C16237 ")</f>
        <v xml:space="preserve">C16237 </v>
      </c>
      <c r="D622" s="4" t="str">
        <f ca="1">IFERROR(__xludf.DUMMYFUNCTION("""COMPUTED_VALUE""")," C00004 ")</f>
        <v xml:space="preserve"> C00004 </v>
      </c>
      <c r="E622" s="4" t="str">
        <f ca="1">IFERROR(__xludf.DUMMYFUNCTION("""COMPUTED_VALUE""")," C00080")</f>
        <v xml:space="preserve"> C00080</v>
      </c>
      <c r="F622" s="4"/>
      <c r="G622" s="4"/>
    </row>
    <row r="623" spans="1:7" ht="14">
      <c r="A623" s="22" t="s">
        <v>16988</v>
      </c>
      <c r="C623" s="4" t="str">
        <f ca="1">IFERROR(__xludf.DUMMYFUNCTION("""COMPUTED_VALUE"""),"C20451 ")</f>
        <v xml:space="preserve">C20451 </v>
      </c>
      <c r="D623" s="4" t="str">
        <f ca="1">IFERROR(__xludf.DUMMYFUNCTION("""COMPUTED_VALUE""")," C00014")</f>
        <v xml:space="preserve"> C00014</v>
      </c>
      <c r="E623" s="4"/>
      <c r="F623" s="4"/>
      <c r="G623" s="4"/>
    </row>
    <row r="624" spans="1:7" ht="14">
      <c r="A624" s="22" t="s">
        <v>16989</v>
      </c>
      <c r="C624" s="4" t="str">
        <f ca="1">IFERROR(__xludf.DUMMYFUNCTION("""COMPUTED_VALUE"""),"C17552 ")</f>
        <v xml:space="preserve">C17552 </v>
      </c>
      <c r="D624" s="4" t="str">
        <f ca="1">IFERROR(__xludf.DUMMYFUNCTION("""COMPUTED_VALUE""")," C00021")</f>
        <v xml:space="preserve"> C00021</v>
      </c>
      <c r="E624" s="4"/>
      <c r="F624" s="4"/>
      <c r="G624" s="4"/>
    </row>
    <row r="625" spans="1:7" ht="14">
      <c r="A625" s="22" t="s">
        <v>16990</v>
      </c>
      <c r="C625" s="4" t="str">
        <f ca="1">IFERROR(__xludf.DUMMYFUNCTION("""COMPUTED_VALUE"""),"C00399 ")</f>
        <v xml:space="preserve">C00399 </v>
      </c>
      <c r="D625" s="4" t="str">
        <f ca="1">IFERROR(__xludf.DUMMYFUNCTION("""COMPUTED_VALUE""")," C00021")</f>
        <v xml:space="preserve"> C00021</v>
      </c>
      <c r="E625" s="4"/>
      <c r="F625" s="4"/>
      <c r="G625" s="4"/>
    </row>
    <row r="626" spans="1:7" ht="14">
      <c r="A626" s="22" t="s">
        <v>16991</v>
      </c>
      <c r="C626" s="4" t="str">
        <f ca="1">IFERROR(__xludf.DUMMYFUNCTION("""COMPUTED_VALUE"""),"C19080 ")</f>
        <v xml:space="preserve">C19080 </v>
      </c>
      <c r="D626" s="4" t="str">
        <f ca="1">IFERROR(__xludf.DUMMYFUNCTION("""COMPUTED_VALUE""")," C00013")</f>
        <v xml:space="preserve"> C00013</v>
      </c>
      <c r="E626" s="4"/>
      <c r="F626" s="4"/>
      <c r="G626" s="4"/>
    </row>
    <row r="627" spans="1:7" ht="14">
      <c r="A627" s="22" t="s">
        <v>16992</v>
      </c>
      <c r="C627" s="4" t="str">
        <f ca="1">IFERROR(__xludf.DUMMYFUNCTION("""COMPUTED_VALUE"""),"C19085 ")</f>
        <v xml:space="preserve">C19085 </v>
      </c>
      <c r="D627" s="4" t="str">
        <f ca="1">IFERROR(__xludf.DUMMYFUNCTION("""COMPUTED_VALUE""")," C00013")</f>
        <v xml:space="preserve"> C00013</v>
      </c>
      <c r="E627" s="4"/>
      <c r="F627" s="4"/>
      <c r="G627" s="4"/>
    </row>
    <row r="628" spans="1:7" ht="14">
      <c r="A628" s="22" t="s">
        <v>16993</v>
      </c>
      <c r="C628" s="4" t="str">
        <f ca="1">IFERROR(__xludf.DUMMYFUNCTION("""COMPUTED_VALUE"""),"C20372 ")</f>
        <v xml:space="preserve">C20372 </v>
      </c>
      <c r="D628" s="4" t="str">
        <f ca="1">IFERROR(__xludf.DUMMYFUNCTION("""COMPUTED_VALUE""")," C00011 ")</f>
        <v xml:space="preserve"> C00011 </v>
      </c>
      <c r="E628" s="4" t="str">
        <f ca="1">IFERROR(__xludf.DUMMYFUNCTION("""COMPUTED_VALUE""")," C00229")</f>
        <v xml:space="preserve"> C00229</v>
      </c>
      <c r="F628" s="4"/>
      <c r="G628" s="4"/>
    </row>
    <row r="629" spans="1:7" ht="14">
      <c r="A629" s="22" t="s">
        <v>16994</v>
      </c>
      <c r="C629" s="4" t="str">
        <f ca="1">IFERROR(__xludf.DUMMYFUNCTION("""COMPUTED_VALUE"""),"C19723 ")</f>
        <v xml:space="preserve">C19723 </v>
      </c>
      <c r="D629" s="4" t="str">
        <f ca="1">IFERROR(__xludf.DUMMYFUNCTION("""COMPUTED_VALUE""")," C00020 ")</f>
        <v xml:space="preserve"> C00020 </v>
      </c>
      <c r="E629" s="4" t="str">
        <f ca="1">IFERROR(__xludf.DUMMYFUNCTION("""COMPUTED_VALUE""")," C00013 ")</f>
        <v xml:space="preserve"> C00013 </v>
      </c>
      <c r="F629" s="4" t="str">
        <f ca="1">IFERROR(__xludf.DUMMYFUNCTION("""COMPUTED_VALUE""")," C00001")</f>
        <v xml:space="preserve"> C00001</v>
      </c>
      <c r="G629" s="4"/>
    </row>
    <row r="630" spans="1:7" ht="14">
      <c r="A630" s="22" t="s">
        <v>16995</v>
      </c>
      <c r="C630" s="4" t="str">
        <f ca="1">IFERROR(__xludf.DUMMYFUNCTION("""COMPUTED_VALUE"""),"C00229 ")</f>
        <v xml:space="preserve">C00229 </v>
      </c>
      <c r="D630" s="4" t="str">
        <f ca="1">IFERROR(__xludf.DUMMYFUNCTION("""COMPUTED_VALUE""")," C00013")</f>
        <v xml:space="preserve"> C00013</v>
      </c>
      <c r="E630" s="4"/>
      <c r="F630" s="4"/>
      <c r="G630" s="4"/>
    </row>
    <row r="631" spans="1:7" ht="14">
      <c r="A631" s="22" t="s">
        <v>16996</v>
      </c>
      <c r="C631" s="4" t="str">
        <f ca="1">IFERROR(__xludf.DUMMYFUNCTION("""COMPUTED_VALUE"""),"C01279 ")</f>
        <v xml:space="preserve">C01279 </v>
      </c>
      <c r="D631" s="4" t="str">
        <f ca="1">IFERROR(__xludf.DUMMYFUNCTION("""COMPUTED_VALUE""")," C00014")</f>
        <v xml:space="preserve"> C00014</v>
      </c>
      <c r="E631" s="4"/>
      <c r="F631" s="4"/>
      <c r="G631" s="4"/>
    </row>
    <row r="632" spans="1:7" ht="14">
      <c r="A632" s="22" t="s">
        <v>16997</v>
      </c>
      <c r="C632" s="4" t="str">
        <f ca="1">IFERROR(__xludf.DUMMYFUNCTION("""COMPUTED_VALUE"""),"C20373 ")</f>
        <v xml:space="preserve">C20373 </v>
      </c>
      <c r="D632" s="4" t="str">
        <f ca="1">IFERROR(__xludf.DUMMYFUNCTION("""COMPUTED_VALUE""")," C00006")</f>
        <v xml:space="preserve"> C00006</v>
      </c>
      <c r="E632" s="4"/>
      <c r="F632" s="4"/>
      <c r="G632" s="4"/>
    </row>
    <row r="633" spans="1:7" ht="14">
      <c r="A633" s="22" t="s">
        <v>16998</v>
      </c>
      <c r="C633" s="4" t="str">
        <f ca="1">IFERROR(__xludf.DUMMYFUNCTION("""COMPUTED_VALUE"""),"C20374 ")</f>
        <v xml:space="preserve">C20374 </v>
      </c>
      <c r="D633" s="4" t="str">
        <f ca="1">IFERROR(__xludf.DUMMYFUNCTION("""COMPUTED_VALUE""")," C00001")</f>
        <v xml:space="preserve"> C00001</v>
      </c>
      <c r="E633" s="4"/>
      <c r="F633" s="4"/>
      <c r="G633" s="4"/>
    </row>
    <row r="634" spans="1:7" ht="14">
      <c r="A634" s="22" t="s">
        <v>16999</v>
      </c>
      <c r="C634" s="4" t="str">
        <f ca="1">IFERROR(__xludf.DUMMYFUNCTION("""COMPUTED_VALUE"""),"C20376 ")</f>
        <v xml:space="preserve">C20376 </v>
      </c>
      <c r="D634" s="4" t="str">
        <f ca="1">IFERROR(__xludf.DUMMYFUNCTION("""COMPUTED_VALUE""")," C00011 ")</f>
        <v xml:space="preserve"> C00011 </v>
      </c>
      <c r="E634" s="4" t="str">
        <f ca="1">IFERROR(__xludf.DUMMYFUNCTION("""COMPUTED_VALUE""")," C00229")</f>
        <v xml:space="preserve"> C00229</v>
      </c>
      <c r="F634" s="4"/>
      <c r="G634" s="4"/>
    </row>
    <row r="635" spans="1:7" ht="14">
      <c r="A635" s="22" t="s">
        <v>17000</v>
      </c>
      <c r="C635" s="4" t="str">
        <f ca="1">IFERROR(__xludf.DUMMYFUNCTION("""COMPUTED_VALUE"""),"C20377 ")</f>
        <v xml:space="preserve">C20377 </v>
      </c>
      <c r="D635" s="4" t="str">
        <f ca="1">IFERROR(__xludf.DUMMYFUNCTION("""COMPUTED_VALUE""")," C00006")</f>
        <v xml:space="preserve"> C00006</v>
      </c>
      <c r="E635" s="4"/>
      <c r="F635" s="4"/>
      <c r="G635" s="4"/>
    </row>
    <row r="636" spans="1:7" ht="14">
      <c r="A636" s="22" t="s">
        <v>17001</v>
      </c>
      <c r="C636" s="4" t="str">
        <f ca="1">IFERROR(__xludf.DUMMYFUNCTION("""COMPUTED_VALUE"""),"C20378 ")</f>
        <v xml:space="preserve">C20378 </v>
      </c>
      <c r="D636" s="4" t="str">
        <f ca="1">IFERROR(__xludf.DUMMYFUNCTION("""COMPUTED_VALUE""")," C00001")</f>
        <v xml:space="preserve"> C00001</v>
      </c>
      <c r="E636" s="4"/>
      <c r="F636" s="4"/>
      <c r="G636" s="4"/>
    </row>
    <row r="637" spans="1:7" ht="14">
      <c r="A637" s="22" t="s">
        <v>17002</v>
      </c>
      <c r="C637" s="4" t="str">
        <f ca="1">IFERROR(__xludf.DUMMYFUNCTION("""COMPUTED_VALUE"""),"C00020 ")</f>
        <v xml:space="preserve">C00020 </v>
      </c>
      <c r="D637" s="4" t="str">
        <f ca="1">IFERROR(__xludf.DUMMYFUNCTION("""COMPUTED_VALUE""")," C20751")</f>
        <v xml:space="preserve"> C20751</v>
      </c>
      <c r="E637" s="4"/>
      <c r="F637" s="4"/>
      <c r="G637" s="4"/>
    </row>
    <row r="638" spans="1:7" ht="14">
      <c r="A638" s="22" t="s">
        <v>17003</v>
      </c>
      <c r="C638" s="4" t="str">
        <f ca="1">IFERROR(__xludf.DUMMYFUNCTION("""COMPUTED_VALUE"""),"C00022 ")</f>
        <v xml:space="preserve">C00022 </v>
      </c>
      <c r="D638" s="4" t="str">
        <f ca="1">IFERROR(__xludf.DUMMYFUNCTION("""COMPUTED_VALUE""")," C00014")</f>
        <v xml:space="preserve"> C00014</v>
      </c>
      <c r="E638" s="4"/>
      <c r="F638" s="4"/>
      <c r="G638" s="4"/>
    </row>
    <row r="639" spans="1:7" ht="14">
      <c r="A639" s="22" t="s">
        <v>17004</v>
      </c>
      <c r="C639" s="4" t="str">
        <f ca="1">IFERROR(__xludf.DUMMYFUNCTION("""COMPUTED_VALUE"""),"C21748 ")</f>
        <v xml:space="preserve">C21748 </v>
      </c>
      <c r="D639" s="4" t="str">
        <f ca="1">IFERROR(__xludf.DUMMYFUNCTION("""COMPUTED_VALUE""")," C00342")</f>
        <v xml:space="preserve"> C00342</v>
      </c>
      <c r="E639" s="4"/>
      <c r="F639" s="4"/>
      <c r="G639" s="4"/>
    </row>
    <row r="640" spans="1:7" ht="14">
      <c r="A640" s="22" t="s">
        <v>17005</v>
      </c>
      <c r="C640" s="4" t="str">
        <f ca="1">IFERROR(__xludf.DUMMYFUNCTION("""COMPUTED_VALUE"""),"C22441 ")</f>
        <v xml:space="preserve">C22441 </v>
      </c>
      <c r="D640" s="4" t="str">
        <f ca="1">IFERROR(__xludf.DUMMYFUNCTION("""COMPUTED_VALUE""")," C00122")</f>
        <v xml:space="preserve"> C00122</v>
      </c>
      <c r="E640" s="4"/>
      <c r="F640" s="4"/>
      <c r="G640" s="4"/>
    </row>
    <row r="641" spans="1:7" ht="14">
      <c r="A641" s="22" t="s">
        <v>17006</v>
      </c>
      <c r="C641" s="4" t="str">
        <f ca="1">IFERROR(__xludf.DUMMYFUNCTION("""COMPUTED_VALUE"""),"C22442 ")</f>
        <v xml:space="preserve">C22442 </v>
      </c>
      <c r="D641" s="4" t="str">
        <f ca="1">IFERROR(__xludf.DUMMYFUNCTION("""COMPUTED_VALUE""")," C00008")</f>
        <v xml:space="preserve"> C00008</v>
      </c>
      <c r="E641" s="4"/>
      <c r="F641" s="4"/>
      <c r="G641" s="4"/>
    </row>
    <row r="642" spans="1:7" ht="14">
      <c r="A642" s="22" t="s">
        <v>17007</v>
      </c>
      <c r="C642" s="4" t="str">
        <f ca="1">IFERROR(__xludf.DUMMYFUNCTION("""COMPUTED_VALUE"""),"C22443 ")</f>
        <v xml:space="preserve">C22443 </v>
      </c>
      <c r="D642" s="4" t="str">
        <f ca="1">IFERROR(__xludf.DUMMYFUNCTION("""COMPUTED_VALUE""")," C00008")</f>
        <v xml:space="preserve"> C00008</v>
      </c>
      <c r="E642" s="4"/>
      <c r="F642" s="4"/>
      <c r="G642" s="4"/>
    </row>
    <row r="643" spans="1:7" ht="14">
      <c r="A643" s="22" t="s">
        <v>17008</v>
      </c>
      <c r="C643" s="4" t="str">
        <f ca="1">IFERROR(__xludf.DUMMYFUNCTION("""COMPUTED_VALUE"""),"C23007 ")</f>
        <v xml:space="preserve">C23007 </v>
      </c>
      <c r="D643" s="4" t="str">
        <f ca="1">IFERROR(__xludf.DUMMYFUNCTION("""COMPUTED_VALUE""")," C00024")</f>
        <v xml:space="preserve"> C00024</v>
      </c>
      <c r="E643" s="4"/>
      <c r="F643" s="4"/>
      <c r="G643" s="4"/>
    </row>
    <row r="644" spans="1:7" ht="14">
      <c r="A644" s="22" t="s">
        <v>17009</v>
      </c>
      <c r="C644" s="4" t="str">
        <f ca="1">IFERROR(__xludf.DUMMYFUNCTION("""COMPUTED_VALUE"""),"C21906 ")</f>
        <v xml:space="preserve">C21906 </v>
      </c>
      <c r="D644" s="4" t="str">
        <f ca="1">IFERROR(__xludf.DUMMYFUNCTION("""COMPUTED_VALUE""")," C00100")</f>
        <v xml:space="preserve"> C00100</v>
      </c>
      <c r="E644" s="4"/>
      <c r="F644" s="4"/>
      <c r="G644" s="4"/>
    </row>
    <row r="645" spans="1:7" ht="14">
      <c r="A645" s="22" t="s">
        <v>17010</v>
      </c>
      <c r="C645" s="4" t="str">
        <f ca="1">IFERROR(__xludf.DUMMYFUNCTION("""COMPUTED_VALUE"""),"C23017 ")</f>
        <v xml:space="preserve">C23017 </v>
      </c>
      <c r="D645" s="4" t="str">
        <f ca="1">IFERROR(__xludf.DUMMYFUNCTION("""COMPUTED_VALUE""")," C00024")</f>
        <v xml:space="preserve"> C00024</v>
      </c>
      <c r="E645" s="4"/>
      <c r="F645" s="4"/>
      <c r="G645" s="4"/>
    </row>
    <row r="646" spans="1:7" ht="14">
      <c r="A646" s="22" t="s">
        <v>17011</v>
      </c>
      <c r="C646" s="4" t="str">
        <f ca="1">IFERROR(__xludf.DUMMYFUNCTION("""COMPUTED_VALUE"""),"C23022 ")</f>
        <v xml:space="preserve">C23022 </v>
      </c>
      <c r="D646" s="4" t="str">
        <f ca="1">IFERROR(__xludf.DUMMYFUNCTION("""COMPUTED_VALUE""")," C00024")</f>
        <v xml:space="preserve"> C00024</v>
      </c>
      <c r="E646" s="4"/>
      <c r="F646" s="4"/>
      <c r="G646" s="4"/>
    </row>
    <row r="647" spans="1:7" ht="14">
      <c r="A647" s="22" t="s">
        <v>17012</v>
      </c>
      <c r="C647" s="4" t="str">
        <f ca="1">IFERROR(__xludf.DUMMYFUNCTION("""COMPUTED_VALUE"""),"G10238 ")</f>
        <v xml:space="preserve">G10238 </v>
      </c>
      <c r="D647" s="4" t="str">
        <f ca="1">IFERROR(__xludf.DUMMYFUNCTION("""COMPUTED_VALUE""")," C00124")</f>
        <v xml:space="preserve"> C00124</v>
      </c>
      <c r="E647" s="4"/>
      <c r="F647" s="4"/>
      <c r="G647" s="4"/>
    </row>
    <row r="648" spans="1:7" ht="14">
      <c r="A648" s="22" t="s">
        <v>17013</v>
      </c>
      <c r="C648" s="4" t="str">
        <f ca="1">IFERROR(__xludf.DUMMYFUNCTION("""COMPUTED_VALUE"""),"G00109 ")</f>
        <v xml:space="preserve">G00109 </v>
      </c>
      <c r="D648" s="4" t="str">
        <f ca="1">IFERROR(__xludf.DUMMYFUNCTION("""COMPUTED_VALUE""")," C00124")</f>
        <v xml:space="preserve"> C00124</v>
      </c>
      <c r="E648" s="4"/>
      <c r="F648" s="4"/>
      <c r="G648" s="4"/>
    </row>
    <row r="649" spans="1:7" ht="14">
      <c r="A649" s="22" t="s">
        <v>17014</v>
      </c>
      <c r="C649" s="4" t="str">
        <f ca="1">IFERROR(__xludf.DUMMYFUNCTION("""COMPUTED_VALUE"""),"G00123 ")</f>
        <v xml:space="preserve">G00123 </v>
      </c>
      <c r="D649" s="4" t="str">
        <f ca="1">IFERROR(__xludf.DUMMYFUNCTION("""COMPUTED_VALUE""")," C00124")</f>
        <v xml:space="preserve"> C00124</v>
      </c>
      <c r="E649" s="4"/>
      <c r="F649" s="4"/>
      <c r="G649" s="4"/>
    </row>
    <row r="650" spans="1:7" ht="14">
      <c r="A650" s="22" t="s">
        <v>17015</v>
      </c>
      <c r="C650" s="4" t="str">
        <f ca="1">IFERROR(__xludf.DUMMYFUNCTION("""COMPUTED_VALUE"""),"C00124 ")</f>
        <v xml:space="preserve">C00124 </v>
      </c>
      <c r="D650" s="4" t="str">
        <f ca="1">IFERROR(__xludf.DUMMYFUNCTION("""COMPUTED_VALUE""")," G00370")</f>
        <v xml:space="preserve"> G00370</v>
      </c>
      <c r="E650" s="4"/>
      <c r="F650" s="4"/>
      <c r="G650" s="4"/>
    </row>
    <row r="651" spans="1:7" ht="14">
      <c r="A651" s="22" t="s">
        <v>17016</v>
      </c>
      <c r="C651" s="4" t="str">
        <f ca="1">IFERROR(__xludf.DUMMYFUNCTION("""COMPUTED_VALUE"""),"G01275 ")</f>
        <v xml:space="preserve">G01275 </v>
      </c>
      <c r="D651" s="4" t="str">
        <f ca="1">IFERROR(__xludf.DUMMYFUNCTION("""COMPUTED_VALUE""")," C00095")</f>
        <v xml:space="preserve"> C00095</v>
      </c>
      <c r="E651" s="4"/>
      <c r="F651" s="4"/>
      <c r="G651" s="4"/>
    </row>
    <row r="652" spans="1:7" ht="14">
      <c r="A652" s="22" t="s">
        <v>17017</v>
      </c>
      <c r="C652" s="4" t="str">
        <f ca="1">IFERROR(__xludf.DUMMYFUNCTION("""COMPUTED_VALUE"""),"2 C00267")</f>
        <v>2 C00267</v>
      </c>
      <c r="D652" s="4"/>
      <c r="E652" s="4"/>
      <c r="F652" s="4"/>
      <c r="G652" s="4"/>
    </row>
    <row r="653" spans="1:7" ht="14">
      <c r="A653" s="27" t="s">
        <v>17018</v>
      </c>
      <c r="C653" s="4" t="str">
        <f ca="1">IFERROR(__xludf.DUMMYFUNCTION("""COMPUTED_VALUE"""),"G00249 ")</f>
        <v xml:space="preserve">G00249 </v>
      </c>
      <c r="D653" s="4" t="str">
        <f ca="1">IFERROR(__xludf.DUMMYFUNCTION("""COMPUTED_VALUE""")," C00124")</f>
        <v xml:space="preserve"> C00124</v>
      </c>
      <c r="E653" s="4"/>
      <c r="F653" s="4"/>
      <c r="G653" s="4"/>
    </row>
    <row r="654" spans="1:7" ht="14">
      <c r="A654" s="22" t="s">
        <v>17019</v>
      </c>
      <c r="C654" s="4" t="str">
        <f ca="1">IFERROR(__xludf.DUMMYFUNCTION("""COMPUTED_VALUE"""),"G00501 ")</f>
        <v xml:space="preserve">G00501 </v>
      </c>
      <c r="D654" s="4" t="str">
        <f ca="1">IFERROR(__xludf.DUMMYFUNCTION("""COMPUTED_VALUE""")," C00095")</f>
        <v xml:space="preserve"> C00095</v>
      </c>
      <c r="E654" s="4"/>
      <c r="F654" s="4"/>
      <c r="G654" s="4"/>
    </row>
    <row r="655" spans="1:7" ht="14">
      <c r="A655" s="22" t="s">
        <v>17020</v>
      </c>
      <c r="C655" s="4" t="str">
        <f ca="1">IFERROR(__xludf.DUMMYFUNCTION("""COMPUTED_VALUE"""),"C00095 ")</f>
        <v xml:space="preserve">C00095 </v>
      </c>
      <c r="D655" s="4" t="str">
        <f ca="1">IFERROR(__xludf.DUMMYFUNCTION("""COMPUTED_VALUE""")," C00031")</f>
        <v xml:space="preserve"> C00031</v>
      </c>
      <c r="E655" s="4"/>
      <c r="F655" s="4"/>
      <c r="G655" s="4"/>
    </row>
    <row r="656" spans="1:7" ht="14">
      <c r="A656" s="22" t="s">
        <v>17021</v>
      </c>
      <c r="C656" s="4" t="str">
        <f ca="1">IFERROR(__xludf.DUMMYFUNCTION("""COMPUTED_VALUE"""),"C02336 ")</f>
        <v xml:space="preserve">C02336 </v>
      </c>
      <c r="D656" s="4" t="str">
        <f ca="1">IFERROR(__xludf.DUMMYFUNCTION("""COMPUTED_VALUE""")," C00267")</f>
        <v xml:space="preserve"> C00267</v>
      </c>
      <c r="E656" s="4"/>
      <c r="F656" s="4"/>
      <c r="G656" s="4"/>
    </row>
    <row r="657" spans="1:7" ht="14">
      <c r="A657" s="22" t="s">
        <v>17022</v>
      </c>
      <c r="C657" s="4" t="str">
        <f ca="1">IFERROR(__xludf.DUMMYFUNCTION("""COMPUTED_VALUE"""),"G11121 ")</f>
        <v xml:space="preserve">G11121 </v>
      </c>
      <c r="D657" s="4" t="str">
        <f ca="1">IFERROR(__xludf.DUMMYFUNCTION("""COMPUTED_VALUE""")," C00124")</f>
        <v xml:space="preserve"> C00124</v>
      </c>
      <c r="E657" s="4"/>
      <c r="F657" s="4"/>
      <c r="G657" s="4"/>
    </row>
    <row r="658" spans="1:7" ht="14">
      <c r="A658" s="22" t="s">
        <v>17023</v>
      </c>
      <c r="C658" s="4" t="str">
        <f ca="1">IFERROR(__xludf.DUMMYFUNCTION("""COMPUTED_VALUE"""),"C00124 ")</f>
        <v xml:space="preserve">C00124 </v>
      </c>
      <c r="D658" s="4" t="str">
        <f ca="1">IFERROR(__xludf.DUMMYFUNCTION("""COMPUTED_VALUE""")," G01275")</f>
        <v xml:space="preserve"> G01275</v>
      </c>
      <c r="E658" s="4"/>
      <c r="F658" s="4"/>
      <c r="G658" s="4"/>
    </row>
    <row r="659" spans="1:7" ht="14">
      <c r="A659" s="22" t="s">
        <v>17024</v>
      </c>
      <c r="C659" s="4" t="str">
        <f ca="1">IFERROR(__xludf.DUMMYFUNCTION("""COMPUTED_VALUE"""),"C00124 ")</f>
        <v xml:space="preserve">C00124 </v>
      </c>
      <c r="D659" s="4" t="str">
        <f ca="1">IFERROR(__xludf.DUMMYFUNCTION("""COMPUTED_VALUE""")," C00031")</f>
        <v xml:space="preserve"> C00031</v>
      </c>
      <c r="E659" s="4"/>
      <c r="F659" s="4"/>
      <c r="G659" s="4"/>
    </row>
    <row r="660" spans="1:7" ht="14">
      <c r="A660" s="22" t="s">
        <v>17025</v>
      </c>
      <c r="C660" s="4" t="str">
        <f ca="1">IFERROR(__xludf.DUMMYFUNCTION("""COMPUTED_VALUE"""),"G13073 ")</f>
        <v xml:space="preserve">G13073 </v>
      </c>
      <c r="D660" s="4" t="str">
        <f ca="1">IFERROR(__xludf.DUMMYFUNCTION("""COMPUTED_VALUE""")," C00124")</f>
        <v xml:space="preserve"> C00124</v>
      </c>
      <c r="E660" s="4"/>
      <c r="F660" s="4"/>
      <c r="G660" s="4"/>
    </row>
    <row r="661" spans="1:7" ht="14">
      <c r="A661" s="22" t="s">
        <v>17026</v>
      </c>
      <c r="C661" s="4" t="str">
        <f ca="1">IFERROR(__xludf.DUMMYFUNCTION("""COMPUTED_VALUE"""),"C00137 ")</f>
        <v xml:space="preserve">C00137 </v>
      </c>
      <c r="D661" s="4" t="str">
        <f ca="1">IFERROR(__xludf.DUMMYFUNCTION("""COMPUTED_VALUE""")," C00124")</f>
        <v xml:space="preserve"> C00124</v>
      </c>
      <c r="E661" s="4"/>
      <c r="F661" s="4"/>
      <c r="G661" s="4"/>
    </row>
    <row r="662" spans="1:7" ht="14">
      <c r="A662" s="22" t="s">
        <v>17027</v>
      </c>
      <c r="C662" s="4" t="str">
        <f ca="1">IFERROR(__xludf.DUMMYFUNCTION("""COMPUTED_VALUE"""),"G10495(n-1) ")</f>
        <v xml:space="preserve">G10495(n-1) </v>
      </c>
      <c r="D662" s="4" t="str">
        <f ca="1">IFERROR(__xludf.DUMMYFUNCTION("""COMPUTED_VALUE""")," C00103")</f>
        <v xml:space="preserve"> C00103</v>
      </c>
      <c r="E662" s="4"/>
      <c r="F662" s="4"/>
      <c r="G662" s="4"/>
    </row>
    <row r="663" spans="1:7" ht="14">
      <c r="A663" s="22" t="s">
        <v>17028</v>
      </c>
      <c r="C663" s="4" t="str">
        <f ca="1">IFERROR(__xludf.DUMMYFUNCTION("""COMPUTED_VALUE"""),"G10495(n")</f>
        <v>G10495(n</v>
      </c>
      <c r="D663" s="4" t="str">
        <f ca="1">IFERROR(__xludf.DUMMYFUNCTION("""COMPUTED_VALUE"""),"1) ")</f>
        <v xml:space="preserve">1) </v>
      </c>
      <c r="E663" s="4" t="str">
        <f ca="1">IFERROR(__xludf.DUMMYFUNCTION("""COMPUTED_VALUE""")," G11113")</f>
        <v xml:space="preserve"> G11113</v>
      </c>
      <c r="F663" s="4"/>
      <c r="G663" s="4"/>
    </row>
    <row r="664" spans="1:7" ht="14">
      <c r="A664" s="22" t="s">
        <v>17029</v>
      </c>
      <c r="C664" s="4" t="str">
        <f ca="1">IFERROR(__xludf.DUMMYFUNCTION("""COMPUTED_VALUE"""),"C00031 ")</f>
        <v xml:space="preserve">C00031 </v>
      </c>
      <c r="D664" s="4" t="str">
        <f ca="1">IFERROR(__xludf.DUMMYFUNCTION("""COMPUTED_VALUE""")," C00962")</f>
        <v xml:space="preserve"> C00962</v>
      </c>
      <c r="E664" s="4"/>
      <c r="F664" s="4"/>
      <c r="G664" s="4"/>
    </row>
    <row r="665" spans="1:7" ht="14">
      <c r="A665" s="22" t="s">
        <v>17030</v>
      </c>
      <c r="C665" s="4" t="str">
        <f ca="1">IFERROR(__xludf.DUMMYFUNCTION("""COMPUTED_VALUE"""),"C00267 ")</f>
        <v xml:space="preserve">C00267 </v>
      </c>
      <c r="D665" s="4" t="str">
        <f ca="1">IFERROR(__xludf.DUMMYFUNCTION("""COMPUTED_VALUE""")," C00124")</f>
        <v xml:space="preserve"> C00124</v>
      </c>
      <c r="E665" s="4"/>
      <c r="F665" s="4"/>
      <c r="G665" s="4"/>
    </row>
    <row r="666" spans="1:7" ht="14">
      <c r="A666" s="22" t="s">
        <v>17031</v>
      </c>
      <c r="C666" s="4" t="str">
        <f ca="1">IFERROR(__xludf.DUMMYFUNCTION("""COMPUTED_VALUE"""),"C02336 ")</f>
        <v xml:space="preserve">C02336 </v>
      </c>
      <c r="D666" s="4" t="str">
        <f ca="1">IFERROR(__xludf.DUMMYFUNCTION("""COMPUTED_VALUE""")," C00668")</f>
        <v xml:space="preserve"> C00668</v>
      </c>
      <c r="E666" s="4"/>
      <c r="F666" s="4"/>
      <c r="G666" s="4"/>
    </row>
    <row r="667" spans="1:7" ht="14">
      <c r="A667" s="22" t="s">
        <v>17032</v>
      </c>
      <c r="C667" s="4" t="str">
        <f ca="1">IFERROR(__xludf.DUMMYFUNCTION("""COMPUTED_VALUE"""),"C00031 ")</f>
        <v xml:space="preserve">C00031 </v>
      </c>
      <c r="D667" s="4" t="str">
        <f ca="1">IFERROR(__xludf.DUMMYFUNCTION("""COMPUTED_VALUE""")," C00092")</f>
        <v xml:space="preserve"> C00092</v>
      </c>
      <c r="E667" s="4"/>
      <c r="F667" s="4"/>
      <c r="G667" s="4"/>
    </row>
    <row r="668" spans="1:7" ht="14">
      <c r="A668" s="22" t="s">
        <v>17033</v>
      </c>
      <c r="C668" s="4" t="str">
        <f ca="1">IFERROR(__xludf.DUMMYFUNCTION("""COMPUTED_VALUE"""),"C00159 ")</f>
        <v xml:space="preserve">C00159 </v>
      </c>
      <c r="D668" s="4" t="str">
        <f ca="1">IFERROR(__xludf.DUMMYFUNCTION("""COMPUTED_VALUE""")," C00124")</f>
        <v xml:space="preserve"> C00124</v>
      </c>
      <c r="E668" s="4"/>
      <c r="F668" s="4"/>
      <c r="G668" s="4"/>
    </row>
    <row r="669" spans="1:7" ht="14">
      <c r="A669" s="22" t="s">
        <v>17034</v>
      </c>
      <c r="C669" s="4" t="str">
        <f ca="1">IFERROR(__xludf.DUMMYFUNCTION("""COMPUTED_VALUE"""),"C05394 ")</f>
        <v xml:space="preserve">C05394 </v>
      </c>
      <c r="D669" s="4" t="str">
        <f ca="1">IFERROR(__xludf.DUMMYFUNCTION("""COMPUTED_VALUE""")," C00221")</f>
        <v xml:space="preserve"> C00221</v>
      </c>
      <c r="E669" s="4"/>
      <c r="F669" s="4"/>
      <c r="G669" s="4"/>
    </row>
    <row r="670" spans="1:7" ht="14">
      <c r="A670" s="22" t="s">
        <v>17035</v>
      </c>
      <c r="C670" s="4" t="str">
        <f ca="1">IFERROR(__xludf.DUMMYFUNCTION("""COMPUTED_VALUE"""),"C00124 ")</f>
        <v xml:space="preserve">C00124 </v>
      </c>
      <c r="D670" s="4" t="str">
        <f ca="1">IFERROR(__xludf.DUMMYFUNCTION("""COMPUTED_VALUE""")," G10534(n)")</f>
        <v xml:space="preserve"> G10534(n)</v>
      </c>
      <c r="E670" s="4"/>
      <c r="F670" s="4"/>
      <c r="G670" s="4"/>
    </row>
    <row r="671" spans="1:7" ht="14">
      <c r="A671" s="22" t="s">
        <v>17036</v>
      </c>
      <c r="C671" s="4" t="str">
        <f ca="1">IFERROR(__xludf.DUMMYFUNCTION("""COMPUTED_VALUE"""),"G10495 ")</f>
        <v xml:space="preserve">G10495 </v>
      </c>
      <c r="D671" s="4" t="str">
        <f ca="1">IFERROR(__xludf.DUMMYFUNCTION("""COMPUTED_VALUE""")," C00103")</f>
        <v xml:space="preserve"> C00103</v>
      </c>
      <c r="E671" s="4"/>
      <c r="F671" s="4"/>
      <c r="G671" s="4"/>
    </row>
    <row r="672" spans="1:7" ht="14">
      <c r="A672" s="22" t="s">
        <v>17037</v>
      </c>
      <c r="C672" s="4" t="str">
        <f ca="1">IFERROR(__xludf.DUMMYFUNCTION("""COMPUTED_VALUE"""),"G10550 ")</f>
        <v xml:space="preserve">G10550 </v>
      </c>
      <c r="D672" s="4" t="str">
        <f ca="1">IFERROR(__xludf.DUMMYFUNCTION("""COMPUTED_VALUE""")," G10619")</f>
        <v xml:space="preserve"> G10619</v>
      </c>
      <c r="E672" s="4"/>
      <c r="F672" s="4"/>
      <c r="G672" s="4"/>
    </row>
    <row r="673" spans="1:7" ht="14">
      <c r="A673" s="22" t="s">
        <v>17038</v>
      </c>
      <c r="C673" s="4" t="str">
        <f ca="1">IFERROR(__xludf.DUMMYFUNCTION("""COMPUTED_VALUE"""),"G10553 ")</f>
        <v xml:space="preserve">G10553 </v>
      </c>
      <c r="D673" s="4" t="str">
        <f ca="1">IFERROR(__xludf.DUMMYFUNCTION("""COMPUTED_VALUE""")," G10619")</f>
        <v xml:space="preserve"> G10619</v>
      </c>
      <c r="E673" s="4"/>
      <c r="F673" s="4"/>
      <c r="G673" s="4"/>
    </row>
    <row r="674" spans="1:7" ht="14">
      <c r="A674" s="22" t="s">
        <v>17039</v>
      </c>
      <c r="C674" s="4" t="str">
        <f ca="1">IFERROR(__xludf.DUMMYFUNCTION("""COMPUTED_VALUE"""),"G10555 ")</f>
        <v xml:space="preserve">G10555 </v>
      </c>
      <c r="D674" s="4" t="str">
        <f ca="1">IFERROR(__xludf.DUMMYFUNCTION("""COMPUTED_VALUE""")," G10619")</f>
        <v xml:space="preserve"> G10619</v>
      </c>
      <c r="E674" s="4"/>
      <c r="F674" s="4"/>
      <c r="G674" s="4"/>
    </row>
    <row r="675" spans="1:7" ht="12.5">
      <c r="A675" s="4" t="s">
        <v>12658</v>
      </c>
      <c r="C675" s="4" t="str">
        <f ca="1">IFERROR(__xludf.DUMMYFUNCTION("""COMPUTED_VALUE"""),"G11121 ")</f>
        <v xml:space="preserve">G11121 </v>
      </c>
      <c r="D675" s="4" t="str">
        <f ca="1">IFERROR(__xludf.DUMMYFUNCTION("""COMPUTED_VALUE""")," C00059")</f>
        <v xml:space="preserve"> C00059</v>
      </c>
      <c r="E675" s="4"/>
      <c r="F675" s="4"/>
      <c r="G675" s="4"/>
    </row>
    <row r="676" spans="1:7" ht="14">
      <c r="A676" s="22" t="s">
        <v>17040</v>
      </c>
      <c r="C676" s="4" t="str">
        <f ca="1">IFERROR(__xludf.DUMMYFUNCTION("""COMPUTED_VALUE"""),"C20864(n) ")</f>
        <v xml:space="preserve">C20864(n) </v>
      </c>
      <c r="D676" s="4" t="str">
        <f ca="1">IFERROR(__xludf.DUMMYFUNCTION("""COMPUTED_VALUE""")," (n-1) C00013")</f>
        <v xml:space="preserve"> (n-1) C00013</v>
      </c>
      <c r="E676" s="4"/>
      <c r="F676" s="4"/>
      <c r="G676" s="4"/>
    </row>
    <row r="677" spans="1:7" ht="14">
      <c r="A677" s="22" t="s">
        <v>17041</v>
      </c>
    </row>
    <row r="678" spans="1:7" ht="12.5">
      <c r="A678" s="4"/>
    </row>
  </sheetData>
  <hyperlinks>
    <hyperlink ref="A2" r:id="rId1" xr:uid="{00000000-0004-0000-0900-000000000000}"/>
    <hyperlink ref="A5" r:id="rId2" xr:uid="{00000000-0004-0000-0900-000001000000}"/>
    <hyperlink ref="A6" r:id="rId3" xr:uid="{00000000-0004-0000-0900-000002000000}"/>
    <hyperlink ref="A7" r:id="rId4" xr:uid="{00000000-0004-0000-0900-000003000000}"/>
    <hyperlink ref="A8" r:id="rId5" xr:uid="{00000000-0004-0000-0900-000004000000}"/>
    <hyperlink ref="A9" r:id="rId6" xr:uid="{00000000-0004-0000-0900-000005000000}"/>
    <hyperlink ref="A10" r:id="rId7" xr:uid="{00000000-0004-0000-0900-000006000000}"/>
    <hyperlink ref="A11" r:id="rId8" xr:uid="{00000000-0004-0000-0900-000007000000}"/>
    <hyperlink ref="A12" r:id="rId9" xr:uid="{00000000-0004-0000-0900-000008000000}"/>
    <hyperlink ref="A13" r:id="rId10" xr:uid="{00000000-0004-0000-0900-000009000000}"/>
    <hyperlink ref="A14" r:id="rId11" xr:uid="{00000000-0004-0000-0900-00000A000000}"/>
    <hyperlink ref="A15" r:id="rId12" xr:uid="{00000000-0004-0000-0900-00000B000000}"/>
    <hyperlink ref="A16" r:id="rId13" xr:uid="{00000000-0004-0000-0900-00000C000000}"/>
    <hyperlink ref="A17" r:id="rId14" xr:uid="{00000000-0004-0000-0900-00000D000000}"/>
    <hyperlink ref="A18" r:id="rId15" xr:uid="{00000000-0004-0000-0900-00000E000000}"/>
    <hyperlink ref="A19" r:id="rId16" xr:uid="{00000000-0004-0000-0900-00000F000000}"/>
    <hyperlink ref="A20" r:id="rId17" xr:uid="{00000000-0004-0000-0900-000010000000}"/>
    <hyperlink ref="A21" r:id="rId18" xr:uid="{00000000-0004-0000-0900-000011000000}"/>
    <hyperlink ref="A22" r:id="rId19" xr:uid="{00000000-0004-0000-0900-000012000000}"/>
    <hyperlink ref="A23" r:id="rId20" xr:uid="{00000000-0004-0000-0900-000013000000}"/>
    <hyperlink ref="A24" r:id="rId21" xr:uid="{00000000-0004-0000-0900-000014000000}"/>
    <hyperlink ref="A25" r:id="rId22" xr:uid="{00000000-0004-0000-0900-000015000000}"/>
    <hyperlink ref="A26" r:id="rId23" xr:uid="{00000000-0004-0000-0900-000016000000}"/>
    <hyperlink ref="A27" r:id="rId24" xr:uid="{00000000-0004-0000-0900-000017000000}"/>
    <hyperlink ref="A28" r:id="rId25" xr:uid="{00000000-0004-0000-0900-000018000000}"/>
    <hyperlink ref="A29" r:id="rId26" xr:uid="{00000000-0004-0000-0900-000019000000}"/>
    <hyperlink ref="A30" r:id="rId27" xr:uid="{00000000-0004-0000-0900-00001A000000}"/>
    <hyperlink ref="A31" r:id="rId28" xr:uid="{00000000-0004-0000-0900-00001B000000}"/>
    <hyperlink ref="A32" r:id="rId29" xr:uid="{00000000-0004-0000-0900-00001C000000}"/>
    <hyperlink ref="A33" r:id="rId30" xr:uid="{00000000-0004-0000-0900-00001D000000}"/>
    <hyperlink ref="A34" r:id="rId31" xr:uid="{00000000-0004-0000-0900-00001E000000}"/>
    <hyperlink ref="A35" r:id="rId32" xr:uid="{00000000-0004-0000-0900-00001F000000}"/>
    <hyperlink ref="A36" r:id="rId33" xr:uid="{00000000-0004-0000-0900-000020000000}"/>
    <hyperlink ref="A37" r:id="rId34" xr:uid="{00000000-0004-0000-0900-000021000000}"/>
    <hyperlink ref="A38" r:id="rId35" xr:uid="{00000000-0004-0000-0900-000022000000}"/>
    <hyperlink ref="A39" r:id="rId36" xr:uid="{00000000-0004-0000-0900-000023000000}"/>
    <hyperlink ref="A40" r:id="rId37" xr:uid="{00000000-0004-0000-0900-000024000000}"/>
    <hyperlink ref="A41" r:id="rId38" xr:uid="{00000000-0004-0000-0900-000025000000}"/>
    <hyperlink ref="A42" r:id="rId39" xr:uid="{00000000-0004-0000-0900-000026000000}"/>
    <hyperlink ref="A43" r:id="rId40" xr:uid="{00000000-0004-0000-0900-000027000000}"/>
    <hyperlink ref="A44" r:id="rId41" xr:uid="{00000000-0004-0000-0900-000028000000}"/>
    <hyperlink ref="A45" r:id="rId42" xr:uid="{00000000-0004-0000-0900-000029000000}"/>
    <hyperlink ref="A46" r:id="rId43" xr:uid="{00000000-0004-0000-0900-00002A000000}"/>
    <hyperlink ref="A47" r:id="rId44" xr:uid="{00000000-0004-0000-0900-00002B000000}"/>
    <hyperlink ref="A48" r:id="rId45" xr:uid="{00000000-0004-0000-0900-00002C000000}"/>
    <hyperlink ref="A49" r:id="rId46" xr:uid="{00000000-0004-0000-0900-00002D000000}"/>
    <hyperlink ref="A50" r:id="rId47" xr:uid="{00000000-0004-0000-0900-00002E000000}"/>
    <hyperlink ref="A52" r:id="rId48" xr:uid="{00000000-0004-0000-0900-00002F000000}"/>
    <hyperlink ref="A53" r:id="rId49" xr:uid="{00000000-0004-0000-0900-000030000000}"/>
    <hyperlink ref="A54" r:id="rId50" xr:uid="{00000000-0004-0000-0900-000031000000}"/>
    <hyperlink ref="A55" r:id="rId51" xr:uid="{00000000-0004-0000-0900-000032000000}"/>
    <hyperlink ref="A56" r:id="rId52" xr:uid="{00000000-0004-0000-0900-000033000000}"/>
    <hyperlink ref="A57" r:id="rId53" xr:uid="{00000000-0004-0000-0900-000034000000}"/>
    <hyperlink ref="A58" r:id="rId54" xr:uid="{00000000-0004-0000-0900-000035000000}"/>
    <hyperlink ref="A59" r:id="rId55" xr:uid="{00000000-0004-0000-0900-000036000000}"/>
    <hyperlink ref="A60" r:id="rId56" xr:uid="{00000000-0004-0000-0900-000037000000}"/>
    <hyperlink ref="A61" r:id="rId57" xr:uid="{00000000-0004-0000-0900-000038000000}"/>
    <hyperlink ref="A62" r:id="rId58" xr:uid="{00000000-0004-0000-0900-000039000000}"/>
    <hyperlink ref="A63" r:id="rId59" xr:uid="{00000000-0004-0000-0900-00003A000000}"/>
    <hyperlink ref="A64" r:id="rId60" xr:uid="{00000000-0004-0000-0900-00003B000000}"/>
    <hyperlink ref="A65" r:id="rId61" xr:uid="{00000000-0004-0000-0900-00003C000000}"/>
    <hyperlink ref="A66" r:id="rId62" xr:uid="{00000000-0004-0000-0900-00003D000000}"/>
    <hyperlink ref="A67" r:id="rId63" xr:uid="{00000000-0004-0000-0900-00003E000000}"/>
    <hyperlink ref="A68" r:id="rId64" xr:uid="{00000000-0004-0000-0900-00003F000000}"/>
    <hyperlink ref="A69" r:id="rId65" xr:uid="{00000000-0004-0000-0900-000040000000}"/>
    <hyperlink ref="A70" r:id="rId66" xr:uid="{00000000-0004-0000-0900-000041000000}"/>
    <hyperlink ref="A71" r:id="rId67" xr:uid="{00000000-0004-0000-0900-000042000000}"/>
    <hyperlink ref="A72" r:id="rId68" xr:uid="{00000000-0004-0000-0900-000043000000}"/>
    <hyperlink ref="A73" r:id="rId69" xr:uid="{00000000-0004-0000-0900-000044000000}"/>
    <hyperlink ref="A74" r:id="rId70" xr:uid="{00000000-0004-0000-0900-000045000000}"/>
    <hyperlink ref="A75" r:id="rId71" xr:uid="{00000000-0004-0000-0900-000046000000}"/>
    <hyperlink ref="A76" r:id="rId72" xr:uid="{00000000-0004-0000-0900-000047000000}"/>
    <hyperlink ref="A77" r:id="rId73" xr:uid="{00000000-0004-0000-0900-000048000000}"/>
    <hyperlink ref="A78" r:id="rId74" xr:uid="{00000000-0004-0000-0900-000049000000}"/>
    <hyperlink ref="A79" r:id="rId75" xr:uid="{00000000-0004-0000-0900-00004A000000}"/>
    <hyperlink ref="A80" r:id="rId76" xr:uid="{00000000-0004-0000-0900-00004B000000}"/>
    <hyperlink ref="A81" r:id="rId77" xr:uid="{00000000-0004-0000-0900-00004C000000}"/>
    <hyperlink ref="A82" r:id="rId78" xr:uid="{00000000-0004-0000-0900-00004D000000}"/>
    <hyperlink ref="A83" r:id="rId79" xr:uid="{00000000-0004-0000-0900-00004E000000}"/>
    <hyperlink ref="A85" r:id="rId80" xr:uid="{00000000-0004-0000-0900-00004F000000}"/>
    <hyperlink ref="A86" r:id="rId81" xr:uid="{00000000-0004-0000-0900-000050000000}"/>
    <hyperlink ref="A87" r:id="rId82" xr:uid="{00000000-0004-0000-0900-000051000000}"/>
    <hyperlink ref="A88" r:id="rId83" xr:uid="{00000000-0004-0000-0900-000052000000}"/>
    <hyperlink ref="A89" r:id="rId84" xr:uid="{00000000-0004-0000-0900-000053000000}"/>
    <hyperlink ref="A90" r:id="rId85" xr:uid="{00000000-0004-0000-0900-000054000000}"/>
    <hyperlink ref="A91" r:id="rId86" xr:uid="{00000000-0004-0000-0900-000055000000}"/>
    <hyperlink ref="A92" r:id="rId87" xr:uid="{00000000-0004-0000-0900-000056000000}"/>
    <hyperlink ref="A93" r:id="rId88" xr:uid="{00000000-0004-0000-0900-000057000000}"/>
    <hyperlink ref="A94" r:id="rId89" xr:uid="{00000000-0004-0000-0900-000058000000}"/>
    <hyperlink ref="A95" r:id="rId90" xr:uid="{00000000-0004-0000-0900-000059000000}"/>
    <hyperlink ref="A96" r:id="rId91" xr:uid="{00000000-0004-0000-0900-00005A000000}"/>
    <hyperlink ref="A97" r:id="rId92" xr:uid="{00000000-0004-0000-0900-00005B000000}"/>
    <hyperlink ref="A98" r:id="rId93" xr:uid="{00000000-0004-0000-0900-00005C000000}"/>
    <hyperlink ref="A99" r:id="rId94" xr:uid="{00000000-0004-0000-0900-00005D000000}"/>
    <hyperlink ref="A100" r:id="rId95" xr:uid="{00000000-0004-0000-0900-00005E000000}"/>
    <hyperlink ref="A101" r:id="rId96" xr:uid="{00000000-0004-0000-0900-00005F000000}"/>
    <hyperlink ref="A102" r:id="rId97" xr:uid="{00000000-0004-0000-0900-000060000000}"/>
    <hyperlink ref="A103" r:id="rId98" xr:uid="{00000000-0004-0000-0900-000061000000}"/>
    <hyperlink ref="A104" r:id="rId99" xr:uid="{00000000-0004-0000-0900-000062000000}"/>
    <hyperlink ref="A105" r:id="rId100" xr:uid="{00000000-0004-0000-0900-000063000000}"/>
    <hyperlink ref="A107" r:id="rId101" xr:uid="{00000000-0004-0000-0900-000064000000}"/>
    <hyperlink ref="A108" r:id="rId102" xr:uid="{00000000-0004-0000-0900-000065000000}"/>
    <hyperlink ref="A109" r:id="rId103" xr:uid="{00000000-0004-0000-0900-000066000000}"/>
    <hyperlink ref="A110" r:id="rId104" xr:uid="{00000000-0004-0000-0900-000067000000}"/>
    <hyperlink ref="A111" r:id="rId105" xr:uid="{00000000-0004-0000-0900-000068000000}"/>
    <hyperlink ref="A113" r:id="rId106" xr:uid="{00000000-0004-0000-0900-000069000000}"/>
    <hyperlink ref="A114" r:id="rId107" xr:uid="{00000000-0004-0000-0900-00006A000000}"/>
    <hyperlink ref="A115" r:id="rId108" xr:uid="{00000000-0004-0000-0900-00006B000000}"/>
    <hyperlink ref="A116" r:id="rId109" xr:uid="{00000000-0004-0000-0900-00006C000000}"/>
    <hyperlink ref="A117" r:id="rId110" xr:uid="{00000000-0004-0000-0900-00006D000000}"/>
    <hyperlink ref="A118" r:id="rId111" xr:uid="{00000000-0004-0000-0900-00006E000000}"/>
    <hyperlink ref="A119" r:id="rId112" xr:uid="{00000000-0004-0000-0900-00006F000000}"/>
    <hyperlink ref="A120" r:id="rId113" xr:uid="{00000000-0004-0000-0900-000070000000}"/>
    <hyperlink ref="A121" r:id="rId114" xr:uid="{00000000-0004-0000-0900-000071000000}"/>
    <hyperlink ref="A122" r:id="rId115" xr:uid="{00000000-0004-0000-0900-000072000000}"/>
    <hyperlink ref="A123" r:id="rId116" xr:uid="{00000000-0004-0000-0900-000073000000}"/>
    <hyperlink ref="A124" r:id="rId117" xr:uid="{00000000-0004-0000-0900-000074000000}"/>
    <hyperlink ref="A125" r:id="rId118" xr:uid="{00000000-0004-0000-0900-000075000000}"/>
    <hyperlink ref="A126" r:id="rId119" xr:uid="{00000000-0004-0000-0900-000076000000}"/>
    <hyperlink ref="A127" r:id="rId120" xr:uid="{00000000-0004-0000-0900-000077000000}"/>
    <hyperlink ref="A128" r:id="rId121" xr:uid="{00000000-0004-0000-0900-000078000000}"/>
    <hyperlink ref="A129" r:id="rId122" xr:uid="{00000000-0004-0000-0900-000079000000}"/>
    <hyperlink ref="A130" r:id="rId123" xr:uid="{00000000-0004-0000-0900-00007A000000}"/>
    <hyperlink ref="A131" r:id="rId124" xr:uid="{00000000-0004-0000-0900-00007B000000}"/>
    <hyperlink ref="A132" r:id="rId125" xr:uid="{00000000-0004-0000-0900-00007C000000}"/>
    <hyperlink ref="A133" r:id="rId126" xr:uid="{00000000-0004-0000-0900-00007D000000}"/>
    <hyperlink ref="A134" r:id="rId127" xr:uid="{00000000-0004-0000-0900-00007E000000}"/>
    <hyperlink ref="A135" r:id="rId128" xr:uid="{00000000-0004-0000-0900-00007F000000}"/>
    <hyperlink ref="A136" r:id="rId129" xr:uid="{00000000-0004-0000-0900-000080000000}"/>
    <hyperlink ref="A137" r:id="rId130" xr:uid="{00000000-0004-0000-0900-000081000000}"/>
    <hyperlink ref="A138" r:id="rId131" xr:uid="{00000000-0004-0000-0900-000082000000}"/>
    <hyperlink ref="A139" r:id="rId132" xr:uid="{00000000-0004-0000-0900-000083000000}"/>
    <hyperlink ref="A140" r:id="rId133" xr:uid="{00000000-0004-0000-0900-000084000000}"/>
    <hyperlink ref="A142" r:id="rId134" xr:uid="{00000000-0004-0000-0900-000085000000}"/>
    <hyperlink ref="A143" r:id="rId135" xr:uid="{00000000-0004-0000-0900-000086000000}"/>
    <hyperlink ref="A144" r:id="rId136" xr:uid="{00000000-0004-0000-0900-000087000000}"/>
    <hyperlink ref="A145" r:id="rId137" xr:uid="{00000000-0004-0000-0900-000088000000}"/>
    <hyperlink ref="A146" r:id="rId138" xr:uid="{00000000-0004-0000-0900-000089000000}"/>
    <hyperlink ref="A147" r:id="rId139" xr:uid="{00000000-0004-0000-0900-00008A000000}"/>
    <hyperlink ref="A148" r:id="rId140" xr:uid="{00000000-0004-0000-0900-00008B000000}"/>
    <hyperlink ref="A149" r:id="rId141" xr:uid="{00000000-0004-0000-0900-00008C000000}"/>
    <hyperlink ref="A150" r:id="rId142" xr:uid="{00000000-0004-0000-0900-00008D000000}"/>
    <hyperlink ref="A151" r:id="rId143" xr:uid="{00000000-0004-0000-0900-00008E000000}"/>
    <hyperlink ref="A152" r:id="rId144" xr:uid="{00000000-0004-0000-0900-00008F000000}"/>
    <hyperlink ref="A153" r:id="rId145" xr:uid="{00000000-0004-0000-0900-000090000000}"/>
    <hyperlink ref="A154" r:id="rId146" xr:uid="{00000000-0004-0000-0900-000091000000}"/>
    <hyperlink ref="A156" r:id="rId147" xr:uid="{00000000-0004-0000-0900-000092000000}"/>
    <hyperlink ref="A157" r:id="rId148" xr:uid="{00000000-0004-0000-0900-000093000000}"/>
    <hyperlink ref="A158" r:id="rId149" xr:uid="{00000000-0004-0000-0900-000094000000}"/>
    <hyperlink ref="A159" r:id="rId150" xr:uid="{00000000-0004-0000-0900-000095000000}"/>
    <hyperlink ref="A160" r:id="rId151" xr:uid="{00000000-0004-0000-0900-000096000000}"/>
    <hyperlink ref="A161" r:id="rId152" xr:uid="{00000000-0004-0000-0900-000097000000}"/>
    <hyperlink ref="A162" r:id="rId153" xr:uid="{00000000-0004-0000-0900-000098000000}"/>
    <hyperlink ref="A163" r:id="rId154" xr:uid="{00000000-0004-0000-0900-000099000000}"/>
    <hyperlink ref="A164" r:id="rId155" xr:uid="{00000000-0004-0000-0900-00009A000000}"/>
    <hyperlink ref="A165" r:id="rId156" xr:uid="{00000000-0004-0000-0900-00009B000000}"/>
    <hyperlink ref="A166" r:id="rId157" xr:uid="{00000000-0004-0000-0900-00009C000000}"/>
    <hyperlink ref="A167" r:id="rId158" xr:uid="{00000000-0004-0000-0900-00009D000000}"/>
    <hyperlink ref="A168" r:id="rId159" xr:uid="{00000000-0004-0000-0900-00009E000000}"/>
    <hyperlink ref="A169" r:id="rId160" xr:uid="{00000000-0004-0000-0900-00009F000000}"/>
    <hyperlink ref="A171" r:id="rId161" xr:uid="{00000000-0004-0000-0900-0000A0000000}"/>
    <hyperlink ref="A172" r:id="rId162" xr:uid="{00000000-0004-0000-0900-0000A1000000}"/>
    <hyperlink ref="A173" r:id="rId163" xr:uid="{00000000-0004-0000-0900-0000A2000000}"/>
    <hyperlink ref="A174" r:id="rId164" xr:uid="{00000000-0004-0000-0900-0000A3000000}"/>
    <hyperlink ref="A175" r:id="rId165" xr:uid="{00000000-0004-0000-0900-0000A4000000}"/>
    <hyperlink ref="A176" r:id="rId166" xr:uid="{00000000-0004-0000-0900-0000A5000000}"/>
    <hyperlink ref="A177" r:id="rId167" xr:uid="{00000000-0004-0000-0900-0000A6000000}"/>
    <hyperlink ref="A178" r:id="rId168" xr:uid="{00000000-0004-0000-0900-0000A7000000}"/>
    <hyperlink ref="A179" r:id="rId169" xr:uid="{00000000-0004-0000-0900-0000A8000000}"/>
    <hyperlink ref="A180" r:id="rId170" xr:uid="{00000000-0004-0000-0900-0000A9000000}"/>
    <hyperlink ref="A181" r:id="rId171" xr:uid="{00000000-0004-0000-0900-0000AA000000}"/>
    <hyperlink ref="A182" r:id="rId172" xr:uid="{00000000-0004-0000-0900-0000AB000000}"/>
    <hyperlink ref="A183" r:id="rId173" xr:uid="{00000000-0004-0000-0900-0000AC000000}"/>
    <hyperlink ref="A184" r:id="rId174" xr:uid="{00000000-0004-0000-0900-0000AD000000}"/>
    <hyperlink ref="A185" r:id="rId175" xr:uid="{00000000-0004-0000-0900-0000AE000000}"/>
    <hyperlink ref="A186" r:id="rId176" xr:uid="{00000000-0004-0000-0900-0000AF000000}"/>
    <hyperlink ref="A187" r:id="rId177" xr:uid="{00000000-0004-0000-0900-0000B0000000}"/>
    <hyperlink ref="A188" r:id="rId178" xr:uid="{00000000-0004-0000-0900-0000B1000000}"/>
    <hyperlink ref="A189" r:id="rId179" xr:uid="{00000000-0004-0000-0900-0000B2000000}"/>
    <hyperlink ref="A190" r:id="rId180" xr:uid="{00000000-0004-0000-0900-0000B3000000}"/>
    <hyperlink ref="A191" r:id="rId181" xr:uid="{00000000-0004-0000-0900-0000B4000000}"/>
    <hyperlink ref="A192" r:id="rId182" xr:uid="{00000000-0004-0000-0900-0000B5000000}"/>
    <hyperlink ref="A193" r:id="rId183" xr:uid="{00000000-0004-0000-0900-0000B6000000}"/>
    <hyperlink ref="A194" r:id="rId184" xr:uid="{00000000-0004-0000-0900-0000B7000000}"/>
    <hyperlink ref="A195" r:id="rId185" xr:uid="{00000000-0004-0000-0900-0000B8000000}"/>
    <hyperlink ref="A196" r:id="rId186" xr:uid="{00000000-0004-0000-0900-0000B9000000}"/>
    <hyperlink ref="A197" r:id="rId187" xr:uid="{00000000-0004-0000-0900-0000BA000000}"/>
    <hyperlink ref="A198" r:id="rId188" xr:uid="{00000000-0004-0000-0900-0000BB000000}"/>
    <hyperlink ref="A199" r:id="rId189" xr:uid="{00000000-0004-0000-0900-0000BC000000}"/>
    <hyperlink ref="A200" r:id="rId190" xr:uid="{00000000-0004-0000-0900-0000BD000000}"/>
    <hyperlink ref="A201" r:id="rId191" xr:uid="{00000000-0004-0000-0900-0000BE000000}"/>
    <hyperlink ref="A202" r:id="rId192" xr:uid="{00000000-0004-0000-0900-0000BF000000}"/>
    <hyperlink ref="A205" r:id="rId193" xr:uid="{00000000-0004-0000-0900-0000C0000000}"/>
    <hyperlink ref="A206" r:id="rId194" xr:uid="{00000000-0004-0000-0900-0000C1000000}"/>
    <hyperlink ref="A208" r:id="rId195" xr:uid="{00000000-0004-0000-0900-0000C2000000}"/>
    <hyperlink ref="A209" r:id="rId196" xr:uid="{00000000-0004-0000-0900-0000C3000000}"/>
    <hyperlink ref="A210" r:id="rId197" xr:uid="{00000000-0004-0000-0900-0000C4000000}"/>
    <hyperlink ref="A211" r:id="rId198" xr:uid="{00000000-0004-0000-0900-0000C5000000}"/>
    <hyperlink ref="A212" r:id="rId199" xr:uid="{00000000-0004-0000-0900-0000C6000000}"/>
    <hyperlink ref="A213" r:id="rId200" xr:uid="{00000000-0004-0000-0900-0000C7000000}"/>
    <hyperlink ref="A214" r:id="rId201" xr:uid="{00000000-0004-0000-0900-0000C8000000}"/>
    <hyperlink ref="A215" r:id="rId202" xr:uid="{00000000-0004-0000-0900-0000C9000000}"/>
    <hyperlink ref="A216" r:id="rId203" xr:uid="{00000000-0004-0000-0900-0000CA000000}"/>
    <hyperlink ref="A217" r:id="rId204" xr:uid="{00000000-0004-0000-0900-0000CB000000}"/>
    <hyperlink ref="A218" r:id="rId205" xr:uid="{00000000-0004-0000-0900-0000CC000000}"/>
    <hyperlink ref="A219" r:id="rId206" xr:uid="{00000000-0004-0000-0900-0000CD000000}"/>
    <hyperlink ref="A221" r:id="rId207" xr:uid="{00000000-0004-0000-0900-0000CE000000}"/>
    <hyperlink ref="A223" r:id="rId208" xr:uid="{00000000-0004-0000-0900-0000CF000000}"/>
    <hyperlink ref="A224" r:id="rId209" xr:uid="{00000000-0004-0000-0900-0000D0000000}"/>
    <hyperlink ref="A225" r:id="rId210" xr:uid="{00000000-0004-0000-0900-0000D1000000}"/>
    <hyperlink ref="A226" r:id="rId211" xr:uid="{00000000-0004-0000-0900-0000D2000000}"/>
    <hyperlink ref="A229" r:id="rId212" xr:uid="{00000000-0004-0000-0900-0000D3000000}"/>
    <hyperlink ref="A230" r:id="rId213" xr:uid="{00000000-0004-0000-0900-0000D4000000}"/>
    <hyperlink ref="A231" r:id="rId214" xr:uid="{00000000-0004-0000-0900-0000D5000000}"/>
    <hyperlink ref="A232" r:id="rId215" xr:uid="{00000000-0004-0000-0900-0000D6000000}"/>
    <hyperlink ref="A233" r:id="rId216" xr:uid="{00000000-0004-0000-0900-0000D7000000}"/>
    <hyperlink ref="A234" r:id="rId217" xr:uid="{00000000-0004-0000-0900-0000D8000000}"/>
    <hyperlink ref="A235" r:id="rId218" xr:uid="{00000000-0004-0000-0900-0000D9000000}"/>
    <hyperlink ref="A236" r:id="rId219" xr:uid="{00000000-0004-0000-0900-0000DA000000}"/>
    <hyperlink ref="A237" r:id="rId220" xr:uid="{00000000-0004-0000-0900-0000DB000000}"/>
    <hyperlink ref="A238" r:id="rId221" xr:uid="{00000000-0004-0000-0900-0000DC000000}"/>
    <hyperlink ref="A239" r:id="rId222" xr:uid="{00000000-0004-0000-0900-0000DD000000}"/>
    <hyperlink ref="A240" r:id="rId223" xr:uid="{00000000-0004-0000-0900-0000DE000000}"/>
    <hyperlink ref="A241" r:id="rId224" xr:uid="{00000000-0004-0000-0900-0000DF000000}"/>
    <hyperlink ref="A242" r:id="rId225" xr:uid="{00000000-0004-0000-0900-0000E0000000}"/>
    <hyperlink ref="A243" r:id="rId226" xr:uid="{00000000-0004-0000-0900-0000E1000000}"/>
    <hyperlink ref="A244" r:id="rId227" xr:uid="{00000000-0004-0000-0900-0000E2000000}"/>
    <hyperlink ref="A245" r:id="rId228" xr:uid="{00000000-0004-0000-0900-0000E3000000}"/>
    <hyperlink ref="A246" r:id="rId229" xr:uid="{00000000-0004-0000-0900-0000E4000000}"/>
    <hyperlink ref="A247" r:id="rId230" xr:uid="{00000000-0004-0000-0900-0000E5000000}"/>
    <hyperlink ref="A248" r:id="rId231" xr:uid="{00000000-0004-0000-0900-0000E6000000}"/>
    <hyperlink ref="A249" r:id="rId232" xr:uid="{00000000-0004-0000-0900-0000E7000000}"/>
    <hyperlink ref="A250" r:id="rId233" xr:uid="{00000000-0004-0000-0900-0000E8000000}"/>
    <hyperlink ref="A251" r:id="rId234" xr:uid="{00000000-0004-0000-0900-0000E9000000}"/>
    <hyperlink ref="A252" r:id="rId235" xr:uid="{00000000-0004-0000-0900-0000EA000000}"/>
    <hyperlink ref="A253" r:id="rId236" xr:uid="{00000000-0004-0000-0900-0000EB000000}"/>
    <hyperlink ref="A254" r:id="rId237" xr:uid="{00000000-0004-0000-0900-0000EC000000}"/>
    <hyperlink ref="A255" r:id="rId238" xr:uid="{00000000-0004-0000-0900-0000ED000000}"/>
    <hyperlink ref="A256" r:id="rId239" xr:uid="{00000000-0004-0000-0900-0000EE000000}"/>
    <hyperlink ref="A257" r:id="rId240" xr:uid="{00000000-0004-0000-0900-0000EF000000}"/>
    <hyperlink ref="A259" r:id="rId241" xr:uid="{00000000-0004-0000-0900-0000F0000000}"/>
    <hyperlink ref="A260" r:id="rId242" xr:uid="{00000000-0004-0000-0900-0000F1000000}"/>
    <hyperlink ref="A261" r:id="rId243" xr:uid="{00000000-0004-0000-0900-0000F2000000}"/>
    <hyperlink ref="A262" r:id="rId244" xr:uid="{00000000-0004-0000-0900-0000F3000000}"/>
    <hyperlink ref="A263" r:id="rId245" xr:uid="{00000000-0004-0000-0900-0000F4000000}"/>
    <hyperlink ref="A264" r:id="rId246" xr:uid="{00000000-0004-0000-0900-0000F5000000}"/>
    <hyperlink ref="A265" r:id="rId247" xr:uid="{00000000-0004-0000-0900-0000F6000000}"/>
    <hyperlink ref="A266" r:id="rId248" xr:uid="{00000000-0004-0000-0900-0000F7000000}"/>
    <hyperlink ref="A267" r:id="rId249" xr:uid="{00000000-0004-0000-0900-0000F8000000}"/>
    <hyperlink ref="A268" r:id="rId250" xr:uid="{00000000-0004-0000-0900-0000F9000000}"/>
    <hyperlink ref="A269" r:id="rId251" xr:uid="{00000000-0004-0000-0900-0000FA000000}"/>
    <hyperlink ref="A270" r:id="rId252" xr:uid="{00000000-0004-0000-0900-0000FB000000}"/>
    <hyperlink ref="A272" r:id="rId253" xr:uid="{00000000-0004-0000-0900-0000FC000000}"/>
    <hyperlink ref="A273" r:id="rId254" xr:uid="{00000000-0004-0000-0900-0000FD000000}"/>
    <hyperlink ref="A274" r:id="rId255" xr:uid="{00000000-0004-0000-0900-0000FE000000}"/>
    <hyperlink ref="A275" r:id="rId256" xr:uid="{00000000-0004-0000-0900-0000FF000000}"/>
    <hyperlink ref="A276" r:id="rId257" xr:uid="{00000000-0004-0000-0900-000000010000}"/>
    <hyperlink ref="A277" r:id="rId258" xr:uid="{00000000-0004-0000-0900-000001010000}"/>
    <hyperlink ref="A278" r:id="rId259" xr:uid="{00000000-0004-0000-0900-000002010000}"/>
    <hyperlink ref="A279" r:id="rId260" xr:uid="{00000000-0004-0000-0900-000003010000}"/>
    <hyperlink ref="A280" r:id="rId261" xr:uid="{00000000-0004-0000-0900-000004010000}"/>
    <hyperlink ref="A281" r:id="rId262" xr:uid="{00000000-0004-0000-0900-000005010000}"/>
    <hyperlink ref="A283" r:id="rId263" xr:uid="{00000000-0004-0000-0900-000006010000}"/>
    <hyperlink ref="A284" r:id="rId264" xr:uid="{00000000-0004-0000-0900-000007010000}"/>
    <hyperlink ref="A285" r:id="rId265" xr:uid="{00000000-0004-0000-0900-000008010000}"/>
    <hyperlink ref="A286" r:id="rId266" xr:uid="{00000000-0004-0000-0900-000009010000}"/>
    <hyperlink ref="A287" r:id="rId267" xr:uid="{00000000-0004-0000-0900-00000A010000}"/>
    <hyperlink ref="A288" r:id="rId268" xr:uid="{00000000-0004-0000-0900-00000B010000}"/>
    <hyperlink ref="A289" r:id="rId269" xr:uid="{00000000-0004-0000-0900-00000C010000}"/>
    <hyperlink ref="A290" r:id="rId270" xr:uid="{00000000-0004-0000-0900-00000D010000}"/>
    <hyperlink ref="A291" r:id="rId271" xr:uid="{00000000-0004-0000-0900-00000E010000}"/>
    <hyperlink ref="A292" r:id="rId272" xr:uid="{00000000-0004-0000-0900-00000F010000}"/>
    <hyperlink ref="A293" r:id="rId273" xr:uid="{00000000-0004-0000-0900-000010010000}"/>
    <hyperlink ref="A294" r:id="rId274" xr:uid="{00000000-0004-0000-0900-000011010000}"/>
    <hyperlink ref="A295" r:id="rId275" xr:uid="{00000000-0004-0000-0900-000012010000}"/>
    <hyperlink ref="A297" r:id="rId276" xr:uid="{00000000-0004-0000-0900-000013010000}"/>
    <hyperlink ref="A298" r:id="rId277" xr:uid="{00000000-0004-0000-0900-000014010000}"/>
    <hyperlink ref="A299" r:id="rId278" xr:uid="{00000000-0004-0000-0900-000015010000}"/>
    <hyperlink ref="A300" r:id="rId279" xr:uid="{00000000-0004-0000-0900-000016010000}"/>
    <hyperlink ref="A301" r:id="rId280" xr:uid="{00000000-0004-0000-0900-000017010000}"/>
    <hyperlink ref="A302" r:id="rId281" xr:uid="{00000000-0004-0000-0900-000018010000}"/>
    <hyperlink ref="A303" r:id="rId282" xr:uid="{00000000-0004-0000-0900-000019010000}"/>
    <hyperlink ref="A304" r:id="rId283" xr:uid="{00000000-0004-0000-0900-00001A010000}"/>
    <hyperlink ref="A305" r:id="rId284" xr:uid="{00000000-0004-0000-0900-00001B010000}"/>
    <hyperlink ref="A306" r:id="rId285" xr:uid="{00000000-0004-0000-0900-00001C010000}"/>
    <hyperlink ref="A307" r:id="rId286" xr:uid="{00000000-0004-0000-0900-00001D010000}"/>
    <hyperlink ref="A308" r:id="rId287" xr:uid="{00000000-0004-0000-0900-00001E010000}"/>
    <hyperlink ref="A309" r:id="rId288" xr:uid="{00000000-0004-0000-0900-00001F010000}"/>
    <hyperlink ref="A310" r:id="rId289" xr:uid="{00000000-0004-0000-0900-000020010000}"/>
    <hyperlink ref="A312" r:id="rId290" xr:uid="{00000000-0004-0000-0900-000021010000}"/>
    <hyperlink ref="A313" r:id="rId291" xr:uid="{00000000-0004-0000-0900-000022010000}"/>
    <hyperlink ref="A314" r:id="rId292" xr:uid="{00000000-0004-0000-0900-000023010000}"/>
    <hyperlink ref="A315" r:id="rId293" xr:uid="{00000000-0004-0000-0900-000024010000}"/>
    <hyperlink ref="A316" r:id="rId294" xr:uid="{00000000-0004-0000-0900-000025010000}"/>
    <hyperlink ref="A318" r:id="rId295" xr:uid="{00000000-0004-0000-0900-000026010000}"/>
    <hyperlink ref="A319" r:id="rId296" xr:uid="{00000000-0004-0000-0900-000027010000}"/>
    <hyperlink ref="A320" r:id="rId297" xr:uid="{00000000-0004-0000-0900-000028010000}"/>
    <hyperlink ref="A321" r:id="rId298" xr:uid="{00000000-0004-0000-0900-000029010000}"/>
    <hyperlink ref="A322" r:id="rId299" xr:uid="{00000000-0004-0000-0900-00002A010000}"/>
    <hyperlink ref="A323" r:id="rId300" xr:uid="{00000000-0004-0000-0900-00002B010000}"/>
    <hyperlink ref="A324" r:id="rId301" xr:uid="{00000000-0004-0000-0900-00002C010000}"/>
    <hyperlink ref="A325" r:id="rId302" xr:uid="{00000000-0004-0000-0900-00002D010000}"/>
    <hyperlink ref="A326" r:id="rId303" xr:uid="{00000000-0004-0000-0900-00002E010000}"/>
    <hyperlink ref="A327" r:id="rId304" xr:uid="{00000000-0004-0000-0900-00002F010000}"/>
    <hyperlink ref="A328" r:id="rId305" xr:uid="{00000000-0004-0000-0900-000030010000}"/>
    <hyperlink ref="A329" r:id="rId306" xr:uid="{00000000-0004-0000-0900-000031010000}"/>
    <hyperlink ref="A330" r:id="rId307" xr:uid="{00000000-0004-0000-0900-000032010000}"/>
    <hyperlink ref="A331" r:id="rId308" xr:uid="{00000000-0004-0000-0900-000033010000}"/>
    <hyperlink ref="A332" r:id="rId309" xr:uid="{00000000-0004-0000-0900-000034010000}"/>
    <hyperlink ref="A334" r:id="rId310" xr:uid="{00000000-0004-0000-0900-000035010000}"/>
    <hyperlink ref="A335" r:id="rId311" xr:uid="{00000000-0004-0000-0900-000036010000}"/>
    <hyperlink ref="A336" r:id="rId312" xr:uid="{00000000-0004-0000-0900-000037010000}"/>
    <hyperlink ref="A337" r:id="rId313" xr:uid="{00000000-0004-0000-0900-000038010000}"/>
    <hyperlink ref="A338" r:id="rId314" xr:uid="{00000000-0004-0000-0900-000039010000}"/>
    <hyperlink ref="A339" r:id="rId315" xr:uid="{00000000-0004-0000-0900-00003A010000}"/>
    <hyperlink ref="A340" r:id="rId316" xr:uid="{00000000-0004-0000-0900-00003B010000}"/>
    <hyperlink ref="A341" r:id="rId317" xr:uid="{00000000-0004-0000-0900-00003C010000}"/>
    <hyperlink ref="A342" r:id="rId318" xr:uid="{00000000-0004-0000-0900-00003D010000}"/>
    <hyperlink ref="A343" r:id="rId319" xr:uid="{00000000-0004-0000-0900-00003E010000}"/>
    <hyperlink ref="A344" r:id="rId320" xr:uid="{00000000-0004-0000-0900-00003F010000}"/>
    <hyperlink ref="A345" r:id="rId321" xr:uid="{00000000-0004-0000-0900-000040010000}"/>
    <hyperlink ref="A346" r:id="rId322" xr:uid="{00000000-0004-0000-0900-000041010000}"/>
    <hyperlink ref="A347" r:id="rId323" xr:uid="{00000000-0004-0000-0900-000042010000}"/>
    <hyperlink ref="A348" r:id="rId324" xr:uid="{00000000-0004-0000-0900-000043010000}"/>
    <hyperlink ref="A349" r:id="rId325" xr:uid="{00000000-0004-0000-0900-000044010000}"/>
    <hyperlink ref="A350" r:id="rId326" xr:uid="{00000000-0004-0000-0900-000045010000}"/>
    <hyperlink ref="A351" r:id="rId327" xr:uid="{00000000-0004-0000-0900-000046010000}"/>
    <hyperlink ref="A352" r:id="rId328" xr:uid="{00000000-0004-0000-0900-000047010000}"/>
    <hyperlink ref="A354" r:id="rId329" xr:uid="{00000000-0004-0000-0900-000048010000}"/>
    <hyperlink ref="A355" r:id="rId330" xr:uid="{00000000-0004-0000-0900-000049010000}"/>
    <hyperlink ref="A356" r:id="rId331" xr:uid="{00000000-0004-0000-0900-00004A010000}"/>
    <hyperlink ref="A357" r:id="rId332" xr:uid="{00000000-0004-0000-0900-00004B010000}"/>
    <hyperlink ref="A358" r:id="rId333" xr:uid="{00000000-0004-0000-0900-00004C010000}"/>
    <hyperlink ref="A359" r:id="rId334" xr:uid="{00000000-0004-0000-0900-00004D010000}"/>
    <hyperlink ref="A360" r:id="rId335" xr:uid="{00000000-0004-0000-0900-00004E010000}"/>
    <hyperlink ref="A362" r:id="rId336" xr:uid="{00000000-0004-0000-0900-00004F010000}"/>
    <hyperlink ref="A363" r:id="rId337" xr:uid="{00000000-0004-0000-0900-000050010000}"/>
    <hyperlink ref="A364" r:id="rId338" xr:uid="{00000000-0004-0000-0900-000051010000}"/>
    <hyperlink ref="A365" r:id="rId339" xr:uid="{00000000-0004-0000-0900-000052010000}"/>
    <hyperlink ref="A366" r:id="rId340" xr:uid="{00000000-0004-0000-0900-000053010000}"/>
    <hyperlink ref="A367" r:id="rId341" xr:uid="{00000000-0004-0000-0900-000054010000}"/>
    <hyperlink ref="A368" r:id="rId342" xr:uid="{00000000-0004-0000-0900-000055010000}"/>
    <hyperlink ref="A369" r:id="rId343" xr:uid="{00000000-0004-0000-0900-000056010000}"/>
    <hyperlink ref="A370" r:id="rId344" xr:uid="{00000000-0004-0000-0900-000057010000}"/>
    <hyperlink ref="A371" r:id="rId345" xr:uid="{00000000-0004-0000-0900-000058010000}"/>
    <hyperlink ref="A372" r:id="rId346" xr:uid="{00000000-0004-0000-0900-000059010000}"/>
    <hyperlink ref="A373" r:id="rId347" xr:uid="{00000000-0004-0000-0900-00005A010000}"/>
    <hyperlink ref="A374" r:id="rId348" xr:uid="{00000000-0004-0000-0900-00005B010000}"/>
    <hyperlink ref="A375" r:id="rId349" xr:uid="{00000000-0004-0000-0900-00005C010000}"/>
    <hyperlink ref="A376" r:id="rId350" xr:uid="{00000000-0004-0000-0900-00005D010000}"/>
    <hyperlink ref="A377" r:id="rId351" xr:uid="{00000000-0004-0000-0900-00005E010000}"/>
    <hyperlink ref="A378" r:id="rId352" xr:uid="{00000000-0004-0000-0900-00005F010000}"/>
    <hyperlink ref="A379" r:id="rId353" xr:uid="{00000000-0004-0000-0900-000060010000}"/>
    <hyperlink ref="A380" r:id="rId354" xr:uid="{00000000-0004-0000-0900-000061010000}"/>
    <hyperlink ref="A381" r:id="rId355" xr:uid="{00000000-0004-0000-0900-000062010000}"/>
    <hyperlink ref="A382" r:id="rId356" xr:uid="{00000000-0004-0000-0900-000063010000}"/>
    <hyperlink ref="A383" r:id="rId357" xr:uid="{00000000-0004-0000-0900-000064010000}"/>
    <hyperlink ref="A384" r:id="rId358" xr:uid="{00000000-0004-0000-0900-000065010000}"/>
    <hyperlink ref="A385" r:id="rId359" xr:uid="{00000000-0004-0000-0900-000066010000}"/>
    <hyperlink ref="A386" r:id="rId360" xr:uid="{00000000-0004-0000-0900-000067010000}"/>
    <hyperlink ref="A387" r:id="rId361" xr:uid="{00000000-0004-0000-0900-000068010000}"/>
    <hyperlink ref="A388" r:id="rId362" xr:uid="{00000000-0004-0000-0900-000069010000}"/>
    <hyperlink ref="A389" r:id="rId363" xr:uid="{00000000-0004-0000-0900-00006A010000}"/>
    <hyperlink ref="A390" r:id="rId364" xr:uid="{00000000-0004-0000-0900-00006B010000}"/>
    <hyperlink ref="A391" r:id="rId365" xr:uid="{00000000-0004-0000-0900-00006C010000}"/>
    <hyperlink ref="A392" r:id="rId366" xr:uid="{00000000-0004-0000-0900-00006D010000}"/>
    <hyperlink ref="A393" r:id="rId367" xr:uid="{00000000-0004-0000-0900-00006E010000}"/>
    <hyperlink ref="A394" r:id="rId368" xr:uid="{00000000-0004-0000-0900-00006F010000}"/>
    <hyperlink ref="A395" r:id="rId369" xr:uid="{00000000-0004-0000-0900-000070010000}"/>
    <hyperlink ref="A396" r:id="rId370" xr:uid="{00000000-0004-0000-0900-000071010000}"/>
    <hyperlink ref="A397" r:id="rId371" xr:uid="{00000000-0004-0000-0900-000072010000}"/>
    <hyperlink ref="A398" r:id="rId372" xr:uid="{00000000-0004-0000-0900-000073010000}"/>
    <hyperlink ref="A399" r:id="rId373" xr:uid="{00000000-0004-0000-0900-000074010000}"/>
    <hyperlink ref="A400" r:id="rId374" xr:uid="{00000000-0004-0000-0900-000075010000}"/>
    <hyperlink ref="A401" r:id="rId375" xr:uid="{00000000-0004-0000-0900-000076010000}"/>
    <hyperlink ref="A402" r:id="rId376" xr:uid="{00000000-0004-0000-0900-000077010000}"/>
    <hyperlink ref="A403" r:id="rId377" xr:uid="{00000000-0004-0000-0900-000078010000}"/>
    <hyperlink ref="A404" r:id="rId378" xr:uid="{00000000-0004-0000-0900-000079010000}"/>
    <hyperlink ref="A407" r:id="rId379" xr:uid="{00000000-0004-0000-0900-00007A010000}"/>
    <hyperlink ref="A408" r:id="rId380" xr:uid="{00000000-0004-0000-0900-00007B010000}"/>
    <hyperlink ref="A409" r:id="rId381" xr:uid="{00000000-0004-0000-0900-00007C010000}"/>
    <hyperlink ref="A411" r:id="rId382" xr:uid="{00000000-0004-0000-0900-00007D010000}"/>
    <hyperlink ref="A412" r:id="rId383" xr:uid="{00000000-0004-0000-0900-00007E010000}"/>
    <hyperlink ref="A413" r:id="rId384" xr:uid="{00000000-0004-0000-0900-00007F010000}"/>
    <hyperlink ref="A414" r:id="rId385" xr:uid="{00000000-0004-0000-0900-000080010000}"/>
    <hyperlink ref="A415" r:id="rId386" xr:uid="{00000000-0004-0000-0900-000081010000}"/>
    <hyperlink ref="A416" r:id="rId387" xr:uid="{00000000-0004-0000-0900-000082010000}"/>
    <hyperlink ref="A417" r:id="rId388" xr:uid="{00000000-0004-0000-0900-000083010000}"/>
    <hyperlink ref="A418" r:id="rId389" xr:uid="{00000000-0004-0000-0900-000084010000}"/>
    <hyperlink ref="A419" r:id="rId390" xr:uid="{00000000-0004-0000-0900-000085010000}"/>
    <hyperlink ref="A420" r:id="rId391" xr:uid="{00000000-0004-0000-0900-000086010000}"/>
    <hyperlink ref="A421" r:id="rId392" xr:uid="{00000000-0004-0000-0900-000087010000}"/>
    <hyperlink ref="A422" r:id="rId393" xr:uid="{00000000-0004-0000-0900-000088010000}"/>
    <hyperlink ref="A423" r:id="rId394" xr:uid="{00000000-0004-0000-0900-000089010000}"/>
    <hyperlink ref="A424" r:id="rId395" xr:uid="{00000000-0004-0000-0900-00008A010000}"/>
    <hyperlink ref="A425" r:id="rId396" xr:uid="{00000000-0004-0000-0900-00008B010000}"/>
    <hyperlink ref="A426" r:id="rId397" xr:uid="{00000000-0004-0000-0900-00008C010000}"/>
    <hyperlink ref="A427" r:id="rId398" xr:uid="{00000000-0004-0000-0900-00008D010000}"/>
    <hyperlink ref="A428" r:id="rId399" xr:uid="{00000000-0004-0000-0900-00008E010000}"/>
    <hyperlink ref="A429" r:id="rId400" xr:uid="{00000000-0004-0000-0900-00008F010000}"/>
    <hyperlink ref="A430" r:id="rId401" xr:uid="{00000000-0004-0000-0900-000090010000}"/>
    <hyperlink ref="A431" r:id="rId402" xr:uid="{00000000-0004-0000-0900-000091010000}"/>
    <hyperlink ref="A432" r:id="rId403" xr:uid="{00000000-0004-0000-0900-000092010000}"/>
    <hyperlink ref="A433" r:id="rId404" xr:uid="{00000000-0004-0000-0900-000093010000}"/>
    <hyperlink ref="A434" r:id="rId405" xr:uid="{00000000-0004-0000-0900-000094010000}"/>
    <hyperlink ref="A435" r:id="rId406" xr:uid="{00000000-0004-0000-0900-000095010000}"/>
    <hyperlink ref="A436" r:id="rId407" xr:uid="{00000000-0004-0000-0900-000096010000}"/>
    <hyperlink ref="A437" r:id="rId408" xr:uid="{00000000-0004-0000-0900-000097010000}"/>
    <hyperlink ref="A438" r:id="rId409" xr:uid="{00000000-0004-0000-0900-000098010000}"/>
    <hyperlink ref="A439" r:id="rId410" xr:uid="{00000000-0004-0000-0900-000099010000}"/>
    <hyperlink ref="A440" r:id="rId411" xr:uid="{00000000-0004-0000-0900-00009A010000}"/>
    <hyperlink ref="A441" r:id="rId412" xr:uid="{00000000-0004-0000-0900-00009B010000}"/>
    <hyperlink ref="A442" r:id="rId413" xr:uid="{00000000-0004-0000-0900-00009C010000}"/>
    <hyperlink ref="A443" r:id="rId414" xr:uid="{00000000-0004-0000-0900-00009D010000}"/>
    <hyperlink ref="A444" r:id="rId415" xr:uid="{00000000-0004-0000-0900-00009E010000}"/>
    <hyperlink ref="A445" r:id="rId416" xr:uid="{00000000-0004-0000-0900-00009F010000}"/>
    <hyperlink ref="A446" r:id="rId417" xr:uid="{00000000-0004-0000-0900-0000A0010000}"/>
    <hyperlink ref="A448" r:id="rId418" xr:uid="{00000000-0004-0000-0900-0000A1010000}"/>
    <hyperlink ref="A449" r:id="rId419" xr:uid="{00000000-0004-0000-0900-0000A2010000}"/>
    <hyperlink ref="A450" r:id="rId420" xr:uid="{00000000-0004-0000-0900-0000A3010000}"/>
    <hyperlink ref="A451" r:id="rId421" xr:uid="{00000000-0004-0000-0900-0000A4010000}"/>
    <hyperlink ref="A452" r:id="rId422" xr:uid="{00000000-0004-0000-0900-0000A5010000}"/>
    <hyperlink ref="A453" r:id="rId423" xr:uid="{00000000-0004-0000-0900-0000A6010000}"/>
    <hyperlink ref="A454" r:id="rId424" xr:uid="{00000000-0004-0000-0900-0000A7010000}"/>
    <hyperlink ref="A455" r:id="rId425" xr:uid="{00000000-0004-0000-0900-0000A8010000}"/>
    <hyperlink ref="A456" r:id="rId426" xr:uid="{00000000-0004-0000-0900-0000A9010000}"/>
    <hyperlink ref="A457" r:id="rId427" xr:uid="{00000000-0004-0000-0900-0000AA010000}"/>
    <hyperlink ref="A458" r:id="rId428" xr:uid="{00000000-0004-0000-0900-0000AB010000}"/>
    <hyperlink ref="A460" r:id="rId429" xr:uid="{00000000-0004-0000-0900-0000AC010000}"/>
    <hyperlink ref="A461" r:id="rId430" xr:uid="{00000000-0004-0000-0900-0000AD010000}"/>
    <hyperlink ref="A462" r:id="rId431" xr:uid="{00000000-0004-0000-0900-0000AE010000}"/>
    <hyperlink ref="A463" r:id="rId432" xr:uid="{00000000-0004-0000-0900-0000AF010000}"/>
    <hyperlink ref="A464" r:id="rId433" xr:uid="{00000000-0004-0000-0900-0000B0010000}"/>
    <hyperlink ref="A465" r:id="rId434" xr:uid="{00000000-0004-0000-0900-0000B1010000}"/>
    <hyperlink ref="A466" r:id="rId435" xr:uid="{00000000-0004-0000-0900-0000B2010000}"/>
    <hyperlink ref="A467" r:id="rId436" xr:uid="{00000000-0004-0000-0900-0000B3010000}"/>
    <hyperlink ref="A468" r:id="rId437" xr:uid="{00000000-0004-0000-0900-0000B4010000}"/>
    <hyperlink ref="A469" r:id="rId438" xr:uid="{00000000-0004-0000-0900-0000B5010000}"/>
    <hyperlink ref="A470" r:id="rId439" xr:uid="{00000000-0004-0000-0900-0000B6010000}"/>
    <hyperlink ref="A473" r:id="rId440" xr:uid="{00000000-0004-0000-0900-0000B7010000}"/>
    <hyperlink ref="A474" r:id="rId441" xr:uid="{00000000-0004-0000-0900-0000B8010000}"/>
    <hyperlink ref="A475" r:id="rId442" xr:uid="{00000000-0004-0000-0900-0000B9010000}"/>
    <hyperlink ref="A476" r:id="rId443" xr:uid="{00000000-0004-0000-0900-0000BA010000}"/>
    <hyperlink ref="A477" r:id="rId444" xr:uid="{00000000-0004-0000-0900-0000BB010000}"/>
    <hyperlink ref="A478" r:id="rId445" xr:uid="{00000000-0004-0000-0900-0000BC010000}"/>
    <hyperlink ref="A479" r:id="rId446" xr:uid="{00000000-0004-0000-0900-0000BD010000}"/>
    <hyperlink ref="A480" r:id="rId447" xr:uid="{00000000-0004-0000-0900-0000BE010000}"/>
    <hyperlink ref="A481" r:id="rId448" xr:uid="{00000000-0004-0000-0900-0000BF010000}"/>
    <hyperlink ref="A482" r:id="rId449" xr:uid="{00000000-0004-0000-0900-0000C0010000}"/>
    <hyperlink ref="A483" r:id="rId450" xr:uid="{00000000-0004-0000-0900-0000C1010000}"/>
    <hyperlink ref="A484" r:id="rId451" xr:uid="{00000000-0004-0000-0900-0000C2010000}"/>
    <hyperlink ref="A485" r:id="rId452" xr:uid="{00000000-0004-0000-0900-0000C3010000}"/>
    <hyperlink ref="A486" r:id="rId453" xr:uid="{00000000-0004-0000-0900-0000C4010000}"/>
    <hyperlink ref="A487" r:id="rId454" xr:uid="{00000000-0004-0000-0900-0000C5010000}"/>
    <hyperlink ref="A488" r:id="rId455" xr:uid="{00000000-0004-0000-0900-0000C6010000}"/>
    <hyperlink ref="A489" r:id="rId456" xr:uid="{00000000-0004-0000-0900-0000C7010000}"/>
    <hyperlink ref="A490" r:id="rId457" xr:uid="{00000000-0004-0000-0900-0000C8010000}"/>
    <hyperlink ref="A491" r:id="rId458" xr:uid="{00000000-0004-0000-0900-0000C9010000}"/>
    <hyperlink ref="A492" r:id="rId459" xr:uid="{00000000-0004-0000-0900-0000CA010000}"/>
    <hyperlink ref="A493" r:id="rId460" xr:uid="{00000000-0004-0000-0900-0000CB010000}"/>
    <hyperlink ref="A494" r:id="rId461" xr:uid="{00000000-0004-0000-0900-0000CC010000}"/>
    <hyperlink ref="A495" r:id="rId462" xr:uid="{00000000-0004-0000-0900-0000CD010000}"/>
    <hyperlink ref="A496" r:id="rId463" xr:uid="{00000000-0004-0000-0900-0000CE010000}"/>
    <hyperlink ref="A497" r:id="rId464" xr:uid="{00000000-0004-0000-0900-0000CF010000}"/>
    <hyperlink ref="A498" r:id="rId465" xr:uid="{00000000-0004-0000-0900-0000D0010000}"/>
    <hyperlink ref="A499" r:id="rId466" xr:uid="{00000000-0004-0000-0900-0000D1010000}"/>
    <hyperlink ref="A500" r:id="rId467" xr:uid="{00000000-0004-0000-0900-0000D2010000}"/>
    <hyperlink ref="A501" r:id="rId468" xr:uid="{00000000-0004-0000-0900-0000D3010000}"/>
    <hyperlink ref="A502" r:id="rId469" xr:uid="{00000000-0004-0000-0900-0000D4010000}"/>
    <hyperlink ref="A503" r:id="rId470" xr:uid="{00000000-0004-0000-0900-0000D5010000}"/>
    <hyperlink ref="A504" r:id="rId471" xr:uid="{00000000-0004-0000-0900-0000D6010000}"/>
    <hyperlink ref="A505" r:id="rId472" xr:uid="{00000000-0004-0000-0900-0000D7010000}"/>
    <hyperlink ref="A506" r:id="rId473" xr:uid="{00000000-0004-0000-0900-0000D8010000}"/>
    <hyperlink ref="A507" r:id="rId474" xr:uid="{00000000-0004-0000-0900-0000D9010000}"/>
    <hyperlink ref="A508" r:id="rId475" xr:uid="{00000000-0004-0000-0900-0000DA010000}"/>
    <hyperlink ref="A509" r:id="rId476" xr:uid="{00000000-0004-0000-0900-0000DB010000}"/>
    <hyperlink ref="A510" r:id="rId477" xr:uid="{00000000-0004-0000-0900-0000DC010000}"/>
    <hyperlink ref="A512" r:id="rId478" xr:uid="{00000000-0004-0000-0900-0000DD010000}"/>
    <hyperlink ref="A513" r:id="rId479" xr:uid="{00000000-0004-0000-0900-0000DE010000}"/>
    <hyperlink ref="A514" r:id="rId480" xr:uid="{00000000-0004-0000-0900-0000DF010000}"/>
    <hyperlink ref="A515" r:id="rId481" xr:uid="{00000000-0004-0000-0900-0000E0010000}"/>
    <hyperlink ref="A516" r:id="rId482" xr:uid="{00000000-0004-0000-0900-0000E1010000}"/>
    <hyperlink ref="A517" r:id="rId483" xr:uid="{00000000-0004-0000-0900-0000E2010000}"/>
    <hyperlink ref="A518" r:id="rId484" xr:uid="{00000000-0004-0000-0900-0000E3010000}"/>
    <hyperlink ref="A520" r:id="rId485" xr:uid="{00000000-0004-0000-0900-0000E4010000}"/>
    <hyperlink ref="A521" r:id="rId486" xr:uid="{00000000-0004-0000-0900-0000E5010000}"/>
    <hyperlink ref="A522" r:id="rId487" xr:uid="{00000000-0004-0000-0900-0000E6010000}"/>
    <hyperlink ref="A523" r:id="rId488" xr:uid="{00000000-0004-0000-0900-0000E7010000}"/>
    <hyperlink ref="A524" r:id="rId489" xr:uid="{00000000-0004-0000-0900-0000E8010000}"/>
    <hyperlink ref="A525" r:id="rId490" xr:uid="{00000000-0004-0000-0900-0000E9010000}"/>
    <hyperlink ref="A526" r:id="rId491" xr:uid="{00000000-0004-0000-0900-0000EA010000}"/>
    <hyperlink ref="A527" r:id="rId492" xr:uid="{00000000-0004-0000-0900-0000EB010000}"/>
    <hyperlink ref="A528" r:id="rId493" xr:uid="{00000000-0004-0000-0900-0000EC010000}"/>
    <hyperlink ref="A529" r:id="rId494" xr:uid="{00000000-0004-0000-0900-0000ED010000}"/>
    <hyperlink ref="A530" r:id="rId495" xr:uid="{00000000-0004-0000-0900-0000EE010000}"/>
    <hyperlink ref="A531" r:id="rId496" xr:uid="{00000000-0004-0000-0900-0000EF010000}"/>
    <hyperlink ref="A532" r:id="rId497" xr:uid="{00000000-0004-0000-0900-0000F0010000}"/>
    <hyperlink ref="A533" r:id="rId498" xr:uid="{00000000-0004-0000-0900-0000F1010000}"/>
    <hyperlink ref="A534" r:id="rId499" xr:uid="{00000000-0004-0000-0900-0000F2010000}"/>
    <hyperlink ref="A535" r:id="rId500" xr:uid="{00000000-0004-0000-0900-0000F3010000}"/>
    <hyperlink ref="A536" r:id="rId501" xr:uid="{00000000-0004-0000-0900-0000F4010000}"/>
    <hyperlink ref="A537" r:id="rId502" xr:uid="{00000000-0004-0000-0900-0000F5010000}"/>
    <hyperlink ref="A538" r:id="rId503" xr:uid="{00000000-0004-0000-0900-0000F6010000}"/>
    <hyperlink ref="A539" r:id="rId504" xr:uid="{00000000-0004-0000-0900-0000F7010000}"/>
    <hyperlink ref="A540" r:id="rId505" xr:uid="{00000000-0004-0000-0900-0000F8010000}"/>
    <hyperlink ref="A541" r:id="rId506" xr:uid="{00000000-0004-0000-0900-0000F9010000}"/>
    <hyperlink ref="A542" r:id="rId507" xr:uid="{00000000-0004-0000-0900-0000FA010000}"/>
    <hyperlink ref="A543" r:id="rId508" xr:uid="{00000000-0004-0000-0900-0000FB010000}"/>
    <hyperlink ref="A544" r:id="rId509" xr:uid="{00000000-0004-0000-0900-0000FC010000}"/>
    <hyperlink ref="A545" r:id="rId510" xr:uid="{00000000-0004-0000-0900-0000FD010000}"/>
    <hyperlink ref="A546" r:id="rId511" xr:uid="{00000000-0004-0000-0900-0000FE010000}"/>
    <hyperlink ref="A547" r:id="rId512" xr:uid="{00000000-0004-0000-0900-0000FF010000}"/>
    <hyperlink ref="A548" r:id="rId513" xr:uid="{00000000-0004-0000-0900-000000020000}"/>
    <hyperlink ref="A549" r:id="rId514" xr:uid="{00000000-0004-0000-0900-000001020000}"/>
    <hyperlink ref="A550" r:id="rId515" xr:uid="{00000000-0004-0000-0900-000002020000}"/>
    <hyperlink ref="A551" r:id="rId516" xr:uid="{00000000-0004-0000-0900-000003020000}"/>
    <hyperlink ref="A552" r:id="rId517" xr:uid="{00000000-0004-0000-0900-000004020000}"/>
    <hyperlink ref="A553" r:id="rId518" xr:uid="{00000000-0004-0000-0900-000005020000}"/>
    <hyperlink ref="A554" r:id="rId519" xr:uid="{00000000-0004-0000-0900-000006020000}"/>
    <hyperlink ref="A555" r:id="rId520" xr:uid="{00000000-0004-0000-0900-000007020000}"/>
    <hyperlink ref="A556" r:id="rId521" xr:uid="{00000000-0004-0000-0900-000008020000}"/>
    <hyperlink ref="A557" r:id="rId522" xr:uid="{00000000-0004-0000-0900-000009020000}"/>
    <hyperlink ref="A558" r:id="rId523" xr:uid="{00000000-0004-0000-0900-00000A020000}"/>
    <hyperlink ref="A559" r:id="rId524" xr:uid="{00000000-0004-0000-0900-00000B020000}"/>
    <hyperlink ref="A560" r:id="rId525" xr:uid="{00000000-0004-0000-0900-00000C020000}"/>
    <hyperlink ref="A561" r:id="rId526" xr:uid="{00000000-0004-0000-0900-00000D020000}"/>
    <hyperlink ref="A562" r:id="rId527" xr:uid="{00000000-0004-0000-0900-00000E020000}"/>
    <hyperlink ref="A563" r:id="rId528" xr:uid="{00000000-0004-0000-0900-00000F020000}"/>
    <hyperlink ref="A564" r:id="rId529" xr:uid="{00000000-0004-0000-0900-000010020000}"/>
    <hyperlink ref="A565" r:id="rId530" xr:uid="{00000000-0004-0000-0900-000011020000}"/>
    <hyperlink ref="A566" r:id="rId531" xr:uid="{00000000-0004-0000-0900-000012020000}"/>
    <hyperlink ref="A567" r:id="rId532" xr:uid="{00000000-0004-0000-0900-000013020000}"/>
    <hyperlink ref="A568" r:id="rId533" xr:uid="{00000000-0004-0000-0900-000014020000}"/>
    <hyperlink ref="A569" r:id="rId534" xr:uid="{00000000-0004-0000-0900-000015020000}"/>
    <hyperlink ref="A570" r:id="rId535" xr:uid="{00000000-0004-0000-0900-000016020000}"/>
    <hyperlink ref="A571" r:id="rId536" xr:uid="{00000000-0004-0000-0900-000017020000}"/>
    <hyperlink ref="A572" r:id="rId537" xr:uid="{00000000-0004-0000-0900-000018020000}"/>
    <hyperlink ref="A573" r:id="rId538" xr:uid="{00000000-0004-0000-0900-000019020000}"/>
    <hyperlink ref="A574" r:id="rId539" xr:uid="{00000000-0004-0000-0900-00001A020000}"/>
    <hyperlink ref="A575" r:id="rId540" xr:uid="{00000000-0004-0000-0900-00001B020000}"/>
    <hyperlink ref="A576" r:id="rId541" xr:uid="{00000000-0004-0000-0900-00001C020000}"/>
    <hyperlink ref="A577" r:id="rId542" xr:uid="{00000000-0004-0000-0900-00001D020000}"/>
    <hyperlink ref="A578" r:id="rId543" xr:uid="{00000000-0004-0000-0900-00001E020000}"/>
    <hyperlink ref="A579" r:id="rId544" xr:uid="{00000000-0004-0000-0900-00001F020000}"/>
    <hyperlink ref="A580" r:id="rId545" xr:uid="{00000000-0004-0000-0900-000020020000}"/>
    <hyperlink ref="A581" r:id="rId546" xr:uid="{00000000-0004-0000-0900-000021020000}"/>
    <hyperlink ref="A582" r:id="rId547" xr:uid="{00000000-0004-0000-0900-000022020000}"/>
    <hyperlink ref="A584" r:id="rId548" xr:uid="{00000000-0004-0000-0900-000023020000}"/>
    <hyperlink ref="A585" r:id="rId549" xr:uid="{00000000-0004-0000-0900-000024020000}"/>
    <hyperlink ref="A586" r:id="rId550" xr:uid="{00000000-0004-0000-0900-000025020000}"/>
    <hyperlink ref="A587" r:id="rId551" xr:uid="{00000000-0004-0000-0900-000026020000}"/>
    <hyperlink ref="A588" r:id="rId552" xr:uid="{00000000-0004-0000-0900-000027020000}"/>
    <hyperlink ref="A589" r:id="rId553" xr:uid="{00000000-0004-0000-0900-000028020000}"/>
    <hyperlink ref="A590" r:id="rId554" xr:uid="{00000000-0004-0000-0900-000029020000}"/>
    <hyperlink ref="A591" r:id="rId555" xr:uid="{00000000-0004-0000-0900-00002A020000}"/>
    <hyperlink ref="A592" r:id="rId556" xr:uid="{00000000-0004-0000-0900-00002B020000}"/>
    <hyperlink ref="A593" r:id="rId557" xr:uid="{00000000-0004-0000-0900-00002C020000}"/>
    <hyperlink ref="A594" r:id="rId558" xr:uid="{00000000-0004-0000-0900-00002D020000}"/>
    <hyperlink ref="A595" r:id="rId559" xr:uid="{00000000-0004-0000-0900-00002E020000}"/>
    <hyperlink ref="A596" r:id="rId560" xr:uid="{00000000-0004-0000-0900-00002F020000}"/>
    <hyperlink ref="A597" r:id="rId561" xr:uid="{00000000-0004-0000-0900-000030020000}"/>
    <hyperlink ref="A599" r:id="rId562" xr:uid="{00000000-0004-0000-0900-000031020000}"/>
    <hyperlink ref="A600" r:id="rId563" xr:uid="{00000000-0004-0000-0900-000032020000}"/>
    <hyperlink ref="A601" r:id="rId564" xr:uid="{00000000-0004-0000-0900-000033020000}"/>
    <hyperlink ref="A602" r:id="rId565" xr:uid="{00000000-0004-0000-0900-000034020000}"/>
    <hyperlink ref="A603" r:id="rId566" xr:uid="{00000000-0004-0000-0900-000035020000}"/>
    <hyperlink ref="A604" r:id="rId567" xr:uid="{00000000-0004-0000-0900-000036020000}"/>
    <hyperlink ref="A605" r:id="rId568" xr:uid="{00000000-0004-0000-0900-000037020000}"/>
    <hyperlink ref="A606" r:id="rId569" xr:uid="{00000000-0004-0000-0900-000038020000}"/>
    <hyperlink ref="A607" r:id="rId570" xr:uid="{00000000-0004-0000-0900-000039020000}"/>
    <hyperlink ref="A608" r:id="rId571" xr:uid="{00000000-0004-0000-0900-00003A020000}"/>
    <hyperlink ref="A609" r:id="rId572" xr:uid="{00000000-0004-0000-0900-00003B020000}"/>
    <hyperlink ref="A610" r:id="rId573" xr:uid="{00000000-0004-0000-0900-00003C020000}"/>
    <hyperlink ref="A611" r:id="rId574" xr:uid="{00000000-0004-0000-0900-00003D020000}"/>
    <hyperlink ref="A612" r:id="rId575" xr:uid="{00000000-0004-0000-0900-00003E020000}"/>
    <hyperlink ref="A613" r:id="rId576" xr:uid="{00000000-0004-0000-0900-00003F020000}"/>
    <hyperlink ref="A614" r:id="rId577" xr:uid="{00000000-0004-0000-0900-000040020000}"/>
    <hyperlink ref="A615" r:id="rId578" xr:uid="{00000000-0004-0000-0900-000041020000}"/>
    <hyperlink ref="A616" r:id="rId579" xr:uid="{00000000-0004-0000-0900-000042020000}"/>
    <hyperlink ref="A617" r:id="rId580" xr:uid="{00000000-0004-0000-0900-000043020000}"/>
    <hyperlink ref="A618" r:id="rId581" xr:uid="{00000000-0004-0000-0900-000044020000}"/>
    <hyperlink ref="A619" r:id="rId582" xr:uid="{00000000-0004-0000-0900-000045020000}"/>
    <hyperlink ref="A620" r:id="rId583" xr:uid="{00000000-0004-0000-0900-000046020000}"/>
    <hyperlink ref="A621" r:id="rId584" xr:uid="{00000000-0004-0000-0900-000047020000}"/>
    <hyperlink ref="A622" r:id="rId585" xr:uid="{00000000-0004-0000-0900-000048020000}"/>
    <hyperlink ref="A623" r:id="rId586" xr:uid="{00000000-0004-0000-0900-000049020000}"/>
    <hyperlink ref="A624" r:id="rId587" xr:uid="{00000000-0004-0000-0900-00004A020000}"/>
    <hyperlink ref="A625" r:id="rId588" xr:uid="{00000000-0004-0000-0900-00004B020000}"/>
    <hyperlink ref="A626" r:id="rId589" xr:uid="{00000000-0004-0000-0900-00004C020000}"/>
    <hyperlink ref="A627" r:id="rId590" xr:uid="{00000000-0004-0000-0900-00004D020000}"/>
    <hyperlink ref="A628" r:id="rId591" xr:uid="{00000000-0004-0000-0900-00004E020000}"/>
    <hyperlink ref="A629" r:id="rId592" xr:uid="{00000000-0004-0000-0900-00004F020000}"/>
    <hyperlink ref="A630" r:id="rId593" xr:uid="{00000000-0004-0000-0900-000050020000}"/>
    <hyperlink ref="A631" r:id="rId594" xr:uid="{00000000-0004-0000-0900-000051020000}"/>
    <hyperlink ref="A632" r:id="rId595" xr:uid="{00000000-0004-0000-0900-000052020000}"/>
    <hyperlink ref="A633" r:id="rId596" xr:uid="{00000000-0004-0000-0900-000053020000}"/>
    <hyperlink ref="A634" r:id="rId597" xr:uid="{00000000-0004-0000-0900-000054020000}"/>
    <hyperlink ref="A635" r:id="rId598" xr:uid="{00000000-0004-0000-0900-000055020000}"/>
    <hyperlink ref="A636" r:id="rId599" xr:uid="{00000000-0004-0000-0900-000056020000}"/>
    <hyperlink ref="A637" r:id="rId600" xr:uid="{00000000-0004-0000-0900-000057020000}"/>
    <hyperlink ref="A638" r:id="rId601" xr:uid="{00000000-0004-0000-0900-000058020000}"/>
    <hyperlink ref="A639" r:id="rId602" xr:uid="{00000000-0004-0000-0900-000059020000}"/>
    <hyperlink ref="A640" r:id="rId603" xr:uid="{00000000-0004-0000-0900-00005A020000}"/>
    <hyperlink ref="A641" r:id="rId604" xr:uid="{00000000-0004-0000-0900-00005B020000}"/>
    <hyperlink ref="A642" r:id="rId605" xr:uid="{00000000-0004-0000-0900-00005C020000}"/>
    <hyperlink ref="A643" r:id="rId606" xr:uid="{00000000-0004-0000-0900-00005D020000}"/>
    <hyperlink ref="A644" r:id="rId607" xr:uid="{00000000-0004-0000-0900-00005E020000}"/>
    <hyperlink ref="A645" r:id="rId608" xr:uid="{00000000-0004-0000-0900-00005F020000}"/>
    <hyperlink ref="A646" r:id="rId609" xr:uid="{00000000-0004-0000-0900-000060020000}"/>
    <hyperlink ref="A647" r:id="rId610" xr:uid="{00000000-0004-0000-0900-000061020000}"/>
    <hyperlink ref="A648" r:id="rId611" xr:uid="{00000000-0004-0000-0900-000062020000}"/>
    <hyperlink ref="A649" r:id="rId612" xr:uid="{00000000-0004-0000-0900-000063020000}"/>
    <hyperlink ref="A650" r:id="rId613" xr:uid="{00000000-0004-0000-0900-000064020000}"/>
    <hyperlink ref="A651" r:id="rId614" xr:uid="{00000000-0004-0000-0900-000065020000}"/>
    <hyperlink ref="A652" r:id="rId615" xr:uid="{00000000-0004-0000-0900-000066020000}"/>
    <hyperlink ref="A653" r:id="rId616" xr:uid="{00000000-0004-0000-0900-000067020000}"/>
    <hyperlink ref="A654" r:id="rId617" xr:uid="{00000000-0004-0000-0900-000068020000}"/>
    <hyperlink ref="A655" r:id="rId618" xr:uid="{00000000-0004-0000-0900-000069020000}"/>
    <hyperlink ref="A656" r:id="rId619" xr:uid="{00000000-0004-0000-0900-00006A020000}"/>
    <hyperlink ref="A657" r:id="rId620" xr:uid="{00000000-0004-0000-0900-00006B020000}"/>
    <hyperlink ref="A658" r:id="rId621" xr:uid="{00000000-0004-0000-0900-00006C020000}"/>
    <hyperlink ref="A659" r:id="rId622" xr:uid="{00000000-0004-0000-0900-00006D020000}"/>
    <hyperlink ref="A660" r:id="rId623" xr:uid="{00000000-0004-0000-0900-00006E020000}"/>
    <hyperlink ref="A661" r:id="rId624" xr:uid="{00000000-0004-0000-0900-00006F020000}"/>
    <hyperlink ref="A662" r:id="rId625" xr:uid="{00000000-0004-0000-0900-000070020000}"/>
    <hyperlink ref="A663" r:id="rId626" xr:uid="{00000000-0004-0000-0900-000071020000}"/>
    <hyperlink ref="A664" r:id="rId627" xr:uid="{00000000-0004-0000-0900-000072020000}"/>
    <hyperlink ref="A665" r:id="rId628" xr:uid="{00000000-0004-0000-0900-000073020000}"/>
    <hyperlink ref="A666" r:id="rId629" xr:uid="{00000000-0004-0000-0900-000074020000}"/>
    <hyperlink ref="A667" r:id="rId630" xr:uid="{00000000-0004-0000-0900-000075020000}"/>
    <hyperlink ref="A668" r:id="rId631" xr:uid="{00000000-0004-0000-0900-000076020000}"/>
    <hyperlink ref="A669" r:id="rId632" xr:uid="{00000000-0004-0000-0900-000077020000}"/>
    <hyperlink ref="A670" r:id="rId633" xr:uid="{00000000-0004-0000-0900-000078020000}"/>
    <hyperlink ref="A671" r:id="rId634" xr:uid="{00000000-0004-0000-0900-000079020000}"/>
    <hyperlink ref="A672" r:id="rId635" xr:uid="{00000000-0004-0000-0900-00007A020000}"/>
    <hyperlink ref="A673" r:id="rId636" xr:uid="{00000000-0004-0000-0900-00007B020000}"/>
    <hyperlink ref="A674" r:id="rId637" xr:uid="{00000000-0004-0000-0900-00007C020000}"/>
    <hyperlink ref="A676" r:id="rId638" xr:uid="{00000000-0004-0000-0900-00007D020000}"/>
    <hyperlink ref="A677" r:id="rId639" xr:uid="{00000000-0004-0000-0900-00007E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Information</vt:lpstr>
      <vt:lpstr>Peptides</vt:lpstr>
      <vt:lpstr>EC Numbers</vt:lpstr>
      <vt:lpstr>Metabolites</vt:lpstr>
      <vt:lpstr>Enzymes</vt:lpstr>
      <vt:lpstr>Reactions</vt:lpstr>
      <vt:lpstr>Sheet10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Kang</dc:creator>
  <cp:lastModifiedBy>M L</cp:lastModifiedBy>
  <dcterms:created xsi:type="dcterms:W3CDTF">2025-11-14T06:04:43Z</dcterms:created>
  <dcterms:modified xsi:type="dcterms:W3CDTF">2025-11-30T06:03:48Z</dcterms:modified>
</cp:coreProperties>
</file>